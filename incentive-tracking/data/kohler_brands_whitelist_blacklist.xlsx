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sharkey\Desktop\MY PROJECTS\"/>
    </mc:Choice>
  </mc:AlternateContent>
  <xr:revisionPtr revIDLastSave="0" documentId="13_ncr:1_{566881E4-248D-4107-9720-EECE82F6D759}" xr6:coauthVersionLast="47" xr6:coauthVersionMax="47" xr10:uidLastSave="{00000000-0000-0000-0000-000000000000}"/>
  <bookViews>
    <workbookView xWindow="-23148" yWindow="-108" windowWidth="23256" windowHeight="12456" firstSheet="1" activeTab="5" xr2:uid="{1A2C55EA-0C14-4135-8E0F-89223DDCE419}"/>
  </bookViews>
  <sheets>
    <sheet name="Master - US vs THEM" sheetId="1" r:id="rId1"/>
    <sheet name="Master Matrix View" sheetId="2" r:id="rId2"/>
    <sheet name="Whitelist (Blackout Reverse)" sheetId="3" r:id="rId3"/>
    <sheet name="Blackout Brand Fam Areas (Enc)" sheetId="4" r:id="rId4"/>
    <sheet name="Brand Family Territory (Enc)" sheetId="7" r:id="rId5"/>
    <sheet name="Sales Reps Customer Base" sheetId="6" r:id="rId6"/>
  </sheets>
  <externalReferences>
    <externalReference r:id="rId7"/>
  </externalReferences>
  <definedNames>
    <definedName name="_xlnm._FilterDatabase" localSheetId="3" hidden="1">'Blackout Brand Fam Areas (Enc)'!$A$5:$E$998</definedName>
    <definedName name="_xlnm._FilterDatabase" localSheetId="0" hidden="1">'Master - US vs THEM'!$A$1:$G$2991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98" i="4" l="1"/>
  <c r="G997" i="4"/>
  <c r="G996" i="4"/>
  <c r="G995" i="4"/>
  <c r="G994" i="4"/>
  <c r="G993" i="4"/>
  <c r="G992" i="4"/>
  <c r="G991" i="4"/>
  <c r="G990" i="4"/>
  <c r="G989" i="4"/>
  <c r="G988" i="4"/>
  <c r="G987" i="4"/>
  <c r="G986" i="4"/>
  <c r="G985" i="4"/>
  <c r="G984" i="4"/>
  <c r="G983" i="4"/>
  <c r="G982" i="4"/>
  <c r="G981" i="4"/>
  <c r="G980" i="4"/>
  <c r="G979" i="4"/>
  <c r="G978" i="4"/>
  <c r="G977" i="4"/>
  <c r="G976" i="4"/>
  <c r="G975" i="4"/>
  <c r="G974" i="4"/>
  <c r="G973" i="4"/>
  <c r="G972" i="4"/>
  <c r="G971" i="4"/>
  <c r="G970" i="4"/>
  <c r="G969" i="4"/>
  <c r="G968" i="4"/>
  <c r="G967" i="4"/>
  <c r="G966" i="4"/>
  <c r="G965" i="4"/>
  <c r="G964" i="4"/>
  <c r="G963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48" i="4"/>
  <c r="G947" i="4"/>
  <c r="G946" i="4"/>
  <c r="G945" i="4"/>
  <c r="G944" i="4"/>
  <c r="G943" i="4"/>
  <c r="G942" i="4"/>
  <c r="G941" i="4"/>
  <c r="G94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909" i="4"/>
  <c r="G908" i="4"/>
  <c r="G907" i="4"/>
  <c r="G906" i="4"/>
  <c r="G905" i="4"/>
  <c r="G904" i="4"/>
  <c r="G903" i="4"/>
  <c r="G902" i="4"/>
  <c r="G90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872" i="4"/>
  <c r="G871" i="4"/>
  <c r="G870" i="4"/>
  <c r="G869" i="4"/>
  <c r="G868" i="4"/>
  <c r="G867" i="4"/>
  <c r="G866" i="4"/>
  <c r="G865" i="4"/>
  <c r="G864" i="4"/>
  <c r="G863" i="4"/>
  <c r="G86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1" i="4"/>
  <c r="G830" i="4"/>
  <c r="G829" i="4"/>
  <c r="G828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6" i="4"/>
  <c r="G785" i="4"/>
  <c r="G78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58" i="4"/>
  <c r="G757" i="4"/>
  <c r="G756" i="4"/>
  <c r="G755" i="4"/>
  <c r="G754" i="4"/>
  <c r="G753" i="4"/>
  <c r="G752" i="4"/>
  <c r="G751" i="4"/>
  <c r="G750" i="4"/>
  <c r="G749" i="4"/>
  <c r="G748" i="4"/>
  <c r="G747" i="4"/>
  <c r="G746" i="4"/>
  <c r="G745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25" i="4"/>
  <c r="G724" i="4"/>
  <c r="G723" i="4"/>
  <c r="G722" i="4"/>
  <c r="G721" i="4"/>
  <c r="G720" i="4"/>
  <c r="G719" i="4"/>
  <c r="G718" i="4"/>
  <c r="G717" i="4"/>
  <c r="G716" i="4"/>
  <c r="G715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2" i="4"/>
  <c r="G701" i="4"/>
  <c r="G700" i="4"/>
  <c r="G699" i="4"/>
  <c r="G698" i="4"/>
  <c r="G697" i="4"/>
  <c r="G696" i="4"/>
  <c r="G695" i="4"/>
  <c r="G694" i="4"/>
  <c r="G693" i="4"/>
  <c r="G692" i="4"/>
  <c r="G691" i="4"/>
  <c r="G690" i="4"/>
  <c r="G689" i="4"/>
  <c r="G688" i="4"/>
  <c r="G687" i="4"/>
  <c r="G686" i="4"/>
  <c r="G685" i="4"/>
  <c r="G684" i="4"/>
  <c r="G683" i="4"/>
  <c r="G682" i="4"/>
  <c r="G681" i="4"/>
  <c r="G680" i="4"/>
  <c r="G679" i="4"/>
  <c r="G678" i="4"/>
  <c r="G677" i="4"/>
  <c r="G676" i="4"/>
  <c r="G675" i="4"/>
  <c r="G674" i="4"/>
  <c r="G673" i="4"/>
  <c r="G672" i="4"/>
  <c r="G671" i="4"/>
  <c r="G670" i="4"/>
  <c r="G669" i="4"/>
  <c r="G668" i="4"/>
  <c r="G66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K300" i="3"/>
  <c r="J300" i="3"/>
  <c r="I300" i="3"/>
  <c r="H300" i="3"/>
  <c r="G300" i="3"/>
  <c r="F300" i="3"/>
  <c r="E300" i="3"/>
  <c r="D300" i="3"/>
  <c r="C300" i="3"/>
  <c r="B300" i="3"/>
  <c r="K299" i="3"/>
  <c r="J299" i="3"/>
  <c r="I299" i="3"/>
  <c r="H299" i="3"/>
  <c r="G299" i="3"/>
  <c r="F299" i="3"/>
  <c r="E299" i="3"/>
  <c r="D299" i="3"/>
  <c r="C299" i="3"/>
  <c r="B299" i="3"/>
  <c r="K298" i="3"/>
  <c r="J298" i="3"/>
  <c r="I298" i="3"/>
  <c r="H298" i="3"/>
  <c r="G298" i="3"/>
  <c r="F298" i="3"/>
  <c r="E298" i="3"/>
  <c r="D298" i="3"/>
  <c r="C298" i="3"/>
  <c r="B298" i="3"/>
  <c r="K297" i="3"/>
  <c r="J297" i="3"/>
  <c r="I297" i="3"/>
  <c r="H297" i="3"/>
  <c r="G297" i="3"/>
  <c r="F297" i="3"/>
  <c r="E297" i="3"/>
  <c r="D297" i="3"/>
  <c r="C297" i="3"/>
  <c r="B297" i="3"/>
  <c r="K296" i="3"/>
  <c r="J296" i="3"/>
  <c r="I296" i="3"/>
  <c r="H296" i="3"/>
  <c r="G296" i="3"/>
  <c r="F296" i="3"/>
  <c r="E296" i="3"/>
  <c r="D296" i="3"/>
  <c r="C296" i="3"/>
  <c r="B296" i="3"/>
  <c r="K295" i="3"/>
  <c r="J295" i="3"/>
  <c r="I295" i="3"/>
  <c r="H295" i="3"/>
  <c r="G295" i="3"/>
  <c r="F295" i="3"/>
  <c r="E295" i="3"/>
  <c r="D295" i="3"/>
  <c r="C295" i="3"/>
  <c r="B295" i="3"/>
  <c r="K294" i="3"/>
  <c r="J294" i="3"/>
  <c r="I294" i="3"/>
  <c r="H294" i="3"/>
  <c r="G294" i="3"/>
  <c r="F294" i="3"/>
  <c r="E294" i="3"/>
  <c r="D294" i="3"/>
  <c r="C294" i="3"/>
  <c r="B294" i="3"/>
  <c r="K293" i="3"/>
  <c r="J293" i="3"/>
  <c r="I293" i="3"/>
  <c r="H293" i="3"/>
  <c r="G293" i="3"/>
  <c r="F293" i="3"/>
  <c r="E293" i="3"/>
  <c r="D293" i="3"/>
  <c r="C293" i="3"/>
  <c r="B293" i="3"/>
  <c r="K292" i="3"/>
  <c r="J292" i="3"/>
  <c r="I292" i="3"/>
  <c r="H292" i="3"/>
  <c r="G292" i="3"/>
  <c r="F292" i="3"/>
  <c r="E292" i="3"/>
  <c r="D292" i="3"/>
  <c r="C292" i="3"/>
  <c r="B292" i="3"/>
  <c r="K291" i="3"/>
  <c r="J291" i="3"/>
  <c r="I291" i="3"/>
  <c r="H291" i="3"/>
  <c r="G291" i="3"/>
  <c r="F291" i="3"/>
  <c r="E291" i="3"/>
  <c r="D291" i="3"/>
  <c r="C291" i="3"/>
  <c r="B291" i="3"/>
  <c r="K290" i="3"/>
  <c r="J290" i="3"/>
  <c r="I290" i="3"/>
  <c r="H290" i="3"/>
  <c r="G290" i="3"/>
  <c r="F290" i="3"/>
  <c r="E290" i="3"/>
  <c r="D290" i="3"/>
  <c r="C290" i="3"/>
  <c r="B290" i="3"/>
  <c r="K289" i="3"/>
  <c r="J289" i="3"/>
  <c r="I289" i="3"/>
  <c r="H289" i="3"/>
  <c r="G289" i="3"/>
  <c r="F289" i="3"/>
  <c r="E289" i="3"/>
  <c r="D289" i="3"/>
  <c r="C289" i="3"/>
  <c r="B289" i="3"/>
  <c r="K288" i="3"/>
  <c r="J288" i="3"/>
  <c r="I288" i="3"/>
  <c r="H288" i="3"/>
  <c r="G288" i="3"/>
  <c r="F288" i="3"/>
  <c r="E288" i="3"/>
  <c r="D288" i="3"/>
  <c r="C288" i="3"/>
  <c r="B288" i="3"/>
  <c r="K287" i="3"/>
  <c r="J287" i="3"/>
  <c r="I287" i="3"/>
  <c r="H287" i="3"/>
  <c r="G287" i="3"/>
  <c r="F287" i="3"/>
  <c r="E287" i="3"/>
  <c r="D287" i="3"/>
  <c r="C287" i="3"/>
  <c r="B287" i="3"/>
  <c r="K286" i="3"/>
  <c r="J286" i="3"/>
  <c r="I286" i="3"/>
  <c r="H286" i="3"/>
  <c r="G286" i="3"/>
  <c r="F286" i="3"/>
  <c r="E286" i="3"/>
  <c r="D286" i="3"/>
  <c r="C286" i="3"/>
  <c r="B286" i="3"/>
  <c r="K285" i="3"/>
  <c r="J285" i="3"/>
  <c r="I285" i="3"/>
  <c r="H285" i="3"/>
  <c r="G285" i="3"/>
  <c r="F285" i="3"/>
  <c r="E285" i="3"/>
  <c r="D285" i="3"/>
  <c r="C285" i="3"/>
  <c r="B285" i="3"/>
  <c r="K284" i="3"/>
  <c r="J284" i="3"/>
  <c r="I284" i="3"/>
  <c r="H284" i="3"/>
  <c r="G284" i="3"/>
  <c r="F284" i="3"/>
  <c r="E284" i="3"/>
  <c r="D284" i="3"/>
  <c r="C284" i="3"/>
  <c r="B284" i="3"/>
  <c r="K283" i="3"/>
  <c r="J283" i="3"/>
  <c r="I283" i="3"/>
  <c r="H283" i="3"/>
  <c r="G283" i="3"/>
  <c r="F283" i="3"/>
  <c r="E283" i="3"/>
  <c r="D283" i="3"/>
  <c r="C283" i="3"/>
  <c r="B283" i="3"/>
  <c r="K282" i="3"/>
  <c r="J282" i="3"/>
  <c r="I282" i="3"/>
  <c r="H282" i="3"/>
  <c r="G282" i="3"/>
  <c r="F282" i="3"/>
  <c r="E282" i="3"/>
  <c r="D282" i="3"/>
  <c r="C282" i="3"/>
  <c r="B282" i="3"/>
  <c r="K281" i="3"/>
  <c r="J281" i="3"/>
  <c r="I281" i="3"/>
  <c r="H281" i="3"/>
  <c r="G281" i="3"/>
  <c r="F281" i="3"/>
  <c r="E281" i="3"/>
  <c r="D281" i="3"/>
  <c r="C281" i="3"/>
  <c r="B281" i="3"/>
  <c r="K280" i="3"/>
  <c r="J280" i="3"/>
  <c r="I280" i="3"/>
  <c r="H280" i="3"/>
  <c r="G280" i="3"/>
  <c r="F280" i="3"/>
  <c r="E280" i="3"/>
  <c r="D280" i="3"/>
  <c r="C280" i="3"/>
  <c r="B280" i="3"/>
  <c r="K279" i="3"/>
  <c r="J279" i="3"/>
  <c r="I279" i="3"/>
  <c r="H279" i="3"/>
  <c r="G279" i="3"/>
  <c r="F279" i="3"/>
  <c r="E279" i="3"/>
  <c r="D279" i="3"/>
  <c r="C279" i="3"/>
  <c r="B279" i="3"/>
  <c r="K278" i="3"/>
  <c r="J278" i="3"/>
  <c r="I278" i="3"/>
  <c r="H278" i="3"/>
  <c r="G278" i="3"/>
  <c r="F278" i="3"/>
  <c r="E278" i="3"/>
  <c r="D278" i="3"/>
  <c r="C278" i="3"/>
  <c r="B278" i="3"/>
  <c r="K277" i="3"/>
  <c r="J277" i="3"/>
  <c r="I277" i="3"/>
  <c r="H277" i="3"/>
  <c r="G277" i="3"/>
  <c r="F277" i="3"/>
  <c r="E277" i="3"/>
  <c r="D277" i="3"/>
  <c r="C277" i="3"/>
  <c r="B277" i="3"/>
  <c r="K276" i="3"/>
  <c r="J276" i="3"/>
  <c r="I276" i="3"/>
  <c r="H276" i="3"/>
  <c r="G276" i="3"/>
  <c r="F276" i="3"/>
  <c r="E276" i="3"/>
  <c r="D276" i="3"/>
  <c r="C276" i="3"/>
  <c r="B276" i="3"/>
  <c r="K275" i="3"/>
  <c r="J275" i="3"/>
  <c r="I275" i="3"/>
  <c r="H275" i="3"/>
  <c r="G275" i="3"/>
  <c r="F275" i="3"/>
  <c r="E275" i="3"/>
  <c r="D275" i="3"/>
  <c r="C275" i="3"/>
  <c r="B275" i="3"/>
  <c r="K274" i="3"/>
  <c r="J274" i="3"/>
  <c r="I274" i="3"/>
  <c r="H274" i="3"/>
  <c r="G274" i="3"/>
  <c r="F274" i="3"/>
  <c r="E274" i="3"/>
  <c r="D274" i="3"/>
  <c r="C274" i="3"/>
  <c r="B274" i="3"/>
  <c r="K273" i="3"/>
  <c r="J273" i="3"/>
  <c r="I273" i="3"/>
  <c r="H273" i="3"/>
  <c r="G273" i="3"/>
  <c r="F273" i="3"/>
  <c r="E273" i="3"/>
  <c r="D273" i="3"/>
  <c r="C273" i="3"/>
  <c r="B273" i="3"/>
  <c r="K272" i="3"/>
  <c r="J272" i="3"/>
  <c r="I272" i="3"/>
  <c r="H272" i="3"/>
  <c r="G272" i="3"/>
  <c r="F272" i="3"/>
  <c r="E272" i="3"/>
  <c r="D272" i="3"/>
  <c r="C272" i="3"/>
  <c r="B272" i="3"/>
  <c r="K271" i="3"/>
  <c r="J271" i="3"/>
  <c r="I271" i="3"/>
  <c r="H271" i="3"/>
  <c r="G271" i="3"/>
  <c r="F271" i="3"/>
  <c r="E271" i="3"/>
  <c r="D271" i="3"/>
  <c r="C271" i="3"/>
  <c r="B271" i="3"/>
  <c r="K270" i="3"/>
  <c r="J270" i="3"/>
  <c r="I270" i="3"/>
  <c r="H270" i="3"/>
  <c r="G270" i="3"/>
  <c r="F270" i="3"/>
  <c r="E270" i="3"/>
  <c r="D270" i="3"/>
  <c r="C270" i="3"/>
  <c r="B270" i="3"/>
  <c r="K269" i="3"/>
  <c r="J269" i="3"/>
  <c r="I269" i="3"/>
  <c r="H269" i="3"/>
  <c r="G269" i="3"/>
  <c r="F269" i="3"/>
  <c r="E269" i="3"/>
  <c r="D269" i="3"/>
  <c r="C269" i="3"/>
  <c r="B269" i="3"/>
  <c r="K268" i="3"/>
  <c r="J268" i="3"/>
  <c r="I268" i="3"/>
  <c r="H268" i="3"/>
  <c r="G268" i="3"/>
  <c r="F268" i="3"/>
  <c r="E268" i="3"/>
  <c r="D268" i="3"/>
  <c r="C268" i="3"/>
  <c r="B268" i="3"/>
  <c r="K267" i="3"/>
  <c r="J267" i="3"/>
  <c r="I267" i="3"/>
  <c r="H267" i="3"/>
  <c r="G267" i="3"/>
  <c r="F267" i="3"/>
  <c r="E267" i="3"/>
  <c r="D267" i="3"/>
  <c r="C267" i="3"/>
  <c r="B267" i="3"/>
  <c r="K266" i="3"/>
  <c r="J266" i="3"/>
  <c r="I266" i="3"/>
  <c r="H266" i="3"/>
  <c r="G266" i="3"/>
  <c r="F266" i="3"/>
  <c r="E266" i="3"/>
  <c r="D266" i="3"/>
  <c r="C266" i="3"/>
  <c r="B266" i="3"/>
  <c r="K265" i="3"/>
  <c r="J265" i="3"/>
  <c r="I265" i="3"/>
  <c r="H265" i="3"/>
  <c r="G265" i="3"/>
  <c r="F265" i="3"/>
  <c r="E265" i="3"/>
  <c r="D265" i="3"/>
  <c r="C265" i="3"/>
  <c r="B265" i="3"/>
  <c r="K264" i="3"/>
  <c r="J264" i="3"/>
  <c r="I264" i="3"/>
  <c r="H264" i="3"/>
  <c r="G264" i="3"/>
  <c r="F264" i="3"/>
  <c r="E264" i="3"/>
  <c r="D264" i="3"/>
  <c r="C264" i="3"/>
  <c r="B264" i="3"/>
  <c r="K263" i="3"/>
  <c r="J263" i="3"/>
  <c r="I263" i="3"/>
  <c r="H263" i="3"/>
  <c r="G263" i="3"/>
  <c r="F263" i="3"/>
  <c r="E263" i="3"/>
  <c r="D263" i="3"/>
  <c r="C263" i="3"/>
  <c r="B263" i="3"/>
  <c r="K262" i="3"/>
  <c r="J262" i="3"/>
  <c r="I262" i="3"/>
  <c r="H262" i="3"/>
  <c r="G262" i="3"/>
  <c r="F262" i="3"/>
  <c r="E262" i="3"/>
  <c r="D262" i="3"/>
  <c r="C262" i="3"/>
  <c r="B262" i="3"/>
  <c r="K261" i="3"/>
  <c r="J261" i="3"/>
  <c r="I261" i="3"/>
  <c r="H261" i="3"/>
  <c r="G261" i="3"/>
  <c r="F261" i="3"/>
  <c r="E261" i="3"/>
  <c r="D261" i="3"/>
  <c r="C261" i="3"/>
  <c r="B261" i="3"/>
  <c r="K260" i="3"/>
  <c r="J260" i="3"/>
  <c r="I260" i="3"/>
  <c r="H260" i="3"/>
  <c r="G260" i="3"/>
  <c r="F260" i="3"/>
  <c r="E260" i="3"/>
  <c r="D260" i="3"/>
  <c r="C260" i="3"/>
  <c r="B260" i="3"/>
  <c r="K259" i="3"/>
  <c r="J259" i="3"/>
  <c r="I259" i="3"/>
  <c r="H259" i="3"/>
  <c r="G259" i="3"/>
  <c r="F259" i="3"/>
  <c r="E259" i="3"/>
  <c r="D259" i="3"/>
  <c r="C259" i="3"/>
  <c r="B259" i="3"/>
  <c r="K258" i="3"/>
  <c r="J258" i="3"/>
  <c r="I258" i="3"/>
  <c r="H258" i="3"/>
  <c r="G258" i="3"/>
  <c r="F258" i="3"/>
  <c r="E258" i="3"/>
  <c r="D258" i="3"/>
  <c r="C258" i="3"/>
  <c r="B258" i="3"/>
  <c r="K257" i="3"/>
  <c r="J257" i="3"/>
  <c r="I257" i="3"/>
  <c r="H257" i="3"/>
  <c r="G257" i="3"/>
  <c r="F257" i="3"/>
  <c r="E257" i="3"/>
  <c r="D257" i="3"/>
  <c r="C257" i="3"/>
  <c r="B257" i="3"/>
  <c r="K256" i="3"/>
  <c r="J256" i="3"/>
  <c r="I256" i="3"/>
  <c r="H256" i="3"/>
  <c r="G256" i="3"/>
  <c r="F256" i="3"/>
  <c r="E256" i="3"/>
  <c r="D256" i="3"/>
  <c r="C256" i="3"/>
  <c r="B256" i="3"/>
  <c r="K255" i="3"/>
  <c r="J255" i="3"/>
  <c r="I255" i="3"/>
  <c r="H255" i="3"/>
  <c r="G255" i="3"/>
  <c r="F255" i="3"/>
  <c r="E255" i="3"/>
  <c r="D255" i="3"/>
  <c r="C255" i="3"/>
  <c r="B255" i="3"/>
  <c r="K254" i="3"/>
  <c r="J254" i="3"/>
  <c r="I254" i="3"/>
  <c r="H254" i="3"/>
  <c r="G254" i="3"/>
  <c r="F254" i="3"/>
  <c r="E254" i="3"/>
  <c r="D254" i="3"/>
  <c r="C254" i="3"/>
  <c r="B254" i="3"/>
  <c r="K253" i="3"/>
  <c r="J253" i="3"/>
  <c r="I253" i="3"/>
  <c r="H253" i="3"/>
  <c r="G253" i="3"/>
  <c r="F253" i="3"/>
  <c r="E253" i="3"/>
  <c r="D253" i="3"/>
  <c r="C253" i="3"/>
  <c r="B253" i="3"/>
  <c r="K252" i="3"/>
  <c r="J252" i="3"/>
  <c r="I252" i="3"/>
  <c r="H252" i="3"/>
  <c r="G252" i="3"/>
  <c r="F252" i="3"/>
  <c r="E252" i="3"/>
  <c r="D252" i="3"/>
  <c r="C252" i="3"/>
  <c r="B252" i="3"/>
  <c r="K251" i="3"/>
  <c r="J251" i="3"/>
  <c r="I251" i="3"/>
  <c r="H251" i="3"/>
  <c r="G251" i="3"/>
  <c r="F251" i="3"/>
  <c r="E251" i="3"/>
  <c r="D251" i="3"/>
  <c r="C251" i="3"/>
  <c r="B251" i="3"/>
  <c r="K250" i="3"/>
  <c r="J250" i="3"/>
  <c r="I250" i="3"/>
  <c r="H250" i="3"/>
  <c r="G250" i="3"/>
  <c r="F250" i="3"/>
  <c r="E250" i="3"/>
  <c r="D250" i="3"/>
  <c r="C250" i="3"/>
  <c r="B250" i="3"/>
  <c r="K249" i="3"/>
  <c r="J249" i="3"/>
  <c r="I249" i="3"/>
  <c r="H249" i="3"/>
  <c r="G249" i="3"/>
  <c r="F249" i="3"/>
  <c r="E249" i="3"/>
  <c r="D249" i="3"/>
  <c r="C249" i="3"/>
  <c r="B249" i="3"/>
  <c r="K248" i="3"/>
  <c r="J248" i="3"/>
  <c r="I248" i="3"/>
  <c r="H248" i="3"/>
  <c r="G248" i="3"/>
  <c r="F248" i="3"/>
  <c r="E248" i="3"/>
  <c r="D248" i="3"/>
  <c r="C248" i="3"/>
  <c r="B248" i="3"/>
  <c r="K247" i="3"/>
  <c r="J247" i="3"/>
  <c r="I247" i="3"/>
  <c r="H247" i="3"/>
  <c r="G247" i="3"/>
  <c r="F247" i="3"/>
  <c r="E247" i="3"/>
  <c r="D247" i="3"/>
  <c r="C247" i="3"/>
  <c r="B247" i="3"/>
  <c r="K246" i="3"/>
  <c r="J246" i="3"/>
  <c r="I246" i="3"/>
  <c r="H246" i="3"/>
  <c r="G246" i="3"/>
  <c r="F246" i="3"/>
  <c r="E246" i="3"/>
  <c r="D246" i="3"/>
  <c r="C246" i="3"/>
  <c r="B246" i="3"/>
  <c r="K245" i="3"/>
  <c r="J245" i="3"/>
  <c r="I245" i="3"/>
  <c r="H245" i="3"/>
  <c r="G245" i="3"/>
  <c r="F245" i="3"/>
  <c r="E245" i="3"/>
  <c r="D245" i="3"/>
  <c r="C245" i="3"/>
  <c r="B245" i="3"/>
  <c r="K244" i="3"/>
  <c r="J244" i="3"/>
  <c r="I244" i="3"/>
  <c r="H244" i="3"/>
  <c r="G244" i="3"/>
  <c r="F244" i="3"/>
  <c r="E244" i="3"/>
  <c r="D244" i="3"/>
  <c r="C244" i="3"/>
  <c r="B244" i="3"/>
  <c r="K243" i="3"/>
  <c r="J243" i="3"/>
  <c r="I243" i="3"/>
  <c r="H243" i="3"/>
  <c r="G243" i="3"/>
  <c r="F243" i="3"/>
  <c r="E243" i="3"/>
  <c r="D243" i="3"/>
  <c r="C243" i="3"/>
  <c r="B243" i="3"/>
  <c r="K242" i="3"/>
  <c r="J242" i="3"/>
  <c r="I242" i="3"/>
  <c r="H242" i="3"/>
  <c r="G242" i="3"/>
  <c r="F242" i="3"/>
  <c r="E242" i="3"/>
  <c r="D242" i="3"/>
  <c r="C242" i="3"/>
  <c r="B242" i="3"/>
  <c r="K241" i="3"/>
  <c r="J241" i="3"/>
  <c r="I241" i="3"/>
  <c r="H241" i="3"/>
  <c r="G241" i="3"/>
  <c r="F241" i="3"/>
  <c r="E241" i="3"/>
  <c r="D241" i="3"/>
  <c r="C241" i="3"/>
  <c r="B241" i="3"/>
  <c r="K240" i="3"/>
  <c r="J240" i="3"/>
  <c r="I240" i="3"/>
  <c r="H240" i="3"/>
  <c r="G240" i="3"/>
  <c r="F240" i="3"/>
  <c r="E240" i="3"/>
  <c r="D240" i="3"/>
  <c r="C240" i="3"/>
  <c r="B240" i="3"/>
  <c r="K239" i="3"/>
  <c r="J239" i="3"/>
  <c r="I239" i="3"/>
  <c r="H239" i="3"/>
  <c r="G239" i="3"/>
  <c r="F239" i="3"/>
  <c r="E239" i="3"/>
  <c r="D239" i="3"/>
  <c r="C239" i="3"/>
  <c r="B239" i="3"/>
  <c r="B237" i="3"/>
  <c r="J235" i="3"/>
  <c r="I233" i="3"/>
  <c r="C230" i="3"/>
  <c r="D227" i="3"/>
  <c r="H217" i="3"/>
  <c r="K215" i="3"/>
  <c r="I215" i="3"/>
  <c r="F210" i="3"/>
  <c r="K209" i="3"/>
  <c r="I199" i="3"/>
  <c r="F199" i="3"/>
  <c r="I197" i="3"/>
  <c r="J193" i="3"/>
  <c r="K190" i="3"/>
  <c r="I181" i="3"/>
  <c r="D179" i="3"/>
  <c r="I178" i="3"/>
  <c r="F174" i="3"/>
  <c r="K172" i="3"/>
  <c r="F163" i="3"/>
  <c r="F162" i="3"/>
  <c r="C162" i="3"/>
  <c r="K156" i="3"/>
  <c r="F156" i="3"/>
  <c r="H148" i="3"/>
  <c r="G147" i="3"/>
  <c r="I146" i="3"/>
  <c r="H144" i="3"/>
  <c r="I143" i="3"/>
  <c r="H138" i="3"/>
  <c r="F138" i="3"/>
  <c r="D138" i="3"/>
  <c r="H135" i="3"/>
  <c r="F135" i="3"/>
  <c r="I130" i="3"/>
  <c r="K129" i="3"/>
  <c r="E129" i="3"/>
  <c r="E127" i="3"/>
  <c r="F126" i="3"/>
  <c r="H121" i="3"/>
  <c r="C121" i="3"/>
  <c r="B121" i="3"/>
  <c r="D119" i="3"/>
  <c r="G118" i="3"/>
  <c r="J114" i="3"/>
  <c r="G114" i="3"/>
  <c r="E114" i="3"/>
  <c r="I112" i="3"/>
  <c r="H111" i="3"/>
  <c r="I108" i="3"/>
  <c r="I107" i="3"/>
  <c r="H107" i="3"/>
  <c r="C106" i="3"/>
  <c r="H105" i="3"/>
  <c r="F102" i="3"/>
  <c r="C102" i="3"/>
  <c r="K101" i="3"/>
  <c r="D100" i="3"/>
  <c r="K99" i="3"/>
  <c r="I96" i="3"/>
  <c r="J95" i="3"/>
  <c r="H95" i="3"/>
  <c r="C94" i="3"/>
  <c r="G93" i="3"/>
  <c r="F90" i="3"/>
  <c r="K89" i="3"/>
  <c r="I89" i="3"/>
  <c r="D88" i="3"/>
  <c r="B88" i="3"/>
  <c r="G84" i="3"/>
  <c r="C84" i="3"/>
  <c r="H83" i="3"/>
  <c r="G82" i="3"/>
  <c r="G81" i="3"/>
  <c r="F78" i="3"/>
  <c r="K77" i="3"/>
  <c r="J77" i="3"/>
  <c r="F76" i="3"/>
  <c r="D76" i="3"/>
  <c r="C73" i="3"/>
  <c r="K72" i="3"/>
  <c r="H72" i="3"/>
  <c r="F71" i="3"/>
  <c r="I70" i="3"/>
  <c r="E68" i="3"/>
  <c r="I67" i="3"/>
  <c r="G67" i="3"/>
  <c r="C66" i="3"/>
  <c r="K65" i="3"/>
  <c r="D63" i="3"/>
  <c r="B63" i="3"/>
  <c r="K62" i="3"/>
  <c r="H61" i="3"/>
  <c r="D61" i="3"/>
  <c r="H58" i="3"/>
  <c r="K57" i="3"/>
  <c r="H57" i="3"/>
  <c r="F56" i="3"/>
  <c r="C56" i="3"/>
  <c r="F53" i="3"/>
  <c r="C53" i="3"/>
  <c r="K52" i="3"/>
  <c r="H51" i="3"/>
  <c r="F51" i="3"/>
  <c r="I48" i="3"/>
  <c r="F48" i="3"/>
  <c r="J47" i="3"/>
  <c r="K46" i="3"/>
  <c r="D46" i="3"/>
  <c r="H43" i="3"/>
  <c r="D43" i="3"/>
  <c r="C43" i="3"/>
  <c r="J41" i="3"/>
  <c r="H41" i="3"/>
  <c r="K38" i="3"/>
  <c r="G38" i="3"/>
  <c r="E38" i="3"/>
  <c r="C37" i="3"/>
  <c r="G36" i="3"/>
  <c r="C34" i="3"/>
  <c r="E33" i="3"/>
  <c r="D33" i="3"/>
  <c r="K31" i="3"/>
  <c r="I31" i="3"/>
  <c r="F29" i="3"/>
  <c r="C29" i="3"/>
  <c r="K28" i="3"/>
  <c r="D28" i="3"/>
  <c r="B28" i="3"/>
  <c r="D26" i="3"/>
  <c r="B26" i="3"/>
  <c r="K25" i="3"/>
  <c r="C25" i="3"/>
  <c r="J24" i="3"/>
  <c r="D23" i="3"/>
  <c r="J22" i="3"/>
  <c r="I22" i="3"/>
  <c r="B22" i="3"/>
  <c r="H21" i="3"/>
  <c r="B20" i="3"/>
  <c r="J19" i="3"/>
  <c r="I19" i="3"/>
  <c r="J18" i="3"/>
  <c r="H18" i="3"/>
  <c r="C17" i="3"/>
  <c r="J16" i="3"/>
  <c r="I16" i="3"/>
  <c r="H16" i="3"/>
  <c r="D16" i="3"/>
  <c r="I14" i="3"/>
  <c r="B14" i="3"/>
  <c r="J13" i="3"/>
  <c r="I13" i="3"/>
  <c r="H13" i="3"/>
  <c r="K11" i="3"/>
  <c r="H11" i="3"/>
  <c r="C11" i="3"/>
  <c r="J10" i="3"/>
  <c r="I10" i="3"/>
  <c r="C9" i="3"/>
  <c r="K8" i="3"/>
  <c r="J8" i="3"/>
  <c r="F8" i="3"/>
  <c r="B8" i="3"/>
  <c r="G6" i="3"/>
  <c r="K5" i="3"/>
  <c r="J5" i="3"/>
  <c r="I5" i="3"/>
  <c r="H5" i="3"/>
  <c r="D4" i="3"/>
  <c r="F3" i="3"/>
  <c r="D3" i="3"/>
  <c r="C3" i="3"/>
  <c r="B3" i="3"/>
  <c r="A2" i="3" a="1"/>
  <c r="E237" i="3" s="1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K1" i="2"/>
  <c r="J1" i="2"/>
  <c r="I1" i="2"/>
  <c r="H1" i="2"/>
  <c r="G1" i="2"/>
  <c r="F1" i="2"/>
  <c r="E1" i="2"/>
  <c r="D1" i="2"/>
  <c r="C1" i="2"/>
  <c r="B1" i="2"/>
  <c r="G2991" i="1"/>
  <c r="D2991" i="1"/>
  <c r="E2991" i="1" s="1"/>
  <c r="G2990" i="1"/>
  <c r="F2990" i="1"/>
  <c r="E2990" i="1"/>
  <c r="D2990" i="1"/>
  <c r="G2989" i="1"/>
  <c r="D2989" i="1"/>
  <c r="F2989" i="1" s="1"/>
  <c r="G2988" i="1"/>
  <c r="F2988" i="1"/>
  <c r="D2988" i="1"/>
  <c r="E2988" i="1" s="1"/>
  <c r="G2987" i="1"/>
  <c r="F2987" i="1"/>
  <c r="E2987" i="1"/>
  <c r="D2987" i="1"/>
  <c r="G2986" i="1"/>
  <c r="D2986" i="1"/>
  <c r="F2986" i="1" s="1"/>
  <c r="G2985" i="1"/>
  <c r="D2985" i="1"/>
  <c r="E2985" i="1" s="1"/>
  <c r="G2984" i="1"/>
  <c r="F2984" i="1"/>
  <c r="E2984" i="1"/>
  <c r="D2984" i="1"/>
  <c r="G2983" i="1"/>
  <c r="F2983" i="1"/>
  <c r="D2983" i="1"/>
  <c r="E2983" i="1" s="1"/>
  <c r="G2982" i="1"/>
  <c r="D2982" i="1"/>
  <c r="E2982" i="1" s="1"/>
  <c r="G2981" i="1"/>
  <c r="F2981" i="1"/>
  <c r="E2981" i="1"/>
  <c r="D2981" i="1"/>
  <c r="G2980" i="1"/>
  <c r="F2980" i="1"/>
  <c r="E2980" i="1"/>
  <c r="D2980" i="1"/>
  <c r="G2979" i="1"/>
  <c r="D2979" i="1"/>
  <c r="E2979" i="1" s="1"/>
  <c r="G2978" i="1"/>
  <c r="F2978" i="1"/>
  <c r="E2978" i="1"/>
  <c r="D2978" i="1"/>
  <c r="G2977" i="1"/>
  <c r="D2977" i="1"/>
  <c r="E2977" i="1" s="1"/>
  <c r="G2976" i="1"/>
  <c r="F2976" i="1"/>
  <c r="D2976" i="1"/>
  <c r="E2976" i="1" s="1"/>
  <c r="G2975" i="1"/>
  <c r="F2975" i="1"/>
  <c r="E2975" i="1"/>
  <c r="D2975" i="1"/>
  <c r="G2974" i="1"/>
  <c r="F2974" i="1"/>
  <c r="E2974" i="1"/>
  <c r="D2974" i="1"/>
  <c r="G2973" i="1"/>
  <c r="D2973" i="1"/>
  <c r="E2973" i="1" s="1"/>
  <c r="G2972" i="1"/>
  <c r="F2972" i="1"/>
  <c r="E2972" i="1"/>
  <c r="D2972" i="1"/>
  <c r="B2971" i="1" a="1"/>
  <c r="B2971" i="1" s="1"/>
  <c r="G2971" i="1" s="1"/>
  <c r="B2970" i="1"/>
  <c r="B2970" i="1" a="1"/>
  <c r="B2969" i="1" a="1"/>
  <c r="B2969" i="1" s="1"/>
  <c r="G2968" i="1"/>
  <c r="B2968" i="1"/>
  <c r="B2968" i="1" a="1"/>
  <c r="B2967" i="1" a="1"/>
  <c r="B2967" i="1" s="1"/>
  <c r="B2966" i="1"/>
  <c r="B2966" i="1" a="1"/>
  <c r="B2965" i="1" a="1"/>
  <c r="B2965" i="1" s="1"/>
  <c r="G2964" i="1"/>
  <c r="B2964" i="1"/>
  <c r="B2964" i="1" a="1"/>
  <c r="G2963" i="1"/>
  <c r="B2963" i="1"/>
  <c r="B2963" i="1" a="1"/>
  <c r="G2962" i="1"/>
  <c r="B2962" i="1"/>
  <c r="B2962" i="1" a="1"/>
  <c r="B2961" i="1" a="1"/>
  <c r="B2961" i="1" s="1"/>
  <c r="G2961" i="1" s="1"/>
  <c r="G2960" i="1"/>
  <c r="B2960" i="1"/>
  <c r="B2960" i="1" a="1"/>
  <c r="B2959" i="1" a="1"/>
  <c r="B2959" i="1" s="1"/>
  <c r="G2959" i="1" s="1"/>
  <c r="B2958" i="1"/>
  <c r="G2958" i="1" s="1"/>
  <c r="B2958" i="1" a="1"/>
  <c r="B2957" i="1"/>
  <c r="B2957" i="1" a="1"/>
  <c r="G2956" i="1"/>
  <c r="B2956" i="1"/>
  <c r="B2956" i="1" a="1"/>
  <c r="B2955" i="1" a="1"/>
  <c r="B2955" i="1" s="1"/>
  <c r="G2954" i="1"/>
  <c r="B2954" i="1"/>
  <c r="B2954" i="1" a="1"/>
  <c r="B2953" i="1" a="1"/>
  <c r="B2953" i="1" s="1"/>
  <c r="B2952" i="1"/>
  <c r="B2952" i="1" a="1"/>
  <c r="B2951" i="1"/>
  <c r="B2951" i="1" a="1"/>
  <c r="A2951" i="1" a="1"/>
  <c r="A2951" i="1" s="1"/>
  <c r="E2951" i="1" s="1"/>
  <c r="B2950" i="1"/>
  <c r="B2950" i="1" a="1"/>
  <c r="A2950" i="1" a="1"/>
  <c r="A2950" i="1" s="1"/>
  <c r="B2949" i="1" a="1"/>
  <c r="B2949" i="1" s="1"/>
  <c r="A2949" i="1" a="1"/>
  <c r="A2949" i="1" s="1"/>
  <c r="B2948" i="1"/>
  <c r="B2948" i="1" a="1"/>
  <c r="A2948" i="1" a="1"/>
  <c r="A2948" i="1" s="1"/>
  <c r="B2947" i="1"/>
  <c r="B2947" i="1" a="1"/>
  <c r="A2947" i="1" a="1"/>
  <c r="A2947" i="1" s="1"/>
  <c r="G2947" i="1" s="1"/>
  <c r="B2946" i="1"/>
  <c r="B2946" i="1" a="1"/>
  <c r="A2946" i="1" a="1"/>
  <c r="A2946" i="1" s="1"/>
  <c r="B2945" i="1" a="1"/>
  <c r="B2945" i="1" s="1"/>
  <c r="A2945" i="1" a="1"/>
  <c r="A2945" i="1" s="1"/>
  <c r="B2944" i="1" a="1"/>
  <c r="B2944" i="1" s="1"/>
  <c r="A2944" i="1" a="1"/>
  <c r="A2944" i="1" s="1"/>
  <c r="B2943" i="1"/>
  <c r="B2943" i="1" a="1"/>
  <c r="A2943" i="1" a="1"/>
  <c r="A2943" i="1" s="1"/>
  <c r="B2942" i="1" a="1"/>
  <c r="B2942" i="1" s="1"/>
  <c r="A2942" i="1" a="1"/>
  <c r="A2942" i="1" s="1"/>
  <c r="B2941" i="1" a="1"/>
  <c r="B2941" i="1" s="1"/>
  <c r="A2941" i="1" a="1"/>
  <c r="A2941" i="1" s="1"/>
  <c r="B2940" i="1"/>
  <c r="B2940" i="1" a="1"/>
  <c r="A2940" i="1" a="1"/>
  <c r="A2940" i="1" s="1"/>
  <c r="C2940" i="1" s="1"/>
  <c r="B2939" i="1"/>
  <c r="B2939" i="1" a="1"/>
  <c r="A2939" i="1" a="1"/>
  <c r="A2939" i="1" s="1"/>
  <c r="B2938" i="1" a="1"/>
  <c r="B2938" i="1" s="1"/>
  <c r="A2938" i="1" a="1"/>
  <c r="A2938" i="1" s="1"/>
  <c r="B2937" i="1" a="1"/>
  <c r="B2937" i="1" s="1"/>
  <c r="A2937" i="1" a="1"/>
  <c r="A2937" i="1" s="1"/>
  <c r="B2936" i="1"/>
  <c r="B2936" i="1" a="1"/>
  <c r="A2936" i="1" a="1"/>
  <c r="A2936" i="1" s="1"/>
  <c r="B2935" i="1"/>
  <c r="B2935" i="1" a="1"/>
  <c r="A2935" i="1" a="1"/>
  <c r="A2935" i="1" s="1"/>
  <c r="E2935" i="1" s="1"/>
  <c r="B2934" i="1"/>
  <c r="B2934" i="1" a="1"/>
  <c r="A2934" i="1" a="1"/>
  <c r="A2934" i="1" s="1"/>
  <c r="G2934" i="1" s="1"/>
  <c r="B2933" i="1" a="1"/>
  <c r="B2933" i="1" s="1"/>
  <c r="A2933" i="1" a="1"/>
  <c r="A2933" i="1" s="1"/>
  <c r="C2933" i="1" s="1"/>
  <c r="B2932" i="1"/>
  <c r="B2932" i="1" a="1"/>
  <c r="A2932" i="1" a="1"/>
  <c r="A2932" i="1" s="1"/>
  <c r="C2932" i="1" s="1"/>
  <c r="D2932" i="1" s="1"/>
  <c r="B2931" i="1"/>
  <c r="B2931" i="1" a="1"/>
  <c r="A2931" i="1" a="1"/>
  <c r="A2931" i="1" s="1"/>
  <c r="B2930" i="1"/>
  <c r="B2930" i="1" a="1"/>
  <c r="A2930" i="1"/>
  <c r="A2930" i="1" a="1"/>
  <c r="E2929" i="1"/>
  <c r="C2929" i="1"/>
  <c r="D2929" i="1" s="1"/>
  <c r="F2929" i="1" s="1"/>
  <c r="B2929" i="1" a="1"/>
  <c r="B2929" i="1" s="1"/>
  <c r="A2929" i="1" a="1"/>
  <c r="A2929" i="1" s="1"/>
  <c r="G2929" i="1" s="1"/>
  <c r="B2928" i="1" a="1"/>
  <c r="B2928" i="1" s="1"/>
  <c r="A2928" i="1"/>
  <c r="C2928" i="1" s="1"/>
  <c r="A2928" i="1" a="1"/>
  <c r="B2927" i="1"/>
  <c r="B2927" i="1" a="1"/>
  <c r="A2927" i="1" a="1"/>
  <c r="A2927" i="1" s="1"/>
  <c r="B2926" i="1"/>
  <c r="B2926" i="1" a="1"/>
  <c r="A2926" i="1" a="1"/>
  <c r="A2926" i="1" s="1"/>
  <c r="B2925" i="1" a="1"/>
  <c r="B2925" i="1" s="1"/>
  <c r="A2925" i="1" a="1"/>
  <c r="A2925" i="1" s="1"/>
  <c r="B2924" i="1"/>
  <c r="B2924" i="1" a="1"/>
  <c r="A2924" i="1" a="1"/>
  <c r="A2924" i="1" s="1"/>
  <c r="B2923" i="1"/>
  <c r="B2923" i="1" a="1"/>
  <c r="A2923" i="1" a="1"/>
  <c r="A2923" i="1" s="1"/>
  <c r="B2922" i="1" a="1"/>
  <c r="B2922" i="1" s="1"/>
  <c r="A2922" i="1" a="1"/>
  <c r="A2922" i="1" s="1"/>
  <c r="B2921" i="1" a="1"/>
  <c r="B2921" i="1" s="1"/>
  <c r="A2921" i="1" a="1"/>
  <c r="A2921" i="1" s="1"/>
  <c r="B2920" i="1" a="1"/>
  <c r="B2920" i="1" s="1"/>
  <c r="A2920" i="1" a="1"/>
  <c r="A2920" i="1" s="1"/>
  <c r="B2919" i="1"/>
  <c r="B2919" i="1" a="1"/>
  <c r="A2919" i="1"/>
  <c r="C2919" i="1" s="1"/>
  <c r="A2919" i="1" a="1"/>
  <c r="B2918" i="1" a="1"/>
  <c r="B2918" i="1" s="1"/>
  <c r="A2918" i="1" a="1"/>
  <c r="A2918" i="1" s="1"/>
  <c r="B2917" i="1" a="1"/>
  <c r="B2917" i="1" s="1"/>
  <c r="A2917" i="1" a="1"/>
  <c r="A2917" i="1" s="1"/>
  <c r="C2917" i="1" s="1"/>
  <c r="D2917" i="1" s="1"/>
  <c r="B2916" i="1" a="1"/>
  <c r="B2916" i="1" s="1"/>
  <c r="A2916" i="1" a="1"/>
  <c r="A2916" i="1" s="1"/>
  <c r="C2916" i="1" s="1"/>
  <c r="B2915" i="1" a="1"/>
  <c r="B2915" i="1" s="1"/>
  <c r="A2915" i="1" a="1"/>
  <c r="A2915" i="1" s="1"/>
  <c r="B2914" i="1" a="1"/>
  <c r="B2914" i="1" s="1"/>
  <c r="A2914" i="1"/>
  <c r="G2914" i="1" s="1"/>
  <c r="A2914" i="1" a="1"/>
  <c r="B2913" i="1" a="1"/>
  <c r="B2913" i="1" s="1"/>
  <c r="A2913" i="1" a="1"/>
  <c r="A2913" i="1" s="1"/>
  <c r="G2913" i="1" s="1"/>
  <c r="B2912" i="1" a="1"/>
  <c r="B2912" i="1" s="1"/>
  <c r="A2912" i="1" a="1"/>
  <c r="A2912" i="1" s="1"/>
  <c r="B2911" i="1" a="1"/>
  <c r="B2911" i="1" s="1"/>
  <c r="A2911" i="1" a="1"/>
  <c r="A2911" i="1" s="1"/>
  <c r="B2910" i="1" a="1"/>
  <c r="B2910" i="1" s="1"/>
  <c r="A2910" i="1" a="1"/>
  <c r="A2910" i="1" s="1"/>
  <c r="B2909" i="1" a="1"/>
  <c r="B2909" i="1" s="1"/>
  <c r="A2909" i="1" a="1"/>
  <c r="A2909" i="1" s="1"/>
  <c r="B2908" i="1" a="1"/>
  <c r="B2908" i="1" s="1"/>
  <c r="A2908" i="1"/>
  <c r="G2908" i="1" s="1"/>
  <c r="A2908" i="1" a="1"/>
  <c r="B2907" i="1"/>
  <c r="B2907" i="1" a="1"/>
  <c r="A2907" i="1"/>
  <c r="A2907" i="1" a="1"/>
  <c r="B2906" i="1"/>
  <c r="B2906" i="1" a="1"/>
  <c r="A2906" i="1" a="1"/>
  <c r="A2906" i="1" s="1"/>
  <c r="B2905" i="1" a="1"/>
  <c r="B2905" i="1" s="1"/>
  <c r="A2905" i="1" a="1"/>
  <c r="A2905" i="1" s="1"/>
  <c r="G2905" i="1" s="1"/>
  <c r="B2904" i="1" a="1"/>
  <c r="B2904" i="1" s="1"/>
  <c r="A2904" i="1" a="1"/>
  <c r="A2904" i="1" s="1"/>
  <c r="E2904" i="1" s="1"/>
  <c r="B2903" i="1" a="1"/>
  <c r="B2903" i="1" s="1"/>
  <c r="A2903" i="1"/>
  <c r="C2903" i="1" s="1"/>
  <c r="D2903" i="1" s="1"/>
  <c r="A2903" i="1" a="1"/>
  <c r="B2902" i="1"/>
  <c r="B2902" i="1" a="1"/>
  <c r="A2902" i="1" a="1"/>
  <c r="A2902" i="1" s="1"/>
  <c r="E2902" i="1" s="1"/>
  <c r="B2901" i="1" a="1"/>
  <c r="B2901" i="1" s="1"/>
  <c r="A2901" i="1" a="1"/>
  <c r="A2901" i="1" s="1"/>
  <c r="B2900" i="1" a="1"/>
  <c r="B2900" i="1" s="1"/>
  <c r="A2900" i="1" a="1"/>
  <c r="A2900" i="1" s="1"/>
  <c r="C2900" i="1" s="1"/>
  <c r="D2900" i="1" s="1"/>
  <c r="B2899" i="1" a="1"/>
  <c r="B2899" i="1" s="1"/>
  <c r="A2899" i="1"/>
  <c r="A2899" i="1" a="1"/>
  <c r="B2898" i="1" a="1"/>
  <c r="B2898" i="1" s="1"/>
  <c r="A2898" i="1"/>
  <c r="A2898" i="1" a="1"/>
  <c r="B2897" i="1" a="1"/>
  <c r="B2897" i="1" s="1"/>
  <c r="A2897" i="1" a="1"/>
  <c r="A2897" i="1" s="1"/>
  <c r="B2896" i="1" a="1"/>
  <c r="B2896" i="1" s="1"/>
  <c r="A2896" i="1" a="1"/>
  <c r="A2896" i="1" s="1"/>
  <c r="C2896" i="1" s="1"/>
  <c r="B2895" i="1"/>
  <c r="B2895" i="1" a="1"/>
  <c r="A2895" i="1" a="1"/>
  <c r="A2895" i="1" s="1"/>
  <c r="C2895" i="1" s="1"/>
  <c r="D2895" i="1" s="1"/>
  <c r="B2894" i="1"/>
  <c r="B2894" i="1" a="1"/>
  <c r="A2894" i="1" a="1"/>
  <c r="A2894" i="1" s="1"/>
  <c r="G2894" i="1" s="1"/>
  <c r="B2893" i="1" a="1"/>
  <c r="B2893" i="1" s="1"/>
  <c r="A2893" i="1" a="1"/>
  <c r="A2893" i="1" s="1"/>
  <c r="B2892" i="1" a="1"/>
  <c r="B2892" i="1" s="1"/>
  <c r="A2892" i="1" a="1"/>
  <c r="A2892" i="1" s="1"/>
  <c r="B2891" i="1" a="1"/>
  <c r="B2891" i="1" s="1"/>
  <c r="A2891" i="1" a="1"/>
  <c r="A2891" i="1" s="1"/>
  <c r="B2890" i="1"/>
  <c r="B2890" i="1" a="1"/>
  <c r="A2890" i="1" a="1"/>
  <c r="A2890" i="1" s="1"/>
  <c r="G2890" i="1" s="1"/>
  <c r="B2889" i="1" a="1"/>
  <c r="B2889" i="1" s="1"/>
  <c r="A2889" i="1" a="1"/>
  <c r="A2889" i="1" s="1"/>
  <c r="B2888" i="1"/>
  <c r="B2888" i="1" a="1"/>
  <c r="A2888" i="1" a="1"/>
  <c r="A2888" i="1" s="1"/>
  <c r="B2887" i="1"/>
  <c r="B2887" i="1" a="1"/>
  <c r="A2887" i="1" a="1"/>
  <c r="A2887" i="1" s="1"/>
  <c r="B2886" i="1"/>
  <c r="B2886" i="1" a="1"/>
  <c r="A2886" i="1" a="1"/>
  <c r="A2886" i="1" s="1"/>
  <c r="E2886" i="1" s="1"/>
  <c r="B2885" i="1" a="1"/>
  <c r="B2885" i="1" s="1"/>
  <c r="A2885" i="1"/>
  <c r="E2885" i="1" s="1"/>
  <c r="A2885" i="1" a="1"/>
  <c r="B2884" i="1" a="1"/>
  <c r="B2884" i="1" s="1"/>
  <c r="A2884" i="1"/>
  <c r="E2884" i="1" s="1"/>
  <c r="A2884" i="1" a="1"/>
  <c r="B2883" i="1"/>
  <c r="B2883" i="1" a="1"/>
  <c r="A2883" i="1" a="1"/>
  <c r="A2883" i="1" s="1"/>
  <c r="C2883" i="1" s="1"/>
  <c r="B2882" i="1" a="1"/>
  <c r="B2882" i="1" s="1"/>
  <c r="A2882" i="1" a="1"/>
  <c r="A2882" i="1" s="1"/>
  <c r="B2881" i="1" a="1"/>
  <c r="B2881" i="1" s="1"/>
  <c r="A2881" i="1" a="1"/>
  <c r="A2881" i="1" s="1"/>
  <c r="C2881" i="1" s="1"/>
  <c r="D2881" i="1" s="1"/>
  <c r="B2880" i="1" a="1"/>
  <c r="B2880" i="1" s="1"/>
  <c r="A2880" i="1" a="1"/>
  <c r="A2880" i="1" s="1"/>
  <c r="C2880" i="1" s="1"/>
  <c r="B2879" i="1" a="1"/>
  <c r="B2879" i="1" s="1"/>
  <c r="A2879" i="1" a="1"/>
  <c r="A2879" i="1" s="1"/>
  <c r="B2878" i="1"/>
  <c r="B2878" i="1" a="1"/>
  <c r="A2878" i="1" a="1"/>
  <c r="A2878" i="1" s="1"/>
  <c r="C2878" i="1" s="1"/>
  <c r="D2878" i="1" s="1"/>
  <c r="G2877" i="1"/>
  <c r="B2877" i="1" a="1"/>
  <c r="B2877" i="1" s="1"/>
  <c r="A2877" i="1" a="1"/>
  <c r="A2877" i="1" s="1"/>
  <c r="E2877" i="1" s="1"/>
  <c r="B2876" i="1" a="1"/>
  <c r="B2876" i="1" s="1"/>
  <c r="A2876" i="1"/>
  <c r="C2876" i="1" s="1"/>
  <c r="A2876" i="1" a="1"/>
  <c r="B2875" i="1"/>
  <c r="B2875" i="1" a="1"/>
  <c r="A2875" i="1" a="1"/>
  <c r="A2875" i="1" s="1"/>
  <c r="B2874" i="1"/>
  <c r="B2874" i="1" a="1"/>
  <c r="A2874" i="1" a="1"/>
  <c r="A2874" i="1" s="1"/>
  <c r="B2873" i="1" a="1"/>
  <c r="B2873" i="1" s="1"/>
  <c r="A2873" i="1" a="1"/>
  <c r="A2873" i="1" s="1"/>
  <c r="G2873" i="1" s="1"/>
  <c r="B2872" i="1"/>
  <c r="B2872" i="1" a="1"/>
  <c r="A2872" i="1" a="1"/>
  <c r="A2872" i="1" s="1"/>
  <c r="G2872" i="1" s="1"/>
  <c r="B2871" i="1"/>
  <c r="B2871" i="1" a="1"/>
  <c r="A2871" i="1" a="1"/>
  <c r="A2871" i="1" s="1"/>
  <c r="C2871" i="1" s="1"/>
  <c r="D2871" i="1" s="1"/>
  <c r="B2870" i="1"/>
  <c r="B2870" i="1" a="1"/>
  <c r="A2870" i="1" a="1"/>
  <c r="A2870" i="1" s="1"/>
  <c r="B2869" i="1" a="1"/>
  <c r="B2869" i="1" s="1"/>
  <c r="A2869" i="1" a="1"/>
  <c r="A2869" i="1" s="1"/>
  <c r="G2869" i="1" s="1"/>
  <c r="B2868" i="1" a="1"/>
  <c r="B2868" i="1" s="1"/>
  <c r="A2868" i="1" a="1"/>
  <c r="A2868" i="1" s="1"/>
  <c r="C2868" i="1" s="1"/>
  <c r="B2867" i="1" a="1"/>
  <c r="B2867" i="1" s="1"/>
  <c r="A2867" i="1" a="1"/>
  <c r="A2867" i="1" s="1"/>
  <c r="B2866" i="1"/>
  <c r="B2866" i="1" a="1"/>
  <c r="A2866" i="1" a="1"/>
  <c r="A2866" i="1" s="1"/>
  <c r="B2865" i="1" a="1"/>
  <c r="B2865" i="1" s="1"/>
  <c r="A2865" i="1" a="1"/>
  <c r="A2865" i="1" s="1"/>
  <c r="B2864" i="1" a="1"/>
  <c r="B2864" i="1" s="1"/>
  <c r="A2864" i="1" a="1"/>
  <c r="A2864" i="1" s="1"/>
  <c r="B2863" i="1"/>
  <c r="B2863" i="1" a="1"/>
  <c r="A2863" i="1" a="1"/>
  <c r="A2863" i="1" s="1"/>
  <c r="E2863" i="1" s="1"/>
  <c r="B2862" i="1"/>
  <c r="B2862" i="1" a="1"/>
  <c r="A2862" i="1" a="1"/>
  <c r="A2862" i="1" s="1"/>
  <c r="B2861" i="1" a="1"/>
  <c r="B2861" i="1" s="1"/>
  <c r="A2861" i="1" a="1"/>
  <c r="A2861" i="1" s="1"/>
  <c r="C2861" i="1" s="1"/>
  <c r="D2861" i="1" s="1"/>
  <c r="B2860" i="1" a="1"/>
  <c r="B2860" i="1" s="1"/>
  <c r="A2860" i="1" a="1"/>
  <c r="A2860" i="1" s="1"/>
  <c r="C2860" i="1" s="1"/>
  <c r="B2859" i="1"/>
  <c r="B2859" i="1" a="1"/>
  <c r="A2859" i="1" a="1"/>
  <c r="A2859" i="1" s="1"/>
  <c r="B2858" i="1"/>
  <c r="B2858" i="1" a="1"/>
  <c r="A2858" i="1" a="1"/>
  <c r="A2858" i="1" s="1"/>
  <c r="B2857" i="1" a="1"/>
  <c r="B2857" i="1" s="1"/>
  <c r="A2857" i="1" a="1"/>
  <c r="A2857" i="1" s="1"/>
  <c r="C2857" i="1" s="1"/>
  <c r="E2856" i="1"/>
  <c r="B2856" i="1" a="1"/>
  <c r="B2856" i="1" s="1"/>
  <c r="A2856" i="1" a="1"/>
  <c r="A2856" i="1" s="1"/>
  <c r="C2856" i="1" s="1"/>
  <c r="D2856" i="1" s="1"/>
  <c r="B2855" i="1" a="1"/>
  <c r="B2855" i="1" s="1"/>
  <c r="A2855" i="1" a="1"/>
  <c r="A2855" i="1" s="1"/>
  <c r="B2854" i="1"/>
  <c r="B2854" i="1" a="1"/>
  <c r="A2854" i="1" a="1"/>
  <c r="A2854" i="1" s="1"/>
  <c r="B2853" i="1" a="1"/>
  <c r="B2853" i="1" s="1"/>
  <c r="A2853" i="1" a="1"/>
  <c r="A2853" i="1" s="1"/>
  <c r="E2853" i="1" s="1"/>
  <c r="B2852" i="1" a="1"/>
  <c r="B2852" i="1" s="1"/>
  <c r="G2852" i="1" s="1"/>
  <c r="A2852" i="1"/>
  <c r="E2852" i="1" s="1"/>
  <c r="A2852" i="1" a="1"/>
  <c r="B2851" i="1"/>
  <c r="B2851" i="1" a="1"/>
  <c r="A2851" i="1"/>
  <c r="A2851" i="1" a="1"/>
  <c r="B2850" i="1" a="1"/>
  <c r="B2850" i="1" s="1"/>
  <c r="A2850" i="1" a="1"/>
  <c r="A2850" i="1" s="1"/>
  <c r="B2849" i="1" a="1"/>
  <c r="B2849" i="1" s="1"/>
  <c r="A2849" i="1" a="1"/>
  <c r="A2849" i="1" s="1"/>
  <c r="B2848" i="1"/>
  <c r="B2848" i="1" a="1"/>
  <c r="A2848" i="1" a="1"/>
  <c r="A2848" i="1" s="1"/>
  <c r="C2848" i="1" s="1"/>
  <c r="D2848" i="1" s="1"/>
  <c r="B2847" i="1"/>
  <c r="B2847" i="1" a="1"/>
  <c r="A2847" i="1" a="1"/>
  <c r="A2847" i="1" s="1"/>
  <c r="B2846" i="1"/>
  <c r="B2846" i="1" a="1"/>
  <c r="A2846" i="1" a="1"/>
  <c r="A2846" i="1" s="1"/>
  <c r="G2845" i="1"/>
  <c r="B2845" i="1" a="1"/>
  <c r="B2845" i="1" s="1"/>
  <c r="A2845" i="1" a="1"/>
  <c r="A2845" i="1" s="1"/>
  <c r="E2845" i="1" s="1"/>
  <c r="B2844" i="1" a="1"/>
  <c r="B2844" i="1" s="1"/>
  <c r="A2844" i="1"/>
  <c r="E2844" i="1" s="1"/>
  <c r="A2844" i="1" a="1"/>
  <c r="B2843" i="1"/>
  <c r="B2843" i="1" a="1"/>
  <c r="A2843" i="1" a="1"/>
  <c r="A2843" i="1" s="1"/>
  <c r="G2843" i="1" s="1"/>
  <c r="B2842" i="1"/>
  <c r="B2842" i="1" a="1"/>
  <c r="A2842" i="1"/>
  <c r="A2842" i="1" a="1"/>
  <c r="B2841" i="1" a="1"/>
  <c r="B2841" i="1" s="1"/>
  <c r="A2841" i="1" a="1"/>
  <c r="A2841" i="1" s="1"/>
  <c r="B2840" i="1"/>
  <c r="B2840" i="1" a="1"/>
  <c r="A2840" i="1" a="1"/>
  <c r="A2840" i="1" s="1"/>
  <c r="C2840" i="1" s="1"/>
  <c r="B2839" i="1"/>
  <c r="B2839" i="1" a="1"/>
  <c r="A2839" i="1" a="1"/>
  <c r="A2839" i="1" s="1"/>
  <c r="B2838" i="1"/>
  <c r="B2838" i="1" a="1"/>
  <c r="A2838" i="1" a="1"/>
  <c r="A2838" i="1" s="1"/>
  <c r="B2837" i="1" a="1"/>
  <c r="B2837" i="1" s="1"/>
  <c r="A2837" i="1" a="1"/>
  <c r="A2837" i="1" s="1"/>
  <c r="B2836" i="1" a="1"/>
  <c r="B2836" i="1" s="1"/>
  <c r="A2836" i="1" a="1"/>
  <c r="A2836" i="1" s="1"/>
  <c r="B2835" i="1"/>
  <c r="B2835" i="1" a="1"/>
  <c r="A2835" i="1" a="1"/>
  <c r="A2835" i="1" s="1"/>
  <c r="B2834" i="1"/>
  <c r="B2834" i="1" a="1"/>
  <c r="A2834" i="1" a="1"/>
  <c r="A2834" i="1" s="1"/>
  <c r="B2833" i="1" a="1"/>
  <c r="B2833" i="1" s="1"/>
  <c r="A2833" i="1"/>
  <c r="C2833" i="1" s="1"/>
  <c r="A2833" i="1" a="1"/>
  <c r="B2832" i="1" a="1"/>
  <c r="B2832" i="1" s="1"/>
  <c r="A2832" i="1" a="1"/>
  <c r="A2832" i="1" s="1"/>
  <c r="C2832" i="1" s="1"/>
  <c r="D2832" i="1" s="1"/>
  <c r="B2831" i="1" a="1"/>
  <c r="B2831" i="1" s="1"/>
  <c r="A2831" i="1" a="1"/>
  <c r="A2831" i="1" s="1"/>
  <c r="C2831" i="1" s="1"/>
  <c r="D2831" i="1" s="1"/>
  <c r="B2830" i="1"/>
  <c r="B2830" i="1" a="1"/>
  <c r="A2830" i="1" a="1"/>
  <c r="A2830" i="1" s="1"/>
  <c r="B2829" i="1" a="1"/>
  <c r="B2829" i="1" s="1"/>
  <c r="A2829" i="1" a="1"/>
  <c r="A2829" i="1" s="1"/>
  <c r="B2828" i="1" a="1"/>
  <c r="B2828" i="1" s="1"/>
  <c r="A2828" i="1" a="1"/>
  <c r="A2828" i="1" s="1"/>
  <c r="C2828" i="1" s="1"/>
  <c r="D2828" i="1" s="1"/>
  <c r="B2827" i="1"/>
  <c r="B2827" i="1" a="1"/>
  <c r="A2827" i="1"/>
  <c r="A2827" i="1" a="1"/>
  <c r="B2826" i="1"/>
  <c r="B2826" i="1" a="1"/>
  <c r="A2826" i="1"/>
  <c r="A2826" i="1" a="1"/>
  <c r="B2825" i="1" a="1"/>
  <c r="B2825" i="1" s="1"/>
  <c r="A2825" i="1" a="1"/>
  <c r="A2825" i="1" s="1"/>
  <c r="C2825" i="1" s="1"/>
  <c r="D2825" i="1" s="1"/>
  <c r="B2824" i="1"/>
  <c r="B2824" i="1" a="1"/>
  <c r="A2824" i="1"/>
  <c r="C2824" i="1" s="1"/>
  <c r="A2824" i="1" a="1"/>
  <c r="B2823" i="1"/>
  <c r="B2823" i="1" a="1"/>
  <c r="A2823" i="1" a="1"/>
  <c r="A2823" i="1" s="1"/>
  <c r="B2822" i="1"/>
  <c r="B2822" i="1" a="1"/>
  <c r="A2822" i="1" a="1"/>
  <c r="A2822" i="1" s="1"/>
  <c r="B2821" i="1" a="1"/>
  <c r="B2821" i="1" s="1"/>
  <c r="A2821" i="1" a="1"/>
  <c r="A2821" i="1" s="1"/>
  <c r="B2820" i="1" a="1"/>
  <c r="B2820" i="1" s="1"/>
  <c r="A2820" i="1" a="1"/>
  <c r="A2820" i="1" s="1"/>
  <c r="C2820" i="1" s="1"/>
  <c r="D2820" i="1" s="1"/>
  <c r="B2819" i="1"/>
  <c r="B2819" i="1" a="1"/>
  <c r="A2819" i="1"/>
  <c r="A2819" i="1" a="1"/>
  <c r="B2818" i="1"/>
  <c r="B2818" i="1" a="1"/>
  <c r="A2818" i="1" a="1"/>
  <c r="A2818" i="1" s="1"/>
  <c r="G2817" i="1"/>
  <c r="C2817" i="1"/>
  <c r="D2817" i="1" s="1"/>
  <c r="F2817" i="1" s="1"/>
  <c r="B2817" i="1" a="1"/>
  <c r="B2817" i="1" s="1"/>
  <c r="A2817" i="1" a="1"/>
  <c r="A2817" i="1" s="1"/>
  <c r="E2817" i="1" s="1"/>
  <c r="B2816" i="1" a="1"/>
  <c r="B2816" i="1" s="1"/>
  <c r="A2816" i="1" a="1"/>
  <c r="A2816" i="1" s="1"/>
  <c r="C2816" i="1" s="1"/>
  <c r="E2815" i="1"/>
  <c r="B2815" i="1"/>
  <c r="B2815" i="1" a="1"/>
  <c r="A2815" i="1" a="1"/>
  <c r="A2815" i="1" s="1"/>
  <c r="B2814" i="1"/>
  <c r="B2814" i="1" a="1"/>
  <c r="A2814" i="1"/>
  <c r="C2814" i="1" s="1"/>
  <c r="D2814" i="1" s="1"/>
  <c r="A2814" i="1" a="1"/>
  <c r="B2813" i="1" a="1"/>
  <c r="B2813" i="1" s="1"/>
  <c r="A2813" i="1" a="1"/>
  <c r="A2813" i="1" s="1"/>
  <c r="B2812" i="1" a="1"/>
  <c r="B2812" i="1" s="1"/>
  <c r="A2812" i="1"/>
  <c r="C2812" i="1" s="1"/>
  <c r="A2812" i="1" a="1"/>
  <c r="B2811" i="1"/>
  <c r="B2811" i="1" a="1"/>
  <c r="A2811" i="1" a="1"/>
  <c r="A2811" i="1" s="1"/>
  <c r="B2810" i="1"/>
  <c r="B2810" i="1" a="1"/>
  <c r="A2810" i="1" a="1"/>
  <c r="A2810" i="1" s="1"/>
  <c r="B2809" i="1" a="1"/>
  <c r="B2809" i="1" s="1"/>
  <c r="A2809" i="1" a="1"/>
  <c r="A2809" i="1" s="1"/>
  <c r="C2809" i="1" s="1"/>
  <c r="B2808" i="1" a="1"/>
  <c r="B2808" i="1" s="1"/>
  <c r="A2808" i="1" a="1"/>
  <c r="A2808" i="1" s="1"/>
  <c r="B2807" i="1"/>
  <c r="B2807" i="1" a="1"/>
  <c r="A2807" i="1"/>
  <c r="A2807" i="1" a="1"/>
  <c r="B2806" i="1"/>
  <c r="B2806" i="1" a="1"/>
  <c r="A2806" i="1" a="1"/>
  <c r="A2806" i="1" s="1"/>
  <c r="B2805" i="1" a="1"/>
  <c r="B2805" i="1" s="1"/>
  <c r="A2805" i="1" a="1"/>
  <c r="A2805" i="1" s="1"/>
  <c r="B2804" i="1" a="1"/>
  <c r="B2804" i="1" s="1"/>
  <c r="A2804" i="1"/>
  <c r="C2804" i="1" s="1"/>
  <c r="A2804" i="1" a="1"/>
  <c r="B2803" i="1"/>
  <c r="B2803" i="1" a="1"/>
  <c r="A2803" i="1" a="1"/>
  <c r="A2803" i="1" s="1"/>
  <c r="E2803" i="1" s="1"/>
  <c r="B2802" i="1"/>
  <c r="B2802" i="1" a="1"/>
  <c r="A2802" i="1" a="1"/>
  <c r="A2802" i="1" s="1"/>
  <c r="B2801" i="1" a="1"/>
  <c r="B2801" i="1" s="1"/>
  <c r="A2801" i="1" a="1"/>
  <c r="A2801" i="1" s="1"/>
  <c r="B2800" i="1"/>
  <c r="B2800" i="1" a="1"/>
  <c r="A2800" i="1"/>
  <c r="A2800" i="1" a="1"/>
  <c r="B2799" i="1"/>
  <c r="B2799" i="1" a="1"/>
  <c r="A2799" i="1" a="1"/>
  <c r="A2799" i="1" s="1"/>
  <c r="B2798" i="1"/>
  <c r="B2798" i="1" a="1"/>
  <c r="A2798" i="1" a="1"/>
  <c r="A2798" i="1" s="1"/>
  <c r="B2797" i="1" a="1"/>
  <c r="B2797" i="1" s="1"/>
  <c r="A2797" i="1" a="1"/>
  <c r="A2797" i="1" s="1"/>
  <c r="B2796" i="1" a="1"/>
  <c r="B2796" i="1" s="1"/>
  <c r="A2796" i="1"/>
  <c r="A2796" i="1" a="1"/>
  <c r="B2795" i="1" a="1"/>
  <c r="B2795" i="1" s="1"/>
  <c r="A2795" i="1" a="1"/>
  <c r="A2795" i="1" s="1"/>
  <c r="B2794" i="1"/>
  <c r="B2794" i="1" a="1"/>
  <c r="A2794" i="1" a="1"/>
  <c r="A2794" i="1" s="1"/>
  <c r="B2793" i="1" a="1"/>
  <c r="B2793" i="1" s="1"/>
  <c r="A2793" i="1" a="1"/>
  <c r="A2793" i="1" s="1"/>
  <c r="B2792" i="1"/>
  <c r="B2792" i="1" a="1"/>
  <c r="A2792" i="1" a="1"/>
  <c r="A2792" i="1" s="1"/>
  <c r="B2791" i="1"/>
  <c r="B2791" i="1" a="1"/>
  <c r="A2791" i="1" a="1"/>
  <c r="A2791" i="1" s="1"/>
  <c r="B2790" i="1"/>
  <c r="B2790" i="1" a="1"/>
  <c r="A2790" i="1" a="1"/>
  <c r="A2790" i="1" s="1"/>
  <c r="B2789" i="1" a="1"/>
  <c r="B2789" i="1" s="1"/>
  <c r="A2789" i="1" a="1"/>
  <c r="A2789" i="1" s="1"/>
  <c r="G2789" i="1" s="1"/>
  <c r="B2788" i="1" a="1"/>
  <c r="B2788" i="1" s="1"/>
  <c r="A2788" i="1"/>
  <c r="A2788" i="1" a="1"/>
  <c r="B2787" i="1"/>
  <c r="B2787" i="1" a="1"/>
  <c r="A2787" i="1"/>
  <c r="A2787" i="1" a="1"/>
  <c r="B2786" i="1" a="1"/>
  <c r="B2786" i="1" s="1"/>
  <c r="A2786" i="1" a="1"/>
  <c r="A2786" i="1" s="1"/>
  <c r="B2785" i="1" a="1"/>
  <c r="B2785" i="1" s="1"/>
  <c r="A2785" i="1" a="1"/>
  <c r="A2785" i="1" s="1"/>
  <c r="C2785" i="1" s="1"/>
  <c r="B2784" i="1" a="1"/>
  <c r="B2784" i="1" s="1"/>
  <c r="A2784" i="1" a="1"/>
  <c r="A2784" i="1" s="1"/>
  <c r="C2784" i="1" s="1"/>
  <c r="B2783" i="1" a="1"/>
  <c r="B2783" i="1" s="1"/>
  <c r="A2783" i="1" a="1"/>
  <c r="A2783" i="1" s="1"/>
  <c r="C2783" i="1" s="1"/>
  <c r="D2783" i="1" s="1"/>
  <c r="B2782" i="1"/>
  <c r="B2782" i="1" a="1"/>
  <c r="A2782" i="1" a="1"/>
  <c r="A2782" i="1" s="1"/>
  <c r="C2782" i="1" s="1"/>
  <c r="D2782" i="1" s="1"/>
  <c r="B2781" i="1" a="1"/>
  <c r="B2781" i="1" s="1"/>
  <c r="A2781" i="1" a="1"/>
  <c r="A2781" i="1" s="1"/>
  <c r="B2780" i="1" a="1"/>
  <c r="B2780" i="1" s="1"/>
  <c r="A2780" i="1" a="1"/>
  <c r="A2780" i="1" s="1"/>
  <c r="G2780" i="1" s="1"/>
  <c r="B2779" i="1" a="1"/>
  <c r="B2779" i="1" s="1"/>
  <c r="A2779" i="1" a="1"/>
  <c r="A2779" i="1" s="1"/>
  <c r="B2778" i="1"/>
  <c r="B2778" i="1" a="1"/>
  <c r="A2778" i="1" a="1"/>
  <c r="A2778" i="1" s="1"/>
  <c r="B2777" i="1" a="1"/>
  <c r="B2777" i="1" s="1"/>
  <c r="A2777" i="1" a="1"/>
  <c r="A2777" i="1" s="1"/>
  <c r="E2777" i="1" s="1"/>
  <c r="B2776" i="1"/>
  <c r="B2776" i="1" a="1"/>
  <c r="A2776" i="1"/>
  <c r="A2776" i="1" a="1"/>
  <c r="C2775" i="1"/>
  <c r="D2775" i="1" s="1"/>
  <c r="B2775" i="1"/>
  <c r="B2775" i="1" a="1"/>
  <c r="A2775" i="1" a="1"/>
  <c r="A2775" i="1" s="1"/>
  <c r="B2774" i="1"/>
  <c r="B2774" i="1" a="1"/>
  <c r="A2774" i="1" a="1"/>
  <c r="A2774" i="1" s="1"/>
  <c r="B2773" i="1" a="1"/>
  <c r="B2773" i="1" s="1"/>
  <c r="A2773" i="1" a="1"/>
  <c r="A2773" i="1" s="1"/>
  <c r="B2772" i="1" a="1"/>
  <c r="B2772" i="1" s="1"/>
  <c r="A2772" i="1" a="1"/>
  <c r="A2772" i="1" s="1"/>
  <c r="B2771" i="1" a="1"/>
  <c r="B2771" i="1" s="1"/>
  <c r="A2771" i="1"/>
  <c r="A2771" i="1" a="1"/>
  <c r="B2770" i="1"/>
  <c r="B2770" i="1" a="1"/>
  <c r="A2770" i="1" a="1"/>
  <c r="A2770" i="1" s="1"/>
  <c r="B2769" i="1" a="1"/>
  <c r="B2769" i="1" s="1"/>
  <c r="A2769" i="1" a="1"/>
  <c r="A2769" i="1" s="1"/>
  <c r="G2769" i="1" s="1"/>
  <c r="B2768" i="1" a="1"/>
  <c r="B2768" i="1" s="1"/>
  <c r="A2768" i="1"/>
  <c r="C2768" i="1" s="1"/>
  <c r="A2768" i="1" a="1"/>
  <c r="B2767" i="1"/>
  <c r="B2767" i="1" a="1"/>
  <c r="A2767" i="1" a="1"/>
  <c r="A2767" i="1" s="1"/>
  <c r="E2767" i="1" s="1"/>
  <c r="B2766" i="1"/>
  <c r="B2766" i="1" a="1"/>
  <c r="A2766" i="1"/>
  <c r="A2766" i="1" a="1"/>
  <c r="B2765" i="1" a="1"/>
  <c r="B2765" i="1" s="1"/>
  <c r="A2765" i="1" a="1"/>
  <c r="A2765" i="1" s="1"/>
  <c r="E2765" i="1" s="1"/>
  <c r="B2764" i="1" a="1"/>
  <c r="B2764" i="1" s="1"/>
  <c r="A2764" i="1" a="1"/>
  <c r="A2764" i="1" s="1"/>
  <c r="B2763" i="1"/>
  <c r="B2763" i="1" a="1"/>
  <c r="A2763" i="1"/>
  <c r="A2763" i="1" a="1"/>
  <c r="B2762" i="1" a="1"/>
  <c r="B2762" i="1" s="1"/>
  <c r="A2762" i="1"/>
  <c r="A2762" i="1" a="1"/>
  <c r="B2761" i="1" a="1"/>
  <c r="B2761" i="1" s="1"/>
  <c r="A2761" i="1" a="1"/>
  <c r="A2761" i="1" s="1"/>
  <c r="B2760" i="1" a="1"/>
  <c r="B2760" i="1" s="1"/>
  <c r="A2760" i="1" a="1"/>
  <c r="A2760" i="1" s="1"/>
  <c r="C2760" i="1" s="1"/>
  <c r="D2760" i="1" s="1"/>
  <c r="B2759" i="1"/>
  <c r="B2759" i="1" a="1"/>
  <c r="A2759" i="1" a="1"/>
  <c r="A2759" i="1" s="1"/>
  <c r="B2758" i="1"/>
  <c r="B2758" i="1" a="1"/>
  <c r="A2758" i="1"/>
  <c r="A2758" i="1" a="1"/>
  <c r="B2757" i="1" a="1"/>
  <c r="B2757" i="1" s="1"/>
  <c r="A2757" i="1" a="1"/>
  <c r="A2757" i="1" s="1"/>
  <c r="B2756" i="1" a="1"/>
  <c r="B2756" i="1" s="1"/>
  <c r="A2756" i="1"/>
  <c r="A2756" i="1" a="1"/>
  <c r="B2755" i="1" a="1"/>
  <c r="B2755" i="1" s="1"/>
  <c r="A2755" i="1" a="1"/>
  <c r="A2755" i="1" s="1"/>
  <c r="B2754" i="1"/>
  <c r="B2754" i="1" a="1"/>
  <c r="A2754" i="1"/>
  <c r="A2754" i="1" a="1"/>
  <c r="B2753" i="1" a="1"/>
  <c r="B2753" i="1" s="1"/>
  <c r="A2753" i="1"/>
  <c r="C2753" i="1" s="1"/>
  <c r="D2753" i="1" s="1"/>
  <c r="A2753" i="1" a="1"/>
  <c r="B2752" i="1"/>
  <c r="B2752" i="1" a="1"/>
  <c r="A2752" i="1" a="1"/>
  <c r="A2752" i="1" s="1"/>
  <c r="C2752" i="1" s="1"/>
  <c r="D2752" i="1" s="1"/>
  <c r="B2751" i="1"/>
  <c r="B2751" i="1" a="1"/>
  <c r="A2751" i="1"/>
  <c r="E2751" i="1" s="1"/>
  <c r="A2751" i="1" a="1"/>
  <c r="B2750" i="1" a="1"/>
  <c r="B2750" i="1" s="1"/>
  <c r="A2750" i="1" a="1"/>
  <c r="A2750" i="1" s="1"/>
  <c r="B2749" i="1" a="1"/>
  <c r="B2749" i="1" s="1"/>
  <c r="A2749" i="1" a="1"/>
  <c r="A2749" i="1" s="1"/>
  <c r="B2748" i="1" a="1"/>
  <c r="B2748" i="1" s="1"/>
  <c r="A2748" i="1" a="1"/>
  <c r="A2748" i="1" s="1"/>
  <c r="G2748" i="1" s="1"/>
  <c r="B2747" i="1" a="1"/>
  <c r="B2747" i="1" s="1"/>
  <c r="A2747" i="1" a="1"/>
  <c r="A2747" i="1" s="1"/>
  <c r="G2747" i="1" s="1"/>
  <c r="B2746" i="1"/>
  <c r="B2746" i="1" a="1"/>
  <c r="A2746" i="1" a="1"/>
  <c r="A2746" i="1" s="1"/>
  <c r="B2745" i="1" a="1"/>
  <c r="B2745" i="1" s="1"/>
  <c r="A2745" i="1" a="1"/>
  <c r="A2745" i="1" s="1"/>
  <c r="G2745" i="1" s="1"/>
  <c r="C2744" i="1"/>
  <c r="D2744" i="1" s="1"/>
  <c r="B2744" i="1"/>
  <c r="B2744" i="1" a="1"/>
  <c r="A2744" i="1" a="1"/>
  <c r="A2744" i="1" s="1"/>
  <c r="B2743" i="1" a="1"/>
  <c r="B2743" i="1" s="1"/>
  <c r="A2743" i="1" a="1"/>
  <c r="A2743" i="1" s="1"/>
  <c r="G2743" i="1" s="1"/>
  <c r="B2742" i="1"/>
  <c r="B2742" i="1" a="1"/>
  <c r="A2742" i="1" a="1"/>
  <c r="A2742" i="1" s="1"/>
  <c r="B2741" i="1" a="1"/>
  <c r="B2741" i="1" s="1"/>
  <c r="A2741" i="1" a="1"/>
  <c r="A2741" i="1" s="1"/>
  <c r="E2741" i="1" s="1"/>
  <c r="G2740" i="1"/>
  <c r="B2740" i="1" a="1"/>
  <c r="B2740" i="1" s="1"/>
  <c r="A2740" i="1"/>
  <c r="C2740" i="1" s="1"/>
  <c r="A2740" i="1" a="1"/>
  <c r="B2739" i="1"/>
  <c r="B2739" i="1" a="1"/>
  <c r="A2739" i="1" a="1"/>
  <c r="A2739" i="1" s="1"/>
  <c r="B2738" i="1" a="1"/>
  <c r="B2738" i="1" s="1"/>
  <c r="A2738" i="1" a="1"/>
  <c r="A2738" i="1" s="1"/>
  <c r="B2737" i="1" a="1"/>
  <c r="B2737" i="1" s="1"/>
  <c r="A2737" i="1" a="1"/>
  <c r="A2737" i="1" s="1"/>
  <c r="C2737" i="1" s="1"/>
  <c r="B2736" i="1"/>
  <c r="B2736" i="1" a="1"/>
  <c r="A2736" i="1" a="1"/>
  <c r="A2736" i="1" s="1"/>
  <c r="C2736" i="1" s="1"/>
  <c r="D2736" i="1" s="1"/>
  <c r="B2735" i="1" a="1"/>
  <c r="B2735" i="1" s="1"/>
  <c r="A2735" i="1"/>
  <c r="A2735" i="1" a="1"/>
  <c r="B2734" i="1"/>
  <c r="B2734" i="1" a="1"/>
  <c r="A2734" i="1" a="1"/>
  <c r="A2734" i="1" s="1"/>
  <c r="C2733" i="1"/>
  <c r="B2733" i="1" a="1"/>
  <c r="B2733" i="1" s="1"/>
  <c r="A2733" i="1" a="1"/>
  <c r="A2733" i="1" s="1"/>
  <c r="B2732" i="1" a="1"/>
  <c r="B2732" i="1" s="1"/>
  <c r="A2732" i="1" a="1"/>
  <c r="A2732" i="1" s="1"/>
  <c r="G2732" i="1" s="1"/>
  <c r="B2731" i="1" a="1"/>
  <c r="B2731" i="1" s="1"/>
  <c r="A2731" i="1" a="1"/>
  <c r="A2731" i="1" s="1"/>
  <c r="B2730" i="1"/>
  <c r="B2730" i="1" a="1"/>
  <c r="A2730" i="1" a="1"/>
  <c r="A2730" i="1" s="1"/>
  <c r="C2730" i="1" s="1"/>
  <c r="B2729" i="1" a="1"/>
  <c r="B2729" i="1" s="1"/>
  <c r="A2729" i="1" a="1"/>
  <c r="A2729" i="1" s="1"/>
  <c r="B2728" i="1"/>
  <c r="B2728" i="1" a="1"/>
  <c r="A2728" i="1" a="1"/>
  <c r="A2728" i="1" s="1"/>
  <c r="B2727" i="1"/>
  <c r="B2727" i="1" a="1"/>
  <c r="A2727" i="1" a="1"/>
  <c r="A2727" i="1" s="1"/>
  <c r="C2727" i="1" s="1"/>
  <c r="D2727" i="1" s="1"/>
  <c r="B2726" i="1" a="1"/>
  <c r="B2726" i="1" s="1"/>
  <c r="A2726" i="1" a="1"/>
  <c r="A2726" i="1" s="1"/>
  <c r="B2725" i="1" a="1"/>
  <c r="B2725" i="1" s="1"/>
  <c r="A2725" i="1" a="1"/>
  <c r="A2725" i="1" s="1"/>
  <c r="B2724" i="1" a="1"/>
  <c r="B2724" i="1" s="1"/>
  <c r="E2724" i="1" s="1"/>
  <c r="A2724" i="1" a="1"/>
  <c r="A2724" i="1" s="1"/>
  <c r="C2724" i="1" s="1"/>
  <c r="B2723" i="1"/>
  <c r="B2723" i="1" a="1"/>
  <c r="A2723" i="1"/>
  <c r="C2723" i="1" s="1"/>
  <c r="D2723" i="1" s="1"/>
  <c r="A2723" i="1" a="1"/>
  <c r="B2722" i="1"/>
  <c r="B2722" i="1" a="1"/>
  <c r="A2722" i="1"/>
  <c r="A2722" i="1" a="1"/>
  <c r="B2721" i="1"/>
  <c r="B2721" i="1" a="1"/>
  <c r="A2721" i="1" a="1"/>
  <c r="A2721" i="1" s="1"/>
  <c r="G2721" i="1" s="1"/>
  <c r="C2720" i="1"/>
  <c r="B2720" i="1" a="1"/>
  <c r="B2720" i="1" s="1"/>
  <c r="A2720" i="1" a="1"/>
  <c r="A2720" i="1" s="1"/>
  <c r="G2719" i="1"/>
  <c r="B2719" i="1"/>
  <c r="B2719" i="1" a="1"/>
  <c r="A2719" i="1" a="1"/>
  <c r="A2719" i="1" s="1"/>
  <c r="E2719" i="1" s="1"/>
  <c r="B2718" i="1" a="1"/>
  <c r="B2718" i="1" s="1"/>
  <c r="A2718" i="1" a="1"/>
  <c r="A2718" i="1" s="1"/>
  <c r="C2718" i="1" s="1"/>
  <c r="C2717" i="1"/>
  <c r="D2717" i="1" s="1"/>
  <c r="B2717" i="1" a="1"/>
  <c r="B2717" i="1" s="1"/>
  <c r="A2717" i="1" a="1"/>
  <c r="A2717" i="1" s="1"/>
  <c r="B2716" i="1"/>
  <c r="B2716" i="1" a="1"/>
  <c r="A2716" i="1" a="1"/>
  <c r="A2716" i="1" s="1"/>
  <c r="B2715" i="1"/>
  <c r="B2715" i="1" a="1"/>
  <c r="A2715" i="1" a="1"/>
  <c r="A2715" i="1" s="1"/>
  <c r="B2714" i="1"/>
  <c r="B2714" i="1" a="1"/>
  <c r="A2714" i="1" a="1"/>
  <c r="A2714" i="1" s="1"/>
  <c r="B2713" i="1"/>
  <c r="B2713" i="1" a="1"/>
  <c r="A2713" i="1" a="1"/>
  <c r="A2713" i="1" s="1"/>
  <c r="B2712" i="1"/>
  <c r="B2712" i="1" a="1"/>
  <c r="A2712" i="1" a="1"/>
  <c r="A2712" i="1" s="1"/>
  <c r="B2711" i="1"/>
  <c r="B2711" i="1" a="1"/>
  <c r="A2711" i="1" a="1"/>
  <c r="A2711" i="1" s="1"/>
  <c r="C2711" i="1" s="1"/>
  <c r="D2711" i="1" s="1"/>
  <c r="B2710" i="1" a="1"/>
  <c r="B2710" i="1" s="1"/>
  <c r="A2710" i="1" a="1"/>
  <c r="A2710" i="1" s="1"/>
  <c r="B2709" i="1" a="1"/>
  <c r="B2709" i="1" s="1"/>
  <c r="A2709" i="1" a="1"/>
  <c r="A2709" i="1" s="1"/>
  <c r="B2708" i="1"/>
  <c r="B2708" i="1" a="1"/>
  <c r="A2708" i="1"/>
  <c r="E2708" i="1" s="1"/>
  <c r="A2708" i="1" a="1"/>
  <c r="B2707" i="1"/>
  <c r="B2707" i="1" a="1"/>
  <c r="A2707" i="1" a="1"/>
  <c r="A2707" i="1" s="1"/>
  <c r="E2707" i="1" s="1"/>
  <c r="B2706" i="1"/>
  <c r="B2706" i="1" a="1"/>
  <c r="A2706" i="1" a="1"/>
  <c r="A2706" i="1" s="1"/>
  <c r="C2706" i="1" s="1"/>
  <c r="B2705" i="1"/>
  <c r="B2705" i="1" a="1"/>
  <c r="A2705" i="1" a="1"/>
  <c r="A2705" i="1" s="1"/>
  <c r="C2704" i="1"/>
  <c r="B2704" i="1" a="1"/>
  <c r="B2704" i="1" s="1"/>
  <c r="A2704" i="1" a="1"/>
  <c r="A2704" i="1" s="1"/>
  <c r="B2703" i="1"/>
  <c r="B2703" i="1" a="1"/>
  <c r="A2703" i="1" a="1"/>
  <c r="A2703" i="1" s="1"/>
  <c r="B2702" i="1" a="1"/>
  <c r="B2702" i="1" s="1"/>
  <c r="A2702" i="1" a="1"/>
  <c r="A2702" i="1" s="1"/>
  <c r="C2702" i="1" s="1"/>
  <c r="D2702" i="1" s="1"/>
  <c r="B2701" i="1"/>
  <c r="B2701" i="1" a="1"/>
  <c r="A2701" i="1" a="1"/>
  <c r="A2701" i="1" s="1"/>
  <c r="B2700" i="1" a="1"/>
  <c r="B2700" i="1" s="1"/>
  <c r="A2700" i="1" a="1"/>
  <c r="A2700" i="1" s="1"/>
  <c r="B2699" i="1"/>
  <c r="B2699" i="1" a="1"/>
  <c r="A2699" i="1" a="1"/>
  <c r="A2699" i="1" s="1"/>
  <c r="B2698" i="1" a="1"/>
  <c r="B2698" i="1" s="1"/>
  <c r="A2698" i="1" a="1"/>
  <c r="A2698" i="1" s="1"/>
  <c r="C2698" i="1" s="1"/>
  <c r="D2698" i="1" s="1"/>
  <c r="B2697" i="1" a="1"/>
  <c r="B2697" i="1" s="1"/>
  <c r="A2697" i="1" a="1"/>
  <c r="A2697" i="1" s="1"/>
  <c r="B2696" i="1"/>
  <c r="B2696" i="1" a="1"/>
  <c r="A2696" i="1" a="1"/>
  <c r="A2696" i="1" s="1"/>
  <c r="B2695" i="1"/>
  <c r="B2695" i="1" a="1"/>
  <c r="A2695" i="1"/>
  <c r="A2695" i="1" a="1"/>
  <c r="B2694" i="1" a="1"/>
  <c r="B2694" i="1" s="1"/>
  <c r="A2694" i="1" a="1"/>
  <c r="A2694" i="1" s="1"/>
  <c r="G2694" i="1" s="1"/>
  <c r="B2693" i="1" a="1"/>
  <c r="B2693" i="1" s="1"/>
  <c r="A2693" i="1" a="1"/>
  <c r="A2693" i="1" s="1"/>
  <c r="B2692" i="1"/>
  <c r="B2692" i="1" a="1"/>
  <c r="A2692" i="1" a="1"/>
  <c r="A2692" i="1" s="1"/>
  <c r="C2692" i="1" s="1"/>
  <c r="D2692" i="1" s="1"/>
  <c r="B2691" i="1"/>
  <c r="B2691" i="1" a="1"/>
  <c r="A2691" i="1" a="1"/>
  <c r="A2691" i="1" s="1"/>
  <c r="B2690" i="1" a="1"/>
  <c r="B2690" i="1" s="1"/>
  <c r="A2690" i="1" a="1"/>
  <c r="A2690" i="1" s="1"/>
  <c r="C2690" i="1" s="1"/>
  <c r="D2690" i="1" s="1"/>
  <c r="B2689" i="1" a="1"/>
  <c r="B2689" i="1" s="1"/>
  <c r="A2689" i="1" a="1"/>
  <c r="A2689" i="1" s="1"/>
  <c r="B2688" i="1"/>
  <c r="B2688" i="1" a="1"/>
  <c r="A2688" i="1" a="1"/>
  <c r="A2688" i="1" s="1"/>
  <c r="C2688" i="1" s="1"/>
  <c r="D2688" i="1" s="1"/>
  <c r="B2687" i="1"/>
  <c r="B2687" i="1" a="1"/>
  <c r="A2687" i="1" a="1"/>
  <c r="A2687" i="1" s="1"/>
  <c r="G2687" i="1" s="1"/>
  <c r="B2686" i="1" a="1"/>
  <c r="B2686" i="1" s="1"/>
  <c r="A2686" i="1" a="1"/>
  <c r="A2686" i="1" s="1"/>
  <c r="B2685" i="1"/>
  <c r="B2685" i="1" a="1"/>
  <c r="A2685" i="1" a="1"/>
  <c r="A2685" i="1" s="1"/>
  <c r="B2684" i="1" a="1"/>
  <c r="B2684" i="1" s="1"/>
  <c r="A2684" i="1" a="1"/>
  <c r="A2684" i="1" s="1"/>
  <c r="E2684" i="1" s="1"/>
  <c r="B2683" i="1"/>
  <c r="B2683" i="1" a="1"/>
  <c r="A2683" i="1" a="1"/>
  <c r="A2683" i="1" s="1"/>
  <c r="B2682" i="1"/>
  <c r="B2682" i="1" a="1"/>
  <c r="A2682" i="1" a="1"/>
  <c r="A2682" i="1" s="1"/>
  <c r="E2682" i="1" s="1"/>
  <c r="B2681" i="1" a="1"/>
  <c r="B2681" i="1" s="1"/>
  <c r="A2681" i="1" a="1"/>
  <c r="A2681" i="1" s="1"/>
  <c r="B2680" i="1" a="1"/>
  <c r="B2680" i="1" s="1"/>
  <c r="A2680" i="1" a="1"/>
  <c r="A2680" i="1" s="1"/>
  <c r="B2679" i="1"/>
  <c r="B2679" i="1" a="1"/>
  <c r="A2679" i="1" a="1"/>
  <c r="A2679" i="1" s="1"/>
  <c r="G2679" i="1" s="1"/>
  <c r="B2678" i="1"/>
  <c r="B2678" i="1" a="1"/>
  <c r="A2678" i="1" a="1"/>
  <c r="A2678" i="1" s="1"/>
  <c r="B2677" i="1" a="1"/>
  <c r="B2677" i="1" s="1"/>
  <c r="E2677" i="1" s="1"/>
  <c r="A2677" i="1" a="1"/>
  <c r="A2677" i="1" s="1"/>
  <c r="B2676" i="1" a="1"/>
  <c r="B2676" i="1" s="1"/>
  <c r="A2676" i="1" a="1"/>
  <c r="A2676" i="1" s="1"/>
  <c r="B2675" i="1"/>
  <c r="B2675" i="1" a="1"/>
  <c r="A2675" i="1" a="1"/>
  <c r="A2675" i="1" s="1"/>
  <c r="C2675" i="1" s="1"/>
  <c r="D2675" i="1" s="1"/>
  <c r="B2674" i="1" a="1"/>
  <c r="B2674" i="1" s="1"/>
  <c r="A2674" i="1" a="1"/>
  <c r="A2674" i="1" s="1"/>
  <c r="B2673" i="1"/>
  <c r="B2673" i="1" a="1"/>
  <c r="A2673" i="1" a="1"/>
  <c r="A2673" i="1" s="1"/>
  <c r="C2673" i="1" s="1"/>
  <c r="D2673" i="1" s="1"/>
  <c r="C2672" i="1"/>
  <c r="B2672" i="1" a="1"/>
  <c r="B2672" i="1" s="1"/>
  <c r="A2672" i="1" a="1"/>
  <c r="A2672" i="1" s="1"/>
  <c r="B2671" i="1"/>
  <c r="B2671" i="1" a="1"/>
  <c r="A2671" i="1" a="1"/>
  <c r="A2671" i="1" s="1"/>
  <c r="B2670" i="1" a="1"/>
  <c r="B2670" i="1" s="1"/>
  <c r="A2670" i="1" a="1"/>
  <c r="A2670" i="1" s="1"/>
  <c r="B2669" i="1" a="1"/>
  <c r="B2669" i="1" s="1"/>
  <c r="A2669" i="1" a="1"/>
  <c r="A2669" i="1" s="1"/>
  <c r="B2668" i="1" a="1"/>
  <c r="B2668" i="1" s="1"/>
  <c r="A2668" i="1"/>
  <c r="A2668" i="1" a="1"/>
  <c r="B2667" i="1"/>
  <c r="B2667" i="1" a="1"/>
  <c r="A2667" i="1" a="1"/>
  <c r="A2667" i="1" s="1"/>
  <c r="B2666" i="1" a="1"/>
  <c r="B2666" i="1" s="1"/>
  <c r="A2666" i="1"/>
  <c r="C2666" i="1" s="1"/>
  <c r="D2666" i="1" s="1"/>
  <c r="A2666" i="1" a="1"/>
  <c r="B2665" i="1" a="1"/>
  <c r="B2665" i="1" s="1"/>
  <c r="E2665" i="1" s="1"/>
  <c r="A2665" i="1" a="1"/>
  <c r="A2665" i="1" s="1"/>
  <c r="B2664" i="1" a="1"/>
  <c r="B2664" i="1" s="1"/>
  <c r="A2664" i="1"/>
  <c r="C2664" i="1" s="1"/>
  <c r="A2664" i="1" a="1"/>
  <c r="B2663" i="1"/>
  <c r="B2663" i="1" a="1"/>
  <c r="A2663" i="1" a="1"/>
  <c r="A2663" i="1" s="1"/>
  <c r="B2662" i="1" a="1"/>
  <c r="B2662" i="1" s="1"/>
  <c r="A2662" i="1" a="1"/>
  <c r="A2662" i="1" s="1"/>
  <c r="E2662" i="1" s="1"/>
  <c r="B2661" i="1" a="1"/>
  <c r="B2661" i="1" s="1"/>
  <c r="A2661" i="1" a="1"/>
  <c r="A2661" i="1" s="1"/>
  <c r="B2660" i="1" a="1"/>
  <c r="B2660" i="1" s="1"/>
  <c r="A2660" i="1" a="1"/>
  <c r="A2660" i="1" s="1"/>
  <c r="C2660" i="1" s="1"/>
  <c r="G2659" i="1"/>
  <c r="B2659" i="1"/>
  <c r="B2659" i="1" a="1"/>
  <c r="A2659" i="1" a="1"/>
  <c r="A2659" i="1" s="1"/>
  <c r="C2659" i="1" s="1"/>
  <c r="D2659" i="1" s="1"/>
  <c r="B2658" i="1" a="1"/>
  <c r="B2658" i="1" s="1"/>
  <c r="A2658" i="1" a="1"/>
  <c r="A2658" i="1" s="1"/>
  <c r="B2657" i="1"/>
  <c r="B2657" i="1" a="1"/>
  <c r="A2657" i="1" a="1"/>
  <c r="A2657" i="1" s="1"/>
  <c r="B2656" i="1"/>
  <c r="B2656" i="1" a="1"/>
  <c r="A2656" i="1" a="1"/>
  <c r="A2656" i="1" s="1"/>
  <c r="G2656" i="1" s="1"/>
  <c r="B2655" i="1"/>
  <c r="B2655" i="1" a="1"/>
  <c r="A2655" i="1" a="1"/>
  <c r="A2655" i="1" s="1"/>
  <c r="G2655" i="1" s="1"/>
  <c r="B2654" i="1" a="1"/>
  <c r="B2654" i="1" s="1"/>
  <c r="A2654" i="1" a="1"/>
  <c r="A2654" i="1" s="1"/>
  <c r="B2653" i="1"/>
  <c r="B2653" i="1" a="1"/>
  <c r="A2653" i="1" a="1"/>
  <c r="A2653" i="1" s="1"/>
  <c r="C2653" i="1" s="1"/>
  <c r="D2653" i="1" s="1"/>
  <c r="B2652" i="1" a="1"/>
  <c r="B2652" i="1" s="1"/>
  <c r="A2652" i="1" a="1"/>
  <c r="A2652" i="1" s="1"/>
  <c r="C2652" i="1" s="1"/>
  <c r="B2651" i="1"/>
  <c r="B2651" i="1" a="1"/>
  <c r="A2651" i="1"/>
  <c r="A2651" i="1" a="1"/>
  <c r="B2650" i="1" a="1"/>
  <c r="B2650" i="1" s="1"/>
  <c r="A2650" i="1" a="1"/>
  <c r="A2650" i="1" s="1"/>
  <c r="B2649" i="1"/>
  <c r="B2649" i="1" a="1"/>
  <c r="A2649" i="1"/>
  <c r="C2649" i="1" s="1"/>
  <c r="A2649" i="1" a="1"/>
  <c r="B2648" i="1" a="1"/>
  <c r="B2648" i="1" s="1"/>
  <c r="A2648" i="1" a="1"/>
  <c r="A2648" i="1" s="1"/>
  <c r="C2648" i="1" s="1"/>
  <c r="C2647" i="1"/>
  <c r="D2647" i="1" s="1"/>
  <c r="B2647" i="1"/>
  <c r="G2647" i="1" s="1"/>
  <c r="B2647" i="1" a="1"/>
  <c r="A2647" i="1" a="1"/>
  <c r="A2647" i="1" s="1"/>
  <c r="B2646" i="1"/>
  <c r="B2646" i="1" a="1"/>
  <c r="A2646" i="1" a="1"/>
  <c r="A2646" i="1" s="1"/>
  <c r="C2645" i="1"/>
  <c r="D2645" i="1" s="1"/>
  <c r="B2645" i="1" a="1"/>
  <c r="B2645" i="1" s="1"/>
  <c r="A2645" i="1" a="1"/>
  <c r="A2645" i="1" s="1"/>
  <c r="B2644" i="1" a="1"/>
  <c r="B2644" i="1" s="1"/>
  <c r="A2644" i="1" a="1"/>
  <c r="A2644" i="1" s="1"/>
  <c r="E2644" i="1" s="1"/>
  <c r="B2643" i="1"/>
  <c r="B2643" i="1" a="1"/>
  <c r="A2643" i="1" a="1"/>
  <c r="A2643" i="1" s="1"/>
  <c r="B2642" i="1" a="1"/>
  <c r="B2642" i="1" s="1"/>
  <c r="A2642" i="1" a="1"/>
  <c r="A2642" i="1" s="1"/>
  <c r="G2642" i="1" s="1"/>
  <c r="B2641" i="1" a="1"/>
  <c r="B2641" i="1" s="1"/>
  <c r="A2641" i="1" a="1"/>
  <c r="A2641" i="1" s="1"/>
  <c r="C2641" i="1" s="1"/>
  <c r="B2640" i="1"/>
  <c r="B2640" i="1" a="1"/>
  <c r="A2640" i="1"/>
  <c r="E2640" i="1" s="1"/>
  <c r="A2640" i="1" a="1"/>
  <c r="B2639" i="1"/>
  <c r="B2639" i="1" a="1"/>
  <c r="A2639" i="1" a="1"/>
  <c r="A2639" i="1" s="1"/>
  <c r="C2638" i="1"/>
  <c r="D2638" i="1" s="1"/>
  <c r="F2638" i="1" s="1"/>
  <c r="B2638" i="1" a="1"/>
  <c r="B2638" i="1" s="1"/>
  <c r="A2638" i="1"/>
  <c r="E2638" i="1" s="1"/>
  <c r="A2638" i="1" a="1"/>
  <c r="B2637" i="1"/>
  <c r="B2637" i="1" a="1"/>
  <c r="A2637" i="1"/>
  <c r="C2637" i="1" s="1"/>
  <c r="D2637" i="1" s="1"/>
  <c r="A2637" i="1" a="1"/>
  <c r="B2636" i="1" a="1"/>
  <c r="B2636" i="1" s="1"/>
  <c r="A2636" i="1" a="1"/>
  <c r="A2636" i="1" s="1"/>
  <c r="C2636" i="1" s="1"/>
  <c r="D2636" i="1" s="1"/>
  <c r="B2635" i="1"/>
  <c r="B2635" i="1" a="1"/>
  <c r="A2635" i="1" a="1"/>
  <c r="A2635" i="1" s="1"/>
  <c r="B2634" i="1" a="1"/>
  <c r="B2634" i="1" s="1"/>
  <c r="A2634" i="1" a="1"/>
  <c r="A2634" i="1" s="1"/>
  <c r="E2634" i="1" s="1"/>
  <c r="B2633" i="1" a="1"/>
  <c r="B2633" i="1" s="1"/>
  <c r="A2633" i="1" a="1"/>
  <c r="A2633" i="1" s="1"/>
  <c r="B2632" i="1"/>
  <c r="B2632" i="1" a="1"/>
  <c r="A2632" i="1" a="1"/>
  <c r="A2632" i="1" s="1"/>
  <c r="G2632" i="1" s="1"/>
  <c r="C2631" i="1"/>
  <c r="D2631" i="1" s="1"/>
  <c r="B2631" i="1"/>
  <c r="B2631" i="1" a="1"/>
  <c r="A2631" i="1" a="1"/>
  <c r="A2631" i="1" s="1"/>
  <c r="B2630" i="1"/>
  <c r="B2630" i="1" a="1"/>
  <c r="A2630" i="1" a="1"/>
  <c r="A2630" i="1" s="1"/>
  <c r="B2629" i="1" a="1"/>
  <c r="B2629" i="1" s="1"/>
  <c r="A2629" i="1" a="1"/>
  <c r="A2629" i="1" s="1"/>
  <c r="C2629" i="1" s="1"/>
  <c r="D2629" i="1" s="1"/>
  <c r="B2628" i="1" a="1"/>
  <c r="B2628" i="1" s="1"/>
  <c r="A2628" i="1" a="1"/>
  <c r="A2628" i="1" s="1"/>
  <c r="C2628" i="1" s="1"/>
  <c r="D2628" i="1" s="1"/>
  <c r="B2627" i="1"/>
  <c r="B2627" i="1" a="1"/>
  <c r="A2627" i="1" a="1"/>
  <c r="A2627" i="1" s="1"/>
  <c r="B2626" i="1"/>
  <c r="B2626" i="1" a="1"/>
  <c r="A2626" i="1" a="1"/>
  <c r="A2626" i="1" s="1"/>
  <c r="B2625" i="1"/>
  <c r="B2625" i="1" a="1"/>
  <c r="A2625" i="1" a="1"/>
  <c r="A2625" i="1" s="1"/>
  <c r="C2625" i="1" s="1"/>
  <c r="B2624" i="1" a="1"/>
  <c r="B2624" i="1" s="1"/>
  <c r="A2624" i="1" a="1"/>
  <c r="A2624" i="1" s="1"/>
  <c r="C2624" i="1" s="1"/>
  <c r="B2623" i="1"/>
  <c r="B2623" i="1" a="1"/>
  <c r="A2623" i="1" a="1"/>
  <c r="A2623" i="1" s="1"/>
  <c r="B2622" i="1"/>
  <c r="B2622" i="1" a="1"/>
  <c r="A2622" i="1" a="1"/>
  <c r="A2622" i="1" s="1"/>
  <c r="G2622" i="1" s="1"/>
  <c r="B2621" i="1" a="1"/>
  <c r="B2621" i="1" s="1"/>
  <c r="A2621" i="1" a="1"/>
  <c r="A2621" i="1" s="1"/>
  <c r="B2620" i="1"/>
  <c r="B2620" i="1" a="1"/>
  <c r="A2620" i="1"/>
  <c r="G2620" i="1" s="1"/>
  <c r="A2620" i="1" a="1"/>
  <c r="B2619" i="1"/>
  <c r="B2619" i="1" a="1"/>
  <c r="A2619" i="1"/>
  <c r="C2619" i="1" s="1"/>
  <c r="D2619" i="1" s="1"/>
  <c r="A2619" i="1" a="1"/>
  <c r="C2618" i="1"/>
  <c r="B2618" i="1"/>
  <c r="E2618" i="1" s="1"/>
  <c r="B2618" i="1" a="1"/>
  <c r="A2618" i="1" a="1"/>
  <c r="A2618" i="1" s="1"/>
  <c r="B2617" i="1"/>
  <c r="B2617" i="1" a="1"/>
  <c r="A2617" i="1" a="1"/>
  <c r="A2617" i="1" s="1"/>
  <c r="B2616" i="1" a="1"/>
  <c r="B2616" i="1" s="1"/>
  <c r="A2616" i="1" a="1"/>
  <c r="A2616" i="1" s="1"/>
  <c r="G2615" i="1"/>
  <c r="B2615" i="1"/>
  <c r="B2615" i="1" a="1"/>
  <c r="A2615" i="1" a="1"/>
  <c r="A2615" i="1" s="1"/>
  <c r="B2614" i="1" a="1"/>
  <c r="B2614" i="1" s="1"/>
  <c r="A2614" i="1" a="1"/>
  <c r="A2614" i="1" s="1"/>
  <c r="C2614" i="1" s="1"/>
  <c r="D2614" i="1" s="1"/>
  <c r="B2613" i="1" a="1"/>
  <c r="B2613" i="1" s="1"/>
  <c r="A2613" i="1" a="1"/>
  <c r="A2613" i="1" s="1"/>
  <c r="B2612" i="1" a="1"/>
  <c r="B2612" i="1" s="1"/>
  <c r="A2612" i="1" a="1"/>
  <c r="A2612" i="1" s="1"/>
  <c r="B2611" i="1"/>
  <c r="B2611" i="1" a="1"/>
  <c r="A2611" i="1" a="1"/>
  <c r="A2611" i="1" s="1"/>
  <c r="B2610" i="1"/>
  <c r="B2610" i="1" a="1"/>
  <c r="A2610" i="1" a="1"/>
  <c r="A2610" i="1" s="1"/>
  <c r="C2610" i="1" s="1"/>
  <c r="D2610" i="1" s="1"/>
  <c r="B2609" i="1" a="1"/>
  <c r="B2609" i="1" s="1"/>
  <c r="A2609" i="1"/>
  <c r="A2609" i="1" a="1"/>
  <c r="B2608" i="1" a="1"/>
  <c r="B2608" i="1" s="1"/>
  <c r="A2608" i="1" a="1"/>
  <c r="A2608" i="1" s="1"/>
  <c r="B2607" i="1"/>
  <c r="B2607" i="1" a="1"/>
  <c r="A2607" i="1" a="1"/>
  <c r="A2607" i="1" s="1"/>
  <c r="B2606" i="1" a="1"/>
  <c r="B2606" i="1" s="1"/>
  <c r="A2606" i="1" a="1"/>
  <c r="A2606" i="1" s="1"/>
  <c r="C2606" i="1" s="1"/>
  <c r="D2605" i="1"/>
  <c r="C2605" i="1"/>
  <c r="B2605" i="1" a="1"/>
  <c r="B2605" i="1" s="1"/>
  <c r="A2605" i="1" a="1"/>
  <c r="A2605" i="1" s="1"/>
  <c r="B2604" i="1" a="1"/>
  <c r="B2604" i="1" s="1"/>
  <c r="E2604" i="1" s="1"/>
  <c r="A2604" i="1" a="1"/>
  <c r="A2604" i="1" s="1"/>
  <c r="B2603" i="1"/>
  <c r="B2603" i="1" a="1"/>
  <c r="A2603" i="1"/>
  <c r="C2603" i="1" s="1"/>
  <c r="D2603" i="1" s="1"/>
  <c r="A2603" i="1" a="1"/>
  <c r="C2602" i="1"/>
  <c r="D2602" i="1" s="1"/>
  <c r="B2602" i="1" a="1"/>
  <c r="B2602" i="1" s="1"/>
  <c r="A2602" i="1" a="1"/>
  <c r="A2602" i="1" s="1"/>
  <c r="B2601" i="1" a="1"/>
  <c r="B2601" i="1" s="1"/>
  <c r="A2601" i="1"/>
  <c r="A2601" i="1" a="1"/>
  <c r="C2600" i="1"/>
  <c r="B2600" i="1" a="1"/>
  <c r="B2600" i="1" s="1"/>
  <c r="G2600" i="1" s="1"/>
  <c r="A2600" i="1" a="1"/>
  <c r="A2600" i="1" s="1"/>
  <c r="B2599" i="1"/>
  <c r="B2599" i="1" a="1"/>
  <c r="A2599" i="1" a="1"/>
  <c r="A2599" i="1" s="1"/>
  <c r="B2598" i="1" a="1"/>
  <c r="B2598" i="1" s="1"/>
  <c r="A2598" i="1" a="1"/>
  <c r="A2598" i="1" s="1"/>
  <c r="C2598" i="1" s="1"/>
  <c r="B2597" i="1" a="1"/>
  <c r="B2597" i="1" s="1"/>
  <c r="A2597" i="1" a="1"/>
  <c r="A2597" i="1" s="1"/>
  <c r="B2596" i="1" a="1"/>
  <c r="B2596" i="1" s="1"/>
  <c r="A2596" i="1"/>
  <c r="A2596" i="1" a="1"/>
  <c r="B2595" i="1"/>
  <c r="B2595" i="1" a="1"/>
  <c r="A2595" i="1"/>
  <c r="C2595" i="1" s="1"/>
  <c r="D2595" i="1" s="1"/>
  <c r="A2595" i="1" a="1"/>
  <c r="B2594" i="1"/>
  <c r="B2594" i="1" a="1"/>
  <c r="A2594" i="1" a="1"/>
  <c r="A2594" i="1" s="1"/>
  <c r="B2593" i="1"/>
  <c r="B2593" i="1" a="1"/>
  <c r="A2593" i="1" a="1"/>
  <c r="A2593" i="1" s="1"/>
  <c r="B2592" i="1" a="1"/>
  <c r="B2592" i="1" s="1"/>
  <c r="A2592" i="1" a="1"/>
  <c r="A2592" i="1" s="1"/>
  <c r="C2592" i="1" s="1"/>
  <c r="C2591" i="1"/>
  <c r="D2591" i="1" s="1"/>
  <c r="B2591" i="1"/>
  <c r="B2591" i="1" a="1"/>
  <c r="A2591" i="1" a="1"/>
  <c r="A2591" i="1" s="1"/>
  <c r="C2590" i="1"/>
  <c r="D2590" i="1" s="1"/>
  <c r="B2590" i="1" a="1"/>
  <c r="B2590" i="1" s="1"/>
  <c r="A2590" i="1" a="1"/>
  <c r="A2590" i="1" s="1"/>
  <c r="G2590" i="1" s="1"/>
  <c r="B2589" i="1" a="1"/>
  <c r="B2589" i="1" s="1"/>
  <c r="A2589" i="1" a="1"/>
  <c r="A2589" i="1" s="1"/>
  <c r="B2588" i="1" a="1"/>
  <c r="B2588" i="1" s="1"/>
  <c r="A2588" i="1" a="1"/>
  <c r="A2588" i="1" s="1"/>
  <c r="E2588" i="1" s="1"/>
  <c r="B2587" i="1"/>
  <c r="B2587" i="1" a="1"/>
  <c r="A2587" i="1" a="1"/>
  <c r="A2587" i="1" s="1"/>
  <c r="B2586" i="1" a="1"/>
  <c r="B2586" i="1" s="1"/>
  <c r="A2586" i="1" a="1"/>
  <c r="A2586" i="1" s="1"/>
  <c r="C2586" i="1" s="1"/>
  <c r="B2585" i="1"/>
  <c r="B2585" i="1" a="1"/>
  <c r="A2585" i="1" a="1"/>
  <c r="A2585" i="1" s="1"/>
  <c r="C2585" i="1" s="1"/>
  <c r="B2584" i="1"/>
  <c r="B2584" i="1" a="1"/>
  <c r="A2584" i="1" a="1"/>
  <c r="A2584" i="1" s="1"/>
  <c r="B2583" i="1"/>
  <c r="B2583" i="1" a="1"/>
  <c r="A2583" i="1" a="1"/>
  <c r="A2583" i="1" s="1"/>
  <c r="C2582" i="1"/>
  <c r="D2582" i="1" s="1"/>
  <c r="B2582" i="1" a="1"/>
  <c r="B2582" i="1" s="1"/>
  <c r="A2582" i="1" a="1"/>
  <c r="A2582" i="1" s="1"/>
  <c r="G2582" i="1" s="1"/>
  <c r="C2581" i="1"/>
  <c r="D2581" i="1" s="1"/>
  <c r="B2581" i="1"/>
  <c r="B2581" i="1" a="1"/>
  <c r="A2581" i="1" a="1"/>
  <c r="A2581" i="1" s="1"/>
  <c r="B2580" i="1" a="1"/>
  <c r="B2580" i="1" s="1"/>
  <c r="A2580" i="1" a="1"/>
  <c r="A2580" i="1" s="1"/>
  <c r="B2579" i="1"/>
  <c r="B2579" i="1" a="1"/>
  <c r="A2579" i="1" a="1"/>
  <c r="A2579" i="1" s="1"/>
  <c r="G2578" i="1"/>
  <c r="C2578" i="1"/>
  <c r="D2578" i="1" s="1"/>
  <c r="F2578" i="1" s="1"/>
  <c r="B2578" i="1"/>
  <c r="B2578" i="1" a="1"/>
  <c r="A2578" i="1" a="1"/>
  <c r="A2578" i="1" s="1"/>
  <c r="E2578" i="1" s="1"/>
  <c r="B2577" i="1" a="1"/>
  <c r="B2577" i="1" s="1"/>
  <c r="A2577" i="1" a="1"/>
  <c r="A2577" i="1" s="1"/>
  <c r="B2576" i="1"/>
  <c r="B2576" i="1" a="1"/>
  <c r="A2576" i="1" a="1"/>
  <c r="A2576" i="1" s="1"/>
  <c r="C2576" i="1" s="1"/>
  <c r="B2575" i="1"/>
  <c r="B2575" i="1" a="1"/>
  <c r="A2575" i="1" a="1"/>
  <c r="A2575" i="1" s="1"/>
  <c r="B2574" i="1" a="1"/>
  <c r="B2574" i="1" s="1"/>
  <c r="A2574" i="1" a="1"/>
  <c r="A2574" i="1" s="1"/>
  <c r="B2573" i="1" a="1"/>
  <c r="B2573" i="1" s="1"/>
  <c r="A2573" i="1" a="1"/>
  <c r="A2573" i="1" s="1"/>
  <c r="B2572" i="1" a="1"/>
  <c r="B2572" i="1" s="1"/>
  <c r="A2572" i="1"/>
  <c r="A2572" i="1" a="1"/>
  <c r="B2571" i="1"/>
  <c r="B2571" i="1" a="1"/>
  <c r="A2571" i="1" a="1"/>
  <c r="A2571" i="1" s="1"/>
  <c r="B2570" i="1" a="1"/>
  <c r="B2570" i="1" s="1"/>
  <c r="A2570" i="1" a="1"/>
  <c r="A2570" i="1" s="1"/>
  <c r="B2569" i="1"/>
  <c r="B2569" i="1" a="1"/>
  <c r="A2569" i="1" a="1"/>
  <c r="A2569" i="1" s="1"/>
  <c r="B2568" i="1"/>
  <c r="B2568" i="1" a="1"/>
  <c r="A2568" i="1" a="1"/>
  <c r="A2568" i="1" s="1"/>
  <c r="B2567" i="1"/>
  <c r="B2567" i="1" a="1"/>
  <c r="A2567" i="1" a="1"/>
  <c r="A2567" i="1" s="1"/>
  <c r="B2566" i="1" a="1"/>
  <c r="B2566" i="1" s="1"/>
  <c r="A2566" i="1" a="1"/>
  <c r="A2566" i="1" s="1"/>
  <c r="B2565" i="1" a="1"/>
  <c r="B2565" i="1" s="1"/>
  <c r="A2565" i="1" a="1"/>
  <c r="A2565" i="1" s="1"/>
  <c r="B2564" i="1" a="1"/>
  <c r="B2564" i="1" s="1"/>
  <c r="A2564" i="1" a="1"/>
  <c r="A2564" i="1" s="1"/>
  <c r="B2563" i="1"/>
  <c r="B2563" i="1" a="1"/>
  <c r="A2563" i="1" a="1"/>
  <c r="A2563" i="1" s="1"/>
  <c r="E2562" i="1"/>
  <c r="C2562" i="1"/>
  <c r="B2562" i="1" a="1"/>
  <c r="B2562" i="1" s="1"/>
  <c r="A2562" i="1" a="1"/>
  <c r="A2562" i="1" s="1"/>
  <c r="B2561" i="1"/>
  <c r="B2561" i="1" a="1"/>
  <c r="A2561" i="1" a="1"/>
  <c r="A2561" i="1" s="1"/>
  <c r="B2560" i="1"/>
  <c r="B2560" i="1" a="1"/>
  <c r="A2560" i="1" a="1"/>
  <c r="A2560" i="1" s="1"/>
  <c r="E2560" i="1" s="1"/>
  <c r="B2559" i="1"/>
  <c r="B2559" i="1" a="1"/>
  <c r="A2559" i="1"/>
  <c r="A2559" i="1" a="1"/>
  <c r="B2558" i="1" a="1"/>
  <c r="B2558" i="1" s="1"/>
  <c r="A2558" i="1"/>
  <c r="A2558" i="1" a="1"/>
  <c r="B2557" i="1"/>
  <c r="B2557" i="1" a="1"/>
  <c r="A2557" i="1" a="1"/>
  <c r="A2557" i="1" s="1"/>
  <c r="C2557" i="1" s="1"/>
  <c r="D2557" i="1" s="1"/>
  <c r="B2556" i="1" a="1"/>
  <c r="B2556" i="1" s="1"/>
  <c r="A2556" i="1" a="1"/>
  <c r="A2556" i="1" s="1"/>
  <c r="G2556" i="1" s="1"/>
  <c r="B2555" i="1"/>
  <c r="B2555" i="1" a="1"/>
  <c r="A2555" i="1" a="1"/>
  <c r="A2555" i="1" s="1"/>
  <c r="B2554" i="1" a="1"/>
  <c r="B2554" i="1" s="1"/>
  <c r="A2554" i="1" a="1"/>
  <c r="A2554" i="1" s="1"/>
  <c r="B2553" i="1"/>
  <c r="B2553" i="1" a="1"/>
  <c r="A2553" i="1" a="1"/>
  <c r="A2553" i="1" s="1"/>
  <c r="C2553" i="1" s="1"/>
  <c r="B2552" i="1"/>
  <c r="B2552" i="1" a="1"/>
  <c r="A2552" i="1" a="1"/>
  <c r="A2552" i="1" s="1"/>
  <c r="C2552" i="1" s="1"/>
  <c r="B2551" i="1"/>
  <c r="B2551" i="1" a="1"/>
  <c r="A2551" i="1" a="1"/>
  <c r="A2551" i="1" s="1"/>
  <c r="C2551" i="1" s="1"/>
  <c r="D2551" i="1" s="1"/>
  <c r="B2550" i="1" a="1"/>
  <c r="B2550" i="1" s="1"/>
  <c r="A2550" i="1" a="1"/>
  <c r="A2550" i="1" s="1"/>
  <c r="B2549" i="1" a="1"/>
  <c r="B2549" i="1" s="1"/>
  <c r="A2549" i="1" a="1"/>
  <c r="A2549" i="1" s="1"/>
  <c r="C2549" i="1" s="1"/>
  <c r="B2548" i="1" a="1"/>
  <c r="B2548" i="1" s="1"/>
  <c r="A2548" i="1" a="1"/>
  <c r="A2548" i="1" s="1"/>
  <c r="C2548" i="1" s="1"/>
  <c r="C2547" i="1"/>
  <c r="D2547" i="1" s="1"/>
  <c r="B2547" i="1"/>
  <c r="E2547" i="1" s="1"/>
  <c r="B2547" i="1" a="1"/>
  <c r="A2547" i="1" a="1"/>
  <c r="A2547" i="1" s="1"/>
  <c r="B2546" i="1" a="1"/>
  <c r="B2546" i="1" s="1"/>
  <c r="A2546" i="1" a="1"/>
  <c r="A2546" i="1" s="1"/>
  <c r="B2545" i="1"/>
  <c r="B2545" i="1" a="1"/>
  <c r="A2545" i="1" a="1"/>
  <c r="A2545" i="1" s="1"/>
  <c r="B2544" i="1" a="1"/>
  <c r="B2544" i="1" s="1"/>
  <c r="A2544" i="1" a="1"/>
  <c r="A2544" i="1" s="1"/>
  <c r="B2543" i="1"/>
  <c r="B2543" i="1" a="1"/>
  <c r="A2543" i="1" a="1"/>
  <c r="A2543" i="1" s="1"/>
  <c r="C2543" i="1" s="1"/>
  <c r="D2543" i="1" s="1"/>
  <c r="B2542" i="1" a="1"/>
  <c r="B2542" i="1" s="1"/>
  <c r="A2542" i="1" a="1"/>
  <c r="A2542" i="1" s="1"/>
  <c r="G2542" i="1" s="1"/>
  <c r="B2541" i="1" a="1"/>
  <c r="B2541" i="1" s="1"/>
  <c r="A2541" i="1" a="1"/>
  <c r="A2541" i="1" s="1"/>
  <c r="B2540" i="1" a="1"/>
  <c r="B2540" i="1" s="1"/>
  <c r="A2540" i="1" a="1"/>
  <c r="A2540" i="1" s="1"/>
  <c r="B2539" i="1"/>
  <c r="B2539" i="1" a="1"/>
  <c r="A2539" i="1" a="1"/>
  <c r="A2539" i="1" s="1"/>
  <c r="B2538" i="1" a="1"/>
  <c r="B2538" i="1" s="1"/>
  <c r="A2538" i="1" a="1"/>
  <c r="A2538" i="1" s="1"/>
  <c r="C2538" i="1" s="1"/>
  <c r="B2537" i="1"/>
  <c r="E2537" i="1" s="1"/>
  <c r="B2537" i="1" a="1"/>
  <c r="A2537" i="1" a="1"/>
  <c r="A2537" i="1" s="1"/>
  <c r="C2537" i="1" s="1"/>
  <c r="D2537" i="1" s="1"/>
  <c r="B2536" i="1"/>
  <c r="B2536" i="1" a="1"/>
  <c r="A2536" i="1" a="1"/>
  <c r="A2536" i="1" s="1"/>
  <c r="B2535" i="1"/>
  <c r="B2535" i="1" a="1"/>
  <c r="A2535" i="1" a="1"/>
  <c r="A2535" i="1" s="1"/>
  <c r="G2535" i="1" s="1"/>
  <c r="B2534" i="1" a="1"/>
  <c r="B2534" i="1" s="1"/>
  <c r="A2534" i="1" a="1"/>
  <c r="A2534" i="1" s="1"/>
  <c r="B2533" i="1"/>
  <c r="B2533" i="1" a="1"/>
  <c r="A2533" i="1" a="1"/>
  <c r="A2533" i="1" s="1"/>
  <c r="C2533" i="1" s="1"/>
  <c r="B2532" i="1" a="1"/>
  <c r="B2532" i="1" s="1"/>
  <c r="A2532" i="1"/>
  <c r="C2532" i="1" s="1"/>
  <c r="D2532" i="1" s="1"/>
  <c r="A2532" i="1" a="1"/>
  <c r="B2531" i="1"/>
  <c r="B2531" i="1" a="1"/>
  <c r="A2531" i="1"/>
  <c r="A2531" i="1" a="1"/>
  <c r="B2530" i="1" a="1"/>
  <c r="B2530" i="1" s="1"/>
  <c r="G2530" i="1" s="1"/>
  <c r="A2530" i="1" a="1"/>
  <c r="A2530" i="1" s="1"/>
  <c r="B2529" i="1"/>
  <c r="B2529" i="1" a="1"/>
  <c r="A2529" i="1" a="1"/>
  <c r="A2529" i="1" s="1"/>
  <c r="B2528" i="1" a="1"/>
  <c r="B2528" i="1" s="1"/>
  <c r="A2528" i="1" a="1"/>
  <c r="A2528" i="1" s="1"/>
  <c r="C2528" i="1" s="1"/>
  <c r="B2527" i="1"/>
  <c r="B2527" i="1" a="1"/>
  <c r="A2527" i="1" a="1"/>
  <c r="A2527" i="1" s="1"/>
  <c r="B2526" i="1"/>
  <c r="B2526" i="1" a="1"/>
  <c r="A2526" i="1"/>
  <c r="A2526" i="1" a="1"/>
  <c r="B2525" i="1" a="1"/>
  <c r="B2525" i="1" s="1"/>
  <c r="A2525" i="1" a="1"/>
  <c r="A2525" i="1" s="1"/>
  <c r="B2524" i="1" a="1"/>
  <c r="B2524" i="1" s="1"/>
  <c r="A2524" i="1"/>
  <c r="A2524" i="1" a="1"/>
  <c r="B2523" i="1"/>
  <c r="B2523" i="1" a="1"/>
  <c r="A2523" i="1"/>
  <c r="E2523" i="1" s="1"/>
  <c r="A2523" i="1" a="1"/>
  <c r="B2522" i="1" a="1"/>
  <c r="B2522" i="1" s="1"/>
  <c r="A2522" i="1" a="1"/>
  <c r="A2522" i="1" s="1"/>
  <c r="B2521" i="1" a="1"/>
  <c r="B2521" i="1" s="1"/>
  <c r="A2521" i="1" a="1"/>
  <c r="A2521" i="1" s="1"/>
  <c r="C2521" i="1" s="1"/>
  <c r="B2520" i="1" a="1"/>
  <c r="B2520" i="1" s="1"/>
  <c r="A2520" i="1" a="1"/>
  <c r="A2520" i="1" s="1"/>
  <c r="C2520" i="1" s="1"/>
  <c r="B2519" i="1"/>
  <c r="B2519" i="1" a="1"/>
  <c r="A2519" i="1" a="1"/>
  <c r="A2519" i="1" s="1"/>
  <c r="B2518" i="1" a="1"/>
  <c r="B2518" i="1" s="1"/>
  <c r="A2518" i="1" a="1"/>
  <c r="A2518" i="1" s="1"/>
  <c r="B2517" i="1"/>
  <c r="B2517" i="1" a="1"/>
  <c r="A2517" i="1" a="1"/>
  <c r="A2517" i="1" s="1"/>
  <c r="C2517" i="1" s="1"/>
  <c r="B2516" i="1"/>
  <c r="B2516" i="1" a="1"/>
  <c r="A2516" i="1" a="1"/>
  <c r="A2516" i="1" s="1"/>
  <c r="E2516" i="1" s="1"/>
  <c r="B2515" i="1"/>
  <c r="B2515" i="1" a="1"/>
  <c r="A2515" i="1" a="1"/>
  <c r="A2515" i="1" s="1"/>
  <c r="C2514" i="1"/>
  <c r="B2514" i="1"/>
  <c r="B2514" i="1" a="1"/>
  <c r="A2514" i="1" a="1"/>
  <c r="A2514" i="1" s="1"/>
  <c r="B2513" i="1"/>
  <c r="B2513" i="1" a="1"/>
  <c r="A2513" i="1" a="1"/>
  <c r="A2513" i="1" s="1"/>
  <c r="E2513" i="1" s="1"/>
  <c r="B2512" i="1" a="1"/>
  <c r="B2512" i="1" s="1"/>
  <c r="A2512" i="1" a="1"/>
  <c r="A2512" i="1" s="1"/>
  <c r="B2511" i="1"/>
  <c r="B2511" i="1" a="1"/>
  <c r="A2511" i="1" a="1"/>
  <c r="A2511" i="1" s="1"/>
  <c r="G2511" i="1" s="1"/>
  <c r="B2510" i="1"/>
  <c r="B2510" i="1" a="1"/>
  <c r="A2510" i="1" a="1"/>
  <c r="A2510" i="1" s="1"/>
  <c r="B2509" i="1"/>
  <c r="B2509" i="1" a="1"/>
  <c r="A2509" i="1"/>
  <c r="A2509" i="1" a="1"/>
  <c r="B2508" i="1" a="1"/>
  <c r="B2508" i="1" s="1"/>
  <c r="A2508" i="1" a="1"/>
  <c r="A2508" i="1" s="1"/>
  <c r="C2508" i="1" s="1"/>
  <c r="D2508" i="1" s="1"/>
  <c r="B2507" i="1"/>
  <c r="B2507" i="1" a="1"/>
  <c r="A2507" i="1" a="1"/>
  <c r="A2507" i="1" s="1"/>
  <c r="C2507" i="1" s="1"/>
  <c r="D2507" i="1" s="1"/>
  <c r="B2506" i="1" a="1"/>
  <c r="B2506" i="1" s="1"/>
  <c r="A2506" i="1" a="1"/>
  <c r="A2506" i="1" s="1"/>
  <c r="B2505" i="1" a="1"/>
  <c r="B2505" i="1" s="1"/>
  <c r="A2505" i="1" a="1"/>
  <c r="A2505" i="1" s="1"/>
  <c r="C2504" i="1"/>
  <c r="B2504" i="1" a="1"/>
  <c r="B2504" i="1" s="1"/>
  <c r="A2504" i="1" a="1"/>
  <c r="A2504" i="1" s="1"/>
  <c r="E2504" i="1" s="1"/>
  <c r="B2503" i="1"/>
  <c r="B2503" i="1" a="1"/>
  <c r="A2503" i="1" a="1"/>
  <c r="A2503" i="1" s="1"/>
  <c r="B2502" i="1"/>
  <c r="B2502" i="1" a="1"/>
  <c r="A2502" i="1" a="1"/>
  <c r="A2502" i="1" s="1"/>
  <c r="C2502" i="1" s="1"/>
  <c r="B2501" i="1" a="1"/>
  <c r="B2501" i="1" s="1"/>
  <c r="A2501" i="1" a="1"/>
  <c r="A2501" i="1" s="1"/>
  <c r="E2501" i="1" s="1"/>
  <c r="B2500" i="1" a="1"/>
  <c r="B2500" i="1" s="1"/>
  <c r="A2500" i="1" a="1"/>
  <c r="A2500" i="1" s="1"/>
  <c r="G2500" i="1" s="1"/>
  <c r="B2499" i="1"/>
  <c r="B2499" i="1" a="1"/>
  <c r="A2499" i="1" a="1"/>
  <c r="A2499" i="1" s="1"/>
  <c r="B2498" i="1" a="1"/>
  <c r="B2498" i="1" s="1"/>
  <c r="A2498" i="1" a="1"/>
  <c r="A2498" i="1" s="1"/>
  <c r="C2498" i="1" s="1"/>
  <c r="B2497" i="1" a="1"/>
  <c r="B2497" i="1" s="1"/>
  <c r="A2497" i="1" a="1"/>
  <c r="A2497" i="1" s="1"/>
  <c r="B2496" i="1" a="1"/>
  <c r="B2496" i="1" s="1"/>
  <c r="A2496" i="1" a="1"/>
  <c r="A2496" i="1" s="1"/>
  <c r="B2495" i="1"/>
  <c r="B2495" i="1" a="1"/>
  <c r="A2495" i="1" a="1"/>
  <c r="A2495" i="1" s="1"/>
  <c r="B2494" i="1" a="1"/>
  <c r="B2494" i="1" s="1"/>
  <c r="A2494" i="1" a="1"/>
  <c r="A2494" i="1" s="1"/>
  <c r="B2493" i="1" a="1"/>
  <c r="B2493" i="1" s="1"/>
  <c r="A2493" i="1" a="1"/>
  <c r="A2493" i="1" s="1"/>
  <c r="B2492" i="1" a="1"/>
  <c r="B2492" i="1" s="1"/>
  <c r="A2492" i="1" a="1"/>
  <c r="A2492" i="1" s="1"/>
  <c r="B2491" i="1"/>
  <c r="B2491" i="1" a="1"/>
  <c r="A2491" i="1" a="1"/>
  <c r="A2491" i="1" s="1"/>
  <c r="C2490" i="1"/>
  <c r="D2490" i="1" s="1"/>
  <c r="B2490" i="1" a="1"/>
  <c r="B2490" i="1" s="1"/>
  <c r="A2490" i="1" a="1"/>
  <c r="A2490" i="1" s="1"/>
  <c r="G2490" i="1" s="1"/>
  <c r="B2489" i="1"/>
  <c r="B2489" i="1" a="1"/>
  <c r="A2489" i="1" a="1"/>
  <c r="A2489" i="1" s="1"/>
  <c r="B2488" i="1" a="1"/>
  <c r="B2488" i="1" s="1"/>
  <c r="A2488" i="1" a="1"/>
  <c r="A2488" i="1" s="1"/>
  <c r="B2487" i="1"/>
  <c r="B2487" i="1" a="1"/>
  <c r="A2487" i="1" a="1"/>
  <c r="A2487" i="1" s="1"/>
  <c r="E2487" i="1" s="1"/>
  <c r="B2486" i="1" a="1"/>
  <c r="B2486" i="1" s="1"/>
  <c r="A2486" i="1" a="1"/>
  <c r="A2486" i="1" s="1"/>
  <c r="B2485" i="1"/>
  <c r="B2485" i="1" a="1"/>
  <c r="A2485" i="1" a="1"/>
  <c r="A2485" i="1" s="1"/>
  <c r="C2485" i="1" s="1"/>
  <c r="D2485" i="1" s="1"/>
  <c r="G2484" i="1"/>
  <c r="B2484" i="1" a="1"/>
  <c r="B2484" i="1" s="1"/>
  <c r="A2484" i="1" a="1"/>
  <c r="A2484" i="1" s="1"/>
  <c r="B2483" i="1"/>
  <c r="B2483" i="1" a="1"/>
  <c r="A2483" i="1" a="1"/>
  <c r="A2483" i="1" s="1"/>
  <c r="B2482" i="1"/>
  <c r="B2482" i="1" a="1"/>
  <c r="A2482" i="1" a="1"/>
  <c r="A2482" i="1" s="1"/>
  <c r="B2481" i="1"/>
  <c r="B2481" i="1" a="1"/>
  <c r="A2481" i="1" a="1"/>
  <c r="A2481" i="1" s="1"/>
  <c r="G2480" i="1"/>
  <c r="B2480" i="1" a="1"/>
  <c r="B2480" i="1" s="1"/>
  <c r="A2480" i="1" a="1"/>
  <c r="A2480" i="1" s="1"/>
  <c r="B2479" i="1"/>
  <c r="B2479" i="1" a="1"/>
  <c r="A2479" i="1" a="1"/>
  <c r="A2479" i="1" s="1"/>
  <c r="B2478" i="1"/>
  <c r="B2478" i="1" a="1"/>
  <c r="A2478" i="1" a="1"/>
  <c r="A2478" i="1" s="1"/>
  <c r="C2478" i="1" s="1"/>
  <c r="D2478" i="1" s="1"/>
  <c r="B2477" i="1" a="1"/>
  <c r="B2477" i="1" s="1"/>
  <c r="A2477" i="1" a="1"/>
  <c r="A2477" i="1" s="1"/>
  <c r="C2477" i="1" s="1"/>
  <c r="D2477" i="1" s="1"/>
  <c r="B2476" i="1"/>
  <c r="B2476" i="1" a="1"/>
  <c r="A2476" i="1" a="1"/>
  <c r="A2476" i="1" s="1"/>
  <c r="C2476" i="1" s="1"/>
  <c r="B2475" i="1"/>
  <c r="B2475" i="1" a="1"/>
  <c r="A2475" i="1" a="1"/>
  <c r="A2475" i="1" s="1"/>
  <c r="E2475" i="1" s="1"/>
  <c r="B2474" i="1"/>
  <c r="B2474" i="1" a="1"/>
  <c r="A2474" i="1" a="1"/>
  <c r="A2474" i="1" s="1"/>
  <c r="B2473" i="1" a="1"/>
  <c r="B2473" i="1" s="1"/>
  <c r="A2473" i="1" a="1"/>
  <c r="A2473" i="1" s="1"/>
  <c r="B2472" i="1" a="1"/>
  <c r="B2472" i="1" s="1"/>
  <c r="A2472" i="1" a="1"/>
  <c r="A2472" i="1" s="1"/>
  <c r="E2472" i="1" s="1"/>
  <c r="B2471" i="1"/>
  <c r="B2471" i="1" a="1"/>
  <c r="A2471" i="1"/>
  <c r="C2471" i="1" s="1"/>
  <c r="D2471" i="1" s="1"/>
  <c r="A2471" i="1" a="1"/>
  <c r="E2470" i="1"/>
  <c r="B2470" i="1" a="1"/>
  <c r="B2470" i="1" s="1"/>
  <c r="A2470" i="1" a="1"/>
  <c r="A2470" i="1" s="1"/>
  <c r="G2470" i="1" s="1"/>
  <c r="B2469" i="1"/>
  <c r="B2469" i="1" a="1"/>
  <c r="A2469" i="1" a="1"/>
  <c r="A2469" i="1" s="1"/>
  <c r="C2469" i="1" s="1"/>
  <c r="D2469" i="1" s="1"/>
  <c r="B2468" i="1"/>
  <c r="B2468" i="1" a="1"/>
  <c r="A2468" i="1" a="1"/>
  <c r="A2468" i="1" s="1"/>
  <c r="B2467" i="1"/>
  <c r="B2467" i="1" a="1"/>
  <c r="A2467" i="1" a="1"/>
  <c r="A2467" i="1" s="1"/>
  <c r="G2467" i="1" s="1"/>
  <c r="B2466" i="1"/>
  <c r="B2466" i="1" a="1"/>
  <c r="A2466" i="1" a="1"/>
  <c r="A2466" i="1" s="1"/>
  <c r="C2465" i="1"/>
  <c r="D2465" i="1" s="1"/>
  <c r="B2465" i="1"/>
  <c r="B2465" i="1" a="1"/>
  <c r="A2465" i="1" a="1"/>
  <c r="A2465" i="1" s="1"/>
  <c r="B2464" i="1"/>
  <c r="B2464" i="1" a="1"/>
  <c r="A2464" i="1" a="1"/>
  <c r="A2464" i="1" s="1"/>
  <c r="B2463" i="1"/>
  <c r="B2463" i="1" a="1"/>
  <c r="A2463" i="1" a="1"/>
  <c r="A2463" i="1" s="1"/>
  <c r="B2462" i="1" a="1"/>
  <c r="B2462" i="1" s="1"/>
  <c r="A2462" i="1" a="1"/>
  <c r="A2462" i="1" s="1"/>
  <c r="B2461" i="1" a="1"/>
  <c r="B2461" i="1" s="1"/>
  <c r="A2461" i="1" a="1"/>
  <c r="A2461" i="1" s="1"/>
  <c r="B2460" i="1" a="1"/>
  <c r="B2460" i="1" s="1"/>
  <c r="A2460" i="1" a="1"/>
  <c r="A2460" i="1" s="1"/>
  <c r="B2459" i="1"/>
  <c r="B2459" i="1" a="1"/>
  <c r="A2459" i="1"/>
  <c r="C2459" i="1" s="1"/>
  <c r="D2459" i="1" s="1"/>
  <c r="A2459" i="1" a="1"/>
  <c r="E2458" i="1"/>
  <c r="B2458" i="1" a="1"/>
  <c r="B2458" i="1" s="1"/>
  <c r="A2458" i="1" a="1"/>
  <c r="A2458" i="1" s="1"/>
  <c r="B2457" i="1"/>
  <c r="B2457" i="1" a="1"/>
  <c r="A2457" i="1" a="1"/>
  <c r="A2457" i="1" s="1"/>
  <c r="B2456" i="1"/>
  <c r="B2456" i="1" a="1"/>
  <c r="A2456" i="1" a="1"/>
  <c r="A2456" i="1" s="1"/>
  <c r="B2455" i="1"/>
  <c r="B2455" i="1" a="1"/>
  <c r="A2455" i="1" a="1"/>
  <c r="A2455" i="1" s="1"/>
  <c r="G2455" i="1" s="1"/>
  <c r="B2454" i="1"/>
  <c r="B2454" i="1" a="1"/>
  <c r="A2454" i="1" a="1"/>
  <c r="A2454" i="1" s="1"/>
  <c r="B2453" i="1" a="1"/>
  <c r="B2453" i="1" s="1"/>
  <c r="A2453" i="1" a="1"/>
  <c r="A2453" i="1" s="1"/>
  <c r="B2452" i="1"/>
  <c r="B2452" i="1" a="1"/>
  <c r="A2452" i="1" a="1"/>
  <c r="A2452" i="1" s="1"/>
  <c r="B2451" i="1"/>
  <c r="B2451" i="1" a="1"/>
  <c r="A2451" i="1" a="1"/>
  <c r="A2451" i="1" s="1"/>
  <c r="E2450" i="1"/>
  <c r="B2450" i="1" a="1"/>
  <c r="B2450" i="1" s="1"/>
  <c r="A2450" i="1" a="1"/>
  <c r="A2450" i="1" s="1"/>
  <c r="C2450" i="1" s="1"/>
  <c r="C2449" i="1"/>
  <c r="B2449" i="1"/>
  <c r="B2449" i="1" a="1"/>
  <c r="A2449" i="1" a="1"/>
  <c r="A2449" i="1" s="1"/>
  <c r="B2448" i="1" a="1"/>
  <c r="B2448" i="1" s="1"/>
  <c r="A2448" i="1"/>
  <c r="A2448" i="1" a="1"/>
  <c r="B2447" i="1"/>
  <c r="B2447" i="1" a="1"/>
  <c r="A2447" i="1"/>
  <c r="A2447" i="1" a="1"/>
  <c r="B2446" i="1" a="1"/>
  <c r="B2446" i="1" s="1"/>
  <c r="A2446" i="1" a="1"/>
  <c r="A2446" i="1" s="1"/>
  <c r="E2446" i="1" s="1"/>
  <c r="B2445" i="1"/>
  <c r="B2445" i="1" a="1"/>
  <c r="A2445" i="1" a="1"/>
  <c r="A2445" i="1" s="1"/>
  <c r="B2444" i="1" a="1"/>
  <c r="B2444" i="1" s="1"/>
  <c r="A2444" i="1" a="1"/>
  <c r="A2444" i="1" s="1"/>
  <c r="E2444" i="1" s="1"/>
  <c r="B2443" i="1"/>
  <c r="B2443" i="1" a="1"/>
  <c r="A2443" i="1" a="1"/>
  <c r="A2443" i="1" s="1"/>
  <c r="E2443" i="1" s="1"/>
  <c r="B2442" i="1"/>
  <c r="B2442" i="1" a="1"/>
  <c r="A2442" i="1" a="1"/>
  <c r="A2442" i="1" s="1"/>
  <c r="G2442" i="1" s="1"/>
  <c r="B2441" i="1"/>
  <c r="B2441" i="1" a="1"/>
  <c r="A2441" i="1" a="1"/>
  <c r="A2441" i="1" s="1"/>
  <c r="B2440" i="1"/>
  <c r="B2440" i="1" a="1"/>
  <c r="A2440" i="1" a="1"/>
  <c r="A2440" i="1" s="1"/>
  <c r="B2439" i="1"/>
  <c r="B2439" i="1" a="1"/>
  <c r="A2439" i="1" a="1"/>
  <c r="A2439" i="1" s="1"/>
  <c r="C2439" i="1" s="1"/>
  <c r="D2439" i="1" s="1"/>
  <c r="B2438" i="1"/>
  <c r="B2438" i="1" a="1"/>
  <c r="A2438" i="1" a="1"/>
  <c r="A2438" i="1" s="1"/>
  <c r="B2437" i="1" a="1"/>
  <c r="B2437" i="1" s="1"/>
  <c r="A2437" i="1"/>
  <c r="A2437" i="1" a="1"/>
  <c r="B2436" i="1" a="1"/>
  <c r="B2436" i="1" s="1"/>
  <c r="A2436" i="1" a="1"/>
  <c r="A2436" i="1" s="1"/>
  <c r="B2435" i="1"/>
  <c r="B2435" i="1" a="1"/>
  <c r="A2435" i="1" a="1"/>
  <c r="A2435" i="1" s="1"/>
  <c r="C2435" i="1" s="1"/>
  <c r="B2434" i="1" a="1"/>
  <c r="B2434" i="1" s="1"/>
  <c r="A2434" i="1" a="1"/>
  <c r="A2434" i="1" s="1"/>
  <c r="E2434" i="1" s="1"/>
  <c r="B2433" i="1" a="1"/>
  <c r="B2433" i="1" s="1"/>
  <c r="A2433" i="1" a="1"/>
  <c r="A2433" i="1" s="1"/>
  <c r="B2432" i="1" a="1"/>
  <c r="B2432" i="1" s="1"/>
  <c r="A2432" i="1" a="1"/>
  <c r="A2432" i="1" s="1"/>
  <c r="B2431" i="1"/>
  <c r="B2431" i="1" a="1"/>
  <c r="A2431" i="1"/>
  <c r="A2431" i="1" a="1"/>
  <c r="B2430" i="1" a="1"/>
  <c r="B2430" i="1" s="1"/>
  <c r="A2430" i="1" a="1"/>
  <c r="A2430" i="1" s="1"/>
  <c r="B2429" i="1" a="1"/>
  <c r="B2429" i="1" s="1"/>
  <c r="A2429" i="1" a="1"/>
  <c r="A2429" i="1" s="1"/>
  <c r="B2428" i="1"/>
  <c r="B2428" i="1" a="1"/>
  <c r="A2428" i="1" a="1"/>
  <c r="A2428" i="1" s="1"/>
  <c r="C2428" i="1" s="1"/>
  <c r="B2427" i="1"/>
  <c r="B2427" i="1" a="1"/>
  <c r="A2427" i="1" a="1"/>
  <c r="A2427" i="1" s="1"/>
  <c r="B2426" i="1" a="1"/>
  <c r="B2426" i="1" s="1"/>
  <c r="A2426" i="1" a="1"/>
  <c r="A2426" i="1" s="1"/>
  <c r="B2425" i="1" a="1"/>
  <c r="B2425" i="1" s="1"/>
  <c r="A2425" i="1" a="1"/>
  <c r="A2425" i="1" s="1"/>
  <c r="E2424" i="1"/>
  <c r="B2424" i="1"/>
  <c r="B2424" i="1" a="1"/>
  <c r="A2424" i="1" a="1"/>
  <c r="A2424" i="1" s="1"/>
  <c r="G2424" i="1" s="1"/>
  <c r="B2423" i="1"/>
  <c r="B2423" i="1" a="1"/>
  <c r="A2423" i="1" a="1"/>
  <c r="A2423" i="1" s="1"/>
  <c r="B2422" i="1" a="1"/>
  <c r="B2422" i="1" s="1"/>
  <c r="A2422" i="1"/>
  <c r="C2422" i="1" s="1"/>
  <c r="A2422" i="1" a="1"/>
  <c r="B2421" i="1"/>
  <c r="B2421" i="1" a="1"/>
  <c r="A2421" i="1" a="1"/>
  <c r="A2421" i="1" s="1"/>
  <c r="C2421" i="1" s="1"/>
  <c r="D2421" i="1" s="1"/>
  <c r="C2420" i="1"/>
  <c r="B2420" i="1"/>
  <c r="B2420" i="1" a="1"/>
  <c r="A2420" i="1" a="1"/>
  <c r="A2420" i="1" s="1"/>
  <c r="B2419" i="1"/>
  <c r="B2419" i="1" a="1"/>
  <c r="A2419" i="1"/>
  <c r="A2419" i="1" a="1"/>
  <c r="B2418" i="1" a="1"/>
  <c r="B2418" i="1" s="1"/>
  <c r="A2418" i="1" a="1"/>
  <c r="A2418" i="1" s="1"/>
  <c r="C2418" i="1" s="1"/>
  <c r="E2417" i="1"/>
  <c r="C2417" i="1"/>
  <c r="D2417" i="1" s="1"/>
  <c r="B2417" i="1"/>
  <c r="B2417" i="1" a="1"/>
  <c r="A2417" i="1" a="1"/>
  <c r="A2417" i="1" s="1"/>
  <c r="G2417" i="1" s="1"/>
  <c r="B2416" i="1" a="1"/>
  <c r="B2416" i="1" s="1"/>
  <c r="A2416" i="1" a="1"/>
  <c r="A2416" i="1" s="1"/>
  <c r="B2415" i="1"/>
  <c r="B2415" i="1" a="1"/>
  <c r="A2415" i="1" a="1"/>
  <c r="A2415" i="1" s="1"/>
  <c r="B2414" i="1"/>
  <c r="E2414" i="1" s="1"/>
  <c r="B2414" i="1" a="1"/>
  <c r="A2414" i="1" a="1"/>
  <c r="A2414" i="1" s="1"/>
  <c r="C2414" i="1" s="1"/>
  <c r="D2414" i="1" s="1"/>
  <c r="B2413" i="1"/>
  <c r="B2413" i="1" a="1"/>
  <c r="A2413" i="1" a="1"/>
  <c r="A2413" i="1" s="1"/>
  <c r="B2412" i="1" a="1"/>
  <c r="B2412" i="1" s="1"/>
  <c r="A2412" i="1" a="1"/>
  <c r="A2412" i="1" s="1"/>
  <c r="C2412" i="1" s="1"/>
  <c r="B2411" i="1"/>
  <c r="B2411" i="1" a="1"/>
  <c r="A2411" i="1" a="1"/>
  <c r="A2411" i="1" s="1"/>
  <c r="B2410" i="1" a="1"/>
  <c r="B2410" i="1" s="1"/>
  <c r="A2410" i="1" a="1"/>
  <c r="A2410" i="1" s="1"/>
  <c r="B2409" i="1" a="1"/>
  <c r="B2409" i="1" s="1"/>
  <c r="A2409" i="1" a="1"/>
  <c r="A2409" i="1" s="1"/>
  <c r="C2409" i="1" s="1"/>
  <c r="B2408" i="1"/>
  <c r="B2408" i="1" a="1"/>
  <c r="A2408" i="1" a="1"/>
  <c r="A2408" i="1" s="1"/>
  <c r="C2408" i="1" s="1"/>
  <c r="B2407" i="1"/>
  <c r="B2407" i="1" a="1"/>
  <c r="A2407" i="1" a="1"/>
  <c r="A2407" i="1" s="1"/>
  <c r="B2406" i="1" a="1"/>
  <c r="B2406" i="1" s="1"/>
  <c r="A2406" i="1" a="1"/>
  <c r="A2406" i="1" s="1"/>
  <c r="B2405" i="1" a="1"/>
  <c r="B2405" i="1" s="1"/>
  <c r="A2405" i="1" a="1"/>
  <c r="A2405" i="1" s="1"/>
  <c r="B2404" i="1" a="1"/>
  <c r="B2404" i="1" s="1"/>
  <c r="A2404" i="1" a="1"/>
  <c r="A2404" i="1" s="1"/>
  <c r="B2403" i="1"/>
  <c r="B2403" i="1" a="1"/>
  <c r="A2403" i="1" a="1"/>
  <c r="A2403" i="1" s="1"/>
  <c r="B2402" i="1"/>
  <c r="B2402" i="1" a="1"/>
  <c r="A2402" i="1"/>
  <c r="C2402" i="1" s="1"/>
  <c r="D2402" i="1" s="1"/>
  <c r="A2402" i="1" a="1"/>
  <c r="B2401" i="1" a="1"/>
  <c r="B2401" i="1" s="1"/>
  <c r="A2401" i="1" a="1"/>
  <c r="A2401" i="1" s="1"/>
  <c r="E2401" i="1" s="1"/>
  <c r="B2400" i="1" a="1"/>
  <c r="B2400" i="1" s="1"/>
  <c r="A2400" i="1" a="1"/>
  <c r="A2400" i="1" s="1"/>
  <c r="B2399" i="1"/>
  <c r="B2399" i="1" a="1"/>
  <c r="A2399" i="1" a="1"/>
  <c r="A2399" i="1" s="1"/>
  <c r="B2398" i="1" a="1"/>
  <c r="B2398" i="1" s="1"/>
  <c r="A2398" i="1"/>
  <c r="E2398" i="1" s="1"/>
  <c r="A2398" i="1" a="1"/>
  <c r="B2397" i="1" a="1"/>
  <c r="B2397" i="1" s="1"/>
  <c r="A2397" i="1" a="1"/>
  <c r="A2397" i="1" s="1"/>
  <c r="B2396" i="1"/>
  <c r="B2396" i="1" a="1"/>
  <c r="A2396" i="1" a="1"/>
  <c r="A2396" i="1" s="1"/>
  <c r="B2395" i="1"/>
  <c r="B2395" i="1" a="1"/>
  <c r="A2395" i="1" a="1"/>
  <c r="A2395" i="1" s="1"/>
  <c r="E2395" i="1" s="1"/>
  <c r="C2394" i="1"/>
  <c r="D2394" i="1" s="1"/>
  <c r="B2394" i="1" a="1"/>
  <c r="B2394" i="1" s="1"/>
  <c r="A2394" i="1" a="1"/>
  <c r="A2394" i="1" s="1"/>
  <c r="G2394" i="1" s="1"/>
  <c r="C2393" i="1"/>
  <c r="B2393" i="1" a="1"/>
  <c r="B2393" i="1" s="1"/>
  <c r="A2393" i="1" a="1"/>
  <c r="A2393" i="1" s="1"/>
  <c r="E2393" i="1" s="1"/>
  <c r="B2392" i="1"/>
  <c r="B2392" i="1" a="1"/>
  <c r="A2392" i="1"/>
  <c r="C2392" i="1" s="1"/>
  <c r="A2392" i="1" a="1"/>
  <c r="B2391" i="1"/>
  <c r="B2391" i="1" a="1"/>
  <c r="A2391" i="1" a="1"/>
  <c r="A2391" i="1" s="1"/>
  <c r="B2390" i="1"/>
  <c r="B2390" i="1" a="1"/>
  <c r="A2390" i="1" a="1"/>
  <c r="A2390" i="1" s="1"/>
  <c r="C2389" i="1"/>
  <c r="B2389" i="1" a="1"/>
  <c r="B2389" i="1" s="1"/>
  <c r="A2389" i="1" a="1"/>
  <c r="A2389" i="1" s="1"/>
  <c r="E2388" i="1"/>
  <c r="B2388" i="1" a="1"/>
  <c r="B2388" i="1" s="1"/>
  <c r="A2388" i="1" a="1"/>
  <c r="A2388" i="1" s="1"/>
  <c r="B2387" i="1"/>
  <c r="B2387" i="1" a="1"/>
  <c r="A2387" i="1" a="1"/>
  <c r="A2387" i="1" s="1"/>
  <c r="C2387" i="1" s="1"/>
  <c r="D2387" i="1" s="1"/>
  <c r="B2386" i="1"/>
  <c r="B2386" i="1" a="1"/>
  <c r="A2386" i="1" a="1"/>
  <c r="A2386" i="1" s="1"/>
  <c r="B2385" i="1"/>
  <c r="B2385" i="1" a="1"/>
  <c r="A2385" i="1" a="1"/>
  <c r="A2385" i="1" s="1"/>
  <c r="B2384" i="1"/>
  <c r="G2384" i="1" s="1"/>
  <c r="B2384" i="1" a="1"/>
  <c r="A2384" i="1" a="1"/>
  <c r="A2384" i="1" s="1"/>
  <c r="B2383" i="1"/>
  <c r="B2383" i="1" a="1"/>
  <c r="A2383" i="1" a="1"/>
  <c r="A2383" i="1" s="1"/>
  <c r="C2383" i="1" s="1"/>
  <c r="B2382" i="1"/>
  <c r="B2382" i="1" a="1"/>
  <c r="A2382" i="1" a="1"/>
  <c r="A2382" i="1" s="1"/>
  <c r="C2381" i="1"/>
  <c r="D2381" i="1" s="1"/>
  <c r="B2381" i="1" a="1"/>
  <c r="B2381" i="1" s="1"/>
  <c r="A2381" i="1"/>
  <c r="A2381" i="1" a="1"/>
  <c r="B2380" i="1" a="1"/>
  <c r="B2380" i="1" s="1"/>
  <c r="A2380" i="1" a="1"/>
  <c r="A2380" i="1" s="1"/>
  <c r="B2379" i="1"/>
  <c r="B2379" i="1" a="1"/>
  <c r="A2379" i="1" a="1"/>
  <c r="A2379" i="1" s="1"/>
  <c r="E2379" i="1" s="1"/>
  <c r="B2378" i="1" a="1"/>
  <c r="B2378" i="1" s="1"/>
  <c r="A2378" i="1" a="1"/>
  <c r="A2378" i="1" s="1"/>
  <c r="B2377" i="1"/>
  <c r="B2377" i="1" a="1"/>
  <c r="A2377" i="1" a="1"/>
  <c r="A2377" i="1" s="1"/>
  <c r="B2376" i="1"/>
  <c r="B2376" i="1" a="1"/>
  <c r="A2376" i="1" a="1"/>
  <c r="A2376" i="1" s="1"/>
  <c r="C2376" i="1" s="1"/>
  <c r="D2376" i="1" s="1"/>
  <c r="B2375" i="1"/>
  <c r="B2375" i="1" a="1"/>
  <c r="A2375" i="1" a="1"/>
  <c r="A2375" i="1" s="1"/>
  <c r="G2374" i="1"/>
  <c r="E2374" i="1"/>
  <c r="C2374" i="1"/>
  <c r="D2374" i="1" s="1"/>
  <c r="B2374" i="1" a="1"/>
  <c r="B2374" i="1" s="1"/>
  <c r="A2374" i="1" a="1"/>
  <c r="A2374" i="1" s="1"/>
  <c r="B2373" i="1" a="1"/>
  <c r="B2373" i="1" s="1"/>
  <c r="A2373" i="1" a="1"/>
  <c r="A2373" i="1" s="1"/>
  <c r="B2372" i="1"/>
  <c r="B2372" i="1" a="1"/>
  <c r="A2372" i="1" a="1"/>
  <c r="A2372" i="1" s="1"/>
  <c r="B2371" i="1"/>
  <c r="B2371" i="1" a="1"/>
  <c r="A2371" i="1"/>
  <c r="A2371" i="1" a="1"/>
  <c r="C2370" i="1"/>
  <c r="B2370" i="1" a="1"/>
  <c r="B2370" i="1" s="1"/>
  <c r="A2370" i="1" a="1"/>
  <c r="A2370" i="1" s="1"/>
  <c r="B2369" i="1"/>
  <c r="B2369" i="1" a="1"/>
  <c r="A2369" i="1" a="1"/>
  <c r="A2369" i="1" s="1"/>
  <c r="B2368" i="1"/>
  <c r="B2368" i="1" a="1"/>
  <c r="A2368" i="1" a="1"/>
  <c r="A2368" i="1" s="1"/>
  <c r="B2367" i="1"/>
  <c r="B2367" i="1" a="1"/>
  <c r="A2367" i="1" a="1"/>
  <c r="A2367" i="1" s="1"/>
  <c r="B2366" i="1" a="1"/>
  <c r="B2366" i="1" s="1"/>
  <c r="A2366" i="1" a="1"/>
  <c r="A2366" i="1" s="1"/>
  <c r="B2365" i="1" a="1"/>
  <c r="B2365" i="1" s="1"/>
  <c r="A2365" i="1" a="1"/>
  <c r="A2365" i="1" s="1"/>
  <c r="B2364" i="1" a="1"/>
  <c r="B2364" i="1" s="1"/>
  <c r="A2364" i="1" a="1"/>
  <c r="A2364" i="1" s="1"/>
  <c r="C2364" i="1" s="1"/>
  <c r="D2364" i="1" s="1"/>
  <c r="B2363" i="1"/>
  <c r="B2363" i="1" a="1"/>
  <c r="A2363" i="1" a="1"/>
  <c r="A2363" i="1" s="1"/>
  <c r="B2362" i="1" a="1"/>
  <c r="B2362" i="1" s="1"/>
  <c r="A2362" i="1"/>
  <c r="A2362" i="1" a="1"/>
  <c r="B2361" i="1"/>
  <c r="B2361" i="1" a="1"/>
  <c r="A2361" i="1" a="1"/>
  <c r="A2361" i="1" s="1"/>
  <c r="B2360" i="1"/>
  <c r="B2360" i="1" a="1"/>
  <c r="A2360" i="1" a="1"/>
  <c r="A2360" i="1" s="1"/>
  <c r="B2359" i="1"/>
  <c r="B2359" i="1" a="1"/>
  <c r="A2359" i="1" a="1"/>
  <c r="A2359" i="1" s="1"/>
  <c r="C2359" i="1" s="1"/>
  <c r="D2359" i="1" s="1"/>
  <c r="B2358" i="1" a="1"/>
  <c r="B2358" i="1" s="1"/>
  <c r="A2358" i="1"/>
  <c r="A2358" i="1" a="1"/>
  <c r="B2357" i="1" a="1"/>
  <c r="B2357" i="1" s="1"/>
  <c r="A2357" i="1" a="1"/>
  <c r="A2357" i="1" s="1"/>
  <c r="E2357" i="1" s="1"/>
  <c r="B2356" i="1"/>
  <c r="B2356" i="1" a="1"/>
  <c r="A2356" i="1" a="1"/>
  <c r="A2356" i="1" s="1"/>
  <c r="B2355" i="1"/>
  <c r="B2355" i="1" a="1"/>
  <c r="A2355" i="1" a="1"/>
  <c r="A2355" i="1" s="1"/>
  <c r="C2354" i="1"/>
  <c r="B2354" i="1" a="1"/>
  <c r="B2354" i="1" s="1"/>
  <c r="E2354" i="1" s="1"/>
  <c r="A2354" i="1" a="1"/>
  <c r="A2354" i="1" s="1"/>
  <c r="B2353" i="1" a="1"/>
  <c r="B2353" i="1" s="1"/>
  <c r="A2353" i="1" a="1"/>
  <c r="A2353" i="1" s="1"/>
  <c r="B2352" i="1"/>
  <c r="B2352" i="1" a="1"/>
  <c r="A2352" i="1" a="1"/>
  <c r="A2352" i="1" s="1"/>
  <c r="G2352" i="1" s="1"/>
  <c r="B2351" i="1"/>
  <c r="B2351" i="1" a="1"/>
  <c r="A2351" i="1" a="1"/>
  <c r="A2351" i="1" s="1"/>
  <c r="G2351" i="1" s="1"/>
  <c r="B2350" i="1" a="1"/>
  <c r="B2350" i="1" s="1"/>
  <c r="A2350" i="1" a="1"/>
  <c r="A2350" i="1" s="1"/>
  <c r="B2349" i="1"/>
  <c r="B2349" i="1" a="1"/>
  <c r="A2349" i="1" a="1"/>
  <c r="A2349" i="1" s="1"/>
  <c r="B2348" i="1" a="1"/>
  <c r="B2348" i="1" s="1"/>
  <c r="A2348" i="1" a="1"/>
  <c r="A2348" i="1" s="1"/>
  <c r="B2347" i="1"/>
  <c r="B2347" i="1" a="1"/>
  <c r="A2347" i="1" a="1"/>
  <c r="A2347" i="1" s="1"/>
  <c r="C2346" i="1"/>
  <c r="B2346" i="1"/>
  <c r="B2346" i="1" a="1"/>
  <c r="A2346" i="1" a="1"/>
  <c r="A2346" i="1" s="1"/>
  <c r="B2345" i="1"/>
  <c r="B2345" i="1" a="1"/>
  <c r="A2345" i="1" a="1"/>
  <c r="A2345" i="1" s="1"/>
  <c r="B2344" i="1"/>
  <c r="B2344" i="1" a="1"/>
  <c r="A2344" i="1" a="1"/>
  <c r="A2344" i="1" s="1"/>
  <c r="C2343" i="1"/>
  <c r="B2343" i="1"/>
  <c r="B2343" i="1" a="1"/>
  <c r="A2343" i="1" a="1"/>
  <c r="A2343" i="1" s="1"/>
  <c r="G2343" i="1" s="1"/>
  <c r="B2342" i="1"/>
  <c r="B2342" i="1" a="1"/>
  <c r="A2342" i="1" a="1"/>
  <c r="A2342" i="1" s="1"/>
  <c r="B2341" i="1"/>
  <c r="B2341" i="1" a="1"/>
  <c r="A2341" i="1" a="1"/>
  <c r="A2341" i="1" s="1"/>
  <c r="C2341" i="1" s="1"/>
  <c r="D2341" i="1" s="1"/>
  <c r="B2340" i="1"/>
  <c r="B2340" i="1" a="1"/>
  <c r="A2340" i="1"/>
  <c r="G2340" i="1" s="1"/>
  <c r="A2340" i="1" a="1"/>
  <c r="G2339" i="1"/>
  <c r="B2339" i="1" a="1"/>
  <c r="B2339" i="1" s="1"/>
  <c r="A2339" i="1" a="1"/>
  <c r="A2339" i="1" s="1"/>
  <c r="B2338" i="1"/>
  <c r="B2338" i="1" a="1"/>
  <c r="A2338" i="1" a="1"/>
  <c r="A2338" i="1" s="1"/>
  <c r="B2337" i="1" a="1"/>
  <c r="B2337" i="1" s="1"/>
  <c r="A2337" i="1" a="1"/>
  <c r="A2337" i="1" s="1"/>
  <c r="B2336" i="1" a="1"/>
  <c r="B2336" i="1" s="1"/>
  <c r="A2336" i="1"/>
  <c r="C2336" i="1" s="1"/>
  <c r="A2336" i="1" a="1"/>
  <c r="B2335" i="1" a="1"/>
  <c r="B2335" i="1" s="1"/>
  <c r="A2335" i="1" a="1"/>
  <c r="A2335" i="1" s="1"/>
  <c r="B2334" i="1"/>
  <c r="B2334" i="1" a="1"/>
  <c r="A2334" i="1" a="1"/>
  <c r="A2334" i="1" s="1"/>
  <c r="C2334" i="1" s="1"/>
  <c r="B2333" i="1"/>
  <c r="B2333" i="1" a="1"/>
  <c r="A2333" i="1" a="1"/>
  <c r="A2333" i="1" s="1"/>
  <c r="B2332" i="1" a="1"/>
  <c r="B2332" i="1" s="1"/>
  <c r="A2332" i="1" a="1"/>
  <c r="A2332" i="1" s="1"/>
  <c r="B2331" i="1"/>
  <c r="B2331" i="1" a="1"/>
  <c r="A2331" i="1" a="1"/>
  <c r="A2331" i="1" s="1"/>
  <c r="B2330" i="1"/>
  <c r="B2330" i="1" a="1"/>
  <c r="A2330" i="1" a="1"/>
  <c r="A2330" i="1" s="1"/>
  <c r="B2329" i="1" a="1"/>
  <c r="B2329" i="1" s="1"/>
  <c r="A2329" i="1" a="1"/>
  <c r="A2329" i="1" s="1"/>
  <c r="B2328" i="1" a="1"/>
  <c r="B2328" i="1" s="1"/>
  <c r="A2328" i="1" a="1"/>
  <c r="A2328" i="1" s="1"/>
  <c r="B2327" i="1"/>
  <c r="B2327" i="1" a="1"/>
  <c r="A2327" i="1" a="1"/>
  <c r="A2327" i="1" s="1"/>
  <c r="B2326" i="1"/>
  <c r="B2326" i="1" a="1"/>
  <c r="A2326" i="1" a="1"/>
  <c r="A2326" i="1" s="1"/>
  <c r="C2326" i="1" s="1"/>
  <c r="D2326" i="1" s="1"/>
  <c r="B2325" i="1"/>
  <c r="B2325" i="1" a="1"/>
  <c r="A2325" i="1" a="1"/>
  <c r="A2325" i="1" s="1"/>
  <c r="B2324" i="1"/>
  <c r="B2324" i="1" a="1"/>
  <c r="A2324" i="1" a="1"/>
  <c r="A2324" i="1" s="1"/>
  <c r="B2323" i="1"/>
  <c r="B2323" i="1" a="1"/>
  <c r="A2323" i="1" a="1"/>
  <c r="A2323" i="1" s="1"/>
  <c r="B2322" i="1"/>
  <c r="B2322" i="1" a="1"/>
  <c r="A2322" i="1"/>
  <c r="A2322" i="1" a="1"/>
  <c r="B2321" i="1" a="1"/>
  <c r="B2321" i="1" s="1"/>
  <c r="A2321" i="1" a="1"/>
  <c r="A2321" i="1" s="1"/>
  <c r="B2320" i="1"/>
  <c r="B2320" i="1" a="1"/>
  <c r="A2320" i="1"/>
  <c r="E2320" i="1" s="1"/>
  <c r="A2320" i="1" a="1"/>
  <c r="C2319" i="1"/>
  <c r="B2319" i="1" a="1"/>
  <c r="B2319" i="1" s="1"/>
  <c r="A2319" i="1" a="1"/>
  <c r="A2319" i="1" s="1"/>
  <c r="G2319" i="1" s="1"/>
  <c r="B2318" i="1"/>
  <c r="B2318" i="1" a="1"/>
  <c r="A2318" i="1" a="1"/>
  <c r="A2318" i="1" s="1"/>
  <c r="G2318" i="1" s="1"/>
  <c r="B2317" i="1"/>
  <c r="B2317" i="1" a="1"/>
  <c r="A2317" i="1" a="1"/>
  <c r="A2317" i="1" s="1"/>
  <c r="C2317" i="1" s="1"/>
  <c r="B2316" i="1"/>
  <c r="B2316" i="1" a="1"/>
  <c r="A2316" i="1" a="1"/>
  <c r="A2316" i="1" s="1"/>
  <c r="C2316" i="1" s="1"/>
  <c r="D2316" i="1" s="1"/>
  <c r="C2315" i="1"/>
  <c r="D2315" i="1" s="1"/>
  <c r="B2315" i="1" a="1"/>
  <c r="B2315" i="1" s="1"/>
  <c r="A2315" i="1"/>
  <c r="A2315" i="1" a="1"/>
  <c r="C2314" i="1"/>
  <c r="D2314" i="1" s="1"/>
  <c r="B2314" i="1"/>
  <c r="B2314" i="1" a="1"/>
  <c r="A2314" i="1" a="1"/>
  <c r="A2314" i="1" s="1"/>
  <c r="G2314" i="1" s="1"/>
  <c r="B2313" i="1"/>
  <c r="B2313" i="1" a="1"/>
  <c r="A2313" i="1" a="1"/>
  <c r="A2313" i="1" s="1"/>
  <c r="C2313" i="1" s="1"/>
  <c r="B2312" i="1" a="1"/>
  <c r="B2312" i="1" s="1"/>
  <c r="A2312" i="1" a="1"/>
  <c r="A2312" i="1" s="1"/>
  <c r="C2312" i="1" s="1"/>
  <c r="B2311" i="1" a="1"/>
  <c r="B2311" i="1" s="1"/>
  <c r="A2311" i="1" a="1"/>
  <c r="A2311" i="1" s="1"/>
  <c r="B2310" i="1"/>
  <c r="B2310" i="1" a="1"/>
  <c r="A2310" i="1" a="1"/>
  <c r="A2310" i="1" s="1"/>
  <c r="B2309" i="1"/>
  <c r="B2309" i="1" a="1"/>
  <c r="A2309" i="1" a="1"/>
  <c r="A2309" i="1" s="1"/>
  <c r="B2308" i="1" a="1"/>
  <c r="B2308" i="1" s="1"/>
  <c r="A2308" i="1" a="1"/>
  <c r="A2308" i="1" s="1"/>
  <c r="C2308" i="1" s="1"/>
  <c r="D2308" i="1" s="1"/>
  <c r="C2307" i="1"/>
  <c r="D2307" i="1" s="1"/>
  <c r="B2307" i="1"/>
  <c r="B2307" i="1" a="1"/>
  <c r="A2307" i="1" a="1"/>
  <c r="A2307" i="1" s="1"/>
  <c r="E2307" i="1" s="1"/>
  <c r="B2306" i="1"/>
  <c r="B2306" i="1" a="1"/>
  <c r="A2306" i="1" a="1"/>
  <c r="A2306" i="1" s="1"/>
  <c r="E2306" i="1" s="1"/>
  <c r="B2305" i="1" a="1"/>
  <c r="B2305" i="1" s="1"/>
  <c r="A2305" i="1"/>
  <c r="A2305" i="1" a="1"/>
  <c r="B2304" i="1" a="1"/>
  <c r="B2304" i="1" s="1"/>
  <c r="A2304" i="1" a="1"/>
  <c r="A2304" i="1" s="1"/>
  <c r="E2304" i="1" s="1"/>
  <c r="B2303" i="1" a="1"/>
  <c r="B2303" i="1" s="1"/>
  <c r="A2303" i="1"/>
  <c r="G2303" i="1" s="1"/>
  <c r="A2303" i="1" a="1"/>
  <c r="B2302" i="1"/>
  <c r="B2302" i="1" a="1"/>
  <c r="A2302" i="1" a="1"/>
  <c r="A2302" i="1" s="1"/>
  <c r="E2302" i="1" s="1"/>
  <c r="B2301" i="1" a="1"/>
  <c r="B2301" i="1" s="1"/>
  <c r="A2301" i="1" a="1"/>
  <c r="A2301" i="1" s="1"/>
  <c r="B2300" i="1"/>
  <c r="B2300" i="1" a="1"/>
  <c r="A2300" i="1" a="1"/>
  <c r="A2300" i="1" s="1"/>
  <c r="B2299" i="1"/>
  <c r="B2299" i="1" a="1"/>
  <c r="A2299" i="1" a="1"/>
  <c r="A2299" i="1" s="1"/>
  <c r="B2298" i="1"/>
  <c r="B2298" i="1" a="1"/>
  <c r="A2298" i="1"/>
  <c r="C2298" i="1" s="1"/>
  <c r="A2298" i="1" a="1"/>
  <c r="B2297" i="1" a="1"/>
  <c r="B2297" i="1" s="1"/>
  <c r="A2297" i="1" a="1"/>
  <c r="A2297" i="1" s="1"/>
  <c r="B2296" i="1"/>
  <c r="B2296" i="1" a="1"/>
  <c r="A2296" i="1"/>
  <c r="E2296" i="1" s="1"/>
  <c r="A2296" i="1" a="1"/>
  <c r="B2295" i="1"/>
  <c r="B2295" i="1" a="1"/>
  <c r="A2295" i="1"/>
  <c r="C2295" i="1" s="1"/>
  <c r="D2295" i="1" s="1"/>
  <c r="A2295" i="1" a="1"/>
  <c r="B2294" i="1"/>
  <c r="B2294" i="1" a="1"/>
  <c r="A2294" i="1" a="1"/>
  <c r="A2294" i="1" s="1"/>
  <c r="C2293" i="1"/>
  <c r="D2293" i="1" s="1"/>
  <c r="B2293" i="1"/>
  <c r="B2293" i="1" a="1"/>
  <c r="A2293" i="1" a="1"/>
  <c r="A2293" i="1" s="1"/>
  <c r="B2292" i="1"/>
  <c r="B2292" i="1" a="1"/>
  <c r="A2292" i="1" a="1"/>
  <c r="A2292" i="1" s="1"/>
  <c r="B2291" i="1" a="1"/>
  <c r="B2291" i="1" s="1"/>
  <c r="A2291" i="1"/>
  <c r="A2291" i="1" a="1"/>
  <c r="B2290" i="1"/>
  <c r="B2290" i="1" a="1"/>
  <c r="A2290" i="1"/>
  <c r="A2290" i="1" a="1"/>
  <c r="B2289" i="1"/>
  <c r="B2289" i="1" a="1"/>
  <c r="A2289" i="1" a="1"/>
  <c r="A2289" i="1" s="1"/>
  <c r="C2289" i="1" s="1"/>
  <c r="C2288" i="1"/>
  <c r="B2288" i="1" a="1"/>
  <c r="B2288" i="1" s="1"/>
  <c r="E2288" i="1" s="1"/>
  <c r="A2288" i="1"/>
  <c r="A2288" i="1" a="1"/>
  <c r="B2287" i="1" a="1"/>
  <c r="B2287" i="1" s="1"/>
  <c r="A2287" i="1" a="1"/>
  <c r="A2287" i="1" s="1"/>
  <c r="B2286" i="1"/>
  <c r="B2286" i="1" a="1"/>
  <c r="A2286" i="1" a="1"/>
  <c r="A2286" i="1" s="1"/>
  <c r="B2285" i="1"/>
  <c r="B2285" i="1" a="1"/>
  <c r="A2285" i="1" a="1"/>
  <c r="A2285" i="1" s="1"/>
  <c r="B2284" i="1" a="1"/>
  <c r="B2284" i="1" s="1"/>
  <c r="A2284" i="1"/>
  <c r="A2284" i="1" a="1"/>
  <c r="B2283" i="1"/>
  <c r="B2283" i="1" a="1"/>
  <c r="A2283" i="1" a="1"/>
  <c r="A2283" i="1" s="1"/>
  <c r="B2282" i="1"/>
  <c r="B2282" i="1" a="1"/>
  <c r="A2282" i="1"/>
  <c r="A2282" i="1" a="1"/>
  <c r="C2281" i="1"/>
  <c r="D2281" i="1" s="1"/>
  <c r="B2281" i="1"/>
  <c r="E2281" i="1" s="1"/>
  <c r="B2281" i="1" a="1"/>
  <c r="A2281" i="1" a="1"/>
  <c r="A2281" i="1" s="1"/>
  <c r="B2280" i="1" a="1"/>
  <c r="B2280" i="1" s="1"/>
  <c r="A2280" i="1" a="1"/>
  <c r="A2280" i="1" s="1"/>
  <c r="E2280" i="1" s="1"/>
  <c r="B2279" i="1"/>
  <c r="B2279" i="1" a="1"/>
  <c r="A2279" i="1" a="1"/>
  <c r="A2279" i="1" s="1"/>
  <c r="G2279" i="1" s="1"/>
  <c r="B2278" i="1"/>
  <c r="B2278" i="1" a="1"/>
  <c r="A2278" i="1" a="1"/>
  <c r="A2278" i="1" s="1"/>
  <c r="B2277" i="1"/>
  <c r="B2277" i="1" a="1"/>
  <c r="A2277" i="1" a="1"/>
  <c r="A2277" i="1" s="1"/>
  <c r="B2276" i="1"/>
  <c r="B2276" i="1" a="1"/>
  <c r="A2276" i="1" a="1"/>
  <c r="A2276" i="1" s="1"/>
  <c r="C2275" i="1"/>
  <c r="D2275" i="1" s="1"/>
  <c r="B2275" i="1"/>
  <c r="B2275" i="1" a="1"/>
  <c r="A2275" i="1" a="1"/>
  <c r="A2275" i="1" s="1"/>
  <c r="G2275" i="1" s="1"/>
  <c r="B2274" i="1"/>
  <c r="B2274" i="1" a="1"/>
  <c r="A2274" i="1" a="1"/>
  <c r="A2274" i="1" s="1"/>
  <c r="B2273" i="1" a="1"/>
  <c r="B2273" i="1" s="1"/>
  <c r="A2273" i="1" a="1"/>
  <c r="A2273" i="1" s="1"/>
  <c r="B2272" i="1" a="1"/>
  <c r="B2272" i="1" s="1"/>
  <c r="A2272" i="1"/>
  <c r="A2272" i="1" a="1"/>
  <c r="B2271" i="1"/>
  <c r="B2271" i="1" a="1"/>
  <c r="A2271" i="1" a="1"/>
  <c r="A2271" i="1" s="1"/>
  <c r="C2271" i="1" s="1"/>
  <c r="B2270" i="1"/>
  <c r="B2270" i="1" a="1"/>
  <c r="A2270" i="1" a="1"/>
  <c r="A2270" i="1" s="1"/>
  <c r="B2269" i="1"/>
  <c r="B2269" i="1" a="1"/>
  <c r="A2269" i="1" a="1"/>
  <c r="A2269" i="1" s="1"/>
  <c r="B2268" i="1"/>
  <c r="B2268" i="1" a="1"/>
  <c r="A2268" i="1" a="1"/>
  <c r="A2268" i="1" s="1"/>
  <c r="B2267" i="1" a="1"/>
  <c r="B2267" i="1" s="1"/>
  <c r="A2267" i="1" a="1"/>
  <c r="A2267" i="1" s="1"/>
  <c r="B2266" i="1"/>
  <c r="B2266" i="1" a="1"/>
  <c r="A2266" i="1"/>
  <c r="C2266" i="1" s="1"/>
  <c r="D2266" i="1" s="1"/>
  <c r="A2266" i="1" a="1"/>
  <c r="B2265" i="1" a="1"/>
  <c r="B2265" i="1" s="1"/>
  <c r="A2265" i="1" a="1"/>
  <c r="A2265" i="1" s="1"/>
  <c r="B2264" i="1"/>
  <c r="B2264" i="1" a="1"/>
  <c r="A2264" i="1" a="1"/>
  <c r="A2264" i="1" s="1"/>
  <c r="C2264" i="1" s="1"/>
  <c r="D2264" i="1" s="1"/>
  <c r="B2263" i="1" a="1"/>
  <c r="B2263" i="1" s="1"/>
  <c r="A2263" i="1" a="1"/>
  <c r="A2263" i="1" s="1"/>
  <c r="G2262" i="1"/>
  <c r="B2262" i="1"/>
  <c r="B2262" i="1" a="1"/>
  <c r="A2262" i="1" a="1"/>
  <c r="A2262" i="1" s="1"/>
  <c r="C2262" i="1" s="1"/>
  <c r="B2261" i="1"/>
  <c r="B2261" i="1" a="1"/>
  <c r="A2261" i="1"/>
  <c r="C2261" i="1" s="1"/>
  <c r="D2261" i="1" s="1"/>
  <c r="A2261" i="1" a="1"/>
  <c r="B2260" i="1" a="1"/>
  <c r="B2260" i="1" s="1"/>
  <c r="A2260" i="1" a="1"/>
  <c r="A2260" i="1" s="1"/>
  <c r="B2259" i="1"/>
  <c r="B2259" i="1" a="1"/>
  <c r="A2259" i="1" a="1"/>
  <c r="A2259" i="1" s="1"/>
  <c r="G2258" i="1"/>
  <c r="B2258" i="1"/>
  <c r="B2258" i="1" a="1"/>
  <c r="A2258" i="1" a="1"/>
  <c r="A2258" i="1" s="1"/>
  <c r="B2257" i="1" a="1"/>
  <c r="B2257" i="1" s="1"/>
  <c r="E2257" i="1" s="1"/>
  <c r="A2257" i="1" a="1"/>
  <c r="A2257" i="1" s="1"/>
  <c r="C2257" i="1" s="1"/>
  <c r="D2257" i="1" s="1"/>
  <c r="B2256" i="1" a="1"/>
  <c r="B2256" i="1" s="1"/>
  <c r="A2256" i="1" a="1"/>
  <c r="A2256" i="1" s="1"/>
  <c r="B2255" i="1"/>
  <c r="B2255" i="1" a="1"/>
  <c r="A2255" i="1"/>
  <c r="A2255" i="1" a="1"/>
  <c r="C2254" i="1"/>
  <c r="D2254" i="1" s="1"/>
  <c r="B2254" i="1"/>
  <c r="B2254" i="1" a="1"/>
  <c r="A2254" i="1" a="1"/>
  <c r="A2254" i="1" s="1"/>
  <c r="B2253" i="1"/>
  <c r="B2253" i="1" a="1"/>
  <c r="A2253" i="1" a="1"/>
  <c r="A2253" i="1" s="1"/>
  <c r="B2252" i="1"/>
  <c r="B2252" i="1" a="1"/>
  <c r="A2252" i="1" a="1"/>
  <c r="A2252" i="1" s="1"/>
  <c r="C2252" i="1" s="1"/>
  <c r="D2252" i="1" s="1"/>
  <c r="C2251" i="1"/>
  <c r="D2251" i="1" s="1"/>
  <c r="B2251" i="1"/>
  <c r="B2251" i="1" a="1"/>
  <c r="A2251" i="1" a="1"/>
  <c r="A2251" i="1" s="1"/>
  <c r="G2251" i="1" s="1"/>
  <c r="B2250" i="1"/>
  <c r="B2250" i="1" a="1"/>
  <c r="A2250" i="1"/>
  <c r="C2250" i="1" s="1"/>
  <c r="A2250" i="1" a="1"/>
  <c r="B2249" i="1" a="1"/>
  <c r="B2249" i="1" s="1"/>
  <c r="A2249" i="1" a="1"/>
  <c r="A2249" i="1" s="1"/>
  <c r="B2248" i="1"/>
  <c r="B2248" i="1" a="1"/>
  <c r="A2248" i="1"/>
  <c r="E2248" i="1" s="1"/>
  <c r="A2248" i="1" a="1"/>
  <c r="B2247" i="1" a="1"/>
  <c r="B2247" i="1" s="1"/>
  <c r="A2247" i="1" a="1"/>
  <c r="A2247" i="1" s="1"/>
  <c r="C2247" i="1" s="1"/>
  <c r="B2246" i="1"/>
  <c r="B2246" i="1" a="1"/>
  <c r="A2246" i="1" a="1"/>
  <c r="A2246" i="1" s="1"/>
  <c r="B2245" i="1"/>
  <c r="B2245" i="1" a="1"/>
  <c r="A2245" i="1" a="1"/>
  <c r="A2245" i="1" s="1"/>
  <c r="B2244" i="1"/>
  <c r="B2244" i="1" a="1"/>
  <c r="A2244" i="1" a="1"/>
  <c r="A2244" i="1" s="1"/>
  <c r="B2243" i="1"/>
  <c r="B2243" i="1" a="1"/>
  <c r="A2243" i="1"/>
  <c r="A2243" i="1" a="1"/>
  <c r="B2242" i="1"/>
  <c r="B2242" i="1" a="1"/>
  <c r="A2242" i="1" a="1"/>
  <c r="A2242" i="1" s="1"/>
  <c r="B2241" i="1" a="1"/>
  <c r="B2241" i="1" s="1"/>
  <c r="A2241" i="1" a="1"/>
  <c r="A2241" i="1" s="1"/>
  <c r="B2240" i="1" a="1"/>
  <c r="B2240" i="1" s="1"/>
  <c r="A2240" i="1"/>
  <c r="C2240" i="1" s="1"/>
  <c r="A2240" i="1" a="1"/>
  <c r="B2239" i="1" a="1"/>
  <c r="B2239" i="1" s="1"/>
  <c r="A2239" i="1" a="1"/>
  <c r="A2239" i="1" s="1"/>
  <c r="B2238" i="1"/>
  <c r="B2238" i="1" a="1"/>
  <c r="A2238" i="1" a="1"/>
  <c r="A2238" i="1" s="1"/>
  <c r="B2237" i="1"/>
  <c r="B2237" i="1" a="1"/>
  <c r="A2237" i="1" a="1"/>
  <c r="A2237" i="1" s="1"/>
  <c r="B2236" i="1" a="1"/>
  <c r="B2236" i="1" s="1"/>
  <c r="A2236" i="1"/>
  <c r="A2236" i="1" a="1"/>
  <c r="E2235" i="1"/>
  <c r="B2235" i="1"/>
  <c r="B2235" i="1" a="1"/>
  <c r="A2235" i="1" a="1"/>
  <c r="A2235" i="1" s="1"/>
  <c r="C2235" i="1" s="1"/>
  <c r="B2234" i="1"/>
  <c r="B2234" i="1" a="1"/>
  <c r="A2234" i="1" a="1"/>
  <c r="A2234" i="1" s="1"/>
  <c r="C2233" i="1"/>
  <c r="B2233" i="1" a="1"/>
  <c r="B2233" i="1" s="1"/>
  <c r="A2233" i="1" a="1"/>
  <c r="A2233" i="1" s="1"/>
  <c r="B2232" i="1" a="1"/>
  <c r="B2232" i="1" s="1"/>
  <c r="A2232" i="1" a="1"/>
  <c r="A2232" i="1" s="1"/>
  <c r="B2231" i="1" a="1"/>
  <c r="B2231" i="1" s="1"/>
  <c r="A2231" i="1" a="1"/>
  <c r="A2231" i="1" s="1"/>
  <c r="E2230" i="1"/>
  <c r="B2230" i="1"/>
  <c r="B2230" i="1" a="1"/>
  <c r="A2230" i="1" a="1"/>
  <c r="A2230" i="1" s="1"/>
  <c r="B2229" i="1" a="1"/>
  <c r="B2229" i="1" s="1"/>
  <c r="A2229" i="1"/>
  <c r="G2229" i="1" s="1"/>
  <c r="A2229" i="1" a="1"/>
  <c r="B2228" i="1"/>
  <c r="B2228" i="1" a="1"/>
  <c r="A2228" i="1" a="1"/>
  <c r="A2228" i="1" s="1"/>
  <c r="B2227" i="1"/>
  <c r="B2227" i="1" a="1"/>
  <c r="A2227" i="1" a="1"/>
  <c r="A2227" i="1" s="1"/>
  <c r="C2227" i="1" s="1"/>
  <c r="D2227" i="1" s="1"/>
  <c r="B2226" i="1"/>
  <c r="B2226" i="1" a="1"/>
  <c r="A2226" i="1" a="1"/>
  <c r="A2226" i="1" s="1"/>
  <c r="G2226" i="1" s="1"/>
  <c r="E2225" i="1"/>
  <c r="B2225" i="1" a="1"/>
  <c r="B2225" i="1" s="1"/>
  <c r="A2225" i="1"/>
  <c r="A2225" i="1" a="1"/>
  <c r="B2224" i="1" a="1"/>
  <c r="B2224" i="1" s="1"/>
  <c r="A2224" i="1" a="1"/>
  <c r="A2224" i="1" s="1"/>
  <c r="B2223" i="1" a="1"/>
  <c r="B2223" i="1" s="1"/>
  <c r="A2223" i="1" a="1"/>
  <c r="A2223" i="1" s="1"/>
  <c r="C2223" i="1" s="1"/>
  <c r="B2222" i="1"/>
  <c r="B2222" i="1" a="1"/>
  <c r="A2222" i="1" a="1"/>
  <c r="A2222" i="1" s="1"/>
  <c r="B2221" i="1"/>
  <c r="B2221" i="1" a="1"/>
  <c r="A2221" i="1" a="1"/>
  <c r="A2221" i="1" s="1"/>
  <c r="B2220" i="1"/>
  <c r="B2220" i="1" a="1"/>
  <c r="A2220" i="1" a="1"/>
  <c r="A2220" i="1" s="1"/>
  <c r="B2219" i="1"/>
  <c r="B2219" i="1" a="1"/>
  <c r="A2219" i="1" a="1"/>
  <c r="A2219" i="1" s="1"/>
  <c r="B2218" i="1"/>
  <c r="B2218" i="1" a="1"/>
  <c r="A2218" i="1" a="1"/>
  <c r="A2218" i="1" s="1"/>
  <c r="B2217" i="1"/>
  <c r="B2217" i="1" a="1"/>
  <c r="A2217" i="1"/>
  <c r="A2217" i="1" a="1"/>
  <c r="B2216" i="1" a="1"/>
  <c r="B2216" i="1" s="1"/>
  <c r="A2216" i="1" a="1"/>
  <c r="A2216" i="1" s="1"/>
  <c r="C2216" i="1" s="1"/>
  <c r="B2215" i="1" a="1"/>
  <c r="B2215" i="1" s="1"/>
  <c r="A2215" i="1" a="1"/>
  <c r="A2215" i="1" s="1"/>
  <c r="B2214" i="1"/>
  <c r="B2214" i="1" a="1"/>
  <c r="A2214" i="1" a="1"/>
  <c r="A2214" i="1" s="1"/>
  <c r="C2214" i="1" s="1"/>
  <c r="B2213" i="1"/>
  <c r="B2213" i="1" a="1"/>
  <c r="A2213" i="1" a="1"/>
  <c r="A2213" i="1" s="1"/>
  <c r="B2212" i="1" a="1"/>
  <c r="B2212" i="1" s="1"/>
  <c r="A2212" i="1"/>
  <c r="C2212" i="1" s="1"/>
  <c r="A2212" i="1" a="1"/>
  <c r="B2211" i="1"/>
  <c r="B2211" i="1" a="1"/>
  <c r="A2211" i="1" a="1"/>
  <c r="A2211" i="1" s="1"/>
  <c r="B2210" i="1"/>
  <c r="B2210" i="1" a="1"/>
  <c r="A2210" i="1"/>
  <c r="A2210" i="1" a="1"/>
  <c r="B2209" i="1"/>
  <c r="B2209" i="1" a="1"/>
  <c r="A2209" i="1" a="1"/>
  <c r="A2209" i="1" s="1"/>
  <c r="C2209" i="1" s="1"/>
  <c r="D2209" i="1" s="1"/>
  <c r="B2208" i="1" a="1"/>
  <c r="B2208" i="1" s="1"/>
  <c r="A2208" i="1" a="1"/>
  <c r="A2208" i="1" s="1"/>
  <c r="B2207" i="1" a="1"/>
  <c r="B2207" i="1" s="1"/>
  <c r="A2207" i="1" a="1"/>
  <c r="A2207" i="1" s="1"/>
  <c r="B2206" i="1"/>
  <c r="B2206" i="1" a="1"/>
  <c r="A2206" i="1" a="1"/>
  <c r="A2206" i="1" s="1"/>
  <c r="C2206" i="1" s="1"/>
  <c r="D2206" i="1" s="1"/>
  <c r="B2205" i="1" a="1"/>
  <c r="B2205" i="1" s="1"/>
  <c r="A2205" i="1" a="1"/>
  <c r="A2205" i="1" s="1"/>
  <c r="B2204" i="1"/>
  <c r="B2204" i="1" a="1"/>
  <c r="A2204" i="1" a="1"/>
  <c r="A2204" i="1" s="1"/>
  <c r="E2203" i="1"/>
  <c r="B2203" i="1"/>
  <c r="B2203" i="1" a="1"/>
  <c r="A2203" i="1" a="1"/>
  <c r="A2203" i="1" s="1"/>
  <c r="B2202" i="1"/>
  <c r="B2202" i="1" a="1"/>
  <c r="A2202" i="1"/>
  <c r="A2202" i="1" a="1"/>
  <c r="B2201" i="1" a="1"/>
  <c r="B2201" i="1" s="1"/>
  <c r="A2201" i="1" a="1"/>
  <c r="A2201" i="1" s="1"/>
  <c r="B2200" i="1" a="1"/>
  <c r="B2200" i="1" s="1"/>
  <c r="A2200" i="1" a="1"/>
  <c r="A2200" i="1" s="1"/>
  <c r="B2199" i="1"/>
  <c r="B2199" i="1" a="1"/>
  <c r="A2199" i="1" a="1"/>
  <c r="A2199" i="1" s="1"/>
  <c r="C2199" i="1" s="1"/>
  <c r="B2198" i="1"/>
  <c r="B2198" i="1" a="1"/>
  <c r="A2198" i="1" a="1"/>
  <c r="A2198" i="1" s="1"/>
  <c r="B2197" i="1"/>
  <c r="B2197" i="1" a="1"/>
  <c r="A2197" i="1" a="1"/>
  <c r="A2197" i="1" s="1"/>
  <c r="C2197" i="1" s="1"/>
  <c r="D2197" i="1" s="1"/>
  <c r="B2196" i="1"/>
  <c r="B2196" i="1" a="1"/>
  <c r="A2196" i="1" a="1"/>
  <c r="A2196" i="1" s="1"/>
  <c r="B2195" i="1" a="1"/>
  <c r="B2195" i="1" s="1"/>
  <c r="A2195" i="1" a="1"/>
  <c r="A2195" i="1" s="1"/>
  <c r="G2195" i="1" s="1"/>
  <c r="B2194" i="1"/>
  <c r="B2194" i="1" a="1"/>
  <c r="A2194" i="1" a="1"/>
  <c r="A2194" i="1" s="1"/>
  <c r="G2193" i="1"/>
  <c r="B2193" i="1" a="1"/>
  <c r="B2193" i="1" s="1"/>
  <c r="A2193" i="1" a="1"/>
  <c r="A2193" i="1" s="1"/>
  <c r="B2192" i="1"/>
  <c r="B2192" i="1" a="1"/>
  <c r="A2192" i="1" a="1"/>
  <c r="A2192" i="1" s="1"/>
  <c r="C2192" i="1" s="1"/>
  <c r="D2192" i="1" s="1"/>
  <c r="B2191" i="1" a="1"/>
  <c r="B2191" i="1" s="1"/>
  <c r="A2191" i="1" a="1"/>
  <c r="A2191" i="1" s="1"/>
  <c r="C2190" i="1"/>
  <c r="D2190" i="1" s="1"/>
  <c r="B2190" i="1"/>
  <c r="G2190" i="1" s="1"/>
  <c r="B2190" i="1" a="1"/>
  <c r="A2190" i="1" a="1"/>
  <c r="A2190" i="1" s="1"/>
  <c r="B2189" i="1"/>
  <c r="B2189" i="1" a="1"/>
  <c r="A2189" i="1" a="1"/>
  <c r="A2189" i="1" s="1"/>
  <c r="G2189" i="1" s="1"/>
  <c r="B2188" i="1" a="1"/>
  <c r="B2188" i="1" s="1"/>
  <c r="A2188" i="1" a="1"/>
  <c r="A2188" i="1" s="1"/>
  <c r="C2188" i="1" s="1"/>
  <c r="D2188" i="1" s="1"/>
  <c r="E2187" i="1"/>
  <c r="C2187" i="1"/>
  <c r="B2187" i="1"/>
  <c r="B2187" i="1" a="1"/>
  <c r="A2187" i="1" a="1"/>
  <c r="A2187" i="1" s="1"/>
  <c r="B2186" i="1"/>
  <c r="B2186" i="1" a="1"/>
  <c r="A2186" i="1" a="1"/>
  <c r="A2186" i="1" s="1"/>
  <c r="B2185" i="1"/>
  <c r="B2185" i="1" a="1"/>
  <c r="A2185" i="1"/>
  <c r="A2185" i="1" a="1"/>
  <c r="B2184" i="1" a="1"/>
  <c r="B2184" i="1" s="1"/>
  <c r="A2184" i="1" a="1"/>
  <c r="A2184" i="1" s="1"/>
  <c r="B2183" i="1" a="1"/>
  <c r="B2183" i="1" s="1"/>
  <c r="A2183" i="1"/>
  <c r="A2183" i="1" a="1"/>
  <c r="B2182" i="1"/>
  <c r="B2182" i="1" a="1"/>
  <c r="A2182" i="1" a="1"/>
  <c r="A2182" i="1" s="1"/>
  <c r="C2182" i="1" s="1"/>
  <c r="B2181" i="1" a="1"/>
  <c r="B2181" i="1" s="1"/>
  <c r="A2181" i="1" a="1"/>
  <c r="A2181" i="1" s="1"/>
  <c r="B2180" i="1"/>
  <c r="B2180" i="1" a="1"/>
  <c r="A2180" i="1" a="1"/>
  <c r="A2180" i="1" s="1"/>
  <c r="B2179" i="1"/>
  <c r="B2179" i="1" a="1"/>
  <c r="A2179" i="1" a="1"/>
  <c r="A2179" i="1" s="1"/>
  <c r="B2178" i="1"/>
  <c r="B2178" i="1" a="1"/>
  <c r="A2178" i="1" a="1"/>
  <c r="A2178" i="1" s="1"/>
  <c r="B2177" i="1" a="1"/>
  <c r="B2177" i="1" s="1"/>
  <c r="A2177" i="1" a="1"/>
  <c r="A2177" i="1" s="1"/>
  <c r="B2176" i="1" a="1"/>
  <c r="B2176" i="1" s="1"/>
  <c r="A2176" i="1" a="1"/>
  <c r="A2176" i="1" s="1"/>
  <c r="B2175" i="1" a="1"/>
  <c r="B2175" i="1" s="1"/>
  <c r="A2175" i="1" a="1"/>
  <c r="A2175" i="1" s="1"/>
  <c r="C2175" i="1" s="1"/>
  <c r="B2174" i="1"/>
  <c r="B2174" i="1" a="1"/>
  <c r="A2174" i="1"/>
  <c r="A2174" i="1" a="1"/>
  <c r="B2173" i="1"/>
  <c r="B2173" i="1" a="1"/>
  <c r="A2173" i="1" a="1"/>
  <c r="A2173" i="1" s="1"/>
  <c r="B2172" i="1"/>
  <c r="B2172" i="1" a="1"/>
  <c r="A2172" i="1" a="1"/>
  <c r="A2172" i="1" s="1"/>
  <c r="B2171" i="1"/>
  <c r="B2171" i="1" a="1"/>
  <c r="A2171" i="1"/>
  <c r="A2171" i="1" a="1"/>
  <c r="B2170" i="1"/>
  <c r="B2170" i="1" a="1"/>
  <c r="A2170" i="1" a="1"/>
  <c r="A2170" i="1" s="1"/>
  <c r="C2170" i="1" s="1"/>
  <c r="D2170" i="1" s="1"/>
  <c r="B2169" i="1" a="1"/>
  <c r="B2169" i="1" s="1"/>
  <c r="A2169" i="1" a="1"/>
  <c r="A2169" i="1" s="1"/>
  <c r="B2168" i="1" a="1"/>
  <c r="B2168" i="1" s="1"/>
  <c r="A2168" i="1"/>
  <c r="C2168" i="1" s="1"/>
  <c r="D2168" i="1" s="1"/>
  <c r="A2168" i="1" a="1"/>
  <c r="B2167" i="1" a="1"/>
  <c r="B2167" i="1" s="1"/>
  <c r="A2167" i="1" a="1"/>
  <c r="A2167" i="1" s="1"/>
  <c r="B2166" i="1"/>
  <c r="B2166" i="1" a="1"/>
  <c r="A2166" i="1" a="1"/>
  <c r="A2166" i="1" s="1"/>
  <c r="G2165" i="1"/>
  <c r="E2165" i="1"/>
  <c r="C2165" i="1"/>
  <c r="D2165" i="1" s="1"/>
  <c r="B2165" i="1"/>
  <c r="B2165" i="1" a="1"/>
  <c r="A2165" i="1" a="1"/>
  <c r="A2165" i="1" s="1"/>
  <c r="B2164" i="1" a="1"/>
  <c r="B2164" i="1" s="1"/>
  <c r="A2164" i="1" a="1"/>
  <c r="A2164" i="1" s="1"/>
  <c r="B2163" i="1"/>
  <c r="B2163" i="1" a="1"/>
  <c r="A2163" i="1" a="1"/>
  <c r="A2163" i="1" s="1"/>
  <c r="B2162" i="1"/>
  <c r="B2162" i="1" a="1"/>
  <c r="A2162" i="1" a="1"/>
  <c r="A2162" i="1" s="1"/>
  <c r="B2161" i="1" a="1"/>
  <c r="B2161" i="1" s="1"/>
  <c r="A2161" i="1" a="1"/>
  <c r="A2161" i="1" s="1"/>
  <c r="B2160" i="1" a="1"/>
  <c r="B2160" i="1" s="1"/>
  <c r="A2160" i="1" a="1"/>
  <c r="A2160" i="1" s="1"/>
  <c r="B2159" i="1"/>
  <c r="B2159" i="1" a="1"/>
  <c r="A2159" i="1" a="1"/>
  <c r="A2159" i="1" s="1"/>
  <c r="C2158" i="1"/>
  <c r="B2158" i="1"/>
  <c r="B2158" i="1" a="1"/>
  <c r="A2158" i="1" a="1"/>
  <c r="A2158" i="1" s="1"/>
  <c r="B2157" i="1" a="1"/>
  <c r="B2157" i="1" s="1"/>
  <c r="A2157" i="1" a="1"/>
  <c r="A2157" i="1" s="1"/>
  <c r="B2156" i="1"/>
  <c r="B2156" i="1" a="1"/>
  <c r="A2156" i="1" a="1"/>
  <c r="A2156" i="1" s="1"/>
  <c r="B2155" i="1" a="1"/>
  <c r="B2155" i="1" s="1"/>
  <c r="A2155" i="1" a="1"/>
  <c r="A2155" i="1" s="1"/>
  <c r="B2154" i="1"/>
  <c r="B2154" i="1" a="1"/>
  <c r="A2154" i="1"/>
  <c r="G2154" i="1" s="1"/>
  <c r="A2154" i="1" a="1"/>
  <c r="B2153" i="1" a="1"/>
  <c r="B2153" i="1" s="1"/>
  <c r="A2153" i="1" a="1"/>
  <c r="A2153" i="1" s="1"/>
  <c r="B2152" i="1"/>
  <c r="E2152" i="1" s="1"/>
  <c r="B2152" i="1" a="1"/>
  <c r="A2152" i="1"/>
  <c r="A2152" i="1" a="1"/>
  <c r="B2151" i="1"/>
  <c r="B2151" i="1" a="1"/>
  <c r="A2151" i="1" a="1"/>
  <c r="A2151" i="1" s="1"/>
  <c r="C2151" i="1" s="1"/>
  <c r="B2150" i="1"/>
  <c r="B2150" i="1" a="1"/>
  <c r="A2150" i="1" a="1"/>
  <c r="A2150" i="1" s="1"/>
  <c r="C2150" i="1" s="1"/>
  <c r="C2149" i="1"/>
  <c r="D2149" i="1" s="1"/>
  <c r="B2149" i="1"/>
  <c r="B2149" i="1" a="1"/>
  <c r="A2149" i="1" a="1"/>
  <c r="A2149" i="1" s="1"/>
  <c r="C2148" i="1"/>
  <c r="B2148" i="1" a="1"/>
  <c r="B2148" i="1" s="1"/>
  <c r="A2148" i="1" a="1"/>
  <c r="A2148" i="1" s="1"/>
  <c r="E2148" i="1" s="1"/>
  <c r="B2147" i="1" a="1"/>
  <c r="B2147" i="1" s="1"/>
  <c r="A2147" i="1" a="1"/>
  <c r="A2147" i="1" s="1"/>
  <c r="E2146" i="1"/>
  <c r="B2146" i="1"/>
  <c r="B2146" i="1" a="1"/>
  <c r="A2146" i="1" a="1"/>
  <c r="A2146" i="1" s="1"/>
  <c r="G2146" i="1" s="1"/>
  <c r="B2145" i="1" a="1"/>
  <c r="B2145" i="1" s="1"/>
  <c r="A2145" i="1"/>
  <c r="C2145" i="1" s="1"/>
  <c r="A2145" i="1" a="1"/>
  <c r="E2144" i="1"/>
  <c r="B2144" i="1" a="1"/>
  <c r="B2144" i="1" s="1"/>
  <c r="A2144" i="1" a="1"/>
  <c r="A2144" i="1" s="1"/>
  <c r="B2143" i="1" a="1"/>
  <c r="B2143" i="1" s="1"/>
  <c r="A2143" i="1" a="1"/>
  <c r="A2143" i="1" s="1"/>
  <c r="B2142" i="1"/>
  <c r="B2142" i="1" a="1"/>
  <c r="A2142" i="1" a="1"/>
  <c r="A2142" i="1" s="1"/>
  <c r="B2141" i="1" a="1"/>
  <c r="B2141" i="1" s="1"/>
  <c r="A2141" i="1" a="1"/>
  <c r="A2141" i="1" s="1"/>
  <c r="B2140" i="1"/>
  <c r="B2140" i="1" a="1"/>
  <c r="A2140" i="1" a="1"/>
  <c r="A2140" i="1" s="1"/>
  <c r="B2139" i="1"/>
  <c r="B2139" i="1" a="1"/>
  <c r="A2139" i="1" a="1"/>
  <c r="A2139" i="1" s="1"/>
  <c r="E2139" i="1" s="1"/>
  <c r="B2138" i="1"/>
  <c r="B2138" i="1" a="1"/>
  <c r="A2138" i="1" a="1"/>
  <c r="A2138" i="1" s="1"/>
  <c r="D2137" i="1"/>
  <c r="C2137" i="1"/>
  <c r="B2137" i="1" a="1"/>
  <c r="B2137" i="1" s="1"/>
  <c r="A2137" i="1" a="1"/>
  <c r="A2137" i="1" s="1"/>
  <c r="E2137" i="1" s="1"/>
  <c r="B2136" i="1" a="1"/>
  <c r="B2136" i="1" s="1"/>
  <c r="A2136" i="1"/>
  <c r="A2136" i="1" a="1"/>
  <c r="B2135" i="1"/>
  <c r="B2135" i="1" a="1"/>
  <c r="A2135" i="1" a="1"/>
  <c r="A2135" i="1" s="1"/>
  <c r="B2134" i="1"/>
  <c r="B2134" i="1" a="1"/>
  <c r="A2134" i="1" a="1"/>
  <c r="A2134" i="1" s="1"/>
  <c r="E2134" i="1" s="1"/>
  <c r="B2133" i="1"/>
  <c r="B2133" i="1" a="1"/>
  <c r="A2133" i="1" a="1"/>
  <c r="A2133" i="1" s="1"/>
  <c r="C2133" i="1" s="1"/>
  <c r="D2133" i="1" s="1"/>
  <c r="B2132" i="1"/>
  <c r="B2132" i="1" a="1"/>
  <c r="A2132" i="1" a="1"/>
  <c r="A2132" i="1" s="1"/>
  <c r="C2132" i="1" s="1"/>
  <c r="D2132" i="1" s="1"/>
  <c r="B2131" i="1" a="1"/>
  <c r="B2131" i="1" s="1"/>
  <c r="A2131" i="1" a="1"/>
  <c r="A2131" i="1" s="1"/>
  <c r="E2131" i="1" s="1"/>
  <c r="B2130" i="1"/>
  <c r="B2130" i="1" a="1"/>
  <c r="A2130" i="1" a="1"/>
  <c r="A2130" i="1" s="1"/>
  <c r="C2130" i="1" s="1"/>
  <c r="D2130" i="1" s="1"/>
  <c r="B2129" i="1" a="1"/>
  <c r="B2129" i="1" s="1"/>
  <c r="A2129" i="1" a="1"/>
  <c r="A2129" i="1" s="1"/>
  <c r="B2128" i="1"/>
  <c r="B2128" i="1" a="1"/>
  <c r="A2128" i="1"/>
  <c r="E2128" i="1" s="1"/>
  <c r="A2128" i="1" a="1"/>
  <c r="B2127" i="1" a="1"/>
  <c r="B2127" i="1" s="1"/>
  <c r="A2127" i="1" a="1"/>
  <c r="A2127" i="1" s="1"/>
  <c r="B2126" i="1"/>
  <c r="B2126" i="1" a="1"/>
  <c r="A2126" i="1"/>
  <c r="A2126" i="1" a="1"/>
  <c r="B2125" i="1"/>
  <c r="B2125" i="1" a="1"/>
  <c r="A2125" i="1" a="1"/>
  <c r="A2125" i="1" s="1"/>
  <c r="B2124" i="1" a="1"/>
  <c r="B2124" i="1" s="1"/>
  <c r="A2124" i="1" a="1"/>
  <c r="A2124" i="1" s="1"/>
  <c r="B2123" i="1" a="1"/>
  <c r="B2123" i="1" s="1"/>
  <c r="A2123" i="1" a="1"/>
  <c r="A2123" i="1" s="1"/>
  <c r="B2122" i="1"/>
  <c r="B2122" i="1" a="1"/>
  <c r="A2122" i="1" a="1"/>
  <c r="A2122" i="1" s="1"/>
  <c r="E2122" i="1" s="1"/>
  <c r="B2121" i="1" a="1"/>
  <c r="B2121" i="1" s="1"/>
  <c r="A2121" i="1" a="1"/>
  <c r="A2121" i="1" s="1"/>
  <c r="B2120" i="1"/>
  <c r="B2120" i="1" a="1"/>
  <c r="A2120" i="1" a="1"/>
  <c r="A2120" i="1" s="1"/>
  <c r="C2120" i="1" s="1"/>
  <c r="D2120" i="1" s="1"/>
  <c r="B2119" i="1" a="1"/>
  <c r="B2119" i="1" s="1"/>
  <c r="A2119" i="1" a="1"/>
  <c r="A2119" i="1" s="1"/>
  <c r="B2118" i="1" a="1"/>
  <c r="B2118" i="1" s="1"/>
  <c r="A2118" i="1" a="1"/>
  <c r="A2118" i="1" s="1"/>
  <c r="B2117" i="1" a="1"/>
  <c r="B2117" i="1" s="1"/>
  <c r="A2117" i="1"/>
  <c r="A2117" i="1" a="1"/>
  <c r="B2116" i="1"/>
  <c r="B2116" i="1" a="1"/>
  <c r="A2116" i="1" a="1"/>
  <c r="A2116" i="1" s="1"/>
  <c r="B2115" i="1" a="1"/>
  <c r="B2115" i="1" s="1"/>
  <c r="A2115" i="1" a="1"/>
  <c r="A2115" i="1" s="1"/>
  <c r="C2115" i="1" s="1"/>
  <c r="D2115" i="1" s="1"/>
  <c r="B2114" i="1" a="1"/>
  <c r="B2114" i="1" s="1"/>
  <c r="A2114" i="1"/>
  <c r="A2114" i="1" a="1"/>
  <c r="B2113" i="1" a="1"/>
  <c r="B2113" i="1" s="1"/>
  <c r="A2113" i="1" a="1"/>
  <c r="A2113" i="1" s="1"/>
  <c r="C2113" i="1" s="1"/>
  <c r="B2112" i="1"/>
  <c r="B2112" i="1" a="1"/>
  <c r="A2112" i="1" a="1"/>
  <c r="A2112" i="1" s="1"/>
  <c r="B2111" i="1" a="1"/>
  <c r="B2111" i="1" s="1"/>
  <c r="A2111" i="1" a="1"/>
  <c r="A2111" i="1" s="1"/>
  <c r="B2110" i="1" a="1"/>
  <c r="B2110" i="1" s="1"/>
  <c r="A2110" i="1" a="1"/>
  <c r="A2110" i="1" s="1"/>
  <c r="B2109" i="1" a="1"/>
  <c r="B2109" i="1" s="1"/>
  <c r="A2109" i="1"/>
  <c r="A2109" i="1" a="1"/>
  <c r="B2108" i="1"/>
  <c r="B2108" i="1" a="1"/>
  <c r="A2108" i="1" a="1"/>
  <c r="A2108" i="1" s="1"/>
  <c r="E2108" i="1" s="1"/>
  <c r="B2107" i="1" a="1"/>
  <c r="B2107" i="1" s="1"/>
  <c r="A2107" i="1" a="1"/>
  <c r="A2107" i="1" s="1"/>
  <c r="B2106" i="1" a="1"/>
  <c r="B2106" i="1" s="1"/>
  <c r="A2106" i="1"/>
  <c r="A2106" i="1" a="1"/>
  <c r="B2105" i="1" a="1"/>
  <c r="B2105" i="1" s="1"/>
  <c r="A2105" i="1" a="1"/>
  <c r="A2105" i="1" s="1"/>
  <c r="E2105" i="1" s="1"/>
  <c r="C2104" i="1"/>
  <c r="D2104" i="1" s="1"/>
  <c r="B2104" i="1"/>
  <c r="B2104" i="1" a="1"/>
  <c r="A2104" i="1" a="1"/>
  <c r="A2104" i="1" s="1"/>
  <c r="C2103" i="1"/>
  <c r="D2103" i="1" s="1"/>
  <c r="B2103" i="1"/>
  <c r="B2103" i="1" a="1"/>
  <c r="A2103" i="1" a="1"/>
  <c r="A2103" i="1" s="1"/>
  <c r="B2102" i="1" a="1"/>
  <c r="B2102" i="1" s="1"/>
  <c r="A2102" i="1" a="1"/>
  <c r="A2102" i="1" s="1"/>
  <c r="E2102" i="1" s="1"/>
  <c r="B2101" i="1"/>
  <c r="B2101" i="1" a="1"/>
  <c r="A2101" i="1" a="1"/>
  <c r="A2101" i="1" s="1"/>
  <c r="C2101" i="1" s="1"/>
  <c r="D2101" i="1" s="1"/>
  <c r="B2100" i="1"/>
  <c r="B2100" i="1" a="1"/>
  <c r="A2100" i="1" a="1"/>
  <c r="A2100" i="1" s="1"/>
  <c r="C2100" i="1" s="1"/>
  <c r="D2100" i="1" s="1"/>
  <c r="B2099" i="1"/>
  <c r="B2099" i="1" a="1"/>
  <c r="A2099" i="1" a="1"/>
  <c r="A2099" i="1" s="1"/>
  <c r="B2098" i="1" a="1"/>
  <c r="B2098" i="1" s="1"/>
  <c r="A2098" i="1" a="1"/>
  <c r="A2098" i="1" s="1"/>
  <c r="C2098" i="1" s="1"/>
  <c r="B2097" i="1"/>
  <c r="B2097" i="1" a="1"/>
  <c r="A2097" i="1" a="1"/>
  <c r="A2097" i="1" s="1"/>
  <c r="B2096" i="1"/>
  <c r="B2096" i="1" a="1"/>
  <c r="A2096" i="1" a="1"/>
  <c r="A2096" i="1" s="1"/>
  <c r="B2095" i="1" a="1"/>
  <c r="B2095" i="1" s="1"/>
  <c r="A2095" i="1" a="1"/>
  <c r="A2095" i="1" s="1"/>
  <c r="G2095" i="1" s="1"/>
  <c r="B2094" i="1" a="1"/>
  <c r="B2094" i="1" s="1"/>
  <c r="A2094" i="1" a="1"/>
  <c r="A2094" i="1" s="1"/>
  <c r="B2093" i="1" a="1"/>
  <c r="B2093" i="1" s="1"/>
  <c r="A2093" i="1" a="1"/>
  <c r="A2093" i="1" s="1"/>
  <c r="B2092" i="1"/>
  <c r="E2092" i="1" s="1"/>
  <c r="B2092" i="1" a="1"/>
  <c r="A2092" i="1" a="1"/>
  <c r="A2092" i="1" s="1"/>
  <c r="B2091" i="1"/>
  <c r="B2091" i="1" a="1"/>
  <c r="A2091" i="1" a="1"/>
  <c r="A2091" i="1" s="1"/>
  <c r="B2090" i="1" a="1"/>
  <c r="B2090" i="1" s="1"/>
  <c r="A2090" i="1" a="1"/>
  <c r="A2090" i="1" s="1"/>
  <c r="B2089" i="1"/>
  <c r="B2089" i="1" a="1"/>
  <c r="A2089" i="1" a="1"/>
  <c r="A2089" i="1" s="1"/>
  <c r="E2089" i="1" s="1"/>
  <c r="B2088" i="1"/>
  <c r="B2088" i="1" a="1"/>
  <c r="A2088" i="1" a="1"/>
  <c r="A2088" i="1" s="1"/>
  <c r="B2087" i="1" a="1"/>
  <c r="B2087" i="1" s="1"/>
  <c r="A2087" i="1" a="1"/>
  <c r="A2087" i="1" s="1"/>
  <c r="E2086" i="1"/>
  <c r="B2086" i="1" a="1"/>
  <c r="B2086" i="1" s="1"/>
  <c r="A2086" i="1" a="1"/>
  <c r="A2086" i="1" s="1"/>
  <c r="B2085" i="1" a="1"/>
  <c r="B2085" i="1" s="1"/>
  <c r="A2085" i="1"/>
  <c r="A2085" i="1" a="1"/>
  <c r="B2084" i="1"/>
  <c r="B2084" i="1" a="1"/>
  <c r="A2084" i="1" a="1"/>
  <c r="A2084" i="1" s="1"/>
  <c r="B2083" i="1" a="1"/>
  <c r="B2083" i="1" s="1"/>
  <c r="A2083" i="1" a="1"/>
  <c r="A2083" i="1" s="1"/>
  <c r="B2082" i="1" a="1"/>
  <c r="B2082" i="1" s="1"/>
  <c r="A2082" i="1" a="1"/>
  <c r="A2082" i="1" s="1"/>
  <c r="B2081" i="1" a="1"/>
  <c r="B2081" i="1" s="1"/>
  <c r="A2081" i="1" a="1"/>
  <c r="A2081" i="1" s="1"/>
  <c r="C2081" i="1" s="1"/>
  <c r="B2080" i="1"/>
  <c r="B2080" i="1" a="1"/>
  <c r="A2080" i="1" a="1"/>
  <c r="A2080" i="1" s="1"/>
  <c r="C2080" i="1" s="1"/>
  <c r="D2080" i="1" s="1"/>
  <c r="B2079" i="1" a="1"/>
  <c r="B2079" i="1" s="1"/>
  <c r="A2079" i="1" a="1"/>
  <c r="A2079" i="1" s="1"/>
  <c r="C2079" i="1" s="1"/>
  <c r="D2079" i="1" s="1"/>
  <c r="B2078" i="1" a="1"/>
  <c r="B2078" i="1" s="1"/>
  <c r="A2078" i="1" a="1"/>
  <c r="A2078" i="1" s="1"/>
  <c r="B2077" i="1" a="1"/>
  <c r="B2077" i="1" s="1"/>
  <c r="A2077" i="1"/>
  <c r="A2077" i="1" a="1"/>
  <c r="B2076" i="1"/>
  <c r="B2076" i="1" a="1"/>
  <c r="A2076" i="1" a="1"/>
  <c r="A2076" i="1" s="1"/>
  <c r="B2075" i="1" a="1"/>
  <c r="B2075" i="1" s="1"/>
  <c r="A2075" i="1"/>
  <c r="A2075" i="1" a="1"/>
  <c r="B2074" i="1" a="1"/>
  <c r="B2074" i="1" s="1"/>
  <c r="A2074" i="1" a="1"/>
  <c r="A2074" i="1" s="1"/>
  <c r="B2073" i="1" a="1"/>
  <c r="B2073" i="1" s="1"/>
  <c r="A2073" i="1" a="1"/>
  <c r="A2073" i="1" s="1"/>
  <c r="C2072" i="1"/>
  <c r="D2072" i="1" s="1"/>
  <c r="B2072" i="1"/>
  <c r="B2072" i="1" a="1"/>
  <c r="A2072" i="1" a="1"/>
  <c r="A2072" i="1" s="1"/>
  <c r="B2071" i="1" a="1"/>
  <c r="B2071" i="1" s="1"/>
  <c r="A2071" i="1" a="1"/>
  <c r="A2071" i="1" s="1"/>
  <c r="B2070" i="1" a="1"/>
  <c r="B2070" i="1" s="1"/>
  <c r="A2070" i="1" a="1"/>
  <c r="A2070" i="1" s="1"/>
  <c r="E2070" i="1" s="1"/>
  <c r="B2069" i="1"/>
  <c r="B2069" i="1" a="1"/>
  <c r="A2069" i="1" a="1"/>
  <c r="A2069" i="1" s="1"/>
  <c r="B2068" i="1"/>
  <c r="B2068" i="1" a="1"/>
  <c r="A2068" i="1" a="1"/>
  <c r="A2068" i="1" s="1"/>
  <c r="C2068" i="1" s="1"/>
  <c r="D2068" i="1" s="1"/>
  <c r="B2067" i="1" a="1"/>
  <c r="B2067" i="1" s="1"/>
  <c r="A2067" i="1" a="1"/>
  <c r="A2067" i="1" s="1"/>
  <c r="B2066" i="1" a="1"/>
  <c r="B2066" i="1" s="1"/>
  <c r="A2066" i="1" a="1"/>
  <c r="A2066" i="1" s="1"/>
  <c r="B2065" i="1"/>
  <c r="G2065" i="1" s="1"/>
  <c r="B2065" i="1" a="1"/>
  <c r="A2065" i="1" a="1"/>
  <c r="A2065" i="1" s="1"/>
  <c r="C2065" i="1" s="1"/>
  <c r="B2064" i="1"/>
  <c r="B2064" i="1" a="1"/>
  <c r="A2064" i="1" a="1"/>
  <c r="A2064" i="1" s="1"/>
  <c r="C2064" i="1" s="1"/>
  <c r="D2064" i="1" s="1"/>
  <c r="B2063" i="1" a="1"/>
  <c r="B2063" i="1" s="1"/>
  <c r="A2063" i="1" a="1"/>
  <c r="A2063" i="1" s="1"/>
  <c r="C2062" i="1"/>
  <c r="D2062" i="1" s="1"/>
  <c r="B2062" i="1" a="1"/>
  <c r="B2062" i="1" s="1"/>
  <c r="A2062" i="1" a="1"/>
  <c r="A2062" i="1" s="1"/>
  <c r="B2061" i="1" a="1"/>
  <c r="B2061" i="1" s="1"/>
  <c r="A2061" i="1" a="1"/>
  <c r="A2061" i="1" s="1"/>
  <c r="G2061" i="1" s="1"/>
  <c r="B2060" i="1"/>
  <c r="B2060" i="1" a="1"/>
  <c r="A2060" i="1" a="1"/>
  <c r="A2060" i="1" s="1"/>
  <c r="B2059" i="1"/>
  <c r="B2059" i="1" a="1"/>
  <c r="A2059" i="1"/>
  <c r="C2059" i="1" s="1"/>
  <c r="A2059" i="1" a="1"/>
  <c r="B2058" i="1" a="1"/>
  <c r="B2058" i="1" s="1"/>
  <c r="A2058" i="1" a="1"/>
  <c r="A2058" i="1" s="1"/>
  <c r="B2057" i="1" a="1"/>
  <c r="B2057" i="1" s="1"/>
  <c r="A2057" i="1" a="1"/>
  <c r="A2057" i="1" s="1"/>
  <c r="B2056" i="1"/>
  <c r="B2056" i="1" a="1"/>
  <c r="A2056" i="1" a="1"/>
  <c r="A2056" i="1" s="1"/>
  <c r="G2056" i="1" s="1"/>
  <c r="B2055" i="1"/>
  <c r="B2055" i="1" a="1"/>
  <c r="A2055" i="1" a="1"/>
  <c r="A2055" i="1" s="1"/>
  <c r="B2054" i="1" a="1"/>
  <c r="B2054" i="1" s="1"/>
  <c r="A2054" i="1" a="1"/>
  <c r="A2054" i="1" s="1"/>
  <c r="B2053" i="1"/>
  <c r="B2053" i="1" a="1"/>
  <c r="A2053" i="1" a="1"/>
  <c r="A2053" i="1" s="1"/>
  <c r="C2052" i="1"/>
  <c r="D2052" i="1" s="1"/>
  <c r="B2052" i="1"/>
  <c r="B2052" i="1" a="1"/>
  <c r="A2052" i="1" a="1"/>
  <c r="A2052" i="1" s="1"/>
  <c r="B2051" i="1"/>
  <c r="B2051" i="1" a="1"/>
  <c r="A2051" i="1" a="1"/>
  <c r="A2051" i="1" s="1"/>
  <c r="B2050" i="1" a="1"/>
  <c r="B2050" i="1" s="1"/>
  <c r="A2050" i="1" a="1"/>
  <c r="A2050" i="1" s="1"/>
  <c r="B2049" i="1"/>
  <c r="B2049" i="1" a="1"/>
  <c r="A2049" i="1" a="1"/>
  <c r="A2049" i="1" s="1"/>
  <c r="C2049" i="1" s="1"/>
  <c r="B2048" i="1"/>
  <c r="B2048" i="1" a="1"/>
  <c r="A2048" i="1" a="1"/>
  <c r="A2048" i="1" s="1"/>
  <c r="B2047" i="1" a="1"/>
  <c r="B2047" i="1" s="1"/>
  <c r="A2047" i="1"/>
  <c r="A2047" i="1" a="1"/>
  <c r="B2046" i="1" a="1"/>
  <c r="B2046" i="1" s="1"/>
  <c r="A2046" i="1" a="1"/>
  <c r="A2046" i="1" s="1"/>
  <c r="B2045" i="1" a="1"/>
  <c r="B2045" i="1" s="1"/>
  <c r="A2045" i="1"/>
  <c r="G2045" i="1" s="1"/>
  <c r="A2045" i="1" a="1"/>
  <c r="C2044" i="1"/>
  <c r="B2044" i="1"/>
  <c r="B2044" i="1" a="1"/>
  <c r="A2044" i="1" a="1"/>
  <c r="A2044" i="1" s="1"/>
  <c r="B2043" i="1"/>
  <c r="B2043" i="1" a="1"/>
  <c r="A2043" i="1" a="1"/>
  <c r="A2043" i="1" s="1"/>
  <c r="C2043" i="1" s="1"/>
  <c r="B2042" i="1" a="1"/>
  <c r="B2042" i="1" s="1"/>
  <c r="A2042" i="1" a="1"/>
  <c r="A2042" i="1" s="1"/>
  <c r="B2041" i="1"/>
  <c r="B2041" i="1" a="1"/>
  <c r="A2041" i="1"/>
  <c r="E2041" i="1" s="1"/>
  <c r="A2041" i="1" a="1"/>
  <c r="B2040" i="1"/>
  <c r="B2040" i="1" a="1"/>
  <c r="A2040" i="1" a="1"/>
  <c r="A2040" i="1" s="1"/>
  <c r="B2039" i="1" a="1"/>
  <c r="B2039" i="1" s="1"/>
  <c r="A2039" i="1" a="1"/>
  <c r="A2039" i="1" s="1"/>
  <c r="C2039" i="1" s="1"/>
  <c r="B2038" i="1" a="1"/>
  <c r="B2038" i="1" s="1"/>
  <c r="A2038" i="1" a="1"/>
  <c r="A2038" i="1" s="1"/>
  <c r="C2038" i="1" s="1"/>
  <c r="D2038" i="1" s="1"/>
  <c r="B2037" i="1" a="1"/>
  <c r="B2037" i="1" s="1"/>
  <c r="A2037" i="1" a="1"/>
  <c r="A2037" i="1" s="1"/>
  <c r="E2037" i="1" s="1"/>
  <c r="B2036" i="1" a="1"/>
  <c r="B2036" i="1" s="1"/>
  <c r="A2036" i="1" a="1"/>
  <c r="A2036" i="1" s="1"/>
  <c r="B2035" i="1"/>
  <c r="B2035" i="1" a="1"/>
  <c r="A2035" i="1" a="1"/>
  <c r="A2035" i="1" s="1"/>
  <c r="B2034" i="1" a="1"/>
  <c r="B2034" i="1" s="1"/>
  <c r="A2034" i="1" a="1"/>
  <c r="A2034" i="1" s="1"/>
  <c r="G2033" i="1"/>
  <c r="B2033" i="1"/>
  <c r="B2033" i="1" a="1"/>
  <c r="A2033" i="1" a="1"/>
  <c r="A2033" i="1" s="1"/>
  <c r="B2032" i="1"/>
  <c r="B2032" i="1" a="1"/>
  <c r="A2032" i="1" a="1"/>
  <c r="A2032" i="1" s="1"/>
  <c r="C2032" i="1" s="1"/>
  <c r="B2031" i="1" a="1"/>
  <c r="B2031" i="1" s="1"/>
  <c r="A2031" i="1" a="1"/>
  <c r="A2031" i="1" s="1"/>
  <c r="B2030" i="1" a="1"/>
  <c r="B2030" i="1" s="1"/>
  <c r="A2030" i="1" a="1"/>
  <c r="A2030" i="1" s="1"/>
  <c r="B2029" i="1"/>
  <c r="B2029" i="1" a="1"/>
  <c r="A2029" i="1" a="1"/>
  <c r="A2029" i="1" s="1"/>
  <c r="G2029" i="1" s="1"/>
  <c r="B2028" i="1" a="1"/>
  <c r="B2028" i="1" s="1"/>
  <c r="A2028" i="1" a="1"/>
  <c r="A2028" i="1" s="1"/>
  <c r="B2027" i="1"/>
  <c r="B2027" i="1" a="1"/>
  <c r="A2027" i="1" a="1"/>
  <c r="A2027" i="1" s="1"/>
  <c r="C2027" i="1" s="1"/>
  <c r="D2027" i="1" s="1"/>
  <c r="B2026" i="1" a="1"/>
  <c r="B2026" i="1" s="1"/>
  <c r="A2026" i="1" a="1"/>
  <c r="A2026" i="1" s="1"/>
  <c r="B2025" i="1" a="1"/>
  <c r="B2025" i="1" s="1"/>
  <c r="A2025" i="1" a="1"/>
  <c r="A2025" i="1" s="1"/>
  <c r="C2025" i="1" s="1"/>
  <c r="B2024" i="1" a="1"/>
  <c r="B2024" i="1" s="1"/>
  <c r="A2024" i="1" a="1"/>
  <c r="A2024" i="1" s="1"/>
  <c r="B2023" i="1"/>
  <c r="B2023" i="1" a="1"/>
  <c r="A2023" i="1" a="1"/>
  <c r="A2023" i="1" s="1"/>
  <c r="G2022" i="1"/>
  <c r="E2022" i="1"/>
  <c r="B2022" i="1" a="1"/>
  <c r="B2022" i="1" s="1"/>
  <c r="A2022" i="1" a="1"/>
  <c r="A2022" i="1" s="1"/>
  <c r="C2022" i="1" s="1"/>
  <c r="D2022" i="1" s="1"/>
  <c r="B2021" i="1"/>
  <c r="B2021" i="1" a="1"/>
  <c r="A2021" i="1" a="1"/>
  <c r="A2021" i="1" s="1"/>
  <c r="B2020" i="1"/>
  <c r="B2020" i="1" a="1"/>
  <c r="A2020" i="1" a="1"/>
  <c r="A2020" i="1" s="1"/>
  <c r="G2020" i="1" s="1"/>
  <c r="B2019" i="1" a="1"/>
  <c r="B2019" i="1" s="1"/>
  <c r="A2019" i="1"/>
  <c r="C2019" i="1" s="1"/>
  <c r="A2019" i="1" a="1"/>
  <c r="B2018" i="1" a="1"/>
  <c r="B2018" i="1" s="1"/>
  <c r="A2018" i="1" a="1"/>
  <c r="A2018" i="1" s="1"/>
  <c r="E2018" i="1" s="1"/>
  <c r="B2017" i="1" a="1"/>
  <c r="B2017" i="1" s="1"/>
  <c r="A2017" i="1" a="1"/>
  <c r="A2017" i="1" s="1"/>
  <c r="C2017" i="1" s="1"/>
  <c r="B2016" i="1" a="1"/>
  <c r="B2016" i="1" s="1"/>
  <c r="G2016" i="1" s="1"/>
  <c r="A2016" i="1" a="1"/>
  <c r="A2016" i="1" s="1"/>
  <c r="C2016" i="1" s="1"/>
  <c r="B2015" i="1" a="1"/>
  <c r="B2015" i="1" s="1"/>
  <c r="A2015" i="1"/>
  <c r="A2015" i="1" a="1"/>
  <c r="B2014" i="1" a="1"/>
  <c r="B2014" i="1" s="1"/>
  <c r="A2014" i="1" a="1"/>
  <c r="A2014" i="1" s="1"/>
  <c r="B2013" i="1"/>
  <c r="B2013" i="1" a="1"/>
  <c r="A2013" i="1" a="1"/>
  <c r="A2013" i="1" s="1"/>
  <c r="B2012" i="1"/>
  <c r="B2012" i="1" a="1"/>
  <c r="A2012" i="1" a="1"/>
  <c r="A2012" i="1" s="1"/>
  <c r="C2012" i="1" s="1"/>
  <c r="D2012" i="1" s="1"/>
  <c r="B2011" i="1"/>
  <c r="B2011" i="1" a="1"/>
  <c r="A2011" i="1" a="1"/>
  <c r="A2011" i="1" s="1"/>
  <c r="C2011" i="1" s="1"/>
  <c r="G2010" i="1"/>
  <c r="E2010" i="1"/>
  <c r="C2010" i="1"/>
  <c r="D2010" i="1" s="1"/>
  <c r="B2010" i="1" a="1"/>
  <c r="B2010" i="1" s="1"/>
  <c r="A2010" i="1" a="1"/>
  <c r="A2010" i="1" s="1"/>
  <c r="B2009" i="1"/>
  <c r="G2009" i="1" s="1"/>
  <c r="B2009" i="1" a="1"/>
  <c r="A2009" i="1" a="1"/>
  <c r="A2009" i="1" s="1"/>
  <c r="E2008" i="1"/>
  <c r="C2008" i="1"/>
  <c r="D2008" i="1" s="1"/>
  <c r="F2008" i="1" s="1"/>
  <c r="B2008" i="1"/>
  <c r="B2008" i="1" a="1"/>
  <c r="A2008" i="1" a="1"/>
  <c r="A2008" i="1" s="1"/>
  <c r="G2008" i="1" s="1"/>
  <c r="B2007" i="1"/>
  <c r="B2007" i="1" a="1"/>
  <c r="A2007" i="1"/>
  <c r="G2007" i="1" s="1"/>
  <c r="A2007" i="1" a="1"/>
  <c r="E2006" i="1"/>
  <c r="B2006" i="1" a="1"/>
  <c r="B2006" i="1" s="1"/>
  <c r="A2006" i="1" a="1"/>
  <c r="A2006" i="1" s="1"/>
  <c r="B2005" i="1" a="1"/>
  <c r="B2005" i="1" s="1"/>
  <c r="A2005" i="1" a="1"/>
  <c r="A2005" i="1" s="1"/>
  <c r="B2004" i="1"/>
  <c r="B2004" i="1" a="1"/>
  <c r="A2004" i="1" a="1"/>
  <c r="A2004" i="1" s="1"/>
  <c r="B2003" i="1" a="1"/>
  <c r="B2003" i="1" s="1"/>
  <c r="A2003" i="1" a="1"/>
  <c r="A2003" i="1" s="1"/>
  <c r="B2002" i="1" a="1"/>
  <c r="B2002" i="1" s="1"/>
  <c r="A2002" i="1"/>
  <c r="A2002" i="1" a="1"/>
  <c r="B2001" i="1"/>
  <c r="B2001" i="1" a="1"/>
  <c r="A2001" i="1" a="1"/>
  <c r="A2001" i="1" s="1"/>
  <c r="B2000" i="1" a="1"/>
  <c r="B2000" i="1" s="1"/>
  <c r="A2000" i="1" a="1"/>
  <c r="A2000" i="1" s="1"/>
  <c r="E2000" i="1" s="1"/>
  <c r="G1999" i="1"/>
  <c r="B1999" i="1" a="1"/>
  <c r="B1999" i="1" s="1"/>
  <c r="A1999" i="1" a="1"/>
  <c r="A1999" i="1" s="1"/>
  <c r="B1998" i="1" a="1"/>
  <c r="B1998" i="1" s="1"/>
  <c r="A1998" i="1" a="1"/>
  <c r="A1998" i="1" s="1"/>
  <c r="B1997" i="1"/>
  <c r="B1997" i="1" a="1"/>
  <c r="A1997" i="1" a="1"/>
  <c r="A1997" i="1" s="1"/>
  <c r="B1996" i="1"/>
  <c r="B1996" i="1" a="1"/>
  <c r="A1996" i="1" a="1"/>
  <c r="A1996" i="1" s="1"/>
  <c r="B1995" i="1" a="1"/>
  <c r="B1995" i="1" s="1"/>
  <c r="G1995" i="1" s="1"/>
  <c r="A1995" i="1" a="1"/>
  <c r="A1995" i="1" s="1"/>
  <c r="B1994" i="1" a="1"/>
  <c r="B1994" i="1" s="1"/>
  <c r="A1994" i="1" a="1"/>
  <c r="A1994" i="1" s="1"/>
  <c r="B1993" i="1" a="1"/>
  <c r="B1993" i="1" s="1"/>
  <c r="A1993" i="1" a="1"/>
  <c r="A1993" i="1" s="1"/>
  <c r="B1992" i="1"/>
  <c r="B1992" i="1" a="1"/>
  <c r="A1992" i="1" a="1"/>
  <c r="A1992" i="1" s="1"/>
  <c r="G1992" i="1" s="1"/>
  <c r="B1991" i="1"/>
  <c r="B1991" i="1" a="1"/>
  <c r="A1991" i="1" a="1"/>
  <c r="A1991" i="1" s="1"/>
  <c r="G1991" i="1" s="1"/>
  <c r="B1990" i="1" a="1"/>
  <c r="B1990" i="1" s="1"/>
  <c r="A1990" i="1" a="1"/>
  <c r="A1990" i="1" s="1"/>
  <c r="B1989" i="1" a="1"/>
  <c r="B1989" i="1" s="1"/>
  <c r="A1989" i="1" a="1"/>
  <c r="A1989" i="1" s="1"/>
  <c r="C1988" i="1"/>
  <c r="D1988" i="1" s="1"/>
  <c r="B1988" i="1"/>
  <c r="G1988" i="1" s="1"/>
  <c r="B1988" i="1" a="1"/>
  <c r="A1988" i="1" a="1"/>
  <c r="A1988" i="1" s="1"/>
  <c r="B1987" i="1"/>
  <c r="B1987" i="1" a="1"/>
  <c r="A1987" i="1" a="1"/>
  <c r="A1987" i="1" s="1"/>
  <c r="C1987" i="1" s="1"/>
  <c r="D1987" i="1" s="1"/>
  <c r="B1986" i="1" a="1"/>
  <c r="B1986" i="1" s="1"/>
  <c r="A1986" i="1" a="1"/>
  <c r="A1986" i="1" s="1"/>
  <c r="B1985" i="1" a="1"/>
  <c r="B1985" i="1" s="1"/>
  <c r="E1985" i="1" s="1"/>
  <c r="A1985" i="1" a="1"/>
  <c r="A1985" i="1" s="1"/>
  <c r="C1984" i="1"/>
  <c r="D1984" i="1" s="1"/>
  <c r="B1984" i="1" a="1"/>
  <c r="B1984" i="1" s="1"/>
  <c r="A1984" i="1" a="1"/>
  <c r="A1984" i="1" s="1"/>
  <c r="B1983" i="1" a="1"/>
  <c r="B1983" i="1" s="1"/>
  <c r="A1983" i="1" a="1"/>
  <c r="A1983" i="1" s="1"/>
  <c r="B1982" i="1" a="1"/>
  <c r="B1982" i="1" s="1"/>
  <c r="A1982" i="1" a="1"/>
  <c r="A1982" i="1" s="1"/>
  <c r="C1982" i="1" s="1"/>
  <c r="D1982" i="1" s="1"/>
  <c r="B1981" i="1" a="1"/>
  <c r="B1981" i="1" s="1"/>
  <c r="A1981" i="1"/>
  <c r="A1981" i="1" a="1"/>
  <c r="B1980" i="1" a="1"/>
  <c r="B1980" i="1" s="1"/>
  <c r="A1980" i="1" a="1"/>
  <c r="A1980" i="1" s="1"/>
  <c r="B1979" i="1" a="1"/>
  <c r="B1979" i="1" s="1"/>
  <c r="A1979" i="1" a="1"/>
  <c r="A1979" i="1" s="1"/>
  <c r="G1979" i="1" s="1"/>
  <c r="B1978" i="1" a="1"/>
  <c r="B1978" i="1" s="1"/>
  <c r="A1978" i="1" a="1"/>
  <c r="A1978" i="1" s="1"/>
  <c r="B1977" i="1"/>
  <c r="B1977" i="1" a="1"/>
  <c r="A1977" i="1" a="1"/>
  <c r="A1977" i="1" s="1"/>
  <c r="C1977" i="1" s="1"/>
  <c r="C1976" i="1"/>
  <c r="B1976" i="1" a="1"/>
  <c r="B1976" i="1" s="1"/>
  <c r="A1976" i="1" a="1"/>
  <c r="A1976" i="1" s="1"/>
  <c r="B1975" i="1" a="1"/>
  <c r="B1975" i="1" s="1"/>
  <c r="A1975" i="1" a="1"/>
  <c r="A1975" i="1" s="1"/>
  <c r="C1974" i="1"/>
  <c r="D1974" i="1" s="1"/>
  <c r="B1974" i="1" a="1"/>
  <c r="B1974" i="1" s="1"/>
  <c r="A1974" i="1" a="1"/>
  <c r="A1974" i="1" s="1"/>
  <c r="B1973" i="1"/>
  <c r="B1973" i="1" a="1"/>
  <c r="A1973" i="1" a="1"/>
  <c r="A1973" i="1" s="1"/>
  <c r="E1973" i="1" s="1"/>
  <c r="B1972" i="1" a="1"/>
  <c r="B1972" i="1" s="1"/>
  <c r="A1972" i="1" a="1"/>
  <c r="A1972" i="1" s="1"/>
  <c r="B1971" i="1" a="1"/>
  <c r="B1971" i="1" s="1"/>
  <c r="A1971" i="1"/>
  <c r="G1971" i="1" s="1"/>
  <c r="A1971" i="1" a="1"/>
  <c r="B1970" i="1" a="1"/>
  <c r="B1970" i="1" s="1"/>
  <c r="A1970" i="1" a="1"/>
  <c r="A1970" i="1" s="1"/>
  <c r="B1969" i="1" a="1"/>
  <c r="B1969" i="1" s="1"/>
  <c r="A1969" i="1" a="1"/>
  <c r="A1969" i="1" s="1"/>
  <c r="B1968" i="1"/>
  <c r="B1968" i="1" a="1"/>
  <c r="A1968" i="1" a="1"/>
  <c r="A1968" i="1" s="1"/>
  <c r="B1967" i="1" a="1"/>
  <c r="B1967" i="1" s="1"/>
  <c r="A1967" i="1" a="1"/>
  <c r="A1967" i="1" s="1"/>
  <c r="B1966" i="1" a="1"/>
  <c r="B1966" i="1" s="1"/>
  <c r="A1966" i="1" a="1"/>
  <c r="A1966" i="1" s="1"/>
  <c r="B1965" i="1" a="1"/>
  <c r="B1965" i="1" s="1"/>
  <c r="A1965" i="1" a="1"/>
  <c r="A1965" i="1" s="1"/>
  <c r="G1965" i="1" s="1"/>
  <c r="B1964" i="1" a="1"/>
  <c r="B1964" i="1" s="1"/>
  <c r="A1964" i="1" a="1"/>
  <c r="A1964" i="1" s="1"/>
  <c r="B1963" i="1"/>
  <c r="B1963" i="1" a="1"/>
  <c r="A1963" i="1" a="1"/>
  <c r="A1963" i="1" s="1"/>
  <c r="B1962" i="1" a="1"/>
  <c r="B1962" i="1" s="1"/>
  <c r="A1962" i="1" a="1"/>
  <c r="A1962" i="1" s="1"/>
  <c r="B1961" i="1" a="1"/>
  <c r="B1961" i="1" s="1"/>
  <c r="A1961" i="1" a="1"/>
  <c r="A1961" i="1" s="1"/>
  <c r="C1961" i="1" s="1"/>
  <c r="B1960" i="1" a="1"/>
  <c r="B1960" i="1" s="1"/>
  <c r="A1960" i="1" a="1"/>
  <c r="A1960" i="1" s="1"/>
  <c r="B1959" i="1"/>
  <c r="B1959" i="1" a="1"/>
  <c r="A1959" i="1" a="1"/>
  <c r="A1959" i="1" s="1"/>
  <c r="B1958" i="1" a="1"/>
  <c r="B1958" i="1" s="1"/>
  <c r="A1958" i="1" a="1"/>
  <c r="A1958" i="1" s="1"/>
  <c r="E1958" i="1" s="1"/>
  <c r="B1957" i="1"/>
  <c r="B1957" i="1" a="1"/>
  <c r="A1957" i="1"/>
  <c r="C1957" i="1" s="1"/>
  <c r="D1957" i="1" s="1"/>
  <c r="A1957" i="1" a="1"/>
  <c r="B1956" i="1" a="1"/>
  <c r="B1956" i="1" s="1"/>
  <c r="A1956" i="1" a="1"/>
  <c r="A1956" i="1" s="1"/>
  <c r="B1955" i="1" a="1"/>
  <c r="B1955" i="1" s="1"/>
  <c r="A1955" i="1" a="1"/>
  <c r="A1955" i="1" s="1"/>
  <c r="B1954" i="1" a="1"/>
  <c r="B1954" i="1" s="1"/>
  <c r="A1954" i="1" a="1"/>
  <c r="A1954" i="1" s="1"/>
  <c r="B1953" i="1"/>
  <c r="B1953" i="1" a="1"/>
  <c r="A1953" i="1" a="1"/>
  <c r="A1953" i="1" s="1"/>
  <c r="B1952" i="1"/>
  <c r="B1952" i="1" a="1"/>
  <c r="A1952" i="1" a="1"/>
  <c r="A1952" i="1" s="1"/>
  <c r="B1951" i="1"/>
  <c r="B1951" i="1" a="1"/>
  <c r="A1951" i="1" a="1"/>
  <c r="A1951" i="1" s="1"/>
  <c r="C1950" i="1"/>
  <c r="D1950" i="1" s="1"/>
  <c r="B1950" i="1" a="1"/>
  <c r="B1950" i="1" s="1"/>
  <c r="A1950" i="1" a="1"/>
  <c r="A1950" i="1" s="1"/>
  <c r="B1949" i="1" a="1"/>
  <c r="B1949" i="1" s="1"/>
  <c r="A1949" i="1" a="1"/>
  <c r="A1949" i="1" s="1"/>
  <c r="C1949" i="1" s="1"/>
  <c r="D1949" i="1" s="1"/>
  <c r="B1948" i="1" a="1"/>
  <c r="B1948" i="1" s="1"/>
  <c r="A1948" i="1" a="1"/>
  <c r="A1948" i="1" s="1"/>
  <c r="B1947" i="1" a="1"/>
  <c r="B1947" i="1" s="1"/>
  <c r="A1947" i="1" a="1"/>
  <c r="A1947" i="1" s="1"/>
  <c r="B1946" i="1" a="1"/>
  <c r="B1946" i="1" s="1"/>
  <c r="A1946" i="1" a="1"/>
  <c r="A1946" i="1" s="1"/>
  <c r="B1945" i="1"/>
  <c r="B1945" i="1" a="1"/>
  <c r="A1945" i="1" a="1"/>
  <c r="A1945" i="1" s="1"/>
  <c r="B1944" i="1"/>
  <c r="B1944" i="1" a="1"/>
  <c r="A1944" i="1" a="1"/>
  <c r="A1944" i="1" s="1"/>
  <c r="G1944" i="1" s="1"/>
  <c r="B1943" i="1" a="1"/>
  <c r="B1943" i="1" s="1"/>
  <c r="A1943" i="1" a="1"/>
  <c r="A1943" i="1" s="1"/>
  <c r="G1943" i="1" s="1"/>
  <c r="B1942" i="1" a="1"/>
  <c r="B1942" i="1" s="1"/>
  <c r="A1942" i="1" a="1"/>
  <c r="A1942" i="1" s="1"/>
  <c r="G1942" i="1" s="1"/>
  <c r="B1941" i="1" a="1"/>
  <c r="B1941" i="1" s="1"/>
  <c r="A1941" i="1" a="1"/>
  <c r="A1941" i="1" s="1"/>
  <c r="B1940" i="1"/>
  <c r="B1940" i="1" a="1"/>
  <c r="A1940" i="1" a="1"/>
  <c r="A1940" i="1" s="1"/>
  <c r="B1939" i="1" a="1"/>
  <c r="B1939" i="1" s="1"/>
  <c r="A1939" i="1" a="1"/>
  <c r="A1939" i="1" s="1"/>
  <c r="B1938" i="1" a="1"/>
  <c r="B1938" i="1" s="1"/>
  <c r="A1938" i="1" a="1"/>
  <c r="A1938" i="1" s="1"/>
  <c r="B1937" i="1" a="1"/>
  <c r="B1937" i="1" s="1"/>
  <c r="A1937" i="1" a="1"/>
  <c r="A1937" i="1" s="1"/>
  <c r="C1937" i="1" s="1"/>
  <c r="B1936" i="1" a="1"/>
  <c r="B1936" i="1" s="1"/>
  <c r="A1936" i="1" a="1"/>
  <c r="A1936" i="1" s="1"/>
  <c r="C1936" i="1" s="1"/>
  <c r="B1935" i="1" a="1"/>
  <c r="B1935" i="1" s="1"/>
  <c r="A1935" i="1" a="1"/>
  <c r="A1935" i="1" s="1"/>
  <c r="C1935" i="1" s="1"/>
  <c r="D1935" i="1" s="1"/>
  <c r="G1934" i="1"/>
  <c r="C1934" i="1"/>
  <c r="D1934" i="1" s="1"/>
  <c r="F1934" i="1" s="1"/>
  <c r="B1934" i="1" a="1"/>
  <c r="B1934" i="1" s="1"/>
  <c r="A1934" i="1" a="1"/>
  <c r="A1934" i="1" s="1"/>
  <c r="E1934" i="1" s="1"/>
  <c r="B1933" i="1" a="1"/>
  <c r="B1933" i="1" s="1"/>
  <c r="A1933" i="1" a="1"/>
  <c r="A1933" i="1" s="1"/>
  <c r="C1933" i="1" s="1"/>
  <c r="D1933" i="1" s="1"/>
  <c r="C1932" i="1"/>
  <c r="B1932" i="1"/>
  <c r="B1932" i="1" a="1"/>
  <c r="A1932" i="1" a="1"/>
  <c r="A1932" i="1" s="1"/>
  <c r="B1931" i="1" a="1"/>
  <c r="B1931" i="1" s="1"/>
  <c r="A1931" i="1"/>
  <c r="G1931" i="1" s="1"/>
  <c r="A1931" i="1" a="1"/>
  <c r="B1930" i="1" a="1"/>
  <c r="B1930" i="1" s="1"/>
  <c r="A1930" i="1" a="1"/>
  <c r="A1930" i="1" s="1"/>
  <c r="B1929" i="1" a="1"/>
  <c r="B1929" i="1" s="1"/>
  <c r="A1929" i="1" a="1"/>
  <c r="A1929" i="1" s="1"/>
  <c r="C1928" i="1"/>
  <c r="B1928" i="1" a="1"/>
  <c r="B1928" i="1" s="1"/>
  <c r="A1928" i="1" a="1"/>
  <c r="A1928" i="1" s="1"/>
  <c r="G1928" i="1" s="1"/>
  <c r="B1927" i="1"/>
  <c r="B1927" i="1" a="1"/>
  <c r="A1927" i="1" a="1"/>
  <c r="A1927" i="1" s="1"/>
  <c r="B1926" i="1" a="1"/>
  <c r="B1926" i="1" s="1"/>
  <c r="A1926" i="1" a="1"/>
  <c r="A1926" i="1" s="1"/>
  <c r="B1925" i="1"/>
  <c r="B1925" i="1" a="1"/>
  <c r="A1925" i="1" a="1"/>
  <c r="A1925" i="1" s="1"/>
  <c r="E1924" i="1"/>
  <c r="B1924" i="1" a="1"/>
  <c r="B1924" i="1" s="1"/>
  <c r="A1924" i="1" a="1"/>
  <c r="A1924" i="1" s="1"/>
  <c r="B1923" i="1"/>
  <c r="B1923" i="1" a="1"/>
  <c r="A1923" i="1" a="1"/>
  <c r="A1923" i="1" s="1"/>
  <c r="C1923" i="1" s="1"/>
  <c r="B1922" i="1" a="1"/>
  <c r="B1922" i="1" s="1"/>
  <c r="A1922" i="1" a="1"/>
  <c r="A1922" i="1" s="1"/>
  <c r="B1921" i="1" a="1"/>
  <c r="B1921" i="1" s="1"/>
  <c r="A1921" i="1" a="1"/>
  <c r="A1921" i="1" s="1"/>
  <c r="C1921" i="1" s="1"/>
  <c r="E1920" i="1"/>
  <c r="B1920" i="1"/>
  <c r="B1920" i="1" a="1"/>
  <c r="A1920" i="1" a="1"/>
  <c r="A1920" i="1" s="1"/>
  <c r="B1919" i="1"/>
  <c r="B1919" i="1" a="1"/>
  <c r="A1919" i="1" a="1"/>
  <c r="A1919" i="1" s="1"/>
  <c r="B1918" i="1" a="1"/>
  <c r="B1918" i="1" s="1"/>
  <c r="A1918" i="1" a="1"/>
  <c r="A1918" i="1" s="1"/>
  <c r="G1918" i="1" s="1"/>
  <c r="C1917" i="1"/>
  <c r="B1917" i="1" a="1"/>
  <c r="B1917" i="1" s="1"/>
  <c r="A1917" i="1" a="1"/>
  <c r="A1917" i="1" s="1"/>
  <c r="B1916" i="1"/>
  <c r="B1916" i="1" a="1"/>
  <c r="A1916" i="1"/>
  <c r="C1916" i="1" s="1"/>
  <c r="A1916" i="1" a="1"/>
  <c r="B1915" i="1"/>
  <c r="B1915" i="1" a="1"/>
  <c r="A1915" i="1" a="1"/>
  <c r="A1915" i="1" s="1"/>
  <c r="C1915" i="1" s="1"/>
  <c r="D1915" i="1" s="1"/>
  <c r="B1914" i="1" a="1"/>
  <c r="B1914" i="1" s="1"/>
  <c r="A1914" i="1" a="1"/>
  <c r="A1914" i="1" s="1"/>
  <c r="B1913" i="1"/>
  <c r="B1913" i="1" a="1"/>
  <c r="A1913" i="1" a="1"/>
  <c r="A1913" i="1" s="1"/>
  <c r="C1913" i="1" s="1"/>
  <c r="B1912" i="1"/>
  <c r="B1912" i="1" a="1"/>
  <c r="A1912" i="1" a="1"/>
  <c r="A1912" i="1" s="1"/>
  <c r="B1911" i="1"/>
  <c r="B1911" i="1" a="1"/>
  <c r="A1911" i="1" a="1"/>
  <c r="A1911" i="1" s="1"/>
  <c r="B1910" i="1" a="1"/>
  <c r="B1910" i="1" s="1"/>
  <c r="A1910" i="1" a="1"/>
  <c r="A1910" i="1" s="1"/>
  <c r="C1910" i="1" s="1"/>
  <c r="D1910" i="1" s="1"/>
  <c r="B1909" i="1" a="1"/>
  <c r="B1909" i="1" s="1"/>
  <c r="A1909" i="1" a="1"/>
  <c r="A1909" i="1" s="1"/>
  <c r="B1908" i="1"/>
  <c r="E1908" i="1" s="1"/>
  <c r="B1908" i="1" a="1"/>
  <c r="A1908" i="1" a="1"/>
  <c r="A1908" i="1" s="1"/>
  <c r="B1907" i="1" a="1"/>
  <c r="B1907" i="1" s="1"/>
  <c r="A1907" i="1" a="1"/>
  <c r="A1907" i="1" s="1"/>
  <c r="B1906" i="1" a="1"/>
  <c r="B1906" i="1" s="1"/>
  <c r="A1906" i="1" a="1"/>
  <c r="A1906" i="1" s="1"/>
  <c r="B1905" i="1"/>
  <c r="B1905" i="1" a="1"/>
  <c r="A1905" i="1"/>
  <c r="E1905" i="1" s="1"/>
  <c r="A1905" i="1" a="1"/>
  <c r="B1904" i="1" a="1"/>
  <c r="B1904" i="1" s="1"/>
  <c r="A1904" i="1" a="1"/>
  <c r="A1904" i="1" s="1"/>
  <c r="B1903" i="1"/>
  <c r="B1903" i="1" a="1"/>
  <c r="A1903" i="1" a="1"/>
  <c r="A1903" i="1" s="1"/>
  <c r="B1902" i="1" a="1"/>
  <c r="B1902" i="1" s="1"/>
  <c r="A1902" i="1" a="1"/>
  <c r="A1902" i="1" s="1"/>
  <c r="B1901" i="1" a="1"/>
  <c r="B1901" i="1" s="1"/>
  <c r="A1901" i="1" a="1"/>
  <c r="A1901" i="1" s="1"/>
  <c r="B1900" i="1" a="1"/>
  <c r="B1900" i="1" s="1"/>
  <c r="A1900" i="1" a="1"/>
  <c r="A1900" i="1" s="1"/>
  <c r="B1899" i="1"/>
  <c r="B1899" i="1" a="1"/>
  <c r="A1899" i="1" a="1"/>
  <c r="A1899" i="1" s="1"/>
  <c r="B1898" i="1" a="1"/>
  <c r="B1898" i="1" s="1"/>
  <c r="A1898" i="1"/>
  <c r="C1898" i="1" s="1"/>
  <c r="D1898" i="1" s="1"/>
  <c r="A1898" i="1" a="1"/>
  <c r="B1897" i="1" a="1"/>
  <c r="B1897" i="1" s="1"/>
  <c r="A1897" i="1"/>
  <c r="A1897" i="1" a="1"/>
  <c r="G1896" i="1"/>
  <c r="C1896" i="1"/>
  <c r="D1896" i="1" s="1"/>
  <c r="B1896" i="1"/>
  <c r="B1896" i="1" a="1"/>
  <c r="A1896" i="1" a="1"/>
  <c r="A1896" i="1" s="1"/>
  <c r="B1895" i="1" a="1"/>
  <c r="B1895" i="1" s="1"/>
  <c r="A1895" i="1" a="1"/>
  <c r="A1895" i="1" s="1"/>
  <c r="B1894" i="1" a="1"/>
  <c r="B1894" i="1" s="1"/>
  <c r="A1894" i="1" a="1"/>
  <c r="A1894" i="1" s="1"/>
  <c r="B1893" i="1" a="1"/>
  <c r="B1893" i="1" s="1"/>
  <c r="A1893" i="1"/>
  <c r="A1893" i="1" a="1"/>
  <c r="B1892" i="1" a="1"/>
  <c r="B1892" i="1" s="1"/>
  <c r="A1892" i="1"/>
  <c r="A1892" i="1" a="1"/>
  <c r="C1891" i="1"/>
  <c r="D1891" i="1" s="1"/>
  <c r="B1891" i="1"/>
  <c r="B1891" i="1" a="1"/>
  <c r="A1891" i="1" a="1"/>
  <c r="A1891" i="1" s="1"/>
  <c r="B1890" i="1" a="1"/>
  <c r="B1890" i="1" s="1"/>
  <c r="A1890" i="1" a="1"/>
  <c r="A1890" i="1" s="1"/>
  <c r="B1889" i="1"/>
  <c r="B1889" i="1" a="1"/>
  <c r="A1889" i="1" a="1"/>
  <c r="A1889" i="1" s="1"/>
  <c r="C1889" i="1" s="1"/>
  <c r="E1888" i="1"/>
  <c r="B1888" i="1" a="1"/>
  <c r="B1888" i="1" s="1"/>
  <c r="A1888" i="1" a="1"/>
  <c r="A1888" i="1" s="1"/>
  <c r="B1887" i="1" a="1"/>
  <c r="B1887" i="1" s="1"/>
  <c r="A1887" i="1" a="1"/>
  <c r="A1887" i="1" s="1"/>
  <c r="B1886" i="1" a="1"/>
  <c r="B1886" i="1" s="1"/>
  <c r="A1886" i="1" a="1"/>
  <c r="A1886" i="1" s="1"/>
  <c r="G1886" i="1" s="1"/>
  <c r="B1885" i="1" a="1"/>
  <c r="B1885" i="1" s="1"/>
  <c r="A1885" i="1" a="1"/>
  <c r="A1885" i="1" s="1"/>
  <c r="B1884" i="1" a="1"/>
  <c r="B1884" i="1" s="1"/>
  <c r="A1884" i="1" a="1"/>
  <c r="A1884" i="1" s="1"/>
  <c r="B1883" i="1" a="1"/>
  <c r="B1883" i="1" s="1"/>
  <c r="A1883" i="1" a="1"/>
  <c r="A1883" i="1" s="1"/>
  <c r="B1882" i="1" a="1"/>
  <c r="B1882" i="1" s="1"/>
  <c r="A1882" i="1" a="1"/>
  <c r="A1882" i="1" s="1"/>
  <c r="G1882" i="1" s="1"/>
  <c r="B1881" i="1" a="1"/>
  <c r="B1881" i="1" s="1"/>
  <c r="A1881" i="1" a="1"/>
  <c r="A1881" i="1" s="1"/>
  <c r="C1881" i="1" s="1"/>
  <c r="D1881" i="1" s="1"/>
  <c r="B1880" i="1" a="1"/>
  <c r="B1880" i="1" s="1"/>
  <c r="A1880" i="1" a="1"/>
  <c r="A1880" i="1" s="1"/>
  <c r="B1879" i="1"/>
  <c r="B1879" i="1" a="1"/>
  <c r="A1879" i="1" a="1"/>
  <c r="A1879" i="1" s="1"/>
  <c r="C1879" i="1" s="1"/>
  <c r="E1878" i="1"/>
  <c r="B1878" i="1" a="1"/>
  <c r="B1878" i="1" s="1"/>
  <c r="A1878" i="1" a="1"/>
  <c r="A1878" i="1" s="1"/>
  <c r="B1877" i="1" a="1"/>
  <c r="B1877" i="1" s="1"/>
  <c r="A1877" i="1" a="1"/>
  <c r="A1877" i="1" s="1"/>
  <c r="C1877" i="1" s="1"/>
  <c r="D1877" i="1" s="1"/>
  <c r="E1876" i="1"/>
  <c r="D1876" i="1"/>
  <c r="B1876" i="1" a="1"/>
  <c r="B1876" i="1" s="1"/>
  <c r="A1876" i="1" a="1"/>
  <c r="A1876" i="1" s="1"/>
  <c r="C1876" i="1" s="1"/>
  <c r="B1875" i="1" a="1"/>
  <c r="B1875" i="1" s="1"/>
  <c r="A1875" i="1"/>
  <c r="C1875" i="1" s="1"/>
  <c r="D1875" i="1" s="1"/>
  <c r="A1875" i="1" a="1"/>
  <c r="B1874" i="1" a="1"/>
  <c r="B1874" i="1" s="1"/>
  <c r="E1874" i="1" s="1"/>
  <c r="A1874" i="1" a="1"/>
  <c r="A1874" i="1" s="1"/>
  <c r="C1874" i="1" s="1"/>
  <c r="B1873" i="1" a="1"/>
  <c r="B1873" i="1" s="1"/>
  <c r="A1873" i="1"/>
  <c r="C1873" i="1" s="1"/>
  <c r="A1873" i="1" a="1"/>
  <c r="B1872" i="1"/>
  <c r="B1872" i="1" a="1"/>
  <c r="A1872" i="1" a="1"/>
  <c r="A1872" i="1" s="1"/>
  <c r="C1872" i="1" s="1"/>
  <c r="B1871" i="1" a="1"/>
  <c r="B1871" i="1" s="1"/>
  <c r="A1871" i="1" a="1"/>
  <c r="A1871" i="1" s="1"/>
  <c r="B1870" i="1" a="1"/>
  <c r="B1870" i="1" s="1"/>
  <c r="A1870" i="1" a="1"/>
  <c r="A1870" i="1" s="1"/>
  <c r="B1869" i="1" a="1"/>
  <c r="B1869" i="1" s="1"/>
  <c r="A1869" i="1" a="1"/>
  <c r="A1869" i="1" s="1"/>
  <c r="B1868" i="1"/>
  <c r="B1868" i="1" a="1"/>
  <c r="A1868" i="1" a="1"/>
  <c r="A1868" i="1" s="1"/>
  <c r="C1868" i="1" s="1"/>
  <c r="D1868" i="1" s="1"/>
  <c r="B1867" i="1"/>
  <c r="B1867" i="1" a="1"/>
  <c r="A1867" i="1" a="1"/>
  <c r="A1867" i="1" s="1"/>
  <c r="B1866" i="1" a="1"/>
  <c r="B1866" i="1" s="1"/>
  <c r="A1866" i="1" a="1"/>
  <c r="A1866" i="1" s="1"/>
  <c r="G1866" i="1" s="1"/>
  <c r="B1865" i="1"/>
  <c r="B1865" i="1" a="1"/>
  <c r="A1865" i="1" a="1"/>
  <c r="A1865" i="1" s="1"/>
  <c r="B1864" i="1"/>
  <c r="B1864" i="1" a="1"/>
  <c r="A1864" i="1"/>
  <c r="A1864" i="1" a="1"/>
  <c r="G1863" i="1"/>
  <c r="B1863" i="1" a="1"/>
  <c r="B1863" i="1" s="1"/>
  <c r="A1863" i="1" a="1"/>
  <c r="A1863" i="1" s="1"/>
  <c r="C1863" i="1" s="1"/>
  <c r="B1862" i="1" a="1"/>
  <c r="B1862" i="1" s="1"/>
  <c r="A1862" i="1" a="1"/>
  <c r="A1862" i="1" s="1"/>
  <c r="B1861" i="1" a="1"/>
  <c r="B1861" i="1" s="1"/>
  <c r="A1861" i="1" a="1"/>
  <c r="A1861" i="1" s="1"/>
  <c r="C1861" i="1" s="1"/>
  <c r="B1860" i="1"/>
  <c r="B1860" i="1" a="1"/>
  <c r="A1860" i="1" a="1"/>
  <c r="A1860" i="1" s="1"/>
  <c r="B1859" i="1" a="1"/>
  <c r="B1859" i="1" s="1"/>
  <c r="A1859" i="1" a="1"/>
  <c r="A1859" i="1" s="1"/>
  <c r="E1858" i="1"/>
  <c r="B1858" i="1" a="1"/>
  <c r="B1858" i="1" s="1"/>
  <c r="A1858" i="1"/>
  <c r="C1858" i="1" s="1"/>
  <c r="D1858" i="1" s="1"/>
  <c r="A1858" i="1" a="1"/>
  <c r="B1857" i="1" a="1"/>
  <c r="B1857" i="1" s="1"/>
  <c r="A1857" i="1" a="1"/>
  <c r="A1857" i="1" s="1"/>
  <c r="E1857" i="1" s="1"/>
  <c r="G1856" i="1"/>
  <c r="B1856" i="1"/>
  <c r="B1856" i="1" a="1"/>
  <c r="A1856" i="1" a="1"/>
  <c r="A1856" i="1" s="1"/>
  <c r="G1855" i="1"/>
  <c r="B1855" i="1"/>
  <c r="B1855" i="1" a="1"/>
  <c r="A1855" i="1" a="1"/>
  <c r="A1855" i="1" s="1"/>
  <c r="B1854" i="1" a="1"/>
  <c r="B1854" i="1" s="1"/>
  <c r="A1854" i="1" a="1"/>
  <c r="A1854" i="1" s="1"/>
  <c r="C1854" i="1" s="1"/>
  <c r="D1854" i="1" s="1"/>
  <c r="B1853" i="1"/>
  <c r="B1853" i="1" a="1"/>
  <c r="A1853" i="1"/>
  <c r="A1853" i="1" a="1"/>
  <c r="B1852" i="1" a="1"/>
  <c r="B1852" i="1" s="1"/>
  <c r="A1852" i="1" a="1"/>
  <c r="A1852" i="1" s="1"/>
  <c r="B1851" i="1" a="1"/>
  <c r="B1851" i="1" s="1"/>
  <c r="A1851" i="1" a="1"/>
  <c r="A1851" i="1" s="1"/>
  <c r="B1850" i="1" a="1"/>
  <c r="B1850" i="1" s="1"/>
  <c r="A1850" i="1" a="1"/>
  <c r="A1850" i="1" s="1"/>
  <c r="E1850" i="1" s="1"/>
  <c r="B1849" i="1" a="1"/>
  <c r="B1849" i="1" s="1"/>
  <c r="A1849" i="1"/>
  <c r="C1849" i="1" s="1"/>
  <c r="A1849" i="1" a="1"/>
  <c r="B1848" i="1"/>
  <c r="B1848" i="1" a="1"/>
  <c r="A1848" i="1" a="1"/>
  <c r="A1848" i="1" s="1"/>
  <c r="B1847" i="1"/>
  <c r="B1847" i="1" a="1"/>
  <c r="A1847" i="1"/>
  <c r="A1847" i="1" a="1"/>
  <c r="B1846" i="1" a="1"/>
  <c r="B1846" i="1" s="1"/>
  <c r="A1846" i="1" a="1"/>
  <c r="A1846" i="1" s="1"/>
  <c r="B1845" i="1" a="1"/>
  <c r="B1845" i="1" s="1"/>
  <c r="A1845" i="1" a="1"/>
  <c r="A1845" i="1" s="1"/>
  <c r="C1845" i="1" s="1"/>
  <c r="B1844" i="1"/>
  <c r="B1844" i="1" a="1"/>
  <c r="A1844" i="1"/>
  <c r="C1844" i="1" s="1"/>
  <c r="D1844" i="1" s="1"/>
  <c r="A1844" i="1" a="1"/>
  <c r="B1843" i="1"/>
  <c r="B1843" i="1" a="1"/>
  <c r="A1843" i="1" a="1"/>
  <c r="A1843" i="1" s="1"/>
  <c r="B1842" i="1" a="1"/>
  <c r="B1842" i="1" s="1"/>
  <c r="A1842" i="1" a="1"/>
  <c r="A1842" i="1" s="1"/>
  <c r="B1841" i="1" a="1"/>
  <c r="B1841" i="1" s="1"/>
  <c r="A1841" i="1" a="1"/>
  <c r="A1841" i="1" s="1"/>
  <c r="C1841" i="1" s="1"/>
  <c r="B1840" i="1" a="1"/>
  <c r="B1840" i="1" s="1"/>
  <c r="A1840" i="1" a="1"/>
  <c r="A1840" i="1" s="1"/>
  <c r="C1840" i="1" s="1"/>
  <c r="B1839" i="1"/>
  <c r="B1839" i="1" a="1"/>
  <c r="A1839" i="1" a="1"/>
  <c r="A1839" i="1" s="1"/>
  <c r="B1838" i="1" a="1"/>
  <c r="B1838" i="1" s="1"/>
  <c r="A1838" i="1" a="1"/>
  <c r="A1838" i="1" s="1"/>
  <c r="G1838" i="1" s="1"/>
  <c r="B1837" i="1" a="1"/>
  <c r="B1837" i="1" s="1"/>
  <c r="A1837" i="1" a="1"/>
  <c r="A1837" i="1" s="1"/>
  <c r="C1837" i="1" s="1"/>
  <c r="D1837" i="1" s="1"/>
  <c r="C1836" i="1"/>
  <c r="B1836" i="1" a="1"/>
  <c r="B1836" i="1" s="1"/>
  <c r="A1836" i="1" a="1"/>
  <c r="A1836" i="1" s="1"/>
  <c r="B1835" i="1" a="1"/>
  <c r="B1835" i="1" s="1"/>
  <c r="A1835" i="1" a="1"/>
  <c r="A1835" i="1" s="1"/>
  <c r="B1834" i="1" a="1"/>
  <c r="B1834" i="1" s="1"/>
  <c r="A1834" i="1" a="1"/>
  <c r="A1834" i="1" s="1"/>
  <c r="C1834" i="1" s="1"/>
  <c r="B1833" i="1"/>
  <c r="B1833" i="1" a="1"/>
  <c r="A1833" i="1" a="1"/>
  <c r="A1833" i="1" s="1"/>
  <c r="B1832" i="1" a="1"/>
  <c r="B1832" i="1" s="1"/>
  <c r="A1832" i="1" a="1"/>
  <c r="A1832" i="1" s="1"/>
  <c r="B1831" i="1"/>
  <c r="B1831" i="1" a="1"/>
  <c r="A1831" i="1" a="1"/>
  <c r="A1831" i="1" s="1"/>
  <c r="C1831" i="1" s="1"/>
  <c r="G1830" i="1"/>
  <c r="B1830" i="1" a="1"/>
  <c r="B1830" i="1" s="1"/>
  <c r="A1830" i="1" a="1"/>
  <c r="A1830" i="1" s="1"/>
  <c r="B1829" i="1" a="1"/>
  <c r="B1829" i="1" s="1"/>
  <c r="A1829" i="1"/>
  <c r="C1829" i="1" s="1"/>
  <c r="A1829" i="1" a="1"/>
  <c r="B1828" i="1" a="1"/>
  <c r="B1828" i="1" s="1"/>
  <c r="A1828" i="1" a="1"/>
  <c r="A1828" i="1" s="1"/>
  <c r="B1827" i="1" a="1"/>
  <c r="B1827" i="1" s="1"/>
  <c r="A1827" i="1" a="1"/>
  <c r="A1827" i="1" s="1"/>
  <c r="B1826" i="1" a="1"/>
  <c r="B1826" i="1" s="1"/>
  <c r="A1826" i="1" a="1"/>
  <c r="A1826" i="1" s="1"/>
  <c r="B1825" i="1" a="1"/>
  <c r="B1825" i="1" s="1"/>
  <c r="A1825" i="1" a="1"/>
  <c r="A1825" i="1" s="1"/>
  <c r="B1824" i="1"/>
  <c r="B1824" i="1" a="1"/>
  <c r="A1824" i="1" a="1"/>
  <c r="A1824" i="1" s="1"/>
  <c r="B1823" i="1" a="1"/>
  <c r="B1823" i="1" s="1"/>
  <c r="A1823" i="1" a="1"/>
  <c r="A1823" i="1" s="1"/>
  <c r="B1822" i="1" a="1"/>
  <c r="B1822" i="1" s="1"/>
  <c r="A1822" i="1" a="1"/>
  <c r="A1822" i="1" s="1"/>
  <c r="B1821" i="1" a="1"/>
  <c r="B1821" i="1" s="1"/>
  <c r="A1821" i="1" a="1"/>
  <c r="A1821" i="1" s="1"/>
  <c r="B1820" i="1" a="1"/>
  <c r="B1820" i="1" s="1"/>
  <c r="A1820" i="1" a="1"/>
  <c r="A1820" i="1" s="1"/>
  <c r="C1820" i="1" s="1"/>
  <c r="D1820" i="1" s="1"/>
  <c r="B1819" i="1"/>
  <c r="B1819" i="1" a="1"/>
  <c r="A1819" i="1" a="1"/>
  <c r="A1819" i="1" s="1"/>
  <c r="B1818" i="1" a="1"/>
  <c r="B1818" i="1" s="1"/>
  <c r="A1818" i="1" a="1"/>
  <c r="A1818" i="1" s="1"/>
  <c r="B1817" i="1" a="1"/>
  <c r="B1817" i="1" s="1"/>
  <c r="A1817" i="1" a="1"/>
  <c r="A1817" i="1" s="1"/>
  <c r="B1816" i="1"/>
  <c r="B1816" i="1" a="1"/>
  <c r="A1816" i="1" a="1"/>
  <c r="A1816" i="1" s="1"/>
  <c r="B1815" i="1" a="1"/>
  <c r="B1815" i="1" s="1"/>
  <c r="G1815" i="1" s="1"/>
  <c r="A1815" i="1" a="1"/>
  <c r="A1815" i="1" s="1"/>
  <c r="C1815" i="1" s="1"/>
  <c r="B1814" i="1" a="1"/>
  <c r="B1814" i="1" s="1"/>
  <c r="A1814" i="1" a="1"/>
  <c r="A1814" i="1" s="1"/>
  <c r="B1813" i="1"/>
  <c r="B1813" i="1" a="1"/>
  <c r="A1813" i="1"/>
  <c r="A1813" i="1" a="1"/>
  <c r="B1812" i="1" a="1"/>
  <c r="B1812" i="1" s="1"/>
  <c r="A1812" i="1" a="1"/>
  <c r="A1812" i="1" s="1"/>
  <c r="B1811" i="1" a="1"/>
  <c r="B1811" i="1" s="1"/>
  <c r="A1811" i="1" a="1"/>
  <c r="A1811" i="1" s="1"/>
  <c r="G1811" i="1" s="1"/>
  <c r="B1810" i="1" a="1"/>
  <c r="B1810" i="1" s="1"/>
  <c r="A1810" i="1" a="1"/>
  <c r="A1810" i="1" s="1"/>
  <c r="B1809" i="1" a="1"/>
  <c r="B1809" i="1" s="1"/>
  <c r="A1809" i="1" a="1"/>
  <c r="A1809" i="1" s="1"/>
  <c r="C1809" i="1" s="1"/>
  <c r="D1809" i="1" s="1"/>
  <c r="B1808" i="1"/>
  <c r="B1808" i="1" a="1"/>
  <c r="A1808" i="1" a="1"/>
  <c r="A1808" i="1" s="1"/>
  <c r="B1807" i="1"/>
  <c r="B1807" i="1" a="1"/>
  <c r="A1807" i="1" a="1"/>
  <c r="A1807" i="1" s="1"/>
  <c r="B1806" i="1" a="1"/>
  <c r="B1806" i="1" s="1"/>
  <c r="A1806" i="1"/>
  <c r="A1806" i="1" a="1"/>
  <c r="G1805" i="1"/>
  <c r="B1805" i="1" a="1"/>
  <c r="B1805" i="1" s="1"/>
  <c r="A1805" i="1" a="1"/>
  <c r="A1805" i="1" s="1"/>
  <c r="C1805" i="1" s="1"/>
  <c r="D1805" i="1" s="1"/>
  <c r="B1804" i="1" a="1"/>
  <c r="B1804" i="1" s="1"/>
  <c r="A1804" i="1" a="1"/>
  <c r="A1804" i="1" s="1"/>
  <c r="B1803" i="1" a="1"/>
  <c r="B1803" i="1" s="1"/>
  <c r="A1803" i="1" a="1"/>
  <c r="A1803" i="1" s="1"/>
  <c r="B1802" i="1" a="1"/>
  <c r="B1802" i="1" s="1"/>
  <c r="A1802" i="1" a="1"/>
  <c r="A1802" i="1" s="1"/>
  <c r="B1801" i="1"/>
  <c r="B1801" i="1" a="1"/>
  <c r="A1801" i="1"/>
  <c r="A1801" i="1" a="1"/>
  <c r="B1800" i="1"/>
  <c r="B1800" i="1" a="1"/>
  <c r="A1800" i="1" a="1"/>
  <c r="A1800" i="1" s="1"/>
  <c r="G1800" i="1" s="1"/>
  <c r="B1799" i="1"/>
  <c r="B1799" i="1" a="1"/>
  <c r="A1799" i="1" a="1"/>
  <c r="A1799" i="1" s="1"/>
  <c r="G1799" i="1" s="1"/>
  <c r="B1798" i="1" a="1"/>
  <c r="B1798" i="1" s="1"/>
  <c r="A1798" i="1" a="1"/>
  <c r="A1798" i="1" s="1"/>
  <c r="B1797" i="1" a="1"/>
  <c r="B1797" i="1" s="1"/>
  <c r="A1797" i="1" a="1"/>
  <c r="A1797" i="1" s="1"/>
  <c r="B1796" i="1"/>
  <c r="B1796" i="1" a="1"/>
  <c r="A1796" i="1" a="1"/>
  <c r="A1796" i="1" s="1"/>
  <c r="C1796" i="1" s="1"/>
  <c r="D1796" i="1" s="1"/>
  <c r="B1795" i="1" a="1"/>
  <c r="B1795" i="1" s="1"/>
  <c r="A1795" i="1" a="1"/>
  <c r="A1795" i="1" s="1"/>
  <c r="B1794" i="1" a="1"/>
  <c r="B1794" i="1" s="1"/>
  <c r="A1794" i="1" a="1"/>
  <c r="A1794" i="1" s="1"/>
  <c r="C1794" i="1" s="1"/>
  <c r="B1793" i="1" a="1"/>
  <c r="B1793" i="1" s="1"/>
  <c r="A1793" i="1" a="1"/>
  <c r="A1793" i="1" s="1"/>
  <c r="C1793" i="1" s="1"/>
  <c r="B1792" i="1" a="1"/>
  <c r="B1792" i="1" s="1"/>
  <c r="A1792" i="1" a="1"/>
  <c r="A1792" i="1" s="1"/>
  <c r="B1791" i="1" a="1"/>
  <c r="B1791" i="1" s="1"/>
  <c r="A1791" i="1"/>
  <c r="G1791" i="1" s="1"/>
  <c r="A1791" i="1" a="1"/>
  <c r="B1790" i="1" a="1"/>
  <c r="B1790" i="1" s="1"/>
  <c r="A1790" i="1" a="1"/>
  <c r="A1790" i="1" s="1"/>
  <c r="C1790" i="1" s="1"/>
  <c r="D1790" i="1" s="1"/>
  <c r="B1789" i="1" a="1"/>
  <c r="B1789" i="1" s="1"/>
  <c r="A1789" i="1" a="1"/>
  <c r="A1789" i="1" s="1"/>
  <c r="B1788" i="1"/>
  <c r="B1788" i="1" a="1"/>
  <c r="A1788" i="1" a="1"/>
  <c r="A1788" i="1" s="1"/>
  <c r="C1788" i="1" s="1"/>
  <c r="B1787" i="1" a="1"/>
  <c r="B1787" i="1" s="1"/>
  <c r="A1787" i="1" a="1"/>
  <c r="A1787" i="1" s="1"/>
  <c r="C1786" i="1"/>
  <c r="D1786" i="1" s="1"/>
  <c r="B1786" i="1" a="1"/>
  <c r="B1786" i="1" s="1"/>
  <c r="G1786" i="1" s="1"/>
  <c r="A1786" i="1"/>
  <c r="E1786" i="1" s="1"/>
  <c r="A1786" i="1" a="1"/>
  <c r="B1785" i="1" a="1"/>
  <c r="B1785" i="1" s="1"/>
  <c r="A1785" i="1"/>
  <c r="A1785" i="1" a="1"/>
  <c r="B1784" i="1" a="1"/>
  <c r="B1784" i="1" s="1"/>
  <c r="A1784" i="1" a="1"/>
  <c r="A1784" i="1" s="1"/>
  <c r="B1783" i="1"/>
  <c r="B1783" i="1" a="1"/>
  <c r="A1783" i="1" a="1"/>
  <c r="A1783" i="1" s="1"/>
  <c r="G1783" i="1" s="1"/>
  <c r="B1782" i="1" a="1"/>
  <c r="B1782" i="1" s="1"/>
  <c r="A1782" i="1"/>
  <c r="A1782" i="1" a="1"/>
  <c r="B1781" i="1"/>
  <c r="B1781" i="1" a="1"/>
  <c r="A1781" i="1" a="1"/>
  <c r="A1781" i="1" s="1"/>
  <c r="B1780" i="1" a="1"/>
  <c r="B1780" i="1" s="1"/>
  <c r="A1780" i="1" a="1"/>
  <c r="A1780" i="1" s="1"/>
  <c r="B1779" i="1"/>
  <c r="B1779" i="1" a="1"/>
  <c r="A1779" i="1" a="1"/>
  <c r="A1779" i="1" s="1"/>
  <c r="C1779" i="1" s="1"/>
  <c r="D1779" i="1" s="1"/>
  <c r="B1778" i="1" a="1"/>
  <c r="B1778" i="1" s="1"/>
  <c r="A1778" i="1" a="1"/>
  <c r="A1778" i="1" s="1"/>
  <c r="B1777" i="1"/>
  <c r="B1777" i="1" a="1"/>
  <c r="A1777" i="1" a="1"/>
  <c r="A1777" i="1" s="1"/>
  <c r="G1777" i="1" s="1"/>
  <c r="C1776" i="1"/>
  <c r="B1776" i="1"/>
  <c r="B1776" i="1" a="1"/>
  <c r="A1776" i="1" a="1"/>
  <c r="A1776" i="1" s="1"/>
  <c r="G1776" i="1" s="1"/>
  <c r="B1775" i="1"/>
  <c r="B1775" i="1" a="1"/>
  <c r="A1775" i="1" a="1"/>
  <c r="A1775" i="1" s="1"/>
  <c r="G1775" i="1" s="1"/>
  <c r="B1774" i="1" a="1"/>
  <c r="B1774" i="1" s="1"/>
  <c r="A1774" i="1" a="1"/>
  <c r="A1774" i="1" s="1"/>
  <c r="B1773" i="1" a="1"/>
  <c r="B1773" i="1" s="1"/>
  <c r="A1773" i="1" a="1"/>
  <c r="A1773" i="1" s="1"/>
  <c r="B1772" i="1"/>
  <c r="B1772" i="1" a="1"/>
  <c r="A1772" i="1" a="1"/>
  <c r="A1772" i="1" s="1"/>
  <c r="C1772" i="1" s="1"/>
  <c r="D1772" i="1" s="1"/>
  <c r="B1771" i="1"/>
  <c r="B1771" i="1" a="1"/>
  <c r="A1771" i="1" a="1"/>
  <c r="A1771" i="1" s="1"/>
  <c r="E1770" i="1"/>
  <c r="B1770" i="1" a="1"/>
  <c r="B1770" i="1" s="1"/>
  <c r="A1770" i="1" a="1"/>
  <c r="A1770" i="1" s="1"/>
  <c r="B1769" i="1"/>
  <c r="B1769" i="1" a="1"/>
  <c r="A1769" i="1" a="1"/>
  <c r="A1769" i="1" s="1"/>
  <c r="B1768" i="1"/>
  <c r="B1768" i="1" a="1"/>
  <c r="A1768" i="1"/>
  <c r="A1768" i="1" a="1"/>
  <c r="B1767" i="1" a="1"/>
  <c r="B1767" i="1" s="1"/>
  <c r="A1767" i="1" a="1"/>
  <c r="A1767" i="1" s="1"/>
  <c r="B1766" i="1" a="1"/>
  <c r="B1766" i="1" s="1"/>
  <c r="A1766" i="1" a="1"/>
  <c r="A1766" i="1" s="1"/>
  <c r="G1766" i="1" s="1"/>
  <c r="C1765" i="1"/>
  <c r="D1765" i="1" s="1"/>
  <c r="B1765" i="1" a="1"/>
  <c r="B1765" i="1" s="1"/>
  <c r="A1765" i="1" a="1"/>
  <c r="A1765" i="1" s="1"/>
  <c r="B1764" i="1"/>
  <c r="B1764" i="1" a="1"/>
  <c r="A1764" i="1" a="1"/>
  <c r="A1764" i="1" s="1"/>
  <c r="B1763" i="1" a="1"/>
  <c r="B1763" i="1" s="1"/>
  <c r="A1763" i="1" a="1"/>
  <c r="A1763" i="1" s="1"/>
  <c r="E1762" i="1"/>
  <c r="C1762" i="1"/>
  <c r="D1762" i="1" s="1"/>
  <c r="B1762" i="1" a="1"/>
  <c r="B1762" i="1" s="1"/>
  <c r="A1762" i="1" a="1"/>
  <c r="A1762" i="1" s="1"/>
  <c r="G1762" i="1" s="1"/>
  <c r="B1761" i="1" a="1"/>
  <c r="B1761" i="1" s="1"/>
  <c r="A1761" i="1" a="1"/>
  <c r="A1761" i="1" s="1"/>
  <c r="G1760" i="1"/>
  <c r="B1760" i="1" a="1"/>
  <c r="B1760" i="1" s="1"/>
  <c r="A1760" i="1" a="1"/>
  <c r="A1760" i="1" s="1"/>
  <c r="C1760" i="1" s="1"/>
  <c r="D1760" i="1" s="1"/>
  <c r="C1759" i="1"/>
  <c r="D1759" i="1" s="1"/>
  <c r="B1759" i="1"/>
  <c r="B1759" i="1" a="1"/>
  <c r="A1759" i="1" a="1"/>
  <c r="A1759" i="1" s="1"/>
  <c r="E1758" i="1"/>
  <c r="B1758" i="1" a="1"/>
  <c r="B1758" i="1" s="1"/>
  <c r="A1758" i="1" a="1"/>
  <c r="A1758" i="1" s="1"/>
  <c r="B1757" i="1"/>
  <c r="B1757" i="1" a="1"/>
  <c r="A1757" i="1" a="1"/>
  <c r="A1757" i="1" s="1"/>
  <c r="C1757" i="1" s="1"/>
  <c r="B1756" i="1" a="1"/>
  <c r="B1756" i="1" s="1"/>
  <c r="A1756" i="1" a="1"/>
  <c r="A1756" i="1" s="1"/>
  <c r="B1755" i="1" a="1"/>
  <c r="B1755" i="1" s="1"/>
  <c r="A1755" i="1" a="1"/>
  <c r="A1755" i="1" s="1"/>
  <c r="C1755" i="1" s="1"/>
  <c r="B1754" i="1" a="1"/>
  <c r="B1754" i="1" s="1"/>
  <c r="A1754" i="1" a="1"/>
  <c r="A1754" i="1" s="1"/>
  <c r="B1753" i="1" a="1"/>
  <c r="B1753" i="1" s="1"/>
  <c r="A1753" i="1"/>
  <c r="A1753" i="1" a="1"/>
  <c r="B1752" i="1"/>
  <c r="B1752" i="1" a="1"/>
  <c r="A1752" i="1" a="1"/>
  <c r="A1752" i="1" s="1"/>
  <c r="B1751" i="1"/>
  <c r="B1751" i="1" a="1"/>
  <c r="A1751" i="1"/>
  <c r="C1751" i="1" s="1"/>
  <c r="D1751" i="1" s="1"/>
  <c r="A1751" i="1" a="1"/>
  <c r="B1750" i="1" a="1"/>
  <c r="B1750" i="1" s="1"/>
  <c r="A1750" i="1" a="1"/>
  <c r="A1750" i="1" s="1"/>
  <c r="G1750" i="1" s="1"/>
  <c r="B1749" i="1" a="1"/>
  <c r="B1749" i="1" s="1"/>
  <c r="A1749" i="1"/>
  <c r="A1749" i="1" a="1"/>
  <c r="B1748" i="1"/>
  <c r="B1748" i="1" a="1"/>
  <c r="A1748" i="1" a="1"/>
  <c r="A1748" i="1" s="1"/>
  <c r="B1747" i="1"/>
  <c r="B1747" i="1" a="1"/>
  <c r="A1747" i="1" a="1"/>
  <c r="A1747" i="1" s="1"/>
  <c r="C1747" i="1" s="1"/>
  <c r="D1747" i="1" s="1"/>
  <c r="B1746" i="1" a="1"/>
  <c r="B1746" i="1" s="1"/>
  <c r="A1746" i="1" a="1"/>
  <c r="A1746" i="1" s="1"/>
  <c r="B1745" i="1"/>
  <c r="B1745" i="1" a="1"/>
  <c r="A1745" i="1" a="1"/>
  <c r="A1745" i="1" s="1"/>
  <c r="C1745" i="1" s="1"/>
  <c r="B1744" i="1" a="1"/>
  <c r="B1744" i="1" s="1"/>
  <c r="A1744" i="1" a="1"/>
  <c r="A1744" i="1" s="1"/>
  <c r="B1743" i="1" a="1"/>
  <c r="B1743" i="1" s="1"/>
  <c r="A1743" i="1" a="1"/>
  <c r="A1743" i="1" s="1"/>
  <c r="B1742" i="1" a="1"/>
  <c r="B1742" i="1" s="1"/>
  <c r="A1742" i="1" a="1"/>
  <c r="A1742" i="1" s="1"/>
  <c r="B1741" i="1"/>
  <c r="B1741" i="1" a="1"/>
  <c r="A1741" i="1"/>
  <c r="C1741" i="1" s="1"/>
  <c r="A1741" i="1" a="1"/>
  <c r="B1740" i="1" a="1"/>
  <c r="B1740" i="1" s="1"/>
  <c r="A1740" i="1" a="1"/>
  <c r="A1740" i="1" s="1"/>
  <c r="B1739" i="1"/>
  <c r="B1739" i="1" a="1"/>
  <c r="A1739" i="1" a="1"/>
  <c r="A1739" i="1" s="1"/>
  <c r="G1739" i="1" s="1"/>
  <c r="B1738" i="1" a="1"/>
  <c r="B1738" i="1" s="1"/>
  <c r="A1738" i="1" a="1"/>
  <c r="A1738" i="1" s="1"/>
  <c r="B1737" i="1" a="1"/>
  <c r="B1737" i="1" s="1"/>
  <c r="A1737" i="1" a="1"/>
  <c r="A1737" i="1" s="1"/>
  <c r="B1736" i="1"/>
  <c r="B1736" i="1" a="1"/>
  <c r="A1736" i="1" a="1"/>
  <c r="A1736" i="1" s="1"/>
  <c r="B1735" i="1"/>
  <c r="B1735" i="1" a="1"/>
  <c r="A1735" i="1" a="1"/>
  <c r="A1735" i="1" s="1"/>
  <c r="B1734" i="1" a="1"/>
  <c r="B1734" i="1" s="1"/>
  <c r="A1734" i="1" a="1"/>
  <c r="A1734" i="1" s="1"/>
  <c r="B1733" i="1"/>
  <c r="B1733" i="1" a="1"/>
  <c r="A1733" i="1" a="1"/>
  <c r="A1733" i="1" s="1"/>
  <c r="G1732" i="1"/>
  <c r="E1732" i="1"/>
  <c r="F1732" i="1" s="1"/>
  <c r="B1732" i="1" a="1"/>
  <c r="B1732" i="1" s="1"/>
  <c r="A1732" i="1" a="1"/>
  <c r="A1732" i="1" s="1"/>
  <c r="C1732" i="1" s="1"/>
  <c r="D1732" i="1" s="1"/>
  <c r="B1731" i="1" a="1"/>
  <c r="B1731" i="1" s="1"/>
  <c r="A1731" i="1" a="1"/>
  <c r="A1731" i="1" s="1"/>
  <c r="C1731" i="1" s="1"/>
  <c r="B1730" i="1" a="1"/>
  <c r="B1730" i="1" s="1"/>
  <c r="A1730" i="1" a="1"/>
  <c r="A1730" i="1" s="1"/>
  <c r="B1729" i="1" a="1"/>
  <c r="B1729" i="1" s="1"/>
  <c r="A1729" i="1" a="1"/>
  <c r="A1729" i="1" s="1"/>
  <c r="C1729" i="1" s="1"/>
  <c r="B1728" i="1"/>
  <c r="B1728" i="1" a="1"/>
  <c r="A1728" i="1" a="1"/>
  <c r="A1728" i="1" s="1"/>
  <c r="G1727" i="1"/>
  <c r="B1727" i="1" a="1"/>
  <c r="B1727" i="1" s="1"/>
  <c r="A1727" i="1" a="1"/>
  <c r="A1727" i="1" s="1"/>
  <c r="C1727" i="1" s="1"/>
  <c r="B1726" i="1" a="1"/>
  <c r="B1726" i="1" s="1"/>
  <c r="A1726" i="1" a="1"/>
  <c r="A1726" i="1" s="1"/>
  <c r="B1725" i="1" a="1"/>
  <c r="B1725" i="1" s="1"/>
  <c r="A1725" i="1" a="1"/>
  <c r="A1725" i="1" s="1"/>
  <c r="C1725" i="1" s="1"/>
  <c r="D1725" i="1" s="1"/>
  <c r="B1724" i="1" a="1"/>
  <c r="B1724" i="1" s="1"/>
  <c r="A1724" i="1"/>
  <c r="C1724" i="1" s="1"/>
  <c r="A1724" i="1" a="1"/>
  <c r="G1723" i="1"/>
  <c r="B1723" i="1"/>
  <c r="B1723" i="1" a="1"/>
  <c r="A1723" i="1" a="1"/>
  <c r="A1723" i="1" s="1"/>
  <c r="B1722" i="1" a="1"/>
  <c r="B1722" i="1" s="1"/>
  <c r="A1722" i="1" a="1"/>
  <c r="A1722" i="1" s="1"/>
  <c r="B1721" i="1" a="1"/>
  <c r="B1721" i="1" s="1"/>
  <c r="A1721" i="1" a="1"/>
  <c r="A1721" i="1" s="1"/>
  <c r="B1720" i="1" a="1"/>
  <c r="B1720" i="1" s="1"/>
  <c r="A1720" i="1"/>
  <c r="C1720" i="1" s="1"/>
  <c r="D1720" i="1" s="1"/>
  <c r="A1720" i="1" a="1"/>
  <c r="B1719" i="1" a="1"/>
  <c r="B1719" i="1" s="1"/>
  <c r="A1719" i="1" a="1"/>
  <c r="A1719" i="1" s="1"/>
  <c r="B1718" i="1" a="1"/>
  <c r="B1718" i="1" s="1"/>
  <c r="A1718" i="1" a="1"/>
  <c r="A1718" i="1" s="1"/>
  <c r="B1717" i="1"/>
  <c r="B1717" i="1" a="1"/>
  <c r="A1717" i="1" a="1"/>
  <c r="A1717" i="1" s="1"/>
  <c r="C1717" i="1" s="1"/>
  <c r="D1717" i="1" s="1"/>
  <c r="B1716" i="1" a="1"/>
  <c r="B1716" i="1" s="1"/>
  <c r="A1716" i="1" a="1"/>
  <c r="A1716" i="1" s="1"/>
  <c r="B1715" i="1" a="1"/>
  <c r="B1715" i="1" s="1"/>
  <c r="A1715" i="1" a="1"/>
  <c r="A1715" i="1" s="1"/>
  <c r="E1714" i="1"/>
  <c r="B1714" i="1" a="1"/>
  <c r="B1714" i="1" s="1"/>
  <c r="A1714" i="1"/>
  <c r="A1714" i="1" a="1"/>
  <c r="B1713" i="1"/>
  <c r="B1713" i="1" a="1"/>
  <c r="A1713" i="1" a="1"/>
  <c r="A1713" i="1" s="1"/>
  <c r="C1713" i="1" s="1"/>
  <c r="D1713" i="1" s="1"/>
  <c r="B1712" i="1" a="1"/>
  <c r="B1712" i="1" s="1"/>
  <c r="A1712" i="1" a="1"/>
  <c r="A1712" i="1" s="1"/>
  <c r="B1711" i="1"/>
  <c r="B1711" i="1" a="1"/>
  <c r="A1711" i="1" a="1"/>
  <c r="A1711" i="1" s="1"/>
  <c r="B1710" i="1" a="1"/>
  <c r="B1710" i="1" s="1"/>
  <c r="A1710" i="1" a="1"/>
  <c r="A1710" i="1" s="1"/>
  <c r="B1709" i="1"/>
  <c r="B1709" i="1" a="1"/>
  <c r="A1709" i="1"/>
  <c r="A1709" i="1" a="1"/>
  <c r="B1708" i="1" a="1"/>
  <c r="B1708" i="1" s="1"/>
  <c r="A1708" i="1"/>
  <c r="A1708" i="1" a="1"/>
  <c r="B1707" i="1" a="1"/>
  <c r="B1707" i="1" s="1"/>
  <c r="A1707" i="1"/>
  <c r="A1707" i="1" a="1"/>
  <c r="B1706" i="1" a="1"/>
  <c r="B1706" i="1" s="1"/>
  <c r="A1706" i="1" a="1"/>
  <c r="A1706" i="1" s="1"/>
  <c r="C1706" i="1" s="1"/>
  <c r="D1706" i="1" s="1"/>
  <c r="B1705" i="1" a="1"/>
  <c r="B1705" i="1" s="1"/>
  <c r="A1705" i="1" a="1"/>
  <c r="A1705" i="1" s="1"/>
  <c r="B1704" i="1"/>
  <c r="B1704" i="1" a="1"/>
  <c r="A1704" i="1" a="1"/>
  <c r="A1704" i="1" s="1"/>
  <c r="B1703" i="1" a="1"/>
  <c r="B1703" i="1" s="1"/>
  <c r="A1703" i="1" a="1"/>
  <c r="A1703" i="1" s="1"/>
  <c r="B1702" i="1" a="1"/>
  <c r="B1702" i="1" s="1"/>
  <c r="A1702" i="1"/>
  <c r="A1702" i="1" a="1"/>
  <c r="B1701" i="1" a="1"/>
  <c r="B1701" i="1" s="1"/>
  <c r="A1701" i="1" a="1"/>
  <c r="A1701" i="1" s="1"/>
  <c r="G1701" i="1" s="1"/>
  <c r="B1700" i="1" a="1"/>
  <c r="B1700" i="1" s="1"/>
  <c r="A1700" i="1" a="1"/>
  <c r="A1700" i="1" s="1"/>
  <c r="D1699" i="1"/>
  <c r="B1699" i="1"/>
  <c r="B1699" i="1" a="1"/>
  <c r="A1699" i="1" a="1"/>
  <c r="A1699" i="1" s="1"/>
  <c r="C1699" i="1" s="1"/>
  <c r="B1698" i="1" a="1"/>
  <c r="B1698" i="1" s="1"/>
  <c r="A1698" i="1"/>
  <c r="A1698" i="1" a="1"/>
  <c r="B1697" i="1" a="1"/>
  <c r="B1697" i="1" s="1"/>
  <c r="A1697" i="1"/>
  <c r="C1697" i="1" s="1"/>
  <c r="A1697" i="1" a="1"/>
  <c r="B1696" i="1"/>
  <c r="B1696" i="1" a="1"/>
  <c r="A1696" i="1" a="1"/>
  <c r="A1696" i="1" s="1"/>
  <c r="B1695" i="1"/>
  <c r="B1695" i="1" a="1"/>
  <c r="A1695" i="1" a="1"/>
  <c r="A1695" i="1" s="1"/>
  <c r="B1694" i="1" a="1"/>
  <c r="B1694" i="1" s="1"/>
  <c r="A1694" i="1" a="1"/>
  <c r="A1694" i="1" s="1"/>
  <c r="B1693" i="1"/>
  <c r="B1693" i="1" a="1"/>
  <c r="A1693" i="1" a="1"/>
  <c r="A1693" i="1" s="1"/>
  <c r="B1692" i="1"/>
  <c r="B1692" i="1" a="1"/>
  <c r="A1692" i="1" a="1"/>
  <c r="A1692" i="1" s="1"/>
  <c r="C1692" i="1" s="1"/>
  <c r="D1692" i="1" s="1"/>
  <c r="B1691" i="1" a="1"/>
  <c r="B1691" i="1" s="1"/>
  <c r="A1691" i="1" a="1"/>
  <c r="A1691" i="1" s="1"/>
  <c r="E1690" i="1"/>
  <c r="C1690" i="1"/>
  <c r="D1690" i="1" s="1"/>
  <c r="B1690" i="1" a="1"/>
  <c r="B1690" i="1" s="1"/>
  <c r="A1690" i="1"/>
  <c r="A1690" i="1" a="1"/>
  <c r="B1689" i="1" a="1"/>
  <c r="B1689" i="1" s="1"/>
  <c r="A1689" i="1"/>
  <c r="C1689" i="1" s="1"/>
  <c r="D1689" i="1" s="1"/>
  <c r="A1689" i="1" a="1"/>
  <c r="B1688" i="1" a="1"/>
  <c r="B1688" i="1" s="1"/>
  <c r="A1688" i="1" a="1"/>
  <c r="A1688" i="1" s="1"/>
  <c r="B1687" i="1"/>
  <c r="B1687" i="1" a="1"/>
  <c r="A1687" i="1" a="1"/>
  <c r="A1687" i="1" s="1"/>
  <c r="B1686" i="1" a="1"/>
  <c r="B1686" i="1" s="1"/>
  <c r="A1686" i="1" a="1"/>
  <c r="A1686" i="1" s="1"/>
  <c r="C1686" i="1" s="1"/>
  <c r="D1686" i="1" s="1"/>
  <c r="B1685" i="1"/>
  <c r="B1685" i="1" a="1"/>
  <c r="A1685" i="1" a="1"/>
  <c r="A1685" i="1" s="1"/>
  <c r="C1685" i="1" s="1"/>
  <c r="D1685" i="1" s="1"/>
  <c r="B1684" i="1"/>
  <c r="B1684" i="1" a="1"/>
  <c r="A1684" i="1" a="1"/>
  <c r="A1684" i="1" s="1"/>
  <c r="B1683" i="1" a="1"/>
  <c r="B1683" i="1" s="1"/>
  <c r="A1683" i="1" a="1"/>
  <c r="A1683" i="1" s="1"/>
  <c r="C1683" i="1" s="1"/>
  <c r="B1682" i="1" a="1"/>
  <c r="B1682" i="1" s="1"/>
  <c r="A1682" i="1" a="1"/>
  <c r="A1682" i="1" s="1"/>
  <c r="B1681" i="1"/>
  <c r="B1681" i="1" a="1"/>
  <c r="A1681" i="1" a="1"/>
  <c r="A1681" i="1" s="1"/>
  <c r="G1680" i="1"/>
  <c r="B1680" i="1"/>
  <c r="B1680" i="1" a="1"/>
  <c r="A1680" i="1" a="1"/>
  <c r="A1680" i="1" s="1"/>
  <c r="B1679" i="1"/>
  <c r="B1679" i="1" a="1"/>
  <c r="A1679" i="1" a="1"/>
  <c r="A1679" i="1" s="1"/>
  <c r="G1678" i="1"/>
  <c r="B1678" i="1" a="1"/>
  <c r="B1678" i="1" s="1"/>
  <c r="A1678" i="1" a="1"/>
  <c r="A1678" i="1" s="1"/>
  <c r="E1678" i="1" s="1"/>
  <c r="B1677" i="1" a="1"/>
  <c r="B1677" i="1" s="1"/>
  <c r="A1677" i="1"/>
  <c r="A1677" i="1" a="1"/>
  <c r="B1676" i="1"/>
  <c r="B1676" i="1" a="1"/>
  <c r="A1676" i="1" a="1"/>
  <c r="A1676" i="1" s="1"/>
  <c r="B1675" i="1" a="1"/>
  <c r="B1675" i="1" s="1"/>
  <c r="G1675" i="1" s="1"/>
  <c r="A1675" i="1" a="1"/>
  <c r="A1675" i="1" s="1"/>
  <c r="C1675" i="1" s="1"/>
  <c r="B1674" i="1" a="1"/>
  <c r="B1674" i="1" s="1"/>
  <c r="A1674" i="1" a="1"/>
  <c r="A1674" i="1" s="1"/>
  <c r="G1673" i="1"/>
  <c r="E1673" i="1"/>
  <c r="B1673" i="1" a="1"/>
  <c r="B1673" i="1" s="1"/>
  <c r="A1673" i="1" a="1"/>
  <c r="A1673" i="1" s="1"/>
  <c r="C1673" i="1" s="1"/>
  <c r="D1673" i="1" s="1"/>
  <c r="B1672" i="1" a="1"/>
  <c r="B1672" i="1" s="1"/>
  <c r="A1672" i="1" a="1"/>
  <c r="A1672" i="1" s="1"/>
  <c r="B1671" i="1"/>
  <c r="B1671" i="1" a="1"/>
  <c r="A1671" i="1" a="1"/>
  <c r="A1671" i="1" s="1"/>
  <c r="C1671" i="1" s="1"/>
  <c r="D1671" i="1" s="1"/>
  <c r="B1670" i="1" a="1"/>
  <c r="B1670" i="1" s="1"/>
  <c r="A1670" i="1" a="1"/>
  <c r="A1670" i="1" s="1"/>
  <c r="B1669" i="1" a="1"/>
  <c r="B1669" i="1" s="1"/>
  <c r="A1669" i="1" a="1"/>
  <c r="A1669" i="1" s="1"/>
  <c r="G1669" i="1" s="1"/>
  <c r="B1668" i="1"/>
  <c r="B1668" i="1" a="1"/>
  <c r="A1668" i="1" a="1"/>
  <c r="A1668" i="1" s="1"/>
  <c r="B1667" i="1" a="1"/>
  <c r="B1667" i="1" s="1"/>
  <c r="A1667" i="1" a="1"/>
  <c r="A1667" i="1" s="1"/>
  <c r="B1666" i="1" a="1"/>
  <c r="B1666" i="1" s="1"/>
  <c r="A1666" i="1" a="1"/>
  <c r="A1666" i="1" s="1"/>
  <c r="B1665" i="1" a="1"/>
  <c r="B1665" i="1" s="1"/>
  <c r="A1665" i="1"/>
  <c r="C1665" i="1" s="1"/>
  <c r="A1665" i="1" a="1"/>
  <c r="B1664" i="1" a="1"/>
  <c r="B1664" i="1" s="1"/>
  <c r="A1664" i="1" a="1"/>
  <c r="A1664" i="1" s="1"/>
  <c r="B1663" i="1"/>
  <c r="B1663" i="1" a="1"/>
  <c r="A1663" i="1" a="1"/>
  <c r="A1663" i="1" s="1"/>
  <c r="B1662" i="1" a="1"/>
  <c r="B1662" i="1" s="1"/>
  <c r="A1662" i="1" a="1"/>
  <c r="A1662" i="1" s="1"/>
  <c r="E1662" i="1" s="1"/>
  <c r="B1661" i="1"/>
  <c r="B1661" i="1" a="1"/>
  <c r="A1661" i="1" a="1"/>
  <c r="A1661" i="1" s="1"/>
  <c r="C1661" i="1" s="1"/>
  <c r="D1661" i="1" s="1"/>
  <c r="B1660" i="1"/>
  <c r="B1660" i="1" a="1"/>
  <c r="A1660" i="1" a="1"/>
  <c r="A1660" i="1" s="1"/>
  <c r="B1659" i="1"/>
  <c r="B1659" i="1" a="1"/>
  <c r="A1659" i="1" a="1"/>
  <c r="A1659" i="1" s="1"/>
  <c r="B1658" i="1" a="1"/>
  <c r="B1658" i="1" s="1"/>
  <c r="A1658" i="1" a="1"/>
  <c r="A1658" i="1" s="1"/>
  <c r="B1657" i="1"/>
  <c r="B1657" i="1" a="1"/>
  <c r="A1657" i="1"/>
  <c r="C1657" i="1" s="1"/>
  <c r="A1657" i="1" a="1"/>
  <c r="B1656" i="1"/>
  <c r="B1656" i="1" a="1"/>
  <c r="A1656" i="1" a="1"/>
  <c r="A1656" i="1" s="1"/>
  <c r="C1656" i="1" s="1"/>
  <c r="D1656" i="1" s="1"/>
  <c r="B1655" i="1" a="1"/>
  <c r="B1655" i="1" s="1"/>
  <c r="A1655" i="1" a="1"/>
  <c r="A1655" i="1" s="1"/>
  <c r="G1655" i="1" s="1"/>
  <c r="B1654" i="1" a="1"/>
  <c r="B1654" i="1" s="1"/>
  <c r="A1654" i="1" a="1"/>
  <c r="A1654" i="1" s="1"/>
  <c r="B1653" i="1" a="1"/>
  <c r="B1653" i="1" s="1"/>
  <c r="A1653" i="1"/>
  <c r="E1653" i="1" s="1"/>
  <c r="A1653" i="1" a="1"/>
  <c r="B1652" i="1"/>
  <c r="B1652" i="1" a="1"/>
  <c r="A1652" i="1" a="1"/>
  <c r="A1652" i="1" s="1"/>
  <c r="C1652" i="1" s="1"/>
  <c r="B1651" i="1" a="1"/>
  <c r="B1651" i="1" s="1"/>
  <c r="A1651" i="1" a="1"/>
  <c r="A1651" i="1" s="1"/>
  <c r="B1650" i="1" a="1"/>
  <c r="B1650" i="1" s="1"/>
  <c r="A1650" i="1"/>
  <c r="A1650" i="1" a="1"/>
  <c r="B1649" i="1" a="1"/>
  <c r="B1649" i="1" s="1"/>
  <c r="A1649" i="1" a="1"/>
  <c r="A1649" i="1" s="1"/>
  <c r="C1649" i="1" s="1"/>
  <c r="B1648" i="1" a="1"/>
  <c r="B1648" i="1" s="1"/>
  <c r="A1648" i="1" a="1"/>
  <c r="A1648" i="1" s="1"/>
  <c r="G1648" i="1" s="1"/>
  <c r="B1647" i="1" a="1"/>
  <c r="B1647" i="1" s="1"/>
  <c r="A1647" i="1" a="1"/>
  <c r="A1647" i="1" s="1"/>
  <c r="B1646" i="1" a="1"/>
  <c r="B1646" i="1" s="1"/>
  <c r="A1646" i="1"/>
  <c r="C1646" i="1" s="1"/>
  <c r="D1646" i="1" s="1"/>
  <c r="A1646" i="1" a="1"/>
  <c r="B1645" i="1" a="1"/>
  <c r="B1645" i="1" s="1"/>
  <c r="A1645" i="1" a="1"/>
  <c r="A1645" i="1" s="1"/>
  <c r="C1645" i="1" s="1"/>
  <c r="D1645" i="1" s="1"/>
  <c r="B1644" i="1"/>
  <c r="B1644" i="1" a="1"/>
  <c r="A1644" i="1" a="1"/>
  <c r="A1644" i="1" s="1"/>
  <c r="B1643" i="1"/>
  <c r="B1643" i="1" a="1"/>
  <c r="A1643" i="1" a="1"/>
  <c r="A1643" i="1" s="1"/>
  <c r="G1643" i="1" s="1"/>
  <c r="B1642" i="1" a="1"/>
  <c r="B1642" i="1" s="1"/>
  <c r="A1642" i="1" a="1"/>
  <c r="A1642" i="1" s="1"/>
  <c r="E1642" i="1" s="1"/>
  <c r="B1641" i="1"/>
  <c r="B1641" i="1" a="1"/>
  <c r="A1641" i="1" a="1"/>
  <c r="A1641" i="1" s="1"/>
  <c r="C1641" i="1" s="1"/>
  <c r="D1641" i="1" s="1"/>
  <c r="B1640" i="1"/>
  <c r="B1640" i="1" a="1"/>
  <c r="A1640" i="1" a="1"/>
  <c r="A1640" i="1" s="1"/>
  <c r="B1639" i="1"/>
  <c r="B1639" i="1" a="1"/>
  <c r="A1639" i="1" a="1"/>
  <c r="A1639" i="1" s="1"/>
  <c r="G1639" i="1" s="1"/>
  <c r="B1638" i="1" a="1"/>
  <c r="B1638" i="1" s="1"/>
  <c r="A1638" i="1" a="1"/>
  <c r="A1638" i="1" s="1"/>
  <c r="B1637" i="1" a="1"/>
  <c r="B1637" i="1" s="1"/>
  <c r="A1637" i="1" a="1"/>
  <c r="A1637" i="1" s="1"/>
  <c r="E1637" i="1" s="1"/>
  <c r="B1636" i="1" a="1"/>
  <c r="B1636" i="1" s="1"/>
  <c r="A1636" i="1"/>
  <c r="A1636" i="1" a="1"/>
  <c r="B1635" i="1"/>
  <c r="B1635" i="1" a="1"/>
  <c r="A1635" i="1" a="1"/>
  <c r="A1635" i="1" s="1"/>
  <c r="B1634" i="1" a="1"/>
  <c r="B1634" i="1" s="1"/>
  <c r="A1634" i="1" a="1"/>
  <c r="A1634" i="1" s="1"/>
  <c r="B1633" i="1"/>
  <c r="B1633" i="1" a="1"/>
  <c r="A1633" i="1" a="1"/>
  <c r="A1633" i="1" s="1"/>
  <c r="B1632" i="1"/>
  <c r="B1632" i="1" a="1"/>
  <c r="A1632" i="1" a="1"/>
  <c r="A1632" i="1" s="1"/>
  <c r="G1632" i="1" s="1"/>
  <c r="B1631" i="1"/>
  <c r="B1631" i="1" a="1"/>
  <c r="A1631" i="1"/>
  <c r="C1631" i="1" s="1"/>
  <c r="D1631" i="1" s="1"/>
  <c r="A1631" i="1" a="1"/>
  <c r="B1630" i="1" a="1"/>
  <c r="B1630" i="1" s="1"/>
  <c r="A1630" i="1" a="1"/>
  <c r="A1630" i="1" s="1"/>
  <c r="E1629" i="1"/>
  <c r="B1629" i="1" a="1"/>
  <c r="B1629" i="1" s="1"/>
  <c r="A1629" i="1" a="1"/>
  <c r="A1629" i="1" s="1"/>
  <c r="B1628" i="1" a="1"/>
  <c r="B1628" i="1" s="1"/>
  <c r="A1628" i="1"/>
  <c r="C1628" i="1" s="1"/>
  <c r="A1628" i="1" a="1"/>
  <c r="B1627" i="1"/>
  <c r="B1627" i="1" a="1"/>
  <c r="A1627" i="1" a="1"/>
  <c r="A1627" i="1" s="1"/>
  <c r="E1626" i="1"/>
  <c r="B1626" i="1" a="1"/>
  <c r="B1626" i="1" s="1"/>
  <c r="A1626" i="1" a="1"/>
  <c r="A1626" i="1" s="1"/>
  <c r="B1625" i="1" a="1"/>
  <c r="B1625" i="1" s="1"/>
  <c r="A1625" i="1" a="1"/>
  <c r="A1625" i="1" s="1"/>
  <c r="C1625" i="1" s="1"/>
  <c r="C1624" i="1"/>
  <c r="B1624" i="1" a="1"/>
  <c r="B1624" i="1" s="1"/>
  <c r="A1624" i="1" a="1"/>
  <c r="A1624" i="1" s="1"/>
  <c r="B1623" i="1" a="1"/>
  <c r="B1623" i="1" s="1"/>
  <c r="A1623" i="1" a="1"/>
  <c r="A1623" i="1" s="1"/>
  <c r="B1622" i="1" a="1"/>
  <c r="B1622" i="1" s="1"/>
  <c r="A1622" i="1" a="1"/>
  <c r="A1622" i="1" s="1"/>
  <c r="C1621" i="1"/>
  <c r="B1621" i="1" a="1"/>
  <c r="B1621" i="1" s="1"/>
  <c r="A1621" i="1" a="1"/>
  <c r="A1621" i="1" s="1"/>
  <c r="B1620" i="1"/>
  <c r="B1620" i="1" a="1"/>
  <c r="A1620" i="1" a="1"/>
  <c r="A1620" i="1" s="1"/>
  <c r="E1620" i="1" s="1"/>
  <c r="B1619" i="1"/>
  <c r="B1619" i="1" a="1"/>
  <c r="A1619" i="1" a="1"/>
  <c r="A1619" i="1" s="1"/>
  <c r="B1618" i="1" a="1"/>
  <c r="B1618" i="1" s="1"/>
  <c r="A1618" i="1" a="1"/>
  <c r="A1618" i="1" s="1"/>
  <c r="E1618" i="1" s="1"/>
  <c r="B1617" i="1"/>
  <c r="B1617" i="1" a="1"/>
  <c r="A1617" i="1" a="1"/>
  <c r="A1617" i="1" s="1"/>
  <c r="B1616" i="1" a="1"/>
  <c r="B1616" i="1" s="1"/>
  <c r="A1616" i="1" a="1"/>
  <c r="A1616" i="1" s="1"/>
  <c r="C1616" i="1" s="1"/>
  <c r="B1615" i="1"/>
  <c r="B1615" i="1" a="1"/>
  <c r="A1615" i="1" a="1"/>
  <c r="A1615" i="1" s="1"/>
  <c r="B1614" i="1" a="1"/>
  <c r="B1614" i="1" s="1"/>
  <c r="A1614" i="1" a="1"/>
  <c r="A1614" i="1" s="1"/>
  <c r="C1613" i="1"/>
  <c r="B1613" i="1"/>
  <c r="B1613" i="1" a="1"/>
  <c r="A1613" i="1" a="1"/>
  <c r="A1613" i="1" s="1"/>
  <c r="B1612" i="1"/>
  <c r="B1612" i="1" a="1"/>
  <c r="A1612" i="1" a="1"/>
  <c r="A1612" i="1" s="1"/>
  <c r="B1611" i="1"/>
  <c r="B1611" i="1" a="1"/>
  <c r="A1611" i="1" a="1"/>
  <c r="A1611" i="1" s="1"/>
  <c r="G1611" i="1" s="1"/>
  <c r="B1610" i="1" a="1"/>
  <c r="B1610" i="1" s="1"/>
  <c r="A1610" i="1" a="1"/>
  <c r="A1610" i="1" s="1"/>
  <c r="C1610" i="1" s="1"/>
  <c r="D1610" i="1" s="1"/>
  <c r="B1609" i="1" a="1"/>
  <c r="B1609" i="1" s="1"/>
  <c r="A1609" i="1" a="1"/>
  <c r="A1609" i="1" s="1"/>
  <c r="C1609" i="1" s="1"/>
  <c r="E1608" i="1"/>
  <c r="C1608" i="1"/>
  <c r="D1608" i="1" s="1"/>
  <c r="B1608" i="1"/>
  <c r="B1608" i="1" a="1"/>
  <c r="A1608" i="1" a="1"/>
  <c r="A1608" i="1" s="1"/>
  <c r="G1608" i="1" s="1"/>
  <c r="B1607" i="1" a="1"/>
  <c r="B1607" i="1" s="1"/>
  <c r="A1607" i="1" a="1"/>
  <c r="A1607" i="1" s="1"/>
  <c r="B1606" i="1" a="1"/>
  <c r="B1606" i="1" s="1"/>
  <c r="A1606" i="1" a="1"/>
  <c r="A1606" i="1" s="1"/>
  <c r="B1605" i="1" a="1"/>
  <c r="B1605" i="1" s="1"/>
  <c r="A1605" i="1"/>
  <c r="A1605" i="1" a="1"/>
  <c r="G1604" i="1"/>
  <c r="E1604" i="1"/>
  <c r="B1604" i="1" a="1"/>
  <c r="B1604" i="1" s="1"/>
  <c r="A1604" i="1" a="1"/>
  <c r="A1604" i="1" s="1"/>
  <c r="C1604" i="1" s="1"/>
  <c r="B1603" i="1"/>
  <c r="B1603" i="1" a="1"/>
  <c r="A1603" i="1" a="1"/>
  <c r="A1603" i="1" s="1"/>
  <c r="C1603" i="1" s="1"/>
  <c r="D1603" i="1" s="1"/>
  <c r="B1602" i="1" a="1"/>
  <c r="B1602" i="1" s="1"/>
  <c r="A1602" i="1" a="1"/>
  <c r="A1602" i="1" s="1"/>
  <c r="B1601" i="1"/>
  <c r="B1601" i="1" a="1"/>
  <c r="A1601" i="1" a="1"/>
  <c r="A1601" i="1" s="1"/>
  <c r="C1601" i="1" s="1"/>
  <c r="D1601" i="1" s="1"/>
  <c r="B1600" i="1" a="1"/>
  <c r="B1600" i="1" s="1"/>
  <c r="A1600" i="1" a="1"/>
  <c r="A1600" i="1" s="1"/>
  <c r="B1599" i="1"/>
  <c r="B1599" i="1" a="1"/>
  <c r="A1599" i="1" a="1"/>
  <c r="A1599" i="1" s="1"/>
  <c r="B1598" i="1" a="1"/>
  <c r="B1598" i="1" s="1"/>
  <c r="A1598" i="1" a="1"/>
  <c r="A1598" i="1" s="1"/>
  <c r="E1598" i="1" s="1"/>
  <c r="B1597" i="1" a="1"/>
  <c r="B1597" i="1" s="1"/>
  <c r="A1597" i="1" a="1"/>
  <c r="A1597" i="1" s="1"/>
  <c r="C1597" i="1" s="1"/>
  <c r="B1596" i="1"/>
  <c r="B1596" i="1" a="1"/>
  <c r="A1596" i="1" a="1"/>
  <c r="A1596" i="1" s="1"/>
  <c r="B1595" i="1" a="1"/>
  <c r="B1595" i="1" s="1"/>
  <c r="A1595" i="1" a="1"/>
  <c r="A1595" i="1" s="1"/>
  <c r="B1594" i="1" a="1"/>
  <c r="B1594" i="1" s="1"/>
  <c r="A1594" i="1" a="1"/>
  <c r="A1594" i="1" s="1"/>
  <c r="C1594" i="1" s="1"/>
  <c r="B1593" i="1"/>
  <c r="B1593" i="1" a="1"/>
  <c r="A1593" i="1" a="1"/>
  <c r="A1593" i="1" s="1"/>
  <c r="B1592" i="1"/>
  <c r="B1592" i="1" a="1"/>
  <c r="A1592" i="1"/>
  <c r="C1592" i="1" s="1"/>
  <c r="A1592" i="1" a="1"/>
  <c r="B1591" i="1"/>
  <c r="B1591" i="1" a="1"/>
  <c r="A1591" i="1" a="1"/>
  <c r="A1591" i="1" s="1"/>
  <c r="B1590" i="1" a="1"/>
  <c r="B1590" i="1" s="1"/>
  <c r="A1590" i="1" a="1"/>
  <c r="A1590" i="1" s="1"/>
  <c r="E1590" i="1" s="1"/>
  <c r="B1589" i="1"/>
  <c r="B1589" i="1" a="1"/>
  <c r="A1589" i="1" a="1"/>
  <c r="A1589" i="1" s="1"/>
  <c r="B1588" i="1" a="1"/>
  <c r="B1588" i="1" s="1"/>
  <c r="A1588" i="1" a="1"/>
  <c r="A1588" i="1" s="1"/>
  <c r="B1587" i="1" a="1"/>
  <c r="B1587" i="1" s="1"/>
  <c r="A1587" i="1" a="1"/>
  <c r="A1587" i="1" s="1"/>
  <c r="B1586" i="1" a="1"/>
  <c r="B1586" i="1" s="1"/>
  <c r="A1586" i="1" a="1"/>
  <c r="A1586" i="1" s="1"/>
  <c r="B1585" i="1"/>
  <c r="B1585" i="1" a="1"/>
  <c r="A1585" i="1" a="1"/>
  <c r="A1585" i="1" s="1"/>
  <c r="B1584" i="1"/>
  <c r="B1584" i="1" a="1"/>
  <c r="A1584" i="1" a="1"/>
  <c r="A1584" i="1" s="1"/>
  <c r="B1583" i="1" a="1"/>
  <c r="B1583" i="1" s="1"/>
  <c r="A1583" i="1" a="1"/>
  <c r="A1583" i="1" s="1"/>
  <c r="B1582" i="1" a="1"/>
  <c r="B1582" i="1" s="1"/>
  <c r="A1582" i="1" a="1"/>
  <c r="A1582" i="1" s="1"/>
  <c r="E1581" i="1"/>
  <c r="B1581" i="1" a="1"/>
  <c r="B1581" i="1" s="1"/>
  <c r="A1581" i="1" a="1"/>
  <c r="A1581" i="1" s="1"/>
  <c r="G1581" i="1" s="1"/>
  <c r="B1580" i="1" a="1"/>
  <c r="B1580" i="1" s="1"/>
  <c r="A1580" i="1" a="1"/>
  <c r="A1580" i="1" s="1"/>
  <c r="C1580" i="1" s="1"/>
  <c r="D1580" i="1" s="1"/>
  <c r="B1579" i="1" a="1"/>
  <c r="B1579" i="1" s="1"/>
  <c r="A1579" i="1" a="1"/>
  <c r="A1579" i="1" s="1"/>
  <c r="B1578" i="1" a="1"/>
  <c r="B1578" i="1" s="1"/>
  <c r="A1578" i="1" a="1"/>
  <c r="A1578" i="1" s="1"/>
  <c r="B1577" i="1" a="1"/>
  <c r="B1577" i="1" s="1"/>
  <c r="A1577" i="1" a="1"/>
  <c r="A1577" i="1" s="1"/>
  <c r="C1577" i="1" s="1"/>
  <c r="B1576" i="1" a="1"/>
  <c r="B1576" i="1" s="1"/>
  <c r="A1576" i="1"/>
  <c r="A1576" i="1" a="1"/>
  <c r="B1575" i="1" a="1"/>
  <c r="B1575" i="1" s="1"/>
  <c r="A1575" i="1" a="1"/>
  <c r="A1575" i="1" s="1"/>
  <c r="B1574" i="1" a="1"/>
  <c r="B1574" i="1" s="1"/>
  <c r="A1574" i="1" a="1"/>
  <c r="A1574" i="1" s="1"/>
  <c r="C1573" i="1"/>
  <c r="D1573" i="1" s="1"/>
  <c r="B1573" i="1"/>
  <c r="B1573" i="1" a="1"/>
  <c r="A1573" i="1" a="1"/>
  <c r="A1573" i="1" s="1"/>
  <c r="E1573" i="1" s="1"/>
  <c r="B1572" i="1"/>
  <c r="B1572" i="1" a="1"/>
  <c r="A1572" i="1" a="1"/>
  <c r="A1572" i="1" s="1"/>
  <c r="B1571" i="1" a="1"/>
  <c r="B1571" i="1" s="1"/>
  <c r="A1571" i="1" a="1"/>
  <c r="A1571" i="1" s="1"/>
  <c r="G1571" i="1" s="1"/>
  <c r="B1570" i="1" a="1"/>
  <c r="B1570" i="1" s="1"/>
  <c r="A1570" i="1" a="1"/>
  <c r="A1570" i="1" s="1"/>
  <c r="B1569" i="1" a="1"/>
  <c r="B1569" i="1" s="1"/>
  <c r="A1569" i="1" a="1"/>
  <c r="A1569" i="1" s="1"/>
  <c r="C1569" i="1" s="1"/>
  <c r="D1569" i="1" s="1"/>
  <c r="B1568" i="1" a="1"/>
  <c r="B1568" i="1" s="1"/>
  <c r="A1568" i="1"/>
  <c r="A1568" i="1" a="1"/>
  <c r="B1567" i="1"/>
  <c r="B1567" i="1" a="1"/>
  <c r="A1567" i="1" a="1"/>
  <c r="A1567" i="1" s="1"/>
  <c r="E1567" i="1" s="1"/>
  <c r="B1566" i="1" a="1"/>
  <c r="B1566" i="1" s="1"/>
  <c r="A1566" i="1" a="1"/>
  <c r="A1566" i="1" s="1"/>
  <c r="B1565" i="1" a="1"/>
  <c r="B1565" i="1" s="1"/>
  <c r="A1565" i="1" a="1"/>
  <c r="A1565" i="1" s="1"/>
  <c r="B1564" i="1" a="1"/>
  <c r="B1564" i="1" s="1"/>
  <c r="A1564" i="1"/>
  <c r="A1564" i="1" a="1"/>
  <c r="B1563" i="1" a="1"/>
  <c r="B1563" i="1" s="1"/>
  <c r="A1563" i="1" a="1"/>
  <c r="A1563" i="1" s="1"/>
  <c r="G1562" i="1"/>
  <c r="B1562" i="1" a="1"/>
  <c r="B1562" i="1" s="1"/>
  <c r="A1562" i="1" a="1"/>
  <c r="A1562" i="1" s="1"/>
  <c r="B1561" i="1"/>
  <c r="B1561" i="1" a="1"/>
  <c r="A1561" i="1" a="1"/>
  <c r="A1561" i="1" s="1"/>
  <c r="B1560" i="1"/>
  <c r="B1560" i="1" a="1"/>
  <c r="A1560" i="1" a="1"/>
  <c r="A1560" i="1" s="1"/>
  <c r="B1559" i="1" a="1"/>
  <c r="B1559" i="1" s="1"/>
  <c r="A1559" i="1" a="1"/>
  <c r="A1559" i="1" s="1"/>
  <c r="C1559" i="1" s="1"/>
  <c r="B1558" i="1" a="1"/>
  <c r="B1558" i="1" s="1"/>
  <c r="A1558" i="1" a="1"/>
  <c r="A1558" i="1" s="1"/>
  <c r="B1557" i="1" a="1"/>
  <c r="B1557" i="1" s="1"/>
  <c r="A1557" i="1" a="1"/>
  <c r="A1557" i="1" s="1"/>
  <c r="B1556" i="1"/>
  <c r="E1556" i="1" s="1"/>
  <c r="B1556" i="1" a="1"/>
  <c r="A1556" i="1" a="1"/>
  <c r="A1556" i="1" s="1"/>
  <c r="G1555" i="1"/>
  <c r="B1555" i="1" a="1"/>
  <c r="B1555" i="1" s="1"/>
  <c r="A1555" i="1" a="1"/>
  <c r="A1555" i="1" s="1"/>
  <c r="C1555" i="1" s="1"/>
  <c r="B1554" i="1" a="1"/>
  <c r="B1554" i="1" s="1"/>
  <c r="A1554" i="1" a="1"/>
  <c r="A1554" i="1" s="1"/>
  <c r="B1553" i="1" a="1"/>
  <c r="B1553" i="1" s="1"/>
  <c r="A1553" i="1" a="1"/>
  <c r="A1553" i="1" s="1"/>
  <c r="C1553" i="1" s="1"/>
  <c r="D1553" i="1" s="1"/>
  <c r="B1552" i="1"/>
  <c r="B1552" i="1" a="1"/>
  <c r="A1552" i="1" a="1"/>
  <c r="A1552" i="1" s="1"/>
  <c r="B1551" i="1" a="1"/>
  <c r="B1551" i="1" s="1"/>
  <c r="A1551" i="1"/>
  <c r="A1551" i="1" a="1"/>
  <c r="B1550" i="1" a="1"/>
  <c r="B1550" i="1" s="1"/>
  <c r="A1550" i="1" a="1"/>
  <c r="A1550" i="1" s="1"/>
  <c r="C1550" i="1" s="1"/>
  <c r="D1550" i="1" s="1"/>
  <c r="B1549" i="1"/>
  <c r="B1549" i="1" a="1"/>
  <c r="A1549" i="1"/>
  <c r="A1549" i="1" a="1"/>
  <c r="B1548" i="1"/>
  <c r="B1548" i="1" a="1"/>
  <c r="A1548" i="1" a="1"/>
  <c r="A1548" i="1" s="1"/>
  <c r="B1547" i="1"/>
  <c r="B1547" i="1" a="1"/>
  <c r="A1547" i="1" a="1"/>
  <c r="A1547" i="1" s="1"/>
  <c r="B1546" i="1" a="1"/>
  <c r="B1546" i="1" s="1"/>
  <c r="A1546" i="1"/>
  <c r="A1546" i="1" a="1"/>
  <c r="B1545" i="1" a="1"/>
  <c r="B1545" i="1" s="1"/>
  <c r="A1545" i="1" a="1"/>
  <c r="A1545" i="1" s="1"/>
  <c r="B1544" i="1"/>
  <c r="B1544" i="1" a="1"/>
  <c r="A1544" i="1" a="1"/>
  <c r="A1544" i="1" s="1"/>
  <c r="G1543" i="1"/>
  <c r="B1543" i="1"/>
  <c r="B1543" i="1" a="1"/>
  <c r="A1543" i="1" a="1"/>
  <c r="A1543" i="1" s="1"/>
  <c r="B1542" i="1" a="1"/>
  <c r="B1542" i="1" s="1"/>
  <c r="A1542" i="1"/>
  <c r="A1542" i="1" a="1"/>
  <c r="B1541" i="1" a="1"/>
  <c r="B1541" i="1" s="1"/>
  <c r="A1541" i="1" a="1"/>
  <c r="A1541" i="1" s="1"/>
  <c r="G1541" i="1" s="1"/>
  <c r="B1540" i="1"/>
  <c r="E1540" i="1" s="1"/>
  <c r="B1540" i="1" a="1"/>
  <c r="A1540" i="1"/>
  <c r="A1540" i="1" a="1"/>
  <c r="B1539" i="1" a="1"/>
  <c r="B1539" i="1" s="1"/>
  <c r="A1539" i="1" a="1"/>
  <c r="A1539" i="1" s="1"/>
  <c r="B1538" i="1" a="1"/>
  <c r="B1538" i="1" s="1"/>
  <c r="A1538" i="1" a="1"/>
  <c r="A1538" i="1" s="1"/>
  <c r="C1538" i="1" s="1"/>
  <c r="D1538" i="1" s="1"/>
  <c r="B1537" i="1"/>
  <c r="B1537" i="1" a="1"/>
  <c r="A1537" i="1"/>
  <c r="A1537" i="1" a="1"/>
  <c r="E1536" i="1"/>
  <c r="B1536" i="1"/>
  <c r="B1536" i="1" a="1"/>
  <c r="A1536" i="1" a="1"/>
  <c r="A1536" i="1" s="1"/>
  <c r="B1535" i="1" a="1"/>
  <c r="B1535" i="1" s="1"/>
  <c r="A1535" i="1" a="1"/>
  <c r="A1535" i="1" s="1"/>
  <c r="B1534" i="1" a="1"/>
  <c r="B1534" i="1" s="1"/>
  <c r="A1534" i="1" a="1"/>
  <c r="A1534" i="1" s="1"/>
  <c r="B1533" i="1" a="1"/>
  <c r="B1533" i="1" s="1"/>
  <c r="A1533" i="1" a="1"/>
  <c r="A1533" i="1" s="1"/>
  <c r="C1533" i="1" s="1"/>
  <c r="D1533" i="1" s="1"/>
  <c r="B1532" i="1"/>
  <c r="B1532" i="1" a="1"/>
  <c r="A1532" i="1"/>
  <c r="A1532" i="1" a="1"/>
  <c r="B1531" i="1" a="1"/>
  <c r="B1531" i="1" s="1"/>
  <c r="A1531" i="1" a="1"/>
  <c r="A1531" i="1" s="1"/>
  <c r="B1530" i="1" a="1"/>
  <c r="B1530" i="1" s="1"/>
  <c r="A1530" i="1" a="1"/>
  <c r="A1530" i="1" s="1"/>
  <c r="G1529" i="1"/>
  <c r="B1529" i="1"/>
  <c r="E1529" i="1" s="1"/>
  <c r="B1529" i="1" a="1"/>
  <c r="A1529" i="1" a="1"/>
  <c r="A1529" i="1" s="1"/>
  <c r="C1529" i="1" s="1"/>
  <c r="D1529" i="1" s="1"/>
  <c r="B1528" i="1"/>
  <c r="B1528" i="1" a="1"/>
  <c r="A1528" i="1" a="1"/>
  <c r="A1528" i="1" s="1"/>
  <c r="B1527" i="1" a="1"/>
  <c r="B1527" i="1" s="1"/>
  <c r="A1527" i="1" a="1"/>
  <c r="A1527" i="1" s="1"/>
  <c r="B1526" i="1" a="1"/>
  <c r="B1526" i="1" s="1"/>
  <c r="A1526" i="1" a="1"/>
  <c r="A1526" i="1" s="1"/>
  <c r="B1525" i="1" a="1"/>
  <c r="B1525" i="1" s="1"/>
  <c r="A1525" i="1" a="1"/>
  <c r="A1525" i="1" s="1"/>
  <c r="C1525" i="1" s="1"/>
  <c r="D1525" i="1" s="1"/>
  <c r="B1524" i="1"/>
  <c r="B1524" i="1" a="1"/>
  <c r="A1524" i="1" a="1"/>
  <c r="A1524" i="1" s="1"/>
  <c r="C1524" i="1" s="1"/>
  <c r="D1524" i="1" s="1"/>
  <c r="B1523" i="1" a="1"/>
  <c r="B1523" i="1" s="1"/>
  <c r="A1523" i="1" a="1"/>
  <c r="A1523" i="1" s="1"/>
  <c r="B1522" i="1" a="1"/>
  <c r="B1522" i="1" s="1"/>
  <c r="A1522" i="1" a="1"/>
  <c r="A1522" i="1" s="1"/>
  <c r="G1522" i="1" s="1"/>
  <c r="B1521" i="1"/>
  <c r="B1521" i="1" a="1"/>
  <c r="A1521" i="1" a="1"/>
  <c r="A1521" i="1" s="1"/>
  <c r="C1521" i="1" s="1"/>
  <c r="B1520" i="1" a="1"/>
  <c r="B1520" i="1" s="1"/>
  <c r="G1520" i="1" s="1"/>
  <c r="A1520" i="1" a="1"/>
  <c r="A1520" i="1" s="1"/>
  <c r="C1520" i="1" s="1"/>
  <c r="B1519" i="1"/>
  <c r="B1519" i="1" a="1"/>
  <c r="A1519" i="1" a="1"/>
  <c r="A1519" i="1" s="1"/>
  <c r="B1518" i="1" a="1"/>
  <c r="B1518" i="1" s="1"/>
  <c r="A1518" i="1"/>
  <c r="A1518" i="1" a="1"/>
  <c r="B1517" i="1" a="1"/>
  <c r="B1517" i="1" s="1"/>
  <c r="A1517" i="1" a="1"/>
  <c r="A1517" i="1" s="1"/>
  <c r="C1517" i="1" s="1"/>
  <c r="B1516" i="1" a="1"/>
  <c r="B1516" i="1" s="1"/>
  <c r="A1516" i="1" a="1"/>
  <c r="A1516" i="1" s="1"/>
  <c r="B1515" i="1"/>
  <c r="B1515" i="1" a="1"/>
  <c r="A1515" i="1" a="1"/>
  <c r="A1515" i="1" s="1"/>
  <c r="B1514" i="1" a="1"/>
  <c r="B1514" i="1" s="1"/>
  <c r="A1514" i="1"/>
  <c r="A1514" i="1" a="1"/>
  <c r="B1513" i="1"/>
  <c r="B1513" i="1" a="1"/>
  <c r="A1513" i="1"/>
  <c r="C1513" i="1" s="1"/>
  <c r="D1513" i="1" s="1"/>
  <c r="A1513" i="1" a="1"/>
  <c r="C1512" i="1"/>
  <c r="D1512" i="1" s="1"/>
  <c r="B1512" i="1"/>
  <c r="B1512" i="1" a="1"/>
  <c r="A1512" i="1" a="1"/>
  <c r="A1512" i="1" s="1"/>
  <c r="G1512" i="1" s="1"/>
  <c r="B1511" i="1" a="1"/>
  <c r="B1511" i="1" s="1"/>
  <c r="A1511" i="1" a="1"/>
  <c r="A1511" i="1" s="1"/>
  <c r="B1510" i="1" a="1"/>
  <c r="B1510" i="1" s="1"/>
  <c r="A1510" i="1"/>
  <c r="G1510" i="1" s="1"/>
  <c r="A1510" i="1" a="1"/>
  <c r="C1509" i="1"/>
  <c r="B1509" i="1" a="1"/>
  <c r="B1509" i="1" s="1"/>
  <c r="A1509" i="1" a="1"/>
  <c r="A1509" i="1" s="1"/>
  <c r="B1508" i="1" a="1"/>
  <c r="B1508" i="1" s="1"/>
  <c r="A1508" i="1" a="1"/>
  <c r="A1508" i="1" s="1"/>
  <c r="B1507" i="1"/>
  <c r="B1507" i="1" a="1"/>
  <c r="A1507" i="1"/>
  <c r="C1507" i="1" s="1"/>
  <c r="A1507" i="1" a="1"/>
  <c r="B1506" i="1" a="1"/>
  <c r="B1506" i="1" s="1"/>
  <c r="A1506" i="1" a="1"/>
  <c r="A1506" i="1" s="1"/>
  <c r="G1506" i="1" s="1"/>
  <c r="B1505" i="1"/>
  <c r="B1505" i="1" a="1"/>
  <c r="A1505" i="1" a="1"/>
  <c r="A1505" i="1" s="1"/>
  <c r="B1504" i="1" a="1"/>
  <c r="B1504" i="1" s="1"/>
  <c r="A1504" i="1" a="1"/>
  <c r="A1504" i="1" s="1"/>
  <c r="C1504" i="1" s="1"/>
  <c r="D1504" i="1" s="1"/>
  <c r="B1503" i="1"/>
  <c r="B1503" i="1" a="1"/>
  <c r="A1503" i="1" a="1"/>
  <c r="A1503" i="1" s="1"/>
  <c r="C1503" i="1" s="1"/>
  <c r="B1502" i="1" a="1"/>
  <c r="B1502" i="1" s="1"/>
  <c r="A1502" i="1" a="1"/>
  <c r="A1502" i="1" s="1"/>
  <c r="B1501" i="1" a="1"/>
  <c r="B1501" i="1" s="1"/>
  <c r="A1501" i="1"/>
  <c r="A1501" i="1" a="1"/>
  <c r="B1500" i="1"/>
  <c r="B1500" i="1" a="1"/>
  <c r="A1500" i="1"/>
  <c r="C1500" i="1" s="1"/>
  <c r="D1500" i="1" s="1"/>
  <c r="A1500" i="1" a="1"/>
  <c r="B1499" i="1" a="1"/>
  <c r="B1499" i="1" s="1"/>
  <c r="A1499" i="1" a="1"/>
  <c r="A1499" i="1" s="1"/>
  <c r="B1498" i="1" a="1"/>
  <c r="B1498" i="1" s="1"/>
  <c r="A1498" i="1" a="1"/>
  <c r="A1498" i="1" s="1"/>
  <c r="B1497" i="1"/>
  <c r="B1497" i="1" a="1"/>
  <c r="A1497" i="1"/>
  <c r="C1497" i="1" s="1"/>
  <c r="D1497" i="1" s="1"/>
  <c r="A1497" i="1" a="1"/>
  <c r="B1496" i="1"/>
  <c r="B1496" i="1" a="1"/>
  <c r="A1496" i="1" a="1"/>
  <c r="A1496" i="1" s="1"/>
  <c r="B1495" i="1" a="1"/>
  <c r="B1495" i="1" s="1"/>
  <c r="A1495" i="1" a="1"/>
  <c r="A1495" i="1" s="1"/>
  <c r="B1494" i="1" a="1"/>
  <c r="B1494" i="1" s="1"/>
  <c r="A1494" i="1" a="1"/>
  <c r="A1494" i="1" s="1"/>
  <c r="B1493" i="1" a="1"/>
  <c r="B1493" i="1" s="1"/>
  <c r="A1493" i="1" a="1"/>
  <c r="A1493" i="1" s="1"/>
  <c r="B1492" i="1"/>
  <c r="B1492" i="1" a="1"/>
  <c r="A1492" i="1" a="1"/>
  <c r="A1492" i="1" s="1"/>
  <c r="B1491" i="1" a="1"/>
  <c r="B1491" i="1" s="1"/>
  <c r="A1491" i="1" a="1"/>
  <c r="A1491" i="1" s="1"/>
  <c r="C1491" i="1" s="1"/>
  <c r="D1491" i="1" s="1"/>
  <c r="C1490" i="1"/>
  <c r="B1490" i="1" a="1"/>
  <c r="B1490" i="1" s="1"/>
  <c r="A1490" i="1" a="1"/>
  <c r="A1490" i="1" s="1"/>
  <c r="B1489" i="1"/>
  <c r="B1489" i="1" a="1"/>
  <c r="A1489" i="1" a="1"/>
  <c r="A1489" i="1" s="1"/>
  <c r="G1489" i="1" s="1"/>
  <c r="G1488" i="1"/>
  <c r="B1488" i="1"/>
  <c r="B1488" i="1" a="1"/>
  <c r="A1488" i="1" a="1"/>
  <c r="A1488" i="1" s="1"/>
  <c r="B1487" i="1" a="1"/>
  <c r="B1487" i="1" s="1"/>
  <c r="A1487" i="1" a="1"/>
  <c r="A1487" i="1" s="1"/>
  <c r="C1487" i="1" s="1"/>
  <c r="D1487" i="1" s="1"/>
  <c r="B1486" i="1" a="1"/>
  <c r="B1486" i="1" s="1"/>
  <c r="A1486" i="1"/>
  <c r="A1486" i="1" a="1"/>
  <c r="B1485" i="1"/>
  <c r="B1485" i="1" a="1"/>
  <c r="A1485" i="1"/>
  <c r="A1485" i="1" a="1"/>
  <c r="B1484" i="1" a="1"/>
  <c r="B1484" i="1" s="1"/>
  <c r="A1484" i="1" a="1"/>
  <c r="A1484" i="1" s="1"/>
  <c r="B1483" i="1" a="1"/>
  <c r="B1483" i="1" s="1"/>
  <c r="A1483" i="1" a="1"/>
  <c r="A1483" i="1" s="1"/>
  <c r="B1482" i="1" a="1"/>
  <c r="B1482" i="1" s="1"/>
  <c r="A1482" i="1"/>
  <c r="A1482" i="1" a="1"/>
  <c r="B1481" i="1" a="1"/>
  <c r="B1481" i="1" s="1"/>
  <c r="A1481" i="1" a="1"/>
  <c r="A1481" i="1" s="1"/>
  <c r="E1480" i="1"/>
  <c r="B1480" i="1" a="1"/>
  <c r="B1480" i="1" s="1"/>
  <c r="A1480" i="1" a="1"/>
  <c r="A1480" i="1" s="1"/>
  <c r="B1479" i="1" a="1"/>
  <c r="B1479" i="1" s="1"/>
  <c r="A1479" i="1" a="1"/>
  <c r="A1479" i="1" s="1"/>
  <c r="B1478" i="1" a="1"/>
  <c r="B1478" i="1" s="1"/>
  <c r="A1478" i="1" a="1"/>
  <c r="A1478" i="1" s="1"/>
  <c r="B1477" i="1" a="1"/>
  <c r="B1477" i="1" s="1"/>
  <c r="A1477" i="1"/>
  <c r="A1477" i="1" a="1"/>
  <c r="B1476" i="1" a="1"/>
  <c r="B1476" i="1" s="1"/>
  <c r="A1476" i="1" a="1"/>
  <c r="A1476" i="1" s="1"/>
  <c r="G1475" i="1"/>
  <c r="B1475" i="1" a="1"/>
  <c r="B1475" i="1" s="1"/>
  <c r="A1475" i="1" a="1"/>
  <c r="A1475" i="1" s="1"/>
  <c r="E1475" i="1" s="1"/>
  <c r="B1474" i="1" a="1"/>
  <c r="B1474" i="1" s="1"/>
  <c r="A1474" i="1" a="1"/>
  <c r="A1474" i="1" s="1"/>
  <c r="B1473" i="1"/>
  <c r="B1473" i="1" a="1"/>
  <c r="A1473" i="1"/>
  <c r="A1473" i="1" a="1"/>
  <c r="B1472" i="1" a="1"/>
  <c r="B1472" i="1" s="1"/>
  <c r="A1472" i="1" a="1"/>
  <c r="A1472" i="1" s="1"/>
  <c r="B1471" i="1"/>
  <c r="B1471" i="1" a="1"/>
  <c r="A1471" i="1"/>
  <c r="A1471" i="1" a="1"/>
  <c r="B1470" i="1" a="1"/>
  <c r="B1470" i="1" s="1"/>
  <c r="A1470" i="1" a="1"/>
  <c r="A1470" i="1" s="1"/>
  <c r="B1469" i="1"/>
  <c r="B1469" i="1" a="1"/>
  <c r="A1469" i="1"/>
  <c r="A1469" i="1" a="1"/>
  <c r="B1468" i="1" a="1"/>
  <c r="B1468" i="1" s="1"/>
  <c r="A1468" i="1" a="1"/>
  <c r="A1468" i="1" s="1"/>
  <c r="B1467" i="1"/>
  <c r="B1467" i="1" a="1"/>
  <c r="A1467" i="1" a="1"/>
  <c r="A1467" i="1" s="1"/>
  <c r="C1467" i="1" s="1"/>
  <c r="D1467" i="1" s="1"/>
  <c r="B1466" i="1" a="1"/>
  <c r="B1466" i="1" s="1"/>
  <c r="A1466" i="1" a="1"/>
  <c r="A1466" i="1" s="1"/>
  <c r="B1465" i="1" a="1"/>
  <c r="B1465" i="1" s="1"/>
  <c r="A1465" i="1" a="1"/>
  <c r="A1465" i="1" s="1"/>
  <c r="C1464" i="1"/>
  <c r="B1464" i="1"/>
  <c r="B1464" i="1" a="1"/>
  <c r="A1464" i="1" a="1"/>
  <c r="A1464" i="1" s="1"/>
  <c r="B1463" i="1" a="1"/>
  <c r="B1463" i="1" s="1"/>
  <c r="A1463" i="1" a="1"/>
  <c r="A1463" i="1" s="1"/>
  <c r="C1463" i="1" s="1"/>
  <c r="D1463" i="1" s="1"/>
  <c r="C1462" i="1"/>
  <c r="D1462" i="1" s="1"/>
  <c r="B1462" i="1" a="1"/>
  <c r="B1462" i="1" s="1"/>
  <c r="A1462" i="1" a="1"/>
  <c r="A1462" i="1" s="1"/>
  <c r="C1461" i="1"/>
  <c r="B1461" i="1" a="1"/>
  <c r="B1461" i="1" s="1"/>
  <c r="A1461" i="1" a="1"/>
  <c r="A1461" i="1" s="1"/>
  <c r="B1460" i="1" a="1"/>
  <c r="B1460" i="1" s="1"/>
  <c r="A1460" i="1" a="1"/>
  <c r="A1460" i="1" s="1"/>
  <c r="B1459" i="1" a="1"/>
  <c r="B1459" i="1" s="1"/>
  <c r="A1459" i="1" a="1"/>
  <c r="A1459" i="1" s="1"/>
  <c r="C1459" i="1" s="1"/>
  <c r="B1458" i="1" a="1"/>
  <c r="B1458" i="1" s="1"/>
  <c r="A1458" i="1" a="1"/>
  <c r="A1458" i="1" s="1"/>
  <c r="E1458" i="1" s="1"/>
  <c r="B1457" i="1" a="1"/>
  <c r="B1457" i="1" s="1"/>
  <c r="A1457" i="1" a="1"/>
  <c r="A1457" i="1" s="1"/>
  <c r="B1456" i="1" a="1"/>
  <c r="B1456" i="1" s="1"/>
  <c r="A1456" i="1" a="1"/>
  <c r="A1456" i="1" s="1"/>
  <c r="B1455" i="1"/>
  <c r="B1455" i="1" a="1"/>
  <c r="A1455" i="1" a="1"/>
  <c r="A1455" i="1" s="1"/>
  <c r="E1454" i="1"/>
  <c r="C1454" i="1"/>
  <c r="D1454" i="1" s="1"/>
  <c r="B1454" i="1" a="1"/>
  <c r="B1454" i="1" s="1"/>
  <c r="A1454" i="1" a="1"/>
  <c r="A1454" i="1" s="1"/>
  <c r="G1454" i="1" s="1"/>
  <c r="B1453" i="1" a="1"/>
  <c r="B1453" i="1" s="1"/>
  <c r="A1453" i="1" a="1"/>
  <c r="A1453" i="1" s="1"/>
  <c r="B1452" i="1" a="1"/>
  <c r="B1452" i="1" s="1"/>
  <c r="A1452" i="1" a="1"/>
  <c r="A1452" i="1" s="1"/>
  <c r="B1451" i="1"/>
  <c r="B1451" i="1" a="1"/>
  <c r="A1451" i="1" a="1"/>
  <c r="A1451" i="1" s="1"/>
  <c r="C1451" i="1" s="1"/>
  <c r="D1451" i="1" s="1"/>
  <c r="B1450" i="1" a="1"/>
  <c r="B1450" i="1" s="1"/>
  <c r="A1450" i="1" a="1"/>
  <c r="A1450" i="1" s="1"/>
  <c r="B1449" i="1"/>
  <c r="B1449" i="1" a="1"/>
  <c r="A1449" i="1" a="1"/>
  <c r="A1449" i="1" s="1"/>
  <c r="E1448" i="1"/>
  <c r="B1448" i="1"/>
  <c r="B1448" i="1" a="1"/>
  <c r="A1448" i="1" a="1"/>
  <c r="A1448" i="1" s="1"/>
  <c r="B1447" i="1" a="1"/>
  <c r="B1447" i="1" s="1"/>
  <c r="A1447" i="1" a="1"/>
  <c r="A1447" i="1" s="1"/>
  <c r="B1446" i="1" a="1"/>
  <c r="B1446" i="1" s="1"/>
  <c r="A1446" i="1" a="1"/>
  <c r="A1446" i="1" s="1"/>
  <c r="C1446" i="1" s="1"/>
  <c r="B1445" i="1" a="1"/>
  <c r="B1445" i="1" s="1"/>
  <c r="A1445" i="1"/>
  <c r="C1445" i="1" s="1"/>
  <c r="A1445" i="1" a="1"/>
  <c r="B1444" i="1" a="1"/>
  <c r="B1444" i="1" s="1"/>
  <c r="A1444" i="1"/>
  <c r="A1444" i="1" a="1"/>
  <c r="C1443" i="1"/>
  <c r="B1443" i="1"/>
  <c r="B1443" i="1" a="1"/>
  <c r="A1443" i="1" a="1"/>
  <c r="A1443" i="1" s="1"/>
  <c r="B1442" i="1" a="1"/>
  <c r="B1442" i="1" s="1"/>
  <c r="A1442" i="1" a="1"/>
  <c r="A1442" i="1" s="1"/>
  <c r="C1442" i="1" s="1"/>
  <c r="D1442" i="1" s="1"/>
  <c r="C1441" i="1"/>
  <c r="D1441" i="1" s="1"/>
  <c r="B1441" i="1" a="1"/>
  <c r="B1441" i="1" s="1"/>
  <c r="A1441" i="1" a="1"/>
  <c r="A1441" i="1" s="1"/>
  <c r="B1440" i="1"/>
  <c r="G1440" i="1" s="1"/>
  <c r="B1440" i="1" a="1"/>
  <c r="A1440" i="1"/>
  <c r="C1440" i="1" s="1"/>
  <c r="D1440" i="1" s="1"/>
  <c r="A1440" i="1" a="1"/>
  <c r="B1439" i="1" a="1"/>
  <c r="B1439" i="1" s="1"/>
  <c r="A1439" i="1" a="1"/>
  <c r="A1439" i="1" s="1"/>
  <c r="B1438" i="1" a="1"/>
  <c r="B1438" i="1" s="1"/>
  <c r="A1438" i="1"/>
  <c r="G1438" i="1" s="1"/>
  <c r="A1438" i="1" a="1"/>
  <c r="B1437" i="1" a="1"/>
  <c r="B1437" i="1" s="1"/>
  <c r="A1437" i="1"/>
  <c r="C1437" i="1" s="1"/>
  <c r="A1437" i="1" a="1"/>
  <c r="B1436" i="1" a="1"/>
  <c r="B1436" i="1" s="1"/>
  <c r="G1436" i="1" s="1"/>
  <c r="A1436" i="1" a="1"/>
  <c r="A1436" i="1" s="1"/>
  <c r="G1435" i="1"/>
  <c r="B1435" i="1"/>
  <c r="B1435" i="1" a="1"/>
  <c r="A1435" i="1" a="1"/>
  <c r="A1435" i="1" s="1"/>
  <c r="C1435" i="1" s="1"/>
  <c r="D1435" i="1" s="1"/>
  <c r="G1434" i="1"/>
  <c r="C1434" i="1"/>
  <c r="D1434" i="1" s="1"/>
  <c r="F1434" i="1" s="1"/>
  <c r="B1434" i="1" a="1"/>
  <c r="B1434" i="1" s="1"/>
  <c r="A1434" i="1" a="1"/>
  <c r="A1434" i="1" s="1"/>
  <c r="E1434" i="1" s="1"/>
  <c r="B1433" i="1" a="1"/>
  <c r="B1433" i="1" s="1"/>
  <c r="A1433" i="1"/>
  <c r="C1433" i="1" s="1"/>
  <c r="D1433" i="1" s="1"/>
  <c r="A1433" i="1" a="1"/>
  <c r="B1432" i="1" a="1"/>
  <c r="B1432" i="1" s="1"/>
  <c r="A1432" i="1" a="1"/>
  <c r="A1432" i="1" s="1"/>
  <c r="B1431" i="1" a="1"/>
  <c r="B1431" i="1" s="1"/>
  <c r="A1431" i="1" a="1"/>
  <c r="A1431" i="1" s="1"/>
  <c r="B1430" i="1" a="1"/>
  <c r="B1430" i="1" s="1"/>
  <c r="A1430" i="1" a="1"/>
  <c r="A1430" i="1" s="1"/>
  <c r="C1430" i="1" s="1"/>
  <c r="D1430" i="1" s="1"/>
  <c r="B1429" i="1" a="1"/>
  <c r="B1429" i="1" s="1"/>
  <c r="A1429" i="1" a="1"/>
  <c r="A1429" i="1" s="1"/>
  <c r="G1429" i="1" s="1"/>
  <c r="B1428" i="1" a="1"/>
  <c r="B1428" i="1" s="1"/>
  <c r="A1428" i="1" a="1"/>
  <c r="A1428" i="1" s="1"/>
  <c r="C1428" i="1" s="1"/>
  <c r="D1428" i="1" s="1"/>
  <c r="B1427" i="1" a="1"/>
  <c r="B1427" i="1" s="1"/>
  <c r="A1427" i="1"/>
  <c r="A1427" i="1" a="1"/>
  <c r="B1426" i="1" a="1"/>
  <c r="B1426" i="1" s="1"/>
  <c r="A1426" i="1" a="1"/>
  <c r="A1426" i="1" s="1"/>
  <c r="B1425" i="1"/>
  <c r="B1425" i="1" a="1"/>
  <c r="A1425" i="1"/>
  <c r="A1425" i="1" a="1"/>
  <c r="B1424" i="1" a="1"/>
  <c r="B1424" i="1" s="1"/>
  <c r="A1424" i="1" a="1"/>
  <c r="A1424" i="1" s="1"/>
  <c r="B1423" i="1" a="1"/>
  <c r="B1423" i="1" s="1"/>
  <c r="A1423" i="1"/>
  <c r="C1423" i="1" s="1"/>
  <c r="A1423" i="1" a="1"/>
  <c r="B1422" i="1" a="1"/>
  <c r="B1422" i="1" s="1"/>
  <c r="A1422" i="1" a="1"/>
  <c r="A1422" i="1" s="1"/>
  <c r="B1421" i="1" a="1"/>
  <c r="B1421" i="1" s="1"/>
  <c r="A1421" i="1" a="1"/>
  <c r="A1421" i="1" s="1"/>
  <c r="G1421" i="1" s="1"/>
  <c r="B1420" i="1" a="1"/>
  <c r="B1420" i="1" s="1"/>
  <c r="A1420" i="1" a="1"/>
  <c r="A1420" i="1" s="1"/>
  <c r="C1420" i="1" s="1"/>
  <c r="D1420" i="1" s="1"/>
  <c r="B1419" i="1" a="1"/>
  <c r="B1419" i="1" s="1"/>
  <c r="A1419" i="1"/>
  <c r="G1419" i="1" s="1"/>
  <c r="A1419" i="1" a="1"/>
  <c r="B1418" i="1" a="1"/>
  <c r="B1418" i="1" s="1"/>
  <c r="A1418" i="1" a="1"/>
  <c r="A1418" i="1" s="1"/>
  <c r="B1417" i="1"/>
  <c r="B1417" i="1" a="1"/>
  <c r="A1417" i="1" a="1"/>
  <c r="A1417" i="1" s="1"/>
  <c r="B1416" i="1" a="1"/>
  <c r="B1416" i="1" s="1"/>
  <c r="A1416" i="1"/>
  <c r="A1416" i="1" a="1"/>
  <c r="B1415" i="1" a="1"/>
  <c r="B1415" i="1" s="1"/>
  <c r="A1415" i="1" a="1"/>
  <c r="A1415" i="1" s="1"/>
  <c r="B1414" i="1" a="1"/>
  <c r="B1414" i="1" s="1"/>
  <c r="G1414" i="1" s="1"/>
  <c r="A1414" i="1" a="1"/>
  <c r="A1414" i="1" s="1"/>
  <c r="C1414" i="1" s="1"/>
  <c r="B1413" i="1" a="1"/>
  <c r="B1413" i="1" s="1"/>
  <c r="A1413" i="1" a="1"/>
  <c r="A1413" i="1" s="1"/>
  <c r="E1413" i="1" s="1"/>
  <c r="B1412" i="1" a="1"/>
  <c r="B1412" i="1" s="1"/>
  <c r="A1412" i="1" a="1"/>
  <c r="A1412" i="1" s="1"/>
  <c r="B1411" i="1" a="1"/>
  <c r="B1411" i="1" s="1"/>
  <c r="A1411" i="1" a="1"/>
  <c r="A1411" i="1" s="1"/>
  <c r="B1410" i="1" a="1"/>
  <c r="B1410" i="1" s="1"/>
  <c r="A1410" i="1" a="1"/>
  <c r="A1410" i="1" s="1"/>
  <c r="B1409" i="1"/>
  <c r="B1409" i="1" a="1"/>
  <c r="A1409" i="1" a="1"/>
  <c r="A1409" i="1" s="1"/>
  <c r="B1408" i="1" a="1"/>
  <c r="B1408" i="1" s="1"/>
  <c r="A1408" i="1" a="1"/>
  <c r="A1408" i="1" s="1"/>
  <c r="G1407" i="1"/>
  <c r="B1407" i="1" a="1"/>
  <c r="B1407" i="1" s="1"/>
  <c r="A1407" i="1" a="1"/>
  <c r="A1407" i="1" s="1"/>
  <c r="B1406" i="1" a="1"/>
  <c r="B1406" i="1" s="1"/>
  <c r="A1406" i="1" a="1"/>
  <c r="A1406" i="1" s="1"/>
  <c r="E1406" i="1" s="1"/>
  <c r="G1405" i="1"/>
  <c r="B1405" i="1" a="1"/>
  <c r="B1405" i="1" s="1"/>
  <c r="A1405" i="1" a="1"/>
  <c r="A1405" i="1" s="1"/>
  <c r="C1405" i="1" s="1"/>
  <c r="C1404" i="1"/>
  <c r="D1404" i="1" s="1"/>
  <c r="B1404" i="1"/>
  <c r="G1404" i="1" s="1"/>
  <c r="B1404" i="1" a="1"/>
  <c r="A1404" i="1" a="1"/>
  <c r="A1404" i="1" s="1"/>
  <c r="B1403" i="1" a="1"/>
  <c r="B1403" i="1" s="1"/>
  <c r="A1403" i="1" a="1"/>
  <c r="A1403" i="1" s="1"/>
  <c r="G1403" i="1" s="1"/>
  <c r="B1402" i="1" a="1"/>
  <c r="B1402" i="1" s="1"/>
  <c r="A1402" i="1" a="1"/>
  <c r="A1402" i="1" s="1"/>
  <c r="C1401" i="1"/>
  <c r="D1401" i="1" s="1"/>
  <c r="B1401" i="1"/>
  <c r="B1401" i="1" a="1"/>
  <c r="A1401" i="1" a="1"/>
  <c r="A1401" i="1" s="1"/>
  <c r="B1400" i="1"/>
  <c r="B1400" i="1" a="1"/>
  <c r="A1400" i="1" a="1"/>
  <c r="A1400" i="1" s="1"/>
  <c r="B1399" i="1"/>
  <c r="B1399" i="1" a="1"/>
  <c r="A1399" i="1"/>
  <c r="C1399" i="1" s="1"/>
  <c r="D1399" i="1" s="1"/>
  <c r="A1399" i="1" a="1"/>
  <c r="B1398" i="1" a="1"/>
  <c r="B1398" i="1" s="1"/>
  <c r="A1398" i="1" a="1"/>
  <c r="A1398" i="1" s="1"/>
  <c r="B1397" i="1" a="1"/>
  <c r="B1397" i="1" s="1"/>
  <c r="A1397" i="1" a="1"/>
  <c r="A1397" i="1" s="1"/>
  <c r="B1396" i="1"/>
  <c r="B1396" i="1" a="1"/>
  <c r="A1396" i="1"/>
  <c r="A1396" i="1" a="1"/>
  <c r="B1395" i="1" a="1"/>
  <c r="B1395" i="1" s="1"/>
  <c r="A1395" i="1" a="1"/>
  <c r="A1395" i="1" s="1"/>
  <c r="E1394" i="1"/>
  <c r="B1394" i="1" a="1"/>
  <c r="B1394" i="1" s="1"/>
  <c r="A1394" i="1" a="1"/>
  <c r="A1394" i="1" s="1"/>
  <c r="G1394" i="1" s="1"/>
  <c r="B1393" i="1" a="1"/>
  <c r="B1393" i="1" s="1"/>
  <c r="A1393" i="1" a="1"/>
  <c r="A1393" i="1" s="1"/>
  <c r="B1392" i="1" a="1"/>
  <c r="B1392" i="1" s="1"/>
  <c r="A1392" i="1" a="1"/>
  <c r="A1392" i="1" s="1"/>
  <c r="G1391" i="1"/>
  <c r="B1391" i="1" a="1"/>
  <c r="B1391" i="1" s="1"/>
  <c r="A1391" i="1"/>
  <c r="A1391" i="1" a="1"/>
  <c r="B1390" i="1" a="1"/>
  <c r="B1390" i="1" s="1"/>
  <c r="A1390" i="1" a="1"/>
  <c r="A1390" i="1" s="1"/>
  <c r="B1389" i="1" a="1"/>
  <c r="B1389" i="1" s="1"/>
  <c r="A1389" i="1" a="1"/>
  <c r="A1389" i="1" s="1"/>
  <c r="B1388" i="1" a="1"/>
  <c r="B1388" i="1" s="1"/>
  <c r="A1388" i="1" a="1"/>
  <c r="A1388" i="1" s="1"/>
  <c r="C1388" i="1" s="1"/>
  <c r="B1387" i="1"/>
  <c r="B1387" i="1" a="1"/>
  <c r="A1387" i="1" a="1"/>
  <c r="A1387" i="1" s="1"/>
  <c r="C1387" i="1" s="1"/>
  <c r="D1387" i="1" s="1"/>
  <c r="B1386" i="1" a="1"/>
  <c r="B1386" i="1" s="1"/>
  <c r="A1386" i="1" a="1"/>
  <c r="A1386" i="1" s="1"/>
  <c r="C1386" i="1" s="1"/>
  <c r="B1385" i="1" a="1"/>
  <c r="B1385" i="1" s="1"/>
  <c r="A1385" i="1" a="1"/>
  <c r="A1385" i="1" s="1"/>
  <c r="C1385" i="1" s="1"/>
  <c r="D1385" i="1" s="1"/>
  <c r="B1384" i="1" a="1"/>
  <c r="B1384" i="1" s="1"/>
  <c r="A1384" i="1" a="1"/>
  <c r="A1384" i="1" s="1"/>
  <c r="B1383" i="1" a="1"/>
  <c r="B1383" i="1" s="1"/>
  <c r="A1383" i="1" a="1"/>
  <c r="A1383" i="1" s="1"/>
  <c r="B1382" i="1" a="1"/>
  <c r="B1382" i="1" s="1"/>
  <c r="A1382" i="1" a="1"/>
  <c r="A1382" i="1" s="1"/>
  <c r="B1381" i="1" a="1"/>
  <c r="B1381" i="1" s="1"/>
  <c r="A1381" i="1" a="1"/>
  <c r="A1381" i="1" s="1"/>
  <c r="C1381" i="1" s="1"/>
  <c r="E1380" i="1"/>
  <c r="B1380" i="1" a="1"/>
  <c r="B1380" i="1" s="1"/>
  <c r="A1380" i="1" a="1"/>
  <c r="A1380" i="1" s="1"/>
  <c r="B1379" i="1" a="1"/>
  <c r="B1379" i="1" s="1"/>
  <c r="A1379" i="1" a="1"/>
  <c r="A1379" i="1" s="1"/>
  <c r="B1378" i="1" a="1"/>
  <c r="B1378" i="1" s="1"/>
  <c r="A1378" i="1" a="1"/>
  <c r="A1378" i="1" s="1"/>
  <c r="B1377" i="1"/>
  <c r="B1377" i="1" a="1"/>
  <c r="A1377" i="1" a="1"/>
  <c r="A1377" i="1" s="1"/>
  <c r="B1376" i="1" a="1"/>
  <c r="B1376" i="1" s="1"/>
  <c r="A1376" i="1" a="1"/>
  <c r="A1376" i="1" s="1"/>
  <c r="G1376" i="1" s="1"/>
  <c r="B1375" i="1"/>
  <c r="B1375" i="1" a="1"/>
  <c r="A1375" i="1" a="1"/>
  <c r="A1375" i="1" s="1"/>
  <c r="B1374" i="1" a="1"/>
  <c r="B1374" i="1" s="1"/>
  <c r="A1374" i="1" a="1"/>
  <c r="A1374" i="1" s="1"/>
  <c r="B1373" i="1" a="1"/>
  <c r="B1373" i="1" s="1"/>
  <c r="A1373" i="1" a="1"/>
  <c r="A1373" i="1" s="1"/>
  <c r="B1372" i="1"/>
  <c r="B1372" i="1" a="1"/>
  <c r="A1372" i="1" a="1"/>
  <c r="A1372" i="1" s="1"/>
  <c r="B1371" i="1"/>
  <c r="B1371" i="1" a="1"/>
  <c r="A1371" i="1" a="1"/>
  <c r="A1371" i="1" s="1"/>
  <c r="B1370" i="1" a="1"/>
  <c r="B1370" i="1" s="1"/>
  <c r="A1370" i="1" a="1"/>
  <c r="A1370" i="1" s="1"/>
  <c r="B1369" i="1" a="1"/>
  <c r="B1369" i="1" s="1"/>
  <c r="A1369" i="1" a="1"/>
  <c r="A1369" i="1" s="1"/>
  <c r="C1369" i="1" s="1"/>
  <c r="D1369" i="1" s="1"/>
  <c r="B1368" i="1"/>
  <c r="B1368" i="1" a="1"/>
  <c r="A1368" i="1" a="1"/>
  <c r="A1368" i="1" s="1"/>
  <c r="C1368" i="1" s="1"/>
  <c r="D1368" i="1" s="1"/>
  <c r="B1367" i="1" a="1"/>
  <c r="B1367" i="1" s="1"/>
  <c r="A1367" i="1"/>
  <c r="A1367" i="1" a="1"/>
  <c r="B1366" i="1" a="1"/>
  <c r="B1366" i="1" s="1"/>
  <c r="A1366" i="1"/>
  <c r="A1366" i="1" a="1"/>
  <c r="B1365" i="1" a="1"/>
  <c r="B1365" i="1" s="1"/>
  <c r="A1365" i="1" a="1"/>
  <c r="A1365" i="1" s="1"/>
  <c r="B1364" i="1"/>
  <c r="B1364" i="1" a="1"/>
  <c r="A1364" i="1" a="1"/>
  <c r="A1364" i="1" s="1"/>
  <c r="B1363" i="1" a="1"/>
  <c r="B1363" i="1" s="1"/>
  <c r="A1363" i="1" a="1"/>
  <c r="A1363" i="1" s="1"/>
  <c r="B1362" i="1" a="1"/>
  <c r="B1362" i="1" s="1"/>
  <c r="A1362" i="1" a="1"/>
  <c r="A1362" i="1" s="1"/>
  <c r="B1361" i="1"/>
  <c r="B1361" i="1" a="1"/>
  <c r="A1361" i="1" a="1"/>
  <c r="A1361" i="1" s="1"/>
  <c r="C1361" i="1" s="1"/>
  <c r="C1360" i="1"/>
  <c r="D1360" i="1" s="1"/>
  <c r="B1360" i="1" a="1"/>
  <c r="B1360" i="1" s="1"/>
  <c r="A1360" i="1" a="1"/>
  <c r="A1360" i="1" s="1"/>
  <c r="B1359" i="1" a="1"/>
  <c r="B1359" i="1" s="1"/>
  <c r="A1359" i="1"/>
  <c r="C1359" i="1" s="1"/>
  <c r="D1359" i="1" s="1"/>
  <c r="A1359" i="1" a="1"/>
  <c r="B1358" i="1" a="1"/>
  <c r="B1358" i="1" s="1"/>
  <c r="A1358" i="1" a="1"/>
  <c r="A1358" i="1" s="1"/>
  <c r="B1357" i="1" a="1"/>
  <c r="B1357" i="1" s="1"/>
  <c r="A1357" i="1"/>
  <c r="E1357" i="1" s="1"/>
  <c r="A1357" i="1" a="1"/>
  <c r="C1356" i="1"/>
  <c r="D1356" i="1" s="1"/>
  <c r="B1356" i="1"/>
  <c r="B1356" i="1" a="1"/>
  <c r="A1356" i="1" a="1"/>
  <c r="A1356" i="1" s="1"/>
  <c r="C1355" i="1"/>
  <c r="B1355" i="1" a="1"/>
  <c r="B1355" i="1" s="1"/>
  <c r="A1355" i="1" a="1"/>
  <c r="A1355" i="1" s="1"/>
  <c r="G1354" i="1"/>
  <c r="B1354" i="1" a="1"/>
  <c r="B1354" i="1" s="1"/>
  <c r="A1354" i="1" a="1"/>
  <c r="A1354" i="1" s="1"/>
  <c r="B1353" i="1"/>
  <c r="B1353" i="1" a="1"/>
  <c r="A1353" i="1" a="1"/>
  <c r="A1353" i="1" s="1"/>
  <c r="C1353" i="1" s="1"/>
  <c r="B1352" i="1" a="1"/>
  <c r="B1352" i="1" s="1"/>
  <c r="A1352" i="1" a="1"/>
  <c r="A1352" i="1" s="1"/>
  <c r="C1352" i="1" s="1"/>
  <c r="D1352" i="1" s="1"/>
  <c r="B1351" i="1" a="1"/>
  <c r="B1351" i="1" s="1"/>
  <c r="A1351" i="1" a="1"/>
  <c r="A1351" i="1" s="1"/>
  <c r="B1350" i="1" a="1"/>
  <c r="B1350" i="1" s="1"/>
  <c r="A1350" i="1" a="1"/>
  <c r="A1350" i="1" s="1"/>
  <c r="B1349" i="1"/>
  <c r="B1349" i="1" a="1"/>
  <c r="A1349" i="1" a="1"/>
  <c r="A1349" i="1" s="1"/>
  <c r="B1348" i="1" a="1"/>
  <c r="B1348" i="1" s="1"/>
  <c r="A1348" i="1"/>
  <c r="A1348" i="1" a="1"/>
  <c r="B1347" i="1" a="1"/>
  <c r="B1347" i="1" s="1"/>
  <c r="A1347" i="1" a="1"/>
  <c r="A1347" i="1" s="1"/>
  <c r="G1347" i="1" s="1"/>
  <c r="B1346" i="1" a="1"/>
  <c r="B1346" i="1" s="1"/>
  <c r="A1346" i="1" a="1"/>
  <c r="A1346" i="1" s="1"/>
  <c r="B1345" i="1" a="1"/>
  <c r="B1345" i="1" s="1"/>
  <c r="A1345" i="1" a="1"/>
  <c r="A1345" i="1" s="1"/>
  <c r="B1344" i="1" a="1"/>
  <c r="B1344" i="1" s="1"/>
  <c r="A1344" i="1" a="1"/>
  <c r="A1344" i="1" s="1"/>
  <c r="E1344" i="1" s="1"/>
  <c r="B1343" i="1" a="1"/>
  <c r="B1343" i="1" s="1"/>
  <c r="A1343" i="1" a="1"/>
  <c r="A1343" i="1" s="1"/>
  <c r="B1342" i="1" a="1"/>
  <c r="B1342" i="1" s="1"/>
  <c r="A1342" i="1" a="1"/>
  <c r="A1342" i="1" s="1"/>
  <c r="G1342" i="1" s="1"/>
  <c r="B1341" i="1"/>
  <c r="B1341" i="1" a="1"/>
  <c r="A1341" i="1" a="1"/>
  <c r="A1341" i="1" s="1"/>
  <c r="C1341" i="1" s="1"/>
  <c r="B1340" i="1" a="1"/>
  <c r="B1340" i="1" s="1"/>
  <c r="A1340" i="1"/>
  <c r="A1340" i="1" a="1"/>
  <c r="B1339" i="1"/>
  <c r="B1339" i="1" a="1"/>
  <c r="A1339" i="1" a="1"/>
  <c r="A1339" i="1" s="1"/>
  <c r="B1338" i="1"/>
  <c r="B1338" i="1" a="1"/>
  <c r="A1338" i="1" a="1"/>
  <c r="A1338" i="1" s="1"/>
  <c r="B1337" i="1"/>
  <c r="B1337" i="1" a="1"/>
  <c r="A1337" i="1" a="1"/>
  <c r="A1337" i="1" s="1"/>
  <c r="C1337" i="1" s="1"/>
  <c r="D1337" i="1" s="1"/>
  <c r="B1336" i="1" a="1"/>
  <c r="B1336" i="1" s="1"/>
  <c r="A1336" i="1" a="1"/>
  <c r="A1336" i="1" s="1"/>
  <c r="B1335" i="1"/>
  <c r="B1335" i="1" a="1"/>
  <c r="A1335" i="1" a="1"/>
  <c r="A1335" i="1" s="1"/>
  <c r="B1334" i="1"/>
  <c r="B1334" i="1" a="1"/>
  <c r="A1334" i="1" a="1"/>
  <c r="A1334" i="1" s="1"/>
  <c r="C1333" i="1"/>
  <c r="B1333" i="1" a="1"/>
  <c r="B1333" i="1" s="1"/>
  <c r="A1333" i="1" a="1"/>
  <c r="A1333" i="1" s="1"/>
  <c r="B1332" i="1"/>
  <c r="B1332" i="1" a="1"/>
  <c r="A1332" i="1" a="1"/>
  <c r="A1332" i="1" s="1"/>
  <c r="C1331" i="1"/>
  <c r="B1331" i="1"/>
  <c r="B1331" i="1" a="1"/>
  <c r="A1331" i="1" a="1"/>
  <c r="A1331" i="1" s="1"/>
  <c r="B1330" i="1" a="1"/>
  <c r="B1330" i="1" s="1"/>
  <c r="A1330" i="1" a="1"/>
  <c r="A1330" i="1" s="1"/>
  <c r="B1329" i="1" a="1"/>
  <c r="B1329" i="1" s="1"/>
  <c r="E1329" i="1" s="1"/>
  <c r="A1329" i="1" a="1"/>
  <c r="A1329" i="1" s="1"/>
  <c r="B1328" i="1" a="1"/>
  <c r="B1328" i="1" s="1"/>
  <c r="A1328" i="1" a="1"/>
  <c r="A1328" i="1" s="1"/>
  <c r="C1328" i="1" s="1"/>
  <c r="B1327" i="1"/>
  <c r="B1327" i="1" a="1"/>
  <c r="A1327" i="1" a="1"/>
  <c r="A1327" i="1" s="1"/>
  <c r="B1326" i="1"/>
  <c r="B1326" i="1" a="1"/>
  <c r="A1326" i="1" a="1"/>
  <c r="A1326" i="1" s="1"/>
  <c r="B1325" i="1"/>
  <c r="B1325" i="1" a="1"/>
  <c r="A1325" i="1" a="1"/>
  <c r="A1325" i="1" s="1"/>
  <c r="B1324" i="1" a="1"/>
  <c r="B1324" i="1" s="1"/>
  <c r="A1324" i="1" a="1"/>
  <c r="A1324" i="1" s="1"/>
  <c r="G1324" i="1" s="1"/>
  <c r="B1323" i="1"/>
  <c r="B1323" i="1" a="1"/>
  <c r="A1323" i="1" a="1"/>
  <c r="A1323" i="1" s="1"/>
  <c r="E1323" i="1" s="1"/>
  <c r="B1322" i="1" a="1"/>
  <c r="B1322" i="1" s="1"/>
  <c r="A1322" i="1" a="1"/>
  <c r="A1322" i="1" s="1"/>
  <c r="B1321" i="1" a="1"/>
  <c r="B1321" i="1" s="1"/>
  <c r="A1321" i="1" a="1"/>
  <c r="A1321" i="1" s="1"/>
  <c r="B1320" i="1"/>
  <c r="B1320" i="1" a="1"/>
  <c r="A1320" i="1" a="1"/>
  <c r="A1320" i="1" s="1"/>
  <c r="E1320" i="1" s="1"/>
  <c r="B1319" i="1"/>
  <c r="B1319" i="1" a="1"/>
  <c r="A1319" i="1" a="1"/>
  <c r="A1319" i="1" s="1"/>
  <c r="B1318" i="1"/>
  <c r="B1318" i="1" a="1"/>
  <c r="A1318" i="1" a="1"/>
  <c r="A1318" i="1" s="1"/>
  <c r="B1317" i="1" a="1"/>
  <c r="B1317" i="1" s="1"/>
  <c r="A1317" i="1" a="1"/>
  <c r="A1317" i="1" s="1"/>
  <c r="C1317" i="1" s="1"/>
  <c r="D1317" i="1" s="1"/>
  <c r="B1316" i="1"/>
  <c r="B1316" i="1" a="1"/>
  <c r="A1316" i="1"/>
  <c r="A1316" i="1" a="1"/>
  <c r="B1315" i="1"/>
  <c r="B1315" i="1" a="1"/>
  <c r="A1315" i="1" a="1"/>
  <c r="A1315" i="1" s="1"/>
  <c r="B1314" i="1"/>
  <c r="B1314" i="1" a="1"/>
  <c r="A1314" i="1" a="1"/>
  <c r="A1314" i="1" s="1"/>
  <c r="C1314" i="1" s="1"/>
  <c r="D1314" i="1" s="1"/>
  <c r="B1313" i="1" a="1"/>
  <c r="B1313" i="1" s="1"/>
  <c r="A1313" i="1" a="1"/>
  <c r="A1313" i="1" s="1"/>
  <c r="C1313" i="1" s="1"/>
  <c r="D1313" i="1" s="1"/>
  <c r="B1312" i="1" a="1"/>
  <c r="B1312" i="1" s="1"/>
  <c r="A1312" i="1" a="1"/>
  <c r="A1312" i="1" s="1"/>
  <c r="G1312" i="1" s="1"/>
  <c r="G1311" i="1"/>
  <c r="C1311" i="1"/>
  <c r="D1311" i="1" s="1"/>
  <c r="B1311" i="1"/>
  <c r="B1311" i="1" a="1"/>
  <c r="A1311" i="1" a="1"/>
  <c r="A1311" i="1" s="1"/>
  <c r="B1310" i="1"/>
  <c r="B1310" i="1" a="1"/>
  <c r="A1310" i="1" a="1"/>
  <c r="A1310" i="1" s="1"/>
  <c r="B1309" i="1" a="1"/>
  <c r="B1309" i="1" s="1"/>
  <c r="A1309" i="1" a="1"/>
  <c r="A1309" i="1" s="1"/>
  <c r="B1308" i="1"/>
  <c r="B1308" i="1" a="1"/>
  <c r="A1308" i="1" a="1"/>
  <c r="A1308" i="1" s="1"/>
  <c r="C1308" i="1" s="1"/>
  <c r="B1307" i="1"/>
  <c r="B1307" i="1" a="1"/>
  <c r="A1307" i="1" a="1"/>
  <c r="A1307" i="1" s="1"/>
  <c r="B1306" i="1" a="1"/>
  <c r="B1306" i="1" s="1"/>
  <c r="A1306" i="1" a="1"/>
  <c r="A1306" i="1" s="1"/>
  <c r="B1305" i="1"/>
  <c r="B1305" i="1" a="1"/>
  <c r="A1305" i="1" a="1"/>
  <c r="A1305" i="1" s="1"/>
  <c r="B1304" i="1"/>
  <c r="B1304" i="1" a="1"/>
  <c r="A1304" i="1" a="1"/>
  <c r="A1304" i="1" s="1"/>
  <c r="C1304" i="1" s="1"/>
  <c r="D1304" i="1" s="1"/>
  <c r="B1303" i="1"/>
  <c r="B1303" i="1" a="1"/>
  <c r="A1303" i="1" a="1"/>
  <c r="A1303" i="1" s="1"/>
  <c r="G1303" i="1" s="1"/>
  <c r="B1302" i="1"/>
  <c r="B1302" i="1" a="1"/>
  <c r="A1302" i="1" a="1"/>
  <c r="A1302" i="1" s="1"/>
  <c r="B1301" i="1"/>
  <c r="B1301" i="1" a="1"/>
  <c r="A1301" i="1" a="1"/>
  <c r="A1301" i="1" s="1"/>
  <c r="B1300" i="1"/>
  <c r="B1300" i="1" a="1"/>
  <c r="A1300" i="1" a="1"/>
  <c r="A1300" i="1" s="1"/>
  <c r="B1299" i="1"/>
  <c r="B1299" i="1" a="1"/>
  <c r="A1299" i="1" a="1"/>
  <c r="A1299" i="1" s="1"/>
  <c r="E1299" i="1" s="1"/>
  <c r="B1298" i="1"/>
  <c r="B1298" i="1" a="1"/>
  <c r="A1298" i="1"/>
  <c r="A1298" i="1" a="1"/>
  <c r="B1297" i="1" a="1"/>
  <c r="B1297" i="1" s="1"/>
  <c r="A1297" i="1"/>
  <c r="A1297" i="1" a="1"/>
  <c r="B1296" i="1"/>
  <c r="B1296" i="1" a="1"/>
  <c r="A1296" i="1" a="1"/>
  <c r="A1296" i="1" s="1"/>
  <c r="B1295" i="1"/>
  <c r="B1295" i="1" a="1"/>
  <c r="A1295" i="1" a="1"/>
  <c r="A1295" i="1" s="1"/>
  <c r="C1295" i="1" s="1"/>
  <c r="D1295" i="1" s="1"/>
  <c r="B1294" i="1"/>
  <c r="B1294" i="1" a="1"/>
  <c r="A1294" i="1" a="1"/>
  <c r="A1294" i="1" s="1"/>
  <c r="B1293" i="1" a="1"/>
  <c r="B1293" i="1" s="1"/>
  <c r="A1293" i="1" a="1"/>
  <c r="A1293" i="1" s="1"/>
  <c r="B1292" i="1"/>
  <c r="B1292" i="1" a="1"/>
  <c r="A1292" i="1" a="1"/>
  <c r="A1292" i="1" s="1"/>
  <c r="B1291" i="1"/>
  <c r="B1291" i="1" a="1"/>
  <c r="A1291" i="1" a="1"/>
  <c r="A1291" i="1" s="1"/>
  <c r="G1291" i="1" s="1"/>
  <c r="B1290" i="1" a="1"/>
  <c r="B1290" i="1" s="1"/>
  <c r="A1290" i="1"/>
  <c r="A1290" i="1" a="1"/>
  <c r="B1289" i="1" a="1"/>
  <c r="B1289" i="1" s="1"/>
  <c r="A1289" i="1" a="1"/>
  <c r="A1289" i="1" s="1"/>
  <c r="B1288" i="1" a="1"/>
  <c r="B1288" i="1" s="1"/>
  <c r="A1288" i="1" a="1"/>
  <c r="A1288" i="1" s="1"/>
  <c r="B1287" i="1"/>
  <c r="B1287" i="1" a="1"/>
  <c r="A1287" i="1" a="1"/>
  <c r="A1287" i="1" s="1"/>
  <c r="B1286" i="1" a="1"/>
  <c r="B1286" i="1" s="1"/>
  <c r="A1286" i="1"/>
  <c r="E1286" i="1" s="1"/>
  <c r="A1286" i="1" a="1"/>
  <c r="B1285" i="1" a="1"/>
  <c r="B1285" i="1" s="1"/>
  <c r="A1285" i="1"/>
  <c r="A1285" i="1" a="1"/>
  <c r="B1284" i="1" a="1"/>
  <c r="B1284" i="1" s="1"/>
  <c r="A1284" i="1" a="1"/>
  <c r="A1284" i="1" s="1"/>
  <c r="B1283" i="1"/>
  <c r="B1283" i="1" a="1"/>
  <c r="A1283" i="1" a="1"/>
  <c r="A1283" i="1" s="1"/>
  <c r="B1282" i="1" a="1"/>
  <c r="B1282" i="1" s="1"/>
  <c r="A1282" i="1" a="1"/>
  <c r="A1282" i="1" s="1"/>
  <c r="B1281" i="1" a="1"/>
  <c r="B1281" i="1" s="1"/>
  <c r="A1281" i="1" a="1"/>
  <c r="A1281" i="1" s="1"/>
  <c r="C1280" i="1"/>
  <c r="B1280" i="1"/>
  <c r="B1280" i="1" a="1"/>
  <c r="A1280" i="1" a="1"/>
  <c r="A1280" i="1" s="1"/>
  <c r="G1280" i="1" s="1"/>
  <c r="B1279" i="1"/>
  <c r="B1279" i="1" a="1"/>
  <c r="A1279" i="1" a="1"/>
  <c r="A1279" i="1" s="1"/>
  <c r="B1278" i="1"/>
  <c r="B1278" i="1" a="1"/>
  <c r="A1278" i="1" a="1"/>
  <c r="A1278" i="1" s="1"/>
  <c r="B1277" i="1" a="1"/>
  <c r="B1277" i="1" s="1"/>
  <c r="A1277" i="1" a="1"/>
  <c r="A1277" i="1" s="1"/>
  <c r="B1276" i="1"/>
  <c r="B1276" i="1" a="1"/>
  <c r="A1276" i="1" a="1"/>
  <c r="A1276" i="1" s="1"/>
  <c r="C1276" i="1" s="1"/>
  <c r="B1275" i="1"/>
  <c r="B1275" i="1" a="1"/>
  <c r="A1275" i="1" a="1"/>
  <c r="A1275" i="1" s="1"/>
  <c r="B1274" i="1" a="1"/>
  <c r="B1274" i="1" s="1"/>
  <c r="A1274" i="1" a="1"/>
  <c r="A1274" i="1" s="1"/>
  <c r="B1273" i="1"/>
  <c r="B1273" i="1" a="1"/>
  <c r="A1273" i="1" a="1"/>
  <c r="A1273" i="1" s="1"/>
  <c r="G1273" i="1" s="1"/>
  <c r="B1272" i="1" a="1"/>
  <c r="B1272" i="1" s="1"/>
  <c r="A1272" i="1" a="1"/>
  <c r="A1272" i="1" s="1"/>
  <c r="B1271" i="1"/>
  <c r="B1271" i="1" a="1"/>
  <c r="A1271" i="1" a="1"/>
  <c r="A1271" i="1" s="1"/>
  <c r="B1270" i="1" a="1"/>
  <c r="B1270" i="1" s="1"/>
  <c r="A1270" i="1" a="1"/>
  <c r="A1270" i="1" s="1"/>
  <c r="E1270" i="1" s="1"/>
  <c r="C1269" i="1"/>
  <c r="D1269" i="1" s="1"/>
  <c r="B1269" i="1"/>
  <c r="B1269" i="1" a="1"/>
  <c r="A1269" i="1"/>
  <c r="E1269" i="1" s="1"/>
  <c r="A1269" i="1" a="1"/>
  <c r="B1268" i="1" a="1"/>
  <c r="B1268" i="1" s="1"/>
  <c r="A1268" i="1" a="1"/>
  <c r="A1268" i="1" s="1"/>
  <c r="C1268" i="1" s="1"/>
  <c r="D1268" i="1" s="1"/>
  <c r="B1267" i="1"/>
  <c r="B1267" i="1" a="1"/>
  <c r="A1267" i="1" a="1"/>
  <c r="A1267" i="1" s="1"/>
  <c r="B1266" i="1"/>
  <c r="B1266" i="1" a="1"/>
  <c r="A1266" i="1" a="1"/>
  <c r="A1266" i="1" s="1"/>
  <c r="C1266" i="1" s="1"/>
  <c r="B1265" i="1"/>
  <c r="B1265" i="1" a="1"/>
  <c r="A1265" i="1" a="1"/>
  <c r="A1265" i="1" s="1"/>
  <c r="B1264" i="1"/>
  <c r="B1264" i="1" a="1"/>
  <c r="A1264" i="1" a="1"/>
  <c r="A1264" i="1" s="1"/>
  <c r="C1264" i="1" s="1"/>
  <c r="D1264" i="1" s="1"/>
  <c r="B1263" i="1"/>
  <c r="B1263" i="1" a="1"/>
  <c r="A1263" i="1" a="1"/>
  <c r="A1263" i="1" s="1"/>
  <c r="G1263" i="1" s="1"/>
  <c r="B1262" i="1"/>
  <c r="B1262" i="1" a="1"/>
  <c r="A1262" i="1"/>
  <c r="A1262" i="1" a="1"/>
  <c r="C1261" i="1"/>
  <c r="D1261" i="1" s="1"/>
  <c r="B1261" i="1" a="1"/>
  <c r="B1261" i="1" s="1"/>
  <c r="A1261" i="1" a="1"/>
  <c r="A1261" i="1" s="1"/>
  <c r="B1260" i="1" a="1"/>
  <c r="B1260" i="1" s="1"/>
  <c r="A1260" i="1" a="1"/>
  <c r="A1260" i="1" s="1"/>
  <c r="B1259" i="1"/>
  <c r="B1259" i="1" a="1"/>
  <c r="A1259" i="1" a="1"/>
  <c r="A1259" i="1" s="1"/>
  <c r="G1259" i="1" s="1"/>
  <c r="E1258" i="1"/>
  <c r="B1258" i="1"/>
  <c r="B1258" i="1" a="1"/>
  <c r="A1258" i="1" a="1"/>
  <c r="A1258" i="1" s="1"/>
  <c r="G1258" i="1" s="1"/>
  <c r="B1257" i="1"/>
  <c r="B1257" i="1" a="1"/>
  <c r="A1257" i="1" a="1"/>
  <c r="A1257" i="1" s="1"/>
  <c r="B1256" i="1"/>
  <c r="B1256" i="1" a="1"/>
  <c r="A1256" i="1" a="1"/>
  <c r="A1256" i="1" s="1"/>
  <c r="B1255" i="1"/>
  <c r="B1255" i="1" a="1"/>
  <c r="A1255" i="1" a="1"/>
  <c r="A1255" i="1" s="1"/>
  <c r="D1254" i="1"/>
  <c r="C1254" i="1"/>
  <c r="B1254" i="1" a="1"/>
  <c r="B1254" i="1" s="1"/>
  <c r="A1254" i="1" a="1"/>
  <c r="A1254" i="1" s="1"/>
  <c r="B1253" i="1" a="1"/>
  <c r="B1253" i="1" s="1"/>
  <c r="A1253" i="1" a="1"/>
  <c r="A1253" i="1" s="1"/>
  <c r="E1253" i="1" s="1"/>
  <c r="B1252" i="1" a="1"/>
  <c r="B1252" i="1" s="1"/>
  <c r="A1252" i="1"/>
  <c r="C1252" i="1" s="1"/>
  <c r="A1252" i="1" a="1"/>
  <c r="B1251" i="1"/>
  <c r="B1251" i="1" a="1"/>
  <c r="A1251" i="1" a="1"/>
  <c r="A1251" i="1" s="1"/>
  <c r="E1251" i="1" s="1"/>
  <c r="B1250" i="1"/>
  <c r="B1250" i="1" a="1"/>
  <c r="A1250" i="1" a="1"/>
  <c r="A1250" i="1" s="1"/>
  <c r="B1249" i="1"/>
  <c r="B1249" i="1" a="1"/>
  <c r="A1249" i="1" a="1"/>
  <c r="A1249" i="1" s="1"/>
  <c r="B1248" i="1" a="1"/>
  <c r="B1248" i="1" s="1"/>
  <c r="A1248" i="1" a="1"/>
  <c r="A1248" i="1" s="1"/>
  <c r="B1247" i="1"/>
  <c r="B1247" i="1" a="1"/>
  <c r="A1247" i="1" a="1"/>
  <c r="A1247" i="1" s="1"/>
  <c r="B1246" i="1" a="1"/>
  <c r="B1246" i="1" s="1"/>
  <c r="A1246" i="1" a="1"/>
  <c r="A1246" i="1" s="1"/>
  <c r="B1245" i="1"/>
  <c r="B1245" i="1" a="1"/>
  <c r="A1245" i="1"/>
  <c r="C1245" i="1" s="1"/>
  <c r="A1245" i="1" a="1"/>
  <c r="B1244" i="1"/>
  <c r="B1244" i="1" a="1"/>
  <c r="A1244" i="1"/>
  <c r="A1244" i="1" a="1"/>
  <c r="B1243" i="1"/>
  <c r="B1243" i="1" a="1"/>
  <c r="A1243" i="1"/>
  <c r="A1243" i="1" a="1"/>
  <c r="B1242" i="1"/>
  <c r="B1242" i="1" a="1"/>
  <c r="A1242" i="1" a="1"/>
  <c r="A1242" i="1" s="1"/>
  <c r="B1241" i="1" a="1"/>
  <c r="B1241" i="1" s="1"/>
  <c r="A1241" i="1" a="1"/>
  <c r="A1241" i="1" s="1"/>
  <c r="C1240" i="1"/>
  <c r="B1240" i="1" a="1"/>
  <c r="B1240" i="1" s="1"/>
  <c r="A1240" i="1" a="1"/>
  <c r="A1240" i="1" s="1"/>
  <c r="B1239" i="1"/>
  <c r="B1239" i="1" a="1"/>
  <c r="A1239" i="1" a="1"/>
  <c r="A1239" i="1" s="1"/>
  <c r="B1238" i="1" a="1"/>
  <c r="B1238" i="1" s="1"/>
  <c r="A1238" i="1"/>
  <c r="A1238" i="1" a="1"/>
  <c r="B1237" i="1"/>
  <c r="B1237" i="1" a="1"/>
  <c r="A1237" i="1" a="1"/>
  <c r="A1237" i="1" s="1"/>
  <c r="B1236" i="1" a="1"/>
  <c r="B1236" i="1" s="1"/>
  <c r="A1236" i="1" a="1"/>
  <c r="A1236" i="1" s="1"/>
  <c r="B1235" i="1"/>
  <c r="B1235" i="1" a="1"/>
  <c r="A1235" i="1" a="1"/>
  <c r="A1235" i="1" s="1"/>
  <c r="E1235" i="1" s="1"/>
  <c r="C1234" i="1"/>
  <c r="B1234" i="1" a="1"/>
  <c r="B1234" i="1" s="1"/>
  <c r="A1234" i="1" a="1"/>
  <c r="A1234" i="1" s="1"/>
  <c r="G1234" i="1" s="1"/>
  <c r="B1233" i="1" a="1"/>
  <c r="B1233" i="1" s="1"/>
  <c r="A1233" i="1" a="1"/>
  <c r="A1233" i="1" s="1"/>
  <c r="B1232" i="1"/>
  <c r="B1232" i="1" a="1"/>
  <c r="A1232" i="1" a="1"/>
  <c r="A1232" i="1" s="1"/>
  <c r="C1232" i="1" s="1"/>
  <c r="D1232" i="1" s="1"/>
  <c r="B1231" i="1"/>
  <c r="B1231" i="1" a="1"/>
  <c r="A1231" i="1"/>
  <c r="A1231" i="1" a="1"/>
  <c r="B1230" i="1"/>
  <c r="B1230" i="1" a="1"/>
  <c r="A1230" i="1" a="1"/>
  <c r="A1230" i="1" s="1"/>
  <c r="B1229" i="1" a="1"/>
  <c r="B1229" i="1" s="1"/>
  <c r="A1229" i="1" a="1"/>
  <c r="A1229" i="1" s="1"/>
  <c r="B1228" i="1"/>
  <c r="B1228" i="1" a="1"/>
  <c r="A1228" i="1" a="1"/>
  <c r="A1228" i="1" s="1"/>
  <c r="B1227" i="1"/>
  <c r="B1227" i="1" a="1"/>
  <c r="A1227" i="1" a="1"/>
  <c r="A1227" i="1" s="1"/>
  <c r="E1227" i="1" s="1"/>
  <c r="B1226" i="1"/>
  <c r="B1226" i="1" a="1"/>
  <c r="A1226" i="1"/>
  <c r="G1226" i="1" s="1"/>
  <c r="A1226" i="1" a="1"/>
  <c r="E1225" i="1"/>
  <c r="C1225" i="1"/>
  <c r="D1225" i="1" s="1"/>
  <c r="B1225" i="1"/>
  <c r="B1225" i="1" a="1"/>
  <c r="A1225" i="1" a="1"/>
  <c r="A1225" i="1" s="1"/>
  <c r="G1225" i="1" s="1"/>
  <c r="B1224" i="1"/>
  <c r="B1224" i="1" a="1"/>
  <c r="A1224" i="1" a="1"/>
  <c r="A1224" i="1" s="1"/>
  <c r="C1224" i="1" s="1"/>
  <c r="D1224" i="1" s="1"/>
  <c r="B1223" i="1"/>
  <c r="B1223" i="1" a="1"/>
  <c r="A1223" i="1" a="1"/>
  <c r="A1223" i="1" s="1"/>
  <c r="B1222" i="1" a="1"/>
  <c r="B1222" i="1" s="1"/>
  <c r="A1222" i="1" a="1"/>
  <c r="A1222" i="1" s="1"/>
  <c r="G1222" i="1" s="1"/>
  <c r="B1221" i="1"/>
  <c r="B1221" i="1" a="1"/>
  <c r="A1221" i="1" a="1"/>
  <c r="A1221" i="1" s="1"/>
  <c r="B1220" i="1" a="1"/>
  <c r="B1220" i="1" s="1"/>
  <c r="A1220" i="1" a="1"/>
  <c r="A1220" i="1" s="1"/>
  <c r="E1220" i="1" s="1"/>
  <c r="B1219" i="1"/>
  <c r="B1219" i="1" a="1"/>
  <c r="A1219" i="1" a="1"/>
  <c r="A1219" i="1" s="1"/>
  <c r="G1219" i="1" s="1"/>
  <c r="G1218" i="1"/>
  <c r="B1218" i="1"/>
  <c r="B1218" i="1" a="1"/>
  <c r="A1218" i="1" a="1"/>
  <c r="A1218" i="1" s="1"/>
  <c r="C1218" i="1" s="1"/>
  <c r="B1217" i="1"/>
  <c r="B1217" i="1" a="1"/>
  <c r="A1217" i="1" a="1"/>
  <c r="A1217" i="1" s="1"/>
  <c r="B1216" i="1"/>
  <c r="B1216" i="1" a="1"/>
  <c r="A1216" i="1" a="1"/>
  <c r="A1216" i="1" s="1"/>
  <c r="B1215" i="1"/>
  <c r="B1215" i="1" a="1"/>
  <c r="A1215" i="1" a="1"/>
  <c r="A1215" i="1" s="1"/>
  <c r="E1215" i="1" s="1"/>
  <c r="B1214" i="1"/>
  <c r="B1214" i="1" a="1"/>
  <c r="A1214" i="1" a="1"/>
  <c r="A1214" i="1" s="1"/>
  <c r="B1213" i="1" a="1"/>
  <c r="B1213" i="1" s="1"/>
  <c r="A1213" i="1" a="1"/>
  <c r="A1213" i="1" s="1"/>
  <c r="B1212" i="1" a="1"/>
  <c r="B1212" i="1" s="1"/>
  <c r="A1212" i="1" a="1"/>
  <c r="A1212" i="1" s="1"/>
  <c r="B1211" i="1"/>
  <c r="B1211" i="1" a="1"/>
  <c r="A1211" i="1" a="1"/>
  <c r="A1211" i="1" s="1"/>
  <c r="B1210" i="1" a="1"/>
  <c r="B1210" i="1" s="1"/>
  <c r="A1210" i="1" a="1"/>
  <c r="A1210" i="1" s="1"/>
  <c r="B1209" i="1"/>
  <c r="B1209" i="1" a="1"/>
  <c r="A1209" i="1" a="1"/>
  <c r="A1209" i="1" s="1"/>
  <c r="B1208" i="1"/>
  <c r="B1208" i="1" a="1"/>
  <c r="A1208" i="1" a="1"/>
  <c r="A1208" i="1" s="1"/>
  <c r="C1208" i="1" s="1"/>
  <c r="D1208" i="1" s="1"/>
  <c r="B1207" i="1"/>
  <c r="B1207" i="1" a="1"/>
  <c r="A1207" i="1" a="1"/>
  <c r="A1207" i="1" s="1"/>
  <c r="B1206" i="1"/>
  <c r="B1206" i="1" a="1"/>
  <c r="A1206" i="1" a="1"/>
  <c r="A1206" i="1" s="1"/>
  <c r="C1206" i="1" s="1"/>
  <c r="B1205" i="1" a="1"/>
  <c r="B1205" i="1" s="1"/>
  <c r="A1205" i="1" a="1"/>
  <c r="A1205" i="1" s="1"/>
  <c r="E1205" i="1" s="1"/>
  <c r="B1204" i="1" a="1"/>
  <c r="B1204" i="1" s="1"/>
  <c r="A1204" i="1" a="1"/>
  <c r="A1204" i="1" s="1"/>
  <c r="C1204" i="1" s="1"/>
  <c r="B1203" i="1"/>
  <c r="B1203" i="1" a="1"/>
  <c r="A1203" i="1" a="1"/>
  <c r="A1203" i="1" s="1"/>
  <c r="B1202" i="1" a="1"/>
  <c r="B1202" i="1" s="1"/>
  <c r="A1202" i="1" a="1"/>
  <c r="A1202" i="1" s="1"/>
  <c r="B1201" i="1"/>
  <c r="B1201" i="1" a="1"/>
  <c r="A1201" i="1" a="1"/>
  <c r="A1201" i="1" s="1"/>
  <c r="B1200" i="1"/>
  <c r="B1200" i="1" a="1"/>
  <c r="A1200" i="1" a="1"/>
  <c r="A1200" i="1" s="1"/>
  <c r="B1199" i="1"/>
  <c r="B1199" i="1" a="1"/>
  <c r="A1199" i="1" a="1"/>
  <c r="A1199" i="1" s="1"/>
  <c r="B1198" i="1" a="1"/>
  <c r="B1198" i="1" s="1"/>
  <c r="A1198" i="1" a="1"/>
  <c r="A1198" i="1" s="1"/>
  <c r="B1197" i="1" a="1"/>
  <c r="B1197" i="1" s="1"/>
  <c r="A1197" i="1" a="1"/>
  <c r="A1197" i="1" s="1"/>
  <c r="C1197" i="1" s="1"/>
  <c r="D1197" i="1" s="1"/>
  <c r="B1196" i="1"/>
  <c r="B1196" i="1" a="1"/>
  <c r="A1196" i="1" a="1"/>
  <c r="A1196" i="1" s="1"/>
  <c r="B1195" i="1"/>
  <c r="B1195" i="1" a="1"/>
  <c r="A1195" i="1" a="1"/>
  <c r="A1195" i="1" s="1"/>
  <c r="B1194" i="1"/>
  <c r="B1194" i="1" a="1"/>
  <c r="A1194" i="1" a="1"/>
  <c r="A1194" i="1" s="1"/>
  <c r="B1193" i="1"/>
  <c r="B1193" i="1" a="1"/>
  <c r="A1193" i="1" a="1"/>
  <c r="A1193" i="1" s="1"/>
  <c r="B1192" i="1" a="1"/>
  <c r="B1192" i="1" s="1"/>
  <c r="A1192" i="1" a="1"/>
  <c r="A1192" i="1" s="1"/>
  <c r="B1191" i="1"/>
  <c r="B1191" i="1" a="1"/>
  <c r="A1191" i="1" a="1"/>
  <c r="A1191" i="1" s="1"/>
  <c r="B1190" i="1" a="1"/>
  <c r="B1190" i="1" s="1"/>
  <c r="A1190" i="1" a="1"/>
  <c r="A1190" i="1" s="1"/>
  <c r="B1189" i="1" a="1"/>
  <c r="B1189" i="1" s="1"/>
  <c r="A1189" i="1" a="1"/>
  <c r="A1189" i="1" s="1"/>
  <c r="C1189" i="1" s="1"/>
  <c r="B1188" i="1" a="1"/>
  <c r="B1188" i="1" s="1"/>
  <c r="A1188" i="1"/>
  <c r="A1188" i="1" a="1"/>
  <c r="B1187" i="1"/>
  <c r="B1187" i="1" a="1"/>
  <c r="A1187" i="1" a="1"/>
  <c r="A1187" i="1" s="1"/>
  <c r="C1187" i="1" s="1"/>
  <c r="D1187" i="1" s="1"/>
  <c r="B1186" i="1" a="1"/>
  <c r="B1186" i="1" s="1"/>
  <c r="A1186" i="1" a="1"/>
  <c r="A1186" i="1" s="1"/>
  <c r="B1185" i="1"/>
  <c r="B1185" i="1" a="1"/>
  <c r="A1185" i="1" a="1"/>
  <c r="A1185" i="1" s="1"/>
  <c r="C1184" i="1"/>
  <c r="B1184" i="1"/>
  <c r="B1184" i="1" a="1"/>
  <c r="A1184" i="1" a="1"/>
  <c r="A1184" i="1" s="1"/>
  <c r="B1183" i="1"/>
  <c r="B1183" i="1" a="1"/>
  <c r="A1183" i="1" a="1"/>
  <c r="A1183" i="1" s="1"/>
  <c r="C1182" i="1"/>
  <c r="B1182" i="1"/>
  <c r="E1182" i="1" s="1"/>
  <c r="B1182" i="1" a="1"/>
  <c r="A1182" i="1" a="1"/>
  <c r="A1182" i="1" s="1"/>
  <c r="B1181" i="1" a="1"/>
  <c r="B1181" i="1" s="1"/>
  <c r="A1181" i="1" a="1"/>
  <c r="A1181" i="1" s="1"/>
  <c r="B1180" i="1" a="1"/>
  <c r="B1180" i="1" s="1"/>
  <c r="A1180" i="1" a="1"/>
  <c r="A1180" i="1" s="1"/>
  <c r="C1180" i="1" s="1"/>
  <c r="B1179" i="1"/>
  <c r="B1179" i="1" a="1"/>
  <c r="A1179" i="1" a="1"/>
  <c r="A1179" i="1" s="1"/>
  <c r="C1179" i="1" s="1"/>
  <c r="D1179" i="1" s="1"/>
  <c r="B1178" i="1"/>
  <c r="B1178" i="1" a="1"/>
  <c r="A1178" i="1" a="1"/>
  <c r="A1178" i="1" s="1"/>
  <c r="B1177" i="1"/>
  <c r="B1177" i="1" a="1"/>
  <c r="A1177" i="1" a="1"/>
  <c r="A1177" i="1" s="1"/>
  <c r="C1177" i="1" s="1"/>
  <c r="D1177" i="1" s="1"/>
  <c r="C1176" i="1"/>
  <c r="B1176" i="1"/>
  <c r="B1176" i="1" a="1"/>
  <c r="A1176" i="1" a="1"/>
  <c r="A1176" i="1" s="1"/>
  <c r="B1175" i="1"/>
  <c r="B1175" i="1" a="1"/>
  <c r="A1175" i="1"/>
  <c r="A1175" i="1" a="1"/>
  <c r="B1174" i="1" a="1"/>
  <c r="B1174" i="1" s="1"/>
  <c r="A1174" i="1" a="1"/>
  <c r="A1174" i="1" s="1"/>
  <c r="C1173" i="1"/>
  <c r="D1173" i="1" s="1"/>
  <c r="B1173" i="1"/>
  <c r="B1173" i="1" a="1"/>
  <c r="A1173" i="1"/>
  <c r="A1173" i="1" a="1"/>
  <c r="B1172" i="1"/>
  <c r="B1172" i="1" a="1"/>
  <c r="A1172" i="1" a="1"/>
  <c r="A1172" i="1" s="1"/>
  <c r="E1172" i="1" s="1"/>
  <c r="B1171" i="1"/>
  <c r="B1171" i="1" a="1"/>
  <c r="A1171" i="1" a="1"/>
  <c r="A1171" i="1" s="1"/>
  <c r="E1171" i="1" s="1"/>
  <c r="B1170" i="1"/>
  <c r="B1170" i="1" a="1"/>
  <c r="A1170" i="1" a="1"/>
  <c r="A1170" i="1" s="1"/>
  <c r="B1169" i="1" a="1"/>
  <c r="B1169" i="1" s="1"/>
  <c r="A1169" i="1" a="1"/>
  <c r="A1169" i="1" s="1"/>
  <c r="B1168" i="1" a="1"/>
  <c r="B1168" i="1" s="1"/>
  <c r="A1168" i="1" a="1"/>
  <c r="A1168" i="1" s="1"/>
  <c r="B1167" i="1"/>
  <c r="B1167" i="1" a="1"/>
  <c r="A1167" i="1" a="1"/>
  <c r="A1167" i="1" s="1"/>
  <c r="B1166" i="1"/>
  <c r="B1166" i="1" a="1"/>
  <c r="A1166" i="1" a="1"/>
  <c r="A1166" i="1" s="1"/>
  <c r="C1165" i="1"/>
  <c r="B1165" i="1"/>
  <c r="E1165" i="1" s="1"/>
  <c r="B1165" i="1" a="1"/>
  <c r="A1165" i="1" a="1"/>
  <c r="A1165" i="1" s="1"/>
  <c r="B1164" i="1" a="1"/>
  <c r="B1164" i="1" s="1"/>
  <c r="A1164" i="1" a="1"/>
  <c r="A1164" i="1" s="1"/>
  <c r="G1164" i="1" s="1"/>
  <c r="C1163" i="1"/>
  <c r="D1163" i="1" s="1"/>
  <c r="B1163" i="1"/>
  <c r="B1163" i="1" a="1"/>
  <c r="A1163" i="1" a="1"/>
  <c r="A1163" i="1" s="1"/>
  <c r="G1163" i="1" s="1"/>
  <c r="B1162" i="1" a="1"/>
  <c r="B1162" i="1" s="1"/>
  <c r="A1162" i="1" a="1"/>
  <c r="A1162" i="1" s="1"/>
  <c r="B1161" i="1"/>
  <c r="B1161" i="1" a="1"/>
  <c r="A1161" i="1" a="1"/>
  <c r="A1161" i="1" s="1"/>
  <c r="B1160" i="1"/>
  <c r="B1160" i="1" a="1"/>
  <c r="A1160" i="1" a="1"/>
  <c r="A1160" i="1" s="1"/>
  <c r="B1159" i="1"/>
  <c r="B1159" i="1" a="1"/>
  <c r="A1159" i="1" a="1"/>
  <c r="A1159" i="1" s="1"/>
  <c r="G1159" i="1" s="1"/>
  <c r="B1158" i="1"/>
  <c r="B1158" i="1" a="1"/>
  <c r="A1158" i="1" a="1"/>
  <c r="A1158" i="1" s="1"/>
  <c r="E1158" i="1" s="1"/>
  <c r="B1157" i="1" a="1"/>
  <c r="B1157" i="1" s="1"/>
  <c r="A1157" i="1"/>
  <c r="A1157" i="1" a="1"/>
  <c r="B1156" i="1" a="1"/>
  <c r="B1156" i="1" s="1"/>
  <c r="A1156" i="1" a="1"/>
  <c r="A1156" i="1" s="1"/>
  <c r="E1156" i="1" s="1"/>
  <c r="B1155" i="1"/>
  <c r="B1155" i="1" a="1"/>
  <c r="A1155" i="1" a="1"/>
  <c r="A1155" i="1" s="1"/>
  <c r="C1154" i="1"/>
  <c r="D1154" i="1" s="1"/>
  <c r="B1154" i="1" a="1"/>
  <c r="B1154" i="1" s="1"/>
  <c r="A1154" i="1" a="1"/>
  <c r="A1154" i="1" s="1"/>
  <c r="B1153" i="1"/>
  <c r="B1153" i="1" a="1"/>
  <c r="A1153" i="1" a="1"/>
  <c r="A1153" i="1" s="1"/>
  <c r="B1152" i="1"/>
  <c r="B1152" i="1" a="1"/>
  <c r="A1152" i="1" a="1"/>
  <c r="A1152" i="1" s="1"/>
  <c r="C1152" i="1" s="1"/>
  <c r="B1151" i="1"/>
  <c r="B1151" i="1" a="1"/>
  <c r="A1151" i="1" a="1"/>
  <c r="A1151" i="1" s="1"/>
  <c r="G1150" i="1"/>
  <c r="B1150" i="1" a="1"/>
  <c r="B1150" i="1" s="1"/>
  <c r="A1150" i="1" a="1"/>
  <c r="A1150" i="1" s="1"/>
  <c r="B1149" i="1" a="1"/>
  <c r="B1149" i="1" s="1"/>
  <c r="A1149" i="1" a="1"/>
  <c r="A1149" i="1" s="1"/>
  <c r="B1148" i="1"/>
  <c r="B1148" i="1" a="1"/>
  <c r="A1148" i="1" a="1"/>
  <c r="A1148" i="1" s="1"/>
  <c r="B1147" i="1"/>
  <c r="B1147" i="1" a="1"/>
  <c r="A1147" i="1" a="1"/>
  <c r="A1147" i="1" s="1"/>
  <c r="B1146" i="1"/>
  <c r="B1146" i="1" a="1"/>
  <c r="A1146" i="1" a="1"/>
  <c r="A1146" i="1" s="1"/>
  <c r="G1146" i="1" s="1"/>
  <c r="B1145" i="1"/>
  <c r="B1145" i="1" a="1"/>
  <c r="A1145" i="1" a="1"/>
  <c r="A1145" i="1" s="1"/>
  <c r="B1144" i="1" a="1"/>
  <c r="B1144" i="1" s="1"/>
  <c r="A1144" i="1" a="1"/>
  <c r="A1144" i="1" s="1"/>
  <c r="B1143" i="1"/>
  <c r="B1143" i="1" a="1"/>
  <c r="A1143" i="1" a="1"/>
  <c r="A1143" i="1" s="1"/>
  <c r="E1143" i="1" s="1"/>
  <c r="B1142" i="1"/>
  <c r="B1142" i="1" a="1"/>
  <c r="A1142" i="1" a="1"/>
  <c r="A1142" i="1" s="1"/>
  <c r="B1141" i="1"/>
  <c r="E1141" i="1" s="1"/>
  <c r="B1141" i="1" a="1"/>
  <c r="A1141" i="1" a="1"/>
  <c r="A1141" i="1" s="1"/>
  <c r="C1141" i="1" s="1"/>
  <c r="D1141" i="1" s="1"/>
  <c r="B1140" i="1" a="1"/>
  <c r="B1140" i="1" s="1"/>
  <c r="A1140" i="1" a="1"/>
  <c r="A1140" i="1" s="1"/>
  <c r="B1139" i="1"/>
  <c r="B1139" i="1" a="1"/>
  <c r="A1139" i="1" a="1"/>
  <c r="A1139" i="1" s="1"/>
  <c r="B1138" i="1" a="1"/>
  <c r="B1138" i="1" s="1"/>
  <c r="A1138" i="1" a="1"/>
  <c r="A1138" i="1" s="1"/>
  <c r="E1138" i="1" s="1"/>
  <c r="B1137" i="1"/>
  <c r="B1137" i="1" a="1"/>
  <c r="A1137" i="1" a="1"/>
  <c r="A1137" i="1" s="1"/>
  <c r="B1136" i="1"/>
  <c r="B1136" i="1" a="1"/>
  <c r="A1136" i="1" a="1"/>
  <c r="A1136" i="1" s="1"/>
  <c r="G1136" i="1" s="1"/>
  <c r="B1135" i="1"/>
  <c r="B1135" i="1" a="1"/>
  <c r="A1135" i="1" a="1"/>
  <c r="A1135" i="1" s="1"/>
  <c r="C1135" i="1" s="1"/>
  <c r="D1135" i="1" s="1"/>
  <c r="B1134" i="1" a="1"/>
  <c r="B1134" i="1" s="1"/>
  <c r="E1134" i="1" s="1"/>
  <c r="A1134" i="1" a="1"/>
  <c r="A1134" i="1" s="1"/>
  <c r="B1133" i="1" a="1"/>
  <c r="B1133" i="1" s="1"/>
  <c r="A1133" i="1" a="1"/>
  <c r="A1133" i="1" s="1"/>
  <c r="B1132" i="1" a="1"/>
  <c r="B1132" i="1" s="1"/>
  <c r="A1132" i="1" a="1"/>
  <c r="A1132" i="1" s="1"/>
  <c r="E1132" i="1" s="1"/>
  <c r="B1131" i="1"/>
  <c r="B1131" i="1" a="1"/>
  <c r="A1131" i="1" a="1"/>
  <c r="A1131" i="1" s="1"/>
  <c r="B1130" i="1" a="1"/>
  <c r="B1130" i="1" s="1"/>
  <c r="A1130" i="1" a="1"/>
  <c r="A1130" i="1" s="1"/>
  <c r="B1129" i="1"/>
  <c r="B1129" i="1" a="1"/>
  <c r="A1129" i="1" a="1"/>
  <c r="A1129" i="1" s="1"/>
  <c r="B1128" i="1"/>
  <c r="B1128" i="1" a="1"/>
  <c r="A1128" i="1" a="1"/>
  <c r="A1128" i="1" s="1"/>
  <c r="B1127" i="1"/>
  <c r="B1127" i="1" a="1"/>
  <c r="A1127" i="1" a="1"/>
  <c r="A1127" i="1" s="1"/>
  <c r="B1126" i="1" a="1"/>
  <c r="B1126" i="1" s="1"/>
  <c r="A1126" i="1" a="1"/>
  <c r="A1126" i="1" s="1"/>
  <c r="E1126" i="1" s="1"/>
  <c r="E1125" i="1"/>
  <c r="B1125" i="1" a="1"/>
  <c r="B1125" i="1" s="1"/>
  <c r="A1125" i="1" a="1"/>
  <c r="A1125" i="1" s="1"/>
  <c r="B1124" i="1"/>
  <c r="B1124" i="1" a="1"/>
  <c r="A1124" i="1" a="1"/>
  <c r="A1124" i="1" s="1"/>
  <c r="B1123" i="1"/>
  <c r="B1123" i="1" a="1"/>
  <c r="A1123" i="1" a="1"/>
  <c r="A1123" i="1" s="1"/>
  <c r="B1122" i="1"/>
  <c r="B1122" i="1" a="1"/>
  <c r="A1122" i="1" a="1"/>
  <c r="A1122" i="1" s="1"/>
  <c r="B1121" i="1"/>
  <c r="B1121" i="1" a="1"/>
  <c r="A1121" i="1" a="1"/>
  <c r="A1121" i="1" s="1"/>
  <c r="C1121" i="1" s="1"/>
  <c r="B1120" i="1" a="1"/>
  <c r="B1120" i="1" s="1"/>
  <c r="A1120" i="1" a="1"/>
  <c r="A1120" i="1" s="1"/>
  <c r="B1119" i="1"/>
  <c r="B1119" i="1" a="1"/>
  <c r="A1119" i="1" a="1"/>
  <c r="A1119" i="1" s="1"/>
  <c r="B1118" i="1"/>
  <c r="B1118" i="1" a="1"/>
  <c r="A1118" i="1" a="1"/>
  <c r="A1118" i="1" s="1"/>
  <c r="B1117" i="1" a="1"/>
  <c r="B1117" i="1" s="1"/>
  <c r="A1117" i="1" a="1"/>
  <c r="A1117" i="1" s="1"/>
  <c r="B1116" i="1" a="1"/>
  <c r="B1116" i="1" s="1"/>
  <c r="A1116" i="1" a="1"/>
  <c r="A1116" i="1" s="1"/>
  <c r="C1116" i="1" s="1"/>
  <c r="B1115" i="1"/>
  <c r="B1115" i="1" a="1"/>
  <c r="A1115" i="1" a="1"/>
  <c r="A1115" i="1" s="1"/>
  <c r="B1114" i="1"/>
  <c r="B1114" i="1" a="1"/>
  <c r="A1114" i="1" a="1"/>
  <c r="A1114" i="1" s="1"/>
  <c r="B1113" i="1"/>
  <c r="B1113" i="1" a="1"/>
  <c r="A1113" i="1" a="1"/>
  <c r="A1113" i="1" s="1"/>
  <c r="B1112" i="1"/>
  <c r="B1112" i="1" a="1"/>
  <c r="A1112" i="1" a="1"/>
  <c r="A1112" i="1" s="1"/>
  <c r="C1112" i="1" s="1"/>
  <c r="B1111" i="1"/>
  <c r="E1111" i="1" s="1"/>
  <c r="B1111" i="1" a="1"/>
  <c r="A1111" i="1" a="1"/>
  <c r="A1111" i="1" s="1"/>
  <c r="G1111" i="1" s="1"/>
  <c r="B1110" i="1" a="1"/>
  <c r="B1110" i="1" s="1"/>
  <c r="A1110" i="1" a="1"/>
  <c r="A1110" i="1" s="1"/>
  <c r="B1109" i="1" a="1"/>
  <c r="B1109" i="1" s="1"/>
  <c r="A1109" i="1" a="1"/>
  <c r="A1109" i="1" s="1"/>
  <c r="B1108" i="1" a="1"/>
  <c r="B1108" i="1" s="1"/>
  <c r="A1108" i="1" a="1"/>
  <c r="A1108" i="1" s="1"/>
  <c r="C1108" i="1" s="1"/>
  <c r="B1107" i="1"/>
  <c r="B1107" i="1" a="1"/>
  <c r="A1107" i="1" a="1"/>
  <c r="A1107" i="1" s="1"/>
  <c r="B1106" i="1"/>
  <c r="B1106" i="1" a="1"/>
  <c r="A1106" i="1" a="1"/>
  <c r="A1106" i="1" s="1"/>
  <c r="C1106" i="1" s="1"/>
  <c r="B1105" i="1" a="1"/>
  <c r="B1105" i="1" s="1"/>
  <c r="E1105" i="1" s="1"/>
  <c r="A1105" i="1" a="1"/>
  <c r="A1105" i="1" s="1"/>
  <c r="E1104" i="1"/>
  <c r="B1104" i="1" a="1"/>
  <c r="B1104" i="1" s="1"/>
  <c r="A1104" i="1" a="1"/>
  <c r="A1104" i="1" s="1"/>
  <c r="C1104" i="1" s="1"/>
  <c r="D1104" i="1" s="1"/>
  <c r="B1103" i="1"/>
  <c r="B1103" i="1" a="1"/>
  <c r="A1103" i="1" a="1"/>
  <c r="A1103" i="1" s="1"/>
  <c r="B1102" i="1" a="1"/>
  <c r="B1102" i="1" s="1"/>
  <c r="A1102" i="1" a="1"/>
  <c r="A1102" i="1" s="1"/>
  <c r="B1101" i="1" a="1"/>
  <c r="B1101" i="1" s="1"/>
  <c r="A1101" i="1" a="1"/>
  <c r="A1101" i="1" s="1"/>
  <c r="B1100" i="1"/>
  <c r="B1100" i="1" a="1"/>
  <c r="A1100" i="1" a="1"/>
  <c r="A1100" i="1" s="1"/>
  <c r="B1099" i="1"/>
  <c r="B1099" i="1" a="1"/>
  <c r="A1099" i="1" a="1"/>
  <c r="A1099" i="1" s="1"/>
  <c r="G1099" i="1" s="1"/>
  <c r="B1098" i="1" a="1"/>
  <c r="B1098" i="1" s="1"/>
  <c r="A1098" i="1" a="1"/>
  <c r="A1098" i="1" s="1"/>
  <c r="C1098" i="1" s="1"/>
  <c r="D1098" i="1" s="1"/>
  <c r="B1097" i="1"/>
  <c r="B1097" i="1" a="1"/>
  <c r="A1097" i="1" a="1"/>
  <c r="A1097" i="1" s="1"/>
  <c r="B1096" i="1" a="1"/>
  <c r="B1096" i="1" s="1"/>
  <c r="A1096" i="1" a="1"/>
  <c r="A1096" i="1" s="1"/>
  <c r="B1095" i="1"/>
  <c r="B1095" i="1" a="1"/>
  <c r="A1095" i="1" a="1"/>
  <c r="A1095" i="1" s="1"/>
  <c r="B1094" i="1" a="1"/>
  <c r="B1094" i="1" s="1"/>
  <c r="A1094" i="1" a="1"/>
  <c r="A1094" i="1" s="1"/>
  <c r="C1094" i="1" s="1"/>
  <c r="B1093" i="1"/>
  <c r="B1093" i="1" a="1"/>
  <c r="A1093" i="1" a="1"/>
  <c r="A1093" i="1" s="1"/>
  <c r="B1092" i="1" a="1"/>
  <c r="B1092" i="1" s="1"/>
  <c r="A1092" i="1" a="1"/>
  <c r="A1092" i="1" s="1"/>
  <c r="B1091" i="1"/>
  <c r="B1091" i="1" a="1"/>
  <c r="A1091" i="1" a="1"/>
  <c r="A1091" i="1" s="1"/>
  <c r="G1091" i="1" s="1"/>
  <c r="B1090" i="1" a="1"/>
  <c r="B1090" i="1" s="1"/>
  <c r="A1090" i="1" a="1"/>
  <c r="A1090" i="1" s="1"/>
  <c r="B1089" i="1"/>
  <c r="B1089" i="1" a="1"/>
  <c r="A1089" i="1" a="1"/>
  <c r="A1089" i="1" s="1"/>
  <c r="B1088" i="1"/>
  <c r="B1088" i="1" a="1"/>
  <c r="A1088" i="1" a="1"/>
  <c r="A1088" i="1" s="1"/>
  <c r="B1087" i="1"/>
  <c r="B1087" i="1" a="1"/>
  <c r="A1087" i="1" a="1"/>
  <c r="A1087" i="1" s="1"/>
  <c r="G1086" i="1"/>
  <c r="D1086" i="1"/>
  <c r="B1086" i="1"/>
  <c r="B1086" i="1" a="1"/>
  <c r="A1086" i="1" a="1"/>
  <c r="A1086" i="1" s="1"/>
  <c r="C1086" i="1" s="1"/>
  <c r="B1085" i="1" a="1"/>
  <c r="B1085" i="1" s="1"/>
  <c r="A1085" i="1" a="1"/>
  <c r="A1085" i="1" s="1"/>
  <c r="E1085" i="1" s="1"/>
  <c r="B1084" i="1"/>
  <c r="B1084" i="1" a="1"/>
  <c r="A1084" i="1" a="1"/>
  <c r="A1084" i="1" s="1"/>
  <c r="B1083" i="1"/>
  <c r="B1083" i="1" a="1"/>
  <c r="A1083" i="1" a="1"/>
  <c r="A1083" i="1" s="1"/>
  <c r="B1082" i="1"/>
  <c r="B1082" i="1" a="1"/>
  <c r="A1082" i="1" a="1"/>
  <c r="A1082" i="1" s="1"/>
  <c r="E1082" i="1" s="1"/>
  <c r="B1081" i="1" a="1"/>
  <c r="B1081" i="1" s="1"/>
  <c r="A1081" i="1" a="1"/>
  <c r="A1081" i="1" s="1"/>
  <c r="B1080" i="1"/>
  <c r="B1080" i="1" a="1"/>
  <c r="A1080" i="1" a="1"/>
  <c r="A1080" i="1" s="1"/>
  <c r="C1080" i="1" s="1"/>
  <c r="B1079" i="1"/>
  <c r="B1079" i="1" a="1"/>
  <c r="A1079" i="1" a="1"/>
  <c r="A1079" i="1" s="1"/>
  <c r="C1079" i="1" s="1"/>
  <c r="D1079" i="1" s="1"/>
  <c r="B1078" i="1" a="1"/>
  <c r="B1078" i="1" s="1"/>
  <c r="A1078" i="1" a="1"/>
  <c r="A1078" i="1" s="1"/>
  <c r="G1078" i="1" s="1"/>
  <c r="B1077" i="1" a="1"/>
  <c r="B1077" i="1" s="1"/>
  <c r="A1077" i="1" a="1"/>
  <c r="A1077" i="1" s="1"/>
  <c r="B1076" i="1" a="1"/>
  <c r="B1076" i="1" s="1"/>
  <c r="A1076" i="1" a="1"/>
  <c r="A1076" i="1" s="1"/>
  <c r="B1075" i="1"/>
  <c r="B1075" i="1" a="1"/>
  <c r="A1075" i="1" a="1"/>
  <c r="A1075" i="1" s="1"/>
  <c r="G1075" i="1" s="1"/>
  <c r="B1074" i="1" a="1"/>
  <c r="B1074" i="1" s="1"/>
  <c r="A1074" i="1" a="1"/>
  <c r="A1074" i="1" s="1"/>
  <c r="B1073" i="1"/>
  <c r="B1073" i="1" a="1"/>
  <c r="A1073" i="1"/>
  <c r="A1073" i="1" a="1"/>
  <c r="B1072" i="1" a="1"/>
  <c r="B1072" i="1" s="1"/>
  <c r="A1072" i="1" a="1"/>
  <c r="A1072" i="1" s="1"/>
  <c r="B1071" i="1"/>
  <c r="B1071" i="1" a="1"/>
  <c r="A1071" i="1" a="1"/>
  <c r="A1071" i="1" s="1"/>
  <c r="B1070" i="1"/>
  <c r="B1070" i="1" a="1"/>
  <c r="A1070" i="1" a="1"/>
  <c r="A1070" i="1" s="1"/>
  <c r="B1069" i="1"/>
  <c r="B1069" i="1" a="1"/>
  <c r="A1069" i="1" a="1"/>
  <c r="A1069" i="1" s="1"/>
  <c r="B1068" i="1"/>
  <c r="B1068" i="1" a="1"/>
  <c r="A1068" i="1" a="1"/>
  <c r="A1068" i="1" s="1"/>
  <c r="B1067" i="1"/>
  <c r="B1067" i="1" a="1"/>
  <c r="A1067" i="1" a="1"/>
  <c r="A1067" i="1" s="1"/>
  <c r="C1067" i="1" s="1"/>
  <c r="D1067" i="1" s="1"/>
  <c r="B1066" i="1"/>
  <c r="B1066" i="1" a="1"/>
  <c r="A1066" i="1" a="1"/>
  <c r="A1066" i="1" s="1"/>
  <c r="B1065" i="1"/>
  <c r="B1065" i="1" a="1"/>
  <c r="A1065" i="1" a="1"/>
  <c r="A1065" i="1" s="1"/>
  <c r="B1064" i="1" a="1"/>
  <c r="B1064" i="1" s="1"/>
  <c r="A1064" i="1"/>
  <c r="C1064" i="1" s="1"/>
  <c r="A1064" i="1" a="1"/>
  <c r="B1063" i="1"/>
  <c r="G1063" i="1" s="1"/>
  <c r="B1063" i="1" a="1"/>
  <c r="A1063" i="1" a="1"/>
  <c r="A1063" i="1" s="1"/>
  <c r="C1063" i="1" s="1"/>
  <c r="B1062" i="1" a="1"/>
  <c r="B1062" i="1" s="1"/>
  <c r="A1062" i="1" a="1"/>
  <c r="A1062" i="1" s="1"/>
  <c r="B1061" i="1"/>
  <c r="B1061" i="1" a="1"/>
  <c r="A1061" i="1"/>
  <c r="A1061" i="1" a="1"/>
  <c r="B1060" i="1" a="1"/>
  <c r="B1060" i="1" s="1"/>
  <c r="A1060" i="1"/>
  <c r="A1060" i="1" a="1"/>
  <c r="B1059" i="1"/>
  <c r="B1059" i="1" a="1"/>
  <c r="A1059" i="1" a="1"/>
  <c r="A1059" i="1" s="1"/>
  <c r="B1058" i="1" a="1"/>
  <c r="B1058" i="1" s="1"/>
  <c r="A1058" i="1" a="1"/>
  <c r="A1058" i="1" s="1"/>
  <c r="B1057" i="1" a="1"/>
  <c r="B1057" i="1" s="1"/>
  <c r="A1057" i="1" a="1"/>
  <c r="A1057" i="1" s="1"/>
  <c r="C1057" i="1" s="1"/>
  <c r="B1056" i="1" a="1"/>
  <c r="B1056" i="1" s="1"/>
  <c r="G1056" i="1" s="1"/>
  <c r="A1056" i="1" a="1"/>
  <c r="A1056" i="1" s="1"/>
  <c r="C1056" i="1" s="1"/>
  <c r="B1055" i="1"/>
  <c r="B1055" i="1" a="1"/>
  <c r="A1055" i="1" a="1"/>
  <c r="A1055" i="1" s="1"/>
  <c r="B1054" i="1"/>
  <c r="B1054" i="1" a="1"/>
  <c r="A1054" i="1" a="1"/>
  <c r="A1054" i="1" s="1"/>
  <c r="B1053" i="1"/>
  <c r="B1053" i="1" a="1"/>
  <c r="A1053" i="1"/>
  <c r="A1053" i="1" a="1"/>
  <c r="B1052" i="1" a="1"/>
  <c r="B1052" i="1" s="1"/>
  <c r="A1052" i="1" a="1"/>
  <c r="A1052" i="1" s="1"/>
  <c r="B1051" i="1"/>
  <c r="B1051" i="1" a="1"/>
  <c r="A1051" i="1" a="1"/>
  <c r="A1051" i="1" s="1"/>
  <c r="B1050" i="1" a="1"/>
  <c r="B1050" i="1" s="1"/>
  <c r="A1050" i="1" a="1"/>
  <c r="A1050" i="1" s="1"/>
  <c r="C1050" i="1" s="1"/>
  <c r="B1049" i="1" a="1"/>
  <c r="B1049" i="1" s="1"/>
  <c r="E1049" i="1" s="1"/>
  <c r="A1049" i="1" a="1"/>
  <c r="A1049" i="1" s="1"/>
  <c r="B1048" i="1"/>
  <c r="B1048" i="1" a="1"/>
  <c r="A1048" i="1" a="1"/>
  <c r="A1048" i="1" s="1"/>
  <c r="B1047" i="1"/>
  <c r="B1047" i="1" a="1"/>
  <c r="A1047" i="1" a="1"/>
  <c r="A1047" i="1" s="1"/>
  <c r="C1047" i="1" s="1"/>
  <c r="B1046" i="1"/>
  <c r="B1046" i="1" a="1"/>
  <c r="A1046" i="1" a="1"/>
  <c r="A1046" i="1" s="1"/>
  <c r="B1045" i="1" a="1"/>
  <c r="B1045" i="1" s="1"/>
  <c r="A1045" i="1" a="1"/>
  <c r="A1045" i="1" s="1"/>
  <c r="C1045" i="1" s="1"/>
  <c r="D1045" i="1" s="1"/>
  <c r="B1044" i="1"/>
  <c r="B1044" i="1" a="1"/>
  <c r="A1044" i="1"/>
  <c r="A1044" i="1" a="1"/>
  <c r="E1043" i="1"/>
  <c r="B1043" i="1"/>
  <c r="B1043" i="1" a="1"/>
  <c r="A1043" i="1" a="1"/>
  <c r="A1043" i="1" s="1"/>
  <c r="B1042" i="1" a="1"/>
  <c r="B1042" i="1" s="1"/>
  <c r="A1042" i="1" a="1"/>
  <c r="A1042" i="1" s="1"/>
  <c r="B1041" i="1" a="1"/>
  <c r="B1041" i="1" s="1"/>
  <c r="A1041" i="1" a="1"/>
  <c r="A1041" i="1" s="1"/>
  <c r="B1040" i="1"/>
  <c r="B1040" i="1" a="1"/>
  <c r="A1040" i="1" a="1"/>
  <c r="A1040" i="1" s="1"/>
  <c r="E1040" i="1" s="1"/>
  <c r="B1039" i="1"/>
  <c r="B1039" i="1" a="1"/>
  <c r="A1039" i="1" a="1"/>
  <c r="A1039" i="1" s="1"/>
  <c r="B1038" i="1" a="1"/>
  <c r="B1038" i="1" s="1"/>
  <c r="A1038" i="1" a="1"/>
  <c r="A1038" i="1" s="1"/>
  <c r="B1037" i="1"/>
  <c r="B1037" i="1" a="1"/>
  <c r="A1037" i="1" a="1"/>
  <c r="A1037" i="1" s="1"/>
  <c r="B1036" i="1"/>
  <c r="B1036" i="1" a="1"/>
  <c r="A1036" i="1" a="1"/>
  <c r="A1036" i="1" s="1"/>
  <c r="E1036" i="1" s="1"/>
  <c r="B1035" i="1"/>
  <c r="B1035" i="1" a="1"/>
  <c r="A1035" i="1" a="1"/>
  <c r="A1035" i="1" s="1"/>
  <c r="B1034" i="1" a="1"/>
  <c r="B1034" i="1" s="1"/>
  <c r="A1034" i="1" a="1"/>
  <c r="A1034" i="1" s="1"/>
  <c r="B1033" i="1"/>
  <c r="B1033" i="1" a="1"/>
  <c r="A1033" i="1" a="1"/>
  <c r="A1033" i="1" s="1"/>
  <c r="C1033" i="1" s="1"/>
  <c r="D1033" i="1" s="1"/>
  <c r="B1032" i="1" a="1"/>
  <c r="B1032" i="1" s="1"/>
  <c r="A1032" i="1" a="1"/>
  <c r="A1032" i="1" s="1"/>
  <c r="C1031" i="1"/>
  <c r="D1031" i="1" s="1"/>
  <c r="B1031" i="1"/>
  <c r="B1031" i="1" a="1"/>
  <c r="A1031" i="1" a="1"/>
  <c r="A1031" i="1" s="1"/>
  <c r="B1030" i="1"/>
  <c r="B1030" i="1" a="1"/>
  <c r="A1030" i="1" a="1"/>
  <c r="A1030" i="1" s="1"/>
  <c r="B1029" i="1" a="1"/>
  <c r="B1029" i="1" s="1"/>
  <c r="A1029" i="1" a="1"/>
  <c r="A1029" i="1" s="1"/>
  <c r="B1028" i="1" a="1"/>
  <c r="B1028" i="1" s="1"/>
  <c r="A1028" i="1"/>
  <c r="C1028" i="1" s="1"/>
  <c r="A1028" i="1" a="1"/>
  <c r="B1027" i="1"/>
  <c r="B1027" i="1" a="1"/>
  <c r="A1027" i="1" a="1"/>
  <c r="A1027" i="1" s="1"/>
  <c r="C1027" i="1" s="1"/>
  <c r="D1027" i="1" s="1"/>
  <c r="B1026" i="1" a="1"/>
  <c r="B1026" i="1" s="1"/>
  <c r="A1026" i="1" a="1"/>
  <c r="A1026" i="1" s="1"/>
  <c r="B1025" i="1"/>
  <c r="B1025" i="1" a="1"/>
  <c r="A1025" i="1" a="1"/>
  <c r="A1025" i="1" s="1"/>
  <c r="B1024" i="1"/>
  <c r="B1024" i="1" a="1"/>
  <c r="A1024" i="1" a="1"/>
  <c r="A1024" i="1" s="1"/>
  <c r="B1023" i="1"/>
  <c r="B1023" i="1" a="1"/>
  <c r="A1023" i="1" a="1"/>
  <c r="A1023" i="1" s="1"/>
  <c r="B1022" i="1"/>
  <c r="B1022" i="1" a="1"/>
  <c r="A1022" i="1" a="1"/>
  <c r="A1022" i="1" s="1"/>
  <c r="C1022" i="1" s="1"/>
  <c r="D1022" i="1" s="1"/>
  <c r="B1021" i="1" a="1"/>
  <c r="B1021" i="1" s="1"/>
  <c r="A1021" i="1" a="1"/>
  <c r="A1021" i="1" s="1"/>
  <c r="B1020" i="1"/>
  <c r="G1020" i="1" s="1"/>
  <c r="B1020" i="1" a="1"/>
  <c r="A1020" i="1" a="1"/>
  <c r="A1020" i="1" s="1"/>
  <c r="B1019" i="1"/>
  <c r="B1019" i="1" a="1"/>
  <c r="A1019" i="1" a="1"/>
  <c r="A1019" i="1" s="1"/>
  <c r="C1019" i="1" s="1"/>
  <c r="D1019" i="1" s="1"/>
  <c r="E1018" i="1"/>
  <c r="B1018" i="1"/>
  <c r="B1018" i="1" a="1"/>
  <c r="A1018" i="1" a="1"/>
  <c r="A1018" i="1" s="1"/>
  <c r="B1017" i="1"/>
  <c r="B1017" i="1" a="1"/>
  <c r="A1017" i="1" a="1"/>
  <c r="A1017" i="1" s="1"/>
  <c r="B1016" i="1"/>
  <c r="B1016" i="1" a="1"/>
  <c r="A1016" i="1" a="1"/>
  <c r="A1016" i="1" s="1"/>
  <c r="C1015" i="1"/>
  <c r="D1015" i="1" s="1"/>
  <c r="B1015" i="1"/>
  <c r="B1015" i="1" a="1"/>
  <c r="A1015" i="1" a="1"/>
  <c r="A1015" i="1" s="1"/>
  <c r="G1015" i="1" s="1"/>
  <c r="B1014" i="1"/>
  <c r="B1014" i="1" a="1"/>
  <c r="A1014" i="1" a="1"/>
  <c r="A1014" i="1" s="1"/>
  <c r="B1013" i="1"/>
  <c r="B1013" i="1" a="1"/>
  <c r="A1013" i="1" a="1"/>
  <c r="A1013" i="1" s="1"/>
  <c r="C1013" i="1" s="1"/>
  <c r="D1013" i="1" s="1"/>
  <c r="C1012" i="1"/>
  <c r="D1012" i="1" s="1"/>
  <c r="B1012" i="1" a="1"/>
  <c r="B1012" i="1" s="1"/>
  <c r="A1012" i="1" a="1"/>
  <c r="A1012" i="1" s="1"/>
  <c r="B1011" i="1"/>
  <c r="B1011" i="1" a="1"/>
  <c r="A1011" i="1" a="1"/>
  <c r="A1011" i="1" s="1"/>
  <c r="B1010" i="1" a="1"/>
  <c r="B1010" i="1" s="1"/>
  <c r="A1010" i="1" a="1"/>
  <c r="A1010" i="1" s="1"/>
  <c r="B1009" i="1"/>
  <c r="B1009" i="1" a="1"/>
  <c r="A1009" i="1" a="1"/>
  <c r="A1009" i="1" s="1"/>
  <c r="C1009" i="1" s="1"/>
  <c r="B1008" i="1"/>
  <c r="B1008" i="1" a="1"/>
  <c r="A1008" i="1" a="1"/>
  <c r="A1008" i="1" s="1"/>
  <c r="B1007" i="1"/>
  <c r="B1007" i="1" a="1"/>
  <c r="A1007" i="1" a="1"/>
  <c r="A1007" i="1" s="1"/>
  <c r="B1006" i="1"/>
  <c r="B1006" i="1" a="1"/>
  <c r="A1006" i="1" a="1"/>
  <c r="A1006" i="1" s="1"/>
  <c r="B1005" i="1"/>
  <c r="B1005" i="1" a="1"/>
  <c r="A1005" i="1" a="1"/>
  <c r="A1005" i="1" s="1"/>
  <c r="E1005" i="1" s="1"/>
  <c r="B1004" i="1"/>
  <c r="B1004" i="1" a="1"/>
  <c r="A1004" i="1" a="1"/>
  <c r="A1004" i="1" s="1"/>
  <c r="G1004" i="1" s="1"/>
  <c r="B1003" i="1"/>
  <c r="B1003" i="1" a="1"/>
  <c r="A1003" i="1" a="1"/>
  <c r="A1003" i="1" s="1"/>
  <c r="B1002" i="1"/>
  <c r="B1002" i="1" a="1"/>
  <c r="A1002" i="1" a="1"/>
  <c r="A1002" i="1" s="1"/>
  <c r="B1001" i="1" a="1"/>
  <c r="B1001" i="1" s="1"/>
  <c r="A1001" i="1" a="1"/>
  <c r="A1001" i="1" s="1"/>
  <c r="B1000" i="1"/>
  <c r="B1000" i="1" a="1"/>
  <c r="A1000" i="1"/>
  <c r="A1000" i="1" a="1"/>
  <c r="G999" i="1"/>
  <c r="B999" i="1"/>
  <c r="B999" i="1" a="1"/>
  <c r="A999" i="1" a="1"/>
  <c r="A999" i="1" s="1"/>
  <c r="B998" i="1"/>
  <c r="B998" i="1" a="1"/>
  <c r="A998" i="1" a="1"/>
  <c r="A998" i="1" s="1"/>
  <c r="B997" i="1"/>
  <c r="B997" i="1" a="1"/>
  <c r="A997" i="1" a="1"/>
  <c r="A997" i="1" s="1"/>
  <c r="B996" i="1"/>
  <c r="B996" i="1" a="1"/>
  <c r="A996" i="1" a="1"/>
  <c r="A996" i="1" s="1"/>
  <c r="B995" i="1"/>
  <c r="B995" i="1" a="1"/>
  <c r="A995" i="1" a="1"/>
  <c r="A995" i="1" s="1"/>
  <c r="C995" i="1" s="1"/>
  <c r="D995" i="1" s="1"/>
  <c r="B994" i="1"/>
  <c r="B994" i="1" a="1"/>
  <c r="A994" i="1" a="1"/>
  <c r="A994" i="1" s="1"/>
  <c r="B993" i="1" a="1"/>
  <c r="B993" i="1" s="1"/>
  <c r="A993" i="1" a="1"/>
  <c r="A993" i="1" s="1"/>
  <c r="C993" i="1" s="1"/>
  <c r="B992" i="1" a="1"/>
  <c r="B992" i="1" s="1"/>
  <c r="A992" i="1" a="1"/>
  <c r="A992" i="1" s="1"/>
  <c r="B991" i="1"/>
  <c r="B991" i="1" a="1"/>
  <c r="A991" i="1" a="1"/>
  <c r="A991" i="1" s="1"/>
  <c r="G991" i="1" s="1"/>
  <c r="B990" i="1"/>
  <c r="B990" i="1" a="1"/>
  <c r="A990" i="1" a="1"/>
  <c r="A990" i="1" s="1"/>
  <c r="C990" i="1" s="1"/>
  <c r="D990" i="1" s="1"/>
  <c r="B989" i="1"/>
  <c r="B989" i="1" a="1"/>
  <c r="A989" i="1" a="1"/>
  <c r="A989" i="1" s="1"/>
  <c r="B988" i="1"/>
  <c r="B988" i="1" a="1"/>
  <c r="A988" i="1" a="1"/>
  <c r="A988" i="1" s="1"/>
  <c r="B987" i="1"/>
  <c r="B987" i="1" a="1"/>
  <c r="A987" i="1" a="1"/>
  <c r="A987" i="1" s="1"/>
  <c r="B986" i="1" a="1"/>
  <c r="B986" i="1" s="1"/>
  <c r="A986" i="1" a="1"/>
  <c r="A986" i="1" s="1"/>
  <c r="B985" i="1" a="1"/>
  <c r="B985" i="1" s="1"/>
  <c r="A985" i="1" a="1"/>
  <c r="A985" i="1" s="1"/>
  <c r="B984" i="1"/>
  <c r="B984" i="1" a="1"/>
  <c r="A984" i="1" a="1"/>
  <c r="A984" i="1" s="1"/>
  <c r="C984" i="1" s="1"/>
  <c r="B983" i="1"/>
  <c r="B983" i="1" a="1"/>
  <c r="A983" i="1" a="1"/>
  <c r="A983" i="1" s="1"/>
  <c r="B982" i="1" a="1"/>
  <c r="B982" i="1" s="1"/>
  <c r="A982" i="1" a="1"/>
  <c r="A982" i="1" s="1"/>
  <c r="B981" i="1"/>
  <c r="B981" i="1" a="1"/>
  <c r="A981" i="1"/>
  <c r="C981" i="1" s="1"/>
  <c r="D981" i="1" s="1"/>
  <c r="A981" i="1" a="1"/>
  <c r="B980" i="1"/>
  <c r="B980" i="1" a="1"/>
  <c r="A980" i="1" a="1"/>
  <c r="A980" i="1" s="1"/>
  <c r="E980" i="1" s="1"/>
  <c r="B979" i="1"/>
  <c r="B979" i="1" a="1"/>
  <c r="A979" i="1" a="1"/>
  <c r="A979" i="1" s="1"/>
  <c r="B978" i="1" a="1"/>
  <c r="B978" i="1" s="1"/>
  <c r="A978" i="1" a="1"/>
  <c r="A978" i="1" s="1"/>
  <c r="C978" i="1" s="1"/>
  <c r="D978" i="1" s="1"/>
  <c r="B977" i="1"/>
  <c r="B977" i="1" a="1"/>
  <c r="A977" i="1" a="1"/>
  <c r="A977" i="1" s="1"/>
  <c r="B976" i="1" a="1"/>
  <c r="B976" i="1" s="1"/>
  <c r="A976" i="1" a="1"/>
  <c r="A976" i="1" s="1"/>
  <c r="G976" i="1" s="1"/>
  <c r="B975" i="1"/>
  <c r="B975" i="1" a="1"/>
  <c r="A975" i="1" a="1"/>
  <c r="A975" i="1" s="1"/>
  <c r="G975" i="1" s="1"/>
  <c r="B974" i="1" a="1"/>
  <c r="B974" i="1" s="1"/>
  <c r="A974" i="1" a="1"/>
  <c r="A974" i="1" s="1"/>
  <c r="B973" i="1"/>
  <c r="B973" i="1" a="1"/>
  <c r="A973" i="1" a="1"/>
  <c r="A973" i="1" s="1"/>
  <c r="B972" i="1" a="1"/>
  <c r="B972" i="1" s="1"/>
  <c r="A972" i="1" a="1"/>
  <c r="A972" i="1" s="1"/>
  <c r="C972" i="1" s="1"/>
  <c r="B971" i="1"/>
  <c r="B971" i="1" a="1"/>
  <c r="A971" i="1"/>
  <c r="A971" i="1" a="1"/>
  <c r="B970" i="1" a="1"/>
  <c r="B970" i="1" s="1"/>
  <c r="A970" i="1" a="1"/>
  <c r="A970" i="1" s="1"/>
  <c r="B969" i="1" a="1"/>
  <c r="B969" i="1" s="1"/>
  <c r="E969" i="1" s="1"/>
  <c r="A969" i="1"/>
  <c r="C969" i="1" s="1"/>
  <c r="D969" i="1" s="1"/>
  <c r="A969" i="1" a="1"/>
  <c r="B968" i="1" a="1"/>
  <c r="B968" i="1" s="1"/>
  <c r="A968" i="1" a="1"/>
  <c r="A968" i="1" s="1"/>
  <c r="C968" i="1" s="1"/>
  <c r="B967" i="1"/>
  <c r="B967" i="1" a="1"/>
  <c r="A967" i="1" a="1"/>
  <c r="A967" i="1" s="1"/>
  <c r="B966" i="1"/>
  <c r="B966" i="1" a="1"/>
  <c r="A966" i="1" a="1"/>
  <c r="A966" i="1" s="1"/>
  <c r="B965" i="1"/>
  <c r="B965" i="1" a="1"/>
  <c r="A965" i="1" a="1"/>
  <c r="A965" i="1" s="1"/>
  <c r="B964" i="1" a="1"/>
  <c r="B964" i="1" s="1"/>
  <c r="A964" i="1" a="1"/>
  <c r="A964" i="1" s="1"/>
  <c r="G964" i="1" s="1"/>
  <c r="B963" i="1"/>
  <c r="B963" i="1" a="1"/>
  <c r="A963" i="1" a="1"/>
  <c r="A963" i="1" s="1"/>
  <c r="B962" i="1"/>
  <c r="B962" i="1" a="1"/>
  <c r="A962" i="1" a="1"/>
  <c r="A962" i="1" s="1"/>
  <c r="B961" i="1" a="1"/>
  <c r="B961" i="1" s="1"/>
  <c r="A961" i="1" a="1"/>
  <c r="A961" i="1" s="1"/>
  <c r="C961" i="1" s="1"/>
  <c r="D961" i="1" s="1"/>
  <c r="B960" i="1"/>
  <c r="B960" i="1" a="1"/>
  <c r="A960" i="1" a="1"/>
  <c r="A960" i="1" s="1"/>
  <c r="B959" i="1"/>
  <c r="B959" i="1" a="1"/>
  <c r="A959" i="1" a="1"/>
  <c r="A959" i="1" s="1"/>
  <c r="B958" i="1" a="1"/>
  <c r="B958" i="1" s="1"/>
  <c r="A958" i="1" a="1"/>
  <c r="A958" i="1" s="1"/>
  <c r="B957" i="1"/>
  <c r="B957" i="1" a="1"/>
  <c r="A957" i="1" a="1"/>
  <c r="A957" i="1" s="1"/>
  <c r="B956" i="1"/>
  <c r="B956" i="1" a="1"/>
  <c r="A956" i="1" a="1"/>
  <c r="A956" i="1" s="1"/>
  <c r="B955" i="1"/>
  <c r="B955" i="1" a="1"/>
  <c r="A955" i="1" a="1"/>
  <c r="A955" i="1" s="1"/>
  <c r="B954" i="1"/>
  <c r="B954" i="1" a="1"/>
  <c r="A954" i="1" a="1"/>
  <c r="A954" i="1" s="1"/>
  <c r="B953" i="1" a="1"/>
  <c r="B953" i="1" s="1"/>
  <c r="E953" i="1" s="1"/>
  <c r="A953" i="1"/>
  <c r="A953" i="1" a="1"/>
  <c r="B952" i="1"/>
  <c r="B952" i="1" a="1"/>
  <c r="A952" i="1"/>
  <c r="A952" i="1" a="1"/>
  <c r="B951" i="1"/>
  <c r="B951" i="1" a="1"/>
  <c r="A951" i="1" a="1"/>
  <c r="A951" i="1" s="1"/>
  <c r="B950" i="1" a="1"/>
  <c r="B950" i="1" s="1"/>
  <c r="A950" i="1" a="1"/>
  <c r="A950" i="1" s="1"/>
  <c r="C950" i="1" s="1"/>
  <c r="B949" i="1"/>
  <c r="B949" i="1" a="1"/>
  <c r="A949" i="1" a="1"/>
  <c r="A949" i="1" s="1"/>
  <c r="B948" i="1"/>
  <c r="B948" i="1" a="1"/>
  <c r="A948" i="1" a="1"/>
  <c r="A948" i="1" s="1"/>
  <c r="E948" i="1" s="1"/>
  <c r="B947" i="1"/>
  <c r="B947" i="1" a="1"/>
  <c r="A947" i="1" a="1"/>
  <c r="A947" i="1" s="1"/>
  <c r="B946" i="1" a="1"/>
  <c r="B946" i="1" s="1"/>
  <c r="A946" i="1" a="1"/>
  <c r="A946" i="1" s="1"/>
  <c r="B945" i="1"/>
  <c r="B945" i="1" a="1"/>
  <c r="A945" i="1" a="1"/>
  <c r="A945" i="1" s="1"/>
  <c r="B944" i="1" a="1"/>
  <c r="B944" i="1" s="1"/>
  <c r="A944" i="1" a="1"/>
  <c r="A944" i="1" s="1"/>
  <c r="C944" i="1" s="1"/>
  <c r="D944" i="1" s="1"/>
  <c r="B943" i="1"/>
  <c r="B943" i="1" a="1"/>
  <c r="A943" i="1" a="1"/>
  <c r="A943" i="1" s="1"/>
  <c r="C943" i="1" s="1"/>
  <c r="D943" i="1" s="1"/>
  <c r="B942" i="1"/>
  <c r="B942" i="1" a="1"/>
  <c r="A942" i="1"/>
  <c r="A942" i="1" a="1"/>
  <c r="B941" i="1"/>
  <c r="B941" i="1" a="1"/>
  <c r="A941" i="1" a="1"/>
  <c r="A941" i="1" s="1"/>
  <c r="B940" i="1" a="1"/>
  <c r="B940" i="1" s="1"/>
  <c r="A940" i="1" a="1"/>
  <c r="A940" i="1" s="1"/>
  <c r="B939" i="1"/>
  <c r="B939" i="1" a="1"/>
  <c r="A939" i="1" a="1"/>
  <c r="A939" i="1" s="1"/>
  <c r="G939" i="1" s="1"/>
  <c r="B938" i="1" a="1"/>
  <c r="B938" i="1" s="1"/>
  <c r="A938" i="1" a="1"/>
  <c r="A938" i="1" s="1"/>
  <c r="B937" i="1" a="1"/>
  <c r="B937" i="1" s="1"/>
  <c r="A937" i="1" a="1"/>
  <c r="A937" i="1" s="1"/>
  <c r="B936" i="1" a="1"/>
  <c r="B936" i="1" s="1"/>
  <c r="A936" i="1"/>
  <c r="A936" i="1" a="1"/>
  <c r="B935" i="1"/>
  <c r="B935" i="1" a="1"/>
  <c r="A935" i="1" a="1"/>
  <c r="A935" i="1" s="1"/>
  <c r="B934" i="1" a="1"/>
  <c r="B934" i="1" s="1"/>
  <c r="A934" i="1" a="1"/>
  <c r="A934" i="1" s="1"/>
  <c r="C934" i="1" s="1"/>
  <c r="B933" i="1" a="1"/>
  <c r="B933" i="1" s="1"/>
  <c r="A933" i="1" a="1"/>
  <c r="A933" i="1" s="1"/>
  <c r="G932" i="1"/>
  <c r="B932" i="1"/>
  <c r="B932" i="1" a="1"/>
  <c r="A932" i="1" a="1"/>
  <c r="A932" i="1" s="1"/>
  <c r="B931" i="1"/>
  <c r="B931" i="1" a="1"/>
  <c r="A931" i="1" a="1"/>
  <c r="A931" i="1" s="1"/>
  <c r="G931" i="1" s="1"/>
  <c r="B930" i="1" a="1"/>
  <c r="B930" i="1" s="1"/>
  <c r="A930" i="1" a="1"/>
  <c r="A930" i="1" s="1"/>
  <c r="E930" i="1" s="1"/>
  <c r="B929" i="1"/>
  <c r="B929" i="1" a="1"/>
  <c r="A929" i="1" a="1"/>
  <c r="A929" i="1" s="1"/>
  <c r="B928" i="1"/>
  <c r="B928" i="1" a="1"/>
  <c r="A928" i="1"/>
  <c r="A928" i="1" a="1"/>
  <c r="B927" i="1"/>
  <c r="B927" i="1" a="1"/>
  <c r="A927" i="1" a="1"/>
  <c r="A927" i="1" s="1"/>
  <c r="B926" i="1" a="1"/>
  <c r="B926" i="1" s="1"/>
  <c r="A926" i="1" a="1"/>
  <c r="A926" i="1" s="1"/>
  <c r="C926" i="1" s="1"/>
  <c r="D926" i="1" s="1"/>
  <c r="B925" i="1"/>
  <c r="B925" i="1" a="1"/>
  <c r="A925" i="1" a="1"/>
  <c r="A925" i="1" s="1"/>
  <c r="B924" i="1" a="1"/>
  <c r="B924" i="1" s="1"/>
  <c r="A924" i="1" a="1"/>
  <c r="A924" i="1" s="1"/>
  <c r="B923" i="1"/>
  <c r="B923" i="1" a="1"/>
  <c r="A923" i="1"/>
  <c r="A923" i="1" a="1"/>
  <c r="B922" i="1" a="1"/>
  <c r="B922" i="1" s="1"/>
  <c r="A922" i="1" a="1"/>
  <c r="A922" i="1" s="1"/>
  <c r="B921" i="1" a="1"/>
  <c r="B921" i="1" s="1"/>
  <c r="A921" i="1"/>
  <c r="C921" i="1" s="1"/>
  <c r="A921" i="1" a="1"/>
  <c r="B920" i="1" a="1"/>
  <c r="B920" i="1" s="1"/>
  <c r="A920" i="1" a="1"/>
  <c r="A920" i="1" s="1"/>
  <c r="B919" i="1"/>
  <c r="B919" i="1" a="1"/>
  <c r="A919" i="1" a="1"/>
  <c r="A919" i="1" s="1"/>
  <c r="B918" i="1"/>
  <c r="B918" i="1" a="1"/>
  <c r="A918" i="1"/>
  <c r="A918" i="1" a="1"/>
  <c r="B917" i="1"/>
  <c r="B917" i="1" a="1"/>
  <c r="A917" i="1" a="1"/>
  <c r="A917" i="1" s="1"/>
  <c r="B916" i="1" a="1"/>
  <c r="B916" i="1" s="1"/>
  <c r="A916" i="1" a="1"/>
  <c r="A916" i="1" s="1"/>
  <c r="B915" i="1"/>
  <c r="B915" i="1" a="1"/>
  <c r="A915" i="1" a="1"/>
  <c r="A915" i="1" s="1"/>
  <c r="B914" i="1"/>
  <c r="B914" i="1" a="1"/>
  <c r="A914" i="1" a="1"/>
  <c r="A914" i="1" s="1"/>
  <c r="B913" i="1" a="1"/>
  <c r="B913" i="1" s="1"/>
  <c r="A913" i="1" a="1"/>
  <c r="A913" i="1" s="1"/>
  <c r="B912" i="1"/>
  <c r="B912" i="1" a="1"/>
  <c r="A912" i="1"/>
  <c r="E912" i="1" s="1"/>
  <c r="A912" i="1" a="1"/>
  <c r="B911" i="1"/>
  <c r="B911" i="1" a="1"/>
  <c r="A911" i="1" a="1"/>
  <c r="A911" i="1" s="1"/>
  <c r="E911" i="1" s="1"/>
  <c r="B910" i="1" a="1"/>
  <c r="B910" i="1" s="1"/>
  <c r="A910" i="1" a="1"/>
  <c r="A910" i="1" s="1"/>
  <c r="C910" i="1" s="1"/>
  <c r="B909" i="1"/>
  <c r="B909" i="1" a="1"/>
  <c r="A909" i="1"/>
  <c r="C909" i="1" s="1"/>
  <c r="D909" i="1" s="1"/>
  <c r="A909" i="1" a="1"/>
  <c r="B908" i="1"/>
  <c r="G908" i="1" s="1"/>
  <c r="B908" i="1" a="1"/>
  <c r="A908" i="1" a="1"/>
  <c r="A908" i="1" s="1"/>
  <c r="B907" i="1"/>
  <c r="B907" i="1" a="1"/>
  <c r="A907" i="1" a="1"/>
  <c r="A907" i="1" s="1"/>
  <c r="B906" i="1" a="1"/>
  <c r="B906" i="1" s="1"/>
  <c r="A906" i="1" a="1"/>
  <c r="A906" i="1" s="1"/>
  <c r="C906" i="1" s="1"/>
  <c r="D906" i="1" s="1"/>
  <c r="B905" i="1"/>
  <c r="B905" i="1" a="1"/>
  <c r="A905" i="1" a="1"/>
  <c r="A905" i="1" s="1"/>
  <c r="E905" i="1" s="1"/>
  <c r="B904" i="1"/>
  <c r="B904" i="1" a="1"/>
  <c r="A904" i="1"/>
  <c r="C904" i="1" s="1"/>
  <c r="A904" i="1" a="1"/>
  <c r="B903" i="1"/>
  <c r="B903" i="1" a="1"/>
  <c r="A903" i="1" a="1"/>
  <c r="A903" i="1" s="1"/>
  <c r="C903" i="1" s="1"/>
  <c r="D903" i="1" s="1"/>
  <c r="B902" i="1"/>
  <c r="B902" i="1" a="1"/>
  <c r="A902" i="1" a="1"/>
  <c r="A902" i="1" s="1"/>
  <c r="E902" i="1" s="1"/>
  <c r="B901" i="1"/>
  <c r="B901" i="1" a="1"/>
  <c r="A901" i="1" a="1"/>
  <c r="A901" i="1" s="1"/>
  <c r="C901" i="1" s="1"/>
  <c r="D901" i="1" s="1"/>
  <c r="B900" i="1" a="1"/>
  <c r="B900" i="1" s="1"/>
  <c r="A900" i="1" a="1"/>
  <c r="A900" i="1" s="1"/>
  <c r="B899" i="1"/>
  <c r="B899" i="1" a="1"/>
  <c r="A899" i="1"/>
  <c r="E899" i="1" s="1"/>
  <c r="A899" i="1" a="1"/>
  <c r="B898" i="1"/>
  <c r="B898" i="1" a="1"/>
  <c r="A898" i="1" a="1"/>
  <c r="A898" i="1" s="1"/>
  <c r="B897" i="1" a="1"/>
  <c r="B897" i="1" s="1"/>
  <c r="A897" i="1" a="1"/>
  <c r="A897" i="1" s="1"/>
  <c r="B896" i="1"/>
  <c r="B896" i="1" a="1"/>
  <c r="A896" i="1" a="1"/>
  <c r="A896" i="1" s="1"/>
  <c r="B895" i="1"/>
  <c r="B895" i="1" a="1"/>
  <c r="A895" i="1" a="1"/>
  <c r="A895" i="1" s="1"/>
  <c r="B894" i="1"/>
  <c r="B894" i="1" a="1"/>
  <c r="A894" i="1" a="1"/>
  <c r="A894" i="1" s="1"/>
  <c r="E894" i="1" s="1"/>
  <c r="B893" i="1" a="1"/>
  <c r="B893" i="1" s="1"/>
  <c r="A893" i="1" a="1"/>
  <c r="A893" i="1" s="1"/>
  <c r="B892" i="1"/>
  <c r="B892" i="1" a="1"/>
  <c r="A892" i="1" a="1"/>
  <c r="A892" i="1" s="1"/>
  <c r="E892" i="1" s="1"/>
  <c r="B891" i="1"/>
  <c r="B891" i="1" a="1"/>
  <c r="A891" i="1" a="1"/>
  <c r="A891" i="1" s="1"/>
  <c r="E891" i="1" s="1"/>
  <c r="B890" i="1" a="1"/>
  <c r="B890" i="1" s="1"/>
  <c r="A890" i="1" a="1"/>
  <c r="A890" i="1" s="1"/>
  <c r="B889" i="1" a="1"/>
  <c r="B889" i="1" s="1"/>
  <c r="A889" i="1" a="1"/>
  <c r="A889" i="1" s="1"/>
  <c r="B888" i="1"/>
  <c r="B888" i="1" a="1"/>
  <c r="A888" i="1" a="1"/>
  <c r="A888" i="1" s="1"/>
  <c r="G888" i="1" s="1"/>
  <c r="B887" i="1"/>
  <c r="B887" i="1" a="1"/>
  <c r="A887" i="1" a="1"/>
  <c r="A887" i="1" s="1"/>
  <c r="C887" i="1" s="1"/>
  <c r="B886" i="1" a="1"/>
  <c r="B886" i="1" s="1"/>
  <c r="A886" i="1" a="1"/>
  <c r="A886" i="1" s="1"/>
  <c r="C886" i="1" s="1"/>
  <c r="D886" i="1" s="1"/>
  <c r="B885" i="1"/>
  <c r="B885" i="1" a="1"/>
  <c r="A885" i="1" a="1"/>
  <c r="A885" i="1" s="1"/>
  <c r="B884" i="1"/>
  <c r="B884" i="1" a="1"/>
  <c r="A884" i="1" a="1"/>
  <c r="A884" i="1" s="1"/>
  <c r="B883" i="1"/>
  <c r="B883" i="1" a="1"/>
  <c r="A883" i="1" a="1"/>
  <c r="A883" i="1" s="1"/>
  <c r="C883" i="1" s="1"/>
  <c r="D883" i="1" s="1"/>
  <c r="B882" i="1" a="1"/>
  <c r="B882" i="1" s="1"/>
  <c r="A882" i="1" a="1"/>
  <c r="A882" i="1" s="1"/>
  <c r="E882" i="1" s="1"/>
  <c r="B881" i="1" a="1"/>
  <c r="B881" i="1" s="1"/>
  <c r="A881" i="1" a="1"/>
  <c r="A881" i="1" s="1"/>
  <c r="B880" i="1"/>
  <c r="B880" i="1" a="1"/>
  <c r="A880" i="1" a="1"/>
  <c r="A880" i="1" s="1"/>
  <c r="C879" i="1"/>
  <c r="D879" i="1" s="1"/>
  <c r="B879" i="1"/>
  <c r="B879" i="1" a="1"/>
  <c r="A879" i="1" a="1"/>
  <c r="A879" i="1" s="1"/>
  <c r="G879" i="1" s="1"/>
  <c r="B878" i="1"/>
  <c r="B878" i="1" a="1"/>
  <c r="A878" i="1" a="1"/>
  <c r="A878" i="1" s="1"/>
  <c r="B877" i="1"/>
  <c r="B877" i="1" a="1"/>
  <c r="A877" i="1" a="1"/>
  <c r="A877" i="1" s="1"/>
  <c r="B876" i="1" a="1"/>
  <c r="B876" i="1" s="1"/>
  <c r="A876" i="1" a="1"/>
  <c r="A876" i="1" s="1"/>
  <c r="B875" i="1"/>
  <c r="B875" i="1" a="1"/>
  <c r="A875" i="1" a="1"/>
  <c r="A875" i="1" s="1"/>
  <c r="B874" i="1" a="1"/>
  <c r="B874" i="1" s="1"/>
  <c r="G874" i="1" s="1"/>
  <c r="A874" i="1"/>
  <c r="C874" i="1" s="1"/>
  <c r="A874" i="1" a="1"/>
  <c r="B873" i="1" a="1"/>
  <c r="B873" i="1" s="1"/>
  <c r="A873" i="1" a="1"/>
  <c r="A873" i="1" s="1"/>
  <c r="B872" i="1"/>
  <c r="B872" i="1" a="1"/>
  <c r="A872" i="1" a="1"/>
  <c r="A872" i="1" s="1"/>
  <c r="B871" i="1"/>
  <c r="B871" i="1" a="1"/>
  <c r="A871" i="1"/>
  <c r="A871" i="1" a="1"/>
  <c r="B870" i="1"/>
  <c r="B870" i="1" a="1"/>
  <c r="A870" i="1" a="1"/>
  <c r="A870" i="1" s="1"/>
  <c r="G870" i="1" s="1"/>
  <c r="B869" i="1"/>
  <c r="B869" i="1" a="1"/>
  <c r="A869" i="1" a="1"/>
  <c r="A869" i="1" s="1"/>
  <c r="C869" i="1" s="1"/>
  <c r="D869" i="1" s="1"/>
  <c r="B868" i="1" a="1"/>
  <c r="B868" i="1" s="1"/>
  <c r="A868" i="1" a="1"/>
  <c r="A868" i="1" s="1"/>
  <c r="C868" i="1" s="1"/>
  <c r="B867" i="1"/>
  <c r="B867" i="1" a="1"/>
  <c r="A867" i="1"/>
  <c r="A867" i="1" a="1"/>
  <c r="G866" i="1"/>
  <c r="B866" i="1" a="1"/>
  <c r="B866" i="1" s="1"/>
  <c r="A866" i="1" a="1"/>
  <c r="A866" i="1" s="1"/>
  <c r="B865" i="1"/>
  <c r="B865" i="1" a="1"/>
  <c r="A865" i="1" a="1"/>
  <c r="A865" i="1" s="1"/>
  <c r="B864" i="1"/>
  <c r="B864" i="1" a="1"/>
  <c r="A864" i="1" a="1"/>
  <c r="A864" i="1" s="1"/>
  <c r="B863" i="1"/>
  <c r="B863" i="1" a="1"/>
  <c r="A863" i="1" a="1"/>
  <c r="A863" i="1" s="1"/>
  <c r="B862" i="1"/>
  <c r="B862" i="1" a="1"/>
  <c r="A862" i="1" a="1"/>
  <c r="A862" i="1" s="1"/>
  <c r="B861" i="1" a="1"/>
  <c r="B861" i="1" s="1"/>
  <c r="A861" i="1"/>
  <c r="A861" i="1" a="1"/>
  <c r="B860" i="1"/>
  <c r="B860" i="1" a="1"/>
  <c r="A860" i="1"/>
  <c r="A860" i="1" a="1"/>
  <c r="B859" i="1"/>
  <c r="B859" i="1" a="1"/>
  <c r="A859" i="1" a="1"/>
  <c r="A859" i="1" s="1"/>
  <c r="E859" i="1" s="1"/>
  <c r="B858" i="1"/>
  <c r="B858" i="1" a="1"/>
  <c r="A858" i="1"/>
  <c r="A858" i="1" a="1"/>
  <c r="B857" i="1"/>
  <c r="B857" i="1" a="1"/>
  <c r="A857" i="1" a="1"/>
  <c r="A857" i="1" s="1"/>
  <c r="E857" i="1" s="1"/>
  <c r="B856" i="1" a="1"/>
  <c r="B856" i="1" s="1"/>
  <c r="A856" i="1"/>
  <c r="C856" i="1" s="1"/>
  <c r="A856" i="1" a="1"/>
  <c r="B855" i="1"/>
  <c r="B855" i="1" a="1"/>
  <c r="A855" i="1" a="1"/>
  <c r="A855" i="1" s="1"/>
  <c r="B854" i="1"/>
  <c r="B854" i="1" a="1"/>
  <c r="A854" i="1" a="1"/>
  <c r="A854" i="1" s="1"/>
  <c r="B853" i="1"/>
  <c r="B853" i="1" a="1"/>
  <c r="A853" i="1" a="1"/>
  <c r="A853" i="1" s="1"/>
  <c r="C853" i="1" s="1"/>
  <c r="D853" i="1" s="1"/>
  <c r="B852" i="1"/>
  <c r="B852" i="1" a="1"/>
  <c r="A852" i="1" a="1"/>
  <c r="A852" i="1" s="1"/>
  <c r="E852" i="1" s="1"/>
  <c r="B851" i="1"/>
  <c r="B851" i="1" a="1"/>
  <c r="A851" i="1"/>
  <c r="C851" i="1" s="1"/>
  <c r="D851" i="1" s="1"/>
  <c r="A851" i="1" a="1"/>
  <c r="B850" i="1" a="1"/>
  <c r="B850" i="1" s="1"/>
  <c r="A850" i="1"/>
  <c r="A850" i="1" a="1"/>
  <c r="B849" i="1"/>
  <c r="B849" i="1" a="1"/>
  <c r="A849" i="1" a="1"/>
  <c r="A849" i="1" s="1"/>
  <c r="E848" i="1"/>
  <c r="B848" i="1"/>
  <c r="B848" i="1" a="1"/>
  <c r="A848" i="1" a="1"/>
  <c r="A848" i="1" s="1"/>
  <c r="G848" i="1" s="1"/>
  <c r="B847" i="1"/>
  <c r="B847" i="1" a="1"/>
  <c r="A847" i="1"/>
  <c r="A847" i="1" a="1"/>
  <c r="B846" i="1" a="1"/>
  <c r="B846" i="1" s="1"/>
  <c r="A846" i="1" a="1"/>
  <c r="A846" i="1" s="1"/>
  <c r="E846" i="1" s="1"/>
  <c r="B845" i="1"/>
  <c r="B845" i="1" a="1"/>
  <c r="A845" i="1" a="1"/>
  <c r="A845" i="1" s="1"/>
  <c r="B844" i="1"/>
  <c r="B844" i="1" a="1"/>
  <c r="A844" i="1" a="1"/>
  <c r="A844" i="1" s="1"/>
  <c r="C843" i="1"/>
  <c r="D843" i="1" s="1"/>
  <c r="B843" i="1"/>
  <c r="B843" i="1" a="1"/>
  <c r="A843" i="1" a="1"/>
  <c r="A843" i="1" s="1"/>
  <c r="B842" i="1" a="1"/>
  <c r="B842" i="1" s="1"/>
  <c r="A842" i="1" a="1"/>
  <c r="A842" i="1" s="1"/>
  <c r="B841" i="1"/>
  <c r="B841" i="1" a="1"/>
  <c r="A841" i="1" a="1"/>
  <c r="A841" i="1" s="1"/>
  <c r="B840" i="1"/>
  <c r="B840" i="1" a="1"/>
  <c r="A840" i="1" a="1"/>
  <c r="A840" i="1" s="1"/>
  <c r="E840" i="1" s="1"/>
  <c r="B839" i="1"/>
  <c r="B839" i="1" a="1"/>
  <c r="A839" i="1" a="1"/>
  <c r="A839" i="1" s="1"/>
  <c r="E839" i="1" s="1"/>
  <c r="B838" i="1"/>
  <c r="B838" i="1" a="1"/>
  <c r="A838" i="1" a="1"/>
  <c r="A838" i="1" s="1"/>
  <c r="B837" i="1"/>
  <c r="B837" i="1" a="1"/>
  <c r="A837" i="1" a="1"/>
  <c r="A837" i="1" s="1"/>
  <c r="C837" i="1" s="1"/>
  <c r="D837" i="1" s="1"/>
  <c r="B836" i="1"/>
  <c r="B836" i="1" a="1"/>
  <c r="A836" i="1" a="1"/>
  <c r="A836" i="1" s="1"/>
  <c r="B835" i="1"/>
  <c r="B835" i="1" a="1"/>
  <c r="A835" i="1" a="1"/>
  <c r="A835" i="1" s="1"/>
  <c r="B834" i="1" a="1"/>
  <c r="B834" i="1" s="1"/>
  <c r="A834" i="1" a="1"/>
  <c r="A834" i="1" s="1"/>
  <c r="C834" i="1" s="1"/>
  <c r="B833" i="1"/>
  <c r="B833" i="1" a="1"/>
  <c r="A833" i="1" a="1"/>
  <c r="A833" i="1" s="1"/>
  <c r="B832" i="1"/>
  <c r="B832" i="1" a="1"/>
  <c r="A832" i="1" a="1"/>
  <c r="A832" i="1" s="1"/>
  <c r="B831" i="1"/>
  <c r="B831" i="1" a="1"/>
  <c r="A831" i="1" a="1"/>
  <c r="A831" i="1" s="1"/>
  <c r="B830" i="1"/>
  <c r="B830" i="1" a="1"/>
  <c r="A830" i="1" a="1"/>
  <c r="A830" i="1" s="1"/>
  <c r="B829" i="1"/>
  <c r="B829" i="1" a="1"/>
  <c r="A829" i="1"/>
  <c r="A829" i="1" a="1"/>
  <c r="B828" i="1"/>
  <c r="B828" i="1" a="1"/>
  <c r="A828" i="1" a="1"/>
  <c r="A828" i="1" s="1"/>
  <c r="B827" i="1"/>
  <c r="B827" i="1" a="1"/>
  <c r="A827" i="1" a="1"/>
  <c r="A827" i="1" s="1"/>
  <c r="E827" i="1" s="1"/>
  <c r="B826" i="1" a="1"/>
  <c r="B826" i="1" s="1"/>
  <c r="A826" i="1" a="1"/>
  <c r="A826" i="1" s="1"/>
  <c r="C826" i="1" s="1"/>
  <c r="D826" i="1" s="1"/>
  <c r="B825" i="1"/>
  <c r="B825" i="1" a="1"/>
  <c r="A825" i="1" a="1"/>
  <c r="A825" i="1" s="1"/>
  <c r="C825" i="1" s="1"/>
  <c r="D825" i="1" s="1"/>
  <c r="B824" i="1"/>
  <c r="B824" i="1" a="1"/>
  <c r="A824" i="1" a="1"/>
  <c r="A824" i="1" s="1"/>
  <c r="B823" i="1"/>
  <c r="B823" i="1" a="1"/>
  <c r="A823" i="1" a="1"/>
  <c r="A823" i="1" s="1"/>
  <c r="E823" i="1" s="1"/>
  <c r="B822" i="1"/>
  <c r="B822" i="1" a="1"/>
  <c r="A822" i="1" a="1"/>
  <c r="A822" i="1" s="1"/>
  <c r="B821" i="1"/>
  <c r="B821" i="1" a="1"/>
  <c r="A821" i="1" a="1"/>
  <c r="A821" i="1" s="1"/>
  <c r="B820" i="1"/>
  <c r="B820" i="1" a="1"/>
  <c r="A820" i="1" a="1"/>
  <c r="A820" i="1" s="1"/>
  <c r="B819" i="1"/>
  <c r="B819" i="1" a="1"/>
  <c r="A819" i="1" a="1"/>
  <c r="A819" i="1" s="1"/>
  <c r="B818" i="1" a="1"/>
  <c r="B818" i="1" s="1"/>
  <c r="A818" i="1" a="1"/>
  <c r="A818" i="1" s="1"/>
  <c r="B817" i="1"/>
  <c r="B817" i="1" a="1"/>
  <c r="A817" i="1" a="1"/>
  <c r="A817" i="1" s="1"/>
  <c r="B816" i="1"/>
  <c r="B816" i="1" a="1"/>
  <c r="A816" i="1" a="1"/>
  <c r="A816" i="1" s="1"/>
  <c r="B815" i="1"/>
  <c r="B815" i="1" a="1"/>
  <c r="A815" i="1"/>
  <c r="A815" i="1" a="1"/>
  <c r="B814" i="1"/>
  <c r="B814" i="1" a="1"/>
  <c r="A814" i="1" a="1"/>
  <c r="A814" i="1" s="1"/>
  <c r="B813" i="1" a="1"/>
  <c r="B813" i="1" s="1"/>
  <c r="A813" i="1" a="1"/>
  <c r="A813" i="1" s="1"/>
  <c r="B812" i="1"/>
  <c r="B812" i="1" a="1"/>
  <c r="A812" i="1" a="1"/>
  <c r="A812" i="1" s="1"/>
  <c r="G812" i="1" s="1"/>
  <c r="B811" i="1"/>
  <c r="B811" i="1" a="1"/>
  <c r="A811" i="1"/>
  <c r="C811" i="1" s="1"/>
  <c r="D811" i="1" s="1"/>
  <c r="A811" i="1" a="1"/>
  <c r="B810" i="1"/>
  <c r="B810" i="1" a="1"/>
  <c r="A810" i="1" a="1"/>
  <c r="A810" i="1" s="1"/>
  <c r="B809" i="1"/>
  <c r="B809" i="1" a="1"/>
  <c r="A809" i="1" a="1"/>
  <c r="A809" i="1" s="1"/>
  <c r="B808" i="1"/>
  <c r="B808" i="1" a="1"/>
  <c r="A808" i="1" a="1"/>
  <c r="A808" i="1" s="1"/>
  <c r="G808" i="1" s="1"/>
  <c r="B807" i="1"/>
  <c r="B807" i="1" a="1"/>
  <c r="A807" i="1" a="1"/>
  <c r="A807" i="1" s="1"/>
  <c r="B806" i="1"/>
  <c r="B806" i="1" a="1"/>
  <c r="A806" i="1" a="1"/>
  <c r="A806" i="1" s="1"/>
  <c r="B805" i="1"/>
  <c r="B805" i="1" a="1"/>
  <c r="A805" i="1" a="1"/>
  <c r="A805" i="1" s="1"/>
  <c r="B804" i="1"/>
  <c r="B804" i="1" a="1"/>
  <c r="A804" i="1"/>
  <c r="A804" i="1" a="1"/>
  <c r="B803" i="1"/>
  <c r="G803" i="1" s="1"/>
  <c r="B803" i="1" a="1"/>
  <c r="A803" i="1" a="1"/>
  <c r="A803" i="1" s="1"/>
  <c r="C803" i="1" s="1"/>
  <c r="D803" i="1" s="1"/>
  <c r="D802" i="1"/>
  <c r="B802" i="1" a="1"/>
  <c r="B802" i="1" s="1"/>
  <c r="A802" i="1" a="1"/>
  <c r="A802" i="1" s="1"/>
  <c r="C802" i="1" s="1"/>
  <c r="B801" i="1"/>
  <c r="B801" i="1" a="1"/>
  <c r="A801" i="1" a="1"/>
  <c r="A801" i="1" s="1"/>
  <c r="C801" i="1" s="1"/>
  <c r="B800" i="1"/>
  <c r="B800" i="1" a="1"/>
  <c r="A800" i="1" a="1"/>
  <c r="A800" i="1" s="1"/>
  <c r="E800" i="1" s="1"/>
  <c r="B799" i="1"/>
  <c r="B799" i="1" a="1"/>
  <c r="A799" i="1" a="1"/>
  <c r="A799" i="1" s="1"/>
  <c r="B798" i="1"/>
  <c r="B798" i="1" a="1"/>
  <c r="A798" i="1" a="1"/>
  <c r="A798" i="1" s="1"/>
  <c r="B797" i="1"/>
  <c r="B797" i="1" a="1"/>
  <c r="A797" i="1" a="1"/>
  <c r="A797" i="1" s="1"/>
  <c r="B796" i="1"/>
  <c r="B796" i="1" a="1"/>
  <c r="A796" i="1" a="1"/>
  <c r="A796" i="1" s="1"/>
  <c r="C796" i="1" s="1"/>
  <c r="D796" i="1" s="1"/>
  <c r="B795" i="1"/>
  <c r="B795" i="1" a="1"/>
  <c r="A795" i="1" a="1"/>
  <c r="A795" i="1" s="1"/>
  <c r="B794" i="1" a="1"/>
  <c r="B794" i="1" s="1"/>
  <c r="A794" i="1" a="1"/>
  <c r="A794" i="1" s="1"/>
  <c r="B793" i="1" a="1"/>
  <c r="B793" i="1" s="1"/>
  <c r="A793" i="1"/>
  <c r="A793" i="1" a="1"/>
  <c r="B792" i="1"/>
  <c r="B792" i="1" a="1"/>
  <c r="A792" i="1" a="1"/>
  <c r="A792" i="1" s="1"/>
  <c r="E792" i="1" s="1"/>
  <c r="B791" i="1"/>
  <c r="B791" i="1" a="1"/>
  <c r="A791" i="1" a="1"/>
  <c r="A791" i="1" s="1"/>
  <c r="B790" i="1"/>
  <c r="B790" i="1" a="1"/>
  <c r="A790" i="1" a="1"/>
  <c r="A790" i="1" s="1"/>
  <c r="B789" i="1" a="1"/>
  <c r="B789" i="1" s="1"/>
  <c r="A789" i="1" a="1"/>
  <c r="A789" i="1" s="1"/>
  <c r="B788" i="1"/>
  <c r="B788" i="1" a="1"/>
  <c r="A788" i="1" a="1"/>
  <c r="A788" i="1" s="1"/>
  <c r="B787" i="1"/>
  <c r="B787" i="1" a="1"/>
  <c r="A787" i="1" a="1"/>
  <c r="A787" i="1" s="1"/>
  <c r="G787" i="1" s="1"/>
  <c r="B786" i="1"/>
  <c r="B786" i="1" a="1"/>
  <c r="A786" i="1" a="1"/>
  <c r="A786" i="1" s="1"/>
  <c r="B785" i="1" a="1"/>
  <c r="B785" i="1" s="1"/>
  <c r="A785" i="1" a="1"/>
  <c r="A785" i="1" s="1"/>
  <c r="B784" i="1"/>
  <c r="B784" i="1" a="1"/>
  <c r="A784" i="1" a="1"/>
  <c r="A784" i="1" s="1"/>
  <c r="B783" i="1"/>
  <c r="B783" i="1" a="1"/>
  <c r="A783" i="1" a="1"/>
  <c r="A783" i="1" s="1"/>
  <c r="C783" i="1" s="1"/>
  <c r="B782" i="1"/>
  <c r="B782" i="1" a="1"/>
  <c r="A782" i="1" a="1"/>
  <c r="A782" i="1" s="1"/>
  <c r="C781" i="1"/>
  <c r="D781" i="1" s="1"/>
  <c r="B781" i="1"/>
  <c r="B781" i="1" a="1"/>
  <c r="A781" i="1" a="1"/>
  <c r="A781" i="1" s="1"/>
  <c r="B780" i="1"/>
  <c r="B780" i="1" a="1"/>
  <c r="A780" i="1" a="1"/>
  <c r="A780" i="1" s="1"/>
  <c r="B779" i="1"/>
  <c r="B779" i="1" a="1"/>
  <c r="A779" i="1" a="1"/>
  <c r="A779" i="1" s="1"/>
  <c r="G779" i="1" s="1"/>
  <c r="B778" i="1"/>
  <c r="E778" i="1" s="1"/>
  <c r="B778" i="1" a="1"/>
  <c r="A778" i="1" a="1"/>
  <c r="A778" i="1" s="1"/>
  <c r="C778" i="1" s="1"/>
  <c r="B777" i="1"/>
  <c r="B777" i="1" a="1"/>
  <c r="A777" i="1" a="1"/>
  <c r="A777" i="1" s="1"/>
  <c r="B776" i="1"/>
  <c r="B776" i="1" a="1"/>
  <c r="A776" i="1" a="1"/>
  <c r="A776" i="1" s="1"/>
  <c r="B775" i="1"/>
  <c r="B775" i="1" a="1"/>
  <c r="A775" i="1" a="1"/>
  <c r="A775" i="1" s="1"/>
  <c r="B774" i="1"/>
  <c r="B774" i="1" a="1"/>
  <c r="A774" i="1" a="1"/>
  <c r="A774" i="1" s="1"/>
  <c r="B773" i="1" a="1"/>
  <c r="B773" i="1" s="1"/>
  <c r="A773" i="1" a="1"/>
  <c r="A773" i="1" s="1"/>
  <c r="B772" i="1"/>
  <c r="B772" i="1" a="1"/>
  <c r="A772" i="1" a="1"/>
  <c r="A772" i="1" s="1"/>
  <c r="B771" i="1"/>
  <c r="B771" i="1" a="1"/>
  <c r="A771" i="1" a="1"/>
  <c r="A771" i="1" s="1"/>
  <c r="B770" i="1" a="1"/>
  <c r="B770" i="1" s="1"/>
  <c r="A770" i="1" a="1"/>
  <c r="A770" i="1" s="1"/>
  <c r="B769" i="1" a="1"/>
  <c r="B769" i="1" s="1"/>
  <c r="A769" i="1" a="1"/>
  <c r="A769" i="1" s="1"/>
  <c r="C769" i="1" s="1"/>
  <c r="D769" i="1" s="1"/>
  <c r="B768" i="1"/>
  <c r="B768" i="1" a="1"/>
  <c r="A768" i="1" a="1"/>
  <c r="A768" i="1" s="1"/>
  <c r="E768" i="1" s="1"/>
  <c r="B767" i="1"/>
  <c r="B767" i="1" a="1"/>
  <c r="A767" i="1" a="1"/>
  <c r="A767" i="1" s="1"/>
  <c r="B766" i="1" a="1"/>
  <c r="B766" i="1" s="1"/>
  <c r="A766" i="1"/>
  <c r="A766" i="1" a="1"/>
  <c r="C765" i="1"/>
  <c r="D765" i="1" s="1"/>
  <c r="F765" i="1" s="1"/>
  <c r="B765" i="1" a="1"/>
  <c r="B765" i="1" s="1"/>
  <c r="A765" i="1" a="1"/>
  <c r="A765" i="1" s="1"/>
  <c r="E765" i="1" s="1"/>
  <c r="B764" i="1"/>
  <c r="B764" i="1" a="1"/>
  <c r="A764" i="1" a="1"/>
  <c r="A764" i="1" s="1"/>
  <c r="B763" i="1"/>
  <c r="B763" i="1" a="1"/>
  <c r="A763" i="1" a="1"/>
  <c r="A763" i="1" s="1"/>
  <c r="B762" i="1"/>
  <c r="B762" i="1" a="1"/>
  <c r="A762" i="1"/>
  <c r="A762" i="1" a="1"/>
  <c r="B761" i="1" a="1"/>
  <c r="B761" i="1" s="1"/>
  <c r="A761" i="1" a="1"/>
  <c r="A761" i="1" s="1"/>
  <c r="C760" i="1"/>
  <c r="D760" i="1" s="1"/>
  <c r="F760" i="1" s="1"/>
  <c r="B760" i="1"/>
  <c r="B760" i="1" a="1"/>
  <c r="A760" i="1" a="1"/>
  <c r="A760" i="1" s="1"/>
  <c r="E760" i="1" s="1"/>
  <c r="B759" i="1"/>
  <c r="B759" i="1" a="1"/>
  <c r="A759" i="1" a="1"/>
  <c r="A759" i="1" s="1"/>
  <c r="C759" i="1" s="1"/>
  <c r="D759" i="1" s="1"/>
  <c r="B758" i="1"/>
  <c r="B758" i="1" a="1"/>
  <c r="A758" i="1" a="1"/>
  <c r="A758" i="1" s="1"/>
  <c r="B757" i="1" a="1"/>
  <c r="B757" i="1" s="1"/>
  <c r="A757" i="1" a="1"/>
  <c r="A757" i="1" s="1"/>
  <c r="C757" i="1" s="1"/>
  <c r="D757" i="1" s="1"/>
  <c r="B756" i="1"/>
  <c r="B756" i="1" a="1"/>
  <c r="A756" i="1" a="1"/>
  <c r="A756" i="1" s="1"/>
  <c r="B755" i="1"/>
  <c r="B755" i="1" a="1"/>
  <c r="A755" i="1" a="1"/>
  <c r="A755" i="1" s="1"/>
  <c r="E754" i="1"/>
  <c r="B754" i="1"/>
  <c r="B754" i="1" a="1"/>
  <c r="A754" i="1" a="1"/>
  <c r="A754" i="1" s="1"/>
  <c r="B753" i="1" a="1"/>
  <c r="B753" i="1" s="1"/>
  <c r="A753" i="1" a="1"/>
  <c r="A753" i="1" s="1"/>
  <c r="B752" i="1" a="1"/>
  <c r="B752" i="1" s="1"/>
  <c r="A752" i="1" a="1"/>
  <c r="A752" i="1" s="1"/>
  <c r="E752" i="1" s="1"/>
  <c r="B751" i="1"/>
  <c r="B751" i="1" a="1"/>
  <c r="A751" i="1"/>
  <c r="A751" i="1" a="1"/>
  <c r="B750" i="1" a="1"/>
  <c r="B750" i="1" s="1"/>
  <c r="A750" i="1" a="1"/>
  <c r="A750" i="1" s="1"/>
  <c r="B749" i="1"/>
  <c r="B749" i="1" a="1"/>
  <c r="A749" i="1" a="1"/>
  <c r="A749" i="1" s="1"/>
  <c r="B748" i="1" a="1"/>
  <c r="B748" i="1" s="1"/>
  <c r="A748" i="1" a="1"/>
  <c r="A748" i="1" s="1"/>
  <c r="B747" i="1"/>
  <c r="B747" i="1" a="1"/>
  <c r="A747" i="1" a="1"/>
  <c r="A747" i="1" s="1"/>
  <c r="B746" i="1"/>
  <c r="B746" i="1" a="1"/>
  <c r="A746" i="1" a="1"/>
  <c r="A746" i="1" s="1"/>
  <c r="C746" i="1" s="1"/>
  <c r="B745" i="1"/>
  <c r="B745" i="1" a="1"/>
  <c r="A745" i="1"/>
  <c r="C745" i="1" s="1"/>
  <c r="A745" i="1" a="1"/>
  <c r="B744" i="1"/>
  <c r="B744" i="1" a="1"/>
  <c r="A744" i="1" a="1"/>
  <c r="A744" i="1" s="1"/>
  <c r="B743" i="1"/>
  <c r="B743" i="1" a="1"/>
  <c r="A743" i="1" a="1"/>
  <c r="A743" i="1" s="1"/>
  <c r="E743" i="1" s="1"/>
  <c r="B742" i="1"/>
  <c r="B742" i="1" a="1"/>
  <c r="A742" i="1" a="1"/>
  <c r="A742" i="1" s="1"/>
  <c r="B741" i="1"/>
  <c r="B741" i="1" a="1"/>
  <c r="A741" i="1" a="1"/>
  <c r="A741" i="1" s="1"/>
  <c r="B740" i="1" a="1"/>
  <c r="B740" i="1" s="1"/>
  <c r="A740" i="1"/>
  <c r="A740" i="1" a="1"/>
  <c r="B739" i="1"/>
  <c r="B739" i="1" a="1"/>
  <c r="A739" i="1" a="1"/>
  <c r="A739" i="1" s="1"/>
  <c r="B738" i="1"/>
  <c r="B738" i="1" a="1"/>
  <c r="A738" i="1" a="1"/>
  <c r="A738" i="1" s="1"/>
  <c r="G738" i="1" s="1"/>
  <c r="B737" i="1"/>
  <c r="B737" i="1" a="1"/>
  <c r="A737" i="1" a="1"/>
  <c r="A737" i="1" s="1"/>
  <c r="E737" i="1" s="1"/>
  <c r="E736" i="1"/>
  <c r="B736" i="1" a="1"/>
  <c r="B736" i="1" s="1"/>
  <c r="A736" i="1" a="1"/>
  <c r="A736" i="1" s="1"/>
  <c r="B735" i="1"/>
  <c r="B735" i="1" a="1"/>
  <c r="A735" i="1" a="1"/>
  <c r="A735" i="1" s="1"/>
  <c r="B734" i="1"/>
  <c r="B734" i="1" a="1"/>
  <c r="A734" i="1"/>
  <c r="G734" i="1" s="1"/>
  <c r="A734" i="1" a="1"/>
  <c r="B733" i="1" a="1"/>
  <c r="B733" i="1" s="1"/>
  <c r="A733" i="1" a="1"/>
  <c r="A733" i="1" s="1"/>
  <c r="C733" i="1" s="1"/>
  <c r="B732" i="1"/>
  <c r="B732" i="1" a="1"/>
  <c r="A732" i="1" a="1"/>
  <c r="A732" i="1" s="1"/>
  <c r="B731" i="1"/>
  <c r="B731" i="1" a="1"/>
  <c r="A731" i="1" a="1"/>
  <c r="A731" i="1" s="1"/>
  <c r="B730" i="1"/>
  <c r="B730" i="1" a="1"/>
  <c r="A730" i="1" a="1"/>
  <c r="A730" i="1" s="1"/>
  <c r="B729" i="1"/>
  <c r="B729" i="1" a="1"/>
  <c r="A729" i="1"/>
  <c r="E729" i="1" s="1"/>
  <c r="A729" i="1" a="1"/>
  <c r="B728" i="1" a="1"/>
  <c r="B728" i="1" s="1"/>
  <c r="A728" i="1"/>
  <c r="E728" i="1" s="1"/>
  <c r="A728" i="1" a="1"/>
  <c r="B727" i="1"/>
  <c r="B727" i="1" a="1"/>
  <c r="A727" i="1" a="1"/>
  <c r="A727" i="1" s="1"/>
  <c r="B726" i="1"/>
  <c r="B726" i="1" a="1"/>
  <c r="A726" i="1" a="1"/>
  <c r="A726" i="1" s="1"/>
  <c r="B725" i="1"/>
  <c r="B725" i="1" a="1"/>
  <c r="A725" i="1" a="1"/>
  <c r="A725" i="1" s="1"/>
  <c r="B724" i="1" a="1"/>
  <c r="B724" i="1" s="1"/>
  <c r="A724" i="1" a="1"/>
  <c r="A724" i="1" s="1"/>
  <c r="C724" i="1" s="1"/>
  <c r="C723" i="1"/>
  <c r="D723" i="1" s="1"/>
  <c r="B723" i="1"/>
  <c r="B723" i="1" a="1"/>
  <c r="A723" i="1" a="1"/>
  <c r="A723" i="1" s="1"/>
  <c r="B722" i="1"/>
  <c r="B722" i="1" a="1"/>
  <c r="A722" i="1" a="1"/>
  <c r="A722" i="1" s="1"/>
  <c r="C722" i="1" s="1"/>
  <c r="B721" i="1" a="1"/>
  <c r="B721" i="1" s="1"/>
  <c r="A721" i="1" a="1"/>
  <c r="A721" i="1" s="1"/>
  <c r="C721" i="1" s="1"/>
  <c r="B720" i="1"/>
  <c r="B720" i="1" a="1"/>
  <c r="A720" i="1" a="1"/>
  <c r="A720" i="1" s="1"/>
  <c r="B719" i="1"/>
  <c r="B719" i="1" a="1"/>
  <c r="A719" i="1" a="1"/>
  <c r="A719" i="1" s="1"/>
  <c r="C719" i="1" s="1"/>
  <c r="D719" i="1" s="1"/>
  <c r="B718" i="1"/>
  <c r="B718" i="1" a="1"/>
  <c r="A718" i="1" a="1"/>
  <c r="A718" i="1" s="1"/>
  <c r="B717" i="1" a="1"/>
  <c r="B717" i="1" s="1"/>
  <c r="A717" i="1" a="1"/>
  <c r="A717" i="1" s="1"/>
  <c r="C716" i="1"/>
  <c r="B716" i="1" a="1"/>
  <c r="B716" i="1" s="1"/>
  <c r="A716" i="1" a="1"/>
  <c r="A716" i="1" s="1"/>
  <c r="B715" i="1"/>
  <c r="B715" i="1" a="1"/>
  <c r="A715" i="1" a="1"/>
  <c r="A715" i="1" s="1"/>
  <c r="E715" i="1" s="1"/>
  <c r="B714" i="1" a="1"/>
  <c r="B714" i="1" s="1"/>
  <c r="A714" i="1" a="1"/>
  <c r="A714" i="1" s="1"/>
  <c r="B713" i="1"/>
  <c r="B713" i="1" a="1"/>
  <c r="A713" i="1"/>
  <c r="A713" i="1" a="1"/>
  <c r="B712" i="1" a="1"/>
  <c r="B712" i="1" s="1"/>
  <c r="A712" i="1" a="1"/>
  <c r="A712" i="1" s="1"/>
  <c r="B711" i="1"/>
  <c r="B711" i="1" a="1"/>
  <c r="A711" i="1" a="1"/>
  <c r="A711" i="1" s="1"/>
  <c r="G711" i="1" s="1"/>
  <c r="B710" i="1"/>
  <c r="B710" i="1" a="1"/>
  <c r="A710" i="1" a="1"/>
  <c r="A710" i="1" s="1"/>
  <c r="C710" i="1" s="1"/>
  <c r="B709" i="1" a="1"/>
  <c r="B709" i="1" s="1"/>
  <c r="A709" i="1" a="1"/>
  <c r="A709" i="1" s="1"/>
  <c r="C709" i="1" s="1"/>
  <c r="D709" i="1" s="1"/>
  <c r="B708" i="1"/>
  <c r="B708" i="1" a="1"/>
  <c r="A708" i="1" a="1"/>
  <c r="A708" i="1" s="1"/>
  <c r="C708" i="1" s="1"/>
  <c r="D708" i="1" s="1"/>
  <c r="B707" i="1"/>
  <c r="B707" i="1" a="1"/>
  <c r="A707" i="1" a="1"/>
  <c r="A707" i="1" s="1"/>
  <c r="B706" i="1"/>
  <c r="B706" i="1" a="1"/>
  <c r="A706" i="1" a="1"/>
  <c r="A706" i="1" s="1"/>
  <c r="B705" i="1"/>
  <c r="B705" i="1" a="1"/>
  <c r="A705" i="1" a="1"/>
  <c r="A705" i="1" s="1"/>
  <c r="E705" i="1" s="1"/>
  <c r="B704" i="1" a="1"/>
  <c r="B704" i="1" s="1"/>
  <c r="A704" i="1" a="1"/>
  <c r="A704" i="1" s="1"/>
  <c r="C704" i="1" s="1"/>
  <c r="D704" i="1" s="1"/>
  <c r="B703" i="1"/>
  <c r="B703" i="1" a="1"/>
  <c r="A703" i="1"/>
  <c r="A703" i="1" a="1"/>
  <c r="B702" i="1"/>
  <c r="B702" i="1" a="1"/>
  <c r="A702" i="1"/>
  <c r="G702" i="1" s="1"/>
  <c r="A702" i="1" a="1"/>
  <c r="B701" i="1"/>
  <c r="B701" i="1" a="1"/>
  <c r="A701" i="1" a="1"/>
  <c r="A701" i="1" s="1"/>
  <c r="B700" i="1" a="1"/>
  <c r="B700" i="1" s="1"/>
  <c r="A700" i="1"/>
  <c r="C700" i="1" s="1"/>
  <c r="A700" i="1" a="1"/>
  <c r="E699" i="1"/>
  <c r="C699" i="1"/>
  <c r="D699" i="1" s="1"/>
  <c r="B699" i="1"/>
  <c r="B699" i="1" a="1"/>
  <c r="A699" i="1" a="1"/>
  <c r="A699" i="1" s="1"/>
  <c r="G699" i="1" s="1"/>
  <c r="B698" i="1"/>
  <c r="B698" i="1" a="1"/>
  <c r="A698" i="1" a="1"/>
  <c r="A698" i="1" s="1"/>
  <c r="B697" i="1"/>
  <c r="B697" i="1" a="1"/>
  <c r="A697" i="1" a="1"/>
  <c r="A697" i="1" s="1"/>
  <c r="C697" i="1" s="1"/>
  <c r="D697" i="1" s="1"/>
  <c r="B696" i="1" a="1"/>
  <c r="B696" i="1" s="1"/>
  <c r="A696" i="1" a="1"/>
  <c r="A696" i="1" s="1"/>
  <c r="E695" i="1"/>
  <c r="B695" i="1" a="1"/>
  <c r="B695" i="1" s="1"/>
  <c r="G695" i="1" s="1"/>
  <c r="A695" i="1" a="1"/>
  <c r="A695" i="1" s="1"/>
  <c r="C695" i="1" s="1"/>
  <c r="B694" i="1"/>
  <c r="B694" i="1" a="1"/>
  <c r="A694" i="1"/>
  <c r="A694" i="1" a="1"/>
  <c r="B693" i="1"/>
  <c r="B693" i="1" a="1"/>
  <c r="A693" i="1" a="1"/>
  <c r="A693" i="1" s="1"/>
  <c r="E693" i="1" s="1"/>
  <c r="B692" i="1" a="1"/>
  <c r="B692" i="1" s="1"/>
  <c r="A692" i="1" a="1"/>
  <c r="A692" i="1" s="1"/>
  <c r="B691" i="1" a="1"/>
  <c r="B691" i="1" s="1"/>
  <c r="A691" i="1" a="1"/>
  <c r="A691" i="1" s="1"/>
  <c r="B690" i="1"/>
  <c r="B690" i="1" a="1"/>
  <c r="A690" i="1" a="1"/>
  <c r="A690" i="1" s="1"/>
  <c r="G690" i="1" s="1"/>
  <c r="D689" i="1"/>
  <c r="B689" i="1"/>
  <c r="B689" i="1" a="1"/>
  <c r="A689" i="1" a="1"/>
  <c r="A689" i="1" s="1"/>
  <c r="C689" i="1" s="1"/>
  <c r="B688" i="1" a="1"/>
  <c r="B688" i="1" s="1"/>
  <c r="A688" i="1" a="1"/>
  <c r="A688" i="1" s="1"/>
  <c r="G688" i="1" s="1"/>
  <c r="B687" i="1" a="1"/>
  <c r="B687" i="1" s="1"/>
  <c r="A687" i="1" a="1"/>
  <c r="A687" i="1" s="1"/>
  <c r="C687" i="1" s="1"/>
  <c r="B686" i="1"/>
  <c r="B686" i="1" a="1"/>
  <c r="A686" i="1"/>
  <c r="A686" i="1" a="1"/>
  <c r="B685" i="1"/>
  <c r="B685" i="1" a="1"/>
  <c r="A685" i="1" a="1"/>
  <c r="A685" i="1" s="1"/>
  <c r="B684" i="1" a="1"/>
  <c r="B684" i="1" s="1"/>
  <c r="A684" i="1" a="1"/>
  <c r="A684" i="1" s="1"/>
  <c r="B683" i="1" a="1"/>
  <c r="B683" i="1" s="1"/>
  <c r="A683" i="1" a="1"/>
  <c r="A683" i="1" s="1"/>
  <c r="B682" i="1"/>
  <c r="B682" i="1" a="1"/>
  <c r="A682" i="1" a="1"/>
  <c r="A682" i="1" s="1"/>
  <c r="B681" i="1"/>
  <c r="B681" i="1" a="1"/>
  <c r="A681" i="1" a="1"/>
  <c r="A681" i="1" s="1"/>
  <c r="C681" i="1" s="1"/>
  <c r="D681" i="1" s="1"/>
  <c r="B680" i="1" a="1"/>
  <c r="B680" i="1" s="1"/>
  <c r="A680" i="1" a="1"/>
  <c r="A680" i="1" s="1"/>
  <c r="E679" i="1"/>
  <c r="C679" i="1"/>
  <c r="B679" i="1"/>
  <c r="B679" i="1" a="1"/>
  <c r="A679" i="1" a="1"/>
  <c r="A679" i="1" s="1"/>
  <c r="B678" i="1"/>
  <c r="B678" i="1" a="1"/>
  <c r="A678" i="1" a="1"/>
  <c r="A678" i="1" s="1"/>
  <c r="C678" i="1" s="1"/>
  <c r="B677" i="1"/>
  <c r="B677" i="1" a="1"/>
  <c r="A677" i="1" a="1"/>
  <c r="A677" i="1" s="1"/>
  <c r="E677" i="1" s="1"/>
  <c r="B676" i="1" a="1"/>
  <c r="B676" i="1" s="1"/>
  <c r="A676" i="1" a="1"/>
  <c r="A676" i="1" s="1"/>
  <c r="B675" i="1" a="1"/>
  <c r="B675" i="1" s="1"/>
  <c r="A675" i="1" a="1"/>
  <c r="A675" i="1" s="1"/>
  <c r="B674" i="1"/>
  <c r="B674" i="1" a="1"/>
  <c r="A674" i="1"/>
  <c r="G674" i="1" s="1"/>
  <c r="A674" i="1" a="1"/>
  <c r="B673" i="1"/>
  <c r="B673" i="1" a="1"/>
  <c r="A673" i="1" a="1"/>
  <c r="A673" i="1" s="1"/>
  <c r="C673" i="1" s="1"/>
  <c r="D673" i="1" s="1"/>
  <c r="B672" i="1" a="1"/>
  <c r="B672" i="1" s="1"/>
  <c r="A672" i="1" a="1"/>
  <c r="A672" i="1" s="1"/>
  <c r="G672" i="1" s="1"/>
  <c r="B671" i="1" a="1"/>
  <c r="B671" i="1" s="1"/>
  <c r="A671" i="1" a="1"/>
  <c r="A671" i="1" s="1"/>
  <c r="C671" i="1" s="1"/>
  <c r="B670" i="1"/>
  <c r="B670" i="1" a="1"/>
  <c r="A670" i="1"/>
  <c r="A670" i="1" a="1"/>
  <c r="B669" i="1"/>
  <c r="B669" i="1" a="1"/>
  <c r="A669" i="1" a="1"/>
  <c r="A669" i="1" s="1"/>
  <c r="B668" i="1" a="1"/>
  <c r="B668" i="1" s="1"/>
  <c r="A668" i="1" a="1"/>
  <c r="A668" i="1" s="1"/>
  <c r="C667" i="1"/>
  <c r="D667" i="1" s="1"/>
  <c r="B667" i="1" a="1"/>
  <c r="B667" i="1" s="1"/>
  <c r="A667" i="1" a="1"/>
  <c r="A667" i="1" s="1"/>
  <c r="B666" i="1"/>
  <c r="B666" i="1" a="1"/>
  <c r="A666" i="1" a="1"/>
  <c r="A666" i="1" s="1"/>
  <c r="B665" i="1"/>
  <c r="B665" i="1" a="1"/>
  <c r="A665" i="1" a="1"/>
  <c r="A665" i="1" s="1"/>
  <c r="G665" i="1" s="1"/>
  <c r="B664" i="1" a="1"/>
  <c r="B664" i="1" s="1"/>
  <c r="A664" i="1" a="1"/>
  <c r="A664" i="1" s="1"/>
  <c r="C663" i="1"/>
  <c r="D663" i="1" s="1"/>
  <c r="B663" i="1" a="1"/>
  <c r="B663" i="1" s="1"/>
  <c r="A663" i="1" a="1"/>
  <c r="A663" i="1" s="1"/>
  <c r="B662" i="1"/>
  <c r="B662" i="1" a="1"/>
  <c r="A662" i="1" a="1"/>
  <c r="A662" i="1" s="1"/>
  <c r="C662" i="1" s="1"/>
  <c r="D662" i="1" s="1"/>
  <c r="B661" i="1"/>
  <c r="B661" i="1" a="1"/>
  <c r="A661" i="1" a="1"/>
  <c r="A661" i="1" s="1"/>
  <c r="C661" i="1" s="1"/>
  <c r="D661" i="1" s="1"/>
  <c r="B660" i="1" a="1"/>
  <c r="B660" i="1" s="1"/>
  <c r="A660" i="1" a="1"/>
  <c r="A660" i="1" s="1"/>
  <c r="B659" i="1" a="1"/>
  <c r="B659" i="1" s="1"/>
  <c r="A659" i="1" a="1"/>
  <c r="A659" i="1" s="1"/>
  <c r="B658" i="1"/>
  <c r="B658" i="1" a="1"/>
  <c r="A658" i="1" a="1"/>
  <c r="A658" i="1" s="1"/>
  <c r="B657" i="1"/>
  <c r="B657" i="1" a="1"/>
  <c r="A657" i="1" a="1"/>
  <c r="A657" i="1" s="1"/>
  <c r="G657" i="1" s="1"/>
  <c r="B656" i="1" a="1"/>
  <c r="B656" i="1" s="1"/>
  <c r="A656" i="1" a="1"/>
  <c r="A656" i="1" s="1"/>
  <c r="G656" i="1" s="1"/>
  <c r="C655" i="1"/>
  <c r="B655" i="1"/>
  <c r="B655" i="1" a="1"/>
  <c r="A655" i="1" a="1"/>
  <c r="A655" i="1" s="1"/>
  <c r="B654" i="1"/>
  <c r="B654" i="1" a="1"/>
  <c r="A654" i="1" a="1"/>
  <c r="A654" i="1" s="1"/>
  <c r="B653" i="1"/>
  <c r="B653" i="1" a="1"/>
  <c r="A653" i="1" a="1"/>
  <c r="A653" i="1" s="1"/>
  <c r="C653" i="1" s="1"/>
  <c r="B652" i="1" a="1"/>
  <c r="B652" i="1" s="1"/>
  <c r="A652" i="1" a="1"/>
  <c r="A652" i="1" s="1"/>
  <c r="B651" i="1" a="1"/>
  <c r="B651" i="1" s="1"/>
  <c r="A651" i="1" a="1"/>
  <c r="A651" i="1" s="1"/>
  <c r="B650" i="1"/>
  <c r="B650" i="1" a="1"/>
  <c r="A650" i="1" a="1"/>
  <c r="A650" i="1" s="1"/>
  <c r="B649" i="1"/>
  <c r="B649" i="1" a="1"/>
  <c r="A649" i="1" a="1"/>
  <c r="A649" i="1" s="1"/>
  <c r="G649" i="1" s="1"/>
  <c r="B648" i="1" a="1"/>
  <c r="B648" i="1" s="1"/>
  <c r="A648" i="1" a="1"/>
  <c r="A648" i="1" s="1"/>
  <c r="G648" i="1" s="1"/>
  <c r="B647" i="1"/>
  <c r="B647" i="1" a="1"/>
  <c r="A647" i="1" a="1"/>
  <c r="A647" i="1" s="1"/>
  <c r="C647" i="1" s="1"/>
  <c r="D647" i="1" s="1"/>
  <c r="B646" i="1"/>
  <c r="B646" i="1" a="1"/>
  <c r="A646" i="1" a="1"/>
  <c r="A646" i="1" s="1"/>
  <c r="C646" i="1" s="1"/>
  <c r="B645" i="1"/>
  <c r="B645" i="1" a="1"/>
  <c r="A645" i="1" a="1"/>
  <c r="A645" i="1" s="1"/>
  <c r="B644" i="1" a="1"/>
  <c r="B644" i="1" s="1"/>
  <c r="A644" i="1" a="1"/>
  <c r="A644" i="1" s="1"/>
  <c r="B643" i="1" a="1"/>
  <c r="B643" i="1" s="1"/>
  <c r="A643" i="1" a="1"/>
  <c r="A643" i="1" s="1"/>
  <c r="G643" i="1" s="1"/>
  <c r="B642" i="1"/>
  <c r="B642" i="1" a="1"/>
  <c r="A642" i="1" a="1"/>
  <c r="A642" i="1" s="1"/>
  <c r="B641" i="1"/>
  <c r="B641" i="1" a="1"/>
  <c r="A641" i="1" a="1"/>
  <c r="A641" i="1" s="1"/>
  <c r="B640" i="1" a="1"/>
  <c r="B640" i="1" s="1"/>
  <c r="A640" i="1" a="1"/>
  <c r="A640" i="1" s="1"/>
  <c r="G640" i="1" s="1"/>
  <c r="E639" i="1"/>
  <c r="B639" i="1"/>
  <c r="G639" i="1" s="1"/>
  <c r="B639" i="1" a="1"/>
  <c r="A639" i="1" a="1"/>
  <c r="A639" i="1" s="1"/>
  <c r="C639" i="1" s="1"/>
  <c r="B638" i="1"/>
  <c r="B638" i="1" a="1"/>
  <c r="A638" i="1"/>
  <c r="A638" i="1" a="1"/>
  <c r="B637" i="1"/>
  <c r="B637" i="1" a="1"/>
  <c r="A637" i="1" a="1"/>
  <c r="A637" i="1" s="1"/>
  <c r="B636" i="1" a="1"/>
  <c r="B636" i="1" s="1"/>
  <c r="A636" i="1" a="1"/>
  <c r="A636" i="1" s="1"/>
  <c r="B635" i="1" a="1"/>
  <c r="B635" i="1" s="1"/>
  <c r="A635" i="1" a="1"/>
  <c r="A635" i="1" s="1"/>
  <c r="C635" i="1" s="1"/>
  <c r="B634" i="1"/>
  <c r="B634" i="1" a="1"/>
  <c r="A634" i="1"/>
  <c r="A634" i="1" a="1"/>
  <c r="B633" i="1"/>
  <c r="G633" i="1" s="1"/>
  <c r="B633" i="1" a="1"/>
  <c r="A633" i="1" a="1"/>
  <c r="A633" i="1" s="1"/>
  <c r="B632" i="1" a="1"/>
  <c r="B632" i="1" s="1"/>
  <c r="A632" i="1" a="1"/>
  <c r="A632" i="1" s="1"/>
  <c r="B631" i="1"/>
  <c r="G631" i="1" s="1"/>
  <c r="B631" i="1" a="1"/>
  <c r="A631" i="1" a="1"/>
  <c r="A631" i="1" s="1"/>
  <c r="B630" i="1"/>
  <c r="B630" i="1" a="1"/>
  <c r="A630" i="1" a="1"/>
  <c r="A630" i="1" s="1"/>
  <c r="G630" i="1" s="1"/>
  <c r="B629" i="1"/>
  <c r="B629" i="1" a="1"/>
  <c r="A629" i="1" a="1"/>
  <c r="A629" i="1" s="1"/>
  <c r="G629" i="1" s="1"/>
  <c r="B628" i="1" a="1"/>
  <c r="B628" i="1" s="1"/>
  <c r="A628" i="1" a="1"/>
  <c r="A628" i="1" s="1"/>
  <c r="B627" i="1" a="1"/>
  <c r="B627" i="1" s="1"/>
  <c r="A627" i="1" a="1"/>
  <c r="A627" i="1" s="1"/>
  <c r="C627" i="1" s="1"/>
  <c r="D627" i="1" s="1"/>
  <c r="B626" i="1"/>
  <c r="B626" i="1" a="1"/>
  <c r="A626" i="1" a="1"/>
  <c r="A626" i="1" s="1"/>
  <c r="C626" i="1" s="1"/>
  <c r="B625" i="1"/>
  <c r="B625" i="1" a="1"/>
  <c r="A625" i="1" a="1"/>
  <c r="A625" i="1" s="1"/>
  <c r="B624" i="1" a="1"/>
  <c r="B624" i="1" s="1"/>
  <c r="A624" i="1" a="1"/>
  <c r="A624" i="1" s="1"/>
  <c r="B623" i="1"/>
  <c r="B623" i="1" a="1"/>
  <c r="A623" i="1" a="1"/>
  <c r="A623" i="1" s="1"/>
  <c r="C623" i="1" s="1"/>
  <c r="B622" i="1"/>
  <c r="B622" i="1" a="1"/>
  <c r="A622" i="1" a="1"/>
  <c r="A622" i="1" s="1"/>
  <c r="B621" i="1"/>
  <c r="B621" i="1" a="1"/>
  <c r="A621" i="1" a="1"/>
  <c r="A621" i="1" s="1"/>
  <c r="B620" i="1" a="1"/>
  <c r="B620" i="1" s="1"/>
  <c r="A620" i="1" a="1"/>
  <c r="A620" i="1" s="1"/>
  <c r="B619" i="1" a="1"/>
  <c r="B619" i="1" s="1"/>
  <c r="A619" i="1" a="1"/>
  <c r="A619" i="1" s="1"/>
  <c r="E619" i="1" s="1"/>
  <c r="B618" i="1"/>
  <c r="B618" i="1" a="1"/>
  <c r="A618" i="1" a="1"/>
  <c r="A618" i="1" s="1"/>
  <c r="C618" i="1" s="1"/>
  <c r="D618" i="1" s="1"/>
  <c r="B617" i="1"/>
  <c r="B617" i="1" a="1"/>
  <c r="A617" i="1" a="1"/>
  <c r="A617" i="1" s="1"/>
  <c r="G617" i="1" s="1"/>
  <c r="B616" i="1" a="1"/>
  <c r="B616" i="1" s="1"/>
  <c r="A616" i="1" a="1"/>
  <c r="A616" i="1" s="1"/>
  <c r="B615" i="1" a="1"/>
  <c r="B615" i="1" s="1"/>
  <c r="A615" i="1" a="1"/>
  <c r="A615" i="1" s="1"/>
  <c r="C615" i="1" s="1"/>
  <c r="B614" i="1"/>
  <c r="B614" i="1" a="1"/>
  <c r="A614" i="1"/>
  <c r="A614" i="1" a="1"/>
  <c r="B613" i="1"/>
  <c r="B613" i="1" a="1"/>
  <c r="A613" i="1" a="1"/>
  <c r="A613" i="1" s="1"/>
  <c r="C613" i="1" s="1"/>
  <c r="B612" i="1" a="1"/>
  <c r="B612" i="1" s="1"/>
  <c r="A612" i="1" a="1"/>
  <c r="A612" i="1" s="1"/>
  <c r="B611" i="1" a="1"/>
  <c r="B611" i="1" s="1"/>
  <c r="A611" i="1" a="1"/>
  <c r="A611" i="1" s="1"/>
  <c r="C611" i="1" s="1"/>
  <c r="D611" i="1" s="1"/>
  <c r="B610" i="1"/>
  <c r="B610" i="1" a="1"/>
  <c r="A610" i="1" a="1"/>
  <c r="A610" i="1" s="1"/>
  <c r="E610" i="1" s="1"/>
  <c r="B609" i="1"/>
  <c r="B609" i="1" a="1"/>
  <c r="A609" i="1" a="1"/>
  <c r="A609" i="1" s="1"/>
  <c r="G609" i="1" s="1"/>
  <c r="B608" i="1" a="1"/>
  <c r="B608" i="1" s="1"/>
  <c r="A608" i="1" a="1"/>
  <c r="A608" i="1" s="1"/>
  <c r="C607" i="1"/>
  <c r="B607" i="1" a="1"/>
  <c r="B607" i="1" s="1"/>
  <c r="A607" i="1" a="1"/>
  <c r="A607" i="1" s="1"/>
  <c r="B606" i="1"/>
  <c r="B606" i="1" a="1"/>
  <c r="A606" i="1" a="1"/>
  <c r="A606" i="1" s="1"/>
  <c r="C606" i="1" s="1"/>
  <c r="B605" i="1"/>
  <c r="B605" i="1" a="1"/>
  <c r="A605" i="1" a="1"/>
  <c r="A605" i="1" s="1"/>
  <c r="C605" i="1" s="1"/>
  <c r="B604" i="1" a="1"/>
  <c r="B604" i="1" s="1"/>
  <c r="A604" i="1" a="1"/>
  <c r="A604" i="1" s="1"/>
  <c r="C603" i="1"/>
  <c r="B603" i="1" a="1"/>
  <c r="B603" i="1" s="1"/>
  <c r="E603" i="1" s="1"/>
  <c r="A603" i="1" a="1"/>
  <c r="A603" i="1" s="1"/>
  <c r="B602" i="1"/>
  <c r="B602" i="1" a="1"/>
  <c r="A602" i="1" a="1"/>
  <c r="A602" i="1" s="1"/>
  <c r="C602" i="1" s="1"/>
  <c r="D602" i="1" s="1"/>
  <c r="B601" i="1"/>
  <c r="B601" i="1" a="1"/>
  <c r="A601" i="1" a="1"/>
  <c r="A601" i="1" s="1"/>
  <c r="G600" i="1"/>
  <c r="B600" i="1" a="1"/>
  <c r="B600" i="1" s="1"/>
  <c r="A600" i="1" a="1"/>
  <c r="A600" i="1" s="1"/>
  <c r="B599" i="1" a="1"/>
  <c r="B599" i="1" s="1"/>
  <c r="A599" i="1" a="1"/>
  <c r="A599" i="1" s="1"/>
  <c r="C599" i="1" s="1"/>
  <c r="D599" i="1" s="1"/>
  <c r="B598" i="1"/>
  <c r="B598" i="1" a="1"/>
  <c r="A598" i="1" a="1"/>
  <c r="A598" i="1" s="1"/>
  <c r="C598" i="1" s="1"/>
  <c r="B597" i="1"/>
  <c r="B597" i="1" a="1"/>
  <c r="A597" i="1" a="1"/>
  <c r="A597" i="1" s="1"/>
  <c r="B596" i="1" a="1"/>
  <c r="B596" i="1" s="1"/>
  <c r="A596" i="1" a="1"/>
  <c r="A596" i="1" s="1"/>
  <c r="G596" i="1" s="1"/>
  <c r="B595" i="1"/>
  <c r="E595" i="1" s="1"/>
  <c r="B595" i="1" a="1"/>
  <c r="A595" i="1" a="1"/>
  <c r="A595" i="1" s="1"/>
  <c r="C595" i="1" s="1"/>
  <c r="B594" i="1"/>
  <c r="B594" i="1" a="1"/>
  <c r="A594" i="1" a="1"/>
  <c r="A594" i="1" s="1"/>
  <c r="B593" i="1"/>
  <c r="B593" i="1" a="1"/>
  <c r="A593" i="1" a="1"/>
  <c r="A593" i="1" s="1"/>
  <c r="B592" i="1" a="1"/>
  <c r="B592" i="1" s="1"/>
  <c r="A592" i="1" a="1"/>
  <c r="A592" i="1" s="1"/>
  <c r="C591" i="1"/>
  <c r="B591" i="1"/>
  <c r="B591" i="1" a="1"/>
  <c r="A591" i="1" a="1"/>
  <c r="A591" i="1" s="1"/>
  <c r="B590" i="1"/>
  <c r="B590" i="1" a="1"/>
  <c r="A590" i="1" a="1"/>
  <c r="A590" i="1" s="1"/>
  <c r="C590" i="1" s="1"/>
  <c r="D590" i="1" s="1"/>
  <c r="B589" i="1"/>
  <c r="B589" i="1" a="1"/>
  <c r="A589" i="1" a="1"/>
  <c r="A589" i="1" s="1"/>
  <c r="B588" i="1" a="1"/>
  <c r="B588" i="1" s="1"/>
  <c r="A588" i="1" a="1"/>
  <c r="A588" i="1" s="1"/>
  <c r="G588" i="1" s="1"/>
  <c r="B587" i="1"/>
  <c r="E587" i="1" s="1"/>
  <c r="B587" i="1" a="1"/>
  <c r="A587" i="1" a="1"/>
  <c r="A587" i="1" s="1"/>
  <c r="C587" i="1" s="1"/>
  <c r="B586" i="1"/>
  <c r="B586" i="1" a="1"/>
  <c r="A586" i="1"/>
  <c r="A586" i="1" a="1"/>
  <c r="E585" i="1"/>
  <c r="B585" i="1"/>
  <c r="B585" i="1" a="1"/>
  <c r="A585" i="1" a="1"/>
  <c r="A585" i="1" s="1"/>
  <c r="C585" i="1" s="1"/>
  <c r="D585" i="1" s="1"/>
  <c r="B584" i="1" a="1"/>
  <c r="B584" i="1" s="1"/>
  <c r="A584" i="1" a="1"/>
  <c r="A584" i="1" s="1"/>
  <c r="G584" i="1" s="1"/>
  <c r="B583" i="1"/>
  <c r="B583" i="1" a="1"/>
  <c r="A583" i="1" a="1"/>
  <c r="A583" i="1" s="1"/>
  <c r="C583" i="1" s="1"/>
  <c r="B582" i="1"/>
  <c r="E582" i="1" s="1"/>
  <c r="B582" i="1" a="1"/>
  <c r="A582" i="1" a="1"/>
  <c r="A582" i="1" s="1"/>
  <c r="C582" i="1" s="1"/>
  <c r="D582" i="1" s="1"/>
  <c r="B581" i="1"/>
  <c r="B581" i="1" a="1"/>
  <c r="A581" i="1" a="1"/>
  <c r="A581" i="1" s="1"/>
  <c r="B580" i="1" a="1"/>
  <c r="B580" i="1" s="1"/>
  <c r="A580" i="1" a="1"/>
  <c r="A580" i="1" s="1"/>
  <c r="G580" i="1" s="1"/>
  <c r="C579" i="1"/>
  <c r="B579" i="1"/>
  <c r="E579" i="1" s="1"/>
  <c r="B579" i="1" a="1"/>
  <c r="A579" i="1" a="1"/>
  <c r="A579" i="1" s="1"/>
  <c r="B578" i="1"/>
  <c r="B578" i="1" a="1"/>
  <c r="A578" i="1"/>
  <c r="A578" i="1" a="1"/>
  <c r="B577" i="1"/>
  <c r="B577" i="1" a="1"/>
  <c r="A577" i="1" a="1"/>
  <c r="A577" i="1" s="1"/>
  <c r="B576" i="1"/>
  <c r="B576" i="1" a="1"/>
  <c r="A576" i="1"/>
  <c r="G576" i="1" s="1"/>
  <c r="A576" i="1" a="1"/>
  <c r="B575" i="1"/>
  <c r="B575" i="1" a="1"/>
  <c r="A575" i="1" a="1"/>
  <c r="A575" i="1" s="1"/>
  <c r="B574" i="1"/>
  <c r="B574" i="1" a="1"/>
  <c r="A574" i="1" a="1"/>
  <c r="A574" i="1" s="1"/>
  <c r="G574" i="1" s="1"/>
  <c r="B573" i="1"/>
  <c r="B573" i="1" a="1"/>
  <c r="A573" i="1" a="1"/>
  <c r="A573" i="1" s="1"/>
  <c r="C573" i="1" s="1"/>
  <c r="B572" i="1" a="1"/>
  <c r="B572" i="1" s="1"/>
  <c r="A572" i="1" a="1"/>
  <c r="A572" i="1" s="1"/>
  <c r="B571" i="1" a="1"/>
  <c r="B571" i="1" s="1"/>
  <c r="A571" i="1" a="1"/>
  <c r="A571" i="1" s="1"/>
  <c r="B570" i="1"/>
  <c r="B570" i="1" a="1"/>
  <c r="A570" i="1" a="1"/>
  <c r="A570" i="1" s="1"/>
  <c r="B569" i="1"/>
  <c r="B569" i="1" a="1"/>
  <c r="A569" i="1" a="1"/>
  <c r="A569" i="1" s="1"/>
  <c r="B568" i="1"/>
  <c r="B568" i="1" a="1"/>
  <c r="A568" i="1" a="1"/>
  <c r="A568" i="1" s="1"/>
  <c r="G568" i="1" s="1"/>
  <c r="B567" i="1"/>
  <c r="B567" i="1" a="1"/>
  <c r="A567" i="1" a="1"/>
  <c r="A567" i="1" s="1"/>
  <c r="B566" i="1"/>
  <c r="B566" i="1" a="1"/>
  <c r="A566" i="1" a="1"/>
  <c r="A566" i="1" s="1"/>
  <c r="E565" i="1"/>
  <c r="B565" i="1"/>
  <c r="B565" i="1" a="1"/>
  <c r="A565" i="1" a="1"/>
  <c r="A565" i="1" s="1"/>
  <c r="C565" i="1" s="1"/>
  <c r="B564" i="1" a="1"/>
  <c r="B564" i="1" s="1"/>
  <c r="A564" i="1" a="1"/>
  <c r="A564" i="1" s="1"/>
  <c r="G564" i="1" s="1"/>
  <c r="B563" i="1" a="1"/>
  <c r="B563" i="1" s="1"/>
  <c r="A563" i="1" a="1"/>
  <c r="A563" i="1" s="1"/>
  <c r="B562" i="1" a="1"/>
  <c r="B562" i="1" s="1"/>
  <c r="A562" i="1" a="1"/>
  <c r="A562" i="1" s="1"/>
  <c r="B561" i="1"/>
  <c r="B561" i="1" a="1"/>
  <c r="A561" i="1" a="1"/>
  <c r="A561" i="1" s="1"/>
  <c r="B560" i="1" a="1"/>
  <c r="B560" i="1" s="1"/>
  <c r="A560" i="1"/>
  <c r="A560" i="1" a="1"/>
  <c r="B559" i="1"/>
  <c r="B559" i="1" a="1"/>
  <c r="A559" i="1" a="1"/>
  <c r="A559" i="1" s="1"/>
  <c r="G559" i="1" s="1"/>
  <c r="B558" i="1"/>
  <c r="B558" i="1" a="1"/>
  <c r="A558" i="1" a="1"/>
  <c r="A558" i="1" s="1"/>
  <c r="E558" i="1" s="1"/>
  <c r="B557" i="1"/>
  <c r="B557" i="1" a="1"/>
  <c r="A557" i="1" a="1"/>
  <c r="A557" i="1" s="1"/>
  <c r="B556" i="1" a="1"/>
  <c r="B556" i="1" s="1"/>
  <c r="A556" i="1" a="1"/>
  <c r="A556" i="1" s="1"/>
  <c r="E556" i="1" s="1"/>
  <c r="B555" i="1" a="1"/>
  <c r="B555" i="1" s="1"/>
  <c r="A555" i="1" a="1"/>
  <c r="A555" i="1" s="1"/>
  <c r="B554" i="1" a="1"/>
  <c r="B554" i="1" s="1"/>
  <c r="A554" i="1" a="1"/>
  <c r="A554" i="1" s="1"/>
  <c r="E553" i="1"/>
  <c r="B553" i="1"/>
  <c r="B553" i="1" a="1"/>
  <c r="A553" i="1" a="1"/>
  <c r="A553" i="1" s="1"/>
  <c r="B552" i="1" a="1"/>
  <c r="B552" i="1" s="1"/>
  <c r="A552" i="1" a="1"/>
  <c r="A552" i="1" s="1"/>
  <c r="C552" i="1" s="1"/>
  <c r="B551" i="1"/>
  <c r="B551" i="1" a="1"/>
  <c r="A551" i="1" a="1"/>
  <c r="A551" i="1" s="1"/>
  <c r="B550" i="1"/>
  <c r="B550" i="1" a="1"/>
  <c r="A550" i="1" a="1"/>
  <c r="A550" i="1" s="1"/>
  <c r="E550" i="1" s="1"/>
  <c r="B549" i="1" a="1"/>
  <c r="B549" i="1" s="1"/>
  <c r="A549" i="1" a="1"/>
  <c r="A549" i="1" s="1"/>
  <c r="C549" i="1" s="1"/>
  <c r="B548" i="1" a="1"/>
  <c r="B548" i="1" s="1"/>
  <c r="A548" i="1" a="1"/>
  <c r="A548" i="1" s="1"/>
  <c r="B547" i="1" a="1"/>
  <c r="B547" i="1" s="1"/>
  <c r="A547" i="1" a="1"/>
  <c r="A547" i="1" s="1"/>
  <c r="B546" i="1"/>
  <c r="B546" i="1" a="1"/>
  <c r="A546" i="1" a="1"/>
  <c r="A546" i="1" s="1"/>
  <c r="E546" i="1" s="1"/>
  <c r="B545" i="1"/>
  <c r="B545" i="1" a="1"/>
  <c r="A545" i="1" a="1"/>
  <c r="A545" i="1" s="1"/>
  <c r="E545" i="1" s="1"/>
  <c r="B544" i="1"/>
  <c r="B544" i="1" a="1"/>
  <c r="A544" i="1" a="1"/>
  <c r="A544" i="1" s="1"/>
  <c r="B543" i="1"/>
  <c r="B543" i="1" a="1"/>
  <c r="A543" i="1" a="1"/>
  <c r="A543" i="1" s="1"/>
  <c r="G543" i="1" s="1"/>
  <c r="B542" i="1"/>
  <c r="B542" i="1" a="1"/>
  <c r="A542" i="1" a="1"/>
  <c r="A542" i="1" s="1"/>
  <c r="C542" i="1" s="1"/>
  <c r="C541" i="1"/>
  <c r="D541" i="1" s="1"/>
  <c r="B541" i="1"/>
  <c r="B541" i="1" a="1"/>
  <c r="A541" i="1" a="1"/>
  <c r="A541" i="1" s="1"/>
  <c r="B540" i="1" a="1"/>
  <c r="B540" i="1" s="1"/>
  <c r="A540" i="1" a="1"/>
  <c r="A540" i="1" s="1"/>
  <c r="E540" i="1" s="1"/>
  <c r="E539" i="1"/>
  <c r="B539" i="1"/>
  <c r="B539" i="1" a="1"/>
  <c r="A539" i="1" a="1"/>
  <c r="A539" i="1" s="1"/>
  <c r="B538" i="1" a="1"/>
  <c r="B538" i="1" s="1"/>
  <c r="A538" i="1" a="1"/>
  <c r="A538" i="1" s="1"/>
  <c r="G537" i="1"/>
  <c r="B537" i="1"/>
  <c r="B537" i="1" a="1"/>
  <c r="A537" i="1" a="1"/>
  <c r="A537" i="1" s="1"/>
  <c r="C537" i="1" s="1"/>
  <c r="B536" i="1"/>
  <c r="B536" i="1" a="1"/>
  <c r="A536" i="1" a="1"/>
  <c r="A536" i="1" s="1"/>
  <c r="B535" i="1"/>
  <c r="B535" i="1" a="1"/>
  <c r="A535" i="1" a="1"/>
  <c r="A535" i="1" s="1"/>
  <c r="B534" i="1"/>
  <c r="B534" i="1" a="1"/>
  <c r="A534" i="1" a="1"/>
  <c r="A534" i="1" s="1"/>
  <c r="G534" i="1" s="1"/>
  <c r="B533" i="1"/>
  <c r="B533" i="1" a="1"/>
  <c r="A533" i="1" a="1"/>
  <c r="A533" i="1" s="1"/>
  <c r="C533" i="1" s="1"/>
  <c r="D533" i="1" s="1"/>
  <c r="B532" i="1" a="1"/>
  <c r="B532" i="1" s="1"/>
  <c r="A532" i="1" a="1"/>
  <c r="A532" i="1" s="1"/>
  <c r="C532" i="1" s="1"/>
  <c r="D532" i="1" s="1"/>
  <c r="B531" i="1" a="1"/>
  <c r="B531" i="1" s="1"/>
  <c r="A531" i="1" a="1"/>
  <c r="A531" i="1" s="1"/>
  <c r="B530" i="1" a="1"/>
  <c r="B530" i="1" s="1"/>
  <c r="A530" i="1" a="1"/>
  <c r="A530" i="1" s="1"/>
  <c r="C530" i="1" s="1"/>
  <c r="B529" i="1" a="1"/>
  <c r="B529" i="1" s="1"/>
  <c r="A529" i="1" a="1"/>
  <c r="A529" i="1" s="1"/>
  <c r="E529" i="1" s="1"/>
  <c r="B528" i="1"/>
  <c r="B528" i="1" a="1"/>
  <c r="A528" i="1"/>
  <c r="A528" i="1" a="1"/>
  <c r="B527" i="1"/>
  <c r="B527" i="1" a="1"/>
  <c r="A527" i="1" a="1"/>
  <c r="A527" i="1" s="1"/>
  <c r="B526" i="1"/>
  <c r="B526" i="1" a="1"/>
  <c r="A526" i="1" a="1"/>
  <c r="A526" i="1" s="1"/>
  <c r="G526" i="1" s="1"/>
  <c r="C525" i="1"/>
  <c r="B525" i="1" a="1"/>
  <c r="B525" i="1" s="1"/>
  <c r="A525" i="1" a="1"/>
  <c r="A525" i="1" s="1"/>
  <c r="B524" i="1" a="1"/>
  <c r="B524" i="1" s="1"/>
  <c r="A524" i="1" a="1"/>
  <c r="A524" i="1" s="1"/>
  <c r="B523" i="1" a="1"/>
  <c r="B523" i="1" s="1"/>
  <c r="A523" i="1" a="1"/>
  <c r="A523" i="1" s="1"/>
  <c r="B522" i="1" a="1"/>
  <c r="B522" i="1" s="1"/>
  <c r="A522" i="1" a="1"/>
  <c r="A522" i="1" s="1"/>
  <c r="B521" i="1"/>
  <c r="D521" i="1" s="1"/>
  <c r="B521" i="1" a="1"/>
  <c r="A521" i="1" a="1"/>
  <c r="A521" i="1" s="1"/>
  <c r="C521" i="1" s="1"/>
  <c r="B520" i="1" a="1"/>
  <c r="B520" i="1" s="1"/>
  <c r="A520" i="1" a="1"/>
  <c r="A520" i="1" s="1"/>
  <c r="E520" i="1" s="1"/>
  <c r="B519" i="1" a="1"/>
  <c r="B519" i="1" s="1"/>
  <c r="A519" i="1" a="1"/>
  <c r="A519" i="1" s="1"/>
  <c r="B518" i="1"/>
  <c r="B518" i="1" a="1"/>
  <c r="A518" i="1" a="1"/>
  <c r="A518" i="1" s="1"/>
  <c r="B517" i="1"/>
  <c r="B517" i="1" a="1"/>
  <c r="A517" i="1" a="1"/>
  <c r="A517" i="1" s="1"/>
  <c r="C517" i="1" s="1"/>
  <c r="D517" i="1" s="1"/>
  <c r="B516" i="1"/>
  <c r="B516" i="1" a="1"/>
  <c r="A516" i="1" a="1"/>
  <c r="A516" i="1" s="1"/>
  <c r="E516" i="1" s="1"/>
  <c r="B515" i="1" a="1"/>
  <c r="B515" i="1" s="1"/>
  <c r="A515" i="1" a="1"/>
  <c r="A515" i="1" s="1"/>
  <c r="B514" i="1" a="1"/>
  <c r="B514" i="1" s="1"/>
  <c r="A514" i="1" a="1"/>
  <c r="A514" i="1" s="1"/>
  <c r="C514" i="1" s="1"/>
  <c r="B513" i="1" a="1"/>
  <c r="B513" i="1" s="1"/>
  <c r="A513" i="1" a="1"/>
  <c r="A513" i="1" s="1"/>
  <c r="B512" i="1"/>
  <c r="B512" i="1" a="1"/>
  <c r="A512" i="1" a="1"/>
  <c r="A512" i="1" s="1"/>
  <c r="B511" i="1"/>
  <c r="B511" i="1" a="1"/>
  <c r="A511" i="1" a="1"/>
  <c r="A511" i="1" s="1"/>
  <c r="B510" i="1"/>
  <c r="B510" i="1" a="1"/>
  <c r="A510" i="1" a="1"/>
  <c r="A510" i="1" s="1"/>
  <c r="B509" i="1"/>
  <c r="B509" i="1" a="1"/>
  <c r="A509" i="1" a="1"/>
  <c r="A509" i="1" s="1"/>
  <c r="C509" i="1" s="1"/>
  <c r="B508" i="1" a="1"/>
  <c r="B508" i="1" s="1"/>
  <c r="A508" i="1" a="1"/>
  <c r="A508" i="1" s="1"/>
  <c r="C508" i="1" s="1"/>
  <c r="B507" i="1" a="1"/>
  <c r="B507" i="1" s="1"/>
  <c r="A507" i="1" a="1"/>
  <c r="A507" i="1" s="1"/>
  <c r="B506" i="1"/>
  <c r="B506" i="1" a="1"/>
  <c r="A506" i="1"/>
  <c r="A506" i="1" a="1"/>
  <c r="B505" i="1"/>
  <c r="B505" i="1" a="1"/>
  <c r="A505" i="1" a="1"/>
  <c r="A505" i="1" s="1"/>
  <c r="C505" i="1" s="1"/>
  <c r="D505" i="1" s="1"/>
  <c r="B504" i="1"/>
  <c r="B504" i="1" a="1"/>
  <c r="A504" i="1" a="1"/>
  <c r="A504" i="1" s="1"/>
  <c r="B503" i="1"/>
  <c r="B503" i="1" a="1"/>
  <c r="A503" i="1" a="1"/>
  <c r="A503" i="1" s="1"/>
  <c r="B502" i="1"/>
  <c r="B502" i="1" a="1"/>
  <c r="A502" i="1" a="1"/>
  <c r="A502" i="1" s="1"/>
  <c r="E502" i="1" s="1"/>
  <c r="B501" i="1" a="1"/>
  <c r="B501" i="1" s="1"/>
  <c r="A501" i="1" a="1"/>
  <c r="A501" i="1" s="1"/>
  <c r="B500" i="1" a="1"/>
  <c r="B500" i="1" s="1"/>
  <c r="A500" i="1" a="1"/>
  <c r="A500" i="1" s="1"/>
  <c r="B499" i="1" a="1"/>
  <c r="B499" i="1" s="1"/>
  <c r="A499" i="1" a="1"/>
  <c r="A499" i="1" s="1"/>
  <c r="B498" i="1" a="1"/>
  <c r="B498" i="1" s="1"/>
  <c r="A498" i="1" a="1"/>
  <c r="A498" i="1" s="1"/>
  <c r="C498" i="1" s="1"/>
  <c r="E497" i="1"/>
  <c r="B497" i="1"/>
  <c r="B497" i="1" a="1"/>
  <c r="A497" i="1" a="1"/>
  <c r="A497" i="1" s="1"/>
  <c r="B496" i="1"/>
  <c r="B496" i="1" a="1"/>
  <c r="A496" i="1" a="1"/>
  <c r="A496" i="1" s="1"/>
  <c r="B495" i="1"/>
  <c r="B495" i="1" a="1"/>
  <c r="A495" i="1" a="1"/>
  <c r="A495" i="1" s="1"/>
  <c r="B494" i="1"/>
  <c r="B494" i="1" a="1"/>
  <c r="A494" i="1" a="1"/>
  <c r="A494" i="1" s="1"/>
  <c r="B493" i="1"/>
  <c r="B493" i="1" a="1"/>
  <c r="A493" i="1" a="1"/>
  <c r="A493" i="1" s="1"/>
  <c r="C493" i="1" s="1"/>
  <c r="E492" i="1"/>
  <c r="C492" i="1"/>
  <c r="D492" i="1" s="1"/>
  <c r="B492" i="1" a="1"/>
  <c r="B492" i="1" s="1"/>
  <c r="A492" i="1" a="1"/>
  <c r="A492" i="1" s="1"/>
  <c r="G492" i="1" s="1"/>
  <c r="B491" i="1"/>
  <c r="B491" i="1" a="1"/>
  <c r="A491" i="1" a="1"/>
  <c r="A491" i="1" s="1"/>
  <c r="B490" i="1" a="1"/>
  <c r="B490" i="1" s="1"/>
  <c r="A490" i="1" a="1"/>
  <c r="A490" i="1" s="1"/>
  <c r="B489" i="1"/>
  <c r="B489" i="1" a="1"/>
  <c r="A489" i="1" a="1"/>
  <c r="A489" i="1" s="1"/>
  <c r="C489" i="1" s="1"/>
  <c r="C488" i="1"/>
  <c r="B488" i="1" a="1"/>
  <c r="B488" i="1" s="1"/>
  <c r="A488" i="1" a="1"/>
  <c r="A488" i="1" s="1"/>
  <c r="B487" i="1"/>
  <c r="B487" i="1" a="1"/>
  <c r="A487" i="1" a="1"/>
  <c r="A487" i="1" s="1"/>
  <c r="B486" i="1"/>
  <c r="B486" i="1" a="1"/>
  <c r="A486" i="1" a="1"/>
  <c r="A486" i="1" s="1"/>
  <c r="C485" i="1"/>
  <c r="B485" i="1"/>
  <c r="B485" i="1" a="1"/>
  <c r="A485" i="1" a="1"/>
  <c r="A485" i="1" s="1"/>
  <c r="B484" i="1" a="1"/>
  <c r="B484" i="1" s="1"/>
  <c r="A484" i="1" a="1"/>
  <c r="A484" i="1" s="1"/>
  <c r="C484" i="1" s="1"/>
  <c r="D484" i="1" s="1"/>
  <c r="B483" i="1" a="1"/>
  <c r="B483" i="1" s="1"/>
  <c r="A483" i="1"/>
  <c r="E483" i="1" s="1"/>
  <c r="A483" i="1" a="1"/>
  <c r="B482" i="1" a="1"/>
  <c r="B482" i="1" s="1"/>
  <c r="A482" i="1" a="1"/>
  <c r="A482" i="1" s="1"/>
  <c r="B481" i="1" a="1"/>
  <c r="B481" i="1" s="1"/>
  <c r="A481" i="1" a="1"/>
  <c r="A481" i="1" s="1"/>
  <c r="B480" i="1"/>
  <c r="B480" i="1" a="1"/>
  <c r="A480" i="1" a="1"/>
  <c r="A480" i="1" s="1"/>
  <c r="B479" i="1"/>
  <c r="B479" i="1" a="1"/>
  <c r="A479" i="1" a="1"/>
  <c r="A479" i="1" s="1"/>
  <c r="G479" i="1" s="1"/>
  <c r="B478" i="1"/>
  <c r="B478" i="1" a="1"/>
  <c r="A478" i="1" a="1"/>
  <c r="A478" i="1" s="1"/>
  <c r="C478" i="1" s="1"/>
  <c r="D478" i="1" s="1"/>
  <c r="C477" i="1"/>
  <c r="B477" i="1" a="1"/>
  <c r="B477" i="1" s="1"/>
  <c r="A477" i="1" a="1"/>
  <c r="A477" i="1" s="1"/>
  <c r="G477" i="1" s="1"/>
  <c r="B476" i="1" a="1"/>
  <c r="B476" i="1" s="1"/>
  <c r="A476" i="1" a="1"/>
  <c r="A476" i="1" s="1"/>
  <c r="C476" i="1" s="1"/>
  <c r="B475" i="1" a="1"/>
  <c r="B475" i="1" s="1"/>
  <c r="A475" i="1" a="1"/>
  <c r="A475" i="1" s="1"/>
  <c r="C475" i="1" s="1"/>
  <c r="D475" i="1" s="1"/>
  <c r="B474" i="1"/>
  <c r="B474" i="1" a="1"/>
  <c r="A474" i="1" a="1"/>
  <c r="A474" i="1" s="1"/>
  <c r="B473" i="1"/>
  <c r="D473" i="1" s="1"/>
  <c r="B473" i="1" a="1"/>
  <c r="A473" i="1" a="1"/>
  <c r="A473" i="1" s="1"/>
  <c r="C473" i="1" s="1"/>
  <c r="B472" i="1" a="1"/>
  <c r="B472" i="1" s="1"/>
  <c r="A472" i="1" a="1"/>
  <c r="A472" i="1" s="1"/>
  <c r="B471" i="1" a="1"/>
  <c r="B471" i="1" s="1"/>
  <c r="A471" i="1"/>
  <c r="A471" i="1" a="1"/>
  <c r="B470" i="1"/>
  <c r="B470" i="1" a="1"/>
  <c r="A470" i="1" a="1"/>
  <c r="A470" i="1" s="1"/>
  <c r="B469" i="1"/>
  <c r="B469" i="1" a="1"/>
  <c r="A469" i="1" a="1"/>
  <c r="A469" i="1" s="1"/>
  <c r="B468" i="1"/>
  <c r="B468" i="1" a="1"/>
  <c r="A468" i="1" a="1"/>
  <c r="A468" i="1" s="1"/>
  <c r="C468" i="1" s="1"/>
  <c r="D468" i="1" s="1"/>
  <c r="B467" i="1" a="1"/>
  <c r="B467" i="1" s="1"/>
  <c r="A467" i="1" a="1"/>
  <c r="A467" i="1" s="1"/>
  <c r="B466" i="1"/>
  <c r="B466" i="1" a="1"/>
  <c r="A466" i="1" a="1"/>
  <c r="A466" i="1" s="1"/>
  <c r="C466" i="1" s="1"/>
  <c r="B465" i="1"/>
  <c r="B465" i="1" a="1"/>
  <c r="A465" i="1" a="1"/>
  <c r="A465" i="1" s="1"/>
  <c r="B464" i="1"/>
  <c r="B464" i="1" a="1"/>
  <c r="A464" i="1" a="1"/>
  <c r="A464" i="1" s="1"/>
  <c r="B463" i="1"/>
  <c r="B463" i="1" a="1"/>
  <c r="A463" i="1" a="1"/>
  <c r="A463" i="1" s="1"/>
  <c r="B462" i="1"/>
  <c r="B462" i="1" a="1"/>
  <c r="A462" i="1" a="1"/>
  <c r="A462" i="1" s="1"/>
  <c r="C462" i="1" s="1"/>
  <c r="D462" i="1" s="1"/>
  <c r="B461" i="1" a="1"/>
  <c r="B461" i="1" s="1"/>
  <c r="A461" i="1" a="1"/>
  <c r="A461" i="1" s="1"/>
  <c r="C461" i="1" s="1"/>
  <c r="E460" i="1"/>
  <c r="B460" i="1" a="1"/>
  <c r="B460" i="1" s="1"/>
  <c r="A460" i="1" a="1"/>
  <c r="A460" i="1" s="1"/>
  <c r="C460" i="1" s="1"/>
  <c r="B459" i="1" a="1"/>
  <c r="B459" i="1" s="1"/>
  <c r="A459" i="1" a="1"/>
  <c r="A459" i="1" s="1"/>
  <c r="C459" i="1" s="1"/>
  <c r="D459" i="1" s="1"/>
  <c r="B458" i="1"/>
  <c r="B458" i="1" a="1"/>
  <c r="A458" i="1" a="1"/>
  <c r="A458" i="1" s="1"/>
  <c r="B457" i="1"/>
  <c r="B457" i="1" a="1"/>
  <c r="A457" i="1" a="1"/>
  <c r="A457" i="1" s="1"/>
  <c r="B456" i="1" a="1"/>
  <c r="B456" i="1" s="1"/>
  <c r="A456" i="1" a="1"/>
  <c r="A456" i="1" s="1"/>
  <c r="C456" i="1" s="1"/>
  <c r="B455" i="1"/>
  <c r="B455" i="1" a="1"/>
  <c r="A455" i="1" a="1"/>
  <c r="A455" i="1" s="1"/>
  <c r="B454" i="1"/>
  <c r="B454" i="1" a="1"/>
  <c r="A454" i="1" a="1"/>
  <c r="A454" i="1" s="1"/>
  <c r="C453" i="1"/>
  <c r="B453" i="1" a="1"/>
  <c r="B453" i="1" s="1"/>
  <c r="G453" i="1" s="1"/>
  <c r="A453" i="1" a="1"/>
  <c r="A453" i="1" s="1"/>
  <c r="B452" i="1" a="1"/>
  <c r="B452" i="1" s="1"/>
  <c r="A452" i="1" a="1"/>
  <c r="A452" i="1" s="1"/>
  <c r="C451" i="1"/>
  <c r="D451" i="1" s="1"/>
  <c r="B451" i="1" a="1"/>
  <c r="B451" i="1" s="1"/>
  <c r="A451" i="1" a="1"/>
  <c r="A451" i="1" s="1"/>
  <c r="B450" i="1" a="1"/>
  <c r="B450" i="1" s="1"/>
  <c r="A450" i="1" a="1"/>
  <c r="A450" i="1" s="1"/>
  <c r="C450" i="1" s="1"/>
  <c r="B449" i="1"/>
  <c r="B449" i="1" a="1"/>
  <c r="A449" i="1" a="1"/>
  <c r="A449" i="1" s="1"/>
  <c r="B448" i="1"/>
  <c r="B448" i="1" a="1"/>
  <c r="A448" i="1" a="1"/>
  <c r="A448" i="1" s="1"/>
  <c r="B447" i="1"/>
  <c r="B447" i="1" a="1"/>
  <c r="A447" i="1" a="1"/>
  <c r="A447" i="1" s="1"/>
  <c r="G447" i="1" s="1"/>
  <c r="B446" i="1"/>
  <c r="B446" i="1" a="1"/>
  <c r="A446" i="1" a="1"/>
  <c r="A446" i="1" s="1"/>
  <c r="G446" i="1" s="1"/>
  <c r="B445" i="1" a="1"/>
  <c r="B445" i="1" s="1"/>
  <c r="A445" i="1" a="1"/>
  <c r="A445" i="1" s="1"/>
  <c r="C445" i="1" s="1"/>
  <c r="E444" i="1"/>
  <c r="B444" i="1" a="1"/>
  <c r="B444" i="1" s="1"/>
  <c r="A444" i="1" a="1"/>
  <c r="A444" i="1" s="1"/>
  <c r="G444" i="1" s="1"/>
  <c r="B443" i="1"/>
  <c r="B443" i="1" a="1"/>
  <c r="A443" i="1" a="1"/>
  <c r="A443" i="1" s="1"/>
  <c r="E443" i="1" s="1"/>
  <c r="B442" i="1" a="1"/>
  <c r="B442" i="1" s="1"/>
  <c r="A442" i="1" a="1"/>
  <c r="A442" i="1" s="1"/>
  <c r="B441" i="1"/>
  <c r="B441" i="1" a="1"/>
  <c r="A441" i="1" a="1"/>
  <c r="A441" i="1" s="1"/>
  <c r="C441" i="1" s="1"/>
  <c r="B440" i="1" a="1"/>
  <c r="B440" i="1" s="1"/>
  <c r="A440" i="1"/>
  <c r="C440" i="1" s="1"/>
  <c r="A440" i="1" a="1"/>
  <c r="B439" i="1"/>
  <c r="B439" i="1" a="1"/>
  <c r="A439" i="1" a="1"/>
  <c r="A439" i="1" s="1"/>
  <c r="B438" i="1"/>
  <c r="B438" i="1" a="1"/>
  <c r="A438" i="1" a="1"/>
  <c r="A438" i="1" s="1"/>
  <c r="C437" i="1"/>
  <c r="B437" i="1"/>
  <c r="B437" i="1" a="1"/>
  <c r="A437" i="1" a="1"/>
  <c r="A437" i="1" s="1"/>
  <c r="B436" i="1" a="1"/>
  <c r="B436" i="1" s="1"/>
  <c r="A436" i="1" a="1"/>
  <c r="A436" i="1" s="1"/>
  <c r="B435" i="1" a="1"/>
  <c r="B435" i="1" s="1"/>
  <c r="A435" i="1" a="1"/>
  <c r="A435" i="1" s="1"/>
  <c r="B434" i="1" a="1"/>
  <c r="B434" i="1" s="1"/>
  <c r="A434" i="1" a="1"/>
  <c r="A434" i="1" s="1"/>
  <c r="B433" i="1" a="1"/>
  <c r="B433" i="1" s="1"/>
  <c r="A433" i="1" a="1"/>
  <c r="A433" i="1" s="1"/>
  <c r="E433" i="1" s="1"/>
  <c r="B432" i="1"/>
  <c r="B432" i="1" a="1"/>
  <c r="A432" i="1" a="1"/>
  <c r="A432" i="1" s="1"/>
  <c r="B431" i="1"/>
  <c r="B431" i="1" a="1"/>
  <c r="A431" i="1" a="1"/>
  <c r="A431" i="1" s="1"/>
  <c r="G431" i="1" s="1"/>
  <c r="B430" i="1"/>
  <c r="B430" i="1" a="1"/>
  <c r="A430" i="1" a="1"/>
  <c r="A430" i="1" s="1"/>
  <c r="C430" i="1" s="1"/>
  <c r="B429" i="1" a="1"/>
  <c r="B429" i="1" s="1"/>
  <c r="A429" i="1" a="1"/>
  <c r="A429" i="1" s="1"/>
  <c r="G429" i="1" s="1"/>
  <c r="B428" i="1" a="1"/>
  <c r="B428" i="1" s="1"/>
  <c r="A428" i="1" a="1"/>
  <c r="A428" i="1" s="1"/>
  <c r="C428" i="1" s="1"/>
  <c r="B427" i="1" a="1"/>
  <c r="B427" i="1" s="1"/>
  <c r="A427" i="1"/>
  <c r="E427" i="1" s="1"/>
  <c r="A427" i="1" a="1"/>
  <c r="B426" i="1" a="1"/>
  <c r="B426" i="1" s="1"/>
  <c r="A426" i="1" a="1"/>
  <c r="A426" i="1" s="1"/>
  <c r="B425" i="1"/>
  <c r="B425" i="1" a="1"/>
  <c r="A425" i="1" a="1"/>
  <c r="A425" i="1" s="1"/>
  <c r="C425" i="1" s="1"/>
  <c r="E424" i="1"/>
  <c r="B424" i="1" a="1"/>
  <c r="B424" i="1" s="1"/>
  <c r="A424" i="1"/>
  <c r="C424" i="1" s="1"/>
  <c r="D424" i="1" s="1"/>
  <c r="A424" i="1" a="1"/>
  <c r="B423" i="1" a="1"/>
  <c r="B423" i="1" s="1"/>
  <c r="A423" i="1" a="1"/>
  <c r="A423" i="1" s="1"/>
  <c r="B422" i="1"/>
  <c r="B422" i="1" a="1"/>
  <c r="A422" i="1" a="1"/>
  <c r="A422" i="1" s="1"/>
  <c r="C421" i="1"/>
  <c r="B421" i="1"/>
  <c r="E421" i="1" s="1"/>
  <c r="B421" i="1" a="1"/>
  <c r="A421" i="1" a="1"/>
  <c r="A421" i="1" s="1"/>
  <c r="G421" i="1" s="1"/>
  <c r="B420" i="1"/>
  <c r="B420" i="1" a="1"/>
  <c r="A420" i="1" a="1"/>
  <c r="A420" i="1" s="1"/>
  <c r="G420" i="1" s="1"/>
  <c r="B419" i="1" a="1"/>
  <c r="B419" i="1" s="1"/>
  <c r="A419" i="1" a="1"/>
  <c r="A419" i="1" s="1"/>
  <c r="B418" i="1" a="1"/>
  <c r="B418" i="1" s="1"/>
  <c r="A418" i="1" a="1"/>
  <c r="A418" i="1" s="1"/>
  <c r="C418" i="1" s="1"/>
  <c r="B417" i="1" a="1"/>
  <c r="B417" i="1" s="1"/>
  <c r="A417" i="1" a="1"/>
  <c r="A417" i="1" s="1"/>
  <c r="B416" i="1"/>
  <c r="B416" i="1" a="1"/>
  <c r="A416" i="1" a="1"/>
  <c r="A416" i="1" s="1"/>
  <c r="B415" i="1"/>
  <c r="B415" i="1" a="1"/>
  <c r="A415" i="1"/>
  <c r="G415" i="1" s="1"/>
  <c r="A415" i="1" a="1"/>
  <c r="B414" i="1"/>
  <c r="B414" i="1" a="1"/>
  <c r="A414" i="1"/>
  <c r="A414" i="1" a="1"/>
  <c r="B413" i="1"/>
  <c r="B413" i="1" a="1"/>
  <c r="A413" i="1" a="1"/>
  <c r="A413" i="1" s="1"/>
  <c r="E412" i="1"/>
  <c r="B412" i="1" a="1"/>
  <c r="B412" i="1" s="1"/>
  <c r="A412" i="1" a="1"/>
  <c r="A412" i="1" s="1"/>
  <c r="G412" i="1" s="1"/>
  <c r="B411" i="1" a="1"/>
  <c r="B411" i="1" s="1"/>
  <c r="A411" i="1" a="1"/>
  <c r="A411" i="1" s="1"/>
  <c r="B410" i="1"/>
  <c r="B410" i="1" a="1"/>
  <c r="A410" i="1" a="1"/>
  <c r="A410" i="1" s="1"/>
  <c r="B409" i="1"/>
  <c r="B409" i="1" a="1"/>
  <c r="A409" i="1" a="1"/>
  <c r="A409" i="1" s="1"/>
  <c r="B408" i="1"/>
  <c r="B408" i="1" a="1"/>
  <c r="A408" i="1" a="1"/>
  <c r="A408" i="1" s="1"/>
  <c r="C408" i="1" s="1"/>
  <c r="B407" i="1"/>
  <c r="B407" i="1" a="1"/>
  <c r="A407" i="1" a="1"/>
  <c r="A407" i="1" s="1"/>
  <c r="B406" i="1"/>
  <c r="B406" i="1" a="1"/>
  <c r="A406" i="1" a="1"/>
  <c r="A406" i="1" s="1"/>
  <c r="E406" i="1" s="1"/>
  <c r="C405" i="1"/>
  <c r="D405" i="1" s="1"/>
  <c r="F405" i="1" s="1"/>
  <c r="B405" i="1" a="1"/>
  <c r="B405" i="1" s="1"/>
  <c r="A405" i="1" a="1"/>
  <c r="A405" i="1" s="1"/>
  <c r="E405" i="1" s="1"/>
  <c r="B404" i="1" a="1"/>
  <c r="B404" i="1" s="1"/>
  <c r="A404" i="1" a="1"/>
  <c r="A404" i="1" s="1"/>
  <c r="G404" i="1" s="1"/>
  <c r="B403" i="1" a="1"/>
  <c r="B403" i="1" s="1"/>
  <c r="A403" i="1" a="1"/>
  <c r="A403" i="1" s="1"/>
  <c r="G403" i="1" s="1"/>
  <c r="B402" i="1"/>
  <c r="B402" i="1" a="1"/>
  <c r="A402" i="1" a="1"/>
  <c r="A402" i="1" s="1"/>
  <c r="B401" i="1"/>
  <c r="B401" i="1" a="1"/>
  <c r="A401" i="1" a="1"/>
  <c r="A401" i="1" s="1"/>
  <c r="E401" i="1" s="1"/>
  <c r="B400" i="1"/>
  <c r="B400" i="1" a="1"/>
  <c r="A400" i="1" a="1"/>
  <c r="A400" i="1" s="1"/>
  <c r="B399" i="1"/>
  <c r="B399" i="1" a="1"/>
  <c r="A399" i="1" a="1"/>
  <c r="A399" i="1" s="1"/>
  <c r="G399" i="1" s="1"/>
  <c r="B398" i="1"/>
  <c r="B398" i="1" a="1"/>
  <c r="A398" i="1" a="1"/>
  <c r="A398" i="1" s="1"/>
  <c r="B397" i="1"/>
  <c r="B397" i="1" a="1"/>
  <c r="A397" i="1" a="1"/>
  <c r="A397" i="1" s="1"/>
  <c r="C397" i="1" s="1"/>
  <c r="B396" i="1" a="1"/>
  <c r="B396" i="1" s="1"/>
  <c r="A396" i="1" a="1"/>
  <c r="A396" i="1" s="1"/>
  <c r="B395" i="1"/>
  <c r="B395" i="1" a="1"/>
  <c r="A395" i="1" a="1"/>
  <c r="A395" i="1" s="1"/>
  <c r="G395" i="1" s="1"/>
  <c r="B394" i="1" a="1"/>
  <c r="B394" i="1" s="1"/>
  <c r="A394" i="1" a="1"/>
  <c r="A394" i="1" s="1"/>
  <c r="B393" i="1"/>
  <c r="D393" i="1" s="1"/>
  <c r="B393" i="1" a="1"/>
  <c r="A393" i="1" a="1"/>
  <c r="A393" i="1" s="1"/>
  <c r="C393" i="1" s="1"/>
  <c r="B392" i="1"/>
  <c r="B392" i="1" a="1"/>
  <c r="A392" i="1" a="1"/>
  <c r="A392" i="1" s="1"/>
  <c r="E392" i="1" s="1"/>
  <c r="B391" i="1" a="1"/>
  <c r="B391" i="1" s="1"/>
  <c r="A391" i="1" a="1"/>
  <c r="A391" i="1" s="1"/>
  <c r="G391" i="1" s="1"/>
  <c r="B390" i="1" a="1"/>
  <c r="B390" i="1" s="1"/>
  <c r="A390" i="1" a="1"/>
  <c r="A390" i="1" s="1"/>
  <c r="G390" i="1" s="1"/>
  <c r="B389" i="1" a="1"/>
  <c r="B389" i="1" s="1"/>
  <c r="A389" i="1" a="1"/>
  <c r="A389" i="1" s="1"/>
  <c r="E389" i="1" s="1"/>
  <c r="B388" i="1"/>
  <c r="B388" i="1" a="1"/>
  <c r="A388" i="1" a="1"/>
  <c r="A388" i="1" s="1"/>
  <c r="G388" i="1" s="1"/>
  <c r="B387" i="1" a="1"/>
  <c r="B387" i="1" s="1"/>
  <c r="A387" i="1"/>
  <c r="A387" i="1" a="1"/>
  <c r="B386" i="1" a="1"/>
  <c r="B386" i="1" s="1"/>
  <c r="A386" i="1" a="1"/>
  <c r="A386" i="1" s="1"/>
  <c r="G386" i="1" s="1"/>
  <c r="B385" i="1" a="1"/>
  <c r="B385" i="1" s="1"/>
  <c r="A385" i="1" a="1"/>
  <c r="A385" i="1" s="1"/>
  <c r="B384" i="1"/>
  <c r="B384" i="1" a="1"/>
  <c r="A384" i="1"/>
  <c r="A384" i="1" a="1"/>
  <c r="B383" i="1" a="1"/>
  <c r="B383" i="1" s="1"/>
  <c r="A383" i="1" a="1"/>
  <c r="A383" i="1" s="1"/>
  <c r="G383" i="1" s="1"/>
  <c r="B382" i="1"/>
  <c r="B382" i="1" a="1"/>
  <c r="A382" i="1" a="1"/>
  <c r="A382" i="1" s="1"/>
  <c r="G382" i="1" s="1"/>
  <c r="B381" i="1" a="1"/>
  <c r="B381" i="1" s="1"/>
  <c r="A381" i="1" a="1"/>
  <c r="A381" i="1" s="1"/>
  <c r="B380" i="1"/>
  <c r="B380" i="1" a="1"/>
  <c r="A380" i="1" a="1"/>
  <c r="A380" i="1" s="1"/>
  <c r="G380" i="1" s="1"/>
  <c r="B379" i="1"/>
  <c r="B379" i="1" a="1"/>
  <c r="A379" i="1"/>
  <c r="G379" i="1" s="1"/>
  <c r="A379" i="1" a="1"/>
  <c r="B378" i="1"/>
  <c r="B378" i="1" a="1"/>
  <c r="A378" i="1" a="1"/>
  <c r="A378" i="1" s="1"/>
  <c r="B377" i="1" a="1"/>
  <c r="B377" i="1" s="1"/>
  <c r="A377" i="1" a="1"/>
  <c r="A377" i="1" s="1"/>
  <c r="B376" i="1"/>
  <c r="B376" i="1" a="1"/>
  <c r="A376" i="1" a="1"/>
  <c r="A376" i="1" s="1"/>
  <c r="B375" i="1"/>
  <c r="B375" i="1" a="1"/>
  <c r="A375" i="1" a="1"/>
  <c r="A375" i="1" s="1"/>
  <c r="C375" i="1" s="1"/>
  <c r="B374" i="1"/>
  <c r="B374" i="1" a="1"/>
  <c r="A374" i="1" a="1"/>
  <c r="A374" i="1" s="1"/>
  <c r="B373" i="1" a="1"/>
  <c r="B373" i="1" s="1"/>
  <c r="A373" i="1" a="1"/>
  <c r="A373" i="1" s="1"/>
  <c r="B372" i="1"/>
  <c r="B372" i="1" a="1"/>
  <c r="A372" i="1" a="1"/>
  <c r="A372" i="1" s="1"/>
  <c r="B371" i="1"/>
  <c r="B371" i="1" a="1"/>
  <c r="A371" i="1" a="1"/>
  <c r="A371" i="1" s="1"/>
  <c r="B370" i="1"/>
  <c r="B370" i="1" a="1"/>
  <c r="A370" i="1" a="1"/>
  <c r="A370" i="1" s="1"/>
  <c r="B369" i="1" a="1"/>
  <c r="B369" i="1" s="1"/>
  <c r="A369" i="1" a="1"/>
  <c r="A369" i="1" s="1"/>
  <c r="B368" i="1" a="1"/>
  <c r="B368" i="1" s="1"/>
  <c r="A368" i="1"/>
  <c r="C368" i="1" s="1"/>
  <c r="D368" i="1" s="1"/>
  <c r="A368" i="1" a="1"/>
  <c r="B367" i="1"/>
  <c r="B367" i="1" a="1"/>
  <c r="A367" i="1" a="1"/>
  <c r="A367" i="1" s="1"/>
  <c r="C367" i="1" s="1"/>
  <c r="D367" i="1" s="1"/>
  <c r="B366" i="1"/>
  <c r="B366" i="1" a="1"/>
  <c r="A366" i="1"/>
  <c r="A366" i="1" a="1"/>
  <c r="G365" i="1"/>
  <c r="B365" i="1" a="1"/>
  <c r="B365" i="1" s="1"/>
  <c r="A365" i="1" a="1"/>
  <c r="A365" i="1" s="1"/>
  <c r="B364" i="1" a="1"/>
  <c r="B364" i="1" s="1"/>
  <c r="A364" i="1" a="1"/>
  <c r="A364" i="1" s="1"/>
  <c r="C364" i="1" s="1"/>
  <c r="D364" i="1" s="1"/>
  <c r="B363" i="1"/>
  <c r="B363" i="1" a="1"/>
  <c r="A363" i="1" a="1"/>
  <c r="A363" i="1" s="1"/>
  <c r="G363" i="1" s="1"/>
  <c r="B362" i="1" a="1"/>
  <c r="B362" i="1" s="1"/>
  <c r="A362" i="1" a="1"/>
  <c r="A362" i="1" s="1"/>
  <c r="C361" i="1"/>
  <c r="D361" i="1" s="1"/>
  <c r="B361" i="1" a="1"/>
  <c r="B361" i="1" s="1"/>
  <c r="A361" i="1" a="1"/>
  <c r="A361" i="1" s="1"/>
  <c r="B360" i="1" a="1"/>
  <c r="B360" i="1" s="1"/>
  <c r="A360" i="1" a="1"/>
  <c r="A360" i="1" s="1"/>
  <c r="C360" i="1" s="1"/>
  <c r="B359" i="1"/>
  <c r="B359" i="1" a="1"/>
  <c r="A359" i="1" a="1"/>
  <c r="A359" i="1" s="1"/>
  <c r="C359" i="1" s="1"/>
  <c r="B358" i="1"/>
  <c r="B358" i="1" a="1"/>
  <c r="A358" i="1" a="1"/>
  <c r="A358" i="1" s="1"/>
  <c r="B357" i="1" a="1"/>
  <c r="B357" i="1" s="1"/>
  <c r="A357" i="1" a="1"/>
  <c r="A357" i="1" s="1"/>
  <c r="G357" i="1" s="1"/>
  <c r="B356" i="1" a="1"/>
  <c r="B356" i="1" s="1"/>
  <c r="A356" i="1" a="1"/>
  <c r="A356" i="1" s="1"/>
  <c r="G356" i="1" s="1"/>
  <c r="B355" i="1"/>
  <c r="B355" i="1" a="1"/>
  <c r="A355" i="1"/>
  <c r="G355" i="1" s="1"/>
  <c r="A355" i="1" a="1"/>
  <c r="B354" i="1" a="1"/>
  <c r="B354" i="1" s="1"/>
  <c r="A354" i="1" a="1"/>
  <c r="A354" i="1" s="1"/>
  <c r="B353" i="1" a="1"/>
  <c r="B353" i="1" s="1"/>
  <c r="A353" i="1" a="1"/>
  <c r="A353" i="1" s="1"/>
  <c r="G353" i="1" s="1"/>
  <c r="E352" i="1"/>
  <c r="B352" i="1" a="1"/>
  <c r="B352" i="1" s="1"/>
  <c r="A352" i="1" a="1"/>
  <c r="A352" i="1" s="1"/>
  <c r="B351" i="1" a="1"/>
  <c r="B351" i="1" s="1"/>
  <c r="A351" i="1" a="1"/>
  <c r="A351" i="1" s="1"/>
  <c r="E351" i="1" s="1"/>
  <c r="B350" i="1"/>
  <c r="B350" i="1" a="1"/>
  <c r="A350" i="1" a="1"/>
  <c r="A350" i="1" s="1"/>
  <c r="C349" i="1"/>
  <c r="D349" i="1" s="1"/>
  <c r="B349" i="1" a="1"/>
  <c r="B349" i="1" s="1"/>
  <c r="A349" i="1" a="1"/>
  <c r="A349" i="1" s="1"/>
  <c r="G349" i="1" s="1"/>
  <c r="B348" i="1"/>
  <c r="B348" i="1" a="1"/>
  <c r="A348" i="1" a="1"/>
  <c r="A348" i="1" s="1"/>
  <c r="B347" i="1"/>
  <c r="B347" i="1" a="1"/>
  <c r="A347" i="1" a="1"/>
  <c r="A347" i="1" s="1"/>
  <c r="E347" i="1" s="1"/>
  <c r="B346" i="1" a="1"/>
  <c r="B346" i="1" s="1"/>
  <c r="A346" i="1" a="1"/>
  <c r="A346" i="1" s="1"/>
  <c r="G345" i="1"/>
  <c r="C345" i="1"/>
  <c r="D345" i="1" s="1"/>
  <c r="F345" i="1" s="1"/>
  <c r="B345" i="1" a="1"/>
  <c r="B345" i="1" s="1"/>
  <c r="A345" i="1" a="1"/>
  <c r="A345" i="1" s="1"/>
  <c r="E345" i="1" s="1"/>
  <c r="B344" i="1"/>
  <c r="B344" i="1" a="1"/>
  <c r="A344" i="1" a="1"/>
  <c r="A344" i="1" s="1"/>
  <c r="G344" i="1" s="1"/>
  <c r="B343" i="1" a="1"/>
  <c r="B343" i="1" s="1"/>
  <c r="A343" i="1" a="1"/>
  <c r="A343" i="1" s="1"/>
  <c r="G343" i="1" s="1"/>
  <c r="B342" i="1" a="1"/>
  <c r="B342" i="1" s="1"/>
  <c r="A342" i="1" a="1"/>
  <c r="A342" i="1" s="1"/>
  <c r="G342" i="1" s="1"/>
  <c r="B341" i="1" a="1"/>
  <c r="B341" i="1" s="1"/>
  <c r="A341" i="1" a="1"/>
  <c r="A341" i="1" s="1"/>
  <c r="C341" i="1" s="1"/>
  <c r="B340" i="1"/>
  <c r="B340" i="1" a="1"/>
  <c r="A340" i="1" a="1"/>
  <c r="A340" i="1" s="1"/>
  <c r="C340" i="1" s="1"/>
  <c r="D340" i="1" s="1"/>
  <c r="B339" i="1" a="1"/>
  <c r="B339" i="1" s="1"/>
  <c r="A339" i="1" a="1"/>
  <c r="A339" i="1" s="1"/>
  <c r="G339" i="1" s="1"/>
  <c r="B338" i="1" a="1"/>
  <c r="B338" i="1" s="1"/>
  <c r="A338" i="1" a="1"/>
  <c r="A338" i="1" s="1"/>
  <c r="G338" i="1" s="1"/>
  <c r="B337" i="1" a="1"/>
  <c r="B337" i="1" s="1"/>
  <c r="G337" i="1" s="1"/>
  <c r="A337" i="1" a="1"/>
  <c r="A337" i="1" s="1"/>
  <c r="C337" i="1" s="1"/>
  <c r="B336" i="1"/>
  <c r="B336" i="1" a="1"/>
  <c r="A336" i="1" a="1"/>
  <c r="A336" i="1" s="1"/>
  <c r="B335" i="1" a="1"/>
  <c r="B335" i="1" s="1"/>
  <c r="A335" i="1" a="1"/>
  <c r="A335" i="1" s="1"/>
  <c r="B334" i="1"/>
  <c r="B334" i="1" a="1"/>
  <c r="A334" i="1" a="1"/>
  <c r="A334" i="1" s="1"/>
  <c r="G334" i="1" s="1"/>
  <c r="B333" i="1" a="1"/>
  <c r="B333" i="1" s="1"/>
  <c r="A333" i="1" a="1"/>
  <c r="A333" i="1" s="1"/>
  <c r="G333" i="1" s="1"/>
  <c r="B332" i="1"/>
  <c r="B332" i="1" a="1"/>
  <c r="A332" i="1"/>
  <c r="G332" i="1" s="1"/>
  <c r="A332" i="1" a="1"/>
  <c r="B331" i="1"/>
  <c r="B331" i="1" a="1"/>
  <c r="A331" i="1" a="1"/>
  <c r="A331" i="1" s="1"/>
  <c r="B330" i="1"/>
  <c r="B330" i="1" a="1"/>
  <c r="A330" i="1" a="1"/>
  <c r="A330" i="1" s="1"/>
  <c r="G330" i="1" s="1"/>
  <c r="B329" i="1" a="1"/>
  <c r="B329" i="1" s="1"/>
  <c r="A329" i="1" a="1"/>
  <c r="A329" i="1" s="1"/>
  <c r="B328" i="1"/>
  <c r="B328" i="1" a="1"/>
  <c r="A328" i="1"/>
  <c r="A328" i="1" a="1"/>
  <c r="B327" i="1" a="1"/>
  <c r="B327" i="1" s="1"/>
  <c r="A327" i="1" a="1"/>
  <c r="A327" i="1" s="1"/>
  <c r="C327" i="1" s="1"/>
  <c r="B326" i="1"/>
  <c r="B326" i="1" a="1"/>
  <c r="A326" i="1" a="1"/>
  <c r="A326" i="1" s="1"/>
  <c r="G326" i="1" s="1"/>
  <c r="B325" i="1" a="1"/>
  <c r="B325" i="1" s="1"/>
  <c r="A325" i="1" a="1"/>
  <c r="A325" i="1" s="1"/>
  <c r="C325" i="1" s="1"/>
  <c r="D325" i="1" s="1"/>
  <c r="B324" i="1"/>
  <c r="B324" i="1" a="1"/>
  <c r="A324" i="1" a="1"/>
  <c r="A324" i="1" s="1"/>
  <c r="B323" i="1"/>
  <c r="B323" i="1" a="1"/>
  <c r="A323" i="1" a="1"/>
  <c r="A323" i="1" s="1"/>
  <c r="B322" i="1"/>
  <c r="B322" i="1" a="1"/>
  <c r="A322" i="1"/>
  <c r="A322" i="1" a="1"/>
  <c r="B321" i="1" a="1"/>
  <c r="B321" i="1" s="1"/>
  <c r="A321" i="1" a="1"/>
  <c r="A321" i="1" s="1"/>
  <c r="B320" i="1" a="1"/>
  <c r="B320" i="1" s="1"/>
  <c r="A320" i="1"/>
  <c r="G320" i="1" s="1"/>
  <c r="A320" i="1" a="1"/>
  <c r="B319" i="1"/>
  <c r="B319" i="1" a="1"/>
  <c r="A319" i="1" a="1"/>
  <c r="A319" i="1" s="1"/>
  <c r="G319" i="1" s="1"/>
  <c r="B318" i="1"/>
  <c r="B318" i="1" a="1"/>
  <c r="A318" i="1" a="1"/>
  <c r="A318" i="1" s="1"/>
  <c r="B317" i="1" a="1"/>
  <c r="B317" i="1" s="1"/>
  <c r="A317" i="1" a="1"/>
  <c r="A317" i="1" s="1"/>
  <c r="E317" i="1" s="1"/>
  <c r="B316" i="1"/>
  <c r="B316" i="1" a="1"/>
  <c r="A316" i="1" a="1"/>
  <c r="A316" i="1" s="1"/>
  <c r="B315" i="1"/>
  <c r="B315" i="1" a="1"/>
  <c r="A315" i="1" a="1"/>
  <c r="A315" i="1" s="1"/>
  <c r="G315" i="1" s="1"/>
  <c r="B314" i="1"/>
  <c r="B314" i="1" a="1"/>
  <c r="A314" i="1" a="1"/>
  <c r="A314" i="1" s="1"/>
  <c r="B313" i="1" a="1"/>
  <c r="B313" i="1" s="1"/>
  <c r="A313" i="1" a="1"/>
  <c r="A313" i="1" s="1"/>
  <c r="B312" i="1" a="1"/>
  <c r="B312" i="1" s="1"/>
  <c r="A312" i="1" a="1"/>
  <c r="A312" i="1" s="1"/>
  <c r="B311" i="1" a="1"/>
  <c r="B311" i="1" s="1"/>
  <c r="A311" i="1" a="1"/>
  <c r="A311" i="1" s="1"/>
  <c r="C311" i="1" s="1"/>
  <c r="B310" i="1"/>
  <c r="B310" i="1" a="1"/>
  <c r="A310" i="1" a="1"/>
  <c r="A310" i="1" s="1"/>
  <c r="B309" i="1" a="1"/>
  <c r="B309" i="1" s="1"/>
  <c r="A309" i="1" a="1"/>
  <c r="A309" i="1" s="1"/>
  <c r="G309" i="1" s="1"/>
  <c r="B308" i="1" a="1"/>
  <c r="B308" i="1" s="1"/>
  <c r="A308" i="1" a="1"/>
  <c r="A308" i="1" s="1"/>
  <c r="B307" i="1"/>
  <c r="B307" i="1" a="1"/>
  <c r="A307" i="1" a="1"/>
  <c r="A307" i="1" s="1"/>
  <c r="E307" i="1" s="1"/>
  <c r="B306" i="1" a="1"/>
  <c r="B306" i="1" s="1"/>
  <c r="A306" i="1" a="1"/>
  <c r="A306" i="1" s="1"/>
  <c r="B305" i="1" a="1"/>
  <c r="B305" i="1" s="1"/>
  <c r="A305" i="1" a="1"/>
  <c r="A305" i="1" s="1"/>
  <c r="G305" i="1" s="1"/>
  <c r="B304" i="1" a="1"/>
  <c r="B304" i="1" s="1"/>
  <c r="A304" i="1" a="1"/>
  <c r="A304" i="1" s="1"/>
  <c r="C304" i="1" s="1"/>
  <c r="B303" i="1" a="1"/>
  <c r="B303" i="1" s="1"/>
  <c r="A303" i="1" a="1"/>
  <c r="A303" i="1" s="1"/>
  <c r="B302" i="1" a="1"/>
  <c r="B302" i="1" s="1"/>
  <c r="A302" i="1" a="1"/>
  <c r="A302" i="1" s="1"/>
  <c r="E301" i="1"/>
  <c r="C301" i="1"/>
  <c r="B301" i="1" a="1"/>
  <c r="B301" i="1" s="1"/>
  <c r="G301" i="1" s="1"/>
  <c r="A301" i="1" a="1"/>
  <c r="A301" i="1" s="1"/>
  <c r="G300" i="1"/>
  <c r="C300" i="1"/>
  <c r="D300" i="1" s="1"/>
  <c r="F300" i="1" s="1"/>
  <c r="B300" i="1"/>
  <c r="B300" i="1" a="1"/>
  <c r="A300" i="1" a="1"/>
  <c r="A300" i="1" s="1"/>
  <c r="E300" i="1" s="1"/>
  <c r="B299" i="1"/>
  <c r="B299" i="1" a="1"/>
  <c r="A299" i="1" a="1"/>
  <c r="A299" i="1" s="1"/>
  <c r="G299" i="1" s="1"/>
  <c r="B298" i="1" a="1"/>
  <c r="B298" i="1" s="1"/>
  <c r="A298" i="1"/>
  <c r="G298" i="1" s="1"/>
  <c r="A298" i="1" a="1"/>
  <c r="G297" i="1"/>
  <c r="B297" i="1" a="1"/>
  <c r="B297" i="1" s="1"/>
  <c r="A297" i="1" a="1"/>
  <c r="A297" i="1" s="1"/>
  <c r="C297" i="1" s="1"/>
  <c r="B296" i="1"/>
  <c r="B296" i="1" a="1"/>
  <c r="A296" i="1" a="1"/>
  <c r="A296" i="1" s="1"/>
  <c r="G296" i="1" s="1"/>
  <c r="B295" i="1" a="1"/>
  <c r="B295" i="1" s="1"/>
  <c r="A295" i="1" a="1"/>
  <c r="A295" i="1" s="1"/>
  <c r="G295" i="1" s="1"/>
  <c r="B294" i="1" a="1"/>
  <c r="B294" i="1" s="1"/>
  <c r="A294" i="1" a="1"/>
  <c r="A294" i="1" s="1"/>
  <c r="B293" i="1" a="1"/>
  <c r="B293" i="1" s="1"/>
  <c r="A293" i="1" a="1"/>
  <c r="A293" i="1" s="1"/>
  <c r="G293" i="1" s="1"/>
  <c r="D292" i="1"/>
  <c r="B292" i="1"/>
  <c r="B292" i="1" a="1"/>
  <c r="A292" i="1" a="1"/>
  <c r="A292" i="1" s="1"/>
  <c r="C292" i="1" s="1"/>
  <c r="B291" i="1" a="1"/>
  <c r="B291" i="1" s="1"/>
  <c r="A291" i="1"/>
  <c r="A291" i="1" a="1"/>
  <c r="B290" i="1"/>
  <c r="B290" i="1" a="1"/>
  <c r="A290" i="1" a="1"/>
  <c r="A290" i="1" s="1"/>
  <c r="B289" i="1" a="1"/>
  <c r="B289" i="1" s="1"/>
  <c r="A289" i="1" a="1"/>
  <c r="A289" i="1" s="1"/>
  <c r="C289" i="1" s="1"/>
  <c r="D289" i="1" s="1"/>
  <c r="B288" i="1"/>
  <c r="B288" i="1" a="1"/>
  <c r="A288" i="1" a="1"/>
  <c r="A288" i="1" s="1"/>
  <c r="G288" i="1" s="1"/>
  <c r="B287" i="1" a="1"/>
  <c r="B287" i="1" s="1"/>
  <c r="A287" i="1" a="1"/>
  <c r="A287" i="1" s="1"/>
  <c r="C287" i="1" s="1"/>
  <c r="G286" i="1"/>
  <c r="B286" i="1"/>
  <c r="B286" i="1" a="1"/>
  <c r="A286" i="1" a="1"/>
  <c r="A286" i="1" s="1"/>
  <c r="B285" i="1" a="1"/>
  <c r="B285" i="1" s="1"/>
  <c r="A285" i="1" a="1"/>
  <c r="A285" i="1" s="1"/>
  <c r="B284" i="1"/>
  <c r="B284" i="1" a="1"/>
  <c r="A284" i="1" a="1"/>
  <c r="A284" i="1" s="1"/>
  <c r="G284" i="1" s="1"/>
  <c r="B283" i="1"/>
  <c r="B283" i="1" a="1"/>
  <c r="A283" i="1" a="1"/>
  <c r="A283" i="1" s="1"/>
  <c r="B282" i="1"/>
  <c r="B282" i="1" a="1"/>
  <c r="A282" i="1" a="1"/>
  <c r="A282" i="1" s="1"/>
  <c r="G282" i="1" s="1"/>
  <c r="B281" i="1" a="1"/>
  <c r="B281" i="1" s="1"/>
  <c r="A281" i="1" a="1"/>
  <c r="A281" i="1" s="1"/>
  <c r="B280" i="1" a="1"/>
  <c r="B280" i="1" s="1"/>
  <c r="A280" i="1" a="1"/>
  <c r="A280" i="1" s="1"/>
  <c r="C280" i="1" s="1"/>
  <c r="B279" i="1" a="1"/>
  <c r="B279" i="1" s="1"/>
  <c r="A279" i="1" a="1"/>
  <c r="A279" i="1" s="1"/>
  <c r="C279" i="1" s="1"/>
  <c r="B278" i="1"/>
  <c r="B278" i="1" a="1"/>
  <c r="A278" i="1" a="1"/>
  <c r="A278" i="1" s="1"/>
  <c r="B277" i="1" a="1"/>
  <c r="B277" i="1" s="1"/>
  <c r="A277" i="1" a="1"/>
  <c r="A277" i="1" s="1"/>
  <c r="C277" i="1" s="1"/>
  <c r="D277" i="1" s="1"/>
  <c r="B276" i="1"/>
  <c r="B276" i="1" a="1"/>
  <c r="A276" i="1" a="1"/>
  <c r="A276" i="1" s="1"/>
  <c r="B275" i="1"/>
  <c r="B275" i="1" a="1"/>
  <c r="A275" i="1" a="1"/>
  <c r="A275" i="1" s="1"/>
  <c r="E275" i="1" s="1"/>
  <c r="B274" i="1"/>
  <c r="B274" i="1" a="1"/>
  <c r="A274" i="1" a="1"/>
  <c r="A274" i="1" s="1"/>
  <c r="B273" i="1" a="1"/>
  <c r="B273" i="1" s="1"/>
  <c r="A273" i="1" a="1"/>
  <c r="A273" i="1" s="1"/>
  <c r="C273" i="1" s="1"/>
  <c r="D273" i="1" s="1"/>
  <c r="B272" i="1" a="1"/>
  <c r="B272" i="1" s="1"/>
  <c r="A272" i="1"/>
  <c r="C272" i="1" s="1"/>
  <c r="A272" i="1" a="1"/>
  <c r="B271" i="1"/>
  <c r="B271" i="1" a="1"/>
  <c r="A271" i="1"/>
  <c r="G271" i="1" s="1"/>
  <c r="A271" i="1" a="1"/>
  <c r="B270" i="1"/>
  <c r="B270" i="1" a="1"/>
  <c r="A270" i="1" a="1"/>
  <c r="A270" i="1" s="1"/>
  <c r="B269" i="1" a="1"/>
  <c r="B269" i="1" s="1"/>
  <c r="A269" i="1" a="1"/>
  <c r="A269" i="1" s="1"/>
  <c r="B268" i="1"/>
  <c r="B268" i="1" a="1"/>
  <c r="A268" i="1"/>
  <c r="A268" i="1" a="1"/>
  <c r="B267" i="1" a="1"/>
  <c r="B267" i="1" s="1"/>
  <c r="A267" i="1" a="1"/>
  <c r="A267" i="1" s="1"/>
  <c r="B266" i="1"/>
  <c r="B266" i="1" a="1"/>
  <c r="A266" i="1" a="1"/>
  <c r="A266" i="1" s="1"/>
  <c r="G266" i="1" s="1"/>
  <c r="B265" i="1" a="1"/>
  <c r="B265" i="1" s="1"/>
  <c r="A265" i="1" a="1"/>
  <c r="A265" i="1" s="1"/>
  <c r="E265" i="1" s="1"/>
  <c r="B264" i="1" a="1"/>
  <c r="B264" i="1" s="1"/>
  <c r="A264" i="1" a="1"/>
  <c r="A264" i="1" s="1"/>
  <c r="B263" i="1" a="1"/>
  <c r="B263" i="1" s="1"/>
  <c r="A263" i="1" a="1"/>
  <c r="A263" i="1" s="1"/>
  <c r="C263" i="1" s="1"/>
  <c r="B262" i="1" a="1"/>
  <c r="B262" i="1" s="1"/>
  <c r="A262" i="1" a="1"/>
  <c r="A262" i="1" s="1"/>
  <c r="B261" i="1" a="1"/>
  <c r="B261" i="1" s="1"/>
  <c r="A261" i="1" a="1"/>
  <c r="A261" i="1" s="1"/>
  <c r="E261" i="1" s="1"/>
  <c r="B260" i="1" a="1"/>
  <c r="B260" i="1" s="1"/>
  <c r="A260" i="1" a="1"/>
  <c r="A260" i="1" s="1"/>
  <c r="G260" i="1" s="1"/>
  <c r="B259" i="1"/>
  <c r="B259" i="1" a="1"/>
  <c r="A259" i="1" a="1"/>
  <c r="A259" i="1" s="1"/>
  <c r="B258" i="1" a="1"/>
  <c r="B258" i="1" s="1"/>
  <c r="A258" i="1" a="1"/>
  <c r="A258" i="1" s="1"/>
  <c r="C257" i="1"/>
  <c r="D257" i="1" s="1"/>
  <c r="B257" i="1" a="1"/>
  <c r="B257" i="1" s="1"/>
  <c r="A257" i="1" a="1"/>
  <c r="A257" i="1" s="1"/>
  <c r="B256" i="1" a="1"/>
  <c r="B256" i="1" s="1"/>
  <c r="G256" i="1" s="1"/>
  <c r="A256" i="1" a="1"/>
  <c r="A256" i="1" s="1"/>
  <c r="B255" i="1" a="1"/>
  <c r="B255" i="1" s="1"/>
  <c r="A255" i="1" a="1"/>
  <c r="A255" i="1" s="1"/>
  <c r="B254" i="1" a="1"/>
  <c r="B254" i="1" s="1"/>
  <c r="A254" i="1" a="1"/>
  <c r="A254" i="1" s="1"/>
  <c r="B253" i="1" a="1"/>
  <c r="B253" i="1" s="1"/>
  <c r="A253" i="1" a="1"/>
  <c r="A253" i="1" s="1"/>
  <c r="C253" i="1" s="1"/>
  <c r="D253" i="1" s="1"/>
  <c r="B252" i="1"/>
  <c r="B252" i="1" a="1"/>
  <c r="A252" i="1" a="1"/>
  <c r="A252" i="1" s="1"/>
  <c r="B251" i="1" a="1"/>
  <c r="B251" i="1" s="1"/>
  <c r="A251" i="1" a="1"/>
  <c r="A251" i="1" s="1"/>
  <c r="C251" i="1" s="1"/>
  <c r="B250" i="1" a="1"/>
  <c r="B250" i="1" s="1"/>
  <c r="A250" i="1" a="1"/>
  <c r="A250" i="1" s="1"/>
  <c r="C249" i="1"/>
  <c r="D249" i="1" s="1"/>
  <c r="B249" i="1" a="1"/>
  <c r="B249" i="1" s="1"/>
  <c r="A249" i="1" a="1"/>
  <c r="A249" i="1" s="1"/>
  <c r="G249" i="1" s="1"/>
  <c r="B248" i="1" a="1"/>
  <c r="B248" i="1" s="1"/>
  <c r="A248" i="1" a="1"/>
  <c r="A248" i="1" s="1"/>
  <c r="G248" i="1" s="1"/>
  <c r="B247" i="1" a="1"/>
  <c r="B247" i="1" s="1"/>
  <c r="A247" i="1" a="1"/>
  <c r="A247" i="1" s="1"/>
  <c r="B246" i="1" a="1"/>
  <c r="B246" i="1" s="1"/>
  <c r="A246" i="1" a="1"/>
  <c r="A246" i="1" s="1"/>
  <c r="G246" i="1" s="1"/>
  <c r="C245" i="1"/>
  <c r="D245" i="1" s="1"/>
  <c r="B245" i="1" a="1"/>
  <c r="B245" i="1" s="1"/>
  <c r="A245" i="1" a="1"/>
  <c r="A245" i="1" s="1"/>
  <c r="E245" i="1" s="1"/>
  <c r="B244" i="1"/>
  <c r="E244" i="1" s="1"/>
  <c r="B244" i="1" a="1"/>
  <c r="A244" i="1" a="1"/>
  <c r="A244" i="1" s="1"/>
  <c r="C244" i="1" s="1"/>
  <c r="E243" i="1"/>
  <c r="B243" i="1"/>
  <c r="B243" i="1" a="1"/>
  <c r="A243" i="1" a="1"/>
  <c r="A243" i="1" s="1"/>
  <c r="C243" i="1" s="1"/>
  <c r="D243" i="1" s="1"/>
  <c r="B242" i="1" a="1"/>
  <c r="B242" i="1" s="1"/>
  <c r="A242" i="1" a="1"/>
  <c r="A242" i="1" s="1"/>
  <c r="C242" i="1" s="1"/>
  <c r="B241" i="1" a="1"/>
  <c r="B241" i="1" s="1"/>
  <c r="A241" i="1" a="1"/>
  <c r="A241" i="1" s="1"/>
  <c r="G241" i="1" s="1"/>
  <c r="B240" i="1"/>
  <c r="B240" i="1" a="1"/>
  <c r="A240" i="1" a="1"/>
  <c r="A240" i="1" s="1"/>
  <c r="E240" i="1" s="1"/>
  <c r="B239" i="1"/>
  <c r="B239" i="1" a="1"/>
  <c r="A239" i="1" a="1"/>
  <c r="A239" i="1" s="1"/>
  <c r="B238" i="1" a="1"/>
  <c r="B238" i="1" s="1"/>
  <c r="A238" i="1" a="1"/>
  <c r="A238" i="1" s="1"/>
  <c r="B237" i="1" a="1"/>
  <c r="B237" i="1" s="1"/>
  <c r="A237" i="1" a="1"/>
  <c r="A237" i="1" s="1"/>
  <c r="B236" i="1" a="1"/>
  <c r="B236" i="1" s="1"/>
  <c r="A236" i="1" a="1"/>
  <c r="A236" i="1" s="1"/>
  <c r="B235" i="1"/>
  <c r="B235" i="1" a="1"/>
  <c r="A235" i="1" a="1"/>
  <c r="A235" i="1" s="1"/>
  <c r="C235" i="1" s="1"/>
  <c r="D235" i="1" s="1"/>
  <c r="B234" i="1" a="1"/>
  <c r="B234" i="1" s="1"/>
  <c r="A234" i="1" a="1"/>
  <c r="A234" i="1" s="1"/>
  <c r="E234" i="1" s="1"/>
  <c r="B233" i="1" a="1"/>
  <c r="B233" i="1" s="1"/>
  <c r="A233" i="1" a="1"/>
  <c r="A233" i="1" s="1"/>
  <c r="C233" i="1" s="1"/>
  <c r="B232" i="1"/>
  <c r="E232" i="1" s="1"/>
  <c r="B232" i="1" a="1"/>
  <c r="A232" i="1" a="1"/>
  <c r="A232" i="1" s="1"/>
  <c r="C232" i="1" s="1"/>
  <c r="B231" i="1" a="1"/>
  <c r="B231" i="1" s="1"/>
  <c r="A231" i="1" a="1"/>
  <c r="A231" i="1" s="1"/>
  <c r="B230" i="1" a="1"/>
  <c r="B230" i="1" s="1"/>
  <c r="A230" i="1" a="1"/>
  <c r="A230" i="1" s="1"/>
  <c r="E230" i="1" s="1"/>
  <c r="B229" i="1" a="1"/>
  <c r="B229" i="1" s="1"/>
  <c r="A229" i="1"/>
  <c r="A229" i="1" a="1"/>
  <c r="B228" i="1"/>
  <c r="B228" i="1" a="1"/>
  <c r="A228" i="1" a="1"/>
  <c r="A228" i="1" s="1"/>
  <c r="C228" i="1" s="1"/>
  <c r="D228" i="1" s="1"/>
  <c r="B227" i="1" a="1"/>
  <c r="B227" i="1" s="1"/>
  <c r="A227" i="1" a="1"/>
  <c r="A227" i="1" s="1"/>
  <c r="G226" i="1"/>
  <c r="B226" i="1"/>
  <c r="B226" i="1" a="1"/>
  <c r="A226" i="1" a="1"/>
  <c r="A226" i="1" s="1"/>
  <c r="B225" i="1" a="1"/>
  <c r="B225" i="1" s="1"/>
  <c r="A225" i="1"/>
  <c r="G225" i="1" s="1"/>
  <c r="A225" i="1" a="1"/>
  <c r="B224" i="1" a="1"/>
  <c r="B224" i="1" s="1"/>
  <c r="G224" i="1" s="1"/>
  <c r="A224" i="1" a="1"/>
  <c r="A224" i="1" s="1"/>
  <c r="B223" i="1" a="1"/>
  <c r="B223" i="1" s="1"/>
  <c r="A223" i="1" a="1"/>
  <c r="A223" i="1" s="1"/>
  <c r="B222" i="1"/>
  <c r="B222" i="1" a="1"/>
  <c r="A222" i="1" a="1"/>
  <c r="A222" i="1" s="1"/>
  <c r="C221" i="1"/>
  <c r="D221" i="1" s="1"/>
  <c r="B221" i="1" a="1"/>
  <c r="B221" i="1" s="1"/>
  <c r="A221" i="1"/>
  <c r="A221" i="1" a="1"/>
  <c r="B220" i="1"/>
  <c r="B220" i="1" a="1"/>
  <c r="A220" i="1" a="1"/>
  <c r="A220" i="1" s="1"/>
  <c r="B219" i="1"/>
  <c r="B219" i="1" a="1"/>
  <c r="A219" i="1" a="1"/>
  <c r="A219" i="1" s="1"/>
  <c r="B218" i="1"/>
  <c r="B218" i="1" a="1"/>
  <c r="A218" i="1" a="1"/>
  <c r="A218" i="1" s="1"/>
  <c r="C218" i="1" s="1"/>
  <c r="D218" i="1" s="1"/>
  <c r="B217" i="1" a="1"/>
  <c r="B217" i="1" s="1"/>
  <c r="A217" i="1"/>
  <c r="A217" i="1" a="1"/>
  <c r="B216" i="1"/>
  <c r="B216" i="1" a="1"/>
  <c r="A216" i="1" a="1"/>
  <c r="A216" i="1" s="1"/>
  <c r="C216" i="1" s="1"/>
  <c r="B215" i="1"/>
  <c r="B215" i="1" a="1"/>
  <c r="A215" i="1" a="1"/>
  <c r="A215" i="1" s="1"/>
  <c r="B214" i="1"/>
  <c r="B214" i="1" a="1"/>
  <c r="A214" i="1" a="1"/>
  <c r="A214" i="1" s="1"/>
  <c r="B213" i="1" a="1"/>
  <c r="B213" i="1" s="1"/>
  <c r="A213" i="1" a="1"/>
  <c r="A213" i="1" s="1"/>
  <c r="C213" i="1" s="1"/>
  <c r="D213" i="1" s="1"/>
  <c r="B212" i="1" a="1"/>
  <c r="B212" i="1" s="1"/>
  <c r="A212" i="1"/>
  <c r="A212" i="1" a="1"/>
  <c r="B211" i="1"/>
  <c r="B211" i="1" a="1"/>
  <c r="A211" i="1"/>
  <c r="A211" i="1" a="1"/>
  <c r="B210" i="1" a="1"/>
  <c r="B210" i="1" s="1"/>
  <c r="A210" i="1"/>
  <c r="E210" i="1" s="1"/>
  <c r="A210" i="1" a="1"/>
  <c r="C209" i="1"/>
  <c r="D209" i="1" s="1"/>
  <c r="B209" i="1" a="1"/>
  <c r="B209" i="1" s="1"/>
  <c r="A209" i="1" a="1"/>
  <c r="A209" i="1" s="1"/>
  <c r="G209" i="1" s="1"/>
  <c r="B208" i="1"/>
  <c r="B208" i="1" a="1"/>
  <c r="A208" i="1" a="1"/>
  <c r="A208" i="1" s="1"/>
  <c r="B207" i="1"/>
  <c r="B207" i="1" a="1"/>
  <c r="A207" i="1" a="1"/>
  <c r="A207" i="1" s="1"/>
  <c r="B206" i="1" a="1"/>
  <c r="B206" i="1" s="1"/>
  <c r="A206" i="1" a="1"/>
  <c r="A206" i="1" s="1"/>
  <c r="B205" i="1" a="1"/>
  <c r="B205" i="1" s="1"/>
  <c r="A205" i="1"/>
  <c r="A205" i="1" a="1"/>
  <c r="B204" i="1" a="1"/>
  <c r="B204" i="1" s="1"/>
  <c r="A204" i="1" a="1"/>
  <c r="A204" i="1" s="1"/>
  <c r="C204" i="1" s="1"/>
  <c r="B203" i="1" a="1"/>
  <c r="B203" i="1" s="1"/>
  <c r="A203" i="1" a="1"/>
  <c r="A203" i="1" s="1"/>
  <c r="B202" i="1"/>
  <c r="B202" i="1" a="1"/>
  <c r="A202" i="1" a="1"/>
  <c r="A202" i="1" s="1"/>
  <c r="G202" i="1" s="1"/>
  <c r="B201" i="1" a="1"/>
  <c r="B201" i="1" s="1"/>
  <c r="A201" i="1"/>
  <c r="C201" i="1" s="1"/>
  <c r="D201" i="1" s="1"/>
  <c r="A201" i="1" a="1"/>
  <c r="B200" i="1"/>
  <c r="B200" i="1" a="1"/>
  <c r="A200" i="1" a="1"/>
  <c r="A200" i="1" s="1"/>
  <c r="B199" i="1" a="1"/>
  <c r="B199" i="1" s="1"/>
  <c r="A199" i="1" a="1"/>
  <c r="A199" i="1" s="1"/>
  <c r="E199" i="1" s="1"/>
  <c r="B198" i="1"/>
  <c r="B198" i="1" a="1"/>
  <c r="A198" i="1" a="1"/>
  <c r="A198" i="1" s="1"/>
  <c r="B197" i="1" a="1"/>
  <c r="B197" i="1" s="1"/>
  <c r="A197" i="1" a="1"/>
  <c r="A197" i="1" s="1"/>
  <c r="G196" i="1"/>
  <c r="B196" i="1"/>
  <c r="B196" i="1" a="1"/>
  <c r="A196" i="1" a="1"/>
  <c r="A196" i="1" s="1"/>
  <c r="C196" i="1" s="1"/>
  <c r="D196" i="1" s="1"/>
  <c r="B195" i="1"/>
  <c r="B195" i="1" a="1"/>
  <c r="A195" i="1" a="1"/>
  <c r="A195" i="1" s="1"/>
  <c r="C195" i="1" s="1"/>
  <c r="B194" i="1"/>
  <c r="B194" i="1" a="1"/>
  <c r="A194" i="1" a="1"/>
  <c r="A194" i="1" s="1"/>
  <c r="B193" i="1" a="1"/>
  <c r="B193" i="1" s="1"/>
  <c r="A193" i="1" a="1"/>
  <c r="A193" i="1" s="1"/>
  <c r="B192" i="1"/>
  <c r="B192" i="1" a="1"/>
  <c r="A192" i="1" a="1"/>
  <c r="A192" i="1" s="1"/>
  <c r="B191" i="1"/>
  <c r="B191" i="1" a="1"/>
  <c r="A191" i="1" a="1"/>
  <c r="A191" i="1" s="1"/>
  <c r="B190" i="1" a="1"/>
  <c r="B190" i="1" s="1"/>
  <c r="A190" i="1"/>
  <c r="C190" i="1" s="1"/>
  <c r="D190" i="1" s="1"/>
  <c r="A190" i="1" a="1"/>
  <c r="B189" i="1" a="1"/>
  <c r="B189" i="1" s="1"/>
  <c r="A189" i="1" a="1"/>
  <c r="A189" i="1" s="1"/>
  <c r="C189" i="1" s="1"/>
  <c r="B188" i="1" a="1"/>
  <c r="B188" i="1" s="1"/>
  <c r="A188" i="1"/>
  <c r="C188" i="1" s="1"/>
  <c r="D188" i="1" s="1"/>
  <c r="A188" i="1" a="1"/>
  <c r="B187" i="1"/>
  <c r="B187" i="1" a="1"/>
  <c r="A187" i="1" a="1"/>
  <c r="A187" i="1" s="1"/>
  <c r="G187" i="1" s="1"/>
  <c r="B186" i="1" a="1"/>
  <c r="B186" i="1" s="1"/>
  <c r="A186" i="1" a="1"/>
  <c r="A186" i="1" s="1"/>
  <c r="G186" i="1" s="1"/>
  <c r="B185" i="1" a="1"/>
  <c r="B185" i="1" s="1"/>
  <c r="A185" i="1" a="1"/>
  <c r="A185" i="1" s="1"/>
  <c r="B184" i="1"/>
  <c r="B184" i="1" a="1"/>
  <c r="A184" i="1" a="1"/>
  <c r="A184" i="1" s="1"/>
  <c r="B183" i="1" a="1"/>
  <c r="B183" i="1" s="1"/>
  <c r="A183" i="1" a="1"/>
  <c r="A183" i="1" s="1"/>
  <c r="B182" i="1" a="1"/>
  <c r="B182" i="1" s="1"/>
  <c r="A182" i="1" a="1"/>
  <c r="A182" i="1" s="1"/>
  <c r="C182" i="1" s="1"/>
  <c r="B181" i="1" a="1"/>
  <c r="B181" i="1" s="1"/>
  <c r="A181" i="1" a="1"/>
  <c r="A181" i="1" s="1"/>
  <c r="B180" i="1" a="1"/>
  <c r="B180" i="1" s="1"/>
  <c r="A180" i="1" a="1"/>
  <c r="A180" i="1" s="1"/>
  <c r="C180" i="1" s="1"/>
  <c r="D180" i="1" s="1"/>
  <c r="C179" i="1"/>
  <c r="D179" i="1" s="1"/>
  <c r="B179" i="1" a="1"/>
  <c r="B179" i="1" s="1"/>
  <c r="A179" i="1" a="1"/>
  <c r="A179" i="1" s="1"/>
  <c r="G179" i="1" s="1"/>
  <c r="B178" i="1"/>
  <c r="B178" i="1" a="1"/>
  <c r="A178" i="1" a="1"/>
  <c r="A178" i="1" s="1"/>
  <c r="B177" i="1" a="1"/>
  <c r="B177" i="1" s="1"/>
  <c r="A177" i="1"/>
  <c r="E177" i="1" s="1"/>
  <c r="A177" i="1" a="1"/>
  <c r="B176" i="1" a="1"/>
  <c r="B176" i="1" s="1"/>
  <c r="A176" i="1" a="1"/>
  <c r="A176" i="1" s="1"/>
  <c r="B175" i="1" a="1"/>
  <c r="B175" i="1" s="1"/>
  <c r="A175" i="1" a="1"/>
  <c r="A175" i="1" s="1"/>
  <c r="B174" i="1"/>
  <c r="B174" i="1" a="1"/>
  <c r="A174" i="1" a="1"/>
  <c r="A174" i="1" s="1"/>
  <c r="E174" i="1" s="1"/>
  <c r="B173" i="1" a="1"/>
  <c r="B173" i="1" s="1"/>
  <c r="A173" i="1" a="1"/>
  <c r="A173" i="1" s="1"/>
  <c r="B172" i="1"/>
  <c r="B172" i="1" a="1"/>
  <c r="A172" i="1"/>
  <c r="C172" i="1" s="1"/>
  <c r="A172" i="1" a="1"/>
  <c r="B171" i="1"/>
  <c r="B171" i="1" a="1"/>
  <c r="A171" i="1" a="1"/>
  <c r="A171" i="1" s="1"/>
  <c r="C171" i="1" s="1"/>
  <c r="D171" i="1" s="1"/>
  <c r="B170" i="1" a="1"/>
  <c r="B170" i="1" s="1"/>
  <c r="A170" i="1" a="1"/>
  <c r="A170" i="1" s="1"/>
  <c r="C170" i="1" s="1"/>
  <c r="B169" i="1" a="1"/>
  <c r="B169" i="1" s="1"/>
  <c r="A169" i="1" a="1"/>
  <c r="A169" i="1" s="1"/>
  <c r="G169" i="1" s="1"/>
  <c r="B168" i="1"/>
  <c r="B168" i="1" a="1"/>
  <c r="A168" i="1"/>
  <c r="A168" i="1" a="1"/>
  <c r="B167" i="1"/>
  <c r="B167" i="1" a="1"/>
  <c r="A167" i="1" a="1"/>
  <c r="A167" i="1" s="1"/>
  <c r="G167" i="1" s="1"/>
  <c r="B166" i="1" a="1"/>
  <c r="B166" i="1" s="1"/>
  <c r="A166" i="1" a="1"/>
  <c r="A166" i="1" s="1"/>
  <c r="B165" i="1" a="1"/>
  <c r="B165" i="1" s="1"/>
  <c r="A165" i="1" a="1"/>
  <c r="A165" i="1" s="1"/>
  <c r="B164" i="1" a="1"/>
  <c r="B164" i="1" s="1"/>
  <c r="A164" i="1" a="1"/>
  <c r="A164" i="1" s="1"/>
  <c r="B163" i="1"/>
  <c r="B163" i="1" a="1"/>
  <c r="A163" i="1" a="1"/>
  <c r="A163" i="1" s="1"/>
  <c r="C163" i="1" s="1"/>
  <c r="D163" i="1" s="1"/>
  <c r="B162" i="1" a="1"/>
  <c r="B162" i="1" s="1"/>
  <c r="A162" i="1" a="1"/>
  <c r="A162" i="1" s="1"/>
  <c r="E162" i="1" s="1"/>
  <c r="C161" i="1"/>
  <c r="B161" i="1" a="1"/>
  <c r="B161" i="1" s="1"/>
  <c r="A161" i="1" a="1"/>
  <c r="A161" i="1" s="1"/>
  <c r="B160" i="1"/>
  <c r="B160" i="1" a="1"/>
  <c r="A160" i="1" a="1"/>
  <c r="A160" i="1" s="1"/>
  <c r="C160" i="1" s="1"/>
  <c r="B159" i="1" a="1"/>
  <c r="B159" i="1" s="1"/>
  <c r="A159" i="1" a="1"/>
  <c r="A159" i="1" s="1"/>
  <c r="B158" i="1" a="1"/>
  <c r="B158" i="1" s="1"/>
  <c r="A158" i="1" a="1"/>
  <c r="A158" i="1" s="1"/>
  <c r="B157" i="1" a="1"/>
  <c r="B157" i="1" s="1"/>
  <c r="A157" i="1"/>
  <c r="G157" i="1" s="1"/>
  <c r="A157" i="1" a="1"/>
  <c r="B156" i="1"/>
  <c r="B156" i="1" a="1"/>
  <c r="A156" i="1" a="1"/>
  <c r="A156" i="1" s="1"/>
  <c r="C156" i="1" s="1"/>
  <c r="D156" i="1" s="1"/>
  <c r="B155" i="1" a="1"/>
  <c r="B155" i="1" s="1"/>
  <c r="A155" i="1" a="1"/>
  <c r="A155" i="1" s="1"/>
  <c r="G154" i="1"/>
  <c r="B154" i="1"/>
  <c r="B154" i="1" a="1"/>
  <c r="A154" i="1" a="1"/>
  <c r="A154" i="1" s="1"/>
  <c r="B153" i="1" a="1"/>
  <c r="B153" i="1" s="1"/>
  <c r="A153" i="1"/>
  <c r="G153" i="1" s="1"/>
  <c r="A153" i="1" a="1"/>
  <c r="B152" i="1" a="1"/>
  <c r="B152" i="1" s="1"/>
  <c r="A152" i="1" a="1"/>
  <c r="A152" i="1" s="1"/>
  <c r="B151" i="1" a="1"/>
  <c r="B151" i="1" s="1"/>
  <c r="A151" i="1" a="1"/>
  <c r="A151" i="1" s="1"/>
  <c r="G151" i="1" s="1"/>
  <c r="B150" i="1"/>
  <c r="B150" i="1" a="1"/>
  <c r="A150" i="1" a="1"/>
  <c r="A150" i="1" s="1"/>
  <c r="B149" i="1" a="1"/>
  <c r="B149" i="1" s="1"/>
  <c r="A149" i="1"/>
  <c r="C149" i="1" s="1"/>
  <c r="D149" i="1" s="1"/>
  <c r="A149" i="1" a="1"/>
  <c r="B148" i="1"/>
  <c r="B148" i="1" a="1"/>
  <c r="A148" i="1" a="1"/>
  <c r="A148" i="1" s="1"/>
  <c r="G147" i="1"/>
  <c r="B147" i="1"/>
  <c r="B147" i="1" a="1"/>
  <c r="A147" i="1" a="1"/>
  <c r="A147" i="1" s="1"/>
  <c r="C147" i="1" s="1"/>
  <c r="D147" i="1" s="1"/>
  <c r="B146" i="1" a="1"/>
  <c r="B146" i="1" s="1"/>
  <c r="A146" i="1"/>
  <c r="C146" i="1" s="1"/>
  <c r="D146" i="1" s="1"/>
  <c r="A146" i="1" a="1"/>
  <c r="B145" i="1" a="1"/>
  <c r="B145" i="1" s="1"/>
  <c r="A145" i="1" a="1"/>
  <c r="A145" i="1" s="1"/>
  <c r="B144" i="1"/>
  <c r="B144" i="1" a="1"/>
  <c r="A144" i="1" a="1"/>
  <c r="A144" i="1" s="1"/>
  <c r="C144" i="1" s="1"/>
  <c r="B143" i="1"/>
  <c r="B143" i="1" a="1"/>
  <c r="A143" i="1" a="1"/>
  <c r="A143" i="1" s="1"/>
  <c r="B142" i="1"/>
  <c r="B142" i="1" a="1"/>
  <c r="A142" i="1" a="1"/>
  <c r="A142" i="1" s="1"/>
  <c r="B141" i="1" a="1"/>
  <c r="B141" i="1" s="1"/>
  <c r="A141" i="1" a="1"/>
  <c r="A141" i="1" s="1"/>
  <c r="C141" i="1" s="1"/>
  <c r="D141" i="1" s="1"/>
  <c r="B140" i="1" a="1"/>
  <c r="B140" i="1" s="1"/>
  <c r="A140" i="1" a="1"/>
  <c r="A140" i="1" s="1"/>
  <c r="B139" i="1" a="1"/>
  <c r="B139" i="1" s="1"/>
  <c r="A139" i="1" a="1"/>
  <c r="A139" i="1" s="1"/>
  <c r="B138" i="1" a="1"/>
  <c r="B138" i="1" s="1"/>
  <c r="A138" i="1" a="1"/>
  <c r="A138" i="1" s="1"/>
  <c r="E137" i="1"/>
  <c r="C137" i="1"/>
  <c r="D137" i="1" s="1"/>
  <c r="F137" i="1" s="1"/>
  <c r="B137" i="1" a="1"/>
  <c r="B137" i="1" s="1"/>
  <c r="A137" i="1" a="1"/>
  <c r="A137" i="1" s="1"/>
  <c r="G137" i="1" s="1"/>
  <c r="B136" i="1"/>
  <c r="E136" i="1" s="1"/>
  <c r="B136" i="1" a="1"/>
  <c r="A136" i="1" a="1"/>
  <c r="A136" i="1" s="1"/>
  <c r="G136" i="1" s="1"/>
  <c r="B135" i="1"/>
  <c r="B135" i="1" a="1"/>
  <c r="A135" i="1" a="1"/>
  <c r="A135" i="1" s="1"/>
  <c r="B134" i="1" a="1"/>
  <c r="B134" i="1" s="1"/>
  <c r="A134" i="1" a="1"/>
  <c r="A134" i="1" s="1"/>
  <c r="E134" i="1" s="1"/>
  <c r="B133" i="1" a="1"/>
  <c r="B133" i="1" s="1"/>
  <c r="A133" i="1" a="1"/>
  <c r="A133" i="1" s="1"/>
  <c r="B132" i="1" a="1"/>
  <c r="B132" i="1" s="1"/>
  <c r="A132" i="1" a="1"/>
  <c r="A132" i="1" s="1"/>
  <c r="C132" i="1" s="1"/>
  <c r="D132" i="1" s="1"/>
  <c r="B131" i="1" a="1"/>
  <c r="B131" i="1" s="1"/>
  <c r="A131" i="1" a="1"/>
  <c r="A131" i="1" s="1"/>
  <c r="B130" i="1" a="1"/>
  <c r="B130" i="1" s="1"/>
  <c r="A130" i="1" a="1"/>
  <c r="A130" i="1" s="1"/>
  <c r="B129" i="1" a="1"/>
  <c r="B129" i="1" s="1"/>
  <c r="A129" i="1" a="1"/>
  <c r="A129" i="1" s="1"/>
  <c r="B128" i="1"/>
  <c r="B128" i="1" a="1"/>
  <c r="A128" i="1" a="1"/>
  <c r="A128" i="1" s="1"/>
  <c r="G128" i="1" s="1"/>
  <c r="B127" i="1" a="1"/>
  <c r="B127" i="1" s="1"/>
  <c r="A127" i="1" a="1"/>
  <c r="A127" i="1" s="1"/>
  <c r="E127" i="1" s="1"/>
  <c r="B126" i="1"/>
  <c r="B126" i="1" a="1"/>
  <c r="A126" i="1" a="1"/>
  <c r="A126" i="1" s="1"/>
  <c r="B125" i="1" a="1"/>
  <c r="B125" i="1" s="1"/>
  <c r="A125" i="1" a="1"/>
  <c r="A125" i="1" s="1"/>
  <c r="B124" i="1"/>
  <c r="B124" i="1" a="1"/>
  <c r="A124" i="1" a="1"/>
  <c r="A124" i="1" s="1"/>
  <c r="C124" i="1" s="1"/>
  <c r="D124" i="1" s="1"/>
  <c r="B123" i="1" a="1"/>
  <c r="B123" i="1" s="1"/>
  <c r="A123" i="1" a="1"/>
  <c r="A123" i="1" s="1"/>
  <c r="C123" i="1" s="1"/>
  <c r="B122" i="1"/>
  <c r="B122" i="1" a="1"/>
  <c r="A122" i="1" a="1"/>
  <c r="A122" i="1" s="1"/>
  <c r="B121" i="1" a="1"/>
  <c r="B121" i="1" s="1"/>
  <c r="A121" i="1" a="1"/>
  <c r="A121" i="1" s="1"/>
  <c r="B120" i="1"/>
  <c r="B120" i="1" a="1"/>
  <c r="A120" i="1" a="1"/>
  <c r="A120" i="1" s="1"/>
  <c r="G120" i="1" s="1"/>
  <c r="B119" i="1"/>
  <c r="B119" i="1" a="1"/>
  <c r="A119" i="1" a="1"/>
  <c r="A119" i="1" s="1"/>
  <c r="B118" i="1" a="1"/>
  <c r="B118" i="1" s="1"/>
  <c r="A118" i="1"/>
  <c r="C118" i="1" s="1"/>
  <c r="D118" i="1" s="1"/>
  <c r="A118" i="1" a="1"/>
  <c r="B117" i="1" a="1"/>
  <c r="B117" i="1" s="1"/>
  <c r="G117" i="1" s="1"/>
  <c r="A117" i="1" a="1"/>
  <c r="A117" i="1" s="1"/>
  <c r="C117" i="1" s="1"/>
  <c r="B116" i="1" a="1"/>
  <c r="B116" i="1" s="1"/>
  <c r="A116" i="1"/>
  <c r="A116" i="1" a="1"/>
  <c r="B115" i="1"/>
  <c r="B115" i="1" a="1"/>
  <c r="A115" i="1" a="1"/>
  <c r="A115" i="1" s="1"/>
  <c r="G115" i="1" s="1"/>
  <c r="B114" i="1" a="1"/>
  <c r="B114" i="1" s="1"/>
  <c r="A114" i="1" a="1"/>
  <c r="A114" i="1" s="1"/>
  <c r="G114" i="1" s="1"/>
  <c r="B113" i="1" a="1"/>
  <c r="B113" i="1" s="1"/>
  <c r="A113" i="1" a="1"/>
  <c r="A113" i="1" s="1"/>
  <c r="E112" i="1"/>
  <c r="B112" i="1"/>
  <c r="B112" i="1" a="1"/>
  <c r="A112" i="1" a="1"/>
  <c r="A112" i="1" s="1"/>
  <c r="G112" i="1" s="1"/>
  <c r="B111" i="1" a="1"/>
  <c r="B111" i="1" s="1"/>
  <c r="A111" i="1" a="1"/>
  <c r="A111" i="1" s="1"/>
  <c r="B110" i="1" a="1"/>
  <c r="B110" i="1" s="1"/>
  <c r="A110" i="1" a="1"/>
  <c r="A110" i="1" s="1"/>
  <c r="C110" i="1" s="1"/>
  <c r="B109" i="1" a="1"/>
  <c r="B109" i="1" s="1"/>
  <c r="A109" i="1" a="1"/>
  <c r="A109" i="1" s="1"/>
  <c r="C108" i="1"/>
  <c r="B108" i="1" a="1"/>
  <c r="B108" i="1" s="1"/>
  <c r="A108" i="1" a="1"/>
  <c r="A108" i="1" s="1"/>
  <c r="B107" i="1" a="1"/>
  <c r="B107" i="1" s="1"/>
  <c r="A107" i="1" a="1"/>
  <c r="A107" i="1" s="1"/>
  <c r="B106" i="1"/>
  <c r="B106" i="1" a="1"/>
  <c r="A106" i="1" a="1"/>
  <c r="A106" i="1" s="1"/>
  <c r="B105" i="1" a="1"/>
  <c r="B105" i="1" s="1"/>
  <c r="A105" i="1" a="1"/>
  <c r="A105" i="1" s="1"/>
  <c r="E105" i="1" s="1"/>
  <c r="B104" i="1" a="1"/>
  <c r="B104" i="1" s="1"/>
  <c r="A104" i="1"/>
  <c r="A104" i="1" a="1"/>
  <c r="B103" i="1" a="1"/>
  <c r="B103" i="1" s="1"/>
  <c r="A103" i="1" a="1"/>
  <c r="A103" i="1" s="1"/>
  <c r="B102" i="1"/>
  <c r="B102" i="1" a="1"/>
  <c r="A102" i="1" a="1"/>
  <c r="A102" i="1" s="1"/>
  <c r="E102" i="1" s="1"/>
  <c r="B101" i="1" a="1"/>
  <c r="B101" i="1" s="1"/>
  <c r="A101" i="1" a="1"/>
  <c r="A101" i="1" s="1"/>
  <c r="B100" i="1"/>
  <c r="E100" i="1" s="1"/>
  <c r="B100" i="1" a="1"/>
  <c r="A100" i="1" a="1"/>
  <c r="A100" i="1" s="1"/>
  <c r="C100" i="1" s="1"/>
  <c r="B99" i="1"/>
  <c r="B99" i="1" a="1"/>
  <c r="A99" i="1" a="1"/>
  <c r="A99" i="1" s="1"/>
  <c r="C99" i="1" s="1"/>
  <c r="D99" i="1" s="1"/>
  <c r="B98" i="1" a="1"/>
  <c r="B98" i="1" s="1"/>
  <c r="A98" i="1" a="1"/>
  <c r="A98" i="1" s="1"/>
  <c r="C98" i="1" s="1"/>
  <c r="B97" i="1" a="1"/>
  <c r="B97" i="1" s="1"/>
  <c r="A97" i="1" a="1"/>
  <c r="A97" i="1" s="1"/>
  <c r="B96" i="1"/>
  <c r="B96" i="1" a="1"/>
  <c r="A96" i="1"/>
  <c r="E96" i="1" s="1"/>
  <c r="A96" i="1" a="1"/>
  <c r="B95" i="1"/>
  <c r="B95" i="1" a="1"/>
  <c r="A95" i="1" a="1"/>
  <c r="A95" i="1" s="1"/>
  <c r="B94" i="1" a="1"/>
  <c r="B94" i="1" s="1"/>
  <c r="A94" i="1" a="1"/>
  <c r="A94" i="1" s="1"/>
  <c r="G93" i="1"/>
  <c r="B93" i="1" a="1"/>
  <c r="B93" i="1" s="1"/>
  <c r="A93" i="1" a="1"/>
  <c r="A93" i="1" s="1"/>
  <c r="B92" i="1" a="1"/>
  <c r="B92" i="1" s="1"/>
  <c r="A92" i="1"/>
  <c r="A92" i="1" a="1"/>
  <c r="B91" i="1"/>
  <c r="B91" i="1" a="1"/>
  <c r="A91" i="1" a="1"/>
  <c r="A91" i="1" s="1"/>
  <c r="B90" i="1" a="1"/>
  <c r="B90" i="1" s="1"/>
  <c r="A90" i="1" a="1"/>
  <c r="A90" i="1" s="1"/>
  <c r="C89" i="1"/>
  <c r="B89" i="1" a="1"/>
  <c r="B89" i="1" s="1"/>
  <c r="G89" i="1" s="1"/>
  <c r="A89" i="1" a="1"/>
  <c r="A89" i="1" s="1"/>
  <c r="B88" i="1" a="1"/>
  <c r="B88" i="1" s="1"/>
  <c r="A88" i="1" a="1"/>
  <c r="A88" i="1" s="1"/>
  <c r="C88" i="1" s="1"/>
  <c r="B87" i="1" a="1"/>
  <c r="B87" i="1" s="1"/>
  <c r="A87" i="1" a="1"/>
  <c r="A87" i="1" s="1"/>
  <c r="G86" i="1"/>
  <c r="B86" i="1" a="1"/>
  <c r="B86" i="1" s="1"/>
  <c r="A86" i="1" a="1"/>
  <c r="A86" i="1" s="1"/>
  <c r="E86" i="1" s="1"/>
  <c r="E85" i="1"/>
  <c r="B85" i="1" a="1"/>
  <c r="B85" i="1" s="1"/>
  <c r="A85" i="1" a="1"/>
  <c r="A85" i="1" s="1"/>
  <c r="G85" i="1" s="1"/>
  <c r="B84" i="1"/>
  <c r="B84" i="1" a="1"/>
  <c r="A84" i="1"/>
  <c r="A84" i="1" a="1"/>
  <c r="B83" i="1" a="1"/>
  <c r="B83" i="1" s="1"/>
  <c r="A83" i="1" a="1"/>
  <c r="A83" i="1" s="1"/>
  <c r="B82" i="1"/>
  <c r="B82" i="1" a="1"/>
  <c r="A82" i="1" a="1"/>
  <c r="A82" i="1" s="1"/>
  <c r="E82" i="1" s="1"/>
  <c r="B81" i="1" a="1"/>
  <c r="B81" i="1" s="1"/>
  <c r="A81" i="1" a="1"/>
  <c r="A81" i="1" s="1"/>
  <c r="B80" i="1" a="1"/>
  <c r="B80" i="1" s="1"/>
  <c r="A80" i="1" a="1"/>
  <c r="A80" i="1" s="1"/>
  <c r="G80" i="1" s="1"/>
  <c r="B79" i="1" a="1"/>
  <c r="B79" i="1" s="1"/>
  <c r="A79" i="1" a="1"/>
  <c r="A79" i="1" s="1"/>
  <c r="G78" i="1"/>
  <c r="C78" i="1"/>
  <c r="D78" i="1" s="1"/>
  <c r="B78" i="1"/>
  <c r="B78" i="1" a="1"/>
  <c r="A78" i="1" a="1"/>
  <c r="A78" i="1" s="1"/>
  <c r="B77" i="1" a="1"/>
  <c r="B77" i="1" s="1"/>
  <c r="A77" i="1" a="1"/>
  <c r="A77" i="1" s="1"/>
  <c r="B76" i="1"/>
  <c r="B76" i="1" a="1"/>
  <c r="A76" i="1" a="1"/>
  <c r="A76" i="1" s="1"/>
  <c r="C76" i="1" s="1"/>
  <c r="D76" i="1" s="1"/>
  <c r="B75" i="1" a="1"/>
  <c r="B75" i="1" s="1"/>
  <c r="A75" i="1" a="1"/>
  <c r="A75" i="1" s="1"/>
  <c r="C75" i="1" s="1"/>
  <c r="B74" i="1" a="1"/>
  <c r="B74" i="1" s="1"/>
  <c r="A74" i="1" a="1"/>
  <c r="A74" i="1" s="1"/>
  <c r="C74" i="1" s="1"/>
  <c r="B73" i="1" a="1"/>
  <c r="B73" i="1" s="1"/>
  <c r="A73" i="1" a="1"/>
  <c r="A73" i="1" s="1"/>
  <c r="B72" i="1"/>
  <c r="B72" i="1" a="1"/>
  <c r="A72" i="1" a="1"/>
  <c r="A72" i="1" s="1"/>
  <c r="B71" i="1" a="1"/>
  <c r="B71" i="1" s="1"/>
  <c r="A71" i="1" a="1"/>
  <c r="A71" i="1" s="1"/>
  <c r="C70" i="1"/>
  <c r="B70" i="1" a="1"/>
  <c r="B70" i="1" s="1"/>
  <c r="A70" i="1" a="1"/>
  <c r="A70" i="1" s="1"/>
  <c r="B69" i="1" a="1"/>
  <c r="B69" i="1" s="1"/>
  <c r="A69" i="1" a="1"/>
  <c r="A69" i="1" s="1"/>
  <c r="B68" i="1"/>
  <c r="B68" i="1" a="1"/>
  <c r="A68" i="1" a="1"/>
  <c r="A68" i="1" s="1"/>
  <c r="G68" i="1" s="1"/>
  <c r="B67" i="1"/>
  <c r="B67" i="1" a="1"/>
  <c r="A67" i="1" a="1"/>
  <c r="A67" i="1" s="1"/>
  <c r="C67" i="1" s="1"/>
  <c r="D67" i="1" s="1"/>
  <c r="B66" i="1" a="1"/>
  <c r="B66" i="1" s="1"/>
  <c r="A66" i="1" a="1"/>
  <c r="A66" i="1" s="1"/>
  <c r="B65" i="1" a="1"/>
  <c r="B65" i="1" s="1"/>
  <c r="A65" i="1" a="1"/>
  <c r="A65" i="1" s="1"/>
  <c r="C64" i="1"/>
  <c r="D64" i="1" s="1"/>
  <c r="B64" i="1"/>
  <c r="B64" i="1" a="1"/>
  <c r="A64" i="1"/>
  <c r="A64" i="1" a="1"/>
  <c r="B63" i="1" a="1"/>
  <c r="B63" i="1" s="1"/>
  <c r="A63" i="1" a="1"/>
  <c r="A63" i="1" s="1"/>
  <c r="C63" i="1" s="1"/>
  <c r="D63" i="1" s="1"/>
  <c r="B62" i="1" a="1"/>
  <c r="B62" i="1" s="1"/>
  <c r="A62" i="1" a="1"/>
  <c r="A62" i="1" s="1"/>
  <c r="C62" i="1" s="1"/>
  <c r="B61" i="1" a="1"/>
  <c r="B61" i="1" s="1"/>
  <c r="A61" i="1" a="1"/>
  <c r="A61" i="1" s="1"/>
  <c r="B60" i="1" a="1"/>
  <c r="B60" i="1" s="1"/>
  <c r="A60" i="1" a="1"/>
  <c r="A60" i="1" s="1"/>
  <c r="B59" i="1"/>
  <c r="G59" i="1" s="1"/>
  <c r="B59" i="1" a="1"/>
  <c r="A59" i="1"/>
  <c r="C59" i="1" s="1"/>
  <c r="D59" i="1" s="1"/>
  <c r="A59" i="1" a="1"/>
  <c r="B58" i="1" a="1"/>
  <c r="B58" i="1" s="1"/>
  <c r="A58" i="1" a="1"/>
  <c r="A58" i="1" s="1"/>
  <c r="C58" i="1" s="1"/>
  <c r="B57" i="1" a="1"/>
  <c r="B57" i="1" s="1"/>
  <c r="A57" i="1" a="1"/>
  <c r="A57" i="1" s="1"/>
  <c r="C56" i="1"/>
  <c r="B56" i="1" a="1"/>
  <c r="B56" i="1" s="1"/>
  <c r="A56" i="1" a="1"/>
  <c r="A56" i="1" s="1"/>
  <c r="B55" i="1"/>
  <c r="D55" i="1" s="1"/>
  <c r="B55" i="1" a="1"/>
  <c r="A55" i="1" a="1"/>
  <c r="A55" i="1" s="1"/>
  <c r="C55" i="1" s="1"/>
  <c r="B54" i="1" a="1"/>
  <c r="B54" i="1" s="1"/>
  <c r="A54" i="1" a="1"/>
  <c r="A54" i="1" s="1"/>
  <c r="B53" i="1" a="1"/>
  <c r="B53" i="1" s="1"/>
  <c r="A53" i="1" a="1"/>
  <c r="A53" i="1" s="1"/>
  <c r="B52" i="1" a="1"/>
  <c r="B52" i="1" s="1"/>
  <c r="A52" i="1" a="1"/>
  <c r="A52" i="1" s="1"/>
  <c r="C52" i="1" s="1"/>
  <c r="B51" i="1"/>
  <c r="B51" i="1" a="1"/>
  <c r="A51" i="1" a="1"/>
  <c r="A51" i="1" s="1"/>
  <c r="B50" i="1"/>
  <c r="B50" i="1" a="1"/>
  <c r="A50" i="1" a="1"/>
  <c r="A50" i="1" s="1"/>
  <c r="B49" i="1" a="1"/>
  <c r="B49" i="1" s="1"/>
  <c r="A49" i="1" a="1"/>
  <c r="A49" i="1" s="1"/>
  <c r="G49" i="1" s="1"/>
  <c r="B48" i="1" a="1"/>
  <c r="B48" i="1" s="1"/>
  <c r="A48" i="1" a="1"/>
  <c r="A48" i="1" s="1"/>
  <c r="C48" i="1" s="1"/>
  <c r="D48" i="1" s="1"/>
  <c r="B47" i="1"/>
  <c r="B47" i="1" a="1"/>
  <c r="A47" i="1" a="1"/>
  <c r="A47" i="1" s="1"/>
  <c r="B46" i="1" a="1"/>
  <c r="B46" i="1" s="1"/>
  <c r="A46" i="1" a="1"/>
  <c r="A46" i="1" s="1"/>
  <c r="G46" i="1" s="1"/>
  <c r="B45" i="1" a="1"/>
  <c r="B45" i="1" s="1"/>
  <c r="A45" i="1"/>
  <c r="G45" i="1" s="1"/>
  <c r="A45" i="1" a="1"/>
  <c r="B44" i="1" a="1"/>
  <c r="B44" i="1" s="1"/>
  <c r="A44" i="1" a="1"/>
  <c r="A44" i="1" s="1"/>
  <c r="C44" i="1" s="1"/>
  <c r="B43" i="1" a="1"/>
  <c r="B43" i="1" s="1"/>
  <c r="A43" i="1" a="1"/>
  <c r="A43" i="1" s="1"/>
  <c r="C42" i="1"/>
  <c r="B42" i="1"/>
  <c r="B42" i="1" a="1"/>
  <c r="A42" i="1" a="1"/>
  <c r="A42" i="1" s="1"/>
  <c r="E41" i="1"/>
  <c r="B41" i="1" a="1"/>
  <c r="B41" i="1" s="1"/>
  <c r="A41" i="1" a="1"/>
  <c r="A41" i="1" s="1"/>
  <c r="B40" i="1" a="1"/>
  <c r="B40" i="1" s="1"/>
  <c r="A40" i="1" a="1"/>
  <c r="A40" i="1" s="1"/>
  <c r="B39" i="1" a="1"/>
  <c r="B39" i="1" s="1"/>
  <c r="A39" i="1" a="1"/>
  <c r="A39" i="1" s="1"/>
  <c r="C38" i="1"/>
  <c r="D38" i="1" s="1"/>
  <c r="B38" i="1"/>
  <c r="B38" i="1" a="1"/>
  <c r="A38" i="1" a="1"/>
  <c r="A38" i="1" s="1"/>
  <c r="G38" i="1" s="1"/>
  <c r="B37" i="1" a="1"/>
  <c r="B37" i="1" s="1"/>
  <c r="A37" i="1" a="1"/>
  <c r="A37" i="1" s="1"/>
  <c r="B36" i="1"/>
  <c r="B36" i="1" a="1"/>
  <c r="A36" i="1" a="1"/>
  <c r="A36" i="1" s="1"/>
  <c r="B35" i="1" a="1"/>
  <c r="B35" i="1" s="1"/>
  <c r="A35" i="1" a="1"/>
  <c r="A35" i="1" s="1"/>
  <c r="B34" i="1"/>
  <c r="B34" i="1" a="1"/>
  <c r="A34" i="1" a="1"/>
  <c r="A34" i="1" s="1"/>
  <c r="E34" i="1" s="1"/>
  <c r="B33" i="1" a="1"/>
  <c r="B33" i="1" s="1"/>
  <c r="A33" i="1" a="1"/>
  <c r="A33" i="1" s="1"/>
  <c r="B32" i="1" a="1"/>
  <c r="B32" i="1" s="1"/>
  <c r="A32" i="1" a="1"/>
  <c r="A32" i="1" s="1"/>
  <c r="B31" i="1" a="1"/>
  <c r="B31" i="1" s="1"/>
  <c r="A31" i="1" a="1"/>
  <c r="A31" i="1" s="1"/>
  <c r="G30" i="1"/>
  <c r="C30" i="1"/>
  <c r="D30" i="1" s="1"/>
  <c r="B30" i="1"/>
  <c r="B30" i="1" a="1"/>
  <c r="A30" i="1" a="1"/>
  <c r="A30" i="1" s="1"/>
  <c r="B29" i="1" a="1"/>
  <c r="B29" i="1" s="1"/>
  <c r="A29" i="1" a="1"/>
  <c r="A29" i="1" s="1"/>
  <c r="B28" i="1"/>
  <c r="B28" i="1" a="1"/>
  <c r="A28" i="1" a="1"/>
  <c r="A28" i="1" s="1"/>
  <c r="C28" i="1" s="1"/>
  <c r="B27" i="1" a="1"/>
  <c r="B27" i="1" s="1"/>
  <c r="A27" i="1" a="1"/>
  <c r="A27" i="1" s="1"/>
  <c r="C27" i="1" s="1"/>
  <c r="B26" i="1" a="1"/>
  <c r="B26" i="1" s="1"/>
  <c r="A26" i="1" a="1"/>
  <c r="A26" i="1" s="1"/>
  <c r="C26" i="1" s="1"/>
  <c r="D26" i="1" s="1"/>
  <c r="B25" i="1" a="1"/>
  <c r="B25" i="1" s="1"/>
  <c r="A25" i="1" a="1"/>
  <c r="A25" i="1" s="1"/>
  <c r="B24" i="1"/>
  <c r="B24" i="1" a="1"/>
  <c r="A24" i="1" a="1"/>
  <c r="A24" i="1" s="1"/>
  <c r="B23" i="1" a="1"/>
  <c r="B23" i="1" s="1"/>
  <c r="A23" i="1" a="1"/>
  <c r="A23" i="1" s="1"/>
  <c r="B22" i="1" a="1"/>
  <c r="B22" i="1" s="1"/>
  <c r="A22" i="1" a="1"/>
  <c r="A22" i="1" s="1"/>
  <c r="C22" i="1" s="1"/>
  <c r="B21" i="1" a="1"/>
  <c r="B21" i="1" s="1"/>
  <c r="A21" i="1" a="1"/>
  <c r="A21" i="1" s="1"/>
  <c r="B20" i="1"/>
  <c r="B20" i="1" a="1"/>
  <c r="A20" i="1" a="1"/>
  <c r="A20" i="1" s="1"/>
  <c r="G20" i="1" s="1"/>
  <c r="B19" i="1"/>
  <c r="B19" i="1" a="1"/>
  <c r="A19" i="1" a="1"/>
  <c r="A19" i="1" s="1"/>
  <c r="C19" i="1" s="1"/>
  <c r="D19" i="1" s="1"/>
  <c r="C18" i="1"/>
  <c r="B18" i="1" a="1"/>
  <c r="B18" i="1" s="1"/>
  <c r="A18" i="1" a="1"/>
  <c r="A18" i="1" s="1"/>
  <c r="G18" i="1" s="1"/>
  <c r="B17" i="1" a="1"/>
  <c r="B17" i="1" s="1"/>
  <c r="A17" i="1" a="1"/>
  <c r="A17" i="1" s="1"/>
  <c r="B16" i="1"/>
  <c r="B16" i="1" a="1"/>
  <c r="A16" i="1" a="1"/>
  <c r="A16" i="1" s="1"/>
  <c r="B15" i="1" a="1"/>
  <c r="B15" i="1" s="1"/>
  <c r="A15" i="1"/>
  <c r="C15" i="1" s="1"/>
  <c r="D15" i="1" s="1"/>
  <c r="A15" i="1" a="1"/>
  <c r="B14" i="1" a="1"/>
  <c r="B14" i="1" s="1"/>
  <c r="A14" i="1" a="1"/>
  <c r="A14" i="1" s="1"/>
  <c r="C14" i="1" s="1"/>
  <c r="E13" i="1"/>
  <c r="B13" i="1" a="1"/>
  <c r="B13" i="1" s="1"/>
  <c r="A13" i="1"/>
  <c r="C13" i="1" s="1"/>
  <c r="D13" i="1" s="1"/>
  <c r="A13" i="1" a="1"/>
  <c r="B12" i="1" a="1"/>
  <c r="B12" i="1" s="1"/>
  <c r="A12" i="1" a="1"/>
  <c r="A12" i="1" s="1"/>
  <c r="G12" i="1" s="1"/>
  <c r="B11" i="1"/>
  <c r="B11" i="1" a="1"/>
  <c r="A11" i="1"/>
  <c r="C11" i="1" s="1"/>
  <c r="A11" i="1" a="1"/>
  <c r="E10" i="1"/>
  <c r="C10" i="1"/>
  <c r="D10" i="1" s="1"/>
  <c r="F10" i="1" s="1"/>
  <c r="B10" i="1"/>
  <c r="G10" i="1" s="1"/>
  <c r="B10" i="1" a="1"/>
  <c r="A10" i="1" a="1"/>
  <c r="A10" i="1" s="1"/>
  <c r="B9" i="1" a="1"/>
  <c r="B9" i="1" s="1"/>
  <c r="A9" i="1"/>
  <c r="G9" i="1" s="1"/>
  <c r="A9" i="1" a="1"/>
  <c r="B8" i="1" a="1"/>
  <c r="B8" i="1" s="1"/>
  <c r="A8" i="1" a="1"/>
  <c r="A8" i="1" s="1"/>
  <c r="B7" i="1"/>
  <c r="B7" i="1" a="1"/>
  <c r="A7" i="1" a="1"/>
  <c r="A7" i="1" s="1"/>
  <c r="C6" i="1"/>
  <c r="B6" i="1" a="1"/>
  <c r="B6" i="1" s="1"/>
  <c r="A6" i="1" a="1"/>
  <c r="A6" i="1" s="1"/>
  <c r="G6" i="1" s="1"/>
  <c r="B5" i="1"/>
  <c r="B5" i="1" a="1"/>
  <c r="A5" i="1" a="1"/>
  <c r="A5" i="1" s="1"/>
  <c r="B4" i="1"/>
  <c r="B4" i="1" a="1"/>
  <c r="A4" i="1" a="1"/>
  <c r="A4" i="1" s="1"/>
  <c r="B3" i="1" a="1"/>
  <c r="B3" i="1" s="1"/>
  <c r="A3" i="1" a="1"/>
  <c r="A3" i="1" s="1"/>
  <c r="B2" i="1" a="1"/>
  <c r="B2" i="1" s="1"/>
  <c r="A2" i="1" a="1"/>
  <c r="A2" i="1" s="1"/>
  <c r="E303" i="1" l="1"/>
  <c r="G303" i="1"/>
  <c r="E536" i="1"/>
  <c r="C536" i="1"/>
  <c r="D536" i="1" s="1"/>
  <c r="C553" i="1"/>
  <c r="D553" i="1" s="1"/>
  <c r="G553" i="1"/>
  <c r="C658" i="1"/>
  <c r="D658" i="1" s="1"/>
  <c r="E658" i="1"/>
  <c r="E740" i="1"/>
  <c r="C740" i="1"/>
  <c r="D740" i="1" s="1"/>
  <c r="G752" i="1"/>
  <c r="C810" i="1"/>
  <c r="D810" i="1" s="1"/>
  <c r="E810" i="1"/>
  <c r="E331" i="1"/>
  <c r="G331" i="1"/>
  <c r="C331" i="1"/>
  <c r="D331" i="1" s="1"/>
  <c r="F331" i="1" s="1"/>
  <c r="G362" i="1"/>
  <c r="G182" i="1"/>
  <c r="C414" i="1"/>
  <c r="E414" i="1"/>
  <c r="G740" i="1"/>
  <c r="G843" i="1"/>
  <c r="E843" i="1"/>
  <c r="E2074" i="1"/>
  <c r="C2074" i="1"/>
  <c r="D2074" i="1" s="1"/>
  <c r="E1033" i="1"/>
  <c r="G255" i="1"/>
  <c r="C255" i="1"/>
  <c r="D255" i="1" s="1"/>
  <c r="G92" i="1"/>
  <c r="E92" i="1"/>
  <c r="E384" i="1"/>
  <c r="C384" i="1"/>
  <c r="D384" i="1" s="1"/>
  <c r="E541" i="1"/>
  <c r="F541" i="1" s="1"/>
  <c r="G541" i="1"/>
  <c r="G959" i="1"/>
  <c r="C959" i="1"/>
  <c r="D959" i="1" s="1"/>
  <c r="E1002" i="1"/>
  <c r="C1002" i="1"/>
  <c r="D1002" i="1" s="1"/>
  <c r="E328" i="1"/>
  <c r="G328" i="1"/>
  <c r="C328" i="1"/>
  <c r="D328" i="1" s="1"/>
  <c r="G463" i="1"/>
  <c r="C463" i="1"/>
  <c r="D463" i="1" s="1"/>
  <c r="E611" i="1"/>
  <c r="E986" i="1"/>
  <c r="C986" i="1"/>
  <c r="D986" i="1" s="1"/>
  <c r="G1018" i="1"/>
  <c r="C1018" i="1"/>
  <c r="D1018" i="1" s="1"/>
  <c r="F1018" i="1" s="1"/>
  <c r="C1123" i="1"/>
  <c r="G1123" i="1"/>
  <c r="E1123" i="1"/>
  <c r="E1557" i="1"/>
  <c r="F1557" i="1" s="1"/>
  <c r="C1557" i="1"/>
  <c r="D1557" i="1" s="1"/>
  <c r="C594" i="1"/>
  <c r="E594" i="1"/>
  <c r="E795" i="1"/>
  <c r="C795" i="1"/>
  <c r="D795" i="1" s="1"/>
  <c r="F795" i="1" s="1"/>
  <c r="E305" i="1"/>
  <c r="C694" i="1"/>
  <c r="D694" i="1" s="1"/>
  <c r="E694" i="1"/>
  <c r="G718" i="1"/>
  <c r="C718" i="1"/>
  <c r="D718" i="1" s="1"/>
  <c r="E999" i="1"/>
  <c r="C999" i="1"/>
  <c r="D999" i="1" s="1"/>
  <c r="G1083" i="1"/>
  <c r="C1083" i="1"/>
  <c r="D1083" i="1" s="1"/>
  <c r="E1391" i="1"/>
  <c r="C1391" i="1"/>
  <c r="D1391" i="1" s="1"/>
  <c r="F1391" i="1" s="1"/>
  <c r="G107" i="1"/>
  <c r="E107" i="1"/>
  <c r="C107" i="1"/>
  <c r="D107" i="1" s="1"/>
  <c r="F107" i="1" s="1"/>
  <c r="C237" i="1"/>
  <c r="D237" i="1" s="1"/>
  <c r="E237" i="1"/>
  <c r="C373" i="1"/>
  <c r="D373" i="1" s="1"/>
  <c r="G373" i="1"/>
  <c r="F424" i="1"/>
  <c r="C820" i="1"/>
  <c r="D820" i="1" s="1"/>
  <c r="E820" i="1"/>
  <c r="C1158" i="1"/>
  <c r="D1158" i="1" s="1"/>
  <c r="F1158" i="1" s="1"/>
  <c r="E157" i="1"/>
  <c r="E211" i="1"/>
  <c r="C211" i="1"/>
  <c r="G223" i="1"/>
  <c r="C223" i="1"/>
  <c r="D223" i="1" s="1"/>
  <c r="G252" i="1"/>
  <c r="C252" i="1"/>
  <c r="D252" i="1" s="1"/>
  <c r="E377" i="1"/>
  <c r="G377" i="1"/>
  <c r="G381" i="1"/>
  <c r="C381" i="1"/>
  <c r="G871" i="1"/>
  <c r="C871" i="1"/>
  <c r="D871" i="1" s="1"/>
  <c r="G1023" i="1"/>
  <c r="C1023" i="1"/>
  <c r="D1023" i="1" s="1"/>
  <c r="C1074" i="1"/>
  <c r="D1074" i="1" s="1"/>
  <c r="G1074" i="1"/>
  <c r="E1115" i="1"/>
  <c r="C1115" i="1"/>
  <c r="D1115" i="1" s="1"/>
  <c r="F1115" i="1" s="1"/>
  <c r="G16" i="1"/>
  <c r="E16" i="1"/>
  <c r="C16" i="1"/>
  <c r="D16" i="1" s="1"/>
  <c r="G268" i="1"/>
  <c r="C268" i="1"/>
  <c r="D268" i="1" s="1"/>
  <c r="C352" i="1"/>
  <c r="G352" i="1"/>
  <c r="C167" i="1"/>
  <c r="D167" i="1" s="1"/>
  <c r="E373" i="1"/>
  <c r="E889" i="1"/>
  <c r="C889" i="1"/>
  <c r="C264" i="1"/>
  <c r="E264" i="1"/>
  <c r="C392" i="1"/>
  <c r="G392" i="1"/>
  <c r="C409" i="1"/>
  <c r="D409" i="1" s="1"/>
  <c r="G409" i="1"/>
  <c r="C434" i="1"/>
  <c r="D434" i="1" s="1"/>
  <c r="G434" i="1"/>
  <c r="C557" i="1"/>
  <c r="D557" i="1" s="1"/>
  <c r="E557" i="1"/>
  <c r="C593" i="1"/>
  <c r="D593" i="1" s="1"/>
  <c r="E593" i="1"/>
  <c r="G517" i="1"/>
  <c r="G616" i="1"/>
  <c r="C902" i="1"/>
  <c r="D902" i="1" s="1"/>
  <c r="F902" i="1" s="1"/>
  <c r="G1040" i="1"/>
  <c r="E1092" i="1"/>
  <c r="C1092" i="1"/>
  <c r="D1092" i="1" s="1"/>
  <c r="E1317" i="1"/>
  <c r="F1317" i="1" s="1"/>
  <c r="F1529" i="1"/>
  <c r="G1642" i="1"/>
  <c r="G1685" i="1"/>
  <c r="G2849" i="1"/>
  <c r="E2849" i="1"/>
  <c r="C2849" i="1"/>
  <c r="D2849" i="1" s="1"/>
  <c r="G200" i="1"/>
  <c r="E430" i="1"/>
  <c r="G505" i="1"/>
  <c r="G557" i="1"/>
  <c r="G565" i="1"/>
  <c r="E590" i="1"/>
  <c r="G887" i="1"/>
  <c r="G902" i="1"/>
  <c r="G926" i="1"/>
  <c r="G1216" i="1"/>
  <c r="G1252" i="1"/>
  <c r="F1454" i="1"/>
  <c r="F1608" i="1"/>
  <c r="G1876" i="1"/>
  <c r="E1932" i="1"/>
  <c r="G2113" i="1"/>
  <c r="C2237" i="1"/>
  <c r="D2237" i="1" s="1"/>
  <c r="G2237" i="1"/>
  <c r="E2237" i="1"/>
  <c r="F2237" i="1" s="1"/>
  <c r="G2269" i="1"/>
  <c r="C2269" i="1"/>
  <c r="D2269" i="1" s="1"/>
  <c r="C2407" i="1"/>
  <c r="D2407" i="1" s="1"/>
  <c r="F2407" i="1" s="1"/>
  <c r="G2407" i="1"/>
  <c r="G211" i="1"/>
  <c r="E381" i="1"/>
  <c r="E167" i="1"/>
  <c r="E260" i="1"/>
  <c r="G302" i="1"/>
  <c r="G408" i="1"/>
  <c r="E689" i="1"/>
  <c r="F689" i="1" s="1"/>
  <c r="G700" i="1"/>
  <c r="G868" i="1"/>
  <c r="E1081" i="1"/>
  <c r="G1092" i="1"/>
  <c r="F1690" i="1"/>
  <c r="G1702" i="1"/>
  <c r="E1702" i="1"/>
  <c r="C1711" i="1"/>
  <c r="D1711" i="1" s="1"/>
  <c r="G1711" i="1"/>
  <c r="C1807" i="1"/>
  <c r="D1807" i="1" s="1"/>
  <c r="G1807" i="1"/>
  <c r="E2185" i="1"/>
  <c r="C2185" i="1"/>
  <c r="D2185" i="1" s="1"/>
  <c r="F2257" i="1"/>
  <c r="E2497" i="1"/>
  <c r="C2497" i="1"/>
  <c r="D2497" i="1" s="1"/>
  <c r="F2497" i="1" s="1"/>
  <c r="C1160" i="1"/>
  <c r="D1160" i="1" s="1"/>
  <c r="E1160" i="1"/>
  <c r="E1335" i="1"/>
  <c r="G1335" i="1"/>
  <c r="F1512" i="1"/>
  <c r="G19" i="1"/>
  <c r="C45" i="1"/>
  <c r="D45" i="1" s="1"/>
  <c r="E179" i="1"/>
  <c r="F179" i="1" s="1"/>
  <c r="G188" i="1"/>
  <c r="E209" i="1"/>
  <c r="F209" i="1" s="1"/>
  <c r="G289" i="1"/>
  <c r="E292" i="1"/>
  <c r="C339" i="1"/>
  <c r="D339" i="1" s="1"/>
  <c r="C343" i="1"/>
  <c r="D343" i="1" s="1"/>
  <c r="G351" i="1"/>
  <c r="E359" i="1"/>
  <c r="E371" i="1"/>
  <c r="E393" i="1"/>
  <c r="C412" i="1"/>
  <c r="D412" i="1" s="1"/>
  <c r="G598" i="1"/>
  <c r="E605" i="1"/>
  <c r="E711" i="1"/>
  <c r="C1111" i="1"/>
  <c r="D1111" i="1" s="1"/>
  <c r="G1208" i="1"/>
  <c r="E1249" i="1"/>
  <c r="E1512" i="1"/>
  <c r="C1953" i="1"/>
  <c r="D1953" i="1" s="1"/>
  <c r="F1953" i="1" s="1"/>
  <c r="C197" i="2" s="1"/>
  <c r="E1953" i="1"/>
  <c r="G2088" i="1"/>
  <c r="E2088" i="1"/>
  <c r="C2097" i="1"/>
  <c r="G2097" i="1"/>
  <c r="E2097" i="1"/>
  <c r="F2281" i="1"/>
  <c r="G1276" i="1"/>
  <c r="E45" i="1"/>
  <c r="E160" i="1"/>
  <c r="G292" i="1"/>
  <c r="F368" i="1"/>
  <c r="G393" i="1"/>
  <c r="E475" i="1"/>
  <c r="E602" i="1"/>
  <c r="E959" i="1"/>
  <c r="F959" i="1" s="1"/>
  <c r="G1002" i="1"/>
  <c r="E1407" i="1"/>
  <c r="C1407" i="1"/>
  <c r="D1407" i="1" s="1"/>
  <c r="F1407" i="1" s="1"/>
  <c r="C1417" i="1"/>
  <c r="D1417" i="1" s="1"/>
  <c r="E1417" i="1"/>
  <c r="E1538" i="1"/>
  <c r="C1590" i="1"/>
  <c r="D1590" i="1" s="1"/>
  <c r="F1590" i="1" s="1"/>
  <c r="E1957" i="1"/>
  <c r="F1957" i="1" s="1"/>
  <c r="G2695" i="1"/>
  <c r="E2695" i="1"/>
  <c r="C2695" i="1"/>
  <c r="D2695" i="1" s="1"/>
  <c r="G2796" i="1"/>
  <c r="E2796" i="1"/>
  <c r="C2888" i="1"/>
  <c r="G2888" i="1"/>
  <c r="G2944" i="1"/>
  <c r="E2944" i="1"/>
  <c r="G13" i="1"/>
  <c r="G42" i="1"/>
  <c r="C86" i="1"/>
  <c r="D86" i="1" s="1"/>
  <c r="F86" i="1" s="1"/>
  <c r="E116" i="1"/>
  <c r="G189" i="1"/>
  <c r="F249" i="1"/>
  <c r="E297" i="1"/>
  <c r="E360" i="1"/>
  <c r="E368" i="1"/>
  <c r="E515" i="1"/>
  <c r="G536" i="1"/>
  <c r="G602" i="1"/>
  <c r="E643" i="1"/>
  <c r="E1074" i="1"/>
  <c r="G1160" i="1"/>
  <c r="G1590" i="1"/>
  <c r="E1823" i="1"/>
  <c r="G1823" i="1"/>
  <c r="G245" i="1"/>
  <c r="E249" i="1"/>
  <c r="E253" i="1"/>
  <c r="G368" i="1"/>
  <c r="C444" i="1"/>
  <c r="D444" i="1" s="1"/>
  <c r="G460" i="1"/>
  <c r="G476" i="1"/>
  <c r="G592" i="1"/>
  <c r="C643" i="1"/>
  <c r="D643" i="1" s="1"/>
  <c r="C948" i="1"/>
  <c r="D948" i="1" s="1"/>
  <c r="F948" i="1" s="1"/>
  <c r="C1136" i="1"/>
  <c r="D1234" i="1"/>
  <c r="E1462" i="1"/>
  <c r="G1462" i="1"/>
  <c r="C1680" i="1"/>
  <c r="D1680" i="1" s="1"/>
  <c r="F1680" i="1" s="1"/>
  <c r="E1680" i="1"/>
  <c r="C2111" i="1"/>
  <c r="D2111" i="1" s="1"/>
  <c r="G2111" i="1"/>
  <c r="G2346" i="1"/>
  <c r="E2346" i="1"/>
  <c r="G1578" i="1"/>
  <c r="C1578" i="1"/>
  <c r="D1578" i="1" s="1"/>
  <c r="G1653" i="1"/>
  <c r="G1699" i="1"/>
  <c r="G1722" i="1"/>
  <c r="C1722" i="1"/>
  <c r="D1722" i="1" s="1"/>
  <c r="C1773" i="1"/>
  <c r="D1773" i="1" s="1"/>
  <c r="F1773" i="1" s="1"/>
  <c r="G1773" i="1"/>
  <c r="E1773" i="1"/>
  <c r="C1823" i="1"/>
  <c r="D1823" i="1" s="1"/>
  <c r="E1854" i="1"/>
  <c r="E2818" i="1"/>
  <c r="G2818" i="1"/>
  <c r="C2818" i="1"/>
  <c r="D2818" i="1" s="1"/>
  <c r="F2818" i="1" s="1"/>
  <c r="G254" i="1"/>
  <c r="G267" i="1"/>
  <c r="G341" i="1"/>
  <c r="F492" i="1"/>
  <c r="G508" i="1"/>
  <c r="E675" i="1"/>
  <c r="G856" i="1"/>
  <c r="E1197" i="1"/>
  <c r="C1258" i="1"/>
  <c r="D1258" i="1" s="1"/>
  <c r="F1258" i="1" s="1"/>
  <c r="F1462" i="1"/>
  <c r="C1540" i="1"/>
  <c r="D1540" i="1" s="1"/>
  <c r="F1540" i="1" s="1"/>
  <c r="G1540" i="1"/>
  <c r="C1629" i="1"/>
  <c r="D1629" i="1" s="1"/>
  <c r="F1629" i="1" s="1"/>
  <c r="G1629" i="1"/>
  <c r="E1641" i="1"/>
  <c r="C1758" i="1"/>
  <c r="D1758" i="1" s="1"/>
  <c r="F1758" i="1" s="1"/>
  <c r="G1758" i="1"/>
  <c r="E2163" i="1"/>
  <c r="C2163" i="1"/>
  <c r="D2163" i="1" s="1"/>
  <c r="C2566" i="1"/>
  <c r="D2566" i="1" s="1"/>
  <c r="G2566" i="1"/>
  <c r="E993" i="1"/>
  <c r="E1193" i="1"/>
  <c r="E1308" i="1"/>
  <c r="E1316" i="1"/>
  <c r="E1713" i="1"/>
  <c r="F1713" i="1" s="1"/>
  <c r="G1706" i="1"/>
  <c r="E1706" i="1"/>
  <c r="F1706" i="1" s="1"/>
  <c r="C1746" i="1"/>
  <c r="D1746" i="1" s="1"/>
  <c r="G1746" i="1"/>
  <c r="E1766" i="1"/>
  <c r="C1766" i="1"/>
  <c r="D1766" i="1" s="1"/>
  <c r="F1876" i="1"/>
  <c r="C1886" i="1"/>
  <c r="D1886" i="1" s="1"/>
  <c r="F1886" i="1" s="1"/>
  <c r="E1886" i="1"/>
  <c r="G2331" i="1"/>
  <c r="E2331" i="1"/>
  <c r="E2436" i="1"/>
  <c r="C2436" i="1"/>
  <c r="D2436" i="1" s="1"/>
  <c r="E1121" i="1"/>
  <c r="E1149" i="1"/>
  <c r="E1636" i="1"/>
  <c r="E1840" i="1"/>
  <c r="E2275" i="1"/>
  <c r="E2381" i="1"/>
  <c r="F2381" i="1" s="1"/>
  <c r="C2516" i="1"/>
  <c r="G2867" i="1"/>
  <c r="C2622" i="1"/>
  <c r="D2622" i="1" s="1"/>
  <c r="E2688" i="1"/>
  <c r="G1366" i="1"/>
  <c r="E1401" i="1"/>
  <c r="G1464" i="1"/>
  <c r="G1645" i="1"/>
  <c r="E1665" i="1"/>
  <c r="G1690" i="1"/>
  <c r="F2010" i="1"/>
  <c r="E2168" i="1"/>
  <c r="F2168" i="1" s="1"/>
  <c r="E2158" i="1"/>
  <c r="E2297" i="1"/>
  <c r="G2327" i="1"/>
  <c r="E2349" i="1"/>
  <c r="F2414" i="1"/>
  <c r="F2417" i="1"/>
  <c r="E2595" i="1"/>
  <c r="G2672" i="1"/>
  <c r="C2904" i="1"/>
  <c r="D2904" i="1" s="1"/>
  <c r="G2810" i="1"/>
  <c r="G2876" i="1"/>
  <c r="G2771" i="1"/>
  <c r="E2785" i="1"/>
  <c r="C2852" i="1"/>
  <c r="D2852" i="1" s="1"/>
  <c r="E2295" i="1"/>
  <c r="F2295" i="1" s="1"/>
  <c r="G2418" i="1"/>
  <c r="G2507" i="1"/>
  <c r="C2542" i="1"/>
  <c r="D2542" i="1" s="1"/>
  <c r="E2668" i="1"/>
  <c r="E2706" i="1"/>
  <c r="G2880" i="1"/>
  <c r="E2888" i="1"/>
  <c r="E2314" i="1"/>
  <c r="G2387" i="1"/>
  <c r="E2402" i="1"/>
  <c r="F2402" i="1" s="1"/>
  <c r="C2656" i="1"/>
  <c r="C2682" i="1"/>
  <c r="D2682" i="1" s="1"/>
  <c r="F2682" i="1" s="1"/>
  <c r="E1338" i="1"/>
  <c r="E1364" i="1"/>
  <c r="E1372" i="1"/>
  <c r="E1825" i="1"/>
  <c r="G1834" i="1"/>
  <c r="G1865" i="1"/>
  <c r="E2641" i="1"/>
  <c r="C2877" i="1"/>
  <c r="D2877" i="1" s="1"/>
  <c r="G2207" i="1"/>
  <c r="G2795" i="1"/>
  <c r="G2853" i="1"/>
  <c r="G2857" i="1"/>
  <c r="G2861" i="1"/>
  <c r="G1858" i="1"/>
  <c r="G1974" i="1"/>
  <c r="G2450" i="1"/>
  <c r="G2560" i="1"/>
  <c r="G2602" i="1"/>
  <c r="C2719" i="1"/>
  <c r="D2719" i="1" s="1"/>
  <c r="F2719" i="1" s="1"/>
  <c r="E2947" i="1"/>
  <c r="G72" i="1"/>
  <c r="C72" i="1"/>
  <c r="D72" i="1" s="1"/>
  <c r="G129" i="1"/>
  <c r="C129" i="1"/>
  <c r="D129" i="1" s="1"/>
  <c r="F129" i="1" s="1"/>
  <c r="E129" i="1"/>
  <c r="E24" i="1"/>
  <c r="C24" i="1"/>
  <c r="D24" i="1" s="1"/>
  <c r="G184" i="1"/>
  <c r="E184" i="1"/>
  <c r="C184" i="1"/>
  <c r="D184" i="1" s="1"/>
  <c r="C148" i="1"/>
  <c r="D148" i="1" s="1"/>
  <c r="E148" i="1"/>
  <c r="E504" i="1"/>
  <c r="C504" i="1"/>
  <c r="D504" i="1" s="1"/>
  <c r="F504" i="1" s="1"/>
  <c r="E140" i="1"/>
  <c r="G140" i="1"/>
  <c r="G239" i="1"/>
  <c r="C239" i="1"/>
  <c r="D239" i="1" s="1"/>
  <c r="C61" i="1"/>
  <c r="D61" i="1" s="1"/>
  <c r="E61" i="1"/>
  <c r="E53" i="1"/>
  <c r="G53" i="1"/>
  <c r="G64" i="1"/>
  <c r="E64" i="1"/>
  <c r="F64" i="1" s="1"/>
  <c r="G229" i="1"/>
  <c r="E229" i="1"/>
  <c r="E256" i="1"/>
  <c r="C256" i="1"/>
  <c r="C271" i="1"/>
  <c r="D271" i="1" s="1"/>
  <c r="G291" i="1"/>
  <c r="C291" i="1"/>
  <c r="D291" i="1" s="1"/>
  <c r="E336" i="1"/>
  <c r="C336" i="1"/>
  <c r="G523" i="1"/>
  <c r="E523" i="1"/>
  <c r="C523" i="1"/>
  <c r="D523" i="1" s="1"/>
  <c r="C577" i="1"/>
  <c r="D577" i="1" s="1"/>
  <c r="E577" i="1"/>
  <c r="E50" i="1"/>
  <c r="G50" i="1"/>
  <c r="C482" i="1"/>
  <c r="D482" i="1" s="1"/>
  <c r="G482" i="1"/>
  <c r="G831" i="1"/>
  <c r="E831" i="1"/>
  <c r="C1848" i="1"/>
  <c r="D1848" i="1" s="1"/>
  <c r="E1848" i="1"/>
  <c r="G1848" i="1"/>
  <c r="G308" i="1"/>
  <c r="C308" i="1"/>
  <c r="D308" i="1" s="1"/>
  <c r="C807" i="1"/>
  <c r="D807" i="1" s="1"/>
  <c r="F807" i="1" s="1"/>
  <c r="E807" i="1"/>
  <c r="C828" i="1"/>
  <c r="D828" i="1" s="1"/>
  <c r="E828" i="1"/>
  <c r="G828" i="1"/>
  <c r="G67" i="1"/>
  <c r="C151" i="1"/>
  <c r="D151" i="1" s="1"/>
  <c r="E271" i="1"/>
  <c r="E279" i="1"/>
  <c r="E1498" i="1"/>
  <c r="G1498" i="1"/>
  <c r="C1498" i="1"/>
  <c r="D1498" i="1" s="1"/>
  <c r="C1945" i="1"/>
  <c r="D1945" i="1" s="1"/>
  <c r="G1945" i="1"/>
  <c r="E1945" i="1"/>
  <c r="C4" i="1"/>
  <c r="D4" i="1" s="1"/>
  <c r="G4" i="1"/>
  <c r="E4" i="1"/>
  <c r="G144" i="1"/>
  <c r="G208" i="1"/>
  <c r="C208" i="1"/>
  <c r="D208" i="1" s="1"/>
  <c r="G261" i="1"/>
  <c r="C261" i="1"/>
  <c r="D261" i="1" s="1"/>
  <c r="F261" i="1" s="1"/>
  <c r="E287" i="1"/>
  <c r="E413" i="1"/>
  <c r="C413" i="1"/>
  <c r="C415" i="1"/>
  <c r="D415" i="1" s="1"/>
  <c r="E804" i="1"/>
  <c r="G804" i="1"/>
  <c r="G807" i="1"/>
  <c r="E133" i="1"/>
  <c r="G133" i="1"/>
  <c r="C219" i="1"/>
  <c r="D219" i="1" s="1"/>
  <c r="G219" i="1"/>
  <c r="F253" i="1"/>
  <c r="G257" i="1"/>
  <c r="E257" i="1"/>
  <c r="E269" i="1"/>
  <c r="G269" i="1"/>
  <c r="C269" i="1"/>
  <c r="D269" i="1" s="1"/>
  <c r="F269" i="1" s="1"/>
  <c r="G329" i="1"/>
  <c r="E775" i="1"/>
  <c r="C775" i="1"/>
  <c r="D775" i="1" s="1"/>
  <c r="C622" i="1"/>
  <c r="D622" i="1" s="1"/>
  <c r="F622" i="1" s="1"/>
  <c r="G622" i="1"/>
  <c r="E622" i="1"/>
  <c r="E168" i="1"/>
  <c r="G168" i="1"/>
  <c r="D242" i="1"/>
  <c r="F444" i="1"/>
  <c r="G472" i="1"/>
  <c r="E472" i="1"/>
  <c r="C472" i="1"/>
  <c r="D472" i="1" s="1"/>
  <c r="C650" i="1"/>
  <c r="D650" i="1" s="1"/>
  <c r="G650" i="1"/>
  <c r="G947" i="1"/>
  <c r="C947" i="1"/>
  <c r="D947" i="1" s="1"/>
  <c r="G95" i="1"/>
  <c r="C95" i="1"/>
  <c r="D95" i="1" s="1"/>
  <c r="G116" i="1"/>
  <c r="C116" i="1"/>
  <c r="D116" i="1" s="1"/>
  <c r="F116" i="1" s="1"/>
  <c r="G124" i="1"/>
  <c r="E138" i="1"/>
  <c r="C138" i="1"/>
  <c r="D138" i="1" s="1"/>
  <c r="G138" i="1"/>
  <c r="C165" i="1"/>
  <c r="D165" i="1" s="1"/>
  <c r="E165" i="1"/>
  <c r="E171" i="1"/>
  <c r="F171" i="1" s="1"/>
  <c r="C220" i="1"/>
  <c r="D220" i="1" s="1"/>
  <c r="E220" i="1"/>
  <c r="E235" i="1"/>
  <c r="F235" i="1" s="1"/>
  <c r="G253" i="1"/>
  <c r="G285" i="1"/>
  <c r="E285" i="1"/>
  <c r="C285" i="1"/>
  <c r="D285" i="1" s="1"/>
  <c r="C388" i="1"/>
  <c r="D388" i="1" s="1"/>
  <c r="E388" i="1"/>
  <c r="G951" i="1"/>
  <c r="C951" i="1"/>
  <c r="D951" i="1" s="1"/>
  <c r="E951" i="1"/>
  <c r="C36" i="1"/>
  <c r="D36" i="1" s="1"/>
  <c r="G36" i="1"/>
  <c r="E36" i="1"/>
  <c r="E923" i="1"/>
  <c r="G923" i="1"/>
  <c r="C923" i="1"/>
  <c r="D923" i="1" s="1"/>
  <c r="F923" i="1" s="1"/>
  <c r="G987" i="1"/>
  <c r="C987" i="1"/>
  <c r="D987" i="1" s="1"/>
  <c r="C84" i="1"/>
  <c r="D84" i="1" s="1"/>
  <c r="E84" i="1"/>
  <c r="G84" i="1"/>
  <c r="E113" i="1"/>
  <c r="G113" i="1"/>
  <c r="E158" i="1"/>
  <c r="C158" i="1"/>
  <c r="D158" i="1" s="1"/>
  <c r="G236" i="1"/>
  <c r="E236" i="1"/>
  <c r="C312" i="1"/>
  <c r="E312" i="1"/>
  <c r="E548" i="1"/>
  <c r="C548" i="1"/>
  <c r="D548" i="1" s="1"/>
  <c r="G548" i="1"/>
  <c r="G824" i="1"/>
  <c r="E824" i="1"/>
  <c r="C824" i="1"/>
  <c r="D824" i="1" s="1"/>
  <c r="G838" i="1"/>
  <c r="C838" i="1"/>
  <c r="D838" i="1" s="1"/>
  <c r="G877" i="1"/>
  <c r="C877" i="1"/>
  <c r="D877" i="1" s="1"/>
  <c r="F877" i="1" s="1"/>
  <c r="E877" i="1"/>
  <c r="E1118" i="1"/>
  <c r="C1118" i="1"/>
  <c r="D1118" i="1" s="1"/>
  <c r="G283" i="1"/>
  <c r="E283" i="1"/>
  <c r="C283" i="1"/>
  <c r="D283" i="1" s="1"/>
  <c r="G348" i="1"/>
  <c r="C348" i="1"/>
  <c r="D348" i="1" s="1"/>
  <c r="C385" i="1"/>
  <c r="D385" i="1" s="1"/>
  <c r="E385" i="1"/>
  <c r="G385" i="1"/>
  <c r="G435" i="1"/>
  <c r="C435" i="1"/>
  <c r="D435" i="1" s="1"/>
  <c r="F435" i="1" s="1"/>
  <c r="E435" i="1"/>
  <c r="C586" i="1"/>
  <c r="E586" i="1"/>
  <c r="E920" i="1"/>
  <c r="C920" i="1"/>
  <c r="C645" i="1"/>
  <c r="D645" i="1" s="1"/>
  <c r="G645" i="1"/>
  <c r="G164" i="1"/>
  <c r="E164" i="1"/>
  <c r="E175" i="1"/>
  <c r="G175" i="1"/>
  <c r="G192" i="1"/>
  <c r="E192" i="1"/>
  <c r="C91" i="1"/>
  <c r="D91" i="1" s="1"/>
  <c r="F91" i="1" s="1"/>
  <c r="G91" i="1"/>
  <c r="F257" i="1"/>
  <c r="G61" i="1"/>
  <c r="E120" i="1"/>
  <c r="E212" i="1"/>
  <c r="G212" i="1"/>
  <c r="G235" i="1"/>
  <c r="G396" i="1"/>
  <c r="E396" i="1"/>
  <c r="C396" i="1"/>
  <c r="D396" i="1" s="1"/>
  <c r="G555" i="1"/>
  <c r="E555" i="1"/>
  <c r="C555" i="1"/>
  <c r="D555" i="1" s="1"/>
  <c r="F13" i="1"/>
  <c r="G28" i="1"/>
  <c r="E91" i="1"/>
  <c r="E239" i="1"/>
  <c r="F239" i="1" s="1"/>
  <c r="G316" i="1"/>
  <c r="C316" i="1"/>
  <c r="D316" i="1" s="1"/>
  <c r="E880" i="1"/>
  <c r="G880" i="1"/>
  <c r="C880" i="1"/>
  <c r="D880" i="1" s="1"/>
  <c r="E1402" i="1"/>
  <c r="C1402" i="1"/>
  <c r="D1402" i="1" s="1"/>
  <c r="G14" i="1"/>
  <c r="G58" i="1"/>
  <c r="G76" i="1"/>
  <c r="G110" i="1"/>
  <c r="G233" i="1"/>
  <c r="E291" i="1"/>
  <c r="G413" i="1"/>
  <c r="C457" i="1"/>
  <c r="D457" i="1" s="1"/>
  <c r="G457" i="1"/>
  <c r="G501" i="1"/>
  <c r="G511" i="1"/>
  <c r="C511" i="1"/>
  <c r="D511" i="1" s="1"/>
  <c r="F511" i="1" s="1"/>
  <c r="G519" i="1"/>
  <c r="E1084" i="1"/>
  <c r="G1084" i="1"/>
  <c r="C1084" i="1"/>
  <c r="D1084" i="1" s="1"/>
  <c r="F1084" i="1" s="1"/>
  <c r="F1762" i="1"/>
  <c r="E1769" i="1"/>
  <c r="C1769" i="1"/>
  <c r="C2406" i="1"/>
  <c r="E2406" i="1"/>
  <c r="C376" i="1"/>
  <c r="G376" i="1"/>
  <c r="G531" i="1"/>
  <c r="E531" i="1"/>
  <c r="C531" i="1"/>
  <c r="D531" i="1" s="1"/>
  <c r="G735" i="1"/>
  <c r="C735" i="1"/>
  <c r="D735" i="1" s="1"/>
  <c r="E735" i="1"/>
  <c r="E863" i="1"/>
  <c r="C863" i="1"/>
  <c r="D863" i="1" s="1"/>
  <c r="G983" i="1"/>
  <c r="C983" i="1"/>
  <c r="D983" i="1" s="1"/>
  <c r="E2868" i="1"/>
  <c r="G216" i="1"/>
  <c r="E316" i="1"/>
  <c r="E376" i="1"/>
  <c r="C403" i="1"/>
  <c r="D403" i="1" s="1"/>
  <c r="C578" i="1"/>
  <c r="E578" i="1"/>
  <c r="C654" i="1"/>
  <c r="D654" i="1" s="1"/>
  <c r="F654" i="1" s="1"/>
  <c r="E654" i="1"/>
  <c r="C728" i="1"/>
  <c r="D728" i="1" s="1"/>
  <c r="F728" i="1" s="1"/>
  <c r="E791" i="1"/>
  <c r="C791" i="1"/>
  <c r="D791" i="1" s="1"/>
  <c r="C1228" i="1"/>
  <c r="D1228" i="1" s="1"/>
  <c r="E1228" i="1"/>
  <c r="G1248" i="1"/>
  <c r="C1248" i="1"/>
  <c r="D1248" i="1" s="1"/>
  <c r="C1400" i="1"/>
  <c r="D1400" i="1" s="1"/>
  <c r="E1400" i="1"/>
  <c r="E1789" i="1"/>
  <c r="C1789" i="1"/>
  <c r="E88" i="1"/>
  <c r="G152" i="1"/>
  <c r="G195" i="1"/>
  <c r="E320" i="1"/>
  <c r="E344" i="1"/>
  <c r="F393" i="1"/>
  <c r="C431" i="1"/>
  <c r="G443" i="1"/>
  <c r="C443" i="1"/>
  <c r="D443" i="1" s="1"/>
  <c r="F443" i="1" s="1"/>
  <c r="G483" i="1"/>
  <c r="C483" i="1"/>
  <c r="D483" i="1" s="1"/>
  <c r="F483" i="1" s="1"/>
  <c r="E511" i="1"/>
  <c r="C564" i="1"/>
  <c r="D564" i="1" s="1"/>
  <c r="C597" i="1"/>
  <c r="D597" i="1" s="1"/>
  <c r="E597" i="1"/>
  <c r="E631" i="1"/>
  <c r="C631" i="1"/>
  <c r="D631" i="1" s="1"/>
  <c r="G728" i="1"/>
  <c r="E732" i="1"/>
  <c r="C732" i="1"/>
  <c r="D732" i="1" s="1"/>
  <c r="E787" i="1"/>
  <c r="E811" i="1"/>
  <c r="F811" i="1" s="1"/>
  <c r="C815" i="1"/>
  <c r="D815" i="1" s="1"/>
  <c r="E815" i="1"/>
  <c r="F843" i="1"/>
  <c r="G847" i="1"/>
  <c r="E847" i="1"/>
  <c r="C847" i="1"/>
  <c r="D847" i="1" s="1"/>
  <c r="F847" i="1" s="1"/>
  <c r="G863" i="1"/>
  <c r="E1615" i="1"/>
  <c r="C1615" i="1"/>
  <c r="D1615" i="1" s="1"/>
  <c r="G1615" i="1"/>
  <c r="G468" i="1"/>
  <c r="E468" i="1"/>
  <c r="F468" i="1" s="1"/>
  <c r="E501" i="1"/>
  <c r="C501" i="1"/>
  <c r="D501" i="1" s="1"/>
  <c r="G544" i="1"/>
  <c r="E764" i="1"/>
  <c r="C764" i="1"/>
  <c r="D764" i="1" s="1"/>
  <c r="F764" i="1" s="1"/>
  <c r="F99" i="1"/>
  <c r="G176" i="1"/>
  <c r="G389" i="1"/>
  <c r="G11" i="1"/>
  <c r="G41" i="1"/>
  <c r="C41" i="1"/>
  <c r="D41" i="1" s="1"/>
  <c r="F41" i="1" s="1"/>
  <c r="E103" i="1"/>
  <c r="G103" i="1"/>
  <c r="E172" i="1"/>
  <c r="C210" i="1"/>
  <c r="D210" i="1" s="1"/>
  <c r="F210" i="1" s="1"/>
  <c r="C230" i="1"/>
  <c r="D230" i="1" s="1"/>
  <c r="F230" i="1" s="1"/>
  <c r="C309" i="1"/>
  <c r="D309" i="1" s="1"/>
  <c r="C320" i="1"/>
  <c r="D320" i="1" s="1"/>
  <c r="C333" i="1"/>
  <c r="D333" i="1" s="1"/>
  <c r="C344" i="1"/>
  <c r="D344" i="1" s="1"/>
  <c r="F344" i="1" s="1"/>
  <c r="E365" i="1"/>
  <c r="C365" i="1"/>
  <c r="D365" i="1" s="1"/>
  <c r="F365" i="1" s="1"/>
  <c r="E469" i="1"/>
  <c r="C469" i="1"/>
  <c r="D469" i="1" s="1"/>
  <c r="C479" i="1"/>
  <c r="C520" i="1"/>
  <c r="D520" i="1" s="1"/>
  <c r="F520" i="1" s="1"/>
  <c r="C619" i="1"/>
  <c r="C666" i="1"/>
  <c r="D666" i="1" s="1"/>
  <c r="E666" i="1"/>
  <c r="G673" i="1"/>
  <c r="G697" i="1"/>
  <c r="G811" i="1"/>
  <c r="E883" i="1"/>
  <c r="F883" i="1" s="1"/>
  <c r="G883" i="1"/>
  <c r="E886" i="1"/>
  <c r="F886" i="1" s="1"/>
  <c r="G920" i="1"/>
  <c r="G945" i="1"/>
  <c r="C945" i="1"/>
  <c r="D945" i="1" s="1"/>
  <c r="E945" i="1"/>
  <c r="C956" i="1"/>
  <c r="G956" i="1"/>
  <c r="E956" i="1"/>
  <c r="C1034" i="1"/>
  <c r="D1034" i="1" s="1"/>
  <c r="E1034" i="1"/>
  <c r="G1034" i="1"/>
  <c r="E1508" i="1"/>
  <c r="G1508" i="1"/>
  <c r="C1508" i="1"/>
  <c r="D1508" i="1" s="1"/>
  <c r="E40" i="1"/>
  <c r="G66" i="1"/>
  <c r="C66" i="1"/>
  <c r="E163" i="1"/>
  <c r="F163" i="1" s="1"/>
  <c r="E185" i="1"/>
  <c r="G185" i="1"/>
  <c r="E208" i="1"/>
  <c r="G210" i="1"/>
  <c r="G240" i="1"/>
  <c r="C296" i="1"/>
  <c r="D296" i="1" s="1"/>
  <c r="F296" i="1" s="1"/>
  <c r="E296" i="1"/>
  <c r="E309" i="1"/>
  <c r="F309" i="1" s="1"/>
  <c r="E333" i="1"/>
  <c r="E387" i="1"/>
  <c r="G387" i="1"/>
  <c r="E411" i="1"/>
  <c r="C411" i="1"/>
  <c r="D411" i="1" s="1"/>
  <c r="G491" i="1"/>
  <c r="C491" i="1"/>
  <c r="D491" i="1" s="1"/>
  <c r="G747" i="1"/>
  <c r="C747" i="1"/>
  <c r="D747" i="1" s="1"/>
  <c r="G788" i="1"/>
  <c r="C788" i="1"/>
  <c r="D788" i="1" s="1"/>
  <c r="C890" i="1"/>
  <c r="E890" i="1"/>
  <c r="G1031" i="1"/>
  <c r="E1031" i="1"/>
  <c r="F1031" i="1" s="1"/>
  <c r="E99" i="1"/>
  <c r="C93" i="1"/>
  <c r="D93" i="1" s="1"/>
  <c r="F93" i="1" s="1"/>
  <c r="E93" i="1"/>
  <c r="G163" i="1"/>
  <c r="E391" i="1"/>
  <c r="F553" i="1"/>
  <c r="F585" i="1"/>
  <c r="G651" i="1"/>
  <c r="E651" i="1"/>
  <c r="C651" i="1"/>
  <c r="D651" i="1" s="1"/>
  <c r="C686" i="1"/>
  <c r="G686" i="1"/>
  <c r="E723" i="1"/>
  <c r="F723" i="1" s="1"/>
  <c r="G723" i="1"/>
  <c r="C844" i="1"/>
  <c r="D844" i="1" s="1"/>
  <c r="G844" i="1"/>
  <c r="E844" i="1"/>
  <c r="G937" i="1"/>
  <c r="C937" i="1"/>
  <c r="D937" i="1" s="1"/>
  <c r="C1043" i="1"/>
  <c r="D1043" i="1" s="1"/>
  <c r="G1043" i="1"/>
  <c r="F1074" i="1"/>
  <c r="G1106" i="1"/>
  <c r="E1438" i="1"/>
  <c r="C1438" i="1"/>
  <c r="D1438" i="1" s="1"/>
  <c r="G1493" i="1"/>
  <c r="E1493" i="1"/>
  <c r="C1493" i="1"/>
  <c r="D1493" i="1" s="1"/>
  <c r="E139" i="1"/>
  <c r="C139" i="1"/>
  <c r="G201" i="1"/>
  <c r="E201" i="1"/>
  <c r="F201" i="1" s="1"/>
  <c r="E205" i="1"/>
  <c r="G205" i="1"/>
  <c r="G667" i="1"/>
  <c r="E667" i="1"/>
  <c r="G1059" i="1"/>
  <c r="C1059" i="1"/>
  <c r="D1059" i="1" s="1"/>
  <c r="E1059" i="1"/>
  <c r="C1336" i="1"/>
  <c r="G1336" i="1"/>
  <c r="F45" i="1"/>
  <c r="G96" i="1"/>
  <c r="G104" i="1"/>
  <c r="C112" i="1"/>
  <c r="D112" i="1" s="1"/>
  <c r="F112" i="1" s="1"/>
  <c r="C136" i="1"/>
  <c r="D136" i="1" s="1"/>
  <c r="F136" i="1" s="1"/>
  <c r="G139" i="1"/>
  <c r="G161" i="1"/>
  <c r="D170" i="1"/>
  <c r="C518" i="1"/>
  <c r="D518" i="1" s="1"/>
  <c r="E518" i="1"/>
  <c r="G518" i="1"/>
  <c r="C526" i="1"/>
  <c r="D526" i="1" s="1"/>
  <c r="F526" i="1" s="1"/>
  <c r="E526" i="1"/>
  <c r="G659" i="1"/>
  <c r="C659" i="1"/>
  <c r="D659" i="1" s="1"/>
  <c r="G691" i="1"/>
  <c r="C691" i="1"/>
  <c r="D691" i="1" s="1"/>
  <c r="G855" i="1"/>
  <c r="E855" i="1"/>
  <c r="C855" i="1"/>
  <c r="D855" i="1" s="1"/>
  <c r="G1051" i="1"/>
  <c r="C1051" i="1"/>
  <c r="D1051" i="1" s="1"/>
  <c r="G1055" i="1"/>
  <c r="C1055" i="1"/>
  <c r="F1269" i="1"/>
  <c r="E1354" i="1"/>
  <c r="C1354" i="1"/>
  <c r="D1354" i="1" s="1"/>
  <c r="E1362" i="1"/>
  <c r="C1362" i="1"/>
  <c r="D1362" i="1" s="1"/>
  <c r="G1502" i="1"/>
  <c r="C1502" i="1"/>
  <c r="D1502" i="1" s="1"/>
  <c r="C1622" i="1"/>
  <c r="D1622" i="1" s="1"/>
  <c r="F1622" i="1" s="1"/>
  <c r="E1622" i="1"/>
  <c r="G1622" i="1"/>
  <c r="E1797" i="1"/>
  <c r="C1797" i="1"/>
  <c r="D1797" i="1" s="1"/>
  <c r="G1797" i="1"/>
  <c r="C1801" i="1"/>
  <c r="E1801" i="1"/>
  <c r="G1801" i="1"/>
  <c r="E2" i="1"/>
  <c r="G62" i="1"/>
  <c r="F243" i="1"/>
  <c r="E272" i="1"/>
  <c r="G336" i="1"/>
  <c r="G427" i="1"/>
  <c r="C427" i="1"/>
  <c r="D427" i="1" s="1"/>
  <c r="G445" i="1"/>
  <c r="G493" i="1"/>
  <c r="C589" i="1"/>
  <c r="D589" i="1" s="1"/>
  <c r="E589" i="1"/>
  <c r="C629" i="1"/>
  <c r="D629" i="1" s="1"/>
  <c r="E629" i="1"/>
  <c r="G658" i="1"/>
  <c r="G722" i="1"/>
  <c r="C884" i="1"/>
  <c r="D884" i="1" s="1"/>
  <c r="F884" i="1" s="1"/>
  <c r="G884" i="1"/>
  <c r="E884" i="1"/>
  <c r="G938" i="1"/>
  <c r="C938" i="1"/>
  <c r="D938" i="1" s="1"/>
  <c r="E1190" i="1"/>
  <c r="C1190" i="1"/>
  <c r="D1190" i="1" s="1"/>
  <c r="G1314" i="1"/>
  <c r="G1448" i="1"/>
  <c r="C1448" i="1"/>
  <c r="D1448" i="1" s="1"/>
  <c r="F1448" i="1" s="1"/>
  <c r="G2453" i="1"/>
  <c r="C2453" i="1"/>
  <c r="D2453" i="1" s="1"/>
  <c r="F2453" i="1" s="1"/>
  <c r="E2453" i="1"/>
  <c r="G1139" i="1"/>
  <c r="E1139" i="1"/>
  <c r="G1292" i="1"/>
  <c r="E1292" i="1"/>
  <c r="C1292" i="1"/>
  <c r="D1292" i="1" s="1"/>
  <c r="E1473" i="1"/>
  <c r="G1473" i="1"/>
  <c r="E1576" i="1"/>
  <c r="G1576" i="1"/>
  <c r="C1576" i="1"/>
  <c r="D1576" i="1" s="1"/>
  <c r="C1585" i="1"/>
  <c r="G1585" i="1"/>
  <c r="E2329" i="1"/>
  <c r="C2329" i="1"/>
  <c r="D2329" i="1" s="1"/>
  <c r="E866" i="1"/>
  <c r="C866" i="1"/>
  <c r="D866" i="1" s="1"/>
  <c r="F866" i="1" s="1"/>
  <c r="G954" i="1"/>
  <c r="C954" i="1"/>
  <c r="D954" i="1" s="1"/>
  <c r="G1068" i="1"/>
  <c r="C1068" i="1"/>
  <c r="D1068" i="1" s="1"/>
  <c r="G1094" i="1"/>
  <c r="C1373" i="1"/>
  <c r="D1373" i="1" s="1"/>
  <c r="E1373" i="1"/>
  <c r="E1527" i="1"/>
  <c r="G1527" i="1"/>
  <c r="C1527" i="1"/>
  <c r="D1527" i="1" s="1"/>
  <c r="F1527" i="1" s="1"/>
  <c r="C1147" i="1"/>
  <c r="D1147" i="1" s="1"/>
  <c r="E1147" i="1"/>
  <c r="C1272" i="1"/>
  <c r="D1272" i="1" s="1"/>
  <c r="F1272" i="1" s="1"/>
  <c r="G1272" i="1"/>
  <c r="E1365" i="1"/>
  <c r="C1365" i="1"/>
  <c r="D1365" i="1" s="1"/>
  <c r="E1378" i="1"/>
  <c r="C1378" i="1"/>
  <c r="D1378" i="1" s="1"/>
  <c r="G1378" i="1"/>
  <c r="G1546" i="1"/>
  <c r="C1546" i="1"/>
  <c r="D1546" i="1" s="1"/>
  <c r="F1546" i="1" s="1"/>
  <c r="F903" i="1"/>
  <c r="G935" i="1"/>
  <c r="E935" i="1"/>
  <c r="C935" i="1"/>
  <c r="D935" i="1" s="1"/>
  <c r="F935" i="1" s="1"/>
  <c r="C1139" i="1"/>
  <c r="D1139" i="1" s="1"/>
  <c r="E1289" i="1"/>
  <c r="C1289" i="1"/>
  <c r="D1289" i="1" s="1"/>
  <c r="F1289" i="1" s="1"/>
  <c r="C1515" i="1"/>
  <c r="D1515" i="1" s="1"/>
  <c r="G1515" i="1"/>
  <c r="E1585" i="1"/>
  <c r="E268" i="1"/>
  <c r="F268" i="1" s="1"/>
  <c r="E364" i="1"/>
  <c r="F364" i="1" s="1"/>
  <c r="E367" i="1"/>
  <c r="F367" i="1" s="1"/>
  <c r="E429" i="1"/>
  <c r="C429" i="1"/>
  <c r="E481" i="1"/>
  <c r="G552" i="1"/>
  <c r="C581" i="1"/>
  <c r="D581" i="1" s="1"/>
  <c r="E581" i="1"/>
  <c r="F593" i="1"/>
  <c r="C638" i="1"/>
  <c r="E638" i="1"/>
  <c r="G683" i="1"/>
  <c r="E683" i="1"/>
  <c r="C683" i="1"/>
  <c r="D683" i="1" s="1"/>
  <c r="F683" i="1" s="1"/>
  <c r="C839" i="1"/>
  <c r="D839" i="1" s="1"/>
  <c r="F839" i="1" s="1"/>
  <c r="G850" i="1"/>
  <c r="C850" i="1"/>
  <c r="D850" i="1" s="1"/>
  <c r="E897" i="1"/>
  <c r="C897" i="1"/>
  <c r="D897" i="1" s="1"/>
  <c r="E954" i="1"/>
  <c r="E962" i="1"/>
  <c r="C962" i="1"/>
  <c r="G1109" i="1"/>
  <c r="C1109" i="1"/>
  <c r="D1109" i="1" s="1"/>
  <c r="E1109" i="1"/>
  <c r="G1132" i="1"/>
  <c r="C1132" i="1"/>
  <c r="D1132" i="1" s="1"/>
  <c r="F1132" i="1" s="1"/>
  <c r="E1166" i="1"/>
  <c r="C1166" i="1"/>
  <c r="D1166" i="1" s="1"/>
  <c r="G1238" i="1"/>
  <c r="E1238" i="1"/>
  <c r="C1238" i="1"/>
  <c r="D1238" i="1" s="1"/>
  <c r="E1272" i="1"/>
  <c r="C1349" i="1"/>
  <c r="D1349" i="1" s="1"/>
  <c r="F1349" i="1" s="1"/>
  <c r="E1349" i="1"/>
  <c r="E1397" i="1"/>
  <c r="C1397" i="1"/>
  <c r="D1397" i="1" s="1"/>
  <c r="G1441" i="1"/>
  <c r="E1441" i="1"/>
  <c r="F1441" i="1" s="1"/>
  <c r="E1546" i="1"/>
  <c r="E1813" i="1"/>
  <c r="C1813" i="1"/>
  <c r="D1813" i="1" s="1"/>
  <c r="G1899" i="1"/>
  <c r="C1899" i="1"/>
  <c r="E375" i="1"/>
  <c r="G397" i="1"/>
  <c r="E415" i="1"/>
  <c r="D425" i="1"/>
  <c r="G560" i="1"/>
  <c r="G613" i="1"/>
  <c r="E627" i="1"/>
  <c r="F627" i="1" s="1"/>
  <c r="E659" i="1"/>
  <c r="G680" i="1"/>
  <c r="G886" i="1"/>
  <c r="E903" i="1"/>
  <c r="G903" i="1"/>
  <c r="E1055" i="1"/>
  <c r="G1397" i="1"/>
  <c r="C1985" i="1"/>
  <c r="G1985" i="1"/>
  <c r="E2021" i="1"/>
  <c r="G606" i="1"/>
  <c r="G647" i="1"/>
  <c r="E697" i="1"/>
  <c r="F697" i="1" s="1"/>
  <c r="G716" i="1"/>
  <c r="D889" i="1"/>
  <c r="F889" i="1" s="1"/>
  <c r="C1082" i="1"/>
  <c r="D1082" i="1" s="1"/>
  <c r="F1082" i="1" s="1"/>
  <c r="G1082" i="1"/>
  <c r="F1104" i="1"/>
  <c r="D1266" i="1"/>
  <c r="G1293" i="1"/>
  <c r="C1293" i="1"/>
  <c r="D1293" i="1" s="1"/>
  <c r="E1293" i="1"/>
  <c r="C1477" i="1"/>
  <c r="D1477" i="1" s="1"/>
  <c r="E1477" i="1"/>
  <c r="C1482" i="1"/>
  <c r="D1482" i="1" s="1"/>
  <c r="G1482" i="1"/>
  <c r="C1634" i="1"/>
  <c r="D1634" i="1" s="1"/>
  <c r="E1634" i="1"/>
  <c r="C1704" i="1"/>
  <c r="D1704" i="1" s="1"/>
  <c r="G1704" i="1"/>
  <c r="G2253" i="1"/>
  <c r="C2253" i="1"/>
  <c r="D2253" i="1" s="1"/>
  <c r="C2282" i="1"/>
  <c r="D2282" i="1" s="1"/>
  <c r="E2282" i="1"/>
  <c r="G2282" i="1"/>
  <c r="E1646" i="1"/>
  <c r="F1646" i="1" s="1"/>
  <c r="G1646" i="1"/>
  <c r="G1697" i="1"/>
  <c r="E1697" i="1"/>
  <c r="G346" i="1"/>
  <c r="G384" i="1"/>
  <c r="G405" i="1"/>
  <c r="E463" i="1"/>
  <c r="F463" i="1" s="1"/>
  <c r="G469" i="1"/>
  <c r="D498" i="1"/>
  <c r="G624" i="1"/>
  <c r="E707" i="1"/>
  <c r="C707" i="1"/>
  <c r="D707" i="1" s="1"/>
  <c r="C752" i="1"/>
  <c r="D752" i="1" s="1"/>
  <c r="F752" i="1" s="1"/>
  <c r="G795" i="1"/>
  <c r="E802" i="1"/>
  <c r="F802" i="1" s="1"/>
  <c r="E881" i="1"/>
  <c r="E955" i="1"/>
  <c r="C955" i="1"/>
  <c r="D955" i="1" s="1"/>
  <c r="F969" i="1"/>
  <c r="G1115" i="1"/>
  <c r="C1119" i="1"/>
  <c r="D1119" i="1" s="1"/>
  <c r="G1119" i="1"/>
  <c r="E1145" i="1"/>
  <c r="C1145" i="1"/>
  <c r="D1145" i="1" s="1"/>
  <c r="G1190" i="1"/>
  <c r="F1197" i="1"/>
  <c r="G1283" i="1"/>
  <c r="C1283" i="1"/>
  <c r="D1283" i="1" s="1"/>
  <c r="C1290" i="1"/>
  <c r="D1290" i="1" s="1"/>
  <c r="G1290" i="1"/>
  <c r="E1290" i="1"/>
  <c r="F1290" i="1" s="1"/>
  <c r="G1362" i="1"/>
  <c r="G1374" i="1"/>
  <c r="G1386" i="1"/>
  <c r="E1482" i="1"/>
  <c r="G1582" i="1"/>
  <c r="C1582" i="1"/>
  <c r="D1582" i="1" s="1"/>
  <c r="G1634" i="1"/>
  <c r="C1678" i="1"/>
  <c r="D1678" i="1" s="1"/>
  <c r="E1737" i="1"/>
  <c r="G1737" i="1"/>
  <c r="C1737" i="1"/>
  <c r="D1737" i="1" s="1"/>
  <c r="E1764" i="1"/>
  <c r="C1764" i="1"/>
  <c r="E2014" i="1"/>
  <c r="C2014" i="1"/>
  <c r="D2014" i="1" s="1"/>
  <c r="G2014" i="1"/>
  <c r="G1142" i="1"/>
  <c r="C1142" i="1"/>
  <c r="D1142" i="1" s="1"/>
  <c r="G1466" i="1"/>
  <c r="C1466" i="1"/>
  <c r="D1466" i="1" s="1"/>
  <c r="C1470" i="1"/>
  <c r="D1470" i="1" s="1"/>
  <c r="E1470" i="1"/>
  <c r="E1505" i="1"/>
  <c r="C1505" i="1"/>
  <c r="D1505" i="1" s="1"/>
  <c r="G1534" i="1"/>
  <c r="E1534" i="1"/>
  <c r="C1821" i="1"/>
  <c r="D1821" i="1" s="1"/>
  <c r="E1821" i="1"/>
  <c r="G1821" i="1"/>
  <c r="G618" i="1"/>
  <c r="E635" i="1"/>
  <c r="G678" i="1"/>
  <c r="G681" i="1"/>
  <c r="E691" i="1"/>
  <c r="G694" i="1"/>
  <c r="G774" i="1"/>
  <c r="C774" i="1"/>
  <c r="D774" i="1" s="1"/>
  <c r="E871" i="1"/>
  <c r="F871" i="1" s="1"/>
  <c r="C1174" i="1"/>
  <c r="D1174" i="1" s="1"/>
  <c r="E1174" i="1"/>
  <c r="G1174" i="1"/>
  <c r="E1187" i="1"/>
  <c r="F1187" i="1" s="1"/>
  <c r="E1198" i="1"/>
  <c r="F1538" i="1"/>
  <c r="G1545" i="1"/>
  <c r="E1545" i="1"/>
  <c r="C1545" i="1"/>
  <c r="D1545" i="1" s="1"/>
  <c r="E1583" i="1"/>
  <c r="G1583" i="1"/>
  <c r="C1583" i="1"/>
  <c r="D1583" i="1" s="1"/>
  <c r="C1598" i="1"/>
  <c r="D1598" i="1" s="1"/>
  <c r="F1598" i="1" s="1"/>
  <c r="E1694" i="1"/>
  <c r="G1694" i="1"/>
  <c r="G1921" i="1"/>
  <c r="C2217" i="1"/>
  <c r="G2217" i="1"/>
  <c r="G416" i="1"/>
  <c r="D450" i="1"/>
  <c r="E467" i="1"/>
  <c r="G489" i="1"/>
  <c r="G495" i="1"/>
  <c r="G525" i="1"/>
  <c r="E537" i="1"/>
  <c r="G608" i="1"/>
  <c r="G625" i="1"/>
  <c r="G704" i="1"/>
  <c r="G724" i="1"/>
  <c r="E753" i="1"/>
  <c r="E808" i="1"/>
  <c r="E887" i="1"/>
  <c r="G890" i="1"/>
  <c r="G955" i="1"/>
  <c r="G962" i="1"/>
  <c r="G1046" i="1"/>
  <c r="C1046" i="1"/>
  <c r="D1046" i="1" s="1"/>
  <c r="E1053" i="1"/>
  <c r="G1079" i="1"/>
  <c r="E1163" i="1"/>
  <c r="G1235" i="1"/>
  <c r="C1243" i="1"/>
  <c r="D1243" i="1" s="1"/>
  <c r="G1243" i="1"/>
  <c r="E1283" i="1"/>
  <c r="G1459" i="1"/>
  <c r="G1470" i="1"/>
  <c r="C1534" i="1"/>
  <c r="D1534" i="1" s="1"/>
  <c r="G1598" i="1"/>
  <c r="G1606" i="1"/>
  <c r="E1606" i="1"/>
  <c r="C1606" i="1"/>
  <c r="D1606" i="1" s="1"/>
  <c r="F1606" i="1" s="1"/>
  <c r="G1720" i="1"/>
  <c r="F1858" i="1"/>
  <c r="E1903" i="1"/>
  <c r="G1903" i="1"/>
  <c r="G675" i="1"/>
  <c r="C675" i="1"/>
  <c r="D675" i="1" s="1"/>
  <c r="F675" i="1" s="1"/>
  <c r="G750" i="1"/>
  <c r="G754" i="1"/>
  <c r="C754" i="1"/>
  <c r="D754" i="1" s="1"/>
  <c r="F754" i="1" s="1"/>
  <c r="G763" i="1"/>
  <c r="E860" i="1"/>
  <c r="C860" i="1"/>
  <c r="D860" i="1" s="1"/>
  <c r="F860" i="1" s="1"/>
  <c r="E975" i="1"/>
  <c r="C975" i="1"/>
  <c r="D975" i="1" s="1"/>
  <c r="F975" i="1" s="1"/>
  <c r="E1009" i="1"/>
  <c r="G1013" i="1"/>
  <c r="E1013" i="1"/>
  <c r="F1013" i="1" s="1"/>
  <c r="C1016" i="1"/>
  <c r="D1016" i="1" s="1"/>
  <c r="G1016" i="1"/>
  <c r="E1016" i="1"/>
  <c r="G1187" i="1"/>
  <c r="E1232" i="1"/>
  <c r="F1232" i="1" s="1"/>
  <c r="G1232" i="1"/>
  <c r="C1235" i="1"/>
  <c r="G1368" i="1"/>
  <c r="E1368" i="1"/>
  <c r="F1368" i="1" s="1"/>
  <c r="D1405" i="1"/>
  <c r="C1488" i="1"/>
  <c r="D1488" i="1" s="1"/>
  <c r="E1488" i="1"/>
  <c r="G1567" i="1"/>
  <c r="E1676" i="1"/>
  <c r="C1676" i="1"/>
  <c r="D1676" i="1" s="1"/>
  <c r="G1676" i="1"/>
  <c r="C1709" i="1"/>
  <c r="D1709" i="1" s="1"/>
  <c r="G1709" i="1"/>
  <c r="C1817" i="1"/>
  <c r="G1817" i="1"/>
  <c r="C2037" i="1"/>
  <c r="G2037" i="1"/>
  <c r="G1828" i="1"/>
  <c r="C1926" i="1"/>
  <c r="D1926" i="1" s="1"/>
  <c r="E1926" i="1"/>
  <c r="F2275" i="1"/>
  <c r="C2710" i="1"/>
  <c r="D2710" i="1" s="1"/>
  <c r="G2710" i="1"/>
  <c r="E2710" i="1"/>
  <c r="E1098" i="1"/>
  <c r="F1098" i="1" s="1"/>
  <c r="E1136" i="1"/>
  <c r="G1166" i="1"/>
  <c r="G1170" i="1"/>
  <c r="E1176" i="1"/>
  <c r="E1280" i="1"/>
  <c r="C1287" i="1"/>
  <c r="D1287" i="1" s="1"/>
  <c r="G1287" i="1"/>
  <c r="C1562" i="1"/>
  <c r="D1562" i="1" s="1"/>
  <c r="E1562" i="1"/>
  <c r="C1636" i="1"/>
  <c r="D1636" i="1" s="1"/>
  <c r="F1636" i="1" s="1"/>
  <c r="G1636" i="1"/>
  <c r="G1667" i="1"/>
  <c r="E1721" i="1"/>
  <c r="G1721" i="1"/>
  <c r="E1729" i="1"/>
  <c r="G1793" i="1"/>
  <c r="G1879" i="1"/>
  <c r="G1884" i="1"/>
  <c r="E1884" i="1"/>
  <c r="G1926" i="1"/>
  <c r="D2039" i="1"/>
  <c r="F2165" i="1"/>
  <c r="E2209" i="1"/>
  <c r="F2209" i="1" s="1"/>
  <c r="E2224" i="1"/>
  <c r="E2892" i="1"/>
  <c r="G2892" i="1"/>
  <c r="C2892" i="1"/>
  <c r="D2892" i="1" s="1"/>
  <c r="G2924" i="1"/>
  <c r="C2924" i="1"/>
  <c r="D2924" i="1" s="1"/>
  <c r="E1947" i="1"/>
  <c r="G1947" i="1"/>
  <c r="C2106" i="1"/>
  <c r="D2106" i="1" s="1"/>
  <c r="E2106" i="1"/>
  <c r="E2217" i="1"/>
  <c r="G2426" i="1"/>
  <c r="E2426" i="1"/>
  <c r="C2426" i="1"/>
  <c r="D2426" i="1" s="1"/>
  <c r="G2454" i="1"/>
  <c r="C2454" i="1"/>
  <c r="D2454" i="1" s="1"/>
  <c r="G2518" i="1"/>
  <c r="C2518" i="1"/>
  <c r="D2518" i="1" s="1"/>
  <c r="E984" i="1"/>
  <c r="C1088" i="1"/>
  <c r="G1088" i="1"/>
  <c r="E1142" i="1"/>
  <c r="C1394" i="1"/>
  <c r="D1394" i="1" s="1"/>
  <c r="F1394" i="1" s="1"/>
  <c r="G1433" i="1"/>
  <c r="C1566" i="1"/>
  <c r="D1566" i="1" s="1"/>
  <c r="E1566" i="1"/>
  <c r="G1613" i="1"/>
  <c r="C1721" i="1"/>
  <c r="D1721" i="1" s="1"/>
  <c r="F1721" i="1" s="1"/>
  <c r="G1725" i="1"/>
  <c r="C1997" i="1"/>
  <c r="D1997" i="1" s="1"/>
  <c r="G1997" i="1"/>
  <c r="E2466" i="1"/>
  <c r="C2466" i="1"/>
  <c r="D2466" i="1" s="1"/>
  <c r="F2466" i="1" s="1"/>
  <c r="G910" i="1"/>
  <c r="E978" i="1"/>
  <c r="F978" i="1" s="1"/>
  <c r="G1116" i="1"/>
  <c r="G1152" i="1"/>
  <c r="E1180" i="1"/>
  <c r="E1543" i="1"/>
  <c r="C1543" i="1"/>
  <c r="D1543" i="1" s="1"/>
  <c r="F1543" i="1" s="1"/>
  <c r="C1714" i="1"/>
  <c r="D1714" i="1" s="1"/>
  <c r="F1714" i="1" s="1"/>
  <c r="G1714" i="1"/>
  <c r="C1830" i="1"/>
  <c r="D1830" i="1" s="1"/>
  <c r="E1830" i="1"/>
  <c r="C2020" i="1"/>
  <c r="D2020" i="1" s="1"/>
  <c r="E2020" i="1"/>
  <c r="C2400" i="1"/>
  <c r="D2400" i="1" s="1"/>
  <c r="G2400" i="1"/>
  <c r="E2400" i="1"/>
  <c r="E901" i="1"/>
  <c r="E921" i="1"/>
  <c r="E934" i="1"/>
  <c r="E1088" i="1"/>
  <c r="E1184" i="1"/>
  <c r="E1204" i="1"/>
  <c r="G1207" i="1"/>
  <c r="E1287" i="1"/>
  <c r="E1311" i="1"/>
  <c r="F1311" i="1" s="1"/>
  <c r="G1353" i="1"/>
  <c r="E1356" i="1"/>
  <c r="F1356" i="1" s="1"/>
  <c r="C1475" i="1"/>
  <c r="D1475" i="1" s="1"/>
  <c r="F1475" i="1" s="1"/>
  <c r="G1483" i="1"/>
  <c r="E1506" i="1"/>
  <c r="G1525" i="1"/>
  <c r="G1566" i="1"/>
  <c r="F1641" i="1"/>
  <c r="C1669" i="1"/>
  <c r="D1669" i="1" s="1"/>
  <c r="E1669" i="1"/>
  <c r="F1669" i="1" s="1"/>
  <c r="C1708" i="1"/>
  <c r="G1708" i="1"/>
  <c r="E1865" i="1"/>
  <c r="C1865" i="1"/>
  <c r="D1865" i="1" s="1"/>
  <c r="F1865" i="1" s="1"/>
  <c r="F2582" i="1"/>
  <c r="C2611" i="1"/>
  <c r="D2611" i="1" s="1"/>
  <c r="E2611" i="1"/>
  <c r="E1162" i="1"/>
  <c r="G1373" i="1"/>
  <c r="F1573" i="1"/>
  <c r="G1580" i="1"/>
  <c r="G1687" i="1"/>
  <c r="E1803" i="1"/>
  <c r="C1803" i="1"/>
  <c r="D1803" i="1" s="1"/>
  <c r="F1803" i="1" s="1"/>
  <c r="G1803" i="1"/>
  <c r="G1814" i="1"/>
  <c r="C1814" i="1"/>
  <c r="D1814" i="1" s="1"/>
  <c r="E1814" i="1"/>
  <c r="F1854" i="1"/>
  <c r="F2374" i="1"/>
  <c r="G2567" i="1"/>
  <c r="C2567" i="1"/>
  <c r="D2567" i="1" s="1"/>
  <c r="G1505" i="1"/>
  <c r="E1597" i="1"/>
  <c r="E1817" i="1"/>
  <c r="C1888" i="1"/>
  <c r="D1888" i="1" s="1"/>
  <c r="F1888" i="1" s="1"/>
  <c r="G1888" i="1"/>
  <c r="G1930" i="1"/>
  <c r="E1930" i="1"/>
  <c r="C1930" i="1"/>
  <c r="D1930" i="1" s="1"/>
  <c r="C1993" i="1"/>
  <c r="D1993" i="1" s="1"/>
  <c r="G1993" i="1"/>
  <c r="E1993" i="1"/>
  <c r="G2529" i="1"/>
  <c r="E2529" i="1"/>
  <c r="C2529" i="1"/>
  <c r="D2529" i="1" s="1"/>
  <c r="G1503" i="1"/>
  <c r="E1578" i="1"/>
  <c r="F1578" i="1" s="1"/>
  <c r="E1651" i="1"/>
  <c r="G1651" i="1"/>
  <c r="E1692" i="1"/>
  <c r="F1692" i="1" s="1"/>
  <c r="G1769" i="1"/>
  <c r="C1852" i="1"/>
  <c r="E1852" i="1"/>
  <c r="G1920" i="1"/>
  <c r="C1920" i="1"/>
  <c r="D1920" i="1" s="1"/>
  <c r="E2004" i="1"/>
  <c r="C2004" i="1"/>
  <c r="G2017" i="1"/>
  <c r="E2179" i="1"/>
  <c r="G2179" i="1"/>
  <c r="C2179" i="1"/>
  <c r="D2179" i="1" s="1"/>
  <c r="E2192" i="1"/>
  <c r="F2192" i="1" s="1"/>
  <c r="G2277" i="1"/>
  <c r="C2277" i="1"/>
  <c r="D2277" i="1" s="1"/>
  <c r="G2334" i="1"/>
  <c r="G2341" i="1"/>
  <c r="D2549" i="1"/>
  <c r="G2603" i="1"/>
  <c r="E2866" i="1"/>
  <c r="G2866" i="1"/>
  <c r="C2866" i="1"/>
  <c r="D2866" i="1" s="1"/>
  <c r="F2866" i="1" s="1"/>
  <c r="G2526" i="1"/>
  <c r="C2526" i="1"/>
  <c r="D2526" i="1" s="1"/>
  <c r="G2596" i="1"/>
  <c r="C2596" i="1"/>
  <c r="D2596" i="1" s="1"/>
  <c r="G2616" i="1"/>
  <c r="C2616" i="1"/>
  <c r="D2616" i="1" s="1"/>
  <c r="G679" i="1"/>
  <c r="G710" i="1"/>
  <c r="E875" i="1"/>
  <c r="E1050" i="1"/>
  <c r="E1313" i="1"/>
  <c r="G1557" i="1"/>
  <c r="G1573" i="1"/>
  <c r="G1665" i="1"/>
  <c r="C1702" i="1"/>
  <c r="D1702" i="1" s="1"/>
  <c r="F1702" i="1" s="1"/>
  <c r="E1776" i="1"/>
  <c r="E1791" i="1"/>
  <c r="C1791" i="1"/>
  <c r="D1791" i="1" s="1"/>
  <c r="G1878" i="1"/>
  <c r="C1878" i="1"/>
  <c r="D1878" i="1" s="1"/>
  <c r="F1878" i="1" s="1"/>
  <c r="G1910" i="1"/>
  <c r="E1910" i="1"/>
  <c r="F1910" i="1" s="1"/>
  <c r="G2104" i="1"/>
  <c r="E2104" i="1"/>
  <c r="F2104" i="1" s="1"/>
  <c r="G2175" i="1"/>
  <c r="E2227" i="1"/>
  <c r="F2227" i="1" s="1"/>
  <c r="G2227" i="1"/>
  <c r="E2515" i="1"/>
  <c r="E2770" i="1"/>
  <c r="G2770" i="1"/>
  <c r="C2770" i="1"/>
  <c r="D2770" i="1" s="1"/>
  <c r="G2792" i="1"/>
  <c r="C2792" i="1"/>
  <c r="C2920" i="1"/>
  <c r="D2920" i="1" s="1"/>
  <c r="G2920" i="1"/>
  <c r="E2920" i="1"/>
  <c r="E2309" i="1"/>
  <c r="G2309" i="1"/>
  <c r="C2411" i="1"/>
  <c r="D2411" i="1" s="1"/>
  <c r="E2411" i="1"/>
  <c r="G2464" i="1"/>
  <c r="C2464" i="1"/>
  <c r="C2531" i="1"/>
  <c r="D2531" i="1" s="1"/>
  <c r="E2531" i="1"/>
  <c r="G2531" i="1"/>
  <c r="E2585" i="1"/>
  <c r="E2636" i="1"/>
  <c r="F2636" i="1" s="1"/>
  <c r="E1796" i="1"/>
  <c r="F1796" i="1" s="1"/>
  <c r="G1841" i="1"/>
  <c r="G1873" i="1"/>
  <c r="G2027" i="1"/>
  <c r="G2130" i="1"/>
  <c r="E2359" i="1"/>
  <c r="G2422" i="1"/>
  <c r="G2438" i="1"/>
  <c r="E2438" i="1"/>
  <c r="F2537" i="1"/>
  <c r="G2552" i="1"/>
  <c r="D2585" i="1"/>
  <c r="F2585" i="1" s="1"/>
  <c r="G2744" i="1"/>
  <c r="E2744" i="1"/>
  <c r="F2744" i="1" s="1"/>
  <c r="E2897" i="1"/>
  <c r="G2897" i="1"/>
  <c r="C2897" i="1"/>
  <c r="D2897" i="1" s="1"/>
  <c r="F2897" i="1" s="1"/>
  <c r="G2024" i="1"/>
  <c r="G2036" i="1"/>
  <c r="C2036" i="1"/>
  <c r="G2159" i="1"/>
  <c r="F2163" i="1"/>
  <c r="G2197" i="1"/>
  <c r="E2246" i="1"/>
  <c r="F2314" i="1"/>
  <c r="C2438" i="1"/>
  <c r="D2438" i="1" s="1"/>
  <c r="E2568" i="1"/>
  <c r="G2568" i="1"/>
  <c r="F2695" i="1"/>
  <c r="G2800" i="1"/>
  <c r="C2800" i="1"/>
  <c r="D2800" i="1" s="1"/>
  <c r="F2849" i="1"/>
  <c r="F2856" i="1"/>
  <c r="G1845" i="1"/>
  <c r="G2011" i="1"/>
  <c r="E2096" i="1"/>
  <c r="C2431" i="1"/>
  <c r="D2431" i="1" s="1"/>
  <c r="G2431" i="1"/>
  <c r="G2457" i="1"/>
  <c r="E2457" i="1"/>
  <c r="E2557" i="1"/>
  <c r="F2557" i="1" s="1"/>
  <c r="G2572" i="1"/>
  <c r="E2572" i="1"/>
  <c r="G2626" i="1"/>
  <c r="E2808" i="1"/>
  <c r="C2808" i="1"/>
  <c r="D2808" i="1" s="1"/>
  <c r="F2852" i="1"/>
  <c r="G2864" i="1"/>
  <c r="C2864" i="1"/>
  <c r="D2864" i="1" s="1"/>
  <c r="G2879" i="1"/>
  <c r="C2879" i="1"/>
  <c r="D2879" i="1" s="1"/>
  <c r="C2580" i="1"/>
  <c r="D2580" i="1" s="1"/>
  <c r="E2580" i="1"/>
  <c r="G2610" i="1"/>
  <c r="E2610" i="1"/>
  <c r="F2610" i="1" s="1"/>
  <c r="G2627" i="1"/>
  <c r="C2627" i="1"/>
  <c r="D2627" i="1" s="1"/>
  <c r="C2813" i="1"/>
  <c r="D2813" i="1" s="1"/>
  <c r="G2813" i="1"/>
  <c r="E2813" i="1"/>
  <c r="C2925" i="1"/>
  <c r="D2925" i="1" s="1"/>
  <c r="G2925" i="1"/>
  <c r="E2925" i="1"/>
  <c r="G1664" i="1"/>
  <c r="G1683" i="1"/>
  <c r="G1686" i="1"/>
  <c r="G1781" i="1"/>
  <c r="G1794" i="1"/>
  <c r="G1852" i="1"/>
  <c r="G1875" i="1"/>
  <c r="C1991" i="1"/>
  <c r="D1991" i="1" s="1"/>
  <c r="F2022" i="1"/>
  <c r="C2146" i="1"/>
  <c r="D2146" i="1" s="1"/>
  <c r="F2146" i="1" s="1"/>
  <c r="C2226" i="1"/>
  <c r="D2226" i="1" s="1"/>
  <c r="E2387" i="1"/>
  <c r="C2568" i="1"/>
  <c r="D2568" i="1" s="1"/>
  <c r="F2568" i="1" s="1"/>
  <c r="C2780" i="1"/>
  <c r="G2856" i="1"/>
  <c r="G2860" i="1"/>
  <c r="C1800" i="1"/>
  <c r="D1800" i="1" s="1"/>
  <c r="E1809" i="1"/>
  <c r="F1809" i="1" s="1"/>
  <c r="G1864" i="1"/>
  <c r="E1917" i="1"/>
  <c r="E1944" i="1"/>
  <c r="G2125" i="1"/>
  <c r="G2305" i="1"/>
  <c r="E2305" i="1"/>
  <c r="C2305" i="1"/>
  <c r="D2305" i="1" s="1"/>
  <c r="C2340" i="1"/>
  <c r="D2340" i="1" s="1"/>
  <c r="E2394" i="1"/>
  <c r="E2558" i="1"/>
  <c r="G2558" i="1"/>
  <c r="E2666" i="1"/>
  <c r="F2666" i="1" s="1"/>
  <c r="G2805" i="1"/>
  <c r="C2805" i="1"/>
  <c r="D2805" i="1" s="1"/>
  <c r="D2312" i="1"/>
  <c r="G2412" i="1"/>
  <c r="G2466" i="1"/>
  <c r="E2498" i="1"/>
  <c r="E2541" i="1"/>
  <c r="E2582" i="1"/>
  <c r="E2592" i="1"/>
  <c r="E2734" i="1"/>
  <c r="G2734" i="1"/>
  <c r="C2734" i="1"/>
  <c r="D2734" i="1" s="1"/>
  <c r="F2734" i="1" s="1"/>
  <c r="F2532" i="1"/>
  <c r="G2611" i="1"/>
  <c r="E2630" i="1"/>
  <c r="G2730" i="1"/>
  <c r="E2437" i="1"/>
  <c r="G2476" i="1"/>
  <c r="E2502" i="1"/>
  <c r="E2509" i="1"/>
  <c r="G2648" i="1"/>
  <c r="E2755" i="1"/>
  <c r="D2883" i="1"/>
  <c r="E1872" i="1"/>
  <c r="E1881" i="1"/>
  <c r="F1881" i="1" s="1"/>
  <c r="E1997" i="1"/>
  <c r="G2019" i="1"/>
  <c r="E2216" i="1"/>
  <c r="E2264" i="1"/>
  <c r="F2264" i="1" s="1"/>
  <c r="E2336" i="1"/>
  <c r="G2411" i="1"/>
  <c r="E2532" i="1"/>
  <c r="G2574" i="1"/>
  <c r="G2682" i="1"/>
  <c r="G1909" i="1"/>
  <c r="E2271" i="1"/>
  <c r="E2319" i="1"/>
  <c r="E2420" i="1"/>
  <c r="C2470" i="1"/>
  <c r="D2470" i="1" s="1"/>
  <c r="G2551" i="1"/>
  <c r="E2551" i="1"/>
  <c r="F2551" i="1" s="1"/>
  <c r="E2605" i="1"/>
  <c r="G2652" i="1"/>
  <c r="G2723" i="1"/>
  <c r="E2723" i="1"/>
  <c r="E2756" i="1"/>
  <c r="C2756" i="1"/>
  <c r="D2756" i="1" s="1"/>
  <c r="G2855" i="1"/>
  <c r="C2855" i="1"/>
  <c r="D2855" i="1" s="1"/>
  <c r="C2902" i="1"/>
  <c r="D2902" i="1" s="1"/>
  <c r="F2902" i="1" s="1"/>
  <c r="G2932" i="1"/>
  <c r="C2951" i="1"/>
  <c r="D2951" i="1" s="1"/>
  <c r="F2951" i="1" s="1"/>
  <c r="G2951" i="1"/>
  <c r="G2736" i="1"/>
  <c r="E2736" i="1"/>
  <c r="F2736" i="1" s="1"/>
  <c r="G2753" i="1"/>
  <c r="E2753" i="1"/>
  <c r="G2902" i="1"/>
  <c r="E2701" i="1"/>
  <c r="D2718" i="1"/>
  <c r="G2756" i="1"/>
  <c r="E2772" i="1"/>
  <c r="E2792" i="1"/>
  <c r="G2808" i="1"/>
  <c r="E2896" i="1"/>
  <c r="G2928" i="1"/>
  <c r="G2731" i="1"/>
  <c r="G2786" i="1"/>
  <c r="G2850" i="1"/>
  <c r="C2853" i="1"/>
  <c r="D2853" i="1" s="1"/>
  <c r="F2853" i="1" s="1"/>
  <c r="G2392" i="1"/>
  <c r="E2469" i="1"/>
  <c r="F2469" i="1" s="1"/>
  <c r="E2548" i="1"/>
  <c r="G2614" i="1"/>
  <c r="E2629" i="1"/>
  <c r="E2649" i="1"/>
  <c r="E2659" i="1"/>
  <c r="F2659" i="1" s="1"/>
  <c r="E2740" i="1"/>
  <c r="C2796" i="1"/>
  <c r="D2796" i="1" s="1"/>
  <c r="G2819" i="1"/>
  <c r="E2861" i="1"/>
  <c r="E2864" i="1"/>
  <c r="C2873" i="1"/>
  <c r="D2873" i="1" s="1"/>
  <c r="G2881" i="1"/>
  <c r="C2913" i="1"/>
  <c r="D2913" i="1" s="1"/>
  <c r="C2944" i="1"/>
  <c r="D2944" i="1" s="1"/>
  <c r="F2944" i="1" s="1"/>
  <c r="C2947" i="1"/>
  <c r="D2947" i="1" s="1"/>
  <c r="F2947" i="1" s="1"/>
  <c r="G2950" i="1"/>
  <c r="E2873" i="1"/>
  <c r="E2913" i="1"/>
  <c r="E2932" i="1"/>
  <c r="F2932" i="1" s="1"/>
  <c r="G2250" i="1"/>
  <c r="E2343" i="1"/>
  <c r="E2407" i="1"/>
  <c r="E2428" i="1"/>
  <c r="G2504" i="1"/>
  <c r="G2514" i="1"/>
  <c r="E2542" i="1"/>
  <c r="F2542" i="1" s="1"/>
  <c r="E2624" i="1"/>
  <c r="G2688" i="1"/>
  <c r="G2699" i="1"/>
  <c r="G2706" i="1"/>
  <c r="E2709" i="1"/>
  <c r="E2800" i="1"/>
  <c r="E2851" i="1"/>
  <c r="G2882" i="1"/>
  <c r="G2904" i="1"/>
  <c r="G2926" i="1"/>
  <c r="G8" i="1"/>
  <c r="E8" i="1"/>
  <c r="C8" i="1"/>
  <c r="D8" i="1" s="1"/>
  <c r="D14" i="1"/>
  <c r="G17" i="1"/>
  <c r="E17" i="1"/>
  <c r="C17" i="1"/>
  <c r="D17" i="1" s="1"/>
  <c r="C43" i="1"/>
  <c r="D43" i="1" s="1"/>
  <c r="G43" i="1"/>
  <c r="E43" i="1"/>
  <c r="D70" i="1"/>
  <c r="G70" i="1"/>
  <c r="E119" i="1"/>
  <c r="C119" i="1"/>
  <c r="D119" i="1" s="1"/>
  <c r="F119" i="1" s="1"/>
  <c r="G119" i="1"/>
  <c r="E150" i="1"/>
  <c r="G150" i="1"/>
  <c r="C150" i="1"/>
  <c r="D150" i="1" s="1"/>
  <c r="E370" i="1"/>
  <c r="C370" i="1"/>
  <c r="D370" i="1" s="1"/>
  <c r="G370" i="1"/>
  <c r="F475" i="1"/>
  <c r="E488" i="1"/>
  <c r="G488" i="1"/>
  <c r="E304" i="1"/>
  <c r="G304" i="1"/>
  <c r="G32" i="1"/>
  <c r="G40" i="1"/>
  <c r="G57" i="1"/>
  <c r="E57" i="1"/>
  <c r="C57" i="1"/>
  <c r="D57" i="1" s="1"/>
  <c r="D98" i="1"/>
  <c r="D108" i="1"/>
  <c r="G130" i="1"/>
  <c r="G183" i="1"/>
  <c r="E193" i="1"/>
  <c r="C193" i="1"/>
  <c r="D193" i="1" s="1"/>
  <c r="G193" i="1"/>
  <c r="D204" i="1"/>
  <c r="E262" i="1"/>
  <c r="C262" i="1"/>
  <c r="D262" i="1" s="1"/>
  <c r="G262" i="1"/>
  <c r="G311" i="1"/>
  <c r="D311" i="1"/>
  <c r="E514" i="1"/>
  <c r="D514" i="1"/>
  <c r="G514" i="1"/>
  <c r="C21" i="1"/>
  <c r="D21" i="1" s="1"/>
  <c r="G21" i="1"/>
  <c r="E21" i="1"/>
  <c r="E25" i="1"/>
  <c r="C25" i="1"/>
  <c r="D25" i="1" s="1"/>
  <c r="F25" i="1" s="1"/>
  <c r="G25" i="1"/>
  <c r="C71" i="1"/>
  <c r="D71" i="1" s="1"/>
  <c r="G71" i="1"/>
  <c r="E71" i="1"/>
  <c r="C83" i="1"/>
  <c r="D83" i="1" s="1"/>
  <c r="E83" i="1"/>
  <c r="G83" i="1"/>
  <c r="E109" i="1"/>
  <c r="G109" i="1"/>
  <c r="C109" i="1"/>
  <c r="D109" i="1" s="1"/>
  <c r="F109" i="1" s="1"/>
  <c r="G197" i="1"/>
  <c r="E197" i="1"/>
  <c r="C197" i="1"/>
  <c r="D197" i="1" s="1"/>
  <c r="G37" i="1"/>
  <c r="E37" i="1"/>
  <c r="C37" i="1"/>
  <c r="D37" i="1" s="1"/>
  <c r="C79" i="1"/>
  <c r="D79" i="1" s="1"/>
  <c r="G79" i="1"/>
  <c r="E79" i="1"/>
  <c r="G440" i="1"/>
  <c r="E440" i="1"/>
  <c r="C47" i="1"/>
  <c r="D47" i="1" s="1"/>
  <c r="G47" i="1"/>
  <c r="E47" i="1"/>
  <c r="C135" i="1"/>
  <c r="D135" i="1" s="1"/>
  <c r="E135" i="1"/>
  <c r="G135" i="1"/>
  <c r="E259" i="1"/>
  <c r="C259" i="1"/>
  <c r="D259" i="1" s="1"/>
  <c r="G259" i="1"/>
  <c r="G607" i="1"/>
  <c r="E607" i="1"/>
  <c r="C33" i="1"/>
  <c r="D33" i="1" s="1"/>
  <c r="E33" i="1"/>
  <c r="G33" i="1"/>
  <c r="E90" i="1"/>
  <c r="G90" i="1"/>
  <c r="C90" i="1"/>
  <c r="D90" i="1" s="1"/>
  <c r="G123" i="1"/>
  <c r="E123" i="1"/>
  <c r="D123" i="1"/>
  <c r="G131" i="1"/>
  <c r="E131" i="1"/>
  <c r="C131" i="1"/>
  <c r="D131" i="1" s="1"/>
  <c r="G173" i="1"/>
  <c r="E173" i="1"/>
  <c r="C173" i="1"/>
  <c r="D173" i="1" s="1"/>
  <c r="E214" i="1"/>
  <c r="G214" i="1"/>
  <c r="C214" i="1"/>
  <c r="D214" i="1" s="1"/>
  <c r="G227" i="1"/>
  <c r="E227" i="1"/>
  <c r="C227" i="1"/>
  <c r="D227" i="1" s="1"/>
  <c r="F227" i="1" s="1"/>
  <c r="F271" i="1"/>
  <c r="D18" i="1"/>
  <c r="G44" i="1"/>
  <c r="E44" i="1"/>
  <c r="C51" i="1"/>
  <c r="D51" i="1" s="1"/>
  <c r="E51" i="1"/>
  <c r="G51" i="1"/>
  <c r="G155" i="1"/>
  <c r="E155" i="1"/>
  <c r="C155" i="1"/>
  <c r="D155" i="1" s="1"/>
  <c r="F245" i="1"/>
  <c r="D263" i="1"/>
  <c r="E263" i="1"/>
  <c r="G263" i="1"/>
  <c r="G2" i="1"/>
  <c r="D22" i="1"/>
  <c r="G22" i="1"/>
  <c r="D44" i="1"/>
  <c r="D58" i="1"/>
  <c r="F167" i="1"/>
  <c r="E191" i="1"/>
  <c r="G191" i="1"/>
  <c r="C191" i="1"/>
  <c r="D191" i="1" s="1"/>
  <c r="E198" i="1"/>
  <c r="C198" i="1"/>
  <c r="D198" i="1" s="1"/>
  <c r="G198" i="1"/>
  <c r="F208" i="1"/>
  <c r="D279" i="1"/>
  <c r="F279" i="1" s="1"/>
  <c r="E461" i="1"/>
  <c r="G461" i="1"/>
  <c r="E480" i="1"/>
  <c r="C480" i="1"/>
  <c r="D480" i="1" s="1"/>
  <c r="G480" i="1"/>
  <c r="G500" i="1"/>
  <c r="C500" i="1"/>
  <c r="D500" i="1" s="1"/>
  <c r="E500" i="1"/>
  <c r="G29" i="1"/>
  <c r="E29" i="1"/>
  <c r="C29" i="1"/>
  <c r="D29" i="1" s="1"/>
  <c r="C87" i="1"/>
  <c r="D87" i="1" s="1"/>
  <c r="G87" i="1"/>
  <c r="E87" i="1"/>
  <c r="E142" i="1"/>
  <c r="G142" i="1"/>
  <c r="C142" i="1"/>
  <c r="D142" i="1" s="1"/>
  <c r="F142" i="1" s="1"/>
  <c r="E215" i="1"/>
  <c r="G215" i="1"/>
  <c r="C215" i="1"/>
  <c r="D215" i="1" s="1"/>
  <c r="C470" i="1"/>
  <c r="D470" i="1" s="1"/>
  <c r="G470" i="1"/>
  <c r="E470" i="1"/>
  <c r="C3" i="1"/>
  <c r="D3" i="1" s="1"/>
  <c r="G3" i="1"/>
  <c r="E3" i="1"/>
  <c r="C23" i="1"/>
  <c r="D23" i="1" s="1"/>
  <c r="G23" i="1"/>
  <c r="E23" i="1"/>
  <c r="G48" i="1"/>
  <c r="E48" i="1"/>
  <c r="F48" i="1" s="1"/>
  <c r="D62" i="1"/>
  <c r="G65" i="1"/>
  <c r="E65" i="1"/>
  <c r="C65" i="1"/>
  <c r="D65" i="1" s="1"/>
  <c r="C181" i="1"/>
  <c r="D181" i="1" s="1"/>
  <c r="G181" i="1"/>
  <c r="E181" i="1"/>
  <c r="G231" i="1"/>
  <c r="E231" i="1"/>
  <c r="C231" i="1"/>
  <c r="D231" i="1" s="1"/>
  <c r="F231" i="1" s="1"/>
  <c r="E250" i="1"/>
  <c r="C250" i="1"/>
  <c r="D250" i="1" s="1"/>
  <c r="G250" i="1"/>
  <c r="C438" i="1"/>
  <c r="D438" i="1" s="1"/>
  <c r="G438" i="1"/>
  <c r="E438" i="1"/>
  <c r="C486" i="1"/>
  <c r="D486" i="1" s="1"/>
  <c r="E486" i="1"/>
  <c r="G486" i="1"/>
  <c r="D6" i="1"/>
  <c r="E27" i="1"/>
  <c r="G27" i="1"/>
  <c r="D27" i="1"/>
  <c r="C35" i="1"/>
  <c r="D35" i="1" s="1"/>
  <c r="G35" i="1"/>
  <c r="E35" i="1"/>
  <c r="G52" i="1"/>
  <c r="G77" i="1"/>
  <c r="E77" i="1"/>
  <c r="C77" i="1"/>
  <c r="D77" i="1" s="1"/>
  <c r="E94" i="1"/>
  <c r="G94" i="1"/>
  <c r="C94" i="1"/>
  <c r="D94" i="1" s="1"/>
  <c r="E97" i="1"/>
  <c r="C97" i="1"/>
  <c r="D97" i="1" s="1"/>
  <c r="G97" i="1"/>
  <c r="G111" i="1"/>
  <c r="E121" i="1"/>
  <c r="C121" i="1"/>
  <c r="D121" i="1" s="1"/>
  <c r="G121" i="1"/>
  <c r="G159" i="1"/>
  <c r="E159" i="1"/>
  <c r="C159" i="1"/>
  <c r="D159" i="1" s="1"/>
  <c r="D280" i="1"/>
  <c r="G280" i="1"/>
  <c r="E280" i="1"/>
  <c r="C7" i="1"/>
  <c r="D7" i="1" s="1"/>
  <c r="G7" i="1"/>
  <c r="E7" i="1"/>
  <c r="C69" i="1"/>
  <c r="D69" i="1" s="1"/>
  <c r="G69" i="1"/>
  <c r="E69" i="1"/>
  <c r="C81" i="1"/>
  <c r="D81" i="1" s="1"/>
  <c r="F81" i="1" s="1"/>
  <c r="E81" i="1"/>
  <c r="G81" i="1"/>
  <c r="G125" i="1"/>
  <c r="E125" i="1"/>
  <c r="C125" i="1"/>
  <c r="D125" i="1" s="1"/>
  <c r="F125" i="1" s="1"/>
  <c r="G143" i="1"/>
  <c r="E143" i="1"/>
  <c r="C143" i="1"/>
  <c r="D143" i="1" s="1"/>
  <c r="E207" i="1"/>
  <c r="C207" i="1"/>
  <c r="D207" i="1" s="1"/>
  <c r="G207" i="1"/>
  <c r="G247" i="1"/>
  <c r="E247" i="1"/>
  <c r="C247" i="1"/>
  <c r="D247" i="1" s="1"/>
  <c r="D418" i="1"/>
  <c r="E418" i="1"/>
  <c r="G418" i="1"/>
  <c r="C422" i="1"/>
  <c r="D422" i="1" s="1"/>
  <c r="E422" i="1"/>
  <c r="G422" i="1"/>
  <c r="G452" i="1"/>
  <c r="E452" i="1"/>
  <c r="C452" i="1"/>
  <c r="D452" i="1" s="1"/>
  <c r="C510" i="1"/>
  <c r="D510" i="1" s="1"/>
  <c r="G510" i="1"/>
  <c r="E510" i="1"/>
  <c r="G5" i="1"/>
  <c r="E5" i="1"/>
  <c r="C5" i="1"/>
  <c r="D5" i="1" s="1"/>
  <c r="F5" i="1" s="1"/>
  <c r="D75" i="1"/>
  <c r="E75" i="1"/>
  <c r="G75" i="1"/>
  <c r="E73" i="1"/>
  <c r="C73" i="1"/>
  <c r="D73" i="1" s="1"/>
  <c r="G73" i="1"/>
  <c r="C31" i="1"/>
  <c r="D31" i="1" s="1"/>
  <c r="G31" i="1"/>
  <c r="E31" i="1"/>
  <c r="C39" i="1"/>
  <c r="D39" i="1" s="1"/>
  <c r="E39" i="1"/>
  <c r="G39" i="1"/>
  <c r="D52" i="1"/>
  <c r="G101" i="1"/>
  <c r="E101" i="1"/>
  <c r="C101" i="1"/>
  <c r="D101" i="1" s="1"/>
  <c r="G203" i="1"/>
  <c r="E203" i="1"/>
  <c r="C203" i="1"/>
  <c r="D203" i="1" s="1"/>
  <c r="E238" i="1"/>
  <c r="G238" i="1"/>
  <c r="C238" i="1"/>
  <c r="D238" i="1" s="1"/>
  <c r="F238" i="1" s="1"/>
  <c r="G251" i="1"/>
  <c r="E251" i="1"/>
  <c r="D251" i="1"/>
  <c r="E274" i="1"/>
  <c r="C274" i="1"/>
  <c r="D274" i="1" s="1"/>
  <c r="G274" i="1"/>
  <c r="G335" i="1"/>
  <c r="E335" i="1"/>
  <c r="C335" i="1"/>
  <c r="D335" i="1" s="1"/>
  <c r="F335" i="1" s="1"/>
  <c r="E56" i="1"/>
  <c r="G56" i="1"/>
  <c r="D56" i="1"/>
  <c r="G60" i="1"/>
  <c r="D66" i="1"/>
  <c r="D74" i="1"/>
  <c r="D88" i="1"/>
  <c r="F88" i="1" s="1"/>
  <c r="E126" i="1"/>
  <c r="C126" i="1"/>
  <c r="D126" i="1" s="1"/>
  <c r="G126" i="1"/>
  <c r="D139" i="1"/>
  <c r="E166" i="1"/>
  <c r="G166" i="1"/>
  <c r="C166" i="1"/>
  <c r="D166" i="1" s="1"/>
  <c r="E222" i="1"/>
  <c r="G222" i="1"/>
  <c r="C222" i="1"/>
  <c r="D222" i="1" s="1"/>
  <c r="E278" i="1"/>
  <c r="C278" i="1"/>
  <c r="D278" i="1" s="1"/>
  <c r="G278" i="1"/>
  <c r="E318" i="1"/>
  <c r="C318" i="1"/>
  <c r="D318" i="1" s="1"/>
  <c r="G318" i="1"/>
  <c r="D456" i="1"/>
  <c r="G456" i="1"/>
  <c r="E456" i="1"/>
  <c r="E572" i="1"/>
  <c r="C572" i="1"/>
  <c r="D572" i="1" s="1"/>
  <c r="F582" i="1"/>
  <c r="G671" i="1"/>
  <c r="E671" i="1"/>
  <c r="G158" i="1"/>
  <c r="G165" i="1"/>
  <c r="D172" i="1"/>
  <c r="F172" i="1" s="1"/>
  <c r="E176" i="1"/>
  <c r="C176" i="1"/>
  <c r="D176" i="1" s="1"/>
  <c r="D195" i="1"/>
  <c r="E206" i="1"/>
  <c r="D216" i="1"/>
  <c r="G230" i="1"/>
  <c r="G237" i="1"/>
  <c r="D244" i="1"/>
  <c r="F244" i="1" s="1"/>
  <c r="E254" i="1"/>
  <c r="C254" i="1"/>
  <c r="D254" i="1" s="1"/>
  <c r="G279" i="1"/>
  <c r="E289" i="1"/>
  <c r="F289" i="1" s="1"/>
  <c r="C293" i="1"/>
  <c r="D293" i="1" s="1"/>
  <c r="E308" i="1"/>
  <c r="F308" i="1" s="1"/>
  <c r="G313" i="1"/>
  <c r="E313" i="1"/>
  <c r="G321" i="1"/>
  <c r="E321" i="1"/>
  <c r="C321" i="1"/>
  <c r="D321" i="1" s="1"/>
  <c r="F321" i="1" s="1"/>
  <c r="G323" i="1"/>
  <c r="C323" i="1"/>
  <c r="D323" i="1" s="1"/>
  <c r="G327" i="1"/>
  <c r="E348" i="1"/>
  <c r="F348" i="1" s="1"/>
  <c r="D359" i="1"/>
  <c r="F359" i="1" s="1"/>
  <c r="D375" i="1"/>
  <c r="F375" i="1" s="1"/>
  <c r="D397" i="1"/>
  <c r="D408" i="1"/>
  <c r="F408" i="1" s="1"/>
  <c r="G414" i="1"/>
  <c r="D428" i="1"/>
  <c r="D430" i="1"/>
  <c r="F430" i="1" s="1"/>
  <c r="E448" i="1"/>
  <c r="C448" i="1"/>
  <c r="D448" i="1" s="1"/>
  <c r="G448" i="1"/>
  <c r="D493" i="1"/>
  <c r="G504" i="1"/>
  <c r="G507" i="1"/>
  <c r="E507" i="1"/>
  <c r="E524" i="1"/>
  <c r="C524" i="1"/>
  <c r="D524" i="1" s="1"/>
  <c r="F524" i="1" s="1"/>
  <c r="E535" i="1"/>
  <c r="G535" i="1"/>
  <c r="C535" i="1"/>
  <c r="D535" i="1" s="1"/>
  <c r="C566" i="1"/>
  <c r="D566" i="1" s="1"/>
  <c r="G566" i="1"/>
  <c r="E566" i="1"/>
  <c r="E575" i="1"/>
  <c r="G575" i="1"/>
  <c r="C575" i="1"/>
  <c r="D575" i="1" s="1"/>
  <c r="F575" i="1" s="1"/>
  <c r="C612" i="1"/>
  <c r="D612" i="1" s="1"/>
  <c r="F612" i="1" s="1"/>
  <c r="E612" i="1"/>
  <c r="G612" i="1"/>
  <c r="C628" i="1"/>
  <c r="D628" i="1" s="1"/>
  <c r="E628" i="1"/>
  <c r="G628" i="1"/>
  <c r="C637" i="1"/>
  <c r="D637" i="1" s="1"/>
  <c r="G637" i="1"/>
  <c r="C652" i="1"/>
  <c r="D652" i="1" s="1"/>
  <c r="E652" i="1"/>
  <c r="G652" i="1"/>
  <c r="C634" i="1"/>
  <c r="D634" i="1" s="1"/>
  <c r="G634" i="1"/>
  <c r="E634" i="1"/>
  <c r="G655" i="1"/>
  <c r="E655" i="1"/>
  <c r="C668" i="1"/>
  <c r="D668" i="1" s="1"/>
  <c r="E668" i="1"/>
  <c r="G668" i="1"/>
  <c r="C684" i="1"/>
  <c r="D684" i="1" s="1"/>
  <c r="F684" i="1" s="1"/>
  <c r="E684" i="1"/>
  <c r="G684" i="1"/>
  <c r="G687" i="1"/>
  <c r="E687" i="1"/>
  <c r="G437" i="1"/>
  <c r="E437" i="1"/>
  <c r="E439" i="1"/>
  <c r="C439" i="1"/>
  <c r="D439" i="1" s="1"/>
  <c r="F439" i="1" s="1"/>
  <c r="E455" i="1"/>
  <c r="G455" i="1"/>
  <c r="C455" i="1"/>
  <c r="D455" i="1" s="1"/>
  <c r="E551" i="1"/>
  <c r="C551" i="1"/>
  <c r="D551" i="1" s="1"/>
  <c r="C49" i="1"/>
  <c r="D49" i="1" s="1"/>
  <c r="E55" i="1"/>
  <c r="F55" i="1" s="1"/>
  <c r="D100" i="1"/>
  <c r="F100" i="1" s="1"/>
  <c r="E104" i="1"/>
  <c r="C104" i="1"/>
  <c r="D104" i="1" s="1"/>
  <c r="D144" i="1"/>
  <c r="C9" i="1"/>
  <c r="D9" i="1" s="1"/>
  <c r="C46" i="1"/>
  <c r="D46" i="1" s="1"/>
  <c r="E72" i="1"/>
  <c r="F72" i="1" s="1"/>
  <c r="C102" i="1"/>
  <c r="D102" i="1" s="1"/>
  <c r="F102" i="1" s="1"/>
  <c r="E144" i="1"/>
  <c r="C153" i="1"/>
  <c r="D153" i="1" s="1"/>
  <c r="D160" i="1"/>
  <c r="F160" i="1" s="1"/>
  <c r="C162" i="1"/>
  <c r="D162" i="1" s="1"/>
  <c r="F162" i="1" s="1"/>
  <c r="C174" i="1"/>
  <c r="D174" i="1" s="1"/>
  <c r="F174" i="1" s="1"/>
  <c r="E178" i="1"/>
  <c r="C178" i="1"/>
  <c r="D178" i="1" s="1"/>
  <c r="C183" i="1"/>
  <c r="D183" i="1" s="1"/>
  <c r="D211" i="1"/>
  <c r="F211" i="1" s="1"/>
  <c r="E216" i="1"/>
  <c r="C225" i="1"/>
  <c r="D225" i="1" s="1"/>
  <c r="D232" i="1"/>
  <c r="F232" i="1" s="1"/>
  <c r="C234" i="1"/>
  <c r="D234" i="1" s="1"/>
  <c r="F234" i="1" s="1"/>
  <c r="C248" i="1"/>
  <c r="D248" i="1" s="1"/>
  <c r="E258" i="1"/>
  <c r="C258" i="1"/>
  <c r="D258" i="1" s="1"/>
  <c r="F258" i="1" s="1"/>
  <c r="G258" i="1"/>
  <c r="E286" i="1"/>
  <c r="C286" i="1"/>
  <c r="D286" i="1" s="1"/>
  <c r="C295" i="1"/>
  <c r="D295" i="1" s="1"/>
  <c r="C317" i="1"/>
  <c r="D317" i="1" s="1"/>
  <c r="F317" i="1" s="1"/>
  <c r="D336" i="1"/>
  <c r="F336" i="1" s="1"/>
  <c r="C357" i="1"/>
  <c r="D357" i="1" s="1"/>
  <c r="F357" i="1" s="1"/>
  <c r="C395" i="1"/>
  <c r="D395" i="1" s="1"/>
  <c r="C402" i="1"/>
  <c r="D402" i="1" s="1"/>
  <c r="G402" i="1"/>
  <c r="E402" i="1"/>
  <c r="C404" i="1"/>
  <c r="D404" i="1" s="1"/>
  <c r="E408" i="1"/>
  <c r="G419" i="1"/>
  <c r="C419" i="1"/>
  <c r="D419" i="1" s="1"/>
  <c r="F419" i="1" s="1"/>
  <c r="E423" i="1"/>
  <c r="C423" i="1"/>
  <c r="D423" i="1" s="1"/>
  <c r="F423" i="1" s="1"/>
  <c r="D437" i="1"/>
  <c r="F437" i="1" s="1"/>
  <c r="E441" i="1"/>
  <c r="D441" i="1"/>
  <c r="C446" i="1"/>
  <c r="D446" i="1" s="1"/>
  <c r="E446" i="1"/>
  <c r="E466" i="1"/>
  <c r="D466" i="1"/>
  <c r="G485" i="1"/>
  <c r="E485" i="1"/>
  <c r="E487" i="1"/>
  <c r="C487" i="1"/>
  <c r="D487" i="1" s="1"/>
  <c r="F487" i="1" s="1"/>
  <c r="E503" i="1"/>
  <c r="G503" i="1"/>
  <c r="C503" i="1"/>
  <c r="D503" i="1" s="1"/>
  <c r="F503" i="1" s="1"/>
  <c r="G563" i="1"/>
  <c r="C563" i="1"/>
  <c r="D563" i="1" s="1"/>
  <c r="G572" i="1"/>
  <c r="F590" i="1"/>
  <c r="E6" i="1"/>
  <c r="C12" i="1"/>
  <c r="D12" i="1" s="1"/>
  <c r="E14" i="1"/>
  <c r="E15" i="1"/>
  <c r="F15" i="1" s="1"/>
  <c r="G24" i="1"/>
  <c r="E49" i="1"/>
  <c r="E52" i="1"/>
  <c r="G55" i="1"/>
  <c r="C60" i="1"/>
  <c r="D60" i="1" s="1"/>
  <c r="E62" i="1"/>
  <c r="E63" i="1"/>
  <c r="F63" i="1" s="1"/>
  <c r="G100" i="1"/>
  <c r="G108" i="1"/>
  <c r="E108" i="1"/>
  <c r="E111" i="1"/>
  <c r="C113" i="1"/>
  <c r="D113" i="1" s="1"/>
  <c r="F113" i="1" s="1"/>
  <c r="C134" i="1"/>
  <c r="D134" i="1" s="1"/>
  <c r="F134" i="1" s="1"/>
  <c r="G172" i="1"/>
  <c r="G180" i="1"/>
  <c r="E180" i="1"/>
  <c r="F180" i="1" s="1"/>
  <c r="E183" i="1"/>
  <c r="C185" i="1"/>
  <c r="D185" i="1" s="1"/>
  <c r="F185" i="1" s="1"/>
  <c r="C206" i="1"/>
  <c r="D206" i="1" s="1"/>
  <c r="G244" i="1"/>
  <c r="G264" i="1"/>
  <c r="E277" i="1"/>
  <c r="F277" i="1" s="1"/>
  <c r="E293" i="1"/>
  <c r="E295" i="1"/>
  <c r="D297" i="1"/>
  <c r="F297" i="1" s="1"/>
  <c r="C299" i="1"/>
  <c r="D299" i="1" s="1"/>
  <c r="C313" i="1"/>
  <c r="D313" i="1" s="1"/>
  <c r="C319" i="1"/>
  <c r="D319" i="1" s="1"/>
  <c r="E325" i="1"/>
  <c r="F325" i="1" s="1"/>
  <c r="E329" i="1"/>
  <c r="E340" i="1"/>
  <c r="F340" i="1" s="1"/>
  <c r="C353" i="1"/>
  <c r="D353" i="1" s="1"/>
  <c r="E357" i="1"/>
  <c r="G359" i="1"/>
  <c r="E362" i="1"/>
  <c r="C362" i="1"/>
  <c r="D362" i="1" s="1"/>
  <c r="G364" i="1"/>
  <c r="C379" i="1"/>
  <c r="D379" i="1" s="1"/>
  <c r="C387" i="1"/>
  <c r="D387" i="1" s="1"/>
  <c r="F387" i="1" s="1"/>
  <c r="C391" i="1"/>
  <c r="D391" i="1" s="1"/>
  <c r="F391" i="1" s="1"/>
  <c r="E404" i="1"/>
  <c r="G417" i="1"/>
  <c r="E417" i="1"/>
  <c r="C417" i="1"/>
  <c r="D417" i="1" s="1"/>
  <c r="E428" i="1"/>
  <c r="G430" i="1"/>
  <c r="G433" i="1"/>
  <c r="C433" i="1"/>
  <c r="D433" i="1" s="1"/>
  <c r="F433" i="1" s="1"/>
  <c r="D453" i="1"/>
  <c r="E464" i="1"/>
  <c r="C464" i="1"/>
  <c r="D464" i="1" s="1"/>
  <c r="G464" i="1"/>
  <c r="D476" i="1"/>
  <c r="E496" i="1"/>
  <c r="C496" i="1"/>
  <c r="D496" i="1" s="1"/>
  <c r="G496" i="1"/>
  <c r="C507" i="1"/>
  <c r="D507" i="1" s="1"/>
  <c r="E519" i="1"/>
  <c r="C519" i="1"/>
  <c r="D519" i="1" s="1"/>
  <c r="C538" i="1"/>
  <c r="D538" i="1" s="1"/>
  <c r="G538" i="1"/>
  <c r="E538" i="1"/>
  <c r="G551" i="1"/>
  <c r="F643" i="1"/>
  <c r="G770" i="1"/>
  <c r="C770" i="1"/>
  <c r="D770" i="1" s="1"/>
  <c r="E770" i="1"/>
  <c r="G132" i="1"/>
  <c r="E132" i="1"/>
  <c r="F132" i="1" s="1"/>
  <c r="E26" i="1"/>
  <c r="F26" i="1" s="1"/>
  <c r="E54" i="1"/>
  <c r="E95" i="1"/>
  <c r="F95" i="1" s="1"/>
  <c r="E106" i="1"/>
  <c r="C106" i="1"/>
  <c r="D106" i="1" s="1"/>
  <c r="C111" i="1"/>
  <c r="D111" i="1" s="1"/>
  <c r="E169" i="1"/>
  <c r="C169" i="1"/>
  <c r="D169" i="1" s="1"/>
  <c r="E188" i="1"/>
  <c r="F188" i="1" s="1"/>
  <c r="E195" i="1"/>
  <c r="E266" i="1"/>
  <c r="C266" i="1"/>
  <c r="D266" i="1" s="1"/>
  <c r="F266" i="1" s="1"/>
  <c r="C40" i="1"/>
  <c r="D40" i="1" s="1"/>
  <c r="F40" i="1" s="1"/>
  <c r="C54" i="1"/>
  <c r="D54" i="1" s="1"/>
  <c r="F54" i="1" s="1"/>
  <c r="E80" i="1"/>
  <c r="C85" i="1"/>
  <c r="D85" i="1" s="1"/>
  <c r="F85" i="1" s="1"/>
  <c r="E122" i="1"/>
  <c r="G122" i="1"/>
  <c r="E141" i="1"/>
  <c r="F141" i="1" s="1"/>
  <c r="C157" i="1"/>
  <c r="D157" i="1" s="1"/>
  <c r="F157" i="1" s="1"/>
  <c r="C236" i="1"/>
  <c r="D236" i="1" s="1"/>
  <c r="F236" i="1" s="1"/>
  <c r="E248" i="1"/>
  <c r="D327" i="1"/>
  <c r="E374" i="1"/>
  <c r="C374" i="1"/>
  <c r="D374" i="1" s="1"/>
  <c r="E395" i="1"/>
  <c r="C398" i="1"/>
  <c r="D398" i="1" s="1"/>
  <c r="E398" i="1"/>
  <c r="E400" i="1"/>
  <c r="C400" i="1"/>
  <c r="D400" i="1" s="1"/>
  <c r="G400" i="1"/>
  <c r="E407" i="1"/>
  <c r="G407" i="1"/>
  <c r="C407" i="1"/>
  <c r="D407" i="1" s="1"/>
  <c r="E419" i="1"/>
  <c r="D421" i="1"/>
  <c r="F421" i="1" s="1"/>
  <c r="G439" i="1"/>
  <c r="G441" i="1"/>
  <c r="G451" i="1"/>
  <c r="E451" i="1"/>
  <c r="F451" i="1" s="1"/>
  <c r="E453" i="1"/>
  <c r="G466" i="1"/>
  <c r="E471" i="1"/>
  <c r="C471" i="1"/>
  <c r="D471" i="1" s="1"/>
  <c r="E478" i="1"/>
  <c r="F478" i="1" s="1"/>
  <c r="D485" i="1"/>
  <c r="E489" i="1"/>
  <c r="D489" i="1"/>
  <c r="F489" i="1" s="1"/>
  <c r="E491" i="1"/>
  <c r="F491" i="1" s="1"/>
  <c r="C494" i="1"/>
  <c r="D494" i="1" s="1"/>
  <c r="E494" i="1"/>
  <c r="E512" i="1"/>
  <c r="C512" i="1"/>
  <c r="D512" i="1" s="1"/>
  <c r="G512" i="1"/>
  <c r="G524" i="1"/>
  <c r="G527" i="1"/>
  <c r="G530" i="1"/>
  <c r="D530" i="1"/>
  <c r="G533" i="1"/>
  <c r="E533" i="1"/>
  <c r="F533" i="1" s="1"/>
  <c r="G549" i="1"/>
  <c r="E549" i="1"/>
  <c r="E563" i="1"/>
  <c r="E637" i="1"/>
  <c r="C644" i="1"/>
  <c r="D644" i="1" s="1"/>
  <c r="E644" i="1"/>
  <c r="G644" i="1"/>
  <c r="D653" i="1"/>
  <c r="G741" i="1"/>
  <c r="C741" i="1"/>
  <c r="D741" i="1" s="1"/>
  <c r="F741" i="1" s="1"/>
  <c r="E741" i="1"/>
  <c r="C780" i="1"/>
  <c r="D780" i="1" s="1"/>
  <c r="G780" i="1"/>
  <c r="E780" i="1"/>
  <c r="C32" i="1"/>
  <c r="D32" i="1" s="1"/>
  <c r="C80" i="1"/>
  <c r="D80" i="1" s="1"/>
  <c r="F80" i="1" s="1"/>
  <c r="E241" i="1"/>
  <c r="C241" i="1"/>
  <c r="D241" i="1" s="1"/>
  <c r="C2" i="1"/>
  <c r="D2" i="1" s="1"/>
  <c r="F2" i="1" s="1"/>
  <c r="E9" i="1"/>
  <c r="E32" i="1"/>
  <c r="E42" i="1"/>
  <c r="C92" i="1"/>
  <c r="D92" i="1" s="1"/>
  <c r="F92" i="1" s="1"/>
  <c r="C127" i="1"/>
  <c r="D127" i="1" s="1"/>
  <c r="F127" i="1" s="1"/>
  <c r="E153" i="1"/>
  <c r="G162" i="1"/>
  <c r="C164" i="1"/>
  <c r="D164" i="1" s="1"/>
  <c r="F164" i="1" s="1"/>
  <c r="E194" i="1"/>
  <c r="G194" i="1"/>
  <c r="C199" i="1"/>
  <c r="D199" i="1" s="1"/>
  <c r="F199" i="1" s="1"/>
  <c r="E213" i="1"/>
  <c r="F213" i="1" s="1"/>
  <c r="E225" i="1"/>
  <c r="C229" i="1"/>
  <c r="D229" i="1" s="1"/>
  <c r="F229" i="1" s="1"/>
  <c r="G234" i="1"/>
  <c r="D256" i="1"/>
  <c r="F256" i="1" s="1"/>
  <c r="C260" i="1"/>
  <c r="D260" i="1" s="1"/>
  <c r="F260" i="1" s="1"/>
  <c r="E270" i="1"/>
  <c r="C270" i="1"/>
  <c r="D270" i="1" s="1"/>
  <c r="G270" i="1"/>
  <c r="E281" i="1"/>
  <c r="C281" i="1"/>
  <c r="D281" i="1" s="1"/>
  <c r="E290" i="1"/>
  <c r="C290" i="1"/>
  <c r="D290" i="1" s="1"/>
  <c r="C303" i="1"/>
  <c r="D303" i="1" s="1"/>
  <c r="F303" i="1" s="1"/>
  <c r="C305" i="1"/>
  <c r="D305" i="1" s="1"/>
  <c r="F305" i="1" s="1"/>
  <c r="G340" i="1"/>
  <c r="C351" i="1"/>
  <c r="D351" i="1" s="1"/>
  <c r="F351" i="1" s="1"/>
  <c r="E366" i="1"/>
  <c r="C366" i="1"/>
  <c r="D366" i="1" s="1"/>
  <c r="G366" i="1"/>
  <c r="G372" i="1"/>
  <c r="E372" i="1"/>
  <c r="C372" i="1"/>
  <c r="D372" i="1" s="1"/>
  <c r="E379" i="1"/>
  <c r="D381" i="1"/>
  <c r="F381" i="1" s="1"/>
  <c r="C383" i="1"/>
  <c r="D383" i="1" s="1"/>
  <c r="C389" i="1"/>
  <c r="D389" i="1" s="1"/>
  <c r="F389" i="1" s="1"/>
  <c r="E12" i="1"/>
  <c r="G15" i="1"/>
  <c r="C20" i="1"/>
  <c r="D20" i="1" s="1"/>
  <c r="E22" i="1"/>
  <c r="C34" i="1"/>
  <c r="D34" i="1" s="1"/>
  <c r="F34" i="1" s="1"/>
  <c r="E60" i="1"/>
  <c r="G63" i="1"/>
  <c r="C68" i="1"/>
  <c r="D68" i="1" s="1"/>
  <c r="E70" i="1"/>
  <c r="C82" i="1"/>
  <c r="D82" i="1" s="1"/>
  <c r="F82" i="1" s="1"/>
  <c r="G102" i="1"/>
  <c r="E110" i="1"/>
  <c r="C115" i="1"/>
  <c r="D115" i="1" s="1"/>
  <c r="C120" i="1"/>
  <c r="D120" i="1" s="1"/>
  <c r="F120" i="1" s="1"/>
  <c r="G134" i="1"/>
  <c r="G141" i="1"/>
  <c r="E152" i="1"/>
  <c r="C152" i="1"/>
  <c r="D152" i="1" s="1"/>
  <c r="G174" i="1"/>
  <c r="E182" i="1"/>
  <c r="C187" i="1"/>
  <c r="D187" i="1" s="1"/>
  <c r="C192" i="1"/>
  <c r="D192" i="1" s="1"/>
  <c r="F192" i="1" s="1"/>
  <c r="G206" i="1"/>
  <c r="G213" i="1"/>
  <c r="E224" i="1"/>
  <c r="C224" i="1"/>
  <c r="D224" i="1" s="1"/>
  <c r="E252" i="1"/>
  <c r="F252" i="1" s="1"/>
  <c r="D264" i="1"/>
  <c r="F264" i="1" s="1"/>
  <c r="G277" i="1"/>
  <c r="C288" i="1"/>
  <c r="D288" i="1" s="1"/>
  <c r="E299" i="1"/>
  <c r="D301" i="1"/>
  <c r="F301" i="1" s="1"/>
  <c r="C307" i="1"/>
  <c r="D307" i="1" s="1"/>
  <c r="F307" i="1" s="1"/>
  <c r="E311" i="1"/>
  <c r="G317" i="1"/>
  <c r="E319" i="1"/>
  <c r="E323" i="1"/>
  <c r="G325" i="1"/>
  <c r="E327" i="1"/>
  <c r="C347" i="1"/>
  <c r="D347" i="1" s="1"/>
  <c r="F347" i="1" s="1"/>
  <c r="E353" i="1"/>
  <c r="G360" i="1"/>
  <c r="E383" i="1"/>
  <c r="G423" i="1"/>
  <c r="C426" i="1"/>
  <c r="D426" i="1" s="1"/>
  <c r="G426" i="1"/>
  <c r="E426" i="1"/>
  <c r="G428" i="1"/>
  <c r="E431" i="1"/>
  <c r="C442" i="1"/>
  <c r="D442" i="1" s="1"/>
  <c r="G442" i="1"/>
  <c r="E442" i="1"/>
  <c r="D460" i="1"/>
  <c r="F460" i="1" s="1"/>
  <c r="E462" i="1"/>
  <c r="F462" i="1" s="1"/>
  <c r="G467" i="1"/>
  <c r="C467" i="1"/>
  <c r="D467" i="1" s="1"/>
  <c r="F467" i="1" s="1"/>
  <c r="E476" i="1"/>
  <c r="G478" i="1"/>
  <c r="G481" i="1"/>
  <c r="C481" i="1"/>
  <c r="D481" i="1" s="1"/>
  <c r="G515" i="1"/>
  <c r="C515" i="1"/>
  <c r="D515" i="1" s="1"/>
  <c r="F515" i="1" s="1"/>
  <c r="C522" i="1"/>
  <c r="D522" i="1" s="1"/>
  <c r="G522" i="1"/>
  <c r="E522" i="1"/>
  <c r="E525" i="1"/>
  <c r="C539" i="1"/>
  <c r="D539" i="1" s="1"/>
  <c r="F539" i="1" s="1"/>
  <c r="G539" i="1"/>
  <c r="D549" i="1"/>
  <c r="F557" i="1"/>
  <c r="E567" i="1"/>
  <c r="G567" i="1"/>
  <c r="C567" i="1"/>
  <c r="D567" i="1" s="1"/>
  <c r="G573" i="1"/>
  <c r="E573" i="1"/>
  <c r="D578" i="1"/>
  <c r="F578" i="1" s="1"/>
  <c r="C604" i="1"/>
  <c r="D604" i="1" s="1"/>
  <c r="E604" i="1"/>
  <c r="G604" i="1"/>
  <c r="C610" i="1"/>
  <c r="D610" i="1" s="1"/>
  <c r="F610" i="1" s="1"/>
  <c r="G610" i="1"/>
  <c r="G730" i="1"/>
  <c r="E730" i="1"/>
  <c r="C730" i="1"/>
  <c r="D730" i="1" s="1"/>
  <c r="C736" i="1"/>
  <c r="D736" i="1" s="1"/>
  <c r="F736" i="1" s="1"/>
  <c r="G736" i="1"/>
  <c r="E146" i="1"/>
  <c r="F146" i="1" s="1"/>
  <c r="G146" i="1"/>
  <c r="G275" i="1"/>
  <c r="C275" i="1"/>
  <c r="D275" i="1" s="1"/>
  <c r="F275" i="1" s="1"/>
  <c r="G509" i="1"/>
  <c r="E509" i="1"/>
  <c r="E154" i="1"/>
  <c r="C154" i="1"/>
  <c r="D154" i="1" s="1"/>
  <c r="G276" i="1"/>
  <c r="E276" i="1"/>
  <c r="E294" i="1"/>
  <c r="C294" i="1"/>
  <c r="D294" i="1" s="1"/>
  <c r="E314" i="1"/>
  <c r="C314" i="1"/>
  <c r="D314" i="1" s="1"/>
  <c r="E322" i="1"/>
  <c r="C322" i="1"/>
  <c r="D322" i="1" s="1"/>
  <c r="E358" i="1"/>
  <c r="C358" i="1"/>
  <c r="D358" i="1" s="1"/>
  <c r="G358" i="1"/>
  <c r="E378" i="1"/>
  <c r="C378" i="1"/>
  <c r="D378" i="1" s="1"/>
  <c r="G436" i="1"/>
  <c r="E436" i="1"/>
  <c r="G449" i="1"/>
  <c r="C449" i="1"/>
  <c r="D449" i="1" s="1"/>
  <c r="C454" i="1"/>
  <c r="D454" i="1" s="1"/>
  <c r="G454" i="1"/>
  <c r="G462" i="1"/>
  <c r="G487" i="1"/>
  <c r="G499" i="1"/>
  <c r="E499" i="1"/>
  <c r="F517" i="1"/>
  <c r="G547" i="1"/>
  <c r="C547" i="1"/>
  <c r="D547" i="1" s="1"/>
  <c r="G583" i="1"/>
  <c r="E583" i="1"/>
  <c r="C641" i="1"/>
  <c r="D641" i="1" s="1"/>
  <c r="F641" i="1" s="1"/>
  <c r="E641" i="1"/>
  <c r="G641" i="1"/>
  <c r="C682" i="1"/>
  <c r="D682" i="1" s="1"/>
  <c r="E682" i="1"/>
  <c r="G682" i="1"/>
  <c r="C698" i="1"/>
  <c r="D698" i="1" s="1"/>
  <c r="E698" i="1"/>
  <c r="G698" i="1"/>
  <c r="E74" i="1"/>
  <c r="E315" i="1"/>
  <c r="C315" i="1"/>
  <c r="D315" i="1" s="1"/>
  <c r="E355" i="1"/>
  <c r="C355" i="1"/>
  <c r="D355" i="1" s="1"/>
  <c r="E217" i="1"/>
  <c r="C217" i="1"/>
  <c r="D217" i="1" s="1"/>
  <c r="D11" i="1"/>
  <c r="E20" i="1"/>
  <c r="E30" i="1"/>
  <c r="F30" i="1" s="1"/>
  <c r="G54" i="1"/>
  <c r="E68" i="1"/>
  <c r="E78" i="1"/>
  <c r="F78" i="1" s="1"/>
  <c r="D89" i="1"/>
  <c r="G106" i="1"/>
  <c r="E115" i="1"/>
  <c r="D117" i="1"/>
  <c r="C122" i="1"/>
  <c r="D122" i="1" s="1"/>
  <c r="G127" i="1"/>
  <c r="G148" i="1"/>
  <c r="G156" i="1"/>
  <c r="E156" i="1"/>
  <c r="F156" i="1" s="1"/>
  <c r="D161" i="1"/>
  <c r="F161" i="1" s="1"/>
  <c r="G178" i="1"/>
  <c r="E187" i="1"/>
  <c r="D189" i="1"/>
  <c r="C194" i="1"/>
  <c r="D194" i="1" s="1"/>
  <c r="G199" i="1"/>
  <c r="G220" i="1"/>
  <c r="G228" i="1"/>
  <c r="E228" i="1"/>
  <c r="F228" i="1" s="1"/>
  <c r="D233" i="1"/>
  <c r="E255" i="1"/>
  <c r="F255" i="1" s="1"/>
  <c r="E288" i="1"/>
  <c r="G307" i="1"/>
  <c r="G324" i="1"/>
  <c r="E324" i="1"/>
  <c r="C324" i="1"/>
  <c r="D324" i="1" s="1"/>
  <c r="E326" i="1"/>
  <c r="C326" i="1"/>
  <c r="D326" i="1" s="1"/>
  <c r="D337" i="1"/>
  <c r="D341" i="1"/>
  <c r="E343" i="1"/>
  <c r="F343" i="1" s="1"/>
  <c r="G347" i="1"/>
  <c r="E349" i="1"/>
  <c r="F349" i="1" s="1"/>
  <c r="E354" i="1"/>
  <c r="C354" i="1"/>
  <c r="D354" i="1" s="1"/>
  <c r="F354" i="1" s="1"/>
  <c r="G354" i="1"/>
  <c r="D360" i="1"/>
  <c r="F360" i="1" s="1"/>
  <c r="E380" i="1"/>
  <c r="C380" i="1"/>
  <c r="D380" i="1" s="1"/>
  <c r="C394" i="1"/>
  <c r="D394" i="1" s="1"/>
  <c r="G394" i="1"/>
  <c r="E394" i="1"/>
  <c r="E403" i="1"/>
  <c r="F403" i="1" s="1"/>
  <c r="G424" i="1"/>
  <c r="G465" i="1"/>
  <c r="E465" i="1"/>
  <c r="C465" i="1"/>
  <c r="D465" i="1" s="1"/>
  <c r="F465" i="1" s="1"/>
  <c r="G471" i="1"/>
  <c r="C474" i="1"/>
  <c r="D474" i="1" s="1"/>
  <c r="G474" i="1"/>
  <c r="E474" i="1"/>
  <c r="E479" i="1"/>
  <c r="C490" i="1"/>
  <c r="D490" i="1" s="1"/>
  <c r="G490" i="1"/>
  <c r="E490" i="1"/>
  <c r="D508" i="1"/>
  <c r="E517" i="1"/>
  <c r="G520" i="1"/>
  <c r="D525" i="1"/>
  <c r="F525" i="1" s="1"/>
  <c r="C534" i="1"/>
  <c r="D534" i="1" s="1"/>
  <c r="E534" i="1"/>
  <c r="D542" i="1"/>
  <c r="C550" i="1"/>
  <c r="D550" i="1" s="1"/>
  <c r="F550" i="1" s="1"/>
  <c r="G550" i="1"/>
  <c r="D552" i="1"/>
  <c r="C558" i="1"/>
  <c r="D558" i="1" s="1"/>
  <c r="F558" i="1" s="1"/>
  <c r="G558" i="1"/>
  <c r="C561" i="1"/>
  <c r="D561" i="1" s="1"/>
  <c r="G561" i="1"/>
  <c r="E561" i="1"/>
  <c r="C574" i="1"/>
  <c r="D574" i="1" s="1"/>
  <c r="F574" i="1" s="1"/>
  <c r="E574" i="1"/>
  <c r="D586" i="1"/>
  <c r="F586" i="1" s="1"/>
  <c r="D605" i="1"/>
  <c r="F605" i="1" s="1"/>
  <c r="C614" i="1"/>
  <c r="D614" i="1" s="1"/>
  <c r="G614" i="1"/>
  <c r="E614" i="1"/>
  <c r="D626" i="1"/>
  <c r="C632" i="1"/>
  <c r="D632" i="1" s="1"/>
  <c r="E632" i="1"/>
  <c r="G632" i="1"/>
  <c r="C648" i="1"/>
  <c r="D648" i="1" s="1"/>
  <c r="E648" i="1"/>
  <c r="C657" i="1"/>
  <c r="D657" i="1" s="1"/>
  <c r="E657" i="1"/>
  <c r="G663" i="1"/>
  <c r="E663" i="1"/>
  <c r="F663" i="1" s="1"/>
  <c r="C676" i="1"/>
  <c r="D676" i="1" s="1"/>
  <c r="E676" i="1"/>
  <c r="G676" i="1"/>
  <c r="C692" i="1"/>
  <c r="D692" i="1" s="1"/>
  <c r="E692" i="1"/>
  <c r="G692" i="1"/>
  <c r="C748" i="1"/>
  <c r="D748" i="1" s="1"/>
  <c r="F748" i="1" s="1"/>
  <c r="G748" i="1"/>
  <c r="E748" i="1"/>
  <c r="E46" i="1"/>
  <c r="E118" i="1"/>
  <c r="F118" i="1" s="1"/>
  <c r="G118" i="1"/>
  <c r="C410" i="1"/>
  <c r="D410" i="1" s="1"/>
  <c r="G410" i="1"/>
  <c r="E410" i="1"/>
  <c r="E11" i="1"/>
  <c r="D28" i="1"/>
  <c r="G34" i="1"/>
  <c r="D42" i="1"/>
  <c r="C53" i="1"/>
  <c r="D53" i="1" s="1"/>
  <c r="F53" i="1" s="1"/>
  <c r="E58" i="1"/>
  <c r="E59" i="1"/>
  <c r="F59" i="1" s="1"/>
  <c r="G82" i="1"/>
  <c r="E89" i="1"/>
  <c r="E98" i="1"/>
  <c r="G98" i="1"/>
  <c r="G99" i="1"/>
  <c r="C103" i="1"/>
  <c r="D103" i="1" s="1"/>
  <c r="F103" i="1" s="1"/>
  <c r="G105" i="1"/>
  <c r="D110" i="1"/>
  <c r="F110" i="1" s="1"/>
  <c r="E114" i="1"/>
  <c r="E117" i="1"/>
  <c r="C133" i="1"/>
  <c r="D133" i="1" s="1"/>
  <c r="F133" i="1" s="1"/>
  <c r="C140" i="1"/>
  <c r="D140" i="1" s="1"/>
  <c r="F140" i="1" s="1"/>
  <c r="E161" i="1"/>
  <c r="E170" i="1"/>
  <c r="F170" i="1" s="1"/>
  <c r="G170" i="1"/>
  <c r="G171" i="1"/>
  <c r="C175" i="1"/>
  <c r="D175" i="1" s="1"/>
  <c r="F175" i="1" s="1"/>
  <c r="G177" i="1"/>
  <c r="D182" i="1"/>
  <c r="E186" i="1"/>
  <c r="E189" i="1"/>
  <c r="C205" i="1"/>
  <c r="D205" i="1" s="1"/>
  <c r="F205" i="1" s="1"/>
  <c r="C212" i="1"/>
  <c r="D212" i="1" s="1"/>
  <c r="F212" i="1" s="1"/>
  <c r="E233" i="1"/>
  <c r="E242" i="1"/>
  <c r="F242" i="1" s="1"/>
  <c r="G242" i="1"/>
  <c r="G243" i="1"/>
  <c r="G265" i="1"/>
  <c r="E267" i="1"/>
  <c r="C267" i="1"/>
  <c r="D267" i="1" s="1"/>
  <c r="D272" i="1"/>
  <c r="F272" i="1" s="1"/>
  <c r="G281" i="1"/>
  <c r="F283" i="1"/>
  <c r="G287" i="1"/>
  <c r="G290" i="1"/>
  <c r="F292" i="1"/>
  <c r="E298" i="1"/>
  <c r="C298" i="1"/>
  <c r="D298" i="1" s="1"/>
  <c r="E302" i="1"/>
  <c r="C302" i="1"/>
  <c r="D302" i="1" s="1"/>
  <c r="G312" i="1"/>
  <c r="E337" i="1"/>
  <c r="E339" i="1"/>
  <c r="F339" i="1" s="1"/>
  <c r="E341" i="1"/>
  <c r="C356" i="1"/>
  <c r="D356" i="1" s="1"/>
  <c r="G374" i="1"/>
  <c r="D376" i="1"/>
  <c r="F376" i="1" s="1"/>
  <c r="E382" i="1"/>
  <c r="C382" i="1"/>
  <c r="D382" i="1" s="1"/>
  <c r="E386" i="1"/>
  <c r="C386" i="1"/>
  <c r="D386" i="1" s="1"/>
  <c r="E390" i="1"/>
  <c r="C390" i="1"/>
  <c r="D390" i="1" s="1"/>
  <c r="G411" i="1"/>
  <c r="D429" i="1"/>
  <c r="F429" i="1" s="1"/>
  <c r="D431" i="1"/>
  <c r="C436" i="1"/>
  <c r="D436" i="1" s="1"/>
  <c r="F436" i="1" s="1"/>
  <c r="E445" i="1"/>
  <c r="E447" i="1"/>
  <c r="C447" i="1"/>
  <c r="D447" i="1" s="1"/>
  <c r="F447" i="1" s="1"/>
  <c r="E477" i="1"/>
  <c r="G484" i="1"/>
  <c r="E484" i="1"/>
  <c r="F484" i="1" s="1"/>
  <c r="G494" i="1"/>
  <c r="G497" i="1"/>
  <c r="C497" i="1"/>
  <c r="D497" i="1" s="1"/>
  <c r="F497" i="1" s="1"/>
  <c r="C499" i="1"/>
  <c r="D499" i="1" s="1"/>
  <c r="C502" i="1"/>
  <c r="D502" i="1" s="1"/>
  <c r="F502" i="1" s="1"/>
  <c r="G502" i="1"/>
  <c r="E508" i="1"/>
  <c r="E513" i="1"/>
  <c r="E528" i="1"/>
  <c r="C528" i="1"/>
  <c r="D528" i="1" s="1"/>
  <c r="G528" i="1"/>
  <c r="E547" i="1"/>
  <c r="G591" i="1"/>
  <c r="E591" i="1"/>
  <c r="C620" i="1"/>
  <c r="D620" i="1" s="1"/>
  <c r="E620" i="1"/>
  <c r="G620" i="1"/>
  <c r="C660" i="1"/>
  <c r="D660" i="1" s="1"/>
  <c r="E660" i="1"/>
  <c r="G660" i="1"/>
  <c r="C670" i="1"/>
  <c r="D670" i="1" s="1"/>
  <c r="G670" i="1"/>
  <c r="E670" i="1"/>
  <c r="G755" i="1"/>
  <c r="E755" i="1"/>
  <c r="C755" i="1"/>
  <c r="D755" i="1" s="1"/>
  <c r="F755" i="1" s="1"/>
  <c r="E218" i="1"/>
  <c r="F218" i="1" s="1"/>
  <c r="G218" i="1"/>
  <c r="G26" i="1"/>
  <c r="E226" i="1"/>
  <c r="C226" i="1"/>
  <c r="D226" i="1" s="1"/>
  <c r="C50" i="1"/>
  <c r="D50" i="1" s="1"/>
  <c r="F50" i="1" s="1"/>
  <c r="E76" i="1"/>
  <c r="F76" i="1" s="1"/>
  <c r="C96" i="1"/>
  <c r="D96" i="1" s="1"/>
  <c r="F96" i="1" s="1"/>
  <c r="G149" i="1"/>
  <c r="E149" i="1"/>
  <c r="F149" i="1" s="1"/>
  <c r="C168" i="1"/>
  <c r="D168" i="1" s="1"/>
  <c r="F168" i="1" s="1"/>
  <c r="E200" i="1"/>
  <c r="C200" i="1"/>
  <c r="D200" i="1" s="1"/>
  <c r="G221" i="1"/>
  <c r="E221" i="1"/>
  <c r="F221" i="1" s="1"/>
  <c r="C240" i="1"/>
  <c r="D240" i="1" s="1"/>
  <c r="F240" i="1" s="1"/>
  <c r="C276" i="1"/>
  <c r="D276" i="1" s="1"/>
  <c r="E306" i="1"/>
  <c r="C306" i="1"/>
  <c r="D306" i="1" s="1"/>
  <c r="G306" i="1"/>
  <c r="E310" i="1"/>
  <c r="C310" i="1"/>
  <c r="D310" i="1" s="1"/>
  <c r="G310" i="1"/>
  <c r="E330" i="1"/>
  <c r="C330" i="1"/>
  <c r="D330" i="1" s="1"/>
  <c r="E350" i="1"/>
  <c r="C350" i="1"/>
  <c r="D350" i="1" s="1"/>
  <c r="F350" i="1" s="1"/>
  <c r="G350" i="1"/>
  <c r="E363" i="1"/>
  <c r="C363" i="1"/>
  <c r="D363" i="1" s="1"/>
  <c r="G367" i="1"/>
  <c r="G398" i="1"/>
  <c r="G401" i="1"/>
  <c r="C401" i="1"/>
  <c r="D401" i="1" s="1"/>
  <c r="F401" i="1" s="1"/>
  <c r="D414" i="1"/>
  <c r="F414" i="1" s="1"/>
  <c r="C420" i="1"/>
  <c r="D420" i="1" s="1"/>
  <c r="D440" i="1"/>
  <c r="F440" i="1" s="1"/>
  <c r="E454" i="1"/>
  <c r="C516" i="1"/>
  <c r="D516" i="1" s="1"/>
  <c r="F516" i="1" s="1"/>
  <c r="G516" i="1"/>
  <c r="F531" i="1"/>
  <c r="F536" i="1"/>
  <c r="C545" i="1"/>
  <c r="D545" i="1" s="1"/>
  <c r="F545" i="1" s="1"/>
  <c r="G545" i="1"/>
  <c r="F555" i="1"/>
  <c r="D594" i="1"/>
  <c r="F594" i="1" s="1"/>
  <c r="G599" i="1"/>
  <c r="E599" i="1"/>
  <c r="F599" i="1" s="1"/>
  <c r="F719" i="1"/>
  <c r="E284" i="1"/>
  <c r="C284" i="1"/>
  <c r="D284" i="1" s="1"/>
  <c r="G74" i="1"/>
  <c r="E145" i="1"/>
  <c r="C145" i="1"/>
  <c r="D145" i="1" s="1"/>
  <c r="E28" i="1"/>
  <c r="E38" i="1"/>
  <c r="F38" i="1" s="1"/>
  <c r="E128" i="1"/>
  <c r="C128" i="1"/>
  <c r="D128" i="1" s="1"/>
  <c r="E18" i="1"/>
  <c r="E19" i="1"/>
  <c r="F19" i="1" s="1"/>
  <c r="E66" i="1"/>
  <c r="E67" i="1"/>
  <c r="F67" i="1" s="1"/>
  <c r="G88" i="1"/>
  <c r="C105" i="1"/>
  <c r="D105" i="1" s="1"/>
  <c r="F105" i="1" s="1"/>
  <c r="C114" i="1"/>
  <c r="D114" i="1" s="1"/>
  <c r="E124" i="1"/>
  <c r="F124" i="1" s="1"/>
  <c r="E130" i="1"/>
  <c r="C130" i="1"/>
  <c r="D130" i="1" s="1"/>
  <c r="G145" i="1"/>
  <c r="E147" i="1"/>
  <c r="F147" i="1" s="1"/>
  <c r="E151" i="1"/>
  <c r="F151" i="1" s="1"/>
  <c r="G160" i="1"/>
  <c r="C177" i="1"/>
  <c r="D177" i="1" s="1"/>
  <c r="F177" i="1" s="1"/>
  <c r="C186" i="1"/>
  <c r="D186" i="1" s="1"/>
  <c r="E196" i="1"/>
  <c r="F196" i="1" s="1"/>
  <c r="E202" i="1"/>
  <c r="C202" i="1"/>
  <c r="D202" i="1" s="1"/>
  <c r="G217" i="1"/>
  <c r="E219" i="1"/>
  <c r="F219" i="1" s="1"/>
  <c r="E223" i="1"/>
  <c r="F223" i="1" s="1"/>
  <c r="G232" i="1"/>
  <c r="C265" i="1"/>
  <c r="D265" i="1" s="1"/>
  <c r="F265" i="1" s="1"/>
  <c r="G272" i="1"/>
  <c r="E282" i="1"/>
  <c r="C282" i="1"/>
  <c r="D282" i="1" s="1"/>
  <c r="G294" i="1"/>
  <c r="D312" i="1"/>
  <c r="F312" i="1" s="1"/>
  <c r="G314" i="1"/>
  <c r="E332" i="1"/>
  <c r="C332" i="1"/>
  <c r="D332" i="1" s="1"/>
  <c r="E346" i="1"/>
  <c r="C346" i="1"/>
  <c r="D346" i="1" s="1"/>
  <c r="D352" i="1"/>
  <c r="F352" i="1" s="1"/>
  <c r="E356" i="1"/>
  <c r="G361" i="1"/>
  <c r="E361" i="1"/>
  <c r="F361" i="1" s="1"/>
  <c r="G369" i="1"/>
  <c r="E369" i="1"/>
  <c r="C369" i="1"/>
  <c r="D369" i="1" s="1"/>
  <c r="G371" i="1"/>
  <c r="C371" i="1"/>
  <c r="D371" i="1" s="1"/>
  <c r="F371" i="1" s="1"/>
  <c r="G375" i="1"/>
  <c r="G378" i="1"/>
  <c r="D392" i="1"/>
  <c r="F392" i="1" s="1"/>
  <c r="E397" i="1"/>
  <c r="C406" i="1"/>
  <c r="D406" i="1" s="1"/>
  <c r="F406" i="1" s="1"/>
  <c r="G406" i="1"/>
  <c r="E416" i="1"/>
  <c r="C416" i="1"/>
  <c r="D416" i="1" s="1"/>
  <c r="E449" i="1"/>
  <c r="D477" i="1"/>
  <c r="F477" i="1" s="1"/>
  <c r="D479" i="1"/>
  <c r="E493" i="1"/>
  <c r="E495" i="1"/>
  <c r="C495" i="1"/>
  <c r="D495" i="1" s="1"/>
  <c r="G540" i="1"/>
  <c r="C540" i="1"/>
  <c r="D540" i="1" s="1"/>
  <c r="F540" i="1" s="1"/>
  <c r="G571" i="1"/>
  <c r="E571" i="1"/>
  <c r="C571" i="1"/>
  <c r="D571" i="1" s="1"/>
  <c r="F571" i="1" s="1"/>
  <c r="G623" i="1"/>
  <c r="E623" i="1"/>
  <c r="C630" i="1"/>
  <c r="D630" i="1" s="1"/>
  <c r="E630" i="1"/>
  <c r="C642" i="1"/>
  <c r="D642" i="1" s="1"/>
  <c r="G642" i="1"/>
  <c r="E642" i="1"/>
  <c r="F165" i="1"/>
  <c r="E190" i="1"/>
  <c r="F190" i="1" s="1"/>
  <c r="G190" i="1"/>
  <c r="G204" i="1"/>
  <c r="E204" i="1"/>
  <c r="F237" i="1"/>
  <c r="E246" i="1"/>
  <c r="C246" i="1"/>
  <c r="D246" i="1" s="1"/>
  <c r="G273" i="1"/>
  <c r="E273" i="1"/>
  <c r="F273" i="1" s="1"/>
  <c r="D287" i="1"/>
  <c r="F287" i="1" s="1"/>
  <c r="D304" i="1"/>
  <c r="F304" i="1" s="1"/>
  <c r="G322" i="1"/>
  <c r="E334" i="1"/>
  <c r="C334" i="1"/>
  <c r="D334" i="1" s="1"/>
  <c r="E338" i="1"/>
  <c r="C338" i="1"/>
  <c r="D338" i="1" s="1"/>
  <c r="E342" i="1"/>
  <c r="C342" i="1"/>
  <c r="D342" i="1" s="1"/>
  <c r="F384" i="1"/>
  <c r="F388" i="1"/>
  <c r="E399" i="1"/>
  <c r="C399" i="1"/>
  <c r="D399" i="1" s="1"/>
  <c r="F412" i="1"/>
  <c r="E420" i="1"/>
  <c r="F427" i="1"/>
  <c r="E432" i="1"/>
  <c r="C432" i="1"/>
  <c r="D432" i="1" s="1"/>
  <c r="F432" i="1" s="1"/>
  <c r="G432" i="1"/>
  <c r="D445" i="1"/>
  <c r="G459" i="1"/>
  <c r="E459" i="1"/>
  <c r="F459" i="1" s="1"/>
  <c r="G475" i="1"/>
  <c r="D488" i="1"/>
  <c r="F488" i="1" s="1"/>
  <c r="F523" i="1"/>
  <c r="G529" i="1"/>
  <c r="C529" i="1"/>
  <c r="D529" i="1" s="1"/>
  <c r="F529" i="1" s="1"/>
  <c r="G532" i="1"/>
  <c r="E532" i="1"/>
  <c r="F532" i="1" s="1"/>
  <c r="E543" i="1"/>
  <c r="C543" i="1"/>
  <c r="D543" i="1" s="1"/>
  <c r="F543" i="1" s="1"/>
  <c r="G556" i="1"/>
  <c r="C556" i="1"/>
  <c r="D556" i="1" s="1"/>
  <c r="F556" i="1" s="1"/>
  <c r="G615" i="1"/>
  <c r="E615" i="1"/>
  <c r="C621" i="1"/>
  <c r="D621" i="1" s="1"/>
  <c r="G621" i="1"/>
  <c r="E621" i="1"/>
  <c r="E714" i="1"/>
  <c r="C714" i="1"/>
  <c r="D714" i="1" s="1"/>
  <c r="G714" i="1"/>
  <c r="C767" i="1"/>
  <c r="D767" i="1" s="1"/>
  <c r="E767" i="1"/>
  <c r="G805" i="1"/>
  <c r="E805" i="1"/>
  <c r="C805" i="1"/>
  <c r="D805" i="1" s="1"/>
  <c r="G821" i="1"/>
  <c r="E821" i="1"/>
  <c r="C821" i="1"/>
  <c r="D821" i="1" s="1"/>
  <c r="E916" i="1"/>
  <c r="C916" i="1"/>
  <c r="D916" i="1" s="1"/>
  <c r="F916" i="1" s="1"/>
  <c r="G916" i="1"/>
  <c r="E425" i="1"/>
  <c r="F425" i="1" s="1"/>
  <c r="E450" i="1"/>
  <c r="F450" i="1" s="1"/>
  <c r="E473" i="1"/>
  <c r="F473" i="1" s="1"/>
  <c r="E498" i="1"/>
  <c r="C513" i="1"/>
  <c r="D513" i="1" s="1"/>
  <c r="E521" i="1"/>
  <c r="F521" i="1" s="1"/>
  <c r="E552" i="1"/>
  <c r="C559" i="1"/>
  <c r="D559" i="1" s="1"/>
  <c r="D565" i="1"/>
  <c r="F565" i="1" s="1"/>
  <c r="G569" i="1"/>
  <c r="C569" i="1"/>
  <c r="D569" i="1" s="1"/>
  <c r="E598" i="1"/>
  <c r="C601" i="1"/>
  <c r="D601" i="1" s="1"/>
  <c r="E601" i="1"/>
  <c r="G603" i="1"/>
  <c r="D607" i="1"/>
  <c r="F607" i="1" s="1"/>
  <c r="E618" i="1"/>
  <c r="F618" i="1" s="1"/>
  <c r="G638" i="1"/>
  <c r="E645" i="1"/>
  <c r="F645" i="1" s="1"/>
  <c r="E647" i="1"/>
  <c r="F647" i="1" s="1"/>
  <c r="D679" i="1"/>
  <c r="F679" i="1" s="1"/>
  <c r="E686" i="1"/>
  <c r="C696" i="1"/>
  <c r="D696" i="1" s="1"/>
  <c r="E696" i="1"/>
  <c r="E700" i="1"/>
  <c r="E704" i="1"/>
  <c r="F704" i="1" s="1"/>
  <c r="C711" i="1"/>
  <c r="D711" i="1" s="1"/>
  <c r="F711" i="1" s="1"/>
  <c r="E716" i="1"/>
  <c r="E718" i="1"/>
  <c r="F718" i="1" s="1"/>
  <c r="C743" i="1"/>
  <c r="D743" i="1" s="1"/>
  <c r="F743" i="1" s="1"/>
  <c r="D745" i="1"/>
  <c r="E747" i="1"/>
  <c r="E750" i="1"/>
  <c r="C750" i="1"/>
  <c r="D750" i="1" s="1"/>
  <c r="E772" i="1"/>
  <c r="G772" i="1"/>
  <c r="C772" i="1"/>
  <c r="D772" i="1" s="1"/>
  <c r="E774" i="1"/>
  <c r="F774" i="1" s="1"/>
  <c r="G777" i="1"/>
  <c r="E777" i="1"/>
  <c r="C777" i="1"/>
  <c r="D777" i="1" s="1"/>
  <c r="G782" i="1"/>
  <c r="E782" i="1"/>
  <c r="C782" i="1"/>
  <c r="D782" i="1" s="1"/>
  <c r="C787" i="1"/>
  <c r="D787" i="1" s="1"/>
  <c r="F787" i="1" s="1"/>
  <c r="G797" i="1"/>
  <c r="E797" i="1"/>
  <c r="C797" i="1"/>
  <c r="D797" i="1" s="1"/>
  <c r="G800" i="1"/>
  <c r="C800" i="1"/>
  <c r="D800" i="1" s="1"/>
  <c r="F800" i="1" s="1"/>
  <c r="E832" i="1"/>
  <c r="C832" i="1"/>
  <c r="D832" i="1" s="1"/>
  <c r="G965" i="1"/>
  <c r="E965" i="1"/>
  <c r="C965" i="1"/>
  <c r="D965" i="1" s="1"/>
  <c r="G785" i="1"/>
  <c r="E785" i="1"/>
  <c r="C329" i="1"/>
  <c r="D329" i="1" s="1"/>
  <c r="F329" i="1" s="1"/>
  <c r="C377" i="1"/>
  <c r="D377" i="1" s="1"/>
  <c r="F377" i="1" s="1"/>
  <c r="G425" i="1"/>
  <c r="G450" i="1"/>
  <c r="G473" i="1"/>
  <c r="G498" i="1"/>
  <c r="G521" i="1"/>
  <c r="C554" i="1"/>
  <c r="D554" i="1" s="1"/>
  <c r="G554" i="1"/>
  <c r="E554" i="1"/>
  <c r="D573" i="1"/>
  <c r="G578" i="1"/>
  <c r="G582" i="1"/>
  <c r="G586" i="1"/>
  <c r="G590" i="1"/>
  <c r="G594" i="1"/>
  <c r="D603" i="1"/>
  <c r="F603" i="1" s="1"/>
  <c r="G605" i="1"/>
  <c r="C608" i="1"/>
  <c r="D608" i="1" s="1"/>
  <c r="E608" i="1"/>
  <c r="C617" i="1"/>
  <c r="D617" i="1" s="1"/>
  <c r="E617" i="1"/>
  <c r="G619" i="1"/>
  <c r="D623" i="1"/>
  <c r="G654" i="1"/>
  <c r="E661" i="1"/>
  <c r="F661" i="1" s="1"/>
  <c r="C680" i="1"/>
  <c r="D680" i="1" s="1"/>
  <c r="E680" i="1"/>
  <c r="F694" i="1"/>
  <c r="G705" i="1"/>
  <c r="C705" i="1"/>
  <c r="D705" i="1" s="1"/>
  <c r="F705" i="1" s="1"/>
  <c r="C712" i="1"/>
  <c r="D712" i="1" s="1"/>
  <c r="G712" i="1"/>
  <c r="D716" i="1"/>
  <c r="G719" i="1"/>
  <c r="E719" i="1"/>
  <c r="D721" i="1"/>
  <c r="G737" i="1"/>
  <c r="C737" i="1"/>
  <c r="D737" i="1" s="1"/>
  <c r="F737" i="1" s="1"/>
  <c r="E739" i="1"/>
  <c r="C739" i="1"/>
  <c r="D739" i="1" s="1"/>
  <c r="F739" i="1" s="1"/>
  <c r="G739" i="1"/>
  <c r="G743" i="1"/>
  <c r="G764" i="1"/>
  <c r="C792" i="1"/>
  <c r="D792" i="1" s="1"/>
  <c r="F792" i="1" s="1"/>
  <c r="G813" i="1"/>
  <c r="E813" i="1"/>
  <c r="C813" i="1"/>
  <c r="D813" i="1" s="1"/>
  <c r="F815" i="1"/>
  <c r="G822" i="1"/>
  <c r="C822" i="1"/>
  <c r="D822" i="1" s="1"/>
  <c r="E822" i="1"/>
  <c r="G858" i="1"/>
  <c r="E858" i="1"/>
  <c r="C858" i="1"/>
  <c r="D858" i="1" s="1"/>
  <c r="C864" i="1"/>
  <c r="D864" i="1" s="1"/>
  <c r="G864" i="1"/>
  <c r="E864" i="1"/>
  <c r="E876" i="1"/>
  <c r="G876" i="1"/>
  <c r="C876" i="1"/>
  <c r="D876" i="1" s="1"/>
  <c r="F876" i="1" s="1"/>
  <c r="C907" i="1"/>
  <c r="D907" i="1" s="1"/>
  <c r="G907" i="1"/>
  <c r="E907" i="1"/>
  <c r="G1001" i="1"/>
  <c r="E1001" i="1"/>
  <c r="C1001" i="1"/>
  <c r="D1001" i="1" s="1"/>
  <c r="E1007" i="1"/>
  <c r="G1007" i="1"/>
  <c r="C1007" i="1"/>
  <c r="D1007" i="1" s="1"/>
  <c r="G579" i="1"/>
  <c r="G587" i="1"/>
  <c r="G595" i="1"/>
  <c r="D646" i="1"/>
  <c r="F659" i="1"/>
  <c r="G661" i="1"/>
  <c r="C664" i="1"/>
  <c r="D664" i="1" s="1"/>
  <c r="E664" i="1"/>
  <c r="G685" i="1"/>
  <c r="C685" i="1"/>
  <c r="D685" i="1" s="1"/>
  <c r="G701" i="1"/>
  <c r="C701" i="1"/>
  <c r="D701" i="1" s="1"/>
  <c r="E703" i="1"/>
  <c r="C703" i="1"/>
  <c r="D703" i="1" s="1"/>
  <c r="G703" i="1"/>
  <c r="G707" i="1"/>
  <c r="E726" i="1"/>
  <c r="G726" i="1"/>
  <c r="C726" i="1"/>
  <c r="D726" i="1" s="1"/>
  <c r="G732" i="1"/>
  <c r="G744" i="1"/>
  <c r="E744" i="1"/>
  <c r="D746" i="1"/>
  <c r="G758" i="1"/>
  <c r="C758" i="1"/>
  <c r="D758" i="1" s="1"/>
  <c r="C785" i="1"/>
  <c r="D785" i="1" s="1"/>
  <c r="G792" i="1"/>
  <c r="G798" i="1"/>
  <c r="E798" i="1"/>
  <c r="G819" i="1"/>
  <c r="E819" i="1"/>
  <c r="C819" i="1"/>
  <c r="D819" i="1" s="1"/>
  <c r="F819" i="1" s="1"/>
  <c r="G861" i="1"/>
  <c r="E861" i="1"/>
  <c r="C861" i="1"/>
  <c r="D861" i="1" s="1"/>
  <c r="E409" i="1"/>
  <c r="F409" i="1" s="1"/>
  <c r="E434" i="1"/>
  <c r="E457" i="1"/>
  <c r="F457" i="1" s="1"/>
  <c r="E482" i="1"/>
  <c r="F482" i="1" s="1"/>
  <c r="E505" i="1"/>
  <c r="F505" i="1" s="1"/>
  <c r="E530" i="1"/>
  <c r="E560" i="1"/>
  <c r="C560" i="1"/>
  <c r="D560" i="1" s="1"/>
  <c r="C562" i="1"/>
  <c r="D562" i="1" s="1"/>
  <c r="G562" i="1"/>
  <c r="E562" i="1"/>
  <c r="E569" i="1"/>
  <c r="G601" i="1"/>
  <c r="D606" i="1"/>
  <c r="D619" i="1"/>
  <c r="F619" i="1" s="1"/>
  <c r="C624" i="1"/>
  <c r="D624" i="1" s="1"/>
  <c r="E624" i="1"/>
  <c r="C633" i="1"/>
  <c r="D633" i="1" s="1"/>
  <c r="E633" i="1"/>
  <c r="G635" i="1"/>
  <c r="D639" i="1"/>
  <c r="F639" i="1" s="1"/>
  <c r="E650" i="1"/>
  <c r="F650" i="1" s="1"/>
  <c r="D678" i="1"/>
  <c r="G689" i="1"/>
  <c r="G696" i="1"/>
  <c r="G708" i="1"/>
  <c r="E708" i="1"/>
  <c r="F708" i="1" s="1"/>
  <c r="D710" i="1"/>
  <c r="E712" i="1"/>
  <c r="D722" i="1"/>
  <c r="F722" i="1" s="1"/>
  <c r="D724" i="1"/>
  <c r="G753" i="1"/>
  <c r="C753" i="1"/>
  <c r="D753" i="1" s="1"/>
  <c r="F753" i="1" s="1"/>
  <c r="G760" i="1"/>
  <c r="G767" i="1"/>
  <c r="D801" i="1"/>
  <c r="E803" i="1"/>
  <c r="F803" i="1" s="1"/>
  <c r="E816" i="1"/>
  <c r="G816" i="1"/>
  <c r="C816" i="1"/>
  <c r="D816" i="1" s="1"/>
  <c r="G832" i="1"/>
  <c r="E914" i="1"/>
  <c r="G914" i="1"/>
  <c r="C914" i="1"/>
  <c r="D914" i="1" s="1"/>
  <c r="E979" i="1"/>
  <c r="C979" i="1"/>
  <c r="D979" i="1" s="1"/>
  <c r="G979" i="1"/>
  <c r="G669" i="1"/>
  <c r="C669" i="1"/>
  <c r="D669" i="1" s="1"/>
  <c r="D687" i="1"/>
  <c r="F687" i="1" s="1"/>
  <c r="G717" i="1"/>
  <c r="C717" i="1"/>
  <c r="D717" i="1" s="1"/>
  <c r="G742" i="1"/>
  <c r="C742" i="1"/>
  <c r="D742" i="1" s="1"/>
  <c r="G751" i="1"/>
  <c r="C751" i="1"/>
  <c r="D751" i="1" s="1"/>
  <c r="G773" i="1"/>
  <c r="C773" i="1"/>
  <c r="D773" i="1" s="1"/>
  <c r="G786" i="1"/>
  <c r="E786" i="1"/>
  <c r="C786" i="1"/>
  <c r="D786" i="1" s="1"/>
  <c r="G793" i="1"/>
  <c r="E793" i="1"/>
  <c r="C793" i="1"/>
  <c r="D793" i="1" s="1"/>
  <c r="F793" i="1" s="1"/>
  <c r="G830" i="1"/>
  <c r="E830" i="1"/>
  <c r="C830" i="1"/>
  <c r="D830" i="1" s="1"/>
  <c r="C836" i="1"/>
  <c r="D836" i="1" s="1"/>
  <c r="G836" i="1"/>
  <c r="E836" i="1"/>
  <c r="G841" i="1"/>
  <c r="E841" i="1"/>
  <c r="C841" i="1"/>
  <c r="D841" i="1" s="1"/>
  <c r="C862" i="1"/>
  <c r="D862" i="1" s="1"/>
  <c r="G862" i="1"/>
  <c r="E862" i="1"/>
  <c r="G865" i="1"/>
  <c r="E865" i="1"/>
  <c r="C865" i="1"/>
  <c r="D865" i="1" s="1"/>
  <c r="C527" i="1"/>
  <c r="D527" i="1" s="1"/>
  <c r="E568" i="1"/>
  <c r="C568" i="1"/>
  <c r="D568" i="1" s="1"/>
  <c r="C570" i="1"/>
  <c r="D570" i="1" s="1"/>
  <c r="G570" i="1"/>
  <c r="E570" i="1"/>
  <c r="D579" i="1"/>
  <c r="F579" i="1" s="1"/>
  <c r="D583" i="1"/>
  <c r="F583" i="1" s="1"/>
  <c r="D587" i="1"/>
  <c r="F587" i="1" s="1"/>
  <c r="D591" i="1"/>
  <c r="D595" i="1"/>
  <c r="F595" i="1" s="1"/>
  <c r="D635" i="1"/>
  <c r="F635" i="1" s="1"/>
  <c r="C640" i="1"/>
  <c r="D640" i="1" s="1"/>
  <c r="E640" i="1"/>
  <c r="E646" i="1"/>
  <c r="C649" i="1"/>
  <c r="D649" i="1" s="1"/>
  <c r="F649" i="1" s="1"/>
  <c r="E649" i="1"/>
  <c r="D655" i="1"/>
  <c r="F655" i="1" s="1"/>
  <c r="C690" i="1"/>
  <c r="D690" i="1" s="1"/>
  <c r="E690" i="1"/>
  <c r="G706" i="1"/>
  <c r="C706" i="1"/>
  <c r="D706" i="1" s="1"/>
  <c r="G715" i="1"/>
  <c r="C715" i="1"/>
  <c r="D715" i="1" s="1"/>
  <c r="F715" i="1" s="1"/>
  <c r="E724" i="1"/>
  <c r="G731" i="1"/>
  <c r="E731" i="1"/>
  <c r="C731" i="1"/>
  <c r="D731" i="1" s="1"/>
  <c r="C744" i="1"/>
  <c r="D744" i="1" s="1"/>
  <c r="E746" i="1"/>
  <c r="G749" i="1"/>
  <c r="E749" i="1"/>
  <c r="C749" i="1"/>
  <c r="D749" i="1" s="1"/>
  <c r="F749" i="1" s="1"/>
  <c r="G756" i="1"/>
  <c r="E756" i="1"/>
  <c r="C756" i="1"/>
  <c r="D756" i="1" s="1"/>
  <c r="E758" i="1"/>
  <c r="G761" i="1"/>
  <c r="E761" i="1"/>
  <c r="C761" i="1"/>
  <c r="D761" i="1" s="1"/>
  <c r="G771" i="1"/>
  <c r="E771" i="1"/>
  <c r="D778" i="1"/>
  <c r="F778" i="1" s="1"/>
  <c r="C798" i="1"/>
  <c r="D798" i="1" s="1"/>
  <c r="G809" i="1"/>
  <c r="E809" i="1"/>
  <c r="C809" i="1"/>
  <c r="D809" i="1" s="1"/>
  <c r="F809" i="1" s="1"/>
  <c r="G814" i="1"/>
  <c r="C814" i="1"/>
  <c r="D814" i="1" s="1"/>
  <c r="E814" i="1"/>
  <c r="G846" i="1"/>
  <c r="C846" i="1"/>
  <c r="D846" i="1" s="1"/>
  <c r="F846" i="1" s="1"/>
  <c r="G873" i="1"/>
  <c r="E873" i="1"/>
  <c r="C873" i="1"/>
  <c r="D873" i="1" s="1"/>
  <c r="E942" i="1"/>
  <c r="C942" i="1"/>
  <c r="D942" i="1" s="1"/>
  <c r="G942" i="1"/>
  <c r="C960" i="1"/>
  <c r="D960" i="1" s="1"/>
  <c r="E960" i="1"/>
  <c r="G960" i="1"/>
  <c r="D413" i="1"/>
  <c r="F413" i="1" s="1"/>
  <c r="D461" i="1"/>
  <c r="F461" i="1" s="1"/>
  <c r="D509" i="1"/>
  <c r="D537" i="1"/>
  <c r="F537" i="1" s="1"/>
  <c r="E542" i="1"/>
  <c r="E544" i="1"/>
  <c r="C544" i="1"/>
  <c r="D544" i="1" s="1"/>
  <c r="C546" i="1"/>
  <c r="D546" i="1" s="1"/>
  <c r="F546" i="1" s="1"/>
  <c r="G546" i="1"/>
  <c r="E564" i="1"/>
  <c r="F564" i="1" s="1"/>
  <c r="G577" i="1"/>
  <c r="G581" i="1"/>
  <c r="G585" i="1"/>
  <c r="G589" i="1"/>
  <c r="G593" i="1"/>
  <c r="G597" i="1"/>
  <c r="C600" i="1"/>
  <c r="D600" i="1" s="1"/>
  <c r="E600" i="1"/>
  <c r="E606" i="1"/>
  <c r="C609" i="1"/>
  <c r="D609" i="1" s="1"/>
  <c r="E609" i="1"/>
  <c r="G611" i="1"/>
  <c r="G147" i="2" s="1"/>
  <c r="D613" i="1"/>
  <c r="D615" i="1"/>
  <c r="E626" i="1"/>
  <c r="G646" i="1"/>
  <c r="E653" i="1"/>
  <c r="G664" i="1"/>
  <c r="G666" i="1"/>
  <c r="D671" i="1"/>
  <c r="E678" i="1"/>
  <c r="E685" i="1"/>
  <c r="C688" i="1"/>
  <c r="D688" i="1" s="1"/>
  <c r="E688" i="1"/>
  <c r="F699" i="1"/>
  <c r="E701" i="1"/>
  <c r="E710" i="1"/>
  <c r="G713" i="1"/>
  <c r="E713" i="1"/>
  <c r="C713" i="1"/>
  <c r="D713" i="1" s="1"/>
  <c r="E717" i="1"/>
  <c r="G720" i="1"/>
  <c r="E720" i="1"/>
  <c r="C720" i="1"/>
  <c r="D720" i="1" s="1"/>
  <c r="E722" i="1"/>
  <c r="D733" i="1"/>
  <c r="G746" i="1"/>
  <c r="G759" i="1"/>
  <c r="E759" i="1"/>
  <c r="F759" i="1" s="1"/>
  <c r="E773" i="1"/>
  <c r="G783" i="1"/>
  <c r="E783" i="1"/>
  <c r="D783" i="1"/>
  <c r="F820" i="1"/>
  <c r="G823" i="1"/>
  <c r="C823" i="1"/>
  <c r="D823" i="1" s="1"/>
  <c r="F823" i="1" s="1"/>
  <c r="F828" i="1"/>
  <c r="G854" i="1"/>
  <c r="G1035" i="1"/>
  <c r="C1035" i="1"/>
  <c r="D1035" i="1" s="1"/>
  <c r="E1035" i="1"/>
  <c r="C458" i="1"/>
  <c r="D458" i="1" s="1"/>
  <c r="G458" i="1"/>
  <c r="E458" i="1"/>
  <c r="C506" i="1"/>
  <c r="D506" i="1" s="1"/>
  <c r="G506" i="1"/>
  <c r="E506" i="1"/>
  <c r="E527" i="1"/>
  <c r="E576" i="1"/>
  <c r="C576" i="1"/>
  <c r="D576" i="1" s="1"/>
  <c r="F576" i="1" s="1"/>
  <c r="F59" i="2" s="1"/>
  <c r="E613" i="1"/>
  <c r="G626" i="1"/>
  <c r="D638" i="1"/>
  <c r="F638" i="1" s="1"/>
  <c r="F651" i="1"/>
  <c r="G653" i="1"/>
  <c r="C656" i="1"/>
  <c r="D656" i="1" s="1"/>
  <c r="E656" i="1"/>
  <c r="E662" i="1"/>
  <c r="F662" i="1" s="1"/>
  <c r="C665" i="1"/>
  <c r="D665" i="1" s="1"/>
  <c r="E665" i="1"/>
  <c r="C674" i="1"/>
  <c r="D674" i="1" s="1"/>
  <c r="E674" i="1"/>
  <c r="G693" i="1"/>
  <c r="C693" i="1"/>
  <c r="D693" i="1" s="1"/>
  <c r="F693" i="1" s="1"/>
  <c r="G729" i="1"/>
  <c r="C729" i="1"/>
  <c r="D729" i="1" s="1"/>
  <c r="F729" i="1" s="1"/>
  <c r="E738" i="1"/>
  <c r="C738" i="1"/>
  <c r="D738" i="1" s="1"/>
  <c r="E742" i="1"/>
  <c r="G766" i="1"/>
  <c r="E766" i="1"/>
  <c r="C766" i="1"/>
  <c r="D766" i="1" s="1"/>
  <c r="F766" i="1" s="1"/>
  <c r="G776" i="1"/>
  <c r="E776" i="1"/>
  <c r="C776" i="1"/>
  <c r="D776" i="1" s="1"/>
  <c r="G789" i="1"/>
  <c r="E789" i="1"/>
  <c r="C789" i="1"/>
  <c r="D789" i="1" s="1"/>
  <c r="G794" i="1"/>
  <c r="E794" i="1"/>
  <c r="C794" i="1"/>
  <c r="D794" i="1" s="1"/>
  <c r="E799" i="1"/>
  <c r="C799" i="1"/>
  <c r="D799" i="1" s="1"/>
  <c r="G799" i="1"/>
  <c r="G817" i="1"/>
  <c r="E817" i="1"/>
  <c r="C817" i="1"/>
  <c r="D817" i="1" s="1"/>
  <c r="G849" i="1"/>
  <c r="E849" i="1"/>
  <c r="C849" i="1"/>
  <c r="D849" i="1" s="1"/>
  <c r="E919" i="1"/>
  <c r="C919" i="1"/>
  <c r="D919" i="1" s="1"/>
  <c r="G919" i="1"/>
  <c r="G925" i="1"/>
  <c r="E925" i="1"/>
  <c r="C925" i="1"/>
  <c r="D925" i="1" s="1"/>
  <c r="F925" i="1" s="1"/>
  <c r="G957" i="1"/>
  <c r="E957" i="1"/>
  <c r="C957" i="1"/>
  <c r="D957" i="1" s="1"/>
  <c r="G513" i="1"/>
  <c r="G542" i="1"/>
  <c r="E559" i="1"/>
  <c r="C580" i="1"/>
  <c r="D580" i="1" s="1"/>
  <c r="E580" i="1"/>
  <c r="C584" i="1"/>
  <c r="D584" i="1" s="1"/>
  <c r="E584" i="1"/>
  <c r="C588" i="1"/>
  <c r="D588" i="1" s="1"/>
  <c r="E588" i="1"/>
  <c r="C592" i="1"/>
  <c r="D592" i="1" s="1"/>
  <c r="E592" i="1"/>
  <c r="C596" i="1"/>
  <c r="D596" i="1" s="1"/>
  <c r="E596" i="1"/>
  <c r="D598" i="1"/>
  <c r="F602" i="1"/>
  <c r="F611" i="1"/>
  <c r="C616" i="1"/>
  <c r="D616" i="1" s="1"/>
  <c r="E616" i="1"/>
  <c r="C625" i="1"/>
  <c r="D625" i="1" s="1"/>
  <c r="E625" i="1"/>
  <c r="G627" i="1"/>
  <c r="F631" i="1"/>
  <c r="C636" i="1"/>
  <c r="D636" i="1" s="1"/>
  <c r="E636" i="1"/>
  <c r="G636" i="1"/>
  <c r="G662" i="1"/>
  <c r="E669" i="1"/>
  <c r="C672" i="1"/>
  <c r="D672" i="1" s="1"/>
  <c r="E672" i="1"/>
  <c r="D686" i="1"/>
  <c r="F686" i="1" s="1"/>
  <c r="E702" i="1"/>
  <c r="C702" i="1"/>
  <c r="D702" i="1" s="1"/>
  <c r="E706" i="1"/>
  <c r="G725" i="1"/>
  <c r="E725" i="1"/>
  <c r="C725" i="1"/>
  <c r="D725" i="1" s="1"/>
  <c r="G727" i="1"/>
  <c r="E727" i="1"/>
  <c r="C727" i="1"/>
  <c r="D727" i="1" s="1"/>
  <c r="E751" i="1"/>
  <c r="G769" i="1"/>
  <c r="E769" i="1"/>
  <c r="F769" i="1" s="1"/>
  <c r="C771" i="1"/>
  <c r="D771" i="1" s="1"/>
  <c r="E779" i="1"/>
  <c r="C779" i="1"/>
  <c r="D779" i="1" s="1"/>
  <c r="F779" i="1" s="1"/>
  <c r="G784" i="1"/>
  <c r="E784" i="1"/>
  <c r="C784" i="1"/>
  <c r="D784" i="1" s="1"/>
  <c r="G842" i="1"/>
  <c r="E842" i="1"/>
  <c r="C842" i="1"/>
  <c r="D842" i="1" s="1"/>
  <c r="C852" i="1"/>
  <c r="D852" i="1" s="1"/>
  <c r="F852" i="1" s="1"/>
  <c r="G852" i="1"/>
  <c r="F658" i="1"/>
  <c r="F667" i="1"/>
  <c r="G677" i="1"/>
  <c r="C677" i="1"/>
  <c r="D677" i="1" s="1"/>
  <c r="F677" i="1" s="1"/>
  <c r="D695" i="1"/>
  <c r="F695" i="1" s="1"/>
  <c r="D700" i="1"/>
  <c r="C734" i="1"/>
  <c r="D734" i="1" s="1"/>
  <c r="E734" i="1"/>
  <c r="F740" i="1"/>
  <c r="G762" i="1"/>
  <c r="E762" i="1"/>
  <c r="C762" i="1"/>
  <c r="D762" i="1" s="1"/>
  <c r="F810" i="1"/>
  <c r="E812" i="1"/>
  <c r="C812" i="1"/>
  <c r="D812" i="1" s="1"/>
  <c r="G826" i="1"/>
  <c r="E826" i="1"/>
  <c r="F826" i="1" s="1"/>
  <c r="G900" i="1"/>
  <c r="E900" i="1"/>
  <c r="C900" i="1"/>
  <c r="D900" i="1" s="1"/>
  <c r="E673" i="1"/>
  <c r="F673" i="1" s="1"/>
  <c r="E681" i="1"/>
  <c r="F681" i="1" s="1"/>
  <c r="G721" i="1"/>
  <c r="E721" i="1"/>
  <c r="G757" i="1"/>
  <c r="E757" i="1"/>
  <c r="F757" i="1" s="1"/>
  <c r="E796" i="1"/>
  <c r="F796" i="1" s="1"/>
  <c r="C808" i="1"/>
  <c r="D808" i="1" s="1"/>
  <c r="F808" i="1" s="1"/>
  <c r="G820" i="1"/>
  <c r="G834" i="1"/>
  <c r="C848" i="1"/>
  <c r="D848" i="1" s="1"/>
  <c r="F848" i="1" s="1"/>
  <c r="E850" i="1"/>
  <c r="F850" i="1" s="1"/>
  <c r="D856" i="1"/>
  <c r="G893" i="1"/>
  <c r="E893" i="1"/>
  <c r="C893" i="1"/>
  <c r="D893" i="1" s="1"/>
  <c r="F897" i="1"/>
  <c r="E904" i="1"/>
  <c r="G911" i="1"/>
  <c r="C928" i="1"/>
  <c r="D928" i="1" s="1"/>
  <c r="G928" i="1"/>
  <c r="E928" i="1"/>
  <c r="E937" i="1"/>
  <c r="F937" i="1" s="1"/>
  <c r="E950" i="1"/>
  <c r="G950" i="1"/>
  <c r="E974" i="1"/>
  <c r="G974" i="1"/>
  <c r="E982" i="1"/>
  <c r="C982" i="1"/>
  <c r="D982" i="1" s="1"/>
  <c r="F982" i="1" s="1"/>
  <c r="G996" i="1"/>
  <c r="E996" i="1"/>
  <c r="C996" i="1"/>
  <c r="D996" i="1" s="1"/>
  <c r="F996" i="1" s="1"/>
  <c r="G1021" i="1"/>
  <c r="E1021" i="1"/>
  <c r="C1021" i="1"/>
  <c r="D1021" i="1" s="1"/>
  <c r="D1050" i="1"/>
  <c r="F1050" i="1" s="1"/>
  <c r="G872" i="1"/>
  <c r="E872" i="1"/>
  <c r="C872" i="1"/>
  <c r="D872" i="1" s="1"/>
  <c r="F880" i="1"/>
  <c r="C891" i="1"/>
  <c r="D891" i="1" s="1"/>
  <c r="F891" i="1" s="1"/>
  <c r="G891" i="1"/>
  <c r="C898" i="1"/>
  <c r="D898" i="1" s="1"/>
  <c r="G898" i="1"/>
  <c r="E898" i="1"/>
  <c r="G904" i="1"/>
  <c r="G933" i="1"/>
  <c r="E933" i="1"/>
  <c r="C933" i="1"/>
  <c r="D933" i="1" s="1"/>
  <c r="G963" i="1"/>
  <c r="C963" i="1"/>
  <c r="D963" i="1" s="1"/>
  <c r="G971" i="1"/>
  <c r="C971" i="1"/>
  <c r="D971" i="1" s="1"/>
  <c r="E976" i="1"/>
  <c r="C976" i="1"/>
  <c r="D976" i="1" s="1"/>
  <c r="G985" i="1"/>
  <c r="E985" i="1"/>
  <c r="C985" i="1"/>
  <c r="D985" i="1" s="1"/>
  <c r="C1010" i="1"/>
  <c r="D1010" i="1" s="1"/>
  <c r="E1010" i="1"/>
  <c r="G1010" i="1"/>
  <c r="C1044" i="1"/>
  <c r="D1044" i="1" s="1"/>
  <c r="G1044" i="1"/>
  <c r="E1044" i="1"/>
  <c r="E1247" i="1"/>
  <c r="G1247" i="1"/>
  <c r="C1247" i="1"/>
  <c r="D1247" i="1" s="1"/>
  <c r="G775" i="1"/>
  <c r="G796" i="1"/>
  <c r="G802" i="1"/>
  <c r="D136" i="2" s="1"/>
  <c r="G827" i="1"/>
  <c r="C827" i="1"/>
  <c r="D827" i="1" s="1"/>
  <c r="F827" i="1" s="1"/>
  <c r="G851" i="1"/>
  <c r="E851" i="1"/>
  <c r="F851" i="1" s="1"/>
  <c r="E856" i="1"/>
  <c r="D868" i="1"/>
  <c r="D874" i="1"/>
  <c r="E910" i="1"/>
  <c r="C912" i="1"/>
  <c r="D912" i="1" s="1"/>
  <c r="F912" i="1" s="1"/>
  <c r="G912" i="1"/>
  <c r="D921" i="1"/>
  <c r="G940" i="1"/>
  <c r="E940" i="1"/>
  <c r="C940" i="1"/>
  <c r="D940" i="1" s="1"/>
  <c r="E947" i="1"/>
  <c r="F947" i="1" s="1"/>
  <c r="G953" i="1"/>
  <c r="C953" i="1"/>
  <c r="D953" i="1" s="1"/>
  <c r="F953" i="1" s="1"/>
  <c r="G966" i="1"/>
  <c r="C966" i="1"/>
  <c r="D966" i="1" s="1"/>
  <c r="E966" i="1"/>
  <c r="D968" i="1"/>
  <c r="C974" i="1"/>
  <c r="D974" i="1" s="1"/>
  <c r="F974" i="1" s="1"/>
  <c r="G982" i="1"/>
  <c r="E988" i="1"/>
  <c r="C988" i="1"/>
  <c r="D988" i="1" s="1"/>
  <c r="G988" i="1"/>
  <c r="C1024" i="1"/>
  <c r="D1024" i="1" s="1"/>
  <c r="G1024" i="1"/>
  <c r="E1024" i="1"/>
  <c r="G1054" i="1"/>
  <c r="E1054" i="1"/>
  <c r="C1054" i="1"/>
  <c r="D1054" i="1" s="1"/>
  <c r="G781" i="1"/>
  <c r="E781" i="1"/>
  <c r="F781" i="1" s="1"/>
  <c r="G790" i="1"/>
  <c r="C790" i="1"/>
  <c r="D790" i="1" s="1"/>
  <c r="G825" i="1"/>
  <c r="E825" i="1"/>
  <c r="F825" i="1" s="1"/>
  <c r="D834" i="1"/>
  <c r="G845" i="1"/>
  <c r="E845" i="1"/>
  <c r="C845" i="1"/>
  <c r="D845" i="1" s="1"/>
  <c r="G853" i="1"/>
  <c r="E853" i="1"/>
  <c r="F853" i="1" s="1"/>
  <c r="E868" i="1"/>
  <c r="E874" i="1"/>
  <c r="G885" i="1"/>
  <c r="E885" i="1"/>
  <c r="C885" i="1"/>
  <c r="D885" i="1" s="1"/>
  <c r="E896" i="1"/>
  <c r="C896" i="1"/>
  <c r="D896" i="1" s="1"/>
  <c r="G917" i="1"/>
  <c r="C917" i="1"/>
  <c r="D917" i="1" s="1"/>
  <c r="E917" i="1"/>
  <c r="D950" i="1"/>
  <c r="F950" i="1" s="1"/>
  <c r="C980" i="1"/>
  <c r="D980" i="1" s="1"/>
  <c r="F980" i="1" s="1"/>
  <c r="G980" i="1"/>
  <c r="G997" i="1"/>
  <c r="E997" i="1"/>
  <c r="C997" i="1"/>
  <c r="D997" i="1" s="1"/>
  <c r="F997" i="1" s="1"/>
  <c r="G1047" i="1"/>
  <c r="E1047" i="1"/>
  <c r="C1140" i="1"/>
  <c r="D1140" i="1" s="1"/>
  <c r="E1140" i="1"/>
  <c r="G1140" i="1"/>
  <c r="G1167" i="1"/>
  <c r="C1167" i="1"/>
  <c r="D1167" i="1" s="1"/>
  <c r="E1167" i="1"/>
  <c r="G709" i="1"/>
  <c r="E709" i="1"/>
  <c r="F709" i="1" s="1"/>
  <c r="G745" i="1"/>
  <c r="E745" i="1"/>
  <c r="G778" i="1"/>
  <c r="E834" i="1"/>
  <c r="G860" i="1"/>
  <c r="C908" i="1"/>
  <c r="D908" i="1" s="1"/>
  <c r="E908" i="1"/>
  <c r="C931" i="1"/>
  <c r="D931" i="1" s="1"/>
  <c r="G943" i="1"/>
  <c r="E943" i="1"/>
  <c r="F943" i="1" s="1"/>
  <c r="E958" i="1"/>
  <c r="G958" i="1"/>
  <c r="C958" i="1"/>
  <c r="D958" i="1" s="1"/>
  <c r="E971" i="1"/>
  <c r="G977" i="1"/>
  <c r="C977" i="1"/>
  <c r="D977" i="1" s="1"/>
  <c r="E977" i="1"/>
  <c r="G1008" i="1"/>
  <c r="C1008" i="1"/>
  <c r="D1008" i="1" s="1"/>
  <c r="E1008" i="1"/>
  <c r="E1011" i="1"/>
  <c r="C1011" i="1"/>
  <c r="D1011" i="1" s="1"/>
  <c r="G1011" i="1"/>
  <c r="F1033" i="1"/>
  <c r="G1080" i="1"/>
  <c r="E1080" i="1"/>
  <c r="G1153" i="1"/>
  <c r="E1153" i="1"/>
  <c r="C1153" i="1"/>
  <c r="D1153" i="1" s="1"/>
  <c r="G818" i="1"/>
  <c r="G829" i="1"/>
  <c r="E829" i="1"/>
  <c r="G857" i="1"/>
  <c r="C857" i="1"/>
  <c r="D857" i="1" s="1"/>
  <c r="F857" i="1" s="1"/>
  <c r="E867" i="1"/>
  <c r="C867" i="1"/>
  <c r="D867" i="1" s="1"/>
  <c r="F867" i="1" s="1"/>
  <c r="C894" i="1"/>
  <c r="D894" i="1" s="1"/>
  <c r="F894" i="1" s="1"/>
  <c r="G894" i="1"/>
  <c r="D910" i="1"/>
  <c r="G929" i="1"/>
  <c r="C929" i="1"/>
  <c r="D929" i="1" s="1"/>
  <c r="E929" i="1"/>
  <c r="E931" i="1"/>
  <c r="E938" i="1"/>
  <c r="G941" i="1"/>
  <c r="E941" i="1"/>
  <c r="C941" i="1"/>
  <c r="D941" i="1" s="1"/>
  <c r="F961" i="1"/>
  <c r="E963" i="1"/>
  <c r="F1002" i="1"/>
  <c r="F901" i="1"/>
  <c r="G913" i="1"/>
  <c r="E913" i="1"/>
  <c r="G915" i="1"/>
  <c r="E915" i="1"/>
  <c r="C922" i="1"/>
  <c r="D922" i="1" s="1"/>
  <c r="E922" i="1"/>
  <c r="G924" i="1"/>
  <c r="E924" i="1"/>
  <c r="C924" i="1"/>
  <c r="D924" i="1" s="1"/>
  <c r="F924" i="1" s="1"/>
  <c r="C998" i="1"/>
  <c r="D998" i="1" s="1"/>
  <c r="G998" i="1"/>
  <c r="E998" i="1"/>
  <c r="C1000" i="1"/>
  <c r="D1000" i="1" s="1"/>
  <c r="F1000" i="1" s="1"/>
  <c r="G1000" i="1"/>
  <c r="E1000" i="1"/>
  <c r="G1028" i="1"/>
  <c r="E1028" i="1"/>
  <c r="G1129" i="1"/>
  <c r="E1129" i="1"/>
  <c r="C1129" i="1"/>
  <c r="D1129" i="1" s="1"/>
  <c r="E763" i="1"/>
  <c r="G768" i="1"/>
  <c r="E788" i="1"/>
  <c r="F788" i="1" s="1"/>
  <c r="E790" i="1"/>
  <c r="G806" i="1"/>
  <c r="E806" i="1"/>
  <c r="C818" i="1"/>
  <c r="D818" i="1" s="1"/>
  <c r="G833" i="1"/>
  <c r="E833" i="1"/>
  <c r="G835" i="1"/>
  <c r="E835" i="1"/>
  <c r="E838" i="1"/>
  <c r="F838" i="1" s="1"/>
  <c r="E879" i="1"/>
  <c r="F879" i="1" s="1"/>
  <c r="G896" i="1"/>
  <c r="G906" i="1"/>
  <c r="E906" i="1"/>
  <c r="F906" i="1" s="1"/>
  <c r="E932" i="1"/>
  <c r="D934" i="1"/>
  <c r="C946" i="1"/>
  <c r="D946" i="1" s="1"/>
  <c r="G946" i="1"/>
  <c r="E946" i="1"/>
  <c r="E964" i="1"/>
  <c r="C964" i="1"/>
  <c r="D964" i="1" s="1"/>
  <c r="G967" i="1"/>
  <c r="E967" i="1"/>
  <c r="C967" i="1"/>
  <c r="D967" i="1" s="1"/>
  <c r="G972" i="1"/>
  <c r="E972" i="1"/>
  <c r="E983" i="1"/>
  <c r="F983" i="1" s="1"/>
  <c r="E1003" i="1"/>
  <c r="C1003" i="1"/>
  <c r="D1003" i="1" s="1"/>
  <c r="G1003" i="1"/>
  <c r="E1012" i="1"/>
  <c r="F1012" i="1" s="1"/>
  <c r="G1012" i="1"/>
  <c r="D1028" i="1"/>
  <c r="G733" i="1"/>
  <c r="E733" i="1"/>
  <c r="C804" i="1"/>
  <c r="D804" i="1" s="1"/>
  <c r="F804" i="1" s="1"/>
  <c r="G815" i="1"/>
  <c r="E818" i="1"/>
  <c r="C829" i="1"/>
  <c r="D829" i="1" s="1"/>
  <c r="C831" i="1"/>
  <c r="D831" i="1" s="1"/>
  <c r="F831" i="1" s="1"/>
  <c r="C840" i="1"/>
  <c r="D840" i="1" s="1"/>
  <c r="F840" i="1" s="1"/>
  <c r="C859" i="1"/>
  <c r="D859" i="1" s="1"/>
  <c r="F859" i="1" s="1"/>
  <c r="C888" i="1"/>
  <c r="D888" i="1" s="1"/>
  <c r="E888" i="1"/>
  <c r="C927" i="1"/>
  <c r="D927" i="1" s="1"/>
  <c r="G927" i="1"/>
  <c r="E927" i="1"/>
  <c r="G930" i="1"/>
  <c r="C930" i="1"/>
  <c r="D930" i="1" s="1"/>
  <c r="F930" i="1" s="1"/>
  <c r="E939" i="1"/>
  <c r="C939" i="1"/>
  <c r="D939" i="1" s="1"/>
  <c r="G944" i="1"/>
  <c r="E944" i="1"/>
  <c r="F944" i="1" s="1"/>
  <c r="G948" i="1"/>
  <c r="D972" i="1"/>
  <c r="G992" i="1"/>
  <c r="E992" i="1"/>
  <c r="G995" i="1"/>
  <c r="E995" i="1"/>
  <c r="F995" i="1" s="1"/>
  <c r="G1029" i="1"/>
  <c r="E1029" i="1"/>
  <c r="C1029" i="1"/>
  <c r="D1029" i="1" s="1"/>
  <c r="G801" i="1"/>
  <c r="E801" i="1"/>
  <c r="G810" i="1"/>
  <c r="G837" i="1"/>
  <c r="E837" i="1"/>
  <c r="F837" i="1" s="1"/>
  <c r="E854" i="1"/>
  <c r="C854" i="1"/>
  <c r="D854" i="1" s="1"/>
  <c r="G882" i="1"/>
  <c r="C882" i="1"/>
  <c r="D882" i="1" s="1"/>
  <c r="F882" i="1" s="1"/>
  <c r="C892" i="1"/>
  <c r="D892" i="1" s="1"/>
  <c r="F892" i="1" s="1"/>
  <c r="C899" i="1"/>
  <c r="D899" i="1" s="1"/>
  <c r="F899" i="1" s="1"/>
  <c r="D904" i="1"/>
  <c r="C913" i="1"/>
  <c r="D913" i="1" s="1"/>
  <c r="C915" i="1"/>
  <c r="D915" i="1" s="1"/>
  <c r="G918" i="1"/>
  <c r="E918" i="1"/>
  <c r="C918" i="1"/>
  <c r="D918" i="1" s="1"/>
  <c r="G922" i="1"/>
  <c r="G949" i="1"/>
  <c r="E949" i="1"/>
  <c r="C949" i="1"/>
  <c r="D949" i="1" s="1"/>
  <c r="G973" i="1"/>
  <c r="E973" i="1"/>
  <c r="C973" i="1"/>
  <c r="D973" i="1" s="1"/>
  <c r="C1114" i="1"/>
  <c r="D1114" i="1" s="1"/>
  <c r="G1114" i="1"/>
  <c r="E1114" i="1"/>
  <c r="C763" i="1"/>
  <c r="D763" i="1" s="1"/>
  <c r="G765" i="1"/>
  <c r="C768" i="1"/>
  <c r="D768" i="1" s="1"/>
  <c r="F768" i="1" s="1"/>
  <c r="G791" i="1"/>
  <c r="C806" i="1"/>
  <c r="D806" i="1" s="1"/>
  <c r="C833" i="1"/>
  <c r="D833" i="1" s="1"/>
  <c r="C835" i="1"/>
  <c r="D835" i="1" s="1"/>
  <c r="G840" i="1"/>
  <c r="G859" i="1"/>
  <c r="G867" i="1"/>
  <c r="E878" i="1"/>
  <c r="G878" i="1"/>
  <c r="C878" i="1"/>
  <c r="D878" i="1" s="1"/>
  <c r="F878" i="1" s="1"/>
  <c r="G892" i="1"/>
  <c r="G895" i="1"/>
  <c r="E895" i="1"/>
  <c r="C895" i="1"/>
  <c r="D895" i="1" s="1"/>
  <c r="G899" i="1"/>
  <c r="G909" i="1"/>
  <c r="E909" i="1"/>
  <c r="F909" i="1" s="1"/>
  <c r="C911" i="1"/>
  <c r="D911" i="1" s="1"/>
  <c r="F911" i="1" s="1"/>
  <c r="C932" i="1"/>
  <c r="D932" i="1" s="1"/>
  <c r="E952" i="1"/>
  <c r="C952" i="1"/>
  <c r="D952" i="1" s="1"/>
  <c r="G952" i="1"/>
  <c r="D962" i="1"/>
  <c r="F962" i="1" s="1"/>
  <c r="C970" i="1"/>
  <c r="D970" i="1" s="1"/>
  <c r="F970" i="1" s="1"/>
  <c r="G970" i="1"/>
  <c r="E970" i="1"/>
  <c r="G990" i="1"/>
  <c r="C992" i="1"/>
  <c r="D992" i="1" s="1"/>
  <c r="E1026" i="1"/>
  <c r="C1026" i="1"/>
  <c r="D1026" i="1" s="1"/>
  <c r="G1026" i="1"/>
  <c r="G1108" i="1"/>
  <c r="E1108" i="1"/>
  <c r="G1036" i="1"/>
  <c r="C1036" i="1"/>
  <c r="D1036" i="1" s="1"/>
  <c r="F1036" i="1" s="1"/>
  <c r="G1039" i="1"/>
  <c r="E1039" i="1"/>
  <c r="C1039" i="1"/>
  <c r="D1039" i="1" s="1"/>
  <c r="G1042" i="1"/>
  <c r="E1042" i="1"/>
  <c r="C1042" i="1"/>
  <c r="D1042" i="1" s="1"/>
  <c r="E1062" i="1"/>
  <c r="G1062" i="1"/>
  <c r="C1062" i="1"/>
  <c r="D1062" i="1" s="1"/>
  <c r="G1065" i="1"/>
  <c r="C1065" i="1"/>
  <c r="D1065" i="1" s="1"/>
  <c r="E1065" i="1"/>
  <c r="G1097" i="1"/>
  <c r="E1097" i="1"/>
  <c r="C1097" i="1"/>
  <c r="D1097" i="1" s="1"/>
  <c r="G1071" i="1"/>
  <c r="E1071" i="1"/>
  <c r="C1071" i="1"/>
  <c r="D1071" i="1" s="1"/>
  <c r="E1202" i="1"/>
  <c r="G1202" i="1"/>
  <c r="C1202" i="1"/>
  <c r="D1202" i="1" s="1"/>
  <c r="F1202" i="1" s="1"/>
  <c r="D1047" i="1"/>
  <c r="G1066" i="1"/>
  <c r="C1066" i="1"/>
  <c r="D1066" i="1" s="1"/>
  <c r="C1072" i="1"/>
  <c r="D1072" i="1" s="1"/>
  <c r="G1072" i="1"/>
  <c r="F1111" i="1"/>
  <c r="E870" i="1"/>
  <c r="C870" i="1"/>
  <c r="D870" i="1" s="1"/>
  <c r="D890" i="1"/>
  <c r="F890" i="1" s="1"/>
  <c r="G901" i="1"/>
  <c r="G905" i="1"/>
  <c r="C905" i="1"/>
  <c r="D905" i="1" s="1"/>
  <c r="F905" i="1" s="1"/>
  <c r="D956" i="1"/>
  <c r="F956" i="1" s="1"/>
  <c r="G986" i="1"/>
  <c r="E991" i="1"/>
  <c r="C991" i="1"/>
  <c r="D991" i="1" s="1"/>
  <c r="D993" i="1"/>
  <c r="F993" i="1" s="1"/>
  <c r="G1006" i="1"/>
  <c r="E1006" i="1"/>
  <c r="C1006" i="1"/>
  <c r="D1006" i="1" s="1"/>
  <c r="C1048" i="1"/>
  <c r="D1048" i="1" s="1"/>
  <c r="G1048" i="1"/>
  <c r="E1048" i="1"/>
  <c r="D1057" i="1"/>
  <c r="G1060" i="1"/>
  <c r="C1060" i="1"/>
  <c r="D1060" i="1" s="1"/>
  <c r="E1060" i="1"/>
  <c r="D1063" i="1"/>
  <c r="G1102" i="1"/>
  <c r="E1102" i="1"/>
  <c r="C1102" i="1"/>
  <c r="D1102" i="1" s="1"/>
  <c r="E1168" i="1"/>
  <c r="G1168" i="1"/>
  <c r="C1168" i="1"/>
  <c r="D1168" i="1" s="1"/>
  <c r="F1168" i="1" s="1"/>
  <c r="G934" i="1"/>
  <c r="C936" i="1"/>
  <c r="D936" i="1" s="1"/>
  <c r="G936" i="1"/>
  <c r="E936" i="1"/>
  <c r="G961" i="1"/>
  <c r="E961" i="1"/>
  <c r="E968" i="1"/>
  <c r="G968" i="1"/>
  <c r="G1037" i="1"/>
  <c r="E1037" i="1"/>
  <c r="C1037" i="1"/>
  <c r="D1037" i="1" s="1"/>
  <c r="G1069" i="1"/>
  <c r="E1069" i="1"/>
  <c r="C1069" i="1"/>
  <c r="D1069" i="1" s="1"/>
  <c r="F1069" i="1" s="1"/>
  <c r="E1072" i="1"/>
  <c r="G1242" i="1"/>
  <c r="E1242" i="1"/>
  <c r="C1242" i="1"/>
  <c r="D1242" i="1" s="1"/>
  <c r="G989" i="1"/>
  <c r="C989" i="1"/>
  <c r="D989" i="1" s="1"/>
  <c r="E989" i="1"/>
  <c r="C994" i="1"/>
  <c r="D994" i="1" s="1"/>
  <c r="E994" i="1"/>
  <c r="E1004" i="1"/>
  <c r="C1004" i="1"/>
  <c r="D1004" i="1" s="1"/>
  <c r="E1014" i="1"/>
  <c r="G1014" i="1"/>
  <c r="C1014" i="1"/>
  <c r="D1014" i="1" s="1"/>
  <c r="G1019" i="1"/>
  <c r="E1019" i="1"/>
  <c r="F1019" i="1" s="1"/>
  <c r="E1022" i="1"/>
  <c r="F1022" i="1" s="1"/>
  <c r="G1022" i="1"/>
  <c r="E1030" i="1"/>
  <c r="C1030" i="1"/>
  <c r="D1030" i="1" s="1"/>
  <c r="G1030" i="1"/>
  <c r="G1032" i="1"/>
  <c r="C1032" i="1"/>
  <c r="D1032" i="1" s="1"/>
  <c r="E1032" i="1"/>
  <c r="C1040" i="1"/>
  <c r="D1040" i="1" s="1"/>
  <c r="F1040" i="1" s="1"/>
  <c r="C1058" i="1"/>
  <c r="D1058" i="1" s="1"/>
  <c r="F1058" i="1" s="1"/>
  <c r="G1058" i="1"/>
  <c r="E1058" i="1"/>
  <c r="E1066" i="1"/>
  <c r="E1103" i="1"/>
  <c r="C1103" i="1"/>
  <c r="D1103" i="1" s="1"/>
  <c r="G1103" i="1"/>
  <c r="G1061" i="1"/>
  <c r="C1061" i="1"/>
  <c r="D1061" i="1" s="1"/>
  <c r="G1073" i="1"/>
  <c r="E1073" i="1"/>
  <c r="C1073" i="1"/>
  <c r="D1073" i="1" s="1"/>
  <c r="G1076" i="1"/>
  <c r="E1076" i="1"/>
  <c r="C1076" i="1"/>
  <c r="D1076" i="1" s="1"/>
  <c r="G1087" i="1"/>
  <c r="C1090" i="1"/>
  <c r="D1090" i="1" s="1"/>
  <c r="G1090" i="1"/>
  <c r="E1090" i="1"/>
  <c r="E1151" i="1"/>
  <c r="C1151" i="1"/>
  <c r="D1151" i="1" s="1"/>
  <c r="G1151" i="1"/>
  <c r="G1017" i="1"/>
  <c r="C1017" i="1"/>
  <c r="D1017" i="1" s="1"/>
  <c r="E1017" i="1"/>
  <c r="E1038" i="1"/>
  <c r="G1038" i="1"/>
  <c r="C1038" i="1"/>
  <c r="D1038" i="1" s="1"/>
  <c r="G1041" i="1"/>
  <c r="C1041" i="1"/>
  <c r="D1041" i="1" s="1"/>
  <c r="F1041" i="1" s="1"/>
  <c r="E1041" i="1"/>
  <c r="F1043" i="1"/>
  <c r="C1052" i="1"/>
  <c r="D1052" i="1" s="1"/>
  <c r="G1052" i="1"/>
  <c r="E1052" i="1"/>
  <c r="E1064" i="1"/>
  <c r="G1064" i="1"/>
  <c r="E1096" i="1"/>
  <c r="G1096" i="1"/>
  <c r="C1096" i="1"/>
  <c r="D1096" i="1" s="1"/>
  <c r="G1155" i="1"/>
  <c r="E1155" i="1"/>
  <c r="C1155" i="1"/>
  <c r="D1155" i="1" s="1"/>
  <c r="G1161" i="1"/>
  <c r="E1161" i="1"/>
  <c r="C1161" i="1"/>
  <c r="D1161" i="1" s="1"/>
  <c r="G839" i="1"/>
  <c r="G869" i="1"/>
  <c r="E869" i="1"/>
  <c r="F869" i="1" s="1"/>
  <c r="G875" i="1"/>
  <c r="C875" i="1"/>
  <c r="D875" i="1" s="1"/>
  <c r="F875" i="1" s="1"/>
  <c r="G881" i="1"/>
  <c r="C881" i="1"/>
  <c r="D881" i="1" s="1"/>
  <c r="F881" i="1" s="1"/>
  <c r="D887" i="1"/>
  <c r="F887" i="1" s="1"/>
  <c r="D920" i="1"/>
  <c r="F920" i="1" s="1"/>
  <c r="G994" i="1"/>
  <c r="G1005" i="1"/>
  <c r="C1005" i="1"/>
  <c r="D1005" i="1" s="1"/>
  <c r="F1005" i="1" s="1"/>
  <c r="D1009" i="1"/>
  <c r="F1009" i="1" s="1"/>
  <c r="E1020" i="1"/>
  <c r="C1020" i="1"/>
  <c r="D1020" i="1" s="1"/>
  <c r="G1025" i="1"/>
  <c r="E1025" i="1"/>
  <c r="C1025" i="1"/>
  <c r="D1025" i="1" s="1"/>
  <c r="E1056" i="1"/>
  <c r="E1061" i="1"/>
  <c r="G1077" i="1"/>
  <c r="C1077" i="1"/>
  <c r="D1077" i="1" s="1"/>
  <c r="E1077" i="1"/>
  <c r="G1085" i="1"/>
  <c r="C1085" i="1"/>
  <c r="D1085" i="1" s="1"/>
  <c r="F1085" i="1" s="1"/>
  <c r="G1100" i="1"/>
  <c r="E1100" i="1"/>
  <c r="C1100" i="1"/>
  <c r="D1100" i="1" s="1"/>
  <c r="G1110" i="1"/>
  <c r="C1110" i="1"/>
  <c r="D1110" i="1" s="1"/>
  <c r="E1110" i="1"/>
  <c r="G1148" i="1"/>
  <c r="E1148" i="1"/>
  <c r="C1148" i="1"/>
  <c r="D1148" i="1" s="1"/>
  <c r="E1027" i="1"/>
  <c r="F1027" i="1" s="1"/>
  <c r="E1046" i="1"/>
  <c r="F1046" i="1" s="1"/>
  <c r="D1056" i="1"/>
  <c r="E1067" i="1"/>
  <c r="F1067" i="1" s="1"/>
  <c r="E1083" i="1"/>
  <c r="F1083" i="1" s="1"/>
  <c r="G1098" i="1"/>
  <c r="G1101" i="1"/>
  <c r="C1101" i="1"/>
  <c r="D1101" i="1" s="1"/>
  <c r="E1112" i="1"/>
  <c r="G1112" i="1"/>
  <c r="G1117" i="1"/>
  <c r="E1117" i="1"/>
  <c r="C1117" i="1"/>
  <c r="D1117" i="1" s="1"/>
  <c r="D1121" i="1"/>
  <c r="F1121" i="1" s="1"/>
  <c r="G1143" i="1"/>
  <c r="C1143" i="1"/>
  <c r="D1143" i="1" s="1"/>
  <c r="F1143" i="1" s="1"/>
  <c r="G1156" i="1"/>
  <c r="C1156" i="1"/>
  <c r="D1156" i="1" s="1"/>
  <c r="F1156" i="1" s="1"/>
  <c r="D1165" i="1"/>
  <c r="F1165" i="1" s="1"/>
  <c r="D1182" i="1"/>
  <c r="F1182" i="1" s="1"/>
  <c r="G1184" i="1"/>
  <c r="G1205" i="1"/>
  <c r="C1205" i="1"/>
  <c r="D1205" i="1" s="1"/>
  <c r="F1205" i="1" s="1"/>
  <c r="C1339" i="1"/>
  <c r="D1339" i="1" s="1"/>
  <c r="G1339" i="1"/>
  <c r="E1339" i="1"/>
  <c r="E1023" i="1"/>
  <c r="F1023" i="1" s="1"/>
  <c r="G1050" i="1"/>
  <c r="G1067" i="1"/>
  <c r="E1086" i="1"/>
  <c r="F1086" i="1" s="1"/>
  <c r="D1088" i="1"/>
  <c r="F1088" i="1" s="1"/>
  <c r="D1094" i="1"/>
  <c r="E1119" i="1"/>
  <c r="F1119" i="1" s="1"/>
  <c r="G1124" i="1"/>
  <c r="E1124" i="1"/>
  <c r="C1124" i="1"/>
  <c r="D1124" i="1" s="1"/>
  <c r="E1127" i="1"/>
  <c r="C1127" i="1"/>
  <c r="D1127" i="1" s="1"/>
  <c r="F1127" i="1" s="1"/>
  <c r="G1127" i="1"/>
  <c r="G1137" i="1"/>
  <c r="E1137" i="1"/>
  <c r="C1137" i="1"/>
  <c r="D1137" i="1" s="1"/>
  <c r="F1163" i="1"/>
  <c r="F1174" i="1"/>
  <c r="G1177" i="1"/>
  <c r="E1177" i="1"/>
  <c r="F1177" i="1" s="1"/>
  <c r="E1199" i="1"/>
  <c r="C1199" i="1"/>
  <c r="D1199" i="1" s="1"/>
  <c r="G1199" i="1"/>
  <c r="C1211" i="1"/>
  <c r="D1211" i="1" s="1"/>
  <c r="G1211" i="1"/>
  <c r="E1211" i="1"/>
  <c r="G1217" i="1"/>
  <c r="E1217" i="1"/>
  <c r="G1230" i="1"/>
  <c r="E1230" i="1"/>
  <c r="G889" i="1"/>
  <c r="E926" i="1"/>
  <c r="F926" i="1" s="1"/>
  <c r="G969" i="1"/>
  <c r="G978" i="1"/>
  <c r="K164" i="2" s="1"/>
  <c r="G1027" i="1"/>
  <c r="G1049" i="1"/>
  <c r="C1049" i="1"/>
  <c r="D1049" i="1" s="1"/>
  <c r="F1049" i="1" s="1"/>
  <c r="D1064" i="1"/>
  <c r="E1078" i="1"/>
  <c r="F1092" i="1"/>
  <c r="E1094" i="1"/>
  <c r="C1099" i="1"/>
  <c r="D1099" i="1" s="1"/>
  <c r="E1099" i="1"/>
  <c r="E1101" i="1"/>
  <c r="D1108" i="1"/>
  <c r="E1135" i="1"/>
  <c r="F1135" i="1" s="1"/>
  <c r="G1135" i="1"/>
  <c r="G1169" i="1"/>
  <c r="C1169" i="1"/>
  <c r="D1169" i="1" s="1"/>
  <c r="E1183" i="1"/>
  <c r="C1183" i="1"/>
  <c r="D1183" i="1" s="1"/>
  <c r="G1183" i="1"/>
  <c r="G1203" i="1"/>
  <c r="C1203" i="1"/>
  <c r="D1203" i="1" s="1"/>
  <c r="E1203" i="1"/>
  <c r="E1239" i="1"/>
  <c r="C1239" i="1"/>
  <c r="D1239" i="1" s="1"/>
  <c r="G1239" i="1"/>
  <c r="G1301" i="1"/>
  <c r="C1301" i="1"/>
  <c r="D1301" i="1" s="1"/>
  <c r="E1301" i="1"/>
  <c r="G981" i="1"/>
  <c r="E981" i="1"/>
  <c r="F981" i="1" s="1"/>
  <c r="D984" i="1"/>
  <c r="F984" i="1" s="1"/>
  <c r="G1045" i="1"/>
  <c r="E1045" i="1"/>
  <c r="F1045" i="1" s="1"/>
  <c r="G1070" i="1"/>
  <c r="C1070" i="1"/>
  <c r="D1070" i="1" s="1"/>
  <c r="G1113" i="1"/>
  <c r="E1113" i="1"/>
  <c r="C1113" i="1"/>
  <c r="D1113" i="1" s="1"/>
  <c r="F1141" i="1"/>
  <c r="E1154" i="1"/>
  <c r="F1154" i="1" s="1"/>
  <c r="G1154" i="1"/>
  <c r="G1172" i="1"/>
  <c r="C1172" i="1"/>
  <c r="D1172" i="1" s="1"/>
  <c r="F1172" i="1" s="1"/>
  <c r="G1193" i="1"/>
  <c r="C1193" i="1"/>
  <c r="D1193" i="1" s="1"/>
  <c r="F1193" i="1" s="1"/>
  <c r="D1206" i="1"/>
  <c r="E1223" i="1"/>
  <c r="C1223" i="1"/>
  <c r="D1223" i="1" s="1"/>
  <c r="G1223" i="1"/>
  <c r="E1245" i="1"/>
  <c r="D1245" i="1"/>
  <c r="G1249" i="1"/>
  <c r="C1249" i="1"/>
  <c r="D1249" i="1" s="1"/>
  <c r="F1249" i="1" s="1"/>
  <c r="E1431" i="1"/>
  <c r="C1431" i="1"/>
  <c r="D1431" i="1" s="1"/>
  <c r="G1431" i="1"/>
  <c r="E1748" i="1"/>
  <c r="G1748" i="1"/>
  <c r="C1748" i="1"/>
  <c r="D1748" i="1" s="1"/>
  <c r="C1842" i="1"/>
  <c r="D1842" i="1" s="1"/>
  <c r="G1842" i="1"/>
  <c r="E1842" i="1"/>
  <c r="G993" i="1"/>
  <c r="G1033" i="1"/>
  <c r="G1053" i="1"/>
  <c r="C1053" i="1"/>
  <c r="D1053" i="1" s="1"/>
  <c r="F1053" i="1" s="1"/>
  <c r="G1057" i="1"/>
  <c r="E1057" i="1"/>
  <c r="E1063" i="1"/>
  <c r="C1078" i="1"/>
  <c r="D1078" i="1" s="1"/>
  <c r="E1106" i="1"/>
  <c r="E1130" i="1"/>
  <c r="G1130" i="1"/>
  <c r="C1130" i="1"/>
  <c r="D1130" i="1" s="1"/>
  <c r="F1139" i="1"/>
  <c r="C1164" i="1"/>
  <c r="D1164" i="1" s="1"/>
  <c r="E1164" i="1"/>
  <c r="E1169" i="1"/>
  <c r="C1212" i="1"/>
  <c r="D1212" i="1" s="1"/>
  <c r="E1212" i="1"/>
  <c r="G1212" i="1"/>
  <c r="C1217" i="1"/>
  <c r="D1217" i="1" s="1"/>
  <c r="C1230" i="1"/>
  <c r="D1230" i="1" s="1"/>
  <c r="D1252" i="1"/>
  <c r="F1417" i="1"/>
  <c r="G1745" i="1"/>
  <c r="E1745" i="1"/>
  <c r="D1745" i="1"/>
  <c r="E1824" i="1"/>
  <c r="G1824" i="1"/>
  <c r="C1824" i="1"/>
  <c r="D1824" i="1" s="1"/>
  <c r="G1093" i="1"/>
  <c r="E1093" i="1"/>
  <c r="E1120" i="1"/>
  <c r="C1120" i="1"/>
  <c r="D1120" i="1" s="1"/>
  <c r="F1120" i="1" s="1"/>
  <c r="G1125" i="1"/>
  <c r="E1128" i="1"/>
  <c r="G1128" i="1"/>
  <c r="G1138" i="1"/>
  <c r="E1144" i="1"/>
  <c r="C1144" i="1"/>
  <c r="D1144" i="1" s="1"/>
  <c r="G1157" i="1"/>
  <c r="C1157" i="1"/>
  <c r="D1157" i="1" s="1"/>
  <c r="E1157" i="1"/>
  <c r="F1166" i="1"/>
  <c r="G1209" i="1"/>
  <c r="E1209" i="1"/>
  <c r="C1209" i="1"/>
  <c r="D1209" i="1" s="1"/>
  <c r="G1237" i="1"/>
  <c r="E1237" i="1"/>
  <c r="C1237" i="1"/>
  <c r="D1237" i="1" s="1"/>
  <c r="C1246" i="1"/>
  <c r="D1246" i="1" s="1"/>
  <c r="E1246" i="1"/>
  <c r="G1246" i="1"/>
  <c r="G1268" i="1"/>
  <c r="E1268" i="1"/>
  <c r="F1268" i="1" s="1"/>
  <c r="D1414" i="1"/>
  <c r="E1715" i="1"/>
  <c r="C1715" i="1"/>
  <c r="D1715" i="1" s="1"/>
  <c r="G1715" i="1"/>
  <c r="G1741" i="1"/>
  <c r="E1741" i="1"/>
  <c r="E1095" i="1"/>
  <c r="C1095" i="1"/>
  <c r="D1095" i="1" s="1"/>
  <c r="F1095" i="1" s="1"/>
  <c r="G1107" i="1"/>
  <c r="C1107" i="1"/>
  <c r="D1107" i="1" s="1"/>
  <c r="E1107" i="1"/>
  <c r="F1147" i="1"/>
  <c r="F1160" i="1"/>
  <c r="E1175" i="1"/>
  <c r="C1175" i="1"/>
  <c r="D1175" i="1" s="1"/>
  <c r="G1175" i="1"/>
  <c r="G1186" i="1"/>
  <c r="E1186" i="1"/>
  <c r="C1186" i="1"/>
  <c r="D1186" i="1" s="1"/>
  <c r="F1186" i="1" s="1"/>
  <c r="G1213" i="1"/>
  <c r="E1213" i="1"/>
  <c r="G1231" i="1"/>
  <c r="C1231" i="1"/>
  <c r="D1231" i="1" s="1"/>
  <c r="C1256" i="1"/>
  <c r="D1256" i="1" s="1"/>
  <c r="E1256" i="1"/>
  <c r="G1256" i="1"/>
  <c r="E1274" i="1"/>
  <c r="G1274" i="1"/>
  <c r="C1274" i="1"/>
  <c r="D1274" i="1" s="1"/>
  <c r="F1274" i="1" s="1"/>
  <c r="G1278" i="1"/>
  <c r="C1278" i="1"/>
  <c r="D1278" i="1" s="1"/>
  <c r="E1278" i="1"/>
  <c r="C1284" i="1"/>
  <c r="D1284" i="1" s="1"/>
  <c r="E1284" i="1"/>
  <c r="G1710" i="1"/>
  <c r="E1710" i="1"/>
  <c r="C1710" i="1"/>
  <c r="D1710" i="1" s="1"/>
  <c r="D1055" i="1"/>
  <c r="F1055" i="1" s="1"/>
  <c r="E1068" i="1"/>
  <c r="F1068" i="1" s="1"/>
  <c r="E1070" i="1"/>
  <c r="E1087" i="1"/>
  <c r="G1089" i="1"/>
  <c r="C1089" i="1"/>
  <c r="D1089" i="1" s="1"/>
  <c r="C1125" i="1"/>
  <c r="D1125" i="1" s="1"/>
  <c r="F1125" i="1" s="1"/>
  <c r="G1131" i="1"/>
  <c r="E1131" i="1"/>
  <c r="C1131" i="1"/>
  <c r="D1131" i="1" s="1"/>
  <c r="G1133" i="1"/>
  <c r="C1133" i="1"/>
  <c r="D1133" i="1" s="1"/>
  <c r="E1133" i="1"/>
  <c r="C1138" i="1"/>
  <c r="D1138" i="1" s="1"/>
  <c r="F1138" i="1" s="1"/>
  <c r="G1144" i="1"/>
  <c r="G1181" i="1"/>
  <c r="C1181" i="1"/>
  <c r="D1181" i="1" s="1"/>
  <c r="E1181" i="1"/>
  <c r="C1188" i="1"/>
  <c r="D1188" i="1" s="1"/>
  <c r="F1188" i="1" s="1"/>
  <c r="E1188" i="1"/>
  <c r="E1194" i="1"/>
  <c r="C1194" i="1"/>
  <c r="D1194" i="1" s="1"/>
  <c r="G1194" i="1"/>
  <c r="G1201" i="1"/>
  <c r="E1201" i="1"/>
  <c r="C1201" i="1"/>
  <c r="D1201" i="1" s="1"/>
  <c r="F1201" i="1" s="1"/>
  <c r="G1281" i="1"/>
  <c r="E1281" i="1"/>
  <c r="C1281" i="1"/>
  <c r="D1281" i="1" s="1"/>
  <c r="E1411" i="1"/>
  <c r="G1411" i="1"/>
  <c r="C1411" i="1"/>
  <c r="D1411" i="1" s="1"/>
  <c r="C1492" i="1"/>
  <c r="D1492" i="1" s="1"/>
  <c r="G1492" i="1"/>
  <c r="E1492" i="1"/>
  <c r="E1501" i="1"/>
  <c r="G1501" i="1"/>
  <c r="C1501" i="1"/>
  <c r="D1501" i="1" s="1"/>
  <c r="F1501" i="1" s="1"/>
  <c r="G897" i="1"/>
  <c r="G984" i="1"/>
  <c r="E987" i="1"/>
  <c r="F987" i="1" s="1"/>
  <c r="E990" i="1"/>
  <c r="F990" i="1" s="1"/>
  <c r="E1015" i="1"/>
  <c r="F1015" i="1" s="1"/>
  <c r="E1051" i="1"/>
  <c r="F1051" i="1" s="1"/>
  <c r="G1081" i="1"/>
  <c r="C1081" i="1"/>
  <c r="D1081" i="1" s="1"/>
  <c r="F1081" i="1" s="1"/>
  <c r="C1091" i="1"/>
  <c r="D1091" i="1" s="1"/>
  <c r="C1093" i="1"/>
  <c r="D1093" i="1" s="1"/>
  <c r="F1109" i="1"/>
  <c r="G1118" i="1"/>
  <c r="G1120" i="1"/>
  <c r="C1128" i="1"/>
  <c r="D1128" i="1" s="1"/>
  <c r="C1150" i="1"/>
  <c r="D1150" i="1" s="1"/>
  <c r="E1150" i="1"/>
  <c r="E1152" i="1"/>
  <c r="G1173" i="1"/>
  <c r="E1173" i="1"/>
  <c r="F1173" i="1" s="1"/>
  <c r="C1213" i="1"/>
  <c r="D1213" i="1" s="1"/>
  <c r="G1241" i="1"/>
  <c r="E1241" i="1"/>
  <c r="G1244" i="1"/>
  <c r="C1244" i="1"/>
  <c r="D1244" i="1" s="1"/>
  <c r="E1244" i="1"/>
  <c r="E1250" i="1"/>
  <c r="G1250" i="1"/>
  <c r="C1250" i="1"/>
  <c r="D1250" i="1" s="1"/>
  <c r="G1284" i="1"/>
  <c r="C1318" i="1"/>
  <c r="D1318" i="1" s="1"/>
  <c r="E1318" i="1"/>
  <c r="G1318" i="1"/>
  <c r="G1486" i="1"/>
  <c r="E1486" i="1"/>
  <c r="C1486" i="1"/>
  <c r="D1486" i="1" s="1"/>
  <c r="G1179" i="1"/>
  <c r="E1179" i="1"/>
  <c r="F1179" i="1" s="1"/>
  <c r="G1191" i="1"/>
  <c r="C1191" i="1"/>
  <c r="D1191" i="1" s="1"/>
  <c r="E1191" i="1"/>
  <c r="C1219" i="1"/>
  <c r="D1219" i="1" s="1"/>
  <c r="F1219" i="1" s="1"/>
  <c r="E1219" i="1"/>
  <c r="E1224" i="1"/>
  <c r="F1224" i="1" s="1"/>
  <c r="E1231" i="1"/>
  <c r="E1263" i="1"/>
  <c r="C1263" i="1"/>
  <c r="D1263" i="1" s="1"/>
  <c r="C1315" i="1"/>
  <c r="D1315" i="1" s="1"/>
  <c r="E1315" i="1"/>
  <c r="G1315" i="1"/>
  <c r="E1341" i="1"/>
  <c r="D1341" i="1"/>
  <c r="G921" i="1"/>
  <c r="C1075" i="1"/>
  <c r="D1075" i="1" s="1"/>
  <c r="F1075" i="1" s="1"/>
  <c r="E1075" i="1"/>
  <c r="C1087" i="1"/>
  <c r="D1087" i="1" s="1"/>
  <c r="E1089" i="1"/>
  <c r="E1091" i="1"/>
  <c r="G1095" i="1"/>
  <c r="C1126" i="1"/>
  <c r="D1126" i="1" s="1"/>
  <c r="F1126" i="1" s="1"/>
  <c r="G1126" i="1"/>
  <c r="G1134" i="1"/>
  <c r="C1134" i="1"/>
  <c r="D1134" i="1" s="1"/>
  <c r="F1134" i="1" s="1"/>
  <c r="G1147" i="1"/>
  <c r="G1188" i="1"/>
  <c r="C1195" i="1"/>
  <c r="D1195" i="1" s="1"/>
  <c r="F1195" i="1" s="1"/>
  <c r="E1195" i="1"/>
  <c r="G1195" i="1"/>
  <c r="G1224" i="1"/>
  <c r="C1241" i="1"/>
  <c r="D1241" i="1" s="1"/>
  <c r="G1257" i="1"/>
  <c r="E1257" i="1"/>
  <c r="C1257" i="1"/>
  <c r="D1257" i="1" s="1"/>
  <c r="E1266" i="1"/>
  <c r="F1266" i="1" s="1"/>
  <c r="G1266" i="1"/>
  <c r="E1279" i="1"/>
  <c r="G1279" i="1"/>
  <c r="C1279" i="1"/>
  <c r="D1279" i="1" s="1"/>
  <c r="C1282" i="1"/>
  <c r="D1282" i="1" s="1"/>
  <c r="G1282" i="1"/>
  <c r="E1282" i="1"/>
  <c r="G1382" i="1"/>
  <c r="E1382" i="1"/>
  <c r="C1382" i="1"/>
  <c r="D1382" i="1" s="1"/>
  <c r="G1393" i="1"/>
  <c r="E1393" i="1"/>
  <c r="C1393" i="1"/>
  <c r="D1393" i="1" s="1"/>
  <c r="G1105" i="1"/>
  <c r="E1116" i="1"/>
  <c r="E1122" i="1"/>
  <c r="G1122" i="1"/>
  <c r="C1122" i="1"/>
  <c r="D1122" i="1" s="1"/>
  <c r="G1149" i="1"/>
  <c r="C1149" i="1"/>
  <c r="D1149" i="1" s="1"/>
  <c r="F1149" i="1" s="1"/>
  <c r="G1162" i="1"/>
  <c r="C1162" i="1"/>
  <c r="D1162" i="1" s="1"/>
  <c r="G1180" i="1"/>
  <c r="G1204" i="1"/>
  <c r="D1218" i="1"/>
  <c r="G1229" i="1"/>
  <c r="C1229" i="1"/>
  <c r="D1229" i="1" s="1"/>
  <c r="E1229" i="1"/>
  <c r="G1255" i="1"/>
  <c r="E1255" i="1"/>
  <c r="C1255" i="1"/>
  <c r="D1255" i="1" s="1"/>
  <c r="C1260" i="1"/>
  <c r="D1260" i="1" s="1"/>
  <c r="G1260" i="1"/>
  <c r="E1260" i="1"/>
  <c r="E1271" i="1"/>
  <c r="C1271" i="1"/>
  <c r="D1271" i="1" s="1"/>
  <c r="G1296" i="1"/>
  <c r="E1296" i="1"/>
  <c r="C1299" i="1"/>
  <c r="D1299" i="1" s="1"/>
  <c r="F1299" i="1" s="1"/>
  <c r="G1299" i="1"/>
  <c r="G1307" i="1"/>
  <c r="E1307" i="1"/>
  <c r="C1307" i="1"/>
  <c r="D1307" i="1" s="1"/>
  <c r="D1355" i="1"/>
  <c r="C1370" i="1"/>
  <c r="D1370" i="1" s="1"/>
  <c r="G1370" i="1"/>
  <c r="E1370" i="1"/>
  <c r="E1383" i="1"/>
  <c r="G1383" i="1"/>
  <c r="C1383" i="1"/>
  <c r="D1383" i="1" s="1"/>
  <c r="G1390" i="1"/>
  <c r="C1390" i="1"/>
  <c r="D1390" i="1" s="1"/>
  <c r="F1401" i="1"/>
  <c r="G1425" i="1"/>
  <c r="C1425" i="1"/>
  <c r="D1425" i="1" s="1"/>
  <c r="E1446" i="1"/>
  <c r="G1446" i="1"/>
  <c r="G1472" i="1"/>
  <c r="C1472" i="1"/>
  <c r="D1472" i="1" s="1"/>
  <c r="E1472" i="1"/>
  <c r="E1531" i="1"/>
  <c r="G1531" i="1"/>
  <c r="C1531" i="1"/>
  <c r="D1531" i="1" s="1"/>
  <c r="G1600" i="1"/>
  <c r="E1600" i="1"/>
  <c r="C1600" i="1"/>
  <c r="D1600" i="1" s="1"/>
  <c r="F1600" i="1" s="1"/>
  <c r="G1738" i="1"/>
  <c r="E1738" i="1"/>
  <c r="C1738" i="1"/>
  <c r="D1738" i="1" s="1"/>
  <c r="C1756" i="1"/>
  <c r="D1756" i="1" s="1"/>
  <c r="E1756" i="1"/>
  <c r="G1756" i="1"/>
  <c r="E1379" i="1"/>
  <c r="C1379" i="1"/>
  <c r="D1379" i="1" s="1"/>
  <c r="G1379" i="1"/>
  <c r="E1415" i="1"/>
  <c r="C1415" i="1"/>
  <c r="D1415" i="1" s="1"/>
  <c r="G1415" i="1"/>
  <c r="G1432" i="1"/>
  <c r="E1432" i="1"/>
  <c r="C1432" i="1"/>
  <c r="D1432" i="1" s="1"/>
  <c r="C1496" i="1"/>
  <c r="D1496" i="1" s="1"/>
  <c r="G1496" i="1"/>
  <c r="E1496" i="1"/>
  <c r="E1870" i="1"/>
  <c r="C1870" i="1"/>
  <c r="D1870" i="1" s="1"/>
  <c r="G1870" i="1"/>
  <c r="D1112" i="1"/>
  <c r="D1116" i="1"/>
  <c r="G1145" i="1"/>
  <c r="G1158" i="1"/>
  <c r="C1171" i="1"/>
  <c r="D1171" i="1" s="1"/>
  <c r="F1171" i="1" s="1"/>
  <c r="G1171" i="1"/>
  <c r="E1178" i="1"/>
  <c r="G1178" i="1"/>
  <c r="C1178" i="1"/>
  <c r="D1178" i="1" s="1"/>
  <c r="F1178" i="1" s="1"/>
  <c r="E1207" i="1"/>
  <c r="C1207" i="1"/>
  <c r="D1207" i="1" s="1"/>
  <c r="E1214" i="1"/>
  <c r="C1214" i="1"/>
  <c r="D1214" i="1" s="1"/>
  <c r="G1261" i="1"/>
  <c r="E1261" i="1"/>
  <c r="F1261" i="1" s="1"/>
  <c r="E1264" i="1"/>
  <c r="F1264" i="1" s="1"/>
  <c r="G1264" i="1"/>
  <c r="F1313" i="1"/>
  <c r="G1346" i="1"/>
  <c r="E1346" i="1"/>
  <c r="C1346" i="1"/>
  <c r="D1346" i="1" s="1"/>
  <c r="E1390" i="1"/>
  <c r="E1408" i="1"/>
  <c r="G1408" i="1"/>
  <c r="C1408" i="1"/>
  <c r="D1408" i="1" s="1"/>
  <c r="E1447" i="1"/>
  <c r="G1447" i="1"/>
  <c r="C1447" i="1"/>
  <c r="D1447" i="1" s="1"/>
  <c r="E1463" i="1"/>
  <c r="G1463" i="1"/>
  <c r="E1535" i="1"/>
  <c r="G1535" i="1"/>
  <c r="C1535" i="1"/>
  <c r="D1535" i="1" s="1"/>
  <c r="C1749" i="1"/>
  <c r="D1749" i="1" s="1"/>
  <c r="G1749" i="1"/>
  <c r="E1749" i="1"/>
  <c r="G1009" i="1"/>
  <c r="D1080" i="1"/>
  <c r="C1105" i="1"/>
  <c r="D1105" i="1" s="1"/>
  <c r="F1105" i="1" s="1"/>
  <c r="G1197" i="1"/>
  <c r="E1216" i="1"/>
  <c r="C1216" i="1"/>
  <c r="D1216" i="1" s="1"/>
  <c r="E1218" i="1"/>
  <c r="G1271" i="1"/>
  <c r="G1285" i="1"/>
  <c r="C1285" i="1"/>
  <c r="D1285" i="1" s="1"/>
  <c r="E1285" i="1"/>
  <c r="C1288" i="1"/>
  <c r="D1288" i="1" s="1"/>
  <c r="F1288" i="1" s="1"/>
  <c r="G1288" i="1"/>
  <c r="E1288" i="1"/>
  <c r="E1291" i="1"/>
  <c r="C1291" i="1"/>
  <c r="D1291" i="1" s="1"/>
  <c r="C1296" i="1"/>
  <c r="D1296" i="1" s="1"/>
  <c r="G1316" i="1"/>
  <c r="C1316" i="1"/>
  <c r="D1316" i="1" s="1"/>
  <c r="F1316" i="1" s="1"/>
  <c r="G1334" i="1"/>
  <c r="E1334" i="1"/>
  <c r="C1334" i="1"/>
  <c r="D1334" i="1" s="1"/>
  <c r="F1334" i="1" s="1"/>
  <c r="E1360" i="1"/>
  <c r="F1360" i="1" s="1"/>
  <c r="G1360" i="1"/>
  <c r="E1412" i="1"/>
  <c r="C1412" i="1"/>
  <c r="D1412" i="1" s="1"/>
  <c r="G1412" i="1"/>
  <c r="E1425" i="1"/>
  <c r="F1438" i="1"/>
  <c r="E1544" i="1"/>
  <c r="G1544" i="1"/>
  <c r="C1544" i="1"/>
  <c r="D1544" i="1" s="1"/>
  <c r="F1544" i="1" s="1"/>
  <c r="E1560" i="1"/>
  <c r="C1560" i="1"/>
  <c r="D1560" i="1" s="1"/>
  <c r="F1560" i="1" s="1"/>
  <c r="G1560" i="1"/>
  <c r="C1660" i="1"/>
  <c r="D1660" i="1" s="1"/>
  <c r="G1660" i="1"/>
  <c r="E1660" i="1"/>
  <c r="C1666" i="1"/>
  <c r="D1666" i="1" s="1"/>
  <c r="F1666" i="1" s="1"/>
  <c r="G1666" i="1"/>
  <c r="E1666" i="1"/>
  <c r="E1736" i="1"/>
  <c r="G1736" i="1"/>
  <c r="C1736" i="1"/>
  <c r="D1736" i="1" s="1"/>
  <c r="F1736" i="1" s="1"/>
  <c r="E1743" i="1"/>
  <c r="C1743" i="1"/>
  <c r="D1743" i="1" s="1"/>
  <c r="F1743" i="1" s="1"/>
  <c r="G1743" i="1"/>
  <c r="E2030" i="1"/>
  <c r="G2030" i="1"/>
  <c r="C2030" i="1"/>
  <c r="D2030" i="1" s="1"/>
  <c r="D1189" i="1"/>
  <c r="G1200" i="1"/>
  <c r="E1200" i="1"/>
  <c r="F1225" i="1"/>
  <c r="E1240" i="1"/>
  <c r="C1267" i="1"/>
  <c r="D1267" i="1" s="1"/>
  <c r="E1267" i="1"/>
  <c r="E1294" i="1"/>
  <c r="C1294" i="1"/>
  <c r="D1294" i="1" s="1"/>
  <c r="G1319" i="1"/>
  <c r="C1319" i="1"/>
  <c r="D1319" i="1" s="1"/>
  <c r="E1319" i="1"/>
  <c r="C1350" i="1"/>
  <c r="D1350" i="1" s="1"/>
  <c r="G1350" i="1"/>
  <c r="E1350" i="1"/>
  <c r="F1362" i="1"/>
  <c r="E1377" i="1"/>
  <c r="C1377" i="1"/>
  <c r="D1377" i="1" s="1"/>
  <c r="F1377" i="1" s="1"/>
  <c r="G1377" i="1"/>
  <c r="G1484" i="1"/>
  <c r="E1484" i="1"/>
  <c r="C1484" i="1"/>
  <c r="D1484" i="1" s="1"/>
  <c r="G1517" i="1"/>
  <c r="E1517" i="1"/>
  <c r="E1792" i="1"/>
  <c r="C1792" i="1"/>
  <c r="D1792" i="1" s="1"/>
  <c r="G1792" i="1"/>
  <c r="E1798" i="1"/>
  <c r="C1798" i="1"/>
  <c r="D1798" i="1" s="1"/>
  <c r="G1798" i="1"/>
  <c r="G1970" i="1"/>
  <c r="E1970" i="1"/>
  <c r="C1970" i="1"/>
  <c r="D1970" i="1" s="1"/>
  <c r="G2066" i="1"/>
  <c r="E2066" i="1"/>
  <c r="C2066" i="1"/>
  <c r="D2066" i="1" s="1"/>
  <c r="G1297" i="1"/>
  <c r="E1297" i="1"/>
  <c r="C1297" i="1"/>
  <c r="D1297" i="1" s="1"/>
  <c r="E1343" i="1"/>
  <c r="G1343" i="1"/>
  <c r="C1343" i="1"/>
  <c r="D1343" i="1" s="1"/>
  <c r="F1343" i="1" s="1"/>
  <c r="E1409" i="1"/>
  <c r="G1409" i="1"/>
  <c r="E1426" i="1"/>
  <c r="G1426" i="1"/>
  <c r="C1426" i="1"/>
  <c r="D1426" i="1" s="1"/>
  <c r="C1444" i="1"/>
  <c r="D1444" i="1" s="1"/>
  <c r="G1444" i="1"/>
  <c r="E1444" i="1"/>
  <c r="F1463" i="1"/>
  <c r="G1526" i="1"/>
  <c r="C1526" i="1"/>
  <c r="D1526" i="1" s="1"/>
  <c r="E1526" i="1"/>
  <c r="E1594" i="1"/>
  <c r="D1594" i="1"/>
  <c r="G1638" i="1"/>
  <c r="E1638" i="1"/>
  <c r="C1638" i="1"/>
  <c r="D1638" i="1" s="1"/>
  <c r="G1650" i="1"/>
  <c r="E1650" i="1"/>
  <c r="C1650" i="1"/>
  <c r="D1650" i="1" s="1"/>
  <c r="E2031" i="1"/>
  <c r="G2031" i="1"/>
  <c r="C2031" i="1"/>
  <c r="D2031" i="1" s="1"/>
  <c r="D1176" i="1"/>
  <c r="F1176" i="1" s="1"/>
  <c r="E1192" i="1"/>
  <c r="G1192" i="1"/>
  <c r="C1192" i="1"/>
  <c r="D1192" i="1" s="1"/>
  <c r="F1192" i="1" s="1"/>
  <c r="D1240" i="1"/>
  <c r="F1240" i="1" s="1"/>
  <c r="G1262" i="1"/>
  <c r="C1262" i="1"/>
  <c r="D1262" i="1" s="1"/>
  <c r="E1262" i="1"/>
  <c r="G1265" i="1"/>
  <c r="C1265" i="1"/>
  <c r="D1265" i="1" s="1"/>
  <c r="E1265" i="1"/>
  <c r="G1275" i="1"/>
  <c r="E1275" i="1"/>
  <c r="C1275" i="1"/>
  <c r="D1275" i="1" s="1"/>
  <c r="G1286" i="1"/>
  <c r="C1286" i="1"/>
  <c r="D1286" i="1" s="1"/>
  <c r="F1286" i="1" s="1"/>
  <c r="E1300" i="1"/>
  <c r="C1300" i="1"/>
  <c r="D1300" i="1" s="1"/>
  <c r="G1300" i="1"/>
  <c r="E1388" i="1"/>
  <c r="G1388" i="1"/>
  <c r="G1740" i="1"/>
  <c r="E1740" i="1"/>
  <c r="C1740" i="1"/>
  <c r="D1740" i="1" s="1"/>
  <c r="C1804" i="1"/>
  <c r="D1804" i="1" s="1"/>
  <c r="G1804" i="1"/>
  <c r="E1804" i="1"/>
  <c r="G1929" i="1"/>
  <c r="E1929" i="1"/>
  <c r="C1929" i="1"/>
  <c r="D1929" i="1" s="1"/>
  <c r="E1079" i="1"/>
  <c r="F1079" i="1" s="1"/>
  <c r="G1104" i="1"/>
  <c r="B141" i="2" s="1"/>
  <c r="D1106" i="1"/>
  <c r="D1136" i="1"/>
  <c r="F1136" i="1" s="1"/>
  <c r="E1146" i="1"/>
  <c r="C1146" i="1"/>
  <c r="D1146" i="1" s="1"/>
  <c r="D1152" i="1"/>
  <c r="E1159" i="1"/>
  <c r="C1159" i="1"/>
  <c r="D1159" i="1" s="1"/>
  <c r="C1198" i="1"/>
  <c r="D1198" i="1" s="1"/>
  <c r="F1198" i="1" s="1"/>
  <c r="G1198" i="1"/>
  <c r="C1200" i="1"/>
  <c r="D1200" i="1" s="1"/>
  <c r="F1200" i="1" s="1"/>
  <c r="E1208" i="1"/>
  <c r="F1208" i="1" s="1"/>
  <c r="G1210" i="1"/>
  <c r="E1210" i="1"/>
  <c r="C1210" i="1"/>
  <c r="D1210" i="1" s="1"/>
  <c r="F1210" i="1" s="1"/>
  <c r="G1214" i="1"/>
  <c r="C1222" i="1"/>
  <c r="D1222" i="1" s="1"/>
  <c r="E1222" i="1"/>
  <c r="E1226" i="1"/>
  <c r="C1226" i="1"/>
  <c r="D1226" i="1" s="1"/>
  <c r="G1233" i="1"/>
  <c r="E1233" i="1"/>
  <c r="C1233" i="1"/>
  <c r="D1233" i="1" s="1"/>
  <c r="G1240" i="1"/>
  <c r="E1243" i="1"/>
  <c r="F1243" i="1" s="1"/>
  <c r="E1248" i="1"/>
  <c r="F1248" i="1" s="1"/>
  <c r="E1259" i="1"/>
  <c r="C1259" i="1"/>
  <c r="D1259" i="1" s="1"/>
  <c r="G1267" i="1"/>
  <c r="G1294" i="1"/>
  <c r="D1331" i="1"/>
  <c r="E1351" i="1"/>
  <c r="G1351" i="1"/>
  <c r="C1351" i="1"/>
  <c r="D1351" i="1" s="1"/>
  <c r="E1395" i="1"/>
  <c r="G1395" i="1"/>
  <c r="C1395" i="1"/>
  <c r="D1395" i="1" s="1"/>
  <c r="G1420" i="1"/>
  <c r="E1420" i="1"/>
  <c r="F1420" i="1" s="1"/>
  <c r="E1461" i="1"/>
  <c r="D1461" i="1"/>
  <c r="G1630" i="1"/>
  <c r="E1630" i="1"/>
  <c r="C1630" i="1"/>
  <c r="D1630" i="1" s="1"/>
  <c r="E1894" i="1"/>
  <c r="G1894" i="1"/>
  <c r="C1894" i="1"/>
  <c r="D1894" i="1" s="1"/>
  <c r="F1894" i="1" s="1"/>
  <c r="G1295" i="1"/>
  <c r="E1295" i="1"/>
  <c r="F1295" i="1" s="1"/>
  <c r="C1298" i="1"/>
  <c r="D1298" i="1" s="1"/>
  <c r="G1298" i="1"/>
  <c r="E1298" i="1"/>
  <c r="E1303" i="1"/>
  <c r="C1303" i="1"/>
  <c r="D1303" i="1" s="1"/>
  <c r="C1320" i="1"/>
  <c r="D1320" i="1" s="1"/>
  <c r="F1320" i="1" s="1"/>
  <c r="G1320" i="1"/>
  <c r="G1323" i="1"/>
  <c r="C1323" i="1"/>
  <c r="D1323" i="1" s="1"/>
  <c r="F1323" i="1" s="1"/>
  <c r="G1332" i="1"/>
  <c r="C1332" i="1"/>
  <c r="D1332" i="1" s="1"/>
  <c r="E1332" i="1"/>
  <c r="C1348" i="1"/>
  <c r="D1348" i="1" s="1"/>
  <c r="G1348" i="1"/>
  <c r="E1348" i="1"/>
  <c r="G1381" i="1"/>
  <c r="E1381" i="1"/>
  <c r="D1381" i="1"/>
  <c r="C1409" i="1"/>
  <c r="D1409" i="1" s="1"/>
  <c r="C1494" i="1"/>
  <c r="D1494" i="1" s="1"/>
  <c r="E1494" i="1"/>
  <c r="G1494" i="1"/>
  <c r="E1695" i="1"/>
  <c r="G1695" i="1"/>
  <c r="C1695" i="1"/>
  <c r="D1695" i="1" s="1"/>
  <c r="C1718" i="1"/>
  <c r="D1718" i="1" s="1"/>
  <c r="G1718" i="1"/>
  <c r="E1718" i="1"/>
  <c r="D1184" i="1"/>
  <c r="F1184" i="1" s="1"/>
  <c r="G1206" i="1"/>
  <c r="E1206" i="1"/>
  <c r="G1215" i="1"/>
  <c r="C1215" i="1"/>
  <c r="D1215" i="1" s="1"/>
  <c r="F1215" i="1" s="1"/>
  <c r="G1220" i="1"/>
  <c r="C1220" i="1"/>
  <c r="D1220" i="1" s="1"/>
  <c r="F1220" i="1" s="1"/>
  <c r="C1236" i="1"/>
  <c r="D1236" i="1" s="1"/>
  <c r="G1236" i="1"/>
  <c r="E1236" i="1"/>
  <c r="G1306" i="1"/>
  <c r="E1306" i="1"/>
  <c r="C1306" i="1"/>
  <c r="D1306" i="1" s="1"/>
  <c r="G1309" i="1"/>
  <c r="E1309" i="1"/>
  <c r="C1309" i="1"/>
  <c r="D1309" i="1" s="1"/>
  <c r="E1326" i="1"/>
  <c r="G1326" i="1"/>
  <c r="C1326" i="1"/>
  <c r="D1326" i="1" s="1"/>
  <c r="C1335" i="1"/>
  <c r="D1335" i="1" s="1"/>
  <c r="F1335" i="1" s="1"/>
  <c r="G1352" i="1"/>
  <c r="E1352" i="1"/>
  <c r="F1352" i="1" s="1"/>
  <c r="G1358" i="1"/>
  <c r="E1358" i="1"/>
  <c r="C1358" i="1"/>
  <c r="D1358" i="1" s="1"/>
  <c r="E1468" i="1"/>
  <c r="C1468" i="1"/>
  <c r="D1468" i="1" s="1"/>
  <c r="G1468" i="1"/>
  <c r="E1471" i="1"/>
  <c r="G1471" i="1"/>
  <c r="C1471" i="1"/>
  <c r="D1471" i="1" s="1"/>
  <c r="G1477" i="1"/>
  <c r="G1548" i="1"/>
  <c r="E1548" i="1"/>
  <c r="C1548" i="1"/>
  <c r="D1548" i="1" s="1"/>
  <c r="E1712" i="1"/>
  <c r="C1712" i="1"/>
  <c r="D1712" i="1" s="1"/>
  <c r="G1712" i="1"/>
  <c r="G1185" i="1"/>
  <c r="E1185" i="1"/>
  <c r="G1196" i="1"/>
  <c r="G1221" i="1"/>
  <c r="E1221" i="1"/>
  <c r="G1277" i="1"/>
  <c r="C1277" i="1"/>
  <c r="D1277" i="1" s="1"/>
  <c r="G1305" i="1"/>
  <c r="C1305" i="1"/>
  <c r="D1305" i="1" s="1"/>
  <c r="G1310" i="1"/>
  <c r="C1310" i="1"/>
  <c r="D1310" i="1" s="1"/>
  <c r="C1312" i="1"/>
  <c r="D1312" i="1" s="1"/>
  <c r="E1312" i="1"/>
  <c r="G1330" i="1"/>
  <c r="E1330" i="1"/>
  <c r="C1330" i="1"/>
  <c r="D1330" i="1" s="1"/>
  <c r="G1349" i="1"/>
  <c r="E1367" i="1"/>
  <c r="C1367" i="1"/>
  <c r="D1367" i="1" s="1"/>
  <c r="F1367" i="1" s="1"/>
  <c r="G1372" i="1"/>
  <c r="C1374" i="1"/>
  <c r="D1374" i="1" s="1"/>
  <c r="E1374" i="1"/>
  <c r="G1428" i="1"/>
  <c r="E1428" i="1"/>
  <c r="F1428" i="1" s="1"/>
  <c r="E1439" i="1"/>
  <c r="G1439" i="1"/>
  <c r="C1439" i="1"/>
  <c r="D1439" i="1" s="1"/>
  <c r="E1457" i="1"/>
  <c r="C1457" i="1"/>
  <c r="D1457" i="1" s="1"/>
  <c r="F1457" i="1" s="1"/>
  <c r="G1457" i="1"/>
  <c r="G1469" i="1"/>
  <c r="E1469" i="1"/>
  <c r="E1474" i="1"/>
  <c r="G1474" i="1"/>
  <c r="C1474" i="1"/>
  <c r="D1474" i="1" s="1"/>
  <c r="F1474" i="1" s="1"/>
  <c r="F1500" i="1"/>
  <c r="E1510" i="1"/>
  <c r="C1510" i="1"/>
  <c r="D1510" i="1" s="1"/>
  <c r="G1518" i="1"/>
  <c r="E1518" i="1"/>
  <c r="C1518" i="1"/>
  <c r="D1518" i="1" s="1"/>
  <c r="F1518" i="1" s="1"/>
  <c r="G1532" i="1"/>
  <c r="C1532" i="1"/>
  <c r="D1532" i="1" s="1"/>
  <c r="E1532" i="1"/>
  <c r="C1552" i="1"/>
  <c r="D1552" i="1" s="1"/>
  <c r="E1552" i="1"/>
  <c r="D1555" i="1"/>
  <c r="G1561" i="1"/>
  <c r="E1561" i="1"/>
  <c r="C1561" i="1"/>
  <c r="D1561" i="1" s="1"/>
  <c r="G1570" i="1"/>
  <c r="E1570" i="1"/>
  <c r="C1570" i="1"/>
  <c r="D1570" i="1" s="1"/>
  <c r="F1570" i="1" s="1"/>
  <c r="C1588" i="1"/>
  <c r="D1588" i="1" s="1"/>
  <c r="E1588" i="1"/>
  <c r="G1588" i="1"/>
  <c r="E1591" i="1"/>
  <c r="G1591" i="1"/>
  <c r="C1591" i="1"/>
  <c r="D1591" i="1" s="1"/>
  <c r="F1591" i="1" s="1"/>
  <c r="D1624" i="1"/>
  <c r="G1644" i="1"/>
  <c r="C1644" i="1"/>
  <c r="D1644" i="1" s="1"/>
  <c r="E1644" i="1"/>
  <c r="D1675" i="1"/>
  <c r="F1678" i="1"/>
  <c r="G1696" i="1"/>
  <c r="E1696" i="1"/>
  <c r="C1696" i="1"/>
  <c r="D1696" i="1" s="1"/>
  <c r="E1726" i="1"/>
  <c r="G1726" i="1"/>
  <c r="C1726" i="1"/>
  <c r="D1726" i="1" s="1"/>
  <c r="F1726" i="1" s="1"/>
  <c r="G1761" i="1"/>
  <c r="C1761" i="1"/>
  <c r="D1761" i="1" s="1"/>
  <c r="E1761" i="1"/>
  <c r="G1772" i="1"/>
  <c r="E1772" i="1"/>
  <c r="F1772" i="1" s="1"/>
  <c r="E1952" i="1"/>
  <c r="G1952" i="1"/>
  <c r="C1952" i="1"/>
  <c r="D1952" i="1" s="1"/>
  <c r="C2069" i="1"/>
  <c r="D2069" i="1" s="1"/>
  <c r="G2069" i="1"/>
  <c r="E2069" i="1"/>
  <c r="D1613" i="1"/>
  <c r="E1619" i="1"/>
  <c r="C1619" i="1"/>
  <c r="D1619" i="1" s="1"/>
  <c r="G1619" i="1"/>
  <c r="C1654" i="1"/>
  <c r="D1654" i="1" s="1"/>
  <c r="E1654" i="1"/>
  <c r="C1730" i="1"/>
  <c r="D1730" i="1" s="1"/>
  <c r="F1730" i="1" s="1"/>
  <c r="G1730" i="1"/>
  <c r="G1733" i="1"/>
  <c r="E1733" i="1"/>
  <c r="C1733" i="1"/>
  <c r="D1733" i="1" s="1"/>
  <c r="E1784" i="1"/>
  <c r="C1784" i="1"/>
  <c r="D1784" i="1" s="1"/>
  <c r="G1784" i="1"/>
  <c r="E1836" i="1"/>
  <c r="D1836" i="1"/>
  <c r="E2063" i="1"/>
  <c r="C2063" i="1"/>
  <c r="D2063" i="1" s="1"/>
  <c r="G1121" i="1"/>
  <c r="C1185" i="1"/>
  <c r="D1185" i="1" s="1"/>
  <c r="C1196" i="1"/>
  <c r="D1196" i="1" s="1"/>
  <c r="D1204" i="1"/>
  <c r="F1204" i="1" s="1"/>
  <c r="C1221" i="1"/>
  <c r="D1221" i="1" s="1"/>
  <c r="G1227" i="1"/>
  <c r="C1227" i="1"/>
  <c r="D1227" i="1" s="1"/>
  <c r="F1227" i="1" s="1"/>
  <c r="G1228" i="1"/>
  <c r="E1234" i="1"/>
  <c r="F1234" i="1" s="1"/>
  <c r="G1253" i="1"/>
  <c r="C1253" i="1"/>
  <c r="D1253" i="1" s="1"/>
  <c r="F1253" i="1" s="1"/>
  <c r="C1273" i="1"/>
  <c r="D1273" i="1" s="1"/>
  <c r="E1277" i="1"/>
  <c r="E1310" i="1"/>
  <c r="E1314" i="1"/>
  <c r="F1314" i="1" s="1"/>
  <c r="G1345" i="1"/>
  <c r="E1345" i="1"/>
  <c r="C1345" i="1"/>
  <c r="D1345" i="1" s="1"/>
  <c r="G1367" i="1"/>
  <c r="C1372" i="1"/>
  <c r="D1372" i="1" s="1"/>
  <c r="F1372" i="1" s="1"/>
  <c r="G1380" i="1"/>
  <c r="C1380" i="1"/>
  <c r="D1380" i="1" s="1"/>
  <c r="F1380" i="1" s="1"/>
  <c r="C1429" i="1"/>
  <c r="D1429" i="1" s="1"/>
  <c r="E1429" i="1"/>
  <c r="D1437" i="1"/>
  <c r="G1442" i="1"/>
  <c r="E1442" i="1"/>
  <c r="F1442" i="1" s="1"/>
  <c r="G1458" i="1"/>
  <c r="C1458" i="1"/>
  <c r="D1458" i="1" s="1"/>
  <c r="F1458" i="1" s="1"/>
  <c r="C1469" i="1"/>
  <c r="D1469" i="1" s="1"/>
  <c r="G1478" i="1"/>
  <c r="E1478" i="1"/>
  <c r="C1478" i="1"/>
  <c r="D1478" i="1" s="1"/>
  <c r="E1511" i="1"/>
  <c r="G1511" i="1"/>
  <c r="C1511" i="1"/>
  <c r="D1511" i="1" s="1"/>
  <c r="G1552" i="1"/>
  <c r="C1565" i="1"/>
  <c r="D1565" i="1" s="1"/>
  <c r="G1565" i="1"/>
  <c r="E1565" i="1"/>
  <c r="E1614" i="1"/>
  <c r="G1614" i="1"/>
  <c r="C1614" i="1"/>
  <c r="D1614" i="1" s="1"/>
  <c r="E1625" i="1"/>
  <c r="D1625" i="1"/>
  <c r="G1625" i="1"/>
  <c r="G1628" i="1"/>
  <c r="E1628" i="1"/>
  <c r="G1657" i="1"/>
  <c r="E1657" i="1"/>
  <c r="E1679" i="1"/>
  <c r="G1679" i="1"/>
  <c r="C1679" i="1"/>
  <c r="D1679" i="1" s="1"/>
  <c r="E1719" i="1"/>
  <c r="G1719" i="1"/>
  <c r="C1719" i="1"/>
  <c r="D1719" i="1" s="1"/>
  <c r="F1719" i="1" s="1"/>
  <c r="C1753" i="1"/>
  <c r="D1753" i="1" s="1"/>
  <c r="G1753" i="1"/>
  <c r="E1822" i="1"/>
  <c r="G1822" i="1"/>
  <c r="C1822" i="1"/>
  <c r="D1822" i="1" s="1"/>
  <c r="G1826" i="1"/>
  <c r="E1826" i="1"/>
  <c r="E1990" i="1"/>
  <c r="G1990" i="1"/>
  <c r="C1990" i="1"/>
  <c r="D1990" i="1" s="1"/>
  <c r="D1123" i="1"/>
  <c r="F1123" i="1" s="1"/>
  <c r="G1141" i="1"/>
  <c r="E1170" i="1"/>
  <c r="C1170" i="1"/>
  <c r="D1170" i="1" s="1"/>
  <c r="G1176" i="1"/>
  <c r="G1182" i="1"/>
  <c r="G1189" i="1"/>
  <c r="E1189" i="1"/>
  <c r="E1196" i="1"/>
  <c r="G1251" i="1"/>
  <c r="C1251" i="1"/>
  <c r="D1251" i="1" s="1"/>
  <c r="F1251" i="1" s="1"/>
  <c r="E1273" i="1"/>
  <c r="E1305" i="1"/>
  <c r="G1313" i="1"/>
  <c r="C1324" i="1"/>
  <c r="D1324" i="1" s="1"/>
  <c r="E1324" i="1"/>
  <c r="G1331" i="1"/>
  <c r="E1331" i="1"/>
  <c r="D1333" i="1"/>
  <c r="G1338" i="1"/>
  <c r="C1338" i="1"/>
  <c r="D1338" i="1" s="1"/>
  <c r="F1338" i="1" s="1"/>
  <c r="G1340" i="1"/>
  <c r="E1340" i="1"/>
  <c r="C1340" i="1"/>
  <c r="D1340" i="1" s="1"/>
  <c r="E1375" i="1"/>
  <c r="G1375" i="1"/>
  <c r="C1375" i="1"/>
  <c r="D1375" i="1" s="1"/>
  <c r="C1398" i="1"/>
  <c r="D1398" i="1" s="1"/>
  <c r="E1398" i="1"/>
  <c r="G1398" i="1"/>
  <c r="G1417" i="1"/>
  <c r="C1421" i="1"/>
  <c r="D1421" i="1" s="1"/>
  <c r="E1421" i="1"/>
  <c r="E1455" i="1"/>
  <c r="G1455" i="1"/>
  <c r="C1455" i="1"/>
  <c r="D1455" i="1" s="1"/>
  <c r="E1464" i="1"/>
  <c r="E1467" i="1"/>
  <c r="F1467" i="1" s="1"/>
  <c r="G1467" i="1"/>
  <c r="G1485" i="1"/>
  <c r="C1485" i="1"/>
  <c r="D1485" i="1" s="1"/>
  <c r="E1485" i="1"/>
  <c r="G1490" i="1"/>
  <c r="E1490" i="1"/>
  <c r="D1490" i="1"/>
  <c r="F1490" i="1" s="1"/>
  <c r="E1521" i="1"/>
  <c r="D1521" i="1"/>
  <c r="G1521" i="1"/>
  <c r="G1601" i="1"/>
  <c r="E1601" i="1"/>
  <c r="F1601" i="1" s="1"/>
  <c r="D1628" i="1"/>
  <c r="E1640" i="1"/>
  <c r="C1640" i="1"/>
  <c r="D1640" i="1" s="1"/>
  <c r="F1640" i="1" s="1"/>
  <c r="G1640" i="1"/>
  <c r="G1654" i="1"/>
  <c r="G1682" i="1"/>
  <c r="E1682" i="1"/>
  <c r="C1682" i="1"/>
  <c r="D1682" i="1" s="1"/>
  <c r="E1705" i="1"/>
  <c r="G1705" i="1"/>
  <c r="C1705" i="1"/>
  <c r="D1705" i="1" s="1"/>
  <c r="E1730" i="1"/>
  <c r="G1802" i="1"/>
  <c r="E1802" i="1"/>
  <c r="C1802" i="1"/>
  <c r="D1802" i="1" s="1"/>
  <c r="F1802" i="1" s="1"/>
  <c r="G1833" i="1"/>
  <c r="E1833" i="1"/>
  <c r="C1833" i="1"/>
  <c r="D1833" i="1" s="1"/>
  <c r="E1853" i="1"/>
  <c r="G1853" i="1"/>
  <c r="C1853" i="1"/>
  <c r="D1853" i="1" s="1"/>
  <c r="D1861" i="1"/>
  <c r="G1861" i="1"/>
  <c r="E1861" i="1"/>
  <c r="G1933" i="1"/>
  <c r="E1933" i="1"/>
  <c r="F1933" i="1" s="1"/>
  <c r="E1983" i="1"/>
  <c r="G1983" i="1"/>
  <c r="G2060" i="1"/>
  <c r="E2060" i="1"/>
  <c r="C2060" i="1"/>
  <c r="D2060" i="1" s="1"/>
  <c r="F2060" i="1" s="1"/>
  <c r="G2063" i="1"/>
  <c r="C1322" i="1"/>
  <c r="D1322" i="1" s="1"/>
  <c r="G1322" i="1"/>
  <c r="E1322" i="1"/>
  <c r="F1365" i="1"/>
  <c r="G1396" i="1"/>
  <c r="C1396" i="1"/>
  <c r="D1396" i="1" s="1"/>
  <c r="G1418" i="1"/>
  <c r="E1418" i="1"/>
  <c r="C1418" i="1"/>
  <c r="D1418" i="1" s="1"/>
  <c r="F1418" i="1" s="1"/>
  <c r="G1424" i="1"/>
  <c r="E1424" i="1"/>
  <c r="C1424" i="1"/>
  <c r="D1424" i="1" s="1"/>
  <c r="E1450" i="1"/>
  <c r="G1450" i="1"/>
  <c r="G1514" i="1"/>
  <c r="E1514" i="1"/>
  <c r="C1516" i="1"/>
  <c r="D1516" i="1" s="1"/>
  <c r="G1516" i="1"/>
  <c r="E1516" i="1"/>
  <c r="G1533" i="1"/>
  <c r="E1533" i="1"/>
  <c r="F1533" i="1" s="1"/>
  <c r="G1542" i="1"/>
  <c r="E1542" i="1"/>
  <c r="C1542" i="1"/>
  <c r="D1542" i="1" s="1"/>
  <c r="E1691" i="1"/>
  <c r="C1691" i="1"/>
  <c r="D1691" i="1" s="1"/>
  <c r="G1691" i="1"/>
  <c r="E1708" i="1"/>
  <c r="D1708" i="1"/>
  <c r="E1753" i="1"/>
  <c r="E1808" i="1"/>
  <c r="G1808" i="1"/>
  <c r="C1808" i="1"/>
  <c r="D1808" i="1" s="1"/>
  <c r="C1826" i="1"/>
  <c r="D1826" i="1" s="1"/>
  <c r="G1844" i="1"/>
  <c r="E1844" i="1"/>
  <c r="F1844" i="1" s="1"/>
  <c r="E1883" i="1"/>
  <c r="C1883" i="1"/>
  <c r="D1883" i="1" s="1"/>
  <c r="G1883" i="1"/>
  <c r="G1940" i="1"/>
  <c r="E1940" i="1"/>
  <c r="C1940" i="1"/>
  <c r="D1940" i="1" s="1"/>
  <c r="C2053" i="1"/>
  <c r="D2053" i="1" s="1"/>
  <c r="E2053" i="1"/>
  <c r="G2053" i="1"/>
  <c r="E2135" i="1"/>
  <c r="C2135" i="1"/>
  <c r="D2135" i="1" s="1"/>
  <c r="F2135" i="1" s="1"/>
  <c r="G2135" i="1"/>
  <c r="G1384" i="1"/>
  <c r="C1384" i="1"/>
  <c r="D1384" i="1" s="1"/>
  <c r="E1403" i="1"/>
  <c r="C1403" i="1"/>
  <c r="D1403" i="1" s="1"/>
  <c r="E1410" i="1"/>
  <c r="C1410" i="1"/>
  <c r="D1410" i="1" s="1"/>
  <c r="G1416" i="1"/>
  <c r="E1416" i="1"/>
  <c r="C1416" i="1"/>
  <c r="D1416" i="1" s="1"/>
  <c r="F1416" i="1" s="1"/>
  <c r="E1479" i="1"/>
  <c r="G1479" i="1"/>
  <c r="C1479" i="1"/>
  <c r="D1479" i="1" s="1"/>
  <c r="E1499" i="1"/>
  <c r="C1499" i="1"/>
  <c r="D1499" i="1" s="1"/>
  <c r="F1499" i="1" s="1"/>
  <c r="G1499" i="1"/>
  <c r="E1547" i="1"/>
  <c r="C1547" i="1"/>
  <c r="D1547" i="1" s="1"/>
  <c r="G1547" i="1"/>
  <c r="G1572" i="1"/>
  <c r="E1572" i="1"/>
  <c r="C1572" i="1"/>
  <c r="D1572" i="1" s="1"/>
  <c r="E1575" i="1"/>
  <c r="G1575" i="1"/>
  <c r="C1575" i="1"/>
  <c r="D1575" i="1" s="1"/>
  <c r="G1577" i="1"/>
  <c r="E1577" i="1"/>
  <c r="D1577" i="1"/>
  <c r="G1734" i="1"/>
  <c r="E1734" i="1"/>
  <c r="C1734" i="1"/>
  <c r="D1734" i="1" s="1"/>
  <c r="F1734" i="1" s="1"/>
  <c r="E1771" i="1"/>
  <c r="G1771" i="1"/>
  <c r="C1771" i="1"/>
  <c r="D1771" i="1" s="1"/>
  <c r="G1778" i="1"/>
  <c r="E1778" i="1"/>
  <c r="C1778" i="1"/>
  <c r="D1778" i="1" s="1"/>
  <c r="E1919" i="1"/>
  <c r="G1919" i="1"/>
  <c r="C1919" i="1"/>
  <c r="D1919" i="1" s="1"/>
  <c r="C1983" i="1"/>
  <c r="D1983" i="1" s="1"/>
  <c r="F1983" i="1" s="1"/>
  <c r="D1276" i="1"/>
  <c r="F1276" i="1" s="1"/>
  <c r="G1325" i="1"/>
  <c r="E1325" i="1"/>
  <c r="E1327" i="1"/>
  <c r="C1327" i="1"/>
  <c r="D1327" i="1" s="1"/>
  <c r="G1327" i="1"/>
  <c r="G1364" i="1"/>
  <c r="E1427" i="1"/>
  <c r="C1427" i="1"/>
  <c r="D1427" i="1" s="1"/>
  <c r="G1430" i="1"/>
  <c r="E1430" i="1"/>
  <c r="F1430" i="1" s="1"/>
  <c r="D1445" i="1"/>
  <c r="C1450" i="1"/>
  <c r="D1450" i="1" s="1"/>
  <c r="F1450" i="1" s="1"/>
  <c r="C1453" i="1"/>
  <c r="D1453" i="1" s="1"/>
  <c r="G1453" i="1"/>
  <c r="E1453" i="1"/>
  <c r="E1456" i="1"/>
  <c r="C1456" i="1"/>
  <c r="D1456" i="1" s="1"/>
  <c r="D1464" i="1"/>
  <c r="F1464" i="1" s="1"/>
  <c r="C1514" i="1"/>
  <c r="D1514" i="1" s="1"/>
  <c r="G1537" i="1"/>
  <c r="E1537" i="1"/>
  <c r="C1537" i="1"/>
  <c r="D1537" i="1" s="1"/>
  <c r="D1592" i="1"/>
  <c r="G1596" i="1"/>
  <c r="E1596" i="1"/>
  <c r="C1596" i="1"/>
  <c r="D1596" i="1" s="1"/>
  <c r="E1607" i="1"/>
  <c r="G1607" i="1"/>
  <c r="C1607" i="1"/>
  <c r="D1607" i="1" s="1"/>
  <c r="C1612" i="1"/>
  <c r="D1612" i="1" s="1"/>
  <c r="F1612" i="1" s="1"/>
  <c r="G1612" i="1"/>
  <c r="E1612" i="1"/>
  <c r="E1674" i="1"/>
  <c r="G1674" i="1"/>
  <c r="C1674" i="1"/>
  <c r="D1674" i="1" s="1"/>
  <c r="F1674" i="1" s="1"/>
  <c r="E1703" i="1"/>
  <c r="G1703" i="1"/>
  <c r="C1703" i="1"/>
  <c r="D1703" i="1" s="1"/>
  <c r="F1703" i="1" s="1"/>
  <c r="G1728" i="1"/>
  <c r="E1728" i="1"/>
  <c r="C1728" i="1"/>
  <c r="D1728" i="1" s="1"/>
  <c r="D1788" i="1"/>
  <c r="G1165" i="1"/>
  <c r="D1180" i="1"/>
  <c r="F1180" i="1" s="1"/>
  <c r="D1235" i="1"/>
  <c r="F1235" i="1" s="1"/>
  <c r="G1254" i="1"/>
  <c r="E1254" i="1"/>
  <c r="F1254" i="1" s="1"/>
  <c r="C1270" i="1"/>
  <c r="D1270" i="1" s="1"/>
  <c r="F1270" i="1" s="1"/>
  <c r="G1270" i="1"/>
  <c r="E1302" i="1"/>
  <c r="G1302" i="1"/>
  <c r="C1302" i="1"/>
  <c r="D1302" i="1" s="1"/>
  <c r="G1304" i="1"/>
  <c r="E1304" i="1"/>
  <c r="F1304" i="1" s="1"/>
  <c r="G1308" i="1"/>
  <c r="D1361" i="1"/>
  <c r="E1366" i="1"/>
  <c r="C1366" i="1"/>
  <c r="D1366" i="1" s="1"/>
  <c r="E1371" i="1"/>
  <c r="G1371" i="1"/>
  <c r="C1371" i="1"/>
  <c r="D1371" i="1" s="1"/>
  <c r="E1376" i="1"/>
  <c r="C1376" i="1"/>
  <c r="D1376" i="1" s="1"/>
  <c r="E1384" i="1"/>
  <c r="E1396" i="1"/>
  <c r="G1401" i="1"/>
  <c r="G1410" i="1"/>
  <c r="E1419" i="1"/>
  <c r="C1419" i="1"/>
  <c r="D1419" i="1" s="1"/>
  <c r="C1422" i="1"/>
  <c r="D1422" i="1" s="1"/>
  <c r="G1422" i="1"/>
  <c r="E1422" i="1"/>
  <c r="E1436" i="1"/>
  <c r="E1440" i="1"/>
  <c r="F1440" i="1" s="1"/>
  <c r="D1459" i="1"/>
  <c r="E1476" i="1"/>
  <c r="C1476" i="1"/>
  <c r="D1476" i="1" s="1"/>
  <c r="G1476" i="1"/>
  <c r="G1554" i="1"/>
  <c r="E1554" i="1"/>
  <c r="C1554" i="1"/>
  <c r="D1554" i="1" s="1"/>
  <c r="F1554" i="1" s="1"/>
  <c r="D1652" i="1"/>
  <c r="E1659" i="1"/>
  <c r="C1659" i="1"/>
  <c r="D1659" i="1" s="1"/>
  <c r="G1659" i="1"/>
  <c r="G1677" i="1"/>
  <c r="E1677" i="1"/>
  <c r="C1677" i="1"/>
  <c r="D1677" i="1" s="1"/>
  <c r="G1782" i="1"/>
  <c r="E1782" i="1"/>
  <c r="C1782" i="1"/>
  <c r="D1782" i="1" s="1"/>
  <c r="E1794" i="1"/>
  <c r="G1913" i="1"/>
  <c r="E1913" i="1"/>
  <c r="E1937" i="1"/>
  <c r="G1937" i="1"/>
  <c r="G1961" i="1"/>
  <c r="E1961" i="1"/>
  <c r="D1961" i="1"/>
  <c r="E2119" i="1"/>
  <c r="G2119" i="1"/>
  <c r="C2119" i="1"/>
  <c r="D2119" i="1" s="1"/>
  <c r="E1252" i="1"/>
  <c r="E1276" i="1"/>
  <c r="G1289" i="1"/>
  <c r="C1325" i="1"/>
  <c r="D1325" i="1" s="1"/>
  <c r="G1337" i="1"/>
  <c r="E1337" i="1"/>
  <c r="F1337" i="1" s="1"/>
  <c r="G1344" i="1"/>
  <c r="E1347" i="1"/>
  <c r="C1347" i="1"/>
  <c r="D1347" i="1" s="1"/>
  <c r="C1357" i="1"/>
  <c r="D1357" i="1" s="1"/>
  <c r="F1357" i="1" s="1"/>
  <c r="G1357" i="1"/>
  <c r="C1364" i="1"/>
  <c r="D1364" i="1" s="1"/>
  <c r="F1364" i="1" s="1"/>
  <c r="F1373" i="1"/>
  <c r="E1392" i="1"/>
  <c r="C1392" i="1"/>
  <c r="D1392" i="1" s="1"/>
  <c r="F1392" i="1" s="1"/>
  <c r="G1392" i="1"/>
  <c r="E1414" i="1"/>
  <c r="G1427" i="1"/>
  <c r="C1436" i="1"/>
  <c r="D1436" i="1" s="1"/>
  <c r="G1456" i="1"/>
  <c r="E1460" i="1"/>
  <c r="C1460" i="1"/>
  <c r="D1460" i="1" s="1"/>
  <c r="G1460" i="1"/>
  <c r="E1465" i="1"/>
  <c r="C1465" i="1"/>
  <c r="D1465" i="1" s="1"/>
  <c r="G1465" i="1"/>
  <c r="D1507" i="1"/>
  <c r="D1509" i="1"/>
  <c r="D1517" i="1"/>
  <c r="F1517" i="1" s="1"/>
  <c r="D1520" i="1"/>
  <c r="E1587" i="1"/>
  <c r="G1587" i="1"/>
  <c r="C1587" i="1"/>
  <c r="D1587" i="1" s="1"/>
  <c r="C1672" i="1"/>
  <c r="D1672" i="1" s="1"/>
  <c r="F1672" i="1" s="1"/>
  <c r="G1672" i="1"/>
  <c r="E1672" i="1"/>
  <c r="C1684" i="1"/>
  <c r="D1684" i="1" s="1"/>
  <c r="G1684" i="1"/>
  <c r="E1684" i="1"/>
  <c r="G1698" i="1"/>
  <c r="E1698" i="1"/>
  <c r="C1698" i="1"/>
  <c r="D1698" i="1" s="1"/>
  <c r="E1722" i="1"/>
  <c r="F1722" i="1" s="1"/>
  <c r="D1741" i="1"/>
  <c r="G1755" i="1"/>
  <c r="D1755" i="1"/>
  <c r="F1766" i="1"/>
  <c r="E1774" i="1"/>
  <c r="G1774" i="1"/>
  <c r="C1774" i="1"/>
  <c r="D1774" i="1" s="1"/>
  <c r="D1789" i="1"/>
  <c r="F1789" i="1" s="1"/>
  <c r="G1789" i="1"/>
  <c r="E1839" i="1"/>
  <c r="G1839" i="1"/>
  <c r="C1839" i="1"/>
  <c r="D1839" i="1" s="1"/>
  <c r="G1998" i="1"/>
  <c r="E1998" i="1"/>
  <c r="C1998" i="1"/>
  <c r="D1998" i="1" s="1"/>
  <c r="G2180" i="1"/>
  <c r="E2180" i="1"/>
  <c r="C2180" i="1"/>
  <c r="D2180" i="1" s="1"/>
  <c r="E2286" i="1"/>
  <c r="C2286" i="1"/>
  <c r="D2286" i="1" s="1"/>
  <c r="F2286" i="1" s="1"/>
  <c r="G2286" i="1"/>
  <c r="G2298" i="1"/>
  <c r="D2298" i="1"/>
  <c r="G1868" i="1"/>
  <c r="E1868" i="1"/>
  <c r="F1868" i="1" s="1"/>
  <c r="E1887" i="1"/>
  <c r="C1887" i="1"/>
  <c r="D1887" i="1" s="1"/>
  <c r="G1887" i="1"/>
  <c r="C1902" i="1"/>
  <c r="D1902" i="1" s="1"/>
  <c r="G1902" i="1"/>
  <c r="E1902" i="1"/>
  <c r="E1911" i="1"/>
  <c r="G1911" i="1"/>
  <c r="D1913" i="1"/>
  <c r="F1913" i="1" s="1"/>
  <c r="G1980" i="1"/>
  <c r="E1980" i="1"/>
  <c r="C1980" i="1"/>
  <c r="D1980" i="1" s="1"/>
  <c r="C1986" i="1"/>
  <c r="D1986" i="1" s="1"/>
  <c r="F1986" i="1" s="1"/>
  <c r="G1986" i="1"/>
  <c r="E1986" i="1"/>
  <c r="E2024" i="1"/>
  <c r="D2059" i="1"/>
  <c r="C2093" i="1"/>
  <c r="D2093" i="1" s="1"/>
  <c r="E2093" i="1"/>
  <c r="G2093" i="1"/>
  <c r="E2141" i="1"/>
  <c r="C2141" i="1"/>
  <c r="D2141" i="1" s="1"/>
  <c r="G2141" i="1"/>
  <c r="G2145" i="1"/>
  <c r="E2145" i="1"/>
  <c r="G2177" i="1"/>
  <c r="C2177" i="1"/>
  <c r="D2177" i="1" s="1"/>
  <c r="E2177" i="1"/>
  <c r="D1336" i="1"/>
  <c r="E1359" i="1"/>
  <c r="F1359" i="1" s="1"/>
  <c r="E1369" i="1"/>
  <c r="F1369" i="1" s="1"/>
  <c r="G1369" i="1"/>
  <c r="D1386" i="1"/>
  <c r="G1406" i="1"/>
  <c r="G1437" i="1"/>
  <c r="E1437" i="1"/>
  <c r="G1445" i="1"/>
  <c r="E1449" i="1"/>
  <c r="C1449" i="1"/>
  <c r="D1449" i="1" s="1"/>
  <c r="E1451" i="1"/>
  <c r="F1451" i="1" s="1"/>
  <c r="G1451" i="1"/>
  <c r="E1481" i="1"/>
  <c r="C1481" i="1"/>
  <c r="D1481" i="1" s="1"/>
  <c r="F1488" i="1"/>
  <c r="E1495" i="1"/>
  <c r="G1495" i="1"/>
  <c r="C1495" i="1"/>
  <c r="D1495" i="1" s="1"/>
  <c r="G1497" i="1"/>
  <c r="E1497" i="1"/>
  <c r="F1497" i="1" s="1"/>
  <c r="E1504" i="1"/>
  <c r="F1504" i="1" s="1"/>
  <c r="G1504" i="1"/>
  <c r="E1523" i="1"/>
  <c r="C1523" i="1"/>
  <c r="D1523" i="1" s="1"/>
  <c r="G1553" i="1"/>
  <c r="E1553" i="1"/>
  <c r="F1553" i="1" s="1"/>
  <c r="E1568" i="1"/>
  <c r="C1568" i="1"/>
  <c r="D1568" i="1" s="1"/>
  <c r="G1568" i="1"/>
  <c r="E1582" i="1"/>
  <c r="F1582" i="1" s="1"/>
  <c r="G1594" i="1"/>
  <c r="D1597" i="1"/>
  <c r="F1597" i="1" s="1"/>
  <c r="E1623" i="1"/>
  <c r="G1623" i="1"/>
  <c r="C1623" i="1"/>
  <c r="D1623" i="1" s="1"/>
  <c r="E1635" i="1"/>
  <c r="G1635" i="1"/>
  <c r="C1635" i="1"/>
  <c r="D1635" i="1" s="1"/>
  <c r="G1649" i="1"/>
  <c r="E1649" i="1"/>
  <c r="D1649" i="1"/>
  <c r="G1681" i="1"/>
  <c r="E1681" i="1"/>
  <c r="C1681" i="1"/>
  <c r="D1681" i="1" s="1"/>
  <c r="D1683" i="1"/>
  <c r="E1688" i="1"/>
  <c r="C1688" i="1"/>
  <c r="D1688" i="1" s="1"/>
  <c r="F1688" i="1" s="1"/>
  <c r="E1707" i="1"/>
  <c r="G1707" i="1"/>
  <c r="C1707" i="1"/>
  <c r="D1707" i="1" s="1"/>
  <c r="E1723" i="1"/>
  <c r="C1723" i="1"/>
  <c r="D1723" i="1" s="1"/>
  <c r="E1751" i="1"/>
  <c r="F1751" i="1" s="1"/>
  <c r="G1751" i="1"/>
  <c r="E1759" i="1"/>
  <c r="F1759" i="1" s="1"/>
  <c r="G1759" i="1"/>
  <c r="G1812" i="1"/>
  <c r="E1812" i="1"/>
  <c r="G1820" i="1"/>
  <c r="G1840" i="1"/>
  <c r="D1874" i="1"/>
  <c r="F1874" i="1" s="1"/>
  <c r="D1937" i="1"/>
  <c r="G1946" i="1"/>
  <c r="E1946" i="1"/>
  <c r="C1946" i="1"/>
  <c r="D1946" i="1" s="1"/>
  <c r="E2002" i="1"/>
  <c r="G2002" i="1"/>
  <c r="C2002" i="1"/>
  <c r="D2002" i="1" s="1"/>
  <c r="G2046" i="1"/>
  <c r="C2046" i="1"/>
  <c r="D2046" i="1" s="1"/>
  <c r="E2046" i="1"/>
  <c r="E2087" i="1"/>
  <c r="C2087" i="1"/>
  <c r="D2087" i="1" s="1"/>
  <c r="G2087" i="1"/>
  <c r="E2231" i="1"/>
  <c r="C2231" i="1"/>
  <c r="D2231" i="1" s="1"/>
  <c r="G2231" i="1"/>
  <c r="C2241" i="1"/>
  <c r="D2241" i="1" s="1"/>
  <c r="G2241" i="1"/>
  <c r="E2241" i="1"/>
  <c r="C2330" i="1"/>
  <c r="D2330" i="1" s="1"/>
  <c r="E2330" i="1"/>
  <c r="G2330" i="1"/>
  <c r="E2870" i="1"/>
  <c r="C2870" i="1"/>
  <c r="D2870" i="1" s="1"/>
  <c r="G2870" i="1"/>
  <c r="G2893" i="1"/>
  <c r="E2893" i="1"/>
  <c r="C2893" i="1"/>
  <c r="D2893" i="1" s="1"/>
  <c r="E2923" i="1"/>
  <c r="C2923" i="1"/>
  <c r="D2923" i="1" s="1"/>
  <c r="G2923" i="1"/>
  <c r="E1361" i="1"/>
  <c r="G1361" i="1"/>
  <c r="E1363" i="1"/>
  <c r="G1363" i="1"/>
  <c r="C1363" i="1"/>
  <c r="D1363" i="1" s="1"/>
  <c r="D1388" i="1"/>
  <c r="F1400" i="1"/>
  <c r="E1443" i="1"/>
  <c r="E1519" i="1"/>
  <c r="C1519" i="1"/>
  <c r="D1519" i="1" s="1"/>
  <c r="C1528" i="1"/>
  <c r="D1528" i="1" s="1"/>
  <c r="G1528" i="1"/>
  <c r="E1528" i="1"/>
  <c r="E1530" i="1"/>
  <c r="G1530" i="1"/>
  <c r="C1530" i="1"/>
  <c r="D1530" i="1" s="1"/>
  <c r="E1551" i="1"/>
  <c r="G1551" i="1"/>
  <c r="C1551" i="1"/>
  <c r="D1551" i="1" s="1"/>
  <c r="C1556" i="1"/>
  <c r="D1556" i="1" s="1"/>
  <c r="F1556" i="1" s="1"/>
  <c r="G1556" i="1"/>
  <c r="E1563" i="1"/>
  <c r="G1563" i="1"/>
  <c r="C1563" i="1"/>
  <c r="D1563" i="1" s="1"/>
  <c r="E1631" i="1"/>
  <c r="F1631" i="1" s="1"/>
  <c r="G1631" i="1"/>
  <c r="G1633" i="1"/>
  <c r="E1633" i="1"/>
  <c r="C1633" i="1"/>
  <c r="D1633" i="1" s="1"/>
  <c r="F1633" i="1" s="1"/>
  <c r="G1652" i="1"/>
  <c r="E1693" i="1"/>
  <c r="G1693" i="1"/>
  <c r="C1693" i="1"/>
  <c r="D1693" i="1" s="1"/>
  <c r="F1693" i="1" s="1"/>
  <c r="G1716" i="1"/>
  <c r="E1716" i="1"/>
  <c r="C1716" i="1"/>
  <c r="D1716" i="1" s="1"/>
  <c r="G1754" i="1"/>
  <c r="E1754" i="1"/>
  <c r="C1754" i="1"/>
  <c r="D1754" i="1" s="1"/>
  <c r="E1767" i="1"/>
  <c r="G1767" i="1"/>
  <c r="C1767" i="1"/>
  <c r="D1767" i="1" s="1"/>
  <c r="G1788" i="1"/>
  <c r="E1795" i="1"/>
  <c r="G1795" i="1"/>
  <c r="C1795" i="1"/>
  <c r="D1795" i="1" s="1"/>
  <c r="E1856" i="1"/>
  <c r="C1856" i="1"/>
  <c r="D1856" i="1" s="1"/>
  <c r="E1864" i="1"/>
  <c r="C1864" i="1"/>
  <c r="D1864" i="1" s="1"/>
  <c r="E1882" i="1"/>
  <c r="C1882" i="1"/>
  <c r="D1882" i="1" s="1"/>
  <c r="C1911" i="1"/>
  <c r="D1911" i="1" s="1"/>
  <c r="G1977" i="1"/>
  <c r="D1977" i="1"/>
  <c r="G1996" i="1"/>
  <c r="E1996" i="1"/>
  <c r="C1996" i="1"/>
  <c r="D1996" i="1" s="1"/>
  <c r="D2019" i="1"/>
  <c r="C2057" i="1"/>
  <c r="D2057" i="1" s="1"/>
  <c r="G2057" i="1"/>
  <c r="E2057" i="1"/>
  <c r="G2090" i="1"/>
  <c r="E2090" i="1"/>
  <c r="C2090" i="1"/>
  <c r="D2090" i="1" s="1"/>
  <c r="C2594" i="1"/>
  <c r="D2594" i="1" s="1"/>
  <c r="G2594" i="1"/>
  <c r="E2594" i="1"/>
  <c r="G2712" i="1"/>
  <c r="E2712" i="1"/>
  <c r="C2712" i="1"/>
  <c r="D2712" i="1" s="1"/>
  <c r="G1317" i="1"/>
  <c r="G1328" i="1"/>
  <c r="E1328" i="1"/>
  <c r="E1336" i="1"/>
  <c r="E1342" i="1"/>
  <c r="C1342" i="1"/>
  <c r="D1342" i="1" s="1"/>
  <c r="F1342" i="1" s="1"/>
  <c r="C1344" i="1"/>
  <c r="D1344" i="1" s="1"/>
  <c r="F1344" i="1" s="1"/>
  <c r="E1353" i="1"/>
  <c r="E1355" i="1"/>
  <c r="G1355" i="1"/>
  <c r="E1386" i="1"/>
  <c r="C1406" i="1"/>
  <c r="D1406" i="1" s="1"/>
  <c r="F1406" i="1" s="1"/>
  <c r="G1481" i="1"/>
  <c r="G1500" i="1"/>
  <c r="E1500" i="1"/>
  <c r="G1523" i="1"/>
  <c r="E1558" i="1"/>
  <c r="G1558" i="1"/>
  <c r="C1558" i="1"/>
  <c r="D1558" i="1" s="1"/>
  <c r="F1558" i="1" s="1"/>
  <c r="E1602" i="1"/>
  <c r="G1602" i="1"/>
  <c r="C1602" i="1"/>
  <c r="D1602" i="1" s="1"/>
  <c r="E1609" i="1"/>
  <c r="G1609" i="1"/>
  <c r="G1621" i="1"/>
  <c r="E1621" i="1"/>
  <c r="G1624" i="1"/>
  <c r="E1624" i="1"/>
  <c r="C1626" i="1"/>
  <c r="D1626" i="1" s="1"/>
  <c r="F1626" i="1" s="1"/>
  <c r="G1626" i="1"/>
  <c r="E1647" i="1"/>
  <c r="G1647" i="1"/>
  <c r="C1647" i="1"/>
  <c r="D1647" i="1" s="1"/>
  <c r="E1675" i="1"/>
  <c r="G1688" i="1"/>
  <c r="E1731" i="1"/>
  <c r="G1731" i="1"/>
  <c r="F1746" i="1"/>
  <c r="E1757" i="1"/>
  <c r="G1757" i="1"/>
  <c r="D1764" i="1"/>
  <c r="F1764" i="1" s="1"/>
  <c r="E1790" i="1"/>
  <c r="F1790" i="1" s="1"/>
  <c r="G1790" i="1"/>
  <c r="C1812" i="1"/>
  <c r="D1812" i="1" s="1"/>
  <c r="F1812" i="1" s="1"/>
  <c r="D1817" i="1"/>
  <c r="F1817" i="1" s="1"/>
  <c r="C1828" i="1"/>
  <c r="D1828" i="1" s="1"/>
  <c r="E1828" i="1"/>
  <c r="E1831" i="1"/>
  <c r="G1831" i="1"/>
  <c r="E1851" i="1"/>
  <c r="G1851" i="1"/>
  <c r="C1851" i="1"/>
  <c r="D1851" i="1" s="1"/>
  <c r="G1885" i="1"/>
  <c r="E1885" i="1"/>
  <c r="C1885" i="1"/>
  <c r="D1885" i="1" s="1"/>
  <c r="F1885" i="1" s="1"/>
  <c r="C1897" i="1"/>
  <c r="D1897" i="1" s="1"/>
  <c r="G1897" i="1"/>
  <c r="E1897" i="1"/>
  <c r="G1912" i="1"/>
  <c r="E1912" i="1"/>
  <c r="C1912" i="1"/>
  <c r="D1912" i="1" s="1"/>
  <c r="E1915" i="1"/>
  <c r="F1915" i="1" s="1"/>
  <c r="G1915" i="1"/>
  <c r="G1917" i="1"/>
  <c r="E1927" i="1"/>
  <c r="G1927" i="1"/>
  <c r="C1927" i="1"/>
  <c r="D1927" i="1" s="1"/>
  <c r="F1927" i="1" s="1"/>
  <c r="E1935" i="1"/>
  <c r="F1935" i="1" s="1"/>
  <c r="G1935" i="1"/>
  <c r="E1950" i="1"/>
  <c r="F1950" i="1" s="1"/>
  <c r="G1950" i="1"/>
  <c r="E1977" i="1"/>
  <c r="D2017" i="1"/>
  <c r="D1840" i="1"/>
  <c r="F1840" i="1" s="1"/>
  <c r="E1843" i="1"/>
  <c r="G1843" i="1"/>
  <c r="C1843" i="1"/>
  <c r="D1843" i="1" s="1"/>
  <c r="C1900" i="1"/>
  <c r="D1900" i="1" s="1"/>
  <c r="E1900" i="1"/>
  <c r="C1906" i="1"/>
  <c r="D1906" i="1" s="1"/>
  <c r="G1906" i="1"/>
  <c r="E1906" i="1"/>
  <c r="C1938" i="1"/>
  <c r="D1938" i="1" s="1"/>
  <c r="E1938" i="1"/>
  <c r="G1938" i="1"/>
  <c r="E1959" i="1"/>
  <c r="C1959" i="1"/>
  <c r="D1959" i="1" s="1"/>
  <c r="F1959" i="1" s="1"/>
  <c r="E2017" i="1"/>
  <c r="E2047" i="1"/>
  <c r="C2047" i="1"/>
  <c r="D2047" i="1" s="1"/>
  <c r="G2047" i="1"/>
  <c r="E2091" i="1"/>
  <c r="G2091" i="1"/>
  <c r="C2091" i="1"/>
  <c r="D2091" i="1" s="1"/>
  <c r="C2109" i="1"/>
  <c r="D2109" i="1" s="1"/>
  <c r="E2109" i="1"/>
  <c r="G2109" i="1"/>
  <c r="D1443" i="1"/>
  <c r="G1524" i="1"/>
  <c r="E1524" i="1"/>
  <c r="F1524" i="1" s="1"/>
  <c r="G1536" i="1"/>
  <c r="C1536" i="1"/>
  <c r="D1536" i="1" s="1"/>
  <c r="F1536" i="1" s="1"/>
  <c r="E1549" i="1"/>
  <c r="G1549" i="1"/>
  <c r="C1549" i="1"/>
  <c r="D1549" i="1" s="1"/>
  <c r="E1559" i="1"/>
  <c r="G1559" i="1"/>
  <c r="E1593" i="1"/>
  <c r="G1593" i="1"/>
  <c r="C1593" i="1"/>
  <c r="D1593" i="1" s="1"/>
  <c r="D1616" i="1"/>
  <c r="D1621" i="1"/>
  <c r="E1655" i="1"/>
  <c r="C1655" i="1"/>
  <c r="D1655" i="1" s="1"/>
  <c r="D1731" i="1"/>
  <c r="F1731" i="1" s="1"/>
  <c r="E1744" i="1"/>
  <c r="G1744" i="1"/>
  <c r="C1744" i="1"/>
  <c r="D1744" i="1" s="1"/>
  <c r="C1768" i="1"/>
  <c r="D1768" i="1" s="1"/>
  <c r="G1768" i="1"/>
  <c r="E1800" i="1"/>
  <c r="F1800" i="1" s="1"/>
  <c r="C1810" i="1"/>
  <c r="D1810" i="1" s="1"/>
  <c r="G1810" i="1"/>
  <c r="E1810" i="1"/>
  <c r="C1818" i="1"/>
  <c r="D1818" i="1" s="1"/>
  <c r="G1818" i="1"/>
  <c r="E1859" i="1"/>
  <c r="C1859" i="1"/>
  <c r="D1859" i="1" s="1"/>
  <c r="G1859" i="1"/>
  <c r="E1867" i="1"/>
  <c r="G1867" i="1"/>
  <c r="C1867" i="1"/>
  <c r="D1867" i="1" s="1"/>
  <c r="D1872" i="1"/>
  <c r="F1872" i="1" s="1"/>
  <c r="E1895" i="1"/>
  <c r="G1895" i="1"/>
  <c r="C1895" i="1"/>
  <c r="D1895" i="1" s="1"/>
  <c r="F1895" i="1" s="1"/>
  <c r="D1917" i="1"/>
  <c r="F1917" i="1" s="1"/>
  <c r="G1922" i="1"/>
  <c r="C1922" i="1"/>
  <c r="D1922" i="1" s="1"/>
  <c r="E1922" i="1"/>
  <c r="G1956" i="1"/>
  <c r="E1956" i="1"/>
  <c r="C1956" i="1"/>
  <c r="D1956" i="1" s="1"/>
  <c r="C1969" i="1"/>
  <c r="D1969" i="1" s="1"/>
  <c r="G1969" i="1"/>
  <c r="C1972" i="1"/>
  <c r="D1972" i="1" s="1"/>
  <c r="G1972" i="1"/>
  <c r="C2210" i="1"/>
  <c r="D2210" i="1" s="1"/>
  <c r="E2210" i="1"/>
  <c r="G2210" i="1"/>
  <c r="G2223" i="1"/>
  <c r="E2223" i="1"/>
  <c r="C2270" i="1"/>
  <c r="D2270" i="1" s="1"/>
  <c r="G2270" i="1"/>
  <c r="E2270" i="1"/>
  <c r="G2321" i="1"/>
  <c r="C2321" i="1"/>
  <c r="D2321" i="1" s="1"/>
  <c r="E2321" i="1"/>
  <c r="G1269" i="1"/>
  <c r="D1280" i="1"/>
  <c r="F1280" i="1" s="1"/>
  <c r="D1308" i="1"/>
  <c r="F1308" i="1" s="1"/>
  <c r="G1321" i="1"/>
  <c r="E1321" i="1"/>
  <c r="C1321" i="1"/>
  <c r="D1321" i="1" s="1"/>
  <c r="D1328" i="1"/>
  <c r="F1328" i="1" s="1"/>
  <c r="D1353" i="1"/>
  <c r="E1387" i="1"/>
  <c r="F1387" i="1" s="1"/>
  <c r="G1387" i="1"/>
  <c r="G1400" i="1"/>
  <c r="G1413" i="1"/>
  <c r="C1413" i="1"/>
  <c r="D1413" i="1" s="1"/>
  <c r="F1413" i="1" s="1"/>
  <c r="E1445" i="1"/>
  <c r="G1449" i="1"/>
  <c r="E1466" i="1"/>
  <c r="F1466" i="1" s="1"/>
  <c r="E1491" i="1"/>
  <c r="F1491" i="1" s="1"/>
  <c r="G1491" i="1"/>
  <c r="E1502" i="1"/>
  <c r="F1502" i="1" s="1"/>
  <c r="G1519" i="1"/>
  <c r="G1538" i="1"/>
  <c r="E1603" i="1"/>
  <c r="F1603" i="1" s="1"/>
  <c r="G1603" i="1"/>
  <c r="E1610" i="1"/>
  <c r="F1610" i="1" s="1"/>
  <c r="G1610" i="1"/>
  <c r="E1643" i="1"/>
  <c r="C1643" i="1"/>
  <c r="D1643" i="1" s="1"/>
  <c r="E1648" i="1"/>
  <c r="C1648" i="1"/>
  <c r="D1648" i="1" s="1"/>
  <c r="G1689" i="1"/>
  <c r="E1689" i="1"/>
  <c r="F1689" i="1" s="1"/>
  <c r="G1717" i="1"/>
  <c r="E1717" i="1"/>
  <c r="F1717" i="1" s="1"/>
  <c r="G1752" i="1"/>
  <c r="E1752" i="1"/>
  <c r="C1752" i="1"/>
  <c r="D1752" i="1" s="1"/>
  <c r="D1757" i="1"/>
  <c r="F1757" i="1" s="1"/>
  <c r="C1770" i="1"/>
  <c r="D1770" i="1" s="1"/>
  <c r="F1770" i="1" s="1"/>
  <c r="G1770" i="1"/>
  <c r="E1793" i="1"/>
  <c r="D1793" i="1"/>
  <c r="D1815" i="1"/>
  <c r="E1820" i="1"/>
  <c r="F1820" i="1" s="1"/>
  <c r="D1831" i="1"/>
  <c r="F1831" i="1" s="1"/>
  <c r="E1846" i="1"/>
  <c r="G1846" i="1"/>
  <c r="C1846" i="1"/>
  <c r="D1846" i="1" s="1"/>
  <c r="F1846" i="1" s="1"/>
  <c r="G1862" i="1"/>
  <c r="E1862" i="1"/>
  <c r="C1862" i="1"/>
  <c r="D1862" i="1" s="1"/>
  <c r="E1880" i="1"/>
  <c r="G1880" i="1"/>
  <c r="C1880" i="1"/>
  <c r="D1880" i="1" s="1"/>
  <c r="E1892" i="1"/>
  <c r="G1892" i="1"/>
  <c r="G1900" i="1"/>
  <c r="E1904" i="1"/>
  <c r="G1904" i="1"/>
  <c r="C1904" i="1"/>
  <c r="D1904" i="1" s="1"/>
  <c r="F1904" i="1" s="1"/>
  <c r="E1975" i="1"/>
  <c r="C1975" i="1"/>
  <c r="D1975" i="1" s="1"/>
  <c r="G1975" i="1"/>
  <c r="E2007" i="1"/>
  <c r="C2007" i="1"/>
  <c r="D2007" i="1" s="1"/>
  <c r="G2048" i="1"/>
  <c r="C2048" i="1"/>
  <c r="D2048" i="1" s="1"/>
  <c r="E2048" i="1"/>
  <c r="E2055" i="1"/>
  <c r="G2055" i="1"/>
  <c r="C2055" i="1"/>
  <c r="D2055" i="1" s="1"/>
  <c r="E2071" i="1"/>
  <c r="G2071" i="1"/>
  <c r="C2071" i="1"/>
  <c r="D2071" i="1" s="1"/>
  <c r="G2078" i="1"/>
  <c r="E2078" i="1"/>
  <c r="C2078" i="1"/>
  <c r="D2078" i="1" s="1"/>
  <c r="G2204" i="1"/>
  <c r="E2204" i="1"/>
  <c r="G1245" i="1"/>
  <c r="G1329" i="1"/>
  <c r="C1329" i="1"/>
  <c r="D1329" i="1" s="1"/>
  <c r="F1329" i="1" s="1"/>
  <c r="G1333" i="1"/>
  <c r="E1333" i="1"/>
  <c r="G1356" i="1"/>
  <c r="G1359" i="1"/>
  <c r="E1385" i="1"/>
  <c r="F1385" i="1" s="1"/>
  <c r="G1385" i="1"/>
  <c r="E1399" i="1"/>
  <c r="F1399" i="1" s="1"/>
  <c r="G1399" i="1"/>
  <c r="G1402" i="1"/>
  <c r="D1423" i="1"/>
  <c r="G1443" i="1"/>
  <c r="D1446" i="1"/>
  <c r="G1452" i="1"/>
  <c r="E1452" i="1"/>
  <c r="C1452" i="1"/>
  <c r="D1452" i="1" s="1"/>
  <c r="G1480" i="1"/>
  <c r="C1480" i="1"/>
  <c r="D1480" i="1" s="1"/>
  <c r="F1480" i="1" s="1"/>
  <c r="E1489" i="1"/>
  <c r="C1489" i="1"/>
  <c r="D1489" i="1" s="1"/>
  <c r="E1507" i="1"/>
  <c r="G1507" i="1"/>
  <c r="C1574" i="1"/>
  <c r="D1574" i="1" s="1"/>
  <c r="G1574" i="1"/>
  <c r="E1574" i="1"/>
  <c r="E1579" i="1"/>
  <c r="G1579" i="1"/>
  <c r="C1579" i="1"/>
  <c r="D1579" i="1" s="1"/>
  <c r="G1605" i="1"/>
  <c r="E1605" i="1"/>
  <c r="C1605" i="1"/>
  <c r="D1605" i="1" s="1"/>
  <c r="E1627" i="1"/>
  <c r="G1627" i="1"/>
  <c r="C1627" i="1"/>
  <c r="D1627" i="1" s="1"/>
  <c r="E1652" i="1"/>
  <c r="D1665" i="1"/>
  <c r="F1665" i="1" s="1"/>
  <c r="G1670" i="1"/>
  <c r="E1670" i="1"/>
  <c r="C1670" i="1"/>
  <c r="D1670" i="1" s="1"/>
  <c r="C1694" i="1"/>
  <c r="D1694" i="1" s="1"/>
  <c r="F1694" i="1" s="1"/>
  <c r="C1701" i="1"/>
  <c r="D1701" i="1" s="1"/>
  <c r="E1720" i="1"/>
  <c r="F1720" i="1" s="1"/>
  <c r="E1727" i="1"/>
  <c r="G1765" i="1"/>
  <c r="E1765" i="1"/>
  <c r="F1765" i="1" s="1"/>
  <c r="E1788" i="1"/>
  <c r="E1818" i="1"/>
  <c r="E1835" i="1"/>
  <c r="C1835" i="1"/>
  <c r="D1835" i="1" s="1"/>
  <c r="G1835" i="1"/>
  <c r="C1838" i="1"/>
  <c r="D1838" i="1" s="1"/>
  <c r="G1849" i="1"/>
  <c r="E1849" i="1"/>
  <c r="G1857" i="1"/>
  <c r="C1857" i="1"/>
  <c r="D1857" i="1" s="1"/>
  <c r="F1857" i="1" s="1"/>
  <c r="G1959" i="1"/>
  <c r="E1966" i="1"/>
  <c r="G1966" i="1"/>
  <c r="C1966" i="1"/>
  <c r="D1966" i="1" s="1"/>
  <c r="F1966" i="1" s="1"/>
  <c r="E1969" i="1"/>
  <c r="E1972" i="1"/>
  <c r="E2081" i="1"/>
  <c r="G2081" i="1"/>
  <c r="G2098" i="1"/>
  <c r="E2098" i="1"/>
  <c r="G2201" i="1"/>
  <c r="C2201" i="1"/>
  <c r="D2201" i="1" s="1"/>
  <c r="E2301" i="1"/>
  <c r="G2301" i="1"/>
  <c r="C2301" i="1"/>
  <c r="D2301" i="1" s="1"/>
  <c r="E2350" i="1"/>
  <c r="C2350" i="1"/>
  <c r="D2350" i="1" s="1"/>
  <c r="G2350" i="1"/>
  <c r="E1487" i="1"/>
  <c r="F1487" i="1" s="1"/>
  <c r="G1487" i="1"/>
  <c r="G1509" i="1"/>
  <c r="E1509" i="1"/>
  <c r="C1522" i="1"/>
  <c r="D1522" i="1" s="1"/>
  <c r="E1522" i="1"/>
  <c r="E1539" i="1"/>
  <c r="G1539" i="1"/>
  <c r="C1539" i="1"/>
  <c r="D1539" i="1" s="1"/>
  <c r="F1539" i="1" s="1"/>
  <c r="E1550" i="1"/>
  <c r="F1550" i="1" s="1"/>
  <c r="G1550" i="1"/>
  <c r="D1559" i="1"/>
  <c r="G1586" i="1"/>
  <c r="E1586" i="1"/>
  <c r="C1586" i="1"/>
  <c r="D1586" i="1" s="1"/>
  <c r="C1589" i="1"/>
  <c r="D1589" i="1" s="1"/>
  <c r="G1589" i="1"/>
  <c r="E1589" i="1"/>
  <c r="C1617" i="1"/>
  <c r="D1617" i="1" s="1"/>
  <c r="G1617" i="1"/>
  <c r="E1617" i="1"/>
  <c r="E1632" i="1"/>
  <c r="C1632" i="1"/>
  <c r="D1632" i="1" s="1"/>
  <c r="E1639" i="1"/>
  <c r="C1639" i="1"/>
  <c r="D1639" i="1" s="1"/>
  <c r="G1658" i="1"/>
  <c r="E1658" i="1"/>
  <c r="C1658" i="1"/>
  <c r="D1658" i="1" s="1"/>
  <c r="E1663" i="1"/>
  <c r="C1663" i="1"/>
  <c r="D1663" i="1" s="1"/>
  <c r="F1663" i="1" s="1"/>
  <c r="G1663" i="1"/>
  <c r="E1687" i="1"/>
  <c r="C1687" i="1"/>
  <c r="D1687" i="1" s="1"/>
  <c r="F1687" i="1" s="1"/>
  <c r="E1701" i="1"/>
  <c r="G1724" i="1"/>
  <c r="E1724" i="1"/>
  <c r="D1729" i="1"/>
  <c r="F1729" i="1" s="1"/>
  <c r="C1780" i="1"/>
  <c r="D1780" i="1" s="1"/>
  <c r="G1780" i="1"/>
  <c r="E1780" i="1"/>
  <c r="C1816" i="1"/>
  <c r="D1816" i="1" s="1"/>
  <c r="G1816" i="1"/>
  <c r="E1816" i="1"/>
  <c r="D1829" i="1"/>
  <c r="G1829" i="1"/>
  <c r="D1852" i="1"/>
  <c r="F1852" i="1" s="1"/>
  <c r="C1892" i="1"/>
  <c r="D1892" i="1" s="1"/>
  <c r="E1901" i="1"/>
  <c r="C1901" i="1"/>
  <c r="D1901" i="1" s="1"/>
  <c r="G1901" i="1"/>
  <c r="G1936" i="1"/>
  <c r="E1936" i="1"/>
  <c r="D1936" i="1"/>
  <c r="F1936" i="1" s="1"/>
  <c r="C1948" i="1"/>
  <c r="D1948" i="1" s="1"/>
  <c r="E1948" i="1"/>
  <c r="G1948" i="1"/>
  <c r="C1960" i="1"/>
  <c r="D1960" i="1" s="1"/>
  <c r="G1960" i="1"/>
  <c r="E1960" i="1"/>
  <c r="C2033" i="1"/>
  <c r="D2033" i="1" s="1"/>
  <c r="E2033" i="1"/>
  <c r="G2042" i="1"/>
  <c r="E2042" i="1"/>
  <c r="C2042" i="1"/>
  <c r="D2042" i="1" s="1"/>
  <c r="E2059" i="1"/>
  <c r="G2059" i="1"/>
  <c r="E2183" i="1"/>
  <c r="C2183" i="1"/>
  <c r="D2183" i="1" s="1"/>
  <c r="G2183" i="1"/>
  <c r="C2186" i="1"/>
  <c r="D2186" i="1" s="1"/>
  <c r="G2186" i="1"/>
  <c r="E2186" i="1"/>
  <c r="G1584" i="1"/>
  <c r="E1584" i="1"/>
  <c r="C1584" i="1"/>
  <c r="D1584" i="1" s="1"/>
  <c r="F1584" i="1" s="1"/>
  <c r="G1656" i="1"/>
  <c r="E1656" i="1"/>
  <c r="F1656" i="1" s="1"/>
  <c r="G1661" i="1"/>
  <c r="E1661" i="1"/>
  <c r="F1661" i="1" s="1"/>
  <c r="G1668" i="1"/>
  <c r="E1668" i="1"/>
  <c r="C1668" i="1"/>
  <c r="D1668" i="1" s="1"/>
  <c r="F1673" i="1"/>
  <c r="D1724" i="1"/>
  <c r="D1727" i="1"/>
  <c r="E1735" i="1"/>
  <c r="G1735" i="1"/>
  <c r="C1735" i="1"/>
  <c r="D1735" i="1" s="1"/>
  <c r="F1735" i="1" s="1"/>
  <c r="E1763" i="1"/>
  <c r="C1763" i="1"/>
  <c r="D1763" i="1" s="1"/>
  <c r="G1763" i="1"/>
  <c r="E1768" i="1"/>
  <c r="F1786" i="1"/>
  <c r="E1806" i="1"/>
  <c r="G1806" i="1"/>
  <c r="C1806" i="1"/>
  <c r="D1806" i="1" s="1"/>
  <c r="E1819" i="1"/>
  <c r="G1819" i="1"/>
  <c r="C1819" i="1"/>
  <c r="D1819" i="1" s="1"/>
  <c r="F1819" i="1" s="1"/>
  <c r="E1838" i="1"/>
  <c r="E1847" i="1"/>
  <c r="G1847" i="1"/>
  <c r="C1847" i="1"/>
  <c r="D1847" i="1" s="1"/>
  <c r="G1860" i="1"/>
  <c r="E1860" i="1"/>
  <c r="C1860" i="1"/>
  <c r="D1860" i="1" s="1"/>
  <c r="E1889" i="1"/>
  <c r="D1889" i="1"/>
  <c r="G1889" i="1"/>
  <c r="E1931" i="1"/>
  <c r="C1931" i="1"/>
  <c r="D1931" i="1" s="1"/>
  <c r="F1931" i="1" s="1"/>
  <c r="E1967" i="1"/>
  <c r="G1967" i="1"/>
  <c r="C1967" i="1"/>
  <c r="D1967" i="1" s="1"/>
  <c r="C2001" i="1"/>
  <c r="D2001" i="1" s="1"/>
  <c r="G2001" i="1"/>
  <c r="E2001" i="1"/>
  <c r="E2036" i="1"/>
  <c r="D2036" i="1"/>
  <c r="C2089" i="1"/>
  <c r="D2089" i="1" s="1"/>
  <c r="F2089" i="1" s="1"/>
  <c r="G2089" i="1"/>
  <c r="D2098" i="1"/>
  <c r="F2137" i="1"/>
  <c r="E2201" i="1"/>
  <c r="C2204" i="1"/>
  <c r="D2204" i="1" s="1"/>
  <c r="G2208" i="1"/>
  <c r="C2208" i="1"/>
  <c r="D2208" i="1" s="1"/>
  <c r="E2208" i="1"/>
  <c r="C2126" i="1"/>
  <c r="D2126" i="1" s="1"/>
  <c r="G2126" i="1"/>
  <c r="E2126" i="1"/>
  <c r="G2161" i="1"/>
  <c r="E2161" i="1"/>
  <c r="C2161" i="1"/>
  <c r="D2161" i="1" s="1"/>
  <c r="G2332" i="1"/>
  <c r="E2332" i="1"/>
  <c r="C2332" i="1"/>
  <c r="D2332" i="1" s="1"/>
  <c r="C2342" i="1"/>
  <c r="D2342" i="1" s="1"/>
  <c r="G2342" i="1"/>
  <c r="E2342" i="1"/>
  <c r="E2347" i="1"/>
  <c r="C2347" i="1"/>
  <c r="D2347" i="1" s="1"/>
  <c r="G2347" i="1"/>
  <c r="E1483" i="1"/>
  <c r="E1595" i="1"/>
  <c r="C1595" i="1"/>
  <c r="D1595" i="1" s="1"/>
  <c r="E1700" i="1"/>
  <c r="C1742" i="1"/>
  <c r="D1742" i="1" s="1"/>
  <c r="E1742" i="1"/>
  <c r="E1750" i="1"/>
  <c r="D1899" i="1"/>
  <c r="E1941" i="1"/>
  <c r="C1941" i="1"/>
  <c r="D1941" i="1" s="1"/>
  <c r="E1955" i="1"/>
  <c r="C1955" i="1"/>
  <c r="D1955" i="1" s="1"/>
  <c r="C1962" i="1"/>
  <c r="D1962" i="1" s="1"/>
  <c r="G1962" i="1"/>
  <c r="E1962" i="1"/>
  <c r="C1981" i="1"/>
  <c r="D1981" i="1" s="1"/>
  <c r="E1981" i="1"/>
  <c r="E2015" i="1"/>
  <c r="G2015" i="1"/>
  <c r="G2025" i="1"/>
  <c r="D2025" i="1"/>
  <c r="E2075" i="1"/>
  <c r="G2075" i="1"/>
  <c r="C2075" i="1"/>
  <c r="D2075" i="1" s="1"/>
  <c r="C2085" i="1"/>
  <c r="D2085" i="1" s="1"/>
  <c r="E2085" i="1"/>
  <c r="G2085" i="1"/>
  <c r="E2099" i="1"/>
  <c r="G2099" i="1"/>
  <c r="C2099" i="1"/>
  <c r="D2099" i="1" s="1"/>
  <c r="G2114" i="1"/>
  <c r="E2114" i="1"/>
  <c r="C2114" i="1"/>
  <c r="D2114" i="1" s="1"/>
  <c r="C2117" i="1"/>
  <c r="D2117" i="1" s="1"/>
  <c r="G2117" i="1"/>
  <c r="E2117" i="1"/>
  <c r="E2155" i="1"/>
  <c r="C2155" i="1"/>
  <c r="D2155" i="1" s="1"/>
  <c r="C2174" i="1"/>
  <c r="D2174" i="1" s="1"/>
  <c r="G2174" i="1"/>
  <c r="E2174" i="1"/>
  <c r="C2345" i="1"/>
  <c r="D2345" i="1" s="1"/>
  <c r="E2345" i="1"/>
  <c r="G2345" i="1"/>
  <c r="G1389" i="1"/>
  <c r="C1389" i="1"/>
  <c r="D1389" i="1" s="1"/>
  <c r="E1423" i="1"/>
  <c r="G1423" i="1"/>
  <c r="E1520" i="1"/>
  <c r="E1541" i="1"/>
  <c r="C1541" i="1"/>
  <c r="D1541" i="1" s="1"/>
  <c r="E1555" i="1"/>
  <c r="G1597" i="1"/>
  <c r="E1683" i="1"/>
  <c r="D1776" i="1"/>
  <c r="F1776" i="1" s="1"/>
  <c r="E1827" i="1"/>
  <c r="G1827" i="1"/>
  <c r="C1827" i="1"/>
  <c r="D1827" i="1" s="1"/>
  <c r="E1832" i="1"/>
  <c r="G1832" i="1"/>
  <c r="D1845" i="1"/>
  <c r="E1871" i="1"/>
  <c r="C1871" i="1"/>
  <c r="D1871" i="1" s="1"/>
  <c r="C1890" i="1"/>
  <c r="D1890" i="1" s="1"/>
  <c r="G1890" i="1"/>
  <c r="E1907" i="1"/>
  <c r="C1907" i="1"/>
  <c r="D1907" i="1" s="1"/>
  <c r="E1925" i="1"/>
  <c r="C1925" i="1"/>
  <c r="D1925" i="1" s="1"/>
  <c r="G1968" i="1"/>
  <c r="E1968" i="1"/>
  <c r="C1968" i="1"/>
  <c r="D1968" i="1" s="1"/>
  <c r="E1978" i="1"/>
  <c r="G1978" i="1"/>
  <c r="C1978" i="1"/>
  <c r="D1978" i="1" s="1"/>
  <c r="F1978" i="1" s="1"/>
  <c r="C2005" i="1"/>
  <c r="D2005" i="1" s="1"/>
  <c r="G2005" i="1"/>
  <c r="E2005" i="1"/>
  <c r="E2025" i="1"/>
  <c r="D2043" i="1"/>
  <c r="G2184" i="1"/>
  <c r="C2184" i="1"/>
  <c r="D2184" i="1" s="1"/>
  <c r="E2184" i="1"/>
  <c r="D2233" i="1"/>
  <c r="E2233" i="1"/>
  <c r="G2249" i="1"/>
  <c r="C2249" i="1"/>
  <c r="D2249" i="1" s="1"/>
  <c r="E2249" i="1"/>
  <c r="G2273" i="1"/>
  <c r="C2273" i="1"/>
  <c r="D2273" i="1" s="1"/>
  <c r="E2273" i="1"/>
  <c r="G2468" i="1"/>
  <c r="C2468" i="1"/>
  <c r="D2468" i="1" s="1"/>
  <c r="E2468" i="1"/>
  <c r="E1503" i="1"/>
  <c r="E1515" i="1"/>
  <c r="F1515" i="1" s="1"/>
  <c r="C1581" i="1"/>
  <c r="D1581" i="1" s="1"/>
  <c r="F1581" i="1" s="1"/>
  <c r="E1611" i="1"/>
  <c r="C1611" i="1"/>
  <c r="D1611" i="1" s="1"/>
  <c r="G1620" i="1"/>
  <c r="C1620" i="1"/>
  <c r="D1620" i="1" s="1"/>
  <c r="F1620" i="1" s="1"/>
  <c r="C1642" i="1"/>
  <c r="D1642" i="1" s="1"/>
  <c r="F1642" i="1" s="1"/>
  <c r="C1651" i="1"/>
  <c r="D1651" i="1" s="1"/>
  <c r="F1651" i="1" s="1"/>
  <c r="E1704" i="1"/>
  <c r="F1704" i="1" s="1"/>
  <c r="E1711" i="1"/>
  <c r="F1711" i="1" s="1"/>
  <c r="E1746" i="1"/>
  <c r="C1750" i="1"/>
  <c r="D1750" i="1" s="1"/>
  <c r="E1787" i="1"/>
  <c r="C1787" i="1"/>
  <c r="D1787" i="1" s="1"/>
  <c r="G1787" i="1"/>
  <c r="E1799" i="1"/>
  <c r="C1799" i="1"/>
  <c r="D1799" i="1" s="1"/>
  <c r="F1799" i="1" s="1"/>
  <c r="D1834" i="1"/>
  <c r="E1845" i="1"/>
  <c r="E1873" i="1"/>
  <c r="D1879" i="1"/>
  <c r="F1920" i="1"/>
  <c r="E1923" i="1"/>
  <c r="G1923" i="1"/>
  <c r="D1932" i="1"/>
  <c r="F1932" i="1" s="1"/>
  <c r="C1965" i="1"/>
  <c r="D1965" i="1" s="1"/>
  <c r="G1984" i="1"/>
  <c r="E1984" i="1"/>
  <c r="F1984" i="1" s="1"/>
  <c r="E1994" i="1"/>
  <c r="C1994" i="1"/>
  <c r="D1994" i="1" s="1"/>
  <c r="C2000" i="1"/>
  <c r="D2000" i="1" s="1"/>
  <c r="F2000" i="1" s="1"/>
  <c r="G2000" i="1"/>
  <c r="C2015" i="1"/>
  <c r="D2015" i="1" s="1"/>
  <c r="E2035" i="1"/>
  <c r="G2035" i="1"/>
  <c r="C2035" i="1"/>
  <c r="D2035" i="1" s="1"/>
  <c r="G2082" i="1"/>
  <c r="E2082" i="1"/>
  <c r="C2082" i="1"/>
  <c r="D2082" i="1" s="1"/>
  <c r="F2082" i="1" s="1"/>
  <c r="G2155" i="1"/>
  <c r="D2158" i="1"/>
  <c r="F2158" i="1" s="1"/>
  <c r="E2171" i="1"/>
  <c r="G2171" i="1"/>
  <c r="C2171" i="1"/>
  <c r="D2171" i="1" s="1"/>
  <c r="E2267" i="1"/>
  <c r="C2267" i="1"/>
  <c r="D2267" i="1" s="1"/>
  <c r="G2267" i="1"/>
  <c r="C2362" i="1"/>
  <c r="D2362" i="1" s="1"/>
  <c r="G2362" i="1"/>
  <c r="E2440" i="1"/>
  <c r="G2440" i="1"/>
  <c r="C2440" i="1"/>
  <c r="D2440" i="1" s="1"/>
  <c r="F2440" i="1" s="1"/>
  <c r="E1433" i="1"/>
  <c r="F1433" i="1" s="1"/>
  <c r="E1459" i="1"/>
  <c r="C1473" i="1"/>
  <c r="D1473" i="1" s="1"/>
  <c r="F1473" i="1" s="1"/>
  <c r="C1483" i="1"/>
  <c r="D1483" i="1" s="1"/>
  <c r="C1506" i="1"/>
  <c r="D1506" i="1" s="1"/>
  <c r="F1506" i="1" s="1"/>
  <c r="E1513" i="1"/>
  <c r="F1513" i="1" s="1"/>
  <c r="C1567" i="1"/>
  <c r="D1567" i="1" s="1"/>
  <c r="F1567" i="1" s="1"/>
  <c r="G1569" i="1"/>
  <c r="E1569" i="1"/>
  <c r="F1569" i="1" s="1"/>
  <c r="D1609" i="1"/>
  <c r="G1618" i="1"/>
  <c r="C1618" i="1"/>
  <c r="D1618" i="1" s="1"/>
  <c r="F1618" i="1" s="1"/>
  <c r="C1637" i="1"/>
  <c r="D1637" i="1" s="1"/>
  <c r="F1637" i="1" s="1"/>
  <c r="C1653" i="1"/>
  <c r="D1653" i="1" s="1"/>
  <c r="F1653" i="1" s="1"/>
  <c r="E1667" i="1"/>
  <c r="C1667" i="1"/>
  <c r="D1667" i="1" s="1"/>
  <c r="E1686" i="1"/>
  <c r="F1686" i="1" s="1"/>
  <c r="C1700" i="1"/>
  <c r="D1700" i="1" s="1"/>
  <c r="G1742" i="1"/>
  <c r="E1760" i="1"/>
  <c r="F1760" i="1" s="1"/>
  <c r="G1785" i="1"/>
  <c r="E1785" i="1"/>
  <c r="C1785" i="1"/>
  <c r="D1785" i="1" s="1"/>
  <c r="F1785" i="1" s="1"/>
  <c r="C1832" i="1"/>
  <c r="D1832" i="1" s="1"/>
  <c r="E1834" i="1"/>
  <c r="D1841" i="1"/>
  <c r="G1854" i="1"/>
  <c r="E1863" i="1"/>
  <c r="E1890" i="1"/>
  <c r="G1905" i="1"/>
  <c r="C1905" i="1"/>
  <c r="D1905" i="1" s="1"/>
  <c r="F1905" i="1" s="1"/>
  <c r="G1907" i="1"/>
  <c r="C1914" i="1"/>
  <c r="D1914" i="1" s="1"/>
  <c r="G1914" i="1"/>
  <c r="E1916" i="1"/>
  <c r="D1916" i="1"/>
  <c r="G1941" i="1"/>
  <c r="G1955" i="1"/>
  <c r="G1981" i="1"/>
  <c r="C1989" i="1"/>
  <c r="D1989" i="1" s="1"/>
  <c r="G1989" i="1"/>
  <c r="E1989" i="1"/>
  <c r="C2013" i="1"/>
  <c r="D2013" i="1" s="1"/>
  <c r="E2013" i="1"/>
  <c r="G2013" i="1"/>
  <c r="E2023" i="1"/>
  <c r="C2023" i="1"/>
  <c r="D2023" i="1" s="1"/>
  <c r="F2023" i="1" s="1"/>
  <c r="G2023" i="1"/>
  <c r="E2032" i="1"/>
  <c r="D2032" i="1"/>
  <c r="C2041" i="1"/>
  <c r="D2041" i="1" s="1"/>
  <c r="F2041" i="1" s="1"/>
  <c r="G2041" i="1"/>
  <c r="G2068" i="1"/>
  <c r="E2068" i="1"/>
  <c r="F2068" i="1" s="1"/>
  <c r="C2073" i="1"/>
  <c r="D2073" i="1" s="1"/>
  <c r="G2073" i="1"/>
  <c r="E2073" i="1"/>
  <c r="G2076" i="1"/>
  <c r="E2076" i="1"/>
  <c r="C2076" i="1"/>
  <c r="D2076" i="1" s="1"/>
  <c r="G2112" i="1"/>
  <c r="E2112" i="1"/>
  <c r="C2112" i="1"/>
  <c r="D2112" i="1" s="1"/>
  <c r="G2118" i="1"/>
  <c r="C2118" i="1"/>
  <c r="D2118" i="1" s="1"/>
  <c r="E2118" i="1"/>
  <c r="C2234" i="1"/>
  <c r="D2234" i="1" s="1"/>
  <c r="G2234" i="1"/>
  <c r="E2234" i="1"/>
  <c r="G2244" i="1"/>
  <c r="E2244" i="1"/>
  <c r="C2244" i="1"/>
  <c r="D2244" i="1" s="1"/>
  <c r="F2252" i="1"/>
  <c r="G2324" i="1"/>
  <c r="E2324" i="1"/>
  <c r="C2324" i="1"/>
  <c r="D2324" i="1" s="1"/>
  <c r="G2386" i="1"/>
  <c r="C2386" i="1"/>
  <c r="D2386" i="1" s="1"/>
  <c r="E2386" i="1"/>
  <c r="E1571" i="1"/>
  <c r="C1571" i="1"/>
  <c r="D1571" i="1" s="1"/>
  <c r="D1585" i="1"/>
  <c r="F1585" i="1" s="1"/>
  <c r="E1592" i="1"/>
  <c r="G1592" i="1"/>
  <c r="E1599" i="1"/>
  <c r="G1599" i="1"/>
  <c r="C1599" i="1"/>
  <c r="D1599" i="1" s="1"/>
  <c r="E1613" i="1"/>
  <c r="C1662" i="1"/>
  <c r="D1662" i="1" s="1"/>
  <c r="F1662" i="1" s="1"/>
  <c r="G1662" i="1"/>
  <c r="E1671" i="1"/>
  <c r="F1671" i="1" s="1"/>
  <c r="G1671" i="1"/>
  <c r="F1676" i="1"/>
  <c r="E1685" i="1"/>
  <c r="F1685" i="1" s="1"/>
  <c r="G1692" i="1"/>
  <c r="F1709" i="1"/>
  <c r="G1713" i="1"/>
  <c r="G1764" i="1"/>
  <c r="E1775" i="1"/>
  <c r="C1775" i="1"/>
  <c r="D1775" i="1" s="1"/>
  <c r="E1783" i="1"/>
  <c r="C1783" i="1"/>
  <c r="D1783" i="1" s="1"/>
  <c r="E1811" i="1"/>
  <c r="C1811" i="1"/>
  <c r="D1811" i="1" s="1"/>
  <c r="E1837" i="1"/>
  <c r="F1837" i="1" s="1"/>
  <c r="G1837" i="1"/>
  <c r="E1841" i="1"/>
  <c r="F1848" i="1"/>
  <c r="E1869" i="1"/>
  <c r="C1869" i="1"/>
  <c r="D1869" i="1" s="1"/>
  <c r="G1869" i="1"/>
  <c r="G1871" i="1"/>
  <c r="E1891" i="1"/>
  <c r="F1891" i="1" s="1"/>
  <c r="G1891" i="1"/>
  <c r="C1893" i="1"/>
  <c r="D1893" i="1" s="1"/>
  <c r="G1893" i="1"/>
  <c r="E1893" i="1"/>
  <c r="G1908" i="1"/>
  <c r="C1908" i="1"/>
  <c r="D1908" i="1" s="1"/>
  <c r="F1908" i="1" s="1"/>
  <c r="G1925" i="1"/>
  <c r="C1944" i="1"/>
  <c r="D1944" i="1" s="1"/>
  <c r="F1944" i="1" s="1"/>
  <c r="C1958" i="1"/>
  <c r="D1958" i="1" s="1"/>
  <c r="F1958" i="1" s="1"/>
  <c r="G1958" i="1"/>
  <c r="E1965" i="1"/>
  <c r="E1979" i="1"/>
  <c r="C1979" i="1"/>
  <c r="D1979" i="1" s="1"/>
  <c r="E1987" i="1"/>
  <c r="F1987" i="1" s="1"/>
  <c r="G1987" i="1"/>
  <c r="E2003" i="1"/>
  <c r="C2003" i="1"/>
  <c r="D2003" i="1" s="1"/>
  <c r="F2003" i="1" s="1"/>
  <c r="G2003" i="1"/>
  <c r="G2038" i="1"/>
  <c r="E2038" i="1"/>
  <c r="F2038" i="1" s="1"/>
  <c r="E2095" i="1"/>
  <c r="C2095" i="1"/>
  <c r="D2095" i="1" s="1"/>
  <c r="E2103" i="1"/>
  <c r="F2103" i="1" s="1"/>
  <c r="G2103" i="1"/>
  <c r="G2140" i="1"/>
  <c r="E2140" i="1"/>
  <c r="C2140" i="1"/>
  <c r="D2140" i="1" s="1"/>
  <c r="F2140" i="1" s="1"/>
  <c r="E2147" i="1"/>
  <c r="C2147" i="1"/>
  <c r="D2147" i="1" s="1"/>
  <c r="F2147" i="1" s="1"/>
  <c r="G2147" i="1"/>
  <c r="E2362" i="1"/>
  <c r="G1341" i="1"/>
  <c r="E1389" i="1"/>
  <c r="E1404" i="1"/>
  <c r="F1404" i="1" s="1"/>
  <c r="E1405" i="1"/>
  <c r="F1405" i="1" s="1"/>
  <c r="E1435" i="1"/>
  <c r="F1435" i="1" s="1"/>
  <c r="D1503" i="1"/>
  <c r="G1513" i="1"/>
  <c r="E1525" i="1"/>
  <c r="F1525" i="1" s="1"/>
  <c r="C1564" i="1"/>
  <c r="D1564" i="1" s="1"/>
  <c r="G1564" i="1"/>
  <c r="E1564" i="1"/>
  <c r="E1580" i="1"/>
  <c r="F1580" i="1" s="1"/>
  <c r="G1595" i="1"/>
  <c r="D1604" i="1"/>
  <c r="F1604" i="1" s="1"/>
  <c r="G1637" i="1"/>
  <c r="D1657" i="1"/>
  <c r="E1664" i="1"/>
  <c r="C1664" i="1"/>
  <c r="D1664" i="1" s="1"/>
  <c r="D1697" i="1"/>
  <c r="F1697" i="1" s="1"/>
  <c r="G1700" i="1"/>
  <c r="E1709" i="1"/>
  <c r="E1725" i="1"/>
  <c r="F1725" i="1" s="1"/>
  <c r="E1747" i="1"/>
  <c r="F1747" i="1" s="1"/>
  <c r="G1747" i="1"/>
  <c r="D1769" i="1"/>
  <c r="F1769" i="1" s="1"/>
  <c r="F1830" i="1"/>
  <c r="D1863" i="1"/>
  <c r="E1914" i="1"/>
  <c r="G1916" i="1"/>
  <c r="D1923" i="1"/>
  <c r="F1923" i="1" s="1"/>
  <c r="D1928" i="1"/>
  <c r="E1942" i="1"/>
  <c r="C1942" i="1"/>
  <c r="D1942" i="1" s="1"/>
  <c r="G1976" i="1"/>
  <c r="E1976" i="1"/>
  <c r="D1976" i="1"/>
  <c r="G1994" i="1"/>
  <c r="C2021" i="1"/>
  <c r="D2021" i="1" s="1"/>
  <c r="F2021" i="1" s="1"/>
  <c r="G2021" i="1"/>
  <c r="E2027" i="1"/>
  <c r="F2027" i="1" s="1"/>
  <c r="G2044" i="1"/>
  <c r="E2044" i="1"/>
  <c r="G2049" i="1"/>
  <c r="E2049" i="1"/>
  <c r="G2062" i="1"/>
  <c r="E2062" i="1"/>
  <c r="F2062" i="1" s="1"/>
  <c r="G2131" i="1"/>
  <c r="C2131" i="1"/>
  <c r="D2131" i="1" s="1"/>
  <c r="F2131" i="1" s="1"/>
  <c r="D2212" i="1"/>
  <c r="E2219" i="1"/>
  <c r="G2219" i="1"/>
  <c r="C2219" i="1"/>
  <c r="D2219" i="1" s="1"/>
  <c r="G2228" i="1"/>
  <c r="E2228" i="1"/>
  <c r="C2228" i="1"/>
  <c r="D2228" i="1" s="1"/>
  <c r="G2304" i="1"/>
  <c r="C2304" i="1"/>
  <c r="D2304" i="1" s="1"/>
  <c r="F2304" i="1" s="1"/>
  <c r="E2356" i="1"/>
  <c r="C2356" i="1"/>
  <c r="D2356" i="1" s="1"/>
  <c r="G2356" i="1"/>
  <c r="F2359" i="1"/>
  <c r="G2539" i="1"/>
  <c r="C2539" i="1"/>
  <c r="D2539" i="1" s="1"/>
  <c r="F2539" i="1" s="1"/>
  <c r="E2539" i="1"/>
  <c r="E2584" i="1"/>
  <c r="G2584" i="1"/>
  <c r="C2584" i="1"/>
  <c r="D2584" i="1" s="1"/>
  <c r="E2123" i="1"/>
  <c r="G2123" i="1"/>
  <c r="C2123" i="1"/>
  <c r="D2123" i="1" s="1"/>
  <c r="G2153" i="1"/>
  <c r="C2153" i="1"/>
  <c r="D2153" i="1" s="1"/>
  <c r="E2153" i="1"/>
  <c r="E2181" i="1"/>
  <c r="G2181" i="1"/>
  <c r="C2181" i="1"/>
  <c r="D2181" i="1" s="1"/>
  <c r="G2196" i="1"/>
  <c r="E2196" i="1"/>
  <c r="C2196" i="1"/>
  <c r="D2196" i="1" s="1"/>
  <c r="D2250" i="1"/>
  <c r="G2259" i="1"/>
  <c r="C2259" i="1"/>
  <c r="D2259" i="1" s="1"/>
  <c r="E2259" i="1"/>
  <c r="C2294" i="1"/>
  <c r="D2294" i="1" s="1"/>
  <c r="E2294" i="1"/>
  <c r="G2294" i="1"/>
  <c r="E2325" i="1"/>
  <c r="G2325" i="1"/>
  <c r="C2325" i="1"/>
  <c r="D2325" i="1" s="1"/>
  <c r="G2328" i="1"/>
  <c r="C2328" i="1"/>
  <c r="D2328" i="1" s="1"/>
  <c r="E2328" i="1"/>
  <c r="E2380" i="1"/>
  <c r="G2380" i="1"/>
  <c r="C2380" i="1"/>
  <c r="D2380" i="1" s="1"/>
  <c r="G2456" i="1"/>
  <c r="E2456" i="1"/>
  <c r="C2456" i="1"/>
  <c r="D2456" i="1" s="1"/>
  <c r="E2463" i="1"/>
  <c r="C2463" i="1"/>
  <c r="D2463" i="1" s="1"/>
  <c r="G2463" i="1"/>
  <c r="G2657" i="1"/>
  <c r="E2657" i="1"/>
  <c r="C2657" i="1"/>
  <c r="D2657" i="1" s="1"/>
  <c r="F2657" i="1" s="1"/>
  <c r="D2016" i="1"/>
  <c r="D2044" i="1"/>
  <c r="G2050" i="1"/>
  <c r="E2050" i="1"/>
  <c r="G2064" i="1"/>
  <c r="C2077" i="1"/>
  <c r="D2077" i="1" s="1"/>
  <c r="E2077" i="1"/>
  <c r="G2077" i="1"/>
  <c r="G2080" i="1"/>
  <c r="E2080" i="1"/>
  <c r="F2080" i="1" s="1"/>
  <c r="G2094" i="1"/>
  <c r="C2094" i="1"/>
  <c r="D2094" i="1" s="1"/>
  <c r="E2094" i="1"/>
  <c r="E2133" i="1"/>
  <c r="F2133" i="1" s="1"/>
  <c r="G2133" i="1"/>
  <c r="E2178" i="1"/>
  <c r="G2178" i="1"/>
  <c r="C2178" i="1"/>
  <c r="D2178" i="1" s="1"/>
  <c r="E2205" i="1"/>
  <c r="G2205" i="1"/>
  <c r="C2205" i="1"/>
  <c r="D2205" i="1" s="1"/>
  <c r="E2238" i="1"/>
  <c r="G2238" i="1"/>
  <c r="C2238" i="1"/>
  <c r="D2238" i="1" s="1"/>
  <c r="G2242" i="1"/>
  <c r="E2242" i="1"/>
  <c r="C2242" i="1"/>
  <c r="D2242" i="1" s="1"/>
  <c r="G2268" i="1"/>
  <c r="E2268" i="1"/>
  <c r="C2268" i="1"/>
  <c r="D2268" i="1" s="1"/>
  <c r="G2338" i="1"/>
  <c r="E2338" i="1"/>
  <c r="C2338" i="1"/>
  <c r="D2338" i="1" s="1"/>
  <c r="C2371" i="1"/>
  <c r="D2371" i="1" s="1"/>
  <c r="G2371" i="1"/>
  <c r="E2371" i="1"/>
  <c r="G2459" i="1"/>
  <c r="E2459" i="1"/>
  <c r="G2116" i="1"/>
  <c r="E2116" i="1"/>
  <c r="G2124" i="1"/>
  <c r="E2124" i="1"/>
  <c r="C2124" i="1"/>
  <c r="D2124" i="1" s="1"/>
  <c r="G2172" i="1"/>
  <c r="E2172" i="1"/>
  <c r="C2172" i="1"/>
  <c r="D2172" i="1" s="1"/>
  <c r="F2172" i="1" s="1"/>
  <c r="C2193" i="1"/>
  <c r="D2193" i="1" s="1"/>
  <c r="E2193" i="1"/>
  <c r="E2221" i="1"/>
  <c r="G2221" i="1"/>
  <c r="C2221" i="1"/>
  <c r="D2221" i="1" s="1"/>
  <c r="E2291" i="1"/>
  <c r="C2291" i="1"/>
  <c r="D2291" i="1" s="1"/>
  <c r="G2291" i="1"/>
  <c r="E2368" i="1"/>
  <c r="C2368" i="1"/>
  <c r="D2368" i="1" s="1"/>
  <c r="F2459" i="1"/>
  <c r="D2004" i="1"/>
  <c r="F2004" i="1" s="1"/>
  <c r="E2016" i="1"/>
  <c r="E2026" i="1"/>
  <c r="G2026" i="1"/>
  <c r="C2026" i="1"/>
  <c r="D2026" i="1" s="1"/>
  <c r="C2029" i="1"/>
  <c r="D2029" i="1" s="1"/>
  <c r="F2029" i="1" s="1"/>
  <c r="E2029" i="1"/>
  <c r="C2050" i="1"/>
  <c r="D2050" i="1" s="1"/>
  <c r="G2058" i="1"/>
  <c r="C2058" i="1"/>
  <c r="D2058" i="1" s="1"/>
  <c r="E2058" i="1"/>
  <c r="C2061" i="1"/>
  <c r="D2061" i="1" s="1"/>
  <c r="E2061" i="1"/>
  <c r="G2100" i="1"/>
  <c r="E2100" i="1"/>
  <c r="F2100" i="1" s="1"/>
  <c r="E2107" i="1"/>
  <c r="G2107" i="1"/>
  <c r="C2107" i="1"/>
  <c r="D2107" i="1" s="1"/>
  <c r="F2107" i="1" s="1"/>
  <c r="E2113" i="1"/>
  <c r="G2136" i="1"/>
  <c r="C2136" i="1"/>
  <c r="D2136" i="1" s="1"/>
  <c r="E2136" i="1"/>
  <c r="G2199" i="1"/>
  <c r="E2199" i="1"/>
  <c r="C2215" i="1"/>
  <c r="D2215" i="1" s="1"/>
  <c r="G2215" i="1"/>
  <c r="E2215" i="1"/>
  <c r="G2257" i="1"/>
  <c r="G2260" i="1"/>
  <c r="E2260" i="1"/>
  <c r="C2260" i="1"/>
  <c r="D2260" i="1" s="1"/>
  <c r="C2311" i="1"/>
  <c r="D2311" i="1" s="1"/>
  <c r="E2311" i="1"/>
  <c r="G2311" i="1"/>
  <c r="G2364" i="1"/>
  <c r="E2364" i="1"/>
  <c r="F2364" i="1" s="1"/>
  <c r="E2157" i="1"/>
  <c r="C2157" i="1"/>
  <c r="D2157" i="1" s="1"/>
  <c r="G2157" i="1"/>
  <c r="G2160" i="1"/>
  <c r="C2160" i="1"/>
  <c r="D2160" i="1" s="1"/>
  <c r="E2160" i="1"/>
  <c r="E2166" i="1"/>
  <c r="C2166" i="1"/>
  <c r="D2166" i="1" s="1"/>
  <c r="G2166" i="1"/>
  <c r="G2188" i="1"/>
  <c r="E2188" i="1"/>
  <c r="F2188" i="1" s="1"/>
  <c r="G2218" i="1"/>
  <c r="E2218" i="1"/>
  <c r="C2218" i="1"/>
  <c r="D2218" i="1" s="1"/>
  <c r="C2239" i="1"/>
  <c r="D2239" i="1" s="1"/>
  <c r="G2239" i="1"/>
  <c r="E2239" i="1"/>
  <c r="E2285" i="1"/>
  <c r="C2285" i="1"/>
  <c r="D2285" i="1" s="1"/>
  <c r="G2285" i="1"/>
  <c r="G2292" i="1"/>
  <c r="E2292" i="1"/>
  <c r="C2292" i="1"/>
  <c r="D2292" i="1" s="1"/>
  <c r="C2335" i="1"/>
  <c r="D2335" i="1" s="1"/>
  <c r="G2335" i="1"/>
  <c r="E2335" i="1"/>
  <c r="E2375" i="1"/>
  <c r="G2375" i="1"/>
  <c r="C2375" i="1"/>
  <c r="D2375" i="1" s="1"/>
  <c r="E1616" i="1"/>
  <c r="G1616" i="1"/>
  <c r="G1641" i="1"/>
  <c r="E1699" i="1"/>
  <c r="F1699" i="1" s="1"/>
  <c r="G1729" i="1"/>
  <c r="E1739" i="1"/>
  <c r="C1739" i="1"/>
  <c r="D1739" i="1" s="1"/>
  <c r="C1777" i="1"/>
  <c r="D1777" i="1" s="1"/>
  <c r="E1777" i="1"/>
  <c r="E1779" i="1"/>
  <c r="F1779" i="1" s="1"/>
  <c r="G1779" i="1"/>
  <c r="E1781" i="1"/>
  <c r="C1781" i="1"/>
  <c r="D1781" i="1" s="1"/>
  <c r="G1809" i="1"/>
  <c r="G1813" i="1"/>
  <c r="E1815" i="1"/>
  <c r="C1825" i="1"/>
  <c r="D1825" i="1" s="1"/>
  <c r="F1825" i="1" s="1"/>
  <c r="G1825" i="1"/>
  <c r="D1849" i="1"/>
  <c r="E1855" i="1"/>
  <c r="C1855" i="1"/>
  <c r="D1855" i="1" s="1"/>
  <c r="G1872" i="1"/>
  <c r="G1874" i="1"/>
  <c r="G1898" i="1"/>
  <c r="E1898" i="1"/>
  <c r="F1898" i="1" s="1"/>
  <c r="E1918" i="1"/>
  <c r="C1918" i="1"/>
  <c r="D1918" i="1" s="1"/>
  <c r="G1932" i="1"/>
  <c r="E1943" i="1"/>
  <c r="C1943" i="1"/>
  <c r="D1943" i="1" s="1"/>
  <c r="E1954" i="1"/>
  <c r="G1954" i="1"/>
  <c r="C1954" i="1"/>
  <c r="D1954" i="1" s="1"/>
  <c r="E1964" i="1"/>
  <c r="G1964" i="1"/>
  <c r="C1964" i="1"/>
  <c r="D1964" i="1" s="1"/>
  <c r="G1982" i="1"/>
  <c r="E1982" i="1"/>
  <c r="F1982" i="1" s="1"/>
  <c r="D2011" i="1"/>
  <c r="E2019" i="1"/>
  <c r="E2040" i="1"/>
  <c r="G2040" i="1"/>
  <c r="C2040" i="1"/>
  <c r="D2040" i="1" s="1"/>
  <c r="E2043" i="1"/>
  <c r="G2043" i="1"/>
  <c r="E2051" i="1"/>
  <c r="G2051" i="1"/>
  <c r="C2051" i="1"/>
  <c r="D2051" i="1" s="1"/>
  <c r="E2064" i="1"/>
  <c r="F2064" i="1" s="1"/>
  <c r="C2105" i="1"/>
  <c r="D2105" i="1" s="1"/>
  <c r="F2105" i="1" s="1"/>
  <c r="G2105" i="1"/>
  <c r="G2108" i="1"/>
  <c r="C2108" i="1"/>
  <c r="D2108" i="1" s="1"/>
  <c r="F2108" i="1" s="1"/>
  <c r="C2116" i="1"/>
  <c r="D2116" i="1" s="1"/>
  <c r="G2134" i="1"/>
  <c r="C2134" i="1"/>
  <c r="D2134" i="1" s="1"/>
  <c r="F2134" i="1" s="1"/>
  <c r="C2143" i="1"/>
  <c r="D2143" i="1" s="1"/>
  <c r="G2143" i="1"/>
  <c r="E2143" i="1"/>
  <c r="F2185" i="1"/>
  <c r="C2191" i="1"/>
  <c r="D2191" i="1" s="1"/>
  <c r="G2191" i="1"/>
  <c r="E2191" i="1"/>
  <c r="C2222" i="1"/>
  <c r="D2222" i="1" s="1"/>
  <c r="E2222" i="1"/>
  <c r="G2222" i="1"/>
  <c r="G2236" i="1"/>
  <c r="E2236" i="1"/>
  <c r="C2236" i="1"/>
  <c r="D2236" i="1" s="1"/>
  <c r="G2368" i="1"/>
  <c r="E2399" i="1"/>
  <c r="C2399" i="1"/>
  <c r="D2399" i="1" s="1"/>
  <c r="G2399" i="1"/>
  <c r="G2404" i="1"/>
  <c r="E2404" i="1"/>
  <c r="C2404" i="1"/>
  <c r="D2404" i="1" s="1"/>
  <c r="E2410" i="1"/>
  <c r="C2410" i="1"/>
  <c r="D2410" i="1" s="1"/>
  <c r="G2410" i="1"/>
  <c r="G2425" i="1"/>
  <c r="E2425" i="1"/>
  <c r="C2425" i="1"/>
  <c r="D2425" i="1" s="1"/>
  <c r="G2435" i="1"/>
  <c r="E2435" i="1"/>
  <c r="D2435" i="1"/>
  <c r="F2435" i="1" s="1"/>
  <c r="E1909" i="1"/>
  <c r="E1939" i="1"/>
  <c r="G1939" i="1"/>
  <c r="E1999" i="1"/>
  <c r="C1999" i="1"/>
  <c r="D1999" i="1" s="1"/>
  <c r="G2028" i="1"/>
  <c r="C2034" i="1"/>
  <c r="D2034" i="1" s="1"/>
  <c r="E2034" i="1"/>
  <c r="E2067" i="1"/>
  <c r="G2067" i="1"/>
  <c r="E2083" i="1"/>
  <c r="C2083" i="1"/>
  <c r="D2083" i="1" s="1"/>
  <c r="F2083" i="1" s="1"/>
  <c r="G2110" i="1"/>
  <c r="G2129" i="1"/>
  <c r="C2129" i="1"/>
  <c r="D2129" i="1" s="1"/>
  <c r="C2138" i="1"/>
  <c r="D2138" i="1" s="1"/>
  <c r="E2138" i="1"/>
  <c r="G2164" i="1"/>
  <c r="E2164" i="1"/>
  <c r="C2169" i="1"/>
  <c r="D2169" i="1" s="1"/>
  <c r="F2169" i="1" s="1"/>
  <c r="G2169" i="1"/>
  <c r="G2194" i="1"/>
  <c r="E2194" i="1"/>
  <c r="E2202" i="1"/>
  <c r="C2202" i="1"/>
  <c r="D2202" i="1" s="1"/>
  <c r="C2213" i="1"/>
  <c r="D2213" i="1" s="1"/>
  <c r="F2213" i="1" s="1"/>
  <c r="G2213" i="1"/>
  <c r="C2265" i="1"/>
  <c r="D2265" i="1" s="1"/>
  <c r="G2265" i="1"/>
  <c r="E2265" i="1"/>
  <c r="D2288" i="1"/>
  <c r="F2288" i="1" s="1"/>
  <c r="E2322" i="1"/>
  <c r="C2322" i="1"/>
  <c r="D2322" i="1" s="1"/>
  <c r="G2333" i="1"/>
  <c r="E2333" i="1"/>
  <c r="E2340" i="1"/>
  <c r="F2340" i="1" s="1"/>
  <c r="D2383" i="1"/>
  <c r="F2394" i="1"/>
  <c r="G2397" i="1"/>
  <c r="E2397" i="1"/>
  <c r="G2405" i="1"/>
  <c r="C2405" i="1"/>
  <c r="D2405" i="1" s="1"/>
  <c r="E2405" i="1"/>
  <c r="C2432" i="1"/>
  <c r="D2432" i="1" s="1"/>
  <c r="E2432" i="1"/>
  <c r="G2432" i="1"/>
  <c r="G2451" i="1"/>
  <c r="C2451" i="1"/>
  <c r="D2451" i="1" s="1"/>
  <c r="E2451" i="1"/>
  <c r="E2735" i="1"/>
  <c r="G2735" i="1"/>
  <c r="C2735" i="1"/>
  <c r="D2735" i="1" s="1"/>
  <c r="D1873" i="1"/>
  <c r="E1875" i="1"/>
  <c r="F1875" i="1" s="1"/>
  <c r="E1928" i="1"/>
  <c r="C1939" i="1"/>
  <c r="D1939" i="1" s="1"/>
  <c r="F1945" i="1"/>
  <c r="E1949" i="1"/>
  <c r="F1949" i="1" s="1"/>
  <c r="G1949" i="1"/>
  <c r="E1951" i="1"/>
  <c r="G1951" i="1"/>
  <c r="C1951" i="1"/>
  <c r="D1951" i="1" s="1"/>
  <c r="E1974" i="1"/>
  <c r="F1974" i="1" s="1"/>
  <c r="E1988" i="1"/>
  <c r="F1988" i="1" s="1"/>
  <c r="E1995" i="1"/>
  <c r="C1995" i="1"/>
  <c r="D1995" i="1" s="1"/>
  <c r="F2020" i="1"/>
  <c r="C2024" i="1"/>
  <c r="D2024" i="1" s="1"/>
  <c r="C2028" i="1"/>
  <c r="D2028" i="1" s="1"/>
  <c r="G2054" i="1"/>
  <c r="C2054" i="1"/>
  <c r="D2054" i="1" s="1"/>
  <c r="E2054" i="1"/>
  <c r="C2110" i="1"/>
  <c r="D2110" i="1" s="1"/>
  <c r="E2129" i="1"/>
  <c r="G2150" i="1"/>
  <c r="E2150" i="1"/>
  <c r="G2156" i="1"/>
  <c r="E2156" i="1"/>
  <c r="C2156" i="1"/>
  <c r="D2156" i="1" s="1"/>
  <c r="C2162" i="1"/>
  <c r="D2162" i="1" s="1"/>
  <c r="F2162" i="1" s="1"/>
  <c r="G2162" i="1"/>
  <c r="E2162" i="1"/>
  <c r="E2169" i="1"/>
  <c r="E2245" i="1"/>
  <c r="G2245" i="1"/>
  <c r="C2245" i="1"/>
  <c r="D2245" i="1" s="1"/>
  <c r="G2299" i="1"/>
  <c r="E2299" i="1"/>
  <c r="C2299" i="1"/>
  <c r="D2299" i="1" s="1"/>
  <c r="F2307" i="1"/>
  <c r="E2312" i="1"/>
  <c r="F2312" i="1" s="1"/>
  <c r="G2354" i="1"/>
  <c r="D2392" i="1"/>
  <c r="C2397" i="1"/>
  <c r="D2397" i="1" s="1"/>
  <c r="G2408" i="1"/>
  <c r="E2408" i="1"/>
  <c r="D2422" i="1"/>
  <c r="G2429" i="1"/>
  <c r="C2429" i="1"/>
  <c r="D2429" i="1" s="1"/>
  <c r="E2429" i="1"/>
  <c r="C2448" i="1"/>
  <c r="D2448" i="1" s="1"/>
  <c r="E2448" i="1"/>
  <c r="G2448" i="1"/>
  <c r="G2496" i="1"/>
  <c r="E2496" i="1"/>
  <c r="C2496" i="1"/>
  <c r="D2496" i="1" s="1"/>
  <c r="C2550" i="1"/>
  <c r="D2550" i="1" s="1"/>
  <c r="G2550" i="1"/>
  <c r="E2550" i="1"/>
  <c r="G1796" i="1"/>
  <c r="D1801" i="1"/>
  <c r="F1801" i="1" s="1"/>
  <c r="G1850" i="1"/>
  <c r="C1850" i="1"/>
  <c r="D1850" i="1" s="1"/>
  <c r="F1850" i="1" s="1"/>
  <c r="E1877" i="1"/>
  <c r="F1877" i="1" s="1"/>
  <c r="G1877" i="1"/>
  <c r="E1896" i="1"/>
  <c r="F1896" i="1" s="1"/>
  <c r="C1903" i="1"/>
  <c r="D1903" i="1" s="1"/>
  <c r="F1903" i="1" s="1"/>
  <c r="C1909" i="1"/>
  <c r="D1909" i="1" s="1"/>
  <c r="G1957" i="1"/>
  <c r="E1991" i="1"/>
  <c r="F1991" i="1" s="1"/>
  <c r="G2004" i="1"/>
  <c r="E2012" i="1"/>
  <c r="F2012" i="1" s="1"/>
  <c r="G2012" i="1"/>
  <c r="G2018" i="1"/>
  <c r="C2018" i="1"/>
  <c r="D2018" i="1" s="1"/>
  <c r="F2018" i="1" s="1"/>
  <c r="E2028" i="1"/>
  <c r="G2034" i="1"/>
  <c r="C2045" i="1"/>
  <c r="D2045" i="1" s="1"/>
  <c r="E2045" i="1"/>
  <c r="G2052" i="1"/>
  <c r="E2052" i="1"/>
  <c r="F2052" i="1" s="1"/>
  <c r="C2056" i="1"/>
  <c r="D2056" i="1" s="1"/>
  <c r="C2067" i="1"/>
  <c r="D2067" i="1" s="1"/>
  <c r="G2072" i="1"/>
  <c r="E2072" i="1"/>
  <c r="F2072" i="1" s="1"/>
  <c r="E2079" i="1"/>
  <c r="F2079" i="1" s="1"/>
  <c r="G2079" i="1"/>
  <c r="E2101" i="1"/>
  <c r="F2101" i="1" s="1"/>
  <c r="E2115" i="1"/>
  <c r="F2115" i="1" s="1"/>
  <c r="G2115" i="1"/>
  <c r="G2120" i="1"/>
  <c r="E2120" i="1"/>
  <c r="F2120" i="1" s="1"/>
  <c r="G2122" i="1"/>
  <c r="C2122" i="1"/>
  <c r="D2122" i="1" s="1"/>
  <c r="F2122" i="1" s="1"/>
  <c r="G2127" i="1"/>
  <c r="C2127" i="1"/>
  <c r="D2127" i="1" s="1"/>
  <c r="F2127" i="1" s="1"/>
  <c r="E2127" i="1"/>
  <c r="G2132" i="1"/>
  <c r="E2132" i="1"/>
  <c r="F2132" i="1" s="1"/>
  <c r="C2164" i="1"/>
  <c r="D2164" i="1" s="1"/>
  <c r="C2167" i="1"/>
  <c r="D2167" i="1" s="1"/>
  <c r="G2167" i="1"/>
  <c r="E2167" i="1"/>
  <c r="G2170" i="1"/>
  <c r="E2170" i="1"/>
  <c r="F2170" i="1" s="1"/>
  <c r="C2189" i="1"/>
  <c r="D2189" i="1" s="1"/>
  <c r="C2194" i="1"/>
  <c r="D2194" i="1" s="1"/>
  <c r="F2194" i="1" s="1"/>
  <c r="G2202" i="1"/>
  <c r="E2213" i="1"/>
  <c r="D2216" i="1"/>
  <c r="F2216" i="1" s="1"/>
  <c r="G2248" i="1"/>
  <c r="C2248" i="1"/>
  <c r="D2248" i="1" s="1"/>
  <c r="F2248" i="1" s="1"/>
  <c r="C2263" i="1"/>
  <c r="D2263" i="1" s="1"/>
  <c r="G2263" i="1"/>
  <c r="E2263" i="1"/>
  <c r="G2266" i="1"/>
  <c r="E2266" i="1"/>
  <c r="F2266" i="1" s="1"/>
  <c r="E2274" i="1"/>
  <c r="G2274" i="1"/>
  <c r="C2274" i="1"/>
  <c r="D2274" i="1" s="1"/>
  <c r="E2277" i="1"/>
  <c r="F2277" i="1" s="1"/>
  <c r="E2310" i="1"/>
  <c r="G2310" i="1"/>
  <c r="C2310" i="1"/>
  <c r="D2310" i="1" s="1"/>
  <c r="E2315" i="1"/>
  <c r="F2315" i="1" s="1"/>
  <c r="G2315" i="1"/>
  <c r="G2320" i="1"/>
  <c r="C2320" i="1"/>
  <c r="D2320" i="1" s="1"/>
  <c r="F2320" i="1" s="1"/>
  <c r="G2322" i="1"/>
  <c r="C2333" i="1"/>
  <c r="D2333" i="1" s="1"/>
  <c r="F2333" i="1" s="1"/>
  <c r="E2339" i="1"/>
  <c r="C2339" i="1"/>
  <c r="D2339" i="1" s="1"/>
  <c r="C2378" i="1"/>
  <c r="D2378" i="1" s="1"/>
  <c r="E2378" i="1"/>
  <c r="G2378" i="1"/>
  <c r="E2390" i="1"/>
  <c r="G2390" i="1"/>
  <c r="C2390" i="1"/>
  <c r="D2390" i="1" s="1"/>
  <c r="C2395" i="1"/>
  <c r="D2395" i="1" s="1"/>
  <c r="F2395" i="1" s="1"/>
  <c r="G2395" i="1"/>
  <c r="E2423" i="1"/>
  <c r="C2423" i="1"/>
  <c r="D2423" i="1" s="1"/>
  <c r="F2423" i="1" s="1"/>
  <c r="G2423" i="1"/>
  <c r="G2445" i="1"/>
  <c r="C2445" i="1"/>
  <c r="D2445" i="1" s="1"/>
  <c r="E2445" i="1"/>
  <c r="G2492" i="1"/>
  <c r="E2492" i="1"/>
  <c r="C2492" i="1"/>
  <c r="D2492" i="1" s="1"/>
  <c r="F2492" i="1" s="1"/>
  <c r="E2651" i="1"/>
  <c r="G2651" i="1"/>
  <c r="C2651" i="1"/>
  <c r="D2651" i="1" s="1"/>
  <c r="G1365" i="1"/>
  <c r="G1461" i="1"/>
  <c r="E1645" i="1"/>
  <c r="F1645" i="1" s="1"/>
  <c r="D1794" i="1"/>
  <c r="E1805" i="1"/>
  <c r="F1805" i="1" s="1"/>
  <c r="G1836" i="1"/>
  <c r="C1866" i="1"/>
  <c r="D1866" i="1" s="1"/>
  <c r="E1866" i="1"/>
  <c r="C1884" i="1"/>
  <c r="D1884" i="1" s="1"/>
  <c r="F1884" i="1" s="1"/>
  <c r="C1924" i="1"/>
  <c r="D1924" i="1" s="1"/>
  <c r="F1924" i="1" s="1"/>
  <c r="G1924" i="1"/>
  <c r="C1947" i="1"/>
  <c r="D1947" i="1" s="1"/>
  <c r="F1947" i="1" s="1"/>
  <c r="E1963" i="1"/>
  <c r="G1963" i="1"/>
  <c r="C1963" i="1"/>
  <c r="D1963" i="1" s="1"/>
  <c r="C1973" i="1"/>
  <c r="D1973" i="1" s="1"/>
  <c r="F1973" i="1" s="1"/>
  <c r="G1973" i="1"/>
  <c r="D1985" i="1"/>
  <c r="F1985" i="1" s="1"/>
  <c r="C2006" i="1"/>
  <c r="D2006" i="1" s="1"/>
  <c r="F2006" i="1" s="1"/>
  <c r="G2006" i="1"/>
  <c r="E2056" i="1"/>
  <c r="E2065" i="1"/>
  <c r="G2083" i="1"/>
  <c r="G2086" i="1"/>
  <c r="C2086" i="1"/>
  <c r="D2086" i="1" s="1"/>
  <c r="F2086" i="1" s="1"/>
  <c r="G2101" i="1"/>
  <c r="G2106" i="1"/>
  <c r="E2110" i="1"/>
  <c r="E2130" i="1"/>
  <c r="F2130" i="1" s="1"/>
  <c r="G2138" i="1"/>
  <c r="G2144" i="1"/>
  <c r="C2144" i="1"/>
  <c r="D2144" i="1" s="1"/>
  <c r="F2144" i="1" s="1"/>
  <c r="D2148" i="1"/>
  <c r="F2148" i="1" s="1"/>
  <c r="E2173" i="1"/>
  <c r="G2173" i="1"/>
  <c r="C2173" i="1"/>
  <c r="D2173" i="1" s="1"/>
  <c r="G2182" i="1"/>
  <c r="E2182" i="1"/>
  <c r="E2189" i="1"/>
  <c r="G2203" i="1"/>
  <c r="C2203" i="1"/>
  <c r="D2203" i="1" s="1"/>
  <c r="F2203" i="1" s="1"/>
  <c r="G2206" i="1"/>
  <c r="E2206" i="1"/>
  <c r="F2206" i="1" s="1"/>
  <c r="E2214" i="1"/>
  <c r="G2214" i="1"/>
  <c r="E2229" i="1"/>
  <c r="C2229" i="1"/>
  <c r="D2229" i="1" s="1"/>
  <c r="F2229" i="1" s="1"/>
  <c r="C2258" i="1"/>
  <c r="D2258" i="1" s="1"/>
  <c r="E2258" i="1"/>
  <c r="G2261" i="1"/>
  <c r="E2261" i="1"/>
  <c r="F2261" i="1" s="1"/>
  <c r="G2289" i="1"/>
  <c r="E2289" i="1"/>
  <c r="F2305" i="1"/>
  <c r="G2323" i="1"/>
  <c r="E2323" i="1"/>
  <c r="C2323" i="1"/>
  <c r="D2323" i="1" s="1"/>
  <c r="F2323" i="1" s="1"/>
  <c r="G2348" i="1"/>
  <c r="C2348" i="1"/>
  <c r="D2348" i="1" s="1"/>
  <c r="E2348" i="1"/>
  <c r="G2363" i="1"/>
  <c r="C2363" i="1"/>
  <c r="D2363" i="1" s="1"/>
  <c r="E2363" i="1"/>
  <c r="G2385" i="1"/>
  <c r="E2385" i="1"/>
  <c r="C2385" i="1"/>
  <c r="D2385" i="1" s="1"/>
  <c r="G2482" i="1"/>
  <c r="E2482" i="1"/>
  <c r="C2482" i="1"/>
  <c r="D2482" i="1" s="1"/>
  <c r="F2482" i="1" s="1"/>
  <c r="F2547" i="1"/>
  <c r="G2070" i="1"/>
  <c r="C2070" i="1"/>
  <c r="D2070" i="1" s="1"/>
  <c r="F2070" i="1" s="1"/>
  <c r="F2074" i="1"/>
  <c r="G2102" i="1"/>
  <c r="C2102" i="1"/>
  <c r="D2102" i="1" s="1"/>
  <c r="F2102" i="1" s="1"/>
  <c r="E2111" i="1"/>
  <c r="F2111" i="1" s="1"/>
  <c r="E2125" i="1"/>
  <c r="C2125" i="1"/>
  <c r="D2125" i="1" s="1"/>
  <c r="G2139" i="1"/>
  <c r="C2139" i="1"/>
  <c r="D2139" i="1" s="1"/>
  <c r="F2139" i="1" s="1"/>
  <c r="E2154" i="1"/>
  <c r="C2154" i="1"/>
  <c r="D2154" i="1" s="1"/>
  <c r="G2176" i="1"/>
  <c r="C2176" i="1"/>
  <c r="D2176" i="1" s="1"/>
  <c r="E2176" i="1"/>
  <c r="G2200" i="1"/>
  <c r="C2200" i="1"/>
  <c r="D2200" i="1" s="1"/>
  <c r="E2200" i="1"/>
  <c r="G2209" i="1"/>
  <c r="G2232" i="1"/>
  <c r="C2232" i="1"/>
  <c r="D2232" i="1" s="1"/>
  <c r="E2232" i="1"/>
  <c r="C2287" i="1"/>
  <c r="D2287" i="1" s="1"/>
  <c r="E2287" i="1"/>
  <c r="G2287" i="1"/>
  <c r="E2293" i="1"/>
  <c r="F2293" i="1" s="1"/>
  <c r="G2293" i="1"/>
  <c r="G2300" i="1"/>
  <c r="E2300" i="1"/>
  <c r="C2300" i="1"/>
  <c r="D2300" i="1" s="1"/>
  <c r="E2303" i="1"/>
  <c r="C2303" i="1"/>
  <c r="D2303" i="1" s="1"/>
  <c r="G2308" i="1"/>
  <c r="E2308" i="1"/>
  <c r="F2308" i="1" s="1"/>
  <c r="D2336" i="1"/>
  <c r="F2336" i="1" s="1"/>
  <c r="G2370" i="1"/>
  <c r="E2370" i="1"/>
  <c r="F2387" i="1"/>
  <c r="G2606" i="1"/>
  <c r="E2606" i="1"/>
  <c r="E2195" i="1"/>
  <c r="C2195" i="1"/>
  <c r="D2195" i="1" s="1"/>
  <c r="G2220" i="1"/>
  <c r="C2220" i="1"/>
  <c r="D2220" i="1" s="1"/>
  <c r="E2220" i="1"/>
  <c r="G2225" i="1"/>
  <c r="C2225" i="1"/>
  <c r="D2225" i="1" s="1"/>
  <c r="F2225" i="1" s="1"/>
  <c r="E2243" i="1"/>
  <c r="G2243" i="1"/>
  <c r="C2243" i="1"/>
  <c r="D2243" i="1" s="1"/>
  <c r="C2246" i="1"/>
  <c r="D2246" i="1" s="1"/>
  <c r="F2246" i="1" s="1"/>
  <c r="G2246" i="1"/>
  <c r="G2256" i="1"/>
  <c r="C2256" i="1"/>
  <c r="D2256" i="1" s="1"/>
  <c r="E2256" i="1"/>
  <c r="G2284" i="1"/>
  <c r="E2284" i="1"/>
  <c r="C2284" i="1"/>
  <c r="D2284" i="1" s="1"/>
  <c r="G2290" i="1"/>
  <c r="E2290" i="1"/>
  <c r="C2290" i="1"/>
  <c r="D2290" i="1" s="1"/>
  <c r="C2306" i="1"/>
  <c r="D2306" i="1" s="1"/>
  <c r="F2306" i="1" s="1"/>
  <c r="G2306" i="1"/>
  <c r="G2313" i="1"/>
  <c r="E2313" i="1"/>
  <c r="E2358" i="1"/>
  <c r="G2358" i="1"/>
  <c r="C2358" i="1"/>
  <c r="D2358" i="1" s="1"/>
  <c r="G2373" i="1"/>
  <c r="C2373" i="1"/>
  <c r="D2373" i="1" s="1"/>
  <c r="E2373" i="1"/>
  <c r="G2493" i="1"/>
  <c r="C2493" i="1"/>
  <c r="D2493" i="1" s="1"/>
  <c r="E2493" i="1"/>
  <c r="E2519" i="1"/>
  <c r="C2519" i="1"/>
  <c r="D2519" i="1" s="1"/>
  <c r="G2519" i="1"/>
  <c r="E2142" i="1"/>
  <c r="C2142" i="1"/>
  <c r="D2142" i="1" s="1"/>
  <c r="G2142" i="1"/>
  <c r="D2151" i="1"/>
  <c r="D2182" i="1"/>
  <c r="F2182" i="1" s="1"/>
  <c r="C2198" i="1"/>
  <c r="D2198" i="1" s="1"/>
  <c r="G2198" i="1"/>
  <c r="E2198" i="1"/>
  <c r="G2212" i="1"/>
  <c r="E2212" i="1"/>
  <c r="D2214" i="1"/>
  <c r="G2230" i="1"/>
  <c r="C2230" i="1"/>
  <c r="D2230" i="1" s="1"/>
  <c r="F2230" i="1" s="1"/>
  <c r="D2240" i="1"/>
  <c r="E2240" i="1"/>
  <c r="C2337" i="1"/>
  <c r="D2337" i="1" s="1"/>
  <c r="G2337" i="1"/>
  <c r="E2337" i="1"/>
  <c r="E2367" i="1"/>
  <c r="C2367" i="1"/>
  <c r="D2367" i="1" s="1"/>
  <c r="G2367" i="1"/>
  <c r="D2370" i="1"/>
  <c r="G2388" i="1"/>
  <c r="C2388" i="1"/>
  <c r="D2388" i="1" s="1"/>
  <c r="F2388" i="1" s="1"/>
  <c r="C2391" i="1"/>
  <c r="D2391" i="1" s="1"/>
  <c r="E2391" i="1"/>
  <c r="G2391" i="1"/>
  <c r="D2409" i="1"/>
  <c r="G2473" i="1"/>
  <c r="E2473" i="1"/>
  <c r="C2473" i="1"/>
  <c r="D2473" i="1" s="1"/>
  <c r="E2479" i="1"/>
  <c r="C2479" i="1"/>
  <c r="D2479" i="1" s="1"/>
  <c r="G2479" i="1"/>
  <c r="G2607" i="1"/>
  <c r="C2607" i="1"/>
  <c r="D2607" i="1" s="1"/>
  <c r="E2607" i="1"/>
  <c r="G2586" i="1"/>
  <c r="E2586" i="1"/>
  <c r="F2647" i="1"/>
  <c r="E2654" i="1"/>
  <c r="C2654" i="1"/>
  <c r="D2654" i="1" s="1"/>
  <c r="G2654" i="1"/>
  <c r="F2756" i="1"/>
  <c r="G2152" i="1"/>
  <c r="C2152" i="1"/>
  <c r="D2152" i="1" s="1"/>
  <c r="F2152" i="1" s="1"/>
  <c r="G2185" i="1"/>
  <c r="E2253" i="1"/>
  <c r="F2253" i="1" s="1"/>
  <c r="E2255" i="1"/>
  <c r="C2255" i="1"/>
  <c r="D2255" i="1" s="1"/>
  <c r="F2255" i="1" s="1"/>
  <c r="D2271" i="1"/>
  <c r="F2271" i="1" s="1"/>
  <c r="G2278" i="1"/>
  <c r="C2278" i="1"/>
  <c r="D2278" i="1" s="1"/>
  <c r="G2280" i="1"/>
  <c r="C2280" i="1"/>
  <c r="D2280" i="1" s="1"/>
  <c r="F2280" i="1" s="1"/>
  <c r="D2334" i="1"/>
  <c r="C2352" i="1"/>
  <c r="D2352" i="1" s="1"/>
  <c r="E2352" i="1"/>
  <c r="G2360" i="1"/>
  <c r="E2360" i="1"/>
  <c r="C2360" i="1"/>
  <c r="D2360" i="1" s="1"/>
  <c r="C2415" i="1"/>
  <c r="D2415" i="1" s="1"/>
  <c r="E2415" i="1"/>
  <c r="D2428" i="1"/>
  <c r="F2428" i="1" s="1"/>
  <c r="C2474" i="1"/>
  <c r="D2474" i="1" s="1"/>
  <c r="G2474" i="1"/>
  <c r="D2476" i="1"/>
  <c r="E2486" i="1"/>
  <c r="C2486" i="1"/>
  <c r="D2486" i="1" s="1"/>
  <c r="G2486" i="1"/>
  <c r="D2514" i="1"/>
  <c r="C2527" i="1"/>
  <c r="D2527" i="1" s="1"/>
  <c r="E2527" i="1"/>
  <c r="E2596" i="1"/>
  <c r="F2596" i="1" s="1"/>
  <c r="C2635" i="1"/>
  <c r="D2635" i="1" s="1"/>
  <c r="G2635" i="1"/>
  <c r="E2635" i="1"/>
  <c r="E1755" i="1"/>
  <c r="E1829" i="1"/>
  <c r="E1879" i="1"/>
  <c r="G1953" i="1"/>
  <c r="C2009" i="1"/>
  <c r="D2009" i="1" s="1"/>
  <c r="E2009" i="1"/>
  <c r="E2011" i="1"/>
  <c r="G2032" i="1"/>
  <c r="D2037" i="1"/>
  <c r="F2037" i="1" s="1"/>
  <c r="E2039" i="1"/>
  <c r="F2039" i="1" s="1"/>
  <c r="G2148" i="1"/>
  <c r="D2150" i="1"/>
  <c r="F2150" i="1" s="1"/>
  <c r="G2187" i="1"/>
  <c r="G2276" i="1"/>
  <c r="E2276" i="1"/>
  <c r="C2276" i="1"/>
  <c r="D2276" i="1" s="1"/>
  <c r="G2297" i="1"/>
  <c r="C2297" i="1"/>
  <c r="D2297" i="1" s="1"/>
  <c r="F2297" i="1" s="1"/>
  <c r="G2302" i="1"/>
  <c r="C2302" i="1"/>
  <c r="D2302" i="1" s="1"/>
  <c r="F2302" i="1" s="1"/>
  <c r="D2313" i="1"/>
  <c r="F2313" i="1" s="1"/>
  <c r="E2317" i="1"/>
  <c r="G2317" i="1"/>
  <c r="G2326" i="1"/>
  <c r="E2326" i="1"/>
  <c r="F2326" i="1" s="1"/>
  <c r="G2355" i="1"/>
  <c r="E2355" i="1"/>
  <c r="C2355" i="1"/>
  <c r="D2355" i="1" s="1"/>
  <c r="G2365" i="1"/>
  <c r="E2365" i="1"/>
  <c r="C2365" i="1"/>
  <c r="D2365" i="1" s="1"/>
  <c r="D2412" i="1"/>
  <c r="D2420" i="1"/>
  <c r="F2420" i="1" s="1"/>
  <c r="F2426" i="1"/>
  <c r="C2443" i="1"/>
  <c r="D2443" i="1" s="1"/>
  <c r="F2443" i="1" s="1"/>
  <c r="G2443" i="1"/>
  <c r="G2446" i="1"/>
  <c r="C2446" i="1"/>
  <c r="D2446" i="1" s="1"/>
  <c r="F2446" i="1" s="1"/>
  <c r="G2449" i="1"/>
  <c r="E2449" i="1"/>
  <c r="G2452" i="1"/>
  <c r="E2452" i="1"/>
  <c r="C2452" i="1"/>
  <c r="D2452" i="1" s="1"/>
  <c r="E2480" i="1"/>
  <c r="C2480" i="1"/>
  <c r="D2480" i="1" s="1"/>
  <c r="F2480" i="1" s="1"/>
  <c r="D2502" i="1"/>
  <c r="F2502" i="1" s="1"/>
  <c r="G2524" i="1"/>
  <c r="E2524" i="1"/>
  <c r="C2524" i="1"/>
  <c r="D2524" i="1" s="1"/>
  <c r="G2538" i="1"/>
  <c r="E2538" i="1"/>
  <c r="G2569" i="1"/>
  <c r="E2569" i="1"/>
  <c r="C2569" i="1"/>
  <c r="D2569" i="1" s="1"/>
  <c r="G2623" i="1"/>
  <c r="E2623" i="1"/>
  <c r="C2623" i="1"/>
  <c r="D2623" i="1" s="1"/>
  <c r="F2623" i="1" s="1"/>
  <c r="G2487" i="1"/>
  <c r="C2487" i="1"/>
  <c r="D2487" i="1" s="1"/>
  <c r="F2487" i="1" s="1"/>
  <c r="G2494" i="1"/>
  <c r="C2494" i="1"/>
  <c r="D2494" i="1" s="1"/>
  <c r="E2494" i="1"/>
  <c r="E2500" i="1"/>
  <c r="C2500" i="1"/>
  <c r="D2500" i="1" s="1"/>
  <c r="G2502" i="1"/>
  <c r="E2506" i="1"/>
  <c r="C2506" i="1"/>
  <c r="D2506" i="1" s="1"/>
  <c r="F2506" i="1" s="1"/>
  <c r="G2506" i="1"/>
  <c r="E2608" i="1"/>
  <c r="C2608" i="1"/>
  <c r="D2608" i="1" s="1"/>
  <c r="G2608" i="1"/>
  <c r="E2686" i="1"/>
  <c r="C2686" i="1"/>
  <c r="D2686" i="1" s="1"/>
  <c r="G2686" i="1"/>
  <c r="D2408" i="1"/>
  <c r="C2458" i="1"/>
  <c r="D2458" i="1" s="1"/>
  <c r="F2458" i="1" s="1"/>
  <c r="G2458" i="1"/>
  <c r="G2461" i="1"/>
  <c r="E2461" i="1"/>
  <c r="C2461" i="1"/>
  <c r="D2461" i="1" s="1"/>
  <c r="E2474" i="1"/>
  <c r="C2503" i="1"/>
  <c r="D2503" i="1" s="1"/>
  <c r="G2503" i="1"/>
  <c r="E2503" i="1"/>
  <c r="E2512" i="1"/>
  <c r="G2512" i="1"/>
  <c r="C2512" i="1"/>
  <c r="D2512" i="1" s="1"/>
  <c r="G2527" i="1"/>
  <c r="G2573" i="1"/>
  <c r="E2573" i="1"/>
  <c r="C2573" i="1"/>
  <c r="D2573" i="1" s="1"/>
  <c r="F2573" i="1" s="1"/>
  <c r="G2588" i="1"/>
  <c r="C2588" i="1"/>
  <c r="D2588" i="1" s="1"/>
  <c r="F2588" i="1" s="1"/>
  <c r="G2669" i="1"/>
  <c r="E2669" i="1"/>
  <c r="C2669" i="1"/>
  <c r="D2669" i="1" s="1"/>
  <c r="G2726" i="1"/>
  <c r="E2726" i="1"/>
  <c r="C2726" i="1"/>
  <c r="D2726" i="1" s="1"/>
  <c r="E1807" i="1"/>
  <c r="F1807" i="1" s="1"/>
  <c r="G1881" i="1"/>
  <c r="D1921" i="1"/>
  <c r="E1971" i="1"/>
  <c r="E1992" i="1"/>
  <c r="G2074" i="1"/>
  <c r="G2084" i="1"/>
  <c r="E2084" i="1"/>
  <c r="G2092" i="1"/>
  <c r="G2096" i="1"/>
  <c r="C2121" i="1"/>
  <c r="D2121" i="1" s="1"/>
  <c r="F2121" i="1" s="1"/>
  <c r="G2121" i="1"/>
  <c r="D2187" i="1"/>
  <c r="F2187" i="1" s="1"/>
  <c r="E2207" i="1"/>
  <c r="C2207" i="1"/>
  <c r="D2207" i="1" s="1"/>
  <c r="G2211" i="1"/>
  <c r="E2211" i="1"/>
  <c r="C2211" i="1"/>
  <c r="D2211" i="1" s="1"/>
  <c r="F2211" i="1" s="1"/>
  <c r="G2233" i="1"/>
  <c r="G2247" i="1"/>
  <c r="E2247" i="1"/>
  <c r="E2251" i="1"/>
  <c r="F2251" i="1" s="1"/>
  <c r="G2255" i="1"/>
  <c r="G2272" i="1"/>
  <c r="C2272" i="1"/>
  <c r="D2272" i="1" s="1"/>
  <c r="E2272" i="1"/>
  <c r="E2278" i="1"/>
  <c r="D2317" i="1"/>
  <c r="G2329" i="1"/>
  <c r="G2353" i="1"/>
  <c r="C2353" i="1"/>
  <c r="D2353" i="1" s="1"/>
  <c r="G2361" i="1"/>
  <c r="E2361" i="1"/>
  <c r="C2361" i="1"/>
  <c r="D2361" i="1" s="1"/>
  <c r="G2366" i="1"/>
  <c r="C2366" i="1"/>
  <c r="D2366" i="1" s="1"/>
  <c r="G2382" i="1"/>
  <c r="E2382" i="1"/>
  <c r="G2396" i="1"/>
  <c r="E2396" i="1"/>
  <c r="C2396" i="1"/>
  <c r="D2396" i="1" s="1"/>
  <c r="G2415" i="1"/>
  <c r="D2418" i="1"/>
  <c r="G2427" i="1"/>
  <c r="E2427" i="1"/>
  <c r="G2433" i="1"/>
  <c r="E2433" i="1"/>
  <c r="C2433" i="1"/>
  <c r="D2433" i="1" s="1"/>
  <c r="F2438" i="1"/>
  <c r="D2449" i="1"/>
  <c r="C2467" i="1"/>
  <c r="D2467" i="1" s="1"/>
  <c r="E2467" i="1"/>
  <c r="G2481" i="1"/>
  <c r="E2481" i="1"/>
  <c r="E2495" i="1"/>
  <c r="G2495" i="1"/>
  <c r="D2521" i="1"/>
  <c r="C2570" i="1"/>
  <c r="D2570" i="1" s="1"/>
  <c r="E2570" i="1"/>
  <c r="G2570" i="1"/>
  <c r="E2865" i="1"/>
  <c r="C2865" i="1"/>
  <c r="D2865" i="1" s="1"/>
  <c r="G2865" i="1"/>
  <c r="G2430" i="1"/>
  <c r="E2430" i="1"/>
  <c r="C2430" i="1"/>
  <c r="D2430" i="1" s="1"/>
  <c r="G2465" i="1"/>
  <c r="E2465" i="1"/>
  <c r="F2465" i="1" s="1"/>
  <c r="C2491" i="1"/>
  <c r="D2491" i="1" s="1"/>
  <c r="E2491" i="1"/>
  <c r="G2491" i="1"/>
  <c r="C2522" i="1"/>
  <c r="D2522" i="1" s="1"/>
  <c r="G2522" i="1"/>
  <c r="E2522" i="1"/>
  <c r="E2536" i="1"/>
  <c r="G2536" i="1"/>
  <c r="C2536" i="1"/>
  <c r="D2536" i="1" s="1"/>
  <c r="G2564" i="1"/>
  <c r="C2564" i="1"/>
  <c r="D2564" i="1" s="1"/>
  <c r="F2564" i="1" s="1"/>
  <c r="E2564" i="1"/>
  <c r="G2577" i="1"/>
  <c r="E2577" i="1"/>
  <c r="C2577" i="1"/>
  <c r="D2577" i="1" s="1"/>
  <c r="G2598" i="1"/>
  <c r="E2598" i="1"/>
  <c r="E2798" i="1"/>
  <c r="C2798" i="1"/>
  <c r="D2798" i="1" s="1"/>
  <c r="F2798" i="1" s="1"/>
  <c r="G2798" i="1"/>
  <c r="E2175" i="1"/>
  <c r="D2199" i="1"/>
  <c r="E2250" i="1"/>
  <c r="G2254" i="1"/>
  <c r="E2254" i="1"/>
  <c r="F2254" i="1" s="1"/>
  <c r="D2262" i="1"/>
  <c r="G2281" i="1"/>
  <c r="C2318" i="1"/>
  <c r="D2318" i="1" s="1"/>
  <c r="E2318" i="1"/>
  <c r="G2344" i="1"/>
  <c r="E2344" i="1"/>
  <c r="C2344" i="1"/>
  <c r="D2344" i="1" s="1"/>
  <c r="G2369" i="1"/>
  <c r="E2369" i="1"/>
  <c r="C2369" i="1"/>
  <c r="D2369" i="1" s="1"/>
  <c r="G2372" i="1"/>
  <c r="C2372" i="1"/>
  <c r="D2372" i="1" s="1"/>
  <c r="E2372" i="1"/>
  <c r="G2377" i="1"/>
  <c r="E2377" i="1"/>
  <c r="C2377" i="1"/>
  <c r="D2377" i="1" s="1"/>
  <c r="E2416" i="1"/>
  <c r="C2416" i="1"/>
  <c r="D2416" i="1" s="1"/>
  <c r="F2416" i="1" s="1"/>
  <c r="G2416" i="1"/>
  <c r="C2419" i="1"/>
  <c r="D2419" i="1" s="1"/>
  <c r="G2419" i="1"/>
  <c r="E2419" i="1"/>
  <c r="G2444" i="1"/>
  <c r="C2444" i="1"/>
  <c r="D2444" i="1" s="1"/>
  <c r="F2444" i="1" s="1"/>
  <c r="E2447" i="1"/>
  <c r="G2447" i="1"/>
  <c r="C2447" i="1"/>
  <c r="D2447" i="1" s="1"/>
  <c r="C2546" i="1"/>
  <c r="D2546" i="1" s="1"/>
  <c r="G2546" i="1"/>
  <c r="E2546" i="1"/>
  <c r="G2561" i="1"/>
  <c r="E2561" i="1"/>
  <c r="C2561" i="1"/>
  <c r="D2561" i="1" s="1"/>
  <c r="F2561" i="1" s="1"/>
  <c r="G2599" i="1"/>
  <c r="E2599" i="1"/>
  <c r="C2599" i="1"/>
  <c r="D2599" i="1" s="1"/>
  <c r="F2599" i="1" s="1"/>
  <c r="G2801" i="1"/>
  <c r="E2801" i="1"/>
  <c r="C2801" i="1"/>
  <c r="D2801" i="1" s="1"/>
  <c r="G2804" i="1"/>
  <c r="E2804" i="1"/>
  <c r="E1899" i="1"/>
  <c r="E1921" i="1"/>
  <c r="C1971" i="1"/>
  <c r="D1971" i="1" s="1"/>
  <c r="C1992" i="1"/>
  <c r="D1992" i="1" s="1"/>
  <c r="G2039" i="1"/>
  <c r="C2084" i="1"/>
  <c r="D2084" i="1" s="1"/>
  <c r="C2088" i="1"/>
  <c r="D2088" i="1" s="1"/>
  <c r="F2088" i="1" s="1"/>
  <c r="C2092" i="1"/>
  <c r="D2092" i="1" s="1"/>
  <c r="F2092" i="1" s="1"/>
  <c r="C2096" i="1"/>
  <c r="D2096" i="1" s="1"/>
  <c r="F2096" i="1" s="1"/>
  <c r="E2121" i="1"/>
  <c r="G2128" i="1"/>
  <c r="C2128" i="1"/>
  <c r="D2128" i="1" s="1"/>
  <c r="F2128" i="1" s="1"/>
  <c r="D2145" i="1"/>
  <c r="F2145" i="1" s="1"/>
  <c r="E2149" i="1"/>
  <c r="F2149" i="1" s="1"/>
  <c r="G2149" i="1"/>
  <c r="G2151" i="1"/>
  <c r="E2151" i="1"/>
  <c r="G2158" i="1"/>
  <c r="D2223" i="1"/>
  <c r="F2223" i="1" s="1"/>
  <c r="D2235" i="1"/>
  <c r="F2235" i="1" s="1"/>
  <c r="G2252" i="1"/>
  <c r="E2252" i="1"/>
  <c r="E2279" i="1"/>
  <c r="C2279" i="1"/>
  <c r="D2279" i="1" s="1"/>
  <c r="G2283" i="1"/>
  <c r="E2283" i="1"/>
  <c r="C2283" i="1"/>
  <c r="D2283" i="1" s="1"/>
  <c r="C2309" i="1"/>
  <c r="D2309" i="1" s="1"/>
  <c r="F2309" i="1" s="1"/>
  <c r="G2316" i="1"/>
  <c r="E2316" i="1"/>
  <c r="F2316" i="1" s="1"/>
  <c r="E2327" i="1"/>
  <c r="C2327" i="1"/>
  <c r="D2327" i="1" s="1"/>
  <c r="C2331" i="1"/>
  <c r="D2331" i="1" s="1"/>
  <c r="F2331" i="1" s="1"/>
  <c r="E2351" i="1"/>
  <c r="C2351" i="1"/>
  <c r="D2351" i="1" s="1"/>
  <c r="F2351" i="1" s="1"/>
  <c r="E2353" i="1"/>
  <c r="E2366" i="1"/>
  <c r="C2382" i="1"/>
  <c r="D2382" i="1" s="1"/>
  <c r="G2414" i="1"/>
  <c r="C2424" i="1"/>
  <c r="D2424" i="1" s="1"/>
  <c r="F2424" i="1" s="1"/>
  <c r="C2427" i="1"/>
  <c r="D2427" i="1" s="1"/>
  <c r="G2434" i="1"/>
  <c r="C2434" i="1"/>
  <c r="D2434" i="1" s="1"/>
  <c r="F2434" i="1" s="1"/>
  <c r="C2481" i="1"/>
  <c r="D2481" i="1" s="1"/>
  <c r="C2495" i="1"/>
  <c r="D2495" i="1" s="1"/>
  <c r="E2510" i="1"/>
  <c r="C2510" i="1"/>
  <c r="D2510" i="1" s="1"/>
  <c r="F2510" i="1" s="1"/>
  <c r="G2510" i="1"/>
  <c r="D2533" i="1"/>
  <c r="G2592" i="1"/>
  <c r="D2618" i="1"/>
  <c r="F2618" i="1" s="1"/>
  <c r="G2633" i="1"/>
  <c r="C2633" i="1"/>
  <c r="D2633" i="1" s="1"/>
  <c r="E2633" i="1"/>
  <c r="G2643" i="1"/>
  <c r="C2643" i="1"/>
  <c r="D2643" i="1" s="1"/>
  <c r="E2643" i="1"/>
  <c r="E2759" i="1"/>
  <c r="G2759" i="1"/>
  <c r="C2759" i="1"/>
  <c r="D2759" i="1" s="1"/>
  <c r="F2759" i="1" s="1"/>
  <c r="D2406" i="1"/>
  <c r="F2406" i="1" s="1"/>
  <c r="E2418" i="1"/>
  <c r="E2431" i="1"/>
  <c r="F2431" i="1" s="1"/>
  <c r="G2460" i="1"/>
  <c r="E2460" i="1"/>
  <c r="C2460" i="1"/>
  <c r="D2460" i="1" s="1"/>
  <c r="G2483" i="1"/>
  <c r="E2488" i="1"/>
  <c r="E2490" i="1"/>
  <c r="F2490" i="1" s="1"/>
  <c r="G2505" i="1"/>
  <c r="E2505" i="1"/>
  <c r="C2505" i="1"/>
  <c r="D2505" i="1" s="1"/>
  <c r="F2505" i="1" s="1"/>
  <c r="D2516" i="1"/>
  <c r="F2516" i="1" s="1"/>
  <c r="E2526" i="1"/>
  <c r="F2526" i="1" s="1"/>
  <c r="G2544" i="1"/>
  <c r="E2544" i="1"/>
  <c r="C2544" i="1"/>
  <c r="D2544" i="1" s="1"/>
  <c r="C2555" i="1"/>
  <c r="D2555" i="1" s="1"/>
  <c r="G2555" i="1"/>
  <c r="E2583" i="1"/>
  <c r="C2583" i="1"/>
  <c r="D2583" i="1" s="1"/>
  <c r="G2583" i="1"/>
  <c r="G2628" i="1"/>
  <c r="G2729" i="1"/>
  <c r="E2729" i="1"/>
  <c r="C2729" i="1"/>
  <c r="D2729" i="1" s="1"/>
  <c r="F2729" i="1" s="1"/>
  <c r="E2768" i="1"/>
  <c r="G2768" i="1"/>
  <c r="D2812" i="1"/>
  <c r="G2952" i="1"/>
  <c r="E2159" i="1"/>
  <c r="C2159" i="1"/>
  <c r="D2159" i="1" s="1"/>
  <c r="E2197" i="1"/>
  <c r="F2197" i="1" s="1"/>
  <c r="E2269" i="1"/>
  <c r="F2269" i="1" s="1"/>
  <c r="D2354" i="1"/>
  <c r="F2354" i="1" s="1"/>
  <c r="G2406" i="1"/>
  <c r="G2421" i="1"/>
  <c r="E2421" i="1"/>
  <c r="F2421" i="1" s="1"/>
  <c r="G2436" i="1"/>
  <c r="G2472" i="1"/>
  <c r="C2472" i="1"/>
  <c r="D2472" i="1" s="1"/>
  <c r="F2472" i="1" s="1"/>
  <c r="C2483" i="1"/>
  <c r="D2483" i="1" s="1"/>
  <c r="C2488" i="1"/>
  <c r="D2488" i="1" s="1"/>
  <c r="G2501" i="1"/>
  <c r="C2501" i="1"/>
  <c r="D2501" i="1" s="1"/>
  <c r="F2501" i="1" s="1"/>
  <c r="E2507" i="1"/>
  <c r="F2507" i="1" s="1"/>
  <c r="G2597" i="1"/>
  <c r="E2597" i="1"/>
  <c r="C2597" i="1"/>
  <c r="D2597" i="1" s="1"/>
  <c r="F2597" i="1" s="1"/>
  <c r="G2621" i="1"/>
  <c r="C2621" i="1"/>
  <c r="D2621" i="1" s="1"/>
  <c r="E2621" i="1"/>
  <c r="E2628" i="1"/>
  <c r="F2628" i="1" s="1"/>
  <c r="C2655" i="1"/>
  <c r="D2655" i="1" s="1"/>
  <c r="E2655" i="1"/>
  <c r="D2733" i="1"/>
  <c r="G2733" i="1"/>
  <c r="E2733" i="1"/>
  <c r="D2049" i="1"/>
  <c r="D2065" i="1"/>
  <c r="D2081" i="1"/>
  <c r="F2081" i="1" s="1"/>
  <c r="D2097" i="1"/>
  <c r="F2097" i="1" s="1"/>
  <c r="D2113" i="1"/>
  <c r="F2113" i="1" s="1"/>
  <c r="G2137" i="1"/>
  <c r="G2163" i="1"/>
  <c r="D2175" i="1"/>
  <c r="E2190" i="1"/>
  <c r="F2190" i="1" s="1"/>
  <c r="D2217" i="1"/>
  <c r="F2217" i="1" s="1"/>
  <c r="G2224" i="1"/>
  <c r="C2224" i="1"/>
  <c r="D2224" i="1" s="1"/>
  <c r="F2224" i="1" s="1"/>
  <c r="E2226" i="1"/>
  <c r="F2226" i="1" s="1"/>
  <c r="G2235" i="1"/>
  <c r="D2247" i="1"/>
  <c r="E2262" i="1"/>
  <c r="D2289" i="1"/>
  <c r="G2296" i="1"/>
  <c r="C2296" i="1"/>
  <c r="D2296" i="1" s="1"/>
  <c r="F2296" i="1" s="1"/>
  <c r="E2298" i="1"/>
  <c r="G2307" i="1"/>
  <c r="D2319" i="1"/>
  <c r="F2319" i="1" s="1"/>
  <c r="E2334" i="1"/>
  <c r="E2341" i="1"/>
  <c r="F2341" i="1" s="1"/>
  <c r="D2346" i="1"/>
  <c r="F2346" i="1" s="1"/>
  <c r="G2376" i="1"/>
  <c r="E2376" i="1"/>
  <c r="F2376" i="1" s="1"/>
  <c r="E2383" i="1"/>
  <c r="G2383" i="1"/>
  <c r="D2389" i="1"/>
  <c r="G2441" i="1"/>
  <c r="C2441" i="1"/>
  <c r="D2441" i="1" s="1"/>
  <c r="E2441" i="1"/>
  <c r="D2450" i="1"/>
  <c r="F2450" i="1" s="1"/>
  <c r="E2483" i="1"/>
  <c r="G2488" i="1"/>
  <c r="F2529" i="1"/>
  <c r="E2555" i="1"/>
  <c r="D2576" i="1"/>
  <c r="C2579" i="1"/>
  <c r="D2579" i="1" s="1"/>
  <c r="G2579" i="1"/>
  <c r="E2579" i="1"/>
  <c r="D2624" i="1"/>
  <c r="F2624" i="1" s="1"/>
  <c r="E2639" i="1"/>
  <c r="C2639" i="1"/>
  <c r="D2639" i="1" s="1"/>
  <c r="G2639" i="1"/>
  <c r="E2642" i="1"/>
  <c r="C2642" i="1"/>
  <c r="D2642" i="1" s="1"/>
  <c r="C2671" i="1"/>
  <c r="D2671" i="1" s="1"/>
  <c r="E2671" i="1"/>
  <c r="G2671" i="1"/>
  <c r="E2674" i="1"/>
  <c r="G2674" i="1"/>
  <c r="C2674" i="1"/>
  <c r="D2674" i="1" s="1"/>
  <c r="G2703" i="1"/>
  <c r="E2703" i="1"/>
  <c r="C2703" i="1"/>
  <c r="D2703" i="1" s="1"/>
  <c r="E2727" i="1"/>
  <c r="F2727" i="1" s="1"/>
  <c r="G2727" i="1"/>
  <c r="E2746" i="1"/>
  <c r="C2746" i="1"/>
  <c r="D2746" i="1" s="1"/>
  <c r="F2746" i="1" s="1"/>
  <c r="G2746" i="1"/>
  <c r="G2749" i="1"/>
  <c r="E2749" i="1"/>
  <c r="C2749" i="1"/>
  <c r="D2749" i="1" s="1"/>
  <c r="E2754" i="1"/>
  <c r="C2754" i="1"/>
  <c r="D2754" i="1" s="1"/>
  <c r="G2754" i="1"/>
  <c r="G2271" i="1"/>
  <c r="G2357" i="1"/>
  <c r="C2357" i="1"/>
  <c r="D2357" i="1" s="1"/>
  <c r="F2357" i="1" s="1"/>
  <c r="G2359" i="1"/>
  <c r="G2379" i="1"/>
  <c r="C2379" i="1"/>
  <c r="D2379" i="1" s="1"/>
  <c r="F2379" i="1" s="1"/>
  <c r="D2393" i="1"/>
  <c r="F2393" i="1" s="1"/>
  <c r="G2398" i="1"/>
  <c r="C2398" i="1"/>
  <c r="D2398" i="1" s="1"/>
  <c r="F2398" i="1" s="1"/>
  <c r="G2409" i="1"/>
  <c r="E2409" i="1"/>
  <c r="G2413" i="1"/>
  <c r="C2413" i="1"/>
  <c r="D2413" i="1" s="1"/>
  <c r="G2428" i="1"/>
  <c r="G2437" i="1"/>
  <c r="C2437" i="1"/>
  <c r="D2437" i="1" s="1"/>
  <c r="F2437" i="1" s="1"/>
  <c r="G2439" i="1"/>
  <c r="E2439" i="1"/>
  <c r="F2439" i="1" s="1"/>
  <c r="E2464" i="1"/>
  <c r="G2475" i="1"/>
  <c r="C2475" i="1"/>
  <c r="D2475" i="1" s="1"/>
  <c r="F2475" i="1" s="1"/>
  <c r="G2477" i="1"/>
  <c r="E2477" i="1"/>
  <c r="F2477" i="1" s="1"/>
  <c r="E2484" i="1"/>
  <c r="C2484" i="1"/>
  <c r="D2484" i="1" s="1"/>
  <c r="G2489" i="1"/>
  <c r="E2489" i="1"/>
  <c r="C2489" i="1"/>
  <c r="D2489" i="1" s="1"/>
  <c r="G2499" i="1"/>
  <c r="C2499" i="1"/>
  <c r="D2499" i="1" s="1"/>
  <c r="E2499" i="1"/>
  <c r="E2508" i="1"/>
  <c r="F2508" i="1" s="1"/>
  <c r="G2508" i="1"/>
  <c r="C2515" i="1"/>
  <c r="D2515" i="1" s="1"/>
  <c r="F2515" i="1" s="1"/>
  <c r="G2515" i="1"/>
  <c r="G2525" i="1"/>
  <c r="E2525" i="1"/>
  <c r="C2525" i="1"/>
  <c r="D2525" i="1" s="1"/>
  <c r="G2534" i="1"/>
  <c r="E2534" i="1"/>
  <c r="C2534" i="1"/>
  <c r="D2534" i="1" s="1"/>
  <c r="F2534" i="1" s="1"/>
  <c r="G2553" i="1"/>
  <c r="E2553" i="1"/>
  <c r="E2559" i="1"/>
  <c r="C2559" i="1"/>
  <c r="D2559" i="1" s="1"/>
  <c r="G2559" i="1"/>
  <c r="G2565" i="1"/>
  <c r="C2565" i="1"/>
  <c r="D2565" i="1" s="1"/>
  <c r="E2565" i="1"/>
  <c r="D2592" i="1"/>
  <c r="F2592" i="1" s="1"/>
  <c r="D2600" i="1"/>
  <c r="F2605" i="1"/>
  <c r="G2646" i="1"/>
  <c r="E2646" i="1"/>
  <c r="C2646" i="1"/>
  <c r="D2646" i="1" s="1"/>
  <c r="C2658" i="1"/>
  <c r="D2658" i="1" s="1"/>
  <c r="G2658" i="1"/>
  <c r="E2658" i="1"/>
  <c r="G2661" i="1"/>
  <c r="E2661" i="1"/>
  <c r="C2661" i="1"/>
  <c r="D2661" i="1" s="1"/>
  <c r="G2664" i="1"/>
  <c r="E2664" i="1"/>
  <c r="E2680" i="1"/>
  <c r="C2680" i="1"/>
  <c r="D2680" i="1" s="1"/>
  <c r="F2680" i="1" s="1"/>
  <c r="G2680" i="1"/>
  <c r="E2690" i="1"/>
  <c r="F2690" i="1" s="1"/>
  <c r="G2690" i="1"/>
  <c r="C2696" i="1"/>
  <c r="D2696" i="1" s="1"/>
  <c r="G2696" i="1"/>
  <c r="E2696" i="1"/>
  <c r="F2470" i="1"/>
  <c r="G2513" i="1"/>
  <c r="C2513" i="1"/>
  <c r="D2513" i="1" s="1"/>
  <c r="F2513" i="1" s="1"/>
  <c r="D2517" i="1"/>
  <c r="G2520" i="1"/>
  <c r="E2520" i="1"/>
  <c r="E2530" i="1"/>
  <c r="C2530" i="1"/>
  <c r="D2530" i="1" s="1"/>
  <c r="F2530" i="1" s="1"/>
  <c r="G2571" i="1"/>
  <c r="E2571" i="1"/>
  <c r="C2571" i="1"/>
  <c r="D2571" i="1" s="1"/>
  <c r="E2574" i="1"/>
  <c r="G2587" i="1"/>
  <c r="C2587" i="1"/>
  <c r="D2587" i="1" s="1"/>
  <c r="E2587" i="1"/>
  <c r="D2664" i="1"/>
  <c r="F2664" i="1" s="1"/>
  <c r="C2700" i="1"/>
  <c r="D2700" i="1" s="1"/>
  <c r="G2700" i="1"/>
  <c r="E2700" i="1"/>
  <c r="G2709" i="1"/>
  <c r="C2709" i="1"/>
  <c r="D2709" i="1" s="1"/>
  <c r="F2709" i="1" s="1"/>
  <c r="G2715" i="1"/>
  <c r="E2715" i="1"/>
  <c r="C2715" i="1"/>
  <c r="D2715" i="1" s="1"/>
  <c r="E2790" i="1"/>
  <c r="C2790" i="1"/>
  <c r="D2790" i="1" s="1"/>
  <c r="G2790" i="1"/>
  <c r="E2793" i="1"/>
  <c r="C2793" i="1"/>
  <c r="D2793" i="1" s="1"/>
  <c r="G2793" i="1"/>
  <c r="E2838" i="1"/>
  <c r="C2838" i="1"/>
  <c r="D2838" i="1" s="1"/>
  <c r="F2838" i="1" s="1"/>
  <c r="G2838" i="1"/>
  <c r="C2442" i="1"/>
  <c r="D2442" i="1" s="1"/>
  <c r="E2442" i="1"/>
  <c r="G2462" i="1"/>
  <c r="E2462" i="1"/>
  <c r="C2462" i="1"/>
  <c r="D2462" i="1" s="1"/>
  <c r="D2464" i="1"/>
  <c r="G2485" i="1"/>
  <c r="E2485" i="1"/>
  <c r="F2485" i="1" s="1"/>
  <c r="E2511" i="1"/>
  <c r="C2511" i="1"/>
  <c r="D2511" i="1" s="1"/>
  <c r="G2523" i="1"/>
  <c r="C2523" i="1"/>
  <c r="D2523" i="1" s="1"/>
  <c r="F2523" i="1" s="1"/>
  <c r="D2553" i="1"/>
  <c r="G2617" i="1"/>
  <c r="E2617" i="1"/>
  <c r="C2617" i="1"/>
  <c r="D2617" i="1" s="1"/>
  <c r="F2629" i="1"/>
  <c r="E2632" i="1"/>
  <c r="C2632" i="1"/>
  <c r="D2632" i="1" s="1"/>
  <c r="F2632" i="1" s="1"/>
  <c r="D2649" i="1"/>
  <c r="F2649" i="1" s="1"/>
  <c r="E2678" i="1"/>
  <c r="G2678" i="1"/>
  <c r="C2678" i="1"/>
  <c r="D2678" i="1" s="1"/>
  <c r="G2691" i="1"/>
  <c r="E2691" i="1"/>
  <c r="C2691" i="1"/>
  <c r="D2691" i="1" s="1"/>
  <c r="G2697" i="1"/>
  <c r="C2697" i="1"/>
  <c r="D2697" i="1" s="1"/>
  <c r="E2697" i="1"/>
  <c r="G2787" i="1"/>
  <c r="E2787" i="1"/>
  <c r="C2787" i="1"/>
  <c r="D2787" i="1" s="1"/>
  <c r="G2295" i="1"/>
  <c r="D2343" i="1"/>
  <c r="F2343" i="1" s="1"/>
  <c r="E2384" i="1"/>
  <c r="C2384" i="1"/>
  <c r="D2384" i="1" s="1"/>
  <c r="G2401" i="1"/>
  <c r="C2401" i="1"/>
  <c r="D2401" i="1" s="1"/>
  <c r="F2401" i="1" s="1"/>
  <c r="G2403" i="1"/>
  <c r="C2403" i="1"/>
  <c r="D2403" i="1" s="1"/>
  <c r="E2403" i="1"/>
  <c r="E2413" i="1"/>
  <c r="E2422" i="1"/>
  <c r="E2455" i="1"/>
  <c r="C2455" i="1"/>
  <c r="D2455" i="1" s="1"/>
  <c r="C2457" i="1"/>
  <c r="D2457" i="1" s="1"/>
  <c r="F2457" i="1" s="1"/>
  <c r="E2471" i="1"/>
  <c r="F2471" i="1" s="1"/>
  <c r="G2471" i="1"/>
  <c r="G2478" i="1"/>
  <c r="E2478" i="1"/>
  <c r="F2478" i="1" s="1"/>
  <c r="D2504" i="1"/>
  <c r="F2504" i="1" s="1"/>
  <c r="G2509" i="1"/>
  <c r="C2509" i="1"/>
  <c r="D2509" i="1" s="1"/>
  <c r="F2509" i="1" s="1"/>
  <c r="D2520" i="1"/>
  <c r="E2554" i="1"/>
  <c r="G2554" i="1"/>
  <c r="C2554" i="1"/>
  <c r="D2554" i="1" s="1"/>
  <c r="E2590" i="1"/>
  <c r="F2590" i="1" s="1"/>
  <c r="F2595" i="1"/>
  <c r="G2675" i="1"/>
  <c r="E2675" i="1"/>
  <c r="F2675" i="1" s="1"/>
  <c r="G2701" i="1"/>
  <c r="C2701" i="1"/>
  <c r="D2701" i="1" s="1"/>
  <c r="F2701" i="1" s="1"/>
  <c r="E2722" i="1"/>
  <c r="C2722" i="1"/>
  <c r="D2722" i="1" s="1"/>
  <c r="F2722" i="1" s="1"/>
  <c r="G2722" i="1"/>
  <c r="E2774" i="1"/>
  <c r="C2774" i="1"/>
  <c r="D2774" i="1" s="1"/>
  <c r="G2774" i="1"/>
  <c r="G2541" i="1"/>
  <c r="C2541" i="1"/>
  <c r="D2541" i="1" s="1"/>
  <c r="F2541" i="1" s="1"/>
  <c r="G2563" i="1"/>
  <c r="C2563" i="1"/>
  <c r="D2563" i="1" s="1"/>
  <c r="E2563" i="1"/>
  <c r="E2566" i="1"/>
  <c r="F2566" i="1" s="1"/>
  <c r="G2575" i="1"/>
  <c r="E2575" i="1"/>
  <c r="C2575" i="1"/>
  <c r="D2575" i="1" s="1"/>
  <c r="C2604" i="1"/>
  <c r="D2604" i="1" s="1"/>
  <c r="F2604" i="1" s="1"/>
  <c r="G2604" i="1"/>
  <c r="G2612" i="1"/>
  <c r="C2612" i="1"/>
  <c r="D2612" i="1" s="1"/>
  <c r="F2612" i="1" s="1"/>
  <c r="E2612" i="1"/>
  <c r="E2622" i="1"/>
  <c r="F2622" i="1" s="1"/>
  <c r="G2685" i="1"/>
  <c r="E2685" i="1"/>
  <c r="C2685" i="1"/>
  <c r="D2685" i="1" s="1"/>
  <c r="F2685" i="1" s="1"/>
  <c r="D2704" i="1"/>
  <c r="G2781" i="1"/>
  <c r="E2781" i="1"/>
  <c r="C2781" i="1"/>
  <c r="D2781" i="1" s="1"/>
  <c r="F2781" i="1" s="1"/>
  <c r="E2826" i="1"/>
  <c r="C2826" i="1"/>
  <c r="D2826" i="1" s="1"/>
  <c r="F2826" i="1" s="1"/>
  <c r="G2826" i="1"/>
  <c r="G2829" i="1"/>
  <c r="E2829" i="1"/>
  <c r="C2829" i="1"/>
  <c r="D2829" i="1" s="1"/>
  <c r="E2392" i="1"/>
  <c r="G2517" i="1"/>
  <c r="E2517" i="1"/>
  <c r="G2581" i="1"/>
  <c r="E2581" i="1"/>
  <c r="F2581" i="1" s="1"/>
  <c r="D2586" i="1"/>
  <c r="G2593" i="1"/>
  <c r="E2593" i="1"/>
  <c r="C2593" i="1"/>
  <c r="D2593" i="1" s="1"/>
  <c r="D2606" i="1"/>
  <c r="E2615" i="1"/>
  <c r="C2615" i="1"/>
  <c r="D2615" i="1" s="1"/>
  <c r="G2619" i="1"/>
  <c r="E2619" i="1"/>
  <c r="F2619" i="1" s="1"/>
  <c r="G2625" i="1"/>
  <c r="E2625" i="1"/>
  <c r="E2631" i="1"/>
  <c r="F2631" i="1" s="1"/>
  <c r="E2694" i="1"/>
  <c r="C2694" i="1"/>
  <c r="D2694" i="1" s="1"/>
  <c r="E2699" i="1"/>
  <c r="C2699" i="1"/>
  <c r="D2699" i="1" s="1"/>
  <c r="G2702" i="1"/>
  <c r="E2702" i="1"/>
  <c r="F2702" i="1" s="1"/>
  <c r="G2705" i="1"/>
  <c r="E2705" i="1"/>
  <c r="C2705" i="1"/>
  <c r="D2705" i="1" s="1"/>
  <c r="D2720" i="1"/>
  <c r="D2724" i="1"/>
  <c r="F2724" i="1" s="1"/>
  <c r="D2730" i="1"/>
  <c r="D2768" i="1"/>
  <c r="E2778" i="1"/>
  <c r="C2778" i="1"/>
  <c r="D2778" i="1" s="1"/>
  <c r="F2778" i="1" s="1"/>
  <c r="G2778" i="1"/>
  <c r="G2799" i="1"/>
  <c r="E2799" i="1"/>
  <c r="D2804" i="1"/>
  <c r="G2389" i="1"/>
  <c r="E2389" i="1"/>
  <c r="G2420" i="1"/>
  <c r="G2498" i="1"/>
  <c r="G2521" i="1"/>
  <c r="E2521" i="1"/>
  <c r="D2528" i="1"/>
  <c r="G2548" i="1"/>
  <c r="E2591" i="1"/>
  <c r="F2591" i="1" s="1"/>
  <c r="G2591" i="1"/>
  <c r="E2652" i="1"/>
  <c r="D2656" i="1"/>
  <c r="D2660" i="1"/>
  <c r="F2688" i="1"/>
  <c r="E2728" i="1"/>
  <c r="C2728" i="1"/>
  <c r="D2728" i="1" s="1"/>
  <c r="G2728" i="1"/>
  <c r="G2737" i="1"/>
  <c r="E2737" i="1"/>
  <c r="G2760" i="1"/>
  <c r="E2760" i="1"/>
  <c r="F2760" i="1" s="1"/>
  <c r="G2784" i="1"/>
  <c r="E2784" i="1"/>
  <c r="D2784" i="1"/>
  <c r="D2857" i="1"/>
  <c r="G2540" i="1"/>
  <c r="C2540" i="1"/>
  <c r="D2540" i="1" s="1"/>
  <c r="G2589" i="1"/>
  <c r="C2589" i="1"/>
  <c r="D2589" i="1" s="1"/>
  <c r="G2601" i="1"/>
  <c r="E2601" i="1"/>
  <c r="G2609" i="1"/>
  <c r="C2609" i="1"/>
  <c r="D2609" i="1" s="1"/>
  <c r="F2609" i="1" s="1"/>
  <c r="G2613" i="1"/>
  <c r="E2613" i="1"/>
  <c r="C2613" i="1"/>
  <c r="D2613" i="1" s="1"/>
  <c r="G2667" i="1"/>
  <c r="C2667" i="1"/>
  <c r="D2667" i="1" s="1"/>
  <c r="E2667" i="1"/>
  <c r="E2676" i="1"/>
  <c r="G2676" i="1"/>
  <c r="G2681" i="1"/>
  <c r="C2681" i="1"/>
  <c r="D2681" i="1" s="1"/>
  <c r="C2683" i="1"/>
  <c r="D2683" i="1" s="1"/>
  <c r="G2683" i="1"/>
  <c r="E2683" i="1"/>
  <c r="G2725" i="1"/>
  <c r="C2725" i="1"/>
  <c r="D2725" i="1" s="1"/>
  <c r="E2750" i="1"/>
  <c r="C2750" i="1"/>
  <c r="D2750" i="1" s="1"/>
  <c r="G2750" i="1"/>
  <c r="E2788" i="1"/>
  <c r="C2788" i="1"/>
  <c r="D2788" i="1" s="1"/>
  <c r="G2788" i="1"/>
  <c r="E2830" i="1"/>
  <c r="G2830" i="1"/>
  <c r="C2830" i="1"/>
  <c r="D2830" i="1" s="1"/>
  <c r="E2857" i="1"/>
  <c r="D2548" i="1"/>
  <c r="F2548" i="1" s="1"/>
  <c r="D2552" i="1"/>
  <c r="G2562" i="1"/>
  <c r="D2625" i="1"/>
  <c r="G2650" i="1"/>
  <c r="E2650" i="1"/>
  <c r="D2652" i="1"/>
  <c r="E2663" i="1"/>
  <c r="G2663" i="1"/>
  <c r="E2670" i="1"/>
  <c r="C2670" i="1"/>
  <c r="D2670" i="1" s="1"/>
  <c r="G2713" i="1"/>
  <c r="C2713" i="1"/>
  <c r="D2713" i="1" s="1"/>
  <c r="E2713" i="1"/>
  <c r="C2716" i="1"/>
  <c r="D2716" i="1" s="1"/>
  <c r="E2716" i="1"/>
  <c r="G2779" i="1"/>
  <c r="C2779" i="1"/>
  <c r="D2779" i="1" s="1"/>
  <c r="E2779" i="1"/>
  <c r="F2796" i="1"/>
  <c r="C2799" i="1"/>
  <c r="D2799" i="1" s="1"/>
  <c r="G2827" i="1"/>
  <c r="C2827" i="1"/>
  <c r="D2827" i="1" s="1"/>
  <c r="E2827" i="1"/>
  <c r="F2877" i="1"/>
  <c r="D2498" i="1"/>
  <c r="F2498" i="1" s="1"/>
  <c r="E2540" i="1"/>
  <c r="C2556" i="1"/>
  <c r="D2556" i="1" s="1"/>
  <c r="C2644" i="1"/>
  <c r="D2644" i="1" s="1"/>
  <c r="F2644" i="1" s="1"/>
  <c r="E2672" i="1"/>
  <c r="C2676" i="1"/>
  <c r="D2676" i="1" s="1"/>
  <c r="G2692" i="1"/>
  <c r="E2692" i="1"/>
  <c r="F2692" i="1" s="1"/>
  <c r="G2708" i="1"/>
  <c r="C2708" i="1"/>
  <c r="D2708" i="1" s="1"/>
  <c r="F2708" i="1" s="1"/>
  <c r="E2725" i="1"/>
  <c r="E2738" i="1"/>
  <c r="C2738" i="1"/>
  <c r="D2738" i="1" s="1"/>
  <c r="G2738" i="1"/>
  <c r="E2758" i="1"/>
  <c r="C2758" i="1"/>
  <c r="D2758" i="1" s="1"/>
  <c r="F2758" i="1" s="1"/>
  <c r="G2758" i="1"/>
  <c r="G2761" i="1"/>
  <c r="E2761" i="1"/>
  <c r="C2761" i="1"/>
  <c r="D2761" i="1" s="1"/>
  <c r="F2761" i="1" s="1"/>
  <c r="G2811" i="1"/>
  <c r="E2811" i="1"/>
  <c r="C2811" i="1"/>
  <c r="D2811" i="1" s="1"/>
  <c r="E2816" i="1"/>
  <c r="G2816" i="1"/>
  <c r="E2821" i="1"/>
  <c r="C2821" i="1"/>
  <c r="D2821" i="1" s="1"/>
  <c r="G2821" i="1"/>
  <c r="G2824" i="1"/>
  <c r="E2824" i="1"/>
  <c r="E2846" i="1"/>
  <c r="C2846" i="1"/>
  <c r="D2846" i="1" s="1"/>
  <c r="G2469" i="1"/>
  <c r="E2514" i="1"/>
  <c r="G2533" i="1"/>
  <c r="E2533" i="1"/>
  <c r="D2538" i="1"/>
  <c r="G2545" i="1"/>
  <c r="E2545" i="1"/>
  <c r="C2545" i="1"/>
  <c r="D2545" i="1" s="1"/>
  <c r="E2556" i="1"/>
  <c r="C2558" i="1"/>
  <c r="D2558" i="1" s="1"/>
  <c r="F2558" i="1" s="1"/>
  <c r="C2574" i="1"/>
  <c r="D2574" i="1" s="1"/>
  <c r="E2589" i="1"/>
  <c r="C2601" i="1"/>
  <c r="D2601" i="1" s="1"/>
  <c r="F2601" i="1" s="1"/>
  <c r="E2609" i="1"/>
  <c r="C2626" i="1"/>
  <c r="D2626" i="1" s="1"/>
  <c r="E2626" i="1"/>
  <c r="E2627" i="1"/>
  <c r="F2627" i="1" s="1"/>
  <c r="G2631" i="1"/>
  <c r="G2634" i="1"/>
  <c r="C2634" i="1"/>
  <c r="D2634" i="1" s="1"/>
  <c r="F2634" i="1" s="1"/>
  <c r="G2640" i="1"/>
  <c r="C2640" i="1"/>
  <c r="D2640" i="1" s="1"/>
  <c r="F2640" i="1" s="1"/>
  <c r="D2648" i="1"/>
  <c r="C2650" i="1"/>
  <c r="D2650" i="1" s="1"/>
  <c r="G2653" i="1"/>
  <c r="E2653" i="1"/>
  <c r="F2653" i="1" s="1"/>
  <c r="E2679" i="1"/>
  <c r="C2679" i="1"/>
  <c r="D2679" i="1" s="1"/>
  <c r="E2681" i="1"/>
  <c r="E2711" i="1"/>
  <c r="F2711" i="1" s="1"/>
  <c r="G2711" i="1"/>
  <c r="C2721" i="1"/>
  <c r="D2721" i="1" s="1"/>
  <c r="C2745" i="1"/>
  <c r="D2745" i="1" s="1"/>
  <c r="E2745" i="1"/>
  <c r="E2773" i="1"/>
  <c r="C2773" i="1"/>
  <c r="D2773" i="1" s="1"/>
  <c r="G2773" i="1"/>
  <c r="D2816" i="1"/>
  <c r="E2840" i="1"/>
  <c r="G2840" i="1"/>
  <c r="E2907" i="1"/>
  <c r="C2907" i="1"/>
  <c r="D2907" i="1" s="1"/>
  <c r="F2907" i="1" s="1"/>
  <c r="G2907" i="1"/>
  <c r="G2168" i="1"/>
  <c r="G2192" i="1"/>
  <c r="G2216" i="1"/>
  <c r="G2240" i="1"/>
  <c r="G2264" i="1"/>
  <c r="G2288" i="1"/>
  <c r="G2312" i="1"/>
  <c r="G2336" i="1"/>
  <c r="G2349" i="1"/>
  <c r="C2349" i="1"/>
  <c r="D2349" i="1" s="1"/>
  <c r="F2349" i="1" s="1"/>
  <c r="G2381" i="1"/>
  <c r="G2393" i="1"/>
  <c r="G2402" i="1"/>
  <c r="E2412" i="1"/>
  <c r="E2454" i="1"/>
  <c r="F2454" i="1" s="1"/>
  <c r="E2476" i="1"/>
  <c r="G2497" i="1"/>
  <c r="G2516" i="1"/>
  <c r="E2518" i="1"/>
  <c r="F2518" i="1" s="1"/>
  <c r="E2535" i="1"/>
  <c r="C2535" i="1"/>
  <c r="D2535" i="1" s="1"/>
  <c r="E2543" i="1"/>
  <c r="F2543" i="1" s="1"/>
  <c r="G2543" i="1"/>
  <c r="G2549" i="1"/>
  <c r="E2549" i="1"/>
  <c r="F2549" i="1" s="1"/>
  <c r="C2560" i="1"/>
  <c r="D2560" i="1" s="1"/>
  <c r="F2560" i="1" s="1"/>
  <c r="D2562" i="1"/>
  <c r="F2562" i="1" s="1"/>
  <c r="C2572" i="1"/>
  <c r="D2572" i="1" s="1"/>
  <c r="F2572" i="1" s="1"/>
  <c r="D2598" i="1"/>
  <c r="E2602" i="1"/>
  <c r="F2602" i="1" s="1"/>
  <c r="E2603" i="1"/>
  <c r="F2603" i="1" s="1"/>
  <c r="F2611" i="1"/>
  <c r="E2614" i="1"/>
  <c r="F2614" i="1" s="1"/>
  <c r="E2616" i="1"/>
  <c r="F2616" i="1" s="1"/>
  <c r="G2618" i="1"/>
  <c r="E2620" i="1"/>
  <c r="C2620" i="1"/>
  <c r="D2620" i="1" s="1"/>
  <c r="G2624" i="1"/>
  <c r="G2630" i="1"/>
  <c r="C2630" i="1"/>
  <c r="D2630" i="1" s="1"/>
  <c r="F2630" i="1" s="1"/>
  <c r="G2638" i="1"/>
  <c r="G2644" i="1"/>
  <c r="C2663" i="1"/>
  <c r="D2663" i="1" s="1"/>
  <c r="G2670" i="1"/>
  <c r="G2684" i="1"/>
  <c r="C2684" i="1"/>
  <c r="D2684" i="1" s="1"/>
  <c r="F2684" i="1" s="1"/>
  <c r="G2689" i="1"/>
  <c r="E2689" i="1"/>
  <c r="C2689" i="1"/>
  <c r="D2689" i="1" s="1"/>
  <c r="G2716" i="1"/>
  <c r="E2721" i="1"/>
  <c r="F2723" i="1"/>
  <c r="C2743" i="1"/>
  <c r="D2743" i="1" s="1"/>
  <c r="E2743" i="1"/>
  <c r="E2797" i="1"/>
  <c r="G2797" i="1"/>
  <c r="C2797" i="1"/>
  <c r="D2797" i="1" s="1"/>
  <c r="F2808" i="1"/>
  <c r="E2822" i="1"/>
  <c r="C2822" i="1"/>
  <c r="D2822" i="1" s="1"/>
  <c r="G2822" i="1"/>
  <c r="G2875" i="1"/>
  <c r="C2875" i="1"/>
  <c r="D2875" i="1" s="1"/>
  <c r="E2875" i="1"/>
  <c r="F2904" i="1"/>
  <c r="G2645" i="1"/>
  <c r="E2645" i="1"/>
  <c r="F2645" i="1" s="1"/>
  <c r="C2668" i="1"/>
  <c r="D2668" i="1" s="1"/>
  <c r="F2668" i="1" s="1"/>
  <c r="G2668" i="1"/>
  <c r="G2673" i="1"/>
  <c r="E2673" i="1"/>
  <c r="F2673" i="1" s="1"/>
  <c r="G2677" i="1"/>
  <c r="C2677" i="1"/>
  <c r="D2677" i="1" s="1"/>
  <c r="F2677" i="1" s="1"/>
  <c r="E2687" i="1"/>
  <c r="C2687" i="1"/>
  <c r="D2687" i="1" s="1"/>
  <c r="F2687" i="1" s="1"/>
  <c r="G2698" i="1"/>
  <c r="E2698" i="1"/>
  <c r="F2698" i="1" s="1"/>
  <c r="E2704" i="1"/>
  <c r="G2704" i="1"/>
  <c r="C2714" i="1"/>
  <c r="D2714" i="1" s="1"/>
  <c r="G2714" i="1"/>
  <c r="E2714" i="1"/>
  <c r="G2717" i="1"/>
  <c r="E2717" i="1"/>
  <c r="F2717" i="1" s="1"/>
  <c r="G2741" i="1"/>
  <c r="C2741" i="1"/>
  <c r="D2741" i="1" s="1"/>
  <c r="F2741" i="1" s="1"/>
  <c r="E2748" i="1"/>
  <c r="C2748" i="1"/>
  <c r="D2748" i="1" s="1"/>
  <c r="F2753" i="1"/>
  <c r="C2765" i="1"/>
  <c r="D2765" i="1" s="1"/>
  <c r="F2765" i="1" s="1"/>
  <c r="G2765" i="1"/>
  <c r="E2841" i="1"/>
  <c r="G2841" i="1"/>
  <c r="C2841" i="1"/>
  <c r="D2841" i="1" s="1"/>
  <c r="G2846" i="1"/>
  <c r="G2739" i="1"/>
  <c r="E2739" i="1"/>
  <c r="C2739" i="1"/>
  <c r="D2739" i="1" s="1"/>
  <c r="G2763" i="1"/>
  <c r="E2763" i="1"/>
  <c r="C2763" i="1"/>
  <c r="D2763" i="1" s="1"/>
  <c r="G2776" i="1"/>
  <c r="E2776" i="1"/>
  <c r="C2776" i="1"/>
  <c r="D2776" i="1" s="1"/>
  <c r="G2832" i="1"/>
  <c r="E2832" i="1"/>
  <c r="F2832" i="1" s="1"/>
  <c r="G2835" i="1"/>
  <c r="E2835" i="1"/>
  <c r="C2835" i="1"/>
  <c r="D2835" i="1" s="1"/>
  <c r="G2844" i="1"/>
  <c r="C2844" i="1"/>
  <c r="D2844" i="1" s="1"/>
  <c r="F2844" i="1" s="1"/>
  <c r="E2891" i="1"/>
  <c r="C2891" i="1"/>
  <c r="D2891" i="1" s="1"/>
  <c r="G2891" i="1"/>
  <c r="E2528" i="1"/>
  <c r="E2576" i="1"/>
  <c r="G2637" i="1"/>
  <c r="E2648" i="1"/>
  <c r="G2665" i="1"/>
  <c r="C2665" i="1"/>
  <c r="D2665" i="1" s="1"/>
  <c r="F2665" i="1" s="1"/>
  <c r="D2672" i="1"/>
  <c r="C2707" i="1"/>
  <c r="D2707" i="1" s="1"/>
  <c r="F2707" i="1" s="1"/>
  <c r="G2707" i="1"/>
  <c r="G2718" i="1"/>
  <c r="E2718" i="1"/>
  <c r="F2718" i="1" s="1"/>
  <c r="G2720" i="1"/>
  <c r="E2720" i="1"/>
  <c r="G2724" i="1"/>
  <c r="C2731" i="1"/>
  <c r="D2731" i="1" s="1"/>
  <c r="E2731" i="1"/>
  <c r="G2752" i="1"/>
  <c r="E2752" i="1"/>
  <c r="F2752" i="1" s="1"/>
  <c r="E2802" i="1"/>
  <c r="C2802" i="1"/>
  <c r="D2802" i="1" s="1"/>
  <c r="G2809" i="1"/>
  <c r="E2809" i="1"/>
  <c r="E2812" i="1"/>
  <c r="G2812" i="1"/>
  <c r="E2842" i="1"/>
  <c r="G2842" i="1"/>
  <c r="C2842" i="1"/>
  <c r="D2842" i="1" s="1"/>
  <c r="E2918" i="1"/>
  <c r="G2918" i="1"/>
  <c r="C2918" i="1"/>
  <c r="D2918" i="1" s="1"/>
  <c r="G2941" i="1"/>
  <c r="E2941" i="1"/>
  <c r="C2941" i="1"/>
  <c r="D2941" i="1" s="1"/>
  <c r="F2861" i="1"/>
  <c r="F2873" i="1"/>
  <c r="G2889" i="1"/>
  <c r="E2889" i="1"/>
  <c r="G2915" i="1"/>
  <c r="C2915" i="1"/>
  <c r="D2915" i="1" s="1"/>
  <c r="E2915" i="1"/>
  <c r="G2921" i="1"/>
  <c r="E2921" i="1"/>
  <c r="C2921" i="1"/>
  <c r="D2921" i="1" s="1"/>
  <c r="C2927" i="1"/>
  <c r="D2927" i="1" s="1"/>
  <c r="E2927" i="1"/>
  <c r="G2927" i="1"/>
  <c r="D2824" i="1"/>
  <c r="C2887" i="1"/>
  <c r="D2887" i="1" s="1"/>
  <c r="G2887" i="1"/>
  <c r="E2887" i="1"/>
  <c r="E2930" i="1"/>
  <c r="G2930" i="1"/>
  <c r="C2930" i="1"/>
  <c r="D2930" i="1" s="1"/>
  <c r="E2769" i="1"/>
  <c r="F2782" i="1"/>
  <c r="C2791" i="1"/>
  <c r="D2791" i="1" s="1"/>
  <c r="G2791" i="1"/>
  <c r="E2791" i="1"/>
  <c r="G2802" i="1"/>
  <c r="E2836" i="1"/>
  <c r="G2836" i="1"/>
  <c r="C2889" i="1"/>
  <c r="D2889" i="1" s="1"/>
  <c r="G2900" i="1"/>
  <c r="E2900" i="1"/>
  <c r="F2900" i="1" s="1"/>
  <c r="E2757" i="1"/>
  <c r="C2757" i="1"/>
  <c r="D2757" i="1" s="1"/>
  <c r="G2764" i="1"/>
  <c r="C2764" i="1"/>
  <c r="D2764" i="1" s="1"/>
  <c r="F2764" i="1" s="1"/>
  <c r="G2803" i="1"/>
  <c r="C2803" i="1"/>
  <c r="D2803" i="1" s="1"/>
  <c r="F2803" i="1" s="1"/>
  <c r="G2833" i="1"/>
  <c r="E2833" i="1"/>
  <c r="G2528" i="1"/>
  <c r="G2537" i="1"/>
  <c r="G2547" i="1"/>
  <c r="G2576" i="1"/>
  <c r="G2585" i="1"/>
  <c r="G2595" i="1"/>
  <c r="E2637" i="1"/>
  <c r="F2637" i="1" s="1"/>
  <c r="E2647" i="1"/>
  <c r="E2656" i="1"/>
  <c r="E2732" i="1"/>
  <c r="C2732" i="1"/>
  <c r="D2732" i="1" s="1"/>
  <c r="D2740" i="1"/>
  <c r="F2740" i="1" s="1"/>
  <c r="E2742" i="1"/>
  <c r="G2742" i="1"/>
  <c r="C2742" i="1"/>
  <c r="D2742" i="1" s="1"/>
  <c r="F2742" i="1" s="1"/>
  <c r="C2769" i="1"/>
  <c r="D2769" i="1" s="1"/>
  <c r="F2769" i="1" s="1"/>
  <c r="C2777" i="1"/>
  <c r="D2777" i="1" s="1"/>
  <c r="F2777" i="1" s="1"/>
  <c r="E2780" i="1"/>
  <c r="D2780" i="1"/>
  <c r="F2780" i="1" s="1"/>
  <c r="E2783" i="1"/>
  <c r="F2783" i="1" s="1"/>
  <c r="G2783" i="1"/>
  <c r="G2785" i="1"/>
  <c r="G2820" i="1"/>
  <c r="E2820" i="1"/>
  <c r="F2820" i="1" s="1"/>
  <c r="G2825" i="1"/>
  <c r="E2825" i="1"/>
  <c r="F2825" i="1" s="1"/>
  <c r="C2836" i="1"/>
  <c r="D2836" i="1" s="1"/>
  <c r="E2881" i="1"/>
  <c r="F2881" i="1" s="1"/>
  <c r="G2532" i="1"/>
  <c r="E2552" i="1"/>
  <c r="G2557" i="1"/>
  <c r="E2567" i="1"/>
  <c r="F2567" i="1" s="1"/>
  <c r="G2580" i="1"/>
  <c r="E2600" i="1"/>
  <c r="G2605" i="1"/>
  <c r="G2629" i="1"/>
  <c r="G2636" i="1"/>
  <c r="D2641" i="1"/>
  <c r="F2641" i="1" s="1"/>
  <c r="G2649" i="1"/>
  <c r="G2660" i="1"/>
  <c r="E2660" i="1"/>
  <c r="G2662" i="1"/>
  <c r="C2662" i="1"/>
  <c r="D2662" i="1" s="1"/>
  <c r="F2662" i="1" s="1"/>
  <c r="G2666" i="1"/>
  <c r="G2693" i="1"/>
  <c r="E2693" i="1"/>
  <c r="C2693" i="1"/>
  <c r="D2693" i="1" s="1"/>
  <c r="D2706" i="1"/>
  <c r="F2706" i="1" s="1"/>
  <c r="G2751" i="1"/>
  <c r="C2751" i="1"/>
  <c r="D2751" i="1" s="1"/>
  <c r="F2751" i="1" s="1"/>
  <c r="C2755" i="1"/>
  <c r="D2755" i="1" s="1"/>
  <c r="F2755" i="1" s="1"/>
  <c r="G2755" i="1"/>
  <c r="G2757" i="1"/>
  <c r="E2762" i="1"/>
  <c r="C2762" i="1"/>
  <c r="D2762" i="1" s="1"/>
  <c r="F2762" i="1" s="1"/>
  <c r="G2762" i="1"/>
  <c r="E2764" i="1"/>
  <c r="G2777" i="1"/>
  <c r="C2789" i="1"/>
  <c r="D2789" i="1" s="1"/>
  <c r="E2789" i="1"/>
  <c r="E2794" i="1"/>
  <c r="G2794" i="1"/>
  <c r="C2794" i="1"/>
  <c r="D2794" i="1" s="1"/>
  <c r="F2794" i="1" s="1"/>
  <c r="G2828" i="1"/>
  <c r="E2828" i="1"/>
  <c r="F2828" i="1" s="1"/>
  <c r="E2831" i="1"/>
  <c r="F2831" i="1" s="1"/>
  <c r="G2831" i="1"/>
  <c r="E2834" i="1"/>
  <c r="C2834" i="1"/>
  <c r="D2834" i="1" s="1"/>
  <c r="G2834" i="1"/>
  <c r="C2837" i="1"/>
  <c r="D2837" i="1" s="1"/>
  <c r="G2837" i="1"/>
  <c r="E2837" i="1"/>
  <c r="G2848" i="1"/>
  <c r="E2848" i="1"/>
  <c r="F2848" i="1" s="1"/>
  <c r="C2885" i="1"/>
  <c r="D2885" i="1" s="1"/>
  <c r="F2885" i="1" s="1"/>
  <c r="G2885" i="1"/>
  <c r="E2910" i="1"/>
  <c r="C2910" i="1"/>
  <c r="D2910" i="1" s="1"/>
  <c r="F2910" i="1" s="1"/>
  <c r="G2910" i="1"/>
  <c r="G2916" i="1"/>
  <c r="E2916" i="1"/>
  <c r="D2916" i="1"/>
  <c r="E2766" i="1"/>
  <c r="D2785" i="1"/>
  <c r="F2785" i="1" s="1"/>
  <c r="E2807" i="1"/>
  <c r="C2815" i="1"/>
  <c r="D2815" i="1" s="1"/>
  <c r="F2815" i="1" s="1"/>
  <c r="G2815" i="1"/>
  <c r="G2823" i="1"/>
  <c r="E2823" i="1"/>
  <c r="D2840" i="1"/>
  <c r="E2854" i="1"/>
  <c r="G2854" i="1"/>
  <c r="C2854" i="1"/>
  <c r="D2854" i="1" s="1"/>
  <c r="F2854" i="1" s="1"/>
  <c r="E2858" i="1"/>
  <c r="C2858" i="1"/>
  <c r="D2858" i="1" s="1"/>
  <c r="E2862" i="1"/>
  <c r="G2862" i="1"/>
  <c r="E2903" i="1"/>
  <c r="F2903" i="1" s="1"/>
  <c r="G2903" i="1"/>
  <c r="C2905" i="1"/>
  <c r="D2905" i="1" s="1"/>
  <c r="E2905" i="1"/>
  <c r="E2942" i="1"/>
  <c r="G2942" i="1"/>
  <c r="C2942" i="1"/>
  <c r="D2942" i="1" s="1"/>
  <c r="G2641" i="1"/>
  <c r="E2747" i="1"/>
  <c r="C2747" i="1"/>
  <c r="D2747" i="1" s="1"/>
  <c r="E2850" i="1"/>
  <c r="C2850" i="1"/>
  <c r="D2850" i="1" s="1"/>
  <c r="E2860" i="1"/>
  <c r="G2868" i="1"/>
  <c r="E2878" i="1"/>
  <c r="F2878" i="1" s="1"/>
  <c r="G2878" i="1"/>
  <c r="E2882" i="1"/>
  <c r="C2882" i="1"/>
  <c r="D2882" i="1" s="1"/>
  <c r="E2890" i="1"/>
  <c r="C2890" i="1"/>
  <c r="D2890" i="1" s="1"/>
  <c r="E2898" i="1"/>
  <c r="C2898" i="1"/>
  <c r="D2898" i="1" s="1"/>
  <c r="G2898" i="1"/>
  <c r="G2939" i="1"/>
  <c r="E2939" i="1"/>
  <c r="C2939" i="1"/>
  <c r="D2939" i="1" s="1"/>
  <c r="E2874" i="1"/>
  <c r="C2874" i="1"/>
  <c r="D2874" i="1" s="1"/>
  <c r="E2901" i="1"/>
  <c r="C2901" i="1"/>
  <c r="D2901" i="1" s="1"/>
  <c r="E2931" i="1"/>
  <c r="G2931" i="1"/>
  <c r="C2931" i="1"/>
  <c r="D2931" i="1" s="1"/>
  <c r="G2945" i="1"/>
  <c r="C2945" i="1"/>
  <c r="D2945" i="1" s="1"/>
  <c r="E2945" i="1"/>
  <c r="C2948" i="1"/>
  <c r="D2948" i="1" s="1"/>
  <c r="G2948" i="1"/>
  <c r="E2948" i="1"/>
  <c r="D2737" i="1"/>
  <c r="C2766" i="1"/>
  <c r="D2766" i="1" s="1"/>
  <c r="G2772" i="1"/>
  <c r="E2782" i="1"/>
  <c r="G2782" i="1"/>
  <c r="E2786" i="1"/>
  <c r="C2786" i="1"/>
  <c r="D2786" i="1" s="1"/>
  <c r="E2805" i="1"/>
  <c r="F2805" i="1" s="1"/>
  <c r="C2807" i="1"/>
  <c r="D2807" i="1" s="1"/>
  <c r="F2807" i="1" s="1"/>
  <c r="F2813" i="1"/>
  <c r="C2823" i="1"/>
  <c r="D2823" i="1" s="1"/>
  <c r="C2839" i="1"/>
  <c r="D2839" i="1" s="1"/>
  <c r="G2839" i="1"/>
  <c r="E2839" i="1"/>
  <c r="D2860" i="1"/>
  <c r="C2862" i="1"/>
  <c r="D2862" i="1" s="1"/>
  <c r="C2872" i="1"/>
  <c r="D2872" i="1" s="1"/>
  <c r="E2908" i="1"/>
  <c r="C2908" i="1"/>
  <c r="D2908" i="1" s="1"/>
  <c r="G2911" i="1"/>
  <c r="E2911" i="1"/>
  <c r="C2911" i="1"/>
  <c r="D2911" i="1" s="1"/>
  <c r="F2911" i="1" s="1"/>
  <c r="G2847" i="1"/>
  <c r="E2847" i="1"/>
  <c r="D2868" i="1"/>
  <c r="F2868" i="1" s="1"/>
  <c r="E2872" i="1"/>
  <c r="D2876" i="1"/>
  <c r="D2880" i="1"/>
  <c r="C2884" i="1"/>
  <c r="D2884" i="1" s="1"/>
  <c r="F2884" i="1" s="1"/>
  <c r="D2896" i="1"/>
  <c r="F2896" i="1" s="1"/>
  <c r="E2906" i="1"/>
  <c r="G2906" i="1"/>
  <c r="C2906" i="1"/>
  <c r="D2906" i="1" s="1"/>
  <c r="D2928" i="1"/>
  <c r="F2928" i="1" s="1"/>
  <c r="E2946" i="1"/>
  <c r="G2946" i="1"/>
  <c r="C2946" i="1"/>
  <c r="D2946" i="1" s="1"/>
  <c r="G2766" i="1"/>
  <c r="C2772" i="1"/>
  <c r="D2772" i="1" s="1"/>
  <c r="F2772" i="1" s="1"/>
  <c r="G2807" i="1"/>
  <c r="D2809" i="1"/>
  <c r="D2833" i="1"/>
  <c r="E2855" i="1"/>
  <c r="F2855" i="1" s="1"/>
  <c r="G2858" i="1"/>
  <c r="C2863" i="1"/>
  <c r="D2863" i="1" s="1"/>
  <c r="F2863" i="1" s="1"/>
  <c r="G2863" i="1"/>
  <c r="G2871" i="1"/>
  <c r="E2871" i="1"/>
  <c r="F2871" i="1" s="1"/>
  <c r="G2874" i="1"/>
  <c r="E2876" i="1"/>
  <c r="E2880" i="1"/>
  <c r="C2886" i="1"/>
  <c r="D2886" i="1" s="1"/>
  <c r="F2886" i="1" s="1"/>
  <c r="G2899" i="1"/>
  <c r="C2899" i="1"/>
  <c r="D2899" i="1" s="1"/>
  <c r="E2899" i="1"/>
  <c r="G2901" i="1"/>
  <c r="E2914" i="1"/>
  <c r="E2922" i="1"/>
  <c r="G2922" i="1"/>
  <c r="C2922" i="1"/>
  <c r="D2922" i="1" s="1"/>
  <c r="F2922" i="1" s="1"/>
  <c r="E2934" i="1"/>
  <c r="C2934" i="1"/>
  <c r="D2934" i="1" s="1"/>
  <c r="F2934" i="1" s="1"/>
  <c r="C2767" i="1"/>
  <c r="D2767" i="1" s="1"/>
  <c r="F2767" i="1" s="1"/>
  <c r="G2767" i="1"/>
  <c r="C2845" i="1"/>
  <c r="D2845" i="1" s="1"/>
  <c r="F2845" i="1" s="1"/>
  <c r="G2851" i="1"/>
  <c r="C2851" i="1"/>
  <c r="D2851" i="1" s="1"/>
  <c r="F2851" i="1" s="1"/>
  <c r="G2884" i="1"/>
  <c r="G2919" i="1"/>
  <c r="E2919" i="1"/>
  <c r="G2949" i="1"/>
  <c r="E2949" i="1"/>
  <c r="C2949" i="1"/>
  <c r="D2949" i="1" s="1"/>
  <c r="G70" i="2"/>
  <c r="G15" i="2"/>
  <c r="G2775" i="1"/>
  <c r="E2775" i="1"/>
  <c r="F2775" i="1" s="1"/>
  <c r="D2792" i="1"/>
  <c r="F2792" i="1" s="1"/>
  <c r="E2806" i="1"/>
  <c r="G2806" i="1"/>
  <c r="C2806" i="1"/>
  <c r="D2806" i="1" s="1"/>
  <c r="F2806" i="1" s="1"/>
  <c r="E2810" i="1"/>
  <c r="C2810" i="1"/>
  <c r="D2810" i="1" s="1"/>
  <c r="E2814" i="1"/>
  <c r="F2814" i="1" s="1"/>
  <c r="G2814" i="1"/>
  <c r="C2847" i="1"/>
  <c r="D2847" i="1" s="1"/>
  <c r="G2859" i="1"/>
  <c r="E2859" i="1"/>
  <c r="C2859" i="1"/>
  <c r="D2859" i="1" s="1"/>
  <c r="F2859" i="1" s="1"/>
  <c r="E2869" i="1"/>
  <c r="C2869" i="1"/>
  <c r="D2869" i="1" s="1"/>
  <c r="E2879" i="1"/>
  <c r="F2879" i="1" s="1"/>
  <c r="G2883" i="1"/>
  <c r="E2883" i="1"/>
  <c r="F2883" i="1" s="1"/>
  <c r="G2886" i="1"/>
  <c r="G2895" i="1"/>
  <c r="E2895" i="1"/>
  <c r="F2895" i="1" s="1"/>
  <c r="G2909" i="1"/>
  <c r="C2909" i="1"/>
  <c r="D2909" i="1" s="1"/>
  <c r="E2909" i="1"/>
  <c r="G2912" i="1"/>
  <c r="C2912" i="1"/>
  <c r="D2912" i="1" s="1"/>
  <c r="E2912" i="1"/>
  <c r="C2914" i="1"/>
  <c r="D2914" i="1" s="1"/>
  <c r="F2914" i="1" s="1"/>
  <c r="E2917" i="1"/>
  <c r="F2917" i="1" s="1"/>
  <c r="G2917" i="1"/>
  <c r="D2919" i="1"/>
  <c r="G2940" i="1"/>
  <c r="E2940" i="1"/>
  <c r="G2957" i="1"/>
  <c r="J17" i="2"/>
  <c r="E2938" i="1"/>
  <c r="G2969" i="1"/>
  <c r="D2969" i="1"/>
  <c r="F2977" i="1"/>
  <c r="G2936" i="1"/>
  <c r="E2936" i="1"/>
  <c r="C2936" i="1"/>
  <c r="D2936" i="1" s="1"/>
  <c r="C2938" i="1"/>
  <c r="D2938" i="1" s="1"/>
  <c r="D2940" i="1"/>
  <c r="F2940" i="1" s="1"/>
  <c r="G2953" i="1"/>
  <c r="G2965" i="1"/>
  <c r="G2943" i="1"/>
  <c r="K24" i="2"/>
  <c r="K36" i="2"/>
  <c r="E2730" i="1"/>
  <c r="E2795" i="1"/>
  <c r="C2795" i="1"/>
  <c r="D2795" i="1" s="1"/>
  <c r="E2843" i="1"/>
  <c r="C2843" i="1"/>
  <c r="D2843" i="1" s="1"/>
  <c r="F2843" i="1" s="1"/>
  <c r="G2938" i="1"/>
  <c r="J89" i="2"/>
  <c r="J9" i="2"/>
  <c r="D2966" i="1"/>
  <c r="G2966" i="1"/>
  <c r="C2943" i="1"/>
  <c r="D2943" i="1" s="1"/>
  <c r="G2937" i="1"/>
  <c r="E2937" i="1"/>
  <c r="E2943" i="1"/>
  <c r="G2955" i="1"/>
  <c r="G2967" i="1"/>
  <c r="C32" i="2"/>
  <c r="E2924" i="1"/>
  <c r="F2924" i="1" s="1"/>
  <c r="D2888" i="1"/>
  <c r="F2888" i="1" s="1"/>
  <c r="E2894" i="1"/>
  <c r="C2894" i="1"/>
  <c r="D2894" i="1" s="1"/>
  <c r="G2933" i="1"/>
  <c r="E2933" i="1"/>
  <c r="C2937" i="1"/>
  <c r="D2937" i="1" s="1"/>
  <c r="E2771" i="1"/>
  <c r="C2771" i="1"/>
  <c r="D2771" i="1" s="1"/>
  <c r="E2819" i="1"/>
  <c r="C2819" i="1"/>
  <c r="D2819" i="1" s="1"/>
  <c r="E2867" i="1"/>
  <c r="C2867" i="1"/>
  <c r="D2867" i="1" s="1"/>
  <c r="G2896" i="1"/>
  <c r="E2928" i="1"/>
  <c r="D2933" i="1"/>
  <c r="E2950" i="1"/>
  <c r="C2950" i="1"/>
  <c r="D2950" i="1" s="1"/>
  <c r="F2950" i="1" s="1"/>
  <c r="J5" i="2"/>
  <c r="D5" i="2"/>
  <c r="H10" i="2"/>
  <c r="E10" i="2"/>
  <c r="H82" i="2"/>
  <c r="F2991" i="1"/>
  <c r="B10" i="2"/>
  <c r="G101" i="2"/>
  <c r="B2" i="2"/>
  <c r="C7" i="2"/>
  <c r="E12" i="2"/>
  <c r="E48" i="2"/>
  <c r="F2985" i="1"/>
  <c r="F10" i="2"/>
  <c r="H108" i="2"/>
  <c r="E2926" i="1"/>
  <c r="G2935" i="1"/>
  <c r="F2982" i="1"/>
  <c r="G18" i="2"/>
  <c r="F2979" i="1"/>
  <c r="E2989" i="1"/>
  <c r="D59" i="2"/>
  <c r="E2" i="2"/>
  <c r="K5" i="2"/>
  <c r="G12" i="2"/>
  <c r="E29" i="2"/>
  <c r="G44" i="2"/>
  <c r="G2970" i="1"/>
  <c r="E2986" i="1"/>
  <c r="J6" i="2"/>
  <c r="K10" i="2"/>
  <c r="D44" i="2"/>
  <c r="C70" i="2"/>
  <c r="G84" i="2"/>
  <c r="C213" i="2"/>
  <c r="C2926" i="1"/>
  <c r="D2926" i="1" s="1"/>
  <c r="C2935" i="1"/>
  <c r="D2935" i="1" s="1"/>
  <c r="F2935" i="1" s="1"/>
  <c r="F2973" i="1"/>
  <c r="E4" i="2"/>
  <c r="B11" i="2"/>
  <c r="I79" i="2"/>
  <c r="K9" i="2"/>
  <c r="B62" i="2"/>
  <c r="G51" i="2"/>
  <c r="I85" i="2"/>
  <c r="C3" i="2"/>
  <c r="H22" i="2"/>
  <c r="G40" i="2"/>
  <c r="E59" i="2"/>
  <c r="E78" i="2"/>
  <c r="D71" i="2"/>
  <c r="G211" i="2"/>
  <c r="K43" i="2"/>
  <c r="I89" i="2"/>
  <c r="B4" i="3"/>
  <c r="C6" i="3"/>
  <c r="B9" i="3"/>
  <c r="J11" i="3"/>
  <c r="D14" i="3"/>
  <c r="K16" i="3"/>
  <c r="K19" i="3"/>
  <c r="K22" i="3"/>
  <c r="C26" i="3"/>
  <c r="E29" i="3"/>
  <c r="H33" i="3"/>
  <c r="I38" i="3"/>
  <c r="E43" i="3"/>
  <c r="H48" i="3"/>
  <c r="E53" i="3"/>
  <c r="E58" i="3"/>
  <c r="C63" i="3"/>
  <c r="K67" i="3"/>
  <c r="B73" i="3"/>
  <c r="C78" i="3"/>
  <c r="F84" i="3"/>
  <c r="C90" i="3"/>
  <c r="E96" i="3"/>
  <c r="E102" i="3"/>
  <c r="K107" i="3"/>
  <c r="H114" i="3"/>
  <c r="D121" i="3"/>
  <c r="D130" i="3"/>
  <c r="G138" i="3"/>
  <c r="E148" i="3"/>
  <c r="C163" i="3"/>
  <c r="F180" i="3"/>
  <c r="H199" i="3"/>
  <c r="C216" i="3"/>
  <c r="J236" i="3"/>
  <c r="E4" i="3"/>
  <c r="K6" i="3"/>
  <c r="E9" i="3"/>
  <c r="C12" i="3"/>
  <c r="B15" i="3"/>
  <c r="E17" i="3"/>
  <c r="C20" i="3"/>
  <c r="E23" i="3"/>
  <c r="F26" i="3"/>
  <c r="G29" i="3"/>
  <c r="E34" i="3"/>
  <c r="B39" i="3"/>
  <c r="C44" i="3"/>
  <c r="J48" i="3"/>
  <c r="H53" i="3"/>
  <c r="I58" i="3"/>
  <c r="E63" i="3"/>
  <c r="G68" i="3"/>
  <c r="E73" i="3"/>
  <c r="K78" i="3"/>
  <c r="I84" i="3"/>
  <c r="H90" i="3"/>
  <c r="K96" i="3"/>
  <c r="G102" i="3"/>
  <c r="K108" i="3"/>
  <c r="D115" i="3"/>
  <c r="G122" i="3"/>
  <c r="K130" i="3"/>
  <c r="B139" i="3"/>
  <c r="E149" i="3"/>
  <c r="G163" i="3"/>
  <c r="J182" i="3"/>
  <c r="J199" i="3"/>
  <c r="B219" i="3"/>
  <c r="D238" i="3"/>
  <c r="B238" i="3"/>
  <c r="K237" i="3"/>
  <c r="J237" i="3"/>
  <c r="J238" i="3"/>
  <c r="H237" i="3"/>
  <c r="F236" i="3"/>
  <c r="D235" i="3"/>
  <c r="B234" i="3"/>
  <c r="J232" i="3"/>
  <c r="H231" i="3"/>
  <c r="F230" i="3"/>
  <c r="D229" i="3"/>
  <c r="B228" i="3"/>
  <c r="J226" i="3"/>
  <c r="H225" i="3"/>
  <c r="F224" i="3"/>
  <c r="D223" i="3"/>
  <c r="B222" i="3"/>
  <c r="J220" i="3"/>
  <c r="H219" i="3"/>
  <c r="F218" i="3"/>
  <c r="D217" i="3"/>
  <c r="B216" i="3"/>
  <c r="J214" i="3"/>
  <c r="H213" i="3"/>
  <c r="F212" i="3"/>
  <c r="D211" i="3"/>
  <c r="B210" i="3"/>
  <c r="J208" i="3"/>
  <c r="H207" i="3"/>
  <c r="F206" i="3"/>
  <c r="D205" i="3"/>
  <c r="B204" i="3"/>
  <c r="J202" i="3"/>
  <c r="H201" i="3"/>
  <c r="F200" i="3"/>
  <c r="D199" i="3"/>
  <c r="B198" i="3"/>
  <c r="J196" i="3"/>
  <c r="H195" i="3"/>
  <c r="F194" i="3"/>
  <c r="D193" i="3"/>
  <c r="B192" i="3"/>
  <c r="J190" i="3"/>
  <c r="H189" i="3"/>
  <c r="F188" i="3"/>
  <c r="D187" i="3"/>
  <c r="B186" i="3"/>
  <c r="J184" i="3"/>
  <c r="H183" i="3"/>
  <c r="F182" i="3"/>
  <c r="D181" i="3"/>
  <c r="B180" i="3"/>
  <c r="J178" i="3"/>
  <c r="H177" i="3"/>
  <c r="F176" i="3"/>
  <c r="D175" i="3"/>
  <c r="B174" i="3"/>
  <c r="J172" i="3"/>
  <c r="H171" i="3"/>
  <c r="F170" i="3"/>
  <c r="D169" i="3"/>
  <c r="B168" i="3"/>
  <c r="J166" i="3"/>
  <c r="H165" i="3"/>
  <c r="F164" i="3"/>
  <c r="D163" i="3"/>
  <c r="B162" i="3"/>
  <c r="J160" i="3"/>
  <c r="H159" i="3"/>
  <c r="F158" i="3"/>
  <c r="D157" i="3"/>
  <c r="B156" i="3"/>
  <c r="J154" i="3"/>
  <c r="H153" i="3"/>
  <c r="F152" i="3"/>
  <c r="D151" i="3"/>
  <c r="B150" i="3"/>
  <c r="J148" i="3"/>
  <c r="H147" i="3"/>
  <c r="F146" i="3"/>
  <c r="D145" i="3"/>
  <c r="B144" i="3"/>
  <c r="J142" i="3"/>
  <c r="H141" i="3"/>
  <c r="F140" i="3"/>
  <c r="D139" i="3"/>
  <c r="B138" i="3"/>
  <c r="I238" i="3"/>
  <c r="H238" i="3"/>
  <c r="F237" i="3"/>
  <c r="D236" i="3"/>
  <c r="B235" i="3"/>
  <c r="J233" i="3"/>
  <c r="H232" i="3"/>
  <c r="F231" i="3"/>
  <c r="D230" i="3"/>
  <c r="B229" i="3"/>
  <c r="J227" i="3"/>
  <c r="H226" i="3"/>
  <c r="F225" i="3"/>
  <c r="D224" i="3"/>
  <c r="B223" i="3"/>
  <c r="J221" i="3"/>
  <c r="H220" i="3"/>
  <c r="F219" i="3"/>
  <c r="D218" i="3"/>
  <c r="B217" i="3"/>
  <c r="J215" i="3"/>
  <c r="H214" i="3"/>
  <c r="F213" i="3"/>
  <c r="D212" i="3"/>
  <c r="B211" i="3"/>
  <c r="J209" i="3"/>
  <c r="H208" i="3"/>
  <c r="F207" i="3"/>
  <c r="D206" i="3"/>
  <c r="B205" i="3"/>
  <c r="J203" i="3"/>
  <c r="H202" i="3"/>
  <c r="F201" i="3"/>
  <c r="D200" i="3"/>
  <c r="B199" i="3"/>
  <c r="J197" i="3"/>
  <c r="H196" i="3"/>
  <c r="F195" i="3"/>
  <c r="D194" i="3"/>
  <c r="B193" i="3"/>
  <c r="J191" i="3"/>
  <c r="H190" i="3"/>
  <c r="F189" i="3"/>
  <c r="D188" i="3"/>
  <c r="B187" i="3"/>
  <c r="J185" i="3"/>
  <c r="H184" i="3"/>
  <c r="F183" i="3"/>
  <c r="D182" i="3"/>
  <c r="B181" i="3"/>
  <c r="J179" i="3"/>
  <c r="H178" i="3"/>
  <c r="F177" i="3"/>
  <c r="D176" i="3"/>
  <c r="B175" i="3"/>
  <c r="J173" i="3"/>
  <c r="H172" i="3"/>
  <c r="F171" i="3"/>
  <c r="D170" i="3"/>
  <c r="B169" i="3"/>
  <c r="J167" i="3"/>
  <c r="H166" i="3"/>
  <c r="F165" i="3"/>
  <c r="D164" i="3"/>
  <c r="B163" i="3"/>
  <c r="J161" i="3"/>
  <c r="H160" i="3"/>
  <c r="F159" i="3"/>
  <c r="D158" i="3"/>
  <c r="B157" i="3"/>
  <c r="F238" i="3"/>
  <c r="D237" i="3"/>
  <c r="B236" i="3"/>
  <c r="J234" i="3"/>
  <c r="H233" i="3"/>
  <c r="F232" i="3"/>
  <c r="D231" i="3"/>
  <c r="B230" i="3"/>
  <c r="J228" i="3"/>
  <c r="H227" i="3"/>
  <c r="F226" i="3"/>
  <c r="D225" i="3"/>
  <c r="B224" i="3"/>
  <c r="J222" i="3"/>
  <c r="H221" i="3"/>
  <c r="F220" i="3"/>
  <c r="D219" i="3"/>
  <c r="B218" i="3"/>
  <c r="J216" i="3"/>
  <c r="H215" i="3"/>
  <c r="F214" i="3"/>
  <c r="D213" i="3"/>
  <c r="B212" i="3"/>
  <c r="J210" i="3"/>
  <c r="H209" i="3"/>
  <c r="F208" i="3"/>
  <c r="D207" i="3"/>
  <c r="B206" i="3"/>
  <c r="J204" i="3"/>
  <c r="H203" i="3"/>
  <c r="F202" i="3"/>
  <c r="D201" i="3"/>
  <c r="B200" i="3"/>
  <c r="J198" i="3"/>
  <c r="H197" i="3"/>
  <c r="F196" i="3"/>
  <c r="D195" i="3"/>
  <c r="B194" i="3"/>
  <c r="J192" i="3"/>
  <c r="H191" i="3"/>
  <c r="F190" i="3"/>
  <c r="D189" i="3"/>
  <c r="B188" i="3"/>
  <c r="J186" i="3"/>
  <c r="H185" i="3"/>
  <c r="F184" i="3"/>
  <c r="D183" i="3"/>
  <c r="B182" i="3"/>
  <c r="J180" i="3"/>
  <c r="H179" i="3"/>
  <c r="F178" i="3"/>
  <c r="D177" i="3"/>
  <c r="B176" i="3"/>
  <c r="J174" i="3"/>
  <c r="H173" i="3"/>
  <c r="F172" i="3"/>
  <c r="D171" i="3"/>
  <c r="B170" i="3"/>
  <c r="J168" i="3"/>
  <c r="H167" i="3"/>
  <c r="F166" i="3"/>
  <c r="D165" i="3"/>
  <c r="B164" i="3"/>
  <c r="J162" i="3"/>
  <c r="H161" i="3"/>
  <c r="F160" i="3"/>
  <c r="D159" i="3"/>
  <c r="B158" i="3"/>
  <c r="J156" i="3"/>
  <c r="H155" i="3"/>
  <c r="F154" i="3"/>
  <c r="D153" i="3"/>
  <c r="E238" i="3"/>
  <c r="C237" i="3"/>
  <c r="K235" i="3"/>
  <c r="I234" i="3"/>
  <c r="G233" i="3"/>
  <c r="E232" i="3"/>
  <c r="C231" i="3"/>
  <c r="K229" i="3"/>
  <c r="I228" i="3"/>
  <c r="G227" i="3"/>
  <c r="E226" i="3"/>
  <c r="C225" i="3"/>
  <c r="K223" i="3"/>
  <c r="I222" i="3"/>
  <c r="G221" i="3"/>
  <c r="E220" i="3"/>
  <c r="C219" i="3"/>
  <c r="K217" i="3"/>
  <c r="I216" i="3"/>
  <c r="G215" i="3"/>
  <c r="E214" i="3"/>
  <c r="C213" i="3"/>
  <c r="K211" i="3"/>
  <c r="I210" i="3"/>
  <c r="G209" i="3"/>
  <c r="E208" i="3"/>
  <c r="C207" i="3"/>
  <c r="K205" i="3"/>
  <c r="I204" i="3"/>
  <c r="G203" i="3"/>
  <c r="E202" i="3"/>
  <c r="C201" i="3"/>
  <c r="K199" i="3"/>
  <c r="I198" i="3"/>
  <c r="G197" i="3"/>
  <c r="E196" i="3"/>
  <c r="C195" i="3"/>
  <c r="K193" i="3"/>
  <c r="I192" i="3"/>
  <c r="G191" i="3"/>
  <c r="E190" i="3"/>
  <c r="C189" i="3"/>
  <c r="K187" i="3"/>
  <c r="I186" i="3"/>
  <c r="G185" i="3"/>
  <c r="E184" i="3"/>
  <c r="C183" i="3"/>
  <c r="K181" i="3"/>
  <c r="I180" i="3"/>
  <c r="G179" i="3"/>
  <c r="E178" i="3"/>
  <c r="C177" i="3"/>
  <c r="K175" i="3"/>
  <c r="I174" i="3"/>
  <c r="G173" i="3"/>
  <c r="E172" i="3"/>
  <c r="C171" i="3"/>
  <c r="K169" i="3"/>
  <c r="I168" i="3"/>
  <c r="G167" i="3"/>
  <c r="E166" i="3"/>
  <c r="C165" i="3"/>
  <c r="K163" i="3"/>
  <c r="I162" i="3"/>
  <c r="G161" i="3"/>
  <c r="E160" i="3"/>
  <c r="C159" i="3"/>
  <c r="K236" i="3"/>
  <c r="E235" i="3"/>
  <c r="E233" i="3"/>
  <c r="I231" i="3"/>
  <c r="I229" i="3"/>
  <c r="C228" i="3"/>
  <c r="C226" i="3"/>
  <c r="G224" i="3"/>
  <c r="G222" i="3"/>
  <c r="K220" i="3"/>
  <c r="K218" i="3"/>
  <c r="E217" i="3"/>
  <c r="E215" i="3"/>
  <c r="I213" i="3"/>
  <c r="I211" i="3"/>
  <c r="C210" i="3"/>
  <c r="C208" i="3"/>
  <c r="G206" i="3"/>
  <c r="G204" i="3"/>
  <c r="K202" i="3"/>
  <c r="K200" i="3"/>
  <c r="E199" i="3"/>
  <c r="E197" i="3"/>
  <c r="I195" i="3"/>
  <c r="I193" i="3"/>
  <c r="C192" i="3"/>
  <c r="C190" i="3"/>
  <c r="G188" i="3"/>
  <c r="G186" i="3"/>
  <c r="K184" i="3"/>
  <c r="K182" i="3"/>
  <c r="E181" i="3"/>
  <c r="E179" i="3"/>
  <c r="I177" i="3"/>
  <c r="I175" i="3"/>
  <c r="C174" i="3"/>
  <c r="C172" i="3"/>
  <c r="G170" i="3"/>
  <c r="G168" i="3"/>
  <c r="K166" i="3"/>
  <c r="K164" i="3"/>
  <c r="E163" i="3"/>
  <c r="E161" i="3"/>
  <c r="I159" i="3"/>
  <c r="J157" i="3"/>
  <c r="E156" i="3"/>
  <c r="K154" i="3"/>
  <c r="F153" i="3"/>
  <c r="B152" i="3"/>
  <c r="I150" i="3"/>
  <c r="F149" i="3"/>
  <c r="C148" i="3"/>
  <c r="J146" i="3"/>
  <c r="G145" i="3"/>
  <c r="D144" i="3"/>
  <c r="K142" i="3"/>
  <c r="G141" i="3"/>
  <c r="D140" i="3"/>
  <c r="K138" i="3"/>
  <c r="H137" i="3"/>
  <c r="F136" i="3"/>
  <c r="D135" i="3"/>
  <c r="B134" i="3"/>
  <c r="J132" i="3"/>
  <c r="H131" i="3"/>
  <c r="F130" i="3"/>
  <c r="D129" i="3"/>
  <c r="B128" i="3"/>
  <c r="J126" i="3"/>
  <c r="H125" i="3"/>
  <c r="F124" i="3"/>
  <c r="D123" i="3"/>
  <c r="B122" i="3"/>
  <c r="J120" i="3"/>
  <c r="H119" i="3"/>
  <c r="I236" i="3"/>
  <c r="K234" i="3"/>
  <c r="C233" i="3"/>
  <c r="E231" i="3"/>
  <c r="G229" i="3"/>
  <c r="I227" i="3"/>
  <c r="K225" i="3"/>
  <c r="C224" i="3"/>
  <c r="E222" i="3"/>
  <c r="G220" i="3"/>
  <c r="I218" i="3"/>
  <c r="K216" i="3"/>
  <c r="C215" i="3"/>
  <c r="E213" i="3"/>
  <c r="G211" i="3"/>
  <c r="I209" i="3"/>
  <c r="K207" i="3"/>
  <c r="C206" i="3"/>
  <c r="E204" i="3"/>
  <c r="G202" i="3"/>
  <c r="I200" i="3"/>
  <c r="K198" i="3"/>
  <c r="C197" i="3"/>
  <c r="E195" i="3"/>
  <c r="G193" i="3"/>
  <c r="I191" i="3"/>
  <c r="K189" i="3"/>
  <c r="C188" i="3"/>
  <c r="E186" i="3"/>
  <c r="G184" i="3"/>
  <c r="I182" i="3"/>
  <c r="K180" i="3"/>
  <c r="C179" i="3"/>
  <c r="E177" i="3"/>
  <c r="G175" i="3"/>
  <c r="I173" i="3"/>
  <c r="K171" i="3"/>
  <c r="C170" i="3"/>
  <c r="E168" i="3"/>
  <c r="G166" i="3"/>
  <c r="I164" i="3"/>
  <c r="K162" i="3"/>
  <c r="C161" i="3"/>
  <c r="E159" i="3"/>
  <c r="H157" i="3"/>
  <c r="C156" i="3"/>
  <c r="H154" i="3"/>
  <c r="C153" i="3"/>
  <c r="J151" i="3"/>
  <c r="G150" i="3"/>
  <c r="D149" i="3"/>
  <c r="K147" i="3"/>
  <c r="H146" i="3"/>
  <c r="H236" i="3"/>
  <c r="H234" i="3"/>
  <c r="B233" i="3"/>
  <c r="B231" i="3"/>
  <c r="F229" i="3"/>
  <c r="F227" i="3"/>
  <c r="J225" i="3"/>
  <c r="J223" i="3"/>
  <c r="D222" i="3"/>
  <c r="D220" i="3"/>
  <c r="H218" i="3"/>
  <c r="H216" i="3"/>
  <c r="B215" i="3"/>
  <c r="B213" i="3"/>
  <c r="F211" i="3"/>
  <c r="F209" i="3"/>
  <c r="J207" i="3"/>
  <c r="J205" i="3"/>
  <c r="D204" i="3"/>
  <c r="D202" i="3"/>
  <c r="H200" i="3"/>
  <c r="H198" i="3"/>
  <c r="B197" i="3"/>
  <c r="B195" i="3"/>
  <c r="F193" i="3"/>
  <c r="F191" i="3"/>
  <c r="J189" i="3"/>
  <c r="J187" i="3"/>
  <c r="D186" i="3"/>
  <c r="D184" i="3"/>
  <c r="H182" i="3"/>
  <c r="H180" i="3"/>
  <c r="B179" i="3"/>
  <c r="B177" i="3"/>
  <c r="F175" i="3"/>
  <c r="F173" i="3"/>
  <c r="J171" i="3"/>
  <c r="J169" i="3"/>
  <c r="D168" i="3"/>
  <c r="D166" i="3"/>
  <c r="H164" i="3"/>
  <c r="H162" i="3"/>
  <c r="B161" i="3"/>
  <c r="B159" i="3"/>
  <c r="G157" i="3"/>
  <c r="K155" i="3"/>
  <c r="G154" i="3"/>
  <c r="B153" i="3"/>
  <c r="I151" i="3"/>
  <c r="F150" i="3"/>
  <c r="G236" i="3"/>
  <c r="G234" i="3"/>
  <c r="K232" i="3"/>
  <c r="K230" i="3"/>
  <c r="E229" i="3"/>
  <c r="E227" i="3"/>
  <c r="I225" i="3"/>
  <c r="I223" i="3"/>
  <c r="C222" i="3"/>
  <c r="C220" i="3"/>
  <c r="G218" i="3"/>
  <c r="G216" i="3"/>
  <c r="K214" i="3"/>
  <c r="K212" i="3"/>
  <c r="E211" i="3"/>
  <c r="E209" i="3"/>
  <c r="I207" i="3"/>
  <c r="I205" i="3"/>
  <c r="C204" i="3"/>
  <c r="C202" i="3"/>
  <c r="G200" i="3"/>
  <c r="G198" i="3"/>
  <c r="K196" i="3"/>
  <c r="K194" i="3"/>
  <c r="E193" i="3"/>
  <c r="E191" i="3"/>
  <c r="I189" i="3"/>
  <c r="I187" i="3"/>
  <c r="C186" i="3"/>
  <c r="C184" i="3"/>
  <c r="G182" i="3"/>
  <c r="G180" i="3"/>
  <c r="K178" i="3"/>
  <c r="K176" i="3"/>
  <c r="E175" i="3"/>
  <c r="E173" i="3"/>
  <c r="I171" i="3"/>
  <c r="I169" i="3"/>
  <c r="C168" i="3"/>
  <c r="C166" i="3"/>
  <c r="G164" i="3"/>
  <c r="G162" i="3"/>
  <c r="K160" i="3"/>
  <c r="K158" i="3"/>
  <c r="F157" i="3"/>
  <c r="J155" i="3"/>
  <c r="E154" i="3"/>
  <c r="K152" i="3"/>
  <c r="H151" i="3"/>
  <c r="E150" i="3"/>
  <c r="G238" i="3"/>
  <c r="C236" i="3"/>
  <c r="E234" i="3"/>
  <c r="G232" i="3"/>
  <c r="I230" i="3"/>
  <c r="K228" i="3"/>
  <c r="C227" i="3"/>
  <c r="E225" i="3"/>
  <c r="G223" i="3"/>
  <c r="I221" i="3"/>
  <c r="K219" i="3"/>
  <c r="C218" i="3"/>
  <c r="E216" i="3"/>
  <c r="G214" i="3"/>
  <c r="I212" i="3"/>
  <c r="K210" i="3"/>
  <c r="C209" i="3"/>
  <c r="E207" i="3"/>
  <c r="G205" i="3"/>
  <c r="I203" i="3"/>
  <c r="K201" i="3"/>
  <c r="C200" i="3"/>
  <c r="E198" i="3"/>
  <c r="G196" i="3"/>
  <c r="I194" i="3"/>
  <c r="K192" i="3"/>
  <c r="C191" i="3"/>
  <c r="E189" i="3"/>
  <c r="G187" i="3"/>
  <c r="I185" i="3"/>
  <c r="K183" i="3"/>
  <c r="C182" i="3"/>
  <c r="E180" i="3"/>
  <c r="G178" i="3"/>
  <c r="I176" i="3"/>
  <c r="K174" i="3"/>
  <c r="C173" i="3"/>
  <c r="E171" i="3"/>
  <c r="G169" i="3"/>
  <c r="I167" i="3"/>
  <c r="K165" i="3"/>
  <c r="C164" i="3"/>
  <c r="E162" i="3"/>
  <c r="G160" i="3"/>
  <c r="I158" i="3"/>
  <c r="C157" i="3"/>
  <c r="G155" i="3"/>
  <c r="C154" i="3"/>
  <c r="I152" i="3"/>
  <c r="F151" i="3"/>
  <c r="C150" i="3"/>
  <c r="I148" i="3"/>
  <c r="F147" i="3"/>
  <c r="C146" i="3"/>
  <c r="J144" i="3"/>
  <c r="G143" i="3"/>
  <c r="D142" i="3"/>
  <c r="K140" i="3"/>
  <c r="H139" i="3"/>
  <c r="E138" i="3"/>
  <c r="B137" i="3"/>
  <c r="J135" i="3"/>
  <c r="H134" i="3"/>
  <c r="F133" i="3"/>
  <c r="D132" i="3"/>
  <c r="B131" i="3"/>
  <c r="J129" i="3"/>
  <c r="H128" i="3"/>
  <c r="F127" i="3"/>
  <c r="D126" i="3"/>
  <c r="B125" i="3"/>
  <c r="J123" i="3"/>
  <c r="H122" i="3"/>
  <c r="F121" i="3"/>
  <c r="D120" i="3"/>
  <c r="B119" i="3"/>
  <c r="J117" i="3"/>
  <c r="H116" i="3"/>
  <c r="F115" i="3"/>
  <c r="D114" i="3"/>
  <c r="B113" i="3"/>
  <c r="J111" i="3"/>
  <c r="H110" i="3"/>
  <c r="F109" i="3"/>
  <c r="D108" i="3"/>
  <c r="B107" i="3"/>
  <c r="J105" i="3"/>
  <c r="H104" i="3"/>
  <c r="F103" i="3"/>
  <c r="D102" i="3"/>
  <c r="B101" i="3"/>
  <c r="J99" i="3"/>
  <c r="H98" i="3"/>
  <c r="F97" i="3"/>
  <c r="D96" i="3"/>
  <c r="B95" i="3"/>
  <c r="J93" i="3"/>
  <c r="H92" i="3"/>
  <c r="F91" i="3"/>
  <c r="D90" i="3"/>
  <c r="B89" i="3"/>
  <c r="J87" i="3"/>
  <c r="H86" i="3"/>
  <c r="F85" i="3"/>
  <c r="D84" i="3"/>
  <c r="B83" i="3"/>
  <c r="J81" i="3"/>
  <c r="H80" i="3"/>
  <c r="F79" i="3"/>
  <c r="D78" i="3"/>
  <c r="B77" i="3"/>
  <c r="J75" i="3"/>
  <c r="H74" i="3"/>
  <c r="F73" i="3"/>
  <c r="D72" i="3"/>
  <c r="B71" i="3"/>
  <c r="J69" i="3"/>
  <c r="H68" i="3"/>
  <c r="F67" i="3"/>
  <c r="D66" i="3"/>
  <c r="B65" i="3"/>
  <c r="J63" i="3"/>
  <c r="H62" i="3"/>
  <c r="F61" i="3"/>
  <c r="D60" i="3"/>
  <c r="B59" i="3"/>
  <c r="J57" i="3"/>
  <c r="H56" i="3"/>
  <c r="F55" i="3"/>
  <c r="D54" i="3"/>
  <c r="B53" i="3"/>
  <c r="J51" i="3"/>
  <c r="H50" i="3"/>
  <c r="F49" i="3"/>
  <c r="D48" i="3"/>
  <c r="B47" i="3"/>
  <c r="J45" i="3"/>
  <c r="H44" i="3"/>
  <c r="F43" i="3"/>
  <c r="D42" i="3"/>
  <c r="B41" i="3"/>
  <c r="J39" i="3"/>
  <c r="H38" i="3"/>
  <c r="F37" i="3"/>
  <c r="D36" i="3"/>
  <c r="B35" i="3"/>
  <c r="J33" i="3"/>
  <c r="H32" i="3"/>
  <c r="F31" i="3"/>
  <c r="D30" i="3"/>
  <c r="B29" i="3"/>
  <c r="J27" i="3"/>
  <c r="H26" i="3"/>
  <c r="F25" i="3"/>
  <c r="D24" i="3"/>
  <c r="B23" i="3"/>
  <c r="J21" i="3"/>
  <c r="H20" i="3"/>
  <c r="F19" i="3"/>
  <c r="D18" i="3"/>
  <c r="B17" i="3"/>
  <c r="J15" i="3"/>
  <c r="H14" i="3"/>
  <c r="F13" i="3"/>
  <c r="D12" i="3"/>
  <c r="B11" i="3"/>
  <c r="J9" i="3"/>
  <c r="H8" i="3"/>
  <c r="F7" i="3"/>
  <c r="D6" i="3"/>
  <c r="E236" i="3"/>
  <c r="F233" i="3"/>
  <c r="E230" i="3"/>
  <c r="B227" i="3"/>
  <c r="E224" i="3"/>
  <c r="C221" i="3"/>
  <c r="I217" i="3"/>
  <c r="I214" i="3"/>
  <c r="J211" i="3"/>
  <c r="I208" i="3"/>
  <c r="F205" i="3"/>
  <c r="I202" i="3"/>
  <c r="G199" i="3"/>
  <c r="C196" i="3"/>
  <c r="C193" i="3"/>
  <c r="D190" i="3"/>
  <c r="C187" i="3"/>
  <c r="J183" i="3"/>
  <c r="C181" i="3"/>
  <c r="K177" i="3"/>
  <c r="G174" i="3"/>
  <c r="G171" i="3"/>
  <c r="H168" i="3"/>
  <c r="G165" i="3"/>
  <c r="D162" i="3"/>
  <c r="G159" i="3"/>
  <c r="G156" i="3"/>
  <c r="K153" i="3"/>
  <c r="G151" i="3"/>
  <c r="G149" i="3"/>
  <c r="I147" i="3"/>
  <c r="K145" i="3"/>
  <c r="F144" i="3"/>
  <c r="I142" i="3"/>
  <c r="D141" i="3"/>
  <c r="I139" i="3"/>
  <c r="C138" i="3"/>
  <c r="H136" i="3"/>
  <c r="C135" i="3"/>
  <c r="I133" i="3"/>
  <c r="E132" i="3"/>
  <c r="J130" i="3"/>
  <c r="F129" i="3"/>
  <c r="K127" i="3"/>
  <c r="G126" i="3"/>
  <c r="C125" i="3"/>
  <c r="H123" i="3"/>
  <c r="D122" i="3"/>
  <c r="I235" i="3"/>
  <c r="I232" i="3"/>
  <c r="J229" i="3"/>
  <c r="I226" i="3"/>
  <c r="F223" i="3"/>
  <c r="I220" i="3"/>
  <c r="G217" i="3"/>
  <c r="C214" i="3"/>
  <c r="C211" i="3"/>
  <c r="D208" i="3"/>
  <c r="C205" i="3"/>
  <c r="J201" i="3"/>
  <c r="C199" i="3"/>
  <c r="K195" i="3"/>
  <c r="G192" i="3"/>
  <c r="G189" i="3"/>
  <c r="H186" i="3"/>
  <c r="G183" i="3"/>
  <c r="D180" i="3"/>
  <c r="G177" i="3"/>
  <c r="E174" i="3"/>
  <c r="K170" i="3"/>
  <c r="K167" i="3"/>
  <c r="B165" i="3"/>
  <c r="K161" i="3"/>
  <c r="H158" i="3"/>
  <c r="D156" i="3"/>
  <c r="I153" i="3"/>
  <c r="C151" i="3"/>
  <c r="C149" i="3"/>
  <c r="E147" i="3"/>
  <c r="I145" i="3"/>
  <c r="C144" i="3"/>
  <c r="G142" i="3"/>
  <c r="B141" i="3"/>
  <c r="F139" i="3"/>
  <c r="J137" i="3"/>
  <c r="E136" i="3"/>
  <c r="K134" i="3"/>
  <c r="G133" i="3"/>
  <c r="B132" i="3"/>
  <c r="H130" i="3"/>
  <c r="C129" i="3"/>
  <c r="I127" i="3"/>
  <c r="E126" i="3"/>
  <c r="J124" i="3"/>
  <c r="F123" i="3"/>
  <c r="K121" i="3"/>
  <c r="G120" i="3"/>
  <c r="C119" i="3"/>
  <c r="I117" i="3"/>
  <c r="F116" i="3"/>
  <c r="C115" i="3"/>
  <c r="J113" i="3"/>
  <c r="G112" i="3"/>
  <c r="D111" i="3"/>
  <c r="K109" i="3"/>
  <c r="H108" i="3"/>
  <c r="E107" i="3"/>
  <c r="B106" i="3"/>
  <c r="I104" i="3"/>
  <c r="E103" i="3"/>
  <c r="B102" i="3"/>
  <c r="I100" i="3"/>
  <c r="F99" i="3"/>
  <c r="C98" i="3"/>
  <c r="J96" i="3"/>
  <c r="G95" i="3"/>
  <c r="D94" i="3"/>
  <c r="K92" i="3"/>
  <c r="H91" i="3"/>
  <c r="E90" i="3"/>
  <c r="K88" i="3"/>
  <c r="H87" i="3"/>
  <c r="E86" i="3"/>
  <c r="B85" i="3"/>
  <c r="I83" i="3"/>
  <c r="F82" i="3"/>
  <c r="C81" i="3"/>
  <c r="J79" i="3"/>
  <c r="G78" i="3"/>
  <c r="D77" i="3"/>
  <c r="K75" i="3"/>
  <c r="G74" i="3"/>
  <c r="D73" i="3"/>
  <c r="H235" i="3"/>
  <c r="D232" i="3"/>
  <c r="H229" i="3"/>
  <c r="G226" i="3"/>
  <c r="E223" i="3"/>
  <c r="B220" i="3"/>
  <c r="F217" i="3"/>
  <c r="B214" i="3"/>
  <c r="H210" i="3"/>
  <c r="B208" i="3"/>
  <c r="K204" i="3"/>
  <c r="I201" i="3"/>
  <c r="F198" i="3"/>
  <c r="J195" i="3"/>
  <c r="F192" i="3"/>
  <c r="B189" i="3"/>
  <c r="F186" i="3"/>
  <c r="E183" i="3"/>
  <c r="C180" i="3"/>
  <c r="J176" i="3"/>
  <c r="D174" i="3"/>
  <c r="J170" i="3"/>
  <c r="F167" i="3"/>
  <c r="J164" i="3"/>
  <c r="I161" i="3"/>
  <c r="G158" i="3"/>
  <c r="I155" i="3"/>
  <c r="G153" i="3"/>
  <c r="B151" i="3"/>
  <c r="B149" i="3"/>
  <c r="D147" i="3"/>
  <c r="H145" i="3"/>
  <c r="K143" i="3"/>
  <c r="F142" i="3"/>
  <c r="J140" i="3"/>
  <c r="E139" i="3"/>
  <c r="I137" i="3"/>
  <c r="D136" i="3"/>
  <c r="J134" i="3"/>
  <c r="E133" i="3"/>
  <c r="K131" i="3"/>
  <c r="G130" i="3"/>
  <c r="B129" i="3"/>
  <c r="H127" i="3"/>
  <c r="C126" i="3"/>
  <c r="I124" i="3"/>
  <c r="E123" i="3"/>
  <c r="J121" i="3"/>
  <c r="F120" i="3"/>
  <c r="K118" i="3"/>
  <c r="H117" i="3"/>
  <c r="E116" i="3"/>
  <c r="B115" i="3"/>
  <c r="I113" i="3"/>
  <c r="F112" i="3"/>
  <c r="C111" i="3"/>
  <c r="G235" i="3"/>
  <c r="C232" i="3"/>
  <c r="C229" i="3"/>
  <c r="D226" i="3"/>
  <c r="C223" i="3"/>
  <c r="J219" i="3"/>
  <c r="C217" i="3"/>
  <c r="K213" i="3"/>
  <c r="G210" i="3"/>
  <c r="G207" i="3"/>
  <c r="H204" i="3"/>
  <c r="G201" i="3"/>
  <c r="D198" i="3"/>
  <c r="G195" i="3"/>
  <c r="E192" i="3"/>
  <c r="K188" i="3"/>
  <c r="K185" i="3"/>
  <c r="B183" i="3"/>
  <c r="K179" i="3"/>
  <c r="H176" i="3"/>
  <c r="K173" i="3"/>
  <c r="I170" i="3"/>
  <c r="E167" i="3"/>
  <c r="E164" i="3"/>
  <c r="F161" i="3"/>
  <c r="E158" i="3"/>
  <c r="F155" i="3"/>
  <c r="E153" i="3"/>
  <c r="K150" i="3"/>
  <c r="K148" i="3"/>
  <c r="C147" i="3"/>
  <c r="F145" i="3"/>
  <c r="J143" i="3"/>
  <c r="E142" i="3"/>
  <c r="I140" i="3"/>
  <c r="C139" i="3"/>
  <c r="G137" i="3"/>
  <c r="C136" i="3"/>
  <c r="I134" i="3"/>
  <c r="D133" i="3"/>
  <c r="J131" i="3"/>
  <c r="E130" i="3"/>
  <c r="K128" i="3"/>
  <c r="G127" i="3"/>
  <c r="B126" i="3"/>
  <c r="H124" i="3"/>
  <c r="C123" i="3"/>
  <c r="I121" i="3"/>
  <c r="E120" i="3"/>
  <c r="J118" i="3"/>
  <c r="G117" i="3"/>
  <c r="D116" i="3"/>
  <c r="K114" i="3"/>
  <c r="H113" i="3"/>
  <c r="E112" i="3"/>
  <c r="B111" i="3"/>
  <c r="I109" i="3"/>
  <c r="F108" i="3"/>
  <c r="C107" i="3"/>
  <c r="I105" i="3"/>
  <c r="F104" i="3"/>
  <c r="C103" i="3"/>
  <c r="J101" i="3"/>
  <c r="G100" i="3"/>
  <c r="D99" i="3"/>
  <c r="K97" i="3"/>
  <c r="H96" i="3"/>
  <c r="E95" i="3"/>
  <c r="B94" i="3"/>
  <c r="I92" i="3"/>
  <c r="E91" i="3"/>
  <c r="B90" i="3"/>
  <c r="I88" i="3"/>
  <c r="F87" i="3"/>
  <c r="C86" i="3"/>
  <c r="J84" i="3"/>
  <c r="G83" i="3"/>
  <c r="D82" i="3"/>
  <c r="K80" i="3"/>
  <c r="H79" i="3"/>
  <c r="C238" i="3"/>
  <c r="C235" i="3"/>
  <c r="K231" i="3"/>
  <c r="G228" i="3"/>
  <c r="G225" i="3"/>
  <c r="H222" i="3"/>
  <c r="G219" i="3"/>
  <c r="D216" i="3"/>
  <c r="G213" i="3"/>
  <c r="E210" i="3"/>
  <c r="K206" i="3"/>
  <c r="K203" i="3"/>
  <c r="B201" i="3"/>
  <c r="K197" i="3"/>
  <c r="H194" i="3"/>
  <c r="K191" i="3"/>
  <c r="I188" i="3"/>
  <c r="E185" i="3"/>
  <c r="E182" i="3"/>
  <c r="F179" i="3"/>
  <c r="E176" i="3"/>
  <c r="B173" i="3"/>
  <c r="E170" i="3"/>
  <c r="C167" i="3"/>
  <c r="I163" i="3"/>
  <c r="I160" i="3"/>
  <c r="K157" i="3"/>
  <c r="D155" i="3"/>
  <c r="H152" i="3"/>
  <c r="H150" i="3"/>
  <c r="G148" i="3"/>
  <c r="K146" i="3"/>
  <c r="C145" i="3"/>
  <c r="H143" i="3"/>
  <c r="B142" i="3"/>
  <c r="G140" i="3"/>
  <c r="J138" i="3"/>
  <c r="E137" i="3"/>
  <c r="K135" i="3"/>
  <c r="F134" i="3"/>
  <c r="B133" i="3"/>
  <c r="G131" i="3"/>
  <c r="C130" i="3"/>
  <c r="I128" i="3"/>
  <c r="D127" i="3"/>
  <c r="J125" i="3"/>
  <c r="E124" i="3"/>
  <c r="K122" i="3"/>
  <c r="G121" i="3"/>
  <c r="B120" i="3"/>
  <c r="H118" i="3"/>
  <c r="E117" i="3"/>
  <c r="B116" i="3"/>
  <c r="I114" i="3"/>
  <c r="F113" i="3"/>
  <c r="C112" i="3"/>
  <c r="J110" i="3"/>
  <c r="G109" i="3"/>
  <c r="C108" i="3"/>
  <c r="J106" i="3"/>
  <c r="G105" i="3"/>
  <c r="D104" i="3"/>
  <c r="K102" i="3"/>
  <c r="H101" i="3"/>
  <c r="E100" i="3"/>
  <c r="B99" i="3"/>
  <c r="I97" i="3"/>
  <c r="F96" i="3"/>
  <c r="C95" i="3"/>
  <c r="I93" i="3"/>
  <c r="F92" i="3"/>
  <c r="C91" i="3"/>
  <c r="J89" i="3"/>
  <c r="G88" i="3"/>
  <c r="D87" i="3"/>
  <c r="K85" i="3"/>
  <c r="H84" i="3"/>
  <c r="E83" i="3"/>
  <c r="B82" i="3"/>
  <c r="I80" i="3"/>
  <c r="E79" i="3"/>
  <c r="B78" i="3"/>
  <c r="I76" i="3"/>
  <c r="F75" i="3"/>
  <c r="C74" i="3"/>
  <c r="J72" i="3"/>
  <c r="G71" i="3"/>
  <c r="D70" i="3"/>
  <c r="K68" i="3"/>
  <c r="H67" i="3"/>
  <c r="E66" i="3"/>
  <c r="K64" i="3"/>
  <c r="H63" i="3"/>
  <c r="E62" i="3"/>
  <c r="B61" i="3"/>
  <c r="I59" i="3"/>
  <c r="F58" i="3"/>
  <c r="C57" i="3"/>
  <c r="J55" i="3"/>
  <c r="G54" i="3"/>
  <c r="D53" i="3"/>
  <c r="K51" i="3"/>
  <c r="G50" i="3"/>
  <c r="D49" i="3"/>
  <c r="K47" i="3"/>
  <c r="H46" i="3"/>
  <c r="E45" i="3"/>
  <c r="B44" i="3"/>
  <c r="I42" i="3"/>
  <c r="F41" i="3"/>
  <c r="C40" i="3"/>
  <c r="J38" i="3"/>
  <c r="G37" i="3"/>
  <c r="C36" i="3"/>
  <c r="J34" i="3"/>
  <c r="G33" i="3"/>
  <c r="D32" i="3"/>
  <c r="K30" i="3"/>
  <c r="H29" i="3"/>
  <c r="E28" i="3"/>
  <c r="B27" i="3"/>
  <c r="I25" i="3"/>
  <c r="F24" i="3"/>
  <c r="C23" i="3"/>
  <c r="I21" i="3"/>
  <c r="F20" i="3"/>
  <c r="C19" i="3"/>
  <c r="J17" i="3"/>
  <c r="G16" i="3"/>
  <c r="D15" i="3"/>
  <c r="K13" i="3"/>
  <c r="H12" i="3"/>
  <c r="E11" i="3"/>
  <c r="B10" i="3"/>
  <c r="I8" i="3"/>
  <c r="E7" i="3"/>
  <c r="B6" i="3"/>
  <c r="J4" i="3"/>
  <c r="H3" i="3"/>
  <c r="F235" i="3"/>
  <c r="G230" i="3"/>
  <c r="J224" i="3"/>
  <c r="E219" i="3"/>
  <c r="D214" i="3"/>
  <c r="B209" i="3"/>
  <c r="E203" i="3"/>
  <c r="C198" i="3"/>
  <c r="H193" i="3"/>
  <c r="H187" i="3"/>
  <c r="J181" i="3"/>
  <c r="J177" i="3"/>
  <c r="D172" i="3"/>
  <c r="I166" i="3"/>
  <c r="D161" i="3"/>
  <c r="H156" i="3"/>
  <c r="D152" i="3"/>
  <c r="F148" i="3"/>
  <c r="J145" i="3"/>
  <c r="C143" i="3"/>
  <c r="C140" i="3"/>
  <c r="F137" i="3"/>
  <c r="E135" i="3"/>
  <c r="H132" i="3"/>
  <c r="B130" i="3"/>
  <c r="J127" i="3"/>
  <c r="E125" i="3"/>
  <c r="I122" i="3"/>
  <c r="H120" i="3"/>
  <c r="E118" i="3"/>
  <c r="G116" i="3"/>
  <c r="F114" i="3"/>
  <c r="H112" i="3"/>
  <c r="F110" i="3"/>
  <c r="J108" i="3"/>
  <c r="K106" i="3"/>
  <c r="D105" i="3"/>
  <c r="H103" i="3"/>
  <c r="I101" i="3"/>
  <c r="B100" i="3"/>
  <c r="E98" i="3"/>
  <c r="G96" i="3"/>
  <c r="I94" i="3"/>
  <c r="C93" i="3"/>
  <c r="D91" i="3"/>
  <c r="G89" i="3"/>
  <c r="K87" i="3"/>
  <c r="B86" i="3"/>
  <c r="E84" i="3"/>
  <c r="H82" i="3"/>
  <c r="J80" i="3"/>
  <c r="B79" i="3"/>
  <c r="G77" i="3"/>
  <c r="B76" i="3"/>
  <c r="E74" i="3"/>
  <c r="I72" i="3"/>
  <c r="E71" i="3"/>
  <c r="K69" i="3"/>
  <c r="F68" i="3"/>
  <c r="B67" i="3"/>
  <c r="H65" i="3"/>
  <c r="D64" i="3"/>
  <c r="J62" i="3"/>
  <c r="E61" i="3"/>
  <c r="K59" i="3"/>
  <c r="G58" i="3"/>
  <c r="B57" i="3"/>
  <c r="H55" i="3"/>
  <c r="C54" i="3"/>
  <c r="I52" i="3"/>
  <c r="E51" i="3"/>
  <c r="K49" i="3"/>
  <c r="G48" i="3"/>
  <c r="C47" i="3"/>
  <c r="H45" i="3"/>
  <c r="D44" i="3"/>
  <c r="J42" i="3"/>
  <c r="E41" i="3"/>
  <c r="K39" i="3"/>
  <c r="F38" i="3"/>
  <c r="B37" i="3"/>
  <c r="H35" i="3"/>
  <c r="D34" i="3"/>
  <c r="J32" i="3"/>
  <c r="E31" i="3"/>
  <c r="F234" i="3"/>
  <c r="D234" i="3"/>
  <c r="H228" i="3"/>
  <c r="H224" i="3"/>
  <c r="J218" i="3"/>
  <c r="J212" i="3"/>
  <c r="G208" i="3"/>
  <c r="C203" i="3"/>
  <c r="F197" i="3"/>
  <c r="D192" i="3"/>
  <c r="E187" i="3"/>
  <c r="H181" i="3"/>
  <c r="C176" i="3"/>
  <c r="B171" i="3"/>
  <c r="J165" i="3"/>
  <c r="C160" i="3"/>
  <c r="E155" i="3"/>
  <c r="K151" i="3"/>
  <c r="D148" i="3"/>
  <c r="B145" i="3"/>
  <c r="H142" i="3"/>
  <c r="K139" i="3"/>
  <c r="C137" i="3"/>
  <c r="G134" i="3"/>
  <c r="F132" i="3"/>
  <c r="I129" i="3"/>
  <c r="C127" i="3"/>
  <c r="K124" i="3"/>
  <c r="F122" i="3"/>
  <c r="K119" i="3"/>
  <c r="C118" i="3"/>
  <c r="K115" i="3"/>
  <c r="C114" i="3"/>
  <c r="B112" i="3"/>
  <c r="D110" i="3"/>
  <c r="G108" i="3"/>
  <c r="H106" i="3"/>
  <c r="B105" i="3"/>
  <c r="D103" i="3"/>
  <c r="F101" i="3"/>
  <c r="I99" i="3"/>
  <c r="B98" i="3"/>
  <c r="C96" i="3"/>
  <c r="G94" i="3"/>
  <c r="J92" i="3"/>
  <c r="K90" i="3"/>
  <c r="E89" i="3"/>
  <c r="G87" i="3"/>
  <c r="I85" i="3"/>
  <c r="B84" i="3"/>
  <c r="E82" i="3"/>
  <c r="F80" i="3"/>
  <c r="J78" i="3"/>
  <c r="E77" i="3"/>
  <c r="H75" i="3"/>
  <c r="B74" i="3"/>
  <c r="G72" i="3"/>
  <c r="C71" i="3"/>
  <c r="H69" i="3"/>
  <c r="D68" i="3"/>
  <c r="J66" i="3"/>
  <c r="F65" i="3"/>
  <c r="B64" i="3"/>
  <c r="G62" i="3"/>
  <c r="C61" i="3"/>
  <c r="H59" i="3"/>
  <c r="D58" i="3"/>
  <c r="J56" i="3"/>
  <c r="E55" i="3"/>
  <c r="K53" i="3"/>
  <c r="G52" i="3"/>
  <c r="C51" i="3"/>
  <c r="I49" i="3"/>
  <c r="E48" i="3"/>
  <c r="J46" i="3"/>
  <c r="F45" i="3"/>
  <c r="K43" i="3"/>
  <c r="G42" i="3"/>
  <c r="C41" i="3"/>
  <c r="H39" i="3"/>
  <c r="D38" i="3"/>
  <c r="J36" i="3"/>
  <c r="F35" i="3"/>
  <c r="B34" i="3"/>
  <c r="G32" i="3"/>
  <c r="C31" i="3"/>
  <c r="I29" i="3"/>
  <c r="C234" i="3"/>
  <c r="F228" i="3"/>
  <c r="H223" i="3"/>
  <c r="E218" i="3"/>
  <c r="H212" i="3"/>
  <c r="B207" i="3"/>
  <c r="B203" i="3"/>
  <c r="D197" i="3"/>
  <c r="D191" i="3"/>
  <c r="K186" i="3"/>
  <c r="G181" i="3"/>
  <c r="J175" i="3"/>
  <c r="H170" i="3"/>
  <c r="I165" i="3"/>
  <c r="B160" i="3"/>
  <c r="C155" i="3"/>
  <c r="E151" i="3"/>
  <c r="B148" i="3"/>
  <c r="K144" i="3"/>
  <c r="C142" i="3"/>
  <c r="J139" i="3"/>
  <c r="K136" i="3"/>
  <c r="E134" i="3"/>
  <c r="C132" i="3"/>
  <c r="H129" i="3"/>
  <c r="B127" i="3"/>
  <c r="G124" i="3"/>
  <c r="E122" i="3"/>
  <c r="J119" i="3"/>
  <c r="B118" i="3"/>
  <c r="J115" i="3"/>
  <c r="B114" i="3"/>
  <c r="K111" i="3"/>
  <c r="C110" i="3"/>
  <c r="E108" i="3"/>
  <c r="G106" i="3"/>
  <c r="K104" i="3"/>
  <c r="B103" i="3"/>
  <c r="E101" i="3"/>
  <c r="H99" i="3"/>
  <c r="J97" i="3"/>
  <c r="B96" i="3"/>
  <c r="F94" i="3"/>
  <c r="G92" i="3"/>
  <c r="J90" i="3"/>
  <c r="D89" i="3"/>
  <c r="E87" i="3"/>
  <c r="H85" i="3"/>
  <c r="K83" i="3"/>
  <c r="C82" i="3"/>
  <c r="E80" i="3"/>
  <c r="I78" i="3"/>
  <c r="C77" i="3"/>
  <c r="G75" i="3"/>
  <c r="K73" i="3"/>
  <c r="F72" i="3"/>
  <c r="K70" i="3"/>
  <c r="G69" i="3"/>
  <c r="C68" i="3"/>
  <c r="I66" i="3"/>
  <c r="E65" i="3"/>
  <c r="K63" i="3"/>
  <c r="F62" i="3"/>
  <c r="K60" i="3"/>
  <c r="G59" i="3"/>
  <c r="C58" i="3"/>
  <c r="I56" i="3"/>
  <c r="D55" i="3"/>
  <c r="J53" i="3"/>
  <c r="F52" i="3"/>
  <c r="B51" i="3"/>
  <c r="H49" i="3"/>
  <c r="C48" i="3"/>
  <c r="I46" i="3"/>
  <c r="D45" i="3"/>
  <c r="J43" i="3"/>
  <c r="F42" i="3"/>
  <c r="K40" i="3"/>
  <c r="G39" i="3"/>
  <c r="C38" i="3"/>
  <c r="I36" i="3"/>
  <c r="E35" i="3"/>
  <c r="K33" i="3"/>
  <c r="F32" i="3"/>
  <c r="B31" i="3"/>
  <c r="K233" i="3"/>
  <c r="E228" i="3"/>
  <c r="K222" i="3"/>
  <c r="J217" i="3"/>
  <c r="G212" i="3"/>
  <c r="J206" i="3"/>
  <c r="B202" i="3"/>
  <c r="I196" i="3"/>
  <c r="B191" i="3"/>
  <c r="F185" i="3"/>
  <c r="F181" i="3"/>
  <c r="H175" i="3"/>
  <c r="H169" i="3"/>
  <c r="E165" i="3"/>
  <c r="K159" i="3"/>
  <c r="B155" i="3"/>
  <c r="J150" i="3"/>
  <c r="J147" i="3"/>
  <c r="I144" i="3"/>
  <c r="K141" i="3"/>
  <c r="G139" i="3"/>
  <c r="J136" i="3"/>
  <c r="D134" i="3"/>
  <c r="I131" i="3"/>
  <c r="G129" i="3"/>
  <c r="K126" i="3"/>
  <c r="D124" i="3"/>
  <c r="C122" i="3"/>
  <c r="I119" i="3"/>
  <c r="K117" i="3"/>
  <c r="I115" i="3"/>
  <c r="K113" i="3"/>
  <c r="I111" i="3"/>
  <c r="B110" i="3"/>
  <c r="B108" i="3"/>
  <c r="F106" i="3"/>
  <c r="J104" i="3"/>
  <c r="J102" i="3"/>
  <c r="D101" i="3"/>
  <c r="G99" i="3"/>
  <c r="H97" i="3"/>
  <c r="K95" i="3"/>
  <c r="E94" i="3"/>
  <c r="E92" i="3"/>
  <c r="I90" i="3"/>
  <c r="C89" i="3"/>
  <c r="C87" i="3"/>
  <c r="G85" i="3"/>
  <c r="J83" i="3"/>
  <c r="K81" i="3"/>
  <c r="D80" i="3"/>
  <c r="H78" i="3"/>
  <c r="K76" i="3"/>
  <c r="E75" i="3"/>
  <c r="J73" i="3"/>
  <c r="E72" i="3"/>
  <c r="J70" i="3"/>
  <c r="F69" i="3"/>
  <c r="B68" i="3"/>
  <c r="H66" i="3"/>
  <c r="D65" i="3"/>
  <c r="I63" i="3"/>
  <c r="D62" i="3"/>
  <c r="J60" i="3"/>
  <c r="F59" i="3"/>
  <c r="B58" i="3"/>
  <c r="G56" i="3"/>
  <c r="C55" i="3"/>
  <c r="I53" i="3"/>
  <c r="E52" i="3"/>
  <c r="K50" i="3"/>
  <c r="G49" i="3"/>
  <c r="B48" i="3"/>
  <c r="G46" i="3"/>
  <c r="C45" i="3"/>
  <c r="I43" i="3"/>
  <c r="E42" i="3"/>
  <c r="J40" i="3"/>
  <c r="F39" i="3"/>
  <c r="B38" i="3"/>
  <c r="H36" i="3"/>
  <c r="D35" i="3"/>
  <c r="I33" i="3"/>
  <c r="E32" i="3"/>
  <c r="J30" i="3"/>
  <c r="I237" i="3"/>
  <c r="D233" i="3"/>
  <c r="K227" i="3"/>
  <c r="K221" i="3"/>
  <c r="F216" i="3"/>
  <c r="C212" i="3"/>
  <c r="H206" i="3"/>
  <c r="J200" i="3"/>
  <c r="B196" i="3"/>
  <c r="I190" i="3"/>
  <c r="C185" i="3"/>
  <c r="I179" i="3"/>
  <c r="H174" i="3"/>
  <c r="E169" i="3"/>
  <c r="H163" i="3"/>
  <c r="J158" i="3"/>
  <c r="D154" i="3"/>
  <c r="K149" i="3"/>
  <c r="B147" i="3"/>
  <c r="G144" i="3"/>
  <c r="I141" i="3"/>
  <c r="I138" i="3"/>
  <c r="G136" i="3"/>
  <c r="K133" i="3"/>
  <c r="E131" i="3"/>
  <c r="J128" i="3"/>
  <c r="H126" i="3"/>
  <c r="B124" i="3"/>
  <c r="E121" i="3"/>
  <c r="F119" i="3"/>
  <c r="D117" i="3"/>
  <c r="G115" i="3"/>
  <c r="E113" i="3"/>
  <c r="G111" i="3"/>
  <c r="H109" i="3"/>
  <c r="J107" i="3"/>
  <c r="D106" i="3"/>
  <c r="E104" i="3"/>
  <c r="H102" i="3"/>
  <c r="K100" i="3"/>
  <c r="C99" i="3"/>
  <c r="E97" i="3"/>
  <c r="I95" i="3"/>
  <c r="K93" i="3"/>
  <c r="C92" i="3"/>
  <c r="G90" i="3"/>
  <c r="H88" i="3"/>
  <c r="K86" i="3"/>
  <c r="D85" i="3"/>
  <c r="F83" i="3"/>
  <c r="H81" i="3"/>
  <c r="B80" i="3"/>
  <c r="E78" i="3"/>
  <c r="H76" i="3"/>
  <c r="C75" i="3"/>
  <c r="H73" i="3"/>
  <c r="B72" i="3"/>
  <c r="H70" i="3"/>
  <c r="D69" i="3"/>
  <c r="J67" i="3"/>
  <c r="F66" i="3"/>
  <c r="J64" i="3"/>
  <c r="F63" i="3"/>
  <c r="B62" i="3"/>
  <c r="H60" i="3"/>
  <c r="D59" i="3"/>
  <c r="I57" i="3"/>
  <c r="E56" i="3"/>
  <c r="K54" i="3"/>
  <c r="G53" i="3"/>
  <c r="C52" i="3"/>
  <c r="I50" i="3"/>
  <c r="C49" i="3"/>
  <c r="I47" i="3"/>
  <c r="E46" i="3"/>
  <c r="K44" i="3"/>
  <c r="G43" i="3"/>
  <c r="B42" i="3"/>
  <c r="H40" i="3"/>
  <c r="D39" i="3"/>
  <c r="J37" i="3"/>
  <c r="F36" i="3"/>
  <c r="K34" i="3"/>
  <c r="F33" i="3"/>
  <c r="B32" i="3"/>
  <c r="H30" i="3"/>
  <c r="D29" i="3"/>
  <c r="I27" i="3"/>
  <c r="E26" i="3"/>
  <c r="K24" i="3"/>
  <c r="G23" i="3"/>
  <c r="C22" i="3"/>
  <c r="I20" i="3"/>
  <c r="D19" i="3"/>
  <c r="I17" i="3"/>
  <c r="E16" i="3"/>
  <c r="K14" i="3"/>
  <c r="G13" i="3"/>
  <c r="B12" i="3"/>
  <c r="H10" i="3"/>
  <c r="D9" i="3"/>
  <c r="J7" i="3"/>
  <c r="F6" i="3"/>
  <c r="B5" i="3"/>
  <c r="I3" i="3"/>
  <c r="B232" i="3"/>
  <c r="I224" i="3"/>
  <c r="F215" i="3"/>
  <c r="H205" i="3"/>
  <c r="D196" i="3"/>
  <c r="E188" i="3"/>
  <c r="D178" i="3"/>
  <c r="C169" i="3"/>
  <c r="D160" i="3"/>
  <c r="G152" i="3"/>
  <c r="G146" i="3"/>
  <c r="J141" i="3"/>
  <c r="K137" i="3"/>
  <c r="C133" i="3"/>
  <c r="G128" i="3"/>
  <c r="D125" i="3"/>
  <c r="K120" i="3"/>
  <c r="B117" i="3"/>
  <c r="G113" i="3"/>
  <c r="G110" i="3"/>
  <c r="G107" i="3"/>
  <c r="C104" i="3"/>
  <c r="G101" i="3"/>
  <c r="G98" i="3"/>
  <c r="F95" i="3"/>
  <c r="D92" i="3"/>
  <c r="H89" i="3"/>
  <c r="G86" i="3"/>
  <c r="D83" i="3"/>
  <c r="G80" i="3"/>
  <c r="I77" i="3"/>
  <c r="K74" i="3"/>
  <c r="C72" i="3"/>
  <c r="B70" i="3"/>
  <c r="E67" i="3"/>
  <c r="I64" i="3"/>
  <c r="I62" i="3"/>
  <c r="C60" i="3"/>
  <c r="G57" i="3"/>
  <c r="B55" i="3"/>
  <c r="J52" i="3"/>
  <c r="D50" i="3"/>
  <c r="H47" i="3"/>
  <c r="G45" i="3"/>
  <c r="B43" i="3"/>
  <c r="F40" i="3"/>
  <c r="K37" i="3"/>
  <c r="I35" i="3"/>
  <c r="C33" i="3"/>
  <c r="G30" i="3"/>
  <c r="J28" i="3"/>
  <c r="E27" i="3"/>
  <c r="J25" i="3"/>
  <c r="C24" i="3"/>
  <c r="H22" i="3"/>
  <c r="C21" i="3"/>
  <c r="H19" i="3"/>
  <c r="B18" i="3"/>
  <c r="F16" i="3"/>
  <c r="J14" i="3"/>
  <c r="D13" i="3"/>
  <c r="I11" i="3"/>
  <c r="D10" i="3"/>
  <c r="G8" i="3"/>
  <c r="B7" i="3"/>
  <c r="G5" i="3"/>
  <c r="C4" i="3"/>
  <c r="J231" i="3"/>
  <c r="F222" i="3"/>
  <c r="D215" i="3"/>
  <c r="E205" i="3"/>
  <c r="J194" i="3"/>
  <c r="F187" i="3"/>
  <c r="C178" i="3"/>
  <c r="K168" i="3"/>
  <c r="J159" i="3"/>
  <c r="E152" i="3"/>
  <c r="E146" i="3"/>
  <c r="F141" i="3"/>
  <c r="D137" i="3"/>
  <c r="K132" i="3"/>
  <c r="F128" i="3"/>
  <c r="C124" i="3"/>
  <c r="I120" i="3"/>
  <c r="K116" i="3"/>
  <c r="D113" i="3"/>
  <c r="E110" i="3"/>
  <c r="F107" i="3"/>
  <c r="B104" i="3"/>
  <c r="C101" i="3"/>
  <c r="F98" i="3"/>
  <c r="D95" i="3"/>
  <c r="B92" i="3"/>
  <c r="F89" i="3"/>
  <c r="F86" i="3"/>
  <c r="C83" i="3"/>
  <c r="C80" i="3"/>
  <c r="H77" i="3"/>
  <c r="J74" i="3"/>
  <c r="K71" i="3"/>
  <c r="I69" i="3"/>
  <c r="D67" i="3"/>
  <c r="H64" i="3"/>
  <c r="C62" i="3"/>
  <c r="B60" i="3"/>
  <c r="F57" i="3"/>
  <c r="J54" i="3"/>
  <c r="H52" i="3"/>
  <c r="C50" i="3"/>
  <c r="G47" i="3"/>
  <c r="B45" i="3"/>
  <c r="K42" i="3"/>
  <c r="E40" i="3"/>
  <c r="I37" i="3"/>
  <c r="G35" i="3"/>
  <c r="B33" i="3"/>
  <c r="F30" i="3"/>
  <c r="I28" i="3"/>
  <c r="D27" i="3"/>
  <c r="H25" i="3"/>
  <c r="B24" i="3"/>
  <c r="G22" i="3"/>
  <c r="B21" i="3"/>
  <c r="G19" i="3"/>
  <c r="G231" i="3"/>
  <c r="F221" i="3"/>
  <c r="J213" i="3"/>
  <c r="F204" i="3"/>
  <c r="G194" i="3"/>
  <c r="D185" i="3"/>
  <c r="B178" i="3"/>
  <c r="F168" i="3"/>
  <c r="C158" i="3"/>
  <c r="C152" i="3"/>
  <c r="D146" i="3"/>
  <c r="E141" i="3"/>
  <c r="I136" i="3"/>
  <c r="I132" i="3"/>
  <c r="E128" i="3"/>
  <c r="K123" i="3"/>
  <c r="C120" i="3"/>
  <c r="J116" i="3"/>
  <c r="C113" i="3"/>
  <c r="J109" i="3"/>
  <c r="D107" i="3"/>
  <c r="K103" i="3"/>
  <c r="J100" i="3"/>
  <c r="D98" i="3"/>
  <c r="K94" i="3"/>
  <c r="K91" i="3"/>
  <c r="J88" i="3"/>
  <c r="D86" i="3"/>
  <c r="K82" i="3"/>
  <c r="K79" i="3"/>
  <c r="F77" i="3"/>
  <c r="I74" i="3"/>
  <c r="J71" i="3"/>
  <c r="E69" i="3"/>
  <c r="C67" i="3"/>
  <c r="G64" i="3"/>
  <c r="K61" i="3"/>
  <c r="J59" i="3"/>
  <c r="E57" i="3"/>
  <c r="I54" i="3"/>
  <c r="D52" i="3"/>
  <c r="B50" i="3"/>
  <c r="F47" i="3"/>
  <c r="J44" i="3"/>
  <c r="H42" i="3"/>
  <c r="D40" i="3"/>
  <c r="H37" i="3"/>
  <c r="C35" i="3"/>
  <c r="K32" i="3"/>
  <c r="E30" i="3"/>
  <c r="H28" i="3"/>
  <c r="C27" i="3"/>
  <c r="G25" i="3"/>
  <c r="K23" i="3"/>
  <c r="F22" i="3"/>
  <c r="K20" i="3"/>
  <c r="E19" i="3"/>
  <c r="H17" i="3"/>
  <c r="C16" i="3"/>
  <c r="G14" i="3"/>
  <c r="B13" i="3"/>
  <c r="G11" i="3"/>
  <c r="K9" i="3"/>
  <c r="E8" i="3"/>
  <c r="J6" i="3"/>
  <c r="E5" i="3"/>
  <c r="K3" i="3"/>
  <c r="J230" i="3"/>
  <c r="E221" i="3"/>
  <c r="E212" i="3"/>
  <c r="F203" i="3"/>
  <c r="E194" i="3"/>
  <c r="B185" i="3"/>
  <c r="G176" i="3"/>
  <c r="D167" i="3"/>
  <c r="I157" i="3"/>
  <c r="D150" i="3"/>
  <c r="B146" i="3"/>
  <c r="C141" i="3"/>
  <c r="B136" i="3"/>
  <c r="G132" i="3"/>
  <c r="D128" i="3"/>
  <c r="I123" i="3"/>
  <c r="G119" i="3"/>
  <c r="I116" i="3"/>
  <c r="K112" i="3"/>
  <c r="E109" i="3"/>
  <c r="I106" i="3"/>
  <c r="J103" i="3"/>
  <c r="H100" i="3"/>
  <c r="G97" i="3"/>
  <c r="J94" i="3"/>
  <c r="J91" i="3"/>
  <c r="F88" i="3"/>
  <c r="J85" i="3"/>
  <c r="J82" i="3"/>
  <c r="I79" i="3"/>
  <c r="J76" i="3"/>
  <c r="F74" i="3"/>
  <c r="I71" i="3"/>
  <c r="C69" i="3"/>
  <c r="K66" i="3"/>
  <c r="F64" i="3"/>
  <c r="J61" i="3"/>
  <c r="E59" i="3"/>
  <c r="D57" i="3"/>
  <c r="H54" i="3"/>
  <c r="B52" i="3"/>
  <c r="J49" i="3"/>
  <c r="E47" i="3"/>
  <c r="I44" i="3"/>
  <c r="C42" i="3"/>
  <c r="B40" i="3"/>
  <c r="E37" i="3"/>
  <c r="I34" i="3"/>
  <c r="I32" i="3"/>
  <c r="C30" i="3"/>
  <c r="G28" i="3"/>
  <c r="K26" i="3"/>
  <c r="E25" i="3"/>
  <c r="J23" i="3"/>
  <c r="E22" i="3"/>
  <c r="J20" i="3"/>
  <c r="B19" i="3"/>
  <c r="G17" i="3"/>
  <c r="B16" i="3"/>
  <c r="F14" i="3"/>
  <c r="K12" i="3"/>
  <c r="F11" i="3"/>
  <c r="I9" i="3"/>
  <c r="D8" i="3"/>
  <c r="I6" i="3"/>
  <c r="D5" i="3"/>
  <c r="J3" i="3"/>
  <c r="H230" i="3"/>
  <c r="D221" i="3"/>
  <c r="H211" i="3"/>
  <c r="D203" i="3"/>
  <c r="C194" i="3"/>
  <c r="I184" i="3"/>
  <c r="C175" i="3"/>
  <c r="B167" i="3"/>
  <c r="E157" i="3"/>
  <c r="J149" i="3"/>
  <c r="E145" i="3"/>
  <c r="H140" i="3"/>
  <c r="I135" i="3"/>
  <c r="F131" i="3"/>
  <c r="C128" i="3"/>
  <c r="G123" i="3"/>
  <c r="E119" i="3"/>
  <c r="C116" i="3"/>
  <c r="J112" i="3"/>
  <c r="D109" i="3"/>
  <c r="E106" i="3"/>
  <c r="I103" i="3"/>
  <c r="F100" i="3"/>
  <c r="D97" i="3"/>
  <c r="H94" i="3"/>
  <c r="I91" i="3"/>
  <c r="E88" i="3"/>
  <c r="E85" i="3"/>
  <c r="I82" i="3"/>
  <c r="G79" i="3"/>
  <c r="G76" i="3"/>
  <c r="D74" i="3"/>
  <c r="H71" i="3"/>
  <c r="B69" i="3"/>
  <c r="G66" i="3"/>
  <c r="E64" i="3"/>
  <c r="I61" i="3"/>
  <c r="C59" i="3"/>
  <c r="K56" i="3"/>
  <c r="F54" i="3"/>
  <c r="I51" i="3"/>
  <c r="E49" i="3"/>
  <c r="D47" i="3"/>
  <c r="G44" i="3"/>
  <c r="K41" i="3"/>
  <c r="I39" i="3"/>
  <c r="D37" i="3"/>
  <c r="H34" i="3"/>
  <c r="C32" i="3"/>
  <c r="B30" i="3"/>
  <c r="F28" i="3"/>
  <c r="J26" i="3"/>
  <c r="D25" i="3"/>
  <c r="I23" i="3"/>
  <c r="D22" i="3"/>
  <c r="G20" i="3"/>
  <c r="K18" i="3"/>
  <c r="F17" i="3"/>
  <c r="K15" i="3"/>
  <c r="E14" i="3"/>
  <c r="J12" i="3"/>
  <c r="D11" i="3"/>
  <c r="H9" i="3"/>
  <c r="C8" i="3"/>
  <c r="H6" i="3"/>
  <c r="C5" i="3"/>
  <c r="G3" i="3"/>
  <c r="K238" i="3"/>
  <c r="G237" i="3"/>
  <c r="D228" i="3"/>
  <c r="I219" i="3"/>
  <c r="D210" i="3"/>
  <c r="E200" i="3"/>
  <c r="H192" i="3"/>
  <c r="I183" i="3"/>
  <c r="D173" i="3"/>
  <c r="J163" i="3"/>
  <c r="I156" i="3"/>
  <c r="H149" i="3"/>
  <c r="E144" i="3"/>
  <c r="B140" i="3"/>
  <c r="G135" i="3"/>
  <c r="C131" i="3"/>
  <c r="I126" i="3"/>
  <c r="J122" i="3"/>
  <c r="I118" i="3"/>
  <c r="E115" i="3"/>
  <c r="D112" i="3"/>
  <c r="B109" i="3"/>
  <c r="K105" i="3"/>
  <c r="I102" i="3"/>
  <c r="C100" i="3"/>
  <c r="B97" i="3"/>
  <c r="H93" i="3"/>
  <c r="B91" i="3"/>
  <c r="C88" i="3"/>
  <c r="K84" i="3"/>
  <c r="I81" i="3"/>
  <c r="C79" i="3"/>
  <c r="E76" i="3"/>
  <c r="G73" i="3"/>
  <c r="D71" i="3"/>
  <c r="I68" i="3"/>
  <c r="B66" i="3"/>
  <c r="G63" i="3"/>
  <c r="G61" i="3"/>
  <c r="J58" i="3"/>
  <c r="D56" i="3"/>
  <c r="B54" i="3"/>
  <c r="G51" i="3"/>
  <c r="K48" i="3"/>
  <c r="F46" i="3"/>
  <c r="E44" i="3"/>
  <c r="I41" i="3"/>
  <c r="C39" i="3"/>
  <c r="K36" i="3"/>
  <c r="F34" i="3"/>
  <c r="J31" i="3"/>
  <c r="J29" i="3"/>
  <c r="C28" i="3"/>
  <c r="G26" i="3"/>
  <c r="B25" i="3"/>
  <c r="F23" i="3"/>
  <c r="K21" i="3"/>
  <c r="D20" i="3"/>
  <c r="I18" i="3"/>
  <c r="D17" i="3"/>
  <c r="H15" i="3"/>
  <c r="C14" i="3"/>
  <c r="G12" i="3"/>
  <c r="K10" i="3"/>
  <c r="F9" i="3"/>
  <c r="K7" i="3"/>
  <c r="E6" i="3"/>
  <c r="I4" i="3"/>
  <c r="E3" i="3"/>
  <c r="A2" i="3"/>
  <c r="D2967" i="1" s="1"/>
  <c r="F4" i="3"/>
  <c r="C7" i="3"/>
  <c r="G9" i="3"/>
  <c r="E12" i="3"/>
  <c r="C15" i="3"/>
  <c r="K17" i="3"/>
  <c r="E20" i="3"/>
  <c r="H23" i="3"/>
  <c r="I26" i="3"/>
  <c r="K29" i="3"/>
  <c r="G34" i="3"/>
  <c r="E39" i="3"/>
  <c r="F44" i="3"/>
  <c r="B49" i="3"/>
  <c r="E54" i="3"/>
  <c r="K58" i="3"/>
  <c r="C64" i="3"/>
  <c r="J68" i="3"/>
  <c r="I73" i="3"/>
  <c r="D79" i="3"/>
  <c r="C85" i="3"/>
  <c r="G91" i="3"/>
  <c r="C97" i="3"/>
  <c r="G103" i="3"/>
  <c r="C109" i="3"/>
  <c r="H115" i="3"/>
  <c r="B123" i="3"/>
  <c r="D131" i="3"/>
  <c r="E140" i="3"/>
  <c r="I149" i="3"/>
  <c r="B166" i="3"/>
  <c r="B184" i="3"/>
  <c r="E201" i="3"/>
  <c r="B221" i="3"/>
  <c r="G4" i="3"/>
  <c r="D7" i="3"/>
  <c r="C10" i="3"/>
  <c r="F12" i="3"/>
  <c r="E15" i="3"/>
  <c r="C18" i="3"/>
  <c r="D21" i="3"/>
  <c r="E24" i="3"/>
  <c r="F27" i="3"/>
  <c r="I30" i="3"/>
  <c r="J35" i="3"/>
  <c r="G40" i="3"/>
  <c r="I45" i="3"/>
  <c r="E50" i="3"/>
  <c r="G55" i="3"/>
  <c r="E60" i="3"/>
  <c r="C65" i="3"/>
  <c r="C70" i="3"/>
  <c r="B75" i="3"/>
  <c r="B81" i="3"/>
  <c r="I86" i="3"/>
  <c r="B93" i="3"/>
  <c r="I98" i="3"/>
  <c r="G104" i="3"/>
  <c r="I110" i="3"/>
  <c r="C117" i="3"/>
  <c r="F125" i="3"/>
  <c r="H133" i="3"/>
  <c r="B143" i="3"/>
  <c r="J152" i="3"/>
  <c r="F169" i="3"/>
  <c r="H188" i="3"/>
  <c r="E206" i="3"/>
  <c r="K224" i="3"/>
  <c r="H4" i="3"/>
  <c r="G7" i="3"/>
  <c r="E10" i="3"/>
  <c r="I12" i="3"/>
  <c r="F15" i="3"/>
  <c r="E18" i="3"/>
  <c r="E21" i="3"/>
  <c r="G24" i="3"/>
  <c r="G27" i="3"/>
  <c r="D31" i="3"/>
  <c r="K35" i="3"/>
  <c r="I40" i="3"/>
  <c r="K45" i="3"/>
  <c r="F50" i="3"/>
  <c r="I55" i="3"/>
  <c r="F60" i="3"/>
  <c r="G65" i="3"/>
  <c r="E70" i="3"/>
  <c r="D75" i="3"/>
  <c r="D81" i="3"/>
  <c r="J86" i="3"/>
  <c r="D93" i="3"/>
  <c r="J98" i="3"/>
  <c r="C105" i="3"/>
  <c r="K110" i="3"/>
  <c r="F117" i="3"/>
  <c r="G125" i="3"/>
  <c r="J133" i="3"/>
  <c r="D143" i="3"/>
  <c r="J153" i="3"/>
  <c r="B172" i="3"/>
  <c r="J188" i="3"/>
  <c r="I206" i="3"/>
  <c r="B225" i="3"/>
  <c r="K4" i="3"/>
  <c r="H7" i="3"/>
  <c r="F10" i="3"/>
  <c r="C13" i="3"/>
  <c r="G15" i="3"/>
  <c r="F18" i="3"/>
  <c r="F21" i="3"/>
  <c r="H24" i="3"/>
  <c r="H27" i="3"/>
  <c r="G31" i="3"/>
  <c r="B36" i="3"/>
  <c r="D41" i="3"/>
  <c r="B46" i="3"/>
  <c r="J50" i="3"/>
  <c r="K55" i="3"/>
  <c r="G60" i="3"/>
  <c r="I65" i="3"/>
  <c r="F70" i="3"/>
  <c r="I75" i="3"/>
  <c r="E81" i="3"/>
  <c r="B87" i="3"/>
  <c r="E93" i="3"/>
  <c r="K98" i="3"/>
  <c r="E105" i="3"/>
  <c r="E111" i="3"/>
  <c r="D118" i="3"/>
  <c r="I125" i="3"/>
  <c r="C134" i="3"/>
  <c r="E143" i="3"/>
  <c r="B154" i="3"/>
  <c r="G172" i="3"/>
  <c r="B190" i="3"/>
  <c r="K208" i="3"/>
  <c r="B226" i="3"/>
  <c r="F5" i="3"/>
  <c r="I7" i="3"/>
  <c r="G10" i="3"/>
  <c r="E13" i="3"/>
  <c r="I15" i="3"/>
  <c r="G18" i="3"/>
  <c r="G21" i="3"/>
  <c r="I24" i="3"/>
  <c r="K27" i="3"/>
  <c r="H31" i="3"/>
  <c r="E36" i="3"/>
  <c r="G41" i="3"/>
  <c r="C46" i="3"/>
  <c r="D51" i="3"/>
  <c r="B56" i="3"/>
  <c r="I60" i="3"/>
  <c r="J65" i="3"/>
  <c r="G70" i="3"/>
  <c r="C76" i="3"/>
  <c r="F81" i="3"/>
  <c r="I87" i="3"/>
  <c r="F93" i="3"/>
  <c r="E99" i="3"/>
  <c r="F105" i="3"/>
  <c r="F111" i="3"/>
  <c r="F118" i="3"/>
  <c r="K125" i="3"/>
  <c r="B135" i="3"/>
  <c r="F143" i="3"/>
  <c r="I154" i="3"/>
  <c r="I172" i="3"/>
  <c r="G190" i="3"/>
  <c r="D209" i="3"/>
  <c r="K226" i="3"/>
  <c r="H283" i="2" l="1"/>
  <c r="F1583" i="1"/>
  <c r="I151" i="2"/>
  <c r="D169" i="2"/>
  <c r="B183" i="2"/>
  <c r="F2899" i="1"/>
  <c r="F2247" i="1"/>
  <c r="F2533" i="1"/>
  <c r="F2110" i="1"/>
  <c r="F2294" i="1"/>
  <c r="F2153" i="1"/>
  <c r="F2244" i="1"/>
  <c r="F2076" i="1"/>
  <c r="F1916" i="1"/>
  <c r="D200" i="2"/>
  <c r="F1611" i="1"/>
  <c r="F1871" i="1"/>
  <c r="F1541" i="1"/>
  <c r="F1595" i="1"/>
  <c r="F2161" i="1"/>
  <c r="F2047" i="1"/>
  <c r="F1509" i="1"/>
  <c r="F1366" i="1"/>
  <c r="F1537" i="1"/>
  <c r="F1784" i="1"/>
  <c r="F1712" i="1"/>
  <c r="F1331" i="1"/>
  <c r="F1275" i="1"/>
  <c r="F1346" i="1"/>
  <c r="F1271" i="1"/>
  <c r="F1209" i="1"/>
  <c r="F967" i="1"/>
  <c r="F591" i="1"/>
  <c r="F646" i="1"/>
  <c r="F797" i="1"/>
  <c r="F714" i="1"/>
  <c r="F334" i="1"/>
  <c r="F452" i="1"/>
  <c r="F65" i="1"/>
  <c r="F33" i="1"/>
  <c r="C5" i="2" s="1"/>
  <c r="F193" i="1"/>
  <c r="F1615" i="1"/>
  <c r="F732" i="1"/>
  <c r="F548" i="1"/>
  <c r="D115" i="2"/>
  <c r="F152" i="2"/>
  <c r="F155" i="2"/>
  <c r="B195" i="2"/>
  <c r="F1388" i="1"/>
  <c r="F1507" i="1"/>
  <c r="F1804" i="1"/>
  <c r="F522" i="1"/>
  <c r="F780" i="1"/>
  <c r="H199" i="2"/>
  <c r="F2789" i="1"/>
  <c r="H188" i="2"/>
  <c r="E160" i="2"/>
  <c r="D129" i="2"/>
  <c r="G87" i="2"/>
  <c r="B139" i="2"/>
  <c r="F2880" i="1"/>
  <c r="F2834" i="1"/>
  <c r="F2652" i="1"/>
  <c r="F2044" i="1"/>
  <c r="F2259" i="1"/>
  <c r="F1845" i="1"/>
  <c r="F2033" i="1"/>
  <c r="C205" i="2" s="1"/>
  <c r="F1843" i="1"/>
  <c r="F2087" i="1"/>
  <c r="F1774" i="1"/>
  <c r="F1461" i="1"/>
  <c r="F1146" i="1"/>
  <c r="F1740" i="1"/>
  <c r="F2031" i="1"/>
  <c r="F1382" i="1"/>
  <c r="F1486" i="1"/>
  <c r="F1090" i="1"/>
  <c r="F806" i="1"/>
  <c r="F1129" i="1"/>
  <c r="F941" i="1"/>
  <c r="F1247" i="1"/>
  <c r="F976" i="1"/>
  <c r="F99" i="2" s="1"/>
  <c r="F812" i="1"/>
  <c r="F544" i="1"/>
  <c r="F785" i="1"/>
  <c r="F703" i="1"/>
  <c r="F750" i="1"/>
  <c r="F298" i="1"/>
  <c r="F315" i="1"/>
  <c r="F198" i="1"/>
  <c r="F1926" i="1"/>
  <c r="F1016" i="1"/>
  <c r="F1737" i="1"/>
  <c r="F1493" i="1"/>
  <c r="F333" i="1"/>
  <c r="C35" i="2" s="1"/>
  <c r="F285" i="1"/>
  <c r="E30" i="2" s="1"/>
  <c r="F2579" i="1"/>
  <c r="F2837" i="1"/>
  <c r="K205" i="2"/>
  <c r="G143" i="2"/>
  <c r="F2791" i="1"/>
  <c r="F2802" i="1"/>
  <c r="F2739" i="1"/>
  <c r="C259" i="2"/>
  <c r="F2788" i="1"/>
  <c r="F2730" i="1"/>
  <c r="F2787" i="1"/>
  <c r="F2793" i="1"/>
  <c r="F2489" i="1"/>
  <c r="F2642" i="1"/>
  <c r="F2522" i="1"/>
  <c r="F2334" i="1"/>
  <c r="F2367" i="1"/>
  <c r="F1892" i="1"/>
  <c r="F1559" i="1"/>
  <c r="F1972" i="1"/>
  <c r="F1523" i="1"/>
  <c r="F2180" i="1"/>
  <c r="F1465" i="1"/>
  <c r="F1424" i="1"/>
  <c r="F1682" i="1"/>
  <c r="F1259" i="1"/>
  <c r="F964" i="1"/>
  <c r="F1011" i="1"/>
  <c r="F1054" i="1"/>
  <c r="F771" i="1"/>
  <c r="F434" i="1"/>
  <c r="F485" i="1"/>
  <c r="F496" i="1"/>
  <c r="F551" i="1"/>
  <c r="F514" i="1"/>
  <c r="F518" i="1"/>
  <c r="F4" i="1"/>
  <c r="F2436" i="1"/>
  <c r="F999" i="1"/>
  <c r="F328" i="1"/>
  <c r="H117" i="2"/>
  <c r="C202" i="2"/>
  <c r="G205" i="2"/>
  <c r="G189" i="2"/>
  <c r="K121" i="2"/>
  <c r="F2840" i="1"/>
  <c r="E286" i="2"/>
  <c r="F2055" i="1"/>
  <c r="F2770" i="1"/>
  <c r="G170" i="2"/>
  <c r="K112" i="2"/>
  <c r="C105" i="2"/>
  <c r="G177" i="2"/>
  <c r="E80" i="2"/>
  <c r="C179" i="2"/>
  <c r="F2949" i="1"/>
  <c r="F2737" i="1"/>
  <c r="F2757" i="1"/>
  <c r="F2822" i="1"/>
  <c r="F2821" i="1"/>
  <c r="F2540" i="1"/>
  <c r="F2720" i="1"/>
  <c r="F2686" i="1"/>
  <c r="F2494" i="1"/>
  <c r="F2524" i="1"/>
  <c r="F2154" i="1"/>
  <c r="F2390" i="1"/>
  <c r="F2024" i="1"/>
  <c r="F1939" i="1"/>
  <c r="F2218" i="1"/>
  <c r="F2157" i="1"/>
  <c r="F2584" i="1"/>
  <c r="F2228" i="1"/>
  <c r="J156" i="2"/>
  <c r="F1835" i="1"/>
  <c r="F1446" i="1"/>
  <c r="F1867" i="1"/>
  <c r="F1728" i="1"/>
  <c r="F1607" i="1"/>
  <c r="F1833" i="1"/>
  <c r="F1185" i="1"/>
  <c r="E120" i="2" s="1"/>
  <c r="F1213" i="1"/>
  <c r="F1137" i="1"/>
  <c r="F1100" i="1"/>
  <c r="F1066" i="1"/>
  <c r="F918" i="1"/>
  <c r="F931" i="1"/>
  <c r="F762" i="1"/>
  <c r="F616" i="1"/>
  <c r="F656" i="1"/>
  <c r="F617" i="1"/>
  <c r="F965" i="1"/>
  <c r="F642" i="1"/>
  <c r="F145" i="1"/>
  <c r="F363" i="1"/>
  <c r="C38" i="2" s="1"/>
  <c r="F378" i="1"/>
  <c r="F471" i="1"/>
  <c r="K48" i="2" s="1"/>
  <c r="F169" i="1"/>
  <c r="F441" i="1"/>
  <c r="F395" i="1"/>
  <c r="F455" i="1"/>
  <c r="F97" i="1"/>
  <c r="G11" i="2" s="1"/>
  <c r="F37" i="1"/>
  <c r="G5" i="2" s="1"/>
  <c r="F370" i="1"/>
  <c r="F1791" i="1"/>
  <c r="F1238" i="1"/>
  <c r="F1576" i="1"/>
  <c r="F855" i="1"/>
  <c r="F666" i="1"/>
  <c r="F373" i="1"/>
  <c r="F2892" i="1"/>
  <c r="F316" i="1"/>
  <c r="C119" i="2"/>
  <c r="I154" i="2"/>
  <c r="G150" i="2"/>
  <c r="F2841" i="1"/>
  <c r="F2441" i="1"/>
  <c r="K245" i="2" s="1"/>
  <c r="F2655" i="1"/>
  <c r="F2483" i="1"/>
  <c r="F2460" i="1"/>
  <c r="F2310" i="1"/>
  <c r="F1995" i="1"/>
  <c r="F1849" i="1"/>
  <c r="F2338" i="1"/>
  <c r="F2205" i="1"/>
  <c r="F2325" i="1"/>
  <c r="F2301" i="1"/>
  <c r="F1912" i="1"/>
  <c r="F1856" i="1"/>
  <c r="F1716" i="1"/>
  <c r="F1563" i="1"/>
  <c r="F1587" i="1"/>
  <c r="F1961" i="1"/>
  <c r="F1511" i="1"/>
  <c r="F1273" i="1"/>
  <c r="F2063" i="1"/>
  <c r="F1262" i="1"/>
  <c r="F1080" i="1"/>
  <c r="F1017" i="1"/>
  <c r="F1073" i="1"/>
  <c r="F1047" i="1"/>
  <c r="F952" i="1"/>
  <c r="F1003" i="1"/>
  <c r="F842" i="1"/>
  <c r="F568" i="1"/>
  <c r="H58" i="2" s="1"/>
  <c r="F979" i="1"/>
  <c r="F1001" i="1"/>
  <c r="F858" i="1"/>
  <c r="F246" i="1"/>
  <c r="F549" i="1"/>
  <c r="F187" i="1"/>
  <c r="F241" i="1"/>
  <c r="F400" i="1"/>
  <c r="F111" i="1"/>
  <c r="F480" i="1"/>
  <c r="F150" i="1"/>
  <c r="F1930" i="1"/>
  <c r="G120" i="2"/>
  <c r="F1813" i="1"/>
  <c r="F2754" i="1"/>
  <c r="F2427" i="1"/>
  <c r="F2369" i="1"/>
  <c r="F2608" i="1"/>
  <c r="F2410" i="1"/>
  <c r="F1943" i="1"/>
  <c r="F2292" i="1"/>
  <c r="F2368" i="1"/>
  <c r="F1667" i="1"/>
  <c r="F1907" i="1"/>
  <c r="F1596" i="1"/>
  <c r="F856" i="1"/>
  <c r="F36" i="1"/>
  <c r="F5" i="2" s="1"/>
  <c r="D8" i="2"/>
  <c r="H271" i="2"/>
  <c r="F2358" i="1"/>
  <c r="F1371" i="1"/>
  <c r="C156" i="2"/>
  <c r="F1250" i="1"/>
  <c r="F1278" i="1"/>
  <c r="H129" i="2" s="1"/>
  <c r="F814" i="1"/>
  <c r="F640" i="1"/>
  <c r="J65" i="2" s="1"/>
  <c r="F445" i="1"/>
  <c r="F186" i="1"/>
  <c r="G8" i="2"/>
  <c r="F182" i="1"/>
  <c r="F166" i="1"/>
  <c r="F2179" i="1"/>
  <c r="F216" i="2"/>
  <c r="I181" i="2"/>
  <c r="K165" i="2"/>
  <c r="F2816" i="1"/>
  <c r="F2827" i="1"/>
  <c r="F2442" i="1"/>
  <c r="F2559" i="1"/>
  <c r="F2749" i="1"/>
  <c r="F2283" i="1"/>
  <c r="I257" i="2"/>
  <c r="F2536" i="1"/>
  <c r="F2461" i="1"/>
  <c r="F1742" i="1"/>
  <c r="F2042" i="1"/>
  <c r="F1922" i="1"/>
  <c r="F2893" i="1"/>
  <c r="F1946" i="1"/>
  <c r="F1649" i="1"/>
  <c r="F1698" i="1"/>
  <c r="F1659" i="1"/>
  <c r="F1516" i="1"/>
  <c r="F1324" i="1"/>
  <c r="F1761" i="1"/>
  <c r="F1294" i="1"/>
  <c r="F1207" i="1"/>
  <c r="G122" i="2" s="1"/>
  <c r="F1870" i="1"/>
  <c r="F1379" i="1"/>
  <c r="F1341" i="1"/>
  <c r="F1113" i="1"/>
  <c r="F1117" i="1"/>
  <c r="F1151" i="1"/>
  <c r="F885" i="1"/>
  <c r="F988" i="1"/>
  <c r="F1021" i="1"/>
  <c r="K103" i="2" s="1"/>
  <c r="F756" i="1"/>
  <c r="F830" i="1"/>
  <c r="F416" i="1"/>
  <c r="F282" i="1"/>
  <c r="F267" i="1"/>
  <c r="G28" i="2" s="1"/>
  <c r="F217" i="1"/>
  <c r="F322" i="1"/>
  <c r="F152" i="1"/>
  <c r="F32" i="1"/>
  <c r="B5" i="2" s="1"/>
  <c r="F286" i="1"/>
  <c r="F178" i="1"/>
  <c r="F104" i="1"/>
  <c r="F1821" i="1"/>
  <c r="F2014" i="1"/>
  <c r="F1190" i="1"/>
  <c r="F589" i="1"/>
  <c r="F951" i="1"/>
  <c r="F184" i="1"/>
  <c r="F1823" i="1"/>
  <c r="F16" i="1"/>
  <c r="F986" i="1"/>
  <c r="D238" i="2"/>
  <c r="H281" i="2"/>
  <c r="F232" i="2"/>
  <c r="F2745" i="1"/>
  <c r="E276" i="2" s="1"/>
  <c r="F2418" i="1"/>
  <c r="J196" i="2"/>
  <c r="F613" i="1"/>
  <c r="F863" i="1"/>
  <c r="F236" i="2"/>
  <c r="H258" i="2"/>
  <c r="F2839" i="1"/>
  <c r="F2721" i="1"/>
  <c r="F2045" i="1"/>
  <c r="F2432" i="1"/>
  <c r="F2094" i="1"/>
  <c r="F1532" i="1"/>
  <c r="F1181" i="1"/>
  <c r="F1237" i="1"/>
  <c r="F1183" i="1"/>
  <c r="F1060" i="1"/>
  <c r="F636" i="1"/>
  <c r="F633" i="1"/>
  <c r="F767" i="1"/>
  <c r="F154" i="1"/>
  <c r="B9" i="2"/>
  <c r="F251" i="1"/>
  <c r="F75" i="1"/>
  <c r="E9" i="2" s="1"/>
  <c r="F422" i="1"/>
  <c r="F83" i="1"/>
  <c r="C10" i="2" s="1"/>
  <c r="F1477" i="1"/>
  <c r="F138" i="1"/>
  <c r="H15" i="2" s="1"/>
  <c r="F472" i="1"/>
  <c r="F775" i="1"/>
  <c r="F148" i="1"/>
  <c r="H235" i="2"/>
  <c r="F2927" i="1"/>
  <c r="J283" i="2"/>
  <c r="F2909" i="1"/>
  <c r="F2065" i="1"/>
  <c r="F2415" i="1"/>
  <c r="F2263" i="1"/>
  <c r="F2167" i="1"/>
  <c r="F1777" i="1"/>
  <c r="F2215" i="1"/>
  <c r="F1564" i="1"/>
  <c r="D158" i="2" s="1"/>
  <c r="F1897" i="1"/>
  <c r="G191" i="2" s="1"/>
  <c r="F1325" i="1"/>
  <c r="E134" i="2" s="1"/>
  <c r="F1236" i="1"/>
  <c r="F822" i="1"/>
  <c r="F680" i="1"/>
  <c r="J69" i="2" s="1"/>
  <c r="G245" i="2"/>
  <c r="F426" i="1"/>
  <c r="F43" i="1"/>
  <c r="F1814" i="1"/>
  <c r="F2823" i="1"/>
  <c r="C284" i="2" s="1"/>
  <c r="F2625" i="1"/>
  <c r="E264" i="2" s="1"/>
  <c r="B278" i="2"/>
  <c r="F2700" i="1"/>
  <c r="F2317" i="1"/>
  <c r="G233" i="2" s="1"/>
  <c r="F2164" i="1"/>
  <c r="F2405" i="1"/>
  <c r="F2335" i="1"/>
  <c r="E235" i="2" s="1"/>
  <c r="F2061" i="1"/>
  <c r="F2371" i="1"/>
  <c r="F2594" i="1"/>
  <c r="D261" i="2" s="1"/>
  <c r="F1592" i="1"/>
  <c r="F1169" i="1"/>
  <c r="I118" i="2" s="1"/>
  <c r="F936" i="1"/>
  <c r="F95" i="2" s="1"/>
  <c r="F1167" i="1"/>
  <c r="F907" i="1"/>
  <c r="G92" i="2" s="1"/>
  <c r="F499" i="1"/>
  <c r="F561" i="1"/>
  <c r="F668" i="1"/>
  <c r="F1566" i="1"/>
  <c r="F1545" i="1"/>
  <c r="F1505" i="1"/>
  <c r="F2282" i="1"/>
  <c r="F1293" i="1"/>
  <c r="F1397" i="1"/>
  <c r="G141" i="2" s="1"/>
  <c r="F1059" i="1"/>
  <c r="I107" i="2" s="1"/>
  <c r="F844" i="1"/>
  <c r="F1034" i="1"/>
  <c r="F735" i="1"/>
  <c r="D244" i="2"/>
  <c r="F2836" i="1"/>
  <c r="F285" i="2" s="1"/>
  <c r="F2667" i="1"/>
  <c r="F1921" i="1"/>
  <c r="F2391" i="1"/>
  <c r="K240" i="2" s="1"/>
  <c r="F1866" i="1"/>
  <c r="F188" i="2" s="1"/>
  <c r="F1928" i="1"/>
  <c r="F2085" i="1"/>
  <c r="E210" i="2" s="1"/>
  <c r="F1962" i="1"/>
  <c r="B198" i="2" s="1"/>
  <c r="F1267" i="1"/>
  <c r="F1472" i="1"/>
  <c r="F1211" i="1"/>
  <c r="F922" i="1"/>
  <c r="F938" i="1"/>
  <c r="F868" i="1"/>
  <c r="F620" i="1"/>
  <c r="J63" i="2" s="1"/>
  <c r="F692" i="1"/>
  <c r="F632" i="1"/>
  <c r="F453" i="1"/>
  <c r="F628" i="1"/>
  <c r="H64" i="2" s="1"/>
  <c r="F216" i="1"/>
  <c r="F39" i="1"/>
  <c r="I5" i="2" s="1"/>
  <c r="F418" i="1"/>
  <c r="F23" i="1"/>
  <c r="C4" i="2" s="1"/>
  <c r="F71" i="1"/>
  <c r="F2920" i="1"/>
  <c r="F385" i="1"/>
  <c r="E268" i="2"/>
  <c r="B294" i="2"/>
  <c r="C171" i="2"/>
  <c r="F2403" i="1"/>
  <c r="C242" i="2" s="1"/>
  <c r="K285" i="2"/>
  <c r="D292" i="2"/>
  <c r="F2943" i="1"/>
  <c r="J262" i="2"/>
  <c r="E115" i="2"/>
  <c r="D255" i="2"/>
  <c r="B284" i="2"/>
  <c r="F2933" i="1"/>
  <c r="F2945" i="1"/>
  <c r="F2842" i="1"/>
  <c r="F2797" i="1"/>
  <c r="F2535" i="1"/>
  <c r="E255" i="2" s="1"/>
  <c r="F2679" i="1"/>
  <c r="I269" i="2" s="1"/>
  <c r="F2713" i="1"/>
  <c r="C273" i="2" s="1"/>
  <c r="F2613" i="1"/>
  <c r="F2829" i="1"/>
  <c r="I284" i="2" s="1"/>
  <c r="F2563" i="1"/>
  <c r="F2546" i="1"/>
  <c r="F2449" i="1"/>
  <c r="F2514" i="1"/>
  <c r="D253" i="2" s="1"/>
  <c r="F2303" i="1"/>
  <c r="F2265" i="1"/>
  <c r="F2463" i="1"/>
  <c r="C248" i="2" s="1"/>
  <c r="F2181" i="1"/>
  <c r="K219" i="2" s="1"/>
  <c r="F1664" i="1"/>
  <c r="D168" i="2" s="1"/>
  <c r="F2362" i="1"/>
  <c r="F2035" i="1"/>
  <c r="F1750" i="1"/>
  <c r="F2075" i="1"/>
  <c r="F1955" i="1"/>
  <c r="E197" i="2" s="1"/>
  <c r="F2048" i="1"/>
  <c r="F2053" i="1"/>
  <c r="C207" i="2" s="1"/>
  <c r="F1485" i="1"/>
  <c r="E150" i="2" s="1"/>
  <c r="F1429" i="1"/>
  <c r="F1439" i="1"/>
  <c r="I145" i="2" s="1"/>
  <c r="F1756" i="1"/>
  <c r="F177" i="2" s="1"/>
  <c r="F1162" i="1"/>
  <c r="B118" i="2" s="1"/>
  <c r="F1315" i="1"/>
  <c r="F245" i="2"/>
  <c r="F917" i="1"/>
  <c r="F625" i="1"/>
  <c r="F671" i="1"/>
  <c r="F690" i="1"/>
  <c r="F341" i="1"/>
  <c r="K35" i="2" s="1"/>
  <c r="F122" i="1"/>
  <c r="B14" i="2" s="1"/>
  <c r="F2400" i="1"/>
  <c r="F955" i="1"/>
  <c r="E97" i="2" s="1"/>
  <c r="F954" i="1"/>
  <c r="D97" i="2" s="1"/>
  <c r="F629" i="1"/>
  <c r="F411" i="1"/>
  <c r="F320" i="1"/>
  <c r="F158" i="1"/>
  <c r="F291" i="1"/>
  <c r="F61" i="1"/>
  <c r="F24" i="1"/>
  <c r="D4" i="2" s="1"/>
  <c r="F222" i="2"/>
  <c r="F2905" i="1"/>
  <c r="D281" i="2"/>
  <c r="G280" i="2"/>
  <c r="J224" i="2"/>
  <c r="E209" i="2"/>
  <c r="I266" i="2"/>
  <c r="I137" i="2"/>
  <c r="F2936" i="1"/>
  <c r="F2919" i="1"/>
  <c r="I293" i="2" s="1"/>
  <c r="F2810" i="1"/>
  <c r="J282" i="2" s="1"/>
  <c r="F2889" i="1"/>
  <c r="I290" i="2" s="1"/>
  <c r="F2776" i="1"/>
  <c r="F279" i="2" s="1"/>
  <c r="F2811" i="1"/>
  <c r="K282" i="2" s="1"/>
  <c r="B264" i="2"/>
  <c r="F2790" i="1"/>
  <c r="J280" i="2" s="1"/>
  <c r="F2733" i="1"/>
  <c r="C275" i="2" s="1"/>
  <c r="F2377" i="1"/>
  <c r="G239" i="2" s="1"/>
  <c r="F2214" i="1"/>
  <c r="F2404" i="1"/>
  <c r="F2124" i="1"/>
  <c r="F1893" i="1"/>
  <c r="C191" i="2" s="1"/>
  <c r="F2234" i="1"/>
  <c r="F2073" i="1"/>
  <c r="C209" i="2" s="1"/>
  <c r="F2347" i="1"/>
  <c r="G236" i="2" s="1"/>
  <c r="F1901" i="1"/>
  <c r="K191" i="2" s="1"/>
  <c r="F1586" i="1"/>
  <c r="F1489" i="1"/>
  <c r="F1880" i="1"/>
  <c r="J189" i="2" s="1"/>
  <c r="F1793" i="1"/>
  <c r="C181" i="2" s="1"/>
  <c r="F1321" i="1"/>
  <c r="F1768" i="1"/>
  <c r="F1754" i="1"/>
  <c r="F1623" i="1"/>
  <c r="C164" i="2" s="1"/>
  <c r="F1410" i="1"/>
  <c r="F1940" i="1"/>
  <c r="F1396" i="1"/>
  <c r="F1836" i="1"/>
  <c r="F185" i="2" s="1"/>
  <c r="F1309" i="1"/>
  <c r="F1395" i="1"/>
  <c r="B266" i="2"/>
  <c r="F1216" i="1"/>
  <c r="F123" i="2" s="1"/>
  <c r="F1370" i="1"/>
  <c r="F1263" i="1"/>
  <c r="C128" i="2" s="1"/>
  <c r="F1093" i="1"/>
  <c r="C111" i="2" s="1"/>
  <c r="F1842" i="1"/>
  <c r="F1199" i="1"/>
  <c r="I121" i="2" s="1"/>
  <c r="F1124" i="1"/>
  <c r="F1148" i="1"/>
  <c r="F1037" i="1"/>
  <c r="G105" i="2" s="1"/>
  <c r="J249" i="2"/>
  <c r="F932" i="1"/>
  <c r="F915" i="1"/>
  <c r="E93" i="2" s="1"/>
  <c r="F934" i="1"/>
  <c r="D95" i="2" s="1"/>
  <c r="F872" i="1"/>
  <c r="F783" i="1"/>
  <c r="F600" i="1"/>
  <c r="F841" i="1"/>
  <c r="F786" i="1"/>
  <c r="F80" i="2" s="1"/>
  <c r="F701" i="1"/>
  <c r="K71" i="2" s="1"/>
  <c r="F573" i="1"/>
  <c r="H5" i="2"/>
  <c r="F310" i="1"/>
  <c r="F302" i="1"/>
  <c r="F490" i="1"/>
  <c r="J50" i="2" s="1"/>
  <c r="F355" i="1"/>
  <c r="E37" i="2" s="1"/>
  <c r="F519" i="1"/>
  <c r="F77" i="1"/>
  <c r="G9" i="2" s="1"/>
  <c r="F2800" i="1"/>
  <c r="F2531" i="1"/>
  <c r="K254" i="2" s="1"/>
  <c r="F2710" i="1"/>
  <c r="F1470" i="1"/>
  <c r="F1292" i="1"/>
  <c r="B131" i="2" s="1"/>
  <c r="F824" i="1"/>
  <c r="D84" i="2" s="1"/>
  <c r="K229" i="2"/>
  <c r="E224" i="2"/>
  <c r="F2833" i="1"/>
  <c r="C285" i="2" s="1"/>
  <c r="F2931" i="1"/>
  <c r="K294" i="2" s="1"/>
  <c r="F2916" i="1"/>
  <c r="F293" i="2" s="1"/>
  <c r="F2693" i="1"/>
  <c r="C271" i="2" s="1"/>
  <c r="F2732" i="1"/>
  <c r="B275" i="2" s="1"/>
  <c r="F2670" i="1"/>
  <c r="F2691" i="1"/>
  <c r="K270" i="2" s="1"/>
  <c r="F2484" i="1"/>
  <c r="F2413" i="1"/>
  <c r="F2703" i="1"/>
  <c r="F2639" i="1"/>
  <c r="F2159" i="1"/>
  <c r="F2447" i="1"/>
  <c r="G246" i="2" s="1"/>
  <c r="F2433" i="1"/>
  <c r="C245" i="2" s="1"/>
  <c r="F2726" i="1"/>
  <c r="F2408" i="1"/>
  <c r="F2355" i="1"/>
  <c r="F2276" i="1"/>
  <c r="F2486" i="1"/>
  <c r="F2519" i="1"/>
  <c r="F2195" i="1"/>
  <c r="F2300" i="1"/>
  <c r="F1794" i="1"/>
  <c r="F2339" i="1"/>
  <c r="F2274" i="1"/>
  <c r="D229" i="2" s="1"/>
  <c r="F2245" i="1"/>
  <c r="E226" i="2" s="1"/>
  <c r="F1951" i="1"/>
  <c r="F2011" i="1"/>
  <c r="K202" i="2" s="1"/>
  <c r="F1918" i="1"/>
  <c r="H193" i="2" s="1"/>
  <c r="F2166" i="1"/>
  <c r="F2291" i="1"/>
  <c r="K230" i="2" s="1"/>
  <c r="F2268" i="1"/>
  <c r="F1657" i="1"/>
  <c r="F1700" i="1"/>
  <c r="J171" i="2" s="1"/>
  <c r="F2267" i="1"/>
  <c r="F1925" i="1"/>
  <c r="F1941" i="1"/>
  <c r="K195" i="2" s="1"/>
  <c r="F2078" i="1"/>
  <c r="H209" i="2" s="1"/>
  <c r="F2007" i="1"/>
  <c r="G202" i="2" s="1"/>
  <c r="F1648" i="1"/>
  <c r="H166" i="2" s="1"/>
  <c r="F1864" i="1"/>
  <c r="D188" i="2" s="1"/>
  <c r="F1449" i="1"/>
  <c r="I146" i="2" s="1"/>
  <c r="F1427" i="1"/>
  <c r="F1577" i="1"/>
  <c r="G159" i="2" s="1"/>
  <c r="F1708" i="1"/>
  <c r="F1468" i="1"/>
  <c r="F1296" i="1"/>
  <c r="F131" i="2" s="1"/>
  <c r="F1217" i="1"/>
  <c r="F1748" i="1"/>
  <c r="H176" i="2" s="1"/>
  <c r="F1223" i="1"/>
  <c r="C124" i="2" s="1"/>
  <c r="F1239" i="1"/>
  <c r="I125" i="2" s="1"/>
  <c r="F1108" i="1"/>
  <c r="F1006" i="1"/>
  <c r="F102" i="2" s="1"/>
  <c r="F1026" i="1"/>
  <c r="F1114" i="1"/>
  <c r="D113" i="2" s="1"/>
  <c r="F1153" i="1"/>
  <c r="F1024" i="1"/>
  <c r="F919" i="1"/>
  <c r="I93" i="2" s="1"/>
  <c r="F738" i="1"/>
  <c r="F713" i="1"/>
  <c r="F801" i="1"/>
  <c r="K81" i="2" s="1"/>
  <c r="F1007" i="1"/>
  <c r="G102" i="2" s="1"/>
  <c r="F747" i="1"/>
  <c r="F495" i="1"/>
  <c r="F410" i="1"/>
  <c r="J42" i="2" s="1"/>
  <c r="F326" i="1"/>
  <c r="F4" i="2"/>
  <c r="F31" i="1"/>
  <c r="F510" i="1"/>
  <c r="F181" i="1"/>
  <c r="K19" i="2" s="1"/>
  <c r="F3" i="1"/>
  <c r="F87" i="1"/>
  <c r="G10" i="2" s="1"/>
  <c r="F2580" i="1"/>
  <c r="J259" i="2" s="1"/>
  <c r="F1283" i="1"/>
  <c r="C130" i="2" s="1"/>
  <c r="F1354" i="1"/>
  <c r="D137" i="2" s="1"/>
  <c r="F691" i="1"/>
  <c r="K70" i="2" s="1"/>
  <c r="F1228" i="1"/>
  <c r="H124" i="2" s="1"/>
  <c r="F415" i="1"/>
  <c r="E43" i="2" s="1"/>
  <c r="I227" i="2"/>
  <c r="E223" i="2"/>
  <c r="E234" i="2"/>
  <c r="F2872" i="1"/>
  <c r="B289" i="2" s="1"/>
  <c r="F2890" i="1"/>
  <c r="C292" i="2"/>
  <c r="F2699" i="1"/>
  <c r="I271" i="2" s="1"/>
  <c r="F2593" i="1"/>
  <c r="F2175" i="1"/>
  <c r="F2577" i="1"/>
  <c r="G259" i="2" s="1"/>
  <c r="F2479" i="1"/>
  <c r="I249" i="2" s="1"/>
  <c r="F2067" i="1"/>
  <c r="G208" i="2" s="1"/>
  <c r="F2202" i="1"/>
  <c r="B222" i="2" s="1"/>
  <c r="F2095" i="1"/>
  <c r="F2043" i="1"/>
  <c r="F1668" i="1"/>
  <c r="F1639" i="1"/>
  <c r="F1859" i="1"/>
  <c r="I187" i="2" s="1"/>
  <c r="F1460" i="1"/>
  <c r="J147" i="2" s="1"/>
  <c r="F1677" i="1"/>
  <c r="G169" i="2" s="1"/>
  <c r="F1476" i="1"/>
  <c r="F149" i="2" s="1"/>
  <c r="F1788" i="1"/>
  <c r="H180" i="2" s="1"/>
  <c r="F1778" i="1"/>
  <c r="F1403" i="1"/>
  <c r="F1233" i="1"/>
  <c r="F1929" i="1"/>
  <c r="I194" i="2" s="1"/>
  <c r="F1792" i="1"/>
  <c r="F1291" i="1"/>
  <c r="K130" i="2" s="1"/>
  <c r="F1307" i="1"/>
  <c r="F1255" i="1"/>
  <c r="E127" i="2" s="1"/>
  <c r="F1194" i="1"/>
  <c r="D121" i="2" s="1"/>
  <c r="F1131" i="1"/>
  <c r="K114" i="2" s="1"/>
  <c r="F1231" i="1"/>
  <c r="K124" i="2" s="1"/>
  <c r="F1078" i="1"/>
  <c r="H109" i="2" s="1"/>
  <c r="F1070" i="1"/>
  <c r="J108" i="2" s="1"/>
  <c r="F1103" i="1"/>
  <c r="F1102" i="1"/>
  <c r="B112" i="2" s="1"/>
  <c r="F870" i="1"/>
  <c r="J88" i="2" s="1"/>
  <c r="F1071" i="1"/>
  <c r="F1042" i="1"/>
  <c r="B106" i="2" s="1"/>
  <c r="F904" i="1"/>
  <c r="F1029" i="1"/>
  <c r="I104" i="2" s="1"/>
  <c r="F940" i="1"/>
  <c r="F933" i="1"/>
  <c r="C95" i="2" s="1"/>
  <c r="F509" i="1"/>
  <c r="I52" i="2" s="1"/>
  <c r="F761" i="1"/>
  <c r="K77" i="2" s="1"/>
  <c r="F731" i="1"/>
  <c r="K74" i="2" s="1"/>
  <c r="F685" i="1"/>
  <c r="F404" i="1"/>
  <c r="D42" i="2" s="1"/>
  <c r="E7" i="2"/>
  <c r="F293" i="1"/>
  <c r="F139" i="1"/>
  <c r="I15" i="2" s="1"/>
  <c r="F2106" i="1"/>
  <c r="F945" i="1"/>
  <c r="E96" i="2" s="1"/>
  <c r="F220" i="1"/>
  <c r="J23" i="2" s="1"/>
  <c r="I253" i="2"/>
  <c r="F2942" i="1"/>
  <c r="F2553" i="1"/>
  <c r="F2555" i="1"/>
  <c r="E257" i="2" s="1"/>
  <c r="F2056" i="1"/>
  <c r="F2017" i="1"/>
  <c r="F1310" i="1"/>
  <c r="J132" i="2" s="1"/>
  <c r="F554" i="1"/>
  <c r="D57" i="2" s="1"/>
  <c r="F805" i="1"/>
  <c r="F202" i="1"/>
  <c r="B22" i="2" s="1"/>
  <c r="F114" i="1"/>
  <c r="D13" i="2" s="1"/>
  <c r="F324" i="1"/>
  <c r="D34" i="2" s="1"/>
  <c r="F189" i="1"/>
  <c r="I20" i="2" s="1"/>
  <c r="F89" i="1"/>
  <c r="I10" i="2" s="1"/>
  <c r="F294" i="1"/>
  <c r="F417" i="1"/>
  <c r="G43" i="2" s="1"/>
  <c r="F353" i="1"/>
  <c r="F318" i="1"/>
  <c r="F207" i="1"/>
  <c r="F2913" i="1"/>
  <c r="C293" i="2" s="1"/>
  <c r="F1562" i="1"/>
  <c r="F1142" i="1"/>
  <c r="F1634" i="1"/>
  <c r="D165" i="2" s="1"/>
  <c r="F2329" i="1"/>
  <c r="F1797" i="1"/>
  <c r="G181" i="2" s="1"/>
  <c r="F597" i="1"/>
  <c r="G61" i="2" s="1"/>
  <c r="F791" i="1"/>
  <c r="F1402" i="1"/>
  <c r="B142" i="2" s="1"/>
  <c r="H245" i="2"/>
  <c r="B279" i="2"/>
  <c r="F2869" i="1"/>
  <c r="I288" i="2" s="1"/>
  <c r="F2876" i="1"/>
  <c r="F2901" i="1"/>
  <c r="F2882" i="1"/>
  <c r="B290" i="2" s="1"/>
  <c r="F2748" i="1"/>
  <c r="H276" i="2" s="1"/>
  <c r="F2694" i="1"/>
  <c r="D271" i="2" s="1"/>
  <c r="F2678" i="1"/>
  <c r="H269" i="2" s="1"/>
  <c r="F2389" i="1"/>
  <c r="I240" i="2" s="1"/>
  <c r="F2812" i="1"/>
  <c r="F2544" i="1"/>
  <c r="D256" i="2" s="1"/>
  <c r="F2669" i="1"/>
  <c r="I268" i="2" s="1"/>
  <c r="F2473" i="1"/>
  <c r="C249" i="2" s="1"/>
  <c r="C263" i="2"/>
  <c r="F2493" i="1"/>
  <c r="F2399" i="1"/>
  <c r="F2051" i="1"/>
  <c r="K206" i="2" s="1"/>
  <c r="F1964" i="1"/>
  <c r="D198" i="2" s="1"/>
  <c r="F2375" i="1"/>
  <c r="E239" i="2" s="1"/>
  <c r="F2026" i="1"/>
  <c r="F204" i="2" s="1"/>
  <c r="F2221" i="1"/>
  <c r="F2380" i="1"/>
  <c r="F2345" i="1"/>
  <c r="E236" i="2" s="1"/>
  <c r="F2342" i="1"/>
  <c r="B236" i="2" s="1"/>
  <c r="F2183" i="1"/>
  <c r="F1632" i="1"/>
  <c r="F1452" i="1"/>
  <c r="F1975" i="1"/>
  <c r="F2712" i="1"/>
  <c r="B273" i="2" s="1"/>
  <c r="F1741" i="1"/>
  <c r="K175" i="2" s="1"/>
  <c r="F1376" i="1"/>
  <c r="F139" i="2" s="1"/>
  <c r="F1456" i="1"/>
  <c r="F1691" i="1"/>
  <c r="F1861" i="1"/>
  <c r="F1990" i="1"/>
  <c r="J267" i="2" s="1"/>
  <c r="F1469" i="1"/>
  <c r="I148" i="2" s="1"/>
  <c r="F1345" i="1"/>
  <c r="F1444" i="1"/>
  <c r="D146" i="2" s="1"/>
  <c r="F2066" i="1"/>
  <c r="F208" i="2" s="1"/>
  <c r="F2030" i="1"/>
  <c r="F1116" i="1"/>
  <c r="F113" i="2" s="1"/>
  <c r="F1415" i="1"/>
  <c r="E143" i="2" s="1"/>
  <c r="F1411" i="1"/>
  <c r="K142" i="2" s="1"/>
  <c r="F1284" i="1"/>
  <c r="F1107" i="1"/>
  <c r="G112" i="2" s="1"/>
  <c r="F1824" i="1"/>
  <c r="F1094" i="1"/>
  <c r="D111" i="2" s="1"/>
  <c r="F1101" i="1"/>
  <c r="K111" i="2" s="1"/>
  <c r="F1025" i="1"/>
  <c r="E104" i="2" s="1"/>
  <c r="F835" i="1"/>
  <c r="F474" i="1"/>
  <c r="D49" i="2" s="1"/>
  <c r="H9" i="2"/>
  <c r="F567" i="1"/>
  <c r="G58" i="2" s="1"/>
  <c r="F115" i="1"/>
  <c r="F530" i="1"/>
  <c r="J54" i="2" s="1"/>
  <c r="F407" i="1"/>
  <c r="F206" i="1"/>
  <c r="F22" i="2" s="1"/>
  <c r="F21" i="1"/>
  <c r="F2411" i="1"/>
  <c r="K242" i="2" s="1"/>
  <c r="F1508" i="1"/>
  <c r="H152" i="2" s="1"/>
  <c r="F1992" i="1"/>
  <c r="F2278" i="1"/>
  <c r="F2654" i="1"/>
  <c r="F2198" i="1"/>
  <c r="F2290" i="1"/>
  <c r="J230" i="2" s="1"/>
  <c r="F2173" i="1"/>
  <c r="C219" i="2" s="1"/>
  <c r="F2651" i="1"/>
  <c r="K266" i="2" s="1"/>
  <c r="F2496" i="1"/>
  <c r="F1976" i="1"/>
  <c r="F2032" i="1"/>
  <c r="B205" i="2" s="1"/>
  <c r="F1841" i="1"/>
  <c r="K185" i="2" s="1"/>
  <c r="F1994" i="1"/>
  <c r="D201" i="2" s="1"/>
  <c r="F1834" i="1"/>
  <c r="F2099" i="1"/>
  <c r="F2204" i="1"/>
  <c r="D222" i="2" s="1"/>
  <c r="F1818" i="1"/>
  <c r="F1655" i="1"/>
  <c r="E167" i="2" s="1"/>
  <c r="F1519" i="1"/>
  <c r="I153" i="2" s="1"/>
  <c r="F2241" i="1"/>
  <c r="K225" i="2" s="1"/>
  <c r="F1495" i="1"/>
  <c r="F1327" i="1"/>
  <c r="G134" i="2" s="1"/>
  <c r="F1322" i="1"/>
  <c r="B134" i="2" s="1"/>
  <c r="F1853" i="1"/>
  <c r="C187" i="2" s="1"/>
  <c r="F1521" i="1"/>
  <c r="K153" i="2" s="1"/>
  <c r="F1679" i="1"/>
  <c r="I169" i="2" s="1"/>
  <c r="F1221" i="1"/>
  <c r="K123" i="2" s="1"/>
  <c r="F1733" i="1"/>
  <c r="C175" i="2" s="1"/>
  <c r="F1638" i="1"/>
  <c r="F1426" i="1"/>
  <c r="F1408" i="1"/>
  <c r="H142" i="2" s="1"/>
  <c r="F1214" i="1"/>
  <c r="D123" i="2" s="1"/>
  <c r="F1112" i="1"/>
  <c r="B113" i="2" s="1"/>
  <c r="F1390" i="1"/>
  <c r="J140" i="2" s="1"/>
  <c r="F1279" i="1"/>
  <c r="I129" i="2" s="1"/>
  <c r="F1144" i="1"/>
  <c r="D116" i="2" s="1"/>
  <c r="F1431" i="1"/>
  <c r="K144" i="2" s="1"/>
  <c r="F1063" i="1"/>
  <c r="F991" i="1"/>
  <c r="F1097" i="1"/>
  <c r="F949" i="1"/>
  <c r="F958" i="1"/>
  <c r="H97" i="2" s="1"/>
  <c r="F921" i="1"/>
  <c r="K93" i="2" s="1"/>
  <c r="F985" i="1"/>
  <c r="E100" i="2" s="1"/>
  <c r="F700" i="1"/>
  <c r="J71" i="2" s="1"/>
  <c r="F527" i="1"/>
  <c r="G54" i="2" s="1"/>
  <c r="F914" i="1"/>
  <c r="D93" i="2" s="1"/>
  <c r="F560" i="1"/>
  <c r="J57" i="2" s="1"/>
  <c r="F726" i="1"/>
  <c r="F498" i="1"/>
  <c r="F369" i="1"/>
  <c r="F284" i="1"/>
  <c r="D30" i="2" s="1"/>
  <c r="F534" i="1"/>
  <c r="F730" i="1"/>
  <c r="F481" i="1"/>
  <c r="K49" i="2" s="1"/>
  <c r="F254" i="1"/>
  <c r="D27" i="2" s="1"/>
  <c r="F143" i="1"/>
  <c r="C16" i="2" s="1"/>
  <c r="F215" i="1"/>
  <c r="E23" i="2" s="1"/>
  <c r="F2925" i="1"/>
  <c r="E294" i="2" s="1"/>
  <c r="F2864" i="1"/>
  <c r="D288" i="2" s="1"/>
  <c r="F1993" i="1"/>
  <c r="C201" i="2" s="1"/>
  <c r="F1997" i="1"/>
  <c r="G201" i="2" s="1"/>
  <c r="F1287" i="1"/>
  <c r="G130" i="2" s="1"/>
  <c r="F1534" i="1"/>
  <c r="F1145" i="1"/>
  <c r="F707" i="1"/>
  <c r="G72" i="2" s="1"/>
  <c r="F1482" i="1"/>
  <c r="B150" i="2" s="1"/>
  <c r="F581" i="1"/>
  <c r="K59" i="2" s="1"/>
  <c r="F1378" i="1"/>
  <c r="H139" i="2" s="1"/>
  <c r="F469" i="1"/>
  <c r="F501" i="1"/>
  <c r="K51" i="2" s="1"/>
  <c r="F396" i="1"/>
  <c r="F41" i="2" s="1"/>
  <c r="F1118" i="1"/>
  <c r="H113" i="2" s="1"/>
  <c r="F84" i="1"/>
  <c r="D10" i="2" s="1"/>
  <c r="F1498" i="1"/>
  <c r="F577" i="1"/>
  <c r="F2967" i="1"/>
  <c r="E2967" i="1"/>
  <c r="F1437" i="1"/>
  <c r="G145" i="2" s="1"/>
  <c r="F1277" i="1"/>
  <c r="G129" i="2" s="1"/>
  <c r="F108" i="1"/>
  <c r="H12" i="2" s="1"/>
  <c r="C193" i="2"/>
  <c r="B193" i="2"/>
  <c r="H277" i="2"/>
  <c r="K181" i="2"/>
  <c r="E290" i="2"/>
  <c r="G238" i="2"/>
  <c r="F272" i="2"/>
  <c r="F268" i="2"/>
  <c r="I235" i="2"/>
  <c r="E279" i="2"/>
  <c r="H226" i="2"/>
  <c r="H238" i="2"/>
  <c r="H232" i="2"/>
  <c r="C215" i="2"/>
  <c r="G168" i="2"/>
  <c r="F153" i="2"/>
  <c r="D285" i="2"/>
  <c r="K262" i="2"/>
  <c r="E212" i="2"/>
  <c r="E70" i="2"/>
  <c r="F181" i="2"/>
  <c r="E190" i="2"/>
  <c r="J130" i="2"/>
  <c r="G200" i="2"/>
  <c r="H177" i="2"/>
  <c r="E149" i="2"/>
  <c r="E253" i="2"/>
  <c r="F209" i="2"/>
  <c r="K200" i="2"/>
  <c r="K170" i="2"/>
  <c r="B230" i="2"/>
  <c r="J177" i="2"/>
  <c r="G71" i="2"/>
  <c r="I195" i="2"/>
  <c r="I216" i="2"/>
  <c r="I255" i="2"/>
  <c r="I261" i="2"/>
  <c r="D202" i="2"/>
  <c r="G155" i="2"/>
  <c r="F104" i="2"/>
  <c r="F176" i="2"/>
  <c r="H150" i="2"/>
  <c r="C246" i="2"/>
  <c r="H214" i="2"/>
  <c r="D160" i="2"/>
  <c r="K141" i="2"/>
  <c r="K118" i="2"/>
  <c r="H112" i="2"/>
  <c r="B77" i="2"/>
  <c r="H54" i="2"/>
  <c r="K145" i="2"/>
  <c r="K197" i="2"/>
  <c r="K133" i="2"/>
  <c r="K279" i="2"/>
  <c r="K276" i="2"/>
  <c r="K286" i="2"/>
  <c r="J185" i="2"/>
  <c r="I152" i="2"/>
  <c r="B120" i="2"/>
  <c r="E85" i="2"/>
  <c r="G100" i="2"/>
  <c r="G86" i="2"/>
  <c r="I59" i="2"/>
  <c r="G223" i="2"/>
  <c r="B128" i="2"/>
  <c r="J99" i="2"/>
  <c r="E79" i="2"/>
  <c r="E44" i="2"/>
  <c r="I12" i="2"/>
  <c r="C160" i="2"/>
  <c r="G68" i="2"/>
  <c r="D58" i="2"/>
  <c r="E140" i="2"/>
  <c r="E35" i="2"/>
  <c r="E182" i="2"/>
  <c r="E237" i="2"/>
  <c r="E287" i="2"/>
  <c r="E284" i="2"/>
  <c r="I123" i="2"/>
  <c r="D112" i="2"/>
  <c r="K65" i="2"/>
  <c r="J44" i="2"/>
  <c r="G25" i="2"/>
  <c r="D203" i="2"/>
  <c r="D122" i="2"/>
  <c r="D235" i="2"/>
  <c r="D145" i="2"/>
  <c r="D225" i="2"/>
  <c r="D245" i="2"/>
  <c r="D267" i="2"/>
  <c r="H153" i="2"/>
  <c r="H67" i="2"/>
  <c r="J18" i="2"/>
  <c r="C186" i="2"/>
  <c r="C280" i="2"/>
  <c r="C235" i="2"/>
  <c r="C204" i="2"/>
  <c r="C289" i="2"/>
  <c r="C21" i="2"/>
  <c r="B51" i="2"/>
  <c r="B164" i="2"/>
  <c r="B271" i="2"/>
  <c r="B115" i="2"/>
  <c r="B285" i="2"/>
  <c r="B282" i="2"/>
  <c r="G139" i="2"/>
  <c r="H43" i="2"/>
  <c r="H134" i="2"/>
  <c r="H59" i="2"/>
  <c r="D26" i="2"/>
  <c r="C94" i="2"/>
  <c r="H141" i="2"/>
  <c r="H68" i="2"/>
  <c r="G38" i="2"/>
  <c r="H189" i="2"/>
  <c r="H93" i="2"/>
  <c r="H122" i="2"/>
  <c r="H267" i="2"/>
  <c r="H229" i="2"/>
  <c r="H132" i="2"/>
  <c r="E34" i="2"/>
  <c r="K28" i="2"/>
  <c r="F2867" i="1"/>
  <c r="G288" i="2" s="1"/>
  <c r="F2894" i="1"/>
  <c r="D291" i="2" s="1"/>
  <c r="E32" i="2"/>
  <c r="D107" i="2"/>
  <c r="J106" i="2"/>
  <c r="J146" i="2"/>
  <c r="J77" i="2"/>
  <c r="J144" i="2"/>
  <c r="J109" i="2"/>
  <c r="J145" i="2"/>
  <c r="J158" i="2"/>
  <c r="J195" i="2"/>
  <c r="J251" i="2"/>
  <c r="J201" i="2"/>
  <c r="D175" i="2"/>
  <c r="C36" i="2"/>
  <c r="C24" i="2"/>
  <c r="B19" i="2"/>
  <c r="F2938" i="1"/>
  <c r="H295" i="2" s="1"/>
  <c r="K151" i="2"/>
  <c r="E116" i="2"/>
  <c r="G59" i="2"/>
  <c r="G60" i="2"/>
  <c r="G78" i="2"/>
  <c r="G193" i="2"/>
  <c r="G194" i="2"/>
  <c r="G285" i="2"/>
  <c r="F2939" i="1"/>
  <c r="F2941" i="1"/>
  <c r="F2743" i="1"/>
  <c r="F2598" i="1"/>
  <c r="H261" i="2" s="1"/>
  <c r="F2773" i="1"/>
  <c r="F2650" i="1"/>
  <c r="F2750" i="1"/>
  <c r="J276" i="2" s="1"/>
  <c r="F2728" i="1"/>
  <c r="F2575" i="1"/>
  <c r="E259" i="2" s="1"/>
  <c r="F2571" i="1"/>
  <c r="K258" i="2" s="1"/>
  <c r="F2565" i="1"/>
  <c r="E258" i="2" s="1"/>
  <c r="F2279" i="1"/>
  <c r="I229" i="2" s="1"/>
  <c r="F2199" i="1"/>
  <c r="I221" i="2" s="1"/>
  <c r="F2430" i="1"/>
  <c r="F2353" i="1"/>
  <c r="F2500" i="1"/>
  <c r="F2009" i="1"/>
  <c r="I202" i="2" s="1"/>
  <c r="F2527" i="1"/>
  <c r="F2360" i="1"/>
  <c r="J237" i="2" s="1"/>
  <c r="F2409" i="1"/>
  <c r="I242" i="2" s="1"/>
  <c r="F2125" i="1"/>
  <c r="F2385" i="1"/>
  <c r="E240" i="2" s="1"/>
  <c r="F2156" i="1"/>
  <c r="F217" i="2" s="1"/>
  <c r="F2425" i="1"/>
  <c r="E244" i="2" s="1"/>
  <c r="F2160" i="1"/>
  <c r="F2242" i="1"/>
  <c r="B226" i="2" s="1"/>
  <c r="F2212" i="1"/>
  <c r="F1979" i="1"/>
  <c r="I199" i="2" s="1"/>
  <c r="F1783" i="1"/>
  <c r="C180" i="2" s="1"/>
  <c r="F2386" i="1"/>
  <c r="F2013" i="1"/>
  <c r="C203" i="2" s="1"/>
  <c r="F2233" i="1"/>
  <c r="C225" i="2" s="1"/>
  <c r="F2208" i="1"/>
  <c r="H222" i="2" s="1"/>
  <c r="F1860" i="1"/>
  <c r="J187" i="2" s="1"/>
  <c r="F1605" i="1"/>
  <c r="E162" i="2" s="1"/>
  <c r="F1977" i="1"/>
  <c r="G199" i="2" s="1"/>
  <c r="F1980" i="1"/>
  <c r="F1347" i="1"/>
  <c r="F1445" i="1"/>
  <c r="F1572" i="1"/>
  <c r="B159" i="2" s="1"/>
  <c r="F1398" i="1"/>
  <c r="F1170" i="1"/>
  <c r="J118" i="2" s="1"/>
  <c r="F1588" i="1"/>
  <c r="H160" i="2" s="1"/>
  <c r="F1409" i="1"/>
  <c r="I142" i="2" s="1"/>
  <c r="F1265" i="1"/>
  <c r="E128" i="2" s="1"/>
  <c r="F1229" i="1"/>
  <c r="I124" i="2" s="1"/>
  <c r="F1256" i="1"/>
  <c r="F127" i="2" s="1"/>
  <c r="F1164" i="1"/>
  <c r="D118" i="2" s="1"/>
  <c r="F989" i="1"/>
  <c r="I100" i="2" s="1"/>
  <c r="F893" i="1"/>
  <c r="C91" i="2" s="1"/>
  <c r="F592" i="1"/>
  <c r="F674" i="1"/>
  <c r="F733" i="1"/>
  <c r="F960" i="1"/>
  <c r="J97" i="2" s="1"/>
  <c r="F773" i="1"/>
  <c r="F678" i="1"/>
  <c r="H69" i="2" s="1"/>
  <c r="F758" i="1"/>
  <c r="H77" i="2" s="1"/>
  <c r="F332" i="1"/>
  <c r="B35" i="2" s="1"/>
  <c r="F386" i="1"/>
  <c r="F40" i="2" s="1"/>
  <c r="F676" i="1"/>
  <c r="F69" i="2" s="1"/>
  <c r="F552" i="1"/>
  <c r="F337" i="1"/>
  <c r="G35" i="2" s="1"/>
  <c r="F117" i="1"/>
  <c r="G13" i="2" s="1"/>
  <c r="F770" i="1"/>
  <c r="F49" i="1"/>
  <c r="F500" i="1"/>
  <c r="F22" i="1"/>
  <c r="B4" i="2" s="1"/>
  <c r="F135" i="1"/>
  <c r="E15" i="2" s="1"/>
  <c r="F98" i="1"/>
  <c r="H11" i="2" s="1"/>
  <c r="F70" i="1"/>
  <c r="J8" i="2" s="1"/>
  <c r="K235" i="2"/>
  <c r="F290" i="2"/>
  <c r="K271" i="2"/>
  <c r="I236" i="2"/>
  <c r="B218" i="2"/>
  <c r="C196" i="2"/>
  <c r="H285" i="2"/>
  <c r="B262" i="2"/>
  <c r="I210" i="2"/>
  <c r="H159" i="2"/>
  <c r="H127" i="2"/>
  <c r="F250" i="2"/>
  <c r="F244" i="2"/>
  <c r="E194" i="2"/>
  <c r="F174" i="2"/>
  <c r="H76" i="2"/>
  <c r="I295" i="2"/>
  <c r="H230" i="2"/>
  <c r="J188" i="2"/>
  <c r="D127" i="2"/>
  <c r="B200" i="2"/>
  <c r="C230" i="2"/>
  <c r="K177" i="2"/>
  <c r="I211" i="2"/>
  <c r="F146" i="2"/>
  <c r="H140" i="2"/>
  <c r="C71" i="2"/>
  <c r="I217" i="2"/>
  <c r="I218" i="2"/>
  <c r="I241" i="2"/>
  <c r="I273" i="2"/>
  <c r="J252" i="2"/>
  <c r="F198" i="2"/>
  <c r="J155" i="2"/>
  <c r="G53" i="2"/>
  <c r="J150" i="2"/>
  <c r="C256" i="2"/>
  <c r="I246" i="2"/>
  <c r="J214" i="2"/>
  <c r="K109" i="2"/>
  <c r="H75" i="2"/>
  <c r="K292" i="2"/>
  <c r="K236" i="2"/>
  <c r="K296" i="2"/>
  <c r="K152" i="2"/>
  <c r="D120" i="2"/>
  <c r="C80" i="2"/>
  <c r="E26" i="2"/>
  <c r="C88" i="2"/>
  <c r="C59" i="2"/>
  <c r="G137" i="2"/>
  <c r="H223" i="2"/>
  <c r="E54" i="2"/>
  <c r="E113" i="2"/>
  <c r="E42" i="2"/>
  <c r="B136" i="2"/>
  <c r="H95" i="2"/>
  <c r="C81" i="2"/>
  <c r="B33" i="2"/>
  <c r="E145" i="2"/>
  <c r="E46" i="2"/>
  <c r="E283" i="2"/>
  <c r="C123" i="2"/>
  <c r="E92" i="2"/>
  <c r="F65" i="2"/>
  <c r="B29" i="2"/>
  <c r="E25" i="2"/>
  <c r="D70" i="2"/>
  <c r="D226" i="2"/>
  <c r="D181" i="2"/>
  <c r="D277" i="2"/>
  <c r="E178" i="2"/>
  <c r="B60" i="2"/>
  <c r="H18" i="2"/>
  <c r="C165" i="2"/>
  <c r="C274" i="2"/>
  <c r="C125" i="2"/>
  <c r="C234" i="2"/>
  <c r="C183" i="2"/>
  <c r="D98" i="2"/>
  <c r="E14" i="2"/>
  <c r="B86" i="2"/>
  <c r="B83" i="2"/>
  <c r="B149" i="2"/>
  <c r="B168" i="2"/>
  <c r="B255" i="2"/>
  <c r="B277" i="2"/>
  <c r="B296" i="2"/>
  <c r="C126" i="2"/>
  <c r="J101" i="2"/>
  <c r="G55" i="2"/>
  <c r="J13" i="2"/>
  <c r="D94" i="2"/>
  <c r="B41" i="2"/>
  <c r="B110" i="2"/>
  <c r="D52" i="2"/>
  <c r="H126" i="2"/>
  <c r="H242" i="2"/>
  <c r="H191" i="2"/>
  <c r="H145" i="2"/>
  <c r="H273" i="2"/>
  <c r="F34" i="2"/>
  <c r="I28" i="2"/>
  <c r="H32" i="2"/>
  <c r="E107" i="2"/>
  <c r="J56" i="2"/>
  <c r="J122" i="2"/>
  <c r="J46" i="2"/>
  <c r="J76" i="2"/>
  <c r="J111" i="2"/>
  <c r="J169" i="2"/>
  <c r="J215" i="2"/>
  <c r="J268" i="2"/>
  <c r="J232" i="2"/>
  <c r="J213" i="2"/>
  <c r="F175" i="2"/>
  <c r="H36" i="2"/>
  <c r="G24" i="2"/>
  <c r="D19" i="2"/>
  <c r="G151" i="2"/>
  <c r="D2957" i="1"/>
  <c r="G138" i="2"/>
  <c r="G69" i="2"/>
  <c r="G116" i="2"/>
  <c r="G89" i="2"/>
  <c r="G192" i="2"/>
  <c r="G272" i="2"/>
  <c r="G196" i="2"/>
  <c r="G264" i="2"/>
  <c r="G231" i="2"/>
  <c r="F2948" i="1"/>
  <c r="H296" i="2" s="1"/>
  <c r="F2648" i="1"/>
  <c r="H266" i="2" s="1"/>
  <c r="F2574" i="1"/>
  <c r="D259" i="2" s="1"/>
  <c r="F2520" i="1"/>
  <c r="J253" i="2" s="1"/>
  <c r="F2419" i="1"/>
  <c r="I243" i="2" s="1"/>
  <c r="F2337" i="1"/>
  <c r="G235" i="2" s="1"/>
  <c r="F2186" i="1"/>
  <c r="F1551" i="1"/>
  <c r="F1839" i="1"/>
  <c r="I185" i="2" s="1"/>
  <c r="F1628" i="1"/>
  <c r="F1375" i="1"/>
  <c r="E139" i="2" s="1"/>
  <c r="F1526" i="1"/>
  <c r="F154" i="2" s="1"/>
  <c r="F1496" i="1"/>
  <c r="F151" i="2" s="1"/>
  <c r="F1383" i="1"/>
  <c r="C140" i="2" s="1"/>
  <c r="F1191" i="1"/>
  <c r="K120" i="2" s="1"/>
  <c r="F1150" i="1"/>
  <c r="J116" i="2" s="1"/>
  <c r="F1414" i="1"/>
  <c r="D143" i="2" s="1"/>
  <c r="F1064" i="1"/>
  <c r="D108" i="2" s="1"/>
  <c r="F1110" i="1"/>
  <c r="F1096" i="1"/>
  <c r="F111" i="2" s="1"/>
  <c r="F1038" i="1"/>
  <c r="H105" i="2" s="1"/>
  <c r="F913" i="1"/>
  <c r="F946" i="1"/>
  <c r="F96" i="2" s="1"/>
  <c r="F790" i="1"/>
  <c r="J80" i="2" s="1"/>
  <c r="F688" i="1"/>
  <c r="H70" i="2" s="1"/>
  <c r="F721" i="1"/>
  <c r="K73" i="2" s="1"/>
  <c r="F614" i="1"/>
  <c r="D63" i="2" s="1"/>
  <c r="F394" i="1"/>
  <c r="D41" i="2" s="1"/>
  <c r="F682" i="1"/>
  <c r="B70" i="2" s="1"/>
  <c r="F383" i="1"/>
  <c r="C40" i="2" s="1"/>
  <c r="F653" i="1"/>
  <c r="F563" i="1"/>
  <c r="F248" i="1"/>
  <c r="H26" i="2" s="1"/>
  <c r="F153" i="1"/>
  <c r="C17" i="2" s="1"/>
  <c r="F634" i="1"/>
  <c r="F397" i="1"/>
  <c r="F195" i="1"/>
  <c r="E21" i="2" s="1"/>
  <c r="F74" i="1"/>
  <c r="D9" i="2" s="1"/>
  <c r="F274" i="1"/>
  <c r="D29" i="2" s="1"/>
  <c r="F73" i="1"/>
  <c r="C9" i="2" s="1"/>
  <c r="F191" i="1"/>
  <c r="K20" i="2" s="1"/>
  <c r="F235" i="2"/>
  <c r="F115" i="2"/>
  <c r="F265" i="2"/>
  <c r="F281" i="2"/>
  <c r="F228" i="2"/>
  <c r="F105" i="2"/>
  <c r="F33" i="2"/>
  <c r="F287" i="2"/>
  <c r="F277" i="2"/>
  <c r="F133" i="2"/>
  <c r="F263" i="2"/>
  <c r="F180" i="2"/>
  <c r="F168" i="2"/>
  <c r="F276" i="2"/>
  <c r="F239" i="2"/>
  <c r="F189" i="2"/>
  <c r="F187" i="2"/>
  <c r="F172" i="2"/>
  <c r="F162" i="2"/>
  <c r="F190" i="2"/>
  <c r="F179" i="2"/>
  <c r="F157" i="2"/>
  <c r="I172" i="2"/>
  <c r="F240" i="2"/>
  <c r="F193" i="2"/>
  <c r="F255" i="2"/>
  <c r="F170" i="2"/>
  <c r="I204" i="2"/>
  <c r="I170" i="2"/>
  <c r="I158" i="2"/>
  <c r="I155" i="2"/>
  <c r="I78" i="2"/>
  <c r="F67" i="2"/>
  <c r="I115" i="2"/>
  <c r="F75" i="2"/>
  <c r="K39" i="2"/>
  <c r="F158" i="2"/>
  <c r="F117" i="2"/>
  <c r="I109" i="2"/>
  <c r="F78" i="2"/>
  <c r="F70" i="2"/>
  <c r="I60" i="2"/>
  <c r="K42" i="2"/>
  <c r="I232" i="2"/>
  <c r="F191" i="2"/>
  <c r="F165" i="2"/>
  <c r="I126" i="2"/>
  <c r="I92" i="2"/>
  <c r="F81" i="2"/>
  <c r="F57" i="2"/>
  <c r="I196" i="2"/>
  <c r="I173" i="2"/>
  <c r="F148" i="2"/>
  <c r="F89" i="2"/>
  <c r="I71" i="2"/>
  <c r="I183" i="2"/>
  <c r="I168" i="2"/>
  <c r="F92" i="2"/>
  <c r="I82" i="2"/>
  <c r="I74" i="2"/>
  <c r="I66" i="2"/>
  <c r="I50" i="2"/>
  <c r="I45" i="2"/>
  <c r="K3" i="2"/>
  <c r="F199" i="2"/>
  <c r="F136" i="2"/>
  <c r="I116" i="2"/>
  <c r="I102" i="2"/>
  <c r="I70" i="2"/>
  <c r="K46" i="2"/>
  <c r="I7" i="2"/>
  <c r="K108" i="2"/>
  <c r="K78" i="2"/>
  <c r="K75" i="2"/>
  <c r="F60" i="2"/>
  <c r="F53" i="2"/>
  <c r="F35" i="2"/>
  <c r="F23" i="2"/>
  <c r="F253" i="2"/>
  <c r="K243" i="2"/>
  <c r="F195" i="2"/>
  <c r="I130" i="2"/>
  <c r="K127" i="2"/>
  <c r="K72" i="2"/>
  <c r="K57" i="2"/>
  <c r="F55" i="2"/>
  <c r="I144" i="2"/>
  <c r="K135" i="2"/>
  <c r="K122" i="2"/>
  <c r="I108" i="2"/>
  <c r="I75" i="2"/>
  <c r="K69" i="2"/>
  <c r="K64" i="2"/>
  <c r="K62" i="2"/>
  <c r="K50" i="2"/>
  <c r="F39" i="2"/>
  <c r="K26" i="2"/>
  <c r="K15" i="2"/>
  <c r="K8" i="2"/>
  <c r="D2" i="2"/>
  <c r="K104" i="2"/>
  <c r="I83" i="2"/>
  <c r="I43" i="2"/>
  <c r="K22" i="2"/>
  <c r="D7" i="2"/>
  <c r="I3" i="2"/>
  <c r="C2" i="2"/>
  <c r="F130" i="2"/>
  <c r="I122" i="2"/>
  <c r="K88" i="2"/>
  <c r="K85" i="2"/>
  <c r="I64" i="2"/>
  <c r="F30" i="2"/>
  <c r="I22" i="2"/>
  <c r="K176" i="2"/>
  <c r="I138" i="2"/>
  <c r="I114" i="2"/>
  <c r="F108" i="2"/>
  <c r="K56" i="2"/>
  <c r="F15" i="2"/>
  <c r="F3" i="2"/>
  <c r="B163" i="2"/>
  <c r="E142" i="2"/>
  <c r="D133" i="2"/>
  <c r="C121" i="2"/>
  <c r="C118" i="2"/>
  <c r="D104" i="2"/>
  <c r="F100" i="2"/>
  <c r="I91" i="2"/>
  <c r="I88" i="2"/>
  <c r="E77" i="2"/>
  <c r="E69" i="2"/>
  <c r="F66" i="2"/>
  <c r="E64" i="2"/>
  <c r="I61" i="2"/>
  <c r="K54" i="2"/>
  <c r="E50" i="2"/>
  <c r="F45" i="2"/>
  <c r="F43" i="2"/>
  <c r="B30" i="2"/>
  <c r="B26" i="2"/>
  <c r="D15" i="2"/>
  <c r="I11" i="2"/>
  <c r="I6" i="2"/>
  <c r="E3" i="2"/>
  <c r="F207" i="2"/>
  <c r="I150" i="2"/>
  <c r="B125" i="2"/>
  <c r="K116" i="2"/>
  <c r="I96" i="2"/>
  <c r="I90" i="2"/>
  <c r="F87" i="2"/>
  <c r="E82" i="2"/>
  <c r="C79" i="2"/>
  <c r="C76" i="2"/>
  <c r="B74" i="2"/>
  <c r="C66" i="2"/>
  <c r="F63" i="2"/>
  <c r="C61" i="2"/>
  <c r="B45" i="2"/>
  <c r="D40" i="2"/>
  <c r="I35" i="2"/>
  <c r="I23" i="2"/>
  <c r="D20" i="2"/>
  <c r="F18" i="2"/>
  <c r="E11" i="2"/>
  <c r="E188" i="2"/>
  <c r="D172" i="2"/>
  <c r="D141" i="2"/>
  <c r="F120" i="2"/>
  <c r="C113" i="2"/>
  <c r="F106" i="2"/>
  <c r="K102" i="2"/>
  <c r="D99" i="2"/>
  <c r="F93" i="2"/>
  <c r="E87" i="2"/>
  <c r="B79" i="2"/>
  <c r="B66" i="2"/>
  <c r="B61" i="2"/>
  <c r="E58" i="2"/>
  <c r="H110" i="2"/>
  <c r="D79" i="2"/>
  <c r="E71" i="2"/>
  <c r="I56" i="2"/>
  <c r="E45" i="2"/>
  <c r="K16" i="2"/>
  <c r="E138" i="2"/>
  <c r="E110" i="2"/>
  <c r="B71" i="2"/>
  <c r="I63" i="2"/>
  <c r="H56" i="2"/>
  <c r="C45" i="2"/>
  <c r="E33" i="2"/>
  <c r="E27" i="2"/>
  <c r="H16" i="2"/>
  <c r="K7" i="2"/>
  <c r="C168" i="2"/>
  <c r="F56" i="2"/>
  <c r="I38" i="2"/>
  <c r="F11" i="2"/>
  <c r="F156" i="2"/>
  <c r="D100" i="2"/>
  <c r="D77" i="2"/>
  <c r="H38" i="2"/>
  <c r="H20" i="2"/>
  <c r="C15" i="2"/>
  <c r="C11" i="2"/>
  <c r="H6" i="2"/>
  <c r="J2" i="2"/>
  <c r="D156" i="2"/>
  <c r="F125" i="2"/>
  <c r="D69" i="2"/>
  <c r="J31" i="2"/>
  <c r="K25" i="2"/>
  <c r="F20" i="2"/>
  <c r="B15" i="2"/>
  <c r="E6" i="2"/>
  <c r="D199" i="2"/>
  <c r="D125" i="2"/>
  <c r="C54" i="2"/>
  <c r="I42" i="2"/>
  <c r="K37" i="2"/>
  <c r="H25" i="2"/>
  <c r="C6" i="2"/>
  <c r="E114" i="2"/>
  <c r="K90" i="2"/>
  <c r="B54" i="2"/>
  <c r="F42" i="2"/>
  <c r="C114" i="2"/>
  <c r="F82" i="2"/>
  <c r="K289" i="2"/>
  <c r="D142" i="2"/>
  <c r="K96" i="2"/>
  <c r="C74" i="2"/>
  <c r="E66" i="2"/>
  <c r="K23" i="2"/>
  <c r="I18" i="2"/>
  <c r="E13" i="2"/>
  <c r="F9" i="2"/>
  <c r="K4" i="2"/>
  <c r="C52" i="2"/>
  <c r="I40" i="2"/>
  <c r="E8" i="2"/>
  <c r="H79" i="2"/>
  <c r="B52" i="2"/>
  <c r="E22" i="2"/>
  <c r="J12" i="2"/>
  <c r="C8" i="2"/>
  <c r="C104" i="2"/>
  <c r="E18" i="2"/>
  <c r="K58" i="2"/>
  <c r="J4" i="2"/>
  <c r="G88" i="2"/>
  <c r="H23" i="2"/>
  <c r="B13" i="2"/>
  <c r="J96" i="2"/>
  <c r="F51" i="1"/>
  <c r="K6" i="2" s="1"/>
  <c r="F173" i="1"/>
  <c r="F262" i="1"/>
  <c r="B28" i="2" s="1"/>
  <c r="K238" i="2"/>
  <c r="C269" i="2"/>
  <c r="C218" i="2"/>
  <c r="G242" i="2"/>
  <c r="G197" i="2"/>
  <c r="J142" i="2"/>
  <c r="I285" i="2"/>
  <c r="J194" i="2"/>
  <c r="D50" i="2"/>
  <c r="E248" i="2"/>
  <c r="I186" i="2"/>
  <c r="H244" i="2"/>
  <c r="H194" i="2"/>
  <c r="C136" i="2"/>
  <c r="J295" i="2"/>
  <c r="I209" i="2"/>
  <c r="B186" i="2"/>
  <c r="B174" i="2"/>
  <c r="F200" i="2"/>
  <c r="E260" i="2"/>
  <c r="J163" i="2"/>
  <c r="K211" i="2"/>
  <c r="H138" i="2"/>
  <c r="G111" i="2"/>
  <c r="I69" i="2"/>
  <c r="I294" i="2"/>
  <c r="I254" i="2"/>
  <c r="I280" i="2"/>
  <c r="G206" i="2"/>
  <c r="H155" i="2"/>
  <c r="K53" i="2"/>
  <c r="K150" i="2"/>
  <c r="G256" i="2"/>
  <c r="D246" i="2"/>
  <c r="K214" i="2"/>
  <c r="K166" i="2"/>
  <c r="E141" i="2"/>
  <c r="F114" i="2"/>
  <c r="C108" i="2"/>
  <c r="B48" i="2"/>
  <c r="K255" i="2"/>
  <c r="D185" i="2"/>
  <c r="C77" i="2"/>
  <c r="D192" i="2"/>
  <c r="J100" i="2"/>
  <c r="I26" i="2"/>
  <c r="H88" i="2"/>
  <c r="F54" i="2"/>
  <c r="J128" i="2"/>
  <c r="B90" i="2"/>
  <c r="C73" i="2"/>
  <c r="D31" i="2"/>
  <c r="E56" i="2"/>
  <c r="E102" i="2"/>
  <c r="E57" i="2"/>
  <c r="E282" i="2"/>
  <c r="D2970" i="1"/>
  <c r="B119" i="2"/>
  <c r="E90" i="2"/>
  <c r="I29" i="2"/>
  <c r="C23" i="2"/>
  <c r="D78" i="2"/>
  <c r="D251" i="2"/>
  <c r="D276" i="2"/>
  <c r="D286" i="2"/>
  <c r="F178" i="2"/>
  <c r="H130" i="2"/>
  <c r="K18" i="2"/>
  <c r="C67" i="2"/>
  <c r="C212" i="2"/>
  <c r="C43" i="2"/>
  <c r="C148" i="2"/>
  <c r="C236" i="2"/>
  <c r="C195" i="2"/>
  <c r="E95" i="2"/>
  <c r="I14" i="2"/>
  <c r="B91" i="2"/>
  <c r="B98" i="2"/>
  <c r="B187" i="2"/>
  <c r="B281" i="2"/>
  <c r="E118" i="2"/>
  <c r="F21" i="2"/>
  <c r="I134" i="2"/>
  <c r="K101" i="2"/>
  <c r="I55" i="2"/>
  <c r="J110" i="2"/>
  <c r="E94" i="2"/>
  <c r="E41" i="2"/>
  <c r="B103" i="2"/>
  <c r="J52" i="2"/>
  <c r="H31" i="2"/>
  <c r="H263" i="2"/>
  <c r="H203" i="2"/>
  <c r="H282" i="2"/>
  <c r="C110" i="2"/>
  <c r="F2819" i="1"/>
  <c r="I283" i="2" s="1"/>
  <c r="H107" i="2"/>
  <c r="J125" i="2"/>
  <c r="J165" i="2"/>
  <c r="J183" i="2"/>
  <c r="J217" i="2"/>
  <c r="J281" i="2"/>
  <c r="J239" i="2"/>
  <c r="J208" i="2"/>
  <c r="G175" i="2"/>
  <c r="I36" i="2"/>
  <c r="I24" i="2"/>
  <c r="I19" i="2"/>
  <c r="B47" i="2"/>
  <c r="B17" i="2"/>
  <c r="F2847" i="1"/>
  <c r="G286" i="2" s="1"/>
  <c r="G82" i="2"/>
  <c r="G80" i="2"/>
  <c r="G23" i="2"/>
  <c r="G115" i="2"/>
  <c r="G217" i="2"/>
  <c r="G76" i="2"/>
  <c r="G218" i="2"/>
  <c r="G183" i="2"/>
  <c r="G229" i="2"/>
  <c r="G243" i="2"/>
  <c r="F2906" i="1"/>
  <c r="F292" i="2" s="1"/>
  <c r="F2850" i="1"/>
  <c r="F2921" i="1"/>
  <c r="K293" i="2" s="1"/>
  <c r="F2672" i="1"/>
  <c r="B269" i="2" s="1"/>
  <c r="F2835" i="1"/>
  <c r="E285" i="2" s="1"/>
  <c r="F2875" i="1"/>
  <c r="E289" i="2" s="1"/>
  <c r="F2846" i="1"/>
  <c r="F2830" i="1"/>
  <c r="F2725" i="1"/>
  <c r="E274" i="2" s="1"/>
  <c r="F2857" i="1"/>
  <c r="G287" i="2" s="1"/>
  <c r="F2705" i="1"/>
  <c r="E272" i="2" s="1"/>
  <c r="F2704" i="1"/>
  <c r="F2511" i="1"/>
  <c r="K252" i="2" s="1"/>
  <c r="F2696" i="1"/>
  <c r="F271" i="2" s="1"/>
  <c r="F2674" i="1"/>
  <c r="D269" i="2" s="1"/>
  <c r="F2488" i="1"/>
  <c r="F2583" i="1"/>
  <c r="C260" i="2" s="1"/>
  <c r="F2801" i="1"/>
  <c r="K281" i="2" s="1"/>
  <c r="F2344" i="1"/>
  <c r="D236" i="2" s="1"/>
  <c r="F2396" i="1"/>
  <c r="F241" i="2" s="1"/>
  <c r="F2151" i="1"/>
  <c r="K216" i="2" s="1"/>
  <c r="F2200" i="1"/>
  <c r="J221" i="2" s="1"/>
  <c r="F2448" i="1"/>
  <c r="H246" i="2" s="1"/>
  <c r="F2299" i="1"/>
  <c r="F1873" i="1"/>
  <c r="C189" i="2" s="1"/>
  <c r="F2034" i="1"/>
  <c r="F2236" i="1"/>
  <c r="F225" i="2" s="1"/>
  <c r="F2143" i="1"/>
  <c r="F1954" i="1"/>
  <c r="D197" i="2" s="1"/>
  <c r="F1855" i="1"/>
  <c r="E187" i="2" s="1"/>
  <c r="F2239" i="1"/>
  <c r="I225" i="2" s="1"/>
  <c r="F2016" i="1"/>
  <c r="F203" i="2" s="1"/>
  <c r="F2123" i="1"/>
  <c r="C214" i="2" s="1"/>
  <c r="F2356" i="1"/>
  <c r="F237" i="2" s="1"/>
  <c r="F1775" i="1"/>
  <c r="E179" i="2" s="1"/>
  <c r="F2324" i="1"/>
  <c r="F2118" i="1"/>
  <c r="H213" i="2" s="1"/>
  <c r="F2015" i="1"/>
  <c r="F1879" i="1"/>
  <c r="I189" i="2" s="1"/>
  <c r="F2468" i="1"/>
  <c r="F2184" i="1"/>
  <c r="F1968" i="1"/>
  <c r="H198" i="2" s="1"/>
  <c r="F2174" i="1"/>
  <c r="F1981" i="1"/>
  <c r="K199" i="2" s="1"/>
  <c r="F2332" i="1"/>
  <c r="B235" i="2" s="1"/>
  <c r="F2001" i="1"/>
  <c r="K201" i="2" s="1"/>
  <c r="F1701" i="1"/>
  <c r="K171" i="2" s="1"/>
  <c r="F1862" i="1"/>
  <c r="B188" i="2" s="1"/>
  <c r="F1643" i="1"/>
  <c r="C166" i="2" s="1"/>
  <c r="F1744" i="1"/>
  <c r="D176" i="2" s="1"/>
  <c r="F2109" i="1"/>
  <c r="I212" i="2" s="1"/>
  <c r="F2090" i="1"/>
  <c r="F1767" i="1"/>
  <c r="F2231" i="1"/>
  <c r="K224" i="2" s="1"/>
  <c r="F1723" i="1"/>
  <c r="C174" i="2" s="1"/>
  <c r="F1568" i="1"/>
  <c r="H158" i="2" s="1"/>
  <c r="F1386" i="1"/>
  <c r="F140" i="2" s="1"/>
  <c r="F2141" i="1"/>
  <c r="K215" i="2" s="1"/>
  <c r="F2298" i="1"/>
  <c r="H231" i="2" s="1"/>
  <c r="F1436" i="1"/>
  <c r="F1302" i="1"/>
  <c r="F1919" i="1"/>
  <c r="F1826" i="1"/>
  <c r="F184" i="2" s="1"/>
  <c r="F1753" i="1"/>
  <c r="F1625" i="1"/>
  <c r="E164" i="2" s="1"/>
  <c r="F1478" i="1"/>
  <c r="F1654" i="1"/>
  <c r="D167" i="2" s="1"/>
  <c r="F1675" i="1"/>
  <c r="E169" i="2" s="1"/>
  <c r="F1330" i="1"/>
  <c r="J134" i="2" s="1"/>
  <c r="F1471" i="1"/>
  <c r="K148" i="2" s="1"/>
  <c r="F1718" i="1"/>
  <c r="H173" i="2" s="1"/>
  <c r="F1381" i="1"/>
  <c r="K139" i="2" s="1"/>
  <c r="F1351" i="1"/>
  <c r="K136" i="2" s="1"/>
  <c r="F1798" i="1"/>
  <c r="F1660" i="1"/>
  <c r="J167" i="2" s="1"/>
  <c r="F1412" i="1"/>
  <c r="B143" i="2" s="1"/>
  <c r="F1432" i="1"/>
  <c r="B145" i="2" s="1"/>
  <c r="F1218" i="1"/>
  <c r="H123" i="2" s="1"/>
  <c r="F1393" i="1"/>
  <c r="C141" i="2" s="1"/>
  <c r="F1128" i="1"/>
  <c r="H114" i="2" s="1"/>
  <c r="F1130" i="1"/>
  <c r="J114" i="2" s="1"/>
  <c r="F1245" i="1"/>
  <c r="E126" i="2" s="1"/>
  <c r="F1301" i="1"/>
  <c r="K131" i="2" s="1"/>
  <c r="F1076" i="1"/>
  <c r="F109" i="2" s="1"/>
  <c r="F1242" i="1"/>
  <c r="B126" i="2" s="1"/>
  <c r="F992" i="1"/>
  <c r="B101" i="2" s="1"/>
  <c r="F973" i="1"/>
  <c r="C99" i="2" s="1"/>
  <c r="F939" i="1"/>
  <c r="I95" i="2" s="1"/>
  <c r="F829" i="1"/>
  <c r="F818" i="1"/>
  <c r="H83" i="2" s="1"/>
  <c r="F1010" i="1"/>
  <c r="F702" i="1"/>
  <c r="B72" i="2" s="1"/>
  <c r="F588" i="1"/>
  <c r="H60" i="2" s="1"/>
  <c r="F799" i="1"/>
  <c r="I81" i="2" s="1"/>
  <c r="F665" i="1"/>
  <c r="E68" i="2" s="1"/>
  <c r="F720" i="1"/>
  <c r="F609" i="1"/>
  <c r="I62" i="2" s="1"/>
  <c r="F942" i="1"/>
  <c r="F706" i="1"/>
  <c r="F72" i="2" s="1"/>
  <c r="F865" i="1"/>
  <c r="E88" i="2" s="1"/>
  <c r="F836" i="1"/>
  <c r="F751" i="1"/>
  <c r="K76" i="2" s="1"/>
  <c r="F562" i="1"/>
  <c r="B58" i="2" s="1"/>
  <c r="F861" i="1"/>
  <c r="K87" i="2" s="1"/>
  <c r="F746" i="1"/>
  <c r="F76" i="2" s="1"/>
  <c r="F813" i="1"/>
  <c r="C83" i="2" s="1"/>
  <c r="F623" i="1"/>
  <c r="C64" i="2" s="1"/>
  <c r="F772" i="1"/>
  <c r="F601" i="1"/>
  <c r="K61" i="2" s="1"/>
  <c r="F342" i="1"/>
  <c r="B36" i="2" s="1"/>
  <c r="F630" i="1"/>
  <c r="F479" i="1"/>
  <c r="F306" i="1"/>
  <c r="F670" i="1"/>
  <c r="J68" i="2" s="1"/>
  <c r="F528" i="1"/>
  <c r="F382" i="1"/>
  <c r="B40" i="2" s="1"/>
  <c r="F380" i="1"/>
  <c r="J39" i="2" s="1"/>
  <c r="F194" i="1"/>
  <c r="D21" i="2" s="1"/>
  <c r="F358" i="1"/>
  <c r="H37" i="2" s="1"/>
  <c r="F290" i="1"/>
  <c r="F476" i="1"/>
  <c r="F49" i="2" s="1"/>
  <c r="F60" i="1"/>
  <c r="J7" i="2" s="1"/>
  <c r="F446" i="1"/>
  <c r="F402" i="1"/>
  <c r="B42" i="2" s="1"/>
  <c r="F176" i="1"/>
  <c r="F19" i="2" s="1"/>
  <c r="F456" i="1"/>
  <c r="F47" i="2" s="1"/>
  <c r="F66" i="1"/>
  <c r="F8" i="2" s="1"/>
  <c r="F101" i="1"/>
  <c r="K11" i="2" s="1"/>
  <c r="F280" i="1"/>
  <c r="J29" i="2" s="1"/>
  <c r="F94" i="1"/>
  <c r="D11" i="2" s="1"/>
  <c r="F35" i="1"/>
  <c r="E5" i="2" s="1"/>
  <c r="F438" i="1"/>
  <c r="F79" i="1"/>
  <c r="I9" i="2" s="1"/>
  <c r="F57" i="1"/>
  <c r="G7" i="2" s="1"/>
  <c r="F2969" i="1"/>
  <c r="E2969" i="1"/>
  <c r="G273" i="2"/>
  <c r="C279" i="2"/>
  <c r="H268" i="2"/>
  <c r="G279" i="2"/>
  <c r="E247" i="2"/>
  <c r="K217" i="2"/>
  <c r="B272" i="2"/>
  <c r="H290" i="2"/>
  <c r="K226" i="2"/>
  <c r="F2" i="3"/>
  <c r="E2" i="3"/>
  <c r="I2" i="3"/>
  <c r="G2" i="3"/>
  <c r="D2" i="3"/>
  <c r="C2" i="3"/>
  <c r="K2" i="3"/>
  <c r="J2" i="3"/>
  <c r="H2" i="3"/>
  <c r="B2" i="3"/>
  <c r="D2962" i="1"/>
  <c r="D2964" i="1"/>
  <c r="D2968" i="1"/>
  <c r="D2961" i="1"/>
  <c r="D296" i="2"/>
  <c r="I263" i="2"/>
  <c r="B233" i="2"/>
  <c r="J272" i="2"/>
  <c r="E233" i="2"/>
  <c r="H247" i="2"/>
  <c r="B238" i="2"/>
  <c r="E269" i="2"/>
  <c r="D234" i="2"/>
  <c r="D218" i="2"/>
  <c r="D196" i="2"/>
  <c r="I197" i="2"/>
  <c r="J285" i="2"/>
  <c r="K244" i="2"/>
  <c r="G154" i="2"/>
  <c r="E125" i="2"/>
  <c r="D43" i="2"/>
  <c r="F231" i="2"/>
  <c r="K248" i="2"/>
  <c r="F159" i="2"/>
  <c r="G220" i="2"/>
  <c r="B194" i="2"/>
  <c r="C131" i="2"/>
  <c r="G63" i="2"/>
  <c r="K295" i="2"/>
  <c r="C200" i="2"/>
  <c r="D186" i="2"/>
  <c r="B170" i="2"/>
  <c r="F291" i="2"/>
  <c r="H200" i="2"/>
  <c r="K260" i="2"/>
  <c r="F230" i="2"/>
  <c r="E163" i="2"/>
  <c r="J138" i="2"/>
  <c r="B104" i="2"/>
  <c r="I37" i="2"/>
  <c r="I228" i="2"/>
  <c r="I276" i="2"/>
  <c r="H206" i="2"/>
  <c r="F202" i="2"/>
  <c r="K155" i="2"/>
  <c r="C82" i="2"/>
  <c r="I53" i="2"/>
  <c r="F150" i="2"/>
  <c r="I256" i="2"/>
  <c r="F246" i="2"/>
  <c r="B214" i="2"/>
  <c r="B166" i="2"/>
  <c r="G114" i="2"/>
  <c r="C106" i="2"/>
  <c r="G66" i="2"/>
  <c r="E40" i="2"/>
  <c r="K231" i="2"/>
  <c r="K213" i="2"/>
  <c r="B152" i="2"/>
  <c r="F77" i="2"/>
  <c r="K100" i="2"/>
  <c r="F26" i="2"/>
  <c r="K82" i="2"/>
  <c r="H143" i="2"/>
  <c r="J137" i="2"/>
  <c r="K223" i="2"/>
  <c r="K91" i="2"/>
  <c r="I54" i="2"/>
  <c r="E124" i="2"/>
  <c r="G113" i="2"/>
  <c r="H99" i="2"/>
  <c r="J79" i="2"/>
  <c r="D128" i="2"/>
  <c r="C87" i="2"/>
  <c r="D73" i="2"/>
  <c r="E154" i="2"/>
  <c r="E191" i="2"/>
  <c r="E148" i="2"/>
  <c r="E280" i="2"/>
  <c r="E203" i="2"/>
  <c r="E252" i="2"/>
  <c r="E195" i="2"/>
  <c r="D187" i="2"/>
  <c r="D119" i="2"/>
  <c r="G90" i="2"/>
  <c r="E65" i="2"/>
  <c r="I44" i="2"/>
  <c r="C27" i="2"/>
  <c r="D105" i="2"/>
  <c r="D215" i="2"/>
  <c r="D265" i="2"/>
  <c r="D241" i="2"/>
  <c r="D191" i="2"/>
  <c r="D293" i="2"/>
  <c r="I178" i="2"/>
  <c r="D53" i="2"/>
  <c r="C117" i="2"/>
  <c r="C93" i="2"/>
  <c r="C287" i="2"/>
  <c r="C172" i="2"/>
  <c r="C264" i="2"/>
  <c r="H80" i="2"/>
  <c r="B100" i="2"/>
  <c r="B251" i="2"/>
  <c r="B203" i="2"/>
  <c r="B189" i="2"/>
  <c r="H163" i="2"/>
  <c r="C101" i="2"/>
  <c r="I21" i="2"/>
  <c r="K134" i="2"/>
  <c r="J55" i="2"/>
  <c r="F97" i="2"/>
  <c r="F94" i="2"/>
  <c r="E103" i="2"/>
  <c r="K52" i="2"/>
  <c r="H148" i="2"/>
  <c r="H146" i="2"/>
  <c r="H121" i="2"/>
  <c r="H253" i="2"/>
  <c r="H205" i="2"/>
  <c r="H289" i="2"/>
  <c r="H284" i="2"/>
  <c r="D110" i="2"/>
  <c r="B147" i="2"/>
  <c r="J70" i="2"/>
  <c r="J85" i="2"/>
  <c r="J51" i="2"/>
  <c r="J173" i="2"/>
  <c r="J235" i="2"/>
  <c r="J199" i="2"/>
  <c r="J292" i="2"/>
  <c r="K208" i="2"/>
  <c r="J36" i="2"/>
  <c r="D17" i="2"/>
  <c r="G31" i="2"/>
  <c r="G22" i="2"/>
  <c r="G108" i="2"/>
  <c r="G140" i="2"/>
  <c r="G20" i="2"/>
  <c r="G121" i="2"/>
  <c r="G45" i="2"/>
  <c r="G251" i="2"/>
  <c r="G266" i="2"/>
  <c r="G255" i="2"/>
  <c r="F2930" i="1"/>
  <c r="J294" i="2" s="1"/>
  <c r="F2918" i="1"/>
  <c r="H293" i="2" s="1"/>
  <c r="F2799" i="1"/>
  <c r="I281" i="2" s="1"/>
  <c r="F2660" i="1"/>
  <c r="F2658" i="1"/>
  <c r="J207" i="2"/>
  <c r="F2495" i="1"/>
  <c r="E251" i="2" s="1"/>
  <c r="F2503" i="1"/>
  <c r="C252" i="2" s="1"/>
  <c r="F2243" i="1"/>
  <c r="C226" i="2" s="1"/>
  <c r="F1963" i="1"/>
  <c r="C198" i="2" s="1"/>
  <c r="F2735" i="1"/>
  <c r="F2238" i="1"/>
  <c r="F2250" i="1"/>
  <c r="J226" i="2" s="1"/>
  <c r="F1599" i="1"/>
  <c r="I161" i="2" s="1"/>
  <c r="F1989" i="1"/>
  <c r="I267" i="2" s="1"/>
  <c r="F1483" i="1"/>
  <c r="F2171" i="1"/>
  <c r="K218" i="2" s="1"/>
  <c r="F1847" i="1"/>
  <c r="G186" i="2" s="1"/>
  <c r="F1960" i="1"/>
  <c r="F1579" i="1"/>
  <c r="I159" i="2" s="1"/>
  <c r="F2071" i="1"/>
  <c r="F1549" i="1"/>
  <c r="I156" i="2" s="1"/>
  <c r="F2091" i="1"/>
  <c r="K210" i="2" s="1"/>
  <c r="F1851" i="1"/>
  <c r="F1911" i="1"/>
  <c r="K192" i="2" s="1"/>
  <c r="F1520" i="1"/>
  <c r="J153" i="2" s="1"/>
  <c r="F1459" i="1"/>
  <c r="I147" i="2" s="1"/>
  <c r="F1808" i="1"/>
  <c r="H182" i="2" s="1"/>
  <c r="F1705" i="1"/>
  <c r="E172" i="2" s="1"/>
  <c r="F1695" i="1"/>
  <c r="E171" i="2" s="1"/>
  <c r="F1447" i="1"/>
  <c r="G146" i="2" s="1"/>
  <c r="F1252" i="1"/>
  <c r="B127" i="2" s="1"/>
  <c r="F542" i="1"/>
  <c r="B56" i="2" s="1"/>
  <c r="F319" i="1"/>
  <c r="I33" i="2" s="1"/>
  <c r="F62" i="1"/>
  <c r="B8" i="2" s="1"/>
  <c r="G237" i="2"/>
  <c r="H272" i="2"/>
  <c r="B287" i="2"/>
  <c r="B181" i="2"/>
  <c r="K265" i="2"/>
  <c r="I272" i="2"/>
  <c r="C233" i="2"/>
  <c r="H279" i="2"/>
  <c r="G247" i="2"/>
  <c r="D283" i="2"/>
  <c r="G292" i="2"/>
  <c r="J216" i="2"/>
  <c r="B270" i="2"/>
  <c r="J257" i="2"/>
  <c r="I289" i="2"/>
  <c r="C276" i="2"/>
  <c r="C283" i="2"/>
  <c r="B283" i="2"/>
  <c r="G261" i="2"/>
  <c r="I215" i="2"/>
  <c r="D228" i="2"/>
  <c r="D270" i="2"/>
  <c r="B254" i="2"/>
  <c r="F233" i="2"/>
  <c r="J279" i="2"/>
  <c r="I247" i="2"/>
  <c r="H259" i="2"/>
  <c r="E278" i="2"/>
  <c r="F234" i="2"/>
  <c r="F218" i="2"/>
  <c r="E196" i="2"/>
  <c r="E193" i="2"/>
  <c r="E241" i="2"/>
  <c r="F210" i="2"/>
  <c r="G188" i="2"/>
  <c r="C153" i="2"/>
  <c r="E122" i="2"/>
  <c r="D37" i="2"/>
  <c r="F288" i="2"/>
  <c r="F248" i="2"/>
  <c r="I182" i="2"/>
  <c r="D154" i="2"/>
  <c r="D295" i="2"/>
  <c r="K212" i="2"/>
  <c r="C194" i="2"/>
  <c r="C127" i="2"/>
  <c r="C295" i="2"/>
  <c r="B220" i="2"/>
  <c r="F186" i="2"/>
  <c r="I200" i="2"/>
  <c r="G225" i="2"/>
  <c r="I277" i="2"/>
  <c r="K146" i="2"/>
  <c r="K138" i="2"/>
  <c r="B64" i="2"/>
  <c r="J35" i="2"/>
  <c r="I157" i="2"/>
  <c r="C258" i="2"/>
  <c r="H202" i="2"/>
  <c r="C150" i="2"/>
  <c r="B82" i="2"/>
  <c r="E39" i="2"/>
  <c r="G167" i="2"/>
  <c r="J141" i="2"/>
  <c r="C100" i="2"/>
  <c r="K66" i="2"/>
  <c r="K159" i="2"/>
  <c r="K168" i="2"/>
  <c r="K288" i="2"/>
  <c r="C185" i="2"/>
  <c r="I77" i="2"/>
  <c r="H100" i="2"/>
  <c r="I143" i="2"/>
  <c r="K80" i="2"/>
  <c r="K161" i="2"/>
  <c r="C86" i="2"/>
  <c r="G124" i="2"/>
  <c r="I99" i="2"/>
  <c r="K79" i="2"/>
  <c r="G128" i="2"/>
  <c r="E84" i="2"/>
  <c r="F68" i="2"/>
  <c r="E51" i="2"/>
  <c r="B27" i="2"/>
  <c r="E20" i="2"/>
  <c r="E225" i="2"/>
  <c r="E215" i="2"/>
  <c r="E218" i="2"/>
  <c r="E266" i="2"/>
  <c r="E207" i="2"/>
  <c r="C149" i="2"/>
  <c r="C90" i="2"/>
  <c r="H65" i="2"/>
  <c r="C44" i="2"/>
  <c r="F27" i="2"/>
  <c r="B18" i="2"/>
  <c r="D83" i="2"/>
  <c r="D250" i="2"/>
  <c r="D263" i="2"/>
  <c r="D252" i="2"/>
  <c r="B178" i="2"/>
  <c r="C112" i="2"/>
  <c r="B37" i="2"/>
  <c r="C184" i="2"/>
  <c r="C220" i="2"/>
  <c r="C102" i="2"/>
  <c r="C291" i="2"/>
  <c r="C199" i="2"/>
  <c r="D260" i="2"/>
  <c r="H72" i="2"/>
  <c r="D14" i="2"/>
  <c r="B43" i="2"/>
  <c r="B210" i="2"/>
  <c r="B260" i="2"/>
  <c r="B207" i="2"/>
  <c r="B191" i="2"/>
  <c r="B261" i="2"/>
  <c r="E153" i="2"/>
  <c r="C134" i="2"/>
  <c r="I101" i="2"/>
  <c r="B55" i="2"/>
  <c r="G41" i="2"/>
  <c r="G103" i="2"/>
  <c r="E52" i="2"/>
  <c r="H33" i="2"/>
  <c r="H125" i="2"/>
  <c r="H171" i="2"/>
  <c r="H221" i="2"/>
  <c r="I34" i="2"/>
  <c r="H28" i="2"/>
  <c r="F2771" i="1"/>
  <c r="K278" i="2" s="1"/>
  <c r="B92" i="2"/>
  <c r="D32" i="2"/>
  <c r="D2955" i="1"/>
  <c r="J15" i="2"/>
  <c r="J162" i="2"/>
  <c r="J117" i="2"/>
  <c r="J242" i="2"/>
  <c r="J243" i="2"/>
  <c r="J269" i="2"/>
  <c r="J289" i="2"/>
  <c r="C208" i="2"/>
  <c r="B175" i="2"/>
  <c r="J53" i="2"/>
  <c r="J47" i="2"/>
  <c r="G37" i="2"/>
  <c r="G96" i="2"/>
  <c r="G125" i="2"/>
  <c r="G204" i="2"/>
  <c r="G265" i="2"/>
  <c r="G282" i="2"/>
  <c r="G267" i="2"/>
  <c r="F2908" i="1"/>
  <c r="H292" i="2" s="1"/>
  <c r="F2786" i="1"/>
  <c r="F280" i="2" s="1"/>
  <c r="F2898" i="1"/>
  <c r="H291" i="2" s="1"/>
  <c r="F2747" i="1"/>
  <c r="G276" i="2" s="1"/>
  <c r="F2858" i="1"/>
  <c r="H287" i="2" s="1"/>
  <c r="G47" i="2"/>
  <c r="F2689" i="1"/>
  <c r="I270" i="2" s="1"/>
  <c r="F2620" i="1"/>
  <c r="J263" i="2" s="1"/>
  <c r="F2545" i="1"/>
  <c r="F2784" i="1"/>
  <c r="D280" i="2" s="1"/>
  <c r="F2656" i="1"/>
  <c r="F2804" i="1"/>
  <c r="D282" i="2" s="1"/>
  <c r="F2615" i="1"/>
  <c r="E263" i="2" s="1"/>
  <c r="F2646" i="1"/>
  <c r="F266" i="2" s="1"/>
  <c r="F2289" i="1"/>
  <c r="D2952" i="1"/>
  <c r="F2643" i="1"/>
  <c r="C266" i="2" s="1"/>
  <c r="F2481" i="1"/>
  <c r="K249" i="2" s="1"/>
  <c r="F2327" i="1"/>
  <c r="G234" i="2" s="1"/>
  <c r="F2865" i="1"/>
  <c r="E288" i="2" s="1"/>
  <c r="F2467" i="1"/>
  <c r="G248" i="2" s="1"/>
  <c r="F2207" i="1"/>
  <c r="G222" i="2" s="1"/>
  <c r="F2352" i="1"/>
  <c r="F2607" i="1"/>
  <c r="G262" i="2" s="1"/>
  <c r="F2240" i="1"/>
  <c r="J225" i="2" s="1"/>
  <c r="F2142" i="1"/>
  <c r="B216" i="2" s="1"/>
  <c r="F2373" i="1"/>
  <c r="C239" i="2" s="1"/>
  <c r="F2284" i="1"/>
  <c r="D230" i="2" s="1"/>
  <c r="F2363" i="1"/>
  <c r="C238" i="2" s="1"/>
  <c r="F2445" i="1"/>
  <c r="E246" i="2" s="1"/>
  <c r="F2378" i="1"/>
  <c r="H239" i="2" s="1"/>
  <c r="F2429" i="1"/>
  <c r="I244" i="2" s="1"/>
  <c r="F2138" i="1"/>
  <c r="H215" i="2" s="1"/>
  <c r="F1999" i="1"/>
  <c r="I201" i="2" s="1"/>
  <c r="F2040" i="1"/>
  <c r="J205" i="2" s="1"/>
  <c r="F1739" i="1"/>
  <c r="I175" i="2" s="1"/>
  <c r="F2193" i="1"/>
  <c r="C221" i="2" s="1"/>
  <c r="F2328" i="1"/>
  <c r="H234" i="2" s="1"/>
  <c r="F2196" i="1"/>
  <c r="F221" i="2" s="1"/>
  <c r="F1942" i="1"/>
  <c r="B196" i="2" s="1"/>
  <c r="F1869" i="1"/>
  <c r="I188" i="2" s="1"/>
  <c r="F2112" i="1"/>
  <c r="B213" i="2" s="1"/>
  <c r="F1827" i="1"/>
  <c r="G184" i="2" s="1"/>
  <c r="F1389" i="1"/>
  <c r="I140" i="2" s="1"/>
  <c r="F2155" i="1"/>
  <c r="E217" i="2" s="1"/>
  <c r="F1967" i="1"/>
  <c r="G198" i="2" s="1"/>
  <c r="F1763" i="1"/>
  <c r="C178" i="2" s="1"/>
  <c r="F1829" i="1"/>
  <c r="I184" i="2" s="1"/>
  <c r="F2350" i="1"/>
  <c r="J236" i="2" s="1"/>
  <c r="F1838" i="1"/>
  <c r="H185" i="2" s="1"/>
  <c r="F1670" i="1"/>
  <c r="J168" i="2" s="1"/>
  <c r="F1752" i="1"/>
  <c r="B177" i="2" s="1"/>
  <c r="F2210" i="1"/>
  <c r="J222" i="2" s="1"/>
  <c r="F1938" i="1"/>
  <c r="H195" i="2" s="1"/>
  <c r="F1882" i="1"/>
  <c r="B190" i="2" s="1"/>
  <c r="F1530" i="1"/>
  <c r="F1363" i="1"/>
  <c r="F2870" i="1"/>
  <c r="J288" i="2" s="1"/>
  <c r="F1937" i="1"/>
  <c r="G195" i="2" s="1"/>
  <c r="F1707" i="1"/>
  <c r="G172" i="2" s="1"/>
  <c r="F1635" i="1"/>
  <c r="E165" i="2" s="1"/>
  <c r="F1481" i="1"/>
  <c r="K149" i="2" s="1"/>
  <c r="F1514" i="1"/>
  <c r="F1547" i="1"/>
  <c r="F1542" i="1"/>
  <c r="B156" i="2" s="1"/>
  <c r="F1455" i="1"/>
  <c r="E147" i="2" s="1"/>
  <c r="F1340" i="1"/>
  <c r="J135" i="2" s="1"/>
  <c r="F1614" i="1"/>
  <c r="D163" i="2" s="1"/>
  <c r="F1619" i="1"/>
  <c r="I163" i="2" s="1"/>
  <c r="F1644" i="1"/>
  <c r="D166" i="2" s="1"/>
  <c r="F1561" i="1"/>
  <c r="F1510" i="1"/>
  <c r="J152" i="2" s="1"/>
  <c r="F1326" i="1"/>
  <c r="F134" i="2" s="1"/>
  <c r="F1303" i="1"/>
  <c r="F1630" i="1"/>
  <c r="J164" i="2" s="1"/>
  <c r="F1226" i="1"/>
  <c r="F1159" i="1"/>
  <c r="I117" i="2" s="1"/>
  <c r="F1300" i="1"/>
  <c r="J131" i="2" s="1"/>
  <c r="F1650" i="1"/>
  <c r="J166" i="2" s="1"/>
  <c r="F1297" i="1"/>
  <c r="G131" i="2" s="1"/>
  <c r="F1738" i="1"/>
  <c r="H175" i="2" s="1"/>
  <c r="F1257" i="1"/>
  <c r="G127" i="2" s="1"/>
  <c r="F1244" i="1"/>
  <c r="D126" i="2" s="1"/>
  <c r="F1281" i="1"/>
  <c r="K129" i="2" s="1"/>
  <c r="F1089" i="1"/>
  <c r="I250" i="2" s="1"/>
  <c r="F1157" i="1"/>
  <c r="G117" i="2" s="1"/>
  <c r="F1230" i="1"/>
  <c r="F1056" i="1"/>
  <c r="F107" i="2" s="1"/>
  <c r="F1020" i="1"/>
  <c r="J103" i="2" s="1"/>
  <c r="F1014" i="1"/>
  <c r="F1072" i="1"/>
  <c r="B109" i="2" s="1"/>
  <c r="F1039" i="1"/>
  <c r="I105" i="2" s="1"/>
  <c r="F895" i="1"/>
  <c r="E91" i="2" s="1"/>
  <c r="F833" i="1"/>
  <c r="C85" i="2" s="1"/>
  <c r="F900" i="1"/>
  <c r="J91" i="2" s="1"/>
  <c r="F584" i="1"/>
  <c r="D60" i="2" s="1"/>
  <c r="F794" i="1"/>
  <c r="D81" i="2" s="1"/>
  <c r="F506" i="1"/>
  <c r="F52" i="2" s="1"/>
  <c r="F873" i="1"/>
  <c r="C89" i="2" s="1"/>
  <c r="F798" i="1"/>
  <c r="H81" i="2" s="1"/>
  <c r="F742" i="1"/>
  <c r="B76" i="2" s="1"/>
  <c r="F724" i="1"/>
  <c r="D74" i="2" s="1"/>
  <c r="F716" i="1"/>
  <c r="F73" i="2" s="1"/>
  <c r="F696" i="1"/>
  <c r="F71" i="2" s="1"/>
  <c r="F569" i="1"/>
  <c r="I58" i="2" s="1"/>
  <c r="F338" i="1"/>
  <c r="H35" i="2" s="1"/>
  <c r="F276" i="1"/>
  <c r="F29" i="2" s="1"/>
  <c r="F226" i="1"/>
  <c r="F657" i="1"/>
  <c r="G67" i="2" s="1"/>
  <c r="F68" i="1"/>
  <c r="H8" i="2" s="1"/>
  <c r="F372" i="1"/>
  <c r="B39" i="2" s="1"/>
  <c r="F281" i="1"/>
  <c r="K29" i="2" s="1"/>
  <c r="F644" i="1"/>
  <c r="D66" i="2" s="1"/>
  <c r="F512" i="1"/>
  <c r="F106" i="1"/>
  <c r="F12" i="2" s="1"/>
  <c r="F464" i="1"/>
  <c r="D48" i="2" s="1"/>
  <c r="F313" i="1"/>
  <c r="F225" i="1"/>
  <c r="E24" i="2" s="1"/>
  <c r="F56" i="1"/>
  <c r="F7" i="2" s="1"/>
  <c r="F159" i="1"/>
  <c r="F27" i="1"/>
  <c r="G4" i="2" s="1"/>
  <c r="F250" i="1"/>
  <c r="J26" i="2" s="1"/>
  <c r="F263" i="1"/>
  <c r="C28" i="2" s="1"/>
  <c r="F18" i="1"/>
  <c r="H3" i="2" s="1"/>
  <c r="F131" i="1"/>
  <c r="K14" i="2" s="1"/>
  <c r="F47" i="1"/>
  <c r="G6" i="2" s="1"/>
  <c r="F17" i="1"/>
  <c r="G3" i="2" s="1"/>
  <c r="F274" i="2"/>
  <c r="D220" i="2"/>
  <c r="H190" i="2"/>
  <c r="I291" i="2"/>
  <c r="H260" i="2"/>
  <c r="B138" i="2"/>
  <c r="I193" i="2"/>
  <c r="I292" i="2"/>
  <c r="I205" i="2"/>
  <c r="I264" i="2"/>
  <c r="E206" i="2"/>
  <c r="J202" i="2"/>
  <c r="D144" i="2"/>
  <c r="B256" i="2"/>
  <c r="D216" i="2"/>
  <c r="F166" i="2"/>
  <c r="F141" i="2"/>
  <c r="D114" i="2"/>
  <c r="J66" i="2"/>
  <c r="K196" i="2"/>
  <c r="K194" i="2"/>
  <c r="K204" i="2"/>
  <c r="K105" i="2"/>
  <c r="K283" i="2"/>
  <c r="K203" i="2"/>
  <c r="E185" i="2"/>
  <c r="F143" i="2"/>
  <c r="E72" i="2"/>
  <c r="D132" i="2"/>
  <c r="E98" i="2"/>
  <c r="E62" i="2"/>
  <c r="G161" i="2"/>
  <c r="D86" i="2"/>
  <c r="J124" i="2"/>
  <c r="J113" i="2"/>
  <c r="K99" i="2"/>
  <c r="G29" i="2"/>
  <c r="I128" i="2"/>
  <c r="F84" i="2"/>
  <c r="K68" i="2"/>
  <c r="C49" i="2"/>
  <c r="D25" i="2"/>
  <c r="E242" i="2"/>
  <c r="E228" i="2"/>
  <c r="E201" i="2"/>
  <c r="E219" i="2"/>
  <c r="G123" i="2"/>
  <c r="J119" i="2"/>
  <c r="F90" i="2"/>
  <c r="I65" i="2"/>
  <c r="F44" i="2"/>
  <c r="J27" i="2"/>
  <c r="B16" i="2"/>
  <c r="D138" i="2"/>
  <c r="D233" i="2"/>
  <c r="D183" i="2"/>
  <c r="D264" i="2"/>
  <c r="D178" i="2"/>
  <c r="C46" i="2"/>
  <c r="C237" i="2"/>
  <c r="C162" i="2"/>
  <c r="C145" i="2"/>
  <c r="C210" i="2"/>
  <c r="C231" i="2"/>
  <c r="D221" i="2"/>
  <c r="C62" i="2"/>
  <c r="G14" i="2"/>
  <c r="B50" i="2"/>
  <c r="B179" i="2"/>
  <c r="B212" i="2"/>
  <c r="B215" i="2"/>
  <c r="K21" i="2"/>
  <c r="B259" i="2"/>
  <c r="B97" i="2"/>
  <c r="K55" i="2"/>
  <c r="K97" i="2"/>
  <c r="K94" i="2"/>
  <c r="K41" i="2"/>
  <c r="I103" i="2"/>
  <c r="H13" i="2"/>
  <c r="H89" i="2"/>
  <c r="H183" i="2"/>
  <c r="H157" i="2"/>
  <c r="H249" i="2"/>
  <c r="H240" i="2"/>
  <c r="H251" i="2"/>
  <c r="H34" i="2"/>
  <c r="D92" i="2"/>
  <c r="D2963" i="1"/>
  <c r="G32" i="2"/>
  <c r="J160" i="2"/>
  <c r="J45" i="2"/>
  <c r="J22" i="2"/>
  <c r="J126" i="2"/>
  <c r="J174" i="2"/>
  <c r="J186" i="2"/>
  <c r="J286" i="2"/>
  <c r="J20" i="2"/>
  <c r="J245" i="2"/>
  <c r="D2971" i="1"/>
  <c r="J175" i="2"/>
  <c r="C19" i="2"/>
  <c r="I47" i="2"/>
  <c r="D151" i="2"/>
  <c r="E47" i="2"/>
  <c r="I17" i="2"/>
  <c r="G50" i="2"/>
  <c r="G160" i="2"/>
  <c r="G203" i="2"/>
  <c r="G226" i="2"/>
  <c r="G215" i="2"/>
  <c r="G179" i="2"/>
  <c r="G283" i="2"/>
  <c r="G252" i="2"/>
  <c r="G277" i="2"/>
  <c r="F2676" i="1"/>
  <c r="F269" i="2" s="1"/>
  <c r="F2476" i="1"/>
  <c r="F249" i="2" s="1"/>
  <c r="F2129" i="1"/>
  <c r="I214" i="2" s="1"/>
  <c r="F2116" i="1"/>
  <c r="F213" i="2" s="1"/>
  <c r="F2098" i="1"/>
  <c r="H211" i="2" s="1"/>
  <c r="F968" i="1"/>
  <c r="H98" i="2" s="1"/>
  <c r="F864" i="1"/>
  <c r="D88" i="2" s="1"/>
  <c r="F454" i="1"/>
  <c r="D47" i="2" s="1"/>
  <c r="F379" i="1"/>
  <c r="I39" i="2" s="1"/>
  <c r="F299" i="1"/>
  <c r="I31" i="2" s="1"/>
  <c r="F46" i="1"/>
  <c r="F6" i="2" s="1"/>
  <c r="F493" i="1"/>
  <c r="F52" i="1"/>
  <c r="B7" i="2" s="1"/>
  <c r="F69" i="1"/>
  <c r="I8" i="2" s="1"/>
  <c r="F470" i="1"/>
  <c r="J48" i="2" s="1"/>
  <c r="F204" i="1"/>
  <c r="D22" i="2" s="1"/>
  <c r="B292" i="2"/>
  <c r="F270" i="2"/>
  <c r="K247" i="2"/>
  <c r="B242" i="2"/>
  <c r="G210" i="2"/>
  <c r="F284" i="2"/>
  <c r="D274" i="2"/>
  <c r="K259" i="2"/>
  <c r="G278" i="2"/>
  <c r="J170" i="2"/>
  <c r="J275" i="2"/>
  <c r="D224" i="2"/>
  <c r="H210" i="2"/>
  <c r="K184" i="2"/>
  <c r="G148" i="2"/>
  <c r="D109" i="2"/>
  <c r="F243" i="2"/>
  <c r="F289" i="2"/>
  <c r="I248" i="2"/>
  <c r="I174" i="2"/>
  <c r="J264" i="2"/>
  <c r="F212" i="2"/>
  <c r="F194" i="2"/>
  <c r="H162" i="2"/>
  <c r="B122" i="2"/>
  <c r="I274" i="2"/>
  <c r="E220" i="2"/>
  <c r="H186" i="2"/>
  <c r="C159" i="2"/>
  <c r="B291" i="2"/>
  <c r="I179" i="2"/>
  <c r="B182" i="2"/>
  <c r="B211" i="2"/>
  <c r="B146" i="2"/>
  <c r="F138" i="2"/>
  <c r="D82" i="2"/>
  <c r="K60" i="2"/>
  <c r="I30" i="2"/>
  <c r="I180" i="2"/>
  <c r="I296" i="2"/>
  <c r="B258" i="2"/>
  <c r="H78" i="2"/>
  <c r="G39" i="2"/>
  <c r="K167" i="2"/>
  <c r="J246" i="2"/>
  <c r="B160" i="2"/>
  <c r="I141" i="2"/>
  <c r="G91" i="2"/>
  <c r="K40" i="2"/>
  <c r="K209" i="2"/>
  <c r="K207" i="2"/>
  <c r="K287" i="2"/>
  <c r="K140" i="2"/>
  <c r="I106" i="2"/>
  <c r="G98" i="2"/>
  <c r="D54" i="2"/>
  <c r="E75" i="2"/>
  <c r="F129" i="2"/>
  <c r="J161" i="2"/>
  <c r="H86" i="2"/>
  <c r="F124" i="2"/>
  <c r="K113" i="2"/>
  <c r="G99" i="2"/>
  <c r="C68" i="2"/>
  <c r="K128" i="2"/>
  <c r="H84" i="2"/>
  <c r="I73" i="2"/>
  <c r="B68" i="2"/>
  <c r="G49" i="2"/>
  <c r="H21" i="2"/>
  <c r="E60" i="2"/>
  <c r="E135" i="2"/>
  <c r="E168" i="2"/>
  <c r="E250" i="2"/>
  <c r="E262" i="2"/>
  <c r="E296" i="2"/>
  <c r="E231" i="2"/>
  <c r="C222" i="2"/>
  <c r="J123" i="2"/>
  <c r="F119" i="2"/>
  <c r="J90" i="2"/>
  <c r="C60" i="2"/>
  <c r="C42" i="2"/>
  <c r="H27" i="2"/>
  <c r="E16" i="2"/>
  <c r="D67" i="2"/>
  <c r="D171" i="2"/>
  <c r="D157" i="2"/>
  <c r="D278" i="2"/>
  <c r="D195" i="2"/>
  <c r="J178" i="2"/>
  <c r="C31" i="2"/>
  <c r="C75" i="2"/>
  <c r="C50" i="2"/>
  <c r="C192" i="2"/>
  <c r="C224" i="2"/>
  <c r="C296" i="2"/>
  <c r="C243" i="2"/>
  <c r="H144" i="2"/>
  <c r="C12" i="2"/>
  <c r="B169" i="2"/>
  <c r="B93" i="2"/>
  <c r="B237" i="2"/>
  <c r="B219" i="2"/>
  <c r="B286" i="2"/>
  <c r="B204" i="2"/>
  <c r="I139" i="2"/>
  <c r="B21" i="2"/>
  <c r="E200" i="2"/>
  <c r="J41" i="2"/>
  <c r="C13" i="2"/>
  <c r="H111" i="2"/>
  <c r="H218" i="2"/>
  <c r="H179" i="2"/>
  <c r="H164" i="2"/>
  <c r="H192" i="2"/>
  <c r="H265" i="2"/>
  <c r="H241" i="2"/>
  <c r="E156" i="2"/>
  <c r="F110" i="2"/>
  <c r="K34" i="2"/>
  <c r="D2960" i="1"/>
  <c r="J93" i="2"/>
  <c r="I32" i="2"/>
  <c r="J107" i="2"/>
  <c r="J16" i="2"/>
  <c r="J83" i="2"/>
  <c r="J37" i="2"/>
  <c r="J81" i="2"/>
  <c r="J218" i="2"/>
  <c r="D2954" i="1"/>
  <c r="B208" i="2"/>
  <c r="D36" i="2"/>
  <c r="E19" i="2"/>
  <c r="H136" i="2"/>
  <c r="G85" i="2"/>
  <c r="G64" i="2"/>
  <c r="G153" i="2"/>
  <c r="G254" i="2"/>
  <c r="G30" i="2"/>
  <c r="G173" i="2"/>
  <c r="G133" i="2"/>
  <c r="G281" i="2"/>
  <c r="G232" i="2"/>
  <c r="G275" i="2"/>
  <c r="F2809" i="1"/>
  <c r="I282" i="2" s="1"/>
  <c r="F2915" i="1"/>
  <c r="E293" i="2" s="1"/>
  <c r="F2731" i="1"/>
  <c r="K274" i="2" s="1"/>
  <c r="F2779" i="1"/>
  <c r="I279" i="2" s="1"/>
  <c r="F2606" i="1"/>
  <c r="F262" i="2" s="1"/>
  <c r="F2697" i="1"/>
  <c r="G271" i="2" s="1"/>
  <c r="F2464" i="1"/>
  <c r="D248" i="2" s="1"/>
  <c r="F2499" i="1"/>
  <c r="I251" i="2" s="1"/>
  <c r="F2576" i="1"/>
  <c r="F259" i="2" s="1"/>
  <c r="F2621" i="1"/>
  <c r="K263" i="2" s="1"/>
  <c r="F2084" i="1"/>
  <c r="D210" i="2" s="1"/>
  <c r="F2318" i="1"/>
  <c r="H233" i="2" s="1"/>
  <c r="F2272" i="1"/>
  <c r="B229" i="2" s="1"/>
  <c r="F2370" i="1"/>
  <c r="J238" i="2" s="1"/>
  <c r="F2176" i="1"/>
  <c r="F219" i="2" s="1"/>
  <c r="F2258" i="1"/>
  <c r="H227" i="2" s="1"/>
  <c r="F2422" i="1"/>
  <c r="B244" i="2" s="1"/>
  <c r="F2383" i="1"/>
  <c r="C240" i="2" s="1"/>
  <c r="F2273" i="1"/>
  <c r="C229" i="2" s="1"/>
  <c r="F1948" i="1"/>
  <c r="H196" i="2" s="1"/>
  <c r="F2321" i="1"/>
  <c r="K233" i="2" s="1"/>
  <c r="F1336" i="1"/>
  <c r="F135" i="2" s="1"/>
  <c r="F2093" i="1"/>
  <c r="C211" i="2" s="1"/>
  <c r="F1613" i="1"/>
  <c r="C163" i="2" s="1"/>
  <c r="F1624" i="1"/>
  <c r="D164" i="2" s="1"/>
  <c r="F1312" i="1"/>
  <c r="B133" i="2" s="1"/>
  <c r="F1152" i="1"/>
  <c r="B117" i="2" s="1"/>
  <c r="F929" i="1"/>
  <c r="I94" i="2" s="1"/>
  <c r="F1008" i="1"/>
  <c r="H102" i="2" s="1"/>
  <c r="F734" i="1"/>
  <c r="D75" i="2" s="1"/>
  <c r="F672" i="1"/>
  <c r="B69" i="2" s="1"/>
  <c r="F580" i="1"/>
  <c r="J59" i="2" s="1"/>
  <c r="F717" i="1"/>
  <c r="G73" i="2" s="1"/>
  <c r="F712" i="1"/>
  <c r="B73" i="2" s="1"/>
  <c r="F660" i="1"/>
  <c r="J67" i="2" s="1"/>
  <c r="F356" i="1"/>
  <c r="F37" i="2" s="1"/>
  <c r="F42" i="1"/>
  <c r="B6" i="2" s="1"/>
  <c r="F648" i="1"/>
  <c r="H66" i="2" s="1"/>
  <c r="F288" i="1"/>
  <c r="H30" i="2" s="1"/>
  <c r="F398" i="1"/>
  <c r="H41" i="2" s="1"/>
  <c r="F9" i="1"/>
  <c r="I2" i="2" s="1"/>
  <c r="F652" i="1"/>
  <c r="B67" i="2" s="1"/>
  <c r="E2966" i="1"/>
  <c r="F2966" i="1"/>
  <c r="E292" i="2"/>
  <c r="C254" i="2"/>
  <c r="D294" i="2"/>
  <c r="I259" i="2"/>
  <c r="F196" i="2"/>
  <c r="F226" i="2"/>
  <c r="F229" i="2"/>
  <c r="D194" i="2"/>
  <c r="B265" i="2"/>
  <c r="E205" i="2"/>
  <c r="I233" i="2"/>
  <c r="K257" i="2"/>
  <c r="G294" i="2"/>
  <c r="C257" i="2"/>
  <c r="J278" i="2"/>
  <c r="H250" i="2"/>
  <c r="K187" i="2"/>
  <c r="D242" i="2"/>
  <c r="F169" i="2"/>
  <c r="D262" i="2"/>
  <c r="G224" i="2"/>
  <c r="J210" i="2"/>
  <c r="K174" i="2"/>
  <c r="D148" i="2"/>
  <c r="F282" i="2"/>
  <c r="J248" i="2"/>
  <c r="D173" i="2"/>
  <c r="E136" i="2"/>
  <c r="H212" i="2"/>
  <c r="D190" i="2"/>
  <c r="D162" i="2"/>
  <c r="K115" i="2"/>
  <c r="J30" i="2"/>
  <c r="H274" i="2"/>
  <c r="F220" i="2"/>
  <c r="K190" i="2"/>
  <c r="E291" i="2"/>
  <c r="E174" i="2"/>
  <c r="J260" i="2"/>
  <c r="C182" i="2"/>
  <c r="D211" i="2"/>
  <c r="G176" i="2"/>
  <c r="F144" i="2"/>
  <c r="I131" i="2"/>
  <c r="B78" i="2"/>
  <c r="I265" i="2"/>
  <c r="B206" i="2"/>
  <c r="C167" i="2"/>
  <c r="C116" i="2"/>
  <c r="J78" i="2"/>
  <c r="G144" i="2"/>
  <c r="E256" i="2"/>
  <c r="D214" i="2"/>
  <c r="F160" i="2"/>
  <c r="I166" i="2"/>
  <c r="K89" i="2"/>
  <c r="D61" i="2"/>
  <c r="H40" i="2"/>
  <c r="K228" i="2"/>
  <c r="K173" i="2"/>
  <c r="K180" i="2"/>
  <c r="K227" i="2"/>
  <c r="K261" i="2"/>
  <c r="G185" i="2"/>
  <c r="E129" i="2"/>
  <c r="K106" i="2"/>
  <c r="G132" i="2"/>
  <c r="I98" i="2"/>
  <c r="H51" i="2"/>
  <c r="E161" i="2"/>
  <c r="B75" i="2"/>
  <c r="J143" i="2"/>
  <c r="J129" i="2"/>
  <c r="B223" i="2"/>
  <c r="B161" i="2"/>
  <c r="K86" i="2"/>
  <c r="C63" i="2"/>
  <c r="F25" i="2"/>
  <c r="F128" i="2"/>
  <c r="I84" i="2"/>
  <c r="J73" i="2"/>
  <c r="C65" i="2"/>
  <c r="H49" i="2"/>
  <c r="C18" i="2"/>
  <c r="E67" i="2"/>
  <c r="E180" i="2"/>
  <c r="E121" i="2"/>
  <c r="E275" i="2"/>
  <c r="E243" i="2"/>
  <c r="I222" i="2"/>
  <c r="G119" i="2"/>
  <c r="B87" i="2"/>
  <c r="E53" i="2"/>
  <c r="H39" i="2"/>
  <c r="K27" i="2"/>
  <c r="D227" i="2"/>
  <c r="D217" i="2"/>
  <c r="D45" i="2"/>
  <c r="D207" i="2"/>
  <c r="G178" i="2"/>
  <c r="F31" i="2"/>
  <c r="C30" i="2"/>
  <c r="C96" i="2"/>
  <c r="C250" i="2"/>
  <c r="C57" i="2"/>
  <c r="C216" i="2"/>
  <c r="C232" i="2"/>
  <c r="C261" i="2"/>
  <c r="C255" i="2"/>
  <c r="D55" i="2"/>
  <c r="B199" i="2"/>
  <c r="B148" i="2"/>
  <c r="B57" i="2"/>
  <c r="B121" i="2"/>
  <c r="J139" i="2"/>
  <c r="H74" i="2"/>
  <c r="D130" i="2"/>
  <c r="J95" i="2"/>
  <c r="C48" i="2"/>
  <c r="I97" i="2"/>
  <c r="C103" i="2"/>
  <c r="H42" i="2"/>
  <c r="F13" i="2"/>
  <c r="H115" i="2"/>
  <c r="H252" i="2"/>
  <c r="H168" i="2"/>
  <c r="H216" i="2"/>
  <c r="H280" i="2"/>
  <c r="G156" i="2"/>
  <c r="H96" i="2"/>
  <c r="B34" i="2"/>
  <c r="C92" i="2"/>
  <c r="D147" i="2"/>
  <c r="J32" i="2"/>
  <c r="J25" i="2"/>
  <c r="J157" i="2"/>
  <c r="J184" i="2"/>
  <c r="J176" i="2"/>
  <c r="J105" i="2"/>
  <c r="J197" i="2"/>
  <c r="J293" i="2"/>
  <c r="D208" i="2"/>
  <c r="E175" i="2"/>
  <c r="J151" i="2"/>
  <c r="H17" i="2"/>
  <c r="G46" i="2"/>
  <c r="G268" i="2"/>
  <c r="G57" i="2"/>
  <c r="G274" i="2"/>
  <c r="G296" i="2"/>
  <c r="G293" i="2"/>
  <c r="F2862" i="1"/>
  <c r="B288" i="2" s="1"/>
  <c r="F2714" i="1"/>
  <c r="F2538" i="1"/>
  <c r="H255" i="2" s="1"/>
  <c r="F2683" i="1"/>
  <c r="C270" i="2" s="1"/>
  <c r="F2384" i="1"/>
  <c r="D240" i="2" s="1"/>
  <c r="F2617" i="1"/>
  <c r="G263" i="2" s="1"/>
  <c r="F2462" i="1"/>
  <c r="F2517" i="1"/>
  <c r="G253" i="2" s="1"/>
  <c r="F2671" i="1"/>
  <c r="K268" i="2" s="1"/>
  <c r="F2633" i="1"/>
  <c r="C265" i="2" s="1"/>
  <c r="F2366" i="1"/>
  <c r="F238" i="2" s="1"/>
  <c r="F2474" i="1"/>
  <c r="D249" i="2" s="1"/>
  <c r="F2348" i="1"/>
  <c r="H236" i="2" s="1"/>
  <c r="F2189" i="1"/>
  <c r="I220" i="2" s="1"/>
  <c r="F2451" i="1"/>
  <c r="K246" i="2" s="1"/>
  <c r="F2222" i="1"/>
  <c r="B224" i="2" s="1"/>
  <c r="F2058" i="1"/>
  <c r="H207" i="2" s="1"/>
  <c r="F1503" i="1"/>
  <c r="C152" i="2" s="1"/>
  <c r="F1832" i="1"/>
  <c r="B185" i="2" s="1"/>
  <c r="F1816" i="1"/>
  <c r="F183" i="2" s="1"/>
  <c r="F1617" i="1"/>
  <c r="G163" i="2" s="1"/>
  <c r="F1906" i="1"/>
  <c r="F192" i="2" s="1"/>
  <c r="F2057" i="1"/>
  <c r="G207" i="2" s="1"/>
  <c r="F2059" i="1"/>
  <c r="I207" i="2" s="1"/>
  <c r="F1652" i="1"/>
  <c r="B167" i="2" s="1"/>
  <c r="F1555" i="1"/>
  <c r="E157" i="2" s="1"/>
  <c r="F1348" i="1"/>
  <c r="F1222" i="1"/>
  <c r="B124" i="2" s="1"/>
  <c r="F1285" i="1"/>
  <c r="E130" i="2" s="1"/>
  <c r="F1355" i="1"/>
  <c r="E137" i="2" s="1"/>
  <c r="F1260" i="1"/>
  <c r="J127" i="2" s="1"/>
  <c r="F1241" i="1"/>
  <c r="K125" i="2" s="1"/>
  <c r="F1091" i="1"/>
  <c r="K110" i="2" s="1"/>
  <c r="F1246" i="1"/>
  <c r="F126" i="2" s="1"/>
  <c r="F1206" i="1"/>
  <c r="F122" i="2" s="1"/>
  <c r="F1339" i="1"/>
  <c r="I135" i="2" s="1"/>
  <c r="F1161" i="1"/>
  <c r="K117" i="2" s="1"/>
  <c r="F1032" i="1"/>
  <c r="F1004" i="1"/>
  <c r="D102" i="2" s="1"/>
  <c r="F1057" i="1"/>
  <c r="G107" i="2" s="1"/>
  <c r="F1065" i="1"/>
  <c r="E108" i="2" s="1"/>
  <c r="F854" i="1"/>
  <c r="D87" i="2" s="1"/>
  <c r="F908" i="1"/>
  <c r="H92" i="2" s="1"/>
  <c r="F845" i="1"/>
  <c r="E86" i="2" s="1"/>
  <c r="F966" i="1"/>
  <c r="F98" i="2" s="1"/>
  <c r="F874" i="1"/>
  <c r="D89" i="2" s="1"/>
  <c r="F727" i="1"/>
  <c r="G74" i="2" s="1"/>
  <c r="F849" i="1"/>
  <c r="I86" i="2" s="1"/>
  <c r="F789" i="1"/>
  <c r="I80" i="2" s="1"/>
  <c r="F458" i="1"/>
  <c r="H47" i="2" s="1"/>
  <c r="F744" i="1"/>
  <c r="D76" i="2" s="1"/>
  <c r="F862" i="1"/>
  <c r="B88" i="2" s="1"/>
  <c r="F816" i="1"/>
  <c r="F83" i="2" s="1"/>
  <c r="F710" i="1"/>
  <c r="J72" i="2" s="1"/>
  <c r="F624" i="1"/>
  <c r="D64" i="2" s="1"/>
  <c r="F664" i="1"/>
  <c r="D68" i="2" s="1"/>
  <c r="F608" i="1"/>
  <c r="H62" i="2" s="1"/>
  <c r="F782" i="1"/>
  <c r="B80" i="2" s="1"/>
  <c r="F559" i="1"/>
  <c r="I57" i="2" s="1"/>
  <c r="F431" i="1"/>
  <c r="K44" i="2" s="1"/>
  <c r="F449" i="1"/>
  <c r="F314" i="1"/>
  <c r="D33" i="2" s="1"/>
  <c r="F604" i="1"/>
  <c r="F270" i="1"/>
  <c r="J28" i="2" s="1"/>
  <c r="F494" i="1"/>
  <c r="D51" i="2" s="1"/>
  <c r="F538" i="1"/>
  <c r="H55" i="2" s="1"/>
  <c r="F362" i="1"/>
  <c r="B38" i="2" s="1"/>
  <c r="F295" i="1"/>
  <c r="E31" i="2" s="1"/>
  <c r="F183" i="1"/>
  <c r="C20" i="2" s="1"/>
  <c r="F144" i="1"/>
  <c r="D16" i="2" s="1"/>
  <c r="F448" i="1"/>
  <c r="H46" i="2" s="1"/>
  <c r="F323" i="1"/>
  <c r="C34" i="2" s="1"/>
  <c r="F6" i="1"/>
  <c r="F2" i="2" s="1"/>
  <c r="F123" i="1"/>
  <c r="F14" i="1"/>
  <c r="D3" i="2" s="1"/>
  <c r="B276" i="2"/>
  <c r="C290" i="2"/>
  <c r="G269" i="2"/>
  <c r="K186" i="2"/>
  <c r="D153" i="2"/>
  <c r="K162" i="2"/>
  <c r="D254" i="2"/>
  <c r="C253" i="2"/>
  <c r="H257" i="2"/>
  <c r="E245" i="2"/>
  <c r="C241" i="2"/>
  <c r="K241" i="2"/>
  <c r="J270" i="2"/>
  <c r="I278" i="2"/>
  <c r="J250" i="2"/>
  <c r="B232" i="2"/>
  <c r="E221" i="2"/>
  <c r="F242" i="2"/>
  <c r="G126" i="2"/>
  <c r="F224" i="2"/>
  <c r="F145" i="2"/>
  <c r="F251" i="2"/>
  <c r="F252" i="2"/>
  <c r="F295" i="2"/>
  <c r="C244" i="2"/>
  <c r="C173" i="2"/>
  <c r="G135" i="2"/>
  <c r="G244" i="2"/>
  <c r="E109" i="2"/>
  <c r="B295" i="2"/>
  <c r="J274" i="2"/>
  <c r="H220" i="2"/>
  <c r="J154" i="2"/>
  <c r="K291" i="2"/>
  <c r="H174" i="2"/>
  <c r="D182" i="2"/>
  <c r="F211" i="2"/>
  <c r="F167" i="2"/>
  <c r="B140" i="2"/>
  <c r="I127" i="2"/>
  <c r="I76" i="2"/>
  <c r="B53" i="2"/>
  <c r="I165" i="2"/>
  <c r="I287" i="2"/>
  <c r="I238" i="2"/>
  <c r="D258" i="2"/>
  <c r="C206" i="2"/>
  <c r="I67" i="2"/>
  <c r="B176" i="2"/>
  <c r="I167" i="2"/>
  <c r="F256" i="2"/>
  <c r="E214" i="2"/>
  <c r="C120" i="2"/>
  <c r="J112" i="2"/>
  <c r="F88" i="2"/>
  <c r="K33" i="2"/>
  <c r="K275" i="2"/>
  <c r="K183" i="2"/>
  <c r="K264" i="2"/>
  <c r="K239" i="2"/>
  <c r="K273" i="2"/>
  <c r="E152" i="2"/>
  <c r="K126" i="2"/>
  <c r="I72" i="2"/>
  <c r="I132" i="2"/>
  <c r="I51" i="2"/>
  <c r="C143" i="2"/>
  <c r="G75" i="2"/>
  <c r="K143" i="2"/>
  <c r="C223" i="2"/>
  <c r="H161" i="2"/>
  <c r="F86" i="2"/>
  <c r="I113" i="2"/>
  <c r="D90" i="2"/>
  <c r="C58" i="2"/>
  <c r="H128" i="2"/>
  <c r="J84" i="2"/>
  <c r="H73" i="2"/>
  <c r="B63" i="2"/>
  <c r="I49" i="2"/>
  <c r="E89" i="2"/>
  <c r="E146" i="2"/>
  <c r="E131" i="2"/>
  <c r="E189" i="2"/>
  <c r="E222" i="2"/>
  <c r="E123" i="2"/>
  <c r="H119" i="2"/>
  <c r="B81" i="2"/>
  <c r="H48" i="2"/>
  <c r="C37" i="2"/>
  <c r="G27" i="2"/>
  <c r="F16" i="2"/>
  <c r="D189" i="2"/>
  <c r="D117" i="2"/>
  <c r="D180" i="2"/>
  <c r="D219" i="2"/>
  <c r="H178" i="2"/>
  <c r="H87" i="2"/>
  <c r="K31" i="2"/>
  <c r="C33" i="2"/>
  <c r="C56" i="2"/>
  <c r="C282" i="2"/>
  <c r="C109" i="2"/>
  <c r="C272" i="2"/>
  <c r="C286" i="2"/>
  <c r="C267" i="2"/>
  <c r="B23" i="2"/>
  <c r="B248" i="2"/>
  <c r="B20" i="2"/>
  <c r="B227" i="2"/>
  <c r="B231" i="2"/>
  <c r="C72" i="2"/>
  <c r="K12" i="2"/>
  <c r="B153" i="2"/>
  <c r="K95" i="2"/>
  <c r="H45" i="2"/>
  <c r="C97" i="2"/>
  <c r="J94" i="2"/>
  <c r="J38" i="2"/>
  <c r="H237" i="2"/>
  <c r="D103" i="2"/>
  <c r="H165" i="2"/>
  <c r="H135" i="2"/>
  <c r="H172" i="2"/>
  <c r="H225" i="2"/>
  <c r="H243" i="2"/>
  <c r="D28" i="2"/>
  <c r="D2956" i="1"/>
  <c r="F147" i="2"/>
  <c r="J231" i="2"/>
  <c r="J203" i="2"/>
  <c r="J211" i="2"/>
  <c r="J133" i="2"/>
  <c r="J266" i="2"/>
  <c r="J247" i="2"/>
  <c r="J233" i="2"/>
  <c r="J271" i="2"/>
  <c r="E208" i="2"/>
  <c r="F24" i="2"/>
  <c r="G19" i="2"/>
  <c r="D2965" i="1"/>
  <c r="C151" i="2"/>
  <c r="K47" i="2"/>
  <c r="K17" i="2"/>
  <c r="G77" i="2"/>
  <c r="G48" i="2"/>
  <c r="G42" i="2"/>
  <c r="G81" i="2"/>
  <c r="G228" i="2"/>
  <c r="G33" i="2"/>
  <c r="G171" i="2"/>
  <c r="G149" i="2"/>
  <c r="G284" i="2"/>
  <c r="F2860" i="1"/>
  <c r="J287" i="2" s="1"/>
  <c r="F2887" i="1"/>
  <c r="G290" i="2" s="1"/>
  <c r="F2556" i="1"/>
  <c r="F257" i="2" s="1"/>
  <c r="F2681" i="1"/>
  <c r="K269" i="2" s="1"/>
  <c r="F2600" i="1"/>
  <c r="J261" i="2" s="1"/>
  <c r="F2049" i="1"/>
  <c r="I206" i="2" s="1"/>
  <c r="F2262" i="1"/>
  <c r="B228" i="2" s="1"/>
  <c r="F2570" i="1"/>
  <c r="J258" i="2" s="1"/>
  <c r="F2635" i="1"/>
  <c r="E265" i="2" s="1"/>
  <c r="F2287" i="1"/>
  <c r="G230" i="2" s="1"/>
  <c r="F2550" i="1"/>
  <c r="J256" i="2" s="1"/>
  <c r="F2054" i="1"/>
  <c r="F2136" i="1"/>
  <c r="F215" i="2" s="1"/>
  <c r="F2117" i="1"/>
  <c r="G213" i="2" s="1"/>
  <c r="F1574" i="1"/>
  <c r="D159" i="2" s="1"/>
  <c r="F1423" i="1"/>
  <c r="C144" i="2" s="1"/>
  <c r="F1621" i="1"/>
  <c r="K163" i="2" s="1"/>
  <c r="F2019" i="1"/>
  <c r="I203" i="2" s="1"/>
  <c r="F2046" i="1"/>
  <c r="F206" i="2" s="1"/>
  <c r="F1902" i="1"/>
  <c r="B192" i="2" s="1"/>
  <c r="F1684" i="1"/>
  <c r="D170" i="2" s="1"/>
  <c r="F1422" i="1"/>
  <c r="B144" i="2" s="1"/>
  <c r="F1421" i="1"/>
  <c r="F1298" i="1"/>
  <c r="H131" i="2" s="1"/>
  <c r="F1350" i="1"/>
  <c r="J136" i="2" s="1"/>
  <c r="F1425" i="1"/>
  <c r="E144" i="2" s="1"/>
  <c r="F1212" i="1"/>
  <c r="B123" i="2" s="1"/>
  <c r="F1052" i="1"/>
  <c r="B107" i="2" s="1"/>
  <c r="F1061" i="1"/>
  <c r="K107" i="2" s="1"/>
  <c r="F927" i="1"/>
  <c r="G94" i="2" s="1"/>
  <c r="F910" i="1"/>
  <c r="J92" i="2" s="1"/>
  <c r="F971" i="1"/>
  <c r="K98" i="2" s="1"/>
  <c r="F898" i="1"/>
  <c r="H91" i="2" s="1"/>
  <c r="F928" i="1"/>
  <c r="H94" i="2" s="1"/>
  <c r="F598" i="1"/>
  <c r="H61" i="2" s="1"/>
  <c r="F570" i="1"/>
  <c r="J58" i="2" s="1"/>
  <c r="F745" i="1"/>
  <c r="E76" i="2" s="1"/>
  <c r="F821" i="1"/>
  <c r="K83" i="2" s="1"/>
  <c r="F128" i="1"/>
  <c r="H14" i="2" s="1"/>
  <c r="F420" i="1"/>
  <c r="J43" i="2" s="1"/>
  <c r="F330" i="1"/>
  <c r="J34" i="2" s="1"/>
  <c r="F200" i="1"/>
  <c r="J21" i="2" s="1"/>
  <c r="F28" i="1"/>
  <c r="H4" i="2" s="1"/>
  <c r="F547" i="1"/>
  <c r="G56" i="2" s="1"/>
  <c r="F366" i="1"/>
  <c r="F38" i="2" s="1"/>
  <c r="F374" i="1"/>
  <c r="D39" i="2" s="1"/>
  <c r="F637" i="1"/>
  <c r="G65" i="2" s="1"/>
  <c r="F566" i="1"/>
  <c r="F58" i="2" s="1"/>
  <c r="F278" i="1"/>
  <c r="H29" i="2" s="1"/>
  <c r="F121" i="1"/>
  <c r="K13" i="2" s="1"/>
  <c r="F29" i="1"/>
  <c r="I4" i="2" s="1"/>
  <c r="F155" i="1"/>
  <c r="E17" i="2" s="1"/>
  <c r="F259" i="1"/>
  <c r="I27" i="2" s="1"/>
  <c r="F197" i="1"/>
  <c r="G21" i="2" s="1"/>
  <c r="F8" i="1"/>
  <c r="H2" i="2" s="1"/>
  <c r="F275" i="2"/>
  <c r="D149" i="2"/>
  <c r="H248" i="2"/>
  <c r="D212" i="2"/>
  <c r="D287" i="2"/>
  <c r="J204" i="2"/>
  <c r="H286" i="2"/>
  <c r="H288" i="2"/>
  <c r="H270" i="2"/>
  <c r="K193" i="2"/>
  <c r="B172" i="2"/>
  <c r="H294" i="2"/>
  <c r="J192" i="2"/>
  <c r="C251" i="2"/>
  <c r="D290" i="2"/>
  <c r="B268" i="2"/>
  <c r="D266" i="2"/>
  <c r="E271" i="2"/>
  <c r="D232" i="2"/>
  <c r="G187" i="2"/>
  <c r="E229" i="2"/>
  <c r="F164" i="2"/>
  <c r="K272" i="2"/>
  <c r="I262" i="2"/>
  <c r="H224" i="2"/>
  <c r="E199" i="2"/>
  <c r="H170" i="2"/>
  <c r="G136" i="2"/>
  <c r="F261" i="2"/>
  <c r="J291" i="2"/>
  <c r="J220" i="2"/>
  <c r="F173" i="2"/>
  <c r="J244" i="2"/>
  <c r="J212" i="2"/>
  <c r="E186" i="2"/>
  <c r="B158" i="2"/>
  <c r="J102" i="2"/>
  <c r="D209" i="2"/>
  <c r="K188" i="2"/>
  <c r="D184" i="2"/>
  <c r="F142" i="2"/>
  <c r="J273" i="2"/>
  <c r="D177" i="2"/>
  <c r="I164" i="2"/>
  <c r="B116" i="2"/>
  <c r="J74" i="2"/>
  <c r="F46" i="2"/>
  <c r="I219" i="2"/>
  <c r="I275" i="2"/>
  <c r="F258" i="2"/>
  <c r="D206" i="2"/>
  <c r="B155" i="2"/>
  <c r="F116" i="2"/>
  <c r="K67" i="2"/>
  <c r="C176" i="2"/>
  <c r="K256" i="2"/>
  <c r="H256" i="2"/>
  <c r="G214" i="2"/>
  <c r="F118" i="2"/>
  <c r="J86" i="2"/>
  <c r="J61" i="2"/>
  <c r="K30" i="2"/>
  <c r="K277" i="2"/>
  <c r="K157" i="2"/>
  <c r="K234" i="2"/>
  <c r="K251" i="2"/>
  <c r="D204" i="2"/>
  <c r="G152" i="2"/>
  <c r="H120" i="2"/>
  <c r="D72" i="2"/>
  <c r="K132" i="2"/>
  <c r="K92" i="2"/>
  <c r="C51" i="2"/>
  <c r="B137" i="2"/>
  <c r="D62" i="2"/>
  <c r="D223" i="2"/>
  <c r="F161" i="2"/>
  <c r="E166" i="2"/>
  <c r="E106" i="2"/>
  <c r="D56" i="2"/>
  <c r="D18" i="2"/>
  <c r="K84" i="2"/>
  <c r="B49" i="2"/>
  <c r="E133" i="2"/>
  <c r="E213" i="2"/>
  <c r="E192" i="2"/>
  <c r="E267" i="2"/>
  <c r="K222" i="2"/>
  <c r="I119" i="2"/>
  <c r="B65" i="2"/>
  <c r="B31" i="2"/>
  <c r="I25" i="2"/>
  <c r="I16" i="2"/>
  <c r="D35" i="2"/>
  <c r="D205" i="2"/>
  <c r="D179" i="2"/>
  <c r="D273" i="2"/>
  <c r="D231" i="2"/>
  <c r="I87" i="2"/>
  <c r="C132" i="2"/>
  <c r="C262" i="2"/>
  <c r="C142" i="2"/>
  <c r="C158" i="2"/>
  <c r="C133" i="2"/>
  <c r="C277" i="2"/>
  <c r="H118" i="2"/>
  <c r="B105" i="2"/>
  <c r="B209" i="2"/>
  <c r="B89" i="2"/>
  <c r="B96" i="2"/>
  <c r="B165" i="2"/>
  <c r="B267" i="2"/>
  <c r="B249" i="2"/>
  <c r="C139" i="2"/>
  <c r="C55" i="2"/>
  <c r="B12" i="2"/>
  <c r="D134" i="2"/>
  <c r="E101" i="2"/>
  <c r="B95" i="2"/>
  <c r="C41" i="2"/>
  <c r="B94" i="2"/>
  <c r="I13" i="2"/>
  <c r="K189" i="2"/>
  <c r="F103" i="2"/>
  <c r="D38" i="2"/>
  <c r="H57" i="2"/>
  <c r="H169" i="2"/>
  <c r="H197" i="2"/>
  <c r="H264" i="2"/>
  <c r="K156" i="2"/>
  <c r="C227" i="2"/>
  <c r="E28" i="2"/>
  <c r="F2937" i="1"/>
  <c r="G295" i="2" s="1"/>
  <c r="H147" i="2"/>
  <c r="B32" i="2"/>
  <c r="J11" i="2"/>
  <c r="C107" i="2"/>
  <c r="J33" i="2"/>
  <c r="J75" i="2"/>
  <c r="J254" i="2"/>
  <c r="J265" i="2"/>
  <c r="J149" i="2"/>
  <c r="J121" i="2"/>
  <c r="J277" i="2"/>
  <c r="J296" i="2"/>
  <c r="J255" i="2"/>
  <c r="E36" i="2"/>
  <c r="H24" i="2"/>
  <c r="H19" i="2"/>
  <c r="E151" i="2"/>
  <c r="C47" i="2"/>
  <c r="F17" i="2"/>
  <c r="G93" i="2"/>
  <c r="G104" i="2"/>
  <c r="G212" i="2"/>
  <c r="G142" i="2"/>
  <c r="G240" i="2"/>
  <c r="G158" i="2"/>
  <c r="G227" i="2"/>
  <c r="G289" i="2"/>
  <c r="F2766" i="1"/>
  <c r="F278" i="2" s="1"/>
  <c r="F2626" i="1"/>
  <c r="F264" i="2" s="1"/>
  <c r="F2716" i="1"/>
  <c r="F273" i="2" s="1"/>
  <c r="F2528" i="1"/>
  <c r="H254" i="2" s="1"/>
  <c r="F2587" i="1"/>
  <c r="G260" i="2" s="1"/>
  <c r="F1971" i="1"/>
  <c r="K198" i="2" s="1"/>
  <c r="F2372" i="1"/>
  <c r="B239" i="2" s="1"/>
  <c r="F2491" i="1"/>
  <c r="F2521" i="1"/>
  <c r="K253" i="2" s="1"/>
  <c r="F2361" i="1"/>
  <c r="K237" i="2" s="1"/>
  <c r="F2412" i="1"/>
  <c r="B243" i="2" s="1"/>
  <c r="F2220" i="1"/>
  <c r="J223" i="2" s="1"/>
  <c r="F1909" i="1"/>
  <c r="I192" i="2" s="1"/>
  <c r="F2397" i="1"/>
  <c r="G241" i="2" s="1"/>
  <c r="F2311" i="1"/>
  <c r="K232" i="2" s="1"/>
  <c r="F2050" i="1"/>
  <c r="J206" i="2" s="1"/>
  <c r="F2178" i="1"/>
  <c r="H219" i="2" s="1"/>
  <c r="F2077" i="1"/>
  <c r="G209" i="2" s="1"/>
  <c r="F2456" i="1"/>
  <c r="F247" i="2" s="1"/>
  <c r="F2219" i="1"/>
  <c r="I223" i="2" s="1"/>
  <c r="F1571" i="1"/>
  <c r="K158" i="2" s="1"/>
  <c r="F1609" i="1"/>
  <c r="I162" i="2" s="1"/>
  <c r="F1965" i="1"/>
  <c r="E198" i="2" s="1"/>
  <c r="F1787" i="1"/>
  <c r="G180" i="2" s="1"/>
  <c r="F2249" i="1"/>
  <c r="I226" i="2" s="1"/>
  <c r="F2005" i="1"/>
  <c r="E202" i="2" s="1"/>
  <c r="F2114" i="1"/>
  <c r="D213" i="2" s="1"/>
  <c r="F2025" i="1"/>
  <c r="E204" i="2" s="1"/>
  <c r="F2036" i="1"/>
  <c r="F205" i="2" s="1"/>
  <c r="F1727" i="1"/>
  <c r="G174" i="2" s="1"/>
  <c r="F1522" i="1"/>
  <c r="B154" i="2" s="1"/>
  <c r="F2201" i="1"/>
  <c r="K221" i="2" s="1"/>
  <c r="F1627" i="1"/>
  <c r="G164" i="2" s="1"/>
  <c r="F1353" i="1"/>
  <c r="C137" i="2" s="1"/>
  <c r="F1969" i="1"/>
  <c r="I198" i="2" s="1"/>
  <c r="F1810" i="1"/>
  <c r="J182" i="2" s="1"/>
  <c r="F1616" i="1"/>
  <c r="F163" i="2" s="1"/>
  <c r="F1900" i="1"/>
  <c r="J191" i="2" s="1"/>
  <c r="F1828" i="1"/>
  <c r="H184" i="2" s="1"/>
  <c r="F1602" i="1"/>
  <c r="B162" i="2" s="1"/>
  <c r="F1996" i="1"/>
  <c r="F201" i="2" s="1"/>
  <c r="F1528" i="1"/>
  <c r="H154" i="2" s="1"/>
  <c r="F2330" i="1"/>
  <c r="J234" i="2" s="1"/>
  <c r="F1683" i="1"/>
  <c r="C170" i="2" s="1"/>
  <c r="F2177" i="1"/>
  <c r="G219" i="2" s="1"/>
  <c r="F1419" i="1"/>
  <c r="F1771" i="1"/>
  <c r="K178" i="2" s="1"/>
  <c r="F1575" i="1"/>
  <c r="E159" i="2" s="1"/>
  <c r="F1333" i="1"/>
  <c r="C135" i="2" s="1"/>
  <c r="F1565" i="1"/>
  <c r="E158" i="2" s="1"/>
  <c r="F1196" i="1"/>
  <c r="F121" i="2" s="1"/>
  <c r="F2069" i="1"/>
  <c r="I208" i="2" s="1"/>
  <c r="F1552" i="1"/>
  <c r="B157" i="2" s="1"/>
  <c r="F1374" i="1"/>
  <c r="D139" i="2" s="1"/>
  <c r="F1305" i="1"/>
  <c r="E132" i="2" s="1"/>
  <c r="F1494" i="1"/>
  <c r="F1332" i="1"/>
  <c r="B135" i="2" s="1"/>
  <c r="F1749" i="1"/>
  <c r="I176" i="2" s="1"/>
  <c r="F1122" i="1"/>
  <c r="B114" i="2" s="1"/>
  <c r="F1087" i="1"/>
  <c r="G110" i="2" s="1"/>
  <c r="F1203" i="1"/>
  <c r="C122" i="2" s="1"/>
  <c r="F1099" i="1"/>
  <c r="I111" i="2" s="1"/>
  <c r="F1077" i="1"/>
  <c r="G109" i="2" s="1"/>
  <c r="F1062" i="1"/>
  <c r="B108" i="2" s="1"/>
  <c r="F763" i="1"/>
  <c r="C78" i="2" s="1"/>
  <c r="F1028" i="1"/>
  <c r="H104" i="2" s="1"/>
  <c r="F998" i="1"/>
  <c r="H101" i="2" s="1"/>
  <c r="F977" i="1"/>
  <c r="F1140" i="1"/>
  <c r="J115" i="2" s="1"/>
  <c r="F1035" i="1"/>
  <c r="E105" i="2" s="1"/>
  <c r="F606" i="1"/>
  <c r="F62" i="2" s="1"/>
  <c r="F508" i="1"/>
  <c r="H52" i="2" s="1"/>
  <c r="F233" i="1"/>
  <c r="C25" i="2" s="1"/>
  <c r="F11" i="1"/>
  <c r="K2" i="2" s="1"/>
  <c r="F20" i="1"/>
  <c r="J3" i="2" s="1"/>
  <c r="F12" i="1"/>
  <c r="B3" i="2" s="1"/>
  <c r="F535" i="1"/>
  <c r="E55" i="2" s="1"/>
  <c r="F58" i="1"/>
  <c r="H7" i="2" s="1"/>
  <c r="I286" i="2"/>
  <c r="I177" i="2"/>
  <c r="G270" i="2"/>
  <c r="J290" i="2"/>
  <c r="G249" i="2"/>
  <c r="J180" i="2"/>
  <c r="F254" i="2"/>
  <c r="F286" i="2"/>
  <c r="F283" i="2"/>
  <c r="J240" i="2"/>
  <c r="G165" i="2"/>
  <c r="K280" i="2"/>
  <c r="C217" i="2"/>
  <c r="B217" i="2"/>
  <c r="I239" i="2"/>
  <c r="D247" i="2"/>
  <c r="C281" i="2"/>
  <c r="D268" i="2"/>
  <c r="B245" i="2"/>
  <c r="I245" i="2"/>
  <c r="G257" i="2"/>
  <c r="B250" i="2"/>
  <c r="E232" i="2"/>
  <c r="G221" i="2"/>
  <c r="H187" i="2"/>
  <c r="J159" i="2"/>
  <c r="H262" i="2"/>
  <c r="I224" i="2"/>
  <c r="C169" i="2"/>
  <c r="D135" i="2"/>
  <c r="E83" i="2"/>
  <c r="F267" i="2"/>
  <c r="J209" i="2"/>
  <c r="E170" i="2"/>
  <c r="D131" i="2"/>
  <c r="C154" i="2"/>
  <c r="D96" i="2"/>
  <c r="E295" i="2"/>
  <c r="B274" i="2"/>
  <c r="E184" i="2"/>
  <c r="I136" i="2"/>
  <c r="I230" i="2"/>
  <c r="C177" i="2"/>
  <c r="E211" i="2"/>
  <c r="C155" i="2"/>
  <c r="E111" i="2"/>
  <c r="F74" i="2"/>
  <c r="I46" i="2"/>
  <c r="I252" i="2"/>
  <c r="I231" i="2"/>
  <c r="I171" i="2"/>
  <c r="I234" i="2"/>
  <c r="I237" i="2"/>
  <c r="G258" i="2"/>
  <c r="D155" i="2"/>
  <c r="H116" i="2"/>
  <c r="B246" i="2"/>
  <c r="K160" i="2"/>
  <c r="D152" i="2"/>
  <c r="G118" i="2"/>
  <c r="I112" i="2"/>
  <c r="B85" i="2"/>
  <c r="E61" i="2"/>
  <c r="C26" i="2"/>
  <c r="K45" i="2"/>
  <c r="K284" i="2"/>
  <c r="K172" i="2"/>
  <c r="K267" i="2"/>
  <c r="J120" i="2"/>
  <c r="F85" i="2"/>
  <c r="I48" i="2"/>
  <c r="B132" i="2"/>
  <c r="D91" i="2"/>
  <c r="F51" i="2"/>
  <c r="C129" i="2"/>
  <c r="F137" i="2"/>
  <c r="B129" i="2"/>
  <c r="F223" i="2"/>
  <c r="J62" i="2"/>
  <c r="H149" i="2"/>
  <c r="D124" i="2"/>
  <c r="E99" i="2"/>
  <c r="B84" i="2"/>
  <c r="H53" i="2"/>
  <c r="G16" i="2"/>
  <c r="F2926" i="1"/>
  <c r="F294" i="2" s="1"/>
  <c r="E112" i="2"/>
  <c r="C84" i="2"/>
  <c r="E73" i="2"/>
  <c r="E49" i="2"/>
  <c r="E81" i="2"/>
  <c r="E249" i="2"/>
  <c r="E227" i="2"/>
  <c r="E216" i="2"/>
  <c r="E270" i="2"/>
  <c r="E261" i="2"/>
  <c r="E277" i="2"/>
  <c r="K119" i="2"/>
  <c r="D65" i="2"/>
  <c r="B44" i="2"/>
  <c r="C29" i="2"/>
  <c r="B25" i="2"/>
  <c r="C14" i="2"/>
  <c r="D272" i="2"/>
  <c r="D46" i="2"/>
  <c r="D237" i="2"/>
  <c r="D239" i="2"/>
  <c r="D275" i="2"/>
  <c r="D243" i="2"/>
  <c r="D2958" i="1"/>
  <c r="B171" i="2"/>
  <c r="J87" i="2"/>
  <c r="C138" i="2"/>
  <c r="C157" i="2"/>
  <c r="C69" i="2"/>
  <c r="C228" i="2"/>
  <c r="C247" i="2"/>
  <c r="C288" i="2"/>
  <c r="C39" i="2"/>
  <c r="B111" i="2"/>
  <c r="B201" i="2"/>
  <c r="B173" i="2"/>
  <c r="B102" i="2"/>
  <c r="B221" i="2"/>
  <c r="B280" i="2"/>
  <c r="B263" i="2"/>
  <c r="B252" i="2"/>
  <c r="H50" i="2"/>
  <c r="D12" i="2"/>
  <c r="F101" i="2"/>
  <c r="K38" i="2"/>
  <c r="H85" i="2"/>
  <c r="H181" i="2"/>
  <c r="H103" i="2"/>
  <c r="E38" i="2"/>
  <c r="H63" i="2"/>
  <c r="H217" i="2"/>
  <c r="H228" i="2"/>
  <c r="J181" i="2"/>
  <c r="F28" i="2"/>
  <c r="K147" i="2"/>
  <c r="F32" i="2"/>
  <c r="D2959" i="1"/>
  <c r="J49" i="2"/>
  <c r="J64" i="2"/>
  <c r="J98" i="2"/>
  <c r="J82" i="2"/>
  <c r="J60" i="2"/>
  <c r="J193" i="2"/>
  <c r="J229" i="2"/>
  <c r="J148" i="2"/>
  <c r="J284" i="2"/>
  <c r="J219" i="2"/>
  <c r="J241" i="2"/>
  <c r="F2795" i="1"/>
  <c r="E281" i="2" s="1"/>
  <c r="H208" i="2"/>
  <c r="G36" i="2"/>
  <c r="J24" i="2"/>
  <c r="J19" i="2"/>
  <c r="D2953" i="1"/>
  <c r="H151" i="2"/>
  <c r="G17" i="2"/>
  <c r="F2912" i="1"/>
  <c r="B293" i="2" s="1"/>
  <c r="G106" i="2"/>
  <c r="G95" i="2"/>
  <c r="G216" i="2"/>
  <c r="G62" i="2"/>
  <c r="G182" i="2"/>
  <c r="G157" i="2"/>
  <c r="G291" i="2"/>
  <c r="G162" i="2"/>
  <c r="F2946" i="1"/>
  <c r="F296" i="2" s="1"/>
  <c r="F2874" i="1"/>
  <c r="D289" i="2" s="1"/>
  <c r="F2824" i="1"/>
  <c r="D284" i="2" s="1"/>
  <c r="F2891" i="1"/>
  <c r="K290" i="2" s="1"/>
  <c r="F2763" i="1"/>
  <c r="C278" i="2" s="1"/>
  <c r="F2663" i="1"/>
  <c r="C268" i="2" s="1"/>
  <c r="F2738" i="1"/>
  <c r="H275" i="2" s="1"/>
  <c r="F2552" i="1"/>
  <c r="B257" i="2" s="1"/>
  <c r="F2589" i="1"/>
  <c r="I260" i="2" s="1"/>
  <c r="F2768" i="1"/>
  <c r="H278" i="2" s="1"/>
  <c r="F2586" i="1"/>
  <c r="F260" i="2" s="1"/>
  <c r="F2774" i="1"/>
  <c r="D279" i="2" s="1"/>
  <c r="F2554" i="1"/>
  <c r="D257" i="2" s="1"/>
  <c r="F2455" i="1"/>
  <c r="F2715" i="1"/>
  <c r="E273" i="2" s="1"/>
  <c r="F2661" i="1"/>
  <c r="F2525" i="1"/>
  <c r="E254" i="2" s="1"/>
  <c r="F2382" i="1"/>
  <c r="B240" i="2" s="1"/>
  <c r="F2512" i="1"/>
  <c r="B253" i="2" s="1"/>
  <c r="F2569" i="1"/>
  <c r="I258" i="2" s="1"/>
  <c r="F2452" i="1"/>
  <c r="B247" i="2" s="1"/>
  <c r="F2365" i="1"/>
  <c r="E238" i="2" s="1"/>
  <c r="F2256" i="1"/>
  <c r="F227" i="2" s="1"/>
  <c r="F2232" i="1"/>
  <c r="B225" i="2" s="1"/>
  <c r="F2392" i="1"/>
  <c r="B241" i="2" s="1"/>
  <c r="F2028" i="1"/>
  <c r="H204" i="2" s="1"/>
  <c r="F2322" i="1"/>
  <c r="B234" i="2" s="1"/>
  <c r="F2191" i="1"/>
  <c r="K220" i="2" s="1"/>
  <c r="F1781" i="1"/>
  <c r="K179" i="2" s="1"/>
  <c r="F2285" i="1"/>
  <c r="E230" i="2" s="1"/>
  <c r="F2260" i="1"/>
  <c r="J227" i="2" s="1"/>
  <c r="F1863" i="1"/>
  <c r="C188" i="2" s="1"/>
  <c r="F1811" i="1"/>
  <c r="K182" i="2" s="1"/>
  <c r="F1914" i="1"/>
  <c r="D193" i="2" s="1"/>
  <c r="F1890" i="1"/>
  <c r="J190" i="2" s="1"/>
  <c r="F1899" i="1"/>
  <c r="I191" i="2" s="1"/>
  <c r="F2126" i="1"/>
  <c r="F214" i="2" s="1"/>
  <c r="F1889" i="1"/>
  <c r="I190" i="2" s="1"/>
  <c r="F1806" i="1"/>
  <c r="F182" i="2" s="1"/>
  <c r="F1724" i="1"/>
  <c r="D174" i="2" s="1"/>
  <c r="F1780" i="1"/>
  <c r="J179" i="2" s="1"/>
  <c r="F1658" i="1"/>
  <c r="H167" i="2" s="1"/>
  <c r="F1589" i="1"/>
  <c r="I160" i="2" s="1"/>
  <c r="F1815" i="1"/>
  <c r="E183" i="2" s="1"/>
  <c r="F2270" i="1"/>
  <c r="J228" i="2" s="1"/>
  <c r="F1956" i="1"/>
  <c r="F197" i="2" s="1"/>
  <c r="F1593" i="1"/>
  <c r="C161" i="2" s="1"/>
  <c r="F1443" i="1"/>
  <c r="C146" i="2" s="1"/>
  <c r="F1647" i="1"/>
  <c r="G166" i="2" s="1"/>
  <c r="F1795" i="1"/>
  <c r="E181" i="2" s="1"/>
  <c r="F2923" i="1"/>
  <c r="C294" i="2" s="1"/>
  <c r="F2002" i="1"/>
  <c r="B202" i="2" s="1"/>
  <c r="F1681" i="1"/>
  <c r="K169" i="2" s="1"/>
  <c r="F1887" i="1"/>
  <c r="G190" i="2" s="1"/>
  <c r="F1998" i="1"/>
  <c r="H201" i="2" s="1"/>
  <c r="F1755" i="1"/>
  <c r="E177" i="2" s="1"/>
  <c r="F2119" i="1"/>
  <c r="I213" i="2" s="1"/>
  <c r="F1782" i="1"/>
  <c r="B180" i="2" s="1"/>
  <c r="F1361" i="1"/>
  <c r="K137" i="2" s="1"/>
  <c r="F1453" i="1"/>
  <c r="C147" i="2" s="1"/>
  <c r="F1479" i="1"/>
  <c r="I149" i="2" s="1"/>
  <c r="F1384" i="1"/>
  <c r="D140" i="2" s="1"/>
  <c r="F1883" i="1"/>
  <c r="C190" i="2" s="1"/>
  <c r="F1822" i="1"/>
  <c r="B184" i="2" s="1"/>
  <c r="F1952" i="1"/>
  <c r="B197" i="2" s="1"/>
  <c r="F1696" i="1"/>
  <c r="F171" i="2" s="1"/>
  <c r="F1548" i="1"/>
  <c r="H156" i="2" s="1"/>
  <c r="F1358" i="1"/>
  <c r="H137" i="2" s="1"/>
  <c r="F1306" i="1"/>
  <c r="F132" i="2" s="1"/>
  <c r="F1106" i="1"/>
  <c r="F112" i="2" s="1"/>
  <c r="F1594" i="1"/>
  <c r="D161" i="2" s="1"/>
  <c r="F1970" i="1"/>
  <c r="J198" i="2" s="1"/>
  <c r="F1484" i="1"/>
  <c r="D150" i="2" s="1"/>
  <c r="F1319" i="1"/>
  <c r="I133" i="2" s="1"/>
  <c r="F1189" i="1"/>
  <c r="I120" i="2" s="1"/>
  <c r="F1535" i="1"/>
  <c r="E155" i="2" s="1"/>
  <c r="F1531" i="1"/>
  <c r="K154" i="2" s="1"/>
  <c r="F1282" i="1"/>
  <c r="B130" i="2" s="1"/>
  <c r="F1318" i="1"/>
  <c r="H133" i="2" s="1"/>
  <c r="F1492" i="1"/>
  <c r="B151" i="2" s="1"/>
  <c r="F1133" i="1"/>
  <c r="C115" i="2" s="1"/>
  <c r="F1710" i="1"/>
  <c r="J172" i="2" s="1"/>
  <c r="F1175" i="1"/>
  <c r="E119" i="2" s="1"/>
  <c r="F1715" i="1"/>
  <c r="E173" i="2" s="1"/>
  <c r="F1745" i="1"/>
  <c r="E176" i="2" s="1"/>
  <c r="F1155" i="1"/>
  <c r="E117" i="2" s="1"/>
  <c r="F1030" i="1"/>
  <c r="J104" i="2" s="1"/>
  <c r="F994" i="1"/>
  <c r="D101" i="2" s="1"/>
  <c r="F1048" i="1"/>
  <c r="H106" i="2" s="1"/>
  <c r="F972" i="1"/>
  <c r="B99" i="2" s="1"/>
  <c r="F888" i="1"/>
  <c r="H90" i="2" s="1"/>
  <c r="F896" i="1"/>
  <c r="F91" i="2" s="1"/>
  <c r="F834" i="1"/>
  <c r="D85" i="2" s="1"/>
  <c r="F1044" i="1"/>
  <c r="D106" i="2" s="1"/>
  <c r="F963" i="1"/>
  <c r="C98" i="2" s="1"/>
  <c r="F784" i="1"/>
  <c r="D80" i="2" s="1"/>
  <c r="F725" i="1"/>
  <c r="E74" i="2" s="1"/>
  <c r="F596" i="1"/>
  <c r="F61" i="2" s="1"/>
  <c r="F957" i="1"/>
  <c r="G97" i="2" s="1"/>
  <c r="F817" i="1"/>
  <c r="G83" i="2" s="1"/>
  <c r="F776" i="1"/>
  <c r="F79" i="2" s="1"/>
  <c r="F615" i="1"/>
  <c r="E63" i="2" s="1"/>
  <c r="F669" i="1"/>
  <c r="I68" i="2" s="1"/>
  <c r="F832" i="1"/>
  <c r="F777" i="1"/>
  <c r="G79" i="2" s="1"/>
  <c r="F513" i="1"/>
  <c r="C53" i="2" s="1"/>
  <c r="F621" i="1"/>
  <c r="K63" i="2" s="1"/>
  <c r="F399" i="1"/>
  <c r="I41" i="2" s="1"/>
  <c r="F346" i="1"/>
  <c r="F36" i="2" s="1"/>
  <c r="F130" i="1"/>
  <c r="J14" i="2" s="1"/>
  <c r="F390" i="1"/>
  <c r="J40" i="2" s="1"/>
  <c r="F626" i="1"/>
  <c r="F64" i="2" s="1"/>
  <c r="F698" i="1"/>
  <c r="H71" i="2" s="1"/>
  <c r="F442" i="1"/>
  <c r="B46" i="2" s="1"/>
  <c r="F224" i="1"/>
  <c r="D24" i="2" s="1"/>
  <c r="F327" i="1"/>
  <c r="G34" i="2" s="1"/>
  <c r="F507" i="1"/>
  <c r="G52" i="2" s="1"/>
  <c r="F466" i="1"/>
  <c r="F48" i="2" s="1"/>
  <c r="F428" i="1"/>
  <c r="H44" i="2" s="1"/>
  <c r="F572" i="1"/>
  <c r="B59" i="2" s="1"/>
  <c r="F222" i="1"/>
  <c r="B24" i="2" s="1"/>
  <c r="F126" i="1"/>
  <c r="F14" i="2" s="1"/>
  <c r="F203" i="1"/>
  <c r="C22" i="2" s="1"/>
  <c r="F247" i="1"/>
  <c r="G26" i="2" s="1"/>
  <c r="F7" i="1"/>
  <c r="G2" i="2" s="1"/>
  <c r="F486" i="1"/>
  <c r="F50" i="2" s="1"/>
  <c r="F44" i="1"/>
  <c r="D6" i="2" s="1"/>
  <c r="F214" i="1"/>
  <c r="D23" i="2" s="1"/>
  <c r="F90" i="1"/>
  <c r="J10" i="2" s="1"/>
  <c r="F311" i="1"/>
  <c r="K32" i="2" s="1"/>
  <c r="J200" i="2" l="1"/>
  <c r="K250" i="2"/>
  <c r="F2971" i="1"/>
  <c r="E2971" i="1"/>
  <c r="E2962" i="1"/>
  <c r="F2962" i="1"/>
  <c r="E2954" i="1"/>
  <c r="F2954" i="1"/>
  <c r="D297" i="2" s="1"/>
  <c r="E2958" i="1"/>
  <c r="F2958" i="1"/>
  <c r="H297" i="2" s="1"/>
  <c r="E2952" i="1"/>
  <c r="F2952" i="1"/>
  <c r="B297" i="2" s="1"/>
  <c r="G250" i="2"/>
  <c r="F2963" i="1"/>
  <c r="E2963" i="1"/>
  <c r="E2960" i="1"/>
  <c r="F2960" i="1"/>
  <c r="J297" i="2" s="1"/>
  <c r="E2955" i="1"/>
  <c r="F2955" i="1"/>
  <c r="E297" i="2" s="1"/>
  <c r="F2959" i="1"/>
  <c r="I297" i="2" s="1"/>
  <c r="E2959" i="1"/>
  <c r="I110" i="2"/>
  <c r="E2970" i="1"/>
  <c r="F2970" i="1"/>
  <c r="F2953" i="1"/>
  <c r="C297" i="2" s="1"/>
  <c r="E2953" i="1"/>
  <c r="E2961" i="1"/>
  <c r="F2961" i="1"/>
  <c r="K297" i="2" s="1"/>
  <c r="E2956" i="1"/>
  <c r="F2956" i="1"/>
  <c r="F297" i="2" s="1"/>
  <c r="E2968" i="1"/>
  <c r="F2968" i="1"/>
  <c r="F2957" i="1"/>
  <c r="G297" i="2" s="1"/>
  <c r="E2957" i="1"/>
  <c r="E2965" i="1"/>
  <c r="F2965" i="1"/>
  <c r="E2964" i="1"/>
  <c r="F296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Gavin Sharkey</author>
  </authors>
  <commentList>
    <comment ref="A2952" authorId="0" shapeId="0" xr:uid="{99402248-E8C3-4149-8C85-F9A76DCF0AA4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53" authorId="0" shapeId="0" xr:uid="{8739F90C-320C-4F3C-B0EE-6127E24018D9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54" authorId="0" shapeId="0" xr:uid="{FF9F4FB4-5BE5-4822-909B-B7CC68CCD2C2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55" authorId="0" shapeId="0" xr:uid="{B38DC8B2-B49B-4DED-B98B-A4D044E11485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56" authorId="0" shapeId="0" xr:uid="{8C84DBEB-4EC8-4F42-B457-7F1FEE886A2A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57" authorId="0" shapeId="0" xr:uid="{18DD8657-51F1-43A7-976D-F33DE431415E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58" authorId="0" shapeId="0" xr:uid="{818243F9-D3C2-4709-9898-49F64664C0CB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59" authorId="0" shapeId="0" xr:uid="{113CDAAD-BFDF-4384-A422-081E0DFA910A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60" authorId="0" shapeId="0" xr:uid="{3F223FBC-9EAE-44B9-BF38-768768998087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61" authorId="0" shapeId="0" xr:uid="{12A05DBE-72A2-412F-BDA7-C33CC5A643C0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62" authorId="0" shapeId="0" xr:uid="{465E6794-2CBC-4A23-A1C9-2AD9AC601EA8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63" authorId="0" shapeId="0" xr:uid="{5C210A80-CE2A-4E60-A73C-7619C2374B8B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64" authorId="0" shapeId="0" xr:uid="{CF6C76E5-DAE8-447A-BDD0-465080D8C9A6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65" authorId="0" shapeId="0" xr:uid="{BB1E7E04-1830-4D98-9B6F-9A972D5086B0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66" authorId="0" shapeId="0" xr:uid="{AA55EB14-E7CF-4A97-92F9-0168B378541D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67" authorId="0" shapeId="0" xr:uid="{5DA6801C-0693-4496-A7EF-E98F2B70C657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68" authorId="0" shapeId="0" xr:uid="{7C464B26-32C3-4D4F-9A25-5E7F24D25BA2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69" authorId="0" shapeId="0" xr:uid="{F1124DA9-C90E-4139-9EBF-A93F81C22F0A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70" authorId="0" shapeId="0" xr:uid="{4CC41019-56A4-4368-9A69-991E44268B0A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  <comment ref="A2971" authorId="0" shapeId="0" xr:uid="{895B017D-D695-4232-A2EC-0F6BC1A36F17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Blackout-list-only brand (no Brand Family Territory entry). Added per user confirmation: part of Molson Coors network, sellable wherever not blacked out. Determination driven by Whitelist (Blackout Reverse).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Gavin Sharkey</author>
  </authors>
  <commentList>
    <comment ref="A2" authorId="0" shapeId="0" xr:uid="{0B7BCD95-1DF3-403A-ABCC-6E239BEE8790}">
      <text>
        <r>
          <rPr>
            <b/>
            <sz val="9"/>
            <color indexed="81"/>
            <rFont val="Tahoma"/>
            <family val="2"/>
          </rPr>
          <t>Gavin Sharkey:</t>
        </r>
        <r>
          <rPr>
            <sz val="9"/>
            <color indexed="81"/>
            <rFont val="Tahoma"/>
            <family val="2"/>
          </rPr>
          <t xml:space="preserve">
Distinct brand list pulled live from the blackout table. This whitelist is the REVERSE of Brand Family Areas (Enc): CAN SELL = no Inactive entry exists for that brand+county; BLOCKED = an Inactive (blackout) entry exists. Brands not on this sheet at all have no blackout entries anywhere.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<sst xmlns="http://schemas.openxmlformats.org/spreadsheetml/2006/main" count="23663" uniqueCount="5387">
  <si>
    <t>Brand Family</t>
  </si>
  <si>
    <t>County</t>
  </si>
  <si>
    <t>Territory ID</t>
  </si>
  <si>
    <t>In Territory?</t>
  </si>
  <si>
    <t>Blacklist Status</t>
  </si>
  <si>
    <t>Final Determination</t>
  </si>
  <si>
    <t>Lookup Key (helper)</t>
  </si>
  <si>
    <t>Miller High Life</t>
  </si>
  <si>
    <t>(Blackout list only)</t>
  </si>
  <si>
    <t>Sea Dog</t>
  </si>
  <si>
    <t>Industrial Arts</t>
  </si>
  <si>
    <t>BERGEN</t>
  </si>
  <si>
    <t>(User ruling 2026-07-22 - distribute in all counties; no Encompass territory entry)</t>
  </si>
  <si>
    <t>PASSAIC</t>
  </si>
  <si>
    <t>PASSAIC-FF</t>
  </si>
  <si>
    <t>ESSEX</t>
  </si>
  <si>
    <t>HUDSON</t>
  </si>
  <si>
    <t>UNION</t>
  </si>
  <si>
    <t>SUSSEX</t>
  </si>
  <si>
    <t>MORRIS 1</t>
  </si>
  <si>
    <t>MORRIS 2</t>
  </si>
  <si>
    <t>MORRIS 3</t>
  </si>
  <si>
    <t>Other Half</t>
  </si>
  <si>
    <t xml:space="preserve">This serves as a BLACK LIST or WHERE WE CAN NOT SELL A BRAND. </t>
  </si>
  <si>
    <t>COLUMN D = INACTIVE means WE CAN NOT SELL THE BRAND IN THAT COUNTY</t>
  </si>
  <si>
    <t>ID</t>
  </si>
  <si>
    <t>Distribution Area</t>
  </si>
  <si>
    <t>Active</t>
  </si>
  <si>
    <t>Distributor</t>
  </si>
  <si>
    <t>Match Key</t>
  </si>
  <si>
    <t>Anchor</t>
  </si>
  <si>
    <t>Morris 3</t>
  </si>
  <si>
    <t>Inactive</t>
  </si>
  <si>
    <t>Not Set Yet</t>
  </si>
  <si>
    <t>Famosa</t>
  </si>
  <si>
    <t>Genesee</t>
  </si>
  <si>
    <t>Honey Brown</t>
  </si>
  <si>
    <t>Imperial</t>
  </si>
  <si>
    <t>Misissippi</t>
  </si>
  <si>
    <t>Czechvar</t>
  </si>
  <si>
    <t>Daura</t>
  </si>
  <si>
    <t>Estrella</t>
  </si>
  <si>
    <t>Inedit</t>
  </si>
  <si>
    <t>Flying Fish</t>
  </si>
  <si>
    <t>Bold Rock</t>
  </si>
  <si>
    <t>Citizen Cider</t>
  </si>
  <si>
    <t>Ithaca</t>
  </si>
  <si>
    <t>Otter Creek</t>
  </si>
  <si>
    <t>Shed</t>
  </si>
  <si>
    <t>Mckenzie's</t>
  </si>
  <si>
    <t>Old Speckled Hen</t>
  </si>
  <si>
    <t>Hacker-Pschorr</t>
  </si>
  <si>
    <t>Paulaner</t>
  </si>
  <si>
    <t>Fruli</t>
  </si>
  <si>
    <t>Ohara's</t>
  </si>
  <si>
    <t>Unibroue</t>
  </si>
  <si>
    <t>Shipyard</t>
  </si>
  <si>
    <t>Southern Tier</t>
  </si>
  <si>
    <t>Banks</t>
  </si>
  <si>
    <t>Weihenstephaner</t>
  </si>
  <si>
    <t>Victory</t>
  </si>
  <si>
    <t>Samuel Adams</t>
  </si>
  <si>
    <t>Morris 2</t>
  </si>
  <si>
    <t>Traveler</t>
  </si>
  <si>
    <t>Angry Orchard</t>
  </si>
  <si>
    <t>Twisted Tea</t>
  </si>
  <si>
    <t>Coney Island</t>
  </si>
  <si>
    <t>Truly</t>
  </si>
  <si>
    <t>Marathon</t>
  </si>
  <si>
    <t>Wild Leaf</t>
  </si>
  <si>
    <t>Dogfish Head Beer</t>
  </si>
  <si>
    <t>Ballast Point</t>
  </si>
  <si>
    <t>Jasmine's</t>
  </si>
  <si>
    <t>Corona Extra</t>
  </si>
  <si>
    <t>Corona Familiar</t>
  </si>
  <si>
    <t>Corona Light</t>
  </si>
  <si>
    <t>Pacifico</t>
  </si>
  <si>
    <t>Modelo Negra</t>
  </si>
  <si>
    <t>Modelo Especial</t>
  </si>
  <si>
    <t>Victoria</t>
  </si>
  <si>
    <t>Modelo Chelada</t>
  </si>
  <si>
    <t>Corona Premier</t>
  </si>
  <si>
    <t>Corona Refresca</t>
  </si>
  <si>
    <t>Corona Seltzer</t>
  </si>
  <si>
    <t>Franks</t>
  </si>
  <si>
    <t>Tgi Fridays</t>
  </si>
  <si>
    <t>Tipsy Tomato</t>
  </si>
  <si>
    <t>Mike's Hard Lemonade</t>
  </si>
  <si>
    <t>Mike's Harder</t>
  </si>
  <si>
    <t>Cayman Jack</t>
  </si>
  <si>
    <t>Mxd Cocktails</t>
  </si>
  <si>
    <t>Palm Breeze</t>
  </si>
  <si>
    <t>White Claw</t>
  </si>
  <si>
    <t>Coors</t>
  </si>
  <si>
    <t>Coors Light</t>
  </si>
  <si>
    <t>Coors Extra Gold</t>
  </si>
  <si>
    <t>Keystone</t>
  </si>
  <si>
    <t>Zima</t>
  </si>
  <si>
    <t>Coors Seltzer</t>
  </si>
  <si>
    <t>Blue Moon</t>
  </si>
  <si>
    <t>Crispin</t>
  </si>
  <si>
    <t>Henry's Weinhards</t>
  </si>
  <si>
    <t>Two Hats</t>
  </si>
  <si>
    <t>George Killian's</t>
  </si>
  <si>
    <t>Redd's</t>
  </si>
  <si>
    <t>Third Shift</t>
  </si>
  <si>
    <t>Molson</t>
  </si>
  <si>
    <t>Henry's Hard Sparkling</t>
  </si>
  <si>
    <t>Steel Reserve</t>
  </si>
  <si>
    <t>Coors Edge</t>
  </si>
  <si>
    <t>Steel Reserve Alloy Series</t>
  </si>
  <si>
    <t>Aguila</t>
  </si>
  <si>
    <t>Smith &amp; Forge</t>
  </si>
  <si>
    <t>Redd's Wicked</t>
  </si>
  <si>
    <t>Henry's Hard Sodas</t>
  </si>
  <si>
    <t>Hamm's</t>
  </si>
  <si>
    <t>Hamm's Light</t>
  </si>
  <si>
    <t>Miller High Life Light</t>
  </si>
  <si>
    <t>Icehouse</t>
  </si>
  <si>
    <t>Icehouse Edge</t>
  </si>
  <si>
    <t>Lite</t>
  </si>
  <si>
    <t>Movo</t>
  </si>
  <si>
    <t>Miller Genuine Draft</t>
  </si>
  <si>
    <t>Mickey Malt</t>
  </si>
  <si>
    <t>Miller Extra Light</t>
  </si>
  <si>
    <t>Miller Fortune</t>
  </si>
  <si>
    <t>Milwaukee's Best</t>
  </si>
  <si>
    <t>Milwaukee's Best Ice</t>
  </si>
  <si>
    <t>Milwaukee's Best Light</t>
  </si>
  <si>
    <t>Leinenkugel</t>
  </si>
  <si>
    <t>Leinenkugel Shandy</t>
  </si>
  <si>
    <t>Cristal</t>
  </si>
  <si>
    <t>Cusquena</t>
  </si>
  <si>
    <t>Fosters</t>
  </si>
  <si>
    <t>Grolsch</t>
  </si>
  <si>
    <t>Lech</t>
  </si>
  <si>
    <t>Peroni</t>
  </si>
  <si>
    <t>Pilsner Urquell</t>
  </si>
  <si>
    <t>Tyskie Gronie</t>
  </si>
  <si>
    <t>Old English</t>
  </si>
  <si>
    <t>Sol</t>
  </si>
  <si>
    <t>Arnold Palmer</t>
  </si>
  <si>
    <t>Cape Line</t>
  </si>
  <si>
    <t>St Archer</t>
  </si>
  <si>
    <t>Vizzy</t>
  </si>
  <si>
    <t>Narragansett</t>
  </si>
  <si>
    <t>New Belgium Brewing Company</t>
  </si>
  <si>
    <t>Shiner</t>
  </si>
  <si>
    <t>Sierra Nevada</t>
  </si>
  <si>
    <t>Strainge Beast</t>
  </si>
  <si>
    <t>Terrapin Beer Company</t>
  </si>
  <si>
    <t>Moosehead</t>
  </si>
  <si>
    <t>Press</t>
  </si>
  <si>
    <t>Dg Yuengling Inc</t>
  </si>
  <si>
    <t>Heineken USA</t>
  </si>
  <si>
    <t>Heineken Dark</t>
  </si>
  <si>
    <t>Heineken Light</t>
  </si>
  <si>
    <t>Amstel</t>
  </si>
  <si>
    <t>Newcastle</t>
  </si>
  <si>
    <t>Buckler</t>
  </si>
  <si>
    <t>Strongbow</t>
  </si>
  <si>
    <t>Murphy's</t>
  </si>
  <si>
    <t>Tiger</t>
  </si>
  <si>
    <t>Red Stripe</t>
  </si>
  <si>
    <t>Birra Moretti</t>
  </si>
  <si>
    <t>Affligem</t>
  </si>
  <si>
    <t>Cervezas De Mexico</t>
  </si>
  <si>
    <t>Tecate</t>
  </si>
  <si>
    <t>Bohemia</t>
  </si>
  <si>
    <t>Carta Blanca</t>
  </si>
  <si>
    <t>Tecate Light</t>
  </si>
  <si>
    <t>Sagres Cerveja</t>
  </si>
  <si>
    <t>Prestige Lager</t>
  </si>
  <si>
    <t>Heineken 0.0</t>
  </si>
  <si>
    <t>Basic</t>
  </si>
  <si>
    <t>Mamita's</t>
  </si>
  <si>
    <t>Four Loko</t>
  </si>
  <si>
    <t>Earthquake</t>
  </si>
  <si>
    <t>Moskato</t>
  </si>
  <si>
    <t>Signture Cockt</t>
  </si>
  <si>
    <t>Bartender Series</t>
  </si>
  <si>
    <t>John Daly</t>
  </si>
  <si>
    <t>Hard Fresco</t>
  </si>
  <si>
    <t>Morris 1</t>
  </si>
  <si>
    <t>Sussex</t>
  </si>
  <si>
    <t>Seafarer</t>
  </si>
  <si>
    <t>Travelers Club</t>
  </si>
  <si>
    <t>Hudson</t>
  </si>
  <si>
    <t>Union</t>
  </si>
  <si>
    <t>Essex</t>
  </si>
  <si>
    <t>Hop Valley</t>
  </si>
  <si>
    <t>Proof Point</t>
  </si>
  <si>
    <t>Sparkling Ice</t>
  </si>
  <si>
    <t>Rodia</t>
  </si>
  <si>
    <t>Southern Tier Distilling</t>
  </si>
  <si>
    <t>Mike's Hard Seltzer</t>
  </si>
  <si>
    <t>Sauza</t>
  </si>
  <si>
    <t>Veryvell</t>
  </si>
  <si>
    <t>Pirate Water</t>
  </si>
  <si>
    <t>Rekorderlig</t>
  </si>
  <si>
    <t>Cape May</t>
  </si>
  <si>
    <t>BJ'S Private Label Brewa</t>
  </si>
  <si>
    <t>Lagunitas Brewing Co</t>
  </si>
  <si>
    <t>Stone Brewing</t>
  </si>
  <si>
    <t>Sixpoint</t>
  </si>
  <si>
    <t>Modelo Aquas Frescas</t>
  </si>
  <si>
    <t>Passaic-FF</t>
  </si>
  <si>
    <t>Hard Mountain Dew</t>
  </si>
  <si>
    <t>Bardstown Bourbon</t>
  </si>
  <si>
    <t>Garage Beer</t>
  </si>
  <si>
    <t>Middlesex County</t>
  </si>
  <si>
    <t>Athletic</t>
  </si>
  <si>
    <t>HOP WTR</t>
  </si>
  <si>
    <t>Corona NA</t>
  </si>
  <si>
    <t>Lagunitas</t>
  </si>
  <si>
    <t>Lagunitas NA</t>
  </si>
  <si>
    <t>Dad Grass</t>
  </si>
  <si>
    <t>Happy Thursday Spiked Refresher</t>
  </si>
  <si>
    <t>Corona Sunbrew</t>
  </si>
  <si>
    <t>Dogfish Head Spirits</t>
  </si>
  <si>
    <t>Simply Spiked</t>
  </si>
  <si>
    <t>Bell's</t>
  </si>
  <si>
    <t>Bell's Hearted Family</t>
  </si>
  <si>
    <t>Bell's Seasonal</t>
  </si>
  <si>
    <t>Fat Tire Family</t>
  </si>
  <si>
    <t>Voodoo Family</t>
  </si>
  <si>
    <t>Del's Shandy</t>
  </si>
  <si>
    <t>Monkey Family</t>
  </si>
  <si>
    <t>Modelo Oro</t>
  </si>
  <si>
    <t>Dos Equis</t>
  </si>
  <si>
    <t>Fresca Mixed</t>
  </si>
  <si>
    <t>Yuengling Black &amp; Tan</t>
  </si>
  <si>
    <t>Yuengling Bongo Fizz</t>
  </si>
  <si>
    <t>Yuengling Flight</t>
  </si>
  <si>
    <t>Yuengling Golden Pilsner</t>
  </si>
  <si>
    <t>Yuengling Hershey's Chocolate Porter</t>
  </si>
  <si>
    <t>Yuengling Lager</t>
  </si>
  <si>
    <t>Yuengling Light Lager</t>
  </si>
  <si>
    <t>Yuengling Oktoberfest</t>
  </si>
  <si>
    <t>Yuengling Premium</t>
  </si>
  <si>
    <t>Yuengling Premium Light</t>
  </si>
  <si>
    <t>Yuengling Raging Eagle</t>
  </si>
  <si>
    <t>Sun Cruiser</t>
  </si>
  <si>
    <t>La Tropical</t>
  </si>
  <si>
    <t>Snow Beer</t>
  </si>
  <si>
    <t>The Drop</t>
  </si>
  <si>
    <t>Dillon's Cocktails</t>
  </si>
  <si>
    <t>Voodoo Hardcharged</t>
  </si>
  <si>
    <t>Bardstown Green River</t>
  </si>
  <si>
    <t>Fever Tree</t>
  </si>
  <si>
    <t>Fresca Hard Sparkling</t>
  </si>
  <si>
    <t>Evil Genius</t>
  </si>
  <si>
    <t>Rockland</t>
  </si>
  <si>
    <t>Ole</t>
  </si>
  <si>
    <t>Topo Chico</t>
  </si>
  <si>
    <t>Heineken Silver</t>
  </si>
  <si>
    <t>Heineken 0.0 Ultimate</t>
  </si>
  <si>
    <t>Flying Fish Box of Bones Variety</t>
  </si>
  <si>
    <t>Sixpoint Summer Sesh</t>
  </si>
  <si>
    <t>Stone Premium &amp; Smooth Beer Co</t>
  </si>
  <si>
    <t>Mike's Hard Dirty Lemonade</t>
  </si>
  <si>
    <t>Hi5</t>
  </si>
  <si>
    <t>Poggio Torselli</t>
  </si>
  <si>
    <t>La Bodega</t>
  </si>
  <si>
    <t>Coors 0.0</t>
  </si>
  <si>
    <t>Leyenda 1925</t>
  </si>
  <si>
    <t>Lightstrike</t>
  </si>
  <si>
    <t>Kirin Ichiban</t>
  </si>
  <si>
    <t>Kirin Light</t>
  </si>
  <si>
    <t>Sinless Vodka Cocktail</t>
  </si>
  <si>
    <t>Carbliss</t>
  </si>
  <si>
    <t>YaVe Tequila</t>
  </si>
  <si>
    <t>Monaco</t>
  </si>
  <si>
    <t>Le Grand Noir</t>
  </si>
  <si>
    <t>Overstone</t>
  </si>
  <si>
    <t>Gionelli</t>
  </si>
  <si>
    <t>Beviamo</t>
  </si>
  <si>
    <t>Customer Name</t>
  </si>
  <si>
    <t>Foxes Place</t>
  </si>
  <si>
    <t>Passaic</t>
  </si>
  <si>
    <t>Club Flamingo (A)</t>
  </si>
  <si>
    <t>Bergen</t>
  </si>
  <si>
    <t>Daily Planet (A)</t>
  </si>
  <si>
    <t>Morris</t>
  </si>
  <si>
    <t>Default</t>
  </si>
  <si>
    <t>Rudy's Inflight Caterers</t>
  </si>
  <si>
    <t>Otg Management Ewr</t>
  </si>
  <si>
    <t>Lufthansa Business Lounge</t>
  </si>
  <si>
    <t>Lake Hopatcong Cruises</t>
  </si>
  <si>
    <t>Santana's Sport(P)Bella</t>
  </si>
  <si>
    <t>J &amp; B Bar &amp; Liq (Z)</t>
  </si>
  <si>
    <t>Gonzalez Liq &amp; Bar(A)</t>
  </si>
  <si>
    <t>Tatra Haus Restaurant</t>
  </si>
  <si>
    <t>Jay's Liquormart</t>
  </si>
  <si>
    <t>Mukeunji (Z)</t>
  </si>
  <si>
    <t>Pizza Town USA</t>
  </si>
  <si>
    <t>Garbo's Ital Deli&amp;Liq(Z)</t>
  </si>
  <si>
    <t>Country Cottage Rest (P)</t>
  </si>
  <si>
    <t>The Vreeland Store</t>
  </si>
  <si>
    <t>Grasshopper Irish Pub (A)</t>
  </si>
  <si>
    <t>Jimmy Geez(North)Bar/Gril</t>
  </si>
  <si>
    <t>Millers Ale House Rockawa</t>
  </si>
  <si>
    <t>Buffalo Wild Wings (Rockaway)</t>
  </si>
  <si>
    <t>J &amp; S Roadhouse</t>
  </si>
  <si>
    <t>D'Boathaus Restaurant</t>
  </si>
  <si>
    <t>Old School Pub P)</t>
  </si>
  <si>
    <t>Sam's Bar and Grill</t>
  </si>
  <si>
    <t>The Celtic Knot</t>
  </si>
  <si>
    <t>Kitchen &amp; Beer Bar</t>
  </si>
  <si>
    <t>Flip's Bar (P)</t>
  </si>
  <si>
    <t>Tree Tavern (A)</t>
  </si>
  <si>
    <t>Cinco De Mayo (Z)</t>
  </si>
  <si>
    <t>The River Of Beer</t>
  </si>
  <si>
    <t>Karls Stumble Inn</t>
  </si>
  <si>
    <t>100 Proof Bar &amp; Bites</t>
  </si>
  <si>
    <t>Applebee's (A)Butler</t>
  </si>
  <si>
    <t>Outback</t>
  </si>
  <si>
    <t>Celtic Crossings</t>
  </si>
  <si>
    <t>Cafe' Chameleon</t>
  </si>
  <si>
    <t>Blu Ale House</t>
  </si>
  <si>
    <t>Chili's (Riverdale)</t>
  </si>
  <si>
    <t>pompton crafthouse</t>
  </si>
  <si>
    <t>Macks American Bar/Grill</t>
  </si>
  <si>
    <t>Thatcher Mc Ghees (A)</t>
  </si>
  <si>
    <t>Pompton Queen (P)</t>
  </si>
  <si>
    <t>Tavern 5_2</t>
  </si>
  <si>
    <t>cherry's</t>
  </si>
  <si>
    <t>Bardis (P)</t>
  </si>
  <si>
    <t>Arca</t>
  </si>
  <si>
    <t>Sunset Pub &amp; Grill(Z)</t>
  </si>
  <si>
    <t>Jalapenos Mexican Grill</t>
  </si>
  <si>
    <t>Olive Garden (A) Wayne</t>
  </si>
  <si>
    <t>Izumi Hibachi Steak House</t>
  </si>
  <si>
    <t>KRIOS Prime</t>
  </si>
  <si>
    <t>Grasshopper Too (A)</t>
  </si>
  <si>
    <t>Park Wayne Diner</t>
  </si>
  <si>
    <t>WAYNE ALE HOUSE &amp; PIZZA</t>
  </si>
  <si>
    <t>Double Ai Asian Bistro</t>
  </si>
  <si>
    <t>Casa Don Manuel</t>
  </si>
  <si>
    <t>Dave &amp; Buster's Nj, Inc</t>
  </si>
  <si>
    <t>Brokedown Palace</t>
  </si>
  <si>
    <t>Maggies Town Tavern Ii</t>
  </si>
  <si>
    <t>Cheesecake Fact (A)Wayne</t>
  </si>
  <si>
    <t>Exotic Indian Cuisine</t>
  </si>
  <si>
    <t>Outback Stkhse(P)Wayne</t>
  </si>
  <si>
    <t>Anthonys CF Pizza (Wayne)</t>
  </si>
  <si>
    <t>Aramark Educational Services@WPU</t>
  </si>
  <si>
    <t>Red Lobster 225 Wayne</t>
  </si>
  <si>
    <t>PF Changs China Bistro (Wayne)</t>
  </si>
  <si>
    <t>YARD HOUSE 8384</t>
  </si>
  <si>
    <t>Raeya's</t>
  </si>
  <si>
    <t>Buffalo Wild Wings - Wayne, NJ</t>
  </si>
  <si>
    <t>The Little Falls Tavern</t>
  </si>
  <si>
    <t>Maggie's Town Tav.(P)</t>
  </si>
  <si>
    <t>Park West Diner</t>
  </si>
  <si>
    <t>THE TIES</t>
  </si>
  <si>
    <t>Chili's Little Falls</t>
  </si>
  <si>
    <t>Applebee's (Totowa) (A)</t>
  </si>
  <si>
    <t>Murph's Bar &amp; Liquor</t>
  </si>
  <si>
    <t>Sushi Lounge</t>
  </si>
  <si>
    <t>46 Lounge (P)</t>
  </si>
  <si>
    <t>Uncorked (P)</t>
  </si>
  <si>
    <t>JINYA Ramen Bar</t>
  </si>
  <si>
    <t>The Chariot</t>
  </si>
  <si>
    <t>Blackjack Mulligan's Public House</t>
  </si>
  <si>
    <t>River Terrace Inn(P)</t>
  </si>
  <si>
    <t>D'carbon Restaurant</t>
  </si>
  <si>
    <t>Mexico Bar &amp; Grill</t>
  </si>
  <si>
    <t>Bask 46</t>
  </si>
  <si>
    <t>Evolution Restaurant &amp; Bar</t>
  </si>
  <si>
    <t>Underdog Lounge(P)</t>
  </si>
  <si>
    <t>D'CARBON BAR AND GRILL haledon</t>
  </si>
  <si>
    <t>The Yard</t>
  </si>
  <si>
    <t>Jimmy Geez (P)</t>
  </si>
  <si>
    <t>Cinco De Mayo</t>
  </si>
  <si>
    <t>Papa Joe's (Z)</t>
  </si>
  <si>
    <t>Puzo's Pizza</t>
  </si>
  <si>
    <t>Shortways' Barn (A)</t>
  </si>
  <si>
    <t>Celtic Corner</t>
  </si>
  <si>
    <t>Blackjack Mulligans (Hawthorne)</t>
  </si>
  <si>
    <t>Las Maravillas Restaurant</t>
  </si>
  <si>
    <t>The Front Porch (Z)</t>
  </si>
  <si>
    <t>D'Carbon Restaurant Hawthorne</t>
  </si>
  <si>
    <t>Bocaditos Bistro</t>
  </si>
  <si>
    <t>Riverside Grill(D'carbon)</t>
  </si>
  <si>
    <t>Patsy's (A) Tavern</t>
  </si>
  <si>
    <t>Griselda Rest.(A)</t>
  </si>
  <si>
    <t>Hacienda (P)</t>
  </si>
  <si>
    <t>D'classico (P)</t>
  </si>
  <si>
    <t>The Cathedral Restaurant</t>
  </si>
  <si>
    <t>El Escondite Bar and Restaurant</t>
  </si>
  <si>
    <t>Brothers A&amp;C Pizza (P)</t>
  </si>
  <si>
    <t>412 Lounge &amp; Latin Bar</t>
  </si>
  <si>
    <t>El Fogon Rest</t>
  </si>
  <si>
    <t>Ranchito Mi Peru</t>
  </si>
  <si>
    <t>Costa Marina Lounge(A)</t>
  </si>
  <si>
    <t>Bonfire Mofongo House (P)</t>
  </si>
  <si>
    <t>Duffy's Tavern (Z)</t>
  </si>
  <si>
    <t>Lena Y Carbon Restaurant</t>
  </si>
  <si>
    <t>Noches De Colombia (Paterson)</t>
  </si>
  <si>
    <t>Dulce Patria</t>
  </si>
  <si>
    <t>Los Cristales (Z)</t>
  </si>
  <si>
    <t>Rincon Centroamericano</t>
  </si>
  <si>
    <t>Mambo Lounge (P)</t>
  </si>
  <si>
    <t>Bogey's Sport Bar</t>
  </si>
  <si>
    <t>Clifton City Tavern(P)</t>
  </si>
  <si>
    <t>The Grand Saloon</t>
  </si>
  <si>
    <t>Sharky's Wings(P)</t>
  </si>
  <si>
    <t>Applebee's Clifton</t>
  </si>
  <si>
    <t>The Clif (P)</t>
  </si>
  <si>
    <t>Rock Bar</t>
  </si>
  <si>
    <t>Mario's Rest</t>
  </si>
  <si>
    <t>Dingo's Den (P)</t>
  </si>
  <si>
    <t>El Mexicano Rest (P)</t>
  </si>
  <si>
    <t>Tommy's Tavern &amp; Tap (Clifton)</t>
  </si>
  <si>
    <t>El Dorado Rest (Z)</t>
  </si>
  <si>
    <t>La Fortaleza (Clifton)</t>
  </si>
  <si>
    <t>J. Alexander's Restaurant</t>
  </si>
  <si>
    <t>Made in Miami Bar Bistro</t>
  </si>
  <si>
    <t>Dante's</t>
  </si>
  <si>
    <t>Mighty Quinns Bbq</t>
  </si>
  <si>
    <t>Spuntino Wine Bar/Italian</t>
  </si>
  <si>
    <t>Kashan Indian Kitchen &amp; Ber</t>
  </si>
  <si>
    <t>Tick-Tock Diner (A)</t>
  </si>
  <si>
    <t>Sportzone B&amp;G (P)</t>
  </si>
  <si>
    <t>Palenque Bar &amp; Grill(A)</t>
  </si>
  <si>
    <t>Family Association</t>
  </si>
  <si>
    <t>Ooka Sushi Hibachi</t>
  </si>
  <si>
    <t>Yesterdays (P)</t>
  </si>
  <si>
    <t>Portuguese Tavern Steak House</t>
  </si>
  <si>
    <t>Uno Chicago Grl (A)Clifto</t>
  </si>
  <si>
    <t>Lamayoria Bar Restaurant</t>
  </si>
  <si>
    <t>Emerald Corner (Z)</t>
  </si>
  <si>
    <t>Aruba Lounge (P)</t>
  </si>
  <si>
    <t>Chevy's Fresh Mex (A)Clif</t>
  </si>
  <si>
    <t>The Shannon Rose (A)</t>
  </si>
  <si>
    <t>Crab Island Cajun Seafood &amp; Bar</t>
  </si>
  <si>
    <t>Rutt's Hut (A)</t>
  </si>
  <si>
    <t>Con Sabor A Peru (A)</t>
  </si>
  <si>
    <t>La Casona Cafe Restaurant Bar</t>
  </si>
  <si>
    <t>Fiesta Night Club(P)</t>
  </si>
  <si>
    <t>Dona Maria Rest</t>
  </si>
  <si>
    <t>Venus Bar &amp; Restaurant</t>
  </si>
  <si>
    <t>Clary's Restaurant &amp; Bar</t>
  </si>
  <si>
    <t>Grand Rodeo Night Club(Z)</t>
  </si>
  <si>
    <t>Saritas Mexican Rest(A)</t>
  </si>
  <si>
    <t>Mama Sushi Rest &amp; Lounge</t>
  </si>
  <si>
    <t>Buenaaazo</t>
  </si>
  <si>
    <t>La Posada</t>
  </si>
  <si>
    <t>Los Arcos (P) Rest.</t>
  </si>
  <si>
    <t>La Fortaleza (Passaic)</t>
  </si>
  <si>
    <t>LOTUS</t>
  </si>
  <si>
    <t>Ktb Coffee Shop &amp; Lounge</t>
  </si>
  <si>
    <t>Tavern On Ridge</t>
  </si>
  <si>
    <t>1 Republik</t>
  </si>
  <si>
    <t>Inka Flames</t>
  </si>
  <si>
    <t>Tejo Bar &amp; Rest</t>
  </si>
  <si>
    <t>Arlington Diner (A)</t>
  </si>
  <si>
    <t>Roma Rest. (P)</t>
  </si>
  <si>
    <t>Carlitos</t>
  </si>
  <si>
    <t>Shawn's Crazy Saloon</t>
  </si>
  <si>
    <t>Pietro's Trattoria</t>
  </si>
  <si>
    <t>Mickey's Bar &amp; Grill (Z)</t>
  </si>
  <si>
    <t>Uncle Vinnys Bar &amp; Grill</t>
  </si>
  <si>
    <t>Angelo's Restaurant</t>
  </si>
  <si>
    <t>City Lounge (P)</t>
  </si>
  <si>
    <t>Marty Gra's (A)</t>
  </si>
  <si>
    <t>Mr.Bruno's</t>
  </si>
  <si>
    <t>Lee's Hawaiian (P)</t>
  </si>
  <si>
    <t>Teros Snack Bar</t>
  </si>
  <si>
    <t>Elks Post 547 (A)</t>
  </si>
  <si>
    <t>Sonoma Bistro</t>
  </si>
  <si>
    <t>Paisano's</t>
  </si>
  <si>
    <t>Panebianco Cucina Italiana</t>
  </si>
  <si>
    <t>Nizi Japanese</t>
  </si>
  <si>
    <t>Vesta Wood Fired Pizza</t>
  </si>
  <si>
    <t>Blarney Station</t>
  </si>
  <si>
    <t>Chili's B &amp; G E Rutherfor</t>
  </si>
  <si>
    <t>Candlewick</t>
  </si>
  <si>
    <t>Applebee's Garfield (A)</t>
  </si>
  <si>
    <t>Rockafella's</t>
  </si>
  <si>
    <t>New Park Tav (A)</t>
  </si>
  <si>
    <t>The Union Bar &amp; Provisions</t>
  </si>
  <si>
    <t>Annabella's House Of Mozz</t>
  </si>
  <si>
    <t>Al-Di-La' (P)</t>
  </si>
  <si>
    <t>Eros Cafe</t>
  </si>
  <si>
    <t>Yard House 8390</t>
  </si>
  <si>
    <t>House of Que (East Rutherford)</t>
  </si>
  <si>
    <t>Dream Bar</t>
  </si>
  <si>
    <t>Jarana</t>
  </si>
  <si>
    <t>Song'E Napule</t>
  </si>
  <si>
    <t>Marcus Live Bar &amp; Grille</t>
  </si>
  <si>
    <t>Around The Clock Diner</t>
  </si>
  <si>
    <t>Mozzarella Bar</t>
  </si>
  <si>
    <t>Little Sheep Restaurant/Bar</t>
  </si>
  <si>
    <t>Burger Shack</t>
  </si>
  <si>
    <t>H Mart Inc (Space A103)</t>
  </si>
  <si>
    <t>Dream 360</t>
  </si>
  <si>
    <t>Apres Cafe</t>
  </si>
  <si>
    <t>Tipsy Tie Dye</t>
  </si>
  <si>
    <t>Dream Live Performing Arts Center</t>
  </si>
  <si>
    <t>Biggies (A)</t>
  </si>
  <si>
    <t>Steve's Bar &amp; Grill (A)</t>
  </si>
  <si>
    <t>Segovia Meson</t>
  </si>
  <si>
    <t>La Fortaleza (Carlstadt)</t>
  </si>
  <si>
    <t>The Local Pub</t>
  </si>
  <si>
    <t>Redd's Rest (Z)</t>
  </si>
  <si>
    <t>Gianna's (Z)</t>
  </si>
  <si>
    <t>La Havana 59</t>
  </si>
  <si>
    <t>Bazzarellis (Z)</t>
  </si>
  <si>
    <t>In Thyme</t>
  </si>
  <si>
    <t>Heights Bar (P)</t>
  </si>
  <si>
    <t>Bensi (P) (Shoprite Plza)</t>
  </si>
  <si>
    <t>Ktb Coffee Shop</t>
  </si>
  <si>
    <t>Chile</t>
  </si>
  <si>
    <t>Viva Margarita Wallington</t>
  </si>
  <si>
    <t>Agave Cocina Mexicana</t>
  </si>
  <si>
    <t>Ayla Restaurant &amp; Bar</t>
  </si>
  <si>
    <t>Charlies Tav(Z)</t>
  </si>
  <si>
    <t>The Firehouse</t>
  </si>
  <si>
    <t>Sportsmens (P) Tavern</t>
  </si>
  <si>
    <t>Ceviche Peruvian Cuisine</t>
  </si>
  <si>
    <t>Blackjack Mulligans(P) (Garfield)</t>
  </si>
  <si>
    <t>Los Cantaritos Cantina</t>
  </si>
  <si>
    <t>Dp's Pub &amp; Seafood Grill</t>
  </si>
  <si>
    <t>82 OAK BAR &amp; BISTRO</t>
  </si>
  <si>
    <t>Pazza Luna (P)</t>
  </si>
  <si>
    <t>Jojo's Bar &amp; Grill</t>
  </si>
  <si>
    <t>La Fortaleza (Garfield)</t>
  </si>
  <si>
    <t>The Hive Bar &amp; Bistro</t>
  </si>
  <si>
    <t>Deja Vu (Z)</t>
  </si>
  <si>
    <t>Rebar (Z)</t>
  </si>
  <si>
    <t>Colombia Bakery Factory &amp; Restaurant</t>
  </si>
  <si>
    <t>La Nota Restaurant Bar</t>
  </si>
  <si>
    <t>Hilltop Tav.(Z)</t>
  </si>
  <si>
    <t>La Fortaleza (Lodi)</t>
  </si>
  <si>
    <t>Noches De Colombia (S. Hackensack))</t>
  </si>
  <si>
    <t>Bj's Rest &amp; Brewhouse(A)</t>
  </si>
  <si>
    <t>Texas Roadhouse</t>
  </si>
  <si>
    <t>Lazy Lanigans (A)</t>
  </si>
  <si>
    <t>Tavern 61 (Z)</t>
  </si>
  <si>
    <t>Capon's Chophouse</t>
  </si>
  <si>
    <t>Maggiano's Little(A)Italy</t>
  </si>
  <si>
    <t>Pf Changs China Bis(A) (Hackensack)</t>
  </si>
  <si>
    <t>Brooklyn's (A)</t>
  </si>
  <si>
    <t>Cigarro Bar and Lounge</t>
  </si>
  <si>
    <t>Side Bar</t>
  </si>
  <si>
    <t>Chit Chat Diner</t>
  </si>
  <si>
    <t>Forte Ristorante</t>
  </si>
  <si>
    <t>Mi Tierrita (P)</t>
  </si>
  <si>
    <t>Straphanger Saloon (A)</t>
  </si>
  <si>
    <t>Noches De Colombia (Hackensack)</t>
  </si>
  <si>
    <t>TRUE FOOD</t>
  </si>
  <si>
    <t>Bangkok Garden(P) Thai</t>
  </si>
  <si>
    <t>Viva Margarita Hackensack</t>
  </si>
  <si>
    <t>Cheesecake Fact (A)Hacken</t>
  </si>
  <si>
    <t>Rosa Mexicano (A)</t>
  </si>
  <si>
    <t>Lidos Restaurant (P)</t>
  </si>
  <si>
    <t>Coach House Diner/Rest(Z)</t>
  </si>
  <si>
    <t>The Whiskey Priest (Hackensack)</t>
  </si>
  <si>
    <t>Cubby's (P)</t>
  </si>
  <si>
    <t>Houstons (A)Hackensack</t>
  </si>
  <si>
    <t>Applebee's (A) Hackensack</t>
  </si>
  <si>
    <t>Whiskey Roads</t>
  </si>
  <si>
    <t>Nikki's Bar &amp; Grill</t>
  </si>
  <si>
    <t>Palermo Cafe (A)</t>
  </si>
  <si>
    <t>Patsy's Bistro</t>
  </si>
  <si>
    <t>Cast Iron Pot (A)</t>
  </si>
  <si>
    <t>El Tio Taco Ii</t>
  </si>
  <si>
    <t>El Caporal Mexican Food</t>
  </si>
  <si>
    <t>GOGIYA</t>
  </si>
  <si>
    <t>690 Park</t>
  </si>
  <si>
    <t>Frankie's Gastro</t>
  </si>
  <si>
    <t>Rudys (A)</t>
  </si>
  <si>
    <t>354 Steakhouse (A)</t>
  </si>
  <si>
    <t>512 Bar</t>
  </si>
  <si>
    <t>Viva La Margarita Cliffside Park</t>
  </si>
  <si>
    <t>Rustica Bar &amp; Restaurant</t>
  </si>
  <si>
    <t>Mythos Greek Taverna</t>
  </si>
  <si>
    <t>Sonsonate Rest(P)</t>
  </si>
  <si>
    <t>Sedona Tap House</t>
  </si>
  <si>
    <t>Clubhouse Cafe (P)</t>
  </si>
  <si>
    <t>Cantina 46</t>
  </si>
  <si>
    <t>Tivoli Restaurant</t>
  </si>
  <si>
    <t>Duri Pocha</t>
  </si>
  <si>
    <t>Tutto A Modo Mio</t>
  </si>
  <si>
    <t>Rock 21</t>
  </si>
  <si>
    <t>Kumade</t>
  </si>
  <si>
    <t>So Noon Nan Jib</t>
  </si>
  <si>
    <t>Soosang Hand Pocha</t>
  </si>
  <si>
    <t>Mariachi (Roku) (Z)</t>
  </si>
  <si>
    <t>Third Floor Cafe</t>
  </si>
  <si>
    <t>Te Min Quan (P) Rest.</t>
  </si>
  <si>
    <t>Grand Wine Bar/Karaoke(Z)</t>
  </si>
  <si>
    <t>Legends (P)</t>
  </si>
  <si>
    <t>Hanam Daeji</t>
  </si>
  <si>
    <t>Kang Ho Dong</t>
  </si>
  <si>
    <t>Mk Valencia Rest &amp; Lg(P)</t>
  </si>
  <si>
    <t>Luigi's Rest (P)</t>
  </si>
  <si>
    <t>Don Coqui</t>
  </si>
  <si>
    <t>Roberto's Restaurant (P)</t>
  </si>
  <si>
    <t>Dino's Bar &amp; Grill</t>
  </si>
  <si>
    <t>Ga Yeon Restaurant</t>
  </si>
  <si>
    <t>365 BBQ</t>
  </si>
  <si>
    <t>Cuba 57</t>
  </si>
  <si>
    <t>PYEONGANDONG</t>
  </si>
  <si>
    <t>Ipic Theaters</t>
  </si>
  <si>
    <t>Jumong Restaurant</t>
  </si>
  <si>
    <t>El asadero Mexican Grill (Fort Lee)</t>
  </si>
  <si>
    <t>Ventana's Restaurant</t>
  </si>
  <si>
    <t>Obaltan</t>
  </si>
  <si>
    <t>In Napoli (A)</t>
  </si>
  <si>
    <t>WOOGA</t>
  </si>
  <si>
    <t>De Novo European Pub</t>
  </si>
  <si>
    <t>LaNoma Italian Steakhouse</t>
  </si>
  <si>
    <t>The Metropolitan Lounge</t>
  </si>
  <si>
    <t>Bada Story (Z)</t>
  </si>
  <si>
    <t>Hiram's</t>
  </si>
  <si>
    <t>Gammeeok</t>
  </si>
  <si>
    <t>Outback Steakhouse(Z)Edg</t>
  </si>
  <si>
    <t>Franco's Metro Rest (P)</t>
  </si>
  <si>
    <t>COV</t>
  </si>
  <si>
    <t>Bareburger (Edgewater)</t>
  </si>
  <si>
    <t>Haven Rest/Bar (A)</t>
  </si>
  <si>
    <t>Taverna Veranda</t>
  </si>
  <si>
    <t>Pho 32</t>
  </si>
  <si>
    <t>Chillers Grill (A)</t>
  </si>
  <si>
    <t>JJ Dak</t>
  </si>
  <si>
    <t>Dong Bang Grill</t>
  </si>
  <si>
    <t>Raku Izakaya (Z)</t>
  </si>
  <si>
    <t>Bistro Taino</t>
  </si>
  <si>
    <t>Cozy Tavern (P)</t>
  </si>
  <si>
    <t>101 Pub (A)</t>
  </si>
  <si>
    <t>PUB 178</t>
  </si>
  <si>
    <t>Nobo</t>
  </si>
  <si>
    <t>Zina's Steakhouse &amp; Grill</t>
  </si>
  <si>
    <t>Cassies (A)</t>
  </si>
  <si>
    <t>Noches De Colombia(Englewood))</t>
  </si>
  <si>
    <t>CAJUN SEAFOOD AND BAR</t>
  </si>
  <si>
    <t>CZEN Restaurant</t>
  </si>
  <si>
    <t>Lulu Lounge</t>
  </si>
  <si>
    <t>El Tango</t>
  </si>
  <si>
    <t>Tapas De Espana (P)</t>
  </si>
  <si>
    <t>Aumm Aumm @The Brownstone</t>
  </si>
  <si>
    <t>Blue Akai</t>
  </si>
  <si>
    <t>Colombia Kaliente</t>
  </si>
  <si>
    <t>Brownstone Pancake Factor</t>
  </si>
  <si>
    <t>Mr Bbq</t>
  </si>
  <si>
    <t>Cliffs Steakhouse(A)</t>
  </si>
  <si>
    <t>Cafe Italiano (Z)</t>
  </si>
  <si>
    <t>Giovanni's Bicycle Club</t>
  </si>
  <si>
    <t>Tenafly Pizza (Z)</t>
  </si>
  <si>
    <t>Samdan Mediterranean Restaurant And Bar</t>
  </si>
  <si>
    <t>Tony's Italian Cuisine</t>
  </si>
  <si>
    <t>Jack E Pooh's</t>
  </si>
  <si>
    <t>Lula's Latin Cuisine</t>
  </si>
  <si>
    <t>Tommy Fox's Pub Hse(P)</t>
  </si>
  <si>
    <t>International Bar/Rest</t>
  </si>
  <si>
    <t>Chapala Grill - Bergenfield</t>
  </si>
  <si>
    <t>River &amp; Henley</t>
  </si>
  <si>
    <t>Pancho Burrito's (A)</t>
  </si>
  <si>
    <t>Casual Habana Cafe (P)</t>
  </si>
  <si>
    <t>River Edge Diner &amp; Rest.</t>
  </si>
  <si>
    <t>Feathers (A)</t>
  </si>
  <si>
    <t>ORA</t>
  </si>
  <si>
    <t>The Oak House</t>
  </si>
  <si>
    <t>QB's Bar and Grill</t>
  </si>
  <si>
    <t>La Taberna Steak House</t>
  </si>
  <si>
    <t>Grant Street Cafe (A)</t>
  </si>
  <si>
    <t>Pop(xo) Taco</t>
  </si>
  <si>
    <t>Rudy's Pizzeria (P)</t>
  </si>
  <si>
    <t>Bareburger (Closter)</t>
  </si>
  <si>
    <t>Gerry's Place</t>
  </si>
  <si>
    <t>Olar Noso</t>
  </si>
  <si>
    <t>Brady's Fox Hunt Inn</t>
  </si>
  <si>
    <t>Northvale Diner</t>
  </si>
  <si>
    <t>Old Tappan Golf Course</t>
  </si>
  <si>
    <t>449 Prime @ Edgewood Country Club</t>
  </si>
  <si>
    <t>Davey's Locker (A)</t>
  </si>
  <si>
    <t>Hearth &amp; Tap Co.</t>
  </si>
  <si>
    <t>Flemings Prime Steakhouse and Wine Bar</t>
  </si>
  <si>
    <t>Peppercorn's</t>
  </si>
  <si>
    <t>The Cornerstone (P)</t>
  </si>
  <si>
    <t>Bensi (P)</t>
  </si>
  <si>
    <t>P J Finnegan's</t>
  </si>
  <si>
    <t>MeltToba Restaurant</t>
  </si>
  <si>
    <t>Iron Horse</t>
  </si>
  <si>
    <t>Emerson Hotel</t>
  </si>
  <si>
    <t>Golden Pub (P)</t>
  </si>
  <si>
    <t>Midland Brewhouse (A)</t>
  </si>
  <si>
    <t>Matsuya</t>
  </si>
  <si>
    <t>Saddle Brook (A) Diner</t>
  </si>
  <si>
    <t>The Plank Pizza And Bar</t>
  </si>
  <si>
    <t>Que Pasta (A)</t>
  </si>
  <si>
    <t>Blue 42 Restaurant &amp; Bar</t>
  </si>
  <si>
    <t>Asu Mare Peru Restobar</t>
  </si>
  <si>
    <t>Blvd Bar &amp; Grill (Z)</t>
  </si>
  <si>
    <t>Hook &amp; Reel</t>
  </si>
  <si>
    <t>Woodstone Pizza B &amp; G</t>
  </si>
  <si>
    <t>Longhorn Steak Rochele Pk</t>
  </si>
  <si>
    <t>Outback Stk Hse Roch Pk</t>
  </si>
  <si>
    <t>El Asadero Mexican Grill (Rochelle Park)</t>
  </si>
  <si>
    <t>Victor's Maywood Inn</t>
  </si>
  <si>
    <t>The Orange Lantern</t>
  </si>
  <si>
    <t>Houlihans (Para)(A)</t>
  </si>
  <si>
    <t>Suburban Diner</t>
  </si>
  <si>
    <t>California Pizza Paramus</t>
  </si>
  <si>
    <t>Bonefish Grill (A) (Paramus)</t>
  </si>
  <si>
    <t>Nordstrom Garden Court</t>
  </si>
  <si>
    <t>Season's 52</t>
  </si>
  <si>
    <t>Millers Paramus Ale House</t>
  </si>
  <si>
    <t>Kiku Restaurant</t>
  </si>
  <si>
    <t>Red Lobster Paramus</t>
  </si>
  <si>
    <t>Applebee's Paramus</t>
  </si>
  <si>
    <t>Seoul Galbi</t>
  </si>
  <si>
    <t>Grand Lux Cafe (A)</t>
  </si>
  <si>
    <t>Biagio's</t>
  </si>
  <si>
    <t>Olive Garden Paramus</t>
  </si>
  <si>
    <t>Chili's Paramus</t>
  </si>
  <si>
    <t>On The Border Paramus</t>
  </si>
  <si>
    <t>The Green Lounge</t>
  </si>
  <si>
    <t>Eddie V's</t>
  </si>
  <si>
    <t>Shoti Bread House</t>
  </si>
  <si>
    <t>The Craftsman</t>
  </si>
  <si>
    <t>Dutch House</t>
  </si>
  <si>
    <t>JJ's Pub</t>
  </si>
  <si>
    <t>Anthony's Coal Fired Pizza (Fair Lawn)</t>
  </si>
  <si>
    <t>Glen Rock Inn</t>
  </si>
  <si>
    <t>Jalapeno Mex. Grille(A)</t>
  </si>
  <si>
    <t>Stone &amp; Rail</t>
  </si>
  <si>
    <t>Steel Wheel Tavern</t>
  </si>
  <si>
    <t>Mac Murphy</t>
  </si>
  <si>
    <t>Bareburger (Ridgewood)</t>
  </si>
  <si>
    <t>The Office 2131 Ridgewood</t>
  </si>
  <si>
    <t>Eleven Central</t>
  </si>
  <si>
    <t>Doghouse Saloon (Z)</t>
  </si>
  <si>
    <t>Nellie's Place (P)</t>
  </si>
  <si>
    <t>W's Village Grille</t>
  </si>
  <si>
    <t>Charlie's Place</t>
  </si>
  <si>
    <t>Matthew Colonial Rest(A)</t>
  </si>
  <si>
    <t>Savini Rest (A)</t>
  </si>
  <si>
    <t>Allendale Bar &amp; Grill</t>
  </si>
  <si>
    <t>Anthony's CF Pizza (A) (Ramsey)</t>
  </si>
  <si>
    <t>Bar Boutique</t>
  </si>
  <si>
    <t>Brothers Smokehouse</t>
  </si>
  <si>
    <t>Chili's Ramsey (A)</t>
  </si>
  <si>
    <t>Brady's At(A)The Station</t>
  </si>
  <si>
    <t>Houlihan's Ramsey</t>
  </si>
  <si>
    <t>The Shannon Rose/Ramsey</t>
  </si>
  <si>
    <t>Stateline Diner (P)</t>
  </si>
  <si>
    <t>Mahwah B &amp; G (A)</t>
  </si>
  <si>
    <t>Mason Jar Restaurant</t>
  </si>
  <si>
    <t>Nonna's Pizza</t>
  </si>
  <si>
    <t>Sangria Taps/Rest(Z)</t>
  </si>
  <si>
    <t>Trovato's Due (Z)</t>
  </si>
  <si>
    <t>Segovia Tavern</t>
  </si>
  <si>
    <t>Hansil's Bar (P)</t>
  </si>
  <si>
    <t>Harvest and Ale</t>
  </si>
  <si>
    <t>Oakland Diner</t>
  </si>
  <si>
    <t>Doc Watsons NJ</t>
  </si>
  <si>
    <t>Pazza</t>
  </si>
  <si>
    <t>Blue Moon Mexican Cafe</t>
  </si>
  <si>
    <t>The Original Barn</t>
  </si>
  <si>
    <t>Gaslight Brewery &amp; Rest.</t>
  </si>
  <si>
    <t>Cloverleaf Tavern</t>
  </si>
  <si>
    <t>Tierney's Tavern(A)</t>
  </si>
  <si>
    <t>Michael Roscommon Hs(A)</t>
  </si>
  <si>
    <t>Mcgovern's Tavern(A)</t>
  </si>
  <si>
    <t>Verona Inn(Z)</t>
  </si>
  <si>
    <t>Fitzgerald 1928</t>
  </si>
  <si>
    <t>The Oakley Kitchen</t>
  </si>
  <si>
    <t>Shillelagh Club</t>
  </si>
  <si>
    <t>Sidelines Bar And Grill</t>
  </si>
  <si>
    <t>The Old Canal Inn</t>
  </si>
  <si>
    <t>Nomada</t>
  </si>
  <si>
    <t>Cowans Public</t>
  </si>
  <si>
    <t>Just Jakes</t>
  </si>
  <si>
    <t>American Whiskey Newark</t>
  </si>
  <si>
    <t>Danahers</t>
  </si>
  <si>
    <t>Mompou Restaurant</t>
  </si>
  <si>
    <t>Bello's</t>
  </si>
  <si>
    <t>St.James Gate Public House</t>
  </si>
  <si>
    <t>Castle Rock Bar and Grill</t>
  </si>
  <si>
    <t>Redds Biergarten</t>
  </si>
  <si>
    <t>Burke's Tavern</t>
  </si>
  <si>
    <t>DOUGH</t>
  </si>
  <si>
    <t>Franklin Steakhouse Tvrn</t>
  </si>
  <si>
    <t>Town Pub Of Bloomfeild</t>
  </si>
  <si>
    <t>Castaway Restaurant</t>
  </si>
  <si>
    <t>Antik Greek Kitchens</t>
  </si>
  <si>
    <t>Village Hall</t>
  </si>
  <si>
    <t>Avenue Bistro</t>
  </si>
  <si>
    <t>460 BISTRO</t>
  </si>
  <si>
    <t>Bacchanal Junction</t>
  </si>
  <si>
    <t>Millburn Standard</t>
  </si>
  <si>
    <t>Obals Inn</t>
  </si>
  <si>
    <t>Six Points Pub</t>
  </si>
  <si>
    <t>Ringside Pub</t>
  </si>
  <si>
    <t>Garden State Tavern</t>
  </si>
  <si>
    <t>Jim Dandy's</t>
  </si>
  <si>
    <t>Grasshopper Cedar Grove</t>
  </si>
  <si>
    <t>Egan &amp; Sons</t>
  </si>
  <si>
    <t>Halcyon Seafood Brasserie</t>
  </si>
  <si>
    <t>Qxt's Nightclub</t>
  </si>
  <si>
    <t>Zeppelin Hall (Z)</t>
  </si>
  <si>
    <t>The Corner Pho</t>
  </si>
  <si>
    <t>Texas-Arizona (A)</t>
  </si>
  <si>
    <t>O'nieal's (A)</t>
  </si>
  <si>
    <t>Mulligan's (P)</t>
  </si>
  <si>
    <t>O'Donnell's (P)</t>
  </si>
  <si>
    <t>Hudson &amp; Co. Bar &amp; Grill</t>
  </si>
  <si>
    <t>Saku (P)</t>
  </si>
  <si>
    <t>Thai O'brien (P)</t>
  </si>
  <si>
    <t>Madison Bar &amp; Grill</t>
  </si>
  <si>
    <t>Carpe Diem</t>
  </si>
  <si>
    <t>Ani Ramen House</t>
  </si>
  <si>
    <t>Light Horse Tavern (A)</t>
  </si>
  <si>
    <t>Surf City</t>
  </si>
  <si>
    <t>White Star Bar</t>
  </si>
  <si>
    <t>Molos Rest</t>
  </si>
  <si>
    <t>White Star Harbor Bar(P)</t>
  </si>
  <si>
    <t>Bangalore Kitchen</t>
  </si>
  <si>
    <t>City Bistro (A)</t>
  </si>
  <si>
    <t>Dorrian's Restaurant</t>
  </si>
  <si>
    <t>BRICK LANE CURRY HOUSE</t>
  </si>
  <si>
    <t>South House</t>
  </si>
  <si>
    <t>Grand Vin</t>
  </si>
  <si>
    <t>LegendsFC</t>
  </si>
  <si>
    <t>Greene Hook Resturant</t>
  </si>
  <si>
    <t>Mcginley Square Pub</t>
  </si>
  <si>
    <t>Hudson Hall(A)</t>
  </si>
  <si>
    <t>Ohara's Downtown</t>
  </si>
  <si>
    <t>Joia Restaurant</t>
  </si>
  <si>
    <t>Taphaus</t>
  </si>
  <si>
    <t>The Greenroom</t>
  </si>
  <si>
    <t>Hendrick's Corner</t>
  </si>
  <si>
    <t>Harrys Daughter</t>
  </si>
  <si>
    <t>Boots and Bones</t>
  </si>
  <si>
    <t>San Patricios Jersey City</t>
  </si>
  <si>
    <t>Grace O'malleys</t>
  </si>
  <si>
    <t>The Ashford/Six 26</t>
  </si>
  <si>
    <t>Buddy's</t>
  </si>
  <si>
    <t>Mamak House</t>
  </si>
  <si>
    <t>Bareburger (Jersey City)</t>
  </si>
  <si>
    <t>Stingray Lounge</t>
  </si>
  <si>
    <t>The Hoboken Biergarten</t>
  </si>
  <si>
    <t>IKOS Greek Mediterranean</t>
  </si>
  <si>
    <t>Dagda</t>
  </si>
  <si>
    <t>Punjab Meet House</t>
  </si>
  <si>
    <t>Franklin Social Club</t>
  </si>
  <si>
    <t>Willie Mcbride's Pub/Rest</t>
  </si>
  <si>
    <t>The Ferryman On 1st</t>
  </si>
  <si>
    <t>Pier 13</t>
  </si>
  <si>
    <t>Union Hall</t>
  </si>
  <si>
    <t>Belo Bar</t>
  </si>
  <si>
    <t>Shepherd/Knucklehead Hobo</t>
  </si>
  <si>
    <t>Urban Coal House</t>
  </si>
  <si>
    <t>Hook And Reel</t>
  </si>
  <si>
    <t>KPot Korean BBQ &amp; Hot Pot</t>
  </si>
  <si>
    <t>Urban Tandoor</t>
  </si>
  <si>
    <t>Fork Hill Kitchen</t>
  </si>
  <si>
    <t>Keeper's</t>
  </si>
  <si>
    <t>Left Bank Burger Bar (A)</t>
  </si>
  <si>
    <t>Green Rock Tap &amp; Grill</t>
  </si>
  <si>
    <t>The Brass Rail Restaurant</t>
  </si>
  <si>
    <t>EMPYREAN INDIAN KITCHEN</t>
  </si>
  <si>
    <t>10th &amp; Willow Bar &amp; Grill</t>
  </si>
  <si>
    <t>The Stewed Cow</t>
  </si>
  <si>
    <t>8th Street Tavern</t>
  </si>
  <si>
    <t>The Hutten Tavern</t>
  </si>
  <si>
    <t>Curry On</t>
  </si>
  <si>
    <t>Rasoi Restaurant</t>
  </si>
  <si>
    <t>Corkscrew Bar</t>
  </si>
  <si>
    <t>Cheese+Wine</t>
  </si>
  <si>
    <t>Snack Bar</t>
  </si>
  <si>
    <t>Otaiko Hibachi &amp; Sushi</t>
  </si>
  <si>
    <t>The Highwood</t>
  </si>
  <si>
    <t>Hudson Blue</t>
  </si>
  <si>
    <t>Rancho Mateo</t>
  </si>
  <si>
    <t>Asian Grill &amp; Sushi</t>
  </si>
  <si>
    <t>Empyrean Bistro &amp; Bar</t>
  </si>
  <si>
    <t>Plank Road Inn (A)</t>
  </si>
  <si>
    <t>Dublin Yard</t>
  </si>
  <si>
    <t>Middlesex not in use</t>
  </si>
  <si>
    <t>Middlesex</t>
  </si>
  <si>
    <t>54 Main Cafe</t>
  </si>
  <si>
    <t>12 Islands Greek Taverna</t>
  </si>
  <si>
    <t>Randolph Diner</t>
  </si>
  <si>
    <t>The Thirsty Turtle (Florham Park)</t>
  </si>
  <si>
    <t>Revolution Bar</t>
  </si>
  <si>
    <t>Dublin Pub (A)</t>
  </si>
  <si>
    <t>Tavern Off The Green</t>
  </si>
  <si>
    <t>River Grille</t>
  </si>
  <si>
    <t>Laundromat</t>
  </si>
  <si>
    <t>Black Rabbit Saloon LLC</t>
  </si>
  <si>
    <t>Harrigan's Rest. (P)</t>
  </si>
  <si>
    <t>Hoovers Tavern</t>
  </si>
  <si>
    <t>Sharky's West (P)</t>
  </si>
  <si>
    <t>Ombra</t>
  </si>
  <si>
    <t>Nostrana Ristorante</t>
  </si>
  <si>
    <t>Columbia Inn</t>
  </si>
  <si>
    <t>Reservoir Tavern(A)</t>
  </si>
  <si>
    <t>Stirling Hotel</t>
  </si>
  <si>
    <t>Vintage Tavern</t>
  </si>
  <si>
    <t>Lena y Carbon VII Parsippany</t>
  </si>
  <si>
    <t>Tiff's Grill &amp; Ale House</t>
  </si>
  <si>
    <t>Parkside Tavern</t>
  </si>
  <si>
    <t>SOCIAL HUB BY DHABA</t>
  </si>
  <si>
    <t>The Station</t>
  </si>
  <si>
    <t>Old Mill Tavern</t>
  </si>
  <si>
    <t>Omg Burger &amp; Brew</t>
  </si>
  <si>
    <t>Redwoods Bar &amp; Grill</t>
  </si>
  <si>
    <t>Thatcher Mcghee's (A)</t>
  </si>
  <si>
    <t>Hunan Taste (Z)</t>
  </si>
  <si>
    <t>Sogo</t>
  </si>
  <si>
    <t>Smith's Tavern</t>
  </si>
  <si>
    <t>Tavern On The Rocks</t>
  </si>
  <si>
    <t>Mill Lane Tavern</t>
  </si>
  <si>
    <t>The Exchange</t>
  </si>
  <si>
    <t>Adams (P)</t>
  </si>
  <si>
    <t>White Meadow Lake Cc</t>
  </si>
  <si>
    <t>Luzzi's (Z)</t>
  </si>
  <si>
    <t>Muldoon's Steak &amp; Pub</t>
  </si>
  <si>
    <t>PF Changs</t>
  </si>
  <si>
    <t>Germania Park</t>
  </si>
  <si>
    <t>Taphouse 15</t>
  </si>
  <si>
    <t>Rockaway River Barn</t>
  </si>
  <si>
    <t>4 Seasons Restaurant</t>
  </si>
  <si>
    <t>NORTE 175</t>
  </si>
  <si>
    <t>Luna Restaurant &amp; Bar</t>
  </si>
  <si>
    <t>Knotty Pine Pub (P)</t>
  </si>
  <si>
    <t>Gatwyns II (P)</t>
  </si>
  <si>
    <t>Charley's Tavern</t>
  </si>
  <si>
    <t>Jefferson Diner &amp; Tav(P)</t>
  </si>
  <si>
    <t>Mason Street Grille</t>
  </si>
  <si>
    <t>Chapala Grill - Lake Hopatcong</t>
  </si>
  <si>
    <t>Casa Bianca (P)</t>
  </si>
  <si>
    <t>Bella Vista</t>
  </si>
  <si>
    <t>Valley Tavern</t>
  </si>
  <si>
    <t>Chapala Mexican Grill 4</t>
  </si>
  <si>
    <t>Davy's Dogs</t>
  </si>
  <si>
    <t>Pub 199</t>
  </si>
  <si>
    <t>Alice's (Z)</t>
  </si>
  <si>
    <t>Jefferson House (A)</t>
  </si>
  <si>
    <t>Mckenna's Pub (P)</t>
  </si>
  <si>
    <t>Lola's Restaurant</t>
  </si>
  <si>
    <t>Patricks Pub (P)</t>
  </si>
  <si>
    <t>GRIFFIN &amp; HOWE</t>
  </si>
  <si>
    <t>Stoll Street Tavern</t>
  </si>
  <si>
    <t>Sabor Latino</t>
  </si>
  <si>
    <t>Ron's Landmark</t>
  </si>
  <si>
    <t>Polo's Bar And Grill</t>
  </si>
  <si>
    <t>Stonewood Tavern</t>
  </si>
  <si>
    <t>Freddy's Lake House Bar And Grill</t>
  </si>
  <si>
    <t>Shakey Jake's (P)</t>
  </si>
  <si>
    <t>Bell's Mansion</t>
  </si>
  <si>
    <t>E &amp; D Liquors (P)</t>
  </si>
  <si>
    <t>Pavilion Lounge(Z)</t>
  </si>
  <si>
    <t>La Mezcalita</t>
  </si>
  <si>
    <t>Eastern Asian Bistro/Bar</t>
  </si>
  <si>
    <t>Grasshopper Off The Green</t>
  </si>
  <si>
    <t>Warren</t>
  </si>
  <si>
    <t>At The Hop</t>
  </si>
  <si>
    <t>Bar Cilento</t>
  </si>
  <si>
    <t>Margarita's Bar &amp; Grill</t>
  </si>
  <si>
    <t>Valley Rest &amp; Pub</t>
  </si>
  <si>
    <t>Hapgoods Restaurant</t>
  </si>
  <si>
    <t>St.Moritz Grill &amp; Bar</t>
  </si>
  <si>
    <t>Homestead Rest</t>
  </si>
  <si>
    <t>Industry</t>
  </si>
  <si>
    <t>Smokey's Brick Oven Tav.</t>
  </si>
  <si>
    <t>Village Saloon (P)</t>
  </si>
  <si>
    <t>Krogh's Restaurant &amp; Brew Pub</t>
  </si>
  <si>
    <t>Fu's Chinese (P) Rest.</t>
  </si>
  <si>
    <t>Mc Q's Pub (P)</t>
  </si>
  <si>
    <t>AG Pizza &amp; Restaurant - Newton</t>
  </si>
  <si>
    <t>Bella Italio Rest.(P)</t>
  </si>
  <si>
    <t>Sheridan Lodge (P)</t>
  </si>
  <si>
    <t>Cesco's Pizza (P)</t>
  </si>
  <si>
    <t>Hampton (P) Diner</t>
  </si>
  <si>
    <t>The Sizzle BBQ Argentinian Steak House</t>
  </si>
  <si>
    <t>Moose Lodge 432</t>
  </si>
  <si>
    <t>O'reilly Pub (P)</t>
  </si>
  <si>
    <t>Chun Bo (P) Restaurant</t>
  </si>
  <si>
    <t>Applebee's Grill(A)Newton</t>
  </si>
  <si>
    <t>Irish Cottage Inn</t>
  </si>
  <si>
    <t>Coyote Cocina Mexicana</t>
  </si>
  <si>
    <t>Doc's Place (P)</t>
  </si>
  <si>
    <t>Springs Bistro Biosphere</t>
  </si>
  <si>
    <t>Airport Pub &amp; Pkg</t>
  </si>
  <si>
    <t>Brick &amp; Brew</t>
  </si>
  <si>
    <t>Atlantic Man Rodozio Stk</t>
  </si>
  <si>
    <t>Stew N Dolly's Place</t>
  </si>
  <si>
    <t>Mt Creek Hex Lg(North) A</t>
  </si>
  <si>
    <t>Tony's Pizza (P)</t>
  </si>
  <si>
    <t>The Kites (P)</t>
  </si>
  <si>
    <t>Mt Creek Kink (So)A</t>
  </si>
  <si>
    <t>Thirsty Farmer</t>
  </si>
  <si>
    <t>The Lamp Post Inn</t>
  </si>
  <si>
    <t>Early American Tavern</t>
  </si>
  <si>
    <t>Skylands Wine&amp; Beer Garden</t>
  </si>
  <si>
    <t>The Stuffed Olive_2</t>
  </si>
  <si>
    <t>Indian Spice Route 23</t>
  </si>
  <si>
    <t>The Lafayette House</t>
  </si>
  <si>
    <t>AG Pizza and Restaurant (Branchville)</t>
  </si>
  <si>
    <t>Lakeside Pub (P)</t>
  </si>
  <si>
    <t>Riviera Maya</t>
  </si>
  <si>
    <t>Flatbrook Tap House (P)</t>
  </si>
  <si>
    <t>Mountain House Tav &amp; Gril</t>
  </si>
  <si>
    <t>Gyp's Tavern</t>
  </si>
  <si>
    <t>Layton Tavern</t>
  </si>
  <si>
    <t>Deutscher Club Of Clark</t>
  </si>
  <si>
    <t>Abigails Cafe (Z)</t>
  </si>
  <si>
    <t>The Station Bar &amp; Grill</t>
  </si>
  <si>
    <t>Nugents Tavern (P)</t>
  </si>
  <si>
    <t>Linwood Inn Tap House</t>
  </si>
  <si>
    <t>Darby Road</t>
  </si>
  <si>
    <t>Riverside Inn</t>
  </si>
  <si>
    <t>World Famous Waiting Room</t>
  </si>
  <si>
    <t>Crossroads Bar/Rest (Z)</t>
  </si>
  <si>
    <t>Office Beer Bar&amp;Grill(A)</t>
  </si>
  <si>
    <t>Fujiyama Mama</t>
  </si>
  <si>
    <t>Tankys Bar &amp; Grill</t>
  </si>
  <si>
    <t>387 Oyster House &amp; Bar</t>
  </si>
  <si>
    <t>Frenchys Bar &amp; Grill</t>
  </si>
  <si>
    <t>Tiki Mojito</t>
  </si>
  <si>
    <t>Garwood Restaurant</t>
  </si>
  <si>
    <t>Olga's Place</t>
  </si>
  <si>
    <t>Rancho Mateo Colombian Steakhouse</t>
  </si>
  <si>
    <t>Noches de Columbia (Randolph)</t>
  </si>
  <si>
    <t>Rancho Mateo Asadero Colombian</t>
  </si>
  <si>
    <t>Blue Sunday Bar &amp; Grill</t>
  </si>
  <si>
    <t>Arirang Hibachi Steakhous</t>
  </si>
  <si>
    <t>Chrones Tavern</t>
  </si>
  <si>
    <t>Kpot Korean BBQ</t>
  </si>
  <si>
    <t>Golden Anchor Bar</t>
  </si>
  <si>
    <t>Tequila Club</t>
  </si>
  <si>
    <t>Balthazar Bakery (A)</t>
  </si>
  <si>
    <t>Frungillo Caterers</t>
  </si>
  <si>
    <t>The Legacy Castle</t>
  </si>
  <si>
    <t>Cosmopolitan</t>
  </si>
  <si>
    <t>The Grand</t>
  </si>
  <si>
    <t>The Barnyard and Carriage House</t>
  </si>
  <si>
    <t>Westmount Country Club</t>
  </si>
  <si>
    <t>Brownstone House</t>
  </si>
  <si>
    <t>La Neves (P)</t>
  </si>
  <si>
    <t>The Tides</t>
  </si>
  <si>
    <t>Macaluso's (P)</t>
  </si>
  <si>
    <t>Paterson Fire Dept</t>
  </si>
  <si>
    <t>Factory 220</t>
  </si>
  <si>
    <t>San Carlo Restaurant</t>
  </si>
  <si>
    <t>Gray Cliff (A)</t>
  </si>
  <si>
    <t>Fiesta (A)</t>
  </si>
  <si>
    <t>Michele (Z) Rest,</t>
  </si>
  <si>
    <t>The Venetian</t>
  </si>
  <si>
    <t>Royal Manor</t>
  </si>
  <si>
    <t>The Elan (P)</t>
  </si>
  <si>
    <t>La Fortuna (P)</t>
  </si>
  <si>
    <t>Palisadium Club</t>
  </si>
  <si>
    <t>Englewood Field Club</t>
  </si>
  <si>
    <t>The Rockleigh C C (P)</t>
  </si>
  <si>
    <t>Old Tappan Manor (P)</t>
  </si>
  <si>
    <t>Florentine Garden</t>
  </si>
  <si>
    <t>Excelsior (Z)</t>
  </si>
  <si>
    <t>B R C Catering (P)</t>
  </si>
  <si>
    <t>Seasons Catering (A)</t>
  </si>
  <si>
    <t>Portobello Banquets</t>
  </si>
  <si>
    <t>Portobello Feasts</t>
  </si>
  <si>
    <t>Indian Trail Club</t>
  </si>
  <si>
    <t>The Brick House (P)</t>
  </si>
  <si>
    <t>Cedar Lake Club</t>
  </si>
  <si>
    <t>Marcella Community Club</t>
  </si>
  <si>
    <t>Jeffrey A Miller Catering</t>
  </si>
  <si>
    <t>Lake Mohawk Country Club</t>
  </si>
  <si>
    <t>Perona Farms</t>
  </si>
  <si>
    <t>Crossed Keys Inn</t>
  </si>
  <si>
    <t>Butler Fire Department(P)</t>
  </si>
  <si>
    <t>Riverside Veteran</t>
  </si>
  <si>
    <t>Elks Post (P)</t>
  </si>
  <si>
    <t>Voraz Fuision</t>
  </si>
  <si>
    <t>Montvale Fire Company</t>
  </si>
  <si>
    <t>The Madison Rose</t>
  </si>
  <si>
    <t>Aramark at Liberty Science Center</t>
  </si>
  <si>
    <t>Quick Stop Food &amp; Liq</t>
  </si>
  <si>
    <t>Pompei's Little Market</t>
  </si>
  <si>
    <t>Iga Supermarkets (A)</t>
  </si>
  <si>
    <t>Ridgefield Deli &amp; Liq</t>
  </si>
  <si>
    <t>Super K Food (A) Store</t>
  </si>
  <si>
    <t>Coronet Variety</t>
  </si>
  <si>
    <t>Maywood Market(A)</t>
  </si>
  <si>
    <t>Paramus Food Center</t>
  </si>
  <si>
    <t>Regal Secaucus ShowPlace14</t>
  </si>
  <si>
    <t>Country Farms</t>
  </si>
  <si>
    <t>Cedar Crest Village(607)</t>
  </si>
  <si>
    <t>Whole Foods Market (Wayne)</t>
  </si>
  <si>
    <t>Packanack Lake Comm Asso</t>
  </si>
  <si>
    <t>Medieval Times</t>
  </si>
  <si>
    <t>Simulcast</t>
  </si>
  <si>
    <t>Victory Sports Bar</t>
  </si>
  <si>
    <t>Delaware North Met Life Stadium</t>
  </si>
  <si>
    <t>Debonair Music Hall</t>
  </si>
  <si>
    <t>Tenafly Classic Diner</t>
  </si>
  <si>
    <t>Levy @ The Prudential Center</t>
  </si>
  <si>
    <t>Green Pond Yacht Club (Z)</t>
  </si>
  <si>
    <t>Lake Telemark Country Clu</t>
  </si>
  <si>
    <t>Shore Hills Country Club</t>
  </si>
  <si>
    <t>Garden State Yacht Club</t>
  </si>
  <si>
    <t>Tomahawk Lake,Inc</t>
  </si>
  <si>
    <t>Hudson Farm Club</t>
  </si>
  <si>
    <t>The Newton Theatre</t>
  </si>
  <si>
    <t>Platinum Dollz</t>
  </si>
  <si>
    <t>Woori Mart</t>
  </si>
  <si>
    <t>Swartswood</t>
  </si>
  <si>
    <t>Point 5 Lafayette</t>
  </si>
  <si>
    <t>Mykos</t>
  </si>
  <si>
    <t>The Cheesecake Factory</t>
  </si>
  <si>
    <t>Prime 374 - Seafood &amp; Steak</t>
  </si>
  <si>
    <t>Arta Trattoria (P)</t>
  </si>
  <si>
    <t>Il Palazzo (Z)</t>
  </si>
  <si>
    <t>Cypress</t>
  </si>
  <si>
    <t>Smoke Rise Club (P)</t>
  </si>
  <si>
    <t>Novelli (P)</t>
  </si>
  <si>
    <t>Lakeside Drive Tavern</t>
  </si>
  <si>
    <t>The Village Inn</t>
  </si>
  <si>
    <t>Vila Verde (P) Rest.</t>
  </si>
  <si>
    <t>Sear</t>
  </si>
  <si>
    <t>Rare The Steakhouse (Z)</t>
  </si>
  <si>
    <t>Francesco's In The Park</t>
  </si>
  <si>
    <t>E &amp; V (A) Restaurant</t>
  </si>
  <si>
    <t>Giuseppe (P) Rest.</t>
  </si>
  <si>
    <t>Bottagra Rest (P)</t>
  </si>
  <si>
    <t>Rincon Criollo Restaurant</t>
  </si>
  <si>
    <t>Agave Cantina Mexicana</t>
  </si>
  <si>
    <t>Hornitos Bakery</t>
  </si>
  <si>
    <t>Jaime's (A)</t>
  </si>
  <si>
    <t>Noches De Colombia (Clifton)</t>
  </si>
  <si>
    <t>Matthews Italian Rest</t>
  </si>
  <si>
    <t>Noches De Colombia (Passaic)</t>
  </si>
  <si>
    <t>El Chever (P)</t>
  </si>
  <si>
    <t>Lassoni Ristorante(P)</t>
  </si>
  <si>
    <t>The Roosevelt</t>
  </si>
  <si>
    <t>Elia Restaurant</t>
  </si>
  <si>
    <t>Il Villaggio Rest</t>
  </si>
  <si>
    <t>Segovia</t>
  </si>
  <si>
    <t>The Ivy Inn</t>
  </si>
  <si>
    <t>Good Fella's (Z) Rest.</t>
  </si>
  <si>
    <t>Tres Agaves</t>
  </si>
  <si>
    <t>Casual Habana Cafe(Hack)</t>
  </si>
  <si>
    <t>Morton's The Stkhse Hacke</t>
  </si>
  <si>
    <t>Garden Shabu</t>
  </si>
  <si>
    <t>Segovia Steak House(A)</t>
  </si>
  <si>
    <t>Villa Amalfi</t>
  </si>
  <si>
    <t>Flemings Stkhse (P)</t>
  </si>
  <si>
    <t>River Palm (A)</t>
  </si>
  <si>
    <t>Amarone (P)</t>
  </si>
  <si>
    <t>La Tequilera Restaurant</t>
  </si>
  <si>
    <t>Moose Lodge 961 (Z)</t>
  </si>
  <si>
    <t>Sofia</t>
  </si>
  <si>
    <t>Grissini's Restaurant</t>
  </si>
  <si>
    <t>The 130 Club</t>
  </si>
  <si>
    <t>Axia Taverna</t>
  </si>
  <si>
    <t>New Bridge Inn(A)</t>
  </si>
  <si>
    <t>Andiamo</t>
  </si>
  <si>
    <t>Stern And Bow</t>
  </si>
  <si>
    <t>LUCIOS</t>
  </si>
  <si>
    <t>Sear House (A)</t>
  </si>
  <si>
    <t>Verana</t>
  </si>
  <si>
    <t>Dimora Ristorante (P)</t>
  </si>
  <si>
    <t>Kiku (Z) Restaurant</t>
  </si>
  <si>
    <t>Biddy O'malleys Pub (A)</t>
  </si>
  <si>
    <t>Aurora Restaurant</t>
  </si>
  <si>
    <t>Let's Meat Steakhouse</t>
  </si>
  <si>
    <t>Fire &amp; Oak (A)</t>
  </si>
  <si>
    <t>Park Steakhouse</t>
  </si>
  <si>
    <t>103 Prime Time</t>
  </si>
  <si>
    <t>Bareburger (Woodcliff Lake)</t>
  </si>
  <si>
    <t>Osso Buco</t>
  </si>
  <si>
    <t>Lolitas Mexican Cantina</t>
  </si>
  <si>
    <t>Osteria Crescendo</t>
  </si>
  <si>
    <t>Bar Mutz</t>
  </si>
  <si>
    <t>Nanni's (A)</t>
  </si>
  <si>
    <t>Ruth's Chris Steakhouse (Maywood)</t>
  </si>
  <si>
    <t>The Capital Grille (A)</t>
  </si>
  <si>
    <t>El Cid</t>
  </si>
  <si>
    <t>Oceanos Osyter Bar Grill</t>
  </si>
  <si>
    <t>RP Prime Steakhouse</t>
  </si>
  <si>
    <t>Roots Ridgewood (A)</t>
  </si>
  <si>
    <t>Park West Tavern</t>
  </si>
  <si>
    <t>Arturo's Restaurnt</t>
  </si>
  <si>
    <t>Bacari</t>
  </si>
  <si>
    <t>Hohokus Inn &amp; Tavern</t>
  </si>
  <si>
    <t>Andrea's Restaurant</t>
  </si>
  <si>
    <t>Varka</t>
  </si>
  <si>
    <t>Roxanne's A)</t>
  </si>
  <si>
    <t>Rp Prime Restaurant</t>
  </si>
  <si>
    <t>Cenzino's (P)</t>
  </si>
  <si>
    <t>Aldo's Italian Rest(Z)</t>
  </si>
  <si>
    <t>Prime 94 Steakhouse &amp; Grill</t>
  </si>
  <si>
    <t>Fornos Of Spain (A)</t>
  </si>
  <si>
    <t>Nikko Hibachi Steakhouse</t>
  </si>
  <si>
    <t>Porta</t>
  </si>
  <si>
    <t>Faubourg Montclair</t>
  </si>
  <si>
    <t>The Franklin Bar &amp; Restaurant</t>
  </si>
  <si>
    <t>Antique Bar And Bakery</t>
  </si>
  <si>
    <t>Karma Kafe</t>
  </si>
  <si>
    <t>Lake Valhalla Club (P)</t>
  </si>
  <si>
    <t>Rails Steakhouse (A)</t>
  </si>
  <si>
    <t>Matta Donna (Z)</t>
  </si>
  <si>
    <t>The Second Half On Main</t>
  </si>
  <si>
    <t>Olive Garden Rockaway</t>
  </si>
  <si>
    <t>Stone Water</t>
  </si>
  <si>
    <t>The Windlass Rest (A)</t>
  </si>
  <si>
    <t>The Beacon</t>
  </si>
  <si>
    <t>Mohawk House (P)</t>
  </si>
  <si>
    <t>Rock Island Lake Club</t>
  </si>
  <si>
    <t>Casa Bellisma (A)</t>
  </si>
  <si>
    <t>Bearbrook Valley</t>
  </si>
  <si>
    <t>Fountain House (Z)</t>
  </si>
  <si>
    <t>Hyde-Away Rest &amp; Tap Room</t>
  </si>
  <si>
    <t>ACQUAVIVA RESTAURANT</t>
  </si>
  <si>
    <t>The Sussex Saloon</t>
  </si>
  <si>
    <t>Walpack Inn</t>
  </si>
  <si>
    <t>Elks Post 2236 (P)</t>
  </si>
  <si>
    <t>Skyline Lakes Prop Owners</t>
  </si>
  <si>
    <t>Bloomingdale Fire Dept</t>
  </si>
  <si>
    <t>K Of C Pequannock Valley</t>
  </si>
  <si>
    <t>Elks Pompton Lakes</t>
  </si>
  <si>
    <t>American Lg 279 Lincoln Park</t>
  </si>
  <si>
    <t>In The Crease (P)</t>
  </si>
  <si>
    <t>Sports Friends Soccer (A)</t>
  </si>
  <si>
    <t>Elks Post 2111 (A)</t>
  </si>
  <si>
    <t>Haledon Fire Dept(A)</t>
  </si>
  <si>
    <t>Moose Lodge (Z)</t>
  </si>
  <si>
    <t>Disabled Amvets (P)</t>
  </si>
  <si>
    <t>Elks Post (Z) #1569</t>
  </si>
  <si>
    <t>Ukranian (Z) Center</t>
  </si>
  <si>
    <t>K Of C N Arlington (Z)</t>
  </si>
  <si>
    <t>Elks Post 1992 (Z)</t>
  </si>
  <si>
    <t>Masonic (A) Club</t>
  </si>
  <si>
    <t>American Lgn Lyndhurst #139</t>
  </si>
  <si>
    <t>Polish American Club</t>
  </si>
  <si>
    <t>Native Union Club</t>
  </si>
  <si>
    <t>Hasbrouck Heights Elks</t>
  </si>
  <si>
    <t>Hillside (A) S A C</t>
  </si>
  <si>
    <t>K Of C Lodi</t>
  </si>
  <si>
    <t>Lodi Moose Lodge 1971</t>
  </si>
  <si>
    <t>S &amp; A Society (Z)</t>
  </si>
  <si>
    <t>Elks Post 2475 (Z)</t>
  </si>
  <si>
    <t>Elks Post 1506</t>
  </si>
  <si>
    <t>K Of C 2229 (Z)</t>
  </si>
  <si>
    <t>Ft Lee Athletic Club</t>
  </si>
  <si>
    <t>Fire Company 3 Ft Lee</t>
  </si>
  <si>
    <t>K Of C Teaneck</t>
  </si>
  <si>
    <t>American Lgn 58 (A) Englewood</t>
  </si>
  <si>
    <t>Ideal Lodge 470 (P)</t>
  </si>
  <si>
    <t>Elks Post 2271 (Z)</t>
  </si>
  <si>
    <t>Elks Post 1477</t>
  </si>
  <si>
    <t>Elks Post 2290 (Z)</t>
  </si>
  <si>
    <t>K Of C River Edge</t>
  </si>
  <si>
    <t>Elks Post (Z) Dumont</t>
  </si>
  <si>
    <t>K Of C Dumont</t>
  </si>
  <si>
    <t>Elks Lodge 2304(Z)</t>
  </si>
  <si>
    <t>Elks Post 2234</t>
  </si>
  <si>
    <t>Elks Post 1562</t>
  </si>
  <si>
    <t>K Of C Westwood</t>
  </si>
  <si>
    <t>Elmwood Pk-Pater Elks #60</t>
  </si>
  <si>
    <t>Columbian Club (Z)</t>
  </si>
  <si>
    <t>K Of C Maywood</t>
  </si>
  <si>
    <t>Elks Post 2001 Paramus</t>
  </si>
  <si>
    <t>Fair Lawn Athletic Club</t>
  </si>
  <si>
    <t>K Of C W Bergen</t>
  </si>
  <si>
    <t>Cosmo Club (Z)</t>
  </si>
  <si>
    <t>Glen Rock Ac Clb(P)</t>
  </si>
  <si>
    <t>Upper Ridgewood Tennis(A)</t>
  </si>
  <si>
    <t>Vol Fire Co Midland Pk.</t>
  </si>
  <si>
    <t>K Of C (Z) Washing. Twsp</t>
  </si>
  <si>
    <t>K Of C Ramsey</t>
  </si>
  <si>
    <t>Elks Post 1941 (Z)</t>
  </si>
  <si>
    <t>Elks Post 2167</t>
  </si>
  <si>
    <t>Boonton Elks</t>
  </si>
  <si>
    <t>Rock Ridge Community</t>
  </si>
  <si>
    <t>Vasa Park</t>
  </si>
  <si>
    <t>Columbus Club of Morristown NJ</t>
  </si>
  <si>
    <t>Swim And Sports Club</t>
  </si>
  <si>
    <t>Elks Post 2356</t>
  </si>
  <si>
    <t>Vfw 5360 Newton(P)</t>
  </si>
  <si>
    <t>Stillwater Area Vol Fire</t>
  </si>
  <si>
    <t>Ogdensburg Fire Dept</t>
  </si>
  <si>
    <t>Vfw 8441 Vernon</t>
  </si>
  <si>
    <t>Elks Lodge 2288</t>
  </si>
  <si>
    <t>NYX</t>
  </si>
  <si>
    <t>Ragtime Gentlemen's Club</t>
  </si>
  <si>
    <t>Jiggle's</t>
  </si>
  <si>
    <t>Moonlight (P) Lounge</t>
  </si>
  <si>
    <t>Roses Bar &amp; Liquors</t>
  </si>
  <si>
    <t>Marcet Cafe</t>
  </si>
  <si>
    <t>Hi-Beams (P)</t>
  </si>
  <si>
    <t>Johnny A's (P) Hitchn Pos</t>
  </si>
  <si>
    <t>Roxxie's (P)</t>
  </si>
  <si>
    <t>Tease (P)</t>
  </si>
  <si>
    <t>Pulse Gentleman's Club</t>
  </si>
  <si>
    <t>Satin Dolls (A)</t>
  </si>
  <si>
    <t>Players Club (Z)</t>
  </si>
  <si>
    <t>Riviera Lounge (P)</t>
  </si>
  <si>
    <t>Club 15(P)</t>
  </si>
  <si>
    <t>Cedar Hill Golf/Cc</t>
  </si>
  <si>
    <t>Sunset Valley G C (A)</t>
  </si>
  <si>
    <t>Meadows Golf Club(P)</t>
  </si>
  <si>
    <t>North Jersey C C</t>
  </si>
  <si>
    <t>Preakness Hills (A) cc</t>
  </si>
  <si>
    <t>Packanack Golf (P)</t>
  </si>
  <si>
    <t>In The Drink@Passaic Gc</t>
  </si>
  <si>
    <t>Upper Montclair Cc (A)</t>
  </si>
  <si>
    <t>Knickerbocker Golf (P)</t>
  </si>
  <si>
    <t>Hackensack Golf (A)</t>
  </si>
  <si>
    <t>Haworth Golf Club(A)</t>
  </si>
  <si>
    <t>White Beeches Golf Club</t>
  </si>
  <si>
    <t>Alpine C.C. (Z)</t>
  </si>
  <si>
    <t>Montammy Golf Club (P)</t>
  </si>
  <si>
    <t>Edgewood Country Club</t>
  </si>
  <si>
    <t>Rivervale Country Club</t>
  </si>
  <si>
    <t>Green Point Restaurant</t>
  </si>
  <si>
    <t>Ridgewood Country Club</t>
  </si>
  <si>
    <t>Arcola Country C.</t>
  </si>
  <si>
    <t>Ramsey Country Clb</t>
  </si>
  <si>
    <t>Mountain Ridge Cc</t>
  </si>
  <si>
    <t>Essex County Cc (A)</t>
  </si>
  <si>
    <t>Par 440 Restaurant</t>
  </si>
  <si>
    <t>Glen Ridge Country Club</t>
  </si>
  <si>
    <t>Hudson Golf</t>
  </si>
  <si>
    <t>The Knoll Country Club &amp; Catering</t>
  </si>
  <si>
    <t>Peace Pipe Cc (P)</t>
  </si>
  <si>
    <t>Rockaway River Cc(P)</t>
  </si>
  <si>
    <t>The Club (NAFIB4-22-A-0036)</t>
  </si>
  <si>
    <t>Picatinney Golf(NAFIB4-22-A-0036)</t>
  </si>
  <si>
    <t>Sam Adam's Pub (NAFIB4-22-A-0036)</t>
  </si>
  <si>
    <t>The Grill Room</t>
  </si>
  <si>
    <t>Berkshire Valley Gc</t>
  </si>
  <si>
    <t>Skyview Golf Course (A)</t>
  </si>
  <si>
    <t>Lake Mohawk (P) Golf Club</t>
  </si>
  <si>
    <t>Newton Country Club</t>
  </si>
  <si>
    <t>Black Bear Golf(A)</t>
  </si>
  <si>
    <t>Crystal Sprs/Wild Turkey</t>
  </si>
  <si>
    <t>Great Gorge Golf (A) Club</t>
  </si>
  <si>
    <t>Bally Owen Golf Club</t>
  </si>
  <si>
    <t>Farmstead Golf (P)</t>
  </si>
  <si>
    <t>Jumboland Diner</t>
  </si>
  <si>
    <t>High Point Gc/Rest (P)</t>
  </si>
  <si>
    <t>Baltusrol Golf Club</t>
  </si>
  <si>
    <t>Echo Lake Country Club</t>
  </si>
  <si>
    <t>Residence Inn</t>
  </si>
  <si>
    <t>Hilton Garden Inn wayne</t>
  </si>
  <si>
    <t>Courtyard by Marriott Wayne Fairfield</t>
  </si>
  <si>
    <t>Homewood Suites By Hilton</t>
  </si>
  <si>
    <t>Courtyard Marriott(A)</t>
  </si>
  <si>
    <t>Renaissance Meadowlands</t>
  </si>
  <si>
    <t>Residence Inn East Rutherford</t>
  </si>
  <si>
    <t>Spring Hill Suites Carlstadt</t>
  </si>
  <si>
    <t>Holiday Inn (Hasbrook Height)</t>
  </si>
  <si>
    <t>Hilton Hasbrk Hts #50591</t>
  </si>
  <si>
    <t>Home2 Suites by Hilton</t>
  </si>
  <si>
    <t>The Concourse #728</t>
  </si>
  <si>
    <t>Hilton Garden Inn Ridgefield Park</t>
  </si>
  <si>
    <t>Hyatt Place Fort Lee</t>
  </si>
  <si>
    <t>Double Tree Hotel Ft Lee</t>
  </si>
  <si>
    <t>Courtyard By Marriott Edgewater</t>
  </si>
  <si>
    <t>Homewood Suites Edgewater</t>
  </si>
  <si>
    <t>Hampton Inn &amp; Suites</t>
  </si>
  <si>
    <t>Marriott (A) Teaneck</t>
  </si>
  <si>
    <t>Sini Bistro</t>
  </si>
  <si>
    <t>Marriott (P) Park Ridge</t>
  </si>
  <si>
    <t>Marriot Hotel(A)Saddle Bk</t>
  </si>
  <si>
    <t>Paramus Courtyard</t>
  </si>
  <si>
    <t>Hampton Inn Paramus</t>
  </si>
  <si>
    <t>Hyatt Place Fair Lawn (A)</t>
  </si>
  <si>
    <t>Double Tree By Hilton</t>
  </si>
  <si>
    <t>Courtyard Mahwah</t>
  </si>
  <si>
    <t>Marriott @Newark Liberty</t>
  </si>
  <si>
    <t>Hyatt Regency</t>
  </si>
  <si>
    <t>Hyatt House Jersey City</t>
  </si>
  <si>
    <t>Canopy Jersey City</t>
  </si>
  <si>
    <t>Halifax Restaurant</t>
  </si>
  <si>
    <t>Courtyard Secaucus Meadowlands</t>
  </si>
  <si>
    <t>Archer Hotel-Florham Pk.</t>
  </si>
  <si>
    <t>Sheraton Parsippany Hotel</t>
  </si>
  <si>
    <t>Hilton Garden Inn Rockaway</t>
  </si>
  <si>
    <t>Courtyard Marriott Mt Arl</t>
  </si>
  <si>
    <t>Holiday Inn</t>
  </si>
  <si>
    <t>North Shore House</t>
  </si>
  <si>
    <t>Fredon Liquor (Fredon Deli)</t>
  </si>
  <si>
    <t>23 liquor &amp; Tobacco</t>
  </si>
  <si>
    <t>Hootch Hut (P)</t>
  </si>
  <si>
    <t>Uncorked Wines &amp; Spirits (West Milford)</t>
  </si>
  <si>
    <t>Greenwood Lake Disc.(P)</t>
  </si>
  <si>
    <t>M &amp; M Discount Liq</t>
  </si>
  <si>
    <t>Vault Liquors</t>
  </si>
  <si>
    <t>Highland Wine&amp;Liquor Inc</t>
  </si>
  <si>
    <t>Ringwood Discount Liquors</t>
  </si>
  <si>
    <t>Ringwood W&amp;L</t>
  </si>
  <si>
    <t>Best Cellars (Wanaque)</t>
  </si>
  <si>
    <t>Usa Wine Traders (Wanaque)</t>
  </si>
  <si>
    <t>Wine 2 Spirits (P)</t>
  </si>
  <si>
    <t>Bloomingdale Discount Liq</t>
  </si>
  <si>
    <t>Turnpike Discount Liquors</t>
  </si>
  <si>
    <t>Usa Wine Traders Club (Bloomingdale)</t>
  </si>
  <si>
    <t>River Place Food Store</t>
  </si>
  <si>
    <t>Roserne Pkg Store South</t>
  </si>
  <si>
    <t>Roserne Liquors North</t>
  </si>
  <si>
    <t>Kinnelon Country Wine &amp; Liquor</t>
  </si>
  <si>
    <t>Home Wine and Liquors</t>
  </si>
  <si>
    <t>Country Convenience Store</t>
  </si>
  <si>
    <t>Empire Wine &amp; Liquor</t>
  </si>
  <si>
    <t>Krauszer's Liquor Wine and Spirits</t>
  </si>
  <si>
    <t>Shoppers Disc(A)Pompton</t>
  </si>
  <si>
    <t>Appio's Liquors</t>
  </si>
  <si>
    <t>George's Market (A)</t>
  </si>
  <si>
    <t>B &amp; B Wine&amp;Liq</t>
  </si>
  <si>
    <t>Buy Rite W &amp;L Pompton(P)</t>
  </si>
  <si>
    <t>Lincoln Center Liq</t>
  </si>
  <si>
    <t>Lincoln Park Fine Wines &amp; Spirits</t>
  </si>
  <si>
    <t>Wolfson Market</t>
  </si>
  <si>
    <t>Wayne Liquor Locker</t>
  </si>
  <si>
    <t>Shay's Liquors</t>
  </si>
  <si>
    <t>Gary's Wine &amp; Marketplace (Wayne)</t>
  </si>
  <si>
    <t>Bottle King (A) Wayne</t>
  </si>
  <si>
    <t>Shays Liquors</t>
  </si>
  <si>
    <t>FRANKFORD FD / NJ STATE FAIR</t>
  </si>
  <si>
    <t>Shop Rite Liq (A)Littlefl</t>
  </si>
  <si>
    <t>Little Falls Liq(P)</t>
  </si>
  <si>
    <t>On The Rocks</t>
  </si>
  <si>
    <t>Wine &amp; Bev. Depot (A)</t>
  </si>
  <si>
    <t>Total Wine &amp; More (Totowa)</t>
  </si>
  <si>
    <t>Cost Plus</t>
  </si>
  <si>
    <t>Pal's Liquor</t>
  </si>
  <si>
    <t>El Oasis</t>
  </si>
  <si>
    <t>Deli Parchardo Liquors</t>
  </si>
  <si>
    <t>Gene's Liquor</t>
  </si>
  <si>
    <t>Angel's Wine &amp; Liquors</t>
  </si>
  <si>
    <t>EL BOHEMIO 2 LIQUOR STORE &amp; BAR</t>
  </si>
  <si>
    <t>Pete's Family Liqs</t>
  </si>
  <si>
    <t>Allen's Liquors</t>
  </si>
  <si>
    <t>Liquor Gallery (Paterson)</t>
  </si>
  <si>
    <t>Legacy Bar &amp; Liquor</t>
  </si>
  <si>
    <t>Freddie's Corner</t>
  </si>
  <si>
    <t>Belmont Liqrs (P)</t>
  </si>
  <si>
    <t>Boulevard Wine &amp; Spirits</t>
  </si>
  <si>
    <t>Hillcrest Liqrs (A)</t>
  </si>
  <si>
    <t>Frank's Fine Wine &amp; Foods</t>
  </si>
  <si>
    <t>Nico's Wine &amp; Spirits</t>
  </si>
  <si>
    <t>Speedy Mart (P)</t>
  </si>
  <si>
    <t>Wine Dad's Jersey City</t>
  </si>
  <si>
    <t>Wine Dad's - Summit Ave Jersey City</t>
  </si>
  <si>
    <t>Grand Opening Liq (A)_2</t>
  </si>
  <si>
    <t>Hawthorne Liq (A)</t>
  </si>
  <si>
    <t>Diamond Liquor</t>
  </si>
  <si>
    <t>Goffle Road Wine and More</t>
  </si>
  <si>
    <t>La Sorpresa Liq (P)</t>
  </si>
  <si>
    <t>Bombolon Liquor &amp; Grocery</t>
  </si>
  <si>
    <t>Diamond Liquors (P)</t>
  </si>
  <si>
    <t>Caraballo's</t>
  </si>
  <si>
    <t>Mercer Bar &amp; Liquors</t>
  </si>
  <si>
    <t>230 Liq &amp; Groc.(A)</t>
  </si>
  <si>
    <t>Star Liquor Store</t>
  </si>
  <si>
    <t>10th Ave Liq &amp; Food (P)</t>
  </si>
  <si>
    <t>La Joya Liquors</t>
  </si>
  <si>
    <t>Riverside Liquors (Paterson)</t>
  </si>
  <si>
    <t>The Point Liquor &amp; Bar</t>
  </si>
  <si>
    <t>Hiciano Liquor Store</t>
  </si>
  <si>
    <t>Yaremy Liquors</t>
  </si>
  <si>
    <t>Midtown Liquors</t>
  </si>
  <si>
    <t>Costambar Bar &amp; Liquor Corp.</t>
  </si>
  <si>
    <t>East Side Bar Liquors</t>
  </si>
  <si>
    <t>Moya E.Bar&amp;Liq.(Z)</t>
  </si>
  <si>
    <t>Intensity Lounge/Angie's Liquors</t>
  </si>
  <si>
    <t>Florida Drugs (A)</t>
  </si>
  <si>
    <t>Segundo's (P)</t>
  </si>
  <si>
    <t>Joe's Liquor (A)</t>
  </si>
  <si>
    <t>Moca Liquors Ii</t>
  </si>
  <si>
    <t>Limestone Liquors (A)</t>
  </si>
  <si>
    <t>Raphael &amp; Angel Liq (A)</t>
  </si>
  <si>
    <t>Super Wine Warehse(P)Pate</t>
  </si>
  <si>
    <t>Ronny's Liqrs (Z)</t>
  </si>
  <si>
    <t>El Cantaro Liquors</t>
  </si>
  <si>
    <t>Main Discount (P) Liqs.</t>
  </si>
  <si>
    <t>Rocky's Liquor Store</t>
  </si>
  <si>
    <t>Camilo Liquors(A)</t>
  </si>
  <si>
    <t>Park Avenue Liquors</t>
  </si>
  <si>
    <t>Luna Liquors</t>
  </si>
  <si>
    <t>Altiero Liquors</t>
  </si>
  <si>
    <t>C Town Supermarket(P)</t>
  </si>
  <si>
    <t>Broadway Liq (A)</t>
  </si>
  <si>
    <t>Carisma Liq &amp; Groc (P)</t>
  </si>
  <si>
    <t>The Liquor Shop</t>
  </si>
  <si>
    <t>Schulman's (P) Deli</t>
  </si>
  <si>
    <t>M &amp; R Disc (A) Liqs.</t>
  </si>
  <si>
    <t>Farm Boy</t>
  </si>
  <si>
    <t>Dorta Liquor (A)</t>
  </si>
  <si>
    <t>Ferraro's Liquor</t>
  </si>
  <si>
    <t>Quis Queya Liquor(P)</t>
  </si>
  <si>
    <t>C &amp; S Lucky Liquors (P)</t>
  </si>
  <si>
    <t>C &amp; S Lucky Liquors II</t>
  </si>
  <si>
    <t>Ant's Bar &amp; Liquors</t>
  </si>
  <si>
    <t>C Town (A)</t>
  </si>
  <si>
    <t>Edwards (P) Wine &amp; Liq</t>
  </si>
  <si>
    <t>Economy Liquors</t>
  </si>
  <si>
    <t>Valley Liquors (A)</t>
  </si>
  <si>
    <t>Pete's Liquors</t>
  </si>
  <si>
    <t>Shop Rite Wines/Spirits</t>
  </si>
  <si>
    <t>46 Discount Liquor Store</t>
  </si>
  <si>
    <t>Field Liquors (A)</t>
  </si>
  <si>
    <t>Richfield Liquors</t>
  </si>
  <si>
    <t>Swizzle Stick Liq (A)</t>
  </si>
  <si>
    <t>Paulison Liquors (P)</t>
  </si>
  <si>
    <t>Henry's Liquors</t>
  </si>
  <si>
    <t>Quik Stop Conv(Z)</t>
  </si>
  <si>
    <t>Shoppers Vineyard (A)</t>
  </si>
  <si>
    <t>Dante's Liquor &amp; Wine</t>
  </si>
  <si>
    <t>Bottleneck Liquors</t>
  </si>
  <si>
    <t>Broad Liquors (A)</t>
  </si>
  <si>
    <t>Rainbow Liquor (P)</t>
  </si>
  <si>
    <t>US#1 Wine &amp; Liquor</t>
  </si>
  <si>
    <t>Liquor Stop (P) (Clifton)</t>
  </si>
  <si>
    <t>Vasel's (A)</t>
  </si>
  <si>
    <t>Clifton Commons S &amp; W</t>
  </si>
  <si>
    <t>Stew Leonard's Wines &amp; Spirits of Clifton</t>
  </si>
  <si>
    <t>Bottle Liquor (P)</t>
  </si>
  <si>
    <t>Limonta Liqs (A)</t>
  </si>
  <si>
    <t>Savers Club Liquor Locker</t>
  </si>
  <si>
    <t>Clifton Wine &amp; Liquor</t>
  </si>
  <si>
    <t>Lexington Liquors (Z)</t>
  </si>
  <si>
    <t>Liquor Mart 46</t>
  </si>
  <si>
    <t>Figlar's (P)</t>
  </si>
  <si>
    <t>Town Liquors</t>
  </si>
  <si>
    <t>Clifton Disc Liq (A)</t>
  </si>
  <si>
    <t>Parker Liquors (Z)</t>
  </si>
  <si>
    <t>Stew Leonard's Wines &amp; Spirits of Clifton (NA)</t>
  </si>
  <si>
    <t>Luigi's Liquor (A)</t>
  </si>
  <si>
    <t>Regalado Liq</t>
  </si>
  <si>
    <t>President Liqrs (A)</t>
  </si>
  <si>
    <t>#1 Liqrs (P)</t>
  </si>
  <si>
    <t>Bermuda Liquors (P)</t>
  </si>
  <si>
    <t>ESTEVEZ LIQUORS LLC</t>
  </si>
  <si>
    <t>Marina's Wine &amp; Spirits</t>
  </si>
  <si>
    <t>Johnny's Liqs (P)</t>
  </si>
  <si>
    <t>Home Wine Liquor (Passaic)</t>
  </si>
  <si>
    <t>Cork and Barrel</t>
  </si>
  <si>
    <t>Liquor Stop (Passaic)</t>
  </si>
  <si>
    <t>Shanik Liqs.(P)</t>
  </si>
  <si>
    <t>Danny's Liquor</t>
  </si>
  <si>
    <t>Monroe Wine &amp; Liq(P)</t>
  </si>
  <si>
    <t>New Eagle Liquors</t>
  </si>
  <si>
    <t>D'bar Liquors (P)</t>
  </si>
  <si>
    <t>Archies (P)</t>
  </si>
  <si>
    <t>Sunny's Liqs.(P)</t>
  </si>
  <si>
    <t>Broadway W&amp;L</t>
  </si>
  <si>
    <t>Mariana's Liquors</t>
  </si>
  <si>
    <t>Passaic Discount Liquors</t>
  </si>
  <si>
    <t>One Stop Wine (A) &amp; Liq</t>
  </si>
  <si>
    <t>Schuyler Food</t>
  </si>
  <si>
    <t>J B Liquors_2</t>
  </si>
  <si>
    <t>Metro Liquors (North Arlington)</t>
  </si>
  <si>
    <t>Liquor Mart (North Arlington)</t>
  </si>
  <si>
    <t>Lucky 7 (A)</t>
  </si>
  <si>
    <t>Liquor Shed</t>
  </si>
  <si>
    <t>Shop-Rite Liq Lyndhurst</t>
  </si>
  <si>
    <t>Krauszers Food</t>
  </si>
  <si>
    <t>Quick Buy</t>
  </si>
  <si>
    <t>Paradise Liquors</t>
  </si>
  <si>
    <t>World of Wine &amp; Liquor</t>
  </si>
  <si>
    <t>Riverside Liquors</t>
  </si>
  <si>
    <t>Lyndhurst Liquors (P)</t>
  </si>
  <si>
    <t>Meadow Fine Liquors</t>
  </si>
  <si>
    <t>Mason's Cellar (A)</t>
  </si>
  <si>
    <t>West End Wine &amp; Liq</t>
  </si>
  <si>
    <t>Rutherford Wine (A)</t>
  </si>
  <si>
    <t>Forest Dairy (A)</t>
  </si>
  <si>
    <t>Village Wine (P)</t>
  </si>
  <si>
    <t>Krauser Food &amp; Liq(A)</t>
  </si>
  <si>
    <t>Metro Liquors (East Rutherford)</t>
  </si>
  <si>
    <t>Metro Wine And Liq(A)</t>
  </si>
  <si>
    <t>Capri Deli&amp;Liq (P)</t>
  </si>
  <si>
    <t>H Mart Inc (Space A101-A)</t>
  </si>
  <si>
    <t>Bottle Republic (Rutherford)</t>
  </si>
  <si>
    <t>Wine Liquor Shop</t>
  </si>
  <si>
    <t>Cobblestone Hill Deli</t>
  </si>
  <si>
    <t>Wine Grand (Carlstadt)</t>
  </si>
  <si>
    <t>Moonachie Liquors</t>
  </si>
  <si>
    <t>Meadowland Wine &amp; Liquor</t>
  </si>
  <si>
    <t>Yoshi Liq/Wine (P)</t>
  </si>
  <si>
    <t>Princess Liquor's(P)</t>
  </si>
  <si>
    <t>Liquor Masters (P)</t>
  </si>
  <si>
    <t>The Wine Rack Hasbrouck Hts</t>
  </si>
  <si>
    <t>Westmont Liquors 64</t>
  </si>
  <si>
    <t>Woodridge Wines &amp; Liq(A)</t>
  </si>
  <si>
    <t>Wallington Liquor and Wine</t>
  </si>
  <si>
    <t>Shop Rite Of Wallington</t>
  </si>
  <si>
    <t>Vicki's Bar &amp; Liquors</t>
  </si>
  <si>
    <t>King Liquors</t>
  </si>
  <si>
    <t>Garfield Bar &amp; Liq (P)</t>
  </si>
  <si>
    <t>Garfield Discount Liquors</t>
  </si>
  <si>
    <t>Joe's Liquors</t>
  </si>
  <si>
    <t>Worldwide Liquors (A)</t>
  </si>
  <si>
    <t>All Nations Liq</t>
  </si>
  <si>
    <t>Piast Meats &amp; Prov.</t>
  </si>
  <si>
    <t>River Drive Bar (P)</t>
  </si>
  <si>
    <t>Riverview Liquors &amp; Bar</t>
  </si>
  <si>
    <t>Whoopee Liq (A)</t>
  </si>
  <si>
    <t>JR Sports Bar &amp; Liquors(Z)</t>
  </si>
  <si>
    <t>Garden Liquors (P)</t>
  </si>
  <si>
    <t>Shop Rite Liq.(A)Lodi</t>
  </si>
  <si>
    <t>Lodi Liquor Store(P)</t>
  </si>
  <si>
    <t>THE BOTTLE SHOP</t>
  </si>
  <si>
    <t>Circle Liquors</t>
  </si>
  <si>
    <t>Buy Rite Of Main St Lodi</t>
  </si>
  <si>
    <t>Buy Rite Discount Liquor</t>
  </si>
  <si>
    <t>Home Wines &amp; Liq 75 (A) (South Hackensack)</t>
  </si>
  <si>
    <t>Wine And Liq Depot(A)</t>
  </si>
  <si>
    <t>Bottle &amp; Cork</t>
  </si>
  <si>
    <t>Simple Simon's (Z)</t>
  </si>
  <si>
    <t>Hackensack Liquors</t>
  </si>
  <si>
    <t>Essex St Liquor and Wine</t>
  </si>
  <si>
    <t>Budy's Wine &amp; Liq (A)</t>
  </si>
  <si>
    <t>Buy Rite Of Hackensack</t>
  </si>
  <si>
    <t>Parisi Deli</t>
  </si>
  <si>
    <t>George's Liq</t>
  </si>
  <si>
    <t>Deli Mart (A)</t>
  </si>
  <si>
    <t>99 Ranch Market</t>
  </si>
  <si>
    <t>L. F. Wine Country (P)</t>
  </si>
  <si>
    <t>Wine And People</t>
  </si>
  <si>
    <t>Little Ferry Wines/Liquor</t>
  </si>
  <si>
    <t>Buzzzrite Liquors</t>
  </si>
  <si>
    <t>Vinny's Disc Liq (P)</t>
  </si>
  <si>
    <t>City Supermarket</t>
  </si>
  <si>
    <t>Checo Supermarket</t>
  </si>
  <si>
    <t>Boulevard Liq.(Fairview)</t>
  </si>
  <si>
    <t>Rome Liquors (Fairview)</t>
  </si>
  <si>
    <t>Fairview Liq &amp; Groc.(A)</t>
  </si>
  <si>
    <t>American Classic Liq</t>
  </si>
  <si>
    <t>Buy Rite Of Fairview</t>
  </si>
  <si>
    <t>Kikos Liquors Ii</t>
  </si>
  <si>
    <t>Wine And Food Mart (Z)</t>
  </si>
  <si>
    <t>Winston Wine &amp; Liq</t>
  </si>
  <si>
    <t>Metro Liquor (Cliffside Park)</t>
  </si>
  <si>
    <t>Garden State Food&amp;Liq (P)</t>
  </si>
  <si>
    <t>Campbell's Wines &amp; Liquor</t>
  </si>
  <si>
    <t>Liquor City(A)Cliffside</t>
  </si>
  <si>
    <t>Stop N Go Conven. (P)</t>
  </si>
  <si>
    <t>Rome Liquor (Cliffside Park)</t>
  </si>
  <si>
    <t>Minit Mart_2</t>
  </si>
  <si>
    <t>JC&amp;D Best Wine &amp; Liquor</t>
  </si>
  <si>
    <t>Ridgefield Liq (Z)</t>
  </si>
  <si>
    <t>Best Choice Liqrs (P)</t>
  </si>
  <si>
    <t>Palisades Park Liq(P)</t>
  </si>
  <si>
    <t>Banner Delicatessen</t>
  </si>
  <si>
    <t>Han Mi Supermkt (A)</t>
  </si>
  <si>
    <t>Jay Cee (P) Deli &amp; Liq.</t>
  </si>
  <si>
    <t>Boulevard Food Store</t>
  </si>
  <si>
    <t>Palisades Wine And Liquor</t>
  </si>
  <si>
    <t>Anthony's Pharmacy</t>
  </si>
  <si>
    <t>Discount Lqr(A) Outlet</t>
  </si>
  <si>
    <t>Wides Deli &amp; Liquor</t>
  </si>
  <si>
    <t>Exquisite W &amp; L (A)</t>
  </si>
  <si>
    <t>Manor Wine &amp; Liquor</t>
  </si>
  <si>
    <t>Leonia Wine &amp; Spirits</t>
  </si>
  <si>
    <t>Andres Wine &amp; Spirits</t>
  </si>
  <si>
    <t>Bp Gas Station</t>
  </si>
  <si>
    <t>Linwood Wine-Linwood Plaza</t>
  </si>
  <si>
    <t>Top Shelf Liquors</t>
  </si>
  <si>
    <t>Fairway Mkt &amp; Gift(A)</t>
  </si>
  <si>
    <t>Banner Liquor Iii</t>
  </si>
  <si>
    <t>Gulf Express Fort Lee</t>
  </si>
  <si>
    <t>Junction Liquors</t>
  </si>
  <si>
    <t>Acme Markets (Fort Lee)</t>
  </si>
  <si>
    <t>Linwood Wine-Hudson Light</t>
  </si>
  <si>
    <t>Liquor World</t>
  </si>
  <si>
    <t>Edgewater Liquor (A)</t>
  </si>
  <si>
    <t>Hmart Fresh (P)</t>
  </si>
  <si>
    <t>Mitsuwa Market (A)</t>
  </si>
  <si>
    <t>Lushka Liquors</t>
  </si>
  <si>
    <t>Agave Liquor, Wine &amp; Spirits</t>
  </si>
  <si>
    <t>Megha Liquor &amp; Groc. (P)</t>
  </si>
  <si>
    <t>Welsh Farms</t>
  </si>
  <si>
    <t>Riverview Liq (P)</t>
  </si>
  <si>
    <t>Ma'adan Catering</t>
  </si>
  <si>
    <t>Wine &amp; More (P)</t>
  </si>
  <si>
    <t>Teaneck Quickshop(P)Conv</t>
  </si>
  <si>
    <t>Wineland</t>
  </si>
  <si>
    <t>Fill Er Up Kosher Wine(P)</t>
  </si>
  <si>
    <t>H &amp; R Disc. Liq (P)</t>
  </si>
  <si>
    <t>Teaneck Liquors</t>
  </si>
  <si>
    <t>G &amp; G Liquors</t>
  </si>
  <si>
    <t>Teaneck Discount Liquor</t>
  </si>
  <si>
    <t>Grand Liquor &amp; Delicatesen</t>
  </si>
  <si>
    <t>Englewood Liq (A)</t>
  </si>
  <si>
    <t>Englewood Wine (A)</t>
  </si>
  <si>
    <t>Shop Rite Liq (A)Englewd</t>
  </si>
  <si>
    <t>W E Beverage (A)</t>
  </si>
  <si>
    <t>Jerry's Outlet</t>
  </si>
  <si>
    <t>Englewood Wine and Spirits</t>
  </si>
  <si>
    <t>Santa Barbara</t>
  </si>
  <si>
    <t>Burgundy Convenience Store</t>
  </si>
  <si>
    <t>Tenafly Fine Wine &amp; Spirits</t>
  </si>
  <si>
    <t>Wine Ventures</t>
  </si>
  <si>
    <t>Coasters Liquors</t>
  </si>
  <si>
    <t>Portland Wine &amp; Liquor</t>
  </si>
  <si>
    <t>Bergenfield Liq &amp; Fw</t>
  </si>
  <si>
    <t>Time Lounge And Liq (A)</t>
  </si>
  <si>
    <t>VINEYARD</t>
  </si>
  <si>
    <t>Barrel &amp; Brew Bar &amp; Liq</t>
  </si>
  <si>
    <t>Joes Beer Wine &amp; Spirits</t>
  </si>
  <si>
    <t>New Milford Liquors</t>
  </si>
  <si>
    <t>Total Wine &amp; More (River Edge)</t>
  </si>
  <si>
    <t>River Edge Wine &amp; Liquor</t>
  </si>
  <si>
    <t>Country Wine &amp; Liquors</t>
  </si>
  <si>
    <t>Oradell Mini Mart(P)</t>
  </si>
  <si>
    <t>Royal Wine &amp; Spirits II</t>
  </si>
  <si>
    <t>Bottle King (A) Dumont</t>
  </si>
  <si>
    <t>Charlie's Liquor and Convenience</t>
  </si>
  <si>
    <t>D &amp; L Dumont Liquors</t>
  </si>
  <si>
    <t>Haworth Fine Wine/Spirits</t>
  </si>
  <si>
    <t>Garden State Deli (A)</t>
  </si>
  <si>
    <t>Murphy's Fine Wines &amp; Liquors (UNI 4H Inc.)</t>
  </si>
  <si>
    <t>Gary's Wine &amp; Marketplace (Closter)</t>
  </si>
  <si>
    <t>X Plor Wine</t>
  </si>
  <si>
    <t>The Store</t>
  </si>
  <si>
    <t>Wine &amp; Whiskey (A)</t>
  </si>
  <si>
    <t>Beverage Barn (A)</t>
  </si>
  <si>
    <t>Shoprite Liq (A)Northvle</t>
  </si>
  <si>
    <t>Wine And Beverage Spirits</t>
  </si>
  <si>
    <t>Montvale Wine/Liq &amp; Beer</t>
  </si>
  <si>
    <t>Brand Bar &amp; Bev (A)</t>
  </si>
  <si>
    <t>Ridgemont Liquors (A)</t>
  </si>
  <si>
    <t>Cambridge Wines (Woodcliff Lake)</t>
  </si>
  <si>
    <t>Bottle King (A) Hillsdale</t>
  </si>
  <si>
    <t>Shop Rite Liq (A)Hillsdal</t>
  </si>
  <si>
    <t>Winemart Discount</t>
  </si>
  <si>
    <t>Djm Liq Inc. (P)(Andrew)</t>
  </si>
  <si>
    <t>Westwood Wine and Liquors</t>
  </si>
  <si>
    <t>Shop Rite Liq (A)Emerson</t>
  </si>
  <si>
    <t>Cork &amp; Keg (A)</t>
  </si>
  <si>
    <t>Wine Country Of Saddle Brook (A)</t>
  </si>
  <si>
    <t>Usa Wine Traders Club (Saddle Brook)</t>
  </si>
  <si>
    <t>Discount Liq &amp; Bar</t>
  </si>
  <si>
    <t>Krauszer Liquor</t>
  </si>
  <si>
    <t>Food Mart Liquor</t>
  </si>
  <si>
    <t>Birchwood Liq &amp; Deli (Z)</t>
  </si>
  <si>
    <t>Wine Land</t>
  </si>
  <si>
    <t>M &amp; M Wine &amp; Spirits</t>
  </si>
  <si>
    <t>Payless Liquor &amp; Dell</t>
  </si>
  <si>
    <t>Metro Liquor (Elmwood Park)</t>
  </si>
  <si>
    <t>All Star Wine &amp; Liquor</t>
  </si>
  <si>
    <t>Ani Service Station Inc</t>
  </si>
  <si>
    <t>Shop Rite Liq(A) Roch Pk</t>
  </si>
  <si>
    <t>J R W &amp; Liq (A)</t>
  </si>
  <si>
    <t>Hollywd Liq&amp;Deli (A)</t>
  </si>
  <si>
    <t>Maywood Wine&amp;Liq (A)</t>
  </si>
  <si>
    <t>Whole Foods Market (Paramus)</t>
  </si>
  <si>
    <t>Shop Rite Liq (Paramus)</t>
  </si>
  <si>
    <t>Stew Leonard's(A) Paramus Wine</t>
  </si>
  <si>
    <t>PRIME WINE CELLAR Liquor &amp; Beer</t>
  </si>
  <si>
    <t>B &amp; B Liquors (Fair Lawn)</t>
  </si>
  <si>
    <t>Fair Lawn Wine &amp; Spirits</t>
  </si>
  <si>
    <t>Morlot W &amp; L (A)</t>
  </si>
  <si>
    <t>Radburn Liquors (A</t>
  </si>
  <si>
    <t>Shop Rite Liq(A) Fair Lwn</t>
  </si>
  <si>
    <t>Beekman's Wines and Liquors</t>
  </si>
  <si>
    <t>Bottle King (A) Glen Rock</t>
  </si>
  <si>
    <t>Public Ridgewood</t>
  </si>
  <si>
    <t>GREEN WAY MARKETS</t>
  </si>
  <si>
    <t>Stop &amp; Shop (A)Ridgewood</t>
  </si>
  <si>
    <t>Quick Stop Liquor &amp; Wine</t>
  </si>
  <si>
    <t>The Wine Seller</t>
  </si>
  <si>
    <t>Ridgewood Super Cellar</t>
  </si>
  <si>
    <t>Acme Markets (Midland Park)</t>
  </si>
  <si>
    <t>Township Liq (P)</t>
  </si>
  <si>
    <t>Uncorked Wine &amp; Spirits (Hohokus)</t>
  </si>
  <si>
    <t>Wine &amp; Spirits World (Hohokus)</t>
  </si>
  <si>
    <t>Discount Liq (P)_2</t>
  </si>
  <si>
    <t>Waldwick Wine/Spirits</t>
  </si>
  <si>
    <t>Allendale Wine Shoppe</t>
  </si>
  <si>
    <t>Acme Markets (Allendale)</t>
  </si>
  <si>
    <t>Ramsey Wine &amp; Liquor</t>
  </si>
  <si>
    <t>Bottle King (A) Ramsey</t>
  </si>
  <si>
    <t>Mahwah Liqrs (P)</t>
  </si>
  <si>
    <t>Mahwah Wine &amp; Liquor (A)</t>
  </si>
  <si>
    <t>Scherer &amp; Company</t>
  </si>
  <si>
    <t>Long Hill Liquors (A)</t>
  </si>
  <si>
    <t>Oakland Wine (A)</t>
  </si>
  <si>
    <t>Franklin Lake Liq</t>
  </si>
  <si>
    <t>Wine &amp; Spirit World(W)</t>
  </si>
  <si>
    <t>PICNIC</t>
  </si>
  <si>
    <t>U S 1 Buy Rite (A)</t>
  </si>
  <si>
    <t>Port Imperial HOQ LLC</t>
  </si>
  <si>
    <t>Harry's Wine Cellar</t>
  </si>
  <si>
    <t>Verona Wine Cellar</t>
  </si>
  <si>
    <t>Shoprite Wine &amp; Spirits</t>
  </si>
  <si>
    <t>Merit (P)</t>
  </si>
  <si>
    <t>The Bottle Stop (Caldwell)</t>
  </si>
  <si>
    <t>Total Wine &amp; More (West Orange)</t>
  </si>
  <si>
    <t>Kingdom Liquors (A)</t>
  </si>
  <si>
    <t>Kings Super Markets</t>
  </si>
  <si>
    <t>Nutley Wine Shop</t>
  </si>
  <si>
    <t>Cedar Grove Liq (P)</t>
  </si>
  <si>
    <t>Gallaghers Wine &amp; Cheese</t>
  </si>
  <si>
    <t>Town House Liq (A)&amp; Wine</t>
  </si>
  <si>
    <t>Brookdale W &amp; S (A)</t>
  </si>
  <si>
    <t>FERRY WINE &amp; LIQUOR STOP</t>
  </si>
  <si>
    <t>Fairfield Wine Cellar</t>
  </si>
  <si>
    <t>Discount Liquors Bloomfield</t>
  </si>
  <si>
    <t>Romany Liquor Shop (A)</t>
  </si>
  <si>
    <t>Heller &amp; Heller Liquors (Nutley)</t>
  </si>
  <si>
    <t>Pioneer Wine's &amp; Liquors</t>
  </si>
  <si>
    <t>Krauser's Liquor Locker</t>
  </si>
  <si>
    <t>A&amp;M Liquor</t>
  </si>
  <si>
    <t>St Cloud Liquors</t>
  </si>
  <si>
    <t>South Orange Fine Wine &amp; Spirits</t>
  </si>
  <si>
    <t>Cedar Grove Wine Cellar</t>
  </si>
  <si>
    <t>Bottle King Glen Ridge</t>
  </si>
  <si>
    <t>Pilgrim Liquor</t>
  </si>
  <si>
    <t>Bottle King Livingston</t>
  </si>
  <si>
    <t>Fairchilds Market Place</t>
  </si>
  <si>
    <t>Belleville Liquors</t>
  </si>
  <si>
    <t>Heller &amp; Heller (East Orange)</t>
  </si>
  <si>
    <t>United Liquor</t>
  </si>
  <si>
    <t>Victory Wine &amp; Liquor</t>
  </si>
  <si>
    <t>New Silver Key Liquor</t>
  </si>
  <si>
    <t>Vailsburg Wine/Liq (A)</t>
  </si>
  <si>
    <t>New Home Liquor</t>
  </si>
  <si>
    <t>T&amp;T Liquors (A)</t>
  </si>
  <si>
    <t>Rajashree Wine &amp; Liq</t>
  </si>
  <si>
    <t>Oasis Liquor &amp; Deli</t>
  </si>
  <si>
    <t>Tory Corner Liquors (P)</t>
  </si>
  <si>
    <t>Berkeley Liquors</t>
  </si>
  <si>
    <t>Lucky 7 Wine &amp; Liq (A)</t>
  </si>
  <si>
    <t>Cordes Wine &amp; Liquor</t>
  </si>
  <si>
    <t>Buy Rite Wine &amp; Liquor</t>
  </si>
  <si>
    <t>Olshins Pharmacy</t>
  </si>
  <si>
    <t>Lisbon Wines &amp; Liquors</t>
  </si>
  <si>
    <t>Angelbeck's</t>
  </si>
  <si>
    <t>Party Liquors</t>
  </si>
  <si>
    <t>Jacks Supermarket</t>
  </si>
  <si>
    <t>Iron Bound Wines &amp; Spirit</t>
  </si>
  <si>
    <t>Caggiano Liquors</t>
  </si>
  <si>
    <t>Kelly's Liquors</t>
  </si>
  <si>
    <t>Express Two Liquors</t>
  </si>
  <si>
    <t>Wine Legend</t>
  </si>
  <si>
    <t>Valley Liquors</t>
  </si>
  <si>
    <t>C &amp; I Liquors(Superfresh)</t>
  </si>
  <si>
    <t>White Oaks Liquors</t>
  </si>
  <si>
    <t>Seabra Liquors</t>
  </si>
  <si>
    <t>Lbv Cellars</t>
  </si>
  <si>
    <t>Boot Leggers W/L</t>
  </si>
  <si>
    <t>The Wine Rack Millburn</t>
  </si>
  <si>
    <t>Bell Liquor</t>
  </si>
  <si>
    <t>Home Liquors(520 East Orange)</t>
  </si>
  <si>
    <t>Double Dee Liquors</t>
  </si>
  <si>
    <t>Home Liquors(480 Newark) (P)</t>
  </si>
  <si>
    <t>Wine 2 Spirits</t>
  </si>
  <si>
    <t>Irvington Liquors</t>
  </si>
  <si>
    <t>Homer Liquors</t>
  </si>
  <si>
    <t>Maple Liquors</t>
  </si>
  <si>
    <t>Krauszer Food &amp; Liquor</t>
  </si>
  <si>
    <t>Wine Depot Of Livingston</t>
  </si>
  <si>
    <t>Toast Of The Town</t>
  </si>
  <si>
    <t>L Town Liquors</t>
  </si>
  <si>
    <t>Ivy Plaza Liquors</t>
  </si>
  <si>
    <t>Plaza Wine &amp; Liquor</t>
  </si>
  <si>
    <t>Krauszer's Food &amp; Liq</t>
  </si>
  <si>
    <t>Colony Liquors</t>
  </si>
  <si>
    <t>Best Quality Liquor</t>
  </si>
  <si>
    <t>Liquor Zone</t>
  </si>
  <si>
    <t>Pueblo Liquor</t>
  </si>
  <si>
    <t>Express Liquors</t>
  </si>
  <si>
    <t>21 Plaza Wine &amp; Liquor</t>
  </si>
  <si>
    <t>Maple Check</t>
  </si>
  <si>
    <t>Bloomfield Buyrite</t>
  </si>
  <si>
    <t>Primavera Liquor</t>
  </si>
  <si>
    <t>Lou's Corner</t>
  </si>
  <si>
    <t>Tonys Liquor Store</t>
  </si>
  <si>
    <t>Liquor Cave</t>
  </si>
  <si>
    <t>Home Liquors(773 Newark)</t>
  </si>
  <si>
    <t>Newark Discount Wine and Spirits</t>
  </si>
  <si>
    <t>Buy And Savings Liquor</t>
  </si>
  <si>
    <t>Gigantes Liquor</t>
  </si>
  <si>
    <t>Quick Stop Liquors</t>
  </si>
  <si>
    <t>Home Wines &amp; Liquors (927 Newark)</t>
  </si>
  <si>
    <t>South End Liquors</t>
  </si>
  <si>
    <t>Brinks Wine &amp; Liquors</t>
  </si>
  <si>
    <t>B &amp; B Liquors (West Orange)</t>
  </si>
  <si>
    <t>Scotland Arms Liquors</t>
  </si>
  <si>
    <t>Harmony Bar &amp; Liquors</t>
  </si>
  <si>
    <t>Home Wines &amp; Liquors (Orange)</t>
  </si>
  <si>
    <t>Three Corners Liquor/Bar</t>
  </si>
  <si>
    <t>Brandy's Lounge And Liquors</t>
  </si>
  <si>
    <t>Galaxy Liquor</t>
  </si>
  <si>
    <t>Lyons Discount</t>
  </si>
  <si>
    <t>New JD Liquors</t>
  </si>
  <si>
    <t>Jonathan's Liquor Store</t>
  </si>
  <si>
    <t>Tremont Liquors</t>
  </si>
  <si>
    <t>New Gold Rose Liquors</t>
  </si>
  <si>
    <t>East Orange Liquor</t>
  </si>
  <si>
    <t>Park Ave Wine &amp; Liquors</t>
  </si>
  <si>
    <t>Silver Wine &amp; Liquor</t>
  </si>
  <si>
    <t>City Discount Liquors</t>
  </si>
  <si>
    <t>King's W &amp; L</t>
  </si>
  <si>
    <t>The Wine Rack North Caldwell</t>
  </si>
  <si>
    <t>Liquor City</t>
  </si>
  <si>
    <t>Coolvines Newark</t>
  </si>
  <si>
    <t>Wine Village</t>
  </si>
  <si>
    <t>Extra Wine &amp; Liquor</t>
  </si>
  <si>
    <t>Quality Liquors</t>
  </si>
  <si>
    <t>Royal Liquors</t>
  </si>
  <si>
    <t>Skyline Liquors</t>
  </si>
  <si>
    <t>Angel Liquors</t>
  </si>
  <si>
    <t>Home Liquors(465 Newark)</t>
  </si>
  <si>
    <t>All Brothers Ii (Irvington)</t>
  </si>
  <si>
    <t>International Liquor</t>
  </si>
  <si>
    <t>Home Liquors(1277 Irvington)</t>
  </si>
  <si>
    <t>JRC Liquor</t>
  </si>
  <si>
    <t>Irvington 876</t>
  </si>
  <si>
    <t>Home Liquors(641 Newark)</t>
  </si>
  <si>
    <t>Maplewood Wine &amp; Liquor</t>
  </si>
  <si>
    <t>Village Wine Shop</t>
  </si>
  <si>
    <t>Wine Barrel (P)</t>
  </si>
  <si>
    <t>Don's Wine &amp; Liq(P)</t>
  </si>
  <si>
    <t>Wine Warehouse (Newark)</t>
  </si>
  <si>
    <t>Mayfair Wine &amp; Liquors</t>
  </si>
  <si>
    <t>New Silver Key Liq Ii</t>
  </si>
  <si>
    <t>Azcona Liquors</t>
  </si>
  <si>
    <t>Firehouse Liquors</t>
  </si>
  <si>
    <t>Fox's Liquor</t>
  </si>
  <si>
    <t>Best Brother Liquor</t>
  </si>
  <si>
    <t>Tonys Liquors #2</t>
  </si>
  <si>
    <t>Home Town Clinton</t>
  </si>
  <si>
    <t>Brick City Liquors</t>
  </si>
  <si>
    <t>Ralph Liquors</t>
  </si>
  <si>
    <t>Joe Canals</t>
  </si>
  <si>
    <t>Madison Liquor Superette</t>
  </si>
  <si>
    <t>Jason Liquors</t>
  </si>
  <si>
    <t>Chancellor Irvington</t>
  </si>
  <si>
    <t>A-1 Payless Liquors</t>
  </si>
  <si>
    <t>Al - Liquors</t>
  </si>
  <si>
    <t>Muellers Star Liquors</t>
  </si>
  <si>
    <t>Krauszer's Food &amp; Wines</t>
  </si>
  <si>
    <t>Grove Liquors</t>
  </si>
  <si>
    <t>Royal Liquors 3</t>
  </si>
  <si>
    <t>Manny's Liquors</t>
  </si>
  <si>
    <t>Home Wine &amp; Liquor (224 Newark)</t>
  </si>
  <si>
    <t>Hawthorne Quality Liquors</t>
  </si>
  <si>
    <t>Quality Liquors #2</t>
  </si>
  <si>
    <t>Skyline Liquors #2</t>
  </si>
  <si>
    <t>All Brothers Liquors #3 (Newark)</t>
  </si>
  <si>
    <t>Chancellor Newark</t>
  </si>
  <si>
    <t>Family Liquors</t>
  </si>
  <si>
    <t>Royal Wine Iv</t>
  </si>
  <si>
    <t>Royal Liquor Ii</t>
  </si>
  <si>
    <t>Oasis Liquors &amp; Bar</t>
  </si>
  <si>
    <t>C &amp; D Liquors</t>
  </si>
  <si>
    <t>Haber Liquors</t>
  </si>
  <si>
    <t>954 Liquors</t>
  </si>
  <si>
    <t>Pennsylvania Liquors</t>
  </si>
  <si>
    <t>Kimka Liquors</t>
  </si>
  <si>
    <t>New Silver Key Iii</t>
  </si>
  <si>
    <t>New Owl Liquors</t>
  </si>
  <si>
    <t>Mulberry Liquors</t>
  </si>
  <si>
    <t>Roseville Liquors &amp; Wines</t>
  </si>
  <si>
    <t>Skyline Liquors Iii</t>
  </si>
  <si>
    <t>Austin Liquor</t>
  </si>
  <si>
    <t>Edwin Liquors</t>
  </si>
  <si>
    <t>Avenue Liquors</t>
  </si>
  <si>
    <t>City Line Super Liquor</t>
  </si>
  <si>
    <t>Norfolk Liquors</t>
  </si>
  <si>
    <t>Cottage Liquors</t>
  </si>
  <si>
    <t>Top Shelf Wine &amp; Liquor</t>
  </si>
  <si>
    <t>D &amp; S Liquors</t>
  </si>
  <si>
    <t>Jersey Wine &amp; Spirits</t>
  </si>
  <si>
    <t>Alvins W&amp;L (P)</t>
  </si>
  <si>
    <t>Liquor Warehouse</t>
  </si>
  <si>
    <t>Augie's Wine &amp; Liq (P)</t>
  </si>
  <si>
    <t>Wine Outlet</t>
  </si>
  <si>
    <t>Universal Liquors (A)</t>
  </si>
  <si>
    <t>Twin City Liquors (A)</t>
  </si>
  <si>
    <t>ShopRite Wines &amp; Spirits of Hoboken</t>
  </si>
  <si>
    <t>Hoboken Beer &amp; Soda</t>
  </si>
  <si>
    <t>Jersey City Buy Rite (A)</t>
  </si>
  <si>
    <t>Corks &amp; Bottles (P)</t>
  </si>
  <si>
    <t>Manhatten Liquors</t>
  </si>
  <si>
    <t>Discount Liquors West New York</t>
  </si>
  <si>
    <t>Hollywood Liqs (P)</t>
  </si>
  <si>
    <t>International Liqs (P)</t>
  </si>
  <si>
    <t>City Liquors</t>
  </si>
  <si>
    <t>Fulton Liquors (P)</t>
  </si>
  <si>
    <t>Metro Liquors (1212 Jersey City)</t>
  </si>
  <si>
    <t>Steves Liquors (P)</t>
  </si>
  <si>
    <t>Cork Wines &amp; Spirits (Harrison)</t>
  </si>
  <si>
    <t>Willow Grocery Liq.</t>
  </si>
  <si>
    <t>Harrison Discount Liq(P)</t>
  </si>
  <si>
    <t>Downtown Liquor</t>
  </si>
  <si>
    <t>Los Padrinos</t>
  </si>
  <si>
    <t>Binny's Liquors (306 Jersey City)</t>
  </si>
  <si>
    <t>Communipaw Liqs (P)</t>
  </si>
  <si>
    <t>Palisade Wine &amp; Liquor</t>
  </si>
  <si>
    <t>Crescent Wines &amp; Liq (P)</t>
  </si>
  <si>
    <t>Cosmo Liquors &amp; Grocery</t>
  </si>
  <si>
    <t>Acme Markets (Hoboken)</t>
  </si>
  <si>
    <t>Golden Beer &amp; Liquor</t>
  </si>
  <si>
    <t>New Town Liquors (P)</t>
  </si>
  <si>
    <t>Alex Liquors &amp; Deli</t>
  </si>
  <si>
    <t>Sparrow Hill Market &amp;Liq (Jersey City)</t>
  </si>
  <si>
    <t>Boulevard Mart &amp; Liq (A)</t>
  </si>
  <si>
    <t>Central Ave Liquors</t>
  </si>
  <si>
    <t>Blvd Liquors (P)</t>
  </si>
  <si>
    <t>West Side Liquors</t>
  </si>
  <si>
    <t>Jersey Farm &amp; Liquors</t>
  </si>
  <si>
    <t>Kings Liquor</t>
  </si>
  <si>
    <t>Webster Liquors</t>
  </si>
  <si>
    <t>New Junction Liquors</t>
  </si>
  <si>
    <t>Grand View Wine &amp; Liquor</t>
  </si>
  <si>
    <t>Moon Liquors (P)</t>
  </si>
  <si>
    <t>Sigmond Liquors (A)</t>
  </si>
  <si>
    <t>J&amp;R Liquors &amp; Deli</t>
  </si>
  <si>
    <t>A &amp; S Liquors</t>
  </si>
  <si>
    <t>Larry's Liquors</t>
  </si>
  <si>
    <t>Metro Liquor (69 Jersey City)</t>
  </si>
  <si>
    <t>K O P Liquors (P)</t>
  </si>
  <si>
    <t>Bottles Jersey City</t>
  </si>
  <si>
    <t>Liquor Mart (Jersey City)</t>
  </si>
  <si>
    <t>Sip Discount Liq (A)</t>
  </si>
  <si>
    <t>New Orient Liquor</t>
  </si>
  <si>
    <t>Bauers Wine &amp; Liquor</t>
  </si>
  <si>
    <t>Refined Wine and Spirits</t>
  </si>
  <si>
    <t>Willies Liq (P)</t>
  </si>
  <si>
    <t>Palace Drugs (P)</t>
  </si>
  <si>
    <t>Union City Liquors</t>
  </si>
  <si>
    <t>Discount Liquor</t>
  </si>
  <si>
    <t>Columbia Park Liquors</t>
  </si>
  <si>
    <t>High Spirits Of Bayonne</t>
  </si>
  <si>
    <t>L&amp;T Liquors</t>
  </si>
  <si>
    <t>Heaven's Liquor &amp; Deli</t>
  </si>
  <si>
    <t>Mars Deli &amp; Liquor</t>
  </si>
  <si>
    <t>Paulino Liquors</t>
  </si>
  <si>
    <t>Central Wine And Liquors</t>
  </si>
  <si>
    <t>J &amp; V Liquors</t>
  </si>
  <si>
    <t>Kraemer's Liquor Store (P)</t>
  </si>
  <si>
    <t>Hudson Wine &amp; Liq (P)</t>
  </si>
  <si>
    <t>Lee's Liquor &amp; Grocery Store</t>
  </si>
  <si>
    <t>Liquor Boss</t>
  </si>
  <si>
    <t>City Line Liquors (P)</t>
  </si>
  <si>
    <t>Hudson Vine (A)</t>
  </si>
  <si>
    <t>Fragoso Liquors</t>
  </si>
  <si>
    <t>Giannone Wine &amp; Liq(#2)</t>
  </si>
  <si>
    <t>Hudson Wine Co (P)</t>
  </si>
  <si>
    <t>Jenny's Liq</t>
  </si>
  <si>
    <t>Cool Vines</t>
  </si>
  <si>
    <t>Sunset wine &amp; spirits</t>
  </si>
  <si>
    <t>Home Wines &amp; Liquors (North Bergen)</t>
  </si>
  <si>
    <t>Buy Rite Union City</t>
  </si>
  <si>
    <t>Discount Wine &amp; Spirits</t>
  </si>
  <si>
    <t>Buy Rite North Bergen</t>
  </si>
  <si>
    <t>Reuben Liq (Uc) (P)</t>
  </si>
  <si>
    <t>Shop Rite/Metro Plaza</t>
  </si>
  <si>
    <t>Power Liquors</t>
  </si>
  <si>
    <t>Binnys Liquors (1062 Jersey City)</t>
  </si>
  <si>
    <t>Mlk Liquor (455 Jersey City)</t>
  </si>
  <si>
    <t>Pastore's Wine &amp; Liquor</t>
  </si>
  <si>
    <t>A&amp;A Liquor (P)</t>
  </si>
  <si>
    <t>325 Bergen Liquor</t>
  </si>
  <si>
    <t>Market Liquors</t>
  </si>
  <si>
    <t>Ocean One Stop Liquor</t>
  </si>
  <si>
    <t>Belmont Wine &amp; Liquors</t>
  </si>
  <si>
    <t>Wine Warehouse (P) (Union City)</t>
  </si>
  <si>
    <t>Overlook Wine &amp; Spirits</t>
  </si>
  <si>
    <t>Pena Liquor (P)</t>
  </si>
  <si>
    <t>Heights Liquors</t>
  </si>
  <si>
    <t>H &amp; H Discount Liq (P)</t>
  </si>
  <si>
    <t>Golden Liquors (P)</t>
  </si>
  <si>
    <t>Town Beverage</t>
  </si>
  <si>
    <t>Buy-Rite Liquors</t>
  </si>
  <si>
    <t>Lito's Liquor (P)</t>
  </si>
  <si>
    <t>Benny's Liq &amp; Deli</t>
  </si>
  <si>
    <t>Eddy's Wine &amp; Liq</t>
  </si>
  <si>
    <t>Pavan Liquors (P)</t>
  </si>
  <si>
    <t>Empire Liq (P)</t>
  </si>
  <si>
    <t>HD Liquors</t>
  </si>
  <si>
    <t>Sprove Marketplace</t>
  </si>
  <si>
    <t>E &amp; E Wine &amp; Liq (P)</t>
  </si>
  <si>
    <t>Bond Drugs</t>
  </si>
  <si>
    <t>Aivan Liq (P)</t>
  </si>
  <si>
    <t>Five Star Liquors</t>
  </si>
  <si>
    <t>Brothers Supermarket</t>
  </si>
  <si>
    <t>Coolvines Powerhouse</t>
  </si>
  <si>
    <t>American Liquor</t>
  </si>
  <si>
    <t>Peckmans Pharmacy</t>
  </si>
  <si>
    <t>Baldwin W &amp; L</t>
  </si>
  <si>
    <t>Liquor House</t>
  </si>
  <si>
    <t>Village Wine &amp; Liquors Ii</t>
  </si>
  <si>
    <t>Bela Wine &amp; Spirits_2</t>
  </si>
  <si>
    <t>Blarney Pub</t>
  </si>
  <si>
    <t>Metropolis</t>
  </si>
  <si>
    <t>West Side Liquors (358 Jersey City)</t>
  </si>
  <si>
    <t>E-Z Market &amp; Liq (P)</t>
  </si>
  <si>
    <t>Ray's Liquors</t>
  </si>
  <si>
    <t>Buy &amp; Savings Ii (P)</t>
  </si>
  <si>
    <t>J B Liquors</t>
  </si>
  <si>
    <t>Red Feast W &amp; L (A)</t>
  </si>
  <si>
    <t>Yugs Liquors</t>
  </si>
  <si>
    <t>Village W &amp; L (P)</t>
  </si>
  <si>
    <t>A2Z Wine Club</t>
  </si>
  <si>
    <t>Bridgeview Liquors</t>
  </si>
  <si>
    <t>Spirits Of Kearny</t>
  </si>
  <si>
    <t>Hoboken Liquor &amp; Grocery</t>
  </si>
  <si>
    <t>Giannone Wines &amp; Liq.(P)</t>
  </si>
  <si>
    <t>Uncorked Wines &amp; Spirits - Hoboken NJ</t>
  </si>
  <si>
    <t>Wine Warehouse (P) (Bayonne)</t>
  </si>
  <si>
    <t>Delite Market</t>
  </si>
  <si>
    <t>Wine Dads Hoboken</t>
  </si>
  <si>
    <t>Drink Rite Liquor</t>
  </si>
  <si>
    <t>Sun Liquors &amp; Grocery</t>
  </si>
  <si>
    <t>Liquoram Of Kearny</t>
  </si>
  <si>
    <t>Mira Sol</t>
  </si>
  <si>
    <t>Shop Rite Wine &amp; Spirits Kearny</t>
  </si>
  <si>
    <t>Kearny Plaza Discount Liq</t>
  </si>
  <si>
    <t>John's Liq &amp; Deli</t>
  </si>
  <si>
    <t>Figi Wine &amp; Liq (P)</t>
  </si>
  <si>
    <t>Kikos Liquor (P)</t>
  </si>
  <si>
    <t>Twin City Liquors</t>
  </si>
  <si>
    <t>Union Liquors</t>
  </si>
  <si>
    <t>Bergenline Liquor (Z)</t>
  </si>
  <si>
    <t>Kearny Wine &amp; Liquor</t>
  </si>
  <si>
    <t>New Bergen Liquors (P)</t>
  </si>
  <si>
    <t>Seabra Liquor</t>
  </si>
  <si>
    <t>Family Convenience &amp; Liq_2</t>
  </si>
  <si>
    <t>Latino's Liquor (P)</t>
  </si>
  <si>
    <t>J &amp; L Liquors (P)</t>
  </si>
  <si>
    <t>Irv's Wines &amp; Liquors(P)</t>
  </si>
  <si>
    <t>Crown Liquor</t>
  </si>
  <si>
    <t>Fuerte Liquors</t>
  </si>
  <si>
    <t>Los Laureles Liq (Z)</t>
  </si>
  <si>
    <t>Payano Liquors</t>
  </si>
  <si>
    <t>Newport Spirits (P)</t>
  </si>
  <si>
    <t>Liberty Wine (P) &amp; Deli</t>
  </si>
  <si>
    <t>ShopRite Wines &amp; Spirits of Bayonne</t>
  </si>
  <si>
    <t>Massarelli's Liquors</t>
  </si>
  <si>
    <t>Waterfront Wine &amp; Liq(P)</t>
  </si>
  <si>
    <t>Times Square Liq</t>
  </si>
  <si>
    <t>Stanley's Liq Store (P)</t>
  </si>
  <si>
    <t>Daniels Wine And Liq</t>
  </si>
  <si>
    <t>Cragie On Park</t>
  </si>
  <si>
    <t>Z &amp; M Liquors</t>
  </si>
  <si>
    <t>WNY Liquors</t>
  </si>
  <si>
    <t>Sparrow's Wine &amp; Liq(P) (1224 Hoboken)</t>
  </si>
  <si>
    <t>Sparrows Wine &amp; Liq (P) (126 Hoboken)</t>
  </si>
  <si>
    <t>Royal Liquors &amp; Deli</t>
  </si>
  <si>
    <t>Blue Ribbon Wine/Liq/Groc</t>
  </si>
  <si>
    <t>Garden Wine &amp; Liq (P)</t>
  </si>
  <si>
    <t>Ottomanelli's Liquor Store</t>
  </si>
  <si>
    <t>City Line Liquors (Hoboken)</t>
  </si>
  <si>
    <t>Liberty Liquors</t>
  </si>
  <si>
    <t>The Thirsty Quaker (P)</t>
  </si>
  <si>
    <t>Podewitz Liquor &amp; Deli</t>
  </si>
  <si>
    <t>The Galaxy Drug Store</t>
  </si>
  <si>
    <t>Wine Spot</t>
  </si>
  <si>
    <t>Tonnelle Wine &amp; Liq</t>
  </si>
  <si>
    <t>Boulevard W &amp; L (P)</t>
  </si>
  <si>
    <t>Park Ave Wine &amp; Liq Gros.</t>
  </si>
  <si>
    <t>Best Liquors &amp; Deli</t>
  </si>
  <si>
    <t>Heaven Liquors</t>
  </si>
  <si>
    <t>Weehawken Deli &amp; Liquor</t>
  </si>
  <si>
    <t>Best Liquors (P)</t>
  </si>
  <si>
    <t>Noble Discount Liquors</t>
  </si>
  <si>
    <t>STOP &amp; GO LIQUORS</t>
  </si>
  <si>
    <t>Five Corner Liquor Store</t>
  </si>
  <si>
    <t>Broadway Wine &amp; Liquor</t>
  </si>
  <si>
    <t>Sals Deli</t>
  </si>
  <si>
    <t>Krauszers (Secaucus)</t>
  </si>
  <si>
    <t>Gary's Wine &amp; Marketplace (Madison)</t>
  </si>
  <si>
    <t>Thomas Liq</t>
  </si>
  <si>
    <t>Rose City Liquors</t>
  </si>
  <si>
    <t>Main St Wines &amp; Liq</t>
  </si>
  <si>
    <t>Joe Canal's Disc Liq</t>
  </si>
  <si>
    <t>Buyrite Of Chatham</t>
  </si>
  <si>
    <t>Wine &amp; Whiskey Country Morris Plains</t>
  </si>
  <si>
    <t>Bottle Republic (Randolph)</t>
  </si>
  <si>
    <t>Wegmans</t>
  </si>
  <si>
    <t>Florham Park Liquors</t>
  </si>
  <si>
    <t>Wine Cellar Of Morristown</t>
  </si>
  <si>
    <t>Four Seasons Wine &amp; Liq</t>
  </si>
  <si>
    <t>Ridgedale Wine &amp; Liq</t>
  </si>
  <si>
    <t>The Wine Cellar</t>
  </si>
  <si>
    <t>Hickory Wine Cellar</t>
  </si>
  <si>
    <t>Montville Wine &amp; Spirits</t>
  </si>
  <si>
    <t>Wine &amp; Whiskey Country Pine Brook</t>
  </si>
  <si>
    <t>Bottle King Morris Plains</t>
  </si>
  <si>
    <t>Liquor Outlet</t>
  </si>
  <si>
    <t>Boonton Liquor Locker</t>
  </si>
  <si>
    <t>House of Wine &amp; Liquor</t>
  </si>
  <si>
    <t>Green Hill Liquors (A)</t>
  </si>
  <si>
    <t>Stirling Fine Wines</t>
  </si>
  <si>
    <t>Midtown Wine Merchant(A)</t>
  </si>
  <si>
    <t>Gillette Liquor</t>
  </si>
  <si>
    <t>Basket Of Cheer Ii (Lake Hiawatha)</t>
  </si>
  <si>
    <t>Shoppers Disc Liquor</t>
  </si>
  <si>
    <t>Shop Rite Liq Parsippany</t>
  </si>
  <si>
    <t>Convenience Liquors</t>
  </si>
  <si>
    <t>Morris Wine &amp; Liquor</t>
  </si>
  <si>
    <t>Powder Mill Plaza Liquors</t>
  </si>
  <si>
    <t>Cambridge Wines (191 Morristown)</t>
  </si>
  <si>
    <t>Super Saver Disc. Liq</t>
  </si>
  <si>
    <t>Wine &amp; Whisky Country</t>
  </si>
  <si>
    <t>El Dorado Wine House</t>
  </si>
  <si>
    <t>Krauszers (Long Valley)</t>
  </si>
  <si>
    <t>Denville W &amp; L</t>
  </si>
  <si>
    <t>Partners Discount Liquors</t>
  </si>
  <si>
    <t>Shop Rite Wines &amp; Spirits of Roxbury#832</t>
  </si>
  <si>
    <t>Bottle King (A) Ledgewood</t>
  </si>
  <si>
    <t>Shop Rite W &amp; S Chester</t>
  </si>
  <si>
    <t>Sandy's Wine &amp; Spirits (Flanders)</t>
  </si>
  <si>
    <t>Kenvil Liquor,Wine &amp; Food</t>
  </si>
  <si>
    <t>Shay's Liquors_2</t>
  </si>
  <si>
    <t>Wine World (A)</t>
  </si>
  <si>
    <t>Rockaway W/L</t>
  </si>
  <si>
    <t>Shop Rite Liquors</t>
  </si>
  <si>
    <t>Basket Of Cheer (Dover)</t>
  </si>
  <si>
    <t>Dover Liquors</t>
  </si>
  <si>
    <t>Sam's Liq Wine (P)</t>
  </si>
  <si>
    <t>Midtown Liq</t>
  </si>
  <si>
    <t>Berkshire(P) Bot. Shop</t>
  </si>
  <si>
    <t>Wharton Liquor Store</t>
  </si>
  <si>
    <t>Main Street Liquor</t>
  </si>
  <si>
    <t>Shop Rite Liq (A)Wharton</t>
  </si>
  <si>
    <t>L &amp; L Package Store</t>
  </si>
  <si>
    <t>Chabons Ii Liq/Bar (A)</t>
  </si>
  <si>
    <t>Liquor Factory II Jefferson</t>
  </si>
  <si>
    <t>Milton Inn</t>
  </si>
  <si>
    <t>Island Of Spirits (P)</t>
  </si>
  <si>
    <t>Liquor Factory I Landing</t>
  </si>
  <si>
    <t>Super Saver Liq</t>
  </si>
  <si>
    <t>Nova Liquors</t>
  </si>
  <si>
    <t>3 IN 1 LIQUORS INC</t>
  </si>
  <si>
    <t>Liquor Factory IV Hopatcong</t>
  </si>
  <si>
    <t>The Village Place</t>
  </si>
  <si>
    <t>Quick Check Liquor (A)</t>
  </si>
  <si>
    <t>Shop-Rite(A) Netcong</t>
  </si>
  <si>
    <t>Liquor Factory VI Byram</t>
  </si>
  <si>
    <t>Shop Rite Wine &amp; Spirits Stanhope</t>
  </si>
  <si>
    <t>Stanhope Liquors</t>
  </si>
  <si>
    <t>Kingston Liquors</t>
  </si>
  <si>
    <t>Patel Liqr &amp; Gro(P)</t>
  </si>
  <si>
    <t>Sandy's Wine &amp; Spirit (P) (Budd Lake)</t>
  </si>
  <si>
    <t>Bottle King (Z) Chatham</t>
  </si>
  <si>
    <t>Best Cellars(Ledgewood)</t>
  </si>
  <si>
    <t>The Village Liquor Store_2</t>
  </si>
  <si>
    <t>Village Wine &amp; Liquors</t>
  </si>
  <si>
    <t>Randolph Liquors</t>
  </si>
  <si>
    <t>Madison Wine Cellar</t>
  </si>
  <si>
    <t>Stew Leonard's(A) Paramu (NA)</t>
  </si>
  <si>
    <t>ShopRite Wines &amp; Spirits of Sparta</t>
  </si>
  <si>
    <t>Burkes</t>
  </si>
  <si>
    <t>Liquor Factory III Sparta</t>
  </si>
  <si>
    <t>White Deer Inn</t>
  </si>
  <si>
    <t>Liquor Factory V Andover</t>
  </si>
  <si>
    <t>The Greek's</t>
  </si>
  <si>
    <t>USA Wine Traders Club Of Newton (A)</t>
  </si>
  <si>
    <t>Spring Street Liquors</t>
  </si>
  <si>
    <t>ShopRite Wine &amp; Spirits of Newton#830</t>
  </si>
  <si>
    <t>Seplow's Liquors</t>
  </si>
  <si>
    <t>Weis Supermarkets 143 Newton</t>
  </si>
  <si>
    <t>Brix - Wine, Spirits, Beer (Fredon)</t>
  </si>
  <si>
    <t>Wine Country Newton</t>
  </si>
  <si>
    <t>Buy Rite Liquors Franklin</t>
  </si>
  <si>
    <t>ShopRite Wines &amp; Spirits of Franklin</t>
  </si>
  <si>
    <t>The Right Bottle</t>
  </si>
  <si>
    <t>Wine Grand (Franklin)</t>
  </si>
  <si>
    <t>Market Place Liquor</t>
  </si>
  <si>
    <t>Hamburg Liquor</t>
  </si>
  <si>
    <t>Sussex Co.Discount Liq(P)</t>
  </si>
  <si>
    <t>The George Inn</t>
  </si>
  <si>
    <t>Mac &amp; Lindy's W &amp; S (A)</t>
  </si>
  <si>
    <t>Wantage Plaza Liq Outlet</t>
  </si>
  <si>
    <t>Woody's Liq Shop (A)</t>
  </si>
  <si>
    <t>Patricks Wine Barn</t>
  </si>
  <si>
    <t>Highland General Store</t>
  </si>
  <si>
    <t>Lake Wanda Store</t>
  </si>
  <si>
    <t>George's Wine &amp; Spirits</t>
  </si>
  <si>
    <t>Kent's Liquors</t>
  </si>
  <si>
    <t>Culver Liquor and Bar</t>
  </si>
  <si>
    <t>Meloi Liquors</t>
  </si>
  <si>
    <t>Vine Republik (Mountainside)</t>
  </si>
  <si>
    <t>Breen's Wines &amp; Liquors</t>
  </si>
  <si>
    <t>Wine List Of Summit</t>
  </si>
  <si>
    <t>Dittrick's W&amp;L (A)</t>
  </si>
  <si>
    <t>Shop Rite of Westfield</t>
  </si>
  <si>
    <t>Peterson's Wine Unltd</t>
  </si>
  <si>
    <t>Butcher Block</t>
  </si>
  <si>
    <t>Buy Rite Liq (A)</t>
  </si>
  <si>
    <t>Rick's Wines &amp; Liquors</t>
  </si>
  <si>
    <t>Bottle King Springfield</t>
  </si>
  <si>
    <t>Best Cellars (Summit)</t>
  </si>
  <si>
    <t>Wine Anthology (A)</t>
  </si>
  <si>
    <t>Beechwood Wine &amp; Liq</t>
  </si>
  <si>
    <t>Rotondo's Liquor</t>
  </si>
  <si>
    <t>Wine Zone (P)</t>
  </si>
  <si>
    <t>Watchung Liquor (P)</t>
  </si>
  <si>
    <t>Beno's Liq (A)</t>
  </si>
  <si>
    <t>Home Wine &amp; Liquors (1850 Union)</t>
  </si>
  <si>
    <t>Fanwood Liquors(A)</t>
  </si>
  <si>
    <t>Pied Piper Liquor</t>
  </si>
  <si>
    <t>Vine Republic (Berkeley Height)</t>
  </si>
  <si>
    <t>Pregame Liquors</t>
  </si>
  <si>
    <t>Wine Cellar</t>
  </si>
  <si>
    <t>Park Beverage</t>
  </si>
  <si>
    <t>New Seaport Liquors</t>
  </si>
  <si>
    <t>Liquor Basics</t>
  </si>
  <si>
    <t>Marte Liq Warehouse</t>
  </si>
  <si>
    <t>Continental Wine/Liq</t>
  </si>
  <si>
    <t>Rahway Discount Liquors (A)</t>
  </si>
  <si>
    <t>Payless Liquor</t>
  </si>
  <si>
    <t>La Bamba</t>
  </si>
  <si>
    <t>Aarti's World Disc Liq</t>
  </si>
  <si>
    <t>America Liquors</t>
  </si>
  <si>
    <t>Fenrose Wine &amp; Liq</t>
  </si>
  <si>
    <t>Jakob Liquors</t>
  </si>
  <si>
    <t>Mega Liquors</t>
  </si>
  <si>
    <t>Pereira's Liquor</t>
  </si>
  <si>
    <t>Total Wine &amp; More (Union)</t>
  </si>
  <si>
    <t>Picacho Liquors</t>
  </si>
  <si>
    <t>Cap N Cork Liquors</t>
  </si>
  <si>
    <t>Milton Liquors</t>
  </si>
  <si>
    <t>Crown Liquors</t>
  </si>
  <si>
    <t>Pickwick Liquor Shop</t>
  </si>
  <si>
    <t>Parkway Liquors(P)</t>
  </si>
  <si>
    <t>Linden Discount Liquors</t>
  </si>
  <si>
    <t>House of Wine &amp; Liquor Westfield</t>
  </si>
  <si>
    <t>Denny's Liquors</t>
  </si>
  <si>
    <t>San Homa Liquors</t>
  </si>
  <si>
    <t>Luis Liquors</t>
  </si>
  <si>
    <t>Hillside Liquors</t>
  </si>
  <si>
    <t>Ever Blue Liquors</t>
  </si>
  <si>
    <t>Food Express</t>
  </si>
  <si>
    <t>Pointe Grande Liquor</t>
  </si>
  <si>
    <t>Liquor Depot</t>
  </si>
  <si>
    <t>Super Value Liquors</t>
  </si>
  <si>
    <t>Westminster Liquors</t>
  </si>
  <si>
    <t>Liquor Gallery (Elizabeth)</t>
  </si>
  <si>
    <t>Butlers Liquor Store</t>
  </si>
  <si>
    <t>Bayway World Of Liquor</t>
  </si>
  <si>
    <t>Shoppers Paradise Liq</t>
  </si>
  <si>
    <t>Garcias Liquor Depot</t>
  </si>
  <si>
    <t>M &amp; M Liquors</t>
  </si>
  <si>
    <t>Elmora Liquors</t>
  </si>
  <si>
    <t>Wine Anthology</t>
  </si>
  <si>
    <t>Station Liquors</t>
  </si>
  <si>
    <t>Ben Franklin Liquor</t>
  </si>
  <si>
    <t>Queen City Liquors</t>
  </si>
  <si>
    <t>Jersey Fine Wines</t>
  </si>
  <si>
    <t>Rye House Spirits</t>
  </si>
  <si>
    <t>South Ave Liquors</t>
  </si>
  <si>
    <t>Paul &amp; Joe Deli And Liq</t>
  </si>
  <si>
    <t>C &amp; B Liquors</t>
  </si>
  <si>
    <t>T &amp; J Liquor</t>
  </si>
  <si>
    <t>Alman Liquors</t>
  </si>
  <si>
    <t>Skylark Discount Liquors</t>
  </si>
  <si>
    <t>The Wine Rack Summit</t>
  </si>
  <si>
    <t>The Westfield Liquor Loft</t>
  </si>
  <si>
    <t>D&amp;R Liquor</t>
  </si>
  <si>
    <t>Chestnut St Spirits LLC</t>
  </si>
  <si>
    <t>Gail's Wine And Spirits</t>
  </si>
  <si>
    <t>Urena Liquors</t>
  </si>
  <si>
    <t>Second Street Liquors</t>
  </si>
  <si>
    <t>Roselle Park Liquors</t>
  </si>
  <si>
    <t>Bella Wine and Spirits</t>
  </si>
  <si>
    <t>Jackson Liquors</t>
  </si>
  <si>
    <t>New Silver Key Liquor 4</t>
  </si>
  <si>
    <t>Valenca Rest &amp; Liquor</t>
  </si>
  <si>
    <t>Super Discount Liquors</t>
  </si>
  <si>
    <t>Cantinho Liquors</t>
  </si>
  <si>
    <t>Metro Liquor (Linden)</t>
  </si>
  <si>
    <t>Southwood Liquors</t>
  </si>
  <si>
    <t>Liquor Rangers</t>
  </si>
  <si>
    <t>Buyrite Liquors</t>
  </si>
  <si>
    <t>Main Street Spirits</t>
  </si>
  <si>
    <t>Witty's Fine Wine &amp; Spirt</t>
  </si>
  <si>
    <t>Payless Liquor_2</t>
  </si>
  <si>
    <t>Home Wines &amp; Liquors (360 Union)</t>
  </si>
  <si>
    <t>Home Wines &amp; Liquors (2401 Union)</t>
  </si>
  <si>
    <t>Triangle Liquors</t>
  </si>
  <si>
    <t>Leland Liquor &amp; Deli</t>
  </si>
  <si>
    <t>Drinq Linq The Liquor Store</t>
  </si>
  <si>
    <t>US1 Discount Liquor</t>
  </si>
  <si>
    <t>Drinks 2 Go Liquors</t>
  </si>
  <si>
    <t>Bay City Liquors</t>
  </si>
  <si>
    <t>Ali's Liquors</t>
  </si>
  <si>
    <t>Path Discount Liquors</t>
  </si>
  <si>
    <t>Outerbridge Liquors</t>
  </si>
  <si>
    <t>Paruta's (A)</t>
  </si>
  <si>
    <t>86 and Vine</t>
  </si>
  <si>
    <t>Saddle Brook Liquor &amp; Bar</t>
  </si>
  <si>
    <t>Te-Amo</t>
  </si>
  <si>
    <t>Whistle Stop (P)</t>
  </si>
  <si>
    <t>Colonial Liquor Store</t>
  </si>
  <si>
    <t>Lidl Elmwood Park</t>
  </si>
  <si>
    <t>Midland Dairy (A)</t>
  </si>
  <si>
    <t>Picatinny Main Exch</t>
  </si>
  <si>
    <t>American Legion Post 289 (A) West Milford</t>
  </si>
  <si>
    <t>Vfw Butler</t>
  </si>
  <si>
    <t>Vfw 2906 Pompt. Lks.(Z)</t>
  </si>
  <si>
    <t>American Lgn Pompton Plains</t>
  </si>
  <si>
    <t>American Lgn Pequannock 450</t>
  </si>
  <si>
    <t>American Lgn 174 Wayne</t>
  </si>
  <si>
    <t>American Lgn 108 (Z) Little Falls</t>
  </si>
  <si>
    <t>Amer Lgn L Falls (Z)</t>
  </si>
  <si>
    <t>American Lgn Totowa</t>
  </si>
  <si>
    <t>Veterans Club (Z)</t>
  </si>
  <si>
    <t>Vfw 7165 (P)</t>
  </si>
  <si>
    <t>Veterans Post (9)</t>
  </si>
  <si>
    <t>Vfw Lyndhurst (P)</t>
  </si>
  <si>
    <t>American Lgn 109 (P) Rutherford</t>
  </si>
  <si>
    <t>American Lgn (P) (Carlstadt)</t>
  </si>
  <si>
    <t>Vfw Hasbrouck (A)</t>
  </si>
  <si>
    <t>Vfw Outwater (Z) Lane</t>
  </si>
  <si>
    <t>American Legion Lodi Post 136</t>
  </si>
  <si>
    <t>Vfw 809 (P)</t>
  </si>
  <si>
    <t>Amer Lgn (Z) Little Ferry</t>
  </si>
  <si>
    <t>American Lgn Fairview (A)</t>
  </si>
  <si>
    <t>Vfw 5561 Bogota</t>
  </si>
  <si>
    <t>American Lgn Teaneck (Z)</t>
  </si>
  <si>
    <t>American Lgn (Z) (Cresskill)</t>
  </si>
  <si>
    <t>Vfw 6467 (Z)</t>
  </si>
  <si>
    <t>Vfw 4290 New Milford(P)</t>
  </si>
  <si>
    <t>American Lgn Norwood</t>
  </si>
  <si>
    <t>American Lgn Northvale</t>
  </si>
  <si>
    <t>American Lgn Park Ridge</t>
  </si>
  <si>
    <t>American Lgn (Z) (Westwood)</t>
  </si>
  <si>
    <t>Vfw Of Saddlebrook</t>
  </si>
  <si>
    <t>American Lgn (Z) (Saddle Brook)</t>
  </si>
  <si>
    <t>William J. Mulligan VFW Post 281</t>
  </si>
  <si>
    <t>American Lgn Elmwood Park</t>
  </si>
  <si>
    <t>American Lgn Rochelle Pk</t>
  </si>
  <si>
    <t>American Lgn (Z) (Maywood)</t>
  </si>
  <si>
    <t>American Lgn (P) (Waldwick)</t>
  </si>
  <si>
    <t>American Lgn Lake Hiawath</t>
  </si>
  <si>
    <t>American Lgn Rockaway</t>
  </si>
  <si>
    <t>Amer Lgn Of Wharton 91</t>
  </si>
  <si>
    <t>American Lgn Oak Ridge Post 423</t>
  </si>
  <si>
    <t>American Lgn Stanhope</t>
  </si>
  <si>
    <t>Bernays Appgar Post 342 American Legion</t>
  </si>
  <si>
    <t>Vfw 7248 Sparta</t>
  </si>
  <si>
    <t>American Lgn #86 Newton</t>
  </si>
  <si>
    <t>American Lgn Franklin</t>
  </si>
  <si>
    <t>American Lgn 213 Sussex</t>
  </si>
  <si>
    <t>American Lgn Branchville</t>
  </si>
  <si>
    <t>Watershed Pub &amp; Deli (P)</t>
  </si>
  <si>
    <t>Lena y Carbon Broaster</t>
  </si>
  <si>
    <t>The Game Room</t>
  </si>
  <si>
    <t>Amc- Shops @ Riverside P</t>
  </si>
  <si>
    <t>Bergen Performing Arts</t>
  </si>
  <si>
    <t>Park Ridge Vol Fire Dept</t>
  </si>
  <si>
    <t>White Eagle Hall</t>
  </si>
  <si>
    <t>T Bowl Tavern (Z)</t>
  </si>
  <si>
    <t>Clifton Billiards (Z)</t>
  </si>
  <si>
    <t>N Arlington Bowl O Drome</t>
  </si>
  <si>
    <t>Castle Billiards (Z)</t>
  </si>
  <si>
    <t>Cjd 2l Corp(Sofive)</t>
  </si>
  <si>
    <t>Wallington Lane (Bowlero)</t>
  </si>
  <si>
    <t>Lodi Lanes (A)</t>
  </si>
  <si>
    <t>Bowler City Bowling</t>
  </si>
  <si>
    <t>N Milford Ath Club</t>
  </si>
  <si>
    <t>Landmark Closter</t>
  </si>
  <si>
    <t>Montvale Bowl (A)</t>
  </si>
  <si>
    <t>Parkway Lanes</t>
  </si>
  <si>
    <t>Fair Lawn Lanes (P)</t>
  </si>
  <si>
    <t>Holiday Bowl</t>
  </si>
  <si>
    <t>The Wellmont Theater</t>
  </si>
  <si>
    <t>Levy @ Sports Illustrated Stadium</t>
  </si>
  <si>
    <t>Big Ed's (Circle Bowl)</t>
  </si>
  <si>
    <t>Boonton Lanes</t>
  </si>
  <si>
    <t>Lake Hopatcong Yacht Club</t>
  </si>
  <si>
    <t>Sparta Lanes (Pino)</t>
  </si>
  <si>
    <t>Skyland Baseball</t>
  </si>
  <si>
    <t>Wallkill Golf Club</t>
  </si>
  <si>
    <t>Fogo de Chao (Wayne)</t>
  </si>
  <si>
    <t>Naxos Estiatorio</t>
  </si>
  <si>
    <t>La Bonita</t>
  </si>
  <si>
    <t>Fogo de Chao (Paramus)</t>
  </si>
  <si>
    <t>Kinchley's</t>
  </si>
  <si>
    <t>Chili's Secaucus</t>
  </si>
  <si>
    <t>PF Changs China Bistro (West NY)</t>
  </si>
  <si>
    <t>Arepa Express</t>
  </si>
  <si>
    <t>Sam's Club (Secaucus)</t>
  </si>
  <si>
    <t>FOOD BAZAAR</t>
  </si>
  <si>
    <t>Food Universe Marketplace</t>
  </si>
  <si>
    <t>ShopRite of West Caldwell</t>
  </si>
  <si>
    <t>Whole Foods #10102 (Edgewater)</t>
  </si>
  <si>
    <t>Whole Foods #10381 (Closter)</t>
  </si>
  <si>
    <t>Whole Foods #8407 (Woodcliff Lake)</t>
  </si>
  <si>
    <t>Whole Foods #10106 (Ridgewood)</t>
  </si>
  <si>
    <t>Weiss Super Market 147 Franklin</t>
  </si>
  <si>
    <t>Trader Joes Westfield</t>
  </si>
  <si>
    <t>Chido Mexican Kitchen</t>
  </si>
  <si>
    <t>The New Jessies Kettle(P)</t>
  </si>
  <si>
    <t>Whiskey Wolf Tavern (P)</t>
  </si>
  <si>
    <t>The Side Door (P)</t>
  </si>
  <si>
    <t>Tommy's Tavern + Tap (Wayne)</t>
  </si>
  <si>
    <t>Great Notch Inn(Z)</t>
  </si>
  <si>
    <t>Diana's Bar (Z)</t>
  </si>
  <si>
    <t>Bacchus Sport Bar &amp; Grill</t>
  </si>
  <si>
    <t>Romo Restaurant</t>
  </si>
  <si>
    <t>Wrights Tavern(Z)</t>
  </si>
  <si>
    <t>Blue Palace (A)</t>
  </si>
  <si>
    <t>Reign</t>
  </si>
  <si>
    <t>Integrity Masonic</t>
  </si>
  <si>
    <t>Circle Cafe (A)</t>
  </si>
  <si>
    <t>Downtown Cafe (P)</t>
  </si>
  <si>
    <t>Krystal Bar(P) &amp; Liqs.</t>
  </si>
  <si>
    <t>Seguidilla 56 Lounge &amp; Liquors</t>
  </si>
  <si>
    <t>Carlitto's Bar(P)</t>
  </si>
  <si>
    <t>Serie 92 Bar &amp; Liquor</t>
  </si>
  <si>
    <t>5th Avenue (P) Tavern</t>
  </si>
  <si>
    <t>La Fuente Bar (A)</t>
  </si>
  <si>
    <t>Elks Ldge 333 (Z) Pater.</t>
  </si>
  <si>
    <t>Freddie's Dugout</t>
  </si>
  <si>
    <t>Neighbors</t>
  </si>
  <si>
    <t>Super Korona (Z) Bar</t>
  </si>
  <si>
    <t>Breaker Billiards</t>
  </si>
  <si>
    <t>Dingbatz (P)</t>
  </si>
  <si>
    <t>Jay Aldo's (Z) Bar &amp; Pizz</t>
  </si>
  <si>
    <t>Jaimito's Crtside(Z)</t>
  </si>
  <si>
    <t>Sarina Bar</t>
  </si>
  <si>
    <t>El Alamo Bar</t>
  </si>
  <si>
    <t>La Rancherita</t>
  </si>
  <si>
    <t>Cantina Bar</t>
  </si>
  <si>
    <t>Shamrock B&amp;G (P)</t>
  </si>
  <si>
    <t>Rumba Bar</t>
  </si>
  <si>
    <t>Don Lalo Restaurant</t>
  </si>
  <si>
    <t>Mojito Bar</t>
  </si>
  <si>
    <t>Cazadores Bar (Z) LLC</t>
  </si>
  <si>
    <t>Galleria</t>
  </si>
  <si>
    <t>El Anochecer</t>
  </si>
  <si>
    <t>Club Sq (A)</t>
  </si>
  <si>
    <t>El Camaron Mazatleco</t>
  </si>
  <si>
    <t>Davids' Place (P)</t>
  </si>
  <si>
    <t>Lena y Carbon Restaurant &amp; Bar (Passaic)</t>
  </si>
  <si>
    <t>Brazilian Spices Steakhouse &amp; Pizza</t>
  </si>
  <si>
    <t>Bar 503</t>
  </si>
  <si>
    <t>Karol's Pub (A)</t>
  </si>
  <si>
    <t>Sports Bar &amp; Liquors</t>
  </si>
  <si>
    <t>BJ Polonia</t>
  </si>
  <si>
    <t>Wisla Center (Z)</t>
  </si>
  <si>
    <t>Fat Bastard &amp; Sons</t>
  </si>
  <si>
    <t>JINYA Ramen Bar (Hackensack)</t>
  </si>
  <si>
    <t>St Paul Lodge#7</t>
  </si>
  <si>
    <t>Lenoras Bar (P)</t>
  </si>
  <si>
    <t>Cast Iron Pot Signature</t>
  </si>
  <si>
    <t>Brazeiro Churrascaria</t>
  </si>
  <si>
    <t>Brass Rail Pub_2</t>
  </si>
  <si>
    <t>O'Malleys Pub LLC DBA Blackbird Pub</t>
  </si>
  <si>
    <t>Colonial Bar</t>
  </si>
  <si>
    <t>Westside Village (A)</t>
  </si>
  <si>
    <t>Healing Karaoke</t>
  </si>
  <si>
    <t>Tommy's Tavern + Tap (Edgewater)</t>
  </si>
  <si>
    <t>Andy's Corner (Z)</t>
  </si>
  <si>
    <t>Vida Garden</t>
  </si>
  <si>
    <t>Cresskill Tavern</t>
  </si>
  <si>
    <t>Four Leaves</t>
  </si>
  <si>
    <t>Lou's</t>
  </si>
  <si>
    <t>Casa De Montecristo</t>
  </si>
  <si>
    <t>Stosh's Craft Bar (Z)</t>
  </si>
  <si>
    <t>Wyckoff Tavern Kitchen and Bar</t>
  </si>
  <si>
    <t>Dillon's</t>
  </si>
  <si>
    <t>Guys &amp; Dolls Billiards &amp; Sports Bar</t>
  </si>
  <si>
    <t>Pub At Njit</t>
  </si>
  <si>
    <t>The Deep Inn</t>
  </si>
  <si>
    <t>Lira Ii Liquor</t>
  </si>
  <si>
    <t>Dear Maud</t>
  </si>
  <si>
    <t>Cork City Pub</t>
  </si>
  <si>
    <t>Pint (Z)</t>
  </si>
  <si>
    <t>Lucky 7 Tavern</t>
  </si>
  <si>
    <t>American Legion Hoboken Post107</t>
  </si>
  <si>
    <t>Park Tavern</t>
  </si>
  <si>
    <t>Schmitty's</t>
  </si>
  <si>
    <t>Astor Bar &amp; Grill</t>
  </si>
  <si>
    <t>The Brightside Tavern</t>
  </si>
  <si>
    <t>Abbey's Pub</t>
  </si>
  <si>
    <t>Donegal Saloon</t>
  </si>
  <si>
    <t>Bar Sagua</t>
  </si>
  <si>
    <t>The Shannon</t>
  </si>
  <si>
    <t>Finnegans</t>
  </si>
  <si>
    <t>Shorty's</t>
  </si>
  <si>
    <t>Eddy's Bar &amp; Liquor</t>
  </si>
  <si>
    <t>OTS BY LLC (Aqua)</t>
  </si>
  <si>
    <t>Jt Mcq's Sports Bar (P)</t>
  </si>
  <si>
    <t>Johnnie's Tavern</t>
  </si>
  <si>
    <t>Liquor Point</t>
  </si>
  <si>
    <t>The Office Bar/Los Arrieros</t>
  </si>
  <si>
    <t>Betsy Ross Diner</t>
  </si>
  <si>
    <t>Colossal Restaurant</t>
  </si>
  <si>
    <t>White Owl Tavern</t>
  </si>
  <si>
    <t>Pat's Bar (P)</t>
  </si>
  <si>
    <t>Elks Post 782 (Z)</t>
  </si>
  <si>
    <t>Rustic Texmex &amp; Sports Bar</t>
  </si>
  <si>
    <t>Pancho Villa Rodeo</t>
  </si>
  <si>
    <t>Boomer Bar (P) &amp; Grill</t>
  </si>
  <si>
    <t>BBQ Chicken Franklin</t>
  </si>
  <si>
    <t>Candy's Pizza</t>
  </si>
  <si>
    <t>Rapp Beer &amp; Soda (A)</t>
  </si>
  <si>
    <t>Costco Whlse V#32366-Wayn</t>
  </si>
  <si>
    <t>Western Bev 21088 Clift</t>
  </si>
  <si>
    <t>Costco 306 Clifton (NA)</t>
  </si>
  <si>
    <t>Bj's Warehouse E Rutherfo</t>
  </si>
  <si>
    <t>NB Liquors</t>
  </si>
  <si>
    <t>Costco 1214 Teterboro (NA)</t>
  </si>
  <si>
    <t>Bbb Liquors(Costco)</t>
  </si>
  <si>
    <t>Costco Of Edison</t>
  </si>
  <si>
    <t>Costco 315 Wharton (NA)</t>
  </si>
  <si>
    <t>Weis Market</t>
  </si>
  <si>
    <t>Liquor City @ Sams Club</t>
  </si>
  <si>
    <t>Off Premise</t>
  </si>
  <si>
    <t>Closter</t>
  </si>
  <si>
    <t>67 Ver Valen St</t>
  </si>
  <si>
    <t>Shane Barreca</t>
  </si>
  <si>
    <t>Oradell</t>
  </si>
  <si>
    <t>50 Kinderkamack Rd</t>
  </si>
  <si>
    <t>Northvale</t>
  </si>
  <si>
    <t>224 Livingston St</t>
  </si>
  <si>
    <t>Washington Twsp</t>
  </si>
  <si>
    <t>309 Pascack Rd</t>
  </si>
  <si>
    <t>Cresskill</t>
  </si>
  <si>
    <t>37 Union Ave</t>
  </si>
  <si>
    <t>45 Vervalen St.</t>
  </si>
  <si>
    <t>Park Ridge</t>
  </si>
  <si>
    <t>73 Park Ave</t>
  </si>
  <si>
    <t>230 Closter Dock Rd</t>
  </si>
  <si>
    <t>254 F Livingston St.</t>
  </si>
  <si>
    <t>219 Kinderkamack Road</t>
  </si>
  <si>
    <t>Sales</t>
  </si>
  <si>
    <t>Woodcliff Lake</t>
  </si>
  <si>
    <t>500 Chestnut Ridge Rd #4</t>
  </si>
  <si>
    <t>Ramsey</t>
  </si>
  <si>
    <t>47 W Main St</t>
  </si>
  <si>
    <t>Emerson</t>
  </si>
  <si>
    <t>425 Old Hook Rd</t>
  </si>
  <si>
    <t>Dumont</t>
  </si>
  <si>
    <t>95 Washington Ave</t>
  </si>
  <si>
    <t>135 Oakland Ave</t>
  </si>
  <si>
    <t>Westwood</t>
  </si>
  <si>
    <t>725 Broadway</t>
  </si>
  <si>
    <t>89 Kinderkamack Rd</t>
  </si>
  <si>
    <t>Montvale</t>
  </si>
  <si>
    <t>18 S. Kinderkamack Rd</t>
  </si>
  <si>
    <t>Norwood</t>
  </si>
  <si>
    <t>7 Broad St</t>
  </si>
  <si>
    <t>Old Tappan</t>
  </si>
  <si>
    <t>14 Bi State Shop Ctr 72d</t>
  </si>
  <si>
    <t>110 Farm View</t>
  </si>
  <si>
    <t>700 Broadway Suite 42</t>
  </si>
  <si>
    <t>500 Chestnut Ridge Rd.</t>
  </si>
  <si>
    <t>46 Grant Ave</t>
  </si>
  <si>
    <t>Harrington Park</t>
  </si>
  <si>
    <t>102 La Roche Ave</t>
  </si>
  <si>
    <t>206 Pegasus Ave.</t>
  </si>
  <si>
    <t>Hillsdale</t>
  </si>
  <si>
    <t>371 Broadway</t>
  </si>
  <si>
    <t>381 Washington Ave</t>
  </si>
  <si>
    <t>48 Washington Ave</t>
  </si>
  <si>
    <t>195 Kinderkamack Rd</t>
  </si>
  <si>
    <t>476 Rt 17 N</t>
  </si>
  <si>
    <t>On Premise</t>
  </si>
  <si>
    <t>Teaneck</t>
  </si>
  <si>
    <t>201 W Englewood Av Bx 717</t>
  </si>
  <si>
    <t>Robin Feldman</t>
  </si>
  <si>
    <t>Andover</t>
  </si>
  <si>
    <t>270 Stanhope Sparta Rd</t>
  </si>
  <si>
    <t>Oakland</t>
  </si>
  <si>
    <t>33 Ramapo Valley Rd</t>
  </si>
  <si>
    <t>Pompton Lakes</t>
  </si>
  <si>
    <t>260 Wanaque Avenue</t>
  </si>
  <si>
    <t>Lodi</t>
  </si>
  <si>
    <t>41 Union St</t>
  </si>
  <si>
    <t>53 Park Avenue</t>
  </si>
  <si>
    <t>269 Newton Sparta Rd</t>
  </si>
  <si>
    <t>350 Andover Sparta Rd</t>
  </si>
  <si>
    <t>190 Paris Ave</t>
  </si>
  <si>
    <t>Englewood</t>
  </si>
  <si>
    <t>17 Bennett Rd</t>
  </si>
  <si>
    <t>Mt Arlington</t>
  </si>
  <si>
    <t>15 Howard Blvd</t>
  </si>
  <si>
    <t>Wayne</t>
  </si>
  <si>
    <t>30 Nevins Rd</t>
  </si>
  <si>
    <t>Lyndhurst</t>
  </si>
  <si>
    <t>730 New Jersey Ave</t>
  </si>
  <si>
    <t>Bergenfield</t>
  </si>
  <si>
    <t>321 S Washington Ave</t>
  </si>
  <si>
    <t>Little Ferry</t>
  </si>
  <si>
    <t>100 Main St</t>
  </si>
  <si>
    <t>Alpine</t>
  </si>
  <si>
    <t>385 Rte 9w</t>
  </si>
  <si>
    <t>Franklin</t>
  </si>
  <si>
    <t>Legion Pl</t>
  </si>
  <si>
    <t>75 Legion Dr</t>
  </si>
  <si>
    <t>River Edge</t>
  </si>
  <si>
    <t>516 Kinderkamack Road</t>
  </si>
  <si>
    <t>Rockaway</t>
  </si>
  <si>
    <t>439 Green Pond Rd</t>
  </si>
  <si>
    <t>768 Stuyvesant Ave</t>
  </si>
  <si>
    <t>Hackensack</t>
  </si>
  <si>
    <t>261 Main St</t>
  </si>
  <si>
    <t>Fairview</t>
  </si>
  <si>
    <t>270 Walker St</t>
  </si>
  <si>
    <t>Mahwah</t>
  </si>
  <si>
    <t>140 Rt 17 S</t>
  </si>
  <si>
    <t>136 Main St.</t>
  </si>
  <si>
    <t>Oak Ridge</t>
  </si>
  <si>
    <t>11 Moquis Trail</t>
  </si>
  <si>
    <t>1 Polito Avenue</t>
  </si>
  <si>
    <t>422 Runnymede Drive</t>
  </si>
  <si>
    <t>213 Washington Ave</t>
  </si>
  <si>
    <t>North Haledon</t>
  </si>
  <si>
    <t>5 Sicomac Road</t>
  </si>
  <si>
    <t>Saddle Brook</t>
  </si>
  <si>
    <t>302 Midland Ave</t>
  </si>
  <si>
    <t>55 Mountain View Blvd</t>
  </si>
  <si>
    <t>79 Pascack Rd</t>
  </si>
  <si>
    <t>West Milford</t>
  </si>
  <si>
    <t>374 Morestown Road</t>
  </si>
  <si>
    <t>Denville</t>
  </si>
  <si>
    <t>55 Entrance Way</t>
  </si>
  <si>
    <t>Butler</t>
  </si>
  <si>
    <t>65 Hamburg Turnpike</t>
  </si>
  <si>
    <t>48 Mechanic St</t>
  </si>
  <si>
    <t>Tenafly</t>
  </si>
  <si>
    <t>20 Franklin St</t>
  </si>
  <si>
    <t>2410 Hamburg Turnpike</t>
  </si>
  <si>
    <t>1 Foxwood Ln</t>
  </si>
  <si>
    <t>Clifton</t>
  </si>
  <si>
    <t>315 Hazel St</t>
  </si>
  <si>
    <t>1268 Main Ave</t>
  </si>
  <si>
    <t>East Rutherford</t>
  </si>
  <si>
    <t>179 Paterson Ave</t>
  </si>
  <si>
    <t>166 Main Ave</t>
  </si>
  <si>
    <t>Newton</t>
  </si>
  <si>
    <t>36 Hampton House Rd</t>
  </si>
  <si>
    <t>134 Cedar Lake E</t>
  </si>
  <si>
    <t>Kinnelon</t>
  </si>
  <si>
    <t>9 Perimeter Road</t>
  </si>
  <si>
    <t>620 Stuyvesant Ave</t>
  </si>
  <si>
    <t>Waldwick</t>
  </si>
  <si>
    <t>4 Franklin Tpke</t>
  </si>
  <si>
    <t>270 STANHOPE SPARTA RD</t>
  </si>
  <si>
    <t>Maywood</t>
  </si>
  <si>
    <t>135 E Passaic</t>
  </si>
  <si>
    <t>Branchville</t>
  </si>
  <si>
    <t>325 Us-206</t>
  </si>
  <si>
    <t>829 Windsor Rd</t>
  </si>
  <si>
    <t>915 NJ-23</t>
  </si>
  <si>
    <t>Sparta</t>
  </si>
  <si>
    <t>66 Main St</t>
  </si>
  <si>
    <t>1033 Mac Arthur Blvd(Ctr)</t>
  </si>
  <si>
    <t>471 West Shore Trail</t>
  </si>
  <si>
    <t>91 Main St</t>
  </si>
  <si>
    <t>Garfield</t>
  </si>
  <si>
    <t>149 Vanwinkle Ave</t>
  </si>
  <si>
    <t>174 Kinnelon Road</t>
  </si>
  <si>
    <t>Bloomingdale</t>
  </si>
  <si>
    <t>97 Hamburg Tpke</t>
  </si>
  <si>
    <t>210 Chestnut Terr</t>
  </si>
  <si>
    <t>Pompton Plains</t>
  </si>
  <si>
    <t>1 Cedar Crest Drive</t>
  </si>
  <si>
    <t>Little Falls</t>
  </si>
  <si>
    <t>1400 Rt 46 W.</t>
  </si>
  <si>
    <t>775 Clifton Ave</t>
  </si>
  <si>
    <t>Hasbrouck Heights</t>
  </si>
  <si>
    <t>283 Route 17 South</t>
  </si>
  <si>
    <t>Franklin Lakes</t>
  </si>
  <si>
    <t>830 Franklin Lakes Rd</t>
  </si>
  <si>
    <t>Haledon</t>
  </si>
  <si>
    <t>522 W Broadway</t>
  </si>
  <si>
    <t>281 Alwood Rd</t>
  </si>
  <si>
    <t>Wharton</t>
  </si>
  <si>
    <t>99 N Main St</t>
  </si>
  <si>
    <t>6 West Shore Trail</t>
  </si>
  <si>
    <t>Elmwood Park</t>
  </si>
  <si>
    <t>6 Veterans Pl</t>
  </si>
  <si>
    <t>247 Livingston St</t>
  </si>
  <si>
    <t>Rutherford</t>
  </si>
  <si>
    <t>424 Carmita Ave</t>
  </si>
  <si>
    <t>264 Washington Ave</t>
  </si>
  <si>
    <t>770 Kindekamack Rd</t>
  </si>
  <si>
    <t>Ringwood</t>
  </si>
  <si>
    <t>1131 Greenwood Lake Turnp</t>
  </si>
  <si>
    <t>148 Rail Road Ave</t>
  </si>
  <si>
    <t>Woodland Park</t>
  </si>
  <si>
    <t>279 W Browertown Rd</t>
  </si>
  <si>
    <t>151 W Forest Ave</t>
  </si>
  <si>
    <t>North Arlington</t>
  </si>
  <si>
    <t>1 River Road</t>
  </si>
  <si>
    <t>912 Swartswood Rd</t>
  </si>
  <si>
    <t>316 Riverside Ave</t>
  </si>
  <si>
    <t>Stillwater</t>
  </si>
  <si>
    <t>929 Stillwater Rd</t>
  </si>
  <si>
    <t>38 Telemark Road</t>
  </si>
  <si>
    <t>276 Belmont Ave</t>
  </si>
  <si>
    <t>15 Nevins Rd</t>
  </si>
  <si>
    <t>184 Berdan Place</t>
  </si>
  <si>
    <t>Wanaque</t>
  </si>
  <si>
    <t>17 Park St</t>
  </si>
  <si>
    <t>Lincoln Park</t>
  </si>
  <si>
    <t>211 Main St</t>
  </si>
  <si>
    <t>15 American Legion Place</t>
  </si>
  <si>
    <t>650 American Legion Dr</t>
  </si>
  <si>
    <t>40 W Church St</t>
  </si>
  <si>
    <t>1129 Valley Road</t>
  </si>
  <si>
    <t>Valley Regency</t>
  </si>
  <si>
    <t>1377 NJ-23</t>
  </si>
  <si>
    <t>66 Sparta Ave</t>
  </si>
  <si>
    <t>Paterson</t>
  </si>
  <si>
    <t>320 Chamberlain Ave</t>
  </si>
  <si>
    <t>700 Newark Pompton Turnp</t>
  </si>
  <si>
    <t>650 Terrace Ave</t>
  </si>
  <si>
    <t>1 Legion Pl</t>
  </si>
  <si>
    <t>Lake Hiawatha</t>
  </si>
  <si>
    <t>91 N Beverwyck Rd</t>
  </si>
  <si>
    <t>Fair Lawn</t>
  </si>
  <si>
    <t>16-16 Maple Ave</t>
  </si>
  <si>
    <t>527 Valley Brook Ave</t>
  </si>
  <si>
    <t>Teterboro</t>
  </si>
  <si>
    <t>180 North Street</t>
  </si>
  <si>
    <t>Palisades Park</t>
  </si>
  <si>
    <t>270 Broad Ave</t>
  </si>
  <si>
    <t>602 Ridge Rd</t>
  </si>
  <si>
    <t>Budd Lake</t>
  </si>
  <si>
    <t>3 Mt Olive Rd</t>
  </si>
  <si>
    <t>568 Mc Bride Ave</t>
  </si>
  <si>
    <t>Green Pond</t>
  </si>
  <si>
    <t>7 Dawson Drive</t>
  </si>
  <si>
    <t>133 Main Street</t>
  </si>
  <si>
    <t>10 Nevins Road</t>
  </si>
  <si>
    <t>227 S Sparta Ave</t>
  </si>
  <si>
    <t>Boonton</t>
  </si>
  <si>
    <t>304 Myrtle Ave</t>
  </si>
  <si>
    <t>778 Belmont Ave</t>
  </si>
  <si>
    <t>14 Howard Blvd</t>
  </si>
  <si>
    <t>1 Ryerson Ave</t>
  </si>
  <si>
    <t>Paramus</t>
  </si>
  <si>
    <t>365 Rte 17 So.</t>
  </si>
  <si>
    <t>Carlstadt</t>
  </si>
  <si>
    <t>651 Rt 17 N</t>
  </si>
  <si>
    <t>251 Park Ave</t>
  </si>
  <si>
    <t>831 Greenpond Road</t>
  </si>
  <si>
    <t>100 White Meadow Rd</t>
  </si>
  <si>
    <t>801 Rutherford Ave</t>
  </si>
  <si>
    <t>75 N Bertrand Rd</t>
  </si>
  <si>
    <t>268 Terrace Ave</t>
  </si>
  <si>
    <t>41-01 Broadway</t>
  </si>
  <si>
    <t>110 Anderson Ave</t>
  </si>
  <si>
    <t>1 Valley Road</t>
  </si>
  <si>
    <t>138 New Pehle Ave</t>
  </si>
  <si>
    <t>125 Rt.17 South</t>
  </si>
  <si>
    <t>39 Pocono Rd</t>
  </si>
  <si>
    <t>Totowa</t>
  </si>
  <si>
    <t>180 Union Blvd</t>
  </si>
  <si>
    <t>200 Rt 17</t>
  </si>
  <si>
    <t>543 Ridge Road</t>
  </si>
  <si>
    <t>192 Paterson Plank Road</t>
  </si>
  <si>
    <t>417 Roe Street</t>
  </si>
  <si>
    <t>152 Compton Rd</t>
  </si>
  <si>
    <t>Landing</t>
  </si>
  <si>
    <t>Vail Rd And Morse Pl</t>
  </si>
  <si>
    <t>26 28 Carey Ave</t>
  </si>
  <si>
    <t>120 Terhune Dr</t>
  </si>
  <si>
    <t>Mountain Lakes</t>
  </si>
  <si>
    <t>44 Midvale Rd</t>
  </si>
  <si>
    <t>1860 Union Valley Road</t>
  </si>
  <si>
    <t>40 Crest St</t>
  </si>
  <si>
    <t>34 Maple Rd</t>
  </si>
  <si>
    <t>Midland Park</t>
  </si>
  <si>
    <t>45 Witte Dr</t>
  </si>
  <si>
    <t>47 N Dean St</t>
  </si>
  <si>
    <t>67 Bloomfield Ave</t>
  </si>
  <si>
    <t>39 Washington Ave</t>
  </si>
  <si>
    <t>322 S Main St</t>
  </si>
  <si>
    <t>591 Main St</t>
  </si>
  <si>
    <t>44 Market St</t>
  </si>
  <si>
    <t>100 Liberty Ave</t>
  </si>
  <si>
    <t>6-18 Maple Ave</t>
  </si>
  <si>
    <t>1 Fellner Place</t>
  </si>
  <si>
    <t>20 Yates Ave</t>
  </si>
  <si>
    <t>Pequannock</t>
  </si>
  <si>
    <t>11 Oak Ave</t>
  </si>
  <si>
    <t>515 Essex St</t>
  </si>
  <si>
    <t>New Milford</t>
  </si>
  <si>
    <t>1 Patrolman Ray Woods Dr</t>
  </si>
  <si>
    <t>118 Ridge Ave</t>
  </si>
  <si>
    <t>28 Cozy Lake Rd</t>
  </si>
  <si>
    <t>Ridgefield Park</t>
  </si>
  <si>
    <t>106 Bergen Ave</t>
  </si>
  <si>
    <t>5266 Berkshire Valley Rd</t>
  </si>
  <si>
    <t>192 Market St</t>
  </si>
  <si>
    <t>267 Madison Ave</t>
  </si>
  <si>
    <t>129 Ridge Rd</t>
  </si>
  <si>
    <t>28 Legion Road</t>
  </si>
  <si>
    <t>387 Washington Ave</t>
  </si>
  <si>
    <t>410 S Dean St</t>
  </si>
  <si>
    <t>340 Outwater Lane</t>
  </si>
  <si>
    <t>513 Veterans Pl</t>
  </si>
  <si>
    <t>194 River Rd</t>
  </si>
  <si>
    <t>63 Cedar Lane</t>
  </si>
  <si>
    <t>523 Kinderkamack Rd</t>
  </si>
  <si>
    <t>128 Baldwin Ave</t>
  </si>
  <si>
    <t>343 Broadway</t>
  </si>
  <si>
    <t>Rochelle Park</t>
  </si>
  <si>
    <t>33 W Passaic St</t>
  </si>
  <si>
    <t>480 Broadway</t>
  </si>
  <si>
    <t>30 Spruce St</t>
  </si>
  <si>
    <t>Ridgewood</t>
  </si>
  <si>
    <t>915 Glenview Road</t>
  </si>
  <si>
    <t>375 Rt 17 N</t>
  </si>
  <si>
    <t>710 NJ-23</t>
  </si>
  <si>
    <t>95-111 RT 46 W</t>
  </si>
  <si>
    <t>Hopatcong</t>
  </si>
  <si>
    <t>33 Point Pleasant Road</t>
  </si>
  <si>
    <t>263 US-46</t>
  </si>
  <si>
    <t>177 Lincoln Av</t>
  </si>
  <si>
    <t>125 Cornelia St</t>
  </si>
  <si>
    <t>16 W Railroad Ave</t>
  </si>
  <si>
    <t>377 RT 17 S</t>
  </si>
  <si>
    <t>69 Carey Avenue</t>
  </si>
  <si>
    <t>721 Hamburg Turnpike</t>
  </si>
  <si>
    <t>103 Skyline Lakes Dr</t>
  </si>
  <si>
    <t>215 Charles St</t>
  </si>
  <si>
    <t>459 Rt 17 S</t>
  </si>
  <si>
    <t>52 Lake Drive West</t>
  </si>
  <si>
    <t>35 W Grand Ave</t>
  </si>
  <si>
    <t>Ogdensburg</t>
  </si>
  <si>
    <t>30 Main St</t>
  </si>
  <si>
    <t>1 Glenwood Ave</t>
  </si>
  <si>
    <t>Montague</t>
  </si>
  <si>
    <t>452 Rte 206</t>
  </si>
  <si>
    <t>1 Perrin Avenue</t>
  </si>
  <si>
    <t>375 Mt Hope Ave</t>
  </si>
  <si>
    <t>7 Morris Road</t>
  </si>
  <si>
    <t>13 Sulak Lane</t>
  </si>
  <si>
    <t>64 Hoboken Road</t>
  </si>
  <si>
    <t>217 Webster Ave</t>
  </si>
  <si>
    <t>Hawthorne</t>
  </si>
  <si>
    <t>123 Royal Avenue</t>
  </si>
  <si>
    <t>61 Armour Pl</t>
  </si>
  <si>
    <t>351 1st St</t>
  </si>
  <si>
    <t>Elks Post 153 (Z)</t>
  </si>
  <si>
    <t>20 Elm St</t>
  </si>
  <si>
    <t>24 Rt 46 East</t>
  </si>
  <si>
    <t>Edgewater</t>
  </si>
  <si>
    <t>725 River Road #49</t>
  </si>
  <si>
    <t>55 4th Ave</t>
  </si>
  <si>
    <t>105 Grove Ave</t>
  </si>
  <si>
    <t>Bogota</t>
  </si>
  <si>
    <t>241 W Shore Ave</t>
  </si>
  <si>
    <t>Route 9 W</t>
  </si>
  <si>
    <t>1245 Belmont Ave</t>
  </si>
  <si>
    <t>139 Hudson St</t>
  </si>
  <si>
    <t>Phil Ernst</t>
  </si>
  <si>
    <t>136 Lake Avenue</t>
  </si>
  <si>
    <t>81-85 Central Ave</t>
  </si>
  <si>
    <t>220 W Passaic St</t>
  </si>
  <si>
    <t>Allendale</t>
  </si>
  <si>
    <t>45 De Mercurio Dr.</t>
  </si>
  <si>
    <t>55 River Rd</t>
  </si>
  <si>
    <t>534 Bergen Blvd</t>
  </si>
  <si>
    <t>Glen Rock</t>
  </si>
  <si>
    <t>909 Prospect St</t>
  </si>
  <si>
    <t>383 Market St</t>
  </si>
  <si>
    <t>300 Bergen Town Center</t>
  </si>
  <si>
    <t>542 New York Ave</t>
  </si>
  <si>
    <t>366 Essex St</t>
  </si>
  <si>
    <t>937 Lincoln Ave</t>
  </si>
  <si>
    <t>700 Paramus Park</t>
  </si>
  <si>
    <t>396 Rt 17 North</t>
  </si>
  <si>
    <t>42 E 30th St</t>
  </si>
  <si>
    <t>195 Market St</t>
  </si>
  <si>
    <t>1308 Rte 23</t>
  </si>
  <si>
    <t>8 East Fort Lee Rd</t>
  </si>
  <si>
    <t>74 W Main St</t>
  </si>
  <si>
    <t>224 Rt 4 E</t>
  </si>
  <si>
    <t>358 Palisades Ave</t>
  </si>
  <si>
    <t>Fort Lee</t>
  </si>
  <si>
    <t>2160 Lemoine Ave</t>
  </si>
  <si>
    <t>289 Bergen Blvd</t>
  </si>
  <si>
    <t>467 Allwood Rd</t>
  </si>
  <si>
    <t>35-07 Broadway</t>
  </si>
  <si>
    <t>South Hackensac</t>
  </si>
  <si>
    <t>75 Saddle River Ave</t>
  </si>
  <si>
    <t>2151 Rt 4 East</t>
  </si>
  <si>
    <t>Beverage Depot</t>
  </si>
  <si>
    <t>257 Queen Ann Rd</t>
  </si>
  <si>
    <t>Paul Mclaughlin</t>
  </si>
  <si>
    <t>493 Tappan Rd</t>
  </si>
  <si>
    <t>171 Schraalenburgh Rd</t>
  </si>
  <si>
    <t>Demarest</t>
  </si>
  <si>
    <t>80 Anderson Ave</t>
  </si>
  <si>
    <t>127 S. Washington Ave</t>
  </si>
  <si>
    <t>374 North Midland Ave</t>
  </si>
  <si>
    <t>191 Paris Ave</t>
  </si>
  <si>
    <t>800 Ridgewood Rd</t>
  </si>
  <si>
    <t>105 Old New Bridge Rd</t>
  </si>
  <si>
    <t>203 Old Tappan Rd</t>
  </si>
  <si>
    <t>103 Spring Valley Rd</t>
  </si>
  <si>
    <t>827 Teaneck Rd</t>
  </si>
  <si>
    <t>33-02 Morlot Avenue</t>
  </si>
  <si>
    <t>100 Chestnut Ridge Rd</t>
  </si>
  <si>
    <t>Haworth</t>
  </si>
  <si>
    <t>23 Hardenburgh Ave</t>
  </si>
  <si>
    <t>341 Engle St</t>
  </si>
  <si>
    <t>1409 Queen Ann Road</t>
  </si>
  <si>
    <t>23 E Palisade Ave</t>
  </si>
  <si>
    <t>146 Kinderkamack Road</t>
  </si>
  <si>
    <t>130 County Rd</t>
  </si>
  <si>
    <t>214 Main St</t>
  </si>
  <si>
    <t>126 Anderson St</t>
  </si>
  <si>
    <t>411 Piermont Rd</t>
  </si>
  <si>
    <t>65 Old Hook Rd</t>
  </si>
  <si>
    <t>159 Main St.</t>
  </si>
  <si>
    <t>252 Schraalenburgh Rd</t>
  </si>
  <si>
    <t>The Hill</t>
  </si>
  <si>
    <t>45 NATHANIEL PLACE</t>
  </si>
  <si>
    <t>22-22 Maple Ave</t>
  </si>
  <si>
    <t>595 Broadway</t>
  </si>
  <si>
    <t>65 Closter Plaza</t>
  </si>
  <si>
    <t>310 Main St</t>
  </si>
  <si>
    <t>Rivervale</t>
  </si>
  <si>
    <t>449 Rivervale Rd</t>
  </si>
  <si>
    <t>85 Midtown Bridge St</t>
  </si>
  <si>
    <t>5 Lake Shore Dr</t>
  </si>
  <si>
    <t>160 Prospect Ave</t>
  </si>
  <si>
    <t>201 Livingston St</t>
  </si>
  <si>
    <t>Rockleigh</t>
  </si>
  <si>
    <t>26 Paris Ave</t>
  </si>
  <si>
    <t>15 Rivervale Rd</t>
  </si>
  <si>
    <t>45 Main St</t>
  </si>
  <si>
    <t>30 N Van Brunt St</t>
  </si>
  <si>
    <t>90 Center Ave</t>
  </si>
  <si>
    <t>31 Emerson Plaza E</t>
  </si>
  <si>
    <t>100 Piermont Rd</t>
  </si>
  <si>
    <t>97 Rivervale Road</t>
  </si>
  <si>
    <t>107 E Main S</t>
  </si>
  <si>
    <t>126 Boulevard</t>
  </si>
  <si>
    <t>61 River St</t>
  </si>
  <si>
    <t>274 Fairview Ave</t>
  </si>
  <si>
    <t>36 N Van Brunt St</t>
  </si>
  <si>
    <t>14-16 Armory St</t>
  </si>
  <si>
    <t>20 E. Madison Ave</t>
  </si>
  <si>
    <t>49 W Madison Ave</t>
  </si>
  <si>
    <t>14 West Grand Ave</t>
  </si>
  <si>
    <t>200 Main St</t>
  </si>
  <si>
    <t>149 Polito Ave</t>
  </si>
  <si>
    <t>29 E Madison Ave</t>
  </si>
  <si>
    <t>161 Hackensack Ave</t>
  </si>
  <si>
    <t>Wallington</t>
  </si>
  <si>
    <t>299 Paterson Ave</t>
  </si>
  <si>
    <t>84 Broadway</t>
  </si>
  <si>
    <t>73 Brownstone Way</t>
  </si>
  <si>
    <t>74 Broadway</t>
  </si>
  <si>
    <t>416 Tappan Rd</t>
  </si>
  <si>
    <t>293 Queen Anne Rd</t>
  </si>
  <si>
    <t>519 Livingston St.</t>
  </si>
  <si>
    <t>5 Park St</t>
  </si>
  <si>
    <t>644 Pascack Rd</t>
  </si>
  <si>
    <t>32 S Washington Ave</t>
  </si>
  <si>
    <t>213 Huyler St</t>
  </si>
  <si>
    <t>300 Brae Blvd</t>
  </si>
  <si>
    <t>453 Chestnut Ridge Rd 23c</t>
  </si>
  <si>
    <t>178 Cedar Lane</t>
  </si>
  <si>
    <t>22 N Front St</t>
  </si>
  <si>
    <t>434 Route 46 West</t>
  </si>
  <si>
    <t>252 Main St</t>
  </si>
  <si>
    <t>36 Engle St</t>
  </si>
  <si>
    <t>430 Route 46</t>
  </si>
  <si>
    <t>660 Rivervale Road</t>
  </si>
  <si>
    <t>210 Market St</t>
  </si>
  <si>
    <t>70 Haworth Dr</t>
  </si>
  <si>
    <t>14-29 River Rd</t>
  </si>
  <si>
    <t>129 Vervalen St</t>
  </si>
  <si>
    <t>52 S Washington Ave</t>
  </si>
  <si>
    <t>704 River Rd</t>
  </si>
  <si>
    <t>188 Knickerbocker Rd</t>
  </si>
  <si>
    <t>18 Piermont Rd</t>
  </si>
  <si>
    <t>25 Grant Ave.</t>
  </si>
  <si>
    <t>178 Piermont Rd</t>
  </si>
  <si>
    <t>18 15 Maple Ave</t>
  </si>
  <si>
    <t>83 De Wolf Rd</t>
  </si>
  <si>
    <t>625 Rivervale Rd</t>
  </si>
  <si>
    <t>2101 Promenade Blvd</t>
  </si>
  <si>
    <t>401 S Van Brunt St</t>
  </si>
  <si>
    <t>131 Queen Anne Rd</t>
  </si>
  <si>
    <t>250 Center Ave</t>
  </si>
  <si>
    <t>530 Livingston St</t>
  </si>
  <si>
    <t>101 Queen Anne Rd</t>
  </si>
  <si>
    <t>151 Kinderkamack Rd</t>
  </si>
  <si>
    <t>1400 Palisade Ave</t>
  </si>
  <si>
    <t>129 Johnson Ave</t>
  </si>
  <si>
    <t>125 Main St</t>
  </si>
  <si>
    <t>36 Jefferson Ave</t>
  </si>
  <si>
    <t>41-11 Rte 4 W</t>
  </si>
  <si>
    <t>214 South Dean St</t>
  </si>
  <si>
    <t>96 S Washington Ave</t>
  </si>
  <si>
    <t>880 Soldier Hill Rd</t>
  </si>
  <si>
    <t>701 Main St</t>
  </si>
  <si>
    <t>130 Vervalen St</t>
  </si>
  <si>
    <t>304 Kinderkamack Rd</t>
  </si>
  <si>
    <t>11 Central Ave</t>
  </si>
  <si>
    <t>Montclair</t>
  </si>
  <si>
    <t>138 Valley Road</t>
  </si>
  <si>
    <t>38 W Railroad Ave</t>
  </si>
  <si>
    <t>208 Piermont Rd</t>
  </si>
  <si>
    <t>2-27 Saddle River Rd</t>
  </si>
  <si>
    <t>137 Orangeburg Rd</t>
  </si>
  <si>
    <t>14-19 Paramelee Ave</t>
  </si>
  <si>
    <t>125 N Kndrkmk Rd</t>
  </si>
  <si>
    <t>2 S Main St</t>
  </si>
  <si>
    <t>Blush Gentleman's Club</t>
  </si>
  <si>
    <t>176 Colony Ave</t>
  </si>
  <si>
    <t>22-24 N Van Brunt St</t>
  </si>
  <si>
    <t>604 Main Street</t>
  </si>
  <si>
    <t>100 Frank Burr Blvd</t>
  </si>
  <si>
    <t>20 Washington Ave</t>
  </si>
  <si>
    <t>18 S Dean St</t>
  </si>
  <si>
    <t>2 Kinderkamack Rd</t>
  </si>
  <si>
    <t>86 S. Washington Ave</t>
  </si>
  <si>
    <t>55 Rt 4 E</t>
  </si>
  <si>
    <t>249 S River St</t>
  </si>
  <si>
    <t>31 W Madison Ave</t>
  </si>
  <si>
    <t>270 Pascack Rd</t>
  </si>
  <si>
    <t>90 W. Palisade Ave</t>
  </si>
  <si>
    <t>Pablo Lopez</t>
  </si>
  <si>
    <t>109 Lakeview Ave</t>
  </si>
  <si>
    <t>283 Parker Ave</t>
  </si>
  <si>
    <t>176 Union Ave</t>
  </si>
  <si>
    <t>710 Madison Ave</t>
  </si>
  <si>
    <t>495 Market Street</t>
  </si>
  <si>
    <t>370 Rt 46 West</t>
  </si>
  <si>
    <t>581-583 Main Ave</t>
  </si>
  <si>
    <t>913 Main St</t>
  </si>
  <si>
    <t>663 Main Ave</t>
  </si>
  <si>
    <t>365 21st Avenue</t>
  </si>
  <si>
    <t>1293 Main Ave</t>
  </si>
  <si>
    <t>274 Broadway</t>
  </si>
  <si>
    <t>821 Mcbride Avenue</t>
  </si>
  <si>
    <t>240 Hope Ave</t>
  </si>
  <si>
    <t>23-27 Lexington Ave</t>
  </si>
  <si>
    <t>382 Main St</t>
  </si>
  <si>
    <t>92 Belmont Ave</t>
  </si>
  <si>
    <t>182 Third St</t>
  </si>
  <si>
    <t>467 Union Ave</t>
  </si>
  <si>
    <t>282 Parker Ave</t>
  </si>
  <si>
    <t>182 Getty Ave</t>
  </si>
  <si>
    <t>21 West Broadway</t>
  </si>
  <si>
    <t>370 Monroe St</t>
  </si>
  <si>
    <t>177 3rd Ave</t>
  </si>
  <si>
    <t>58 Ellison St</t>
  </si>
  <si>
    <t>Moonachie</t>
  </si>
  <si>
    <t>110 Moonachie Ave</t>
  </si>
  <si>
    <t>199 Monroe St</t>
  </si>
  <si>
    <t>50 Cianci St</t>
  </si>
  <si>
    <t>La Fiesta</t>
  </si>
  <si>
    <t>293 Vernon Ave</t>
  </si>
  <si>
    <t>328 11th Ave</t>
  </si>
  <si>
    <t>991 Madison Ave</t>
  </si>
  <si>
    <t>192 E 16th St</t>
  </si>
  <si>
    <t>1019 Mcbride Ave</t>
  </si>
  <si>
    <t>102 Mclean Blvd</t>
  </si>
  <si>
    <t>209 Mcbride Ave</t>
  </si>
  <si>
    <t>507 Broadway</t>
  </si>
  <si>
    <t>487 21st Ave</t>
  </si>
  <si>
    <t>402 River St</t>
  </si>
  <si>
    <t>230 Vreeland Ave</t>
  </si>
  <si>
    <t>109 Main St</t>
  </si>
  <si>
    <t>521 Park Ave</t>
  </si>
  <si>
    <t>32 Bergen St</t>
  </si>
  <si>
    <t>410-412 Main St</t>
  </si>
  <si>
    <t>138 5th Ave</t>
  </si>
  <si>
    <t>389 Madison Avenue</t>
  </si>
  <si>
    <t>21 Mill St.</t>
  </si>
  <si>
    <t>40 Highland Ave</t>
  </si>
  <si>
    <t>26 N Straight St</t>
  </si>
  <si>
    <t>82 President Street</t>
  </si>
  <si>
    <t>255 Parker Ave</t>
  </si>
  <si>
    <t>201 Market St</t>
  </si>
  <si>
    <t>240 Dayton Ave</t>
  </si>
  <si>
    <t>292-294 Market Street</t>
  </si>
  <si>
    <t>West Paterson</t>
  </si>
  <si>
    <t>295 Mt Pleasant Ave</t>
  </si>
  <si>
    <t>413 Monroe St</t>
  </si>
  <si>
    <t>182 Market St.</t>
  </si>
  <si>
    <t>822 Main Ave</t>
  </si>
  <si>
    <t>16 3rd Ave</t>
  </si>
  <si>
    <t>87 Broadway</t>
  </si>
  <si>
    <t>498 Ellison St.</t>
  </si>
  <si>
    <t>168 Getty Avenue</t>
  </si>
  <si>
    <t>49 Market St</t>
  </si>
  <si>
    <t>130 Howe Ave</t>
  </si>
  <si>
    <t>144 Washington St</t>
  </si>
  <si>
    <t>507 Crooks Ave</t>
  </si>
  <si>
    <t>1011 Market St</t>
  </si>
  <si>
    <t>64 Lexington Ave</t>
  </si>
  <si>
    <t>210 Madison St</t>
  </si>
  <si>
    <t>62 Broadway</t>
  </si>
  <si>
    <t>168 Market St</t>
  </si>
  <si>
    <t>235 Grand St</t>
  </si>
  <si>
    <t>13 12th Ave</t>
  </si>
  <si>
    <t>324 E Railway Ave</t>
  </si>
  <si>
    <t>66 Center St</t>
  </si>
  <si>
    <t>108 Center St</t>
  </si>
  <si>
    <t>409 21st Ave</t>
  </si>
  <si>
    <t>30 East Palisade Ave.</t>
  </si>
  <si>
    <t>1 Village Square</t>
  </si>
  <si>
    <t>999 Market St</t>
  </si>
  <si>
    <t>1094 Main Ave.</t>
  </si>
  <si>
    <t>238 Broadway</t>
  </si>
  <si>
    <t>Taverna Mykonos</t>
  </si>
  <si>
    <t>Office Tell Sell</t>
  </si>
  <si>
    <t>226 Walnut Street</t>
  </si>
  <si>
    <t>235 Rochelle Ave</t>
  </si>
  <si>
    <t>49 Main Street</t>
  </si>
  <si>
    <t>Lina's Ristorante</t>
  </si>
  <si>
    <t>Englewood Cliff</t>
  </si>
  <si>
    <t>14 Sylvan Ave</t>
  </si>
  <si>
    <t>227 Park Ave</t>
  </si>
  <si>
    <t>Fiesta Hut (Z)</t>
  </si>
  <si>
    <t>2020 Hudson St</t>
  </si>
  <si>
    <t>100 Market St</t>
  </si>
  <si>
    <t>136 Mehrhof Rd</t>
  </si>
  <si>
    <t>Empire Club (P)</t>
  </si>
  <si>
    <t>4 North Bridge Street</t>
  </si>
  <si>
    <t>90 Promanade Ave</t>
  </si>
  <si>
    <t>80 Montgomery St</t>
  </si>
  <si>
    <t>1730 Rt 46</t>
  </si>
  <si>
    <t>936 River Rd</t>
  </si>
  <si>
    <t>484 Sylvan Ave</t>
  </si>
  <si>
    <t>54 Mt Vernon St</t>
  </si>
  <si>
    <t>55 Moonachie Ave</t>
  </si>
  <si>
    <t>111 Rt 46 W</t>
  </si>
  <si>
    <t>490 Market St</t>
  </si>
  <si>
    <t>389 Liberty St</t>
  </si>
  <si>
    <t>Gopchang Story</t>
  </si>
  <si>
    <t>26 1st St</t>
  </si>
  <si>
    <t>30 Market St</t>
  </si>
  <si>
    <t>557 Main St</t>
  </si>
  <si>
    <t>344 Jersey Ave</t>
  </si>
  <si>
    <t>715 E 18th Street</t>
  </si>
  <si>
    <t>2029 Lemoine Ave</t>
  </si>
  <si>
    <t>Cliffside Park</t>
  </si>
  <si>
    <t>565 Gorge Rd</t>
  </si>
  <si>
    <t>294 N Church Rd</t>
  </si>
  <si>
    <t>170 Union Ave</t>
  </si>
  <si>
    <t>Nick Melissari</t>
  </si>
  <si>
    <t>230 Route 17</t>
  </si>
  <si>
    <t>1 American Dream Way</t>
  </si>
  <si>
    <t>390 Hackensack Ave</t>
  </si>
  <si>
    <t>Wyckoff</t>
  </si>
  <si>
    <t>640 Wyckoff Ave</t>
  </si>
  <si>
    <t>37 Ridge Road</t>
  </si>
  <si>
    <t>163 Boulevard</t>
  </si>
  <si>
    <t>501 Garden State Plaza</t>
  </si>
  <si>
    <t>588 Ramapo Valley Rd</t>
  </si>
  <si>
    <t>75 Rt17 Garden State Pl</t>
  </si>
  <si>
    <t>Ridgefield</t>
  </si>
  <si>
    <t>482 Bergen Blvd</t>
  </si>
  <si>
    <t>115 River Rd</t>
  </si>
  <si>
    <t>158 Market St</t>
  </si>
  <si>
    <t>706 Rt 17 N</t>
  </si>
  <si>
    <t>194 Rt 17 N</t>
  </si>
  <si>
    <t>2167 Route 4 East</t>
  </si>
  <si>
    <t>900 Rt 17 N</t>
  </si>
  <si>
    <t>83 W. Spring Valley Ave</t>
  </si>
  <si>
    <t>791 Midland Ave</t>
  </si>
  <si>
    <t>50 Riverside Square Mall</t>
  </si>
  <si>
    <t>299 Paramus Rd</t>
  </si>
  <si>
    <t>327j Franklin Ave</t>
  </si>
  <si>
    <t>147 Frederick St</t>
  </si>
  <si>
    <t>224 Ridge Rd</t>
  </si>
  <si>
    <t>48 Ames Avenue</t>
  </si>
  <si>
    <t>179 Godwin Ave</t>
  </si>
  <si>
    <t>584 Ridge Rd</t>
  </si>
  <si>
    <t>Turf and Barrel</t>
  </si>
  <si>
    <t>503 Valley Brook Ave</t>
  </si>
  <si>
    <t>350 Belleville Turnpike</t>
  </si>
  <si>
    <t>20 Teterboro Landing Dr.</t>
  </si>
  <si>
    <t>11 The Promenade</t>
  </si>
  <si>
    <t>390 Hackensack Ave.</t>
  </si>
  <si>
    <t>88 Park Ave</t>
  </si>
  <si>
    <t>263 Ridge Road</t>
  </si>
  <si>
    <t>122 W Pleasant Ave</t>
  </si>
  <si>
    <t>1620 Bergen Town Center</t>
  </si>
  <si>
    <t>601 From Road</t>
  </si>
  <si>
    <t>258 Park Ave</t>
  </si>
  <si>
    <t>270 Rt. 4 East</t>
  </si>
  <si>
    <t>142 Outwater Lane</t>
  </si>
  <si>
    <t>430 Rte 17 So</t>
  </si>
  <si>
    <t>2 Palmer Terrace</t>
  </si>
  <si>
    <t>132 Essex St</t>
  </si>
  <si>
    <t>10 Murray Hill Pkway</t>
  </si>
  <si>
    <t>168 W Cresent Ave</t>
  </si>
  <si>
    <t>168 Union Ave</t>
  </si>
  <si>
    <t>9 Franklin Tpk</t>
  </si>
  <si>
    <t>78 The Promenade</t>
  </si>
  <si>
    <t>186 Passaic St</t>
  </si>
  <si>
    <t>200 Rt 46 East</t>
  </si>
  <si>
    <t>375 W. Passaic St.</t>
  </si>
  <si>
    <t>50 Essex St</t>
  </si>
  <si>
    <t>11-35 River Rd</t>
  </si>
  <si>
    <t>15 E Firehouse Lane</t>
  </si>
  <si>
    <t>1345 Palisade Ave</t>
  </si>
  <si>
    <t>16 Statehighway 5</t>
  </si>
  <si>
    <t>356 Paterson Ave</t>
  </si>
  <si>
    <t>245 Outwater Lane</t>
  </si>
  <si>
    <t>645 Washington Ave</t>
  </si>
  <si>
    <t>126 Ray St</t>
  </si>
  <si>
    <t>58 Terhune Ave</t>
  </si>
  <si>
    <t>390 Hackensack Ave # 60</t>
  </si>
  <si>
    <t>340 Paterson Ave</t>
  </si>
  <si>
    <t>443 Paterson Aven</t>
  </si>
  <si>
    <t>26 Ridge Rd</t>
  </si>
  <si>
    <t>1466 River Rd</t>
  </si>
  <si>
    <t>1160 Garden State Plaza</t>
  </si>
  <si>
    <t>413 Paterson Ave</t>
  </si>
  <si>
    <t>589 Ramapo Valley Rd</t>
  </si>
  <si>
    <t>110 E Main St</t>
  </si>
  <si>
    <t>71 Crescent Ave</t>
  </si>
  <si>
    <t>190 River Rd</t>
  </si>
  <si>
    <t>29 Spruce St</t>
  </si>
  <si>
    <t>517 River Drive</t>
  </si>
  <si>
    <t>315 Franklin Ave</t>
  </si>
  <si>
    <t>317 Washington Ave</t>
  </si>
  <si>
    <t>160 Rte 17 North</t>
  </si>
  <si>
    <t>240 Hackensack St</t>
  </si>
  <si>
    <t>33 Crystal St</t>
  </si>
  <si>
    <t>Woodridge</t>
  </si>
  <si>
    <t>187 Hackensack St</t>
  </si>
  <si>
    <t>1 Hoboken Rd</t>
  </si>
  <si>
    <t>586 Franklin Tpk</t>
  </si>
  <si>
    <t>219 Ramapo Valley Rd</t>
  </si>
  <si>
    <t>11 Franklin Tpke</t>
  </si>
  <si>
    <t>20 E Prospect St</t>
  </si>
  <si>
    <t>155 Ramapo Valley Rd</t>
  </si>
  <si>
    <t>21 Teterboro Landing Dr</t>
  </si>
  <si>
    <t>1475 Bergen Blvd</t>
  </si>
  <si>
    <t>184 Route 17n.</t>
  </si>
  <si>
    <t>132 Park Ave</t>
  </si>
  <si>
    <t>1 Racetrack Drive</t>
  </si>
  <si>
    <t>2139 Hudson Terrace</t>
  </si>
  <si>
    <t>620 Rt 17</t>
  </si>
  <si>
    <t>72 Ramapo Valley Rd</t>
  </si>
  <si>
    <t>175 Ramapo Valley Rd</t>
  </si>
  <si>
    <t>442 Hackensack St</t>
  </si>
  <si>
    <t>455 Valley Brook Ave</t>
  </si>
  <si>
    <t>237 Diamond Bridge Ave</t>
  </si>
  <si>
    <t>359 Sicomac Ave</t>
  </si>
  <si>
    <t>601 Riverside Plaza</t>
  </si>
  <si>
    <t>70 Riverside Square Mall</t>
  </si>
  <si>
    <t>140 Rte 17 North</t>
  </si>
  <si>
    <t>180 Rt 17 S</t>
  </si>
  <si>
    <t>106 Park Ave</t>
  </si>
  <si>
    <t>42 Plauderville Ave</t>
  </si>
  <si>
    <t>900 Paterson Plank Rd</t>
  </si>
  <si>
    <t>105 Lakeside Dr</t>
  </si>
  <si>
    <t>4 Barbara Lane</t>
  </si>
  <si>
    <t>150 Franklin Tpk</t>
  </si>
  <si>
    <t>352 W. Passaic Street</t>
  </si>
  <si>
    <t>133 Monroe St</t>
  </si>
  <si>
    <t>440 Ridge Road</t>
  </si>
  <si>
    <t>18 W Prospect St</t>
  </si>
  <si>
    <t>197 Riverside Square Mall</t>
  </si>
  <si>
    <t>46 Franklin Tpke</t>
  </si>
  <si>
    <t>1 Riverside Square (181)</t>
  </si>
  <si>
    <t>Fashion Ctr Mall Rt17 N</t>
  </si>
  <si>
    <t>379 Rt 17 South</t>
  </si>
  <si>
    <t>601 Schuyler Ave</t>
  </si>
  <si>
    <t>539 River Rd</t>
  </si>
  <si>
    <t>41 Central Ave</t>
  </si>
  <si>
    <t>14 Ridge Road</t>
  </si>
  <si>
    <t>2 Island Rd</t>
  </si>
  <si>
    <t>390 HACKENSACK AVE</t>
  </si>
  <si>
    <t>2011 Lemoine Ave #303</t>
  </si>
  <si>
    <t>625 From Rd</t>
  </si>
  <si>
    <t>2052 Hudson St</t>
  </si>
  <si>
    <t>1200 Rt 17 N</t>
  </si>
  <si>
    <t>7 Ramapo Valley Rd.</t>
  </si>
  <si>
    <t>412 Bergen Blvd</t>
  </si>
  <si>
    <t>318 Belleville Tpke</t>
  </si>
  <si>
    <t>30 N Spruce St</t>
  </si>
  <si>
    <t>152 Washington Ave</t>
  </si>
  <si>
    <t>178 Palisade Ave</t>
  </si>
  <si>
    <t>1 Garden State Plaza</t>
  </si>
  <si>
    <t>1257 River Rd</t>
  </si>
  <si>
    <t>183 Boulevard</t>
  </si>
  <si>
    <t>88 Route 46 W</t>
  </si>
  <si>
    <t>200 Schuyler Ave</t>
  </si>
  <si>
    <t>5 W Main St</t>
  </si>
  <si>
    <t>774 Main St</t>
  </si>
  <si>
    <t>250 Park Ave</t>
  </si>
  <si>
    <t>274 Riverside Square Mall</t>
  </si>
  <si>
    <t>349 Rt 17</t>
  </si>
  <si>
    <t>900 Rte 17 No</t>
  </si>
  <si>
    <t>843 Washington Ave</t>
  </si>
  <si>
    <t>984 Route 17 No Suite B</t>
  </si>
  <si>
    <t>2010 Hudson St</t>
  </si>
  <si>
    <t>439 Valley Brook Ave</t>
  </si>
  <si>
    <t>65 Rt 4 West</t>
  </si>
  <si>
    <t>323 Ridge Rd</t>
  </si>
  <si>
    <t>209 Ramapo Valley Rd</t>
  </si>
  <si>
    <t>110 W Oakland Ave</t>
  </si>
  <si>
    <t>Garden St Plaza</t>
  </si>
  <si>
    <t>89 Main St</t>
  </si>
  <si>
    <t>279 Passaic St</t>
  </si>
  <si>
    <t>71 Rt17 Garden State Pl</t>
  </si>
  <si>
    <t>314 Paramus Rd</t>
  </si>
  <si>
    <t>450 Hackensack Ave.</t>
  </si>
  <si>
    <t>67 Allendale Ave</t>
  </si>
  <si>
    <t>15 Sylvan St</t>
  </si>
  <si>
    <t>Hohokus</t>
  </si>
  <si>
    <t>7 Sheridan Ave</t>
  </si>
  <si>
    <t>Mike Ast</t>
  </si>
  <si>
    <t>799 Franklin Ave</t>
  </si>
  <si>
    <t>626 N Maple Ave</t>
  </si>
  <si>
    <t>431 Belmont Ave</t>
  </si>
  <si>
    <t>408 Haledon Ave</t>
  </si>
  <si>
    <t>6 Van Neste Sq</t>
  </si>
  <si>
    <t>6 W Ridgewood Ave</t>
  </si>
  <si>
    <t>32 South Broad</t>
  </si>
  <si>
    <t>44 Godwin Ave</t>
  </si>
  <si>
    <t>23 Wyckoff Ave</t>
  </si>
  <si>
    <t>246 Rock Rd</t>
  </si>
  <si>
    <t>203 Diamond Bridge Ave</t>
  </si>
  <si>
    <t>32-34 Chestnut St</t>
  </si>
  <si>
    <t>930 Prospect St</t>
  </si>
  <si>
    <t>112 N. Maple Ave</t>
  </si>
  <si>
    <t>139 Franklin Tpk</t>
  </si>
  <si>
    <t>8 Godwin Ave</t>
  </si>
  <si>
    <t>7 Miller Road</t>
  </si>
  <si>
    <t>1 Franklin Tpke</t>
  </si>
  <si>
    <t>390 Ramapo Valley Rd</t>
  </si>
  <si>
    <t>1100 Goffle Rd</t>
  </si>
  <si>
    <t>101 W Allendale Ave</t>
  </si>
  <si>
    <t>175 Franklin Ave</t>
  </si>
  <si>
    <t>83 Godwin Ave</t>
  </si>
  <si>
    <t>383 Belmont Ave</t>
  </si>
  <si>
    <t>Joe's pub</t>
  </si>
  <si>
    <t>794 Franklin Ave</t>
  </si>
  <si>
    <t>610 Lafayette Ave</t>
  </si>
  <si>
    <t>1950 NJ-23</t>
  </si>
  <si>
    <t>14 Post Rd</t>
  </si>
  <si>
    <t>221 Main St</t>
  </si>
  <si>
    <t>340 Ridge Rd Unit B</t>
  </si>
  <si>
    <t>371 High Mt Road</t>
  </si>
  <si>
    <t>60 Beaverbrook Road</t>
  </si>
  <si>
    <t>21-00 Maple Ave</t>
  </si>
  <si>
    <t>1068 High Mountain Road</t>
  </si>
  <si>
    <t>2-4 Garber Square</t>
  </si>
  <si>
    <t>611 N Maple Ave</t>
  </si>
  <si>
    <t>175 Rock Rd</t>
  </si>
  <si>
    <t>303 Franklin Ave</t>
  </si>
  <si>
    <t>51 N Broad St</t>
  </si>
  <si>
    <t>222 Rock Rd</t>
  </si>
  <si>
    <t>311 Haledon Ave</t>
  </si>
  <si>
    <t>17 Chestnut St</t>
  </si>
  <si>
    <t>15 E Ridgewood Ave</t>
  </si>
  <si>
    <t>28 Franklin Tpke</t>
  </si>
  <si>
    <t>30 Oak Street</t>
  </si>
  <si>
    <t>West Orange</t>
  </si>
  <si>
    <t>440 Main St</t>
  </si>
  <si>
    <t>Michael Harboy</t>
  </si>
  <si>
    <t>480 Boonton Turnpike</t>
  </si>
  <si>
    <t>Verona</t>
  </si>
  <si>
    <t>360 Bloomfield Ave</t>
  </si>
  <si>
    <t>10 South Valley Rd</t>
  </si>
  <si>
    <t>645 Bloomfield Avenue</t>
  </si>
  <si>
    <t>30 Park St</t>
  </si>
  <si>
    <t>131 Grove St</t>
  </si>
  <si>
    <t>45 Freeman St</t>
  </si>
  <si>
    <t>517 Bloomfield Ave</t>
  </si>
  <si>
    <t>426 Valley Rd</t>
  </si>
  <si>
    <t>558 Bloomfield Ave</t>
  </si>
  <si>
    <t>West Caldwell</t>
  </si>
  <si>
    <t>811 Passaic Ave</t>
  </si>
  <si>
    <t>Fairfield</t>
  </si>
  <si>
    <t>31 Passaic Ave</t>
  </si>
  <si>
    <t>624 Bloomfield Ave</t>
  </si>
  <si>
    <t>65-67 Glenridge Ave</t>
  </si>
  <si>
    <t>5 Seymour St</t>
  </si>
  <si>
    <t>599 Bloomfield Ave</t>
  </si>
  <si>
    <t>350 Mt.Pleasant Ave</t>
  </si>
  <si>
    <t>Livingston</t>
  </si>
  <si>
    <t>100 Walnut St</t>
  </si>
  <si>
    <t>Caldwell</t>
  </si>
  <si>
    <t>153 Roseland Ave</t>
  </si>
  <si>
    <t>370 Bloomfield Ave</t>
  </si>
  <si>
    <t>North Caldwell</t>
  </si>
  <si>
    <t>27 Bloomfield Ave</t>
  </si>
  <si>
    <t>495 Prospect Ave</t>
  </si>
  <si>
    <t>460 Pleasant Valley Way</t>
  </si>
  <si>
    <t>86 Boonton Ave</t>
  </si>
  <si>
    <t>38 2 Bridges Rd</t>
  </si>
  <si>
    <t>379 Bloomfield Ave</t>
  </si>
  <si>
    <t>478 Bloomfield Ave</t>
  </si>
  <si>
    <t>363 Bloomfield Ave</t>
  </si>
  <si>
    <t>621 Valley Rd</t>
  </si>
  <si>
    <t>Glen Ridge</t>
  </si>
  <si>
    <t>555 Ridgewood Ave</t>
  </si>
  <si>
    <t>580 Valley Road</t>
  </si>
  <si>
    <t>310 Orange Rd</t>
  </si>
  <si>
    <t>598 Valley Rd</t>
  </si>
  <si>
    <t>1 Lackawanna Plaza</t>
  </si>
  <si>
    <t>Pineapple Express Barbecue</t>
  </si>
  <si>
    <t>395 Bloomfield Ave</t>
  </si>
  <si>
    <t>116-118 Walnut St</t>
  </si>
  <si>
    <t>318 Passaic Ave</t>
  </si>
  <si>
    <t>114 Walnut St</t>
  </si>
  <si>
    <t>168 Passaic Ave</t>
  </si>
  <si>
    <t>Cedar Grove</t>
  </si>
  <si>
    <t>402 Pompton Ave</t>
  </si>
  <si>
    <t>627 Eagle Rock Ave</t>
  </si>
  <si>
    <t>713 Passaic Ave</t>
  </si>
  <si>
    <t>292 Grove Ave</t>
  </si>
  <si>
    <t>499 Bloomfield Ave</t>
  </si>
  <si>
    <t>227 Glenridge Avenue</t>
  </si>
  <si>
    <t>283 Pompton Ave</t>
  </si>
  <si>
    <t>469 Mt.Pleasant Ave</t>
  </si>
  <si>
    <t>261 Comly Road</t>
  </si>
  <si>
    <t>706 Bloomfield Ave</t>
  </si>
  <si>
    <t>900 Bloomfield Avenue</t>
  </si>
  <si>
    <t>1166 Hamburg Tnpk</t>
  </si>
  <si>
    <t>2 Central Ave</t>
  </si>
  <si>
    <t>Roseland</t>
  </si>
  <si>
    <t>171 Eagle Rock Ave</t>
  </si>
  <si>
    <t>53 Washington St</t>
  </si>
  <si>
    <t>39 Harrison Ave</t>
  </si>
  <si>
    <t>533 Northfield Avenue</t>
  </si>
  <si>
    <t>544 Bloomfield Ave</t>
  </si>
  <si>
    <t>7 Northfield Ave</t>
  </si>
  <si>
    <t>597 Pompton Ave</t>
  </si>
  <si>
    <t>1489 NJ-23</t>
  </si>
  <si>
    <t>89 NJ-17</t>
  </si>
  <si>
    <t>Matt Powierski</t>
  </si>
  <si>
    <t>114 Outwater Lane</t>
  </si>
  <si>
    <t>375 Paterson Ave</t>
  </si>
  <si>
    <t>46 Moonachie Rd</t>
  </si>
  <si>
    <t>100 Broadway</t>
  </si>
  <si>
    <t>546 River Rd</t>
  </si>
  <si>
    <t>894 River Dr</t>
  </si>
  <si>
    <t>412 Third St</t>
  </si>
  <si>
    <t>454 Midland Ave</t>
  </si>
  <si>
    <t>217 Brook Ave.</t>
  </si>
  <si>
    <t>732 River Dr</t>
  </si>
  <si>
    <t>175 Jefferson St</t>
  </si>
  <si>
    <t>251 Elm St</t>
  </si>
  <si>
    <t>80 Passaic St</t>
  </si>
  <si>
    <t>76 Jewell St</t>
  </si>
  <si>
    <t>287 Broad St</t>
  </si>
  <si>
    <t>593 Main Ave</t>
  </si>
  <si>
    <t>675 Paterson Ave</t>
  </si>
  <si>
    <t>166 Maple Ave</t>
  </si>
  <si>
    <t>58 Broadway</t>
  </si>
  <si>
    <t>117 Moonachie Rd</t>
  </si>
  <si>
    <t>315 Main St</t>
  </si>
  <si>
    <t>401 Boulevard</t>
  </si>
  <si>
    <t>260 Bergen Turnpike</t>
  </si>
  <si>
    <t>21 Midland Ave</t>
  </si>
  <si>
    <t>430 Market St</t>
  </si>
  <si>
    <t>209 Paterson Ave</t>
  </si>
  <si>
    <t>576 Paterson Ave</t>
  </si>
  <si>
    <t>66 Marshall Ave</t>
  </si>
  <si>
    <t>150 Moonachie Road</t>
  </si>
  <si>
    <t>50 River Drive</t>
  </si>
  <si>
    <t>168 Main Ave</t>
  </si>
  <si>
    <t>269 Route Rt 46 West</t>
  </si>
  <si>
    <t>661 Midland Ave</t>
  </si>
  <si>
    <t>290 Moonachie Ave</t>
  </si>
  <si>
    <t>800 River Dr.</t>
  </si>
  <si>
    <t>217 Main St</t>
  </si>
  <si>
    <t>299 Bergen Pike</t>
  </si>
  <si>
    <t>1 Passaic St</t>
  </si>
  <si>
    <t>68 Van Winkle Ave</t>
  </si>
  <si>
    <t>171 Hathaway St</t>
  </si>
  <si>
    <t>260 Bergen Tpk</t>
  </si>
  <si>
    <t>85 River Dr</t>
  </si>
  <si>
    <t>32 Passaic St</t>
  </si>
  <si>
    <t>434 Hackensack St</t>
  </si>
  <si>
    <t>229 Main Ave</t>
  </si>
  <si>
    <t>100 Broaway Suite 13</t>
  </si>
  <si>
    <t>252 Maple Ave</t>
  </si>
  <si>
    <t>10 NJ-17</t>
  </si>
  <si>
    <t>226 Paterson Ave</t>
  </si>
  <si>
    <t>142 Division Ave</t>
  </si>
  <si>
    <t>545 Boulevard</t>
  </si>
  <si>
    <t>73 Main St</t>
  </si>
  <si>
    <t>434 Main Ave</t>
  </si>
  <si>
    <t>115 Main Ave</t>
  </si>
  <si>
    <t>46 Wood St</t>
  </si>
  <si>
    <t>52 Chestnut St</t>
  </si>
  <si>
    <t>429 Market St</t>
  </si>
  <si>
    <t>194 Van Winkle Ave</t>
  </si>
  <si>
    <t>114 Us-46</t>
  </si>
  <si>
    <t>Klejdi Lamo</t>
  </si>
  <si>
    <t>101 White Meadow Rd</t>
  </si>
  <si>
    <t>Dover</t>
  </si>
  <si>
    <t>325 W Clinton St</t>
  </si>
  <si>
    <t>3051 Route 23</t>
  </si>
  <si>
    <t>3025 Rt 23 N</t>
  </si>
  <si>
    <t>47 Hopatchung Rd</t>
  </si>
  <si>
    <t>289 Myrtle Ave</t>
  </si>
  <si>
    <t>119 Hawkins Pl</t>
  </si>
  <si>
    <t>149 N Beverwyck Rd</t>
  </si>
  <si>
    <t>175 E Main St</t>
  </si>
  <si>
    <t>73 W Main St</t>
  </si>
  <si>
    <t>43 Broadway</t>
  </si>
  <si>
    <t>340 S Main St</t>
  </si>
  <si>
    <t>308 E Wootton St</t>
  </si>
  <si>
    <t>98 US Highway 46</t>
  </si>
  <si>
    <t>306 NJ-15</t>
  </si>
  <si>
    <t>65-69 N Beverwyck Rd</t>
  </si>
  <si>
    <t>Montville</t>
  </si>
  <si>
    <t>223 Changebridge Road</t>
  </si>
  <si>
    <t>Netcong</t>
  </si>
  <si>
    <t>75 Us-46 Lackawanna Plaza</t>
  </si>
  <si>
    <t>31 Allen St</t>
  </si>
  <si>
    <t>Hackettstown</t>
  </si>
  <si>
    <t>7 Naughright Rd</t>
  </si>
  <si>
    <t>70 Main St</t>
  </si>
  <si>
    <t>Stanhope</t>
  </si>
  <si>
    <t>90 Route 206</t>
  </si>
  <si>
    <t>41 N Main St</t>
  </si>
  <si>
    <t>141 Rt 183</t>
  </si>
  <si>
    <t>915 Berkshire Valley Rd</t>
  </si>
  <si>
    <t>3 Ridge Rd &amp; Berkshire</t>
  </si>
  <si>
    <t>5 Romaine Rd</t>
  </si>
  <si>
    <t>House of Wine &amp; Liquor Mountain Lakes</t>
  </si>
  <si>
    <t>49 Lakeside Blvd</t>
  </si>
  <si>
    <t>Mine Hill</t>
  </si>
  <si>
    <t>264 Us-46</t>
  </si>
  <si>
    <t>John O'Donoghue</t>
  </si>
  <si>
    <t>Morristown</t>
  </si>
  <si>
    <t>9 Speedwell Ave</t>
  </si>
  <si>
    <t>13 South St</t>
  </si>
  <si>
    <t>437 Rt 46 E</t>
  </si>
  <si>
    <t>191 E Hanover Ave</t>
  </si>
  <si>
    <t>Succasunna</t>
  </si>
  <si>
    <t>281-8 NJ-10</t>
  </si>
  <si>
    <t>27 Park Street</t>
  </si>
  <si>
    <t>Mendham</t>
  </si>
  <si>
    <t>88 E Main St # G</t>
  </si>
  <si>
    <t>Parsippany</t>
  </si>
  <si>
    <t>1735 RT 46</t>
  </si>
  <si>
    <t>Pine Brook</t>
  </si>
  <si>
    <t>36 Rt 46 West</t>
  </si>
  <si>
    <t>Mountainside</t>
  </si>
  <si>
    <t>906 Mountain Ave</t>
  </si>
  <si>
    <t>Stirling</t>
  </si>
  <si>
    <t>37 Plainfield Rd</t>
  </si>
  <si>
    <t>Chatham</t>
  </si>
  <si>
    <t>641 Shunpike Road</t>
  </si>
  <si>
    <t>155 Terrace St</t>
  </si>
  <si>
    <t>Florham Park</t>
  </si>
  <si>
    <t>130 Park Ave</t>
  </si>
  <si>
    <t>Long Valley</t>
  </si>
  <si>
    <t>59 E Mill Rd #208</t>
  </si>
  <si>
    <t>Madison</t>
  </si>
  <si>
    <t>300 Main St</t>
  </si>
  <si>
    <t>Chester</t>
  </si>
  <si>
    <t>55 Rte 24</t>
  </si>
  <si>
    <t>1255 Valley Rd</t>
  </si>
  <si>
    <t>34-A Sylvan Way</t>
  </si>
  <si>
    <t>Morris Plains</t>
  </si>
  <si>
    <t>960 Tabor Rd</t>
  </si>
  <si>
    <t>231 Speedwell Ave</t>
  </si>
  <si>
    <t>350 Rte 24, Chester, NJ 07930</t>
  </si>
  <si>
    <t>1168 Valley Rd</t>
  </si>
  <si>
    <t>Ledgewood</t>
  </si>
  <si>
    <t>1107 Route 46 W</t>
  </si>
  <si>
    <t>301 S Salem St</t>
  </si>
  <si>
    <t>325 Patterson Plank Rd</t>
  </si>
  <si>
    <t>29 Main St</t>
  </si>
  <si>
    <t>Flanders</t>
  </si>
  <si>
    <t>272 Emmans Rd</t>
  </si>
  <si>
    <t>248 Rt 46 West</t>
  </si>
  <si>
    <t>246 Littleton Rd</t>
  </si>
  <si>
    <t>120 Us-206</t>
  </si>
  <si>
    <t>227 Main Ave</t>
  </si>
  <si>
    <t>650 Shunpike Rd</t>
  </si>
  <si>
    <t>Millington</t>
  </si>
  <si>
    <t>87 Division Ave</t>
  </si>
  <si>
    <t>191 Speedwell Avenue</t>
  </si>
  <si>
    <t>141 Schooley's Mtn. Rd</t>
  </si>
  <si>
    <t>168 Speedwell Ave</t>
  </si>
  <si>
    <t>199 Smith Rd</t>
  </si>
  <si>
    <t>4 Dehart St</t>
  </si>
  <si>
    <t>286 Us-206</t>
  </si>
  <si>
    <t>34 River Rd</t>
  </si>
  <si>
    <t>4 Pine Street</t>
  </si>
  <si>
    <t>Kenvil</t>
  </si>
  <si>
    <t>601 Us-46 West</t>
  </si>
  <si>
    <t>68 E Madison Ave</t>
  </si>
  <si>
    <t>131 Morris St</t>
  </si>
  <si>
    <t>331 Us Hwy 46</t>
  </si>
  <si>
    <t>84 Main St</t>
  </si>
  <si>
    <t>10 W Blackwell St</t>
  </si>
  <si>
    <t>28 Gibralter Dr</t>
  </si>
  <si>
    <t>Gillette</t>
  </si>
  <si>
    <t>399 Valley Rd</t>
  </si>
  <si>
    <t>26 S Morris St</t>
  </si>
  <si>
    <t>41-43 Morris St</t>
  </si>
  <si>
    <t>142 E Blackwell St</t>
  </si>
  <si>
    <t>127 Morris St</t>
  </si>
  <si>
    <t>342 Valley Rd</t>
  </si>
  <si>
    <t>808 Us-46</t>
  </si>
  <si>
    <t>41 Watchung Avenue</t>
  </si>
  <si>
    <t>34 West Clinton St.</t>
  </si>
  <si>
    <t>1129 Us-46</t>
  </si>
  <si>
    <t>Randolph</t>
  </si>
  <si>
    <t>1181 Sussex Turnpike</t>
  </si>
  <si>
    <t>Rosie''''s Trattoria</t>
  </si>
  <si>
    <t>186 Columbia Turnpike</t>
  </si>
  <si>
    <t>67 East Mill Road</t>
  </si>
  <si>
    <t>333 Rt 24 East</t>
  </si>
  <si>
    <t>168 Parsippany Rd</t>
  </si>
  <si>
    <t>9 South Street</t>
  </si>
  <si>
    <t>517 New Jersey 10</t>
  </si>
  <si>
    <t>330 S Salem St.</t>
  </si>
  <si>
    <t>146 Center Grove Rd</t>
  </si>
  <si>
    <t>340 Us-46</t>
  </si>
  <si>
    <t>1267 Rte 22</t>
  </si>
  <si>
    <t>260 NJ-10</t>
  </si>
  <si>
    <t>94 Fairfield Road</t>
  </si>
  <si>
    <t>293 Us-206</t>
  </si>
  <si>
    <t>540 NJ-10</t>
  </si>
  <si>
    <t>121 Main Street</t>
  </si>
  <si>
    <t>East Hanover</t>
  </si>
  <si>
    <t>480 Ridgedale Ave</t>
  </si>
  <si>
    <t>198 Us-46</t>
  </si>
  <si>
    <t>140 NJ-10W STE 6</t>
  </si>
  <si>
    <t>54 Main St</t>
  </si>
  <si>
    <t>799 Us-46</t>
  </si>
  <si>
    <t>1001 Us Highway 46</t>
  </si>
  <si>
    <t>184 Columbia Turnpike</t>
  </si>
  <si>
    <t>260 RT 46 East</t>
  </si>
  <si>
    <t>Short Hills</t>
  </si>
  <si>
    <t>440 Parsonage Hill Rd</t>
  </si>
  <si>
    <t>459 Main St.</t>
  </si>
  <si>
    <t>335 Fairfield Road</t>
  </si>
  <si>
    <t>16 Burnham Rd</t>
  </si>
  <si>
    <t>1230 Us-22</t>
  </si>
  <si>
    <t>Cedar Knolls</t>
  </si>
  <si>
    <t>178 East Hanover Ave</t>
  </si>
  <si>
    <t>123 E Main St # 2</t>
  </si>
  <si>
    <t>99 Us-46</t>
  </si>
  <si>
    <t>140 Route 10 West</t>
  </si>
  <si>
    <t>Long Hill Twp</t>
  </si>
  <si>
    <t>1001 Valley Road</t>
  </si>
  <si>
    <t>636 Speedwell Ave</t>
  </si>
  <si>
    <t>Berkeley Heights</t>
  </si>
  <si>
    <t>500 Springfield Ave</t>
  </si>
  <si>
    <t>163 South Street</t>
  </si>
  <si>
    <t>14 N Morris St</t>
  </si>
  <si>
    <t>Mt Freedom</t>
  </si>
  <si>
    <t>1194 Sussex Turnpike</t>
  </si>
  <si>
    <t>2 Teterboro Landing Dr</t>
  </si>
  <si>
    <t>John Neukum</t>
  </si>
  <si>
    <t>20 Bridewell Place</t>
  </si>
  <si>
    <t>Secaucus</t>
  </si>
  <si>
    <t>300 Park Plaza Dr</t>
  </si>
  <si>
    <t>Edison</t>
  </si>
  <si>
    <t>2210 Rt 27 North</t>
  </si>
  <si>
    <t>149 Rt. 23</t>
  </si>
  <si>
    <t>300 Rt 17 N</t>
  </si>
  <si>
    <t>315 Rt. 15 North</t>
  </si>
  <si>
    <t>565 Clifton Ave</t>
  </si>
  <si>
    <t>Jim Heaney</t>
  </si>
  <si>
    <t>126 Ridge Rd</t>
  </si>
  <si>
    <t>101 Newark Pompton Turnpike</t>
  </si>
  <si>
    <t>823 Riverview Dr N</t>
  </si>
  <si>
    <t>1006 W Rt 46 W</t>
  </si>
  <si>
    <t>574 Schuyler Ave</t>
  </si>
  <si>
    <t>1362 Clifton Ave</t>
  </si>
  <si>
    <t>430 Lexington Ave</t>
  </si>
  <si>
    <t>10 Spring Dell</t>
  </si>
  <si>
    <t>270 Park Ave</t>
  </si>
  <si>
    <t>17 Schuyler Ave</t>
  </si>
  <si>
    <t>185 River Rd</t>
  </si>
  <si>
    <t>586 Bloomfield Ave</t>
  </si>
  <si>
    <t>314 Clifton Ave</t>
  </si>
  <si>
    <t>149 Ridge Rd</t>
  </si>
  <si>
    <t>383 Valley Road</t>
  </si>
  <si>
    <t>59 Park Ave</t>
  </si>
  <si>
    <t>1187 Broad Street</t>
  </si>
  <si>
    <t>805 Van Houten Ave</t>
  </si>
  <si>
    <t>75 Park Ave</t>
  </si>
  <si>
    <t>111 Lakeview Ave</t>
  </si>
  <si>
    <t>1081 US-46</t>
  </si>
  <si>
    <t>120 Market St</t>
  </si>
  <si>
    <t>497 Van Houten Ave</t>
  </si>
  <si>
    <t>343 Hazel St</t>
  </si>
  <si>
    <t>729 Van Houten Ave</t>
  </si>
  <si>
    <t>311 Union Ave</t>
  </si>
  <si>
    <t>875 Bloomfield Ave</t>
  </si>
  <si>
    <t>77 River Rd</t>
  </si>
  <si>
    <t>32 Ames Ave</t>
  </si>
  <si>
    <t>740 Ridge Road</t>
  </si>
  <si>
    <t>419 Valley Brook Ave.</t>
  </si>
  <si>
    <t>1224 Van Houten Ave</t>
  </si>
  <si>
    <t>132 Kingsland Rd Suite 4</t>
  </si>
  <si>
    <t>534 Van Houten Ave</t>
  </si>
  <si>
    <t>137 3rd St</t>
  </si>
  <si>
    <t>315 Main Street</t>
  </si>
  <si>
    <t>427 Van Houten Ave</t>
  </si>
  <si>
    <t>Tiny Tijuana</t>
  </si>
  <si>
    <t>601 Riverside Ave</t>
  </si>
  <si>
    <t>121-123 Valley Brook Ave</t>
  </si>
  <si>
    <t>292 Lakeview Ave</t>
  </si>
  <si>
    <t>261 Clifton Avenue</t>
  </si>
  <si>
    <t>275 Park Ave</t>
  </si>
  <si>
    <t>425 Lewandowski St.</t>
  </si>
  <si>
    <t>60 Market St</t>
  </si>
  <si>
    <t>Allwood Liquor Store</t>
  </si>
  <si>
    <t>298 Ridge Road</t>
  </si>
  <si>
    <t>Fredon Township</t>
  </si>
  <si>
    <t>428 RT 94</t>
  </si>
  <si>
    <t>Jayson Romine</t>
  </si>
  <si>
    <t>4 White Deer Plaza</t>
  </si>
  <si>
    <t>121 Water St Rt 206</t>
  </si>
  <si>
    <t>16 North Village Blvd</t>
  </si>
  <si>
    <t>288 Rt 23 North</t>
  </si>
  <si>
    <t>6 Sparta Ave N</t>
  </si>
  <si>
    <t>231 Newton Sparta Rd # 3</t>
  </si>
  <si>
    <t>244 NJ-23</t>
  </si>
  <si>
    <t>Vernon</t>
  </si>
  <si>
    <t>84 NJ-94</t>
  </si>
  <si>
    <t>403 NJ-94</t>
  </si>
  <si>
    <t>38 Hamburg Ave</t>
  </si>
  <si>
    <t>41 Woodport Road</t>
  </si>
  <si>
    <t>100 Rt 23</t>
  </si>
  <si>
    <t>Wantage</t>
  </si>
  <si>
    <t>205 NJ-23</t>
  </si>
  <si>
    <t>Hamburg</t>
  </si>
  <si>
    <t>90-92 NJ-23</t>
  </si>
  <si>
    <t>140-146 Rt 23</t>
  </si>
  <si>
    <t>3235 NJ-94</t>
  </si>
  <si>
    <t>322 Howard Blvd</t>
  </si>
  <si>
    <t>Highland Lakes</t>
  </si>
  <si>
    <t>111 Highland Lakes Rd</t>
  </si>
  <si>
    <t>110 Spring Street</t>
  </si>
  <si>
    <t>530 Co Rd 515</t>
  </si>
  <si>
    <t>5 Woodside Ave</t>
  </si>
  <si>
    <t>12 Morris Ave.</t>
  </si>
  <si>
    <t>333 Rte 206</t>
  </si>
  <si>
    <t>128 Lakeside Blvd</t>
  </si>
  <si>
    <t>Lake Hopatcong</t>
  </si>
  <si>
    <t>725 NJ-15</t>
  </si>
  <si>
    <t>49 Hampton House Road</t>
  </si>
  <si>
    <t>190 Munsonhurst Rd</t>
  </si>
  <si>
    <t>99 NJ-23</t>
  </si>
  <si>
    <t>Byram</t>
  </si>
  <si>
    <t>8 Route 206 N</t>
  </si>
  <si>
    <t>175 Lakeside Blvd # 9</t>
  </si>
  <si>
    <t>17 Hampton House Road</t>
  </si>
  <si>
    <t>125 Water St</t>
  </si>
  <si>
    <t>812 Canistear Rd</t>
  </si>
  <si>
    <t>83 Hamburg Ave</t>
  </si>
  <si>
    <t>161 8th St</t>
  </si>
  <si>
    <t>Fragancia Sports Bar</t>
  </si>
  <si>
    <t>Javier Melo</t>
  </si>
  <si>
    <t>416 Market Street</t>
  </si>
  <si>
    <t>879 Main Ave</t>
  </si>
  <si>
    <t>305 Passaic St</t>
  </si>
  <si>
    <t>El Asadero Mexican Grill (Passaic)</t>
  </si>
  <si>
    <t>361 Monroe St</t>
  </si>
  <si>
    <t>90 Lexington Ave</t>
  </si>
  <si>
    <t>203 Parker Ave</t>
  </si>
  <si>
    <t>110 Market St</t>
  </si>
  <si>
    <t>166 Market St</t>
  </si>
  <si>
    <t>15 Park Ave</t>
  </si>
  <si>
    <t>234 Monroe St.</t>
  </si>
  <si>
    <t>154 Passaic St</t>
  </si>
  <si>
    <t>177 Hope Ave</t>
  </si>
  <si>
    <t>291 Park Avenue</t>
  </si>
  <si>
    <t>299 Grand Street</t>
  </si>
  <si>
    <t>361 Midland Ave</t>
  </si>
  <si>
    <t>334 Monroe St.</t>
  </si>
  <si>
    <t>102 Market Street</t>
  </si>
  <si>
    <t>68 Central Ave</t>
  </si>
  <si>
    <t>158 President St</t>
  </si>
  <si>
    <t>220 Passaic St</t>
  </si>
  <si>
    <t>111 N Main St</t>
  </si>
  <si>
    <t>10 Route 46</t>
  </si>
  <si>
    <t>378 Main St</t>
  </si>
  <si>
    <t>952 Main Ave</t>
  </si>
  <si>
    <t>305 Monroe St</t>
  </si>
  <si>
    <t>201 Parker Ave</t>
  </si>
  <si>
    <t>268 Monroe St</t>
  </si>
  <si>
    <t>307 Park Ave</t>
  </si>
  <si>
    <t>32 Market St</t>
  </si>
  <si>
    <t>40 3rd St</t>
  </si>
  <si>
    <t>146 Belmont Avenue</t>
  </si>
  <si>
    <t>228 Washington Pl</t>
  </si>
  <si>
    <t>293 Madison Ave</t>
  </si>
  <si>
    <t>898 Main Ave</t>
  </si>
  <si>
    <t>39 Harding Ave</t>
  </si>
  <si>
    <t>32 Locust Ave</t>
  </si>
  <si>
    <t>335 PATERSON PLANK ROAD</t>
  </si>
  <si>
    <t>126 Passaic St</t>
  </si>
  <si>
    <t>442 10th Ave</t>
  </si>
  <si>
    <t>424 6th Ave</t>
  </si>
  <si>
    <t>266 Passaic Street</t>
  </si>
  <si>
    <t>262 22nd Ave</t>
  </si>
  <si>
    <t>Estevez Liquors &amp; Grocery 2 LLC</t>
  </si>
  <si>
    <t>43 Ellison Street</t>
  </si>
  <si>
    <t>115 President St</t>
  </si>
  <si>
    <t>196 Monroe St</t>
  </si>
  <si>
    <t>910 Main Street</t>
  </si>
  <si>
    <t>49 N Main Street</t>
  </si>
  <si>
    <t>460 Chamberlain Ave</t>
  </si>
  <si>
    <t>550 Lexington Avenue</t>
  </si>
  <si>
    <t>829 Main Ave</t>
  </si>
  <si>
    <t>110 Ackerman Ave</t>
  </si>
  <si>
    <t>22 Jackson St</t>
  </si>
  <si>
    <t>246 3rd St</t>
  </si>
  <si>
    <t>321 Broadway</t>
  </si>
  <si>
    <t>444 20th Avenue</t>
  </si>
  <si>
    <t>68 Lanza Ave</t>
  </si>
  <si>
    <t>421 Piaget Ave</t>
  </si>
  <si>
    <t>394 Lexington Ave.</t>
  </si>
  <si>
    <t>165 Passaic St</t>
  </si>
  <si>
    <t>465 Getty Ave</t>
  </si>
  <si>
    <t>590 Lexington Ave</t>
  </si>
  <si>
    <t>621 Paulison Ave</t>
  </si>
  <si>
    <t>62-64 Dover St</t>
  </si>
  <si>
    <t>89 Market St</t>
  </si>
  <si>
    <t>159 Market St</t>
  </si>
  <si>
    <t>507 Summer St</t>
  </si>
  <si>
    <t>138 Belmont Ave</t>
  </si>
  <si>
    <t>Hoboken</t>
  </si>
  <si>
    <t>1004 Washington Ave</t>
  </si>
  <si>
    <t>Jaime Colonna</t>
  </si>
  <si>
    <t>935 Willow Ave</t>
  </si>
  <si>
    <t>Harrison</t>
  </si>
  <si>
    <t>399 Somerset St.</t>
  </si>
  <si>
    <t>541 River Rd</t>
  </si>
  <si>
    <t>1538 Paterson Plank Road</t>
  </si>
  <si>
    <t>936 Park Ave</t>
  </si>
  <si>
    <t>734 Willow Ave</t>
  </si>
  <si>
    <t>Jersey City</t>
  </si>
  <si>
    <t>322 2nd St.</t>
  </si>
  <si>
    <t>1 Exchange Place</t>
  </si>
  <si>
    <t>96 River St</t>
  </si>
  <si>
    <t>599 Newark St</t>
  </si>
  <si>
    <t>1224 Shipyard Lane</t>
  </si>
  <si>
    <t>76 River Street</t>
  </si>
  <si>
    <t>400 Luis Marin Blvd</t>
  </si>
  <si>
    <t>247 Washington St</t>
  </si>
  <si>
    <t>West New York</t>
  </si>
  <si>
    <t>55 Riverwalk Pl</t>
  </si>
  <si>
    <t>366 2nd St</t>
  </si>
  <si>
    <t>341 14th St</t>
  </si>
  <si>
    <t>702 Washington St</t>
  </si>
  <si>
    <t>266 Martin Luther King Dr</t>
  </si>
  <si>
    <t>239 Bloomfield Street</t>
  </si>
  <si>
    <t>20 HUDSON PL.</t>
  </si>
  <si>
    <t>211 Washington St.</t>
  </si>
  <si>
    <t>70 Hudson St.</t>
  </si>
  <si>
    <t>56 14th St.</t>
  </si>
  <si>
    <t>118 Erie St</t>
  </si>
  <si>
    <t>310 Sinatra Drive</t>
  </si>
  <si>
    <t>The Ainsworth</t>
  </si>
  <si>
    <t>326 Third St</t>
  </si>
  <si>
    <t>98 Willow Avenue</t>
  </si>
  <si>
    <t>130 Newark Ave</t>
  </si>
  <si>
    <t>422 Monroe St</t>
  </si>
  <si>
    <t>739 West Side Avenue</t>
  </si>
  <si>
    <t>16 Hudson Place</t>
  </si>
  <si>
    <t>335-337 Newark Ave</t>
  </si>
  <si>
    <t>11 Marin Blvd</t>
  </si>
  <si>
    <t>3 2nd St Ste.150</t>
  </si>
  <si>
    <t>359 First Street</t>
  </si>
  <si>
    <t>122 Willow Ave</t>
  </si>
  <si>
    <t>225 Hutten St</t>
  </si>
  <si>
    <t>400 Adams St</t>
  </si>
  <si>
    <t>350 Warren St</t>
  </si>
  <si>
    <t>1 2ND ST</t>
  </si>
  <si>
    <t>159 Morgan St</t>
  </si>
  <si>
    <t>179 Warren St.</t>
  </si>
  <si>
    <t>126 River Dr S</t>
  </si>
  <si>
    <t>419 Adams Street</t>
  </si>
  <si>
    <t>106 1st Street</t>
  </si>
  <si>
    <t>520 Adams ST</t>
  </si>
  <si>
    <t>1450 Washington St</t>
  </si>
  <si>
    <t>425 Summit Ave</t>
  </si>
  <si>
    <t>348 Grove St</t>
  </si>
  <si>
    <t>189 Erie St</t>
  </si>
  <si>
    <t>104 Hudson St</t>
  </si>
  <si>
    <t>616 Grand St</t>
  </si>
  <si>
    <t>87 Garden St</t>
  </si>
  <si>
    <t>841 Willow Ave (9th)</t>
  </si>
  <si>
    <t>800 Washington St</t>
  </si>
  <si>
    <t>700 Park Avenue</t>
  </si>
  <si>
    <t>135 Washington St</t>
  </si>
  <si>
    <t>1405 Grand St.</t>
  </si>
  <si>
    <t>126 Washington St</t>
  </si>
  <si>
    <t>1210 Washington St</t>
  </si>
  <si>
    <t>149 Newark Ave</t>
  </si>
  <si>
    <t>400 Newark St</t>
  </si>
  <si>
    <t>Hoboken Vine</t>
  </si>
  <si>
    <t>592 Ridge Road</t>
  </si>
  <si>
    <t>765 Newark Ave</t>
  </si>
  <si>
    <t>273 16th St.</t>
  </si>
  <si>
    <t>306 Sinatra Drive</t>
  </si>
  <si>
    <t>34 Wayne Street</t>
  </si>
  <si>
    <t>1316 Washington Street</t>
  </si>
  <si>
    <t>665-667 Grand St</t>
  </si>
  <si>
    <t>575 Manila Ave</t>
  </si>
  <si>
    <t>88 Liberty View Drive</t>
  </si>
  <si>
    <t>210-212 Central Ave</t>
  </si>
  <si>
    <t>2 2nd St</t>
  </si>
  <si>
    <t>116 14th St</t>
  </si>
  <si>
    <t>720 Monroe St C102</t>
  </si>
  <si>
    <t>Weehawken</t>
  </si>
  <si>
    <t>500 Ave @ Port Imperial</t>
  </si>
  <si>
    <t>614 Clinton St</t>
  </si>
  <si>
    <t>116 Newark Ave</t>
  </si>
  <si>
    <t>1313 Willow Ave</t>
  </si>
  <si>
    <t>159 1st St</t>
  </si>
  <si>
    <t>172 First St</t>
  </si>
  <si>
    <t>70 Chris. Columbus Dr</t>
  </si>
  <si>
    <t>900 Madison St</t>
  </si>
  <si>
    <t>225 River St</t>
  </si>
  <si>
    <t>308 2nd St.</t>
  </si>
  <si>
    <t>810 Newark Ave</t>
  </si>
  <si>
    <t>1 Pershing Rd</t>
  </si>
  <si>
    <t>205 1st Street</t>
  </si>
  <si>
    <t>420 Washington St</t>
  </si>
  <si>
    <t>2 Exchange Place</t>
  </si>
  <si>
    <t>450 1st St.</t>
  </si>
  <si>
    <t>492 Monmouth St</t>
  </si>
  <si>
    <t>800 Jackson Street</t>
  </si>
  <si>
    <t>145 Newark Ave</t>
  </si>
  <si>
    <t>343 Park Ave</t>
  </si>
  <si>
    <t>500 Grand St</t>
  </si>
  <si>
    <t>305 River St</t>
  </si>
  <si>
    <t>218 Newark Ave</t>
  </si>
  <si>
    <t>136 Newark Ave</t>
  </si>
  <si>
    <t>1301 Sinatra Driver North</t>
  </si>
  <si>
    <t>Cork Wines &amp; Spirits (Hoboken)</t>
  </si>
  <si>
    <t>230 Brunswick St</t>
  </si>
  <si>
    <t>505 Washington St</t>
  </si>
  <si>
    <t>725 Montgomery St</t>
  </si>
  <si>
    <t>94 Bloomfield St</t>
  </si>
  <si>
    <t>364 Marin Blvd</t>
  </si>
  <si>
    <t>1422 Grand Street</t>
  </si>
  <si>
    <t>Newark</t>
  </si>
  <si>
    <t>401 Clinton Ave</t>
  </si>
  <si>
    <t>Hakan Sadik</t>
  </si>
  <si>
    <t>516 Clinton Ave</t>
  </si>
  <si>
    <t>133 Roseville Ave</t>
  </si>
  <si>
    <t>Irvington</t>
  </si>
  <si>
    <t>1000 Clinton Ave</t>
  </si>
  <si>
    <t>954 18th Ave</t>
  </si>
  <si>
    <t>164 Irvine Turner Blvd</t>
  </si>
  <si>
    <t>1079 Broad St.</t>
  </si>
  <si>
    <t>1277 Springfield Ave</t>
  </si>
  <si>
    <t>41 Evergreen Ave</t>
  </si>
  <si>
    <t>728 Springfield Ave</t>
  </si>
  <si>
    <t>East Orange</t>
  </si>
  <si>
    <t>356 Main St</t>
  </si>
  <si>
    <t>1 Hotel Rd</t>
  </si>
  <si>
    <t>1070 Springfield Ave</t>
  </si>
  <si>
    <t>625 Broad St. Ste 110</t>
  </si>
  <si>
    <t>400 Springfield Ave</t>
  </si>
  <si>
    <t>520 Main St</t>
  </si>
  <si>
    <t>Maplewood</t>
  </si>
  <si>
    <t>3 Highland Pl</t>
  </si>
  <si>
    <t>150 Bleeker Street</t>
  </si>
  <si>
    <t>521 Irvington Ave</t>
  </si>
  <si>
    <t>273 Park Ave</t>
  </si>
  <si>
    <t>696-704 Mt.Prospect Ave</t>
  </si>
  <si>
    <t>508 N 11th Street</t>
  </si>
  <si>
    <t>272 Sanford St</t>
  </si>
  <si>
    <t>248 Mulberry St</t>
  </si>
  <si>
    <t>818-820 South Orange Ave</t>
  </si>
  <si>
    <t>207 South 11th St</t>
  </si>
  <si>
    <t>751 Lyons Ave</t>
  </si>
  <si>
    <t>Orange</t>
  </si>
  <si>
    <t>410 Central Ave</t>
  </si>
  <si>
    <t>513 Hawthorne Ave</t>
  </si>
  <si>
    <t>155-157 Main St</t>
  </si>
  <si>
    <t>344-350 Clinton Ave</t>
  </si>
  <si>
    <t>1886 Springfield Ave</t>
  </si>
  <si>
    <t>600 Cape May St</t>
  </si>
  <si>
    <t>605 Broadway</t>
  </si>
  <si>
    <t>284 Watchung Ave</t>
  </si>
  <si>
    <t>457 Central Ave</t>
  </si>
  <si>
    <t>1117 Grove St</t>
  </si>
  <si>
    <t>955 Frelinghuysen Ave</t>
  </si>
  <si>
    <t>859 18th Ave</t>
  </si>
  <si>
    <t>362 Washington St.</t>
  </si>
  <si>
    <t>224 Elizabeth Ave</t>
  </si>
  <si>
    <t>322 Central Ave</t>
  </si>
  <si>
    <t>354 Main St</t>
  </si>
  <si>
    <t>528 Central Ave</t>
  </si>
  <si>
    <t>250 Broadway</t>
  </si>
  <si>
    <t>138 South Essex Ave</t>
  </si>
  <si>
    <t>340 Hawthorne Ave</t>
  </si>
  <si>
    <t>65-67 Elizabeth Ave</t>
  </si>
  <si>
    <t>75 1st Street</t>
  </si>
  <si>
    <t>1050 Clinton Ave</t>
  </si>
  <si>
    <t>283 Scotland Rd</t>
  </si>
  <si>
    <t>355 Bloomfield Ave</t>
  </si>
  <si>
    <t>216-220 Market St</t>
  </si>
  <si>
    <t>1942 Springfield Ave</t>
  </si>
  <si>
    <t>1014 South Orange Ave</t>
  </si>
  <si>
    <t>392 Williams St</t>
  </si>
  <si>
    <t>717-719 Frelinghuysen Ave</t>
  </si>
  <si>
    <t>1394 Springfield Ave</t>
  </si>
  <si>
    <t>137 Norfork St</t>
  </si>
  <si>
    <t>53 South Jefferson St.</t>
  </si>
  <si>
    <t>263 Springfield Ave</t>
  </si>
  <si>
    <t>648 Prospect Ave</t>
  </si>
  <si>
    <t>324a Mt.Prospect Ave</t>
  </si>
  <si>
    <t>1073 Bergen St</t>
  </si>
  <si>
    <t>378 Stuyvesant Ave</t>
  </si>
  <si>
    <t>1112 Broad St</t>
  </si>
  <si>
    <t>South Orange</t>
  </si>
  <si>
    <t>400 Valley St</t>
  </si>
  <si>
    <t>343 Avon Ave</t>
  </si>
  <si>
    <t>927-929 Franklin Ave</t>
  </si>
  <si>
    <t>13-29 CORDIER ST</t>
  </si>
  <si>
    <t>Bloomfield</t>
  </si>
  <si>
    <t>35 Lackawanna Pl</t>
  </si>
  <si>
    <t>778 Bergen St</t>
  </si>
  <si>
    <t>876 Springfield Ave</t>
  </si>
  <si>
    <t>152 Bloomfield Ave</t>
  </si>
  <si>
    <t>618 15th ave.</t>
  </si>
  <si>
    <t>506 Prospect St</t>
  </si>
  <si>
    <t>649 18th Ave</t>
  </si>
  <si>
    <t>634 Dr. Mlk Jr. Blvd</t>
  </si>
  <si>
    <t>224 Market St</t>
  </si>
  <si>
    <t>Mad For Chicken Newark</t>
  </si>
  <si>
    <t>335 Roseville Ave</t>
  </si>
  <si>
    <t>373 West Market St</t>
  </si>
  <si>
    <t>58 New Street</t>
  </si>
  <si>
    <t>412 Park Ave</t>
  </si>
  <si>
    <t>51 Central Ave</t>
  </si>
  <si>
    <t>117 Central Ave</t>
  </si>
  <si>
    <t>284 Lyons Ave</t>
  </si>
  <si>
    <t>773 South Orange Ave</t>
  </si>
  <si>
    <t>711-713 Scotland Rd</t>
  </si>
  <si>
    <t>209 Main St</t>
  </si>
  <si>
    <t>3 Brewster Rd Terminal B</t>
  </si>
  <si>
    <t>880 Mt. Prospect Ave #2</t>
  </si>
  <si>
    <t>101 South Orange Ave</t>
  </si>
  <si>
    <t>39 4th Ave</t>
  </si>
  <si>
    <t>1045 Stuyvesant Ave</t>
  </si>
  <si>
    <t>203 16th Ave</t>
  </si>
  <si>
    <t>423 Chancellor Ave</t>
  </si>
  <si>
    <t>762-764 Chancellor Ave</t>
  </si>
  <si>
    <t>363 South Orange Ave</t>
  </si>
  <si>
    <t>759 Broadway</t>
  </si>
  <si>
    <t>163 Maplewood Avenue</t>
  </si>
  <si>
    <t>735 Martin L.King Blvd</t>
  </si>
  <si>
    <t>Belleville</t>
  </si>
  <si>
    <t>2 Bloomfield Ave</t>
  </si>
  <si>
    <t>1830-1840 Springfield Ave</t>
  </si>
  <si>
    <t>1153 South Orange Ave</t>
  </si>
  <si>
    <t>580 Chancellor Ave</t>
  </si>
  <si>
    <t>160 North Grove St</t>
  </si>
  <si>
    <t>278 Orange St</t>
  </si>
  <si>
    <t>309 Irvington Ave</t>
  </si>
  <si>
    <t>165 Mulberry St.</t>
  </si>
  <si>
    <t>918-920 18th Ave</t>
  </si>
  <si>
    <t>25 Valley Street</t>
  </si>
  <si>
    <t>Liquorland (South Orange)</t>
  </si>
  <si>
    <t>15 S Orange Ave</t>
  </si>
  <si>
    <t>208 Bloomfield Ave</t>
  </si>
  <si>
    <t>343 W.Mount Pleasant Ave</t>
  </si>
  <si>
    <t>641 Springfield Ave</t>
  </si>
  <si>
    <t>378 Chancellor Ave</t>
  </si>
  <si>
    <t>321-322 North Day St</t>
  </si>
  <si>
    <t>167 Maplewood Ave</t>
  </si>
  <si>
    <t>51 Edison Place</t>
  </si>
  <si>
    <t>986 So.Orange Ave</t>
  </si>
  <si>
    <t>61 Pennsylvania Ave</t>
  </si>
  <si>
    <t>267 South Orange Ave</t>
  </si>
  <si>
    <t>828 N 6th St</t>
  </si>
  <si>
    <t>572 Broadway</t>
  </si>
  <si>
    <t>Prudential Center</t>
  </si>
  <si>
    <t>102-106 Avon Ave</t>
  </si>
  <si>
    <t>458-64 Rosevile Ave</t>
  </si>
  <si>
    <t>230 Springdale Ave</t>
  </si>
  <si>
    <t>634 18th Ave</t>
  </si>
  <si>
    <t>263 Central Ave</t>
  </si>
  <si>
    <t>Union City</t>
  </si>
  <si>
    <t>601 Central Avenue</t>
  </si>
  <si>
    <t>Dylan Rubino</t>
  </si>
  <si>
    <t>199 Washington Street</t>
  </si>
  <si>
    <t>3196a Kennedy Blvd</t>
  </si>
  <si>
    <t>North Bergen</t>
  </si>
  <si>
    <t>4510 Bergen Turnpike</t>
  </si>
  <si>
    <t>4818 Bergenline Ave</t>
  </si>
  <si>
    <t>368 Summit Ave</t>
  </si>
  <si>
    <t>46 Ridge Road</t>
  </si>
  <si>
    <t>4625 Broadway</t>
  </si>
  <si>
    <t>190 Steuben St</t>
  </si>
  <si>
    <t>143 Newark Ave</t>
  </si>
  <si>
    <t>Guttenberg</t>
  </si>
  <si>
    <t>7000 Jfk Blvd East</t>
  </si>
  <si>
    <t>32 Oakland Ave</t>
  </si>
  <si>
    <t>74 Maple Ave</t>
  </si>
  <si>
    <t>114 Old Bergen Road</t>
  </si>
  <si>
    <t>2909 Bergenline Ave</t>
  </si>
  <si>
    <t>358 West Side Ave.</t>
  </si>
  <si>
    <t>222 Jersey City Blvd.</t>
  </si>
  <si>
    <t>4100 Park Ave(Store 12)</t>
  </si>
  <si>
    <t>227 Ocean Ave</t>
  </si>
  <si>
    <t>32 Coles St</t>
  </si>
  <si>
    <t>339 Communipaw Ave</t>
  </si>
  <si>
    <t>47 Grand St.</t>
  </si>
  <si>
    <t>3190 John F. Kennedy Blvd</t>
  </si>
  <si>
    <t>185 Mallory Ave</t>
  </si>
  <si>
    <t>153 48th St</t>
  </si>
  <si>
    <t>2708 John F. Kennedy Blvd</t>
  </si>
  <si>
    <t>455 Martin Luther King Dr</t>
  </si>
  <si>
    <t>25 Christopher Columbus Dr</t>
  </si>
  <si>
    <t>152 Chestnut Avenue</t>
  </si>
  <si>
    <t>555 Washington Blvd</t>
  </si>
  <si>
    <t>1411 Summit Ave</t>
  </si>
  <si>
    <t>146 Front St</t>
  </si>
  <si>
    <t>730 Bergen Avenue</t>
  </si>
  <si>
    <t>5115 Hudson Ave</t>
  </si>
  <si>
    <t>141 Bright St</t>
  </si>
  <si>
    <t>2347 Kennedy Blvd</t>
  </si>
  <si>
    <t>1299 Paterson Plank Rd</t>
  </si>
  <si>
    <t>710 Summit Ave</t>
  </si>
  <si>
    <t>6910 John F. Kennedy Blvd</t>
  </si>
  <si>
    <t>5102 Park Avenue</t>
  </si>
  <si>
    <t>2 Garfield Ave</t>
  </si>
  <si>
    <t>8 Erie St A</t>
  </si>
  <si>
    <t>217 Martin Luther King</t>
  </si>
  <si>
    <t>575 West Side Ave</t>
  </si>
  <si>
    <t>126 43rd Street</t>
  </si>
  <si>
    <t>371 Central Ave</t>
  </si>
  <si>
    <t>743 Communipaw Avenue</t>
  </si>
  <si>
    <t>901 76th St</t>
  </si>
  <si>
    <t>1001 Bergenline Avenue</t>
  </si>
  <si>
    <t>2001-2005 89th St</t>
  </si>
  <si>
    <t>405 5th Street</t>
  </si>
  <si>
    <t>81 Montgomery Street</t>
  </si>
  <si>
    <t>1135 Summit Ave</t>
  </si>
  <si>
    <t>61 Congress St</t>
  </si>
  <si>
    <t>2013 Bergenline Ave</t>
  </si>
  <si>
    <t>401 Palisade Avenue</t>
  </si>
  <si>
    <t>6404 Bergenline Ave</t>
  </si>
  <si>
    <t>14a Rose Avenue</t>
  </si>
  <si>
    <t>3300 Kennedy Blvd.</t>
  </si>
  <si>
    <t>276 Grove St</t>
  </si>
  <si>
    <t>870 West Side Avenue</t>
  </si>
  <si>
    <t>200 Washington St</t>
  </si>
  <si>
    <t>514 62nd Street</t>
  </si>
  <si>
    <t>45 Congress Street</t>
  </si>
  <si>
    <t>1062 Westside Avenue</t>
  </si>
  <si>
    <t>8516 Tonnelle Ave</t>
  </si>
  <si>
    <t>663 Ocean Avenue</t>
  </si>
  <si>
    <t>238 New York Ave</t>
  </si>
  <si>
    <t>6301 Park Ave</t>
  </si>
  <si>
    <t>865 Roosevelt Ave</t>
  </si>
  <si>
    <t>5600 Hudson Avenue</t>
  </si>
  <si>
    <t>205 Sip Ave</t>
  </si>
  <si>
    <t>2844 Kennedy Blvd.</t>
  </si>
  <si>
    <t>2117 Bergenline Avenue</t>
  </si>
  <si>
    <t>332 Martin Luther King</t>
  </si>
  <si>
    <t>194 Newark Ave</t>
  </si>
  <si>
    <t>683 Summit Ave</t>
  </si>
  <si>
    <t>641 Ocean Avenue</t>
  </si>
  <si>
    <t>9011 Palisade Ave</t>
  </si>
  <si>
    <t>157 Monticello Avenue</t>
  </si>
  <si>
    <t>6509 Park Avenue</t>
  </si>
  <si>
    <t>960 Summit Avenue</t>
  </si>
  <si>
    <t>9236 Kennedy Blvd</t>
  </si>
  <si>
    <t>665 Montgomery Street</t>
  </si>
  <si>
    <t>400 Central Ave</t>
  </si>
  <si>
    <t>3505 Kennedy Blvd.</t>
  </si>
  <si>
    <t>10 Port Imperial Blvd</t>
  </si>
  <si>
    <t>5915 Park Ave</t>
  </si>
  <si>
    <t>325 Bergen Avenue</t>
  </si>
  <si>
    <t>3131 John F Kennedy Blvd</t>
  </si>
  <si>
    <t>700 Plaza Drive</t>
  </si>
  <si>
    <t>2613 Bergenline Ave</t>
  </si>
  <si>
    <t>172 Newark Avenue</t>
  </si>
  <si>
    <t>121 Maple St</t>
  </si>
  <si>
    <t>113 Mallory Ave</t>
  </si>
  <si>
    <t>428 32nd St</t>
  </si>
  <si>
    <t>3819 Bergenline Avenue</t>
  </si>
  <si>
    <t>7804 Bergenline Ave</t>
  </si>
  <si>
    <t>129 christopher columbus Dr</t>
  </si>
  <si>
    <t>780 5th St.</t>
  </si>
  <si>
    <t>501 Central Ave</t>
  </si>
  <si>
    <t>7827 Bergenline Ave</t>
  </si>
  <si>
    <t>3700 Park Ave</t>
  </si>
  <si>
    <t>6108 Palisades Ave</t>
  </si>
  <si>
    <t>201 16th Street</t>
  </si>
  <si>
    <t>292 Barrow St</t>
  </si>
  <si>
    <t>455 Harmon Meadow Blvd.</t>
  </si>
  <si>
    <t>4800 Ave @ Port Imperial</t>
  </si>
  <si>
    <t>650 Plaza Dr</t>
  </si>
  <si>
    <t>643 Newark Ave</t>
  </si>
  <si>
    <t>564 West Side Avenue</t>
  </si>
  <si>
    <t>10 Meadowlands Parkway</t>
  </si>
  <si>
    <t>112 Tonnelle Ave</t>
  </si>
  <si>
    <t>492 Jersey Ave</t>
  </si>
  <si>
    <t>306 Newark Avenue</t>
  </si>
  <si>
    <t>101 Plaza Center</t>
  </si>
  <si>
    <t>292 Central Avenue</t>
  </si>
  <si>
    <t>6714 Park Ave</t>
  </si>
  <si>
    <t>111 River Dr. South</t>
  </si>
  <si>
    <t>5109 Bergenline Avenue</t>
  </si>
  <si>
    <t>393 Danforth Avenue</t>
  </si>
  <si>
    <t>6906 Bergenline Ave</t>
  </si>
  <si>
    <t>5665 John F. Kennedy Blvd</t>
  </si>
  <si>
    <t>6501 Dewey Ave</t>
  </si>
  <si>
    <t>433 Sip Ave</t>
  </si>
  <si>
    <t>51 St Pauls Ave</t>
  </si>
  <si>
    <t>2117 Summit Ave</t>
  </si>
  <si>
    <t>321 Stadium Plaza</t>
  </si>
  <si>
    <t>2983 Kennedy Blvd</t>
  </si>
  <si>
    <t>5000 Park Ave</t>
  </si>
  <si>
    <t>68 Bergen Avenue</t>
  </si>
  <si>
    <t>2321 Kennedy Blvd</t>
  </si>
  <si>
    <t>1425 John F. Kennedy Blvd</t>
  </si>
  <si>
    <t>69 Martin Luther King Dr</t>
  </si>
  <si>
    <t>1212 Summit Avenue</t>
  </si>
  <si>
    <t>123 Newark Ave.</t>
  </si>
  <si>
    <t>70 Greene St</t>
  </si>
  <si>
    <t>518 32nd St</t>
  </si>
  <si>
    <t>165 Martin Luther King</t>
  </si>
  <si>
    <t>6006 Park Ave</t>
  </si>
  <si>
    <t>4204 Park Ave</t>
  </si>
  <si>
    <t>Rt 1 So. Danforth Ave</t>
  </si>
  <si>
    <t>140 Newark Ave</t>
  </si>
  <si>
    <t>381 Ocean Avenue A</t>
  </si>
  <si>
    <t>1165 Summit Avenue</t>
  </si>
  <si>
    <t>8101 Tonnelle Ave</t>
  </si>
  <si>
    <t>7000 Park Ave</t>
  </si>
  <si>
    <t>402 Pacific Avenue</t>
  </si>
  <si>
    <t>444 Ocean Avenue</t>
  </si>
  <si>
    <t>4 Webster Avenue</t>
  </si>
  <si>
    <t>4702 Park Ave</t>
  </si>
  <si>
    <t>255 Monmouth Street</t>
  </si>
  <si>
    <t>7425 Broadway</t>
  </si>
  <si>
    <t>4601 Bergenline Avenue</t>
  </si>
  <si>
    <t>478 Westside Avenue</t>
  </si>
  <si>
    <t>29 Martin Luther King Blv</t>
  </si>
  <si>
    <t>6007 Bergenline Ave</t>
  </si>
  <si>
    <t>509 Westside Ave</t>
  </si>
  <si>
    <t>40 Meadowlands Pkwy</t>
  </si>
  <si>
    <t>555 Tonnelle Ave</t>
  </si>
  <si>
    <t>3500 Park Ave</t>
  </si>
  <si>
    <t>755 Montgomery St.</t>
  </si>
  <si>
    <t>529 Newark Ave</t>
  </si>
  <si>
    <t>116 Ocean Avenue</t>
  </si>
  <si>
    <t>7119-21 Bergen Line Ave</t>
  </si>
  <si>
    <t>4122 Bergenline Avenue</t>
  </si>
  <si>
    <t>489 Communipaw Avenue</t>
  </si>
  <si>
    <t>215 Market St</t>
  </si>
  <si>
    <t>Derrick Laws</t>
  </si>
  <si>
    <t>13 Hoover Ave</t>
  </si>
  <si>
    <t>272 Ellison St</t>
  </si>
  <si>
    <t>350 10th Ave</t>
  </si>
  <si>
    <t>475 Union Avenue</t>
  </si>
  <si>
    <t>29 Church St</t>
  </si>
  <si>
    <t>680 Main Street</t>
  </si>
  <si>
    <t>497 Broadway</t>
  </si>
  <si>
    <t>48-50 Third Avenue</t>
  </si>
  <si>
    <t>498 E 30th Street</t>
  </si>
  <si>
    <t>78 North 6th St</t>
  </si>
  <si>
    <t>390 Main St</t>
  </si>
  <si>
    <t>73 Mercer St</t>
  </si>
  <si>
    <t>728 Rifle Camp Road</t>
  </si>
  <si>
    <t>71 73 Park Ave</t>
  </si>
  <si>
    <t>353 21st Ave</t>
  </si>
  <si>
    <t>105 Park Ave</t>
  </si>
  <si>
    <t>186 5th Ave</t>
  </si>
  <si>
    <t>224 Broadway</t>
  </si>
  <si>
    <t>1137 Main St</t>
  </si>
  <si>
    <t>349 Union Ave</t>
  </si>
  <si>
    <t>450 Union Ave</t>
  </si>
  <si>
    <t>428 East 18th St</t>
  </si>
  <si>
    <t>115 4th Ave</t>
  </si>
  <si>
    <t>81 Market Street</t>
  </si>
  <si>
    <t>241 Union Ave</t>
  </si>
  <si>
    <t>171 Browertown Rd</t>
  </si>
  <si>
    <t>152 23rd Avenue</t>
  </si>
  <si>
    <t>Scheps Discount Bar/Liq</t>
  </si>
  <si>
    <t>895 Paulison Ave</t>
  </si>
  <si>
    <t>123 Highland St</t>
  </si>
  <si>
    <t>197 Market St</t>
  </si>
  <si>
    <t>408 21st Ave</t>
  </si>
  <si>
    <t>586 21st Avenue</t>
  </si>
  <si>
    <t>423 21st Avenue</t>
  </si>
  <si>
    <t>459 Mcbride Ave</t>
  </si>
  <si>
    <t>29 Park Ave</t>
  </si>
  <si>
    <t>72 7th Ave</t>
  </si>
  <si>
    <t>620 Main Street</t>
  </si>
  <si>
    <t>402 Main Street</t>
  </si>
  <si>
    <t>16 Mary Street</t>
  </si>
  <si>
    <t>468 Broadway</t>
  </si>
  <si>
    <t>732 Broadway</t>
  </si>
  <si>
    <t>243 21st Ave</t>
  </si>
  <si>
    <t>343 21st Avenue</t>
  </si>
  <si>
    <t>230 Rosa Parks Blvd</t>
  </si>
  <si>
    <t>246 Mcbride Ave</t>
  </si>
  <si>
    <t>Newfoundland</t>
  </si>
  <si>
    <t>62 Old Route 23</t>
  </si>
  <si>
    <t>Augusta</t>
  </si>
  <si>
    <t>34 PLAINS ROAD</t>
  </si>
  <si>
    <t>150 Wagaraw Road</t>
  </si>
  <si>
    <t>130 Anderson St</t>
  </si>
  <si>
    <t>Dave Ehlers</t>
  </si>
  <si>
    <t>401 River Rd</t>
  </si>
  <si>
    <t>789 Main St</t>
  </si>
  <si>
    <t>710 River Rd</t>
  </si>
  <si>
    <t>1435 Teaneck Rd</t>
  </si>
  <si>
    <t>868-872 River Rd</t>
  </si>
  <si>
    <t>4 W Palisade Ave</t>
  </si>
  <si>
    <t>1350-1352 Teaneck Rd</t>
  </si>
  <si>
    <t>174 West Englewood Ave</t>
  </si>
  <si>
    <t>91 W Palisade Ave</t>
  </si>
  <si>
    <t>487-489 S Washington Ave</t>
  </si>
  <si>
    <t>450 Hackensack Ave</t>
  </si>
  <si>
    <t>410 River St</t>
  </si>
  <si>
    <t>953 Teaneck Rd</t>
  </si>
  <si>
    <t>89 S State St</t>
  </si>
  <si>
    <t>89 New Bridge Rd</t>
  </si>
  <si>
    <t>1001 Main St</t>
  </si>
  <si>
    <t>842 Kinderkamack Rd</t>
  </si>
  <si>
    <t>79 Slocum Ave</t>
  </si>
  <si>
    <t>214 Essex St</t>
  </si>
  <si>
    <t>63 Nathaniel Pl</t>
  </si>
  <si>
    <t>124 Grand Ave.</t>
  </si>
  <si>
    <t>764 New Bridge Road</t>
  </si>
  <si>
    <t>1 Engle St</t>
  </si>
  <si>
    <t>42 E Palisade Ave</t>
  </si>
  <si>
    <t>465 US Highway 46</t>
  </si>
  <si>
    <t>1531 Teaneck Rd</t>
  </si>
  <si>
    <t>337 Essex St</t>
  </si>
  <si>
    <t>22 Portland Ave</t>
  </si>
  <si>
    <t>504 Kinderkamack Rd</t>
  </si>
  <si>
    <t>481 N Dean St</t>
  </si>
  <si>
    <t>310 Huyler St</t>
  </si>
  <si>
    <t>380 W Pleasantview Ave</t>
  </si>
  <si>
    <t>5 S Washington Ave</t>
  </si>
  <si>
    <t>500 South River St</t>
  </si>
  <si>
    <t>53 Nathaniel Pl</t>
  </si>
  <si>
    <t>461 Palisade Ave</t>
  </si>
  <si>
    <t>Garden St. Wine &amp; Liquor</t>
  </si>
  <si>
    <t>Dan Lagala</t>
  </si>
  <si>
    <t>494 Anderson Ave</t>
  </si>
  <si>
    <t>421 Broad Ave</t>
  </si>
  <si>
    <t>Leonia</t>
  </si>
  <si>
    <t>307 Broad Ave</t>
  </si>
  <si>
    <t>174 Anderson Ave</t>
  </si>
  <si>
    <t>560 Fairview Ave</t>
  </si>
  <si>
    <t>C &amp; C Bar Factory</t>
  </si>
  <si>
    <t>321 Broad Ave</t>
  </si>
  <si>
    <t>100 E Columbia Ave</t>
  </si>
  <si>
    <t>36 Anderson Avenue</t>
  </si>
  <si>
    <t>15 Grand Ave</t>
  </si>
  <si>
    <t>485 Main St</t>
  </si>
  <si>
    <t>356 Bergen Blvd</t>
  </si>
  <si>
    <t>10 The Promenade</t>
  </si>
  <si>
    <t>354 Lawton Ave</t>
  </si>
  <si>
    <t>606 Anderson Ave</t>
  </si>
  <si>
    <t>799 Abbott Blvd</t>
  </si>
  <si>
    <t>209 Main Street</t>
  </si>
  <si>
    <t>445 Grand Ave</t>
  </si>
  <si>
    <t>341 Broad Ave</t>
  </si>
  <si>
    <t>512 Anderson Ave</t>
  </si>
  <si>
    <t>1296 Palisade Ave</t>
  </si>
  <si>
    <t>430 Kamena St</t>
  </si>
  <si>
    <t>176 Main St</t>
  </si>
  <si>
    <t>591 Anderson Ave</t>
  </si>
  <si>
    <t>352 Anderson Ave</t>
  </si>
  <si>
    <t>200 Park Ave</t>
  </si>
  <si>
    <t>1651 Bergen Blvd</t>
  </si>
  <si>
    <t>201 Broad Ave</t>
  </si>
  <si>
    <t>2450 Lemoine Ave</t>
  </si>
  <si>
    <t>3 Pembroke Rd</t>
  </si>
  <si>
    <t>321 Anderson Ave</t>
  </si>
  <si>
    <t>14 Riveredge Rd</t>
  </si>
  <si>
    <t>329 Bergen Blvd</t>
  </si>
  <si>
    <t>239 Broad Ave</t>
  </si>
  <si>
    <t>150 Sylvan Way</t>
  </si>
  <si>
    <t>7 Washington St</t>
  </si>
  <si>
    <t>42 Broad Ave</t>
  </si>
  <si>
    <t>717 E Palisade Ave</t>
  </si>
  <si>
    <t>2023 Hudson St</t>
  </si>
  <si>
    <t>157 Anderson Ave</t>
  </si>
  <si>
    <t>595 River Rd</t>
  </si>
  <si>
    <t>81 Palisade Ave</t>
  </si>
  <si>
    <t>116 Main St</t>
  </si>
  <si>
    <t>661 Palisade Ave</t>
  </si>
  <si>
    <t>666 Anderson Ave</t>
  </si>
  <si>
    <t>658 Anderson Ave</t>
  </si>
  <si>
    <t>153 Bergen Blvd</t>
  </si>
  <si>
    <t>730 Anderson Ave</t>
  </si>
  <si>
    <t>442 Anderson Ave</t>
  </si>
  <si>
    <t>210 Anderson Ave</t>
  </si>
  <si>
    <t>536 10th St</t>
  </si>
  <si>
    <t>332 Bergen Blvd</t>
  </si>
  <si>
    <t>1214 Anderson Ave</t>
  </si>
  <si>
    <t>1645 Lemoine Ave</t>
  </si>
  <si>
    <t>331 Broad Ave.</t>
  </si>
  <si>
    <t>Bella Wine &amp; Liquor</t>
  </si>
  <si>
    <t>2027 Lemoine Ave</t>
  </si>
  <si>
    <t>Soho (Z)</t>
  </si>
  <si>
    <t>1616 Palisade Ave</t>
  </si>
  <si>
    <t>341 Gorge Rd.</t>
  </si>
  <si>
    <t>18 Sylvan Ave</t>
  </si>
  <si>
    <t>547 River Road</t>
  </si>
  <si>
    <t>441 Broad Ave</t>
  </si>
  <si>
    <t>905 River Rd</t>
  </si>
  <si>
    <t>322 Broad Ave</t>
  </si>
  <si>
    <t>2 Main St</t>
  </si>
  <si>
    <t>700 Palisadium Drive</t>
  </si>
  <si>
    <t>400 Broad Ave</t>
  </si>
  <si>
    <t>232 Broad Ave 3rd Floor</t>
  </si>
  <si>
    <t>237 Palisade Ave</t>
  </si>
  <si>
    <t>790 Anderson Ave</t>
  </si>
  <si>
    <t>651 Anderson Ave</t>
  </si>
  <si>
    <t>589 Anderson Ave</t>
  </si>
  <si>
    <t>793 Palisade Ave</t>
  </si>
  <si>
    <t>520a Bergen Blvd</t>
  </si>
  <si>
    <t>495 Sylvan Ave</t>
  </si>
  <si>
    <t>Lefkes Restaurant</t>
  </si>
  <si>
    <t>100 Palisade Ave</t>
  </si>
  <si>
    <t>675 Park Ave</t>
  </si>
  <si>
    <t>659 Palisade Ave</t>
  </si>
  <si>
    <t>2191 Fletcher Ave</t>
  </si>
  <si>
    <t>23 Broad Ave</t>
  </si>
  <si>
    <t>266 Columbia Ave</t>
  </si>
  <si>
    <t>102 Linwood Plaza</t>
  </si>
  <si>
    <t>2117 Route 4 E</t>
  </si>
  <si>
    <t>1416 River Rd</t>
  </si>
  <si>
    <t>679 Anderson Ave</t>
  </si>
  <si>
    <t>341 Anderson Ave</t>
  </si>
  <si>
    <t>520 Shaler Blvd</t>
  </si>
  <si>
    <t>1379 16th Street</t>
  </si>
  <si>
    <t>238 Broad Ave</t>
  </si>
  <si>
    <t>1175 Palisade Avenue</t>
  </si>
  <si>
    <t>487 Sylvan Ave</t>
  </si>
  <si>
    <t>246 Broad Ave</t>
  </si>
  <si>
    <t>400 Bergen Blvd</t>
  </si>
  <si>
    <t>339 Palisade Ave</t>
  </si>
  <si>
    <t>1550 Lemoine Ave</t>
  </si>
  <si>
    <t>220 Broad Ave</t>
  </si>
  <si>
    <t>690 Anderson Avenue</t>
  </si>
  <si>
    <t>533 Shaler Blvd</t>
  </si>
  <si>
    <t>743 Anderson Ave</t>
  </si>
  <si>
    <t>1671 Bergen Blvd</t>
  </si>
  <si>
    <t>430 Broad Ave</t>
  </si>
  <si>
    <t>144 Main St</t>
  </si>
  <si>
    <t>102 Route 120</t>
  </si>
  <si>
    <t>Chris Politano</t>
  </si>
  <si>
    <t>69 Route 17 South</t>
  </si>
  <si>
    <t>Chris Payton</t>
  </si>
  <si>
    <t>78 W Pleasant Avenue</t>
  </si>
  <si>
    <t>24-07 Fair Lawn Ave</t>
  </si>
  <si>
    <t>300 Harrison Ave</t>
  </si>
  <si>
    <t>31 Calicooneck Rd</t>
  </si>
  <si>
    <t>216 Midland Ave</t>
  </si>
  <si>
    <t>150 Main Str</t>
  </si>
  <si>
    <t>40 W Pleasant Ave</t>
  </si>
  <si>
    <t>24-20 Broadway</t>
  </si>
  <si>
    <t>320 Rte 17 No</t>
  </si>
  <si>
    <t>93 S. Main St</t>
  </si>
  <si>
    <t>66 Market St</t>
  </si>
  <si>
    <t>201-205 Main St</t>
  </si>
  <si>
    <t>228 Main Street</t>
  </si>
  <si>
    <t>73 Ackerman Ave Botony Pl</t>
  </si>
  <si>
    <t>14-26 Plaza Rd</t>
  </si>
  <si>
    <t>Rail Yard Tavern (P)</t>
  </si>
  <si>
    <t>14-35 Plaza Rd</t>
  </si>
  <si>
    <t>327 Hope Ave</t>
  </si>
  <si>
    <t>211 Rt 17</t>
  </si>
  <si>
    <t>25-01 Broadway</t>
  </si>
  <si>
    <t>326 Market St</t>
  </si>
  <si>
    <t>183 Route 46 West</t>
  </si>
  <si>
    <t>335 Market St</t>
  </si>
  <si>
    <t>284 Teaneck Road</t>
  </si>
  <si>
    <t>206 Hackensack St</t>
  </si>
  <si>
    <t>452 Passaic Ave</t>
  </si>
  <si>
    <t>548 Paramus Rd</t>
  </si>
  <si>
    <t>725 Cedar Lane</t>
  </si>
  <si>
    <t>459 Route 17</t>
  </si>
  <si>
    <t>247 Degraw Ave</t>
  </si>
  <si>
    <t>449 Main St</t>
  </si>
  <si>
    <t>25 C WASHINGTON STREET</t>
  </si>
  <si>
    <t>611 Avalon Drive</t>
  </si>
  <si>
    <t>24 Paramus Rd</t>
  </si>
  <si>
    <t>205 Paramus Rd</t>
  </si>
  <si>
    <t>1 South Main St</t>
  </si>
  <si>
    <t>96 W Midland Ave</t>
  </si>
  <si>
    <t>215 Main St</t>
  </si>
  <si>
    <t>70 Challenger Rd</t>
  </si>
  <si>
    <t>441 Boulevard</t>
  </si>
  <si>
    <t>138 West Pleasant Ave</t>
  </si>
  <si>
    <t>244 Boulevard</t>
  </si>
  <si>
    <t>446 Cedar Lane</t>
  </si>
  <si>
    <t>13-05 River Road</t>
  </si>
  <si>
    <t>1- 6 South Main Street</t>
  </si>
  <si>
    <t>719 Grand Avenue</t>
  </si>
  <si>
    <t>255 Route 17 S</t>
  </si>
  <si>
    <t>280 Valley Blvd</t>
  </si>
  <si>
    <t>519 Rt 46e (Piaget Ave)</t>
  </si>
  <si>
    <t>2 Mercer St. #2</t>
  </si>
  <si>
    <t>22-10 Morlot Ave</t>
  </si>
  <si>
    <t>172 Route 17 N</t>
  </si>
  <si>
    <t>190 Rte 46</t>
  </si>
  <si>
    <t>117 E Passaic St</t>
  </si>
  <si>
    <t>332 Rochelle Ave</t>
  </si>
  <si>
    <t>53 W Passaic St</t>
  </si>
  <si>
    <t>55 Queen Anne Road</t>
  </si>
  <si>
    <t>123 Paramus Rd</t>
  </si>
  <si>
    <t>178 RT 17 North</t>
  </si>
  <si>
    <t>606 Midland Ave</t>
  </si>
  <si>
    <t>18 Paulison Ave</t>
  </si>
  <si>
    <t>301 Mt. Hope Ave</t>
  </si>
  <si>
    <t>Brian Sengebush</t>
  </si>
  <si>
    <t>172 Lackawanna Dr</t>
  </si>
  <si>
    <t>136 Main St</t>
  </si>
  <si>
    <t>9 Wall St</t>
  </si>
  <si>
    <t>3 Mill St</t>
  </si>
  <si>
    <t>438 US-206</t>
  </si>
  <si>
    <t>8 Main Rd</t>
  </si>
  <si>
    <t>138 Esponong Rd</t>
  </si>
  <si>
    <t>37 Nolans Point Park Rd</t>
  </si>
  <si>
    <t>160 E Main St</t>
  </si>
  <si>
    <t>450 N Beverwyck Rd</t>
  </si>
  <si>
    <t>1 Co Rd 521</t>
  </si>
  <si>
    <t>390 Howard Blvd</t>
  </si>
  <si>
    <t>Picatinny</t>
  </si>
  <si>
    <t>Picatinny Arsenal 121 buffington road</t>
  </si>
  <si>
    <t>720 Myrtle Ave</t>
  </si>
  <si>
    <t>470 River Styx Rd</t>
  </si>
  <si>
    <t>364 Us-206</t>
  </si>
  <si>
    <t>6 North Park Drive</t>
  </si>
  <si>
    <t>470 Us-206</t>
  </si>
  <si>
    <t>23 Players Blvd</t>
  </si>
  <si>
    <t>226 Lafayette Rd</t>
  </si>
  <si>
    <t>25 Club Rd</t>
  </si>
  <si>
    <t>Bldg 121b</t>
  </si>
  <si>
    <t>301 Mt Hope Ave</t>
  </si>
  <si>
    <t>300 Lakeside Ave</t>
  </si>
  <si>
    <t>271 Spring St</t>
  </si>
  <si>
    <t>453 River Styx Rd</t>
  </si>
  <si>
    <t>57 NJ-181</t>
  </si>
  <si>
    <t>Sandyston</t>
  </si>
  <si>
    <t>25 Us-206</t>
  </si>
  <si>
    <t>140 ledgewood ave</t>
  </si>
  <si>
    <t>91 Elcock Ave</t>
  </si>
  <si>
    <t>153 Tomahawk Trail</t>
  </si>
  <si>
    <t>47 maxim Drive</t>
  </si>
  <si>
    <t>17 Fern Ave</t>
  </si>
  <si>
    <t>21 Lake Mohawk Country Club Boardwalk</t>
  </si>
  <si>
    <t>448 Us Highway 206 S</t>
  </si>
  <si>
    <t>325 Mt Hope Avenue</t>
  </si>
  <si>
    <t>Lafayette</t>
  </si>
  <si>
    <t>88 Lawrence Rd</t>
  </si>
  <si>
    <t>85 Mill St</t>
  </si>
  <si>
    <t>94 Championship Place</t>
  </si>
  <si>
    <t>9 White Deer Plaza</t>
  </si>
  <si>
    <t>216 Woodside Ave</t>
  </si>
  <si>
    <t>201 Howard Blvd</t>
  </si>
  <si>
    <t>525 Waterloo Rd</t>
  </si>
  <si>
    <t>239 Us-206 S.</t>
  </si>
  <si>
    <t>911 Swartswood Rd</t>
  </si>
  <si>
    <t>25 Lakeside Blvd</t>
  </si>
  <si>
    <t>8 Mill Lane</t>
  </si>
  <si>
    <t>99 Midvale Rd.</t>
  </si>
  <si>
    <t>56 Conger St.</t>
  </si>
  <si>
    <t>134 NJ-183</t>
  </si>
  <si>
    <t>340 Us-206</t>
  </si>
  <si>
    <t>119 NJ-183</t>
  </si>
  <si>
    <t>93 Wolfe Road Rd 1</t>
  </si>
  <si>
    <t>175 N Main St</t>
  </si>
  <si>
    <t>Layton</t>
  </si>
  <si>
    <t>124 Co Rd 560</t>
  </si>
  <si>
    <t>331 Rt 46 East</t>
  </si>
  <si>
    <t>900 Route 15 North</t>
  </si>
  <si>
    <t>6 North Village Blvd</t>
  </si>
  <si>
    <t>42 N Main St</t>
  </si>
  <si>
    <t>180 Us-206</t>
  </si>
  <si>
    <t>5 Bowling Green Parkway</t>
  </si>
  <si>
    <t>75 NJ-15</t>
  </si>
  <si>
    <t>375 mountain ave rockaway mall</t>
  </si>
  <si>
    <t>1000 International Dr</t>
  </si>
  <si>
    <t>1 Lee Road</t>
  </si>
  <si>
    <t>5 E Main St Ste 15</t>
  </si>
  <si>
    <t>199 Howard Blvd</t>
  </si>
  <si>
    <t>45 Nolans Point Park Rd</t>
  </si>
  <si>
    <t>29 Main Rd.</t>
  </si>
  <si>
    <t>392 N Main St</t>
  </si>
  <si>
    <t>100 Stoll St</t>
  </si>
  <si>
    <t>12 Knoll Lane</t>
  </si>
  <si>
    <t>92 Parsippany Blvd</t>
  </si>
  <si>
    <t>3 S Sparta Ave</t>
  </si>
  <si>
    <t>125 New Jersey 181</t>
  </si>
  <si>
    <t>131 Newton Sparta Rd</t>
  </si>
  <si>
    <t>301 Boonton Ave</t>
  </si>
  <si>
    <t>24 Mason St</t>
  </si>
  <si>
    <t>11 Greenpond Rd</t>
  </si>
  <si>
    <t>Bldg 121a</t>
  </si>
  <si>
    <t>485 Glen Rd</t>
  </si>
  <si>
    <t>43 Theatre Center</t>
  </si>
  <si>
    <t>144 Main Rd</t>
  </si>
  <si>
    <t>436 Us-206</t>
  </si>
  <si>
    <t>323 Mt Hope Ave.</t>
  </si>
  <si>
    <t>214 Co Rd 622</t>
  </si>
  <si>
    <t>13 Vista Rd</t>
  </si>
  <si>
    <t>439 NJ-94</t>
  </si>
  <si>
    <t>Towaco</t>
  </si>
  <si>
    <t>10 Whitehall Road</t>
  </si>
  <si>
    <t>712 Woodport Rd (Rte 181)</t>
  </si>
  <si>
    <t>75 State Route 15</t>
  </si>
  <si>
    <t>19 Us-206</t>
  </si>
  <si>
    <t>23 White Deer Plaza</t>
  </si>
  <si>
    <t>Jefferson</t>
  </si>
  <si>
    <t>619 NJ-15</t>
  </si>
  <si>
    <t>123 Hibernia Ave</t>
  </si>
  <si>
    <t>44 Sand Shore Rd</t>
  </si>
  <si>
    <t>516 Main St</t>
  </si>
  <si>
    <t>165 Andover Sparta Rd</t>
  </si>
  <si>
    <t>24 Nolan Point Park Rd</t>
  </si>
  <si>
    <t>161 NJ-181</t>
  </si>
  <si>
    <t>901 Co Rd 521</t>
  </si>
  <si>
    <t>139 Nolan's Point Rd</t>
  </si>
  <si>
    <t>53 Broadway</t>
  </si>
  <si>
    <t>Walpack</t>
  </si>
  <si>
    <t>Rt 615</t>
  </si>
  <si>
    <t>11 Main St</t>
  </si>
  <si>
    <t>382 Us-46 # 3</t>
  </si>
  <si>
    <t>234 Spring Street</t>
  </si>
  <si>
    <t>242 E Union Turnpike</t>
  </si>
  <si>
    <t>260 Espanong Rd</t>
  </si>
  <si>
    <t>538 State Route 94 South</t>
  </si>
  <si>
    <t>343 Mount Hope Ave</t>
  </si>
  <si>
    <t>Bldg 3324 Belt Road</t>
  </si>
  <si>
    <t>85 Main St</t>
  </si>
  <si>
    <t>631 Limecrest Rd</t>
  </si>
  <si>
    <t>108 Boonton Ave</t>
  </si>
  <si>
    <t>269 Rt 206</t>
  </si>
  <si>
    <t>JJ's Bar and Package Goods LLC</t>
  </si>
  <si>
    <t>Anthony Palmisano</t>
  </si>
  <si>
    <t>105 Wheatsworth Rd</t>
  </si>
  <si>
    <t>138 New Jersey 23</t>
  </si>
  <si>
    <t>1477 NJ-23</t>
  </si>
  <si>
    <t>766 Hamburg Tpke</t>
  </si>
  <si>
    <t>15-17 Main St</t>
  </si>
  <si>
    <t>Stockholm</t>
  </si>
  <si>
    <t>2771 NJ-23</t>
  </si>
  <si>
    <t>Glenwood</t>
  </si>
  <si>
    <t>2 Vernon Crossing Road</t>
  </si>
  <si>
    <t>231 Hamburg Turnpike</t>
  </si>
  <si>
    <t>1601 County Rd 565</t>
  </si>
  <si>
    <t>Hewitt</t>
  </si>
  <si>
    <t>1934 Greenwood Lake Tpke</t>
  </si>
  <si>
    <t>The Greenwood Tavern</t>
  </si>
  <si>
    <t>100 NJ-23</t>
  </si>
  <si>
    <t>574 A Macopin Rd</t>
  </si>
  <si>
    <t>123 Crystal Springs Rd</t>
  </si>
  <si>
    <t>3 Wild Turkey Way</t>
  </si>
  <si>
    <t>430 Ringwood Ave</t>
  </si>
  <si>
    <t>10 NJ-23</t>
  </si>
  <si>
    <t>602 NJ-23</t>
  </si>
  <si>
    <t>5708 Berkshire Valley Rd</t>
  </si>
  <si>
    <t>665 Warwick Turnpike</t>
  </si>
  <si>
    <t>342 Shore Drive</t>
  </si>
  <si>
    <t>17 Wooley Road</t>
  </si>
  <si>
    <t>322 Lakeside Road</t>
  </si>
  <si>
    <t>313 NJ-94</t>
  </si>
  <si>
    <t>744 Hamburg Tpke</t>
  </si>
  <si>
    <t>83 Main St</t>
  </si>
  <si>
    <t>1926 Union Valley Rd K</t>
  </si>
  <si>
    <t>207 Ringwood Ave</t>
  </si>
  <si>
    <t>53 Schoolhouse Road</t>
  </si>
  <si>
    <t>38 Ringwood Ave</t>
  </si>
  <si>
    <t>717 Otterhole Rd</t>
  </si>
  <si>
    <t>133 Main St</t>
  </si>
  <si>
    <t>65 County Rd 639</t>
  </si>
  <si>
    <t>119 Wanaque Ave</t>
  </si>
  <si>
    <t>60 Main St</t>
  </si>
  <si>
    <t>200 Rt 94</t>
  </si>
  <si>
    <t>76 NJ-23</t>
  </si>
  <si>
    <t>447 Rt 284</t>
  </si>
  <si>
    <t>9 Main St</t>
  </si>
  <si>
    <t>1555 Greenwood Lk Tpke</t>
  </si>
  <si>
    <t>1383 Macopin Road</t>
  </si>
  <si>
    <t>2 Chamonix Drive</t>
  </si>
  <si>
    <t>139 Hamburg Turnpike</t>
  </si>
  <si>
    <t>5604 Berkshire Valley Rd</t>
  </si>
  <si>
    <t>46 Main St</t>
  </si>
  <si>
    <t>399 Lake Shore Dr</t>
  </si>
  <si>
    <t>1069 Ringwood Ave</t>
  </si>
  <si>
    <t>15 Greenwood Lake Turnpik</t>
  </si>
  <si>
    <t>82 Main St</t>
  </si>
  <si>
    <t>500 NJ-23</t>
  </si>
  <si>
    <t>2019 Greenwood Lake Tpk</t>
  </si>
  <si>
    <t>2775 Route 23 S</t>
  </si>
  <si>
    <t>116 Rt 23</t>
  </si>
  <si>
    <t>1150 NJ-23</t>
  </si>
  <si>
    <t>1284 Rt. 23</t>
  </si>
  <si>
    <t>455 NJ-23</t>
  </si>
  <si>
    <t>714-716 Hamburg Tpke</t>
  </si>
  <si>
    <t>1618 Union Valley Rd Fl 1</t>
  </si>
  <si>
    <t>613 Newark Pompton Tpke</t>
  </si>
  <si>
    <t>551 Warwick Tpke</t>
  </si>
  <si>
    <t>27 NJ-23</t>
  </si>
  <si>
    <t>Mcafee</t>
  </si>
  <si>
    <t>130 Rt 94 N</t>
  </si>
  <si>
    <t>662 Ringwood Avenue</t>
  </si>
  <si>
    <t>1 Libertyville Rd</t>
  </si>
  <si>
    <t>1745 Macopin Rd</t>
  </si>
  <si>
    <t>526 Roosevelt Ave</t>
  </si>
  <si>
    <t>87 NJ-23</t>
  </si>
  <si>
    <t>31 Loomis Ave</t>
  </si>
  <si>
    <t>3219 Rt 23 South</t>
  </si>
  <si>
    <t>125 Hamburg Turnpike</t>
  </si>
  <si>
    <t>211 Wanaque Ave</t>
  </si>
  <si>
    <t>Riverdale</t>
  </si>
  <si>
    <t>92 RT 23</t>
  </si>
  <si>
    <t>130 Skyline Drive</t>
  </si>
  <si>
    <t>600 Ringwood Ave</t>
  </si>
  <si>
    <t>18 Railroad Ave</t>
  </si>
  <si>
    <t>414 County Rd 517</t>
  </si>
  <si>
    <t>9 Marshall Hill Road</t>
  </si>
  <si>
    <t>Elizabeth</t>
  </si>
  <si>
    <t>67 Orchard St</t>
  </si>
  <si>
    <t>Andrew Lundy</t>
  </si>
  <si>
    <t>Kenilworth</t>
  </si>
  <si>
    <t>870 Boulevard</t>
  </si>
  <si>
    <t>Linden</t>
  </si>
  <si>
    <t>206 North Wood Ave</t>
  </si>
  <si>
    <t>Roselle Park</t>
  </si>
  <si>
    <t>137 Chestnut St</t>
  </si>
  <si>
    <t>Hillside</t>
  </si>
  <si>
    <t>1320 N Broad St</t>
  </si>
  <si>
    <t>New Providence</t>
  </si>
  <si>
    <t>1260 Springfield Ave</t>
  </si>
  <si>
    <t>355 W. St.Georges Ave</t>
  </si>
  <si>
    <t>Plainfield</t>
  </si>
  <si>
    <t>440 Watchung Ave</t>
  </si>
  <si>
    <t>Clark</t>
  </si>
  <si>
    <t>1040 Lake Ave</t>
  </si>
  <si>
    <t>Westfield</t>
  </si>
  <si>
    <t>155 Elm St</t>
  </si>
  <si>
    <t>Cranford</t>
  </si>
  <si>
    <t>6-20 South Ave W</t>
  </si>
  <si>
    <t>515 Springfield Ave</t>
  </si>
  <si>
    <t>54 E. St.George Ave</t>
  </si>
  <si>
    <t>Summit</t>
  </si>
  <si>
    <t>61 Union Pl</t>
  </si>
  <si>
    <t>2401 Rt. 22</t>
  </si>
  <si>
    <t>1850 Morris Ave.</t>
  </si>
  <si>
    <t>Springfield</t>
  </si>
  <si>
    <t>201 Shunpike Rd</t>
  </si>
  <si>
    <t>446 Elizabeth Ave</t>
  </si>
  <si>
    <t>341 South Avenue E</t>
  </si>
  <si>
    <t>560 North Ave. East</t>
  </si>
  <si>
    <t>Millburn</t>
  </si>
  <si>
    <t>42 Main St</t>
  </si>
  <si>
    <t>360 Chestnut St</t>
  </si>
  <si>
    <t>223 Morris Ave</t>
  </si>
  <si>
    <t>1317 Liberty Ave</t>
  </si>
  <si>
    <t>830 W Edgar Rd #830-D</t>
  </si>
  <si>
    <t>804 W.Elizabeth Ave</t>
  </si>
  <si>
    <t>1179 W. St George Ave</t>
  </si>
  <si>
    <t>417 Springfield Ave</t>
  </si>
  <si>
    <t>600 East Jersey St.</t>
  </si>
  <si>
    <t>209 Centennial Ave</t>
  </si>
  <si>
    <t>21 N Union Ave</t>
  </si>
  <si>
    <t>431 W. Front St</t>
  </si>
  <si>
    <t>1406 Burnet Ave</t>
  </si>
  <si>
    <t>1120 Liberty Ave</t>
  </si>
  <si>
    <t>431 N Wood Ave</t>
  </si>
  <si>
    <t>771-773 Edgar Rd</t>
  </si>
  <si>
    <t>Rahway</t>
  </si>
  <si>
    <t>736 W Grand Ave</t>
  </si>
  <si>
    <t>1120 South Ave W</t>
  </si>
  <si>
    <t>1537 Main St</t>
  </si>
  <si>
    <t>186 Essex St</t>
  </si>
  <si>
    <t>155 US-22</t>
  </si>
  <si>
    <t>56 North Ave East</t>
  </si>
  <si>
    <t>1774-C Burnett Ave</t>
  </si>
  <si>
    <t>Garwood</t>
  </si>
  <si>
    <t>78 North Ave</t>
  </si>
  <si>
    <t>1448 Morris Ave</t>
  </si>
  <si>
    <t>1 Beechwood Road</t>
  </si>
  <si>
    <t>870 St. George Ave</t>
  </si>
  <si>
    <t>613a W.Edgar Rd.</t>
  </si>
  <si>
    <t>1001 E Edgar Rd</t>
  </si>
  <si>
    <t>Scotch Plains</t>
  </si>
  <si>
    <t>450 Park Ave</t>
  </si>
  <si>
    <t>387 Park Ave</t>
  </si>
  <si>
    <t>490 Morris Ave</t>
  </si>
  <si>
    <t>259 South Ave</t>
  </si>
  <si>
    <t>551 N Broad St</t>
  </si>
  <si>
    <t>503 Elizabeth Ave</t>
  </si>
  <si>
    <t>1985 Rt.22 West</t>
  </si>
  <si>
    <t>928 South Wood Ave</t>
  </si>
  <si>
    <t>950 Springfield Rd</t>
  </si>
  <si>
    <t>102 North Wood Ave</t>
  </si>
  <si>
    <t>866 E. Grand St.</t>
  </si>
  <si>
    <t>66 E. Cherry Street</t>
  </si>
  <si>
    <t>202 Broad St</t>
  </si>
  <si>
    <t>333 South Ave E</t>
  </si>
  <si>
    <t>850-B West Edgar Rd</t>
  </si>
  <si>
    <t>22 South Street</t>
  </si>
  <si>
    <t>787 Featherbed Lane</t>
  </si>
  <si>
    <t>2 North Ave</t>
  </si>
  <si>
    <t>99 Center Street</t>
  </si>
  <si>
    <t>1344 Stuyvesant Ave</t>
  </si>
  <si>
    <t>1923 Westfield Ave</t>
  </si>
  <si>
    <t>639 Bayway Ave</t>
  </si>
  <si>
    <t>22 Elm St</t>
  </si>
  <si>
    <t>23 Summit Avenue</t>
  </si>
  <si>
    <t>1675 Rte 22 West</t>
  </si>
  <si>
    <t>Fanwood</t>
  </si>
  <si>
    <t>61 South Ave.</t>
  </si>
  <si>
    <t>2401 H Union Plaza Rt.22W.</t>
  </si>
  <si>
    <t>1601 W. Edgar Rd</t>
  </si>
  <si>
    <t>1075 Raritan Rd</t>
  </si>
  <si>
    <t>15 So Wood Ave</t>
  </si>
  <si>
    <t>95 Barclay Street</t>
  </si>
  <si>
    <t>Allison Scott</t>
  </si>
  <si>
    <t>98 Kingsland Rd</t>
  </si>
  <si>
    <t>56 Lake Drive West</t>
  </si>
  <si>
    <t>92 NJ-23</t>
  </si>
  <si>
    <t>23 NJ-23</t>
  </si>
  <si>
    <t>Haskell</t>
  </si>
  <si>
    <t>1093 Ringwood Ave</t>
  </si>
  <si>
    <t>436 Belmont Ave</t>
  </si>
  <si>
    <t>4 Church Street</t>
  </si>
  <si>
    <t>915 Bloomfield Ave</t>
  </si>
  <si>
    <t>414 Main Ave</t>
  </si>
  <si>
    <t>131 Newark Pompton Turnpike</t>
  </si>
  <si>
    <t>1538 NJ-23</t>
  </si>
  <si>
    <t>71 NJ-23</t>
  </si>
  <si>
    <t>55 Van Ness Ave</t>
  </si>
  <si>
    <t>312 Lafayette Ave</t>
  </si>
  <si>
    <t>410 Wagaraw Road</t>
  </si>
  <si>
    <t>36 Totowa Ave</t>
  </si>
  <si>
    <t>417 River Rd</t>
  </si>
  <si>
    <t>217 Wagaraw Road</t>
  </si>
  <si>
    <t>426 Rt 3 W.River Frontcnt</t>
  </si>
  <si>
    <t>709 Van Houten Avenue</t>
  </si>
  <si>
    <t>426 Van Houten Ave.</t>
  </si>
  <si>
    <t>37 Berdan Ave</t>
  </si>
  <si>
    <t>400 Us 46 West</t>
  </si>
  <si>
    <t>650 Union Blvd</t>
  </si>
  <si>
    <t>991 Goffle Road</t>
  </si>
  <si>
    <t>147 Huron Ave</t>
  </si>
  <si>
    <t>95 Mountainview Blvd</t>
  </si>
  <si>
    <t>1400 Willowbrook Mall</t>
  </si>
  <si>
    <t>1 Route 23 South</t>
  </si>
  <si>
    <t>300 Pompton Road</t>
  </si>
  <si>
    <t>177 Hepburn Rd</t>
  </si>
  <si>
    <t>1145 Mcbride Ave</t>
  </si>
  <si>
    <t>1082 Hamburg Turnpike</t>
  </si>
  <si>
    <t>47 W Sunset Road</t>
  </si>
  <si>
    <t>611 Ratzer Road</t>
  </si>
  <si>
    <t>70 Main Ave</t>
  </si>
  <si>
    <t>1600 NJ-23</t>
  </si>
  <si>
    <t>545 Highland Ave</t>
  </si>
  <si>
    <t>1900 Willowbrook Blvd</t>
  </si>
  <si>
    <t>605 Clifton Ave</t>
  </si>
  <si>
    <t>529 Belmont Ave</t>
  </si>
  <si>
    <t>2891 Route 23</t>
  </si>
  <si>
    <t>1292 Alps Rd</t>
  </si>
  <si>
    <t>594 Hamburg Turnpike</t>
  </si>
  <si>
    <t>344 French Hill Road</t>
  </si>
  <si>
    <t>405 Allwood Road</t>
  </si>
  <si>
    <t>710 Van Houten Ave</t>
  </si>
  <si>
    <t>70 Kingsland Rd</t>
  </si>
  <si>
    <t>189 Berdan Avenue</t>
  </si>
  <si>
    <t>12 Oak St</t>
  </si>
  <si>
    <t>50 Market St</t>
  </si>
  <si>
    <t>1050 Ratzer Road</t>
  </si>
  <si>
    <t>615 Van Houten Ave</t>
  </si>
  <si>
    <t>300 Wanaque Ave</t>
  </si>
  <si>
    <t>33 Colfax Ave</t>
  </si>
  <si>
    <t>329 Trenton Avenue</t>
  </si>
  <si>
    <t>855 River Street</t>
  </si>
  <si>
    <t>235 Us-46</t>
  </si>
  <si>
    <t>555 Preakness Ave</t>
  </si>
  <si>
    <t>320 WILLOWBROOK MALL</t>
  </si>
  <si>
    <t>351 W Broadway</t>
  </si>
  <si>
    <t>1142 US-46</t>
  </si>
  <si>
    <t>6 Wanaque Ave</t>
  </si>
  <si>
    <t>142 Goffle Road</t>
  </si>
  <si>
    <t>1738 Rt 46 W</t>
  </si>
  <si>
    <t>375 Rte 3 E</t>
  </si>
  <si>
    <t>491 Mcbride Ave</t>
  </si>
  <si>
    <t>1530 Rt 46 West</t>
  </si>
  <si>
    <t>425 Beaverbrook Rd</t>
  </si>
  <si>
    <t>754 Totowa Road</t>
  </si>
  <si>
    <t>310 Willowbrook Mall</t>
  </si>
  <si>
    <t>520 Us-46</t>
  </si>
  <si>
    <t>491 Valley Rd</t>
  </si>
  <si>
    <t>940 Van Houten Ave</t>
  </si>
  <si>
    <t>107 Terhune Dr</t>
  </si>
  <si>
    <t>1158 Main Ave</t>
  </si>
  <si>
    <t>7 Osborne Terrace</t>
  </si>
  <si>
    <t>142 Ryerson Ave.</t>
  </si>
  <si>
    <t>4 Garfield Ave</t>
  </si>
  <si>
    <t>24 Galesi Drive</t>
  </si>
  <si>
    <t>4 Woodhull Ave</t>
  </si>
  <si>
    <t>826 Route 3 Clifton Nj</t>
  </si>
  <si>
    <t>300 Preakness Shop Ctr</t>
  </si>
  <si>
    <t>375 Union Blvd</t>
  </si>
  <si>
    <t>72 Haskell Ave</t>
  </si>
  <si>
    <t>1200 NJ-23</t>
  </si>
  <si>
    <t>440 Main Street</t>
  </si>
  <si>
    <t>209 Totowa Rd</t>
  </si>
  <si>
    <t>300 Us-46</t>
  </si>
  <si>
    <t>58 NJ-23</t>
  </si>
  <si>
    <t>1248 NJ-23</t>
  </si>
  <si>
    <t>517 NJ-23</t>
  </si>
  <si>
    <t>141 NJ-23</t>
  </si>
  <si>
    <t>593 Van Houten Ave</t>
  </si>
  <si>
    <t>365 Rte 3 East</t>
  </si>
  <si>
    <t>10 Van Ness Ave</t>
  </si>
  <si>
    <t>79 2 Bridges Rd</t>
  </si>
  <si>
    <t>289 Belmont Ave</t>
  </si>
  <si>
    <t>265 Rt 3 East</t>
  </si>
  <si>
    <t>Red Robin Gourmet Burger (Clifton)</t>
  </si>
  <si>
    <t>955 Valley Rd</t>
  </si>
  <si>
    <t>1165 Rte 46 East</t>
  </si>
  <si>
    <t>465 Rt 46 West</t>
  </si>
  <si>
    <t>103 Valley Road</t>
  </si>
  <si>
    <t>26 Erie Ave</t>
  </si>
  <si>
    <t>1131 Bloomfield Avenue</t>
  </si>
  <si>
    <t>23 Wanaque Ave</t>
  </si>
  <si>
    <t>149 Newark Pompton Tpke</t>
  </si>
  <si>
    <t>80 Wagaraw Road</t>
  </si>
  <si>
    <t>1700 Willowbrook Mall</t>
  </si>
  <si>
    <t>710 Newark Pompton Turnpi</t>
  </si>
  <si>
    <t>1016 Main Ave</t>
  </si>
  <si>
    <t>77 Kinderkamack Rd</t>
  </si>
  <si>
    <t>38 Lackwanna Av</t>
  </si>
  <si>
    <t>856 River Street</t>
  </si>
  <si>
    <t>227 Main Street</t>
  </si>
  <si>
    <t>105 Mohawk Ave</t>
  </si>
  <si>
    <t>83 Route 23 South</t>
  </si>
  <si>
    <t>620 Van Houten Ave</t>
  </si>
  <si>
    <t>Bayonne</t>
  </si>
  <si>
    <t>1 Le Fante Way</t>
  </si>
  <si>
    <t>Alisa Acciardi</t>
  </si>
  <si>
    <t>1 Raymond Plaza West</t>
  </si>
  <si>
    <t>49 Pacific St</t>
  </si>
  <si>
    <t>114-130 Stockton St.</t>
  </si>
  <si>
    <t>297 Broadway</t>
  </si>
  <si>
    <t>25-29 Cottage St</t>
  </si>
  <si>
    <t>150 Lafeyette St</t>
  </si>
  <si>
    <t>416 Frank E Rodgers Blvd</t>
  </si>
  <si>
    <t>Nutley</t>
  </si>
  <si>
    <t>789 Bloomfield Ave</t>
  </si>
  <si>
    <t>Kearny</t>
  </si>
  <si>
    <t>426 Kearny Ave</t>
  </si>
  <si>
    <t>1100 S 5th St.</t>
  </si>
  <si>
    <t>614 Harrison Avenue</t>
  </si>
  <si>
    <t>1347 Kennedy Blvd</t>
  </si>
  <si>
    <t>891 Broadway</t>
  </si>
  <si>
    <t>558 Arlington Ave</t>
  </si>
  <si>
    <t>19 Goldsborough Dr</t>
  </si>
  <si>
    <t>190 W Passaic St</t>
  </si>
  <si>
    <t>376 Market St</t>
  </si>
  <si>
    <t>559 Bloomfield Ave</t>
  </si>
  <si>
    <t>165 Belmont Ave</t>
  </si>
  <si>
    <t>1057 Broad St</t>
  </si>
  <si>
    <t>418 Union Ave</t>
  </si>
  <si>
    <t>279 Broadway</t>
  </si>
  <si>
    <t>378 Broad St</t>
  </si>
  <si>
    <t>531 Joralemon St</t>
  </si>
  <si>
    <t>480 Market St</t>
  </si>
  <si>
    <t>178 Ferry St</t>
  </si>
  <si>
    <t>567 Avenue C</t>
  </si>
  <si>
    <t>1411 Mccarter Hwy</t>
  </si>
  <si>
    <t>386 Belleville Tpke</t>
  </si>
  <si>
    <t>315 Kearny Ave</t>
  </si>
  <si>
    <t>671 Broadway</t>
  </si>
  <si>
    <t>123 Bloomfield Ave</t>
  </si>
  <si>
    <t>2 East Passaic Ave</t>
  </si>
  <si>
    <t>220 Harrison Ave</t>
  </si>
  <si>
    <t>60 Pulaski St</t>
  </si>
  <si>
    <t>180 Schuyler Ave</t>
  </si>
  <si>
    <t>230 Kearny Ave</t>
  </si>
  <si>
    <t>229 Centre St</t>
  </si>
  <si>
    <t>439 Broad St</t>
  </si>
  <si>
    <t>124 Adams St.</t>
  </si>
  <si>
    <t>129 Franklin St.</t>
  </si>
  <si>
    <t>98 Passaic Ave</t>
  </si>
  <si>
    <t>115 Watchung Ave</t>
  </si>
  <si>
    <t>337 Kearny Ave</t>
  </si>
  <si>
    <t>521 Ferry St</t>
  </si>
  <si>
    <t>1100 Frank E. Rogers Blvd</t>
  </si>
  <si>
    <t>83 Wilson Ave</t>
  </si>
  <si>
    <t>77 Ferry St</t>
  </si>
  <si>
    <t>504 Kennedy Blvd</t>
  </si>
  <si>
    <t>652 Joralemon Street</t>
  </si>
  <si>
    <t>180 Kearny Ave</t>
  </si>
  <si>
    <t>285 Glenwood Ave</t>
  </si>
  <si>
    <t>The Blue Steel Pizza Co.</t>
  </si>
  <si>
    <t>1099 Avenue C</t>
  </si>
  <si>
    <t>83 Devon St</t>
  </si>
  <si>
    <t>190 Passaic Ave #3</t>
  </si>
  <si>
    <t>200 Grant Ave</t>
  </si>
  <si>
    <t>233 Harrison Ave</t>
  </si>
  <si>
    <t>524 Washington Ave</t>
  </si>
  <si>
    <t>330 Long Ave</t>
  </si>
  <si>
    <t>206 Harrison Ave</t>
  </si>
  <si>
    <t>710 Bloomfield Ave</t>
  </si>
  <si>
    <t>200 N Franklin Ave</t>
  </si>
  <si>
    <t>311 Harrison Ave</t>
  </si>
  <si>
    <t>114 Congress St</t>
  </si>
  <si>
    <t>219 Harrison Avenue</t>
  </si>
  <si>
    <t>266 Chestnut St</t>
  </si>
  <si>
    <t>125 Lefante Way</t>
  </si>
  <si>
    <t>114 Ferry St</t>
  </si>
  <si>
    <t>481 Washington Ave</t>
  </si>
  <si>
    <t>170 Midland Ave</t>
  </si>
  <si>
    <t>850 Rte 3 West (Ste 115)</t>
  </si>
  <si>
    <t>169 Broadway</t>
  </si>
  <si>
    <t>200 Passaic Ave Unit 6</t>
  </si>
  <si>
    <t>558 N Franklin Ave</t>
  </si>
  <si>
    <t>816-818 Broadway</t>
  </si>
  <si>
    <t>24 1st Avenue</t>
  </si>
  <si>
    <t>500 Stuyvesant Ave</t>
  </si>
  <si>
    <t>327 Mulberry St</t>
  </si>
  <si>
    <t>300 Rte 440 South</t>
  </si>
  <si>
    <t>818 Kearny Ave</t>
  </si>
  <si>
    <t>12 Kearny Avenue</t>
  </si>
  <si>
    <t>563 Franklin Ave</t>
  </si>
  <si>
    <t>54 Flagship St.</t>
  </si>
  <si>
    <t>13 Herman St</t>
  </si>
  <si>
    <t>1263 Broad St</t>
  </si>
  <si>
    <t>478 Avenue E.</t>
  </si>
  <si>
    <t>574 Bloomfield Ave</t>
  </si>
  <si>
    <t>736 Belleville Ave</t>
  </si>
  <si>
    <t>168 Van Buren St</t>
  </si>
  <si>
    <t>East Newark</t>
  </si>
  <si>
    <t>300-306 Passaic Ave</t>
  </si>
  <si>
    <t>726 Washington Ave</t>
  </si>
  <si>
    <t>403 Broadway</t>
  </si>
  <si>
    <t>370 Broad St</t>
  </si>
  <si>
    <t>47 Ferry St</t>
  </si>
  <si>
    <t>32 Davis Avenue</t>
  </si>
  <si>
    <t>490 Avenue C</t>
  </si>
  <si>
    <t>200 Passaic Ave</t>
  </si>
  <si>
    <t>203 Frank E. Rodgers Blvd</t>
  </si>
  <si>
    <t>303 Elizabeth Ave</t>
  </si>
  <si>
    <t>Alex Rodriguez</t>
  </si>
  <si>
    <t>545 W. Westfield Ave</t>
  </si>
  <si>
    <t>Perth Amboy</t>
  </si>
  <si>
    <t>352-354 State St</t>
  </si>
  <si>
    <t>594 Pennsylvania Ave</t>
  </si>
  <si>
    <t>1003 E. 2nd St.</t>
  </si>
  <si>
    <t>332 East Front St</t>
  </si>
  <si>
    <t>1114-1126 Elizabeth Ave</t>
  </si>
  <si>
    <t>525 Bayway</t>
  </si>
  <si>
    <t>Roselle</t>
  </si>
  <si>
    <t>350 West 1st Ave</t>
  </si>
  <si>
    <t>416 Morris Ave</t>
  </si>
  <si>
    <t>405 Park Ave</t>
  </si>
  <si>
    <t>131 Elmora Ave</t>
  </si>
  <si>
    <t>111 East 2nd Ave</t>
  </si>
  <si>
    <t>404 N Broad St</t>
  </si>
  <si>
    <t>221 Sheridan Ave</t>
  </si>
  <si>
    <t>117 W. Colfax Ave</t>
  </si>
  <si>
    <t>1140 South Avenue</t>
  </si>
  <si>
    <t>Hopelawn</t>
  </si>
  <si>
    <t>127 New Brunswick Ave.</t>
  </si>
  <si>
    <t>890 Amboy Ave</t>
  </si>
  <si>
    <t>1 Terminal C Newark Liberty or</t>
  </si>
  <si>
    <t>1111 South Ave</t>
  </si>
  <si>
    <t>825 Rahway Ave</t>
  </si>
  <si>
    <t>315 E 5th St.</t>
  </si>
  <si>
    <t>665 Monroe Ave</t>
  </si>
  <si>
    <t>435 Rahway Ave</t>
  </si>
  <si>
    <t>277 Eisenhower Pkwy</t>
  </si>
  <si>
    <t>500 Chandler Ave</t>
  </si>
  <si>
    <t>929 Elizabeth Ave</t>
  </si>
  <si>
    <t>224 Rahway Ave</t>
  </si>
  <si>
    <t>184 3rd St</t>
  </si>
  <si>
    <t>318 Morris Ave</t>
  </si>
  <si>
    <t>27 Westfield Ave</t>
  </si>
  <si>
    <t>426 Jackson Ave</t>
  </si>
  <si>
    <t>122 E Westfield Ave</t>
  </si>
  <si>
    <t>131 Park Ave</t>
  </si>
  <si>
    <t>296-298 Leland Ave</t>
  </si>
  <si>
    <t>808 Spring Street</t>
  </si>
  <si>
    <t>248 Morris Ave</t>
  </si>
  <si>
    <t>1041 Elizabeth Ave</t>
  </si>
  <si>
    <t>214 N. Livingston Ave</t>
  </si>
  <si>
    <t>603 S Livingston Ave</t>
  </si>
  <si>
    <t>475 Smith St</t>
  </si>
  <si>
    <t>296 Smith St</t>
  </si>
  <si>
    <t>778 Morris Turnpike</t>
  </si>
  <si>
    <t>1041 North Ave</t>
  </si>
  <si>
    <t>Woodbridge</t>
  </si>
  <si>
    <t>306 US-9</t>
  </si>
  <si>
    <t>585 Raritan Road</t>
  </si>
  <si>
    <t>1201 E St George Ave</t>
  </si>
  <si>
    <t>261 2nd St</t>
  </si>
  <si>
    <t>465 Orange St</t>
  </si>
  <si>
    <t>212 Lt.Glenn Zamolski Dr</t>
  </si>
  <si>
    <t>844 Newark Ave</t>
  </si>
  <si>
    <t>200 Broad St</t>
  </si>
  <si>
    <t>707 Park Ave</t>
  </si>
  <si>
    <t>182 Elmora Ave</t>
  </si>
  <si>
    <t>711 E. 1st Ave</t>
  </si>
  <si>
    <t>1217 W Front St</t>
  </si>
  <si>
    <t>585 Fayette St</t>
  </si>
  <si>
    <t>1472 East Front Rd</t>
  </si>
  <si>
    <t>840 Elizabeth Ave</t>
  </si>
  <si>
    <t>615 Westfield Ave</t>
  </si>
  <si>
    <t>309 Westfield Ave</t>
  </si>
  <si>
    <t>Cases   2026</t>
  </si>
  <si>
    <t>Premise</t>
  </si>
  <si>
    <t>Area</t>
  </si>
  <si>
    <t>City</t>
  </si>
  <si>
    <t>Shipping Address</t>
  </si>
  <si>
    <t>Customer Num</t>
  </si>
  <si>
    <t>Sales Rep Assigned</t>
  </si>
  <si>
    <t>Montvale Wines &amp; Spirits</t>
  </si>
  <si>
    <t>Buyer Count   2026</t>
  </si>
  <si>
    <t>Brand Family Territory ID</t>
  </si>
  <si>
    <t>Core Market</t>
  </si>
  <si>
    <t>Craftwell</t>
  </si>
  <si>
    <t>Fiveislands</t>
  </si>
  <si>
    <t>Jim Beam Kentucky</t>
  </si>
  <si>
    <t>Red Bull</t>
  </si>
  <si>
    <t>Bergen &amp; Passaic</t>
  </si>
  <si>
    <t>Core + Morris Communities</t>
  </si>
  <si>
    <t>1911 Hard Cider</t>
  </si>
  <si>
    <t>All Counties</t>
  </si>
  <si>
    <t>Aguila Import</t>
  </si>
  <si>
    <t>Alias Brew Works</t>
  </si>
  <si>
    <t>Alte Beverage</t>
  </si>
  <si>
    <t>Arizona Hard</t>
  </si>
  <si>
    <t>Augustiner</t>
  </si>
  <si>
    <t>Baptist Wit</t>
  </si>
  <si>
    <t>Barn Brew</t>
  </si>
  <si>
    <t>Bavik</t>
  </si>
  <si>
    <t>Beckett's D9</t>
  </si>
  <si>
    <t>Belize Breeze</t>
  </si>
  <si>
    <t>Bella Ray</t>
  </si>
  <si>
    <t>Big Mans Brew</t>
  </si>
  <si>
    <t>Bodega Chiller</t>
  </si>
  <si>
    <t>Bodega Quarters</t>
  </si>
  <si>
    <t>Boldt Infused D9</t>
  </si>
  <si>
    <t>Brewt's</t>
  </si>
  <si>
    <t>Brio</t>
  </si>
  <si>
    <t>Buzbee's</t>
  </si>
  <si>
    <t>Calise</t>
  </si>
  <si>
    <t>Carib</t>
  </si>
  <si>
    <t>Charro</t>
  </si>
  <si>
    <t>Chateau Diana</t>
  </si>
  <si>
    <t>Clausthaler</t>
  </si>
  <si>
    <t>Food &amp; Bev</t>
  </si>
  <si>
    <t>Coastal Cocktails</t>
  </si>
  <si>
    <t>Colt 45</t>
  </si>
  <si>
    <t>Costenita</t>
  </si>
  <si>
    <t>Country Club</t>
  </si>
  <si>
    <t>Crescent 9</t>
  </si>
  <si>
    <t>Cricket Hill</t>
  </si>
  <si>
    <t>Crook&amp;Marker</t>
  </si>
  <si>
    <t>Crooked Tea</t>
  </si>
  <si>
    <t>Crooked Beverage</t>
  </si>
  <si>
    <t>Dab</t>
  </si>
  <si>
    <t>Day Chaser</t>
  </si>
  <si>
    <t>Defiant</t>
  </si>
  <si>
    <t>Delta</t>
  </si>
  <si>
    <t>Desquite</t>
  </si>
  <si>
    <t>Dewey Crush</t>
  </si>
  <si>
    <t>Doc's</t>
  </si>
  <si>
    <t>Dragon Stout</t>
  </si>
  <si>
    <t>Duclaw</t>
  </si>
  <si>
    <t>Ecaana</t>
  </si>
  <si>
    <t>Efes</t>
  </si>
  <si>
    <t>EL Jimador</t>
  </si>
  <si>
    <t>Eleven20 Tequila</t>
  </si>
  <si>
    <t>Five O'Clock</t>
  </si>
  <si>
    <t>Fizzy Jane</t>
  </si>
  <si>
    <t>Flying Dog Brewing Co</t>
  </si>
  <si>
    <t>Forged Irish Stout</t>
  </si>
  <si>
    <t>Friday Beers</t>
  </si>
  <si>
    <t>Gin Pig</t>
  </si>
  <si>
    <t>Good Supply</t>
  </si>
  <si>
    <t>Great Lakes</t>
  </si>
  <si>
    <t>Guaname Rompope</t>
  </si>
  <si>
    <t>Gulden Draak</t>
  </si>
  <si>
    <t>Happy Flower</t>
  </si>
  <si>
    <t>Hectare's</t>
  </si>
  <si>
    <t>Herb &amp; Bloom</t>
  </si>
  <si>
    <t>Hofbrau Usa</t>
  </si>
  <si>
    <t>Greek Spirits</t>
  </si>
  <si>
    <t>Jack Daniels Country Cocktails</t>
  </si>
  <si>
    <t>Jerzey Jungle</t>
  </si>
  <si>
    <t>Kingfisher Premium</t>
  </si>
  <si>
    <t>Krusovice</t>
  </si>
  <si>
    <t>Lark Infused D9</t>
  </si>
  <si>
    <t>Whitecap</t>
  </si>
  <si>
    <t>Lone Star</t>
  </si>
  <si>
    <t>Long Trail</t>
  </si>
  <si>
    <t>Caravella</t>
  </si>
  <si>
    <t>Mackeson</t>
  </si>
  <si>
    <t>Magners</t>
  </si>
  <si>
    <t>Malibu Splash</t>
  </si>
  <si>
    <t>Molly's</t>
  </si>
  <si>
    <t>Montauk</t>
  </si>
  <si>
    <t>Monte Xanic</t>
  </si>
  <si>
    <t>Mythos</t>
  </si>
  <si>
    <t>New Holland Brewing Co</t>
  </si>
  <si>
    <t>Newburgh</t>
  </si>
  <si>
    <t>Small Town</t>
  </si>
  <si>
    <t>Old Milwaukee</t>
  </si>
  <si>
    <t>OVO Vodka</t>
  </si>
  <si>
    <t>Pabst Blue Ribbon</t>
  </si>
  <si>
    <t>Pabst Light</t>
  </si>
  <si>
    <t>Palma</t>
  </si>
  <si>
    <t>Paradisse</t>
  </si>
  <si>
    <t>Petrus</t>
  </si>
  <si>
    <t>Piraat</t>
  </si>
  <si>
    <t>Whole Hog</t>
  </si>
  <si>
    <t>Poker Import</t>
  </si>
  <si>
    <t>Pop Sips</t>
  </si>
  <si>
    <t>Pride &amp; Clarke</t>
  </si>
  <si>
    <t>Quilmes</t>
  </si>
  <si>
    <t>Radeberger</t>
  </si>
  <si>
    <t>Right Coast</t>
  </si>
  <si>
    <t>River Horse Brewing Co</t>
  </si>
  <si>
    <t>Rusted Revolver</t>
  </si>
  <si>
    <t>Sapporo</t>
  </si>
  <si>
    <t>Saranac</t>
  </si>
  <si>
    <t>Saratoga</t>
  </si>
  <si>
    <t>Schaefer</t>
  </si>
  <si>
    <t>Schlitz Malt</t>
  </si>
  <si>
    <t>Schofferhofer</t>
  </si>
  <si>
    <t>Source Brewing</t>
  </si>
  <si>
    <t>St Ides</t>
  </si>
  <si>
    <t>Stiegl</t>
  </si>
  <si>
    <t>Striped Pig</t>
  </si>
  <si>
    <t>Sullivan's</t>
  </si>
  <si>
    <t>Talkhouse Encore</t>
  </si>
  <si>
    <t>The Garden State Experience</t>
  </si>
  <si>
    <t>The Old G</t>
  </si>
  <si>
    <t>Van Steenberge</t>
  </si>
  <si>
    <t>Tsingtao</t>
  </si>
  <si>
    <t>Viva Tequila Seltzer</t>
  </si>
  <si>
    <t>Vodka Hog</t>
  </si>
  <si>
    <t>Warwick Gin</t>
  </si>
  <si>
    <t>Waterloo Gin</t>
  </si>
  <si>
    <t>Woodchuck</t>
  </si>
  <si>
    <t>Cerveza Republica LA Tuya</t>
  </si>
  <si>
    <t>All Counties + Middlesex</t>
  </si>
  <si>
    <t>Cerveza Republica La Tuya 5.0 La Dura</t>
  </si>
  <si>
    <t>Metro Five County</t>
  </si>
  <si>
    <t>Metro Less West Milford Area</t>
  </si>
  <si>
    <t>Core Less Essex (Alt)</t>
  </si>
  <si>
    <t>Bergen/Passaic/Hudson/Essex</t>
  </si>
  <si>
    <t>Fuller's</t>
  </si>
  <si>
    <t>Popsicle Hard</t>
  </si>
  <si>
    <t>Slow &amp; Low</t>
  </si>
  <si>
    <t>2XO</t>
  </si>
  <si>
    <t>Carinoso</t>
  </si>
  <si>
    <t>Lock Stock &amp; Barrel</t>
  </si>
  <si>
    <t>Shabo Wine</t>
  </si>
  <si>
    <t>Hetman Vodka</t>
  </si>
  <si>
    <t>Ukrainian Spirit</t>
  </si>
  <si>
    <t>Source It's A Me</t>
  </si>
  <si>
    <t>Source Ultra Citra</t>
  </si>
  <si>
    <t>Source Jersey Lager</t>
  </si>
  <si>
    <t>Bloom Bubbles</t>
  </si>
  <si>
    <t>Poca Loca</t>
  </si>
  <si>
    <t>2 Canos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</si>
</sst>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5"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sharkey\Desktop\MY%20PROJECTS\iSellBeer%20TAPS%20-%20US%20THEM%20Audit%20Matrix%20vF.xlsx" TargetMode="External"/><Relationship Id="rId1" Type="http://schemas.openxmlformats.org/officeDocument/2006/relationships/externalLinkPath" Target="iSellBeer%20TAPS%20-%20US%20THEM%20Audit%20Matrix%20v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9"/>
      <sheetName val="Master - US vs THEM"/>
      <sheetName val="Master Matrix View"/>
      <sheetName val="Whitelist (Blackout Reverse)"/>
      <sheetName val="Blackout Brand Fam Areas (Enc)"/>
      <sheetName val="Customers Table (Enc)"/>
      <sheetName val="Brand Family Territories (Enc)"/>
      <sheetName val="Brand Family Territory (Enc)"/>
      <sheetName val="Brands (Enc)"/>
      <sheetName val="Brand Crosswalk"/>
      <sheetName val="iSellBeer Import Template"/>
      <sheetName val="Corrections Summary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Core Market</v>
          </cell>
          <cell r="C2" t="str">
            <v>Bergen</v>
          </cell>
        </row>
        <row r="3">
          <cell r="B3" t="str">
            <v>Core Market</v>
          </cell>
          <cell r="C3" t="str">
            <v>Passaic</v>
          </cell>
        </row>
        <row r="4">
          <cell r="B4" t="str">
            <v>Core Market</v>
          </cell>
          <cell r="C4" t="str">
            <v>Passaic-FF</v>
          </cell>
        </row>
        <row r="5">
          <cell r="B5" t="str">
            <v>Core Market</v>
          </cell>
          <cell r="C5" t="str">
            <v>Sussex</v>
          </cell>
        </row>
        <row r="6">
          <cell r="B6" t="str">
            <v>Core Market</v>
          </cell>
          <cell r="C6" t="str">
            <v>Morris 1</v>
          </cell>
        </row>
        <row r="7">
          <cell r="B7" t="str">
            <v>Core Market</v>
          </cell>
          <cell r="C7" t="str">
            <v>Morris 3</v>
          </cell>
        </row>
        <row r="8">
          <cell r="B8" t="str">
            <v>Bergen &amp; Passaic</v>
          </cell>
          <cell r="C8" t="str">
            <v>Bergen</v>
          </cell>
        </row>
        <row r="9">
          <cell r="B9" t="str">
            <v>Bergen &amp; Passaic</v>
          </cell>
          <cell r="C9" t="str">
            <v>Passaic</v>
          </cell>
        </row>
        <row r="10">
          <cell r="B10" t="str">
            <v>Bergen &amp; Passaic</v>
          </cell>
          <cell r="C10" t="str">
            <v>Passaic-FF</v>
          </cell>
        </row>
        <row r="11">
          <cell r="B11" t="str">
            <v>Core + Morris Communities</v>
          </cell>
          <cell r="C11" t="str">
            <v>Bergen</v>
          </cell>
        </row>
        <row r="12">
          <cell r="B12" t="str">
            <v>Core + Morris Communities</v>
          </cell>
          <cell r="C12" t="str">
            <v>Passaic</v>
          </cell>
        </row>
        <row r="13">
          <cell r="B13" t="str">
            <v>Core + Morris Communities</v>
          </cell>
          <cell r="C13" t="str">
            <v>Passaic-FF</v>
          </cell>
        </row>
        <row r="14">
          <cell r="B14" t="str">
            <v>Core + Morris Communities</v>
          </cell>
          <cell r="C14" t="str">
            <v>Morris 1</v>
          </cell>
        </row>
        <row r="15">
          <cell r="B15" t="str">
            <v>Core + Morris Communities</v>
          </cell>
          <cell r="C15" t="str">
            <v>Morris 3</v>
          </cell>
        </row>
        <row r="16">
          <cell r="B16" t="str">
            <v>All Counties</v>
          </cell>
          <cell r="C16" t="str">
            <v>Bergen</v>
          </cell>
        </row>
        <row r="17">
          <cell r="B17" t="str">
            <v>All Counties</v>
          </cell>
          <cell r="C17" t="str">
            <v>Essex</v>
          </cell>
        </row>
        <row r="18">
          <cell r="B18" t="str">
            <v>All Counties</v>
          </cell>
          <cell r="C18" t="str">
            <v>Hudson</v>
          </cell>
        </row>
        <row r="19">
          <cell r="B19" t="str">
            <v>All Counties</v>
          </cell>
          <cell r="C19" t="str">
            <v>Passaic</v>
          </cell>
        </row>
        <row r="20">
          <cell r="B20" t="str">
            <v>All Counties</v>
          </cell>
          <cell r="C20" t="str">
            <v>Passaic-FF</v>
          </cell>
        </row>
        <row r="21">
          <cell r="B21" t="str">
            <v>All Counties</v>
          </cell>
          <cell r="C21" t="str">
            <v>Sussex</v>
          </cell>
        </row>
        <row r="22">
          <cell r="B22" t="str">
            <v>All Counties</v>
          </cell>
          <cell r="C22" t="str">
            <v>Union</v>
          </cell>
        </row>
        <row r="23">
          <cell r="B23" t="str">
            <v>All Counties</v>
          </cell>
          <cell r="C23" t="str">
            <v>Morris 1</v>
          </cell>
        </row>
        <row r="24">
          <cell r="B24" t="str">
            <v>All Counties</v>
          </cell>
          <cell r="C24" t="str">
            <v>Morris 2</v>
          </cell>
        </row>
        <row r="25">
          <cell r="B25" t="str">
            <v>All Counties</v>
          </cell>
          <cell r="C25" t="str">
            <v>Morris 3</v>
          </cell>
        </row>
        <row r="26">
          <cell r="B26" t="str">
            <v>All Counties + Middlesex</v>
          </cell>
          <cell r="C26" t="str">
            <v>Bergen</v>
          </cell>
        </row>
        <row r="27">
          <cell r="B27" t="str">
            <v>All Counties + Middlesex</v>
          </cell>
          <cell r="C27" t="str">
            <v>Essex</v>
          </cell>
        </row>
        <row r="28">
          <cell r="B28" t="str">
            <v>All Counties + Middlesex</v>
          </cell>
          <cell r="C28" t="str">
            <v>Hudson</v>
          </cell>
        </row>
        <row r="29">
          <cell r="B29" t="str">
            <v>All Counties + Middlesex</v>
          </cell>
          <cell r="C29" t="str">
            <v>Passaic</v>
          </cell>
        </row>
        <row r="30">
          <cell r="B30" t="str">
            <v>All Counties + Middlesex</v>
          </cell>
          <cell r="C30" t="str">
            <v>Passaic-FF</v>
          </cell>
        </row>
        <row r="31">
          <cell r="B31" t="str">
            <v>All Counties + Middlesex</v>
          </cell>
          <cell r="C31" t="str">
            <v>Sussex</v>
          </cell>
        </row>
        <row r="32">
          <cell r="B32" t="str">
            <v>All Counties + Middlesex</v>
          </cell>
          <cell r="C32" t="str">
            <v>Union</v>
          </cell>
        </row>
        <row r="33">
          <cell r="B33" t="str">
            <v>All Counties + Middlesex</v>
          </cell>
          <cell r="C33" t="str">
            <v>Morris 1</v>
          </cell>
        </row>
        <row r="34">
          <cell r="B34" t="str">
            <v>All Counties + Middlesex</v>
          </cell>
          <cell r="C34" t="str">
            <v>Morris 2</v>
          </cell>
        </row>
        <row r="35">
          <cell r="B35" t="str">
            <v>All Counties + Middlesex</v>
          </cell>
          <cell r="C35" t="str">
            <v>Morris 3</v>
          </cell>
        </row>
        <row r="36">
          <cell r="B36" t="str">
            <v>Metro Five County</v>
          </cell>
          <cell r="C36" t="str">
            <v>Bergen</v>
          </cell>
        </row>
        <row r="37">
          <cell r="B37" t="str">
            <v>Metro Five County</v>
          </cell>
          <cell r="C37" t="str">
            <v>Essex</v>
          </cell>
        </row>
        <row r="38">
          <cell r="B38" t="str">
            <v>Metro Five County</v>
          </cell>
          <cell r="C38" t="str">
            <v>Hudson</v>
          </cell>
        </row>
        <row r="39">
          <cell r="B39" t="str">
            <v>Metro Five County</v>
          </cell>
          <cell r="C39" t="str">
            <v>Passaic</v>
          </cell>
        </row>
        <row r="40">
          <cell r="B40" t="str">
            <v>Metro Five County</v>
          </cell>
          <cell r="C40" t="str">
            <v>Passaic-FF</v>
          </cell>
        </row>
        <row r="41">
          <cell r="B41" t="str">
            <v>Metro Five County</v>
          </cell>
          <cell r="C41" t="str">
            <v>Union</v>
          </cell>
        </row>
        <row r="42">
          <cell r="B42" t="str">
            <v>Metro Less West Milford Area</v>
          </cell>
          <cell r="C42" t="str">
            <v>Bergen</v>
          </cell>
        </row>
        <row r="43">
          <cell r="B43" t="str">
            <v>Metro Less West Milford Area</v>
          </cell>
          <cell r="C43" t="str">
            <v>Essex</v>
          </cell>
        </row>
        <row r="44">
          <cell r="B44" t="str">
            <v>Metro Less West Milford Area</v>
          </cell>
          <cell r="C44" t="str">
            <v>Hudson</v>
          </cell>
        </row>
        <row r="45">
          <cell r="B45" t="str">
            <v>Metro Less West Milford Area</v>
          </cell>
          <cell r="C45" t="str">
            <v>Passaic</v>
          </cell>
        </row>
        <row r="46">
          <cell r="B46" t="str">
            <v>Metro Less West Milford Area</v>
          </cell>
          <cell r="C46" t="str">
            <v>Passaic-FF</v>
          </cell>
        </row>
        <row r="47">
          <cell r="B47" t="str">
            <v>Morris &amp; Sussex</v>
          </cell>
          <cell r="C47" t="str">
            <v>Morris 1</v>
          </cell>
        </row>
        <row r="48">
          <cell r="B48" t="str">
            <v>Morris &amp; Sussex</v>
          </cell>
          <cell r="C48" t="str">
            <v>Morris 2</v>
          </cell>
        </row>
        <row r="49">
          <cell r="B49" t="str">
            <v>Morris &amp; Sussex</v>
          </cell>
          <cell r="C49" t="str">
            <v>Morris 3</v>
          </cell>
        </row>
        <row r="50">
          <cell r="B50" t="str">
            <v>Morris &amp; Sussex</v>
          </cell>
          <cell r="C50" t="str">
            <v>Sussex</v>
          </cell>
        </row>
        <row r="51">
          <cell r="B51" t="str">
            <v>Core Less Essex (Alt)</v>
          </cell>
          <cell r="C51" t="str">
            <v>Bergen</v>
          </cell>
        </row>
        <row r="52">
          <cell r="B52" t="str">
            <v>Core Less Essex (Alt)</v>
          </cell>
          <cell r="C52" t="str">
            <v>Hudson</v>
          </cell>
        </row>
        <row r="53">
          <cell r="B53" t="str">
            <v>Core Less Essex (Alt)</v>
          </cell>
          <cell r="C53" t="str">
            <v>Passaic</v>
          </cell>
        </row>
        <row r="54">
          <cell r="B54" t="str">
            <v>Core Less Essex (Alt)</v>
          </cell>
          <cell r="C54" t="str">
            <v>Passaic-FF</v>
          </cell>
        </row>
        <row r="55">
          <cell r="B55" t="str">
            <v>Core Less Essex (Alt)</v>
          </cell>
          <cell r="C55" t="str">
            <v>Sussex</v>
          </cell>
        </row>
        <row r="56">
          <cell r="B56" t="str">
            <v>Core Less Essex (Alt)</v>
          </cell>
          <cell r="C56" t="str">
            <v>Morris 1</v>
          </cell>
        </row>
        <row r="57">
          <cell r="B57" t="str">
            <v>Core Less Essex (Alt)</v>
          </cell>
          <cell r="C57" t="str">
            <v>Morris 3</v>
          </cell>
        </row>
        <row r="58">
          <cell r="B58" t="str">
            <v>Bergen/Passaic/Hudson/Essex</v>
          </cell>
          <cell r="C58" t="str">
            <v>Bergen</v>
          </cell>
        </row>
        <row r="59">
          <cell r="B59" t="str">
            <v>Bergen/Passaic/Hudson/Essex</v>
          </cell>
          <cell r="C59" t="str">
            <v>Passaic</v>
          </cell>
        </row>
        <row r="60">
          <cell r="B60" t="str">
            <v>Bergen/Passaic/Hudson/Essex</v>
          </cell>
          <cell r="C60" t="str">
            <v>Passaic-FF</v>
          </cell>
        </row>
        <row r="61">
          <cell r="B61" t="str">
            <v>Bergen/Passaic/Hudson/Essex</v>
          </cell>
          <cell r="C61" t="str">
            <v>Hudson</v>
          </cell>
        </row>
        <row r="62">
          <cell r="B62" t="str">
            <v>Bergen/Passaic/Hudson/Essex</v>
          </cell>
          <cell r="C62" t="str">
            <v>Essex</v>
          </cell>
        </row>
      </sheetData>
      <sheetData sheetId="7">
        <row r="2">
          <cell r="A2" t="str">
            <v>Angry Orchard</v>
          </cell>
          <cell r="B2" t="str">
            <v>Core Market</v>
          </cell>
        </row>
        <row r="3">
          <cell r="A3" t="str">
            <v>Aguila</v>
          </cell>
          <cell r="B3" t="str">
            <v>Core Market</v>
          </cell>
        </row>
        <row r="4">
          <cell r="A4" t="str">
            <v>Arnold Palmer</v>
          </cell>
          <cell r="B4" t="str">
            <v>Core Market</v>
          </cell>
        </row>
        <row r="5">
          <cell r="A5" t="str">
            <v>Athletic</v>
          </cell>
          <cell r="B5" t="str">
            <v>Core Market</v>
          </cell>
        </row>
        <row r="6">
          <cell r="A6" t="str">
            <v>Bardstown Bourbon</v>
          </cell>
          <cell r="B6" t="str">
            <v>Core Market</v>
          </cell>
        </row>
        <row r="7">
          <cell r="A7" t="str">
            <v>Bell's</v>
          </cell>
          <cell r="B7" t="str">
            <v>Core Market</v>
          </cell>
        </row>
        <row r="8">
          <cell r="A8" t="str">
            <v>Bell's Hearted Family</v>
          </cell>
          <cell r="B8" t="str">
            <v>Core Market</v>
          </cell>
        </row>
        <row r="9">
          <cell r="A9" t="str">
            <v>Blue Moon</v>
          </cell>
          <cell r="B9" t="str">
            <v>Core Market</v>
          </cell>
        </row>
        <row r="10">
          <cell r="A10" t="str">
            <v>Cape May</v>
          </cell>
          <cell r="B10" t="str">
            <v>Core Market</v>
          </cell>
        </row>
        <row r="11">
          <cell r="A11" t="str">
            <v>Cayman Jack</v>
          </cell>
          <cell r="B11" t="str">
            <v>Core Market</v>
          </cell>
        </row>
        <row r="12">
          <cell r="A12" t="str">
            <v>Coors</v>
          </cell>
          <cell r="B12" t="str">
            <v>Core Market</v>
          </cell>
        </row>
        <row r="13">
          <cell r="A13" t="str">
            <v>Coors Edge</v>
          </cell>
          <cell r="B13" t="str">
            <v>Core Market</v>
          </cell>
        </row>
        <row r="14">
          <cell r="A14" t="str">
            <v>Coors Light</v>
          </cell>
          <cell r="B14" t="str">
            <v>Core Market</v>
          </cell>
        </row>
        <row r="15">
          <cell r="A15" t="str">
            <v>Corona Extra</v>
          </cell>
          <cell r="B15" t="str">
            <v>Core Market</v>
          </cell>
        </row>
        <row r="16">
          <cell r="A16" t="str">
            <v>Corona Familiar</v>
          </cell>
          <cell r="B16" t="str">
            <v>Core Market</v>
          </cell>
        </row>
        <row r="17">
          <cell r="A17" t="str">
            <v>Corona Light</v>
          </cell>
          <cell r="B17" t="str">
            <v>Core Market</v>
          </cell>
        </row>
        <row r="18">
          <cell r="A18" t="str">
            <v>Corona NA</v>
          </cell>
          <cell r="B18" t="str">
            <v>Core Market</v>
          </cell>
        </row>
        <row r="19">
          <cell r="A19" t="str">
            <v>Corona Premier</v>
          </cell>
          <cell r="B19" t="str">
            <v>Core Market</v>
          </cell>
        </row>
        <row r="20">
          <cell r="A20" t="str">
            <v>Corona Refresca</v>
          </cell>
          <cell r="B20" t="str">
            <v>Core Market</v>
          </cell>
        </row>
        <row r="21">
          <cell r="A21" t="str">
            <v>Corona Sunbrew</v>
          </cell>
          <cell r="B21" t="str">
            <v>Core Market</v>
          </cell>
        </row>
        <row r="22">
          <cell r="A22" t="str">
            <v>Craftwell</v>
          </cell>
          <cell r="B22" t="str">
            <v>Core Market</v>
          </cell>
        </row>
        <row r="23">
          <cell r="A23" t="str">
            <v>Cusquena</v>
          </cell>
          <cell r="B23" t="str">
            <v>Core Market</v>
          </cell>
        </row>
        <row r="24">
          <cell r="A24" t="str">
            <v>Dad Grass</v>
          </cell>
          <cell r="B24" t="str">
            <v>Core Market</v>
          </cell>
        </row>
        <row r="25">
          <cell r="A25" t="str">
            <v>Dillon's Cocktails</v>
          </cell>
          <cell r="B25" t="str">
            <v>Core Market</v>
          </cell>
        </row>
        <row r="26">
          <cell r="A26" t="str">
            <v>Dogfish Head Beer</v>
          </cell>
          <cell r="B26" t="str">
            <v>Core Market</v>
          </cell>
        </row>
        <row r="27">
          <cell r="A27" t="str">
            <v>Dogfish Head Spirits</v>
          </cell>
          <cell r="B27" t="str">
            <v>Core Market</v>
          </cell>
        </row>
        <row r="28">
          <cell r="A28" t="str">
            <v>Fever Tree</v>
          </cell>
          <cell r="B28" t="str">
            <v>Core Market</v>
          </cell>
        </row>
        <row r="29">
          <cell r="A29" t="str">
            <v>Fiveislands</v>
          </cell>
          <cell r="B29" t="str">
            <v>Core Market</v>
          </cell>
        </row>
        <row r="30">
          <cell r="A30" t="str">
            <v>Fosters</v>
          </cell>
          <cell r="B30" t="str">
            <v>Core Market</v>
          </cell>
        </row>
        <row r="31">
          <cell r="A31" t="str">
            <v>Fresca Mixed</v>
          </cell>
          <cell r="B31" t="str">
            <v>Core Market</v>
          </cell>
        </row>
        <row r="32">
          <cell r="A32" t="str">
            <v>Bardstown Green River</v>
          </cell>
          <cell r="B32" t="str">
            <v>Core Market</v>
          </cell>
        </row>
        <row r="33">
          <cell r="A33" t="str">
            <v>Grolsch</v>
          </cell>
          <cell r="B33" t="str">
            <v>Core Market</v>
          </cell>
        </row>
        <row r="34">
          <cell r="A34" t="str">
            <v>Hamm's</v>
          </cell>
          <cell r="B34" t="str">
            <v>Core Market</v>
          </cell>
        </row>
        <row r="35">
          <cell r="A35" t="str">
            <v>Happy Thursday Spiked Refresher</v>
          </cell>
          <cell r="B35" t="str">
            <v>Core Market</v>
          </cell>
        </row>
        <row r="36">
          <cell r="A36" t="str">
            <v>Hard Mountain Dew</v>
          </cell>
          <cell r="B36" t="str">
            <v>Core Market</v>
          </cell>
        </row>
        <row r="37">
          <cell r="A37" t="str">
            <v>Hi5</v>
          </cell>
          <cell r="B37" t="str">
            <v>Core Market</v>
          </cell>
        </row>
        <row r="38">
          <cell r="A38" t="str">
            <v>HOP WTR</v>
          </cell>
          <cell r="B38" t="str">
            <v>Core Market</v>
          </cell>
        </row>
        <row r="39">
          <cell r="A39" t="str">
            <v>Jim Beam Kentucky</v>
          </cell>
          <cell r="B39" t="str">
            <v>Core Market</v>
          </cell>
        </row>
        <row r="40">
          <cell r="A40" t="str">
            <v>Keystone</v>
          </cell>
          <cell r="B40" t="str">
            <v>Core Market</v>
          </cell>
        </row>
        <row r="41">
          <cell r="A41" t="str">
            <v>George Killian's</v>
          </cell>
          <cell r="B41" t="str">
            <v>Core Market</v>
          </cell>
        </row>
        <row r="42">
          <cell r="A42" t="str">
            <v>Kirin Ichiban</v>
          </cell>
          <cell r="B42" t="str">
            <v>Core Market</v>
          </cell>
        </row>
        <row r="43">
          <cell r="A43" t="str">
            <v>Kirin Light</v>
          </cell>
          <cell r="B43" t="str">
            <v>Core Market</v>
          </cell>
        </row>
        <row r="44">
          <cell r="A44" t="str">
            <v>Leinenkugel</v>
          </cell>
          <cell r="B44" t="str">
            <v>Core Market</v>
          </cell>
        </row>
        <row r="45">
          <cell r="A45" t="str">
            <v>Lightstrike</v>
          </cell>
          <cell r="B45" t="str">
            <v>Core Market</v>
          </cell>
        </row>
        <row r="46">
          <cell r="A46" t="str">
            <v>Mike's Hard Lemonade</v>
          </cell>
          <cell r="B46" t="str">
            <v>Core Market</v>
          </cell>
        </row>
        <row r="47">
          <cell r="A47" t="str">
            <v>Mike's Hard Dirty Lemonade</v>
          </cell>
          <cell r="B47" t="str">
            <v>Core Market</v>
          </cell>
        </row>
        <row r="48">
          <cell r="A48" t="str">
            <v>Mike's Harder</v>
          </cell>
          <cell r="B48" t="str">
            <v>Core Market</v>
          </cell>
        </row>
        <row r="49">
          <cell r="A49" t="str">
            <v>Miller Extra Light</v>
          </cell>
          <cell r="B49" t="str">
            <v>Core Market</v>
          </cell>
        </row>
        <row r="50">
          <cell r="A50" t="str">
            <v>Miller Genuine Draft</v>
          </cell>
          <cell r="B50" t="str">
            <v>Core Market</v>
          </cell>
        </row>
        <row r="51">
          <cell r="A51" t="str">
            <v>Lite</v>
          </cell>
          <cell r="B51" t="str">
            <v>Core Market</v>
          </cell>
        </row>
        <row r="52">
          <cell r="A52" t="str">
            <v>Milwaukee's Best Ice</v>
          </cell>
          <cell r="B52" t="str">
            <v>Core Market</v>
          </cell>
        </row>
        <row r="53">
          <cell r="A53" t="str">
            <v>Milwaukee's Best Light</v>
          </cell>
          <cell r="B53" t="str">
            <v>Core Market</v>
          </cell>
        </row>
        <row r="54">
          <cell r="A54" t="str">
            <v>Modelo Aquas Frescas</v>
          </cell>
          <cell r="B54" t="str">
            <v>Core Market</v>
          </cell>
        </row>
        <row r="55">
          <cell r="A55" t="str">
            <v>Modelo Chelada</v>
          </cell>
          <cell r="B55" t="str">
            <v>Core Market</v>
          </cell>
        </row>
        <row r="56">
          <cell r="A56" t="str">
            <v>Modelo Especial</v>
          </cell>
          <cell r="B56" t="str">
            <v>Core Market</v>
          </cell>
        </row>
        <row r="57">
          <cell r="A57" t="str">
            <v>Modelo Negra</v>
          </cell>
          <cell r="B57" t="str">
            <v>Core Market</v>
          </cell>
        </row>
        <row r="58">
          <cell r="A58" t="str">
            <v>Modelo Oro</v>
          </cell>
          <cell r="B58" t="str">
            <v>Core Market</v>
          </cell>
        </row>
        <row r="59">
          <cell r="A59" t="str">
            <v>Molson</v>
          </cell>
          <cell r="B59" t="str">
            <v>Core Market</v>
          </cell>
        </row>
        <row r="60">
          <cell r="A60" t="str">
            <v>Moosehead</v>
          </cell>
          <cell r="B60" t="str">
            <v>Core Market</v>
          </cell>
        </row>
        <row r="61">
          <cell r="A61" t="str">
            <v>Mxd Cocktails</v>
          </cell>
          <cell r="B61" t="str">
            <v>Core Market</v>
          </cell>
        </row>
        <row r="62">
          <cell r="A62" t="str">
            <v>Del's Shandy</v>
          </cell>
          <cell r="B62" t="str">
            <v>Core Market</v>
          </cell>
        </row>
        <row r="63">
          <cell r="A63" t="str">
            <v>Narragansett</v>
          </cell>
          <cell r="B63" t="str">
            <v>Core Market</v>
          </cell>
        </row>
        <row r="64">
          <cell r="A64" t="str">
            <v>New Belgium Brewing Company</v>
          </cell>
          <cell r="B64" t="str">
            <v>Core Market</v>
          </cell>
        </row>
        <row r="65">
          <cell r="A65" t="str">
            <v>Voodoo Family</v>
          </cell>
          <cell r="B65" t="str">
            <v>Core Market</v>
          </cell>
        </row>
        <row r="66">
          <cell r="A66" t="str">
            <v>Fat Tire Family</v>
          </cell>
          <cell r="B66" t="str">
            <v>Core Market</v>
          </cell>
        </row>
        <row r="67">
          <cell r="A67" t="str">
            <v>Voodoo Hardcharged</v>
          </cell>
          <cell r="B67" t="str">
            <v>Core Market</v>
          </cell>
        </row>
        <row r="68">
          <cell r="A68" t="str">
            <v>Old English</v>
          </cell>
          <cell r="B68" t="str">
            <v>Core Market</v>
          </cell>
        </row>
        <row r="69">
          <cell r="A69" t="str">
            <v>Ole</v>
          </cell>
          <cell r="B69" t="str">
            <v>Core Market</v>
          </cell>
        </row>
        <row r="70">
          <cell r="A70" t="str">
            <v>Pacifico</v>
          </cell>
          <cell r="B70" t="str">
            <v>Core Market</v>
          </cell>
        </row>
        <row r="71">
          <cell r="A71" t="str">
            <v>Peroni</v>
          </cell>
          <cell r="B71" t="str">
            <v>Core Market</v>
          </cell>
        </row>
        <row r="72">
          <cell r="A72" t="str">
            <v>Pilsner Urquell</v>
          </cell>
          <cell r="B72" t="str">
            <v>Core Market</v>
          </cell>
        </row>
        <row r="73">
          <cell r="A73" t="str">
            <v>Poggio Torselli</v>
          </cell>
          <cell r="B73" t="str">
            <v>Core Market</v>
          </cell>
        </row>
        <row r="74">
          <cell r="A74" t="str">
            <v>Press</v>
          </cell>
          <cell r="B74" t="str">
            <v>Core Market</v>
          </cell>
        </row>
        <row r="75">
          <cell r="A75" t="str">
            <v>Red Bull</v>
          </cell>
          <cell r="B75" t="str">
            <v>Core Market</v>
          </cell>
        </row>
        <row r="76">
          <cell r="A76" t="str">
            <v>Redd's</v>
          </cell>
          <cell r="B76" t="str">
            <v>Core Market</v>
          </cell>
        </row>
        <row r="77">
          <cell r="A77" t="str">
            <v>Redd's Wicked</v>
          </cell>
          <cell r="B77" t="str">
            <v>Core Market</v>
          </cell>
        </row>
        <row r="78">
          <cell r="A78" t="str">
            <v>Samuel Adams</v>
          </cell>
          <cell r="B78" t="str">
            <v>Core Market</v>
          </cell>
        </row>
        <row r="79">
          <cell r="A79" t="str">
            <v>Sauza</v>
          </cell>
          <cell r="B79" t="str">
            <v>Core Market</v>
          </cell>
        </row>
        <row r="80">
          <cell r="A80" t="str">
            <v>Shiner</v>
          </cell>
          <cell r="B80" t="str">
            <v>Core Market</v>
          </cell>
        </row>
        <row r="81">
          <cell r="A81" t="str">
            <v>Sierra Nevada</v>
          </cell>
          <cell r="B81" t="str">
            <v>Core Market</v>
          </cell>
        </row>
        <row r="82">
          <cell r="A82" t="str">
            <v>Simply Spiked</v>
          </cell>
          <cell r="B82" t="str">
            <v>Core Market</v>
          </cell>
        </row>
        <row r="83">
          <cell r="A83" t="str">
            <v>Sinless Vodka Cocktail</v>
          </cell>
          <cell r="B83" t="str">
            <v>Core Market</v>
          </cell>
        </row>
        <row r="84">
          <cell r="A84" t="str">
            <v>Snow Beer</v>
          </cell>
          <cell r="B84" t="str">
            <v>Core Market</v>
          </cell>
        </row>
        <row r="85">
          <cell r="A85" t="str">
            <v>Sol</v>
          </cell>
          <cell r="B85" t="str">
            <v>Core Market</v>
          </cell>
        </row>
        <row r="86">
          <cell r="A86" t="str">
            <v>Steel Reserve</v>
          </cell>
          <cell r="B86" t="str">
            <v>Core Market</v>
          </cell>
        </row>
        <row r="87">
          <cell r="A87" t="str">
            <v>Steel Reserve Alloy Series</v>
          </cell>
          <cell r="B87" t="str">
            <v>Core Market</v>
          </cell>
        </row>
        <row r="88">
          <cell r="A88" t="str">
            <v>Sun Cruiser</v>
          </cell>
          <cell r="B88" t="str">
            <v>Core Market</v>
          </cell>
        </row>
        <row r="89">
          <cell r="A89" t="str">
            <v>The Drop</v>
          </cell>
          <cell r="B89" t="str">
            <v>Core Market</v>
          </cell>
        </row>
        <row r="90">
          <cell r="A90" t="str">
            <v>Topo Chico</v>
          </cell>
          <cell r="B90" t="str">
            <v>Core Market</v>
          </cell>
        </row>
        <row r="91">
          <cell r="A91" t="str">
            <v>Truly</v>
          </cell>
          <cell r="B91" t="str">
            <v>Core Market</v>
          </cell>
        </row>
        <row r="92">
          <cell r="A92" t="str">
            <v>Twisted Tea</v>
          </cell>
          <cell r="B92" t="str">
            <v>Core Market</v>
          </cell>
        </row>
        <row r="93">
          <cell r="A93" t="str">
            <v>Tyskie Gronie</v>
          </cell>
          <cell r="B93" t="str">
            <v>Core Market</v>
          </cell>
        </row>
        <row r="94">
          <cell r="A94" t="str">
            <v>Victoria</v>
          </cell>
          <cell r="B94" t="str">
            <v>Core Market</v>
          </cell>
        </row>
        <row r="95">
          <cell r="A95" t="str">
            <v>Vizzy</v>
          </cell>
          <cell r="B95" t="str">
            <v>Core Market</v>
          </cell>
        </row>
        <row r="96">
          <cell r="A96" t="str">
            <v>White Claw</v>
          </cell>
          <cell r="B96" t="str">
            <v>Core Market</v>
          </cell>
        </row>
        <row r="97">
          <cell r="A97" t="str">
            <v>Yuengling Black &amp; Tan</v>
          </cell>
          <cell r="B97" t="str">
            <v>Core Market</v>
          </cell>
        </row>
        <row r="98">
          <cell r="A98" t="str">
            <v>Dg Yuengling Inc</v>
          </cell>
          <cell r="B98" t="str">
            <v>Core Market</v>
          </cell>
        </row>
        <row r="99">
          <cell r="A99" t="str">
            <v>Yuengling Flight</v>
          </cell>
          <cell r="B99" t="str">
            <v>Core Market</v>
          </cell>
        </row>
        <row r="100">
          <cell r="A100" t="str">
            <v>Yuengling Golden Pilsner</v>
          </cell>
          <cell r="B100" t="str">
            <v>Core Market</v>
          </cell>
        </row>
        <row r="101">
          <cell r="A101" t="str">
            <v>Yuengling Lager</v>
          </cell>
          <cell r="B101" t="str">
            <v>Core Market</v>
          </cell>
        </row>
        <row r="102">
          <cell r="A102" t="str">
            <v>Yuengling Light Lager</v>
          </cell>
          <cell r="B102" t="str">
            <v>Core Market</v>
          </cell>
        </row>
        <row r="103">
          <cell r="A103" t="str">
            <v>Yuengling Oktoberfest</v>
          </cell>
          <cell r="B103" t="str">
            <v>Core Market</v>
          </cell>
        </row>
        <row r="104">
          <cell r="A104" t="str">
            <v>Carta Blanca</v>
          </cell>
          <cell r="B104" t="str">
            <v>Bergen &amp; Passaic</v>
          </cell>
        </row>
        <row r="105">
          <cell r="A105" t="str">
            <v>Dos Equis</v>
          </cell>
          <cell r="B105" t="str">
            <v>Bergen &amp; Passaic</v>
          </cell>
        </row>
        <row r="106">
          <cell r="A106" t="str">
            <v>Prestige Lager</v>
          </cell>
          <cell r="B106" t="str">
            <v>Bergen &amp; Passaic</v>
          </cell>
        </row>
        <row r="107">
          <cell r="A107" t="str">
            <v>Tecate</v>
          </cell>
          <cell r="B107" t="str">
            <v>Bergen &amp; Passaic</v>
          </cell>
        </row>
        <row r="108">
          <cell r="A108" t="str">
            <v>Tecate Light</v>
          </cell>
          <cell r="B108" t="str">
            <v>Bergen &amp; Passaic</v>
          </cell>
        </row>
        <row r="109">
          <cell r="A109" t="str">
            <v>Amstel</v>
          </cell>
          <cell r="B109" t="str">
            <v>Core + Morris Communities</v>
          </cell>
        </row>
        <row r="110">
          <cell r="A110" t="str">
            <v>Daura</v>
          </cell>
          <cell r="B110" t="str">
            <v>Core + Morris Communities</v>
          </cell>
        </row>
        <row r="111">
          <cell r="A111" t="str">
            <v>Heineken 0.0</v>
          </cell>
          <cell r="B111" t="str">
            <v>Core + Morris Communities</v>
          </cell>
        </row>
        <row r="112">
          <cell r="A112" t="str">
            <v>Heineken 0.0 Ultimate</v>
          </cell>
          <cell r="B112" t="str">
            <v>Core + Morris Communities</v>
          </cell>
        </row>
        <row r="113">
          <cell r="A113" t="str">
            <v>Heineken USA</v>
          </cell>
          <cell r="B113" t="str">
            <v>Core + Morris Communities</v>
          </cell>
        </row>
        <row r="114">
          <cell r="A114" t="str">
            <v>Heineken Light</v>
          </cell>
          <cell r="B114" t="str">
            <v>Core + Morris Communities</v>
          </cell>
        </row>
        <row r="115">
          <cell r="A115" t="str">
            <v>Heineken Silver</v>
          </cell>
          <cell r="B115" t="str">
            <v>Core + Morris Communities</v>
          </cell>
        </row>
        <row r="116">
          <cell r="A116" t="str">
            <v>Lagunitas</v>
          </cell>
          <cell r="B116" t="str">
            <v>Core + Morris Communities</v>
          </cell>
        </row>
        <row r="117">
          <cell r="A117" t="str">
            <v>Lagunitas NA</v>
          </cell>
          <cell r="B117" t="str">
            <v>Core + Morris Communities</v>
          </cell>
        </row>
        <row r="118">
          <cell r="A118" t="str">
            <v>Birra Moretti</v>
          </cell>
          <cell r="B118" t="str">
            <v>Core + Morris Communities</v>
          </cell>
        </row>
        <row r="119">
          <cell r="A119" t="str">
            <v>Murphy's</v>
          </cell>
          <cell r="B119" t="str">
            <v>Core + Morris Communities</v>
          </cell>
        </row>
        <row r="120">
          <cell r="A120" t="str">
            <v>Red Stripe</v>
          </cell>
          <cell r="B120" t="str">
            <v>Core + Morris Communities</v>
          </cell>
        </row>
        <row r="121">
          <cell r="A121" t="str">
            <v>Sagres Cerveja</v>
          </cell>
          <cell r="B121" t="str">
            <v>Core + Morris Communities</v>
          </cell>
        </row>
        <row r="122">
          <cell r="A122" t="str">
            <v>Strongbow</v>
          </cell>
          <cell r="B122" t="str">
            <v>Core + Morris Communities</v>
          </cell>
        </row>
        <row r="123">
          <cell r="A123" t="str">
            <v>1911 Hard Cider</v>
          </cell>
          <cell r="B123" t="str">
            <v>All Counties</v>
          </cell>
        </row>
        <row r="124">
          <cell r="A124" t="str">
            <v>Aguila Import</v>
          </cell>
          <cell r="B124" t="str">
            <v>All Counties</v>
          </cell>
        </row>
        <row r="125">
          <cell r="A125" t="str">
            <v>Alias Brew Works</v>
          </cell>
          <cell r="B125" t="str">
            <v>All Counties</v>
          </cell>
        </row>
        <row r="126">
          <cell r="A126" t="str">
            <v>Alte Beverage</v>
          </cell>
          <cell r="B126" t="str">
            <v>All Counties</v>
          </cell>
        </row>
        <row r="127">
          <cell r="A127" t="str">
            <v>Arizona Hard</v>
          </cell>
          <cell r="B127" t="str">
            <v>All Counties</v>
          </cell>
        </row>
        <row r="128">
          <cell r="A128" t="str">
            <v>Augustiner</v>
          </cell>
          <cell r="B128" t="str">
            <v>All Counties</v>
          </cell>
        </row>
        <row r="129">
          <cell r="A129" t="str">
            <v>Baptist Wit</v>
          </cell>
          <cell r="B129" t="str">
            <v>All Counties</v>
          </cell>
        </row>
        <row r="130">
          <cell r="A130" t="str">
            <v>Barn Brew</v>
          </cell>
          <cell r="B130" t="str">
            <v>All Counties</v>
          </cell>
        </row>
        <row r="131">
          <cell r="A131" t="str">
            <v>Bavik</v>
          </cell>
          <cell r="B131" t="str">
            <v>All Counties</v>
          </cell>
        </row>
        <row r="132">
          <cell r="A132" t="str">
            <v>Beckett's D9</v>
          </cell>
          <cell r="B132" t="str">
            <v>All Counties</v>
          </cell>
        </row>
        <row r="133">
          <cell r="A133" t="str">
            <v>Belize Breeze</v>
          </cell>
          <cell r="B133" t="str">
            <v>All Counties</v>
          </cell>
        </row>
        <row r="134">
          <cell r="A134" t="str">
            <v>Bella Ray</v>
          </cell>
          <cell r="B134" t="str">
            <v>All Counties</v>
          </cell>
        </row>
        <row r="135">
          <cell r="A135" t="str">
            <v>Big Mans Brew</v>
          </cell>
          <cell r="B135" t="str">
            <v>All Counties</v>
          </cell>
        </row>
        <row r="136">
          <cell r="A136" t="str">
            <v>BJ'S Private Label Brewa</v>
          </cell>
          <cell r="B136" t="str">
            <v>All Counties</v>
          </cell>
        </row>
        <row r="137">
          <cell r="A137" t="str">
            <v>Bodega Chiller</v>
          </cell>
          <cell r="B137" t="str">
            <v>All Counties</v>
          </cell>
        </row>
        <row r="138">
          <cell r="A138" t="str">
            <v>Bodega Quarters</v>
          </cell>
          <cell r="B138" t="str">
            <v>All Counties</v>
          </cell>
        </row>
        <row r="139">
          <cell r="A139" t="str">
            <v>Boldt Infused D9</v>
          </cell>
          <cell r="B139" t="str">
            <v>All Counties</v>
          </cell>
        </row>
        <row r="140">
          <cell r="A140" t="str">
            <v>Brewt's</v>
          </cell>
          <cell r="B140" t="str">
            <v>All Counties</v>
          </cell>
        </row>
        <row r="141">
          <cell r="A141" t="str">
            <v>Brio</v>
          </cell>
          <cell r="B141" t="str">
            <v>All Counties</v>
          </cell>
        </row>
        <row r="142">
          <cell r="A142" t="str">
            <v>Buzbee's</v>
          </cell>
          <cell r="B142" t="str">
            <v>All Counties</v>
          </cell>
        </row>
        <row r="143">
          <cell r="A143" t="str">
            <v>Calise</v>
          </cell>
          <cell r="B143" t="str">
            <v>All Counties</v>
          </cell>
        </row>
        <row r="144">
          <cell r="A144" t="str">
            <v>Carib</v>
          </cell>
          <cell r="B144" t="str">
            <v>All Counties</v>
          </cell>
        </row>
        <row r="145">
          <cell r="A145" t="str">
            <v>Charro</v>
          </cell>
          <cell r="B145" t="str">
            <v>All Counties</v>
          </cell>
        </row>
        <row r="146">
          <cell r="A146" t="str">
            <v>Chateau Diana</v>
          </cell>
          <cell r="B146" t="str">
            <v>All Counties</v>
          </cell>
        </row>
        <row r="147">
          <cell r="A147" t="str">
            <v>Clausthaler</v>
          </cell>
          <cell r="B147" t="str">
            <v>All Counties</v>
          </cell>
        </row>
        <row r="148">
          <cell r="A148" t="str">
            <v>Food &amp; Bev</v>
          </cell>
          <cell r="B148" t="str">
            <v>All Counties</v>
          </cell>
        </row>
        <row r="149">
          <cell r="A149" t="str">
            <v>Coastal Cocktails</v>
          </cell>
          <cell r="B149" t="str">
            <v>All Counties</v>
          </cell>
        </row>
        <row r="150">
          <cell r="A150" t="str">
            <v>Colt 45</v>
          </cell>
          <cell r="B150" t="str">
            <v>All Counties</v>
          </cell>
        </row>
        <row r="151">
          <cell r="A151" t="str">
            <v>Costenita</v>
          </cell>
          <cell r="B151" t="str">
            <v>All Counties</v>
          </cell>
        </row>
        <row r="152">
          <cell r="A152" t="str">
            <v>Country Club</v>
          </cell>
          <cell r="B152" t="str">
            <v>All Counties</v>
          </cell>
        </row>
        <row r="153">
          <cell r="A153" t="str">
            <v>Crescent 9</v>
          </cell>
          <cell r="B153" t="str">
            <v>All Counties</v>
          </cell>
        </row>
        <row r="154">
          <cell r="A154" t="str">
            <v>Cricket Hill</v>
          </cell>
          <cell r="B154" t="str">
            <v>All Counties</v>
          </cell>
        </row>
        <row r="155">
          <cell r="A155" t="str">
            <v>Crook&amp;Marker</v>
          </cell>
          <cell r="B155" t="str">
            <v>All Counties</v>
          </cell>
        </row>
        <row r="156">
          <cell r="A156" t="str">
            <v>Crooked Tea</v>
          </cell>
          <cell r="B156" t="str">
            <v>All Counties</v>
          </cell>
        </row>
        <row r="157">
          <cell r="A157" t="str">
            <v>Crooked Beverage</v>
          </cell>
          <cell r="B157" t="str">
            <v>All Counties</v>
          </cell>
        </row>
        <row r="158">
          <cell r="A158" t="str">
            <v>Dab</v>
          </cell>
          <cell r="B158" t="str">
            <v>All Counties</v>
          </cell>
        </row>
        <row r="159">
          <cell r="A159" t="str">
            <v>Day Chaser</v>
          </cell>
          <cell r="B159" t="str">
            <v>All Counties</v>
          </cell>
        </row>
        <row r="160">
          <cell r="A160" t="str">
            <v>Defiant</v>
          </cell>
          <cell r="B160" t="str">
            <v>All Counties</v>
          </cell>
        </row>
        <row r="161">
          <cell r="A161" t="str">
            <v>Delta</v>
          </cell>
          <cell r="B161" t="str">
            <v>All Counties</v>
          </cell>
        </row>
        <row r="162">
          <cell r="A162" t="str">
            <v>Desquite</v>
          </cell>
          <cell r="B162" t="str">
            <v>All Counties</v>
          </cell>
        </row>
        <row r="163">
          <cell r="A163" t="str">
            <v>Dewey Crush</v>
          </cell>
          <cell r="B163" t="str">
            <v>All Counties</v>
          </cell>
        </row>
        <row r="164">
          <cell r="A164" t="str">
            <v>Doc's</v>
          </cell>
          <cell r="B164" t="str">
            <v>All Counties</v>
          </cell>
        </row>
        <row r="165">
          <cell r="A165" t="str">
            <v>Dragon Stout</v>
          </cell>
          <cell r="B165" t="str">
            <v>All Counties</v>
          </cell>
        </row>
        <row r="166">
          <cell r="A166" t="str">
            <v>Duclaw</v>
          </cell>
          <cell r="B166" t="str">
            <v>All Counties</v>
          </cell>
        </row>
        <row r="167">
          <cell r="A167" t="str">
            <v>Ecaana</v>
          </cell>
          <cell r="B167" t="str">
            <v>All Counties</v>
          </cell>
        </row>
        <row r="168">
          <cell r="A168" t="str">
            <v>Efes</v>
          </cell>
          <cell r="B168" t="str">
            <v>All Counties</v>
          </cell>
        </row>
        <row r="169">
          <cell r="A169" t="str">
            <v>EL Jimador</v>
          </cell>
          <cell r="B169" t="str">
            <v>All Counties</v>
          </cell>
        </row>
        <row r="170">
          <cell r="A170" t="str">
            <v>Eleven20 Tequila</v>
          </cell>
          <cell r="B170" t="str">
            <v>All Counties</v>
          </cell>
        </row>
        <row r="171">
          <cell r="A171" t="str">
            <v>Evil Genius</v>
          </cell>
          <cell r="B171" t="str">
            <v>All Counties</v>
          </cell>
        </row>
        <row r="172">
          <cell r="A172" t="str">
            <v>Five O'Clock</v>
          </cell>
          <cell r="B172" t="str">
            <v>All Counties</v>
          </cell>
        </row>
        <row r="173">
          <cell r="A173" t="str">
            <v>Fizzy Jane</v>
          </cell>
          <cell r="B173" t="str">
            <v>All Counties</v>
          </cell>
        </row>
        <row r="174">
          <cell r="A174" t="str">
            <v>Flying Dog Brewing Co</v>
          </cell>
          <cell r="B174" t="str">
            <v>All Counties</v>
          </cell>
        </row>
        <row r="175">
          <cell r="A175" t="str">
            <v>Forged Irish Stout</v>
          </cell>
          <cell r="B175" t="str">
            <v>All Counties</v>
          </cell>
        </row>
        <row r="176">
          <cell r="A176" t="str">
            <v>Friday Beers</v>
          </cell>
          <cell r="B176" t="str">
            <v>All Counties</v>
          </cell>
        </row>
        <row r="177">
          <cell r="A177" t="str">
            <v>Garage Beer</v>
          </cell>
          <cell r="B177" t="str">
            <v>All Counties</v>
          </cell>
        </row>
        <row r="178">
          <cell r="A178" t="str">
            <v>Gin Pig</v>
          </cell>
          <cell r="B178" t="str">
            <v>All Counties</v>
          </cell>
        </row>
        <row r="179">
          <cell r="A179" t="str">
            <v>Good Supply</v>
          </cell>
          <cell r="B179" t="str">
            <v>All Counties</v>
          </cell>
        </row>
        <row r="180">
          <cell r="A180" t="str">
            <v>Great Lakes</v>
          </cell>
          <cell r="B180" t="str">
            <v>All Counties</v>
          </cell>
        </row>
        <row r="181">
          <cell r="A181" t="str">
            <v>Guaname Rompope</v>
          </cell>
          <cell r="B181" t="str">
            <v>All Counties</v>
          </cell>
        </row>
        <row r="182">
          <cell r="A182" t="str">
            <v>Gulden Draak</v>
          </cell>
          <cell r="B182" t="str">
            <v>All Counties</v>
          </cell>
        </row>
        <row r="183">
          <cell r="A183" t="str">
            <v>Happy Flower</v>
          </cell>
          <cell r="B183" t="str">
            <v>All Counties</v>
          </cell>
        </row>
        <row r="184">
          <cell r="A184" t="str">
            <v>Hectare's</v>
          </cell>
          <cell r="B184" t="str">
            <v>All Counties</v>
          </cell>
        </row>
        <row r="185">
          <cell r="A185" t="str">
            <v>Herb &amp; Bloom</v>
          </cell>
          <cell r="B185" t="str">
            <v>All Counties</v>
          </cell>
        </row>
        <row r="186">
          <cell r="A186" t="str">
            <v>Hofbrau Usa</v>
          </cell>
          <cell r="B186" t="str">
            <v>All Counties</v>
          </cell>
        </row>
        <row r="187">
          <cell r="A187" t="str">
            <v>Greek Spirits</v>
          </cell>
          <cell r="B187" t="str">
            <v>All Counties</v>
          </cell>
        </row>
        <row r="188">
          <cell r="A188" t="str">
            <v>Jack Daniels Country Cocktails</v>
          </cell>
          <cell r="B188" t="str">
            <v>All Counties</v>
          </cell>
        </row>
        <row r="189">
          <cell r="A189" t="str">
            <v>Jerzey Jungle</v>
          </cell>
          <cell r="B189" t="str">
            <v>All Counties</v>
          </cell>
        </row>
        <row r="190">
          <cell r="A190" t="str">
            <v>Kingfisher Premium</v>
          </cell>
          <cell r="B190" t="str">
            <v>All Counties</v>
          </cell>
        </row>
        <row r="191">
          <cell r="A191" t="str">
            <v>Krusovice</v>
          </cell>
          <cell r="B191" t="str">
            <v>All Counties</v>
          </cell>
        </row>
        <row r="192">
          <cell r="A192" t="str">
            <v>Lark Infused D9</v>
          </cell>
          <cell r="B192" t="str">
            <v>All Counties</v>
          </cell>
        </row>
        <row r="193">
          <cell r="A193" t="str">
            <v>Whitecap</v>
          </cell>
          <cell r="B193" t="str">
            <v>All Counties</v>
          </cell>
        </row>
        <row r="194">
          <cell r="A194" t="str">
            <v>Lone Star</v>
          </cell>
          <cell r="B194" t="str">
            <v>All Counties</v>
          </cell>
        </row>
        <row r="195">
          <cell r="A195" t="str">
            <v>Long Trail</v>
          </cell>
          <cell r="B195" t="str">
            <v>All Counties</v>
          </cell>
        </row>
        <row r="196">
          <cell r="A196" t="str">
            <v>Caravella</v>
          </cell>
          <cell r="B196" t="str">
            <v>All Counties</v>
          </cell>
        </row>
        <row r="197">
          <cell r="A197" t="str">
            <v>Mackeson</v>
          </cell>
          <cell r="B197" t="str">
            <v>All Counties</v>
          </cell>
        </row>
        <row r="198">
          <cell r="A198" t="str">
            <v>Magners</v>
          </cell>
          <cell r="B198" t="str">
            <v>All Counties</v>
          </cell>
        </row>
        <row r="199">
          <cell r="A199" t="str">
            <v>Malibu Splash</v>
          </cell>
          <cell r="B199" t="str">
            <v>All Counties</v>
          </cell>
        </row>
        <row r="200">
          <cell r="A200" t="str">
            <v>Mckenzie's</v>
          </cell>
          <cell r="B200" t="str">
            <v>All Counties</v>
          </cell>
        </row>
        <row r="201">
          <cell r="A201" t="str">
            <v>Molly's</v>
          </cell>
          <cell r="B201" t="str">
            <v>All Counties</v>
          </cell>
        </row>
        <row r="202">
          <cell r="A202" t="str">
            <v>Montauk</v>
          </cell>
          <cell r="B202" t="str">
            <v>All Counties</v>
          </cell>
        </row>
        <row r="203">
          <cell r="A203" t="str">
            <v>Monte Xanic</v>
          </cell>
          <cell r="B203" t="str">
            <v>All Counties</v>
          </cell>
        </row>
        <row r="204">
          <cell r="A204" t="str">
            <v>Mythos</v>
          </cell>
          <cell r="B204" t="str">
            <v>All Counties</v>
          </cell>
        </row>
        <row r="205">
          <cell r="A205" t="str">
            <v>New Holland Brewing Co</v>
          </cell>
          <cell r="B205" t="str">
            <v>All Counties</v>
          </cell>
        </row>
        <row r="206">
          <cell r="A206" t="str">
            <v>Newburgh</v>
          </cell>
          <cell r="B206" t="str">
            <v>All Counties</v>
          </cell>
        </row>
        <row r="207">
          <cell r="A207" t="str">
            <v>Small Town</v>
          </cell>
          <cell r="B207" t="str">
            <v>All Counties</v>
          </cell>
        </row>
        <row r="208">
          <cell r="A208" t="str">
            <v>Old Milwaukee</v>
          </cell>
          <cell r="B208" t="str">
            <v>All Counties</v>
          </cell>
        </row>
        <row r="209">
          <cell r="A209" t="str">
            <v>Otter Creek</v>
          </cell>
          <cell r="B209" t="str">
            <v>All Counties</v>
          </cell>
        </row>
        <row r="210">
          <cell r="A210" t="str">
            <v>OVO Vodka</v>
          </cell>
          <cell r="B210" t="str">
            <v>All Counties</v>
          </cell>
        </row>
        <row r="211">
          <cell r="A211" t="str">
            <v>Pabst Blue Ribbon</v>
          </cell>
          <cell r="B211" t="str">
            <v>All Counties</v>
          </cell>
        </row>
        <row r="212">
          <cell r="A212" t="str">
            <v>Pabst Light</v>
          </cell>
          <cell r="B212" t="str">
            <v>All Counties</v>
          </cell>
        </row>
        <row r="213">
          <cell r="A213" t="str">
            <v>Palma</v>
          </cell>
          <cell r="B213" t="str">
            <v>All Counties</v>
          </cell>
        </row>
        <row r="214">
          <cell r="A214" t="str">
            <v>Paradisse</v>
          </cell>
          <cell r="B214" t="str">
            <v>All Counties</v>
          </cell>
        </row>
        <row r="215">
          <cell r="A215" t="str">
            <v>Petrus</v>
          </cell>
          <cell r="B215" t="str">
            <v>All Counties</v>
          </cell>
        </row>
        <row r="216">
          <cell r="A216" t="str">
            <v>Piraat</v>
          </cell>
          <cell r="B216" t="str">
            <v>All Counties</v>
          </cell>
        </row>
        <row r="217">
          <cell r="A217" t="str">
            <v>Whole Hog</v>
          </cell>
          <cell r="B217" t="str">
            <v>All Counties</v>
          </cell>
        </row>
        <row r="218">
          <cell r="A218" t="str">
            <v>Poker Import</v>
          </cell>
          <cell r="B218" t="str">
            <v>All Counties</v>
          </cell>
        </row>
        <row r="219">
          <cell r="A219" t="str">
            <v>Pop Sips</v>
          </cell>
          <cell r="B219" t="str">
            <v>All Counties</v>
          </cell>
        </row>
        <row r="220">
          <cell r="A220" t="str">
            <v>Pride &amp; Clarke</v>
          </cell>
          <cell r="B220" t="str">
            <v>All Counties</v>
          </cell>
        </row>
        <row r="221">
          <cell r="A221" t="str">
            <v>Quilmes</v>
          </cell>
          <cell r="B221" t="str">
            <v>All Counties</v>
          </cell>
        </row>
        <row r="222">
          <cell r="A222" t="str">
            <v>Radeberger</v>
          </cell>
          <cell r="B222" t="str">
            <v>All Counties</v>
          </cell>
        </row>
        <row r="223">
          <cell r="A223" t="str">
            <v>Right Coast</v>
          </cell>
          <cell r="B223" t="str">
            <v>All Counties</v>
          </cell>
        </row>
        <row r="224">
          <cell r="A224" t="str">
            <v>River Horse Brewing Co</v>
          </cell>
          <cell r="B224" t="str">
            <v>All Counties</v>
          </cell>
        </row>
        <row r="225">
          <cell r="A225" t="str">
            <v>Rusted Revolver</v>
          </cell>
          <cell r="B225" t="str">
            <v>All Counties</v>
          </cell>
        </row>
        <row r="226">
          <cell r="A226" t="str">
            <v>Sapporo</v>
          </cell>
          <cell r="B226" t="str">
            <v>All Counties</v>
          </cell>
        </row>
        <row r="227">
          <cell r="A227" t="str">
            <v>Saranac</v>
          </cell>
          <cell r="B227" t="str">
            <v>All Counties</v>
          </cell>
        </row>
        <row r="228">
          <cell r="A228" t="str">
            <v>Saratoga</v>
          </cell>
          <cell r="B228" t="str">
            <v>All Counties</v>
          </cell>
        </row>
        <row r="229">
          <cell r="A229" t="str">
            <v>Schaefer</v>
          </cell>
          <cell r="B229" t="str">
            <v>All Counties</v>
          </cell>
        </row>
        <row r="230">
          <cell r="A230" t="str">
            <v>Schlitz Malt</v>
          </cell>
          <cell r="B230" t="str">
            <v>All Counties</v>
          </cell>
        </row>
        <row r="231">
          <cell r="A231" t="str">
            <v>Schofferhofer</v>
          </cell>
          <cell r="B231" t="str">
            <v>All Counties</v>
          </cell>
        </row>
        <row r="232">
          <cell r="A232" t="str">
            <v>Source Brewing</v>
          </cell>
          <cell r="B232" t="str">
            <v>All Counties</v>
          </cell>
        </row>
        <row r="233">
          <cell r="A233" t="str">
            <v>St Ides</v>
          </cell>
          <cell r="B233" t="str">
            <v>All Counties</v>
          </cell>
        </row>
        <row r="234">
          <cell r="A234" t="str">
            <v>Stiegl</v>
          </cell>
          <cell r="B234" t="str">
            <v>All Counties</v>
          </cell>
        </row>
        <row r="235">
          <cell r="A235" t="str">
            <v>Striped Pig</v>
          </cell>
          <cell r="B235" t="str">
            <v>All Counties</v>
          </cell>
        </row>
        <row r="236">
          <cell r="A236" t="str">
            <v>Sullivan's</v>
          </cell>
          <cell r="B236" t="str">
            <v>All Counties</v>
          </cell>
        </row>
        <row r="237">
          <cell r="A237" t="str">
            <v>Talkhouse Encore</v>
          </cell>
          <cell r="B237" t="str">
            <v>All Counties</v>
          </cell>
        </row>
        <row r="238">
          <cell r="A238" t="str">
            <v>The Garden State Experience</v>
          </cell>
          <cell r="B238" t="str">
            <v>All Counties</v>
          </cell>
        </row>
        <row r="239">
          <cell r="A239" t="str">
            <v>The Old G</v>
          </cell>
          <cell r="B239" t="str">
            <v>All Counties</v>
          </cell>
        </row>
        <row r="240">
          <cell r="A240" t="str">
            <v>Van Steenberge</v>
          </cell>
          <cell r="B240" t="str">
            <v>All Counties</v>
          </cell>
        </row>
        <row r="241">
          <cell r="A241" t="str">
            <v>Tsingtao</v>
          </cell>
          <cell r="B241" t="str">
            <v>All Counties</v>
          </cell>
        </row>
        <row r="242">
          <cell r="A242" t="str">
            <v>Viva Tequila Seltzer</v>
          </cell>
          <cell r="B242" t="str">
            <v>All Counties</v>
          </cell>
        </row>
        <row r="243">
          <cell r="A243" t="str">
            <v>Vodka Hog</v>
          </cell>
          <cell r="B243" t="str">
            <v>All Counties</v>
          </cell>
        </row>
        <row r="244">
          <cell r="A244" t="str">
            <v>Warwick Gin</v>
          </cell>
          <cell r="B244" t="str">
            <v>All Counties</v>
          </cell>
        </row>
        <row r="245">
          <cell r="A245" t="str">
            <v>Waterloo Gin</v>
          </cell>
          <cell r="B245" t="str">
            <v>All Counties</v>
          </cell>
        </row>
        <row r="246">
          <cell r="A246" t="str">
            <v>Woodchuck</v>
          </cell>
          <cell r="B246" t="str">
            <v>All Counties</v>
          </cell>
        </row>
        <row r="247">
          <cell r="A247" t="str">
            <v>Cerveza Republica LA Tuya</v>
          </cell>
          <cell r="B247" t="str">
            <v>All Counties + Middlesex</v>
          </cell>
        </row>
        <row r="248">
          <cell r="A248" t="str">
            <v>Cerveza Republica La Tuya 5.0 La Dura</v>
          </cell>
          <cell r="B248" t="str">
            <v>All Counties + Middlesex</v>
          </cell>
        </row>
        <row r="249">
          <cell r="A249" t="str">
            <v>Czechvar</v>
          </cell>
          <cell r="B249" t="str">
            <v>Metro Five County</v>
          </cell>
        </row>
        <row r="250">
          <cell r="A250" t="str">
            <v>Daura</v>
          </cell>
          <cell r="B250" t="str">
            <v>Metro Five County</v>
          </cell>
        </row>
        <row r="251">
          <cell r="A251" t="str">
            <v>Estrella</v>
          </cell>
          <cell r="B251" t="str">
            <v>Metro Five County</v>
          </cell>
        </row>
        <row r="252">
          <cell r="A252" t="str">
            <v>Famosa</v>
          </cell>
          <cell r="B252" t="str">
            <v>Metro Five County</v>
          </cell>
        </row>
        <row r="253">
          <cell r="A253" t="str">
            <v>Genesee</v>
          </cell>
          <cell r="B253" t="str">
            <v>Metro Five County</v>
          </cell>
        </row>
        <row r="254">
          <cell r="A254" t="str">
            <v>Imperial</v>
          </cell>
          <cell r="B254" t="str">
            <v>Metro Five County</v>
          </cell>
        </row>
        <row r="255">
          <cell r="A255" t="str">
            <v>La Tropical</v>
          </cell>
          <cell r="B255" t="str">
            <v>Metro Five County</v>
          </cell>
        </row>
        <row r="256">
          <cell r="A256" t="str">
            <v>Flying Fish</v>
          </cell>
          <cell r="B256" t="str">
            <v>Metro Less West Milford Area</v>
          </cell>
        </row>
        <row r="257">
          <cell r="A257" t="str">
            <v>Travelers Club</v>
          </cell>
          <cell r="B257" t="str">
            <v>Metro Less West Milford Area</v>
          </cell>
        </row>
        <row r="258">
          <cell r="A258" t="str">
            <v>Earthquake</v>
          </cell>
          <cell r="B258" t="str">
            <v>Core Less Essex (Alt)</v>
          </cell>
        </row>
        <row r="259">
          <cell r="A259" t="str">
            <v>Four Loko</v>
          </cell>
          <cell r="B259" t="str">
            <v>Core Less Essex (Alt)</v>
          </cell>
        </row>
        <row r="260">
          <cell r="A260" t="str">
            <v>Mamita's</v>
          </cell>
          <cell r="B260" t="str">
            <v>Core Less Essex (Alt)</v>
          </cell>
        </row>
        <row r="261">
          <cell r="A261" t="str">
            <v>Banks</v>
          </cell>
          <cell r="B261" t="str">
            <v>Bergen/Passaic/Hudson/Essex</v>
          </cell>
        </row>
        <row r="262">
          <cell r="A262" t="str">
            <v>Bold Rock</v>
          </cell>
          <cell r="B262" t="str">
            <v>Bergen/Passaic/Hudson/Essex</v>
          </cell>
        </row>
        <row r="263">
          <cell r="A263" t="str">
            <v>Citizen Cider</v>
          </cell>
          <cell r="B263" t="str">
            <v>Bergen/Passaic/Hudson/Essex</v>
          </cell>
        </row>
        <row r="264">
          <cell r="A264" t="str">
            <v>Fuller's</v>
          </cell>
          <cell r="B264" t="str">
            <v>Bergen/Passaic/Hudson/Essex</v>
          </cell>
        </row>
        <row r="265">
          <cell r="A265" t="str">
            <v>Hacker-Pschorr</v>
          </cell>
          <cell r="B265" t="str">
            <v>Bergen/Passaic/Hudson/Essex</v>
          </cell>
        </row>
        <row r="266">
          <cell r="A266" t="str">
            <v>Ithaca</v>
          </cell>
          <cell r="B266" t="str">
            <v>Bergen/Passaic/Hudson/Essex</v>
          </cell>
        </row>
        <row r="267">
          <cell r="A267" t="str">
            <v>Mckenzie's</v>
          </cell>
          <cell r="B267" t="str">
            <v>Bergen/Passaic/Hudson/Essex</v>
          </cell>
        </row>
        <row r="268">
          <cell r="A268" t="str">
            <v>Paulaner</v>
          </cell>
          <cell r="B268" t="str">
            <v>Bergen/Passaic/Hudson/Essex</v>
          </cell>
        </row>
        <row r="269">
          <cell r="A269" t="str">
            <v>Rekorderlig</v>
          </cell>
          <cell r="B269" t="str">
            <v>Bergen/Passaic/Hudson/Essex</v>
          </cell>
        </row>
        <row r="270">
          <cell r="A270" t="str">
            <v>Shipyard</v>
          </cell>
          <cell r="B270" t="str">
            <v>Bergen/Passaic/Hudson/Essex</v>
          </cell>
        </row>
        <row r="271">
          <cell r="A271" t="str">
            <v>Sixpoint</v>
          </cell>
          <cell r="B271" t="str">
            <v>Bergen/Passaic/Hudson/Essex</v>
          </cell>
        </row>
        <row r="272">
          <cell r="A272" t="str">
            <v>Southern Tier</v>
          </cell>
          <cell r="B272" t="str">
            <v>Bergen/Passaic/Hudson/Essex</v>
          </cell>
        </row>
        <row r="273">
          <cell r="A273" t="str">
            <v>Southern Tier Distilling</v>
          </cell>
          <cell r="B273" t="str">
            <v>Bergen/Passaic/Hudson/Essex</v>
          </cell>
        </row>
        <row r="274">
          <cell r="A274" t="str">
            <v>Stone Brewing</v>
          </cell>
          <cell r="B274" t="str">
            <v>Bergen/Passaic/Hudson/Essex</v>
          </cell>
        </row>
        <row r="275">
          <cell r="A275" t="str">
            <v>Unibroue</v>
          </cell>
          <cell r="B275" t="str">
            <v>Bergen/Passaic/Hudson/Essex</v>
          </cell>
        </row>
        <row r="276">
          <cell r="A276" t="str">
            <v>Monkey Family</v>
          </cell>
          <cell r="B276" t="str">
            <v>Bergen/Passaic/Hudson/Essex</v>
          </cell>
        </row>
        <row r="277">
          <cell r="A277" t="str">
            <v>Victory</v>
          </cell>
          <cell r="B277" t="str">
            <v>Bergen/Passaic/Hudson/Essex</v>
          </cell>
        </row>
        <row r="278">
          <cell r="A278" t="str">
            <v>Weihenstephaner</v>
          </cell>
          <cell r="B278" t="str">
            <v>Bergen/Passaic/Hudson/Essex</v>
          </cell>
        </row>
        <row r="279">
          <cell r="A279" t="str">
            <v>Popsicle Hard</v>
          </cell>
          <cell r="B279" t="str">
            <v>Core Market</v>
          </cell>
        </row>
        <row r="280">
          <cell r="A280" t="str">
            <v>Slow &amp; Low</v>
          </cell>
          <cell r="B280" t="str">
            <v>Core Market</v>
          </cell>
        </row>
        <row r="281">
          <cell r="A281" t="str">
            <v>2XO</v>
          </cell>
          <cell r="B281" t="str">
            <v>All Counties</v>
          </cell>
        </row>
        <row r="282">
          <cell r="A282" t="str">
            <v>Beviamo</v>
          </cell>
          <cell r="B282" t="str">
            <v>Core Market</v>
          </cell>
        </row>
        <row r="283">
          <cell r="A283" t="str">
            <v>Gionelli</v>
          </cell>
          <cell r="B283" t="str">
            <v>Core Market</v>
          </cell>
        </row>
        <row r="284">
          <cell r="A284" t="str">
            <v>Carinoso</v>
          </cell>
          <cell r="B284" t="str">
            <v>All Counties + Middlesex</v>
          </cell>
        </row>
        <row r="285">
          <cell r="A285" t="str">
            <v>Lock Stock &amp; Barrel</v>
          </cell>
          <cell r="B285" t="str">
            <v>Core Market</v>
          </cell>
        </row>
        <row r="286">
          <cell r="A286" t="str">
            <v>Shabo Wine</v>
          </cell>
          <cell r="B286" t="str">
            <v>Core Market</v>
          </cell>
        </row>
        <row r="287">
          <cell r="A287" t="str">
            <v>Hetman Vodka</v>
          </cell>
          <cell r="B287" t="str">
            <v>Core Market</v>
          </cell>
        </row>
        <row r="288">
          <cell r="A288" t="str">
            <v>Ukrainian Spirit</v>
          </cell>
          <cell r="B288" t="str">
            <v>Core Market</v>
          </cell>
        </row>
        <row r="289">
          <cell r="A289" t="str">
            <v>Source It's A Me</v>
          </cell>
          <cell r="B289" t="str">
            <v>All Counties</v>
          </cell>
        </row>
        <row r="290">
          <cell r="A290" t="str">
            <v>Source Ultra Citra</v>
          </cell>
          <cell r="B290" t="str">
            <v>All Counties</v>
          </cell>
        </row>
        <row r="291">
          <cell r="A291" t="str">
            <v>Source Jersey Lager</v>
          </cell>
          <cell r="B291" t="str">
            <v>All Counties</v>
          </cell>
        </row>
        <row r="292">
          <cell r="A292" t="str">
            <v>Flying Fish Box of Bones Variety</v>
          </cell>
          <cell r="B292" t="str">
            <v>Metro Less West Milford Area</v>
          </cell>
        </row>
        <row r="293">
          <cell r="A293" t="str">
            <v>Sixpoint Summer Sesh</v>
          </cell>
          <cell r="B293" t="str">
            <v>Bergen/Passaic/Hudson/Essex</v>
          </cell>
        </row>
        <row r="294">
          <cell r="A294" t="str">
            <v>Bloom Bubbles</v>
          </cell>
          <cell r="B294" t="str">
            <v>All Counties</v>
          </cell>
        </row>
        <row r="295">
          <cell r="A295" t="str">
            <v>Poca Loca</v>
          </cell>
          <cell r="B295" t="str">
            <v>All Counties</v>
          </cell>
        </row>
        <row r="296">
          <cell r="A296" t="str">
            <v>2 Canos</v>
          </cell>
          <cell r="B296" t="str">
            <v>All Counties</v>
          </cell>
        </row>
      </sheetData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B18B4-7904-41B0-9EE3-93B57B977524}">
  <sheetPr>
    <tabColor rgb="FFFFFF00"/>
  </sheetPr>
  <dimension ref="A1:G2991"/>
  <sheetViews>
    <sheetView workbookViewId="0">
      <selection activeCell="B31" sqref="B31"/>
    </sheetView>
  </sheetViews>
  <sheetFormatPr defaultRowHeight="12.75" x14ac:dyDescent="0.2"/>
  <cols>
    <col min="1" max="1" width="34.42578125" style="2" bestFit="1" customWidth="1"/>
    <col min="2" max="2" width="12" style="2" bestFit="1" customWidth="1"/>
    <col min="3" max="3" width="27.42578125" style="2" bestFit="1" customWidth="1"/>
    <col min="4" max="4" width="12.140625" style="2" bestFit="1" customWidth="1"/>
    <col min="5" max="5" width="14.85546875" style="2" bestFit="1" customWidth="1"/>
    <col min="6" max="6" width="19.28515625" style="2" bestFit="1" customWidth="1"/>
    <col min="7" max="7" width="46.28515625" style="2" bestFit="1" customWidth="1"/>
    <col min="8" max="16384" width="9.140625" style="2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tr" cm="1">
        <f t="array" ref="A2">INDEX('[1]Brand Family Territory (Enc)'!$A$2:$A$296,INT((ROW()-2)/10)+1)</f>
        <v>Angry Orchard</v>
      </c>
      <c r="B2" s="2" t="str" cm="1">
        <f t="array" ref="B2">INDEX('Whitelist (Blackout Reverse)'!$B$1:$K$1,MOD(ROW()-2,10)+1)</f>
        <v>BERGEN</v>
      </c>
      <c r="C2" s="2" t="str">
        <f>VLOOKUP(A2,'[1]Brand Family Territory (Enc)'!$A$2:$B$296,2,FALSE)</f>
        <v>Core Market</v>
      </c>
      <c r="D2" s="2">
        <f>IF(COUNTIFS('[1]Brand Family Territories (Enc)'!$B$2:$B$62,C2,'[1]Brand Family Territories (Enc)'!$C$2:$C$62,B2)&gt;0,1,IF(AND(LEFT(B2,6)="MORRIS",COUNTIFS('[1]Brand Family Territories (Enc)'!$B$2:$B$62,C2,'[1]Brand Family Territories (Enc)'!$C$2:$C$62,"Morri")&gt;0),"Unk",0))</f>
        <v>1</v>
      </c>
      <c r="E2" s="2" t="str">
        <f>IFERROR(INDEX('Blackout Brand Fam Areas (Enc)'!$D$6:$D$998,MATCH(UPPER(A2)&amp;"|"&amp;UPPER(B2),'Blackout Brand Fam Areas (Enc)'!$G$6:$G$998,0)),"No Match")</f>
        <v>No Match</v>
      </c>
      <c r="F2" s="2" t="str">
        <f>IF(D2="Unk","Ambiguous (Source Truncated)",IF(E2="Inactive","THEM",IF(D2=1,"US",IF(D2="N/A","No Territory Data","THEM"))))</f>
        <v>US</v>
      </c>
      <c r="G2" s="2" t="str">
        <f>A2&amp;"|"&amp;B2</f>
        <v>Angry Orchard|BERGEN</v>
      </c>
    </row>
    <row r="3" spans="1:7" x14ac:dyDescent="0.2">
      <c r="A3" s="2" t="str" cm="1">
        <f t="array" ref="A3">INDEX('[1]Brand Family Territory (Enc)'!$A$2:$A$296,INT((ROW()-2)/10)+1)</f>
        <v>Angry Orchard</v>
      </c>
      <c r="B3" s="2" t="str" cm="1">
        <f t="array" ref="B3">INDEX('Whitelist (Blackout Reverse)'!$B$1:$K$1,MOD(ROW()-2,10)+1)</f>
        <v>PASSAIC</v>
      </c>
      <c r="C3" s="2" t="str">
        <f>VLOOKUP(A3,'[1]Brand Family Territory (Enc)'!$A$2:$B$296,2,FALSE)</f>
        <v>Core Market</v>
      </c>
      <c r="D3" s="2">
        <f>IF(COUNTIFS('[1]Brand Family Territories (Enc)'!$B$2:$B$62,C3,'[1]Brand Family Territories (Enc)'!$C$2:$C$62,B3)&gt;0,1,IF(AND(LEFT(B3,6)="MORRIS",COUNTIFS('[1]Brand Family Territories (Enc)'!$B$2:$B$62,C3,'[1]Brand Family Territories (Enc)'!$C$2:$C$62,"Morri")&gt;0),"Unk",0))</f>
        <v>1</v>
      </c>
      <c r="E3" s="2" t="str">
        <f>IFERROR(INDEX('Blackout Brand Fam Areas (Enc)'!$D$6:$D$998,MATCH(UPPER(A3)&amp;"|"&amp;UPPER(B3),'Blackout Brand Fam Areas (Enc)'!$G$6:$G$998,0)),"No Match")</f>
        <v>No Match</v>
      </c>
      <c r="F3" s="2" t="str">
        <f t="shared" ref="F3:F66" si="0">IF(D3="Unk","Ambiguous (Source Truncated)",IF(E3="Inactive","THEM",IF(D3=1,"US",IF(D3="N/A","No Territory Data","THEM"))))</f>
        <v>US</v>
      </c>
      <c r="G3" s="2" t="str">
        <f t="shared" ref="G3:G66" si="1">A3&amp;"|"&amp;B3</f>
        <v>Angry Orchard|PASSAIC</v>
      </c>
    </row>
    <row r="4" spans="1:7" x14ac:dyDescent="0.2">
      <c r="A4" s="2" t="str" cm="1">
        <f t="array" ref="A4">INDEX('[1]Brand Family Territory (Enc)'!$A$2:$A$296,INT((ROW()-2)/10)+1)</f>
        <v>Angry Orchard</v>
      </c>
      <c r="B4" s="2" t="str" cm="1">
        <f t="array" ref="B4">INDEX('Whitelist (Blackout Reverse)'!$B$1:$K$1,MOD(ROW()-2,10)+1)</f>
        <v>PASSAIC-FF</v>
      </c>
      <c r="C4" s="2" t="str">
        <f>VLOOKUP(A4,'[1]Brand Family Territory (Enc)'!$A$2:$B$296,2,FALSE)</f>
        <v>Core Market</v>
      </c>
      <c r="D4" s="2">
        <f>IF(COUNTIFS('[1]Brand Family Territories (Enc)'!$B$2:$B$62,C4,'[1]Brand Family Territories (Enc)'!$C$2:$C$62,B4)&gt;0,1,IF(AND(LEFT(B4,6)="MORRIS",COUNTIFS('[1]Brand Family Territories (Enc)'!$B$2:$B$62,C4,'[1]Brand Family Territories (Enc)'!$C$2:$C$62,"Morri")&gt;0),"Unk",0))</f>
        <v>1</v>
      </c>
      <c r="E4" s="2" t="str">
        <f>IFERROR(INDEX('Blackout Brand Fam Areas (Enc)'!$D$6:$D$998,MATCH(UPPER(A4)&amp;"|"&amp;UPPER(B4),'Blackout Brand Fam Areas (Enc)'!$G$6:$G$998,0)),"No Match")</f>
        <v>No Match</v>
      </c>
      <c r="F4" s="2" t="str">
        <f t="shared" si="0"/>
        <v>US</v>
      </c>
      <c r="G4" s="2" t="str">
        <f t="shared" si="1"/>
        <v>Angry Orchard|PASSAIC-FF</v>
      </c>
    </row>
    <row r="5" spans="1:7" x14ac:dyDescent="0.2">
      <c r="A5" s="2" t="str" cm="1">
        <f t="array" ref="A5">INDEX('[1]Brand Family Territory (Enc)'!$A$2:$A$296,INT((ROW()-2)/10)+1)</f>
        <v>Angry Orchard</v>
      </c>
      <c r="B5" s="2" t="str" cm="1">
        <f t="array" ref="B5">INDEX('Whitelist (Blackout Reverse)'!$B$1:$K$1,MOD(ROW()-2,10)+1)</f>
        <v>ESSEX</v>
      </c>
      <c r="C5" s="2" t="str">
        <f>VLOOKUP(A5,'[1]Brand Family Territory (Enc)'!$A$2:$B$296,2,FALSE)</f>
        <v>Core Market</v>
      </c>
      <c r="D5" s="2">
        <f>IF(COUNTIFS('[1]Brand Family Territories (Enc)'!$B$2:$B$62,C5,'[1]Brand Family Territories (Enc)'!$C$2:$C$62,B5)&gt;0,1,IF(AND(LEFT(B5,6)="MORRIS",COUNTIFS('[1]Brand Family Territories (Enc)'!$B$2:$B$62,C5,'[1]Brand Family Territories (Enc)'!$C$2:$C$62,"Morri")&gt;0),"Unk",0))</f>
        <v>0</v>
      </c>
      <c r="E5" s="2" t="str">
        <f>IFERROR(INDEX('Blackout Brand Fam Areas (Enc)'!$D$6:$D$998,MATCH(UPPER(A5)&amp;"|"&amp;UPPER(B5),'Blackout Brand Fam Areas (Enc)'!$G$6:$G$998,0)),"No Match")</f>
        <v>Inactive</v>
      </c>
      <c r="F5" s="2" t="str">
        <f t="shared" si="0"/>
        <v>THEM</v>
      </c>
      <c r="G5" s="2" t="str">
        <f t="shared" si="1"/>
        <v>Angry Orchard|ESSEX</v>
      </c>
    </row>
    <row r="6" spans="1:7" x14ac:dyDescent="0.2">
      <c r="A6" s="2" t="str" cm="1">
        <f t="array" ref="A6">INDEX('[1]Brand Family Territory (Enc)'!$A$2:$A$296,INT((ROW()-2)/10)+1)</f>
        <v>Angry Orchard</v>
      </c>
      <c r="B6" s="2" t="str" cm="1">
        <f t="array" ref="B6">INDEX('Whitelist (Blackout Reverse)'!$B$1:$K$1,MOD(ROW()-2,10)+1)</f>
        <v>HUDSON</v>
      </c>
      <c r="C6" s="2" t="str">
        <f>VLOOKUP(A6,'[1]Brand Family Territory (Enc)'!$A$2:$B$296,2,FALSE)</f>
        <v>Core Market</v>
      </c>
      <c r="D6" s="2">
        <f>IF(COUNTIFS('[1]Brand Family Territories (Enc)'!$B$2:$B$62,C6,'[1]Brand Family Territories (Enc)'!$C$2:$C$62,B6)&gt;0,1,IF(AND(LEFT(B6,6)="MORRIS",COUNTIFS('[1]Brand Family Territories (Enc)'!$B$2:$B$62,C6,'[1]Brand Family Territories (Enc)'!$C$2:$C$62,"Morri")&gt;0),"Unk",0))</f>
        <v>0</v>
      </c>
      <c r="E6" s="2" t="str">
        <f>IFERROR(INDEX('Blackout Brand Fam Areas (Enc)'!$D$6:$D$998,MATCH(UPPER(A6)&amp;"|"&amp;UPPER(B6),'Blackout Brand Fam Areas (Enc)'!$G$6:$G$998,0)),"No Match")</f>
        <v>Inactive</v>
      </c>
      <c r="F6" s="2" t="str">
        <f t="shared" si="0"/>
        <v>THEM</v>
      </c>
      <c r="G6" s="2" t="str">
        <f t="shared" si="1"/>
        <v>Angry Orchard|HUDSON</v>
      </c>
    </row>
    <row r="7" spans="1:7" x14ac:dyDescent="0.2">
      <c r="A7" s="2" t="str" cm="1">
        <f t="array" ref="A7">INDEX('[1]Brand Family Territory (Enc)'!$A$2:$A$296,INT((ROW()-2)/10)+1)</f>
        <v>Angry Orchard</v>
      </c>
      <c r="B7" s="2" t="str" cm="1">
        <f t="array" ref="B7">INDEX('Whitelist (Blackout Reverse)'!$B$1:$K$1,MOD(ROW()-2,10)+1)</f>
        <v>UNION</v>
      </c>
      <c r="C7" s="2" t="str">
        <f>VLOOKUP(A7,'[1]Brand Family Territory (Enc)'!$A$2:$B$296,2,FALSE)</f>
        <v>Core Market</v>
      </c>
      <c r="D7" s="2">
        <f>IF(COUNTIFS('[1]Brand Family Territories (Enc)'!$B$2:$B$62,C7,'[1]Brand Family Territories (Enc)'!$C$2:$C$62,B7)&gt;0,1,IF(AND(LEFT(B7,6)="MORRIS",COUNTIFS('[1]Brand Family Territories (Enc)'!$B$2:$B$62,C7,'[1]Brand Family Territories (Enc)'!$C$2:$C$62,"Morri")&gt;0),"Unk",0))</f>
        <v>0</v>
      </c>
      <c r="E7" s="2" t="str">
        <f>IFERROR(INDEX('Blackout Brand Fam Areas (Enc)'!$D$6:$D$998,MATCH(UPPER(A7)&amp;"|"&amp;UPPER(B7),'Blackout Brand Fam Areas (Enc)'!$G$6:$G$998,0)),"No Match")</f>
        <v>Inactive</v>
      </c>
      <c r="F7" s="2" t="str">
        <f t="shared" si="0"/>
        <v>THEM</v>
      </c>
      <c r="G7" s="2" t="str">
        <f t="shared" si="1"/>
        <v>Angry Orchard|UNION</v>
      </c>
    </row>
    <row r="8" spans="1:7" x14ac:dyDescent="0.2">
      <c r="A8" s="2" t="str" cm="1">
        <f t="array" ref="A8">INDEX('[1]Brand Family Territory (Enc)'!$A$2:$A$296,INT((ROW()-2)/10)+1)</f>
        <v>Angry Orchard</v>
      </c>
      <c r="B8" s="2" t="str" cm="1">
        <f t="array" ref="B8">INDEX('Whitelist (Blackout Reverse)'!$B$1:$K$1,MOD(ROW()-2,10)+1)</f>
        <v>SUSSEX</v>
      </c>
      <c r="C8" s="2" t="str">
        <f>VLOOKUP(A8,'[1]Brand Family Territory (Enc)'!$A$2:$B$296,2,FALSE)</f>
        <v>Core Market</v>
      </c>
      <c r="D8" s="2">
        <f>IF(COUNTIFS('[1]Brand Family Territories (Enc)'!$B$2:$B$62,C8,'[1]Brand Family Territories (Enc)'!$C$2:$C$62,B8)&gt;0,1,IF(AND(LEFT(B8,6)="MORRIS",COUNTIFS('[1]Brand Family Territories (Enc)'!$B$2:$B$62,C8,'[1]Brand Family Territories (Enc)'!$C$2:$C$62,"Morri")&gt;0),"Unk",0))</f>
        <v>1</v>
      </c>
      <c r="E8" s="2" t="str">
        <f>IFERROR(INDEX('Blackout Brand Fam Areas (Enc)'!$D$6:$D$998,MATCH(UPPER(A8)&amp;"|"&amp;UPPER(B8),'Blackout Brand Fam Areas (Enc)'!$G$6:$G$998,0)),"No Match")</f>
        <v>No Match</v>
      </c>
      <c r="F8" s="2" t="str">
        <f t="shared" si="0"/>
        <v>US</v>
      </c>
      <c r="G8" s="2" t="str">
        <f t="shared" si="1"/>
        <v>Angry Orchard|SUSSEX</v>
      </c>
    </row>
    <row r="9" spans="1:7" x14ac:dyDescent="0.2">
      <c r="A9" s="2" t="str" cm="1">
        <f t="array" ref="A9">INDEX('[1]Brand Family Territory (Enc)'!$A$2:$A$296,INT((ROW()-2)/10)+1)</f>
        <v>Angry Orchard</v>
      </c>
      <c r="B9" s="2" t="str" cm="1">
        <f t="array" ref="B9">INDEX('Whitelist (Blackout Reverse)'!$B$1:$K$1,MOD(ROW()-2,10)+1)</f>
        <v>MORRIS 1</v>
      </c>
      <c r="C9" s="2" t="str">
        <f>VLOOKUP(A9,'[1]Brand Family Territory (Enc)'!$A$2:$B$296,2,FALSE)</f>
        <v>Core Market</v>
      </c>
      <c r="D9" s="2">
        <f>IF(COUNTIFS('[1]Brand Family Territories (Enc)'!$B$2:$B$62,C9,'[1]Brand Family Territories (Enc)'!$C$2:$C$62,B9)&gt;0,1,IF(AND(LEFT(B9,6)="MORRIS",COUNTIFS('[1]Brand Family Territories (Enc)'!$B$2:$B$62,C9,'[1]Brand Family Territories (Enc)'!$C$2:$C$62,"Morri")&gt;0),"Unk",0))</f>
        <v>1</v>
      </c>
      <c r="E9" s="2" t="str">
        <f>IFERROR(INDEX('Blackout Brand Fam Areas (Enc)'!$D$6:$D$998,MATCH(UPPER(A9)&amp;"|"&amp;UPPER(B9),'Blackout Brand Fam Areas (Enc)'!$G$6:$G$998,0)),"No Match")</f>
        <v>No Match</v>
      </c>
      <c r="F9" s="2" t="str">
        <f t="shared" si="0"/>
        <v>US</v>
      </c>
      <c r="G9" s="2" t="str">
        <f t="shared" si="1"/>
        <v>Angry Orchard|MORRIS 1</v>
      </c>
    </row>
    <row r="10" spans="1:7" x14ac:dyDescent="0.2">
      <c r="A10" s="2" t="str" cm="1">
        <f t="array" ref="A10">INDEX('[1]Brand Family Territory (Enc)'!$A$2:$A$296,INT((ROW()-2)/10)+1)</f>
        <v>Angry Orchard</v>
      </c>
      <c r="B10" s="2" t="str" cm="1">
        <f t="array" ref="B10">INDEX('Whitelist (Blackout Reverse)'!$B$1:$K$1,MOD(ROW()-2,10)+1)</f>
        <v>MORRIS 2</v>
      </c>
      <c r="C10" s="2" t="str">
        <f>VLOOKUP(A10,'[1]Brand Family Territory (Enc)'!$A$2:$B$296,2,FALSE)</f>
        <v>Core Market</v>
      </c>
      <c r="D10" s="2">
        <f>IF(COUNTIFS('[1]Brand Family Territories (Enc)'!$B$2:$B$62,C10,'[1]Brand Family Territories (Enc)'!$C$2:$C$62,B10)&gt;0,1,IF(AND(LEFT(B10,6)="MORRIS",COUNTIFS('[1]Brand Family Territories (Enc)'!$B$2:$B$62,C10,'[1]Brand Family Territories (Enc)'!$C$2:$C$62,"Morri")&gt;0),"Unk",0))</f>
        <v>0</v>
      </c>
      <c r="E10" s="2" t="str">
        <f>IFERROR(INDEX('Blackout Brand Fam Areas (Enc)'!$D$6:$D$998,MATCH(UPPER(A10)&amp;"|"&amp;UPPER(B10),'Blackout Brand Fam Areas (Enc)'!$G$6:$G$998,0)),"No Match")</f>
        <v>Inactive</v>
      </c>
      <c r="F10" s="2" t="str">
        <f t="shared" si="0"/>
        <v>THEM</v>
      </c>
      <c r="G10" s="2" t="str">
        <f t="shared" si="1"/>
        <v>Angry Orchard|MORRIS 2</v>
      </c>
    </row>
    <row r="11" spans="1:7" x14ac:dyDescent="0.2">
      <c r="A11" s="2" t="str" cm="1">
        <f t="array" ref="A11">INDEX('[1]Brand Family Territory (Enc)'!$A$2:$A$296,INT((ROW()-2)/10)+1)</f>
        <v>Angry Orchard</v>
      </c>
      <c r="B11" s="2" t="str" cm="1">
        <f t="array" ref="B11">INDEX('Whitelist (Blackout Reverse)'!$B$1:$K$1,MOD(ROW()-2,10)+1)</f>
        <v>MORRIS 3</v>
      </c>
      <c r="C11" s="2" t="str">
        <f>VLOOKUP(A11,'[1]Brand Family Territory (Enc)'!$A$2:$B$296,2,FALSE)</f>
        <v>Core Market</v>
      </c>
      <c r="D11" s="2">
        <f>IF(COUNTIFS('[1]Brand Family Territories (Enc)'!$B$2:$B$62,C11,'[1]Brand Family Territories (Enc)'!$C$2:$C$62,B11)&gt;0,1,IF(AND(LEFT(B11,6)="MORRIS",COUNTIFS('[1]Brand Family Territories (Enc)'!$B$2:$B$62,C11,'[1]Brand Family Territories (Enc)'!$C$2:$C$62,"Morri")&gt;0),"Unk",0))</f>
        <v>1</v>
      </c>
      <c r="E11" s="2" t="str">
        <f>IFERROR(INDEX('Blackout Brand Fam Areas (Enc)'!$D$6:$D$998,MATCH(UPPER(A11)&amp;"|"&amp;UPPER(B11),'Blackout Brand Fam Areas (Enc)'!$G$6:$G$998,0)),"No Match")</f>
        <v>No Match</v>
      </c>
      <c r="F11" s="2" t="str">
        <f t="shared" si="0"/>
        <v>US</v>
      </c>
      <c r="G11" s="2" t="str">
        <f t="shared" si="1"/>
        <v>Angry Orchard|MORRIS 3</v>
      </c>
    </row>
    <row r="12" spans="1:7" x14ac:dyDescent="0.2">
      <c r="A12" s="2" t="str" cm="1">
        <f t="array" ref="A12">INDEX('[1]Brand Family Territory (Enc)'!$A$2:$A$296,INT((ROW()-2)/10)+1)</f>
        <v>Aguila</v>
      </c>
      <c r="B12" s="2" t="str" cm="1">
        <f t="array" ref="B12">INDEX('Whitelist (Blackout Reverse)'!$B$1:$K$1,MOD(ROW()-2,10)+1)</f>
        <v>BERGEN</v>
      </c>
      <c r="C12" s="2" t="str">
        <f>VLOOKUP(A12,'[1]Brand Family Territory (Enc)'!$A$2:$B$296,2,FALSE)</f>
        <v>Core Market</v>
      </c>
      <c r="D12" s="2">
        <f>IF(COUNTIFS('[1]Brand Family Territories (Enc)'!$B$2:$B$62,C12,'[1]Brand Family Territories (Enc)'!$C$2:$C$62,B12)&gt;0,1,IF(AND(LEFT(B12,6)="MORRIS",COUNTIFS('[1]Brand Family Territories (Enc)'!$B$2:$B$62,C12,'[1]Brand Family Territories (Enc)'!$C$2:$C$62,"Morri")&gt;0),"Unk",0))</f>
        <v>1</v>
      </c>
      <c r="E12" s="2" t="str">
        <f>IFERROR(INDEX('Blackout Brand Fam Areas (Enc)'!$D$6:$D$998,MATCH(UPPER(A12)&amp;"|"&amp;UPPER(B12),'Blackout Brand Fam Areas (Enc)'!$G$6:$G$998,0)),"No Match")</f>
        <v>No Match</v>
      </c>
      <c r="F12" s="2" t="str">
        <f t="shared" si="0"/>
        <v>US</v>
      </c>
      <c r="G12" s="2" t="str">
        <f t="shared" si="1"/>
        <v>Aguila|BERGEN</v>
      </c>
    </row>
    <row r="13" spans="1:7" x14ac:dyDescent="0.2">
      <c r="A13" s="2" t="str" cm="1">
        <f t="array" ref="A13">INDEX('[1]Brand Family Territory (Enc)'!$A$2:$A$296,INT((ROW()-2)/10)+1)</f>
        <v>Aguila</v>
      </c>
      <c r="B13" s="2" t="str" cm="1">
        <f t="array" ref="B13">INDEX('Whitelist (Blackout Reverse)'!$B$1:$K$1,MOD(ROW()-2,10)+1)</f>
        <v>PASSAIC</v>
      </c>
      <c r="C13" s="2" t="str">
        <f>VLOOKUP(A13,'[1]Brand Family Territory (Enc)'!$A$2:$B$296,2,FALSE)</f>
        <v>Core Market</v>
      </c>
      <c r="D13" s="2">
        <f>IF(COUNTIFS('[1]Brand Family Territories (Enc)'!$B$2:$B$62,C13,'[1]Brand Family Territories (Enc)'!$C$2:$C$62,B13)&gt;0,1,IF(AND(LEFT(B13,6)="MORRIS",COUNTIFS('[1]Brand Family Territories (Enc)'!$B$2:$B$62,C13,'[1]Brand Family Territories (Enc)'!$C$2:$C$62,"Morri")&gt;0),"Unk",0))</f>
        <v>1</v>
      </c>
      <c r="E13" s="2" t="str">
        <f>IFERROR(INDEX('Blackout Brand Fam Areas (Enc)'!$D$6:$D$998,MATCH(UPPER(A13)&amp;"|"&amp;UPPER(B13),'Blackout Brand Fam Areas (Enc)'!$G$6:$G$998,0)),"No Match")</f>
        <v>No Match</v>
      </c>
      <c r="F13" s="2" t="str">
        <f t="shared" si="0"/>
        <v>US</v>
      </c>
      <c r="G13" s="2" t="str">
        <f t="shared" si="1"/>
        <v>Aguila|PASSAIC</v>
      </c>
    </row>
    <row r="14" spans="1:7" x14ac:dyDescent="0.2">
      <c r="A14" s="2" t="str" cm="1">
        <f t="array" ref="A14">INDEX('[1]Brand Family Territory (Enc)'!$A$2:$A$296,INT((ROW()-2)/10)+1)</f>
        <v>Aguila</v>
      </c>
      <c r="B14" s="2" t="str" cm="1">
        <f t="array" ref="B14">INDEX('Whitelist (Blackout Reverse)'!$B$1:$K$1,MOD(ROW()-2,10)+1)</f>
        <v>PASSAIC-FF</v>
      </c>
      <c r="C14" s="2" t="str">
        <f>VLOOKUP(A14,'[1]Brand Family Territory (Enc)'!$A$2:$B$296,2,FALSE)</f>
        <v>Core Market</v>
      </c>
      <c r="D14" s="2">
        <f>IF(COUNTIFS('[1]Brand Family Territories (Enc)'!$B$2:$B$62,C14,'[1]Brand Family Territories (Enc)'!$C$2:$C$62,B14)&gt;0,1,IF(AND(LEFT(B14,6)="MORRIS",COUNTIFS('[1]Brand Family Territories (Enc)'!$B$2:$B$62,C14,'[1]Brand Family Territories (Enc)'!$C$2:$C$62,"Morri")&gt;0),"Unk",0))</f>
        <v>1</v>
      </c>
      <c r="E14" s="2" t="str">
        <f>IFERROR(INDEX('Blackout Brand Fam Areas (Enc)'!$D$6:$D$998,MATCH(UPPER(A14)&amp;"|"&amp;UPPER(B14),'Blackout Brand Fam Areas (Enc)'!$G$6:$G$998,0)),"No Match")</f>
        <v>No Match</v>
      </c>
      <c r="F14" s="2" t="str">
        <f t="shared" si="0"/>
        <v>US</v>
      </c>
      <c r="G14" s="2" t="str">
        <f t="shared" si="1"/>
        <v>Aguila|PASSAIC-FF</v>
      </c>
    </row>
    <row r="15" spans="1:7" x14ac:dyDescent="0.2">
      <c r="A15" s="2" t="str" cm="1">
        <f t="array" ref="A15">INDEX('[1]Brand Family Territory (Enc)'!$A$2:$A$296,INT((ROW()-2)/10)+1)</f>
        <v>Aguila</v>
      </c>
      <c r="B15" s="2" t="str" cm="1">
        <f t="array" ref="B15">INDEX('Whitelist (Blackout Reverse)'!$B$1:$K$1,MOD(ROW()-2,10)+1)</f>
        <v>ESSEX</v>
      </c>
      <c r="C15" s="2" t="str">
        <f>VLOOKUP(A15,'[1]Brand Family Territory (Enc)'!$A$2:$B$296,2,FALSE)</f>
        <v>Core Market</v>
      </c>
      <c r="D15" s="2">
        <f>IF(COUNTIFS('[1]Brand Family Territories (Enc)'!$B$2:$B$62,C15,'[1]Brand Family Territories (Enc)'!$C$2:$C$62,B15)&gt;0,1,IF(AND(LEFT(B15,6)="MORRIS",COUNTIFS('[1]Brand Family Territories (Enc)'!$B$2:$B$62,C15,'[1]Brand Family Territories (Enc)'!$C$2:$C$62,"Morri")&gt;0),"Unk",0))</f>
        <v>0</v>
      </c>
      <c r="E15" s="2" t="str">
        <f>IFERROR(INDEX('Blackout Brand Fam Areas (Enc)'!$D$6:$D$998,MATCH(UPPER(A15)&amp;"|"&amp;UPPER(B15),'Blackout Brand Fam Areas (Enc)'!$G$6:$G$998,0)),"No Match")</f>
        <v>Inactive</v>
      </c>
      <c r="F15" s="2" t="str">
        <f t="shared" si="0"/>
        <v>THEM</v>
      </c>
      <c r="G15" s="2" t="str">
        <f t="shared" si="1"/>
        <v>Aguila|ESSEX</v>
      </c>
    </row>
    <row r="16" spans="1:7" x14ac:dyDescent="0.2">
      <c r="A16" s="2" t="str" cm="1">
        <f t="array" ref="A16">INDEX('[1]Brand Family Territory (Enc)'!$A$2:$A$296,INT((ROW()-2)/10)+1)</f>
        <v>Aguila</v>
      </c>
      <c r="B16" s="2" t="str" cm="1">
        <f t="array" ref="B16">INDEX('Whitelist (Blackout Reverse)'!$B$1:$K$1,MOD(ROW()-2,10)+1)</f>
        <v>HUDSON</v>
      </c>
      <c r="C16" s="2" t="str">
        <f>VLOOKUP(A16,'[1]Brand Family Territory (Enc)'!$A$2:$B$296,2,FALSE)</f>
        <v>Core Market</v>
      </c>
      <c r="D16" s="2">
        <f>IF(COUNTIFS('[1]Brand Family Territories (Enc)'!$B$2:$B$62,C16,'[1]Brand Family Territories (Enc)'!$C$2:$C$62,B16)&gt;0,1,IF(AND(LEFT(B16,6)="MORRIS",COUNTIFS('[1]Brand Family Territories (Enc)'!$B$2:$B$62,C16,'[1]Brand Family Territories (Enc)'!$C$2:$C$62,"Morri")&gt;0),"Unk",0))</f>
        <v>0</v>
      </c>
      <c r="E16" s="2" t="str">
        <f>IFERROR(INDEX('Blackout Brand Fam Areas (Enc)'!$D$6:$D$998,MATCH(UPPER(A16)&amp;"|"&amp;UPPER(B16),'Blackout Brand Fam Areas (Enc)'!$G$6:$G$998,0)),"No Match")</f>
        <v>Inactive</v>
      </c>
      <c r="F16" s="2" t="str">
        <f t="shared" si="0"/>
        <v>THEM</v>
      </c>
      <c r="G16" s="2" t="str">
        <f t="shared" si="1"/>
        <v>Aguila|HUDSON</v>
      </c>
    </row>
    <row r="17" spans="1:7" x14ac:dyDescent="0.2">
      <c r="A17" s="2" t="str" cm="1">
        <f t="array" ref="A17">INDEX('[1]Brand Family Territory (Enc)'!$A$2:$A$296,INT((ROW()-2)/10)+1)</f>
        <v>Aguila</v>
      </c>
      <c r="B17" s="2" t="str" cm="1">
        <f t="array" ref="B17">INDEX('Whitelist (Blackout Reverse)'!$B$1:$K$1,MOD(ROW()-2,10)+1)</f>
        <v>UNION</v>
      </c>
      <c r="C17" s="2" t="str">
        <f>VLOOKUP(A17,'[1]Brand Family Territory (Enc)'!$A$2:$B$296,2,FALSE)</f>
        <v>Core Market</v>
      </c>
      <c r="D17" s="2">
        <f>IF(COUNTIFS('[1]Brand Family Territories (Enc)'!$B$2:$B$62,C17,'[1]Brand Family Territories (Enc)'!$C$2:$C$62,B17)&gt;0,1,IF(AND(LEFT(B17,6)="MORRIS",COUNTIFS('[1]Brand Family Territories (Enc)'!$B$2:$B$62,C17,'[1]Brand Family Territories (Enc)'!$C$2:$C$62,"Morri")&gt;0),"Unk",0))</f>
        <v>0</v>
      </c>
      <c r="E17" s="2" t="str">
        <f>IFERROR(INDEX('Blackout Brand Fam Areas (Enc)'!$D$6:$D$998,MATCH(UPPER(A17)&amp;"|"&amp;UPPER(B17),'Blackout Brand Fam Areas (Enc)'!$G$6:$G$998,0)),"No Match")</f>
        <v>Inactive</v>
      </c>
      <c r="F17" s="2" t="str">
        <f t="shared" si="0"/>
        <v>THEM</v>
      </c>
      <c r="G17" s="2" t="str">
        <f t="shared" si="1"/>
        <v>Aguila|UNION</v>
      </c>
    </row>
    <row r="18" spans="1:7" x14ac:dyDescent="0.2">
      <c r="A18" s="2" t="str" cm="1">
        <f t="array" ref="A18">INDEX('[1]Brand Family Territory (Enc)'!$A$2:$A$296,INT((ROW()-2)/10)+1)</f>
        <v>Aguila</v>
      </c>
      <c r="B18" s="2" t="str" cm="1">
        <f t="array" ref="B18">INDEX('Whitelist (Blackout Reverse)'!$B$1:$K$1,MOD(ROW()-2,10)+1)</f>
        <v>SUSSEX</v>
      </c>
      <c r="C18" s="2" t="str">
        <f>VLOOKUP(A18,'[1]Brand Family Territory (Enc)'!$A$2:$B$296,2,FALSE)</f>
        <v>Core Market</v>
      </c>
      <c r="D18" s="2">
        <f>IF(COUNTIFS('[1]Brand Family Territories (Enc)'!$B$2:$B$62,C18,'[1]Brand Family Territories (Enc)'!$C$2:$C$62,B18)&gt;0,1,IF(AND(LEFT(B18,6)="MORRIS",COUNTIFS('[1]Brand Family Territories (Enc)'!$B$2:$B$62,C18,'[1]Brand Family Territories (Enc)'!$C$2:$C$62,"Morri")&gt;0),"Unk",0))</f>
        <v>1</v>
      </c>
      <c r="E18" s="2" t="str">
        <f>IFERROR(INDEX('Blackout Brand Fam Areas (Enc)'!$D$6:$D$998,MATCH(UPPER(A18)&amp;"|"&amp;UPPER(B18),'Blackout Brand Fam Areas (Enc)'!$G$6:$G$998,0)),"No Match")</f>
        <v>No Match</v>
      </c>
      <c r="F18" s="2" t="str">
        <f t="shared" si="0"/>
        <v>US</v>
      </c>
      <c r="G18" s="2" t="str">
        <f t="shared" si="1"/>
        <v>Aguila|SUSSEX</v>
      </c>
    </row>
    <row r="19" spans="1:7" x14ac:dyDescent="0.2">
      <c r="A19" s="2" t="str" cm="1">
        <f t="array" ref="A19">INDEX('[1]Brand Family Territory (Enc)'!$A$2:$A$296,INT((ROW()-2)/10)+1)</f>
        <v>Aguila</v>
      </c>
      <c r="B19" s="2" t="str" cm="1">
        <f t="array" ref="B19">INDEX('Whitelist (Blackout Reverse)'!$B$1:$K$1,MOD(ROW()-2,10)+1)</f>
        <v>MORRIS 1</v>
      </c>
      <c r="C19" s="2" t="str">
        <f>VLOOKUP(A19,'[1]Brand Family Territory (Enc)'!$A$2:$B$296,2,FALSE)</f>
        <v>Core Market</v>
      </c>
      <c r="D19" s="2">
        <f>IF(COUNTIFS('[1]Brand Family Territories (Enc)'!$B$2:$B$62,C19,'[1]Brand Family Territories (Enc)'!$C$2:$C$62,B19)&gt;0,1,IF(AND(LEFT(B19,6)="MORRIS",COUNTIFS('[1]Brand Family Territories (Enc)'!$B$2:$B$62,C19,'[1]Brand Family Territories (Enc)'!$C$2:$C$62,"Morri")&gt;0),"Unk",0))</f>
        <v>1</v>
      </c>
      <c r="E19" s="2" t="str">
        <f>IFERROR(INDEX('Blackout Brand Fam Areas (Enc)'!$D$6:$D$998,MATCH(UPPER(A19)&amp;"|"&amp;UPPER(B19),'Blackout Brand Fam Areas (Enc)'!$G$6:$G$998,0)),"No Match")</f>
        <v>No Match</v>
      </c>
      <c r="F19" s="2" t="str">
        <f t="shared" si="0"/>
        <v>US</v>
      </c>
      <c r="G19" s="2" t="str">
        <f t="shared" si="1"/>
        <v>Aguila|MORRIS 1</v>
      </c>
    </row>
    <row r="20" spans="1:7" x14ac:dyDescent="0.2">
      <c r="A20" s="2" t="str" cm="1">
        <f t="array" ref="A20">INDEX('[1]Brand Family Territory (Enc)'!$A$2:$A$296,INT((ROW()-2)/10)+1)</f>
        <v>Aguila</v>
      </c>
      <c r="B20" s="2" t="str" cm="1">
        <f t="array" ref="B20">INDEX('Whitelist (Blackout Reverse)'!$B$1:$K$1,MOD(ROW()-2,10)+1)</f>
        <v>MORRIS 2</v>
      </c>
      <c r="C20" s="2" t="str">
        <f>VLOOKUP(A20,'[1]Brand Family Territory (Enc)'!$A$2:$B$296,2,FALSE)</f>
        <v>Core Market</v>
      </c>
      <c r="D20" s="2">
        <f>IF(COUNTIFS('[1]Brand Family Territories (Enc)'!$B$2:$B$62,C20,'[1]Brand Family Territories (Enc)'!$C$2:$C$62,B20)&gt;0,1,IF(AND(LEFT(B20,6)="MORRIS",COUNTIFS('[1]Brand Family Territories (Enc)'!$B$2:$B$62,C20,'[1]Brand Family Territories (Enc)'!$C$2:$C$62,"Morri")&gt;0),"Unk",0))</f>
        <v>0</v>
      </c>
      <c r="E20" s="2" t="str">
        <f>IFERROR(INDEX('Blackout Brand Fam Areas (Enc)'!$D$6:$D$998,MATCH(UPPER(A20)&amp;"|"&amp;UPPER(B20),'Blackout Brand Fam Areas (Enc)'!$G$6:$G$998,0)),"No Match")</f>
        <v>Inactive</v>
      </c>
      <c r="F20" s="2" t="str">
        <f t="shared" si="0"/>
        <v>THEM</v>
      </c>
      <c r="G20" s="2" t="str">
        <f t="shared" si="1"/>
        <v>Aguila|MORRIS 2</v>
      </c>
    </row>
    <row r="21" spans="1:7" x14ac:dyDescent="0.2">
      <c r="A21" s="2" t="str" cm="1">
        <f t="array" ref="A21">INDEX('[1]Brand Family Territory (Enc)'!$A$2:$A$296,INT((ROW()-2)/10)+1)</f>
        <v>Aguila</v>
      </c>
      <c r="B21" s="2" t="str" cm="1">
        <f t="array" ref="B21">INDEX('Whitelist (Blackout Reverse)'!$B$1:$K$1,MOD(ROW()-2,10)+1)</f>
        <v>MORRIS 3</v>
      </c>
      <c r="C21" s="2" t="str">
        <f>VLOOKUP(A21,'[1]Brand Family Territory (Enc)'!$A$2:$B$296,2,FALSE)</f>
        <v>Core Market</v>
      </c>
      <c r="D21" s="2">
        <f>IF(COUNTIFS('[1]Brand Family Territories (Enc)'!$B$2:$B$62,C21,'[1]Brand Family Territories (Enc)'!$C$2:$C$62,B21)&gt;0,1,IF(AND(LEFT(B21,6)="MORRIS",COUNTIFS('[1]Brand Family Territories (Enc)'!$B$2:$B$62,C21,'[1]Brand Family Territories (Enc)'!$C$2:$C$62,"Morri")&gt;0),"Unk",0))</f>
        <v>1</v>
      </c>
      <c r="E21" s="2" t="str">
        <f>IFERROR(INDEX('Blackout Brand Fam Areas (Enc)'!$D$6:$D$998,MATCH(UPPER(A21)&amp;"|"&amp;UPPER(B21),'Blackout Brand Fam Areas (Enc)'!$G$6:$G$998,0)),"No Match")</f>
        <v>No Match</v>
      </c>
      <c r="F21" s="2" t="str">
        <f t="shared" si="0"/>
        <v>US</v>
      </c>
      <c r="G21" s="2" t="str">
        <f t="shared" si="1"/>
        <v>Aguila|MORRIS 3</v>
      </c>
    </row>
    <row r="22" spans="1:7" x14ac:dyDescent="0.2">
      <c r="A22" s="2" t="str" cm="1">
        <f t="array" ref="A22">INDEX('[1]Brand Family Territory (Enc)'!$A$2:$A$296,INT((ROW()-2)/10)+1)</f>
        <v>Arnold Palmer</v>
      </c>
      <c r="B22" s="2" t="str" cm="1">
        <f t="array" ref="B22">INDEX('Whitelist (Blackout Reverse)'!$B$1:$K$1,MOD(ROW()-2,10)+1)</f>
        <v>BERGEN</v>
      </c>
      <c r="C22" s="2" t="str">
        <f>VLOOKUP(A22,'[1]Brand Family Territory (Enc)'!$A$2:$B$296,2,FALSE)</f>
        <v>Core Market</v>
      </c>
      <c r="D22" s="2">
        <f>IF(COUNTIFS('[1]Brand Family Territories (Enc)'!$B$2:$B$62,C22,'[1]Brand Family Territories (Enc)'!$C$2:$C$62,B22)&gt;0,1,IF(AND(LEFT(B22,6)="MORRIS",COUNTIFS('[1]Brand Family Territories (Enc)'!$B$2:$B$62,C22,'[1]Brand Family Territories (Enc)'!$C$2:$C$62,"Morri")&gt;0),"Unk",0))</f>
        <v>1</v>
      </c>
      <c r="E22" s="2" t="str">
        <f>IFERROR(INDEX('Blackout Brand Fam Areas (Enc)'!$D$6:$D$998,MATCH(UPPER(A22)&amp;"|"&amp;UPPER(B22),'Blackout Brand Fam Areas (Enc)'!$G$6:$G$998,0)),"No Match")</f>
        <v>No Match</v>
      </c>
      <c r="F22" s="2" t="str">
        <f t="shared" si="0"/>
        <v>US</v>
      </c>
      <c r="G22" s="2" t="str">
        <f t="shared" si="1"/>
        <v>Arnold Palmer|BERGEN</v>
      </c>
    </row>
    <row r="23" spans="1:7" x14ac:dyDescent="0.2">
      <c r="A23" s="2" t="str" cm="1">
        <f t="array" ref="A23">INDEX('[1]Brand Family Territory (Enc)'!$A$2:$A$296,INT((ROW()-2)/10)+1)</f>
        <v>Arnold Palmer</v>
      </c>
      <c r="B23" s="2" t="str" cm="1">
        <f t="array" ref="B23">INDEX('Whitelist (Blackout Reverse)'!$B$1:$K$1,MOD(ROW()-2,10)+1)</f>
        <v>PASSAIC</v>
      </c>
      <c r="C23" s="2" t="str">
        <f>VLOOKUP(A23,'[1]Brand Family Territory (Enc)'!$A$2:$B$296,2,FALSE)</f>
        <v>Core Market</v>
      </c>
      <c r="D23" s="2">
        <f>IF(COUNTIFS('[1]Brand Family Territories (Enc)'!$B$2:$B$62,C23,'[1]Brand Family Territories (Enc)'!$C$2:$C$62,B23)&gt;0,1,IF(AND(LEFT(B23,6)="MORRIS",COUNTIFS('[1]Brand Family Territories (Enc)'!$B$2:$B$62,C23,'[1]Brand Family Territories (Enc)'!$C$2:$C$62,"Morri")&gt;0),"Unk",0))</f>
        <v>1</v>
      </c>
      <c r="E23" s="2" t="str">
        <f>IFERROR(INDEX('Blackout Brand Fam Areas (Enc)'!$D$6:$D$998,MATCH(UPPER(A23)&amp;"|"&amp;UPPER(B23),'Blackout Brand Fam Areas (Enc)'!$G$6:$G$998,0)),"No Match")</f>
        <v>No Match</v>
      </c>
      <c r="F23" s="2" t="str">
        <f t="shared" si="0"/>
        <v>US</v>
      </c>
      <c r="G23" s="2" t="str">
        <f t="shared" si="1"/>
        <v>Arnold Palmer|PASSAIC</v>
      </c>
    </row>
    <row r="24" spans="1:7" x14ac:dyDescent="0.2">
      <c r="A24" s="2" t="str" cm="1">
        <f t="array" ref="A24">INDEX('[1]Brand Family Territory (Enc)'!$A$2:$A$296,INT((ROW()-2)/10)+1)</f>
        <v>Arnold Palmer</v>
      </c>
      <c r="B24" s="2" t="str" cm="1">
        <f t="array" ref="B24">INDEX('Whitelist (Blackout Reverse)'!$B$1:$K$1,MOD(ROW()-2,10)+1)</f>
        <v>PASSAIC-FF</v>
      </c>
      <c r="C24" s="2" t="str">
        <f>VLOOKUP(A24,'[1]Brand Family Territory (Enc)'!$A$2:$B$296,2,FALSE)</f>
        <v>Core Market</v>
      </c>
      <c r="D24" s="2">
        <f>IF(COUNTIFS('[1]Brand Family Territories (Enc)'!$B$2:$B$62,C24,'[1]Brand Family Territories (Enc)'!$C$2:$C$62,B24)&gt;0,1,IF(AND(LEFT(B24,6)="MORRIS",COUNTIFS('[1]Brand Family Territories (Enc)'!$B$2:$B$62,C24,'[1]Brand Family Territories (Enc)'!$C$2:$C$62,"Morri")&gt;0),"Unk",0))</f>
        <v>1</v>
      </c>
      <c r="E24" s="2" t="str">
        <f>IFERROR(INDEX('Blackout Brand Fam Areas (Enc)'!$D$6:$D$998,MATCH(UPPER(A24)&amp;"|"&amp;UPPER(B24),'Blackout Brand Fam Areas (Enc)'!$G$6:$G$998,0)),"No Match")</f>
        <v>No Match</v>
      </c>
      <c r="F24" s="2" t="str">
        <f t="shared" si="0"/>
        <v>US</v>
      </c>
      <c r="G24" s="2" t="str">
        <f t="shared" si="1"/>
        <v>Arnold Palmer|PASSAIC-FF</v>
      </c>
    </row>
    <row r="25" spans="1:7" x14ac:dyDescent="0.2">
      <c r="A25" s="2" t="str" cm="1">
        <f t="array" ref="A25">INDEX('[1]Brand Family Territory (Enc)'!$A$2:$A$296,INT((ROW()-2)/10)+1)</f>
        <v>Arnold Palmer</v>
      </c>
      <c r="B25" s="2" t="str" cm="1">
        <f t="array" ref="B25">INDEX('Whitelist (Blackout Reverse)'!$B$1:$K$1,MOD(ROW()-2,10)+1)</f>
        <v>ESSEX</v>
      </c>
      <c r="C25" s="2" t="str">
        <f>VLOOKUP(A25,'[1]Brand Family Territory (Enc)'!$A$2:$B$296,2,FALSE)</f>
        <v>Core Market</v>
      </c>
      <c r="D25" s="2">
        <f>IF(COUNTIFS('[1]Brand Family Territories (Enc)'!$B$2:$B$62,C25,'[1]Brand Family Territories (Enc)'!$C$2:$C$62,B25)&gt;0,1,IF(AND(LEFT(B25,6)="MORRIS",COUNTIFS('[1]Brand Family Territories (Enc)'!$B$2:$B$62,C25,'[1]Brand Family Territories (Enc)'!$C$2:$C$62,"Morri")&gt;0),"Unk",0))</f>
        <v>0</v>
      </c>
      <c r="E25" s="2" t="str">
        <f>IFERROR(INDEX('Blackout Brand Fam Areas (Enc)'!$D$6:$D$998,MATCH(UPPER(A25)&amp;"|"&amp;UPPER(B25),'Blackout Brand Fam Areas (Enc)'!$G$6:$G$998,0)),"No Match")</f>
        <v>Inactive</v>
      </c>
      <c r="F25" s="2" t="str">
        <f t="shared" si="0"/>
        <v>THEM</v>
      </c>
      <c r="G25" s="2" t="str">
        <f t="shared" si="1"/>
        <v>Arnold Palmer|ESSEX</v>
      </c>
    </row>
    <row r="26" spans="1:7" x14ac:dyDescent="0.2">
      <c r="A26" s="2" t="str" cm="1">
        <f t="array" ref="A26">INDEX('[1]Brand Family Territory (Enc)'!$A$2:$A$296,INT((ROW()-2)/10)+1)</f>
        <v>Arnold Palmer</v>
      </c>
      <c r="B26" s="2" t="str" cm="1">
        <f t="array" ref="B26">INDEX('Whitelist (Blackout Reverse)'!$B$1:$K$1,MOD(ROW()-2,10)+1)</f>
        <v>HUDSON</v>
      </c>
      <c r="C26" s="2" t="str">
        <f>VLOOKUP(A26,'[1]Brand Family Territory (Enc)'!$A$2:$B$296,2,FALSE)</f>
        <v>Core Market</v>
      </c>
      <c r="D26" s="2">
        <f>IF(COUNTIFS('[1]Brand Family Territories (Enc)'!$B$2:$B$62,C26,'[1]Brand Family Territories (Enc)'!$C$2:$C$62,B26)&gt;0,1,IF(AND(LEFT(B26,6)="MORRIS",COUNTIFS('[1]Brand Family Territories (Enc)'!$B$2:$B$62,C26,'[1]Brand Family Territories (Enc)'!$C$2:$C$62,"Morri")&gt;0),"Unk",0))</f>
        <v>0</v>
      </c>
      <c r="E26" s="2" t="str">
        <f>IFERROR(INDEX('Blackout Brand Fam Areas (Enc)'!$D$6:$D$998,MATCH(UPPER(A26)&amp;"|"&amp;UPPER(B26),'Blackout Brand Fam Areas (Enc)'!$G$6:$G$998,0)),"No Match")</f>
        <v>Inactive</v>
      </c>
      <c r="F26" s="2" t="str">
        <f t="shared" si="0"/>
        <v>THEM</v>
      </c>
      <c r="G26" s="2" t="str">
        <f t="shared" si="1"/>
        <v>Arnold Palmer|HUDSON</v>
      </c>
    </row>
    <row r="27" spans="1:7" x14ac:dyDescent="0.2">
      <c r="A27" s="2" t="str" cm="1">
        <f t="array" ref="A27">INDEX('[1]Brand Family Territory (Enc)'!$A$2:$A$296,INT((ROW()-2)/10)+1)</f>
        <v>Arnold Palmer</v>
      </c>
      <c r="B27" s="2" t="str" cm="1">
        <f t="array" ref="B27">INDEX('Whitelist (Blackout Reverse)'!$B$1:$K$1,MOD(ROW()-2,10)+1)</f>
        <v>UNION</v>
      </c>
      <c r="C27" s="2" t="str">
        <f>VLOOKUP(A27,'[1]Brand Family Territory (Enc)'!$A$2:$B$296,2,FALSE)</f>
        <v>Core Market</v>
      </c>
      <c r="D27" s="2">
        <f>IF(COUNTIFS('[1]Brand Family Territories (Enc)'!$B$2:$B$62,C27,'[1]Brand Family Territories (Enc)'!$C$2:$C$62,B27)&gt;0,1,IF(AND(LEFT(B27,6)="MORRIS",COUNTIFS('[1]Brand Family Territories (Enc)'!$B$2:$B$62,C27,'[1]Brand Family Territories (Enc)'!$C$2:$C$62,"Morri")&gt;0),"Unk",0))</f>
        <v>0</v>
      </c>
      <c r="E27" s="2" t="str">
        <f>IFERROR(INDEX('Blackout Brand Fam Areas (Enc)'!$D$6:$D$998,MATCH(UPPER(A27)&amp;"|"&amp;UPPER(B27),'Blackout Brand Fam Areas (Enc)'!$G$6:$G$998,0)),"No Match")</f>
        <v>Inactive</v>
      </c>
      <c r="F27" s="2" t="str">
        <f t="shared" si="0"/>
        <v>THEM</v>
      </c>
      <c r="G27" s="2" t="str">
        <f t="shared" si="1"/>
        <v>Arnold Palmer|UNION</v>
      </c>
    </row>
    <row r="28" spans="1:7" x14ac:dyDescent="0.2">
      <c r="A28" s="2" t="str" cm="1">
        <f t="array" ref="A28">INDEX('[1]Brand Family Territory (Enc)'!$A$2:$A$296,INT((ROW()-2)/10)+1)</f>
        <v>Arnold Palmer</v>
      </c>
      <c r="B28" s="2" t="str" cm="1">
        <f t="array" ref="B28">INDEX('Whitelist (Blackout Reverse)'!$B$1:$K$1,MOD(ROW()-2,10)+1)</f>
        <v>SUSSEX</v>
      </c>
      <c r="C28" s="2" t="str">
        <f>VLOOKUP(A28,'[1]Brand Family Territory (Enc)'!$A$2:$B$296,2,FALSE)</f>
        <v>Core Market</v>
      </c>
      <c r="D28" s="2">
        <f>IF(COUNTIFS('[1]Brand Family Territories (Enc)'!$B$2:$B$62,C28,'[1]Brand Family Territories (Enc)'!$C$2:$C$62,B28)&gt;0,1,IF(AND(LEFT(B28,6)="MORRIS",COUNTIFS('[1]Brand Family Territories (Enc)'!$B$2:$B$62,C28,'[1]Brand Family Territories (Enc)'!$C$2:$C$62,"Morri")&gt;0),"Unk",0))</f>
        <v>1</v>
      </c>
      <c r="E28" s="2" t="str">
        <f>IFERROR(INDEX('Blackout Brand Fam Areas (Enc)'!$D$6:$D$998,MATCH(UPPER(A28)&amp;"|"&amp;UPPER(B28),'Blackout Brand Fam Areas (Enc)'!$G$6:$G$998,0)),"No Match")</f>
        <v>No Match</v>
      </c>
      <c r="F28" s="2" t="str">
        <f t="shared" si="0"/>
        <v>US</v>
      </c>
      <c r="G28" s="2" t="str">
        <f t="shared" si="1"/>
        <v>Arnold Palmer|SUSSEX</v>
      </c>
    </row>
    <row r="29" spans="1:7" x14ac:dyDescent="0.2">
      <c r="A29" s="2" t="str" cm="1">
        <f t="array" ref="A29">INDEX('[1]Brand Family Territory (Enc)'!$A$2:$A$296,INT((ROW()-2)/10)+1)</f>
        <v>Arnold Palmer</v>
      </c>
      <c r="B29" s="2" t="str" cm="1">
        <f t="array" ref="B29">INDEX('Whitelist (Blackout Reverse)'!$B$1:$K$1,MOD(ROW()-2,10)+1)</f>
        <v>MORRIS 1</v>
      </c>
      <c r="C29" s="2" t="str">
        <f>VLOOKUP(A29,'[1]Brand Family Territory (Enc)'!$A$2:$B$296,2,FALSE)</f>
        <v>Core Market</v>
      </c>
      <c r="D29" s="2">
        <f>IF(COUNTIFS('[1]Brand Family Territories (Enc)'!$B$2:$B$62,C29,'[1]Brand Family Territories (Enc)'!$C$2:$C$62,B29)&gt;0,1,IF(AND(LEFT(B29,6)="MORRIS",COUNTIFS('[1]Brand Family Territories (Enc)'!$B$2:$B$62,C29,'[1]Brand Family Territories (Enc)'!$C$2:$C$62,"Morri")&gt;0),"Unk",0))</f>
        <v>1</v>
      </c>
      <c r="E29" s="2" t="str">
        <f>IFERROR(INDEX('Blackout Brand Fam Areas (Enc)'!$D$6:$D$998,MATCH(UPPER(A29)&amp;"|"&amp;UPPER(B29),'Blackout Brand Fam Areas (Enc)'!$G$6:$G$998,0)),"No Match")</f>
        <v>No Match</v>
      </c>
      <c r="F29" s="2" t="str">
        <f t="shared" si="0"/>
        <v>US</v>
      </c>
      <c r="G29" s="2" t="str">
        <f t="shared" si="1"/>
        <v>Arnold Palmer|MORRIS 1</v>
      </c>
    </row>
    <row r="30" spans="1:7" x14ac:dyDescent="0.2">
      <c r="A30" s="2" t="str" cm="1">
        <f t="array" ref="A30">INDEX('[1]Brand Family Territory (Enc)'!$A$2:$A$296,INT((ROW()-2)/10)+1)</f>
        <v>Arnold Palmer</v>
      </c>
      <c r="B30" s="2" t="str" cm="1">
        <f t="array" ref="B30">INDEX('Whitelist (Blackout Reverse)'!$B$1:$K$1,MOD(ROW()-2,10)+1)</f>
        <v>MORRIS 2</v>
      </c>
      <c r="C30" s="2" t="str">
        <f>VLOOKUP(A30,'[1]Brand Family Territory (Enc)'!$A$2:$B$296,2,FALSE)</f>
        <v>Core Market</v>
      </c>
      <c r="D30" s="2">
        <f>IF(COUNTIFS('[1]Brand Family Territories (Enc)'!$B$2:$B$62,C30,'[1]Brand Family Territories (Enc)'!$C$2:$C$62,B30)&gt;0,1,IF(AND(LEFT(B30,6)="MORRIS",COUNTIFS('[1]Brand Family Territories (Enc)'!$B$2:$B$62,C30,'[1]Brand Family Territories (Enc)'!$C$2:$C$62,"Morri")&gt;0),"Unk",0))</f>
        <v>0</v>
      </c>
      <c r="E30" s="2" t="str">
        <f>IFERROR(INDEX('Blackout Brand Fam Areas (Enc)'!$D$6:$D$998,MATCH(UPPER(A30)&amp;"|"&amp;UPPER(B30),'Blackout Brand Fam Areas (Enc)'!$G$6:$G$998,0)),"No Match")</f>
        <v>Inactive</v>
      </c>
      <c r="F30" s="2" t="str">
        <f t="shared" si="0"/>
        <v>THEM</v>
      </c>
      <c r="G30" s="2" t="str">
        <f t="shared" si="1"/>
        <v>Arnold Palmer|MORRIS 2</v>
      </c>
    </row>
    <row r="31" spans="1:7" x14ac:dyDescent="0.2">
      <c r="A31" s="2" t="str" cm="1">
        <f t="array" ref="A31">INDEX('[1]Brand Family Territory (Enc)'!$A$2:$A$296,INT((ROW()-2)/10)+1)</f>
        <v>Arnold Palmer</v>
      </c>
      <c r="B31" s="2" t="str" cm="1">
        <f t="array" ref="B31">INDEX('Whitelist (Blackout Reverse)'!$B$1:$K$1,MOD(ROW()-2,10)+1)</f>
        <v>MORRIS 3</v>
      </c>
      <c r="C31" s="2" t="str">
        <f>VLOOKUP(A31,'[1]Brand Family Territory (Enc)'!$A$2:$B$296,2,FALSE)</f>
        <v>Core Market</v>
      </c>
      <c r="D31" s="2">
        <f>IF(COUNTIFS('[1]Brand Family Territories (Enc)'!$B$2:$B$62,C31,'[1]Brand Family Territories (Enc)'!$C$2:$C$62,B31)&gt;0,1,IF(AND(LEFT(B31,6)="MORRIS",COUNTIFS('[1]Brand Family Territories (Enc)'!$B$2:$B$62,C31,'[1]Brand Family Territories (Enc)'!$C$2:$C$62,"Morri")&gt;0),"Unk",0))</f>
        <v>1</v>
      </c>
      <c r="E31" s="2" t="str">
        <f>IFERROR(INDEX('Blackout Brand Fam Areas (Enc)'!$D$6:$D$998,MATCH(UPPER(A31)&amp;"|"&amp;UPPER(B31),'Blackout Brand Fam Areas (Enc)'!$G$6:$G$998,0)),"No Match")</f>
        <v>No Match</v>
      </c>
      <c r="F31" s="2" t="str">
        <f t="shared" si="0"/>
        <v>US</v>
      </c>
      <c r="G31" s="2" t="str">
        <f t="shared" si="1"/>
        <v>Arnold Palmer|MORRIS 3</v>
      </c>
    </row>
    <row r="32" spans="1:7" x14ac:dyDescent="0.2">
      <c r="A32" s="2" t="str" cm="1">
        <f t="array" ref="A32">INDEX('[1]Brand Family Territory (Enc)'!$A$2:$A$296,INT((ROW()-2)/10)+1)</f>
        <v>Athletic</v>
      </c>
      <c r="B32" s="2" t="str" cm="1">
        <f t="array" ref="B32">INDEX('Whitelist (Blackout Reverse)'!$B$1:$K$1,MOD(ROW()-2,10)+1)</f>
        <v>BERGEN</v>
      </c>
      <c r="C32" s="2" t="str">
        <f>VLOOKUP(A32,'[1]Brand Family Territory (Enc)'!$A$2:$B$296,2,FALSE)</f>
        <v>Core Market</v>
      </c>
      <c r="D32" s="2">
        <f>IF(COUNTIFS('[1]Brand Family Territories (Enc)'!$B$2:$B$62,C32,'[1]Brand Family Territories (Enc)'!$C$2:$C$62,B32)&gt;0,1,IF(AND(LEFT(B32,6)="MORRIS",COUNTIFS('[1]Brand Family Territories (Enc)'!$B$2:$B$62,C32,'[1]Brand Family Territories (Enc)'!$C$2:$C$62,"Morri")&gt;0),"Unk",0))</f>
        <v>1</v>
      </c>
      <c r="E32" s="2" t="str">
        <f>IFERROR(INDEX('Blackout Brand Fam Areas (Enc)'!$D$6:$D$998,MATCH(UPPER(A32)&amp;"|"&amp;UPPER(B32),'Blackout Brand Fam Areas (Enc)'!$G$6:$G$998,0)),"No Match")</f>
        <v>No Match</v>
      </c>
      <c r="F32" s="2" t="str">
        <f t="shared" si="0"/>
        <v>US</v>
      </c>
      <c r="G32" s="2" t="str">
        <f t="shared" si="1"/>
        <v>Athletic|BERGEN</v>
      </c>
    </row>
    <row r="33" spans="1:7" x14ac:dyDescent="0.2">
      <c r="A33" s="2" t="str" cm="1">
        <f t="array" ref="A33">INDEX('[1]Brand Family Territory (Enc)'!$A$2:$A$296,INT((ROW()-2)/10)+1)</f>
        <v>Athletic</v>
      </c>
      <c r="B33" s="2" t="str" cm="1">
        <f t="array" ref="B33">INDEX('Whitelist (Blackout Reverse)'!$B$1:$K$1,MOD(ROW()-2,10)+1)</f>
        <v>PASSAIC</v>
      </c>
      <c r="C33" s="2" t="str">
        <f>VLOOKUP(A33,'[1]Brand Family Territory (Enc)'!$A$2:$B$296,2,FALSE)</f>
        <v>Core Market</v>
      </c>
      <c r="D33" s="2">
        <f>IF(COUNTIFS('[1]Brand Family Territories (Enc)'!$B$2:$B$62,C33,'[1]Brand Family Territories (Enc)'!$C$2:$C$62,B33)&gt;0,1,IF(AND(LEFT(B33,6)="MORRIS",COUNTIFS('[1]Brand Family Territories (Enc)'!$B$2:$B$62,C33,'[1]Brand Family Territories (Enc)'!$C$2:$C$62,"Morri")&gt;0),"Unk",0))</f>
        <v>1</v>
      </c>
      <c r="E33" s="2" t="str">
        <f>IFERROR(INDEX('Blackout Brand Fam Areas (Enc)'!$D$6:$D$998,MATCH(UPPER(A33)&amp;"|"&amp;UPPER(B33),'Blackout Brand Fam Areas (Enc)'!$G$6:$G$998,0)),"No Match")</f>
        <v>No Match</v>
      </c>
      <c r="F33" s="2" t="str">
        <f t="shared" si="0"/>
        <v>US</v>
      </c>
      <c r="G33" s="2" t="str">
        <f t="shared" si="1"/>
        <v>Athletic|PASSAIC</v>
      </c>
    </row>
    <row r="34" spans="1:7" x14ac:dyDescent="0.2">
      <c r="A34" s="2" t="str" cm="1">
        <f t="array" ref="A34">INDEX('[1]Brand Family Territory (Enc)'!$A$2:$A$296,INT((ROW()-2)/10)+1)</f>
        <v>Athletic</v>
      </c>
      <c r="B34" s="2" t="str" cm="1">
        <f t="array" ref="B34">INDEX('Whitelist (Blackout Reverse)'!$B$1:$K$1,MOD(ROW()-2,10)+1)</f>
        <v>PASSAIC-FF</v>
      </c>
      <c r="C34" s="2" t="str">
        <f>VLOOKUP(A34,'[1]Brand Family Territory (Enc)'!$A$2:$B$296,2,FALSE)</f>
        <v>Core Market</v>
      </c>
      <c r="D34" s="2">
        <f>IF(COUNTIFS('[1]Brand Family Territories (Enc)'!$B$2:$B$62,C34,'[1]Brand Family Territories (Enc)'!$C$2:$C$62,B34)&gt;0,1,IF(AND(LEFT(B34,6)="MORRIS",COUNTIFS('[1]Brand Family Territories (Enc)'!$B$2:$B$62,C34,'[1]Brand Family Territories (Enc)'!$C$2:$C$62,"Morri")&gt;0),"Unk",0))</f>
        <v>1</v>
      </c>
      <c r="E34" s="2" t="str">
        <f>IFERROR(INDEX('Blackout Brand Fam Areas (Enc)'!$D$6:$D$998,MATCH(UPPER(A34)&amp;"|"&amp;UPPER(B34),'Blackout Brand Fam Areas (Enc)'!$G$6:$G$998,0)),"No Match")</f>
        <v>No Match</v>
      </c>
      <c r="F34" s="2" t="str">
        <f t="shared" si="0"/>
        <v>US</v>
      </c>
      <c r="G34" s="2" t="str">
        <f t="shared" si="1"/>
        <v>Athletic|PASSAIC-FF</v>
      </c>
    </row>
    <row r="35" spans="1:7" x14ac:dyDescent="0.2">
      <c r="A35" s="2" t="str" cm="1">
        <f t="array" ref="A35">INDEX('[1]Brand Family Territory (Enc)'!$A$2:$A$296,INT((ROW()-2)/10)+1)</f>
        <v>Athletic</v>
      </c>
      <c r="B35" s="2" t="str" cm="1">
        <f t="array" ref="B35">INDEX('Whitelist (Blackout Reverse)'!$B$1:$K$1,MOD(ROW()-2,10)+1)</f>
        <v>ESSEX</v>
      </c>
      <c r="C35" s="2" t="str">
        <f>VLOOKUP(A35,'[1]Brand Family Territory (Enc)'!$A$2:$B$296,2,FALSE)</f>
        <v>Core Market</v>
      </c>
      <c r="D35" s="2">
        <f>IF(COUNTIFS('[1]Brand Family Territories (Enc)'!$B$2:$B$62,C35,'[1]Brand Family Territories (Enc)'!$C$2:$C$62,B35)&gt;0,1,IF(AND(LEFT(B35,6)="MORRIS",COUNTIFS('[1]Brand Family Territories (Enc)'!$B$2:$B$62,C35,'[1]Brand Family Territories (Enc)'!$C$2:$C$62,"Morri")&gt;0),"Unk",0))</f>
        <v>0</v>
      </c>
      <c r="E35" s="2" t="str">
        <f>IFERROR(INDEX('Blackout Brand Fam Areas (Enc)'!$D$6:$D$998,MATCH(UPPER(A35)&amp;"|"&amp;UPPER(B35),'Blackout Brand Fam Areas (Enc)'!$G$6:$G$998,0)),"No Match")</f>
        <v>Inactive</v>
      </c>
      <c r="F35" s="2" t="str">
        <f t="shared" si="0"/>
        <v>THEM</v>
      </c>
      <c r="G35" s="2" t="str">
        <f t="shared" si="1"/>
        <v>Athletic|ESSEX</v>
      </c>
    </row>
    <row r="36" spans="1:7" x14ac:dyDescent="0.2">
      <c r="A36" s="2" t="str" cm="1">
        <f t="array" ref="A36">INDEX('[1]Brand Family Territory (Enc)'!$A$2:$A$296,INT((ROW()-2)/10)+1)</f>
        <v>Athletic</v>
      </c>
      <c r="B36" s="2" t="str" cm="1">
        <f t="array" ref="B36">INDEX('Whitelist (Blackout Reverse)'!$B$1:$K$1,MOD(ROW()-2,10)+1)</f>
        <v>HUDSON</v>
      </c>
      <c r="C36" s="2" t="str">
        <f>VLOOKUP(A36,'[1]Brand Family Territory (Enc)'!$A$2:$B$296,2,FALSE)</f>
        <v>Core Market</v>
      </c>
      <c r="D36" s="2">
        <f>IF(COUNTIFS('[1]Brand Family Territories (Enc)'!$B$2:$B$62,C36,'[1]Brand Family Territories (Enc)'!$C$2:$C$62,B36)&gt;0,1,IF(AND(LEFT(B36,6)="MORRIS",COUNTIFS('[1]Brand Family Territories (Enc)'!$B$2:$B$62,C36,'[1]Brand Family Territories (Enc)'!$C$2:$C$62,"Morri")&gt;0),"Unk",0))</f>
        <v>0</v>
      </c>
      <c r="E36" s="2" t="str">
        <f>IFERROR(INDEX('Blackout Brand Fam Areas (Enc)'!$D$6:$D$998,MATCH(UPPER(A36)&amp;"|"&amp;UPPER(B36),'Blackout Brand Fam Areas (Enc)'!$G$6:$G$998,0)),"No Match")</f>
        <v>Inactive</v>
      </c>
      <c r="F36" s="2" t="str">
        <f t="shared" si="0"/>
        <v>THEM</v>
      </c>
      <c r="G36" s="2" t="str">
        <f t="shared" si="1"/>
        <v>Athletic|HUDSON</v>
      </c>
    </row>
    <row r="37" spans="1:7" x14ac:dyDescent="0.2">
      <c r="A37" s="2" t="str" cm="1">
        <f t="array" ref="A37">INDEX('[1]Brand Family Territory (Enc)'!$A$2:$A$296,INT((ROW()-2)/10)+1)</f>
        <v>Athletic</v>
      </c>
      <c r="B37" s="2" t="str" cm="1">
        <f t="array" ref="B37">INDEX('Whitelist (Blackout Reverse)'!$B$1:$K$1,MOD(ROW()-2,10)+1)</f>
        <v>UNION</v>
      </c>
      <c r="C37" s="2" t="str">
        <f>VLOOKUP(A37,'[1]Brand Family Territory (Enc)'!$A$2:$B$296,2,FALSE)</f>
        <v>Core Market</v>
      </c>
      <c r="D37" s="2">
        <f>IF(COUNTIFS('[1]Brand Family Territories (Enc)'!$B$2:$B$62,C37,'[1]Brand Family Territories (Enc)'!$C$2:$C$62,B37)&gt;0,1,IF(AND(LEFT(B37,6)="MORRIS",COUNTIFS('[1]Brand Family Territories (Enc)'!$B$2:$B$62,C37,'[1]Brand Family Territories (Enc)'!$C$2:$C$62,"Morri")&gt;0),"Unk",0))</f>
        <v>0</v>
      </c>
      <c r="E37" s="2" t="str">
        <f>IFERROR(INDEX('Blackout Brand Fam Areas (Enc)'!$D$6:$D$998,MATCH(UPPER(A37)&amp;"|"&amp;UPPER(B37),'Blackout Brand Fam Areas (Enc)'!$G$6:$G$998,0)),"No Match")</f>
        <v>Inactive</v>
      </c>
      <c r="F37" s="2" t="str">
        <f t="shared" si="0"/>
        <v>THEM</v>
      </c>
      <c r="G37" s="2" t="str">
        <f t="shared" si="1"/>
        <v>Athletic|UNION</v>
      </c>
    </row>
    <row r="38" spans="1:7" x14ac:dyDescent="0.2">
      <c r="A38" s="2" t="str" cm="1">
        <f t="array" ref="A38">INDEX('[1]Brand Family Territory (Enc)'!$A$2:$A$296,INT((ROW()-2)/10)+1)</f>
        <v>Athletic</v>
      </c>
      <c r="B38" s="2" t="str" cm="1">
        <f t="array" ref="B38">INDEX('Whitelist (Blackout Reverse)'!$B$1:$K$1,MOD(ROW()-2,10)+1)</f>
        <v>SUSSEX</v>
      </c>
      <c r="C38" s="2" t="str">
        <f>VLOOKUP(A38,'[1]Brand Family Territory (Enc)'!$A$2:$B$296,2,FALSE)</f>
        <v>Core Market</v>
      </c>
      <c r="D38" s="2">
        <f>IF(COUNTIFS('[1]Brand Family Territories (Enc)'!$B$2:$B$62,C38,'[1]Brand Family Territories (Enc)'!$C$2:$C$62,B38)&gt;0,1,IF(AND(LEFT(B38,6)="MORRIS",COUNTIFS('[1]Brand Family Territories (Enc)'!$B$2:$B$62,C38,'[1]Brand Family Territories (Enc)'!$C$2:$C$62,"Morri")&gt;0),"Unk",0))</f>
        <v>1</v>
      </c>
      <c r="E38" s="2" t="str">
        <f>IFERROR(INDEX('Blackout Brand Fam Areas (Enc)'!$D$6:$D$998,MATCH(UPPER(A38)&amp;"|"&amp;UPPER(B38),'Blackout Brand Fam Areas (Enc)'!$G$6:$G$998,0)),"No Match")</f>
        <v>No Match</v>
      </c>
      <c r="F38" s="2" t="str">
        <f t="shared" si="0"/>
        <v>US</v>
      </c>
      <c r="G38" s="2" t="str">
        <f t="shared" si="1"/>
        <v>Athletic|SUSSEX</v>
      </c>
    </row>
    <row r="39" spans="1:7" x14ac:dyDescent="0.2">
      <c r="A39" s="2" t="str" cm="1">
        <f t="array" ref="A39">INDEX('[1]Brand Family Territory (Enc)'!$A$2:$A$296,INT((ROW()-2)/10)+1)</f>
        <v>Athletic</v>
      </c>
      <c r="B39" s="2" t="str" cm="1">
        <f t="array" ref="B39">INDEX('Whitelist (Blackout Reverse)'!$B$1:$K$1,MOD(ROW()-2,10)+1)</f>
        <v>MORRIS 1</v>
      </c>
      <c r="C39" s="2" t="str">
        <f>VLOOKUP(A39,'[1]Brand Family Territory (Enc)'!$A$2:$B$296,2,FALSE)</f>
        <v>Core Market</v>
      </c>
      <c r="D39" s="2">
        <f>IF(COUNTIFS('[1]Brand Family Territories (Enc)'!$B$2:$B$62,C39,'[1]Brand Family Territories (Enc)'!$C$2:$C$62,B39)&gt;0,1,IF(AND(LEFT(B39,6)="MORRIS",COUNTIFS('[1]Brand Family Territories (Enc)'!$B$2:$B$62,C39,'[1]Brand Family Territories (Enc)'!$C$2:$C$62,"Morri")&gt;0),"Unk",0))</f>
        <v>1</v>
      </c>
      <c r="E39" s="2" t="str">
        <f>IFERROR(INDEX('Blackout Brand Fam Areas (Enc)'!$D$6:$D$998,MATCH(UPPER(A39)&amp;"|"&amp;UPPER(B39),'Blackout Brand Fam Areas (Enc)'!$G$6:$G$998,0)),"No Match")</f>
        <v>No Match</v>
      </c>
      <c r="F39" s="2" t="str">
        <f t="shared" si="0"/>
        <v>US</v>
      </c>
      <c r="G39" s="2" t="str">
        <f t="shared" si="1"/>
        <v>Athletic|MORRIS 1</v>
      </c>
    </row>
    <row r="40" spans="1:7" x14ac:dyDescent="0.2">
      <c r="A40" s="2" t="str" cm="1">
        <f t="array" ref="A40">INDEX('[1]Brand Family Territory (Enc)'!$A$2:$A$296,INT((ROW()-2)/10)+1)</f>
        <v>Athletic</v>
      </c>
      <c r="B40" s="2" t="str" cm="1">
        <f t="array" ref="B40">INDEX('Whitelist (Blackout Reverse)'!$B$1:$K$1,MOD(ROW()-2,10)+1)</f>
        <v>MORRIS 2</v>
      </c>
      <c r="C40" s="2" t="str">
        <f>VLOOKUP(A40,'[1]Brand Family Territory (Enc)'!$A$2:$B$296,2,FALSE)</f>
        <v>Core Market</v>
      </c>
      <c r="D40" s="2">
        <f>IF(COUNTIFS('[1]Brand Family Territories (Enc)'!$B$2:$B$62,C40,'[1]Brand Family Territories (Enc)'!$C$2:$C$62,B40)&gt;0,1,IF(AND(LEFT(B40,6)="MORRIS",COUNTIFS('[1]Brand Family Territories (Enc)'!$B$2:$B$62,C40,'[1]Brand Family Territories (Enc)'!$C$2:$C$62,"Morri")&gt;0),"Unk",0))</f>
        <v>0</v>
      </c>
      <c r="E40" s="2" t="str">
        <f>IFERROR(INDEX('Blackout Brand Fam Areas (Enc)'!$D$6:$D$998,MATCH(UPPER(A40)&amp;"|"&amp;UPPER(B40),'Blackout Brand Fam Areas (Enc)'!$G$6:$G$998,0)),"No Match")</f>
        <v>Inactive</v>
      </c>
      <c r="F40" s="2" t="str">
        <f t="shared" si="0"/>
        <v>THEM</v>
      </c>
      <c r="G40" s="2" t="str">
        <f t="shared" si="1"/>
        <v>Athletic|MORRIS 2</v>
      </c>
    </row>
    <row r="41" spans="1:7" x14ac:dyDescent="0.2">
      <c r="A41" s="2" t="str" cm="1">
        <f t="array" ref="A41">INDEX('[1]Brand Family Territory (Enc)'!$A$2:$A$296,INT((ROW()-2)/10)+1)</f>
        <v>Athletic</v>
      </c>
      <c r="B41" s="2" t="str" cm="1">
        <f t="array" ref="B41">INDEX('Whitelist (Blackout Reverse)'!$B$1:$K$1,MOD(ROW()-2,10)+1)</f>
        <v>MORRIS 3</v>
      </c>
      <c r="C41" s="2" t="str">
        <f>VLOOKUP(A41,'[1]Brand Family Territory (Enc)'!$A$2:$B$296,2,FALSE)</f>
        <v>Core Market</v>
      </c>
      <c r="D41" s="2">
        <f>IF(COUNTIFS('[1]Brand Family Territories (Enc)'!$B$2:$B$62,C41,'[1]Brand Family Territories (Enc)'!$C$2:$C$62,B41)&gt;0,1,IF(AND(LEFT(B41,6)="MORRIS",COUNTIFS('[1]Brand Family Territories (Enc)'!$B$2:$B$62,C41,'[1]Brand Family Territories (Enc)'!$C$2:$C$62,"Morri")&gt;0),"Unk",0))</f>
        <v>1</v>
      </c>
      <c r="E41" s="2" t="str">
        <f>IFERROR(INDEX('Blackout Brand Fam Areas (Enc)'!$D$6:$D$998,MATCH(UPPER(A41)&amp;"|"&amp;UPPER(B41),'Blackout Brand Fam Areas (Enc)'!$G$6:$G$998,0)),"No Match")</f>
        <v>No Match</v>
      </c>
      <c r="F41" s="2" t="str">
        <f t="shared" si="0"/>
        <v>US</v>
      </c>
      <c r="G41" s="2" t="str">
        <f t="shared" si="1"/>
        <v>Athletic|MORRIS 3</v>
      </c>
    </row>
    <row r="42" spans="1:7" x14ac:dyDescent="0.2">
      <c r="A42" s="2" t="str" cm="1">
        <f t="array" ref="A42">INDEX('[1]Brand Family Territory (Enc)'!$A$2:$A$296,INT((ROW()-2)/10)+1)</f>
        <v>Bardstown Bourbon</v>
      </c>
      <c r="B42" s="2" t="str" cm="1">
        <f t="array" ref="B42">INDEX('Whitelist (Blackout Reverse)'!$B$1:$K$1,MOD(ROW()-2,10)+1)</f>
        <v>BERGEN</v>
      </c>
      <c r="C42" s="2" t="str">
        <f>VLOOKUP(A42,'[1]Brand Family Territory (Enc)'!$A$2:$B$296,2,FALSE)</f>
        <v>Core Market</v>
      </c>
      <c r="D42" s="2">
        <f>IF(COUNTIFS('[1]Brand Family Territories (Enc)'!$B$2:$B$62,C42,'[1]Brand Family Territories (Enc)'!$C$2:$C$62,B42)&gt;0,1,IF(AND(LEFT(B42,6)="MORRIS",COUNTIFS('[1]Brand Family Territories (Enc)'!$B$2:$B$62,C42,'[1]Brand Family Territories (Enc)'!$C$2:$C$62,"Morri")&gt;0),"Unk",0))</f>
        <v>1</v>
      </c>
      <c r="E42" s="2" t="str">
        <f>IFERROR(INDEX('Blackout Brand Fam Areas (Enc)'!$D$6:$D$998,MATCH(UPPER(A42)&amp;"|"&amp;UPPER(B42),'Blackout Brand Fam Areas (Enc)'!$G$6:$G$998,0)),"No Match")</f>
        <v>No Match</v>
      </c>
      <c r="F42" s="2" t="str">
        <f t="shared" si="0"/>
        <v>US</v>
      </c>
      <c r="G42" s="2" t="str">
        <f t="shared" si="1"/>
        <v>Bardstown Bourbon|BERGEN</v>
      </c>
    </row>
    <row r="43" spans="1:7" x14ac:dyDescent="0.2">
      <c r="A43" s="2" t="str" cm="1">
        <f t="array" ref="A43">INDEX('[1]Brand Family Territory (Enc)'!$A$2:$A$296,INT((ROW()-2)/10)+1)</f>
        <v>Bardstown Bourbon</v>
      </c>
      <c r="B43" s="2" t="str" cm="1">
        <f t="array" ref="B43">INDEX('Whitelist (Blackout Reverse)'!$B$1:$K$1,MOD(ROW()-2,10)+1)</f>
        <v>PASSAIC</v>
      </c>
      <c r="C43" s="2" t="str">
        <f>VLOOKUP(A43,'[1]Brand Family Territory (Enc)'!$A$2:$B$296,2,FALSE)</f>
        <v>Core Market</v>
      </c>
      <c r="D43" s="2">
        <f>IF(COUNTIFS('[1]Brand Family Territories (Enc)'!$B$2:$B$62,C43,'[1]Brand Family Territories (Enc)'!$C$2:$C$62,B43)&gt;0,1,IF(AND(LEFT(B43,6)="MORRIS",COUNTIFS('[1]Brand Family Territories (Enc)'!$B$2:$B$62,C43,'[1]Brand Family Territories (Enc)'!$C$2:$C$62,"Morri")&gt;0),"Unk",0))</f>
        <v>1</v>
      </c>
      <c r="E43" s="2" t="str">
        <f>IFERROR(INDEX('Blackout Brand Fam Areas (Enc)'!$D$6:$D$998,MATCH(UPPER(A43)&amp;"|"&amp;UPPER(B43),'Blackout Brand Fam Areas (Enc)'!$G$6:$G$998,0)),"No Match")</f>
        <v>No Match</v>
      </c>
      <c r="F43" s="2" t="str">
        <f t="shared" si="0"/>
        <v>US</v>
      </c>
      <c r="G43" s="2" t="str">
        <f t="shared" si="1"/>
        <v>Bardstown Bourbon|PASSAIC</v>
      </c>
    </row>
    <row r="44" spans="1:7" x14ac:dyDescent="0.2">
      <c r="A44" s="2" t="str" cm="1">
        <f t="array" ref="A44">INDEX('[1]Brand Family Territory (Enc)'!$A$2:$A$296,INT((ROW()-2)/10)+1)</f>
        <v>Bardstown Bourbon</v>
      </c>
      <c r="B44" s="2" t="str" cm="1">
        <f t="array" ref="B44">INDEX('Whitelist (Blackout Reverse)'!$B$1:$K$1,MOD(ROW()-2,10)+1)</f>
        <v>PASSAIC-FF</v>
      </c>
      <c r="C44" s="2" t="str">
        <f>VLOOKUP(A44,'[1]Brand Family Territory (Enc)'!$A$2:$B$296,2,FALSE)</f>
        <v>Core Market</v>
      </c>
      <c r="D44" s="2">
        <f>IF(COUNTIFS('[1]Brand Family Territories (Enc)'!$B$2:$B$62,C44,'[1]Brand Family Territories (Enc)'!$C$2:$C$62,B44)&gt;0,1,IF(AND(LEFT(B44,6)="MORRIS",COUNTIFS('[1]Brand Family Territories (Enc)'!$B$2:$B$62,C44,'[1]Brand Family Territories (Enc)'!$C$2:$C$62,"Morri")&gt;0),"Unk",0))</f>
        <v>1</v>
      </c>
      <c r="E44" s="2" t="str">
        <f>IFERROR(INDEX('Blackout Brand Fam Areas (Enc)'!$D$6:$D$998,MATCH(UPPER(A44)&amp;"|"&amp;UPPER(B44),'Blackout Brand Fam Areas (Enc)'!$G$6:$G$998,0)),"No Match")</f>
        <v>No Match</v>
      </c>
      <c r="F44" s="2" t="str">
        <f t="shared" si="0"/>
        <v>US</v>
      </c>
      <c r="G44" s="2" t="str">
        <f t="shared" si="1"/>
        <v>Bardstown Bourbon|PASSAIC-FF</v>
      </c>
    </row>
    <row r="45" spans="1:7" x14ac:dyDescent="0.2">
      <c r="A45" s="2" t="str" cm="1">
        <f t="array" ref="A45">INDEX('[1]Brand Family Territory (Enc)'!$A$2:$A$296,INT((ROW()-2)/10)+1)</f>
        <v>Bardstown Bourbon</v>
      </c>
      <c r="B45" s="2" t="str" cm="1">
        <f t="array" ref="B45">INDEX('Whitelist (Blackout Reverse)'!$B$1:$K$1,MOD(ROW()-2,10)+1)</f>
        <v>ESSEX</v>
      </c>
      <c r="C45" s="2" t="str">
        <f>VLOOKUP(A45,'[1]Brand Family Territory (Enc)'!$A$2:$B$296,2,FALSE)</f>
        <v>Core Market</v>
      </c>
      <c r="D45" s="2">
        <f>IF(COUNTIFS('[1]Brand Family Territories (Enc)'!$B$2:$B$62,C45,'[1]Brand Family Territories (Enc)'!$C$2:$C$62,B45)&gt;0,1,IF(AND(LEFT(B45,6)="MORRIS",COUNTIFS('[1]Brand Family Territories (Enc)'!$B$2:$B$62,C45,'[1]Brand Family Territories (Enc)'!$C$2:$C$62,"Morri")&gt;0),"Unk",0))</f>
        <v>0</v>
      </c>
      <c r="E45" s="2" t="str">
        <f>IFERROR(INDEX('Blackout Brand Fam Areas (Enc)'!$D$6:$D$998,MATCH(UPPER(A45)&amp;"|"&amp;UPPER(B45),'Blackout Brand Fam Areas (Enc)'!$G$6:$G$998,0)),"No Match")</f>
        <v>Inactive</v>
      </c>
      <c r="F45" s="2" t="str">
        <f t="shared" si="0"/>
        <v>THEM</v>
      </c>
      <c r="G45" s="2" t="str">
        <f t="shared" si="1"/>
        <v>Bardstown Bourbon|ESSEX</v>
      </c>
    </row>
    <row r="46" spans="1:7" x14ac:dyDescent="0.2">
      <c r="A46" s="2" t="str" cm="1">
        <f t="array" ref="A46">INDEX('[1]Brand Family Territory (Enc)'!$A$2:$A$296,INT((ROW()-2)/10)+1)</f>
        <v>Bardstown Bourbon</v>
      </c>
      <c r="B46" s="2" t="str" cm="1">
        <f t="array" ref="B46">INDEX('Whitelist (Blackout Reverse)'!$B$1:$K$1,MOD(ROW()-2,10)+1)</f>
        <v>HUDSON</v>
      </c>
      <c r="C46" s="2" t="str">
        <f>VLOOKUP(A46,'[1]Brand Family Territory (Enc)'!$A$2:$B$296,2,FALSE)</f>
        <v>Core Market</v>
      </c>
      <c r="D46" s="2">
        <f>IF(COUNTIFS('[1]Brand Family Territories (Enc)'!$B$2:$B$62,C46,'[1]Brand Family Territories (Enc)'!$C$2:$C$62,B46)&gt;0,1,IF(AND(LEFT(B46,6)="MORRIS",COUNTIFS('[1]Brand Family Territories (Enc)'!$B$2:$B$62,C46,'[1]Brand Family Territories (Enc)'!$C$2:$C$62,"Morri")&gt;0),"Unk",0))</f>
        <v>0</v>
      </c>
      <c r="E46" s="2" t="str">
        <f>IFERROR(INDEX('Blackout Brand Fam Areas (Enc)'!$D$6:$D$998,MATCH(UPPER(A46)&amp;"|"&amp;UPPER(B46),'Blackout Brand Fam Areas (Enc)'!$G$6:$G$998,0)),"No Match")</f>
        <v>Inactive</v>
      </c>
      <c r="F46" s="2" t="str">
        <f t="shared" si="0"/>
        <v>THEM</v>
      </c>
      <c r="G46" s="2" t="str">
        <f t="shared" si="1"/>
        <v>Bardstown Bourbon|HUDSON</v>
      </c>
    </row>
    <row r="47" spans="1:7" x14ac:dyDescent="0.2">
      <c r="A47" s="2" t="str" cm="1">
        <f t="array" ref="A47">INDEX('[1]Brand Family Territory (Enc)'!$A$2:$A$296,INT((ROW()-2)/10)+1)</f>
        <v>Bardstown Bourbon</v>
      </c>
      <c r="B47" s="2" t="str" cm="1">
        <f t="array" ref="B47">INDEX('Whitelist (Blackout Reverse)'!$B$1:$K$1,MOD(ROW()-2,10)+1)</f>
        <v>UNION</v>
      </c>
      <c r="C47" s="2" t="str">
        <f>VLOOKUP(A47,'[1]Brand Family Territory (Enc)'!$A$2:$B$296,2,FALSE)</f>
        <v>Core Market</v>
      </c>
      <c r="D47" s="2">
        <f>IF(COUNTIFS('[1]Brand Family Territories (Enc)'!$B$2:$B$62,C47,'[1]Brand Family Territories (Enc)'!$C$2:$C$62,B47)&gt;0,1,IF(AND(LEFT(B47,6)="MORRIS",COUNTIFS('[1]Brand Family Territories (Enc)'!$B$2:$B$62,C47,'[1]Brand Family Territories (Enc)'!$C$2:$C$62,"Morri")&gt;0),"Unk",0))</f>
        <v>0</v>
      </c>
      <c r="E47" s="2" t="str">
        <f>IFERROR(INDEX('Blackout Brand Fam Areas (Enc)'!$D$6:$D$998,MATCH(UPPER(A47)&amp;"|"&amp;UPPER(B47),'Blackout Brand Fam Areas (Enc)'!$G$6:$G$998,0)),"No Match")</f>
        <v>Inactive</v>
      </c>
      <c r="F47" s="2" t="str">
        <f t="shared" si="0"/>
        <v>THEM</v>
      </c>
      <c r="G47" s="2" t="str">
        <f t="shared" si="1"/>
        <v>Bardstown Bourbon|UNION</v>
      </c>
    </row>
    <row r="48" spans="1:7" x14ac:dyDescent="0.2">
      <c r="A48" s="2" t="str" cm="1">
        <f t="array" ref="A48">INDEX('[1]Brand Family Territory (Enc)'!$A$2:$A$296,INT((ROW()-2)/10)+1)</f>
        <v>Bardstown Bourbon</v>
      </c>
      <c r="B48" s="2" t="str" cm="1">
        <f t="array" ref="B48">INDEX('Whitelist (Blackout Reverse)'!$B$1:$K$1,MOD(ROW()-2,10)+1)</f>
        <v>SUSSEX</v>
      </c>
      <c r="C48" s="2" t="str">
        <f>VLOOKUP(A48,'[1]Brand Family Territory (Enc)'!$A$2:$B$296,2,FALSE)</f>
        <v>Core Market</v>
      </c>
      <c r="D48" s="2">
        <f>IF(COUNTIFS('[1]Brand Family Territories (Enc)'!$B$2:$B$62,C48,'[1]Brand Family Territories (Enc)'!$C$2:$C$62,B48)&gt;0,1,IF(AND(LEFT(B48,6)="MORRIS",COUNTIFS('[1]Brand Family Territories (Enc)'!$B$2:$B$62,C48,'[1]Brand Family Territories (Enc)'!$C$2:$C$62,"Morri")&gt;0),"Unk",0))</f>
        <v>1</v>
      </c>
      <c r="E48" s="2" t="str">
        <f>IFERROR(INDEX('Blackout Brand Fam Areas (Enc)'!$D$6:$D$998,MATCH(UPPER(A48)&amp;"|"&amp;UPPER(B48),'Blackout Brand Fam Areas (Enc)'!$G$6:$G$998,0)),"No Match")</f>
        <v>No Match</v>
      </c>
      <c r="F48" s="2" t="str">
        <f t="shared" si="0"/>
        <v>US</v>
      </c>
      <c r="G48" s="2" t="str">
        <f t="shared" si="1"/>
        <v>Bardstown Bourbon|SUSSEX</v>
      </c>
    </row>
    <row r="49" spans="1:7" x14ac:dyDescent="0.2">
      <c r="A49" s="2" t="str" cm="1">
        <f t="array" ref="A49">INDEX('[1]Brand Family Territory (Enc)'!$A$2:$A$296,INT((ROW()-2)/10)+1)</f>
        <v>Bardstown Bourbon</v>
      </c>
      <c r="B49" s="2" t="str" cm="1">
        <f t="array" ref="B49">INDEX('Whitelist (Blackout Reverse)'!$B$1:$K$1,MOD(ROW()-2,10)+1)</f>
        <v>MORRIS 1</v>
      </c>
      <c r="C49" s="2" t="str">
        <f>VLOOKUP(A49,'[1]Brand Family Territory (Enc)'!$A$2:$B$296,2,FALSE)</f>
        <v>Core Market</v>
      </c>
      <c r="D49" s="2">
        <f>IF(COUNTIFS('[1]Brand Family Territories (Enc)'!$B$2:$B$62,C49,'[1]Brand Family Territories (Enc)'!$C$2:$C$62,B49)&gt;0,1,IF(AND(LEFT(B49,6)="MORRIS",COUNTIFS('[1]Brand Family Territories (Enc)'!$B$2:$B$62,C49,'[1]Brand Family Territories (Enc)'!$C$2:$C$62,"Morri")&gt;0),"Unk",0))</f>
        <v>1</v>
      </c>
      <c r="E49" s="2" t="str">
        <f>IFERROR(INDEX('Blackout Brand Fam Areas (Enc)'!$D$6:$D$998,MATCH(UPPER(A49)&amp;"|"&amp;UPPER(B49),'Blackout Brand Fam Areas (Enc)'!$G$6:$G$998,0)),"No Match")</f>
        <v>No Match</v>
      </c>
      <c r="F49" s="2" t="str">
        <f t="shared" si="0"/>
        <v>US</v>
      </c>
      <c r="G49" s="2" t="str">
        <f t="shared" si="1"/>
        <v>Bardstown Bourbon|MORRIS 1</v>
      </c>
    </row>
    <row r="50" spans="1:7" x14ac:dyDescent="0.2">
      <c r="A50" s="2" t="str" cm="1">
        <f t="array" ref="A50">INDEX('[1]Brand Family Territory (Enc)'!$A$2:$A$296,INT((ROW()-2)/10)+1)</f>
        <v>Bardstown Bourbon</v>
      </c>
      <c r="B50" s="2" t="str" cm="1">
        <f t="array" ref="B50">INDEX('Whitelist (Blackout Reverse)'!$B$1:$K$1,MOD(ROW()-2,10)+1)</f>
        <v>MORRIS 2</v>
      </c>
      <c r="C50" s="2" t="str">
        <f>VLOOKUP(A50,'[1]Brand Family Territory (Enc)'!$A$2:$B$296,2,FALSE)</f>
        <v>Core Market</v>
      </c>
      <c r="D50" s="2">
        <f>IF(COUNTIFS('[1]Brand Family Territories (Enc)'!$B$2:$B$62,C50,'[1]Brand Family Territories (Enc)'!$C$2:$C$62,B50)&gt;0,1,IF(AND(LEFT(B50,6)="MORRIS",COUNTIFS('[1]Brand Family Territories (Enc)'!$B$2:$B$62,C50,'[1]Brand Family Territories (Enc)'!$C$2:$C$62,"Morri")&gt;0),"Unk",0))</f>
        <v>0</v>
      </c>
      <c r="E50" s="2" t="str">
        <f>IFERROR(INDEX('Blackout Brand Fam Areas (Enc)'!$D$6:$D$998,MATCH(UPPER(A50)&amp;"|"&amp;UPPER(B50),'Blackout Brand Fam Areas (Enc)'!$G$6:$G$998,0)),"No Match")</f>
        <v>Inactive</v>
      </c>
      <c r="F50" s="2" t="str">
        <f t="shared" si="0"/>
        <v>THEM</v>
      </c>
      <c r="G50" s="2" t="str">
        <f t="shared" si="1"/>
        <v>Bardstown Bourbon|MORRIS 2</v>
      </c>
    </row>
    <row r="51" spans="1:7" x14ac:dyDescent="0.2">
      <c r="A51" s="2" t="str" cm="1">
        <f t="array" ref="A51">INDEX('[1]Brand Family Territory (Enc)'!$A$2:$A$296,INT((ROW()-2)/10)+1)</f>
        <v>Bardstown Bourbon</v>
      </c>
      <c r="B51" s="2" t="str" cm="1">
        <f t="array" ref="B51">INDEX('Whitelist (Blackout Reverse)'!$B$1:$K$1,MOD(ROW()-2,10)+1)</f>
        <v>MORRIS 3</v>
      </c>
      <c r="C51" s="2" t="str">
        <f>VLOOKUP(A51,'[1]Brand Family Territory (Enc)'!$A$2:$B$296,2,FALSE)</f>
        <v>Core Market</v>
      </c>
      <c r="D51" s="2">
        <f>IF(COUNTIFS('[1]Brand Family Territories (Enc)'!$B$2:$B$62,C51,'[1]Brand Family Territories (Enc)'!$C$2:$C$62,B51)&gt;0,1,IF(AND(LEFT(B51,6)="MORRIS",COUNTIFS('[1]Brand Family Territories (Enc)'!$B$2:$B$62,C51,'[1]Brand Family Territories (Enc)'!$C$2:$C$62,"Morri")&gt;0),"Unk",0))</f>
        <v>1</v>
      </c>
      <c r="E51" s="2" t="str">
        <f>IFERROR(INDEX('Blackout Brand Fam Areas (Enc)'!$D$6:$D$998,MATCH(UPPER(A51)&amp;"|"&amp;UPPER(B51),'Blackout Brand Fam Areas (Enc)'!$G$6:$G$998,0)),"No Match")</f>
        <v>No Match</v>
      </c>
      <c r="F51" s="2" t="str">
        <f t="shared" si="0"/>
        <v>US</v>
      </c>
      <c r="G51" s="2" t="str">
        <f t="shared" si="1"/>
        <v>Bardstown Bourbon|MORRIS 3</v>
      </c>
    </row>
    <row r="52" spans="1:7" x14ac:dyDescent="0.2">
      <c r="A52" s="2" t="str" cm="1">
        <f t="array" ref="A52">INDEX('[1]Brand Family Territory (Enc)'!$A$2:$A$296,INT((ROW()-2)/10)+1)</f>
        <v>Bell's</v>
      </c>
      <c r="B52" s="2" t="str" cm="1">
        <f t="array" ref="B52">INDEX('Whitelist (Blackout Reverse)'!$B$1:$K$1,MOD(ROW()-2,10)+1)</f>
        <v>BERGEN</v>
      </c>
      <c r="C52" s="2" t="str">
        <f>VLOOKUP(A52,'[1]Brand Family Territory (Enc)'!$A$2:$B$296,2,FALSE)</f>
        <v>Core Market</v>
      </c>
      <c r="D52" s="2">
        <f>IF(COUNTIFS('[1]Brand Family Territories (Enc)'!$B$2:$B$62,C52,'[1]Brand Family Territories (Enc)'!$C$2:$C$62,B52)&gt;0,1,IF(AND(LEFT(B52,6)="MORRIS",COUNTIFS('[1]Brand Family Territories (Enc)'!$B$2:$B$62,C52,'[1]Brand Family Territories (Enc)'!$C$2:$C$62,"Morri")&gt;0),"Unk",0))</f>
        <v>1</v>
      </c>
      <c r="E52" s="2" t="str">
        <f>IFERROR(INDEX('Blackout Brand Fam Areas (Enc)'!$D$6:$D$998,MATCH(UPPER(A52)&amp;"|"&amp;UPPER(B52),'Blackout Brand Fam Areas (Enc)'!$G$6:$G$998,0)),"No Match")</f>
        <v>No Match</v>
      </c>
      <c r="F52" s="2" t="str">
        <f t="shared" si="0"/>
        <v>US</v>
      </c>
      <c r="G52" s="2" t="str">
        <f t="shared" si="1"/>
        <v>Bell's|BERGEN</v>
      </c>
    </row>
    <row r="53" spans="1:7" x14ac:dyDescent="0.2">
      <c r="A53" s="2" t="str" cm="1">
        <f t="array" ref="A53">INDEX('[1]Brand Family Territory (Enc)'!$A$2:$A$296,INT((ROW()-2)/10)+1)</f>
        <v>Bell's</v>
      </c>
      <c r="B53" s="2" t="str" cm="1">
        <f t="array" ref="B53">INDEX('Whitelist (Blackout Reverse)'!$B$1:$K$1,MOD(ROW()-2,10)+1)</f>
        <v>PASSAIC</v>
      </c>
      <c r="C53" s="2" t="str">
        <f>VLOOKUP(A53,'[1]Brand Family Territory (Enc)'!$A$2:$B$296,2,FALSE)</f>
        <v>Core Market</v>
      </c>
      <c r="D53" s="2">
        <f>IF(COUNTIFS('[1]Brand Family Territories (Enc)'!$B$2:$B$62,C53,'[1]Brand Family Territories (Enc)'!$C$2:$C$62,B53)&gt;0,1,IF(AND(LEFT(B53,6)="MORRIS",COUNTIFS('[1]Brand Family Territories (Enc)'!$B$2:$B$62,C53,'[1]Brand Family Territories (Enc)'!$C$2:$C$62,"Morri")&gt;0),"Unk",0))</f>
        <v>1</v>
      </c>
      <c r="E53" s="2" t="str">
        <f>IFERROR(INDEX('Blackout Brand Fam Areas (Enc)'!$D$6:$D$998,MATCH(UPPER(A53)&amp;"|"&amp;UPPER(B53),'Blackout Brand Fam Areas (Enc)'!$G$6:$G$998,0)),"No Match")</f>
        <v>No Match</v>
      </c>
      <c r="F53" s="2" t="str">
        <f t="shared" si="0"/>
        <v>US</v>
      </c>
      <c r="G53" s="2" t="str">
        <f t="shared" si="1"/>
        <v>Bell's|PASSAIC</v>
      </c>
    </row>
    <row r="54" spans="1:7" x14ac:dyDescent="0.2">
      <c r="A54" s="2" t="str" cm="1">
        <f t="array" ref="A54">INDEX('[1]Brand Family Territory (Enc)'!$A$2:$A$296,INT((ROW()-2)/10)+1)</f>
        <v>Bell's</v>
      </c>
      <c r="B54" s="2" t="str" cm="1">
        <f t="array" ref="B54">INDEX('Whitelist (Blackout Reverse)'!$B$1:$K$1,MOD(ROW()-2,10)+1)</f>
        <v>PASSAIC-FF</v>
      </c>
      <c r="C54" s="2" t="str">
        <f>VLOOKUP(A54,'[1]Brand Family Territory (Enc)'!$A$2:$B$296,2,FALSE)</f>
        <v>Core Market</v>
      </c>
      <c r="D54" s="2">
        <f>IF(COUNTIFS('[1]Brand Family Territories (Enc)'!$B$2:$B$62,C54,'[1]Brand Family Territories (Enc)'!$C$2:$C$62,B54)&gt;0,1,IF(AND(LEFT(B54,6)="MORRIS",COUNTIFS('[1]Brand Family Territories (Enc)'!$B$2:$B$62,C54,'[1]Brand Family Territories (Enc)'!$C$2:$C$62,"Morri")&gt;0),"Unk",0))</f>
        <v>1</v>
      </c>
      <c r="E54" s="2" t="str">
        <f>IFERROR(INDEX('Blackout Brand Fam Areas (Enc)'!$D$6:$D$998,MATCH(UPPER(A54)&amp;"|"&amp;UPPER(B54),'Blackout Brand Fam Areas (Enc)'!$G$6:$G$998,0)),"No Match")</f>
        <v>No Match</v>
      </c>
      <c r="F54" s="2" t="str">
        <f t="shared" si="0"/>
        <v>US</v>
      </c>
      <c r="G54" s="2" t="str">
        <f t="shared" si="1"/>
        <v>Bell's|PASSAIC-FF</v>
      </c>
    </row>
    <row r="55" spans="1:7" x14ac:dyDescent="0.2">
      <c r="A55" s="2" t="str" cm="1">
        <f t="array" ref="A55">INDEX('[1]Brand Family Territory (Enc)'!$A$2:$A$296,INT((ROW()-2)/10)+1)</f>
        <v>Bell's</v>
      </c>
      <c r="B55" s="2" t="str" cm="1">
        <f t="array" ref="B55">INDEX('Whitelist (Blackout Reverse)'!$B$1:$K$1,MOD(ROW()-2,10)+1)</f>
        <v>ESSEX</v>
      </c>
      <c r="C55" s="2" t="str">
        <f>VLOOKUP(A55,'[1]Brand Family Territory (Enc)'!$A$2:$B$296,2,FALSE)</f>
        <v>Core Market</v>
      </c>
      <c r="D55" s="2">
        <f>IF(COUNTIFS('[1]Brand Family Territories (Enc)'!$B$2:$B$62,C55,'[1]Brand Family Territories (Enc)'!$C$2:$C$62,B55)&gt;0,1,IF(AND(LEFT(B55,6)="MORRIS",COUNTIFS('[1]Brand Family Territories (Enc)'!$B$2:$B$62,C55,'[1]Brand Family Territories (Enc)'!$C$2:$C$62,"Morri")&gt;0),"Unk",0))</f>
        <v>0</v>
      </c>
      <c r="E55" s="2" t="str">
        <f>IFERROR(INDEX('Blackout Brand Fam Areas (Enc)'!$D$6:$D$998,MATCH(UPPER(A55)&amp;"|"&amp;UPPER(B55),'Blackout Brand Fam Areas (Enc)'!$G$6:$G$998,0)),"No Match")</f>
        <v>Inactive</v>
      </c>
      <c r="F55" s="2" t="str">
        <f t="shared" si="0"/>
        <v>THEM</v>
      </c>
      <c r="G55" s="2" t="str">
        <f t="shared" si="1"/>
        <v>Bell's|ESSEX</v>
      </c>
    </row>
    <row r="56" spans="1:7" x14ac:dyDescent="0.2">
      <c r="A56" s="2" t="str" cm="1">
        <f t="array" ref="A56">INDEX('[1]Brand Family Territory (Enc)'!$A$2:$A$296,INT((ROW()-2)/10)+1)</f>
        <v>Bell's</v>
      </c>
      <c r="B56" s="2" t="str" cm="1">
        <f t="array" ref="B56">INDEX('Whitelist (Blackout Reverse)'!$B$1:$K$1,MOD(ROW()-2,10)+1)</f>
        <v>HUDSON</v>
      </c>
      <c r="C56" s="2" t="str">
        <f>VLOOKUP(A56,'[1]Brand Family Territory (Enc)'!$A$2:$B$296,2,FALSE)</f>
        <v>Core Market</v>
      </c>
      <c r="D56" s="2">
        <f>IF(COUNTIFS('[1]Brand Family Territories (Enc)'!$B$2:$B$62,C56,'[1]Brand Family Territories (Enc)'!$C$2:$C$62,B56)&gt;0,1,IF(AND(LEFT(B56,6)="MORRIS",COUNTIFS('[1]Brand Family Territories (Enc)'!$B$2:$B$62,C56,'[1]Brand Family Territories (Enc)'!$C$2:$C$62,"Morri")&gt;0),"Unk",0))</f>
        <v>0</v>
      </c>
      <c r="E56" s="2" t="str">
        <f>IFERROR(INDEX('Blackout Brand Fam Areas (Enc)'!$D$6:$D$998,MATCH(UPPER(A56)&amp;"|"&amp;UPPER(B56),'Blackout Brand Fam Areas (Enc)'!$G$6:$G$998,0)),"No Match")</f>
        <v>Inactive</v>
      </c>
      <c r="F56" s="2" t="str">
        <f t="shared" si="0"/>
        <v>THEM</v>
      </c>
      <c r="G56" s="2" t="str">
        <f t="shared" si="1"/>
        <v>Bell's|HUDSON</v>
      </c>
    </row>
    <row r="57" spans="1:7" x14ac:dyDescent="0.2">
      <c r="A57" s="2" t="str" cm="1">
        <f t="array" ref="A57">INDEX('[1]Brand Family Territory (Enc)'!$A$2:$A$296,INT((ROW()-2)/10)+1)</f>
        <v>Bell's</v>
      </c>
      <c r="B57" s="2" t="str" cm="1">
        <f t="array" ref="B57">INDEX('Whitelist (Blackout Reverse)'!$B$1:$K$1,MOD(ROW()-2,10)+1)</f>
        <v>UNION</v>
      </c>
      <c r="C57" s="2" t="str">
        <f>VLOOKUP(A57,'[1]Brand Family Territory (Enc)'!$A$2:$B$296,2,FALSE)</f>
        <v>Core Market</v>
      </c>
      <c r="D57" s="2">
        <f>IF(COUNTIFS('[1]Brand Family Territories (Enc)'!$B$2:$B$62,C57,'[1]Brand Family Territories (Enc)'!$C$2:$C$62,B57)&gt;0,1,IF(AND(LEFT(B57,6)="MORRIS",COUNTIFS('[1]Brand Family Territories (Enc)'!$B$2:$B$62,C57,'[1]Brand Family Territories (Enc)'!$C$2:$C$62,"Morri")&gt;0),"Unk",0))</f>
        <v>0</v>
      </c>
      <c r="E57" s="2" t="str">
        <f>IFERROR(INDEX('Blackout Brand Fam Areas (Enc)'!$D$6:$D$998,MATCH(UPPER(A57)&amp;"|"&amp;UPPER(B57),'Blackout Brand Fam Areas (Enc)'!$G$6:$G$998,0)),"No Match")</f>
        <v>Inactive</v>
      </c>
      <c r="F57" s="2" t="str">
        <f t="shared" si="0"/>
        <v>THEM</v>
      </c>
      <c r="G57" s="2" t="str">
        <f t="shared" si="1"/>
        <v>Bell's|UNION</v>
      </c>
    </row>
    <row r="58" spans="1:7" x14ac:dyDescent="0.2">
      <c r="A58" s="2" t="str" cm="1">
        <f t="array" ref="A58">INDEX('[1]Brand Family Territory (Enc)'!$A$2:$A$296,INT((ROW()-2)/10)+1)</f>
        <v>Bell's</v>
      </c>
      <c r="B58" s="2" t="str" cm="1">
        <f t="array" ref="B58">INDEX('Whitelist (Blackout Reverse)'!$B$1:$K$1,MOD(ROW()-2,10)+1)</f>
        <v>SUSSEX</v>
      </c>
      <c r="C58" s="2" t="str">
        <f>VLOOKUP(A58,'[1]Brand Family Territory (Enc)'!$A$2:$B$296,2,FALSE)</f>
        <v>Core Market</v>
      </c>
      <c r="D58" s="2">
        <f>IF(COUNTIFS('[1]Brand Family Territories (Enc)'!$B$2:$B$62,C58,'[1]Brand Family Territories (Enc)'!$C$2:$C$62,B58)&gt;0,1,IF(AND(LEFT(B58,6)="MORRIS",COUNTIFS('[1]Brand Family Territories (Enc)'!$B$2:$B$62,C58,'[1]Brand Family Territories (Enc)'!$C$2:$C$62,"Morri")&gt;0),"Unk",0))</f>
        <v>1</v>
      </c>
      <c r="E58" s="2" t="str">
        <f>IFERROR(INDEX('Blackout Brand Fam Areas (Enc)'!$D$6:$D$998,MATCH(UPPER(A58)&amp;"|"&amp;UPPER(B58),'Blackout Brand Fam Areas (Enc)'!$G$6:$G$998,0)),"No Match")</f>
        <v>No Match</v>
      </c>
      <c r="F58" s="2" t="str">
        <f t="shared" si="0"/>
        <v>US</v>
      </c>
      <c r="G58" s="2" t="str">
        <f t="shared" si="1"/>
        <v>Bell's|SUSSEX</v>
      </c>
    </row>
    <row r="59" spans="1:7" x14ac:dyDescent="0.2">
      <c r="A59" s="2" t="str" cm="1">
        <f t="array" ref="A59">INDEX('[1]Brand Family Territory (Enc)'!$A$2:$A$296,INT((ROW()-2)/10)+1)</f>
        <v>Bell's</v>
      </c>
      <c r="B59" s="2" t="str" cm="1">
        <f t="array" ref="B59">INDEX('Whitelist (Blackout Reverse)'!$B$1:$K$1,MOD(ROW()-2,10)+1)</f>
        <v>MORRIS 1</v>
      </c>
      <c r="C59" s="2" t="str">
        <f>VLOOKUP(A59,'[1]Brand Family Territory (Enc)'!$A$2:$B$296,2,FALSE)</f>
        <v>Core Market</v>
      </c>
      <c r="D59" s="2">
        <f>IF(COUNTIFS('[1]Brand Family Territories (Enc)'!$B$2:$B$62,C59,'[1]Brand Family Territories (Enc)'!$C$2:$C$62,B59)&gt;0,1,IF(AND(LEFT(B59,6)="MORRIS",COUNTIFS('[1]Brand Family Territories (Enc)'!$B$2:$B$62,C59,'[1]Brand Family Territories (Enc)'!$C$2:$C$62,"Morri")&gt;0),"Unk",0))</f>
        <v>1</v>
      </c>
      <c r="E59" s="2" t="str">
        <f>IFERROR(INDEX('Blackout Brand Fam Areas (Enc)'!$D$6:$D$998,MATCH(UPPER(A59)&amp;"|"&amp;UPPER(B59),'Blackout Brand Fam Areas (Enc)'!$G$6:$G$998,0)),"No Match")</f>
        <v>No Match</v>
      </c>
      <c r="F59" s="2" t="str">
        <f t="shared" si="0"/>
        <v>US</v>
      </c>
      <c r="G59" s="2" t="str">
        <f t="shared" si="1"/>
        <v>Bell's|MORRIS 1</v>
      </c>
    </row>
    <row r="60" spans="1:7" x14ac:dyDescent="0.2">
      <c r="A60" s="2" t="str" cm="1">
        <f t="array" ref="A60">INDEX('[1]Brand Family Territory (Enc)'!$A$2:$A$296,INT((ROW()-2)/10)+1)</f>
        <v>Bell's</v>
      </c>
      <c r="B60" s="2" t="str" cm="1">
        <f t="array" ref="B60">INDEX('Whitelist (Blackout Reverse)'!$B$1:$K$1,MOD(ROW()-2,10)+1)</f>
        <v>MORRIS 2</v>
      </c>
      <c r="C60" s="2" t="str">
        <f>VLOOKUP(A60,'[1]Brand Family Territory (Enc)'!$A$2:$B$296,2,FALSE)</f>
        <v>Core Market</v>
      </c>
      <c r="D60" s="2">
        <f>IF(COUNTIFS('[1]Brand Family Territories (Enc)'!$B$2:$B$62,C60,'[1]Brand Family Territories (Enc)'!$C$2:$C$62,B60)&gt;0,1,IF(AND(LEFT(B60,6)="MORRIS",COUNTIFS('[1]Brand Family Territories (Enc)'!$B$2:$B$62,C60,'[1]Brand Family Territories (Enc)'!$C$2:$C$62,"Morri")&gt;0),"Unk",0))</f>
        <v>0</v>
      </c>
      <c r="E60" s="2" t="str">
        <f>IFERROR(INDEX('Blackout Brand Fam Areas (Enc)'!$D$6:$D$998,MATCH(UPPER(A60)&amp;"|"&amp;UPPER(B60),'Blackout Brand Fam Areas (Enc)'!$G$6:$G$998,0)),"No Match")</f>
        <v>Inactive</v>
      </c>
      <c r="F60" s="2" t="str">
        <f t="shared" si="0"/>
        <v>THEM</v>
      </c>
      <c r="G60" s="2" t="str">
        <f t="shared" si="1"/>
        <v>Bell's|MORRIS 2</v>
      </c>
    </row>
    <row r="61" spans="1:7" x14ac:dyDescent="0.2">
      <c r="A61" s="2" t="str" cm="1">
        <f t="array" ref="A61">INDEX('[1]Brand Family Territory (Enc)'!$A$2:$A$296,INT((ROW()-2)/10)+1)</f>
        <v>Bell's</v>
      </c>
      <c r="B61" s="2" t="str" cm="1">
        <f t="array" ref="B61">INDEX('Whitelist (Blackout Reverse)'!$B$1:$K$1,MOD(ROW()-2,10)+1)</f>
        <v>MORRIS 3</v>
      </c>
      <c r="C61" s="2" t="str">
        <f>VLOOKUP(A61,'[1]Brand Family Territory (Enc)'!$A$2:$B$296,2,FALSE)</f>
        <v>Core Market</v>
      </c>
      <c r="D61" s="2">
        <f>IF(COUNTIFS('[1]Brand Family Territories (Enc)'!$B$2:$B$62,C61,'[1]Brand Family Territories (Enc)'!$C$2:$C$62,B61)&gt;0,1,IF(AND(LEFT(B61,6)="MORRIS",COUNTIFS('[1]Brand Family Territories (Enc)'!$B$2:$B$62,C61,'[1]Brand Family Territories (Enc)'!$C$2:$C$62,"Morri")&gt;0),"Unk",0))</f>
        <v>1</v>
      </c>
      <c r="E61" s="2" t="str">
        <f>IFERROR(INDEX('Blackout Brand Fam Areas (Enc)'!$D$6:$D$998,MATCH(UPPER(A61)&amp;"|"&amp;UPPER(B61),'Blackout Brand Fam Areas (Enc)'!$G$6:$G$998,0)),"No Match")</f>
        <v>No Match</v>
      </c>
      <c r="F61" s="2" t="str">
        <f t="shared" si="0"/>
        <v>US</v>
      </c>
      <c r="G61" s="2" t="str">
        <f t="shared" si="1"/>
        <v>Bell's|MORRIS 3</v>
      </c>
    </row>
    <row r="62" spans="1:7" x14ac:dyDescent="0.2">
      <c r="A62" s="2" t="str" cm="1">
        <f t="array" ref="A62">INDEX('[1]Brand Family Territory (Enc)'!$A$2:$A$296,INT((ROW()-2)/10)+1)</f>
        <v>Bell's Hearted Family</v>
      </c>
      <c r="B62" s="2" t="str" cm="1">
        <f t="array" ref="B62">INDEX('Whitelist (Blackout Reverse)'!$B$1:$K$1,MOD(ROW()-2,10)+1)</f>
        <v>BERGEN</v>
      </c>
      <c r="C62" s="2" t="str">
        <f>VLOOKUP(A62,'[1]Brand Family Territory (Enc)'!$A$2:$B$296,2,FALSE)</f>
        <v>Core Market</v>
      </c>
      <c r="D62" s="2">
        <f>IF(COUNTIFS('[1]Brand Family Territories (Enc)'!$B$2:$B$62,C62,'[1]Brand Family Territories (Enc)'!$C$2:$C$62,B62)&gt;0,1,IF(AND(LEFT(B62,6)="MORRIS",COUNTIFS('[1]Brand Family Territories (Enc)'!$B$2:$B$62,C62,'[1]Brand Family Territories (Enc)'!$C$2:$C$62,"Morri")&gt;0),"Unk",0))</f>
        <v>1</v>
      </c>
      <c r="E62" s="2" t="str">
        <f>IFERROR(INDEX('Blackout Brand Fam Areas (Enc)'!$D$6:$D$998,MATCH(UPPER(A62)&amp;"|"&amp;UPPER(B62),'Blackout Brand Fam Areas (Enc)'!$G$6:$G$998,0)),"No Match")</f>
        <v>No Match</v>
      </c>
      <c r="F62" s="2" t="str">
        <f t="shared" si="0"/>
        <v>US</v>
      </c>
      <c r="G62" s="2" t="str">
        <f t="shared" si="1"/>
        <v>Bell's Hearted Family|BERGEN</v>
      </c>
    </row>
    <row r="63" spans="1:7" x14ac:dyDescent="0.2">
      <c r="A63" s="2" t="str" cm="1">
        <f t="array" ref="A63">INDEX('[1]Brand Family Territory (Enc)'!$A$2:$A$296,INT((ROW()-2)/10)+1)</f>
        <v>Bell's Hearted Family</v>
      </c>
      <c r="B63" s="2" t="str" cm="1">
        <f t="array" ref="B63">INDEX('Whitelist (Blackout Reverse)'!$B$1:$K$1,MOD(ROW()-2,10)+1)</f>
        <v>PASSAIC</v>
      </c>
      <c r="C63" s="2" t="str">
        <f>VLOOKUP(A63,'[1]Brand Family Territory (Enc)'!$A$2:$B$296,2,FALSE)</f>
        <v>Core Market</v>
      </c>
      <c r="D63" s="2">
        <f>IF(COUNTIFS('[1]Brand Family Territories (Enc)'!$B$2:$B$62,C63,'[1]Brand Family Territories (Enc)'!$C$2:$C$62,B63)&gt;0,1,IF(AND(LEFT(B63,6)="MORRIS",COUNTIFS('[1]Brand Family Territories (Enc)'!$B$2:$B$62,C63,'[1]Brand Family Territories (Enc)'!$C$2:$C$62,"Morri")&gt;0),"Unk",0))</f>
        <v>1</v>
      </c>
      <c r="E63" s="2" t="str">
        <f>IFERROR(INDEX('Blackout Brand Fam Areas (Enc)'!$D$6:$D$998,MATCH(UPPER(A63)&amp;"|"&amp;UPPER(B63),'Blackout Brand Fam Areas (Enc)'!$G$6:$G$998,0)),"No Match")</f>
        <v>No Match</v>
      </c>
      <c r="F63" s="2" t="str">
        <f t="shared" si="0"/>
        <v>US</v>
      </c>
      <c r="G63" s="2" t="str">
        <f t="shared" si="1"/>
        <v>Bell's Hearted Family|PASSAIC</v>
      </c>
    </row>
    <row r="64" spans="1:7" x14ac:dyDescent="0.2">
      <c r="A64" s="2" t="str" cm="1">
        <f t="array" ref="A64">INDEX('[1]Brand Family Territory (Enc)'!$A$2:$A$296,INT((ROW()-2)/10)+1)</f>
        <v>Bell's Hearted Family</v>
      </c>
      <c r="B64" s="2" t="str" cm="1">
        <f t="array" ref="B64">INDEX('Whitelist (Blackout Reverse)'!$B$1:$K$1,MOD(ROW()-2,10)+1)</f>
        <v>PASSAIC-FF</v>
      </c>
      <c r="C64" s="2" t="str">
        <f>VLOOKUP(A64,'[1]Brand Family Territory (Enc)'!$A$2:$B$296,2,FALSE)</f>
        <v>Core Market</v>
      </c>
      <c r="D64" s="2">
        <f>IF(COUNTIFS('[1]Brand Family Territories (Enc)'!$B$2:$B$62,C64,'[1]Brand Family Territories (Enc)'!$C$2:$C$62,B64)&gt;0,1,IF(AND(LEFT(B64,6)="MORRIS",COUNTIFS('[1]Brand Family Territories (Enc)'!$B$2:$B$62,C64,'[1]Brand Family Territories (Enc)'!$C$2:$C$62,"Morri")&gt;0),"Unk",0))</f>
        <v>1</v>
      </c>
      <c r="E64" s="2" t="str">
        <f>IFERROR(INDEX('Blackout Brand Fam Areas (Enc)'!$D$6:$D$998,MATCH(UPPER(A64)&amp;"|"&amp;UPPER(B64),'Blackout Brand Fam Areas (Enc)'!$G$6:$G$998,0)),"No Match")</f>
        <v>No Match</v>
      </c>
      <c r="F64" s="2" t="str">
        <f t="shared" si="0"/>
        <v>US</v>
      </c>
      <c r="G64" s="2" t="str">
        <f t="shared" si="1"/>
        <v>Bell's Hearted Family|PASSAIC-FF</v>
      </c>
    </row>
    <row r="65" spans="1:7" x14ac:dyDescent="0.2">
      <c r="A65" s="2" t="str" cm="1">
        <f t="array" ref="A65">INDEX('[1]Brand Family Territory (Enc)'!$A$2:$A$296,INT((ROW()-2)/10)+1)</f>
        <v>Bell's Hearted Family</v>
      </c>
      <c r="B65" s="2" t="str" cm="1">
        <f t="array" ref="B65">INDEX('Whitelist (Blackout Reverse)'!$B$1:$K$1,MOD(ROW()-2,10)+1)</f>
        <v>ESSEX</v>
      </c>
      <c r="C65" s="2" t="str">
        <f>VLOOKUP(A65,'[1]Brand Family Territory (Enc)'!$A$2:$B$296,2,FALSE)</f>
        <v>Core Market</v>
      </c>
      <c r="D65" s="2">
        <f>IF(COUNTIFS('[1]Brand Family Territories (Enc)'!$B$2:$B$62,C65,'[1]Brand Family Territories (Enc)'!$C$2:$C$62,B65)&gt;0,1,IF(AND(LEFT(B65,6)="MORRIS",COUNTIFS('[1]Brand Family Territories (Enc)'!$B$2:$B$62,C65,'[1]Brand Family Territories (Enc)'!$C$2:$C$62,"Morri")&gt;0),"Unk",0))</f>
        <v>0</v>
      </c>
      <c r="E65" s="2" t="str">
        <f>IFERROR(INDEX('Blackout Brand Fam Areas (Enc)'!$D$6:$D$998,MATCH(UPPER(A65)&amp;"|"&amp;UPPER(B65),'Blackout Brand Fam Areas (Enc)'!$G$6:$G$998,0)),"No Match")</f>
        <v>Inactive</v>
      </c>
      <c r="F65" s="2" t="str">
        <f t="shared" si="0"/>
        <v>THEM</v>
      </c>
      <c r="G65" s="2" t="str">
        <f t="shared" si="1"/>
        <v>Bell's Hearted Family|ESSEX</v>
      </c>
    </row>
    <row r="66" spans="1:7" x14ac:dyDescent="0.2">
      <c r="A66" s="2" t="str" cm="1">
        <f t="array" ref="A66">INDEX('[1]Brand Family Territory (Enc)'!$A$2:$A$296,INT((ROW()-2)/10)+1)</f>
        <v>Bell's Hearted Family</v>
      </c>
      <c r="B66" s="2" t="str" cm="1">
        <f t="array" ref="B66">INDEX('Whitelist (Blackout Reverse)'!$B$1:$K$1,MOD(ROW()-2,10)+1)</f>
        <v>HUDSON</v>
      </c>
      <c r="C66" s="2" t="str">
        <f>VLOOKUP(A66,'[1]Brand Family Territory (Enc)'!$A$2:$B$296,2,FALSE)</f>
        <v>Core Market</v>
      </c>
      <c r="D66" s="2">
        <f>IF(COUNTIFS('[1]Brand Family Territories (Enc)'!$B$2:$B$62,C66,'[1]Brand Family Territories (Enc)'!$C$2:$C$62,B66)&gt;0,1,IF(AND(LEFT(B66,6)="MORRIS",COUNTIFS('[1]Brand Family Territories (Enc)'!$B$2:$B$62,C66,'[1]Brand Family Territories (Enc)'!$C$2:$C$62,"Morri")&gt;0),"Unk",0))</f>
        <v>0</v>
      </c>
      <c r="E66" s="2" t="str">
        <f>IFERROR(INDEX('Blackout Brand Fam Areas (Enc)'!$D$6:$D$998,MATCH(UPPER(A66)&amp;"|"&amp;UPPER(B66),'Blackout Brand Fam Areas (Enc)'!$G$6:$G$998,0)),"No Match")</f>
        <v>Inactive</v>
      </c>
      <c r="F66" s="2" t="str">
        <f t="shared" si="0"/>
        <v>THEM</v>
      </c>
      <c r="G66" s="2" t="str">
        <f t="shared" si="1"/>
        <v>Bell's Hearted Family|HUDSON</v>
      </c>
    </row>
    <row r="67" spans="1:7" x14ac:dyDescent="0.2">
      <c r="A67" s="2" t="str" cm="1">
        <f t="array" ref="A67">INDEX('[1]Brand Family Territory (Enc)'!$A$2:$A$296,INT((ROW()-2)/10)+1)</f>
        <v>Bell's Hearted Family</v>
      </c>
      <c r="B67" s="2" t="str" cm="1">
        <f t="array" ref="B67">INDEX('Whitelist (Blackout Reverse)'!$B$1:$K$1,MOD(ROW()-2,10)+1)</f>
        <v>UNION</v>
      </c>
      <c r="C67" s="2" t="str">
        <f>VLOOKUP(A67,'[1]Brand Family Territory (Enc)'!$A$2:$B$296,2,FALSE)</f>
        <v>Core Market</v>
      </c>
      <c r="D67" s="2">
        <f>IF(COUNTIFS('[1]Brand Family Territories (Enc)'!$B$2:$B$62,C67,'[1]Brand Family Territories (Enc)'!$C$2:$C$62,B67)&gt;0,1,IF(AND(LEFT(B67,6)="MORRIS",COUNTIFS('[1]Brand Family Territories (Enc)'!$B$2:$B$62,C67,'[1]Brand Family Territories (Enc)'!$C$2:$C$62,"Morri")&gt;0),"Unk",0))</f>
        <v>0</v>
      </c>
      <c r="E67" s="2" t="str">
        <f>IFERROR(INDEX('Blackout Brand Fam Areas (Enc)'!$D$6:$D$998,MATCH(UPPER(A67)&amp;"|"&amp;UPPER(B67),'Blackout Brand Fam Areas (Enc)'!$G$6:$G$998,0)),"No Match")</f>
        <v>Inactive</v>
      </c>
      <c r="F67" s="2" t="str">
        <f t="shared" ref="F67:F130" si="2">IF(D67="Unk","Ambiguous (Source Truncated)",IF(E67="Inactive","THEM",IF(D67=1,"US",IF(D67="N/A","No Territory Data","THEM"))))</f>
        <v>THEM</v>
      </c>
      <c r="G67" s="2" t="str">
        <f t="shared" ref="G67:G130" si="3">A67&amp;"|"&amp;B67</f>
        <v>Bell's Hearted Family|UNION</v>
      </c>
    </row>
    <row r="68" spans="1:7" x14ac:dyDescent="0.2">
      <c r="A68" s="2" t="str" cm="1">
        <f t="array" ref="A68">INDEX('[1]Brand Family Territory (Enc)'!$A$2:$A$296,INT((ROW()-2)/10)+1)</f>
        <v>Bell's Hearted Family</v>
      </c>
      <c r="B68" s="2" t="str" cm="1">
        <f t="array" ref="B68">INDEX('Whitelist (Blackout Reverse)'!$B$1:$K$1,MOD(ROW()-2,10)+1)</f>
        <v>SUSSEX</v>
      </c>
      <c r="C68" s="2" t="str">
        <f>VLOOKUP(A68,'[1]Brand Family Territory (Enc)'!$A$2:$B$296,2,FALSE)</f>
        <v>Core Market</v>
      </c>
      <c r="D68" s="2">
        <f>IF(COUNTIFS('[1]Brand Family Territories (Enc)'!$B$2:$B$62,C68,'[1]Brand Family Territories (Enc)'!$C$2:$C$62,B68)&gt;0,1,IF(AND(LEFT(B68,6)="MORRIS",COUNTIFS('[1]Brand Family Territories (Enc)'!$B$2:$B$62,C68,'[1]Brand Family Territories (Enc)'!$C$2:$C$62,"Morri")&gt;0),"Unk",0))</f>
        <v>1</v>
      </c>
      <c r="E68" s="2" t="str">
        <f>IFERROR(INDEX('Blackout Brand Fam Areas (Enc)'!$D$6:$D$998,MATCH(UPPER(A68)&amp;"|"&amp;UPPER(B68),'Blackout Brand Fam Areas (Enc)'!$G$6:$G$998,0)),"No Match")</f>
        <v>No Match</v>
      </c>
      <c r="F68" s="2" t="str">
        <f t="shared" si="2"/>
        <v>US</v>
      </c>
      <c r="G68" s="2" t="str">
        <f t="shared" si="3"/>
        <v>Bell's Hearted Family|SUSSEX</v>
      </c>
    </row>
    <row r="69" spans="1:7" x14ac:dyDescent="0.2">
      <c r="A69" s="2" t="str" cm="1">
        <f t="array" ref="A69">INDEX('[1]Brand Family Territory (Enc)'!$A$2:$A$296,INT((ROW()-2)/10)+1)</f>
        <v>Bell's Hearted Family</v>
      </c>
      <c r="B69" s="2" t="str" cm="1">
        <f t="array" ref="B69">INDEX('Whitelist (Blackout Reverse)'!$B$1:$K$1,MOD(ROW()-2,10)+1)</f>
        <v>MORRIS 1</v>
      </c>
      <c r="C69" s="2" t="str">
        <f>VLOOKUP(A69,'[1]Brand Family Territory (Enc)'!$A$2:$B$296,2,FALSE)</f>
        <v>Core Market</v>
      </c>
      <c r="D69" s="2">
        <f>IF(COUNTIFS('[1]Brand Family Territories (Enc)'!$B$2:$B$62,C69,'[1]Brand Family Territories (Enc)'!$C$2:$C$62,B69)&gt;0,1,IF(AND(LEFT(B69,6)="MORRIS",COUNTIFS('[1]Brand Family Territories (Enc)'!$B$2:$B$62,C69,'[1]Brand Family Territories (Enc)'!$C$2:$C$62,"Morri")&gt;0),"Unk",0))</f>
        <v>1</v>
      </c>
      <c r="E69" s="2" t="str">
        <f>IFERROR(INDEX('Blackout Brand Fam Areas (Enc)'!$D$6:$D$998,MATCH(UPPER(A69)&amp;"|"&amp;UPPER(B69),'Blackout Brand Fam Areas (Enc)'!$G$6:$G$998,0)),"No Match")</f>
        <v>No Match</v>
      </c>
      <c r="F69" s="2" t="str">
        <f t="shared" si="2"/>
        <v>US</v>
      </c>
      <c r="G69" s="2" t="str">
        <f t="shared" si="3"/>
        <v>Bell's Hearted Family|MORRIS 1</v>
      </c>
    </row>
    <row r="70" spans="1:7" x14ac:dyDescent="0.2">
      <c r="A70" s="2" t="str" cm="1">
        <f t="array" ref="A70">INDEX('[1]Brand Family Territory (Enc)'!$A$2:$A$296,INT((ROW()-2)/10)+1)</f>
        <v>Bell's Hearted Family</v>
      </c>
      <c r="B70" s="2" t="str" cm="1">
        <f t="array" ref="B70">INDEX('Whitelist (Blackout Reverse)'!$B$1:$K$1,MOD(ROW()-2,10)+1)</f>
        <v>MORRIS 2</v>
      </c>
      <c r="C70" s="2" t="str">
        <f>VLOOKUP(A70,'[1]Brand Family Territory (Enc)'!$A$2:$B$296,2,FALSE)</f>
        <v>Core Market</v>
      </c>
      <c r="D70" s="2">
        <f>IF(COUNTIFS('[1]Brand Family Territories (Enc)'!$B$2:$B$62,C70,'[1]Brand Family Territories (Enc)'!$C$2:$C$62,B70)&gt;0,1,IF(AND(LEFT(B70,6)="MORRIS",COUNTIFS('[1]Brand Family Territories (Enc)'!$B$2:$B$62,C70,'[1]Brand Family Territories (Enc)'!$C$2:$C$62,"Morri")&gt;0),"Unk",0))</f>
        <v>0</v>
      </c>
      <c r="E70" s="2" t="str">
        <f>IFERROR(INDEX('Blackout Brand Fam Areas (Enc)'!$D$6:$D$998,MATCH(UPPER(A70)&amp;"|"&amp;UPPER(B70),'Blackout Brand Fam Areas (Enc)'!$G$6:$G$998,0)),"No Match")</f>
        <v>Inactive</v>
      </c>
      <c r="F70" s="2" t="str">
        <f t="shared" si="2"/>
        <v>THEM</v>
      </c>
      <c r="G70" s="2" t="str">
        <f t="shared" si="3"/>
        <v>Bell's Hearted Family|MORRIS 2</v>
      </c>
    </row>
    <row r="71" spans="1:7" x14ac:dyDescent="0.2">
      <c r="A71" s="2" t="str" cm="1">
        <f t="array" ref="A71">INDEX('[1]Brand Family Territory (Enc)'!$A$2:$A$296,INT((ROW()-2)/10)+1)</f>
        <v>Bell's Hearted Family</v>
      </c>
      <c r="B71" s="2" t="str" cm="1">
        <f t="array" ref="B71">INDEX('Whitelist (Blackout Reverse)'!$B$1:$K$1,MOD(ROW()-2,10)+1)</f>
        <v>MORRIS 3</v>
      </c>
      <c r="C71" s="2" t="str">
        <f>VLOOKUP(A71,'[1]Brand Family Territory (Enc)'!$A$2:$B$296,2,FALSE)</f>
        <v>Core Market</v>
      </c>
      <c r="D71" s="2">
        <f>IF(COUNTIFS('[1]Brand Family Territories (Enc)'!$B$2:$B$62,C71,'[1]Brand Family Territories (Enc)'!$C$2:$C$62,B71)&gt;0,1,IF(AND(LEFT(B71,6)="MORRIS",COUNTIFS('[1]Brand Family Territories (Enc)'!$B$2:$B$62,C71,'[1]Brand Family Territories (Enc)'!$C$2:$C$62,"Morri")&gt;0),"Unk",0))</f>
        <v>1</v>
      </c>
      <c r="E71" s="2" t="str">
        <f>IFERROR(INDEX('Blackout Brand Fam Areas (Enc)'!$D$6:$D$998,MATCH(UPPER(A71)&amp;"|"&amp;UPPER(B71),'Blackout Brand Fam Areas (Enc)'!$G$6:$G$998,0)),"No Match")</f>
        <v>No Match</v>
      </c>
      <c r="F71" s="2" t="str">
        <f t="shared" si="2"/>
        <v>US</v>
      </c>
      <c r="G71" s="2" t="str">
        <f t="shared" si="3"/>
        <v>Bell's Hearted Family|MORRIS 3</v>
      </c>
    </row>
    <row r="72" spans="1:7" x14ac:dyDescent="0.2">
      <c r="A72" s="2" t="str" cm="1">
        <f t="array" ref="A72">INDEX('[1]Brand Family Territory (Enc)'!$A$2:$A$296,INT((ROW()-2)/10)+1)</f>
        <v>Blue Moon</v>
      </c>
      <c r="B72" s="2" t="str" cm="1">
        <f t="array" ref="B72">INDEX('Whitelist (Blackout Reverse)'!$B$1:$K$1,MOD(ROW()-2,10)+1)</f>
        <v>BERGEN</v>
      </c>
      <c r="C72" s="2" t="str">
        <f>VLOOKUP(A72,'[1]Brand Family Territory (Enc)'!$A$2:$B$296,2,FALSE)</f>
        <v>Core Market</v>
      </c>
      <c r="D72" s="2">
        <f>IF(COUNTIFS('[1]Brand Family Territories (Enc)'!$B$2:$B$62,C72,'[1]Brand Family Territories (Enc)'!$C$2:$C$62,B72)&gt;0,1,IF(AND(LEFT(B72,6)="MORRIS",COUNTIFS('[1]Brand Family Territories (Enc)'!$B$2:$B$62,C72,'[1]Brand Family Territories (Enc)'!$C$2:$C$62,"Morri")&gt;0),"Unk",0))</f>
        <v>1</v>
      </c>
      <c r="E72" s="2" t="str">
        <f>IFERROR(INDEX('Blackout Brand Fam Areas (Enc)'!$D$6:$D$998,MATCH(UPPER(A72)&amp;"|"&amp;UPPER(B72),'Blackout Brand Fam Areas (Enc)'!$G$6:$G$998,0)),"No Match")</f>
        <v>No Match</v>
      </c>
      <c r="F72" s="2" t="str">
        <f t="shared" si="2"/>
        <v>US</v>
      </c>
      <c r="G72" s="2" t="str">
        <f t="shared" si="3"/>
        <v>Blue Moon|BERGEN</v>
      </c>
    </row>
    <row r="73" spans="1:7" x14ac:dyDescent="0.2">
      <c r="A73" s="2" t="str" cm="1">
        <f t="array" ref="A73">INDEX('[1]Brand Family Territory (Enc)'!$A$2:$A$296,INT((ROW()-2)/10)+1)</f>
        <v>Blue Moon</v>
      </c>
      <c r="B73" s="2" t="str" cm="1">
        <f t="array" ref="B73">INDEX('Whitelist (Blackout Reverse)'!$B$1:$K$1,MOD(ROW()-2,10)+1)</f>
        <v>PASSAIC</v>
      </c>
      <c r="C73" s="2" t="str">
        <f>VLOOKUP(A73,'[1]Brand Family Territory (Enc)'!$A$2:$B$296,2,FALSE)</f>
        <v>Core Market</v>
      </c>
      <c r="D73" s="2">
        <f>IF(COUNTIFS('[1]Brand Family Territories (Enc)'!$B$2:$B$62,C73,'[1]Brand Family Territories (Enc)'!$C$2:$C$62,B73)&gt;0,1,IF(AND(LEFT(B73,6)="MORRIS",COUNTIFS('[1]Brand Family Territories (Enc)'!$B$2:$B$62,C73,'[1]Brand Family Territories (Enc)'!$C$2:$C$62,"Morri")&gt;0),"Unk",0))</f>
        <v>1</v>
      </c>
      <c r="E73" s="2" t="str">
        <f>IFERROR(INDEX('Blackout Brand Fam Areas (Enc)'!$D$6:$D$998,MATCH(UPPER(A73)&amp;"|"&amp;UPPER(B73),'Blackout Brand Fam Areas (Enc)'!$G$6:$G$998,0)),"No Match")</f>
        <v>No Match</v>
      </c>
      <c r="F73" s="2" t="str">
        <f t="shared" si="2"/>
        <v>US</v>
      </c>
      <c r="G73" s="2" t="str">
        <f t="shared" si="3"/>
        <v>Blue Moon|PASSAIC</v>
      </c>
    </row>
    <row r="74" spans="1:7" x14ac:dyDescent="0.2">
      <c r="A74" s="2" t="str" cm="1">
        <f t="array" ref="A74">INDEX('[1]Brand Family Territory (Enc)'!$A$2:$A$296,INT((ROW()-2)/10)+1)</f>
        <v>Blue Moon</v>
      </c>
      <c r="B74" s="2" t="str" cm="1">
        <f t="array" ref="B74">INDEX('Whitelist (Blackout Reverse)'!$B$1:$K$1,MOD(ROW()-2,10)+1)</f>
        <v>PASSAIC-FF</v>
      </c>
      <c r="C74" s="2" t="str">
        <f>VLOOKUP(A74,'[1]Brand Family Territory (Enc)'!$A$2:$B$296,2,FALSE)</f>
        <v>Core Market</v>
      </c>
      <c r="D74" s="2">
        <f>IF(COUNTIFS('[1]Brand Family Territories (Enc)'!$B$2:$B$62,C74,'[1]Brand Family Territories (Enc)'!$C$2:$C$62,B74)&gt;0,1,IF(AND(LEFT(B74,6)="MORRIS",COUNTIFS('[1]Brand Family Territories (Enc)'!$B$2:$B$62,C74,'[1]Brand Family Territories (Enc)'!$C$2:$C$62,"Morri")&gt;0),"Unk",0))</f>
        <v>1</v>
      </c>
      <c r="E74" s="2" t="str">
        <f>IFERROR(INDEX('Blackout Brand Fam Areas (Enc)'!$D$6:$D$998,MATCH(UPPER(A74)&amp;"|"&amp;UPPER(B74),'Blackout Brand Fam Areas (Enc)'!$G$6:$G$998,0)),"No Match")</f>
        <v>No Match</v>
      </c>
      <c r="F74" s="2" t="str">
        <f t="shared" si="2"/>
        <v>US</v>
      </c>
      <c r="G74" s="2" t="str">
        <f t="shared" si="3"/>
        <v>Blue Moon|PASSAIC-FF</v>
      </c>
    </row>
    <row r="75" spans="1:7" x14ac:dyDescent="0.2">
      <c r="A75" s="2" t="str" cm="1">
        <f t="array" ref="A75">INDEX('[1]Brand Family Territory (Enc)'!$A$2:$A$296,INT((ROW()-2)/10)+1)</f>
        <v>Blue Moon</v>
      </c>
      <c r="B75" s="2" t="str" cm="1">
        <f t="array" ref="B75">INDEX('Whitelist (Blackout Reverse)'!$B$1:$K$1,MOD(ROW()-2,10)+1)</f>
        <v>ESSEX</v>
      </c>
      <c r="C75" s="2" t="str">
        <f>VLOOKUP(A75,'[1]Brand Family Territory (Enc)'!$A$2:$B$296,2,FALSE)</f>
        <v>Core Market</v>
      </c>
      <c r="D75" s="2">
        <f>IF(COUNTIFS('[1]Brand Family Territories (Enc)'!$B$2:$B$62,C75,'[1]Brand Family Territories (Enc)'!$C$2:$C$62,B75)&gt;0,1,IF(AND(LEFT(B75,6)="MORRIS",COUNTIFS('[1]Brand Family Territories (Enc)'!$B$2:$B$62,C75,'[1]Brand Family Territories (Enc)'!$C$2:$C$62,"Morri")&gt;0),"Unk",0))</f>
        <v>0</v>
      </c>
      <c r="E75" s="2" t="str">
        <f>IFERROR(INDEX('Blackout Brand Fam Areas (Enc)'!$D$6:$D$998,MATCH(UPPER(A75)&amp;"|"&amp;UPPER(B75),'Blackout Brand Fam Areas (Enc)'!$G$6:$G$998,0)),"No Match")</f>
        <v>Inactive</v>
      </c>
      <c r="F75" s="2" t="str">
        <f t="shared" si="2"/>
        <v>THEM</v>
      </c>
      <c r="G75" s="2" t="str">
        <f t="shared" si="3"/>
        <v>Blue Moon|ESSEX</v>
      </c>
    </row>
    <row r="76" spans="1:7" x14ac:dyDescent="0.2">
      <c r="A76" s="2" t="str" cm="1">
        <f t="array" ref="A76">INDEX('[1]Brand Family Territory (Enc)'!$A$2:$A$296,INT((ROW()-2)/10)+1)</f>
        <v>Blue Moon</v>
      </c>
      <c r="B76" s="2" t="str" cm="1">
        <f t="array" ref="B76">INDEX('Whitelist (Blackout Reverse)'!$B$1:$K$1,MOD(ROW()-2,10)+1)</f>
        <v>HUDSON</v>
      </c>
      <c r="C76" s="2" t="str">
        <f>VLOOKUP(A76,'[1]Brand Family Territory (Enc)'!$A$2:$B$296,2,FALSE)</f>
        <v>Core Market</v>
      </c>
      <c r="D76" s="2">
        <f>IF(COUNTIFS('[1]Brand Family Territories (Enc)'!$B$2:$B$62,C76,'[1]Brand Family Territories (Enc)'!$C$2:$C$62,B76)&gt;0,1,IF(AND(LEFT(B76,6)="MORRIS",COUNTIFS('[1]Brand Family Territories (Enc)'!$B$2:$B$62,C76,'[1]Brand Family Territories (Enc)'!$C$2:$C$62,"Morri")&gt;0),"Unk",0))</f>
        <v>0</v>
      </c>
      <c r="E76" s="2" t="str">
        <f>IFERROR(INDEX('Blackout Brand Fam Areas (Enc)'!$D$6:$D$998,MATCH(UPPER(A76)&amp;"|"&amp;UPPER(B76),'Blackout Brand Fam Areas (Enc)'!$G$6:$G$998,0)),"No Match")</f>
        <v>Inactive</v>
      </c>
      <c r="F76" s="2" t="str">
        <f t="shared" si="2"/>
        <v>THEM</v>
      </c>
      <c r="G76" s="2" t="str">
        <f t="shared" si="3"/>
        <v>Blue Moon|HUDSON</v>
      </c>
    </row>
    <row r="77" spans="1:7" x14ac:dyDescent="0.2">
      <c r="A77" s="2" t="str" cm="1">
        <f t="array" ref="A77">INDEX('[1]Brand Family Territory (Enc)'!$A$2:$A$296,INT((ROW()-2)/10)+1)</f>
        <v>Blue Moon</v>
      </c>
      <c r="B77" s="2" t="str" cm="1">
        <f t="array" ref="B77">INDEX('Whitelist (Blackout Reverse)'!$B$1:$K$1,MOD(ROW()-2,10)+1)</f>
        <v>UNION</v>
      </c>
      <c r="C77" s="2" t="str">
        <f>VLOOKUP(A77,'[1]Brand Family Territory (Enc)'!$A$2:$B$296,2,FALSE)</f>
        <v>Core Market</v>
      </c>
      <c r="D77" s="2">
        <f>IF(COUNTIFS('[1]Brand Family Territories (Enc)'!$B$2:$B$62,C77,'[1]Brand Family Territories (Enc)'!$C$2:$C$62,B77)&gt;0,1,IF(AND(LEFT(B77,6)="MORRIS",COUNTIFS('[1]Brand Family Territories (Enc)'!$B$2:$B$62,C77,'[1]Brand Family Territories (Enc)'!$C$2:$C$62,"Morri")&gt;0),"Unk",0))</f>
        <v>0</v>
      </c>
      <c r="E77" s="2" t="str">
        <f>IFERROR(INDEX('Blackout Brand Fam Areas (Enc)'!$D$6:$D$998,MATCH(UPPER(A77)&amp;"|"&amp;UPPER(B77),'Blackout Brand Fam Areas (Enc)'!$G$6:$G$998,0)),"No Match")</f>
        <v>Inactive</v>
      </c>
      <c r="F77" s="2" t="str">
        <f t="shared" si="2"/>
        <v>THEM</v>
      </c>
      <c r="G77" s="2" t="str">
        <f t="shared" si="3"/>
        <v>Blue Moon|UNION</v>
      </c>
    </row>
    <row r="78" spans="1:7" x14ac:dyDescent="0.2">
      <c r="A78" s="2" t="str" cm="1">
        <f t="array" ref="A78">INDEX('[1]Brand Family Territory (Enc)'!$A$2:$A$296,INT((ROW()-2)/10)+1)</f>
        <v>Blue Moon</v>
      </c>
      <c r="B78" s="2" t="str" cm="1">
        <f t="array" ref="B78">INDEX('Whitelist (Blackout Reverse)'!$B$1:$K$1,MOD(ROW()-2,10)+1)</f>
        <v>SUSSEX</v>
      </c>
      <c r="C78" s="2" t="str">
        <f>VLOOKUP(A78,'[1]Brand Family Territory (Enc)'!$A$2:$B$296,2,FALSE)</f>
        <v>Core Market</v>
      </c>
      <c r="D78" s="2">
        <f>IF(COUNTIFS('[1]Brand Family Territories (Enc)'!$B$2:$B$62,C78,'[1]Brand Family Territories (Enc)'!$C$2:$C$62,B78)&gt;0,1,IF(AND(LEFT(B78,6)="MORRIS",COUNTIFS('[1]Brand Family Territories (Enc)'!$B$2:$B$62,C78,'[1]Brand Family Territories (Enc)'!$C$2:$C$62,"Morri")&gt;0),"Unk",0))</f>
        <v>1</v>
      </c>
      <c r="E78" s="2" t="str">
        <f>IFERROR(INDEX('Blackout Brand Fam Areas (Enc)'!$D$6:$D$998,MATCH(UPPER(A78)&amp;"|"&amp;UPPER(B78),'Blackout Brand Fam Areas (Enc)'!$G$6:$G$998,0)),"No Match")</f>
        <v>No Match</v>
      </c>
      <c r="F78" s="2" t="str">
        <f t="shared" si="2"/>
        <v>US</v>
      </c>
      <c r="G78" s="2" t="str">
        <f t="shared" si="3"/>
        <v>Blue Moon|SUSSEX</v>
      </c>
    </row>
    <row r="79" spans="1:7" x14ac:dyDescent="0.2">
      <c r="A79" s="2" t="str" cm="1">
        <f t="array" ref="A79">INDEX('[1]Brand Family Territory (Enc)'!$A$2:$A$296,INT((ROW()-2)/10)+1)</f>
        <v>Blue Moon</v>
      </c>
      <c r="B79" s="2" t="str" cm="1">
        <f t="array" ref="B79">INDEX('Whitelist (Blackout Reverse)'!$B$1:$K$1,MOD(ROW()-2,10)+1)</f>
        <v>MORRIS 1</v>
      </c>
      <c r="C79" s="2" t="str">
        <f>VLOOKUP(A79,'[1]Brand Family Territory (Enc)'!$A$2:$B$296,2,FALSE)</f>
        <v>Core Market</v>
      </c>
      <c r="D79" s="2">
        <f>IF(COUNTIFS('[1]Brand Family Territories (Enc)'!$B$2:$B$62,C79,'[1]Brand Family Territories (Enc)'!$C$2:$C$62,B79)&gt;0,1,IF(AND(LEFT(B79,6)="MORRIS",COUNTIFS('[1]Brand Family Territories (Enc)'!$B$2:$B$62,C79,'[1]Brand Family Territories (Enc)'!$C$2:$C$62,"Morri")&gt;0),"Unk",0))</f>
        <v>1</v>
      </c>
      <c r="E79" s="2" t="str">
        <f>IFERROR(INDEX('Blackout Brand Fam Areas (Enc)'!$D$6:$D$998,MATCH(UPPER(A79)&amp;"|"&amp;UPPER(B79),'Blackout Brand Fam Areas (Enc)'!$G$6:$G$998,0)),"No Match")</f>
        <v>No Match</v>
      </c>
      <c r="F79" s="2" t="str">
        <f t="shared" si="2"/>
        <v>US</v>
      </c>
      <c r="G79" s="2" t="str">
        <f t="shared" si="3"/>
        <v>Blue Moon|MORRIS 1</v>
      </c>
    </row>
    <row r="80" spans="1:7" x14ac:dyDescent="0.2">
      <c r="A80" s="2" t="str" cm="1">
        <f t="array" ref="A80">INDEX('[1]Brand Family Territory (Enc)'!$A$2:$A$296,INT((ROW()-2)/10)+1)</f>
        <v>Blue Moon</v>
      </c>
      <c r="B80" s="2" t="str" cm="1">
        <f t="array" ref="B80">INDEX('Whitelist (Blackout Reverse)'!$B$1:$K$1,MOD(ROW()-2,10)+1)</f>
        <v>MORRIS 2</v>
      </c>
      <c r="C80" s="2" t="str">
        <f>VLOOKUP(A80,'[1]Brand Family Territory (Enc)'!$A$2:$B$296,2,FALSE)</f>
        <v>Core Market</v>
      </c>
      <c r="D80" s="2">
        <f>IF(COUNTIFS('[1]Brand Family Territories (Enc)'!$B$2:$B$62,C80,'[1]Brand Family Territories (Enc)'!$C$2:$C$62,B80)&gt;0,1,IF(AND(LEFT(B80,6)="MORRIS",COUNTIFS('[1]Brand Family Territories (Enc)'!$B$2:$B$62,C80,'[1]Brand Family Territories (Enc)'!$C$2:$C$62,"Morri")&gt;0),"Unk",0))</f>
        <v>0</v>
      </c>
      <c r="E80" s="2" t="str">
        <f>IFERROR(INDEX('Blackout Brand Fam Areas (Enc)'!$D$6:$D$998,MATCH(UPPER(A80)&amp;"|"&amp;UPPER(B80),'Blackout Brand Fam Areas (Enc)'!$G$6:$G$998,0)),"No Match")</f>
        <v>Inactive</v>
      </c>
      <c r="F80" s="2" t="str">
        <f t="shared" si="2"/>
        <v>THEM</v>
      </c>
      <c r="G80" s="2" t="str">
        <f t="shared" si="3"/>
        <v>Blue Moon|MORRIS 2</v>
      </c>
    </row>
    <row r="81" spans="1:7" x14ac:dyDescent="0.2">
      <c r="A81" s="2" t="str" cm="1">
        <f t="array" ref="A81">INDEX('[1]Brand Family Territory (Enc)'!$A$2:$A$296,INT((ROW()-2)/10)+1)</f>
        <v>Blue Moon</v>
      </c>
      <c r="B81" s="2" t="str" cm="1">
        <f t="array" ref="B81">INDEX('Whitelist (Blackout Reverse)'!$B$1:$K$1,MOD(ROW()-2,10)+1)</f>
        <v>MORRIS 3</v>
      </c>
      <c r="C81" s="2" t="str">
        <f>VLOOKUP(A81,'[1]Brand Family Territory (Enc)'!$A$2:$B$296,2,FALSE)</f>
        <v>Core Market</v>
      </c>
      <c r="D81" s="2">
        <f>IF(COUNTIFS('[1]Brand Family Territories (Enc)'!$B$2:$B$62,C81,'[1]Brand Family Territories (Enc)'!$C$2:$C$62,B81)&gt;0,1,IF(AND(LEFT(B81,6)="MORRIS",COUNTIFS('[1]Brand Family Territories (Enc)'!$B$2:$B$62,C81,'[1]Brand Family Territories (Enc)'!$C$2:$C$62,"Morri")&gt;0),"Unk",0))</f>
        <v>1</v>
      </c>
      <c r="E81" s="2" t="str">
        <f>IFERROR(INDEX('Blackout Brand Fam Areas (Enc)'!$D$6:$D$998,MATCH(UPPER(A81)&amp;"|"&amp;UPPER(B81),'Blackout Brand Fam Areas (Enc)'!$G$6:$G$998,0)),"No Match")</f>
        <v>No Match</v>
      </c>
      <c r="F81" s="2" t="str">
        <f t="shared" si="2"/>
        <v>US</v>
      </c>
      <c r="G81" s="2" t="str">
        <f t="shared" si="3"/>
        <v>Blue Moon|MORRIS 3</v>
      </c>
    </row>
    <row r="82" spans="1:7" x14ac:dyDescent="0.2">
      <c r="A82" s="2" t="str" cm="1">
        <f t="array" ref="A82">INDEX('[1]Brand Family Territory (Enc)'!$A$2:$A$296,INT((ROW()-2)/10)+1)</f>
        <v>Cape May</v>
      </c>
      <c r="B82" s="2" t="str" cm="1">
        <f t="array" ref="B82">INDEX('Whitelist (Blackout Reverse)'!$B$1:$K$1,MOD(ROW()-2,10)+1)</f>
        <v>BERGEN</v>
      </c>
      <c r="C82" s="2" t="str">
        <f>VLOOKUP(A82,'[1]Brand Family Territory (Enc)'!$A$2:$B$296,2,FALSE)</f>
        <v>Core Market</v>
      </c>
      <c r="D82" s="2">
        <f>IF(COUNTIFS('[1]Brand Family Territories (Enc)'!$B$2:$B$62,C82,'[1]Brand Family Territories (Enc)'!$C$2:$C$62,B82)&gt;0,1,IF(AND(LEFT(B82,6)="MORRIS",COUNTIFS('[1]Brand Family Territories (Enc)'!$B$2:$B$62,C82,'[1]Brand Family Territories (Enc)'!$C$2:$C$62,"Morri")&gt;0),"Unk",0))</f>
        <v>1</v>
      </c>
      <c r="E82" s="2" t="str">
        <f>IFERROR(INDEX('Blackout Brand Fam Areas (Enc)'!$D$6:$D$998,MATCH(UPPER(A82)&amp;"|"&amp;UPPER(B82),'Blackout Brand Fam Areas (Enc)'!$G$6:$G$998,0)),"No Match")</f>
        <v>No Match</v>
      </c>
      <c r="F82" s="2" t="str">
        <f t="shared" si="2"/>
        <v>US</v>
      </c>
      <c r="G82" s="2" t="str">
        <f t="shared" si="3"/>
        <v>Cape May|BERGEN</v>
      </c>
    </row>
    <row r="83" spans="1:7" x14ac:dyDescent="0.2">
      <c r="A83" s="2" t="str" cm="1">
        <f t="array" ref="A83">INDEX('[1]Brand Family Territory (Enc)'!$A$2:$A$296,INT((ROW()-2)/10)+1)</f>
        <v>Cape May</v>
      </c>
      <c r="B83" s="2" t="str" cm="1">
        <f t="array" ref="B83">INDEX('Whitelist (Blackout Reverse)'!$B$1:$K$1,MOD(ROW()-2,10)+1)</f>
        <v>PASSAIC</v>
      </c>
      <c r="C83" s="2" t="str">
        <f>VLOOKUP(A83,'[1]Brand Family Territory (Enc)'!$A$2:$B$296,2,FALSE)</f>
        <v>Core Market</v>
      </c>
      <c r="D83" s="2">
        <f>IF(COUNTIFS('[1]Brand Family Territories (Enc)'!$B$2:$B$62,C83,'[1]Brand Family Territories (Enc)'!$C$2:$C$62,B83)&gt;0,1,IF(AND(LEFT(B83,6)="MORRIS",COUNTIFS('[1]Brand Family Territories (Enc)'!$B$2:$B$62,C83,'[1]Brand Family Territories (Enc)'!$C$2:$C$62,"Morri")&gt;0),"Unk",0))</f>
        <v>1</v>
      </c>
      <c r="E83" s="2" t="str">
        <f>IFERROR(INDEX('Blackout Brand Fam Areas (Enc)'!$D$6:$D$998,MATCH(UPPER(A83)&amp;"|"&amp;UPPER(B83),'Blackout Brand Fam Areas (Enc)'!$G$6:$G$998,0)),"No Match")</f>
        <v>No Match</v>
      </c>
      <c r="F83" s="2" t="str">
        <f t="shared" si="2"/>
        <v>US</v>
      </c>
      <c r="G83" s="2" t="str">
        <f t="shared" si="3"/>
        <v>Cape May|PASSAIC</v>
      </c>
    </row>
    <row r="84" spans="1:7" x14ac:dyDescent="0.2">
      <c r="A84" s="2" t="str" cm="1">
        <f t="array" ref="A84">INDEX('[1]Brand Family Territory (Enc)'!$A$2:$A$296,INT((ROW()-2)/10)+1)</f>
        <v>Cape May</v>
      </c>
      <c r="B84" s="2" t="str" cm="1">
        <f t="array" ref="B84">INDEX('Whitelist (Blackout Reverse)'!$B$1:$K$1,MOD(ROW()-2,10)+1)</f>
        <v>PASSAIC-FF</v>
      </c>
      <c r="C84" s="2" t="str">
        <f>VLOOKUP(A84,'[1]Brand Family Territory (Enc)'!$A$2:$B$296,2,FALSE)</f>
        <v>Core Market</v>
      </c>
      <c r="D84" s="2">
        <f>IF(COUNTIFS('[1]Brand Family Territories (Enc)'!$B$2:$B$62,C84,'[1]Brand Family Territories (Enc)'!$C$2:$C$62,B84)&gt;0,1,IF(AND(LEFT(B84,6)="MORRIS",COUNTIFS('[1]Brand Family Territories (Enc)'!$B$2:$B$62,C84,'[1]Brand Family Territories (Enc)'!$C$2:$C$62,"Morri")&gt;0),"Unk",0))</f>
        <v>1</v>
      </c>
      <c r="E84" s="2" t="str">
        <f>IFERROR(INDEX('Blackout Brand Fam Areas (Enc)'!$D$6:$D$998,MATCH(UPPER(A84)&amp;"|"&amp;UPPER(B84),'Blackout Brand Fam Areas (Enc)'!$G$6:$G$998,0)),"No Match")</f>
        <v>No Match</v>
      </c>
      <c r="F84" s="2" t="str">
        <f t="shared" si="2"/>
        <v>US</v>
      </c>
      <c r="G84" s="2" t="str">
        <f t="shared" si="3"/>
        <v>Cape May|PASSAIC-FF</v>
      </c>
    </row>
    <row r="85" spans="1:7" x14ac:dyDescent="0.2">
      <c r="A85" s="2" t="str" cm="1">
        <f t="array" ref="A85">INDEX('[1]Brand Family Territory (Enc)'!$A$2:$A$296,INT((ROW()-2)/10)+1)</f>
        <v>Cape May</v>
      </c>
      <c r="B85" s="2" t="str" cm="1">
        <f t="array" ref="B85">INDEX('Whitelist (Blackout Reverse)'!$B$1:$K$1,MOD(ROW()-2,10)+1)</f>
        <v>ESSEX</v>
      </c>
      <c r="C85" s="2" t="str">
        <f>VLOOKUP(A85,'[1]Brand Family Territory (Enc)'!$A$2:$B$296,2,FALSE)</f>
        <v>Core Market</v>
      </c>
      <c r="D85" s="2">
        <f>IF(COUNTIFS('[1]Brand Family Territories (Enc)'!$B$2:$B$62,C85,'[1]Brand Family Territories (Enc)'!$C$2:$C$62,B85)&gt;0,1,IF(AND(LEFT(B85,6)="MORRIS",COUNTIFS('[1]Brand Family Territories (Enc)'!$B$2:$B$62,C85,'[1]Brand Family Territories (Enc)'!$C$2:$C$62,"Morri")&gt;0),"Unk",0))</f>
        <v>0</v>
      </c>
      <c r="E85" s="2" t="str">
        <f>IFERROR(INDEX('Blackout Brand Fam Areas (Enc)'!$D$6:$D$998,MATCH(UPPER(A85)&amp;"|"&amp;UPPER(B85),'Blackout Brand Fam Areas (Enc)'!$G$6:$G$998,0)),"No Match")</f>
        <v>Inactive</v>
      </c>
      <c r="F85" s="2" t="str">
        <f t="shared" si="2"/>
        <v>THEM</v>
      </c>
      <c r="G85" s="2" t="str">
        <f t="shared" si="3"/>
        <v>Cape May|ESSEX</v>
      </c>
    </row>
    <row r="86" spans="1:7" x14ac:dyDescent="0.2">
      <c r="A86" s="2" t="str" cm="1">
        <f t="array" ref="A86">INDEX('[1]Brand Family Territory (Enc)'!$A$2:$A$296,INT((ROW()-2)/10)+1)</f>
        <v>Cape May</v>
      </c>
      <c r="B86" s="2" t="str" cm="1">
        <f t="array" ref="B86">INDEX('Whitelist (Blackout Reverse)'!$B$1:$K$1,MOD(ROW()-2,10)+1)</f>
        <v>HUDSON</v>
      </c>
      <c r="C86" s="2" t="str">
        <f>VLOOKUP(A86,'[1]Brand Family Territory (Enc)'!$A$2:$B$296,2,FALSE)</f>
        <v>Core Market</v>
      </c>
      <c r="D86" s="2">
        <f>IF(COUNTIFS('[1]Brand Family Territories (Enc)'!$B$2:$B$62,C86,'[1]Brand Family Territories (Enc)'!$C$2:$C$62,B86)&gt;0,1,IF(AND(LEFT(B86,6)="MORRIS",COUNTIFS('[1]Brand Family Territories (Enc)'!$B$2:$B$62,C86,'[1]Brand Family Territories (Enc)'!$C$2:$C$62,"Morri")&gt;0),"Unk",0))</f>
        <v>0</v>
      </c>
      <c r="E86" s="2" t="str">
        <f>IFERROR(INDEX('Blackout Brand Fam Areas (Enc)'!$D$6:$D$998,MATCH(UPPER(A86)&amp;"|"&amp;UPPER(B86),'Blackout Brand Fam Areas (Enc)'!$G$6:$G$998,0)),"No Match")</f>
        <v>Inactive</v>
      </c>
      <c r="F86" s="2" t="str">
        <f t="shared" si="2"/>
        <v>THEM</v>
      </c>
      <c r="G86" s="2" t="str">
        <f t="shared" si="3"/>
        <v>Cape May|HUDSON</v>
      </c>
    </row>
    <row r="87" spans="1:7" x14ac:dyDescent="0.2">
      <c r="A87" s="2" t="str" cm="1">
        <f t="array" ref="A87">INDEX('[1]Brand Family Territory (Enc)'!$A$2:$A$296,INT((ROW()-2)/10)+1)</f>
        <v>Cape May</v>
      </c>
      <c r="B87" s="2" t="str" cm="1">
        <f t="array" ref="B87">INDEX('Whitelist (Blackout Reverse)'!$B$1:$K$1,MOD(ROW()-2,10)+1)</f>
        <v>UNION</v>
      </c>
      <c r="C87" s="2" t="str">
        <f>VLOOKUP(A87,'[1]Brand Family Territory (Enc)'!$A$2:$B$296,2,FALSE)</f>
        <v>Core Market</v>
      </c>
      <c r="D87" s="2">
        <f>IF(COUNTIFS('[1]Brand Family Territories (Enc)'!$B$2:$B$62,C87,'[1]Brand Family Territories (Enc)'!$C$2:$C$62,B87)&gt;0,1,IF(AND(LEFT(B87,6)="MORRIS",COUNTIFS('[1]Brand Family Territories (Enc)'!$B$2:$B$62,C87,'[1]Brand Family Territories (Enc)'!$C$2:$C$62,"Morri")&gt;0),"Unk",0))</f>
        <v>0</v>
      </c>
      <c r="E87" s="2" t="str">
        <f>IFERROR(INDEX('Blackout Brand Fam Areas (Enc)'!$D$6:$D$998,MATCH(UPPER(A87)&amp;"|"&amp;UPPER(B87),'Blackout Brand Fam Areas (Enc)'!$G$6:$G$998,0)),"No Match")</f>
        <v>Inactive</v>
      </c>
      <c r="F87" s="2" t="str">
        <f t="shared" si="2"/>
        <v>THEM</v>
      </c>
      <c r="G87" s="2" t="str">
        <f t="shared" si="3"/>
        <v>Cape May|UNION</v>
      </c>
    </row>
    <row r="88" spans="1:7" x14ac:dyDescent="0.2">
      <c r="A88" s="2" t="str" cm="1">
        <f t="array" ref="A88">INDEX('[1]Brand Family Territory (Enc)'!$A$2:$A$296,INT((ROW()-2)/10)+1)</f>
        <v>Cape May</v>
      </c>
      <c r="B88" s="2" t="str" cm="1">
        <f t="array" ref="B88">INDEX('Whitelist (Blackout Reverse)'!$B$1:$K$1,MOD(ROW()-2,10)+1)</f>
        <v>SUSSEX</v>
      </c>
      <c r="C88" s="2" t="str">
        <f>VLOOKUP(A88,'[1]Brand Family Territory (Enc)'!$A$2:$B$296,2,FALSE)</f>
        <v>Core Market</v>
      </c>
      <c r="D88" s="2">
        <f>IF(COUNTIFS('[1]Brand Family Territories (Enc)'!$B$2:$B$62,C88,'[1]Brand Family Territories (Enc)'!$C$2:$C$62,B88)&gt;0,1,IF(AND(LEFT(B88,6)="MORRIS",COUNTIFS('[1]Brand Family Territories (Enc)'!$B$2:$B$62,C88,'[1]Brand Family Territories (Enc)'!$C$2:$C$62,"Morri")&gt;0),"Unk",0))</f>
        <v>1</v>
      </c>
      <c r="E88" s="2" t="str">
        <f>IFERROR(INDEX('Blackout Brand Fam Areas (Enc)'!$D$6:$D$998,MATCH(UPPER(A88)&amp;"|"&amp;UPPER(B88),'Blackout Brand Fam Areas (Enc)'!$G$6:$G$998,0)),"No Match")</f>
        <v>No Match</v>
      </c>
      <c r="F88" s="2" t="str">
        <f t="shared" si="2"/>
        <v>US</v>
      </c>
      <c r="G88" s="2" t="str">
        <f t="shared" si="3"/>
        <v>Cape May|SUSSEX</v>
      </c>
    </row>
    <row r="89" spans="1:7" x14ac:dyDescent="0.2">
      <c r="A89" s="2" t="str" cm="1">
        <f t="array" ref="A89">INDEX('[1]Brand Family Territory (Enc)'!$A$2:$A$296,INT((ROW()-2)/10)+1)</f>
        <v>Cape May</v>
      </c>
      <c r="B89" s="2" t="str" cm="1">
        <f t="array" ref="B89">INDEX('Whitelist (Blackout Reverse)'!$B$1:$K$1,MOD(ROW()-2,10)+1)</f>
        <v>MORRIS 1</v>
      </c>
      <c r="C89" s="2" t="str">
        <f>VLOOKUP(A89,'[1]Brand Family Territory (Enc)'!$A$2:$B$296,2,FALSE)</f>
        <v>Core Market</v>
      </c>
      <c r="D89" s="2">
        <f>IF(COUNTIFS('[1]Brand Family Territories (Enc)'!$B$2:$B$62,C89,'[1]Brand Family Territories (Enc)'!$C$2:$C$62,B89)&gt;0,1,IF(AND(LEFT(B89,6)="MORRIS",COUNTIFS('[1]Brand Family Territories (Enc)'!$B$2:$B$62,C89,'[1]Brand Family Territories (Enc)'!$C$2:$C$62,"Morri")&gt;0),"Unk",0))</f>
        <v>1</v>
      </c>
      <c r="E89" s="2" t="str">
        <f>IFERROR(INDEX('Blackout Brand Fam Areas (Enc)'!$D$6:$D$998,MATCH(UPPER(A89)&amp;"|"&amp;UPPER(B89),'Blackout Brand Fam Areas (Enc)'!$G$6:$G$998,0)),"No Match")</f>
        <v>No Match</v>
      </c>
      <c r="F89" s="2" t="str">
        <f t="shared" si="2"/>
        <v>US</v>
      </c>
      <c r="G89" s="2" t="str">
        <f t="shared" si="3"/>
        <v>Cape May|MORRIS 1</v>
      </c>
    </row>
    <row r="90" spans="1:7" x14ac:dyDescent="0.2">
      <c r="A90" s="2" t="str" cm="1">
        <f t="array" ref="A90">INDEX('[1]Brand Family Territory (Enc)'!$A$2:$A$296,INT((ROW()-2)/10)+1)</f>
        <v>Cape May</v>
      </c>
      <c r="B90" s="2" t="str" cm="1">
        <f t="array" ref="B90">INDEX('Whitelist (Blackout Reverse)'!$B$1:$K$1,MOD(ROW()-2,10)+1)</f>
        <v>MORRIS 2</v>
      </c>
      <c r="C90" s="2" t="str">
        <f>VLOOKUP(A90,'[1]Brand Family Territory (Enc)'!$A$2:$B$296,2,FALSE)</f>
        <v>Core Market</v>
      </c>
      <c r="D90" s="2">
        <f>IF(COUNTIFS('[1]Brand Family Territories (Enc)'!$B$2:$B$62,C90,'[1]Brand Family Territories (Enc)'!$C$2:$C$62,B90)&gt;0,1,IF(AND(LEFT(B90,6)="MORRIS",COUNTIFS('[1]Brand Family Territories (Enc)'!$B$2:$B$62,C90,'[1]Brand Family Territories (Enc)'!$C$2:$C$62,"Morri")&gt;0),"Unk",0))</f>
        <v>0</v>
      </c>
      <c r="E90" s="2" t="str">
        <f>IFERROR(INDEX('Blackout Brand Fam Areas (Enc)'!$D$6:$D$998,MATCH(UPPER(A90)&amp;"|"&amp;UPPER(B90),'Blackout Brand Fam Areas (Enc)'!$G$6:$G$998,0)),"No Match")</f>
        <v>Inactive</v>
      </c>
      <c r="F90" s="2" t="str">
        <f t="shared" si="2"/>
        <v>THEM</v>
      </c>
      <c r="G90" s="2" t="str">
        <f t="shared" si="3"/>
        <v>Cape May|MORRIS 2</v>
      </c>
    </row>
    <row r="91" spans="1:7" x14ac:dyDescent="0.2">
      <c r="A91" s="2" t="str" cm="1">
        <f t="array" ref="A91">INDEX('[1]Brand Family Territory (Enc)'!$A$2:$A$296,INT((ROW()-2)/10)+1)</f>
        <v>Cape May</v>
      </c>
      <c r="B91" s="2" t="str" cm="1">
        <f t="array" ref="B91">INDEX('Whitelist (Blackout Reverse)'!$B$1:$K$1,MOD(ROW()-2,10)+1)</f>
        <v>MORRIS 3</v>
      </c>
      <c r="C91" s="2" t="str">
        <f>VLOOKUP(A91,'[1]Brand Family Territory (Enc)'!$A$2:$B$296,2,FALSE)</f>
        <v>Core Market</v>
      </c>
      <c r="D91" s="2">
        <f>IF(COUNTIFS('[1]Brand Family Territories (Enc)'!$B$2:$B$62,C91,'[1]Brand Family Territories (Enc)'!$C$2:$C$62,B91)&gt;0,1,IF(AND(LEFT(B91,6)="MORRIS",COUNTIFS('[1]Brand Family Territories (Enc)'!$B$2:$B$62,C91,'[1]Brand Family Territories (Enc)'!$C$2:$C$62,"Morri")&gt;0),"Unk",0))</f>
        <v>1</v>
      </c>
      <c r="E91" s="2" t="str">
        <f>IFERROR(INDEX('Blackout Brand Fam Areas (Enc)'!$D$6:$D$998,MATCH(UPPER(A91)&amp;"|"&amp;UPPER(B91),'Blackout Brand Fam Areas (Enc)'!$G$6:$G$998,0)),"No Match")</f>
        <v>No Match</v>
      </c>
      <c r="F91" s="2" t="str">
        <f t="shared" si="2"/>
        <v>US</v>
      </c>
      <c r="G91" s="2" t="str">
        <f t="shared" si="3"/>
        <v>Cape May|MORRIS 3</v>
      </c>
    </row>
    <row r="92" spans="1:7" x14ac:dyDescent="0.2">
      <c r="A92" s="2" t="str" cm="1">
        <f t="array" ref="A92">INDEX('[1]Brand Family Territory (Enc)'!$A$2:$A$296,INT((ROW()-2)/10)+1)</f>
        <v>Cayman Jack</v>
      </c>
      <c r="B92" s="2" t="str" cm="1">
        <f t="array" ref="B92">INDEX('Whitelist (Blackout Reverse)'!$B$1:$K$1,MOD(ROW()-2,10)+1)</f>
        <v>BERGEN</v>
      </c>
      <c r="C92" s="2" t="str">
        <f>VLOOKUP(A92,'[1]Brand Family Territory (Enc)'!$A$2:$B$296,2,FALSE)</f>
        <v>Core Market</v>
      </c>
      <c r="D92" s="2">
        <f>IF(COUNTIFS('[1]Brand Family Territories (Enc)'!$B$2:$B$62,C92,'[1]Brand Family Territories (Enc)'!$C$2:$C$62,B92)&gt;0,1,IF(AND(LEFT(B92,6)="MORRIS",COUNTIFS('[1]Brand Family Territories (Enc)'!$B$2:$B$62,C92,'[1]Brand Family Territories (Enc)'!$C$2:$C$62,"Morri")&gt;0),"Unk",0))</f>
        <v>1</v>
      </c>
      <c r="E92" s="2" t="str">
        <f>IFERROR(INDEX('Blackout Brand Fam Areas (Enc)'!$D$6:$D$998,MATCH(UPPER(A92)&amp;"|"&amp;UPPER(B92),'Blackout Brand Fam Areas (Enc)'!$G$6:$G$998,0)),"No Match")</f>
        <v>No Match</v>
      </c>
      <c r="F92" s="2" t="str">
        <f t="shared" si="2"/>
        <v>US</v>
      </c>
      <c r="G92" s="2" t="str">
        <f t="shared" si="3"/>
        <v>Cayman Jack|BERGEN</v>
      </c>
    </row>
    <row r="93" spans="1:7" x14ac:dyDescent="0.2">
      <c r="A93" s="2" t="str" cm="1">
        <f t="array" ref="A93">INDEX('[1]Brand Family Territory (Enc)'!$A$2:$A$296,INT((ROW()-2)/10)+1)</f>
        <v>Cayman Jack</v>
      </c>
      <c r="B93" s="2" t="str" cm="1">
        <f t="array" ref="B93">INDEX('Whitelist (Blackout Reverse)'!$B$1:$K$1,MOD(ROW()-2,10)+1)</f>
        <v>PASSAIC</v>
      </c>
      <c r="C93" s="2" t="str">
        <f>VLOOKUP(A93,'[1]Brand Family Territory (Enc)'!$A$2:$B$296,2,FALSE)</f>
        <v>Core Market</v>
      </c>
      <c r="D93" s="2">
        <f>IF(COUNTIFS('[1]Brand Family Territories (Enc)'!$B$2:$B$62,C93,'[1]Brand Family Territories (Enc)'!$C$2:$C$62,B93)&gt;0,1,IF(AND(LEFT(B93,6)="MORRIS",COUNTIFS('[1]Brand Family Territories (Enc)'!$B$2:$B$62,C93,'[1]Brand Family Territories (Enc)'!$C$2:$C$62,"Morri")&gt;0),"Unk",0))</f>
        <v>1</v>
      </c>
      <c r="E93" s="2" t="str">
        <f>IFERROR(INDEX('Blackout Brand Fam Areas (Enc)'!$D$6:$D$998,MATCH(UPPER(A93)&amp;"|"&amp;UPPER(B93),'Blackout Brand Fam Areas (Enc)'!$G$6:$G$998,0)),"No Match")</f>
        <v>No Match</v>
      </c>
      <c r="F93" s="2" t="str">
        <f t="shared" si="2"/>
        <v>US</v>
      </c>
      <c r="G93" s="2" t="str">
        <f t="shared" si="3"/>
        <v>Cayman Jack|PASSAIC</v>
      </c>
    </row>
    <row r="94" spans="1:7" x14ac:dyDescent="0.2">
      <c r="A94" s="2" t="str" cm="1">
        <f t="array" ref="A94">INDEX('[1]Brand Family Territory (Enc)'!$A$2:$A$296,INT((ROW()-2)/10)+1)</f>
        <v>Cayman Jack</v>
      </c>
      <c r="B94" s="2" t="str" cm="1">
        <f t="array" ref="B94">INDEX('Whitelist (Blackout Reverse)'!$B$1:$K$1,MOD(ROW()-2,10)+1)</f>
        <v>PASSAIC-FF</v>
      </c>
      <c r="C94" s="2" t="str">
        <f>VLOOKUP(A94,'[1]Brand Family Territory (Enc)'!$A$2:$B$296,2,FALSE)</f>
        <v>Core Market</v>
      </c>
      <c r="D94" s="2">
        <f>IF(COUNTIFS('[1]Brand Family Territories (Enc)'!$B$2:$B$62,C94,'[1]Brand Family Territories (Enc)'!$C$2:$C$62,B94)&gt;0,1,IF(AND(LEFT(B94,6)="MORRIS",COUNTIFS('[1]Brand Family Territories (Enc)'!$B$2:$B$62,C94,'[1]Brand Family Territories (Enc)'!$C$2:$C$62,"Morri")&gt;0),"Unk",0))</f>
        <v>1</v>
      </c>
      <c r="E94" s="2" t="str">
        <f>IFERROR(INDEX('Blackout Brand Fam Areas (Enc)'!$D$6:$D$998,MATCH(UPPER(A94)&amp;"|"&amp;UPPER(B94),'Blackout Brand Fam Areas (Enc)'!$G$6:$G$998,0)),"No Match")</f>
        <v>No Match</v>
      </c>
      <c r="F94" s="2" t="str">
        <f t="shared" si="2"/>
        <v>US</v>
      </c>
      <c r="G94" s="2" t="str">
        <f t="shared" si="3"/>
        <v>Cayman Jack|PASSAIC-FF</v>
      </c>
    </row>
    <row r="95" spans="1:7" x14ac:dyDescent="0.2">
      <c r="A95" s="2" t="str" cm="1">
        <f t="array" ref="A95">INDEX('[1]Brand Family Territory (Enc)'!$A$2:$A$296,INT((ROW()-2)/10)+1)</f>
        <v>Cayman Jack</v>
      </c>
      <c r="B95" s="2" t="str" cm="1">
        <f t="array" ref="B95">INDEX('Whitelist (Blackout Reverse)'!$B$1:$K$1,MOD(ROW()-2,10)+1)</f>
        <v>ESSEX</v>
      </c>
      <c r="C95" s="2" t="str">
        <f>VLOOKUP(A95,'[1]Brand Family Territory (Enc)'!$A$2:$B$296,2,FALSE)</f>
        <v>Core Market</v>
      </c>
      <c r="D95" s="2">
        <f>IF(COUNTIFS('[1]Brand Family Territories (Enc)'!$B$2:$B$62,C95,'[1]Brand Family Territories (Enc)'!$C$2:$C$62,B95)&gt;0,1,IF(AND(LEFT(B95,6)="MORRIS",COUNTIFS('[1]Brand Family Territories (Enc)'!$B$2:$B$62,C95,'[1]Brand Family Territories (Enc)'!$C$2:$C$62,"Morri")&gt;0),"Unk",0))</f>
        <v>0</v>
      </c>
      <c r="E95" s="2" t="str">
        <f>IFERROR(INDEX('Blackout Brand Fam Areas (Enc)'!$D$6:$D$998,MATCH(UPPER(A95)&amp;"|"&amp;UPPER(B95),'Blackout Brand Fam Areas (Enc)'!$G$6:$G$998,0)),"No Match")</f>
        <v>Inactive</v>
      </c>
      <c r="F95" s="2" t="str">
        <f t="shared" si="2"/>
        <v>THEM</v>
      </c>
      <c r="G95" s="2" t="str">
        <f t="shared" si="3"/>
        <v>Cayman Jack|ESSEX</v>
      </c>
    </row>
    <row r="96" spans="1:7" x14ac:dyDescent="0.2">
      <c r="A96" s="2" t="str" cm="1">
        <f t="array" ref="A96">INDEX('[1]Brand Family Territory (Enc)'!$A$2:$A$296,INT((ROW()-2)/10)+1)</f>
        <v>Cayman Jack</v>
      </c>
      <c r="B96" s="2" t="str" cm="1">
        <f t="array" ref="B96">INDEX('Whitelist (Blackout Reverse)'!$B$1:$K$1,MOD(ROW()-2,10)+1)</f>
        <v>HUDSON</v>
      </c>
      <c r="C96" s="2" t="str">
        <f>VLOOKUP(A96,'[1]Brand Family Territory (Enc)'!$A$2:$B$296,2,FALSE)</f>
        <v>Core Market</v>
      </c>
      <c r="D96" s="2">
        <f>IF(COUNTIFS('[1]Brand Family Territories (Enc)'!$B$2:$B$62,C96,'[1]Brand Family Territories (Enc)'!$C$2:$C$62,B96)&gt;0,1,IF(AND(LEFT(B96,6)="MORRIS",COUNTIFS('[1]Brand Family Territories (Enc)'!$B$2:$B$62,C96,'[1]Brand Family Territories (Enc)'!$C$2:$C$62,"Morri")&gt;0),"Unk",0))</f>
        <v>0</v>
      </c>
      <c r="E96" s="2" t="str">
        <f>IFERROR(INDEX('Blackout Brand Fam Areas (Enc)'!$D$6:$D$998,MATCH(UPPER(A96)&amp;"|"&amp;UPPER(B96),'Blackout Brand Fam Areas (Enc)'!$G$6:$G$998,0)),"No Match")</f>
        <v>Inactive</v>
      </c>
      <c r="F96" s="2" t="str">
        <f t="shared" si="2"/>
        <v>THEM</v>
      </c>
      <c r="G96" s="2" t="str">
        <f t="shared" si="3"/>
        <v>Cayman Jack|HUDSON</v>
      </c>
    </row>
    <row r="97" spans="1:7" x14ac:dyDescent="0.2">
      <c r="A97" s="2" t="str" cm="1">
        <f t="array" ref="A97">INDEX('[1]Brand Family Territory (Enc)'!$A$2:$A$296,INT((ROW()-2)/10)+1)</f>
        <v>Cayman Jack</v>
      </c>
      <c r="B97" s="2" t="str" cm="1">
        <f t="array" ref="B97">INDEX('Whitelist (Blackout Reverse)'!$B$1:$K$1,MOD(ROW()-2,10)+1)</f>
        <v>UNION</v>
      </c>
      <c r="C97" s="2" t="str">
        <f>VLOOKUP(A97,'[1]Brand Family Territory (Enc)'!$A$2:$B$296,2,FALSE)</f>
        <v>Core Market</v>
      </c>
      <c r="D97" s="2">
        <f>IF(COUNTIFS('[1]Brand Family Territories (Enc)'!$B$2:$B$62,C97,'[1]Brand Family Territories (Enc)'!$C$2:$C$62,B97)&gt;0,1,IF(AND(LEFT(B97,6)="MORRIS",COUNTIFS('[1]Brand Family Territories (Enc)'!$B$2:$B$62,C97,'[1]Brand Family Territories (Enc)'!$C$2:$C$62,"Morri")&gt;0),"Unk",0))</f>
        <v>0</v>
      </c>
      <c r="E97" s="2" t="str">
        <f>IFERROR(INDEX('Blackout Brand Fam Areas (Enc)'!$D$6:$D$998,MATCH(UPPER(A97)&amp;"|"&amp;UPPER(B97),'Blackout Brand Fam Areas (Enc)'!$G$6:$G$998,0)),"No Match")</f>
        <v>Inactive</v>
      </c>
      <c r="F97" s="2" t="str">
        <f t="shared" si="2"/>
        <v>THEM</v>
      </c>
      <c r="G97" s="2" t="str">
        <f t="shared" si="3"/>
        <v>Cayman Jack|UNION</v>
      </c>
    </row>
    <row r="98" spans="1:7" x14ac:dyDescent="0.2">
      <c r="A98" s="2" t="str" cm="1">
        <f t="array" ref="A98">INDEX('[1]Brand Family Territory (Enc)'!$A$2:$A$296,INT((ROW()-2)/10)+1)</f>
        <v>Cayman Jack</v>
      </c>
      <c r="B98" s="2" t="str" cm="1">
        <f t="array" ref="B98">INDEX('Whitelist (Blackout Reverse)'!$B$1:$K$1,MOD(ROW()-2,10)+1)</f>
        <v>SUSSEX</v>
      </c>
      <c r="C98" s="2" t="str">
        <f>VLOOKUP(A98,'[1]Brand Family Territory (Enc)'!$A$2:$B$296,2,FALSE)</f>
        <v>Core Market</v>
      </c>
      <c r="D98" s="2">
        <f>IF(COUNTIFS('[1]Brand Family Territories (Enc)'!$B$2:$B$62,C98,'[1]Brand Family Territories (Enc)'!$C$2:$C$62,B98)&gt;0,1,IF(AND(LEFT(B98,6)="MORRIS",COUNTIFS('[1]Brand Family Territories (Enc)'!$B$2:$B$62,C98,'[1]Brand Family Territories (Enc)'!$C$2:$C$62,"Morri")&gt;0),"Unk",0))</f>
        <v>1</v>
      </c>
      <c r="E98" s="2" t="str">
        <f>IFERROR(INDEX('Blackout Brand Fam Areas (Enc)'!$D$6:$D$998,MATCH(UPPER(A98)&amp;"|"&amp;UPPER(B98),'Blackout Brand Fam Areas (Enc)'!$G$6:$G$998,0)),"No Match")</f>
        <v>No Match</v>
      </c>
      <c r="F98" s="2" t="str">
        <f t="shared" si="2"/>
        <v>US</v>
      </c>
      <c r="G98" s="2" t="str">
        <f t="shared" si="3"/>
        <v>Cayman Jack|SUSSEX</v>
      </c>
    </row>
    <row r="99" spans="1:7" x14ac:dyDescent="0.2">
      <c r="A99" s="2" t="str" cm="1">
        <f t="array" ref="A99">INDEX('[1]Brand Family Territory (Enc)'!$A$2:$A$296,INT((ROW()-2)/10)+1)</f>
        <v>Cayman Jack</v>
      </c>
      <c r="B99" s="2" t="str" cm="1">
        <f t="array" ref="B99">INDEX('Whitelist (Blackout Reverse)'!$B$1:$K$1,MOD(ROW()-2,10)+1)</f>
        <v>MORRIS 1</v>
      </c>
      <c r="C99" s="2" t="str">
        <f>VLOOKUP(A99,'[1]Brand Family Territory (Enc)'!$A$2:$B$296,2,FALSE)</f>
        <v>Core Market</v>
      </c>
      <c r="D99" s="2">
        <f>IF(COUNTIFS('[1]Brand Family Territories (Enc)'!$B$2:$B$62,C99,'[1]Brand Family Territories (Enc)'!$C$2:$C$62,B99)&gt;0,1,IF(AND(LEFT(B99,6)="MORRIS",COUNTIFS('[1]Brand Family Territories (Enc)'!$B$2:$B$62,C99,'[1]Brand Family Territories (Enc)'!$C$2:$C$62,"Morri")&gt;0),"Unk",0))</f>
        <v>1</v>
      </c>
      <c r="E99" s="2" t="str">
        <f>IFERROR(INDEX('Blackout Brand Fam Areas (Enc)'!$D$6:$D$998,MATCH(UPPER(A99)&amp;"|"&amp;UPPER(B99),'Blackout Brand Fam Areas (Enc)'!$G$6:$G$998,0)),"No Match")</f>
        <v>No Match</v>
      </c>
      <c r="F99" s="2" t="str">
        <f t="shared" si="2"/>
        <v>US</v>
      </c>
      <c r="G99" s="2" t="str">
        <f t="shared" si="3"/>
        <v>Cayman Jack|MORRIS 1</v>
      </c>
    </row>
    <row r="100" spans="1:7" x14ac:dyDescent="0.2">
      <c r="A100" s="2" t="str" cm="1">
        <f t="array" ref="A100">INDEX('[1]Brand Family Territory (Enc)'!$A$2:$A$296,INT((ROW()-2)/10)+1)</f>
        <v>Cayman Jack</v>
      </c>
      <c r="B100" s="2" t="str" cm="1">
        <f t="array" ref="B100">INDEX('Whitelist (Blackout Reverse)'!$B$1:$K$1,MOD(ROW()-2,10)+1)</f>
        <v>MORRIS 2</v>
      </c>
      <c r="C100" s="2" t="str">
        <f>VLOOKUP(A100,'[1]Brand Family Territory (Enc)'!$A$2:$B$296,2,FALSE)</f>
        <v>Core Market</v>
      </c>
      <c r="D100" s="2">
        <f>IF(COUNTIFS('[1]Brand Family Territories (Enc)'!$B$2:$B$62,C100,'[1]Brand Family Territories (Enc)'!$C$2:$C$62,B100)&gt;0,1,IF(AND(LEFT(B100,6)="MORRIS",COUNTIFS('[1]Brand Family Territories (Enc)'!$B$2:$B$62,C100,'[1]Brand Family Territories (Enc)'!$C$2:$C$62,"Morri")&gt;0),"Unk",0))</f>
        <v>0</v>
      </c>
      <c r="E100" s="2" t="str">
        <f>IFERROR(INDEX('Blackout Brand Fam Areas (Enc)'!$D$6:$D$998,MATCH(UPPER(A100)&amp;"|"&amp;UPPER(B100),'Blackout Brand Fam Areas (Enc)'!$G$6:$G$998,0)),"No Match")</f>
        <v>Inactive</v>
      </c>
      <c r="F100" s="2" t="str">
        <f t="shared" si="2"/>
        <v>THEM</v>
      </c>
      <c r="G100" s="2" t="str">
        <f t="shared" si="3"/>
        <v>Cayman Jack|MORRIS 2</v>
      </c>
    </row>
    <row r="101" spans="1:7" x14ac:dyDescent="0.2">
      <c r="A101" s="2" t="str" cm="1">
        <f t="array" ref="A101">INDEX('[1]Brand Family Territory (Enc)'!$A$2:$A$296,INT((ROW()-2)/10)+1)</f>
        <v>Cayman Jack</v>
      </c>
      <c r="B101" s="2" t="str" cm="1">
        <f t="array" ref="B101">INDEX('Whitelist (Blackout Reverse)'!$B$1:$K$1,MOD(ROW()-2,10)+1)</f>
        <v>MORRIS 3</v>
      </c>
      <c r="C101" s="2" t="str">
        <f>VLOOKUP(A101,'[1]Brand Family Territory (Enc)'!$A$2:$B$296,2,FALSE)</f>
        <v>Core Market</v>
      </c>
      <c r="D101" s="2">
        <f>IF(COUNTIFS('[1]Brand Family Territories (Enc)'!$B$2:$B$62,C101,'[1]Brand Family Territories (Enc)'!$C$2:$C$62,B101)&gt;0,1,IF(AND(LEFT(B101,6)="MORRIS",COUNTIFS('[1]Brand Family Territories (Enc)'!$B$2:$B$62,C101,'[1]Brand Family Territories (Enc)'!$C$2:$C$62,"Morri")&gt;0),"Unk",0))</f>
        <v>1</v>
      </c>
      <c r="E101" s="2" t="str">
        <f>IFERROR(INDEX('Blackout Brand Fam Areas (Enc)'!$D$6:$D$998,MATCH(UPPER(A101)&amp;"|"&amp;UPPER(B101),'Blackout Brand Fam Areas (Enc)'!$G$6:$G$998,0)),"No Match")</f>
        <v>No Match</v>
      </c>
      <c r="F101" s="2" t="str">
        <f t="shared" si="2"/>
        <v>US</v>
      </c>
      <c r="G101" s="2" t="str">
        <f t="shared" si="3"/>
        <v>Cayman Jack|MORRIS 3</v>
      </c>
    </row>
    <row r="102" spans="1:7" x14ac:dyDescent="0.2">
      <c r="A102" s="2" t="str" cm="1">
        <f t="array" ref="A102">INDEX('[1]Brand Family Territory (Enc)'!$A$2:$A$296,INT((ROW()-2)/10)+1)</f>
        <v>Coors</v>
      </c>
      <c r="B102" s="2" t="str" cm="1">
        <f t="array" ref="B102">INDEX('Whitelist (Blackout Reverse)'!$B$1:$K$1,MOD(ROW()-2,10)+1)</f>
        <v>BERGEN</v>
      </c>
      <c r="C102" s="2" t="str">
        <f>VLOOKUP(A102,'[1]Brand Family Territory (Enc)'!$A$2:$B$296,2,FALSE)</f>
        <v>Core Market</v>
      </c>
      <c r="D102" s="2">
        <f>IF(COUNTIFS('[1]Brand Family Territories (Enc)'!$B$2:$B$62,C102,'[1]Brand Family Territories (Enc)'!$C$2:$C$62,B102)&gt;0,1,IF(AND(LEFT(B102,6)="MORRIS",COUNTIFS('[1]Brand Family Territories (Enc)'!$B$2:$B$62,C102,'[1]Brand Family Territories (Enc)'!$C$2:$C$62,"Morri")&gt;0),"Unk",0))</f>
        <v>1</v>
      </c>
      <c r="E102" s="2" t="str">
        <f>IFERROR(INDEX('Blackout Brand Fam Areas (Enc)'!$D$6:$D$998,MATCH(UPPER(A102)&amp;"|"&amp;UPPER(B102),'Blackout Brand Fam Areas (Enc)'!$G$6:$G$998,0)),"No Match")</f>
        <v>No Match</v>
      </c>
      <c r="F102" s="2" t="str">
        <f t="shared" si="2"/>
        <v>US</v>
      </c>
      <c r="G102" s="2" t="str">
        <f t="shared" si="3"/>
        <v>Coors|BERGEN</v>
      </c>
    </row>
    <row r="103" spans="1:7" x14ac:dyDescent="0.2">
      <c r="A103" s="2" t="str" cm="1">
        <f t="array" ref="A103">INDEX('[1]Brand Family Territory (Enc)'!$A$2:$A$296,INT((ROW()-2)/10)+1)</f>
        <v>Coors</v>
      </c>
      <c r="B103" s="2" t="str" cm="1">
        <f t="array" ref="B103">INDEX('Whitelist (Blackout Reverse)'!$B$1:$K$1,MOD(ROW()-2,10)+1)</f>
        <v>PASSAIC</v>
      </c>
      <c r="C103" s="2" t="str">
        <f>VLOOKUP(A103,'[1]Brand Family Territory (Enc)'!$A$2:$B$296,2,FALSE)</f>
        <v>Core Market</v>
      </c>
      <c r="D103" s="2">
        <f>IF(COUNTIFS('[1]Brand Family Territories (Enc)'!$B$2:$B$62,C103,'[1]Brand Family Territories (Enc)'!$C$2:$C$62,B103)&gt;0,1,IF(AND(LEFT(B103,6)="MORRIS",COUNTIFS('[1]Brand Family Territories (Enc)'!$B$2:$B$62,C103,'[1]Brand Family Territories (Enc)'!$C$2:$C$62,"Morri")&gt;0),"Unk",0))</f>
        <v>1</v>
      </c>
      <c r="E103" s="2" t="str">
        <f>IFERROR(INDEX('Blackout Brand Fam Areas (Enc)'!$D$6:$D$998,MATCH(UPPER(A103)&amp;"|"&amp;UPPER(B103),'Blackout Brand Fam Areas (Enc)'!$G$6:$G$998,0)),"No Match")</f>
        <v>No Match</v>
      </c>
      <c r="F103" s="2" t="str">
        <f t="shared" si="2"/>
        <v>US</v>
      </c>
      <c r="G103" s="2" t="str">
        <f t="shared" si="3"/>
        <v>Coors|PASSAIC</v>
      </c>
    </row>
    <row r="104" spans="1:7" x14ac:dyDescent="0.2">
      <c r="A104" s="2" t="str" cm="1">
        <f t="array" ref="A104">INDEX('[1]Brand Family Territory (Enc)'!$A$2:$A$296,INT((ROW()-2)/10)+1)</f>
        <v>Coors</v>
      </c>
      <c r="B104" s="2" t="str" cm="1">
        <f t="array" ref="B104">INDEX('Whitelist (Blackout Reverse)'!$B$1:$K$1,MOD(ROW()-2,10)+1)</f>
        <v>PASSAIC-FF</v>
      </c>
      <c r="C104" s="2" t="str">
        <f>VLOOKUP(A104,'[1]Brand Family Territory (Enc)'!$A$2:$B$296,2,FALSE)</f>
        <v>Core Market</v>
      </c>
      <c r="D104" s="2">
        <f>IF(COUNTIFS('[1]Brand Family Territories (Enc)'!$B$2:$B$62,C104,'[1]Brand Family Territories (Enc)'!$C$2:$C$62,B104)&gt;0,1,IF(AND(LEFT(B104,6)="MORRIS",COUNTIFS('[1]Brand Family Territories (Enc)'!$B$2:$B$62,C104,'[1]Brand Family Territories (Enc)'!$C$2:$C$62,"Morri")&gt;0),"Unk",0))</f>
        <v>1</v>
      </c>
      <c r="E104" s="2" t="str">
        <f>IFERROR(INDEX('Blackout Brand Fam Areas (Enc)'!$D$6:$D$998,MATCH(UPPER(A104)&amp;"|"&amp;UPPER(B104),'Blackout Brand Fam Areas (Enc)'!$G$6:$G$998,0)),"No Match")</f>
        <v>No Match</v>
      </c>
      <c r="F104" s="2" t="str">
        <f t="shared" si="2"/>
        <v>US</v>
      </c>
      <c r="G104" s="2" t="str">
        <f t="shared" si="3"/>
        <v>Coors|PASSAIC-FF</v>
      </c>
    </row>
    <row r="105" spans="1:7" x14ac:dyDescent="0.2">
      <c r="A105" s="2" t="str" cm="1">
        <f t="array" ref="A105">INDEX('[1]Brand Family Territory (Enc)'!$A$2:$A$296,INT((ROW()-2)/10)+1)</f>
        <v>Coors</v>
      </c>
      <c r="B105" s="2" t="str" cm="1">
        <f t="array" ref="B105">INDEX('Whitelist (Blackout Reverse)'!$B$1:$K$1,MOD(ROW()-2,10)+1)</f>
        <v>ESSEX</v>
      </c>
      <c r="C105" s="2" t="str">
        <f>VLOOKUP(A105,'[1]Brand Family Territory (Enc)'!$A$2:$B$296,2,FALSE)</f>
        <v>Core Market</v>
      </c>
      <c r="D105" s="2">
        <f>IF(COUNTIFS('[1]Brand Family Territories (Enc)'!$B$2:$B$62,C105,'[1]Brand Family Territories (Enc)'!$C$2:$C$62,B105)&gt;0,1,IF(AND(LEFT(B105,6)="MORRIS",COUNTIFS('[1]Brand Family Territories (Enc)'!$B$2:$B$62,C105,'[1]Brand Family Territories (Enc)'!$C$2:$C$62,"Morri")&gt;0),"Unk",0))</f>
        <v>0</v>
      </c>
      <c r="E105" s="2" t="str">
        <f>IFERROR(INDEX('Blackout Brand Fam Areas (Enc)'!$D$6:$D$998,MATCH(UPPER(A105)&amp;"|"&amp;UPPER(B105),'Blackout Brand Fam Areas (Enc)'!$G$6:$G$998,0)),"No Match")</f>
        <v>Inactive</v>
      </c>
      <c r="F105" s="2" t="str">
        <f t="shared" si="2"/>
        <v>THEM</v>
      </c>
      <c r="G105" s="2" t="str">
        <f t="shared" si="3"/>
        <v>Coors|ESSEX</v>
      </c>
    </row>
    <row r="106" spans="1:7" x14ac:dyDescent="0.2">
      <c r="A106" s="2" t="str" cm="1">
        <f t="array" ref="A106">INDEX('[1]Brand Family Territory (Enc)'!$A$2:$A$296,INT((ROW()-2)/10)+1)</f>
        <v>Coors</v>
      </c>
      <c r="B106" s="2" t="str" cm="1">
        <f t="array" ref="B106">INDEX('Whitelist (Blackout Reverse)'!$B$1:$K$1,MOD(ROW()-2,10)+1)</f>
        <v>HUDSON</v>
      </c>
      <c r="C106" s="2" t="str">
        <f>VLOOKUP(A106,'[1]Brand Family Territory (Enc)'!$A$2:$B$296,2,FALSE)</f>
        <v>Core Market</v>
      </c>
      <c r="D106" s="2">
        <f>IF(COUNTIFS('[1]Brand Family Territories (Enc)'!$B$2:$B$62,C106,'[1]Brand Family Territories (Enc)'!$C$2:$C$62,B106)&gt;0,1,IF(AND(LEFT(B106,6)="MORRIS",COUNTIFS('[1]Brand Family Territories (Enc)'!$B$2:$B$62,C106,'[1]Brand Family Territories (Enc)'!$C$2:$C$62,"Morri")&gt;0),"Unk",0))</f>
        <v>0</v>
      </c>
      <c r="E106" s="2" t="str">
        <f>IFERROR(INDEX('Blackout Brand Fam Areas (Enc)'!$D$6:$D$998,MATCH(UPPER(A106)&amp;"|"&amp;UPPER(B106),'Blackout Brand Fam Areas (Enc)'!$G$6:$G$998,0)),"No Match")</f>
        <v>Inactive</v>
      </c>
      <c r="F106" s="2" t="str">
        <f t="shared" si="2"/>
        <v>THEM</v>
      </c>
      <c r="G106" s="2" t="str">
        <f t="shared" si="3"/>
        <v>Coors|HUDSON</v>
      </c>
    </row>
    <row r="107" spans="1:7" x14ac:dyDescent="0.2">
      <c r="A107" s="2" t="str" cm="1">
        <f t="array" ref="A107">INDEX('[1]Brand Family Territory (Enc)'!$A$2:$A$296,INT((ROW()-2)/10)+1)</f>
        <v>Coors</v>
      </c>
      <c r="B107" s="2" t="str" cm="1">
        <f t="array" ref="B107">INDEX('Whitelist (Blackout Reverse)'!$B$1:$K$1,MOD(ROW()-2,10)+1)</f>
        <v>UNION</v>
      </c>
      <c r="C107" s="2" t="str">
        <f>VLOOKUP(A107,'[1]Brand Family Territory (Enc)'!$A$2:$B$296,2,FALSE)</f>
        <v>Core Market</v>
      </c>
      <c r="D107" s="2">
        <f>IF(COUNTIFS('[1]Brand Family Territories (Enc)'!$B$2:$B$62,C107,'[1]Brand Family Territories (Enc)'!$C$2:$C$62,B107)&gt;0,1,IF(AND(LEFT(B107,6)="MORRIS",COUNTIFS('[1]Brand Family Territories (Enc)'!$B$2:$B$62,C107,'[1]Brand Family Territories (Enc)'!$C$2:$C$62,"Morri")&gt;0),"Unk",0))</f>
        <v>0</v>
      </c>
      <c r="E107" s="2" t="str">
        <f>IFERROR(INDEX('Blackout Brand Fam Areas (Enc)'!$D$6:$D$998,MATCH(UPPER(A107)&amp;"|"&amp;UPPER(B107),'Blackout Brand Fam Areas (Enc)'!$G$6:$G$998,0)),"No Match")</f>
        <v>Inactive</v>
      </c>
      <c r="F107" s="2" t="str">
        <f t="shared" si="2"/>
        <v>THEM</v>
      </c>
      <c r="G107" s="2" t="str">
        <f t="shared" si="3"/>
        <v>Coors|UNION</v>
      </c>
    </row>
    <row r="108" spans="1:7" x14ac:dyDescent="0.2">
      <c r="A108" s="2" t="str" cm="1">
        <f t="array" ref="A108">INDEX('[1]Brand Family Territory (Enc)'!$A$2:$A$296,INT((ROW()-2)/10)+1)</f>
        <v>Coors</v>
      </c>
      <c r="B108" s="2" t="str" cm="1">
        <f t="array" ref="B108">INDEX('Whitelist (Blackout Reverse)'!$B$1:$K$1,MOD(ROW()-2,10)+1)</f>
        <v>SUSSEX</v>
      </c>
      <c r="C108" s="2" t="str">
        <f>VLOOKUP(A108,'[1]Brand Family Territory (Enc)'!$A$2:$B$296,2,FALSE)</f>
        <v>Core Market</v>
      </c>
      <c r="D108" s="2">
        <f>IF(COUNTIFS('[1]Brand Family Territories (Enc)'!$B$2:$B$62,C108,'[1]Brand Family Territories (Enc)'!$C$2:$C$62,B108)&gt;0,1,IF(AND(LEFT(B108,6)="MORRIS",COUNTIFS('[1]Brand Family Territories (Enc)'!$B$2:$B$62,C108,'[1]Brand Family Territories (Enc)'!$C$2:$C$62,"Morri")&gt;0),"Unk",0))</f>
        <v>1</v>
      </c>
      <c r="E108" s="2" t="str">
        <f>IFERROR(INDEX('Blackout Brand Fam Areas (Enc)'!$D$6:$D$998,MATCH(UPPER(A108)&amp;"|"&amp;UPPER(B108),'Blackout Brand Fam Areas (Enc)'!$G$6:$G$998,0)),"No Match")</f>
        <v>No Match</v>
      </c>
      <c r="F108" s="2" t="str">
        <f t="shared" si="2"/>
        <v>US</v>
      </c>
      <c r="G108" s="2" t="str">
        <f t="shared" si="3"/>
        <v>Coors|SUSSEX</v>
      </c>
    </row>
    <row r="109" spans="1:7" x14ac:dyDescent="0.2">
      <c r="A109" s="2" t="str" cm="1">
        <f t="array" ref="A109">INDEX('[1]Brand Family Territory (Enc)'!$A$2:$A$296,INT((ROW()-2)/10)+1)</f>
        <v>Coors</v>
      </c>
      <c r="B109" s="2" t="str" cm="1">
        <f t="array" ref="B109">INDEX('Whitelist (Blackout Reverse)'!$B$1:$K$1,MOD(ROW()-2,10)+1)</f>
        <v>MORRIS 1</v>
      </c>
      <c r="C109" s="2" t="str">
        <f>VLOOKUP(A109,'[1]Brand Family Territory (Enc)'!$A$2:$B$296,2,FALSE)</f>
        <v>Core Market</v>
      </c>
      <c r="D109" s="2">
        <f>IF(COUNTIFS('[1]Brand Family Territories (Enc)'!$B$2:$B$62,C109,'[1]Brand Family Territories (Enc)'!$C$2:$C$62,B109)&gt;0,1,IF(AND(LEFT(B109,6)="MORRIS",COUNTIFS('[1]Brand Family Territories (Enc)'!$B$2:$B$62,C109,'[1]Brand Family Territories (Enc)'!$C$2:$C$62,"Morri")&gt;0),"Unk",0))</f>
        <v>1</v>
      </c>
      <c r="E109" s="2" t="str">
        <f>IFERROR(INDEX('Blackout Brand Fam Areas (Enc)'!$D$6:$D$998,MATCH(UPPER(A109)&amp;"|"&amp;UPPER(B109),'Blackout Brand Fam Areas (Enc)'!$G$6:$G$998,0)),"No Match")</f>
        <v>No Match</v>
      </c>
      <c r="F109" s="2" t="str">
        <f t="shared" si="2"/>
        <v>US</v>
      </c>
      <c r="G109" s="2" t="str">
        <f t="shared" si="3"/>
        <v>Coors|MORRIS 1</v>
      </c>
    </row>
    <row r="110" spans="1:7" x14ac:dyDescent="0.2">
      <c r="A110" s="2" t="str" cm="1">
        <f t="array" ref="A110">INDEX('[1]Brand Family Territory (Enc)'!$A$2:$A$296,INT((ROW()-2)/10)+1)</f>
        <v>Coors</v>
      </c>
      <c r="B110" s="2" t="str" cm="1">
        <f t="array" ref="B110">INDEX('Whitelist (Blackout Reverse)'!$B$1:$K$1,MOD(ROW()-2,10)+1)</f>
        <v>MORRIS 2</v>
      </c>
      <c r="C110" s="2" t="str">
        <f>VLOOKUP(A110,'[1]Brand Family Territory (Enc)'!$A$2:$B$296,2,FALSE)</f>
        <v>Core Market</v>
      </c>
      <c r="D110" s="2">
        <f>IF(COUNTIFS('[1]Brand Family Territories (Enc)'!$B$2:$B$62,C110,'[1]Brand Family Territories (Enc)'!$C$2:$C$62,B110)&gt;0,1,IF(AND(LEFT(B110,6)="MORRIS",COUNTIFS('[1]Brand Family Territories (Enc)'!$B$2:$B$62,C110,'[1]Brand Family Territories (Enc)'!$C$2:$C$62,"Morri")&gt;0),"Unk",0))</f>
        <v>0</v>
      </c>
      <c r="E110" s="2" t="str">
        <f>IFERROR(INDEX('Blackout Brand Fam Areas (Enc)'!$D$6:$D$998,MATCH(UPPER(A110)&amp;"|"&amp;UPPER(B110),'Blackout Brand Fam Areas (Enc)'!$G$6:$G$998,0)),"No Match")</f>
        <v>Inactive</v>
      </c>
      <c r="F110" s="2" t="str">
        <f t="shared" si="2"/>
        <v>THEM</v>
      </c>
      <c r="G110" s="2" t="str">
        <f t="shared" si="3"/>
        <v>Coors|MORRIS 2</v>
      </c>
    </row>
    <row r="111" spans="1:7" x14ac:dyDescent="0.2">
      <c r="A111" s="2" t="str" cm="1">
        <f t="array" ref="A111">INDEX('[1]Brand Family Territory (Enc)'!$A$2:$A$296,INT((ROW()-2)/10)+1)</f>
        <v>Coors</v>
      </c>
      <c r="B111" s="2" t="str" cm="1">
        <f t="array" ref="B111">INDEX('Whitelist (Blackout Reverse)'!$B$1:$K$1,MOD(ROW()-2,10)+1)</f>
        <v>MORRIS 3</v>
      </c>
      <c r="C111" s="2" t="str">
        <f>VLOOKUP(A111,'[1]Brand Family Territory (Enc)'!$A$2:$B$296,2,FALSE)</f>
        <v>Core Market</v>
      </c>
      <c r="D111" s="2">
        <f>IF(COUNTIFS('[1]Brand Family Territories (Enc)'!$B$2:$B$62,C111,'[1]Brand Family Territories (Enc)'!$C$2:$C$62,B111)&gt;0,1,IF(AND(LEFT(B111,6)="MORRIS",COUNTIFS('[1]Brand Family Territories (Enc)'!$B$2:$B$62,C111,'[1]Brand Family Territories (Enc)'!$C$2:$C$62,"Morri")&gt;0),"Unk",0))</f>
        <v>1</v>
      </c>
      <c r="E111" s="2" t="str">
        <f>IFERROR(INDEX('Blackout Brand Fam Areas (Enc)'!$D$6:$D$998,MATCH(UPPER(A111)&amp;"|"&amp;UPPER(B111),'Blackout Brand Fam Areas (Enc)'!$G$6:$G$998,0)),"No Match")</f>
        <v>No Match</v>
      </c>
      <c r="F111" s="2" t="str">
        <f t="shared" si="2"/>
        <v>US</v>
      </c>
      <c r="G111" s="2" t="str">
        <f t="shared" si="3"/>
        <v>Coors|MORRIS 3</v>
      </c>
    </row>
    <row r="112" spans="1:7" x14ac:dyDescent="0.2">
      <c r="A112" s="2" t="str" cm="1">
        <f t="array" ref="A112">INDEX('[1]Brand Family Territory (Enc)'!$A$2:$A$296,INT((ROW()-2)/10)+1)</f>
        <v>Coors Edge</v>
      </c>
      <c r="B112" s="2" t="str" cm="1">
        <f t="array" ref="B112">INDEX('Whitelist (Blackout Reverse)'!$B$1:$K$1,MOD(ROW()-2,10)+1)</f>
        <v>BERGEN</v>
      </c>
      <c r="C112" s="2" t="str">
        <f>VLOOKUP(A112,'[1]Brand Family Territory (Enc)'!$A$2:$B$296,2,FALSE)</f>
        <v>Core Market</v>
      </c>
      <c r="D112" s="2">
        <f>IF(COUNTIFS('[1]Brand Family Territories (Enc)'!$B$2:$B$62,C112,'[1]Brand Family Territories (Enc)'!$C$2:$C$62,B112)&gt;0,1,IF(AND(LEFT(B112,6)="MORRIS",COUNTIFS('[1]Brand Family Territories (Enc)'!$B$2:$B$62,C112,'[1]Brand Family Territories (Enc)'!$C$2:$C$62,"Morri")&gt;0),"Unk",0))</f>
        <v>1</v>
      </c>
      <c r="E112" s="2" t="str">
        <f>IFERROR(INDEX('Blackout Brand Fam Areas (Enc)'!$D$6:$D$998,MATCH(UPPER(A112)&amp;"|"&amp;UPPER(B112),'Blackout Brand Fam Areas (Enc)'!$G$6:$G$998,0)),"No Match")</f>
        <v>No Match</v>
      </c>
      <c r="F112" s="2" t="str">
        <f t="shared" si="2"/>
        <v>US</v>
      </c>
      <c r="G112" s="2" t="str">
        <f t="shared" si="3"/>
        <v>Coors Edge|BERGEN</v>
      </c>
    </row>
    <row r="113" spans="1:7" x14ac:dyDescent="0.2">
      <c r="A113" s="2" t="str" cm="1">
        <f t="array" ref="A113">INDEX('[1]Brand Family Territory (Enc)'!$A$2:$A$296,INT((ROW()-2)/10)+1)</f>
        <v>Coors Edge</v>
      </c>
      <c r="B113" s="2" t="str" cm="1">
        <f t="array" ref="B113">INDEX('Whitelist (Blackout Reverse)'!$B$1:$K$1,MOD(ROW()-2,10)+1)</f>
        <v>PASSAIC</v>
      </c>
      <c r="C113" s="2" t="str">
        <f>VLOOKUP(A113,'[1]Brand Family Territory (Enc)'!$A$2:$B$296,2,FALSE)</f>
        <v>Core Market</v>
      </c>
      <c r="D113" s="2">
        <f>IF(COUNTIFS('[1]Brand Family Territories (Enc)'!$B$2:$B$62,C113,'[1]Brand Family Territories (Enc)'!$C$2:$C$62,B113)&gt;0,1,IF(AND(LEFT(B113,6)="MORRIS",COUNTIFS('[1]Brand Family Territories (Enc)'!$B$2:$B$62,C113,'[1]Brand Family Territories (Enc)'!$C$2:$C$62,"Morri")&gt;0),"Unk",0))</f>
        <v>1</v>
      </c>
      <c r="E113" s="2" t="str">
        <f>IFERROR(INDEX('Blackout Brand Fam Areas (Enc)'!$D$6:$D$998,MATCH(UPPER(A113)&amp;"|"&amp;UPPER(B113),'Blackout Brand Fam Areas (Enc)'!$G$6:$G$998,0)),"No Match")</f>
        <v>No Match</v>
      </c>
      <c r="F113" s="2" t="str">
        <f t="shared" si="2"/>
        <v>US</v>
      </c>
      <c r="G113" s="2" t="str">
        <f t="shared" si="3"/>
        <v>Coors Edge|PASSAIC</v>
      </c>
    </row>
    <row r="114" spans="1:7" x14ac:dyDescent="0.2">
      <c r="A114" s="2" t="str" cm="1">
        <f t="array" ref="A114">INDEX('[1]Brand Family Territory (Enc)'!$A$2:$A$296,INT((ROW()-2)/10)+1)</f>
        <v>Coors Edge</v>
      </c>
      <c r="B114" s="2" t="str" cm="1">
        <f t="array" ref="B114">INDEX('Whitelist (Blackout Reverse)'!$B$1:$K$1,MOD(ROW()-2,10)+1)</f>
        <v>PASSAIC-FF</v>
      </c>
      <c r="C114" s="2" t="str">
        <f>VLOOKUP(A114,'[1]Brand Family Territory (Enc)'!$A$2:$B$296,2,FALSE)</f>
        <v>Core Market</v>
      </c>
      <c r="D114" s="2">
        <f>IF(COUNTIFS('[1]Brand Family Territories (Enc)'!$B$2:$B$62,C114,'[1]Brand Family Territories (Enc)'!$C$2:$C$62,B114)&gt;0,1,IF(AND(LEFT(B114,6)="MORRIS",COUNTIFS('[1]Brand Family Territories (Enc)'!$B$2:$B$62,C114,'[1]Brand Family Territories (Enc)'!$C$2:$C$62,"Morri")&gt;0),"Unk",0))</f>
        <v>1</v>
      </c>
      <c r="E114" s="2" t="str">
        <f>IFERROR(INDEX('Blackout Brand Fam Areas (Enc)'!$D$6:$D$998,MATCH(UPPER(A114)&amp;"|"&amp;UPPER(B114),'Blackout Brand Fam Areas (Enc)'!$G$6:$G$998,0)),"No Match")</f>
        <v>No Match</v>
      </c>
      <c r="F114" s="2" t="str">
        <f t="shared" si="2"/>
        <v>US</v>
      </c>
      <c r="G114" s="2" t="str">
        <f t="shared" si="3"/>
        <v>Coors Edge|PASSAIC-FF</v>
      </c>
    </row>
    <row r="115" spans="1:7" x14ac:dyDescent="0.2">
      <c r="A115" s="2" t="str" cm="1">
        <f t="array" ref="A115">INDEX('[1]Brand Family Territory (Enc)'!$A$2:$A$296,INT((ROW()-2)/10)+1)</f>
        <v>Coors Edge</v>
      </c>
      <c r="B115" s="2" t="str" cm="1">
        <f t="array" ref="B115">INDEX('Whitelist (Blackout Reverse)'!$B$1:$K$1,MOD(ROW()-2,10)+1)</f>
        <v>ESSEX</v>
      </c>
      <c r="C115" s="2" t="str">
        <f>VLOOKUP(A115,'[1]Brand Family Territory (Enc)'!$A$2:$B$296,2,FALSE)</f>
        <v>Core Market</v>
      </c>
      <c r="D115" s="2">
        <f>IF(COUNTIFS('[1]Brand Family Territories (Enc)'!$B$2:$B$62,C115,'[1]Brand Family Territories (Enc)'!$C$2:$C$62,B115)&gt;0,1,IF(AND(LEFT(B115,6)="MORRIS",COUNTIFS('[1]Brand Family Territories (Enc)'!$B$2:$B$62,C115,'[1]Brand Family Territories (Enc)'!$C$2:$C$62,"Morri")&gt;0),"Unk",0))</f>
        <v>0</v>
      </c>
      <c r="E115" s="2" t="str">
        <f>IFERROR(INDEX('Blackout Brand Fam Areas (Enc)'!$D$6:$D$998,MATCH(UPPER(A115)&amp;"|"&amp;UPPER(B115),'Blackout Brand Fam Areas (Enc)'!$G$6:$G$998,0)),"No Match")</f>
        <v>Inactive</v>
      </c>
      <c r="F115" s="2" t="str">
        <f t="shared" si="2"/>
        <v>THEM</v>
      </c>
      <c r="G115" s="2" t="str">
        <f t="shared" si="3"/>
        <v>Coors Edge|ESSEX</v>
      </c>
    </row>
    <row r="116" spans="1:7" x14ac:dyDescent="0.2">
      <c r="A116" s="2" t="str" cm="1">
        <f t="array" ref="A116">INDEX('[1]Brand Family Territory (Enc)'!$A$2:$A$296,INT((ROW()-2)/10)+1)</f>
        <v>Coors Edge</v>
      </c>
      <c r="B116" s="2" t="str" cm="1">
        <f t="array" ref="B116">INDEX('Whitelist (Blackout Reverse)'!$B$1:$K$1,MOD(ROW()-2,10)+1)</f>
        <v>HUDSON</v>
      </c>
      <c r="C116" s="2" t="str">
        <f>VLOOKUP(A116,'[1]Brand Family Territory (Enc)'!$A$2:$B$296,2,FALSE)</f>
        <v>Core Market</v>
      </c>
      <c r="D116" s="2">
        <f>IF(COUNTIFS('[1]Brand Family Territories (Enc)'!$B$2:$B$62,C116,'[1]Brand Family Territories (Enc)'!$C$2:$C$62,B116)&gt;0,1,IF(AND(LEFT(B116,6)="MORRIS",COUNTIFS('[1]Brand Family Territories (Enc)'!$B$2:$B$62,C116,'[1]Brand Family Territories (Enc)'!$C$2:$C$62,"Morri")&gt;0),"Unk",0))</f>
        <v>0</v>
      </c>
      <c r="E116" s="2" t="str">
        <f>IFERROR(INDEX('Blackout Brand Fam Areas (Enc)'!$D$6:$D$998,MATCH(UPPER(A116)&amp;"|"&amp;UPPER(B116),'Blackout Brand Fam Areas (Enc)'!$G$6:$G$998,0)),"No Match")</f>
        <v>Inactive</v>
      </c>
      <c r="F116" s="2" t="str">
        <f t="shared" si="2"/>
        <v>THEM</v>
      </c>
      <c r="G116" s="2" t="str">
        <f t="shared" si="3"/>
        <v>Coors Edge|HUDSON</v>
      </c>
    </row>
    <row r="117" spans="1:7" x14ac:dyDescent="0.2">
      <c r="A117" s="2" t="str" cm="1">
        <f t="array" ref="A117">INDEX('[1]Brand Family Territory (Enc)'!$A$2:$A$296,INT((ROW()-2)/10)+1)</f>
        <v>Coors Edge</v>
      </c>
      <c r="B117" s="2" t="str" cm="1">
        <f t="array" ref="B117">INDEX('Whitelist (Blackout Reverse)'!$B$1:$K$1,MOD(ROW()-2,10)+1)</f>
        <v>UNION</v>
      </c>
      <c r="C117" s="2" t="str">
        <f>VLOOKUP(A117,'[1]Brand Family Territory (Enc)'!$A$2:$B$296,2,FALSE)</f>
        <v>Core Market</v>
      </c>
      <c r="D117" s="2">
        <f>IF(COUNTIFS('[1]Brand Family Territories (Enc)'!$B$2:$B$62,C117,'[1]Brand Family Territories (Enc)'!$C$2:$C$62,B117)&gt;0,1,IF(AND(LEFT(B117,6)="MORRIS",COUNTIFS('[1]Brand Family Territories (Enc)'!$B$2:$B$62,C117,'[1]Brand Family Territories (Enc)'!$C$2:$C$62,"Morri")&gt;0),"Unk",0))</f>
        <v>0</v>
      </c>
      <c r="E117" s="2" t="str">
        <f>IFERROR(INDEX('Blackout Brand Fam Areas (Enc)'!$D$6:$D$998,MATCH(UPPER(A117)&amp;"|"&amp;UPPER(B117),'Blackout Brand Fam Areas (Enc)'!$G$6:$G$998,0)),"No Match")</f>
        <v>Inactive</v>
      </c>
      <c r="F117" s="2" t="str">
        <f t="shared" si="2"/>
        <v>THEM</v>
      </c>
      <c r="G117" s="2" t="str">
        <f t="shared" si="3"/>
        <v>Coors Edge|UNION</v>
      </c>
    </row>
    <row r="118" spans="1:7" x14ac:dyDescent="0.2">
      <c r="A118" s="2" t="str" cm="1">
        <f t="array" ref="A118">INDEX('[1]Brand Family Territory (Enc)'!$A$2:$A$296,INT((ROW()-2)/10)+1)</f>
        <v>Coors Edge</v>
      </c>
      <c r="B118" s="2" t="str" cm="1">
        <f t="array" ref="B118">INDEX('Whitelist (Blackout Reverse)'!$B$1:$K$1,MOD(ROW()-2,10)+1)</f>
        <v>SUSSEX</v>
      </c>
      <c r="C118" s="2" t="str">
        <f>VLOOKUP(A118,'[1]Brand Family Territory (Enc)'!$A$2:$B$296,2,FALSE)</f>
        <v>Core Market</v>
      </c>
      <c r="D118" s="2">
        <f>IF(COUNTIFS('[1]Brand Family Territories (Enc)'!$B$2:$B$62,C118,'[1]Brand Family Territories (Enc)'!$C$2:$C$62,B118)&gt;0,1,IF(AND(LEFT(B118,6)="MORRIS",COUNTIFS('[1]Brand Family Territories (Enc)'!$B$2:$B$62,C118,'[1]Brand Family Territories (Enc)'!$C$2:$C$62,"Morri")&gt;0),"Unk",0))</f>
        <v>1</v>
      </c>
      <c r="E118" s="2" t="str">
        <f>IFERROR(INDEX('Blackout Brand Fam Areas (Enc)'!$D$6:$D$998,MATCH(UPPER(A118)&amp;"|"&amp;UPPER(B118),'Blackout Brand Fam Areas (Enc)'!$G$6:$G$998,0)),"No Match")</f>
        <v>No Match</v>
      </c>
      <c r="F118" s="2" t="str">
        <f t="shared" si="2"/>
        <v>US</v>
      </c>
      <c r="G118" s="2" t="str">
        <f t="shared" si="3"/>
        <v>Coors Edge|SUSSEX</v>
      </c>
    </row>
    <row r="119" spans="1:7" x14ac:dyDescent="0.2">
      <c r="A119" s="2" t="str" cm="1">
        <f t="array" ref="A119">INDEX('[1]Brand Family Territory (Enc)'!$A$2:$A$296,INT((ROW()-2)/10)+1)</f>
        <v>Coors Edge</v>
      </c>
      <c r="B119" s="2" t="str" cm="1">
        <f t="array" ref="B119">INDEX('Whitelist (Blackout Reverse)'!$B$1:$K$1,MOD(ROW()-2,10)+1)</f>
        <v>MORRIS 1</v>
      </c>
      <c r="C119" s="2" t="str">
        <f>VLOOKUP(A119,'[1]Brand Family Territory (Enc)'!$A$2:$B$296,2,FALSE)</f>
        <v>Core Market</v>
      </c>
      <c r="D119" s="2">
        <f>IF(COUNTIFS('[1]Brand Family Territories (Enc)'!$B$2:$B$62,C119,'[1]Brand Family Territories (Enc)'!$C$2:$C$62,B119)&gt;0,1,IF(AND(LEFT(B119,6)="MORRIS",COUNTIFS('[1]Brand Family Territories (Enc)'!$B$2:$B$62,C119,'[1]Brand Family Territories (Enc)'!$C$2:$C$62,"Morri")&gt;0),"Unk",0))</f>
        <v>1</v>
      </c>
      <c r="E119" s="2" t="str">
        <f>IFERROR(INDEX('Blackout Brand Fam Areas (Enc)'!$D$6:$D$998,MATCH(UPPER(A119)&amp;"|"&amp;UPPER(B119),'Blackout Brand Fam Areas (Enc)'!$G$6:$G$998,0)),"No Match")</f>
        <v>No Match</v>
      </c>
      <c r="F119" s="2" t="str">
        <f t="shared" si="2"/>
        <v>US</v>
      </c>
      <c r="G119" s="2" t="str">
        <f t="shared" si="3"/>
        <v>Coors Edge|MORRIS 1</v>
      </c>
    </row>
    <row r="120" spans="1:7" x14ac:dyDescent="0.2">
      <c r="A120" s="2" t="str" cm="1">
        <f t="array" ref="A120">INDEX('[1]Brand Family Territory (Enc)'!$A$2:$A$296,INT((ROW()-2)/10)+1)</f>
        <v>Coors Edge</v>
      </c>
      <c r="B120" s="2" t="str" cm="1">
        <f t="array" ref="B120">INDEX('Whitelist (Blackout Reverse)'!$B$1:$K$1,MOD(ROW()-2,10)+1)</f>
        <v>MORRIS 2</v>
      </c>
      <c r="C120" s="2" t="str">
        <f>VLOOKUP(A120,'[1]Brand Family Territory (Enc)'!$A$2:$B$296,2,FALSE)</f>
        <v>Core Market</v>
      </c>
      <c r="D120" s="2">
        <f>IF(COUNTIFS('[1]Brand Family Territories (Enc)'!$B$2:$B$62,C120,'[1]Brand Family Territories (Enc)'!$C$2:$C$62,B120)&gt;0,1,IF(AND(LEFT(B120,6)="MORRIS",COUNTIFS('[1]Brand Family Territories (Enc)'!$B$2:$B$62,C120,'[1]Brand Family Territories (Enc)'!$C$2:$C$62,"Morri")&gt;0),"Unk",0))</f>
        <v>0</v>
      </c>
      <c r="E120" s="2" t="str">
        <f>IFERROR(INDEX('Blackout Brand Fam Areas (Enc)'!$D$6:$D$998,MATCH(UPPER(A120)&amp;"|"&amp;UPPER(B120),'Blackout Brand Fam Areas (Enc)'!$G$6:$G$998,0)),"No Match")</f>
        <v>Inactive</v>
      </c>
      <c r="F120" s="2" t="str">
        <f t="shared" si="2"/>
        <v>THEM</v>
      </c>
      <c r="G120" s="2" t="str">
        <f t="shared" si="3"/>
        <v>Coors Edge|MORRIS 2</v>
      </c>
    </row>
    <row r="121" spans="1:7" x14ac:dyDescent="0.2">
      <c r="A121" s="2" t="str" cm="1">
        <f t="array" ref="A121">INDEX('[1]Brand Family Territory (Enc)'!$A$2:$A$296,INT((ROW()-2)/10)+1)</f>
        <v>Coors Edge</v>
      </c>
      <c r="B121" s="2" t="str" cm="1">
        <f t="array" ref="B121">INDEX('Whitelist (Blackout Reverse)'!$B$1:$K$1,MOD(ROW()-2,10)+1)</f>
        <v>MORRIS 3</v>
      </c>
      <c r="C121" s="2" t="str">
        <f>VLOOKUP(A121,'[1]Brand Family Territory (Enc)'!$A$2:$B$296,2,FALSE)</f>
        <v>Core Market</v>
      </c>
      <c r="D121" s="2">
        <f>IF(COUNTIFS('[1]Brand Family Territories (Enc)'!$B$2:$B$62,C121,'[1]Brand Family Territories (Enc)'!$C$2:$C$62,B121)&gt;0,1,IF(AND(LEFT(B121,6)="MORRIS",COUNTIFS('[1]Brand Family Territories (Enc)'!$B$2:$B$62,C121,'[1]Brand Family Territories (Enc)'!$C$2:$C$62,"Morri")&gt;0),"Unk",0))</f>
        <v>1</v>
      </c>
      <c r="E121" s="2" t="str">
        <f>IFERROR(INDEX('Blackout Brand Fam Areas (Enc)'!$D$6:$D$998,MATCH(UPPER(A121)&amp;"|"&amp;UPPER(B121),'Blackout Brand Fam Areas (Enc)'!$G$6:$G$998,0)),"No Match")</f>
        <v>No Match</v>
      </c>
      <c r="F121" s="2" t="str">
        <f t="shared" si="2"/>
        <v>US</v>
      </c>
      <c r="G121" s="2" t="str">
        <f t="shared" si="3"/>
        <v>Coors Edge|MORRIS 3</v>
      </c>
    </row>
    <row r="122" spans="1:7" x14ac:dyDescent="0.2">
      <c r="A122" s="2" t="str" cm="1">
        <f t="array" ref="A122">INDEX('[1]Brand Family Territory (Enc)'!$A$2:$A$296,INT((ROW()-2)/10)+1)</f>
        <v>Coors Light</v>
      </c>
      <c r="B122" s="2" t="str" cm="1">
        <f t="array" ref="B122">INDEX('Whitelist (Blackout Reverse)'!$B$1:$K$1,MOD(ROW()-2,10)+1)</f>
        <v>BERGEN</v>
      </c>
      <c r="C122" s="2" t="str">
        <f>VLOOKUP(A122,'[1]Brand Family Territory (Enc)'!$A$2:$B$296,2,FALSE)</f>
        <v>Core Market</v>
      </c>
      <c r="D122" s="2">
        <f>IF(COUNTIFS('[1]Brand Family Territories (Enc)'!$B$2:$B$62,C122,'[1]Brand Family Territories (Enc)'!$C$2:$C$62,B122)&gt;0,1,IF(AND(LEFT(B122,6)="MORRIS",COUNTIFS('[1]Brand Family Territories (Enc)'!$B$2:$B$62,C122,'[1]Brand Family Territories (Enc)'!$C$2:$C$62,"Morri")&gt;0),"Unk",0))</f>
        <v>1</v>
      </c>
      <c r="E122" s="2" t="str">
        <f>IFERROR(INDEX('Blackout Brand Fam Areas (Enc)'!$D$6:$D$998,MATCH(UPPER(A122)&amp;"|"&amp;UPPER(B122),'Blackout Brand Fam Areas (Enc)'!$G$6:$G$998,0)),"No Match")</f>
        <v>No Match</v>
      </c>
      <c r="F122" s="2" t="str">
        <f t="shared" si="2"/>
        <v>US</v>
      </c>
      <c r="G122" s="2" t="str">
        <f t="shared" si="3"/>
        <v>Coors Light|BERGEN</v>
      </c>
    </row>
    <row r="123" spans="1:7" x14ac:dyDescent="0.2">
      <c r="A123" s="2" t="str" cm="1">
        <f t="array" ref="A123">INDEX('[1]Brand Family Territory (Enc)'!$A$2:$A$296,INT((ROW()-2)/10)+1)</f>
        <v>Coors Light</v>
      </c>
      <c r="B123" s="2" t="str" cm="1">
        <f t="array" ref="B123">INDEX('Whitelist (Blackout Reverse)'!$B$1:$K$1,MOD(ROW()-2,10)+1)</f>
        <v>PASSAIC</v>
      </c>
      <c r="C123" s="2" t="str">
        <f>VLOOKUP(A123,'[1]Brand Family Territory (Enc)'!$A$2:$B$296,2,FALSE)</f>
        <v>Core Market</v>
      </c>
      <c r="D123" s="2">
        <f>IF(COUNTIFS('[1]Brand Family Territories (Enc)'!$B$2:$B$62,C123,'[1]Brand Family Territories (Enc)'!$C$2:$C$62,B123)&gt;0,1,IF(AND(LEFT(B123,6)="MORRIS",COUNTIFS('[1]Brand Family Territories (Enc)'!$B$2:$B$62,C123,'[1]Brand Family Territories (Enc)'!$C$2:$C$62,"Morri")&gt;0),"Unk",0))</f>
        <v>1</v>
      </c>
      <c r="E123" s="2" t="str">
        <f>IFERROR(INDEX('Blackout Brand Fam Areas (Enc)'!$D$6:$D$998,MATCH(UPPER(A123)&amp;"|"&amp;UPPER(B123),'Blackout Brand Fam Areas (Enc)'!$G$6:$G$998,0)),"No Match")</f>
        <v>No Match</v>
      </c>
      <c r="F123" s="2" t="str">
        <f t="shared" si="2"/>
        <v>US</v>
      </c>
      <c r="G123" s="2" t="str">
        <f t="shared" si="3"/>
        <v>Coors Light|PASSAIC</v>
      </c>
    </row>
    <row r="124" spans="1:7" x14ac:dyDescent="0.2">
      <c r="A124" s="2" t="str" cm="1">
        <f t="array" ref="A124">INDEX('[1]Brand Family Territory (Enc)'!$A$2:$A$296,INT((ROW()-2)/10)+1)</f>
        <v>Coors Light</v>
      </c>
      <c r="B124" s="2" t="str" cm="1">
        <f t="array" ref="B124">INDEX('Whitelist (Blackout Reverse)'!$B$1:$K$1,MOD(ROW()-2,10)+1)</f>
        <v>PASSAIC-FF</v>
      </c>
      <c r="C124" s="2" t="str">
        <f>VLOOKUP(A124,'[1]Brand Family Territory (Enc)'!$A$2:$B$296,2,FALSE)</f>
        <v>Core Market</v>
      </c>
      <c r="D124" s="2">
        <f>IF(COUNTIFS('[1]Brand Family Territories (Enc)'!$B$2:$B$62,C124,'[1]Brand Family Territories (Enc)'!$C$2:$C$62,B124)&gt;0,1,IF(AND(LEFT(B124,6)="MORRIS",COUNTIFS('[1]Brand Family Territories (Enc)'!$B$2:$B$62,C124,'[1]Brand Family Territories (Enc)'!$C$2:$C$62,"Morri")&gt;0),"Unk",0))</f>
        <v>1</v>
      </c>
      <c r="E124" s="2" t="str">
        <f>IFERROR(INDEX('Blackout Brand Fam Areas (Enc)'!$D$6:$D$998,MATCH(UPPER(A124)&amp;"|"&amp;UPPER(B124),'Blackout Brand Fam Areas (Enc)'!$G$6:$G$998,0)),"No Match")</f>
        <v>No Match</v>
      </c>
      <c r="F124" s="2" t="str">
        <f t="shared" si="2"/>
        <v>US</v>
      </c>
      <c r="G124" s="2" t="str">
        <f t="shared" si="3"/>
        <v>Coors Light|PASSAIC-FF</v>
      </c>
    </row>
    <row r="125" spans="1:7" x14ac:dyDescent="0.2">
      <c r="A125" s="2" t="str" cm="1">
        <f t="array" ref="A125">INDEX('[1]Brand Family Territory (Enc)'!$A$2:$A$296,INT((ROW()-2)/10)+1)</f>
        <v>Coors Light</v>
      </c>
      <c r="B125" s="2" t="str" cm="1">
        <f t="array" ref="B125">INDEX('Whitelist (Blackout Reverse)'!$B$1:$K$1,MOD(ROW()-2,10)+1)</f>
        <v>ESSEX</v>
      </c>
      <c r="C125" s="2" t="str">
        <f>VLOOKUP(A125,'[1]Brand Family Territory (Enc)'!$A$2:$B$296,2,FALSE)</f>
        <v>Core Market</v>
      </c>
      <c r="D125" s="2">
        <f>IF(COUNTIFS('[1]Brand Family Territories (Enc)'!$B$2:$B$62,C125,'[1]Brand Family Territories (Enc)'!$C$2:$C$62,B125)&gt;0,1,IF(AND(LEFT(B125,6)="MORRIS",COUNTIFS('[1]Brand Family Territories (Enc)'!$B$2:$B$62,C125,'[1]Brand Family Territories (Enc)'!$C$2:$C$62,"Morri")&gt;0),"Unk",0))</f>
        <v>0</v>
      </c>
      <c r="E125" s="2" t="str">
        <f>IFERROR(INDEX('Blackout Brand Fam Areas (Enc)'!$D$6:$D$998,MATCH(UPPER(A125)&amp;"|"&amp;UPPER(B125),'Blackout Brand Fam Areas (Enc)'!$G$6:$G$998,0)),"No Match")</f>
        <v>Inactive</v>
      </c>
      <c r="F125" s="2" t="str">
        <f t="shared" si="2"/>
        <v>THEM</v>
      </c>
      <c r="G125" s="2" t="str">
        <f t="shared" si="3"/>
        <v>Coors Light|ESSEX</v>
      </c>
    </row>
    <row r="126" spans="1:7" x14ac:dyDescent="0.2">
      <c r="A126" s="2" t="str" cm="1">
        <f t="array" ref="A126">INDEX('[1]Brand Family Territory (Enc)'!$A$2:$A$296,INT((ROW()-2)/10)+1)</f>
        <v>Coors Light</v>
      </c>
      <c r="B126" s="2" t="str" cm="1">
        <f t="array" ref="B126">INDEX('Whitelist (Blackout Reverse)'!$B$1:$K$1,MOD(ROW()-2,10)+1)</f>
        <v>HUDSON</v>
      </c>
      <c r="C126" s="2" t="str">
        <f>VLOOKUP(A126,'[1]Brand Family Territory (Enc)'!$A$2:$B$296,2,FALSE)</f>
        <v>Core Market</v>
      </c>
      <c r="D126" s="2">
        <f>IF(COUNTIFS('[1]Brand Family Territories (Enc)'!$B$2:$B$62,C126,'[1]Brand Family Territories (Enc)'!$C$2:$C$62,B126)&gt;0,1,IF(AND(LEFT(B126,6)="MORRIS",COUNTIFS('[1]Brand Family Territories (Enc)'!$B$2:$B$62,C126,'[1]Brand Family Territories (Enc)'!$C$2:$C$62,"Morri")&gt;0),"Unk",0))</f>
        <v>0</v>
      </c>
      <c r="E126" s="2" t="str">
        <f>IFERROR(INDEX('Blackout Brand Fam Areas (Enc)'!$D$6:$D$998,MATCH(UPPER(A126)&amp;"|"&amp;UPPER(B126),'Blackout Brand Fam Areas (Enc)'!$G$6:$G$998,0)),"No Match")</f>
        <v>Inactive</v>
      </c>
      <c r="F126" s="2" t="str">
        <f t="shared" si="2"/>
        <v>THEM</v>
      </c>
      <c r="G126" s="2" t="str">
        <f t="shared" si="3"/>
        <v>Coors Light|HUDSON</v>
      </c>
    </row>
    <row r="127" spans="1:7" x14ac:dyDescent="0.2">
      <c r="A127" s="2" t="str" cm="1">
        <f t="array" ref="A127">INDEX('[1]Brand Family Territory (Enc)'!$A$2:$A$296,INT((ROW()-2)/10)+1)</f>
        <v>Coors Light</v>
      </c>
      <c r="B127" s="2" t="str" cm="1">
        <f t="array" ref="B127">INDEX('Whitelist (Blackout Reverse)'!$B$1:$K$1,MOD(ROW()-2,10)+1)</f>
        <v>UNION</v>
      </c>
      <c r="C127" s="2" t="str">
        <f>VLOOKUP(A127,'[1]Brand Family Territory (Enc)'!$A$2:$B$296,2,FALSE)</f>
        <v>Core Market</v>
      </c>
      <c r="D127" s="2">
        <f>IF(COUNTIFS('[1]Brand Family Territories (Enc)'!$B$2:$B$62,C127,'[1]Brand Family Territories (Enc)'!$C$2:$C$62,B127)&gt;0,1,IF(AND(LEFT(B127,6)="MORRIS",COUNTIFS('[1]Brand Family Territories (Enc)'!$B$2:$B$62,C127,'[1]Brand Family Territories (Enc)'!$C$2:$C$62,"Morri")&gt;0),"Unk",0))</f>
        <v>0</v>
      </c>
      <c r="E127" s="2" t="str">
        <f>IFERROR(INDEX('Blackout Brand Fam Areas (Enc)'!$D$6:$D$998,MATCH(UPPER(A127)&amp;"|"&amp;UPPER(B127),'Blackout Brand Fam Areas (Enc)'!$G$6:$G$998,0)),"No Match")</f>
        <v>Inactive</v>
      </c>
      <c r="F127" s="2" t="str">
        <f t="shared" si="2"/>
        <v>THEM</v>
      </c>
      <c r="G127" s="2" t="str">
        <f t="shared" si="3"/>
        <v>Coors Light|UNION</v>
      </c>
    </row>
    <row r="128" spans="1:7" x14ac:dyDescent="0.2">
      <c r="A128" s="2" t="str" cm="1">
        <f t="array" ref="A128">INDEX('[1]Brand Family Territory (Enc)'!$A$2:$A$296,INT((ROW()-2)/10)+1)</f>
        <v>Coors Light</v>
      </c>
      <c r="B128" s="2" t="str" cm="1">
        <f t="array" ref="B128">INDEX('Whitelist (Blackout Reverse)'!$B$1:$K$1,MOD(ROW()-2,10)+1)</f>
        <v>SUSSEX</v>
      </c>
      <c r="C128" s="2" t="str">
        <f>VLOOKUP(A128,'[1]Brand Family Territory (Enc)'!$A$2:$B$296,2,FALSE)</f>
        <v>Core Market</v>
      </c>
      <c r="D128" s="2">
        <f>IF(COUNTIFS('[1]Brand Family Territories (Enc)'!$B$2:$B$62,C128,'[1]Brand Family Territories (Enc)'!$C$2:$C$62,B128)&gt;0,1,IF(AND(LEFT(B128,6)="MORRIS",COUNTIFS('[1]Brand Family Territories (Enc)'!$B$2:$B$62,C128,'[1]Brand Family Territories (Enc)'!$C$2:$C$62,"Morri")&gt;0),"Unk",0))</f>
        <v>1</v>
      </c>
      <c r="E128" s="2" t="str">
        <f>IFERROR(INDEX('Blackout Brand Fam Areas (Enc)'!$D$6:$D$998,MATCH(UPPER(A128)&amp;"|"&amp;UPPER(B128),'Blackout Brand Fam Areas (Enc)'!$G$6:$G$998,0)),"No Match")</f>
        <v>No Match</v>
      </c>
      <c r="F128" s="2" t="str">
        <f t="shared" si="2"/>
        <v>US</v>
      </c>
      <c r="G128" s="2" t="str">
        <f t="shared" si="3"/>
        <v>Coors Light|SUSSEX</v>
      </c>
    </row>
    <row r="129" spans="1:7" x14ac:dyDescent="0.2">
      <c r="A129" s="2" t="str" cm="1">
        <f t="array" ref="A129">INDEX('[1]Brand Family Territory (Enc)'!$A$2:$A$296,INT((ROW()-2)/10)+1)</f>
        <v>Coors Light</v>
      </c>
      <c r="B129" s="2" t="str" cm="1">
        <f t="array" ref="B129">INDEX('Whitelist (Blackout Reverse)'!$B$1:$K$1,MOD(ROW()-2,10)+1)</f>
        <v>MORRIS 1</v>
      </c>
      <c r="C129" s="2" t="str">
        <f>VLOOKUP(A129,'[1]Brand Family Territory (Enc)'!$A$2:$B$296,2,FALSE)</f>
        <v>Core Market</v>
      </c>
      <c r="D129" s="2">
        <f>IF(COUNTIFS('[1]Brand Family Territories (Enc)'!$B$2:$B$62,C129,'[1]Brand Family Territories (Enc)'!$C$2:$C$62,B129)&gt;0,1,IF(AND(LEFT(B129,6)="MORRIS",COUNTIFS('[1]Brand Family Territories (Enc)'!$B$2:$B$62,C129,'[1]Brand Family Territories (Enc)'!$C$2:$C$62,"Morri")&gt;0),"Unk",0))</f>
        <v>1</v>
      </c>
      <c r="E129" s="2" t="str">
        <f>IFERROR(INDEX('Blackout Brand Fam Areas (Enc)'!$D$6:$D$998,MATCH(UPPER(A129)&amp;"|"&amp;UPPER(B129),'Blackout Brand Fam Areas (Enc)'!$G$6:$G$998,0)),"No Match")</f>
        <v>No Match</v>
      </c>
      <c r="F129" s="2" t="str">
        <f t="shared" si="2"/>
        <v>US</v>
      </c>
      <c r="G129" s="2" t="str">
        <f t="shared" si="3"/>
        <v>Coors Light|MORRIS 1</v>
      </c>
    </row>
    <row r="130" spans="1:7" x14ac:dyDescent="0.2">
      <c r="A130" s="2" t="str" cm="1">
        <f t="array" ref="A130">INDEX('[1]Brand Family Territory (Enc)'!$A$2:$A$296,INT((ROW()-2)/10)+1)</f>
        <v>Coors Light</v>
      </c>
      <c r="B130" s="2" t="str" cm="1">
        <f t="array" ref="B130">INDEX('Whitelist (Blackout Reverse)'!$B$1:$K$1,MOD(ROW()-2,10)+1)</f>
        <v>MORRIS 2</v>
      </c>
      <c r="C130" s="2" t="str">
        <f>VLOOKUP(A130,'[1]Brand Family Territory (Enc)'!$A$2:$B$296,2,FALSE)</f>
        <v>Core Market</v>
      </c>
      <c r="D130" s="2">
        <f>IF(COUNTIFS('[1]Brand Family Territories (Enc)'!$B$2:$B$62,C130,'[1]Brand Family Territories (Enc)'!$C$2:$C$62,B130)&gt;0,1,IF(AND(LEFT(B130,6)="MORRIS",COUNTIFS('[1]Brand Family Territories (Enc)'!$B$2:$B$62,C130,'[1]Brand Family Territories (Enc)'!$C$2:$C$62,"Morri")&gt;0),"Unk",0))</f>
        <v>0</v>
      </c>
      <c r="E130" s="2" t="str">
        <f>IFERROR(INDEX('Blackout Brand Fam Areas (Enc)'!$D$6:$D$998,MATCH(UPPER(A130)&amp;"|"&amp;UPPER(B130),'Blackout Brand Fam Areas (Enc)'!$G$6:$G$998,0)),"No Match")</f>
        <v>Inactive</v>
      </c>
      <c r="F130" s="2" t="str">
        <f t="shared" si="2"/>
        <v>THEM</v>
      </c>
      <c r="G130" s="2" t="str">
        <f t="shared" si="3"/>
        <v>Coors Light|MORRIS 2</v>
      </c>
    </row>
    <row r="131" spans="1:7" x14ac:dyDescent="0.2">
      <c r="A131" s="2" t="str" cm="1">
        <f t="array" ref="A131">INDEX('[1]Brand Family Territory (Enc)'!$A$2:$A$296,INT((ROW()-2)/10)+1)</f>
        <v>Coors Light</v>
      </c>
      <c r="B131" s="2" t="str" cm="1">
        <f t="array" ref="B131">INDEX('Whitelist (Blackout Reverse)'!$B$1:$K$1,MOD(ROW()-2,10)+1)</f>
        <v>MORRIS 3</v>
      </c>
      <c r="C131" s="2" t="str">
        <f>VLOOKUP(A131,'[1]Brand Family Territory (Enc)'!$A$2:$B$296,2,FALSE)</f>
        <v>Core Market</v>
      </c>
      <c r="D131" s="2">
        <f>IF(COUNTIFS('[1]Brand Family Territories (Enc)'!$B$2:$B$62,C131,'[1]Brand Family Territories (Enc)'!$C$2:$C$62,B131)&gt;0,1,IF(AND(LEFT(B131,6)="MORRIS",COUNTIFS('[1]Brand Family Territories (Enc)'!$B$2:$B$62,C131,'[1]Brand Family Territories (Enc)'!$C$2:$C$62,"Morri")&gt;0),"Unk",0))</f>
        <v>1</v>
      </c>
      <c r="E131" s="2" t="str">
        <f>IFERROR(INDEX('Blackout Brand Fam Areas (Enc)'!$D$6:$D$998,MATCH(UPPER(A131)&amp;"|"&amp;UPPER(B131),'Blackout Brand Fam Areas (Enc)'!$G$6:$G$998,0)),"No Match")</f>
        <v>No Match</v>
      </c>
      <c r="F131" s="2" t="str">
        <f t="shared" ref="F131:F194" si="4">IF(D131="Unk","Ambiguous (Source Truncated)",IF(E131="Inactive","THEM",IF(D131=1,"US",IF(D131="N/A","No Territory Data","THEM"))))</f>
        <v>US</v>
      </c>
      <c r="G131" s="2" t="str">
        <f t="shared" ref="G131:G194" si="5">A131&amp;"|"&amp;B131</f>
        <v>Coors Light|MORRIS 3</v>
      </c>
    </row>
    <row r="132" spans="1:7" x14ac:dyDescent="0.2">
      <c r="A132" s="2" t="str" cm="1">
        <f t="array" ref="A132">INDEX('[1]Brand Family Territory (Enc)'!$A$2:$A$296,INT((ROW()-2)/10)+1)</f>
        <v>Corona Extra</v>
      </c>
      <c r="B132" s="2" t="str" cm="1">
        <f t="array" ref="B132">INDEX('Whitelist (Blackout Reverse)'!$B$1:$K$1,MOD(ROW()-2,10)+1)</f>
        <v>BERGEN</v>
      </c>
      <c r="C132" s="2" t="str">
        <f>VLOOKUP(A132,'[1]Brand Family Territory (Enc)'!$A$2:$B$296,2,FALSE)</f>
        <v>Core Market</v>
      </c>
      <c r="D132" s="2">
        <f>IF(COUNTIFS('[1]Brand Family Territories (Enc)'!$B$2:$B$62,C132,'[1]Brand Family Territories (Enc)'!$C$2:$C$62,B132)&gt;0,1,IF(AND(LEFT(B132,6)="MORRIS",COUNTIFS('[1]Brand Family Territories (Enc)'!$B$2:$B$62,C132,'[1]Brand Family Territories (Enc)'!$C$2:$C$62,"Morri")&gt;0),"Unk",0))</f>
        <v>1</v>
      </c>
      <c r="E132" s="2" t="str">
        <f>IFERROR(INDEX('Blackout Brand Fam Areas (Enc)'!$D$6:$D$998,MATCH(UPPER(A132)&amp;"|"&amp;UPPER(B132),'Blackout Brand Fam Areas (Enc)'!$G$6:$G$998,0)),"No Match")</f>
        <v>No Match</v>
      </c>
      <c r="F132" s="2" t="str">
        <f t="shared" si="4"/>
        <v>US</v>
      </c>
      <c r="G132" s="2" t="str">
        <f t="shared" si="5"/>
        <v>Corona Extra|BERGEN</v>
      </c>
    </row>
    <row r="133" spans="1:7" x14ac:dyDescent="0.2">
      <c r="A133" s="2" t="str" cm="1">
        <f t="array" ref="A133">INDEX('[1]Brand Family Territory (Enc)'!$A$2:$A$296,INT((ROW()-2)/10)+1)</f>
        <v>Corona Extra</v>
      </c>
      <c r="B133" s="2" t="str" cm="1">
        <f t="array" ref="B133">INDEX('Whitelist (Blackout Reverse)'!$B$1:$K$1,MOD(ROW()-2,10)+1)</f>
        <v>PASSAIC</v>
      </c>
      <c r="C133" s="2" t="str">
        <f>VLOOKUP(A133,'[1]Brand Family Territory (Enc)'!$A$2:$B$296,2,FALSE)</f>
        <v>Core Market</v>
      </c>
      <c r="D133" s="2">
        <f>IF(COUNTIFS('[1]Brand Family Territories (Enc)'!$B$2:$B$62,C133,'[1]Brand Family Territories (Enc)'!$C$2:$C$62,B133)&gt;0,1,IF(AND(LEFT(B133,6)="MORRIS",COUNTIFS('[1]Brand Family Territories (Enc)'!$B$2:$B$62,C133,'[1]Brand Family Territories (Enc)'!$C$2:$C$62,"Morri")&gt;0),"Unk",0))</f>
        <v>1</v>
      </c>
      <c r="E133" s="2" t="str">
        <f>IFERROR(INDEX('Blackout Brand Fam Areas (Enc)'!$D$6:$D$998,MATCH(UPPER(A133)&amp;"|"&amp;UPPER(B133),'Blackout Brand Fam Areas (Enc)'!$G$6:$G$998,0)),"No Match")</f>
        <v>No Match</v>
      </c>
      <c r="F133" s="2" t="str">
        <f t="shared" si="4"/>
        <v>US</v>
      </c>
      <c r="G133" s="2" t="str">
        <f t="shared" si="5"/>
        <v>Corona Extra|PASSAIC</v>
      </c>
    </row>
    <row r="134" spans="1:7" x14ac:dyDescent="0.2">
      <c r="A134" s="2" t="str" cm="1">
        <f t="array" ref="A134">INDEX('[1]Brand Family Territory (Enc)'!$A$2:$A$296,INT((ROW()-2)/10)+1)</f>
        <v>Corona Extra</v>
      </c>
      <c r="B134" s="2" t="str" cm="1">
        <f t="array" ref="B134">INDEX('Whitelist (Blackout Reverse)'!$B$1:$K$1,MOD(ROW()-2,10)+1)</f>
        <v>PASSAIC-FF</v>
      </c>
      <c r="C134" s="2" t="str">
        <f>VLOOKUP(A134,'[1]Brand Family Territory (Enc)'!$A$2:$B$296,2,FALSE)</f>
        <v>Core Market</v>
      </c>
      <c r="D134" s="2">
        <f>IF(COUNTIFS('[1]Brand Family Territories (Enc)'!$B$2:$B$62,C134,'[1]Brand Family Territories (Enc)'!$C$2:$C$62,B134)&gt;0,1,IF(AND(LEFT(B134,6)="MORRIS",COUNTIFS('[1]Brand Family Territories (Enc)'!$B$2:$B$62,C134,'[1]Brand Family Territories (Enc)'!$C$2:$C$62,"Morri")&gt;0),"Unk",0))</f>
        <v>1</v>
      </c>
      <c r="E134" s="2" t="str">
        <f>IFERROR(INDEX('Blackout Brand Fam Areas (Enc)'!$D$6:$D$998,MATCH(UPPER(A134)&amp;"|"&amp;UPPER(B134),'Blackout Brand Fam Areas (Enc)'!$G$6:$G$998,0)),"No Match")</f>
        <v>No Match</v>
      </c>
      <c r="F134" s="2" t="str">
        <f t="shared" si="4"/>
        <v>US</v>
      </c>
      <c r="G134" s="2" t="str">
        <f t="shared" si="5"/>
        <v>Corona Extra|PASSAIC-FF</v>
      </c>
    </row>
    <row r="135" spans="1:7" x14ac:dyDescent="0.2">
      <c r="A135" s="2" t="str" cm="1">
        <f t="array" ref="A135">INDEX('[1]Brand Family Territory (Enc)'!$A$2:$A$296,INT((ROW()-2)/10)+1)</f>
        <v>Corona Extra</v>
      </c>
      <c r="B135" s="2" t="str" cm="1">
        <f t="array" ref="B135">INDEX('Whitelist (Blackout Reverse)'!$B$1:$K$1,MOD(ROW()-2,10)+1)</f>
        <v>ESSEX</v>
      </c>
      <c r="C135" s="2" t="str">
        <f>VLOOKUP(A135,'[1]Brand Family Territory (Enc)'!$A$2:$B$296,2,FALSE)</f>
        <v>Core Market</v>
      </c>
      <c r="D135" s="2">
        <f>IF(COUNTIFS('[1]Brand Family Territories (Enc)'!$B$2:$B$62,C135,'[1]Brand Family Territories (Enc)'!$C$2:$C$62,B135)&gt;0,1,IF(AND(LEFT(B135,6)="MORRIS",COUNTIFS('[1]Brand Family Territories (Enc)'!$B$2:$B$62,C135,'[1]Brand Family Territories (Enc)'!$C$2:$C$62,"Morri")&gt;0),"Unk",0))</f>
        <v>0</v>
      </c>
      <c r="E135" s="2" t="str">
        <f>IFERROR(INDEX('Blackout Brand Fam Areas (Enc)'!$D$6:$D$998,MATCH(UPPER(A135)&amp;"|"&amp;UPPER(B135),'Blackout Brand Fam Areas (Enc)'!$G$6:$G$998,0)),"No Match")</f>
        <v>Inactive</v>
      </c>
      <c r="F135" s="2" t="str">
        <f t="shared" si="4"/>
        <v>THEM</v>
      </c>
      <c r="G135" s="2" t="str">
        <f t="shared" si="5"/>
        <v>Corona Extra|ESSEX</v>
      </c>
    </row>
    <row r="136" spans="1:7" x14ac:dyDescent="0.2">
      <c r="A136" s="2" t="str" cm="1">
        <f t="array" ref="A136">INDEX('[1]Brand Family Territory (Enc)'!$A$2:$A$296,INT((ROW()-2)/10)+1)</f>
        <v>Corona Extra</v>
      </c>
      <c r="B136" s="2" t="str" cm="1">
        <f t="array" ref="B136">INDEX('Whitelist (Blackout Reverse)'!$B$1:$K$1,MOD(ROW()-2,10)+1)</f>
        <v>HUDSON</v>
      </c>
      <c r="C136" s="2" t="str">
        <f>VLOOKUP(A136,'[1]Brand Family Territory (Enc)'!$A$2:$B$296,2,FALSE)</f>
        <v>Core Market</v>
      </c>
      <c r="D136" s="2">
        <f>IF(COUNTIFS('[1]Brand Family Territories (Enc)'!$B$2:$B$62,C136,'[1]Brand Family Territories (Enc)'!$C$2:$C$62,B136)&gt;0,1,IF(AND(LEFT(B136,6)="MORRIS",COUNTIFS('[1]Brand Family Territories (Enc)'!$B$2:$B$62,C136,'[1]Brand Family Territories (Enc)'!$C$2:$C$62,"Morri")&gt;0),"Unk",0))</f>
        <v>0</v>
      </c>
      <c r="E136" s="2" t="str">
        <f>IFERROR(INDEX('Blackout Brand Fam Areas (Enc)'!$D$6:$D$998,MATCH(UPPER(A136)&amp;"|"&amp;UPPER(B136),'Blackout Brand Fam Areas (Enc)'!$G$6:$G$998,0)),"No Match")</f>
        <v>Inactive</v>
      </c>
      <c r="F136" s="2" t="str">
        <f t="shared" si="4"/>
        <v>THEM</v>
      </c>
      <c r="G136" s="2" t="str">
        <f t="shared" si="5"/>
        <v>Corona Extra|HUDSON</v>
      </c>
    </row>
    <row r="137" spans="1:7" x14ac:dyDescent="0.2">
      <c r="A137" s="2" t="str" cm="1">
        <f t="array" ref="A137">INDEX('[1]Brand Family Territory (Enc)'!$A$2:$A$296,INT((ROW()-2)/10)+1)</f>
        <v>Corona Extra</v>
      </c>
      <c r="B137" s="2" t="str" cm="1">
        <f t="array" ref="B137">INDEX('Whitelist (Blackout Reverse)'!$B$1:$K$1,MOD(ROW()-2,10)+1)</f>
        <v>UNION</v>
      </c>
      <c r="C137" s="2" t="str">
        <f>VLOOKUP(A137,'[1]Brand Family Territory (Enc)'!$A$2:$B$296,2,FALSE)</f>
        <v>Core Market</v>
      </c>
      <c r="D137" s="2">
        <f>IF(COUNTIFS('[1]Brand Family Territories (Enc)'!$B$2:$B$62,C137,'[1]Brand Family Territories (Enc)'!$C$2:$C$62,B137)&gt;0,1,IF(AND(LEFT(B137,6)="MORRIS",COUNTIFS('[1]Brand Family Territories (Enc)'!$B$2:$B$62,C137,'[1]Brand Family Territories (Enc)'!$C$2:$C$62,"Morri")&gt;0),"Unk",0))</f>
        <v>0</v>
      </c>
      <c r="E137" s="2" t="str">
        <f>IFERROR(INDEX('Blackout Brand Fam Areas (Enc)'!$D$6:$D$998,MATCH(UPPER(A137)&amp;"|"&amp;UPPER(B137),'Blackout Brand Fam Areas (Enc)'!$G$6:$G$998,0)),"No Match")</f>
        <v>Inactive</v>
      </c>
      <c r="F137" s="2" t="str">
        <f t="shared" si="4"/>
        <v>THEM</v>
      </c>
      <c r="G137" s="2" t="str">
        <f t="shared" si="5"/>
        <v>Corona Extra|UNION</v>
      </c>
    </row>
    <row r="138" spans="1:7" x14ac:dyDescent="0.2">
      <c r="A138" s="2" t="str" cm="1">
        <f t="array" ref="A138">INDEX('[1]Brand Family Territory (Enc)'!$A$2:$A$296,INT((ROW()-2)/10)+1)</f>
        <v>Corona Extra</v>
      </c>
      <c r="B138" s="2" t="str" cm="1">
        <f t="array" ref="B138">INDEX('Whitelist (Blackout Reverse)'!$B$1:$K$1,MOD(ROW()-2,10)+1)</f>
        <v>SUSSEX</v>
      </c>
      <c r="C138" s="2" t="str">
        <f>VLOOKUP(A138,'[1]Brand Family Territory (Enc)'!$A$2:$B$296,2,FALSE)</f>
        <v>Core Market</v>
      </c>
      <c r="D138" s="2">
        <f>IF(COUNTIFS('[1]Brand Family Territories (Enc)'!$B$2:$B$62,C138,'[1]Brand Family Territories (Enc)'!$C$2:$C$62,B138)&gt;0,1,IF(AND(LEFT(B138,6)="MORRIS",COUNTIFS('[1]Brand Family Territories (Enc)'!$B$2:$B$62,C138,'[1]Brand Family Territories (Enc)'!$C$2:$C$62,"Morri")&gt;0),"Unk",0))</f>
        <v>1</v>
      </c>
      <c r="E138" s="2" t="str">
        <f>IFERROR(INDEX('Blackout Brand Fam Areas (Enc)'!$D$6:$D$998,MATCH(UPPER(A138)&amp;"|"&amp;UPPER(B138),'Blackout Brand Fam Areas (Enc)'!$G$6:$G$998,0)),"No Match")</f>
        <v>No Match</v>
      </c>
      <c r="F138" s="2" t="str">
        <f t="shared" si="4"/>
        <v>US</v>
      </c>
      <c r="G138" s="2" t="str">
        <f t="shared" si="5"/>
        <v>Corona Extra|SUSSEX</v>
      </c>
    </row>
    <row r="139" spans="1:7" x14ac:dyDescent="0.2">
      <c r="A139" s="2" t="str" cm="1">
        <f t="array" ref="A139">INDEX('[1]Brand Family Territory (Enc)'!$A$2:$A$296,INT((ROW()-2)/10)+1)</f>
        <v>Corona Extra</v>
      </c>
      <c r="B139" s="2" t="str" cm="1">
        <f t="array" ref="B139">INDEX('Whitelist (Blackout Reverse)'!$B$1:$K$1,MOD(ROW()-2,10)+1)</f>
        <v>MORRIS 1</v>
      </c>
      <c r="C139" s="2" t="str">
        <f>VLOOKUP(A139,'[1]Brand Family Territory (Enc)'!$A$2:$B$296,2,FALSE)</f>
        <v>Core Market</v>
      </c>
      <c r="D139" s="2">
        <f>IF(COUNTIFS('[1]Brand Family Territories (Enc)'!$B$2:$B$62,C139,'[1]Brand Family Territories (Enc)'!$C$2:$C$62,B139)&gt;0,1,IF(AND(LEFT(B139,6)="MORRIS",COUNTIFS('[1]Brand Family Territories (Enc)'!$B$2:$B$62,C139,'[1]Brand Family Territories (Enc)'!$C$2:$C$62,"Morri")&gt;0),"Unk",0))</f>
        <v>1</v>
      </c>
      <c r="E139" s="2" t="str">
        <f>IFERROR(INDEX('Blackout Brand Fam Areas (Enc)'!$D$6:$D$998,MATCH(UPPER(A139)&amp;"|"&amp;UPPER(B139),'Blackout Brand Fam Areas (Enc)'!$G$6:$G$998,0)),"No Match")</f>
        <v>No Match</v>
      </c>
      <c r="F139" s="2" t="str">
        <f t="shared" si="4"/>
        <v>US</v>
      </c>
      <c r="G139" s="2" t="str">
        <f t="shared" si="5"/>
        <v>Corona Extra|MORRIS 1</v>
      </c>
    </row>
    <row r="140" spans="1:7" x14ac:dyDescent="0.2">
      <c r="A140" s="2" t="str" cm="1">
        <f t="array" ref="A140">INDEX('[1]Brand Family Territory (Enc)'!$A$2:$A$296,INT((ROW()-2)/10)+1)</f>
        <v>Corona Extra</v>
      </c>
      <c r="B140" s="2" t="str" cm="1">
        <f t="array" ref="B140">INDEX('Whitelist (Blackout Reverse)'!$B$1:$K$1,MOD(ROW()-2,10)+1)</f>
        <v>MORRIS 2</v>
      </c>
      <c r="C140" s="2" t="str">
        <f>VLOOKUP(A140,'[1]Brand Family Territory (Enc)'!$A$2:$B$296,2,FALSE)</f>
        <v>Core Market</v>
      </c>
      <c r="D140" s="2">
        <f>IF(COUNTIFS('[1]Brand Family Territories (Enc)'!$B$2:$B$62,C140,'[1]Brand Family Territories (Enc)'!$C$2:$C$62,B140)&gt;0,1,IF(AND(LEFT(B140,6)="MORRIS",COUNTIFS('[1]Brand Family Territories (Enc)'!$B$2:$B$62,C140,'[1]Brand Family Territories (Enc)'!$C$2:$C$62,"Morri")&gt;0),"Unk",0))</f>
        <v>0</v>
      </c>
      <c r="E140" s="2" t="str">
        <f>IFERROR(INDEX('Blackout Brand Fam Areas (Enc)'!$D$6:$D$998,MATCH(UPPER(A140)&amp;"|"&amp;UPPER(B140),'Blackout Brand Fam Areas (Enc)'!$G$6:$G$998,0)),"No Match")</f>
        <v>Inactive</v>
      </c>
      <c r="F140" s="2" t="str">
        <f t="shared" si="4"/>
        <v>THEM</v>
      </c>
      <c r="G140" s="2" t="str">
        <f t="shared" si="5"/>
        <v>Corona Extra|MORRIS 2</v>
      </c>
    </row>
    <row r="141" spans="1:7" x14ac:dyDescent="0.2">
      <c r="A141" s="2" t="str" cm="1">
        <f t="array" ref="A141">INDEX('[1]Brand Family Territory (Enc)'!$A$2:$A$296,INT((ROW()-2)/10)+1)</f>
        <v>Corona Extra</v>
      </c>
      <c r="B141" s="2" t="str" cm="1">
        <f t="array" ref="B141">INDEX('Whitelist (Blackout Reverse)'!$B$1:$K$1,MOD(ROW()-2,10)+1)</f>
        <v>MORRIS 3</v>
      </c>
      <c r="C141" s="2" t="str">
        <f>VLOOKUP(A141,'[1]Brand Family Territory (Enc)'!$A$2:$B$296,2,FALSE)</f>
        <v>Core Market</v>
      </c>
      <c r="D141" s="2">
        <f>IF(COUNTIFS('[1]Brand Family Territories (Enc)'!$B$2:$B$62,C141,'[1]Brand Family Territories (Enc)'!$C$2:$C$62,B141)&gt;0,1,IF(AND(LEFT(B141,6)="MORRIS",COUNTIFS('[1]Brand Family Territories (Enc)'!$B$2:$B$62,C141,'[1]Brand Family Territories (Enc)'!$C$2:$C$62,"Morri")&gt;0),"Unk",0))</f>
        <v>1</v>
      </c>
      <c r="E141" s="2" t="str">
        <f>IFERROR(INDEX('Blackout Brand Fam Areas (Enc)'!$D$6:$D$998,MATCH(UPPER(A141)&amp;"|"&amp;UPPER(B141),'Blackout Brand Fam Areas (Enc)'!$G$6:$G$998,0)),"No Match")</f>
        <v>No Match</v>
      </c>
      <c r="F141" s="2" t="str">
        <f t="shared" si="4"/>
        <v>US</v>
      </c>
      <c r="G141" s="2" t="str">
        <f t="shared" si="5"/>
        <v>Corona Extra|MORRIS 3</v>
      </c>
    </row>
    <row r="142" spans="1:7" x14ac:dyDescent="0.2">
      <c r="A142" s="2" t="str" cm="1">
        <f t="array" ref="A142">INDEX('[1]Brand Family Territory (Enc)'!$A$2:$A$296,INT((ROW()-2)/10)+1)</f>
        <v>Corona Familiar</v>
      </c>
      <c r="B142" s="2" t="str" cm="1">
        <f t="array" ref="B142">INDEX('Whitelist (Blackout Reverse)'!$B$1:$K$1,MOD(ROW()-2,10)+1)</f>
        <v>BERGEN</v>
      </c>
      <c r="C142" s="2" t="str">
        <f>VLOOKUP(A142,'[1]Brand Family Territory (Enc)'!$A$2:$B$296,2,FALSE)</f>
        <v>Core Market</v>
      </c>
      <c r="D142" s="2">
        <f>IF(COUNTIFS('[1]Brand Family Territories (Enc)'!$B$2:$B$62,C142,'[1]Brand Family Territories (Enc)'!$C$2:$C$62,B142)&gt;0,1,IF(AND(LEFT(B142,6)="MORRIS",COUNTIFS('[1]Brand Family Territories (Enc)'!$B$2:$B$62,C142,'[1]Brand Family Territories (Enc)'!$C$2:$C$62,"Morri")&gt;0),"Unk",0))</f>
        <v>1</v>
      </c>
      <c r="E142" s="2" t="str">
        <f>IFERROR(INDEX('Blackout Brand Fam Areas (Enc)'!$D$6:$D$998,MATCH(UPPER(A142)&amp;"|"&amp;UPPER(B142),'Blackout Brand Fam Areas (Enc)'!$G$6:$G$998,0)),"No Match")</f>
        <v>No Match</v>
      </c>
      <c r="F142" s="2" t="str">
        <f t="shared" si="4"/>
        <v>US</v>
      </c>
      <c r="G142" s="2" t="str">
        <f t="shared" si="5"/>
        <v>Corona Familiar|BERGEN</v>
      </c>
    </row>
    <row r="143" spans="1:7" x14ac:dyDescent="0.2">
      <c r="A143" s="2" t="str" cm="1">
        <f t="array" ref="A143">INDEX('[1]Brand Family Territory (Enc)'!$A$2:$A$296,INT((ROW()-2)/10)+1)</f>
        <v>Corona Familiar</v>
      </c>
      <c r="B143" s="2" t="str" cm="1">
        <f t="array" ref="B143">INDEX('Whitelist (Blackout Reverse)'!$B$1:$K$1,MOD(ROW()-2,10)+1)</f>
        <v>PASSAIC</v>
      </c>
      <c r="C143" s="2" t="str">
        <f>VLOOKUP(A143,'[1]Brand Family Territory (Enc)'!$A$2:$B$296,2,FALSE)</f>
        <v>Core Market</v>
      </c>
      <c r="D143" s="2">
        <f>IF(COUNTIFS('[1]Brand Family Territories (Enc)'!$B$2:$B$62,C143,'[1]Brand Family Territories (Enc)'!$C$2:$C$62,B143)&gt;0,1,IF(AND(LEFT(B143,6)="MORRIS",COUNTIFS('[1]Brand Family Territories (Enc)'!$B$2:$B$62,C143,'[1]Brand Family Territories (Enc)'!$C$2:$C$62,"Morri")&gt;0),"Unk",0))</f>
        <v>1</v>
      </c>
      <c r="E143" s="2" t="str">
        <f>IFERROR(INDEX('Blackout Brand Fam Areas (Enc)'!$D$6:$D$998,MATCH(UPPER(A143)&amp;"|"&amp;UPPER(B143),'Blackout Brand Fam Areas (Enc)'!$G$6:$G$998,0)),"No Match")</f>
        <v>No Match</v>
      </c>
      <c r="F143" s="2" t="str">
        <f t="shared" si="4"/>
        <v>US</v>
      </c>
      <c r="G143" s="2" t="str">
        <f t="shared" si="5"/>
        <v>Corona Familiar|PASSAIC</v>
      </c>
    </row>
    <row r="144" spans="1:7" x14ac:dyDescent="0.2">
      <c r="A144" s="2" t="str" cm="1">
        <f t="array" ref="A144">INDEX('[1]Brand Family Territory (Enc)'!$A$2:$A$296,INT((ROW()-2)/10)+1)</f>
        <v>Corona Familiar</v>
      </c>
      <c r="B144" s="2" t="str" cm="1">
        <f t="array" ref="B144">INDEX('Whitelist (Blackout Reverse)'!$B$1:$K$1,MOD(ROW()-2,10)+1)</f>
        <v>PASSAIC-FF</v>
      </c>
      <c r="C144" s="2" t="str">
        <f>VLOOKUP(A144,'[1]Brand Family Territory (Enc)'!$A$2:$B$296,2,FALSE)</f>
        <v>Core Market</v>
      </c>
      <c r="D144" s="2">
        <f>IF(COUNTIFS('[1]Brand Family Territories (Enc)'!$B$2:$B$62,C144,'[1]Brand Family Territories (Enc)'!$C$2:$C$62,B144)&gt;0,1,IF(AND(LEFT(B144,6)="MORRIS",COUNTIFS('[1]Brand Family Territories (Enc)'!$B$2:$B$62,C144,'[1]Brand Family Territories (Enc)'!$C$2:$C$62,"Morri")&gt;0),"Unk",0))</f>
        <v>1</v>
      </c>
      <c r="E144" s="2" t="str">
        <f>IFERROR(INDEX('Blackout Brand Fam Areas (Enc)'!$D$6:$D$998,MATCH(UPPER(A144)&amp;"|"&amp;UPPER(B144),'Blackout Brand Fam Areas (Enc)'!$G$6:$G$998,0)),"No Match")</f>
        <v>No Match</v>
      </c>
      <c r="F144" s="2" t="str">
        <f t="shared" si="4"/>
        <v>US</v>
      </c>
      <c r="G144" s="2" t="str">
        <f t="shared" si="5"/>
        <v>Corona Familiar|PASSAIC-FF</v>
      </c>
    </row>
    <row r="145" spans="1:7" x14ac:dyDescent="0.2">
      <c r="A145" s="2" t="str" cm="1">
        <f t="array" ref="A145">INDEX('[1]Brand Family Territory (Enc)'!$A$2:$A$296,INT((ROW()-2)/10)+1)</f>
        <v>Corona Familiar</v>
      </c>
      <c r="B145" s="2" t="str" cm="1">
        <f t="array" ref="B145">INDEX('Whitelist (Blackout Reverse)'!$B$1:$K$1,MOD(ROW()-2,10)+1)</f>
        <v>ESSEX</v>
      </c>
      <c r="C145" s="2" t="str">
        <f>VLOOKUP(A145,'[1]Brand Family Territory (Enc)'!$A$2:$B$296,2,FALSE)</f>
        <v>Core Market</v>
      </c>
      <c r="D145" s="2">
        <f>IF(COUNTIFS('[1]Brand Family Territories (Enc)'!$B$2:$B$62,C145,'[1]Brand Family Territories (Enc)'!$C$2:$C$62,B145)&gt;0,1,IF(AND(LEFT(B145,6)="MORRIS",COUNTIFS('[1]Brand Family Territories (Enc)'!$B$2:$B$62,C145,'[1]Brand Family Territories (Enc)'!$C$2:$C$62,"Morri")&gt;0),"Unk",0))</f>
        <v>0</v>
      </c>
      <c r="E145" s="2" t="str">
        <f>IFERROR(INDEX('Blackout Brand Fam Areas (Enc)'!$D$6:$D$998,MATCH(UPPER(A145)&amp;"|"&amp;UPPER(B145),'Blackout Brand Fam Areas (Enc)'!$G$6:$G$998,0)),"No Match")</f>
        <v>Inactive</v>
      </c>
      <c r="F145" s="2" t="str">
        <f t="shared" si="4"/>
        <v>THEM</v>
      </c>
      <c r="G145" s="2" t="str">
        <f t="shared" si="5"/>
        <v>Corona Familiar|ESSEX</v>
      </c>
    </row>
    <row r="146" spans="1:7" x14ac:dyDescent="0.2">
      <c r="A146" s="2" t="str" cm="1">
        <f t="array" ref="A146">INDEX('[1]Brand Family Territory (Enc)'!$A$2:$A$296,INT((ROW()-2)/10)+1)</f>
        <v>Corona Familiar</v>
      </c>
      <c r="B146" s="2" t="str" cm="1">
        <f t="array" ref="B146">INDEX('Whitelist (Blackout Reverse)'!$B$1:$K$1,MOD(ROW()-2,10)+1)</f>
        <v>HUDSON</v>
      </c>
      <c r="C146" s="2" t="str">
        <f>VLOOKUP(A146,'[1]Brand Family Territory (Enc)'!$A$2:$B$296,2,FALSE)</f>
        <v>Core Market</v>
      </c>
      <c r="D146" s="2">
        <f>IF(COUNTIFS('[1]Brand Family Territories (Enc)'!$B$2:$B$62,C146,'[1]Brand Family Territories (Enc)'!$C$2:$C$62,B146)&gt;0,1,IF(AND(LEFT(B146,6)="MORRIS",COUNTIFS('[1]Brand Family Territories (Enc)'!$B$2:$B$62,C146,'[1]Brand Family Territories (Enc)'!$C$2:$C$62,"Morri")&gt;0),"Unk",0))</f>
        <v>0</v>
      </c>
      <c r="E146" s="2" t="str">
        <f>IFERROR(INDEX('Blackout Brand Fam Areas (Enc)'!$D$6:$D$998,MATCH(UPPER(A146)&amp;"|"&amp;UPPER(B146),'Blackout Brand Fam Areas (Enc)'!$G$6:$G$998,0)),"No Match")</f>
        <v>Inactive</v>
      </c>
      <c r="F146" s="2" t="str">
        <f t="shared" si="4"/>
        <v>THEM</v>
      </c>
      <c r="G146" s="2" t="str">
        <f t="shared" si="5"/>
        <v>Corona Familiar|HUDSON</v>
      </c>
    </row>
    <row r="147" spans="1:7" x14ac:dyDescent="0.2">
      <c r="A147" s="2" t="str" cm="1">
        <f t="array" ref="A147">INDEX('[1]Brand Family Territory (Enc)'!$A$2:$A$296,INT((ROW()-2)/10)+1)</f>
        <v>Corona Familiar</v>
      </c>
      <c r="B147" s="2" t="str" cm="1">
        <f t="array" ref="B147">INDEX('Whitelist (Blackout Reverse)'!$B$1:$K$1,MOD(ROW()-2,10)+1)</f>
        <v>UNION</v>
      </c>
      <c r="C147" s="2" t="str">
        <f>VLOOKUP(A147,'[1]Brand Family Territory (Enc)'!$A$2:$B$296,2,FALSE)</f>
        <v>Core Market</v>
      </c>
      <c r="D147" s="2">
        <f>IF(COUNTIFS('[1]Brand Family Territories (Enc)'!$B$2:$B$62,C147,'[1]Brand Family Territories (Enc)'!$C$2:$C$62,B147)&gt;0,1,IF(AND(LEFT(B147,6)="MORRIS",COUNTIFS('[1]Brand Family Territories (Enc)'!$B$2:$B$62,C147,'[1]Brand Family Territories (Enc)'!$C$2:$C$62,"Morri")&gt;0),"Unk",0))</f>
        <v>0</v>
      </c>
      <c r="E147" s="2" t="str">
        <f>IFERROR(INDEX('Blackout Brand Fam Areas (Enc)'!$D$6:$D$998,MATCH(UPPER(A147)&amp;"|"&amp;UPPER(B147),'Blackout Brand Fam Areas (Enc)'!$G$6:$G$998,0)),"No Match")</f>
        <v>Inactive</v>
      </c>
      <c r="F147" s="2" t="str">
        <f t="shared" si="4"/>
        <v>THEM</v>
      </c>
      <c r="G147" s="2" t="str">
        <f t="shared" si="5"/>
        <v>Corona Familiar|UNION</v>
      </c>
    </row>
    <row r="148" spans="1:7" x14ac:dyDescent="0.2">
      <c r="A148" s="2" t="str" cm="1">
        <f t="array" ref="A148">INDEX('[1]Brand Family Territory (Enc)'!$A$2:$A$296,INT((ROW()-2)/10)+1)</f>
        <v>Corona Familiar</v>
      </c>
      <c r="B148" s="2" t="str" cm="1">
        <f t="array" ref="B148">INDEX('Whitelist (Blackout Reverse)'!$B$1:$K$1,MOD(ROW()-2,10)+1)</f>
        <v>SUSSEX</v>
      </c>
      <c r="C148" s="2" t="str">
        <f>VLOOKUP(A148,'[1]Brand Family Territory (Enc)'!$A$2:$B$296,2,FALSE)</f>
        <v>Core Market</v>
      </c>
      <c r="D148" s="2">
        <f>IF(COUNTIFS('[1]Brand Family Territories (Enc)'!$B$2:$B$62,C148,'[1]Brand Family Territories (Enc)'!$C$2:$C$62,B148)&gt;0,1,IF(AND(LEFT(B148,6)="MORRIS",COUNTIFS('[1]Brand Family Territories (Enc)'!$B$2:$B$62,C148,'[1]Brand Family Territories (Enc)'!$C$2:$C$62,"Morri")&gt;0),"Unk",0))</f>
        <v>1</v>
      </c>
      <c r="E148" s="2" t="str">
        <f>IFERROR(INDEX('Blackout Brand Fam Areas (Enc)'!$D$6:$D$998,MATCH(UPPER(A148)&amp;"|"&amp;UPPER(B148),'Blackout Brand Fam Areas (Enc)'!$G$6:$G$998,0)),"No Match")</f>
        <v>No Match</v>
      </c>
      <c r="F148" s="2" t="str">
        <f t="shared" si="4"/>
        <v>US</v>
      </c>
      <c r="G148" s="2" t="str">
        <f t="shared" si="5"/>
        <v>Corona Familiar|SUSSEX</v>
      </c>
    </row>
    <row r="149" spans="1:7" x14ac:dyDescent="0.2">
      <c r="A149" s="2" t="str" cm="1">
        <f t="array" ref="A149">INDEX('[1]Brand Family Territory (Enc)'!$A$2:$A$296,INT((ROW()-2)/10)+1)</f>
        <v>Corona Familiar</v>
      </c>
      <c r="B149" s="2" t="str" cm="1">
        <f t="array" ref="B149">INDEX('Whitelist (Blackout Reverse)'!$B$1:$K$1,MOD(ROW()-2,10)+1)</f>
        <v>MORRIS 1</v>
      </c>
      <c r="C149" s="2" t="str">
        <f>VLOOKUP(A149,'[1]Brand Family Territory (Enc)'!$A$2:$B$296,2,FALSE)</f>
        <v>Core Market</v>
      </c>
      <c r="D149" s="2">
        <f>IF(COUNTIFS('[1]Brand Family Territories (Enc)'!$B$2:$B$62,C149,'[1]Brand Family Territories (Enc)'!$C$2:$C$62,B149)&gt;0,1,IF(AND(LEFT(B149,6)="MORRIS",COUNTIFS('[1]Brand Family Territories (Enc)'!$B$2:$B$62,C149,'[1]Brand Family Territories (Enc)'!$C$2:$C$62,"Morri")&gt;0),"Unk",0))</f>
        <v>1</v>
      </c>
      <c r="E149" s="2" t="str">
        <f>IFERROR(INDEX('Blackout Brand Fam Areas (Enc)'!$D$6:$D$998,MATCH(UPPER(A149)&amp;"|"&amp;UPPER(B149),'Blackout Brand Fam Areas (Enc)'!$G$6:$G$998,0)),"No Match")</f>
        <v>No Match</v>
      </c>
      <c r="F149" s="2" t="str">
        <f t="shared" si="4"/>
        <v>US</v>
      </c>
      <c r="G149" s="2" t="str">
        <f t="shared" si="5"/>
        <v>Corona Familiar|MORRIS 1</v>
      </c>
    </row>
    <row r="150" spans="1:7" x14ac:dyDescent="0.2">
      <c r="A150" s="2" t="str" cm="1">
        <f t="array" ref="A150">INDEX('[1]Brand Family Territory (Enc)'!$A$2:$A$296,INT((ROW()-2)/10)+1)</f>
        <v>Corona Familiar</v>
      </c>
      <c r="B150" s="2" t="str" cm="1">
        <f t="array" ref="B150">INDEX('Whitelist (Blackout Reverse)'!$B$1:$K$1,MOD(ROW()-2,10)+1)</f>
        <v>MORRIS 2</v>
      </c>
      <c r="C150" s="2" t="str">
        <f>VLOOKUP(A150,'[1]Brand Family Territory (Enc)'!$A$2:$B$296,2,FALSE)</f>
        <v>Core Market</v>
      </c>
      <c r="D150" s="2">
        <f>IF(COUNTIFS('[1]Brand Family Territories (Enc)'!$B$2:$B$62,C150,'[1]Brand Family Territories (Enc)'!$C$2:$C$62,B150)&gt;0,1,IF(AND(LEFT(B150,6)="MORRIS",COUNTIFS('[1]Brand Family Territories (Enc)'!$B$2:$B$62,C150,'[1]Brand Family Territories (Enc)'!$C$2:$C$62,"Morri")&gt;0),"Unk",0))</f>
        <v>0</v>
      </c>
      <c r="E150" s="2" t="str">
        <f>IFERROR(INDEX('Blackout Brand Fam Areas (Enc)'!$D$6:$D$998,MATCH(UPPER(A150)&amp;"|"&amp;UPPER(B150),'Blackout Brand Fam Areas (Enc)'!$G$6:$G$998,0)),"No Match")</f>
        <v>Inactive</v>
      </c>
      <c r="F150" s="2" t="str">
        <f t="shared" si="4"/>
        <v>THEM</v>
      </c>
      <c r="G150" s="2" t="str">
        <f t="shared" si="5"/>
        <v>Corona Familiar|MORRIS 2</v>
      </c>
    </row>
    <row r="151" spans="1:7" x14ac:dyDescent="0.2">
      <c r="A151" s="2" t="str" cm="1">
        <f t="array" ref="A151">INDEX('[1]Brand Family Territory (Enc)'!$A$2:$A$296,INT((ROW()-2)/10)+1)</f>
        <v>Corona Familiar</v>
      </c>
      <c r="B151" s="2" t="str" cm="1">
        <f t="array" ref="B151">INDEX('Whitelist (Blackout Reverse)'!$B$1:$K$1,MOD(ROW()-2,10)+1)</f>
        <v>MORRIS 3</v>
      </c>
      <c r="C151" s="2" t="str">
        <f>VLOOKUP(A151,'[1]Brand Family Territory (Enc)'!$A$2:$B$296,2,FALSE)</f>
        <v>Core Market</v>
      </c>
      <c r="D151" s="2">
        <f>IF(COUNTIFS('[1]Brand Family Territories (Enc)'!$B$2:$B$62,C151,'[1]Brand Family Territories (Enc)'!$C$2:$C$62,B151)&gt;0,1,IF(AND(LEFT(B151,6)="MORRIS",COUNTIFS('[1]Brand Family Territories (Enc)'!$B$2:$B$62,C151,'[1]Brand Family Territories (Enc)'!$C$2:$C$62,"Morri")&gt;0),"Unk",0))</f>
        <v>1</v>
      </c>
      <c r="E151" s="2" t="str">
        <f>IFERROR(INDEX('Blackout Brand Fam Areas (Enc)'!$D$6:$D$998,MATCH(UPPER(A151)&amp;"|"&amp;UPPER(B151),'Blackout Brand Fam Areas (Enc)'!$G$6:$G$998,0)),"No Match")</f>
        <v>No Match</v>
      </c>
      <c r="F151" s="2" t="str">
        <f t="shared" si="4"/>
        <v>US</v>
      </c>
      <c r="G151" s="2" t="str">
        <f t="shared" si="5"/>
        <v>Corona Familiar|MORRIS 3</v>
      </c>
    </row>
    <row r="152" spans="1:7" x14ac:dyDescent="0.2">
      <c r="A152" s="2" t="str" cm="1">
        <f t="array" ref="A152">INDEX('[1]Brand Family Territory (Enc)'!$A$2:$A$296,INT((ROW()-2)/10)+1)</f>
        <v>Corona Light</v>
      </c>
      <c r="B152" s="2" t="str" cm="1">
        <f t="array" ref="B152">INDEX('Whitelist (Blackout Reverse)'!$B$1:$K$1,MOD(ROW()-2,10)+1)</f>
        <v>BERGEN</v>
      </c>
      <c r="C152" s="2" t="str">
        <f>VLOOKUP(A152,'[1]Brand Family Territory (Enc)'!$A$2:$B$296,2,FALSE)</f>
        <v>Core Market</v>
      </c>
      <c r="D152" s="2">
        <f>IF(COUNTIFS('[1]Brand Family Territories (Enc)'!$B$2:$B$62,C152,'[1]Brand Family Territories (Enc)'!$C$2:$C$62,B152)&gt;0,1,IF(AND(LEFT(B152,6)="MORRIS",COUNTIFS('[1]Brand Family Territories (Enc)'!$B$2:$B$62,C152,'[1]Brand Family Territories (Enc)'!$C$2:$C$62,"Morri")&gt;0),"Unk",0))</f>
        <v>1</v>
      </c>
      <c r="E152" s="2" t="str">
        <f>IFERROR(INDEX('Blackout Brand Fam Areas (Enc)'!$D$6:$D$998,MATCH(UPPER(A152)&amp;"|"&amp;UPPER(B152),'Blackout Brand Fam Areas (Enc)'!$G$6:$G$998,0)),"No Match")</f>
        <v>No Match</v>
      </c>
      <c r="F152" s="2" t="str">
        <f t="shared" si="4"/>
        <v>US</v>
      </c>
      <c r="G152" s="2" t="str">
        <f t="shared" si="5"/>
        <v>Corona Light|BERGEN</v>
      </c>
    </row>
    <row r="153" spans="1:7" x14ac:dyDescent="0.2">
      <c r="A153" s="2" t="str" cm="1">
        <f t="array" ref="A153">INDEX('[1]Brand Family Territory (Enc)'!$A$2:$A$296,INT((ROW()-2)/10)+1)</f>
        <v>Corona Light</v>
      </c>
      <c r="B153" s="2" t="str" cm="1">
        <f t="array" ref="B153">INDEX('Whitelist (Blackout Reverse)'!$B$1:$K$1,MOD(ROW()-2,10)+1)</f>
        <v>PASSAIC</v>
      </c>
      <c r="C153" s="2" t="str">
        <f>VLOOKUP(A153,'[1]Brand Family Territory (Enc)'!$A$2:$B$296,2,FALSE)</f>
        <v>Core Market</v>
      </c>
      <c r="D153" s="2">
        <f>IF(COUNTIFS('[1]Brand Family Territories (Enc)'!$B$2:$B$62,C153,'[1]Brand Family Territories (Enc)'!$C$2:$C$62,B153)&gt;0,1,IF(AND(LEFT(B153,6)="MORRIS",COUNTIFS('[1]Brand Family Territories (Enc)'!$B$2:$B$62,C153,'[1]Brand Family Territories (Enc)'!$C$2:$C$62,"Morri")&gt;0),"Unk",0))</f>
        <v>1</v>
      </c>
      <c r="E153" s="2" t="str">
        <f>IFERROR(INDEX('Blackout Brand Fam Areas (Enc)'!$D$6:$D$998,MATCH(UPPER(A153)&amp;"|"&amp;UPPER(B153),'Blackout Brand Fam Areas (Enc)'!$G$6:$G$998,0)),"No Match")</f>
        <v>No Match</v>
      </c>
      <c r="F153" s="2" t="str">
        <f t="shared" si="4"/>
        <v>US</v>
      </c>
      <c r="G153" s="2" t="str">
        <f t="shared" si="5"/>
        <v>Corona Light|PASSAIC</v>
      </c>
    </row>
    <row r="154" spans="1:7" x14ac:dyDescent="0.2">
      <c r="A154" s="2" t="str" cm="1">
        <f t="array" ref="A154">INDEX('[1]Brand Family Territory (Enc)'!$A$2:$A$296,INT((ROW()-2)/10)+1)</f>
        <v>Corona Light</v>
      </c>
      <c r="B154" s="2" t="str" cm="1">
        <f t="array" ref="B154">INDEX('Whitelist (Blackout Reverse)'!$B$1:$K$1,MOD(ROW()-2,10)+1)</f>
        <v>PASSAIC-FF</v>
      </c>
      <c r="C154" s="2" t="str">
        <f>VLOOKUP(A154,'[1]Brand Family Territory (Enc)'!$A$2:$B$296,2,FALSE)</f>
        <v>Core Market</v>
      </c>
      <c r="D154" s="2">
        <f>IF(COUNTIFS('[1]Brand Family Territories (Enc)'!$B$2:$B$62,C154,'[1]Brand Family Territories (Enc)'!$C$2:$C$62,B154)&gt;0,1,IF(AND(LEFT(B154,6)="MORRIS",COUNTIFS('[1]Brand Family Territories (Enc)'!$B$2:$B$62,C154,'[1]Brand Family Territories (Enc)'!$C$2:$C$62,"Morri")&gt;0),"Unk",0))</f>
        <v>1</v>
      </c>
      <c r="E154" s="2" t="str">
        <f>IFERROR(INDEX('Blackout Brand Fam Areas (Enc)'!$D$6:$D$998,MATCH(UPPER(A154)&amp;"|"&amp;UPPER(B154),'Blackout Brand Fam Areas (Enc)'!$G$6:$G$998,0)),"No Match")</f>
        <v>No Match</v>
      </c>
      <c r="F154" s="2" t="str">
        <f t="shared" si="4"/>
        <v>US</v>
      </c>
      <c r="G154" s="2" t="str">
        <f t="shared" si="5"/>
        <v>Corona Light|PASSAIC-FF</v>
      </c>
    </row>
    <row r="155" spans="1:7" x14ac:dyDescent="0.2">
      <c r="A155" s="2" t="str" cm="1">
        <f t="array" ref="A155">INDEX('[1]Brand Family Territory (Enc)'!$A$2:$A$296,INT((ROW()-2)/10)+1)</f>
        <v>Corona Light</v>
      </c>
      <c r="B155" s="2" t="str" cm="1">
        <f t="array" ref="B155">INDEX('Whitelist (Blackout Reverse)'!$B$1:$K$1,MOD(ROW()-2,10)+1)</f>
        <v>ESSEX</v>
      </c>
      <c r="C155" s="2" t="str">
        <f>VLOOKUP(A155,'[1]Brand Family Territory (Enc)'!$A$2:$B$296,2,FALSE)</f>
        <v>Core Market</v>
      </c>
      <c r="D155" s="2">
        <f>IF(COUNTIFS('[1]Brand Family Territories (Enc)'!$B$2:$B$62,C155,'[1]Brand Family Territories (Enc)'!$C$2:$C$62,B155)&gt;0,1,IF(AND(LEFT(B155,6)="MORRIS",COUNTIFS('[1]Brand Family Territories (Enc)'!$B$2:$B$62,C155,'[1]Brand Family Territories (Enc)'!$C$2:$C$62,"Morri")&gt;0),"Unk",0))</f>
        <v>0</v>
      </c>
      <c r="E155" s="2" t="str">
        <f>IFERROR(INDEX('Blackout Brand Fam Areas (Enc)'!$D$6:$D$998,MATCH(UPPER(A155)&amp;"|"&amp;UPPER(B155),'Blackout Brand Fam Areas (Enc)'!$G$6:$G$998,0)),"No Match")</f>
        <v>Inactive</v>
      </c>
      <c r="F155" s="2" t="str">
        <f t="shared" si="4"/>
        <v>THEM</v>
      </c>
      <c r="G155" s="2" t="str">
        <f t="shared" si="5"/>
        <v>Corona Light|ESSEX</v>
      </c>
    </row>
    <row r="156" spans="1:7" x14ac:dyDescent="0.2">
      <c r="A156" s="2" t="str" cm="1">
        <f t="array" ref="A156">INDEX('[1]Brand Family Territory (Enc)'!$A$2:$A$296,INT((ROW()-2)/10)+1)</f>
        <v>Corona Light</v>
      </c>
      <c r="B156" s="2" t="str" cm="1">
        <f t="array" ref="B156">INDEX('Whitelist (Blackout Reverse)'!$B$1:$K$1,MOD(ROW()-2,10)+1)</f>
        <v>HUDSON</v>
      </c>
      <c r="C156" s="2" t="str">
        <f>VLOOKUP(A156,'[1]Brand Family Territory (Enc)'!$A$2:$B$296,2,FALSE)</f>
        <v>Core Market</v>
      </c>
      <c r="D156" s="2">
        <f>IF(COUNTIFS('[1]Brand Family Territories (Enc)'!$B$2:$B$62,C156,'[1]Brand Family Territories (Enc)'!$C$2:$C$62,B156)&gt;0,1,IF(AND(LEFT(B156,6)="MORRIS",COUNTIFS('[1]Brand Family Territories (Enc)'!$B$2:$B$62,C156,'[1]Brand Family Territories (Enc)'!$C$2:$C$62,"Morri")&gt;0),"Unk",0))</f>
        <v>0</v>
      </c>
      <c r="E156" s="2" t="str">
        <f>IFERROR(INDEX('Blackout Brand Fam Areas (Enc)'!$D$6:$D$998,MATCH(UPPER(A156)&amp;"|"&amp;UPPER(B156),'Blackout Brand Fam Areas (Enc)'!$G$6:$G$998,0)),"No Match")</f>
        <v>Inactive</v>
      </c>
      <c r="F156" s="2" t="str">
        <f t="shared" si="4"/>
        <v>THEM</v>
      </c>
      <c r="G156" s="2" t="str">
        <f t="shared" si="5"/>
        <v>Corona Light|HUDSON</v>
      </c>
    </row>
    <row r="157" spans="1:7" x14ac:dyDescent="0.2">
      <c r="A157" s="2" t="str" cm="1">
        <f t="array" ref="A157">INDEX('[1]Brand Family Territory (Enc)'!$A$2:$A$296,INT((ROW()-2)/10)+1)</f>
        <v>Corona Light</v>
      </c>
      <c r="B157" s="2" t="str" cm="1">
        <f t="array" ref="B157">INDEX('Whitelist (Blackout Reverse)'!$B$1:$K$1,MOD(ROW()-2,10)+1)</f>
        <v>UNION</v>
      </c>
      <c r="C157" s="2" t="str">
        <f>VLOOKUP(A157,'[1]Brand Family Territory (Enc)'!$A$2:$B$296,2,FALSE)</f>
        <v>Core Market</v>
      </c>
      <c r="D157" s="2">
        <f>IF(COUNTIFS('[1]Brand Family Territories (Enc)'!$B$2:$B$62,C157,'[1]Brand Family Territories (Enc)'!$C$2:$C$62,B157)&gt;0,1,IF(AND(LEFT(B157,6)="MORRIS",COUNTIFS('[1]Brand Family Territories (Enc)'!$B$2:$B$62,C157,'[1]Brand Family Territories (Enc)'!$C$2:$C$62,"Morri")&gt;0),"Unk",0))</f>
        <v>0</v>
      </c>
      <c r="E157" s="2" t="str">
        <f>IFERROR(INDEX('Blackout Brand Fam Areas (Enc)'!$D$6:$D$998,MATCH(UPPER(A157)&amp;"|"&amp;UPPER(B157),'Blackout Brand Fam Areas (Enc)'!$G$6:$G$998,0)),"No Match")</f>
        <v>Inactive</v>
      </c>
      <c r="F157" s="2" t="str">
        <f t="shared" si="4"/>
        <v>THEM</v>
      </c>
      <c r="G157" s="2" t="str">
        <f t="shared" si="5"/>
        <v>Corona Light|UNION</v>
      </c>
    </row>
    <row r="158" spans="1:7" x14ac:dyDescent="0.2">
      <c r="A158" s="2" t="str" cm="1">
        <f t="array" ref="A158">INDEX('[1]Brand Family Territory (Enc)'!$A$2:$A$296,INT((ROW()-2)/10)+1)</f>
        <v>Corona Light</v>
      </c>
      <c r="B158" s="2" t="str" cm="1">
        <f t="array" ref="B158">INDEX('Whitelist (Blackout Reverse)'!$B$1:$K$1,MOD(ROW()-2,10)+1)</f>
        <v>SUSSEX</v>
      </c>
      <c r="C158" s="2" t="str">
        <f>VLOOKUP(A158,'[1]Brand Family Territory (Enc)'!$A$2:$B$296,2,FALSE)</f>
        <v>Core Market</v>
      </c>
      <c r="D158" s="2">
        <f>IF(COUNTIFS('[1]Brand Family Territories (Enc)'!$B$2:$B$62,C158,'[1]Brand Family Territories (Enc)'!$C$2:$C$62,B158)&gt;0,1,IF(AND(LEFT(B158,6)="MORRIS",COUNTIFS('[1]Brand Family Territories (Enc)'!$B$2:$B$62,C158,'[1]Brand Family Territories (Enc)'!$C$2:$C$62,"Morri")&gt;0),"Unk",0))</f>
        <v>1</v>
      </c>
      <c r="E158" s="2" t="str">
        <f>IFERROR(INDEX('Blackout Brand Fam Areas (Enc)'!$D$6:$D$998,MATCH(UPPER(A158)&amp;"|"&amp;UPPER(B158),'Blackout Brand Fam Areas (Enc)'!$G$6:$G$998,0)),"No Match")</f>
        <v>No Match</v>
      </c>
      <c r="F158" s="2" t="str">
        <f t="shared" si="4"/>
        <v>US</v>
      </c>
      <c r="G158" s="2" t="str">
        <f t="shared" si="5"/>
        <v>Corona Light|SUSSEX</v>
      </c>
    </row>
    <row r="159" spans="1:7" x14ac:dyDescent="0.2">
      <c r="A159" s="2" t="str" cm="1">
        <f t="array" ref="A159">INDEX('[1]Brand Family Territory (Enc)'!$A$2:$A$296,INT((ROW()-2)/10)+1)</f>
        <v>Corona Light</v>
      </c>
      <c r="B159" s="2" t="str" cm="1">
        <f t="array" ref="B159">INDEX('Whitelist (Blackout Reverse)'!$B$1:$K$1,MOD(ROW()-2,10)+1)</f>
        <v>MORRIS 1</v>
      </c>
      <c r="C159" s="2" t="str">
        <f>VLOOKUP(A159,'[1]Brand Family Territory (Enc)'!$A$2:$B$296,2,FALSE)</f>
        <v>Core Market</v>
      </c>
      <c r="D159" s="2">
        <f>IF(COUNTIFS('[1]Brand Family Territories (Enc)'!$B$2:$B$62,C159,'[1]Brand Family Territories (Enc)'!$C$2:$C$62,B159)&gt;0,1,IF(AND(LEFT(B159,6)="MORRIS",COUNTIFS('[1]Brand Family Territories (Enc)'!$B$2:$B$62,C159,'[1]Brand Family Territories (Enc)'!$C$2:$C$62,"Morri")&gt;0),"Unk",0))</f>
        <v>1</v>
      </c>
      <c r="E159" s="2" t="str">
        <f>IFERROR(INDEX('Blackout Brand Fam Areas (Enc)'!$D$6:$D$998,MATCH(UPPER(A159)&amp;"|"&amp;UPPER(B159),'Blackout Brand Fam Areas (Enc)'!$G$6:$G$998,0)),"No Match")</f>
        <v>No Match</v>
      </c>
      <c r="F159" s="2" t="str">
        <f t="shared" si="4"/>
        <v>US</v>
      </c>
      <c r="G159" s="2" t="str">
        <f t="shared" si="5"/>
        <v>Corona Light|MORRIS 1</v>
      </c>
    </row>
    <row r="160" spans="1:7" x14ac:dyDescent="0.2">
      <c r="A160" s="2" t="str" cm="1">
        <f t="array" ref="A160">INDEX('[1]Brand Family Territory (Enc)'!$A$2:$A$296,INT((ROW()-2)/10)+1)</f>
        <v>Corona Light</v>
      </c>
      <c r="B160" s="2" t="str" cm="1">
        <f t="array" ref="B160">INDEX('Whitelist (Blackout Reverse)'!$B$1:$K$1,MOD(ROW()-2,10)+1)</f>
        <v>MORRIS 2</v>
      </c>
      <c r="C160" s="2" t="str">
        <f>VLOOKUP(A160,'[1]Brand Family Territory (Enc)'!$A$2:$B$296,2,FALSE)</f>
        <v>Core Market</v>
      </c>
      <c r="D160" s="2">
        <f>IF(COUNTIFS('[1]Brand Family Territories (Enc)'!$B$2:$B$62,C160,'[1]Brand Family Territories (Enc)'!$C$2:$C$62,B160)&gt;0,1,IF(AND(LEFT(B160,6)="MORRIS",COUNTIFS('[1]Brand Family Territories (Enc)'!$B$2:$B$62,C160,'[1]Brand Family Territories (Enc)'!$C$2:$C$62,"Morri")&gt;0),"Unk",0))</f>
        <v>0</v>
      </c>
      <c r="E160" s="2" t="str">
        <f>IFERROR(INDEX('Blackout Brand Fam Areas (Enc)'!$D$6:$D$998,MATCH(UPPER(A160)&amp;"|"&amp;UPPER(B160),'Blackout Brand Fam Areas (Enc)'!$G$6:$G$998,0)),"No Match")</f>
        <v>Inactive</v>
      </c>
      <c r="F160" s="2" t="str">
        <f t="shared" si="4"/>
        <v>THEM</v>
      </c>
      <c r="G160" s="2" t="str">
        <f t="shared" si="5"/>
        <v>Corona Light|MORRIS 2</v>
      </c>
    </row>
    <row r="161" spans="1:7" x14ac:dyDescent="0.2">
      <c r="A161" s="2" t="str" cm="1">
        <f t="array" ref="A161">INDEX('[1]Brand Family Territory (Enc)'!$A$2:$A$296,INT((ROW()-2)/10)+1)</f>
        <v>Corona Light</v>
      </c>
      <c r="B161" s="2" t="str" cm="1">
        <f t="array" ref="B161">INDEX('Whitelist (Blackout Reverse)'!$B$1:$K$1,MOD(ROW()-2,10)+1)</f>
        <v>MORRIS 3</v>
      </c>
      <c r="C161" s="2" t="str">
        <f>VLOOKUP(A161,'[1]Brand Family Territory (Enc)'!$A$2:$B$296,2,FALSE)</f>
        <v>Core Market</v>
      </c>
      <c r="D161" s="2">
        <f>IF(COUNTIFS('[1]Brand Family Territories (Enc)'!$B$2:$B$62,C161,'[1]Brand Family Territories (Enc)'!$C$2:$C$62,B161)&gt;0,1,IF(AND(LEFT(B161,6)="MORRIS",COUNTIFS('[1]Brand Family Territories (Enc)'!$B$2:$B$62,C161,'[1]Brand Family Territories (Enc)'!$C$2:$C$62,"Morri")&gt;0),"Unk",0))</f>
        <v>1</v>
      </c>
      <c r="E161" s="2" t="str">
        <f>IFERROR(INDEX('Blackout Brand Fam Areas (Enc)'!$D$6:$D$998,MATCH(UPPER(A161)&amp;"|"&amp;UPPER(B161),'Blackout Brand Fam Areas (Enc)'!$G$6:$G$998,0)),"No Match")</f>
        <v>No Match</v>
      </c>
      <c r="F161" s="2" t="str">
        <f t="shared" si="4"/>
        <v>US</v>
      </c>
      <c r="G161" s="2" t="str">
        <f t="shared" si="5"/>
        <v>Corona Light|MORRIS 3</v>
      </c>
    </row>
    <row r="162" spans="1:7" x14ac:dyDescent="0.2">
      <c r="A162" s="2" t="str" cm="1">
        <f t="array" ref="A162">INDEX('[1]Brand Family Territory (Enc)'!$A$2:$A$296,INT((ROW()-2)/10)+1)</f>
        <v>Corona NA</v>
      </c>
      <c r="B162" s="2" t="str" cm="1">
        <f t="array" ref="B162">INDEX('Whitelist (Blackout Reverse)'!$B$1:$K$1,MOD(ROW()-2,10)+1)</f>
        <v>BERGEN</v>
      </c>
      <c r="C162" s="2" t="str">
        <f>VLOOKUP(A162,'[1]Brand Family Territory (Enc)'!$A$2:$B$296,2,FALSE)</f>
        <v>Core Market</v>
      </c>
      <c r="D162" s="2">
        <f>IF(COUNTIFS('[1]Brand Family Territories (Enc)'!$B$2:$B$62,C162,'[1]Brand Family Territories (Enc)'!$C$2:$C$62,B162)&gt;0,1,IF(AND(LEFT(B162,6)="MORRIS",COUNTIFS('[1]Brand Family Territories (Enc)'!$B$2:$B$62,C162,'[1]Brand Family Territories (Enc)'!$C$2:$C$62,"Morri")&gt;0),"Unk",0))</f>
        <v>1</v>
      </c>
      <c r="E162" s="2" t="str">
        <f>IFERROR(INDEX('Blackout Brand Fam Areas (Enc)'!$D$6:$D$998,MATCH(UPPER(A162)&amp;"|"&amp;UPPER(B162),'Blackout Brand Fam Areas (Enc)'!$G$6:$G$998,0)),"No Match")</f>
        <v>No Match</v>
      </c>
      <c r="F162" s="2" t="str">
        <f t="shared" si="4"/>
        <v>US</v>
      </c>
      <c r="G162" s="2" t="str">
        <f t="shared" si="5"/>
        <v>Corona NA|BERGEN</v>
      </c>
    </row>
    <row r="163" spans="1:7" x14ac:dyDescent="0.2">
      <c r="A163" s="2" t="str" cm="1">
        <f t="array" ref="A163">INDEX('[1]Brand Family Territory (Enc)'!$A$2:$A$296,INT((ROW()-2)/10)+1)</f>
        <v>Corona NA</v>
      </c>
      <c r="B163" s="2" t="str" cm="1">
        <f t="array" ref="B163">INDEX('Whitelist (Blackout Reverse)'!$B$1:$K$1,MOD(ROW()-2,10)+1)</f>
        <v>PASSAIC</v>
      </c>
      <c r="C163" s="2" t="str">
        <f>VLOOKUP(A163,'[1]Brand Family Territory (Enc)'!$A$2:$B$296,2,FALSE)</f>
        <v>Core Market</v>
      </c>
      <c r="D163" s="2">
        <f>IF(COUNTIFS('[1]Brand Family Territories (Enc)'!$B$2:$B$62,C163,'[1]Brand Family Territories (Enc)'!$C$2:$C$62,B163)&gt;0,1,IF(AND(LEFT(B163,6)="MORRIS",COUNTIFS('[1]Brand Family Territories (Enc)'!$B$2:$B$62,C163,'[1]Brand Family Territories (Enc)'!$C$2:$C$62,"Morri")&gt;0),"Unk",0))</f>
        <v>1</v>
      </c>
      <c r="E163" s="2" t="str">
        <f>IFERROR(INDEX('Blackout Brand Fam Areas (Enc)'!$D$6:$D$998,MATCH(UPPER(A163)&amp;"|"&amp;UPPER(B163),'Blackout Brand Fam Areas (Enc)'!$G$6:$G$998,0)),"No Match")</f>
        <v>No Match</v>
      </c>
      <c r="F163" s="2" t="str">
        <f t="shared" si="4"/>
        <v>US</v>
      </c>
      <c r="G163" s="2" t="str">
        <f t="shared" si="5"/>
        <v>Corona NA|PASSAIC</v>
      </c>
    </row>
    <row r="164" spans="1:7" x14ac:dyDescent="0.2">
      <c r="A164" s="2" t="str" cm="1">
        <f t="array" ref="A164">INDEX('[1]Brand Family Territory (Enc)'!$A$2:$A$296,INT((ROW()-2)/10)+1)</f>
        <v>Corona NA</v>
      </c>
      <c r="B164" s="2" t="str" cm="1">
        <f t="array" ref="B164">INDEX('Whitelist (Blackout Reverse)'!$B$1:$K$1,MOD(ROW()-2,10)+1)</f>
        <v>PASSAIC-FF</v>
      </c>
      <c r="C164" s="2" t="str">
        <f>VLOOKUP(A164,'[1]Brand Family Territory (Enc)'!$A$2:$B$296,2,FALSE)</f>
        <v>Core Market</v>
      </c>
      <c r="D164" s="2">
        <f>IF(COUNTIFS('[1]Brand Family Territories (Enc)'!$B$2:$B$62,C164,'[1]Brand Family Territories (Enc)'!$C$2:$C$62,B164)&gt;0,1,IF(AND(LEFT(B164,6)="MORRIS",COUNTIFS('[1]Brand Family Territories (Enc)'!$B$2:$B$62,C164,'[1]Brand Family Territories (Enc)'!$C$2:$C$62,"Morri")&gt;0),"Unk",0))</f>
        <v>1</v>
      </c>
      <c r="E164" s="2" t="str">
        <f>IFERROR(INDEX('Blackout Brand Fam Areas (Enc)'!$D$6:$D$998,MATCH(UPPER(A164)&amp;"|"&amp;UPPER(B164),'Blackout Brand Fam Areas (Enc)'!$G$6:$G$998,0)),"No Match")</f>
        <v>No Match</v>
      </c>
      <c r="F164" s="2" t="str">
        <f t="shared" si="4"/>
        <v>US</v>
      </c>
      <c r="G164" s="2" t="str">
        <f t="shared" si="5"/>
        <v>Corona NA|PASSAIC-FF</v>
      </c>
    </row>
    <row r="165" spans="1:7" x14ac:dyDescent="0.2">
      <c r="A165" s="2" t="str" cm="1">
        <f t="array" ref="A165">INDEX('[1]Brand Family Territory (Enc)'!$A$2:$A$296,INT((ROW()-2)/10)+1)</f>
        <v>Corona NA</v>
      </c>
      <c r="B165" s="2" t="str" cm="1">
        <f t="array" ref="B165">INDEX('Whitelist (Blackout Reverse)'!$B$1:$K$1,MOD(ROW()-2,10)+1)</f>
        <v>ESSEX</v>
      </c>
      <c r="C165" s="2" t="str">
        <f>VLOOKUP(A165,'[1]Brand Family Territory (Enc)'!$A$2:$B$296,2,FALSE)</f>
        <v>Core Market</v>
      </c>
      <c r="D165" s="2">
        <f>IF(COUNTIFS('[1]Brand Family Territories (Enc)'!$B$2:$B$62,C165,'[1]Brand Family Territories (Enc)'!$C$2:$C$62,B165)&gt;0,1,IF(AND(LEFT(B165,6)="MORRIS",COUNTIFS('[1]Brand Family Territories (Enc)'!$B$2:$B$62,C165,'[1]Brand Family Territories (Enc)'!$C$2:$C$62,"Morri")&gt;0),"Unk",0))</f>
        <v>0</v>
      </c>
      <c r="E165" s="2" t="str">
        <f>IFERROR(INDEX('Blackout Brand Fam Areas (Enc)'!$D$6:$D$998,MATCH(UPPER(A165)&amp;"|"&amp;UPPER(B165),'Blackout Brand Fam Areas (Enc)'!$G$6:$G$998,0)),"No Match")</f>
        <v>Inactive</v>
      </c>
      <c r="F165" s="2" t="str">
        <f t="shared" si="4"/>
        <v>THEM</v>
      </c>
      <c r="G165" s="2" t="str">
        <f t="shared" si="5"/>
        <v>Corona NA|ESSEX</v>
      </c>
    </row>
    <row r="166" spans="1:7" x14ac:dyDescent="0.2">
      <c r="A166" s="2" t="str" cm="1">
        <f t="array" ref="A166">INDEX('[1]Brand Family Territory (Enc)'!$A$2:$A$296,INT((ROW()-2)/10)+1)</f>
        <v>Corona NA</v>
      </c>
      <c r="B166" s="2" t="str" cm="1">
        <f t="array" ref="B166">INDEX('Whitelist (Blackout Reverse)'!$B$1:$K$1,MOD(ROW()-2,10)+1)</f>
        <v>HUDSON</v>
      </c>
      <c r="C166" s="2" t="str">
        <f>VLOOKUP(A166,'[1]Brand Family Territory (Enc)'!$A$2:$B$296,2,FALSE)</f>
        <v>Core Market</v>
      </c>
      <c r="D166" s="2">
        <f>IF(COUNTIFS('[1]Brand Family Territories (Enc)'!$B$2:$B$62,C166,'[1]Brand Family Territories (Enc)'!$C$2:$C$62,B166)&gt;0,1,IF(AND(LEFT(B166,6)="MORRIS",COUNTIFS('[1]Brand Family Territories (Enc)'!$B$2:$B$62,C166,'[1]Brand Family Territories (Enc)'!$C$2:$C$62,"Morri")&gt;0),"Unk",0))</f>
        <v>0</v>
      </c>
      <c r="E166" s="2" t="str">
        <f>IFERROR(INDEX('Blackout Brand Fam Areas (Enc)'!$D$6:$D$998,MATCH(UPPER(A166)&amp;"|"&amp;UPPER(B166),'Blackout Brand Fam Areas (Enc)'!$G$6:$G$998,0)),"No Match")</f>
        <v>Inactive</v>
      </c>
      <c r="F166" s="2" t="str">
        <f t="shared" si="4"/>
        <v>THEM</v>
      </c>
      <c r="G166" s="2" t="str">
        <f t="shared" si="5"/>
        <v>Corona NA|HUDSON</v>
      </c>
    </row>
    <row r="167" spans="1:7" x14ac:dyDescent="0.2">
      <c r="A167" s="2" t="str" cm="1">
        <f t="array" ref="A167">INDEX('[1]Brand Family Territory (Enc)'!$A$2:$A$296,INT((ROW()-2)/10)+1)</f>
        <v>Corona NA</v>
      </c>
      <c r="B167" s="2" t="str" cm="1">
        <f t="array" ref="B167">INDEX('Whitelist (Blackout Reverse)'!$B$1:$K$1,MOD(ROW()-2,10)+1)</f>
        <v>UNION</v>
      </c>
      <c r="C167" s="2" t="str">
        <f>VLOOKUP(A167,'[1]Brand Family Territory (Enc)'!$A$2:$B$296,2,FALSE)</f>
        <v>Core Market</v>
      </c>
      <c r="D167" s="2">
        <f>IF(COUNTIFS('[1]Brand Family Territories (Enc)'!$B$2:$B$62,C167,'[1]Brand Family Territories (Enc)'!$C$2:$C$62,B167)&gt;0,1,IF(AND(LEFT(B167,6)="MORRIS",COUNTIFS('[1]Brand Family Territories (Enc)'!$B$2:$B$62,C167,'[1]Brand Family Territories (Enc)'!$C$2:$C$62,"Morri")&gt;0),"Unk",0))</f>
        <v>0</v>
      </c>
      <c r="E167" s="2" t="str">
        <f>IFERROR(INDEX('Blackout Brand Fam Areas (Enc)'!$D$6:$D$998,MATCH(UPPER(A167)&amp;"|"&amp;UPPER(B167),'Blackout Brand Fam Areas (Enc)'!$G$6:$G$998,0)),"No Match")</f>
        <v>Inactive</v>
      </c>
      <c r="F167" s="2" t="str">
        <f t="shared" si="4"/>
        <v>THEM</v>
      </c>
      <c r="G167" s="2" t="str">
        <f t="shared" si="5"/>
        <v>Corona NA|UNION</v>
      </c>
    </row>
    <row r="168" spans="1:7" x14ac:dyDescent="0.2">
      <c r="A168" s="2" t="str" cm="1">
        <f t="array" ref="A168">INDEX('[1]Brand Family Territory (Enc)'!$A$2:$A$296,INT((ROW()-2)/10)+1)</f>
        <v>Corona NA</v>
      </c>
      <c r="B168" s="2" t="str" cm="1">
        <f t="array" ref="B168">INDEX('Whitelist (Blackout Reverse)'!$B$1:$K$1,MOD(ROW()-2,10)+1)</f>
        <v>SUSSEX</v>
      </c>
      <c r="C168" s="2" t="str">
        <f>VLOOKUP(A168,'[1]Brand Family Territory (Enc)'!$A$2:$B$296,2,FALSE)</f>
        <v>Core Market</v>
      </c>
      <c r="D168" s="2">
        <f>IF(COUNTIFS('[1]Brand Family Territories (Enc)'!$B$2:$B$62,C168,'[1]Brand Family Territories (Enc)'!$C$2:$C$62,B168)&gt;0,1,IF(AND(LEFT(B168,6)="MORRIS",COUNTIFS('[1]Brand Family Territories (Enc)'!$B$2:$B$62,C168,'[1]Brand Family Territories (Enc)'!$C$2:$C$62,"Morri")&gt;0),"Unk",0))</f>
        <v>1</v>
      </c>
      <c r="E168" s="2" t="str">
        <f>IFERROR(INDEX('Blackout Brand Fam Areas (Enc)'!$D$6:$D$998,MATCH(UPPER(A168)&amp;"|"&amp;UPPER(B168),'Blackout Brand Fam Areas (Enc)'!$G$6:$G$998,0)),"No Match")</f>
        <v>No Match</v>
      </c>
      <c r="F168" s="2" t="str">
        <f t="shared" si="4"/>
        <v>US</v>
      </c>
      <c r="G168" s="2" t="str">
        <f t="shared" si="5"/>
        <v>Corona NA|SUSSEX</v>
      </c>
    </row>
    <row r="169" spans="1:7" x14ac:dyDescent="0.2">
      <c r="A169" s="2" t="str" cm="1">
        <f t="array" ref="A169">INDEX('[1]Brand Family Territory (Enc)'!$A$2:$A$296,INT((ROW()-2)/10)+1)</f>
        <v>Corona NA</v>
      </c>
      <c r="B169" s="2" t="str" cm="1">
        <f t="array" ref="B169">INDEX('Whitelist (Blackout Reverse)'!$B$1:$K$1,MOD(ROW()-2,10)+1)</f>
        <v>MORRIS 1</v>
      </c>
      <c r="C169" s="2" t="str">
        <f>VLOOKUP(A169,'[1]Brand Family Territory (Enc)'!$A$2:$B$296,2,FALSE)</f>
        <v>Core Market</v>
      </c>
      <c r="D169" s="2">
        <f>IF(COUNTIFS('[1]Brand Family Territories (Enc)'!$B$2:$B$62,C169,'[1]Brand Family Territories (Enc)'!$C$2:$C$62,B169)&gt;0,1,IF(AND(LEFT(B169,6)="MORRIS",COUNTIFS('[1]Brand Family Territories (Enc)'!$B$2:$B$62,C169,'[1]Brand Family Territories (Enc)'!$C$2:$C$62,"Morri")&gt;0),"Unk",0))</f>
        <v>1</v>
      </c>
      <c r="E169" s="2" t="str">
        <f>IFERROR(INDEX('Blackout Brand Fam Areas (Enc)'!$D$6:$D$998,MATCH(UPPER(A169)&amp;"|"&amp;UPPER(B169),'Blackout Brand Fam Areas (Enc)'!$G$6:$G$998,0)),"No Match")</f>
        <v>No Match</v>
      </c>
      <c r="F169" s="2" t="str">
        <f t="shared" si="4"/>
        <v>US</v>
      </c>
      <c r="G169" s="2" t="str">
        <f t="shared" si="5"/>
        <v>Corona NA|MORRIS 1</v>
      </c>
    </row>
    <row r="170" spans="1:7" x14ac:dyDescent="0.2">
      <c r="A170" s="2" t="str" cm="1">
        <f t="array" ref="A170">INDEX('[1]Brand Family Territory (Enc)'!$A$2:$A$296,INT((ROW()-2)/10)+1)</f>
        <v>Corona NA</v>
      </c>
      <c r="B170" s="2" t="str" cm="1">
        <f t="array" ref="B170">INDEX('Whitelist (Blackout Reverse)'!$B$1:$K$1,MOD(ROW()-2,10)+1)</f>
        <v>MORRIS 2</v>
      </c>
      <c r="C170" s="2" t="str">
        <f>VLOOKUP(A170,'[1]Brand Family Territory (Enc)'!$A$2:$B$296,2,FALSE)</f>
        <v>Core Market</v>
      </c>
      <c r="D170" s="2">
        <f>IF(COUNTIFS('[1]Brand Family Territories (Enc)'!$B$2:$B$62,C170,'[1]Brand Family Territories (Enc)'!$C$2:$C$62,B170)&gt;0,1,IF(AND(LEFT(B170,6)="MORRIS",COUNTIFS('[1]Brand Family Territories (Enc)'!$B$2:$B$62,C170,'[1]Brand Family Territories (Enc)'!$C$2:$C$62,"Morri")&gt;0),"Unk",0))</f>
        <v>0</v>
      </c>
      <c r="E170" s="2" t="str">
        <f>IFERROR(INDEX('Blackout Brand Fam Areas (Enc)'!$D$6:$D$998,MATCH(UPPER(A170)&amp;"|"&amp;UPPER(B170),'Blackout Brand Fam Areas (Enc)'!$G$6:$G$998,0)),"No Match")</f>
        <v>Inactive</v>
      </c>
      <c r="F170" s="2" t="str">
        <f t="shared" si="4"/>
        <v>THEM</v>
      </c>
      <c r="G170" s="2" t="str">
        <f t="shared" si="5"/>
        <v>Corona NA|MORRIS 2</v>
      </c>
    </row>
    <row r="171" spans="1:7" x14ac:dyDescent="0.2">
      <c r="A171" s="2" t="str" cm="1">
        <f t="array" ref="A171">INDEX('[1]Brand Family Territory (Enc)'!$A$2:$A$296,INT((ROW()-2)/10)+1)</f>
        <v>Corona NA</v>
      </c>
      <c r="B171" s="2" t="str" cm="1">
        <f t="array" ref="B171">INDEX('Whitelist (Blackout Reverse)'!$B$1:$K$1,MOD(ROW()-2,10)+1)</f>
        <v>MORRIS 3</v>
      </c>
      <c r="C171" s="2" t="str">
        <f>VLOOKUP(A171,'[1]Brand Family Territory (Enc)'!$A$2:$B$296,2,FALSE)</f>
        <v>Core Market</v>
      </c>
      <c r="D171" s="2">
        <f>IF(COUNTIFS('[1]Brand Family Territories (Enc)'!$B$2:$B$62,C171,'[1]Brand Family Territories (Enc)'!$C$2:$C$62,B171)&gt;0,1,IF(AND(LEFT(B171,6)="MORRIS",COUNTIFS('[1]Brand Family Territories (Enc)'!$B$2:$B$62,C171,'[1]Brand Family Territories (Enc)'!$C$2:$C$62,"Morri")&gt;0),"Unk",0))</f>
        <v>1</v>
      </c>
      <c r="E171" s="2" t="str">
        <f>IFERROR(INDEX('Blackout Brand Fam Areas (Enc)'!$D$6:$D$998,MATCH(UPPER(A171)&amp;"|"&amp;UPPER(B171),'Blackout Brand Fam Areas (Enc)'!$G$6:$G$998,0)),"No Match")</f>
        <v>No Match</v>
      </c>
      <c r="F171" s="2" t="str">
        <f t="shared" si="4"/>
        <v>US</v>
      </c>
      <c r="G171" s="2" t="str">
        <f t="shared" si="5"/>
        <v>Corona NA|MORRIS 3</v>
      </c>
    </row>
    <row r="172" spans="1:7" x14ac:dyDescent="0.2">
      <c r="A172" s="2" t="str" cm="1">
        <f t="array" ref="A172">INDEX('[1]Brand Family Territory (Enc)'!$A$2:$A$296,INT((ROW()-2)/10)+1)</f>
        <v>Corona Premier</v>
      </c>
      <c r="B172" s="2" t="str" cm="1">
        <f t="array" ref="B172">INDEX('Whitelist (Blackout Reverse)'!$B$1:$K$1,MOD(ROW()-2,10)+1)</f>
        <v>BERGEN</v>
      </c>
      <c r="C172" s="2" t="str">
        <f>VLOOKUP(A172,'[1]Brand Family Territory (Enc)'!$A$2:$B$296,2,FALSE)</f>
        <v>Core Market</v>
      </c>
      <c r="D172" s="2">
        <f>IF(COUNTIFS('[1]Brand Family Territories (Enc)'!$B$2:$B$62,C172,'[1]Brand Family Territories (Enc)'!$C$2:$C$62,B172)&gt;0,1,IF(AND(LEFT(B172,6)="MORRIS",COUNTIFS('[1]Brand Family Territories (Enc)'!$B$2:$B$62,C172,'[1]Brand Family Territories (Enc)'!$C$2:$C$62,"Morri")&gt;0),"Unk",0))</f>
        <v>1</v>
      </c>
      <c r="E172" s="2" t="str">
        <f>IFERROR(INDEX('Blackout Brand Fam Areas (Enc)'!$D$6:$D$998,MATCH(UPPER(A172)&amp;"|"&amp;UPPER(B172),'Blackout Brand Fam Areas (Enc)'!$G$6:$G$998,0)),"No Match")</f>
        <v>No Match</v>
      </c>
      <c r="F172" s="2" t="str">
        <f t="shared" si="4"/>
        <v>US</v>
      </c>
      <c r="G172" s="2" t="str">
        <f t="shared" si="5"/>
        <v>Corona Premier|BERGEN</v>
      </c>
    </row>
    <row r="173" spans="1:7" x14ac:dyDescent="0.2">
      <c r="A173" s="2" t="str" cm="1">
        <f t="array" ref="A173">INDEX('[1]Brand Family Territory (Enc)'!$A$2:$A$296,INT((ROW()-2)/10)+1)</f>
        <v>Corona Premier</v>
      </c>
      <c r="B173" s="2" t="str" cm="1">
        <f t="array" ref="B173">INDEX('Whitelist (Blackout Reverse)'!$B$1:$K$1,MOD(ROW()-2,10)+1)</f>
        <v>PASSAIC</v>
      </c>
      <c r="C173" s="2" t="str">
        <f>VLOOKUP(A173,'[1]Brand Family Territory (Enc)'!$A$2:$B$296,2,FALSE)</f>
        <v>Core Market</v>
      </c>
      <c r="D173" s="2">
        <f>IF(COUNTIFS('[1]Brand Family Territories (Enc)'!$B$2:$B$62,C173,'[1]Brand Family Territories (Enc)'!$C$2:$C$62,B173)&gt;0,1,IF(AND(LEFT(B173,6)="MORRIS",COUNTIFS('[1]Brand Family Territories (Enc)'!$B$2:$B$62,C173,'[1]Brand Family Territories (Enc)'!$C$2:$C$62,"Morri")&gt;0),"Unk",0))</f>
        <v>1</v>
      </c>
      <c r="E173" s="2" t="str">
        <f>IFERROR(INDEX('Blackout Brand Fam Areas (Enc)'!$D$6:$D$998,MATCH(UPPER(A173)&amp;"|"&amp;UPPER(B173),'Blackout Brand Fam Areas (Enc)'!$G$6:$G$998,0)),"No Match")</f>
        <v>No Match</v>
      </c>
      <c r="F173" s="2" t="str">
        <f t="shared" si="4"/>
        <v>US</v>
      </c>
      <c r="G173" s="2" t="str">
        <f t="shared" si="5"/>
        <v>Corona Premier|PASSAIC</v>
      </c>
    </row>
    <row r="174" spans="1:7" x14ac:dyDescent="0.2">
      <c r="A174" s="2" t="str" cm="1">
        <f t="array" ref="A174">INDEX('[1]Brand Family Territory (Enc)'!$A$2:$A$296,INT((ROW()-2)/10)+1)</f>
        <v>Corona Premier</v>
      </c>
      <c r="B174" s="2" t="str" cm="1">
        <f t="array" ref="B174">INDEX('Whitelist (Blackout Reverse)'!$B$1:$K$1,MOD(ROW()-2,10)+1)</f>
        <v>PASSAIC-FF</v>
      </c>
      <c r="C174" s="2" t="str">
        <f>VLOOKUP(A174,'[1]Brand Family Territory (Enc)'!$A$2:$B$296,2,FALSE)</f>
        <v>Core Market</v>
      </c>
      <c r="D174" s="2">
        <f>IF(COUNTIFS('[1]Brand Family Territories (Enc)'!$B$2:$B$62,C174,'[1]Brand Family Territories (Enc)'!$C$2:$C$62,B174)&gt;0,1,IF(AND(LEFT(B174,6)="MORRIS",COUNTIFS('[1]Brand Family Territories (Enc)'!$B$2:$B$62,C174,'[1]Brand Family Territories (Enc)'!$C$2:$C$62,"Morri")&gt;0),"Unk",0))</f>
        <v>1</v>
      </c>
      <c r="E174" s="2" t="str">
        <f>IFERROR(INDEX('Blackout Brand Fam Areas (Enc)'!$D$6:$D$998,MATCH(UPPER(A174)&amp;"|"&amp;UPPER(B174),'Blackout Brand Fam Areas (Enc)'!$G$6:$G$998,0)),"No Match")</f>
        <v>No Match</v>
      </c>
      <c r="F174" s="2" t="str">
        <f t="shared" si="4"/>
        <v>US</v>
      </c>
      <c r="G174" s="2" t="str">
        <f t="shared" si="5"/>
        <v>Corona Premier|PASSAIC-FF</v>
      </c>
    </row>
    <row r="175" spans="1:7" x14ac:dyDescent="0.2">
      <c r="A175" s="2" t="str" cm="1">
        <f t="array" ref="A175">INDEX('[1]Brand Family Territory (Enc)'!$A$2:$A$296,INT((ROW()-2)/10)+1)</f>
        <v>Corona Premier</v>
      </c>
      <c r="B175" s="2" t="str" cm="1">
        <f t="array" ref="B175">INDEX('Whitelist (Blackout Reverse)'!$B$1:$K$1,MOD(ROW()-2,10)+1)</f>
        <v>ESSEX</v>
      </c>
      <c r="C175" s="2" t="str">
        <f>VLOOKUP(A175,'[1]Brand Family Territory (Enc)'!$A$2:$B$296,2,FALSE)</f>
        <v>Core Market</v>
      </c>
      <c r="D175" s="2">
        <f>IF(COUNTIFS('[1]Brand Family Territories (Enc)'!$B$2:$B$62,C175,'[1]Brand Family Territories (Enc)'!$C$2:$C$62,B175)&gt;0,1,IF(AND(LEFT(B175,6)="MORRIS",COUNTIFS('[1]Brand Family Territories (Enc)'!$B$2:$B$62,C175,'[1]Brand Family Territories (Enc)'!$C$2:$C$62,"Morri")&gt;0),"Unk",0))</f>
        <v>0</v>
      </c>
      <c r="E175" s="2" t="str">
        <f>IFERROR(INDEX('Blackout Brand Fam Areas (Enc)'!$D$6:$D$998,MATCH(UPPER(A175)&amp;"|"&amp;UPPER(B175),'Blackout Brand Fam Areas (Enc)'!$G$6:$G$998,0)),"No Match")</f>
        <v>Inactive</v>
      </c>
      <c r="F175" s="2" t="str">
        <f t="shared" si="4"/>
        <v>THEM</v>
      </c>
      <c r="G175" s="2" t="str">
        <f t="shared" si="5"/>
        <v>Corona Premier|ESSEX</v>
      </c>
    </row>
    <row r="176" spans="1:7" x14ac:dyDescent="0.2">
      <c r="A176" s="2" t="str" cm="1">
        <f t="array" ref="A176">INDEX('[1]Brand Family Territory (Enc)'!$A$2:$A$296,INT((ROW()-2)/10)+1)</f>
        <v>Corona Premier</v>
      </c>
      <c r="B176" s="2" t="str" cm="1">
        <f t="array" ref="B176">INDEX('Whitelist (Blackout Reverse)'!$B$1:$K$1,MOD(ROW()-2,10)+1)</f>
        <v>HUDSON</v>
      </c>
      <c r="C176" s="2" t="str">
        <f>VLOOKUP(A176,'[1]Brand Family Territory (Enc)'!$A$2:$B$296,2,FALSE)</f>
        <v>Core Market</v>
      </c>
      <c r="D176" s="2">
        <f>IF(COUNTIFS('[1]Brand Family Territories (Enc)'!$B$2:$B$62,C176,'[1]Brand Family Territories (Enc)'!$C$2:$C$62,B176)&gt;0,1,IF(AND(LEFT(B176,6)="MORRIS",COUNTIFS('[1]Brand Family Territories (Enc)'!$B$2:$B$62,C176,'[1]Brand Family Territories (Enc)'!$C$2:$C$62,"Morri")&gt;0),"Unk",0))</f>
        <v>0</v>
      </c>
      <c r="E176" s="2" t="str">
        <f>IFERROR(INDEX('Blackout Brand Fam Areas (Enc)'!$D$6:$D$998,MATCH(UPPER(A176)&amp;"|"&amp;UPPER(B176),'Blackout Brand Fam Areas (Enc)'!$G$6:$G$998,0)),"No Match")</f>
        <v>Inactive</v>
      </c>
      <c r="F176" s="2" t="str">
        <f t="shared" si="4"/>
        <v>THEM</v>
      </c>
      <c r="G176" s="2" t="str">
        <f t="shared" si="5"/>
        <v>Corona Premier|HUDSON</v>
      </c>
    </row>
    <row r="177" spans="1:7" x14ac:dyDescent="0.2">
      <c r="A177" s="2" t="str" cm="1">
        <f t="array" ref="A177">INDEX('[1]Brand Family Territory (Enc)'!$A$2:$A$296,INT((ROW()-2)/10)+1)</f>
        <v>Corona Premier</v>
      </c>
      <c r="B177" s="2" t="str" cm="1">
        <f t="array" ref="B177">INDEX('Whitelist (Blackout Reverse)'!$B$1:$K$1,MOD(ROW()-2,10)+1)</f>
        <v>UNION</v>
      </c>
      <c r="C177" s="2" t="str">
        <f>VLOOKUP(A177,'[1]Brand Family Territory (Enc)'!$A$2:$B$296,2,FALSE)</f>
        <v>Core Market</v>
      </c>
      <c r="D177" s="2">
        <f>IF(COUNTIFS('[1]Brand Family Territories (Enc)'!$B$2:$B$62,C177,'[1]Brand Family Territories (Enc)'!$C$2:$C$62,B177)&gt;0,1,IF(AND(LEFT(B177,6)="MORRIS",COUNTIFS('[1]Brand Family Territories (Enc)'!$B$2:$B$62,C177,'[1]Brand Family Territories (Enc)'!$C$2:$C$62,"Morri")&gt;0),"Unk",0))</f>
        <v>0</v>
      </c>
      <c r="E177" s="2" t="str">
        <f>IFERROR(INDEX('Blackout Brand Fam Areas (Enc)'!$D$6:$D$998,MATCH(UPPER(A177)&amp;"|"&amp;UPPER(B177),'Blackout Brand Fam Areas (Enc)'!$G$6:$G$998,0)),"No Match")</f>
        <v>Inactive</v>
      </c>
      <c r="F177" s="2" t="str">
        <f t="shared" si="4"/>
        <v>THEM</v>
      </c>
      <c r="G177" s="2" t="str">
        <f t="shared" si="5"/>
        <v>Corona Premier|UNION</v>
      </c>
    </row>
    <row r="178" spans="1:7" x14ac:dyDescent="0.2">
      <c r="A178" s="2" t="str" cm="1">
        <f t="array" ref="A178">INDEX('[1]Brand Family Territory (Enc)'!$A$2:$A$296,INT((ROW()-2)/10)+1)</f>
        <v>Corona Premier</v>
      </c>
      <c r="B178" s="2" t="str" cm="1">
        <f t="array" ref="B178">INDEX('Whitelist (Blackout Reverse)'!$B$1:$K$1,MOD(ROW()-2,10)+1)</f>
        <v>SUSSEX</v>
      </c>
      <c r="C178" s="2" t="str">
        <f>VLOOKUP(A178,'[1]Brand Family Territory (Enc)'!$A$2:$B$296,2,FALSE)</f>
        <v>Core Market</v>
      </c>
      <c r="D178" s="2">
        <f>IF(COUNTIFS('[1]Brand Family Territories (Enc)'!$B$2:$B$62,C178,'[1]Brand Family Territories (Enc)'!$C$2:$C$62,B178)&gt;0,1,IF(AND(LEFT(B178,6)="MORRIS",COUNTIFS('[1]Brand Family Territories (Enc)'!$B$2:$B$62,C178,'[1]Brand Family Territories (Enc)'!$C$2:$C$62,"Morri")&gt;0),"Unk",0))</f>
        <v>1</v>
      </c>
      <c r="E178" s="2" t="str">
        <f>IFERROR(INDEX('Blackout Brand Fam Areas (Enc)'!$D$6:$D$998,MATCH(UPPER(A178)&amp;"|"&amp;UPPER(B178),'Blackout Brand Fam Areas (Enc)'!$G$6:$G$998,0)),"No Match")</f>
        <v>No Match</v>
      </c>
      <c r="F178" s="2" t="str">
        <f t="shared" si="4"/>
        <v>US</v>
      </c>
      <c r="G178" s="2" t="str">
        <f t="shared" si="5"/>
        <v>Corona Premier|SUSSEX</v>
      </c>
    </row>
    <row r="179" spans="1:7" x14ac:dyDescent="0.2">
      <c r="A179" s="2" t="str" cm="1">
        <f t="array" ref="A179">INDEX('[1]Brand Family Territory (Enc)'!$A$2:$A$296,INT((ROW()-2)/10)+1)</f>
        <v>Corona Premier</v>
      </c>
      <c r="B179" s="2" t="str" cm="1">
        <f t="array" ref="B179">INDEX('Whitelist (Blackout Reverse)'!$B$1:$K$1,MOD(ROW()-2,10)+1)</f>
        <v>MORRIS 1</v>
      </c>
      <c r="C179" s="2" t="str">
        <f>VLOOKUP(A179,'[1]Brand Family Territory (Enc)'!$A$2:$B$296,2,FALSE)</f>
        <v>Core Market</v>
      </c>
      <c r="D179" s="2">
        <f>IF(COUNTIFS('[1]Brand Family Territories (Enc)'!$B$2:$B$62,C179,'[1]Brand Family Territories (Enc)'!$C$2:$C$62,B179)&gt;0,1,IF(AND(LEFT(B179,6)="MORRIS",COUNTIFS('[1]Brand Family Territories (Enc)'!$B$2:$B$62,C179,'[1]Brand Family Territories (Enc)'!$C$2:$C$62,"Morri")&gt;0),"Unk",0))</f>
        <v>1</v>
      </c>
      <c r="E179" s="2" t="str">
        <f>IFERROR(INDEX('Blackout Brand Fam Areas (Enc)'!$D$6:$D$998,MATCH(UPPER(A179)&amp;"|"&amp;UPPER(B179),'Blackout Brand Fam Areas (Enc)'!$G$6:$G$998,0)),"No Match")</f>
        <v>No Match</v>
      </c>
      <c r="F179" s="2" t="str">
        <f t="shared" si="4"/>
        <v>US</v>
      </c>
      <c r="G179" s="2" t="str">
        <f t="shared" si="5"/>
        <v>Corona Premier|MORRIS 1</v>
      </c>
    </row>
    <row r="180" spans="1:7" x14ac:dyDescent="0.2">
      <c r="A180" s="2" t="str" cm="1">
        <f t="array" ref="A180">INDEX('[1]Brand Family Territory (Enc)'!$A$2:$A$296,INT((ROW()-2)/10)+1)</f>
        <v>Corona Premier</v>
      </c>
      <c r="B180" s="2" t="str" cm="1">
        <f t="array" ref="B180">INDEX('Whitelist (Blackout Reverse)'!$B$1:$K$1,MOD(ROW()-2,10)+1)</f>
        <v>MORRIS 2</v>
      </c>
      <c r="C180" s="2" t="str">
        <f>VLOOKUP(A180,'[1]Brand Family Territory (Enc)'!$A$2:$B$296,2,FALSE)</f>
        <v>Core Market</v>
      </c>
      <c r="D180" s="2">
        <f>IF(COUNTIFS('[1]Brand Family Territories (Enc)'!$B$2:$B$62,C180,'[1]Brand Family Territories (Enc)'!$C$2:$C$62,B180)&gt;0,1,IF(AND(LEFT(B180,6)="MORRIS",COUNTIFS('[1]Brand Family Territories (Enc)'!$B$2:$B$62,C180,'[1]Brand Family Territories (Enc)'!$C$2:$C$62,"Morri")&gt;0),"Unk",0))</f>
        <v>0</v>
      </c>
      <c r="E180" s="2" t="str">
        <f>IFERROR(INDEX('Blackout Brand Fam Areas (Enc)'!$D$6:$D$998,MATCH(UPPER(A180)&amp;"|"&amp;UPPER(B180),'Blackout Brand Fam Areas (Enc)'!$G$6:$G$998,0)),"No Match")</f>
        <v>Inactive</v>
      </c>
      <c r="F180" s="2" t="str">
        <f t="shared" si="4"/>
        <v>THEM</v>
      </c>
      <c r="G180" s="2" t="str">
        <f t="shared" si="5"/>
        <v>Corona Premier|MORRIS 2</v>
      </c>
    </row>
    <row r="181" spans="1:7" x14ac:dyDescent="0.2">
      <c r="A181" s="2" t="str" cm="1">
        <f t="array" ref="A181">INDEX('[1]Brand Family Territory (Enc)'!$A$2:$A$296,INT((ROW()-2)/10)+1)</f>
        <v>Corona Premier</v>
      </c>
      <c r="B181" s="2" t="str" cm="1">
        <f t="array" ref="B181">INDEX('Whitelist (Blackout Reverse)'!$B$1:$K$1,MOD(ROW()-2,10)+1)</f>
        <v>MORRIS 3</v>
      </c>
      <c r="C181" s="2" t="str">
        <f>VLOOKUP(A181,'[1]Brand Family Territory (Enc)'!$A$2:$B$296,2,FALSE)</f>
        <v>Core Market</v>
      </c>
      <c r="D181" s="2">
        <f>IF(COUNTIFS('[1]Brand Family Territories (Enc)'!$B$2:$B$62,C181,'[1]Brand Family Territories (Enc)'!$C$2:$C$62,B181)&gt;0,1,IF(AND(LEFT(B181,6)="MORRIS",COUNTIFS('[1]Brand Family Territories (Enc)'!$B$2:$B$62,C181,'[1]Brand Family Territories (Enc)'!$C$2:$C$62,"Morri")&gt;0),"Unk",0))</f>
        <v>1</v>
      </c>
      <c r="E181" s="2" t="str">
        <f>IFERROR(INDEX('Blackout Brand Fam Areas (Enc)'!$D$6:$D$998,MATCH(UPPER(A181)&amp;"|"&amp;UPPER(B181),'Blackout Brand Fam Areas (Enc)'!$G$6:$G$998,0)),"No Match")</f>
        <v>No Match</v>
      </c>
      <c r="F181" s="2" t="str">
        <f t="shared" si="4"/>
        <v>US</v>
      </c>
      <c r="G181" s="2" t="str">
        <f t="shared" si="5"/>
        <v>Corona Premier|MORRIS 3</v>
      </c>
    </row>
    <row r="182" spans="1:7" x14ac:dyDescent="0.2">
      <c r="A182" s="2" t="str" cm="1">
        <f t="array" ref="A182">INDEX('[1]Brand Family Territory (Enc)'!$A$2:$A$296,INT((ROW()-2)/10)+1)</f>
        <v>Corona Refresca</v>
      </c>
      <c r="B182" s="2" t="str" cm="1">
        <f t="array" ref="B182">INDEX('Whitelist (Blackout Reverse)'!$B$1:$K$1,MOD(ROW()-2,10)+1)</f>
        <v>BERGEN</v>
      </c>
      <c r="C182" s="2" t="str">
        <f>VLOOKUP(A182,'[1]Brand Family Territory (Enc)'!$A$2:$B$296,2,FALSE)</f>
        <v>Core Market</v>
      </c>
      <c r="D182" s="2">
        <f>IF(COUNTIFS('[1]Brand Family Territories (Enc)'!$B$2:$B$62,C182,'[1]Brand Family Territories (Enc)'!$C$2:$C$62,B182)&gt;0,1,IF(AND(LEFT(B182,6)="MORRIS",COUNTIFS('[1]Brand Family Territories (Enc)'!$B$2:$B$62,C182,'[1]Brand Family Territories (Enc)'!$C$2:$C$62,"Morri")&gt;0),"Unk",0))</f>
        <v>1</v>
      </c>
      <c r="E182" s="2" t="str">
        <f>IFERROR(INDEX('Blackout Brand Fam Areas (Enc)'!$D$6:$D$998,MATCH(UPPER(A182)&amp;"|"&amp;UPPER(B182),'Blackout Brand Fam Areas (Enc)'!$G$6:$G$998,0)),"No Match")</f>
        <v>No Match</v>
      </c>
      <c r="F182" s="2" t="str">
        <f t="shared" si="4"/>
        <v>US</v>
      </c>
      <c r="G182" s="2" t="str">
        <f t="shared" si="5"/>
        <v>Corona Refresca|BERGEN</v>
      </c>
    </row>
    <row r="183" spans="1:7" x14ac:dyDescent="0.2">
      <c r="A183" s="2" t="str" cm="1">
        <f t="array" ref="A183">INDEX('[1]Brand Family Territory (Enc)'!$A$2:$A$296,INT((ROW()-2)/10)+1)</f>
        <v>Corona Refresca</v>
      </c>
      <c r="B183" s="2" t="str" cm="1">
        <f t="array" ref="B183">INDEX('Whitelist (Blackout Reverse)'!$B$1:$K$1,MOD(ROW()-2,10)+1)</f>
        <v>PASSAIC</v>
      </c>
      <c r="C183" s="2" t="str">
        <f>VLOOKUP(A183,'[1]Brand Family Territory (Enc)'!$A$2:$B$296,2,FALSE)</f>
        <v>Core Market</v>
      </c>
      <c r="D183" s="2">
        <f>IF(COUNTIFS('[1]Brand Family Territories (Enc)'!$B$2:$B$62,C183,'[1]Brand Family Territories (Enc)'!$C$2:$C$62,B183)&gt;0,1,IF(AND(LEFT(B183,6)="MORRIS",COUNTIFS('[1]Brand Family Territories (Enc)'!$B$2:$B$62,C183,'[1]Brand Family Territories (Enc)'!$C$2:$C$62,"Morri")&gt;0),"Unk",0))</f>
        <v>1</v>
      </c>
      <c r="E183" s="2" t="str">
        <f>IFERROR(INDEX('Blackout Brand Fam Areas (Enc)'!$D$6:$D$998,MATCH(UPPER(A183)&amp;"|"&amp;UPPER(B183),'Blackout Brand Fam Areas (Enc)'!$G$6:$G$998,0)),"No Match")</f>
        <v>No Match</v>
      </c>
      <c r="F183" s="2" t="str">
        <f t="shared" si="4"/>
        <v>US</v>
      </c>
      <c r="G183" s="2" t="str">
        <f t="shared" si="5"/>
        <v>Corona Refresca|PASSAIC</v>
      </c>
    </row>
    <row r="184" spans="1:7" x14ac:dyDescent="0.2">
      <c r="A184" s="2" t="str" cm="1">
        <f t="array" ref="A184">INDEX('[1]Brand Family Territory (Enc)'!$A$2:$A$296,INT((ROW()-2)/10)+1)</f>
        <v>Corona Refresca</v>
      </c>
      <c r="B184" s="2" t="str" cm="1">
        <f t="array" ref="B184">INDEX('Whitelist (Blackout Reverse)'!$B$1:$K$1,MOD(ROW()-2,10)+1)</f>
        <v>PASSAIC-FF</v>
      </c>
      <c r="C184" s="2" t="str">
        <f>VLOOKUP(A184,'[1]Brand Family Territory (Enc)'!$A$2:$B$296,2,FALSE)</f>
        <v>Core Market</v>
      </c>
      <c r="D184" s="2">
        <f>IF(COUNTIFS('[1]Brand Family Territories (Enc)'!$B$2:$B$62,C184,'[1]Brand Family Territories (Enc)'!$C$2:$C$62,B184)&gt;0,1,IF(AND(LEFT(B184,6)="MORRIS",COUNTIFS('[1]Brand Family Territories (Enc)'!$B$2:$B$62,C184,'[1]Brand Family Territories (Enc)'!$C$2:$C$62,"Morri")&gt;0),"Unk",0))</f>
        <v>1</v>
      </c>
      <c r="E184" s="2" t="str">
        <f>IFERROR(INDEX('Blackout Brand Fam Areas (Enc)'!$D$6:$D$998,MATCH(UPPER(A184)&amp;"|"&amp;UPPER(B184),'Blackout Brand Fam Areas (Enc)'!$G$6:$G$998,0)),"No Match")</f>
        <v>No Match</v>
      </c>
      <c r="F184" s="2" t="str">
        <f t="shared" si="4"/>
        <v>US</v>
      </c>
      <c r="G184" s="2" t="str">
        <f t="shared" si="5"/>
        <v>Corona Refresca|PASSAIC-FF</v>
      </c>
    </row>
    <row r="185" spans="1:7" x14ac:dyDescent="0.2">
      <c r="A185" s="2" t="str" cm="1">
        <f t="array" ref="A185">INDEX('[1]Brand Family Territory (Enc)'!$A$2:$A$296,INT((ROW()-2)/10)+1)</f>
        <v>Corona Refresca</v>
      </c>
      <c r="B185" s="2" t="str" cm="1">
        <f t="array" ref="B185">INDEX('Whitelist (Blackout Reverse)'!$B$1:$K$1,MOD(ROW()-2,10)+1)</f>
        <v>ESSEX</v>
      </c>
      <c r="C185" s="2" t="str">
        <f>VLOOKUP(A185,'[1]Brand Family Territory (Enc)'!$A$2:$B$296,2,FALSE)</f>
        <v>Core Market</v>
      </c>
      <c r="D185" s="2">
        <f>IF(COUNTIFS('[1]Brand Family Territories (Enc)'!$B$2:$B$62,C185,'[1]Brand Family Territories (Enc)'!$C$2:$C$62,B185)&gt;0,1,IF(AND(LEFT(B185,6)="MORRIS",COUNTIFS('[1]Brand Family Territories (Enc)'!$B$2:$B$62,C185,'[1]Brand Family Territories (Enc)'!$C$2:$C$62,"Morri")&gt;0),"Unk",0))</f>
        <v>0</v>
      </c>
      <c r="E185" s="2" t="str">
        <f>IFERROR(INDEX('Blackout Brand Fam Areas (Enc)'!$D$6:$D$998,MATCH(UPPER(A185)&amp;"|"&amp;UPPER(B185),'Blackout Brand Fam Areas (Enc)'!$G$6:$G$998,0)),"No Match")</f>
        <v>Inactive</v>
      </c>
      <c r="F185" s="2" t="str">
        <f t="shared" si="4"/>
        <v>THEM</v>
      </c>
      <c r="G185" s="2" t="str">
        <f t="shared" si="5"/>
        <v>Corona Refresca|ESSEX</v>
      </c>
    </row>
    <row r="186" spans="1:7" x14ac:dyDescent="0.2">
      <c r="A186" s="2" t="str" cm="1">
        <f t="array" ref="A186">INDEX('[1]Brand Family Territory (Enc)'!$A$2:$A$296,INT((ROW()-2)/10)+1)</f>
        <v>Corona Refresca</v>
      </c>
      <c r="B186" s="2" t="str" cm="1">
        <f t="array" ref="B186">INDEX('Whitelist (Blackout Reverse)'!$B$1:$K$1,MOD(ROW()-2,10)+1)</f>
        <v>HUDSON</v>
      </c>
      <c r="C186" s="2" t="str">
        <f>VLOOKUP(A186,'[1]Brand Family Territory (Enc)'!$A$2:$B$296,2,FALSE)</f>
        <v>Core Market</v>
      </c>
      <c r="D186" s="2">
        <f>IF(COUNTIFS('[1]Brand Family Territories (Enc)'!$B$2:$B$62,C186,'[1]Brand Family Territories (Enc)'!$C$2:$C$62,B186)&gt;0,1,IF(AND(LEFT(B186,6)="MORRIS",COUNTIFS('[1]Brand Family Territories (Enc)'!$B$2:$B$62,C186,'[1]Brand Family Territories (Enc)'!$C$2:$C$62,"Morri")&gt;0),"Unk",0))</f>
        <v>0</v>
      </c>
      <c r="E186" s="2" t="str">
        <f>IFERROR(INDEX('Blackout Brand Fam Areas (Enc)'!$D$6:$D$998,MATCH(UPPER(A186)&amp;"|"&amp;UPPER(B186),'Blackout Brand Fam Areas (Enc)'!$G$6:$G$998,0)),"No Match")</f>
        <v>Inactive</v>
      </c>
      <c r="F186" s="2" t="str">
        <f t="shared" si="4"/>
        <v>THEM</v>
      </c>
      <c r="G186" s="2" t="str">
        <f t="shared" si="5"/>
        <v>Corona Refresca|HUDSON</v>
      </c>
    </row>
    <row r="187" spans="1:7" x14ac:dyDescent="0.2">
      <c r="A187" s="2" t="str" cm="1">
        <f t="array" ref="A187">INDEX('[1]Brand Family Territory (Enc)'!$A$2:$A$296,INT((ROW()-2)/10)+1)</f>
        <v>Corona Refresca</v>
      </c>
      <c r="B187" s="2" t="str" cm="1">
        <f t="array" ref="B187">INDEX('Whitelist (Blackout Reverse)'!$B$1:$K$1,MOD(ROW()-2,10)+1)</f>
        <v>UNION</v>
      </c>
      <c r="C187" s="2" t="str">
        <f>VLOOKUP(A187,'[1]Brand Family Territory (Enc)'!$A$2:$B$296,2,FALSE)</f>
        <v>Core Market</v>
      </c>
      <c r="D187" s="2">
        <f>IF(COUNTIFS('[1]Brand Family Territories (Enc)'!$B$2:$B$62,C187,'[1]Brand Family Territories (Enc)'!$C$2:$C$62,B187)&gt;0,1,IF(AND(LEFT(B187,6)="MORRIS",COUNTIFS('[1]Brand Family Territories (Enc)'!$B$2:$B$62,C187,'[1]Brand Family Territories (Enc)'!$C$2:$C$62,"Morri")&gt;0),"Unk",0))</f>
        <v>0</v>
      </c>
      <c r="E187" s="2" t="str">
        <f>IFERROR(INDEX('Blackout Brand Fam Areas (Enc)'!$D$6:$D$998,MATCH(UPPER(A187)&amp;"|"&amp;UPPER(B187),'Blackout Brand Fam Areas (Enc)'!$G$6:$G$998,0)),"No Match")</f>
        <v>Inactive</v>
      </c>
      <c r="F187" s="2" t="str">
        <f t="shared" si="4"/>
        <v>THEM</v>
      </c>
      <c r="G187" s="2" t="str">
        <f t="shared" si="5"/>
        <v>Corona Refresca|UNION</v>
      </c>
    </row>
    <row r="188" spans="1:7" x14ac:dyDescent="0.2">
      <c r="A188" s="2" t="str" cm="1">
        <f t="array" ref="A188">INDEX('[1]Brand Family Territory (Enc)'!$A$2:$A$296,INT((ROW()-2)/10)+1)</f>
        <v>Corona Refresca</v>
      </c>
      <c r="B188" s="2" t="str" cm="1">
        <f t="array" ref="B188">INDEX('Whitelist (Blackout Reverse)'!$B$1:$K$1,MOD(ROW()-2,10)+1)</f>
        <v>SUSSEX</v>
      </c>
      <c r="C188" s="2" t="str">
        <f>VLOOKUP(A188,'[1]Brand Family Territory (Enc)'!$A$2:$B$296,2,FALSE)</f>
        <v>Core Market</v>
      </c>
      <c r="D188" s="2">
        <f>IF(COUNTIFS('[1]Brand Family Territories (Enc)'!$B$2:$B$62,C188,'[1]Brand Family Territories (Enc)'!$C$2:$C$62,B188)&gt;0,1,IF(AND(LEFT(B188,6)="MORRIS",COUNTIFS('[1]Brand Family Territories (Enc)'!$B$2:$B$62,C188,'[1]Brand Family Territories (Enc)'!$C$2:$C$62,"Morri")&gt;0),"Unk",0))</f>
        <v>1</v>
      </c>
      <c r="E188" s="2" t="str">
        <f>IFERROR(INDEX('Blackout Brand Fam Areas (Enc)'!$D$6:$D$998,MATCH(UPPER(A188)&amp;"|"&amp;UPPER(B188),'Blackout Brand Fam Areas (Enc)'!$G$6:$G$998,0)),"No Match")</f>
        <v>No Match</v>
      </c>
      <c r="F188" s="2" t="str">
        <f t="shared" si="4"/>
        <v>US</v>
      </c>
      <c r="G188" s="2" t="str">
        <f t="shared" si="5"/>
        <v>Corona Refresca|SUSSEX</v>
      </c>
    </row>
    <row r="189" spans="1:7" x14ac:dyDescent="0.2">
      <c r="A189" s="2" t="str" cm="1">
        <f t="array" ref="A189">INDEX('[1]Brand Family Territory (Enc)'!$A$2:$A$296,INT((ROW()-2)/10)+1)</f>
        <v>Corona Refresca</v>
      </c>
      <c r="B189" s="2" t="str" cm="1">
        <f t="array" ref="B189">INDEX('Whitelist (Blackout Reverse)'!$B$1:$K$1,MOD(ROW()-2,10)+1)</f>
        <v>MORRIS 1</v>
      </c>
      <c r="C189" s="2" t="str">
        <f>VLOOKUP(A189,'[1]Brand Family Territory (Enc)'!$A$2:$B$296,2,FALSE)</f>
        <v>Core Market</v>
      </c>
      <c r="D189" s="2">
        <f>IF(COUNTIFS('[1]Brand Family Territories (Enc)'!$B$2:$B$62,C189,'[1]Brand Family Territories (Enc)'!$C$2:$C$62,B189)&gt;0,1,IF(AND(LEFT(B189,6)="MORRIS",COUNTIFS('[1]Brand Family Territories (Enc)'!$B$2:$B$62,C189,'[1]Brand Family Territories (Enc)'!$C$2:$C$62,"Morri")&gt;0),"Unk",0))</f>
        <v>1</v>
      </c>
      <c r="E189" s="2" t="str">
        <f>IFERROR(INDEX('Blackout Brand Fam Areas (Enc)'!$D$6:$D$998,MATCH(UPPER(A189)&amp;"|"&amp;UPPER(B189),'Blackout Brand Fam Areas (Enc)'!$G$6:$G$998,0)),"No Match")</f>
        <v>No Match</v>
      </c>
      <c r="F189" s="2" t="str">
        <f t="shared" si="4"/>
        <v>US</v>
      </c>
      <c r="G189" s="2" t="str">
        <f t="shared" si="5"/>
        <v>Corona Refresca|MORRIS 1</v>
      </c>
    </row>
    <row r="190" spans="1:7" x14ac:dyDescent="0.2">
      <c r="A190" s="2" t="str" cm="1">
        <f t="array" ref="A190">INDEX('[1]Brand Family Territory (Enc)'!$A$2:$A$296,INT((ROW()-2)/10)+1)</f>
        <v>Corona Refresca</v>
      </c>
      <c r="B190" s="2" t="str" cm="1">
        <f t="array" ref="B190">INDEX('Whitelist (Blackout Reverse)'!$B$1:$K$1,MOD(ROW()-2,10)+1)</f>
        <v>MORRIS 2</v>
      </c>
      <c r="C190" s="2" t="str">
        <f>VLOOKUP(A190,'[1]Brand Family Territory (Enc)'!$A$2:$B$296,2,FALSE)</f>
        <v>Core Market</v>
      </c>
      <c r="D190" s="2">
        <f>IF(COUNTIFS('[1]Brand Family Territories (Enc)'!$B$2:$B$62,C190,'[1]Brand Family Territories (Enc)'!$C$2:$C$62,B190)&gt;0,1,IF(AND(LEFT(B190,6)="MORRIS",COUNTIFS('[1]Brand Family Territories (Enc)'!$B$2:$B$62,C190,'[1]Brand Family Territories (Enc)'!$C$2:$C$62,"Morri")&gt;0),"Unk",0))</f>
        <v>0</v>
      </c>
      <c r="E190" s="2" t="str">
        <f>IFERROR(INDEX('Blackout Brand Fam Areas (Enc)'!$D$6:$D$998,MATCH(UPPER(A190)&amp;"|"&amp;UPPER(B190),'Blackout Brand Fam Areas (Enc)'!$G$6:$G$998,0)),"No Match")</f>
        <v>Inactive</v>
      </c>
      <c r="F190" s="2" t="str">
        <f t="shared" si="4"/>
        <v>THEM</v>
      </c>
      <c r="G190" s="2" t="str">
        <f t="shared" si="5"/>
        <v>Corona Refresca|MORRIS 2</v>
      </c>
    </row>
    <row r="191" spans="1:7" x14ac:dyDescent="0.2">
      <c r="A191" s="2" t="str" cm="1">
        <f t="array" ref="A191">INDEX('[1]Brand Family Territory (Enc)'!$A$2:$A$296,INT((ROW()-2)/10)+1)</f>
        <v>Corona Refresca</v>
      </c>
      <c r="B191" s="2" t="str" cm="1">
        <f t="array" ref="B191">INDEX('Whitelist (Blackout Reverse)'!$B$1:$K$1,MOD(ROW()-2,10)+1)</f>
        <v>MORRIS 3</v>
      </c>
      <c r="C191" s="2" t="str">
        <f>VLOOKUP(A191,'[1]Brand Family Territory (Enc)'!$A$2:$B$296,2,FALSE)</f>
        <v>Core Market</v>
      </c>
      <c r="D191" s="2">
        <f>IF(COUNTIFS('[1]Brand Family Territories (Enc)'!$B$2:$B$62,C191,'[1]Brand Family Territories (Enc)'!$C$2:$C$62,B191)&gt;0,1,IF(AND(LEFT(B191,6)="MORRIS",COUNTIFS('[1]Brand Family Territories (Enc)'!$B$2:$B$62,C191,'[1]Brand Family Territories (Enc)'!$C$2:$C$62,"Morri")&gt;0),"Unk",0))</f>
        <v>1</v>
      </c>
      <c r="E191" s="2" t="str">
        <f>IFERROR(INDEX('Blackout Brand Fam Areas (Enc)'!$D$6:$D$998,MATCH(UPPER(A191)&amp;"|"&amp;UPPER(B191),'Blackout Brand Fam Areas (Enc)'!$G$6:$G$998,0)),"No Match")</f>
        <v>No Match</v>
      </c>
      <c r="F191" s="2" t="str">
        <f t="shared" si="4"/>
        <v>US</v>
      </c>
      <c r="G191" s="2" t="str">
        <f t="shared" si="5"/>
        <v>Corona Refresca|MORRIS 3</v>
      </c>
    </row>
    <row r="192" spans="1:7" x14ac:dyDescent="0.2">
      <c r="A192" s="2" t="str" cm="1">
        <f t="array" ref="A192">INDEX('[1]Brand Family Territory (Enc)'!$A$2:$A$296,INT((ROW()-2)/10)+1)</f>
        <v>Corona Sunbrew</v>
      </c>
      <c r="B192" s="2" t="str" cm="1">
        <f t="array" ref="B192">INDEX('Whitelist (Blackout Reverse)'!$B$1:$K$1,MOD(ROW()-2,10)+1)</f>
        <v>BERGEN</v>
      </c>
      <c r="C192" s="2" t="str">
        <f>VLOOKUP(A192,'[1]Brand Family Territory (Enc)'!$A$2:$B$296,2,FALSE)</f>
        <v>Core Market</v>
      </c>
      <c r="D192" s="2">
        <f>IF(COUNTIFS('[1]Brand Family Territories (Enc)'!$B$2:$B$62,C192,'[1]Brand Family Territories (Enc)'!$C$2:$C$62,B192)&gt;0,1,IF(AND(LEFT(B192,6)="MORRIS",COUNTIFS('[1]Brand Family Territories (Enc)'!$B$2:$B$62,C192,'[1]Brand Family Territories (Enc)'!$C$2:$C$62,"Morri")&gt;0),"Unk",0))</f>
        <v>1</v>
      </c>
      <c r="E192" s="2" t="str">
        <f>IFERROR(INDEX('Blackout Brand Fam Areas (Enc)'!$D$6:$D$998,MATCH(UPPER(A192)&amp;"|"&amp;UPPER(B192),'Blackout Brand Fam Areas (Enc)'!$G$6:$G$998,0)),"No Match")</f>
        <v>No Match</v>
      </c>
      <c r="F192" s="2" t="str">
        <f t="shared" si="4"/>
        <v>US</v>
      </c>
      <c r="G192" s="2" t="str">
        <f t="shared" si="5"/>
        <v>Corona Sunbrew|BERGEN</v>
      </c>
    </row>
    <row r="193" spans="1:7" x14ac:dyDescent="0.2">
      <c r="A193" s="2" t="str" cm="1">
        <f t="array" ref="A193">INDEX('[1]Brand Family Territory (Enc)'!$A$2:$A$296,INT((ROW()-2)/10)+1)</f>
        <v>Corona Sunbrew</v>
      </c>
      <c r="B193" s="2" t="str" cm="1">
        <f t="array" ref="B193">INDEX('Whitelist (Blackout Reverse)'!$B$1:$K$1,MOD(ROW()-2,10)+1)</f>
        <v>PASSAIC</v>
      </c>
      <c r="C193" s="2" t="str">
        <f>VLOOKUP(A193,'[1]Brand Family Territory (Enc)'!$A$2:$B$296,2,FALSE)</f>
        <v>Core Market</v>
      </c>
      <c r="D193" s="2">
        <f>IF(COUNTIFS('[1]Brand Family Territories (Enc)'!$B$2:$B$62,C193,'[1]Brand Family Territories (Enc)'!$C$2:$C$62,B193)&gt;0,1,IF(AND(LEFT(B193,6)="MORRIS",COUNTIFS('[1]Brand Family Territories (Enc)'!$B$2:$B$62,C193,'[1]Brand Family Territories (Enc)'!$C$2:$C$62,"Morri")&gt;0),"Unk",0))</f>
        <v>1</v>
      </c>
      <c r="E193" s="2" t="str">
        <f>IFERROR(INDEX('Blackout Brand Fam Areas (Enc)'!$D$6:$D$998,MATCH(UPPER(A193)&amp;"|"&amp;UPPER(B193),'Blackout Brand Fam Areas (Enc)'!$G$6:$G$998,0)),"No Match")</f>
        <v>No Match</v>
      </c>
      <c r="F193" s="2" t="str">
        <f t="shared" si="4"/>
        <v>US</v>
      </c>
      <c r="G193" s="2" t="str">
        <f t="shared" si="5"/>
        <v>Corona Sunbrew|PASSAIC</v>
      </c>
    </row>
    <row r="194" spans="1:7" x14ac:dyDescent="0.2">
      <c r="A194" s="2" t="str" cm="1">
        <f t="array" ref="A194">INDEX('[1]Brand Family Territory (Enc)'!$A$2:$A$296,INT((ROW()-2)/10)+1)</f>
        <v>Corona Sunbrew</v>
      </c>
      <c r="B194" s="2" t="str" cm="1">
        <f t="array" ref="B194">INDEX('Whitelist (Blackout Reverse)'!$B$1:$K$1,MOD(ROW()-2,10)+1)</f>
        <v>PASSAIC-FF</v>
      </c>
      <c r="C194" s="2" t="str">
        <f>VLOOKUP(A194,'[1]Brand Family Territory (Enc)'!$A$2:$B$296,2,FALSE)</f>
        <v>Core Market</v>
      </c>
      <c r="D194" s="2">
        <f>IF(COUNTIFS('[1]Brand Family Territories (Enc)'!$B$2:$B$62,C194,'[1]Brand Family Territories (Enc)'!$C$2:$C$62,B194)&gt;0,1,IF(AND(LEFT(B194,6)="MORRIS",COUNTIFS('[1]Brand Family Territories (Enc)'!$B$2:$B$62,C194,'[1]Brand Family Territories (Enc)'!$C$2:$C$62,"Morri")&gt;0),"Unk",0))</f>
        <v>1</v>
      </c>
      <c r="E194" s="2" t="str">
        <f>IFERROR(INDEX('Blackout Brand Fam Areas (Enc)'!$D$6:$D$998,MATCH(UPPER(A194)&amp;"|"&amp;UPPER(B194),'Blackout Brand Fam Areas (Enc)'!$G$6:$G$998,0)),"No Match")</f>
        <v>No Match</v>
      </c>
      <c r="F194" s="2" t="str">
        <f t="shared" si="4"/>
        <v>US</v>
      </c>
      <c r="G194" s="2" t="str">
        <f t="shared" si="5"/>
        <v>Corona Sunbrew|PASSAIC-FF</v>
      </c>
    </row>
    <row r="195" spans="1:7" x14ac:dyDescent="0.2">
      <c r="A195" s="2" t="str" cm="1">
        <f t="array" ref="A195">INDEX('[1]Brand Family Territory (Enc)'!$A$2:$A$296,INT((ROW()-2)/10)+1)</f>
        <v>Corona Sunbrew</v>
      </c>
      <c r="B195" s="2" t="str" cm="1">
        <f t="array" ref="B195">INDEX('Whitelist (Blackout Reverse)'!$B$1:$K$1,MOD(ROW()-2,10)+1)</f>
        <v>ESSEX</v>
      </c>
      <c r="C195" s="2" t="str">
        <f>VLOOKUP(A195,'[1]Brand Family Territory (Enc)'!$A$2:$B$296,2,FALSE)</f>
        <v>Core Market</v>
      </c>
      <c r="D195" s="2">
        <f>IF(COUNTIFS('[1]Brand Family Territories (Enc)'!$B$2:$B$62,C195,'[1]Brand Family Territories (Enc)'!$C$2:$C$62,B195)&gt;0,1,IF(AND(LEFT(B195,6)="MORRIS",COUNTIFS('[1]Brand Family Territories (Enc)'!$B$2:$B$62,C195,'[1]Brand Family Territories (Enc)'!$C$2:$C$62,"Morri")&gt;0),"Unk",0))</f>
        <v>0</v>
      </c>
      <c r="E195" s="2" t="str">
        <f>IFERROR(INDEX('Blackout Brand Fam Areas (Enc)'!$D$6:$D$998,MATCH(UPPER(A195)&amp;"|"&amp;UPPER(B195),'Blackout Brand Fam Areas (Enc)'!$G$6:$G$998,0)),"No Match")</f>
        <v>Inactive</v>
      </c>
      <c r="F195" s="2" t="str">
        <f t="shared" ref="F195:F258" si="6">IF(D195="Unk","Ambiguous (Source Truncated)",IF(E195="Inactive","THEM",IF(D195=1,"US",IF(D195="N/A","No Territory Data","THEM"))))</f>
        <v>THEM</v>
      </c>
      <c r="G195" s="2" t="str">
        <f t="shared" ref="G195:G258" si="7">A195&amp;"|"&amp;B195</f>
        <v>Corona Sunbrew|ESSEX</v>
      </c>
    </row>
    <row r="196" spans="1:7" x14ac:dyDescent="0.2">
      <c r="A196" s="2" t="str" cm="1">
        <f t="array" ref="A196">INDEX('[1]Brand Family Territory (Enc)'!$A$2:$A$296,INT((ROW()-2)/10)+1)</f>
        <v>Corona Sunbrew</v>
      </c>
      <c r="B196" s="2" t="str" cm="1">
        <f t="array" ref="B196">INDEX('Whitelist (Blackout Reverse)'!$B$1:$K$1,MOD(ROW()-2,10)+1)</f>
        <v>HUDSON</v>
      </c>
      <c r="C196" s="2" t="str">
        <f>VLOOKUP(A196,'[1]Brand Family Territory (Enc)'!$A$2:$B$296,2,FALSE)</f>
        <v>Core Market</v>
      </c>
      <c r="D196" s="2">
        <f>IF(COUNTIFS('[1]Brand Family Territories (Enc)'!$B$2:$B$62,C196,'[1]Brand Family Territories (Enc)'!$C$2:$C$62,B196)&gt;0,1,IF(AND(LEFT(B196,6)="MORRIS",COUNTIFS('[1]Brand Family Territories (Enc)'!$B$2:$B$62,C196,'[1]Brand Family Territories (Enc)'!$C$2:$C$62,"Morri")&gt;0),"Unk",0))</f>
        <v>0</v>
      </c>
      <c r="E196" s="2" t="str">
        <f>IFERROR(INDEX('Blackout Brand Fam Areas (Enc)'!$D$6:$D$998,MATCH(UPPER(A196)&amp;"|"&amp;UPPER(B196),'Blackout Brand Fam Areas (Enc)'!$G$6:$G$998,0)),"No Match")</f>
        <v>Inactive</v>
      </c>
      <c r="F196" s="2" t="str">
        <f t="shared" si="6"/>
        <v>THEM</v>
      </c>
      <c r="G196" s="2" t="str">
        <f t="shared" si="7"/>
        <v>Corona Sunbrew|HUDSON</v>
      </c>
    </row>
    <row r="197" spans="1:7" x14ac:dyDescent="0.2">
      <c r="A197" s="2" t="str" cm="1">
        <f t="array" ref="A197">INDEX('[1]Brand Family Territory (Enc)'!$A$2:$A$296,INT((ROW()-2)/10)+1)</f>
        <v>Corona Sunbrew</v>
      </c>
      <c r="B197" s="2" t="str" cm="1">
        <f t="array" ref="B197">INDEX('Whitelist (Blackout Reverse)'!$B$1:$K$1,MOD(ROW()-2,10)+1)</f>
        <v>UNION</v>
      </c>
      <c r="C197" s="2" t="str">
        <f>VLOOKUP(A197,'[1]Brand Family Territory (Enc)'!$A$2:$B$296,2,FALSE)</f>
        <v>Core Market</v>
      </c>
      <c r="D197" s="2">
        <f>IF(COUNTIFS('[1]Brand Family Territories (Enc)'!$B$2:$B$62,C197,'[1]Brand Family Territories (Enc)'!$C$2:$C$62,B197)&gt;0,1,IF(AND(LEFT(B197,6)="MORRIS",COUNTIFS('[1]Brand Family Territories (Enc)'!$B$2:$B$62,C197,'[1]Brand Family Territories (Enc)'!$C$2:$C$62,"Morri")&gt;0),"Unk",0))</f>
        <v>0</v>
      </c>
      <c r="E197" s="2" t="str">
        <f>IFERROR(INDEX('Blackout Brand Fam Areas (Enc)'!$D$6:$D$998,MATCH(UPPER(A197)&amp;"|"&amp;UPPER(B197),'Blackout Brand Fam Areas (Enc)'!$G$6:$G$998,0)),"No Match")</f>
        <v>Inactive</v>
      </c>
      <c r="F197" s="2" t="str">
        <f t="shared" si="6"/>
        <v>THEM</v>
      </c>
      <c r="G197" s="2" t="str">
        <f t="shared" si="7"/>
        <v>Corona Sunbrew|UNION</v>
      </c>
    </row>
    <row r="198" spans="1:7" x14ac:dyDescent="0.2">
      <c r="A198" s="2" t="str" cm="1">
        <f t="array" ref="A198">INDEX('[1]Brand Family Territory (Enc)'!$A$2:$A$296,INT((ROW()-2)/10)+1)</f>
        <v>Corona Sunbrew</v>
      </c>
      <c r="B198" s="2" t="str" cm="1">
        <f t="array" ref="B198">INDEX('Whitelist (Blackout Reverse)'!$B$1:$K$1,MOD(ROW()-2,10)+1)</f>
        <v>SUSSEX</v>
      </c>
      <c r="C198" s="2" t="str">
        <f>VLOOKUP(A198,'[1]Brand Family Territory (Enc)'!$A$2:$B$296,2,FALSE)</f>
        <v>Core Market</v>
      </c>
      <c r="D198" s="2">
        <f>IF(COUNTIFS('[1]Brand Family Territories (Enc)'!$B$2:$B$62,C198,'[1]Brand Family Territories (Enc)'!$C$2:$C$62,B198)&gt;0,1,IF(AND(LEFT(B198,6)="MORRIS",COUNTIFS('[1]Brand Family Territories (Enc)'!$B$2:$B$62,C198,'[1]Brand Family Territories (Enc)'!$C$2:$C$62,"Morri")&gt;0),"Unk",0))</f>
        <v>1</v>
      </c>
      <c r="E198" s="2" t="str">
        <f>IFERROR(INDEX('Blackout Brand Fam Areas (Enc)'!$D$6:$D$998,MATCH(UPPER(A198)&amp;"|"&amp;UPPER(B198),'Blackout Brand Fam Areas (Enc)'!$G$6:$G$998,0)),"No Match")</f>
        <v>No Match</v>
      </c>
      <c r="F198" s="2" t="str">
        <f t="shared" si="6"/>
        <v>US</v>
      </c>
      <c r="G198" s="2" t="str">
        <f t="shared" si="7"/>
        <v>Corona Sunbrew|SUSSEX</v>
      </c>
    </row>
    <row r="199" spans="1:7" x14ac:dyDescent="0.2">
      <c r="A199" s="2" t="str" cm="1">
        <f t="array" ref="A199">INDEX('[1]Brand Family Territory (Enc)'!$A$2:$A$296,INT((ROW()-2)/10)+1)</f>
        <v>Corona Sunbrew</v>
      </c>
      <c r="B199" s="2" t="str" cm="1">
        <f t="array" ref="B199">INDEX('Whitelist (Blackout Reverse)'!$B$1:$K$1,MOD(ROW()-2,10)+1)</f>
        <v>MORRIS 1</v>
      </c>
      <c r="C199" s="2" t="str">
        <f>VLOOKUP(A199,'[1]Brand Family Territory (Enc)'!$A$2:$B$296,2,FALSE)</f>
        <v>Core Market</v>
      </c>
      <c r="D199" s="2">
        <f>IF(COUNTIFS('[1]Brand Family Territories (Enc)'!$B$2:$B$62,C199,'[1]Brand Family Territories (Enc)'!$C$2:$C$62,B199)&gt;0,1,IF(AND(LEFT(B199,6)="MORRIS",COUNTIFS('[1]Brand Family Territories (Enc)'!$B$2:$B$62,C199,'[1]Brand Family Territories (Enc)'!$C$2:$C$62,"Morri")&gt;0),"Unk",0))</f>
        <v>1</v>
      </c>
      <c r="E199" s="2" t="str">
        <f>IFERROR(INDEX('Blackout Brand Fam Areas (Enc)'!$D$6:$D$998,MATCH(UPPER(A199)&amp;"|"&amp;UPPER(B199),'Blackout Brand Fam Areas (Enc)'!$G$6:$G$998,0)),"No Match")</f>
        <v>No Match</v>
      </c>
      <c r="F199" s="2" t="str">
        <f t="shared" si="6"/>
        <v>US</v>
      </c>
      <c r="G199" s="2" t="str">
        <f t="shared" si="7"/>
        <v>Corona Sunbrew|MORRIS 1</v>
      </c>
    </row>
    <row r="200" spans="1:7" x14ac:dyDescent="0.2">
      <c r="A200" s="2" t="str" cm="1">
        <f t="array" ref="A200">INDEX('[1]Brand Family Territory (Enc)'!$A$2:$A$296,INT((ROW()-2)/10)+1)</f>
        <v>Corona Sunbrew</v>
      </c>
      <c r="B200" s="2" t="str" cm="1">
        <f t="array" ref="B200">INDEX('Whitelist (Blackout Reverse)'!$B$1:$K$1,MOD(ROW()-2,10)+1)</f>
        <v>MORRIS 2</v>
      </c>
      <c r="C200" s="2" t="str">
        <f>VLOOKUP(A200,'[1]Brand Family Territory (Enc)'!$A$2:$B$296,2,FALSE)</f>
        <v>Core Market</v>
      </c>
      <c r="D200" s="2">
        <f>IF(COUNTIFS('[1]Brand Family Territories (Enc)'!$B$2:$B$62,C200,'[1]Brand Family Territories (Enc)'!$C$2:$C$62,B200)&gt;0,1,IF(AND(LEFT(B200,6)="MORRIS",COUNTIFS('[1]Brand Family Territories (Enc)'!$B$2:$B$62,C200,'[1]Brand Family Territories (Enc)'!$C$2:$C$62,"Morri")&gt;0),"Unk",0))</f>
        <v>0</v>
      </c>
      <c r="E200" s="2" t="str">
        <f>IFERROR(INDEX('Blackout Brand Fam Areas (Enc)'!$D$6:$D$998,MATCH(UPPER(A200)&amp;"|"&amp;UPPER(B200),'Blackout Brand Fam Areas (Enc)'!$G$6:$G$998,0)),"No Match")</f>
        <v>Inactive</v>
      </c>
      <c r="F200" s="2" t="str">
        <f t="shared" si="6"/>
        <v>THEM</v>
      </c>
      <c r="G200" s="2" t="str">
        <f t="shared" si="7"/>
        <v>Corona Sunbrew|MORRIS 2</v>
      </c>
    </row>
    <row r="201" spans="1:7" x14ac:dyDescent="0.2">
      <c r="A201" s="2" t="str" cm="1">
        <f t="array" ref="A201">INDEX('[1]Brand Family Territory (Enc)'!$A$2:$A$296,INT((ROW()-2)/10)+1)</f>
        <v>Corona Sunbrew</v>
      </c>
      <c r="B201" s="2" t="str" cm="1">
        <f t="array" ref="B201">INDEX('Whitelist (Blackout Reverse)'!$B$1:$K$1,MOD(ROW()-2,10)+1)</f>
        <v>MORRIS 3</v>
      </c>
      <c r="C201" s="2" t="str">
        <f>VLOOKUP(A201,'[1]Brand Family Territory (Enc)'!$A$2:$B$296,2,FALSE)</f>
        <v>Core Market</v>
      </c>
      <c r="D201" s="2">
        <f>IF(COUNTIFS('[1]Brand Family Territories (Enc)'!$B$2:$B$62,C201,'[1]Brand Family Territories (Enc)'!$C$2:$C$62,B201)&gt;0,1,IF(AND(LEFT(B201,6)="MORRIS",COUNTIFS('[1]Brand Family Territories (Enc)'!$B$2:$B$62,C201,'[1]Brand Family Territories (Enc)'!$C$2:$C$62,"Morri")&gt;0),"Unk",0))</f>
        <v>1</v>
      </c>
      <c r="E201" s="2" t="str">
        <f>IFERROR(INDEX('Blackout Brand Fam Areas (Enc)'!$D$6:$D$998,MATCH(UPPER(A201)&amp;"|"&amp;UPPER(B201),'Blackout Brand Fam Areas (Enc)'!$G$6:$G$998,0)),"No Match")</f>
        <v>No Match</v>
      </c>
      <c r="F201" s="2" t="str">
        <f t="shared" si="6"/>
        <v>US</v>
      </c>
      <c r="G201" s="2" t="str">
        <f t="shared" si="7"/>
        <v>Corona Sunbrew|MORRIS 3</v>
      </c>
    </row>
    <row r="202" spans="1:7" x14ac:dyDescent="0.2">
      <c r="A202" s="2" t="str" cm="1">
        <f t="array" ref="A202">INDEX('[1]Brand Family Territory (Enc)'!$A$2:$A$296,INT((ROW()-2)/10)+1)</f>
        <v>Craftwell</v>
      </c>
      <c r="B202" s="2" t="str" cm="1">
        <f t="array" ref="B202">INDEX('Whitelist (Blackout Reverse)'!$B$1:$K$1,MOD(ROW()-2,10)+1)</f>
        <v>BERGEN</v>
      </c>
      <c r="C202" s="2" t="str">
        <f>VLOOKUP(A202,'[1]Brand Family Territory (Enc)'!$A$2:$B$296,2,FALSE)</f>
        <v>Core Market</v>
      </c>
      <c r="D202" s="2">
        <f>IF(COUNTIFS('[1]Brand Family Territories (Enc)'!$B$2:$B$62,C202,'[1]Brand Family Territories (Enc)'!$C$2:$C$62,B202)&gt;0,1,IF(AND(LEFT(B202,6)="MORRIS",COUNTIFS('[1]Brand Family Territories (Enc)'!$B$2:$B$62,C202,'[1]Brand Family Territories (Enc)'!$C$2:$C$62,"Morri")&gt;0),"Unk",0))</f>
        <v>1</v>
      </c>
      <c r="E202" s="2" t="str">
        <f>IFERROR(INDEX('Blackout Brand Fam Areas (Enc)'!$D$6:$D$998,MATCH(UPPER(A202)&amp;"|"&amp;UPPER(B202),'Blackout Brand Fam Areas (Enc)'!$G$6:$G$998,0)),"No Match")</f>
        <v>No Match</v>
      </c>
      <c r="F202" s="2" t="str">
        <f t="shared" si="6"/>
        <v>US</v>
      </c>
      <c r="G202" s="2" t="str">
        <f t="shared" si="7"/>
        <v>Craftwell|BERGEN</v>
      </c>
    </row>
    <row r="203" spans="1:7" x14ac:dyDescent="0.2">
      <c r="A203" s="2" t="str" cm="1">
        <f t="array" ref="A203">INDEX('[1]Brand Family Territory (Enc)'!$A$2:$A$296,INT((ROW()-2)/10)+1)</f>
        <v>Craftwell</v>
      </c>
      <c r="B203" s="2" t="str" cm="1">
        <f t="array" ref="B203">INDEX('Whitelist (Blackout Reverse)'!$B$1:$K$1,MOD(ROW()-2,10)+1)</f>
        <v>PASSAIC</v>
      </c>
      <c r="C203" s="2" t="str">
        <f>VLOOKUP(A203,'[1]Brand Family Territory (Enc)'!$A$2:$B$296,2,FALSE)</f>
        <v>Core Market</v>
      </c>
      <c r="D203" s="2">
        <f>IF(COUNTIFS('[1]Brand Family Territories (Enc)'!$B$2:$B$62,C203,'[1]Brand Family Territories (Enc)'!$C$2:$C$62,B203)&gt;0,1,IF(AND(LEFT(B203,6)="MORRIS",COUNTIFS('[1]Brand Family Territories (Enc)'!$B$2:$B$62,C203,'[1]Brand Family Territories (Enc)'!$C$2:$C$62,"Morri")&gt;0),"Unk",0))</f>
        <v>1</v>
      </c>
      <c r="E203" s="2" t="str">
        <f>IFERROR(INDEX('Blackout Brand Fam Areas (Enc)'!$D$6:$D$998,MATCH(UPPER(A203)&amp;"|"&amp;UPPER(B203),'Blackout Brand Fam Areas (Enc)'!$G$6:$G$998,0)),"No Match")</f>
        <v>No Match</v>
      </c>
      <c r="F203" s="2" t="str">
        <f t="shared" si="6"/>
        <v>US</v>
      </c>
      <c r="G203" s="2" t="str">
        <f t="shared" si="7"/>
        <v>Craftwell|PASSAIC</v>
      </c>
    </row>
    <row r="204" spans="1:7" x14ac:dyDescent="0.2">
      <c r="A204" s="2" t="str" cm="1">
        <f t="array" ref="A204">INDEX('[1]Brand Family Territory (Enc)'!$A$2:$A$296,INT((ROW()-2)/10)+1)</f>
        <v>Craftwell</v>
      </c>
      <c r="B204" s="2" t="str" cm="1">
        <f t="array" ref="B204">INDEX('Whitelist (Blackout Reverse)'!$B$1:$K$1,MOD(ROW()-2,10)+1)</f>
        <v>PASSAIC-FF</v>
      </c>
      <c r="C204" s="2" t="str">
        <f>VLOOKUP(A204,'[1]Brand Family Territory (Enc)'!$A$2:$B$296,2,FALSE)</f>
        <v>Core Market</v>
      </c>
      <c r="D204" s="2">
        <f>IF(COUNTIFS('[1]Brand Family Territories (Enc)'!$B$2:$B$62,C204,'[1]Brand Family Territories (Enc)'!$C$2:$C$62,B204)&gt;0,1,IF(AND(LEFT(B204,6)="MORRIS",COUNTIFS('[1]Brand Family Territories (Enc)'!$B$2:$B$62,C204,'[1]Brand Family Territories (Enc)'!$C$2:$C$62,"Morri")&gt;0),"Unk",0))</f>
        <v>1</v>
      </c>
      <c r="E204" s="2" t="str">
        <f>IFERROR(INDEX('Blackout Brand Fam Areas (Enc)'!$D$6:$D$998,MATCH(UPPER(A204)&amp;"|"&amp;UPPER(B204),'Blackout Brand Fam Areas (Enc)'!$G$6:$G$998,0)),"No Match")</f>
        <v>No Match</v>
      </c>
      <c r="F204" s="2" t="str">
        <f t="shared" si="6"/>
        <v>US</v>
      </c>
      <c r="G204" s="2" t="str">
        <f t="shared" si="7"/>
        <v>Craftwell|PASSAIC-FF</v>
      </c>
    </row>
    <row r="205" spans="1:7" x14ac:dyDescent="0.2">
      <c r="A205" s="2" t="str" cm="1">
        <f t="array" ref="A205">INDEX('[1]Brand Family Territory (Enc)'!$A$2:$A$296,INT((ROW()-2)/10)+1)</f>
        <v>Craftwell</v>
      </c>
      <c r="B205" s="2" t="str" cm="1">
        <f t="array" ref="B205">INDEX('Whitelist (Blackout Reverse)'!$B$1:$K$1,MOD(ROW()-2,10)+1)</f>
        <v>ESSEX</v>
      </c>
      <c r="C205" s="2" t="str">
        <f>VLOOKUP(A205,'[1]Brand Family Territory (Enc)'!$A$2:$B$296,2,FALSE)</f>
        <v>Core Market</v>
      </c>
      <c r="D205" s="2">
        <f>IF(COUNTIFS('[1]Brand Family Territories (Enc)'!$B$2:$B$62,C205,'[1]Brand Family Territories (Enc)'!$C$2:$C$62,B205)&gt;0,1,IF(AND(LEFT(B205,6)="MORRIS",COUNTIFS('[1]Brand Family Territories (Enc)'!$B$2:$B$62,C205,'[1]Brand Family Territories (Enc)'!$C$2:$C$62,"Morri")&gt;0),"Unk",0))</f>
        <v>0</v>
      </c>
      <c r="E205" s="2" t="str">
        <f>IFERROR(INDEX('Blackout Brand Fam Areas (Enc)'!$D$6:$D$998,MATCH(UPPER(A205)&amp;"|"&amp;UPPER(B205),'Blackout Brand Fam Areas (Enc)'!$G$6:$G$998,0)),"No Match")</f>
        <v>No Match</v>
      </c>
      <c r="F205" s="2" t="str">
        <f t="shared" si="6"/>
        <v>THEM</v>
      </c>
      <c r="G205" s="2" t="str">
        <f t="shared" si="7"/>
        <v>Craftwell|ESSEX</v>
      </c>
    </row>
    <row r="206" spans="1:7" x14ac:dyDescent="0.2">
      <c r="A206" s="2" t="str" cm="1">
        <f t="array" ref="A206">INDEX('[1]Brand Family Territory (Enc)'!$A$2:$A$296,INT((ROW()-2)/10)+1)</f>
        <v>Craftwell</v>
      </c>
      <c r="B206" s="2" t="str" cm="1">
        <f t="array" ref="B206">INDEX('Whitelist (Blackout Reverse)'!$B$1:$K$1,MOD(ROW()-2,10)+1)</f>
        <v>HUDSON</v>
      </c>
      <c r="C206" s="2" t="str">
        <f>VLOOKUP(A206,'[1]Brand Family Territory (Enc)'!$A$2:$B$296,2,FALSE)</f>
        <v>Core Market</v>
      </c>
      <c r="D206" s="2">
        <f>IF(COUNTIFS('[1]Brand Family Territories (Enc)'!$B$2:$B$62,C206,'[1]Brand Family Territories (Enc)'!$C$2:$C$62,B206)&gt;0,1,IF(AND(LEFT(B206,6)="MORRIS",COUNTIFS('[1]Brand Family Territories (Enc)'!$B$2:$B$62,C206,'[1]Brand Family Territories (Enc)'!$C$2:$C$62,"Morri")&gt;0),"Unk",0))</f>
        <v>0</v>
      </c>
      <c r="E206" s="2" t="str">
        <f>IFERROR(INDEX('Blackout Brand Fam Areas (Enc)'!$D$6:$D$998,MATCH(UPPER(A206)&amp;"|"&amp;UPPER(B206),'Blackout Brand Fam Areas (Enc)'!$G$6:$G$998,0)),"No Match")</f>
        <v>No Match</v>
      </c>
      <c r="F206" s="2" t="str">
        <f t="shared" si="6"/>
        <v>THEM</v>
      </c>
      <c r="G206" s="2" t="str">
        <f t="shared" si="7"/>
        <v>Craftwell|HUDSON</v>
      </c>
    </row>
    <row r="207" spans="1:7" x14ac:dyDescent="0.2">
      <c r="A207" s="2" t="str" cm="1">
        <f t="array" ref="A207">INDEX('[1]Brand Family Territory (Enc)'!$A$2:$A$296,INT((ROW()-2)/10)+1)</f>
        <v>Craftwell</v>
      </c>
      <c r="B207" s="2" t="str" cm="1">
        <f t="array" ref="B207">INDEX('Whitelist (Blackout Reverse)'!$B$1:$K$1,MOD(ROW()-2,10)+1)</f>
        <v>UNION</v>
      </c>
      <c r="C207" s="2" t="str">
        <f>VLOOKUP(A207,'[1]Brand Family Territory (Enc)'!$A$2:$B$296,2,FALSE)</f>
        <v>Core Market</v>
      </c>
      <c r="D207" s="2">
        <f>IF(COUNTIFS('[1]Brand Family Territories (Enc)'!$B$2:$B$62,C207,'[1]Brand Family Territories (Enc)'!$C$2:$C$62,B207)&gt;0,1,IF(AND(LEFT(B207,6)="MORRIS",COUNTIFS('[1]Brand Family Territories (Enc)'!$B$2:$B$62,C207,'[1]Brand Family Territories (Enc)'!$C$2:$C$62,"Morri")&gt;0),"Unk",0))</f>
        <v>0</v>
      </c>
      <c r="E207" s="2" t="str">
        <f>IFERROR(INDEX('Blackout Brand Fam Areas (Enc)'!$D$6:$D$998,MATCH(UPPER(A207)&amp;"|"&amp;UPPER(B207),'Blackout Brand Fam Areas (Enc)'!$G$6:$G$998,0)),"No Match")</f>
        <v>No Match</v>
      </c>
      <c r="F207" s="2" t="str">
        <f t="shared" si="6"/>
        <v>THEM</v>
      </c>
      <c r="G207" s="2" t="str">
        <f t="shared" si="7"/>
        <v>Craftwell|UNION</v>
      </c>
    </row>
    <row r="208" spans="1:7" x14ac:dyDescent="0.2">
      <c r="A208" s="2" t="str" cm="1">
        <f t="array" ref="A208">INDEX('[1]Brand Family Territory (Enc)'!$A$2:$A$296,INT((ROW()-2)/10)+1)</f>
        <v>Craftwell</v>
      </c>
      <c r="B208" s="2" t="str" cm="1">
        <f t="array" ref="B208">INDEX('Whitelist (Blackout Reverse)'!$B$1:$K$1,MOD(ROW()-2,10)+1)</f>
        <v>SUSSEX</v>
      </c>
      <c r="C208" s="2" t="str">
        <f>VLOOKUP(A208,'[1]Brand Family Territory (Enc)'!$A$2:$B$296,2,FALSE)</f>
        <v>Core Market</v>
      </c>
      <c r="D208" s="2">
        <f>IF(COUNTIFS('[1]Brand Family Territories (Enc)'!$B$2:$B$62,C208,'[1]Brand Family Territories (Enc)'!$C$2:$C$62,B208)&gt;0,1,IF(AND(LEFT(B208,6)="MORRIS",COUNTIFS('[1]Brand Family Territories (Enc)'!$B$2:$B$62,C208,'[1]Brand Family Territories (Enc)'!$C$2:$C$62,"Morri")&gt;0),"Unk",0))</f>
        <v>1</v>
      </c>
      <c r="E208" s="2" t="str">
        <f>IFERROR(INDEX('Blackout Brand Fam Areas (Enc)'!$D$6:$D$998,MATCH(UPPER(A208)&amp;"|"&amp;UPPER(B208),'Blackout Brand Fam Areas (Enc)'!$G$6:$G$998,0)),"No Match")</f>
        <v>No Match</v>
      </c>
      <c r="F208" s="2" t="str">
        <f t="shared" si="6"/>
        <v>US</v>
      </c>
      <c r="G208" s="2" t="str">
        <f t="shared" si="7"/>
        <v>Craftwell|SUSSEX</v>
      </c>
    </row>
    <row r="209" spans="1:7" x14ac:dyDescent="0.2">
      <c r="A209" s="2" t="str" cm="1">
        <f t="array" ref="A209">INDEX('[1]Brand Family Territory (Enc)'!$A$2:$A$296,INT((ROW()-2)/10)+1)</f>
        <v>Craftwell</v>
      </c>
      <c r="B209" s="2" t="str" cm="1">
        <f t="array" ref="B209">INDEX('Whitelist (Blackout Reverse)'!$B$1:$K$1,MOD(ROW()-2,10)+1)</f>
        <v>MORRIS 1</v>
      </c>
      <c r="C209" s="2" t="str">
        <f>VLOOKUP(A209,'[1]Brand Family Territory (Enc)'!$A$2:$B$296,2,FALSE)</f>
        <v>Core Market</v>
      </c>
      <c r="D209" s="2">
        <f>IF(COUNTIFS('[1]Brand Family Territories (Enc)'!$B$2:$B$62,C209,'[1]Brand Family Territories (Enc)'!$C$2:$C$62,B209)&gt;0,1,IF(AND(LEFT(B209,6)="MORRIS",COUNTIFS('[1]Brand Family Territories (Enc)'!$B$2:$B$62,C209,'[1]Brand Family Territories (Enc)'!$C$2:$C$62,"Morri")&gt;0),"Unk",0))</f>
        <v>1</v>
      </c>
      <c r="E209" s="2" t="str">
        <f>IFERROR(INDEX('Blackout Brand Fam Areas (Enc)'!$D$6:$D$998,MATCH(UPPER(A209)&amp;"|"&amp;UPPER(B209),'Blackout Brand Fam Areas (Enc)'!$G$6:$G$998,0)),"No Match")</f>
        <v>No Match</v>
      </c>
      <c r="F209" s="2" t="str">
        <f t="shared" si="6"/>
        <v>US</v>
      </c>
      <c r="G209" s="2" t="str">
        <f t="shared" si="7"/>
        <v>Craftwell|MORRIS 1</v>
      </c>
    </row>
    <row r="210" spans="1:7" x14ac:dyDescent="0.2">
      <c r="A210" s="2" t="str" cm="1">
        <f t="array" ref="A210">INDEX('[1]Brand Family Territory (Enc)'!$A$2:$A$296,INT((ROW()-2)/10)+1)</f>
        <v>Craftwell</v>
      </c>
      <c r="B210" s="2" t="str" cm="1">
        <f t="array" ref="B210">INDEX('Whitelist (Blackout Reverse)'!$B$1:$K$1,MOD(ROW()-2,10)+1)</f>
        <v>MORRIS 2</v>
      </c>
      <c r="C210" s="2" t="str">
        <f>VLOOKUP(A210,'[1]Brand Family Territory (Enc)'!$A$2:$B$296,2,FALSE)</f>
        <v>Core Market</v>
      </c>
      <c r="D210" s="2">
        <f>IF(COUNTIFS('[1]Brand Family Territories (Enc)'!$B$2:$B$62,C210,'[1]Brand Family Territories (Enc)'!$C$2:$C$62,B210)&gt;0,1,IF(AND(LEFT(B210,6)="MORRIS",COUNTIFS('[1]Brand Family Territories (Enc)'!$B$2:$B$62,C210,'[1]Brand Family Territories (Enc)'!$C$2:$C$62,"Morri")&gt;0),"Unk",0))</f>
        <v>0</v>
      </c>
      <c r="E210" s="2" t="str">
        <f>IFERROR(INDEX('Blackout Brand Fam Areas (Enc)'!$D$6:$D$998,MATCH(UPPER(A210)&amp;"|"&amp;UPPER(B210),'Blackout Brand Fam Areas (Enc)'!$G$6:$G$998,0)),"No Match")</f>
        <v>No Match</v>
      </c>
      <c r="F210" s="2" t="str">
        <f t="shared" si="6"/>
        <v>THEM</v>
      </c>
      <c r="G210" s="2" t="str">
        <f t="shared" si="7"/>
        <v>Craftwell|MORRIS 2</v>
      </c>
    </row>
    <row r="211" spans="1:7" x14ac:dyDescent="0.2">
      <c r="A211" s="2" t="str" cm="1">
        <f t="array" ref="A211">INDEX('[1]Brand Family Territory (Enc)'!$A$2:$A$296,INT((ROW()-2)/10)+1)</f>
        <v>Craftwell</v>
      </c>
      <c r="B211" s="2" t="str" cm="1">
        <f t="array" ref="B211">INDEX('Whitelist (Blackout Reverse)'!$B$1:$K$1,MOD(ROW()-2,10)+1)</f>
        <v>MORRIS 3</v>
      </c>
      <c r="C211" s="2" t="str">
        <f>VLOOKUP(A211,'[1]Brand Family Territory (Enc)'!$A$2:$B$296,2,FALSE)</f>
        <v>Core Market</v>
      </c>
      <c r="D211" s="2">
        <f>IF(COUNTIFS('[1]Brand Family Territories (Enc)'!$B$2:$B$62,C211,'[1]Brand Family Territories (Enc)'!$C$2:$C$62,B211)&gt;0,1,IF(AND(LEFT(B211,6)="MORRIS",COUNTIFS('[1]Brand Family Territories (Enc)'!$B$2:$B$62,C211,'[1]Brand Family Territories (Enc)'!$C$2:$C$62,"Morri")&gt;0),"Unk",0))</f>
        <v>1</v>
      </c>
      <c r="E211" s="2" t="str">
        <f>IFERROR(INDEX('Blackout Brand Fam Areas (Enc)'!$D$6:$D$998,MATCH(UPPER(A211)&amp;"|"&amp;UPPER(B211),'Blackout Brand Fam Areas (Enc)'!$G$6:$G$998,0)),"No Match")</f>
        <v>No Match</v>
      </c>
      <c r="F211" s="2" t="str">
        <f t="shared" si="6"/>
        <v>US</v>
      </c>
      <c r="G211" s="2" t="str">
        <f t="shared" si="7"/>
        <v>Craftwell|MORRIS 3</v>
      </c>
    </row>
    <row r="212" spans="1:7" x14ac:dyDescent="0.2">
      <c r="A212" s="2" t="str" cm="1">
        <f t="array" ref="A212">INDEX('[1]Brand Family Territory (Enc)'!$A$2:$A$296,INT((ROW()-2)/10)+1)</f>
        <v>Cusquena</v>
      </c>
      <c r="B212" s="2" t="str" cm="1">
        <f t="array" ref="B212">INDEX('Whitelist (Blackout Reverse)'!$B$1:$K$1,MOD(ROW()-2,10)+1)</f>
        <v>BERGEN</v>
      </c>
      <c r="C212" s="2" t="str">
        <f>VLOOKUP(A212,'[1]Brand Family Territory (Enc)'!$A$2:$B$296,2,FALSE)</f>
        <v>Core Market</v>
      </c>
      <c r="D212" s="2">
        <f>IF(COUNTIFS('[1]Brand Family Territories (Enc)'!$B$2:$B$62,C212,'[1]Brand Family Territories (Enc)'!$C$2:$C$62,B212)&gt;0,1,IF(AND(LEFT(B212,6)="MORRIS",COUNTIFS('[1]Brand Family Territories (Enc)'!$B$2:$B$62,C212,'[1]Brand Family Territories (Enc)'!$C$2:$C$62,"Morri")&gt;0),"Unk",0))</f>
        <v>1</v>
      </c>
      <c r="E212" s="2" t="str">
        <f>IFERROR(INDEX('Blackout Brand Fam Areas (Enc)'!$D$6:$D$998,MATCH(UPPER(A212)&amp;"|"&amp;UPPER(B212),'Blackout Brand Fam Areas (Enc)'!$G$6:$G$998,0)),"No Match")</f>
        <v>No Match</v>
      </c>
      <c r="F212" s="2" t="str">
        <f t="shared" si="6"/>
        <v>US</v>
      </c>
      <c r="G212" s="2" t="str">
        <f t="shared" si="7"/>
        <v>Cusquena|BERGEN</v>
      </c>
    </row>
    <row r="213" spans="1:7" x14ac:dyDescent="0.2">
      <c r="A213" s="2" t="str" cm="1">
        <f t="array" ref="A213">INDEX('[1]Brand Family Territory (Enc)'!$A$2:$A$296,INT((ROW()-2)/10)+1)</f>
        <v>Cusquena</v>
      </c>
      <c r="B213" s="2" t="str" cm="1">
        <f t="array" ref="B213">INDEX('Whitelist (Blackout Reverse)'!$B$1:$K$1,MOD(ROW()-2,10)+1)</f>
        <v>PASSAIC</v>
      </c>
      <c r="C213" s="2" t="str">
        <f>VLOOKUP(A213,'[1]Brand Family Territory (Enc)'!$A$2:$B$296,2,FALSE)</f>
        <v>Core Market</v>
      </c>
      <c r="D213" s="2">
        <f>IF(COUNTIFS('[1]Brand Family Territories (Enc)'!$B$2:$B$62,C213,'[1]Brand Family Territories (Enc)'!$C$2:$C$62,B213)&gt;0,1,IF(AND(LEFT(B213,6)="MORRIS",COUNTIFS('[1]Brand Family Territories (Enc)'!$B$2:$B$62,C213,'[1]Brand Family Territories (Enc)'!$C$2:$C$62,"Morri")&gt;0),"Unk",0))</f>
        <v>1</v>
      </c>
      <c r="E213" s="2" t="str">
        <f>IFERROR(INDEX('Blackout Brand Fam Areas (Enc)'!$D$6:$D$998,MATCH(UPPER(A213)&amp;"|"&amp;UPPER(B213),'Blackout Brand Fam Areas (Enc)'!$G$6:$G$998,0)),"No Match")</f>
        <v>No Match</v>
      </c>
      <c r="F213" s="2" t="str">
        <f t="shared" si="6"/>
        <v>US</v>
      </c>
      <c r="G213" s="2" t="str">
        <f t="shared" si="7"/>
        <v>Cusquena|PASSAIC</v>
      </c>
    </row>
    <row r="214" spans="1:7" x14ac:dyDescent="0.2">
      <c r="A214" s="2" t="str" cm="1">
        <f t="array" ref="A214">INDEX('[1]Brand Family Territory (Enc)'!$A$2:$A$296,INT((ROW()-2)/10)+1)</f>
        <v>Cusquena</v>
      </c>
      <c r="B214" s="2" t="str" cm="1">
        <f t="array" ref="B214">INDEX('Whitelist (Blackout Reverse)'!$B$1:$K$1,MOD(ROW()-2,10)+1)</f>
        <v>PASSAIC-FF</v>
      </c>
      <c r="C214" s="2" t="str">
        <f>VLOOKUP(A214,'[1]Brand Family Territory (Enc)'!$A$2:$B$296,2,FALSE)</f>
        <v>Core Market</v>
      </c>
      <c r="D214" s="2">
        <f>IF(COUNTIFS('[1]Brand Family Territories (Enc)'!$B$2:$B$62,C214,'[1]Brand Family Territories (Enc)'!$C$2:$C$62,B214)&gt;0,1,IF(AND(LEFT(B214,6)="MORRIS",COUNTIFS('[1]Brand Family Territories (Enc)'!$B$2:$B$62,C214,'[1]Brand Family Territories (Enc)'!$C$2:$C$62,"Morri")&gt;0),"Unk",0))</f>
        <v>1</v>
      </c>
      <c r="E214" s="2" t="str">
        <f>IFERROR(INDEX('Blackout Brand Fam Areas (Enc)'!$D$6:$D$998,MATCH(UPPER(A214)&amp;"|"&amp;UPPER(B214),'Blackout Brand Fam Areas (Enc)'!$G$6:$G$998,0)),"No Match")</f>
        <v>No Match</v>
      </c>
      <c r="F214" s="2" t="str">
        <f t="shared" si="6"/>
        <v>US</v>
      </c>
      <c r="G214" s="2" t="str">
        <f t="shared" si="7"/>
        <v>Cusquena|PASSAIC-FF</v>
      </c>
    </row>
    <row r="215" spans="1:7" x14ac:dyDescent="0.2">
      <c r="A215" s="2" t="str" cm="1">
        <f t="array" ref="A215">INDEX('[1]Brand Family Territory (Enc)'!$A$2:$A$296,INT((ROW()-2)/10)+1)</f>
        <v>Cusquena</v>
      </c>
      <c r="B215" s="2" t="str" cm="1">
        <f t="array" ref="B215">INDEX('Whitelist (Blackout Reverse)'!$B$1:$K$1,MOD(ROW()-2,10)+1)</f>
        <v>ESSEX</v>
      </c>
      <c r="C215" s="2" t="str">
        <f>VLOOKUP(A215,'[1]Brand Family Territory (Enc)'!$A$2:$B$296,2,FALSE)</f>
        <v>Core Market</v>
      </c>
      <c r="D215" s="2">
        <f>IF(COUNTIFS('[1]Brand Family Territories (Enc)'!$B$2:$B$62,C215,'[1]Brand Family Territories (Enc)'!$C$2:$C$62,B215)&gt;0,1,IF(AND(LEFT(B215,6)="MORRIS",COUNTIFS('[1]Brand Family Territories (Enc)'!$B$2:$B$62,C215,'[1]Brand Family Territories (Enc)'!$C$2:$C$62,"Morri")&gt;0),"Unk",0))</f>
        <v>0</v>
      </c>
      <c r="E215" s="2" t="str">
        <f>IFERROR(INDEX('Blackout Brand Fam Areas (Enc)'!$D$6:$D$998,MATCH(UPPER(A215)&amp;"|"&amp;UPPER(B215),'Blackout Brand Fam Areas (Enc)'!$G$6:$G$998,0)),"No Match")</f>
        <v>Inactive</v>
      </c>
      <c r="F215" s="2" t="str">
        <f t="shared" si="6"/>
        <v>THEM</v>
      </c>
      <c r="G215" s="2" t="str">
        <f t="shared" si="7"/>
        <v>Cusquena|ESSEX</v>
      </c>
    </row>
    <row r="216" spans="1:7" x14ac:dyDescent="0.2">
      <c r="A216" s="2" t="str" cm="1">
        <f t="array" ref="A216">INDEX('[1]Brand Family Territory (Enc)'!$A$2:$A$296,INT((ROW()-2)/10)+1)</f>
        <v>Cusquena</v>
      </c>
      <c r="B216" s="2" t="str" cm="1">
        <f t="array" ref="B216">INDEX('Whitelist (Blackout Reverse)'!$B$1:$K$1,MOD(ROW()-2,10)+1)</f>
        <v>HUDSON</v>
      </c>
      <c r="C216" s="2" t="str">
        <f>VLOOKUP(A216,'[1]Brand Family Territory (Enc)'!$A$2:$B$296,2,FALSE)</f>
        <v>Core Market</v>
      </c>
      <c r="D216" s="2">
        <f>IF(COUNTIFS('[1]Brand Family Territories (Enc)'!$B$2:$B$62,C216,'[1]Brand Family Territories (Enc)'!$C$2:$C$62,B216)&gt;0,1,IF(AND(LEFT(B216,6)="MORRIS",COUNTIFS('[1]Brand Family Territories (Enc)'!$B$2:$B$62,C216,'[1]Brand Family Territories (Enc)'!$C$2:$C$62,"Morri")&gt;0),"Unk",0))</f>
        <v>0</v>
      </c>
      <c r="E216" s="2" t="str">
        <f>IFERROR(INDEX('Blackout Brand Fam Areas (Enc)'!$D$6:$D$998,MATCH(UPPER(A216)&amp;"|"&amp;UPPER(B216),'Blackout Brand Fam Areas (Enc)'!$G$6:$G$998,0)),"No Match")</f>
        <v>Inactive</v>
      </c>
      <c r="F216" s="2" t="str">
        <f t="shared" si="6"/>
        <v>THEM</v>
      </c>
      <c r="G216" s="2" t="str">
        <f t="shared" si="7"/>
        <v>Cusquena|HUDSON</v>
      </c>
    </row>
    <row r="217" spans="1:7" x14ac:dyDescent="0.2">
      <c r="A217" s="2" t="str" cm="1">
        <f t="array" ref="A217">INDEX('[1]Brand Family Territory (Enc)'!$A$2:$A$296,INT((ROW()-2)/10)+1)</f>
        <v>Cusquena</v>
      </c>
      <c r="B217" s="2" t="str" cm="1">
        <f t="array" ref="B217">INDEX('Whitelist (Blackout Reverse)'!$B$1:$K$1,MOD(ROW()-2,10)+1)</f>
        <v>UNION</v>
      </c>
      <c r="C217" s="2" t="str">
        <f>VLOOKUP(A217,'[1]Brand Family Territory (Enc)'!$A$2:$B$296,2,FALSE)</f>
        <v>Core Market</v>
      </c>
      <c r="D217" s="2">
        <f>IF(COUNTIFS('[1]Brand Family Territories (Enc)'!$B$2:$B$62,C217,'[1]Brand Family Territories (Enc)'!$C$2:$C$62,B217)&gt;0,1,IF(AND(LEFT(B217,6)="MORRIS",COUNTIFS('[1]Brand Family Territories (Enc)'!$B$2:$B$62,C217,'[1]Brand Family Territories (Enc)'!$C$2:$C$62,"Morri")&gt;0),"Unk",0))</f>
        <v>0</v>
      </c>
      <c r="E217" s="2" t="str">
        <f>IFERROR(INDEX('Blackout Brand Fam Areas (Enc)'!$D$6:$D$998,MATCH(UPPER(A217)&amp;"|"&amp;UPPER(B217),'Blackout Brand Fam Areas (Enc)'!$G$6:$G$998,0)),"No Match")</f>
        <v>Inactive</v>
      </c>
      <c r="F217" s="2" t="str">
        <f t="shared" si="6"/>
        <v>THEM</v>
      </c>
      <c r="G217" s="2" t="str">
        <f t="shared" si="7"/>
        <v>Cusquena|UNION</v>
      </c>
    </row>
    <row r="218" spans="1:7" x14ac:dyDescent="0.2">
      <c r="A218" s="2" t="str" cm="1">
        <f t="array" ref="A218">INDEX('[1]Brand Family Territory (Enc)'!$A$2:$A$296,INT((ROW()-2)/10)+1)</f>
        <v>Cusquena</v>
      </c>
      <c r="B218" s="2" t="str" cm="1">
        <f t="array" ref="B218">INDEX('Whitelist (Blackout Reverse)'!$B$1:$K$1,MOD(ROW()-2,10)+1)</f>
        <v>SUSSEX</v>
      </c>
      <c r="C218" s="2" t="str">
        <f>VLOOKUP(A218,'[1]Brand Family Territory (Enc)'!$A$2:$B$296,2,FALSE)</f>
        <v>Core Market</v>
      </c>
      <c r="D218" s="2">
        <f>IF(COUNTIFS('[1]Brand Family Territories (Enc)'!$B$2:$B$62,C218,'[1]Brand Family Territories (Enc)'!$C$2:$C$62,B218)&gt;0,1,IF(AND(LEFT(B218,6)="MORRIS",COUNTIFS('[1]Brand Family Territories (Enc)'!$B$2:$B$62,C218,'[1]Brand Family Territories (Enc)'!$C$2:$C$62,"Morri")&gt;0),"Unk",0))</f>
        <v>1</v>
      </c>
      <c r="E218" s="2" t="str">
        <f>IFERROR(INDEX('Blackout Brand Fam Areas (Enc)'!$D$6:$D$998,MATCH(UPPER(A218)&amp;"|"&amp;UPPER(B218),'Blackout Brand Fam Areas (Enc)'!$G$6:$G$998,0)),"No Match")</f>
        <v>No Match</v>
      </c>
      <c r="F218" s="2" t="str">
        <f t="shared" si="6"/>
        <v>US</v>
      </c>
      <c r="G218" s="2" t="str">
        <f t="shared" si="7"/>
        <v>Cusquena|SUSSEX</v>
      </c>
    </row>
    <row r="219" spans="1:7" x14ac:dyDescent="0.2">
      <c r="A219" s="2" t="str" cm="1">
        <f t="array" ref="A219">INDEX('[1]Brand Family Territory (Enc)'!$A$2:$A$296,INT((ROW()-2)/10)+1)</f>
        <v>Cusquena</v>
      </c>
      <c r="B219" s="2" t="str" cm="1">
        <f t="array" ref="B219">INDEX('Whitelist (Blackout Reverse)'!$B$1:$K$1,MOD(ROW()-2,10)+1)</f>
        <v>MORRIS 1</v>
      </c>
      <c r="C219" s="2" t="str">
        <f>VLOOKUP(A219,'[1]Brand Family Territory (Enc)'!$A$2:$B$296,2,FALSE)</f>
        <v>Core Market</v>
      </c>
      <c r="D219" s="2">
        <f>IF(COUNTIFS('[1]Brand Family Territories (Enc)'!$B$2:$B$62,C219,'[1]Brand Family Territories (Enc)'!$C$2:$C$62,B219)&gt;0,1,IF(AND(LEFT(B219,6)="MORRIS",COUNTIFS('[1]Brand Family Territories (Enc)'!$B$2:$B$62,C219,'[1]Brand Family Territories (Enc)'!$C$2:$C$62,"Morri")&gt;0),"Unk",0))</f>
        <v>1</v>
      </c>
      <c r="E219" s="2" t="str">
        <f>IFERROR(INDEX('Blackout Brand Fam Areas (Enc)'!$D$6:$D$998,MATCH(UPPER(A219)&amp;"|"&amp;UPPER(B219),'Blackout Brand Fam Areas (Enc)'!$G$6:$G$998,0)),"No Match")</f>
        <v>No Match</v>
      </c>
      <c r="F219" s="2" t="str">
        <f t="shared" si="6"/>
        <v>US</v>
      </c>
      <c r="G219" s="2" t="str">
        <f t="shared" si="7"/>
        <v>Cusquena|MORRIS 1</v>
      </c>
    </row>
    <row r="220" spans="1:7" x14ac:dyDescent="0.2">
      <c r="A220" s="2" t="str" cm="1">
        <f t="array" ref="A220">INDEX('[1]Brand Family Territory (Enc)'!$A$2:$A$296,INT((ROW()-2)/10)+1)</f>
        <v>Cusquena</v>
      </c>
      <c r="B220" s="2" t="str" cm="1">
        <f t="array" ref="B220">INDEX('Whitelist (Blackout Reverse)'!$B$1:$K$1,MOD(ROW()-2,10)+1)</f>
        <v>MORRIS 2</v>
      </c>
      <c r="C220" s="2" t="str">
        <f>VLOOKUP(A220,'[1]Brand Family Territory (Enc)'!$A$2:$B$296,2,FALSE)</f>
        <v>Core Market</v>
      </c>
      <c r="D220" s="2">
        <f>IF(COUNTIFS('[1]Brand Family Territories (Enc)'!$B$2:$B$62,C220,'[1]Brand Family Territories (Enc)'!$C$2:$C$62,B220)&gt;0,1,IF(AND(LEFT(B220,6)="MORRIS",COUNTIFS('[1]Brand Family Territories (Enc)'!$B$2:$B$62,C220,'[1]Brand Family Territories (Enc)'!$C$2:$C$62,"Morri")&gt;0),"Unk",0))</f>
        <v>0</v>
      </c>
      <c r="E220" s="2" t="str">
        <f>IFERROR(INDEX('Blackout Brand Fam Areas (Enc)'!$D$6:$D$998,MATCH(UPPER(A220)&amp;"|"&amp;UPPER(B220),'Blackout Brand Fam Areas (Enc)'!$G$6:$G$998,0)),"No Match")</f>
        <v>Inactive</v>
      </c>
      <c r="F220" s="2" t="str">
        <f t="shared" si="6"/>
        <v>THEM</v>
      </c>
      <c r="G220" s="2" t="str">
        <f t="shared" si="7"/>
        <v>Cusquena|MORRIS 2</v>
      </c>
    </row>
    <row r="221" spans="1:7" x14ac:dyDescent="0.2">
      <c r="A221" s="2" t="str" cm="1">
        <f t="array" ref="A221">INDEX('[1]Brand Family Territory (Enc)'!$A$2:$A$296,INT((ROW()-2)/10)+1)</f>
        <v>Cusquena</v>
      </c>
      <c r="B221" s="2" t="str" cm="1">
        <f t="array" ref="B221">INDEX('Whitelist (Blackout Reverse)'!$B$1:$K$1,MOD(ROW()-2,10)+1)</f>
        <v>MORRIS 3</v>
      </c>
      <c r="C221" s="2" t="str">
        <f>VLOOKUP(A221,'[1]Brand Family Territory (Enc)'!$A$2:$B$296,2,FALSE)</f>
        <v>Core Market</v>
      </c>
      <c r="D221" s="2">
        <f>IF(COUNTIFS('[1]Brand Family Territories (Enc)'!$B$2:$B$62,C221,'[1]Brand Family Territories (Enc)'!$C$2:$C$62,B221)&gt;0,1,IF(AND(LEFT(B221,6)="MORRIS",COUNTIFS('[1]Brand Family Territories (Enc)'!$B$2:$B$62,C221,'[1]Brand Family Territories (Enc)'!$C$2:$C$62,"Morri")&gt;0),"Unk",0))</f>
        <v>1</v>
      </c>
      <c r="E221" s="2" t="str">
        <f>IFERROR(INDEX('Blackout Brand Fam Areas (Enc)'!$D$6:$D$998,MATCH(UPPER(A221)&amp;"|"&amp;UPPER(B221),'Blackout Brand Fam Areas (Enc)'!$G$6:$G$998,0)),"No Match")</f>
        <v>No Match</v>
      </c>
      <c r="F221" s="2" t="str">
        <f t="shared" si="6"/>
        <v>US</v>
      </c>
      <c r="G221" s="2" t="str">
        <f t="shared" si="7"/>
        <v>Cusquena|MORRIS 3</v>
      </c>
    </row>
    <row r="222" spans="1:7" x14ac:dyDescent="0.2">
      <c r="A222" s="2" t="str" cm="1">
        <f t="array" ref="A222">INDEX('[1]Brand Family Territory (Enc)'!$A$2:$A$296,INT((ROW()-2)/10)+1)</f>
        <v>Dad Grass</v>
      </c>
      <c r="B222" s="2" t="str" cm="1">
        <f t="array" ref="B222">INDEX('Whitelist (Blackout Reverse)'!$B$1:$K$1,MOD(ROW()-2,10)+1)</f>
        <v>BERGEN</v>
      </c>
      <c r="C222" s="2" t="str">
        <f>VLOOKUP(A222,'[1]Brand Family Territory (Enc)'!$A$2:$B$296,2,FALSE)</f>
        <v>Core Market</v>
      </c>
      <c r="D222" s="2">
        <f>IF(COUNTIFS('[1]Brand Family Territories (Enc)'!$B$2:$B$62,C222,'[1]Brand Family Territories (Enc)'!$C$2:$C$62,B222)&gt;0,1,IF(AND(LEFT(B222,6)="MORRIS",COUNTIFS('[1]Brand Family Territories (Enc)'!$B$2:$B$62,C222,'[1]Brand Family Territories (Enc)'!$C$2:$C$62,"Morri")&gt;0),"Unk",0))</f>
        <v>1</v>
      </c>
      <c r="E222" s="2" t="str">
        <f>IFERROR(INDEX('Blackout Brand Fam Areas (Enc)'!$D$6:$D$998,MATCH(UPPER(A222)&amp;"|"&amp;UPPER(B222),'Blackout Brand Fam Areas (Enc)'!$G$6:$G$998,0)),"No Match")</f>
        <v>No Match</v>
      </c>
      <c r="F222" s="2" t="str">
        <f t="shared" si="6"/>
        <v>US</v>
      </c>
      <c r="G222" s="2" t="str">
        <f t="shared" si="7"/>
        <v>Dad Grass|BERGEN</v>
      </c>
    </row>
    <row r="223" spans="1:7" x14ac:dyDescent="0.2">
      <c r="A223" s="2" t="str" cm="1">
        <f t="array" ref="A223">INDEX('[1]Brand Family Territory (Enc)'!$A$2:$A$296,INT((ROW()-2)/10)+1)</f>
        <v>Dad Grass</v>
      </c>
      <c r="B223" s="2" t="str" cm="1">
        <f t="array" ref="B223">INDEX('Whitelist (Blackout Reverse)'!$B$1:$K$1,MOD(ROW()-2,10)+1)</f>
        <v>PASSAIC</v>
      </c>
      <c r="C223" s="2" t="str">
        <f>VLOOKUP(A223,'[1]Brand Family Territory (Enc)'!$A$2:$B$296,2,FALSE)</f>
        <v>Core Market</v>
      </c>
      <c r="D223" s="2">
        <f>IF(COUNTIFS('[1]Brand Family Territories (Enc)'!$B$2:$B$62,C223,'[1]Brand Family Territories (Enc)'!$C$2:$C$62,B223)&gt;0,1,IF(AND(LEFT(B223,6)="MORRIS",COUNTIFS('[1]Brand Family Territories (Enc)'!$B$2:$B$62,C223,'[1]Brand Family Territories (Enc)'!$C$2:$C$62,"Morri")&gt;0),"Unk",0))</f>
        <v>1</v>
      </c>
      <c r="E223" s="2" t="str">
        <f>IFERROR(INDEX('Blackout Brand Fam Areas (Enc)'!$D$6:$D$998,MATCH(UPPER(A223)&amp;"|"&amp;UPPER(B223),'Blackout Brand Fam Areas (Enc)'!$G$6:$G$998,0)),"No Match")</f>
        <v>No Match</v>
      </c>
      <c r="F223" s="2" t="str">
        <f t="shared" si="6"/>
        <v>US</v>
      </c>
      <c r="G223" s="2" t="str">
        <f t="shared" si="7"/>
        <v>Dad Grass|PASSAIC</v>
      </c>
    </row>
    <row r="224" spans="1:7" x14ac:dyDescent="0.2">
      <c r="A224" s="2" t="str" cm="1">
        <f t="array" ref="A224">INDEX('[1]Brand Family Territory (Enc)'!$A$2:$A$296,INT((ROW()-2)/10)+1)</f>
        <v>Dad Grass</v>
      </c>
      <c r="B224" s="2" t="str" cm="1">
        <f t="array" ref="B224">INDEX('Whitelist (Blackout Reverse)'!$B$1:$K$1,MOD(ROW()-2,10)+1)</f>
        <v>PASSAIC-FF</v>
      </c>
      <c r="C224" s="2" t="str">
        <f>VLOOKUP(A224,'[1]Brand Family Territory (Enc)'!$A$2:$B$296,2,FALSE)</f>
        <v>Core Market</v>
      </c>
      <c r="D224" s="2">
        <f>IF(COUNTIFS('[1]Brand Family Territories (Enc)'!$B$2:$B$62,C224,'[1]Brand Family Territories (Enc)'!$C$2:$C$62,B224)&gt;0,1,IF(AND(LEFT(B224,6)="MORRIS",COUNTIFS('[1]Brand Family Territories (Enc)'!$B$2:$B$62,C224,'[1]Brand Family Territories (Enc)'!$C$2:$C$62,"Morri")&gt;0),"Unk",0))</f>
        <v>1</v>
      </c>
      <c r="E224" s="2" t="str">
        <f>IFERROR(INDEX('Blackout Brand Fam Areas (Enc)'!$D$6:$D$998,MATCH(UPPER(A224)&amp;"|"&amp;UPPER(B224),'Blackout Brand Fam Areas (Enc)'!$G$6:$G$998,0)),"No Match")</f>
        <v>No Match</v>
      </c>
      <c r="F224" s="2" t="str">
        <f t="shared" si="6"/>
        <v>US</v>
      </c>
      <c r="G224" s="2" t="str">
        <f t="shared" si="7"/>
        <v>Dad Grass|PASSAIC-FF</v>
      </c>
    </row>
    <row r="225" spans="1:7" x14ac:dyDescent="0.2">
      <c r="A225" s="2" t="str" cm="1">
        <f t="array" ref="A225">INDEX('[1]Brand Family Territory (Enc)'!$A$2:$A$296,INT((ROW()-2)/10)+1)</f>
        <v>Dad Grass</v>
      </c>
      <c r="B225" s="2" t="str" cm="1">
        <f t="array" ref="B225">INDEX('Whitelist (Blackout Reverse)'!$B$1:$K$1,MOD(ROW()-2,10)+1)</f>
        <v>ESSEX</v>
      </c>
      <c r="C225" s="2" t="str">
        <f>VLOOKUP(A225,'[1]Brand Family Territory (Enc)'!$A$2:$B$296,2,FALSE)</f>
        <v>Core Market</v>
      </c>
      <c r="D225" s="2">
        <f>IF(COUNTIFS('[1]Brand Family Territories (Enc)'!$B$2:$B$62,C225,'[1]Brand Family Territories (Enc)'!$C$2:$C$62,B225)&gt;0,1,IF(AND(LEFT(B225,6)="MORRIS",COUNTIFS('[1]Brand Family Territories (Enc)'!$B$2:$B$62,C225,'[1]Brand Family Territories (Enc)'!$C$2:$C$62,"Morri")&gt;0),"Unk",0))</f>
        <v>0</v>
      </c>
      <c r="E225" s="2" t="str">
        <f>IFERROR(INDEX('Blackout Brand Fam Areas (Enc)'!$D$6:$D$998,MATCH(UPPER(A225)&amp;"|"&amp;UPPER(B225),'Blackout Brand Fam Areas (Enc)'!$G$6:$G$998,0)),"No Match")</f>
        <v>Inactive</v>
      </c>
      <c r="F225" s="2" t="str">
        <f t="shared" si="6"/>
        <v>THEM</v>
      </c>
      <c r="G225" s="2" t="str">
        <f t="shared" si="7"/>
        <v>Dad Grass|ESSEX</v>
      </c>
    </row>
    <row r="226" spans="1:7" x14ac:dyDescent="0.2">
      <c r="A226" s="2" t="str" cm="1">
        <f t="array" ref="A226">INDEX('[1]Brand Family Territory (Enc)'!$A$2:$A$296,INT((ROW()-2)/10)+1)</f>
        <v>Dad Grass</v>
      </c>
      <c r="B226" s="2" t="str" cm="1">
        <f t="array" ref="B226">INDEX('Whitelist (Blackout Reverse)'!$B$1:$K$1,MOD(ROW()-2,10)+1)</f>
        <v>HUDSON</v>
      </c>
      <c r="C226" s="2" t="str">
        <f>VLOOKUP(A226,'[1]Brand Family Territory (Enc)'!$A$2:$B$296,2,FALSE)</f>
        <v>Core Market</v>
      </c>
      <c r="D226" s="2">
        <f>IF(COUNTIFS('[1]Brand Family Territories (Enc)'!$B$2:$B$62,C226,'[1]Brand Family Territories (Enc)'!$C$2:$C$62,B226)&gt;0,1,IF(AND(LEFT(B226,6)="MORRIS",COUNTIFS('[1]Brand Family Territories (Enc)'!$B$2:$B$62,C226,'[1]Brand Family Territories (Enc)'!$C$2:$C$62,"Morri")&gt;0),"Unk",0))</f>
        <v>0</v>
      </c>
      <c r="E226" s="2" t="str">
        <f>IFERROR(INDEX('Blackout Brand Fam Areas (Enc)'!$D$6:$D$998,MATCH(UPPER(A226)&amp;"|"&amp;UPPER(B226),'Blackout Brand Fam Areas (Enc)'!$G$6:$G$998,0)),"No Match")</f>
        <v>Inactive</v>
      </c>
      <c r="F226" s="2" t="str">
        <f t="shared" si="6"/>
        <v>THEM</v>
      </c>
      <c r="G226" s="2" t="str">
        <f t="shared" si="7"/>
        <v>Dad Grass|HUDSON</v>
      </c>
    </row>
    <row r="227" spans="1:7" x14ac:dyDescent="0.2">
      <c r="A227" s="2" t="str" cm="1">
        <f t="array" ref="A227">INDEX('[1]Brand Family Territory (Enc)'!$A$2:$A$296,INT((ROW()-2)/10)+1)</f>
        <v>Dad Grass</v>
      </c>
      <c r="B227" s="2" t="str" cm="1">
        <f t="array" ref="B227">INDEX('Whitelist (Blackout Reverse)'!$B$1:$K$1,MOD(ROW()-2,10)+1)</f>
        <v>UNION</v>
      </c>
      <c r="C227" s="2" t="str">
        <f>VLOOKUP(A227,'[1]Brand Family Territory (Enc)'!$A$2:$B$296,2,FALSE)</f>
        <v>Core Market</v>
      </c>
      <c r="D227" s="2">
        <f>IF(COUNTIFS('[1]Brand Family Territories (Enc)'!$B$2:$B$62,C227,'[1]Brand Family Territories (Enc)'!$C$2:$C$62,B227)&gt;0,1,IF(AND(LEFT(B227,6)="MORRIS",COUNTIFS('[1]Brand Family Territories (Enc)'!$B$2:$B$62,C227,'[1]Brand Family Territories (Enc)'!$C$2:$C$62,"Morri")&gt;0),"Unk",0))</f>
        <v>0</v>
      </c>
      <c r="E227" s="2" t="str">
        <f>IFERROR(INDEX('Blackout Brand Fam Areas (Enc)'!$D$6:$D$998,MATCH(UPPER(A227)&amp;"|"&amp;UPPER(B227),'Blackout Brand Fam Areas (Enc)'!$G$6:$G$998,0)),"No Match")</f>
        <v>Inactive</v>
      </c>
      <c r="F227" s="2" t="str">
        <f t="shared" si="6"/>
        <v>THEM</v>
      </c>
      <c r="G227" s="2" t="str">
        <f t="shared" si="7"/>
        <v>Dad Grass|UNION</v>
      </c>
    </row>
    <row r="228" spans="1:7" x14ac:dyDescent="0.2">
      <c r="A228" s="2" t="str" cm="1">
        <f t="array" ref="A228">INDEX('[1]Brand Family Territory (Enc)'!$A$2:$A$296,INT((ROW()-2)/10)+1)</f>
        <v>Dad Grass</v>
      </c>
      <c r="B228" s="2" t="str" cm="1">
        <f t="array" ref="B228">INDEX('Whitelist (Blackout Reverse)'!$B$1:$K$1,MOD(ROW()-2,10)+1)</f>
        <v>SUSSEX</v>
      </c>
      <c r="C228" s="2" t="str">
        <f>VLOOKUP(A228,'[1]Brand Family Territory (Enc)'!$A$2:$B$296,2,FALSE)</f>
        <v>Core Market</v>
      </c>
      <c r="D228" s="2">
        <f>IF(COUNTIFS('[1]Brand Family Territories (Enc)'!$B$2:$B$62,C228,'[1]Brand Family Territories (Enc)'!$C$2:$C$62,B228)&gt;0,1,IF(AND(LEFT(B228,6)="MORRIS",COUNTIFS('[1]Brand Family Territories (Enc)'!$B$2:$B$62,C228,'[1]Brand Family Territories (Enc)'!$C$2:$C$62,"Morri")&gt;0),"Unk",0))</f>
        <v>1</v>
      </c>
      <c r="E228" s="2" t="str">
        <f>IFERROR(INDEX('Blackout Brand Fam Areas (Enc)'!$D$6:$D$998,MATCH(UPPER(A228)&amp;"|"&amp;UPPER(B228),'Blackout Brand Fam Areas (Enc)'!$G$6:$G$998,0)),"No Match")</f>
        <v>No Match</v>
      </c>
      <c r="F228" s="2" t="str">
        <f t="shared" si="6"/>
        <v>US</v>
      </c>
      <c r="G228" s="2" t="str">
        <f t="shared" si="7"/>
        <v>Dad Grass|SUSSEX</v>
      </c>
    </row>
    <row r="229" spans="1:7" x14ac:dyDescent="0.2">
      <c r="A229" s="2" t="str" cm="1">
        <f t="array" ref="A229">INDEX('[1]Brand Family Territory (Enc)'!$A$2:$A$296,INT((ROW()-2)/10)+1)</f>
        <v>Dad Grass</v>
      </c>
      <c r="B229" s="2" t="str" cm="1">
        <f t="array" ref="B229">INDEX('Whitelist (Blackout Reverse)'!$B$1:$K$1,MOD(ROW()-2,10)+1)</f>
        <v>MORRIS 1</v>
      </c>
      <c r="C229" s="2" t="str">
        <f>VLOOKUP(A229,'[1]Brand Family Territory (Enc)'!$A$2:$B$296,2,FALSE)</f>
        <v>Core Market</v>
      </c>
      <c r="D229" s="2">
        <f>IF(COUNTIFS('[1]Brand Family Territories (Enc)'!$B$2:$B$62,C229,'[1]Brand Family Territories (Enc)'!$C$2:$C$62,B229)&gt;0,1,IF(AND(LEFT(B229,6)="MORRIS",COUNTIFS('[1]Brand Family Territories (Enc)'!$B$2:$B$62,C229,'[1]Brand Family Territories (Enc)'!$C$2:$C$62,"Morri")&gt;0),"Unk",0))</f>
        <v>1</v>
      </c>
      <c r="E229" s="2" t="str">
        <f>IFERROR(INDEX('Blackout Brand Fam Areas (Enc)'!$D$6:$D$998,MATCH(UPPER(A229)&amp;"|"&amp;UPPER(B229),'Blackout Brand Fam Areas (Enc)'!$G$6:$G$998,0)),"No Match")</f>
        <v>No Match</v>
      </c>
      <c r="F229" s="2" t="str">
        <f t="shared" si="6"/>
        <v>US</v>
      </c>
      <c r="G229" s="2" t="str">
        <f t="shared" si="7"/>
        <v>Dad Grass|MORRIS 1</v>
      </c>
    </row>
    <row r="230" spans="1:7" x14ac:dyDescent="0.2">
      <c r="A230" s="2" t="str" cm="1">
        <f t="array" ref="A230">INDEX('[1]Brand Family Territory (Enc)'!$A$2:$A$296,INT((ROW()-2)/10)+1)</f>
        <v>Dad Grass</v>
      </c>
      <c r="B230" s="2" t="str" cm="1">
        <f t="array" ref="B230">INDEX('Whitelist (Blackout Reverse)'!$B$1:$K$1,MOD(ROW()-2,10)+1)</f>
        <v>MORRIS 2</v>
      </c>
      <c r="C230" s="2" t="str">
        <f>VLOOKUP(A230,'[1]Brand Family Territory (Enc)'!$A$2:$B$296,2,FALSE)</f>
        <v>Core Market</v>
      </c>
      <c r="D230" s="2">
        <f>IF(COUNTIFS('[1]Brand Family Territories (Enc)'!$B$2:$B$62,C230,'[1]Brand Family Territories (Enc)'!$C$2:$C$62,B230)&gt;0,1,IF(AND(LEFT(B230,6)="MORRIS",COUNTIFS('[1]Brand Family Territories (Enc)'!$B$2:$B$62,C230,'[1]Brand Family Territories (Enc)'!$C$2:$C$62,"Morri")&gt;0),"Unk",0))</f>
        <v>0</v>
      </c>
      <c r="E230" s="2" t="str">
        <f>IFERROR(INDEX('Blackout Brand Fam Areas (Enc)'!$D$6:$D$998,MATCH(UPPER(A230)&amp;"|"&amp;UPPER(B230),'Blackout Brand Fam Areas (Enc)'!$G$6:$G$998,0)),"No Match")</f>
        <v>Inactive</v>
      </c>
      <c r="F230" s="2" t="str">
        <f t="shared" si="6"/>
        <v>THEM</v>
      </c>
      <c r="G230" s="2" t="str">
        <f t="shared" si="7"/>
        <v>Dad Grass|MORRIS 2</v>
      </c>
    </row>
    <row r="231" spans="1:7" x14ac:dyDescent="0.2">
      <c r="A231" s="2" t="str" cm="1">
        <f t="array" ref="A231">INDEX('[1]Brand Family Territory (Enc)'!$A$2:$A$296,INT((ROW()-2)/10)+1)</f>
        <v>Dad Grass</v>
      </c>
      <c r="B231" s="2" t="str" cm="1">
        <f t="array" ref="B231">INDEX('Whitelist (Blackout Reverse)'!$B$1:$K$1,MOD(ROW()-2,10)+1)</f>
        <v>MORRIS 3</v>
      </c>
      <c r="C231" s="2" t="str">
        <f>VLOOKUP(A231,'[1]Brand Family Territory (Enc)'!$A$2:$B$296,2,FALSE)</f>
        <v>Core Market</v>
      </c>
      <c r="D231" s="2">
        <f>IF(COUNTIFS('[1]Brand Family Territories (Enc)'!$B$2:$B$62,C231,'[1]Brand Family Territories (Enc)'!$C$2:$C$62,B231)&gt;0,1,IF(AND(LEFT(B231,6)="MORRIS",COUNTIFS('[1]Brand Family Territories (Enc)'!$B$2:$B$62,C231,'[1]Brand Family Territories (Enc)'!$C$2:$C$62,"Morri")&gt;0),"Unk",0))</f>
        <v>1</v>
      </c>
      <c r="E231" s="2" t="str">
        <f>IFERROR(INDEX('Blackout Brand Fam Areas (Enc)'!$D$6:$D$998,MATCH(UPPER(A231)&amp;"|"&amp;UPPER(B231),'Blackout Brand Fam Areas (Enc)'!$G$6:$G$998,0)),"No Match")</f>
        <v>No Match</v>
      </c>
      <c r="F231" s="2" t="str">
        <f t="shared" si="6"/>
        <v>US</v>
      </c>
      <c r="G231" s="2" t="str">
        <f t="shared" si="7"/>
        <v>Dad Grass|MORRIS 3</v>
      </c>
    </row>
    <row r="232" spans="1:7" x14ac:dyDescent="0.2">
      <c r="A232" s="2" t="str" cm="1">
        <f t="array" ref="A232">INDEX('[1]Brand Family Territory (Enc)'!$A$2:$A$296,INT((ROW()-2)/10)+1)</f>
        <v>Dillon's Cocktails</v>
      </c>
      <c r="B232" s="2" t="str" cm="1">
        <f t="array" ref="B232">INDEX('Whitelist (Blackout Reverse)'!$B$1:$K$1,MOD(ROW()-2,10)+1)</f>
        <v>BERGEN</v>
      </c>
      <c r="C232" s="2" t="str">
        <f>VLOOKUP(A232,'[1]Brand Family Territory (Enc)'!$A$2:$B$296,2,FALSE)</f>
        <v>Core Market</v>
      </c>
      <c r="D232" s="2">
        <f>IF(COUNTIFS('[1]Brand Family Territories (Enc)'!$B$2:$B$62,C232,'[1]Brand Family Territories (Enc)'!$C$2:$C$62,B232)&gt;0,1,IF(AND(LEFT(B232,6)="MORRIS",COUNTIFS('[1]Brand Family Territories (Enc)'!$B$2:$B$62,C232,'[1]Brand Family Territories (Enc)'!$C$2:$C$62,"Morri")&gt;0),"Unk",0))</f>
        <v>1</v>
      </c>
      <c r="E232" s="2" t="str">
        <f>IFERROR(INDEX('Blackout Brand Fam Areas (Enc)'!$D$6:$D$998,MATCH(UPPER(A232)&amp;"|"&amp;UPPER(B232),'Blackout Brand Fam Areas (Enc)'!$G$6:$G$998,0)),"No Match")</f>
        <v>No Match</v>
      </c>
      <c r="F232" s="2" t="str">
        <f t="shared" si="6"/>
        <v>US</v>
      </c>
      <c r="G232" s="2" t="str">
        <f t="shared" si="7"/>
        <v>Dillon's Cocktails|BERGEN</v>
      </c>
    </row>
    <row r="233" spans="1:7" x14ac:dyDescent="0.2">
      <c r="A233" s="2" t="str" cm="1">
        <f t="array" ref="A233">INDEX('[1]Brand Family Territory (Enc)'!$A$2:$A$296,INT((ROW()-2)/10)+1)</f>
        <v>Dillon's Cocktails</v>
      </c>
      <c r="B233" s="2" t="str" cm="1">
        <f t="array" ref="B233">INDEX('Whitelist (Blackout Reverse)'!$B$1:$K$1,MOD(ROW()-2,10)+1)</f>
        <v>PASSAIC</v>
      </c>
      <c r="C233" s="2" t="str">
        <f>VLOOKUP(A233,'[1]Brand Family Territory (Enc)'!$A$2:$B$296,2,FALSE)</f>
        <v>Core Market</v>
      </c>
      <c r="D233" s="2">
        <f>IF(COUNTIFS('[1]Brand Family Territories (Enc)'!$B$2:$B$62,C233,'[1]Brand Family Territories (Enc)'!$C$2:$C$62,B233)&gt;0,1,IF(AND(LEFT(B233,6)="MORRIS",COUNTIFS('[1]Brand Family Territories (Enc)'!$B$2:$B$62,C233,'[1]Brand Family Territories (Enc)'!$C$2:$C$62,"Morri")&gt;0),"Unk",0))</f>
        <v>1</v>
      </c>
      <c r="E233" s="2" t="str">
        <f>IFERROR(INDEX('Blackout Brand Fam Areas (Enc)'!$D$6:$D$998,MATCH(UPPER(A233)&amp;"|"&amp;UPPER(B233),'Blackout Brand Fam Areas (Enc)'!$G$6:$G$998,0)),"No Match")</f>
        <v>No Match</v>
      </c>
      <c r="F233" s="2" t="str">
        <f t="shared" si="6"/>
        <v>US</v>
      </c>
      <c r="G233" s="2" t="str">
        <f t="shared" si="7"/>
        <v>Dillon's Cocktails|PASSAIC</v>
      </c>
    </row>
    <row r="234" spans="1:7" x14ac:dyDescent="0.2">
      <c r="A234" s="2" t="str" cm="1">
        <f t="array" ref="A234">INDEX('[1]Brand Family Territory (Enc)'!$A$2:$A$296,INT((ROW()-2)/10)+1)</f>
        <v>Dillon's Cocktails</v>
      </c>
      <c r="B234" s="2" t="str" cm="1">
        <f t="array" ref="B234">INDEX('Whitelist (Blackout Reverse)'!$B$1:$K$1,MOD(ROW()-2,10)+1)</f>
        <v>PASSAIC-FF</v>
      </c>
      <c r="C234" s="2" t="str">
        <f>VLOOKUP(A234,'[1]Brand Family Territory (Enc)'!$A$2:$B$296,2,FALSE)</f>
        <v>Core Market</v>
      </c>
      <c r="D234" s="2">
        <f>IF(COUNTIFS('[1]Brand Family Territories (Enc)'!$B$2:$B$62,C234,'[1]Brand Family Territories (Enc)'!$C$2:$C$62,B234)&gt;0,1,IF(AND(LEFT(B234,6)="MORRIS",COUNTIFS('[1]Brand Family Territories (Enc)'!$B$2:$B$62,C234,'[1]Brand Family Territories (Enc)'!$C$2:$C$62,"Morri")&gt;0),"Unk",0))</f>
        <v>1</v>
      </c>
      <c r="E234" s="2" t="str">
        <f>IFERROR(INDEX('Blackout Brand Fam Areas (Enc)'!$D$6:$D$998,MATCH(UPPER(A234)&amp;"|"&amp;UPPER(B234),'Blackout Brand Fam Areas (Enc)'!$G$6:$G$998,0)),"No Match")</f>
        <v>No Match</v>
      </c>
      <c r="F234" s="2" t="str">
        <f t="shared" si="6"/>
        <v>US</v>
      </c>
      <c r="G234" s="2" t="str">
        <f t="shared" si="7"/>
        <v>Dillon's Cocktails|PASSAIC-FF</v>
      </c>
    </row>
    <row r="235" spans="1:7" x14ac:dyDescent="0.2">
      <c r="A235" s="2" t="str" cm="1">
        <f t="array" ref="A235">INDEX('[1]Brand Family Territory (Enc)'!$A$2:$A$296,INT((ROW()-2)/10)+1)</f>
        <v>Dillon's Cocktails</v>
      </c>
      <c r="B235" s="2" t="str" cm="1">
        <f t="array" ref="B235">INDEX('Whitelist (Blackout Reverse)'!$B$1:$K$1,MOD(ROW()-2,10)+1)</f>
        <v>ESSEX</v>
      </c>
      <c r="C235" s="2" t="str">
        <f>VLOOKUP(A235,'[1]Brand Family Territory (Enc)'!$A$2:$B$296,2,FALSE)</f>
        <v>Core Market</v>
      </c>
      <c r="D235" s="2">
        <f>IF(COUNTIFS('[1]Brand Family Territories (Enc)'!$B$2:$B$62,C235,'[1]Brand Family Territories (Enc)'!$C$2:$C$62,B235)&gt;0,1,IF(AND(LEFT(B235,6)="MORRIS",COUNTIFS('[1]Brand Family Territories (Enc)'!$B$2:$B$62,C235,'[1]Brand Family Territories (Enc)'!$C$2:$C$62,"Morri")&gt;0),"Unk",0))</f>
        <v>0</v>
      </c>
      <c r="E235" s="2" t="str">
        <f>IFERROR(INDEX('Blackout Brand Fam Areas (Enc)'!$D$6:$D$998,MATCH(UPPER(A235)&amp;"|"&amp;UPPER(B235),'Blackout Brand Fam Areas (Enc)'!$G$6:$G$998,0)),"No Match")</f>
        <v>Inactive</v>
      </c>
      <c r="F235" s="2" t="str">
        <f t="shared" si="6"/>
        <v>THEM</v>
      </c>
      <c r="G235" s="2" t="str">
        <f t="shared" si="7"/>
        <v>Dillon's Cocktails|ESSEX</v>
      </c>
    </row>
    <row r="236" spans="1:7" x14ac:dyDescent="0.2">
      <c r="A236" s="2" t="str" cm="1">
        <f t="array" ref="A236">INDEX('[1]Brand Family Territory (Enc)'!$A$2:$A$296,INT((ROW()-2)/10)+1)</f>
        <v>Dillon's Cocktails</v>
      </c>
      <c r="B236" s="2" t="str" cm="1">
        <f t="array" ref="B236">INDEX('Whitelist (Blackout Reverse)'!$B$1:$K$1,MOD(ROW()-2,10)+1)</f>
        <v>HUDSON</v>
      </c>
      <c r="C236" s="2" t="str">
        <f>VLOOKUP(A236,'[1]Brand Family Territory (Enc)'!$A$2:$B$296,2,FALSE)</f>
        <v>Core Market</v>
      </c>
      <c r="D236" s="2">
        <f>IF(COUNTIFS('[1]Brand Family Territories (Enc)'!$B$2:$B$62,C236,'[1]Brand Family Territories (Enc)'!$C$2:$C$62,B236)&gt;0,1,IF(AND(LEFT(B236,6)="MORRIS",COUNTIFS('[1]Brand Family Territories (Enc)'!$B$2:$B$62,C236,'[1]Brand Family Territories (Enc)'!$C$2:$C$62,"Morri")&gt;0),"Unk",0))</f>
        <v>0</v>
      </c>
      <c r="E236" s="2" t="str">
        <f>IFERROR(INDEX('Blackout Brand Fam Areas (Enc)'!$D$6:$D$998,MATCH(UPPER(A236)&amp;"|"&amp;UPPER(B236),'Blackout Brand Fam Areas (Enc)'!$G$6:$G$998,0)),"No Match")</f>
        <v>Inactive</v>
      </c>
      <c r="F236" s="2" t="str">
        <f t="shared" si="6"/>
        <v>THEM</v>
      </c>
      <c r="G236" s="2" t="str">
        <f t="shared" si="7"/>
        <v>Dillon's Cocktails|HUDSON</v>
      </c>
    </row>
    <row r="237" spans="1:7" x14ac:dyDescent="0.2">
      <c r="A237" s="2" t="str" cm="1">
        <f t="array" ref="A237">INDEX('[1]Brand Family Territory (Enc)'!$A$2:$A$296,INT((ROW()-2)/10)+1)</f>
        <v>Dillon's Cocktails</v>
      </c>
      <c r="B237" s="2" t="str" cm="1">
        <f t="array" ref="B237">INDEX('Whitelist (Blackout Reverse)'!$B$1:$K$1,MOD(ROW()-2,10)+1)</f>
        <v>UNION</v>
      </c>
      <c r="C237" s="2" t="str">
        <f>VLOOKUP(A237,'[1]Brand Family Territory (Enc)'!$A$2:$B$296,2,FALSE)</f>
        <v>Core Market</v>
      </c>
      <c r="D237" s="2">
        <f>IF(COUNTIFS('[1]Brand Family Territories (Enc)'!$B$2:$B$62,C237,'[1]Brand Family Territories (Enc)'!$C$2:$C$62,B237)&gt;0,1,IF(AND(LEFT(B237,6)="MORRIS",COUNTIFS('[1]Brand Family Territories (Enc)'!$B$2:$B$62,C237,'[1]Brand Family Territories (Enc)'!$C$2:$C$62,"Morri")&gt;0),"Unk",0))</f>
        <v>0</v>
      </c>
      <c r="E237" s="2" t="str">
        <f>IFERROR(INDEX('Blackout Brand Fam Areas (Enc)'!$D$6:$D$998,MATCH(UPPER(A237)&amp;"|"&amp;UPPER(B237),'Blackout Brand Fam Areas (Enc)'!$G$6:$G$998,0)),"No Match")</f>
        <v>Inactive</v>
      </c>
      <c r="F237" s="2" t="str">
        <f t="shared" si="6"/>
        <v>THEM</v>
      </c>
      <c r="G237" s="2" t="str">
        <f t="shared" si="7"/>
        <v>Dillon's Cocktails|UNION</v>
      </c>
    </row>
    <row r="238" spans="1:7" x14ac:dyDescent="0.2">
      <c r="A238" s="2" t="str" cm="1">
        <f t="array" ref="A238">INDEX('[1]Brand Family Territory (Enc)'!$A$2:$A$296,INT((ROW()-2)/10)+1)</f>
        <v>Dillon's Cocktails</v>
      </c>
      <c r="B238" s="2" t="str" cm="1">
        <f t="array" ref="B238">INDEX('Whitelist (Blackout Reverse)'!$B$1:$K$1,MOD(ROW()-2,10)+1)</f>
        <v>SUSSEX</v>
      </c>
      <c r="C238" s="2" t="str">
        <f>VLOOKUP(A238,'[1]Brand Family Territory (Enc)'!$A$2:$B$296,2,FALSE)</f>
        <v>Core Market</v>
      </c>
      <c r="D238" s="2">
        <f>IF(COUNTIFS('[1]Brand Family Territories (Enc)'!$B$2:$B$62,C238,'[1]Brand Family Territories (Enc)'!$C$2:$C$62,B238)&gt;0,1,IF(AND(LEFT(B238,6)="MORRIS",COUNTIFS('[1]Brand Family Territories (Enc)'!$B$2:$B$62,C238,'[1]Brand Family Territories (Enc)'!$C$2:$C$62,"Morri")&gt;0),"Unk",0))</f>
        <v>1</v>
      </c>
      <c r="E238" s="2" t="str">
        <f>IFERROR(INDEX('Blackout Brand Fam Areas (Enc)'!$D$6:$D$998,MATCH(UPPER(A238)&amp;"|"&amp;UPPER(B238),'Blackout Brand Fam Areas (Enc)'!$G$6:$G$998,0)),"No Match")</f>
        <v>No Match</v>
      </c>
      <c r="F238" s="2" t="str">
        <f t="shared" si="6"/>
        <v>US</v>
      </c>
      <c r="G238" s="2" t="str">
        <f t="shared" si="7"/>
        <v>Dillon's Cocktails|SUSSEX</v>
      </c>
    </row>
    <row r="239" spans="1:7" x14ac:dyDescent="0.2">
      <c r="A239" s="2" t="str" cm="1">
        <f t="array" ref="A239">INDEX('[1]Brand Family Territory (Enc)'!$A$2:$A$296,INT((ROW()-2)/10)+1)</f>
        <v>Dillon's Cocktails</v>
      </c>
      <c r="B239" s="2" t="str" cm="1">
        <f t="array" ref="B239">INDEX('Whitelist (Blackout Reverse)'!$B$1:$K$1,MOD(ROW()-2,10)+1)</f>
        <v>MORRIS 1</v>
      </c>
      <c r="C239" s="2" t="str">
        <f>VLOOKUP(A239,'[1]Brand Family Territory (Enc)'!$A$2:$B$296,2,FALSE)</f>
        <v>Core Market</v>
      </c>
      <c r="D239" s="2">
        <f>IF(COUNTIFS('[1]Brand Family Territories (Enc)'!$B$2:$B$62,C239,'[1]Brand Family Territories (Enc)'!$C$2:$C$62,B239)&gt;0,1,IF(AND(LEFT(B239,6)="MORRIS",COUNTIFS('[1]Brand Family Territories (Enc)'!$B$2:$B$62,C239,'[1]Brand Family Territories (Enc)'!$C$2:$C$62,"Morri")&gt;0),"Unk",0))</f>
        <v>1</v>
      </c>
      <c r="E239" s="2" t="str">
        <f>IFERROR(INDEX('Blackout Brand Fam Areas (Enc)'!$D$6:$D$998,MATCH(UPPER(A239)&amp;"|"&amp;UPPER(B239),'Blackout Brand Fam Areas (Enc)'!$G$6:$G$998,0)),"No Match")</f>
        <v>No Match</v>
      </c>
      <c r="F239" s="2" t="str">
        <f t="shared" si="6"/>
        <v>US</v>
      </c>
      <c r="G239" s="2" t="str">
        <f t="shared" si="7"/>
        <v>Dillon's Cocktails|MORRIS 1</v>
      </c>
    </row>
    <row r="240" spans="1:7" x14ac:dyDescent="0.2">
      <c r="A240" s="2" t="str" cm="1">
        <f t="array" ref="A240">INDEX('[1]Brand Family Territory (Enc)'!$A$2:$A$296,INT((ROW()-2)/10)+1)</f>
        <v>Dillon's Cocktails</v>
      </c>
      <c r="B240" s="2" t="str" cm="1">
        <f t="array" ref="B240">INDEX('Whitelist (Blackout Reverse)'!$B$1:$K$1,MOD(ROW()-2,10)+1)</f>
        <v>MORRIS 2</v>
      </c>
      <c r="C240" s="2" t="str">
        <f>VLOOKUP(A240,'[1]Brand Family Territory (Enc)'!$A$2:$B$296,2,FALSE)</f>
        <v>Core Market</v>
      </c>
      <c r="D240" s="2">
        <f>IF(COUNTIFS('[1]Brand Family Territories (Enc)'!$B$2:$B$62,C240,'[1]Brand Family Territories (Enc)'!$C$2:$C$62,B240)&gt;0,1,IF(AND(LEFT(B240,6)="MORRIS",COUNTIFS('[1]Brand Family Territories (Enc)'!$B$2:$B$62,C240,'[1]Brand Family Territories (Enc)'!$C$2:$C$62,"Morri")&gt;0),"Unk",0))</f>
        <v>0</v>
      </c>
      <c r="E240" s="2" t="str">
        <f>IFERROR(INDEX('Blackout Brand Fam Areas (Enc)'!$D$6:$D$998,MATCH(UPPER(A240)&amp;"|"&amp;UPPER(B240),'Blackout Brand Fam Areas (Enc)'!$G$6:$G$998,0)),"No Match")</f>
        <v>Inactive</v>
      </c>
      <c r="F240" s="2" t="str">
        <f t="shared" si="6"/>
        <v>THEM</v>
      </c>
      <c r="G240" s="2" t="str">
        <f t="shared" si="7"/>
        <v>Dillon's Cocktails|MORRIS 2</v>
      </c>
    </row>
    <row r="241" spans="1:7" x14ac:dyDescent="0.2">
      <c r="A241" s="2" t="str" cm="1">
        <f t="array" ref="A241">INDEX('[1]Brand Family Territory (Enc)'!$A$2:$A$296,INT((ROW()-2)/10)+1)</f>
        <v>Dillon's Cocktails</v>
      </c>
      <c r="B241" s="2" t="str" cm="1">
        <f t="array" ref="B241">INDEX('Whitelist (Blackout Reverse)'!$B$1:$K$1,MOD(ROW()-2,10)+1)</f>
        <v>MORRIS 3</v>
      </c>
      <c r="C241" s="2" t="str">
        <f>VLOOKUP(A241,'[1]Brand Family Territory (Enc)'!$A$2:$B$296,2,FALSE)</f>
        <v>Core Market</v>
      </c>
      <c r="D241" s="2">
        <f>IF(COUNTIFS('[1]Brand Family Territories (Enc)'!$B$2:$B$62,C241,'[1]Brand Family Territories (Enc)'!$C$2:$C$62,B241)&gt;0,1,IF(AND(LEFT(B241,6)="MORRIS",COUNTIFS('[1]Brand Family Territories (Enc)'!$B$2:$B$62,C241,'[1]Brand Family Territories (Enc)'!$C$2:$C$62,"Morri")&gt;0),"Unk",0))</f>
        <v>1</v>
      </c>
      <c r="E241" s="2" t="str">
        <f>IFERROR(INDEX('Blackout Brand Fam Areas (Enc)'!$D$6:$D$998,MATCH(UPPER(A241)&amp;"|"&amp;UPPER(B241),'Blackout Brand Fam Areas (Enc)'!$G$6:$G$998,0)),"No Match")</f>
        <v>No Match</v>
      </c>
      <c r="F241" s="2" t="str">
        <f t="shared" si="6"/>
        <v>US</v>
      </c>
      <c r="G241" s="2" t="str">
        <f t="shared" si="7"/>
        <v>Dillon's Cocktails|MORRIS 3</v>
      </c>
    </row>
    <row r="242" spans="1:7" x14ac:dyDescent="0.2">
      <c r="A242" s="2" t="str" cm="1">
        <f t="array" ref="A242">INDEX('[1]Brand Family Territory (Enc)'!$A$2:$A$296,INT((ROW()-2)/10)+1)</f>
        <v>Dogfish Head Beer</v>
      </c>
      <c r="B242" s="2" t="str" cm="1">
        <f t="array" ref="B242">INDEX('Whitelist (Blackout Reverse)'!$B$1:$K$1,MOD(ROW()-2,10)+1)</f>
        <v>BERGEN</v>
      </c>
      <c r="C242" s="2" t="str">
        <f>VLOOKUP(A242,'[1]Brand Family Territory (Enc)'!$A$2:$B$296,2,FALSE)</f>
        <v>Core Market</v>
      </c>
      <c r="D242" s="2">
        <f>IF(COUNTIFS('[1]Brand Family Territories (Enc)'!$B$2:$B$62,C242,'[1]Brand Family Territories (Enc)'!$C$2:$C$62,B242)&gt;0,1,IF(AND(LEFT(B242,6)="MORRIS",COUNTIFS('[1]Brand Family Territories (Enc)'!$B$2:$B$62,C242,'[1]Brand Family Territories (Enc)'!$C$2:$C$62,"Morri")&gt;0),"Unk",0))</f>
        <v>1</v>
      </c>
      <c r="E242" s="2" t="str">
        <f>IFERROR(INDEX('Blackout Brand Fam Areas (Enc)'!$D$6:$D$998,MATCH(UPPER(A242)&amp;"|"&amp;UPPER(B242),'Blackout Brand Fam Areas (Enc)'!$G$6:$G$998,0)),"No Match")</f>
        <v>No Match</v>
      </c>
      <c r="F242" s="2" t="str">
        <f t="shared" si="6"/>
        <v>US</v>
      </c>
      <c r="G242" s="2" t="str">
        <f t="shared" si="7"/>
        <v>Dogfish Head Beer|BERGEN</v>
      </c>
    </row>
    <row r="243" spans="1:7" x14ac:dyDescent="0.2">
      <c r="A243" s="2" t="str" cm="1">
        <f t="array" ref="A243">INDEX('[1]Brand Family Territory (Enc)'!$A$2:$A$296,INT((ROW()-2)/10)+1)</f>
        <v>Dogfish Head Beer</v>
      </c>
      <c r="B243" s="2" t="str" cm="1">
        <f t="array" ref="B243">INDEX('Whitelist (Blackout Reverse)'!$B$1:$K$1,MOD(ROW()-2,10)+1)</f>
        <v>PASSAIC</v>
      </c>
      <c r="C243" s="2" t="str">
        <f>VLOOKUP(A243,'[1]Brand Family Territory (Enc)'!$A$2:$B$296,2,FALSE)</f>
        <v>Core Market</v>
      </c>
      <c r="D243" s="2">
        <f>IF(COUNTIFS('[1]Brand Family Territories (Enc)'!$B$2:$B$62,C243,'[1]Brand Family Territories (Enc)'!$C$2:$C$62,B243)&gt;0,1,IF(AND(LEFT(B243,6)="MORRIS",COUNTIFS('[1]Brand Family Territories (Enc)'!$B$2:$B$62,C243,'[1]Brand Family Territories (Enc)'!$C$2:$C$62,"Morri")&gt;0),"Unk",0))</f>
        <v>1</v>
      </c>
      <c r="E243" s="2" t="str">
        <f>IFERROR(INDEX('Blackout Brand Fam Areas (Enc)'!$D$6:$D$998,MATCH(UPPER(A243)&amp;"|"&amp;UPPER(B243),'Blackout Brand Fam Areas (Enc)'!$G$6:$G$998,0)),"No Match")</f>
        <v>No Match</v>
      </c>
      <c r="F243" s="2" t="str">
        <f t="shared" si="6"/>
        <v>US</v>
      </c>
      <c r="G243" s="2" t="str">
        <f t="shared" si="7"/>
        <v>Dogfish Head Beer|PASSAIC</v>
      </c>
    </row>
    <row r="244" spans="1:7" x14ac:dyDescent="0.2">
      <c r="A244" s="2" t="str" cm="1">
        <f t="array" ref="A244">INDEX('[1]Brand Family Territory (Enc)'!$A$2:$A$296,INT((ROW()-2)/10)+1)</f>
        <v>Dogfish Head Beer</v>
      </c>
      <c r="B244" s="2" t="str" cm="1">
        <f t="array" ref="B244">INDEX('Whitelist (Blackout Reverse)'!$B$1:$K$1,MOD(ROW()-2,10)+1)</f>
        <v>PASSAIC-FF</v>
      </c>
      <c r="C244" s="2" t="str">
        <f>VLOOKUP(A244,'[1]Brand Family Territory (Enc)'!$A$2:$B$296,2,FALSE)</f>
        <v>Core Market</v>
      </c>
      <c r="D244" s="2">
        <f>IF(COUNTIFS('[1]Brand Family Territories (Enc)'!$B$2:$B$62,C244,'[1]Brand Family Territories (Enc)'!$C$2:$C$62,B244)&gt;0,1,IF(AND(LEFT(B244,6)="MORRIS",COUNTIFS('[1]Brand Family Territories (Enc)'!$B$2:$B$62,C244,'[1]Brand Family Territories (Enc)'!$C$2:$C$62,"Morri")&gt;0),"Unk",0))</f>
        <v>1</v>
      </c>
      <c r="E244" s="2" t="str">
        <f>IFERROR(INDEX('Blackout Brand Fam Areas (Enc)'!$D$6:$D$998,MATCH(UPPER(A244)&amp;"|"&amp;UPPER(B244),'Blackout Brand Fam Areas (Enc)'!$G$6:$G$998,0)),"No Match")</f>
        <v>No Match</v>
      </c>
      <c r="F244" s="2" t="str">
        <f t="shared" si="6"/>
        <v>US</v>
      </c>
      <c r="G244" s="2" t="str">
        <f t="shared" si="7"/>
        <v>Dogfish Head Beer|PASSAIC-FF</v>
      </c>
    </row>
    <row r="245" spans="1:7" x14ac:dyDescent="0.2">
      <c r="A245" s="2" t="str" cm="1">
        <f t="array" ref="A245">INDEX('[1]Brand Family Territory (Enc)'!$A$2:$A$296,INT((ROW()-2)/10)+1)</f>
        <v>Dogfish Head Beer</v>
      </c>
      <c r="B245" s="2" t="str" cm="1">
        <f t="array" ref="B245">INDEX('Whitelist (Blackout Reverse)'!$B$1:$K$1,MOD(ROW()-2,10)+1)</f>
        <v>ESSEX</v>
      </c>
      <c r="C245" s="2" t="str">
        <f>VLOOKUP(A245,'[1]Brand Family Territory (Enc)'!$A$2:$B$296,2,FALSE)</f>
        <v>Core Market</v>
      </c>
      <c r="D245" s="2">
        <f>IF(COUNTIFS('[1]Brand Family Territories (Enc)'!$B$2:$B$62,C245,'[1]Brand Family Territories (Enc)'!$C$2:$C$62,B245)&gt;0,1,IF(AND(LEFT(B245,6)="MORRIS",COUNTIFS('[1]Brand Family Territories (Enc)'!$B$2:$B$62,C245,'[1]Brand Family Territories (Enc)'!$C$2:$C$62,"Morri")&gt;0),"Unk",0))</f>
        <v>0</v>
      </c>
      <c r="E245" s="2" t="str">
        <f>IFERROR(INDEX('Blackout Brand Fam Areas (Enc)'!$D$6:$D$998,MATCH(UPPER(A245)&amp;"|"&amp;UPPER(B245),'Blackout Brand Fam Areas (Enc)'!$G$6:$G$998,0)),"No Match")</f>
        <v>Inactive</v>
      </c>
      <c r="F245" s="2" t="str">
        <f t="shared" si="6"/>
        <v>THEM</v>
      </c>
      <c r="G245" s="2" t="str">
        <f t="shared" si="7"/>
        <v>Dogfish Head Beer|ESSEX</v>
      </c>
    </row>
    <row r="246" spans="1:7" x14ac:dyDescent="0.2">
      <c r="A246" s="2" t="str" cm="1">
        <f t="array" ref="A246">INDEX('[1]Brand Family Territory (Enc)'!$A$2:$A$296,INT((ROW()-2)/10)+1)</f>
        <v>Dogfish Head Beer</v>
      </c>
      <c r="B246" s="2" t="str" cm="1">
        <f t="array" ref="B246">INDEX('Whitelist (Blackout Reverse)'!$B$1:$K$1,MOD(ROW()-2,10)+1)</f>
        <v>HUDSON</v>
      </c>
      <c r="C246" s="2" t="str">
        <f>VLOOKUP(A246,'[1]Brand Family Territory (Enc)'!$A$2:$B$296,2,FALSE)</f>
        <v>Core Market</v>
      </c>
      <c r="D246" s="2">
        <f>IF(COUNTIFS('[1]Brand Family Territories (Enc)'!$B$2:$B$62,C246,'[1]Brand Family Territories (Enc)'!$C$2:$C$62,B246)&gt;0,1,IF(AND(LEFT(B246,6)="MORRIS",COUNTIFS('[1]Brand Family Territories (Enc)'!$B$2:$B$62,C246,'[1]Brand Family Territories (Enc)'!$C$2:$C$62,"Morri")&gt;0),"Unk",0))</f>
        <v>0</v>
      </c>
      <c r="E246" s="2" t="str">
        <f>IFERROR(INDEX('Blackout Brand Fam Areas (Enc)'!$D$6:$D$998,MATCH(UPPER(A246)&amp;"|"&amp;UPPER(B246),'Blackout Brand Fam Areas (Enc)'!$G$6:$G$998,0)),"No Match")</f>
        <v>Inactive</v>
      </c>
      <c r="F246" s="2" t="str">
        <f t="shared" si="6"/>
        <v>THEM</v>
      </c>
      <c r="G246" s="2" t="str">
        <f t="shared" si="7"/>
        <v>Dogfish Head Beer|HUDSON</v>
      </c>
    </row>
    <row r="247" spans="1:7" x14ac:dyDescent="0.2">
      <c r="A247" s="2" t="str" cm="1">
        <f t="array" ref="A247">INDEX('[1]Brand Family Territory (Enc)'!$A$2:$A$296,INT((ROW()-2)/10)+1)</f>
        <v>Dogfish Head Beer</v>
      </c>
      <c r="B247" s="2" t="str" cm="1">
        <f t="array" ref="B247">INDEX('Whitelist (Blackout Reverse)'!$B$1:$K$1,MOD(ROW()-2,10)+1)</f>
        <v>UNION</v>
      </c>
      <c r="C247" s="2" t="str">
        <f>VLOOKUP(A247,'[1]Brand Family Territory (Enc)'!$A$2:$B$296,2,FALSE)</f>
        <v>Core Market</v>
      </c>
      <c r="D247" s="2">
        <f>IF(COUNTIFS('[1]Brand Family Territories (Enc)'!$B$2:$B$62,C247,'[1]Brand Family Territories (Enc)'!$C$2:$C$62,B247)&gt;0,1,IF(AND(LEFT(B247,6)="MORRIS",COUNTIFS('[1]Brand Family Territories (Enc)'!$B$2:$B$62,C247,'[1]Brand Family Territories (Enc)'!$C$2:$C$62,"Morri")&gt;0),"Unk",0))</f>
        <v>0</v>
      </c>
      <c r="E247" s="2" t="str">
        <f>IFERROR(INDEX('Blackout Brand Fam Areas (Enc)'!$D$6:$D$998,MATCH(UPPER(A247)&amp;"|"&amp;UPPER(B247),'Blackout Brand Fam Areas (Enc)'!$G$6:$G$998,0)),"No Match")</f>
        <v>Inactive</v>
      </c>
      <c r="F247" s="2" t="str">
        <f t="shared" si="6"/>
        <v>THEM</v>
      </c>
      <c r="G247" s="2" t="str">
        <f t="shared" si="7"/>
        <v>Dogfish Head Beer|UNION</v>
      </c>
    </row>
    <row r="248" spans="1:7" x14ac:dyDescent="0.2">
      <c r="A248" s="2" t="str" cm="1">
        <f t="array" ref="A248">INDEX('[1]Brand Family Territory (Enc)'!$A$2:$A$296,INT((ROW()-2)/10)+1)</f>
        <v>Dogfish Head Beer</v>
      </c>
      <c r="B248" s="2" t="str" cm="1">
        <f t="array" ref="B248">INDEX('Whitelist (Blackout Reverse)'!$B$1:$K$1,MOD(ROW()-2,10)+1)</f>
        <v>SUSSEX</v>
      </c>
      <c r="C248" s="2" t="str">
        <f>VLOOKUP(A248,'[1]Brand Family Territory (Enc)'!$A$2:$B$296,2,FALSE)</f>
        <v>Core Market</v>
      </c>
      <c r="D248" s="2">
        <f>IF(COUNTIFS('[1]Brand Family Territories (Enc)'!$B$2:$B$62,C248,'[1]Brand Family Territories (Enc)'!$C$2:$C$62,B248)&gt;0,1,IF(AND(LEFT(B248,6)="MORRIS",COUNTIFS('[1]Brand Family Territories (Enc)'!$B$2:$B$62,C248,'[1]Brand Family Territories (Enc)'!$C$2:$C$62,"Morri")&gt;0),"Unk",0))</f>
        <v>1</v>
      </c>
      <c r="E248" s="2" t="str">
        <f>IFERROR(INDEX('Blackout Brand Fam Areas (Enc)'!$D$6:$D$998,MATCH(UPPER(A248)&amp;"|"&amp;UPPER(B248),'Blackout Brand Fam Areas (Enc)'!$G$6:$G$998,0)),"No Match")</f>
        <v>No Match</v>
      </c>
      <c r="F248" s="2" t="str">
        <f t="shared" si="6"/>
        <v>US</v>
      </c>
      <c r="G248" s="2" t="str">
        <f t="shared" si="7"/>
        <v>Dogfish Head Beer|SUSSEX</v>
      </c>
    </row>
    <row r="249" spans="1:7" x14ac:dyDescent="0.2">
      <c r="A249" s="2" t="str" cm="1">
        <f t="array" ref="A249">INDEX('[1]Brand Family Territory (Enc)'!$A$2:$A$296,INT((ROW()-2)/10)+1)</f>
        <v>Dogfish Head Beer</v>
      </c>
      <c r="B249" s="2" t="str" cm="1">
        <f t="array" ref="B249">INDEX('Whitelist (Blackout Reverse)'!$B$1:$K$1,MOD(ROW()-2,10)+1)</f>
        <v>MORRIS 1</v>
      </c>
      <c r="C249" s="2" t="str">
        <f>VLOOKUP(A249,'[1]Brand Family Territory (Enc)'!$A$2:$B$296,2,FALSE)</f>
        <v>Core Market</v>
      </c>
      <c r="D249" s="2">
        <f>IF(COUNTIFS('[1]Brand Family Territories (Enc)'!$B$2:$B$62,C249,'[1]Brand Family Territories (Enc)'!$C$2:$C$62,B249)&gt;0,1,IF(AND(LEFT(B249,6)="MORRIS",COUNTIFS('[1]Brand Family Territories (Enc)'!$B$2:$B$62,C249,'[1]Brand Family Territories (Enc)'!$C$2:$C$62,"Morri")&gt;0),"Unk",0))</f>
        <v>1</v>
      </c>
      <c r="E249" s="2" t="str">
        <f>IFERROR(INDEX('Blackout Brand Fam Areas (Enc)'!$D$6:$D$998,MATCH(UPPER(A249)&amp;"|"&amp;UPPER(B249),'Blackout Brand Fam Areas (Enc)'!$G$6:$G$998,0)),"No Match")</f>
        <v>No Match</v>
      </c>
      <c r="F249" s="2" t="str">
        <f t="shared" si="6"/>
        <v>US</v>
      </c>
      <c r="G249" s="2" t="str">
        <f t="shared" si="7"/>
        <v>Dogfish Head Beer|MORRIS 1</v>
      </c>
    </row>
    <row r="250" spans="1:7" x14ac:dyDescent="0.2">
      <c r="A250" s="2" t="str" cm="1">
        <f t="array" ref="A250">INDEX('[1]Brand Family Territory (Enc)'!$A$2:$A$296,INT((ROW()-2)/10)+1)</f>
        <v>Dogfish Head Beer</v>
      </c>
      <c r="B250" s="2" t="str" cm="1">
        <f t="array" ref="B250">INDEX('Whitelist (Blackout Reverse)'!$B$1:$K$1,MOD(ROW()-2,10)+1)</f>
        <v>MORRIS 2</v>
      </c>
      <c r="C250" s="2" t="str">
        <f>VLOOKUP(A250,'[1]Brand Family Territory (Enc)'!$A$2:$B$296,2,FALSE)</f>
        <v>Core Market</v>
      </c>
      <c r="D250" s="2">
        <f>IF(COUNTIFS('[1]Brand Family Territories (Enc)'!$B$2:$B$62,C250,'[1]Brand Family Territories (Enc)'!$C$2:$C$62,B250)&gt;0,1,IF(AND(LEFT(B250,6)="MORRIS",COUNTIFS('[1]Brand Family Territories (Enc)'!$B$2:$B$62,C250,'[1]Brand Family Territories (Enc)'!$C$2:$C$62,"Morri")&gt;0),"Unk",0))</f>
        <v>0</v>
      </c>
      <c r="E250" s="2" t="str">
        <f>IFERROR(INDEX('Blackout Brand Fam Areas (Enc)'!$D$6:$D$998,MATCH(UPPER(A250)&amp;"|"&amp;UPPER(B250),'Blackout Brand Fam Areas (Enc)'!$G$6:$G$998,0)),"No Match")</f>
        <v>Inactive</v>
      </c>
      <c r="F250" s="2" t="str">
        <f t="shared" si="6"/>
        <v>THEM</v>
      </c>
      <c r="G250" s="2" t="str">
        <f t="shared" si="7"/>
        <v>Dogfish Head Beer|MORRIS 2</v>
      </c>
    </row>
    <row r="251" spans="1:7" x14ac:dyDescent="0.2">
      <c r="A251" s="2" t="str" cm="1">
        <f t="array" ref="A251">INDEX('[1]Brand Family Territory (Enc)'!$A$2:$A$296,INT((ROW()-2)/10)+1)</f>
        <v>Dogfish Head Beer</v>
      </c>
      <c r="B251" s="2" t="str" cm="1">
        <f t="array" ref="B251">INDEX('Whitelist (Blackout Reverse)'!$B$1:$K$1,MOD(ROW()-2,10)+1)</f>
        <v>MORRIS 3</v>
      </c>
      <c r="C251" s="2" t="str">
        <f>VLOOKUP(A251,'[1]Brand Family Territory (Enc)'!$A$2:$B$296,2,FALSE)</f>
        <v>Core Market</v>
      </c>
      <c r="D251" s="2">
        <f>IF(COUNTIFS('[1]Brand Family Territories (Enc)'!$B$2:$B$62,C251,'[1]Brand Family Territories (Enc)'!$C$2:$C$62,B251)&gt;0,1,IF(AND(LEFT(B251,6)="MORRIS",COUNTIFS('[1]Brand Family Territories (Enc)'!$B$2:$B$62,C251,'[1]Brand Family Territories (Enc)'!$C$2:$C$62,"Morri")&gt;0),"Unk",0))</f>
        <v>1</v>
      </c>
      <c r="E251" s="2" t="str">
        <f>IFERROR(INDEX('Blackout Brand Fam Areas (Enc)'!$D$6:$D$998,MATCH(UPPER(A251)&amp;"|"&amp;UPPER(B251),'Blackout Brand Fam Areas (Enc)'!$G$6:$G$998,0)),"No Match")</f>
        <v>No Match</v>
      </c>
      <c r="F251" s="2" t="str">
        <f t="shared" si="6"/>
        <v>US</v>
      </c>
      <c r="G251" s="2" t="str">
        <f t="shared" si="7"/>
        <v>Dogfish Head Beer|MORRIS 3</v>
      </c>
    </row>
    <row r="252" spans="1:7" x14ac:dyDescent="0.2">
      <c r="A252" s="2" t="str" cm="1">
        <f t="array" ref="A252">INDEX('[1]Brand Family Territory (Enc)'!$A$2:$A$296,INT((ROW()-2)/10)+1)</f>
        <v>Dogfish Head Spirits</v>
      </c>
      <c r="B252" s="2" t="str" cm="1">
        <f t="array" ref="B252">INDEX('Whitelist (Blackout Reverse)'!$B$1:$K$1,MOD(ROW()-2,10)+1)</f>
        <v>BERGEN</v>
      </c>
      <c r="C252" s="2" t="str">
        <f>VLOOKUP(A252,'[1]Brand Family Territory (Enc)'!$A$2:$B$296,2,FALSE)</f>
        <v>Core Market</v>
      </c>
      <c r="D252" s="2">
        <f>IF(COUNTIFS('[1]Brand Family Territories (Enc)'!$B$2:$B$62,C252,'[1]Brand Family Territories (Enc)'!$C$2:$C$62,B252)&gt;0,1,IF(AND(LEFT(B252,6)="MORRIS",COUNTIFS('[1]Brand Family Territories (Enc)'!$B$2:$B$62,C252,'[1]Brand Family Territories (Enc)'!$C$2:$C$62,"Morri")&gt;0),"Unk",0))</f>
        <v>1</v>
      </c>
      <c r="E252" s="2" t="str">
        <f>IFERROR(INDEX('Blackout Brand Fam Areas (Enc)'!$D$6:$D$998,MATCH(UPPER(A252)&amp;"|"&amp;UPPER(B252),'Blackout Brand Fam Areas (Enc)'!$G$6:$G$998,0)),"No Match")</f>
        <v>No Match</v>
      </c>
      <c r="F252" s="2" t="str">
        <f t="shared" si="6"/>
        <v>US</v>
      </c>
      <c r="G252" s="2" t="str">
        <f t="shared" si="7"/>
        <v>Dogfish Head Spirits|BERGEN</v>
      </c>
    </row>
    <row r="253" spans="1:7" x14ac:dyDescent="0.2">
      <c r="A253" s="2" t="str" cm="1">
        <f t="array" ref="A253">INDEX('[1]Brand Family Territory (Enc)'!$A$2:$A$296,INT((ROW()-2)/10)+1)</f>
        <v>Dogfish Head Spirits</v>
      </c>
      <c r="B253" s="2" t="str" cm="1">
        <f t="array" ref="B253">INDEX('Whitelist (Blackout Reverse)'!$B$1:$K$1,MOD(ROW()-2,10)+1)</f>
        <v>PASSAIC</v>
      </c>
      <c r="C253" s="2" t="str">
        <f>VLOOKUP(A253,'[1]Brand Family Territory (Enc)'!$A$2:$B$296,2,FALSE)</f>
        <v>Core Market</v>
      </c>
      <c r="D253" s="2">
        <f>IF(COUNTIFS('[1]Brand Family Territories (Enc)'!$B$2:$B$62,C253,'[1]Brand Family Territories (Enc)'!$C$2:$C$62,B253)&gt;0,1,IF(AND(LEFT(B253,6)="MORRIS",COUNTIFS('[1]Brand Family Territories (Enc)'!$B$2:$B$62,C253,'[1]Brand Family Territories (Enc)'!$C$2:$C$62,"Morri")&gt;0),"Unk",0))</f>
        <v>1</v>
      </c>
      <c r="E253" s="2" t="str">
        <f>IFERROR(INDEX('Blackout Brand Fam Areas (Enc)'!$D$6:$D$998,MATCH(UPPER(A253)&amp;"|"&amp;UPPER(B253),'Blackout Brand Fam Areas (Enc)'!$G$6:$G$998,0)),"No Match")</f>
        <v>No Match</v>
      </c>
      <c r="F253" s="2" t="str">
        <f t="shared" si="6"/>
        <v>US</v>
      </c>
      <c r="G253" s="2" t="str">
        <f t="shared" si="7"/>
        <v>Dogfish Head Spirits|PASSAIC</v>
      </c>
    </row>
    <row r="254" spans="1:7" x14ac:dyDescent="0.2">
      <c r="A254" s="2" t="str" cm="1">
        <f t="array" ref="A254">INDEX('[1]Brand Family Territory (Enc)'!$A$2:$A$296,INT((ROW()-2)/10)+1)</f>
        <v>Dogfish Head Spirits</v>
      </c>
      <c r="B254" s="2" t="str" cm="1">
        <f t="array" ref="B254">INDEX('Whitelist (Blackout Reverse)'!$B$1:$K$1,MOD(ROW()-2,10)+1)</f>
        <v>PASSAIC-FF</v>
      </c>
      <c r="C254" s="2" t="str">
        <f>VLOOKUP(A254,'[1]Brand Family Territory (Enc)'!$A$2:$B$296,2,FALSE)</f>
        <v>Core Market</v>
      </c>
      <c r="D254" s="2">
        <f>IF(COUNTIFS('[1]Brand Family Territories (Enc)'!$B$2:$B$62,C254,'[1]Brand Family Territories (Enc)'!$C$2:$C$62,B254)&gt;0,1,IF(AND(LEFT(B254,6)="MORRIS",COUNTIFS('[1]Brand Family Territories (Enc)'!$B$2:$B$62,C254,'[1]Brand Family Territories (Enc)'!$C$2:$C$62,"Morri")&gt;0),"Unk",0))</f>
        <v>1</v>
      </c>
      <c r="E254" s="2" t="str">
        <f>IFERROR(INDEX('Blackout Brand Fam Areas (Enc)'!$D$6:$D$998,MATCH(UPPER(A254)&amp;"|"&amp;UPPER(B254),'Blackout Brand Fam Areas (Enc)'!$G$6:$G$998,0)),"No Match")</f>
        <v>No Match</v>
      </c>
      <c r="F254" s="2" t="str">
        <f t="shared" si="6"/>
        <v>US</v>
      </c>
      <c r="G254" s="2" t="str">
        <f t="shared" si="7"/>
        <v>Dogfish Head Spirits|PASSAIC-FF</v>
      </c>
    </row>
    <row r="255" spans="1:7" x14ac:dyDescent="0.2">
      <c r="A255" s="2" t="str" cm="1">
        <f t="array" ref="A255">INDEX('[1]Brand Family Territory (Enc)'!$A$2:$A$296,INT((ROW()-2)/10)+1)</f>
        <v>Dogfish Head Spirits</v>
      </c>
      <c r="B255" s="2" t="str" cm="1">
        <f t="array" ref="B255">INDEX('Whitelist (Blackout Reverse)'!$B$1:$K$1,MOD(ROW()-2,10)+1)</f>
        <v>ESSEX</v>
      </c>
      <c r="C255" s="2" t="str">
        <f>VLOOKUP(A255,'[1]Brand Family Territory (Enc)'!$A$2:$B$296,2,FALSE)</f>
        <v>Core Market</v>
      </c>
      <c r="D255" s="2">
        <f>IF(COUNTIFS('[1]Brand Family Territories (Enc)'!$B$2:$B$62,C255,'[1]Brand Family Territories (Enc)'!$C$2:$C$62,B255)&gt;0,1,IF(AND(LEFT(B255,6)="MORRIS",COUNTIFS('[1]Brand Family Territories (Enc)'!$B$2:$B$62,C255,'[1]Brand Family Territories (Enc)'!$C$2:$C$62,"Morri")&gt;0),"Unk",0))</f>
        <v>0</v>
      </c>
      <c r="E255" s="2" t="str">
        <f>IFERROR(INDEX('Blackout Brand Fam Areas (Enc)'!$D$6:$D$998,MATCH(UPPER(A255)&amp;"|"&amp;UPPER(B255),'Blackout Brand Fam Areas (Enc)'!$G$6:$G$998,0)),"No Match")</f>
        <v>Inactive</v>
      </c>
      <c r="F255" s="2" t="str">
        <f t="shared" si="6"/>
        <v>THEM</v>
      </c>
      <c r="G255" s="2" t="str">
        <f t="shared" si="7"/>
        <v>Dogfish Head Spirits|ESSEX</v>
      </c>
    </row>
    <row r="256" spans="1:7" x14ac:dyDescent="0.2">
      <c r="A256" s="2" t="str" cm="1">
        <f t="array" ref="A256">INDEX('[1]Brand Family Territory (Enc)'!$A$2:$A$296,INT((ROW()-2)/10)+1)</f>
        <v>Dogfish Head Spirits</v>
      </c>
      <c r="B256" s="2" t="str" cm="1">
        <f t="array" ref="B256">INDEX('Whitelist (Blackout Reverse)'!$B$1:$K$1,MOD(ROW()-2,10)+1)</f>
        <v>HUDSON</v>
      </c>
      <c r="C256" s="2" t="str">
        <f>VLOOKUP(A256,'[1]Brand Family Territory (Enc)'!$A$2:$B$296,2,FALSE)</f>
        <v>Core Market</v>
      </c>
      <c r="D256" s="2">
        <f>IF(COUNTIFS('[1]Brand Family Territories (Enc)'!$B$2:$B$62,C256,'[1]Brand Family Territories (Enc)'!$C$2:$C$62,B256)&gt;0,1,IF(AND(LEFT(B256,6)="MORRIS",COUNTIFS('[1]Brand Family Territories (Enc)'!$B$2:$B$62,C256,'[1]Brand Family Territories (Enc)'!$C$2:$C$62,"Morri")&gt;0),"Unk",0))</f>
        <v>0</v>
      </c>
      <c r="E256" s="2" t="str">
        <f>IFERROR(INDEX('Blackout Brand Fam Areas (Enc)'!$D$6:$D$998,MATCH(UPPER(A256)&amp;"|"&amp;UPPER(B256),'Blackout Brand Fam Areas (Enc)'!$G$6:$G$998,0)),"No Match")</f>
        <v>Inactive</v>
      </c>
      <c r="F256" s="2" t="str">
        <f t="shared" si="6"/>
        <v>THEM</v>
      </c>
      <c r="G256" s="2" t="str">
        <f t="shared" si="7"/>
        <v>Dogfish Head Spirits|HUDSON</v>
      </c>
    </row>
    <row r="257" spans="1:7" x14ac:dyDescent="0.2">
      <c r="A257" s="2" t="str" cm="1">
        <f t="array" ref="A257">INDEX('[1]Brand Family Territory (Enc)'!$A$2:$A$296,INT((ROW()-2)/10)+1)</f>
        <v>Dogfish Head Spirits</v>
      </c>
      <c r="B257" s="2" t="str" cm="1">
        <f t="array" ref="B257">INDEX('Whitelist (Blackout Reverse)'!$B$1:$K$1,MOD(ROW()-2,10)+1)</f>
        <v>UNION</v>
      </c>
      <c r="C257" s="2" t="str">
        <f>VLOOKUP(A257,'[1]Brand Family Territory (Enc)'!$A$2:$B$296,2,FALSE)</f>
        <v>Core Market</v>
      </c>
      <c r="D257" s="2">
        <f>IF(COUNTIFS('[1]Brand Family Territories (Enc)'!$B$2:$B$62,C257,'[1]Brand Family Territories (Enc)'!$C$2:$C$62,B257)&gt;0,1,IF(AND(LEFT(B257,6)="MORRIS",COUNTIFS('[1]Brand Family Territories (Enc)'!$B$2:$B$62,C257,'[1]Brand Family Territories (Enc)'!$C$2:$C$62,"Morri")&gt;0),"Unk",0))</f>
        <v>0</v>
      </c>
      <c r="E257" s="2" t="str">
        <f>IFERROR(INDEX('Blackout Brand Fam Areas (Enc)'!$D$6:$D$998,MATCH(UPPER(A257)&amp;"|"&amp;UPPER(B257),'Blackout Brand Fam Areas (Enc)'!$G$6:$G$998,0)),"No Match")</f>
        <v>Inactive</v>
      </c>
      <c r="F257" s="2" t="str">
        <f t="shared" si="6"/>
        <v>THEM</v>
      </c>
      <c r="G257" s="2" t="str">
        <f t="shared" si="7"/>
        <v>Dogfish Head Spirits|UNION</v>
      </c>
    </row>
    <row r="258" spans="1:7" x14ac:dyDescent="0.2">
      <c r="A258" s="2" t="str" cm="1">
        <f t="array" ref="A258">INDEX('[1]Brand Family Territory (Enc)'!$A$2:$A$296,INT((ROW()-2)/10)+1)</f>
        <v>Dogfish Head Spirits</v>
      </c>
      <c r="B258" s="2" t="str" cm="1">
        <f t="array" ref="B258">INDEX('Whitelist (Blackout Reverse)'!$B$1:$K$1,MOD(ROW()-2,10)+1)</f>
        <v>SUSSEX</v>
      </c>
      <c r="C258" s="2" t="str">
        <f>VLOOKUP(A258,'[1]Brand Family Territory (Enc)'!$A$2:$B$296,2,FALSE)</f>
        <v>Core Market</v>
      </c>
      <c r="D258" s="2">
        <f>IF(COUNTIFS('[1]Brand Family Territories (Enc)'!$B$2:$B$62,C258,'[1]Brand Family Territories (Enc)'!$C$2:$C$62,B258)&gt;0,1,IF(AND(LEFT(B258,6)="MORRIS",COUNTIFS('[1]Brand Family Territories (Enc)'!$B$2:$B$62,C258,'[1]Brand Family Territories (Enc)'!$C$2:$C$62,"Morri")&gt;0),"Unk",0))</f>
        <v>1</v>
      </c>
      <c r="E258" s="2" t="str">
        <f>IFERROR(INDEX('Blackout Brand Fam Areas (Enc)'!$D$6:$D$998,MATCH(UPPER(A258)&amp;"|"&amp;UPPER(B258),'Blackout Brand Fam Areas (Enc)'!$G$6:$G$998,0)),"No Match")</f>
        <v>No Match</v>
      </c>
      <c r="F258" s="2" t="str">
        <f t="shared" si="6"/>
        <v>US</v>
      </c>
      <c r="G258" s="2" t="str">
        <f t="shared" si="7"/>
        <v>Dogfish Head Spirits|SUSSEX</v>
      </c>
    </row>
    <row r="259" spans="1:7" x14ac:dyDescent="0.2">
      <c r="A259" s="2" t="str" cm="1">
        <f t="array" ref="A259">INDEX('[1]Brand Family Territory (Enc)'!$A$2:$A$296,INT((ROW()-2)/10)+1)</f>
        <v>Dogfish Head Spirits</v>
      </c>
      <c r="B259" s="2" t="str" cm="1">
        <f t="array" ref="B259">INDEX('Whitelist (Blackout Reverse)'!$B$1:$K$1,MOD(ROW()-2,10)+1)</f>
        <v>MORRIS 1</v>
      </c>
      <c r="C259" s="2" t="str">
        <f>VLOOKUP(A259,'[1]Brand Family Territory (Enc)'!$A$2:$B$296,2,FALSE)</f>
        <v>Core Market</v>
      </c>
      <c r="D259" s="2">
        <f>IF(COUNTIFS('[1]Brand Family Territories (Enc)'!$B$2:$B$62,C259,'[1]Brand Family Territories (Enc)'!$C$2:$C$62,B259)&gt;0,1,IF(AND(LEFT(B259,6)="MORRIS",COUNTIFS('[1]Brand Family Territories (Enc)'!$B$2:$B$62,C259,'[1]Brand Family Territories (Enc)'!$C$2:$C$62,"Morri")&gt;0),"Unk",0))</f>
        <v>1</v>
      </c>
      <c r="E259" s="2" t="str">
        <f>IFERROR(INDEX('Blackout Brand Fam Areas (Enc)'!$D$6:$D$998,MATCH(UPPER(A259)&amp;"|"&amp;UPPER(B259),'Blackout Brand Fam Areas (Enc)'!$G$6:$G$998,0)),"No Match")</f>
        <v>No Match</v>
      </c>
      <c r="F259" s="2" t="str">
        <f t="shared" ref="F259:F322" si="8">IF(D259="Unk","Ambiguous (Source Truncated)",IF(E259="Inactive","THEM",IF(D259=1,"US",IF(D259="N/A","No Territory Data","THEM"))))</f>
        <v>US</v>
      </c>
      <c r="G259" s="2" t="str">
        <f t="shared" ref="G259:G322" si="9">A259&amp;"|"&amp;B259</f>
        <v>Dogfish Head Spirits|MORRIS 1</v>
      </c>
    </row>
    <row r="260" spans="1:7" x14ac:dyDescent="0.2">
      <c r="A260" s="2" t="str" cm="1">
        <f t="array" ref="A260">INDEX('[1]Brand Family Territory (Enc)'!$A$2:$A$296,INT((ROW()-2)/10)+1)</f>
        <v>Dogfish Head Spirits</v>
      </c>
      <c r="B260" s="2" t="str" cm="1">
        <f t="array" ref="B260">INDEX('Whitelist (Blackout Reverse)'!$B$1:$K$1,MOD(ROW()-2,10)+1)</f>
        <v>MORRIS 2</v>
      </c>
      <c r="C260" s="2" t="str">
        <f>VLOOKUP(A260,'[1]Brand Family Territory (Enc)'!$A$2:$B$296,2,FALSE)</f>
        <v>Core Market</v>
      </c>
      <c r="D260" s="2">
        <f>IF(COUNTIFS('[1]Brand Family Territories (Enc)'!$B$2:$B$62,C260,'[1]Brand Family Territories (Enc)'!$C$2:$C$62,B260)&gt;0,1,IF(AND(LEFT(B260,6)="MORRIS",COUNTIFS('[1]Brand Family Territories (Enc)'!$B$2:$B$62,C260,'[1]Brand Family Territories (Enc)'!$C$2:$C$62,"Morri")&gt;0),"Unk",0))</f>
        <v>0</v>
      </c>
      <c r="E260" s="2" t="str">
        <f>IFERROR(INDEX('Blackout Brand Fam Areas (Enc)'!$D$6:$D$998,MATCH(UPPER(A260)&amp;"|"&amp;UPPER(B260),'Blackout Brand Fam Areas (Enc)'!$G$6:$G$998,0)),"No Match")</f>
        <v>Inactive</v>
      </c>
      <c r="F260" s="2" t="str">
        <f t="shared" si="8"/>
        <v>THEM</v>
      </c>
      <c r="G260" s="2" t="str">
        <f t="shared" si="9"/>
        <v>Dogfish Head Spirits|MORRIS 2</v>
      </c>
    </row>
    <row r="261" spans="1:7" x14ac:dyDescent="0.2">
      <c r="A261" s="2" t="str" cm="1">
        <f t="array" ref="A261">INDEX('[1]Brand Family Territory (Enc)'!$A$2:$A$296,INT((ROW()-2)/10)+1)</f>
        <v>Dogfish Head Spirits</v>
      </c>
      <c r="B261" s="2" t="str" cm="1">
        <f t="array" ref="B261">INDEX('Whitelist (Blackout Reverse)'!$B$1:$K$1,MOD(ROW()-2,10)+1)</f>
        <v>MORRIS 3</v>
      </c>
      <c r="C261" s="2" t="str">
        <f>VLOOKUP(A261,'[1]Brand Family Territory (Enc)'!$A$2:$B$296,2,FALSE)</f>
        <v>Core Market</v>
      </c>
      <c r="D261" s="2">
        <f>IF(COUNTIFS('[1]Brand Family Territories (Enc)'!$B$2:$B$62,C261,'[1]Brand Family Territories (Enc)'!$C$2:$C$62,B261)&gt;0,1,IF(AND(LEFT(B261,6)="MORRIS",COUNTIFS('[1]Brand Family Territories (Enc)'!$B$2:$B$62,C261,'[1]Brand Family Territories (Enc)'!$C$2:$C$62,"Morri")&gt;0),"Unk",0))</f>
        <v>1</v>
      </c>
      <c r="E261" s="2" t="str">
        <f>IFERROR(INDEX('Blackout Brand Fam Areas (Enc)'!$D$6:$D$998,MATCH(UPPER(A261)&amp;"|"&amp;UPPER(B261),'Blackout Brand Fam Areas (Enc)'!$G$6:$G$998,0)),"No Match")</f>
        <v>No Match</v>
      </c>
      <c r="F261" s="2" t="str">
        <f t="shared" si="8"/>
        <v>US</v>
      </c>
      <c r="G261" s="2" t="str">
        <f t="shared" si="9"/>
        <v>Dogfish Head Spirits|MORRIS 3</v>
      </c>
    </row>
    <row r="262" spans="1:7" x14ac:dyDescent="0.2">
      <c r="A262" s="2" t="str" cm="1">
        <f t="array" ref="A262">INDEX('[1]Brand Family Territory (Enc)'!$A$2:$A$296,INT((ROW()-2)/10)+1)</f>
        <v>Fever Tree</v>
      </c>
      <c r="B262" s="2" t="str" cm="1">
        <f t="array" ref="B262">INDEX('Whitelist (Blackout Reverse)'!$B$1:$K$1,MOD(ROW()-2,10)+1)</f>
        <v>BERGEN</v>
      </c>
      <c r="C262" s="2" t="str">
        <f>VLOOKUP(A262,'[1]Brand Family Territory (Enc)'!$A$2:$B$296,2,FALSE)</f>
        <v>Core Market</v>
      </c>
      <c r="D262" s="2">
        <f>IF(COUNTIFS('[1]Brand Family Territories (Enc)'!$B$2:$B$62,C262,'[1]Brand Family Territories (Enc)'!$C$2:$C$62,B262)&gt;0,1,IF(AND(LEFT(B262,6)="MORRIS",COUNTIFS('[1]Brand Family Territories (Enc)'!$B$2:$B$62,C262,'[1]Brand Family Territories (Enc)'!$C$2:$C$62,"Morri")&gt;0),"Unk",0))</f>
        <v>1</v>
      </c>
      <c r="E262" s="2" t="str">
        <f>IFERROR(INDEX('Blackout Brand Fam Areas (Enc)'!$D$6:$D$998,MATCH(UPPER(A262)&amp;"|"&amp;UPPER(B262),'Blackout Brand Fam Areas (Enc)'!$G$6:$G$998,0)),"No Match")</f>
        <v>No Match</v>
      </c>
      <c r="F262" s="2" t="str">
        <f t="shared" si="8"/>
        <v>US</v>
      </c>
      <c r="G262" s="2" t="str">
        <f t="shared" si="9"/>
        <v>Fever Tree|BERGEN</v>
      </c>
    </row>
    <row r="263" spans="1:7" x14ac:dyDescent="0.2">
      <c r="A263" s="2" t="str" cm="1">
        <f t="array" ref="A263">INDEX('[1]Brand Family Territory (Enc)'!$A$2:$A$296,INT((ROW()-2)/10)+1)</f>
        <v>Fever Tree</v>
      </c>
      <c r="B263" s="2" t="str" cm="1">
        <f t="array" ref="B263">INDEX('Whitelist (Blackout Reverse)'!$B$1:$K$1,MOD(ROW()-2,10)+1)</f>
        <v>PASSAIC</v>
      </c>
      <c r="C263" s="2" t="str">
        <f>VLOOKUP(A263,'[1]Brand Family Territory (Enc)'!$A$2:$B$296,2,FALSE)</f>
        <v>Core Market</v>
      </c>
      <c r="D263" s="2">
        <f>IF(COUNTIFS('[1]Brand Family Territories (Enc)'!$B$2:$B$62,C263,'[1]Brand Family Territories (Enc)'!$C$2:$C$62,B263)&gt;0,1,IF(AND(LEFT(B263,6)="MORRIS",COUNTIFS('[1]Brand Family Territories (Enc)'!$B$2:$B$62,C263,'[1]Brand Family Territories (Enc)'!$C$2:$C$62,"Morri")&gt;0),"Unk",0))</f>
        <v>1</v>
      </c>
      <c r="E263" s="2" t="str">
        <f>IFERROR(INDEX('Blackout Brand Fam Areas (Enc)'!$D$6:$D$998,MATCH(UPPER(A263)&amp;"|"&amp;UPPER(B263),'Blackout Brand Fam Areas (Enc)'!$G$6:$G$998,0)),"No Match")</f>
        <v>No Match</v>
      </c>
      <c r="F263" s="2" t="str">
        <f t="shared" si="8"/>
        <v>US</v>
      </c>
      <c r="G263" s="2" t="str">
        <f t="shared" si="9"/>
        <v>Fever Tree|PASSAIC</v>
      </c>
    </row>
    <row r="264" spans="1:7" x14ac:dyDescent="0.2">
      <c r="A264" s="2" t="str" cm="1">
        <f t="array" ref="A264">INDEX('[1]Brand Family Territory (Enc)'!$A$2:$A$296,INT((ROW()-2)/10)+1)</f>
        <v>Fever Tree</v>
      </c>
      <c r="B264" s="2" t="str" cm="1">
        <f t="array" ref="B264">INDEX('Whitelist (Blackout Reverse)'!$B$1:$K$1,MOD(ROW()-2,10)+1)</f>
        <v>PASSAIC-FF</v>
      </c>
      <c r="C264" s="2" t="str">
        <f>VLOOKUP(A264,'[1]Brand Family Territory (Enc)'!$A$2:$B$296,2,FALSE)</f>
        <v>Core Market</v>
      </c>
      <c r="D264" s="2">
        <f>IF(COUNTIFS('[1]Brand Family Territories (Enc)'!$B$2:$B$62,C264,'[1]Brand Family Territories (Enc)'!$C$2:$C$62,B264)&gt;0,1,IF(AND(LEFT(B264,6)="MORRIS",COUNTIFS('[1]Brand Family Territories (Enc)'!$B$2:$B$62,C264,'[1]Brand Family Territories (Enc)'!$C$2:$C$62,"Morri")&gt;0),"Unk",0))</f>
        <v>1</v>
      </c>
      <c r="E264" s="2" t="str">
        <f>IFERROR(INDEX('Blackout Brand Fam Areas (Enc)'!$D$6:$D$998,MATCH(UPPER(A264)&amp;"|"&amp;UPPER(B264),'Blackout Brand Fam Areas (Enc)'!$G$6:$G$998,0)),"No Match")</f>
        <v>No Match</v>
      </c>
      <c r="F264" s="2" t="str">
        <f t="shared" si="8"/>
        <v>US</v>
      </c>
      <c r="G264" s="2" t="str">
        <f t="shared" si="9"/>
        <v>Fever Tree|PASSAIC-FF</v>
      </c>
    </row>
    <row r="265" spans="1:7" x14ac:dyDescent="0.2">
      <c r="A265" s="2" t="str" cm="1">
        <f t="array" ref="A265">INDEX('[1]Brand Family Territory (Enc)'!$A$2:$A$296,INT((ROW()-2)/10)+1)</f>
        <v>Fever Tree</v>
      </c>
      <c r="B265" s="2" t="str" cm="1">
        <f t="array" ref="B265">INDEX('Whitelist (Blackout Reverse)'!$B$1:$K$1,MOD(ROW()-2,10)+1)</f>
        <v>ESSEX</v>
      </c>
      <c r="C265" s="2" t="str">
        <f>VLOOKUP(A265,'[1]Brand Family Territory (Enc)'!$A$2:$B$296,2,FALSE)</f>
        <v>Core Market</v>
      </c>
      <c r="D265" s="2">
        <f>IF(COUNTIFS('[1]Brand Family Territories (Enc)'!$B$2:$B$62,C265,'[1]Brand Family Territories (Enc)'!$C$2:$C$62,B265)&gt;0,1,IF(AND(LEFT(B265,6)="MORRIS",COUNTIFS('[1]Brand Family Territories (Enc)'!$B$2:$B$62,C265,'[1]Brand Family Territories (Enc)'!$C$2:$C$62,"Morri")&gt;0),"Unk",0))</f>
        <v>0</v>
      </c>
      <c r="E265" s="2" t="str">
        <f>IFERROR(INDEX('Blackout Brand Fam Areas (Enc)'!$D$6:$D$998,MATCH(UPPER(A265)&amp;"|"&amp;UPPER(B265),'Blackout Brand Fam Areas (Enc)'!$G$6:$G$998,0)),"No Match")</f>
        <v>Inactive</v>
      </c>
      <c r="F265" s="2" t="str">
        <f t="shared" si="8"/>
        <v>THEM</v>
      </c>
      <c r="G265" s="2" t="str">
        <f t="shared" si="9"/>
        <v>Fever Tree|ESSEX</v>
      </c>
    </row>
    <row r="266" spans="1:7" x14ac:dyDescent="0.2">
      <c r="A266" s="2" t="str" cm="1">
        <f t="array" ref="A266">INDEX('[1]Brand Family Territory (Enc)'!$A$2:$A$296,INT((ROW()-2)/10)+1)</f>
        <v>Fever Tree</v>
      </c>
      <c r="B266" s="2" t="str" cm="1">
        <f t="array" ref="B266">INDEX('Whitelist (Blackout Reverse)'!$B$1:$K$1,MOD(ROW()-2,10)+1)</f>
        <v>HUDSON</v>
      </c>
      <c r="C266" s="2" t="str">
        <f>VLOOKUP(A266,'[1]Brand Family Territory (Enc)'!$A$2:$B$296,2,FALSE)</f>
        <v>Core Market</v>
      </c>
      <c r="D266" s="2">
        <f>IF(COUNTIFS('[1]Brand Family Territories (Enc)'!$B$2:$B$62,C266,'[1]Brand Family Territories (Enc)'!$C$2:$C$62,B266)&gt;0,1,IF(AND(LEFT(B266,6)="MORRIS",COUNTIFS('[1]Brand Family Territories (Enc)'!$B$2:$B$62,C266,'[1]Brand Family Territories (Enc)'!$C$2:$C$62,"Morri")&gt;0),"Unk",0))</f>
        <v>0</v>
      </c>
      <c r="E266" s="2" t="str">
        <f>IFERROR(INDEX('Blackout Brand Fam Areas (Enc)'!$D$6:$D$998,MATCH(UPPER(A266)&amp;"|"&amp;UPPER(B266),'Blackout Brand Fam Areas (Enc)'!$G$6:$G$998,0)),"No Match")</f>
        <v>Inactive</v>
      </c>
      <c r="F266" s="2" t="str">
        <f t="shared" si="8"/>
        <v>THEM</v>
      </c>
      <c r="G266" s="2" t="str">
        <f t="shared" si="9"/>
        <v>Fever Tree|HUDSON</v>
      </c>
    </row>
    <row r="267" spans="1:7" x14ac:dyDescent="0.2">
      <c r="A267" s="2" t="str" cm="1">
        <f t="array" ref="A267">INDEX('[1]Brand Family Territory (Enc)'!$A$2:$A$296,INT((ROW()-2)/10)+1)</f>
        <v>Fever Tree</v>
      </c>
      <c r="B267" s="2" t="str" cm="1">
        <f t="array" ref="B267">INDEX('Whitelist (Blackout Reverse)'!$B$1:$K$1,MOD(ROW()-2,10)+1)</f>
        <v>UNION</v>
      </c>
      <c r="C267" s="2" t="str">
        <f>VLOOKUP(A267,'[1]Brand Family Territory (Enc)'!$A$2:$B$296,2,FALSE)</f>
        <v>Core Market</v>
      </c>
      <c r="D267" s="2">
        <f>IF(COUNTIFS('[1]Brand Family Territories (Enc)'!$B$2:$B$62,C267,'[1]Brand Family Territories (Enc)'!$C$2:$C$62,B267)&gt;0,1,IF(AND(LEFT(B267,6)="MORRIS",COUNTIFS('[1]Brand Family Territories (Enc)'!$B$2:$B$62,C267,'[1]Brand Family Territories (Enc)'!$C$2:$C$62,"Morri")&gt;0),"Unk",0))</f>
        <v>0</v>
      </c>
      <c r="E267" s="2" t="str">
        <f>IFERROR(INDEX('Blackout Brand Fam Areas (Enc)'!$D$6:$D$998,MATCH(UPPER(A267)&amp;"|"&amp;UPPER(B267),'Blackout Brand Fam Areas (Enc)'!$G$6:$G$998,0)),"No Match")</f>
        <v>Inactive</v>
      </c>
      <c r="F267" s="2" t="str">
        <f t="shared" si="8"/>
        <v>THEM</v>
      </c>
      <c r="G267" s="2" t="str">
        <f t="shared" si="9"/>
        <v>Fever Tree|UNION</v>
      </c>
    </row>
    <row r="268" spans="1:7" x14ac:dyDescent="0.2">
      <c r="A268" s="2" t="str" cm="1">
        <f t="array" ref="A268">INDEX('[1]Brand Family Territory (Enc)'!$A$2:$A$296,INT((ROW()-2)/10)+1)</f>
        <v>Fever Tree</v>
      </c>
      <c r="B268" s="2" t="str" cm="1">
        <f t="array" ref="B268">INDEX('Whitelist (Blackout Reverse)'!$B$1:$K$1,MOD(ROW()-2,10)+1)</f>
        <v>SUSSEX</v>
      </c>
      <c r="C268" s="2" t="str">
        <f>VLOOKUP(A268,'[1]Brand Family Territory (Enc)'!$A$2:$B$296,2,FALSE)</f>
        <v>Core Market</v>
      </c>
      <c r="D268" s="2">
        <f>IF(COUNTIFS('[1]Brand Family Territories (Enc)'!$B$2:$B$62,C268,'[1]Brand Family Territories (Enc)'!$C$2:$C$62,B268)&gt;0,1,IF(AND(LEFT(B268,6)="MORRIS",COUNTIFS('[1]Brand Family Territories (Enc)'!$B$2:$B$62,C268,'[1]Brand Family Territories (Enc)'!$C$2:$C$62,"Morri")&gt;0),"Unk",0))</f>
        <v>1</v>
      </c>
      <c r="E268" s="2" t="str">
        <f>IFERROR(INDEX('Blackout Brand Fam Areas (Enc)'!$D$6:$D$998,MATCH(UPPER(A268)&amp;"|"&amp;UPPER(B268),'Blackout Brand Fam Areas (Enc)'!$G$6:$G$998,0)),"No Match")</f>
        <v>No Match</v>
      </c>
      <c r="F268" s="2" t="str">
        <f t="shared" si="8"/>
        <v>US</v>
      </c>
      <c r="G268" s="2" t="str">
        <f t="shared" si="9"/>
        <v>Fever Tree|SUSSEX</v>
      </c>
    </row>
    <row r="269" spans="1:7" x14ac:dyDescent="0.2">
      <c r="A269" s="2" t="str" cm="1">
        <f t="array" ref="A269">INDEX('[1]Brand Family Territory (Enc)'!$A$2:$A$296,INT((ROW()-2)/10)+1)</f>
        <v>Fever Tree</v>
      </c>
      <c r="B269" s="2" t="str" cm="1">
        <f t="array" ref="B269">INDEX('Whitelist (Blackout Reverse)'!$B$1:$K$1,MOD(ROW()-2,10)+1)</f>
        <v>MORRIS 1</v>
      </c>
      <c r="C269" s="2" t="str">
        <f>VLOOKUP(A269,'[1]Brand Family Territory (Enc)'!$A$2:$B$296,2,FALSE)</f>
        <v>Core Market</v>
      </c>
      <c r="D269" s="2">
        <f>IF(COUNTIFS('[1]Brand Family Territories (Enc)'!$B$2:$B$62,C269,'[1]Brand Family Territories (Enc)'!$C$2:$C$62,B269)&gt;0,1,IF(AND(LEFT(B269,6)="MORRIS",COUNTIFS('[1]Brand Family Territories (Enc)'!$B$2:$B$62,C269,'[1]Brand Family Territories (Enc)'!$C$2:$C$62,"Morri")&gt;0),"Unk",0))</f>
        <v>1</v>
      </c>
      <c r="E269" s="2" t="str">
        <f>IFERROR(INDEX('Blackout Brand Fam Areas (Enc)'!$D$6:$D$998,MATCH(UPPER(A269)&amp;"|"&amp;UPPER(B269),'Blackout Brand Fam Areas (Enc)'!$G$6:$G$998,0)),"No Match")</f>
        <v>No Match</v>
      </c>
      <c r="F269" s="2" t="str">
        <f t="shared" si="8"/>
        <v>US</v>
      </c>
      <c r="G269" s="2" t="str">
        <f t="shared" si="9"/>
        <v>Fever Tree|MORRIS 1</v>
      </c>
    </row>
    <row r="270" spans="1:7" x14ac:dyDescent="0.2">
      <c r="A270" s="2" t="str" cm="1">
        <f t="array" ref="A270">INDEX('[1]Brand Family Territory (Enc)'!$A$2:$A$296,INT((ROW()-2)/10)+1)</f>
        <v>Fever Tree</v>
      </c>
      <c r="B270" s="2" t="str" cm="1">
        <f t="array" ref="B270">INDEX('Whitelist (Blackout Reverse)'!$B$1:$K$1,MOD(ROW()-2,10)+1)</f>
        <v>MORRIS 2</v>
      </c>
      <c r="C270" s="2" t="str">
        <f>VLOOKUP(A270,'[1]Brand Family Territory (Enc)'!$A$2:$B$296,2,FALSE)</f>
        <v>Core Market</v>
      </c>
      <c r="D270" s="2">
        <f>IF(COUNTIFS('[1]Brand Family Territories (Enc)'!$B$2:$B$62,C270,'[1]Brand Family Territories (Enc)'!$C$2:$C$62,B270)&gt;0,1,IF(AND(LEFT(B270,6)="MORRIS",COUNTIFS('[1]Brand Family Territories (Enc)'!$B$2:$B$62,C270,'[1]Brand Family Territories (Enc)'!$C$2:$C$62,"Morri")&gt;0),"Unk",0))</f>
        <v>0</v>
      </c>
      <c r="E270" s="2" t="str">
        <f>IFERROR(INDEX('Blackout Brand Fam Areas (Enc)'!$D$6:$D$998,MATCH(UPPER(A270)&amp;"|"&amp;UPPER(B270),'Blackout Brand Fam Areas (Enc)'!$G$6:$G$998,0)),"No Match")</f>
        <v>Inactive</v>
      </c>
      <c r="F270" s="2" t="str">
        <f t="shared" si="8"/>
        <v>THEM</v>
      </c>
      <c r="G270" s="2" t="str">
        <f t="shared" si="9"/>
        <v>Fever Tree|MORRIS 2</v>
      </c>
    </row>
    <row r="271" spans="1:7" x14ac:dyDescent="0.2">
      <c r="A271" s="2" t="str" cm="1">
        <f t="array" ref="A271">INDEX('[1]Brand Family Territory (Enc)'!$A$2:$A$296,INT((ROW()-2)/10)+1)</f>
        <v>Fever Tree</v>
      </c>
      <c r="B271" s="2" t="str" cm="1">
        <f t="array" ref="B271">INDEX('Whitelist (Blackout Reverse)'!$B$1:$K$1,MOD(ROW()-2,10)+1)</f>
        <v>MORRIS 3</v>
      </c>
      <c r="C271" s="2" t="str">
        <f>VLOOKUP(A271,'[1]Brand Family Territory (Enc)'!$A$2:$B$296,2,FALSE)</f>
        <v>Core Market</v>
      </c>
      <c r="D271" s="2">
        <f>IF(COUNTIFS('[1]Brand Family Territories (Enc)'!$B$2:$B$62,C271,'[1]Brand Family Territories (Enc)'!$C$2:$C$62,B271)&gt;0,1,IF(AND(LEFT(B271,6)="MORRIS",COUNTIFS('[1]Brand Family Territories (Enc)'!$B$2:$B$62,C271,'[1]Brand Family Territories (Enc)'!$C$2:$C$62,"Morri")&gt;0),"Unk",0))</f>
        <v>1</v>
      </c>
      <c r="E271" s="2" t="str">
        <f>IFERROR(INDEX('Blackout Brand Fam Areas (Enc)'!$D$6:$D$998,MATCH(UPPER(A271)&amp;"|"&amp;UPPER(B271),'Blackout Brand Fam Areas (Enc)'!$G$6:$G$998,0)),"No Match")</f>
        <v>No Match</v>
      </c>
      <c r="F271" s="2" t="str">
        <f t="shared" si="8"/>
        <v>US</v>
      </c>
      <c r="G271" s="2" t="str">
        <f t="shared" si="9"/>
        <v>Fever Tree|MORRIS 3</v>
      </c>
    </row>
    <row r="272" spans="1:7" x14ac:dyDescent="0.2">
      <c r="A272" s="2" t="str" cm="1">
        <f t="array" ref="A272">INDEX('[1]Brand Family Territory (Enc)'!$A$2:$A$296,INT((ROW()-2)/10)+1)</f>
        <v>Fiveislands</v>
      </c>
      <c r="B272" s="2" t="str" cm="1">
        <f t="array" ref="B272">INDEX('Whitelist (Blackout Reverse)'!$B$1:$K$1,MOD(ROW()-2,10)+1)</f>
        <v>BERGEN</v>
      </c>
      <c r="C272" s="2" t="str">
        <f>VLOOKUP(A272,'[1]Brand Family Territory (Enc)'!$A$2:$B$296,2,FALSE)</f>
        <v>Core Market</v>
      </c>
      <c r="D272" s="2">
        <f>IF(COUNTIFS('[1]Brand Family Territories (Enc)'!$B$2:$B$62,C272,'[1]Brand Family Territories (Enc)'!$C$2:$C$62,B272)&gt;0,1,IF(AND(LEFT(B272,6)="MORRIS",COUNTIFS('[1]Brand Family Territories (Enc)'!$B$2:$B$62,C272,'[1]Brand Family Territories (Enc)'!$C$2:$C$62,"Morri")&gt;0),"Unk",0))</f>
        <v>1</v>
      </c>
      <c r="E272" s="2" t="str">
        <f>IFERROR(INDEX('Blackout Brand Fam Areas (Enc)'!$D$6:$D$998,MATCH(UPPER(A272)&amp;"|"&amp;UPPER(B272),'Blackout Brand Fam Areas (Enc)'!$G$6:$G$998,0)),"No Match")</f>
        <v>No Match</v>
      </c>
      <c r="F272" s="2" t="str">
        <f t="shared" si="8"/>
        <v>US</v>
      </c>
      <c r="G272" s="2" t="str">
        <f t="shared" si="9"/>
        <v>Fiveislands|BERGEN</v>
      </c>
    </row>
    <row r="273" spans="1:7" x14ac:dyDescent="0.2">
      <c r="A273" s="2" t="str" cm="1">
        <f t="array" ref="A273">INDEX('[1]Brand Family Territory (Enc)'!$A$2:$A$296,INT((ROW()-2)/10)+1)</f>
        <v>Fiveislands</v>
      </c>
      <c r="B273" s="2" t="str" cm="1">
        <f t="array" ref="B273">INDEX('Whitelist (Blackout Reverse)'!$B$1:$K$1,MOD(ROW()-2,10)+1)</f>
        <v>PASSAIC</v>
      </c>
      <c r="C273" s="2" t="str">
        <f>VLOOKUP(A273,'[1]Brand Family Territory (Enc)'!$A$2:$B$296,2,FALSE)</f>
        <v>Core Market</v>
      </c>
      <c r="D273" s="2">
        <f>IF(COUNTIFS('[1]Brand Family Territories (Enc)'!$B$2:$B$62,C273,'[1]Brand Family Territories (Enc)'!$C$2:$C$62,B273)&gt;0,1,IF(AND(LEFT(B273,6)="MORRIS",COUNTIFS('[1]Brand Family Territories (Enc)'!$B$2:$B$62,C273,'[1]Brand Family Territories (Enc)'!$C$2:$C$62,"Morri")&gt;0),"Unk",0))</f>
        <v>1</v>
      </c>
      <c r="E273" s="2" t="str">
        <f>IFERROR(INDEX('Blackout Brand Fam Areas (Enc)'!$D$6:$D$998,MATCH(UPPER(A273)&amp;"|"&amp;UPPER(B273),'Blackout Brand Fam Areas (Enc)'!$G$6:$G$998,0)),"No Match")</f>
        <v>No Match</v>
      </c>
      <c r="F273" s="2" t="str">
        <f t="shared" si="8"/>
        <v>US</v>
      </c>
      <c r="G273" s="2" t="str">
        <f t="shared" si="9"/>
        <v>Fiveislands|PASSAIC</v>
      </c>
    </row>
    <row r="274" spans="1:7" x14ac:dyDescent="0.2">
      <c r="A274" s="2" t="str" cm="1">
        <f t="array" ref="A274">INDEX('[1]Brand Family Territory (Enc)'!$A$2:$A$296,INT((ROW()-2)/10)+1)</f>
        <v>Fiveislands</v>
      </c>
      <c r="B274" s="2" t="str" cm="1">
        <f t="array" ref="B274">INDEX('Whitelist (Blackout Reverse)'!$B$1:$K$1,MOD(ROW()-2,10)+1)</f>
        <v>PASSAIC-FF</v>
      </c>
      <c r="C274" s="2" t="str">
        <f>VLOOKUP(A274,'[1]Brand Family Territory (Enc)'!$A$2:$B$296,2,FALSE)</f>
        <v>Core Market</v>
      </c>
      <c r="D274" s="2">
        <f>IF(COUNTIFS('[1]Brand Family Territories (Enc)'!$B$2:$B$62,C274,'[1]Brand Family Territories (Enc)'!$C$2:$C$62,B274)&gt;0,1,IF(AND(LEFT(B274,6)="MORRIS",COUNTIFS('[1]Brand Family Territories (Enc)'!$B$2:$B$62,C274,'[1]Brand Family Territories (Enc)'!$C$2:$C$62,"Morri")&gt;0),"Unk",0))</f>
        <v>1</v>
      </c>
      <c r="E274" s="2" t="str">
        <f>IFERROR(INDEX('Blackout Brand Fam Areas (Enc)'!$D$6:$D$998,MATCH(UPPER(A274)&amp;"|"&amp;UPPER(B274),'Blackout Brand Fam Areas (Enc)'!$G$6:$G$998,0)),"No Match")</f>
        <v>No Match</v>
      </c>
      <c r="F274" s="2" t="str">
        <f t="shared" si="8"/>
        <v>US</v>
      </c>
      <c r="G274" s="2" t="str">
        <f t="shared" si="9"/>
        <v>Fiveislands|PASSAIC-FF</v>
      </c>
    </row>
    <row r="275" spans="1:7" x14ac:dyDescent="0.2">
      <c r="A275" s="2" t="str" cm="1">
        <f t="array" ref="A275">INDEX('[1]Brand Family Territory (Enc)'!$A$2:$A$296,INT((ROW()-2)/10)+1)</f>
        <v>Fiveislands</v>
      </c>
      <c r="B275" s="2" t="str" cm="1">
        <f t="array" ref="B275">INDEX('Whitelist (Blackout Reverse)'!$B$1:$K$1,MOD(ROW()-2,10)+1)</f>
        <v>ESSEX</v>
      </c>
      <c r="C275" s="2" t="str">
        <f>VLOOKUP(A275,'[1]Brand Family Territory (Enc)'!$A$2:$B$296,2,FALSE)</f>
        <v>Core Market</v>
      </c>
      <c r="D275" s="2">
        <f>IF(COUNTIFS('[1]Brand Family Territories (Enc)'!$B$2:$B$62,C275,'[1]Brand Family Territories (Enc)'!$C$2:$C$62,B275)&gt;0,1,IF(AND(LEFT(B275,6)="MORRIS",COUNTIFS('[1]Brand Family Territories (Enc)'!$B$2:$B$62,C275,'[1]Brand Family Territories (Enc)'!$C$2:$C$62,"Morri")&gt;0),"Unk",0))</f>
        <v>0</v>
      </c>
      <c r="E275" s="2" t="str">
        <f>IFERROR(INDEX('Blackout Brand Fam Areas (Enc)'!$D$6:$D$998,MATCH(UPPER(A275)&amp;"|"&amp;UPPER(B275),'Blackout Brand Fam Areas (Enc)'!$G$6:$G$998,0)),"No Match")</f>
        <v>No Match</v>
      </c>
      <c r="F275" s="2" t="str">
        <f t="shared" si="8"/>
        <v>THEM</v>
      </c>
      <c r="G275" s="2" t="str">
        <f t="shared" si="9"/>
        <v>Fiveislands|ESSEX</v>
      </c>
    </row>
    <row r="276" spans="1:7" x14ac:dyDescent="0.2">
      <c r="A276" s="2" t="str" cm="1">
        <f t="array" ref="A276">INDEX('[1]Brand Family Territory (Enc)'!$A$2:$A$296,INT((ROW()-2)/10)+1)</f>
        <v>Fiveislands</v>
      </c>
      <c r="B276" s="2" t="str" cm="1">
        <f t="array" ref="B276">INDEX('Whitelist (Blackout Reverse)'!$B$1:$K$1,MOD(ROW()-2,10)+1)</f>
        <v>HUDSON</v>
      </c>
      <c r="C276" s="2" t="str">
        <f>VLOOKUP(A276,'[1]Brand Family Territory (Enc)'!$A$2:$B$296,2,FALSE)</f>
        <v>Core Market</v>
      </c>
      <c r="D276" s="2">
        <f>IF(COUNTIFS('[1]Brand Family Territories (Enc)'!$B$2:$B$62,C276,'[1]Brand Family Territories (Enc)'!$C$2:$C$62,B276)&gt;0,1,IF(AND(LEFT(B276,6)="MORRIS",COUNTIFS('[1]Brand Family Territories (Enc)'!$B$2:$B$62,C276,'[1]Brand Family Territories (Enc)'!$C$2:$C$62,"Morri")&gt;0),"Unk",0))</f>
        <v>0</v>
      </c>
      <c r="E276" s="2" t="str">
        <f>IFERROR(INDEX('Blackout Brand Fam Areas (Enc)'!$D$6:$D$998,MATCH(UPPER(A276)&amp;"|"&amp;UPPER(B276),'Blackout Brand Fam Areas (Enc)'!$G$6:$G$998,0)),"No Match")</f>
        <v>No Match</v>
      </c>
      <c r="F276" s="2" t="str">
        <f t="shared" si="8"/>
        <v>THEM</v>
      </c>
      <c r="G276" s="2" t="str">
        <f t="shared" si="9"/>
        <v>Fiveislands|HUDSON</v>
      </c>
    </row>
    <row r="277" spans="1:7" x14ac:dyDescent="0.2">
      <c r="A277" s="2" t="str" cm="1">
        <f t="array" ref="A277">INDEX('[1]Brand Family Territory (Enc)'!$A$2:$A$296,INT((ROW()-2)/10)+1)</f>
        <v>Fiveislands</v>
      </c>
      <c r="B277" s="2" t="str" cm="1">
        <f t="array" ref="B277">INDEX('Whitelist (Blackout Reverse)'!$B$1:$K$1,MOD(ROW()-2,10)+1)</f>
        <v>UNION</v>
      </c>
      <c r="C277" s="2" t="str">
        <f>VLOOKUP(A277,'[1]Brand Family Territory (Enc)'!$A$2:$B$296,2,FALSE)</f>
        <v>Core Market</v>
      </c>
      <c r="D277" s="2">
        <f>IF(COUNTIFS('[1]Brand Family Territories (Enc)'!$B$2:$B$62,C277,'[1]Brand Family Territories (Enc)'!$C$2:$C$62,B277)&gt;0,1,IF(AND(LEFT(B277,6)="MORRIS",COUNTIFS('[1]Brand Family Territories (Enc)'!$B$2:$B$62,C277,'[1]Brand Family Territories (Enc)'!$C$2:$C$62,"Morri")&gt;0),"Unk",0))</f>
        <v>0</v>
      </c>
      <c r="E277" s="2" t="str">
        <f>IFERROR(INDEX('Blackout Brand Fam Areas (Enc)'!$D$6:$D$998,MATCH(UPPER(A277)&amp;"|"&amp;UPPER(B277),'Blackout Brand Fam Areas (Enc)'!$G$6:$G$998,0)),"No Match")</f>
        <v>No Match</v>
      </c>
      <c r="F277" s="2" t="str">
        <f t="shared" si="8"/>
        <v>THEM</v>
      </c>
      <c r="G277" s="2" t="str">
        <f t="shared" si="9"/>
        <v>Fiveislands|UNION</v>
      </c>
    </row>
    <row r="278" spans="1:7" x14ac:dyDescent="0.2">
      <c r="A278" s="2" t="str" cm="1">
        <f t="array" ref="A278">INDEX('[1]Brand Family Territory (Enc)'!$A$2:$A$296,INT((ROW()-2)/10)+1)</f>
        <v>Fiveislands</v>
      </c>
      <c r="B278" s="2" t="str" cm="1">
        <f t="array" ref="B278">INDEX('Whitelist (Blackout Reverse)'!$B$1:$K$1,MOD(ROW()-2,10)+1)</f>
        <v>SUSSEX</v>
      </c>
      <c r="C278" s="2" t="str">
        <f>VLOOKUP(A278,'[1]Brand Family Territory (Enc)'!$A$2:$B$296,2,FALSE)</f>
        <v>Core Market</v>
      </c>
      <c r="D278" s="2">
        <f>IF(COUNTIFS('[1]Brand Family Territories (Enc)'!$B$2:$B$62,C278,'[1]Brand Family Territories (Enc)'!$C$2:$C$62,B278)&gt;0,1,IF(AND(LEFT(B278,6)="MORRIS",COUNTIFS('[1]Brand Family Territories (Enc)'!$B$2:$B$62,C278,'[1]Brand Family Territories (Enc)'!$C$2:$C$62,"Morri")&gt;0),"Unk",0))</f>
        <v>1</v>
      </c>
      <c r="E278" s="2" t="str">
        <f>IFERROR(INDEX('Blackout Brand Fam Areas (Enc)'!$D$6:$D$998,MATCH(UPPER(A278)&amp;"|"&amp;UPPER(B278),'Blackout Brand Fam Areas (Enc)'!$G$6:$G$998,0)),"No Match")</f>
        <v>No Match</v>
      </c>
      <c r="F278" s="2" t="str">
        <f t="shared" si="8"/>
        <v>US</v>
      </c>
      <c r="G278" s="2" t="str">
        <f t="shared" si="9"/>
        <v>Fiveislands|SUSSEX</v>
      </c>
    </row>
    <row r="279" spans="1:7" x14ac:dyDescent="0.2">
      <c r="A279" s="2" t="str" cm="1">
        <f t="array" ref="A279">INDEX('[1]Brand Family Territory (Enc)'!$A$2:$A$296,INT((ROW()-2)/10)+1)</f>
        <v>Fiveislands</v>
      </c>
      <c r="B279" s="2" t="str" cm="1">
        <f t="array" ref="B279">INDEX('Whitelist (Blackout Reverse)'!$B$1:$K$1,MOD(ROW()-2,10)+1)</f>
        <v>MORRIS 1</v>
      </c>
      <c r="C279" s="2" t="str">
        <f>VLOOKUP(A279,'[1]Brand Family Territory (Enc)'!$A$2:$B$296,2,FALSE)</f>
        <v>Core Market</v>
      </c>
      <c r="D279" s="2">
        <f>IF(COUNTIFS('[1]Brand Family Territories (Enc)'!$B$2:$B$62,C279,'[1]Brand Family Territories (Enc)'!$C$2:$C$62,B279)&gt;0,1,IF(AND(LEFT(B279,6)="MORRIS",COUNTIFS('[1]Brand Family Territories (Enc)'!$B$2:$B$62,C279,'[1]Brand Family Territories (Enc)'!$C$2:$C$62,"Morri")&gt;0),"Unk",0))</f>
        <v>1</v>
      </c>
      <c r="E279" s="2" t="str">
        <f>IFERROR(INDEX('Blackout Brand Fam Areas (Enc)'!$D$6:$D$998,MATCH(UPPER(A279)&amp;"|"&amp;UPPER(B279),'Blackout Brand Fam Areas (Enc)'!$G$6:$G$998,0)),"No Match")</f>
        <v>No Match</v>
      </c>
      <c r="F279" s="2" t="str">
        <f t="shared" si="8"/>
        <v>US</v>
      </c>
      <c r="G279" s="2" t="str">
        <f t="shared" si="9"/>
        <v>Fiveislands|MORRIS 1</v>
      </c>
    </row>
    <row r="280" spans="1:7" x14ac:dyDescent="0.2">
      <c r="A280" s="2" t="str" cm="1">
        <f t="array" ref="A280">INDEX('[1]Brand Family Territory (Enc)'!$A$2:$A$296,INT((ROW()-2)/10)+1)</f>
        <v>Fiveislands</v>
      </c>
      <c r="B280" s="2" t="str" cm="1">
        <f t="array" ref="B280">INDEX('Whitelist (Blackout Reverse)'!$B$1:$K$1,MOD(ROW()-2,10)+1)</f>
        <v>MORRIS 2</v>
      </c>
      <c r="C280" s="2" t="str">
        <f>VLOOKUP(A280,'[1]Brand Family Territory (Enc)'!$A$2:$B$296,2,FALSE)</f>
        <v>Core Market</v>
      </c>
      <c r="D280" s="2">
        <f>IF(COUNTIFS('[1]Brand Family Territories (Enc)'!$B$2:$B$62,C280,'[1]Brand Family Territories (Enc)'!$C$2:$C$62,B280)&gt;0,1,IF(AND(LEFT(B280,6)="MORRIS",COUNTIFS('[1]Brand Family Territories (Enc)'!$B$2:$B$62,C280,'[1]Brand Family Territories (Enc)'!$C$2:$C$62,"Morri")&gt;0),"Unk",0))</f>
        <v>0</v>
      </c>
      <c r="E280" s="2" t="str">
        <f>IFERROR(INDEX('Blackout Brand Fam Areas (Enc)'!$D$6:$D$998,MATCH(UPPER(A280)&amp;"|"&amp;UPPER(B280),'Blackout Brand Fam Areas (Enc)'!$G$6:$G$998,0)),"No Match")</f>
        <v>No Match</v>
      </c>
      <c r="F280" s="2" t="str">
        <f t="shared" si="8"/>
        <v>THEM</v>
      </c>
      <c r="G280" s="2" t="str">
        <f t="shared" si="9"/>
        <v>Fiveislands|MORRIS 2</v>
      </c>
    </row>
    <row r="281" spans="1:7" x14ac:dyDescent="0.2">
      <c r="A281" s="2" t="str" cm="1">
        <f t="array" ref="A281">INDEX('[1]Brand Family Territory (Enc)'!$A$2:$A$296,INT((ROW()-2)/10)+1)</f>
        <v>Fiveislands</v>
      </c>
      <c r="B281" s="2" t="str" cm="1">
        <f t="array" ref="B281">INDEX('Whitelist (Blackout Reverse)'!$B$1:$K$1,MOD(ROW()-2,10)+1)</f>
        <v>MORRIS 3</v>
      </c>
      <c r="C281" s="2" t="str">
        <f>VLOOKUP(A281,'[1]Brand Family Territory (Enc)'!$A$2:$B$296,2,FALSE)</f>
        <v>Core Market</v>
      </c>
      <c r="D281" s="2">
        <f>IF(COUNTIFS('[1]Brand Family Territories (Enc)'!$B$2:$B$62,C281,'[1]Brand Family Territories (Enc)'!$C$2:$C$62,B281)&gt;0,1,IF(AND(LEFT(B281,6)="MORRIS",COUNTIFS('[1]Brand Family Territories (Enc)'!$B$2:$B$62,C281,'[1]Brand Family Territories (Enc)'!$C$2:$C$62,"Morri")&gt;0),"Unk",0))</f>
        <v>1</v>
      </c>
      <c r="E281" s="2" t="str">
        <f>IFERROR(INDEX('Blackout Brand Fam Areas (Enc)'!$D$6:$D$998,MATCH(UPPER(A281)&amp;"|"&amp;UPPER(B281),'Blackout Brand Fam Areas (Enc)'!$G$6:$G$998,0)),"No Match")</f>
        <v>No Match</v>
      </c>
      <c r="F281" s="2" t="str">
        <f t="shared" si="8"/>
        <v>US</v>
      </c>
      <c r="G281" s="2" t="str">
        <f t="shared" si="9"/>
        <v>Fiveislands|MORRIS 3</v>
      </c>
    </row>
    <row r="282" spans="1:7" x14ac:dyDescent="0.2">
      <c r="A282" s="2" t="str" cm="1">
        <f t="array" ref="A282">INDEX('[1]Brand Family Territory (Enc)'!$A$2:$A$296,INT((ROW()-2)/10)+1)</f>
        <v>Fosters</v>
      </c>
      <c r="B282" s="2" t="str" cm="1">
        <f t="array" ref="B282">INDEX('Whitelist (Blackout Reverse)'!$B$1:$K$1,MOD(ROW()-2,10)+1)</f>
        <v>BERGEN</v>
      </c>
      <c r="C282" s="2" t="str">
        <f>VLOOKUP(A282,'[1]Brand Family Territory (Enc)'!$A$2:$B$296,2,FALSE)</f>
        <v>Core Market</v>
      </c>
      <c r="D282" s="2">
        <f>IF(COUNTIFS('[1]Brand Family Territories (Enc)'!$B$2:$B$62,C282,'[1]Brand Family Territories (Enc)'!$C$2:$C$62,B282)&gt;0,1,IF(AND(LEFT(B282,6)="MORRIS",COUNTIFS('[1]Brand Family Territories (Enc)'!$B$2:$B$62,C282,'[1]Brand Family Territories (Enc)'!$C$2:$C$62,"Morri")&gt;0),"Unk",0))</f>
        <v>1</v>
      </c>
      <c r="E282" s="2" t="str">
        <f>IFERROR(INDEX('Blackout Brand Fam Areas (Enc)'!$D$6:$D$998,MATCH(UPPER(A282)&amp;"|"&amp;UPPER(B282),'Blackout Brand Fam Areas (Enc)'!$G$6:$G$998,0)),"No Match")</f>
        <v>No Match</v>
      </c>
      <c r="F282" s="2" t="str">
        <f t="shared" si="8"/>
        <v>US</v>
      </c>
      <c r="G282" s="2" t="str">
        <f t="shared" si="9"/>
        <v>Fosters|BERGEN</v>
      </c>
    </row>
    <row r="283" spans="1:7" x14ac:dyDescent="0.2">
      <c r="A283" s="2" t="str" cm="1">
        <f t="array" ref="A283">INDEX('[1]Brand Family Territory (Enc)'!$A$2:$A$296,INT((ROW()-2)/10)+1)</f>
        <v>Fosters</v>
      </c>
      <c r="B283" s="2" t="str" cm="1">
        <f t="array" ref="B283">INDEX('Whitelist (Blackout Reverse)'!$B$1:$K$1,MOD(ROW()-2,10)+1)</f>
        <v>PASSAIC</v>
      </c>
      <c r="C283" s="2" t="str">
        <f>VLOOKUP(A283,'[1]Brand Family Territory (Enc)'!$A$2:$B$296,2,FALSE)</f>
        <v>Core Market</v>
      </c>
      <c r="D283" s="2">
        <f>IF(COUNTIFS('[1]Brand Family Territories (Enc)'!$B$2:$B$62,C283,'[1]Brand Family Territories (Enc)'!$C$2:$C$62,B283)&gt;0,1,IF(AND(LEFT(B283,6)="MORRIS",COUNTIFS('[1]Brand Family Territories (Enc)'!$B$2:$B$62,C283,'[1]Brand Family Territories (Enc)'!$C$2:$C$62,"Morri")&gt;0),"Unk",0))</f>
        <v>1</v>
      </c>
      <c r="E283" s="2" t="str">
        <f>IFERROR(INDEX('Blackout Brand Fam Areas (Enc)'!$D$6:$D$998,MATCH(UPPER(A283)&amp;"|"&amp;UPPER(B283),'Blackout Brand Fam Areas (Enc)'!$G$6:$G$998,0)),"No Match")</f>
        <v>No Match</v>
      </c>
      <c r="F283" s="2" t="str">
        <f t="shared" si="8"/>
        <v>US</v>
      </c>
      <c r="G283" s="2" t="str">
        <f t="shared" si="9"/>
        <v>Fosters|PASSAIC</v>
      </c>
    </row>
    <row r="284" spans="1:7" x14ac:dyDescent="0.2">
      <c r="A284" s="2" t="str" cm="1">
        <f t="array" ref="A284">INDEX('[1]Brand Family Territory (Enc)'!$A$2:$A$296,INT((ROW()-2)/10)+1)</f>
        <v>Fosters</v>
      </c>
      <c r="B284" s="2" t="str" cm="1">
        <f t="array" ref="B284">INDEX('Whitelist (Blackout Reverse)'!$B$1:$K$1,MOD(ROW()-2,10)+1)</f>
        <v>PASSAIC-FF</v>
      </c>
      <c r="C284" s="2" t="str">
        <f>VLOOKUP(A284,'[1]Brand Family Territory (Enc)'!$A$2:$B$296,2,FALSE)</f>
        <v>Core Market</v>
      </c>
      <c r="D284" s="2">
        <f>IF(COUNTIFS('[1]Brand Family Territories (Enc)'!$B$2:$B$62,C284,'[1]Brand Family Territories (Enc)'!$C$2:$C$62,B284)&gt;0,1,IF(AND(LEFT(B284,6)="MORRIS",COUNTIFS('[1]Brand Family Territories (Enc)'!$B$2:$B$62,C284,'[1]Brand Family Territories (Enc)'!$C$2:$C$62,"Morri")&gt;0),"Unk",0))</f>
        <v>1</v>
      </c>
      <c r="E284" s="2" t="str">
        <f>IFERROR(INDEX('Blackout Brand Fam Areas (Enc)'!$D$6:$D$998,MATCH(UPPER(A284)&amp;"|"&amp;UPPER(B284),'Blackout Brand Fam Areas (Enc)'!$G$6:$G$998,0)),"No Match")</f>
        <v>No Match</v>
      </c>
      <c r="F284" s="2" t="str">
        <f t="shared" si="8"/>
        <v>US</v>
      </c>
      <c r="G284" s="2" t="str">
        <f t="shared" si="9"/>
        <v>Fosters|PASSAIC-FF</v>
      </c>
    </row>
    <row r="285" spans="1:7" x14ac:dyDescent="0.2">
      <c r="A285" s="2" t="str" cm="1">
        <f t="array" ref="A285">INDEX('[1]Brand Family Territory (Enc)'!$A$2:$A$296,INT((ROW()-2)/10)+1)</f>
        <v>Fosters</v>
      </c>
      <c r="B285" s="2" t="str" cm="1">
        <f t="array" ref="B285">INDEX('Whitelist (Blackout Reverse)'!$B$1:$K$1,MOD(ROW()-2,10)+1)</f>
        <v>ESSEX</v>
      </c>
      <c r="C285" s="2" t="str">
        <f>VLOOKUP(A285,'[1]Brand Family Territory (Enc)'!$A$2:$B$296,2,FALSE)</f>
        <v>Core Market</v>
      </c>
      <c r="D285" s="2">
        <f>IF(COUNTIFS('[1]Brand Family Territories (Enc)'!$B$2:$B$62,C285,'[1]Brand Family Territories (Enc)'!$C$2:$C$62,B285)&gt;0,1,IF(AND(LEFT(B285,6)="MORRIS",COUNTIFS('[1]Brand Family Territories (Enc)'!$B$2:$B$62,C285,'[1]Brand Family Territories (Enc)'!$C$2:$C$62,"Morri")&gt;0),"Unk",0))</f>
        <v>0</v>
      </c>
      <c r="E285" s="2" t="str">
        <f>IFERROR(INDEX('Blackout Brand Fam Areas (Enc)'!$D$6:$D$998,MATCH(UPPER(A285)&amp;"|"&amp;UPPER(B285),'Blackout Brand Fam Areas (Enc)'!$G$6:$G$998,0)),"No Match")</f>
        <v>Inactive</v>
      </c>
      <c r="F285" s="2" t="str">
        <f t="shared" si="8"/>
        <v>THEM</v>
      </c>
      <c r="G285" s="2" t="str">
        <f t="shared" si="9"/>
        <v>Fosters|ESSEX</v>
      </c>
    </row>
    <row r="286" spans="1:7" x14ac:dyDescent="0.2">
      <c r="A286" s="2" t="str" cm="1">
        <f t="array" ref="A286">INDEX('[1]Brand Family Territory (Enc)'!$A$2:$A$296,INT((ROW()-2)/10)+1)</f>
        <v>Fosters</v>
      </c>
      <c r="B286" s="2" t="str" cm="1">
        <f t="array" ref="B286">INDEX('Whitelist (Blackout Reverse)'!$B$1:$K$1,MOD(ROW()-2,10)+1)</f>
        <v>HUDSON</v>
      </c>
      <c r="C286" s="2" t="str">
        <f>VLOOKUP(A286,'[1]Brand Family Territory (Enc)'!$A$2:$B$296,2,FALSE)</f>
        <v>Core Market</v>
      </c>
      <c r="D286" s="2">
        <f>IF(COUNTIFS('[1]Brand Family Territories (Enc)'!$B$2:$B$62,C286,'[1]Brand Family Territories (Enc)'!$C$2:$C$62,B286)&gt;0,1,IF(AND(LEFT(B286,6)="MORRIS",COUNTIFS('[1]Brand Family Territories (Enc)'!$B$2:$B$62,C286,'[1]Brand Family Territories (Enc)'!$C$2:$C$62,"Morri")&gt;0),"Unk",0))</f>
        <v>0</v>
      </c>
      <c r="E286" s="2" t="str">
        <f>IFERROR(INDEX('Blackout Brand Fam Areas (Enc)'!$D$6:$D$998,MATCH(UPPER(A286)&amp;"|"&amp;UPPER(B286),'Blackout Brand Fam Areas (Enc)'!$G$6:$G$998,0)),"No Match")</f>
        <v>Inactive</v>
      </c>
      <c r="F286" s="2" t="str">
        <f t="shared" si="8"/>
        <v>THEM</v>
      </c>
      <c r="G286" s="2" t="str">
        <f t="shared" si="9"/>
        <v>Fosters|HUDSON</v>
      </c>
    </row>
    <row r="287" spans="1:7" x14ac:dyDescent="0.2">
      <c r="A287" s="2" t="str" cm="1">
        <f t="array" ref="A287">INDEX('[1]Brand Family Territory (Enc)'!$A$2:$A$296,INT((ROW()-2)/10)+1)</f>
        <v>Fosters</v>
      </c>
      <c r="B287" s="2" t="str" cm="1">
        <f t="array" ref="B287">INDEX('Whitelist (Blackout Reverse)'!$B$1:$K$1,MOD(ROW()-2,10)+1)</f>
        <v>UNION</v>
      </c>
      <c r="C287" s="2" t="str">
        <f>VLOOKUP(A287,'[1]Brand Family Territory (Enc)'!$A$2:$B$296,2,FALSE)</f>
        <v>Core Market</v>
      </c>
      <c r="D287" s="2">
        <f>IF(COUNTIFS('[1]Brand Family Territories (Enc)'!$B$2:$B$62,C287,'[1]Brand Family Territories (Enc)'!$C$2:$C$62,B287)&gt;0,1,IF(AND(LEFT(B287,6)="MORRIS",COUNTIFS('[1]Brand Family Territories (Enc)'!$B$2:$B$62,C287,'[1]Brand Family Territories (Enc)'!$C$2:$C$62,"Morri")&gt;0),"Unk",0))</f>
        <v>0</v>
      </c>
      <c r="E287" s="2" t="str">
        <f>IFERROR(INDEX('Blackout Brand Fam Areas (Enc)'!$D$6:$D$998,MATCH(UPPER(A287)&amp;"|"&amp;UPPER(B287),'Blackout Brand Fam Areas (Enc)'!$G$6:$G$998,0)),"No Match")</f>
        <v>Inactive</v>
      </c>
      <c r="F287" s="2" t="str">
        <f t="shared" si="8"/>
        <v>THEM</v>
      </c>
      <c r="G287" s="2" t="str">
        <f t="shared" si="9"/>
        <v>Fosters|UNION</v>
      </c>
    </row>
    <row r="288" spans="1:7" x14ac:dyDescent="0.2">
      <c r="A288" s="2" t="str" cm="1">
        <f t="array" ref="A288">INDEX('[1]Brand Family Territory (Enc)'!$A$2:$A$296,INT((ROW()-2)/10)+1)</f>
        <v>Fosters</v>
      </c>
      <c r="B288" s="2" t="str" cm="1">
        <f t="array" ref="B288">INDEX('Whitelist (Blackout Reverse)'!$B$1:$K$1,MOD(ROW()-2,10)+1)</f>
        <v>SUSSEX</v>
      </c>
      <c r="C288" s="2" t="str">
        <f>VLOOKUP(A288,'[1]Brand Family Territory (Enc)'!$A$2:$B$296,2,FALSE)</f>
        <v>Core Market</v>
      </c>
      <c r="D288" s="2">
        <f>IF(COUNTIFS('[1]Brand Family Territories (Enc)'!$B$2:$B$62,C288,'[1]Brand Family Territories (Enc)'!$C$2:$C$62,B288)&gt;0,1,IF(AND(LEFT(B288,6)="MORRIS",COUNTIFS('[1]Brand Family Territories (Enc)'!$B$2:$B$62,C288,'[1]Brand Family Territories (Enc)'!$C$2:$C$62,"Morri")&gt;0),"Unk",0))</f>
        <v>1</v>
      </c>
      <c r="E288" s="2" t="str">
        <f>IFERROR(INDEX('Blackout Brand Fam Areas (Enc)'!$D$6:$D$998,MATCH(UPPER(A288)&amp;"|"&amp;UPPER(B288),'Blackout Brand Fam Areas (Enc)'!$G$6:$G$998,0)),"No Match")</f>
        <v>No Match</v>
      </c>
      <c r="F288" s="2" t="str">
        <f t="shared" si="8"/>
        <v>US</v>
      </c>
      <c r="G288" s="2" t="str">
        <f t="shared" si="9"/>
        <v>Fosters|SUSSEX</v>
      </c>
    </row>
    <row r="289" spans="1:7" x14ac:dyDescent="0.2">
      <c r="A289" s="2" t="str" cm="1">
        <f t="array" ref="A289">INDEX('[1]Brand Family Territory (Enc)'!$A$2:$A$296,INT((ROW()-2)/10)+1)</f>
        <v>Fosters</v>
      </c>
      <c r="B289" s="2" t="str" cm="1">
        <f t="array" ref="B289">INDEX('Whitelist (Blackout Reverse)'!$B$1:$K$1,MOD(ROW()-2,10)+1)</f>
        <v>MORRIS 1</v>
      </c>
      <c r="C289" s="2" t="str">
        <f>VLOOKUP(A289,'[1]Brand Family Territory (Enc)'!$A$2:$B$296,2,FALSE)</f>
        <v>Core Market</v>
      </c>
      <c r="D289" s="2">
        <f>IF(COUNTIFS('[1]Brand Family Territories (Enc)'!$B$2:$B$62,C289,'[1]Brand Family Territories (Enc)'!$C$2:$C$62,B289)&gt;0,1,IF(AND(LEFT(B289,6)="MORRIS",COUNTIFS('[1]Brand Family Territories (Enc)'!$B$2:$B$62,C289,'[1]Brand Family Territories (Enc)'!$C$2:$C$62,"Morri")&gt;0),"Unk",0))</f>
        <v>1</v>
      </c>
      <c r="E289" s="2" t="str">
        <f>IFERROR(INDEX('Blackout Brand Fam Areas (Enc)'!$D$6:$D$998,MATCH(UPPER(A289)&amp;"|"&amp;UPPER(B289),'Blackout Brand Fam Areas (Enc)'!$G$6:$G$998,0)),"No Match")</f>
        <v>No Match</v>
      </c>
      <c r="F289" s="2" t="str">
        <f t="shared" si="8"/>
        <v>US</v>
      </c>
      <c r="G289" s="2" t="str">
        <f t="shared" si="9"/>
        <v>Fosters|MORRIS 1</v>
      </c>
    </row>
    <row r="290" spans="1:7" x14ac:dyDescent="0.2">
      <c r="A290" s="2" t="str" cm="1">
        <f t="array" ref="A290">INDEX('[1]Brand Family Territory (Enc)'!$A$2:$A$296,INT((ROW()-2)/10)+1)</f>
        <v>Fosters</v>
      </c>
      <c r="B290" s="2" t="str" cm="1">
        <f t="array" ref="B290">INDEX('Whitelist (Blackout Reverse)'!$B$1:$K$1,MOD(ROW()-2,10)+1)</f>
        <v>MORRIS 2</v>
      </c>
      <c r="C290" s="2" t="str">
        <f>VLOOKUP(A290,'[1]Brand Family Territory (Enc)'!$A$2:$B$296,2,FALSE)</f>
        <v>Core Market</v>
      </c>
      <c r="D290" s="2">
        <f>IF(COUNTIFS('[1]Brand Family Territories (Enc)'!$B$2:$B$62,C290,'[1]Brand Family Territories (Enc)'!$C$2:$C$62,B290)&gt;0,1,IF(AND(LEFT(B290,6)="MORRIS",COUNTIFS('[1]Brand Family Territories (Enc)'!$B$2:$B$62,C290,'[1]Brand Family Territories (Enc)'!$C$2:$C$62,"Morri")&gt;0),"Unk",0))</f>
        <v>0</v>
      </c>
      <c r="E290" s="2" t="str">
        <f>IFERROR(INDEX('Blackout Brand Fam Areas (Enc)'!$D$6:$D$998,MATCH(UPPER(A290)&amp;"|"&amp;UPPER(B290),'Blackout Brand Fam Areas (Enc)'!$G$6:$G$998,0)),"No Match")</f>
        <v>Inactive</v>
      </c>
      <c r="F290" s="2" t="str">
        <f t="shared" si="8"/>
        <v>THEM</v>
      </c>
      <c r="G290" s="2" t="str">
        <f t="shared" si="9"/>
        <v>Fosters|MORRIS 2</v>
      </c>
    </row>
    <row r="291" spans="1:7" x14ac:dyDescent="0.2">
      <c r="A291" s="2" t="str" cm="1">
        <f t="array" ref="A291">INDEX('[1]Brand Family Territory (Enc)'!$A$2:$A$296,INT((ROW()-2)/10)+1)</f>
        <v>Fosters</v>
      </c>
      <c r="B291" s="2" t="str" cm="1">
        <f t="array" ref="B291">INDEX('Whitelist (Blackout Reverse)'!$B$1:$K$1,MOD(ROW()-2,10)+1)</f>
        <v>MORRIS 3</v>
      </c>
      <c r="C291" s="2" t="str">
        <f>VLOOKUP(A291,'[1]Brand Family Territory (Enc)'!$A$2:$B$296,2,FALSE)</f>
        <v>Core Market</v>
      </c>
      <c r="D291" s="2">
        <f>IF(COUNTIFS('[1]Brand Family Territories (Enc)'!$B$2:$B$62,C291,'[1]Brand Family Territories (Enc)'!$C$2:$C$62,B291)&gt;0,1,IF(AND(LEFT(B291,6)="MORRIS",COUNTIFS('[1]Brand Family Territories (Enc)'!$B$2:$B$62,C291,'[1]Brand Family Territories (Enc)'!$C$2:$C$62,"Morri")&gt;0),"Unk",0))</f>
        <v>1</v>
      </c>
      <c r="E291" s="2" t="str">
        <f>IFERROR(INDEX('Blackout Brand Fam Areas (Enc)'!$D$6:$D$998,MATCH(UPPER(A291)&amp;"|"&amp;UPPER(B291),'Blackout Brand Fam Areas (Enc)'!$G$6:$G$998,0)),"No Match")</f>
        <v>No Match</v>
      </c>
      <c r="F291" s="2" t="str">
        <f t="shared" si="8"/>
        <v>US</v>
      </c>
      <c r="G291" s="2" t="str">
        <f t="shared" si="9"/>
        <v>Fosters|MORRIS 3</v>
      </c>
    </row>
    <row r="292" spans="1:7" x14ac:dyDescent="0.2">
      <c r="A292" s="2" t="str" cm="1">
        <f t="array" ref="A292">INDEX('[1]Brand Family Territory (Enc)'!$A$2:$A$296,INT((ROW()-2)/10)+1)</f>
        <v>Fresca Mixed</v>
      </c>
      <c r="B292" s="2" t="str" cm="1">
        <f t="array" ref="B292">INDEX('Whitelist (Blackout Reverse)'!$B$1:$K$1,MOD(ROW()-2,10)+1)</f>
        <v>BERGEN</v>
      </c>
      <c r="C292" s="2" t="str">
        <f>VLOOKUP(A292,'[1]Brand Family Territory (Enc)'!$A$2:$B$296,2,FALSE)</f>
        <v>Core Market</v>
      </c>
      <c r="D292" s="2">
        <f>IF(COUNTIFS('[1]Brand Family Territories (Enc)'!$B$2:$B$62,C292,'[1]Brand Family Territories (Enc)'!$C$2:$C$62,B292)&gt;0,1,IF(AND(LEFT(B292,6)="MORRIS",COUNTIFS('[1]Brand Family Territories (Enc)'!$B$2:$B$62,C292,'[1]Brand Family Territories (Enc)'!$C$2:$C$62,"Morri")&gt;0),"Unk",0))</f>
        <v>1</v>
      </c>
      <c r="E292" s="2" t="str">
        <f>IFERROR(INDEX('Blackout Brand Fam Areas (Enc)'!$D$6:$D$998,MATCH(UPPER(A292)&amp;"|"&amp;UPPER(B292),'Blackout Brand Fam Areas (Enc)'!$G$6:$G$998,0)),"No Match")</f>
        <v>No Match</v>
      </c>
      <c r="F292" s="2" t="str">
        <f t="shared" si="8"/>
        <v>US</v>
      </c>
      <c r="G292" s="2" t="str">
        <f t="shared" si="9"/>
        <v>Fresca Mixed|BERGEN</v>
      </c>
    </row>
    <row r="293" spans="1:7" x14ac:dyDescent="0.2">
      <c r="A293" s="2" t="str" cm="1">
        <f t="array" ref="A293">INDEX('[1]Brand Family Territory (Enc)'!$A$2:$A$296,INT((ROW()-2)/10)+1)</f>
        <v>Fresca Mixed</v>
      </c>
      <c r="B293" s="2" t="str" cm="1">
        <f t="array" ref="B293">INDEX('Whitelist (Blackout Reverse)'!$B$1:$K$1,MOD(ROW()-2,10)+1)</f>
        <v>PASSAIC</v>
      </c>
      <c r="C293" s="2" t="str">
        <f>VLOOKUP(A293,'[1]Brand Family Territory (Enc)'!$A$2:$B$296,2,FALSE)</f>
        <v>Core Market</v>
      </c>
      <c r="D293" s="2">
        <f>IF(COUNTIFS('[1]Brand Family Territories (Enc)'!$B$2:$B$62,C293,'[1]Brand Family Territories (Enc)'!$C$2:$C$62,B293)&gt;0,1,IF(AND(LEFT(B293,6)="MORRIS",COUNTIFS('[1]Brand Family Territories (Enc)'!$B$2:$B$62,C293,'[1]Brand Family Territories (Enc)'!$C$2:$C$62,"Morri")&gt;0),"Unk",0))</f>
        <v>1</v>
      </c>
      <c r="E293" s="2" t="str">
        <f>IFERROR(INDEX('Blackout Brand Fam Areas (Enc)'!$D$6:$D$998,MATCH(UPPER(A293)&amp;"|"&amp;UPPER(B293),'Blackout Brand Fam Areas (Enc)'!$G$6:$G$998,0)),"No Match")</f>
        <v>No Match</v>
      </c>
      <c r="F293" s="2" t="str">
        <f t="shared" si="8"/>
        <v>US</v>
      </c>
      <c r="G293" s="2" t="str">
        <f t="shared" si="9"/>
        <v>Fresca Mixed|PASSAIC</v>
      </c>
    </row>
    <row r="294" spans="1:7" x14ac:dyDescent="0.2">
      <c r="A294" s="2" t="str" cm="1">
        <f t="array" ref="A294">INDEX('[1]Brand Family Territory (Enc)'!$A$2:$A$296,INT((ROW()-2)/10)+1)</f>
        <v>Fresca Mixed</v>
      </c>
      <c r="B294" s="2" t="str" cm="1">
        <f t="array" ref="B294">INDEX('Whitelist (Blackout Reverse)'!$B$1:$K$1,MOD(ROW()-2,10)+1)</f>
        <v>PASSAIC-FF</v>
      </c>
      <c r="C294" s="2" t="str">
        <f>VLOOKUP(A294,'[1]Brand Family Territory (Enc)'!$A$2:$B$296,2,FALSE)</f>
        <v>Core Market</v>
      </c>
      <c r="D294" s="2">
        <f>IF(COUNTIFS('[1]Brand Family Territories (Enc)'!$B$2:$B$62,C294,'[1]Brand Family Territories (Enc)'!$C$2:$C$62,B294)&gt;0,1,IF(AND(LEFT(B294,6)="MORRIS",COUNTIFS('[1]Brand Family Territories (Enc)'!$B$2:$B$62,C294,'[1]Brand Family Territories (Enc)'!$C$2:$C$62,"Morri")&gt;0),"Unk",0))</f>
        <v>1</v>
      </c>
      <c r="E294" s="2" t="str">
        <f>IFERROR(INDEX('Blackout Brand Fam Areas (Enc)'!$D$6:$D$998,MATCH(UPPER(A294)&amp;"|"&amp;UPPER(B294),'Blackout Brand Fam Areas (Enc)'!$G$6:$G$998,0)),"No Match")</f>
        <v>No Match</v>
      </c>
      <c r="F294" s="2" t="str">
        <f t="shared" si="8"/>
        <v>US</v>
      </c>
      <c r="G294" s="2" t="str">
        <f t="shared" si="9"/>
        <v>Fresca Mixed|PASSAIC-FF</v>
      </c>
    </row>
    <row r="295" spans="1:7" x14ac:dyDescent="0.2">
      <c r="A295" s="2" t="str" cm="1">
        <f t="array" ref="A295">INDEX('[1]Brand Family Territory (Enc)'!$A$2:$A$296,INT((ROW()-2)/10)+1)</f>
        <v>Fresca Mixed</v>
      </c>
      <c r="B295" s="2" t="str" cm="1">
        <f t="array" ref="B295">INDEX('Whitelist (Blackout Reverse)'!$B$1:$K$1,MOD(ROW()-2,10)+1)</f>
        <v>ESSEX</v>
      </c>
      <c r="C295" s="2" t="str">
        <f>VLOOKUP(A295,'[1]Brand Family Territory (Enc)'!$A$2:$B$296,2,FALSE)</f>
        <v>Core Market</v>
      </c>
      <c r="D295" s="2">
        <f>IF(COUNTIFS('[1]Brand Family Territories (Enc)'!$B$2:$B$62,C295,'[1]Brand Family Territories (Enc)'!$C$2:$C$62,B295)&gt;0,1,IF(AND(LEFT(B295,6)="MORRIS",COUNTIFS('[1]Brand Family Territories (Enc)'!$B$2:$B$62,C295,'[1]Brand Family Territories (Enc)'!$C$2:$C$62,"Morri")&gt;0),"Unk",0))</f>
        <v>0</v>
      </c>
      <c r="E295" s="2" t="str">
        <f>IFERROR(INDEX('Blackout Brand Fam Areas (Enc)'!$D$6:$D$998,MATCH(UPPER(A295)&amp;"|"&amp;UPPER(B295),'Blackout Brand Fam Areas (Enc)'!$G$6:$G$998,0)),"No Match")</f>
        <v>Inactive</v>
      </c>
      <c r="F295" s="2" t="str">
        <f t="shared" si="8"/>
        <v>THEM</v>
      </c>
      <c r="G295" s="2" t="str">
        <f t="shared" si="9"/>
        <v>Fresca Mixed|ESSEX</v>
      </c>
    </row>
    <row r="296" spans="1:7" x14ac:dyDescent="0.2">
      <c r="A296" s="2" t="str" cm="1">
        <f t="array" ref="A296">INDEX('[1]Brand Family Territory (Enc)'!$A$2:$A$296,INT((ROW()-2)/10)+1)</f>
        <v>Fresca Mixed</v>
      </c>
      <c r="B296" s="2" t="str" cm="1">
        <f t="array" ref="B296">INDEX('Whitelist (Blackout Reverse)'!$B$1:$K$1,MOD(ROW()-2,10)+1)</f>
        <v>HUDSON</v>
      </c>
      <c r="C296" s="2" t="str">
        <f>VLOOKUP(A296,'[1]Brand Family Territory (Enc)'!$A$2:$B$296,2,FALSE)</f>
        <v>Core Market</v>
      </c>
      <c r="D296" s="2">
        <f>IF(COUNTIFS('[1]Brand Family Territories (Enc)'!$B$2:$B$62,C296,'[1]Brand Family Territories (Enc)'!$C$2:$C$62,B296)&gt;0,1,IF(AND(LEFT(B296,6)="MORRIS",COUNTIFS('[1]Brand Family Territories (Enc)'!$B$2:$B$62,C296,'[1]Brand Family Territories (Enc)'!$C$2:$C$62,"Morri")&gt;0),"Unk",0))</f>
        <v>0</v>
      </c>
      <c r="E296" s="2" t="str">
        <f>IFERROR(INDEX('Blackout Brand Fam Areas (Enc)'!$D$6:$D$998,MATCH(UPPER(A296)&amp;"|"&amp;UPPER(B296),'Blackout Brand Fam Areas (Enc)'!$G$6:$G$998,0)),"No Match")</f>
        <v>Inactive</v>
      </c>
      <c r="F296" s="2" t="str">
        <f t="shared" si="8"/>
        <v>THEM</v>
      </c>
      <c r="G296" s="2" t="str">
        <f t="shared" si="9"/>
        <v>Fresca Mixed|HUDSON</v>
      </c>
    </row>
    <row r="297" spans="1:7" x14ac:dyDescent="0.2">
      <c r="A297" s="2" t="str" cm="1">
        <f t="array" ref="A297">INDEX('[1]Brand Family Territory (Enc)'!$A$2:$A$296,INT((ROW()-2)/10)+1)</f>
        <v>Fresca Mixed</v>
      </c>
      <c r="B297" s="2" t="str" cm="1">
        <f t="array" ref="B297">INDEX('Whitelist (Blackout Reverse)'!$B$1:$K$1,MOD(ROW()-2,10)+1)</f>
        <v>UNION</v>
      </c>
      <c r="C297" s="2" t="str">
        <f>VLOOKUP(A297,'[1]Brand Family Territory (Enc)'!$A$2:$B$296,2,FALSE)</f>
        <v>Core Market</v>
      </c>
      <c r="D297" s="2">
        <f>IF(COUNTIFS('[1]Brand Family Territories (Enc)'!$B$2:$B$62,C297,'[1]Brand Family Territories (Enc)'!$C$2:$C$62,B297)&gt;0,1,IF(AND(LEFT(B297,6)="MORRIS",COUNTIFS('[1]Brand Family Territories (Enc)'!$B$2:$B$62,C297,'[1]Brand Family Territories (Enc)'!$C$2:$C$62,"Morri")&gt;0),"Unk",0))</f>
        <v>0</v>
      </c>
      <c r="E297" s="2" t="str">
        <f>IFERROR(INDEX('Blackout Brand Fam Areas (Enc)'!$D$6:$D$998,MATCH(UPPER(A297)&amp;"|"&amp;UPPER(B297),'Blackout Brand Fam Areas (Enc)'!$G$6:$G$998,0)),"No Match")</f>
        <v>Inactive</v>
      </c>
      <c r="F297" s="2" t="str">
        <f t="shared" si="8"/>
        <v>THEM</v>
      </c>
      <c r="G297" s="2" t="str">
        <f t="shared" si="9"/>
        <v>Fresca Mixed|UNION</v>
      </c>
    </row>
    <row r="298" spans="1:7" x14ac:dyDescent="0.2">
      <c r="A298" s="2" t="str" cm="1">
        <f t="array" ref="A298">INDEX('[1]Brand Family Territory (Enc)'!$A$2:$A$296,INT((ROW()-2)/10)+1)</f>
        <v>Fresca Mixed</v>
      </c>
      <c r="B298" s="2" t="str" cm="1">
        <f t="array" ref="B298">INDEX('Whitelist (Blackout Reverse)'!$B$1:$K$1,MOD(ROW()-2,10)+1)</f>
        <v>SUSSEX</v>
      </c>
      <c r="C298" s="2" t="str">
        <f>VLOOKUP(A298,'[1]Brand Family Territory (Enc)'!$A$2:$B$296,2,FALSE)</f>
        <v>Core Market</v>
      </c>
      <c r="D298" s="2">
        <f>IF(COUNTIFS('[1]Brand Family Territories (Enc)'!$B$2:$B$62,C298,'[1]Brand Family Territories (Enc)'!$C$2:$C$62,B298)&gt;0,1,IF(AND(LEFT(B298,6)="MORRIS",COUNTIFS('[1]Brand Family Territories (Enc)'!$B$2:$B$62,C298,'[1]Brand Family Territories (Enc)'!$C$2:$C$62,"Morri")&gt;0),"Unk",0))</f>
        <v>1</v>
      </c>
      <c r="E298" s="2" t="str">
        <f>IFERROR(INDEX('Blackout Brand Fam Areas (Enc)'!$D$6:$D$998,MATCH(UPPER(A298)&amp;"|"&amp;UPPER(B298),'Blackout Brand Fam Areas (Enc)'!$G$6:$G$998,0)),"No Match")</f>
        <v>No Match</v>
      </c>
      <c r="F298" s="2" t="str">
        <f t="shared" si="8"/>
        <v>US</v>
      </c>
      <c r="G298" s="2" t="str">
        <f t="shared" si="9"/>
        <v>Fresca Mixed|SUSSEX</v>
      </c>
    </row>
    <row r="299" spans="1:7" x14ac:dyDescent="0.2">
      <c r="A299" s="2" t="str" cm="1">
        <f t="array" ref="A299">INDEX('[1]Brand Family Territory (Enc)'!$A$2:$A$296,INT((ROW()-2)/10)+1)</f>
        <v>Fresca Mixed</v>
      </c>
      <c r="B299" s="2" t="str" cm="1">
        <f t="array" ref="B299">INDEX('Whitelist (Blackout Reverse)'!$B$1:$K$1,MOD(ROW()-2,10)+1)</f>
        <v>MORRIS 1</v>
      </c>
      <c r="C299" s="2" t="str">
        <f>VLOOKUP(A299,'[1]Brand Family Territory (Enc)'!$A$2:$B$296,2,FALSE)</f>
        <v>Core Market</v>
      </c>
      <c r="D299" s="2">
        <f>IF(COUNTIFS('[1]Brand Family Territories (Enc)'!$B$2:$B$62,C299,'[1]Brand Family Territories (Enc)'!$C$2:$C$62,B299)&gt;0,1,IF(AND(LEFT(B299,6)="MORRIS",COUNTIFS('[1]Brand Family Territories (Enc)'!$B$2:$B$62,C299,'[1]Brand Family Territories (Enc)'!$C$2:$C$62,"Morri")&gt;0),"Unk",0))</f>
        <v>1</v>
      </c>
      <c r="E299" s="2" t="str">
        <f>IFERROR(INDEX('Blackout Brand Fam Areas (Enc)'!$D$6:$D$998,MATCH(UPPER(A299)&amp;"|"&amp;UPPER(B299),'Blackout Brand Fam Areas (Enc)'!$G$6:$G$998,0)),"No Match")</f>
        <v>No Match</v>
      </c>
      <c r="F299" s="2" t="str">
        <f t="shared" si="8"/>
        <v>US</v>
      </c>
      <c r="G299" s="2" t="str">
        <f t="shared" si="9"/>
        <v>Fresca Mixed|MORRIS 1</v>
      </c>
    </row>
    <row r="300" spans="1:7" x14ac:dyDescent="0.2">
      <c r="A300" s="2" t="str" cm="1">
        <f t="array" ref="A300">INDEX('[1]Brand Family Territory (Enc)'!$A$2:$A$296,INT((ROW()-2)/10)+1)</f>
        <v>Fresca Mixed</v>
      </c>
      <c r="B300" s="2" t="str" cm="1">
        <f t="array" ref="B300">INDEX('Whitelist (Blackout Reverse)'!$B$1:$K$1,MOD(ROW()-2,10)+1)</f>
        <v>MORRIS 2</v>
      </c>
      <c r="C300" s="2" t="str">
        <f>VLOOKUP(A300,'[1]Brand Family Territory (Enc)'!$A$2:$B$296,2,FALSE)</f>
        <v>Core Market</v>
      </c>
      <c r="D300" s="2">
        <f>IF(COUNTIFS('[1]Brand Family Territories (Enc)'!$B$2:$B$62,C300,'[1]Brand Family Territories (Enc)'!$C$2:$C$62,B300)&gt;0,1,IF(AND(LEFT(B300,6)="MORRIS",COUNTIFS('[1]Brand Family Territories (Enc)'!$B$2:$B$62,C300,'[1]Brand Family Territories (Enc)'!$C$2:$C$62,"Morri")&gt;0),"Unk",0))</f>
        <v>0</v>
      </c>
      <c r="E300" s="2" t="str">
        <f>IFERROR(INDEX('Blackout Brand Fam Areas (Enc)'!$D$6:$D$998,MATCH(UPPER(A300)&amp;"|"&amp;UPPER(B300),'Blackout Brand Fam Areas (Enc)'!$G$6:$G$998,0)),"No Match")</f>
        <v>Inactive</v>
      </c>
      <c r="F300" s="2" t="str">
        <f t="shared" si="8"/>
        <v>THEM</v>
      </c>
      <c r="G300" s="2" t="str">
        <f t="shared" si="9"/>
        <v>Fresca Mixed|MORRIS 2</v>
      </c>
    </row>
    <row r="301" spans="1:7" x14ac:dyDescent="0.2">
      <c r="A301" s="2" t="str" cm="1">
        <f t="array" ref="A301">INDEX('[1]Brand Family Territory (Enc)'!$A$2:$A$296,INT((ROW()-2)/10)+1)</f>
        <v>Fresca Mixed</v>
      </c>
      <c r="B301" s="2" t="str" cm="1">
        <f t="array" ref="B301">INDEX('Whitelist (Blackout Reverse)'!$B$1:$K$1,MOD(ROW()-2,10)+1)</f>
        <v>MORRIS 3</v>
      </c>
      <c r="C301" s="2" t="str">
        <f>VLOOKUP(A301,'[1]Brand Family Territory (Enc)'!$A$2:$B$296,2,FALSE)</f>
        <v>Core Market</v>
      </c>
      <c r="D301" s="2">
        <f>IF(COUNTIFS('[1]Brand Family Territories (Enc)'!$B$2:$B$62,C301,'[1]Brand Family Territories (Enc)'!$C$2:$C$62,B301)&gt;0,1,IF(AND(LEFT(B301,6)="MORRIS",COUNTIFS('[1]Brand Family Territories (Enc)'!$B$2:$B$62,C301,'[1]Brand Family Territories (Enc)'!$C$2:$C$62,"Morri")&gt;0),"Unk",0))</f>
        <v>1</v>
      </c>
      <c r="E301" s="2" t="str">
        <f>IFERROR(INDEX('Blackout Brand Fam Areas (Enc)'!$D$6:$D$998,MATCH(UPPER(A301)&amp;"|"&amp;UPPER(B301),'Blackout Brand Fam Areas (Enc)'!$G$6:$G$998,0)),"No Match")</f>
        <v>No Match</v>
      </c>
      <c r="F301" s="2" t="str">
        <f t="shared" si="8"/>
        <v>US</v>
      </c>
      <c r="G301" s="2" t="str">
        <f t="shared" si="9"/>
        <v>Fresca Mixed|MORRIS 3</v>
      </c>
    </row>
    <row r="302" spans="1:7" x14ac:dyDescent="0.2">
      <c r="A302" s="2" t="str" cm="1">
        <f t="array" ref="A302">INDEX('[1]Brand Family Territory (Enc)'!$A$2:$A$296,INT((ROW()-2)/10)+1)</f>
        <v>Bardstown Green River</v>
      </c>
      <c r="B302" s="2" t="str" cm="1">
        <f t="array" ref="B302">INDEX('Whitelist (Blackout Reverse)'!$B$1:$K$1,MOD(ROW()-2,10)+1)</f>
        <v>BERGEN</v>
      </c>
      <c r="C302" s="2" t="str">
        <f>VLOOKUP(A302,'[1]Brand Family Territory (Enc)'!$A$2:$B$296,2,FALSE)</f>
        <v>Core Market</v>
      </c>
      <c r="D302" s="2">
        <f>IF(COUNTIFS('[1]Brand Family Territories (Enc)'!$B$2:$B$62,C302,'[1]Brand Family Territories (Enc)'!$C$2:$C$62,B302)&gt;0,1,IF(AND(LEFT(B302,6)="MORRIS",COUNTIFS('[1]Brand Family Territories (Enc)'!$B$2:$B$62,C302,'[1]Brand Family Territories (Enc)'!$C$2:$C$62,"Morri")&gt;0),"Unk",0))</f>
        <v>1</v>
      </c>
      <c r="E302" s="2" t="str">
        <f>IFERROR(INDEX('Blackout Brand Fam Areas (Enc)'!$D$6:$D$998,MATCH(UPPER(A302)&amp;"|"&amp;UPPER(B302),'Blackout Brand Fam Areas (Enc)'!$G$6:$G$998,0)),"No Match")</f>
        <v>No Match</v>
      </c>
      <c r="F302" s="2" t="str">
        <f t="shared" si="8"/>
        <v>US</v>
      </c>
      <c r="G302" s="2" t="str">
        <f t="shared" si="9"/>
        <v>Bardstown Green River|BERGEN</v>
      </c>
    </row>
    <row r="303" spans="1:7" x14ac:dyDescent="0.2">
      <c r="A303" s="2" t="str" cm="1">
        <f t="array" ref="A303">INDEX('[1]Brand Family Territory (Enc)'!$A$2:$A$296,INT((ROW()-2)/10)+1)</f>
        <v>Bardstown Green River</v>
      </c>
      <c r="B303" s="2" t="str" cm="1">
        <f t="array" ref="B303">INDEX('Whitelist (Blackout Reverse)'!$B$1:$K$1,MOD(ROW()-2,10)+1)</f>
        <v>PASSAIC</v>
      </c>
      <c r="C303" s="2" t="str">
        <f>VLOOKUP(A303,'[1]Brand Family Territory (Enc)'!$A$2:$B$296,2,FALSE)</f>
        <v>Core Market</v>
      </c>
      <c r="D303" s="2">
        <f>IF(COUNTIFS('[1]Brand Family Territories (Enc)'!$B$2:$B$62,C303,'[1]Brand Family Territories (Enc)'!$C$2:$C$62,B303)&gt;0,1,IF(AND(LEFT(B303,6)="MORRIS",COUNTIFS('[1]Brand Family Territories (Enc)'!$B$2:$B$62,C303,'[1]Brand Family Territories (Enc)'!$C$2:$C$62,"Morri")&gt;0),"Unk",0))</f>
        <v>1</v>
      </c>
      <c r="E303" s="2" t="str">
        <f>IFERROR(INDEX('Blackout Brand Fam Areas (Enc)'!$D$6:$D$998,MATCH(UPPER(A303)&amp;"|"&amp;UPPER(B303),'Blackout Brand Fam Areas (Enc)'!$G$6:$G$998,0)),"No Match")</f>
        <v>No Match</v>
      </c>
      <c r="F303" s="2" t="str">
        <f t="shared" si="8"/>
        <v>US</v>
      </c>
      <c r="G303" s="2" t="str">
        <f t="shared" si="9"/>
        <v>Bardstown Green River|PASSAIC</v>
      </c>
    </row>
    <row r="304" spans="1:7" x14ac:dyDescent="0.2">
      <c r="A304" s="2" t="str" cm="1">
        <f t="array" ref="A304">INDEX('[1]Brand Family Territory (Enc)'!$A$2:$A$296,INT((ROW()-2)/10)+1)</f>
        <v>Bardstown Green River</v>
      </c>
      <c r="B304" s="2" t="str" cm="1">
        <f t="array" ref="B304">INDEX('Whitelist (Blackout Reverse)'!$B$1:$K$1,MOD(ROW()-2,10)+1)</f>
        <v>PASSAIC-FF</v>
      </c>
      <c r="C304" s="2" t="str">
        <f>VLOOKUP(A304,'[1]Brand Family Territory (Enc)'!$A$2:$B$296,2,FALSE)</f>
        <v>Core Market</v>
      </c>
      <c r="D304" s="2">
        <f>IF(COUNTIFS('[1]Brand Family Territories (Enc)'!$B$2:$B$62,C304,'[1]Brand Family Territories (Enc)'!$C$2:$C$62,B304)&gt;0,1,IF(AND(LEFT(B304,6)="MORRIS",COUNTIFS('[1]Brand Family Territories (Enc)'!$B$2:$B$62,C304,'[1]Brand Family Territories (Enc)'!$C$2:$C$62,"Morri")&gt;0),"Unk",0))</f>
        <v>1</v>
      </c>
      <c r="E304" s="2" t="str">
        <f>IFERROR(INDEX('Blackout Brand Fam Areas (Enc)'!$D$6:$D$998,MATCH(UPPER(A304)&amp;"|"&amp;UPPER(B304),'Blackout Brand Fam Areas (Enc)'!$G$6:$G$998,0)),"No Match")</f>
        <v>No Match</v>
      </c>
      <c r="F304" s="2" t="str">
        <f t="shared" si="8"/>
        <v>US</v>
      </c>
      <c r="G304" s="2" t="str">
        <f t="shared" si="9"/>
        <v>Bardstown Green River|PASSAIC-FF</v>
      </c>
    </row>
    <row r="305" spans="1:7" x14ac:dyDescent="0.2">
      <c r="A305" s="2" t="str" cm="1">
        <f t="array" ref="A305">INDEX('[1]Brand Family Territory (Enc)'!$A$2:$A$296,INT((ROW()-2)/10)+1)</f>
        <v>Bardstown Green River</v>
      </c>
      <c r="B305" s="2" t="str" cm="1">
        <f t="array" ref="B305">INDEX('Whitelist (Blackout Reverse)'!$B$1:$K$1,MOD(ROW()-2,10)+1)</f>
        <v>ESSEX</v>
      </c>
      <c r="C305" s="2" t="str">
        <f>VLOOKUP(A305,'[1]Brand Family Territory (Enc)'!$A$2:$B$296,2,FALSE)</f>
        <v>Core Market</v>
      </c>
      <c r="D305" s="2">
        <f>IF(COUNTIFS('[1]Brand Family Territories (Enc)'!$B$2:$B$62,C305,'[1]Brand Family Territories (Enc)'!$C$2:$C$62,B305)&gt;0,1,IF(AND(LEFT(B305,6)="MORRIS",COUNTIFS('[1]Brand Family Territories (Enc)'!$B$2:$B$62,C305,'[1]Brand Family Territories (Enc)'!$C$2:$C$62,"Morri")&gt;0),"Unk",0))</f>
        <v>0</v>
      </c>
      <c r="E305" s="2" t="str">
        <f>IFERROR(INDEX('Blackout Brand Fam Areas (Enc)'!$D$6:$D$998,MATCH(UPPER(A305)&amp;"|"&amp;UPPER(B305),'Blackout Brand Fam Areas (Enc)'!$G$6:$G$998,0)),"No Match")</f>
        <v>Inactive</v>
      </c>
      <c r="F305" s="2" t="str">
        <f t="shared" si="8"/>
        <v>THEM</v>
      </c>
      <c r="G305" s="2" t="str">
        <f t="shared" si="9"/>
        <v>Bardstown Green River|ESSEX</v>
      </c>
    </row>
    <row r="306" spans="1:7" x14ac:dyDescent="0.2">
      <c r="A306" s="2" t="str" cm="1">
        <f t="array" ref="A306">INDEX('[1]Brand Family Territory (Enc)'!$A$2:$A$296,INT((ROW()-2)/10)+1)</f>
        <v>Bardstown Green River</v>
      </c>
      <c r="B306" s="2" t="str" cm="1">
        <f t="array" ref="B306">INDEX('Whitelist (Blackout Reverse)'!$B$1:$K$1,MOD(ROW()-2,10)+1)</f>
        <v>HUDSON</v>
      </c>
      <c r="C306" s="2" t="str">
        <f>VLOOKUP(A306,'[1]Brand Family Territory (Enc)'!$A$2:$B$296,2,FALSE)</f>
        <v>Core Market</v>
      </c>
      <c r="D306" s="2">
        <f>IF(COUNTIFS('[1]Brand Family Territories (Enc)'!$B$2:$B$62,C306,'[1]Brand Family Territories (Enc)'!$C$2:$C$62,B306)&gt;0,1,IF(AND(LEFT(B306,6)="MORRIS",COUNTIFS('[1]Brand Family Territories (Enc)'!$B$2:$B$62,C306,'[1]Brand Family Territories (Enc)'!$C$2:$C$62,"Morri")&gt;0),"Unk",0))</f>
        <v>0</v>
      </c>
      <c r="E306" s="2" t="str">
        <f>IFERROR(INDEX('Blackout Brand Fam Areas (Enc)'!$D$6:$D$998,MATCH(UPPER(A306)&amp;"|"&amp;UPPER(B306),'Blackout Brand Fam Areas (Enc)'!$G$6:$G$998,0)),"No Match")</f>
        <v>Inactive</v>
      </c>
      <c r="F306" s="2" t="str">
        <f t="shared" si="8"/>
        <v>THEM</v>
      </c>
      <c r="G306" s="2" t="str">
        <f t="shared" si="9"/>
        <v>Bardstown Green River|HUDSON</v>
      </c>
    </row>
    <row r="307" spans="1:7" x14ac:dyDescent="0.2">
      <c r="A307" s="2" t="str" cm="1">
        <f t="array" ref="A307">INDEX('[1]Brand Family Territory (Enc)'!$A$2:$A$296,INT((ROW()-2)/10)+1)</f>
        <v>Bardstown Green River</v>
      </c>
      <c r="B307" s="2" t="str" cm="1">
        <f t="array" ref="B307">INDEX('Whitelist (Blackout Reverse)'!$B$1:$K$1,MOD(ROW()-2,10)+1)</f>
        <v>UNION</v>
      </c>
      <c r="C307" s="2" t="str">
        <f>VLOOKUP(A307,'[1]Brand Family Territory (Enc)'!$A$2:$B$296,2,FALSE)</f>
        <v>Core Market</v>
      </c>
      <c r="D307" s="2">
        <f>IF(COUNTIFS('[1]Brand Family Territories (Enc)'!$B$2:$B$62,C307,'[1]Brand Family Territories (Enc)'!$C$2:$C$62,B307)&gt;0,1,IF(AND(LEFT(B307,6)="MORRIS",COUNTIFS('[1]Brand Family Territories (Enc)'!$B$2:$B$62,C307,'[1]Brand Family Territories (Enc)'!$C$2:$C$62,"Morri")&gt;0),"Unk",0))</f>
        <v>0</v>
      </c>
      <c r="E307" s="2" t="str">
        <f>IFERROR(INDEX('Blackout Brand Fam Areas (Enc)'!$D$6:$D$998,MATCH(UPPER(A307)&amp;"|"&amp;UPPER(B307),'Blackout Brand Fam Areas (Enc)'!$G$6:$G$998,0)),"No Match")</f>
        <v>Inactive</v>
      </c>
      <c r="F307" s="2" t="str">
        <f t="shared" si="8"/>
        <v>THEM</v>
      </c>
      <c r="G307" s="2" t="str">
        <f t="shared" si="9"/>
        <v>Bardstown Green River|UNION</v>
      </c>
    </row>
    <row r="308" spans="1:7" x14ac:dyDescent="0.2">
      <c r="A308" s="2" t="str" cm="1">
        <f t="array" ref="A308">INDEX('[1]Brand Family Territory (Enc)'!$A$2:$A$296,INT((ROW()-2)/10)+1)</f>
        <v>Bardstown Green River</v>
      </c>
      <c r="B308" s="2" t="str" cm="1">
        <f t="array" ref="B308">INDEX('Whitelist (Blackout Reverse)'!$B$1:$K$1,MOD(ROW()-2,10)+1)</f>
        <v>SUSSEX</v>
      </c>
      <c r="C308" s="2" t="str">
        <f>VLOOKUP(A308,'[1]Brand Family Territory (Enc)'!$A$2:$B$296,2,FALSE)</f>
        <v>Core Market</v>
      </c>
      <c r="D308" s="2">
        <f>IF(COUNTIFS('[1]Brand Family Territories (Enc)'!$B$2:$B$62,C308,'[1]Brand Family Territories (Enc)'!$C$2:$C$62,B308)&gt;0,1,IF(AND(LEFT(B308,6)="MORRIS",COUNTIFS('[1]Brand Family Territories (Enc)'!$B$2:$B$62,C308,'[1]Brand Family Territories (Enc)'!$C$2:$C$62,"Morri")&gt;0),"Unk",0))</f>
        <v>1</v>
      </c>
      <c r="E308" s="2" t="str">
        <f>IFERROR(INDEX('Blackout Brand Fam Areas (Enc)'!$D$6:$D$998,MATCH(UPPER(A308)&amp;"|"&amp;UPPER(B308),'Blackout Brand Fam Areas (Enc)'!$G$6:$G$998,0)),"No Match")</f>
        <v>No Match</v>
      </c>
      <c r="F308" s="2" t="str">
        <f t="shared" si="8"/>
        <v>US</v>
      </c>
      <c r="G308" s="2" t="str">
        <f t="shared" si="9"/>
        <v>Bardstown Green River|SUSSEX</v>
      </c>
    </row>
    <row r="309" spans="1:7" x14ac:dyDescent="0.2">
      <c r="A309" s="2" t="str" cm="1">
        <f t="array" ref="A309">INDEX('[1]Brand Family Territory (Enc)'!$A$2:$A$296,INT((ROW()-2)/10)+1)</f>
        <v>Bardstown Green River</v>
      </c>
      <c r="B309" s="2" t="str" cm="1">
        <f t="array" ref="B309">INDEX('Whitelist (Blackout Reverse)'!$B$1:$K$1,MOD(ROW()-2,10)+1)</f>
        <v>MORRIS 1</v>
      </c>
      <c r="C309" s="2" t="str">
        <f>VLOOKUP(A309,'[1]Brand Family Territory (Enc)'!$A$2:$B$296,2,FALSE)</f>
        <v>Core Market</v>
      </c>
      <c r="D309" s="2">
        <f>IF(COUNTIFS('[1]Brand Family Territories (Enc)'!$B$2:$B$62,C309,'[1]Brand Family Territories (Enc)'!$C$2:$C$62,B309)&gt;0,1,IF(AND(LEFT(B309,6)="MORRIS",COUNTIFS('[1]Brand Family Territories (Enc)'!$B$2:$B$62,C309,'[1]Brand Family Territories (Enc)'!$C$2:$C$62,"Morri")&gt;0),"Unk",0))</f>
        <v>1</v>
      </c>
      <c r="E309" s="2" t="str">
        <f>IFERROR(INDEX('Blackout Brand Fam Areas (Enc)'!$D$6:$D$998,MATCH(UPPER(A309)&amp;"|"&amp;UPPER(B309),'Blackout Brand Fam Areas (Enc)'!$G$6:$G$998,0)),"No Match")</f>
        <v>No Match</v>
      </c>
      <c r="F309" s="2" t="str">
        <f t="shared" si="8"/>
        <v>US</v>
      </c>
      <c r="G309" s="2" t="str">
        <f t="shared" si="9"/>
        <v>Bardstown Green River|MORRIS 1</v>
      </c>
    </row>
    <row r="310" spans="1:7" x14ac:dyDescent="0.2">
      <c r="A310" s="2" t="str" cm="1">
        <f t="array" ref="A310">INDEX('[1]Brand Family Territory (Enc)'!$A$2:$A$296,INT((ROW()-2)/10)+1)</f>
        <v>Bardstown Green River</v>
      </c>
      <c r="B310" s="2" t="str" cm="1">
        <f t="array" ref="B310">INDEX('Whitelist (Blackout Reverse)'!$B$1:$K$1,MOD(ROW()-2,10)+1)</f>
        <v>MORRIS 2</v>
      </c>
      <c r="C310" s="2" t="str">
        <f>VLOOKUP(A310,'[1]Brand Family Territory (Enc)'!$A$2:$B$296,2,FALSE)</f>
        <v>Core Market</v>
      </c>
      <c r="D310" s="2">
        <f>IF(COUNTIFS('[1]Brand Family Territories (Enc)'!$B$2:$B$62,C310,'[1]Brand Family Territories (Enc)'!$C$2:$C$62,B310)&gt;0,1,IF(AND(LEFT(B310,6)="MORRIS",COUNTIFS('[1]Brand Family Territories (Enc)'!$B$2:$B$62,C310,'[1]Brand Family Territories (Enc)'!$C$2:$C$62,"Morri")&gt;0),"Unk",0))</f>
        <v>0</v>
      </c>
      <c r="E310" s="2" t="str">
        <f>IFERROR(INDEX('Blackout Brand Fam Areas (Enc)'!$D$6:$D$998,MATCH(UPPER(A310)&amp;"|"&amp;UPPER(B310),'Blackout Brand Fam Areas (Enc)'!$G$6:$G$998,0)),"No Match")</f>
        <v>Inactive</v>
      </c>
      <c r="F310" s="2" t="str">
        <f t="shared" si="8"/>
        <v>THEM</v>
      </c>
      <c r="G310" s="2" t="str">
        <f t="shared" si="9"/>
        <v>Bardstown Green River|MORRIS 2</v>
      </c>
    </row>
    <row r="311" spans="1:7" x14ac:dyDescent="0.2">
      <c r="A311" s="2" t="str" cm="1">
        <f t="array" ref="A311">INDEX('[1]Brand Family Territory (Enc)'!$A$2:$A$296,INT((ROW()-2)/10)+1)</f>
        <v>Bardstown Green River</v>
      </c>
      <c r="B311" s="2" t="str" cm="1">
        <f t="array" ref="B311">INDEX('Whitelist (Blackout Reverse)'!$B$1:$K$1,MOD(ROW()-2,10)+1)</f>
        <v>MORRIS 3</v>
      </c>
      <c r="C311" s="2" t="str">
        <f>VLOOKUP(A311,'[1]Brand Family Territory (Enc)'!$A$2:$B$296,2,FALSE)</f>
        <v>Core Market</v>
      </c>
      <c r="D311" s="2">
        <f>IF(COUNTIFS('[1]Brand Family Territories (Enc)'!$B$2:$B$62,C311,'[1]Brand Family Territories (Enc)'!$C$2:$C$62,B311)&gt;0,1,IF(AND(LEFT(B311,6)="MORRIS",COUNTIFS('[1]Brand Family Territories (Enc)'!$B$2:$B$62,C311,'[1]Brand Family Territories (Enc)'!$C$2:$C$62,"Morri")&gt;0),"Unk",0))</f>
        <v>1</v>
      </c>
      <c r="E311" s="2" t="str">
        <f>IFERROR(INDEX('Blackout Brand Fam Areas (Enc)'!$D$6:$D$998,MATCH(UPPER(A311)&amp;"|"&amp;UPPER(B311),'Blackout Brand Fam Areas (Enc)'!$G$6:$G$998,0)),"No Match")</f>
        <v>No Match</v>
      </c>
      <c r="F311" s="2" t="str">
        <f t="shared" si="8"/>
        <v>US</v>
      </c>
      <c r="G311" s="2" t="str">
        <f t="shared" si="9"/>
        <v>Bardstown Green River|MORRIS 3</v>
      </c>
    </row>
    <row r="312" spans="1:7" x14ac:dyDescent="0.2">
      <c r="A312" s="2" t="str" cm="1">
        <f t="array" ref="A312">INDEX('[1]Brand Family Territory (Enc)'!$A$2:$A$296,INT((ROW()-2)/10)+1)</f>
        <v>Grolsch</v>
      </c>
      <c r="B312" s="2" t="str" cm="1">
        <f t="array" ref="B312">INDEX('Whitelist (Blackout Reverse)'!$B$1:$K$1,MOD(ROW()-2,10)+1)</f>
        <v>BERGEN</v>
      </c>
      <c r="C312" s="2" t="str">
        <f>VLOOKUP(A312,'[1]Brand Family Territory (Enc)'!$A$2:$B$296,2,FALSE)</f>
        <v>Core Market</v>
      </c>
      <c r="D312" s="2">
        <f>IF(COUNTIFS('[1]Brand Family Territories (Enc)'!$B$2:$B$62,C312,'[1]Brand Family Territories (Enc)'!$C$2:$C$62,B312)&gt;0,1,IF(AND(LEFT(B312,6)="MORRIS",COUNTIFS('[1]Brand Family Territories (Enc)'!$B$2:$B$62,C312,'[1]Brand Family Territories (Enc)'!$C$2:$C$62,"Morri")&gt;0),"Unk",0))</f>
        <v>1</v>
      </c>
      <c r="E312" s="2" t="str">
        <f>IFERROR(INDEX('Blackout Brand Fam Areas (Enc)'!$D$6:$D$998,MATCH(UPPER(A312)&amp;"|"&amp;UPPER(B312),'Blackout Brand Fam Areas (Enc)'!$G$6:$G$998,0)),"No Match")</f>
        <v>No Match</v>
      </c>
      <c r="F312" s="2" t="str">
        <f t="shared" si="8"/>
        <v>US</v>
      </c>
      <c r="G312" s="2" t="str">
        <f t="shared" si="9"/>
        <v>Grolsch|BERGEN</v>
      </c>
    </row>
    <row r="313" spans="1:7" x14ac:dyDescent="0.2">
      <c r="A313" s="2" t="str" cm="1">
        <f t="array" ref="A313">INDEX('[1]Brand Family Territory (Enc)'!$A$2:$A$296,INT((ROW()-2)/10)+1)</f>
        <v>Grolsch</v>
      </c>
      <c r="B313" s="2" t="str" cm="1">
        <f t="array" ref="B313">INDEX('Whitelist (Blackout Reverse)'!$B$1:$K$1,MOD(ROW()-2,10)+1)</f>
        <v>PASSAIC</v>
      </c>
      <c r="C313" s="2" t="str">
        <f>VLOOKUP(A313,'[1]Brand Family Territory (Enc)'!$A$2:$B$296,2,FALSE)</f>
        <v>Core Market</v>
      </c>
      <c r="D313" s="2">
        <f>IF(COUNTIFS('[1]Brand Family Territories (Enc)'!$B$2:$B$62,C313,'[1]Brand Family Territories (Enc)'!$C$2:$C$62,B313)&gt;0,1,IF(AND(LEFT(B313,6)="MORRIS",COUNTIFS('[1]Brand Family Territories (Enc)'!$B$2:$B$62,C313,'[1]Brand Family Territories (Enc)'!$C$2:$C$62,"Morri")&gt;0),"Unk",0))</f>
        <v>1</v>
      </c>
      <c r="E313" s="2" t="str">
        <f>IFERROR(INDEX('Blackout Brand Fam Areas (Enc)'!$D$6:$D$998,MATCH(UPPER(A313)&amp;"|"&amp;UPPER(B313),'Blackout Brand Fam Areas (Enc)'!$G$6:$G$998,0)),"No Match")</f>
        <v>No Match</v>
      </c>
      <c r="F313" s="2" t="str">
        <f t="shared" si="8"/>
        <v>US</v>
      </c>
      <c r="G313" s="2" t="str">
        <f t="shared" si="9"/>
        <v>Grolsch|PASSAIC</v>
      </c>
    </row>
    <row r="314" spans="1:7" x14ac:dyDescent="0.2">
      <c r="A314" s="2" t="str" cm="1">
        <f t="array" ref="A314">INDEX('[1]Brand Family Territory (Enc)'!$A$2:$A$296,INT((ROW()-2)/10)+1)</f>
        <v>Grolsch</v>
      </c>
      <c r="B314" s="2" t="str" cm="1">
        <f t="array" ref="B314">INDEX('Whitelist (Blackout Reverse)'!$B$1:$K$1,MOD(ROW()-2,10)+1)</f>
        <v>PASSAIC-FF</v>
      </c>
      <c r="C314" s="2" t="str">
        <f>VLOOKUP(A314,'[1]Brand Family Territory (Enc)'!$A$2:$B$296,2,FALSE)</f>
        <v>Core Market</v>
      </c>
      <c r="D314" s="2">
        <f>IF(COUNTIFS('[1]Brand Family Territories (Enc)'!$B$2:$B$62,C314,'[1]Brand Family Territories (Enc)'!$C$2:$C$62,B314)&gt;0,1,IF(AND(LEFT(B314,6)="MORRIS",COUNTIFS('[1]Brand Family Territories (Enc)'!$B$2:$B$62,C314,'[1]Brand Family Territories (Enc)'!$C$2:$C$62,"Morri")&gt;0),"Unk",0))</f>
        <v>1</v>
      </c>
      <c r="E314" s="2" t="str">
        <f>IFERROR(INDEX('Blackout Brand Fam Areas (Enc)'!$D$6:$D$998,MATCH(UPPER(A314)&amp;"|"&amp;UPPER(B314),'Blackout Brand Fam Areas (Enc)'!$G$6:$G$998,0)),"No Match")</f>
        <v>No Match</v>
      </c>
      <c r="F314" s="2" t="str">
        <f t="shared" si="8"/>
        <v>US</v>
      </c>
      <c r="G314" s="2" t="str">
        <f t="shared" si="9"/>
        <v>Grolsch|PASSAIC-FF</v>
      </c>
    </row>
    <row r="315" spans="1:7" x14ac:dyDescent="0.2">
      <c r="A315" s="2" t="str" cm="1">
        <f t="array" ref="A315">INDEX('[1]Brand Family Territory (Enc)'!$A$2:$A$296,INT((ROW()-2)/10)+1)</f>
        <v>Grolsch</v>
      </c>
      <c r="B315" s="2" t="str" cm="1">
        <f t="array" ref="B315">INDEX('Whitelist (Blackout Reverse)'!$B$1:$K$1,MOD(ROW()-2,10)+1)</f>
        <v>ESSEX</v>
      </c>
      <c r="C315" s="2" t="str">
        <f>VLOOKUP(A315,'[1]Brand Family Territory (Enc)'!$A$2:$B$296,2,FALSE)</f>
        <v>Core Market</v>
      </c>
      <c r="D315" s="2">
        <f>IF(COUNTIFS('[1]Brand Family Territories (Enc)'!$B$2:$B$62,C315,'[1]Brand Family Territories (Enc)'!$C$2:$C$62,B315)&gt;0,1,IF(AND(LEFT(B315,6)="MORRIS",COUNTIFS('[1]Brand Family Territories (Enc)'!$B$2:$B$62,C315,'[1]Brand Family Territories (Enc)'!$C$2:$C$62,"Morri")&gt;0),"Unk",0))</f>
        <v>0</v>
      </c>
      <c r="E315" s="2" t="str">
        <f>IFERROR(INDEX('Blackout Brand Fam Areas (Enc)'!$D$6:$D$998,MATCH(UPPER(A315)&amp;"|"&amp;UPPER(B315),'Blackout Brand Fam Areas (Enc)'!$G$6:$G$998,0)),"No Match")</f>
        <v>Inactive</v>
      </c>
      <c r="F315" s="2" t="str">
        <f t="shared" si="8"/>
        <v>THEM</v>
      </c>
      <c r="G315" s="2" t="str">
        <f t="shared" si="9"/>
        <v>Grolsch|ESSEX</v>
      </c>
    </row>
    <row r="316" spans="1:7" x14ac:dyDescent="0.2">
      <c r="A316" s="2" t="str" cm="1">
        <f t="array" ref="A316">INDEX('[1]Brand Family Territory (Enc)'!$A$2:$A$296,INT((ROW()-2)/10)+1)</f>
        <v>Grolsch</v>
      </c>
      <c r="B316" s="2" t="str" cm="1">
        <f t="array" ref="B316">INDEX('Whitelist (Blackout Reverse)'!$B$1:$K$1,MOD(ROW()-2,10)+1)</f>
        <v>HUDSON</v>
      </c>
      <c r="C316" s="2" t="str">
        <f>VLOOKUP(A316,'[1]Brand Family Territory (Enc)'!$A$2:$B$296,2,FALSE)</f>
        <v>Core Market</v>
      </c>
      <c r="D316" s="2">
        <f>IF(COUNTIFS('[1]Brand Family Territories (Enc)'!$B$2:$B$62,C316,'[1]Brand Family Territories (Enc)'!$C$2:$C$62,B316)&gt;0,1,IF(AND(LEFT(B316,6)="MORRIS",COUNTIFS('[1]Brand Family Territories (Enc)'!$B$2:$B$62,C316,'[1]Brand Family Territories (Enc)'!$C$2:$C$62,"Morri")&gt;0),"Unk",0))</f>
        <v>0</v>
      </c>
      <c r="E316" s="2" t="str">
        <f>IFERROR(INDEX('Blackout Brand Fam Areas (Enc)'!$D$6:$D$998,MATCH(UPPER(A316)&amp;"|"&amp;UPPER(B316),'Blackout Brand Fam Areas (Enc)'!$G$6:$G$998,0)),"No Match")</f>
        <v>Inactive</v>
      </c>
      <c r="F316" s="2" t="str">
        <f t="shared" si="8"/>
        <v>THEM</v>
      </c>
      <c r="G316" s="2" t="str">
        <f t="shared" si="9"/>
        <v>Grolsch|HUDSON</v>
      </c>
    </row>
    <row r="317" spans="1:7" x14ac:dyDescent="0.2">
      <c r="A317" s="2" t="str" cm="1">
        <f t="array" ref="A317">INDEX('[1]Brand Family Territory (Enc)'!$A$2:$A$296,INT((ROW()-2)/10)+1)</f>
        <v>Grolsch</v>
      </c>
      <c r="B317" s="2" t="str" cm="1">
        <f t="array" ref="B317">INDEX('Whitelist (Blackout Reverse)'!$B$1:$K$1,MOD(ROW()-2,10)+1)</f>
        <v>UNION</v>
      </c>
      <c r="C317" s="2" t="str">
        <f>VLOOKUP(A317,'[1]Brand Family Territory (Enc)'!$A$2:$B$296,2,FALSE)</f>
        <v>Core Market</v>
      </c>
      <c r="D317" s="2">
        <f>IF(COUNTIFS('[1]Brand Family Territories (Enc)'!$B$2:$B$62,C317,'[1]Brand Family Territories (Enc)'!$C$2:$C$62,B317)&gt;0,1,IF(AND(LEFT(B317,6)="MORRIS",COUNTIFS('[1]Brand Family Territories (Enc)'!$B$2:$B$62,C317,'[1]Brand Family Territories (Enc)'!$C$2:$C$62,"Morri")&gt;0),"Unk",0))</f>
        <v>0</v>
      </c>
      <c r="E317" s="2" t="str">
        <f>IFERROR(INDEX('Blackout Brand Fam Areas (Enc)'!$D$6:$D$998,MATCH(UPPER(A317)&amp;"|"&amp;UPPER(B317),'Blackout Brand Fam Areas (Enc)'!$G$6:$G$998,0)),"No Match")</f>
        <v>Inactive</v>
      </c>
      <c r="F317" s="2" t="str">
        <f t="shared" si="8"/>
        <v>THEM</v>
      </c>
      <c r="G317" s="2" t="str">
        <f t="shared" si="9"/>
        <v>Grolsch|UNION</v>
      </c>
    </row>
    <row r="318" spans="1:7" x14ac:dyDescent="0.2">
      <c r="A318" s="2" t="str" cm="1">
        <f t="array" ref="A318">INDEX('[1]Brand Family Territory (Enc)'!$A$2:$A$296,INT((ROW()-2)/10)+1)</f>
        <v>Grolsch</v>
      </c>
      <c r="B318" s="2" t="str" cm="1">
        <f t="array" ref="B318">INDEX('Whitelist (Blackout Reverse)'!$B$1:$K$1,MOD(ROW()-2,10)+1)</f>
        <v>SUSSEX</v>
      </c>
      <c r="C318" s="2" t="str">
        <f>VLOOKUP(A318,'[1]Brand Family Territory (Enc)'!$A$2:$B$296,2,FALSE)</f>
        <v>Core Market</v>
      </c>
      <c r="D318" s="2">
        <f>IF(COUNTIFS('[1]Brand Family Territories (Enc)'!$B$2:$B$62,C318,'[1]Brand Family Territories (Enc)'!$C$2:$C$62,B318)&gt;0,1,IF(AND(LEFT(B318,6)="MORRIS",COUNTIFS('[1]Brand Family Territories (Enc)'!$B$2:$B$62,C318,'[1]Brand Family Territories (Enc)'!$C$2:$C$62,"Morri")&gt;0),"Unk",0))</f>
        <v>1</v>
      </c>
      <c r="E318" s="2" t="str">
        <f>IFERROR(INDEX('Blackout Brand Fam Areas (Enc)'!$D$6:$D$998,MATCH(UPPER(A318)&amp;"|"&amp;UPPER(B318),'Blackout Brand Fam Areas (Enc)'!$G$6:$G$998,0)),"No Match")</f>
        <v>No Match</v>
      </c>
      <c r="F318" s="2" t="str">
        <f t="shared" si="8"/>
        <v>US</v>
      </c>
      <c r="G318" s="2" t="str">
        <f t="shared" si="9"/>
        <v>Grolsch|SUSSEX</v>
      </c>
    </row>
    <row r="319" spans="1:7" x14ac:dyDescent="0.2">
      <c r="A319" s="2" t="str" cm="1">
        <f t="array" ref="A319">INDEX('[1]Brand Family Territory (Enc)'!$A$2:$A$296,INT((ROW()-2)/10)+1)</f>
        <v>Grolsch</v>
      </c>
      <c r="B319" s="2" t="str" cm="1">
        <f t="array" ref="B319">INDEX('Whitelist (Blackout Reverse)'!$B$1:$K$1,MOD(ROW()-2,10)+1)</f>
        <v>MORRIS 1</v>
      </c>
      <c r="C319" s="2" t="str">
        <f>VLOOKUP(A319,'[1]Brand Family Territory (Enc)'!$A$2:$B$296,2,FALSE)</f>
        <v>Core Market</v>
      </c>
      <c r="D319" s="2">
        <f>IF(COUNTIFS('[1]Brand Family Territories (Enc)'!$B$2:$B$62,C319,'[1]Brand Family Territories (Enc)'!$C$2:$C$62,B319)&gt;0,1,IF(AND(LEFT(B319,6)="MORRIS",COUNTIFS('[1]Brand Family Territories (Enc)'!$B$2:$B$62,C319,'[1]Brand Family Territories (Enc)'!$C$2:$C$62,"Morri")&gt;0),"Unk",0))</f>
        <v>1</v>
      </c>
      <c r="E319" s="2" t="str">
        <f>IFERROR(INDEX('Blackout Brand Fam Areas (Enc)'!$D$6:$D$998,MATCH(UPPER(A319)&amp;"|"&amp;UPPER(B319),'Blackout Brand Fam Areas (Enc)'!$G$6:$G$998,0)),"No Match")</f>
        <v>No Match</v>
      </c>
      <c r="F319" s="2" t="str">
        <f t="shared" si="8"/>
        <v>US</v>
      </c>
      <c r="G319" s="2" t="str">
        <f t="shared" si="9"/>
        <v>Grolsch|MORRIS 1</v>
      </c>
    </row>
    <row r="320" spans="1:7" x14ac:dyDescent="0.2">
      <c r="A320" s="2" t="str" cm="1">
        <f t="array" ref="A320">INDEX('[1]Brand Family Territory (Enc)'!$A$2:$A$296,INT((ROW()-2)/10)+1)</f>
        <v>Grolsch</v>
      </c>
      <c r="B320" s="2" t="str" cm="1">
        <f t="array" ref="B320">INDEX('Whitelist (Blackout Reverse)'!$B$1:$K$1,MOD(ROW()-2,10)+1)</f>
        <v>MORRIS 2</v>
      </c>
      <c r="C320" s="2" t="str">
        <f>VLOOKUP(A320,'[1]Brand Family Territory (Enc)'!$A$2:$B$296,2,FALSE)</f>
        <v>Core Market</v>
      </c>
      <c r="D320" s="2">
        <f>IF(COUNTIFS('[1]Brand Family Territories (Enc)'!$B$2:$B$62,C320,'[1]Brand Family Territories (Enc)'!$C$2:$C$62,B320)&gt;0,1,IF(AND(LEFT(B320,6)="MORRIS",COUNTIFS('[1]Brand Family Territories (Enc)'!$B$2:$B$62,C320,'[1]Brand Family Territories (Enc)'!$C$2:$C$62,"Morri")&gt;0),"Unk",0))</f>
        <v>0</v>
      </c>
      <c r="E320" s="2" t="str">
        <f>IFERROR(INDEX('Blackout Brand Fam Areas (Enc)'!$D$6:$D$998,MATCH(UPPER(A320)&amp;"|"&amp;UPPER(B320),'Blackout Brand Fam Areas (Enc)'!$G$6:$G$998,0)),"No Match")</f>
        <v>Inactive</v>
      </c>
      <c r="F320" s="2" t="str">
        <f t="shared" si="8"/>
        <v>THEM</v>
      </c>
      <c r="G320" s="2" t="str">
        <f t="shared" si="9"/>
        <v>Grolsch|MORRIS 2</v>
      </c>
    </row>
    <row r="321" spans="1:7" x14ac:dyDescent="0.2">
      <c r="A321" s="2" t="str" cm="1">
        <f t="array" ref="A321">INDEX('[1]Brand Family Territory (Enc)'!$A$2:$A$296,INT((ROW()-2)/10)+1)</f>
        <v>Grolsch</v>
      </c>
      <c r="B321" s="2" t="str" cm="1">
        <f t="array" ref="B321">INDEX('Whitelist (Blackout Reverse)'!$B$1:$K$1,MOD(ROW()-2,10)+1)</f>
        <v>MORRIS 3</v>
      </c>
      <c r="C321" s="2" t="str">
        <f>VLOOKUP(A321,'[1]Brand Family Territory (Enc)'!$A$2:$B$296,2,FALSE)</f>
        <v>Core Market</v>
      </c>
      <c r="D321" s="2">
        <f>IF(COUNTIFS('[1]Brand Family Territories (Enc)'!$B$2:$B$62,C321,'[1]Brand Family Territories (Enc)'!$C$2:$C$62,B321)&gt;0,1,IF(AND(LEFT(B321,6)="MORRIS",COUNTIFS('[1]Brand Family Territories (Enc)'!$B$2:$B$62,C321,'[1]Brand Family Territories (Enc)'!$C$2:$C$62,"Morri")&gt;0),"Unk",0))</f>
        <v>1</v>
      </c>
      <c r="E321" s="2" t="str">
        <f>IFERROR(INDEX('Blackout Brand Fam Areas (Enc)'!$D$6:$D$998,MATCH(UPPER(A321)&amp;"|"&amp;UPPER(B321),'Blackout Brand Fam Areas (Enc)'!$G$6:$G$998,0)),"No Match")</f>
        <v>No Match</v>
      </c>
      <c r="F321" s="2" t="str">
        <f t="shared" si="8"/>
        <v>US</v>
      </c>
      <c r="G321" s="2" t="str">
        <f t="shared" si="9"/>
        <v>Grolsch|MORRIS 3</v>
      </c>
    </row>
    <row r="322" spans="1:7" x14ac:dyDescent="0.2">
      <c r="A322" s="2" t="str" cm="1">
        <f t="array" ref="A322">INDEX('[1]Brand Family Territory (Enc)'!$A$2:$A$296,INT((ROW()-2)/10)+1)</f>
        <v>Hamm's</v>
      </c>
      <c r="B322" s="2" t="str" cm="1">
        <f t="array" ref="B322">INDEX('Whitelist (Blackout Reverse)'!$B$1:$K$1,MOD(ROW()-2,10)+1)</f>
        <v>BERGEN</v>
      </c>
      <c r="C322" s="2" t="str">
        <f>VLOOKUP(A322,'[1]Brand Family Territory (Enc)'!$A$2:$B$296,2,FALSE)</f>
        <v>Core Market</v>
      </c>
      <c r="D322" s="2">
        <f>IF(COUNTIFS('[1]Brand Family Territories (Enc)'!$B$2:$B$62,C322,'[1]Brand Family Territories (Enc)'!$C$2:$C$62,B322)&gt;0,1,IF(AND(LEFT(B322,6)="MORRIS",COUNTIFS('[1]Brand Family Territories (Enc)'!$B$2:$B$62,C322,'[1]Brand Family Territories (Enc)'!$C$2:$C$62,"Morri")&gt;0),"Unk",0))</f>
        <v>1</v>
      </c>
      <c r="E322" s="2" t="str">
        <f>IFERROR(INDEX('Blackout Brand Fam Areas (Enc)'!$D$6:$D$998,MATCH(UPPER(A322)&amp;"|"&amp;UPPER(B322),'Blackout Brand Fam Areas (Enc)'!$G$6:$G$998,0)),"No Match")</f>
        <v>No Match</v>
      </c>
      <c r="F322" s="2" t="str">
        <f t="shared" si="8"/>
        <v>US</v>
      </c>
      <c r="G322" s="2" t="str">
        <f t="shared" si="9"/>
        <v>Hamm's|BERGEN</v>
      </c>
    </row>
    <row r="323" spans="1:7" x14ac:dyDescent="0.2">
      <c r="A323" s="2" t="str" cm="1">
        <f t="array" ref="A323">INDEX('[1]Brand Family Territory (Enc)'!$A$2:$A$296,INT((ROW()-2)/10)+1)</f>
        <v>Hamm's</v>
      </c>
      <c r="B323" s="2" t="str" cm="1">
        <f t="array" ref="B323">INDEX('Whitelist (Blackout Reverse)'!$B$1:$K$1,MOD(ROW()-2,10)+1)</f>
        <v>PASSAIC</v>
      </c>
      <c r="C323" s="2" t="str">
        <f>VLOOKUP(A323,'[1]Brand Family Territory (Enc)'!$A$2:$B$296,2,FALSE)</f>
        <v>Core Market</v>
      </c>
      <c r="D323" s="2">
        <f>IF(COUNTIFS('[1]Brand Family Territories (Enc)'!$B$2:$B$62,C323,'[1]Brand Family Territories (Enc)'!$C$2:$C$62,B323)&gt;0,1,IF(AND(LEFT(B323,6)="MORRIS",COUNTIFS('[1]Brand Family Territories (Enc)'!$B$2:$B$62,C323,'[1]Brand Family Territories (Enc)'!$C$2:$C$62,"Morri")&gt;0),"Unk",0))</f>
        <v>1</v>
      </c>
      <c r="E323" s="2" t="str">
        <f>IFERROR(INDEX('Blackout Brand Fam Areas (Enc)'!$D$6:$D$998,MATCH(UPPER(A323)&amp;"|"&amp;UPPER(B323),'Blackout Brand Fam Areas (Enc)'!$G$6:$G$998,0)),"No Match")</f>
        <v>No Match</v>
      </c>
      <c r="F323" s="2" t="str">
        <f t="shared" ref="F323:F386" si="10">IF(D323="Unk","Ambiguous (Source Truncated)",IF(E323="Inactive","THEM",IF(D323=1,"US",IF(D323="N/A","No Territory Data","THEM"))))</f>
        <v>US</v>
      </c>
      <c r="G323" s="2" t="str">
        <f t="shared" ref="G323:G386" si="11">A323&amp;"|"&amp;B323</f>
        <v>Hamm's|PASSAIC</v>
      </c>
    </row>
    <row r="324" spans="1:7" x14ac:dyDescent="0.2">
      <c r="A324" s="2" t="str" cm="1">
        <f t="array" ref="A324">INDEX('[1]Brand Family Territory (Enc)'!$A$2:$A$296,INT((ROW()-2)/10)+1)</f>
        <v>Hamm's</v>
      </c>
      <c r="B324" s="2" t="str" cm="1">
        <f t="array" ref="B324">INDEX('Whitelist (Blackout Reverse)'!$B$1:$K$1,MOD(ROW()-2,10)+1)</f>
        <v>PASSAIC-FF</v>
      </c>
      <c r="C324" s="2" t="str">
        <f>VLOOKUP(A324,'[1]Brand Family Territory (Enc)'!$A$2:$B$296,2,FALSE)</f>
        <v>Core Market</v>
      </c>
      <c r="D324" s="2">
        <f>IF(COUNTIFS('[1]Brand Family Territories (Enc)'!$B$2:$B$62,C324,'[1]Brand Family Territories (Enc)'!$C$2:$C$62,B324)&gt;0,1,IF(AND(LEFT(B324,6)="MORRIS",COUNTIFS('[1]Brand Family Territories (Enc)'!$B$2:$B$62,C324,'[1]Brand Family Territories (Enc)'!$C$2:$C$62,"Morri")&gt;0),"Unk",0))</f>
        <v>1</v>
      </c>
      <c r="E324" s="2" t="str">
        <f>IFERROR(INDEX('Blackout Brand Fam Areas (Enc)'!$D$6:$D$998,MATCH(UPPER(A324)&amp;"|"&amp;UPPER(B324),'Blackout Brand Fam Areas (Enc)'!$G$6:$G$998,0)),"No Match")</f>
        <v>No Match</v>
      </c>
      <c r="F324" s="2" t="str">
        <f t="shared" si="10"/>
        <v>US</v>
      </c>
      <c r="G324" s="2" t="str">
        <f t="shared" si="11"/>
        <v>Hamm's|PASSAIC-FF</v>
      </c>
    </row>
    <row r="325" spans="1:7" x14ac:dyDescent="0.2">
      <c r="A325" s="2" t="str" cm="1">
        <f t="array" ref="A325">INDEX('[1]Brand Family Territory (Enc)'!$A$2:$A$296,INT((ROW()-2)/10)+1)</f>
        <v>Hamm's</v>
      </c>
      <c r="B325" s="2" t="str" cm="1">
        <f t="array" ref="B325">INDEX('Whitelist (Blackout Reverse)'!$B$1:$K$1,MOD(ROW()-2,10)+1)</f>
        <v>ESSEX</v>
      </c>
      <c r="C325" s="2" t="str">
        <f>VLOOKUP(A325,'[1]Brand Family Territory (Enc)'!$A$2:$B$296,2,FALSE)</f>
        <v>Core Market</v>
      </c>
      <c r="D325" s="2">
        <f>IF(COUNTIFS('[1]Brand Family Territories (Enc)'!$B$2:$B$62,C325,'[1]Brand Family Territories (Enc)'!$C$2:$C$62,B325)&gt;0,1,IF(AND(LEFT(B325,6)="MORRIS",COUNTIFS('[1]Brand Family Territories (Enc)'!$B$2:$B$62,C325,'[1]Brand Family Territories (Enc)'!$C$2:$C$62,"Morri")&gt;0),"Unk",0))</f>
        <v>0</v>
      </c>
      <c r="E325" s="2" t="str">
        <f>IFERROR(INDEX('Blackout Brand Fam Areas (Enc)'!$D$6:$D$998,MATCH(UPPER(A325)&amp;"|"&amp;UPPER(B325),'Blackout Brand Fam Areas (Enc)'!$G$6:$G$998,0)),"No Match")</f>
        <v>Inactive</v>
      </c>
      <c r="F325" s="2" t="str">
        <f t="shared" si="10"/>
        <v>THEM</v>
      </c>
      <c r="G325" s="2" t="str">
        <f t="shared" si="11"/>
        <v>Hamm's|ESSEX</v>
      </c>
    </row>
    <row r="326" spans="1:7" x14ac:dyDescent="0.2">
      <c r="A326" s="2" t="str" cm="1">
        <f t="array" ref="A326">INDEX('[1]Brand Family Territory (Enc)'!$A$2:$A$296,INT((ROW()-2)/10)+1)</f>
        <v>Hamm's</v>
      </c>
      <c r="B326" s="2" t="str" cm="1">
        <f t="array" ref="B326">INDEX('Whitelist (Blackout Reverse)'!$B$1:$K$1,MOD(ROW()-2,10)+1)</f>
        <v>HUDSON</v>
      </c>
      <c r="C326" s="2" t="str">
        <f>VLOOKUP(A326,'[1]Brand Family Territory (Enc)'!$A$2:$B$296,2,FALSE)</f>
        <v>Core Market</v>
      </c>
      <c r="D326" s="2">
        <f>IF(COUNTIFS('[1]Brand Family Territories (Enc)'!$B$2:$B$62,C326,'[1]Brand Family Territories (Enc)'!$C$2:$C$62,B326)&gt;0,1,IF(AND(LEFT(B326,6)="MORRIS",COUNTIFS('[1]Brand Family Territories (Enc)'!$B$2:$B$62,C326,'[1]Brand Family Territories (Enc)'!$C$2:$C$62,"Morri")&gt;0),"Unk",0))</f>
        <v>0</v>
      </c>
      <c r="E326" s="2" t="str">
        <f>IFERROR(INDEX('Blackout Brand Fam Areas (Enc)'!$D$6:$D$998,MATCH(UPPER(A326)&amp;"|"&amp;UPPER(B326),'Blackout Brand Fam Areas (Enc)'!$G$6:$G$998,0)),"No Match")</f>
        <v>Inactive</v>
      </c>
      <c r="F326" s="2" t="str">
        <f t="shared" si="10"/>
        <v>THEM</v>
      </c>
      <c r="G326" s="2" t="str">
        <f t="shared" si="11"/>
        <v>Hamm's|HUDSON</v>
      </c>
    </row>
    <row r="327" spans="1:7" x14ac:dyDescent="0.2">
      <c r="A327" s="2" t="str" cm="1">
        <f t="array" ref="A327">INDEX('[1]Brand Family Territory (Enc)'!$A$2:$A$296,INT((ROW()-2)/10)+1)</f>
        <v>Hamm's</v>
      </c>
      <c r="B327" s="2" t="str" cm="1">
        <f t="array" ref="B327">INDEX('Whitelist (Blackout Reverse)'!$B$1:$K$1,MOD(ROW()-2,10)+1)</f>
        <v>UNION</v>
      </c>
      <c r="C327" s="2" t="str">
        <f>VLOOKUP(A327,'[1]Brand Family Territory (Enc)'!$A$2:$B$296,2,FALSE)</f>
        <v>Core Market</v>
      </c>
      <c r="D327" s="2">
        <f>IF(COUNTIFS('[1]Brand Family Territories (Enc)'!$B$2:$B$62,C327,'[1]Brand Family Territories (Enc)'!$C$2:$C$62,B327)&gt;0,1,IF(AND(LEFT(B327,6)="MORRIS",COUNTIFS('[1]Brand Family Territories (Enc)'!$B$2:$B$62,C327,'[1]Brand Family Territories (Enc)'!$C$2:$C$62,"Morri")&gt;0),"Unk",0))</f>
        <v>0</v>
      </c>
      <c r="E327" s="2" t="str">
        <f>IFERROR(INDEX('Blackout Brand Fam Areas (Enc)'!$D$6:$D$998,MATCH(UPPER(A327)&amp;"|"&amp;UPPER(B327),'Blackout Brand Fam Areas (Enc)'!$G$6:$G$998,0)),"No Match")</f>
        <v>Inactive</v>
      </c>
      <c r="F327" s="2" t="str">
        <f t="shared" si="10"/>
        <v>THEM</v>
      </c>
      <c r="G327" s="2" t="str">
        <f t="shared" si="11"/>
        <v>Hamm's|UNION</v>
      </c>
    </row>
    <row r="328" spans="1:7" x14ac:dyDescent="0.2">
      <c r="A328" s="2" t="str" cm="1">
        <f t="array" ref="A328">INDEX('[1]Brand Family Territory (Enc)'!$A$2:$A$296,INT((ROW()-2)/10)+1)</f>
        <v>Hamm's</v>
      </c>
      <c r="B328" s="2" t="str" cm="1">
        <f t="array" ref="B328">INDEX('Whitelist (Blackout Reverse)'!$B$1:$K$1,MOD(ROW()-2,10)+1)</f>
        <v>SUSSEX</v>
      </c>
      <c r="C328" s="2" t="str">
        <f>VLOOKUP(A328,'[1]Brand Family Territory (Enc)'!$A$2:$B$296,2,FALSE)</f>
        <v>Core Market</v>
      </c>
      <c r="D328" s="2">
        <f>IF(COUNTIFS('[1]Brand Family Territories (Enc)'!$B$2:$B$62,C328,'[1]Brand Family Territories (Enc)'!$C$2:$C$62,B328)&gt;0,1,IF(AND(LEFT(B328,6)="MORRIS",COUNTIFS('[1]Brand Family Territories (Enc)'!$B$2:$B$62,C328,'[1]Brand Family Territories (Enc)'!$C$2:$C$62,"Morri")&gt;0),"Unk",0))</f>
        <v>1</v>
      </c>
      <c r="E328" s="2" t="str">
        <f>IFERROR(INDEX('Blackout Brand Fam Areas (Enc)'!$D$6:$D$998,MATCH(UPPER(A328)&amp;"|"&amp;UPPER(B328),'Blackout Brand Fam Areas (Enc)'!$G$6:$G$998,0)),"No Match")</f>
        <v>No Match</v>
      </c>
      <c r="F328" s="2" t="str">
        <f t="shared" si="10"/>
        <v>US</v>
      </c>
      <c r="G328" s="2" t="str">
        <f t="shared" si="11"/>
        <v>Hamm's|SUSSEX</v>
      </c>
    </row>
    <row r="329" spans="1:7" x14ac:dyDescent="0.2">
      <c r="A329" s="2" t="str" cm="1">
        <f t="array" ref="A329">INDEX('[1]Brand Family Territory (Enc)'!$A$2:$A$296,INT((ROW()-2)/10)+1)</f>
        <v>Hamm's</v>
      </c>
      <c r="B329" s="2" t="str" cm="1">
        <f t="array" ref="B329">INDEX('Whitelist (Blackout Reverse)'!$B$1:$K$1,MOD(ROW()-2,10)+1)</f>
        <v>MORRIS 1</v>
      </c>
      <c r="C329" s="2" t="str">
        <f>VLOOKUP(A329,'[1]Brand Family Territory (Enc)'!$A$2:$B$296,2,FALSE)</f>
        <v>Core Market</v>
      </c>
      <c r="D329" s="2">
        <f>IF(COUNTIFS('[1]Brand Family Territories (Enc)'!$B$2:$B$62,C329,'[1]Brand Family Territories (Enc)'!$C$2:$C$62,B329)&gt;0,1,IF(AND(LEFT(B329,6)="MORRIS",COUNTIFS('[1]Brand Family Territories (Enc)'!$B$2:$B$62,C329,'[1]Brand Family Territories (Enc)'!$C$2:$C$62,"Morri")&gt;0),"Unk",0))</f>
        <v>1</v>
      </c>
      <c r="E329" s="2" t="str">
        <f>IFERROR(INDEX('Blackout Brand Fam Areas (Enc)'!$D$6:$D$998,MATCH(UPPER(A329)&amp;"|"&amp;UPPER(B329),'Blackout Brand Fam Areas (Enc)'!$G$6:$G$998,0)),"No Match")</f>
        <v>No Match</v>
      </c>
      <c r="F329" s="2" t="str">
        <f t="shared" si="10"/>
        <v>US</v>
      </c>
      <c r="G329" s="2" t="str">
        <f t="shared" si="11"/>
        <v>Hamm's|MORRIS 1</v>
      </c>
    </row>
    <row r="330" spans="1:7" x14ac:dyDescent="0.2">
      <c r="A330" s="2" t="str" cm="1">
        <f t="array" ref="A330">INDEX('[1]Brand Family Territory (Enc)'!$A$2:$A$296,INT((ROW()-2)/10)+1)</f>
        <v>Hamm's</v>
      </c>
      <c r="B330" s="2" t="str" cm="1">
        <f t="array" ref="B330">INDEX('Whitelist (Blackout Reverse)'!$B$1:$K$1,MOD(ROW()-2,10)+1)</f>
        <v>MORRIS 2</v>
      </c>
      <c r="C330" s="2" t="str">
        <f>VLOOKUP(A330,'[1]Brand Family Territory (Enc)'!$A$2:$B$296,2,FALSE)</f>
        <v>Core Market</v>
      </c>
      <c r="D330" s="2">
        <f>IF(COUNTIFS('[1]Brand Family Territories (Enc)'!$B$2:$B$62,C330,'[1]Brand Family Territories (Enc)'!$C$2:$C$62,B330)&gt;0,1,IF(AND(LEFT(B330,6)="MORRIS",COUNTIFS('[1]Brand Family Territories (Enc)'!$B$2:$B$62,C330,'[1]Brand Family Territories (Enc)'!$C$2:$C$62,"Morri")&gt;0),"Unk",0))</f>
        <v>0</v>
      </c>
      <c r="E330" s="2" t="str">
        <f>IFERROR(INDEX('Blackout Brand Fam Areas (Enc)'!$D$6:$D$998,MATCH(UPPER(A330)&amp;"|"&amp;UPPER(B330),'Blackout Brand Fam Areas (Enc)'!$G$6:$G$998,0)),"No Match")</f>
        <v>Inactive</v>
      </c>
      <c r="F330" s="2" t="str">
        <f t="shared" si="10"/>
        <v>THEM</v>
      </c>
      <c r="G330" s="2" t="str">
        <f t="shared" si="11"/>
        <v>Hamm's|MORRIS 2</v>
      </c>
    </row>
    <row r="331" spans="1:7" x14ac:dyDescent="0.2">
      <c r="A331" s="2" t="str" cm="1">
        <f t="array" ref="A331">INDEX('[1]Brand Family Territory (Enc)'!$A$2:$A$296,INT((ROW()-2)/10)+1)</f>
        <v>Hamm's</v>
      </c>
      <c r="B331" s="2" t="str" cm="1">
        <f t="array" ref="B331">INDEX('Whitelist (Blackout Reverse)'!$B$1:$K$1,MOD(ROW()-2,10)+1)</f>
        <v>MORRIS 3</v>
      </c>
      <c r="C331" s="2" t="str">
        <f>VLOOKUP(A331,'[1]Brand Family Territory (Enc)'!$A$2:$B$296,2,FALSE)</f>
        <v>Core Market</v>
      </c>
      <c r="D331" s="2">
        <f>IF(COUNTIFS('[1]Brand Family Territories (Enc)'!$B$2:$B$62,C331,'[1]Brand Family Territories (Enc)'!$C$2:$C$62,B331)&gt;0,1,IF(AND(LEFT(B331,6)="MORRIS",COUNTIFS('[1]Brand Family Territories (Enc)'!$B$2:$B$62,C331,'[1]Brand Family Territories (Enc)'!$C$2:$C$62,"Morri")&gt;0),"Unk",0))</f>
        <v>1</v>
      </c>
      <c r="E331" s="2" t="str">
        <f>IFERROR(INDEX('Blackout Brand Fam Areas (Enc)'!$D$6:$D$998,MATCH(UPPER(A331)&amp;"|"&amp;UPPER(B331),'Blackout Brand Fam Areas (Enc)'!$G$6:$G$998,0)),"No Match")</f>
        <v>No Match</v>
      </c>
      <c r="F331" s="2" t="str">
        <f t="shared" si="10"/>
        <v>US</v>
      </c>
      <c r="G331" s="2" t="str">
        <f t="shared" si="11"/>
        <v>Hamm's|MORRIS 3</v>
      </c>
    </row>
    <row r="332" spans="1:7" x14ac:dyDescent="0.2">
      <c r="A332" s="2" t="str" cm="1">
        <f t="array" ref="A332">INDEX('[1]Brand Family Territory (Enc)'!$A$2:$A$296,INT((ROW()-2)/10)+1)</f>
        <v>Happy Thursday Spiked Refresher</v>
      </c>
      <c r="B332" s="2" t="str" cm="1">
        <f t="array" ref="B332">INDEX('Whitelist (Blackout Reverse)'!$B$1:$K$1,MOD(ROW()-2,10)+1)</f>
        <v>BERGEN</v>
      </c>
      <c r="C332" s="2" t="str">
        <f>VLOOKUP(A332,'[1]Brand Family Territory (Enc)'!$A$2:$B$296,2,FALSE)</f>
        <v>Core Market</v>
      </c>
      <c r="D332" s="2">
        <f>IF(COUNTIFS('[1]Brand Family Territories (Enc)'!$B$2:$B$62,C332,'[1]Brand Family Territories (Enc)'!$C$2:$C$62,B332)&gt;0,1,IF(AND(LEFT(B332,6)="MORRIS",COUNTIFS('[1]Brand Family Territories (Enc)'!$B$2:$B$62,C332,'[1]Brand Family Territories (Enc)'!$C$2:$C$62,"Morri")&gt;0),"Unk",0))</f>
        <v>1</v>
      </c>
      <c r="E332" s="2" t="str">
        <f>IFERROR(INDEX('Blackout Brand Fam Areas (Enc)'!$D$6:$D$998,MATCH(UPPER(A332)&amp;"|"&amp;UPPER(B332),'Blackout Brand Fam Areas (Enc)'!$G$6:$G$998,0)),"No Match")</f>
        <v>No Match</v>
      </c>
      <c r="F332" s="2" t="str">
        <f t="shared" si="10"/>
        <v>US</v>
      </c>
      <c r="G332" s="2" t="str">
        <f t="shared" si="11"/>
        <v>Happy Thursday Spiked Refresher|BERGEN</v>
      </c>
    </row>
    <row r="333" spans="1:7" x14ac:dyDescent="0.2">
      <c r="A333" s="2" t="str" cm="1">
        <f t="array" ref="A333">INDEX('[1]Brand Family Territory (Enc)'!$A$2:$A$296,INT((ROW()-2)/10)+1)</f>
        <v>Happy Thursday Spiked Refresher</v>
      </c>
      <c r="B333" s="2" t="str" cm="1">
        <f t="array" ref="B333">INDEX('Whitelist (Blackout Reverse)'!$B$1:$K$1,MOD(ROW()-2,10)+1)</f>
        <v>PASSAIC</v>
      </c>
      <c r="C333" s="2" t="str">
        <f>VLOOKUP(A333,'[1]Brand Family Territory (Enc)'!$A$2:$B$296,2,FALSE)</f>
        <v>Core Market</v>
      </c>
      <c r="D333" s="2">
        <f>IF(COUNTIFS('[1]Brand Family Territories (Enc)'!$B$2:$B$62,C333,'[1]Brand Family Territories (Enc)'!$C$2:$C$62,B333)&gt;0,1,IF(AND(LEFT(B333,6)="MORRIS",COUNTIFS('[1]Brand Family Territories (Enc)'!$B$2:$B$62,C333,'[1]Brand Family Territories (Enc)'!$C$2:$C$62,"Morri")&gt;0),"Unk",0))</f>
        <v>1</v>
      </c>
      <c r="E333" s="2" t="str">
        <f>IFERROR(INDEX('Blackout Brand Fam Areas (Enc)'!$D$6:$D$998,MATCH(UPPER(A333)&amp;"|"&amp;UPPER(B333),'Blackout Brand Fam Areas (Enc)'!$G$6:$G$998,0)),"No Match")</f>
        <v>No Match</v>
      </c>
      <c r="F333" s="2" t="str">
        <f t="shared" si="10"/>
        <v>US</v>
      </c>
      <c r="G333" s="2" t="str">
        <f t="shared" si="11"/>
        <v>Happy Thursday Spiked Refresher|PASSAIC</v>
      </c>
    </row>
    <row r="334" spans="1:7" x14ac:dyDescent="0.2">
      <c r="A334" s="2" t="str" cm="1">
        <f t="array" ref="A334">INDEX('[1]Brand Family Territory (Enc)'!$A$2:$A$296,INT((ROW()-2)/10)+1)</f>
        <v>Happy Thursday Spiked Refresher</v>
      </c>
      <c r="B334" s="2" t="str" cm="1">
        <f t="array" ref="B334">INDEX('Whitelist (Blackout Reverse)'!$B$1:$K$1,MOD(ROW()-2,10)+1)</f>
        <v>PASSAIC-FF</v>
      </c>
      <c r="C334" s="2" t="str">
        <f>VLOOKUP(A334,'[1]Brand Family Territory (Enc)'!$A$2:$B$296,2,FALSE)</f>
        <v>Core Market</v>
      </c>
      <c r="D334" s="2">
        <f>IF(COUNTIFS('[1]Brand Family Territories (Enc)'!$B$2:$B$62,C334,'[1]Brand Family Territories (Enc)'!$C$2:$C$62,B334)&gt;0,1,IF(AND(LEFT(B334,6)="MORRIS",COUNTIFS('[1]Brand Family Territories (Enc)'!$B$2:$B$62,C334,'[1]Brand Family Territories (Enc)'!$C$2:$C$62,"Morri")&gt;0),"Unk",0))</f>
        <v>1</v>
      </c>
      <c r="E334" s="2" t="str">
        <f>IFERROR(INDEX('Blackout Brand Fam Areas (Enc)'!$D$6:$D$998,MATCH(UPPER(A334)&amp;"|"&amp;UPPER(B334),'Blackout Brand Fam Areas (Enc)'!$G$6:$G$998,0)),"No Match")</f>
        <v>No Match</v>
      </c>
      <c r="F334" s="2" t="str">
        <f t="shared" si="10"/>
        <v>US</v>
      </c>
      <c r="G334" s="2" t="str">
        <f t="shared" si="11"/>
        <v>Happy Thursday Spiked Refresher|PASSAIC-FF</v>
      </c>
    </row>
    <row r="335" spans="1:7" x14ac:dyDescent="0.2">
      <c r="A335" s="2" t="str" cm="1">
        <f t="array" ref="A335">INDEX('[1]Brand Family Territory (Enc)'!$A$2:$A$296,INT((ROW()-2)/10)+1)</f>
        <v>Happy Thursday Spiked Refresher</v>
      </c>
      <c r="B335" s="2" t="str" cm="1">
        <f t="array" ref="B335">INDEX('Whitelist (Blackout Reverse)'!$B$1:$K$1,MOD(ROW()-2,10)+1)</f>
        <v>ESSEX</v>
      </c>
      <c r="C335" s="2" t="str">
        <f>VLOOKUP(A335,'[1]Brand Family Territory (Enc)'!$A$2:$B$296,2,FALSE)</f>
        <v>Core Market</v>
      </c>
      <c r="D335" s="2">
        <f>IF(COUNTIFS('[1]Brand Family Territories (Enc)'!$B$2:$B$62,C335,'[1]Brand Family Territories (Enc)'!$C$2:$C$62,B335)&gt;0,1,IF(AND(LEFT(B335,6)="MORRIS",COUNTIFS('[1]Brand Family Territories (Enc)'!$B$2:$B$62,C335,'[1]Brand Family Territories (Enc)'!$C$2:$C$62,"Morri")&gt;0),"Unk",0))</f>
        <v>0</v>
      </c>
      <c r="E335" s="2" t="str">
        <f>IFERROR(INDEX('Blackout Brand Fam Areas (Enc)'!$D$6:$D$998,MATCH(UPPER(A335)&amp;"|"&amp;UPPER(B335),'Blackout Brand Fam Areas (Enc)'!$G$6:$G$998,0)),"No Match")</f>
        <v>Inactive</v>
      </c>
      <c r="F335" s="2" t="str">
        <f t="shared" si="10"/>
        <v>THEM</v>
      </c>
      <c r="G335" s="2" t="str">
        <f t="shared" si="11"/>
        <v>Happy Thursday Spiked Refresher|ESSEX</v>
      </c>
    </row>
    <row r="336" spans="1:7" x14ac:dyDescent="0.2">
      <c r="A336" s="2" t="str" cm="1">
        <f t="array" ref="A336">INDEX('[1]Brand Family Territory (Enc)'!$A$2:$A$296,INT((ROW()-2)/10)+1)</f>
        <v>Happy Thursday Spiked Refresher</v>
      </c>
      <c r="B336" s="2" t="str" cm="1">
        <f t="array" ref="B336">INDEX('Whitelist (Blackout Reverse)'!$B$1:$K$1,MOD(ROW()-2,10)+1)</f>
        <v>HUDSON</v>
      </c>
      <c r="C336" s="2" t="str">
        <f>VLOOKUP(A336,'[1]Brand Family Territory (Enc)'!$A$2:$B$296,2,FALSE)</f>
        <v>Core Market</v>
      </c>
      <c r="D336" s="2">
        <f>IF(COUNTIFS('[1]Brand Family Territories (Enc)'!$B$2:$B$62,C336,'[1]Brand Family Territories (Enc)'!$C$2:$C$62,B336)&gt;0,1,IF(AND(LEFT(B336,6)="MORRIS",COUNTIFS('[1]Brand Family Territories (Enc)'!$B$2:$B$62,C336,'[1]Brand Family Territories (Enc)'!$C$2:$C$62,"Morri")&gt;0),"Unk",0))</f>
        <v>0</v>
      </c>
      <c r="E336" s="2" t="str">
        <f>IFERROR(INDEX('Blackout Brand Fam Areas (Enc)'!$D$6:$D$998,MATCH(UPPER(A336)&amp;"|"&amp;UPPER(B336),'Blackout Brand Fam Areas (Enc)'!$G$6:$G$998,0)),"No Match")</f>
        <v>Inactive</v>
      </c>
      <c r="F336" s="2" t="str">
        <f t="shared" si="10"/>
        <v>THEM</v>
      </c>
      <c r="G336" s="2" t="str">
        <f t="shared" si="11"/>
        <v>Happy Thursday Spiked Refresher|HUDSON</v>
      </c>
    </row>
    <row r="337" spans="1:7" x14ac:dyDescent="0.2">
      <c r="A337" s="2" t="str" cm="1">
        <f t="array" ref="A337">INDEX('[1]Brand Family Territory (Enc)'!$A$2:$A$296,INT((ROW()-2)/10)+1)</f>
        <v>Happy Thursday Spiked Refresher</v>
      </c>
      <c r="B337" s="2" t="str" cm="1">
        <f t="array" ref="B337">INDEX('Whitelist (Blackout Reverse)'!$B$1:$K$1,MOD(ROW()-2,10)+1)</f>
        <v>UNION</v>
      </c>
      <c r="C337" s="2" t="str">
        <f>VLOOKUP(A337,'[1]Brand Family Territory (Enc)'!$A$2:$B$296,2,FALSE)</f>
        <v>Core Market</v>
      </c>
      <c r="D337" s="2">
        <f>IF(COUNTIFS('[1]Brand Family Territories (Enc)'!$B$2:$B$62,C337,'[1]Brand Family Territories (Enc)'!$C$2:$C$62,B337)&gt;0,1,IF(AND(LEFT(B337,6)="MORRIS",COUNTIFS('[1]Brand Family Territories (Enc)'!$B$2:$B$62,C337,'[1]Brand Family Territories (Enc)'!$C$2:$C$62,"Morri")&gt;0),"Unk",0))</f>
        <v>0</v>
      </c>
      <c r="E337" s="2" t="str">
        <f>IFERROR(INDEX('Blackout Brand Fam Areas (Enc)'!$D$6:$D$998,MATCH(UPPER(A337)&amp;"|"&amp;UPPER(B337),'Blackout Brand Fam Areas (Enc)'!$G$6:$G$998,0)),"No Match")</f>
        <v>Inactive</v>
      </c>
      <c r="F337" s="2" t="str">
        <f t="shared" si="10"/>
        <v>THEM</v>
      </c>
      <c r="G337" s="2" t="str">
        <f t="shared" si="11"/>
        <v>Happy Thursday Spiked Refresher|UNION</v>
      </c>
    </row>
    <row r="338" spans="1:7" x14ac:dyDescent="0.2">
      <c r="A338" s="2" t="str" cm="1">
        <f t="array" ref="A338">INDEX('[1]Brand Family Territory (Enc)'!$A$2:$A$296,INT((ROW()-2)/10)+1)</f>
        <v>Happy Thursday Spiked Refresher</v>
      </c>
      <c r="B338" s="2" t="str" cm="1">
        <f t="array" ref="B338">INDEX('Whitelist (Blackout Reverse)'!$B$1:$K$1,MOD(ROW()-2,10)+1)</f>
        <v>SUSSEX</v>
      </c>
      <c r="C338" s="2" t="str">
        <f>VLOOKUP(A338,'[1]Brand Family Territory (Enc)'!$A$2:$B$296,2,FALSE)</f>
        <v>Core Market</v>
      </c>
      <c r="D338" s="2">
        <f>IF(COUNTIFS('[1]Brand Family Territories (Enc)'!$B$2:$B$62,C338,'[1]Brand Family Territories (Enc)'!$C$2:$C$62,B338)&gt;0,1,IF(AND(LEFT(B338,6)="MORRIS",COUNTIFS('[1]Brand Family Territories (Enc)'!$B$2:$B$62,C338,'[1]Brand Family Territories (Enc)'!$C$2:$C$62,"Morri")&gt;0),"Unk",0))</f>
        <v>1</v>
      </c>
      <c r="E338" s="2" t="str">
        <f>IFERROR(INDEX('Blackout Brand Fam Areas (Enc)'!$D$6:$D$998,MATCH(UPPER(A338)&amp;"|"&amp;UPPER(B338),'Blackout Brand Fam Areas (Enc)'!$G$6:$G$998,0)),"No Match")</f>
        <v>No Match</v>
      </c>
      <c r="F338" s="2" t="str">
        <f t="shared" si="10"/>
        <v>US</v>
      </c>
      <c r="G338" s="2" t="str">
        <f t="shared" si="11"/>
        <v>Happy Thursday Spiked Refresher|SUSSEX</v>
      </c>
    </row>
    <row r="339" spans="1:7" x14ac:dyDescent="0.2">
      <c r="A339" s="2" t="str" cm="1">
        <f t="array" ref="A339">INDEX('[1]Brand Family Territory (Enc)'!$A$2:$A$296,INT((ROW()-2)/10)+1)</f>
        <v>Happy Thursday Spiked Refresher</v>
      </c>
      <c r="B339" s="2" t="str" cm="1">
        <f t="array" ref="B339">INDEX('Whitelist (Blackout Reverse)'!$B$1:$K$1,MOD(ROW()-2,10)+1)</f>
        <v>MORRIS 1</v>
      </c>
      <c r="C339" s="2" t="str">
        <f>VLOOKUP(A339,'[1]Brand Family Territory (Enc)'!$A$2:$B$296,2,FALSE)</f>
        <v>Core Market</v>
      </c>
      <c r="D339" s="2">
        <f>IF(COUNTIFS('[1]Brand Family Territories (Enc)'!$B$2:$B$62,C339,'[1]Brand Family Territories (Enc)'!$C$2:$C$62,B339)&gt;0,1,IF(AND(LEFT(B339,6)="MORRIS",COUNTIFS('[1]Brand Family Territories (Enc)'!$B$2:$B$62,C339,'[1]Brand Family Territories (Enc)'!$C$2:$C$62,"Morri")&gt;0),"Unk",0))</f>
        <v>1</v>
      </c>
      <c r="E339" s="2" t="str">
        <f>IFERROR(INDEX('Blackout Brand Fam Areas (Enc)'!$D$6:$D$998,MATCH(UPPER(A339)&amp;"|"&amp;UPPER(B339),'Blackout Brand Fam Areas (Enc)'!$G$6:$G$998,0)),"No Match")</f>
        <v>No Match</v>
      </c>
      <c r="F339" s="2" t="str">
        <f t="shared" si="10"/>
        <v>US</v>
      </c>
      <c r="G339" s="2" t="str">
        <f t="shared" si="11"/>
        <v>Happy Thursday Spiked Refresher|MORRIS 1</v>
      </c>
    </row>
    <row r="340" spans="1:7" x14ac:dyDescent="0.2">
      <c r="A340" s="2" t="str" cm="1">
        <f t="array" ref="A340">INDEX('[1]Brand Family Territory (Enc)'!$A$2:$A$296,INT((ROW()-2)/10)+1)</f>
        <v>Happy Thursday Spiked Refresher</v>
      </c>
      <c r="B340" s="2" t="str" cm="1">
        <f t="array" ref="B340">INDEX('Whitelist (Blackout Reverse)'!$B$1:$K$1,MOD(ROW()-2,10)+1)</f>
        <v>MORRIS 2</v>
      </c>
      <c r="C340" s="2" t="str">
        <f>VLOOKUP(A340,'[1]Brand Family Territory (Enc)'!$A$2:$B$296,2,FALSE)</f>
        <v>Core Market</v>
      </c>
      <c r="D340" s="2">
        <f>IF(COUNTIFS('[1]Brand Family Territories (Enc)'!$B$2:$B$62,C340,'[1]Brand Family Territories (Enc)'!$C$2:$C$62,B340)&gt;0,1,IF(AND(LEFT(B340,6)="MORRIS",COUNTIFS('[1]Brand Family Territories (Enc)'!$B$2:$B$62,C340,'[1]Brand Family Territories (Enc)'!$C$2:$C$62,"Morri")&gt;0),"Unk",0))</f>
        <v>0</v>
      </c>
      <c r="E340" s="2" t="str">
        <f>IFERROR(INDEX('Blackout Brand Fam Areas (Enc)'!$D$6:$D$998,MATCH(UPPER(A340)&amp;"|"&amp;UPPER(B340),'Blackout Brand Fam Areas (Enc)'!$G$6:$G$998,0)),"No Match")</f>
        <v>Inactive</v>
      </c>
      <c r="F340" s="2" t="str">
        <f t="shared" si="10"/>
        <v>THEM</v>
      </c>
      <c r="G340" s="2" t="str">
        <f t="shared" si="11"/>
        <v>Happy Thursday Spiked Refresher|MORRIS 2</v>
      </c>
    </row>
    <row r="341" spans="1:7" x14ac:dyDescent="0.2">
      <c r="A341" s="2" t="str" cm="1">
        <f t="array" ref="A341">INDEX('[1]Brand Family Territory (Enc)'!$A$2:$A$296,INT((ROW()-2)/10)+1)</f>
        <v>Happy Thursday Spiked Refresher</v>
      </c>
      <c r="B341" s="2" t="str" cm="1">
        <f t="array" ref="B341">INDEX('Whitelist (Blackout Reverse)'!$B$1:$K$1,MOD(ROW()-2,10)+1)</f>
        <v>MORRIS 3</v>
      </c>
      <c r="C341" s="2" t="str">
        <f>VLOOKUP(A341,'[1]Brand Family Territory (Enc)'!$A$2:$B$296,2,FALSE)</f>
        <v>Core Market</v>
      </c>
      <c r="D341" s="2">
        <f>IF(COUNTIFS('[1]Brand Family Territories (Enc)'!$B$2:$B$62,C341,'[1]Brand Family Territories (Enc)'!$C$2:$C$62,B341)&gt;0,1,IF(AND(LEFT(B341,6)="MORRIS",COUNTIFS('[1]Brand Family Territories (Enc)'!$B$2:$B$62,C341,'[1]Brand Family Territories (Enc)'!$C$2:$C$62,"Morri")&gt;0),"Unk",0))</f>
        <v>1</v>
      </c>
      <c r="E341" s="2" t="str">
        <f>IFERROR(INDEX('Blackout Brand Fam Areas (Enc)'!$D$6:$D$998,MATCH(UPPER(A341)&amp;"|"&amp;UPPER(B341),'Blackout Brand Fam Areas (Enc)'!$G$6:$G$998,0)),"No Match")</f>
        <v>No Match</v>
      </c>
      <c r="F341" s="2" t="str">
        <f t="shared" si="10"/>
        <v>US</v>
      </c>
      <c r="G341" s="2" t="str">
        <f t="shared" si="11"/>
        <v>Happy Thursday Spiked Refresher|MORRIS 3</v>
      </c>
    </row>
    <row r="342" spans="1:7" x14ac:dyDescent="0.2">
      <c r="A342" s="2" t="str" cm="1">
        <f t="array" ref="A342">INDEX('[1]Brand Family Territory (Enc)'!$A$2:$A$296,INT((ROW()-2)/10)+1)</f>
        <v>Hard Mountain Dew</v>
      </c>
      <c r="B342" s="2" t="str" cm="1">
        <f t="array" ref="B342">INDEX('Whitelist (Blackout Reverse)'!$B$1:$K$1,MOD(ROW()-2,10)+1)</f>
        <v>BERGEN</v>
      </c>
      <c r="C342" s="2" t="str">
        <f>VLOOKUP(A342,'[1]Brand Family Territory (Enc)'!$A$2:$B$296,2,FALSE)</f>
        <v>Core Market</v>
      </c>
      <c r="D342" s="2">
        <f>IF(COUNTIFS('[1]Brand Family Territories (Enc)'!$B$2:$B$62,C342,'[1]Brand Family Territories (Enc)'!$C$2:$C$62,B342)&gt;0,1,IF(AND(LEFT(B342,6)="MORRIS",COUNTIFS('[1]Brand Family Territories (Enc)'!$B$2:$B$62,C342,'[1]Brand Family Territories (Enc)'!$C$2:$C$62,"Morri")&gt;0),"Unk",0))</f>
        <v>1</v>
      </c>
      <c r="E342" s="2" t="str">
        <f>IFERROR(INDEX('Blackout Brand Fam Areas (Enc)'!$D$6:$D$998,MATCH(UPPER(A342)&amp;"|"&amp;UPPER(B342),'Blackout Brand Fam Areas (Enc)'!$G$6:$G$998,0)),"No Match")</f>
        <v>No Match</v>
      </c>
      <c r="F342" s="2" t="str">
        <f t="shared" si="10"/>
        <v>US</v>
      </c>
      <c r="G342" s="2" t="str">
        <f t="shared" si="11"/>
        <v>Hard Mountain Dew|BERGEN</v>
      </c>
    </row>
    <row r="343" spans="1:7" x14ac:dyDescent="0.2">
      <c r="A343" s="2" t="str" cm="1">
        <f t="array" ref="A343">INDEX('[1]Brand Family Territory (Enc)'!$A$2:$A$296,INT((ROW()-2)/10)+1)</f>
        <v>Hard Mountain Dew</v>
      </c>
      <c r="B343" s="2" t="str" cm="1">
        <f t="array" ref="B343">INDEX('Whitelist (Blackout Reverse)'!$B$1:$K$1,MOD(ROW()-2,10)+1)</f>
        <v>PASSAIC</v>
      </c>
      <c r="C343" s="2" t="str">
        <f>VLOOKUP(A343,'[1]Brand Family Territory (Enc)'!$A$2:$B$296,2,FALSE)</f>
        <v>Core Market</v>
      </c>
      <c r="D343" s="2">
        <f>IF(COUNTIFS('[1]Brand Family Territories (Enc)'!$B$2:$B$62,C343,'[1]Brand Family Territories (Enc)'!$C$2:$C$62,B343)&gt;0,1,IF(AND(LEFT(B343,6)="MORRIS",COUNTIFS('[1]Brand Family Territories (Enc)'!$B$2:$B$62,C343,'[1]Brand Family Territories (Enc)'!$C$2:$C$62,"Morri")&gt;0),"Unk",0))</f>
        <v>1</v>
      </c>
      <c r="E343" s="2" t="str">
        <f>IFERROR(INDEX('Blackout Brand Fam Areas (Enc)'!$D$6:$D$998,MATCH(UPPER(A343)&amp;"|"&amp;UPPER(B343),'Blackout Brand Fam Areas (Enc)'!$G$6:$G$998,0)),"No Match")</f>
        <v>No Match</v>
      </c>
      <c r="F343" s="2" t="str">
        <f t="shared" si="10"/>
        <v>US</v>
      </c>
      <c r="G343" s="2" t="str">
        <f t="shared" si="11"/>
        <v>Hard Mountain Dew|PASSAIC</v>
      </c>
    </row>
    <row r="344" spans="1:7" x14ac:dyDescent="0.2">
      <c r="A344" s="2" t="str" cm="1">
        <f t="array" ref="A344">INDEX('[1]Brand Family Territory (Enc)'!$A$2:$A$296,INT((ROW()-2)/10)+1)</f>
        <v>Hard Mountain Dew</v>
      </c>
      <c r="B344" s="2" t="str" cm="1">
        <f t="array" ref="B344">INDEX('Whitelist (Blackout Reverse)'!$B$1:$K$1,MOD(ROW()-2,10)+1)</f>
        <v>PASSAIC-FF</v>
      </c>
      <c r="C344" s="2" t="str">
        <f>VLOOKUP(A344,'[1]Brand Family Territory (Enc)'!$A$2:$B$296,2,FALSE)</f>
        <v>Core Market</v>
      </c>
      <c r="D344" s="2">
        <f>IF(COUNTIFS('[1]Brand Family Territories (Enc)'!$B$2:$B$62,C344,'[1]Brand Family Territories (Enc)'!$C$2:$C$62,B344)&gt;0,1,IF(AND(LEFT(B344,6)="MORRIS",COUNTIFS('[1]Brand Family Territories (Enc)'!$B$2:$B$62,C344,'[1]Brand Family Territories (Enc)'!$C$2:$C$62,"Morri")&gt;0),"Unk",0))</f>
        <v>1</v>
      </c>
      <c r="E344" s="2" t="str">
        <f>IFERROR(INDEX('Blackout Brand Fam Areas (Enc)'!$D$6:$D$998,MATCH(UPPER(A344)&amp;"|"&amp;UPPER(B344),'Blackout Brand Fam Areas (Enc)'!$G$6:$G$998,0)),"No Match")</f>
        <v>No Match</v>
      </c>
      <c r="F344" s="2" t="str">
        <f t="shared" si="10"/>
        <v>US</v>
      </c>
      <c r="G344" s="2" t="str">
        <f t="shared" si="11"/>
        <v>Hard Mountain Dew|PASSAIC-FF</v>
      </c>
    </row>
    <row r="345" spans="1:7" x14ac:dyDescent="0.2">
      <c r="A345" s="2" t="str" cm="1">
        <f t="array" ref="A345">INDEX('[1]Brand Family Territory (Enc)'!$A$2:$A$296,INT((ROW()-2)/10)+1)</f>
        <v>Hard Mountain Dew</v>
      </c>
      <c r="B345" s="2" t="str" cm="1">
        <f t="array" ref="B345">INDEX('Whitelist (Blackout Reverse)'!$B$1:$K$1,MOD(ROW()-2,10)+1)</f>
        <v>ESSEX</v>
      </c>
      <c r="C345" s="2" t="str">
        <f>VLOOKUP(A345,'[1]Brand Family Territory (Enc)'!$A$2:$B$296,2,FALSE)</f>
        <v>Core Market</v>
      </c>
      <c r="D345" s="2">
        <f>IF(COUNTIFS('[1]Brand Family Territories (Enc)'!$B$2:$B$62,C345,'[1]Brand Family Territories (Enc)'!$C$2:$C$62,B345)&gt;0,1,IF(AND(LEFT(B345,6)="MORRIS",COUNTIFS('[1]Brand Family Territories (Enc)'!$B$2:$B$62,C345,'[1]Brand Family Territories (Enc)'!$C$2:$C$62,"Morri")&gt;0),"Unk",0))</f>
        <v>0</v>
      </c>
      <c r="E345" s="2" t="str">
        <f>IFERROR(INDEX('Blackout Brand Fam Areas (Enc)'!$D$6:$D$998,MATCH(UPPER(A345)&amp;"|"&amp;UPPER(B345),'Blackout Brand Fam Areas (Enc)'!$G$6:$G$998,0)),"No Match")</f>
        <v>Inactive</v>
      </c>
      <c r="F345" s="2" t="str">
        <f t="shared" si="10"/>
        <v>THEM</v>
      </c>
      <c r="G345" s="2" t="str">
        <f t="shared" si="11"/>
        <v>Hard Mountain Dew|ESSEX</v>
      </c>
    </row>
    <row r="346" spans="1:7" x14ac:dyDescent="0.2">
      <c r="A346" s="2" t="str" cm="1">
        <f t="array" ref="A346">INDEX('[1]Brand Family Territory (Enc)'!$A$2:$A$296,INT((ROW()-2)/10)+1)</f>
        <v>Hard Mountain Dew</v>
      </c>
      <c r="B346" s="2" t="str" cm="1">
        <f t="array" ref="B346">INDEX('Whitelist (Blackout Reverse)'!$B$1:$K$1,MOD(ROW()-2,10)+1)</f>
        <v>HUDSON</v>
      </c>
      <c r="C346" s="2" t="str">
        <f>VLOOKUP(A346,'[1]Brand Family Territory (Enc)'!$A$2:$B$296,2,FALSE)</f>
        <v>Core Market</v>
      </c>
      <c r="D346" s="2">
        <f>IF(COUNTIFS('[1]Brand Family Territories (Enc)'!$B$2:$B$62,C346,'[1]Brand Family Territories (Enc)'!$C$2:$C$62,B346)&gt;0,1,IF(AND(LEFT(B346,6)="MORRIS",COUNTIFS('[1]Brand Family Territories (Enc)'!$B$2:$B$62,C346,'[1]Brand Family Territories (Enc)'!$C$2:$C$62,"Morri")&gt;0),"Unk",0))</f>
        <v>0</v>
      </c>
      <c r="E346" s="2" t="str">
        <f>IFERROR(INDEX('Blackout Brand Fam Areas (Enc)'!$D$6:$D$998,MATCH(UPPER(A346)&amp;"|"&amp;UPPER(B346),'Blackout Brand Fam Areas (Enc)'!$G$6:$G$998,0)),"No Match")</f>
        <v>Inactive</v>
      </c>
      <c r="F346" s="2" t="str">
        <f t="shared" si="10"/>
        <v>THEM</v>
      </c>
      <c r="G346" s="2" t="str">
        <f t="shared" si="11"/>
        <v>Hard Mountain Dew|HUDSON</v>
      </c>
    </row>
    <row r="347" spans="1:7" x14ac:dyDescent="0.2">
      <c r="A347" s="2" t="str" cm="1">
        <f t="array" ref="A347">INDEX('[1]Brand Family Territory (Enc)'!$A$2:$A$296,INT((ROW()-2)/10)+1)</f>
        <v>Hard Mountain Dew</v>
      </c>
      <c r="B347" s="2" t="str" cm="1">
        <f t="array" ref="B347">INDEX('Whitelist (Blackout Reverse)'!$B$1:$K$1,MOD(ROW()-2,10)+1)</f>
        <v>UNION</v>
      </c>
      <c r="C347" s="2" t="str">
        <f>VLOOKUP(A347,'[1]Brand Family Territory (Enc)'!$A$2:$B$296,2,FALSE)</f>
        <v>Core Market</v>
      </c>
      <c r="D347" s="2">
        <f>IF(COUNTIFS('[1]Brand Family Territories (Enc)'!$B$2:$B$62,C347,'[1]Brand Family Territories (Enc)'!$C$2:$C$62,B347)&gt;0,1,IF(AND(LEFT(B347,6)="MORRIS",COUNTIFS('[1]Brand Family Territories (Enc)'!$B$2:$B$62,C347,'[1]Brand Family Territories (Enc)'!$C$2:$C$62,"Morri")&gt;0),"Unk",0))</f>
        <v>0</v>
      </c>
      <c r="E347" s="2" t="str">
        <f>IFERROR(INDEX('Blackout Brand Fam Areas (Enc)'!$D$6:$D$998,MATCH(UPPER(A347)&amp;"|"&amp;UPPER(B347),'Blackout Brand Fam Areas (Enc)'!$G$6:$G$998,0)),"No Match")</f>
        <v>Inactive</v>
      </c>
      <c r="F347" s="2" t="str">
        <f t="shared" si="10"/>
        <v>THEM</v>
      </c>
      <c r="G347" s="2" t="str">
        <f t="shared" si="11"/>
        <v>Hard Mountain Dew|UNION</v>
      </c>
    </row>
    <row r="348" spans="1:7" x14ac:dyDescent="0.2">
      <c r="A348" s="2" t="str" cm="1">
        <f t="array" ref="A348">INDEX('[1]Brand Family Territory (Enc)'!$A$2:$A$296,INT((ROW()-2)/10)+1)</f>
        <v>Hard Mountain Dew</v>
      </c>
      <c r="B348" s="2" t="str" cm="1">
        <f t="array" ref="B348">INDEX('Whitelist (Blackout Reverse)'!$B$1:$K$1,MOD(ROW()-2,10)+1)</f>
        <v>SUSSEX</v>
      </c>
      <c r="C348" s="2" t="str">
        <f>VLOOKUP(A348,'[1]Brand Family Territory (Enc)'!$A$2:$B$296,2,FALSE)</f>
        <v>Core Market</v>
      </c>
      <c r="D348" s="2">
        <f>IF(COUNTIFS('[1]Brand Family Territories (Enc)'!$B$2:$B$62,C348,'[1]Brand Family Territories (Enc)'!$C$2:$C$62,B348)&gt;0,1,IF(AND(LEFT(B348,6)="MORRIS",COUNTIFS('[1]Brand Family Territories (Enc)'!$B$2:$B$62,C348,'[1]Brand Family Territories (Enc)'!$C$2:$C$62,"Morri")&gt;0),"Unk",0))</f>
        <v>1</v>
      </c>
      <c r="E348" s="2" t="str">
        <f>IFERROR(INDEX('Blackout Brand Fam Areas (Enc)'!$D$6:$D$998,MATCH(UPPER(A348)&amp;"|"&amp;UPPER(B348),'Blackout Brand Fam Areas (Enc)'!$G$6:$G$998,0)),"No Match")</f>
        <v>No Match</v>
      </c>
      <c r="F348" s="2" t="str">
        <f t="shared" si="10"/>
        <v>US</v>
      </c>
      <c r="G348" s="2" t="str">
        <f t="shared" si="11"/>
        <v>Hard Mountain Dew|SUSSEX</v>
      </c>
    </row>
    <row r="349" spans="1:7" x14ac:dyDescent="0.2">
      <c r="A349" s="2" t="str" cm="1">
        <f t="array" ref="A349">INDEX('[1]Brand Family Territory (Enc)'!$A$2:$A$296,INT((ROW()-2)/10)+1)</f>
        <v>Hard Mountain Dew</v>
      </c>
      <c r="B349" s="2" t="str" cm="1">
        <f t="array" ref="B349">INDEX('Whitelist (Blackout Reverse)'!$B$1:$K$1,MOD(ROW()-2,10)+1)</f>
        <v>MORRIS 1</v>
      </c>
      <c r="C349" s="2" t="str">
        <f>VLOOKUP(A349,'[1]Brand Family Territory (Enc)'!$A$2:$B$296,2,FALSE)</f>
        <v>Core Market</v>
      </c>
      <c r="D349" s="2">
        <f>IF(COUNTIFS('[1]Brand Family Territories (Enc)'!$B$2:$B$62,C349,'[1]Brand Family Territories (Enc)'!$C$2:$C$62,B349)&gt;0,1,IF(AND(LEFT(B349,6)="MORRIS",COUNTIFS('[1]Brand Family Territories (Enc)'!$B$2:$B$62,C349,'[1]Brand Family Territories (Enc)'!$C$2:$C$62,"Morri")&gt;0),"Unk",0))</f>
        <v>1</v>
      </c>
      <c r="E349" s="2" t="str">
        <f>IFERROR(INDEX('Blackout Brand Fam Areas (Enc)'!$D$6:$D$998,MATCH(UPPER(A349)&amp;"|"&amp;UPPER(B349),'Blackout Brand Fam Areas (Enc)'!$G$6:$G$998,0)),"No Match")</f>
        <v>No Match</v>
      </c>
      <c r="F349" s="2" t="str">
        <f t="shared" si="10"/>
        <v>US</v>
      </c>
      <c r="G349" s="2" t="str">
        <f t="shared" si="11"/>
        <v>Hard Mountain Dew|MORRIS 1</v>
      </c>
    </row>
    <row r="350" spans="1:7" x14ac:dyDescent="0.2">
      <c r="A350" s="2" t="str" cm="1">
        <f t="array" ref="A350">INDEX('[1]Brand Family Territory (Enc)'!$A$2:$A$296,INT((ROW()-2)/10)+1)</f>
        <v>Hard Mountain Dew</v>
      </c>
      <c r="B350" s="2" t="str" cm="1">
        <f t="array" ref="B350">INDEX('Whitelist (Blackout Reverse)'!$B$1:$K$1,MOD(ROW()-2,10)+1)</f>
        <v>MORRIS 2</v>
      </c>
      <c r="C350" s="2" t="str">
        <f>VLOOKUP(A350,'[1]Brand Family Territory (Enc)'!$A$2:$B$296,2,FALSE)</f>
        <v>Core Market</v>
      </c>
      <c r="D350" s="2">
        <f>IF(COUNTIFS('[1]Brand Family Territories (Enc)'!$B$2:$B$62,C350,'[1]Brand Family Territories (Enc)'!$C$2:$C$62,B350)&gt;0,1,IF(AND(LEFT(B350,6)="MORRIS",COUNTIFS('[1]Brand Family Territories (Enc)'!$B$2:$B$62,C350,'[1]Brand Family Territories (Enc)'!$C$2:$C$62,"Morri")&gt;0),"Unk",0))</f>
        <v>0</v>
      </c>
      <c r="E350" s="2" t="str">
        <f>IFERROR(INDEX('Blackout Brand Fam Areas (Enc)'!$D$6:$D$998,MATCH(UPPER(A350)&amp;"|"&amp;UPPER(B350),'Blackout Brand Fam Areas (Enc)'!$G$6:$G$998,0)),"No Match")</f>
        <v>Inactive</v>
      </c>
      <c r="F350" s="2" t="str">
        <f t="shared" si="10"/>
        <v>THEM</v>
      </c>
      <c r="G350" s="2" t="str">
        <f t="shared" si="11"/>
        <v>Hard Mountain Dew|MORRIS 2</v>
      </c>
    </row>
    <row r="351" spans="1:7" x14ac:dyDescent="0.2">
      <c r="A351" s="2" t="str" cm="1">
        <f t="array" ref="A351">INDEX('[1]Brand Family Territory (Enc)'!$A$2:$A$296,INT((ROW()-2)/10)+1)</f>
        <v>Hard Mountain Dew</v>
      </c>
      <c r="B351" s="2" t="str" cm="1">
        <f t="array" ref="B351">INDEX('Whitelist (Blackout Reverse)'!$B$1:$K$1,MOD(ROW()-2,10)+1)</f>
        <v>MORRIS 3</v>
      </c>
      <c r="C351" s="2" t="str">
        <f>VLOOKUP(A351,'[1]Brand Family Territory (Enc)'!$A$2:$B$296,2,FALSE)</f>
        <v>Core Market</v>
      </c>
      <c r="D351" s="2">
        <f>IF(COUNTIFS('[1]Brand Family Territories (Enc)'!$B$2:$B$62,C351,'[1]Brand Family Territories (Enc)'!$C$2:$C$62,B351)&gt;0,1,IF(AND(LEFT(B351,6)="MORRIS",COUNTIFS('[1]Brand Family Territories (Enc)'!$B$2:$B$62,C351,'[1]Brand Family Territories (Enc)'!$C$2:$C$62,"Morri")&gt;0),"Unk",0))</f>
        <v>1</v>
      </c>
      <c r="E351" s="2" t="str">
        <f>IFERROR(INDEX('Blackout Brand Fam Areas (Enc)'!$D$6:$D$998,MATCH(UPPER(A351)&amp;"|"&amp;UPPER(B351),'Blackout Brand Fam Areas (Enc)'!$G$6:$G$998,0)),"No Match")</f>
        <v>No Match</v>
      </c>
      <c r="F351" s="2" t="str">
        <f t="shared" si="10"/>
        <v>US</v>
      </c>
      <c r="G351" s="2" t="str">
        <f t="shared" si="11"/>
        <v>Hard Mountain Dew|MORRIS 3</v>
      </c>
    </row>
    <row r="352" spans="1:7" x14ac:dyDescent="0.2">
      <c r="A352" s="2" t="str" cm="1">
        <f t="array" ref="A352">INDEX('[1]Brand Family Territory (Enc)'!$A$2:$A$296,INT((ROW()-2)/10)+1)</f>
        <v>Hi5</v>
      </c>
      <c r="B352" s="2" t="str" cm="1">
        <f t="array" ref="B352">INDEX('Whitelist (Blackout Reverse)'!$B$1:$K$1,MOD(ROW()-2,10)+1)</f>
        <v>BERGEN</v>
      </c>
      <c r="C352" s="2" t="str">
        <f>VLOOKUP(A352,'[1]Brand Family Territory (Enc)'!$A$2:$B$296,2,FALSE)</f>
        <v>Core Market</v>
      </c>
      <c r="D352" s="2">
        <f>IF(COUNTIFS('[1]Brand Family Territories (Enc)'!$B$2:$B$62,C352,'[1]Brand Family Territories (Enc)'!$C$2:$C$62,B352)&gt;0,1,IF(AND(LEFT(B352,6)="MORRIS",COUNTIFS('[1]Brand Family Territories (Enc)'!$B$2:$B$62,C352,'[1]Brand Family Territories (Enc)'!$C$2:$C$62,"Morri")&gt;0),"Unk",0))</f>
        <v>1</v>
      </c>
      <c r="E352" s="2" t="str">
        <f>IFERROR(INDEX('Blackout Brand Fam Areas (Enc)'!$D$6:$D$998,MATCH(UPPER(A352)&amp;"|"&amp;UPPER(B352),'Blackout Brand Fam Areas (Enc)'!$G$6:$G$998,0)),"No Match")</f>
        <v>No Match</v>
      </c>
      <c r="F352" s="2" t="str">
        <f t="shared" si="10"/>
        <v>US</v>
      </c>
      <c r="G352" s="2" t="str">
        <f t="shared" si="11"/>
        <v>Hi5|BERGEN</v>
      </c>
    </row>
    <row r="353" spans="1:7" x14ac:dyDescent="0.2">
      <c r="A353" s="2" t="str" cm="1">
        <f t="array" ref="A353">INDEX('[1]Brand Family Territory (Enc)'!$A$2:$A$296,INT((ROW()-2)/10)+1)</f>
        <v>Hi5</v>
      </c>
      <c r="B353" s="2" t="str" cm="1">
        <f t="array" ref="B353">INDEX('Whitelist (Blackout Reverse)'!$B$1:$K$1,MOD(ROW()-2,10)+1)</f>
        <v>PASSAIC</v>
      </c>
      <c r="C353" s="2" t="str">
        <f>VLOOKUP(A353,'[1]Brand Family Territory (Enc)'!$A$2:$B$296,2,FALSE)</f>
        <v>Core Market</v>
      </c>
      <c r="D353" s="2">
        <f>IF(COUNTIFS('[1]Brand Family Territories (Enc)'!$B$2:$B$62,C353,'[1]Brand Family Territories (Enc)'!$C$2:$C$62,B353)&gt;0,1,IF(AND(LEFT(B353,6)="MORRIS",COUNTIFS('[1]Brand Family Territories (Enc)'!$B$2:$B$62,C353,'[1]Brand Family Territories (Enc)'!$C$2:$C$62,"Morri")&gt;0),"Unk",0))</f>
        <v>1</v>
      </c>
      <c r="E353" s="2" t="str">
        <f>IFERROR(INDEX('Blackout Brand Fam Areas (Enc)'!$D$6:$D$998,MATCH(UPPER(A353)&amp;"|"&amp;UPPER(B353),'Blackout Brand Fam Areas (Enc)'!$G$6:$G$998,0)),"No Match")</f>
        <v>No Match</v>
      </c>
      <c r="F353" s="2" t="str">
        <f t="shared" si="10"/>
        <v>US</v>
      </c>
      <c r="G353" s="2" t="str">
        <f t="shared" si="11"/>
        <v>Hi5|PASSAIC</v>
      </c>
    </row>
    <row r="354" spans="1:7" x14ac:dyDescent="0.2">
      <c r="A354" s="2" t="str" cm="1">
        <f t="array" ref="A354">INDEX('[1]Brand Family Territory (Enc)'!$A$2:$A$296,INT((ROW()-2)/10)+1)</f>
        <v>Hi5</v>
      </c>
      <c r="B354" s="2" t="str" cm="1">
        <f t="array" ref="B354">INDEX('Whitelist (Blackout Reverse)'!$B$1:$K$1,MOD(ROW()-2,10)+1)</f>
        <v>PASSAIC-FF</v>
      </c>
      <c r="C354" s="2" t="str">
        <f>VLOOKUP(A354,'[1]Brand Family Territory (Enc)'!$A$2:$B$296,2,FALSE)</f>
        <v>Core Market</v>
      </c>
      <c r="D354" s="2">
        <f>IF(COUNTIFS('[1]Brand Family Territories (Enc)'!$B$2:$B$62,C354,'[1]Brand Family Territories (Enc)'!$C$2:$C$62,B354)&gt;0,1,IF(AND(LEFT(B354,6)="MORRIS",COUNTIFS('[1]Brand Family Territories (Enc)'!$B$2:$B$62,C354,'[1]Brand Family Territories (Enc)'!$C$2:$C$62,"Morri")&gt;0),"Unk",0))</f>
        <v>1</v>
      </c>
      <c r="E354" s="2" t="str">
        <f>IFERROR(INDEX('Blackout Brand Fam Areas (Enc)'!$D$6:$D$998,MATCH(UPPER(A354)&amp;"|"&amp;UPPER(B354),'Blackout Brand Fam Areas (Enc)'!$G$6:$G$998,0)),"No Match")</f>
        <v>No Match</v>
      </c>
      <c r="F354" s="2" t="str">
        <f t="shared" si="10"/>
        <v>US</v>
      </c>
      <c r="G354" s="2" t="str">
        <f t="shared" si="11"/>
        <v>Hi5|PASSAIC-FF</v>
      </c>
    </row>
    <row r="355" spans="1:7" x14ac:dyDescent="0.2">
      <c r="A355" s="2" t="str" cm="1">
        <f t="array" ref="A355">INDEX('[1]Brand Family Territory (Enc)'!$A$2:$A$296,INT((ROW()-2)/10)+1)</f>
        <v>Hi5</v>
      </c>
      <c r="B355" s="2" t="str" cm="1">
        <f t="array" ref="B355">INDEX('Whitelist (Blackout Reverse)'!$B$1:$K$1,MOD(ROW()-2,10)+1)</f>
        <v>ESSEX</v>
      </c>
      <c r="C355" s="2" t="str">
        <f>VLOOKUP(A355,'[1]Brand Family Territory (Enc)'!$A$2:$B$296,2,FALSE)</f>
        <v>Core Market</v>
      </c>
      <c r="D355" s="2">
        <f>IF(COUNTIFS('[1]Brand Family Territories (Enc)'!$B$2:$B$62,C355,'[1]Brand Family Territories (Enc)'!$C$2:$C$62,B355)&gt;0,1,IF(AND(LEFT(B355,6)="MORRIS",COUNTIFS('[1]Brand Family Territories (Enc)'!$B$2:$B$62,C355,'[1]Brand Family Territories (Enc)'!$C$2:$C$62,"Morri")&gt;0),"Unk",0))</f>
        <v>0</v>
      </c>
      <c r="E355" s="2" t="str">
        <f>IFERROR(INDEX('Blackout Brand Fam Areas (Enc)'!$D$6:$D$998,MATCH(UPPER(A355)&amp;"|"&amp;UPPER(B355),'Blackout Brand Fam Areas (Enc)'!$G$6:$G$998,0)),"No Match")</f>
        <v>Inactive</v>
      </c>
      <c r="F355" s="2" t="str">
        <f t="shared" si="10"/>
        <v>THEM</v>
      </c>
      <c r="G355" s="2" t="str">
        <f t="shared" si="11"/>
        <v>Hi5|ESSEX</v>
      </c>
    </row>
    <row r="356" spans="1:7" x14ac:dyDescent="0.2">
      <c r="A356" s="2" t="str" cm="1">
        <f t="array" ref="A356">INDEX('[1]Brand Family Territory (Enc)'!$A$2:$A$296,INT((ROW()-2)/10)+1)</f>
        <v>Hi5</v>
      </c>
      <c r="B356" s="2" t="str" cm="1">
        <f t="array" ref="B356">INDEX('Whitelist (Blackout Reverse)'!$B$1:$K$1,MOD(ROW()-2,10)+1)</f>
        <v>HUDSON</v>
      </c>
      <c r="C356" s="2" t="str">
        <f>VLOOKUP(A356,'[1]Brand Family Territory (Enc)'!$A$2:$B$296,2,FALSE)</f>
        <v>Core Market</v>
      </c>
      <c r="D356" s="2">
        <f>IF(COUNTIFS('[1]Brand Family Territories (Enc)'!$B$2:$B$62,C356,'[1]Brand Family Territories (Enc)'!$C$2:$C$62,B356)&gt;0,1,IF(AND(LEFT(B356,6)="MORRIS",COUNTIFS('[1]Brand Family Territories (Enc)'!$B$2:$B$62,C356,'[1]Brand Family Territories (Enc)'!$C$2:$C$62,"Morri")&gt;0),"Unk",0))</f>
        <v>0</v>
      </c>
      <c r="E356" s="2" t="str">
        <f>IFERROR(INDEX('Blackout Brand Fam Areas (Enc)'!$D$6:$D$998,MATCH(UPPER(A356)&amp;"|"&amp;UPPER(B356),'Blackout Brand Fam Areas (Enc)'!$G$6:$G$998,0)),"No Match")</f>
        <v>Inactive</v>
      </c>
      <c r="F356" s="2" t="str">
        <f t="shared" si="10"/>
        <v>THEM</v>
      </c>
      <c r="G356" s="2" t="str">
        <f t="shared" si="11"/>
        <v>Hi5|HUDSON</v>
      </c>
    </row>
    <row r="357" spans="1:7" x14ac:dyDescent="0.2">
      <c r="A357" s="2" t="str" cm="1">
        <f t="array" ref="A357">INDEX('[1]Brand Family Territory (Enc)'!$A$2:$A$296,INT((ROW()-2)/10)+1)</f>
        <v>Hi5</v>
      </c>
      <c r="B357" s="2" t="str" cm="1">
        <f t="array" ref="B357">INDEX('Whitelist (Blackout Reverse)'!$B$1:$K$1,MOD(ROW()-2,10)+1)</f>
        <v>UNION</v>
      </c>
      <c r="C357" s="2" t="str">
        <f>VLOOKUP(A357,'[1]Brand Family Territory (Enc)'!$A$2:$B$296,2,FALSE)</f>
        <v>Core Market</v>
      </c>
      <c r="D357" s="2">
        <f>IF(COUNTIFS('[1]Brand Family Territories (Enc)'!$B$2:$B$62,C357,'[1]Brand Family Territories (Enc)'!$C$2:$C$62,B357)&gt;0,1,IF(AND(LEFT(B357,6)="MORRIS",COUNTIFS('[1]Brand Family Territories (Enc)'!$B$2:$B$62,C357,'[1]Brand Family Territories (Enc)'!$C$2:$C$62,"Morri")&gt;0),"Unk",0))</f>
        <v>0</v>
      </c>
      <c r="E357" s="2" t="str">
        <f>IFERROR(INDEX('Blackout Brand Fam Areas (Enc)'!$D$6:$D$998,MATCH(UPPER(A357)&amp;"|"&amp;UPPER(B357),'Blackout Brand Fam Areas (Enc)'!$G$6:$G$998,0)),"No Match")</f>
        <v>Inactive</v>
      </c>
      <c r="F357" s="2" t="str">
        <f t="shared" si="10"/>
        <v>THEM</v>
      </c>
      <c r="G357" s="2" t="str">
        <f t="shared" si="11"/>
        <v>Hi5|UNION</v>
      </c>
    </row>
    <row r="358" spans="1:7" x14ac:dyDescent="0.2">
      <c r="A358" s="2" t="str" cm="1">
        <f t="array" ref="A358">INDEX('[1]Brand Family Territory (Enc)'!$A$2:$A$296,INT((ROW()-2)/10)+1)</f>
        <v>Hi5</v>
      </c>
      <c r="B358" s="2" t="str" cm="1">
        <f t="array" ref="B358">INDEX('Whitelist (Blackout Reverse)'!$B$1:$K$1,MOD(ROW()-2,10)+1)</f>
        <v>SUSSEX</v>
      </c>
      <c r="C358" s="2" t="str">
        <f>VLOOKUP(A358,'[1]Brand Family Territory (Enc)'!$A$2:$B$296,2,FALSE)</f>
        <v>Core Market</v>
      </c>
      <c r="D358" s="2">
        <f>IF(COUNTIFS('[1]Brand Family Territories (Enc)'!$B$2:$B$62,C358,'[1]Brand Family Territories (Enc)'!$C$2:$C$62,B358)&gt;0,1,IF(AND(LEFT(B358,6)="MORRIS",COUNTIFS('[1]Brand Family Territories (Enc)'!$B$2:$B$62,C358,'[1]Brand Family Territories (Enc)'!$C$2:$C$62,"Morri")&gt;0),"Unk",0))</f>
        <v>1</v>
      </c>
      <c r="E358" s="2" t="str">
        <f>IFERROR(INDEX('Blackout Brand Fam Areas (Enc)'!$D$6:$D$998,MATCH(UPPER(A358)&amp;"|"&amp;UPPER(B358),'Blackout Brand Fam Areas (Enc)'!$G$6:$G$998,0)),"No Match")</f>
        <v>No Match</v>
      </c>
      <c r="F358" s="2" t="str">
        <f t="shared" si="10"/>
        <v>US</v>
      </c>
      <c r="G358" s="2" t="str">
        <f t="shared" si="11"/>
        <v>Hi5|SUSSEX</v>
      </c>
    </row>
    <row r="359" spans="1:7" x14ac:dyDescent="0.2">
      <c r="A359" s="2" t="str" cm="1">
        <f t="array" ref="A359">INDEX('[1]Brand Family Territory (Enc)'!$A$2:$A$296,INT((ROW()-2)/10)+1)</f>
        <v>Hi5</v>
      </c>
      <c r="B359" s="2" t="str" cm="1">
        <f t="array" ref="B359">INDEX('Whitelist (Blackout Reverse)'!$B$1:$K$1,MOD(ROW()-2,10)+1)</f>
        <v>MORRIS 1</v>
      </c>
      <c r="C359" s="2" t="str">
        <f>VLOOKUP(A359,'[1]Brand Family Territory (Enc)'!$A$2:$B$296,2,FALSE)</f>
        <v>Core Market</v>
      </c>
      <c r="D359" s="2">
        <f>IF(COUNTIFS('[1]Brand Family Territories (Enc)'!$B$2:$B$62,C359,'[1]Brand Family Territories (Enc)'!$C$2:$C$62,B359)&gt;0,1,IF(AND(LEFT(B359,6)="MORRIS",COUNTIFS('[1]Brand Family Territories (Enc)'!$B$2:$B$62,C359,'[1]Brand Family Territories (Enc)'!$C$2:$C$62,"Morri")&gt;0),"Unk",0))</f>
        <v>1</v>
      </c>
      <c r="E359" s="2" t="str">
        <f>IFERROR(INDEX('Blackout Brand Fam Areas (Enc)'!$D$6:$D$998,MATCH(UPPER(A359)&amp;"|"&amp;UPPER(B359),'Blackout Brand Fam Areas (Enc)'!$G$6:$G$998,0)),"No Match")</f>
        <v>No Match</v>
      </c>
      <c r="F359" s="2" t="str">
        <f t="shared" si="10"/>
        <v>US</v>
      </c>
      <c r="G359" s="2" t="str">
        <f t="shared" si="11"/>
        <v>Hi5|MORRIS 1</v>
      </c>
    </row>
    <row r="360" spans="1:7" x14ac:dyDescent="0.2">
      <c r="A360" s="2" t="str" cm="1">
        <f t="array" ref="A360">INDEX('[1]Brand Family Territory (Enc)'!$A$2:$A$296,INT((ROW()-2)/10)+1)</f>
        <v>Hi5</v>
      </c>
      <c r="B360" s="2" t="str" cm="1">
        <f t="array" ref="B360">INDEX('Whitelist (Blackout Reverse)'!$B$1:$K$1,MOD(ROW()-2,10)+1)</f>
        <v>MORRIS 2</v>
      </c>
      <c r="C360" s="2" t="str">
        <f>VLOOKUP(A360,'[1]Brand Family Territory (Enc)'!$A$2:$B$296,2,FALSE)</f>
        <v>Core Market</v>
      </c>
      <c r="D360" s="2">
        <f>IF(COUNTIFS('[1]Brand Family Territories (Enc)'!$B$2:$B$62,C360,'[1]Brand Family Territories (Enc)'!$C$2:$C$62,B360)&gt;0,1,IF(AND(LEFT(B360,6)="MORRIS",COUNTIFS('[1]Brand Family Territories (Enc)'!$B$2:$B$62,C360,'[1]Brand Family Territories (Enc)'!$C$2:$C$62,"Morri")&gt;0),"Unk",0))</f>
        <v>0</v>
      </c>
      <c r="E360" s="2" t="str">
        <f>IFERROR(INDEX('Blackout Brand Fam Areas (Enc)'!$D$6:$D$998,MATCH(UPPER(A360)&amp;"|"&amp;UPPER(B360),'Blackout Brand Fam Areas (Enc)'!$G$6:$G$998,0)),"No Match")</f>
        <v>Inactive</v>
      </c>
      <c r="F360" s="2" t="str">
        <f t="shared" si="10"/>
        <v>THEM</v>
      </c>
      <c r="G360" s="2" t="str">
        <f t="shared" si="11"/>
        <v>Hi5|MORRIS 2</v>
      </c>
    </row>
    <row r="361" spans="1:7" x14ac:dyDescent="0.2">
      <c r="A361" s="2" t="str" cm="1">
        <f t="array" ref="A361">INDEX('[1]Brand Family Territory (Enc)'!$A$2:$A$296,INT((ROW()-2)/10)+1)</f>
        <v>Hi5</v>
      </c>
      <c r="B361" s="2" t="str" cm="1">
        <f t="array" ref="B361">INDEX('Whitelist (Blackout Reverse)'!$B$1:$K$1,MOD(ROW()-2,10)+1)</f>
        <v>MORRIS 3</v>
      </c>
      <c r="C361" s="2" t="str">
        <f>VLOOKUP(A361,'[1]Brand Family Territory (Enc)'!$A$2:$B$296,2,FALSE)</f>
        <v>Core Market</v>
      </c>
      <c r="D361" s="2">
        <f>IF(COUNTIFS('[1]Brand Family Territories (Enc)'!$B$2:$B$62,C361,'[1]Brand Family Territories (Enc)'!$C$2:$C$62,B361)&gt;0,1,IF(AND(LEFT(B361,6)="MORRIS",COUNTIFS('[1]Brand Family Territories (Enc)'!$B$2:$B$62,C361,'[1]Brand Family Territories (Enc)'!$C$2:$C$62,"Morri")&gt;0),"Unk",0))</f>
        <v>1</v>
      </c>
      <c r="E361" s="2" t="str">
        <f>IFERROR(INDEX('Blackout Brand Fam Areas (Enc)'!$D$6:$D$998,MATCH(UPPER(A361)&amp;"|"&amp;UPPER(B361),'Blackout Brand Fam Areas (Enc)'!$G$6:$G$998,0)),"No Match")</f>
        <v>No Match</v>
      </c>
      <c r="F361" s="2" t="str">
        <f t="shared" si="10"/>
        <v>US</v>
      </c>
      <c r="G361" s="2" t="str">
        <f t="shared" si="11"/>
        <v>Hi5|MORRIS 3</v>
      </c>
    </row>
    <row r="362" spans="1:7" x14ac:dyDescent="0.2">
      <c r="A362" s="2" t="str" cm="1">
        <f t="array" ref="A362">INDEX('[1]Brand Family Territory (Enc)'!$A$2:$A$296,INT((ROW()-2)/10)+1)</f>
        <v>HOP WTR</v>
      </c>
      <c r="B362" s="2" t="str" cm="1">
        <f t="array" ref="B362">INDEX('Whitelist (Blackout Reverse)'!$B$1:$K$1,MOD(ROW()-2,10)+1)</f>
        <v>BERGEN</v>
      </c>
      <c r="C362" s="2" t="str">
        <f>VLOOKUP(A362,'[1]Brand Family Territory (Enc)'!$A$2:$B$296,2,FALSE)</f>
        <v>Core Market</v>
      </c>
      <c r="D362" s="2">
        <f>IF(COUNTIFS('[1]Brand Family Territories (Enc)'!$B$2:$B$62,C362,'[1]Brand Family Territories (Enc)'!$C$2:$C$62,B362)&gt;0,1,IF(AND(LEFT(B362,6)="MORRIS",COUNTIFS('[1]Brand Family Territories (Enc)'!$B$2:$B$62,C362,'[1]Brand Family Territories (Enc)'!$C$2:$C$62,"Morri")&gt;0),"Unk",0))</f>
        <v>1</v>
      </c>
      <c r="E362" s="2" t="str">
        <f>IFERROR(INDEX('Blackout Brand Fam Areas (Enc)'!$D$6:$D$998,MATCH(UPPER(A362)&amp;"|"&amp;UPPER(B362),'Blackout Brand Fam Areas (Enc)'!$G$6:$G$998,0)),"No Match")</f>
        <v>No Match</v>
      </c>
      <c r="F362" s="2" t="str">
        <f t="shared" si="10"/>
        <v>US</v>
      </c>
      <c r="G362" s="2" t="str">
        <f t="shared" si="11"/>
        <v>HOP WTR|BERGEN</v>
      </c>
    </row>
    <row r="363" spans="1:7" x14ac:dyDescent="0.2">
      <c r="A363" s="2" t="str" cm="1">
        <f t="array" ref="A363">INDEX('[1]Brand Family Territory (Enc)'!$A$2:$A$296,INT((ROW()-2)/10)+1)</f>
        <v>HOP WTR</v>
      </c>
      <c r="B363" s="2" t="str" cm="1">
        <f t="array" ref="B363">INDEX('Whitelist (Blackout Reverse)'!$B$1:$K$1,MOD(ROW()-2,10)+1)</f>
        <v>PASSAIC</v>
      </c>
      <c r="C363" s="2" t="str">
        <f>VLOOKUP(A363,'[1]Brand Family Territory (Enc)'!$A$2:$B$296,2,FALSE)</f>
        <v>Core Market</v>
      </c>
      <c r="D363" s="2">
        <f>IF(COUNTIFS('[1]Brand Family Territories (Enc)'!$B$2:$B$62,C363,'[1]Brand Family Territories (Enc)'!$C$2:$C$62,B363)&gt;0,1,IF(AND(LEFT(B363,6)="MORRIS",COUNTIFS('[1]Brand Family Territories (Enc)'!$B$2:$B$62,C363,'[1]Brand Family Territories (Enc)'!$C$2:$C$62,"Morri")&gt;0),"Unk",0))</f>
        <v>1</v>
      </c>
      <c r="E363" s="2" t="str">
        <f>IFERROR(INDEX('Blackout Brand Fam Areas (Enc)'!$D$6:$D$998,MATCH(UPPER(A363)&amp;"|"&amp;UPPER(B363),'Blackout Brand Fam Areas (Enc)'!$G$6:$G$998,0)),"No Match")</f>
        <v>No Match</v>
      </c>
      <c r="F363" s="2" t="str">
        <f t="shared" si="10"/>
        <v>US</v>
      </c>
      <c r="G363" s="2" t="str">
        <f t="shared" si="11"/>
        <v>HOP WTR|PASSAIC</v>
      </c>
    </row>
    <row r="364" spans="1:7" x14ac:dyDescent="0.2">
      <c r="A364" s="2" t="str" cm="1">
        <f t="array" ref="A364">INDEX('[1]Brand Family Territory (Enc)'!$A$2:$A$296,INT((ROW()-2)/10)+1)</f>
        <v>HOP WTR</v>
      </c>
      <c r="B364" s="2" t="str" cm="1">
        <f t="array" ref="B364">INDEX('Whitelist (Blackout Reverse)'!$B$1:$K$1,MOD(ROW()-2,10)+1)</f>
        <v>PASSAIC-FF</v>
      </c>
      <c r="C364" s="2" t="str">
        <f>VLOOKUP(A364,'[1]Brand Family Territory (Enc)'!$A$2:$B$296,2,FALSE)</f>
        <v>Core Market</v>
      </c>
      <c r="D364" s="2">
        <f>IF(COUNTIFS('[1]Brand Family Territories (Enc)'!$B$2:$B$62,C364,'[1]Brand Family Territories (Enc)'!$C$2:$C$62,B364)&gt;0,1,IF(AND(LEFT(B364,6)="MORRIS",COUNTIFS('[1]Brand Family Territories (Enc)'!$B$2:$B$62,C364,'[1]Brand Family Territories (Enc)'!$C$2:$C$62,"Morri")&gt;0),"Unk",0))</f>
        <v>1</v>
      </c>
      <c r="E364" s="2" t="str">
        <f>IFERROR(INDEX('Blackout Brand Fam Areas (Enc)'!$D$6:$D$998,MATCH(UPPER(A364)&amp;"|"&amp;UPPER(B364),'Blackout Brand Fam Areas (Enc)'!$G$6:$G$998,0)),"No Match")</f>
        <v>No Match</v>
      </c>
      <c r="F364" s="2" t="str">
        <f t="shared" si="10"/>
        <v>US</v>
      </c>
      <c r="G364" s="2" t="str">
        <f t="shared" si="11"/>
        <v>HOP WTR|PASSAIC-FF</v>
      </c>
    </row>
    <row r="365" spans="1:7" x14ac:dyDescent="0.2">
      <c r="A365" s="2" t="str" cm="1">
        <f t="array" ref="A365">INDEX('[1]Brand Family Territory (Enc)'!$A$2:$A$296,INT((ROW()-2)/10)+1)</f>
        <v>HOP WTR</v>
      </c>
      <c r="B365" s="2" t="str" cm="1">
        <f t="array" ref="B365">INDEX('Whitelist (Blackout Reverse)'!$B$1:$K$1,MOD(ROW()-2,10)+1)</f>
        <v>ESSEX</v>
      </c>
      <c r="C365" s="2" t="str">
        <f>VLOOKUP(A365,'[1]Brand Family Territory (Enc)'!$A$2:$B$296,2,FALSE)</f>
        <v>Core Market</v>
      </c>
      <c r="D365" s="2">
        <f>IF(COUNTIFS('[1]Brand Family Territories (Enc)'!$B$2:$B$62,C365,'[1]Brand Family Territories (Enc)'!$C$2:$C$62,B365)&gt;0,1,IF(AND(LEFT(B365,6)="MORRIS",COUNTIFS('[1]Brand Family Territories (Enc)'!$B$2:$B$62,C365,'[1]Brand Family Territories (Enc)'!$C$2:$C$62,"Morri")&gt;0),"Unk",0))</f>
        <v>0</v>
      </c>
      <c r="E365" s="2" t="str">
        <f>IFERROR(INDEX('Blackout Brand Fam Areas (Enc)'!$D$6:$D$998,MATCH(UPPER(A365)&amp;"|"&amp;UPPER(B365),'Blackout Brand Fam Areas (Enc)'!$G$6:$G$998,0)),"No Match")</f>
        <v>Inactive</v>
      </c>
      <c r="F365" s="2" t="str">
        <f t="shared" si="10"/>
        <v>THEM</v>
      </c>
      <c r="G365" s="2" t="str">
        <f t="shared" si="11"/>
        <v>HOP WTR|ESSEX</v>
      </c>
    </row>
    <row r="366" spans="1:7" x14ac:dyDescent="0.2">
      <c r="A366" s="2" t="str" cm="1">
        <f t="array" ref="A366">INDEX('[1]Brand Family Territory (Enc)'!$A$2:$A$296,INT((ROW()-2)/10)+1)</f>
        <v>HOP WTR</v>
      </c>
      <c r="B366" s="2" t="str" cm="1">
        <f t="array" ref="B366">INDEX('Whitelist (Blackout Reverse)'!$B$1:$K$1,MOD(ROW()-2,10)+1)</f>
        <v>HUDSON</v>
      </c>
      <c r="C366" s="2" t="str">
        <f>VLOOKUP(A366,'[1]Brand Family Territory (Enc)'!$A$2:$B$296,2,FALSE)</f>
        <v>Core Market</v>
      </c>
      <c r="D366" s="2">
        <f>IF(COUNTIFS('[1]Brand Family Territories (Enc)'!$B$2:$B$62,C366,'[1]Brand Family Territories (Enc)'!$C$2:$C$62,B366)&gt;0,1,IF(AND(LEFT(B366,6)="MORRIS",COUNTIFS('[1]Brand Family Territories (Enc)'!$B$2:$B$62,C366,'[1]Brand Family Territories (Enc)'!$C$2:$C$62,"Morri")&gt;0),"Unk",0))</f>
        <v>0</v>
      </c>
      <c r="E366" s="2" t="str">
        <f>IFERROR(INDEX('Blackout Brand Fam Areas (Enc)'!$D$6:$D$998,MATCH(UPPER(A366)&amp;"|"&amp;UPPER(B366),'Blackout Brand Fam Areas (Enc)'!$G$6:$G$998,0)),"No Match")</f>
        <v>Inactive</v>
      </c>
      <c r="F366" s="2" t="str">
        <f t="shared" si="10"/>
        <v>THEM</v>
      </c>
      <c r="G366" s="2" t="str">
        <f t="shared" si="11"/>
        <v>HOP WTR|HUDSON</v>
      </c>
    </row>
    <row r="367" spans="1:7" x14ac:dyDescent="0.2">
      <c r="A367" s="2" t="str" cm="1">
        <f t="array" ref="A367">INDEX('[1]Brand Family Territory (Enc)'!$A$2:$A$296,INT((ROW()-2)/10)+1)</f>
        <v>HOP WTR</v>
      </c>
      <c r="B367" s="2" t="str" cm="1">
        <f t="array" ref="B367">INDEX('Whitelist (Blackout Reverse)'!$B$1:$K$1,MOD(ROW()-2,10)+1)</f>
        <v>UNION</v>
      </c>
      <c r="C367" s="2" t="str">
        <f>VLOOKUP(A367,'[1]Brand Family Territory (Enc)'!$A$2:$B$296,2,FALSE)</f>
        <v>Core Market</v>
      </c>
      <c r="D367" s="2">
        <f>IF(COUNTIFS('[1]Brand Family Territories (Enc)'!$B$2:$B$62,C367,'[1]Brand Family Territories (Enc)'!$C$2:$C$62,B367)&gt;0,1,IF(AND(LEFT(B367,6)="MORRIS",COUNTIFS('[1]Brand Family Territories (Enc)'!$B$2:$B$62,C367,'[1]Brand Family Territories (Enc)'!$C$2:$C$62,"Morri")&gt;0),"Unk",0))</f>
        <v>0</v>
      </c>
      <c r="E367" s="2" t="str">
        <f>IFERROR(INDEX('Blackout Brand Fam Areas (Enc)'!$D$6:$D$998,MATCH(UPPER(A367)&amp;"|"&amp;UPPER(B367),'Blackout Brand Fam Areas (Enc)'!$G$6:$G$998,0)),"No Match")</f>
        <v>Inactive</v>
      </c>
      <c r="F367" s="2" t="str">
        <f t="shared" si="10"/>
        <v>THEM</v>
      </c>
      <c r="G367" s="2" t="str">
        <f t="shared" si="11"/>
        <v>HOP WTR|UNION</v>
      </c>
    </row>
    <row r="368" spans="1:7" x14ac:dyDescent="0.2">
      <c r="A368" s="2" t="str" cm="1">
        <f t="array" ref="A368">INDEX('[1]Brand Family Territory (Enc)'!$A$2:$A$296,INT((ROW()-2)/10)+1)</f>
        <v>HOP WTR</v>
      </c>
      <c r="B368" s="2" t="str" cm="1">
        <f t="array" ref="B368">INDEX('Whitelist (Blackout Reverse)'!$B$1:$K$1,MOD(ROW()-2,10)+1)</f>
        <v>SUSSEX</v>
      </c>
      <c r="C368" s="2" t="str">
        <f>VLOOKUP(A368,'[1]Brand Family Territory (Enc)'!$A$2:$B$296,2,FALSE)</f>
        <v>Core Market</v>
      </c>
      <c r="D368" s="2">
        <f>IF(COUNTIFS('[1]Brand Family Territories (Enc)'!$B$2:$B$62,C368,'[1]Brand Family Territories (Enc)'!$C$2:$C$62,B368)&gt;0,1,IF(AND(LEFT(B368,6)="MORRIS",COUNTIFS('[1]Brand Family Territories (Enc)'!$B$2:$B$62,C368,'[1]Brand Family Territories (Enc)'!$C$2:$C$62,"Morri")&gt;0),"Unk",0))</f>
        <v>1</v>
      </c>
      <c r="E368" s="2" t="str">
        <f>IFERROR(INDEX('Blackout Brand Fam Areas (Enc)'!$D$6:$D$998,MATCH(UPPER(A368)&amp;"|"&amp;UPPER(B368),'Blackout Brand Fam Areas (Enc)'!$G$6:$G$998,0)),"No Match")</f>
        <v>No Match</v>
      </c>
      <c r="F368" s="2" t="str">
        <f t="shared" si="10"/>
        <v>US</v>
      </c>
      <c r="G368" s="2" t="str">
        <f t="shared" si="11"/>
        <v>HOP WTR|SUSSEX</v>
      </c>
    </row>
    <row r="369" spans="1:7" x14ac:dyDescent="0.2">
      <c r="A369" s="2" t="str" cm="1">
        <f t="array" ref="A369">INDEX('[1]Brand Family Territory (Enc)'!$A$2:$A$296,INT((ROW()-2)/10)+1)</f>
        <v>HOP WTR</v>
      </c>
      <c r="B369" s="2" t="str" cm="1">
        <f t="array" ref="B369">INDEX('Whitelist (Blackout Reverse)'!$B$1:$K$1,MOD(ROW()-2,10)+1)</f>
        <v>MORRIS 1</v>
      </c>
      <c r="C369" s="2" t="str">
        <f>VLOOKUP(A369,'[1]Brand Family Territory (Enc)'!$A$2:$B$296,2,FALSE)</f>
        <v>Core Market</v>
      </c>
      <c r="D369" s="2">
        <f>IF(COUNTIFS('[1]Brand Family Territories (Enc)'!$B$2:$B$62,C369,'[1]Brand Family Territories (Enc)'!$C$2:$C$62,B369)&gt;0,1,IF(AND(LEFT(B369,6)="MORRIS",COUNTIFS('[1]Brand Family Territories (Enc)'!$B$2:$B$62,C369,'[1]Brand Family Territories (Enc)'!$C$2:$C$62,"Morri")&gt;0),"Unk",0))</f>
        <v>1</v>
      </c>
      <c r="E369" s="2" t="str">
        <f>IFERROR(INDEX('Blackout Brand Fam Areas (Enc)'!$D$6:$D$998,MATCH(UPPER(A369)&amp;"|"&amp;UPPER(B369),'Blackout Brand Fam Areas (Enc)'!$G$6:$G$998,0)),"No Match")</f>
        <v>No Match</v>
      </c>
      <c r="F369" s="2" t="str">
        <f t="shared" si="10"/>
        <v>US</v>
      </c>
      <c r="G369" s="2" t="str">
        <f t="shared" si="11"/>
        <v>HOP WTR|MORRIS 1</v>
      </c>
    </row>
    <row r="370" spans="1:7" x14ac:dyDescent="0.2">
      <c r="A370" s="2" t="str" cm="1">
        <f t="array" ref="A370">INDEX('[1]Brand Family Territory (Enc)'!$A$2:$A$296,INT((ROW()-2)/10)+1)</f>
        <v>HOP WTR</v>
      </c>
      <c r="B370" s="2" t="str" cm="1">
        <f t="array" ref="B370">INDEX('Whitelist (Blackout Reverse)'!$B$1:$K$1,MOD(ROW()-2,10)+1)</f>
        <v>MORRIS 2</v>
      </c>
      <c r="C370" s="2" t="str">
        <f>VLOOKUP(A370,'[1]Brand Family Territory (Enc)'!$A$2:$B$296,2,FALSE)</f>
        <v>Core Market</v>
      </c>
      <c r="D370" s="2">
        <f>IF(COUNTIFS('[1]Brand Family Territories (Enc)'!$B$2:$B$62,C370,'[1]Brand Family Territories (Enc)'!$C$2:$C$62,B370)&gt;0,1,IF(AND(LEFT(B370,6)="MORRIS",COUNTIFS('[1]Brand Family Territories (Enc)'!$B$2:$B$62,C370,'[1]Brand Family Territories (Enc)'!$C$2:$C$62,"Morri")&gt;0),"Unk",0))</f>
        <v>0</v>
      </c>
      <c r="E370" s="2" t="str">
        <f>IFERROR(INDEX('Blackout Brand Fam Areas (Enc)'!$D$6:$D$998,MATCH(UPPER(A370)&amp;"|"&amp;UPPER(B370),'Blackout Brand Fam Areas (Enc)'!$G$6:$G$998,0)),"No Match")</f>
        <v>Inactive</v>
      </c>
      <c r="F370" s="2" t="str">
        <f t="shared" si="10"/>
        <v>THEM</v>
      </c>
      <c r="G370" s="2" t="str">
        <f t="shared" si="11"/>
        <v>HOP WTR|MORRIS 2</v>
      </c>
    </row>
    <row r="371" spans="1:7" x14ac:dyDescent="0.2">
      <c r="A371" s="2" t="str" cm="1">
        <f t="array" ref="A371">INDEX('[1]Brand Family Territory (Enc)'!$A$2:$A$296,INT((ROW()-2)/10)+1)</f>
        <v>HOP WTR</v>
      </c>
      <c r="B371" s="2" t="str" cm="1">
        <f t="array" ref="B371">INDEX('Whitelist (Blackout Reverse)'!$B$1:$K$1,MOD(ROW()-2,10)+1)</f>
        <v>MORRIS 3</v>
      </c>
      <c r="C371" s="2" t="str">
        <f>VLOOKUP(A371,'[1]Brand Family Territory (Enc)'!$A$2:$B$296,2,FALSE)</f>
        <v>Core Market</v>
      </c>
      <c r="D371" s="2">
        <f>IF(COUNTIFS('[1]Brand Family Territories (Enc)'!$B$2:$B$62,C371,'[1]Brand Family Territories (Enc)'!$C$2:$C$62,B371)&gt;0,1,IF(AND(LEFT(B371,6)="MORRIS",COUNTIFS('[1]Brand Family Territories (Enc)'!$B$2:$B$62,C371,'[1]Brand Family Territories (Enc)'!$C$2:$C$62,"Morri")&gt;0),"Unk",0))</f>
        <v>1</v>
      </c>
      <c r="E371" s="2" t="str">
        <f>IFERROR(INDEX('Blackout Brand Fam Areas (Enc)'!$D$6:$D$998,MATCH(UPPER(A371)&amp;"|"&amp;UPPER(B371),'Blackout Brand Fam Areas (Enc)'!$G$6:$G$998,0)),"No Match")</f>
        <v>No Match</v>
      </c>
      <c r="F371" s="2" t="str">
        <f t="shared" si="10"/>
        <v>US</v>
      </c>
      <c r="G371" s="2" t="str">
        <f t="shared" si="11"/>
        <v>HOP WTR|MORRIS 3</v>
      </c>
    </row>
    <row r="372" spans="1:7" x14ac:dyDescent="0.2">
      <c r="A372" s="2" t="str" cm="1">
        <f t="array" ref="A372">INDEX('[1]Brand Family Territory (Enc)'!$A$2:$A$296,INT((ROW()-2)/10)+1)</f>
        <v>Jim Beam Kentucky</v>
      </c>
      <c r="B372" s="2" t="str" cm="1">
        <f t="array" ref="B372">INDEX('Whitelist (Blackout Reverse)'!$B$1:$K$1,MOD(ROW()-2,10)+1)</f>
        <v>BERGEN</v>
      </c>
      <c r="C372" s="2" t="str">
        <f>VLOOKUP(A372,'[1]Brand Family Territory (Enc)'!$A$2:$B$296,2,FALSE)</f>
        <v>Core Market</v>
      </c>
      <c r="D372" s="2">
        <f>IF(COUNTIFS('[1]Brand Family Territories (Enc)'!$B$2:$B$62,C372,'[1]Brand Family Territories (Enc)'!$C$2:$C$62,B372)&gt;0,1,IF(AND(LEFT(B372,6)="MORRIS",COUNTIFS('[1]Brand Family Territories (Enc)'!$B$2:$B$62,C372,'[1]Brand Family Territories (Enc)'!$C$2:$C$62,"Morri")&gt;0),"Unk",0))</f>
        <v>1</v>
      </c>
      <c r="E372" s="2" t="str">
        <f>IFERROR(INDEX('Blackout Brand Fam Areas (Enc)'!$D$6:$D$998,MATCH(UPPER(A372)&amp;"|"&amp;UPPER(B372),'Blackout Brand Fam Areas (Enc)'!$G$6:$G$998,0)),"No Match")</f>
        <v>No Match</v>
      </c>
      <c r="F372" s="2" t="str">
        <f t="shared" si="10"/>
        <v>US</v>
      </c>
      <c r="G372" s="2" t="str">
        <f t="shared" si="11"/>
        <v>Jim Beam Kentucky|BERGEN</v>
      </c>
    </row>
    <row r="373" spans="1:7" x14ac:dyDescent="0.2">
      <c r="A373" s="2" t="str" cm="1">
        <f t="array" ref="A373">INDEX('[1]Brand Family Territory (Enc)'!$A$2:$A$296,INT((ROW()-2)/10)+1)</f>
        <v>Jim Beam Kentucky</v>
      </c>
      <c r="B373" s="2" t="str" cm="1">
        <f t="array" ref="B373">INDEX('Whitelist (Blackout Reverse)'!$B$1:$K$1,MOD(ROW()-2,10)+1)</f>
        <v>PASSAIC</v>
      </c>
      <c r="C373" s="2" t="str">
        <f>VLOOKUP(A373,'[1]Brand Family Territory (Enc)'!$A$2:$B$296,2,FALSE)</f>
        <v>Core Market</v>
      </c>
      <c r="D373" s="2">
        <f>IF(COUNTIFS('[1]Brand Family Territories (Enc)'!$B$2:$B$62,C373,'[1]Brand Family Territories (Enc)'!$C$2:$C$62,B373)&gt;0,1,IF(AND(LEFT(B373,6)="MORRIS",COUNTIFS('[1]Brand Family Territories (Enc)'!$B$2:$B$62,C373,'[1]Brand Family Territories (Enc)'!$C$2:$C$62,"Morri")&gt;0),"Unk",0))</f>
        <v>1</v>
      </c>
      <c r="E373" s="2" t="str">
        <f>IFERROR(INDEX('Blackout Brand Fam Areas (Enc)'!$D$6:$D$998,MATCH(UPPER(A373)&amp;"|"&amp;UPPER(B373),'Blackout Brand Fam Areas (Enc)'!$G$6:$G$998,0)),"No Match")</f>
        <v>No Match</v>
      </c>
      <c r="F373" s="2" t="str">
        <f t="shared" si="10"/>
        <v>US</v>
      </c>
      <c r="G373" s="2" t="str">
        <f t="shared" si="11"/>
        <v>Jim Beam Kentucky|PASSAIC</v>
      </c>
    </row>
    <row r="374" spans="1:7" x14ac:dyDescent="0.2">
      <c r="A374" s="2" t="str" cm="1">
        <f t="array" ref="A374">INDEX('[1]Brand Family Territory (Enc)'!$A$2:$A$296,INT((ROW()-2)/10)+1)</f>
        <v>Jim Beam Kentucky</v>
      </c>
      <c r="B374" s="2" t="str" cm="1">
        <f t="array" ref="B374">INDEX('Whitelist (Blackout Reverse)'!$B$1:$K$1,MOD(ROW()-2,10)+1)</f>
        <v>PASSAIC-FF</v>
      </c>
      <c r="C374" s="2" t="str">
        <f>VLOOKUP(A374,'[1]Brand Family Territory (Enc)'!$A$2:$B$296,2,FALSE)</f>
        <v>Core Market</v>
      </c>
      <c r="D374" s="2">
        <f>IF(COUNTIFS('[1]Brand Family Territories (Enc)'!$B$2:$B$62,C374,'[1]Brand Family Territories (Enc)'!$C$2:$C$62,B374)&gt;0,1,IF(AND(LEFT(B374,6)="MORRIS",COUNTIFS('[1]Brand Family Territories (Enc)'!$B$2:$B$62,C374,'[1]Brand Family Territories (Enc)'!$C$2:$C$62,"Morri")&gt;0),"Unk",0))</f>
        <v>1</v>
      </c>
      <c r="E374" s="2" t="str">
        <f>IFERROR(INDEX('Blackout Brand Fam Areas (Enc)'!$D$6:$D$998,MATCH(UPPER(A374)&amp;"|"&amp;UPPER(B374),'Blackout Brand Fam Areas (Enc)'!$G$6:$G$998,0)),"No Match")</f>
        <v>No Match</v>
      </c>
      <c r="F374" s="2" t="str">
        <f t="shared" si="10"/>
        <v>US</v>
      </c>
      <c r="G374" s="2" t="str">
        <f t="shared" si="11"/>
        <v>Jim Beam Kentucky|PASSAIC-FF</v>
      </c>
    </row>
    <row r="375" spans="1:7" x14ac:dyDescent="0.2">
      <c r="A375" s="2" t="str" cm="1">
        <f t="array" ref="A375">INDEX('[1]Brand Family Territory (Enc)'!$A$2:$A$296,INT((ROW()-2)/10)+1)</f>
        <v>Jim Beam Kentucky</v>
      </c>
      <c r="B375" s="2" t="str" cm="1">
        <f t="array" ref="B375">INDEX('Whitelist (Blackout Reverse)'!$B$1:$K$1,MOD(ROW()-2,10)+1)</f>
        <v>ESSEX</v>
      </c>
      <c r="C375" s="2" t="str">
        <f>VLOOKUP(A375,'[1]Brand Family Territory (Enc)'!$A$2:$B$296,2,FALSE)</f>
        <v>Core Market</v>
      </c>
      <c r="D375" s="2">
        <f>IF(COUNTIFS('[1]Brand Family Territories (Enc)'!$B$2:$B$62,C375,'[1]Brand Family Territories (Enc)'!$C$2:$C$62,B375)&gt;0,1,IF(AND(LEFT(B375,6)="MORRIS",COUNTIFS('[1]Brand Family Territories (Enc)'!$B$2:$B$62,C375,'[1]Brand Family Territories (Enc)'!$C$2:$C$62,"Morri")&gt;0),"Unk",0))</f>
        <v>0</v>
      </c>
      <c r="E375" s="2" t="str">
        <f>IFERROR(INDEX('Blackout Brand Fam Areas (Enc)'!$D$6:$D$998,MATCH(UPPER(A375)&amp;"|"&amp;UPPER(B375),'Blackout Brand Fam Areas (Enc)'!$G$6:$G$998,0)),"No Match")</f>
        <v>No Match</v>
      </c>
      <c r="F375" s="2" t="str">
        <f t="shared" si="10"/>
        <v>THEM</v>
      </c>
      <c r="G375" s="2" t="str">
        <f t="shared" si="11"/>
        <v>Jim Beam Kentucky|ESSEX</v>
      </c>
    </row>
    <row r="376" spans="1:7" x14ac:dyDescent="0.2">
      <c r="A376" s="2" t="str" cm="1">
        <f t="array" ref="A376">INDEX('[1]Brand Family Territory (Enc)'!$A$2:$A$296,INT((ROW()-2)/10)+1)</f>
        <v>Jim Beam Kentucky</v>
      </c>
      <c r="B376" s="2" t="str" cm="1">
        <f t="array" ref="B376">INDEX('Whitelist (Blackout Reverse)'!$B$1:$K$1,MOD(ROW()-2,10)+1)</f>
        <v>HUDSON</v>
      </c>
      <c r="C376" s="2" t="str">
        <f>VLOOKUP(A376,'[1]Brand Family Territory (Enc)'!$A$2:$B$296,2,FALSE)</f>
        <v>Core Market</v>
      </c>
      <c r="D376" s="2">
        <f>IF(COUNTIFS('[1]Brand Family Territories (Enc)'!$B$2:$B$62,C376,'[1]Brand Family Territories (Enc)'!$C$2:$C$62,B376)&gt;0,1,IF(AND(LEFT(B376,6)="MORRIS",COUNTIFS('[1]Brand Family Territories (Enc)'!$B$2:$B$62,C376,'[1]Brand Family Territories (Enc)'!$C$2:$C$62,"Morri")&gt;0),"Unk",0))</f>
        <v>0</v>
      </c>
      <c r="E376" s="2" t="str">
        <f>IFERROR(INDEX('Blackout Brand Fam Areas (Enc)'!$D$6:$D$998,MATCH(UPPER(A376)&amp;"|"&amp;UPPER(B376),'Blackout Brand Fam Areas (Enc)'!$G$6:$G$998,0)),"No Match")</f>
        <v>No Match</v>
      </c>
      <c r="F376" s="2" t="str">
        <f t="shared" si="10"/>
        <v>THEM</v>
      </c>
      <c r="G376" s="2" t="str">
        <f t="shared" si="11"/>
        <v>Jim Beam Kentucky|HUDSON</v>
      </c>
    </row>
    <row r="377" spans="1:7" x14ac:dyDescent="0.2">
      <c r="A377" s="2" t="str" cm="1">
        <f t="array" ref="A377">INDEX('[1]Brand Family Territory (Enc)'!$A$2:$A$296,INT((ROW()-2)/10)+1)</f>
        <v>Jim Beam Kentucky</v>
      </c>
      <c r="B377" s="2" t="str" cm="1">
        <f t="array" ref="B377">INDEX('Whitelist (Blackout Reverse)'!$B$1:$K$1,MOD(ROW()-2,10)+1)</f>
        <v>UNION</v>
      </c>
      <c r="C377" s="2" t="str">
        <f>VLOOKUP(A377,'[1]Brand Family Territory (Enc)'!$A$2:$B$296,2,FALSE)</f>
        <v>Core Market</v>
      </c>
      <c r="D377" s="2">
        <f>IF(COUNTIFS('[1]Brand Family Territories (Enc)'!$B$2:$B$62,C377,'[1]Brand Family Territories (Enc)'!$C$2:$C$62,B377)&gt;0,1,IF(AND(LEFT(B377,6)="MORRIS",COUNTIFS('[1]Brand Family Territories (Enc)'!$B$2:$B$62,C377,'[1]Brand Family Territories (Enc)'!$C$2:$C$62,"Morri")&gt;0),"Unk",0))</f>
        <v>0</v>
      </c>
      <c r="E377" s="2" t="str">
        <f>IFERROR(INDEX('Blackout Brand Fam Areas (Enc)'!$D$6:$D$998,MATCH(UPPER(A377)&amp;"|"&amp;UPPER(B377),'Blackout Brand Fam Areas (Enc)'!$G$6:$G$998,0)),"No Match")</f>
        <v>No Match</v>
      </c>
      <c r="F377" s="2" t="str">
        <f t="shared" si="10"/>
        <v>THEM</v>
      </c>
      <c r="G377" s="2" t="str">
        <f t="shared" si="11"/>
        <v>Jim Beam Kentucky|UNION</v>
      </c>
    </row>
    <row r="378" spans="1:7" x14ac:dyDescent="0.2">
      <c r="A378" s="2" t="str" cm="1">
        <f t="array" ref="A378">INDEX('[1]Brand Family Territory (Enc)'!$A$2:$A$296,INT((ROW()-2)/10)+1)</f>
        <v>Jim Beam Kentucky</v>
      </c>
      <c r="B378" s="2" t="str" cm="1">
        <f t="array" ref="B378">INDEX('Whitelist (Blackout Reverse)'!$B$1:$K$1,MOD(ROW()-2,10)+1)</f>
        <v>SUSSEX</v>
      </c>
      <c r="C378" s="2" t="str">
        <f>VLOOKUP(A378,'[1]Brand Family Territory (Enc)'!$A$2:$B$296,2,FALSE)</f>
        <v>Core Market</v>
      </c>
      <c r="D378" s="2">
        <f>IF(COUNTIFS('[1]Brand Family Territories (Enc)'!$B$2:$B$62,C378,'[1]Brand Family Territories (Enc)'!$C$2:$C$62,B378)&gt;0,1,IF(AND(LEFT(B378,6)="MORRIS",COUNTIFS('[1]Brand Family Territories (Enc)'!$B$2:$B$62,C378,'[1]Brand Family Territories (Enc)'!$C$2:$C$62,"Morri")&gt;0),"Unk",0))</f>
        <v>1</v>
      </c>
      <c r="E378" s="2" t="str">
        <f>IFERROR(INDEX('Blackout Brand Fam Areas (Enc)'!$D$6:$D$998,MATCH(UPPER(A378)&amp;"|"&amp;UPPER(B378),'Blackout Brand Fam Areas (Enc)'!$G$6:$G$998,0)),"No Match")</f>
        <v>No Match</v>
      </c>
      <c r="F378" s="2" t="str">
        <f t="shared" si="10"/>
        <v>US</v>
      </c>
      <c r="G378" s="2" t="str">
        <f t="shared" si="11"/>
        <v>Jim Beam Kentucky|SUSSEX</v>
      </c>
    </row>
    <row r="379" spans="1:7" x14ac:dyDescent="0.2">
      <c r="A379" s="2" t="str" cm="1">
        <f t="array" ref="A379">INDEX('[1]Brand Family Territory (Enc)'!$A$2:$A$296,INT((ROW()-2)/10)+1)</f>
        <v>Jim Beam Kentucky</v>
      </c>
      <c r="B379" s="2" t="str" cm="1">
        <f t="array" ref="B379">INDEX('Whitelist (Blackout Reverse)'!$B$1:$K$1,MOD(ROW()-2,10)+1)</f>
        <v>MORRIS 1</v>
      </c>
      <c r="C379" s="2" t="str">
        <f>VLOOKUP(A379,'[1]Brand Family Territory (Enc)'!$A$2:$B$296,2,FALSE)</f>
        <v>Core Market</v>
      </c>
      <c r="D379" s="2">
        <f>IF(COUNTIFS('[1]Brand Family Territories (Enc)'!$B$2:$B$62,C379,'[1]Brand Family Territories (Enc)'!$C$2:$C$62,B379)&gt;0,1,IF(AND(LEFT(B379,6)="MORRIS",COUNTIFS('[1]Brand Family Territories (Enc)'!$B$2:$B$62,C379,'[1]Brand Family Territories (Enc)'!$C$2:$C$62,"Morri")&gt;0),"Unk",0))</f>
        <v>1</v>
      </c>
      <c r="E379" s="2" t="str">
        <f>IFERROR(INDEX('Blackout Brand Fam Areas (Enc)'!$D$6:$D$998,MATCH(UPPER(A379)&amp;"|"&amp;UPPER(B379),'Blackout Brand Fam Areas (Enc)'!$G$6:$G$998,0)),"No Match")</f>
        <v>No Match</v>
      </c>
      <c r="F379" s="2" t="str">
        <f t="shared" si="10"/>
        <v>US</v>
      </c>
      <c r="G379" s="2" t="str">
        <f t="shared" si="11"/>
        <v>Jim Beam Kentucky|MORRIS 1</v>
      </c>
    </row>
    <row r="380" spans="1:7" x14ac:dyDescent="0.2">
      <c r="A380" s="2" t="str" cm="1">
        <f t="array" ref="A380">INDEX('[1]Brand Family Territory (Enc)'!$A$2:$A$296,INT((ROW()-2)/10)+1)</f>
        <v>Jim Beam Kentucky</v>
      </c>
      <c r="B380" s="2" t="str" cm="1">
        <f t="array" ref="B380">INDEX('Whitelist (Blackout Reverse)'!$B$1:$K$1,MOD(ROW()-2,10)+1)</f>
        <v>MORRIS 2</v>
      </c>
      <c r="C380" s="2" t="str">
        <f>VLOOKUP(A380,'[1]Brand Family Territory (Enc)'!$A$2:$B$296,2,FALSE)</f>
        <v>Core Market</v>
      </c>
      <c r="D380" s="2">
        <f>IF(COUNTIFS('[1]Brand Family Territories (Enc)'!$B$2:$B$62,C380,'[1]Brand Family Territories (Enc)'!$C$2:$C$62,B380)&gt;0,1,IF(AND(LEFT(B380,6)="MORRIS",COUNTIFS('[1]Brand Family Territories (Enc)'!$B$2:$B$62,C380,'[1]Brand Family Territories (Enc)'!$C$2:$C$62,"Morri")&gt;0),"Unk",0))</f>
        <v>0</v>
      </c>
      <c r="E380" s="2" t="str">
        <f>IFERROR(INDEX('Blackout Brand Fam Areas (Enc)'!$D$6:$D$998,MATCH(UPPER(A380)&amp;"|"&amp;UPPER(B380),'Blackout Brand Fam Areas (Enc)'!$G$6:$G$998,0)),"No Match")</f>
        <v>No Match</v>
      </c>
      <c r="F380" s="2" t="str">
        <f t="shared" si="10"/>
        <v>THEM</v>
      </c>
      <c r="G380" s="2" t="str">
        <f t="shared" si="11"/>
        <v>Jim Beam Kentucky|MORRIS 2</v>
      </c>
    </row>
    <row r="381" spans="1:7" x14ac:dyDescent="0.2">
      <c r="A381" s="2" t="str" cm="1">
        <f t="array" ref="A381">INDEX('[1]Brand Family Territory (Enc)'!$A$2:$A$296,INT((ROW()-2)/10)+1)</f>
        <v>Jim Beam Kentucky</v>
      </c>
      <c r="B381" s="2" t="str" cm="1">
        <f t="array" ref="B381">INDEX('Whitelist (Blackout Reverse)'!$B$1:$K$1,MOD(ROW()-2,10)+1)</f>
        <v>MORRIS 3</v>
      </c>
      <c r="C381" s="2" t="str">
        <f>VLOOKUP(A381,'[1]Brand Family Territory (Enc)'!$A$2:$B$296,2,FALSE)</f>
        <v>Core Market</v>
      </c>
      <c r="D381" s="2">
        <f>IF(COUNTIFS('[1]Brand Family Territories (Enc)'!$B$2:$B$62,C381,'[1]Brand Family Territories (Enc)'!$C$2:$C$62,B381)&gt;0,1,IF(AND(LEFT(B381,6)="MORRIS",COUNTIFS('[1]Brand Family Territories (Enc)'!$B$2:$B$62,C381,'[1]Brand Family Territories (Enc)'!$C$2:$C$62,"Morri")&gt;0),"Unk",0))</f>
        <v>1</v>
      </c>
      <c r="E381" s="2" t="str">
        <f>IFERROR(INDEX('Blackout Brand Fam Areas (Enc)'!$D$6:$D$998,MATCH(UPPER(A381)&amp;"|"&amp;UPPER(B381),'Blackout Brand Fam Areas (Enc)'!$G$6:$G$998,0)),"No Match")</f>
        <v>No Match</v>
      </c>
      <c r="F381" s="2" t="str">
        <f t="shared" si="10"/>
        <v>US</v>
      </c>
      <c r="G381" s="2" t="str">
        <f t="shared" si="11"/>
        <v>Jim Beam Kentucky|MORRIS 3</v>
      </c>
    </row>
    <row r="382" spans="1:7" x14ac:dyDescent="0.2">
      <c r="A382" s="2" t="str" cm="1">
        <f t="array" ref="A382">INDEX('[1]Brand Family Territory (Enc)'!$A$2:$A$296,INT((ROW()-2)/10)+1)</f>
        <v>Keystone</v>
      </c>
      <c r="B382" s="2" t="str" cm="1">
        <f t="array" ref="B382">INDEX('Whitelist (Blackout Reverse)'!$B$1:$K$1,MOD(ROW()-2,10)+1)</f>
        <v>BERGEN</v>
      </c>
      <c r="C382" s="2" t="str">
        <f>VLOOKUP(A382,'[1]Brand Family Territory (Enc)'!$A$2:$B$296,2,FALSE)</f>
        <v>Core Market</v>
      </c>
      <c r="D382" s="2">
        <f>IF(COUNTIFS('[1]Brand Family Territories (Enc)'!$B$2:$B$62,C382,'[1]Brand Family Territories (Enc)'!$C$2:$C$62,B382)&gt;0,1,IF(AND(LEFT(B382,6)="MORRIS",COUNTIFS('[1]Brand Family Territories (Enc)'!$B$2:$B$62,C382,'[1]Brand Family Territories (Enc)'!$C$2:$C$62,"Morri")&gt;0),"Unk",0))</f>
        <v>1</v>
      </c>
      <c r="E382" s="2" t="str">
        <f>IFERROR(INDEX('Blackout Brand Fam Areas (Enc)'!$D$6:$D$998,MATCH(UPPER(A382)&amp;"|"&amp;UPPER(B382),'Blackout Brand Fam Areas (Enc)'!$G$6:$G$998,0)),"No Match")</f>
        <v>No Match</v>
      </c>
      <c r="F382" s="2" t="str">
        <f t="shared" si="10"/>
        <v>US</v>
      </c>
      <c r="G382" s="2" t="str">
        <f t="shared" si="11"/>
        <v>Keystone|BERGEN</v>
      </c>
    </row>
    <row r="383" spans="1:7" x14ac:dyDescent="0.2">
      <c r="A383" s="2" t="str" cm="1">
        <f t="array" ref="A383">INDEX('[1]Brand Family Territory (Enc)'!$A$2:$A$296,INT((ROW()-2)/10)+1)</f>
        <v>Keystone</v>
      </c>
      <c r="B383" s="2" t="str" cm="1">
        <f t="array" ref="B383">INDEX('Whitelist (Blackout Reverse)'!$B$1:$K$1,MOD(ROW()-2,10)+1)</f>
        <v>PASSAIC</v>
      </c>
      <c r="C383" s="2" t="str">
        <f>VLOOKUP(A383,'[1]Brand Family Territory (Enc)'!$A$2:$B$296,2,FALSE)</f>
        <v>Core Market</v>
      </c>
      <c r="D383" s="2">
        <f>IF(COUNTIFS('[1]Brand Family Territories (Enc)'!$B$2:$B$62,C383,'[1]Brand Family Territories (Enc)'!$C$2:$C$62,B383)&gt;0,1,IF(AND(LEFT(B383,6)="MORRIS",COUNTIFS('[1]Brand Family Territories (Enc)'!$B$2:$B$62,C383,'[1]Brand Family Territories (Enc)'!$C$2:$C$62,"Morri")&gt;0),"Unk",0))</f>
        <v>1</v>
      </c>
      <c r="E383" s="2" t="str">
        <f>IFERROR(INDEX('Blackout Brand Fam Areas (Enc)'!$D$6:$D$998,MATCH(UPPER(A383)&amp;"|"&amp;UPPER(B383),'Blackout Brand Fam Areas (Enc)'!$G$6:$G$998,0)),"No Match")</f>
        <v>No Match</v>
      </c>
      <c r="F383" s="2" t="str">
        <f t="shared" si="10"/>
        <v>US</v>
      </c>
      <c r="G383" s="2" t="str">
        <f t="shared" si="11"/>
        <v>Keystone|PASSAIC</v>
      </c>
    </row>
    <row r="384" spans="1:7" x14ac:dyDescent="0.2">
      <c r="A384" s="2" t="str" cm="1">
        <f t="array" ref="A384">INDEX('[1]Brand Family Territory (Enc)'!$A$2:$A$296,INT((ROW()-2)/10)+1)</f>
        <v>Keystone</v>
      </c>
      <c r="B384" s="2" t="str" cm="1">
        <f t="array" ref="B384">INDEX('Whitelist (Blackout Reverse)'!$B$1:$K$1,MOD(ROW()-2,10)+1)</f>
        <v>PASSAIC-FF</v>
      </c>
      <c r="C384" s="2" t="str">
        <f>VLOOKUP(A384,'[1]Brand Family Territory (Enc)'!$A$2:$B$296,2,FALSE)</f>
        <v>Core Market</v>
      </c>
      <c r="D384" s="2">
        <f>IF(COUNTIFS('[1]Brand Family Territories (Enc)'!$B$2:$B$62,C384,'[1]Brand Family Territories (Enc)'!$C$2:$C$62,B384)&gt;0,1,IF(AND(LEFT(B384,6)="MORRIS",COUNTIFS('[1]Brand Family Territories (Enc)'!$B$2:$B$62,C384,'[1]Brand Family Territories (Enc)'!$C$2:$C$62,"Morri")&gt;0),"Unk",0))</f>
        <v>1</v>
      </c>
      <c r="E384" s="2" t="str">
        <f>IFERROR(INDEX('Blackout Brand Fam Areas (Enc)'!$D$6:$D$998,MATCH(UPPER(A384)&amp;"|"&amp;UPPER(B384),'Blackout Brand Fam Areas (Enc)'!$G$6:$G$998,0)),"No Match")</f>
        <v>No Match</v>
      </c>
      <c r="F384" s="2" t="str">
        <f t="shared" si="10"/>
        <v>US</v>
      </c>
      <c r="G384" s="2" t="str">
        <f t="shared" si="11"/>
        <v>Keystone|PASSAIC-FF</v>
      </c>
    </row>
    <row r="385" spans="1:7" x14ac:dyDescent="0.2">
      <c r="A385" s="2" t="str" cm="1">
        <f t="array" ref="A385">INDEX('[1]Brand Family Territory (Enc)'!$A$2:$A$296,INT((ROW()-2)/10)+1)</f>
        <v>Keystone</v>
      </c>
      <c r="B385" s="2" t="str" cm="1">
        <f t="array" ref="B385">INDEX('Whitelist (Blackout Reverse)'!$B$1:$K$1,MOD(ROW()-2,10)+1)</f>
        <v>ESSEX</v>
      </c>
      <c r="C385" s="2" t="str">
        <f>VLOOKUP(A385,'[1]Brand Family Territory (Enc)'!$A$2:$B$296,2,FALSE)</f>
        <v>Core Market</v>
      </c>
      <c r="D385" s="2">
        <f>IF(COUNTIFS('[1]Brand Family Territories (Enc)'!$B$2:$B$62,C385,'[1]Brand Family Territories (Enc)'!$C$2:$C$62,B385)&gt;0,1,IF(AND(LEFT(B385,6)="MORRIS",COUNTIFS('[1]Brand Family Territories (Enc)'!$B$2:$B$62,C385,'[1]Brand Family Territories (Enc)'!$C$2:$C$62,"Morri")&gt;0),"Unk",0))</f>
        <v>0</v>
      </c>
      <c r="E385" s="2" t="str">
        <f>IFERROR(INDEX('Blackout Brand Fam Areas (Enc)'!$D$6:$D$998,MATCH(UPPER(A385)&amp;"|"&amp;UPPER(B385),'Blackout Brand Fam Areas (Enc)'!$G$6:$G$998,0)),"No Match")</f>
        <v>Inactive</v>
      </c>
      <c r="F385" s="2" t="str">
        <f t="shared" si="10"/>
        <v>THEM</v>
      </c>
      <c r="G385" s="2" t="str">
        <f t="shared" si="11"/>
        <v>Keystone|ESSEX</v>
      </c>
    </row>
    <row r="386" spans="1:7" x14ac:dyDescent="0.2">
      <c r="A386" s="2" t="str" cm="1">
        <f t="array" ref="A386">INDEX('[1]Brand Family Territory (Enc)'!$A$2:$A$296,INT((ROW()-2)/10)+1)</f>
        <v>Keystone</v>
      </c>
      <c r="B386" s="2" t="str" cm="1">
        <f t="array" ref="B386">INDEX('Whitelist (Blackout Reverse)'!$B$1:$K$1,MOD(ROW()-2,10)+1)</f>
        <v>HUDSON</v>
      </c>
      <c r="C386" s="2" t="str">
        <f>VLOOKUP(A386,'[1]Brand Family Territory (Enc)'!$A$2:$B$296,2,FALSE)</f>
        <v>Core Market</v>
      </c>
      <c r="D386" s="2">
        <f>IF(COUNTIFS('[1]Brand Family Territories (Enc)'!$B$2:$B$62,C386,'[1]Brand Family Territories (Enc)'!$C$2:$C$62,B386)&gt;0,1,IF(AND(LEFT(B386,6)="MORRIS",COUNTIFS('[1]Brand Family Territories (Enc)'!$B$2:$B$62,C386,'[1]Brand Family Territories (Enc)'!$C$2:$C$62,"Morri")&gt;0),"Unk",0))</f>
        <v>0</v>
      </c>
      <c r="E386" s="2" t="str">
        <f>IFERROR(INDEX('Blackout Brand Fam Areas (Enc)'!$D$6:$D$998,MATCH(UPPER(A386)&amp;"|"&amp;UPPER(B386),'Blackout Brand Fam Areas (Enc)'!$G$6:$G$998,0)),"No Match")</f>
        <v>Inactive</v>
      </c>
      <c r="F386" s="2" t="str">
        <f t="shared" si="10"/>
        <v>THEM</v>
      </c>
      <c r="G386" s="2" t="str">
        <f t="shared" si="11"/>
        <v>Keystone|HUDSON</v>
      </c>
    </row>
    <row r="387" spans="1:7" x14ac:dyDescent="0.2">
      <c r="A387" s="2" t="str" cm="1">
        <f t="array" ref="A387">INDEX('[1]Brand Family Territory (Enc)'!$A$2:$A$296,INT((ROW()-2)/10)+1)</f>
        <v>Keystone</v>
      </c>
      <c r="B387" s="2" t="str" cm="1">
        <f t="array" ref="B387">INDEX('Whitelist (Blackout Reverse)'!$B$1:$K$1,MOD(ROW()-2,10)+1)</f>
        <v>UNION</v>
      </c>
      <c r="C387" s="2" t="str">
        <f>VLOOKUP(A387,'[1]Brand Family Territory (Enc)'!$A$2:$B$296,2,FALSE)</f>
        <v>Core Market</v>
      </c>
      <c r="D387" s="2">
        <f>IF(COUNTIFS('[1]Brand Family Territories (Enc)'!$B$2:$B$62,C387,'[1]Brand Family Territories (Enc)'!$C$2:$C$62,B387)&gt;0,1,IF(AND(LEFT(B387,6)="MORRIS",COUNTIFS('[1]Brand Family Territories (Enc)'!$B$2:$B$62,C387,'[1]Brand Family Territories (Enc)'!$C$2:$C$62,"Morri")&gt;0),"Unk",0))</f>
        <v>0</v>
      </c>
      <c r="E387" s="2" t="str">
        <f>IFERROR(INDEX('Blackout Brand Fam Areas (Enc)'!$D$6:$D$998,MATCH(UPPER(A387)&amp;"|"&amp;UPPER(B387),'Blackout Brand Fam Areas (Enc)'!$G$6:$G$998,0)),"No Match")</f>
        <v>Inactive</v>
      </c>
      <c r="F387" s="2" t="str">
        <f t="shared" ref="F387:F450" si="12">IF(D387="Unk","Ambiguous (Source Truncated)",IF(E387="Inactive","THEM",IF(D387=1,"US",IF(D387="N/A","No Territory Data","THEM"))))</f>
        <v>THEM</v>
      </c>
      <c r="G387" s="2" t="str">
        <f t="shared" ref="G387:G450" si="13">A387&amp;"|"&amp;B387</f>
        <v>Keystone|UNION</v>
      </c>
    </row>
    <row r="388" spans="1:7" x14ac:dyDescent="0.2">
      <c r="A388" s="2" t="str" cm="1">
        <f t="array" ref="A388">INDEX('[1]Brand Family Territory (Enc)'!$A$2:$A$296,INT((ROW()-2)/10)+1)</f>
        <v>Keystone</v>
      </c>
      <c r="B388" s="2" t="str" cm="1">
        <f t="array" ref="B388">INDEX('Whitelist (Blackout Reverse)'!$B$1:$K$1,MOD(ROW()-2,10)+1)</f>
        <v>SUSSEX</v>
      </c>
      <c r="C388" s="2" t="str">
        <f>VLOOKUP(A388,'[1]Brand Family Territory (Enc)'!$A$2:$B$296,2,FALSE)</f>
        <v>Core Market</v>
      </c>
      <c r="D388" s="2">
        <f>IF(COUNTIFS('[1]Brand Family Territories (Enc)'!$B$2:$B$62,C388,'[1]Brand Family Territories (Enc)'!$C$2:$C$62,B388)&gt;0,1,IF(AND(LEFT(B388,6)="MORRIS",COUNTIFS('[1]Brand Family Territories (Enc)'!$B$2:$B$62,C388,'[1]Brand Family Territories (Enc)'!$C$2:$C$62,"Morri")&gt;0),"Unk",0))</f>
        <v>1</v>
      </c>
      <c r="E388" s="2" t="str">
        <f>IFERROR(INDEX('Blackout Brand Fam Areas (Enc)'!$D$6:$D$998,MATCH(UPPER(A388)&amp;"|"&amp;UPPER(B388),'Blackout Brand Fam Areas (Enc)'!$G$6:$G$998,0)),"No Match")</f>
        <v>No Match</v>
      </c>
      <c r="F388" s="2" t="str">
        <f t="shared" si="12"/>
        <v>US</v>
      </c>
      <c r="G388" s="2" t="str">
        <f t="shared" si="13"/>
        <v>Keystone|SUSSEX</v>
      </c>
    </row>
    <row r="389" spans="1:7" x14ac:dyDescent="0.2">
      <c r="A389" s="2" t="str" cm="1">
        <f t="array" ref="A389">INDEX('[1]Brand Family Territory (Enc)'!$A$2:$A$296,INT((ROW()-2)/10)+1)</f>
        <v>Keystone</v>
      </c>
      <c r="B389" s="2" t="str" cm="1">
        <f t="array" ref="B389">INDEX('Whitelist (Blackout Reverse)'!$B$1:$K$1,MOD(ROW()-2,10)+1)</f>
        <v>MORRIS 1</v>
      </c>
      <c r="C389" s="2" t="str">
        <f>VLOOKUP(A389,'[1]Brand Family Territory (Enc)'!$A$2:$B$296,2,FALSE)</f>
        <v>Core Market</v>
      </c>
      <c r="D389" s="2">
        <f>IF(COUNTIFS('[1]Brand Family Territories (Enc)'!$B$2:$B$62,C389,'[1]Brand Family Territories (Enc)'!$C$2:$C$62,B389)&gt;0,1,IF(AND(LEFT(B389,6)="MORRIS",COUNTIFS('[1]Brand Family Territories (Enc)'!$B$2:$B$62,C389,'[1]Brand Family Territories (Enc)'!$C$2:$C$62,"Morri")&gt;0),"Unk",0))</f>
        <v>1</v>
      </c>
      <c r="E389" s="2" t="str">
        <f>IFERROR(INDEX('Blackout Brand Fam Areas (Enc)'!$D$6:$D$998,MATCH(UPPER(A389)&amp;"|"&amp;UPPER(B389),'Blackout Brand Fam Areas (Enc)'!$G$6:$G$998,0)),"No Match")</f>
        <v>No Match</v>
      </c>
      <c r="F389" s="2" t="str">
        <f t="shared" si="12"/>
        <v>US</v>
      </c>
      <c r="G389" s="2" t="str">
        <f t="shared" si="13"/>
        <v>Keystone|MORRIS 1</v>
      </c>
    </row>
    <row r="390" spans="1:7" x14ac:dyDescent="0.2">
      <c r="A390" s="2" t="str" cm="1">
        <f t="array" ref="A390">INDEX('[1]Brand Family Territory (Enc)'!$A$2:$A$296,INT((ROW()-2)/10)+1)</f>
        <v>Keystone</v>
      </c>
      <c r="B390" s="2" t="str" cm="1">
        <f t="array" ref="B390">INDEX('Whitelist (Blackout Reverse)'!$B$1:$K$1,MOD(ROW()-2,10)+1)</f>
        <v>MORRIS 2</v>
      </c>
      <c r="C390" s="2" t="str">
        <f>VLOOKUP(A390,'[1]Brand Family Territory (Enc)'!$A$2:$B$296,2,FALSE)</f>
        <v>Core Market</v>
      </c>
      <c r="D390" s="2">
        <f>IF(COUNTIFS('[1]Brand Family Territories (Enc)'!$B$2:$B$62,C390,'[1]Brand Family Territories (Enc)'!$C$2:$C$62,B390)&gt;0,1,IF(AND(LEFT(B390,6)="MORRIS",COUNTIFS('[1]Brand Family Territories (Enc)'!$B$2:$B$62,C390,'[1]Brand Family Territories (Enc)'!$C$2:$C$62,"Morri")&gt;0),"Unk",0))</f>
        <v>0</v>
      </c>
      <c r="E390" s="2" t="str">
        <f>IFERROR(INDEX('Blackout Brand Fam Areas (Enc)'!$D$6:$D$998,MATCH(UPPER(A390)&amp;"|"&amp;UPPER(B390),'Blackout Brand Fam Areas (Enc)'!$G$6:$G$998,0)),"No Match")</f>
        <v>Inactive</v>
      </c>
      <c r="F390" s="2" t="str">
        <f t="shared" si="12"/>
        <v>THEM</v>
      </c>
      <c r="G390" s="2" t="str">
        <f t="shared" si="13"/>
        <v>Keystone|MORRIS 2</v>
      </c>
    </row>
    <row r="391" spans="1:7" x14ac:dyDescent="0.2">
      <c r="A391" s="2" t="str" cm="1">
        <f t="array" ref="A391">INDEX('[1]Brand Family Territory (Enc)'!$A$2:$A$296,INT((ROW()-2)/10)+1)</f>
        <v>Keystone</v>
      </c>
      <c r="B391" s="2" t="str" cm="1">
        <f t="array" ref="B391">INDEX('Whitelist (Blackout Reverse)'!$B$1:$K$1,MOD(ROW()-2,10)+1)</f>
        <v>MORRIS 3</v>
      </c>
      <c r="C391" s="2" t="str">
        <f>VLOOKUP(A391,'[1]Brand Family Territory (Enc)'!$A$2:$B$296,2,FALSE)</f>
        <v>Core Market</v>
      </c>
      <c r="D391" s="2">
        <f>IF(COUNTIFS('[1]Brand Family Territories (Enc)'!$B$2:$B$62,C391,'[1]Brand Family Territories (Enc)'!$C$2:$C$62,B391)&gt;0,1,IF(AND(LEFT(B391,6)="MORRIS",COUNTIFS('[1]Brand Family Territories (Enc)'!$B$2:$B$62,C391,'[1]Brand Family Territories (Enc)'!$C$2:$C$62,"Morri")&gt;0),"Unk",0))</f>
        <v>1</v>
      </c>
      <c r="E391" s="2" t="str">
        <f>IFERROR(INDEX('Blackout Brand Fam Areas (Enc)'!$D$6:$D$998,MATCH(UPPER(A391)&amp;"|"&amp;UPPER(B391),'Blackout Brand Fam Areas (Enc)'!$G$6:$G$998,0)),"No Match")</f>
        <v>No Match</v>
      </c>
      <c r="F391" s="2" t="str">
        <f t="shared" si="12"/>
        <v>US</v>
      </c>
      <c r="G391" s="2" t="str">
        <f t="shared" si="13"/>
        <v>Keystone|MORRIS 3</v>
      </c>
    </row>
    <row r="392" spans="1:7" x14ac:dyDescent="0.2">
      <c r="A392" s="2" t="str" cm="1">
        <f t="array" ref="A392">INDEX('[1]Brand Family Territory (Enc)'!$A$2:$A$296,INT((ROW()-2)/10)+1)</f>
        <v>George Killian's</v>
      </c>
      <c r="B392" s="2" t="str" cm="1">
        <f t="array" ref="B392">INDEX('Whitelist (Blackout Reverse)'!$B$1:$K$1,MOD(ROW()-2,10)+1)</f>
        <v>BERGEN</v>
      </c>
      <c r="C392" s="2" t="str">
        <f>VLOOKUP(A392,'[1]Brand Family Territory (Enc)'!$A$2:$B$296,2,FALSE)</f>
        <v>Core Market</v>
      </c>
      <c r="D392" s="2">
        <f>IF(COUNTIFS('[1]Brand Family Territories (Enc)'!$B$2:$B$62,C392,'[1]Brand Family Territories (Enc)'!$C$2:$C$62,B392)&gt;0,1,IF(AND(LEFT(B392,6)="MORRIS",COUNTIFS('[1]Brand Family Territories (Enc)'!$B$2:$B$62,C392,'[1]Brand Family Territories (Enc)'!$C$2:$C$62,"Morri")&gt;0),"Unk",0))</f>
        <v>1</v>
      </c>
      <c r="E392" s="2" t="str">
        <f>IFERROR(INDEX('Blackout Brand Fam Areas (Enc)'!$D$6:$D$998,MATCH(UPPER(A392)&amp;"|"&amp;UPPER(B392),'Blackout Brand Fam Areas (Enc)'!$G$6:$G$998,0)),"No Match")</f>
        <v>No Match</v>
      </c>
      <c r="F392" s="2" t="str">
        <f t="shared" si="12"/>
        <v>US</v>
      </c>
      <c r="G392" s="2" t="str">
        <f t="shared" si="13"/>
        <v>George Killian's|BERGEN</v>
      </c>
    </row>
    <row r="393" spans="1:7" x14ac:dyDescent="0.2">
      <c r="A393" s="2" t="str" cm="1">
        <f t="array" ref="A393">INDEX('[1]Brand Family Territory (Enc)'!$A$2:$A$296,INT((ROW()-2)/10)+1)</f>
        <v>George Killian's</v>
      </c>
      <c r="B393" s="2" t="str" cm="1">
        <f t="array" ref="B393">INDEX('Whitelist (Blackout Reverse)'!$B$1:$K$1,MOD(ROW()-2,10)+1)</f>
        <v>PASSAIC</v>
      </c>
      <c r="C393" s="2" t="str">
        <f>VLOOKUP(A393,'[1]Brand Family Territory (Enc)'!$A$2:$B$296,2,FALSE)</f>
        <v>Core Market</v>
      </c>
      <c r="D393" s="2">
        <f>IF(COUNTIFS('[1]Brand Family Territories (Enc)'!$B$2:$B$62,C393,'[1]Brand Family Territories (Enc)'!$C$2:$C$62,B393)&gt;0,1,IF(AND(LEFT(B393,6)="MORRIS",COUNTIFS('[1]Brand Family Territories (Enc)'!$B$2:$B$62,C393,'[1]Brand Family Territories (Enc)'!$C$2:$C$62,"Morri")&gt;0),"Unk",0))</f>
        <v>1</v>
      </c>
      <c r="E393" s="2" t="str">
        <f>IFERROR(INDEX('Blackout Brand Fam Areas (Enc)'!$D$6:$D$998,MATCH(UPPER(A393)&amp;"|"&amp;UPPER(B393),'Blackout Brand Fam Areas (Enc)'!$G$6:$G$998,0)),"No Match")</f>
        <v>No Match</v>
      </c>
      <c r="F393" s="2" t="str">
        <f t="shared" si="12"/>
        <v>US</v>
      </c>
      <c r="G393" s="2" t="str">
        <f t="shared" si="13"/>
        <v>George Killian's|PASSAIC</v>
      </c>
    </row>
    <row r="394" spans="1:7" x14ac:dyDescent="0.2">
      <c r="A394" s="2" t="str" cm="1">
        <f t="array" ref="A394">INDEX('[1]Brand Family Territory (Enc)'!$A$2:$A$296,INT((ROW()-2)/10)+1)</f>
        <v>George Killian's</v>
      </c>
      <c r="B394" s="2" t="str" cm="1">
        <f t="array" ref="B394">INDEX('Whitelist (Blackout Reverse)'!$B$1:$K$1,MOD(ROW()-2,10)+1)</f>
        <v>PASSAIC-FF</v>
      </c>
      <c r="C394" s="2" t="str">
        <f>VLOOKUP(A394,'[1]Brand Family Territory (Enc)'!$A$2:$B$296,2,FALSE)</f>
        <v>Core Market</v>
      </c>
      <c r="D394" s="2">
        <f>IF(COUNTIFS('[1]Brand Family Territories (Enc)'!$B$2:$B$62,C394,'[1]Brand Family Territories (Enc)'!$C$2:$C$62,B394)&gt;0,1,IF(AND(LEFT(B394,6)="MORRIS",COUNTIFS('[1]Brand Family Territories (Enc)'!$B$2:$B$62,C394,'[1]Brand Family Territories (Enc)'!$C$2:$C$62,"Morri")&gt;0),"Unk",0))</f>
        <v>1</v>
      </c>
      <c r="E394" s="2" t="str">
        <f>IFERROR(INDEX('Blackout Brand Fam Areas (Enc)'!$D$6:$D$998,MATCH(UPPER(A394)&amp;"|"&amp;UPPER(B394),'Blackout Brand Fam Areas (Enc)'!$G$6:$G$998,0)),"No Match")</f>
        <v>No Match</v>
      </c>
      <c r="F394" s="2" t="str">
        <f t="shared" si="12"/>
        <v>US</v>
      </c>
      <c r="G394" s="2" t="str">
        <f t="shared" si="13"/>
        <v>George Killian's|PASSAIC-FF</v>
      </c>
    </row>
    <row r="395" spans="1:7" x14ac:dyDescent="0.2">
      <c r="A395" s="2" t="str" cm="1">
        <f t="array" ref="A395">INDEX('[1]Brand Family Territory (Enc)'!$A$2:$A$296,INT((ROW()-2)/10)+1)</f>
        <v>George Killian's</v>
      </c>
      <c r="B395" s="2" t="str" cm="1">
        <f t="array" ref="B395">INDEX('Whitelist (Blackout Reverse)'!$B$1:$K$1,MOD(ROW()-2,10)+1)</f>
        <v>ESSEX</v>
      </c>
      <c r="C395" s="2" t="str">
        <f>VLOOKUP(A395,'[1]Brand Family Territory (Enc)'!$A$2:$B$296,2,FALSE)</f>
        <v>Core Market</v>
      </c>
      <c r="D395" s="2">
        <f>IF(COUNTIFS('[1]Brand Family Territories (Enc)'!$B$2:$B$62,C395,'[1]Brand Family Territories (Enc)'!$C$2:$C$62,B395)&gt;0,1,IF(AND(LEFT(B395,6)="MORRIS",COUNTIFS('[1]Brand Family Territories (Enc)'!$B$2:$B$62,C395,'[1]Brand Family Territories (Enc)'!$C$2:$C$62,"Morri")&gt;0),"Unk",0))</f>
        <v>0</v>
      </c>
      <c r="E395" s="2" t="str">
        <f>IFERROR(INDEX('Blackout Brand Fam Areas (Enc)'!$D$6:$D$998,MATCH(UPPER(A395)&amp;"|"&amp;UPPER(B395),'Blackout Brand Fam Areas (Enc)'!$G$6:$G$998,0)),"No Match")</f>
        <v>Inactive</v>
      </c>
      <c r="F395" s="2" t="str">
        <f t="shared" si="12"/>
        <v>THEM</v>
      </c>
      <c r="G395" s="2" t="str">
        <f t="shared" si="13"/>
        <v>George Killian's|ESSEX</v>
      </c>
    </row>
    <row r="396" spans="1:7" x14ac:dyDescent="0.2">
      <c r="A396" s="2" t="str" cm="1">
        <f t="array" ref="A396">INDEX('[1]Brand Family Territory (Enc)'!$A$2:$A$296,INT((ROW()-2)/10)+1)</f>
        <v>George Killian's</v>
      </c>
      <c r="B396" s="2" t="str" cm="1">
        <f t="array" ref="B396">INDEX('Whitelist (Blackout Reverse)'!$B$1:$K$1,MOD(ROW()-2,10)+1)</f>
        <v>HUDSON</v>
      </c>
      <c r="C396" s="2" t="str">
        <f>VLOOKUP(A396,'[1]Brand Family Territory (Enc)'!$A$2:$B$296,2,FALSE)</f>
        <v>Core Market</v>
      </c>
      <c r="D396" s="2">
        <f>IF(COUNTIFS('[1]Brand Family Territories (Enc)'!$B$2:$B$62,C396,'[1]Brand Family Territories (Enc)'!$C$2:$C$62,B396)&gt;0,1,IF(AND(LEFT(B396,6)="MORRIS",COUNTIFS('[1]Brand Family Territories (Enc)'!$B$2:$B$62,C396,'[1]Brand Family Territories (Enc)'!$C$2:$C$62,"Morri")&gt;0),"Unk",0))</f>
        <v>0</v>
      </c>
      <c r="E396" s="2" t="str">
        <f>IFERROR(INDEX('Blackout Brand Fam Areas (Enc)'!$D$6:$D$998,MATCH(UPPER(A396)&amp;"|"&amp;UPPER(B396),'Blackout Brand Fam Areas (Enc)'!$G$6:$G$998,0)),"No Match")</f>
        <v>Inactive</v>
      </c>
      <c r="F396" s="2" t="str">
        <f t="shared" si="12"/>
        <v>THEM</v>
      </c>
      <c r="G396" s="2" t="str">
        <f t="shared" si="13"/>
        <v>George Killian's|HUDSON</v>
      </c>
    </row>
    <row r="397" spans="1:7" x14ac:dyDescent="0.2">
      <c r="A397" s="2" t="str" cm="1">
        <f t="array" ref="A397">INDEX('[1]Brand Family Territory (Enc)'!$A$2:$A$296,INT((ROW()-2)/10)+1)</f>
        <v>George Killian's</v>
      </c>
      <c r="B397" s="2" t="str" cm="1">
        <f t="array" ref="B397">INDEX('Whitelist (Blackout Reverse)'!$B$1:$K$1,MOD(ROW()-2,10)+1)</f>
        <v>UNION</v>
      </c>
      <c r="C397" s="2" t="str">
        <f>VLOOKUP(A397,'[1]Brand Family Territory (Enc)'!$A$2:$B$296,2,FALSE)</f>
        <v>Core Market</v>
      </c>
      <c r="D397" s="2">
        <f>IF(COUNTIFS('[1]Brand Family Territories (Enc)'!$B$2:$B$62,C397,'[1]Brand Family Territories (Enc)'!$C$2:$C$62,B397)&gt;0,1,IF(AND(LEFT(B397,6)="MORRIS",COUNTIFS('[1]Brand Family Territories (Enc)'!$B$2:$B$62,C397,'[1]Brand Family Territories (Enc)'!$C$2:$C$62,"Morri")&gt;0),"Unk",0))</f>
        <v>0</v>
      </c>
      <c r="E397" s="2" t="str">
        <f>IFERROR(INDEX('Blackout Brand Fam Areas (Enc)'!$D$6:$D$998,MATCH(UPPER(A397)&amp;"|"&amp;UPPER(B397),'Blackout Brand Fam Areas (Enc)'!$G$6:$G$998,0)),"No Match")</f>
        <v>Inactive</v>
      </c>
      <c r="F397" s="2" t="str">
        <f t="shared" si="12"/>
        <v>THEM</v>
      </c>
      <c r="G397" s="2" t="str">
        <f t="shared" si="13"/>
        <v>George Killian's|UNION</v>
      </c>
    </row>
    <row r="398" spans="1:7" x14ac:dyDescent="0.2">
      <c r="A398" s="2" t="str" cm="1">
        <f t="array" ref="A398">INDEX('[1]Brand Family Territory (Enc)'!$A$2:$A$296,INT((ROW()-2)/10)+1)</f>
        <v>George Killian's</v>
      </c>
      <c r="B398" s="2" t="str" cm="1">
        <f t="array" ref="B398">INDEX('Whitelist (Blackout Reverse)'!$B$1:$K$1,MOD(ROW()-2,10)+1)</f>
        <v>SUSSEX</v>
      </c>
      <c r="C398" s="2" t="str">
        <f>VLOOKUP(A398,'[1]Brand Family Territory (Enc)'!$A$2:$B$296,2,FALSE)</f>
        <v>Core Market</v>
      </c>
      <c r="D398" s="2">
        <f>IF(COUNTIFS('[1]Brand Family Territories (Enc)'!$B$2:$B$62,C398,'[1]Brand Family Territories (Enc)'!$C$2:$C$62,B398)&gt;0,1,IF(AND(LEFT(B398,6)="MORRIS",COUNTIFS('[1]Brand Family Territories (Enc)'!$B$2:$B$62,C398,'[1]Brand Family Territories (Enc)'!$C$2:$C$62,"Morri")&gt;0),"Unk",0))</f>
        <v>1</v>
      </c>
      <c r="E398" s="2" t="str">
        <f>IFERROR(INDEX('Blackout Brand Fam Areas (Enc)'!$D$6:$D$998,MATCH(UPPER(A398)&amp;"|"&amp;UPPER(B398),'Blackout Brand Fam Areas (Enc)'!$G$6:$G$998,0)),"No Match")</f>
        <v>No Match</v>
      </c>
      <c r="F398" s="2" t="str">
        <f t="shared" si="12"/>
        <v>US</v>
      </c>
      <c r="G398" s="2" t="str">
        <f t="shared" si="13"/>
        <v>George Killian's|SUSSEX</v>
      </c>
    </row>
    <row r="399" spans="1:7" x14ac:dyDescent="0.2">
      <c r="A399" s="2" t="str" cm="1">
        <f t="array" ref="A399">INDEX('[1]Brand Family Territory (Enc)'!$A$2:$A$296,INT((ROW()-2)/10)+1)</f>
        <v>George Killian's</v>
      </c>
      <c r="B399" s="2" t="str" cm="1">
        <f t="array" ref="B399">INDEX('Whitelist (Blackout Reverse)'!$B$1:$K$1,MOD(ROW()-2,10)+1)</f>
        <v>MORRIS 1</v>
      </c>
      <c r="C399" s="2" t="str">
        <f>VLOOKUP(A399,'[1]Brand Family Territory (Enc)'!$A$2:$B$296,2,FALSE)</f>
        <v>Core Market</v>
      </c>
      <c r="D399" s="2">
        <f>IF(COUNTIFS('[1]Brand Family Territories (Enc)'!$B$2:$B$62,C399,'[1]Brand Family Territories (Enc)'!$C$2:$C$62,B399)&gt;0,1,IF(AND(LEFT(B399,6)="MORRIS",COUNTIFS('[1]Brand Family Territories (Enc)'!$B$2:$B$62,C399,'[1]Brand Family Territories (Enc)'!$C$2:$C$62,"Morri")&gt;0),"Unk",0))</f>
        <v>1</v>
      </c>
      <c r="E399" s="2" t="str">
        <f>IFERROR(INDEX('Blackout Brand Fam Areas (Enc)'!$D$6:$D$998,MATCH(UPPER(A399)&amp;"|"&amp;UPPER(B399),'Blackout Brand Fam Areas (Enc)'!$G$6:$G$998,0)),"No Match")</f>
        <v>No Match</v>
      </c>
      <c r="F399" s="2" t="str">
        <f t="shared" si="12"/>
        <v>US</v>
      </c>
      <c r="G399" s="2" t="str">
        <f t="shared" si="13"/>
        <v>George Killian's|MORRIS 1</v>
      </c>
    </row>
    <row r="400" spans="1:7" x14ac:dyDescent="0.2">
      <c r="A400" s="2" t="str" cm="1">
        <f t="array" ref="A400">INDEX('[1]Brand Family Territory (Enc)'!$A$2:$A$296,INT((ROW()-2)/10)+1)</f>
        <v>George Killian's</v>
      </c>
      <c r="B400" s="2" t="str" cm="1">
        <f t="array" ref="B400">INDEX('Whitelist (Blackout Reverse)'!$B$1:$K$1,MOD(ROW()-2,10)+1)</f>
        <v>MORRIS 2</v>
      </c>
      <c r="C400" s="2" t="str">
        <f>VLOOKUP(A400,'[1]Brand Family Territory (Enc)'!$A$2:$B$296,2,FALSE)</f>
        <v>Core Market</v>
      </c>
      <c r="D400" s="2">
        <f>IF(COUNTIFS('[1]Brand Family Territories (Enc)'!$B$2:$B$62,C400,'[1]Brand Family Territories (Enc)'!$C$2:$C$62,B400)&gt;0,1,IF(AND(LEFT(B400,6)="MORRIS",COUNTIFS('[1]Brand Family Territories (Enc)'!$B$2:$B$62,C400,'[1]Brand Family Territories (Enc)'!$C$2:$C$62,"Morri")&gt;0),"Unk",0))</f>
        <v>0</v>
      </c>
      <c r="E400" s="2" t="str">
        <f>IFERROR(INDEX('Blackout Brand Fam Areas (Enc)'!$D$6:$D$998,MATCH(UPPER(A400)&amp;"|"&amp;UPPER(B400),'Blackout Brand Fam Areas (Enc)'!$G$6:$G$998,0)),"No Match")</f>
        <v>Inactive</v>
      </c>
      <c r="F400" s="2" t="str">
        <f t="shared" si="12"/>
        <v>THEM</v>
      </c>
      <c r="G400" s="2" t="str">
        <f t="shared" si="13"/>
        <v>George Killian's|MORRIS 2</v>
      </c>
    </row>
    <row r="401" spans="1:7" x14ac:dyDescent="0.2">
      <c r="A401" s="2" t="str" cm="1">
        <f t="array" ref="A401">INDEX('[1]Brand Family Territory (Enc)'!$A$2:$A$296,INT((ROW()-2)/10)+1)</f>
        <v>George Killian's</v>
      </c>
      <c r="B401" s="2" t="str" cm="1">
        <f t="array" ref="B401">INDEX('Whitelist (Blackout Reverse)'!$B$1:$K$1,MOD(ROW()-2,10)+1)</f>
        <v>MORRIS 3</v>
      </c>
      <c r="C401" s="2" t="str">
        <f>VLOOKUP(A401,'[1]Brand Family Territory (Enc)'!$A$2:$B$296,2,FALSE)</f>
        <v>Core Market</v>
      </c>
      <c r="D401" s="2">
        <f>IF(COUNTIFS('[1]Brand Family Territories (Enc)'!$B$2:$B$62,C401,'[1]Brand Family Territories (Enc)'!$C$2:$C$62,B401)&gt;0,1,IF(AND(LEFT(B401,6)="MORRIS",COUNTIFS('[1]Brand Family Territories (Enc)'!$B$2:$B$62,C401,'[1]Brand Family Territories (Enc)'!$C$2:$C$62,"Morri")&gt;0),"Unk",0))</f>
        <v>1</v>
      </c>
      <c r="E401" s="2" t="str">
        <f>IFERROR(INDEX('Blackout Brand Fam Areas (Enc)'!$D$6:$D$998,MATCH(UPPER(A401)&amp;"|"&amp;UPPER(B401),'Blackout Brand Fam Areas (Enc)'!$G$6:$G$998,0)),"No Match")</f>
        <v>No Match</v>
      </c>
      <c r="F401" s="2" t="str">
        <f t="shared" si="12"/>
        <v>US</v>
      </c>
      <c r="G401" s="2" t="str">
        <f t="shared" si="13"/>
        <v>George Killian's|MORRIS 3</v>
      </c>
    </row>
    <row r="402" spans="1:7" x14ac:dyDescent="0.2">
      <c r="A402" s="2" t="str" cm="1">
        <f t="array" ref="A402">INDEX('[1]Brand Family Territory (Enc)'!$A$2:$A$296,INT((ROW()-2)/10)+1)</f>
        <v>Kirin Ichiban</v>
      </c>
      <c r="B402" s="2" t="str" cm="1">
        <f t="array" ref="B402">INDEX('Whitelist (Blackout Reverse)'!$B$1:$K$1,MOD(ROW()-2,10)+1)</f>
        <v>BERGEN</v>
      </c>
      <c r="C402" s="2" t="str">
        <f>VLOOKUP(A402,'[1]Brand Family Territory (Enc)'!$A$2:$B$296,2,FALSE)</f>
        <v>Core Market</v>
      </c>
      <c r="D402" s="2">
        <f>IF(COUNTIFS('[1]Brand Family Territories (Enc)'!$B$2:$B$62,C402,'[1]Brand Family Territories (Enc)'!$C$2:$C$62,B402)&gt;0,1,IF(AND(LEFT(B402,6)="MORRIS",COUNTIFS('[1]Brand Family Territories (Enc)'!$B$2:$B$62,C402,'[1]Brand Family Territories (Enc)'!$C$2:$C$62,"Morri")&gt;0),"Unk",0))</f>
        <v>1</v>
      </c>
      <c r="E402" s="2" t="str">
        <f>IFERROR(INDEX('Blackout Brand Fam Areas (Enc)'!$D$6:$D$998,MATCH(UPPER(A402)&amp;"|"&amp;UPPER(B402),'Blackout Brand Fam Areas (Enc)'!$G$6:$G$998,0)),"No Match")</f>
        <v>No Match</v>
      </c>
      <c r="F402" s="2" t="str">
        <f t="shared" si="12"/>
        <v>US</v>
      </c>
      <c r="G402" s="2" t="str">
        <f t="shared" si="13"/>
        <v>Kirin Ichiban|BERGEN</v>
      </c>
    </row>
    <row r="403" spans="1:7" x14ac:dyDescent="0.2">
      <c r="A403" s="2" t="str" cm="1">
        <f t="array" ref="A403">INDEX('[1]Brand Family Territory (Enc)'!$A$2:$A$296,INT((ROW()-2)/10)+1)</f>
        <v>Kirin Ichiban</v>
      </c>
      <c r="B403" s="2" t="str" cm="1">
        <f t="array" ref="B403">INDEX('Whitelist (Blackout Reverse)'!$B$1:$K$1,MOD(ROW()-2,10)+1)</f>
        <v>PASSAIC</v>
      </c>
      <c r="C403" s="2" t="str">
        <f>VLOOKUP(A403,'[1]Brand Family Territory (Enc)'!$A$2:$B$296,2,FALSE)</f>
        <v>Core Market</v>
      </c>
      <c r="D403" s="2">
        <f>IF(COUNTIFS('[1]Brand Family Territories (Enc)'!$B$2:$B$62,C403,'[1]Brand Family Territories (Enc)'!$C$2:$C$62,B403)&gt;0,1,IF(AND(LEFT(B403,6)="MORRIS",COUNTIFS('[1]Brand Family Territories (Enc)'!$B$2:$B$62,C403,'[1]Brand Family Territories (Enc)'!$C$2:$C$62,"Morri")&gt;0),"Unk",0))</f>
        <v>1</v>
      </c>
      <c r="E403" s="2" t="str">
        <f>IFERROR(INDEX('Blackout Brand Fam Areas (Enc)'!$D$6:$D$998,MATCH(UPPER(A403)&amp;"|"&amp;UPPER(B403),'Blackout Brand Fam Areas (Enc)'!$G$6:$G$998,0)),"No Match")</f>
        <v>No Match</v>
      </c>
      <c r="F403" s="2" t="str">
        <f t="shared" si="12"/>
        <v>US</v>
      </c>
      <c r="G403" s="2" t="str">
        <f t="shared" si="13"/>
        <v>Kirin Ichiban|PASSAIC</v>
      </c>
    </row>
    <row r="404" spans="1:7" x14ac:dyDescent="0.2">
      <c r="A404" s="2" t="str" cm="1">
        <f t="array" ref="A404">INDEX('[1]Brand Family Territory (Enc)'!$A$2:$A$296,INT((ROW()-2)/10)+1)</f>
        <v>Kirin Ichiban</v>
      </c>
      <c r="B404" s="2" t="str" cm="1">
        <f t="array" ref="B404">INDEX('Whitelist (Blackout Reverse)'!$B$1:$K$1,MOD(ROW()-2,10)+1)</f>
        <v>PASSAIC-FF</v>
      </c>
      <c r="C404" s="2" t="str">
        <f>VLOOKUP(A404,'[1]Brand Family Territory (Enc)'!$A$2:$B$296,2,FALSE)</f>
        <v>Core Market</v>
      </c>
      <c r="D404" s="2">
        <f>IF(COUNTIFS('[1]Brand Family Territories (Enc)'!$B$2:$B$62,C404,'[1]Brand Family Territories (Enc)'!$C$2:$C$62,B404)&gt;0,1,IF(AND(LEFT(B404,6)="MORRIS",COUNTIFS('[1]Brand Family Territories (Enc)'!$B$2:$B$62,C404,'[1]Brand Family Territories (Enc)'!$C$2:$C$62,"Morri")&gt;0),"Unk",0))</f>
        <v>1</v>
      </c>
      <c r="E404" s="2" t="str">
        <f>IFERROR(INDEX('Blackout Brand Fam Areas (Enc)'!$D$6:$D$998,MATCH(UPPER(A404)&amp;"|"&amp;UPPER(B404),'Blackout Brand Fam Areas (Enc)'!$G$6:$G$998,0)),"No Match")</f>
        <v>No Match</v>
      </c>
      <c r="F404" s="2" t="str">
        <f t="shared" si="12"/>
        <v>US</v>
      </c>
      <c r="G404" s="2" t="str">
        <f t="shared" si="13"/>
        <v>Kirin Ichiban|PASSAIC-FF</v>
      </c>
    </row>
    <row r="405" spans="1:7" x14ac:dyDescent="0.2">
      <c r="A405" s="2" t="str" cm="1">
        <f t="array" ref="A405">INDEX('[1]Brand Family Territory (Enc)'!$A$2:$A$296,INT((ROW()-2)/10)+1)</f>
        <v>Kirin Ichiban</v>
      </c>
      <c r="B405" s="2" t="str" cm="1">
        <f t="array" ref="B405">INDEX('Whitelist (Blackout Reverse)'!$B$1:$K$1,MOD(ROW()-2,10)+1)</f>
        <v>ESSEX</v>
      </c>
      <c r="C405" s="2" t="str">
        <f>VLOOKUP(A405,'[1]Brand Family Territory (Enc)'!$A$2:$B$296,2,FALSE)</f>
        <v>Core Market</v>
      </c>
      <c r="D405" s="2">
        <f>IF(COUNTIFS('[1]Brand Family Territories (Enc)'!$B$2:$B$62,C405,'[1]Brand Family Territories (Enc)'!$C$2:$C$62,B405)&gt;0,1,IF(AND(LEFT(B405,6)="MORRIS",COUNTIFS('[1]Brand Family Territories (Enc)'!$B$2:$B$62,C405,'[1]Brand Family Territories (Enc)'!$C$2:$C$62,"Morri")&gt;0),"Unk",0))</f>
        <v>0</v>
      </c>
      <c r="E405" s="2" t="str">
        <f>IFERROR(INDEX('Blackout Brand Fam Areas (Enc)'!$D$6:$D$998,MATCH(UPPER(A405)&amp;"|"&amp;UPPER(B405),'Blackout Brand Fam Areas (Enc)'!$G$6:$G$998,0)),"No Match")</f>
        <v>Inactive</v>
      </c>
      <c r="F405" s="2" t="str">
        <f t="shared" si="12"/>
        <v>THEM</v>
      </c>
      <c r="G405" s="2" t="str">
        <f t="shared" si="13"/>
        <v>Kirin Ichiban|ESSEX</v>
      </c>
    </row>
    <row r="406" spans="1:7" x14ac:dyDescent="0.2">
      <c r="A406" s="2" t="str" cm="1">
        <f t="array" ref="A406">INDEX('[1]Brand Family Territory (Enc)'!$A$2:$A$296,INT((ROW()-2)/10)+1)</f>
        <v>Kirin Ichiban</v>
      </c>
      <c r="B406" s="2" t="str" cm="1">
        <f t="array" ref="B406">INDEX('Whitelist (Blackout Reverse)'!$B$1:$K$1,MOD(ROW()-2,10)+1)</f>
        <v>HUDSON</v>
      </c>
      <c r="C406" s="2" t="str">
        <f>VLOOKUP(A406,'[1]Brand Family Territory (Enc)'!$A$2:$B$296,2,FALSE)</f>
        <v>Core Market</v>
      </c>
      <c r="D406" s="2">
        <f>IF(COUNTIFS('[1]Brand Family Territories (Enc)'!$B$2:$B$62,C406,'[1]Brand Family Territories (Enc)'!$C$2:$C$62,B406)&gt;0,1,IF(AND(LEFT(B406,6)="MORRIS",COUNTIFS('[1]Brand Family Territories (Enc)'!$B$2:$B$62,C406,'[1]Brand Family Territories (Enc)'!$C$2:$C$62,"Morri")&gt;0),"Unk",0))</f>
        <v>0</v>
      </c>
      <c r="E406" s="2" t="str">
        <f>IFERROR(INDEX('Blackout Brand Fam Areas (Enc)'!$D$6:$D$998,MATCH(UPPER(A406)&amp;"|"&amp;UPPER(B406),'Blackout Brand Fam Areas (Enc)'!$G$6:$G$998,0)),"No Match")</f>
        <v>Inactive</v>
      </c>
      <c r="F406" s="2" t="str">
        <f t="shared" si="12"/>
        <v>THEM</v>
      </c>
      <c r="G406" s="2" t="str">
        <f t="shared" si="13"/>
        <v>Kirin Ichiban|HUDSON</v>
      </c>
    </row>
    <row r="407" spans="1:7" x14ac:dyDescent="0.2">
      <c r="A407" s="2" t="str" cm="1">
        <f t="array" ref="A407">INDEX('[1]Brand Family Territory (Enc)'!$A$2:$A$296,INT((ROW()-2)/10)+1)</f>
        <v>Kirin Ichiban</v>
      </c>
      <c r="B407" s="2" t="str" cm="1">
        <f t="array" ref="B407">INDEX('Whitelist (Blackout Reverse)'!$B$1:$K$1,MOD(ROW()-2,10)+1)</f>
        <v>UNION</v>
      </c>
      <c r="C407" s="2" t="str">
        <f>VLOOKUP(A407,'[1]Brand Family Territory (Enc)'!$A$2:$B$296,2,FALSE)</f>
        <v>Core Market</v>
      </c>
      <c r="D407" s="2">
        <f>IF(COUNTIFS('[1]Brand Family Territories (Enc)'!$B$2:$B$62,C407,'[1]Brand Family Territories (Enc)'!$C$2:$C$62,B407)&gt;0,1,IF(AND(LEFT(B407,6)="MORRIS",COUNTIFS('[1]Brand Family Territories (Enc)'!$B$2:$B$62,C407,'[1]Brand Family Territories (Enc)'!$C$2:$C$62,"Morri")&gt;0),"Unk",0))</f>
        <v>0</v>
      </c>
      <c r="E407" s="2" t="str">
        <f>IFERROR(INDEX('Blackout Brand Fam Areas (Enc)'!$D$6:$D$998,MATCH(UPPER(A407)&amp;"|"&amp;UPPER(B407),'Blackout Brand Fam Areas (Enc)'!$G$6:$G$998,0)),"No Match")</f>
        <v>Inactive</v>
      </c>
      <c r="F407" s="2" t="str">
        <f t="shared" si="12"/>
        <v>THEM</v>
      </c>
      <c r="G407" s="2" t="str">
        <f t="shared" si="13"/>
        <v>Kirin Ichiban|UNION</v>
      </c>
    </row>
    <row r="408" spans="1:7" x14ac:dyDescent="0.2">
      <c r="A408" s="2" t="str" cm="1">
        <f t="array" ref="A408">INDEX('[1]Brand Family Territory (Enc)'!$A$2:$A$296,INT((ROW()-2)/10)+1)</f>
        <v>Kirin Ichiban</v>
      </c>
      <c r="B408" s="2" t="str" cm="1">
        <f t="array" ref="B408">INDEX('Whitelist (Blackout Reverse)'!$B$1:$K$1,MOD(ROW()-2,10)+1)</f>
        <v>SUSSEX</v>
      </c>
      <c r="C408" s="2" t="str">
        <f>VLOOKUP(A408,'[1]Brand Family Territory (Enc)'!$A$2:$B$296,2,FALSE)</f>
        <v>Core Market</v>
      </c>
      <c r="D408" s="2">
        <f>IF(COUNTIFS('[1]Brand Family Territories (Enc)'!$B$2:$B$62,C408,'[1]Brand Family Territories (Enc)'!$C$2:$C$62,B408)&gt;0,1,IF(AND(LEFT(B408,6)="MORRIS",COUNTIFS('[1]Brand Family Territories (Enc)'!$B$2:$B$62,C408,'[1]Brand Family Territories (Enc)'!$C$2:$C$62,"Morri")&gt;0),"Unk",0))</f>
        <v>1</v>
      </c>
      <c r="E408" s="2" t="str">
        <f>IFERROR(INDEX('Blackout Brand Fam Areas (Enc)'!$D$6:$D$998,MATCH(UPPER(A408)&amp;"|"&amp;UPPER(B408),'Blackout Brand Fam Areas (Enc)'!$G$6:$G$998,0)),"No Match")</f>
        <v>No Match</v>
      </c>
      <c r="F408" s="2" t="str">
        <f t="shared" si="12"/>
        <v>US</v>
      </c>
      <c r="G408" s="2" t="str">
        <f t="shared" si="13"/>
        <v>Kirin Ichiban|SUSSEX</v>
      </c>
    </row>
    <row r="409" spans="1:7" x14ac:dyDescent="0.2">
      <c r="A409" s="2" t="str" cm="1">
        <f t="array" ref="A409">INDEX('[1]Brand Family Territory (Enc)'!$A$2:$A$296,INT((ROW()-2)/10)+1)</f>
        <v>Kirin Ichiban</v>
      </c>
      <c r="B409" s="2" t="str" cm="1">
        <f t="array" ref="B409">INDEX('Whitelist (Blackout Reverse)'!$B$1:$K$1,MOD(ROW()-2,10)+1)</f>
        <v>MORRIS 1</v>
      </c>
      <c r="C409" s="2" t="str">
        <f>VLOOKUP(A409,'[1]Brand Family Territory (Enc)'!$A$2:$B$296,2,FALSE)</f>
        <v>Core Market</v>
      </c>
      <c r="D409" s="2">
        <f>IF(COUNTIFS('[1]Brand Family Territories (Enc)'!$B$2:$B$62,C409,'[1]Brand Family Territories (Enc)'!$C$2:$C$62,B409)&gt;0,1,IF(AND(LEFT(B409,6)="MORRIS",COUNTIFS('[1]Brand Family Territories (Enc)'!$B$2:$B$62,C409,'[1]Brand Family Territories (Enc)'!$C$2:$C$62,"Morri")&gt;0),"Unk",0))</f>
        <v>1</v>
      </c>
      <c r="E409" s="2" t="str">
        <f>IFERROR(INDEX('Blackout Brand Fam Areas (Enc)'!$D$6:$D$998,MATCH(UPPER(A409)&amp;"|"&amp;UPPER(B409),'Blackout Brand Fam Areas (Enc)'!$G$6:$G$998,0)),"No Match")</f>
        <v>No Match</v>
      </c>
      <c r="F409" s="2" t="str">
        <f t="shared" si="12"/>
        <v>US</v>
      </c>
      <c r="G409" s="2" t="str">
        <f t="shared" si="13"/>
        <v>Kirin Ichiban|MORRIS 1</v>
      </c>
    </row>
    <row r="410" spans="1:7" x14ac:dyDescent="0.2">
      <c r="A410" s="2" t="str" cm="1">
        <f t="array" ref="A410">INDEX('[1]Brand Family Territory (Enc)'!$A$2:$A$296,INT((ROW()-2)/10)+1)</f>
        <v>Kirin Ichiban</v>
      </c>
      <c r="B410" s="2" t="str" cm="1">
        <f t="array" ref="B410">INDEX('Whitelist (Blackout Reverse)'!$B$1:$K$1,MOD(ROW()-2,10)+1)</f>
        <v>MORRIS 2</v>
      </c>
      <c r="C410" s="2" t="str">
        <f>VLOOKUP(A410,'[1]Brand Family Territory (Enc)'!$A$2:$B$296,2,FALSE)</f>
        <v>Core Market</v>
      </c>
      <c r="D410" s="2">
        <f>IF(COUNTIFS('[1]Brand Family Territories (Enc)'!$B$2:$B$62,C410,'[1]Brand Family Territories (Enc)'!$C$2:$C$62,B410)&gt;0,1,IF(AND(LEFT(B410,6)="MORRIS",COUNTIFS('[1]Brand Family Territories (Enc)'!$B$2:$B$62,C410,'[1]Brand Family Territories (Enc)'!$C$2:$C$62,"Morri")&gt;0),"Unk",0))</f>
        <v>0</v>
      </c>
      <c r="E410" s="2" t="str">
        <f>IFERROR(INDEX('Blackout Brand Fam Areas (Enc)'!$D$6:$D$998,MATCH(UPPER(A410)&amp;"|"&amp;UPPER(B410),'Blackout Brand Fam Areas (Enc)'!$G$6:$G$998,0)),"No Match")</f>
        <v>Inactive</v>
      </c>
      <c r="F410" s="2" t="str">
        <f t="shared" si="12"/>
        <v>THEM</v>
      </c>
      <c r="G410" s="2" t="str">
        <f t="shared" si="13"/>
        <v>Kirin Ichiban|MORRIS 2</v>
      </c>
    </row>
    <row r="411" spans="1:7" x14ac:dyDescent="0.2">
      <c r="A411" s="2" t="str" cm="1">
        <f t="array" ref="A411">INDEX('[1]Brand Family Territory (Enc)'!$A$2:$A$296,INT((ROW()-2)/10)+1)</f>
        <v>Kirin Ichiban</v>
      </c>
      <c r="B411" s="2" t="str" cm="1">
        <f t="array" ref="B411">INDEX('Whitelist (Blackout Reverse)'!$B$1:$K$1,MOD(ROW()-2,10)+1)</f>
        <v>MORRIS 3</v>
      </c>
      <c r="C411" s="2" t="str">
        <f>VLOOKUP(A411,'[1]Brand Family Territory (Enc)'!$A$2:$B$296,2,FALSE)</f>
        <v>Core Market</v>
      </c>
      <c r="D411" s="2">
        <f>IF(COUNTIFS('[1]Brand Family Territories (Enc)'!$B$2:$B$62,C411,'[1]Brand Family Territories (Enc)'!$C$2:$C$62,B411)&gt;0,1,IF(AND(LEFT(B411,6)="MORRIS",COUNTIFS('[1]Brand Family Territories (Enc)'!$B$2:$B$62,C411,'[1]Brand Family Territories (Enc)'!$C$2:$C$62,"Morri")&gt;0),"Unk",0))</f>
        <v>1</v>
      </c>
      <c r="E411" s="2" t="str">
        <f>IFERROR(INDEX('Blackout Brand Fam Areas (Enc)'!$D$6:$D$998,MATCH(UPPER(A411)&amp;"|"&amp;UPPER(B411),'Blackout Brand Fam Areas (Enc)'!$G$6:$G$998,0)),"No Match")</f>
        <v>No Match</v>
      </c>
      <c r="F411" s="2" t="str">
        <f t="shared" si="12"/>
        <v>US</v>
      </c>
      <c r="G411" s="2" t="str">
        <f t="shared" si="13"/>
        <v>Kirin Ichiban|MORRIS 3</v>
      </c>
    </row>
    <row r="412" spans="1:7" x14ac:dyDescent="0.2">
      <c r="A412" s="2" t="str" cm="1">
        <f t="array" ref="A412">INDEX('[1]Brand Family Territory (Enc)'!$A$2:$A$296,INT((ROW()-2)/10)+1)</f>
        <v>Kirin Light</v>
      </c>
      <c r="B412" s="2" t="str" cm="1">
        <f t="array" ref="B412">INDEX('Whitelist (Blackout Reverse)'!$B$1:$K$1,MOD(ROW()-2,10)+1)</f>
        <v>BERGEN</v>
      </c>
      <c r="C412" s="2" t="str">
        <f>VLOOKUP(A412,'[1]Brand Family Territory (Enc)'!$A$2:$B$296,2,FALSE)</f>
        <v>Core Market</v>
      </c>
      <c r="D412" s="2">
        <f>IF(COUNTIFS('[1]Brand Family Territories (Enc)'!$B$2:$B$62,C412,'[1]Brand Family Territories (Enc)'!$C$2:$C$62,B412)&gt;0,1,IF(AND(LEFT(B412,6)="MORRIS",COUNTIFS('[1]Brand Family Territories (Enc)'!$B$2:$B$62,C412,'[1]Brand Family Territories (Enc)'!$C$2:$C$62,"Morri")&gt;0),"Unk",0))</f>
        <v>1</v>
      </c>
      <c r="E412" s="2" t="str">
        <f>IFERROR(INDEX('Blackout Brand Fam Areas (Enc)'!$D$6:$D$998,MATCH(UPPER(A412)&amp;"|"&amp;UPPER(B412),'Blackout Brand Fam Areas (Enc)'!$G$6:$G$998,0)),"No Match")</f>
        <v>No Match</v>
      </c>
      <c r="F412" s="2" t="str">
        <f t="shared" si="12"/>
        <v>US</v>
      </c>
      <c r="G412" s="2" t="str">
        <f t="shared" si="13"/>
        <v>Kirin Light|BERGEN</v>
      </c>
    </row>
    <row r="413" spans="1:7" x14ac:dyDescent="0.2">
      <c r="A413" s="2" t="str" cm="1">
        <f t="array" ref="A413">INDEX('[1]Brand Family Territory (Enc)'!$A$2:$A$296,INT((ROW()-2)/10)+1)</f>
        <v>Kirin Light</v>
      </c>
      <c r="B413" s="2" t="str" cm="1">
        <f t="array" ref="B413">INDEX('Whitelist (Blackout Reverse)'!$B$1:$K$1,MOD(ROW()-2,10)+1)</f>
        <v>PASSAIC</v>
      </c>
      <c r="C413" s="2" t="str">
        <f>VLOOKUP(A413,'[1]Brand Family Territory (Enc)'!$A$2:$B$296,2,FALSE)</f>
        <v>Core Market</v>
      </c>
      <c r="D413" s="2">
        <f>IF(COUNTIFS('[1]Brand Family Territories (Enc)'!$B$2:$B$62,C413,'[1]Brand Family Territories (Enc)'!$C$2:$C$62,B413)&gt;0,1,IF(AND(LEFT(B413,6)="MORRIS",COUNTIFS('[1]Brand Family Territories (Enc)'!$B$2:$B$62,C413,'[1]Brand Family Territories (Enc)'!$C$2:$C$62,"Morri")&gt;0),"Unk",0))</f>
        <v>1</v>
      </c>
      <c r="E413" s="2" t="str">
        <f>IFERROR(INDEX('Blackout Brand Fam Areas (Enc)'!$D$6:$D$998,MATCH(UPPER(A413)&amp;"|"&amp;UPPER(B413),'Blackout Brand Fam Areas (Enc)'!$G$6:$G$998,0)),"No Match")</f>
        <v>No Match</v>
      </c>
      <c r="F413" s="2" t="str">
        <f t="shared" si="12"/>
        <v>US</v>
      </c>
      <c r="G413" s="2" t="str">
        <f t="shared" si="13"/>
        <v>Kirin Light|PASSAIC</v>
      </c>
    </row>
    <row r="414" spans="1:7" x14ac:dyDescent="0.2">
      <c r="A414" s="2" t="str" cm="1">
        <f t="array" ref="A414">INDEX('[1]Brand Family Territory (Enc)'!$A$2:$A$296,INT((ROW()-2)/10)+1)</f>
        <v>Kirin Light</v>
      </c>
      <c r="B414" s="2" t="str" cm="1">
        <f t="array" ref="B414">INDEX('Whitelist (Blackout Reverse)'!$B$1:$K$1,MOD(ROW()-2,10)+1)</f>
        <v>PASSAIC-FF</v>
      </c>
      <c r="C414" s="2" t="str">
        <f>VLOOKUP(A414,'[1]Brand Family Territory (Enc)'!$A$2:$B$296,2,FALSE)</f>
        <v>Core Market</v>
      </c>
      <c r="D414" s="2">
        <f>IF(COUNTIFS('[1]Brand Family Territories (Enc)'!$B$2:$B$62,C414,'[1]Brand Family Territories (Enc)'!$C$2:$C$62,B414)&gt;0,1,IF(AND(LEFT(B414,6)="MORRIS",COUNTIFS('[1]Brand Family Territories (Enc)'!$B$2:$B$62,C414,'[1]Brand Family Territories (Enc)'!$C$2:$C$62,"Morri")&gt;0),"Unk",0))</f>
        <v>1</v>
      </c>
      <c r="E414" s="2" t="str">
        <f>IFERROR(INDEX('Blackout Brand Fam Areas (Enc)'!$D$6:$D$998,MATCH(UPPER(A414)&amp;"|"&amp;UPPER(B414),'Blackout Brand Fam Areas (Enc)'!$G$6:$G$998,0)),"No Match")</f>
        <v>No Match</v>
      </c>
      <c r="F414" s="2" t="str">
        <f t="shared" si="12"/>
        <v>US</v>
      </c>
      <c r="G414" s="2" t="str">
        <f t="shared" si="13"/>
        <v>Kirin Light|PASSAIC-FF</v>
      </c>
    </row>
    <row r="415" spans="1:7" x14ac:dyDescent="0.2">
      <c r="A415" s="2" t="str" cm="1">
        <f t="array" ref="A415">INDEX('[1]Brand Family Territory (Enc)'!$A$2:$A$296,INT((ROW()-2)/10)+1)</f>
        <v>Kirin Light</v>
      </c>
      <c r="B415" s="2" t="str" cm="1">
        <f t="array" ref="B415">INDEX('Whitelist (Blackout Reverse)'!$B$1:$K$1,MOD(ROW()-2,10)+1)</f>
        <v>ESSEX</v>
      </c>
      <c r="C415" s="2" t="str">
        <f>VLOOKUP(A415,'[1]Brand Family Territory (Enc)'!$A$2:$B$296,2,FALSE)</f>
        <v>Core Market</v>
      </c>
      <c r="D415" s="2">
        <f>IF(COUNTIFS('[1]Brand Family Territories (Enc)'!$B$2:$B$62,C415,'[1]Brand Family Territories (Enc)'!$C$2:$C$62,B415)&gt;0,1,IF(AND(LEFT(B415,6)="MORRIS",COUNTIFS('[1]Brand Family Territories (Enc)'!$B$2:$B$62,C415,'[1]Brand Family Territories (Enc)'!$C$2:$C$62,"Morri")&gt;0),"Unk",0))</f>
        <v>0</v>
      </c>
      <c r="E415" s="2" t="str">
        <f>IFERROR(INDEX('Blackout Brand Fam Areas (Enc)'!$D$6:$D$998,MATCH(UPPER(A415)&amp;"|"&amp;UPPER(B415),'Blackout Brand Fam Areas (Enc)'!$G$6:$G$998,0)),"No Match")</f>
        <v>Inactive</v>
      </c>
      <c r="F415" s="2" t="str">
        <f t="shared" si="12"/>
        <v>THEM</v>
      </c>
      <c r="G415" s="2" t="str">
        <f t="shared" si="13"/>
        <v>Kirin Light|ESSEX</v>
      </c>
    </row>
    <row r="416" spans="1:7" x14ac:dyDescent="0.2">
      <c r="A416" s="2" t="str" cm="1">
        <f t="array" ref="A416">INDEX('[1]Brand Family Territory (Enc)'!$A$2:$A$296,INT((ROW()-2)/10)+1)</f>
        <v>Kirin Light</v>
      </c>
      <c r="B416" s="2" t="str" cm="1">
        <f t="array" ref="B416">INDEX('Whitelist (Blackout Reverse)'!$B$1:$K$1,MOD(ROW()-2,10)+1)</f>
        <v>HUDSON</v>
      </c>
      <c r="C416" s="2" t="str">
        <f>VLOOKUP(A416,'[1]Brand Family Territory (Enc)'!$A$2:$B$296,2,FALSE)</f>
        <v>Core Market</v>
      </c>
      <c r="D416" s="2">
        <f>IF(COUNTIFS('[1]Brand Family Territories (Enc)'!$B$2:$B$62,C416,'[1]Brand Family Territories (Enc)'!$C$2:$C$62,B416)&gt;0,1,IF(AND(LEFT(B416,6)="MORRIS",COUNTIFS('[1]Brand Family Territories (Enc)'!$B$2:$B$62,C416,'[1]Brand Family Territories (Enc)'!$C$2:$C$62,"Morri")&gt;0),"Unk",0))</f>
        <v>0</v>
      </c>
      <c r="E416" s="2" t="str">
        <f>IFERROR(INDEX('Blackout Brand Fam Areas (Enc)'!$D$6:$D$998,MATCH(UPPER(A416)&amp;"|"&amp;UPPER(B416),'Blackout Brand Fam Areas (Enc)'!$G$6:$G$998,0)),"No Match")</f>
        <v>Inactive</v>
      </c>
      <c r="F416" s="2" t="str">
        <f t="shared" si="12"/>
        <v>THEM</v>
      </c>
      <c r="G416" s="2" t="str">
        <f t="shared" si="13"/>
        <v>Kirin Light|HUDSON</v>
      </c>
    </row>
    <row r="417" spans="1:7" x14ac:dyDescent="0.2">
      <c r="A417" s="2" t="str" cm="1">
        <f t="array" ref="A417">INDEX('[1]Brand Family Territory (Enc)'!$A$2:$A$296,INT((ROW()-2)/10)+1)</f>
        <v>Kirin Light</v>
      </c>
      <c r="B417" s="2" t="str" cm="1">
        <f t="array" ref="B417">INDEX('Whitelist (Blackout Reverse)'!$B$1:$K$1,MOD(ROW()-2,10)+1)</f>
        <v>UNION</v>
      </c>
      <c r="C417" s="2" t="str">
        <f>VLOOKUP(A417,'[1]Brand Family Territory (Enc)'!$A$2:$B$296,2,FALSE)</f>
        <v>Core Market</v>
      </c>
      <c r="D417" s="2">
        <f>IF(COUNTIFS('[1]Brand Family Territories (Enc)'!$B$2:$B$62,C417,'[1]Brand Family Territories (Enc)'!$C$2:$C$62,B417)&gt;0,1,IF(AND(LEFT(B417,6)="MORRIS",COUNTIFS('[1]Brand Family Territories (Enc)'!$B$2:$B$62,C417,'[1]Brand Family Territories (Enc)'!$C$2:$C$62,"Morri")&gt;0),"Unk",0))</f>
        <v>0</v>
      </c>
      <c r="E417" s="2" t="str">
        <f>IFERROR(INDEX('Blackout Brand Fam Areas (Enc)'!$D$6:$D$998,MATCH(UPPER(A417)&amp;"|"&amp;UPPER(B417),'Blackout Brand Fam Areas (Enc)'!$G$6:$G$998,0)),"No Match")</f>
        <v>Inactive</v>
      </c>
      <c r="F417" s="2" t="str">
        <f t="shared" si="12"/>
        <v>THEM</v>
      </c>
      <c r="G417" s="2" t="str">
        <f t="shared" si="13"/>
        <v>Kirin Light|UNION</v>
      </c>
    </row>
    <row r="418" spans="1:7" x14ac:dyDescent="0.2">
      <c r="A418" s="2" t="str" cm="1">
        <f t="array" ref="A418">INDEX('[1]Brand Family Territory (Enc)'!$A$2:$A$296,INT((ROW()-2)/10)+1)</f>
        <v>Kirin Light</v>
      </c>
      <c r="B418" s="2" t="str" cm="1">
        <f t="array" ref="B418">INDEX('Whitelist (Blackout Reverse)'!$B$1:$K$1,MOD(ROW()-2,10)+1)</f>
        <v>SUSSEX</v>
      </c>
      <c r="C418" s="2" t="str">
        <f>VLOOKUP(A418,'[1]Brand Family Territory (Enc)'!$A$2:$B$296,2,FALSE)</f>
        <v>Core Market</v>
      </c>
      <c r="D418" s="2">
        <f>IF(COUNTIFS('[1]Brand Family Territories (Enc)'!$B$2:$B$62,C418,'[1]Brand Family Territories (Enc)'!$C$2:$C$62,B418)&gt;0,1,IF(AND(LEFT(B418,6)="MORRIS",COUNTIFS('[1]Brand Family Territories (Enc)'!$B$2:$B$62,C418,'[1]Brand Family Territories (Enc)'!$C$2:$C$62,"Morri")&gt;0),"Unk",0))</f>
        <v>1</v>
      </c>
      <c r="E418" s="2" t="str">
        <f>IFERROR(INDEX('Blackout Brand Fam Areas (Enc)'!$D$6:$D$998,MATCH(UPPER(A418)&amp;"|"&amp;UPPER(B418),'Blackout Brand Fam Areas (Enc)'!$G$6:$G$998,0)),"No Match")</f>
        <v>No Match</v>
      </c>
      <c r="F418" s="2" t="str">
        <f t="shared" si="12"/>
        <v>US</v>
      </c>
      <c r="G418" s="2" t="str">
        <f t="shared" si="13"/>
        <v>Kirin Light|SUSSEX</v>
      </c>
    </row>
    <row r="419" spans="1:7" x14ac:dyDescent="0.2">
      <c r="A419" s="2" t="str" cm="1">
        <f t="array" ref="A419">INDEX('[1]Brand Family Territory (Enc)'!$A$2:$A$296,INT((ROW()-2)/10)+1)</f>
        <v>Kirin Light</v>
      </c>
      <c r="B419" s="2" t="str" cm="1">
        <f t="array" ref="B419">INDEX('Whitelist (Blackout Reverse)'!$B$1:$K$1,MOD(ROW()-2,10)+1)</f>
        <v>MORRIS 1</v>
      </c>
      <c r="C419" s="2" t="str">
        <f>VLOOKUP(A419,'[1]Brand Family Territory (Enc)'!$A$2:$B$296,2,FALSE)</f>
        <v>Core Market</v>
      </c>
      <c r="D419" s="2">
        <f>IF(COUNTIFS('[1]Brand Family Territories (Enc)'!$B$2:$B$62,C419,'[1]Brand Family Territories (Enc)'!$C$2:$C$62,B419)&gt;0,1,IF(AND(LEFT(B419,6)="MORRIS",COUNTIFS('[1]Brand Family Territories (Enc)'!$B$2:$B$62,C419,'[1]Brand Family Territories (Enc)'!$C$2:$C$62,"Morri")&gt;0),"Unk",0))</f>
        <v>1</v>
      </c>
      <c r="E419" s="2" t="str">
        <f>IFERROR(INDEX('Blackout Brand Fam Areas (Enc)'!$D$6:$D$998,MATCH(UPPER(A419)&amp;"|"&amp;UPPER(B419),'Blackout Brand Fam Areas (Enc)'!$G$6:$G$998,0)),"No Match")</f>
        <v>No Match</v>
      </c>
      <c r="F419" s="2" t="str">
        <f t="shared" si="12"/>
        <v>US</v>
      </c>
      <c r="G419" s="2" t="str">
        <f t="shared" si="13"/>
        <v>Kirin Light|MORRIS 1</v>
      </c>
    </row>
    <row r="420" spans="1:7" x14ac:dyDescent="0.2">
      <c r="A420" s="2" t="str" cm="1">
        <f t="array" ref="A420">INDEX('[1]Brand Family Territory (Enc)'!$A$2:$A$296,INT((ROW()-2)/10)+1)</f>
        <v>Kirin Light</v>
      </c>
      <c r="B420" s="2" t="str" cm="1">
        <f t="array" ref="B420">INDEX('Whitelist (Blackout Reverse)'!$B$1:$K$1,MOD(ROW()-2,10)+1)</f>
        <v>MORRIS 2</v>
      </c>
      <c r="C420" s="2" t="str">
        <f>VLOOKUP(A420,'[1]Brand Family Territory (Enc)'!$A$2:$B$296,2,FALSE)</f>
        <v>Core Market</v>
      </c>
      <c r="D420" s="2">
        <f>IF(COUNTIFS('[1]Brand Family Territories (Enc)'!$B$2:$B$62,C420,'[1]Brand Family Territories (Enc)'!$C$2:$C$62,B420)&gt;0,1,IF(AND(LEFT(B420,6)="MORRIS",COUNTIFS('[1]Brand Family Territories (Enc)'!$B$2:$B$62,C420,'[1]Brand Family Territories (Enc)'!$C$2:$C$62,"Morri")&gt;0),"Unk",0))</f>
        <v>0</v>
      </c>
      <c r="E420" s="2" t="str">
        <f>IFERROR(INDEX('Blackout Brand Fam Areas (Enc)'!$D$6:$D$998,MATCH(UPPER(A420)&amp;"|"&amp;UPPER(B420),'Blackout Brand Fam Areas (Enc)'!$G$6:$G$998,0)),"No Match")</f>
        <v>Inactive</v>
      </c>
      <c r="F420" s="2" t="str">
        <f t="shared" si="12"/>
        <v>THEM</v>
      </c>
      <c r="G420" s="2" t="str">
        <f t="shared" si="13"/>
        <v>Kirin Light|MORRIS 2</v>
      </c>
    </row>
    <row r="421" spans="1:7" x14ac:dyDescent="0.2">
      <c r="A421" s="2" t="str" cm="1">
        <f t="array" ref="A421">INDEX('[1]Brand Family Territory (Enc)'!$A$2:$A$296,INT((ROW()-2)/10)+1)</f>
        <v>Kirin Light</v>
      </c>
      <c r="B421" s="2" t="str" cm="1">
        <f t="array" ref="B421">INDEX('Whitelist (Blackout Reverse)'!$B$1:$K$1,MOD(ROW()-2,10)+1)</f>
        <v>MORRIS 3</v>
      </c>
      <c r="C421" s="2" t="str">
        <f>VLOOKUP(A421,'[1]Brand Family Territory (Enc)'!$A$2:$B$296,2,FALSE)</f>
        <v>Core Market</v>
      </c>
      <c r="D421" s="2">
        <f>IF(COUNTIFS('[1]Brand Family Territories (Enc)'!$B$2:$B$62,C421,'[1]Brand Family Territories (Enc)'!$C$2:$C$62,B421)&gt;0,1,IF(AND(LEFT(B421,6)="MORRIS",COUNTIFS('[1]Brand Family Territories (Enc)'!$B$2:$B$62,C421,'[1]Brand Family Territories (Enc)'!$C$2:$C$62,"Morri")&gt;0),"Unk",0))</f>
        <v>1</v>
      </c>
      <c r="E421" s="2" t="str">
        <f>IFERROR(INDEX('Blackout Brand Fam Areas (Enc)'!$D$6:$D$998,MATCH(UPPER(A421)&amp;"|"&amp;UPPER(B421),'Blackout Brand Fam Areas (Enc)'!$G$6:$G$998,0)),"No Match")</f>
        <v>No Match</v>
      </c>
      <c r="F421" s="2" t="str">
        <f t="shared" si="12"/>
        <v>US</v>
      </c>
      <c r="G421" s="2" t="str">
        <f t="shared" si="13"/>
        <v>Kirin Light|MORRIS 3</v>
      </c>
    </row>
    <row r="422" spans="1:7" x14ac:dyDescent="0.2">
      <c r="A422" s="2" t="str" cm="1">
        <f t="array" ref="A422">INDEX('[1]Brand Family Territory (Enc)'!$A$2:$A$296,INT((ROW()-2)/10)+1)</f>
        <v>Leinenkugel</v>
      </c>
      <c r="B422" s="2" t="str" cm="1">
        <f t="array" ref="B422">INDEX('Whitelist (Blackout Reverse)'!$B$1:$K$1,MOD(ROW()-2,10)+1)</f>
        <v>BERGEN</v>
      </c>
      <c r="C422" s="2" t="str">
        <f>VLOOKUP(A422,'[1]Brand Family Territory (Enc)'!$A$2:$B$296,2,FALSE)</f>
        <v>Core Market</v>
      </c>
      <c r="D422" s="2">
        <f>IF(COUNTIFS('[1]Brand Family Territories (Enc)'!$B$2:$B$62,C422,'[1]Brand Family Territories (Enc)'!$C$2:$C$62,B422)&gt;0,1,IF(AND(LEFT(B422,6)="MORRIS",COUNTIFS('[1]Brand Family Territories (Enc)'!$B$2:$B$62,C422,'[1]Brand Family Territories (Enc)'!$C$2:$C$62,"Morri")&gt;0),"Unk",0))</f>
        <v>1</v>
      </c>
      <c r="E422" s="2" t="str">
        <f>IFERROR(INDEX('Blackout Brand Fam Areas (Enc)'!$D$6:$D$998,MATCH(UPPER(A422)&amp;"|"&amp;UPPER(B422),'Blackout Brand Fam Areas (Enc)'!$G$6:$G$998,0)),"No Match")</f>
        <v>No Match</v>
      </c>
      <c r="F422" s="2" t="str">
        <f t="shared" si="12"/>
        <v>US</v>
      </c>
      <c r="G422" s="2" t="str">
        <f t="shared" si="13"/>
        <v>Leinenkugel|BERGEN</v>
      </c>
    </row>
    <row r="423" spans="1:7" x14ac:dyDescent="0.2">
      <c r="A423" s="2" t="str" cm="1">
        <f t="array" ref="A423">INDEX('[1]Brand Family Territory (Enc)'!$A$2:$A$296,INT((ROW()-2)/10)+1)</f>
        <v>Leinenkugel</v>
      </c>
      <c r="B423" s="2" t="str" cm="1">
        <f t="array" ref="B423">INDEX('Whitelist (Blackout Reverse)'!$B$1:$K$1,MOD(ROW()-2,10)+1)</f>
        <v>PASSAIC</v>
      </c>
      <c r="C423" s="2" t="str">
        <f>VLOOKUP(A423,'[1]Brand Family Territory (Enc)'!$A$2:$B$296,2,FALSE)</f>
        <v>Core Market</v>
      </c>
      <c r="D423" s="2">
        <f>IF(COUNTIFS('[1]Brand Family Territories (Enc)'!$B$2:$B$62,C423,'[1]Brand Family Territories (Enc)'!$C$2:$C$62,B423)&gt;0,1,IF(AND(LEFT(B423,6)="MORRIS",COUNTIFS('[1]Brand Family Territories (Enc)'!$B$2:$B$62,C423,'[1]Brand Family Territories (Enc)'!$C$2:$C$62,"Morri")&gt;0),"Unk",0))</f>
        <v>1</v>
      </c>
      <c r="E423" s="2" t="str">
        <f>IFERROR(INDEX('Blackout Brand Fam Areas (Enc)'!$D$6:$D$998,MATCH(UPPER(A423)&amp;"|"&amp;UPPER(B423),'Blackout Brand Fam Areas (Enc)'!$G$6:$G$998,0)),"No Match")</f>
        <v>No Match</v>
      </c>
      <c r="F423" s="2" t="str">
        <f t="shared" si="12"/>
        <v>US</v>
      </c>
      <c r="G423" s="2" t="str">
        <f t="shared" si="13"/>
        <v>Leinenkugel|PASSAIC</v>
      </c>
    </row>
    <row r="424" spans="1:7" x14ac:dyDescent="0.2">
      <c r="A424" s="2" t="str" cm="1">
        <f t="array" ref="A424">INDEX('[1]Brand Family Territory (Enc)'!$A$2:$A$296,INT((ROW()-2)/10)+1)</f>
        <v>Leinenkugel</v>
      </c>
      <c r="B424" s="2" t="str" cm="1">
        <f t="array" ref="B424">INDEX('Whitelist (Blackout Reverse)'!$B$1:$K$1,MOD(ROW()-2,10)+1)</f>
        <v>PASSAIC-FF</v>
      </c>
      <c r="C424" s="2" t="str">
        <f>VLOOKUP(A424,'[1]Brand Family Territory (Enc)'!$A$2:$B$296,2,FALSE)</f>
        <v>Core Market</v>
      </c>
      <c r="D424" s="2">
        <f>IF(COUNTIFS('[1]Brand Family Territories (Enc)'!$B$2:$B$62,C424,'[1]Brand Family Territories (Enc)'!$C$2:$C$62,B424)&gt;0,1,IF(AND(LEFT(B424,6)="MORRIS",COUNTIFS('[1]Brand Family Territories (Enc)'!$B$2:$B$62,C424,'[1]Brand Family Territories (Enc)'!$C$2:$C$62,"Morri")&gt;0),"Unk",0))</f>
        <v>1</v>
      </c>
      <c r="E424" s="2" t="str">
        <f>IFERROR(INDEX('Blackout Brand Fam Areas (Enc)'!$D$6:$D$998,MATCH(UPPER(A424)&amp;"|"&amp;UPPER(B424),'Blackout Brand Fam Areas (Enc)'!$G$6:$G$998,0)),"No Match")</f>
        <v>No Match</v>
      </c>
      <c r="F424" s="2" t="str">
        <f t="shared" si="12"/>
        <v>US</v>
      </c>
      <c r="G424" s="2" t="str">
        <f t="shared" si="13"/>
        <v>Leinenkugel|PASSAIC-FF</v>
      </c>
    </row>
    <row r="425" spans="1:7" x14ac:dyDescent="0.2">
      <c r="A425" s="2" t="str" cm="1">
        <f t="array" ref="A425">INDEX('[1]Brand Family Territory (Enc)'!$A$2:$A$296,INT((ROW()-2)/10)+1)</f>
        <v>Leinenkugel</v>
      </c>
      <c r="B425" s="2" t="str" cm="1">
        <f t="array" ref="B425">INDEX('Whitelist (Blackout Reverse)'!$B$1:$K$1,MOD(ROW()-2,10)+1)</f>
        <v>ESSEX</v>
      </c>
      <c r="C425" s="2" t="str">
        <f>VLOOKUP(A425,'[1]Brand Family Territory (Enc)'!$A$2:$B$296,2,FALSE)</f>
        <v>Core Market</v>
      </c>
      <c r="D425" s="2">
        <f>IF(COUNTIFS('[1]Brand Family Territories (Enc)'!$B$2:$B$62,C425,'[1]Brand Family Territories (Enc)'!$C$2:$C$62,B425)&gt;0,1,IF(AND(LEFT(B425,6)="MORRIS",COUNTIFS('[1]Brand Family Territories (Enc)'!$B$2:$B$62,C425,'[1]Brand Family Territories (Enc)'!$C$2:$C$62,"Morri")&gt;0),"Unk",0))</f>
        <v>0</v>
      </c>
      <c r="E425" s="2" t="str">
        <f>IFERROR(INDEX('Blackout Brand Fam Areas (Enc)'!$D$6:$D$998,MATCH(UPPER(A425)&amp;"|"&amp;UPPER(B425),'Blackout Brand Fam Areas (Enc)'!$G$6:$G$998,0)),"No Match")</f>
        <v>Inactive</v>
      </c>
      <c r="F425" s="2" t="str">
        <f t="shared" si="12"/>
        <v>THEM</v>
      </c>
      <c r="G425" s="2" t="str">
        <f t="shared" si="13"/>
        <v>Leinenkugel|ESSEX</v>
      </c>
    </row>
    <row r="426" spans="1:7" x14ac:dyDescent="0.2">
      <c r="A426" s="2" t="str" cm="1">
        <f t="array" ref="A426">INDEX('[1]Brand Family Territory (Enc)'!$A$2:$A$296,INT((ROW()-2)/10)+1)</f>
        <v>Leinenkugel</v>
      </c>
      <c r="B426" s="2" t="str" cm="1">
        <f t="array" ref="B426">INDEX('Whitelist (Blackout Reverse)'!$B$1:$K$1,MOD(ROW()-2,10)+1)</f>
        <v>HUDSON</v>
      </c>
      <c r="C426" s="2" t="str">
        <f>VLOOKUP(A426,'[1]Brand Family Territory (Enc)'!$A$2:$B$296,2,FALSE)</f>
        <v>Core Market</v>
      </c>
      <c r="D426" s="2">
        <f>IF(COUNTIFS('[1]Brand Family Territories (Enc)'!$B$2:$B$62,C426,'[1]Brand Family Territories (Enc)'!$C$2:$C$62,B426)&gt;0,1,IF(AND(LEFT(B426,6)="MORRIS",COUNTIFS('[1]Brand Family Territories (Enc)'!$B$2:$B$62,C426,'[1]Brand Family Territories (Enc)'!$C$2:$C$62,"Morri")&gt;0),"Unk",0))</f>
        <v>0</v>
      </c>
      <c r="E426" s="2" t="str">
        <f>IFERROR(INDEX('Blackout Brand Fam Areas (Enc)'!$D$6:$D$998,MATCH(UPPER(A426)&amp;"|"&amp;UPPER(B426),'Blackout Brand Fam Areas (Enc)'!$G$6:$G$998,0)),"No Match")</f>
        <v>Inactive</v>
      </c>
      <c r="F426" s="2" t="str">
        <f t="shared" si="12"/>
        <v>THEM</v>
      </c>
      <c r="G426" s="2" t="str">
        <f t="shared" si="13"/>
        <v>Leinenkugel|HUDSON</v>
      </c>
    </row>
    <row r="427" spans="1:7" x14ac:dyDescent="0.2">
      <c r="A427" s="2" t="str" cm="1">
        <f t="array" ref="A427">INDEX('[1]Brand Family Territory (Enc)'!$A$2:$A$296,INT((ROW()-2)/10)+1)</f>
        <v>Leinenkugel</v>
      </c>
      <c r="B427" s="2" t="str" cm="1">
        <f t="array" ref="B427">INDEX('Whitelist (Blackout Reverse)'!$B$1:$K$1,MOD(ROW()-2,10)+1)</f>
        <v>UNION</v>
      </c>
      <c r="C427" s="2" t="str">
        <f>VLOOKUP(A427,'[1]Brand Family Territory (Enc)'!$A$2:$B$296,2,FALSE)</f>
        <v>Core Market</v>
      </c>
      <c r="D427" s="2">
        <f>IF(COUNTIFS('[1]Brand Family Territories (Enc)'!$B$2:$B$62,C427,'[1]Brand Family Territories (Enc)'!$C$2:$C$62,B427)&gt;0,1,IF(AND(LEFT(B427,6)="MORRIS",COUNTIFS('[1]Brand Family Territories (Enc)'!$B$2:$B$62,C427,'[1]Brand Family Territories (Enc)'!$C$2:$C$62,"Morri")&gt;0),"Unk",0))</f>
        <v>0</v>
      </c>
      <c r="E427" s="2" t="str">
        <f>IFERROR(INDEX('Blackout Brand Fam Areas (Enc)'!$D$6:$D$998,MATCH(UPPER(A427)&amp;"|"&amp;UPPER(B427),'Blackout Brand Fam Areas (Enc)'!$G$6:$G$998,0)),"No Match")</f>
        <v>Inactive</v>
      </c>
      <c r="F427" s="2" t="str">
        <f t="shared" si="12"/>
        <v>THEM</v>
      </c>
      <c r="G427" s="2" t="str">
        <f t="shared" si="13"/>
        <v>Leinenkugel|UNION</v>
      </c>
    </row>
    <row r="428" spans="1:7" x14ac:dyDescent="0.2">
      <c r="A428" s="2" t="str" cm="1">
        <f t="array" ref="A428">INDEX('[1]Brand Family Territory (Enc)'!$A$2:$A$296,INT((ROW()-2)/10)+1)</f>
        <v>Leinenkugel</v>
      </c>
      <c r="B428" s="2" t="str" cm="1">
        <f t="array" ref="B428">INDEX('Whitelist (Blackout Reverse)'!$B$1:$K$1,MOD(ROW()-2,10)+1)</f>
        <v>SUSSEX</v>
      </c>
      <c r="C428" s="2" t="str">
        <f>VLOOKUP(A428,'[1]Brand Family Territory (Enc)'!$A$2:$B$296,2,FALSE)</f>
        <v>Core Market</v>
      </c>
      <c r="D428" s="2">
        <f>IF(COUNTIFS('[1]Brand Family Territories (Enc)'!$B$2:$B$62,C428,'[1]Brand Family Territories (Enc)'!$C$2:$C$62,B428)&gt;0,1,IF(AND(LEFT(B428,6)="MORRIS",COUNTIFS('[1]Brand Family Territories (Enc)'!$B$2:$B$62,C428,'[1]Brand Family Territories (Enc)'!$C$2:$C$62,"Morri")&gt;0),"Unk",0))</f>
        <v>1</v>
      </c>
      <c r="E428" s="2" t="str">
        <f>IFERROR(INDEX('Blackout Brand Fam Areas (Enc)'!$D$6:$D$998,MATCH(UPPER(A428)&amp;"|"&amp;UPPER(B428),'Blackout Brand Fam Areas (Enc)'!$G$6:$G$998,0)),"No Match")</f>
        <v>No Match</v>
      </c>
      <c r="F428" s="2" t="str">
        <f t="shared" si="12"/>
        <v>US</v>
      </c>
      <c r="G428" s="2" t="str">
        <f t="shared" si="13"/>
        <v>Leinenkugel|SUSSEX</v>
      </c>
    </row>
    <row r="429" spans="1:7" x14ac:dyDescent="0.2">
      <c r="A429" s="2" t="str" cm="1">
        <f t="array" ref="A429">INDEX('[1]Brand Family Territory (Enc)'!$A$2:$A$296,INT((ROW()-2)/10)+1)</f>
        <v>Leinenkugel</v>
      </c>
      <c r="B429" s="2" t="str" cm="1">
        <f t="array" ref="B429">INDEX('Whitelist (Blackout Reverse)'!$B$1:$K$1,MOD(ROW()-2,10)+1)</f>
        <v>MORRIS 1</v>
      </c>
      <c r="C429" s="2" t="str">
        <f>VLOOKUP(A429,'[1]Brand Family Territory (Enc)'!$A$2:$B$296,2,FALSE)</f>
        <v>Core Market</v>
      </c>
      <c r="D429" s="2">
        <f>IF(COUNTIFS('[1]Brand Family Territories (Enc)'!$B$2:$B$62,C429,'[1]Brand Family Territories (Enc)'!$C$2:$C$62,B429)&gt;0,1,IF(AND(LEFT(B429,6)="MORRIS",COUNTIFS('[1]Brand Family Territories (Enc)'!$B$2:$B$62,C429,'[1]Brand Family Territories (Enc)'!$C$2:$C$62,"Morri")&gt;0),"Unk",0))</f>
        <v>1</v>
      </c>
      <c r="E429" s="2" t="str">
        <f>IFERROR(INDEX('Blackout Brand Fam Areas (Enc)'!$D$6:$D$998,MATCH(UPPER(A429)&amp;"|"&amp;UPPER(B429),'Blackout Brand Fam Areas (Enc)'!$G$6:$G$998,0)),"No Match")</f>
        <v>No Match</v>
      </c>
      <c r="F429" s="2" t="str">
        <f t="shared" si="12"/>
        <v>US</v>
      </c>
      <c r="G429" s="2" t="str">
        <f t="shared" si="13"/>
        <v>Leinenkugel|MORRIS 1</v>
      </c>
    </row>
    <row r="430" spans="1:7" x14ac:dyDescent="0.2">
      <c r="A430" s="2" t="str" cm="1">
        <f t="array" ref="A430">INDEX('[1]Brand Family Territory (Enc)'!$A$2:$A$296,INT((ROW()-2)/10)+1)</f>
        <v>Leinenkugel</v>
      </c>
      <c r="B430" s="2" t="str" cm="1">
        <f t="array" ref="B430">INDEX('Whitelist (Blackout Reverse)'!$B$1:$K$1,MOD(ROW()-2,10)+1)</f>
        <v>MORRIS 2</v>
      </c>
      <c r="C430" s="2" t="str">
        <f>VLOOKUP(A430,'[1]Brand Family Territory (Enc)'!$A$2:$B$296,2,FALSE)</f>
        <v>Core Market</v>
      </c>
      <c r="D430" s="2">
        <f>IF(COUNTIFS('[1]Brand Family Territories (Enc)'!$B$2:$B$62,C430,'[1]Brand Family Territories (Enc)'!$C$2:$C$62,B430)&gt;0,1,IF(AND(LEFT(B430,6)="MORRIS",COUNTIFS('[1]Brand Family Territories (Enc)'!$B$2:$B$62,C430,'[1]Brand Family Territories (Enc)'!$C$2:$C$62,"Morri")&gt;0),"Unk",0))</f>
        <v>0</v>
      </c>
      <c r="E430" s="2" t="str">
        <f>IFERROR(INDEX('Blackout Brand Fam Areas (Enc)'!$D$6:$D$998,MATCH(UPPER(A430)&amp;"|"&amp;UPPER(B430),'Blackout Brand Fam Areas (Enc)'!$G$6:$G$998,0)),"No Match")</f>
        <v>Inactive</v>
      </c>
      <c r="F430" s="2" t="str">
        <f t="shared" si="12"/>
        <v>THEM</v>
      </c>
      <c r="G430" s="2" t="str">
        <f t="shared" si="13"/>
        <v>Leinenkugel|MORRIS 2</v>
      </c>
    </row>
    <row r="431" spans="1:7" x14ac:dyDescent="0.2">
      <c r="A431" s="2" t="str" cm="1">
        <f t="array" ref="A431">INDEX('[1]Brand Family Territory (Enc)'!$A$2:$A$296,INT((ROW()-2)/10)+1)</f>
        <v>Leinenkugel</v>
      </c>
      <c r="B431" s="2" t="str" cm="1">
        <f t="array" ref="B431">INDEX('Whitelist (Blackout Reverse)'!$B$1:$K$1,MOD(ROW()-2,10)+1)</f>
        <v>MORRIS 3</v>
      </c>
      <c r="C431" s="2" t="str">
        <f>VLOOKUP(A431,'[1]Brand Family Territory (Enc)'!$A$2:$B$296,2,FALSE)</f>
        <v>Core Market</v>
      </c>
      <c r="D431" s="2">
        <f>IF(COUNTIFS('[1]Brand Family Territories (Enc)'!$B$2:$B$62,C431,'[1]Brand Family Territories (Enc)'!$C$2:$C$62,B431)&gt;0,1,IF(AND(LEFT(B431,6)="MORRIS",COUNTIFS('[1]Brand Family Territories (Enc)'!$B$2:$B$62,C431,'[1]Brand Family Territories (Enc)'!$C$2:$C$62,"Morri")&gt;0),"Unk",0))</f>
        <v>1</v>
      </c>
      <c r="E431" s="2" t="str">
        <f>IFERROR(INDEX('Blackout Brand Fam Areas (Enc)'!$D$6:$D$998,MATCH(UPPER(A431)&amp;"|"&amp;UPPER(B431),'Blackout Brand Fam Areas (Enc)'!$G$6:$G$998,0)),"No Match")</f>
        <v>No Match</v>
      </c>
      <c r="F431" s="2" t="str">
        <f t="shared" si="12"/>
        <v>US</v>
      </c>
      <c r="G431" s="2" t="str">
        <f t="shared" si="13"/>
        <v>Leinenkugel|MORRIS 3</v>
      </c>
    </row>
    <row r="432" spans="1:7" x14ac:dyDescent="0.2">
      <c r="A432" s="2" t="str" cm="1">
        <f t="array" ref="A432">INDEX('[1]Brand Family Territory (Enc)'!$A$2:$A$296,INT((ROW()-2)/10)+1)</f>
        <v>Lightstrike</v>
      </c>
      <c r="B432" s="2" t="str" cm="1">
        <f t="array" ref="B432">INDEX('Whitelist (Blackout Reverse)'!$B$1:$K$1,MOD(ROW()-2,10)+1)</f>
        <v>BERGEN</v>
      </c>
      <c r="C432" s="2" t="str">
        <f>VLOOKUP(A432,'[1]Brand Family Territory (Enc)'!$A$2:$B$296,2,FALSE)</f>
        <v>Core Market</v>
      </c>
      <c r="D432" s="2">
        <f>IF(COUNTIFS('[1]Brand Family Territories (Enc)'!$B$2:$B$62,C432,'[1]Brand Family Territories (Enc)'!$C$2:$C$62,B432)&gt;0,1,IF(AND(LEFT(B432,6)="MORRIS",COUNTIFS('[1]Brand Family Territories (Enc)'!$B$2:$B$62,C432,'[1]Brand Family Territories (Enc)'!$C$2:$C$62,"Morri")&gt;0),"Unk",0))</f>
        <v>1</v>
      </c>
      <c r="E432" s="2" t="str">
        <f>IFERROR(INDEX('Blackout Brand Fam Areas (Enc)'!$D$6:$D$998,MATCH(UPPER(A432)&amp;"|"&amp;UPPER(B432),'Blackout Brand Fam Areas (Enc)'!$G$6:$G$998,0)),"No Match")</f>
        <v>No Match</v>
      </c>
      <c r="F432" s="2" t="str">
        <f t="shared" si="12"/>
        <v>US</v>
      </c>
      <c r="G432" s="2" t="str">
        <f t="shared" si="13"/>
        <v>Lightstrike|BERGEN</v>
      </c>
    </row>
    <row r="433" spans="1:7" x14ac:dyDescent="0.2">
      <c r="A433" s="2" t="str" cm="1">
        <f t="array" ref="A433">INDEX('[1]Brand Family Territory (Enc)'!$A$2:$A$296,INT((ROW()-2)/10)+1)</f>
        <v>Lightstrike</v>
      </c>
      <c r="B433" s="2" t="str" cm="1">
        <f t="array" ref="B433">INDEX('Whitelist (Blackout Reverse)'!$B$1:$K$1,MOD(ROW()-2,10)+1)</f>
        <v>PASSAIC</v>
      </c>
      <c r="C433" s="2" t="str">
        <f>VLOOKUP(A433,'[1]Brand Family Territory (Enc)'!$A$2:$B$296,2,FALSE)</f>
        <v>Core Market</v>
      </c>
      <c r="D433" s="2">
        <f>IF(COUNTIFS('[1]Brand Family Territories (Enc)'!$B$2:$B$62,C433,'[1]Brand Family Territories (Enc)'!$C$2:$C$62,B433)&gt;0,1,IF(AND(LEFT(B433,6)="MORRIS",COUNTIFS('[1]Brand Family Territories (Enc)'!$B$2:$B$62,C433,'[1]Brand Family Territories (Enc)'!$C$2:$C$62,"Morri")&gt;0),"Unk",0))</f>
        <v>1</v>
      </c>
      <c r="E433" s="2" t="str">
        <f>IFERROR(INDEX('Blackout Brand Fam Areas (Enc)'!$D$6:$D$998,MATCH(UPPER(A433)&amp;"|"&amp;UPPER(B433),'Blackout Brand Fam Areas (Enc)'!$G$6:$G$998,0)),"No Match")</f>
        <v>No Match</v>
      </c>
      <c r="F433" s="2" t="str">
        <f t="shared" si="12"/>
        <v>US</v>
      </c>
      <c r="G433" s="2" t="str">
        <f t="shared" si="13"/>
        <v>Lightstrike|PASSAIC</v>
      </c>
    </row>
    <row r="434" spans="1:7" x14ac:dyDescent="0.2">
      <c r="A434" s="2" t="str" cm="1">
        <f t="array" ref="A434">INDEX('[1]Brand Family Territory (Enc)'!$A$2:$A$296,INT((ROW()-2)/10)+1)</f>
        <v>Lightstrike</v>
      </c>
      <c r="B434" s="2" t="str" cm="1">
        <f t="array" ref="B434">INDEX('Whitelist (Blackout Reverse)'!$B$1:$K$1,MOD(ROW()-2,10)+1)</f>
        <v>PASSAIC-FF</v>
      </c>
      <c r="C434" s="2" t="str">
        <f>VLOOKUP(A434,'[1]Brand Family Territory (Enc)'!$A$2:$B$296,2,FALSE)</f>
        <v>Core Market</v>
      </c>
      <c r="D434" s="2">
        <f>IF(COUNTIFS('[1]Brand Family Territories (Enc)'!$B$2:$B$62,C434,'[1]Brand Family Territories (Enc)'!$C$2:$C$62,B434)&gt;0,1,IF(AND(LEFT(B434,6)="MORRIS",COUNTIFS('[1]Brand Family Territories (Enc)'!$B$2:$B$62,C434,'[1]Brand Family Territories (Enc)'!$C$2:$C$62,"Morri")&gt;0),"Unk",0))</f>
        <v>1</v>
      </c>
      <c r="E434" s="2" t="str">
        <f>IFERROR(INDEX('Blackout Brand Fam Areas (Enc)'!$D$6:$D$998,MATCH(UPPER(A434)&amp;"|"&amp;UPPER(B434),'Blackout Brand Fam Areas (Enc)'!$G$6:$G$998,0)),"No Match")</f>
        <v>No Match</v>
      </c>
      <c r="F434" s="2" t="str">
        <f t="shared" si="12"/>
        <v>US</v>
      </c>
      <c r="G434" s="2" t="str">
        <f t="shared" si="13"/>
        <v>Lightstrike|PASSAIC-FF</v>
      </c>
    </row>
    <row r="435" spans="1:7" x14ac:dyDescent="0.2">
      <c r="A435" s="2" t="str" cm="1">
        <f t="array" ref="A435">INDEX('[1]Brand Family Territory (Enc)'!$A$2:$A$296,INT((ROW()-2)/10)+1)</f>
        <v>Lightstrike</v>
      </c>
      <c r="B435" s="2" t="str" cm="1">
        <f t="array" ref="B435">INDEX('Whitelist (Blackout Reverse)'!$B$1:$K$1,MOD(ROW()-2,10)+1)</f>
        <v>ESSEX</v>
      </c>
      <c r="C435" s="2" t="str">
        <f>VLOOKUP(A435,'[1]Brand Family Territory (Enc)'!$A$2:$B$296,2,FALSE)</f>
        <v>Core Market</v>
      </c>
      <c r="D435" s="2">
        <f>IF(COUNTIFS('[1]Brand Family Territories (Enc)'!$B$2:$B$62,C435,'[1]Brand Family Territories (Enc)'!$C$2:$C$62,B435)&gt;0,1,IF(AND(LEFT(B435,6)="MORRIS",COUNTIFS('[1]Brand Family Territories (Enc)'!$B$2:$B$62,C435,'[1]Brand Family Territories (Enc)'!$C$2:$C$62,"Morri")&gt;0),"Unk",0))</f>
        <v>0</v>
      </c>
      <c r="E435" s="2" t="str">
        <f>IFERROR(INDEX('Blackout Brand Fam Areas (Enc)'!$D$6:$D$998,MATCH(UPPER(A435)&amp;"|"&amp;UPPER(B435),'Blackout Brand Fam Areas (Enc)'!$G$6:$G$998,0)),"No Match")</f>
        <v>Inactive</v>
      </c>
      <c r="F435" s="2" t="str">
        <f t="shared" si="12"/>
        <v>THEM</v>
      </c>
      <c r="G435" s="2" t="str">
        <f t="shared" si="13"/>
        <v>Lightstrike|ESSEX</v>
      </c>
    </row>
    <row r="436" spans="1:7" x14ac:dyDescent="0.2">
      <c r="A436" s="2" t="str" cm="1">
        <f t="array" ref="A436">INDEX('[1]Brand Family Territory (Enc)'!$A$2:$A$296,INT((ROW()-2)/10)+1)</f>
        <v>Lightstrike</v>
      </c>
      <c r="B436" s="2" t="str" cm="1">
        <f t="array" ref="B436">INDEX('Whitelist (Blackout Reverse)'!$B$1:$K$1,MOD(ROW()-2,10)+1)</f>
        <v>HUDSON</v>
      </c>
      <c r="C436" s="2" t="str">
        <f>VLOOKUP(A436,'[1]Brand Family Territory (Enc)'!$A$2:$B$296,2,FALSE)</f>
        <v>Core Market</v>
      </c>
      <c r="D436" s="2">
        <f>IF(COUNTIFS('[1]Brand Family Territories (Enc)'!$B$2:$B$62,C436,'[1]Brand Family Territories (Enc)'!$C$2:$C$62,B436)&gt;0,1,IF(AND(LEFT(B436,6)="MORRIS",COUNTIFS('[1]Brand Family Territories (Enc)'!$B$2:$B$62,C436,'[1]Brand Family Territories (Enc)'!$C$2:$C$62,"Morri")&gt;0),"Unk",0))</f>
        <v>0</v>
      </c>
      <c r="E436" s="2" t="str">
        <f>IFERROR(INDEX('Blackout Brand Fam Areas (Enc)'!$D$6:$D$998,MATCH(UPPER(A436)&amp;"|"&amp;UPPER(B436),'Blackout Brand Fam Areas (Enc)'!$G$6:$G$998,0)),"No Match")</f>
        <v>Inactive</v>
      </c>
      <c r="F436" s="2" t="str">
        <f t="shared" si="12"/>
        <v>THEM</v>
      </c>
      <c r="G436" s="2" t="str">
        <f t="shared" si="13"/>
        <v>Lightstrike|HUDSON</v>
      </c>
    </row>
    <row r="437" spans="1:7" x14ac:dyDescent="0.2">
      <c r="A437" s="2" t="str" cm="1">
        <f t="array" ref="A437">INDEX('[1]Brand Family Territory (Enc)'!$A$2:$A$296,INT((ROW()-2)/10)+1)</f>
        <v>Lightstrike</v>
      </c>
      <c r="B437" s="2" t="str" cm="1">
        <f t="array" ref="B437">INDEX('Whitelist (Blackout Reverse)'!$B$1:$K$1,MOD(ROW()-2,10)+1)</f>
        <v>UNION</v>
      </c>
      <c r="C437" s="2" t="str">
        <f>VLOOKUP(A437,'[1]Brand Family Territory (Enc)'!$A$2:$B$296,2,FALSE)</f>
        <v>Core Market</v>
      </c>
      <c r="D437" s="2">
        <f>IF(COUNTIFS('[1]Brand Family Territories (Enc)'!$B$2:$B$62,C437,'[1]Brand Family Territories (Enc)'!$C$2:$C$62,B437)&gt;0,1,IF(AND(LEFT(B437,6)="MORRIS",COUNTIFS('[1]Brand Family Territories (Enc)'!$B$2:$B$62,C437,'[1]Brand Family Territories (Enc)'!$C$2:$C$62,"Morri")&gt;0),"Unk",0))</f>
        <v>0</v>
      </c>
      <c r="E437" s="2" t="str">
        <f>IFERROR(INDEX('Blackout Brand Fam Areas (Enc)'!$D$6:$D$998,MATCH(UPPER(A437)&amp;"|"&amp;UPPER(B437),'Blackout Brand Fam Areas (Enc)'!$G$6:$G$998,0)),"No Match")</f>
        <v>Inactive</v>
      </c>
      <c r="F437" s="2" t="str">
        <f t="shared" si="12"/>
        <v>THEM</v>
      </c>
      <c r="G437" s="2" t="str">
        <f t="shared" si="13"/>
        <v>Lightstrike|UNION</v>
      </c>
    </row>
    <row r="438" spans="1:7" x14ac:dyDescent="0.2">
      <c r="A438" s="2" t="str" cm="1">
        <f t="array" ref="A438">INDEX('[1]Brand Family Territory (Enc)'!$A$2:$A$296,INT((ROW()-2)/10)+1)</f>
        <v>Lightstrike</v>
      </c>
      <c r="B438" s="2" t="str" cm="1">
        <f t="array" ref="B438">INDEX('Whitelist (Blackout Reverse)'!$B$1:$K$1,MOD(ROW()-2,10)+1)</f>
        <v>SUSSEX</v>
      </c>
      <c r="C438" s="2" t="str">
        <f>VLOOKUP(A438,'[1]Brand Family Territory (Enc)'!$A$2:$B$296,2,FALSE)</f>
        <v>Core Market</v>
      </c>
      <c r="D438" s="2">
        <f>IF(COUNTIFS('[1]Brand Family Territories (Enc)'!$B$2:$B$62,C438,'[1]Brand Family Territories (Enc)'!$C$2:$C$62,B438)&gt;0,1,IF(AND(LEFT(B438,6)="MORRIS",COUNTIFS('[1]Brand Family Territories (Enc)'!$B$2:$B$62,C438,'[1]Brand Family Territories (Enc)'!$C$2:$C$62,"Morri")&gt;0),"Unk",0))</f>
        <v>1</v>
      </c>
      <c r="E438" s="2" t="str">
        <f>IFERROR(INDEX('Blackout Brand Fam Areas (Enc)'!$D$6:$D$998,MATCH(UPPER(A438)&amp;"|"&amp;UPPER(B438),'Blackout Brand Fam Areas (Enc)'!$G$6:$G$998,0)),"No Match")</f>
        <v>No Match</v>
      </c>
      <c r="F438" s="2" t="str">
        <f t="shared" si="12"/>
        <v>US</v>
      </c>
      <c r="G438" s="2" t="str">
        <f t="shared" si="13"/>
        <v>Lightstrike|SUSSEX</v>
      </c>
    </row>
    <row r="439" spans="1:7" x14ac:dyDescent="0.2">
      <c r="A439" s="2" t="str" cm="1">
        <f t="array" ref="A439">INDEX('[1]Brand Family Territory (Enc)'!$A$2:$A$296,INT((ROW()-2)/10)+1)</f>
        <v>Lightstrike</v>
      </c>
      <c r="B439" s="2" t="str" cm="1">
        <f t="array" ref="B439">INDEX('Whitelist (Blackout Reverse)'!$B$1:$K$1,MOD(ROW()-2,10)+1)</f>
        <v>MORRIS 1</v>
      </c>
      <c r="C439" s="2" t="str">
        <f>VLOOKUP(A439,'[1]Brand Family Territory (Enc)'!$A$2:$B$296,2,FALSE)</f>
        <v>Core Market</v>
      </c>
      <c r="D439" s="2">
        <f>IF(COUNTIFS('[1]Brand Family Territories (Enc)'!$B$2:$B$62,C439,'[1]Brand Family Territories (Enc)'!$C$2:$C$62,B439)&gt;0,1,IF(AND(LEFT(B439,6)="MORRIS",COUNTIFS('[1]Brand Family Territories (Enc)'!$B$2:$B$62,C439,'[1]Brand Family Territories (Enc)'!$C$2:$C$62,"Morri")&gt;0),"Unk",0))</f>
        <v>1</v>
      </c>
      <c r="E439" s="2" t="str">
        <f>IFERROR(INDEX('Blackout Brand Fam Areas (Enc)'!$D$6:$D$998,MATCH(UPPER(A439)&amp;"|"&amp;UPPER(B439),'Blackout Brand Fam Areas (Enc)'!$G$6:$G$998,0)),"No Match")</f>
        <v>No Match</v>
      </c>
      <c r="F439" s="2" t="str">
        <f t="shared" si="12"/>
        <v>US</v>
      </c>
      <c r="G439" s="2" t="str">
        <f t="shared" si="13"/>
        <v>Lightstrike|MORRIS 1</v>
      </c>
    </row>
    <row r="440" spans="1:7" x14ac:dyDescent="0.2">
      <c r="A440" s="2" t="str" cm="1">
        <f t="array" ref="A440">INDEX('[1]Brand Family Territory (Enc)'!$A$2:$A$296,INT((ROW()-2)/10)+1)</f>
        <v>Lightstrike</v>
      </c>
      <c r="B440" s="2" t="str" cm="1">
        <f t="array" ref="B440">INDEX('Whitelist (Blackout Reverse)'!$B$1:$K$1,MOD(ROW()-2,10)+1)</f>
        <v>MORRIS 2</v>
      </c>
      <c r="C440" s="2" t="str">
        <f>VLOOKUP(A440,'[1]Brand Family Territory (Enc)'!$A$2:$B$296,2,FALSE)</f>
        <v>Core Market</v>
      </c>
      <c r="D440" s="2">
        <f>IF(COUNTIFS('[1]Brand Family Territories (Enc)'!$B$2:$B$62,C440,'[1]Brand Family Territories (Enc)'!$C$2:$C$62,B440)&gt;0,1,IF(AND(LEFT(B440,6)="MORRIS",COUNTIFS('[1]Brand Family Territories (Enc)'!$B$2:$B$62,C440,'[1]Brand Family Territories (Enc)'!$C$2:$C$62,"Morri")&gt;0),"Unk",0))</f>
        <v>0</v>
      </c>
      <c r="E440" s="2" t="str">
        <f>IFERROR(INDEX('Blackout Brand Fam Areas (Enc)'!$D$6:$D$998,MATCH(UPPER(A440)&amp;"|"&amp;UPPER(B440),'Blackout Brand Fam Areas (Enc)'!$G$6:$G$998,0)),"No Match")</f>
        <v>Inactive</v>
      </c>
      <c r="F440" s="2" t="str">
        <f t="shared" si="12"/>
        <v>THEM</v>
      </c>
      <c r="G440" s="2" t="str">
        <f t="shared" si="13"/>
        <v>Lightstrike|MORRIS 2</v>
      </c>
    </row>
    <row r="441" spans="1:7" x14ac:dyDescent="0.2">
      <c r="A441" s="2" t="str" cm="1">
        <f t="array" ref="A441">INDEX('[1]Brand Family Territory (Enc)'!$A$2:$A$296,INT((ROW()-2)/10)+1)</f>
        <v>Lightstrike</v>
      </c>
      <c r="B441" s="2" t="str" cm="1">
        <f t="array" ref="B441">INDEX('Whitelist (Blackout Reverse)'!$B$1:$K$1,MOD(ROW()-2,10)+1)</f>
        <v>MORRIS 3</v>
      </c>
      <c r="C441" s="2" t="str">
        <f>VLOOKUP(A441,'[1]Brand Family Territory (Enc)'!$A$2:$B$296,2,FALSE)</f>
        <v>Core Market</v>
      </c>
      <c r="D441" s="2">
        <f>IF(COUNTIFS('[1]Brand Family Territories (Enc)'!$B$2:$B$62,C441,'[1]Brand Family Territories (Enc)'!$C$2:$C$62,B441)&gt;0,1,IF(AND(LEFT(B441,6)="MORRIS",COUNTIFS('[1]Brand Family Territories (Enc)'!$B$2:$B$62,C441,'[1]Brand Family Territories (Enc)'!$C$2:$C$62,"Morri")&gt;0),"Unk",0))</f>
        <v>1</v>
      </c>
      <c r="E441" s="2" t="str">
        <f>IFERROR(INDEX('Blackout Brand Fam Areas (Enc)'!$D$6:$D$998,MATCH(UPPER(A441)&amp;"|"&amp;UPPER(B441),'Blackout Brand Fam Areas (Enc)'!$G$6:$G$998,0)),"No Match")</f>
        <v>No Match</v>
      </c>
      <c r="F441" s="2" t="str">
        <f t="shared" si="12"/>
        <v>US</v>
      </c>
      <c r="G441" s="2" t="str">
        <f t="shared" si="13"/>
        <v>Lightstrike|MORRIS 3</v>
      </c>
    </row>
    <row r="442" spans="1:7" x14ac:dyDescent="0.2">
      <c r="A442" s="2" t="str" cm="1">
        <f t="array" ref="A442">INDEX('[1]Brand Family Territory (Enc)'!$A$2:$A$296,INT((ROW()-2)/10)+1)</f>
        <v>Mike's Hard Lemonade</v>
      </c>
      <c r="B442" s="2" t="str" cm="1">
        <f t="array" ref="B442">INDEX('Whitelist (Blackout Reverse)'!$B$1:$K$1,MOD(ROW()-2,10)+1)</f>
        <v>BERGEN</v>
      </c>
      <c r="C442" s="2" t="str">
        <f>VLOOKUP(A442,'[1]Brand Family Territory (Enc)'!$A$2:$B$296,2,FALSE)</f>
        <v>Core Market</v>
      </c>
      <c r="D442" s="2">
        <f>IF(COUNTIFS('[1]Brand Family Territories (Enc)'!$B$2:$B$62,C442,'[1]Brand Family Territories (Enc)'!$C$2:$C$62,B442)&gt;0,1,IF(AND(LEFT(B442,6)="MORRIS",COUNTIFS('[1]Brand Family Territories (Enc)'!$B$2:$B$62,C442,'[1]Brand Family Territories (Enc)'!$C$2:$C$62,"Morri")&gt;0),"Unk",0))</f>
        <v>1</v>
      </c>
      <c r="E442" s="2" t="str">
        <f>IFERROR(INDEX('Blackout Brand Fam Areas (Enc)'!$D$6:$D$998,MATCH(UPPER(A442)&amp;"|"&amp;UPPER(B442),'Blackout Brand Fam Areas (Enc)'!$G$6:$G$998,0)),"No Match")</f>
        <v>No Match</v>
      </c>
      <c r="F442" s="2" t="str">
        <f t="shared" si="12"/>
        <v>US</v>
      </c>
      <c r="G442" s="2" t="str">
        <f t="shared" si="13"/>
        <v>Mike's Hard Lemonade|BERGEN</v>
      </c>
    </row>
    <row r="443" spans="1:7" x14ac:dyDescent="0.2">
      <c r="A443" s="2" t="str" cm="1">
        <f t="array" ref="A443">INDEX('[1]Brand Family Territory (Enc)'!$A$2:$A$296,INT((ROW()-2)/10)+1)</f>
        <v>Mike's Hard Lemonade</v>
      </c>
      <c r="B443" s="2" t="str" cm="1">
        <f t="array" ref="B443">INDEX('Whitelist (Blackout Reverse)'!$B$1:$K$1,MOD(ROW()-2,10)+1)</f>
        <v>PASSAIC</v>
      </c>
      <c r="C443" s="2" t="str">
        <f>VLOOKUP(A443,'[1]Brand Family Territory (Enc)'!$A$2:$B$296,2,FALSE)</f>
        <v>Core Market</v>
      </c>
      <c r="D443" s="2">
        <f>IF(COUNTIFS('[1]Brand Family Territories (Enc)'!$B$2:$B$62,C443,'[1]Brand Family Territories (Enc)'!$C$2:$C$62,B443)&gt;0,1,IF(AND(LEFT(B443,6)="MORRIS",COUNTIFS('[1]Brand Family Territories (Enc)'!$B$2:$B$62,C443,'[1]Brand Family Territories (Enc)'!$C$2:$C$62,"Morri")&gt;0),"Unk",0))</f>
        <v>1</v>
      </c>
      <c r="E443" s="2" t="str">
        <f>IFERROR(INDEX('Blackout Brand Fam Areas (Enc)'!$D$6:$D$998,MATCH(UPPER(A443)&amp;"|"&amp;UPPER(B443),'Blackout Brand Fam Areas (Enc)'!$G$6:$G$998,0)),"No Match")</f>
        <v>No Match</v>
      </c>
      <c r="F443" s="2" t="str">
        <f t="shared" si="12"/>
        <v>US</v>
      </c>
      <c r="G443" s="2" t="str">
        <f t="shared" si="13"/>
        <v>Mike's Hard Lemonade|PASSAIC</v>
      </c>
    </row>
    <row r="444" spans="1:7" x14ac:dyDescent="0.2">
      <c r="A444" s="2" t="str" cm="1">
        <f t="array" ref="A444">INDEX('[1]Brand Family Territory (Enc)'!$A$2:$A$296,INT((ROW()-2)/10)+1)</f>
        <v>Mike's Hard Lemonade</v>
      </c>
      <c r="B444" s="2" t="str" cm="1">
        <f t="array" ref="B444">INDEX('Whitelist (Blackout Reverse)'!$B$1:$K$1,MOD(ROW()-2,10)+1)</f>
        <v>PASSAIC-FF</v>
      </c>
      <c r="C444" s="2" t="str">
        <f>VLOOKUP(A444,'[1]Brand Family Territory (Enc)'!$A$2:$B$296,2,FALSE)</f>
        <v>Core Market</v>
      </c>
      <c r="D444" s="2">
        <f>IF(COUNTIFS('[1]Brand Family Territories (Enc)'!$B$2:$B$62,C444,'[1]Brand Family Territories (Enc)'!$C$2:$C$62,B444)&gt;0,1,IF(AND(LEFT(B444,6)="MORRIS",COUNTIFS('[1]Brand Family Territories (Enc)'!$B$2:$B$62,C444,'[1]Brand Family Territories (Enc)'!$C$2:$C$62,"Morri")&gt;0),"Unk",0))</f>
        <v>1</v>
      </c>
      <c r="E444" s="2" t="str">
        <f>IFERROR(INDEX('Blackout Brand Fam Areas (Enc)'!$D$6:$D$998,MATCH(UPPER(A444)&amp;"|"&amp;UPPER(B444),'Blackout Brand Fam Areas (Enc)'!$G$6:$G$998,0)),"No Match")</f>
        <v>No Match</v>
      </c>
      <c r="F444" s="2" t="str">
        <f t="shared" si="12"/>
        <v>US</v>
      </c>
      <c r="G444" s="2" t="str">
        <f t="shared" si="13"/>
        <v>Mike's Hard Lemonade|PASSAIC-FF</v>
      </c>
    </row>
    <row r="445" spans="1:7" x14ac:dyDescent="0.2">
      <c r="A445" s="2" t="str" cm="1">
        <f t="array" ref="A445">INDEX('[1]Brand Family Territory (Enc)'!$A$2:$A$296,INT((ROW()-2)/10)+1)</f>
        <v>Mike's Hard Lemonade</v>
      </c>
      <c r="B445" s="2" t="str" cm="1">
        <f t="array" ref="B445">INDEX('Whitelist (Blackout Reverse)'!$B$1:$K$1,MOD(ROW()-2,10)+1)</f>
        <v>ESSEX</v>
      </c>
      <c r="C445" s="2" t="str">
        <f>VLOOKUP(A445,'[1]Brand Family Territory (Enc)'!$A$2:$B$296,2,FALSE)</f>
        <v>Core Market</v>
      </c>
      <c r="D445" s="2">
        <f>IF(COUNTIFS('[1]Brand Family Territories (Enc)'!$B$2:$B$62,C445,'[1]Brand Family Territories (Enc)'!$C$2:$C$62,B445)&gt;0,1,IF(AND(LEFT(B445,6)="MORRIS",COUNTIFS('[1]Brand Family Territories (Enc)'!$B$2:$B$62,C445,'[1]Brand Family Territories (Enc)'!$C$2:$C$62,"Morri")&gt;0),"Unk",0))</f>
        <v>0</v>
      </c>
      <c r="E445" s="2" t="str">
        <f>IFERROR(INDEX('Blackout Brand Fam Areas (Enc)'!$D$6:$D$998,MATCH(UPPER(A445)&amp;"|"&amp;UPPER(B445),'Blackout Brand Fam Areas (Enc)'!$G$6:$G$998,0)),"No Match")</f>
        <v>Inactive</v>
      </c>
      <c r="F445" s="2" t="str">
        <f t="shared" si="12"/>
        <v>THEM</v>
      </c>
      <c r="G445" s="2" t="str">
        <f t="shared" si="13"/>
        <v>Mike's Hard Lemonade|ESSEX</v>
      </c>
    </row>
    <row r="446" spans="1:7" x14ac:dyDescent="0.2">
      <c r="A446" s="2" t="str" cm="1">
        <f t="array" ref="A446">INDEX('[1]Brand Family Territory (Enc)'!$A$2:$A$296,INT((ROW()-2)/10)+1)</f>
        <v>Mike's Hard Lemonade</v>
      </c>
      <c r="B446" s="2" t="str" cm="1">
        <f t="array" ref="B446">INDEX('Whitelist (Blackout Reverse)'!$B$1:$K$1,MOD(ROW()-2,10)+1)</f>
        <v>HUDSON</v>
      </c>
      <c r="C446" s="2" t="str">
        <f>VLOOKUP(A446,'[1]Brand Family Territory (Enc)'!$A$2:$B$296,2,FALSE)</f>
        <v>Core Market</v>
      </c>
      <c r="D446" s="2">
        <f>IF(COUNTIFS('[1]Brand Family Territories (Enc)'!$B$2:$B$62,C446,'[1]Brand Family Territories (Enc)'!$C$2:$C$62,B446)&gt;0,1,IF(AND(LEFT(B446,6)="MORRIS",COUNTIFS('[1]Brand Family Territories (Enc)'!$B$2:$B$62,C446,'[1]Brand Family Territories (Enc)'!$C$2:$C$62,"Morri")&gt;0),"Unk",0))</f>
        <v>0</v>
      </c>
      <c r="E446" s="2" t="str">
        <f>IFERROR(INDEX('Blackout Brand Fam Areas (Enc)'!$D$6:$D$998,MATCH(UPPER(A446)&amp;"|"&amp;UPPER(B446),'Blackout Brand Fam Areas (Enc)'!$G$6:$G$998,0)),"No Match")</f>
        <v>Inactive</v>
      </c>
      <c r="F446" s="2" t="str">
        <f t="shared" si="12"/>
        <v>THEM</v>
      </c>
      <c r="G446" s="2" t="str">
        <f t="shared" si="13"/>
        <v>Mike's Hard Lemonade|HUDSON</v>
      </c>
    </row>
    <row r="447" spans="1:7" x14ac:dyDescent="0.2">
      <c r="A447" s="2" t="str" cm="1">
        <f t="array" ref="A447">INDEX('[1]Brand Family Territory (Enc)'!$A$2:$A$296,INT((ROW()-2)/10)+1)</f>
        <v>Mike's Hard Lemonade</v>
      </c>
      <c r="B447" s="2" t="str" cm="1">
        <f t="array" ref="B447">INDEX('Whitelist (Blackout Reverse)'!$B$1:$K$1,MOD(ROW()-2,10)+1)</f>
        <v>UNION</v>
      </c>
      <c r="C447" s="2" t="str">
        <f>VLOOKUP(A447,'[1]Brand Family Territory (Enc)'!$A$2:$B$296,2,FALSE)</f>
        <v>Core Market</v>
      </c>
      <c r="D447" s="2">
        <f>IF(COUNTIFS('[1]Brand Family Territories (Enc)'!$B$2:$B$62,C447,'[1]Brand Family Territories (Enc)'!$C$2:$C$62,B447)&gt;0,1,IF(AND(LEFT(B447,6)="MORRIS",COUNTIFS('[1]Brand Family Territories (Enc)'!$B$2:$B$62,C447,'[1]Brand Family Territories (Enc)'!$C$2:$C$62,"Morri")&gt;0),"Unk",0))</f>
        <v>0</v>
      </c>
      <c r="E447" s="2" t="str">
        <f>IFERROR(INDEX('Blackout Brand Fam Areas (Enc)'!$D$6:$D$998,MATCH(UPPER(A447)&amp;"|"&amp;UPPER(B447),'Blackout Brand Fam Areas (Enc)'!$G$6:$G$998,0)),"No Match")</f>
        <v>Inactive</v>
      </c>
      <c r="F447" s="2" t="str">
        <f t="shared" si="12"/>
        <v>THEM</v>
      </c>
      <c r="G447" s="2" t="str">
        <f t="shared" si="13"/>
        <v>Mike's Hard Lemonade|UNION</v>
      </c>
    </row>
    <row r="448" spans="1:7" x14ac:dyDescent="0.2">
      <c r="A448" s="2" t="str" cm="1">
        <f t="array" ref="A448">INDEX('[1]Brand Family Territory (Enc)'!$A$2:$A$296,INT((ROW()-2)/10)+1)</f>
        <v>Mike's Hard Lemonade</v>
      </c>
      <c r="B448" s="2" t="str" cm="1">
        <f t="array" ref="B448">INDEX('Whitelist (Blackout Reverse)'!$B$1:$K$1,MOD(ROW()-2,10)+1)</f>
        <v>SUSSEX</v>
      </c>
      <c r="C448" s="2" t="str">
        <f>VLOOKUP(A448,'[1]Brand Family Territory (Enc)'!$A$2:$B$296,2,FALSE)</f>
        <v>Core Market</v>
      </c>
      <c r="D448" s="2">
        <f>IF(COUNTIFS('[1]Brand Family Territories (Enc)'!$B$2:$B$62,C448,'[1]Brand Family Territories (Enc)'!$C$2:$C$62,B448)&gt;0,1,IF(AND(LEFT(B448,6)="MORRIS",COUNTIFS('[1]Brand Family Territories (Enc)'!$B$2:$B$62,C448,'[1]Brand Family Territories (Enc)'!$C$2:$C$62,"Morri")&gt;0),"Unk",0))</f>
        <v>1</v>
      </c>
      <c r="E448" s="2" t="str">
        <f>IFERROR(INDEX('Blackout Brand Fam Areas (Enc)'!$D$6:$D$998,MATCH(UPPER(A448)&amp;"|"&amp;UPPER(B448),'Blackout Brand Fam Areas (Enc)'!$G$6:$G$998,0)),"No Match")</f>
        <v>No Match</v>
      </c>
      <c r="F448" s="2" t="str">
        <f t="shared" si="12"/>
        <v>US</v>
      </c>
      <c r="G448" s="2" t="str">
        <f t="shared" si="13"/>
        <v>Mike's Hard Lemonade|SUSSEX</v>
      </c>
    </row>
    <row r="449" spans="1:7" x14ac:dyDescent="0.2">
      <c r="A449" s="2" t="str" cm="1">
        <f t="array" ref="A449">INDEX('[1]Brand Family Territory (Enc)'!$A$2:$A$296,INT((ROW()-2)/10)+1)</f>
        <v>Mike's Hard Lemonade</v>
      </c>
      <c r="B449" s="2" t="str" cm="1">
        <f t="array" ref="B449">INDEX('Whitelist (Blackout Reverse)'!$B$1:$K$1,MOD(ROW()-2,10)+1)</f>
        <v>MORRIS 1</v>
      </c>
      <c r="C449" s="2" t="str">
        <f>VLOOKUP(A449,'[1]Brand Family Territory (Enc)'!$A$2:$B$296,2,FALSE)</f>
        <v>Core Market</v>
      </c>
      <c r="D449" s="2">
        <f>IF(COUNTIFS('[1]Brand Family Territories (Enc)'!$B$2:$B$62,C449,'[1]Brand Family Territories (Enc)'!$C$2:$C$62,B449)&gt;0,1,IF(AND(LEFT(B449,6)="MORRIS",COUNTIFS('[1]Brand Family Territories (Enc)'!$B$2:$B$62,C449,'[1]Brand Family Territories (Enc)'!$C$2:$C$62,"Morri")&gt;0),"Unk",0))</f>
        <v>1</v>
      </c>
      <c r="E449" s="2" t="str">
        <f>IFERROR(INDEX('Blackout Brand Fam Areas (Enc)'!$D$6:$D$998,MATCH(UPPER(A449)&amp;"|"&amp;UPPER(B449),'Blackout Brand Fam Areas (Enc)'!$G$6:$G$998,0)),"No Match")</f>
        <v>No Match</v>
      </c>
      <c r="F449" s="2" t="str">
        <f t="shared" si="12"/>
        <v>US</v>
      </c>
      <c r="G449" s="2" t="str">
        <f t="shared" si="13"/>
        <v>Mike's Hard Lemonade|MORRIS 1</v>
      </c>
    </row>
    <row r="450" spans="1:7" x14ac:dyDescent="0.2">
      <c r="A450" s="2" t="str" cm="1">
        <f t="array" ref="A450">INDEX('[1]Brand Family Territory (Enc)'!$A$2:$A$296,INT((ROW()-2)/10)+1)</f>
        <v>Mike's Hard Lemonade</v>
      </c>
      <c r="B450" s="2" t="str" cm="1">
        <f t="array" ref="B450">INDEX('Whitelist (Blackout Reverse)'!$B$1:$K$1,MOD(ROW()-2,10)+1)</f>
        <v>MORRIS 2</v>
      </c>
      <c r="C450" s="2" t="str">
        <f>VLOOKUP(A450,'[1]Brand Family Territory (Enc)'!$A$2:$B$296,2,FALSE)</f>
        <v>Core Market</v>
      </c>
      <c r="D450" s="2">
        <f>IF(COUNTIFS('[1]Brand Family Territories (Enc)'!$B$2:$B$62,C450,'[1]Brand Family Territories (Enc)'!$C$2:$C$62,B450)&gt;0,1,IF(AND(LEFT(B450,6)="MORRIS",COUNTIFS('[1]Brand Family Territories (Enc)'!$B$2:$B$62,C450,'[1]Brand Family Territories (Enc)'!$C$2:$C$62,"Morri")&gt;0),"Unk",0))</f>
        <v>0</v>
      </c>
      <c r="E450" s="2" t="str">
        <f>IFERROR(INDEX('Blackout Brand Fam Areas (Enc)'!$D$6:$D$998,MATCH(UPPER(A450)&amp;"|"&amp;UPPER(B450),'Blackout Brand Fam Areas (Enc)'!$G$6:$G$998,0)),"No Match")</f>
        <v>Inactive</v>
      </c>
      <c r="F450" s="2" t="str">
        <f t="shared" si="12"/>
        <v>THEM</v>
      </c>
      <c r="G450" s="2" t="str">
        <f t="shared" si="13"/>
        <v>Mike's Hard Lemonade|MORRIS 2</v>
      </c>
    </row>
    <row r="451" spans="1:7" x14ac:dyDescent="0.2">
      <c r="A451" s="2" t="str" cm="1">
        <f t="array" ref="A451">INDEX('[1]Brand Family Territory (Enc)'!$A$2:$A$296,INT((ROW()-2)/10)+1)</f>
        <v>Mike's Hard Lemonade</v>
      </c>
      <c r="B451" s="2" t="str" cm="1">
        <f t="array" ref="B451">INDEX('Whitelist (Blackout Reverse)'!$B$1:$K$1,MOD(ROW()-2,10)+1)</f>
        <v>MORRIS 3</v>
      </c>
      <c r="C451" s="2" t="str">
        <f>VLOOKUP(A451,'[1]Brand Family Territory (Enc)'!$A$2:$B$296,2,FALSE)</f>
        <v>Core Market</v>
      </c>
      <c r="D451" s="2">
        <f>IF(COUNTIFS('[1]Brand Family Territories (Enc)'!$B$2:$B$62,C451,'[1]Brand Family Territories (Enc)'!$C$2:$C$62,B451)&gt;0,1,IF(AND(LEFT(B451,6)="MORRIS",COUNTIFS('[1]Brand Family Territories (Enc)'!$B$2:$B$62,C451,'[1]Brand Family Territories (Enc)'!$C$2:$C$62,"Morri")&gt;0),"Unk",0))</f>
        <v>1</v>
      </c>
      <c r="E451" s="2" t="str">
        <f>IFERROR(INDEX('Blackout Brand Fam Areas (Enc)'!$D$6:$D$998,MATCH(UPPER(A451)&amp;"|"&amp;UPPER(B451),'Blackout Brand Fam Areas (Enc)'!$G$6:$G$998,0)),"No Match")</f>
        <v>No Match</v>
      </c>
      <c r="F451" s="2" t="str">
        <f t="shared" ref="F451:F514" si="14">IF(D451="Unk","Ambiguous (Source Truncated)",IF(E451="Inactive","THEM",IF(D451=1,"US",IF(D451="N/A","No Territory Data","THEM"))))</f>
        <v>US</v>
      </c>
      <c r="G451" s="2" t="str">
        <f t="shared" ref="G451:G514" si="15">A451&amp;"|"&amp;B451</f>
        <v>Mike's Hard Lemonade|MORRIS 3</v>
      </c>
    </row>
    <row r="452" spans="1:7" x14ac:dyDescent="0.2">
      <c r="A452" s="2" t="str" cm="1">
        <f t="array" ref="A452">INDEX('[1]Brand Family Territory (Enc)'!$A$2:$A$296,INT((ROW()-2)/10)+1)</f>
        <v>Mike's Hard Dirty Lemonade</v>
      </c>
      <c r="B452" s="2" t="str" cm="1">
        <f t="array" ref="B452">INDEX('Whitelist (Blackout Reverse)'!$B$1:$K$1,MOD(ROW()-2,10)+1)</f>
        <v>BERGEN</v>
      </c>
      <c r="C452" s="2" t="str">
        <f>VLOOKUP(A452,'[1]Brand Family Territory (Enc)'!$A$2:$B$296,2,FALSE)</f>
        <v>Core Market</v>
      </c>
      <c r="D452" s="2">
        <f>IF(COUNTIFS('[1]Brand Family Territories (Enc)'!$B$2:$B$62,C452,'[1]Brand Family Territories (Enc)'!$C$2:$C$62,B452)&gt;0,1,IF(AND(LEFT(B452,6)="MORRIS",COUNTIFS('[1]Brand Family Territories (Enc)'!$B$2:$B$62,C452,'[1]Brand Family Territories (Enc)'!$C$2:$C$62,"Morri")&gt;0),"Unk",0))</f>
        <v>1</v>
      </c>
      <c r="E452" s="2" t="str">
        <f>IFERROR(INDEX('Blackout Brand Fam Areas (Enc)'!$D$6:$D$998,MATCH(UPPER(A452)&amp;"|"&amp;UPPER(B452),'Blackout Brand Fam Areas (Enc)'!$G$6:$G$998,0)),"No Match")</f>
        <v>No Match</v>
      </c>
      <c r="F452" s="2" t="str">
        <f t="shared" si="14"/>
        <v>US</v>
      </c>
      <c r="G452" s="2" t="str">
        <f t="shared" si="15"/>
        <v>Mike's Hard Dirty Lemonade|BERGEN</v>
      </c>
    </row>
    <row r="453" spans="1:7" x14ac:dyDescent="0.2">
      <c r="A453" s="2" t="str" cm="1">
        <f t="array" ref="A453">INDEX('[1]Brand Family Territory (Enc)'!$A$2:$A$296,INT((ROW()-2)/10)+1)</f>
        <v>Mike's Hard Dirty Lemonade</v>
      </c>
      <c r="B453" s="2" t="str" cm="1">
        <f t="array" ref="B453">INDEX('Whitelist (Blackout Reverse)'!$B$1:$K$1,MOD(ROW()-2,10)+1)</f>
        <v>PASSAIC</v>
      </c>
      <c r="C453" s="2" t="str">
        <f>VLOOKUP(A453,'[1]Brand Family Territory (Enc)'!$A$2:$B$296,2,FALSE)</f>
        <v>Core Market</v>
      </c>
      <c r="D453" s="2">
        <f>IF(COUNTIFS('[1]Brand Family Territories (Enc)'!$B$2:$B$62,C453,'[1]Brand Family Territories (Enc)'!$C$2:$C$62,B453)&gt;0,1,IF(AND(LEFT(B453,6)="MORRIS",COUNTIFS('[1]Brand Family Territories (Enc)'!$B$2:$B$62,C453,'[1]Brand Family Territories (Enc)'!$C$2:$C$62,"Morri")&gt;0),"Unk",0))</f>
        <v>1</v>
      </c>
      <c r="E453" s="2" t="str">
        <f>IFERROR(INDEX('Blackout Brand Fam Areas (Enc)'!$D$6:$D$998,MATCH(UPPER(A453)&amp;"|"&amp;UPPER(B453),'Blackout Brand Fam Areas (Enc)'!$G$6:$G$998,0)),"No Match")</f>
        <v>No Match</v>
      </c>
      <c r="F453" s="2" t="str">
        <f t="shared" si="14"/>
        <v>US</v>
      </c>
      <c r="G453" s="2" t="str">
        <f t="shared" si="15"/>
        <v>Mike's Hard Dirty Lemonade|PASSAIC</v>
      </c>
    </row>
    <row r="454" spans="1:7" x14ac:dyDescent="0.2">
      <c r="A454" s="2" t="str" cm="1">
        <f t="array" ref="A454">INDEX('[1]Brand Family Territory (Enc)'!$A$2:$A$296,INT((ROW()-2)/10)+1)</f>
        <v>Mike's Hard Dirty Lemonade</v>
      </c>
      <c r="B454" s="2" t="str" cm="1">
        <f t="array" ref="B454">INDEX('Whitelist (Blackout Reverse)'!$B$1:$K$1,MOD(ROW()-2,10)+1)</f>
        <v>PASSAIC-FF</v>
      </c>
      <c r="C454" s="2" t="str">
        <f>VLOOKUP(A454,'[1]Brand Family Territory (Enc)'!$A$2:$B$296,2,FALSE)</f>
        <v>Core Market</v>
      </c>
      <c r="D454" s="2">
        <f>IF(COUNTIFS('[1]Brand Family Territories (Enc)'!$B$2:$B$62,C454,'[1]Brand Family Territories (Enc)'!$C$2:$C$62,B454)&gt;0,1,IF(AND(LEFT(B454,6)="MORRIS",COUNTIFS('[1]Brand Family Territories (Enc)'!$B$2:$B$62,C454,'[1]Brand Family Territories (Enc)'!$C$2:$C$62,"Morri")&gt;0),"Unk",0))</f>
        <v>1</v>
      </c>
      <c r="E454" s="2" t="str">
        <f>IFERROR(INDEX('Blackout Brand Fam Areas (Enc)'!$D$6:$D$998,MATCH(UPPER(A454)&amp;"|"&amp;UPPER(B454),'Blackout Brand Fam Areas (Enc)'!$G$6:$G$998,0)),"No Match")</f>
        <v>No Match</v>
      </c>
      <c r="F454" s="2" t="str">
        <f t="shared" si="14"/>
        <v>US</v>
      </c>
      <c r="G454" s="2" t="str">
        <f t="shared" si="15"/>
        <v>Mike's Hard Dirty Lemonade|PASSAIC-FF</v>
      </c>
    </row>
    <row r="455" spans="1:7" x14ac:dyDescent="0.2">
      <c r="A455" s="2" t="str" cm="1">
        <f t="array" ref="A455">INDEX('[1]Brand Family Territory (Enc)'!$A$2:$A$296,INT((ROW()-2)/10)+1)</f>
        <v>Mike's Hard Dirty Lemonade</v>
      </c>
      <c r="B455" s="2" t="str" cm="1">
        <f t="array" ref="B455">INDEX('Whitelist (Blackout Reverse)'!$B$1:$K$1,MOD(ROW()-2,10)+1)</f>
        <v>ESSEX</v>
      </c>
      <c r="C455" s="2" t="str">
        <f>VLOOKUP(A455,'[1]Brand Family Territory (Enc)'!$A$2:$B$296,2,FALSE)</f>
        <v>Core Market</v>
      </c>
      <c r="D455" s="2">
        <f>IF(COUNTIFS('[1]Brand Family Territories (Enc)'!$B$2:$B$62,C455,'[1]Brand Family Territories (Enc)'!$C$2:$C$62,B455)&gt;0,1,IF(AND(LEFT(B455,6)="MORRIS",COUNTIFS('[1]Brand Family Territories (Enc)'!$B$2:$B$62,C455,'[1]Brand Family Territories (Enc)'!$C$2:$C$62,"Morri")&gt;0),"Unk",0))</f>
        <v>0</v>
      </c>
      <c r="E455" s="2" t="str">
        <f>IFERROR(INDEX('Blackout Brand Fam Areas (Enc)'!$D$6:$D$998,MATCH(UPPER(A455)&amp;"|"&amp;UPPER(B455),'Blackout Brand Fam Areas (Enc)'!$G$6:$G$998,0)),"No Match")</f>
        <v>Inactive</v>
      </c>
      <c r="F455" s="2" t="str">
        <f t="shared" si="14"/>
        <v>THEM</v>
      </c>
      <c r="G455" s="2" t="str">
        <f t="shared" si="15"/>
        <v>Mike's Hard Dirty Lemonade|ESSEX</v>
      </c>
    </row>
    <row r="456" spans="1:7" x14ac:dyDescent="0.2">
      <c r="A456" s="2" t="str" cm="1">
        <f t="array" ref="A456">INDEX('[1]Brand Family Territory (Enc)'!$A$2:$A$296,INT((ROW()-2)/10)+1)</f>
        <v>Mike's Hard Dirty Lemonade</v>
      </c>
      <c r="B456" s="2" t="str" cm="1">
        <f t="array" ref="B456">INDEX('Whitelist (Blackout Reverse)'!$B$1:$K$1,MOD(ROW()-2,10)+1)</f>
        <v>HUDSON</v>
      </c>
      <c r="C456" s="2" t="str">
        <f>VLOOKUP(A456,'[1]Brand Family Territory (Enc)'!$A$2:$B$296,2,FALSE)</f>
        <v>Core Market</v>
      </c>
      <c r="D456" s="2">
        <f>IF(COUNTIFS('[1]Brand Family Territories (Enc)'!$B$2:$B$62,C456,'[1]Brand Family Territories (Enc)'!$C$2:$C$62,B456)&gt;0,1,IF(AND(LEFT(B456,6)="MORRIS",COUNTIFS('[1]Brand Family Territories (Enc)'!$B$2:$B$62,C456,'[1]Brand Family Territories (Enc)'!$C$2:$C$62,"Morri")&gt;0),"Unk",0))</f>
        <v>0</v>
      </c>
      <c r="E456" s="2" t="str">
        <f>IFERROR(INDEX('Blackout Brand Fam Areas (Enc)'!$D$6:$D$998,MATCH(UPPER(A456)&amp;"|"&amp;UPPER(B456),'Blackout Brand Fam Areas (Enc)'!$G$6:$G$998,0)),"No Match")</f>
        <v>Inactive</v>
      </c>
      <c r="F456" s="2" t="str">
        <f t="shared" si="14"/>
        <v>THEM</v>
      </c>
      <c r="G456" s="2" t="str">
        <f t="shared" si="15"/>
        <v>Mike's Hard Dirty Lemonade|HUDSON</v>
      </c>
    </row>
    <row r="457" spans="1:7" x14ac:dyDescent="0.2">
      <c r="A457" s="2" t="str" cm="1">
        <f t="array" ref="A457">INDEX('[1]Brand Family Territory (Enc)'!$A$2:$A$296,INT((ROW()-2)/10)+1)</f>
        <v>Mike's Hard Dirty Lemonade</v>
      </c>
      <c r="B457" s="2" t="str" cm="1">
        <f t="array" ref="B457">INDEX('Whitelist (Blackout Reverse)'!$B$1:$K$1,MOD(ROW()-2,10)+1)</f>
        <v>UNION</v>
      </c>
      <c r="C457" s="2" t="str">
        <f>VLOOKUP(A457,'[1]Brand Family Territory (Enc)'!$A$2:$B$296,2,FALSE)</f>
        <v>Core Market</v>
      </c>
      <c r="D457" s="2">
        <f>IF(COUNTIFS('[1]Brand Family Territories (Enc)'!$B$2:$B$62,C457,'[1]Brand Family Territories (Enc)'!$C$2:$C$62,B457)&gt;0,1,IF(AND(LEFT(B457,6)="MORRIS",COUNTIFS('[1]Brand Family Territories (Enc)'!$B$2:$B$62,C457,'[1]Brand Family Territories (Enc)'!$C$2:$C$62,"Morri")&gt;0),"Unk",0))</f>
        <v>0</v>
      </c>
      <c r="E457" s="2" t="str">
        <f>IFERROR(INDEX('Blackout Brand Fam Areas (Enc)'!$D$6:$D$998,MATCH(UPPER(A457)&amp;"|"&amp;UPPER(B457),'Blackout Brand Fam Areas (Enc)'!$G$6:$G$998,0)),"No Match")</f>
        <v>Inactive</v>
      </c>
      <c r="F457" s="2" t="str">
        <f t="shared" si="14"/>
        <v>THEM</v>
      </c>
      <c r="G457" s="2" t="str">
        <f t="shared" si="15"/>
        <v>Mike's Hard Dirty Lemonade|UNION</v>
      </c>
    </row>
    <row r="458" spans="1:7" x14ac:dyDescent="0.2">
      <c r="A458" s="2" t="str" cm="1">
        <f t="array" ref="A458">INDEX('[1]Brand Family Territory (Enc)'!$A$2:$A$296,INT((ROW()-2)/10)+1)</f>
        <v>Mike's Hard Dirty Lemonade</v>
      </c>
      <c r="B458" s="2" t="str" cm="1">
        <f t="array" ref="B458">INDEX('Whitelist (Blackout Reverse)'!$B$1:$K$1,MOD(ROW()-2,10)+1)</f>
        <v>SUSSEX</v>
      </c>
      <c r="C458" s="2" t="str">
        <f>VLOOKUP(A458,'[1]Brand Family Territory (Enc)'!$A$2:$B$296,2,FALSE)</f>
        <v>Core Market</v>
      </c>
      <c r="D458" s="2">
        <f>IF(COUNTIFS('[1]Brand Family Territories (Enc)'!$B$2:$B$62,C458,'[1]Brand Family Territories (Enc)'!$C$2:$C$62,B458)&gt;0,1,IF(AND(LEFT(B458,6)="MORRIS",COUNTIFS('[1]Brand Family Territories (Enc)'!$B$2:$B$62,C458,'[1]Brand Family Territories (Enc)'!$C$2:$C$62,"Morri")&gt;0),"Unk",0))</f>
        <v>1</v>
      </c>
      <c r="E458" s="2" t="str">
        <f>IFERROR(INDEX('Blackout Brand Fam Areas (Enc)'!$D$6:$D$998,MATCH(UPPER(A458)&amp;"|"&amp;UPPER(B458),'Blackout Brand Fam Areas (Enc)'!$G$6:$G$998,0)),"No Match")</f>
        <v>No Match</v>
      </c>
      <c r="F458" s="2" t="str">
        <f t="shared" si="14"/>
        <v>US</v>
      </c>
      <c r="G458" s="2" t="str">
        <f t="shared" si="15"/>
        <v>Mike's Hard Dirty Lemonade|SUSSEX</v>
      </c>
    </row>
    <row r="459" spans="1:7" x14ac:dyDescent="0.2">
      <c r="A459" s="2" t="str" cm="1">
        <f t="array" ref="A459">INDEX('[1]Brand Family Territory (Enc)'!$A$2:$A$296,INT((ROW()-2)/10)+1)</f>
        <v>Mike's Hard Dirty Lemonade</v>
      </c>
      <c r="B459" s="2" t="str" cm="1">
        <f t="array" ref="B459">INDEX('Whitelist (Blackout Reverse)'!$B$1:$K$1,MOD(ROW()-2,10)+1)</f>
        <v>MORRIS 1</v>
      </c>
      <c r="C459" s="2" t="str">
        <f>VLOOKUP(A459,'[1]Brand Family Territory (Enc)'!$A$2:$B$296,2,FALSE)</f>
        <v>Core Market</v>
      </c>
      <c r="D459" s="2">
        <f>IF(COUNTIFS('[1]Brand Family Territories (Enc)'!$B$2:$B$62,C459,'[1]Brand Family Territories (Enc)'!$C$2:$C$62,B459)&gt;0,1,IF(AND(LEFT(B459,6)="MORRIS",COUNTIFS('[1]Brand Family Territories (Enc)'!$B$2:$B$62,C459,'[1]Brand Family Territories (Enc)'!$C$2:$C$62,"Morri")&gt;0),"Unk",0))</f>
        <v>1</v>
      </c>
      <c r="E459" s="2" t="str">
        <f>IFERROR(INDEX('Blackout Brand Fam Areas (Enc)'!$D$6:$D$998,MATCH(UPPER(A459)&amp;"|"&amp;UPPER(B459),'Blackout Brand Fam Areas (Enc)'!$G$6:$G$998,0)),"No Match")</f>
        <v>No Match</v>
      </c>
      <c r="F459" s="2" t="str">
        <f t="shared" si="14"/>
        <v>US</v>
      </c>
      <c r="G459" s="2" t="str">
        <f t="shared" si="15"/>
        <v>Mike's Hard Dirty Lemonade|MORRIS 1</v>
      </c>
    </row>
    <row r="460" spans="1:7" x14ac:dyDescent="0.2">
      <c r="A460" s="2" t="str" cm="1">
        <f t="array" ref="A460">INDEX('[1]Brand Family Territory (Enc)'!$A$2:$A$296,INT((ROW()-2)/10)+1)</f>
        <v>Mike's Hard Dirty Lemonade</v>
      </c>
      <c r="B460" s="2" t="str" cm="1">
        <f t="array" ref="B460">INDEX('Whitelist (Blackout Reverse)'!$B$1:$K$1,MOD(ROW()-2,10)+1)</f>
        <v>MORRIS 2</v>
      </c>
      <c r="C460" s="2" t="str">
        <f>VLOOKUP(A460,'[1]Brand Family Territory (Enc)'!$A$2:$B$296,2,FALSE)</f>
        <v>Core Market</v>
      </c>
      <c r="D460" s="2">
        <f>IF(COUNTIFS('[1]Brand Family Territories (Enc)'!$B$2:$B$62,C460,'[1]Brand Family Territories (Enc)'!$C$2:$C$62,B460)&gt;0,1,IF(AND(LEFT(B460,6)="MORRIS",COUNTIFS('[1]Brand Family Territories (Enc)'!$B$2:$B$62,C460,'[1]Brand Family Territories (Enc)'!$C$2:$C$62,"Morri")&gt;0),"Unk",0))</f>
        <v>0</v>
      </c>
      <c r="E460" s="2" t="str">
        <f>IFERROR(INDEX('Blackout Brand Fam Areas (Enc)'!$D$6:$D$998,MATCH(UPPER(A460)&amp;"|"&amp;UPPER(B460),'Blackout Brand Fam Areas (Enc)'!$G$6:$G$998,0)),"No Match")</f>
        <v>Inactive</v>
      </c>
      <c r="F460" s="2" t="str">
        <f t="shared" si="14"/>
        <v>THEM</v>
      </c>
      <c r="G460" s="2" t="str">
        <f t="shared" si="15"/>
        <v>Mike's Hard Dirty Lemonade|MORRIS 2</v>
      </c>
    </row>
    <row r="461" spans="1:7" x14ac:dyDescent="0.2">
      <c r="A461" s="2" t="str" cm="1">
        <f t="array" ref="A461">INDEX('[1]Brand Family Territory (Enc)'!$A$2:$A$296,INT((ROW()-2)/10)+1)</f>
        <v>Mike's Hard Dirty Lemonade</v>
      </c>
      <c r="B461" s="2" t="str" cm="1">
        <f t="array" ref="B461">INDEX('Whitelist (Blackout Reverse)'!$B$1:$K$1,MOD(ROW()-2,10)+1)</f>
        <v>MORRIS 3</v>
      </c>
      <c r="C461" s="2" t="str">
        <f>VLOOKUP(A461,'[1]Brand Family Territory (Enc)'!$A$2:$B$296,2,FALSE)</f>
        <v>Core Market</v>
      </c>
      <c r="D461" s="2">
        <f>IF(COUNTIFS('[1]Brand Family Territories (Enc)'!$B$2:$B$62,C461,'[1]Brand Family Territories (Enc)'!$C$2:$C$62,B461)&gt;0,1,IF(AND(LEFT(B461,6)="MORRIS",COUNTIFS('[1]Brand Family Territories (Enc)'!$B$2:$B$62,C461,'[1]Brand Family Territories (Enc)'!$C$2:$C$62,"Morri")&gt;0),"Unk",0))</f>
        <v>1</v>
      </c>
      <c r="E461" s="2" t="str">
        <f>IFERROR(INDEX('Blackout Brand Fam Areas (Enc)'!$D$6:$D$998,MATCH(UPPER(A461)&amp;"|"&amp;UPPER(B461),'Blackout Brand Fam Areas (Enc)'!$G$6:$G$998,0)),"No Match")</f>
        <v>No Match</v>
      </c>
      <c r="F461" s="2" t="str">
        <f t="shared" si="14"/>
        <v>US</v>
      </c>
      <c r="G461" s="2" t="str">
        <f t="shared" si="15"/>
        <v>Mike's Hard Dirty Lemonade|MORRIS 3</v>
      </c>
    </row>
    <row r="462" spans="1:7" x14ac:dyDescent="0.2">
      <c r="A462" s="2" t="str" cm="1">
        <f t="array" ref="A462">INDEX('[1]Brand Family Territory (Enc)'!$A$2:$A$296,INT((ROW()-2)/10)+1)</f>
        <v>Mike's Harder</v>
      </c>
      <c r="B462" s="2" t="str" cm="1">
        <f t="array" ref="B462">INDEX('Whitelist (Blackout Reverse)'!$B$1:$K$1,MOD(ROW()-2,10)+1)</f>
        <v>BERGEN</v>
      </c>
      <c r="C462" s="2" t="str">
        <f>VLOOKUP(A462,'[1]Brand Family Territory (Enc)'!$A$2:$B$296,2,FALSE)</f>
        <v>Core Market</v>
      </c>
      <c r="D462" s="2">
        <f>IF(COUNTIFS('[1]Brand Family Territories (Enc)'!$B$2:$B$62,C462,'[1]Brand Family Territories (Enc)'!$C$2:$C$62,B462)&gt;0,1,IF(AND(LEFT(B462,6)="MORRIS",COUNTIFS('[1]Brand Family Territories (Enc)'!$B$2:$B$62,C462,'[1]Brand Family Territories (Enc)'!$C$2:$C$62,"Morri")&gt;0),"Unk",0))</f>
        <v>1</v>
      </c>
      <c r="E462" s="2" t="str">
        <f>IFERROR(INDEX('Blackout Brand Fam Areas (Enc)'!$D$6:$D$998,MATCH(UPPER(A462)&amp;"|"&amp;UPPER(B462),'Blackout Brand Fam Areas (Enc)'!$G$6:$G$998,0)),"No Match")</f>
        <v>No Match</v>
      </c>
      <c r="F462" s="2" t="str">
        <f t="shared" si="14"/>
        <v>US</v>
      </c>
      <c r="G462" s="2" t="str">
        <f t="shared" si="15"/>
        <v>Mike's Harder|BERGEN</v>
      </c>
    </row>
    <row r="463" spans="1:7" x14ac:dyDescent="0.2">
      <c r="A463" s="2" t="str" cm="1">
        <f t="array" ref="A463">INDEX('[1]Brand Family Territory (Enc)'!$A$2:$A$296,INT((ROW()-2)/10)+1)</f>
        <v>Mike's Harder</v>
      </c>
      <c r="B463" s="2" t="str" cm="1">
        <f t="array" ref="B463">INDEX('Whitelist (Blackout Reverse)'!$B$1:$K$1,MOD(ROW()-2,10)+1)</f>
        <v>PASSAIC</v>
      </c>
      <c r="C463" s="2" t="str">
        <f>VLOOKUP(A463,'[1]Brand Family Territory (Enc)'!$A$2:$B$296,2,FALSE)</f>
        <v>Core Market</v>
      </c>
      <c r="D463" s="2">
        <f>IF(COUNTIFS('[1]Brand Family Territories (Enc)'!$B$2:$B$62,C463,'[1]Brand Family Territories (Enc)'!$C$2:$C$62,B463)&gt;0,1,IF(AND(LEFT(B463,6)="MORRIS",COUNTIFS('[1]Brand Family Territories (Enc)'!$B$2:$B$62,C463,'[1]Brand Family Territories (Enc)'!$C$2:$C$62,"Morri")&gt;0),"Unk",0))</f>
        <v>1</v>
      </c>
      <c r="E463" s="2" t="str">
        <f>IFERROR(INDEX('Blackout Brand Fam Areas (Enc)'!$D$6:$D$998,MATCH(UPPER(A463)&amp;"|"&amp;UPPER(B463),'Blackout Brand Fam Areas (Enc)'!$G$6:$G$998,0)),"No Match")</f>
        <v>No Match</v>
      </c>
      <c r="F463" s="2" t="str">
        <f t="shared" si="14"/>
        <v>US</v>
      </c>
      <c r="G463" s="2" t="str">
        <f t="shared" si="15"/>
        <v>Mike's Harder|PASSAIC</v>
      </c>
    </row>
    <row r="464" spans="1:7" x14ac:dyDescent="0.2">
      <c r="A464" s="2" t="str" cm="1">
        <f t="array" ref="A464">INDEX('[1]Brand Family Territory (Enc)'!$A$2:$A$296,INT((ROW()-2)/10)+1)</f>
        <v>Mike's Harder</v>
      </c>
      <c r="B464" s="2" t="str" cm="1">
        <f t="array" ref="B464">INDEX('Whitelist (Blackout Reverse)'!$B$1:$K$1,MOD(ROW()-2,10)+1)</f>
        <v>PASSAIC-FF</v>
      </c>
      <c r="C464" s="2" t="str">
        <f>VLOOKUP(A464,'[1]Brand Family Territory (Enc)'!$A$2:$B$296,2,FALSE)</f>
        <v>Core Market</v>
      </c>
      <c r="D464" s="2">
        <f>IF(COUNTIFS('[1]Brand Family Territories (Enc)'!$B$2:$B$62,C464,'[1]Brand Family Territories (Enc)'!$C$2:$C$62,B464)&gt;0,1,IF(AND(LEFT(B464,6)="MORRIS",COUNTIFS('[1]Brand Family Territories (Enc)'!$B$2:$B$62,C464,'[1]Brand Family Territories (Enc)'!$C$2:$C$62,"Morri")&gt;0),"Unk",0))</f>
        <v>1</v>
      </c>
      <c r="E464" s="2" t="str">
        <f>IFERROR(INDEX('Blackout Brand Fam Areas (Enc)'!$D$6:$D$998,MATCH(UPPER(A464)&amp;"|"&amp;UPPER(B464),'Blackout Brand Fam Areas (Enc)'!$G$6:$G$998,0)),"No Match")</f>
        <v>No Match</v>
      </c>
      <c r="F464" s="2" t="str">
        <f t="shared" si="14"/>
        <v>US</v>
      </c>
      <c r="G464" s="2" t="str">
        <f t="shared" si="15"/>
        <v>Mike's Harder|PASSAIC-FF</v>
      </c>
    </row>
    <row r="465" spans="1:7" x14ac:dyDescent="0.2">
      <c r="A465" s="2" t="str" cm="1">
        <f t="array" ref="A465">INDEX('[1]Brand Family Territory (Enc)'!$A$2:$A$296,INT((ROW()-2)/10)+1)</f>
        <v>Mike's Harder</v>
      </c>
      <c r="B465" s="2" t="str" cm="1">
        <f t="array" ref="B465">INDEX('Whitelist (Blackout Reverse)'!$B$1:$K$1,MOD(ROW()-2,10)+1)</f>
        <v>ESSEX</v>
      </c>
      <c r="C465" s="2" t="str">
        <f>VLOOKUP(A465,'[1]Brand Family Territory (Enc)'!$A$2:$B$296,2,FALSE)</f>
        <v>Core Market</v>
      </c>
      <c r="D465" s="2">
        <f>IF(COUNTIFS('[1]Brand Family Territories (Enc)'!$B$2:$B$62,C465,'[1]Brand Family Territories (Enc)'!$C$2:$C$62,B465)&gt;0,1,IF(AND(LEFT(B465,6)="MORRIS",COUNTIFS('[1]Brand Family Territories (Enc)'!$B$2:$B$62,C465,'[1]Brand Family Territories (Enc)'!$C$2:$C$62,"Morri")&gt;0),"Unk",0))</f>
        <v>0</v>
      </c>
      <c r="E465" s="2" t="str">
        <f>IFERROR(INDEX('Blackout Brand Fam Areas (Enc)'!$D$6:$D$998,MATCH(UPPER(A465)&amp;"|"&amp;UPPER(B465),'Blackout Brand Fam Areas (Enc)'!$G$6:$G$998,0)),"No Match")</f>
        <v>Inactive</v>
      </c>
      <c r="F465" s="2" t="str">
        <f t="shared" si="14"/>
        <v>THEM</v>
      </c>
      <c r="G465" s="2" t="str">
        <f t="shared" si="15"/>
        <v>Mike's Harder|ESSEX</v>
      </c>
    </row>
    <row r="466" spans="1:7" x14ac:dyDescent="0.2">
      <c r="A466" s="2" t="str" cm="1">
        <f t="array" ref="A466">INDEX('[1]Brand Family Territory (Enc)'!$A$2:$A$296,INT((ROW()-2)/10)+1)</f>
        <v>Mike's Harder</v>
      </c>
      <c r="B466" s="2" t="str" cm="1">
        <f t="array" ref="B466">INDEX('Whitelist (Blackout Reverse)'!$B$1:$K$1,MOD(ROW()-2,10)+1)</f>
        <v>HUDSON</v>
      </c>
      <c r="C466" s="2" t="str">
        <f>VLOOKUP(A466,'[1]Brand Family Territory (Enc)'!$A$2:$B$296,2,FALSE)</f>
        <v>Core Market</v>
      </c>
      <c r="D466" s="2">
        <f>IF(COUNTIFS('[1]Brand Family Territories (Enc)'!$B$2:$B$62,C466,'[1]Brand Family Territories (Enc)'!$C$2:$C$62,B466)&gt;0,1,IF(AND(LEFT(B466,6)="MORRIS",COUNTIFS('[1]Brand Family Territories (Enc)'!$B$2:$B$62,C466,'[1]Brand Family Territories (Enc)'!$C$2:$C$62,"Morri")&gt;0),"Unk",0))</f>
        <v>0</v>
      </c>
      <c r="E466" s="2" t="str">
        <f>IFERROR(INDEX('Blackout Brand Fam Areas (Enc)'!$D$6:$D$998,MATCH(UPPER(A466)&amp;"|"&amp;UPPER(B466),'Blackout Brand Fam Areas (Enc)'!$G$6:$G$998,0)),"No Match")</f>
        <v>Inactive</v>
      </c>
      <c r="F466" s="2" t="str">
        <f t="shared" si="14"/>
        <v>THEM</v>
      </c>
      <c r="G466" s="2" t="str">
        <f t="shared" si="15"/>
        <v>Mike's Harder|HUDSON</v>
      </c>
    </row>
    <row r="467" spans="1:7" x14ac:dyDescent="0.2">
      <c r="A467" s="2" t="str" cm="1">
        <f t="array" ref="A467">INDEX('[1]Brand Family Territory (Enc)'!$A$2:$A$296,INT((ROW()-2)/10)+1)</f>
        <v>Mike's Harder</v>
      </c>
      <c r="B467" s="2" t="str" cm="1">
        <f t="array" ref="B467">INDEX('Whitelist (Blackout Reverse)'!$B$1:$K$1,MOD(ROW()-2,10)+1)</f>
        <v>UNION</v>
      </c>
      <c r="C467" s="2" t="str">
        <f>VLOOKUP(A467,'[1]Brand Family Territory (Enc)'!$A$2:$B$296,2,FALSE)</f>
        <v>Core Market</v>
      </c>
      <c r="D467" s="2">
        <f>IF(COUNTIFS('[1]Brand Family Territories (Enc)'!$B$2:$B$62,C467,'[1]Brand Family Territories (Enc)'!$C$2:$C$62,B467)&gt;0,1,IF(AND(LEFT(B467,6)="MORRIS",COUNTIFS('[1]Brand Family Territories (Enc)'!$B$2:$B$62,C467,'[1]Brand Family Territories (Enc)'!$C$2:$C$62,"Morri")&gt;0),"Unk",0))</f>
        <v>0</v>
      </c>
      <c r="E467" s="2" t="str">
        <f>IFERROR(INDEX('Blackout Brand Fam Areas (Enc)'!$D$6:$D$998,MATCH(UPPER(A467)&amp;"|"&amp;UPPER(B467),'Blackout Brand Fam Areas (Enc)'!$G$6:$G$998,0)),"No Match")</f>
        <v>Inactive</v>
      </c>
      <c r="F467" s="2" t="str">
        <f t="shared" si="14"/>
        <v>THEM</v>
      </c>
      <c r="G467" s="2" t="str">
        <f t="shared" si="15"/>
        <v>Mike's Harder|UNION</v>
      </c>
    </row>
    <row r="468" spans="1:7" x14ac:dyDescent="0.2">
      <c r="A468" s="2" t="str" cm="1">
        <f t="array" ref="A468">INDEX('[1]Brand Family Territory (Enc)'!$A$2:$A$296,INT((ROW()-2)/10)+1)</f>
        <v>Mike's Harder</v>
      </c>
      <c r="B468" s="2" t="str" cm="1">
        <f t="array" ref="B468">INDEX('Whitelist (Blackout Reverse)'!$B$1:$K$1,MOD(ROW()-2,10)+1)</f>
        <v>SUSSEX</v>
      </c>
      <c r="C468" s="2" t="str">
        <f>VLOOKUP(A468,'[1]Brand Family Territory (Enc)'!$A$2:$B$296,2,FALSE)</f>
        <v>Core Market</v>
      </c>
      <c r="D468" s="2">
        <f>IF(COUNTIFS('[1]Brand Family Territories (Enc)'!$B$2:$B$62,C468,'[1]Brand Family Territories (Enc)'!$C$2:$C$62,B468)&gt;0,1,IF(AND(LEFT(B468,6)="MORRIS",COUNTIFS('[1]Brand Family Territories (Enc)'!$B$2:$B$62,C468,'[1]Brand Family Territories (Enc)'!$C$2:$C$62,"Morri")&gt;0),"Unk",0))</f>
        <v>1</v>
      </c>
      <c r="E468" s="2" t="str">
        <f>IFERROR(INDEX('Blackout Brand Fam Areas (Enc)'!$D$6:$D$998,MATCH(UPPER(A468)&amp;"|"&amp;UPPER(B468),'Blackout Brand Fam Areas (Enc)'!$G$6:$G$998,0)),"No Match")</f>
        <v>No Match</v>
      </c>
      <c r="F468" s="2" t="str">
        <f t="shared" si="14"/>
        <v>US</v>
      </c>
      <c r="G468" s="2" t="str">
        <f t="shared" si="15"/>
        <v>Mike's Harder|SUSSEX</v>
      </c>
    </row>
    <row r="469" spans="1:7" x14ac:dyDescent="0.2">
      <c r="A469" s="2" t="str" cm="1">
        <f t="array" ref="A469">INDEX('[1]Brand Family Territory (Enc)'!$A$2:$A$296,INT((ROW()-2)/10)+1)</f>
        <v>Mike's Harder</v>
      </c>
      <c r="B469" s="2" t="str" cm="1">
        <f t="array" ref="B469">INDEX('Whitelist (Blackout Reverse)'!$B$1:$K$1,MOD(ROW()-2,10)+1)</f>
        <v>MORRIS 1</v>
      </c>
      <c r="C469" s="2" t="str">
        <f>VLOOKUP(A469,'[1]Brand Family Territory (Enc)'!$A$2:$B$296,2,FALSE)</f>
        <v>Core Market</v>
      </c>
      <c r="D469" s="2">
        <f>IF(COUNTIFS('[1]Brand Family Territories (Enc)'!$B$2:$B$62,C469,'[1]Brand Family Territories (Enc)'!$C$2:$C$62,B469)&gt;0,1,IF(AND(LEFT(B469,6)="MORRIS",COUNTIFS('[1]Brand Family Territories (Enc)'!$B$2:$B$62,C469,'[1]Brand Family Territories (Enc)'!$C$2:$C$62,"Morri")&gt;0),"Unk",0))</f>
        <v>1</v>
      </c>
      <c r="E469" s="2" t="str">
        <f>IFERROR(INDEX('Blackout Brand Fam Areas (Enc)'!$D$6:$D$998,MATCH(UPPER(A469)&amp;"|"&amp;UPPER(B469),'Blackout Brand Fam Areas (Enc)'!$G$6:$G$998,0)),"No Match")</f>
        <v>No Match</v>
      </c>
      <c r="F469" s="2" t="str">
        <f t="shared" si="14"/>
        <v>US</v>
      </c>
      <c r="G469" s="2" t="str">
        <f t="shared" si="15"/>
        <v>Mike's Harder|MORRIS 1</v>
      </c>
    </row>
    <row r="470" spans="1:7" x14ac:dyDescent="0.2">
      <c r="A470" s="2" t="str" cm="1">
        <f t="array" ref="A470">INDEX('[1]Brand Family Territory (Enc)'!$A$2:$A$296,INT((ROW()-2)/10)+1)</f>
        <v>Mike's Harder</v>
      </c>
      <c r="B470" s="2" t="str" cm="1">
        <f t="array" ref="B470">INDEX('Whitelist (Blackout Reverse)'!$B$1:$K$1,MOD(ROW()-2,10)+1)</f>
        <v>MORRIS 2</v>
      </c>
      <c r="C470" s="2" t="str">
        <f>VLOOKUP(A470,'[1]Brand Family Territory (Enc)'!$A$2:$B$296,2,FALSE)</f>
        <v>Core Market</v>
      </c>
      <c r="D470" s="2">
        <f>IF(COUNTIFS('[1]Brand Family Territories (Enc)'!$B$2:$B$62,C470,'[1]Brand Family Territories (Enc)'!$C$2:$C$62,B470)&gt;0,1,IF(AND(LEFT(B470,6)="MORRIS",COUNTIFS('[1]Brand Family Territories (Enc)'!$B$2:$B$62,C470,'[1]Brand Family Territories (Enc)'!$C$2:$C$62,"Morri")&gt;0),"Unk",0))</f>
        <v>0</v>
      </c>
      <c r="E470" s="2" t="str">
        <f>IFERROR(INDEX('Blackout Brand Fam Areas (Enc)'!$D$6:$D$998,MATCH(UPPER(A470)&amp;"|"&amp;UPPER(B470),'Blackout Brand Fam Areas (Enc)'!$G$6:$G$998,0)),"No Match")</f>
        <v>Inactive</v>
      </c>
      <c r="F470" s="2" t="str">
        <f t="shared" si="14"/>
        <v>THEM</v>
      </c>
      <c r="G470" s="2" t="str">
        <f t="shared" si="15"/>
        <v>Mike's Harder|MORRIS 2</v>
      </c>
    </row>
    <row r="471" spans="1:7" x14ac:dyDescent="0.2">
      <c r="A471" s="2" t="str" cm="1">
        <f t="array" ref="A471">INDEX('[1]Brand Family Territory (Enc)'!$A$2:$A$296,INT((ROW()-2)/10)+1)</f>
        <v>Mike's Harder</v>
      </c>
      <c r="B471" s="2" t="str" cm="1">
        <f t="array" ref="B471">INDEX('Whitelist (Blackout Reverse)'!$B$1:$K$1,MOD(ROW()-2,10)+1)</f>
        <v>MORRIS 3</v>
      </c>
      <c r="C471" s="2" t="str">
        <f>VLOOKUP(A471,'[1]Brand Family Territory (Enc)'!$A$2:$B$296,2,FALSE)</f>
        <v>Core Market</v>
      </c>
      <c r="D471" s="2">
        <f>IF(COUNTIFS('[1]Brand Family Territories (Enc)'!$B$2:$B$62,C471,'[1]Brand Family Territories (Enc)'!$C$2:$C$62,B471)&gt;0,1,IF(AND(LEFT(B471,6)="MORRIS",COUNTIFS('[1]Brand Family Territories (Enc)'!$B$2:$B$62,C471,'[1]Brand Family Territories (Enc)'!$C$2:$C$62,"Morri")&gt;0),"Unk",0))</f>
        <v>1</v>
      </c>
      <c r="E471" s="2" t="str">
        <f>IFERROR(INDEX('Blackout Brand Fam Areas (Enc)'!$D$6:$D$998,MATCH(UPPER(A471)&amp;"|"&amp;UPPER(B471),'Blackout Brand Fam Areas (Enc)'!$G$6:$G$998,0)),"No Match")</f>
        <v>No Match</v>
      </c>
      <c r="F471" s="2" t="str">
        <f t="shared" si="14"/>
        <v>US</v>
      </c>
      <c r="G471" s="2" t="str">
        <f t="shared" si="15"/>
        <v>Mike's Harder|MORRIS 3</v>
      </c>
    </row>
    <row r="472" spans="1:7" x14ac:dyDescent="0.2">
      <c r="A472" s="2" t="str" cm="1">
        <f t="array" ref="A472">INDEX('[1]Brand Family Territory (Enc)'!$A$2:$A$296,INT((ROW()-2)/10)+1)</f>
        <v>Miller Extra Light</v>
      </c>
      <c r="B472" s="2" t="str" cm="1">
        <f t="array" ref="B472">INDEX('Whitelist (Blackout Reverse)'!$B$1:$K$1,MOD(ROW()-2,10)+1)</f>
        <v>BERGEN</v>
      </c>
      <c r="C472" s="2" t="str">
        <f>VLOOKUP(A472,'[1]Brand Family Territory (Enc)'!$A$2:$B$296,2,FALSE)</f>
        <v>Core Market</v>
      </c>
      <c r="D472" s="2">
        <f>IF(COUNTIFS('[1]Brand Family Territories (Enc)'!$B$2:$B$62,C472,'[1]Brand Family Territories (Enc)'!$C$2:$C$62,B472)&gt;0,1,IF(AND(LEFT(B472,6)="MORRIS",COUNTIFS('[1]Brand Family Territories (Enc)'!$B$2:$B$62,C472,'[1]Brand Family Territories (Enc)'!$C$2:$C$62,"Morri")&gt;0),"Unk",0))</f>
        <v>1</v>
      </c>
      <c r="E472" s="2" t="str">
        <f>IFERROR(INDEX('Blackout Brand Fam Areas (Enc)'!$D$6:$D$998,MATCH(UPPER(A472)&amp;"|"&amp;UPPER(B472),'Blackout Brand Fam Areas (Enc)'!$G$6:$G$998,0)),"No Match")</f>
        <v>No Match</v>
      </c>
      <c r="F472" s="2" t="str">
        <f t="shared" si="14"/>
        <v>US</v>
      </c>
      <c r="G472" s="2" t="str">
        <f t="shared" si="15"/>
        <v>Miller Extra Light|BERGEN</v>
      </c>
    </row>
    <row r="473" spans="1:7" x14ac:dyDescent="0.2">
      <c r="A473" s="2" t="str" cm="1">
        <f t="array" ref="A473">INDEX('[1]Brand Family Territory (Enc)'!$A$2:$A$296,INT((ROW()-2)/10)+1)</f>
        <v>Miller Extra Light</v>
      </c>
      <c r="B473" s="2" t="str" cm="1">
        <f t="array" ref="B473">INDEX('Whitelist (Blackout Reverse)'!$B$1:$K$1,MOD(ROW()-2,10)+1)</f>
        <v>PASSAIC</v>
      </c>
      <c r="C473" s="2" t="str">
        <f>VLOOKUP(A473,'[1]Brand Family Territory (Enc)'!$A$2:$B$296,2,FALSE)</f>
        <v>Core Market</v>
      </c>
      <c r="D473" s="2">
        <f>IF(COUNTIFS('[1]Brand Family Territories (Enc)'!$B$2:$B$62,C473,'[1]Brand Family Territories (Enc)'!$C$2:$C$62,B473)&gt;0,1,IF(AND(LEFT(B473,6)="MORRIS",COUNTIFS('[1]Brand Family Territories (Enc)'!$B$2:$B$62,C473,'[1]Brand Family Territories (Enc)'!$C$2:$C$62,"Morri")&gt;0),"Unk",0))</f>
        <v>1</v>
      </c>
      <c r="E473" s="2" t="str">
        <f>IFERROR(INDEX('Blackout Brand Fam Areas (Enc)'!$D$6:$D$998,MATCH(UPPER(A473)&amp;"|"&amp;UPPER(B473),'Blackout Brand Fam Areas (Enc)'!$G$6:$G$998,0)),"No Match")</f>
        <v>No Match</v>
      </c>
      <c r="F473" s="2" t="str">
        <f t="shared" si="14"/>
        <v>US</v>
      </c>
      <c r="G473" s="2" t="str">
        <f t="shared" si="15"/>
        <v>Miller Extra Light|PASSAIC</v>
      </c>
    </row>
    <row r="474" spans="1:7" x14ac:dyDescent="0.2">
      <c r="A474" s="2" t="str" cm="1">
        <f t="array" ref="A474">INDEX('[1]Brand Family Territory (Enc)'!$A$2:$A$296,INT((ROW()-2)/10)+1)</f>
        <v>Miller Extra Light</v>
      </c>
      <c r="B474" s="2" t="str" cm="1">
        <f t="array" ref="B474">INDEX('Whitelist (Blackout Reverse)'!$B$1:$K$1,MOD(ROW()-2,10)+1)</f>
        <v>PASSAIC-FF</v>
      </c>
      <c r="C474" s="2" t="str">
        <f>VLOOKUP(A474,'[1]Brand Family Territory (Enc)'!$A$2:$B$296,2,FALSE)</f>
        <v>Core Market</v>
      </c>
      <c r="D474" s="2">
        <f>IF(COUNTIFS('[1]Brand Family Territories (Enc)'!$B$2:$B$62,C474,'[1]Brand Family Territories (Enc)'!$C$2:$C$62,B474)&gt;0,1,IF(AND(LEFT(B474,6)="MORRIS",COUNTIFS('[1]Brand Family Territories (Enc)'!$B$2:$B$62,C474,'[1]Brand Family Territories (Enc)'!$C$2:$C$62,"Morri")&gt;0),"Unk",0))</f>
        <v>1</v>
      </c>
      <c r="E474" s="2" t="str">
        <f>IFERROR(INDEX('Blackout Brand Fam Areas (Enc)'!$D$6:$D$998,MATCH(UPPER(A474)&amp;"|"&amp;UPPER(B474),'Blackout Brand Fam Areas (Enc)'!$G$6:$G$998,0)),"No Match")</f>
        <v>No Match</v>
      </c>
      <c r="F474" s="2" t="str">
        <f t="shared" si="14"/>
        <v>US</v>
      </c>
      <c r="G474" s="2" t="str">
        <f t="shared" si="15"/>
        <v>Miller Extra Light|PASSAIC-FF</v>
      </c>
    </row>
    <row r="475" spans="1:7" x14ac:dyDescent="0.2">
      <c r="A475" s="2" t="str" cm="1">
        <f t="array" ref="A475">INDEX('[1]Brand Family Territory (Enc)'!$A$2:$A$296,INT((ROW()-2)/10)+1)</f>
        <v>Miller Extra Light</v>
      </c>
      <c r="B475" s="2" t="str" cm="1">
        <f t="array" ref="B475">INDEX('Whitelist (Blackout Reverse)'!$B$1:$K$1,MOD(ROW()-2,10)+1)</f>
        <v>ESSEX</v>
      </c>
      <c r="C475" s="2" t="str">
        <f>VLOOKUP(A475,'[1]Brand Family Territory (Enc)'!$A$2:$B$296,2,FALSE)</f>
        <v>Core Market</v>
      </c>
      <c r="D475" s="2">
        <f>IF(COUNTIFS('[1]Brand Family Territories (Enc)'!$B$2:$B$62,C475,'[1]Brand Family Territories (Enc)'!$C$2:$C$62,B475)&gt;0,1,IF(AND(LEFT(B475,6)="MORRIS",COUNTIFS('[1]Brand Family Territories (Enc)'!$B$2:$B$62,C475,'[1]Brand Family Territories (Enc)'!$C$2:$C$62,"Morri")&gt;0),"Unk",0))</f>
        <v>0</v>
      </c>
      <c r="E475" s="2" t="str">
        <f>IFERROR(INDEX('Blackout Brand Fam Areas (Enc)'!$D$6:$D$998,MATCH(UPPER(A475)&amp;"|"&amp;UPPER(B475),'Blackout Brand Fam Areas (Enc)'!$G$6:$G$998,0)),"No Match")</f>
        <v>Inactive</v>
      </c>
      <c r="F475" s="2" t="str">
        <f t="shared" si="14"/>
        <v>THEM</v>
      </c>
      <c r="G475" s="2" t="str">
        <f t="shared" si="15"/>
        <v>Miller Extra Light|ESSEX</v>
      </c>
    </row>
    <row r="476" spans="1:7" x14ac:dyDescent="0.2">
      <c r="A476" s="2" t="str" cm="1">
        <f t="array" ref="A476">INDEX('[1]Brand Family Territory (Enc)'!$A$2:$A$296,INT((ROW()-2)/10)+1)</f>
        <v>Miller Extra Light</v>
      </c>
      <c r="B476" s="2" t="str" cm="1">
        <f t="array" ref="B476">INDEX('Whitelist (Blackout Reverse)'!$B$1:$K$1,MOD(ROW()-2,10)+1)</f>
        <v>HUDSON</v>
      </c>
      <c r="C476" s="2" t="str">
        <f>VLOOKUP(A476,'[1]Brand Family Territory (Enc)'!$A$2:$B$296,2,FALSE)</f>
        <v>Core Market</v>
      </c>
      <c r="D476" s="2">
        <f>IF(COUNTIFS('[1]Brand Family Territories (Enc)'!$B$2:$B$62,C476,'[1]Brand Family Territories (Enc)'!$C$2:$C$62,B476)&gt;0,1,IF(AND(LEFT(B476,6)="MORRIS",COUNTIFS('[1]Brand Family Territories (Enc)'!$B$2:$B$62,C476,'[1]Brand Family Territories (Enc)'!$C$2:$C$62,"Morri")&gt;0),"Unk",0))</f>
        <v>0</v>
      </c>
      <c r="E476" s="2" t="str">
        <f>IFERROR(INDEX('Blackout Brand Fam Areas (Enc)'!$D$6:$D$998,MATCH(UPPER(A476)&amp;"|"&amp;UPPER(B476),'Blackout Brand Fam Areas (Enc)'!$G$6:$G$998,0)),"No Match")</f>
        <v>Inactive</v>
      </c>
      <c r="F476" s="2" t="str">
        <f t="shared" si="14"/>
        <v>THEM</v>
      </c>
      <c r="G476" s="2" t="str">
        <f t="shared" si="15"/>
        <v>Miller Extra Light|HUDSON</v>
      </c>
    </row>
    <row r="477" spans="1:7" x14ac:dyDescent="0.2">
      <c r="A477" s="2" t="str" cm="1">
        <f t="array" ref="A477">INDEX('[1]Brand Family Territory (Enc)'!$A$2:$A$296,INT((ROW()-2)/10)+1)</f>
        <v>Miller Extra Light</v>
      </c>
      <c r="B477" s="2" t="str" cm="1">
        <f t="array" ref="B477">INDEX('Whitelist (Blackout Reverse)'!$B$1:$K$1,MOD(ROW()-2,10)+1)</f>
        <v>UNION</v>
      </c>
      <c r="C477" s="2" t="str">
        <f>VLOOKUP(A477,'[1]Brand Family Territory (Enc)'!$A$2:$B$296,2,FALSE)</f>
        <v>Core Market</v>
      </c>
      <c r="D477" s="2">
        <f>IF(COUNTIFS('[1]Brand Family Territories (Enc)'!$B$2:$B$62,C477,'[1]Brand Family Territories (Enc)'!$C$2:$C$62,B477)&gt;0,1,IF(AND(LEFT(B477,6)="MORRIS",COUNTIFS('[1]Brand Family Territories (Enc)'!$B$2:$B$62,C477,'[1]Brand Family Territories (Enc)'!$C$2:$C$62,"Morri")&gt;0),"Unk",0))</f>
        <v>0</v>
      </c>
      <c r="E477" s="2" t="str">
        <f>IFERROR(INDEX('Blackout Brand Fam Areas (Enc)'!$D$6:$D$998,MATCH(UPPER(A477)&amp;"|"&amp;UPPER(B477),'Blackout Brand Fam Areas (Enc)'!$G$6:$G$998,0)),"No Match")</f>
        <v>Inactive</v>
      </c>
      <c r="F477" s="2" t="str">
        <f t="shared" si="14"/>
        <v>THEM</v>
      </c>
      <c r="G477" s="2" t="str">
        <f t="shared" si="15"/>
        <v>Miller Extra Light|UNION</v>
      </c>
    </row>
    <row r="478" spans="1:7" x14ac:dyDescent="0.2">
      <c r="A478" s="2" t="str" cm="1">
        <f t="array" ref="A478">INDEX('[1]Brand Family Territory (Enc)'!$A$2:$A$296,INT((ROW()-2)/10)+1)</f>
        <v>Miller Extra Light</v>
      </c>
      <c r="B478" s="2" t="str" cm="1">
        <f t="array" ref="B478">INDEX('Whitelist (Blackout Reverse)'!$B$1:$K$1,MOD(ROW()-2,10)+1)</f>
        <v>SUSSEX</v>
      </c>
      <c r="C478" s="2" t="str">
        <f>VLOOKUP(A478,'[1]Brand Family Territory (Enc)'!$A$2:$B$296,2,FALSE)</f>
        <v>Core Market</v>
      </c>
      <c r="D478" s="2">
        <f>IF(COUNTIFS('[1]Brand Family Territories (Enc)'!$B$2:$B$62,C478,'[1]Brand Family Territories (Enc)'!$C$2:$C$62,B478)&gt;0,1,IF(AND(LEFT(B478,6)="MORRIS",COUNTIFS('[1]Brand Family Territories (Enc)'!$B$2:$B$62,C478,'[1]Brand Family Territories (Enc)'!$C$2:$C$62,"Morri")&gt;0),"Unk",0))</f>
        <v>1</v>
      </c>
      <c r="E478" s="2" t="str">
        <f>IFERROR(INDEX('Blackout Brand Fam Areas (Enc)'!$D$6:$D$998,MATCH(UPPER(A478)&amp;"|"&amp;UPPER(B478),'Blackout Brand Fam Areas (Enc)'!$G$6:$G$998,0)),"No Match")</f>
        <v>No Match</v>
      </c>
      <c r="F478" s="2" t="str">
        <f t="shared" si="14"/>
        <v>US</v>
      </c>
      <c r="G478" s="2" t="str">
        <f t="shared" si="15"/>
        <v>Miller Extra Light|SUSSEX</v>
      </c>
    </row>
    <row r="479" spans="1:7" x14ac:dyDescent="0.2">
      <c r="A479" s="2" t="str" cm="1">
        <f t="array" ref="A479">INDEX('[1]Brand Family Territory (Enc)'!$A$2:$A$296,INT((ROW()-2)/10)+1)</f>
        <v>Miller Extra Light</v>
      </c>
      <c r="B479" s="2" t="str" cm="1">
        <f t="array" ref="B479">INDEX('Whitelist (Blackout Reverse)'!$B$1:$K$1,MOD(ROW()-2,10)+1)</f>
        <v>MORRIS 1</v>
      </c>
      <c r="C479" s="2" t="str">
        <f>VLOOKUP(A479,'[1]Brand Family Territory (Enc)'!$A$2:$B$296,2,FALSE)</f>
        <v>Core Market</v>
      </c>
      <c r="D479" s="2">
        <f>IF(COUNTIFS('[1]Brand Family Territories (Enc)'!$B$2:$B$62,C479,'[1]Brand Family Territories (Enc)'!$C$2:$C$62,B479)&gt;0,1,IF(AND(LEFT(B479,6)="MORRIS",COUNTIFS('[1]Brand Family Territories (Enc)'!$B$2:$B$62,C479,'[1]Brand Family Territories (Enc)'!$C$2:$C$62,"Morri")&gt;0),"Unk",0))</f>
        <v>1</v>
      </c>
      <c r="E479" s="2" t="str">
        <f>IFERROR(INDEX('Blackout Brand Fam Areas (Enc)'!$D$6:$D$998,MATCH(UPPER(A479)&amp;"|"&amp;UPPER(B479),'Blackout Brand Fam Areas (Enc)'!$G$6:$G$998,0)),"No Match")</f>
        <v>No Match</v>
      </c>
      <c r="F479" s="2" t="str">
        <f t="shared" si="14"/>
        <v>US</v>
      </c>
      <c r="G479" s="2" t="str">
        <f t="shared" si="15"/>
        <v>Miller Extra Light|MORRIS 1</v>
      </c>
    </row>
    <row r="480" spans="1:7" x14ac:dyDescent="0.2">
      <c r="A480" s="2" t="str" cm="1">
        <f t="array" ref="A480">INDEX('[1]Brand Family Territory (Enc)'!$A$2:$A$296,INT((ROW()-2)/10)+1)</f>
        <v>Miller Extra Light</v>
      </c>
      <c r="B480" s="2" t="str" cm="1">
        <f t="array" ref="B480">INDEX('Whitelist (Blackout Reverse)'!$B$1:$K$1,MOD(ROW()-2,10)+1)</f>
        <v>MORRIS 2</v>
      </c>
      <c r="C480" s="2" t="str">
        <f>VLOOKUP(A480,'[1]Brand Family Territory (Enc)'!$A$2:$B$296,2,FALSE)</f>
        <v>Core Market</v>
      </c>
      <c r="D480" s="2">
        <f>IF(COUNTIFS('[1]Brand Family Territories (Enc)'!$B$2:$B$62,C480,'[1]Brand Family Territories (Enc)'!$C$2:$C$62,B480)&gt;0,1,IF(AND(LEFT(B480,6)="MORRIS",COUNTIFS('[1]Brand Family Territories (Enc)'!$B$2:$B$62,C480,'[1]Brand Family Territories (Enc)'!$C$2:$C$62,"Morri")&gt;0),"Unk",0))</f>
        <v>0</v>
      </c>
      <c r="E480" s="2" t="str">
        <f>IFERROR(INDEX('Blackout Brand Fam Areas (Enc)'!$D$6:$D$998,MATCH(UPPER(A480)&amp;"|"&amp;UPPER(B480),'Blackout Brand Fam Areas (Enc)'!$G$6:$G$998,0)),"No Match")</f>
        <v>Active</v>
      </c>
      <c r="F480" s="2" t="str">
        <f t="shared" si="14"/>
        <v>THEM</v>
      </c>
      <c r="G480" s="2" t="str">
        <f t="shared" si="15"/>
        <v>Miller Extra Light|MORRIS 2</v>
      </c>
    </row>
    <row r="481" spans="1:7" x14ac:dyDescent="0.2">
      <c r="A481" s="2" t="str" cm="1">
        <f t="array" ref="A481">INDEX('[1]Brand Family Territory (Enc)'!$A$2:$A$296,INT((ROW()-2)/10)+1)</f>
        <v>Miller Extra Light</v>
      </c>
      <c r="B481" s="2" t="str" cm="1">
        <f t="array" ref="B481">INDEX('Whitelist (Blackout Reverse)'!$B$1:$K$1,MOD(ROW()-2,10)+1)</f>
        <v>MORRIS 3</v>
      </c>
      <c r="C481" s="2" t="str">
        <f>VLOOKUP(A481,'[1]Brand Family Territory (Enc)'!$A$2:$B$296,2,FALSE)</f>
        <v>Core Market</v>
      </c>
      <c r="D481" s="2">
        <f>IF(COUNTIFS('[1]Brand Family Territories (Enc)'!$B$2:$B$62,C481,'[1]Brand Family Territories (Enc)'!$C$2:$C$62,B481)&gt;0,1,IF(AND(LEFT(B481,6)="MORRIS",COUNTIFS('[1]Brand Family Territories (Enc)'!$B$2:$B$62,C481,'[1]Brand Family Territories (Enc)'!$C$2:$C$62,"Morri")&gt;0),"Unk",0))</f>
        <v>1</v>
      </c>
      <c r="E481" s="2" t="str">
        <f>IFERROR(INDEX('Blackout Brand Fam Areas (Enc)'!$D$6:$D$998,MATCH(UPPER(A481)&amp;"|"&amp;UPPER(B481),'Blackout Brand Fam Areas (Enc)'!$G$6:$G$998,0)),"No Match")</f>
        <v>No Match</v>
      </c>
      <c r="F481" s="2" t="str">
        <f t="shared" si="14"/>
        <v>US</v>
      </c>
      <c r="G481" s="2" t="str">
        <f t="shared" si="15"/>
        <v>Miller Extra Light|MORRIS 3</v>
      </c>
    </row>
    <row r="482" spans="1:7" x14ac:dyDescent="0.2">
      <c r="A482" s="2" t="str" cm="1">
        <f t="array" ref="A482">INDEX('[1]Brand Family Territory (Enc)'!$A$2:$A$296,INT((ROW()-2)/10)+1)</f>
        <v>Miller Genuine Draft</v>
      </c>
      <c r="B482" s="2" t="str" cm="1">
        <f t="array" ref="B482">INDEX('Whitelist (Blackout Reverse)'!$B$1:$K$1,MOD(ROW()-2,10)+1)</f>
        <v>BERGEN</v>
      </c>
      <c r="C482" s="2" t="str">
        <f>VLOOKUP(A482,'[1]Brand Family Territory (Enc)'!$A$2:$B$296,2,FALSE)</f>
        <v>Core Market</v>
      </c>
      <c r="D482" s="2">
        <f>IF(COUNTIFS('[1]Brand Family Territories (Enc)'!$B$2:$B$62,C482,'[1]Brand Family Territories (Enc)'!$C$2:$C$62,B482)&gt;0,1,IF(AND(LEFT(B482,6)="MORRIS",COUNTIFS('[1]Brand Family Territories (Enc)'!$B$2:$B$62,C482,'[1]Brand Family Territories (Enc)'!$C$2:$C$62,"Morri")&gt;0),"Unk",0))</f>
        <v>1</v>
      </c>
      <c r="E482" s="2" t="str">
        <f>IFERROR(INDEX('Blackout Brand Fam Areas (Enc)'!$D$6:$D$998,MATCH(UPPER(A482)&amp;"|"&amp;UPPER(B482),'Blackout Brand Fam Areas (Enc)'!$G$6:$G$998,0)),"No Match")</f>
        <v>No Match</v>
      </c>
      <c r="F482" s="2" t="str">
        <f t="shared" si="14"/>
        <v>US</v>
      </c>
      <c r="G482" s="2" t="str">
        <f t="shared" si="15"/>
        <v>Miller Genuine Draft|BERGEN</v>
      </c>
    </row>
    <row r="483" spans="1:7" x14ac:dyDescent="0.2">
      <c r="A483" s="2" t="str" cm="1">
        <f t="array" ref="A483">INDEX('[1]Brand Family Territory (Enc)'!$A$2:$A$296,INT((ROW()-2)/10)+1)</f>
        <v>Miller Genuine Draft</v>
      </c>
      <c r="B483" s="2" t="str" cm="1">
        <f t="array" ref="B483">INDEX('Whitelist (Blackout Reverse)'!$B$1:$K$1,MOD(ROW()-2,10)+1)</f>
        <v>PASSAIC</v>
      </c>
      <c r="C483" s="2" t="str">
        <f>VLOOKUP(A483,'[1]Brand Family Territory (Enc)'!$A$2:$B$296,2,FALSE)</f>
        <v>Core Market</v>
      </c>
      <c r="D483" s="2">
        <f>IF(COUNTIFS('[1]Brand Family Territories (Enc)'!$B$2:$B$62,C483,'[1]Brand Family Territories (Enc)'!$C$2:$C$62,B483)&gt;0,1,IF(AND(LEFT(B483,6)="MORRIS",COUNTIFS('[1]Brand Family Territories (Enc)'!$B$2:$B$62,C483,'[1]Brand Family Territories (Enc)'!$C$2:$C$62,"Morri")&gt;0),"Unk",0))</f>
        <v>1</v>
      </c>
      <c r="E483" s="2" t="str">
        <f>IFERROR(INDEX('Blackout Brand Fam Areas (Enc)'!$D$6:$D$998,MATCH(UPPER(A483)&amp;"|"&amp;UPPER(B483),'Blackout Brand Fam Areas (Enc)'!$G$6:$G$998,0)),"No Match")</f>
        <v>No Match</v>
      </c>
      <c r="F483" s="2" t="str">
        <f t="shared" si="14"/>
        <v>US</v>
      </c>
      <c r="G483" s="2" t="str">
        <f t="shared" si="15"/>
        <v>Miller Genuine Draft|PASSAIC</v>
      </c>
    </row>
    <row r="484" spans="1:7" x14ac:dyDescent="0.2">
      <c r="A484" s="2" t="str" cm="1">
        <f t="array" ref="A484">INDEX('[1]Brand Family Territory (Enc)'!$A$2:$A$296,INT((ROW()-2)/10)+1)</f>
        <v>Miller Genuine Draft</v>
      </c>
      <c r="B484" s="2" t="str" cm="1">
        <f t="array" ref="B484">INDEX('Whitelist (Blackout Reverse)'!$B$1:$K$1,MOD(ROW()-2,10)+1)</f>
        <v>PASSAIC-FF</v>
      </c>
      <c r="C484" s="2" t="str">
        <f>VLOOKUP(A484,'[1]Brand Family Territory (Enc)'!$A$2:$B$296,2,FALSE)</f>
        <v>Core Market</v>
      </c>
      <c r="D484" s="2">
        <f>IF(COUNTIFS('[1]Brand Family Territories (Enc)'!$B$2:$B$62,C484,'[1]Brand Family Territories (Enc)'!$C$2:$C$62,B484)&gt;0,1,IF(AND(LEFT(B484,6)="MORRIS",COUNTIFS('[1]Brand Family Territories (Enc)'!$B$2:$B$62,C484,'[1]Brand Family Territories (Enc)'!$C$2:$C$62,"Morri")&gt;0),"Unk",0))</f>
        <v>1</v>
      </c>
      <c r="E484" s="2" t="str">
        <f>IFERROR(INDEX('Blackout Brand Fam Areas (Enc)'!$D$6:$D$998,MATCH(UPPER(A484)&amp;"|"&amp;UPPER(B484),'Blackout Brand Fam Areas (Enc)'!$G$6:$G$998,0)),"No Match")</f>
        <v>No Match</v>
      </c>
      <c r="F484" s="2" t="str">
        <f t="shared" si="14"/>
        <v>US</v>
      </c>
      <c r="G484" s="2" t="str">
        <f t="shared" si="15"/>
        <v>Miller Genuine Draft|PASSAIC-FF</v>
      </c>
    </row>
    <row r="485" spans="1:7" x14ac:dyDescent="0.2">
      <c r="A485" s="2" t="str" cm="1">
        <f t="array" ref="A485">INDEX('[1]Brand Family Territory (Enc)'!$A$2:$A$296,INT((ROW()-2)/10)+1)</f>
        <v>Miller Genuine Draft</v>
      </c>
      <c r="B485" s="2" t="str" cm="1">
        <f t="array" ref="B485">INDEX('Whitelist (Blackout Reverse)'!$B$1:$K$1,MOD(ROW()-2,10)+1)</f>
        <v>ESSEX</v>
      </c>
      <c r="C485" s="2" t="str">
        <f>VLOOKUP(A485,'[1]Brand Family Territory (Enc)'!$A$2:$B$296,2,FALSE)</f>
        <v>Core Market</v>
      </c>
      <c r="D485" s="2">
        <f>IF(COUNTIFS('[1]Brand Family Territories (Enc)'!$B$2:$B$62,C485,'[1]Brand Family Territories (Enc)'!$C$2:$C$62,B485)&gt;0,1,IF(AND(LEFT(B485,6)="MORRIS",COUNTIFS('[1]Brand Family Territories (Enc)'!$B$2:$B$62,C485,'[1]Brand Family Territories (Enc)'!$C$2:$C$62,"Morri")&gt;0),"Unk",0))</f>
        <v>0</v>
      </c>
      <c r="E485" s="2" t="str">
        <f>IFERROR(INDEX('Blackout Brand Fam Areas (Enc)'!$D$6:$D$998,MATCH(UPPER(A485)&amp;"|"&amp;UPPER(B485),'Blackout Brand Fam Areas (Enc)'!$G$6:$G$998,0)),"No Match")</f>
        <v>Inactive</v>
      </c>
      <c r="F485" s="2" t="str">
        <f t="shared" si="14"/>
        <v>THEM</v>
      </c>
      <c r="G485" s="2" t="str">
        <f t="shared" si="15"/>
        <v>Miller Genuine Draft|ESSEX</v>
      </c>
    </row>
    <row r="486" spans="1:7" x14ac:dyDescent="0.2">
      <c r="A486" s="2" t="str" cm="1">
        <f t="array" ref="A486">INDEX('[1]Brand Family Territory (Enc)'!$A$2:$A$296,INT((ROW()-2)/10)+1)</f>
        <v>Miller Genuine Draft</v>
      </c>
      <c r="B486" s="2" t="str" cm="1">
        <f t="array" ref="B486">INDEX('Whitelist (Blackout Reverse)'!$B$1:$K$1,MOD(ROW()-2,10)+1)</f>
        <v>HUDSON</v>
      </c>
      <c r="C486" s="2" t="str">
        <f>VLOOKUP(A486,'[1]Brand Family Territory (Enc)'!$A$2:$B$296,2,FALSE)</f>
        <v>Core Market</v>
      </c>
      <c r="D486" s="2">
        <f>IF(COUNTIFS('[1]Brand Family Territories (Enc)'!$B$2:$B$62,C486,'[1]Brand Family Territories (Enc)'!$C$2:$C$62,B486)&gt;0,1,IF(AND(LEFT(B486,6)="MORRIS",COUNTIFS('[1]Brand Family Territories (Enc)'!$B$2:$B$62,C486,'[1]Brand Family Territories (Enc)'!$C$2:$C$62,"Morri")&gt;0),"Unk",0))</f>
        <v>0</v>
      </c>
      <c r="E486" s="2" t="str">
        <f>IFERROR(INDEX('Blackout Brand Fam Areas (Enc)'!$D$6:$D$998,MATCH(UPPER(A486)&amp;"|"&amp;UPPER(B486),'Blackout Brand Fam Areas (Enc)'!$G$6:$G$998,0)),"No Match")</f>
        <v>Inactive</v>
      </c>
      <c r="F486" s="2" t="str">
        <f t="shared" si="14"/>
        <v>THEM</v>
      </c>
      <c r="G486" s="2" t="str">
        <f t="shared" si="15"/>
        <v>Miller Genuine Draft|HUDSON</v>
      </c>
    </row>
    <row r="487" spans="1:7" x14ac:dyDescent="0.2">
      <c r="A487" s="2" t="str" cm="1">
        <f t="array" ref="A487">INDEX('[1]Brand Family Territory (Enc)'!$A$2:$A$296,INT((ROW()-2)/10)+1)</f>
        <v>Miller Genuine Draft</v>
      </c>
      <c r="B487" s="2" t="str" cm="1">
        <f t="array" ref="B487">INDEX('Whitelist (Blackout Reverse)'!$B$1:$K$1,MOD(ROW()-2,10)+1)</f>
        <v>UNION</v>
      </c>
      <c r="C487" s="2" t="str">
        <f>VLOOKUP(A487,'[1]Brand Family Territory (Enc)'!$A$2:$B$296,2,FALSE)</f>
        <v>Core Market</v>
      </c>
      <c r="D487" s="2">
        <f>IF(COUNTIFS('[1]Brand Family Territories (Enc)'!$B$2:$B$62,C487,'[1]Brand Family Territories (Enc)'!$C$2:$C$62,B487)&gt;0,1,IF(AND(LEFT(B487,6)="MORRIS",COUNTIFS('[1]Brand Family Territories (Enc)'!$B$2:$B$62,C487,'[1]Brand Family Territories (Enc)'!$C$2:$C$62,"Morri")&gt;0),"Unk",0))</f>
        <v>0</v>
      </c>
      <c r="E487" s="2" t="str">
        <f>IFERROR(INDEX('Blackout Brand Fam Areas (Enc)'!$D$6:$D$998,MATCH(UPPER(A487)&amp;"|"&amp;UPPER(B487),'Blackout Brand Fam Areas (Enc)'!$G$6:$G$998,0)),"No Match")</f>
        <v>Inactive</v>
      </c>
      <c r="F487" s="2" t="str">
        <f t="shared" si="14"/>
        <v>THEM</v>
      </c>
      <c r="G487" s="2" t="str">
        <f t="shared" si="15"/>
        <v>Miller Genuine Draft|UNION</v>
      </c>
    </row>
    <row r="488" spans="1:7" x14ac:dyDescent="0.2">
      <c r="A488" s="2" t="str" cm="1">
        <f t="array" ref="A488">INDEX('[1]Brand Family Territory (Enc)'!$A$2:$A$296,INT((ROW()-2)/10)+1)</f>
        <v>Miller Genuine Draft</v>
      </c>
      <c r="B488" s="2" t="str" cm="1">
        <f t="array" ref="B488">INDEX('Whitelist (Blackout Reverse)'!$B$1:$K$1,MOD(ROW()-2,10)+1)</f>
        <v>SUSSEX</v>
      </c>
      <c r="C488" s="2" t="str">
        <f>VLOOKUP(A488,'[1]Brand Family Territory (Enc)'!$A$2:$B$296,2,FALSE)</f>
        <v>Core Market</v>
      </c>
      <c r="D488" s="2">
        <f>IF(COUNTIFS('[1]Brand Family Territories (Enc)'!$B$2:$B$62,C488,'[1]Brand Family Territories (Enc)'!$C$2:$C$62,B488)&gt;0,1,IF(AND(LEFT(B488,6)="MORRIS",COUNTIFS('[1]Brand Family Territories (Enc)'!$B$2:$B$62,C488,'[1]Brand Family Territories (Enc)'!$C$2:$C$62,"Morri")&gt;0),"Unk",0))</f>
        <v>1</v>
      </c>
      <c r="E488" s="2" t="str">
        <f>IFERROR(INDEX('Blackout Brand Fam Areas (Enc)'!$D$6:$D$998,MATCH(UPPER(A488)&amp;"|"&amp;UPPER(B488),'Blackout Brand Fam Areas (Enc)'!$G$6:$G$998,0)),"No Match")</f>
        <v>No Match</v>
      </c>
      <c r="F488" s="2" t="str">
        <f t="shared" si="14"/>
        <v>US</v>
      </c>
      <c r="G488" s="2" t="str">
        <f t="shared" si="15"/>
        <v>Miller Genuine Draft|SUSSEX</v>
      </c>
    </row>
    <row r="489" spans="1:7" x14ac:dyDescent="0.2">
      <c r="A489" s="2" t="str" cm="1">
        <f t="array" ref="A489">INDEX('[1]Brand Family Territory (Enc)'!$A$2:$A$296,INT((ROW()-2)/10)+1)</f>
        <v>Miller Genuine Draft</v>
      </c>
      <c r="B489" s="2" t="str" cm="1">
        <f t="array" ref="B489">INDEX('Whitelist (Blackout Reverse)'!$B$1:$K$1,MOD(ROW()-2,10)+1)</f>
        <v>MORRIS 1</v>
      </c>
      <c r="C489" s="2" t="str">
        <f>VLOOKUP(A489,'[1]Brand Family Territory (Enc)'!$A$2:$B$296,2,FALSE)</f>
        <v>Core Market</v>
      </c>
      <c r="D489" s="2">
        <f>IF(COUNTIFS('[1]Brand Family Territories (Enc)'!$B$2:$B$62,C489,'[1]Brand Family Territories (Enc)'!$C$2:$C$62,B489)&gt;0,1,IF(AND(LEFT(B489,6)="MORRIS",COUNTIFS('[1]Brand Family Territories (Enc)'!$B$2:$B$62,C489,'[1]Brand Family Territories (Enc)'!$C$2:$C$62,"Morri")&gt;0),"Unk",0))</f>
        <v>1</v>
      </c>
      <c r="E489" s="2" t="str">
        <f>IFERROR(INDEX('Blackout Brand Fam Areas (Enc)'!$D$6:$D$998,MATCH(UPPER(A489)&amp;"|"&amp;UPPER(B489),'Blackout Brand Fam Areas (Enc)'!$G$6:$G$998,0)),"No Match")</f>
        <v>No Match</v>
      </c>
      <c r="F489" s="2" t="str">
        <f t="shared" si="14"/>
        <v>US</v>
      </c>
      <c r="G489" s="2" t="str">
        <f t="shared" si="15"/>
        <v>Miller Genuine Draft|MORRIS 1</v>
      </c>
    </row>
    <row r="490" spans="1:7" x14ac:dyDescent="0.2">
      <c r="A490" s="2" t="str" cm="1">
        <f t="array" ref="A490">INDEX('[1]Brand Family Territory (Enc)'!$A$2:$A$296,INT((ROW()-2)/10)+1)</f>
        <v>Miller Genuine Draft</v>
      </c>
      <c r="B490" s="2" t="str" cm="1">
        <f t="array" ref="B490">INDEX('Whitelist (Blackout Reverse)'!$B$1:$K$1,MOD(ROW()-2,10)+1)</f>
        <v>MORRIS 2</v>
      </c>
      <c r="C490" s="2" t="str">
        <f>VLOOKUP(A490,'[1]Brand Family Territory (Enc)'!$A$2:$B$296,2,FALSE)</f>
        <v>Core Market</v>
      </c>
      <c r="D490" s="2">
        <f>IF(COUNTIFS('[1]Brand Family Territories (Enc)'!$B$2:$B$62,C490,'[1]Brand Family Territories (Enc)'!$C$2:$C$62,B490)&gt;0,1,IF(AND(LEFT(B490,6)="MORRIS",COUNTIFS('[1]Brand Family Territories (Enc)'!$B$2:$B$62,C490,'[1]Brand Family Territories (Enc)'!$C$2:$C$62,"Morri")&gt;0),"Unk",0))</f>
        <v>0</v>
      </c>
      <c r="E490" s="2" t="str">
        <f>IFERROR(INDEX('Blackout Brand Fam Areas (Enc)'!$D$6:$D$998,MATCH(UPPER(A490)&amp;"|"&amp;UPPER(B490),'Blackout Brand Fam Areas (Enc)'!$G$6:$G$998,0)),"No Match")</f>
        <v>Inactive</v>
      </c>
      <c r="F490" s="2" t="str">
        <f t="shared" si="14"/>
        <v>THEM</v>
      </c>
      <c r="G490" s="2" t="str">
        <f t="shared" si="15"/>
        <v>Miller Genuine Draft|MORRIS 2</v>
      </c>
    </row>
    <row r="491" spans="1:7" x14ac:dyDescent="0.2">
      <c r="A491" s="2" t="str" cm="1">
        <f t="array" ref="A491">INDEX('[1]Brand Family Territory (Enc)'!$A$2:$A$296,INT((ROW()-2)/10)+1)</f>
        <v>Miller Genuine Draft</v>
      </c>
      <c r="B491" s="2" t="str" cm="1">
        <f t="array" ref="B491">INDEX('Whitelist (Blackout Reverse)'!$B$1:$K$1,MOD(ROW()-2,10)+1)</f>
        <v>MORRIS 3</v>
      </c>
      <c r="C491" s="2" t="str">
        <f>VLOOKUP(A491,'[1]Brand Family Territory (Enc)'!$A$2:$B$296,2,FALSE)</f>
        <v>Core Market</v>
      </c>
      <c r="D491" s="2">
        <f>IF(COUNTIFS('[1]Brand Family Territories (Enc)'!$B$2:$B$62,C491,'[1]Brand Family Territories (Enc)'!$C$2:$C$62,B491)&gt;0,1,IF(AND(LEFT(B491,6)="MORRIS",COUNTIFS('[1]Brand Family Territories (Enc)'!$B$2:$B$62,C491,'[1]Brand Family Territories (Enc)'!$C$2:$C$62,"Morri")&gt;0),"Unk",0))</f>
        <v>1</v>
      </c>
      <c r="E491" s="2" t="str">
        <f>IFERROR(INDEX('Blackout Brand Fam Areas (Enc)'!$D$6:$D$998,MATCH(UPPER(A491)&amp;"|"&amp;UPPER(B491),'Blackout Brand Fam Areas (Enc)'!$G$6:$G$998,0)),"No Match")</f>
        <v>No Match</v>
      </c>
      <c r="F491" s="2" t="str">
        <f t="shared" si="14"/>
        <v>US</v>
      </c>
      <c r="G491" s="2" t="str">
        <f t="shared" si="15"/>
        <v>Miller Genuine Draft|MORRIS 3</v>
      </c>
    </row>
    <row r="492" spans="1:7" x14ac:dyDescent="0.2">
      <c r="A492" s="2" t="str" cm="1">
        <f t="array" ref="A492">INDEX('[1]Brand Family Territory (Enc)'!$A$2:$A$296,INT((ROW()-2)/10)+1)</f>
        <v>Lite</v>
      </c>
      <c r="B492" s="2" t="str" cm="1">
        <f t="array" ref="B492">INDEX('Whitelist (Blackout Reverse)'!$B$1:$K$1,MOD(ROW()-2,10)+1)</f>
        <v>BERGEN</v>
      </c>
      <c r="C492" s="2" t="str">
        <f>VLOOKUP(A492,'[1]Brand Family Territory (Enc)'!$A$2:$B$296,2,FALSE)</f>
        <v>Core Market</v>
      </c>
      <c r="D492" s="2">
        <f>IF(COUNTIFS('[1]Brand Family Territories (Enc)'!$B$2:$B$62,C492,'[1]Brand Family Territories (Enc)'!$C$2:$C$62,B492)&gt;0,1,IF(AND(LEFT(B492,6)="MORRIS",COUNTIFS('[1]Brand Family Territories (Enc)'!$B$2:$B$62,C492,'[1]Brand Family Territories (Enc)'!$C$2:$C$62,"Morri")&gt;0),"Unk",0))</f>
        <v>1</v>
      </c>
      <c r="E492" s="2" t="str">
        <f>IFERROR(INDEX('Blackout Brand Fam Areas (Enc)'!$D$6:$D$998,MATCH(UPPER(A492)&amp;"|"&amp;UPPER(B492),'Blackout Brand Fam Areas (Enc)'!$G$6:$G$998,0)),"No Match")</f>
        <v>No Match</v>
      </c>
      <c r="F492" s="2" t="str">
        <f t="shared" si="14"/>
        <v>US</v>
      </c>
      <c r="G492" s="2" t="str">
        <f t="shared" si="15"/>
        <v>Lite|BERGEN</v>
      </c>
    </row>
    <row r="493" spans="1:7" x14ac:dyDescent="0.2">
      <c r="A493" s="2" t="str" cm="1">
        <f t="array" ref="A493">INDEX('[1]Brand Family Territory (Enc)'!$A$2:$A$296,INT((ROW()-2)/10)+1)</f>
        <v>Lite</v>
      </c>
      <c r="B493" s="2" t="str" cm="1">
        <f t="array" ref="B493">INDEX('Whitelist (Blackout Reverse)'!$B$1:$K$1,MOD(ROW()-2,10)+1)</f>
        <v>PASSAIC</v>
      </c>
      <c r="C493" s="2" t="str">
        <f>VLOOKUP(A493,'[1]Brand Family Territory (Enc)'!$A$2:$B$296,2,FALSE)</f>
        <v>Core Market</v>
      </c>
      <c r="D493" s="2">
        <f>IF(COUNTIFS('[1]Brand Family Territories (Enc)'!$B$2:$B$62,C493,'[1]Brand Family Territories (Enc)'!$C$2:$C$62,B493)&gt;0,1,IF(AND(LEFT(B493,6)="MORRIS",COUNTIFS('[1]Brand Family Territories (Enc)'!$B$2:$B$62,C493,'[1]Brand Family Territories (Enc)'!$C$2:$C$62,"Morri")&gt;0),"Unk",0))</f>
        <v>1</v>
      </c>
      <c r="E493" s="2" t="str">
        <f>IFERROR(INDEX('Blackout Brand Fam Areas (Enc)'!$D$6:$D$998,MATCH(UPPER(A493)&amp;"|"&amp;UPPER(B493),'Blackout Brand Fam Areas (Enc)'!$G$6:$G$998,0)),"No Match")</f>
        <v>No Match</v>
      </c>
      <c r="F493" s="2" t="str">
        <f t="shared" si="14"/>
        <v>US</v>
      </c>
      <c r="G493" s="2" t="str">
        <f t="shared" si="15"/>
        <v>Lite|PASSAIC</v>
      </c>
    </row>
    <row r="494" spans="1:7" x14ac:dyDescent="0.2">
      <c r="A494" s="2" t="str" cm="1">
        <f t="array" ref="A494">INDEX('[1]Brand Family Territory (Enc)'!$A$2:$A$296,INT((ROW()-2)/10)+1)</f>
        <v>Lite</v>
      </c>
      <c r="B494" s="2" t="str" cm="1">
        <f t="array" ref="B494">INDEX('Whitelist (Blackout Reverse)'!$B$1:$K$1,MOD(ROW()-2,10)+1)</f>
        <v>PASSAIC-FF</v>
      </c>
      <c r="C494" s="2" t="str">
        <f>VLOOKUP(A494,'[1]Brand Family Territory (Enc)'!$A$2:$B$296,2,FALSE)</f>
        <v>Core Market</v>
      </c>
      <c r="D494" s="2">
        <f>IF(COUNTIFS('[1]Brand Family Territories (Enc)'!$B$2:$B$62,C494,'[1]Brand Family Territories (Enc)'!$C$2:$C$62,B494)&gt;0,1,IF(AND(LEFT(B494,6)="MORRIS",COUNTIFS('[1]Brand Family Territories (Enc)'!$B$2:$B$62,C494,'[1]Brand Family Territories (Enc)'!$C$2:$C$62,"Morri")&gt;0),"Unk",0))</f>
        <v>1</v>
      </c>
      <c r="E494" s="2" t="str">
        <f>IFERROR(INDEX('Blackout Brand Fam Areas (Enc)'!$D$6:$D$998,MATCH(UPPER(A494)&amp;"|"&amp;UPPER(B494),'Blackout Brand Fam Areas (Enc)'!$G$6:$G$998,0)),"No Match")</f>
        <v>No Match</v>
      </c>
      <c r="F494" s="2" t="str">
        <f t="shared" si="14"/>
        <v>US</v>
      </c>
      <c r="G494" s="2" t="str">
        <f t="shared" si="15"/>
        <v>Lite|PASSAIC-FF</v>
      </c>
    </row>
    <row r="495" spans="1:7" x14ac:dyDescent="0.2">
      <c r="A495" s="2" t="str" cm="1">
        <f t="array" ref="A495">INDEX('[1]Brand Family Territory (Enc)'!$A$2:$A$296,INT((ROW()-2)/10)+1)</f>
        <v>Lite</v>
      </c>
      <c r="B495" s="2" t="str" cm="1">
        <f t="array" ref="B495">INDEX('Whitelist (Blackout Reverse)'!$B$1:$K$1,MOD(ROW()-2,10)+1)</f>
        <v>ESSEX</v>
      </c>
      <c r="C495" s="2" t="str">
        <f>VLOOKUP(A495,'[1]Brand Family Territory (Enc)'!$A$2:$B$296,2,FALSE)</f>
        <v>Core Market</v>
      </c>
      <c r="D495" s="2">
        <f>IF(COUNTIFS('[1]Brand Family Territories (Enc)'!$B$2:$B$62,C495,'[1]Brand Family Territories (Enc)'!$C$2:$C$62,B495)&gt;0,1,IF(AND(LEFT(B495,6)="MORRIS",COUNTIFS('[1]Brand Family Territories (Enc)'!$B$2:$B$62,C495,'[1]Brand Family Territories (Enc)'!$C$2:$C$62,"Morri")&gt;0),"Unk",0))</f>
        <v>0</v>
      </c>
      <c r="E495" s="2" t="str">
        <f>IFERROR(INDEX('Blackout Brand Fam Areas (Enc)'!$D$6:$D$998,MATCH(UPPER(A495)&amp;"|"&amp;UPPER(B495),'Blackout Brand Fam Areas (Enc)'!$G$6:$G$998,0)),"No Match")</f>
        <v>Inactive</v>
      </c>
      <c r="F495" s="2" t="str">
        <f t="shared" si="14"/>
        <v>THEM</v>
      </c>
      <c r="G495" s="2" t="str">
        <f t="shared" si="15"/>
        <v>Lite|ESSEX</v>
      </c>
    </row>
    <row r="496" spans="1:7" x14ac:dyDescent="0.2">
      <c r="A496" s="2" t="str" cm="1">
        <f t="array" ref="A496">INDEX('[1]Brand Family Territory (Enc)'!$A$2:$A$296,INT((ROW()-2)/10)+1)</f>
        <v>Lite</v>
      </c>
      <c r="B496" s="2" t="str" cm="1">
        <f t="array" ref="B496">INDEX('Whitelist (Blackout Reverse)'!$B$1:$K$1,MOD(ROW()-2,10)+1)</f>
        <v>HUDSON</v>
      </c>
      <c r="C496" s="2" t="str">
        <f>VLOOKUP(A496,'[1]Brand Family Territory (Enc)'!$A$2:$B$296,2,FALSE)</f>
        <v>Core Market</v>
      </c>
      <c r="D496" s="2">
        <f>IF(COUNTIFS('[1]Brand Family Territories (Enc)'!$B$2:$B$62,C496,'[1]Brand Family Territories (Enc)'!$C$2:$C$62,B496)&gt;0,1,IF(AND(LEFT(B496,6)="MORRIS",COUNTIFS('[1]Brand Family Territories (Enc)'!$B$2:$B$62,C496,'[1]Brand Family Territories (Enc)'!$C$2:$C$62,"Morri")&gt;0),"Unk",0))</f>
        <v>0</v>
      </c>
      <c r="E496" s="2" t="str">
        <f>IFERROR(INDEX('Blackout Brand Fam Areas (Enc)'!$D$6:$D$998,MATCH(UPPER(A496)&amp;"|"&amp;UPPER(B496),'Blackout Brand Fam Areas (Enc)'!$G$6:$G$998,0)),"No Match")</f>
        <v>Inactive</v>
      </c>
      <c r="F496" s="2" t="str">
        <f t="shared" si="14"/>
        <v>THEM</v>
      </c>
      <c r="G496" s="2" t="str">
        <f t="shared" si="15"/>
        <v>Lite|HUDSON</v>
      </c>
    </row>
    <row r="497" spans="1:7" x14ac:dyDescent="0.2">
      <c r="A497" s="2" t="str" cm="1">
        <f t="array" ref="A497">INDEX('[1]Brand Family Territory (Enc)'!$A$2:$A$296,INT((ROW()-2)/10)+1)</f>
        <v>Lite</v>
      </c>
      <c r="B497" s="2" t="str" cm="1">
        <f t="array" ref="B497">INDEX('Whitelist (Blackout Reverse)'!$B$1:$K$1,MOD(ROW()-2,10)+1)</f>
        <v>UNION</v>
      </c>
      <c r="C497" s="2" t="str">
        <f>VLOOKUP(A497,'[1]Brand Family Territory (Enc)'!$A$2:$B$296,2,FALSE)</f>
        <v>Core Market</v>
      </c>
      <c r="D497" s="2">
        <f>IF(COUNTIFS('[1]Brand Family Territories (Enc)'!$B$2:$B$62,C497,'[1]Brand Family Territories (Enc)'!$C$2:$C$62,B497)&gt;0,1,IF(AND(LEFT(B497,6)="MORRIS",COUNTIFS('[1]Brand Family Territories (Enc)'!$B$2:$B$62,C497,'[1]Brand Family Territories (Enc)'!$C$2:$C$62,"Morri")&gt;0),"Unk",0))</f>
        <v>0</v>
      </c>
      <c r="E497" s="2" t="str">
        <f>IFERROR(INDEX('Blackout Brand Fam Areas (Enc)'!$D$6:$D$998,MATCH(UPPER(A497)&amp;"|"&amp;UPPER(B497),'Blackout Brand Fam Areas (Enc)'!$G$6:$G$998,0)),"No Match")</f>
        <v>Inactive</v>
      </c>
      <c r="F497" s="2" t="str">
        <f t="shared" si="14"/>
        <v>THEM</v>
      </c>
      <c r="G497" s="2" t="str">
        <f t="shared" si="15"/>
        <v>Lite|UNION</v>
      </c>
    </row>
    <row r="498" spans="1:7" x14ac:dyDescent="0.2">
      <c r="A498" s="2" t="str" cm="1">
        <f t="array" ref="A498">INDEX('[1]Brand Family Territory (Enc)'!$A$2:$A$296,INT((ROW()-2)/10)+1)</f>
        <v>Lite</v>
      </c>
      <c r="B498" s="2" t="str" cm="1">
        <f t="array" ref="B498">INDEX('Whitelist (Blackout Reverse)'!$B$1:$K$1,MOD(ROW()-2,10)+1)</f>
        <v>SUSSEX</v>
      </c>
      <c r="C498" s="2" t="str">
        <f>VLOOKUP(A498,'[1]Brand Family Territory (Enc)'!$A$2:$B$296,2,FALSE)</f>
        <v>Core Market</v>
      </c>
      <c r="D498" s="2">
        <f>IF(COUNTIFS('[1]Brand Family Territories (Enc)'!$B$2:$B$62,C498,'[1]Brand Family Territories (Enc)'!$C$2:$C$62,B498)&gt;0,1,IF(AND(LEFT(B498,6)="MORRIS",COUNTIFS('[1]Brand Family Territories (Enc)'!$B$2:$B$62,C498,'[1]Brand Family Territories (Enc)'!$C$2:$C$62,"Morri")&gt;0),"Unk",0))</f>
        <v>1</v>
      </c>
      <c r="E498" s="2" t="str">
        <f>IFERROR(INDEX('Blackout Brand Fam Areas (Enc)'!$D$6:$D$998,MATCH(UPPER(A498)&amp;"|"&amp;UPPER(B498),'Blackout Brand Fam Areas (Enc)'!$G$6:$G$998,0)),"No Match")</f>
        <v>No Match</v>
      </c>
      <c r="F498" s="2" t="str">
        <f t="shared" si="14"/>
        <v>US</v>
      </c>
      <c r="G498" s="2" t="str">
        <f t="shared" si="15"/>
        <v>Lite|SUSSEX</v>
      </c>
    </row>
    <row r="499" spans="1:7" x14ac:dyDescent="0.2">
      <c r="A499" s="2" t="str" cm="1">
        <f t="array" ref="A499">INDEX('[1]Brand Family Territory (Enc)'!$A$2:$A$296,INT((ROW()-2)/10)+1)</f>
        <v>Lite</v>
      </c>
      <c r="B499" s="2" t="str" cm="1">
        <f t="array" ref="B499">INDEX('Whitelist (Blackout Reverse)'!$B$1:$K$1,MOD(ROW()-2,10)+1)</f>
        <v>MORRIS 1</v>
      </c>
      <c r="C499" s="2" t="str">
        <f>VLOOKUP(A499,'[1]Brand Family Territory (Enc)'!$A$2:$B$296,2,FALSE)</f>
        <v>Core Market</v>
      </c>
      <c r="D499" s="2">
        <f>IF(COUNTIFS('[1]Brand Family Territories (Enc)'!$B$2:$B$62,C499,'[1]Brand Family Territories (Enc)'!$C$2:$C$62,B499)&gt;0,1,IF(AND(LEFT(B499,6)="MORRIS",COUNTIFS('[1]Brand Family Territories (Enc)'!$B$2:$B$62,C499,'[1]Brand Family Territories (Enc)'!$C$2:$C$62,"Morri")&gt;0),"Unk",0))</f>
        <v>1</v>
      </c>
      <c r="E499" s="2" t="str">
        <f>IFERROR(INDEX('Blackout Brand Fam Areas (Enc)'!$D$6:$D$998,MATCH(UPPER(A499)&amp;"|"&amp;UPPER(B499),'Blackout Brand Fam Areas (Enc)'!$G$6:$G$998,0)),"No Match")</f>
        <v>No Match</v>
      </c>
      <c r="F499" s="2" t="str">
        <f t="shared" si="14"/>
        <v>US</v>
      </c>
      <c r="G499" s="2" t="str">
        <f t="shared" si="15"/>
        <v>Lite|MORRIS 1</v>
      </c>
    </row>
    <row r="500" spans="1:7" x14ac:dyDescent="0.2">
      <c r="A500" s="2" t="str" cm="1">
        <f t="array" ref="A500">INDEX('[1]Brand Family Territory (Enc)'!$A$2:$A$296,INT((ROW()-2)/10)+1)</f>
        <v>Lite</v>
      </c>
      <c r="B500" s="2" t="str" cm="1">
        <f t="array" ref="B500">INDEX('Whitelist (Blackout Reverse)'!$B$1:$K$1,MOD(ROW()-2,10)+1)</f>
        <v>MORRIS 2</v>
      </c>
      <c r="C500" s="2" t="str">
        <f>VLOOKUP(A500,'[1]Brand Family Territory (Enc)'!$A$2:$B$296,2,FALSE)</f>
        <v>Core Market</v>
      </c>
      <c r="D500" s="2">
        <f>IF(COUNTIFS('[1]Brand Family Territories (Enc)'!$B$2:$B$62,C500,'[1]Brand Family Territories (Enc)'!$C$2:$C$62,B500)&gt;0,1,IF(AND(LEFT(B500,6)="MORRIS",COUNTIFS('[1]Brand Family Territories (Enc)'!$B$2:$B$62,C500,'[1]Brand Family Territories (Enc)'!$C$2:$C$62,"Morri")&gt;0),"Unk",0))</f>
        <v>0</v>
      </c>
      <c r="E500" s="2" t="str">
        <f>IFERROR(INDEX('Blackout Brand Fam Areas (Enc)'!$D$6:$D$998,MATCH(UPPER(A500)&amp;"|"&amp;UPPER(B500),'Blackout Brand Fam Areas (Enc)'!$G$6:$G$998,0)),"No Match")</f>
        <v>Inactive</v>
      </c>
      <c r="F500" s="2" t="str">
        <f t="shared" si="14"/>
        <v>THEM</v>
      </c>
      <c r="G500" s="2" t="str">
        <f t="shared" si="15"/>
        <v>Lite|MORRIS 2</v>
      </c>
    </row>
    <row r="501" spans="1:7" x14ac:dyDescent="0.2">
      <c r="A501" s="2" t="str" cm="1">
        <f t="array" ref="A501">INDEX('[1]Brand Family Territory (Enc)'!$A$2:$A$296,INT((ROW()-2)/10)+1)</f>
        <v>Lite</v>
      </c>
      <c r="B501" s="2" t="str" cm="1">
        <f t="array" ref="B501">INDEX('Whitelist (Blackout Reverse)'!$B$1:$K$1,MOD(ROW()-2,10)+1)</f>
        <v>MORRIS 3</v>
      </c>
      <c r="C501" s="2" t="str">
        <f>VLOOKUP(A501,'[1]Brand Family Territory (Enc)'!$A$2:$B$296,2,FALSE)</f>
        <v>Core Market</v>
      </c>
      <c r="D501" s="2">
        <f>IF(COUNTIFS('[1]Brand Family Territories (Enc)'!$B$2:$B$62,C501,'[1]Brand Family Territories (Enc)'!$C$2:$C$62,B501)&gt;0,1,IF(AND(LEFT(B501,6)="MORRIS",COUNTIFS('[1]Brand Family Territories (Enc)'!$B$2:$B$62,C501,'[1]Brand Family Territories (Enc)'!$C$2:$C$62,"Morri")&gt;0),"Unk",0))</f>
        <v>1</v>
      </c>
      <c r="E501" s="2" t="str">
        <f>IFERROR(INDEX('Blackout Brand Fam Areas (Enc)'!$D$6:$D$998,MATCH(UPPER(A501)&amp;"|"&amp;UPPER(B501),'Blackout Brand Fam Areas (Enc)'!$G$6:$G$998,0)),"No Match")</f>
        <v>No Match</v>
      </c>
      <c r="F501" s="2" t="str">
        <f t="shared" si="14"/>
        <v>US</v>
      </c>
      <c r="G501" s="2" t="str">
        <f t="shared" si="15"/>
        <v>Lite|MORRIS 3</v>
      </c>
    </row>
    <row r="502" spans="1:7" x14ac:dyDescent="0.2">
      <c r="A502" s="2" t="str" cm="1">
        <f t="array" ref="A502">INDEX('[1]Brand Family Territory (Enc)'!$A$2:$A$296,INT((ROW()-2)/10)+1)</f>
        <v>Milwaukee's Best Ice</v>
      </c>
      <c r="B502" s="2" t="str" cm="1">
        <f t="array" ref="B502">INDEX('Whitelist (Blackout Reverse)'!$B$1:$K$1,MOD(ROW()-2,10)+1)</f>
        <v>BERGEN</v>
      </c>
      <c r="C502" s="2" t="str">
        <f>VLOOKUP(A502,'[1]Brand Family Territory (Enc)'!$A$2:$B$296,2,FALSE)</f>
        <v>Core Market</v>
      </c>
      <c r="D502" s="2">
        <f>IF(COUNTIFS('[1]Brand Family Territories (Enc)'!$B$2:$B$62,C502,'[1]Brand Family Territories (Enc)'!$C$2:$C$62,B502)&gt;0,1,IF(AND(LEFT(B502,6)="MORRIS",COUNTIFS('[1]Brand Family Territories (Enc)'!$B$2:$B$62,C502,'[1]Brand Family Territories (Enc)'!$C$2:$C$62,"Morri")&gt;0),"Unk",0))</f>
        <v>1</v>
      </c>
      <c r="E502" s="2" t="str">
        <f>IFERROR(INDEX('Blackout Brand Fam Areas (Enc)'!$D$6:$D$998,MATCH(UPPER(A502)&amp;"|"&amp;UPPER(B502),'Blackout Brand Fam Areas (Enc)'!$G$6:$G$998,0)),"No Match")</f>
        <v>No Match</v>
      </c>
      <c r="F502" s="2" t="str">
        <f t="shared" si="14"/>
        <v>US</v>
      </c>
      <c r="G502" s="2" t="str">
        <f t="shared" si="15"/>
        <v>Milwaukee's Best Ice|BERGEN</v>
      </c>
    </row>
    <row r="503" spans="1:7" x14ac:dyDescent="0.2">
      <c r="A503" s="2" t="str" cm="1">
        <f t="array" ref="A503">INDEX('[1]Brand Family Territory (Enc)'!$A$2:$A$296,INT((ROW()-2)/10)+1)</f>
        <v>Milwaukee's Best Ice</v>
      </c>
      <c r="B503" s="2" t="str" cm="1">
        <f t="array" ref="B503">INDEX('Whitelist (Blackout Reverse)'!$B$1:$K$1,MOD(ROW()-2,10)+1)</f>
        <v>PASSAIC</v>
      </c>
      <c r="C503" s="2" t="str">
        <f>VLOOKUP(A503,'[1]Brand Family Territory (Enc)'!$A$2:$B$296,2,FALSE)</f>
        <v>Core Market</v>
      </c>
      <c r="D503" s="2">
        <f>IF(COUNTIFS('[1]Brand Family Territories (Enc)'!$B$2:$B$62,C503,'[1]Brand Family Territories (Enc)'!$C$2:$C$62,B503)&gt;0,1,IF(AND(LEFT(B503,6)="MORRIS",COUNTIFS('[1]Brand Family Territories (Enc)'!$B$2:$B$62,C503,'[1]Brand Family Territories (Enc)'!$C$2:$C$62,"Morri")&gt;0),"Unk",0))</f>
        <v>1</v>
      </c>
      <c r="E503" s="2" t="str">
        <f>IFERROR(INDEX('Blackout Brand Fam Areas (Enc)'!$D$6:$D$998,MATCH(UPPER(A503)&amp;"|"&amp;UPPER(B503),'Blackout Brand Fam Areas (Enc)'!$G$6:$G$998,0)),"No Match")</f>
        <v>No Match</v>
      </c>
      <c r="F503" s="2" t="str">
        <f t="shared" si="14"/>
        <v>US</v>
      </c>
      <c r="G503" s="2" t="str">
        <f t="shared" si="15"/>
        <v>Milwaukee's Best Ice|PASSAIC</v>
      </c>
    </row>
    <row r="504" spans="1:7" x14ac:dyDescent="0.2">
      <c r="A504" s="2" t="str" cm="1">
        <f t="array" ref="A504">INDEX('[1]Brand Family Territory (Enc)'!$A$2:$A$296,INT((ROW()-2)/10)+1)</f>
        <v>Milwaukee's Best Ice</v>
      </c>
      <c r="B504" s="2" t="str" cm="1">
        <f t="array" ref="B504">INDEX('Whitelist (Blackout Reverse)'!$B$1:$K$1,MOD(ROW()-2,10)+1)</f>
        <v>PASSAIC-FF</v>
      </c>
      <c r="C504" s="2" t="str">
        <f>VLOOKUP(A504,'[1]Brand Family Territory (Enc)'!$A$2:$B$296,2,FALSE)</f>
        <v>Core Market</v>
      </c>
      <c r="D504" s="2">
        <f>IF(COUNTIFS('[1]Brand Family Territories (Enc)'!$B$2:$B$62,C504,'[1]Brand Family Territories (Enc)'!$C$2:$C$62,B504)&gt;0,1,IF(AND(LEFT(B504,6)="MORRIS",COUNTIFS('[1]Brand Family Territories (Enc)'!$B$2:$B$62,C504,'[1]Brand Family Territories (Enc)'!$C$2:$C$62,"Morri")&gt;0),"Unk",0))</f>
        <v>1</v>
      </c>
      <c r="E504" s="2" t="str">
        <f>IFERROR(INDEX('Blackout Brand Fam Areas (Enc)'!$D$6:$D$998,MATCH(UPPER(A504)&amp;"|"&amp;UPPER(B504),'Blackout Brand Fam Areas (Enc)'!$G$6:$G$998,0)),"No Match")</f>
        <v>No Match</v>
      </c>
      <c r="F504" s="2" t="str">
        <f t="shared" si="14"/>
        <v>US</v>
      </c>
      <c r="G504" s="2" t="str">
        <f t="shared" si="15"/>
        <v>Milwaukee's Best Ice|PASSAIC-FF</v>
      </c>
    </row>
    <row r="505" spans="1:7" x14ac:dyDescent="0.2">
      <c r="A505" s="2" t="str" cm="1">
        <f t="array" ref="A505">INDEX('[1]Brand Family Territory (Enc)'!$A$2:$A$296,INT((ROW()-2)/10)+1)</f>
        <v>Milwaukee's Best Ice</v>
      </c>
      <c r="B505" s="2" t="str" cm="1">
        <f t="array" ref="B505">INDEX('Whitelist (Blackout Reverse)'!$B$1:$K$1,MOD(ROW()-2,10)+1)</f>
        <v>ESSEX</v>
      </c>
      <c r="C505" s="2" t="str">
        <f>VLOOKUP(A505,'[1]Brand Family Territory (Enc)'!$A$2:$B$296,2,FALSE)</f>
        <v>Core Market</v>
      </c>
      <c r="D505" s="2">
        <f>IF(COUNTIFS('[1]Brand Family Territories (Enc)'!$B$2:$B$62,C505,'[1]Brand Family Territories (Enc)'!$C$2:$C$62,B505)&gt;0,1,IF(AND(LEFT(B505,6)="MORRIS",COUNTIFS('[1]Brand Family Territories (Enc)'!$B$2:$B$62,C505,'[1]Brand Family Territories (Enc)'!$C$2:$C$62,"Morri")&gt;0),"Unk",0))</f>
        <v>0</v>
      </c>
      <c r="E505" s="2" t="str">
        <f>IFERROR(INDEX('Blackout Brand Fam Areas (Enc)'!$D$6:$D$998,MATCH(UPPER(A505)&amp;"|"&amp;UPPER(B505),'Blackout Brand Fam Areas (Enc)'!$G$6:$G$998,0)),"No Match")</f>
        <v>Inactive</v>
      </c>
      <c r="F505" s="2" t="str">
        <f t="shared" si="14"/>
        <v>THEM</v>
      </c>
      <c r="G505" s="2" t="str">
        <f t="shared" si="15"/>
        <v>Milwaukee's Best Ice|ESSEX</v>
      </c>
    </row>
    <row r="506" spans="1:7" x14ac:dyDescent="0.2">
      <c r="A506" s="2" t="str" cm="1">
        <f t="array" ref="A506">INDEX('[1]Brand Family Territory (Enc)'!$A$2:$A$296,INT((ROW()-2)/10)+1)</f>
        <v>Milwaukee's Best Ice</v>
      </c>
      <c r="B506" s="2" t="str" cm="1">
        <f t="array" ref="B506">INDEX('Whitelist (Blackout Reverse)'!$B$1:$K$1,MOD(ROW()-2,10)+1)</f>
        <v>HUDSON</v>
      </c>
      <c r="C506" s="2" t="str">
        <f>VLOOKUP(A506,'[1]Brand Family Territory (Enc)'!$A$2:$B$296,2,FALSE)</f>
        <v>Core Market</v>
      </c>
      <c r="D506" s="2">
        <f>IF(COUNTIFS('[1]Brand Family Territories (Enc)'!$B$2:$B$62,C506,'[1]Brand Family Territories (Enc)'!$C$2:$C$62,B506)&gt;0,1,IF(AND(LEFT(B506,6)="MORRIS",COUNTIFS('[1]Brand Family Territories (Enc)'!$B$2:$B$62,C506,'[1]Brand Family Territories (Enc)'!$C$2:$C$62,"Morri")&gt;0),"Unk",0))</f>
        <v>0</v>
      </c>
      <c r="E506" s="2" t="str">
        <f>IFERROR(INDEX('Blackout Brand Fam Areas (Enc)'!$D$6:$D$998,MATCH(UPPER(A506)&amp;"|"&amp;UPPER(B506),'Blackout Brand Fam Areas (Enc)'!$G$6:$G$998,0)),"No Match")</f>
        <v>Inactive</v>
      </c>
      <c r="F506" s="2" t="str">
        <f t="shared" si="14"/>
        <v>THEM</v>
      </c>
      <c r="G506" s="2" t="str">
        <f t="shared" si="15"/>
        <v>Milwaukee's Best Ice|HUDSON</v>
      </c>
    </row>
    <row r="507" spans="1:7" x14ac:dyDescent="0.2">
      <c r="A507" s="2" t="str" cm="1">
        <f t="array" ref="A507">INDEX('[1]Brand Family Territory (Enc)'!$A$2:$A$296,INT((ROW()-2)/10)+1)</f>
        <v>Milwaukee's Best Ice</v>
      </c>
      <c r="B507" s="2" t="str" cm="1">
        <f t="array" ref="B507">INDEX('Whitelist (Blackout Reverse)'!$B$1:$K$1,MOD(ROW()-2,10)+1)</f>
        <v>UNION</v>
      </c>
      <c r="C507" s="2" t="str">
        <f>VLOOKUP(A507,'[1]Brand Family Territory (Enc)'!$A$2:$B$296,2,FALSE)</f>
        <v>Core Market</v>
      </c>
      <c r="D507" s="2">
        <f>IF(COUNTIFS('[1]Brand Family Territories (Enc)'!$B$2:$B$62,C507,'[1]Brand Family Territories (Enc)'!$C$2:$C$62,B507)&gt;0,1,IF(AND(LEFT(B507,6)="MORRIS",COUNTIFS('[1]Brand Family Territories (Enc)'!$B$2:$B$62,C507,'[1]Brand Family Territories (Enc)'!$C$2:$C$62,"Morri")&gt;0),"Unk",0))</f>
        <v>0</v>
      </c>
      <c r="E507" s="2" t="str">
        <f>IFERROR(INDEX('Blackout Brand Fam Areas (Enc)'!$D$6:$D$998,MATCH(UPPER(A507)&amp;"|"&amp;UPPER(B507),'Blackout Brand Fam Areas (Enc)'!$G$6:$G$998,0)),"No Match")</f>
        <v>Inactive</v>
      </c>
      <c r="F507" s="2" t="str">
        <f t="shared" si="14"/>
        <v>THEM</v>
      </c>
      <c r="G507" s="2" t="str">
        <f t="shared" si="15"/>
        <v>Milwaukee's Best Ice|UNION</v>
      </c>
    </row>
    <row r="508" spans="1:7" x14ac:dyDescent="0.2">
      <c r="A508" s="2" t="str" cm="1">
        <f t="array" ref="A508">INDEX('[1]Brand Family Territory (Enc)'!$A$2:$A$296,INT((ROW()-2)/10)+1)</f>
        <v>Milwaukee's Best Ice</v>
      </c>
      <c r="B508" s="2" t="str" cm="1">
        <f t="array" ref="B508">INDEX('Whitelist (Blackout Reverse)'!$B$1:$K$1,MOD(ROW()-2,10)+1)</f>
        <v>SUSSEX</v>
      </c>
      <c r="C508" s="2" t="str">
        <f>VLOOKUP(A508,'[1]Brand Family Territory (Enc)'!$A$2:$B$296,2,FALSE)</f>
        <v>Core Market</v>
      </c>
      <c r="D508" s="2">
        <f>IF(COUNTIFS('[1]Brand Family Territories (Enc)'!$B$2:$B$62,C508,'[1]Brand Family Territories (Enc)'!$C$2:$C$62,B508)&gt;0,1,IF(AND(LEFT(B508,6)="MORRIS",COUNTIFS('[1]Brand Family Territories (Enc)'!$B$2:$B$62,C508,'[1]Brand Family Territories (Enc)'!$C$2:$C$62,"Morri")&gt;0),"Unk",0))</f>
        <v>1</v>
      </c>
      <c r="E508" s="2" t="str">
        <f>IFERROR(INDEX('Blackout Brand Fam Areas (Enc)'!$D$6:$D$998,MATCH(UPPER(A508)&amp;"|"&amp;UPPER(B508),'Blackout Brand Fam Areas (Enc)'!$G$6:$G$998,0)),"No Match")</f>
        <v>No Match</v>
      </c>
      <c r="F508" s="2" t="str">
        <f t="shared" si="14"/>
        <v>US</v>
      </c>
      <c r="G508" s="2" t="str">
        <f t="shared" si="15"/>
        <v>Milwaukee's Best Ice|SUSSEX</v>
      </c>
    </row>
    <row r="509" spans="1:7" x14ac:dyDescent="0.2">
      <c r="A509" s="2" t="str" cm="1">
        <f t="array" ref="A509">INDEX('[1]Brand Family Territory (Enc)'!$A$2:$A$296,INT((ROW()-2)/10)+1)</f>
        <v>Milwaukee's Best Ice</v>
      </c>
      <c r="B509" s="2" t="str" cm="1">
        <f t="array" ref="B509">INDEX('Whitelist (Blackout Reverse)'!$B$1:$K$1,MOD(ROW()-2,10)+1)</f>
        <v>MORRIS 1</v>
      </c>
      <c r="C509" s="2" t="str">
        <f>VLOOKUP(A509,'[1]Brand Family Territory (Enc)'!$A$2:$B$296,2,FALSE)</f>
        <v>Core Market</v>
      </c>
      <c r="D509" s="2">
        <f>IF(COUNTIFS('[1]Brand Family Territories (Enc)'!$B$2:$B$62,C509,'[1]Brand Family Territories (Enc)'!$C$2:$C$62,B509)&gt;0,1,IF(AND(LEFT(B509,6)="MORRIS",COUNTIFS('[1]Brand Family Territories (Enc)'!$B$2:$B$62,C509,'[1]Brand Family Territories (Enc)'!$C$2:$C$62,"Morri")&gt;0),"Unk",0))</f>
        <v>1</v>
      </c>
      <c r="E509" s="2" t="str">
        <f>IFERROR(INDEX('Blackout Brand Fam Areas (Enc)'!$D$6:$D$998,MATCH(UPPER(A509)&amp;"|"&amp;UPPER(B509),'Blackout Brand Fam Areas (Enc)'!$G$6:$G$998,0)),"No Match")</f>
        <v>No Match</v>
      </c>
      <c r="F509" s="2" t="str">
        <f t="shared" si="14"/>
        <v>US</v>
      </c>
      <c r="G509" s="2" t="str">
        <f t="shared" si="15"/>
        <v>Milwaukee's Best Ice|MORRIS 1</v>
      </c>
    </row>
    <row r="510" spans="1:7" x14ac:dyDescent="0.2">
      <c r="A510" s="2" t="str" cm="1">
        <f t="array" ref="A510">INDEX('[1]Brand Family Territory (Enc)'!$A$2:$A$296,INT((ROW()-2)/10)+1)</f>
        <v>Milwaukee's Best Ice</v>
      </c>
      <c r="B510" s="2" t="str" cm="1">
        <f t="array" ref="B510">INDEX('Whitelist (Blackout Reverse)'!$B$1:$K$1,MOD(ROW()-2,10)+1)</f>
        <v>MORRIS 2</v>
      </c>
      <c r="C510" s="2" t="str">
        <f>VLOOKUP(A510,'[1]Brand Family Territory (Enc)'!$A$2:$B$296,2,FALSE)</f>
        <v>Core Market</v>
      </c>
      <c r="D510" s="2">
        <f>IF(COUNTIFS('[1]Brand Family Territories (Enc)'!$B$2:$B$62,C510,'[1]Brand Family Territories (Enc)'!$C$2:$C$62,B510)&gt;0,1,IF(AND(LEFT(B510,6)="MORRIS",COUNTIFS('[1]Brand Family Territories (Enc)'!$B$2:$B$62,C510,'[1]Brand Family Territories (Enc)'!$C$2:$C$62,"Morri")&gt;0),"Unk",0))</f>
        <v>0</v>
      </c>
      <c r="E510" s="2" t="str">
        <f>IFERROR(INDEX('Blackout Brand Fam Areas (Enc)'!$D$6:$D$998,MATCH(UPPER(A510)&amp;"|"&amp;UPPER(B510),'Blackout Brand Fam Areas (Enc)'!$G$6:$G$998,0)),"No Match")</f>
        <v>Inactive</v>
      </c>
      <c r="F510" s="2" t="str">
        <f t="shared" si="14"/>
        <v>THEM</v>
      </c>
      <c r="G510" s="2" t="str">
        <f t="shared" si="15"/>
        <v>Milwaukee's Best Ice|MORRIS 2</v>
      </c>
    </row>
    <row r="511" spans="1:7" x14ac:dyDescent="0.2">
      <c r="A511" s="2" t="str" cm="1">
        <f t="array" ref="A511">INDEX('[1]Brand Family Territory (Enc)'!$A$2:$A$296,INT((ROW()-2)/10)+1)</f>
        <v>Milwaukee's Best Ice</v>
      </c>
      <c r="B511" s="2" t="str" cm="1">
        <f t="array" ref="B511">INDEX('Whitelist (Blackout Reverse)'!$B$1:$K$1,MOD(ROW()-2,10)+1)</f>
        <v>MORRIS 3</v>
      </c>
      <c r="C511" s="2" t="str">
        <f>VLOOKUP(A511,'[1]Brand Family Territory (Enc)'!$A$2:$B$296,2,FALSE)</f>
        <v>Core Market</v>
      </c>
      <c r="D511" s="2">
        <f>IF(COUNTIFS('[1]Brand Family Territories (Enc)'!$B$2:$B$62,C511,'[1]Brand Family Territories (Enc)'!$C$2:$C$62,B511)&gt;0,1,IF(AND(LEFT(B511,6)="MORRIS",COUNTIFS('[1]Brand Family Territories (Enc)'!$B$2:$B$62,C511,'[1]Brand Family Territories (Enc)'!$C$2:$C$62,"Morri")&gt;0),"Unk",0))</f>
        <v>1</v>
      </c>
      <c r="E511" s="2" t="str">
        <f>IFERROR(INDEX('Blackout Brand Fam Areas (Enc)'!$D$6:$D$998,MATCH(UPPER(A511)&amp;"|"&amp;UPPER(B511),'Blackout Brand Fam Areas (Enc)'!$G$6:$G$998,0)),"No Match")</f>
        <v>No Match</v>
      </c>
      <c r="F511" s="2" t="str">
        <f t="shared" si="14"/>
        <v>US</v>
      </c>
      <c r="G511" s="2" t="str">
        <f t="shared" si="15"/>
        <v>Milwaukee's Best Ice|MORRIS 3</v>
      </c>
    </row>
    <row r="512" spans="1:7" x14ac:dyDescent="0.2">
      <c r="A512" s="2" t="str" cm="1">
        <f t="array" ref="A512">INDEX('[1]Brand Family Territory (Enc)'!$A$2:$A$296,INT((ROW()-2)/10)+1)</f>
        <v>Milwaukee's Best Light</v>
      </c>
      <c r="B512" s="2" t="str" cm="1">
        <f t="array" ref="B512">INDEX('Whitelist (Blackout Reverse)'!$B$1:$K$1,MOD(ROW()-2,10)+1)</f>
        <v>BERGEN</v>
      </c>
      <c r="C512" s="2" t="str">
        <f>VLOOKUP(A512,'[1]Brand Family Territory (Enc)'!$A$2:$B$296,2,FALSE)</f>
        <v>Core Market</v>
      </c>
      <c r="D512" s="2">
        <f>IF(COUNTIFS('[1]Brand Family Territories (Enc)'!$B$2:$B$62,C512,'[1]Brand Family Territories (Enc)'!$C$2:$C$62,B512)&gt;0,1,IF(AND(LEFT(B512,6)="MORRIS",COUNTIFS('[1]Brand Family Territories (Enc)'!$B$2:$B$62,C512,'[1]Brand Family Territories (Enc)'!$C$2:$C$62,"Morri")&gt;0),"Unk",0))</f>
        <v>1</v>
      </c>
      <c r="E512" s="2" t="str">
        <f>IFERROR(INDEX('Blackout Brand Fam Areas (Enc)'!$D$6:$D$998,MATCH(UPPER(A512)&amp;"|"&amp;UPPER(B512),'Blackout Brand Fam Areas (Enc)'!$G$6:$G$998,0)),"No Match")</f>
        <v>No Match</v>
      </c>
      <c r="F512" s="2" t="str">
        <f t="shared" si="14"/>
        <v>US</v>
      </c>
      <c r="G512" s="2" t="str">
        <f t="shared" si="15"/>
        <v>Milwaukee's Best Light|BERGEN</v>
      </c>
    </row>
    <row r="513" spans="1:7" x14ac:dyDescent="0.2">
      <c r="A513" s="2" t="str" cm="1">
        <f t="array" ref="A513">INDEX('[1]Brand Family Territory (Enc)'!$A$2:$A$296,INT((ROW()-2)/10)+1)</f>
        <v>Milwaukee's Best Light</v>
      </c>
      <c r="B513" s="2" t="str" cm="1">
        <f t="array" ref="B513">INDEX('Whitelist (Blackout Reverse)'!$B$1:$K$1,MOD(ROW()-2,10)+1)</f>
        <v>PASSAIC</v>
      </c>
      <c r="C513" s="2" t="str">
        <f>VLOOKUP(A513,'[1]Brand Family Territory (Enc)'!$A$2:$B$296,2,FALSE)</f>
        <v>Core Market</v>
      </c>
      <c r="D513" s="2">
        <f>IF(COUNTIFS('[1]Brand Family Territories (Enc)'!$B$2:$B$62,C513,'[1]Brand Family Territories (Enc)'!$C$2:$C$62,B513)&gt;0,1,IF(AND(LEFT(B513,6)="MORRIS",COUNTIFS('[1]Brand Family Territories (Enc)'!$B$2:$B$62,C513,'[1]Brand Family Territories (Enc)'!$C$2:$C$62,"Morri")&gt;0),"Unk",0))</f>
        <v>1</v>
      </c>
      <c r="E513" s="2" t="str">
        <f>IFERROR(INDEX('Blackout Brand Fam Areas (Enc)'!$D$6:$D$998,MATCH(UPPER(A513)&amp;"|"&amp;UPPER(B513),'Blackout Brand Fam Areas (Enc)'!$G$6:$G$998,0)),"No Match")</f>
        <v>No Match</v>
      </c>
      <c r="F513" s="2" t="str">
        <f t="shared" si="14"/>
        <v>US</v>
      </c>
      <c r="G513" s="2" t="str">
        <f t="shared" si="15"/>
        <v>Milwaukee's Best Light|PASSAIC</v>
      </c>
    </row>
    <row r="514" spans="1:7" x14ac:dyDescent="0.2">
      <c r="A514" s="2" t="str" cm="1">
        <f t="array" ref="A514">INDEX('[1]Brand Family Territory (Enc)'!$A$2:$A$296,INT((ROW()-2)/10)+1)</f>
        <v>Milwaukee's Best Light</v>
      </c>
      <c r="B514" s="2" t="str" cm="1">
        <f t="array" ref="B514">INDEX('Whitelist (Blackout Reverse)'!$B$1:$K$1,MOD(ROW()-2,10)+1)</f>
        <v>PASSAIC-FF</v>
      </c>
      <c r="C514" s="2" t="str">
        <f>VLOOKUP(A514,'[1]Brand Family Territory (Enc)'!$A$2:$B$296,2,FALSE)</f>
        <v>Core Market</v>
      </c>
      <c r="D514" s="2">
        <f>IF(COUNTIFS('[1]Brand Family Territories (Enc)'!$B$2:$B$62,C514,'[1]Brand Family Territories (Enc)'!$C$2:$C$62,B514)&gt;0,1,IF(AND(LEFT(B514,6)="MORRIS",COUNTIFS('[1]Brand Family Territories (Enc)'!$B$2:$B$62,C514,'[1]Brand Family Territories (Enc)'!$C$2:$C$62,"Morri")&gt;0),"Unk",0))</f>
        <v>1</v>
      </c>
      <c r="E514" s="2" t="str">
        <f>IFERROR(INDEX('Blackout Brand Fam Areas (Enc)'!$D$6:$D$998,MATCH(UPPER(A514)&amp;"|"&amp;UPPER(B514),'Blackout Brand Fam Areas (Enc)'!$G$6:$G$998,0)),"No Match")</f>
        <v>No Match</v>
      </c>
      <c r="F514" s="2" t="str">
        <f t="shared" si="14"/>
        <v>US</v>
      </c>
      <c r="G514" s="2" t="str">
        <f t="shared" si="15"/>
        <v>Milwaukee's Best Light|PASSAIC-FF</v>
      </c>
    </row>
    <row r="515" spans="1:7" x14ac:dyDescent="0.2">
      <c r="A515" s="2" t="str" cm="1">
        <f t="array" ref="A515">INDEX('[1]Brand Family Territory (Enc)'!$A$2:$A$296,INT((ROW()-2)/10)+1)</f>
        <v>Milwaukee's Best Light</v>
      </c>
      <c r="B515" s="2" t="str" cm="1">
        <f t="array" ref="B515">INDEX('Whitelist (Blackout Reverse)'!$B$1:$K$1,MOD(ROW()-2,10)+1)</f>
        <v>ESSEX</v>
      </c>
      <c r="C515" s="2" t="str">
        <f>VLOOKUP(A515,'[1]Brand Family Territory (Enc)'!$A$2:$B$296,2,FALSE)</f>
        <v>Core Market</v>
      </c>
      <c r="D515" s="2">
        <f>IF(COUNTIFS('[1]Brand Family Territories (Enc)'!$B$2:$B$62,C515,'[1]Brand Family Territories (Enc)'!$C$2:$C$62,B515)&gt;0,1,IF(AND(LEFT(B515,6)="MORRIS",COUNTIFS('[1]Brand Family Territories (Enc)'!$B$2:$B$62,C515,'[1]Brand Family Territories (Enc)'!$C$2:$C$62,"Morri")&gt;0),"Unk",0))</f>
        <v>0</v>
      </c>
      <c r="E515" s="2" t="str">
        <f>IFERROR(INDEX('Blackout Brand Fam Areas (Enc)'!$D$6:$D$998,MATCH(UPPER(A515)&amp;"|"&amp;UPPER(B515),'Blackout Brand Fam Areas (Enc)'!$G$6:$G$998,0)),"No Match")</f>
        <v>Inactive</v>
      </c>
      <c r="F515" s="2" t="str">
        <f t="shared" ref="F515:F578" si="16">IF(D515="Unk","Ambiguous (Source Truncated)",IF(E515="Inactive","THEM",IF(D515=1,"US",IF(D515="N/A","No Territory Data","THEM"))))</f>
        <v>THEM</v>
      </c>
      <c r="G515" s="2" t="str">
        <f t="shared" ref="G515:G578" si="17">A515&amp;"|"&amp;B515</f>
        <v>Milwaukee's Best Light|ESSEX</v>
      </c>
    </row>
    <row r="516" spans="1:7" x14ac:dyDescent="0.2">
      <c r="A516" s="2" t="str" cm="1">
        <f t="array" ref="A516">INDEX('[1]Brand Family Territory (Enc)'!$A$2:$A$296,INT((ROW()-2)/10)+1)</f>
        <v>Milwaukee's Best Light</v>
      </c>
      <c r="B516" s="2" t="str" cm="1">
        <f t="array" ref="B516">INDEX('Whitelist (Blackout Reverse)'!$B$1:$K$1,MOD(ROW()-2,10)+1)</f>
        <v>HUDSON</v>
      </c>
      <c r="C516" s="2" t="str">
        <f>VLOOKUP(A516,'[1]Brand Family Territory (Enc)'!$A$2:$B$296,2,FALSE)</f>
        <v>Core Market</v>
      </c>
      <c r="D516" s="2">
        <f>IF(COUNTIFS('[1]Brand Family Territories (Enc)'!$B$2:$B$62,C516,'[1]Brand Family Territories (Enc)'!$C$2:$C$62,B516)&gt;0,1,IF(AND(LEFT(B516,6)="MORRIS",COUNTIFS('[1]Brand Family Territories (Enc)'!$B$2:$B$62,C516,'[1]Brand Family Territories (Enc)'!$C$2:$C$62,"Morri")&gt;0),"Unk",0))</f>
        <v>0</v>
      </c>
      <c r="E516" s="2" t="str">
        <f>IFERROR(INDEX('Blackout Brand Fam Areas (Enc)'!$D$6:$D$998,MATCH(UPPER(A516)&amp;"|"&amp;UPPER(B516),'Blackout Brand Fam Areas (Enc)'!$G$6:$G$998,0)),"No Match")</f>
        <v>Inactive</v>
      </c>
      <c r="F516" s="2" t="str">
        <f t="shared" si="16"/>
        <v>THEM</v>
      </c>
      <c r="G516" s="2" t="str">
        <f t="shared" si="17"/>
        <v>Milwaukee's Best Light|HUDSON</v>
      </c>
    </row>
    <row r="517" spans="1:7" x14ac:dyDescent="0.2">
      <c r="A517" s="2" t="str" cm="1">
        <f t="array" ref="A517">INDEX('[1]Brand Family Territory (Enc)'!$A$2:$A$296,INT((ROW()-2)/10)+1)</f>
        <v>Milwaukee's Best Light</v>
      </c>
      <c r="B517" s="2" t="str" cm="1">
        <f t="array" ref="B517">INDEX('Whitelist (Blackout Reverse)'!$B$1:$K$1,MOD(ROW()-2,10)+1)</f>
        <v>UNION</v>
      </c>
      <c r="C517" s="2" t="str">
        <f>VLOOKUP(A517,'[1]Brand Family Territory (Enc)'!$A$2:$B$296,2,FALSE)</f>
        <v>Core Market</v>
      </c>
      <c r="D517" s="2">
        <f>IF(COUNTIFS('[1]Brand Family Territories (Enc)'!$B$2:$B$62,C517,'[1]Brand Family Territories (Enc)'!$C$2:$C$62,B517)&gt;0,1,IF(AND(LEFT(B517,6)="MORRIS",COUNTIFS('[1]Brand Family Territories (Enc)'!$B$2:$B$62,C517,'[1]Brand Family Territories (Enc)'!$C$2:$C$62,"Morri")&gt;0),"Unk",0))</f>
        <v>0</v>
      </c>
      <c r="E517" s="2" t="str">
        <f>IFERROR(INDEX('Blackout Brand Fam Areas (Enc)'!$D$6:$D$998,MATCH(UPPER(A517)&amp;"|"&amp;UPPER(B517),'Blackout Brand Fam Areas (Enc)'!$G$6:$G$998,0)),"No Match")</f>
        <v>Inactive</v>
      </c>
      <c r="F517" s="2" t="str">
        <f t="shared" si="16"/>
        <v>THEM</v>
      </c>
      <c r="G517" s="2" t="str">
        <f t="shared" si="17"/>
        <v>Milwaukee's Best Light|UNION</v>
      </c>
    </row>
    <row r="518" spans="1:7" x14ac:dyDescent="0.2">
      <c r="A518" s="2" t="str" cm="1">
        <f t="array" ref="A518">INDEX('[1]Brand Family Territory (Enc)'!$A$2:$A$296,INT((ROW()-2)/10)+1)</f>
        <v>Milwaukee's Best Light</v>
      </c>
      <c r="B518" s="2" t="str" cm="1">
        <f t="array" ref="B518">INDEX('Whitelist (Blackout Reverse)'!$B$1:$K$1,MOD(ROW()-2,10)+1)</f>
        <v>SUSSEX</v>
      </c>
      <c r="C518" s="2" t="str">
        <f>VLOOKUP(A518,'[1]Brand Family Territory (Enc)'!$A$2:$B$296,2,FALSE)</f>
        <v>Core Market</v>
      </c>
      <c r="D518" s="2">
        <f>IF(COUNTIFS('[1]Brand Family Territories (Enc)'!$B$2:$B$62,C518,'[1]Brand Family Territories (Enc)'!$C$2:$C$62,B518)&gt;0,1,IF(AND(LEFT(B518,6)="MORRIS",COUNTIFS('[1]Brand Family Territories (Enc)'!$B$2:$B$62,C518,'[1]Brand Family Territories (Enc)'!$C$2:$C$62,"Morri")&gt;0),"Unk",0))</f>
        <v>1</v>
      </c>
      <c r="E518" s="2" t="str">
        <f>IFERROR(INDEX('Blackout Brand Fam Areas (Enc)'!$D$6:$D$998,MATCH(UPPER(A518)&amp;"|"&amp;UPPER(B518),'Blackout Brand Fam Areas (Enc)'!$G$6:$G$998,0)),"No Match")</f>
        <v>No Match</v>
      </c>
      <c r="F518" s="2" t="str">
        <f t="shared" si="16"/>
        <v>US</v>
      </c>
      <c r="G518" s="2" t="str">
        <f t="shared" si="17"/>
        <v>Milwaukee's Best Light|SUSSEX</v>
      </c>
    </row>
    <row r="519" spans="1:7" x14ac:dyDescent="0.2">
      <c r="A519" s="2" t="str" cm="1">
        <f t="array" ref="A519">INDEX('[1]Brand Family Territory (Enc)'!$A$2:$A$296,INT((ROW()-2)/10)+1)</f>
        <v>Milwaukee's Best Light</v>
      </c>
      <c r="B519" s="2" t="str" cm="1">
        <f t="array" ref="B519">INDEX('Whitelist (Blackout Reverse)'!$B$1:$K$1,MOD(ROW()-2,10)+1)</f>
        <v>MORRIS 1</v>
      </c>
      <c r="C519" s="2" t="str">
        <f>VLOOKUP(A519,'[1]Brand Family Territory (Enc)'!$A$2:$B$296,2,FALSE)</f>
        <v>Core Market</v>
      </c>
      <c r="D519" s="2">
        <f>IF(COUNTIFS('[1]Brand Family Territories (Enc)'!$B$2:$B$62,C519,'[1]Brand Family Territories (Enc)'!$C$2:$C$62,B519)&gt;0,1,IF(AND(LEFT(B519,6)="MORRIS",COUNTIFS('[1]Brand Family Territories (Enc)'!$B$2:$B$62,C519,'[1]Brand Family Territories (Enc)'!$C$2:$C$62,"Morri")&gt;0),"Unk",0))</f>
        <v>1</v>
      </c>
      <c r="E519" s="2" t="str">
        <f>IFERROR(INDEX('Blackout Brand Fam Areas (Enc)'!$D$6:$D$998,MATCH(UPPER(A519)&amp;"|"&amp;UPPER(B519),'Blackout Brand Fam Areas (Enc)'!$G$6:$G$998,0)),"No Match")</f>
        <v>No Match</v>
      </c>
      <c r="F519" s="2" t="str">
        <f t="shared" si="16"/>
        <v>US</v>
      </c>
      <c r="G519" s="2" t="str">
        <f t="shared" si="17"/>
        <v>Milwaukee's Best Light|MORRIS 1</v>
      </c>
    </row>
    <row r="520" spans="1:7" x14ac:dyDescent="0.2">
      <c r="A520" s="2" t="str" cm="1">
        <f t="array" ref="A520">INDEX('[1]Brand Family Territory (Enc)'!$A$2:$A$296,INT((ROW()-2)/10)+1)</f>
        <v>Milwaukee's Best Light</v>
      </c>
      <c r="B520" s="2" t="str" cm="1">
        <f t="array" ref="B520">INDEX('Whitelist (Blackout Reverse)'!$B$1:$K$1,MOD(ROW()-2,10)+1)</f>
        <v>MORRIS 2</v>
      </c>
      <c r="C520" s="2" t="str">
        <f>VLOOKUP(A520,'[1]Brand Family Territory (Enc)'!$A$2:$B$296,2,FALSE)</f>
        <v>Core Market</v>
      </c>
      <c r="D520" s="2">
        <f>IF(COUNTIFS('[1]Brand Family Territories (Enc)'!$B$2:$B$62,C520,'[1]Brand Family Territories (Enc)'!$C$2:$C$62,B520)&gt;0,1,IF(AND(LEFT(B520,6)="MORRIS",COUNTIFS('[1]Brand Family Territories (Enc)'!$B$2:$B$62,C520,'[1]Brand Family Territories (Enc)'!$C$2:$C$62,"Morri")&gt;0),"Unk",0))</f>
        <v>0</v>
      </c>
      <c r="E520" s="2" t="str">
        <f>IFERROR(INDEX('Blackout Brand Fam Areas (Enc)'!$D$6:$D$998,MATCH(UPPER(A520)&amp;"|"&amp;UPPER(B520),'Blackout Brand Fam Areas (Enc)'!$G$6:$G$998,0)),"No Match")</f>
        <v>Inactive</v>
      </c>
      <c r="F520" s="2" t="str">
        <f t="shared" si="16"/>
        <v>THEM</v>
      </c>
      <c r="G520" s="2" t="str">
        <f t="shared" si="17"/>
        <v>Milwaukee's Best Light|MORRIS 2</v>
      </c>
    </row>
    <row r="521" spans="1:7" x14ac:dyDescent="0.2">
      <c r="A521" s="2" t="str" cm="1">
        <f t="array" ref="A521">INDEX('[1]Brand Family Territory (Enc)'!$A$2:$A$296,INT((ROW()-2)/10)+1)</f>
        <v>Milwaukee's Best Light</v>
      </c>
      <c r="B521" s="2" t="str" cm="1">
        <f t="array" ref="B521">INDEX('Whitelist (Blackout Reverse)'!$B$1:$K$1,MOD(ROW()-2,10)+1)</f>
        <v>MORRIS 3</v>
      </c>
      <c r="C521" s="2" t="str">
        <f>VLOOKUP(A521,'[1]Brand Family Territory (Enc)'!$A$2:$B$296,2,FALSE)</f>
        <v>Core Market</v>
      </c>
      <c r="D521" s="2">
        <f>IF(COUNTIFS('[1]Brand Family Territories (Enc)'!$B$2:$B$62,C521,'[1]Brand Family Territories (Enc)'!$C$2:$C$62,B521)&gt;0,1,IF(AND(LEFT(B521,6)="MORRIS",COUNTIFS('[1]Brand Family Territories (Enc)'!$B$2:$B$62,C521,'[1]Brand Family Territories (Enc)'!$C$2:$C$62,"Morri")&gt;0),"Unk",0))</f>
        <v>1</v>
      </c>
      <c r="E521" s="2" t="str">
        <f>IFERROR(INDEX('Blackout Brand Fam Areas (Enc)'!$D$6:$D$998,MATCH(UPPER(A521)&amp;"|"&amp;UPPER(B521),'Blackout Brand Fam Areas (Enc)'!$G$6:$G$998,0)),"No Match")</f>
        <v>No Match</v>
      </c>
      <c r="F521" s="2" t="str">
        <f t="shared" si="16"/>
        <v>US</v>
      </c>
      <c r="G521" s="2" t="str">
        <f t="shared" si="17"/>
        <v>Milwaukee's Best Light|MORRIS 3</v>
      </c>
    </row>
    <row r="522" spans="1:7" x14ac:dyDescent="0.2">
      <c r="A522" s="2" t="str" cm="1">
        <f t="array" ref="A522">INDEX('[1]Brand Family Territory (Enc)'!$A$2:$A$296,INT((ROW()-2)/10)+1)</f>
        <v>Modelo Aquas Frescas</v>
      </c>
      <c r="B522" s="2" t="str" cm="1">
        <f t="array" ref="B522">INDEX('Whitelist (Blackout Reverse)'!$B$1:$K$1,MOD(ROW()-2,10)+1)</f>
        <v>BERGEN</v>
      </c>
      <c r="C522" s="2" t="str">
        <f>VLOOKUP(A522,'[1]Brand Family Territory (Enc)'!$A$2:$B$296,2,FALSE)</f>
        <v>Core Market</v>
      </c>
      <c r="D522" s="2">
        <f>IF(COUNTIFS('[1]Brand Family Territories (Enc)'!$B$2:$B$62,C522,'[1]Brand Family Territories (Enc)'!$C$2:$C$62,B522)&gt;0,1,IF(AND(LEFT(B522,6)="MORRIS",COUNTIFS('[1]Brand Family Territories (Enc)'!$B$2:$B$62,C522,'[1]Brand Family Territories (Enc)'!$C$2:$C$62,"Morri")&gt;0),"Unk",0))</f>
        <v>1</v>
      </c>
      <c r="E522" s="2" t="str">
        <f>IFERROR(INDEX('Blackout Brand Fam Areas (Enc)'!$D$6:$D$998,MATCH(UPPER(A522)&amp;"|"&amp;UPPER(B522),'Blackout Brand Fam Areas (Enc)'!$G$6:$G$998,0)),"No Match")</f>
        <v>No Match</v>
      </c>
      <c r="F522" s="2" t="str">
        <f t="shared" si="16"/>
        <v>US</v>
      </c>
      <c r="G522" s="2" t="str">
        <f t="shared" si="17"/>
        <v>Modelo Aquas Frescas|BERGEN</v>
      </c>
    </row>
    <row r="523" spans="1:7" x14ac:dyDescent="0.2">
      <c r="A523" s="2" t="str" cm="1">
        <f t="array" ref="A523">INDEX('[1]Brand Family Territory (Enc)'!$A$2:$A$296,INT((ROW()-2)/10)+1)</f>
        <v>Modelo Aquas Frescas</v>
      </c>
      <c r="B523" s="2" t="str" cm="1">
        <f t="array" ref="B523">INDEX('Whitelist (Blackout Reverse)'!$B$1:$K$1,MOD(ROW()-2,10)+1)</f>
        <v>PASSAIC</v>
      </c>
      <c r="C523" s="2" t="str">
        <f>VLOOKUP(A523,'[1]Brand Family Territory (Enc)'!$A$2:$B$296,2,FALSE)</f>
        <v>Core Market</v>
      </c>
      <c r="D523" s="2">
        <f>IF(COUNTIFS('[1]Brand Family Territories (Enc)'!$B$2:$B$62,C523,'[1]Brand Family Territories (Enc)'!$C$2:$C$62,B523)&gt;0,1,IF(AND(LEFT(B523,6)="MORRIS",COUNTIFS('[1]Brand Family Territories (Enc)'!$B$2:$B$62,C523,'[1]Brand Family Territories (Enc)'!$C$2:$C$62,"Morri")&gt;0),"Unk",0))</f>
        <v>1</v>
      </c>
      <c r="E523" s="2" t="str">
        <f>IFERROR(INDEX('Blackout Brand Fam Areas (Enc)'!$D$6:$D$998,MATCH(UPPER(A523)&amp;"|"&amp;UPPER(B523),'Blackout Brand Fam Areas (Enc)'!$G$6:$G$998,0)),"No Match")</f>
        <v>No Match</v>
      </c>
      <c r="F523" s="2" t="str">
        <f t="shared" si="16"/>
        <v>US</v>
      </c>
      <c r="G523" s="2" t="str">
        <f t="shared" si="17"/>
        <v>Modelo Aquas Frescas|PASSAIC</v>
      </c>
    </row>
    <row r="524" spans="1:7" x14ac:dyDescent="0.2">
      <c r="A524" s="2" t="str" cm="1">
        <f t="array" ref="A524">INDEX('[1]Brand Family Territory (Enc)'!$A$2:$A$296,INT((ROW()-2)/10)+1)</f>
        <v>Modelo Aquas Frescas</v>
      </c>
      <c r="B524" s="2" t="str" cm="1">
        <f t="array" ref="B524">INDEX('Whitelist (Blackout Reverse)'!$B$1:$K$1,MOD(ROW()-2,10)+1)</f>
        <v>PASSAIC-FF</v>
      </c>
      <c r="C524" s="2" t="str">
        <f>VLOOKUP(A524,'[1]Brand Family Territory (Enc)'!$A$2:$B$296,2,FALSE)</f>
        <v>Core Market</v>
      </c>
      <c r="D524" s="2">
        <f>IF(COUNTIFS('[1]Brand Family Territories (Enc)'!$B$2:$B$62,C524,'[1]Brand Family Territories (Enc)'!$C$2:$C$62,B524)&gt;0,1,IF(AND(LEFT(B524,6)="MORRIS",COUNTIFS('[1]Brand Family Territories (Enc)'!$B$2:$B$62,C524,'[1]Brand Family Territories (Enc)'!$C$2:$C$62,"Morri")&gt;0),"Unk",0))</f>
        <v>1</v>
      </c>
      <c r="E524" s="2" t="str">
        <f>IFERROR(INDEX('Blackout Brand Fam Areas (Enc)'!$D$6:$D$998,MATCH(UPPER(A524)&amp;"|"&amp;UPPER(B524),'Blackout Brand Fam Areas (Enc)'!$G$6:$G$998,0)),"No Match")</f>
        <v>No Match</v>
      </c>
      <c r="F524" s="2" t="str">
        <f t="shared" si="16"/>
        <v>US</v>
      </c>
      <c r="G524" s="2" t="str">
        <f t="shared" si="17"/>
        <v>Modelo Aquas Frescas|PASSAIC-FF</v>
      </c>
    </row>
    <row r="525" spans="1:7" x14ac:dyDescent="0.2">
      <c r="A525" s="2" t="str" cm="1">
        <f t="array" ref="A525">INDEX('[1]Brand Family Territory (Enc)'!$A$2:$A$296,INT((ROW()-2)/10)+1)</f>
        <v>Modelo Aquas Frescas</v>
      </c>
      <c r="B525" s="2" t="str" cm="1">
        <f t="array" ref="B525">INDEX('Whitelist (Blackout Reverse)'!$B$1:$K$1,MOD(ROW()-2,10)+1)</f>
        <v>ESSEX</v>
      </c>
      <c r="C525" s="2" t="str">
        <f>VLOOKUP(A525,'[1]Brand Family Territory (Enc)'!$A$2:$B$296,2,FALSE)</f>
        <v>Core Market</v>
      </c>
      <c r="D525" s="2">
        <f>IF(COUNTIFS('[1]Brand Family Territories (Enc)'!$B$2:$B$62,C525,'[1]Brand Family Territories (Enc)'!$C$2:$C$62,B525)&gt;0,1,IF(AND(LEFT(B525,6)="MORRIS",COUNTIFS('[1]Brand Family Territories (Enc)'!$B$2:$B$62,C525,'[1]Brand Family Territories (Enc)'!$C$2:$C$62,"Morri")&gt;0),"Unk",0))</f>
        <v>0</v>
      </c>
      <c r="E525" s="2" t="str">
        <f>IFERROR(INDEX('Blackout Brand Fam Areas (Enc)'!$D$6:$D$998,MATCH(UPPER(A525)&amp;"|"&amp;UPPER(B525),'Blackout Brand Fam Areas (Enc)'!$G$6:$G$998,0)),"No Match")</f>
        <v>Inactive</v>
      </c>
      <c r="F525" s="2" t="str">
        <f t="shared" si="16"/>
        <v>THEM</v>
      </c>
      <c r="G525" s="2" t="str">
        <f t="shared" si="17"/>
        <v>Modelo Aquas Frescas|ESSEX</v>
      </c>
    </row>
    <row r="526" spans="1:7" x14ac:dyDescent="0.2">
      <c r="A526" s="2" t="str" cm="1">
        <f t="array" ref="A526">INDEX('[1]Brand Family Territory (Enc)'!$A$2:$A$296,INT((ROW()-2)/10)+1)</f>
        <v>Modelo Aquas Frescas</v>
      </c>
      <c r="B526" s="2" t="str" cm="1">
        <f t="array" ref="B526">INDEX('Whitelist (Blackout Reverse)'!$B$1:$K$1,MOD(ROW()-2,10)+1)</f>
        <v>HUDSON</v>
      </c>
      <c r="C526" s="2" t="str">
        <f>VLOOKUP(A526,'[1]Brand Family Territory (Enc)'!$A$2:$B$296,2,FALSE)</f>
        <v>Core Market</v>
      </c>
      <c r="D526" s="2">
        <f>IF(COUNTIFS('[1]Brand Family Territories (Enc)'!$B$2:$B$62,C526,'[1]Brand Family Territories (Enc)'!$C$2:$C$62,B526)&gt;0,1,IF(AND(LEFT(B526,6)="MORRIS",COUNTIFS('[1]Brand Family Territories (Enc)'!$B$2:$B$62,C526,'[1]Brand Family Territories (Enc)'!$C$2:$C$62,"Morri")&gt;0),"Unk",0))</f>
        <v>0</v>
      </c>
      <c r="E526" s="2" t="str">
        <f>IFERROR(INDEX('Blackout Brand Fam Areas (Enc)'!$D$6:$D$998,MATCH(UPPER(A526)&amp;"|"&amp;UPPER(B526),'Blackout Brand Fam Areas (Enc)'!$G$6:$G$998,0)),"No Match")</f>
        <v>Inactive</v>
      </c>
      <c r="F526" s="2" t="str">
        <f t="shared" si="16"/>
        <v>THEM</v>
      </c>
      <c r="G526" s="2" t="str">
        <f t="shared" si="17"/>
        <v>Modelo Aquas Frescas|HUDSON</v>
      </c>
    </row>
    <row r="527" spans="1:7" x14ac:dyDescent="0.2">
      <c r="A527" s="2" t="str" cm="1">
        <f t="array" ref="A527">INDEX('[1]Brand Family Territory (Enc)'!$A$2:$A$296,INT((ROW()-2)/10)+1)</f>
        <v>Modelo Aquas Frescas</v>
      </c>
      <c r="B527" s="2" t="str" cm="1">
        <f t="array" ref="B527">INDEX('Whitelist (Blackout Reverse)'!$B$1:$K$1,MOD(ROW()-2,10)+1)</f>
        <v>UNION</v>
      </c>
      <c r="C527" s="2" t="str">
        <f>VLOOKUP(A527,'[1]Brand Family Territory (Enc)'!$A$2:$B$296,2,FALSE)</f>
        <v>Core Market</v>
      </c>
      <c r="D527" s="2">
        <f>IF(COUNTIFS('[1]Brand Family Territories (Enc)'!$B$2:$B$62,C527,'[1]Brand Family Territories (Enc)'!$C$2:$C$62,B527)&gt;0,1,IF(AND(LEFT(B527,6)="MORRIS",COUNTIFS('[1]Brand Family Territories (Enc)'!$B$2:$B$62,C527,'[1]Brand Family Territories (Enc)'!$C$2:$C$62,"Morri")&gt;0),"Unk",0))</f>
        <v>0</v>
      </c>
      <c r="E527" s="2" t="str">
        <f>IFERROR(INDEX('Blackout Brand Fam Areas (Enc)'!$D$6:$D$998,MATCH(UPPER(A527)&amp;"|"&amp;UPPER(B527),'Blackout Brand Fam Areas (Enc)'!$G$6:$G$998,0)),"No Match")</f>
        <v>Inactive</v>
      </c>
      <c r="F527" s="2" t="str">
        <f t="shared" si="16"/>
        <v>THEM</v>
      </c>
      <c r="G527" s="2" t="str">
        <f t="shared" si="17"/>
        <v>Modelo Aquas Frescas|UNION</v>
      </c>
    </row>
    <row r="528" spans="1:7" x14ac:dyDescent="0.2">
      <c r="A528" s="2" t="str" cm="1">
        <f t="array" ref="A528">INDEX('[1]Brand Family Territory (Enc)'!$A$2:$A$296,INT((ROW()-2)/10)+1)</f>
        <v>Modelo Aquas Frescas</v>
      </c>
      <c r="B528" s="2" t="str" cm="1">
        <f t="array" ref="B528">INDEX('Whitelist (Blackout Reverse)'!$B$1:$K$1,MOD(ROW()-2,10)+1)</f>
        <v>SUSSEX</v>
      </c>
      <c r="C528" s="2" t="str">
        <f>VLOOKUP(A528,'[1]Brand Family Territory (Enc)'!$A$2:$B$296,2,FALSE)</f>
        <v>Core Market</v>
      </c>
      <c r="D528" s="2">
        <f>IF(COUNTIFS('[1]Brand Family Territories (Enc)'!$B$2:$B$62,C528,'[1]Brand Family Territories (Enc)'!$C$2:$C$62,B528)&gt;0,1,IF(AND(LEFT(B528,6)="MORRIS",COUNTIFS('[1]Brand Family Territories (Enc)'!$B$2:$B$62,C528,'[1]Brand Family Territories (Enc)'!$C$2:$C$62,"Morri")&gt;0),"Unk",0))</f>
        <v>1</v>
      </c>
      <c r="E528" s="2" t="str">
        <f>IFERROR(INDEX('Blackout Brand Fam Areas (Enc)'!$D$6:$D$998,MATCH(UPPER(A528)&amp;"|"&amp;UPPER(B528),'Blackout Brand Fam Areas (Enc)'!$G$6:$G$998,0)),"No Match")</f>
        <v>No Match</v>
      </c>
      <c r="F528" s="2" t="str">
        <f t="shared" si="16"/>
        <v>US</v>
      </c>
      <c r="G528" s="2" t="str">
        <f t="shared" si="17"/>
        <v>Modelo Aquas Frescas|SUSSEX</v>
      </c>
    </row>
    <row r="529" spans="1:7" x14ac:dyDescent="0.2">
      <c r="A529" s="2" t="str" cm="1">
        <f t="array" ref="A529">INDEX('[1]Brand Family Territory (Enc)'!$A$2:$A$296,INT((ROW()-2)/10)+1)</f>
        <v>Modelo Aquas Frescas</v>
      </c>
      <c r="B529" s="2" t="str" cm="1">
        <f t="array" ref="B529">INDEX('Whitelist (Blackout Reverse)'!$B$1:$K$1,MOD(ROW()-2,10)+1)</f>
        <v>MORRIS 1</v>
      </c>
      <c r="C529" s="2" t="str">
        <f>VLOOKUP(A529,'[1]Brand Family Territory (Enc)'!$A$2:$B$296,2,FALSE)</f>
        <v>Core Market</v>
      </c>
      <c r="D529" s="2">
        <f>IF(COUNTIFS('[1]Brand Family Territories (Enc)'!$B$2:$B$62,C529,'[1]Brand Family Territories (Enc)'!$C$2:$C$62,B529)&gt;0,1,IF(AND(LEFT(B529,6)="MORRIS",COUNTIFS('[1]Brand Family Territories (Enc)'!$B$2:$B$62,C529,'[1]Brand Family Territories (Enc)'!$C$2:$C$62,"Morri")&gt;0),"Unk",0))</f>
        <v>1</v>
      </c>
      <c r="E529" s="2" t="str">
        <f>IFERROR(INDEX('Blackout Brand Fam Areas (Enc)'!$D$6:$D$998,MATCH(UPPER(A529)&amp;"|"&amp;UPPER(B529),'Blackout Brand Fam Areas (Enc)'!$G$6:$G$998,0)),"No Match")</f>
        <v>No Match</v>
      </c>
      <c r="F529" s="2" t="str">
        <f t="shared" si="16"/>
        <v>US</v>
      </c>
      <c r="G529" s="2" t="str">
        <f t="shared" si="17"/>
        <v>Modelo Aquas Frescas|MORRIS 1</v>
      </c>
    </row>
    <row r="530" spans="1:7" x14ac:dyDescent="0.2">
      <c r="A530" s="2" t="str" cm="1">
        <f t="array" ref="A530">INDEX('[1]Brand Family Territory (Enc)'!$A$2:$A$296,INT((ROW()-2)/10)+1)</f>
        <v>Modelo Aquas Frescas</v>
      </c>
      <c r="B530" s="2" t="str" cm="1">
        <f t="array" ref="B530">INDEX('Whitelist (Blackout Reverse)'!$B$1:$K$1,MOD(ROW()-2,10)+1)</f>
        <v>MORRIS 2</v>
      </c>
      <c r="C530" s="2" t="str">
        <f>VLOOKUP(A530,'[1]Brand Family Territory (Enc)'!$A$2:$B$296,2,FALSE)</f>
        <v>Core Market</v>
      </c>
      <c r="D530" s="2">
        <f>IF(COUNTIFS('[1]Brand Family Territories (Enc)'!$B$2:$B$62,C530,'[1]Brand Family Territories (Enc)'!$C$2:$C$62,B530)&gt;0,1,IF(AND(LEFT(B530,6)="MORRIS",COUNTIFS('[1]Brand Family Territories (Enc)'!$B$2:$B$62,C530,'[1]Brand Family Territories (Enc)'!$C$2:$C$62,"Morri")&gt;0),"Unk",0))</f>
        <v>0</v>
      </c>
      <c r="E530" s="2" t="str">
        <f>IFERROR(INDEX('Blackout Brand Fam Areas (Enc)'!$D$6:$D$998,MATCH(UPPER(A530)&amp;"|"&amp;UPPER(B530),'Blackout Brand Fam Areas (Enc)'!$G$6:$G$998,0)),"No Match")</f>
        <v>Inactive</v>
      </c>
      <c r="F530" s="2" t="str">
        <f t="shared" si="16"/>
        <v>THEM</v>
      </c>
      <c r="G530" s="2" t="str">
        <f t="shared" si="17"/>
        <v>Modelo Aquas Frescas|MORRIS 2</v>
      </c>
    </row>
    <row r="531" spans="1:7" x14ac:dyDescent="0.2">
      <c r="A531" s="2" t="str" cm="1">
        <f t="array" ref="A531">INDEX('[1]Brand Family Territory (Enc)'!$A$2:$A$296,INT((ROW()-2)/10)+1)</f>
        <v>Modelo Aquas Frescas</v>
      </c>
      <c r="B531" s="2" t="str" cm="1">
        <f t="array" ref="B531">INDEX('Whitelist (Blackout Reverse)'!$B$1:$K$1,MOD(ROW()-2,10)+1)</f>
        <v>MORRIS 3</v>
      </c>
      <c r="C531" s="2" t="str">
        <f>VLOOKUP(A531,'[1]Brand Family Territory (Enc)'!$A$2:$B$296,2,FALSE)</f>
        <v>Core Market</v>
      </c>
      <c r="D531" s="2">
        <f>IF(COUNTIFS('[1]Brand Family Territories (Enc)'!$B$2:$B$62,C531,'[1]Brand Family Territories (Enc)'!$C$2:$C$62,B531)&gt;0,1,IF(AND(LEFT(B531,6)="MORRIS",COUNTIFS('[1]Brand Family Territories (Enc)'!$B$2:$B$62,C531,'[1]Brand Family Territories (Enc)'!$C$2:$C$62,"Morri")&gt;0),"Unk",0))</f>
        <v>1</v>
      </c>
      <c r="E531" s="2" t="str">
        <f>IFERROR(INDEX('Blackout Brand Fam Areas (Enc)'!$D$6:$D$998,MATCH(UPPER(A531)&amp;"|"&amp;UPPER(B531),'Blackout Brand Fam Areas (Enc)'!$G$6:$G$998,0)),"No Match")</f>
        <v>No Match</v>
      </c>
      <c r="F531" s="2" t="str">
        <f t="shared" si="16"/>
        <v>US</v>
      </c>
      <c r="G531" s="2" t="str">
        <f t="shared" si="17"/>
        <v>Modelo Aquas Frescas|MORRIS 3</v>
      </c>
    </row>
    <row r="532" spans="1:7" x14ac:dyDescent="0.2">
      <c r="A532" s="2" t="str" cm="1">
        <f t="array" ref="A532">INDEX('[1]Brand Family Territory (Enc)'!$A$2:$A$296,INT((ROW()-2)/10)+1)</f>
        <v>Modelo Chelada</v>
      </c>
      <c r="B532" s="2" t="str" cm="1">
        <f t="array" ref="B532">INDEX('Whitelist (Blackout Reverse)'!$B$1:$K$1,MOD(ROW()-2,10)+1)</f>
        <v>BERGEN</v>
      </c>
      <c r="C532" s="2" t="str">
        <f>VLOOKUP(A532,'[1]Brand Family Territory (Enc)'!$A$2:$B$296,2,FALSE)</f>
        <v>Core Market</v>
      </c>
      <c r="D532" s="2">
        <f>IF(COUNTIFS('[1]Brand Family Territories (Enc)'!$B$2:$B$62,C532,'[1]Brand Family Territories (Enc)'!$C$2:$C$62,B532)&gt;0,1,IF(AND(LEFT(B532,6)="MORRIS",COUNTIFS('[1]Brand Family Territories (Enc)'!$B$2:$B$62,C532,'[1]Brand Family Territories (Enc)'!$C$2:$C$62,"Morri")&gt;0),"Unk",0))</f>
        <v>1</v>
      </c>
      <c r="E532" s="2" t="str">
        <f>IFERROR(INDEX('Blackout Brand Fam Areas (Enc)'!$D$6:$D$998,MATCH(UPPER(A532)&amp;"|"&amp;UPPER(B532),'Blackout Brand Fam Areas (Enc)'!$G$6:$G$998,0)),"No Match")</f>
        <v>No Match</v>
      </c>
      <c r="F532" s="2" t="str">
        <f t="shared" si="16"/>
        <v>US</v>
      </c>
      <c r="G532" s="2" t="str">
        <f t="shared" si="17"/>
        <v>Modelo Chelada|BERGEN</v>
      </c>
    </row>
    <row r="533" spans="1:7" x14ac:dyDescent="0.2">
      <c r="A533" s="2" t="str" cm="1">
        <f t="array" ref="A533">INDEX('[1]Brand Family Territory (Enc)'!$A$2:$A$296,INT((ROW()-2)/10)+1)</f>
        <v>Modelo Chelada</v>
      </c>
      <c r="B533" s="2" t="str" cm="1">
        <f t="array" ref="B533">INDEX('Whitelist (Blackout Reverse)'!$B$1:$K$1,MOD(ROW()-2,10)+1)</f>
        <v>PASSAIC</v>
      </c>
      <c r="C533" s="2" t="str">
        <f>VLOOKUP(A533,'[1]Brand Family Territory (Enc)'!$A$2:$B$296,2,FALSE)</f>
        <v>Core Market</v>
      </c>
      <c r="D533" s="2">
        <f>IF(COUNTIFS('[1]Brand Family Territories (Enc)'!$B$2:$B$62,C533,'[1]Brand Family Territories (Enc)'!$C$2:$C$62,B533)&gt;0,1,IF(AND(LEFT(B533,6)="MORRIS",COUNTIFS('[1]Brand Family Territories (Enc)'!$B$2:$B$62,C533,'[1]Brand Family Territories (Enc)'!$C$2:$C$62,"Morri")&gt;0),"Unk",0))</f>
        <v>1</v>
      </c>
      <c r="E533" s="2" t="str">
        <f>IFERROR(INDEX('Blackout Brand Fam Areas (Enc)'!$D$6:$D$998,MATCH(UPPER(A533)&amp;"|"&amp;UPPER(B533),'Blackout Brand Fam Areas (Enc)'!$G$6:$G$998,0)),"No Match")</f>
        <v>No Match</v>
      </c>
      <c r="F533" s="2" t="str">
        <f t="shared" si="16"/>
        <v>US</v>
      </c>
      <c r="G533" s="2" t="str">
        <f t="shared" si="17"/>
        <v>Modelo Chelada|PASSAIC</v>
      </c>
    </row>
    <row r="534" spans="1:7" x14ac:dyDescent="0.2">
      <c r="A534" s="2" t="str" cm="1">
        <f t="array" ref="A534">INDEX('[1]Brand Family Territory (Enc)'!$A$2:$A$296,INT((ROW()-2)/10)+1)</f>
        <v>Modelo Chelada</v>
      </c>
      <c r="B534" s="2" t="str" cm="1">
        <f t="array" ref="B534">INDEX('Whitelist (Blackout Reverse)'!$B$1:$K$1,MOD(ROW()-2,10)+1)</f>
        <v>PASSAIC-FF</v>
      </c>
      <c r="C534" s="2" t="str">
        <f>VLOOKUP(A534,'[1]Brand Family Territory (Enc)'!$A$2:$B$296,2,FALSE)</f>
        <v>Core Market</v>
      </c>
      <c r="D534" s="2">
        <f>IF(COUNTIFS('[1]Brand Family Territories (Enc)'!$B$2:$B$62,C534,'[1]Brand Family Territories (Enc)'!$C$2:$C$62,B534)&gt;0,1,IF(AND(LEFT(B534,6)="MORRIS",COUNTIFS('[1]Brand Family Territories (Enc)'!$B$2:$B$62,C534,'[1]Brand Family Territories (Enc)'!$C$2:$C$62,"Morri")&gt;0),"Unk",0))</f>
        <v>1</v>
      </c>
      <c r="E534" s="2" t="str">
        <f>IFERROR(INDEX('Blackout Brand Fam Areas (Enc)'!$D$6:$D$998,MATCH(UPPER(A534)&amp;"|"&amp;UPPER(B534),'Blackout Brand Fam Areas (Enc)'!$G$6:$G$998,0)),"No Match")</f>
        <v>No Match</v>
      </c>
      <c r="F534" s="2" t="str">
        <f t="shared" si="16"/>
        <v>US</v>
      </c>
      <c r="G534" s="2" t="str">
        <f t="shared" si="17"/>
        <v>Modelo Chelada|PASSAIC-FF</v>
      </c>
    </row>
    <row r="535" spans="1:7" x14ac:dyDescent="0.2">
      <c r="A535" s="2" t="str" cm="1">
        <f t="array" ref="A535">INDEX('[1]Brand Family Territory (Enc)'!$A$2:$A$296,INT((ROW()-2)/10)+1)</f>
        <v>Modelo Chelada</v>
      </c>
      <c r="B535" s="2" t="str" cm="1">
        <f t="array" ref="B535">INDEX('Whitelist (Blackout Reverse)'!$B$1:$K$1,MOD(ROW()-2,10)+1)</f>
        <v>ESSEX</v>
      </c>
      <c r="C535" s="2" t="str">
        <f>VLOOKUP(A535,'[1]Brand Family Territory (Enc)'!$A$2:$B$296,2,FALSE)</f>
        <v>Core Market</v>
      </c>
      <c r="D535" s="2">
        <f>IF(COUNTIFS('[1]Brand Family Territories (Enc)'!$B$2:$B$62,C535,'[1]Brand Family Territories (Enc)'!$C$2:$C$62,B535)&gt;0,1,IF(AND(LEFT(B535,6)="MORRIS",COUNTIFS('[1]Brand Family Territories (Enc)'!$B$2:$B$62,C535,'[1]Brand Family Territories (Enc)'!$C$2:$C$62,"Morri")&gt;0),"Unk",0))</f>
        <v>0</v>
      </c>
      <c r="E535" s="2" t="str">
        <f>IFERROR(INDEX('Blackout Brand Fam Areas (Enc)'!$D$6:$D$998,MATCH(UPPER(A535)&amp;"|"&amp;UPPER(B535),'Blackout Brand Fam Areas (Enc)'!$G$6:$G$998,0)),"No Match")</f>
        <v>Inactive</v>
      </c>
      <c r="F535" s="2" t="str">
        <f t="shared" si="16"/>
        <v>THEM</v>
      </c>
      <c r="G535" s="2" t="str">
        <f t="shared" si="17"/>
        <v>Modelo Chelada|ESSEX</v>
      </c>
    </row>
    <row r="536" spans="1:7" x14ac:dyDescent="0.2">
      <c r="A536" s="2" t="str" cm="1">
        <f t="array" ref="A536">INDEX('[1]Brand Family Territory (Enc)'!$A$2:$A$296,INT((ROW()-2)/10)+1)</f>
        <v>Modelo Chelada</v>
      </c>
      <c r="B536" s="2" t="str" cm="1">
        <f t="array" ref="B536">INDEX('Whitelist (Blackout Reverse)'!$B$1:$K$1,MOD(ROW()-2,10)+1)</f>
        <v>HUDSON</v>
      </c>
      <c r="C536" s="2" t="str">
        <f>VLOOKUP(A536,'[1]Brand Family Territory (Enc)'!$A$2:$B$296,2,FALSE)</f>
        <v>Core Market</v>
      </c>
      <c r="D536" s="2">
        <f>IF(COUNTIFS('[1]Brand Family Territories (Enc)'!$B$2:$B$62,C536,'[1]Brand Family Territories (Enc)'!$C$2:$C$62,B536)&gt;0,1,IF(AND(LEFT(B536,6)="MORRIS",COUNTIFS('[1]Brand Family Territories (Enc)'!$B$2:$B$62,C536,'[1]Brand Family Territories (Enc)'!$C$2:$C$62,"Morri")&gt;0),"Unk",0))</f>
        <v>0</v>
      </c>
      <c r="E536" s="2" t="str">
        <f>IFERROR(INDEX('Blackout Brand Fam Areas (Enc)'!$D$6:$D$998,MATCH(UPPER(A536)&amp;"|"&amp;UPPER(B536),'Blackout Brand Fam Areas (Enc)'!$G$6:$G$998,0)),"No Match")</f>
        <v>Inactive</v>
      </c>
      <c r="F536" s="2" t="str">
        <f t="shared" si="16"/>
        <v>THEM</v>
      </c>
      <c r="G536" s="2" t="str">
        <f t="shared" si="17"/>
        <v>Modelo Chelada|HUDSON</v>
      </c>
    </row>
    <row r="537" spans="1:7" x14ac:dyDescent="0.2">
      <c r="A537" s="2" t="str" cm="1">
        <f t="array" ref="A537">INDEX('[1]Brand Family Territory (Enc)'!$A$2:$A$296,INT((ROW()-2)/10)+1)</f>
        <v>Modelo Chelada</v>
      </c>
      <c r="B537" s="2" t="str" cm="1">
        <f t="array" ref="B537">INDEX('Whitelist (Blackout Reverse)'!$B$1:$K$1,MOD(ROW()-2,10)+1)</f>
        <v>UNION</v>
      </c>
      <c r="C537" s="2" t="str">
        <f>VLOOKUP(A537,'[1]Brand Family Territory (Enc)'!$A$2:$B$296,2,FALSE)</f>
        <v>Core Market</v>
      </c>
      <c r="D537" s="2">
        <f>IF(COUNTIFS('[1]Brand Family Territories (Enc)'!$B$2:$B$62,C537,'[1]Brand Family Territories (Enc)'!$C$2:$C$62,B537)&gt;0,1,IF(AND(LEFT(B537,6)="MORRIS",COUNTIFS('[1]Brand Family Territories (Enc)'!$B$2:$B$62,C537,'[1]Brand Family Territories (Enc)'!$C$2:$C$62,"Morri")&gt;0),"Unk",0))</f>
        <v>0</v>
      </c>
      <c r="E537" s="2" t="str">
        <f>IFERROR(INDEX('Blackout Brand Fam Areas (Enc)'!$D$6:$D$998,MATCH(UPPER(A537)&amp;"|"&amp;UPPER(B537),'Blackout Brand Fam Areas (Enc)'!$G$6:$G$998,0)),"No Match")</f>
        <v>Inactive</v>
      </c>
      <c r="F537" s="2" t="str">
        <f t="shared" si="16"/>
        <v>THEM</v>
      </c>
      <c r="G537" s="2" t="str">
        <f t="shared" si="17"/>
        <v>Modelo Chelada|UNION</v>
      </c>
    </row>
    <row r="538" spans="1:7" x14ac:dyDescent="0.2">
      <c r="A538" s="2" t="str" cm="1">
        <f t="array" ref="A538">INDEX('[1]Brand Family Territory (Enc)'!$A$2:$A$296,INT((ROW()-2)/10)+1)</f>
        <v>Modelo Chelada</v>
      </c>
      <c r="B538" s="2" t="str" cm="1">
        <f t="array" ref="B538">INDEX('Whitelist (Blackout Reverse)'!$B$1:$K$1,MOD(ROW()-2,10)+1)</f>
        <v>SUSSEX</v>
      </c>
      <c r="C538" s="2" t="str">
        <f>VLOOKUP(A538,'[1]Brand Family Territory (Enc)'!$A$2:$B$296,2,FALSE)</f>
        <v>Core Market</v>
      </c>
      <c r="D538" s="2">
        <f>IF(COUNTIFS('[1]Brand Family Territories (Enc)'!$B$2:$B$62,C538,'[1]Brand Family Territories (Enc)'!$C$2:$C$62,B538)&gt;0,1,IF(AND(LEFT(B538,6)="MORRIS",COUNTIFS('[1]Brand Family Territories (Enc)'!$B$2:$B$62,C538,'[1]Brand Family Territories (Enc)'!$C$2:$C$62,"Morri")&gt;0),"Unk",0))</f>
        <v>1</v>
      </c>
      <c r="E538" s="2" t="str">
        <f>IFERROR(INDEX('Blackout Brand Fam Areas (Enc)'!$D$6:$D$998,MATCH(UPPER(A538)&amp;"|"&amp;UPPER(B538),'Blackout Brand Fam Areas (Enc)'!$G$6:$G$998,0)),"No Match")</f>
        <v>No Match</v>
      </c>
      <c r="F538" s="2" t="str">
        <f t="shared" si="16"/>
        <v>US</v>
      </c>
      <c r="G538" s="2" t="str">
        <f t="shared" si="17"/>
        <v>Modelo Chelada|SUSSEX</v>
      </c>
    </row>
    <row r="539" spans="1:7" x14ac:dyDescent="0.2">
      <c r="A539" s="2" t="str" cm="1">
        <f t="array" ref="A539">INDEX('[1]Brand Family Territory (Enc)'!$A$2:$A$296,INT((ROW()-2)/10)+1)</f>
        <v>Modelo Chelada</v>
      </c>
      <c r="B539" s="2" t="str" cm="1">
        <f t="array" ref="B539">INDEX('Whitelist (Blackout Reverse)'!$B$1:$K$1,MOD(ROW()-2,10)+1)</f>
        <v>MORRIS 1</v>
      </c>
      <c r="C539" s="2" t="str">
        <f>VLOOKUP(A539,'[1]Brand Family Territory (Enc)'!$A$2:$B$296,2,FALSE)</f>
        <v>Core Market</v>
      </c>
      <c r="D539" s="2">
        <f>IF(COUNTIFS('[1]Brand Family Territories (Enc)'!$B$2:$B$62,C539,'[1]Brand Family Territories (Enc)'!$C$2:$C$62,B539)&gt;0,1,IF(AND(LEFT(B539,6)="MORRIS",COUNTIFS('[1]Brand Family Territories (Enc)'!$B$2:$B$62,C539,'[1]Brand Family Territories (Enc)'!$C$2:$C$62,"Morri")&gt;0),"Unk",0))</f>
        <v>1</v>
      </c>
      <c r="E539" s="2" t="str">
        <f>IFERROR(INDEX('Blackout Brand Fam Areas (Enc)'!$D$6:$D$998,MATCH(UPPER(A539)&amp;"|"&amp;UPPER(B539),'Blackout Brand Fam Areas (Enc)'!$G$6:$G$998,0)),"No Match")</f>
        <v>No Match</v>
      </c>
      <c r="F539" s="2" t="str">
        <f t="shared" si="16"/>
        <v>US</v>
      </c>
      <c r="G539" s="2" t="str">
        <f t="shared" si="17"/>
        <v>Modelo Chelada|MORRIS 1</v>
      </c>
    </row>
    <row r="540" spans="1:7" x14ac:dyDescent="0.2">
      <c r="A540" s="2" t="str" cm="1">
        <f t="array" ref="A540">INDEX('[1]Brand Family Territory (Enc)'!$A$2:$A$296,INT((ROW()-2)/10)+1)</f>
        <v>Modelo Chelada</v>
      </c>
      <c r="B540" s="2" t="str" cm="1">
        <f t="array" ref="B540">INDEX('Whitelist (Blackout Reverse)'!$B$1:$K$1,MOD(ROW()-2,10)+1)</f>
        <v>MORRIS 2</v>
      </c>
      <c r="C540" s="2" t="str">
        <f>VLOOKUP(A540,'[1]Brand Family Territory (Enc)'!$A$2:$B$296,2,FALSE)</f>
        <v>Core Market</v>
      </c>
      <c r="D540" s="2">
        <f>IF(COUNTIFS('[1]Brand Family Territories (Enc)'!$B$2:$B$62,C540,'[1]Brand Family Territories (Enc)'!$C$2:$C$62,B540)&gt;0,1,IF(AND(LEFT(B540,6)="MORRIS",COUNTIFS('[1]Brand Family Territories (Enc)'!$B$2:$B$62,C540,'[1]Brand Family Territories (Enc)'!$C$2:$C$62,"Morri")&gt;0),"Unk",0))</f>
        <v>0</v>
      </c>
      <c r="E540" s="2" t="str">
        <f>IFERROR(INDEX('Blackout Brand Fam Areas (Enc)'!$D$6:$D$998,MATCH(UPPER(A540)&amp;"|"&amp;UPPER(B540),'Blackout Brand Fam Areas (Enc)'!$G$6:$G$998,0)),"No Match")</f>
        <v>Inactive</v>
      </c>
      <c r="F540" s="2" t="str">
        <f t="shared" si="16"/>
        <v>THEM</v>
      </c>
      <c r="G540" s="2" t="str">
        <f t="shared" si="17"/>
        <v>Modelo Chelada|MORRIS 2</v>
      </c>
    </row>
    <row r="541" spans="1:7" x14ac:dyDescent="0.2">
      <c r="A541" s="2" t="str" cm="1">
        <f t="array" ref="A541">INDEX('[1]Brand Family Territory (Enc)'!$A$2:$A$296,INT((ROW()-2)/10)+1)</f>
        <v>Modelo Chelada</v>
      </c>
      <c r="B541" s="2" t="str" cm="1">
        <f t="array" ref="B541">INDEX('Whitelist (Blackout Reverse)'!$B$1:$K$1,MOD(ROW()-2,10)+1)</f>
        <v>MORRIS 3</v>
      </c>
      <c r="C541" s="2" t="str">
        <f>VLOOKUP(A541,'[1]Brand Family Territory (Enc)'!$A$2:$B$296,2,FALSE)</f>
        <v>Core Market</v>
      </c>
      <c r="D541" s="2">
        <f>IF(COUNTIFS('[1]Brand Family Territories (Enc)'!$B$2:$B$62,C541,'[1]Brand Family Territories (Enc)'!$C$2:$C$62,B541)&gt;0,1,IF(AND(LEFT(B541,6)="MORRIS",COUNTIFS('[1]Brand Family Territories (Enc)'!$B$2:$B$62,C541,'[1]Brand Family Territories (Enc)'!$C$2:$C$62,"Morri")&gt;0),"Unk",0))</f>
        <v>1</v>
      </c>
      <c r="E541" s="2" t="str">
        <f>IFERROR(INDEX('Blackout Brand Fam Areas (Enc)'!$D$6:$D$998,MATCH(UPPER(A541)&amp;"|"&amp;UPPER(B541),'Blackout Brand Fam Areas (Enc)'!$G$6:$G$998,0)),"No Match")</f>
        <v>No Match</v>
      </c>
      <c r="F541" s="2" t="str">
        <f t="shared" si="16"/>
        <v>US</v>
      </c>
      <c r="G541" s="2" t="str">
        <f t="shared" si="17"/>
        <v>Modelo Chelada|MORRIS 3</v>
      </c>
    </row>
    <row r="542" spans="1:7" x14ac:dyDescent="0.2">
      <c r="A542" s="2" t="str" cm="1">
        <f t="array" ref="A542">INDEX('[1]Brand Family Territory (Enc)'!$A$2:$A$296,INT((ROW()-2)/10)+1)</f>
        <v>Modelo Especial</v>
      </c>
      <c r="B542" s="2" t="str" cm="1">
        <f t="array" ref="B542">INDEX('Whitelist (Blackout Reverse)'!$B$1:$K$1,MOD(ROW()-2,10)+1)</f>
        <v>BERGEN</v>
      </c>
      <c r="C542" s="2" t="str">
        <f>VLOOKUP(A542,'[1]Brand Family Territory (Enc)'!$A$2:$B$296,2,FALSE)</f>
        <v>Core Market</v>
      </c>
      <c r="D542" s="2">
        <f>IF(COUNTIFS('[1]Brand Family Territories (Enc)'!$B$2:$B$62,C542,'[1]Brand Family Territories (Enc)'!$C$2:$C$62,B542)&gt;0,1,IF(AND(LEFT(B542,6)="MORRIS",COUNTIFS('[1]Brand Family Territories (Enc)'!$B$2:$B$62,C542,'[1]Brand Family Territories (Enc)'!$C$2:$C$62,"Morri")&gt;0),"Unk",0))</f>
        <v>1</v>
      </c>
      <c r="E542" s="2" t="str">
        <f>IFERROR(INDEX('Blackout Brand Fam Areas (Enc)'!$D$6:$D$998,MATCH(UPPER(A542)&amp;"|"&amp;UPPER(B542),'Blackout Brand Fam Areas (Enc)'!$G$6:$G$998,0)),"No Match")</f>
        <v>No Match</v>
      </c>
      <c r="F542" s="2" t="str">
        <f t="shared" si="16"/>
        <v>US</v>
      </c>
      <c r="G542" s="2" t="str">
        <f t="shared" si="17"/>
        <v>Modelo Especial|BERGEN</v>
      </c>
    </row>
    <row r="543" spans="1:7" x14ac:dyDescent="0.2">
      <c r="A543" s="2" t="str" cm="1">
        <f t="array" ref="A543">INDEX('[1]Brand Family Territory (Enc)'!$A$2:$A$296,INT((ROW()-2)/10)+1)</f>
        <v>Modelo Especial</v>
      </c>
      <c r="B543" s="2" t="str" cm="1">
        <f t="array" ref="B543">INDEX('Whitelist (Blackout Reverse)'!$B$1:$K$1,MOD(ROW()-2,10)+1)</f>
        <v>PASSAIC</v>
      </c>
      <c r="C543" s="2" t="str">
        <f>VLOOKUP(A543,'[1]Brand Family Territory (Enc)'!$A$2:$B$296,2,FALSE)</f>
        <v>Core Market</v>
      </c>
      <c r="D543" s="2">
        <f>IF(COUNTIFS('[1]Brand Family Territories (Enc)'!$B$2:$B$62,C543,'[1]Brand Family Territories (Enc)'!$C$2:$C$62,B543)&gt;0,1,IF(AND(LEFT(B543,6)="MORRIS",COUNTIFS('[1]Brand Family Territories (Enc)'!$B$2:$B$62,C543,'[1]Brand Family Territories (Enc)'!$C$2:$C$62,"Morri")&gt;0),"Unk",0))</f>
        <v>1</v>
      </c>
      <c r="E543" s="2" t="str">
        <f>IFERROR(INDEX('Blackout Brand Fam Areas (Enc)'!$D$6:$D$998,MATCH(UPPER(A543)&amp;"|"&amp;UPPER(B543),'Blackout Brand Fam Areas (Enc)'!$G$6:$G$998,0)),"No Match")</f>
        <v>No Match</v>
      </c>
      <c r="F543" s="2" t="str">
        <f t="shared" si="16"/>
        <v>US</v>
      </c>
      <c r="G543" s="2" t="str">
        <f t="shared" si="17"/>
        <v>Modelo Especial|PASSAIC</v>
      </c>
    </row>
    <row r="544" spans="1:7" x14ac:dyDescent="0.2">
      <c r="A544" s="2" t="str" cm="1">
        <f t="array" ref="A544">INDEX('[1]Brand Family Territory (Enc)'!$A$2:$A$296,INT((ROW()-2)/10)+1)</f>
        <v>Modelo Especial</v>
      </c>
      <c r="B544" s="2" t="str" cm="1">
        <f t="array" ref="B544">INDEX('Whitelist (Blackout Reverse)'!$B$1:$K$1,MOD(ROW()-2,10)+1)</f>
        <v>PASSAIC-FF</v>
      </c>
      <c r="C544" s="2" t="str">
        <f>VLOOKUP(A544,'[1]Brand Family Territory (Enc)'!$A$2:$B$296,2,FALSE)</f>
        <v>Core Market</v>
      </c>
      <c r="D544" s="2">
        <f>IF(COUNTIFS('[1]Brand Family Territories (Enc)'!$B$2:$B$62,C544,'[1]Brand Family Territories (Enc)'!$C$2:$C$62,B544)&gt;0,1,IF(AND(LEFT(B544,6)="MORRIS",COUNTIFS('[1]Brand Family Territories (Enc)'!$B$2:$B$62,C544,'[1]Brand Family Territories (Enc)'!$C$2:$C$62,"Morri")&gt;0),"Unk",0))</f>
        <v>1</v>
      </c>
      <c r="E544" s="2" t="str">
        <f>IFERROR(INDEX('Blackout Brand Fam Areas (Enc)'!$D$6:$D$998,MATCH(UPPER(A544)&amp;"|"&amp;UPPER(B544),'Blackout Brand Fam Areas (Enc)'!$G$6:$G$998,0)),"No Match")</f>
        <v>No Match</v>
      </c>
      <c r="F544" s="2" t="str">
        <f t="shared" si="16"/>
        <v>US</v>
      </c>
      <c r="G544" s="2" t="str">
        <f t="shared" si="17"/>
        <v>Modelo Especial|PASSAIC-FF</v>
      </c>
    </row>
    <row r="545" spans="1:7" x14ac:dyDescent="0.2">
      <c r="A545" s="2" t="str" cm="1">
        <f t="array" ref="A545">INDEX('[1]Brand Family Territory (Enc)'!$A$2:$A$296,INT((ROW()-2)/10)+1)</f>
        <v>Modelo Especial</v>
      </c>
      <c r="B545" s="2" t="str" cm="1">
        <f t="array" ref="B545">INDEX('Whitelist (Blackout Reverse)'!$B$1:$K$1,MOD(ROW()-2,10)+1)</f>
        <v>ESSEX</v>
      </c>
      <c r="C545" s="2" t="str">
        <f>VLOOKUP(A545,'[1]Brand Family Territory (Enc)'!$A$2:$B$296,2,FALSE)</f>
        <v>Core Market</v>
      </c>
      <c r="D545" s="2">
        <f>IF(COUNTIFS('[1]Brand Family Territories (Enc)'!$B$2:$B$62,C545,'[1]Brand Family Territories (Enc)'!$C$2:$C$62,B545)&gt;0,1,IF(AND(LEFT(B545,6)="MORRIS",COUNTIFS('[1]Brand Family Territories (Enc)'!$B$2:$B$62,C545,'[1]Brand Family Territories (Enc)'!$C$2:$C$62,"Morri")&gt;0),"Unk",0))</f>
        <v>0</v>
      </c>
      <c r="E545" s="2" t="str">
        <f>IFERROR(INDEX('Blackout Brand Fam Areas (Enc)'!$D$6:$D$998,MATCH(UPPER(A545)&amp;"|"&amp;UPPER(B545),'Blackout Brand Fam Areas (Enc)'!$G$6:$G$998,0)),"No Match")</f>
        <v>Inactive</v>
      </c>
      <c r="F545" s="2" t="str">
        <f t="shared" si="16"/>
        <v>THEM</v>
      </c>
      <c r="G545" s="2" t="str">
        <f t="shared" si="17"/>
        <v>Modelo Especial|ESSEX</v>
      </c>
    </row>
    <row r="546" spans="1:7" x14ac:dyDescent="0.2">
      <c r="A546" s="2" t="str" cm="1">
        <f t="array" ref="A546">INDEX('[1]Brand Family Territory (Enc)'!$A$2:$A$296,INT((ROW()-2)/10)+1)</f>
        <v>Modelo Especial</v>
      </c>
      <c r="B546" s="2" t="str" cm="1">
        <f t="array" ref="B546">INDEX('Whitelist (Blackout Reverse)'!$B$1:$K$1,MOD(ROW()-2,10)+1)</f>
        <v>HUDSON</v>
      </c>
      <c r="C546" s="2" t="str">
        <f>VLOOKUP(A546,'[1]Brand Family Territory (Enc)'!$A$2:$B$296,2,FALSE)</f>
        <v>Core Market</v>
      </c>
      <c r="D546" s="2">
        <f>IF(COUNTIFS('[1]Brand Family Territories (Enc)'!$B$2:$B$62,C546,'[1]Brand Family Territories (Enc)'!$C$2:$C$62,B546)&gt;0,1,IF(AND(LEFT(B546,6)="MORRIS",COUNTIFS('[1]Brand Family Territories (Enc)'!$B$2:$B$62,C546,'[1]Brand Family Territories (Enc)'!$C$2:$C$62,"Morri")&gt;0),"Unk",0))</f>
        <v>0</v>
      </c>
      <c r="E546" s="2" t="str">
        <f>IFERROR(INDEX('Blackout Brand Fam Areas (Enc)'!$D$6:$D$998,MATCH(UPPER(A546)&amp;"|"&amp;UPPER(B546),'Blackout Brand Fam Areas (Enc)'!$G$6:$G$998,0)),"No Match")</f>
        <v>Inactive</v>
      </c>
      <c r="F546" s="2" t="str">
        <f t="shared" si="16"/>
        <v>THEM</v>
      </c>
      <c r="G546" s="2" t="str">
        <f t="shared" si="17"/>
        <v>Modelo Especial|HUDSON</v>
      </c>
    </row>
    <row r="547" spans="1:7" x14ac:dyDescent="0.2">
      <c r="A547" s="2" t="str" cm="1">
        <f t="array" ref="A547">INDEX('[1]Brand Family Territory (Enc)'!$A$2:$A$296,INT((ROW()-2)/10)+1)</f>
        <v>Modelo Especial</v>
      </c>
      <c r="B547" s="2" t="str" cm="1">
        <f t="array" ref="B547">INDEX('Whitelist (Blackout Reverse)'!$B$1:$K$1,MOD(ROW()-2,10)+1)</f>
        <v>UNION</v>
      </c>
      <c r="C547" s="2" t="str">
        <f>VLOOKUP(A547,'[1]Brand Family Territory (Enc)'!$A$2:$B$296,2,FALSE)</f>
        <v>Core Market</v>
      </c>
      <c r="D547" s="2">
        <f>IF(COUNTIFS('[1]Brand Family Territories (Enc)'!$B$2:$B$62,C547,'[1]Brand Family Territories (Enc)'!$C$2:$C$62,B547)&gt;0,1,IF(AND(LEFT(B547,6)="MORRIS",COUNTIFS('[1]Brand Family Territories (Enc)'!$B$2:$B$62,C547,'[1]Brand Family Territories (Enc)'!$C$2:$C$62,"Morri")&gt;0),"Unk",0))</f>
        <v>0</v>
      </c>
      <c r="E547" s="2" t="str">
        <f>IFERROR(INDEX('Blackout Brand Fam Areas (Enc)'!$D$6:$D$998,MATCH(UPPER(A547)&amp;"|"&amp;UPPER(B547),'Blackout Brand Fam Areas (Enc)'!$G$6:$G$998,0)),"No Match")</f>
        <v>Inactive</v>
      </c>
      <c r="F547" s="2" t="str">
        <f t="shared" si="16"/>
        <v>THEM</v>
      </c>
      <c r="G547" s="2" t="str">
        <f t="shared" si="17"/>
        <v>Modelo Especial|UNION</v>
      </c>
    </row>
    <row r="548" spans="1:7" x14ac:dyDescent="0.2">
      <c r="A548" s="2" t="str" cm="1">
        <f t="array" ref="A548">INDEX('[1]Brand Family Territory (Enc)'!$A$2:$A$296,INT((ROW()-2)/10)+1)</f>
        <v>Modelo Especial</v>
      </c>
      <c r="B548" s="2" t="str" cm="1">
        <f t="array" ref="B548">INDEX('Whitelist (Blackout Reverse)'!$B$1:$K$1,MOD(ROW()-2,10)+1)</f>
        <v>SUSSEX</v>
      </c>
      <c r="C548" s="2" t="str">
        <f>VLOOKUP(A548,'[1]Brand Family Territory (Enc)'!$A$2:$B$296,2,FALSE)</f>
        <v>Core Market</v>
      </c>
      <c r="D548" s="2">
        <f>IF(COUNTIFS('[1]Brand Family Territories (Enc)'!$B$2:$B$62,C548,'[1]Brand Family Territories (Enc)'!$C$2:$C$62,B548)&gt;0,1,IF(AND(LEFT(B548,6)="MORRIS",COUNTIFS('[1]Brand Family Territories (Enc)'!$B$2:$B$62,C548,'[1]Brand Family Territories (Enc)'!$C$2:$C$62,"Morri")&gt;0),"Unk",0))</f>
        <v>1</v>
      </c>
      <c r="E548" s="2" t="str">
        <f>IFERROR(INDEX('Blackout Brand Fam Areas (Enc)'!$D$6:$D$998,MATCH(UPPER(A548)&amp;"|"&amp;UPPER(B548),'Blackout Brand Fam Areas (Enc)'!$G$6:$G$998,0)),"No Match")</f>
        <v>No Match</v>
      </c>
      <c r="F548" s="2" t="str">
        <f t="shared" si="16"/>
        <v>US</v>
      </c>
      <c r="G548" s="2" t="str">
        <f t="shared" si="17"/>
        <v>Modelo Especial|SUSSEX</v>
      </c>
    </row>
    <row r="549" spans="1:7" x14ac:dyDescent="0.2">
      <c r="A549" s="2" t="str" cm="1">
        <f t="array" ref="A549">INDEX('[1]Brand Family Territory (Enc)'!$A$2:$A$296,INT((ROW()-2)/10)+1)</f>
        <v>Modelo Especial</v>
      </c>
      <c r="B549" s="2" t="str" cm="1">
        <f t="array" ref="B549">INDEX('Whitelist (Blackout Reverse)'!$B$1:$K$1,MOD(ROW()-2,10)+1)</f>
        <v>MORRIS 1</v>
      </c>
      <c r="C549" s="2" t="str">
        <f>VLOOKUP(A549,'[1]Brand Family Territory (Enc)'!$A$2:$B$296,2,FALSE)</f>
        <v>Core Market</v>
      </c>
      <c r="D549" s="2">
        <f>IF(COUNTIFS('[1]Brand Family Territories (Enc)'!$B$2:$B$62,C549,'[1]Brand Family Territories (Enc)'!$C$2:$C$62,B549)&gt;0,1,IF(AND(LEFT(B549,6)="MORRIS",COUNTIFS('[1]Brand Family Territories (Enc)'!$B$2:$B$62,C549,'[1]Brand Family Territories (Enc)'!$C$2:$C$62,"Morri")&gt;0),"Unk",0))</f>
        <v>1</v>
      </c>
      <c r="E549" s="2" t="str">
        <f>IFERROR(INDEX('Blackout Brand Fam Areas (Enc)'!$D$6:$D$998,MATCH(UPPER(A549)&amp;"|"&amp;UPPER(B549),'Blackout Brand Fam Areas (Enc)'!$G$6:$G$998,0)),"No Match")</f>
        <v>No Match</v>
      </c>
      <c r="F549" s="2" t="str">
        <f t="shared" si="16"/>
        <v>US</v>
      </c>
      <c r="G549" s="2" t="str">
        <f t="shared" si="17"/>
        <v>Modelo Especial|MORRIS 1</v>
      </c>
    </row>
    <row r="550" spans="1:7" x14ac:dyDescent="0.2">
      <c r="A550" s="2" t="str" cm="1">
        <f t="array" ref="A550">INDEX('[1]Brand Family Territory (Enc)'!$A$2:$A$296,INT((ROW()-2)/10)+1)</f>
        <v>Modelo Especial</v>
      </c>
      <c r="B550" s="2" t="str" cm="1">
        <f t="array" ref="B550">INDEX('Whitelist (Blackout Reverse)'!$B$1:$K$1,MOD(ROW()-2,10)+1)</f>
        <v>MORRIS 2</v>
      </c>
      <c r="C550" s="2" t="str">
        <f>VLOOKUP(A550,'[1]Brand Family Territory (Enc)'!$A$2:$B$296,2,FALSE)</f>
        <v>Core Market</v>
      </c>
      <c r="D550" s="2">
        <f>IF(COUNTIFS('[1]Brand Family Territories (Enc)'!$B$2:$B$62,C550,'[1]Brand Family Territories (Enc)'!$C$2:$C$62,B550)&gt;0,1,IF(AND(LEFT(B550,6)="MORRIS",COUNTIFS('[1]Brand Family Territories (Enc)'!$B$2:$B$62,C550,'[1]Brand Family Territories (Enc)'!$C$2:$C$62,"Morri")&gt;0),"Unk",0))</f>
        <v>0</v>
      </c>
      <c r="E550" s="2" t="str">
        <f>IFERROR(INDEX('Blackout Brand Fam Areas (Enc)'!$D$6:$D$998,MATCH(UPPER(A550)&amp;"|"&amp;UPPER(B550),'Blackout Brand Fam Areas (Enc)'!$G$6:$G$998,0)),"No Match")</f>
        <v>Inactive</v>
      </c>
      <c r="F550" s="2" t="str">
        <f t="shared" si="16"/>
        <v>THEM</v>
      </c>
      <c r="G550" s="2" t="str">
        <f t="shared" si="17"/>
        <v>Modelo Especial|MORRIS 2</v>
      </c>
    </row>
    <row r="551" spans="1:7" x14ac:dyDescent="0.2">
      <c r="A551" s="2" t="str" cm="1">
        <f t="array" ref="A551">INDEX('[1]Brand Family Territory (Enc)'!$A$2:$A$296,INT((ROW()-2)/10)+1)</f>
        <v>Modelo Especial</v>
      </c>
      <c r="B551" s="2" t="str" cm="1">
        <f t="array" ref="B551">INDEX('Whitelist (Blackout Reverse)'!$B$1:$K$1,MOD(ROW()-2,10)+1)</f>
        <v>MORRIS 3</v>
      </c>
      <c r="C551" s="2" t="str">
        <f>VLOOKUP(A551,'[1]Brand Family Territory (Enc)'!$A$2:$B$296,2,FALSE)</f>
        <v>Core Market</v>
      </c>
      <c r="D551" s="2">
        <f>IF(COUNTIFS('[1]Brand Family Territories (Enc)'!$B$2:$B$62,C551,'[1]Brand Family Territories (Enc)'!$C$2:$C$62,B551)&gt;0,1,IF(AND(LEFT(B551,6)="MORRIS",COUNTIFS('[1]Brand Family Territories (Enc)'!$B$2:$B$62,C551,'[1]Brand Family Territories (Enc)'!$C$2:$C$62,"Morri")&gt;0),"Unk",0))</f>
        <v>1</v>
      </c>
      <c r="E551" s="2" t="str">
        <f>IFERROR(INDEX('Blackout Brand Fam Areas (Enc)'!$D$6:$D$998,MATCH(UPPER(A551)&amp;"|"&amp;UPPER(B551),'Blackout Brand Fam Areas (Enc)'!$G$6:$G$998,0)),"No Match")</f>
        <v>No Match</v>
      </c>
      <c r="F551" s="2" t="str">
        <f t="shared" si="16"/>
        <v>US</v>
      </c>
      <c r="G551" s="2" t="str">
        <f t="shared" si="17"/>
        <v>Modelo Especial|MORRIS 3</v>
      </c>
    </row>
    <row r="552" spans="1:7" x14ac:dyDescent="0.2">
      <c r="A552" s="2" t="str" cm="1">
        <f t="array" ref="A552">INDEX('[1]Brand Family Territory (Enc)'!$A$2:$A$296,INT((ROW()-2)/10)+1)</f>
        <v>Modelo Negra</v>
      </c>
      <c r="B552" s="2" t="str" cm="1">
        <f t="array" ref="B552">INDEX('Whitelist (Blackout Reverse)'!$B$1:$K$1,MOD(ROW()-2,10)+1)</f>
        <v>BERGEN</v>
      </c>
      <c r="C552" s="2" t="str">
        <f>VLOOKUP(A552,'[1]Brand Family Territory (Enc)'!$A$2:$B$296,2,FALSE)</f>
        <v>Core Market</v>
      </c>
      <c r="D552" s="2">
        <f>IF(COUNTIFS('[1]Brand Family Territories (Enc)'!$B$2:$B$62,C552,'[1]Brand Family Territories (Enc)'!$C$2:$C$62,B552)&gt;0,1,IF(AND(LEFT(B552,6)="MORRIS",COUNTIFS('[1]Brand Family Territories (Enc)'!$B$2:$B$62,C552,'[1]Brand Family Territories (Enc)'!$C$2:$C$62,"Morri")&gt;0),"Unk",0))</f>
        <v>1</v>
      </c>
      <c r="E552" s="2" t="str">
        <f>IFERROR(INDEX('Blackout Brand Fam Areas (Enc)'!$D$6:$D$998,MATCH(UPPER(A552)&amp;"|"&amp;UPPER(B552),'Blackout Brand Fam Areas (Enc)'!$G$6:$G$998,0)),"No Match")</f>
        <v>No Match</v>
      </c>
      <c r="F552" s="2" t="str">
        <f t="shared" si="16"/>
        <v>US</v>
      </c>
      <c r="G552" s="2" t="str">
        <f t="shared" si="17"/>
        <v>Modelo Negra|BERGEN</v>
      </c>
    </row>
    <row r="553" spans="1:7" x14ac:dyDescent="0.2">
      <c r="A553" s="2" t="str" cm="1">
        <f t="array" ref="A553">INDEX('[1]Brand Family Territory (Enc)'!$A$2:$A$296,INT((ROW()-2)/10)+1)</f>
        <v>Modelo Negra</v>
      </c>
      <c r="B553" s="2" t="str" cm="1">
        <f t="array" ref="B553">INDEX('Whitelist (Blackout Reverse)'!$B$1:$K$1,MOD(ROW()-2,10)+1)</f>
        <v>PASSAIC</v>
      </c>
      <c r="C553" s="2" t="str">
        <f>VLOOKUP(A553,'[1]Brand Family Territory (Enc)'!$A$2:$B$296,2,FALSE)</f>
        <v>Core Market</v>
      </c>
      <c r="D553" s="2">
        <f>IF(COUNTIFS('[1]Brand Family Territories (Enc)'!$B$2:$B$62,C553,'[1]Brand Family Territories (Enc)'!$C$2:$C$62,B553)&gt;0,1,IF(AND(LEFT(B553,6)="MORRIS",COUNTIFS('[1]Brand Family Territories (Enc)'!$B$2:$B$62,C553,'[1]Brand Family Territories (Enc)'!$C$2:$C$62,"Morri")&gt;0),"Unk",0))</f>
        <v>1</v>
      </c>
      <c r="E553" s="2" t="str">
        <f>IFERROR(INDEX('Blackout Brand Fam Areas (Enc)'!$D$6:$D$998,MATCH(UPPER(A553)&amp;"|"&amp;UPPER(B553),'Blackout Brand Fam Areas (Enc)'!$G$6:$G$998,0)),"No Match")</f>
        <v>No Match</v>
      </c>
      <c r="F553" s="2" t="str">
        <f t="shared" si="16"/>
        <v>US</v>
      </c>
      <c r="G553" s="2" t="str">
        <f t="shared" si="17"/>
        <v>Modelo Negra|PASSAIC</v>
      </c>
    </row>
    <row r="554" spans="1:7" x14ac:dyDescent="0.2">
      <c r="A554" s="2" t="str" cm="1">
        <f t="array" ref="A554">INDEX('[1]Brand Family Territory (Enc)'!$A$2:$A$296,INT((ROW()-2)/10)+1)</f>
        <v>Modelo Negra</v>
      </c>
      <c r="B554" s="2" t="str" cm="1">
        <f t="array" ref="B554">INDEX('Whitelist (Blackout Reverse)'!$B$1:$K$1,MOD(ROW()-2,10)+1)</f>
        <v>PASSAIC-FF</v>
      </c>
      <c r="C554" s="2" t="str">
        <f>VLOOKUP(A554,'[1]Brand Family Territory (Enc)'!$A$2:$B$296,2,FALSE)</f>
        <v>Core Market</v>
      </c>
      <c r="D554" s="2">
        <f>IF(COUNTIFS('[1]Brand Family Territories (Enc)'!$B$2:$B$62,C554,'[1]Brand Family Territories (Enc)'!$C$2:$C$62,B554)&gt;0,1,IF(AND(LEFT(B554,6)="MORRIS",COUNTIFS('[1]Brand Family Territories (Enc)'!$B$2:$B$62,C554,'[1]Brand Family Territories (Enc)'!$C$2:$C$62,"Morri")&gt;0),"Unk",0))</f>
        <v>1</v>
      </c>
      <c r="E554" s="2" t="str">
        <f>IFERROR(INDEX('Blackout Brand Fam Areas (Enc)'!$D$6:$D$998,MATCH(UPPER(A554)&amp;"|"&amp;UPPER(B554),'Blackout Brand Fam Areas (Enc)'!$G$6:$G$998,0)),"No Match")</f>
        <v>No Match</v>
      </c>
      <c r="F554" s="2" t="str">
        <f t="shared" si="16"/>
        <v>US</v>
      </c>
      <c r="G554" s="2" t="str">
        <f t="shared" si="17"/>
        <v>Modelo Negra|PASSAIC-FF</v>
      </c>
    </row>
    <row r="555" spans="1:7" x14ac:dyDescent="0.2">
      <c r="A555" s="2" t="str" cm="1">
        <f t="array" ref="A555">INDEX('[1]Brand Family Territory (Enc)'!$A$2:$A$296,INT((ROW()-2)/10)+1)</f>
        <v>Modelo Negra</v>
      </c>
      <c r="B555" s="2" t="str" cm="1">
        <f t="array" ref="B555">INDEX('Whitelist (Blackout Reverse)'!$B$1:$K$1,MOD(ROW()-2,10)+1)</f>
        <v>ESSEX</v>
      </c>
      <c r="C555" s="2" t="str">
        <f>VLOOKUP(A555,'[1]Brand Family Territory (Enc)'!$A$2:$B$296,2,FALSE)</f>
        <v>Core Market</v>
      </c>
      <c r="D555" s="2">
        <f>IF(COUNTIFS('[1]Brand Family Territories (Enc)'!$B$2:$B$62,C555,'[1]Brand Family Territories (Enc)'!$C$2:$C$62,B555)&gt;0,1,IF(AND(LEFT(B555,6)="MORRIS",COUNTIFS('[1]Brand Family Territories (Enc)'!$B$2:$B$62,C555,'[1]Brand Family Territories (Enc)'!$C$2:$C$62,"Morri")&gt;0),"Unk",0))</f>
        <v>0</v>
      </c>
      <c r="E555" s="2" t="str">
        <f>IFERROR(INDEX('Blackout Brand Fam Areas (Enc)'!$D$6:$D$998,MATCH(UPPER(A555)&amp;"|"&amp;UPPER(B555),'Blackout Brand Fam Areas (Enc)'!$G$6:$G$998,0)),"No Match")</f>
        <v>Inactive</v>
      </c>
      <c r="F555" s="2" t="str">
        <f t="shared" si="16"/>
        <v>THEM</v>
      </c>
      <c r="G555" s="2" t="str">
        <f t="shared" si="17"/>
        <v>Modelo Negra|ESSEX</v>
      </c>
    </row>
    <row r="556" spans="1:7" x14ac:dyDescent="0.2">
      <c r="A556" s="2" t="str" cm="1">
        <f t="array" ref="A556">INDEX('[1]Brand Family Territory (Enc)'!$A$2:$A$296,INT((ROW()-2)/10)+1)</f>
        <v>Modelo Negra</v>
      </c>
      <c r="B556" s="2" t="str" cm="1">
        <f t="array" ref="B556">INDEX('Whitelist (Blackout Reverse)'!$B$1:$K$1,MOD(ROW()-2,10)+1)</f>
        <v>HUDSON</v>
      </c>
      <c r="C556" s="2" t="str">
        <f>VLOOKUP(A556,'[1]Brand Family Territory (Enc)'!$A$2:$B$296,2,FALSE)</f>
        <v>Core Market</v>
      </c>
      <c r="D556" s="2">
        <f>IF(COUNTIFS('[1]Brand Family Territories (Enc)'!$B$2:$B$62,C556,'[1]Brand Family Territories (Enc)'!$C$2:$C$62,B556)&gt;0,1,IF(AND(LEFT(B556,6)="MORRIS",COUNTIFS('[1]Brand Family Territories (Enc)'!$B$2:$B$62,C556,'[1]Brand Family Territories (Enc)'!$C$2:$C$62,"Morri")&gt;0),"Unk",0))</f>
        <v>0</v>
      </c>
      <c r="E556" s="2" t="str">
        <f>IFERROR(INDEX('Blackout Brand Fam Areas (Enc)'!$D$6:$D$998,MATCH(UPPER(A556)&amp;"|"&amp;UPPER(B556),'Blackout Brand Fam Areas (Enc)'!$G$6:$G$998,0)),"No Match")</f>
        <v>Inactive</v>
      </c>
      <c r="F556" s="2" t="str">
        <f t="shared" si="16"/>
        <v>THEM</v>
      </c>
      <c r="G556" s="2" t="str">
        <f t="shared" si="17"/>
        <v>Modelo Negra|HUDSON</v>
      </c>
    </row>
    <row r="557" spans="1:7" x14ac:dyDescent="0.2">
      <c r="A557" s="2" t="str" cm="1">
        <f t="array" ref="A557">INDEX('[1]Brand Family Territory (Enc)'!$A$2:$A$296,INT((ROW()-2)/10)+1)</f>
        <v>Modelo Negra</v>
      </c>
      <c r="B557" s="2" t="str" cm="1">
        <f t="array" ref="B557">INDEX('Whitelist (Blackout Reverse)'!$B$1:$K$1,MOD(ROW()-2,10)+1)</f>
        <v>UNION</v>
      </c>
      <c r="C557" s="2" t="str">
        <f>VLOOKUP(A557,'[1]Brand Family Territory (Enc)'!$A$2:$B$296,2,FALSE)</f>
        <v>Core Market</v>
      </c>
      <c r="D557" s="2">
        <f>IF(COUNTIFS('[1]Brand Family Territories (Enc)'!$B$2:$B$62,C557,'[1]Brand Family Territories (Enc)'!$C$2:$C$62,B557)&gt;0,1,IF(AND(LEFT(B557,6)="MORRIS",COUNTIFS('[1]Brand Family Territories (Enc)'!$B$2:$B$62,C557,'[1]Brand Family Territories (Enc)'!$C$2:$C$62,"Morri")&gt;0),"Unk",0))</f>
        <v>0</v>
      </c>
      <c r="E557" s="2" t="str">
        <f>IFERROR(INDEX('Blackout Brand Fam Areas (Enc)'!$D$6:$D$998,MATCH(UPPER(A557)&amp;"|"&amp;UPPER(B557),'Blackout Brand Fam Areas (Enc)'!$G$6:$G$998,0)),"No Match")</f>
        <v>Inactive</v>
      </c>
      <c r="F557" s="2" t="str">
        <f t="shared" si="16"/>
        <v>THEM</v>
      </c>
      <c r="G557" s="2" t="str">
        <f t="shared" si="17"/>
        <v>Modelo Negra|UNION</v>
      </c>
    </row>
    <row r="558" spans="1:7" x14ac:dyDescent="0.2">
      <c r="A558" s="2" t="str" cm="1">
        <f t="array" ref="A558">INDEX('[1]Brand Family Territory (Enc)'!$A$2:$A$296,INT((ROW()-2)/10)+1)</f>
        <v>Modelo Negra</v>
      </c>
      <c r="B558" s="2" t="str" cm="1">
        <f t="array" ref="B558">INDEX('Whitelist (Blackout Reverse)'!$B$1:$K$1,MOD(ROW()-2,10)+1)</f>
        <v>SUSSEX</v>
      </c>
      <c r="C558" s="2" t="str">
        <f>VLOOKUP(A558,'[1]Brand Family Territory (Enc)'!$A$2:$B$296,2,FALSE)</f>
        <v>Core Market</v>
      </c>
      <c r="D558" s="2">
        <f>IF(COUNTIFS('[1]Brand Family Territories (Enc)'!$B$2:$B$62,C558,'[1]Brand Family Territories (Enc)'!$C$2:$C$62,B558)&gt;0,1,IF(AND(LEFT(B558,6)="MORRIS",COUNTIFS('[1]Brand Family Territories (Enc)'!$B$2:$B$62,C558,'[1]Brand Family Territories (Enc)'!$C$2:$C$62,"Morri")&gt;0),"Unk",0))</f>
        <v>1</v>
      </c>
      <c r="E558" s="2" t="str">
        <f>IFERROR(INDEX('Blackout Brand Fam Areas (Enc)'!$D$6:$D$998,MATCH(UPPER(A558)&amp;"|"&amp;UPPER(B558),'Blackout Brand Fam Areas (Enc)'!$G$6:$G$998,0)),"No Match")</f>
        <v>No Match</v>
      </c>
      <c r="F558" s="2" t="str">
        <f t="shared" si="16"/>
        <v>US</v>
      </c>
      <c r="G558" s="2" t="str">
        <f t="shared" si="17"/>
        <v>Modelo Negra|SUSSEX</v>
      </c>
    </row>
    <row r="559" spans="1:7" x14ac:dyDescent="0.2">
      <c r="A559" s="2" t="str" cm="1">
        <f t="array" ref="A559">INDEX('[1]Brand Family Territory (Enc)'!$A$2:$A$296,INT((ROW()-2)/10)+1)</f>
        <v>Modelo Negra</v>
      </c>
      <c r="B559" s="2" t="str" cm="1">
        <f t="array" ref="B559">INDEX('Whitelist (Blackout Reverse)'!$B$1:$K$1,MOD(ROW()-2,10)+1)</f>
        <v>MORRIS 1</v>
      </c>
      <c r="C559" s="2" t="str">
        <f>VLOOKUP(A559,'[1]Brand Family Territory (Enc)'!$A$2:$B$296,2,FALSE)</f>
        <v>Core Market</v>
      </c>
      <c r="D559" s="2">
        <f>IF(COUNTIFS('[1]Brand Family Territories (Enc)'!$B$2:$B$62,C559,'[1]Brand Family Territories (Enc)'!$C$2:$C$62,B559)&gt;0,1,IF(AND(LEFT(B559,6)="MORRIS",COUNTIFS('[1]Brand Family Territories (Enc)'!$B$2:$B$62,C559,'[1]Brand Family Territories (Enc)'!$C$2:$C$62,"Morri")&gt;0),"Unk",0))</f>
        <v>1</v>
      </c>
      <c r="E559" s="2" t="str">
        <f>IFERROR(INDEX('Blackout Brand Fam Areas (Enc)'!$D$6:$D$998,MATCH(UPPER(A559)&amp;"|"&amp;UPPER(B559),'Blackout Brand Fam Areas (Enc)'!$G$6:$G$998,0)),"No Match")</f>
        <v>No Match</v>
      </c>
      <c r="F559" s="2" t="str">
        <f t="shared" si="16"/>
        <v>US</v>
      </c>
      <c r="G559" s="2" t="str">
        <f t="shared" si="17"/>
        <v>Modelo Negra|MORRIS 1</v>
      </c>
    </row>
    <row r="560" spans="1:7" x14ac:dyDescent="0.2">
      <c r="A560" s="2" t="str" cm="1">
        <f t="array" ref="A560">INDEX('[1]Brand Family Territory (Enc)'!$A$2:$A$296,INT((ROW()-2)/10)+1)</f>
        <v>Modelo Negra</v>
      </c>
      <c r="B560" s="2" t="str" cm="1">
        <f t="array" ref="B560">INDEX('Whitelist (Blackout Reverse)'!$B$1:$K$1,MOD(ROW()-2,10)+1)</f>
        <v>MORRIS 2</v>
      </c>
      <c r="C560" s="2" t="str">
        <f>VLOOKUP(A560,'[1]Brand Family Territory (Enc)'!$A$2:$B$296,2,FALSE)</f>
        <v>Core Market</v>
      </c>
      <c r="D560" s="2">
        <f>IF(COUNTIFS('[1]Brand Family Territories (Enc)'!$B$2:$B$62,C560,'[1]Brand Family Territories (Enc)'!$C$2:$C$62,B560)&gt;0,1,IF(AND(LEFT(B560,6)="MORRIS",COUNTIFS('[1]Brand Family Territories (Enc)'!$B$2:$B$62,C560,'[1]Brand Family Territories (Enc)'!$C$2:$C$62,"Morri")&gt;0),"Unk",0))</f>
        <v>0</v>
      </c>
      <c r="E560" s="2" t="str">
        <f>IFERROR(INDEX('Blackout Brand Fam Areas (Enc)'!$D$6:$D$998,MATCH(UPPER(A560)&amp;"|"&amp;UPPER(B560),'Blackout Brand Fam Areas (Enc)'!$G$6:$G$998,0)),"No Match")</f>
        <v>Inactive</v>
      </c>
      <c r="F560" s="2" t="str">
        <f t="shared" si="16"/>
        <v>THEM</v>
      </c>
      <c r="G560" s="2" t="str">
        <f t="shared" si="17"/>
        <v>Modelo Negra|MORRIS 2</v>
      </c>
    </row>
    <row r="561" spans="1:7" x14ac:dyDescent="0.2">
      <c r="A561" s="2" t="str" cm="1">
        <f t="array" ref="A561">INDEX('[1]Brand Family Territory (Enc)'!$A$2:$A$296,INT((ROW()-2)/10)+1)</f>
        <v>Modelo Negra</v>
      </c>
      <c r="B561" s="2" t="str" cm="1">
        <f t="array" ref="B561">INDEX('Whitelist (Blackout Reverse)'!$B$1:$K$1,MOD(ROW()-2,10)+1)</f>
        <v>MORRIS 3</v>
      </c>
      <c r="C561" s="2" t="str">
        <f>VLOOKUP(A561,'[1]Brand Family Territory (Enc)'!$A$2:$B$296,2,FALSE)</f>
        <v>Core Market</v>
      </c>
      <c r="D561" s="2">
        <f>IF(COUNTIFS('[1]Brand Family Territories (Enc)'!$B$2:$B$62,C561,'[1]Brand Family Territories (Enc)'!$C$2:$C$62,B561)&gt;0,1,IF(AND(LEFT(B561,6)="MORRIS",COUNTIFS('[1]Brand Family Territories (Enc)'!$B$2:$B$62,C561,'[1]Brand Family Territories (Enc)'!$C$2:$C$62,"Morri")&gt;0),"Unk",0))</f>
        <v>1</v>
      </c>
      <c r="E561" s="2" t="str">
        <f>IFERROR(INDEX('Blackout Brand Fam Areas (Enc)'!$D$6:$D$998,MATCH(UPPER(A561)&amp;"|"&amp;UPPER(B561),'Blackout Brand Fam Areas (Enc)'!$G$6:$G$998,0)),"No Match")</f>
        <v>No Match</v>
      </c>
      <c r="F561" s="2" t="str">
        <f t="shared" si="16"/>
        <v>US</v>
      </c>
      <c r="G561" s="2" t="str">
        <f t="shared" si="17"/>
        <v>Modelo Negra|MORRIS 3</v>
      </c>
    </row>
    <row r="562" spans="1:7" x14ac:dyDescent="0.2">
      <c r="A562" s="2" t="str" cm="1">
        <f t="array" ref="A562">INDEX('[1]Brand Family Territory (Enc)'!$A$2:$A$296,INT((ROW()-2)/10)+1)</f>
        <v>Modelo Oro</v>
      </c>
      <c r="B562" s="2" t="str" cm="1">
        <f t="array" ref="B562">INDEX('Whitelist (Blackout Reverse)'!$B$1:$K$1,MOD(ROW()-2,10)+1)</f>
        <v>BERGEN</v>
      </c>
      <c r="C562" s="2" t="str">
        <f>VLOOKUP(A562,'[1]Brand Family Territory (Enc)'!$A$2:$B$296,2,FALSE)</f>
        <v>Core Market</v>
      </c>
      <c r="D562" s="2">
        <f>IF(COUNTIFS('[1]Brand Family Territories (Enc)'!$B$2:$B$62,C562,'[1]Brand Family Territories (Enc)'!$C$2:$C$62,B562)&gt;0,1,IF(AND(LEFT(B562,6)="MORRIS",COUNTIFS('[1]Brand Family Territories (Enc)'!$B$2:$B$62,C562,'[1]Brand Family Territories (Enc)'!$C$2:$C$62,"Morri")&gt;0),"Unk",0))</f>
        <v>1</v>
      </c>
      <c r="E562" s="2" t="str">
        <f>IFERROR(INDEX('Blackout Brand Fam Areas (Enc)'!$D$6:$D$998,MATCH(UPPER(A562)&amp;"|"&amp;UPPER(B562),'Blackout Brand Fam Areas (Enc)'!$G$6:$G$998,0)),"No Match")</f>
        <v>No Match</v>
      </c>
      <c r="F562" s="2" t="str">
        <f t="shared" si="16"/>
        <v>US</v>
      </c>
      <c r="G562" s="2" t="str">
        <f t="shared" si="17"/>
        <v>Modelo Oro|BERGEN</v>
      </c>
    </row>
    <row r="563" spans="1:7" x14ac:dyDescent="0.2">
      <c r="A563" s="2" t="str" cm="1">
        <f t="array" ref="A563">INDEX('[1]Brand Family Territory (Enc)'!$A$2:$A$296,INT((ROW()-2)/10)+1)</f>
        <v>Modelo Oro</v>
      </c>
      <c r="B563" s="2" t="str" cm="1">
        <f t="array" ref="B563">INDEX('Whitelist (Blackout Reverse)'!$B$1:$K$1,MOD(ROW()-2,10)+1)</f>
        <v>PASSAIC</v>
      </c>
      <c r="C563" s="2" t="str">
        <f>VLOOKUP(A563,'[1]Brand Family Territory (Enc)'!$A$2:$B$296,2,FALSE)</f>
        <v>Core Market</v>
      </c>
      <c r="D563" s="2">
        <f>IF(COUNTIFS('[1]Brand Family Territories (Enc)'!$B$2:$B$62,C563,'[1]Brand Family Territories (Enc)'!$C$2:$C$62,B563)&gt;0,1,IF(AND(LEFT(B563,6)="MORRIS",COUNTIFS('[1]Brand Family Territories (Enc)'!$B$2:$B$62,C563,'[1]Brand Family Territories (Enc)'!$C$2:$C$62,"Morri")&gt;0),"Unk",0))</f>
        <v>1</v>
      </c>
      <c r="E563" s="2" t="str">
        <f>IFERROR(INDEX('Blackout Brand Fam Areas (Enc)'!$D$6:$D$998,MATCH(UPPER(A563)&amp;"|"&amp;UPPER(B563),'Blackout Brand Fam Areas (Enc)'!$G$6:$G$998,0)),"No Match")</f>
        <v>No Match</v>
      </c>
      <c r="F563" s="2" t="str">
        <f t="shared" si="16"/>
        <v>US</v>
      </c>
      <c r="G563" s="2" t="str">
        <f t="shared" si="17"/>
        <v>Modelo Oro|PASSAIC</v>
      </c>
    </row>
    <row r="564" spans="1:7" x14ac:dyDescent="0.2">
      <c r="A564" s="2" t="str" cm="1">
        <f t="array" ref="A564">INDEX('[1]Brand Family Territory (Enc)'!$A$2:$A$296,INT((ROW()-2)/10)+1)</f>
        <v>Modelo Oro</v>
      </c>
      <c r="B564" s="2" t="str" cm="1">
        <f t="array" ref="B564">INDEX('Whitelist (Blackout Reverse)'!$B$1:$K$1,MOD(ROW()-2,10)+1)</f>
        <v>PASSAIC-FF</v>
      </c>
      <c r="C564" s="2" t="str">
        <f>VLOOKUP(A564,'[1]Brand Family Territory (Enc)'!$A$2:$B$296,2,FALSE)</f>
        <v>Core Market</v>
      </c>
      <c r="D564" s="2">
        <f>IF(COUNTIFS('[1]Brand Family Territories (Enc)'!$B$2:$B$62,C564,'[1]Brand Family Territories (Enc)'!$C$2:$C$62,B564)&gt;0,1,IF(AND(LEFT(B564,6)="MORRIS",COUNTIFS('[1]Brand Family Territories (Enc)'!$B$2:$B$62,C564,'[1]Brand Family Territories (Enc)'!$C$2:$C$62,"Morri")&gt;0),"Unk",0))</f>
        <v>1</v>
      </c>
      <c r="E564" s="2" t="str">
        <f>IFERROR(INDEX('Blackout Brand Fam Areas (Enc)'!$D$6:$D$998,MATCH(UPPER(A564)&amp;"|"&amp;UPPER(B564),'Blackout Brand Fam Areas (Enc)'!$G$6:$G$998,0)),"No Match")</f>
        <v>No Match</v>
      </c>
      <c r="F564" s="2" t="str">
        <f t="shared" si="16"/>
        <v>US</v>
      </c>
      <c r="G564" s="2" t="str">
        <f t="shared" si="17"/>
        <v>Modelo Oro|PASSAIC-FF</v>
      </c>
    </row>
    <row r="565" spans="1:7" x14ac:dyDescent="0.2">
      <c r="A565" s="2" t="str" cm="1">
        <f t="array" ref="A565">INDEX('[1]Brand Family Territory (Enc)'!$A$2:$A$296,INT((ROW()-2)/10)+1)</f>
        <v>Modelo Oro</v>
      </c>
      <c r="B565" s="2" t="str" cm="1">
        <f t="array" ref="B565">INDEX('Whitelist (Blackout Reverse)'!$B$1:$K$1,MOD(ROW()-2,10)+1)</f>
        <v>ESSEX</v>
      </c>
      <c r="C565" s="2" t="str">
        <f>VLOOKUP(A565,'[1]Brand Family Territory (Enc)'!$A$2:$B$296,2,FALSE)</f>
        <v>Core Market</v>
      </c>
      <c r="D565" s="2">
        <f>IF(COUNTIFS('[1]Brand Family Territories (Enc)'!$B$2:$B$62,C565,'[1]Brand Family Territories (Enc)'!$C$2:$C$62,B565)&gt;0,1,IF(AND(LEFT(B565,6)="MORRIS",COUNTIFS('[1]Brand Family Territories (Enc)'!$B$2:$B$62,C565,'[1]Brand Family Territories (Enc)'!$C$2:$C$62,"Morri")&gt;0),"Unk",0))</f>
        <v>0</v>
      </c>
      <c r="E565" s="2" t="str">
        <f>IFERROR(INDEX('Blackout Brand Fam Areas (Enc)'!$D$6:$D$998,MATCH(UPPER(A565)&amp;"|"&amp;UPPER(B565),'Blackout Brand Fam Areas (Enc)'!$G$6:$G$998,0)),"No Match")</f>
        <v>Inactive</v>
      </c>
      <c r="F565" s="2" t="str">
        <f t="shared" si="16"/>
        <v>THEM</v>
      </c>
      <c r="G565" s="2" t="str">
        <f t="shared" si="17"/>
        <v>Modelo Oro|ESSEX</v>
      </c>
    </row>
    <row r="566" spans="1:7" x14ac:dyDescent="0.2">
      <c r="A566" s="2" t="str" cm="1">
        <f t="array" ref="A566">INDEX('[1]Brand Family Territory (Enc)'!$A$2:$A$296,INT((ROW()-2)/10)+1)</f>
        <v>Modelo Oro</v>
      </c>
      <c r="B566" s="2" t="str" cm="1">
        <f t="array" ref="B566">INDEX('Whitelist (Blackout Reverse)'!$B$1:$K$1,MOD(ROW()-2,10)+1)</f>
        <v>HUDSON</v>
      </c>
      <c r="C566" s="2" t="str">
        <f>VLOOKUP(A566,'[1]Brand Family Territory (Enc)'!$A$2:$B$296,2,FALSE)</f>
        <v>Core Market</v>
      </c>
      <c r="D566" s="2">
        <f>IF(COUNTIFS('[1]Brand Family Territories (Enc)'!$B$2:$B$62,C566,'[1]Brand Family Territories (Enc)'!$C$2:$C$62,B566)&gt;0,1,IF(AND(LEFT(B566,6)="MORRIS",COUNTIFS('[1]Brand Family Territories (Enc)'!$B$2:$B$62,C566,'[1]Brand Family Territories (Enc)'!$C$2:$C$62,"Morri")&gt;0),"Unk",0))</f>
        <v>0</v>
      </c>
      <c r="E566" s="2" t="str">
        <f>IFERROR(INDEX('Blackout Brand Fam Areas (Enc)'!$D$6:$D$998,MATCH(UPPER(A566)&amp;"|"&amp;UPPER(B566),'Blackout Brand Fam Areas (Enc)'!$G$6:$G$998,0)),"No Match")</f>
        <v>Inactive</v>
      </c>
      <c r="F566" s="2" t="str">
        <f t="shared" si="16"/>
        <v>THEM</v>
      </c>
      <c r="G566" s="2" t="str">
        <f t="shared" si="17"/>
        <v>Modelo Oro|HUDSON</v>
      </c>
    </row>
    <row r="567" spans="1:7" x14ac:dyDescent="0.2">
      <c r="A567" s="2" t="str" cm="1">
        <f t="array" ref="A567">INDEX('[1]Brand Family Territory (Enc)'!$A$2:$A$296,INT((ROW()-2)/10)+1)</f>
        <v>Modelo Oro</v>
      </c>
      <c r="B567" s="2" t="str" cm="1">
        <f t="array" ref="B567">INDEX('Whitelist (Blackout Reverse)'!$B$1:$K$1,MOD(ROW()-2,10)+1)</f>
        <v>UNION</v>
      </c>
      <c r="C567" s="2" t="str">
        <f>VLOOKUP(A567,'[1]Brand Family Territory (Enc)'!$A$2:$B$296,2,FALSE)</f>
        <v>Core Market</v>
      </c>
      <c r="D567" s="2">
        <f>IF(COUNTIFS('[1]Brand Family Territories (Enc)'!$B$2:$B$62,C567,'[1]Brand Family Territories (Enc)'!$C$2:$C$62,B567)&gt;0,1,IF(AND(LEFT(B567,6)="MORRIS",COUNTIFS('[1]Brand Family Territories (Enc)'!$B$2:$B$62,C567,'[1]Brand Family Territories (Enc)'!$C$2:$C$62,"Morri")&gt;0),"Unk",0))</f>
        <v>0</v>
      </c>
      <c r="E567" s="2" t="str">
        <f>IFERROR(INDEX('Blackout Brand Fam Areas (Enc)'!$D$6:$D$998,MATCH(UPPER(A567)&amp;"|"&amp;UPPER(B567),'Blackout Brand Fam Areas (Enc)'!$G$6:$G$998,0)),"No Match")</f>
        <v>Inactive</v>
      </c>
      <c r="F567" s="2" t="str">
        <f t="shared" si="16"/>
        <v>THEM</v>
      </c>
      <c r="G567" s="2" t="str">
        <f t="shared" si="17"/>
        <v>Modelo Oro|UNION</v>
      </c>
    </row>
    <row r="568" spans="1:7" x14ac:dyDescent="0.2">
      <c r="A568" s="2" t="str" cm="1">
        <f t="array" ref="A568">INDEX('[1]Brand Family Territory (Enc)'!$A$2:$A$296,INT((ROW()-2)/10)+1)</f>
        <v>Modelo Oro</v>
      </c>
      <c r="B568" s="2" t="str" cm="1">
        <f t="array" ref="B568">INDEX('Whitelist (Blackout Reverse)'!$B$1:$K$1,MOD(ROW()-2,10)+1)</f>
        <v>SUSSEX</v>
      </c>
      <c r="C568" s="2" t="str">
        <f>VLOOKUP(A568,'[1]Brand Family Territory (Enc)'!$A$2:$B$296,2,FALSE)</f>
        <v>Core Market</v>
      </c>
      <c r="D568" s="2">
        <f>IF(COUNTIFS('[1]Brand Family Territories (Enc)'!$B$2:$B$62,C568,'[1]Brand Family Territories (Enc)'!$C$2:$C$62,B568)&gt;0,1,IF(AND(LEFT(B568,6)="MORRIS",COUNTIFS('[1]Brand Family Territories (Enc)'!$B$2:$B$62,C568,'[1]Brand Family Territories (Enc)'!$C$2:$C$62,"Morri")&gt;0),"Unk",0))</f>
        <v>1</v>
      </c>
      <c r="E568" s="2" t="str">
        <f>IFERROR(INDEX('Blackout Brand Fam Areas (Enc)'!$D$6:$D$998,MATCH(UPPER(A568)&amp;"|"&amp;UPPER(B568),'Blackout Brand Fam Areas (Enc)'!$G$6:$G$998,0)),"No Match")</f>
        <v>No Match</v>
      </c>
      <c r="F568" s="2" t="str">
        <f t="shared" si="16"/>
        <v>US</v>
      </c>
      <c r="G568" s="2" t="str">
        <f t="shared" si="17"/>
        <v>Modelo Oro|SUSSEX</v>
      </c>
    </row>
    <row r="569" spans="1:7" x14ac:dyDescent="0.2">
      <c r="A569" s="2" t="str" cm="1">
        <f t="array" ref="A569">INDEX('[1]Brand Family Territory (Enc)'!$A$2:$A$296,INT((ROW()-2)/10)+1)</f>
        <v>Modelo Oro</v>
      </c>
      <c r="B569" s="2" t="str" cm="1">
        <f t="array" ref="B569">INDEX('Whitelist (Blackout Reverse)'!$B$1:$K$1,MOD(ROW()-2,10)+1)</f>
        <v>MORRIS 1</v>
      </c>
      <c r="C569" s="2" t="str">
        <f>VLOOKUP(A569,'[1]Brand Family Territory (Enc)'!$A$2:$B$296,2,FALSE)</f>
        <v>Core Market</v>
      </c>
      <c r="D569" s="2">
        <f>IF(COUNTIFS('[1]Brand Family Territories (Enc)'!$B$2:$B$62,C569,'[1]Brand Family Territories (Enc)'!$C$2:$C$62,B569)&gt;0,1,IF(AND(LEFT(B569,6)="MORRIS",COUNTIFS('[1]Brand Family Territories (Enc)'!$B$2:$B$62,C569,'[1]Brand Family Territories (Enc)'!$C$2:$C$62,"Morri")&gt;0),"Unk",0))</f>
        <v>1</v>
      </c>
      <c r="E569" s="2" t="str">
        <f>IFERROR(INDEX('Blackout Brand Fam Areas (Enc)'!$D$6:$D$998,MATCH(UPPER(A569)&amp;"|"&amp;UPPER(B569),'Blackout Brand Fam Areas (Enc)'!$G$6:$G$998,0)),"No Match")</f>
        <v>No Match</v>
      </c>
      <c r="F569" s="2" t="str">
        <f t="shared" si="16"/>
        <v>US</v>
      </c>
      <c r="G569" s="2" t="str">
        <f t="shared" si="17"/>
        <v>Modelo Oro|MORRIS 1</v>
      </c>
    </row>
    <row r="570" spans="1:7" x14ac:dyDescent="0.2">
      <c r="A570" s="2" t="str" cm="1">
        <f t="array" ref="A570">INDEX('[1]Brand Family Territory (Enc)'!$A$2:$A$296,INT((ROW()-2)/10)+1)</f>
        <v>Modelo Oro</v>
      </c>
      <c r="B570" s="2" t="str" cm="1">
        <f t="array" ref="B570">INDEX('Whitelist (Blackout Reverse)'!$B$1:$K$1,MOD(ROW()-2,10)+1)</f>
        <v>MORRIS 2</v>
      </c>
      <c r="C570" s="2" t="str">
        <f>VLOOKUP(A570,'[1]Brand Family Territory (Enc)'!$A$2:$B$296,2,FALSE)</f>
        <v>Core Market</v>
      </c>
      <c r="D570" s="2">
        <f>IF(COUNTIFS('[1]Brand Family Territories (Enc)'!$B$2:$B$62,C570,'[1]Brand Family Territories (Enc)'!$C$2:$C$62,B570)&gt;0,1,IF(AND(LEFT(B570,6)="MORRIS",COUNTIFS('[1]Brand Family Territories (Enc)'!$B$2:$B$62,C570,'[1]Brand Family Territories (Enc)'!$C$2:$C$62,"Morri")&gt;0),"Unk",0))</f>
        <v>0</v>
      </c>
      <c r="E570" s="2" t="str">
        <f>IFERROR(INDEX('Blackout Brand Fam Areas (Enc)'!$D$6:$D$998,MATCH(UPPER(A570)&amp;"|"&amp;UPPER(B570),'Blackout Brand Fam Areas (Enc)'!$G$6:$G$998,0)),"No Match")</f>
        <v>Inactive</v>
      </c>
      <c r="F570" s="2" t="str">
        <f t="shared" si="16"/>
        <v>THEM</v>
      </c>
      <c r="G570" s="2" t="str">
        <f t="shared" si="17"/>
        <v>Modelo Oro|MORRIS 2</v>
      </c>
    </row>
    <row r="571" spans="1:7" x14ac:dyDescent="0.2">
      <c r="A571" s="2" t="str" cm="1">
        <f t="array" ref="A571">INDEX('[1]Brand Family Territory (Enc)'!$A$2:$A$296,INT((ROW()-2)/10)+1)</f>
        <v>Modelo Oro</v>
      </c>
      <c r="B571" s="2" t="str" cm="1">
        <f t="array" ref="B571">INDEX('Whitelist (Blackout Reverse)'!$B$1:$K$1,MOD(ROW()-2,10)+1)</f>
        <v>MORRIS 3</v>
      </c>
      <c r="C571" s="2" t="str">
        <f>VLOOKUP(A571,'[1]Brand Family Territory (Enc)'!$A$2:$B$296,2,FALSE)</f>
        <v>Core Market</v>
      </c>
      <c r="D571" s="2">
        <f>IF(COUNTIFS('[1]Brand Family Territories (Enc)'!$B$2:$B$62,C571,'[1]Brand Family Territories (Enc)'!$C$2:$C$62,B571)&gt;0,1,IF(AND(LEFT(B571,6)="MORRIS",COUNTIFS('[1]Brand Family Territories (Enc)'!$B$2:$B$62,C571,'[1]Brand Family Territories (Enc)'!$C$2:$C$62,"Morri")&gt;0),"Unk",0))</f>
        <v>1</v>
      </c>
      <c r="E571" s="2" t="str">
        <f>IFERROR(INDEX('Blackout Brand Fam Areas (Enc)'!$D$6:$D$998,MATCH(UPPER(A571)&amp;"|"&amp;UPPER(B571),'Blackout Brand Fam Areas (Enc)'!$G$6:$G$998,0)),"No Match")</f>
        <v>No Match</v>
      </c>
      <c r="F571" s="2" t="str">
        <f t="shared" si="16"/>
        <v>US</v>
      </c>
      <c r="G571" s="2" t="str">
        <f t="shared" si="17"/>
        <v>Modelo Oro|MORRIS 3</v>
      </c>
    </row>
    <row r="572" spans="1:7" x14ac:dyDescent="0.2">
      <c r="A572" s="2" t="str" cm="1">
        <f t="array" ref="A572">INDEX('[1]Brand Family Territory (Enc)'!$A$2:$A$296,INT((ROW()-2)/10)+1)</f>
        <v>Molson</v>
      </c>
      <c r="B572" s="2" t="str" cm="1">
        <f t="array" ref="B572">INDEX('Whitelist (Blackout Reverse)'!$B$1:$K$1,MOD(ROW()-2,10)+1)</f>
        <v>BERGEN</v>
      </c>
      <c r="C572" s="2" t="str">
        <f>VLOOKUP(A572,'[1]Brand Family Territory (Enc)'!$A$2:$B$296,2,FALSE)</f>
        <v>Core Market</v>
      </c>
      <c r="D572" s="2">
        <f>IF(COUNTIFS('[1]Brand Family Territories (Enc)'!$B$2:$B$62,C572,'[1]Brand Family Territories (Enc)'!$C$2:$C$62,B572)&gt;0,1,IF(AND(LEFT(B572,6)="MORRIS",COUNTIFS('[1]Brand Family Territories (Enc)'!$B$2:$B$62,C572,'[1]Brand Family Territories (Enc)'!$C$2:$C$62,"Morri")&gt;0),"Unk",0))</f>
        <v>1</v>
      </c>
      <c r="E572" s="2" t="str">
        <f>IFERROR(INDEX('Blackout Brand Fam Areas (Enc)'!$D$6:$D$998,MATCH(UPPER(A572)&amp;"|"&amp;UPPER(B572),'Blackout Brand Fam Areas (Enc)'!$G$6:$G$998,0)),"No Match")</f>
        <v>No Match</v>
      </c>
      <c r="F572" s="2" t="str">
        <f t="shared" si="16"/>
        <v>US</v>
      </c>
      <c r="G572" s="2" t="str">
        <f t="shared" si="17"/>
        <v>Molson|BERGEN</v>
      </c>
    </row>
    <row r="573" spans="1:7" x14ac:dyDescent="0.2">
      <c r="A573" s="2" t="str" cm="1">
        <f t="array" ref="A573">INDEX('[1]Brand Family Territory (Enc)'!$A$2:$A$296,INT((ROW()-2)/10)+1)</f>
        <v>Molson</v>
      </c>
      <c r="B573" s="2" t="str" cm="1">
        <f t="array" ref="B573">INDEX('Whitelist (Blackout Reverse)'!$B$1:$K$1,MOD(ROW()-2,10)+1)</f>
        <v>PASSAIC</v>
      </c>
      <c r="C573" s="2" t="str">
        <f>VLOOKUP(A573,'[1]Brand Family Territory (Enc)'!$A$2:$B$296,2,FALSE)</f>
        <v>Core Market</v>
      </c>
      <c r="D573" s="2">
        <f>IF(COUNTIFS('[1]Brand Family Territories (Enc)'!$B$2:$B$62,C573,'[1]Brand Family Territories (Enc)'!$C$2:$C$62,B573)&gt;0,1,IF(AND(LEFT(B573,6)="MORRIS",COUNTIFS('[1]Brand Family Territories (Enc)'!$B$2:$B$62,C573,'[1]Brand Family Territories (Enc)'!$C$2:$C$62,"Morri")&gt;0),"Unk",0))</f>
        <v>1</v>
      </c>
      <c r="E573" s="2" t="str">
        <f>IFERROR(INDEX('Blackout Brand Fam Areas (Enc)'!$D$6:$D$998,MATCH(UPPER(A573)&amp;"|"&amp;UPPER(B573),'Blackout Brand Fam Areas (Enc)'!$G$6:$G$998,0)),"No Match")</f>
        <v>No Match</v>
      </c>
      <c r="F573" s="2" t="str">
        <f t="shared" si="16"/>
        <v>US</v>
      </c>
      <c r="G573" s="2" t="str">
        <f t="shared" si="17"/>
        <v>Molson|PASSAIC</v>
      </c>
    </row>
    <row r="574" spans="1:7" x14ac:dyDescent="0.2">
      <c r="A574" s="2" t="str" cm="1">
        <f t="array" ref="A574">INDEX('[1]Brand Family Territory (Enc)'!$A$2:$A$296,INT((ROW()-2)/10)+1)</f>
        <v>Molson</v>
      </c>
      <c r="B574" s="2" t="str" cm="1">
        <f t="array" ref="B574">INDEX('Whitelist (Blackout Reverse)'!$B$1:$K$1,MOD(ROW()-2,10)+1)</f>
        <v>PASSAIC-FF</v>
      </c>
      <c r="C574" s="2" t="str">
        <f>VLOOKUP(A574,'[1]Brand Family Territory (Enc)'!$A$2:$B$296,2,FALSE)</f>
        <v>Core Market</v>
      </c>
      <c r="D574" s="2">
        <f>IF(COUNTIFS('[1]Brand Family Territories (Enc)'!$B$2:$B$62,C574,'[1]Brand Family Territories (Enc)'!$C$2:$C$62,B574)&gt;0,1,IF(AND(LEFT(B574,6)="MORRIS",COUNTIFS('[1]Brand Family Territories (Enc)'!$B$2:$B$62,C574,'[1]Brand Family Territories (Enc)'!$C$2:$C$62,"Morri")&gt;0),"Unk",0))</f>
        <v>1</v>
      </c>
      <c r="E574" s="2" t="str">
        <f>IFERROR(INDEX('Blackout Brand Fam Areas (Enc)'!$D$6:$D$998,MATCH(UPPER(A574)&amp;"|"&amp;UPPER(B574),'Blackout Brand Fam Areas (Enc)'!$G$6:$G$998,0)),"No Match")</f>
        <v>No Match</v>
      </c>
      <c r="F574" s="2" t="str">
        <f t="shared" si="16"/>
        <v>US</v>
      </c>
      <c r="G574" s="2" t="str">
        <f t="shared" si="17"/>
        <v>Molson|PASSAIC-FF</v>
      </c>
    </row>
    <row r="575" spans="1:7" x14ac:dyDescent="0.2">
      <c r="A575" s="2" t="str" cm="1">
        <f t="array" ref="A575">INDEX('[1]Brand Family Territory (Enc)'!$A$2:$A$296,INT((ROW()-2)/10)+1)</f>
        <v>Molson</v>
      </c>
      <c r="B575" s="2" t="str" cm="1">
        <f t="array" ref="B575">INDEX('Whitelist (Blackout Reverse)'!$B$1:$K$1,MOD(ROW()-2,10)+1)</f>
        <v>ESSEX</v>
      </c>
      <c r="C575" s="2" t="str">
        <f>VLOOKUP(A575,'[1]Brand Family Territory (Enc)'!$A$2:$B$296,2,FALSE)</f>
        <v>Core Market</v>
      </c>
      <c r="D575" s="2">
        <f>IF(COUNTIFS('[1]Brand Family Territories (Enc)'!$B$2:$B$62,C575,'[1]Brand Family Territories (Enc)'!$C$2:$C$62,B575)&gt;0,1,IF(AND(LEFT(B575,6)="MORRIS",COUNTIFS('[1]Brand Family Territories (Enc)'!$B$2:$B$62,C575,'[1]Brand Family Territories (Enc)'!$C$2:$C$62,"Morri")&gt;0),"Unk",0))</f>
        <v>0</v>
      </c>
      <c r="E575" s="2" t="str">
        <f>IFERROR(INDEX('Blackout Brand Fam Areas (Enc)'!$D$6:$D$998,MATCH(UPPER(A575)&amp;"|"&amp;UPPER(B575),'Blackout Brand Fam Areas (Enc)'!$G$6:$G$998,0)),"No Match")</f>
        <v>Inactive</v>
      </c>
      <c r="F575" s="2" t="str">
        <f t="shared" si="16"/>
        <v>THEM</v>
      </c>
      <c r="G575" s="2" t="str">
        <f t="shared" si="17"/>
        <v>Molson|ESSEX</v>
      </c>
    </row>
    <row r="576" spans="1:7" x14ac:dyDescent="0.2">
      <c r="A576" s="2" t="str" cm="1">
        <f t="array" ref="A576">INDEX('[1]Brand Family Territory (Enc)'!$A$2:$A$296,INT((ROW()-2)/10)+1)</f>
        <v>Molson</v>
      </c>
      <c r="B576" s="2" t="str" cm="1">
        <f t="array" ref="B576">INDEX('Whitelist (Blackout Reverse)'!$B$1:$K$1,MOD(ROW()-2,10)+1)</f>
        <v>HUDSON</v>
      </c>
      <c r="C576" s="2" t="str">
        <f>VLOOKUP(A576,'[1]Brand Family Territory (Enc)'!$A$2:$B$296,2,FALSE)</f>
        <v>Core Market</v>
      </c>
      <c r="D576" s="2">
        <f>IF(COUNTIFS('[1]Brand Family Territories (Enc)'!$B$2:$B$62,C576,'[1]Brand Family Territories (Enc)'!$C$2:$C$62,B576)&gt;0,1,IF(AND(LEFT(B576,6)="MORRIS",COUNTIFS('[1]Brand Family Territories (Enc)'!$B$2:$B$62,C576,'[1]Brand Family Territories (Enc)'!$C$2:$C$62,"Morri")&gt;0),"Unk",0))</f>
        <v>0</v>
      </c>
      <c r="E576" s="2" t="str">
        <f>IFERROR(INDEX('Blackout Brand Fam Areas (Enc)'!$D$6:$D$998,MATCH(UPPER(A576)&amp;"|"&amp;UPPER(B576),'Blackout Brand Fam Areas (Enc)'!$G$6:$G$998,0)),"No Match")</f>
        <v>Inactive</v>
      </c>
      <c r="F576" s="2" t="str">
        <f t="shared" si="16"/>
        <v>THEM</v>
      </c>
      <c r="G576" s="2" t="str">
        <f t="shared" si="17"/>
        <v>Molson|HUDSON</v>
      </c>
    </row>
    <row r="577" spans="1:7" x14ac:dyDescent="0.2">
      <c r="A577" s="2" t="str" cm="1">
        <f t="array" ref="A577">INDEX('[1]Brand Family Territory (Enc)'!$A$2:$A$296,INT((ROW()-2)/10)+1)</f>
        <v>Molson</v>
      </c>
      <c r="B577" s="2" t="str" cm="1">
        <f t="array" ref="B577">INDEX('Whitelist (Blackout Reverse)'!$B$1:$K$1,MOD(ROW()-2,10)+1)</f>
        <v>UNION</v>
      </c>
      <c r="C577" s="2" t="str">
        <f>VLOOKUP(A577,'[1]Brand Family Territory (Enc)'!$A$2:$B$296,2,FALSE)</f>
        <v>Core Market</v>
      </c>
      <c r="D577" s="2">
        <f>IF(COUNTIFS('[1]Brand Family Territories (Enc)'!$B$2:$B$62,C577,'[1]Brand Family Territories (Enc)'!$C$2:$C$62,B577)&gt;0,1,IF(AND(LEFT(B577,6)="MORRIS",COUNTIFS('[1]Brand Family Territories (Enc)'!$B$2:$B$62,C577,'[1]Brand Family Territories (Enc)'!$C$2:$C$62,"Morri")&gt;0),"Unk",0))</f>
        <v>0</v>
      </c>
      <c r="E577" s="2" t="str">
        <f>IFERROR(INDEX('Blackout Brand Fam Areas (Enc)'!$D$6:$D$998,MATCH(UPPER(A577)&amp;"|"&amp;UPPER(B577),'Blackout Brand Fam Areas (Enc)'!$G$6:$G$998,0)),"No Match")</f>
        <v>Inactive</v>
      </c>
      <c r="F577" s="2" t="str">
        <f t="shared" si="16"/>
        <v>THEM</v>
      </c>
      <c r="G577" s="2" t="str">
        <f t="shared" si="17"/>
        <v>Molson|UNION</v>
      </c>
    </row>
    <row r="578" spans="1:7" x14ac:dyDescent="0.2">
      <c r="A578" s="2" t="str" cm="1">
        <f t="array" ref="A578">INDEX('[1]Brand Family Territory (Enc)'!$A$2:$A$296,INT((ROW()-2)/10)+1)</f>
        <v>Molson</v>
      </c>
      <c r="B578" s="2" t="str" cm="1">
        <f t="array" ref="B578">INDEX('Whitelist (Blackout Reverse)'!$B$1:$K$1,MOD(ROW()-2,10)+1)</f>
        <v>SUSSEX</v>
      </c>
      <c r="C578" s="2" t="str">
        <f>VLOOKUP(A578,'[1]Brand Family Territory (Enc)'!$A$2:$B$296,2,FALSE)</f>
        <v>Core Market</v>
      </c>
      <c r="D578" s="2">
        <f>IF(COUNTIFS('[1]Brand Family Territories (Enc)'!$B$2:$B$62,C578,'[1]Brand Family Territories (Enc)'!$C$2:$C$62,B578)&gt;0,1,IF(AND(LEFT(B578,6)="MORRIS",COUNTIFS('[1]Brand Family Territories (Enc)'!$B$2:$B$62,C578,'[1]Brand Family Territories (Enc)'!$C$2:$C$62,"Morri")&gt;0),"Unk",0))</f>
        <v>1</v>
      </c>
      <c r="E578" s="2" t="str">
        <f>IFERROR(INDEX('Blackout Brand Fam Areas (Enc)'!$D$6:$D$998,MATCH(UPPER(A578)&amp;"|"&amp;UPPER(B578),'Blackout Brand Fam Areas (Enc)'!$G$6:$G$998,0)),"No Match")</f>
        <v>No Match</v>
      </c>
      <c r="F578" s="2" t="str">
        <f t="shared" si="16"/>
        <v>US</v>
      </c>
      <c r="G578" s="2" t="str">
        <f t="shared" si="17"/>
        <v>Molson|SUSSEX</v>
      </c>
    </row>
    <row r="579" spans="1:7" x14ac:dyDescent="0.2">
      <c r="A579" s="2" t="str" cm="1">
        <f t="array" ref="A579">INDEX('[1]Brand Family Territory (Enc)'!$A$2:$A$296,INT((ROW()-2)/10)+1)</f>
        <v>Molson</v>
      </c>
      <c r="B579" s="2" t="str" cm="1">
        <f t="array" ref="B579">INDEX('Whitelist (Blackout Reverse)'!$B$1:$K$1,MOD(ROW()-2,10)+1)</f>
        <v>MORRIS 1</v>
      </c>
      <c r="C579" s="2" t="str">
        <f>VLOOKUP(A579,'[1]Brand Family Territory (Enc)'!$A$2:$B$296,2,FALSE)</f>
        <v>Core Market</v>
      </c>
      <c r="D579" s="2">
        <f>IF(COUNTIFS('[1]Brand Family Territories (Enc)'!$B$2:$B$62,C579,'[1]Brand Family Territories (Enc)'!$C$2:$C$62,B579)&gt;0,1,IF(AND(LEFT(B579,6)="MORRIS",COUNTIFS('[1]Brand Family Territories (Enc)'!$B$2:$B$62,C579,'[1]Brand Family Territories (Enc)'!$C$2:$C$62,"Morri")&gt;0),"Unk",0))</f>
        <v>1</v>
      </c>
      <c r="E579" s="2" t="str">
        <f>IFERROR(INDEX('Blackout Brand Fam Areas (Enc)'!$D$6:$D$998,MATCH(UPPER(A579)&amp;"|"&amp;UPPER(B579),'Blackout Brand Fam Areas (Enc)'!$G$6:$G$998,0)),"No Match")</f>
        <v>No Match</v>
      </c>
      <c r="F579" s="2" t="str">
        <f t="shared" ref="F579:F642" si="18">IF(D579="Unk","Ambiguous (Source Truncated)",IF(E579="Inactive","THEM",IF(D579=1,"US",IF(D579="N/A","No Territory Data","THEM"))))</f>
        <v>US</v>
      </c>
      <c r="G579" s="2" t="str">
        <f t="shared" ref="G579:G642" si="19">A579&amp;"|"&amp;B579</f>
        <v>Molson|MORRIS 1</v>
      </c>
    </row>
    <row r="580" spans="1:7" x14ac:dyDescent="0.2">
      <c r="A580" s="2" t="str" cm="1">
        <f t="array" ref="A580">INDEX('[1]Brand Family Territory (Enc)'!$A$2:$A$296,INT((ROW()-2)/10)+1)</f>
        <v>Molson</v>
      </c>
      <c r="B580" s="2" t="str" cm="1">
        <f t="array" ref="B580">INDEX('Whitelist (Blackout Reverse)'!$B$1:$K$1,MOD(ROW()-2,10)+1)</f>
        <v>MORRIS 2</v>
      </c>
      <c r="C580" s="2" t="str">
        <f>VLOOKUP(A580,'[1]Brand Family Territory (Enc)'!$A$2:$B$296,2,FALSE)</f>
        <v>Core Market</v>
      </c>
      <c r="D580" s="2">
        <f>IF(COUNTIFS('[1]Brand Family Territories (Enc)'!$B$2:$B$62,C580,'[1]Brand Family Territories (Enc)'!$C$2:$C$62,B580)&gt;0,1,IF(AND(LEFT(B580,6)="MORRIS",COUNTIFS('[1]Brand Family Territories (Enc)'!$B$2:$B$62,C580,'[1]Brand Family Territories (Enc)'!$C$2:$C$62,"Morri")&gt;0),"Unk",0))</f>
        <v>0</v>
      </c>
      <c r="E580" s="2" t="str">
        <f>IFERROR(INDEX('Blackout Brand Fam Areas (Enc)'!$D$6:$D$998,MATCH(UPPER(A580)&amp;"|"&amp;UPPER(B580),'Blackout Brand Fam Areas (Enc)'!$G$6:$G$998,0)),"No Match")</f>
        <v>Inactive</v>
      </c>
      <c r="F580" s="2" t="str">
        <f t="shared" si="18"/>
        <v>THEM</v>
      </c>
      <c r="G580" s="2" t="str">
        <f t="shared" si="19"/>
        <v>Molson|MORRIS 2</v>
      </c>
    </row>
    <row r="581" spans="1:7" x14ac:dyDescent="0.2">
      <c r="A581" s="2" t="str" cm="1">
        <f t="array" ref="A581">INDEX('[1]Brand Family Territory (Enc)'!$A$2:$A$296,INT((ROW()-2)/10)+1)</f>
        <v>Molson</v>
      </c>
      <c r="B581" s="2" t="str" cm="1">
        <f t="array" ref="B581">INDEX('Whitelist (Blackout Reverse)'!$B$1:$K$1,MOD(ROW()-2,10)+1)</f>
        <v>MORRIS 3</v>
      </c>
      <c r="C581" s="2" t="str">
        <f>VLOOKUP(A581,'[1]Brand Family Territory (Enc)'!$A$2:$B$296,2,FALSE)</f>
        <v>Core Market</v>
      </c>
      <c r="D581" s="2">
        <f>IF(COUNTIFS('[1]Brand Family Territories (Enc)'!$B$2:$B$62,C581,'[1]Brand Family Territories (Enc)'!$C$2:$C$62,B581)&gt;0,1,IF(AND(LEFT(B581,6)="MORRIS",COUNTIFS('[1]Brand Family Territories (Enc)'!$B$2:$B$62,C581,'[1]Brand Family Territories (Enc)'!$C$2:$C$62,"Morri")&gt;0),"Unk",0))</f>
        <v>1</v>
      </c>
      <c r="E581" s="2" t="str">
        <f>IFERROR(INDEX('Blackout Brand Fam Areas (Enc)'!$D$6:$D$998,MATCH(UPPER(A581)&amp;"|"&amp;UPPER(B581),'Blackout Brand Fam Areas (Enc)'!$G$6:$G$998,0)),"No Match")</f>
        <v>No Match</v>
      </c>
      <c r="F581" s="2" t="str">
        <f t="shared" si="18"/>
        <v>US</v>
      </c>
      <c r="G581" s="2" t="str">
        <f t="shared" si="19"/>
        <v>Molson|MORRIS 3</v>
      </c>
    </row>
    <row r="582" spans="1:7" x14ac:dyDescent="0.2">
      <c r="A582" s="2" t="str" cm="1">
        <f t="array" ref="A582">INDEX('[1]Brand Family Territory (Enc)'!$A$2:$A$296,INT((ROW()-2)/10)+1)</f>
        <v>Moosehead</v>
      </c>
      <c r="B582" s="2" t="str" cm="1">
        <f t="array" ref="B582">INDEX('Whitelist (Blackout Reverse)'!$B$1:$K$1,MOD(ROW()-2,10)+1)</f>
        <v>BERGEN</v>
      </c>
      <c r="C582" s="2" t="str">
        <f>VLOOKUP(A582,'[1]Brand Family Territory (Enc)'!$A$2:$B$296,2,FALSE)</f>
        <v>Core Market</v>
      </c>
      <c r="D582" s="2">
        <f>IF(COUNTIFS('[1]Brand Family Territories (Enc)'!$B$2:$B$62,C582,'[1]Brand Family Territories (Enc)'!$C$2:$C$62,B582)&gt;0,1,IF(AND(LEFT(B582,6)="MORRIS",COUNTIFS('[1]Brand Family Territories (Enc)'!$B$2:$B$62,C582,'[1]Brand Family Territories (Enc)'!$C$2:$C$62,"Morri")&gt;0),"Unk",0))</f>
        <v>1</v>
      </c>
      <c r="E582" s="2" t="str">
        <f>IFERROR(INDEX('Blackout Brand Fam Areas (Enc)'!$D$6:$D$998,MATCH(UPPER(A582)&amp;"|"&amp;UPPER(B582),'Blackout Brand Fam Areas (Enc)'!$G$6:$G$998,0)),"No Match")</f>
        <v>No Match</v>
      </c>
      <c r="F582" s="2" t="str">
        <f t="shared" si="18"/>
        <v>US</v>
      </c>
      <c r="G582" s="2" t="str">
        <f t="shared" si="19"/>
        <v>Moosehead|BERGEN</v>
      </c>
    </row>
    <row r="583" spans="1:7" x14ac:dyDescent="0.2">
      <c r="A583" s="2" t="str" cm="1">
        <f t="array" ref="A583">INDEX('[1]Brand Family Territory (Enc)'!$A$2:$A$296,INT((ROW()-2)/10)+1)</f>
        <v>Moosehead</v>
      </c>
      <c r="B583" s="2" t="str" cm="1">
        <f t="array" ref="B583">INDEX('Whitelist (Blackout Reverse)'!$B$1:$K$1,MOD(ROW()-2,10)+1)</f>
        <v>PASSAIC</v>
      </c>
      <c r="C583" s="2" t="str">
        <f>VLOOKUP(A583,'[1]Brand Family Territory (Enc)'!$A$2:$B$296,2,FALSE)</f>
        <v>Core Market</v>
      </c>
      <c r="D583" s="2">
        <f>IF(COUNTIFS('[1]Brand Family Territories (Enc)'!$B$2:$B$62,C583,'[1]Brand Family Territories (Enc)'!$C$2:$C$62,B583)&gt;0,1,IF(AND(LEFT(B583,6)="MORRIS",COUNTIFS('[1]Brand Family Territories (Enc)'!$B$2:$B$62,C583,'[1]Brand Family Territories (Enc)'!$C$2:$C$62,"Morri")&gt;0),"Unk",0))</f>
        <v>1</v>
      </c>
      <c r="E583" s="2" t="str">
        <f>IFERROR(INDEX('Blackout Brand Fam Areas (Enc)'!$D$6:$D$998,MATCH(UPPER(A583)&amp;"|"&amp;UPPER(B583),'Blackout Brand Fam Areas (Enc)'!$G$6:$G$998,0)),"No Match")</f>
        <v>No Match</v>
      </c>
      <c r="F583" s="2" t="str">
        <f t="shared" si="18"/>
        <v>US</v>
      </c>
      <c r="G583" s="2" t="str">
        <f t="shared" si="19"/>
        <v>Moosehead|PASSAIC</v>
      </c>
    </row>
    <row r="584" spans="1:7" x14ac:dyDescent="0.2">
      <c r="A584" s="2" t="str" cm="1">
        <f t="array" ref="A584">INDEX('[1]Brand Family Territory (Enc)'!$A$2:$A$296,INT((ROW()-2)/10)+1)</f>
        <v>Moosehead</v>
      </c>
      <c r="B584" s="2" t="str" cm="1">
        <f t="array" ref="B584">INDEX('Whitelist (Blackout Reverse)'!$B$1:$K$1,MOD(ROW()-2,10)+1)</f>
        <v>PASSAIC-FF</v>
      </c>
      <c r="C584" s="2" t="str">
        <f>VLOOKUP(A584,'[1]Brand Family Territory (Enc)'!$A$2:$B$296,2,FALSE)</f>
        <v>Core Market</v>
      </c>
      <c r="D584" s="2">
        <f>IF(COUNTIFS('[1]Brand Family Territories (Enc)'!$B$2:$B$62,C584,'[1]Brand Family Territories (Enc)'!$C$2:$C$62,B584)&gt;0,1,IF(AND(LEFT(B584,6)="MORRIS",COUNTIFS('[1]Brand Family Territories (Enc)'!$B$2:$B$62,C584,'[1]Brand Family Territories (Enc)'!$C$2:$C$62,"Morri")&gt;0),"Unk",0))</f>
        <v>1</v>
      </c>
      <c r="E584" s="2" t="str">
        <f>IFERROR(INDEX('Blackout Brand Fam Areas (Enc)'!$D$6:$D$998,MATCH(UPPER(A584)&amp;"|"&amp;UPPER(B584),'Blackout Brand Fam Areas (Enc)'!$G$6:$G$998,0)),"No Match")</f>
        <v>No Match</v>
      </c>
      <c r="F584" s="2" t="str">
        <f t="shared" si="18"/>
        <v>US</v>
      </c>
      <c r="G584" s="2" t="str">
        <f t="shared" si="19"/>
        <v>Moosehead|PASSAIC-FF</v>
      </c>
    </row>
    <row r="585" spans="1:7" x14ac:dyDescent="0.2">
      <c r="A585" s="2" t="str" cm="1">
        <f t="array" ref="A585">INDEX('[1]Brand Family Territory (Enc)'!$A$2:$A$296,INT((ROW()-2)/10)+1)</f>
        <v>Moosehead</v>
      </c>
      <c r="B585" s="2" t="str" cm="1">
        <f t="array" ref="B585">INDEX('Whitelist (Blackout Reverse)'!$B$1:$K$1,MOD(ROW()-2,10)+1)</f>
        <v>ESSEX</v>
      </c>
      <c r="C585" s="2" t="str">
        <f>VLOOKUP(A585,'[1]Brand Family Territory (Enc)'!$A$2:$B$296,2,FALSE)</f>
        <v>Core Market</v>
      </c>
      <c r="D585" s="2">
        <f>IF(COUNTIFS('[1]Brand Family Territories (Enc)'!$B$2:$B$62,C585,'[1]Brand Family Territories (Enc)'!$C$2:$C$62,B585)&gt;0,1,IF(AND(LEFT(B585,6)="MORRIS",COUNTIFS('[1]Brand Family Territories (Enc)'!$B$2:$B$62,C585,'[1]Brand Family Territories (Enc)'!$C$2:$C$62,"Morri")&gt;0),"Unk",0))</f>
        <v>0</v>
      </c>
      <c r="E585" s="2" t="str">
        <f>IFERROR(INDEX('Blackout Brand Fam Areas (Enc)'!$D$6:$D$998,MATCH(UPPER(A585)&amp;"|"&amp;UPPER(B585),'Blackout Brand Fam Areas (Enc)'!$G$6:$G$998,0)),"No Match")</f>
        <v>Inactive</v>
      </c>
      <c r="F585" s="2" t="str">
        <f t="shared" si="18"/>
        <v>THEM</v>
      </c>
      <c r="G585" s="2" t="str">
        <f t="shared" si="19"/>
        <v>Moosehead|ESSEX</v>
      </c>
    </row>
    <row r="586" spans="1:7" x14ac:dyDescent="0.2">
      <c r="A586" s="2" t="str" cm="1">
        <f t="array" ref="A586">INDEX('[1]Brand Family Territory (Enc)'!$A$2:$A$296,INT((ROW()-2)/10)+1)</f>
        <v>Moosehead</v>
      </c>
      <c r="B586" s="2" t="str" cm="1">
        <f t="array" ref="B586">INDEX('Whitelist (Blackout Reverse)'!$B$1:$K$1,MOD(ROW()-2,10)+1)</f>
        <v>HUDSON</v>
      </c>
      <c r="C586" s="2" t="str">
        <f>VLOOKUP(A586,'[1]Brand Family Territory (Enc)'!$A$2:$B$296,2,FALSE)</f>
        <v>Core Market</v>
      </c>
      <c r="D586" s="2">
        <f>IF(COUNTIFS('[1]Brand Family Territories (Enc)'!$B$2:$B$62,C586,'[1]Brand Family Territories (Enc)'!$C$2:$C$62,B586)&gt;0,1,IF(AND(LEFT(B586,6)="MORRIS",COUNTIFS('[1]Brand Family Territories (Enc)'!$B$2:$B$62,C586,'[1]Brand Family Territories (Enc)'!$C$2:$C$62,"Morri")&gt;0),"Unk",0))</f>
        <v>0</v>
      </c>
      <c r="E586" s="2" t="str">
        <f>IFERROR(INDEX('Blackout Brand Fam Areas (Enc)'!$D$6:$D$998,MATCH(UPPER(A586)&amp;"|"&amp;UPPER(B586),'Blackout Brand Fam Areas (Enc)'!$G$6:$G$998,0)),"No Match")</f>
        <v>Inactive</v>
      </c>
      <c r="F586" s="2" t="str">
        <f t="shared" si="18"/>
        <v>THEM</v>
      </c>
      <c r="G586" s="2" t="str">
        <f t="shared" si="19"/>
        <v>Moosehead|HUDSON</v>
      </c>
    </row>
    <row r="587" spans="1:7" x14ac:dyDescent="0.2">
      <c r="A587" s="2" t="str" cm="1">
        <f t="array" ref="A587">INDEX('[1]Brand Family Territory (Enc)'!$A$2:$A$296,INT((ROW()-2)/10)+1)</f>
        <v>Moosehead</v>
      </c>
      <c r="B587" s="2" t="str" cm="1">
        <f t="array" ref="B587">INDEX('Whitelist (Blackout Reverse)'!$B$1:$K$1,MOD(ROW()-2,10)+1)</f>
        <v>UNION</v>
      </c>
      <c r="C587" s="2" t="str">
        <f>VLOOKUP(A587,'[1]Brand Family Territory (Enc)'!$A$2:$B$296,2,FALSE)</f>
        <v>Core Market</v>
      </c>
      <c r="D587" s="2">
        <f>IF(COUNTIFS('[1]Brand Family Territories (Enc)'!$B$2:$B$62,C587,'[1]Brand Family Territories (Enc)'!$C$2:$C$62,B587)&gt;0,1,IF(AND(LEFT(B587,6)="MORRIS",COUNTIFS('[1]Brand Family Territories (Enc)'!$B$2:$B$62,C587,'[1]Brand Family Territories (Enc)'!$C$2:$C$62,"Morri")&gt;0),"Unk",0))</f>
        <v>0</v>
      </c>
      <c r="E587" s="2" t="str">
        <f>IFERROR(INDEX('Blackout Brand Fam Areas (Enc)'!$D$6:$D$998,MATCH(UPPER(A587)&amp;"|"&amp;UPPER(B587),'Blackout Brand Fam Areas (Enc)'!$G$6:$G$998,0)),"No Match")</f>
        <v>Inactive</v>
      </c>
      <c r="F587" s="2" t="str">
        <f t="shared" si="18"/>
        <v>THEM</v>
      </c>
      <c r="G587" s="2" t="str">
        <f t="shared" si="19"/>
        <v>Moosehead|UNION</v>
      </c>
    </row>
    <row r="588" spans="1:7" x14ac:dyDescent="0.2">
      <c r="A588" s="2" t="str" cm="1">
        <f t="array" ref="A588">INDEX('[1]Brand Family Territory (Enc)'!$A$2:$A$296,INT((ROW()-2)/10)+1)</f>
        <v>Moosehead</v>
      </c>
      <c r="B588" s="2" t="str" cm="1">
        <f t="array" ref="B588">INDEX('Whitelist (Blackout Reverse)'!$B$1:$K$1,MOD(ROW()-2,10)+1)</f>
        <v>SUSSEX</v>
      </c>
      <c r="C588" s="2" t="str">
        <f>VLOOKUP(A588,'[1]Brand Family Territory (Enc)'!$A$2:$B$296,2,FALSE)</f>
        <v>Core Market</v>
      </c>
      <c r="D588" s="2">
        <f>IF(COUNTIFS('[1]Brand Family Territories (Enc)'!$B$2:$B$62,C588,'[1]Brand Family Territories (Enc)'!$C$2:$C$62,B588)&gt;0,1,IF(AND(LEFT(B588,6)="MORRIS",COUNTIFS('[1]Brand Family Territories (Enc)'!$B$2:$B$62,C588,'[1]Brand Family Territories (Enc)'!$C$2:$C$62,"Morri")&gt;0),"Unk",0))</f>
        <v>1</v>
      </c>
      <c r="E588" s="2" t="str">
        <f>IFERROR(INDEX('Blackout Brand Fam Areas (Enc)'!$D$6:$D$998,MATCH(UPPER(A588)&amp;"|"&amp;UPPER(B588),'Blackout Brand Fam Areas (Enc)'!$G$6:$G$998,0)),"No Match")</f>
        <v>No Match</v>
      </c>
      <c r="F588" s="2" t="str">
        <f t="shared" si="18"/>
        <v>US</v>
      </c>
      <c r="G588" s="2" t="str">
        <f t="shared" si="19"/>
        <v>Moosehead|SUSSEX</v>
      </c>
    </row>
    <row r="589" spans="1:7" x14ac:dyDescent="0.2">
      <c r="A589" s="2" t="str" cm="1">
        <f t="array" ref="A589">INDEX('[1]Brand Family Territory (Enc)'!$A$2:$A$296,INT((ROW()-2)/10)+1)</f>
        <v>Moosehead</v>
      </c>
      <c r="B589" s="2" t="str" cm="1">
        <f t="array" ref="B589">INDEX('Whitelist (Blackout Reverse)'!$B$1:$K$1,MOD(ROW()-2,10)+1)</f>
        <v>MORRIS 1</v>
      </c>
      <c r="C589" s="2" t="str">
        <f>VLOOKUP(A589,'[1]Brand Family Territory (Enc)'!$A$2:$B$296,2,FALSE)</f>
        <v>Core Market</v>
      </c>
      <c r="D589" s="2">
        <f>IF(COUNTIFS('[1]Brand Family Territories (Enc)'!$B$2:$B$62,C589,'[1]Brand Family Territories (Enc)'!$C$2:$C$62,B589)&gt;0,1,IF(AND(LEFT(B589,6)="MORRIS",COUNTIFS('[1]Brand Family Territories (Enc)'!$B$2:$B$62,C589,'[1]Brand Family Territories (Enc)'!$C$2:$C$62,"Morri")&gt;0),"Unk",0))</f>
        <v>1</v>
      </c>
      <c r="E589" s="2" t="str">
        <f>IFERROR(INDEX('Blackout Brand Fam Areas (Enc)'!$D$6:$D$998,MATCH(UPPER(A589)&amp;"|"&amp;UPPER(B589),'Blackout Brand Fam Areas (Enc)'!$G$6:$G$998,0)),"No Match")</f>
        <v>No Match</v>
      </c>
      <c r="F589" s="2" t="str">
        <f t="shared" si="18"/>
        <v>US</v>
      </c>
      <c r="G589" s="2" t="str">
        <f t="shared" si="19"/>
        <v>Moosehead|MORRIS 1</v>
      </c>
    </row>
    <row r="590" spans="1:7" x14ac:dyDescent="0.2">
      <c r="A590" s="2" t="str" cm="1">
        <f t="array" ref="A590">INDEX('[1]Brand Family Territory (Enc)'!$A$2:$A$296,INT((ROW()-2)/10)+1)</f>
        <v>Moosehead</v>
      </c>
      <c r="B590" s="2" t="str" cm="1">
        <f t="array" ref="B590">INDEX('Whitelist (Blackout Reverse)'!$B$1:$K$1,MOD(ROW()-2,10)+1)</f>
        <v>MORRIS 2</v>
      </c>
      <c r="C590" s="2" t="str">
        <f>VLOOKUP(A590,'[1]Brand Family Territory (Enc)'!$A$2:$B$296,2,FALSE)</f>
        <v>Core Market</v>
      </c>
      <c r="D590" s="2">
        <f>IF(COUNTIFS('[1]Brand Family Territories (Enc)'!$B$2:$B$62,C590,'[1]Brand Family Territories (Enc)'!$C$2:$C$62,B590)&gt;0,1,IF(AND(LEFT(B590,6)="MORRIS",COUNTIFS('[1]Brand Family Territories (Enc)'!$B$2:$B$62,C590,'[1]Brand Family Territories (Enc)'!$C$2:$C$62,"Morri")&gt;0),"Unk",0))</f>
        <v>0</v>
      </c>
      <c r="E590" s="2" t="str">
        <f>IFERROR(INDEX('Blackout Brand Fam Areas (Enc)'!$D$6:$D$998,MATCH(UPPER(A590)&amp;"|"&amp;UPPER(B590),'Blackout Brand Fam Areas (Enc)'!$G$6:$G$998,0)),"No Match")</f>
        <v>Inactive</v>
      </c>
      <c r="F590" s="2" t="str">
        <f t="shared" si="18"/>
        <v>THEM</v>
      </c>
      <c r="G590" s="2" t="str">
        <f t="shared" si="19"/>
        <v>Moosehead|MORRIS 2</v>
      </c>
    </row>
    <row r="591" spans="1:7" x14ac:dyDescent="0.2">
      <c r="A591" s="2" t="str" cm="1">
        <f t="array" ref="A591">INDEX('[1]Brand Family Territory (Enc)'!$A$2:$A$296,INT((ROW()-2)/10)+1)</f>
        <v>Moosehead</v>
      </c>
      <c r="B591" s="2" t="str" cm="1">
        <f t="array" ref="B591">INDEX('Whitelist (Blackout Reverse)'!$B$1:$K$1,MOD(ROW()-2,10)+1)</f>
        <v>MORRIS 3</v>
      </c>
      <c r="C591" s="2" t="str">
        <f>VLOOKUP(A591,'[1]Brand Family Territory (Enc)'!$A$2:$B$296,2,FALSE)</f>
        <v>Core Market</v>
      </c>
      <c r="D591" s="2">
        <f>IF(COUNTIFS('[1]Brand Family Territories (Enc)'!$B$2:$B$62,C591,'[1]Brand Family Territories (Enc)'!$C$2:$C$62,B591)&gt;0,1,IF(AND(LEFT(B591,6)="MORRIS",COUNTIFS('[1]Brand Family Territories (Enc)'!$B$2:$B$62,C591,'[1]Brand Family Territories (Enc)'!$C$2:$C$62,"Morri")&gt;0),"Unk",0))</f>
        <v>1</v>
      </c>
      <c r="E591" s="2" t="str">
        <f>IFERROR(INDEX('Blackout Brand Fam Areas (Enc)'!$D$6:$D$998,MATCH(UPPER(A591)&amp;"|"&amp;UPPER(B591),'Blackout Brand Fam Areas (Enc)'!$G$6:$G$998,0)),"No Match")</f>
        <v>No Match</v>
      </c>
      <c r="F591" s="2" t="str">
        <f t="shared" si="18"/>
        <v>US</v>
      </c>
      <c r="G591" s="2" t="str">
        <f t="shared" si="19"/>
        <v>Moosehead|MORRIS 3</v>
      </c>
    </row>
    <row r="592" spans="1:7" x14ac:dyDescent="0.2">
      <c r="A592" s="2" t="str" cm="1">
        <f t="array" ref="A592">INDEX('[1]Brand Family Territory (Enc)'!$A$2:$A$296,INT((ROW()-2)/10)+1)</f>
        <v>Mxd Cocktails</v>
      </c>
      <c r="B592" s="2" t="str" cm="1">
        <f t="array" ref="B592">INDEX('Whitelist (Blackout Reverse)'!$B$1:$K$1,MOD(ROW()-2,10)+1)</f>
        <v>BERGEN</v>
      </c>
      <c r="C592" s="2" t="str">
        <f>VLOOKUP(A592,'[1]Brand Family Territory (Enc)'!$A$2:$B$296,2,FALSE)</f>
        <v>Core Market</v>
      </c>
      <c r="D592" s="2">
        <f>IF(COUNTIFS('[1]Brand Family Territories (Enc)'!$B$2:$B$62,C592,'[1]Brand Family Territories (Enc)'!$C$2:$C$62,B592)&gt;0,1,IF(AND(LEFT(B592,6)="MORRIS",COUNTIFS('[1]Brand Family Territories (Enc)'!$B$2:$B$62,C592,'[1]Brand Family Territories (Enc)'!$C$2:$C$62,"Morri")&gt;0),"Unk",0))</f>
        <v>1</v>
      </c>
      <c r="E592" s="2" t="str">
        <f>IFERROR(INDEX('Blackout Brand Fam Areas (Enc)'!$D$6:$D$998,MATCH(UPPER(A592)&amp;"|"&amp;UPPER(B592),'Blackout Brand Fam Areas (Enc)'!$G$6:$G$998,0)),"No Match")</f>
        <v>No Match</v>
      </c>
      <c r="F592" s="2" t="str">
        <f t="shared" si="18"/>
        <v>US</v>
      </c>
      <c r="G592" s="2" t="str">
        <f t="shared" si="19"/>
        <v>Mxd Cocktails|BERGEN</v>
      </c>
    </row>
    <row r="593" spans="1:7" x14ac:dyDescent="0.2">
      <c r="A593" s="2" t="str" cm="1">
        <f t="array" ref="A593">INDEX('[1]Brand Family Territory (Enc)'!$A$2:$A$296,INT((ROW()-2)/10)+1)</f>
        <v>Mxd Cocktails</v>
      </c>
      <c r="B593" s="2" t="str" cm="1">
        <f t="array" ref="B593">INDEX('Whitelist (Blackout Reverse)'!$B$1:$K$1,MOD(ROW()-2,10)+1)</f>
        <v>PASSAIC</v>
      </c>
      <c r="C593" s="2" t="str">
        <f>VLOOKUP(A593,'[1]Brand Family Territory (Enc)'!$A$2:$B$296,2,FALSE)</f>
        <v>Core Market</v>
      </c>
      <c r="D593" s="2">
        <f>IF(COUNTIFS('[1]Brand Family Territories (Enc)'!$B$2:$B$62,C593,'[1]Brand Family Territories (Enc)'!$C$2:$C$62,B593)&gt;0,1,IF(AND(LEFT(B593,6)="MORRIS",COUNTIFS('[1]Brand Family Territories (Enc)'!$B$2:$B$62,C593,'[1]Brand Family Territories (Enc)'!$C$2:$C$62,"Morri")&gt;0),"Unk",0))</f>
        <v>1</v>
      </c>
      <c r="E593" s="2" t="str">
        <f>IFERROR(INDEX('Blackout Brand Fam Areas (Enc)'!$D$6:$D$998,MATCH(UPPER(A593)&amp;"|"&amp;UPPER(B593),'Blackout Brand Fam Areas (Enc)'!$G$6:$G$998,0)),"No Match")</f>
        <v>No Match</v>
      </c>
      <c r="F593" s="2" t="str">
        <f t="shared" si="18"/>
        <v>US</v>
      </c>
      <c r="G593" s="2" t="str">
        <f t="shared" si="19"/>
        <v>Mxd Cocktails|PASSAIC</v>
      </c>
    </row>
    <row r="594" spans="1:7" x14ac:dyDescent="0.2">
      <c r="A594" s="2" t="str" cm="1">
        <f t="array" ref="A594">INDEX('[1]Brand Family Territory (Enc)'!$A$2:$A$296,INT((ROW()-2)/10)+1)</f>
        <v>Mxd Cocktails</v>
      </c>
      <c r="B594" s="2" t="str" cm="1">
        <f t="array" ref="B594">INDEX('Whitelist (Blackout Reverse)'!$B$1:$K$1,MOD(ROW()-2,10)+1)</f>
        <v>PASSAIC-FF</v>
      </c>
      <c r="C594" s="2" t="str">
        <f>VLOOKUP(A594,'[1]Brand Family Territory (Enc)'!$A$2:$B$296,2,FALSE)</f>
        <v>Core Market</v>
      </c>
      <c r="D594" s="2">
        <f>IF(COUNTIFS('[1]Brand Family Territories (Enc)'!$B$2:$B$62,C594,'[1]Brand Family Territories (Enc)'!$C$2:$C$62,B594)&gt;0,1,IF(AND(LEFT(B594,6)="MORRIS",COUNTIFS('[1]Brand Family Territories (Enc)'!$B$2:$B$62,C594,'[1]Brand Family Territories (Enc)'!$C$2:$C$62,"Morri")&gt;0),"Unk",0))</f>
        <v>1</v>
      </c>
      <c r="E594" s="2" t="str">
        <f>IFERROR(INDEX('Blackout Brand Fam Areas (Enc)'!$D$6:$D$998,MATCH(UPPER(A594)&amp;"|"&amp;UPPER(B594),'Blackout Brand Fam Areas (Enc)'!$G$6:$G$998,0)),"No Match")</f>
        <v>No Match</v>
      </c>
      <c r="F594" s="2" t="str">
        <f t="shared" si="18"/>
        <v>US</v>
      </c>
      <c r="G594" s="2" t="str">
        <f t="shared" si="19"/>
        <v>Mxd Cocktails|PASSAIC-FF</v>
      </c>
    </row>
    <row r="595" spans="1:7" x14ac:dyDescent="0.2">
      <c r="A595" s="2" t="str" cm="1">
        <f t="array" ref="A595">INDEX('[1]Brand Family Territory (Enc)'!$A$2:$A$296,INT((ROW()-2)/10)+1)</f>
        <v>Mxd Cocktails</v>
      </c>
      <c r="B595" s="2" t="str" cm="1">
        <f t="array" ref="B595">INDEX('Whitelist (Blackout Reverse)'!$B$1:$K$1,MOD(ROW()-2,10)+1)</f>
        <v>ESSEX</v>
      </c>
      <c r="C595" s="2" t="str">
        <f>VLOOKUP(A595,'[1]Brand Family Territory (Enc)'!$A$2:$B$296,2,FALSE)</f>
        <v>Core Market</v>
      </c>
      <c r="D595" s="2">
        <f>IF(COUNTIFS('[1]Brand Family Territories (Enc)'!$B$2:$B$62,C595,'[1]Brand Family Territories (Enc)'!$C$2:$C$62,B595)&gt;0,1,IF(AND(LEFT(B595,6)="MORRIS",COUNTIFS('[1]Brand Family Territories (Enc)'!$B$2:$B$62,C595,'[1]Brand Family Territories (Enc)'!$C$2:$C$62,"Morri")&gt;0),"Unk",0))</f>
        <v>0</v>
      </c>
      <c r="E595" s="2" t="str">
        <f>IFERROR(INDEX('Blackout Brand Fam Areas (Enc)'!$D$6:$D$998,MATCH(UPPER(A595)&amp;"|"&amp;UPPER(B595),'Blackout Brand Fam Areas (Enc)'!$G$6:$G$998,0)),"No Match")</f>
        <v>Inactive</v>
      </c>
      <c r="F595" s="2" t="str">
        <f t="shared" si="18"/>
        <v>THEM</v>
      </c>
      <c r="G595" s="2" t="str">
        <f t="shared" si="19"/>
        <v>Mxd Cocktails|ESSEX</v>
      </c>
    </row>
    <row r="596" spans="1:7" x14ac:dyDescent="0.2">
      <c r="A596" s="2" t="str" cm="1">
        <f t="array" ref="A596">INDEX('[1]Brand Family Territory (Enc)'!$A$2:$A$296,INT((ROW()-2)/10)+1)</f>
        <v>Mxd Cocktails</v>
      </c>
      <c r="B596" s="2" t="str" cm="1">
        <f t="array" ref="B596">INDEX('Whitelist (Blackout Reverse)'!$B$1:$K$1,MOD(ROW()-2,10)+1)</f>
        <v>HUDSON</v>
      </c>
      <c r="C596" s="2" t="str">
        <f>VLOOKUP(A596,'[1]Brand Family Territory (Enc)'!$A$2:$B$296,2,FALSE)</f>
        <v>Core Market</v>
      </c>
      <c r="D596" s="2">
        <f>IF(COUNTIFS('[1]Brand Family Territories (Enc)'!$B$2:$B$62,C596,'[1]Brand Family Territories (Enc)'!$C$2:$C$62,B596)&gt;0,1,IF(AND(LEFT(B596,6)="MORRIS",COUNTIFS('[1]Brand Family Territories (Enc)'!$B$2:$B$62,C596,'[1]Brand Family Territories (Enc)'!$C$2:$C$62,"Morri")&gt;0),"Unk",0))</f>
        <v>0</v>
      </c>
      <c r="E596" s="2" t="str">
        <f>IFERROR(INDEX('Blackout Brand Fam Areas (Enc)'!$D$6:$D$998,MATCH(UPPER(A596)&amp;"|"&amp;UPPER(B596),'Blackout Brand Fam Areas (Enc)'!$G$6:$G$998,0)),"No Match")</f>
        <v>Inactive</v>
      </c>
      <c r="F596" s="2" t="str">
        <f t="shared" si="18"/>
        <v>THEM</v>
      </c>
      <c r="G596" s="2" t="str">
        <f t="shared" si="19"/>
        <v>Mxd Cocktails|HUDSON</v>
      </c>
    </row>
    <row r="597" spans="1:7" x14ac:dyDescent="0.2">
      <c r="A597" s="2" t="str" cm="1">
        <f t="array" ref="A597">INDEX('[1]Brand Family Territory (Enc)'!$A$2:$A$296,INT((ROW()-2)/10)+1)</f>
        <v>Mxd Cocktails</v>
      </c>
      <c r="B597" s="2" t="str" cm="1">
        <f t="array" ref="B597">INDEX('Whitelist (Blackout Reverse)'!$B$1:$K$1,MOD(ROW()-2,10)+1)</f>
        <v>UNION</v>
      </c>
      <c r="C597" s="2" t="str">
        <f>VLOOKUP(A597,'[1]Brand Family Territory (Enc)'!$A$2:$B$296,2,FALSE)</f>
        <v>Core Market</v>
      </c>
      <c r="D597" s="2">
        <f>IF(COUNTIFS('[1]Brand Family Territories (Enc)'!$B$2:$B$62,C597,'[1]Brand Family Territories (Enc)'!$C$2:$C$62,B597)&gt;0,1,IF(AND(LEFT(B597,6)="MORRIS",COUNTIFS('[1]Brand Family Territories (Enc)'!$B$2:$B$62,C597,'[1]Brand Family Territories (Enc)'!$C$2:$C$62,"Morri")&gt;0),"Unk",0))</f>
        <v>0</v>
      </c>
      <c r="E597" s="2" t="str">
        <f>IFERROR(INDEX('Blackout Brand Fam Areas (Enc)'!$D$6:$D$998,MATCH(UPPER(A597)&amp;"|"&amp;UPPER(B597),'Blackout Brand Fam Areas (Enc)'!$G$6:$G$998,0)),"No Match")</f>
        <v>Inactive</v>
      </c>
      <c r="F597" s="2" t="str">
        <f t="shared" si="18"/>
        <v>THEM</v>
      </c>
      <c r="G597" s="2" t="str">
        <f t="shared" si="19"/>
        <v>Mxd Cocktails|UNION</v>
      </c>
    </row>
    <row r="598" spans="1:7" x14ac:dyDescent="0.2">
      <c r="A598" s="2" t="str" cm="1">
        <f t="array" ref="A598">INDEX('[1]Brand Family Territory (Enc)'!$A$2:$A$296,INT((ROW()-2)/10)+1)</f>
        <v>Mxd Cocktails</v>
      </c>
      <c r="B598" s="2" t="str" cm="1">
        <f t="array" ref="B598">INDEX('Whitelist (Blackout Reverse)'!$B$1:$K$1,MOD(ROW()-2,10)+1)</f>
        <v>SUSSEX</v>
      </c>
      <c r="C598" s="2" t="str">
        <f>VLOOKUP(A598,'[1]Brand Family Territory (Enc)'!$A$2:$B$296,2,FALSE)</f>
        <v>Core Market</v>
      </c>
      <c r="D598" s="2">
        <f>IF(COUNTIFS('[1]Brand Family Territories (Enc)'!$B$2:$B$62,C598,'[1]Brand Family Territories (Enc)'!$C$2:$C$62,B598)&gt;0,1,IF(AND(LEFT(B598,6)="MORRIS",COUNTIFS('[1]Brand Family Territories (Enc)'!$B$2:$B$62,C598,'[1]Brand Family Territories (Enc)'!$C$2:$C$62,"Morri")&gt;0),"Unk",0))</f>
        <v>1</v>
      </c>
      <c r="E598" s="2" t="str">
        <f>IFERROR(INDEX('Blackout Brand Fam Areas (Enc)'!$D$6:$D$998,MATCH(UPPER(A598)&amp;"|"&amp;UPPER(B598),'Blackout Brand Fam Areas (Enc)'!$G$6:$G$998,0)),"No Match")</f>
        <v>No Match</v>
      </c>
      <c r="F598" s="2" t="str">
        <f t="shared" si="18"/>
        <v>US</v>
      </c>
      <c r="G598" s="2" t="str">
        <f t="shared" si="19"/>
        <v>Mxd Cocktails|SUSSEX</v>
      </c>
    </row>
    <row r="599" spans="1:7" x14ac:dyDescent="0.2">
      <c r="A599" s="2" t="str" cm="1">
        <f t="array" ref="A599">INDEX('[1]Brand Family Territory (Enc)'!$A$2:$A$296,INT((ROW()-2)/10)+1)</f>
        <v>Mxd Cocktails</v>
      </c>
      <c r="B599" s="2" t="str" cm="1">
        <f t="array" ref="B599">INDEX('Whitelist (Blackout Reverse)'!$B$1:$K$1,MOD(ROW()-2,10)+1)</f>
        <v>MORRIS 1</v>
      </c>
      <c r="C599" s="2" t="str">
        <f>VLOOKUP(A599,'[1]Brand Family Territory (Enc)'!$A$2:$B$296,2,FALSE)</f>
        <v>Core Market</v>
      </c>
      <c r="D599" s="2">
        <f>IF(COUNTIFS('[1]Brand Family Territories (Enc)'!$B$2:$B$62,C599,'[1]Brand Family Territories (Enc)'!$C$2:$C$62,B599)&gt;0,1,IF(AND(LEFT(B599,6)="MORRIS",COUNTIFS('[1]Brand Family Territories (Enc)'!$B$2:$B$62,C599,'[1]Brand Family Territories (Enc)'!$C$2:$C$62,"Morri")&gt;0),"Unk",0))</f>
        <v>1</v>
      </c>
      <c r="E599" s="2" t="str">
        <f>IFERROR(INDEX('Blackout Brand Fam Areas (Enc)'!$D$6:$D$998,MATCH(UPPER(A599)&amp;"|"&amp;UPPER(B599),'Blackout Brand Fam Areas (Enc)'!$G$6:$G$998,0)),"No Match")</f>
        <v>No Match</v>
      </c>
      <c r="F599" s="2" t="str">
        <f t="shared" si="18"/>
        <v>US</v>
      </c>
      <c r="G599" s="2" t="str">
        <f t="shared" si="19"/>
        <v>Mxd Cocktails|MORRIS 1</v>
      </c>
    </row>
    <row r="600" spans="1:7" x14ac:dyDescent="0.2">
      <c r="A600" s="2" t="str" cm="1">
        <f t="array" ref="A600">INDEX('[1]Brand Family Territory (Enc)'!$A$2:$A$296,INT((ROW()-2)/10)+1)</f>
        <v>Mxd Cocktails</v>
      </c>
      <c r="B600" s="2" t="str" cm="1">
        <f t="array" ref="B600">INDEX('Whitelist (Blackout Reverse)'!$B$1:$K$1,MOD(ROW()-2,10)+1)</f>
        <v>MORRIS 2</v>
      </c>
      <c r="C600" s="2" t="str">
        <f>VLOOKUP(A600,'[1]Brand Family Territory (Enc)'!$A$2:$B$296,2,FALSE)</f>
        <v>Core Market</v>
      </c>
      <c r="D600" s="2">
        <f>IF(COUNTIFS('[1]Brand Family Territories (Enc)'!$B$2:$B$62,C600,'[1]Brand Family Territories (Enc)'!$C$2:$C$62,B600)&gt;0,1,IF(AND(LEFT(B600,6)="MORRIS",COUNTIFS('[1]Brand Family Territories (Enc)'!$B$2:$B$62,C600,'[1]Brand Family Territories (Enc)'!$C$2:$C$62,"Morri")&gt;0),"Unk",0))</f>
        <v>0</v>
      </c>
      <c r="E600" s="2" t="str">
        <f>IFERROR(INDEX('Blackout Brand Fam Areas (Enc)'!$D$6:$D$998,MATCH(UPPER(A600)&amp;"|"&amp;UPPER(B600),'Blackout Brand Fam Areas (Enc)'!$G$6:$G$998,0)),"No Match")</f>
        <v>Inactive</v>
      </c>
      <c r="F600" s="2" t="str">
        <f t="shared" si="18"/>
        <v>THEM</v>
      </c>
      <c r="G600" s="2" t="str">
        <f t="shared" si="19"/>
        <v>Mxd Cocktails|MORRIS 2</v>
      </c>
    </row>
    <row r="601" spans="1:7" x14ac:dyDescent="0.2">
      <c r="A601" s="2" t="str" cm="1">
        <f t="array" ref="A601">INDEX('[1]Brand Family Territory (Enc)'!$A$2:$A$296,INT((ROW()-2)/10)+1)</f>
        <v>Mxd Cocktails</v>
      </c>
      <c r="B601" s="2" t="str" cm="1">
        <f t="array" ref="B601">INDEX('Whitelist (Blackout Reverse)'!$B$1:$K$1,MOD(ROW()-2,10)+1)</f>
        <v>MORRIS 3</v>
      </c>
      <c r="C601" s="2" t="str">
        <f>VLOOKUP(A601,'[1]Brand Family Territory (Enc)'!$A$2:$B$296,2,FALSE)</f>
        <v>Core Market</v>
      </c>
      <c r="D601" s="2">
        <f>IF(COUNTIFS('[1]Brand Family Territories (Enc)'!$B$2:$B$62,C601,'[1]Brand Family Territories (Enc)'!$C$2:$C$62,B601)&gt;0,1,IF(AND(LEFT(B601,6)="MORRIS",COUNTIFS('[1]Brand Family Territories (Enc)'!$B$2:$B$62,C601,'[1]Brand Family Territories (Enc)'!$C$2:$C$62,"Morri")&gt;0),"Unk",0))</f>
        <v>1</v>
      </c>
      <c r="E601" s="2" t="str">
        <f>IFERROR(INDEX('Blackout Brand Fam Areas (Enc)'!$D$6:$D$998,MATCH(UPPER(A601)&amp;"|"&amp;UPPER(B601),'Blackout Brand Fam Areas (Enc)'!$G$6:$G$998,0)),"No Match")</f>
        <v>No Match</v>
      </c>
      <c r="F601" s="2" t="str">
        <f t="shared" si="18"/>
        <v>US</v>
      </c>
      <c r="G601" s="2" t="str">
        <f t="shared" si="19"/>
        <v>Mxd Cocktails|MORRIS 3</v>
      </c>
    </row>
    <row r="602" spans="1:7" x14ac:dyDescent="0.2">
      <c r="A602" s="2" t="str" cm="1">
        <f t="array" ref="A602">INDEX('[1]Brand Family Territory (Enc)'!$A$2:$A$296,INT((ROW()-2)/10)+1)</f>
        <v>Del's Shandy</v>
      </c>
      <c r="B602" s="2" t="str" cm="1">
        <f t="array" ref="B602">INDEX('Whitelist (Blackout Reverse)'!$B$1:$K$1,MOD(ROW()-2,10)+1)</f>
        <v>BERGEN</v>
      </c>
      <c r="C602" s="2" t="str">
        <f>VLOOKUP(A602,'[1]Brand Family Territory (Enc)'!$A$2:$B$296,2,FALSE)</f>
        <v>Core Market</v>
      </c>
      <c r="D602" s="2">
        <f>IF(COUNTIFS('[1]Brand Family Territories (Enc)'!$B$2:$B$62,C602,'[1]Brand Family Territories (Enc)'!$C$2:$C$62,B602)&gt;0,1,IF(AND(LEFT(B602,6)="MORRIS",COUNTIFS('[1]Brand Family Territories (Enc)'!$B$2:$B$62,C602,'[1]Brand Family Territories (Enc)'!$C$2:$C$62,"Morri")&gt;0),"Unk",0))</f>
        <v>1</v>
      </c>
      <c r="E602" s="2" t="str">
        <f>IFERROR(INDEX('Blackout Brand Fam Areas (Enc)'!$D$6:$D$998,MATCH(UPPER(A602)&amp;"|"&amp;UPPER(B602),'Blackout Brand Fam Areas (Enc)'!$G$6:$G$998,0)),"No Match")</f>
        <v>No Match</v>
      </c>
      <c r="F602" s="2" t="str">
        <f t="shared" si="18"/>
        <v>US</v>
      </c>
      <c r="G602" s="2" t="str">
        <f t="shared" si="19"/>
        <v>Del's Shandy|BERGEN</v>
      </c>
    </row>
    <row r="603" spans="1:7" x14ac:dyDescent="0.2">
      <c r="A603" s="2" t="str" cm="1">
        <f t="array" ref="A603">INDEX('[1]Brand Family Territory (Enc)'!$A$2:$A$296,INT((ROW()-2)/10)+1)</f>
        <v>Del's Shandy</v>
      </c>
      <c r="B603" s="2" t="str" cm="1">
        <f t="array" ref="B603">INDEX('Whitelist (Blackout Reverse)'!$B$1:$K$1,MOD(ROW()-2,10)+1)</f>
        <v>PASSAIC</v>
      </c>
      <c r="C603" s="2" t="str">
        <f>VLOOKUP(A603,'[1]Brand Family Territory (Enc)'!$A$2:$B$296,2,FALSE)</f>
        <v>Core Market</v>
      </c>
      <c r="D603" s="2">
        <f>IF(COUNTIFS('[1]Brand Family Territories (Enc)'!$B$2:$B$62,C603,'[1]Brand Family Territories (Enc)'!$C$2:$C$62,B603)&gt;0,1,IF(AND(LEFT(B603,6)="MORRIS",COUNTIFS('[1]Brand Family Territories (Enc)'!$B$2:$B$62,C603,'[1]Brand Family Territories (Enc)'!$C$2:$C$62,"Morri")&gt;0),"Unk",0))</f>
        <v>1</v>
      </c>
      <c r="E603" s="2" t="str">
        <f>IFERROR(INDEX('Blackout Brand Fam Areas (Enc)'!$D$6:$D$998,MATCH(UPPER(A603)&amp;"|"&amp;UPPER(B603),'Blackout Brand Fam Areas (Enc)'!$G$6:$G$998,0)),"No Match")</f>
        <v>No Match</v>
      </c>
      <c r="F603" s="2" t="str">
        <f t="shared" si="18"/>
        <v>US</v>
      </c>
      <c r="G603" s="2" t="str">
        <f t="shared" si="19"/>
        <v>Del's Shandy|PASSAIC</v>
      </c>
    </row>
    <row r="604" spans="1:7" x14ac:dyDescent="0.2">
      <c r="A604" s="2" t="str" cm="1">
        <f t="array" ref="A604">INDEX('[1]Brand Family Territory (Enc)'!$A$2:$A$296,INT((ROW()-2)/10)+1)</f>
        <v>Del's Shandy</v>
      </c>
      <c r="B604" s="2" t="str" cm="1">
        <f t="array" ref="B604">INDEX('Whitelist (Blackout Reverse)'!$B$1:$K$1,MOD(ROW()-2,10)+1)</f>
        <v>PASSAIC-FF</v>
      </c>
      <c r="C604" s="2" t="str">
        <f>VLOOKUP(A604,'[1]Brand Family Territory (Enc)'!$A$2:$B$296,2,FALSE)</f>
        <v>Core Market</v>
      </c>
      <c r="D604" s="2">
        <f>IF(COUNTIFS('[1]Brand Family Territories (Enc)'!$B$2:$B$62,C604,'[1]Brand Family Territories (Enc)'!$C$2:$C$62,B604)&gt;0,1,IF(AND(LEFT(B604,6)="MORRIS",COUNTIFS('[1]Brand Family Territories (Enc)'!$B$2:$B$62,C604,'[1]Brand Family Territories (Enc)'!$C$2:$C$62,"Morri")&gt;0),"Unk",0))</f>
        <v>1</v>
      </c>
      <c r="E604" s="2" t="str">
        <f>IFERROR(INDEX('Blackout Brand Fam Areas (Enc)'!$D$6:$D$998,MATCH(UPPER(A604)&amp;"|"&amp;UPPER(B604),'Blackout Brand Fam Areas (Enc)'!$G$6:$G$998,0)),"No Match")</f>
        <v>No Match</v>
      </c>
      <c r="F604" s="2" t="str">
        <f t="shared" si="18"/>
        <v>US</v>
      </c>
      <c r="G604" s="2" t="str">
        <f t="shared" si="19"/>
        <v>Del's Shandy|PASSAIC-FF</v>
      </c>
    </row>
    <row r="605" spans="1:7" x14ac:dyDescent="0.2">
      <c r="A605" s="2" t="str" cm="1">
        <f t="array" ref="A605">INDEX('[1]Brand Family Territory (Enc)'!$A$2:$A$296,INT((ROW()-2)/10)+1)</f>
        <v>Del's Shandy</v>
      </c>
      <c r="B605" s="2" t="str" cm="1">
        <f t="array" ref="B605">INDEX('Whitelist (Blackout Reverse)'!$B$1:$K$1,MOD(ROW()-2,10)+1)</f>
        <v>ESSEX</v>
      </c>
      <c r="C605" s="2" t="str">
        <f>VLOOKUP(A605,'[1]Brand Family Territory (Enc)'!$A$2:$B$296,2,FALSE)</f>
        <v>Core Market</v>
      </c>
      <c r="D605" s="2">
        <f>IF(COUNTIFS('[1]Brand Family Territories (Enc)'!$B$2:$B$62,C605,'[1]Brand Family Territories (Enc)'!$C$2:$C$62,B605)&gt;0,1,IF(AND(LEFT(B605,6)="MORRIS",COUNTIFS('[1]Brand Family Territories (Enc)'!$B$2:$B$62,C605,'[1]Brand Family Territories (Enc)'!$C$2:$C$62,"Morri")&gt;0),"Unk",0))</f>
        <v>0</v>
      </c>
      <c r="E605" s="2" t="str">
        <f>IFERROR(INDEX('Blackout Brand Fam Areas (Enc)'!$D$6:$D$998,MATCH(UPPER(A605)&amp;"|"&amp;UPPER(B605),'Blackout Brand Fam Areas (Enc)'!$G$6:$G$998,0)),"No Match")</f>
        <v>Inactive</v>
      </c>
      <c r="F605" s="2" t="str">
        <f t="shared" si="18"/>
        <v>THEM</v>
      </c>
      <c r="G605" s="2" t="str">
        <f t="shared" si="19"/>
        <v>Del's Shandy|ESSEX</v>
      </c>
    </row>
    <row r="606" spans="1:7" x14ac:dyDescent="0.2">
      <c r="A606" s="2" t="str" cm="1">
        <f t="array" ref="A606">INDEX('[1]Brand Family Territory (Enc)'!$A$2:$A$296,INT((ROW()-2)/10)+1)</f>
        <v>Del's Shandy</v>
      </c>
      <c r="B606" s="2" t="str" cm="1">
        <f t="array" ref="B606">INDEX('Whitelist (Blackout Reverse)'!$B$1:$K$1,MOD(ROW()-2,10)+1)</f>
        <v>HUDSON</v>
      </c>
      <c r="C606" s="2" t="str">
        <f>VLOOKUP(A606,'[1]Brand Family Territory (Enc)'!$A$2:$B$296,2,FALSE)</f>
        <v>Core Market</v>
      </c>
      <c r="D606" s="2">
        <f>IF(COUNTIFS('[1]Brand Family Territories (Enc)'!$B$2:$B$62,C606,'[1]Brand Family Territories (Enc)'!$C$2:$C$62,B606)&gt;0,1,IF(AND(LEFT(B606,6)="MORRIS",COUNTIFS('[1]Brand Family Territories (Enc)'!$B$2:$B$62,C606,'[1]Brand Family Territories (Enc)'!$C$2:$C$62,"Morri")&gt;0),"Unk",0))</f>
        <v>0</v>
      </c>
      <c r="E606" s="2" t="str">
        <f>IFERROR(INDEX('Blackout Brand Fam Areas (Enc)'!$D$6:$D$998,MATCH(UPPER(A606)&amp;"|"&amp;UPPER(B606),'Blackout Brand Fam Areas (Enc)'!$G$6:$G$998,0)),"No Match")</f>
        <v>Inactive</v>
      </c>
      <c r="F606" s="2" t="str">
        <f t="shared" si="18"/>
        <v>THEM</v>
      </c>
      <c r="G606" s="2" t="str">
        <f t="shared" si="19"/>
        <v>Del's Shandy|HUDSON</v>
      </c>
    </row>
    <row r="607" spans="1:7" x14ac:dyDescent="0.2">
      <c r="A607" s="2" t="str" cm="1">
        <f t="array" ref="A607">INDEX('[1]Brand Family Territory (Enc)'!$A$2:$A$296,INT((ROW()-2)/10)+1)</f>
        <v>Del's Shandy</v>
      </c>
      <c r="B607" s="2" t="str" cm="1">
        <f t="array" ref="B607">INDEX('Whitelist (Blackout Reverse)'!$B$1:$K$1,MOD(ROW()-2,10)+1)</f>
        <v>UNION</v>
      </c>
      <c r="C607" s="2" t="str">
        <f>VLOOKUP(A607,'[1]Brand Family Territory (Enc)'!$A$2:$B$296,2,FALSE)</f>
        <v>Core Market</v>
      </c>
      <c r="D607" s="2">
        <f>IF(COUNTIFS('[1]Brand Family Territories (Enc)'!$B$2:$B$62,C607,'[1]Brand Family Territories (Enc)'!$C$2:$C$62,B607)&gt;0,1,IF(AND(LEFT(B607,6)="MORRIS",COUNTIFS('[1]Brand Family Territories (Enc)'!$B$2:$B$62,C607,'[1]Brand Family Territories (Enc)'!$C$2:$C$62,"Morri")&gt;0),"Unk",0))</f>
        <v>0</v>
      </c>
      <c r="E607" s="2" t="str">
        <f>IFERROR(INDEX('Blackout Brand Fam Areas (Enc)'!$D$6:$D$998,MATCH(UPPER(A607)&amp;"|"&amp;UPPER(B607),'Blackout Brand Fam Areas (Enc)'!$G$6:$G$998,0)),"No Match")</f>
        <v>Inactive</v>
      </c>
      <c r="F607" s="2" t="str">
        <f t="shared" si="18"/>
        <v>THEM</v>
      </c>
      <c r="G607" s="2" t="str">
        <f t="shared" si="19"/>
        <v>Del's Shandy|UNION</v>
      </c>
    </row>
    <row r="608" spans="1:7" x14ac:dyDescent="0.2">
      <c r="A608" s="2" t="str" cm="1">
        <f t="array" ref="A608">INDEX('[1]Brand Family Territory (Enc)'!$A$2:$A$296,INT((ROW()-2)/10)+1)</f>
        <v>Del's Shandy</v>
      </c>
      <c r="B608" s="2" t="str" cm="1">
        <f t="array" ref="B608">INDEX('Whitelist (Blackout Reverse)'!$B$1:$K$1,MOD(ROW()-2,10)+1)</f>
        <v>SUSSEX</v>
      </c>
      <c r="C608" s="2" t="str">
        <f>VLOOKUP(A608,'[1]Brand Family Territory (Enc)'!$A$2:$B$296,2,FALSE)</f>
        <v>Core Market</v>
      </c>
      <c r="D608" s="2">
        <f>IF(COUNTIFS('[1]Brand Family Territories (Enc)'!$B$2:$B$62,C608,'[1]Brand Family Territories (Enc)'!$C$2:$C$62,B608)&gt;0,1,IF(AND(LEFT(B608,6)="MORRIS",COUNTIFS('[1]Brand Family Territories (Enc)'!$B$2:$B$62,C608,'[1]Brand Family Territories (Enc)'!$C$2:$C$62,"Morri")&gt;0),"Unk",0))</f>
        <v>1</v>
      </c>
      <c r="E608" s="2" t="str">
        <f>IFERROR(INDEX('Blackout Brand Fam Areas (Enc)'!$D$6:$D$998,MATCH(UPPER(A608)&amp;"|"&amp;UPPER(B608),'Blackout Brand Fam Areas (Enc)'!$G$6:$G$998,0)),"No Match")</f>
        <v>No Match</v>
      </c>
      <c r="F608" s="2" t="str">
        <f t="shared" si="18"/>
        <v>US</v>
      </c>
      <c r="G608" s="2" t="str">
        <f t="shared" si="19"/>
        <v>Del's Shandy|SUSSEX</v>
      </c>
    </row>
    <row r="609" spans="1:7" x14ac:dyDescent="0.2">
      <c r="A609" s="2" t="str" cm="1">
        <f t="array" ref="A609">INDEX('[1]Brand Family Territory (Enc)'!$A$2:$A$296,INT((ROW()-2)/10)+1)</f>
        <v>Del's Shandy</v>
      </c>
      <c r="B609" s="2" t="str" cm="1">
        <f t="array" ref="B609">INDEX('Whitelist (Blackout Reverse)'!$B$1:$K$1,MOD(ROW()-2,10)+1)</f>
        <v>MORRIS 1</v>
      </c>
      <c r="C609" s="2" t="str">
        <f>VLOOKUP(A609,'[1]Brand Family Territory (Enc)'!$A$2:$B$296,2,FALSE)</f>
        <v>Core Market</v>
      </c>
      <c r="D609" s="2">
        <f>IF(COUNTIFS('[1]Brand Family Territories (Enc)'!$B$2:$B$62,C609,'[1]Brand Family Territories (Enc)'!$C$2:$C$62,B609)&gt;0,1,IF(AND(LEFT(B609,6)="MORRIS",COUNTIFS('[1]Brand Family Territories (Enc)'!$B$2:$B$62,C609,'[1]Brand Family Territories (Enc)'!$C$2:$C$62,"Morri")&gt;0),"Unk",0))</f>
        <v>1</v>
      </c>
      <c r="E609" s="2" t="str">
        <f>IFERROR(INDEX('Blackout Brand Fam Areas (Enc)'!$D$6:$D$998,MATCH(UPPER(A609)&amp;"|"&amp;UPPER(B609),'Blackout Brand Fam Areas (Enc)'!$G$6:$G$998,0)),"No Match")</f>
        <v>No Match</v>
      </c>
      <c r="F609" s="2" t="str">
        <f t="shared" si="18"/>
        <v>US</v>
      </c>
      <c r="G609" s="2" t="str">
        <f t="shared" si="19"/>
        <v>Del's Shandy|MORRIS 1</v>
      </c>
    </row>
    <row r="610" spans="1:7" x14ac:dyDescent="0.2">
      <c r="A610" s="2" t="str" cm="1">
        <f t="array" ref="A610">INDEX('[1]Brand Family Territory (Enc)'!$A$2:$A$296,INT((ROW()-2)/10)+1)</f>
        <v>Del's Shandy</v>
      </c>
      <c r="B610" s="2" t="str" cm="1">
        <f t="array" ref="B610">INDEX('Whitelist (Blackout Reverse)'!$B$1:$K$1,MOD(ROW()-2,10)+1)</f>
        <v>MORRIS 2</v>
      </c>
      <c r="C610" s="2" t="str">
        <f>VLOOKUP(A610,'[1]Brand Family Territory (Enc)'!$A$2:$B$296,2,FALSE)</f>
        <v>Core Market</v>
      </c>
      <c r="D610" s="2">
        <f>IF(COUNTIFS('[1]Brand Family Territories (Enc)'!$B$2:$B$62,C610,'[1]Brand Family Territories (Enc)'!$C$2:$C$62,B610)&gt;0,1,IF(AND(LEFT(B610,6)="MORRIS",COUNTIFS('[1]Brand Family Territories (Enc)'!$B$2:$B$62,C610,'[1]Brand Family Territories (Enc)'!$C$2:$C$62,"Morri")&gt;0),"Unk",0))</f>
        <v>0</v>
      </c>
      <c r="E610" s="2" t="str">
        <f>IFERROR(INDEX('Blackout Brand Fam Areas (Enc)'!$D$6:$D$998,MATCH(UPPER(A610)&amp;"|"&amp;UPPER(B610),'Blackout Brand Fam Areas (Enc)'!$G$6:$G$998,0)),"No Match")</f>
        <v>Inactive</v>
      </c>
      <c r="F610" s="2" t="str">
        <f t="shared" si="18"/>
        <v>THEM</v>
      </c>
      <c r="G610" s="2" t="str">
        <f t="shared" si="19"/>
        <v>Del's Shandy|MORRIS 2</v>
      </c>
    </row>
    <row r="611" spans="1:7" x14ac:dyDescent="0.2">
      <c r="A611" s="2" t="str" cm="1">
        <f t="array" ref="A611">INDEX('[1]Brand Family Territory (Enc)'!$A$2:$A$296,INT((ROW()-2)/10)+1)</f>
        <v>Del's Shandy</v>
      </c>
      <c r="B611" s="2" t="str" cm="1">
        <f t="array" ref="B611">INDEX('Whitelist (Blackout Reverse)'!$B$1:$K$1,MOD(ROW()-2,10)+1)</f>
        <v>MORRIS 3</v>
      </c>
      <c r="C611" s="2" t="str">
        <f>VLOOKUP(A611,'[1]Brand Family Territory (Enc)'!$A$2:$B$296,2,FALSE)</f>
        <v>Core Market</v>
      </c>
      <c r="D611" s="2">
        <f>IF(COUNTIFS('[1]Brand Family Territories (Enc)'!$B$2:$B$62,C611,'[1]Brand Family Territories (Enc)'!$C$2:$C$62,B611)&gt;0,1,IF(AND(LEFT(B611,6)="MORRIS",COUNTIFS('[1]Brand Family Territories (Enc)'!$B$2:$B$62,C611,'[1]Brand Family Territories (Enc)'!$C$2:$C$62,"Morri")&gt;0),"Unk",0))</f>
        <v>1</v>
      </c>
      <c r="E611" s="2" t="str">
        <f>IFERROR(INDEX('Blackout Brand Fam Areas (Enc)'!$D$6:$D$998,MATCH(UPPER(A611)&amp;"|"&amp;UPPER(B611),'Blackout Brand Fam Areas (Enc)'!$G$6:$G$998,0)),"No Match")</f>
        <v>No Match</v>
      </c>
      <c r="F611" s="2" t="str">
        <f t="shared" si="18"/>
        <v>US</v>
      </c>
      <c r="G611" s="2" t="str">
        <f t="shared" si="19"/>
        <v>Del's Shandy|MORRIS 3</v>
      </c>
    </row>
    <row r="612" spans="1:7" x14ac:dyDescent="0.2">
      <c r="A612" s="2" t="str" cm="1">
        <f t="array" ref="A612">INDEX('[1]Brand Family Territory (Enc)'!$A$2:$A$296,INT((ROW()-2)/10)+1)</f>
        <v>Narragansett</v>
      </c>
      <c r="B612" s="2" t="str" cm="1">
        <f t="array" ref="B612">INDEX('Whitelist (Blackout Reverse)'!$B$1:$K$1,MOD(ROW()-2,10)+1)</f>
        <v>BERGEN</v>
      </c>
      <c r="C612" s="2" t="str">
        <f>VLOOKUP(A612,'[1]Brand Family Territory (Enc)'!$A$2:$B$296,2,FALSE)</f>
        <v>Core Market</v>
      </c>
      <c r="D612" s="2">
        <f>IF(COUNTIFS('[1]Brand Family Territories (Enc)'!$B$2:$B$62,C612,'[1]Brand Family Territories (Enc)'!$C$2:$C$62,B612)&gt;0,1,IF(AND(LEFT(B612,6)="MORRIS",COUNTIFS('[1]Brand Family Territories (Enc)'!$B$2:$B$62,C612,'[1]Brand Family Territories (Enc)'!$C$2:$C$62,"Morri")&gt;0),"Unk",0))</f>
        <v>1</v>
      </c>
      <c r="E612" s="2" t="str">
        <f>IFERROR(INDEX('Blackout Brand Fam Areas (Enc)'!$D$6:$D$998,MATCH(UPPER(A612)&amp;"|"&amp;UPPER(B612),'Blackout Brand Fam Areas (Enc)'!$G$6:$G$998,0)),"No Match")</f>
        <v>No Match</v>
      </c>
      <c r="F612" s="2" t="str">
        <f t="shared" si="18"/>
        <v>US</v>
      </c>
      <c r="G612" s="2" t="str">
        <f t="shared" si="19"/>
        <v>Narragansett|BERGEN</v>
      </c>
    </row>
    <row r="613" spans="1:7" x14ac:dyDescent="0.2">
      <c r="A613" s="2" t="str" cm="1">
        <f t="array" ref="A613">INDEX('[1]Brand Family Territory (Enc)'!$A$2:$A$296,INT((ROW()-2)/10)+1)</f>
        <v>Narragansett</v>
      </c>
      <c r="B613" s="2" t="str" cm="1">
        <f t="array" ref="B613">INDEX('Whitelist (Blackout Reverse)'!$B$1:$K$1,MOD(ROW()-2,10)+1)</f>
        <v>PASSAIC</v>
      </c>
      <c r="C613" s="2" t="str">
        <f>VLOOKUP(A613,'[1]Brand Family Territory (Enc)'!$A$2:$B$296,2,FALSE)</f>
        <v>Core Market</v>
      </c>
      <c r="D613" s="2">
        <f>IF(COUNTIFS('[1]Brand Family Territories (Enc)'!$B$2:$B$62,C613,'[1]Brand Family Territories (Enc)'!$C$2:$C$62,B613)&gt;0,1,IF(AND(LEFT(B613,6)="MORRIS",COUNTIFS('[1]Brand Family Territories (Enc)'!$B$2:$B$62,C613,'[1]Brand Family Territories (Enc)'!$C$2:$C$62,"Morri")&gt;0),"Unk",0))</f>
        <v>1</v>
      </c>
      <c r="E613" s="2" t="str">
        <f>IFERROR(INDEX('Blackout Brand Fam Areas (Enc)'!$D$6:$D$998,MATCH(UPPER(A613)&amp;"|"&amp;UPPER(B613),'Blackout Brand Fam Areas (Enc)'!$G$6:$G$998,0)),"No Match")</f>
        <v>No Match</v>
      </c>
      <c r="F613" s="2" t="str">
        <f t="shared" si="18"/>
        <v>US</v>
      </c>
      <c r="G613" s="2" t="str">
        <f t="shared" si="19"/>
        <v>Narragansett|PASSAIC</v>
      </c>
    </row>
    <row r="614" spans="1:7" x14ac:dyDescent="0.2">
      <c r="A614" s="2" t="str" cm="1">
        <f t="array" ref="A614">INDEX('[1]Brand Family Territory (Enc)'!$A$2:$A$296,INT((ROW()-2)/10)+1)</f>
        <v>Narragansett</v>
      </c>
      <c r="B614" s="2" t="str" cm="1">
        <f t="array" ref="B614">INDEX('Whitelist (Blackout Reverse)'!$B$1:$K$1,MOD(ROW()-2,10)+1)</f>
        <v>PASSAIC-FF</v>
      </c>
      <c r="C614" s="2" t="str">
        <f>VLOOKUP(A614,'[1]Brand Family Territory (Enc)'!$A$2:$B$296,2,FALSE)</f>
        <v>Core Market</v>
      </c>
      <c r="D614" s="2">
        <f>IF(COUNTIFS('[1]Brand Family Territories (Enc)'!$B$2:$B$62,C614,'[1]Brand Family Territories (Enc)'!$C$2:$C$62,B614)&gt;0,1,IF(AND(LEFT(B614,6)="MORRIS",COUNTIFS('[1]Brand Family Territories (Enc)'!$B$2:$B$62,C614,'[1]Brand Family Territories (Enc)'!$C$2:$C$62,"Morri")&gt;0),"Unk",0))</f>
        <v>1</v>
      </c>
      <c r="E614" s="2" t="str">
        <f>IFERROR(INDEX('Blackout Brand Fam Areas (Enc)'!$D$6:$D$998,MATCH(UPPER(A614)&amp;"|"&amp;UPPER(B614),'Blackout Brand Fam Areas (Enc)'!$G$6:$G$998,0)),"No Match")</f>
        <v>No Match</v>
      </c>
      <c r="F614" s="2" t="str">
        <f t="shared" si="18"/>
        <v>US</v>
      </c>
      <c r="G614" s="2" t="str">
        <f t="shared" si="19"/>
        <v>Narragansett|PASSAIC-FF</v>
      </c>
    </row>
    <row r="615" spans="1:7" x14ac:dyDescent="0.2">
      <c r="A615" s="2" t="str" cm="1">
        <f t="array" ref="A615">INDEX('[1]Brand Family Territory (Enc)'!$A$2:$A$296,INT((ROW()-2)/10)+1)</f>
        <v>Narragansett</v>
      </c>
      <c r="B615" s="2" t="str" cm="1">
        <f t="array" ref="B615">INDEX('Whitelist (Blackout Reverse)'!$B$1:$K$1,MOD(ROW()-2,10)+1)</f>
        <v>ESSEX</v>
      </c>
      <c r="C615" s="2" t="str">
        <f>VLOOKUP(A615,'[1]Brand Family Territory (Enc)'!$A$2:$B$296,2,FALSE)</f>
        <v>Core Market</v>
      </c>
      <c r="D615" s="2">
        <f>IF(COUNTIFS('[1]Brand Family Territories (Enc)'!$B$2:$B$62,C615,'[1]Brand Family Territories (Enc)'!$C$2:$C$62,B615)&gt;0,1,IF(AND(LEFT(B615,6)="MORRIS",COUNTIFS('[1]Brand Family Territories (Enc)'!$B$2:$B$62,C615,'[1]Brand Family Territories (Enc)'!$C$2:$C$62,"Morri")&gt;0),"Unk",0))</f>
        <v>0</v>
      </c>
      <c r="E615" s="2" t="str">
        <f>IFERROR(INDEX('Blackout Brand Fam Areas (Enc)'!$D$6:$D$998,MATCH(UPPER(A615)&amp;"|"&amp;UPPER(B615),'Blackout Brand Fam Areas (Enc)'!$G$6:$G$998,0)),"No Match")</f>
        <v>Inactive</v>
      </c>
      <c r="F615" s="2" t="str">
        <f t="shared" si="18"/>
        <v>THEM</v>
      </c>
      <c r="G615" s="2" t="str">
        <f t="shared" si="19"/>
        <v>Narragansett|ESSEX</v>
      </c>
    </row>
    <row r="616" spans="1:7" x14ac:dyDescent="0.2">
      <c r="A616" s="2" t="str" cm="1">
        <f t="array" ref="A616">INDEX('[1]Brand Family Territory (Enc)'!$A$2:$A$296,INT((ROW()-2)/10)+1)</f>
        <v>Narragansett</v>
      </c>
      <c r="B616" s="2" t="str" cm="1">
        <f t="array" ref="B616">INDEX('Whitelist (Blackout Reverse)'!$B$1:$K$1,MOD(ROW()-2,10)+1)</f>
        <v>HUDSON</v>
      </c>
      <c r="C616" s="2" t="str">
        <f>VLOOKUP(A616,'[1]Brand Family Territory (Enc)'!$A$2:$B$296,2,FALSE)</f>
        <v>Core Market</v>
      </c>
      <c r="D616" s="2">
        <f>IF(COUNTIFS('[1]Brand Family Territories (Enc)'!$B$2:$B$62,C616,'[1]Brand Family Territories (Enc)'!$C$2:$C$62,B616)&gt;0,1,IF(AND(LEFT(B616,6)="MORRIS",COUNTIFS('[1]Brand Family Territories (Enc)'!$B$2:$B$62,C616,'[1]Brand Family Territories (Enc)'!$C$2:$C$62,"Morri")&gt;0),"Unk",0))</f>
        <v>0</v>
      </c>
      <c r="E616" s="2" t="str">
        <f>IFERROR(INDEX('Blackout Brand Fam Areas (Enc)'!$D$6:$D$998,MATCH(UPPER(A616)&amp;"|"&amp;UPPER(B616),'Blackout Brand Fam Areas (Enc)'!$G$6:$G$998,0)),"No Match")</f>
        <v>Inactive</v>
      </c>
      <c r="F616" s="2" t="str">
        <f t="shared" si="18"/>
        <v>THEM</v>
      </c>
      <c r="G616" s="2" t="str">
        <f t="shared" si="19"/>
        <v>Narragansett|HUDSON</v>
      </c>
    </row>
    <row r="617" spans="1:7" x14ac:dyDescent="0.2">
      <c r="A617" s="2" t="str" cm="1">
        <f t="array" ref="A617">INDEX('[1]Brand Family Territory (Enc)'!$A$2:$A$296,INT((ROW()-2)/10)+1)</f>
        <v>Narragansett</v>
      </c>
      <c r="B617" s="2" t="str" cm="1">
        <f t="array" ref="B617">INDEX('Whitelist (Blackout Reverse)'!$B$1:$K$1,MOD(ROW()-2,10)+1)</f>
        <v>UNION</v>
      </c>
      <c r="C617" s="2" t="str">
        <f>VLOOKUP(A617,'[1]Brand Family Territory (Enc)'!$A$2:$B$296,2,FALSE)</f>
        <v>Core Market</v>
      </c>
      <c r="D617" s="2">
        <f>IF(COUNTIFS('[1]Brand Family Territories (Enc)'!$B$2:$B$62,C617,'[1]Brand Family Territories (Enc)'!$C$2:$C$62,B617)&gt;0,1,IF(AND(LEFT(B617,6)="MORRIS",COUNTIFS('[1]Brand Family Territories (Enc)'!$B$2:$B$62,C617,'[1]Brand Family Territories (Enc)'!$C$2:$C$62,"Morri")&gt;0),"Unk",0))</f>
        <v>0</v>
      </c>
      <c r="E617" s="2" t="str">
        <f>IFERROR(INDEX('Blackout Brand Fam Areas (Enc)'!$D$6:$D$998,MATCH(UPPER(A617)&amp;"|"&amp;UPPER(B617),'Blackout Brand Fam Areas (Enc)'!$G$6:$G$998,0)),"No Match")</f>
        <v>Inactive</v>
      </c>
      <c r="F617" s="2" t="str">
        <f t="shared" si="18"/>
        <v>THEM</v>
      </c>
      <c r="G617" s="2" t="str">
        <f t="shared" si="19"/>
        <v>Narragansett|UNION</v>
      </c>
    </row>
    <row r="618" spans="1:7" x14ac:dyDescent="0.2">
      <c r="A618" s="2" t="str" cm="1">
        <f t="array" ref="A618">INDEX('[1]Brand Family Territory (Enc)'!$A$2:$A$296,INT((ROW()-2)/10)+1)</f>
        <v>Narragansett</v>
      </c>
      <c r="B618" s="2" t="str" cm="1">
        <f t="array" ref="B618">INDEX('Whitelist (Blackout Reverse)'!$B$1:$K$1,MOD(ROW()-2,10)+1)</f>
        <v>SUSSEX</v>
      </c>
      <c r="C618" s="2" t="str">
        <f>VLOOKUP(A618,'[1]Brand Family Territory (Enc)'!$A$2:$B$296,2,FALSE)</f>
        <v>Core Market</v>
      </c>
      <c r="D618" s="2">
        <f>IF(COUNTIFS('[1]Brand Family Territories (Enc)'!$B$2:$B$62,C618,'[1]Brand Family Territories (Enc)'!$C$2:$C$62,B618)&gt;0,1,IF(AND(LEFT(B618,6)="MORRIS",COUNTIFS('[1]Brand Family Territories (Enc)'!$B$2:$B$62,C618,'[1]Brand Family Territories (Enc)'!$C$2:$C$62,"Morri")&gt;0),"Unk",0))</f>
        <v>1</v>
      </c>
      <c r="E618" s="2" t="str">
        <f>IFERROR(INDEX('Blackout Brand Fam Areas (Enc)'!$D$6:$D$998,MATCH(UPPER(A618)&amp;"|"&amp;UPPER(B618),'Blackout Brand Fam Areas (Enc)'!$G$6:$G$998,0)),"No Match")</f>
        <v>No Match</v>
      </c>
      <c r="F618" s="2" t="str">
        <f t="shared" si="18"/>
        <v>US</v>
      </c>
      <c r="G618" s="2" t="str">
        <f t="shared" si="19"/>
        <v>Narragansett|SUSSEX</v>
      </c>
    </row>
    <row r="619" spans="1:7" x14ac:dyDescent="0.2">
      <c r="A619" s="2" t="str" cm="1">
        <f t="array" ref="A619">INDEX('[1]Brand Family Territory (Enc)'!$A$2:$A$296,INT((ROW()-2)/10)+1)</f>
        <v>Narragansett</v>
      </c>
      <c r="B619" s="2" t="str" cm="1">
        <f t="array" ref="B619">INDEX('Whitelist (Blackout Reverse)'!$B$1:$K$1,MOD(ROW()-2,10)+1)</f>
        <v>MORRIS 1</v>
      </c>
      <c r="C619" s="2" t="str">
        <f>VLOOKUP(A619,'[1]Brand Family Territory (Enc)'!$A$2:$B$296,2,FALSE)</f>
        <v>Core Market</v>
      </c>
      <c r="D619" s="2">
        <f>IF(COUNTIFS('[1]Brand Family Territories (Enc)'!$B$2:$B$62,C619,'[1]Brand Family Territories (Enc)'!$C$2:$C$62,B619)&gt;0,1,IF(AND(LEFT(B619,6)="MORRIS",COUNTIFS('[1]Brand Family Territories (Enc)'!$B$2:$B$62,C619,'[1]Brand Family Territories (Enc)'!$C$2:$C$62,"Morri")&gt;0),"Unk",0))</f>
        <v>1</v>
      </c>
      <c r="E619" s="2" t="str">
        <f>IFERROR(INDEX('Blackout Brand Fam Areas (Enc)'!$D$6:$D$998,MATCH(UPPER(A619)&amp;"|"&amp;UPPER(B619),'Blackout Brand Fam Areas (Enc)'!$G$6:$G$998,0)),"No Match")</f>
        <v>No Match</v>
      </c>
      <c r="F619" s="2" t="str">
        <f t="shared" si="18"/>
        <v>US</v>
      </c>
      <c r="G619" s="2" t="str">
        <f t="shared" si="19"/>
        <v>Narragansett|MORRIS 1</v>
      </c>
    </row>
    <row r="620" spans="1:7" x14ac:dyDescent="0.2">
      <c r="A620" s="2" t="str" cm="1">
        <f t="array" ref="A620">INDEX('[1]Brand Family Territory (Enc)'!$A$2:$A$296,INT((ROW()-2)/10)+1)</f>
        <v>Narragansett</v>
      </c>
      <c r="B620" s="2" t="str" cm="1">
        <f t="array" ref="B620">INDEX('Whitelist (Blackout Reverse)'!$B$1:$K$1,MOD(ROW()-2,10)+1)</f>
        <v>MORRIS 2</v>
      </c>
      <c r="C620" s="2" t="str">
        <f>VLOOKUP(A620,'[1]Brand Family Territory (Enc)'!$A$2:$B$296,2,FALSE)</f>
        <v>Core Market</v>
      </c>
      <c r="D620" s="2">
        <f>IF(COUNTIFS('[1]Brand Family Territories (Enc)'!$B$2:$B$62,C620,'[1]Brand Family Territories (Enc)'!$C$2:$C$62,B620)&gt;0,1,IF(AND(LEFT(B620,6)="MORRIS",COUNTIFS('[1]Brand Family Territories (Enc)'!$B$2:$B$62,C620,'[1]Brand Family Territories (Enc)'!$C$2:$C$62,"Morri")&gt;0),"Unk",0))</f>
        <v>0</v>
      </c>
      <c r="E620" s="2" t="str">
        <f>IFERROR(INDEX('Blackout Brand Fam Areas (Enc)'!$D$6:$D$998,MATCH(UPPER(A620)&amp;"|"&amp;UPPER(B620),'Blackout Brand Fam Areas (Enc)'!$G$6:$G$998,0)),"No Match")</f>
        <v>Inactive</v>
      </c>
      <c r="F620" s="2" t="str">
        <f t="shared" si="18"/>
        <v>THEM</v>
      </c>
      <c r="G620" s="2" t="str">
        <f t="shared" si="19"/>
        <v>Narragansett|MORRIS 2</v>
      </c>
    </row>
    <row r="621" spans="1:7" x14ac:dyDescent="0.2">
      <c r="A621" s="2" t="str" cm="1">
        <f t="array" ref="A621">INDEX('[1]Brand Family Territory (Enc)'!$A$2:$A$296,INT((ROW()-2)/10)+1)</f>
        <v>Narragansett</v>
      </c>
      <c r="B621" s="2" t="str" cm="1">
        <f t="array" ref="B621">INDEX('Whitelist (Blackout Reverse)'!$B$1:$K$1,MOD(ROW()-2,10)+1)</f>
        <v>MORRIS 3</v>
      </c>
      <c r="C621" s="2" t="str">
        <f>VLOOKUP(A621,'[1]Brand Family Territory (Enc)'!$A$2:$B$296,2,FALSE)</f>
        <v>Core Market</v>
      </c>
      <c r="D621" s="2">
        <f>IF(COUNTIFS('[1]Brand Family Territories (Enc)'!$B$2:$B$62,C621,'[1]Brand Family Territories (Enc)'!$C$2:$C$62,B621)&gt;0,1,IF(AND(LEFT(B621,6)="MORRIS",COUNTIFS('[1]Brand Family Territories (Enc)'!$B$2:$B$62,C621,'[1]Brand Family Territories (Enc)'!$C$2:$C$62,"Morri")&gt;0),"Unk",0))</f>
        <v>1</v>
      </c>
      <c r="E621" s="2" t="str">
        <f>IFERROR(INDEX('Blackout Brand Fam Areas (Enc)'!$D$6:$D$998,MATCH(UPPER(A621)&amp;"|"&amp;UPPER(B621),'Blackout Brand Fam Areas (Enc)'!$G$6:$G$998,0)),"No Match")</f>
        <v>No Match</v>
      </c>
      <c r="F621" s="2" t="str">
        <f t="shared" si="18"/>
        <v>US</v>
      </c>
      <c r="G621" s="2" t="str">
        <f t="shared" si="19"/>
        <v>Narragansett|MORRIS 3</v>
      </c>
    </row>
    <row r="622" spans="1:7" x14ac:dyDescent="0.2">
      <c r="A622" s="2" t="str" cm="1">
        <f t="array" ref="A622">INDEX('[1]Brand Family Territory (Enc)'!$A$2:$A$296,INT((ROW()-2)/10)+1)</f>
        <v>New Belgium Brewing Company</v>
      </c>
      <c r="B622" s="2" t="str" cm="1">
        <f t="array" ref="B622">INDEX('Whitelist (Blackout Reverse)'!$B$1:$K$1,MOD(ROW()-2,10)+1)</f>
        <v>BERGEN</v>
      </c>
      <c r="C622" s="2" t="str">
        <f>VLOOKUP(A622,'[1]Brand Family Territory (Enc)'!$A$2:$B$296,2,FALSE)</f>
        <v>Core Market</v>
      </c>
      <c r="D622" s="2">
        <f>IF(COUNTIFS('[1]Brand Family Territories (Enc)'!$B$2:$B$62,C622,'[1]Brand Family Territories (Enc)'!$C$2:$C$62,B622)&gt;0,1,IF(AND(LEFT(B622,6)="MORRIS",COUNTIFS('[1]Brand Family Territories (Enc)'!$B$2:$B$62,C622,'[1]Brand Family Territories (Enc)'!$C$2:$C$62,"Morri")&gt;0),"Unk",0))</f>
        <v>1</v>
      </c>
      <c r="E622" s="2" t="str">
        <f>IFERROR(INDEX('Blackout Brand Fam Areas (Enc)'!$D$6:$D$998,MATCH(UPPER(A622)&amp;"|"&amp;UPPER(B622),'Blackout Brand Fam Areas (Enc)'!$G$6:$G$998,0)),"No Match")</f>
        <v>No Match</v>
      </c>
      <c r="F622" s="2" t="str">
        <f t="shared" si="18"/>
        <v>US</v>
      </c>
      <c r="G622" s="2" t="str">
        <f t="shared" si="19"/>
        <v>New Belgium Brewing Company|BERGEN</v>
      </c>
    </row>
    <row r="623" spans="1:7" x14ac:dyDescent="0.2">
      <c r="A623" s="2" t="str" cm="1">
        <f t="array" ref="A623">INDEX('[1]Brand Family Territory (Enc)'!$A$2:$A$296,INT((ROW()-2)/10)+1)</f>
        <v>New Belgium Brewing Company</v>
      </c>
      <c r="B623" s="2" t="str" cm="1">
        <f t="array" ref="B623">INDEX('Whitelist (Blackout Reverse)'!$B$1:$K$1,MOD(ROW()-2,10)+1)</f>
        <v>PASSAIC</v>
      </c>
      <c r="C623" s="2" t="str">
        <f>VLOOKUP(A623,'[1]Brand Family Territory (Enc)'!$A$2:$B$296,2,FALSE)</f>
        <v>Core Market</v>
      </c>
      <c r="D623" s="2">
        <f>IF(COUNTIFS('[1]Brand Family Territories (Enc)'!$B$2:$B$62,C623,'[1]Brand Family Territories (Enc)'!$C$2:$C$62,B623)&gt;0,1,IF(AND(LEFT(B623,6)="MORRIS",COUNTIFS('[1]Brand Family Territories (Enc)'!$B$2:$B$62,C623,'[1]Brand Family Territories (Enc)'!$C$2:$C$62,"Morri")&gt;0),"Unk",0))</f>
        <v>1</v>
      </c>
      <c r="E623" s="2" t="str">
        <f>IFERROR(INDEX('Blackout Brand Fam Areas (Enc)'!$D$6:$D$998,MATCH(UPPER(A623)&amp;"|"&amp;UPPER(B623),'Blackout Brand Fam Areas (Enc)'!$G$6:$G$998,0)),"No Match")</f>
        <v>No Match</v>
      </c>
      <c r="F623" s="2" t="str">
        <f t="shared" si="18"/>
        <v>US</v>
      </c>
      <c r="G623" s="2" t="str">
        <f t="shared" si="19"/>
        <v>New Belgium Brewing Company|PASSAIC</v>
      </c>
    </row>
    <row r="624" spans="1:7" x14ac:dyDescent="0.2">
      <c r="A624" s="2" t="str" cm="1">
        <f t="array" ref="A624">INDEX('[1]Brand Family Territory (Enc)'!$A$2:$A$296,INT((ROW()-2)/10)+1)</f>
        <v>New Belgium Brewing Company</v>
      </c>
      <c r="B624" s="2" t="str" cm="1">
        <f t="array" ref="B624">INDEX('Whitelist (Blackout Reverse)'!$B$1:$K$1,MOD(ROW()-2,10)+1)</f>
        <v>PASSAIC-FF</v>
      </c>
      <c r="C624" s="2" t="str">
        <f>VLOOKUP(A624,'[1]Brand Family Territory (Enc)'!$A$2:$B$296,2,FALSE)</f>
        <v>Core Market</v>
      </c>
      <c r="D624" s="2">
        <f>IF(COUNTIFS('[1]Brand Family Territories (Enc)'!$B$2:$B$62,C624,'[1]Brand Family Territories (Enc)'!$C$2:$C$62,B624)&gt;0,1,IF(AND(LEFT(B624,6)="MORRIS",COUNTIFS('[1]Brand Family Territories (Enc)'!$B$2:$B$62,C624,'[1]Brand Family Territories (Enc)'!$C$2:$C$62,"Morri")&gt;0),"Unk",0))</f>
        <v>1</v>
      </c>
      <c r="E624" s="2" t="str">
        <f>IFERROR(INDEX('Blackout Brand Fam Areas (Enc)'!$D$6:$D$998,MATCH(UPPER(A624)&amp;"|"&amp;UPPER(B624),'Blackout Brand Fam Areas (Enc)'!$G$6:$G$998,0)),"No Match")</f>
        <v>No Match</v>
      </c>
      <c r="F624" s="2" t="str">
        <f t="shared" si="18"/>
        <v>US</v>
      </c>
      <c r="G624" s="2" t="str">
        <f t="shared" si="19"/>
        <v>New Belgium Brewing Company|PASSAIC-FF</v>
      </c>
    </row>
    <row r="625" spans="1:7" x14ac:dyDescent="0.2">
      <c r="A625" s="2" t="str" cm="1">
        <f t="array" ref="A625">INDEX('[1]Brand Family Territory (Enc)'!$A$2:$A$296,INT((ROW()-2)/10)+1)</f>
        <v>New Belgium Brewing Company</v>
      </c>
      <c r="B625" s="2" t="str" cm="1">
        <f t="array" ref="B625">INDEX('Whitelist (Blackout Reverse)'!$B$1:$K$1,MOD(ROW()-2,10)+1)</f>
        <v>ESSEX</v>
      </c>
      <c r="C625" s="2" t="str">
        <f>VLOOKUP(A625,'[1]Brand Family Territory (Enc)'!$A$2:$B$296,2,FALSE)</f>
        <v>Core Market</v>
      </c>
      <c r="D625" s="2">
        <f>IF(COUNTIFS('[1]Brand Family Territories (Enc)'!$B$2:$B$62,C625,'[1]Brand Family Territories (Enc)'!$C$2:$C$62,B625)&gt;0,1,IF(AND(LEFT(B625,6)="MORRIS",COUNTIFS('[1]Brand Family Territories (Enc)'!$B$2:$B$62,C625,'[1]Brand Family Territories (Enc)'!$C$2:$C$62,"Morri")&gt;0),"Unk",0))</f>
        <v>0</v>
      </c>
      <c r="E625" s="2" t="str">
        <f>IFERROR(INDEX('Blackout Brand Fam Areas (Enc)'!$D$6:$D$998,MATCH(UPPER(A625)&amp;"|"&amp;UPPER(B625),'Blackout Brand Fam Areas (Enc)'!$G$6:$G$998,0)),"No Match")</f>
        <v>Inactive</v>
      </c>
      <c r="F625" s="2" t="str">
        <f t="shared" si="18"/>
        <v>THEM</v>
      </c>
      <c r="G625" s="2" t="str">
        <f t="shared" si="19"/>
        <v>New Belgium Brewing Company|ESSEX</v>
      </c>
    </row>
    <row r="626" spans="1:7" x14ac:dyDescent="0.2">
      <c r="A626" s="2" t="str" cm="1">
        <f t="array" ref="A626">INDEX('[1]Brand Family Territory (Enc)'!$A$2:$A$296,INT((ROW()-2)/10)+1)</f>
        <v>New Belgium Brewing Company</v>
      </c>
      <c r="B626" s="2" t="str" cm="1">
        <f t="array" ref="B626">INDEX('Whitelist (Blackout Reverse)'!$B$1:$K$1,MOD(ROW()-2,10)+1)</f>
        <v>HUDSON</v>
      </c>
      <c r="C626" s="2" t="str">
        <f>VLOOKUP(A626,'[1]Brand Family Territory (Enc)'!$A$2:$B$296,2,FALSE)</f>
        <v>Core Market</v>
      </c>
      <c r="D626" s="2">
        <f>IF(COUNTIFS('[1]Brand Family Territories (Enc)'!$B$2:$B$62,C626,'[1]Brand Family Territories (Enc)'!$C$2:$C$62,B626)&gt;0,1,IF(AND(LEFT(B626,6)="MORRIS",COUNTIFS('[1]Brand Family Territories (Enc)'!$B$2:$B$62,C626,'[1]Brand Family Territories (Enc)'!$C$2:$C$62,"Morri")&gt;0),"Unk",0))</f>
        <v>0</v>
      </c>
      <c r="E626" s="2" t="str">
        <f>IFERROR(INDEX('Blackout Brand Fam Areas (Enc)'!$D$6:$D$998,MATCH(UPPER(A626)&amp;"|"&amp;UPPER(B626),'Blackout Brand Fam Areas (Enc)'!$G$6:$G$998,0)),"No Match")</f>
        <v>Inactive</v>
      </c>
      <c r="F626" s="2" t="str">
        <f t="shared" si="18"/>
        <v>THEM</v>
      </c>
      <c r="G626" s="2" t="str">
        <f t="shared" si="19"/>
        <v>New Belgium Brewing Company|HUDSON</v>
      </c>
    </row>
    <row r="627" spans="1:7" x14ac:dyDescent="0.2">
      <c r="A627" s="2" t="str" cm="1">
        <f t="array" ref="A627">INDEX('[1]Brand Family Territory (Enc)'!$A$2:$A$296,INT((ROW()-2)/10)+1)</f>
        <v>New Belgium Brewing Company</v>
      </c>
      <c r="B627" s="2" t="str" cm="1">
        <f t="array" ref="B627">INDEX('Whitelist (Blackout Reverse)'!$B$1:$K$1,MOD(ROW()-2,10)+1)</f>
        <v>UNION</v>
      </c>
      <c r="C627" s="2" t="str">
        <f>VLOOKUP(A627,'[1]Brand Family Territory (Enc)'!$A$2:$B$296,2,FALSE)</f>
        <v>Core Market</v>
      </c>
      <c r="D627" s="2">
        <f>IF(COUNTIFS('[1]Brand Family Territories (Enc)'!$B$2:$B$62,C627,'[1]Brand Family Territories (Enc)'!$C$2:$C$62,B627)&gt;0,1,IF(AND(LEFT(B627,6)="MORRIS",COUNTIFS('[1]Brand Family Territories (Enc)'!$B$2:$B$62,C627,'[1]Brand Family Territories (Enc)'!$C$2:$C$62,"Morri")&gt;0),"Unk",0))</f>
        <v>0</v>
      </c>
      <c r="E627" s="2" t="str">
        <f>IFERROR(INDEX('Blackout Brand Fam Areas (Enc)'!$D$6:$D$998,MATCH(UPPER(A627)&amp;"|"&amp;UPPER(B627),'Blackout Brand Fam Areas (Enc)'!$G$6:$G$998,0)),"No Match")</f>
        <v>Inactive</v>
      </c>
      <c r="F627" s="2" t="str">
        <f t="shared" si="18"/>
        <v>THEM</v>
      </c>
      <c r="G627" s="2" t="str">
        <f t="shared" si="19"/>
        <v>New Belgium Brewing Company|UNION</v>
      </c>
    </row>
    <row r="628" spans="1:7" x14ac:dyDescent="0.2">
      <c r="A628" s="2" t="str" cm="1">
        <f t="array" ref="A628">INDEX('[1]Brand Family Territory (Enc)'!$A$2:$A$296,INT((ROW()-2)/10)+1)</f>
        <v>New Belgium Brewing Company</v>
      </c>
      <c r="B628" s="2" t="str" cm="1">
        <f t="array" ref="B628">INDEX('Whitelist (Blackout Reverse)'!$B$1:$K$1,MOD(ROW()-2,10)+1)</f>
        <v>SUSSEX</v>
      </c>
      <c r="C628" s="2" t="str">
        <f>VLOOKUP(A628,'[1]Brand Family Territory (Enc)'!$A$2:$B$296,2,FALSE)</f>
        <v>Core Market</v>
      </c>
      <c r="D628" s="2">
        <f>IF(COUNTIFS('[1]Brand Family Territories (Enc)'!$B$2:$B$62,C628,'[1]Brand Family Territories (Enc)'!$C$2:$C$62,B628)&gt;0,1,IF(AND(LEFT(B628,6)="MORRIS",COUNTIFS('[1]Brand Family Territories (Enc)'!$B$2:$B$62,C628,'[1]Brand Family Territories (Enc)'!$C$2:$C$62,"Morri")&gt;0),"Unk",0))</f>
        <v>1</v>
      </c>
      <c r="E628" s="2" t="str">
        <f>IFERROR(INDEX('Blackout Brand Fam Areas (Enc)'!$D$6:$D$998,MATCH(UPPER(A628)&amp;"|"&amp;UPPER(B628),'Blackout Brand Fam Areas (Enc)'!$G$6:$G$998,0)),"No Match")</f>
        <v>No Match</v>
      </c>
      <c r="F628" s="2" t="str">
        <f t="shared" si="18"/>
        <v>US</v>
      </c>
      <c r="G628" s="2" t="str">
        <f t="shared" si="19"/>
        <v>New Belgium Brewing Company|SUSSEX</v>
      </c>
    </row>
    <row r="629" spans="1:7" x14ac:dyDescent="0.2">
      <c r="A629" s="2" t="str" cm="1">
        <f t="array" ref="A629">INDEX('[1]Brand Family Territory (Enc)'!$A$2:$A$296,INT((ROW()-2)/10)+1)</f>
        <v>New Belgium Brewing Company</v>
      </c>
      <c r="B629" s="2" t="str" cm="1">
        <f t="array" ref="B629">INDEX('Whitelist (Blackout Reverse)'!$B$1:$K$1,MOD(ROW()-2,10)+1)</f>
        <v>MORRIS 1</v>
      </c>
      <c r="C629" s="2" t="str">
        <f>VLOOKUP(A629,'[1]Brand Family Territory (Enc)'!$A$2:$B$296,2,FALSE)</f>
        <v>Core Market</v>
      </c>
      <c r="D629" s="2">
        <f>IF(COUNTIFS('[1]Brand Family Territories (Enc)'!$B$2:$B$62,C629,'[1]Brand Family Territories (Enc)'!$C$2:$C$62,B629)&gt;0,1,IF(AND(LEFT(B629,6)="MORRIS",COUNTIFS('[1]Brand Family Territories (Enc)'!$B$2:$B$62,C629,'[1]Brand Family Territories (Enc)'!$C$2:$C$62,"Morri")&gt;0),"Unk",0))</f>
        <v>1</v>
      </c>
      <c r="E629" s="2" t="str">
        <f>IFERROR(INDEX('Blackout Brand Fam Areas (Enc)'!$D$6:$D$998,MATCH(UPPER(A629)&amp;"|"&amp;UPPER(B629),'Blackout Brand Fam Areas (Enc)'!$G$6:$G$998,0)),"No Match")</f>
        <v>No Match</v>
      </c>
      <c r="F629" s="2" t="str">
        <f t="shared" si="18"/>
        <v>US</v>
      </c>
      <c r="G629" s="2" t="str">
        <f t="shared" si="19"/>
        <v>New Belgium Brewing Company|MORRIS 1</v>
      </c>
    </row>
    <row r="630" spans="1:7" x14ac:dyDescent="0.2">
      <c r="A630" s="2" t="str" cm="1">
        <f t="array" ref="A630">INDEX('[1]Brand Family Territory (Enc)'!$A$2:$A$296,INT((ROW()-2)/10)+1)</f>
        <v>New Belgium Brewing Company</v>
      </c>
      <c r="B630" s="2" t="str" cm="1">
        <f t="array" ref="B630">INDEX('Whitelist (Blackout Reverse)'!$B$1:$K$1,MOD(ROW()-2,10)+1)</f>
        <v>MORRIS 2</v>
      </c>
      <c r="C630" s="2" t="str">
        <f>VLOOKUP(A630,'[1]Brand Family Territory (Enc)'!$A$2:$B$296,2,FALSE)</f>
        <v>Core Market</v>
      </c>
      <c r="D630" s="2">
        <f>IF(COUNTIFS('[1]Brand Family Territories (Enc)'!$B$2:$B$62,C630,'[1]Brand Family Territories (Enc)'!$C$2:$C$62,B630)&gt;0,1,IF(AND(LEFT(B630,6)="MORRIS",COUNTIFS('[1]Brand Family Territories (Enc)'!$B$2:$B$62,C630,'[1]Brand Family Territories (Enc)'!$C$2:$C$62,"Morri")&gt;0),"Unk",0))</f>
        <v>0</v>
      </c>
      <c r="E630" s="2" t="str">
        <f>IFERROR(INDEX('Blackout Brand Fam Areas (Enc)'!$D$6:$D$998,MATCH(UPPER(A630)&amp;"|"&amp;UPPER(B630),'Blackout Brand Fam Areas (Enc)'!$G$6:$G$998,0)),"No Match")</f>
        <v>Inactive</v>
      </c>
      <c r="F630" s="2" t="str">
        <f t="shared" si="18"/>
        <v>THEM</v>
      </c>
      <c r="G630" s="2" t="str">
        <f t="shared" si="19"/>
        <v>New Belgium Brewing Company|MORRIS 2</v>
      </c>
    </row>
    <row r="631" spans="1:7" x14ac:dyDescent="0.2">
      <c r="A631" s="2" t="str" cm="1">
        <f t="array" ref="A631">INDEX('[1]Brand Family Territory (Enc)'!$A$2:$A$296,INT((ROW()-2)/10)+1)</f>
        <v>New Belgium Brewing Company</v>
      </c>
      <c r="B631" s="2" t="str" cm="1">
        <f t="array" ref="B631">INDEX('Whitelist (Blackout Reverse)'!$B$1:$K$1,MOD(ROW()-2,10)+1)</f>
        <v>MORRIS 3</v>
      </c>
      <c r="C631" s="2" t="str">
        <f>VLOOKUP(A631,'[1]Brand Family Territory (Enc)'!$A$2:$B$296,2,FALSE)</f>
        <v>Core Market</v>
      </c>
      <c r="D631" s="2">
        <f>IF(COUNTIFS('[1]Brand Family Territories (Enc)'!$B$2:$B$62,C631,'[1]Brand Family Territories (Enc)'!$C$2:$C$62,B631)&gt;0,1,IF(AND(LEFT(B631,6)="MORRIS",COUNTIFS('[1]Brand Family Territories (Enc)'!$B$2:$B$62,C631,'[1]Brand Family Territories (Enc)'!$C$2:$C$62,"Morri")&gt;0),"Unk",0))</f>
        <v>1</v>
      </c>
      <c r="E631" s="2" t="str">
        <f>IFERROR(INDEX('Blackout Brand Fam Areas (Enc)'!$D$6:$D$998,MATCH(UPPER(A631)&amp;"|"&amp;UPPER(B631),'Blackout Brand Fam Areas (Enc)'!$G$6:$G$998,0)),"No Match")</f>
        <v>No Match</v>
      </c>
      <c r="F631" s="2" t="str">
        <f t="shared" si="18"/>
        <v>US</v>
      </c>
      <c r="G631" s="2" t="str">
        <f t="shared" si="19"/>
        <v>New Belgium Brewing Company|MORRIS 3</v>
      </c>
    </row>
    <row r="632" spans="1:7" x14ac:dyDescent="0.2">
      <c r="A632" s="2" t="str" cm="1">
        <f t="array" ref="A632">INDEX('[1]Brand Family Territory (Enc)'!$A$2:$A$296,INT((ROW()-2)/10)+1)</f>
        <v>Voodoo Family</v>
      </c>
      <c r="B632" s="2" t="str" cm="1">
        <f t="array" ref="B632">INDEX('Whitelist (Blackout Reverse)'!$B$1:$K$1,MOD(ROW()-2,10)+1)</f>
        <v>BERGEN</v>
      </c>
      <c r="C632" s="2" t="str">
        <f>VLOOKUP(A632,'[1]Brand Family Territory (Enc)'!$A$2:$B$296,2,FALSE)</f>
        <v>Core Market</v>
      </c>
      <c r="D632" s="2">
        <f>IF(COUNTIFS('[1]Brand Family Territories (Enc)'!$B$2:$B$62,C632,'[1]Brand Family Territories (Enc)'!$C$2:$C$62,B632)&gt;0,1,IF(AND(LEFT(B632,6)="MORRIS",COUNTIFS('[1]Brand Family Territories (Enc)'!$B$2:$B$62,C632,'[1]Brand Family Territories (Enc)'!$C$2:$C$62,"Morri")&gt;0),"Unk",0))</f>
        <v>1</v>
      </c>
      <c r="E632" s="2" t="str">
        <f>IFERROR(INDEX('Blackout Brand Fam Areas (Enc)'!$D$6:$D$998,MATCH(UPPER(A632)&amp;"|"&amp;UPPER(B632),'Blackout Brand Fam Areas (Enc)'!$G$6:$G$998,0)),"No Match")</f>
        <v>No Match</v>
      </c>
      <c r="F632" s="2" t="str">
        <f t="shared" si="18"/>
        <v>US</v>
      </c>
      <c r="G632" s="2" t="str">
        <f t="shared" si="19"/>
        <v>Voodoo Family|BERGEN</v>
      </c>
    </row>
    <row r="633" spans="1:7" x14ac:dyDescent="0.2">
      <c r="A633" s="2" t="str" cm="1">
        <f t="array" ref="A633">INDEX('[1]Brand Family Territory (Enc)'!$A$2:$A$296,INT((ROW()-2)/10)+1)</f>
        <v>Voodoo Family</v>
      </c>
      <c r="B633" s="2" t="str" cm="1">
        <f t="array" ref="B633">INDEX('Whitelist (Blackout Reverse)'!$B$1:$K$1,MOD(ROW()-2,10)+1)</f>
        <v>PASSAIC</v>
      </c>
      <c r="C633" s="2" t="str">
        <f>VLOOKUP(A633,'[1]Brand Family Territory (Enc)'!$A$2:$B$296,2,FALSE)</f>
        <v>Core Market</v>
      </c>
      <c r="D633" s="2">
        <f>IF(COUNTIFS('[1]Brand Family Territories (Enc)'!$B$2:$B$62,C633,'[1]Brand Family Territories (Enc)'!$C$2:$C$62,B633)&gt;0,1,IF(AND(LEFT(B633,6)="MORRIS",COUNTIFS('[1]Brand Family Territories (Enc)'!$B$2:$B$62,C633,'[1]Brand Family Territories (Enc)'!$C$2:$C$62,"Morri")&gt;0),"Unk",0))</f>
        <v>1</v>
      </c>
      <c r="E633" s="2" t="str">
        <f>IFERROR(INDEX('Blackout Brand Fam Areas (Enc)'!$D$6:$D$998,MATCH(UPPER(A633)&amp;"|"&amp;UPPER(B633),'Blackout Brand Fam Areas (Enc)'!$G$6:$G$998,0)),"No Match")</f>
        <v>No Match</v>
      </c>
      <c r="F633" s="2" t="str">
        <f t="shared" si="18"/>
        <v>US</v>
      </c>
      <c r="G633" s="2" t="str">
        <f t="shared" si="19"/>
        <v>Voodoo Family|PASSAIC</v>
      </c>
    </row>
    <row r="634" spans="1:7" x14ac:dyDescent="0.2">
      <c r="A634" s="2" t="str" cm="1">
        <f t="array" ref="A634">INDEX('[1]Brand Family Territory (Enc)'!$A$2:$A$296,INT((ROW()-2)/10)+1)</f>
        <v>Voodoo Family</v>
      </c>
      <c r="B634" s="2" t="str" cm="1">
        <f t="array" ref="B634">INDEX('Whitelist (Blackout Reverse)'!$B$1:$K$1,MOD(ROW()-2,10)+1)</f>
        <v>PASSAIC-FF</v>
      </c>
      <c r="C634" s="2" t="str">
        <f>VLOOKUP(A634,'[1]Brand Family Territory (Enc)'!$A$2:$B$296,2,FALSE)</f>
        <v>Core Market</v>
      </c>
      <c r="D634" s="2">
        <f>IF(COUNTIFS('[1]Brand Family Territories (Enc)'!$B$2:$B$62,C634,'[1]Brand Family Territories (Enc)'!$C$2:$C$62,B634)&gt;0,1,IF(AND(LEFT(B634,6)="MORRIS",COUNTIFS('[1]Brand Family Territories (Enc)'!$B$2:$B$62,C634,'[1]Brand Family Territories (Enc)'!$C$2:$C$62,"Morri")&gt;0),"Unk",0))</f>
        <v>1</v>
      </c>
      <c r="E634" s="2" t="str">
        <f>IFERROR(INDEX('Blackout Brand Fam Areas (Enc)'!$D$6:$D$998,MATCH(UPPER(A634)&amp;"|"&amp;UPPER(B634),'Blackout Brand Fam Areas (Enc)'!$G$6:$G$998,0)),"No Match")</f>
        <v>No Match</v>
      </c>
      <c r="F634" s="2" t="str">
        <f t="shared" si="18"/>
        <v>US</v>
      </c>
      <c r="G634" s="2" t="str">
        <f t="shared" si="19"/>
        <v>Voodoo Family|PASSAIC-FF</v>
      </c>
    </row>
    <row r="635" spans="1:7" x14ac:dyDescent="0.2">
      <c r="A635" s="2" t="str" cm="1">
        <f t="array" ref="A635">INDEX('[1]Brand Family Territory (Enc)'!$A$2:$A$296,INT((ROW()-2)/10)+1)</f>
        <v>Voodoo Family</v>
      </c>
      <c r="B635" s="2" t="str" cm="1">
        <f t="array" ref="B635">INDEX('Whitelist (Blackout Reverse)'!$B$1:$K$1,MOD(ROW()-2,10)+1)</f>
        <v>ESSEX</v>
      </c>
      <c r="C635" s="2" t="str">
        <f>VLOOKUP(A635,'[1]Brand Family Territory (Enc)'!$A$2:$B$296,2,FALSE)</f>
        <v>Core Market</v>
      </c>
      <c r="D635" s="2">
        <f>IF(COUNTIFS('[1]Brand Family Territories (Enc)'!$B$2:$B$62,C635,'[1]Brand Family Territories (Enc)'!$C$2:$C$62,B635)&gt;0,1,IF(AND(LEFT(B635,6)="MORRIS",COUNTIFS('[1]Brand Family Territories (Enc)'!$B$2:$B$62,C635,'[1]Brand Family Territories (Enc)'!$C$2:$C$62,"Morri")&gt;0),"Unk",0))</f>
        <v>0</v>
      </c>
      <c r="E635" s="2" t="str">
        <f>IFERROR(INDEX('Blackout Brand Fam Areas (Enc)'!$D$6:$D$998,MATCH(UPPER(A635)&amp;"|"&amp;UPPER(B635),'Blackout Brand Fam Areas (Enc)'!$G$6:$G$998,0)),"No Match")</f>
        <v>Inactive</v>
      </c>
      <c r="F635" s="2" t="str">
        <f t="shared" si="18"/>
        <v>THEM</v>
      </c>
      <c r="G635" s="2" t="str">
        <f t="shared" si="19"/>
        <v>Voodoo Family|ESSEX</v>
      </c>
    </row>
    <row r="636" spans="1:7" x14ac:dyDescent="0.2">
      <c r="A636" s="2" t="str" cm="1">
        <f t="array" ref="A636">INDEX('[1]Brand Family Territory (Enc)'!$A$2:$A$296,INT((ROW()-2)/10)+1)</f>
        <v>Voodoo Family</v>
      </c>
      <c r="B636" s="2" t="str" cm="1">
        <f t="array" ref="B636">INDEX('Whitelist (Blackout Reverse)'!$B$1:$K$1,MOD(ROW()-2,10)+1)</f>
        <v>HUDSON</v>
      </c>
      <c r="C636" s="2" t="str">
        <f>VLOOKUP(A636,'[1]Brand Family Territory (Enc)'!$A$2:$B$296,2,FALSE)</f>
        <v>Core Market</v>
      </c>
      <c r="D636" s="2">
        <f>IF(COUNTIFS('[1]Brand Family Territories (Enc)'!$B$2:$B$62,C636,'[1]Brand Family Territories (Enc)'!$C$2:$C$62,B636)&gt;0,1,IF(AND(LEFT(B636,6)="MORRIS",COUNTIFS('[1]Brand Family Territories (Enc)'!$B$2:$B$62,C636,'[1]Brand Family Territories (Enc)'!$C$2:$C$62,"Morri")&gt;0),"Unk",0))</f>
        <v>0</v>
      </c>
      <c r="E636" s="2" t="str">
        <f>IFERROR(INDEX('Blackout Brand Fam Areas (Enc)'!$D$6:$D$998,MATCH(UPPER(A636)&amp;"|"&amp;UPPER(B636),'Blackout Brand Fam Areas (Enc)'!$G$6:$G$998,0)),"No Match")</f>
        <v>Inactive</v>
      </c>
      <c r="F636" s="2" t="str">
        <f t="shared" si="18"/>
        <v>THEM</v>
      </c>
      <c r="G636" s="2" t="str">
        <f t="shared" si="19"/>
        <v>Voodoo Family|HUDSON</v>
      </c>
    </row>
    <row r="637" spans="1:7" x14ac:dyDescent="0.2">
      <c r="A637" s="2" t="str" cm="1">
        <f t="array" ref="A637">INDEX('[1]Brand Family Territory (Enc)'!$A$2:$A$296,INT((ROW()-2)/10)+1)</f>
        <v>Voodoo Family</v>
      </c>
      <c r="B637" s="2" t="str" cm="1">
        <f t="array" ref="B637">INDEX('Whitelist (Blackout Reverse)'!$B$1:$K$1,MOD(ROW()-2,10)+1)</f>
        <v>UNION</v>
      </c>
      <c r="C637" s="2" t="str">
        <f>VLOOKUP(A637,'[1]Brand Family Territory (Enc)'!$A$2:$B$296,2,FALSE)</f>
        <v>Core Market</v>
      </c>
      <c r="D637" s="2">
        <f>IF(COUNTIFS('[1]Brand Family Territories (Enc)'!$B$2:$B$62,C637,'[1]Brand Family Territories (Enc)'!$C$2:$C$62,B637)&gt;0,1,IF(AND(LEFT(B637,6)="MORRIS",COUNTIFS('[1]Brand Family Territories (Enc)'!$B$2:$B$62,C637,'[1]Brand Family Territories (Enc)'!$C$2:$C$62,"Morri")&gt;0),"Unk",0))</f>
        <v>0</v>
      </c>
      <c r="E637" s="2" t="str">
        <f>IFERROR(INDEX('Blackout Brand Fam Areas (Enc)'!$D$6:$D$998,MATCH(UPPER(A637)&amp;"|"&amp;UPPER(B637),'Blackout Brand Fam Areas (Enc)'!$G$6:$G$998,0)),"No Match")</f>
        <v>Inactive</v>
      </c>
      <c r="F637" s="2" t="str">
        <f t="shared" si="18"/>
        <v>THEM</v>
      </c>
      <c r="G637" s="2" t="str">
        <f t="shared" si="19"/>
        <v>Voodoo Family|UNION</v>
      </c>
    </row>
    <row r="638" spans="1:7" x14ac:dyDescent="0.2">
      <c r="A638" s="2" t="str" cm="1">
        <f t="array" ref="A638">INDEX('[1]Brand Family Territory (Enc)'!$A$2:$A$296,INT((ROW()-2)/10)+1)</f>
        <v>Voodoo Family</v>
      </c>
      <c r="B638" s="2" t="str" cm="1">
        <f t="array" ref="B638">INDEX('Whitelist (Blackout Reverse)'!$B$1:$K$1,MOD(ROW()-2,10)+1)</f>
        <v>SUSSEX</v>
      </c>
      <c r="C638" s="2" t="str">
        <f>VLOOKUP(A638,'[1]Brand Family Territory (Enc)'!$A$2:$B$296,2,FALSE)</f>
        <v>Core Market</v>
      </c>
      <c r="D638" s="2">
        <f>IF(COUNTIFS('[1]Brand Family Territories (Enc)'!$B$2:$B$62,C638,'[1]Brand Family Territories (Enc)'!$C$2:$C$62,B638)&gt;0,1,IF(AND(LEFT(B638,6)="MORRIS",COUNTIFS('[1]Brand Family Territories (Enc)'!$B$2:$B$62,C638,'[1]Brand Family Territories (Enc)'!$C$2:$C$62,"Morri")&gt;0),"Unk",0))</f>
        <v>1</v>
      </c>
      <c r="E638" s="2" t="str">
        <f>IFERROR(INDEX('Blackout Brand Fam Areas (Enc)'!$D$6:$D$998,MATCH(UPPER(A638)&amp;"|"&amp;UPPER(B638),'Blackout Brand Fam Areas (Enc)'!$G$6:$G$998,0)),"No Match")</f>
        <v>No Match</v>
      </c>
      <c r="F638" s="2" t="str">
        <f t="shared" si="18"/>
        <v>US</v>
      </c>
      <c r="G638" s="2" t="str">
        <f t="shared" si="19"/>
        <v>Voodoo Family|SUSSEX</v>
      </c>
    </row>
    <row r="639" spans="1:7" x14ac:dyDescent="0.2">
      <c r="A639" s="2" t="str" cm="1">
        <f t="array" ref="A639">INDEX('[1]Brand Family Territory (Enc)'!$A$2:$A$296,INT((ROW()-2)/10)+1)</f>
        <v>Voodoo Family</v>
      </c>
      <c r="B639" s="2" t="str" cm="1">
        <f t="array" ref="B639">INDEX('Whitelist (Blackout Reverse)'!$B$1:$K$1,MOD(ROW()-2,10)+1)</f>
        <v>MORRIS 1</v>
      </c>
      <c r="C639" s="2" t="str">
        <f>VLOOKUP(A639,'[1]Brand Family Territory (Enc)'!$A$2:$B$296,2,FALSE)</f>
        <v>Core Market</v>
      </c>
      <c r="D639" s="2">
        <f>IF(COUNTIFS('[1]Brand Family Territories (Enc)'!$B$2:$B$62,C639,'[1]Brand Family Territories (Enc)'!$C$2:$C$62,B639)&gt;0,1,IF(AND(LEFT(B639,6)="MORRIS",COUNTIFS('[1]Brand Family Territories (Enc)'!$B$2:$B$62,C639,'[1]Brand Family Territories (Enc)'!$C$2:$C$62,"Morri")&gt;0),"Unk",0))</f>
        <v>1</v>
      </c>
      <c r="E639" s="2" t="str">
        <f>IFERROR(INDEX('Blackout Brand Fam Areas (Enc)'!$D$6:$D$998,MATCH(UPPER(A639)&amp;"|"&amp;UPPER(B639),'Blackout Brand Fam Areas (Enc)'!$G$6:$G$998,0)),"No Match")</f>
        <v>No Match</v>
      </c>
      <c r="F639" s="2" t="str">
        <f t="shared" si="18"/>
        <v>US</v>
      </c>
      <c r="G639" s="2" t="str">
        <f t="shared" si="19"/>
        <v>Voodoo Family|MORRIS 1</v>
      </c>
    </row>
    <row r="640" spans="1:7" x14ac:dyDescent="0.2">
      <c r="A640" s="2" t="str" cm="1">
        <f t="array" ref="A640">INDEX('[1]Brand Family Territory (Enc)'!$A$2:$A$296,INT((ROW()-2)/10)+1)</f>
        <v>Voodoo Family</v>
      </c>
      <c r="B640" s="2" t="str" cm="1">
        <f t="array" ref="B640">INDEX('Whitelist (Blackout Reverse)'!$B$1:$K$1,MOD(ROW()-2,10)+1)</f>
        <v>MORRIS 2</v>
      </c>
      <c r="C640" s="2" t="str">
        <f>VLOOKUP(A640,'[1]Brand Family Territory (Enc)'!$A$2:$B$296,2,FALSE)</f>
        <v>Core Market</v>
      </c>
      <c r="D640" s="2">
        <f>IF(COUNTIFS('[1]Brand Family Territories (Enc)'!$B$2:$B$62,C640,'[1]Brand Family Territories (Enc)'!$C$2:$C$62,B640)&gt;0,1,IF(AND(LEFT(B640,6)="MORRIS",COUNTIFS('[1]Brand Family Territories (Enc)'!$B$2:$B$62,C640,'[1]Brand Family Territories (Enc)'!$C$2:$C$62,"Morri")&gt;0),"Unk",0))</f>
        <v>0</v>
      </c>
      <c r="E640" s="2" t="str">
        <f>IFERROR(INDEX('Blackout Brand Fam Areas (Enc)'!$D$6:$D$998,MATCH(UPPER(A640)&amp;"|"&amp;UPPER(B640),'Blackout Brand Fam Areas (Enc)'!$G$6:$G$998,0)),"No Match")</f>
        <v>Inactive</v>
      </c>
      <c r="F640" s="2" t="str">
        <f t="shared" si="18"/>
        <v>THEM</v>
      </c>
      <c r="G640" s="2" t="str">
        <f t="shared" si="19"/>
        <v>Voodoo Family|MORRIS 2</v>
      </c>
    </row>
    <row r="641" spans="1:7" x14ac:dyDescent="0.2">
      <c r="A641" s="2" t="str" cm="1">
        <f t="array" ref="A641">INDEX('[1]Brand Family Territory (Enc)'!$A$2:$A$296,INT((ROW()-2)/10)+1)</f>
        <v>Voodoo Family</v>
      </c>
      <c r="B641" s="2" t="str" cm="1">
        <f t="array" ref="B641">INDEX('Whitelist (Blackout Reverse)'!$B$1:$K$1,MOD(ROW()-2,10)+1)</f>
        <v>MORRIS 3</v>
      </c>
      <c r="C641" s="2" t="str">
        <f>VLOOKUP(A641,'[1]Brand Family Territory (Enc)'!$A$2:$B$296,2,FALSE)</f>
        <v>Core Market</v>
      </c>
      <c r="D641" s="2">
        <f>IF(COUNTIFS('[1]Brand Family Territories (Enc)'!$B$2:$B$62,C641,'[1]Brand Family Territories (Enc)'!$C$2:$C$62,B641)&gt;0,1,IF(AND(LEFT(B641,6)="MORRIS",COUNTIFS('[1]Brand Family Territories (Enc)'!$B$2:$B$62,C641,'[1]Brand Family Territories (Enc)'!$C$2:$C$62,"Morri")&gt;0),"Unk",0))</f>
        <v>1</v>
      </c>
      <c r="E641" s="2" t="str">
        <f>IFERROR(INDEX('Blackout Brand Fam Areas (Enc)'!$D$6:$D$998,MATCH(UPPER(A641)&amp;"|"&amp;UPPER(B641),'Blackout Brand Fam Areas (Enc)'!$G$6:$G$998,0)),"No Match")</f>
        <v>No Match</v>
      </c>
      <c r="F641" s="2" t="str">
        <f t="shared" si="18"/>
        <v>US</v>
      </c>
      <c r="G641" s="2" t="str">
        <f t="shared" si="19"/>
        <v>Voodoo Family|MORRIS 3</v>
      </c>
    </row>
    <row r="642" spans="1:7" x14ac:dyDescent="0.2">
      <c r="A642" s="2" t="str" cm="1">
        <f t="array" ref="A642">INDEX('[1]Brand Family Territory (Enc)'!$A$2:$A$296,INT((ROW()-2)/10)+1)</f>
        <v>Fat Tire Family</v>
      </c>
      <c r="B642" s="2" t="str" cm="1">
        <f t="array" ref="B642">INDEX('Whitelist (Blackout Reverse)'!$B$1:$K$1,MOD(ROW()-2,10)+1)</f>
        <v>BERGEN</v>
      </c>
      <c r="C642" s="2" t="str">
        <f>VLOOKUP(A642,'[1]Brand Family Territory (Enc)'!$A$2:$B$296,2,FALSE)</f>
        <v>Core Market</v>
      </c>
      <c r="D642" s="2">
        <f>IF(COUNTIFS('[1]Brand Family Territories (Enc)'!$B$2:$B$62,C642,'[1]Brand Family Territories (Enc)'!$C$2:$C$62,B642)&gt;0,1,IF(AND(LEFT(B642,6)="MORRIS",COUNTIFS('[1]Brand Family Territories (Enc)'!$B$2:$B$62,C642,'[1]Brand Family Territories (Enc)'!$C$2:$C$62,"Morri")&gt;0),"Unk",0))</f>
        <v>1</v>
      </c>
      <c r="E642" s="2" t="str">
        <f>IFERROR(INDEX('Blackout Brand Fam Areas (Enc)'!$D$6:$D$998,MATCH(UPPER(A642)&amp;"|"&amp;UPPER(B642),'Blackout Brand Fam Areas (Enc)'!$G$6:$G$998,0)),"No Match")</f>
        <v>No Match</v>
      </c>
      <c r="F642" s="2" t="str">
        <f t="shared" si="18"/>
        <v>US</v>
      </c>
      <c r="G642" s="2" t="str">
        <f t="shared" si="19"/>
        <v>Fat Tire Family|BERGEN</v>
      </c>
    </row>
    <row r="643" spans="1:7" x14ac:dyDescent="0.2">
      <c r="A643" s="2" t="str" cm="1">
        <f t="array" ref="A643">INDEX('[1]Brand Family Territory (Enc)'!$A$2:$A$296,INT((ROW()-2)/10)+1)</f>
        <v>Fat Tire Family</v>
      </c>
      <c r="B643" s="2" t="str" cm="1">
        <f t="array" ref="B643">INDEX('Whitelist (Blackout Reverse)'!$B$1:$K$1,MOD(ROW()-2,10)+1)</f>
        <v>PASSAIC</v>
      </c>
      <c r="C643" s="2" t="str">
        <f>VLOOKUP(A643,'[1]Brand Family Territory (Enc)'!$A$2:$B$296,2,FALSE)</f>
        <v>Core Market</v>
      </c>
      <c r="D643" s="2">
        <f>IF(COUNTIFS('[1]Brand Family Territories (Enc)'!$B$2:$B$62,C643,'[1]Brand Family Territories (Enc)'!$C$2:$C$62,B643)&gt;0,1,IF(AND(LEFT(B643,6)="MORRIS",COUNTIFS('[1]Brand Family Territories (Enc)'!$B$2:$B$62,C643,'[1]Brand Family Territories (Enc)'!$C$2:$C$62,"Morri")&gt;0),"Unk",0))</f>
        <v>1</v>
      </c>
      <c r="E643" s="2" t="str">
        <f>IFERROR(INDEX('Blackout Brand Fam Areas (Enc)'!$D$6:$D$998,MATCH(UPPER(A643)&amp;"|"&amp;UPPER(B643),'Blackout Brand Fam Areas (Enc)'!$G$6:$G$998,0)),"No Match")</f>
        <v>No Match</v>
      </c>
      <c r="F643" s="2" t="str">
        <f t="shared" ref="F643:F706" si="20">IF(D643="Unk","Ambiguous (Source Truncated)",IF(E643="Inactive","THEM",IF(D643=1,"US",IF(D643="N/A","No Territory Data","THEM"))))</f>
        <v>US</v>
      </c>
      <c r="G643" s="2" t="str">
        <f t="shared" ref="G643:G706" si="21">A643&amp;"|"&amp;B643</f>
        <v>Fat Tire Family|PASSAIC</v>
      </c>
    </row>
    <row r="644" spans="1:7" x14ac:dyDescent="0.2">
      <c r="A644" s="2" t="str" cm="1">
        <f t="array" ref="A644">INDEX('[1]Brand Family Territory (Enc)'!$A$2:$A$296,INT((ROW()-2)/10)+1)</f>
        <v>Fat Tire Family</v>
      </c>
      <c r="B644" s="2" t="str" cm="1">
        <f t="array" ref="B644">INDEX('Whitelist (Blackout Reverse)'!$B$1:$K$1,MOD(ROW()-2,10)+1)</f>
        <v>PASSAIC-FF</v>
      </c>
      <c r="C644" s="2" t="str">
        <f>VLOOKUP(A644,'[1]Brand Family Territory (Enc)'!$A$2:$B$296,2,FALSE)</f>
        <v>Core Market</v>
      </c>
      <c r="D644" s="2">
        <f>IF(COUNTIFS('[1]Brand Family Territories (Enc)'!$B$2:$B$62,C644,'[1]Brand Family Territories (Enc)'!$C$2:$C$62,B644)&gt;0,1,IF(AND(LEFT(B644,6)="MORRIS",COUNTIFS('[1]Brand Family Territories (Enc)'!$B$2:$B$62,C644,'[1]Brand Family Territories (Enc)'!$C$2:$C$62,"Morri")&gt;0),"Unk",0))</f>
        <v>1</v>
      </c>
      <c r="E644" s="2" t="str">
        <f>IFERROR(INDEX('Blackout Brand Fam Areas (Enc)'!$D$6:$D$998,MATCH(UPPER(A644)&amp;"|"&amp;UPPER(B644),'Blackout Brand Fam Areas (Enc)'!$G$6:$G$998,0)),"No Match")</f>
        <v>No Match</v>
      </c>
      <c r="F644" s="2" t="str">
        <f t="shared" si="20"/>
        <v>US</v>
      </c>
      <c r="G644" s="2" t="str">
        <f t="shared" si="21"/>
        <v>Fat Tire Family|PASSAIC-FF</v>
      </c>
    </row>
    <row r="645" spans="1:7" x14ac:dyDescent="0.2">
      <c r="A645" s="2" t="str" cm="1">
        <f t="array" ref="A645">INDEX('[1]Brand Family Territory (Enc)'!$A$2:$A$296,INT((ROW()-2)/10)+1)</f>
        <v>Fat Tire Family</v>
      </c>
      <c r="B645" s="2" t="str" cm="1">
        <f t="array" ref="B645">INDEX('Whitelist (Blackout Reverse)'!$B$1:$K$1,MOD(ROW()-2,10)+1)</f>
        <v>ESSEX</v>
      </c>
      <c r="C645" s="2" t="str">
        <f>VLOOKUP(A645,'[1]Brand Family Territory (Enc)'!$A$2:$B$296,2,FALSE)</f>
        <v>Core Market</v>
      </c>
      <c r="D645" s="2">
        <f>IF(COUNTIFS('[1]Brand Family Territories (Enc)'!$B$2:$B$62,C645,'[1]Brand Family Territories (Enc)'!$C$2:$C$62,B645)&gt;0,1,IF(AND(LEFT(B645,6)="MORRIS",COUNTIFS('[1]Brand Family Territories (Enc)'!$B$2:$B$62,C645,'[1]Brand Family Territories (Enc)'!$C$2:$C$62,"Morri")&gt;0),"Unk",0))</f>
        <v>0</v>
      </c>
      <c r="E645" s="2" t="str">
        <f>IFERROR(INDEX('Blackout Brand Fam Areas (Enc)'!$D$6:$D$998,MATCH(UPPER(A645)&amp;"|"&amp;UPPER(B645),'Blackout Brand Fam Areas (Enc)'!$G$6:$G$998,0)),"No Match")</f>
        <v>Inactive</v>
      </c>
      <c r="F645" s="2" t="str">
        <f t="shared" si="20"/>
        <v>THEM</v>
      </c>
      <c r="G645" s="2" t="str">
        <f t="shared" si="21"/>
        <v>Fat Tire Family|ESSEX</v>
      </c>
    </row>
    <row r="646" spans="1:7" x14ac:dyDescent="0.2">
      <c r="A646" s="2" t="str" cm="1">
        <f t="array" ref="A646">INDEX('[1]Brand Family Territory (Enc)'!$A$2:$A$296,INT((ROW()-2)/10)+1)</f>
        <v>Fat Tire Family</v>
      </c>
      <c r="B646" s="2" t="str" cm="1">
        <f t="array" ref="B646">INDEX('Whitelist (Blackout Reverse)'!$B$1:$K$1,MOD(ROW()-2,10)+1)</f>
        <v>HUDSON</v>
      </c>
      <c r="C646" s="2" t="str">
        <f>VLOOKUP(A646,'[1]Brand Family Territory (Enc)'!$A$2:$B$296,2,FALSE)</f>
        <v>Core Market</v>
      </c>
      <c r="D646" s="2">
        <f>IF(COUNTIFS('[1]Brand Family Territories (Enc)'!$B$2:$B$62,C646,'[1]Brand Family Territories (Enc)'!$C$2:$C$62,B646)&gt;0,1,IF(AND(LEFT(B646,6)="MORRIS",COUNTIFS('[1]Brand Family Territories (Enc)'!$B$2:$B$62,C646,'[1]Brand Family Territories (Enc)'!$C$2:$C$62,"Morri")&gt;0),"Unk",0))</f>
        <v>0</v>
      </c>
      <c r="E646" s="2" t="str">
        <f>IFERROR(INDEX('Blackout Brand Fam Areas (Enc)'!$D$6:$D$998,MATCH(UPPER(A646)&amp;"|"&amp;UPPER(B646),'Blackout Brand Fam Areas (Enc)'!$G$6:$G$998,0)),"No Match")</f>
        <v>Inactive</v>
      </c>
      <c r="F646" s="2" t="str">
        <f t="shared" si="20"/>
        <v>THEM</v>
      </c>
      <c r="G646" s="2" t="str">
        <f t="shared" si="21"/>
        <v>Fat Tire Family|HUDSON</v>
      </c>
    </row>
    <row r="647" spans="1:7" x14ac:dyDescent="0.2">
      <c r="A647" s="2" t="str" cm="1">
        <f t="array" ref="A647">INDEX('[1]Brand Family Territory (Enc)'!$A$2:$A$296,INT((ROW()-2)/10)+1)</f>
        <v>Fat Tire Family</v>
      </c>
      <c r="B647" s="2" t="str" cm="1">
        <f t="array" ref="B647">INDEX('Whitelist (Blackout Reverse)'!$B$1:$K$1,MOD(ROW()-2,10)+1)</f>
        <v>UNION</v>
      </c>
      <c r="C647" s="2" t="str">
        <f>VLOOKUP(A647,'[1]Brand Family Territory (Enc)'!$A$2:$B$296,2,FALSE)</f>
        <v>Core Market</v>
      </c>
      <c r="D647" s="2">
        <f>IF(COUNTIFS('[1]Brand Family Territories (Enc)'!$B$2:$B$62,C647,'[1]Brand Family Territories (Enc)'!$C$2:$C$62,B647)&gt;0,1,IF(AND(LEFT(B647,6)="MORRIS",COUNTIFS('[1]Brand Family Territories (Enc)'!$B$2:$B$62,C647,'[1]Brand Family Territories (Enc)'!$C$2:$C$62,"Morri")&gt;0),"Unk",0))</f>
        <v>0</v>
      </c>
      <c r="E647" s="2" t="str">
        <f>IFERROR(INDEX('Blackout Brand Fam Areas (Enc)'!$D$6:$D$998,MATCH(UPPER(A647)&amp;"|"&amp;UPPER(B647),'Blackout Brand Fam Areas (Enc)'!$G$6:$G$998,0)),"No Match")</f>
        <v>Inactive</v>
      </c>
      <c r="F647" s="2" t="str">
        <f t="shared" si="20"/>
        <v>THEM</v>
      </c>
      <c r="G647" s="2" t="str">
        <f t="shared" si="21"/>
        <v>Fat Tire Family|UNION</v>
      </c>
    </row>
    <row r="648" spans="1:7" x14ac:dyDescent="0.2">
      <c r="A648" s="2" t="str" cm="1">
        <f t="array" ref="A648">INDEX('[1]Brand Family Territory (Enc)'!$A$2:$A$296,INT((ROW()-2)/10)+1)</f>
        <v>Fat Tire Family</v>
      </c>
      <c r="B648" s="2" t="str" cm="1">
        <f t="array" ref="B648">INDEX('Whitelist (Blackout Reverse)'!$B$1:$K$1,MOD(ROW()-2,10)+1)</f>
        <v>SUSSEX</v>
      </c>
      <c r="C648" s="2" t="str">
        <f>VLOOKUP(A648,'[1]Brand Family Territory (Enc)'!$A$2:$B$296,2,FALSE)</f>
        <v>Core Market</v>
      </c>
      <c r="D648" s="2">
        <f>IF(COUNTIFS('[1]Brand Family Territories (Enc)'!$B$2:$B$62,C648,'[1]Brand Family Territories (Enc)'!$C$2:$C$62,B648)&gt;0,1,IF(AND(LEFT(B648,6)="MORRIS",COUNTIFS('[1]Brand Family Territories (Enc)'!$B$2:$B$62,C648,'[1]Brand Family Territories (Enc)'!$C$2:$C$62,"Morri")&gt;0),"Unk",0))</f>
        <v>1</v>
      </c>
      <c r="E648" s="2" t="str">
        <f>IFERROR(INDEX('Blackout Brand Fam Areas (Enc)'!$D$6:$D$998,MATCH(UPPER(A648)&amp;"|"&amp;UPPER(B648),'Blackout Brand Fam Areas (Enc)'!$G$6:$G$998,0)),"No Match")</f>
        <v>No Match</v>
      </c>
      <c r="F648" s="2" t="str">
        <f t="shared" si="20"/>
        <v>US</v>
      </c>
      <c r="G648" s="2" t="str">
        <f t="shared" si="21"/>
        <v>Fat Tire Family|SUSSEX</v>
      </c>
    </row>
    <row r="649" spans="1:7" x14ac:dyDescent="0.2">
      <c r="A649" s="2" t="str" cm="1">
        <f t="array" ref="A649">INDEX('[1]Brand Family Territory (Enc)'!$A$2:$A$296,INT((ROW()-2)/10)+1)</f>
        <v>Fat Tire Family</v>
      </c>
      <c r="B649" s="2" t="str" cm="1">
        <f t="array" ref="B649">INDEX('Whitelist (Blackout Reverse)'!$B$1:$K$1,MOD(ROW()-2,10)+1)</f>
        <v>MORRIS 1</v>
      </c>
      <c r="C649" s="2" t="str">
        <f>VLOOKUP(A649,'[1]Brand Family Territory (Enc)'!$A$2:$B$296,2,FALSE)</f>
        <v>Core Market</v>
      </c>
      <c r="D649" s="2">
        <f>IF(COUNTIFS('[1]Brand Family Territories (Enc)'!$B$2:$B$62,C649,'[1]Brand Family Territories (Enc)'!$C$2:$C$62,B649)&gt;0,1,IF(AND(LEFT(B649,6)="MORRIS",COUNTIFS('[1]Brand Family Territories (Enc)'!$B$2:$B$62,C649,'[1]Brand Family Territories (Enc)'!$C$2:$C$62,"Morri")&gt;0),"Unk",0))</f>
        <v>1</v>
      </c>
      <c r="E649" s="2" t="str">
        <f>IFERROR(INDEX('Blackout Brand Fam Areas (Enc)'!$D$6:$D$998,MATCH(UPPER(A649)&amp;"|"&amp;UPPER(B649),'Blackout Brand Fam Areas (Enc)'!$G$6:$G$998,0)),"No Match")</f>
        <v>No Match</v>
      </c>
      <c r="F649" s="2" t="str">
        <f t="shared" si="20"/>
        <v>US</v>
      </c>
      <c r="G649" s="2" t="str">
        <f t="shared" si="21"/>
        <v>Fat Tire Family|MORRIS 1</v>
      </c>
    </row>
    <row r="650" spans="1:7" x14ac:dyDescent="0.2">
      <c r="A650" s="2" t="str" cm="1">
        <f t="array" ref="A650">INDEX('[1]Brand Family Territory (Enc)'!$A$2:$A$296,INT((ROW()-2)/10)+1)</f>
        <v>Fat Tire Family</v>
      </c>
      <c r="B650" s="2" t="str" cm="1">
        <f t="array" ref="B650">INDEX('Whitelist (Blackout Reverse)'!$B$1:$K$1,MOD(ROW()-2,10)+1)</f>
        <v>MORRIS 2</v>
      </c>
      <c r="C650" s="2" t="str">
        <f>VLOOKUP(A650,'[1]Brand Family Territory (Enc)'!$A$2:$B$296,2,FALSE)</f>
        <v>Core Market</v>
      </c>
      <c r="D650" s="2">
        <f>IF(COUNTIFS('[1]Brand Family Territories (Enc)'!$B$2:$B$62,C650,'[1]Brand Family Territories (Enc)'!$C$2:$C$62,B650)&gt;0,1,IF(AND(LEFT(B650,6)="MORRIS",COUNTIFS('[1]Brand Family Territories (Enc)'!$B$2:$B$62,C650,'[1]Brand Family Territories (Enc)'!$C$2:$C$62,"Morri")&gt;0),"Unk",0))</f>
        <v>0</v>
      </c>
      <c r="E650" s="2" t="str">
        <f>IFERROR(INDEX('Blackout Brand Fam Areas (Enc)'!$D$6:$D$998,MATCH(UPPER(A650)&amp;"|"&amp;UPPER(B650),'Blackout Brand Fam Areas (Enc)'!$G$6:$G$998,0)),"No Match")</f>
        <v>Inactive</v>
      </c>
      <c r="F650" s="2" t="str">
        <f t="shared" si="20"/>
        <v>THEM</v>
      </c>
      <c r="G650" s="2" t="str">
        <f t="shared" si="21"/>
        <v>Fat Tire Family|MORRIS 2</v>
      </c>
    </row>
    <row r="651" spans="1:7" x14ac:dyDescent="0.2">
      <c r="A651" s="2" t="str" cm="1">
        <f t="array" ref="A651">INDEX('[1]Brand Family Territory (Enc)'!$A$2:$A$296,INT((ROW()-2)/10)+1)</f>
        <v>Fat Tire Family</v>
      </c>
      <c r="B651" s="2" t="str" cm="1">
        <f t="array" ref="B651">INDEX('Whitelist (Blackout Reverse)'!$B$1:$K$1,MOD(ROW()-2,10)+1)</f>
        <v>MORRIS 3</v>
      </c>
      <c r="C651" s="2" t="str">
        <f>VLOOKUP(A651,'[1]Brand Family Territory (Enc)'!$A$2:$B$296,2,FALSE)</f>
        <v>Core Market</v>
      </c>
      <c r="D651" s="2">
        <f>IF(COUNTIFS('[1]Brand Family Territories (Enc)'!$B$2:$B$62,C651,'[1]Brand Family Territories (Enc)'!$C$2:$C$62,B651)&gt;0,1,IF(AND(LEFT(B651,6)="MORRIS",COUNTIFS('[1]Brand Family Territories (Enc)'!$B$2:$B$62,C651,'[1]Brand Family Territories (Enc)'!$C$2:$C$62,"Morri")&gt;0),"Unk",0))</f>
        <v>1</v>
      </c>
      <c r="E651" s="2" t="str">
        <f>IFERROR(INDEX('Blackout Brand Fam Areas (Enc)'!$D$6:$D$998,MATCH(UPPER(A651)&amp;"|"&amp;UPPER(B651),'Blackout Brand Fam Areas (Enc)'!$G$6:$G$998,0)),"No Match")</f>
        <v>No Match</v>
      </c>
      <c r="F651" s="2" t="str">
        <f t="shared" si="20"/>
        <v>US</v>
      </c>
      <c r="G651" s="2" t="str">
        <f t="shared" si="21"/>
        <v>Fat Tire Family|MORRIS 3</v>
      </c>
    </row>
    <row r="652" spans="1:7" x14ac:dyDescent="0.2">
      <c r="A652" s="2" t="str" cm="1">
        <f t="array" ref="A652">INDEX('[1]Brand Family Territory (Enc)'!$A$2:$A$296,INT((ROW()-2)/10)+1)</f>
        <v>Voodoo Hardcharged</v>
      </c>
      <c r="B652" s="2" t="str" cm="1">
        <f t="array" ref="B652">INDEX('Whitelist (Blackout Reverse)'!$B$1:$K$1,MOD(ROW()-2,10)+1)</f>
        <v>BERGEN</v>
      </c>
      <c r="C652" s="2" t="str">
        <f>VLOOKUP(A652,'[1]Brand Family Territory (Enc)'!$A$2:$B$296,2,FALSE)</f>
        <v>Core Market</v>
      </c>
      <c r="D652" s="2">
        <f>IF(COUNTIFS('[1]Brand Family Territories (Enc)'!$B$2:$B$62,C652,'[1]Brand Family Territories (Enc)'!$C$2:$C$62,B652)&gt;0,1,IF(AND(LEFT(B652,6)="MORRIS",COUNTIFS('[1]Brand Family Territories (Enc)'!$B$2:$B$62,C652,'[1]Brand Family Territories (Enc)'!$C$2:$C$62,"Morri")&gt;0),"Unk",0))</f>
        <v>1</v>
      </c>
      <c r="E652" s="2" t="str">
        <f>IFERROR(INDEX('Blackout Brand Fam Areas (Enc)'!$D$6:$D$998,MATCH(UPPER(A652)&amp;"|"&amp;UPPER(B652),'Blackout Brand Fam Areas (Enc)'!$G$6:$G$998,0)),"No Match")</f>
        <v>No Match</v>
      </c>
      <c r="F652" s="2" t="str">
        <f t="shared" si="20"/>
        <v>US</v>
      </c>
      <c r="G652" s="2" t="str">
        <f t="shared" si="21"/>
        <v>Voodoo Hardcharged|BERGEN</v>
      </c>
    </row>
    <row r="653" spans="1:7" x14ac:dyDescent="0.2">
      <c r="A653" s="2" t="str" cm="1">
        <f t="array" ref="A653">INDEX('[1]Brand Family Territory (Enc)'!$A$2:$A$296,INT((ROW()-2)/10)+1)</f>
        <v>Voodoo Hardcharged</v>
      </c>
      <c r="B653" s="2" t="str" cm="1">
        <f t="array" ref="B653">INDEX('Whitelist (Blackout Reverse)'!$B$1:$K$1,MOD(ROW()-2,10)+1)</f>
        <v>PASSAIC</v>
      </c>
      <c r="C653" s="2" t="str">
        <f>VLOOKUP(A653,'[1]Brand Family Territory (Enc)'!$A$2:$B$296,2,FALSE)</f>
        <v>Core Market</v>
      </c>
      <c r="D653" s="2">
        <f>IF(COUNTIFS('[1]Brand Family Territories (Enc)'!$B$2:$B$62,C653,'[1]Brand Family Territories (Enc)'!$C$2:$C$62,B653)&gt;0,1,IF(AND(LEFT(B653,6)="MORRIS",COUNTIFS('[1]Brand Family Territories (Enc)'!$B$2:$B$62,C653,'[1]Brand Family Territories (Enc)'!$C$2:$C$62,"Morri")&gt;0),"Unk",0))</f>
        <v>1</v>
      </c>
      <c r="E653" s="2" t="str">
        <f>IFERROR(INDEX('Blackout Brand Fam Areas (Enc)'!$D$6:$D$998,MATCH(UPPER(A653)&amp;"|"&amp;UPPER(B653),'Blackout Brand Fam Areas (Enc)'!$G$6:$G$998,0)),"No Match")</f>
        <v>No Match</v>
      </c>
      <c r="F653" s="2" t="str">
        <f t="shared" si="20"/>
        <v>US</v>
      </c>
      <c r="G653" s="2" t="str">
        <f t="shared" si="21"/>
        <v>Voodoo Hardcharged|PASSAIC</v>
      </c>
    </row>
    <row r="654" spans="1:7" x14ac:dyDescent="0.2">
      <c r="A654" s="2" t="str" cm="1">
        <f t="array" ref="A654">INDEX('[1]Brand Family Territory (Enc)'!$A$2:$A$296,INT((ROW()-2)/10)+1)</f>
        <v>Voodoo Hardcharged</v>
      </c>
      <c r="B654" s="2" t="str" cm="1">
        <f t="array" ref="B654">INDEX('Whitelist (Blackout Reverse)'!$B$1:$K$1,MOD(ROW()-2,10)+1)</f>
        <v>PASSAIC-FF</v>
      </c>
      <c r="C654" s="2" t="str">
        <f>VLOOKUP(A654,'[1]Brand Family Territory (Enc)'!$A$2:$B$296,2,FALSE)</f>
        <v>Core Market</v>
      </c>
      <c r="D654" s="2">
        <f>IF(COUNTIFS('[1]Brand Family Territories (Enc)'!$B$2:$B$62,C654,'[1]Brand Family Territories (Enc)'!$C$2:$C$62,B654)&gt;0,1,IF(AND(LEFT(B654,6)="MORRIS",COUNTIFS('[1]Brand Family Territories (Enc)'!$B$2:$B$62,C654,'[1]Brand Family Territories (Enc)'!$C$2:$C$62,"Morri")&gt;0),"Unk",0))</f>
        <v>1</v>
      </c>
      <c r="E654" s="2" t="str">
        <f>IFERROR(INDEX('Blackout Brand Fam Areas (Enc)'!$D$6:$D$998,MATCH(UPPER(A654)&amp;"|"&amp;UPPER(B654),'Blackout Brand Fam Areas (Enc)'!$G$6:$G$998,0)),"No Match")</f>
        <v>No Match</v>
      </c>
      <c r="F654" s="2" t="str">
        <f t="shared" si="20"/>
        <v>US</v>
      </c>
      <c r="G654" s="2" t="str">
        <f t="shared" si="21"/>
        <v>Voodoo Hardcharged|PASSAIC-FF</v>
      </c>
    </row>
    <row r="655" spans="1:7" x14ac:dyDescent="0.2">
      <c r="A655" s="2" t="str" cm="1">
        <f t="array" ref="A655">INDEX('[1]Brand Family Territory (Enc)'!$A$2:$A$296,INT((ROW()-2)/10)+1)</f>
        <v>Voodoo Hardcharged</v>
      </c>
      <c r="B655" s="2" t="str" cm="1">
        <f t="array" ref="B655">INDEX('Whitelist (Blackout Reverse)'!$B$1:$K$1,MOD(ROW()-2,10)+1)</f>
        <v>ESSEX</v>
      </c>
      <c r="C655" s="2" t="str">
        <f>VLOOKUP(A655,'[1]Brand Family Territory (Enc)'!$A$2:$B$296,2,FALSE)</f>
        <v>Core Market</v>
      </c>
      <c r="D655" s="2">
        <f>IF(COUNTIFS('[1]Brand Family Territories (Enc)'!$B$2:$B$62,C655,'[1]Brand Family Territories (Enc)'!$C$2:$C$62,B655)&gt;0,1,IF(AND(LEFT(B655,6)="MORRIS",COUNTIFS('[1]Brand Family Territories (Enc)'!$B$2:$B$62,C655,'[1]Brand Family Territories (Enc)'!$C$2:$C$62,"Morri")&gt;0),"Unk",0))</f>
        <v>0</v>
      </c>
      <c r="E655" s="2" t="str">
        <f>IFERROR(INDEX('Blackout Brand Fam Areas (Enc)'!$D$6:$D$998,MATCH(UPPER(A655)&amp;"|"&amp;UPPER(B655),'Blackout Brand Fam Areas (Enc)'!$G$6:$G$998,0)),"No Match")</f>
        <v>Inactive</v>
      </c>
      <c r="F655" s="2" t="str">
        <f t="shared" si="20"/>
        <v>THEM</v>
      </c>
      <c r="G655" s="2" t="str">
        <f t="shared" si="21"/>
        <v>Voodoo Hardcharged|ESSEX</v>
      </c>
    </row>
    <row r="656" spans="1:7" x14ac:dyDescent="0.2">
      <c r="A656" s="2" t="str" cm="1">
        <f t="array" ref="A656">INDEX('[1]Brand Family Territory (Enc)'!$A$2:$A$296,INT((ROW()-2)/10)+1)</f>
        <v>Voodoo Hardcharged</v>
      </c>
      <c r="B656" s="2" t="str" cm="1">
        <f t="array" ref="B656">INDEX('Whitelist (Blackout Reverse)'!$B$1:$K$1,MOD(ROW()-2,10)+1)</f>
        <v>HUDSON</v>
      </c>
      <c r="C656" s="2" t="str">
        <f>VLOOKUP(A656,'[1]Brand Family Territory (Enc)'!$A$2:$B$296,2,FALSE)</f>
        <v>Core Market</v>
      </c>
      <c r="D656" s="2">
        <f>IF(COUNTIFS('[1]Brand Family Territories (Enc)'!$B$2:$B$62,C656,'[1]Brand Family Territories (Enc)'!$C$2:$C$62,B656)&gt;0,1,IF(AND(LEFT(B656,6)="MORRIS",COUNTIFS('[1]Brand Family Territories (Enc)'!$B$2:$B$62,C656,'[1]Brand Family Territories (Enc)'!$C$2:$C$62,"Morri")&gt;0),"Unk",0))</f>
        <v>0</v>
      </c>
      <c r="E656" s="2" t="str">
        <f>IFERROR(INDEX('Blackout Brand Fam Areas (Enc)'!$D$6:$D$998,MATCH(UPPER(A656)&amp;"|"&amp;UPPER(B656),'Blackout Brand Fam Areas (Enc)'!$G$6:$G$998,0)),"No Match")</f>
        <v>Inactive</v>
      </c>
      <c r="F656" s="2" t="str">
        <f t="shared" si="20"/>
        <v>THEM</v>
      </c>
      <c r="G656" s="2" t="str">
        <f t="shared" si="21"/>
        <v>Voodoo Hardcharged|HUDSON</v>
      </c>
    </row>
    <row r="657" spans="1:7" x14ac:dyDescent="0.2">
      <c r="A657" s="2" t="str" cm="1">
        <f t="array" ref="A657">INDEX('[1]Brand Family Territory (Enc)'!$A$2:$A$296,INT((ROW()-2)/10)+1)</f>
        <v>Voodoo Hardcharged</v>
      </c>
      <c r="B657" s="2" t="str" cm="1">
        <f t="array" ref="B657">INDEX('Whitelist (Blackout Reverse)'!$B$1:$K$1,MOD(ROW()-2,10)+1)</f>
        <v>UNION</v>
      </c>
      <c r="C657" s="2" t="str">
        <f>VLOOKUP(A657,'[1]Brand Family Territory (Enc)'!$A$2:$B$296,2,FALSE)</f>
        <v>Core Market</v>
      </c>
      <c r="D657" s="2">
        <f>IF(COUNTIFS('[1]Brand Family Territories (Enc)'!$B$2:$B$62,C657,'[1]Brand Family Territories (Enc)'!$C$2:$C$62,B657)&gt;0,1,IF(AND(LEFT(B657,6)="MORRIS",COUNTIFS('[1]Brand Family Territories (Enc)'!$B$2:$B$62,C657,'[1]Brand Family Territories (Enc)'!$C$2:$C$62,"Morri")&gt;0),"Unk",0))</f>
        <v>0</v>
      </c>
      <c r="E657" s="2" t="str">
        <f>IFERROR(INDEX('Blackout Brand Fam Areas (Enc)'!$D$6:$D$998,MATCH(UPPER(A657)&amp;"|"&amp;UPPER(B657),'Blackout Brand Fam Areas (Enc)'!$G$6:$G$998,0)),"No Match")</f>
        <v>Inactive</v>
      </c>
      <c r="F657" s="2" t="str">
        <f t="shared" si="20"/>
        <v>THEM</v>
      </c>
      <c r="G657" s="2" t="str">
        <f t="shared" si="21"/>
        <v>Voodoo Hardcharged|UNION</v>
      </c>
    </row>
    <row r="658" spans="1:7" x14ac:dyDescent="0.2">
      <c r="A658" s="2" t="str" cm="1">
        <f t="array" ref="A658">INDEX('[1]Brand Family Territory (Enc)'!$A$2:$A$296,INT((ROW()-2)/10)+1)</f>
        <v>Voodoo Hardcharged</v>
      </c>
      <c r="B658" s="2" t="str" cm="1">
        <f t="array" ref="B658">INDEX('Whitelist (Blackout Reverse)'!$B$1:$K$1,MOD(ROW()-2,10)+1)</f>
        <v>SUSSEX</v>
      </c>
      <c r="C658" s="2" t="str">
        <f>VLOOKUP(A658,'[1]Brand Family Territory (Enc)'!$A$2:$B$296,2,FALSE)</f>
        <v>Core Market</v>
      </c>
      <c r="D658" s="2">
        <f>IF(COUNTIFS('[1]Brand Family Territories (Enc)'!$B$2:$B$62,C658,'[1]Brand Family Territories (Enc)'!$C$2:$C$62,B658)&gt;0,1,IF(AND(LEFT(B658,6)="MORRIS",COUNTIFS('[1]Brand Family Territories (Enc)'!$B$2:$B$62,C658,'[1]Brand Family Territories (Enc)'!$C$2:$C$62,"Morri")&gt;0),"Unk",0))</f>
        <v>1</v>
      </c>
      <c r="E658" s="2" t="str">
        <f>IFERROR(INDEX('Blackout Brand Fam Areas (Enc)'!$D$6:$D$998,MATCH(UPPER(A658)&amp;"|"&amp;UPPER(B658),'Blackout Brand Fam Areas (Enc)'!$G$6:$G$998,0)),"No Match")</f>
        <v>No Match</v>
      </c>
      <c r="F658" s="2" t="str">
        <f t="shared" si="20"/>
        <v>US</v>
      </c>
      <c r="G658" s="2" t="str">
        <f t="shared" si="21"/>
        <v>Voodoo Hardcharged|SUSSEX</v>
      </c>
    </row>
    <row r="659" spans="1:7" x14ac:dyDescent="0.2">
      <c r="A659" s="2" t="str" cm="1">
        <f t="array" ref="A659">INDEX('[1]Brand Family Territory (Enc)'!$A$2:$A$296,INT((ROW()-2)/10)+1)</f>
        <v>Voodoo Hardcharged</v>
      </c>
      <c r="B659" s="2" t="str" cm="1">
        <f t="array" ref="B659">INDEX('Whitelist (Blackout Reverse)'!$B$1:$K$1,MOD(ROW()-2,10)+1)</f>
        <v>MORRIS 1</v>
      </c>
      <c r="C659" s="2" t="str">
        <f>VLOOKUP(A659,'[1]Brand Family Territory (Enc)'!$A$2:$B$296,2,FALSE)</f>
        <v>Core Market</v>
      </c>
      <c r="D659" s="2">
        <f>IF(COUNTIFS('[1]Brand Family Territories (Enc)'!$B$2:$B$62,C659,'[1]Brand Family Territories (Enc)'!$C$2:$C$62,B659)&gt;0,1,IF(AND(LEFT(B659,6)="MORRIS",COUNTIFS('[1]Brand Family Territories (Enc)'!$B$2:$B$62,C659,'[1]Brand Family Territories (Enc)'!$C$2:$C$62,"Morri")&gt;0),"Unk",0))</f>
        <v>1</v>
      </c>
      <c r="E659" s="2" t="str">
        <f>IFERROR(INDEX('Blackout Brand Fam Areas (Enc)'!$D$6:$D$998,MATCH(UPPER(A659)&amp;"|"&amp;UPPER(B659),'Blackout Brand Fam Areas (Enc)'!$G$6:$G$998,0)),"No Match")</f>
        <v>No Match</v>
      </c>
      <c r="F659" s="2" t="str">
        <f t="shared" si="20"/>
        <v>US</v>
      </c>
      <c r="G659" s="2" t="str">
        <f t="shared" si="21"/>
        <v>Voodoo Hardcharged|MORRIS 1</v>
      </c>
    </row>
    <row r="660" spans="1:7" x14ac:dyDescent="0.2">
      <c r="A660" s="2" t="str" cm="1">
        <f t="array" ref="A660">INDEX('[1]Brand Family Territory (Enc)'!$A$2:$A$296,INT((ROW()-2)/10)+1)</f>
        <v>Voodoo Hardcharged</v>
      </c>
      <c r="B660" s="2" t="str" cm="1">
        <f t="array" ref="B660">INDEX('Whitelist (Blackout Reverse)'!$B$1:$K$1,MOD(ROW()-2,10)+1)</f>
        <v>MORRIS 2</v>
      </c>
      <c r="C660" s="2" t="str">
        <f>VLOOKUP(A660,'[1]Brand Family Territory (Enc)'!$A$2:$B$296,2,FALSE)</f>
        <v>Core Market</v>
      </c>
      <c r="D660" s="2">
        <f>IF(COUNTIFS('[1]Brand Family Territories (Enc)'!$B$2:$B$62,C660,'[1]Brand Family Territories (Enc)'!$C$2:$C$62,B660)&gt;0,1,IF(AND(LEFT(B660,6)="MORRIS",COUNTIFS('[1]Brand Family Territories (Enc)'!$B$2:$B$62,C660,'[1]Brand Family Territories (Enc)'!$C$2:$C$62,"Morri")&gt;0),"Unk",0))</f>
        <v>0</v>
      </c>
      <c r="E660" s="2" t="str">
        <f>IFERROR(INDEX('Blackout Brand Fam Areas (Enc)'!$D$6:$D$998,MATCH(UPPER(A660)&amp;"|"&amp;UPPER(B660),'Blackout Brand Fam Areas (Enc)'!$G$6:$G$998,0)),"No Match")</f>
        <v>Inactive</v>
      </c>
      <c r="F660" s="2" t="str">
        <f t="shared" si="20"/>
        <v>THEM</v>
      </c>
      <c r="G660" s="2" t="str">
        <f t="shared" si="21"/>
        <v>Voodoo Hardcharged|MORRIS 2</v>
      </c>
    </row>
    <row r="661" spans="1:7" x14ac:dyDescent="0.2">
      <c r="A661" s="2" t="str" cm="1">
        <f t="array" ref="A661">INDEX('[1]Brand Family Territory (Enc)'!$A$2:$A$296,INT((ROW()-2)/10)+1)</f>
        <v>Voodoo Hardcharged</v>
      </c>
      <c r="B661" s="2" t="str" cm="1">
        <f t="array" ref="B661">INDEX('Whitelist (Blackout Reverse)'!$B$1:$K$1,MOD(ROW()-2,10)+1)</f>
        <v>MORRIS 3</v>
      </c>
      <c r="C661" s="2" t="str">
        <f>VLOOKUP(A661,'[1]Brand Family Territory (Enc)'!$A$2:$B$296,2,FALSE)</f>
        <v>Core Market</v>
      </c>
      <c r="D661" s="2">
        <f>IF(COUNTIFS('[1]Brand Family Territories (Enc)'!$B$2:$B$62,C661,'[1]Brand Family Territories (Enc)'!$C$2:$C$62,B661)&gt;0,1,IF(AND(LEFT(B661,6)="MORRIS",COUNTIFS('[1]Brand Family Territories (Enc)'!$B$2:$B$62,C661,'[1]Brand Family Territories (Enc)'!$C$2:$C$62,"Morri")&gt;0),"Unk",0))</f>
        <v>1</v>
      </c>
      <c r="E661" s="2" t="str">
        <f>IFERROR(INDEX('Blackout Brand Fam Areas (Enc)'!$D$6:$D$998,MATCH(UPPER(A661)&amp;"|"&amp;UPPER(B661),'Blackout Brand Fam Areas (Enc)'!$G$6:$G$998,0)),"No Match")</f>
        <v>No Match</v>
      </c>
      <c r="F661" s="2" t="str">
        <f t="shared" si="20"/>
        <v>US</v>
      </c>
      <c r="G661" s="2" t="str">
        <f t="shared" si="21"/>
        <v>Voodoo Hardcharged|MORRIS 3</v>
      </c>
    </row>
    <row r="662" spans="1:7" x14ac:dyDescent="0.2">
      <c r="A662" s="2" t="str" cm="1">
        <f t="array" ref="A662">INDEX('[1]Brand Family Territory (Enc)'!$A$2:$A$296,INT((ROW()-2)/10)+1)</f>
        <v>Old English</v>
      </c>
      <c r="B662" s="2" t="str" cm="1">
        <f t="array" ref="B662">INDEX('Whitelist (Blackout Reverse)'!$B$1:$K$1,MOD(ROW()-2,10)+1)</f>
        <v>BERGEN</v>
      </c>
      <c r="C662" s="2" t="str">
        <f>VLOOKUP(A662,'[1]Brand Family Territory (Enc)'!$A$2:$B$296,2,FALSE)</f>
        <v>Core Market</v>
      </c>
      <c r="D662" s="2">
        <f>IF(COUNTIFS('[1]Brand Family Territories (Enc)'!$B$2:$B$62,C662,'[1]Brand Family Territories (Enc)'!$C$2:$C$62,B662)&gt;0,1,IF(AND(LEFT(B662,6)="MORRIS",COUNTIFS('[1]Brand Family Territories (Enc)'!$B$2:$B$62,C662,'[1]Brand Family Territories (Enc)'!$C$2:$C$62,"Morri")&gt;0),"Unk",0))</f>
        <v>1</v>
      </c>
      <c r="E662" s="2" t="str">
        <f>IFERROR(INDEX('Blackout Brand Fam Areas (Enc)'!$D$6:$D$998,MATCH(UPPER(A662)&amp;"|"&amp;UPPER(B662),'Blackout Brand Fam Areas (Enc)'!$G$6:$G$998,0)),"No Match")</f>
        <v>No Match</v>
      </c>
      <c r="F662" s="2" t="str">
        <f t="shared" si="20"/>
        <v>US</v>
      </c>
      <c r="G662" s="2" t="str">
        <f t="shared" si="21"/>
        <v>Old English|BERGEN</v>
      </c>
    </row>
    <row r="663" spans="1:7" x14ac:dyDescent="0.2">
      <c r="A663" s="2" t="str" cm="1">
        <f t="array" ref="A663">INDEX('[1]Brand Family Territory (Enc)'!$A$2:$A$296,INT((ROW()-2)/10)+1)</f>
        <v>Old English</v>
      </c>
      <c r="B663" s="2" t="str" cm="1">
        <f t="array" ref="B663">INDEX('Whitelist (Blackout Reverse)'!$B$1:$K$1,MOD(ROW()-2,10)+1)</f>
        <v>PASSAIC</v>
      </c>
      <c r="C663" s="2" t="str">
        <f>VLOOKUP(A663,'[1]Brand Family Territory (Enc)'!$A$2:$B$296,2,FALSE)</f>
        <v>Core Market</v>
      </c>
      <c r="D663" s="2">
        <f>IF(COUNTIFS('[1]Brand Family Territories (Enc)'!$B$2:$B$62,C663,'[1]Brand Family Territories (Enc)'!$C$2:$C$62,B663)&gt;0,1,IF(AND(LEFT(B663,6)="MORRIS",COUNTIFS('[1]Brand Family Territories (Enc)'!$B$2:$B$62,C663,'[1]Brand Family Territories (Enc)'!$C$2:$C$62,"Morri")&gt;0),"Unk",0))</f>
        <v>1</v>
      </c>
      <c r="E663" s="2" t="str">
        <f>IFERROR(INDEX('Blackout Brand Fam Areas (Enc)'!$D$6:$D$998,MATCH(UPPER(A663)&amp;"|"&amp;UPPER(B663),'Blackout Brand Fam Areas (Enc)'!$G$6:$G$998,0)),"No Match")</f>
        <v>No Match</v>
      </c>
      <c r="F663" s="2" t="str">
        <f t="shared" si="20"/>
        <v>US</v>
      </c>
      <c r="G663" s="2" t="str">
        <f t="shared" si="21"/>
        <v>Old English|PASSAIC</v>
      </c>
    </row>
    <row r="664" spans="1:7" x14ac:dyDescent="0.2">
      <c r="A664" s="2" t="str" cm="1">
        <f t="array" ref="A664">INDEX('[1]Brand Family Territory (Enc)'!$A$2:$A$296,INT((ROW()-2)/10)+1)</f>
        <v>Old English</v>
      </c>
      <c r="B664" s="2" t="str" cm="1">
        <f t="array" ref="B664">INDEX('Whitelist (Blackout Reverse)'!$B$1:$K$1,MOD(ROW()-2,10)+1)</f>
        <v>PASSAIC-FF</v>
      </c>
      <c r="C664" s="2" t="str">
        <f>VLOOKUP(A664,'[1]Brand Family Territory (Enc)'!$A$2:$B$296,2,FALSE)</f>
        <v>Core Market</v>
      </c>
      <c r="D664" s="2">
        <f>IF(COUNTIFS('[1]Brand Family Territories (Enc)'!$B$2:$B$62,C664,'[1]Brand Family Territories (Enc)'!$C$2:$C$62,B664)&gt;0,1,IF(AND(LEFT(B664,6)="MORRIS",COUNTIFS('[1]Brand Family Territories (Enc)'!$B$2:$B$62,C664,'[1]Brand Family Territories (Enc)'!$C$2:$C$62,"Morri")&gt;0),"Unk",0))</f>
        <v>1</v>
      </c>
      <c r="E664" s="2" t="str">
        <f>IFERROR(INDEX('Blackout Brand Fam Areas (Enc)'!$D$6:$D$998,MATCH(UPPER(A664)&amp;"|"&amp;UPPER(B664),'Blackout Brand Fam Areas (Enc)'!$G$6:$G$998,0)),"No Match")</f>
        <v>No Match</v>
      </c>
      <c r="F664" s="2" t="str">
        <f t="shared" si="20"/>
        <v>US</v>
      </c>
      <c r="G664" s="2" t="str">
        <f t="shared" si="21"/>
        <v>Old English|PASSAIC-FF</v>
      </c>
    </row>
    <row r="665" spans="1:7" x14ac:dyDescent="0.2">
      <c r="A665" s="2" t="str" cm="1">
        <f t="array" ref="A665">INDEX('[1]Brand Family Territory (Enc)'!$A$2:$A$296,INT((ROW()-2)/10)+1)</f>
        <v>Old English</v>
      </c>
      <c r="B665" s="2" t="str" cm="1">
        <f t="array" ref="B665">INDEX('Whitelist (Blackout Reverse)'!$B$1:$K$1,MOD(ROW()-2,10)+1)</f>
        <v>ESSEX</v>
      </c>
      <c r="C665" s="2" t="str">
        <f>VLOOKUP(A665,'[1]Brand Family Territory (Enc)'!$A$2:$B$296,2,FALSE)</f>
        <v>Core Market</v>
      </c>
      <c r="D665" s="2">
        <f>IF(COUNTIFS('[1]Brand Family Territories (Enc)'!$B$2:$B$62,C665,'[1]Brand Family Territories (Enc)'!$C$2:$C$62,B665)&gt;0,1,IF(AND(LEFT(B665,6)="MORRIS",COUNTIFS('[1]Brand Family Territories (Enc)'!$B$2:$B$62,C665,'[1]Brand Family Territories (Enc)'!$C$2:$C$62,"Morri")&gt;0),"Unk",0))</f>
        <v>0</v>
      </c>
      <c r="E665" s="2" t="str">
        <f>IFERROR(INDEX('Blackout Brand Fam Areas (Enc)'!$D$6:$D$998,MATCH(UPPER(A665)&amp;"|"&amp;UPPER(B665),'Blackout Brand Fam Areas (Enc)'!$G$6:$G$998,0)),"No Match")</f>
        <v>Inactive</v>
      </c>
      <c r="F665" s="2" t="str">
        <f t="shared" si="20"/>
        <v>THEM</v>
      </c>
      <c r="G665" s="2" t="str">
        <f t="shared" si="21"/>
        <v>Old English|ESSEX</v>
      </c>
    </row>
    <row r="666" spans="1:7" x14ac:dyDescent="0.2">
      <c r="A666" s="2" t="str" cm="1">
        <f t="array" ref="A666">INDEX('[1]Brand Family Territory (Enc)'!$A$2:$A$296,INT((ROW()-2)/10)+1)</f>
        <v>Old English</v>
      </c>
      <c r="B666" s="2" t="str" cm="1">
        <f t="array" ref="B666">INDEX('Whitelist (Blackout Reverse)'!$B$1:$K$1,MOD(ROW()-2,10)+1)</f>
        <v>HUDSON</v>
      </c>
      <c r="C666" s="2" t="str">
        <f>VLOOKUP(A666,'[1]Brand Family Territory (Enc)'!$A$2:$B$296,2,FALSE)</f>
        <v>Core Market</v>
      </c>
      <c r="D666" s="2">
        <f>IF(COUNTIFS('[1]Brand Family Territories (Enc)'!$B$2:$B$62,C666,'[1]Brand Family Territories (Enc)'!$C$2:$C$62,B666)&gt;0,1,IF(AND(LEFT(B666,6)="MORRIS",COUNTIFS('[1]Brand Family Territories (Enc)'!$B$2:$B$62,C666,'[1]Brand Family Territories (Enc)'!$C$2:$C$62,"Morri")&gt;0),"Unk",0))</f>
        <v>0</v>
      </c>
      <c r="E666" s="2" t="str">
        <f>IFERROR(INDEX('Blackout Brand Fam Areas (Enc)'!$D$6:$D$998,MATCH(UPPER(A666)&amp;"|"&amp;UPPER(B666),'Blackout Brand Fam Areas (Enc)'!$G$6:$G$998,0)),"No Match")</f>
        <v>Inactive</v>
      </c>
      <c r="F666" s="2" t="str">
        <f t="shared" si="20"/>
        <v>THEM</v>
      </c>
      <c r="G666" s="2" t="str">
        <f t="shared" si="21"/>
        <v>Old English|HUDSON</v>
      </c>
    </row>
    <row r="667" spans="1:7" x14ac:dyDescent="0.2">
      <c r="A667" s="2" t="str" cm="1">
        <f t="array" ref="A667">INDEX('[1]Brand Family Territory (Enc)'!$A$2:$A$296,INT((ROW()-2)/10)+1)</f>
        <v>Old English</v>
      </c>
      <c r="B667" s="2" t="str" cm="1">
        <f t="array" ref="B667">INDEX('Whitelist (Blackout Reverse)'!$B$1:$K$1,MOD(ROW()-2,10)+1)</f>
        <v>UNION</v>
      </c>
      <c r="C667" s="2" t="str">
        <f>VLOOKUP(A667,'[1]Brand Family Territory (Enc)'!$A$2:$B$296,2,FALSE)</f>
        <v>Core Market</v>
      </c>
      <c r="D667" s="2">
        <f>IF(COUNTIFS('[1]Brand Family Territories (Enc)'!$B$2:$B$62,C667,'[1]Brand Family Territories (Enc)'!$C$2:$C$62,B667)&gt;0,1,IF(AND(LEFT(B667,6)="MORRIS",COUNTIFS('[1]Brand Family Territories (Enc)'!$B$2:$B$62,C667,'[1]Brand Family Territories (Enc)'!$C$2:$C$62,"Morri")&gt;0),"Unk",0))</f>
        <v>0</v>
      </c>
      <c r="E667" s="2" t="str">
        <f>IFERROR(INDEX('Blackout Brand Fam Areas (Enc)'!$D$6:$D$998,MATCH(UPPER(A667)&amp;"|"&amp;UPPER(B667),'Blackout Brand Fam Areas (Enc)'!$G$6:$G$998,0)),"No Match")</f>
        <v>Inactive</v>
      </c>
      <c r="F667" s="2" t="str">
        <f t="shared" si="20"/>
        <v>THEM</v>
      </c>
      <c r="G667" s="2" t="str">
        <f t="shared" si="21"/>
        <v>Old English|UNION</v>
      </c>
    </row>
    <row r="668" spans="1:7" x14ac:dyDescent="0.2">
      <c r="A668" s="2" t="str" cm="1">
        <f t="array" ref="A668">INDEX('[1]Brand Family Territory (Enc)'!$A$2:$A$296,INT((ROW()-2)/10)+1)</f>
        <v>Old English</v>
      </c>
      <c r="B668" s="2" t="str" cm="1">
        <f t="array" ref="B668">INDEX('Whitelist (Blackout Reverse)'!$B$1:$K$1,MOD(ROW()-2,10)+1)</f>
        <v>SUSSEX</v>
      </c>
      <c r="C668" s="2" t="str">
        <f>VLOOKUP(A668,'[1]Brand Family Territory (Enc)'!$A$2:$B$296,2,FALSE)</f>
        <v>Core Market</v>
      </c>
      <c r="D668" s="2">
        <f>IF(COUNTIFS('[1]Brand Family Territories (Enc)'!$B$2:$B$62,C668,'[1]Brand Family Territories (Enc)'!$C$2:$C$62,B668)&gt;0,1,IF(AND(LEFT(B668,6)="MORRIS",COUNTIFS('[1]Brand Family Territories (Enc)'!$B$2:$B$62,C668,'[1]Brand Family Territories (Enc)'!$C$2:$C$62,"Morri")&gt;0),"Unk",0))</f>
        <v>1</v>
      </c>
      <c r="E668" s="2" t="str">
        <f>IFERROR(INDEX('Blackout Brand Fam Areas (Enc)'!$D$6:$D$998,MATCH(UPPER(A668)&amp;"|"&amp;UPPER(B668),'Blackout Brand Fam Areas (Enc)'!$G$6:$G$998,0)),"No Match")</f>
        <v>No Match</v>
      </c>
      <c r="F668" s="2" t="str">
        <f t="shared" si="20"/>
        <v>US</v>
      </c>
      <c r="G668" s="2" t="str">
        <f t="shared" si="21"/>
        <v>Old English|SUSSEX</v>
      </c>
    </row>
    <row r="669" spans="1:7" x14ac:dyDescent="0.2">
      <c r="A669" s="2" t="str" cm="1">
        <f t="array" ref="A669">INDEX('[1]Brand Family Territory (Enc)'!$A$2:$A$296,INT((ROW()-2)/10)+1)</f>
        <v>Old English</v>
      </c>
      <c r="B669" s="2" t="str" cm="1">
        <f t="array" ref="B669">INDEX('Whitelist (Blackout Reverse)'!$B$1:$K$1,MOD(ROW()-2,10)+1)</f>
        <v>MORRIS 1</v>
      </c>
      <c r="C669" s="2" t="str">
        <f>VLOOKUP(A669,'[1]Brand Family Territory (Enc)'!$A$2:$B$296,2,FALSE)</f>
        <v>Core Market</v>
      </c>
      <c r="D669" s="2">
        <f>IF(COUNTIFS('[1]Brand Family Territories (Enc)'!$B$2:$B$62,C669,'[1]Brand Family Territories (Enc)'!$C$2:$C$62,B669)&gt;0,1,IF(AND(LEFT(B669,6)="MORRIS",COUNTIFS('[1]Brand Family Territories (Enc)'!$B$2:$B$62,C669,'[1]Brand Family Territories (Enc)'!$C$2:$C$62,"Morri")&gt;0),"Unk",0))</f>
        <v>1</v>
      </c>
      <c r="E669" s="2" t="str">
        <f>IFERROR(INDEX('Blackout Brand Fam Areas (Enc)'!$D$6:$D$998,MATCH(UPPER(A669)&amp;"|"&amp;UPPER(B669),'Blackout Brand Fam Areas (Enc)'!$G$6:$G$998,0)),"No Match")</f>
        <v>No Match</v>
      </c>
      <c r="F669" s="2" t="str">
        <f t="shared" si="20"/>
        <v>US</v>
      </c>
      <c r="G669" s="2" t="str">
        <f t="shared" si="21"/>
        <v>Old English|MORRIS 1</v>
      </c>
    </row>
    <row r="670" spans="1:7" x14ac:dyDescent="0.2">
      <c r="A670" s="2" t="str" cm="1">
        <f t="array" ref="A670">INDEX('[1]Brand Family Territory (Enc)'!$A$2:$A$296,INT((ROW()-2)/10)+1)</f>
        <v>Old English</v>
      </c>
      <c r="B670" s="2" t="str" cm="1">
        <f t="array" ref="B670">INDEX('Whitelist (Blackout Reverse)'!$B$1:$K$1,MOD(ROW()-2,10)+1)</f>
        <v>MORRIS 2</v>
      </c>
      <c r="C670" s="2" t="str">
        <f>VLOOKUP(A670,'[1]Brand Family Territory (Enc)'!$A$2:$B$296,2,FALSE)</f>
        <v>Core Market</v>
      </c>
      <c r="D670" s="2">
        <f>IF(COUNTIFS('[1]Brand Family Territories (Enc)'!$B$2:$B$62,C670,'[1]Brand Family Territories (Enc)'!$C$2:$C$62,B670)&gt;0,1,IF(AND(LEFT(B670,6)="MORRIS",COUNTIFS('[1]Brand Family Territories (Enc)'!$B$2:$B$62,C670,'[1]Brand Family Territories (Enc)'!$C$2:$C$62,"Morri")&gt;0),"Unk",0))</f>
        <v>0</v>
      </c>
      <c r="E670" s="2" t="str">
        <f>IFERROR(INDEX('Blackout Brand Fam Areas (Enc)'!$D$6:$D$998,MATCH(UPPER(A670)&amp;"|"&amp;UPPER(B670),'Blackout Brand Fam Areas (Enc)'!$G$6:$G$998,0)),"No Match")</f>
        <v>Inactive</v>
      </c>
      <c r="F670" s="2" t="str">
        <f t="shared" si="20"/>
        <v>THEM</v>
      </c>
      <c r="G670" s="2" t="str">
        <f t="shared" si="21"/>
        <v>Old English|MORRIS 2</v>
      </c>
    </row>
    <row r="671" spans="1:7" x14ac:dyDescent="0.2">
      <c r="A671" s="2" t="str" cm="1">
        <f t="array" ref="A671">INDEX('[1]Brand Family Territory (Enc)'!$A$2:$A$296,INT((ROW()-2)/10)+1)</f>
        <v>Old English</v>
      </c>
      <c r="B671" s="2" t="str" cm="1">
        <f t="array" ref="B671">INDEX('Whitelist (Blackout Reverse)'!$B$1:$K$1,MOD(ROW()-2,10)+1)</f>
        <v>MORRIS 3</v>
      </c>
      <c r="C671" s="2" t="str">
        <f>VLOOKUP(A671,'[1]Brand Family Territory (Enc)'!$A$2:$B$296,2,FALSE)</f>
        <v>Core Market</v>
      </c>
      <c r="D671" s="2">
        <f>IF(COUNTIFS('[1]Brand Family Territories (Enc)'!$B$2:$B$62,C671,'[1]Brand Family Territories (Enc)'!$C$2:$C$62,B671)&gt;0,1,IF(AND(LEFT(B671,6)="MORRIS",COUNTIFS('[1]Brand Family Territories (Enc)'!$B$2:$B$62,C671,'[1]Brand Family Territories (Enc)'!$C$2:$C$62,"Morri")&gt;0),"Unk",0))</f>
        <v>1</v>
      </c>
      <c r="E671" s="2" t="str">
        <f>IFERROR(INDEX('Blackout Brand Fam Areas (Enc)'!$D$6:$D$998,MATCH(UPPER(A671)&amp;"|"&amp;UPPER(B671),'Blackout Brand Fam Areas (Enc)'!$G$6:$G$998,0)),"No Match")</f>
        <v>No Match</v>
      </c>
      <c r="F671" s="2" t="str">
        <f t="shared" si="20"/>
        <v>US</v>
      </c>
      <c r="G671" s="2" t="str">
        <f t="shared" si="21"/>
        <v>Old English|MORRIS 3</v>
      </c>
    </row>
    <row r="672" spans="1:7" x14ac:dyDescent="0.2">
      <c r="A672" s="2" t="str" cm="1">
        <f t="array" ref="A672">INDEX('[1]Brand Family Territory (Enc)'!$A$2:$A$296,INT((ROW()-2)/10)+1)</f>
        <v>Ole</v>
      </c>
      <c r="B672" s="2" t="str" cm="1">
        <f t="array" ref="B672">INDEX('Whitelist (Blackout Reverse)'!$B$1:$K$1,MOD(ROW()-2,10)+1)</f>
        <v>BERGEN</v>
      </c>
      <c r="C672" s="2" t="str">
        <f>VLOOKUP(A672,'[1]Brand Family Territory (Enc)'!$A$2:$B$296,2,FALSE)</f>
        <v>Core Market</v>
      </c>
      <c r="D672" s="2">
        <f>IF(COUNTIFS('[1]Brand Family Territories (Enc)'!$B$2:$B$62,C672,'[1]Brand Family Territories (Enc)'!$C$2:$C$62,B672)&gt;0,1,IF(AND(LEFT(B672,6)="MORRIS",COUNTIFS('[1]Brand Family Territories (Enc)'!$B$2:$B$62,C672,'[1]Brand Family Territories (Enc)'!$C$2:$C$62,"Morri")&gt;0),"Unk",0))</f>
        <v>1</v>
      </c>
      <c r="E672" s="2" t="str">
        <f>IFERROR(INDEX('Blackout Brand Fam Areas (Enc)'!$D$6:$D$998,MATCH(UPPER(A672)&amp;"|"&amp;UPPER(B672),'Blackout Brand Fam Areas (Enc)'!$G$6:$G$998,0)),"No Match")</f>
        <v>No Match</v>
      </c>
      <c r="F672" s="2" t="str">
        <f t="shared" si="20"/>
        <v>US</v>
      </c>
      <c r="G672" s="2" t="str">
        <f t="shared" si="21"/>
        <v>Ole|BERGEN</v>
      </c>
    </row>
    <row r="673" spans="1:7" x14ac:dyDescent="0.2">
      <c r="A673" s="2" t="str" cm="1">
        <f t="array" ref="A673">INDEX('[1]Brand Family Territory (Enc)'!$A$2:$A$296,INT((ROW()-2)/10)+1)</f>
        <v>Ole</v>
      </c>
      <c r="B673" s="2" t="str" cm="1">
        <f t="array" ref="B673">INDEX('Whitelist (Blackout Reverse)'!$B$1:$K$1,MOD(ROW()-2,10)+1)</f>
        <v>PASSAIC</v>
      </c>
      <c r="C673" s="2" t="str">
        <f>VLOOKUP(A673,'[1]Brand Family Territory (Enc)'!$A$2:$B$296,2,FALSE)</f>
        <v>Core Market</v>
      </c>
      <c r="D673" s="2">
        <f>IF(COUNTIFS('[1]Brand Family Territories (Enc)'!$B$2:$B$62,C673,'[1]Brand Family Territories (Enc)'!$C$2:$C$62,B673)&gt;0,1,IF(AND(LEFT(B673,6)="MORRIS",COUNTIFS('[1]Brand Family Territories (Enc)'!$B$2:$B$62,C673,'[1]Brand Family Territories (Enc)'!$C$2:$C$62,"Morri")&gt;0),"Unk",0))</f>
        <v>1</v>
      </c>
      <c r="E673" s="2" t="str">
        <f>IFERROR(INDEX('Blackout Brand Fam Areas (Enc)'!$D$6:$D$998,MATCH(UPPER(A673)&amp;"|"&amp;UPPER(B673),'Blackout Brand Fam Areas (Enc)'!$G$6:$G$998,0)),"No Match")</f>
        <v>No Match</v>
      </c>
      <c r="F673" s="2" t="str">
        <f t="shared" si="20"/>
        <v>US</v>
      </c>
      <c r="G673" s="2" t="str">
        <f t="shared" si="21"/>
        <v>Ole|PASSAIC</v>
      </c>
    </row>
    <row r="674" spans="1:7" x14ac:dyDescent="0.2">
      <c r="A674" s="2" t="str" cm="1">
        <f t="array" ref="A674">INDEX('[1]Brand Family Territory (Enc)'!$A$2:$A$296,INT((ROW()-2)/10)+1)</f>
        <v>Ole</v>
      </c>
      <c r="B674" s="2" t="str" cm="1">
        <f t="array" ref="B674">INDEX('Whitelist (Blackout Reverse)'!$B$1:$K$1,MOD(ROW()-2,10)+1)</f>
        <v>PASSAIC-FF</v>
      </c>
      <c r="C674" s="2" t="str">
        <f>VLOOKUP(A674,'[1]Brand Family Territory (Enc)'!$A$2:$B$296,2,FALSE)</f>
        <v>Core Market</v>
      </c>
      <c r="D674" s="2">
        <f>IF(COUNTIFS('[1]Brand Family Territories (Enc)'!$B$2:$B$62,C674,'[1]Brand Family Territories (Enc)'!$C$2:$C$62,B674)&gt;0,1,IF(AND(LEFT(B674,6)="MORRIS",COUNTIFS('[1]Brand Family Territories (Enc)'!$B$2:$B$62,C674,'[1]Brand Family Territories (Enc)'!$C$2:$C$62,"Morri")&gt;0),"Unk",0))</f>
        <v>1</v>
      </c>
      <c r="E674" s="2" t="str">
        <f>IFERROR(INDEX('Blackout Brand Fam Areas (Enc)'!$D$6:$D$998,MATCH(UPPER(A674)&amp;"|"&amp;UPPER(B674),'Blackout Brand Fam Areas (Enc)'!$G$6:$G$998,0)),"No Match")</f>
        <v>No Match</v>
      </c>
      <c r="F674" s="2" t="str">
        <f t="shared" si="20"/>
        <v>US</v>
      </c>
      <c r="G674" s="2" t="str">
        <f t="shared" si="21"/>
        <v>Ole|PASSAIC-FF</v>
      </c>
    </row>
    <row r="675" spans="1:7" x14ac:dyDescent="0.2">
      <c r="A675" s="2" t="str" cm="1">
        <f t="array" ref="A675">INDEX('[1]Brand Family Territory (Enc)'!$A$2:$A$296,INT((ROW()-2)/10)+1)</f>
        <v>Ole</v>
      </c>
      <c r="B675" s="2" t="str" cm="1">
        <f t="array" ref="B675">INDEX('Whitelist (Blackout Reverse)'!$B$1:$K$1,MOD(ROW()-2,10)+1)</f>
        <v>ESSEX</v>
      </c>
      <c r="C675" s="2" t="str">
        <f>VLOOKUP(A675,'[1]Brand Family Territory (Enc)'!$A$2:$B$296,2,FALSE)</f>
        <v>Core Market</v>
      </c>
      <c r="D675" s="2">
        <f>IF(COUNTIFS('[1]Brand Family Territories (Enc)'!$B$2:$B$62,C675,'[1]Brand Family Territories (Enc)'!$C$2:$C$62,B675)&gt;0,1,IF(AND(LEFT(B675,6)="MORRIS",COUNTIFS('[1]Brand Family Territories (Enc)'!$B$2:$B$62,C675,'[1]Brand Family Territories (Enc)'!$C$2:$C$62,"Morri")&gt;0),"Unk",0))</f>
        <v>0</v>
      </c>
      <c r="E675" s="2" t="str">
        <f>IFERROR(INDEX('Blackout Brand Fam Areas (Enc)'!$D$6:$D$998,MATCH(UPPER(A675)&amp;"|"&amp;UPPER(B675),'Blackout Brand Fam Areas (Enc)'!$G$6:$G$998,0)),"No Match")</f>
        <v>Inactive</v>
      </c>
      <c r="F675" s="2" t="str">
        <f t="shared" si="20"/>
        <v>THEM</v>
      </c>
      <c r="G675" s="2" t="str">
        <f t="shared" si="21"/>
        <v>Ole|ESSEX</v>
      </c>
    </row>
    <row r="676" spans="1:7" x14ac:dyDescent="0.2">
      <c r="A676" s="2" t="str" cm="1">
        <f t="array" ref="A676">INDEX('[1]Brand Family Territory (Enc)'!$A$2:$A$296,INT((ROW()-2)/10)+1)</f>
        <v>Ole</v>
      </c>
      <c r="B676" s="2" t="str" cm="1">
        <f t="array" ref="B676">INDEX('Whitelist (Blackout Reverse)'!$B$1:$K$1,MOD(ROW()-2,10)+1)</f>
        <v>HUDSON</v>
      </c>
      <c r="C676" s="2" t="str">
        <f>VLOOKUP(A676,'[1]Brand Family Territory (Enc)'!$A$2:$B$296,2,FALSE)</f>
        <v>Core Market</v>
      </c>
      <c r="D676" s="2">
        <f>IF(COUNTIFS('[1]Brand Family Territories (Enc)'!$B$2:$B$62,C676,'[1]Brand Family Territories (Enc)'!$C$2:$C$62,B676)&gt;0,1,IF(AND(LEFT(B676,6)="MORRIS",COUNTIFS('[1]Brand Family Territories (Enc)'!$B$2:$B$62,C676,'[1]Brand Family Territories (Enc)'!$C$2:$C$62,"Morri")&gt;0),"Unk",0))</f>
        <v>0</v>
      </c>
      <c r="E676" s="2" t="str">
        <f>IFERROR(INDEX('Blackout Brand Fam Areas (Enc)'!$D$6:$D$998,MATCH(UPPER(A676)&amp;"|"&amp;UPPER(B676),'Blackout Brand Fam Areas (Enc)'!$G$6:$G$998,0)),"No Match")</f>
        <v>Inactive</v>
      </c>
      <c r="F676" s="2" t="str">
        <f t="shared" si="20"/>
        <v>THEM</v>
      </c>
      <c r="G676" s="2" t="str">
        <f t="shared" si="21"/>
        <v>Ole|HUDSON</v>
      </c>
    </row>
    <row r="677" spans="1:7" x14ac:dyDescent="0.2">
      <c r="A677" s="2" t="str" cm="1">
        <f t="array" ref="A677">INDEX('[1]Brand Family Territory (Enc)'!$A$2:$A$296,INT((ROW()-2)/10)+1)</f>
        <v>Ole</v>
      </c>
      <c r="B677" s="2" t="str" cm="1">
        <f t="array" ref="B677">INDEX('Whitelist (Blackout Reverse)'!$B$1:$K$1,MOD(ROW()-2,10)+1)</f>
        <v>UNION</v>
      </c>
      <c r="C677" s="2" t="str">
        <f>VLOOKUP(A677,'[1]Brand Family Territory (Enc)'!$A$2:$B$296,2,FALSE)</f>
        <v>Core Market</v>
      </c>
      <c r="D677" s="2">
        <f>IF(COUNTIFS('[1]Brand Family Territories (Enc)'!$B$2:$B$62,C677,'[1]Brand Family Territories (Enc)'!$C$2:$C$62,B677)&gt;0,1,IF(AND(LEFT(B677,6)="MORRIS",COUNTIFS('[1]Brand Family Territories (Enc)'!$B$2:$B$62,C677,'[1]Brand Family Territories (Enc)'!$C$2:$C$62,"Morri")&gt;0),"Unk",0))</f>
        <v>0</v>
      </c>
      <c r="E677" s="2" t="str">
        <f>IFERROR(INDEX('Blackout Brand Fam Areas (Enc)'!$D$6:$D$998,MATCH(UPPER(A677)&amp;"|"&amp;UPPER(B677),'Blackout Brand Fam Areas (Enc)'!$G$6:$G$998,0)),"No Match")</f>
        <v>Inactive</v>
      </c>
      <c r="F677" s="2" t="str">
        <f t="shared" si="20"/>
        <v>THEM</v>
      </c>
      <c r="G677" s="2" t="str">
        <f t="shared" si="21"/>
        <v>Ole|UNION</v>
      </c>
    </row>
    <row r="678" spans="1:7" x14ac:dyDescent="0.2">
      <c r="A678" s="2" t="str" cm="1">
        <f t="array" ref="A678">INDEX('[1]Brand Family Territory (Enc)'!$A$2:$A$296,INT((ROW()-2)/10)+1)</f>
        <v>Ole</v>
      </c>
      <c r="B678" s="2" t="str" cm="1">
        <f t="array" ref="B678">INDEX('Whitelist (Blackout Reverse)'!$B$1:$K$1,MOD(ROW()-2,10)+1)</f>
        <v>SUSSEX</v>
      </c>
      <c r="C678" s="2" t="str">
        <f>VLOOKUP(A678,'[1]Brand Family Territory (Enc)'!$A$2:$B$296,2,FALSE)</f>
        <v>Core Market</v>
      </c>
      <c r="D678" s="2">
        <f>IF(COUNTIFS('[1]Brand Family Territories (Enc)'!$B$2:$B$62,C678,'[1]Brand Family Territories (Enc)'!$C$2:$C$62,B678)&gt;0,1,IF(AND(LEFT(B678,6)="MORRIS",COUNTIFS('[1]Brand Family Territories (Enc)'!$B$2:$B$62,C678,'[1]Brand Family Territories (Enc)'!$C$2:$C$62,"Morri")&gt;0),"Unk",0))</f>
        <v>1</v>
      </c>
      <c r="E678" s="2" t="str">
        <f>IFERROR(INDEX('Blackout Brand Fam Areas (Enc)'!$D$6:$D$998,MATCH(UPPER(A678)&amp;"|"&amp;UPPER(B678),'Blackout Brand Fam Areas (Enc)'!$G$6:$G$998,0)),"No Match")</f>
        <v>No Match</v>
      </c>
      <c r="F678" s="2" t="str">
        <f t="shared" si="20"/>
        <v>US</v>
      </c>
      <c r="G678" s="2" t="str">
        <f t="shared" si="21"/>
        <v>Ole|SUSSEX</v>
      </c>
    </row>
    <row r="679" spans="1:7" x14ac:dyDescent="0.2">
      <c r="A679" s="2" t="str" cm="1">
        <f t="array" ref="A679">INDEX('[1]Brand Family Territory (Enc)'!$A$2:$A$296,INT((ROW()-2)/10)+1)</f>
        <v>Ole</v>
      </c>
      <c r="B679" s="2" t="str" cm="1">
        <f t="array" ref="B679">INDEX('Whitelist (Blackout Reverse)'!$B$1:$K$1,MOD(ROW()-2,10)+1)</f>
        <v>MORRIS 1</v>
      </c>
      <c r="C679" s="2" t="str">
        <f>VLOOKUP(A679,'[1]Brand Family Territory (Enc)'!$A$2:$B$296,2,FALSE)</f>
        <v>Core Market</v>
      </c>
      <c r="D679" s="2">
        <f>IF(COUNTIFS('[1]Brand Family Territories (Enc)'!$B$2:$B$62,C679,'[1]Brand Family Territories (Enc)'!$C$2:$C$62,B679)&gt;0,1,IF(AND(LEFT(B679,6)="MORRIS",COUNTIFS('[1]Brand Family Territories (Enc)'!$B$2:$B$62,C679,'[1]Brand Family Territories (Enc)'!$C$2:$C$62,"Morri")&gt;0),"Unk",0))</f>
        <v>1</v>
      </c>
      <c r="E679" s="2" t="str">
        <f>IFERROR(INDEX('Blackout Brand Fam Areas (Enc)'!$D$6:$D$998,MATCH(UPPER(A679)&amp;"|"&amp;UPPER(B679),'Blackout Brand Fam Areas (Enc)'!$G$6:$G$998,0)),"No Match")</f>
        <v>No Match</v>
      </c>
      <c r="F679" s="2" t="str">
        <f t="shared" si="20"/>
        <v>US</v>
      </c>
      <c r="G679" s="2" t="str">
        <f t="shared" si="21"/>
        <v>Ole|MORRIS 1</v>
      </c>
    </row>
    <row r="680" spans="1:7" x14ac:dyDescent="0.2">
      <c r="A680" s="2" t="str" cm="1">
        <f t="array" ref="A680">INDEX('[1]Brand Family Territory (Enc)'!$A$2:$A$296,INT((ROW()-2)/10)+1)</f>
        <v>Ole</v>
      </c>
      <c r="B680" s="2" t="str" cm="1">
        <f t="array" ref="B680">INDEX('Whitelist (Blackout Reverse)'!$B$1:$K$1,MOD(ROW()-2,10)+1)</f>
        <v>MORRIS 2</v>
      </c>
      <c r="C680" s="2" t="str">
        <f>VLOOKUP(A680,'[1]Brand Family Territory (Enc)'!$A$2:$B$296,2,FALSE)</f>
        <v>Core Market</v>
      </c>
      <c r="D680" s="2">
        <f>IF(COUNTIFS('[1]Brand Family Territories (Enc)'!$B$2:$B$62,C680,'[1]Brand Family Territories (Enc)'!$C$2:$C$62,B680)&gt;0,1,IF(AND(LEFT(B680,6)="MORRIS",COUNTIFS('[1]Brand Family Territories (Enc)'!$B$2:$B$62,C680,'[1]Brand Family Territories (Enc)'!$C$2:$C$62,"Morri")&gt;0),"Unk",0))</f>
        <v>0</v>
      </c>
      <c r="E680" s="2" t="str">
        <f>IFERROR(INDEX('Blackout Brand Fam Areas (Enc)'!$D$6:$D$998,MATCH(UPPER(A680)&amp;"|"&amp;UPPER(B680),'Blackout Brand Fam Areas (Enc)'!$G$6:$G$998,0)),"No Match")</f>
        <v>Inactive</v>
      </c>
      <c r="F680" s="2" t="str">
        <f t="shared" si="20"/>
        <v>THEM</v>
      </c>
      <c r="G680" s="2" t="str">
        <f t="shared" si="21"/>
        <v>Ole|MORRIS 2</v>
      </c>
    </row>
    <row r="681" spans="1:7" x14ac:dyDescent="0.2">
      <c r="A681" s="2" t="str" cm="1">
        <f t="array" ref="A681">INDEX('[1]Brand Family Territory (Enc)'!$A$2:$A$296,INT((ROW()-2)/10)+1)</f>
        <v>Ole</v>
      </c>
      <c r="B681" s="2" t="str" cm="1">
        <f t="array" ref="B681">INDEX('Whitelist (Blackout Reverse)'!$B$1:$K$1,MOD(ROW()-2,10)+1)</f>
        <v>MORRIS 3</v>
      </c>
      <c r="C681" s="2" t="str">
        <f>VLOOKUP(A681,'[1]Brand Family Territory (Enc)'!$A$2:$B$296,2,FALSE)</f>
        <v>Core Market</v>
      </c>
      <c r="D681" s="2">
        <f>IF(COUNTIFS('[1]Brand Family Territories (Enc)'!$B$2:$B$62,C681,'[1]Brand Family Territories (Enc)'!$C$2:$C$62,B681)&gt;0,1,IF(AND(LEFT(B681,6)="MORRIS",COUNTIFS('[1]Brand Family Territories (Enc)'!$B$2:$B$62,C681,'[1]Brand Family Territories (Enc)'!$C$2:$C$62,"Morri")&gt;0),"Unk",0))</f>
        <v>1</v>
      </c>
      <c r="E681" s="2" t="str">
        <f>IFERROR(INDEX('Blackout Brand Fam Areas (Enc)'!$D$6:$D$998,MATCH(UPPER(A681)&amp;"|"&amp;UPPER(B681),'Blackout Brand Fam Areas (Enc)'!$G$6:$G$998,0)),"No Match")</f>
        <v>No Match</v>
      </c>
      <c r="F681" s="2" t="str">
        <f t="shared" si="20"/>
        <v>US</v>
      </c>
      <c r="G681" s="2" t="str">
        <f t="shared" si="21"/>
        <v>Ole|MORRIS 3</v>
      </c>
    </row>
    <row r="682" spans="1:7" x14ac:dyDescent="0.2">
      <c r="A682" s="2" t="str" cm="1">
        <f t="array" ref="A682">INDEX('[1]Brand Family Territory (Enc)'!$A$2:$A$296,INT((ROW()-2)/10)+1)</f>
        <v>Pacifico</v>
      </c>
      <c r="B682" s="2" t="str" cm="1">
        <f t="array" ref="B682">INDEX('Whitelist (Blackout Reverse)'!$B$1:$K$1,MOD(ROW()-2,10)+1)</f>
        <v>BERGEN</v>
      </c>
      <c r="C682" s="2" t="str">
        <f>VLOOKUP(A682,'[1]Brand Family Territory (Enc)'!$A$2:$B$296,2,FALSE)</f>
        <v>Core Market</v>
      </c>
      <c r="D682" s="2">
        <f>IF(COUNTIFS('[1]Brand Family Territories (Enc)'!$B$2:$B$62,C682,'[1]Brand Family Territories (Enc)'!$C$2:$C$62,B682)&gt;0,1,IF(AND(LEFT(B682,6)="MORRIS",COUNTIFS('[1]Brand Family Territories (Enc)'!$B$2:$B$62,C682,'[1]Brand Family Territories (Enc)'!$C$2:$C$62,"Morri")&gt;0),"Unk",0))</f>
        <v>1</v>
      </c>
      <c r="E682" s="2" t="str">
        <f>IFERROR(INDEX('Blackout Brand Fam Areas (Enc)'!$D$6:$D$998,MATCH(UPPER(A682)&amp;"|"&amp;UPPER(B682),'Blackout Brand Fam Areas (Enc)'!$G$6:$G$998,0)),"No Match")</f>
        <v>No Match</v>
      </c>
      <c r="F682" s="2" t="str">
        <f t="shared" si="20"/>
        <v>US</v>
      </c>
      <c r="G682" s="2" t="str">
        <f t="shared" si="21"/>
        <v>Pacifico|BERGEN</v>
      </c>
    </row>
    <row r="683" spans="1:7" x14ac:dyDescent="0.2">
      <c r="A683" s="2" t="str" cm="1">
        <f t="array" ref="A683">INDEX('[1]Brand Family Territory (Enc)'!$A$2:$A$296,INT((ROW()-2)/10)+1)</f>
        <v>Pacifico</v>
      </c>
      <c r="B683" s="2" t="str" cm="1">
        <f t="array" ref="B683">INDEX('Whitelist (Blackout Reverse)'!$B$1:$K$1,MOD(ROW()-2,10)+1)</f>
        <v>PASSAIC</v>
      </c>
      <c r="C683" s="2" t="str">
        <f>VLOOKUP(A683,'[1]Brand Family Territory (Enc)'!$A$2:$B$296,2,FALSE)</f>
        <v>Core Market</v>
      </c>
      <c r="D683" s="2">
        <f>IF(COUNTIFS('[1]Brand Family Territories (Enc)'!$B$2:$B$62,C683,'[1]Brand Family Territories (Enc)'!$C$2:$C$62,B683)&gt;0,1,IF(AND(LEFT(B683,6)="MORRIS",COUNTIFS('[1]Brand Family Territories (Enc)'!$B$2:$B$62,C683,'[1]Brand Family Territories (Enc)'!$C$2:$C$62,"Morri")&gt;0),"Unk",0))</f>
        <v>1</v>
      </c>
      <c r="E683" s="2" t="str">
        <f>IFERROR(INDEX('Blackout Brand Fam Areas (Enc)'!$D$6:$D$998,MATCH(UPPER(A683)&amp;"|"&amp;UPPER(B683),'Blackout Brand Fam Areas (Enc)'!$G$6:$G$998,0)),"No Match")</f>
        <v>No Match</v>
      </c>
      <c r="F683" s="2" t="str">
        <f t="shared" si="20"/>
        <v>US</v>
      </c>
      <c r="G683" s="2" t="str">
        <f t="shared" si="21"/>
        <v>Pacifico|PASSAIC</v>
      </c>
    </row>
    <row r="684" spans="1:7" x14ac:dyDescent="0.2">
      <c r="A684" s="2" t="str" cm="1">
        <f t="array" ref="A684">INDEX('[1]Brand Family Territory (Enc)'!$A$2:$A$296,INT((ROW()-2)/10)+1)</f>
        <v>Pacifico</v>
      </c>
      <c r="B684" s="2" t="str" cm="1">
        <f t="array" ref="B684">INDEX('Whitelist (Blackout Reverse)'!$B$1:$K$1,MOD(ROW()-2,10)+1)</f>
        <v>PASSAIC-FF</v>
      </c>
      <c r="C684" s="2" t="str">
        <f>VLOOKUP(A684,'[1]Brand Family Territory (Enc)'!$A$2:$B$296,2,FALSE)</f>
        <v>Core Market</v>
      </c>
      <c r="D684" s="2">
        <f>IF(COUNTIFS('[1]Brand Family Territories (Enc)'!$B$2:$B$62,C684,'[1]Brand Family Territories (Enc)'!$C$2:$C$62,B684)&gt;0,1,IF(AND(LEFT(B684,6)="MORRIS",COUNTIFS('[1]Brand Family Territories (Enc)'!$B$2:$B$62,C684,'[1]Brand Family Territories (Enc)'!$C$2:$C$62,"Morri")&gt;0),"Unk",0))</f>
        <v>1</v>
      </c>
      <c r="E684" s="2" t="str">
        <f>IFERROR(INDEX('Blackout Brand Fam Areas (Enc)'!$D$6:$D$998,MATCH(UPPER(A684)&amp;"|"&amp;UPPER(B684),'Blackout Brand Fam Areas (Enc)'!$G$6:$G$998,0)),"No Match")</f>
        <v>No Match</v>
      </c>
      <c r="F684" s="2" t="str">
        <f t="shared" si="20"/>
        <v>US</v>
      </c>
      <c r="G684" s="2" t="str">
        <f t="shared" si="21"/>
        <v>Pacifico|PASSAIC-FF</v>
      </c>
    </row>
    <row r="685" spans="1:7" x14ac:dyDescent="0.2">
      <c r="A685" s="2" t="str" cm="1">
        <f t="array" ref="A685">INDEX('[1]Brand Family Territory (Enc)'!$A$2:$A$296,INT((ROW()-2)/10)+1)</f>
        <v>Pacifico</v>
      </c>
      <c r="B685" s="2" t="str" cm="1">
        <f t="array" ref="B685">INDEX('Whitelist (Blackout Reverse)'!$B$1:$K$1,MOD(ROW()-2,10)+1)</f>
        <v>ESSEX</v>
      </c>
      <c r="C685" s="2" t="str">
        <f>VLOOKUP(A685,'[1]Brand Family Territory (Enc)'!$A$2:$B$296,2,FALSE)</f>
        <v>Core Market</v>
      </c>
      <c r="D685" s="2">
        <f>IF(COUNTIFS('[1]Brand Family Territories (Enc)'!$B$2:$B$62,C685,'[1]Brand Family Territories (Enc)'!$C$2:$C$62,B685)&gt;0,1,IF(AND(LEFT(B685,6)="MORRIS",COUNTIFS('[1]Brand Family Territories (Enc)'!$B$2:$B$62,C685,'[1]Brand Family Territories (Enc)'!$C$2:$C$62,"Morri")&gt;0),"Unk",0))</f>
        <v>0</v>
      </c>
      <c r="E685" s="2" t="str">
        <f>IFERROR(INDEX('Blackout Brand Fam Areas (Enc)'!$D$6:$D$998,MATCH(UPPER(A685)&amp;"|"&amp;UPPER(B685),'Blackout Brand Fam Areas (Enc)'!$G$6:$G$998,0)),"No Match")</f>
        <v>Inactive</v>
      </c>
      <c r="F685" s="2" t="str">
        <f t="shared" si="20"/>
        <v>THEM</v>
      </c>
      <c r="G685" s="2" t="str">
        <f t="shared" si="21"/>
        <v>Pacifico|ESSEX</v>
      </c>
    </row>
    <row r="686" spans="1:7" x14ac:dyDescent="0.2">
      <c r="A686" s="2" t="str" cm="1">
        <f t="array" ref="A686">INDEX('[1]Brand Family Territory (Enc)'!$A$2:$A$296,INT((ROW()-2)/10)+1)</f>
        <v>Pacifico</v>
      </c>
      <c r="B686" s="2" t="str" cm="1">
        <f t="array" ref="B686">INDEX('Whitelist (Blackout Reverse)'!$B$1:$K$1,MOD(ROW()-2,10)+1)</f>
        <v>HUDSON</v>
      </c>
      <c r="C686" s="2" t="str">
        <f>VLOOKUP(A686,'[1]Brand Family Territory (Enc)'!$A$2:$B$296,2,FALSE)</f>
        <v>Core Market</v>
      </c>
      <c r="D686" s="2">
        <f>IF(COUNTIFS('[1]Brand Family Territories (Enc)'!$B$2:$B$62,C686,'[1]Brand Family Territories (Enc)'!$C$2:$C$62,B686)&gt;0,1,IF(AND(LEFT(B686,6)="MORRIS",COUNTIFS('[1]Brand Family Territories (Enc)'!$B$2:$B$62,C686,'[1]Brand Family Territories (Enc)'!$C$2:$C$62,"Morri")&gt;0),"Unk",0))</f>
        <v>0</v>
      </c>
      <c r="E686" s="2" t="str">
        <f>IFERROR(INDEX('Blackout Brand Fam Areas (Enc)'!$D$6:$D$998,MATCH(UPPER(A686)&amp;"|"&amp;UPPER(B686),'Blackout Brand Fam Areas (Enc)'!$G$6:$G$998,0)),"No Match")</f>
        <v>Inactive</v>
      </c>
      <c r="F686" s="2" t="str">
        <f t="shared" si="20"/>
        <v>THEM</v>
      </c>
      <c r="G686" s="2" t="str">
        <f t="shared" si="21"/>
        <v>Pacifico|HUDSON</v>
      </c>
    </row>
    <row r="687" spans="1:7" x14ac:dyDescent="0.2">
      <c r="A687" s="2" t="str" cm="1">
        <f t="array" ref="A687">INDEX('[1]Brand Family Territory (Enc)'!$A$2:$A$296,INT((ROW()-2)/10)+1)</f>
        <v>Pacifico</v>
      </c>
      <c r="B687" s="2" t="str" cm="1">
        <f t="array" ref="B687">INDEX('Whitelist (Blackout Reverse)'!$B$1:$K$1,MOD(ROW()-2,10)+1)</f>
        <v>UNION</v>
      </c>
      <c r="C687" s="2" t="str">
        <f>VLOOKUP(A687,'[1]Brand Family Territory (Enc)'!$A$2:$B$296,2,FALSE)</f>
        <v>Core Market</v>
      </c>
      <c r="D687" s="2">
        <f>IF(COUNTIFS('[1]Brand Family Territories (Enc)'!$B$2:$B$62,C687,'[1]Brand Family Territories (Enc)'!$C$2:$C$62,B687)&gt;0,1,IF(AND(LEFT(B687,6)="MORRIS",COUNTIFS('[1]Brand Family Territories (Enc)'!$B$2:$B$62,C687,'[1]Brand Family Territories (Enc)'!$C$2:$C$62,"Morri")&gt;0),"Unk",0))</f>
        <v>0</v>
      </c>
      <c r="E687" s="2" t="str">
        <f>IFERROR(INDEX('Blackout Brand Fam Areas (Enc)'!$D$6:$D$998,MATCH(UPPER(A687)&amp;"|"&amp;UPPER(B687),'Blackout Brand Fam Areas (Enc)'!$G$6:$G$998,0)),"No Match")</f>
        <v>Inactive</v>
      </c>
      <c r="F687" s="2" t="str">
        <f t="shared" si="20"/>
        <v>THEM</v>
      </c>
      <c r="G687" s="2" t="str">
        <f t="shared" si="21"/>
        <v>Pacifico|UNION</v>
      </c>
    </row>
    <row r="688" spans="1:7" x14ac:dyDescent="0.2">
      <c r="A688" s="2" t="str" cm="1">
        <f t="array" ref="A688">INDEX('[1]Brand Family Territory (Enc)'!$A$2:$A$296,INT((ROW()-2)/10)+1)</f>
        <v>Pacifico</v>
      </c>
      <c r="B688" s="2" t="str" cm="1">
        <f t="array" ref="B688">INDEX('Whitelist (Blackout Reverse)'!$B$1:$K$1,MOD(ROW()-2,10)+1)</f>
        <v>SUSSEX</v>
      </c>
      <c r="C688" s="2" t="str">
        <f>VLOOKUP(A688,'[1]Brand Family Territory (Enc)'!$A$2:$B$296,2,FALSE)</f>
        <v>Core Market</v>
      </c>
      <c r="D688" s="2">
        <f>IF(COUNTIFS('[1]Brand Family Territories (Enc)'!$B$2:$B$62,C688,'[1]Brand Family Territories (Enc)'!$C$2:$C$62,B688)&gt;0,1,IF(AND(LEFT(B688,6)="MORRIS",COUNTIFS('[1]Brand Family Territories (Enc)'!$B$2:$B$62,C688,'[1]Brand Family Territories (Enc)'!$C$2:$C$62,"Morri")&gt;0),"Unk",0))</f>
        <v>1</v>
      </c>
      <c r="E688" s="2" t="str">
        <f>IFERROR(INDEX('Blackout Brand Fam Areas (Enc)'!$D$6:$D$998,MATCH(UPPER(A688)&amp;"|"&amp;UPPER(B688),'Blackout Brand Fam Areas (Enc)'!$G$6:$G$998,0)),"No Match")</f>
        <v>No Match</v>
      </c>
      <c r="F688" s="2" t="str">
        <f t="shared" si="20"/>
        <v>US</v>
      </c>
      <c r="G688" s="2" t="str">
        <f t="shared" si="21"/>
        <v>Pacifico|SUSSEX</v>
      </c>
    </row>
    <row r="689" spans="1:7" x14ac:dyDescent="0.2">
      <c r="A689" s="2" t="str" cm="1">
        <f t="array" ref="A689">INDEX('[1]Brand Family Territory (Enc)'!$A$2:$A$296,INT((ROW()-2)/10)+1)</f>
        <v>Pacifico</v>
      </c>
      <c r="B689" s="2" t="str" cm="1">
        <f t="array" ref="B689">INDEX('Whitelist (Blackout Reverse)'!$B$1:$K$1,MOD(ROW()-2,10)+1)</f>
        <v>MORRIS 1</v>
      </c>
      <c r="C689" s="2" t="str">
        <f>VLOOKUP(A689,'[1]Brand Family Territory (Enc)'!$A$2:$B$296,2,FALSE)</f>
        <v>Core Market</v>
      </c>
      <c r="D689" s="2">
        <f>IF(COUNTIFS('[1]Brand Family Territories (Enc)'!$B$2:$B$62,C689,'[1]Brand Family Territories (Enc)'!$C$2:$C$62,B689)&gt;0,1,IF(AND(LEFT(B689,6)="MORRIS",COUNTIFS('[1]Brand Family Territories (Enc)'!$B$2:$B$62,C689,'[1]Brand Family Territories (Enc)'!$C$2:$C$62,"Morri")&gt;0),"Unk",0))</f>
        <v>1</v>
      </c>
      <c r="E689" s="2" t="str">
        <f>IFERROR(INDEX('Blackout Brand Fam Areas (Enc)'!$D$6:$D$998,MATCH(UPPER(A689)&amp;"|"&amp;UPPER(B689),'Blackout Brand Fam Areas (Enc)'!$G$6:$G$998,0)),"No Match")</f>
        <v>No Match</v>
      </c>
      <c r="F689" s="2" t="str">
        <f t="shared" si="20"/>
        <v>US</v>
      </c>
      <c r="G689" s="2" t="str">
        <f t="shared" si="21"/>
        <v>Pacifico|MORRIS 1</v>
      </c>
    </row>
    <row r="690" spans="1:7" x14ac:dyDescent="0.2">
      <c r="A690" s="2" t="str" cm="1">
        <f t="array" ref="A690">INDEX('[1]Brand Family Territory (Enc)'!$A$2:$A$296,INT((ROW()-2)/10)+1)</f>
        <v>Pacifico</v>
      </c>
      <c r="B690" s="2" t="str" cm="1">
        <f t="array" ref="B690">INDEX('Whitelist (Blackout Reverse)'!$B$1:$K$1,MOD(ROW()-2,10)+1)</f>
        <v>MORRIS 2</v>
      </c>
      <c r="C690" s="2" t="str">
        <f>VLOOKUP(A690,'[1]Brand Family Territory (Enc)'!$A$2:$B$296,2,FALSE)</f>
        <v>Core Market</v>
      </c>
      <c r="D690" s="2">
        <f>IF(COUNTIFS('[1]Brand Family Territories (Enc)'!$B$2:$B$62,C690,'[1]Brand Family Territories (Enc)'!$C$2:$C$62,B690)&gt;0,1,IF(AND(LEFT(B690,6)="MORRIS",COUNTIFS('[1]Brand Family Territories (Enc)'!$B$2:$B$62,C690,'[1]Brand Family Territories (Enc)'!$C$2:$C$62,"Morri")&gt;0),"Unk",0))</f>
        <v>0</v>
      </c>
      <c r="E690" s="2" t="str">
        <f>IFERROR(INDEX('Blackout Brand Fam Areas (Enc)'!$D$6:$D$998,MATCH(UPPER(A690)&amp;"|"&amp;UPPER(B690),'Blackout Brand Fam Areas (Enc)'!$G$6:$G$998,0)),"No Match")</f>
        <v>Inactive</v>
      </c>
      <c r="F690" s="2" t="str">
        <f t="shared" si="20"/>
        <v>THEM</v>
      </c>
      <c r="G690" s="2" t="str">
        <f t="shared" si="21"/>
        <v>Pacifico|MORRIS 2</v>
      </c>
    </row>
    <row r="691" spans="1:7" x14ac:dyDescent="0.2">
      <c r="A691" s="2" t="str" cm="1">
        <f t="array" ref="A691">INDEX('[1]Brand Family Territory (Enc)'!$A$2:$A$296,INT((ROW()-2)/10)+1)</f>
        <v>Pacifico</v>
      </c>
      <c r="B691" s="2" t="str" cm="1">
        <f t="array" ref="B691">INDEX('Whitelist (Blackout Reverse)'!$B$1:$K$1,MOD(ROW()-2,10)+1)</f>
        <v>MORRIS 3</v>
      </c>
      <c r="C691" s="2" t="str">
        <f>VLOOKUP(A691,'[1]Brand Family Territory (Enc)'!$A$2:$B$296,2,FALSE)</f>
        <v>Core Market</v>
      </c>
      <c r="D691" s="2">
        <f>IF(COUNTIFS('[1]Brand Family Territories (Enc)'!$B$2:$B$62,C691,'[1]Brand Family Territories (Enc)'!$C$2:$C$62,B691)&gt;0,1,IF(AND(LEFT(B691,6)="MORRIS",COUNTIFS('[1]Brand Family Territories (Enc)'!$B$2:$B$62,C691,'[1]Brand Family Territories (Enc)'!$C$2:$C$62,"Morri")&gt;0),"Unk",0))</f>
        <v>1</v>
      </c>
      <c r="E691" s="2" t="str">
        <f>IFERROR(INDEX('Blackout Brand Fam Areas (Enc)'!$D$6:$D$998,MATCH(UPPER(A691)&amp;"|"&amp;UPPER(B691),'Blackout Brand Fam Areas (Enc)'!$G$6:$G$998,0)),"No Match")</f>
        <v>No Match</v>
      </c>
      <c r="F691" s="2" t="str">
        <f t="shared" si="20"/>
        <v>US</v>
      </c>
      <c r="G691" s="2" t="str">
        <f t="shared" si="21"/>
        <v>Pacifico|MORRIS 3</v>
      </c>
    </row>
    <row r="692" spans="1:7" x14ac:dyDescent="0.2">
      <c r="A692" s="2" t="str" cm="1">
        <f t="array" ref="A692">INDEX('[1]Brand Family Territory (Enc)'!$A$2:$A$296,INT((ROW()-2)/10)+1)</f>
        <v>Peroni</v>
      </c>
      <c r="B692" s="2" t="str" cm="1">
        <f t="array" ref="B692">INDEX('Whitelist (Blackout Reverse)'!$B$1:$K$1,MOD(ROW()-2,10)+1)</f>
        <v>BERGEN</v>
      </c>
      <c r="C692" s="2" t="str">
        <f>VLOOKUP(A692,'[1]Brand Family Territory (Enc)'!$A$2:$B$296,2,FALSE)</f>
        <v>Core Market</v>
      </c>
      <c r="D692" s="2">
        <f>IF(COUNTIFS('[1]Brand Family Territories (Enc)'!$B$2:$B$62,C692,'[1]Brand Family Territories (Enc)'!$C$2:$C$62,B692)&gt;0,1,IF(AND(LEFT(B692,6)="MORRIS",COUNTIFS('[1]Brand Family Territories (Enc)'!$B$2:$B$62,C692,'[1]Brand Family Territories (Enc)'!$C$2:$C$62,"Morri")&gt;0),"Unk",0))</f>
        <v>1</v>
      </c>
      <c r="E692" s="2" t="str">
        <f>IFERROR(INDEX('Blackout Brand Fam Areas (Enc)'!$D$6:$D$998,MATCH(UPPER(A692)&amp;"|"&amp;UPPER(B692),'Blackout Brand Fam Areas (Enc)'!$G$6:$G$998,0)),"No Match")</f>
        <v>No Match</v>
      </c>
      <c r="F692" s="2" t="str">
        <f t="shared" si="20"/>
        <v>US</v>
      </c>
      <c r="G692" s="2" t="str">
        <f t="shared" si="21"/>
        <v>Peroni|BERGEN</v>
      </c>
    </row>
    <row r="693" spans="1:7" x14ac:dyDescent="0.2">
      <c r="A693" s="2" t="str" cm="1">
        <f t="array" ref="A693">INDEX('[1]Brand Family Territory (Enc)'!$A$2:$A$296,INT((ROW()-2)/10)+1)</f>
        <v>Peroni</v>
      </c>
      <c r="B693" s="2" t="str" cm="1">
        <f t="array" ref="B693">INDEX('Whitelist (Blackout Reverse)'!$B$1:$K$1,MOD(ROW()-2,10)+1)</f>
        <v>PASSAIC</v>
      </c>
      <c r="C693" s="2" t="str">
        <f>VLOOKUP(A693,'[1]Brand Family Territory (Enc)'!$A$2:$B$296,2,FALSE)</f>
        <v>Core Market</v>
      </c>
      <c r="D693" s="2">
        <f>IF(COUNTIFS('[1]Brand Family Territories (Enc)'!$B$2:$B$62,C693,'[1]Brand Family Territories (Enc)'!$C$2:$C$62,B693)&gt;0,1,IF(AND(LEFT(B693,6)="MORRIS",COUNTIFS('[1]Brand Family Territories (Enc)'!$B$2:$B$62,C693,'[1]Brand Family Territories (Enc)'!$C$2:$C$62,"Morri")&gt;0),"Unk",0))</f>
        <v>1</v>
      </c>
      <c r="E693" s="2" t="str">
        <f>IFERROR(INDEX('Blackout Brand Fam Areas (Enc)'!$D$6:$D$998,MATCH(UPPER(A693)&amp;"|"&amp;UPPER(B693),'Blackout Brand Fam Areas (Enc)'!$G$6:$G$998,0)),"No Match")</f>
        <v>No Match</v>
      </c>
      <c r="F693" s="2" t="str">
        <f t="shared" si="20"/>
        <v>US</v>
      </c>
      <c r="G693" s="2" t="str">
        <f t="shared" si="21"/>
        <v>Peroni|PASSAIC</v>
      </c>
    </row>
    <row r="694" spans="1:7" x14ac:dyDescent="0.2">
      <c r="A694" s="2" t="str" cm="1">
        <f t="array" ref="A694">INDEX('[1]Brand Family Territory (Enc)'!$A$2:$A$296,INT((ROW()-2)/10)+1)</f>
        <v>Peroni</v>
      </c>
      <c r="B694" s="2" t="str" cm="1">
        <f t="array" ref="B694">INDEX('Whitelist (Blackout Reverse)'!$B$1:$K$1,MOD(ROW()-2,10)+1)</f>
        <v>PASSAIC-FF</v>
      </c>
      <c r="C694" s="2" t="str">
        <f>VLOOKUP(A694,'[1]Brand Family Territory (Enc)'!$A$2:$B$296,2,FALSE)</f>
        <v>Core Market</v>
      </c>
      <c r="D694" s="2">
        <f>IF(COUNTIFS('[1]Brand Family Territories (Enc)'!$B$2:$B$62,C694,'[1]Brand Family Territories (Enc)'!$C$2:$C$62,B694)&gt;0,1,IF(AND(LEFT(B694,6)="MORRIS",COUNTIFS('[1]Brand Family Territories (Enc)'!$B$2:$B$62,C694,'[1]Brand Family Territories (Enc)'!$C$2:$C$62,"Morri")&gt;0),"Unk",0))</f>
        <v>1</v>
      </c>
      <c r="E694" s="2" t="str">
        <f>IFERROR(INDEX('Blackout Brand Fam Areas (Enc)'!$D$6:$D$998,MATCH(UPPER(A694)&amp;"|"&amp;UPPER(B694),'Blackout Brand Fam Areas (Enc)'!$G$6:$G$998,0)),"No Match")</f>
        <v>No Match</v>
      </c>
      <c r="F694" s="2" t="str">
        <f t="shared" si="20"/>
        <v>US</v>
      </c>
      <c r="G694" s="2" t="str">
        <f t="shared" si="21"/>
        <v>Peroni|PASSAIC-FF</v>
      </c>
    </row>
    <row r="695" spans="1:7" x14ac:dyDescent="0.2">
      <c r="A695" s="2" t="str" cm="1">
        <f t="array" ref="A695">INDEX('[1]Brand Family Territory (Enc)'!$A$2:$A$296,INT((ROW()-2)/10)+1)</f>
        <v>Peroni</v>
      </c>
      <c r="B695" s="2" t="str" cm="1">
        <f t="array" ref="B695">INDEX('Whitelist (Blackout Reverse)'!$B$1:$K$1,MOD(ROW()-2,10)+1)</f>
        <v>ESSEX</v>
      </c>
      <c r="C695" s="2" t="str">
        <f>VLOOKUP(A695,'[1]Brand Family Territory (Enc)'!$A$2:$B$296,2,FALSE)</f>
        <v>Core Market</v>
      </c>
      <c r="D695" s="2">
        <f>IF(COUNTIFS('[1]Brand Family Territories (Enc)'!$B$2:$B$62,C695,'[1]Brand Family Territories (Enc)'!$C$2:$C$62,B695)&gt;0,1,IF(AND(LEFT(B695,6)="MORRIS",COUNTIFS('[1]Brand Family Territories (Enc)'!$B$2:$B$62,C695,'[1]Brand Family Territories (Enc)'!$C$2:$C$62,"Morri")&gt;0),"Unk",0))</f>
        <v>0</v>
      </c>
      <c r="E695" s="2" t="str">
        <f>IFERROR(INDEX('Blackout Brand Fam Areas (Enc)'!$D$6:$D$998,MATCH(UPPER(A695)&amp;"|"&amp;UPPER(B695),'Blackout Brand Fam Areas (Enc)'!$G$6:$G$998,0)),"No Match")</f>
        <v>Inactive</v>
      </c>
      <c r="F695" s="2" t="str">
        <f t="shared" si="20"/>
        <v>THEM</v>
      </c>
      <c r="G695" s="2" t="str">
        <f t="shared" si="21"/>
        <v>Peroni|ESSEX</v>
      </c>
    </row>
    <row r="696" spans="1:7" x14ac:dyDescent="0.2">
      <c r="A696" s="2" t="str" cm="1">
        <f t="array" ref="A696">INDEX('[1]Brand Family Territory (Enc)'!$A$2:$A$296,INT((ROW()-2)/10)+1)</f>
        <v>Peroni</v>
      </c>
      <c r="B696" s="2" t="str" cm="1">
        <f t="array" ref="B696">INDEX('Whitelist (Blackout Reverse)'!$B$1:$K$1,MOD(ROW()-2,10)+1)</f>
        <v>HUDSON</v>
      </c>
      <c r="C696" s="2" t="str">
        <f>VLOOKUP(A696,'[1]Brand Family Territory (Enc)'!$A$2:$B$296,2,FALSE)</f>
        <v>Core Market</v>
      </c>
      <c r="D696" s="2">
        <f>IF(COUNTIFS('[1]Brand Family Territories (Enc)'!$B$2:$B$62,C696,'[1]Brand Family Territories (Enc)'!$C$2:$C$62,B696)&gt;0,1,IF(AND(LEFT(B696,6)="MORRIS",COUNTIFS('[1]Brand Family Territories (Enc)'!$B$2:$B$62,C696,'[1]Brand Family Territories (Enc)'!$C$2:$C$62,"Morri")&gt;0),"Unk",0))</f>
        <v>0</v>
      </c>
      <c r="E696" s="2" t="str">
        <f>IFERROR(INDEX('Blackout Brand Fam Areas (Enc)'!$D$6:$D$998,MATCH(UPPER(A696)&amp;"|"&amp;UPPER(B696),'Blackout Brand Fam Areas (Enc)'!$G$6:$G$998,0)),"No Match")</f>
        <v>Inactive</v>
      </c>
      <c r="F696" s="2" t="str">
        <f t="shared" si="20"/>
        <v>THEM</v>
      </c>
      <c r="G696" s="2" t="str">
        <f t="shared" si="21"/>
        <v>Peroni|HUDSON</v>
      </c>
    </row>
    <row r="697" spans="1:7" x14ac:dyDescent="0.2">
      <c r="A697" s="2" t="str" cm="1">
        <f t="array" ref="A697">INDEX('[1]Brand Family Territory (Enc)'!$A$2:$A$296,INT((ROW()-2)/10)+1)</f>
        <v>Peroni</v>
      </c>
      <c r="B697" s="2" t="str" cm="1">
        <f t="array" ref="B697">INDEX('Whitelist (Blackout Reverse)'!$B$1:$K$1,MOD(ROW()-2,10)+1)</f>
        <v>UNION</v>
      </c>
      <c r="C697" s="2" t="str">
        <f>VLOOKUP(A697,'[1]Brand Family Territory (Enc)'!$A$2:$B$296,2,FALSE)</f>
        <v>Core Market</v>
      </c>
      <c r="D697" s="2">
        <f>IF(COUNTIFS('[1]Brand Family Territories (Enc)'!$B$2:$B$62,C697,'[1]Brand Family Territories (Enc)'!$C$2:$C$62,B697)&gt;0,1,IF(AND(LEFT(B697,6)="MORRIS",COUNTIFS('[1]Brand Family Territories (Enc)'!$B$2:$B$62,C697,'[1]Brand Family Territories (Enc)'!$C$2:$C$62,"Morri")&gt;0),"Unk",0))</f>
        <v>0</v>
      </c>
      <c r="E697" s="2" t="str">
        <f>IFERROR(INDEX('Blackout Brand Fam Areas (Enc)'!$D$6:$D$998,MATCH(UPPER(A697)&amp;"|"&amp;UPPER(B697),'Blackout Brand Fam Areas (Enc)'!$G$6:$G$998,0)),"No Match")</f>
        <v>Inactive</v>
      </c>
      <c r="F697" s="2" t="str">
        <f t="shared" si="20"/>
        <v>THEM</v>
      </c>
      <c r="G697" s="2" t="str">
        <f t="shared" si="21"/>
        <v>Peroni|UNION</v>
      </c>
    </row>
    <row r="698" spans="1:7" x14ac:dyDescent="0.2">
      <c r="A698" s="2" t="str" cm="1">
        <f t="array" ref="A698">INDEX('[1]Brand Family Territory (Enc)'!$A$2:$A$296,INT((ROW()-2)/10)+1)</f>
        <v>Peroni</v>
      </c>
      <c r="B698" s="2" t="str" cm="1">
        <f t="array" ref="B698">INDEX('Whitelist (Blackout Reverse)'!$B$1:$K$1,MOD(ROW()-2,10)+1)</f>
        <v>SUSSEX</v>
      </c>
      <c r="C698" s="2" t="str">
        <f>VLOOKUP(A698,'[1]Brand Family Territory (Enc)'!$A$2:$B$296,2,FALSE)</f>
        <v>Core Market</v>
      </c>
      <c r="D698" s="2">
        <f>IF(COUNTIFS('[1]Brand Family Territories (Enc)'!$B$2:$B$62,C698,'[1]Brand Family Territories (Enc)'!$C$2:$C$62,B698)&gt;0,1,IF(AND(LEFT(B698,6)="MORRIS",COUNTIFS('[1]Brand Family Territories (Enc)'!$B$2:$B$62,C698,'[1]Brand Family Territories (Enc)'!$C$2:$C$62,"Morri")&gt;0),"Unk",0))</f>
        <v>1</v>
      </c>
      <c r="E698" s="2" t="str">
        <f>IFERROR(INDEX('Blackout Brand Fam Areas (Enc)'!$D$6:$D$998,MATCH(UPPER(A698)&amp;"|"&amp;UPPER(B698),'Blackout Brand Fam Areas (Enc)'!$G$6:$G$998,0)),"No Match")</f>
        <v>No Match</v>
      </c>
      <c r="F698" s="2" t="str">
        <f t="shared" si="20"/>
        <v>US</v>
      </c>
      <c r="G698" s="2" t="str">
        <f t="shared" si="21"/>
        <v>Peroni|SUSSEX</v>
      </c>
    </row>
    <row r="699" spans="1:7" x14ac:dyDescent="0.2">
      <c r="A699" s="2" t="str" cm="1">
        <f t="array" ref="A699">INDEX('[1]Brand Family Territory (Enc)'!$A$2:$A$296,INT((ROW()-2)/10)+1)</f>
        <v>Peroni</v>
      </c>
      <c r="B699" s="2" t="str" cm="1">
        <f t="array" ref="B699">INDEX('Whitelist (Blackout Reverse)'!$B$1:$K$1,MOD(ROW()-2,10)+1)</f>
        <v>MORRIS 1</v>
      </c>
      <c r="C699" s="2" t="str">
        <f>VLOOKUP(A699,'[1]Brand Family Territory (Enc)'!$A$2:$B$296,2,FALSE)</f>
        <v>Core Market</v>
      </c>
      <c r="D699" s="2">
        <f>IF(COUNTIFS('[1]Brand Family Territories (Enc)'!$B$2:$B$62,C699,'[1]Brand Family Territories (Enc)'!$C$2:$C$62,B699)&gt;0,1,IF(AND(LEFT(B699,6)="MORRIS",COUNTIFS('[1]Brand Family Territories (Enc)'!$B$2:$B$62,C699,'[1]Brand Family Territories (Enc)'!$C$2:$C$62,"Morri")&gt;0),"Unk",0))</f>
        <v>1</v>
      </c>
      <c r="E699" s="2" t="str">
        <f>IFERROR(INDEX('Blackout Brand Fam Areas (Enc)'!$D$6:$D$998,MATCH(UPPER(A699)&amp;"|"&amp;UPPER(B699),'Blackout Brand Fam Areas (Enc)'!$G$6:$G$998,0)),"No Match")</f>
        <v>No Match</v>
      </c>
      <c r="F699" s="2" t="str">
        <f t="shared" si="20"/>
        <v>US</v>
      </c>
      <c r="G699" s="2" t="str">
        <f t="shared" si="21"/>
        <v>Peroni|MORRIS 1</v>
      </c>
    </row>
    <row r="700" spans="1:7" x14ac:dyDescent="0.2">
      <c r="A700" s="2" t="str" cm="1">
        <f t="array" ref="A700">INDEX('[1]Brand Family Territory (Enc)'!$A$2:$A$296,INT((ROW()-2)/10)+1)</f>
        <v>Peroni</v>
      </c>
      <c r="B700" s="2" t="str" cm="1">
        <f t="array" ref="B700">INDEX('Whitelist (Blackout Reverse)'!$B$1:$K$1,MOD(ROW()-2,10)+1)</f>
        <v>MORRIS 2</v>
      </c>
      <c r="C700" s="2" t="str">
        <f>VLOOKUP(A700,'[1]Brand Family Territory (Enc)'!$A$2:$B$296,2,FALSE)</f>
        <v>Core Market</v>
      </c>
      <c r="D700" s="2">
        <f>IF(COUNTIFS('[1]Brand Family Territories (Enc)'!$B$2:$B$62,C700,'[1]Brand Family Territories (Enc)'!$C$2:$C$62,B700)&gt;0,1,IF(AND(LEFT(B700,6)="MORRIS",COUNTIFS('[1]Brand Family Territories (Enc)'!$B$2:$B$62,C700,'[1]Brand Family Territories (Enc)'!$C$2:$C$62,"Morri")&gt;0),"Unk",0))</f>
        <v>0</v>
      </c>
      <c r="E700" s="2" t="str">
        <f>IFERROR(INDEX('Blackout Brand Fam Areas (Enc)'!$D$6:$D$998,MATCH(UPPER(A700)&amp;"|"&amp;UPPER(B700),'Blackout Brand Fam Areas (Enc)'!$G$6:$G$998,0)),"No Match")</f>
        <v>Inactive</v>
      </c>
      <c r="F700" s="2" t="str">
        <f t="shared" si="20"/>
        <v>THEM</v>
      </c>
      <c r="G700" s="2" t="str">
        <f t="shared" si="21"/>
        <v>Peroni|MORRIS 2</v>
      </c>
    </row>
    <row r="701" spans="1:7" x14ac:dyDescent="0.2">
      <c r="A701" s="2" t="str" cm="1">
        <f t="array" ref="A701">INDEX('[1]Brand Family Territory (Enc)'!$A$2:$A$296,INT((ROW()-2)/10)+1)</f>
        <v>Peroni</v>
      </c>
      <c r="B701" s="2" t="str" cm="1">
        <f t="array" ref="B701">INDEX('Whitelist (Blackout Reverse)'!$B$1:$K$1,MOD(ROW()-2,10)+1)</f>
        <v>MORRIS 3</v>
      </c>
      <c r="C701" s="2" t="str">
        <f>VLOOKUP(A701,'[1]Brand Family Territory (Enc)'!$A$2:$B$296,2,FALSE)</f>
        <v>Core Market</v>
      </c>
      <c r="D701" s="2">
        <f>IF(COUNTIFS('[1]Brand Family Territories (Enc)'!$B$2:$B$62,C701,'[1]Brand Family Territories (Enc)'!$C$2:$C$62,B701)&gt;0,1,IF(AND(LEFT(B701,6)="MORRIS",COUNTIFS('[1]Brand Family Territories (Enc)'!$B$2:$B$62,C701,'[1]Brand Family Territories (Enc)'!$C$2:$C$62,"Morri")&gt;0),"Unk",0))</f>
        <v>1</v>
      </c>
      <c r="E701" s="2" t="str">
        <f>IFERROR(INDEX('Blackout Brand Fam Areas (Enc)'!$D$6:$D$998,MATCH(UPPER(A701)&amp;"|"&amp;UPPER(B701),'Blackout Brand Fam Areas (Enc)'!$G$6:$G$998,0)),"No Match")</f>
        <v>No Match</v>
      </c>
      <c r="F701" s="2" t="str">
        <f t="shared" si="20"/>
        <v>US</v>
      </c>
      <c r="G701" s="2" t="str">
        <f t="shared" si="21"/>
        <v>Peroni|MORRIS 3</v>
      </c>
    </row>
    <row r="702" spans="1:7" x14ac:dyDescent="0.2">
      <c r="A702" s="2" t="str" cm="1">
        <f t="array" ref="A702">INDEX('[1]Brand Family Territory (Enc)'!$A$2:$A$296,INT((ROW()-2)/10)+1)</f>
        <v>Pilsner Urquell</v>
      </c>
      <c r="B702" s="2" t="str" cm="1">
        <f t="array" ref="B702">INDEX('Whitelist (Blackout Reverse)'!$B$1:$K$1,MOD(ROW()-2,10)+1)</f>
        <v>BERGEN</v>
      </c>
      <c r="C702" s="2" t="str">
        <f>VLOOKUP(A702,'[1]Brand Family Territory (Enc)'!$A$2:$B$296,2,FALSE)</f>
        <v>Core Market</v>
      </c>
      <c r="D702" s="2">
        <f>IF(COUNTIFS('[1]Brand Family Territories (Enc)'!$B$2:$B$62,C702,'[1]Brand Family Territories (Enc)'!$C$2:$C$62,B702)&gt;0,1,IF(AND(LEFT(B702,6)="MORRIS",COUNTIFS('[1]Brand Family Territories (Enc)'!$B$2:$B$62,C702,'[1]Brand Family Territories (Enc)'!$C$2:$C$62,"Morri")&gt;0),"Unk",0))</f>
        <v>1</v>
      </c>
      <c r="E702" s="2" t="str">
        <f>IFERROR(INDEX('Blackout Brand Fam Areas (Enc)'!$D$6:$D$998,MATCH(UPPER(A702)&amp;"|"&amp;UPPER(B702),'Blackout Brand Fam Areas (Enc)'!$G$6:$G$998,0)),"No Match")</f>
        <v>No Match</v>
      </c>
      <c r="F702" s="2" t="str">
        <f t="shared" si="20"/>
        <v>US</v>
      </c>
      <c r="G702" s="2" t="str">
        <f t="shared" si="21"/>
        <v>Pilsner Urquell|BERGEN</v>
      </c>
    </row>
    <row r="703" spans="1:7" x14ac:dyDescent="0.2">
      <c r="A703" s="2" t="str" cm="1">
        <f t="array" ref="A703">INDEX('[1]Brand Family Territory (Enc)'!$A$2:$A$296,INT((ROW()-2)/10)+1)</f>
        <v>Pilsner Urquell</v>
      </c>
      <c r="B703" s="2" t="str" cm="1">
        <f t="array" ref="B703">INDEX('Whitelist (Blackout Reverse)'!$B$1:$K$1,MOD(ROW()-2,10)+1)</f>
        <v>PASSAIC</v>
      </c>
      <c r="C703" s="2" t="str">
        <f>VLOOKUP(A703,'[1]Brand Family Territory (Enc)'!$A$2:$B$296,2,FALSE)</f>
        <v>Core Market</v>
      </c>
      <c r="D703" s="2">
        <f>IF(COUNTIFS('[1]Brand Family Territories (Enc)'!$B$2:$B$62,C703,'[1]Brand Family Territories (Enc)'!$C$2:$C$62,B703)&gt;0,1,IF(AND(LEFT(B703,6)="MORRIS",COUNTIFS('[1]Brand Family Territories (Enc)'!$B$2:$B$62,C703,'[1]Brand Family Territories (Enc)'!$C$2:$C$62,"Morri")&gt;0),"Unk",0))</f>
        <v>1</v>
      </c>
      <c r="E703" s="2" t="str">
        <f>IFERROR(INDEX('Blackout Brand Fam Areas (Enc)'!$D$6:$D$998,MATCH(UPPER(A703)&amp;"|"&amp;UPPER(B703),'Blackout Brand Fam Areas (Enc)'!$G$6:$G$998,0)),"No Match")</f>
        <v>No Match</v>
      </c>
      <c r="F703" s="2" t="str">
        <f t="shared" si="20"/>
        <v>US</v>
      </c>
      <c r="G703" s="2" t="str">
        <f t="shared" si="21"/>
        <v>Pilsner Urquell|PASSAIC</v>
      </c>
    </row>
    <row r="704" spans="1:7" x14ac:dyDescent="0.2">
      <c r="A704" s="2" t="str" cm="1">
        <f t="array" ref="A704">INDEX('[1]Brand Family Territory (Enc)'!$A$2:$A$296,INT((ROW()-2)/10)+1)</f>
        <v>Pilsner Urquell</v>
      </c>
      <c r="B704" s="2" t="str" cm="1">
        <f t="array" ref="B704">INDEX('Whitelist (Blackout Reverse)'!$B$1:$K$1,MOD(ROW()-2,10)+1)</f>
        <v>PASSAIC-FF</v>
      </c>
      <c r="C704" s="2" t="str">
        <f>VLOOKUP(A704,'[1]Brand Family Territory (Enc)'!$A$2:$B$296,2,FALSE)</f>
        <v>Core Market</v>
      </c>
      <c r="D704" s="2">
        <f>IF(COUNTIFS('[1]Brand Family Territories (Enc)'!$B$2:$B$62,C704,'[1]Brand Family Territories (Enc)'!$C$2:$C$62,B704)&gt;0,1,IF(AND(LEFT(B704,6)="MORRIS",COUNTIFS('[1]Brand Family Territories (Enc)'!$B$2:$B$62,C704,'[1]Brand Family Territories (Enc)'!$C$2:$C$62,"Morri")&gt;0),"Unk",0))</f>
        <v>1</v>
      </c>
      <c r="E704" s="2" t="str">
        <f>IFERROR(INDEX('Blackout Brand Fam Areas (Enc)'!$D$6:$D$998,MATCH(UPPER(A704)&amp;"|"&amp;UPPER(B704),'Blackout Brand Fam Areas (Enc)'!$G$6:$G$998,0)),"No Match")</f>
        <v>No Match</v>
      </c>
      <c r="F704" s="2" t="str">
        <f t="shared" si="20"/>
        <v>US</v>
      </c>
      <c r="G704" s="2" t="str">
        <f t="shared" si="21"/>
        <v>Pilsner Urquell|PASSAIC-FF</v>
      </c>
    </row>
    <row r="705" spans="1:7" x14ac:dyDescent="0.2">
      <c r="A705" s="2" t="str" cm="1">
        <f t="array" ref="A705">INDEX('[1]Brand Family Territory (Enc)'!$A$2:$A$296,INT((ROW()-2)/10)+1)</f>
        <v>Pilsner Urquell</v>
      </c>
      <c r="B705" s="2" t="str" cm="1">
        <f t="array" ref="B705">INDEX('Whitelist (Blackout Reverse)'!$B$1:$K$1,MOD(ROW()-2,10)+1)</f>
        <v>ESSEX</v>
      </c>
      <c r="C705" s="2" t="str">
        <f>VLOOKUP(A705,'[1]Brand Family Territory (Enc)'!$A$2:$B$296,2,FALSE)</f>
        <v>Core Market</v>
      </c>
      <c r="D705" s="2">
        <f>IF(COUNTIFS('[1]Brand Family Territories (Enc)'!$B$2:$B$62,C705,'[1]Brand Family Territories (Enc)'!$C$2:$C$62,B705)&gt;0,1,IF(AND(LEFT(B705,6)="MORRIS",COUNTIFS('[1]Brand Family Territories (Enc)'!$B$2:$B$62,C705,'[1]Brand Family Territories (Enc)'!$C$2:$C$62,"Morri")&gt;0),"Unk",0))</f>
        <v>0</v>
      </c>
      <c r="E705" s="2" t="str">
        <f>IFERROR(INDEX('Blackout Brand Fam Areas (Enc)'!$D$6:$D$998,MATCH(UPPER(A705)&amp;"|"&amp;UPPER(B705),'Blackout Brand Fam Areas (Enc)'!$G$6:$G$998,0)),"No Match")</f>
        <v>Inactive</v>
      </c>
      <c r="F705" s="2" t="str">
        <f t="shared" si="20"/>
        <v>THEM</v>
      </c>
      <c r="G705" s="2" t="str">
        <f t="shared" si="21"/>
        <v>Pilsner Urquell|ESSEX</v>
      </c>
    </row>
    <row r="706" spans="1:7" x14ac:dyDescent="0.2">
      <c r="A706" s="2" t="str" cm="1">
        <f t="array" ref="A706">INDEX('[1]Brand Family Territory (Enc)'!$A$2:$A$296,INT((ROW()-2)/10)+1)</f>
        <v>Pilsner Urquell</v>
      </c>
      <c r="B706" s="2" t="str" cm="1">
        <f t="array" ref="B706">INDEX('Whitelist (Blackout Reverse)'!$B$1:$K$1,MOD(ROW()-2,10)+1)</f>
        <v>HUDSON</v>
      </c>
      <c r="C706" s="2" t="str">
        <f>VLOOKUP(A706,'[1]Brand Family Territory (Enc)'!$A$2:$B$296,2,FALSE)</f>
        <v>Core Market</v>
      </c>
      <c r="D706" s="2">
        <f>IF(COUNTIFS('[1]Brand Family Territories (Enc)'!$B$2:$B$62,C706,'[1]Brand Family Territories (Enc)'!$C$2:$C$62,B706)&gt;0,1,IF(AND(LEFT(B706,6)="MORRIS",COUNTIFS('[1]Brand Family Territories (Enc)'!$B$2:$B$62,C706,'[1]Brand Family Territories (Enc)'!$C$2:$C$62,"Morri")&gt;0),"Unk",0))</f>
        <v>0</v>
      </c>
      <c r="E706" s="2" t="str">
        <f>IFERROR(INDEX('Blackout Brand Fam Areas (Enc)'!$D$6:$D$998,MATCH(UPPER(A706)&amp;"|"&amp;UPPER(B706),'Blackout Brand Fam Areas (Enc)'!$G$6:$G$998,0)),"No Match")</f>
        <v>Inactive</v>
      </c>
      <c r="F706" s="2" t="str">
        <f t="shared" si="20"/>
        <v>THEM</v>
      </c>
      <c r="G706" s="2" t="str">
        <f t="shared" si="21"/>
        <v>Pilsner Urquell|HUDSON</v>
      </c>
    </row>
    <row r="707" spans="1:7" x14ac:dyDescent="0.2">
      <c r="A707" s="2" t="str" cm="1">
        <f t="array" ref="A707">INDEX('[1]Brand Family Territory (Enc)'!$A$2:$A$296,INT((ROW()-2)/10)+1)</f>
        <v>Pilsner Urquell</v>
      </c>
      <c r="B707" s="2" t="str" cm="1">
        <f t="array" ref="B707">INDEX('Whitelist (Blackout Reverse)'!$B$1:$K$1,MOD(ROW()-2,10)+1)</f>
        <v>UNION</v>
      </c>
      <c r="C707" s="2" t="str">
        <f>VLOOKUP(A707,'[1]Brand Family Territory (Enc)'!$A$2:$B$296,2,FALSE)</f>
        <v>Core Market</v>
      </c>
      <c r="D707" s="2">
        <f>IF(COUNTIFS('[1]Brand Family Territories (Enc)'!$B$2:$B$62,C707,'[1]Brand Family Territories (Enc)'!$C$2:$C$62,B707)&gt;0,1,IF(AND(LEFT(B707,6)="MORRIS",COUNTIFS('[1]Brand Family Territories (Enc)'!$B$2:$B$62,C707,'[1]Brand Family Territories (Enc)'!$C$2:$C$62,"Morri")&gt;0),"Unk",0))</f>
        <v>0</v>
      </c>
      <c r="E707" s="2" t="str">
        <f>IFERROR(INDEX('Blackout Brand Fam Areas (Enc)'!$D$6:$D$998,MATCH(UPPER(A707)&amp;"|"&amp;UPPER(B707),'Blackout Brand Fam Areas (Enc)'!$G$6:$G$998,0)),"No Match")</f>
        <v>Inactive</v>
      </c>
      <c r="F707" s="2" t="str">
        <f t="shared" ref="F707:F770" si="22">IF(D707="Unk","Ambiguous (Source Truncated)",IF(E707="Inactive","THEM",IF(D707=1,"US",IF(D707="N/A","No Territory Data","THEM"))))</f>
        <v>THEM</v>
      </c>
      <c r="G707" s="2" t="str">
        <f t="shared" ref="G707:G770" si="23">A707&amp;"|"&amp;B707</f>
        <v>Pilsner Urquell|UNION</v>
      </c>
    </row>
    <row r="708" spans="1:7" x14ac:dyDescent="0.2">
      <c r="A708" s="2" t="str" cm="1">
        <f t="array" ref="A708">INDEX('[1]Brand Family Territory (Enc)'!$A$2:$A$296,INT((ROW()-2)/10)+1)</f>
        <v>Pilsner Urquell</v>
      </c>
      <c r="B708" s="2" t="str" cm="1">
        <f t="array" ref="B708">INDEX('Whitelist (Blackout Reverse)'!$B$1:$K$1,MOD(ROW()-2,10)+1)</f>
        <v>SUSSEX</v>
      </c>
      <c r="C708" s="2" t="str">
        <f>VLOOKUP(A708,'[1]Brand Family Territory (Enc)'!$A$2:$B$296,2,FALSE)</f>
        <v>Core Market</v>
      </c>
      <c r="D708" s="2">
        <f>IF(COUNTIFS('[1]Brand Family Territories (Enc)'!$B$2:$B$62,C708,'[1]Brand Family Territories (Enc)'!$C$2:$C$62,B708)&gt;0,1,IF(AND(LEFT(B708,6)="MORRIS",COUNTIFS('[1]Brand Family Territories (Enc)'!$B$2:$B$62,C708,'[1]Brand Family Territories (Enc)'!$C$2:$C$62,"Morri")&gt;0),"Unk",0))</f>
        <v>1</v>
      </c>
      <c r="E708" s="2" t="str">
        <f>IFERROR(INDEX('Blackout Brand Fam Areas (Enc)'!$D$6:$D$998,MATCH(UPPER(A708)&amp;"|"&amp;UPPER(B708),'Blackout Brand Fam Areas (Enc)'!$G$6:$G$998,0)),"No Match")</f>
        <v>No Match</v>
      </c>
      <c r="F708" s="2" t="str">
        <f t="shared" si="22"/>
        <v>US</v>
      </c>
      <c r="G708" s="2" t="str">
        <f t="shared" si="23"/>
        <v>Pilsner Urquell|SUSSEX</v>
      </c>
    </row>
    <row r="709" spans="1:7" x14ac:dyDescent="0.2">
      <c r="A709" s="2" t="str" cm="1">
        <f t="array" ref="A709">INDEX('[1]Brand Family Territory (Enc)'!$A$2:$A$296,INT((ROW()-2)/10)+1)</f>
        <v>Pilsner Urquell</v>
      </c>
      <c r="B709" s="2" t="str" cm="1">
        <f t="array" ref="B709">INDEX('Whitelist (Blackout Reverse)'!$B$1:$K$1,MOD(ROW()-2,10)+1)</f>
        <v>MORRIS 1</v>
      </c>
      <c r="C709" s="2" t="str">
        <f>VLOOKUP(A709,'[1]Brand Family Territory (Enc)'!$A$2:$B$296,2,FALSE)</f>
        <v>Core Market</v>
      </c>
      <c r="D709" s="2">
        <f>IF(COUNTIFS('[1]Brand Family Territories (Enc)'!$B$2:$B$62,C709,'[1]Brand Family Territories (Enc)'!$C$2:$C$62,B709)&gt;0,1,IF(AND(LEFT(B709,6)="MORRIS",COUNTIFS('[1]Brand Family Territories (Enc)'!$B$2:$B$62,C709,'[1]Brand Family Territories (Enc)'!$C$2:$C$62,"Morri")&gt;0),"Unk",0))</f>
        <v>1</v>
      </c>
      <c r="E709" s="2" t="str">
        <f>IFERROR(INDEX('Blackout Brand Fam Areas (Enc)'!$D$6:$D$998,MATCH(UPPER(A709)&amp;"|"&amp;UPPER(B709),'Blackout Brand Fam Areas (Enc)'!$G$6:$G$998,0)),"No Match")</f>
        <v>No Match</v>
      </c>
      <c r="F709" s="2" t="str">
        <f t="shared" si="22"/>
        <v>US</v>
      </c>
      <c r="G709" s="2" t="str">
        <f t="shared" si="23"/>
        <v>Pilsner Urquell|MORRIS 1</v>
      </c>
    </row>
    <row r="710" spans="1:7" x14ac:dyDescent="0.2">
      <c r="A710" s="2" t="str" cm="1">
        <f t="array" ref="A710">INDEX('[1]Brand Family Territory (Enc)'!$A$2:$A$296,INT((ROW()-2)/10)+1)</f>
        <v>Pilsner Urquell</v>
      </c>
      <c r="B710" s="2" t="str" cm="1">
        <f t="array" ref="B710">INDEX('Whitelist (Blackout Reverse)'!$B$1:$K$1,MOD(ROW()-2,10)+1)</f>
        <v>MORRIS 2</v>
      </c>
      <c r="C710" s="2" t="str">
        <f>VLOOKUP(A710,'[1]Brand Family Territory (Enc)'!$A$2:$B$296,2,FALSE)</f>
        <v>Core Market</v>
      </c>
      <c r="D710" s="2">
        <f>IF(COUNTIFS('[1]Brand Family Territories (Enc)'!$B$2:$B$62,C710,'[1]Brand Family Territories (Enc)'!$C$2:$C$62,B710)&gt;0,1,IF(AND(LEFT(B710,6)="MORRIS",COUNTIFS('[1]Brand Family Territories (Enc)'!$B$2:$B$62,C710,'[1]Brand Family Territories (Enc)'!$C$2:$C$62,"Morri")&gt;0),"Unk",0))</f>
        <v>0</v>
      </c>
      <c r="E710" s="2" t="str">
        <f>IFERROR(INDEX('Blackout Brand Fam Areas (Enc)'!$D$6:$D$998,MATCH(UPPER(A710)&amp;"|"&amp;UPPER(B710),'Blackout Brand Fam Areas (Enc)'!$G$6:$G$998,0)),"No Match")</f>
        <v>Inactive</v>
      </c>
      <c r="F710" s="2" t="str">
        <f t="shared" si="22"/>
        <v>THEM</v>
      </c>
      <c r="G710" s="2" t="str">
        <f t="shared" si="23"/>
        <v>Pilsner Urquell|MORRIS 2</v>
      </c>
    </row>
    <row r="711" spans="1:7" x14ac:dyDescent="0.2">
      <c r="A711" s="2" t="str" cm="1">
        <f t="array" ref="A711">INDEX('[1]Brand Family Territory (Enc)'!$A$2:$A$296,INT((ROW()-2)/10)+1)</f>
        <v>Pilsner Urquell</v>
      </c>
      <c r="B711" s="2" t="str" cm="1">
        <f t="array" ref="B711">INDEX('Whitelist (Blackout Reverse)'!$B$1:$K$1,MOD(ROW()-2,10)+1)</f>
        <v>MORRIS 3</v>
      </c>
      <c r="C711" s="2" t="str">
        <f>VLOOKUP(A711,'[1]Brand Family Territory (Enc)'!$A$2:$B$296,2,FALSE)</f>
        <v>Core Market</v>
      </c>
      <c r="D711" s="2">
        <f>IF(COUNTIFS('[1]Brand Family Territories (Enc)'!$B$2:$B$62,C711,'[1]Brand Family Territories (Enc)'!$C$2:$C$62,B711)&gt;0,1,IF(AND(LEFT(B711,6)="MORRIS",COUNTIFS('[1]Brand Family Territories (Enc)'!$B$2:$B$62,C711,'[1]Brand Family Territories (Enc)'!$C$2:$C$62,"Morri")&gt;0),"Unk",0))</f>
        <v>1</v>
      </c>
      <c r="E711" s="2" t="str">
        <f>IFERROR(INDEX('Blackout Brand Fam Areas (Enc)'!$D$6:$D$998,MATCH(UPPER(A711)&amp;"|"&amp;UPPER(B711),'Blackout Brand Fam Areas (Enc)'!$G$6:$G$998,0)),"No Match")</f>
        <v>No Match</v>
      </c>
      <c r="F711" s="2" t="str">
        <f t="shared" si="22"/>
        <v>US</v>
      </c>
      <c r="G711" s="2" t="str">
        <f t="shared" si="23"/>
        <v>Pilsner Urquell|MORRIS 3</v>
      </c>
    </row>
    <row r="712" spans="1:7" x14ac:dyDescent="0.2">
      <c r="A712" s="2" t="str" cm="1">
        <f t="array" ref="A712">INDEX('[1]Brand Family Territory (Enc)'!$A$2:$A$296,INT((ROW()-2)/10)+1)</f>
        <v>Poggio Torselli</v>
      </c>
      <c r="B712" s="2" t="str" cm="1">
        <f t="array" ref="B712">INDEX('Whitelist (Blackout Reverse)'!$B$1:$K$1,MOD(ROW()-2,10)+1)</f>
        <v>BERGEN</v>
      </c>
      <c r="C712" s="2" t="str">
        <f>VLOOKUP(A712,'[1]Brand Family Territory (Enc)'!$A$2:$B$296,2,FALSE)</f>
        <v>Core Market</v>
      </c>
      <c r="D712" s="2">
        <f>IF(COUNTIFS('[1]Brand Family Territories (Enc)'!$B$2:$B$62,C712,'[1]Brand Family Territories (Enc)'!$C$2:$C$62,B712)&gt;0,1,IF(AND(LEFT(B712,6)="MORRIS",COUNTIFS('[1]Brand Family Territories (Enc)'!$B$2:$B$62,C712,'[1]Brand Family Territories (Enc)'!$C$2:$C$62,"Morri")&gt;0),"Unk",0))</f>
        <v>1</v>
      </c>
      <c r="E712" s="2" t="str">
        <f>IFERROR(INDEX('Blackout Brand Fam Areas (Enc)'!$D$6:$D$998,MATCH(UPPER(A712)&amp;"|"&amp;UPPER(B712),'Blackout Brand Fam Areas (Enc)'!$G$6:$G$998,0)),"No Match")</f>
        <v>No Match</v>
      </c>
      <c r="F712" s="2" t="str">
        <f t="shared" si="22"/>
        <v>US</v>
      </c>
      <c r="G712" s="2" t="str">
        <f t="shared" si="23"/>
        <v>Poggio Torselli|BERGEN</v>
      </c>
    </row>
    <row r="713" spans="1:7" x14ac:dyDescent="0.2">
      <c r="A713" s="2" t="str" cm="1">
        <f t="array" ref="A713">INDEX('[1]Brand Family Territory (Enc)'!$A$2:$A$296,INT((ROW()-2)/10)+1)</f>
        <v>Poggio Torselli</v>
      </c>
      <c r="B713" s="2" t="str" cm="1">
        <f t="array" ref="B713">INDEX('Whitelist (Blackout Reverse)'!$B$1:$K$1,MOD(ROW()-2,10)+1)</f>
        <v>PASSAIC</v>
      </c>
      <c r="C713" s="2" t="str">
        <f>VLOOKUP(A713,'[1]Brand Family Territory (Enc)'!$A$2:$B$296,2,FALSE)</f>
        <v>Core Market</v>
      </c>
      <c r="D713" s="2">
        <f>IF(COUNTIFS('[1]Brand Family Territories (Enc)'!$B$2:$B$62,C713,'[1]Brand Family Territories (Enc)'!$C$2:$C$62,B713)&gt;0,1,IF(AND(LEFT(B713,6)="MORRIS",COUNTIFS('[1]Brand Family Territories (Enc)'!$B$2:$B$62,C713,'[1]Brand Family Territories (Enc)'!$C$2:$C$62,"Morri")&gt;0),"Unk",0))</f>
        <v>1</v>
      </c>
      <c r="E713" s="2" t="str">
        <f>IFERROR(INDEX('Blackout Brand Fam Areas (Enc)'!$D$6:$D$998,MATCH(UPPER(A713)&amp;"|"&amp;UPPER(B713),'Blackout Brand Fam Areas (Enc)'!$G$6:$G$998,0)),"No Match")</f>
        <v>No Match</v>
      </c>
      <c r="F713" s="2" t="str">
        <f t="shared" si="22"/>
        <v>US</v>
      </c>
      <c r="G713" s="2" t="str">
        <f t="shared" si="23"/>
        <v>Poggio Torselli|PASSAIC</v>
      </c>
    </row>
    <row r="714" spans="1:7" x14ac:dyDescent="0.2">
      <c r="A714" s="2" t="str" cm="1">
        <f t="array" ref="A714">INDEX('[1]Brand Family Territory (Enc)'!$A$2:$A$296,INT((ROW()-2)/10)+1)</f>
        <v>Poggio Torselli</v>
      </c>
      <c r="B714" s="2" t="str" cm="1">
        <f t="array" ref="B714">INDEX('Whitelist (Blackout Reverse)'!$B$1:$K$1,MOD(ROW()-2,10)+1)</f>
        <v>PASSAIC-FF</v>
      </c>
      <c r="C714" s="2" t="str">
        <f>VLOOKUP(A714,'[1]Brand Family Territory (Enc)'!$A$2:$B$296,2,FALSE)</f>
        <v>Core Market</v>
      </c>
      <c r="D714" s="2">
        <f>IF(COUNTIFS('[1]Brand Family Territories (Enc)'!$B$2:$B$62,C714,'[1]Brand Family Territories (Enc)'!$C$2:$C$62,B714)&gt;0,1,IF(AND(LEFT(B714,6)="MORRIS",COUNTIFS('[1]Brand Family Territories (Enc)'!$B$2:$B$62,C714,'[1]Brand Family Territories (Enc)'!$C$2:$C$62,"Morri")&gt;0),"Unk",0))</f>
        <v>1</v>
      </c>
      <c r="E714" s="2" t="str">
        <f>IFERROR(INDEX('Blackout Brand Fam Areas (Enc)'!$D$6:$D$998,MATCH(UPPER(A714)&amp;"|"&amp;UPPER(B714),'Blackout Brand Fam Areas (Enc)'!$G$6:$G$998,0)),"No Match")</f>
        <v>No Match</v>
      </c>
      <c r="F714" s="2" t="str">
        <f t="shared" si="22"/>
        <v>US</v>
      </c>
      <c r="G714" s="2" t="str">
        <f t="shared" si="23"/>
        <v>Poggio Torselli|PASSAIC-FF</v>
      </c>
    </row>
    <row r="715" spans="1:7" x14ac:dyDescent="0.2">
      <c r="A715" s="2" t="str" cm="1">
        <f t="array" ref="A715">INDEX('[1]Brand Family Territory (Enc)'!$A$2:$A$296,INT((ROW()-2)/10)+1)</f>
        <v>Poggio Torselli</v>
      </c>
      <c r="B715" s="2" t="str" cm="1">
        <f t="array" ref="B715">INDEX('Whitelist (Blackout Reverse)'!$B$1:$K$1,MOD(ROW()-2,10)+1)</f>
        <v>ESSEX</v>
      </c>
      <c r="C715" s="2" t="str">
        <f>VLOOKUP(A715,'[1]Brand Family Territory (Enc)'!$A$2:$B$296,2,FALSE)</f>
        <v>Core Market</v>
      </c>
      <c r="D715" s="2">
        <f>IF(COUNTIFS('[1]Brand Family Territories (Enc)'!$B$2:$B$62,C715,'[1]Brand Family Territories (Enc)'!$C$2:$C$62,B715)&gt;0,1,IF(AND(LEFT(B715,6)="MORRIS",COUNTIFS('[1]Brand Family Territories (Enc)'!$B$2:$B$62,C715,'[1]Brand Family Territories (Enc)'!$C$2:$C$62,"Morri")&gt;0),"Unk",0))</f>
        <v>0</v>
      </c>
      <c r="E715" s="2" t="str">
        <f>IFERROR(INDEX('Blackout Brand Fam Areas (Enc)'!$D$6:$D$998,MATCH(UPPER(A715)&amp;"|"&amp;UPPER(B715),'Blackout Brand Fam Areas (Enc)'!$G$6:$G$998,0)),"No Match")</f>
        <v>Inactive</v>
      </c>
      <c r="F715" s="2" t="str">
        <f t="shared" si="22"/>
        <v>THEM</v>
      </c>
      <c r="G715" s="2" t="str">
        <f t="shared" si="23"/>
        <v>Poggio Torselli|ESSEX</v>
      </c>
    </row>
    <row r="716" spans="1:7" x14ac:dyDescent="0.2">
      <c r="A716" s="2" t="str" cm="1">
        <f t="array" ref="A716">INDEX('[1]Brand Family Territory (Enc)'!$A$2:$A$296,INT((ROW()-2)/10)+1)</f>
        <v>Poggio Torselli</v>
      </c>
      <c r="B716" s="2" t="str" cm="1">
        <f t="array" ref="B716">INDEX('Whitelist (Blackout Reverse)'!$B$1:$K$1,MOD(ROW()-2,10)+1)</f>
        <v>HUDSON</v>
      </c>
      <c r="C716" s="2" t="str">
        <f>VLOOKUP(A716,'[1]Brand Family Territory (Enc)'!$A$2:$B$296,2,FALSE)</f>
        <v>Core Market</v>
      </c>
      <c r="D716" s="2">
        <f>IF(COUNTIFS('[1]Brand Family Territories (Enc)'!$B$2:$B$62,C716,'[1]Brand Family Territories (Enc)'!$C$2:$C$62,B716)&gt;0,1,IF(AND(LEFT(B716,6)="MORRIS",COUNTIFS('[1]Brand Family Territories (Enc)'!$B$2:$B$62,C716,'[1]Brand Family Territories (Enc)'!$C$2:$C$62,"Morri")&gt;0),"Unk",0))</f>
        <v>0</v>
      </c>
      <c r="E716" s="2" t="str">
        <f>IFERROR(INDEX('Blackout Brand Fam Areas (Enc)'!$D$6:$D$998,MATCH(UPPER(A716)&amp;"|"&amp;UPPER(B716),'Blackout Brand Fam Areas (Enc)'!$G$6:$G$998,0)),"No Match")</f>
        <v>Inactive</v>
      </c>
      <c r="F716" s="2" t="str">
        <f t="shared" si="22"/>
        <v>THEM</v>
      </c>
      <c r="G716" s="2" t="str">
        <f t="shared" si="23"/>
        <v>Poggio Torselli|HUDSON</v>
      </c>
    </row>
    <row r="717" spans="1:7" x14ac:dyDescent="0.2">
      <c r="A717" s="2" t="str" cm="1">
        <f t="array" ref="A717">INDEX('[1]Brand Family Territory (Enc)'!$A$2:$A$296,INT((ROW()-2)/10)+1)</f>
        <v>Poggio Torselli</v>
      </c>
      <c r="B717" s="2" t="str" cm="1">
        <f t="array" ref="B717">INDEX('Whitelist (Blackout Reverse)'!$B$1:$K$1,MOD(ROW()-2,10)+1)</f>
        <v>UNION</v>
      </c>
      <c r="C717" s="2" t="str">
        <f>VLOOKUP(A717,'[1]Brand Family Territory (Enc)'!$A$2:$B$296,2,FALSE)</f>
        <v>Core Market</v>
      </c>
      <c r="D717" s="2">
        <f>IF(COUNTIFS('[1]Brand Family Territories (Enc)'!$B$2:$B$62,C717,'[1]Brand Family Territories (Enc)'!$C$2:$C$62,B717)&gt;0,1,IF(AND(LEFT(B717,6)="MORRIS",COUNTIFS('[1]Brand Family Territories (Enc)'!$B$2:$B$62,C717,'[1]Brand Family Territories (Enc)'!$C$2:$C$62,"Morri")&gt;0),"Unk",0))</f>
        <v>0</v>
      </c>
      <c r="E717" s="2" t="str">
        <f>IFERROR(INDEX('Blackout Brand Fam Areas (Enc)'!$D$6:$D$998,MATCH(UPPER(A717)&amp;"|"&amp;UPPER(B717),'Blackout Brand Fam Areas (Enc)'!$G$6:$G$998,0)),"No Match")</f>
        <v>Inactive</v>
      </c>
      <c r="F717" s="2" t="str">
        <f t="shared" si="22"/>
        <v>THEM</v>
      </c>
      <c r="G717" s="2" t="str">
        <f t="shared" si="23"/>
        <v>Poggio Torselli|UNION</v>
      </c>
    </row>
    <row r="718" spans="1:7" x14ac:dyDescent="0.2">
      <c r="A718" s="2" t="str" cm="1">
        <f t="array" ref="A718">INDEX('[1]Brand Family Territory (Enc)'!$A$2:$A$296,INT((ROW()-2)/10)+1)</f>
        <v>Poggio Torselli</v>
      </c>
      <c r="B718" s="2" t="str" cm="1">
        <f t="array" ref="B718">INDEX('Whitelist (Blackout Reverse)'!$B$1:$K$1,MOD(ROW()-2,10)+1)</f>
        <v>SUSSEX</v>
      </c>
      <c r="C718" s="2" t="str">
        <f>VLOOKUP(A718,'[1]Brand Family Territory (Enc)'!$A$2:$B$296,2,FALSE)</f>
        <v>Core Market</v>
      </c>
      <c r="D718" s="2">
        <f>IF(COUNTIFS('[1]Brand Family Territories (Enc)'!$B$2:$B$62,C718,'[1]Brand Family Territories (Enc)'!$C$2:$C$62,B718)&gt;0,1,IF(AND(LEFT(B718,6)="MORRIS",COUNTIFS('[1]Brand Family Territories (Enc)'!$B$2:$B$62,C718,'[1]Brand Family Territories (Enc)'!$C$2:$C$62,"Morri")&gt;0),"Unk",0))</f>
        <v>1</v>
      </c>
      <c r="E718" s="2" t="str">
        <f>IFERROR(INDEX('Blackout Brand Fam Areas (Enc)'!$D$6:$D$998,MATCH(UPPER(A718)&amp;"|"&amp;UPPER(B718),'Blackout Brand Fam Areas (Enc)'!$G$6:$G$998,0)),"No Match")</f>
        <v>No Match</v>
      </c>
      <c r="F718" s="2" t="str">
        <f t="shared" si="22"/>
        <v>US</v>
      </c>
      <c r="G718" s="2" t="str">
        <f t="shared" si="23"/>
        <v>Poggio Torselli|SUSSEX</v>
      </c>
    </row>
    <row r="719" spans="1:7" x14ac:dyDescent="0.2">
      <c r="A719" s="2" t="str" cm="1">
        <f t="array" ref="A719">INDEX('[1]Brand Family Territory (Enc)'!$A$2:$A$296,INT((ROW()-2)/10)+1)</f>
        <v>Poggio Torselli</v>
      </c>
      <c r="B719" s="2" t="str" cm="1">
        <f t="array" ref="B719">INDEX('Whitelist (Blackout Reverse)'!$B$1:$K$1,MOD(ROW()-2,10)+1)</f>
        <v>MORRIS 1</v>
      </c>
      <c r="C719" s="2" t="str">
        <f>VLOOKUP(A719,'[1]Brand Family Territory (Enc)'!$A$2:$B$296,2,FALSE)</f>
        <v>Core Market</v>
      </c>
      <c r="D719" s="2">
        <f>IF(COUNTIFS('[1]Brand Family Territories (Enc)'!$B$2:$B$62,C719,'[1]Brand Family Territories (Enc)'!$C$2:$C$62,B719)&gt;0,1,IF(AND(LEFT(B719,6)="MORRIS",COUNTIFS('[1]Brand Family Territories (Enc)'!$B$2:$B$62,C719,'[1]Brand Family Territories (Enc)'!$C$2:$C$62,"Morri")&gt;0),"Unk",0))</f>
        <v>1</v>
      </c>
      <c r="E719" s="2" t="str">
        <f>IFERROR(INDEX('Blackout Brand Fam Areas (Enc)'!$D$6:$D$998,MATCH(UPPER(A719)&amp;"|"&amp;UPPER(B719),'Blackout Brand Fam Areas (Enc)'!$G$6:$G$998,0)),"No Match")</f>
        <v>No Match</v>
      </c>
      <c r="F719" s="2" t="str">
        <f t="shared" si="22"/>
        <v>US</v>
      </c>
      <c r="G719" s="2" t="str">
        <f t="shared" si="23"/>
        <v>Poggio Torselli|MORRIS 1</v>
      </c>
    </row>
    <row r="720" spans="1:7" x14ac:dyDescent="0.2">
      <c r="A720" s="2" t="str" cm="1">
        <f t="array" ref="A720">INDEX('[1]Brand Family Territory (Enc)'!$A$2:$A$296,INT((ROW()-2)/10)+1)</f>
        <v>Poggio Torselli</v>
      </c>
      <c r="B720" s="2" t="str" cm="1">
        <f t="array" ref="B720">INDEX('Whitelist (Blackout Reverse)'!$B$1:$K$1,MOD(ROW()-2,10)+1)</f>
        <v>MORRIS 2</v>
      </c>
      <c r="C720" s="2" t="str">
        <f>VLOOKUP(A720,'[1]Brand Family Territory (Enc)'!$A$2:$B$296,2,FALSE)</f>
        <v>Core Market</v>
      </c>
      <c r="D720" s="2">
        <f>IF(COUNTIFS('[1]Brand Family Territories (Enc)'!$B$2:$B$62,C720,'[1]Brand Family Territories (Enc)'!$C$2:$C$62,B720)&gt;0,1,IF(AND(LEFT(B720,6)="MORRIS",COUNTIFS('[1]Brand Family Territories (Enc)'!$B$2:$B$62,C720,'[1]Brand Family Territories (Enc)'!$C$2:$C$62,"Morri")&gt;0),"Unk",0))</f>
        <v>0</v>
      </c>
      <c r="E720" s="2" t="str">
        <f>IFERROR(INDEX('Blackout Brand Fam Areas (Enc)'!$D$6:$D$998,MATCH(UPPER(A720)&amp;"|"&amp;UPPER(B720),'Blackout Brand Fam Areas (Enc)'!$G$6:$G$998,0)),"No Match")</f>
        <v>Inactive</v>
      </c>
      <c r="F720" s="2" t="str">
        <f t="shared" si="22"/>
        <v>THEM</v>
      </c>
      <c r="G720" s="2" t="str">
        <f t="shared" si="23"/>
        <v>Poggio Torselli|MORRIS 2</v>
      </c>
    </row>
    <row r="721" spans="1:7" x14ac:dyDescent="0.2">
      <c r="A721" s="2" t="str" cm="1">
        <f t="array" ref="A721">INDEX('[1]Brand Family Territory (Enc)'!$A$2:$A$296,INT((ROW()-2)/10)+1)</f>
        <v>Poggio Torselli</v>
      </c>
      <c r="B721" s="2" t="str" cm="1">
        <f t="array" ref="B721">INDEX('Whitelist (Blackout Reverse)'!$B$1:$K$1,MOD(ROW()-2,10)+1)</f>
        <v>MORRIS 3</v>
      </c>
      <c r="C721" s="2" t="str">
        <f>VLOOKUP(A721,'[1]Brand Family Territory (Enc)'!$A$2:$B$296,2,FALSE)</f>
        <v>Core Market</v>
      </c>
      <c r="D721" s="2">
        <f>IF(COUNTIFS('[1]Brand Family Territories (Enc)'!$B$2:$B$62,C721,'[1]Brand Family Territories (Enc)'!$C$2:$C$62,B721)&gt;0,1,IF(AND(LEFT(B721,6)="MORRIS",COUNTIFS('[1]Brand Family Territories (Enc)'!$B$2:$B$62,C721,'[1]Brand Family Territories (Enc)'!$C$2:$C$62,"Morri")&gt;0),"Unk",0))</f>
        <v>1</v>
      </c>
      <c r="E721" s="2" t="str">
        <f>IFERROR(INDEX('Blackout Brand Fam Areas (Enc)'!$D$6:$D$998,MATCH(UPPER(A721)&amp;"|"&amp;UPPER(B721),'Blackout Brand Fam Areas (Enc)'!$G$6:$G$998,0)),"No Match")</f>
        <v>No Match</v>
      </c>
      <c r="F721" s="2" t="str">
        <f t="shared" si="22"/>
        <v>US</v>
      </c>
      <c r="G721" s="2" t="str">
        <f t="shared" si="23"/>
        <v>Poggio Torselli|MORRIS 3</v>
      </c>
    </row>
    <row r="722" spans="1:7" x14ac:dyDescent="0.2">
      <c r="A722" s="2" t="str" cm="1">
        <f t="array" ref="A722">INDEX('[1]Brand Family Territory (Enc)'!$A$2:$A$296,INT((ROW()-2)/10)+1)</f>
        <v>Press</v>
      </c>
      <c r="B722" s="2" t="str" cm="1">
        <f t="array" ref="B722">INDEX('Whitelist (Blackout Reverse)'!$B$1:$K$1,MOD(ROW()-2,10)+1)</f>
        <v>BERGEN</v>
      </c>
      <c r="C722" s="2" t="str">
        <f>VLOOKUP(A722,'[1]Brand Family Territory (Enc)'!$A$2:$B$296,2,FALSE)</f>
        <v>Core Market</v>
      </c>
      <c r="D722" s="2">
        <f>IF(COUNTIFS('[1]Brand Family Territories (Enc)'!$B$2:$B$62,C722,'[1]Brand Family Territories (Enc)'!$C$2:$C$62,B722)&gt;0,1,IF(AND(LEFT(B722,6)="MORRIS",COUNTIFS('[1]Brand Family Territories (Enc)'!$B$2:$B$62,C722,'[1]Brand Family Territories (Enc)'!$C$2:$C$62,"Morri")&gt;0),"Unk",0))</f>
        <v>1</v>
      </c>
      <c r="E722" s="2" t="str">
        <f>IFERROR(INDEX('Blackout Brand Fam Areas (Enc)'!$D$6:$D$998,MATCH(UPPER(A722)&amp;"|"&amp;UPPER(B722),'Blackout Brand Fam Areas (Enc)'!$G$6:$G$998,0)),"No Match")</f>
        <v>No Match</v>
      </c>
      <c r="F722" s="2" t="str">
        <f t="shared" si="22"/>
        <v>US</v>
      </c>
      <c r="G722" s="2" t="str">
        <f t="shared" si="23"/>
        <v>Press|BERGEN</v>
      </c>
    </row>
    <row r="723" spans="1:7" x14ac:dyDescent="0.2">
      <c r="A723" s="2" t="str" cm="1">
        <f t="array" ref="A723">INDEX('[1]Brand Family Territory (Enc)'!$A$2:$A$296,INT((ROW()-2)/10)+1)</f>
        <v>Press</v>
      </c>
      <c r="B723" s="2" t="str" cm="1">
        <f t="array" ref="B723">INDEX('Whitelist (Blackout Reverse)'!$B$1:$K$1,MOD(ROW()-2,10)+1)</f>
        <v>PASSAIC</v>
      </c>
      <c r="C723" s="2" t="str">
        <f>VLOOKUP(A723,'[1]Brand Family Territory (Enc)'!$A$2:$B$296,2,FALSE)</f>
        <v>Core Market</v>
      </c>
      <c r="D723" s="2">
        <f>IF(COUNTIFS('[1]Brand Family Territories (Enc)'!$B$2:$B$62,C723,'[1]Brand Family Territories (Enc)'!$C$2:$C$62,B723)&gt;0,1,IF(AND(LEFT(B723,6)="MORRIS",COUNTIFS('[1]Brand Family Territories (Enc)'!$B$2:$B$62,C723,'[1]Brand Family Territories (Enc)'!$C$2:$C$62,"Morri")&gt;0),"Unk",0))</f>
        <v>1</v>
      </c>
      <c r="E723" s="2" t="str">
        <f>IFERROR(INDEX('Blackout Brand Fam Areas (Enc)'!$D$6:$D$998,MATCH(UPPER(A723)&amp;"|"&amp;UPPER(B723),'Blackout Brand Fam Areas (Enc)'!$G$6:$G$998,0)),"No Match")</f>
        <v>No Match</v>
      </c>
      <c r="F723" s="2" t="str">
        <f t="shared" si="22"/>
        <v>US</v>
      </c>
      <c r="G723" s="2" t="str">
        <f t="shared" si="23"/>
        <v>Press|PASSAIC</v>
      </c>
    </row>
    <row r="724" spans="1:7" x14ac:dyDescent="0.2">
      <c r="A724" s="2" t="str" cm="1">
        <f t="array" ref="A724">INDEX('[1]Brand Family Territory (Enc)'!$A$2:$A$296,INT((ROW()-2)/10)+1)</f>
        <v>Press</v>
      </c>
      <c r="B724" s="2" t="str" cm="1">
        <f t="array" ref="B724">INDEX('Whitelist (Blackout Reverse)'!$B$1:$K$1,MOD(ROW()-2,10)+1)</f>
        <v>PASSAIC-FF</v>
      </c>
      <c r="C724" s="2" t="str">
        <f>VLOOKUP(A724,'[1]Brand Family Territory (Enc)'!$A$2:$B$296,2,FALSE)</f>
        <v>Core Market</v>
      </c>
      <c r="D724" s="2">
        <f>IF(COUNTIFS('[1]Brand Family Territories (Enc)'!$B$2:$B$62,C724,'[1]Brand Family Territories (Enc)'!$C$2:$C$62,B724)&gt;0,1,IF(AND(LEFT(B724,6)="MORRIS",COUNTIFS('[1]Brand Family Territories (Enc)'!$B$2:$B$62,C724,'[1]Brand Family Territories (Enc)'!$C$2:$C$62,"Morri")&gt;0),"Unk",0))</f>
        <v>1</v>
      </c>
      <c r="E724" s="2" t="str">
        <f>IFERROR(INDEX('Blackout Brand Fam Areas (Enc)'!$D$6:$D$998,MATCH(UPPER(A724)&amp;"|"&amp;UPPER(B724),'Blackout Brand Fam Areas (Enc)'!$G$6:$G$998,0)),"No Match")</f>
        <v>No Match</v>
      </c>
      <c r="F724" s="2" t="str">
        <f t="shared" si="22"/>
        <v>US</v>
      </c>
      <c r="G724" s="2" t="str">
        <f t="shared" si="23"/>
        <v>Press|PASSAIC-FF</v>
      </c>
    </row>
    <row r="725" spans="1:7" x14ac:dyDescent="0.2">
      <c r="A725" s="2" t="str" cm="1">
        <f t="array" ref="A725">INDEX('[1]Brand Family Territory (Enc)'!$A$2:$A$296,INT((ROW()-2)/10)+1)</f>
        <v>Press</v>
      </c>
      <c r="B725" s="2" t="str" cm="1">
        <f t="array" ref="B725">INDEX('Whitelist (Blackout Reverse)'!$B$1:$K$1,MOD(ROW()-2,10)+1)</f>
        <v>ESSEX</v>
      </c>
      <c r="C725" s="2" t="str">
        <f>VLOOKUP(A725,'[1]Brand Family Territory (Enc)'!$A$2:$B$296,2,FALSE)</f>
        <v>Core Market</v>
      </c>
      <c r="D725" s="2">
        <f>IF(COUNTIFS('[1]Brand Family Territories (Enc)'!$B$2:$B$62,C725,'[1]Brand Family Territories (Enc)'!$C$2:$C$62,B725)&gt;0,1,IF(AND(LEFT(B725,6)="MORRIS",COUNTIFS('[1]Brand Family Territories (Enc)'!$B$2:$B$62,C725,'[1]Brand Family Territories (Enc)'!$C$2:$C$62,"Morri")&gt;0),"Unk",0))</f>
        <v>0</v>
      </c>
      <c r="E725" s="2" t="str">
        <f>IFERROR(INDEX('Blackout Brand Fam Areas (Enc)'!$D$6:$D$998,MATCH(UPPER(A725)&amp;"|"&amp;UPPER(B725),'Blackout Brand Fam Areas (Enc)'!$G$6:$G$998,0)),"No Match")</f>
        <v>Inactive</v>
      </c>
      <c r="F725" s="2" t="str">
        <f t="shared" si="22"/>
        <v>THEM</v>
      </c>
      <c r="G725" s="2" t="str">
        <f t="shared" si="23"/>
        <v>Press|ESSEX</v>
      </c>
    </row>
    <row r="726" spans="1:7" x14ac:dyDescent="0.2">
      <c r="A726" s="2" t="str" cm="1">
        <f t="array" ref="A726">INDEX('[1]Brand Family Territory (Enc)'!$A$2:$A$296,INT((ROW()-2)/10)+1)</f>
        <v>Press</v>
      </c>
      <c r="B726" s="2" t="str" cm="1">
        <f t="array" ref="B726">INDEX('Whitelist (Blackout Reverse)'!$B$1:$K$1,MOD(ROW()-2,10)+1)</f>
        <v>HUDSON</v>
      </c>
      <c r="C726" s="2" t="str">
        <f>VLOOKUP(A726,'[1]Brand Family Territory (Enc)'!$A$2:$B$296,2,FALSE)</f>
        <v>Core Market</v>
      </c>
      <c r="D726" s="2">
        <f>IF(COUNTIFS('[1]Brand Family Territories (Enc)'!$B$2:$B$62,C726,'[1]Brand Family Territories (Enc)'!$C$2:$C$62,B726)&gt;0,1,IF(AND(LEFT(B726,6)="MORRIS",COUNTIFS('[1]Brand Family Territories (Enc)'!$B$2:$B$62,C726,'[1]Brand Family Territories (Enc)'!$C$2:$C$62,"Morri")&gt;0),"Unk",0))</f>
        <v>0</v>
      </c>
      <c r="E726" s="2" t="str">
        <f>IFERROR(INDEX('Blackout Brand Fam Areas (Enc)'!$D$6:$D$998,MATCH(UPPER(A726)&amp;"|"&amp;UPPER(B726),'Blackout Brand Fam Areas (Enc)'!$G$6:$G$998,0)),"No Match")</f>
        <v>Inactive</v>
      </c>
      <c r="F726" s="2" t="str">
        <f t="shared" si="22"/>
        <v>THEM</v>
      </c>
      <c r="G726" s="2" t="str">
        <f t="shared" si="23"/>
        <v>Press|HUDSON</v>
      </c>
    </row>
    <row r="727" spans="1:7" x14ac:dyDescent="0.2">
      <c r="A727" s="2" t="str" cm="1">
        <f t="array" ref="A727">INDEX('[1]Brand Family Territory (Enc)'!$A$2:$A$296,INT((ROW()-2)/10)+1)</f>
        <v>Press</v>
      </c>
      <c r="B727" s="2" t="str" cm="1">
        <f t="array" ref="B727">INDEX('Whitelist (Blackout Reverse)'!$B$1:$K$1,MOD(ROW()-2,10)+1)</f>
        <v>UNION</v>
      </c>
      <c r="C727" s="2" t="str">
        <f>VLOOKUP(A727,'[1]Brand Family Territory (Enc)'!$A$2:$B$296,2,FALSE)</f>
        <v>Core Market</v>
      </c>
      <c r="D727" s="2">
        <f>IF(COUNTIFS('[1]Brand Family Territories (Enc)'!$B$2:$B$62,C727,'[1]Brand Family Territories (Enc)'!$C$2:$C$62,B727)&gt;0,1,IF(AND(LEFT(B727,6)="MORRIS",COUNTIFS('[1]Brand Family Territories (Enc)'!$B$2:$B$62,C727,'[1]Brand Family Territories (Enc)'!$C$2:$C$62,"Morri")&gt;0),"Unk",0))</f>
        <v>0</v>
      </c>
      <c r="E727" s="2" t="str">
        <f>IFERROR(INDEX('Blackout Brand Fam Areas (Enc)'!$D$6:$D$998,MATCH(UPPER(A727)&amp;"|"&amp;UPPER(B727),'Blackout Brand Fam Areas (Enc)'!$G$6:$G$998,0)),"No Match")</f>
        <v>Inactive</v>
      </c>
      <c r="F727" s="2" t="str">
        <f t="shared" si="22"/>
        <v>THEM</v>
      </c>
      <c r="G727" s="2" t="str">
        <f t="shared" si="23"/>
        <v>Press|UNION</v>
      </c>
    </row>
    <row r="728" spans="1:7" x14ac:dyDescent="0.2">
      <c r="A728" s="2" t="str" cm="1">
        <f t="array" ref="A728">INDEX('[1]Brand Family Territory (Enc)'!$A$2:$A$296,INT((ROW()-2)/10)+1)</f>
        <v>Press</v>
      </c>
      <c r="B728" s="2" t="str" cm="1">
        <f t="array" ref="B728">INDEX('Whitelist (Blackout Reverse)'!$B$1:$K$1,MOD(ROW()-2,10)+1)</f>
        <v>SUSSEX</v>
      </c>
      <c r="C728" s="2" t="str">
        <f>VLOOKUP(A728,'[1]Brand Family Territory (Enc)'!$A$2:$B$296,2,FALSE)</f>
        <v>Core Market</v>
      </c>
      <c r="D728" s="2">
        <f>IF(COUNTIFS('[1]Brand Family Territories (Enc)'!$B$2:$B$62,C728,'[1]Brand Family Territories (Enc)'!$C$2:$C$62,B728)&gt;0,1,IF(AND(LEFT(B728,6)="MORRIS",COUNTIFS('[1]Brand Family Territories (Enc)'!$B$2:$B$62,C728,'[1]Brand Family Territories (Enc)'!$C$2:$C$62,"Morri")&gt;0),"Unk",0))</f>
        <v>1</v>
      </c>
      <c r="E728" s="2" t="str">
        <f>IFERROR(INDEX('Blackout Brand Fam Areas (Enc)'!$D$6:$D$998,MATCH(UPPER(A728)&amp;"|"&amp;UPPER(B728),'Blackout Brand Fam Areas (Enc)'!$G$6:$G$998,0)),"No Match")</f>
        <v>No Match</v>
      </c>
      <c r="F728" s="2" t="str">
        <f t="shared" si="22"/>
        <v>US</v>
      </c>
      <c r="G728" s="2" t="str">
        <f t="shared" si="23"/>
        <v>Press|SUSSEX</v>
      </c>
    </row>
    <row r="729" spans="1:7" x14ac:dyDescent="0.2">
      <c r="A729" s="2" t="str" cm="1">
        <f t="array" ref="A729">INDEX('[1]Brand Family Territory (Enc)'!$A$2:$A$296,INT((ROW()-2)/10)+1)</f>
        <v>Press</v>
      </c>
      <c r="B729" s="2" t="str" cm="1">
        <f t="array" ref="B729">INDEX('Whitelist (Blackout Reverse)'!$B$1:$K$1,MOD(ROW()-2,10)+1)</f>
        <v>MORRIS 1</v>
      </c>
      <c r="C729" s="2" t="str">
        <f>VLOOKUP(A729,'[1]Brand Family Territory (Enc)'!$A$2:$B$296,2,FALSE)</f>
        <v>Core Market</v>
      </c>
      <c r="D729" s="2">
        <f>IF(COUNTIFS('[1]Brand Family Territories (Enc)'!$B$2:$B$62,C729,'[1]Brand Family Territories (Enc)'!$C$2:$C$62,B729)&gt;0,1,IF(AND(LEFT(B729,6)="MORRIS",COUNTIFS('[1]Brand Family Territories (Enc)'!$B$2:$B$62,C729,'[1]Brand Family Territories (Enc)'!$C$2:$C$62,"Morri")&gt;0),"Unk",0))</f>
        <v>1</v>
      </c>
      <c r="E729" s="2" t="str">
        <f>IFERROR(INDEX('Blackout Brand Fam Areas (Enc)'!$D$6:$D$998,MATCH(UPPER(A729)&amp;"|"&amp;UPPER(B729),'Blackout Brand Fam Areas (Enc)'!$G$6:$G$998,0)),"No Match")</f>
        <v>No Match</v>
      </c>
      <c r="F729" s="2" t="str">
        <f t="shared" si="22"/>
        <v>US</v>
      </c>
      <c r="G729" s="2" t="str">
        <f t="shared" si="23"/>
        <v>Press|MORRIS 1</v>
      </c>
    </row>
    <row r="730" spans="1:7" x14ac:dyDescent="0.2">
      <c r="A730" s="2" t="str" cm="1">
        <f t="array" ref="A730">INDEX('[1]Brand Family Territory (Enc)'!$A$2:$A$296,INT((ROW()-2)/10)+1)</f>
        <v>Press</v>
      </c>
      <c r="B730" s="2" t="str" cm="1">
        <f t="array" ref="B730">INDEX('Whitelist (Blackout Reverse)'!$B$1:$K$1,MOD(ROW()-2,10)+1)</f>
        <v>MORRIS 2</v>
      </c>
      <c r="C730" s="2" t="str">
        <f>VLOOKUP(A730,'[1]Brand Family Territory (Enc)'!$A$2:$B$296,2,FALSE)</f>
        <v>Core Market</v>
      </c>
      <c r="D730" s="2">
        <f>IF(COUNTIFS('[1]Brand Family Territories (Enc)'!$B$2:$B$62,C730,'[1]Brand Family Territories (Enc)'!$C$2:$C$62,B730)&gt;0,1,IF(AND(LEFT(B730,6)="MORRIS",COUNTIFS('[1]Brand Family Territories (Enc)'!$B$2:$B$62,C730,'[1]Brand Family Territories (Enc)'!$C$2:$C$62,"Morri")&gt;0),"Unk",0))</f>
        <v>0</v>
      </c>
      <c r="E730" s="2" t="str">
        <f>IFERROR(INDEX('Blackout Brand Fam Areas (Enc)'!$D$6:$D$998,MATCH(UPPER(A730)&amp;"|"&amp;UPPER(B730),'Blackout Brand Fam Areas (Enc)'!$G$6:$G$998,0)),"No Match")</f>
        <v>Inactive</v>
      </c>
      <c r="F730" s="2" t="str">
        <f t="shared" si="22"/>
        <v>THEM</v>
      </c>
      <c r="G730" s="2" t="str">
        <f t="shared" si="23"/>
        <v>Press|MORRIS 2</v>
      </c>
    </row>
    <row r="731" spans="1:7" x14ac:dyDescent="0.2">
      <c r="A731" s="2" t="str" cm="1">
        <f t="array" ref="A731">INDEX('[1]Brand Family Territory (Enc)'!$A$2:$A$296,INT((ROW()-2)/10)+1)</f>
        <v>Press</v>
      </c>
      <c r="B731" s="2" t="str" cm="1">
        <f t="array" ref="B731">INDEX('Whitelist (Blackout Reverse)'!$B$1:$K$1,MOD(ROW()-2,10)+1)</f>
        <v>MORRIS 3</v>
      </c>
      <c r="C731" s="2" t="str">
        <f>VLOOKUP(A731,'[1]Brand Family Territory (Enc)'!$A$2:$B$296,2,FALSE)</f>
        <v>Core Market</v>
      </c>
      <c r="D731" s="2">
        <f>IF(COUNTIFS('[1]Brand Family Territories (Enc)'!$B$2:$B$62,C731,'[1]Brand Family Territories (Enc)'!$C$2:$C$62,B731)&gt;0,1,IF(AND(LEFT(B731,6)="MORRIS",COUNTIFS('[1]Brand Family Territories (Enc)'!$B$2:$B$62,C731,'[1]Brand Family Territories (Enc)'!$C$2:$C$62,"Morri")&gt;0),"Unk",0))</f>
        <v>1</v>
      </c>
      <c r="E731" s="2" t="str">
        <f>IFERROR(INDEX('Blackout Brand Fam Areas (Enc)'!$D$6:$D$998,MATCH(UPPER(A731)&amp;"|"&amp;UPPER(B731),'Blackout Brand Fam Areas (Enc)'!$G$6:$G$998,0)),"No Match")</f>
        <v>No Match</v>
      </c>
      <c r="F731" s="2" t="str">
        <f t="shared" si="22"/>
        <v>US</v>
      </c>
      <c r="G731" s="2" t="str">
        <f t="shared" si="23"/>
        <v>Press|MORRIS 3</v>
      </c>
    </row>
    <row r="732" spans="1:7" x14ac:dyDescent="0.2">
      <c r="A732" s="2" t="str" cm="1">
        <f t="array" ref="A732">INDEX('[1]Brand Family Territory (Enc)'!$A$2:$A$296,INT((ROW()-2)/10)+1)</f>
        <v>Red Bull</v>
      </c>
      <c r="B732" s="2" t="str" cm="1">
        <f t="array" ref="B732">INDEX('Whitelist (Blackout Reverse)'!$B$1:$K$1,MOD(ROW()-2,10)+1)</f>
        <v>BERGEN</v>
      </c>
      <c r="C732" s="2" t="str">
        <f>VLOOKUP(A732,'[1]Brand Family Territory (Enc)'!$A$2:$B$296,2,FALSE)</f>
        <v>Core Market</v>
      </c>
      <c r="D732" s="2">
        <f>IF(COUNTIFS('[1]Brand Family Territories (Enc)'!$B$2:$B$62,C732,'[1]Brand Family Territories (Enc)'!$C$2:$C$62,B732)&gt;0,1,IF(AND(LEFT(B732,6)="MORRIS",COUNTIFS('[1]Brand Family Territories (Enc)'!$B$2:$B$62,C732,'[1]Brand Family Territories (Enc)'!$C$2:$C$62,"Morri")&gt;0),"Unk",0))</f>
        <v>1</v>
      </c>
      <c r="E732" s="2" t="str">
        <f>IFERROR(INDEX('Blackout Brand Fam Areas (Enc)'!$D$6:$D$998,MATCH(UPPER(A732)&amp;"|"&amp;UPPER(B732),'Blackout Brand Fam Areas (Enc)'!$G$6:$G$998,0)),"No Match")</f>
        <v>No Match</v>
      </c>
      <c r="F732" s="2" t="str">
        <f t="shared" si="22"/>
        <v>US</v>
      </c>
      <c r="G732" s="2" t="str">
        <f t="shared" si="23"/>
        <v>Red Bull|BERGEN</v>
      </c>
    </row>
    <row r="733" spans="1:7" x14ac:dyDescent="0.2">
      <c r="A733" s="2" t="str" cm="1">
        <f t="array" ref="A733">INDEX('[1]Brand Family Territory (Enc)'!$A$2:$A$296,INT((ROW()-2)/10)+1)</f>
        <v>Red Bull</v>
      </c>
      <c r="B733" s="2" t="str" cm="1">
        <f t="array" ref="B733">INDEX('Whitelist (Blackout Reverse)'!$B$1:$K$1,MOD(ROW()-2,10)+1)</f>
        <v>PASSAIC</v>
      </c>
      <c r="C733" s="2" t="str">
        <f>VLOOKUP(A733,'[1]Brand Family Territory (Enc)'!$A$2:$B$296,2,FALSE)</f>
        <v>Core Market</v>
      </c>
      <c r="D733" s="2">
        <f>IF(COUNTIFS('[1]Brand Family Territories (Enc)'!$B$2:$B$62,C733,'[1]Brand Family Territories (Enc)'!$C$2:$C$62,B733)&gt;0,1,IF(AND(LEFT(B733,6)="MORRIS",COUNTIFS('[1]Brand Family Territories (Enc)'!$B$2:$B$62,C733,'[1]Brand Family Territories (Enc)'!$C$2:$C$62,"Morri")&gt;0),"Unk",0))</f>
        <v>1</v>
      </c>
      <c r="E733" s="2" t="str">
        <f>IFERROR(INDEX('Blackout Brand Fam Areas (Enc)'!$D$6:$D$998,MATCH(UPPER(A733)&amp;"|"&amp;UPPER(B733),'Blackout Brand Fam Areas (Enc)'!$G$6:$G$998,0)),"No Match")</f>
        <v>No Match</v>
      </c>
      <c r="F733" s="2" t="str">
        <f t="shared" si="22"/>
        <v>US</v>
      </c>
      <c r="G733" s="2" t="str">
        <f t="shared" si="23"/>
        <v>Red Bull|PASSAIC</v>
      </c>
    </row>
    <row r="734" spans="1:7" x14ac:dyDescent="0.2">
      <c r="A734" s="2" t="str" cm="1">
        <f t="array" ref="A734">INDEX('[1]Brand Family Territory (Enc)'!$A$2:$A$296,INT((ROW()-2)/10)+1)</f>
        <v>Red Bull</v>
      </c>
      <c r="B734" s="2" t="str" cm="1">
        <f t="array" ref="B734">INDEX('Whitelist (Blackout Reverse)'!$B$1:$K$1,MOD(ROW()-2,10)+1)</f>
        <v>PASSAIC-FF</v>
      </c>
      <c r="C734" s="2" t="str">
        <f>VLOOKUP(A734,'[1]Brand Family Territory (Enc)'!$A$2:$B$296,2,FALSE)</f>
        <v>Core Market</v>
      </c>
      <c r="D734" s="2">
        <f>IF(COUNTIFS('[1]Brand Family Territories (Enc)'!$B$2:$B$62,C734,'[1]Brand Family Territories (Enc)'!$C$2:$C$62,B734)&gt;0,1,IF(AND(LEFT(B734,6)="MORRIS",COUNTIFS('[1]Brand Family Territories (Enc)'!$B$2:$B$62,C734,'[1]Brand Family Territories (Enc)'!$C$2:$C$62,"Morri")&gt;0),"Unk",0))</f>
        <v>1</v>
      </c>
      <c r="E734" s="2" t="str">
        <f>IFERROR(INDEX('Blackout Brand Fam Areas (Enc)'!$D$6:$D$998,MATCH(UPPER(A734)&amp;"|"&amp;UPPER(B734),'Blackout Brand Fam Areas (Enc)'!$G$6:$G$998,0)),"No Match")</f>
        <v>No Match</v>
      </c>
      <c r="F734" s="2" t="str">
        <f t="shared" si="22"/>
        <v>US</v>
      </c>
      <c r="G734" s="2" t="str">
        <f t="shared" si="23"/>
        <v>Red Bull|PASSAIC-FF</v>
      </c>
    </row>
    <row r="735" spans="1:7" x14ac:dyDescent="0.2">
      <c r="A735" s="2" t="str" cm="1">
        <f t="array" ref="A735">INDEX('[1]Brand Family Territory (Enc)'!$A$2:$A$296,INT((ROW()-2)/10)+1)</f>
        <v>Red Bull</v>
      </c>
      <c r="B735" s="2" t="str" cm="1">
        <f t="array" ref="B735">INDEX('Whitelist (Blackout Reverse)'!$B$1:$K$1,MOD(ROW()-2,10)+1)</f>
        <v>ESSEX</v>
      </c>
      <c r="C735" s="2" t="str">
        <f>VLOOKUP(A735,'[1]Brand Family Territory (Enc)'!$A$2:$B$296,2,FALSE)</f>
        <v>Core Market</v>
      </c>
      <c r="D735" s="2">
        <f>IF(COUNTIFS('[1]Brand Family Territories (Enc)'!$B$2:$B$62,C735,'[1]Brand Family Territories (Enc)'!$C$2:$C$62,B735)&gt;0,1,IF(AND(LEFT(B735,6)="MORRIS",COUNTIFS('[1]Brand Family Territories (Enc)'!$B$2:$B$62,C735,'[1]Brand Family Territories (Enc)'!$C$2:$C$62,"Morri")&gt;0),"Unk",0))</f>
        <v>0</v>
      </c>
      <c r="E735" s="2" t="str">
        <f>IFERROR(INDEX('Blackout Brand Fam Areas (Enc)'!$D$6:$D$998,MATCH(UPPER(A735)&amp;"|"&amp;UPPER(B735),'Blackout Brand Fam Areas (Enc)'!$G$6:$G$998,0)),"No Match")</f>
        <v>No Match</v>
      </c>
      <c r="F735" s="2" t="str">
        <f t="shared" si="22"/>
        <v>THEM</v>
      </c>
      <c r="G735" s="2" t="str">
        <f t="shared" si="23"/>
        <v>Red Bull|ESSEX</v>
      </c>
    </row>
    <row r="736" spans="1:7" x14ac:dyDescent="0.2">
      <c r="A736" s="2" t="str" cm="1">
        <f t="array" ref="A736">INDEX('[1]Brand Family Territory (Enc)'!$A$2:$A$296,INT((ROW()-2)/10)+1)</f>
        <v>Red Bull</v>
      </c>
      <c r="B736" s="2" t="str" cm="1">
        <f t="array" ref="B736">INDEX('Whitelist (Blackout Reverse)'!$B$1:$K$1,MOD(ROW()-2,10)+1)</f>
        <v>HUDSON</v>
      </c>
      <c r="C736" s="2" t="str">
        <f>VLOOKUP(A736,'[1]Brand Family Territory (Enc)'!$A$2:$B$296,2,FALSE)</f>
        <v>Core Market</v>
      </c>
      <c r="D736" s="2">
        <f>IF(COUNTIFS('[1]Brand Family Territories (Enc)'!$B$2:$B$62,C736,'[1]Brand Family Territories (Enc)'!$C$2:$C$62,B736)&gt;0,1,IF(AND(LEFT(B736,6)="MORRIS",COUNTIFS('[1]Brand Family Territories (Enc)'!$B$2:$B$62,C736,'[1]Brand Family Territories (Enc)'!$C$2:$C$62,"Morri")&gt;0),"Unk",0))</f>
        <v>0</v>
      </c>
      <c r="E736" s="2" t="str">
        <f>IFERROR(INDEX('Blackout Brand Fam Areas (Enc)'!$D$6:$D$998,MATCH(UPPER(A736)&amp;"|"&amp;UPPER(B736),'Blackout Brand Fam Areas (Enc)'!$G$6:$G$998,0)),"No Match")</f>
        <v>No Match</v>
      </c>
      <c r="F736" s="2" t="str">
        <f t="shared" si="22"/>
        <v>THEM</v>
      </c>
      <c r="G736" s="2" t="str">
        <f t="shared" si="23"/>
        <v>Red Bull|HUDSON</v>
      </c>
    </row>
    <row r="737" spans="1:7" x14ac:dyDescent="0.2">
      <c r="A737" s="2" t="str" cm="1">
        <f t="array" ref="A737">INDEX('[1]Brand Family Territory (Enc)'!$A$2:$A$296,INT((ROW()-2)/10)+1)</f>
        <v>Red Bull</v>
      </c>
      <c r="B737" s="2" t="str" cm="1">
        <f t="array" ref="B737">INDEX('Whitelist (Blackout Reverse)'!$B$1:$K$1,MOD(ROW()-2,10)+1)</f>
        <v>UNION</v>
      </c>
      <c r="C737" s="2" t="str">
        <f>VLOOKUP(A737,'[1]Brand Family Territory (Enc)'!$A$2:$B$296,2,FALSE)</f>
        <v>Core Market</v>
      </c>
      <c r="D737" s="2">
        <f>IF(COUNTIFS('[1]Brand Family Territories (Enc)'!$B$2:$B$62,C737,'[1]Brand Family Territories (Enc)'!$C$2:$C$62,B737)&gt;0,1,IF(AND(LEFT(B737,6)="MORRIS",COUNTIFS('[1]Brand Family Territories (Enc)'!$B$2:$B$62,C737,'[1]Brand Family Territories (Enc)'!$C$2:$C$62,"Morri")&gt;0),"Unk",0))</f>
        <v>0</v>
      </c>
      <c r="E737" s="2" t="str">
        <f>IFERROR(INDEX('Blackout Brand Fam Areas (Enc)'!$D$6:$D$998,MATCH(UPPER(A737)&amp;"|"&amp;UPPER(B737),'Blackout Brand Fam Areas (Enc)'!$G$6:$G$998,0)),"No Match")</f>
        <v>No Match</v>
      </c>
      <c r="F737" s="2" t="str">
        <f t="shared" si="22"/>
        <v>THEM</v>
      </c>
      <c r="G737" s="2" t="str">
        <f t="shared" si="23"/>
        <v>Red Bull|UNION</v>
      </c>
    </row>
    <row r="738" spans="1:7" x14ac:dyDescent="0.2">
      <c r="A738" s="2" t="str" cm="1">
        <f t="array" ref="A738">INDEX('[1]Brand Family Territory (Enc)'!$A$2:$A$296,INT((ROW()-2)/10)+1)</f>
        <v>Red Bull</v>
      </c>
      <c r="B738" s="2" t="str" cm="1">
        <f t="array" ref="B738">INDEX('Whitelist (Blackout Reverse)'!$B$1:$K$1,MOD(ROW()-2,10)+1)</f>
        <v>SUSSEX</v>
      </c>
      <c r="C738" s="2" t="str">
        <f>VLOOKUP(A738,'[1]Brand Family Territory (Enc)'!$A$2:$B$296,2,FALSE)</f>
        <v>Core Market</v>
      </c>
      <c r="D738" s="2">
        <f>IF(COUNTIFS('[1]Brand Family Territories (Enc)'!$B$2:$B$62,C738,'[1]Brand Family Territories (Enc)'!$C$2:$C$62,B738)&gt;0,1,IF(AND(LEFT(B738,6)="MORRIS",COUNTIFS('[1]Brand Family Territories (Enc)'!$B$2:$B$62,C738,'[1]Brand Family Territories (Enc)'!$C$2:$C$62,"Morri")&gt;0),"Unk",0))</f>
        <v>1</v>
      </c>
      <c r="E738" s="2" t="str">
        <f>IFERROR(INDEX('Blackout Brand Fam Areas (Enc)'!$D$6:$D$998,MATCH(UPPER(A738)&amp;"|"&amp;UPPER(B738),'Blackout Brand Fam Areas (Enc)'!$G$6:$G$998,0)),"No Match")</f>
        <v>No Match</v>
      </c>
      <c r="F738" s="2" t="str">
        <f t="shared" si="22"/>
        <v>US</v>
      </c>
      <c r="G738" s="2" t="str">
        <f t="shared" si="23"/>
        <v>Red Bull|SUSSEX</v>
      </c>
    </row>
    <row r="739" spans="1:7" x14ac:dyDescent="0.2">
      <c r="A739" s="2" t="str" cm="1">
        <f t="array" ref="A739">INDEX('[1]Brand Family Territory (Enc)'!$A$2:$A$296,INT((ROW()-2)/10)+1)</f>
        <v>Red Bull</v>
      </c>
      <c r="B739" s="2" t="str" cm="1">
        <f t="array" ref="B739">INDEX('Whitelist (Blackout Reverse)'!$B$1:$K$1,MOD(ROW()-2,10)+1)</f>
        <v>MORRIS 1</v>
      </c>
      <c r="C739" s="2" t="str">
        <f>VLOOKUP(A739,'[1]Brand Family Territory (Enc)'!$A$2:$B$296,2,FALSE)</f>
        <v>Core Market</v>
      </c>
      <c r="D739" s="2">
        <f>IF(COUNTIFS('[1]Brand Family Territories (Enc)'!$B$2:$B$62,C739,'[1]Brand Family Territories (Enc)'!$C$2:$C$62,B739)&gt;0,1,IF(AND(LEFT(B739,6)="MORRIS",COUNTIFS('[1]Brand Family Territories (Enc)'!$B$2:$B$62,C739,'[1]Brand Family Territories (Enc)'!$C$2:$C$62,"Morri")&gt;0),"Unk",0))</f>
        <v>1</v>
      </c>
      <c r="E739" s="2" t="str">
        <f>IFERROR(INDEX('Blackout Brand Fam Areas (Enc)'!$D$6:$D$998,MATCH(UPPER(A739)&amp;"|"&amp;UPPER(B739),'Blackout Brand Fam Areas (Enc)'!$G$6:$G$998,0)),"No Match")</f>
        <v>No Match</v>
      </c>
      <c r="F739" s="2" t="str">
        <f t="shared" si="22"/>
        <v>US</v>
      </c>
      <c r="G739" s="2" t="str">
        <f t="shared" si="23"/>
        <v>Red Bull|MORRIS 1</v>
      </c>
    </row>
    <row r="740" spans="1:7" x14ac:dyDescent="0.2">
      <c r="A740" s="2" t="str" cm="1">
        <f t="array" ref="A740">INDEX('[1]Brand Family Territory (Enc)'!$A$2:$A$296,INT((ROW()-2)/10)+1)</f>
        <v>Red Bull</v>
      </c>
      <c r="B740" s="2" t="str" cm="1">
        <f t="array" ref="B740">INDEX('Whitelist (Blackout Reverse)'!$B$1:$K$1,MOD(ROW()-2,10)+1)</f>
        <v>MORRIS 2</v>
      </c>
      <c r="C740" s="2" t="str">
        <f>VLOOKUP(A740,'[1]Brand Family Territory (Enc)'!$A$2:$B$296,2,FALSE)</f>
        <v>Core Market</v>
      </c>
      <c r="D740" s="2">
        <f>IF(COUNTIFS('[1]Brand Family Territories (Enc)'!$B$2:$B$62,C740,'[1]Brand Family Territories (Enc)'!$C$2:$C$62,B740)&gt;0,1,IF(AND(LEFT(B740,6)="MORRIS",COUNTIFS('[1]Brand Family Territories (Enc)'!$B$2:$B$62,C740,'[1]Brand Family Territories (Enc)'!$C$2:$C$62,"Morri")&gt;0),"Unk",0))</f>
        <v>0</v>
      </c>
      <c r="E740" s="2" t="str">
        <f>IFERROR(INDEX('Blackout Brand Fam Areas (Enc)'!$D$6:$D$998,MATCH(UPPER(A740)&amp;"|"&amp;UPPER(B740),'Blackout Brand Fam Areas (Enc)'!$G$6:$G$998,0)),"No Match")</f>
        <v>No Match</v>
      </c>
      <c r="F740" s="2" t="str">
        <f t="shared" si="22"/>
        <v>THEM</v>
      </c>
      <c r="G740" s="2" t="str">
        <f t="shared" si="23"/>
        <v>Red Bull|MORRIS 2</v>
      </c>
    </row>
    <row r="741" spans="1:7" x14ac:dyDescent="0.2">
      <c r="A741" s="2" t="str" cm="1">
        <f t="array" ref="A741">INDEX('[1]Brand Family Territory (Enc)'!$A$2:$A$296,INT((ROW()-2)/10)+1)</f>
        <v>Red Bull</v>
      </c>
      <c r="B741" s="2" t="str" cm="1">
        <f t="array" ref="B741">INDEX('Whitelist (Blackout Reverse)'!$B$1:$K$1,MOD(ROW()-2,10)+1)</f>
        <v>MORRIS 3</v>
      </c>
      <c r="C741" s="2" t="str">
        <f>VLOOKUP(A741,'[1]Brand Family Territory (Enc)'!$A$2:$B$296,2,FALSE)</f>
        <v>Core Market</v>
      </c>
      <c r="D741" s="2">
        <f>IF(COUNTIFS('[1]Brand Family Territories (Enc)'!$B$2:$B$62,C741,'[1]Brand Family Territories (Enc)'!$C$2:$C$62,B741)&gt;0,1,IF(AND(LEFT(B741,6)="MORRIS",COUNTIFS('[1]Brand Family Territories (Enc)'!$B$2:$B$62,C741,'[1]Brand Family Territories (Enc)'!$C$2:$C$62,"Morri")&gt;0),"Unk",0))</f>
        <v>1</v>
      </c>
      <c r="E741" s="2" t="str">
        <f>IFERROR(INDEX('Blackout Brand Fam Areas (Enc)'!$D$6:$D$998,MATCH(UPPER(A741)&amp;"|"&amp;UPPER(B741),'Blackout Brand Fam Areas (Enc)'!$G$6:$G$998,0)),"No Match")</f>
        <v>No Match</v>
      </c>
      <c r="F741" s="2" t="str">
        <f t="shared" si="22"/>
        <v>US</v>
      </c>
      <c r="G741" s="2" t="str">
        <f t="shared" si="23"/>
        <v>Red Bull|MORRIS 3</v>
      </c>
    </row>
    <row r="742" spans="1:7" x14ac:dyDescent="0.2">
      <c r="A742" s="2" t="str" cm="1">
        <f t="array" ref="A742">INDEX('[1]Brand Family Territory (Enc)'!$A$2:$A$296,INT((ROW()-2)/10)+1)</f>
        <v>Redd's</v>
      </c>
      <c r="B742" s="2" t="str" cm="1">
        <f t="array" ref="B742">INDEX('Whitelist (Blackout Reverse)'!$B$1:$K$1,MOD(ROW()-2,10)+1)</f>
        <v>BERGEN</v>
      </c>
      <c r="C742" s="2" t="str">
        <f>VLOOKUP(A742,'[1]Brand Family Territory (Enc)'!$A$2:$B$296,2,FALSE)</f>
        <v>Core Market</v>
      </c>
      <c r="D742" s="2">
        <f>IF(COUNTIFS('[1]Brand Family Territories (Enc)'!$B$2:$B$62,C742,'[1]Brand Family Territories (Enc)'!$C$2:$C$62,B742)&gt;0,1,IF(AND(LEFT(B742,6)="MORRIS",COUNTIFS('[1]Brand Family Territories (Enc)'!$B$2:$B$62,C742,'[1]Brand Family Territories (Enc)'!$C$2:$C$62,"Morri")&gt;0),"Unk",0))</f>
        <v>1</v>
      </c>
      <c r="E742" s="2" t="str">
        <f>IFERROR(INDEX('Blackout Brand Fam Areas (Enc)'!$D$6:$D$998,MATCH(UPPER(A742)&amp;"|"&amp;UPPER(B742),'Blackout Brand Fam Areas (Enc)'!$G$6:$G$998,0)),"No Match")</f>
        <v>No Match</v>
      </c>
      <c r="F742" s="2" t="str">
        <f t="shared" si="22"/>
        <v>US</v>
      </c>
      <c r="G742" s="2" t="str">
        <f t="shared" si="23"/>
        <v>Redd's|BERGEN</v>
      </c>
    </row>
    <row r="743" spans="1:7" x14ac:dyDescent="0.2">
      <c r="A743" s="2" t="str" cm="1">
        <f t="array" ref="A743">INDEX('[1]Brand Family Territory (Enc)'!$A$2:$A$296,INT((ROW()-2)/10)+1)</f>
        <v>Redd's</v>
      </c>
      <c r="B743" s="2" t="str" cm="1">
        <f t="array" ref="B743">INDEX('Whitelist (Blackout Reverse)'!$B$1:$K$1,MOD(ROW()-2,10)+1)</f>
        <v>PASSAIC</v>
      </c>
      <c r="C743" s="2" t="str">
        <f>VLOOKUP(A743,'[1]Brand Family Territory (Enc)'!$A$2:$B$296,2,FALSE)</f>
        <v>Core Market</v>
      </c>
      <c r="D743" s="2">
        <f>IF(COUNTIFS('[1]Brand Family Territories (Enc)'!$B$2:$B$62,C743,'[1]Brand Family Territories (Enc)'!$C$2:$C$62,B743)&gt;0,1,IF(AND(LEFT(B743,6)="MORRIS",COUNTIFS('[1]Brand Family Territories (Enc)'!$B$2:$B$62,C743,'[1]Brand Family Territories (Enc)'!$C$2:$C$62,"Morri")&gt;0),"Unk",0))</f>
        <v>1</v>
      </c>
      <c r="E743" s="2" t="str">
        <f>IFERROR(INDEX('Blackout Brand Fam Areas (Enc)'!$D$6:$D$998,MATCH(UPPER(A743)&amp;"|"&amp;UPPER(B743),'Blackout Brand Fam Areas (Enc)'!$G$6:$G$998,0)),"No Match")</f>
        <v>No Match</v>
      </c>
      <c r="F743" s="2" t="str">
        <f t="shared" si="22"/>
        <v>US</v>
      </c>
      <c r="G743" s="2" t="str">
        <f t="shared" si="23"/>
        <v>Redd's|PASSAIC</v>
      </c>
    </row>
    <row r="744" spans="1:7" x14ac:dyDescent="0.2">
      <c r="A744" s="2" t="str" cm="1">
        <f t="array" ref="A744">INDEX('[1]Brand Family Territory (Enc)'!$A$2:$A$296,INT((ROW()-2)/10)+1)</f>
        <v>Redd's</v>
      </c>
      <c r="B744" s="2" t="str" cm="1">
        <f t="array" ref="B744">INDEX('Whitelist (Blackout Reverse)'!$B$1:$K$1,MOD(ROW()-2,10)+1)</f>
        <v>PASSAIC-FF</v>
      </c>
      <c r="C744" s="2" t="str">
        <f>VLOOKUP(A744,'[1]Brand Family Territory (Enc)'!$A$2:$B$296,2,FALSE)</f>
        <v>Core Market</v>
      </c>
      <c r="D744" s="2">
        <f>IF(COUNTIFS('[1]Brand Family Territories (Enc)'!$B$2:$B$62,C744,'[1]Brand Family Territories (Enc)'!$C$2:$C$62,B744)&gt;0,1,IF(AND(LEFT(B744,6)="MORRIS",COUNTIFS('[1]Brand Family Territories (Enc)'!$B$2:$B$62,C744,'[1]Brand Family Territories (Enc)'!$C$2:$C$62,"Morri")&gt;0),"Unk",0))</f>
        <v>1</v>
      </c>
      <c r="E744" s="2" t="str">
        <f>IFERROR(INDEX('Blackout Brand Fam Areas (Enc)'!$D$6:$D$998,MATCH(UPPER(A744)&amp;"|"&amp;UPPER(B744),'Blackout Brand Fam Areas (Enc)'!$G$6:$G$998,0)),"No Match")</f>
        <v>No Match</v>
      </c>
      <c r="F744" s="2" t="str">
        <f t="shared" si="22"/>
        <v>US</v>
      </c>
      <c r="G744" s="2" t="str">
        <f t="shared" si="23"/>
        <v>Redd's|PASSAIC-FF</v>
      </c>
    </row>
    <row r="745" spans="1:7" x14ac:dyDescent="0.2">
      <c r="A745" s="2" t="str" cm="1">
        <f t="array" ref="A745">INDEX('[1]Brand Family Territory (Enc)'!$A$2:$A$296,INT((ROW()-2)/10)+1)</f>
        <v>Redd's</v>
      </c>
      <c r="B745" s="2" t="str" cm="1">
        <f t="array" ref="B745">INDEX('Whitelist (Blackout Reverse)'!$B$1:$K$1,MOD(ROW()-2,10)+1)</f>
        <v>ESSEX</v>
      </c>
      <c r="C745" s="2" t="str">
        <f>VLOOKUP(A745,'[1]Brand Family Territory (Enc)'!$A$2:$B$296,2,FALSE)</f>
        <v>Core Market</v>
      </c>
      <c r="D745" s="2">
        <f>IF(COUNTIFS('[1]Brand Family Territories (Enc)'!$B$2:$B$62,C745,'[1]Brand Family Territories (Enc)'!$C$2:$C$62,B745)&gt;0,1,IF(AND(LEFT(B745,6)="MORRIS",COUNTIFS('[1]Brand Family Territories (Enc)'!$B$2:$B$62,C745,'[1]Brand Family Territories (Enc)'!$C$2:$C$62,"Morri")&gt;0),"Unk",0))</f>
        <v>0</v>
      </c>
      <c r="E745" s="2" t="str">
        <f>IFERROR(INDEX('Blackout Brand Fam Areas (Enc)'!$D$6:$D$998,MATCH(UPPER(A745)&amp;"|"&amp;UPPER(B745),'Blackout Brand Fam Areas (Enc)'!$G$6:$G$998,0)),"No Match")</f>
        <v>Inactive</v>
      </c>
      <c r="F745" s="2" t="str">
        <f t="shared" si="22"/>
        <v>THEM</v>
      </c>
      <c r="G745" s="2" t="str">
        <f t="shared" si="23"/>
        <v>Redd's|ESSEX</v>
      </c>
    </row>
    <row r="746" spans="1:7" x14ac:dyDescent="0.2">
      <c r="A746" s="2" t="str" cm="1">
        <f t="array" ref="A746">INDEX('[1]Brand Family Territory (Enc)'!$A$2:$A$296,INT((ROW()-2)/10)+1)</f>
        <v>Redd's</v>
      </c>
      <c r="B746" s="2" t="str" cm="1">
        <f t="array" ref="B746">INDEX('Whitelist (Blackout Reverse)'!$B$1:$K$1,MOD(ROW()-2,10)+1)</f>
        <v>HUDSON</v>
      </c>
      <c r="C746" s="2" t="str">
        <f>VLOOKUP(A746,'[1]Brand Family Territory (Enc)'!$A$2:$B$296,2,FALSE)</f>
        <v>Core Market</v>
      </c>
      <c r="D746" s="2">
        <f>IF(COUNTIFS('[1]Brand Family Territories (Enc)'!$B$2:$B$62,C746,'[1]Brand Family Territories (Enc)'!$C$2:$C$62,B746)&gt;0,1,IF(AND(LEFT(B746,6)="MORRIS",COUNTIFS('[1]Brand Family Territories (Enc)'!$B$2:$B$62,C746,'[1]Brand Family Territories (Enc)'!$C$2:$C$62,"Morri")&gt;0),"Unk",0))</f>
        <v>0</v>
      </c>
      <c r="E746" s="2" t="str">
        <f>IFERROR(INDEX('Blackout Brand Fam Areas (Enc)'!$D$6:$D$998,MATCH(UPPER(A746)&amp;"|"&amp;UPPER(B746),'Blackout Brand Fam Areas (Enc)'!$G$6:$G$998,0)),"No Match")</f>
        <v>Inactive</v>
      </c>
      <c r="F746" s="2" t="str">
        <f t="shared" si="22"/>
        <v>THEM</v>
      </c>
      <c r="G746" s="2" t="str">
        <f t="shared" si="23"/>
        <v>Redd's|HUDSON</v>
      </c>
    </row>
    <row r="747" spans="1:7" x14ac:dyDescent="0.2">
      <c r="A747" s="2" t="str" cm="1">
        <f t="array" ref="A747">INDEX('[1]Brand Family Territory (Enc)'!$A$2:$A$296,INT((ROW()-2)/10)+1)</f>
        <v>Redd's</v>
      </c>
      <c r="B747" s="2" t="str" cm="1">
        <f t="array" ref="B747">INDEX('Whitelist (Blackout Reverse)'!$B$1:$K$1,MOD(ROW()-2,10)+1)</f>
        <v>UNION</v>
      </c>
      <c r="C747" s="2" t="str">
        <f>VLOOKUP(A747,'[1]Brand Family Territory (Enc)'!$A$2:$B$296,2,FALSE)</f>
        <v>Core Market</v>
      </c>
      <c r="D747" s="2">
        <f>IF(COUNTIFS('[1]Brand Family Territories (Enc)'!$B$2:$B$62,C747,'[1]Brand Family Territories (Enc)'!$C$2:$C$62,B747)&gt;0,1,IF(AND(LEFT(B747,6)="MORRIS",COUNTIFS('[1]Brand Family Territories (Enc)'!$B$2:$B$62,C747,'[1]Brand Family Territories (Enc)'!$C$2:$C$62,"Morri")&gt;0),"Unk",0))</f>
        <v>0</v>
      </c>
      <c r="E747" s="2" t="str">
        <f>IFERROR(INDEX('Blackout Brand Fam Areas (Enc)'!$D$6:$D$998,MATCH(UPPER(A747)&amp;"|"&amp;UPPER(B747),'Blackout Brand Fam Areas (Enc)'!$G$6:$G$998,0)),"No Match")</f>
        <v>Inactive</v>
      </c>
      <c r="F747" s="2" t="str">
        <f t="shared" si="22"/>
        <v>THEM</v>
      </c>
      <c r="G747" s="2" t="str">
        <f t="shared" si="23"/>
        <v>Redd's|UNION</v>
      </c>
    </row>
    <row r="748" spans="1:7" x14ac:dyDescent="0.2">
      <c r="A748" s="2" t="str" cm="1">
        <f t="array" ref="A748">INDEX('[1]Brand Family Territory (Enc)'!$A$2:$A$296,INT((ROW()-2)/10)+1)</f>
        <v>Redd's</v>
      </c>
      <c r="B748" s="2" t="str" cm="1">
        <f t="array" ref="B748">INDEX('Whitelist (Blackout Reverse)'!$B$1:$K$1,MOD(ROW()-2,10)+1)</f>
        <v>SUSSEX</v>
      </c>
      <c r="C748" s="2" t="str">
        <f>VLOOKUP(A748,'[1]Brand Family Territory (Enc)'!$A$2:$B$296,2,FALSE)</f>
        <v>Core Market</v>
      </c>
      <c r="D748" s="2">
        <f>IF(COUNTIFS('[1]Brand Family Territories (Enc)'!$B$2:$B$62,C748,'[1]Brand Family Territories (Enc)'!$C$2:$C$62,B748)&gt;0,1,IF(AND(LEFT(B748,6)="MORRIS",COUNTIFS('[1]Brand Family Territories (Enc)'!$B$2:$B$62,C748,'[1]Brand Family Territories (Enc)'!$C$2:$C$62,"Morri")&gt;0),"Unk",0))</f>
        <v>1</v>
      </c>
      <c r="E748" s="2" t="str">
        <f>IFERROR(INDEX('Blackout Brand Fam Areas (Enc)'!$D$6:$D$998,MATCH(UPPER(A748)&amp;"|"&amp;UPPER(B748),'Blackout Brand Fam Areas (Enc)'!$G$6:$G$998,0)),"No Match")</f>
        <v>No Match</v>
      </c>
      <c r="F748" s="2" t="str">
        <f t="shared" si="22"/>
        <v>US</v>
      </c>
      <c r="G748" s="2" t="str">
        <f t="shared" si="23"/>
        <v>Redd's|SUSSEX</v>
      </c>
    </row>
    <row r="749" spans="1:7" x14ac:dyDescent="0.2">
      <c r="A749" s="2" t="str" cm="1">
        <f t="array" ref="A749">INDEX('[1]Brand Family Territory (Enc)'!$A$2:$A$296,INT((ROW()-2)/10)+1)</f>
        <v>Redd's</v>
      </c>
      <c r="B749" s="2" t="str" cm="1">
        <f t="array" ref="B749">INDEX('Whitelist (Blackout Reverse)'!$B$1:$K$1,MOD(ROW()-2,10)+1)</f>
        <v>MORRIS 1</v>
      </c>
      <c r="C749" s="2" t="str">
        <f>VLOOKUP(A749,'[1]Brand Family Territory (Enc)'!$A$2:$B$296,2,FALSE)</f>
        <v>Core Market</v>
      </c>
      <c r="D749" s="2">
        <f>IF(COUNTIFS('[1]Brand Family Territories (Enc)'!$B$2:$B$62,C749,'[1]Brand Family Territories (Enc)'!$C$2:$C$62,B749)&gt;0,1,IF(AND(LEFT(B749,6)="MORRIS",COUNTIFS('[1]Brand Family Territories (Enc)'!$B$2:$B$62,C749,'[1]Brand Family Territories (Enc)'!$C$2:$C$62,"Morri")&gt;0),"Unk",0))</f>
        <v>1</v>
      </c>
      <c r="E749" s="2" t="str">
        <f>IFERROR(INDEX('Blackout Brand Fam Areas (Enc)'!$D$6:$D$998,MATCH(UPPER(A749)&amp;"|"&amp;UPPER(B749),'Blackout Brand Fam Areas (Enc)'!$G$6:$G$998,0)),"No Match")</f>
        <v>No Match</v>
      </c>
      <c r="F749" s="2" t="str">
        <f t="shared" si="22"/>
        <v>US</v>
      </c>
      <c r="G749" s="2" t="str">
        <f t="shared" si="23"/>
        <v>Redd's|MORRIS 1</v>
      </c>
    </row>
    <row r="750" spans="1:7" x14ac:dyDescent="0.2">
      <c r="A750" s="2" t="str" cm="1">
        <f t="array" ref="A750">INDEX('[1]Brand Family Territory (Enc)'!$A$2:$A$296,INT((ROW()-2)/10)+1)</f>
        <v>Redd's</v>
      </c>
      <c r="B750" s="2" t="str" cm="1">
        <f t="array" ref="B750">INDEX('Whitelist (Blackout Reverse)'!$B$1:$K$1,MOD(ROW()-2,10)+1)</f>
        <v>MORRIS 2</v>
      </c>
      <c r="C750" s="2" t="str">
        <f>VLOOKUP(A750,'[1]Brand Family Territory (Enc)'!$A$2:$B$296,2,FALSE)</f>
        <v>Core Market</v>
      </c>
      <c r="D750" s="2">
        <f>IF(COUNTIFS('[1]Brand Family Territories (Enc)'!$B$2:$B$62,C750,'[1]Brand Family Territories (Enc)'!$C$2:$C$62,B750)&gt;0,1,IF(AND(LEFT(B750,6)="MORRIS",COUNTIFS('[1]Brand Family Territories (Enc)'!$B$2:$B$62,C750,'[1]Brand Family Territories (Enc)'!$C$2:$C$62,"Morri")&gt;0),"Unk",0))</f>
        <v>0</v>
      </c>
      <c r="E750" s="2" t="str">
        <f>IFERROR(INDEX('Blackout Brand Fam Areas (Enc)'!$D$6:$D$998,MATCH(UPPER(A750)&amp;"|"&amp;UPPER(B750),'Blackout Brand Fam Areas (Enc)'!$G$6:$G$998,0)),"No Match")</f>
        <v>Inactive</v>
      </c>
      <c r="F750" s="2" t="str">
        <f t="shared" si="22"/>
        <v>THEM</v>
      </c>
      <c r="G750" s="2" t="str">
        <f t="shared" si="23"/>
        <v>Redd's|MORRIS 2</v>
      </c>
    </row>
    <row r="751" spans="1:7" x14ac:dyDescent="0.2">
      <c r="A751" s="2" t="str" cm="1">
        <f t="array" ref="A751">INDEX('[1]Brand Family Territory (Enc)'!$A$2:$A$296,INT((ROW()-2)/10)+1)</f>
        <v>Redd's</v>
      </c>
      <c r="B751" s="2" t="str" cm="1">
        <f t="array" ref="B751">INDEX('Whitelist (Blackout Reverse)'!$B$1:$K$1,MOD(ROW()-2,10)+1)</f>
        <v>MORRIS 3</v>
      </c>
      <c r="C751" s="2" t="str">
        <f>VLOOKUP(A751,'[1]Brand Family Territory (Enc)'!$A$2:$B$296,2,FALSE)</f>
        <v>Core Market</v>
      </c>
      <c r="D751" s="2">
        <f>IF(COUNTIFS('[1]Brand Family Territories (Enc)'!$B$2:$B$62,C751,'[1]Brand Family Territories (Enc)'!$C$2:$C$62,B751)&gt;0,1,IF(AND(LEFT(B751,6)="MORRIS",COUNTIFS('[1]Brand Family Territories (Enc)'!$B$2:$B$62,C751,'[1]Brand Family Territories (Enc)'!$C$2:$C$62,"Morri")&gt;0),"Unk",0))</f>
        <v>1</v>
      </c>
      <c r="E751" s="2" t="str">
        <f>IFERROR(INDEX('Blackout Brand Fam Areas (Enc)'!$D$6:$D$998,MATCH(UPPER(A751)&amp;"|"&amp;UPPER(B751),'Blackout Brand Fam Areas (Enc)'!$G$6:$G$998,0)),"No Match")</f>
        <v>No Match</v>
      </c>
      <c r="F751" s="2" t="str">
        <f t="shared" si="22"/>
        <v>US</v>
      </c>
      <c r="G751" s="2" t="str">
        <f t="shared" si="23"/>
        <v>Redd's|MORRIS 3</v>
      </c>
    </row>
    <row r="752" spans="1:7" x14ac:dyDescent="0.2">
      <c r="A752" s="2" t="str" cm="1">
        <f t="array" ref="A752">INDEX('[1]Brand Family Territory (Enc)'!$A$2:$A$296,INT((ROW()-2)/10)+1)</f>
        <v>Redd's Wicked</v>
      </c>
      <c r="B752" s="2" t="str" cm="1">
        <f t="array" ref="B752">INDEX('Whitelist (Blackout Reverse)'!$B$1:$K$1,MOD(ROW()-2,10)+1)</f>
        <v>BERGEN</v>
      </c>
      <c r="C752" s="2" t="str">
        <f>VLOOKUP(A752,'[1]Brand Family Territory (Enc)'!$A$2:$B$296,2,FALSE)</f>
        <v>Core Market</v>
      </c>
      <c r="D752" s="2">
        <f>IF(COUNTIFS('[1]Brand Family Territories (Enc)'!$B$2:$B$62,C752,'[1]Brand Family Territories (Enc)'!$C$2:$C$62,B752)&gt;0,1,IF(AND(LEFT(B752,6)="MORRIS",COUNTIFS('[1]Brand Family Territories (Enc)'!$B$2:$B$62,C752,'[1]Brand Family Territories (Enc)'!$C$2:$C$62,"Morri")&gt;0),"Unk",0))</f>
        <v>1</v>
      </c>
      <c r="E752" s="2" t="str">
        <f>IFERROR(INDEX('Blackout Brand Fam Areas (Enc)'!$D$6:$D$998,MATCH(UPPER(A752)&amp;"|"&amp;UPPER(B752),'Blackout Brand Fam Areas (Enc)'!$G$6:$G$998,0)),"No Match")</f>
        <v>No Match</v>
      </c>
      <c r="F752" s="2" t="str">
        <f t="shared" si="22"/>
        <v>US</v>
      </c>
      <c r="G752" s="2" t="str">
        <f t="shared" si="23"/>
        <v>Redd's Wicked|BERGEN</v>
      </c>
    </row>
    <row r="753" spans="1:7" x14ac:dyDescent="0.2">
      <c r="A753" s="2" t="str" cm="1">
        <f t="array" ref="A753">INDEX('[1]Brand Family Territory (Enc)'!$A$2:$A$296,INT((ROW()-2)/10)+1)</f>
        <v>Redd's Wicked</v>
      </c>
      <c r="B753" s="2" t="str" cm="1">
        <f t="array" ref="B753">INDEX('Whitelist (Blackout Reverse)'!$B$1:$K$1,MOD(ROW()-2,10)+1)</f>
        <v>PASSAIC</v>
      </c>
      <c r="C753" s="2" t="str">
        <f>VLOOKUP(A753,'[1]Brand Family Territory (Enc)'!$A$2:$B$296,2,FALSE)</f>
        <v>Core Market</v>
      </c>
      <c r="D753" s="2">
        <f>IF(COUNTIFS('[1]Brand Family Territories (Enc)'!$B$2:$B$62,C753,'[1]Brand Family Territories (Enc)'!$C$2:$C$62,B753)&gt;0,1,IF(AND(LEFT(B753,6)="MORRIS",COUNTIFS('[1]Brand Family Territories (Enc)'!$B$2:$B$62,C753,'[1]Brand Family Territories (Enc)'!$C$2:$C$62,"Morri")&gt;0),"Unk",0))</f>
        <v>1</v>
      </c>
      <c r="E753" s="2" t="str">
        <f>IFERROR(INDEX('Blackout Brand Fam Areas (Enc)'!$D$6:$D$998,MATCH(UPPER(A753)&amp;"|"&amp;UPPER(B753),'Blackout Brand Fam Areas (Enc)'!$G$6:$G$998,0)),"No Match")</f>
        <v>No Match</v>
      </c>
      <c r="F753" s="2" t="str">
        <f t="shared" si="22"/>
        <v>US</v>
      </c>
      <c r="G753" s="2" t="str">
        <f t="shared" si="23"/>
        <v>Redd's Wicked|PASSAIC</v>
      </c>
    </row>
    <row r="754" spans="1:7" x14ac:dyDescent="0.2">
      <c r="A754" s="2" t="str" cm="1">
        <f t="array" ref="A754">INDEX('[1]Brand Family Territory (Enc)'!$A$2:$A$296,INT((ROW()-2)/10)+1)</f>
        <v>Redd's Wicked</v>
      </c>
      <c r="B754" s="2" t="str" cm="1">
        <f t="array" ref="B754">INDEX('Whitelist (Blackout Reverse)'!$B$1:$K$1,MOD(ROW()-2,10)+1)</f>
        <v>PASSAIC-FF</v>
      </c>
      <c r="C754" s="2" t="str">
        <f>VLOOKUP(A754,'[1]Brand Family Territory (Enc)'!$A$2:$B$296,2,FALSE)</f>
        <v>Core Market</v>
      </c>
      <c r="D754" s="2">
        <f>IF(COUNTIFS('[1]Brand Family Territories (Enc)'!$B$2:$B$62,C754,'[1]Brand Family Territories (Enc)'!$C$2:$C$62,B754)&gt;0,1,IF(AND(LEFT(B754,6)="MORRIS",COUNTIFS('[1]Brand Family Territories (Enc)'!$B$2:$B$62,C754,'[1]Brand Family Territories (Enc)'!$C$2:$C$62,"Morri")&gt;0),"Unk",0))</f>
        <v>1</v>
      </c>
      <c r="E754" s="2" t="str">
        <f>IFERROR(INDEX('Blackout Brand Fam Areas (Enc)'!$D$6:$D$998,MATCH(UPPER(A754)&amp;"|"&amp;UPPER(B754),'Blackout Brand Fam Areas (Enc)'!$G$6:$G$998,0)),"No Match")</f>
        <v>No Match</v>
      </c>
      <c r="F754" s="2" t="str">
        <f t="shared" si="22"/>
        <v>US</v>
      </c>
      <c r="G754" s="2" t="str">
        <f t="shared" si="23"/>
        <v>Redd's Wicked|PASSAIC-FF</v>
      </c>
    </row>
    <row r="755" spans="1:7" x14ac:dyDescent="0.2">
      <c r="A755" s="2" t="str" cm="1">
        <f t="array" ref="A755">INDEX('[1]Brand Family Territory (Enc)'!$A$2:$A$296,INT((ROW()-2)/10)+1)</f>
        <v>Redd's Wicked</v>
      </c>
      <c r="B755" s="2" t="str" cm="1">
        <f t="array" ref="B755">INDEX('Whitelist (Blackout Reverse)'!$B$1:$K$1,MOD(ROW()-2,10)+1)</f>
        <v>ESSEX</v>
      </c>
      <c r="C755" s="2" t="str">
        <f>VLOOKUP(A755,'[1]Brand Family Territory (Enc)'!$A$2:$B$296,2,FALSE)</f>
        <v>Core Market</v>
      </c>
      <c r="D755" s="2">
        <f>IF(COUNTIFS('[1]Brand Family Territories (Enc)'!$B$2:$B$62,C755,'[1]Brand Family Territories (Enc)'!$C$2:$C$62,B755)&gt;0,1,IF(AND(LEFT(B755,6)="MORRIS",COUNTIFS('[1]Brand Family Territories (Enc)'!$B$2:$B$62,C755,'[1]Brand Family Territories (Enc)'!$C$2:$C$62,"Morri")&gt;0),"Unk",0))</f>
        <v>0</v>
      </c>
      <c r="E755" s="2" t="str">
        <f>IFERROR(INDEX('Blackout Brand Fam Areas (Enc)'!$D$6:$D$998,MATCH(UPPER(A755)&amp;"|"&amp;UPPER(B755),'Blackout Brand Fam Areas (Enc)'!$G$6:$G$998,0)),"No Match")</f>
        <v>Inactive</v>
      </c>
      <c r="F755" s="2" t="str">
        <f t="shared" si="22"/>
        <v>THEM</v>
      </c>
      <c r="G755" s="2" t="str">
        <f t="shared" si="23"/>
        <v>Redd's Wicked|ESSEX</v>
      </c>
    </row>
    <row r="756" spans="1:7" x14ac:dyDescent="0.2">
      <c r="A756" s="2" t="str" cm="1">
        <f t="array" ref="A756">INDEX('[1]Brand Family Territory (Enc)'!$A$2:$A$296,INT((ROW()-2)/10)+1)</f>
        <v>Redd's Wicked</v>
      </c>
      <c r="B756" s="2" t="str" cm="1">
        <f t="array" ref="B756">INDEX('Whitelist (Blackout Reverse)'!$B$1:$K$1,MOD(ROW()-2,10)+1)</f>
        <v>HUDSON</v>
      </c>
      <c r="C756" s="2" t="str">
        <f>VLOOKUP(A756,'[1]Brand Family Territory (Enc)'!$A$2:$B$296,2,FALSE)</f>
        <v>Core Market</v>
      </c>
      <c r="D756" s="2">
        <f>IF(COUNTIFS('[1]Brand Family Territories (Enc)'!$B$2:$B$62,C756,'[1]Brand Family Territories (Enc)'!$C$2:$C$62,B756)&gt;0,1,IF(AND(LEFT(B756,6)="MORRIS",COUNTIFS('[1]Brand Family Territories (Enc)'!$B$2:$B$62,C756,'[1]Brand Family Territories (Enc)'!$C$2:$C$62,"Morri")&gt;0),"Unk",0))</f>
        <v>0</v>
      </c>
      <c r="E756" s="2" t="str">
        <f>IFERROR(INDEX('Blackout Brand Fam Areas (Enc)'!$D$6:$D$998,MATCH(UPPER(A756)&amp;"|"&amp;UPPER(B756),'Blackout Brand Fam Areas (Enc)'!$G$6:$G$998,0)),"No Match")</f>
        <v>Inactive</v>
      </c>
      <c r="F756" s="2" t="str">
        <f t="shared" si="22"/>
        <v>THEM</v>
      </c>
      <c r="G756" s="2" t="str">
        <f t="shared" si="23"/>
        <v>Redd's Wicked|HUDSON</v>
      </c>
    </row>
    <row r="757" spans="1:7" x14ac:dyDescent="0.2">
      <c r="A757" s="2" t="str" cm="1">
        <f t="array" ref="A757">INDEX('[1]Brand Family Territory (Enc)'!$A$2:$A$296,INT((ROW()-2)/10)+1)</f>
        <v>Redd's Wicked</v>
      </c>
      <c r="B757" s="2" t="str" cm="1">
        <f t="array" ref="B757">INDEX('Whitelist (Blackout Reverse)'!$B$1:$K$1,MOD(ROW()-2,10)+1)</f>
        <v>UNION</v>
      </c>
      <c r="C757" s="2" t="str">
        <f>VLOOKUP(A757,'[1]Brand Family Territory (Enc)'!$A$2:$B$296,2,FALSE)</f>
        <v>Core Market</v>
      </c>
      <c r="D757" s="2">
        <f>IF(COUNTIFS('[1]Brand Family Territories (Enc)'!$B$2:$B$62,C757,'[1]Brand Family Territories (Enc)'!$C$2:$C$62,B757)&gt;0,1,IF(AND(LEFT(B757,6)="MORRIS",COUNTIFS('[1]Brand Family Territories (Enc)'!$B$2:$B$62,C757,'[1]Brand Family Territories (Enc)'!$C$2:$C$62,"Morri")&gt;0),"Unk",0))</f>
        <v>0</v>
      </c>
      <c r="E757" s="2" t="str">
        <f>IFERROR(INDEX('Blackout Brand Fam Areas (Enc)'!$D$6:$D$998,MATCH(UPPER(A757)&amp;"|"&amp;UPPER(B757),'Blackout Brand Fam Areas (Enc)'!$G$6:$G$998,0)),"No Match")</f>
        <v>Inactive</v>
      </c>
      <c r="F757" s="2" t="str">
        <f t="shared" si="22"/>
        <v>THEM</v>
      </c>
      <c r="G757" s="2" t="str">
        <f t="shared" si="23"/>
        <v>Redd's Wicked|UNION</v>
      </c>
    </row>
    <row r="758" spans="1:7" x14ac:dyDescent="0.2">
      <c r="A758" s="2" t="str" cm="1">
        <f t="array" ref="A758">INDEX('[1]Brand Family Territory (Enc)'!$A$2:$A$296,INT((ROW()-2)/10)+1)</f>
        <v>Redd's Wicked</v>
      </c>
      <c r="B758" s="2" t="str" cm="1">
        <f t="array" ref="B758">INDEX('Whitelist (Blackout Reverse)'!$B$1:$K$1,MOD(ROW()-2,10)+1)</f>
        <v>SUSSEX</v>
      </c>
      <c r="C758" s="2" t="str">
        <f>VLOOKUP(A758,'[1]Brand Family Territory (Enc)'!$A$2:$B$296,2,FALSE)</f>
        <v>Core Market</v>
      </c>
      <c r="D758" s="2">
        <f>IF(COUNTIFS('[1]Brand Family Territories (Enc)'!$B$2:$B$62,C758,'[1]Brand Family Territories (Enc)'!$C$2:$C$62,B758)&gt;0,1,IF(AND(LEFT(B758,6)="MORRIS",COUNTIFS('[1]Brand Family Territories (Enc)'!$B$2:$B$62,C758,'[1]Brand Family Territories (Enc)'!$C$2:$C$62,"Morri")&gt;0),"Unk",0))</f>
        <v>1</v>
      </c>
      <c r="E758" s="2" t="str">
        <f>IFERROR(INDEX('Blackout Brand Fam Areas (Enc)'!$D$6:$D$998,MATCH(UPPER(A758)&amp;"|"&amp;UPPER(B758),'Blackout Brand Fam Areas (Enc)'!$G$6:$G$998,0)),"No Match")</f>
        <v>No Match</v>
      </c>
      <c r="F758" s="2" t="str">
        <f t="shared" si="22"/>
        <v>US</v>
      </c>
      <c r="G758" s="2" t="str">
        <f t="shared" si="23"/>
        <v>Redd's Wicked|SUSSEX</v>
      </c>
    </row>
    <row r="759" spans="1:7" x14ac:dyDescent="0.2">
      <c r="A759" s="2" t="str" cm="1">
        <f t="array" ref="A759">INDEX('[1]Brand Family Territory (Enc)'!$A$2:$A$296,INT((ROW()-2)/10)+1)</f>
        <v>Redd's Wicked</v>
      </c>
      <c r="B759" s="2" t="str" cm="1">
        <f t="array" ref="B759">INDEX('Whitelist (Blackout Reverse)'!$B$1:$K$1,MOD(ROW()-2,10)+1)</f>
        <v>MORRIS 1</v>
      </c>
      <c r="C759" s="2" t="str">
        <f>VLOOKUP(A759,'[1]Brand Family Territory (Enc)'!$A$2:$B$296,2,FALSE)</f>
        <v>Core Market</v>
      </c>
      <c r="D759" s="2">
        <f>IF(COUNTIFS('[1]Brand Family Territories (Enc)'!$B$2:$B$62,C759,'[1]Brand Family Territories (Enc)'!$C$2:$C$62,B759)&gt;0,1,IF(AND(LEFT(B759,6)="MORRIS",COUNTIFS('[1]Brand Family Territories (Enc)'!$B$2:$B$62,C759,'[1]Brand Family Territories (Enc)'!$C$2:$C$62,"Morri")&gt;0),"Unk",0))</f>
        <v>1</v>
      </c>
      <c r="E759" s="2" t="str">
        <f>IFERROR(INDEX('Blackout Brand Fam Areas (Enc)'!$D$6:$D$998,MATCH(UPPER(A759)&amp;"|"&amp;UPPER(B759),'Blackout Brand Fam Areas (Enc)'!$G$6:$G$998,0)),"No Match")</f>
        <v>No Match</v>
      </c>
      <c r="F759" s="2" t="str">
        <f t="shared" si="22"/>
        <v>US</v>
      </c>
      <c r="G759" s="2" t="str">
        <f t="shared" si="23"/>
        <v>Redd's Wicked|MORRIS 1</v>
      </c>
    </row>
    <row r="760" spans="1:7" x14ac:dyDescent="0.2">
      <c r="A760" s="2" t="str" cm="1">
        <f t="array" ref="A760">INDEX('[1]Brand Family Territory (Enc)'!$A$2:$A$296,INT((ROW()-2)/10)+1)</f>
        <v>Redd's Wicked</v>
      </c>
      <c r="B760" s="2" t="str" cm="1">
        <f t="array" ref="B760">INDEX('Whitelist (Blackout Reverse)'!$B$1:$K$1,MOD(ROW()-2,10)+1)</f>
        <v>MORRIS 2</v>
      </c>
      <c r="C760" s="2" t="str">
        <f>VLOOKUP(A760,'[1]Brand Family Territory (Enc)'!$A$2:$B$296,2,FALSE)</f>
        <v>Core Market</v>
      </c>
      <c r="D760" s="2">
        <f>IF(COUNTIFS('[1]Brand Family Territories (Enc)'!$B$2:$B$62,C760,'[1]Brand Family Territories (Enc)'!$C$2:$C$62,B760)&gt;0,1,IF(AND(LEFT(B760,6)="MORRIS",COUNTIFS('[1]Brand Family Territories (Enc)'!$B$2:$B$62,C760,'[1]Brand Family Territories (Enc)'!$C$2:$C$62,"Morri")&gt;0),"Unk",0))</f>
        <v>0</v>
      </c>
      <c r="E760" s="2" t="str">
        <f>IFERROR(INDEX('Blackout Brand Fam Areas (Enc)'!$D$6:$D$998,MATCH(UPPER(A760)&amp;"|"&amp;UPPER(B760),'Blackout Brand Fam Areas (Enc)'!$G$6:$G$998,0)),"No Match")</f>
        <v>Inactive</v>
      </c>
      <c r="F760" s="2" t="str">
        <f t="shared" si="22"/>
        <v>THEM</v>
      </c>
      <c r="G760" s="2" t="str">
        <f t="shared" si="23"/>
        <v>Redd's Wicked|MORRIS 2</v>
      </c>
    </row>
    <row r="761" spans="1:7" x14ac:dyDescent="0.2">
      <c r="A761" s="2" t="str" cm="1">
        <f t="array" ref="A761">INDEX('[1]Brand Family Territory (Enc)'!$A$2:$A$296,INT((ROW()-2)/10)+1)</f>
        <v>Redd's Wicked</v>
      </c>
      <c r="B761" s="2" t="str" cm="1">
        <f t="array" ref="B761">INDEX('Whitelist (Blackout Reverse)'!$B$1:$K$1,MOD(ROW()-2,10)+1)</f>
        <v>MORRIS 3</v>
      </c>
      <c r="C761" s="2" t="str">
        <f>VLOOKUP(A761,'[1]Brand Family Territory (Enc)'!$A$2:$B$296,2,FALSE)</f>
        <v>Core Market</v>
      </c>
      <c r="D761" s="2">
        <f>IF(COUNTIFS('[1]Brand Family Territories (Enc)'!$B$2:$B$62,C761,'[1]Brand Family Territories (Enc)'!$C$2:$C$62,B761)&gt;0,1,IF(AND(LEFT(B761,6)="MORRIS",COUNTIFS('[1]Brand Family Territories (Enc)'!$B$2:$B$62,C761,'[1]Brand Family Territories (Enc)'!$C$2:$C$62,"Morri")&gt;0),"Unk",0))</f>
        <v>1</v>
      </c>
      <c r="E761" s="2" t="str">
        <f>IFERROR(INDEX('Blackout Brand Fam Areas (Enc)'!$D$6:$D$998,MATCH(UPPER(A761)&amp;"|"&amp;UPPER(B761),'Blackout Brand Fam Areas (Enc)'!$G$6:$G$998,0)),"No Match")</f>
        <v>No Match</v>
      </c>
      <c r="F761" s="2" t="str">
        <f t="shared" si="22"/>
        <v>US</v>
      </c>
      <c r="G761" s="2" t="str">
        <f t="shared" si="23"/>
        <v>Redd's Wicked|MORRIS 3</v>
      </c>
    </row>
    <row r="762" spans="1:7" x14ac:dyDescent="0.2">
      <c r="A762" s="2" t="str" cm="1">
        <f t="array" ref="A762">INDEX('[1]Brand Family Territory (Enc)'!$A$2:$A$296,INT((ROW()-2)/10)+1)</f>
        <v>Samuel Adams</v>
      </c>
      <c r="B762" s="2" t="str" cm="1">
        <f t="array" ref="B762">INDEX('Whitelist (Blackout Reverse)'!$B$1:$K$1,MOD(ROW()-2,10)+1)</f>
        <v>BERGEN</v>
      </c>
      <c r="C762" s="2" t="str">
        <f>VLOOKUP(A762,'[1]Brand Family Territory (Enc)'!$A$2:$B$296,2,FALSE)</f>
        <v>Core Market</v>
      </c>
      <c r="D762" s="2">
        <f>IF(COUNTIFS('[1]Brand Family Territories (Enc)'!$B$2:$B$62,C762,'[1]Brand Family Territories (Enc)'!$C$2:$C$62,B762)&gt;0,1,IF(AND(LEFT(B762,6)="MORRIS",COUNTIFS('[1]Brand Family Territories (Enc)'!$B$2:$B$62,C762,'[1]Brand Family Territories (Enc)'!$C$2:$C$62,"Morri")&gt;0),"Unk",0))</f>
        <v>1</v>
      </c>
      <c r="E762" s="2" t="str">
        <f>IFERROR(INDEX('Blackout Brand Fam Areas (Enc)'!$D$6:$D$998,MATCH(UPPER(A762)&amp;"|"&amp;UPPER(B762),'Blackout Brand Fam Areas (Enc)'!$G$6:$G$998,0)),"No Match")</f>
        <v>No Match</v>
      </c>
      <c r="F762" s="2" t="str">
        <f t="shared" si="22"/>
        <v>US</v>
      </c>
      <c r="G762" s="2" t="str">
        <f t="shared" si="23"/>
        <v>Samuel Adams|BERGEN</v>
      </c>
    </row>
    <row r="763" spans="1:7" x14ac:dyDescent="0.2">
      <c r="A763" s="2" t="str" cm="1">
        <f t="array" ref="A763">INDEX('[1]Brand Family Territory (Enc)'!$A$2:$A$296,INT((ROW()-2)/10)+1)</f>
        <v>Samuel Adams</v>
      </c>
      <c r="B763" s="2" t="str" cm="1">
        <f t="array" ref="B763">INDEX('Whitelist (Blackout Reverse)'!$B$1:$K$1,MOD(ROW()-2,10)+1)</f>
        <v>PASSAIC</v>
      </c>
      <c r="C763" s="2" t="str">
        <f>VLOOKUP(A763,'[1]Brand Family Territory (Enc)'!$A$2:$B$296,2,FALSE)</f>
        <v>Core Market</v>
      </c>
      <c r="D763" s="2">
        <f>IF(COUNTIFS('[1]Brand Family Territories (Enc)'!$B$2:$B$62,C763,'[1]Brand Family Territories (Enc)'!$C$2:$C$62,B763)&gt;0,1,IF(AND(LEFT(B763,6)="MORRIS",COUNTIFS('[1]Brand Family Territories (Enc)'!$B$2:$B$62,C763,'[1]Brand Family Territories (Enc)'!$C$2:$C$62,"Morri")&gt;0),"Unk",0))</f>
        <v>1</v>
      </c>
      <c r="E763" s="2" t="str">
        <f>IFERROR(INDEX('Blackout Brand Fam Areas (Enc)'!$D$6:$D$998,MATCH(UPPER(A763)&amp;"|"&amp;UPPER(B763),'Blackout Brand Fam Areas (Enc)'!$G$6:$G$998,0)),"No Match")</f>
        <v>No Match</v>
      </c>
      <c r="F763" s="2" t="str">
        <f t="shared" si="22"/>
        <v>US</v>
      </c>
      <c r="G763" s="2" t="str">
        <f t="shared" si="23"/>
        <v>Samuel Adams|PASSAIC</v>
      </c>
    </row>
    <row r="764" spans="1:7" x14ac:dyDescent="0.2">
      <c r="A764" s="2" t="str" cm="1">
        <f t="array" ref="A764">INDEX('[1]Brand Family Territory (Enc)'!$A$2:$A$296,INT((ROW()-2)/10)+1)</f>
        <v>Samuel Adams</v>
      </c>
      <c r="B764" s="2" t="str" cm="1">
        <f t="array" ref="B764">INDEX('Whitelist (Blackout Reverse)'!$B$1:$K$1,MOD(ROW()-2,10)+1)</f>
        <v>PASSAIC-FF</v>
      </c>
      <c r="C764" s="2" t="str">
        <f>VLOOKUP(A764,'[1]Brand Family Territory (Enc)'!$A$2:$B$296,2,FALSE)</f>
        <v>Core Market</v>
      </c>
      <c r="D764" s="2">
        <f>IF(COUNTIFS('[1]Brand Family Territories (Enc)'!$B$2:$B$62,C764,'[1]Brand Family Territories (Enc)'!$C$2:$C$62,B764)&gt;0,1,IF(AND(LEFT(B764,6)="MORRIS",COUNTIFS('[1]Brand Family Territories (Enc)'!$B$2:$B$62,C764,'[1]Brand Family Territories (Enc)'!$C$2:$C$62,"Morri")&gt;0),"Unk",0))</f>
        <v>1</v>
      </c>
      <c r="E764" s="2" t="str">
        <f>IFERROR(INDEX('Blackout Brand Fam Areas (Enc)'!$D$6:$D$998,MATCH(UPPER(A764)&amp;"|"&amp;UPPER(B764),'Blackout Brand Fam Areas (Enc)'!$G$6:$G$998,0)),"No Match")</f>
        <v>No Match</v>
      </c>
      <c r="F764" s="2" t="str">
        <f t="shared" si="22"/>
        <v>US</v>
      </c>
      <c r="G764" s="2" t="str">
        <f t="shared" si="23"/>
        <v>Samuel Adams|PASSAIC-FF</v>
      </c>
    </row>
    <row r="765" spans="1:7" x14ac:dyDescent="0.2">
      <c r="A765" s="2" t="str" cm="1">
        <f t="array" ref="A765">INDEX('[1]Brand Family Territory (Enc)'!$A$2:$A$296,INT((ROW()-2)/10)+1)</f>
        <v>Samuel Adams</v>
      </c>
      <c r="B765" s="2" t="str" cm="1">
        <f t="array" ref="B765">INDEX('Whitelist (Blackout Reverse)'!$B$1:$K$1,MOD(ROW()-2,10)+1)</f>
        <v>ESSEX</v>
      </c>
      <c r="C765" s="2" t="str">
        <f>VLOOKUP(A765,'[1]Brand Family Territory (Enc)'!$A$2:$B$296,2,FALSE)</f>
        <v>Core Market</v>
      </c>
      <c r="D765" s="2">
        <f>IF(COUNTIFS('[1]Brand Family Territories (Enc)'!$B$2:$B$62,C765,'[1]Brand Family Territories (Enc)'!$C$2:$C$62,B765)&gt;0,1,IF(AND(LEFT(B765,6)="MORRIS",COUNTIFS('[1]Brand Family Territories (Enc)'!$B$2:$B$62,C765,'[1]Brand Family Territories (Enc)'!$C$2:$C$62,"Morri")&gt;0),"Unk",0))</f>
        <v>0</v>
      </c>
      <c r="E765" s="2" t="str">
        <f>IFERROR(INDEX('Blackout Brand Fam Areas (Enc)'!$D$6:$D$998,MATCH(UPPER(A765)&amp;"|"&amp;UPPER(B765),'Blackout Brand Fam Areas (Enc)'!$G$6:$G$998,0)),"No Match")</f>
        <v>Inactive</v>
      </c>
      <c r="F765" s="2" t="str">
        <f t="shared" si="22"/>
        <v>THEM</v>
      </c>
      <c r="G765" s="2" t="str">
        <f t="shared" si="23"/>
        <v>Samuel Adams|ESSEX</v>
      </c>
    </row>
    <row r="766" spans="1:7" x14ac:dyDescent="0.2">
      <c r="A766" s="2" t="str" cm="1">
        <f t="array" ref="A766">INDEX('[1]Brand Family Territory (Enc)'!$A$2:$A$296,INT((ROW()-2)/10)+1)</f>
        <v>Samuel Adams</v>
      </c>
      <c r="B766" s="2" t="str" cm="1">
        <f t="array" ref="B766">INDEX('Whitelist (Blackout Reverse)'!$B$1:$K$1,MOD(ROW()-2,10)+1)</f>
        <v>HUDSON</v>
      </c>
      <c r="C766" s="2" t="str">
        <f>VLOOKUP(A766,'[1]Brand Family Territory (Enc)'!$A$2:$B$296,2,FALSE)</f>
        <v>Core Market</v>
      </c>
      <c r="D766" s="2">
        <f>IF(COUNTIFS('[1]Brand Family Territories (Enc)'!$B$2:$B$62,C766,'[1]Brand Family Territories (Enc)'!$C$2:$C$62,B766)&gt;0,1,IF(AND(LEFT(B766,6)="MORRIS",COUNTIFS('[1]Brand Family Territories (Enc)'!$B$2:$B$62,C766,'[1]Brand Family Territories (Enc)'!$C$2:$C$62,"Morri")&gt;0),"Unk",0))</f>
        <v>0</v>
      </c>
      <c r="E766" s="2" t="str">
        <f>IFERROR(INDEX('Blackout Brand Fam Areas (Enc)'!$D$6:$D$998,MATCH(UPPER(A766)&amp;"|"&amp;UPPER(B766),'Blackout Brand Fam Areas (Enc)'!$G$6:$G$998,0)),"No Match")</f>
        <v>Inactive</v>
      </c>
      <c r="F766" s="2" t="str">
        <f t="shared" si="22"/>
        <v>THEM</v>
      </c>
      <c r="G766" s="2" t="str">
        <f t="shared" si="23"/>
        <v>Samuel Adams|HUDSON</v>
      </c>
    </row>
    <row r="767" spans="1:7" x14ac:dyDescent="0.2">
      <c r="A767" s="2" t="str" cm="1">
        <f t="array" ref="A767">INDEX('[1]Brand Family Territory (Enc)'!$A$2:$A$296,INT((ROW()-2)/10)+1)</f>
        <v>Samuel Adams</v>
      </c>
      <c r="B767" s="2" t="str" cm="1">
        <f t="array" ref="B767">INDEX('Whitelist (Blackout Reverse)'!$B$1:$K$1,MOD(ROW()-2,10)+1)</f>
        <v>UNION</v>
      </c>
      <c r="C767" s="2" t="str">
        <f>VLOOKUP(A767,'[1]Brand Family Territory (Enc)'!$A$2:$B$296,2,FALSE)</f>
        <v>Core Market</v>
      </c>
      <c r="D767" s="2">
        <f>IF(COUNTIFS('[1]Brand Family Territories (Enc)'!$B$2:$B$62,C767,'[1]Brand Family Territories (Enc)'!$C$2:$C$62,B767)&gt;0,1,IF(AND(LEFT(B767,6)="MORRIS",COUNTIFS('[1]Brand Family Territories (Enc)'!$B$2:$B$62,C767,'[1]Brand Family Territories (Enc)'!$C$2:$C$62,"Morri")&gt;0),"Unk",0))</f>
        <v>0</v>
      </c>
      <c r="E767" s="2" t="str">
        <f>IFERROR(INDEX('Blackout Brand Fam Areas (Enc)'!$D$6:$D$998,MATCH(UPPER(A767)&amp;"|"&amp;UPPER(B767),'Blackout Brand Fam Areas (Enc)'!$G$6:$G$998,0)),"No Match")</f>
        <v>Inactive</v>
      </c>
      <c r="F767" s="2" t="str">
        <f t="shared" si="22"/>
        <v>THEM</v>
      </c>
      <c r="G767" s="2" t="str">
        <f t="shared" si="23"/>
        <v>Samuel Adams|UNION</v>
      </c>
    </row>
    <row r="768" spans="1:7" x14ac:dyDescent="0.2">
      <c r="A768" s="2" t="str" cm="1">
        <f t="array" ref="A768">INDEX('[1]Brand Family Territory (Enc)'!$A$2:$A$296,INT((ROW()-2)/10)+1)</f>
        <v>Samuel Adams</v>
      </c>
      <c r="B768" s="2" t="str" cm="1">
        <f t="array" ref="B768">INDEX('Whitelist (Blackout Reverse)'!$B$1:$K$1,MOD(ROW()-2,10)+1)</f>
        <v>SUSSEX</v>
      </c>
      <c r="C768" s="2" t="str">
        <f>VLOOKUP(A768,'[1]Brand Family Territory (Enc)'!$A$2:$B$296,2,FALSE)</f>
        <v>Core Market</v>
      </c>
      <c r="D768" s="2">
        <f>IF(COUNTIFS('[1]Brand Family Territories (Enc)'!$B$2:$B$62,C768,'[1]Brand Family Territories (Enc)'!$C$2:$C$62,B768)&gt;0,1,IF(AND(LEFT(B768,6)="MORRIS",COUNTIFS('[1]Brand Family Territories (Enc)'!$B$2:$B$62,C768,'[1]Brand Family Territories (Enc)'!$C$2:$C$62,"Morri")&gt;0),"Unk",0))</f>
        <v>1</v>
      </c>
      <c r="E768" s="2" t="str">
        <f>IFERROR(INDEX('Blackout Brand Fam Areas (Enc)'!$D$6:$D$998,MATCH(UPPER(A768)&amp;"|"&amp;UPPER(B768),'Blackout Brand Fam Areas (Enc)'!$G$6:$G$998,0)),"No Match")</f>
        <v>No Match</v>
      </c>
      <c r="F768" s="2" t="str">
        <f t="shared" si="22"/>
        <v>US</v>
      </c>
      <c r="G768" s="2" t="str">
        <f t="shared" si="23"/>
        <v>Samuel Adams|SUSSEX</v>
      </c>
    </row>
    <row r="769" spans="1:7" x14ac:dyDescent="0.2">
      <c r="A769" s="2" t="str" cm="1">
        <f t="array" ref="A769">INDEX('[1]Brand Family Territory (Enc)'!$A$2:$A$296,INT((ROW()-2)/10)+1)</f>
        <v>Samuel Adams</v>
      </c>
      <c r="B769" s="2" t="str" cm="1">
        <f t="array" ref="B769">INDEX('Whitelist (Blackout Reverse)'!$B$1:$K$1,MOD(ROW()-2,10)+1)</f>
        <v>MORRIS 1</v>
      </c>
      <c r="C769" s="2" t="str">
        <f>VLOOKUP(A769,'[1]Brand Family Territory (Enc)'!$A$2:$B$296,2,FALSE)</f>
        <v>Core Market</v>
      </c>
      <c r="D769" s="2">
        <f>IF(COUNTIFS('[1]Brand Family Territories (Enc)'!$B$2:$B$62,C769,'[1]Brand Family Territories (Enc)'!$C$2:$C$62,B769)&gt;0,1,IF(AND(LEFT(B769,6)="MORRIS",COUNTIFS('[1]Brand Family Territories (Enc)'!$B$2:$B$62,C769,'[1]Brand Family Territories (Enc)'!$C$2:$C$62,"Morri")&gt;0),"Unk",0))</f>
        <v>1</v>
      </c>
      <c r="E769" s="2" t="str">
        <f>IFERROR(INDEX('Blackout Brand Fam Areas (Enc)'!$D$6:$D$998,MATCH(UPPER(A769)&amp;"|"&amp;UPPER(B769),'Blackout Brand Fam Areas (Enc)'!$G$6:$G$998,0)),"No Match")</f>
        <v>No Match</v>
      </c>
      <c r="F769" s="2" t="str">
        <f t="shared" si="22"/>
        <v>US</v>
      </c>
      <c r="G769" s="2" t="str">
        <f t="shared" si="23"/>
        <v>Samuel Adams|MORRIS 1</v>
      </c>
    </row>
    <row r="770" spans="1:7" x14ac:dyDescent="0.2">
      <c r="A770" s="2" t="str" cm="1">
        <f t="array" ref="A770">INDEX('[1]Brand Family Territory (Enc)'!$A$2:$A$296,INT((ROW()-2)/10)+1)</f>
        <v>Samuel Adams</v>
      </c>
      <c r="B770" s="2" t="str" cm="1">
        <f t="array" ref="B770">INDEX('Whitelist (Blackout Reverse)'!$B$1:$K$1,MOD(ROW()-2,10)+1)</f>
        <v>MORRIS 2</v>
      </c>
      <c r="C770" s="2" t="str">
        <f>VLOOKUP(A770,'[1]Brand Family Territory (Enc)'!$A$2:$B$296,2,FALSE)</f>
        <v>Core Market</v>
      </c>
      <c r="D770" s="2">
        <f>IF(COUNTIFS('[1]Brand Family Territories (Enc)'!$B$2:$B$62,C770,'[1]Brand Family Territories (Enc)'!$C$2:$C$62,B770)&gt;0,1,IF(AND(LEFT(B770,6)="MORRIS",COUNTIFS('[1]Brand Family Territories (Enc)'!$B$2:$B$62,C770,'[1]Brand Family Territories (Enc)'!$C$2:$C$62,"Morri")&gt;0),"Unk",0))</f>
        <v>0</v>
      </c>
      <c r="E770" s="2" t="str">
        <f>IFERROR(INDEX('Blackout Brand Fam Areas (Enc)'!$D$6:$D$998,MATCH(UPPER(A770)&amp;"|"&amp;UPPER(B770),'Blackout Brand Fam Areas (Enc)'!$G$6:$G$998,0)),"No Match")</f>
        <v>Inactive</v>
      </c>
      <c r="F770" s="2" t="str">
        <f t="shared" si="22"/>
        <v>THEM</v>
      </c>
      <c r="G770" s="2" t="str">
        <f t="shared" si="23"/>
        <v>Samuel Adams|MORRIS 2</v>
      </c>
    </row>
    <row r="771" spans="1:7" x14ac:dyDescent="0.2">
      <c r="A771" s="2" t="str" cm="1">
        <f t="array" ref="A771">INDEX('[1]Brand Family Territory (Enc)'!$A$2:$A$296,INT((ROW()-2)/10)+1)</f>
        <v>Samuel Adams</v>
      </c>
      <c r="B771" s="2" t="str" cm="1">
        <f t="array" ref="B771">INDEX('Whitelist (Blackout Reverse)'!$B$1:$K$1,MOD(ROW()-2,10)+1)</f>
        <v>MORRIS 3</v>
      </c>
      <c r="C771" s="2" t="str">
        <f>VLOOKUP(A771,'[1]Brand Family Territory (Enc)'!$A$2:$B$296,2,FALSE)</f>
        <v>Core Market</v>
      </c>
      <c r="D771" s="2">
        <f>IF(COUNTIFS('[1]Brand Family Territories (Enc)'!$B$2:$B$62,C771,'[1]Brand Family Territories (Enc)'!$C$2:$C$62,B771)&gt;0,1,IF(AND(LEFT(B771,6)="MORRIS",COUNTIFS('[1]Brand Family Territories (Enc)'!$B$2:$B$62,C771,'[1]Brand Family Territories (Enc)'!$C$2:$C$62,"Morri")&gt;0),"Unk",0))</f>
        <v>1</v>
      </c>
      <c r="E771" s="2" t="str">
        <f>IFERROR(INDEX('Blackout Brand Fam Areas (Enc)'!$D$6:$D$998,MATCH(UPPER(A771)&amp;"|"&amp;UPPER(B771),'Blackout Brand Fam Areas (Enc)'!$G$6:$G$998,0)),"No Match")</f>
        <v>No Match</v>
      </c>
      <c r="F771" s="2" t="str">
        <f t="shared" ref="F771:F834" si="24">IF(D771="Unk","Ambiguous (Source Truncated)",IF(E771="Inactive","THEM",IF(D771=1,"US",IF(D771="N/A","No Territory Data","THEM"))))</f>
        <v>US</v>
      </c>
      <c r="G771" s="2" t="str">
        <f t="shared" ref="G771:G834" si="25">A771&amp;"|"&amp;B771</f>
        <v>Samuel Adams|MORRIS 3</v>
      </c>
    </row>
    <row r="772" spans="1:7" x14ac:dyDescent="0.2">
      <c r="A772" s="2" t="str" cm="1">
        <f t="array" ref="A772">INDEX('[1]Brand Family Territory (Enc)'!$A$2:$A$296,INT((ROW()-2)/10)+1)</f>
        <v>Sauza</v>
      </c>
      <c r="B772" s="2" t="str" cm="1">
        <f t="array" ref="B772">INDEX('Whitelist (Blackout Reverse)'!$B$1:$K$1,MOD(ROW()-2,10)+1)</f>
        <v>BERGEN</v>
      </c>
      <c r="C772" s="2" t="str">
        <f>VLOOKUP(A772,'[1]Brand Family Territory (Enc)'!$A$2:$B$296,2,FALSE)</f>
        <v>Core Market</v>
      </c>
      <c r="D772" s="2">
        <f>IF(COUNTIFS('[1]Brand Family Territories (Enc)'!$B$2:$B$62,C772,'[1]Brand Family Territories (Enc)'!$C$2:$C$62,B772)&gt;0,1,IF(AND(LEFT(B772,6)="MORRIS",COUNTIFS('[1]Brand Family Territories (Enc)'!$B$2:$B$62,C772,'[1]Brand Family Territories (Enc)'!$C$2:$C$62,"Morri")&gt;0),"Unk",0))</f>
        <v>1</v>
      </c>
      <c r="E772" s="2" t="str">
        <f>IFERROR(INDEX('Blackout Brand Fam Areas (Enc)'!$D$6:$D$998,MATCH(UPPER(A772)&amp;"|"&amp;UPPER(B772),'Blackout Brand Fam Areas (Enc)'!$G$6:$G$998,0)),"No Match")</f>
        <v>No Match</v>
      </c>
      <c r="F772" s="2" t="str">
        <f t="shared" si="24"/>
        <v>US</v>
      </c>
      <c r="G772" s="2" t="str">
        <f t="shared" si="25"/>
        <v>Sauza|BERGEN</v>
      </c>
    </row>
    <row r="773" spans="1:7" x14ac:dyDescent="0.2">
      <c r="A773" s="2" t="str" cm="1">
        <f t="array" ref="A773">INDEX('[1]Brand Family Territory (Enc)'!$A$2:$A$296,INT((ROW()-2)/10)+1)</f>
        <v>Sauza</v>
      </c>
      <c r="B773" s="2" t="str" cm="1">
        <f t="array" ref="B773">INDEX('Whitelist (Blackout Reverse)'!$B$1:$K$1,MOD(ROW()-2,10)+1)</f>
        <v>PASSAIC</v>
      </c>
      <c r="C773" s="2" t="str">
        <f>VLOOKUP(A773,'[1]Brand Family Territory (Enc)'!$A$2:$B$296,2,FALSE)</f>
        <v>Core Market</v>
      </c>
      <c r="D773" s="2">
        <f>IF(COUNTIFS('[1]Brand Family Territories (Enc)'!$B$2:$B$62,C773,'[1]Brand Family Territories (Enc)'!$C$2:$C$62,B773)&gt;0,1,IF(AND(LEFT(B773,6)="MORRIS",COUNTIFS('[1]Brand Family Territories (Enc)'!$B$2:$B$62,C773,'[1]Brand Family Territories (Enc)'!$C$2:$C$62,"Morri")&gt;0),"Unk",0))</f>
        <v>1</v>
      </c>
      <c r="E773" s="2" t="str">
        <f>IFERROR(INDEX('Blackout Brand Fam Areas (Enc)'!$D$6:$D$998,MATCH(UPPER(A773)&amp;"|"&amp;UPPER(B773),'Blackout Brand Fam Areas (Enc)'!$G$6:$G$998,0)),"No Match")</f>
        <v>No Match</v>
      </c>
      <c r="F773" s="2" t="str">
        <f t="shared" si="24"/>
        <v>US</v>
      </c>
      <c r="G773" s="2" t="str">
        <f t="shared" si="25"/>
        <v>Sauza|PASSAIC</v>
      </c>
    </row>
    <row r="774" spans="1:7" x14ac:dyDescent="0.2">
      <c r="A774" s="2" t="str" cm="1">
        <f t="array" ref="A774">INDEX('[1]Brand Family Territory (Enc)'!$A$2:$A$296,INT((ROW()-2)/10)+1)</f>
        <v>Sauza</v>
      </c>
      <c r="B774" s="2" t="str" cm="1">
        <f t="array" ref="B774">INDEX('Whitelist (Blackout Reverse)'!$B$1:$K$1,MOD(ROW()-2,10)+1)</f>
        <v>PASSAIC-FF</v>
      </c>
      <c r="C774" s="2" t="str">
        <f>VLOOKUP(A774,'[1]Brand Family Territory (Enc)'!$A$2:$B$296,2,FALSE)</f>
        <v>Core Market</v>
      </c>
      <c r="D774" s="2">
        <f>IF(COUNTIFS('[1]Brand Family Territories (Enc)'!$B$2:$B$62,C774,'[1]Brand Family Territories (Enc)'!$C$2:$C$62,B774)&gt;0,1,IF(AND(LEFT(B774,6)="MORRIS",COUNTIFS('[1]Brand Family Territories (Enc)'!$B$2:$B$62,C774,'[1]Brand Family Territories (Enc)'!$C$2:$C$62,"Morri")&gt;0),"Unk",0))</f>
        <v>1</v>
      </c>
      <c r="E774" s="2" t="str">
        <f>IFERROR(INDEX('Blackout Brand Fam Areas (Enc)'!$D$6:$D$998,MATCH(UPPER(A774)&amp;"|"&amp;UPPER(B774),'Blackout Brand Fam Areas (Enc)'!$G$6:$G$998,0)),"No Match")</f>
        <v>No Match</v>
      </c>
      <c r="F774" s="2" t="str">
        <f t="shared" si="24"/>
        <v>US</v>
      </c>
      <c r="G774" s="2" t="str">
        <f t="shared" si="25"/>
        <v>Sauza|PASSAIC-FF</v>
      </c>
    </row>
    <row r="775" spans="1:7" x14ac:dyDescent="0.2">
      <c r="A775" s="2" t="str" cm="1">
        <f t="array" ref="A775">INDEX('[1]Brand Family Territory (Enc)'!$A$2:$A$296,INT((ROW()-2)/10)+1)</f>
        <v>Sauza</v>
      </c>
      <c r="B775" s="2" t="str" cm="1">
        <f t="array" ref="B775">INDEX('Whitelist (Blackout Reverse)'!$B$1:$K$1,MOD(ROW()-2,10)+1)</f>
        <v>ESSEX</v>
      </c>
      <c r="C775" s="2" t="str">
        <f>VLOOKUP(A775,'[1]Brand Family Territory (Enc)'!$A$2:$B$296,2,FALSE)</f>
        <v>Core Market</v>
      </c>
      <c r="D775" s="2">
        <f>IF(COUNTIFS('[1]Brand Family Territories (Enc)'!$B$2:$B$62,C775,'[1]Brand Family Territories (Enc)'!$C$2:$C$62,B775)&gt;0,1,IF(AND(LEFT(B775,6)="MORRIS",COUNTIFS('[1]Brand Family Territories (Enc)'!$B$2:$B$62,C775,'[1]Brand Family Territories (Enc)'!$C$2:$C$62,"Morri")&gt;0),"Unk",0))</f>
        <v>0</v>
      </c>
      <c r="E775" s="2" t="str">
        <f>IFERROR(INDEX('Blackout Brand Fam Areas (Enc)'!$D$6:$D$998,MATCH(UPPER(A775)&amp;"|"&amp;UPPER(B775),'Blackout Brand Fam Areas (Enc)'!$G$6:$G$998,0)),"No Match")</f>
        <v>Inactive</v>
      </c>
      <c r="F775" s="2" t="str">
        <f t="shared" si="24"/>
        <v>THEM</v>
      </c>
      <c r="G775" s="2" t="str">
        <f t="shared" si="25"/>
        <v>Sauza|ESSEX</v>
      </c>
    </row>
    <row r="776" spans="1:7" x14ac:dyDescent="0.2">
      <c r="A776" s="2" t="str" cm="1">
        <f t="array" ref="A776">INDEX('[1]Brand Family Territory (Enc)'!$A$2:$A$296,INT((ROW()-2)/10)+1)</f>
        <v>Sauza</v>
      </c>
      <c r="B776" s="2" t="str" cm="1">
        <f t="array" ref="B776">INDEX('Whitelist (Blackout Reverse)'!$B$1:$K$1,MOD(ROW()-2,10)+1)</f>
        <v>HUDSON</v>
      </c>
      <c r="C776" s="2" t="str">
        <f>VLOOKUP(A776,'[1]Brand Family Territory (Enc)'!$A$2:$B$296,2,FALSE)</f>
        <v>Core Market</v>
      </c>
      <c r="D776" s="2">
        <f>IF(COUNTIFS('[1]Brand Family Territories (Enc)'!$B$2:$B$62,C776,'[1]Brand Family Territories (Enc)'!$C$2:$C$62,B776)&gt;0,1,IF(AND(LEFT(B776,6)="MORRIS",COUNTIFS('[1]Brand Family Territories (Enc)'!$B$2:$B$62,C776,'[1]Brand Family Territories (Enc)'!$C$2:$C$62,"Morri")&gt;0),"Unk",0))</f>
        <v>0</v>
      </c>
      <c r="E776" s="2" t="str">
        <f>IFERROR(INDEX('Blackout Brand Fam Areas (Enc)'!$D$6:$D$998,MATCH(UPPER(A776)&amp;"|"&amp;UPPER(B776),'Blackout Brand Fam Areas (Enc)'!$G$6:$G$998,0)),"No Match")</f>
        <v>Inactive</v>
      </c>
      <c r="F776" s="2" t="str">
        <f t="shared" si="24"/>
        <v>THEM</v>
      </c>
      <c r="G776" s="2" t="str">
        <f t="shared" si="25"/>
        <v>Sauza|HUDSON</v>
      </c>
    </row>
    <row r="777" spans="1:7" x14ac:dyDescent="0.2">
      <c r="A777" s="2" t="str" cm="1">
        <f t="array" ref="A777">INDEX('[1]Brand Family Territory (Enc)'!$A$2:$A$296,INT((ROW()-2)/10)+1)</f>
        <v>Sauza</v>
      </c>
      <c r="B777" s="2" t="str" cm="1">
        <f t="array" ref="B777">INDEX('Whitelist (Blackout Reverse)'!$B$1:$K$1,MOD(ROW()-2,10)+1)</f>
        <v>UNION</v>
      </c>
      <c r="C777" s="2" t="str">
        <f>VLOOKUP(A777,'[1]Brand Family Territory (Enc)'!$A$2:$B$296,2,FALSE)</f>
        <v>Core Market</v>
      </c>
      <c r="D777" s="2">
        <f>IF(COUNTIFS('[1]Brand Family Territories (Enc)'!$B$2:$B$62,C777,'[1]Brand Family Territories (Enc)'!$C$2:$C$62,B777)&gt;0,1,IF(AND(LEFT(B777,6)="MORRIS",COUNTIFS('[1]Brand Family Territories (Enc)'!$B$2:$B$62,C777,'[1]Brand Family Territories (Enc)'!$C$2:$C$62,"Morri")&gt;0),"Unk",0))</f>
        <v>0</v>
      </c>
      <c r="E777" s="2" t="str">
        <f>IFERROR(INDEX('Blackout Brand Fam Areas (Enc)'!$D$6:$D$998,MATCH(UPPER(A777)&amp;"|"&amp;UPPER(B777),'Blackout Brand Fam Areas (Enc)'!$G$6:$G$998,0)),"No Match")</f>
        <v>Inactive</v>
      </c>
      <c r="F777" s="2" t="str">
        <f t="shared" si="24"/>
        <v>THEM</v>
      </c>
      <c r="G777" s="2" t="str">
        <f t="shared" si="25"/>
        <v>Sauza|UNION</v>
      </c>
    </row>
    <row r="778" spans="1:7" x14ac:dyDescent="0.2">
      <c r="A778" s="2" t="str" cm="1">
        <f t="array" ref="A778">INDEX('[1]Brand Family Territory (Enc)'!$A$2:$A$296,INT((ROW()-2)/10)+1)</f>
        <v>Sauza</v>
      </c>
      <c r="B778" s="2" t="str" cm="1">
        <f t="array" ref="B778">INDEX('Whitelist (Blackout Reverse)'!$B$1:$K$1,MOD(ROW()-2,10)+1)</f>
        <v>SUSSEX</v>
      </c>
      <c r="C778" s="2" t="str">
        <f>VLOOKUP(A778,'[1]Brand Family Territory (Enc)'!$A$2:$B$296,2,FALSE)</f>
        <v>Core Market</v>
      </c>
      <c r="D778" s="2">
        <f>IF(COUNTIFS('[1]Brand Family Territories (Enc)'!$B$2:$B$62,C778,'[1]Brand Family Territories (Enc)'!$C$2:$C$62,B778)&gt;0,1,IF(AND(LEFT(B778,6)="MORRIS",COUNTIFS('[1]Brand Family Territories (Enc)'!$B$2:$B$62,C778,'[1]Brand Family Territories (Enc)'!$C$2:$C$62,"Morri")&gt;0),"Unk",0))</f>
        <v>1</v>
      </c>
      <c r="E778" s="2" t="str">
        <f>IFERROR(INDEX('Blackout Brand Fam Areas (Enc)'!$D$6:$D$998,MATCH(UPPER(A778)&amp;"|"&amp;UPPER(B778),'Blackout Brand Fam Areas (Enc)'!$G$6:$G$998,0)),"No Match")</f>
        <v>No Match</v>
      </c>
      <c r="F778" s="2" t="str">
        <f t="shared" si="24"/>
        <v>US</v>
      </c>
      <c r="G778" s="2" t="str">
        <f t="shared" si="25"/>
        <v>Sauza|SUSSEX</v>
      </c>
    </row>
    <row r="779" spans="1:7" x14ac:dyDescent="0.2">
      <c r="A779" s="2" t="str" cm="1">
        <f t="array" ref="A779">INDEX('[1]Brand Family Territory (Enc)'!$A$2:$A$296,INT((ROW()-2)/10)+1)</f>
        <v>Sauza</v>
      </c>
      <c r="B779" s="2" t="str" cm="1">
        <f t="array" ref="B779">INDEX('Whitelist (Blackout Reverse)'!$B$1:$K$1,MOD(ROW()-2,10)+1)</f>
        <v>MORRIS 1</v>
      </c>
      <c r="C779" s="2" t="str">
        <f>VLOOKUP(A779,'[1]Brand Family Territory (Enc)'!$A$2:$B$296,2,FALSE)</f>
        <v>Core Market</v>
      </c>
      <c r="D779" s="2">
        <f>IF(COUNTIFS('[1]Brand Family Territories (Enc)'!$B$2:$B$62,C779,'[1]Brand Family Territories (Enc)'!$C$2:$C$62,B779)&gt;0,1,IF(AND(LEFT(B779,6)="MORRIS",COUNTIFS('[1]Brand Family Territories (Enc)'!$B$2:$B$62,C779,'[1]Brand Family Territories (Enc)'!$C$2:$C$62,"Morri")&gt;0),"Unk",0))</f>
        <v>1</v>
      </c>
      <c r="E779" s="2" t="str">
        <f>IFERROR(INDEX('Blackout Brand Fam Areas (Enc)'!$D$6:$D$998,MATCH(UPPER(A779)&amp;"|"&amp;UPPER(B779),'Blackout Brand Fam Areas (Enc)'!$G$6:$G$998,0)),"No Match")</f>
        <v>No Match</v>
      </c>
      <c r="F779" s="2" t="str">
        <f t="shared" si="24"/>
        <v>US</v>
      </c>
      <c r="G779" s="2" t="str">
        <f t="shared" si="25"/>
        <v>Sauza|MORRIS 1</v>
      </c>
    </row>
    <row r="780" spans="1:7" x14ac:dyDescent="0.2">
      <c r="A780" s="2" t="str" cm="1">
        <f t="array" ref="A780">INDEX('[1]Brand Family Territory (Enc)'!$A$2:$A$296,INT((ROW()-2)/10)+1)</f>
        <v>Sauza</v>
      </c>
      <c r="B780" s="2" t="str" cm="1">
        <f t="array" ref="B780">INDEX('Whitelist (Blackout Reverse)'!$B$1:$K$1,MOD(ROW()-2,10)+1)</f>
        <v>MORRIS 2</v>
      </c>
      <c r="C780" s="2" t="str">
        <f>VLOOKUP(A780,'[1]Brand Family Territory (Enc)'!$A$2:$B$296,2,FALSE)</f>
        <v>Core Market</v>
      </c>
      <c r="D780" s="2">
        <f>IF(COUNTIFS('[1]Brand Family Territories (Enc)'!$B$2:$B$62,C780,'[1]Brand Family Territories (Enc)'!$C$2:$C$62,B780)&gt;0,1,IF(AND(LEFT(B780,6)="MORRIS",COUNTIFS('[1]Brand Family Territories (Enc)'!$B$2:$B$62,C780,'[1]Brand Family Territories (Enc)'!$C$2:$C$62,"Morri")&gt;0),"Unk",0))</f>
        <v>0</v>
      </c>
      <c r="E780" s="2" t="str">
        <f>IFERROR(INDEX('Blackout Brand Fam Areas (Enc)'!$D$6:$D$998,MATCH(UPPER(A780)&amp;"|"&amp;UPPER(B780),'Blackout Brand Fam Areas (Enc)'!$G$6:$G$998,0)),"No Match")</f>
        <v>Inactive</v>
      </c>
      <c r="F780" s="2" t="str">
        <f t="shared" si="24"/>
        <v>THEM</v>
      </c>
      <c r="G780" s="2" t="str">
        <f t="shared" si="25"/>
        <v>Sauza|MORRIS 2</v>
      </c>
    </row>
    <row r="781" spans="1:7" x14ac:dyDescent="0.2">
      <c r="A781" s="2" t="str" cm="1">
        <f t="array" ref="A781">INDEX('[1]Brand Family Territory (Enc)'!$A$2:$A$296,INT((ROW()-2)/10)+1)</f>
        <v>Sauza</v>
      </c>
      <c r="B781" s="2" t="str" cm="1">
        <f t="array" ref="B781">INDEX('Whitelist (Blackout Reverse)'!$B$1:$K$1,MOD(ROW()-2,10)+1)</f>
        <v>MORRIS 3</v>
      </c>
      <c r="C781" s="2" t="str">
        <f>VLOOKUP(A781,'[1]Brand Family Territory (Enc)'!$A$2:$B$296,2,FALSE)</f>
        <v>Core Market</v>
      </c>
      <c r="D781" s="2">
        <f>IF(COUNTIFS('[1]Brand Family Territories (Enc)'!$B$2:$B$62,C781,'[1]Brand Family Territories (Enc)'!$C$2:$C$62,B781)&gt;0,1,IF(AND(LEFT(B781,6)="MORRIS",COUNTIFS('[1]Brand Family Territories (Enc)'!$B$2:$B$62,C781,'[1]Brand Family Territories (Enc)'!$C$2:$C$62,"Morri")&gt;0),"Unk",0))</f>
        <v>1</v>
      </c>
      <c r="E781" s="2" t="str">
        <f>IFERROR(INDEX('Blackout Brand Fam Areas (Enc)'!$D$6:$D$998,MATCH(UPPER(A781)&amp;"|"&amp;UPPER(B781),'Blackout Brand Fam Areas (Enc)'!$G$6:$G$998,0)),"No Match")</f>
        <v>No Match</v>
      </c>
      <c r="F781" s="2" t="str">
        <f t="shared" si="24"/>
        <v>US</v>
      </c>
      <c r="G781" s="2" t="str">
        <f t="shared" si="25"/>
        <v>Sauza|MORRIS 3</v>
      </c>
    </row>
    <row r="782" spans="1:7" x14ac:dyDescent="0.2">
      <c r="A782" s="2" t="str" cm="1">
        <f t="array" ref="A782">INDEX('[1]Brand Family Territory (Enc)'!$A$2:$A$296,INT((ROW()-2)/10)+1)</f>
        <v>Shiner</v>
      </c>
      <c r="B782" s="2" t="str" cm="1">
        <f t="array" ref="B782">INDEX('Whitelist (Blackout Reverse)'!$B$1:$K$1,MOD(ROW()-2,10)+1)</f>
        <v>BERGEN</v>
      </c>
      <c r="C782" s="2" t="str">
        <f>VLOOKUP(A782,'[1]Brand Family Territory (Enc)'!$A$2:$B$296,2,FALSE)</f>
        <v>Core Market</v>
      </c>
      <c r="D782" s="2">
        <f>IF(COUNTIFS('[1]Brand Family Territories (Enc)'!$B$2:$B$62,C782,'[1]Brand Family Territories (Enc)'!$C$2:$C$62,B782)&gt;0,1,IF(AND(LEFT(B782,6)="MORRIS",COUNTIFS('[1]Brand Family Territories (Enc)'!$B$2:$B$62,C782,'[1]Brand Family Territories (Enc)'!$C$2:$C$62,"Morri")&gt;0),"Unk",0))</f>
        <v>1</v>
      </c>
      <c r="E782" s="2" t="str">
        <f>IFERROR(INDEX('Blackout Brand Fam Areas (Enc)'!$D$6:$D$998,MATCH(UPPER(A782)&amp;"|"&amp;UPPER(B782),'Blackout Brand Fam Areas (Enc)'!$G$6:$G$998,0)),"No Match")</f>
        <v>No Match</v>
      </c>
      <c r="F782" s="2" t="str">
        <f t="shared" si="24"/>
        <v>US</v>
      </c>
      <c r="G782" s="2" t="str">
        <f t="shared" si="25"/>
        <v>Shiner|BERGEN</v>
      </c>
    </row>
    <row r="783" spans="1:7" x14ac:dyDescent="0.2">
      <c r="A783" s="2" t="str" cm="1">
        <f t="array" ref="A783">INDEX('[1]Brand Family Territory (Enc)'!$A$2:$A$296,INT((ROW()-2)/10)+1)</f>
        <v>Shiner</v>
      </c>
      <c r="B783" s="2" t="str" cm="1">
        <f t="array" ref="B783">INDEX('Whitelist (Blackout Reverse)'!$B$1:$K$1,MOD(ROW()-2,10)+1)</f>
        <v>PASSAIC</v>
      </c>
      <c r="C783" s="2" t="str">
        <f>VLOOKUP(A783,'[1]Brand Family Territory (Enc)'!$A$2:$B$296,2,FALSE)</f>
        <v>Core Market</v>
      </c>
      <c r="D783" s="2">
        <f>IF(COUNTIFS('[1]Brand Family Territories (Enc)'!$B$2:$B$62,C783,'[1]Brand Family Territories (Enc)'!$C$2:$C$62,B783)&gt;0,1,IF(AND(LEFT(B783,6)="MORRIS",COUNTIFS('[1]Brand Family Territories (Enc)'!$B$2:$B$62,C783,'[1]Brand Family Territories (Enc)'!$C$2:$C$62,"Morri")&gt;0),"Unk",0))</f>
        <v>1</v>
      </c>
      <c r="E783" s="2" t="str">
        <f>IFERROR(INDEX('Blackout Brand Fam Areas (Enc)'!$D$6:$D$998,MATCH(UPPER(A783)&amp;"|"&amp;UPPER(B783),'Blackout Brand Fam Areas (Enc)'!$G$6:$G$998,0)),"No Match")</f>
        <v>No Match</v>
      </c>
      <c r="F783" s="2" t="str">
        <f t="shared" si="24"/>
        <v>US</v>
      </c>
      <c r="G783" s="2" t="str">
        <f t="shared" si="25"/>
        <v>Shiner|PASSAIC</v>
      </c>
    </row>
    <row r="784" spans="1:7" x14ac:dyDescent="0.2">
      <c r="A784" s="2" t="str" cm="1">
        <f t="array" ref="A784">INDEX('[1]Brand Family Territory (Enc)'!$A$2:$A$296,INT((ROW()-2)/10)+1)</f>
        <v>Shiner</v>
      </c>
      <c r="B784" s="2" t="str" cm="1">
        <f t="array" ref="B784">INDEX('Whitelist (Blackout Reverse)'!$B$1:$K$1,MOD(ROW()-2,10)+1)</f>
        <v>PASSAIC-FF</v>
      </c>
      <c r="C784" s="2" t="str">
        <f>VLOOKUP(A784,'[1]Brand Family Territory (Enc)'!$A$2:$B$296,2,FALSE)</f>
        <v>Core Market</v>
      </c>
      <c r="D784" s="2">
        <f>IF(COUNTIFS('[1]Brand Family Territories (Enc)'!$B$2:$B$62,C784,'[1]Brand Family Territories (Enc)'!$C$2:$C$62,B784)&gt;0,1,IF(AND(LEFT(B784,6)="MORRIS",COUNTIFS('[1]Brand Family Territories (Enc)'!$B$2:$B$62,C784,'[1]Brand Family Territories (Enc)'!$C$2:$C$62,"Morri")&gt;0),"Unk",0))</f>
        <v>1</v>
      </c>
      <c r="E784" s="2" t="str">
        <f>IFERROR(INDEX('Blackout Brand Fam Areas (Enc)'!$D$6:$D$998,MATCH(UPPER(A784)&amp;"|"&amp;UPPER(B784),'Blackout Brand Fam Areas (Enc)'!$G$6:$G$998,0)),"No Match")</f>
        <v>No Match</v>
      </c>
      <c r="F784" s="2" t="str">
        <f t="shared" si="24"/>
        <v>US</v>
      </c>
      <c r="G784" s="2" t="str">
        <f t="shared" si="25"/>
        <v>Shiner|PASSAIC-FF</v>
      </c>
    </row>
    <row r="785" spans="1:7" x14ac:dyDescent="0.2">
      <c r="A785" s="2" t="str" cm="1">
        <f t="array" ref="A785">INDEX('[1]Brand Family Territory (Enc)'!$A$2:$A$296,INT((ROW()-2)/10)+1)</f>
        <v>Shiner</v>
      </c>
      <c r="B785" s="2" t="str" cm="1">
        <f t="array" ref="B785">INDEX('Whitelist (Blackout Reverse)'!$B$1:$K$1,MOD(ROW()-2,10)+1)</f>
        <v>ESSEX</v>
      </c>
      <c r="C785" s="2" t="str">
        <f>VLOOKUP(A785,'[1]Brand Family Territory (Enc)'!$A$2:$B$296,2,FALSE)</f>
        <v>Core Market</v>
      </c>
      <c r="D785" s="2">
        <f>IF(COUNTIFS('[1]Brand Family Territories (Enc)'!$B$2:$B$62,C785,'[1]Brand Family Territories (Enc)'!$C$2:$C$62,B785)&gt;0,1,IF(AND(LEFT(B785,6)="MORRIS",COUNTIFS('[1]Brand Family Territories (Enc)'!$B$2:$B$62,C785,'[1]Brand Family Territories (Enc)'!$C$2:$C$62,"Morri")&gt;0),"Unk",0))</f>
        <v>0</v>
      </c>
      <c r="E785" s="2" t="str">
        <f>IFERROR(INDEX('Blackout Brand Fam Areas (Enc)'!$D$6:$D$998,MATCH(UPPER(A785)&amp;"|"&amp;UPPER(B785),'Blackout Brand Fam Areas (Enc)'!$G$6:$G$998,0)),"No Match")</f>
        <v>Inactive</v>
      </c>
      <c r="F785" s="2" t="str">
        <f t="shared" si="24"/>
        <v>THEM</v>
      </c>
      <c r="G785" s="2" t="str">
        <f t="shared" si="25"/>
        <v>Shiner|ESSEX</v>
      </c>
    </row>
    <row r="786" spans="1:7" x14ac:dyDescent="0.2">
      <c r="A786" s="2" t="str" cm="1">
        <f t="array" ref="A786">INDEX('[1]Brand Family Territory (Enc)'!$A$2:$A$296,INT((ROW()-2)/10)+1)</f>
        <v>Shiner</v>
      </c>
      <c r="B786" s="2" t="str" cm="1">
        <f t="array" ref="B786">INDEX('Whitelist (Blackout Reverse)'!$B$1:$K$1,MOD(ROW()-2,10)+1)</f>
        <v>HUDSON</v>
      </c>
      <c r="C786" s="2" t="str">
        <f>VLOOKUP(A786,'[1]Brand Family Territory (Enc)'!$A$2:$B$296,2,FALSE)</f>
        <v>Core Market</v>
      </c>
      <c r="D786" s="2">
        <f>IF(COUNTIFS('[1]Brand Family Territories (Enc)'!$B$2:$B$62,C786,'[1]Brand Family Territories (Enc)'!$C$2:$C$62,B786)&gt;0,1,IF(AND(LEFT(B786,6)="MORRIS",COUNTIFS('[1]Brand Family Territories (Enc)'!$B$2:$B$62,C786,'[1]Brand Family Territories (Enc)'!$C$2:$C$62,"Morri")&gt;0),"Unk",0))</f>
        <v>0</v>
      </c>
      <c r="E786" s="2" t="str">
        <f>IFERROR(INDEX('Blackout Brand Fam Areas (Enc)'!$D$6:$D$998,MATCH(UPPER(A786)&amp;"|"&amp;UPPER(B786),'Blackout Brand Fam Areas (Enc)'!$G$6:$G$998,0)),"No Match")</f>
        <v>Inactive</v>
      </c>
      <c r="F786" s="2" t="str">
        <f t="shared" si="24"/>
        <v>THEM</v>
      </c>
      <c r="G786" s="2" t="str">
        <f t="shared" si="25"/>
        <v>Shiner|HUDSON</v>
      </c>
    </row>
    <row r="787" spans="1:7" x14ac:dyDescent="0.2">
      <c r="A787" s="2" t="str" cm="1">
        <f t="array" ref="A787">INDEX('[1]Brand Family Territory (Enc)'!$A$2:$A$296,INT((ROW()-2)/10)+1)</f>
        <v>Shiner</v>
      </c>
      <c r="B787" s="2" t="str" cm="1">
        <f t="array" ref="B787">INDEX('Whitelist (Blackout Reverse)'!$B$1:$K$1,MOD(ROW()-2,10)+1)</f>
        <v>UNION</v>
      </c>
      <c r="C787" s="2" t="str">
        <f>VLOOKUP(A787,'[1]Brand Family Territory (Enc)'!$A$2:$B$296,2,FALSE)</f>
        <v>Core Market</v>
      </c>
      <c r="D787" s="2">
        <f>IF(COUNTIFS('[1]Brand Family Territories (Enc)'!$B$2:$B$62,C787,'[1]Brand Family Territories (Enc)'!$C$2:$C$62,B787)&gt;0,1,IF(AND(LEFT(B787,6)="MORRIS",COUNTIFS('[1]Brand Family Territories (Enc)'!$B$2:$B$62,C787,'[1]Brand Family Territories (Enc)'!$C$2:$C$62,"Morri")&gt;0),"Unk",0))</f>
        <v>0</v>
      </c>
      <c r="E787" s="2" t="str">
        <f>IFERROR(INDEX('Blackout Brand Fam Areas (Enc)'!$D$6:$D$998,MATCH(UPPER(A787)&amp;"|"&amp;UPPER(B787),'Blackout Brand Fam Areas (Enc)'!$G$6:$G$998,0)),"No Match")</f>
        <v>Inactive</v>
      </c>
      <c r="F787" s="2" t="str">
        <f t="shared" si="24"/>
        <v>THEM</v>
      </c>
      <c r="G787" s="2" t="str">
        <f t="shared" si="25"/>
        <v>Shiner|UNION</v>
      </c>
    </row>
    <row r="788" spans="1:7" x14ac:dyDescent="0.2">
      <c r="A788" s="2" t="str" cm="1">
        <f t="array" ref="A788">INDEX('[1]Brand Family Territory (Enc)'!$A$2:$A$296,INT((ROW()-2)/10)+1)</f>
        <v>Shiner</v>
      </c>
      <c r="B788" s="2" t="str" cm="1">
        <f t="array" ref="B788">INDEX('Whitelist (Blackout Reverse)'!$B$1:$K$1,MOD(ROW()-2,10)+1)</f>
        <v>SUSSEX</v>
      </c>
      <c r="C788" s="2" t="str">
        <f>VLOOKUP(A788,'[1]Brand Family Territory (Enc)'!$A$2:$B$296,2,FALSE)</f>
        <v>Core Market</v>
      </c>
      <c r="D788" s="2">
        <f>IF(COUNTIFS('[1]Brand Family Territories (Enc)'!$B$2:$B$62,C788,'[1]Brand Family Territories (Enc)'!$C$2:$C$62,B788)&gt;0,1,IF(AND(LEFT(B788,6)="MORRIS",COUNTIFS('[1]Brand Family Territories (Enc)'!$B$2:$B$62,C788,'[1]Brand Family Territories (Enc)'!$C$2:$C$62,"Morri")&gt;0),"Unk",0))</f>
        <v>1</v>
      </c>
      <c r="E788" s="2" t="str">
        <f>IFERROR(INDEX('Blackout Brand Fam Areas (Enc)'!$D$6:$D$998,MATCH(UPPER(A788)&amp;"|"&amp;UPPER(B788),'Blackout Brand Fam Areas (Enc)'!$G$6:$G$998,0)),"No Match")</f>
        <v>No Match</v>
      </c>
      <c r="F788" s="2" t="str">
        <f t="shared" si="24"/>
        <v>US</v>
      </c>
      <c r="G788" s="2" t="str">
        <f t="shared" si="25"/>
        <v>Shiner|SUSSEX</v>
      </c>
    </row>
    <row r="789" spans="1:7" x14ac:dyDescent="0.2">
      <c r="A789" s="2" t="str" cm="1">
        <f t="array" ref="A789">INDEX('[1]Brand Family Territory (Enc)'!$A$2:$A$296,INT((ROW()-2)/10)+1)</f>
        <v>Shiner</v>
      </c>
      <c r="B789" s="2" t="str" cm="1">
        <f t="array" ref="B789">INDEX('Whitelist (Blackout Reverse)'!$B$1:$K$1,MOD(ROW()-2,10)+1)</f>
        <v>MORRIS 1</v>
      </c>
      <c r="C789" s="2" t="str">
        <f>VLOOKUP(A789,'[1]Brand Family Territory (Enc)'!$A$2:$B$296,2,FALSE)</f>
        <v>Core Market</v>
      </c>
      <c r="D789" s="2">
        <f>IF(COUNTIFS('[1]Brand Family Territories (Enc)'!$B$2:$B$62,C789,'[1]Brand Family Territories (Enc)'!$C$2:$C$62,B789)&gt;0,1,IF(AND(LEFT(B789,6)="MORRIS",COUNTIFS('[1]Brand Family Territories (Enc)'!$B$2:$B$62,C789,'[1]Brand Family Territories (Enc)'!$C$2:$C$62,"Morri")&gt;0),"Unk",0))</f>
        <v>1</v>
      </c>
      <c r="E789" s="2" t="str">
        <f>IFERROR(INDEX('Blackout Brand Fam Areas (Enc)'!$D$6:$D$998,MATCH(UPPER(A789)&amp;"|"&amp;UPPER(B789),'Blackout Brand Fam Areas (Enc)'!$G$6:$G$998,0)),"No Match")</f>
        <v>No Match</v>
      </c>
      <c r="F789" s="2" t="str">
        <f t="shared" si="24"/>
        <v>US</v>
      </c>
      <c r="G789" s="2" t="str">
        <f t="shared" si="25"/>
        <v>Shiner|MORRIS 1</v>
      </c>
    </row>
    <row r="790" spans="1:7" x14ac:dyDescent="0.2">
      <c r="A790" s="2" t="str" cm="1">
        <f t="array" ref="A790">INDEX('[1]Brand Family Territory (Enc)'!$A$2:$A$296,INT((ROW()-2)/10)+1)</f>
        <v>Shiner</v>
      </c>
      <c r="B790" s="2" t="str" cm="1">
        <f t="array" ref="B790">INDEX('Whitelist (Blackout Reverse)'!$B$1:$K$1,MOD(ROW()-2,10)+1)</f>
        <v>MORRIS 2</v>
      </c>
      <c r="C790" s="2" t="str">
        <f>VLOOKUP(A790,'[1]Brand Family Territory (Enc)'!$A$2:$B$296,2,FALSE)</f>
        <v>Core Market</v>
      </c>
      <c r="D790" s="2">
        <f>IF(COUNTIFS('[1]Brand Family Territories (Enc)'!$B$2:$B$62,C790,'[1]Brand Family Territories (Enc)'!$C$2:$C$62,B790)&gt;0,1,IF(AND(LEFT(B790,6)="MORRIS",COUNTIFS('[1]Brand Family Territories (Enc)'!$B$2:$B$62,C790,'[1]Brand Family Territories (Enc)'!$C$2:$C$62,"Morri")&gt;0),"Unk",0))</f>
        <v>0</v>
      </c>
      <c r="E790" s="2" t="str">
        <f>IFERROR(INDEX('Blackout Brand Fam Areas (Enc)'!$D$6:$D$998,MATCH(UPPER(A790)&amp;"|"&amp;UPPER(B790),'Blackout Brand Fam Areas (Enc)'!$G$6:$G$998,0)),"No Match")</f>
        <v>Inactive</v>
      </c>
      <c r="F790" s="2" t="str">
        <f t="shared" si="24"/>
        <v>THEM</v>
      </c>
      <c r="G790" s="2" t="str">
        <f t="shared" si="25"/>
        <v>Shiner|MORRIS 2</v>
      </c>
    </row>
    <row r="791" spans="1:7" x14ac:dyDescent="0.2">
      <c r="A791" s="2" t="str" cm="1">
        <f t="array" ref="A791">INDEX('[1]Brand Family Territory (Enc)'!$A$2:$A$296,INT((ROW()-2)/10)+1)</f>
        <v>Shiner</v>
      </c>
      <c r="B791" s="2" t="str" cm="1">
        <f t="array" ref="B791">INDEX('Whitelist (Blackout Reverse)'!$B$1:$K$1,MOD(ROW()-2,10)+1)</f>
        <v>MORRIS 3</v>
      </c>
      <c r="C791" s="2" t="str">
        <f>VLOOKUP(A791,'[1]Brand Family Territory (Enc)'!$A$2:$B$296,2,FALSE)</f>
        <v>Core Market</v>
      </c>
      <c r="D791" s="2">
        <f>IF(COUNTIFS('[1]Brand Family Territories (Enc)'!$B$2:$B$62,C791,'[1]Brand Family Territories (Enc)'!$C$2:$C$62,B791)&gt;0,1,IF(AND(LEFT(B791,6)="MORRIS",COUNTIFS('[1]Brand Family Territories (Enc)'!$B$2:$B$62,C791,'[1]Brand Family Territories (Enc)'!$C$2:$C$62,"Morri")&gt;0),"Unk",0))</f>
        <v>1</v>
      </c>
      <c r="E791" s="2" t="str">
        <f>IFERROR(INDEX('Blackout Brand Fam Areas (Enc)'!$D$6:$D$998,MATCH(UPPER(A791)&amp;"|"&amp;UPPER(B791),'Blackout Brand Fam Areas (Enc)'!$G$6:$G$998,0)),"No Match")</f>
        <v>No Match</v>
      </c>
      <c r="F791" s="2" t="str">
        <f t="shared" si="24"/>
        <v>US</v>
      </c>
      <c r="G791" s="2" t="str">
        <f t="shared" si="25"/>
        <v>Shiner|MORRIS 3</v>
      </c>
    </row>
    <row r="792" spans="1:7" x14ac:dyDescent="0.2">
      <c r="A792" s="2" t="str" cm="1">
        <f t="array" ref="A792">INDEX('[1]Brand Family Territory (Enc)'!$A$2:$A$296,INT((ROW()-2)/10)+1)</f>
        <v>Sierra Nevada</v>
      </c>
      <c r="B792" s="2" t="str" cm="1">
        <f t="array" ref="B792">INDEX('Whitelist (Blackout Reverse)'!$B$1:$K$1,MOD(ROW()-2,10)+1)</f>
        <v>BERGEN</v>
      </c>
      <c r="C792" s="2" t="str">
        <f>VLOOKUP(A792,'[1]Brand Family Territory (Enc)'!$A$2:$B$296,2,FALSE)</f>
        <v>Core Market</v>
      </c>
      <c r="D792" s="2">
        <f>IF(COUNTIFS('[1]Brand Family Territories (Enc)'!$B$2:$B$62,C792,'[1]Brand Family Territories (Enc)'!$C$2:$C$62,B792)&gt;0,1,IF(AND(LEFT(B792,6)="MORRIS",COUNTIFS('[1]Brand Family Territories (Enc)'!$B$2:$B$62,C792,'[1]Brand Family Territories (Enc)'!$C$2:$C$62,"Morri")&gt;0),"Unk",0))</f>
        <v>1</v>
      </c>
      <c r="E792" s="2" t="str">
        <f>IFERROR(INDEX('Blackout Brand Fam Areas (Enc)'!$D$6:$D$998,MATCH(UPPER(A792)&amp;"|"&amp;UPPER(B792),'Blackout Brand Fam Areas (Enc)'!$G$6:$G$998,0)),"No Match")</f>
        <v>No Match</v>
      </c>
      <c r="F792" s="2" t="str">
        <f t="shared" si="24"/>
        <v>US</v>
      </c>
      <c r="G792" s="2" t="str">
        <f t="shared" si="25"/>
        <v>Sierra Nevada|BERGEN</v>
      </c>
    </row>
    <row r="793" spans="1:7" x14ac:dyDescent="0.2">
      <c r="A793" s="2" t="str" cm="1">
        <f t="array" ref="A793">INDEX('[1]Brand Family Territory (Enc)'!$A$2:$A$296,INT((ROW()-2)/10)+1)</f>
        <v>Sierra Nevada</v>
      </c>
      <c r="B793" s="2" t="str" cm="1">
        <f t="array" ref="B793">INDEX('Whitelist (Blackout Reverse)'!$B$1:$K$1,MOD(ROW()-2,10)+1)</f>
        <v>PASSAIC</v>
      </c>
      <c r="C793" s="2" t="str">
        <f>VLOOKUP(A793,'[1]Brand Family Territory (Enc)'!$A$2:$B$296,2,FALSE)</f>
        <v>Core Market</v>
      </c>
      <c r="D793" s="2">
        <f>IF(COUNTIFS('[1]Brand Family Territories (Enc)'!$B$2:$B$62,C793,'[1]Brand Family Territories (Enc)'!$C$2:$C$62,B793)&gt;0,1,IF(AND(LEFT(B793,6)="MORRIS",COUNTIFS('[1]Brand Family Territories (Enc)'!$B$2:$B$62,C793,'[1]Brand Family Territories (Enc)'!$C$2:$C$62,"Morri")&gt;0),"Unk",0))</f>
        <v>1</v>
      </c>
      <c r="E793" s="2" t="str">
        <f>IFERROR(INDEX('Blackout Brand Fam Areas (Enc)'!$D$6:$D$998,MATCH(UPPER(A793)&amp;"|"&amp;UPPER(B793),'Blackout Brand Fam Areas (Enc)'!$G$6:$G$998,0)),"No Match")</f>
        <v>No Match</v>
      </c>
      <c r="F793" s="2" t="str">
        <f t="shared" si="24"/>
        <v>US</v>
      </c>
      <c r="G793" s="2" t="str">
        <f t="shared" si="25"/>
        <v>Sierra Nevada|PASSAIC</v>
      </c>
    </row>
    <row r="794" spans="1:7" x14ac:dyDescent="0.2">
      <c r="A794" s="2" t="str" cm="1">
        <f t="array" ref="A794">INDEX('[1]Brand Family Territory (Enc)'!$A$2:$A$296,INT((ROW()-2)/10)+1)</f>
        <v>Sierra Nevada</v>
      </c>
      <c r="B794" s="2" t="str" cm="1">
        <f t="array" ref="B794">INDEX('Whitelist (Blackout Reverse)'!$B$1:$K$1,MOD(ROW()-2,10)+1)</f>
        <v>PASSAIC-FF</v>
      </c>
      <c r="C794" s="2" t="str">
        <f>VLOOKUP(A794,'[1]Brand Family Territory (Enc)'!$A$2:$B$296,2,FALSE)</f>
        <v>Core Market</v>
      </c>
      <c r="D794" s="2">
        <f>IF(COUNTIFS('[1]Brand Family Territories (Enc)'!$B$2:$B$62,C794,'[1]Brand Family Territories (Enc)'!$C$2:$C$62,B794)&gt;0,1,IF(AND(LEFT(B794,6)="MORRIS",COUNTIFS('[1]Brand Family Territories (Enc)'!$B$2:$B$62,C794,'[1]Brand Family Territories (Enc)'!$C$2:$C$62,"Morri")&gt;0),"Unk",0))</f>
        <v>1</v>
      </c>
      <c r="E794" s="2" t="str">
        <f>IFERROR(INDEX('Blackout Brand Fam Areas (Enc)'!$D$6:$D$998,MATCH(UPPER(A794)&amp;"|"&amp;UPPER(B794),'Blackout Brand Fam Areas (Enc)'!$G$6:$G$998,0)),"No Match")</f>
        <v>No Match</v>
      </c>
      <c r="F794" s="2" t="str">
        <f t="shared" si="24"/>
        <v>US</v>
      </c>
      <c r="G794" s="2" t="str">
        <f t="shared" si="25"/>
        <v>Sierra Nevada|PASSAIC-FF</v>
      </c>
    </row>
    <row r="795" spans="1:7" x14ac:dyDescent="0.2">
      <c r="A795" s="2" t="str" cm="1">
        <f t="array" ref="A795">INDEX('[1]Brand Family Territory (Enc)'!$A$2:$A$296,INT((ROW()-2)/10)+1)</f>
        <v>Sierra Nevada</v>
      </c>
      <c r="B795" s="2" t="str" cm="1">
        <f t="array" ref="B795">INDEX('Whitelist (Blackout Reverse)'!$B$1:$K$1,MOD(ROW()-2,10)+1)</f>
        <v>ESSEX</v>
      </c>
      <c r="C795" s="2" t="str">
        <f>VLOOKUP(A795,'[1]Brand Family Territory (Enc)'!$A$2:$B$296,2,FALSE)</f>
        <v>Core Market</v>
      </c>
      <c r="D795" s="2">
        <f>IF(COUNTIFS('[1]Brand Family Territories (Enc)'!$B$2:$B$62,C795,'[1]Brand Family Territories (Enc)'!$C$2:$C$62,B795)&gt;0,1,IF(AND(LEFT(B795,6)="MORRIS",COUNTIFS('[1]Brand Family Territories (Enc)'!$B$2:$B$62,C795,'[1]Brand Family Territories (Enc)'!$C$2:$C$62,"Morri")&gt;0),"Unk",0))</f>
        <v>0</v>
      </c>
      <c r="E795" s="2" t="str">
        <f>IFERROR(INDEX('Blackout Brand Fam Areas (Enc)'!$D$6:$D$998,MATCH(UPPER(A795)&amp;"|"&amp;UPPER(B795),'Blackout Brand Fam Areas (Enc)'!$G$6:$G$998,0)),"No Match")</f>
        <v>Inactive</v>
      </c>
      <c r="F795" s="2" t="str">
        <f t="shared" si="24"/>
        <v>THEM</v>
      </c>
      <c r="G795" s="2" t="str">
        <f t="shared" si="25"/>
        <v>Sierra Nevada|ESSEX</v>
      </c>
    </row>
    <row r="796" spans="1:7" x14ac:dyDescent="0.2">
      <c r="A796" s="2" t="str" cm="1">
        <f t="array" ref="A796">INDEX('[1]Brand Family Territory (Enc)'!$A$2:$A$296,INT((ROW()-2)/10)+1)</f>
        <v>Sierra Nevada</v>
      </c>
      <c r="B796" s="2" t="str" cm="1">
        <f t="array" ref="B796">INDEX('Whitelist (Blackout Reverse)'!$B$1:$K$1,MOD(ROW()-2,10)+1)</f>
        <v>HUDSON</v>
      </c>
      <c r="C796" s="2" t="str">
        <f>VLOOKUP(A796,'[1]Brand Family Territory (Enc)'!$A$2:$B$296,2,FALSE)</f>
        <v>Core Market</v>
      </c>
      <c r="D796" s="2">
        <f>IF(COUNTIFS('[1]Brand Family Territories (Enc)'!$B$2:$B$62,C796,'[1]Brand Family Territories (Enc)'!$C$2:$C$62,B796)&gt;0,1,IF(AND(LEFT(B796,6)="MORRIS",COUNTIFS('[1]Brand Family Territories (Enc)'!$B$2:$B$62,C796,'[1]Brand Family Territories (Enc)'!$C$2:$C$62,"Morri")&gt;0),"Unk",0))</f>
        <v>0</v>
      </c>
      <c r="E796" s="2" t="str">
        <f>IFERROR(INDEX('Blackout Brand Fam Areas (Enc)'!$D$6:$D$998,MATCH(UPPER(A796)&amp;"|"&amp;UPPER(B796),'Blackout Brand Fam Areas (Enc)'!$G$6:$G$998,0)),"No Match")</f>
        <v>Inactive</v>
      </c>
      <c r="F796" s="2" t="str">
        <f t="shared" si="24"/>
        <v>THEM</v>
      </c>
      <c r="G796" s="2" t="str">
        <f t="shared" si="25"/>
        <v>Sierra Nevada|HUDSON</v>
      </c>
    </row>
    <row r="797" spans="1:7" x14ac:dyDescent="0.2">
      <c r="A797" s="2" t="str" cm="1">
        <f t="array" ref="A797">INDEX('[1]Brand Family Territory (Enc)'!$A$2:$A$296,INT((ROW()-2)/10)+1)</f>
        <v>Sierra Nevada</v>
      </c>
      <c r="B797" s="2" t="str" cm="1">
        <f t="array" ref="B797">INDEX('Whitelist (Blackout Reverse)'!$B$1:$K$1,MOD(ROW()-2,10)+1)</f>
        <v>UNION</v>
      </c>
      <c r="C797" s="2" t="str">
        <f>VLOOKUP(A797,'[1]Brand Family Territory (Enc)'!$A$2:$B$296,2,FALSE)</f>
        <v>Core Market</v>
      </c>
      <c r="D797" s="2">
        <f>IF(COUNTIFS('[1]Brand Family Territories (Enc)'!$B$2:$B$62,C797,'[1]Brand Family Territories (Enc)'!$C$2:$C$62,B797)&gt;0,1,IF(AND(LEFT(B797,6)="MORRIS",COUNTIFS('[1]Brand Family Territories (Enc)'!$B$2:$B$62,C797,'[1]Brand Family Territories (Enc)'!$C$2:$C$62,"Morri")&gt;0),"Unk",0))</f>
        <v>0</v>
      </c>
      <c r="E797" s="2" t="str">
        <f>IFERROR(INDEX('Blackout Brand Fam Areas (Enc)'!$D$6:$D$998,MATCH(UPPER(A797)&amp;"|"&amp;UPPER(B797),'Blackout Brand Fam Areas (Enc)'!$G$6:$G$998,0)),"No Match")</f>
        <v>Inactive</v>
      </c>
      <c r="F797" s="2" t="str">
        <f t="shared" si="24"/>
        <v>THEM</v>
      </c>
      <c r="G797" s="2" t="str">
        <f t="shared" si="25"/>
        <v>Sierra Nevada|UNION</v>
      </c>
    </row>
    <row r="798" spans="1:7" x14ac:dyDescent="0.2">
      <c r="A798" s="2" t="str" cm="1">
        <f t="array" ref="A798">INDEX('[1]Brand Family Territory (Enc)'!$A$2:$A$296,INT((ROW()-2)/10)+1)</f>
        <v>Sierra Nevada</v>
      </c>
      <c r="B798" s="2" t="str" cm="1">
        <f t="array" ref="B798">INDEX('Whitelist (Blackout Reverse)'!$B$1:$K$1,MOD(ROW()-2,10)+1)</f>
        <v>SUSSEX</v>
      </c>
      <c r="C798" s="2" t="str">
        <f>VLOOKUP(A798,'[1]Brand Family Territory (Enc)'!$A$2:$B$296,2,FALSE)</f>
        <v>Core Market</v>
      </c>
      <c r="D798" s="2">
        <f>IF(COUNTIFS('[1]Brand Family Territories (Enc)'!$B$2:$B$62,C798,'[1]Brand Family Territories (Enc)'!$C$2:$C$62,B798)&gt;0,1,IF(AND(LEFT(B798,6)="MORRIS",COUNTIFS('[1]Brand Family Territories (Enc)'!$B$2:$B$62,C798,'[1]Brand Family Territories (Enc)'!$C$2:$C$62,"Morri")&gt;0),"Unk",0))</f>
        <v>1</v>
      </c>
      <c r="E798" s="2" t="str">
        <f>IFERROR(INDEX('Blackout Brand Fam Areas (Enc)'!$D$6:$D$998,MATCH(UPPER(A798)&amp;"|"&amp;UPPER(B798),'Blackout Brand Fam Areas (Enc)'!$G$6:$G$998,0)),"No Match")</f>
        <v>No Match</v>
      </c>
      <c r="F798" s="2" t="str">
        <f t="shared" si="24"/>
        <v>US</v>
      </c>
      <c r="G798" s="2" t="str">
        <f t="shared" si="25"/>
        <v>Sierra Nevada|SUSSEX</v>
      </c>
    </row>
    <row r="799" spans="1:7" x14ac:dyDescent="0.2">
      <c r="A799" s="2" t="str" cm="1">
        <f t="array" ref="A799">INDEX('[1]Brand Family Territory (Enc)'!$A$2:$A$296,INT((ROW()-2)/10)+1)</f>
        <v>Sierra Nevada</v>
      </c>
      <c r="B799" s="2" t="str" cm="1">
        <f t="array" ref="B799">INDEX('Whitelist (Blackout Reverse)'!$B$1:$K$1,MOD(ROW()-2,10)+1)</f>
        <v>MORRIS 1</v>
      </c>
      <c r="C799" s="2" t="str">
        <f>VLOOKUP(A799,'[1]Brand Family Territory (Enc)'!$A$2:$B$296,2,FALSE)</f>
        <v>Core Market</v>
      </c>
      <c r="D799" s="2">
        <f>IF(COUNTIFS('[1]Brand Family Territories (Enc)'!$B$2:$B$62,C799,'[1]Brand Family Territories (Enc)'!$C$2:$C$62,B799)&gt;0,1,IF(AND(LEFT(B799,6)="MORRIS",COUNTIFS('[1]Brand Family Territories (Enc)'!$B$2:$B$62,C799,'[1]Brand Family Territories (Enc)'!$C$2:$C$62,"Morri")&gt;0),"Unk",0))</f>
        <v>1</v>
      </c>
      <c r="E799" s="2" t="str">
        <f>IFERROR(INDEX('Blackout Brand Fam Areas (Enc)'!$D$6:$D$998,MATCH(UPPER(A799)&amp;"|"&amp;UPPER(B799),'Blackout Brand Fam Areas (Enc)'!$G$6:$G$998,0)),"No Match")</f>
        <v>No Match</v>
      </c>
      <c r="F799" s="2" t="str">
        <f t="shared" si="24"/>
        <v>US</v>
      </c>
      <c r="G799" s="2" t="str">
        <f t="shared" si="25"/>
        <v>Sierra Nevada|MORRIS 1</v>
      </c>
    </row>
    <row r="800" spans="1:7" x14ac:dyDescent="0.2">
      <c r="A800" s="2" t="str" cm="1">
        <f t="array" ref="A800">INDEX('[1]Brand Family Territory (Enc)'!$A$2:$A$296,INT((ROW()-2)/10)+1)</f>
        <v>Sierra Nevada</v>
      </c>
      <c r="B800" s="2" t="str" cm="1">
        <f t="array" ref="B800">INDEX('Whitelist (Blackout Reverse)'!$B$1:$K$1,MOD(ROW()-2,10)+1)</f>
        <v>MORRIS 2</v>
      </c>
      <c r="C800" s="2" t="str">
        <f>VLOOKUP(A800,'[1]Brand Family Territory (Enc)'!$A$2:$B$296,2,FALSE)</f>
        <v>Core Market</v>
      </c>
      <c r="D800" s="2">
        <f>IF(COUNTIFS('[1]Brand Family Territories (Enc)'!$B$2:$B$62,C800,'[1]Brand Family Territories (Enc)'!$C$2:$C$62,B800)&gt;0,1,IF(AND(LEFT(B800,6)="MORRIS",COUNTIFS('[1]Brand Family Territories (Enc)'!$B$2:$B$62,C800,'[1]Brand Family Territories (Enc)'!$C$2:$C$62,"Morri")&gt;0),"Unk",0))</f>
        <v>0</v>
      </c>
      <c r="E800" s="2" t="str">
        <f>IFERROR(INDEX('Blackout Brand Fam Areas (Enc)'!$D$6:$D$998,MATCH(UPPER(A800)&amp;"|"&amp;UPPER(B800),'Blackout Brand Fam Areas (Enc)'!$G$6:$G$998,0)),"No Match")</f>
        <v>Inactive</v>
      </c>
      <c r="F800" s="2" t="str">
        <f t="shared" si="24"/>
        <v>THEM</v>
      </c>
      <c r="G800" s="2" t="str">
        <f t="shared" si="25"/>
        <v>Sierra Nevada|MORRIS 2</v>
      </c>
    </row>
    <row r="801" spans="1:7" x14ac:dyDescent="0.2">
      <c r="A801" s="2" t="str" cm="1">
        <f t="array" ref="A801">INDEX('[1]Brand Family Territory (Enc)'!$A$2:$A$296,INT((ROW()-2)/10)+1)</f>
        <v>Sierra Nevada</v>
      </c>
      <c r="B801" s="2" t="str" cm="1">
        <f t="array" ref="B801">INDEX('Whitelist (Blackout Reverse)'!$B$1:$K$1,MOD(ROW()-2,10)+1)</f>
        <v>MORRIS 3</v>
      </c>
      <c r="C801" s="2" t="str">
        <f>VLOOKUP(A801,'[1]Brand Family Territory (Enc)'!$A$2:$B$296,2,FALSE)</f>
        <v>Core Market</v>
      </c>
      <c r="D801" s="2">
        <f>IF(COUNTIFS('[1]Brand Family Territories (Enc)'!$B$2:$B$62,C801,'[1]Brand Family Territories (Enc)'!$C$2:$C$62,B801)&gt;0,1,IF(AND(LEFT(B801,6)="MORRIS",COUNTIFS('[1]Brand Family Territories (Enc)'!$B$2:$B$62,C801,'[1]Brand Family Territories (Enc)'!$C$2:$C$62,"Morri")&gt;0),"Unk",0))</f>
        <v>1</v>
      </c>
      <c r="E801" s="2" t="str">
        <f>IFERROR(INDEX('Blackout Brand Fam Areas (Enc)'!$D$6:$D$998,MATCH(UPPER(A801)&amp;"|"&amp;UPPER(B801),'Blackout Brand Fam Areas (Enc)'!$G$6:$G$998,0)),"No Match")</f>
        <v>No Match</v>
      </c>
      <c r="F801" s="2" t="str">
        <f t="shared" si="24"/>
        <v>US</v>
      </c>
      <c r="G801" s="2" t="str">
        <f t="shared" si="25"/>
        <v>Sierra Nevada|MORRIS 3</v>
      </c>
    </row>
    <row r="802" spans="1:7" x14ac:dyDescent="0.2">
      <c r="A802" s="2" t="str" cm="1">
        <f t="array" ref="A802">INDEX('[1]Brand Family Territory (Enc)'!$A$2:$A$296,INT((ROW()-2)/10)+1)</f>
        <v>Simply Spiked</v>
      </c>
      <c r="B802" s="2" t="str" cm="1">
        <f t="array" ref="B802">INDEX('Whitelist (Blackout Reverse)'!$B$1:$K$1,MOD(ROW()-2,10)+1)</f>
        <v>BERGEN</v>
      </c>
      <c r="C802" s="2" t="str">
        <f>VLOOKUP(A802,'[1]Brand Family Territory (Enc)'!$A$2:$B$296,2,FALSE)</f>
        <v>Core Market</v>
      </c>
      <c r="D802" s="2">
        <f>IF(COUNTIFS('[1]Brand Family Territories (Enc)'!$B$2:$B$62,C802,'[1]Brand Family Territories (Enc)'!$C$2:$C$62,B802)&gt;0,1,IF(AND(LEFT(B802,6)="MORRIS",COUNTIFS('[1]Brand Family Territories (Enc)'!$B$2:$B$62,C802,'[1]Brand Family Territories (Enc)'!$C$2:$C$62,"Morri")&gt;0),"Unk",0))</f>
        <v>1</v>
      </c>
      <c r="E802" s="2" t="str">
        <f>IFERROR(INDEX('Blackout Brand Fam Areas (Enc)'!$D$6:$D$998,MATCH(UPPER(A802)&amp;"|"&amp;UPPER(B802),'Blackout Brand Fam Areas (Enc)'!$G$6:$G$998,0)),"No Match")</f>
        <v>No Match</v>
      </c>
      <c r="F802" s="2" t="str">
        <f t="shared" si="24"/>
        <v>US</v>
      </c>
      <c r="G802" s="2" t="str">
        <f t="shared" si="25"/>
        <v>Simply Spiked|BERGEN</v>
      </c>
    </row>
    <row r="803" spans="1:7" x14ac:dyDescent="0.2">
      <c r="A803" s="2" t="str" cm="1">
        <f t="array" ref="A803">INDEX('[1]Brand Family Territory (Enc)'!$A$2:$A$296,INT((ROW()-2)/10)+1)</f>
        <v>Simply Spiked</v>
      </c>
      <c r="B803" s="2" t="str" cm="1">
        <f t="array" ref="B803">INDEX('Whitelist (Blackout Reverse)'!$B$1:$K$1,MOD(ROW()-2,10)+1)</f>
        <v>PASSAIC</v>
      </c>
      <c r="C803" s="2" t="str">
        <f>VLOOKUP(A803,'[1]Brand Family Territory (Enc)'!$A$2:$B$296,2,FALSE)</f>
        <v>Core Market</v>
      </c>
      <c r="D803" s="2">
        <f>IF(COUNTIFS('[1]Brand Family Territories (Enc)'!$B$2:$B$62,C803,'[1]Brand Family Territories (Enc)'!$C$2:$C$62,B803)&gt;0,1,IF(AND(LEFT(B803,6)="MORRIS",COUNTIFS('[1]Brand Family Territories (Enc)'!$B$2:$B$62,C803,'[1]Brand Family Territories (Enc)'!$C$2:$C$62,"Morri")&gt;0),"Unk",0))</f>
        <v>1</v>
      </c>
      <c r="E803" s="2" t="str">
        <f>IFERROR(INDEX('Blackout Brand Fam Areas (Enc)'!$D$6:$D$998,MATCH(UPPER(A803)&amp;"|"&amp;UPPER(B803),'Blackout Brand Fam Areas (Enc)'!$G$6:$G$998,0)),"No Match")</f>
        <v>No Match</v>
      </c>
      <c r="F803" s="2" t="str">
        <f t="shared" si="24"/>
        <v>US</v>
      </c>
      <c r="G803" s="2" t="str">
        <f t="shared" si="25"/>
        <v>Simply Spiked|PASSAIC</v>
      </c>
    </row>
    <row r="804" spans="1:7" x14ac:dyDescent="0.2">
      <c r="A804" s="2" t="str" cm="1">
        <f t="array" ref="A804">INDEX('[1]Brand Family Territory (Enc)'!$A$2:$A$296,INT((ROW()-2)/10)+1)</f>
        <v>Simply Spiked</v>
      </c>
      <c r="B804" s="2" t="str" cm="1">
        <f t="array" ref="B804">INDEX('Whitelist (Blackout Reverse)'!$B$1:$K$1,MOD(ROW()-2,10)+1)</f>
        <v>PASSAIC-FF</v>
      </c>
      <c r="C804" s="2" t="str">
        <f>VLOOKUP(A804,'[1]Brand Family Territory (Enc)'!$A$2:$B$296,2,FALSE)</f>
        <v>Core Market</v>
      </c>
      <c r="D804" s="2">
        <f>IF(COUNTIFS('[1]Brand Family Territories (Enc)'!$B$2:$B$62,C804,'[1]Brand Family Territories (Enc)'!$C$2:$C$62,B804)&gt;0,1,IF(AND(LEFT(B804,6)="MORRIS",COUNTIFS('[1]Brand Family Territories (Enc)'!$B$2:$B$62,C804,'[1]Brand Family Territories (Enc)'!$C$2:$C$62,"Morri")&gt;0),"Unk",0))</f>
        <v>1</v>
      </c>
      <c r="E804" s="2" t="str">
        <f>IFERROR(INDEX('Blackout Brand Fam Areas (Enc)'!$D$6:$D$998,MATCH(UPPER(A804)&amp;"|"&amp;UPPER(B804),'Blackout Brand Fam Areas (Enc)'!$G$6:$G$998,0)),"No Match")</f>
        <v>No Match</v>
      </c>
      <c r="F804" s="2" t="str">
        <f t="shared" si="24"/>
        <v>US</v>
      </c>
      <c r="G804" s="2" t="str">
        <f t="shared" si="25"/>
        <v>Simply Spiked|PASSAIC-FF</v>
      </c>
    </row>
    <row r="805" spans="1:7" x14ac:dyDescent="0.2">
      <c r="A805" s="2" t="str" cm="1">
        <f t="array" ref="A805">INDEX('[1]Brand Family Territory (Enc)'!$A$2:$A$296,INT((ROW()-2)/10)+1)</f>
        <v>Simply Spiked</v>
      </c>
      <c r="B805" s="2" t="str" cm="1">
        <f t="array" ref="B805">INDEX('Whitelist (Blackout Reverse)'!$B$1:$K$1,MOD(ROW()-2,10)+1)</f>
        <v>ESSEX</v>
      </c>
      <c r="C805" s="2" t="str">
        <f>VLOOKUP(A805,'[1]Brand Family Territory (Enc)'!$A$2:$B$296,2,FALSE)</f>
        <v>Core Market</v>
      </c>
      <c r="D805" s="2">
        <f>IF(COUNTIFS('[1]Brand Family Territories (Enc)'!$B$2:$B$62,C805,'[1]Brand Family Territories (Enc)'!$C$2:$C$62,B805)&gt;0,1,IF(AND(LEFT(B805,6)="MORRIS",COUNTIFS('[1]Brand Family Territories (Enc)'!$B$2:$B$62,C805,'[1]Brand Family Territories (Enc)'!$C$2:$C$62,"Morri")&gt;0),"Unk",0))</f>
        <v>0</v>
      </c>
      <c r="E805" s="2" t="str">
        <f>IFERROR(INDEX('Blackout Brand Fam Areas (Enc)'!$D$6:$D$998,MATCH(UPPER(A805)&amp;"|"&amp;UPPER(B805),'Blackout Brand Fam Areas (Enc)'!$G$6:$G$998,0)),"No Match")</f>
        <v>Inactive</v>
      </c>
      <c r="F805" s="2" t="str">
        <f t="shared" si="24"/>
        <v>THEM</v>
      </c>
      <c r="G805" s="2" t="str">
        <f t="shared" si="25"/>
        <v>Simply Spiked|ESSEX</v>
      </c>
    </row>
    <row r="806" spans="1:7" x14ac:dyDescent="0.2">
      <c r="A806" s="2" t="str" cm="1">
        <f t="array" ref="A806">INDEX('[1]Brand Family Territory (Enc)'!$A$2:$A$296,INT((ROW()-2)/10)+1)</f>
        <v>Simply Spiked</v>
      </c>
      <c r="B806" s="2" t="str" cm="1">
        <f t="array" ref="B806">INDEX('Whitelist (Blackout Reverse)'!$B$1:$K$1,MOD(ROW()-2,10)+1)</f>
        <v>HUDSON</v>
      </c>
      <c r="C806" s="2" t="str">
        <f>VLOOKUP(A806,'[1]Brand Family Territory (Enc)'!$A$2:$B$296,2,FALSE)</f>
        <v>Core Market</v>
      </c>
      <c r="D806" s="2">
        <f>IF(COUNTIFS('[1]Brand Family Territories (Enc)'!$B$2:$B$62,C806,'[1]Brand Family Territories (Enc)'!$C$2:$C$62,B806)&gt;0,1,IF(AND(LEFT(B806,6)="MORRIS",COUNTIFS('[1]Brand Family Territories (Enc)'!$B$2:$B$62,C806,'[1]Brand Family Territories (Enc)'!$C$2:$C$62,"Morri")&gt;0),"Unk",0))</f>
        <v>0</v>
      </c>
      <c r="E806" s="2" t="str">
        <f>IFERROR(INDEX('Blackout Brand Fam Areas (Enc)'!$D$6:$D$998,MATCH(UPPER(A806)&amp;"|"&amp;UPPER(B806),'Blackout Brand Fam Areas (Enc)'!$G$6:$G$998,0)),"No Match")</f>
        <v>Inactive</v>
      </c>
      <c r="F806" s="2" t="str">
        <f t="shared" si="24"/>
        <v>THEM</v>
      </c>
      <c r="G806" s="2" t="str">
        <f t="shared" si="25"/>
        <v>Simply Spiked|HUDSON</v>
      </c>
    </row>
    <row r="807" spans="1:7" x14ac:dyDescent="0.2">
      <c r="A807" s="2" t="str" cm="1">
        <f t="array" ref="A807">INDEX('[1]Brand Family Territory (Enc)'!$A$2:$A$296,INT((ROW()-2)/10)+1)</f>
        <v>Simply Spiked</v>
      </c>
      <c r="B807" s="2" t="str" cm="1">
        <f t="array" ref="B807">INDEX('Whitelist (Blackout Reverse)'!$B$1:$K$1,MOD(ROW()-2,10)+1)</f>
        <v>UNION</v>
      </c>
      <c r="C807" s="2" t="str">
        <f>VLOOKUP(A807,'[1]Brand Family Territory (Enc)'!$A$2:$B$296,2,FALSE)</f>
        <v>Core Market</v>
      </c>
      <c r="D807" s="2">
        <f>IF(COUNTIFS('[1]Brand Family Territories (Enc)'!$B$2:$B$62,C807,'[1]Brand Family Territories (Enc)'!$C$2:$C$62,B807)&gt;0,1,IF(AND(LEFT(B807,6)="MORRIS",COUNTIFS('[1]Brand Family Territories (Enc)'!$B$2:$B$62,C807,'[1]Brand Family Territories (Enc)'!$C$2:$C$62,"Morri")&gt;0),"Unk",0))</f>
        <v>0</v>
      </c>
      <c r="E807" s="2" t="str">
        <f>IFERROR(INDEX('Blackout Brand Fam Areas (Enc)'!$D$6:$D$998,MATCH(UPPER(A807)&amp;"|"&amp;UPPER(B807),'Blackout Brand Fam Areas (Enc)'!$G$6:$G$998,0)),"No Match")</f>
        <v>Inactive</v>
      </c>
      <c r="F807" s="2" t="str">
        <f t="shared" si="24"/>
        <v>THEM</v>
      </c>
      <c r="G807" s="2" t="str">
        <f t="shared" si="25"/>
        <v>Simply Spiked|UNION</v>
      </c>
    </row>
    <row r="808" spans="1:7" x14ac:dyDescent="0.2">
      <c r="A808" s="2" t="str" cm="1">
        <f t="array" ref="A808">INDEX('[1]Brand Family Territory (Enc)'!$A$2:$A$296,INT((ROW()-2)/10)+1)</f>
        <v>Simply Spiked</v>
      </c>
      <c r="B808" s="2" t="str" cm="1">
        <f t="array" ref="B808">INDEX('Whitelist (Blackout Reverse)'!$B$1:$K$1,MOD(ROW()-2,10)+1)</f>
        <v>SUSSEX</v>
      </c>
      <c r="C808" s="2" t="str">
        <f>VLOOKUP(A808,'[1]Brand Family Territory (Enc)'!$A$2:$B$296,2,FALSE)</f>
        <v>Core Market</v>
      </c>
      <c r="D808" s="2">
        <f>IF(COUNTIFS('[1]Brand Family Territories (Enc)'!$B$2:$B$62,C808,'[1]Brand Family Territories (Enc)'!$C$2:$C$62,B808)&gt;0,1,IF(AND(LEFT(B808,6)="MORRIS",COUNTIFS('[1]Brand Family Territories (Enc)'!$B$2:$B$62,C808,'[1]Brand Family Territories (Enc)'!$C$2:$C$62,"Morri")&gt;0),"Unk",0))</f>
        <v>1</v>
      </c>
      <c r="E808" s="2" t="str">
        <f>IFERROR(INDEX('Blackout Brand Fam Areas (Enc)'!$D$6:$D$998,MATCH(UPPER(A808)&amp;"|"&amp;UPPER(B808),'Blackout Brand Fam Areas (Enc)'!$G$6:$G$998,0)),"No Match")</f>
        <v>No Match</v>
      </c>
      <c r="F808" s="2" t="str">
        <f t="shared" si="24"/>
        <v>US</v>
      </c>
      <c r="G808" s="2" t="str">
        <f t="shared" si="25"/>
        <v>Simply Spiked|SUSSEX</v>
      </c>
    </row>
    <row r="809" spans="1:7" x14ac:dyDescent="0.2">
      <c r="A809" s="2" t="str" cm="1">
        <f t="array" ref="A809">INDEX('[1]Brand Family Territory (Enc)'!$A$2:$A$296,INT((ROW()-2)/10)+1)</f>
        <v>Simply Spiked</v>
      </c>
      <c r="B809" s="2" t="str" cm="1">
        <f t="array" ref="B809">INDEX('Whitelist (Blackout Reverse)'!$B$1:$K$1,MOD(ROW()-2,10)+1)</f>
        <v>MORRIS 1</v>
      </c>
      <c r="C809" s="2" t="str">
        <f>VLOOKUP(A809,'[1]Brand Family Territory (Enc)'!$A$2:$B$296,2,FALSE)</f>
        <v>Core Market</v>
      </c>
      <c r="D809" s="2">
        <f>IF(COUNTIFS('[1]Brand Family Territories (Enc)'!$B$2:$B$62,C809,'[1]Brand Family Territories (Enc)'!$C$2:$C$62,B809)&gt;0,1,IF(AND(LEFT(B809,6)="MORRIS",COUNTIFS('[1]Brand Family Territories (Enc)'!$B$2:$B$62,C809,'[1]Brand Family Territories (Enc)'!$C$2:$C$62,"Morri")&gt;0),"Unk",0))</f>
        <v>1</v>
      </c>
      <c r="E809" s="2" t="str">
        <f>IFERROR(INDEX('Blackout Brand Fam Areas (Enc)'!$D$6:$D$998,MATCH(UPPER(A809)&amp;"|"&amp;UPPER(B809),'Blackout Brand Fam Areas (Enc)'!$G$6:$G$998,0)),"No Match")</f>
        <v>No Match</v>
      </c>
      <c r="F809" s="2" t="str">
        <f t="shared" si="24"/>
        <v>US</v>
      </c>
      <c r="G809" s="2" t="str">
        <f t="shared" si="25"/>
        <v>Simply Spiked|MORRIS 1</v>
      </c>
    </row>
    <row r="810" spans="1:7" x14ac:dyDescent="0.2">
      <c r="A810" s="2" t="str" cm="1">
        <f t="array" ref="A810">INDEX('[1]Brand Family Territory (Enc)'!$A$2:$A$296,INT((ROW()-2)/10)+1)</f>
        <v>Simply Spiked</v>
      </c>
      <c r="B810" s="2" t="str" cm="1">
        <f t="array" ref="B810">INDEX('Whitelist (Blackout Reverse)'!$B$1:$K$1,MOD(ROW()-2,10)+1)</f>
        <v>MORRIS 2</v>
      </c>
      <c r="C810" s="2" t="str">
        <f>VLOOKUP(A810,'[1]Brand Family Territory (Enc)'!$A$2:$B$296,2,FALSE)</f>
        <v>Core Market</v>
      </c>
      <c r="D810" s="2">
        <f>IF(COUNTIFS('[1]Brand Family Territories (Enc)'!$B$2:$B$62,C810,'[1]Brand Family Territories (Enc)'!$C$2:$C$62,B810)&gt;0,1,IF(AND(LEFT(B810,6)="MORRIS",COUNTIFS('[1]Brand Family Territories (Enc)'!$B$2:$B$62,C810,'[1]Brand Family Territories (Enc)'!$C$2:$C$62,"Morri")&gt;0),"Unk",0))</f>
        <v>0</v>
      </c>
      <c r="E810" s="2" t="str">
        <f>IFERROR(INDEX('Blackout Brand Fam Areas (Enc)'!$D$6:$D$998,MATCH(UPPER(A810)&amp;"|"&amp;UPPER(B810),'Blackout Brand Fam Areas (Enc)'!$G$6:$G$998,0)),"No Match")</f>
        <v>Inactive</v>
      </c>
      <c r="F810" s="2" t="str">
        <f t="shared" si="24"/>
        <v>THEM</v>
      </c>
      <c r="G810" s="2" t="str">
        <f t="shared" si="25"/>
        <v>Simply Spiked|MORRIS 2</v>
      </c>
    </row>
    <row r="811" spans="1:7" x14ac:dyDescent="0.2">
      <c r="A811" s="2" t="str" cm="1">
        <f t="array" ref="A811">INDEX('[1]Brand Family Territory (Enc)'!$A$2:$A$296,INT((ROW()-2)/10)+1)</f>
        <v>Simply Spiked</v>
      </c>
      <c r="B811" s="2" t="str" cm="1">
        <f t="array" ref="B811">INDEX('Whitelist (Blackout Reverse)'!$B$1:$K$1,MOD(ROW()-2,10)+1)</f>
        <v>MORRIS 3</v>
      </c>
      <c r="C811" s="2" t="str">
        <f>VLOOKUP(A811,'[1]Brand Family Territory (Enc)'!$A$2:$B$296,2,FALSE)</f>
        <v>Core Market</v>
      </c>
      <c r="D811" s="2">
        <f>IF(COUNTIFS('[1]Brand Family Territories (Enc)'!$B$2:$B$62,C811,'[1]Brand Family Territories (Enc)'!$C$2:$C$62,B811)&gt;0,1,IF(AND(LEFT(B811,6)="MORRIS",COUNTIFS('[1]Brand Family Territories (Enc)'!$B$2:$B$62,C811,'[1]Brand Family Territories (Enc)'!$C$2:$C$62,"Morri")&gt;0),"Unk",0))</f>
        <v>1</v>
      </c>
      <c r="E811" s="2" t="str">
        <f>IFERROR(INDEX('Blackout Brand Fam Areas (Enc)'!$D$6:$D$998,MATCH(UPPER(A811)&amp;"|"&amp;UPPER(B811),'Blackout Brand Fam Areas (Enc)'!$G$6:$G$998,0)),"No Match")</f>
        <v>No Match</v>
      </c>
      <c r="F811" s="2" t="str">
        <f t="shared" si="24"/>
        <v>US</v>
      </c>
      <c r="G811" s="2" t="str">
        <f t="shared" si="25"/>
        <v>Simply Spiked|MORRIS 3</v>
      </c>
    </row>
    <row r="812" spans="1:7" x14ac:dyDescent="0.2">
      <c r="A812" s="2" t="str" cm="1">
        <f t="array" ref="A812">INDEX('[1]Brand Family Territory (Enc)'!$A$2:$A$296,INT((ROW()-2)/10)+1)</f>
        <v>Sinless Vodka Cocktail</v>
      </c>
      <c r="B812" s="2" t="str" cm="1">
        <f t="array" ref="B812">INDEX('Whitelist (Blackout Reverse)'!$B$1:$K$1,MOD(ROW()-2,10)+1)</f>
        <v>BERGEN</v>
      </c>
      <c r="C812" s="2" t="str">
        <f>VLOOKUP(A812,'[1]Brand Family Territory (Enc)'!$A$2:$B$296,2,FALSE)</f>
        <v>Core Market</v>
      </c>
      <c r="D812" s="2">
        <f>IF(COUNTIFS('[1]Brand Family Territories (Enc)'!$B$2:$B$62,C812,'[1]Brand Family Territories (Enc)'!$C$2:$C$62,B812)&gt;0,1,IF(AND(LEFT(B812,6)="MORRIS",COUNTIFS('[1]Brand Family Territories (Enc)'!$B$2:$B$62,C812,'[1]Brand Family Territories (Enc)'!$C$2:$C$62,"Morri")&gt;0),"Unk",0))</f>
        <v>1</v>
      </c>
      <c r="E812" s="2" t="str">
        <f>IFERROR(INDEX('Blackout Brand Fam Areas (Enc)'!$D$6:$D$998,MATCH(UPPER(A812)&amp;"|"&amp;UPPER(B812),'Blackout Brand Fam Areas (Enc)'!$G$6:$G$998,0)),"No Match")</f>
        <v>No Match</v>
      </c>
      <c r="F812" s="2" t="str">
        <f t="shared" si="24"/>
        <v>US</v>
      </c>
      <c r="G812" s="2" t="str">
        <f t="shared" si="25"/>
        <v>Sinless Vodka Cocktail|BERGEN</v>
      </c>
    </row>
    <row r="813" spans="1:7" x14ac:dyDescent="0.2">
      <c r="A813" s="2" t="str" cm="1">
        <f t="array" ref="A813">INDEX('[1]Brand Family Territory (Enc)'!$A$2:$A$296,INT((ROW()-2)/10)+1)</f>
        <v>Sinless Vodka Cocktail</v>
      </c>
      <c r="B813" s="2" t="str" cm="1">
        <f t="array" ref="B813">INDEX('Whitelist (Blackout Reverse)'!$B$1:$K$1,MOD(ROW()-2,10)+1)</f>
        <v>PASSAIC</v>
      </c>
      <c r="C813" s="2" t="str">
        <f>VLOOKUP(A813,'[1]Brand Family Territory (Enc)'!$A$2:$B$296,2,FALSE)</f>
        <v>Core Market</v>
      </c>
      <c r="D813" s="2">
        <f>IF(COUNTIFS('[1]Brand Family Territories (Enc)'!$B$2:$B$62,C813,'[1]Brand Family Territories (Enc)'!$C$2:$C$62,B813)&gt;0,1,IF(AND(LEFT(B813,6)="MORRIS",COUNTIFS('[1]Brand Family Territories (Enc)'!$B$2:$B$62,C813,'[1]Brand Family Territories (Enc)'!$C$2:$C$62,"Morri")&gt;0),"Unk",0))</f>
        <v>1</v>
      </c>
      <c r="E813" s="2" t="str">
        <f>IFERROR(INDEX('Blackout Brand Fam Areas (Enc)'!$D$6:$D$998,MATCH(UPPER(A813)&amp;"|"&amp;UPPER(B813),'Blackout Brand Fam Areas (Enc)'!$G$6:$G$998,0)),"No Match")</f>
        <v>No Match</v>
      </c>
      <c r="F813" s="2" t="str">
        <f t="shared" si="24"/>
        <v>US</v>
      </c>
      <c r="G813" s="2" t="str">
        <f t="shared" si="25"/>
        <v>Sinless Vodka Cocktail|PASSAIC</v>
      </c>
    </row>
    <row r="814" spans="1:7" x14ac:dyDescent="0.2">
      <c r="A814" s="2" t="str" cm="1">
        <f t="array" ref="A814">INDEX('[1]Brand Family Territory (Enc)'!$A$2:$A$296,INT((ROW()-2)/10)+1)</f>
        <v>Sinless Vodka Cocktail</v>
      </c>
      <c r="B814" s="2" t="str" cm="1">
        <f t="array" ref="B814">INDEX('Whitelist (Blackout Reverse)'!$B$1:$K$1,MOD(ROW()-2,10)+1)</f>
        <v>PASSAIC-FF</v>
      </c>
      <c r="C814" s="2" t="str">
        <f>VLOOKUP(A814,'[1]Brand Family Territory (Enc)'!$A$2:$B$296,2,FALSE)</f>
        <v>Core Market</v>
      </c>
      <c r="D814" s="2">
        <f>IF(COUNTIFS('[1]Brand Family Territories (Enc)'!$B$2:$B$62,C814,'[1]Brand Family Territories (Enc)'!$C$2:$C$62,B814)&gt;0,1,IF(AND(LEFT(B814,6)="MORRIS",COUNTIFS('[1]Brand Family Territories (Enc)'!$B$2:$B$62,C814,'[1]Brand Family Territories (Enc)'!$C$2:$C$62,"Morri")&gt;0),"Unk",0))</f>
        <v>1</v>
      </c>
      <c r="E814" s="2" t="str">
        <f>IFERROR(INDEX('Blackout Brand Fam Areas (Enc)'!$D$6:$D$998,MATCH(UPPER(A814)&amp;"|"&amp;UPPER(B814),'Blackout Brand Fam Areas (Enc)'!$G$6:$G$998,0)),"No Match")</f>
        <v>No Match</v>
      </c>
      <c r="F814" s="2" t="str">
        <f t="shared" si="24"/>
        <v>US</v>
      </c>
      <c r="G814" s="2" t="str">
        <f t="shared" si="25"/>
        <v>Sinless Vodka Cocktail|PASSAIC-FF</v>
      </c>
    </row>
    <row r="815" spans="1:7" x14ac:dyDescent="0.2">
      <c r="A815" s="2" t="str" cm="1">
        <f t="array" ref="A815">INDEX('[1]Brand Family Territory (Enc)'!$A$2:$A$296,INT((ROW()-2)/10)+1)</f>
        <v>Sinless Vodka Cocktail</v>
      </c>
      <c r="B815" s="2" t="str" cm="1">
        <f t="array" ref="B815">INDEX('Whitelist (Blackout Reverse)'!$B$1:$K$1,MOD(ROW()-2,10)+1)</f>
        <v>ESSEX</v>
      </c>
      <c r="C815" s="2" t="str">
        <f>VLOOKUP(A815,'[1]Brand Family Territory (Enc)'!$A$2:$B$296,2,FALSE)</f>
        <v>Core Market</v>
      </c>
      <c r="D815" s="2">
        <f>IF(COUNTIFS('[1]Brand Family Territories (Enc)'!$B$2:$B$62,C815,'[1]Brand Family Territories (Enc)'!$C$2:$C$62,B815)&gt;0,1,IF(AND(LEFT(B815,6)="MORRIS",COUNTIFS('[1]Brand Family Territories (Enc)'!$B$2:$B$62,C815,'[1]Brand Family Territories (Enc)'!$C$2:$C$62,"Morri")&gt;0),"Unk",0))</f>
        <v>0</v>
      </c>
      <c r="E815" s="2" t="str">
        <f>IFERROR(INDEX('Blackout Brand Fam Areas (Enc)'!$D$6:$D$998,MATCH(UPPER(A815)&amp;"|"&amp;UPPER(B815),'Blackout Brand Fam Areas (Enc)'!$G$6:$G$998,0)),"No Match")</f>
        <v>Inactive</v>
      </c>
      <c r="F815" s="2" t="str">
        <f t="shared" si="24"/>
        <v>THEM</v>
      </c>
      <c r="G815" s="2" t="str">
        <f t="shared" si="25"/>
        <v>Sinless Vodka Cocktail|ESSEX</v>
      </c>
    </row>
    <row r="816" spans="1:7" x14ac:dyDescent="0.2">
      <c r="A816" s="2" t="str" cm="1">
        <f t="array" ref="A816">INDEX('[1]Brand Family Territory (Enc)'!$A$2:$A$296,INT((ROW()-2)/10)+1)</f>
        <v>Sinless Vodka Cocktail</v>
      </c>
      <c r="B816" s="2" t="str" cm="1">
        <f t="array" ref="B816">INDEX('Whitelist (Blackout Reverse)'!$B$1:$K$1,MOD(ROW()-2,10)+1)</f>
        <v>HUDSON</v>
      </c>
      <c r="C816" s="2" t="str">
        <f>VLOOKUP(A816,'[1]Brand Family Territory (Enc)'!$A$2:$B$296,2,FALSE)</f>
        <v>Core Market</v>
      </c>
      <c r="D816" s="2">
        <f>IF(COUNTIFS('[1]Brand Family Territories (Enc)'!$B$2:$B$62,C816,'[1]Brand Family Territories (Enc)'!$C$2:$C$62,B816)&gt;0,1,IF(AND(LEFT(B816,6)="MORRIS",COUNTIFS('[1]Brand Family Territories (Enc)'!$B$2:$B$62,C816,'[1]Brand Family Territories (Enc)'!$C$2:$C$62,"Morri")&gt;0),"Unk",0))</f>
        <v>0</v>
      </c>
      <c r="E816" s="2" t="str">
        <f>IFERROR(INDEX('Blackout Brand Fam Areas (Enc)'!$D$6:$D$998,MATCH(UPPER(A816)&amp;"|"&amp;UPPER(B816),'Blackout Brand Fam Areas (Enc)'!$G$6:$G$998,0)),"No Match")</f>
        <v>Inactive</v>
      </c>
      <c r="F816" s="2" t="str">
        <f t="shared" si="24"/>
        <v>THEM</v>
      </c>
      <c r="G816" s="2" t="str">
        <f t="shared" si="25"/>
        <v>Sinless Vodka Cocktail|HUDSON</v>
      </c>
    </row>
    <row r="817" spans="1:7" x14ac:dyDescent="0.2">
      <c r="A817" s="2" t="str" cm="1">
        <f t="array" ref="A817">INDEX('[1]Brand Family Territory (Enc)'!$A$2:$A$296,INT((ROW()-2)/10)+1)</f>
        <v>Sinless Vodka Cocktail</v>
      </c>
      <c r="B817" s="2" t="str" cm="1">
        <f t="array" ref="B817">INDEX('Whitelist (Blackout Reverse)'!$B$1:$K$1,MOD(ROW()-2,10)+1)</f>
        <v>UNION</v>
      </c>
      <c r="C817" s="2" t="str">
        <f>VLOOKUP(A817,'[1]Brand Family Territory (Enc)'!$A$2:$B$296,2,FALSE)</f>
        <v>Core Market</v>
      </c>
      <c r="D817" s="2">
        <f>IF(COUNTIFS('[1]Brand Family Territories (Enc)'!$B$2:$B$62,C817,'[1]Brand Family Territories (Enc)'!$C$2:$C$62,B817)&gt;0,1,IF(AND(LEFT(B817,6)="MORRIS",COUNTIFS('[1]Brand Family Territories (Enc)'!$B$2:$B$62,C817,'[1]Brand Family Territories (Enc)'!$C$2:$C$62,"Morri")&gt;0),"Unk",0))</f>
        <v>0</v>
      </c>
      <c r="E817" s="2" t="str">
        <f>IFERROR(INDEX('Blackout Brand Fam Areas (Enc)'!$D$6:$D$998,MATCH(UPPER(A817)&amp;"|"&amp;UPPER(B817),'Blackout Brand Fam Areas (Enc)'!$G$6:$G$998,0)),"No Match")</f>
        <v>Inactive</v>
      </c>
      <c r="F817" s="2" t="str">
        <f t="shared" si="24"/>
        <v>THEM</v>
      </c>
      <c r="G817" s="2" t="str">
        <f t="shared" si="25"/>
        <v>Sinless Vodka Cocktail|UNION</v>
      </c>
    </row>
    <row r="818" spans="1:7" x14ac:dyDescent="0.2">
      <c r="A818" s="2" t="str" cm="1">
        <f t="array" ref="A818">INDEX('[1]Brand Family Territory (Enc)'!$A$2:$A$296,INT((ROW()-2)/10)+1)</f>
        <v>Sinless Vodka Cocktail</v>
      </c>
      <c r="B818" s="2" t="str" cm="1">
        <f t="array" ref="B818">INDEX('Whitelist (Blackout Reverse)'!$B$1:$K$1,MOD(ROW()-2,10)+1)</f>
        <v>SUSSEX</v>
      </c>
      <c r="C818" s="2" t="str">
        <f>VLOOKUP(A818,'[1]Brand Family Territory (Enc)'!$A$2:$B$296,2,FALSE)</f>
        <v>Core Market</v>
      </c>
      <c r="D818" s="2">
        <f>IF(COUNTIFS('[1]Brand Family Territories (Enc)'!$B$2:$B$62,C818,'[1]Brand Family Territories (Enc)'!$C$2:$C$62,B818)&gt;0,1,IF(AND(LEFT(B818,6)="MORRIS",COUNTIFS('[1]Brand Family Territories (Enc)'!$B$2:$B$62,C818,'[1]Brand Family Territories (Enc)'!$C$2:$C$62,"Morri")&gt;0),"Unk",0))</f>
        <v>1</v>
      </c>
      <c r="E818" s="2" t="str">
        <f>IFERROR(INDEX('Blackout Brand Fam Areas (Enc)'!$D$6:$D$998,MATCH(UPPER(A818)&amp;"|"&amp;UPPER(B818),'Blackout Brand Fam Areas (Enc)'!$G$6:$G$998,0)),"No Match")</f>
        <v>No Match</v>
      </c>
      <c r="F818" s="2" t="str">
        <f t="shared" si="24"/>
        <v>US</v>
      </c>
      <c r="G818" s="2" t="str">
        <f t="shared" si="25"/>
        <v>Sinless Vodka Cocktail|SUSSEX</v>
      </c>
    </row>
    <row r="819" spans="1:7" x14ac:dyDescent="0.2">
      <c r="A819" s="2" t="str" cm="1">
        <f t="array" ref="A819">INDEX('[1]Brand Family Territory (Enc)'!$A$2:$A$296,INT((ROW()-2)/10)+1)</f>
        <v>Sinless Vodka Cocktail</v>
      </c>
      <c r="B819" s="2" t="str" cm="1">
        <f t="array" ref="B819">INDEX('Whitelist (Blackout Reverse)'!$B$1:$K$1,MOD(ROW()-2,10)+1)</f>
        <v>MORRIS 1</v>
      </c>
      <c r="C819" s="2" t="str">
        <f>VLOOKUP(A819,'[1]Brand Family Territory (Enc)'!$A$2:$B$296,2,FALSE)</f>
        <v>Core Market</v>
      </c>
      <c r="D819" s="2">
        <f>IF(COUNTIFS('[1]Brand Family Territories (Enc)'!$B$2:$B$62,C819,'[1]Brand Family Territories (Enc)'!$C$2:$C$62,B819)&gt;0,1,IF(AND(LEFT(B819,6)="MORRIS",COUNTIFS('[1]Brand Family Territories (Enc)'!$B$2:$B$62,C819,'[1]Brand Family Territories (Enc)'!$C$2:$C$62,"Morri")&gt;0),"Unk",0))</f>
        <v>1</v>
      </c>
      <c r="E819" s="2" t="str">
        <f>IFERROR(INDEX('Blackout Brand Fam Areas (Enc)'!$D$6:$D$998,MATCH(UPPER(A819)&amp;"|"&amp;UPPER(B819),'Blackout Brand Fam Areas (Enc)'!$G$6:$G$998,0)),"No Match")</f>
        <v>No Match</v>
      </c>
      <c r="F819" s="2" t="str">
        <f t="shared" si="24"/>
        <v>US</v>
      </c>
      <c r="G819" s="2" t="str">
        <f t="shared" si="25"/>
        <v>Sinless Vodka Cocktail|MORRIS 1</v>
      </c>
    </row>
    <row r="820" spans="1:7" x14ac:dyDescent="0.2">
      <c r="A820" s="2" t="str" cm="1">
        <f t="array" ref="A820">INDEX('[1]Brand Family Territory (Enc)'!$A$2:$A$296,INT((ROW()-2)/10)+1)</f>
        <v>Sinless Vodka Cocktail</v>
      </c>
      <c r="B820" s="2" t="str" cm="1">
        <f t="array" ref="B820">INDEX('Whitelist (Blackout Reverse)'!$B$1:$K$1,MOD(ROW()-2,10)+1)</f>
        <v>MORRIS 2</v>
      </c>
      <c r="C820" s="2" t="str">
        <f>VLOOKUP(A820,'[1]Brand Family Territory (Enc)'!$A$2:$B$296,2,FALSE)</f>
        <v>Core Market</v>
      </c>
      <c r="D820" s="2">
        <f>IF(COUNTIFS('[1]Brand Family Territories (Enc)'!$B$2:$B$62,C820,'[1]Brand Family Territories (Enc)'!$C$2:$C$62,B820)&gt;0,1,IF(AND(LEFT(B820,6)="MORRIS",COUNTIFS('[1]Brand Family Territories (Enc)'!$B$2:$B$62,C820,'[1]Brand Family Territories (Enc)'!$C$2:$C$62,"Morri")&gt;0),"Unk",0))</f>
        <v>0</v>
      </c>
      <c r="E820" s="2" t="str">
        <f>IFERROR(INDEX('Blackout Brand Fam Areas (Enc)'!$D$6:$D$998,MATCH(UPPER(A820)&amp;"|"&amp;UPPER(B820),'Blackout Brand Fam Areas (Enc)'!$G$6:$G$998,0)),"No Match")</f>
        <v>Inactive</v>
      </c>
      <c r="F820" s="2" t="str">
        <f t="shared" si="24"/>
        <v>THEM</v>
      </c>
      <c r="G820" s="2" t="str">
        <f t="shared" si="25"/>
        <v>Sinless Vodka Cocktail|MORRIS 2</v>
      </c>
    </row>
    <row r="821" spans="1:7" x14ac:dyDescent="0.2">
      <c r="A821" s="2" t="str" cm="1">
        <f t="array" ref="A821">INDEX('[1]Brand Family Territory (Enc)'!$A$2:$A$296,INT((ROW()-2)/10)+1)</f>
        <v>Sinless Vodka Cocktail</v>
      </c>
      <c r="B821" s="2" t="str" cm="1">
        <f t="array" ref="B821">INDEX('Whitelist (Blackout Reverse)'!$B$1:$K$1,MOD(ROW()-2,10)+1)</f>
        <v>MORRIS 3</v>
      </c>
      <c r="C821" s="2" t="str">
        <f>VLOOKUP(A821,'[1]Brand Family Territory (Enc)'!$A$2:$B$296,2,FALSE)</f>
        <v>Core Market</v>
      </c>
      <c r="D821" s="2">
        <f>IF(COUNTIFS('[1]Brand Family Territories (Enc)'!$B$2:$B$62,C821,'[1]Brand Family Territories (Enc)'!$C$2:$C$62,B821)&gt;0,1,IF(AND(LEFT(B821,6)="MORRIS",COUNTIFS('[1]Brand Family Territories (Enc)'!$B$2:$B$62,C821,'[1]Brand Family Territories (Enc)'!$C$2:$C$62,"Morri")&gt;0),"Unk",0))</f>
        <v>1</v>
      </c>
      <c r="E821" s="2" t="str">
        <f>IFERROR(INDEX('Blackout Brand Fam Areas (Enc)'!$D$6:$D$998,MATCH(UPPER(A821)&amp;"|"&amp;UPPER(B821),'Blackout Brand Fam Areas (Enc)'!$G$6:$G$998,0)),"No Match")</f>
        <v>No Match</v>
      </c>
      <c r="F821" s="2" t="str">
        <f t="shared" si="24"/>
        <v>US</v>
      </c>
      <c r="G821" s="2" t="str">
        <f t="shared" si="25"/>
        <v>Sinless Vodka Cocktail|MORRIS 3</v>
      </c>
    </row>
    <row r="822" spans="1:7" x14ac:dyDescent="0.2">
      <c r="A822" s="2" t="str" cm="1">
        <f t="array" ref="A822">INDEX('[1]Brand Family Territory (Enc)'!$A$2:$A$296,INT((ROW()-2)/10)+1)</f>
        <v>Snow Beer</v>
      </c>
      <c r="B822" s="2" t="str" cm="1">
        <f t="array" ref="B822">INDEX('Whitelist (Blackout Reverse)'!$B$1:$K$1,MOD(ROW()-2,10)+1)</f>
        <v>BERGEN</v>
      </c>
      <c r="C822" s="2" t="str">
        <f>VLOOKUP(A822,'[1]Brand Family Territory (Enc)'!$A$2:$B$296,2,FALSE)</f>
        <v>Core Market</v>
      </c>
      <c r="D822" s="2">
        <f>IF(COUNTIFS('[1]Brand Family Territories (Enc)'!$B$2:$B$62,C822,'[1]Brand Family Territories (Enc)'!$C$2:$C$62,B822)&gt;0,1,IF(AND(LEFT(B822,6)="MORRIS",COUNTIFS('[1]Brand Family Territories (Enc)'!$B$2:$B$62,C822,'[1]Brand Family Territories (Enc)'!$C$2:$C$62,"Morri")&gt;0),"Unk",0))</f>
        <v>1</v>
      </c>
      <c r="E822" s="2" t="str">
        <f>IFERROR(INDEX('Blackout Brand Fam Areas (Enc)'!$D$6:$D$998,MATCH(UPPER(A822)&amp;"|"&amp;UPPER(B822),'Blackout Brand Fam Areas (Enc)'!$G$6:$G$998,0)),"No Match")</f>
        <v>No Match</v>
      </c>
      <c r="F822" s="2" t="str">
        <f t="shared" si="24"/>
        <v>US</v>
      </c>
      <c r="G822" s="2" t="str">
        <f t="shared" si="25"/>
        <v>Snow Beer|BERGEN</v>
      </c>
    </row>
    <row r="823" spans="1:7" x14ac:dyDescent="0.2">
      <c r="A823" s="2" t="str" cm="1">
        <f t="array" ref="A823">INDEX('[1]Brand Family Territory (Enc)'!$A$2:$A$296,INT((ROW()-2)/10)+1)</f>
        <v>Snow Beer</v>
      </c>
      <c r="B823" s="2" t="str" cm="1">
        <f t="array" ref="B823">INDEX('Whitelist (Blackout Reverse)'!$B$1:$K$1,MOD(ROW()-2,10)+1)</f>
        <v>PASSAIC</v>
      </c>
      <c r="C823" s="2" t="str">
        <f>VLOOKUP(A823,'[1]Brand Family Territory (Enc)'!$A$2:$B$296,2,FALSE)</f>
        <v>Core Market</v>
      </c>
      <c r="D823" s="2">
        <f>IF(COUNTIFS('[1]Brand Family Territories (Enc)'!$B$2:$B$62,C823,'[1]Brand Family Territories (Enc)'!$C$2:$C$62,B823)&gt;0,1,IF(AND(LEFT(B823,6)="MORRIS",COUNTIFS('[1]Brand Family Territories (Enc)'!$B$2:$B$62,C823,'[1]Brand Family Territories (Enc)'!$C$2:$C$62,"Morri")&gt;0),"Unk",0))</f>
        <v>1</v>
      </c>
      <c r="E823" s="2" t="str">
        <f>IFERROR(INDEX('Blackout Brand Fam Areas (Enc)'!$D$6:$D$998,MATCH(UPPER(A823)&amp;"|"&amp;UPPER(B823),'Blackout Brand Fam Areas (Enc)'!$G$6:$G$998,0)),"No Match")</f>
        <v>No Match</v>
      </c>
      <c r="F823" s="2" t="str">
        <f t="shared" si="24"/>
        <v>US</v>
      </c>
      <c r="G823" s="2" t="str">
        <f t="shared" si="25"/>
        <v>Snow Beer|PASSAIC</v>
      </c>
    </row>
    <row r="824" spans="1:7" x14ac:dyDescent="0.2">
      <c r="A824" s="2" t="str" cm="1">
        <f t="array" ref="A824">INDEX('[1]Brand Family Territory (Enc)'!$A$2:$A$296,INT((ROW()-2)/10)+1)</f>
        <v>Snow Beer</v>
      </c>
      <c r="B824" s="2" t="str" cm="1">
        <f t="array" ref="B824">INDEX('Whitelist (Blackout Reverse)'!$B$1:$K$1,MOD(ROW()-2,10)+1)</f>
        <v>PASSAIC-FF</v>
      </c>
      <c r="C824" s="2" t="str">
        <f>VLOOKUP(A824,'[1]Brand Family Territory (Enc)'!$A$2:$B$296,2,FALSE)</f>
        <v>Core Market</v>
      </c>
      <c r="D824" s="2">
        <f>IF(COUNTIFS('[1]Brand Family Territories (Enc)'!$B$2:$B$62,C824,'[1]Brand Family Territories (Enc)'!$C$2:$C$62,B824)&gt;0,1,IF(AND(LEFT(B824,6)="MORRIS",COUNTIFS('[1]Brand Family Territories (Enc)'!$B$2:$B$62,C824,'[1]Brand Family Territories (Enc)'!$C$2:$C$62,"Morri")&gt;0),"Unk",0))</f>
        <v>1</v>
      </c>
      <c r="E824" s="2" t="str">
        <f>IFERROR(INDEX('Blackout Brand Fam Areas (Enc)'!$D$6:$D$998,MATCH(UPPER(A824)&amp;"|"&amp;UPPER(B824),'Blackout Brand Fam Areas (Enc)'!$G$6:$G$998,0)),"No Match")</f>
        <v>No Match</v>
      </c>
      <c r="F824" s="2" t="str">
        <f t="shared" si="24"/>
        <v>US</v>
      </c>
      <c r="G824" s="2" t="str">
        <f t="shared" si="25"/>
        <v>Snow Beer|PASSAIC-FF</v>
      </c>
    </row>
    <row r="825" spans="1:7" x14ac:dyDescent="0.2">
      <c r="A825" s="2" t="str" cm="1">
        <f t="array" ref="A825">INDEX('[1]Brand Family Territory (Enc)'!$A$2:$A$296,INT((ROW()-2)/10)+1)</f>
        <v>Snow Beer</v>
      </c>
      <c r="B825" s="2" t="str" cm="1">
        <f t="array" ref="B825">INDEX('Whitelist (Blackout Reverse)'!$B$1:$K$1,MOD(ROW()-2,10)+1)</f>
        <v>ESSEX</v>
      </c>
      <c r="C825" s="2" t="str">
        <f>VLOOKUP(A825,'[1]Brand Family Territory (Enc)'!$A$2:$B$296,2,FALSE)</f>
        <v>Core Market</v>
      </c>
      <c r="D825" s="2">
        <f>IF(COUNTIFS('[1]Brand Family Territories (Enc)'!$B$2:$B$62,C825,'[1]Brand Family Territories (Enc)'!$C$2:$C$62,B825)&gt;0,1,IF(AND(LEFT(B825,6)="MORRIS",COUNTIFS('[1]Brand Family Territories (Enc)'!$B$2:$B$62,C825,'[1]Brand Family Territories (Enc)'!$C$2:$C$62,"Morri")&gt;0),"Unk",0))</f>
        <v>0</v>
      </c>
      <c r="E825" s="2" t="str">
        <f>IFERROR(INDEX('Blackout Brand Fam Areas (Enc)'!$D$6:$D$998,MATCH(UPPER(A825)&amp;"|"&amp;UPPER(B825),'Blackout Brand Fam Areas (Enc)'!$G$6:$G$998,0)),"No Match")</f>
        <v>Inactive</v>
      </c>
      <c r="F825" s="2" t="str">
        <f t="shared" si="24"/>
        <v>THEM</v>
      </c>
      <c r="G825" s="2" t="str">
        <f t="shared" si="25"/>
        <v>Snow Beer|ESSEX</v>
      </c>
    </row>
    <row r="826" spans="1:7" x14ac:dyDescent="0.2">
      <c r="A826" s="2" t="str" cm="1">
        <f t="array" ref="A826">INDEX('[1]Brand Family Territory (Enc)'!$A$2:$A$296,INT((ROW()-2)/10)+1)</f>
        <v>Snow Beer</v>
      </c>
      <c r="B826" s="2" t="str" cm="1">
        <f t="array" ref="B826">INDEX('Whitelist (Blackout Reverse)'!$B$1:$K$1,MOD(ROW()-2,10)+1)</f>
        <v>HUDSON</v>
      </c>
      <c r="C826" s="2" t="str">
        <f>VLOOKUP(A826,'[1]Brand Family Territory (Enc)'!$A$2:$B$296,2,FALSE)</f>
        <v>Core Market</v>
      </c>
      <c r="D826" s="2">
        <f>IF(COUNTIFS('[1]Brand Family Territories (Enc)'!$B$2:$B$62,C826,'[1]Brand Family Territories (Enc)'!$C$2:$C$62,B826)&gt;0,1,IF(AND(LEFT(B826,6)="MORRIS",COUNTIFS('[1]Brand Family Territories (Enc)'!$B$2:$B$62,C826,'[1]Brand Family Territories (Enc)'!$C$2:$C$62,"Morri")&gt;0),"Unk",0))</f>
        <v>0</v>
      </c>
      <c r="E826" s="2" t="str">
        <f>IFERROR(INDEX('Blackout Brand Fam Areas (Enc)'!$D$6:$D$998,MATCH(UPPER(A826)&amp;"|"&amp;UPPER(B826),'Blackout Brand Fam Areas (Enc)'!$G$6:$G$998,0)),"No Match")</f>
        <v>Inactive</v>
      </c>
      <c r="F826" s="2" t="str">
        <f t="shared" si="24"/>
        <v>THEM</v>
      </c>
      <c r="G826" s="2" t="str">
        <f t="shared" si="25"/>
        <v>Snow Beer|HUDSON</v>
      </c>
    </row>
    <row r="827" spans="1:7" x14ac:dyDescent="0.2">
      <c r="A827" s="2" t="str" cm="1">
        <f t="array" ref="A827">INDEX('[1]Brand Family Territory (Enc)'!$A$2:$A$296,INT((ROW()-2)/10)+1)</f>
        <v>Snow Beer</v>
      </c>
      <c r="B827" s="2" t="str" cm="1">
        <f t="array" ref="B827">INDEX('Whitelist (Blackout Reverse)'!$B$1:$K$1,MOD(ROW()-2,10)+1)</f>
        <v>UNION</v>
      </c>
      <c r="C827" s="2" t="str">
        <f>VLOOKUP(A827,'[1]Brand Family Territory (Enc)'!$A$2:$B$296,2,FALSE)</f>
        <v>Core Market</v>
      </c>
      <c r="D827" s="2">
        <f>IF(COUNTIFS('[1]Brand Family Territories (Enc)'!$B$2:$B$62,C827,'[1]Brand Family Territories (Enc)'!$C$2:$C$62,B827)&gt;0,1,IF(AND(LEFT(B827,6)="MORRIS",COUNTIFS('[1]Brand Family Territories (Enc)'!$B$2:$B$62,C827,'[1]Brand Family Territories (Enc)'!$C$2:$C$62,"Morri")&gt;0),"Unk",0))</f>
        <v>0</v>
      </c>
      <c r="E827" s="2" t="str">
        <f>IFERROR(INDEX('Blackout Brand Fam Areas (Enc)'!$D$6:$D$998,MATCH(UPPER(A827)&amp;"|"&amp;UPPER(B827),'Blackout Brand Fam Areas (Enc)'!$G$6:$G$998,0)),"No Match")</f>
        <v>Inactive</v>
      </c>
      <c r="F827" s="2" t="str">
        <f t="shared" si="24"/>
        <v>THEM</v>
      </c>
      <c r="G827" s="2" t="str">
        <f t="shared" si="25"/>
        <v>Snow Beer|UNION</v>
      </c>
    </row>
    <row r="828" spans="1:7" x14ac:dyDescent="0.2">
      <c r="A828" s="2" t="str" cm="1">
        <f t="array" ref="A828">INDEX('[1]Brand Family Territory (Enc)'!$A$2:$A$296,INT((ROW()-2)/10)+1)</f>
        <v>Snow Beer</v>
      </c>
      <c r="B828" s="2" t="str" cm="1">
        <f t="array" ref="B828">INDEX('Whitelist (Blackout Reverse)'!$B$1:$K$1,MOD(ROW()-2,10)+1)</f>
        <v>SUSSEX</v>
      </c>
      <c r="C828" s="2" t="str">
        <f>VLOOKUP(A828,'[1]Brand Family Territory (Enc)'!$A$2:$B$296,2,FALSE)</f>
        <v>Core Market</v>
      </c>
      <c r="D828" s="2">
        <f>IF(COUNTIFS('[1]Brand Family Territories (Enc)'!$B$2:$B$62,C828,'[1]Brand Family Territories (Enc)'!$C$2:$C$62,B828)&gt;0,1,IF(AND(LEFT(B828,6)="MORRIS",COUNTIFS('[1]Brand Family Territories (Enc)'!$B$2:$B$62,C828,'[1]Brand Family Territories (Enc)'!$C$2:$C$62,"Morri")&gt;0),"Unk",0))</f>
        <v>1</v>
      </c>
      <c r="E828" s="2" t="str">
        <f>IFERROR(INDEX('Blackout Brand Fam Areas (Enc)'!$D$6:$D$998,MATCH(UPPER(A828)&amp;"|"&amp;UPPER(B828),'Blackout Brand Fam Areas (Enc)'!$G$6:$G$998,0)),"No Match")</f>
        <v>No Match</v>
      </c>
      <c r="F828" s="2" t="str">
        <f t="shared" si="24"/>
        <v>US</v>
      </c>
      <c r="G828" s="2" t="str">
        <f t="shared" si="25"/>
        <v>Snow Beer|SUSSEX</v>
      </c>
    </row>
    <row r="829" spans="1:7" x14ac:dyDescent="0.2">
      <c r="A829" s="2" t="str" cm="1">
        <f t="array" ref="A829">INDEX('[1]Brand Family Territory (Enc)'!$A$2:$A$296,INT((ROW()-2)/10)+1)</f>
        <v>Snow Beer</v>
      </c>
      <c r="B829" s="2" t="str" cm="1">
        <f t="array" ref="B829">INDEX('Whitelist (Blackout Reverse)'!$B$1:$K$1,MOD(ROW()-2,10)+1)</f>
        <v>MORRIS 1</v>
      </c>
      <c r="C829" s="2" t="str">
        <f>VLOOKUP(A829,'[1]Brand Family Territory (Enc)'!$A$2:$B$296,2,FALSE)</f>
        <v>Core Market</v>
      </c>
      <c r="D829" s="2">
        <f>IF(COUNTIFS('[1]Brand Family Territories (Enc)'!$B$2:$B$62,C829,'[1]Brand Family Territories (Enc)'!$C$2:$C$62,B829)&gt;0,1,IF(AND(LEFT(B829,6)="MORRIS",COUNTIFS('[1]Brand Family Territories (Enc)'!$B$2:$B$62,C829,'[1]Brand Family Territories (Enc)'!$C$2:$C$62,"Morri")&gt;0),"Unk",0))</f>
        <v>1</v>
      </c>
      <c r="E829" s="2" t="str">
        <f>IFERROR(INDEX('Blackout Brand Fam Areas (Enc)'!$D$6:$D$998,MATCH(UPPER(A829)&amp;"|"&amp;UPPER(B829),'Blackout Brand Fam Areas (Enc)'!$G$6:$G$998,0)),"No Match")</f>
        <v>No Match</v>
      </c>
      <c r="F829" s="2" t="str">
        <f t="shared" si="24"/>
        <v>US</v>
      </c>
      <c r="G829" s="2" t="str">
        <f t="shared" si="25"/>
        <v>Snow Beer|MORRIS 1</v>
      </c>
    </row>
    <row r="830" spans="1:7" x14ac:dyDescent="0.2">
      <c r="A830" s="2" t="str" cm="1">
        <f t="array" ref="A830">INDEX('[1]Brand Family Territory (Enc)'!$A$2:$A$296,INT((ROW()-2)/10)+1)</f>
        <v>Snow Beer</v>
      </c>
      <c r="B830" s="2" t="str" cm="1">
        <f t="array" ref="B830">INDEX('Whitelist (Blackout Reverse)'!$B$1:$K$1,MOD(ROW()-2,10)+1)</f>
        <v>MORRIS 2</v>
      </c>
      <c r="C830" s="2" t="str">
        <f>VLOOKUP(A830,'[1]Brand Family Territory (Enc)'!$A$2:$B$296,2,FALSE)</f>
        <v>Core Market</v>
      </c>
      <c r="D830" s="2">
        <f>IF(COUNTIFS('[1]Brand Family Territories (Enc)'!$B$2:$B$62,C830,'[1]Brand Family Territories (Enc)'!$C$2:$C$62,B830)&gt;0,1,IF(AND(LEFT(B830,6)="MORRIS",COUNTIFS('[1]Brand Family Territories (Enc)'!$B$2:$B$62,C830,'[1]Brand Family Territories (Enc)'!$C$2:$C$62,"Morri")&gt;0),"Unk",0))</f>
        <v>0</v>
      </c>
      <c r="E830" s="2" t="str">
        <f>IFERROR(INDEX('Blackout Brand Fam Areas (Enc)'!$D$6:$D$998,MATCH(UPPER(A830)&amp;"|"&amp;UPPER(B830),'Blackout Brand Fam Areas (Enc)'!$G$6:$G$998,0)),"No Match")</f>
        <v>Inactive</v>
      </c>
      <c r="F830" s="2" t="str">
        <f t="shared" si="24"/>
        <v>THEM</v>
      </c>
      <c r="G830" s="2" t="str">
        <f t="shared" si="25"/>
        <v>Snow Beer|MORRIS 2</v>
      </c>
    </row>
    <row r="831" spans="1:7" x14ac:dyDescent="0.2">
      <c r="A831" s="2" t="str" cm="1">
        <f t="array" ref="A831">INDEX('[1]Brand Family Territory (Enc)'!$A$2:$A$296,INT((ROW()-2)/10)+1)</f>
        <v>Snow Beer</v>
      </c>
      <c r="B831" s="2" t="str" cm="1">
        <f t="array" ref="B831">INDEX('Whitelist (Blackout Reverse)'!$B$1:$K$1,MOD(ROW()-2,10)+1)</f>
        <v>MORRIS 3</v>
      </c>
      <c r="C831" s="2" t="str">
        <f>VLOOKUP(A831,'[1]Brand Family Territory (Enc)'!$A$2:$B$296,2,FALSE)</f>
        <v>Core Market</v>
      </c>
      <c r="D831" s="2">
        <f>IF(COUNTIFS('[1]Brand Family Territories (Enc)'!$B$2:$B$62,C831,'[1]Brand Family Territories (Enc)'!$C$2:$C$62,B831)&gt;0,1,IF(AND(LEFT(B831,6)="MORRIS",COUNTIFS('[1]Brand Family Territories (Enc)'!$B$2:$B$62,C831,'[1]Brand Family Territories (Enc)'!$C$2:$C$62,"Morri")&gt;0),"Unk",0))</f>
        <v>1</v>
      </c>
      <c r="E831" s="2" t="str">
        <f>IFERROR(INDEX('Blackout Brand Fam Areas (Enc)'!$D$6:$D$998,MATCH(UPPER(A831)&amp;"|"&amp;UPPER(B831),'Blackout Brand Fam Areas (Enc)'!$G$6:$G$998,0)),"No Match")</f>
        <v>No Match</v>
      </c>
      <c r="F831" s="2" t="str">
        <f t="shared" si="24"/>
        <v>US</v>
      </c>
      <c r="G831" s="2" t="str">
        <f t="shared" si="25"/>
        <v>Snow Beer|MORRIS 3</v>
      </c>
    </row>
    <row r="832" spans="1:7" x14ac:dyDescent="0.2">
      <c r="A832" s="2" t="str" cm="1">
        <f t="array" ref="A832">INDEX('[1]Brand Family Territory (Enc)'!$A$2:$A$296,INT((ROW()-2)/10)+1)</f>
        <v>Sol</v>
      </c>
      <c r="B832" s="2" t="str" cm="1">
        <f t="array" ref="B832">INDEX('Whitelist (Blackout Reverse)'!$B$1:$K$1,MOD(ROW()-2,10)+1)</f>
        <v>BERGEN</v>
      </c>
      <c r="C832" s="2" t="str">
        <f>VLOOKUP(A832,'[1]Brand Family Territory (Enc)'!$A$2:$B$296,2,FALSE)</f>
        <v>Core Market</v>
      </c>
      <c r="D832" s="2">
        <f>IF(COUNTIFS('[1]Brand Family Territories (Enc)'!$B$2:$B$62,C832,'[1]Brand Family Territories (Enc)'!$C$2:$C$62,B832)&gt;0,1,IF(AND(LEFT(B832,6)="MORRIS",COUNTIFS('[1]Brand Family Territories (Enc)'!$B$2:$B$62,C832,'[1]Brand Family Territories (Enc)'!$C$2:$C$62,"Morri")&gt;0),"Unk",0))</f>
        <v>1</v>
      </c>
      <c r="E832" s="2" t="str">
        <f>IFERROR(INDEX('Blackout Brand Fam Areas (Enc)'!$D$6:$D$998,MATCH(UPPER(A832)&amp;"|"&amp;UPPER(B832),'Blackout Brand Fam Areas (Enc)'!$G$6:$G$998,0)),"No Match")</f>
        <v>No Match</v>
      </c>
      <c r="F832" s="2" t="str">
        <f t="shared" si="24"/>
        <v>US</v>
      </c>
      <c r="G832" s="2" t="str">
        <f t="shared" si="25"/>
        <v>Sol|BERGEN</v>
      </c>
    </row>
    <row r="833" spans="1:7" x14ac:dyDescent="0.2">
      <c r="A833" s="2" t="str" cm="1">
        <f t="array" ref="A833">INDEX('[1]Brand Family Territory (Enc)'!$A$2:$A$296,INT((ROW()-2)/10)+1)</f>
        <v>Sol</v>
      </c>
      <c r="B833" s="2" t="str" cm="1">
        <f t="array" ref="B833">INDEX('Whitelist (Blackout Reverse)'!$B$1:$K$1,MOD(ROW()-2,10)+1)</f>
        <v>PASSAIC</v>
      </c>
      <c r="C833" s="2" t="str">
        <f>VLOOKUP(A833,'[1]Brand Family Territory (Enc)'!$A$2:$B$296,2,FALSE)</f>
        <v>Core Market</v>
      </c>
      <c r="D833" s="2">
        <f>IF(COUNTIFS('[1]Brand Family Territories (Enc)'!$B$2:$B$62,C833,'[1]Brand Family Territories (Enc)'!$C$2:$C$62,B833)&gt;0,1,IF(AND(LEFT(B833,6)="MORRIS",COUNTIFS('[1]Brand Family Territories (Enc)'!$B$2:$B$62,C833,'[1]Brand Family Territories (Enc)'!$C$2:$C$62,"Morri")&gt;0),"Unk",0))</f>
        <v>1</v>
      </c>
      <c r="E833" s="2" t="str">
        <f>IFERROR(INDEX('Blackout Brand Fam Areas (Enc)'!$D$6:$D$998,MATCH(UPPER(A833)&amp;"|"&amp;UPPER(B833),'Blackout Brand Fam Areas (Enc)'!$G$6:$G$998,0)),"No Match")</f>
        <v>No Match</v>
      </c>
      <c r="F833" s="2" t="str">
        <f t="shared" si="24"/>
        <v>US</v>
      </c>
      <c r="G833" s="2" t="str">
        <f t="shared" si="25"/>
        <v>Sol|PASSAIC</v>
      </c>
    </row>
    <row r="834" spans="1:7" x14ac:dyDescent="0.2">
      <c r="A834" s="2" t="str" cm="1">
        <f t="array" ref="A834">INDEX('[1]Brand Family Territory (Enc)'!$A$2:$A$296,INT((ROW()-2)/10)+1)</f>
        <v>Sol</v>
      </c>
      <c r="B834" s="2" t="str" cm="1">
        <f t="array" ref="B834">INDEX('Whitelist (Blackout Reverse)'!$B$1:$K$1,MOD(ROW()-2,10)+1)</f>
        <v>PASSAIC-FF</v>
      </c>
      <c r="C834" s="2" t="str">
        <f>VLOOKUP(A834,'[1]Brand Family Territory (Enc)'!$A$2:$B$296,2,FALSE)</f>
        <v>Core Market</v>
      </c>
      <c r="D834" s="2">
        <f>IF(COUNTIFS('[1]Brand Family Territories (Enc)'!$B$2:$B$62,C834,'[1]Brand Family Territories (Enc)'!$C$2:$C$62,B834)&gt;0,1,IF(AND(LEFT(B834,6)="MORRIS",COUNTIFS('[1]Brand Family Territories (Enc)'!$B$2:$B$62,C834,'[1]Brand Family Territories (Enc)'!$C$2:$C$62,"Morri")&gt;0),"Unk",0))</f>
        <v>1</v>
      </c>
      <c r="E834" s="2" t="str">
        <f>IFERROR(INDEX('Blackout Brand Fam Areas (Enc)'!$D$6:$D$998,MATCH(UPPER(A834)&amp;"|"&amp;UPPER(B834),'Blackout Brand Fam Areas (Enc)'!$G$6:$G$998,0)),"No Match")</f>
        <v>No Match</v>
      </c>
      <c r="F834" s="2" t="str">
        <f t="shared" si="24"/>
        <v>US</v>
      </c>
      <c r="G834" s="2" t="str">
        <f t="shared" si="25"/>
        <v>Sol|PASSAIC-FF</v>
      </c>
    </row>
    <row r="835" spans="1:7" x14ac:dyDescent="0.2">
      <c r="A835" s="2" t="str" cm="1">
        <f t="array" ref="A835">INDEX('[1]Brand Family Territory (Enc)'!$A$2:$A$296,INT((ROW()-2)/10)+1)</f>
        <v>Sol</v>
      </c>
      <c r="B835" s="2" t="str" cm="1">
        <f t="array" ref="B835">INDEX('Whitelist (Blackout Reverse)'!$B$1:$K$1,MOD(ROW()-2,10)+1)</f>
        <v>ESSEX</v>
      </c>
      <c r="C835" s="2" t="str">
        <f>VLOOKUP(A835,'[1]Brand Family Territory (Enc)'!$A$2:$B$296,2,FALSE)</f>
        <v>Core Market</v>
      </c>
      <c r="D835" s="2">
        <f>IF(COUNTIFS('[1]Brand Family Territories (Enc)'!$B$2:$B$62,C835,'[1]Brand Family Territories (Enc)'!$C$2:$C$62,B835)&gt;0,1,IF(AND(LEFT(B835,6)="MORRIS",COUNTIFS('[1]Brand Family Territories (Enc)'!$B$2:$B$62,C835,'[1]Brand Family Territories (Enc)'!$C$2:$C$62,"Morri")&gt;0),"Unk",0))</f>
        <v>0</v>
      </c>
      <c r="E835" s="2" t="str">
        <f>IFERROR(INDEX('Blackout Brand Fam Areas (Enc)'!$D$6:$D$998,MATCH(UPPER(A835)&amp;"|"&amp;UPPER(B835),'Blackout Brand Fam Areas (Enc)'!$G$6:$G$998,0)),"No Match")</f>
        <v>Inactive</v>
      </c>
      <c r="F835" s="2" t="str">
        <f t="shared" ref="F835:F898" si="26">IF(D835="Unk","Ambiguous (Source Truncated)",IF(E835="Inactive","THEM",IF(D835=1,"US",IF(D835="N/A","No Territory Data","THEM"))))</f>
        <v>THEM</v>
      </c>
      <c r="G835" s="2" t="str">
        <f t="shared" ref="G835:G898" si="27">A835&amp;"|"&amp;B835</f>
        <v>Sol|ESSEX</v>
      </c>
    </row>
    <row r="836" spans="1:7" x14ac:dyDescent="0.2">
      <c r="A836" s="2" t="str" cm="1">
        <f t="array" ref="A836">INDEX('[1]Brand Family Territory (Enc)'!$A$2:$A$296,INT((ROW()-2)/10)+1)</f>
        <v>Sol</v>
      </c>
      <c r="B836" s="2" t="str" cm="1">
        <f t="array" ref="B836">INDEX('Whitelist (Blackout Reverse)'!$B$1:$K$1,MOD(ROW()-2,10)+1)</f>
        <v>HUDSON</v>
      </c>
      <c r="C836" s="2" t="str">
        <f>VLOOKUP(A836,'[1]Brand Family Territory (Enc)'!$A$2:$B$296,2,FALSE)</f>
        <v>Core Market</v>
      </c>
      <c r="D836" s="2">
        <f>IF(COUNTIFS('[1]Brand Family Territories (Enc)'!$B$2:$B$62,C836,'[1]Brand Family Territories (Enc)'!$C$2:$C$62,B836)&gt;0,1,IF(AND(LEFT(B836,6)="MORRIS",COUNTIFS('[1]Brand Family Territories (Enc)'!$B$2:$B$62,C836,'[1]Brand Family Territories (Enc)'!$C$2:$C$62,"Morri")&gt;0),"Unk",0))</f>
        <v>0</v>
      </c>
      <c r="E836" s="2" t="str">
        <f>IFERROR(INDEX('Blackout Brand Fam Areas (Enc)'!$D$6:$D$998,MATCH(UPPER(A836)&amp;"|"&amp;UPPER(B836),'Blackout Brand Fam Areas (Enc)'!$G$6:$G$998,0)),"No Match")</f>
        <v>Inactive</v>
      </c>
      <c r="F836" s="2" t="str">
        <f t="shared" si="26"/>
        <v>THEM</v>
      </c>
      <c r="G836" s="2" t="str">
        <f t="shared" si="27"/>
        <v>Sol|HUDSON</v>
      </c>
    </row>
    <row r="837" spans="1:7" x14ac:dyDescent="0.2">
      <c r="A837" s="2" t="str" cm="1">
        <f t="array" ref="A837">INDEX('[1]Brand Family Territory (Enc)'!$A$2:$A$296,INT((ROW()-2)/10)+1)</f>
        <v>Sol</v>
      </c>
      <c r="B837" s="2" t="str" cm="1">
        <f t="array" ref="B837">INDEX('Whitelist (Blackout Reverse)'!$B$1:$K$1,MOD(ROW()-2,10)+1)</f>
        <v>UNION</v>
      </c>
      <c r="C837" s="2" t="str">
        <f>VLOOKUP(A837,'[1]Brand Family Territory (Enc)'!$A$2:$B$296,2,FALSE)</f>
        <v>Core Market</v>
      </c>
      <c r="D837" s="2">
        <f>IF(COUNTIFS('[1]Brand Family Territories (Enc)'!$B$2:$B$62,C837,'[1]Brand Family Territories (Enc)'!$C$2:$C$62,B837)&gt;0,1,IF(AND(LEFT(B837,6)="MORRIS",COUNTIFS('[1]Brand Family Territories (Enc)'!$B$2:$B$62,C837,'[1]Brand Family Territories (Enc)'!$C$2:$C$62,"Morri")&gt;0),"Unk",0))</f>
        <v>0</v>
      </c>
      <c r="E837" s="2" t="str">
        <f>IFERROR(INDEX('Blackout Brand Fam Areas (Enc)'!$D$6:$D$998,MATCH(UPPER(A837)&amp;"|"&amp;UPPER(B837),'Blackout Brand Fam Areas (Enc)'!$G$6:$G$998,0)),"No Match")</f>
        <v>Inactive</v>
      </c>
      <c r="F837" s="2" t="str">
        <f t="shared" si="26"/>
        <v>THEM</v>
      </c>
      <c r="G837" s="2" t="str">
        <f t="shared" si="27"/>
        <v>Sol|UNION</v>
      </c>
    </row>
    <row r="838" spans="1:7" x14ac:dyDescent="0.2">
      <c r="A838" s="2" t="str" cm="1">
        <f t="array" ref="A838">INDEX('[1]Brand Family Territory (Enc)'!$A$2:$A$296,INT((ROW()-2)/10)+1)</f>
        <v>Sol</v>
      </c>
      <c r="B838" s="2" t="str" cm="1">
        <f t="array" ref="B838">INDEX('Whitelist (Blackout Reverse)'!$B$1:$K$1,MOD(ROW()-2,10)+1)</f>
        <v>SUSSEX</v>
      </c>
      <c r="C838" s="2" t="str">
        <f>VLOOKUP(A838,'[1]Brand Family Territory (Enc)'!$A$2:$B$296,2,FALSE)</f>
        <v>Core Market</v>
      </c>
      <c r="D838" s="2">
        <f>IF(COUNTIFS('[1]Brand Family Territories (Enc)'!$B$2:$B$62,C838,'[1]Brand Family Territories (Enc)'!$C$2:$C$62,B838)&gt;0,1,IF(AND(LEFT(B838,6)="MORRIS",COUNTIFS('[1]Brand Family Territories (Enc)'!$B$2:$B$62,C838,'[1]Brand Family Territories (Enc)'!$C$2:$C$62,"Morri")&gt;0),"Unk",0))</f>
        <v>1</v>
      </c>
      <c r="E838" s="2" t="str">
        <f>IFERROR(INDEX('Blackout Brand Fam Areas (Enc)'!$D$6:$D$998,MATCH(UPPER(A838)&amp;"|"&amp;UPPER(B838),'Blackout Brand Fam Areas (Enc)'!$G$6:$G$998,0)),"No Match")</f>
        <v>No Match</v>
      </c>
      <c r="F838" s="2" t="str">
        <f t="shared" si="26"/>
        <v>US</v>
      </c>
      <c r="G838" s="2" t="str">
        <f t="shared" si="27"/>
        <v>Sol|SUSSEX</v>
      </c>
    </row>
    <row r="839" spans="1:7" x14ac:dyDescent="0.2">
      <c r="A839" s="2" t="str" cm="1">
        <f t="array" ref="A839">INDEX('[1]Brand Family Territory (Enc)'!$A$2:$A$296,INT((ROW()-2)/10)+1)</f>
        <v>Sol</v>
      </c>
      <c r="B839" s="2" t="str" cm="1">
        <f t="array" ref="B839">INDEX('Whitelist (Blackout Reverse)'!$B$1:$K$1,MOD(ROW()-2,10)+1)</f>
        <v>MORRIS 1</v>
      </c>
      <c r="C839" s="2" t="str">
        <f>VLOOKUP(A839,'[1]Brand Family Territory (Enc)'!$A$2:$B$296,2,FALSE)</f>
        <v>Core Market</v>
      </c>
      <c r="D839" s="2">
        <f>IF(COUNTIFS('[1]Brand Family Territories (Enc)'!$B$2:$B$62,C839,'[1]Brand Family Territories (Enc)'!$C$2:$C$62,B839)&gt;0,1,IF(AND(LEFT(B839,6)="MORRIS",COUNTIFS('[1]Brand Family Territories (Enc)'!$B$2:$B$62,C839,'[1]Brand Family Territories (Enc)'!$C$2:$C$62,"Morri")&gt;0),"Unk",0))</f>
        <v>1</v>
      </c>
      <c r="E839" s="2" t="str">
        <f>IFERROR(INDEX('Blackout Brand Fam Areas (Enc)'!$D$6:$D$998,MATCH(UPPER(A839)&amp;"|"&amp;UPPER(B839),'Blackout Brand Fam Areas (Enc)'!$G$6:$G$998,0)),"No Match")</f>
        <v>No Match</v>
      </c>
      <c r="F839" s="2" t="str">
        <f t="shared" si="26"/>
        <v>US</v>
      </c>
      <c r="G839" s="2" t="str">
        <f t="shared" si="27"/>
        <v>Sol|MORRIS 1</v>
      </c>
    </row>
    <row r="840" spans="1:7" x14ac:dyDescent="0.2">
      <c r="A840" s="2" t="str" cm="1">
        <f t="array" ref="A840">INDEX('[1]Brand Family Territory (Enc)'!$A$2:$A$296,INT((ROW()-2)/10)+1)</f>
        <v>Sol</v>
      </c>
      <c r="B840" s="2" t="str" cm="1">
        <f t="array" ref="B840">INDEX('Whitelist (Blackout Reverse)'!$B$1:$K$1,MOD(ROW()-2,10)+1)</f>
        <v>MORRIS 2</v>
      </c>
      <c r="C840" s="2" t="str">
        <f>VLOOKUP(A840,'[1]Brand Family Territory (Enc)'!$A$2:$B$296,2,FALSE)</f>
        <v>Core Market</v>
      </c>
      <c r="D840" s="2">
        <f>IF(COUNTIFS('[1]Brand Family Territories (Enc)'!$B$2:$B$62,C840,'[1]Brand Family Territories (Enc)'!$C$2:$C$62,B840)&gt;0,1,IF(AND(LEFT(B840,6)="MORRIS",COUNTIFS('[1]Brand Family Territories (Enc)'!$B$2:$B$62,C840,'[1]Brand Family Territories (Enc)'!$C$2:$C$62,"Morri")&gt;0),"Unk",0))</f>
        <v>0</v>
      </c>
      <c r="E840" s="2" t="str">
        <f>IFERROR(INDEX('Blackout Brand Fam Areas (Enc)'!$D$6:$D$998,MATCH(UPPER(A840)&amp;"|"&amp;UPPER(B840),'Blackout Brand Fam Areas (Enc)'!$G$6:$G$998,0)),"No Match")</f>
        <v>Inactive</v>
      </c>
      <c r="F840" s="2" t="str">
        <f t="shared" si="26"/>
        <v>THEM</v>
      </c>
      <c r="G840" s="2" t="str">
        <f t="shared" si="27"/>
        <v>Sol|MORRIS 2</v>
      </c>
    </row>
    <row r="841" spans="1:7" x14ac:dyDescent="0.2">
      <c r="A841" s="2" t="str" cm="1">
        <f t="array" ref="A841">INDEX('[1]Brand Family Territory (Enc)'!$A$2:$A$296,INT((ROW()-2)/10)+1)</f>
        <v>Sol</v>
      </c>
      <c r="B841" s="2" t="str" cm="1">
        <f t="array" ref="B841">INDEX('Whitelist (Blackout Reverse)'!$B$1:$K$1,MOD(ROW()-2,10)+1)</f>
        <v>MORRIS 3</v>
      </c>
      <c r="C841" s="2" t="str">
        <f>VLOOKUP(A841,'[1]Brand Family Territory (Enc)'!$A$2:$B$296,2,FALSE)</f>
        <v>Core Market</v>
      </c>
      <c r="D841" s="2">
        <f>IF(COUNTIFS('[1]Brand Family Territories (Enc)'!$B$2:$B$62,C841,'[1]Brand Family Territories (Enc)'!$C$2:$C$62,B841)&gt;0,1,IF(AND(LEFT(B841,6)="MORRIS",COUNTIFS('[1]Brand Family Territories (Enc)'!$B$2:$B$62,C841,'[1]Brand Family Territories (Enc)'!$C$2:$C$62,"Morri")&gt;0),"Unk",0))</f>
        <v>1</v>
      </c>
      <c r="E841" s="2" t="str">
        <f>IFERROR(INDEX('Blackout Brand Fam Areas (Enc)'!$D$6:$D$998,MATCH(UPPER(A841)&amp;"|"&amp;UPPER(B841),'Blackout Brand Fam Areas (Enc)'!$G$6:$G$998,0)),"No Match")</f>
        <v>No Match</v>
      </c>
      <c r="F841" s="2" t="str">
        <f t="shared" si="26"/>
        <v>US</v>
      </c>
      <c r="G841" s="2" t="str">
        <f t="shared" si="27"/>
        <v>Sol|MORRIS 3</v>
      </c>
    </row>
    <row r="842" spans="1:7" x14ac:dyDescent="0.2">
      <c r="A842" s="2" t="str" cm="1">
        <f t="array" ref="A842">INDEX('[1]Brand Family Territory (Enc)'!$A$2:$A$296,INT((ROW()-2)/10)+1)</f>
        <v>Steel Reserve</v>
      </c>
      <c r="B842" s="2" t="str" cm="1">
        <f t="array" ref="B842">INDEX('Whitelist (Blackout Reverse)'!$B$1:$K$1,MOD(ROW()-2,10)+1)</f>
        <v>BERGEN</v>
      </c>
      <c r="C842" s="2" t="str">
        <f>VLOOKUP(A842,'[1]Brand Family Territory (Enc)'!$A$2:$B$296,2,FALSE)</f>
        <v>Core Market</v>
      </c>
      <c r="D842" s="2">
        <f>IF(COUNTIFS('[1]Brand Family Territories (Enc)'!$B$2:$B$62,C842,'[1]Brand Family Territories (Enc)'!$C$2:$C$62,B842)&gt;0,1,IF(AND(LEFT(B842,6)="MORRIS",COUNTIFS('[1]Brand Family Territories (Enc)'!$B$2:$B$62,C842,'[1]Brand Family Territories (Enc)'!$C$2:$C$62,"Morri")&gt;0),"Unk",0))</f>
        <v>1</v>
      </c>
      <c r="E842" s="2" t="str">
        <f>IFERROR(INDEX('Blackout Brand Fam Areas (Enc)'!$D$6:$D$998,MATCH(UPPER(A842)&amp;"|"&amp;UPPER(B842),'Blackout Brand Fam Areas (Enc)'!$G$6:$G$998,0)),"No Match")</f>
        <v>No Match</v>
      </c>
      <c r="F842" s="2" t="str">
        <f t="shared" si="26"/>
        <v>US</v>
      </c>
      <c r="G842" s="2" t="str">
        <f t="shared" si="27"/>
        <v>Steel Reserve|BERGEN</v>
      </c>
    </row>
    <row r="843" spans="1:7" x14ac:dyDescent="0.2">
      <c r="A843" s="2" t="str" cm="1">
        <f t="array" ref="A843">INDEX('[1]Brand Family Territory (Enc)'!$A$2:$A$296,INT((ROW()-2)/10)+1)</f>
        <v>Steel Reserve</v>
      </c>
      <c r="B843" s="2" t="str" cm="1">
        <f t="array" ref="B843">INDEX('Whitelist (Blackout Reverse)'!$B$1:$K$1,MOD(ROW()-2,10)+1)</f>
        <v>PASSAIC</v>
      </c>
      <c r="C843" s="2" t="str">
        <f>VLOOKUP(A843,'[1]Brand Family Territory (Enc)'!$A$2:$B$296,2,FALSE)</f>
        <v>Core Market</v>
      </c>
      <c r="D843" s="2">
        <f>IF(COUNTIFS('[1]Brand Family Territories (Enc)'!$B$2:$B$62,C843,'[1]Brand Family Territories (Enc)'!$C$2:$C$62,B843)&gt;0,1,IF(AND(LEFT(B843,6)="MORRIS",COUNTIFS('[1]Brand Family Territories (Enc)'!$B$2:$B$62,C843,'[1]Brand Family Territories (Enc)'!$C$2:$C$62,"Morri")&gt;0),"Unk",0))</f>
        <v>1</v>
      </c>
      <c r="E843" s="2" t="str">
        <f>IFERROR(INDEX('Blackout Brand Fam Areas (Enc)'!$D$6:$D$998,MATCH(UPPER(A843)&amp;"|"&amp;UPPER(B843),'Blackout Brand Fam Areas (Enc)'!$G$6:$G$998,0)),"No Match")</f>
        <v>No Match</v>
      </c>
      <c r="F843" s="2" t="str">
        <f t="shared" si="26"/>
        <v>US</v>
      </c>
      <c r="G843" s="2" t="str">
        <f t="shared" si="27"/>
        <v>Steel Reserve|PASSAIC</v>
      </c>
    </row>
    <row r="844" spans="1:7" x14ac:dyDescent="0.2">
      <c r="A844" s="2" t="str" cm="1">
        <f t="array" ref="A844">INDEX('[1]Brand Family Territory (Enc)'!$A$2:$A$296,INT((ROW()-2)/10)+1)</f>
        <v>Steel Reserve</v>
      </c>
      <c r="B844" s="2" t="str" cm="1">
        <f t="array" ref="B844">INDEX('Whitelist (Blackout Reverse)'!$B$1:$K$1,MOD(ROW()-2,10)+1)</f>
        <v>PASSAIC-FF</v>
      </c>
      <c r="C844" s="2" t="str">
        <f>VLOOKUP(A844,'[1]Brand Family Territory (Enc)'!$A$2:$B$296,2,FALSE)</f>
        <v>Core Market</v>
      </c>
      <c r="D844" s="2">
        <f>IF(COUNTIFS('[1]Brand Family Territories (Enc)'!$B$2:$B$62,C844,'[1]Brand Family Territories (Enc)'!$C$2:$C$62,B844)&gt;0,1,IF(AND(LEFT(B844,6)="MORRIS",COUNTIFS('[1]Brand Family Territories (Enc)'!$B$2:$B$62,C844,'[1]Brand Family Territories (Enc)'!$C$2:$C$62,"Morri")&gt;0),"Unk",0))</f>
        <v>1</v>
      </c>
      <c r="E844" s="2" t="str">
        <f>IFERROR(INDEX('Blackout Brand Fam Areas (Enc)'!$D$6:$D$998,MATCH(UPPER(A844)&amp;"|"&amp;UPPER(B844),'Blackout Brand Fam Areas (Enc)'!$G$6:$G$998,0)),"No Match")</f>
        <v>No Match</v>
      </c>
      <c r="F844" s="2" t="str">
        <f t="shared" si="26"/>
        <v>US</v>
      </c>
      <c r="G844" s="2" t="str">
        <f t="shared" si="27"/>
        <v>Steel Reserve|PASSAIC-FF</v>
      </c>
    </row>
    <row r="845" spans="1:7" x14ac:dyDescent="0.2">
      <c r="A845" s="2" t="str" cm="1">
        <f t="array" ref="A845">INDEX('[1]Brand Family Territory (Enc)'!$A$2:$A$296,INT((ROW()-2)/10)+1)</f>
        <v>Steel Reserve</v>
      </c>
      <c r="B845" s="2" t="str" cm="1">
        <f t="array" ref="B845">INDEX('Whitelist (Blackout Reverse)'!$B$1:$K$1,MOD(ROW()-2,10)+1)</f>
        <v>ESSEX</v>
      </c>
      <c r="C845" s="2" t="str">
        <f>VLOOKUP(A845,'[1]Brand Family Territory (Enc)'!$A$2:$B$296,2,FALSE)</f>
        <v>Core Market</v>
      </c>
      <c r="D845" s="2">
        <f>IF(COUNTIFS('[1]Brand Family Territories (Enc)'!$B$2:$B$62,C845,'[1]Brand Family Territories (Enc)'!$C$2:$C$62,B845)&gt;0,1,IF(AND(LEFT(B845,6)="MORRIS",COUNTIFS('[1]Brand Family Territories (Enc)'!$B$2:$B$62,C845,'[1]Brand Family Territories (Enc)'!$C$2:$C$62,"Morri")&gt;0),"Unk",0))</f>
        <v>0</v>
      </c>
      <c r="E845" s="2" t="str">
        <f>IFERROR(INDEX('Blackout Brand Fam Areas (Enc)'!$D$6:$D$998,MATCH(UPPER(A845)&amp;"|"&amp;UPPER(B845),'Blackout Brand Fam Areas (Enc)'!$G$6:$G$998,0)),"No Match")</f>
        <v>Inactive</v>
      </c>
      <c r="F845" s="2" t="str">
        <f t="shared" si="26"/>
        <v>THEM</v>
      </c>
      <c r="G845" s="2" t="str">
        <f t="shared" si="27"/>
        <v>Steel Reserve|ESSEX</v>
      </c>
    </row>
    <row r="846" spans="1:7" x14ac:dyDescent="0.2">
      <c r="A846" s="2" t="str" cm="1">
        <f t="array" ref="A846">INDEX('[1]Brand Family Territory (Enc)'!$A$2:$A$296,INT((ROW()-2)/10)+1)</f>
        <v>Steel Reserve</v>
      </c>
      <c r="B846" s="2" t="str" cm="1">
        <f t="array" ref="B846">INDEX('Whitelist (Blackout Reverse)'!$B$1:$K$1,MOD(ROW()-2,10)+1)</f>
        <v>HUDSON</v>
      </c>
      <c r="C846" s="2" t="str">
        <f>VLOOKUP(A846,'[1]Brand Family Territory (Enc)'!$A$2:$B$296,2,FALSE)</f>
        <v>Core Market</v>
      </c>
      <c r="D846" s="2">
        <f>IF(COUNTIFS('[1]Brand Family Territories (Enc)'!$B$2:$B$62,C846,'[1]Brand Family Territories (Enc)'!$C$2:$C$62,B846)&gt;0,1,IF(AND(LEFT(B846,6)="MORRIS",COUNTIFS('[1]Brand Family Territories (Enc)'!$B$2:$B$62,C846,'[1]Brand Family Territories (Enc)'!$C$2:$C$62,"Morri")&gt;0),"Unk",0))</f>
        <v>0</v>
      </c>
      <c r="E846" s="2" t="str">
        <f>IFERROR(INDEX('Blackout Brand Fam Areas (Enc)'!$D$6:$D$998,MATCH(UPPER(A846)&amp;"|"&amp;UPPER(B846),'Blackout Brand Fam Areas (Enc)'!$G$6:$G$998,0)),"No Match")</f>
        <v>Inactive</v>
      </c>
      <c r="F846" s="2" t="str">
        <f t="shared" si="26"/>
        <v>THEM</v>
      </c>
      <c r="G846" s="2" t="str">
        <f t="shared" si="27"/>
        <v>Steel Reserve|HUDSON</v>
      </c>
    </row>
    <row r="847" spans="1:7" x14ac:dyDescent="0.2">
      <c r="A847" s="2" t="str" cm="1">
        <f t="array" ref="A847">INDEX('[1]Brand Family Territory (Enc)'!$A$2:$A$296,INT((ROW()-2)/10)+1)</f>
        <v>Steel Reserve</v>
      </c>
      <c r="B847" s="2" t="str" cm="1">
        <f t="array" ref="B847">INDEX('Whitelist (Blackout Reverse)'!$B$1:$K$1,MOD(ROW()-2,10)+1)</f>
        <v>UNION</v>
      </c>
      <c r="C847" s="2" t="str">
        <f>VLOOKUP(A847,'[1]Brand Family Territory (Enc)'!$A$2:$B$296,2,FALSE)</f>
        <v>Core Market</v>
      </c>
      <c r="D847" s="2">
        <f>IF(COUNTIFS('[1]Brand Family Territories (Enc)'!$B$2:$B$62,C847,'[1]Brand Family Territories (Enc)'!$C$2:$C$62,B847)&gt;0,1,IF(AND(LEFT(B847,6)="MORRIS",COUNTIFS('[1]Brand Family Territories (Enc)'!$B$2:$B$62,C847,'[1]Brand Family Territories (Enc)'!$C$2:$C$62,"Morri")&gt;0),"Unk",0))</f>
        <v>0</v>
      </c>
      <c r="E847" s="2" t="str">
        <f>IFERROR(INDEX('Blackout Brand Fam Areas (Enc)'!$D$6:$D$998,MATCH(UPPER(A847)&amp;"|"&amp;UPPER(B847),'Blackout Brand Fam Areas (Enc)'!$G$6:$G$998,0)),"No Match")</f>
        <v>Inactive</v>
      </c>
      <c r="F847" s="2" t="str">
        <f t="shared" si="26"/>
        <v>THEM</v>
      </c>
      <c r="G847" s="2" t="str">
        <f t="shared" si="27"/>
        <v>Steel Reserve|UNION</v>
      </c>
    </row>
    <row r="848" spans="1:7" x14ac:dyDescent="0.2">
      <c r="A848" s="2" t="str" cm="1">
        <f t="array" ref="A848">INDEX('[1]Brand Family Territory (Enc)'!$A$2:$A$296,INT((ROW()-2)/10)+1)</f>
        <v>Steel Reserve</v>
      </c>
      <c r="B848" s="2" t="str" cm="1">
        <f t="array" ref="B848">INDEX('Whitelist (Blackout Reverse)'!$B$1:$K$1,MOD(ROW()-2,10)+1)</f>
        <v>SUSSEX</v>
      </c>
      <c r="C848" s="2" t="str">
        <f>VLOOKUP(A848,'[1]Brand Family Territory (Enc)'!$A$2:$B$296,2,FALSE)</f>
        <v>Core Market</v>
      </c>
      <c r="D848" s="2">
        <f>IF(COUNTIFS('[1]Brand Family Territories (Enc)'!$B$2:$B$62,C848,'[1]Brand Family Territories (Enc)'!$C$2:$C$62,B848)&gt;0,1,IF(AND(LEFT(B848,6)="MORRIS",COUNTIFS('[1]Brand Family Territories (Enc)'!$B$2:$B$62,C848,'[1]Brand Family Territories (Enc)'!$C$2:$C$62,"Morri")&gt;0),"Unk",0))</f>
        <v>1</v>
      </c>
      <c r="E848" s="2" t="str">
        <f>IFERROR(INDEX('Blackout Brand Fam Areas (Enc)'!$D$6:$D$998,MATCH(UPPER(A848)&amp;"|"&amp;UPPER(B848),'Blackout Brand Fam Areas (Enc)'!$G$6:$G$998,0)),"No Match")</f>
        <v>No Match</v>
      </c>
      <c r="F848" s="2" t="str">
        <f t="shared" si="26"/>
        <v>US</v>
      </c>
      <c r="G848" s="2" t="str">
        <f t="shared" si="27"/>
        <v>Steel Reserve|SUSSEX</v>
      </c>
    </row>
    <row r="849" spans="1:7" x14ac:dyDescent="0.2">
      <c r="A849" s="2" t="str" cm="1">
        <f t="array" ref="A849">INDEX('[1]Brand Family Territory (Enc)'!$A$2:$A$296,INT((ROW()-2)/10)+1)</f>
        <v>Steel Reserve</v>
      </c>
      <c r="B849" s="2" t="str" cm="1">
        <f t="array" ref="B849">INDEX('Whitelist (Blackout Reverse)'!$B$1:$K$1,MOD(ROW()-2,10)+1)</f>
        <v>MORRIS 1</v>
      </c>
      <c r="C849" s="2" t="str">
        <f>VLOOKUP(A849,'[1]Brand Family Territory (Enc)'!$A$2:$B$296,2,FALSE)</f>
        <v>Core Market</v>
      </c>
      <c r="D849" s="2">
        <f>IF(COUNTIFS('[1]Brand Family Territories (Enc)'!$B$2:$B$62,C849,'[1]Brand Family Territories (Enc)'!$C$2:$C$62,B849)&gt;0,1,IF(AND(LEFT(B849,6)="MORRIS",COUNTIFS('[1]Brand Family Territories (Enc)'!$B$2:$B$62,C849,'[1]Brand Family Territories (Enc)'!$C$2:$C$62,"Morri")&gt;0),"Unk",0))</f>
        <v>1</v>
      </c>
      <c r="E849" s="2" t="str">
        <f>IFERROR(INDEX('Blackout Brand Fam Areas (Enc)'!$D$6:$D$998,MATCH(UPPER(A849)&amp;"|"&amp;UPPER(B849),'Blackout Brand Fam Areas (Enc)'!$G$6:$G$998,0)),"No Match")</f>
        <v>No Match</v>
      </c>
      <c r="F849" s="2" t="str">
        <f t="shared" si="26"/>
        <v>US</v>
      </c>
      <c r="G849" s="2" t="str">
        <f t="shared" si="27"/>
        <v>Steel Reserve|MORRIS 1</v>
      </c>
    </row>
    <row r="850" spans="1:7" x14ac:dyDescent="0.2">
      <c r="A850" s="2" t="str" cm="1">
        <f t="array" ref="A850">INDEX('[1]Brand Family Territory (Enc)'!$A$2:$A$296,INT((ROW()-2)/10)+1)</f>
        <v>Steel Reserve</v>
      </c>
      <c r="B850" s="2" t="str" cm="1">
        <f t="array" ref="B850">INDEX('Whitelist (Blackout Reverse)'!$B$1:$K$1,MOD(ROW()-2,10)+1)</f>
        <v>MORRIS 2</v>
      </c>
      <c r="C850" s="2" t="str">
        <f>VLOOKUP(A850,'[1]Brand Family Territory (Enc)'!$A$2:$B$296,2,FALSE)</f>
        <v>Core Market</v>
      </c>
      <c r="D850" s="2">
        <f>IF(COUNTIFS('[1]Brand Family Territories (Enc)'!$B$2:$B$62,C850,'[1]Brand Family Territories (Enc)'!$C$2:$C$62,B850)&gt;0,1,IF(AND(LEFT(B850,6)="MORRIS",COUNTIFS('[1]Brand Family Territories (Enc)'!$B$2:$B$62,C850,'[1]Brand Family Territories (Enc)'!$C$2:$C$62,"Morri")&gt;0),"Unk",0))</f>
        <v>0</v>
      </c>
      <c r="E850" s="2" t="str">
        <f>IFERROR(INDEX('Blackout Brand Fam Areas (Enc)'!$D$6:$D$998,MATCH(UPPER(A850)&amp;"|"&amp;UPPER(B850),'Blackout Brand Fam Areas (Enc)'!$G$6:$G$998,0)),"No Match")</f>
        <v>Inactive</v>
      </c>
      <c r="F850" s="2" t="str">
        <f t="shared" si="26"/>
        <v>THEM</v>
      </c>
      <c r="G850" s="2" t="str">
        <f t="shared" si="27"/>
        <v>Steel Reserve|MORRIS 2</v>
      </c>
    </row>
    <row r="851" spans="1:7" x14ac:dyDescent="0.2">
      <c r="A851" s="2" t="str" cm="1">
        <f t="array" ref="A851">INDEX('[1]Brand Family Territory (Enc)'!$A$2:$A$296,INT((ROW()-2)/10)+1)</f>
        <v>Steel Reserve</v>
      </c>
      <c r="B851" s="2" t="str" cm="1">
        <f t="array" ref="B851">INDEX('Whitelist (Blackout Reverse)'!$B$1:$K$1,MOD(ROW()-2,10)+1)</f>
        <v>MORRIS 3</v>
      </c>
      <c r="C851" s="2" t="str">
        <f>VLOOKUP(A851,'[1]Brand Family Territory (Enc)'!$A$2:$B$296,2,FALSE)</f>
        <v>Core Market</v>
      </c>
      <c r="D851" s="2">
        <f>IF(COUNTIFS('[1]Brand Family Territories (Enc)'!$B$2:$B$62,C851,'[1]Brand Family Territories (Enc)'!$C$2:$C$62,B851)&gt;0,1,IF(AND(LEFT(B851,6)="MORRIS",COUNTIFS('[1]Brand Family Territories (Enc)'!$B$2:$B$62,C851,'[1]Brand Family Territories (Enc)'!$C$2:$C$62,"Morri")&gt;0),"Unk",0))</f>
        <v>1</v>
      </c>
      <c r="E851" s="2" t="str">
        <f>IFERROR(INDEX('Blackout Brand Fam Areas (Enc)'!$D$6:$D$998,MATCH(UPPER(A851)&amp;"|"&amp;UPPER(B851),'Blackout Brand Fam Areas (Enc)'!$G$6:$G$998,0)),"No Match")</f>
        <v>No Match</v>
      </c>
      <c r="F851" s="2" t="str">
        <f t="shared" si="26"/>
        <v>US</v>
      </c>
      <c r="G851" s="2" t="str">
        <f t="shared" si="27"/>
        <v>Steel Reserve|MORRIS 3</v>
      </c>
    </row>
    <row r="852" spans="1:7" x14ac:dyDescent="0.2">
      <c r="A852" s="2" t="str" cm="1">
        <f t="array" ref="A852">INDEX('[1]Brand Family Territory (Enc)'!$A$2:$A$296,INT((ROW()-2)/10)+1)</f>
        <v>Steel Reserve Alloy Series</v>
      </c>
      <c r="B852" s="2" t="str" cm="1">
        <f t="array" ref="B852">INDEX('Whitelist (Blackout Reverse)'!$B$1:$K$1,MOD(ROW()-2,10)+1)</f>
        <v>BERGEN</v>
      </c>
      <c r="C852" s="2" t="str">
        <f>VLOOKUP(A852,'[1]Brand Family Territory (Enc)'!$A$2:$B$296,2,FALSE)</f>
        <v>Core Market</v>
      </c>
      <c r="D852" s="2">
        <f>IF(COUNTIFS('[1]Brand Family Territories (Enc)'!$B$2:$B$62,C852,'[1]Brand Family Territories (Enc)'!$C$2:$C$62,B852)&gt;0,1,IF(AND(LEFT(B852,6)="MORRIS",COUNTIFS('[1]Brand Family Territories (Enc)'!$B$2:$B$62,C852,'[1]Brand Family Territories (Enc)'!$C$2:$C$62,"Morri")&gt;0),"Unk",0))</f>
        <v>1</v>
      </c>
      <c r="E852" s="2" t="str">
        <f>IFERROR(INDEX('Blackout Brand Fam Areas (Enc)'!$D$6:$D$998,MATCH(UPPER(A852)&amp;"|"&amp;UPPER(B852),'Blackout Brand Fam Areas (Enc)'!$G$6:$G$998,0)),"No Match")</f>
        <v>No Match</v>
      </c>
      <c r="F852" s="2" t="str">
        <f t="shared" si="26"/>
        <v>US</v>
      </c>
      <c r="G852" s="2" t="str">
        <f t="shared" si="27"/>
        <v>Steel Reserve Alloy Series|BERGEN</v>
      </c>
    </row>
    <row r="853" spans="1:7" x14ac:dyDescent="0.2">
      <c r="A853" s="2" t="str" cm="1">
        <f t="array" ref="A853">INDEX('[1]Brand Family Territory (Enc)'!$A$2:$A$296,INT((ROW()-2)/10)+1)</f>
        <v>Steel Reserve Alloy Series</v>
      </c>
      <c r="B853" s="2" t="str" cm="1">
        <f t="array" ref="B853">INDEX('Whitelist (Blackout Reverse)'!$B$1:$K$1,MOD(ROW()-2,10)+1)</f>
        <v>PASSAIC</v>
      </c>
      <c r="C853" s="2" t="str">
        <f>VLOOKUP(A853,'[1]Brand Family Territory (Enc)'!$A$2:$B$296,2,FALSE)</f>
        <v>Core Market</v>
      </c>
      <c r="D853" s="2">
        <f>IF(COUNTIFS('[1]Brand Family Territories (Enc)'!$B$2:$B$62,C853,'[1]Brand Family Territories (Enc)'!$C$2:$C$62,B853)&gt;0,1,IF(AND(LEFT(B853,6)="MORRIS",COUNTIFS('[1]Brand Family Territories (Enc)'!$B$2:$B$62,C853,'[1]Brand Family Territories (Enc)'!$C$2:$C$62,"Morri")&gt;0),"Unk",0))</f>
        <v>1</v>
      </c>
      <c r="E853" s="2" t="str">
        <f>IFERROR(INDEX('Blackout Brand Fam Areas (Enc)'!$D$6:$D$998,MATCH(UPPER(A853)&amp;"|"&amp;UPPER(B853),'Blackout Brand Fam Areas (Enc)'!$G$6:$G$998,0)),"No Match")</f>
        <v>No Match</v>
      </c>
      <c r="F853" s="2" t="str">
        <f t="shared" si="26"/>
        <v>US</v>
      </c>
      <c r="G853" s="2" t="str">
        <f t="shared" si="27"/>
        <v>Steel Reserve Alloy Series|PASSAIC</v>
      </c>
    </row>
    <row r="854" spans="1:7" x14ac:dyDescent="0.2">
      <c r="A854" s="2" t="str" cm="1">
        <f t="array" ref="A854">INDEX('[1]Brand Family Territory (Enc)'!$A$2:$A$296,INT((ROW()-2)/10)+1)</f>
        <v>Steel Reserve Alloy Series</v>
      </c>
      <c r="B854" s="2" t="str" cm="1">
        <f t="array" ref="B854">INDEX('Whitelist (Blackout Reverse)'!$B$1:$K$1,MOD(ROW()-2,10)+1)</f>
        <v>PASSAIC-FF</v>
      </c>
      <c r="C854" s="2" t="str">
        <f>VLOOKUP(A854,'[1]Brand Family Territory (Enc)'!$A$2:$B$296,2,FALSE)</f>
        <v>Core Market</v>
      </c>
      <c r="D854" s="2">
        <f>IF(COUNTIFS('[1]Brand Family Territories (Enc)'!$B$2:$B$62,C854,'[1]Brand Family Territories (Enc)'!$C$2:$C$62,B854)&gt;0,1,IF(AND(LEFT(B854,6)="MORRIS",COUNTIFS('[1]Brand Family Territories (Enc)'!$B$2:$B$62,C854,'[1]Brand Family Territories (Enc)'!$C$2:$C$62,"Morri")&gt;0),"Unk",0))</f>
        <v>1</v>
      </c>
      <c r="E854" s="2" t="str">
        <f>IFERROR(INDEX('Blackout Brand Fam Areas (Enc)'!$D$6:$D$998,MATCH(UPPER(A854)&amp;"|"&amp;UPPER(B854),'Blackout Brand Fam Areas (Enc)'!$G$6:$G$998,0)),"No Match")</f>
        <v>No Match</v>
      </c>
      <c r="F854" s="2" t="str">
        <f t="shared" si="26"/>
        <v>US</v>
      </c>
      <c r="G854" s="2" t="str">
        <f t="shared" si="27"/>
        <v>Steel Reserve Alloy Series|PASSAIC-FF</v>
      </c>
    </row>
    <row r="855" spans="1:7" x14ac:dyDescent="0.2">
      <c r="A855" s="2" t="str" cm="1">
        <f t="array" ref="A855">INDEX('[1]Brand Family Territory (Enc)'!$A$2:$A$296,INT((ROW()-2)/10)+1)</f>
        <v>Steel Reserve Alloy Series</v>
      </c>
      <c r="B855" s="2" t="str" cm="1">
        <f t="array" ref="B855">INDEX('Whitelist (Blackout Reverse)'!$B$1:$K$1,MOD(ROW()-2,10)+1)</f>
        <v>ESSEX</v>
      </c>
      <c r="C855" s="2" t="str">
        <f>VLOOKUP(A855,'[1]Brand Family Territory (Enc)'!$A$2:$B$296,2,FALSE)</f>
        <v>Core Market</v>
      </c>
      <c r="D855" s="2">
        <f>IF(COUNTIFS('[1]Brand Family Territories (Enc)'!$B$2:$B$62,C855,'[1]Brand Family Territories (Enc)'!$C$2:$C$62,B855)&gt;0,1,IF(AND(LEFT(B855,6)="MORRIS",COUNTIFS('[1]Brand Family Territories (Enc)'!$B$2:$B$62,C855,'[1]Brand Family Territories (Enc)'!$C$2:$C$62,"Morri")&gt;0),"Unk",0))</f>
        <v>0</v>
      </c>
      <c r="E855" s="2" t="str">
        <f>IFERROR(INDEX('Blackout Brand Fam Areas (Enc)'!$D$6:$D$998,MATCH(UPPER(A855)&amp;"|"&amp;UPPER(B855),'Blackout Brand Fam Areas (Enc)'!$G$6:$G$998,0)),"No Match")</f>
        <v>Inactive</v>
      </c>
      <c r="F855" s="2" t="str">
        <f t="shared" si="26"/>
        <v>THEM</v>
      </c>
      <c r="G855" s="2" t="str">
        <f t="shared" si="27"/>
        <v>Steel Reserve Alloy Series|ESSEX</v>
      </c>
    </row>
    <row r="856" spans="1:7" x14ac:dyDescent="0.2">
      <c r="A856" s="2" t="str" cm="1">
        <f t="array" ref="A856">INDEX('[1]Brand Family Territory (Enc)'!$A$2:$A$296,INT((ROW()-2)/10)+1)</f>
        <v>Steel Reserve Alloy Series</v>
      </c>
      <c r="B856" s="2" t="str" cm="1">
        <f t="array" ref="B856">INDEX('Whitelist (Blackout Reverse)'!$B$1:$K$1,MOD(ROW()-2,10)+1)</f>
        <v>HUDSON</v>
      </c>
      <c r="C856" s="2" t="str">
        <f>VLOOKUP(A856,'[1]Brand Family Territory (Enc)'!$A$2:$B$296,2,FALSE)</f>
        <v>Core Market</v>
      </c>
      <c r="D856" s="2">
        <f>IF(COUNTIFS('[1]Brand Family Territories (Enc)'!$B$2:$B$62,C856,'[1]Brand Family Territories (Enc)'!$C$2:$C$62,B856)&gt;0,1,IF(AND(LEFT(B856,6)="MORRIS",COUNTIFS('[1]Brand Family Territories (Enc)'!$B$2:$B$62,C856,'[1]Brand Family Territories (Enc)'!$C$2:$C$62,"Morri")&gt;0),"Unk",0))</f>
        <v>0</v>
      </c>
      <c r="E856" s="2" t="str">
        <f>IFERROR(INDEX('Blackout Brand Fam Areas (Enc)'!$D$6:$D$998,MATCH(UPPER(A856)&amp;"|"&amp;UPPER(B856),'Blackout Brand Fam Areas (Enc)'!$G$6:$G$998,0)),"No Match")</f>
        <v>Inactive</v>
      </c>
      <c r="F856" s="2" t="str">
        <f t="shared" si="26"/>
        <v>THEM</v>
      </c>
      <c r="G856" s="2" t="str">
        <f t="shared" si="27"/>
        <v>Steel Reserve Alloy Series|HUDSON</v>
      </c>
    </row>
    <row r="857" spans="1:7" x14ac:dyDescent="0.2">
      <c r="A857" s="2" t="str" cm="1">
        <f t="array" ref="A857">INDEX('[1]Brand Family Territory (Enc)'!$A$2:$A$296,INT((ROW()-2)/10)+1)</f>
        <v>Steel Reserve Alloy Series</v>
      </c>
      <c r="B857" s="2" t="str" cm="1">
        <f t="array" ref="B857">INDEX('Whitelist (Blackout Reverse)'!$B$1:$K$1,MOD(ROW()-2,10)+1)</f>
        <v>UNION</v>
      </c>
      <c r="C857" s="2" t="str">
        <f>VLOOKUP(A857,'[1]Brand Family Territory (Enc)'!$A$2:$B$296,2,FALSE)</f>
        <v>Core Market</v>
      </c>
      <c r="D857" s="2">
        <f>IF(COUNTIFS('[1]Brand Family Territories (Enc)'!$B$2:$B$62,C857,'[1]Brand Family Territories (Enc)'!$C$2:$C$62,B857)&gt;0,1,IF(AND(LEFT(B857,6)="MORRIS",COUNTIFS('[1]Brand Family Territories (Enc)'!$B$2:$B$62,C857,'[1]Brand Family Territories (Enc)'!$C$2:$C$62,"Morri")&gt;0),"Unk",0))</f>
        <v>0</v>
      </c>
      <c r="E857" s="2" t="str">
        <f>IFERROR(INDEX('Blackout Brand Fam Areas (Enc)'!$D$6:$D$998,MATCH(UPPER(A857)&amp;"|"&amp;UPPER(B857),'Blackout Brand Fam Areas (Enc)'!$G$6:$G$998,0)),"No Match")</f>
        <v>Inactive</v>
      </c>
      <c r="F857" s="2" t="str">
        <f t="shared" si="26"/>
        <v>THEM</v>
      </c>
      <c r="G857" s="2" t="str">
        <f t="shared" si="27"/>
        <v>Steel Reserve Alloy Series|UNION</v>
      </c>
    </row>
    <row r="858" spans="1:7" x14ac:dyDescent="0.2">
      <c r="A858" s="2" t="str" cm="1">
        <f t="array" ref="A858">INDEX('[1]Brand Family Territory (Enc)'!$A$2:$A$296,INT((ROW()-2)/10)+1)</f>
        <v>Steel Reserve Alloy Series</v>
      </c>
      <c r="B858" s="2" t="str" cm="1">
        <f t="array" ref="B858">INDEX('Whitelist (Blackout Reverse)'!$B$1:$K$1,MOD(ROW()-2,10)+1)</f>
        <v>SUSSEX</v>
      </c>
      <c r="C858" s="2" t="str">
        <f>VLOOKUP(A858,'[1]Brand Family Territory (Enc)'!$A$2:$B$296,2,FALSE)</f>
        <v>Core Market</v>
      </c>
      <c r="D858" s="2">
        <f>IF(COUNTIFS('[1]Brand Family Territories (Enc)'!$B$2:$B$62,C858,'[1]Brand Family Territories (Enc)'!$C$2:$C$62,B858)&gt;0,1,IF(AND(LEFT(B858,6)="MORRIS",COUNTIFS('[1]Brand Family Territories (Enc)'!$B$2:$B$62,C858,'[1]Brand Family Territories (Enc)'!$C$2:$C$62,"Morri")&gt;0),"Unk",0))</f>
        <v>1</v>
      </c>
      <c r="E858" s="2" t="str">
        <f>IFERROR(INDEX('Blackout Brand Fam Areas (Enc)'!$D$6:$D$998,MATCH(UPPER(A858)&amp;"|"&amp;UPPER(B858),'Blackout Brand Fam Areas (Enc)'!$G$6:$G$998,0)),"No Match")</f>
        <v>No Match</v>
      </c>
      <c r="F858" s="2" t="str">
        <f t="shared" si="26"/>
        <v>US</v>
      </c>
      <c r="G858" s="2" t="str">
        <f t="shared" si="27"/>
        <v>Steel Reserve Alloy Series|SUSSEX</v>
      </c>
    </row>
    <row r="859" spans="1:7" x14ac:dyDescent="0.2">
      <c r="A859" s="2" t="str" cm="1">
        <f t="array" ref="A859">INDEX('[1]Brand Family Territory (Enc)'!$A$2:$A$296,INT((ROW()-2)/10)+1)</f>
        <v>Steel Reserve Alloy Series</v>
      </c>
      <c r="B859" s="2" t="str" cm="1">
        <f t="array" ref="B859">INDEX('Whitelist (Blackout Reverse)'!$B$1:$K$1,MOD(ROW()-2,10)+1)</f>
        <v>MORRIS 1</v>
      </c>
      <c r="C859" s="2" t="str">
        <f>VLOOKUP(A859,'[1]Brand Family Territory (Enc)'!$A$2:$B$296,2,FALSE)</f>
        <v>Core Market</v>
      </c>
      <c r="D859" s="2">
        <f>IF(COUNTIFS('[1]Brand Family Territories (Enc)'!$B$2:$B$62,C859,'[1]Brand Family Territories (Enc)'!$C$2:$C$62,B859)&gt;0,1,IF(AND(LEFT(B859,6)="MORRIS",COUNTIFS('[1]Brand Family Territories (Enc)'!$B$2:$B$62,C859,'[1]Brand Family Territories (Enc)'!$C$2:$C$62,"Morri")&gt;0),"Unk",0))</f>
        <v>1</v>
      </c>
      <c r="E859" s="2" t="str">
        <f>IFERROR(INDEX('Blackout Brand Fam Areas (Enc)'!$D$6:$D$998,MATCH(UPPER(A859)&amp;"|"&amp;UPPER(B859),'Blackout Brand Fam Areas (Enc)'!$G$6:$G$998,0)),"No Match")</f>
        <v>No Match</v>
      </c>
      <c r="F859" s="2" t="str">
        <f t="shared" si="26"/>
        <v>US</v>
      </c>
      <c r="G859" s="2" t="str">
        <f t="shared" si="27"/>
        <v>Steel Reserve Alloy Series|MORRIS 1</v>
      </c>
    </row>
    <row r="860" spans="1:7" x14ac:dyDescent="0.2">
      <c r="A860" s="2" t="str" cm="1">
        <f t="array" ref="A860">INDEX('[1]Brand Family Territory (Enc)'!$A$2:$A$296,INT((ROW()-2)/10)+1)</f>
        <v>Steel Reserve Alloy Series</v>
      </c>
      <c r="B860" s="2" t="str" cm="1">
        <f t="array" ref="B860">INDEX('Whitelist (Blackout Reverse)'!$B$1:$K$1,MOD(ROW()-2,10)+1)</f>
        <v>MORRIS 2</v>
      </c>
      <c r="C860" s="2" t="str">
        <f>VLOOKUP(A860,'[1]Brand Family Territory (Enc)'!$A$2:$B$296,2,FALSE)</f>
        <v>Core Market</v>
      </c>
      <c r="D860" s="2">
        <f>IF(COUNTIFS('[1]Brand Family Territories (Enc)'!$B$2:$B$62,C860,'[1]Brand Family Territories (Enc)'!$C$2:$C$62,B860)&gt;0,1,IF(AND(LEFT(B860,6)="MORRIS",COUNTIFS('[1]Brand Family Territories (Enc)'!$B$2:$B$62,C860,'[1]Brand Family Territories (Enc)'!$C$2:$C$62,"Morri")&gt;0),"Unk",0))</f>
        <v>0</v>
      </c>
      <c r="E860" s="2" t="str">
        <f>IFERROR(INDEX('Blackout Brand Fam Areas (Enc)'!$D$6:$D$998,MATCH(UPPER(A860)&amp;"|"&amp;UPPER(B860),'Blackout Brand Fam Areas (Enc)'!$G$6:$G$998,0)),"No Match")</f>
        <v>Inactive</v>
      </c>
      <c r="F860" s="2" t="str">
        <f t="shared" si="26"/>
        <v>THEM</v>
      </c>
      <c r="G860" s="2" t="str">
        <f t="shared" si="27"/>
        <v>Steel Reserve Alloy Series|MORRIS 2</v>
      </c>
    </row>
    <row r="861" spans="1:7" x14ac:dyDescent="0.2">
      <c r="A861" s="2" t="str" cm="1">
        <f t="array" ref="A861">INDEX('[1]Brand Family Territory (Enc)'!$A$2:$A$296,INT((ROW()-2)/10)+1)</f>
        <v>Steel Reserve Alloy Series</v>
      </c>
      <c r="B861" s="2" t="str" cm="1">
        <f t="array" ref="B861">INDEX('Whitelist (Blackout Reverse)'!$B$1:$K$1,MOD(ROW()-2,10)+1)</f>
        <v>MORRIS 3</v>
      </c>
      <c r="C861" s="2" t="str">
        <f>VLOOKUP(A861,'[1]Brand Family Territory (Enc)'!$A$2:$B$296,2,FALSE)</f>
        <v>Core Market</v>
      </c>
      <c r="D861" s="2">
        <f>IF(COUNTIFS('[1]Brand Family Territories (Enc)'!$B$2:$B$62,C861,'[1]Brand Family Territories (Enc)'!$C$2:$C$62,B861)&gt;0,1,IF(AND(LEFT(B861,6)="MORRIS",COUNTIFS('[1]Brand Family Territories (Enc)'!$B$2:$B$62,C861,'[1]Brand Family Territories (Enc)'!$C$2:$C$62,"Morri")&gt;0),"Unk",0))</f>
        <v>1</v>
      </c>
      <c r="E861" s="2" t="str">
        <f>IFERROR(INDEX('Blackout Brand Fam Areas (Enc)'!$D$6:$D$998,MATCH(UPPER(A861)&amp;"|"&amp;UPPER(B861),'Blackout Brand Fam Areas (Enc)'!$G$6:$G$998,0)),"No Match")</f>
        <v>No Match</v>
      </c>
      <c r="F861" s="2" t="str">
        <f t="shared" si="26"/>
        <v>US</v>
      </c>
      <c r="G861" s="2" t="str">
        <f t="shared" si="27"/>
        <v>Steel Reserve Alloy Series|MORRIS 3</v>
      </c>
    </row>
    <row r="862" spans="1:7" x14ac:dyDescent="0.2">
      <c r="A862" s="2" t="str" cm="1">
        <f t="array" ref="A862">INDEX('[1]Brand Family Territory (Enc)'!$A$2:$A$296,INT((ROW()-2)/10)+1)</f>
        <v>Sun Cruiser</v>
      </c>
      <c r="B862" s="2" t="str" cm="1">
        <f t="array" ref="B862">INDEX('Whitelist (Blackout Reverse)'!$B$1:$K$1,MOD(ROW()-2,10)+1)</f>
        <v>BERGEN</v>
      </c>
      <c r="C862" s="2" t="str">
        <f>VLOOKUP(A862,'[1]Brand Family Territory (Enc)'!$A$2:$B$296,2,FALSE)</f>
        <v>Core Market</v>
      </c>
      <c r="D862" s="2">
        <f>IF(COUNTIFS('[1]Brand Family Territories (Enc)'!$B$2:$B$62,C862,'[1]Brand Family Territories (Enc)'!$C$2:$C$62,B862)&gt;0,1,IF(AND(LEFT(B862,6)="MORRIS",COUNTIFS('[1]Brand Family Territories (Enc)'!$B$2:$B$62,C862,'[1]Brand Family Territories (Enc)'!$C$2:$C$62,"Morri")&gt;0),"Unk",0))</f>
        <v>1</v>
      </c>
      <c r="E862" s="2" t="str">
        <f>IFERROR(INDEX('Blackout Brand Fam Areas (Enc)'!$D$6:$D$998,MATCH(UPPER(A862)&amp;"|"&amp;UPPER(B862),'Blackout Brand Fam Areas (Enc)'!$G$6:$G$998,0)),"No Match")</f>
        <v>No Match</v>
      </c>
      <c r="F862" s="2" t="str">
        <f t="shared" si="26"/>
        <v>US</v>
      </c>
      <c r="G862" s="2" t="str">
        <f t="shared" si="27"/>
        <v>Sun Cruiser|BERGEN</v>
      </c>
    </row>
    <row r="863" spans="1:7" x14ac:dyDescent="0.2">
      <c r="A863" s="2" t="str" cm="1">
        <f t="array" ref="A863">INDEX('[1]Brand Family Territory (Enc)'!$A$2:$A$296,INT((ROW()-2)/10)+1)</f>
        <v>Sun Cruiser</v>
      </c>
      <c r="B863" s="2" t="str" cm="1">
        <f t="array" ref="B863">INDEX('Whitelist (Blackout Reverse)'!$B$1:$K$1,MOD(ROW()-2,10)+1)</f>
        <v>PASSAIC</v>
      </c>
      <c r="C863" s="2" t="str">
        <f>VLOOKUP(A863,'[1]Brand Family Territory (Enc)'!$A$2:$B$296,2,FALSE)</f>
        <v>Core Market</v>
      </c>
      <c r="D863" s="2">
        <f>IF(COUNTIFS('[1]Brand Family Territories (Enc)'!$B$2:$B$62,C863,'[1]Brand Family Territories (Enc)'!$C$2:$C$62,B863)&gt;0,1,IF(AND(LEFT(B863,6)="MORRIS",COUNTIFS('[1]Brand Family Territories (Enc)'!$B$2:$B$62,C863,'[1]Brand Family Territories (Enc)'!$C$2:$C$62,"Morri")&gt;0),"Unk",0))</f>
        <v>1</v>
      </c>
      <c r="E863" s="2" t="str">
        <f>IFERROR(INDEX('Blackout Brand Fam Areas (Enc)'!$D$6:$D$998,MATCH(UPPER(A863)&amp;"|"&amp;UPPER(B863),'Blackout Brand Fam Areas (Enc)'!$G$6:$G$998,0)),"No Match")</f>
        <v>No Match</v>
      </c>
      <c r="F863" s="2" t="str">
        <f t="shared" si="26"/>
        <v>US</v>
      </c>
      <c r="G863" s="2" t="str">
        <f t="shared" si="27"/>
        <v>Sun Cruiser|PASSAIC</v>
      </c>
    </row>
    <row r="864" spans="1:7" x14ac:dyDescent="0.2">
      <c r="A864" s="2" t="str" cm="1">
        <f t="array" ref="A864">INDEX('[1]Brand Family Territory (Enc)'!$A$2:$A$296,INT((ROW()-2)/10)+1)</f>
        <v>Sun Cruiser</v>
      </c>
      <c r="B864" s="2" t="str" cm="1">
        <f t="array" ref="B864">INDEX('Whitelist (Blackout Reverse)'!$B$1:$K$1,MOD(ROW()-2,10)+1)</f>
        <v>PASSAIC-FF</v>
      </c>
      <c r="C864" s="2" t="str">
        <f>VLOOKUP(A864,'[1]Brand Family Territory (Enc)'!$A$2:$B$296,2,FALSE)</f>
        <v>Core Market</v>
      </c>
      <c r="D864" s="2">
        <f>IF(COUNTIFS('[1]Brand Family Territories (Enc)'!$B$2:$B$62,C864,'[1]Brand Family Territories (Enc)'!$C$2:$C$62,B864)&gt;0,1,IF(AND(LEFT(B864,6)="MORRIS",COUNTIFS('[1]Brand Family Territories (Enc)'!$B$2:$B$62,C864,'[1]Brand Family Territories (Enc)'!$C$2:$C$62,"Morri")&gt;0),"Unk",0))</f>
        <v>1</v>
      </c>
      <c r="E864" s="2" t="str">
        <f>IFERROR(INDEX('Blackout Brand Fam Areas (Enc)'!$D$6:$D$998,MATCH(UPPER(A864)&amp;"|"&amp;UPPER(B864),'Blackout Brand Fam Areas (Enc)'!$G$6:$G$998,0)),"No Match")</f>
        <v>No Match</v>
      </c>
      <c r="F864" s="2" t="str">
        <f t="shared" si="26"/>
        <v>US</v>
      </c>
      <c r="G864" s="2" t="str">
        <f t="shared" si="27"/>
        <v>Sun Cruiser|PASSAIC-FF</v>
      </c>
    </row>
    <row r="865" spans="1:7" x14ac:dyDescent="0.2">
      <c r="A865" s="2" t="str" cm="1">
        <f t="array" ref="A865">INDEX('[1]Brand Family Territory (Enc)'!$A$2:$A$296,INT((ROW()-2)/10)+1)</f>
        <v>Sun Cruiser</v>
      </c>
      <c r="B865" s="2" t="str" cm="1">
        <f t="array" ref="B865">INDEX('Whitelist (Blackout Reverse)'!$B$1:$K$1,MOD(ROW()-2,10)+1)</f>
        <v>ESSEX</v>
      </c>
      <c r="C865" s="2" t="str">
        <f>VLOOKUP(A865,'[1]Brand Family Territory (Enc)'!$A$2:$B$296,2,FALSE)</f>
        <v>Core Market</v>
      </c>
      <c r="D865" s="2">
        <f>IF(COUNTIFS('[1]Brand Family Territories (Enc)'!$B$2:$B$62,C865,'[1]Brand Family Territories (Enc)'!$C$2:$C$62,B865)&gt;0,1,IF(AND(LEFT(B865,6)="MORRIS",COUNTIFS('[1]Brand Family Territories (Enc)'!$B$2:$B$62,C865,'[1]Brand Family Territories (Enc)'!$C$2:$C$62,"Morri")&gt;0),"Unk",0))</f>
        <v>0</v>
      </c>
      <c r="E865" s="2" t="str">
        <f>IFERROR(INDEX('Blackout Brand Fam Areas (Enc)'!$D$6:$D$998,MATCH(UPPER(A865)&amp;"|"&amp;UPPER(B865),'Blackout Brand Fam Areas (Enc)'!$G$6:$G$998,0)),"No Match")</f>
        <v>Inactive</v>
      </c>
      <c r="F865" s="2" t="str">
        <f t="shared" si="26"/>
        <v>THEM</v>
      </c>
      <c r="G865" s="2" t="str">
        <f t="shared" si="27"/>
        <v>Sun Cruiser|ESSEX</v>
      </c>
    </row>
    <row r="866" spans="1:7" x14ac:dyDescent="0.2">
      <c r="A866" s="2" t="str" cm="1">
        <f t="array" ref="A866">INDEX('[1]Brand Family Territory (Enc)'!$A$2:$A$296,INT((ROW()-2)/10)+1)</f>
        <v>Sun Cruiser</v>
      </c>
      <c r="B866" s="2" t="str" cm="1">
        <f t="array" ref="B866">INDEX('Whitelist (Blackout Reverse)'!$B$1:$K$1,MOD(ROW()-2,10)+1)</f>
        <v>HUDSON</v>
      </c>
      <c r="C866" s="2" t="str">
        <f>VLOOKUP(A866,'[1]Brand Family Territory (Enc)'!$A$2:$B$296,2,FALSE)</f>
        <v>Core Market</v>
      </c>
      <c r="D866" s="2">
        <f>IF(COUNTIFS('[1]Brand Family Territories (Enc)'!$B$2:$B$62,C866,'[1]Brand Family Territories (Enc)'!$C$2:$C$62,B866)&gt;0,1,IF(AND(LEFT(B866,6)="MORRIS",COUNTIFS('[1]Brand Family Territories (Enc)'!$B$2:$B$62,C866,'[1]Brand Family Territories (Enc)'!$C$2:$C$62,"Morri")&gt;0),"Unk",0))</f>
        <v>0</v>
      </c>
      <c r="E866" s="2" t="str">
        <f>IFERROR(INDEX('Blackout Brand Fam Areas (Enc)'!$D$6:$D$998,MATCH(UPPER(A866)&amp;"|"&amp;UPPER(B866),'Blackout Brand Fam Areas (Enc)'!$G$6:$G$998,0)),"No Match")</f>
        <v>Inactive</v>
      </c>
      <c r="F866" s="2" t="str">
        <f t="shared" si="26"/>
        <v>THEM</v>
      </c>
      <c r="G866" s="2" t="str">
        <f t="shared" si="27"/>
        <v>Sun Cruiser|HUDSON</v>
      </c>
    </row>
    <row r="867" spans="1:7" x14ac:dyDescent="0.2">
      <c r="A867" s="2" t="str" cm="1">
        <f t="array" ref="A867">INDEX('[1]Brand Family Territory (Enc)'!$A$2:$A$296,INT((ROW()-2)/10)+1)</f>
        <v>Sun Cruiser</v>
      </c>
      <c r="B867" s="2" t="str" cm="1">
        <f t="array" ref="B867">INDEX('Whitelist (Blackout Reverse)'!$B$1:$K$1,MOD(ROW()-2,10)+1)</f>
        <v>UNION</v>
      </c>
      <c r="C867" s="2" t="str">
        <f>VLOOKUP(A867,'[1]Brand Family Territory (Enc)'!$A$2:$B$296,2,FALSE)</f>
        <v>Core Market</v>
      </c>
      <c r="D867" s="2">
        <f>IF(COUNTIFS('[1]Brand Family Territories (Enc)'!$B$2:$B$62,C867,'[1]Brand Family Territories (Enc)'!$C$2:$C$62,B867)&gt;0,1,IF(AND(LEFT(B867,6)="MORRIS",COUNTIFS('[1]Brand Family Territories (Enc)'!$B$2:$B$62,C867,'[1]Brand Family Territories (Enc)'!$C$2:$C$62,"Morri")&gt;0),"Unk",0))</f>
        <v>0</v>
      </c>
      <c r="E867" s="2" t="str">
        <f>IFERROR(INDEX('Blackout Brand Fam Areas (Enc)'!$D$6:$D$998,MATCH(UPPER(A867)&amp;"|"&amp;UPPER(B867),'Blackout Brand Fam Areas (Enc)'!$G$6:$G$998,0)),"No Match")</f>
        <v>Inactive</v>
      </c>
      <c r="F867" s="2" t="str">
        <f t="shared" si="26"/>
        <v>THEM</v>
      </c>
      <c r="G867" s="2" t="str">
        <f t="shared" si="27"/>
        <v>Sun Cruiser|UNION</v>
      </c>
    </row>
    <row r="868" spans="1:7" x14ac:dyDescent="0.2">
      <c r="A868" s="2" t="str" cm="1">
        <f t="array" ref="A868">INDEX('[1]Brand Family Territory (Enc)'!$A$2:$A$296,INT((ROW()-2)/10)+1)</f>
        <v>Sun Cruiser</v>
      </c>
      <c r="B868" s="2" t="str" cm="1">
        <f t="array" ref="B868">INDEX('Whitelist (Blackout Reverse)'!$B$1:$K$1,MOD(ROW()-2,10)+1)</f>
        <v>SUSSEX</v>
      </c>
      <c r="C868" s="2" t="str">
        <f>VLOOKUP(A868,'[1]Brand Family Territory (Enc)'!$A$2:$B$296,2,FALSE)</f>
        <v>Core Market</v>
      </c>
      <c r="D868" s="2">
        <f>IF(COUNTIFS('[1]Brand Family Territories (Enc)'!$B$2:$B$62,C868,'[1]Brand Family Territories (Enc)'!$C$2:$C$62,B868)&gt;0,1,IF(AND(LEFT(B868,6)="MORRIS",COUNTIFS('[1]Brand Family Territories (Enc)'!$B$2:$B$62,C868,'[1]Brand Family Territories (Enc)'!$C$2:$C$62,"Morri")&gt;0),"Unk",0))</f>
        <v>1</v>
      </c>
      <c r="E868" s="2" t="str">
        <f>IFERROR(INDEX('Blackout Brand Fam Areas (Enc)'!$D$6:$D$998,MATCH(UPPER(A868)&amp;"|"&amp;UPPER(B868),'Blackout Brand Fam Areas (Enc)'!$G$6:$G$998,0)),"No Match")</f>
        <v>No Match</v>
      </c>
      <c r="F868" s="2" t="str">
        <f t="shared" si="26"/>
        <v>US</v>
      </c>
      <c r="G868" s="2" t="str">
        <f t="shared" si="27"/>
        <v>Sun Cruiser|SUSSEX</v>
      </c>
    </row>
    <row r="869" spans="1:7" x14ac:dyDescent="0.2">
      <c r="A869" s="2" t="str" cm="1">
        <f t="array" ref="A869">INDEX('[1]Brand Family Territory (Enc)'!$A$2:$A$296,INT((ROW()-2)/10)+1)</f>
        <v>Sun Cruiser</v>
      </c>
      <c r="B869" s="2" t="str" cm="1">
        <f t="array" ref="B869">INDEX('Whitelist (Blackout Reverse)'!$B$1:$K$1,MOD(ROW()-2,10)+1)</f>
        <v>MORRIS 1</v>
      </c>
      <c r="C869" s="2" t="str">
        <f>VLOOKUP(A869,'[1]Brand Family Territory (Enc)'!$A$2:$B$296,2,FALSE)</f>
        <v>Core Market</v>
      </c>
      <c r="D869" s="2">
        <f>IF(COUNTIFS('[1]Brand Family Territories (Enc)'!$B$2:$B$62,C869,'[1]Brand Family Territories (Enc)'!$C$2:$C$62,B869)&gt;0,1,IF(AND(LEFT(B869,6)="MORRIS",COUNTIFS('[1]Brand Family Territories (Enc)'!$B$2:$B$62,C869,'[1]Brand Family Territories (Enc)'!$C$2:$C$62,"Morri")&gt;0),"Unk",0))</f>
        <v>1</v>
      </c>
      <c r="E869" s="2" t="str">
        <f>IFERROR(INDEX('Blackout Brand Fam Areas (Enc)'!$D$6:$D$998,MATCH(UPPER(A869)&amp;"|"&amp;UPPER(B869),'Blackout Brand Fam Areas (Enc)'!$G$6:$G$998,0)),"No Match")</f>
        <v>No Match</v>
      </c>
      <c r="F869" s="2" t="str">
        <f t="shared" si="26"/>
        <v>US</v>
      </c>
      <c r="G869" s="2" t="str">
        <f t="shared" si="27"/>
        <v>Sun Cruiser|MORRIS 1</v>
      </c>
    </row>
    <row r="870" spans="1:7" x14ac:dyDescent="0.2">
      <c r="A870" s="2" t="str" cm="1">
        <f t="array" ref="A870">INDEX('[1]Brand Family Territory (Enc)'!$A$2:$A$296,INT((ROW()-2)/10)+1)</f>
        <v>Sun Cruiser</v>
      </c>
      <c r="B870" s="2" t="str" cm="1">
        <f t="array" ref="B870">INDEX('Whitelist (Blackout Reverse)'!$B$1:$K$1,MOD(ROW()-2,10)+1)</f>
        <v>MORRIS 2</v>
      </c>
      <c r="C870" s="2" t="str">
        <f>VLOOKUP(A870,'[1]Brand Family Territory (Enc)'!$A$2:$B$296,2,FALSE)</f>
        <v>Core Market</v>
      </c>
      <c r="D870" s="2">
        <f>IF(COUNTIFS('[1]Brand Family Territories (Enc)'!$B$2:$B$62,C870,'[1]Brand Family Territories (Enc)'!$C$2:$C$62,B870)&gt;0,1,IF(AND(LEFT(B870,6)="MORRIS",COUNTIFS('[1]Brand Family Territories (Enc)'!$B$2:$B$62,C870,'[1]Brand Family Territories (Enc)'!$C$2:$C$62,"Morri")&gt;0),"Unk",0))</f>
        <v>0</v>
      </c>
      <c r="E870" s="2" t="str">
        <f>IFERROR(INDEX('Blackout Brand Fam Areas (Enc)'!$D$6:$D$998,MATCH(UPPER(A870)&amp;"|"&amp;UPPER(B870),'Blackout Brand Fam Areas (Enc)'!$G$6:$G$998,0)),"No Match")</f>
        <v>Inactive</v>
      </c>
      <c r="F870" s="2" t="str">
        <f t="shared" si="26"/>
        <v>THEM</v>
      </c>
      <c r="G870" s="2" t="str">
        <f t="shared" si="27"/>
        <v>Sun Cruiser|MORRIS 2</v>
      </c>
    </row>
    <row r="871" spans="1:7" x14ac:dyDescent="0.2">
      <c r="A871" s="2" t="str" cm="1">
        <f t="array" ref="A871">INDEX('[1]Brand Family Territory (Enc)'!$A$2:$A$296,INT((ROW()-2)/10)+1)</f>
        <v>Sun Cruiser</v>
      </c>
      <c r="B871" s="2" t="str" cm="1">
        <f t="array" ref="B871">INDEX('Whitelist (Blackout Reverse)'!$B$1:$K$1,MOD(ROW()-2,10)+1)</f>
        <v>MORRIS 3</v>
      </c>
      <c r="C871" s="2" t="str">
        <f>VLOOKUP(A871,'[1]Brand Family Territory (Enc)'!$A$2:$B$296,2,FALSE)</f>
        <v>Core Market</v>
      </c>
      <c r="D871" s="2">
        <f>IF(COUNTIFS('[1]Brand Family Territories (Enc)'!$B$2:$B$62,C871,'[1]Brand Family Territories (Enc)'!$C$2:$C$62,B871)&gt;0,1,IF(AND(LEFT(B871,6)="MORRIS",COUNTIFS('[1]Brand Family Territories (Enc)'!$B$2:$B$62,C871,'[1]Brand Family Territories (Enc)'!$C$2:$C$62,"Morri")&gt;0),"Unk",0))</f>
        <v>1</v>
      </c>
      <c r="E871" s="2" t="str">
        <f>IFERROR(INDEX('Blackout Brand Fam Areas (Enc)'!$D$6:$D$998,MATCH(UPPER(A871)&amp;"|"&amp;UPPER(B871),'Blackout Brand Fam Areas (Enc)'!$G$6:$G$998,0)),"No Match")</f>
        <v>No Match</v>
      </c>
      <c r="F871" s="2" t="str">
        <f t="shared" si="26"/>
        <v>US</v>
      </c>
      <c r="G871" s="2" t="str">
        <f t="shared" si="27"/>
        <v>Sun Cruiser|MORRIS 3</v>
      </c>
    </row>
    <row r="872" spans="1:7" x14ac:dyDescent="0.2">
      <c r="A872" s="2" t="str" cm="1">
        <f t="array" ref="A872">INDEX('[1]Brand Family Territory (Enc)'!$A$2:$A$296,INT((ROW()-2)/10)+1)</f>
        <v>The Drop</v>
      </c>
      <c r="B872" s="2" t="str" cm="1">
        <f t="array" ref="B872">INDEX('Whitelist (Blackout Reverse)'!$B$1:$K$1,MOD(ROW()-2,10)+1)</f>
        <v>BERGEN</v>
      </c>
      <c r="C872" s="2" t="str">
        <f>VLOOKUP(A872,'[1]Brand Family Territory (Enc)'!$A$2:$B$296,2,FALSE)</f>
        <v>Core Market</v>
      </c>
      <c r="D872" s="2">
        <f>IF(COUNTIFS('[1]Brand Family Territories (Enc)'!$B$2:$B$62,C872,'[1]Brand Family Territories (Enc)'!$C$2:$C$62,B872)&gt;0,1,IF(AND(LEFT(B872,6)="MORRIS",COUNTIFS('[1]Brand Family Territories (Enc)'!$B$2:$B$62,C872,'[1]Brand Family Territories (Enc)'!$C$2:$C$62,"Morri")&gt;0),"Unk",0))</f>
        <v>1</v>
      </c>
      <c r="E872" s="2" t="str">
        <f>IFERROR(INDEX('Blackout Brand Fam Areas (Enc)'!$D$6:$D$998,MATCH(UPPER(A872)&amp;"|"&amp;UPPER(B872),'Blackout Brand Fam Areas (Enc)'!$G$6:$G$998,0)),"No Match")</f>
        <v>No Match</v>
      </c>
      <c r="F872" s="2" t="str">
        <f t="shared" si="26"/>
        <v>US</v>
      </c>
      <c r="G872" s="2" t="str">
        <f t="shared" si="27"/>
        <v>The Drop|BERGEN</v>
      </c>
    </row>
    <row r="873" spans="1:7" x14ac:dyDescent="0.2">
      <c r="A873" s="2" t="str" cm="1">
        <f t="array" ref="A873">INDEX('[1]Brand Family Territory (Enc)'!$A$2:$A$296,INT((ROW()-2)/10)+1)</f>
        <v>The Drop</v>
      </c>
      <c r="B873" s="2" t="str" cm="1">
        <f t="array" ref="B873">INDEX('Whitelist (Blackout Reverse)'!$B$1:$K$1,MOD(ROW()-2,10)+1)</f>
        <v>PASSAIC</v>
      </c>
      <c r="C873" s="2" t="str">
        <f>VLOOKUP(A873,'[1]Brand Family Territory (Enc)'!$A$2:$B$296,2,FALSE)</f>
        <v>Core Market</v>
      </c>
      <c r="D873" s="2">
        <f>IF(COUNTIFS('[1]Brand Family Territories (Enc)'!$B$2:$B$62,C873,'[1]Brand Family Territories (Enc)'!$C$2:$C$62,B873)&gt;0,1,IF(AND(LEFT(B873,6)="MORRIS",COUNTIFS('[1]Brand Family Territories (Enc)'!$B$2:$B$62,C873,'[1]Brand Family Territories (Enc)'!$C$2:$C$62,"Morri")&gt;0),"Unk",0))</f>
        <v>1</v>
      </c>
      <c r="E873" s="2" t="str">
        <f>IFERROR(INDEX('Blackout Brand Fam Areas (Enc)'!$D$6:$D$998,MATCH(UPPER(A873)&amp;"|"&amp;UPPER(B873),'Blackout Brand Fam Areas (Enc)'!$G$6:$G$998,0)),"No Match")</f>
        <v>No Match</v>
      </c>
      <c r="F873" s="2" t="str">
        <f t="shared" si="26"/>
        <v>US</v>
      </c>
      <c r="G873" s="2" t="str">
        <f t="shared" si="27"/>
        <v>The Drop|PASSAIC</v>
      </c>
    </row>
    <row r="874" spans="1:7" x14ac:dyDescent="0.2">
      <c r="A874" s="2" t="str" cm="1">
        <f t="array" ref="A874">INDEX('[1]Brand Family Territory (Enc)'!$A$2:$A$296,INT((ROW()-2)/10)+1)</f>
        <v>The Drop</v>
      </c>
      <c r="B874" s="2" t="str" cm="1">
        <f t="array" ref="B874">INDEX('Whitelist (Blackout Reverse)'!$B$1:$K$1,MOD(ROW()-2,10)+1)</f>
        <v>PASSAIC-FF</v>
      </c>
      <c r="C874" s="2" t="str">
        <f>VLOOKUP(A874,'[1]Brand Family Territory (Enc)'!$A$2:$B$296,2,FALSE)</f>
        <v>Core Market</v>
      </c>
      <c r="D874" s="2">
        <f>IF(COUNTIFS('[1]Brand Family Territories (Enc)'!$B$2:$B$62,C874,'[1]Brand Family Territories (Enc)'!$C$2:$C$62,B874)&gt;0,1,IF(AND(LEFT(B874,6)="MORRIS",COUNTIFS('[1]Brand Family Territories (Enc)'!$B$2:$B$62,C874,'[1]Brand Family Territories (Enc)'!$C$2:$C$62,"Morri")&gt;0),"Unk",0))</f>
        <v>1</v>
      </c>
      <c r="E874" s="2" t="str">
        <f>IFERROR(INDEX('Blackout Brand Fam Areas (Enc)'!$D$6:$D$998,MATCH(UPPER(A874)&amp;"|"&amp;UPPER(B874),'Blackout Brand Fam Areas (Enc)'!$G$6:$G$998,0)),"No Match")</f>
        <v>No Match</v>
      </c>
      <c r="F874" s="2" t="str">
        <f t="shared" si="26"/>
        <v>US</v>
      </c>
      <c r="G874" s="2" t="str">
        <f t="shared" si="27"/>
        <v>The Drop|PASSAIC-FF</v>
      </c>
    </row>
    <row r="875" spans="1:7" x14ac:dyDescent="0.2">
      <c r="A875" s="2" t="str" cm="1">
        <f t="array" ref="A875">INDEX('[1]Brand Family Territory (Enc)'!$A$2:$A$296,INT((ROW()-2)/10)+1)</f>
        <v>The Drop</v>
      </c>
      <c r="B875" s="2" t="str" cm="1">
        <f t="array" ref="B875">INDEX('Whitelist (Blackout Reverse)'!$B$1:$K$1,MOD(ROW()-2,10)+1)</f>
        <v>ESSEX</v>
      </c>
      <c r="C875" s="2" t="str">
        <f>VLOOKUP(A875,'[1]Brand Family Territory (Enc)'!$A$2:$B$296,2,FALSE)</f>
        <v>Core Market</v>
      </c>
      <c r="D875" s="2">
        <f>IF(COUNTIFS('[1]Brand Family Territories (Enc)'!$B$2:$B$62,C875,'[1]Brand Family Territories (Enc)'!$C$2:$C$62,B875)&gt;0,1,IF(AND(LEFT(B875,6)="MORRIS",COUNTIFS('[1]Brand Family Territories (Enc)'!$B$2:$B$62,C875,'[1]Brand Family Territories (Enc)'!$C$2:$C$62,"Morri")&gt;0),"Unk",0))</f>
        <v>0</v>
      </c>
      <c r="E875" s="2" t="str">
        <f>IFERROR(INDEX('Blackout Brand Fam Areas (Enc)'!$D$6:$D$998,MATCH(UPPER(A875)&amp;"|"&amp;UPPER(B875),'Blackout Brand Fam Areas (Enc)'!$G$6:$G$998,0)),"No Match")</f>
        <v>Inactive</v>
      </c>
      <c r="F875" s="2" t="str">
        <f t="shared" si="26"/>
        <v>THEM</v>
      </c>
      <c r="G875" s="2" t="str">
        <f t="shared" si="27"/>
        <v>The Drop|ESSEX</v>
      </c>
    </row>
    <row r="876" spans="1:7" x14ac:dyDescent="0.2">
      <c r="A876" s="2" t="str" cm="1">
        <f t="array" ref="A876">INDEX('[1]Brand Family Territory (Enc)'!$A$2:$A$296,INT((ROW()-2)/10)+1)</f>
        <v>The Drop</v>
      </c>
      <c r="B876" s="2" t="str" cm="1">
        <f t="array" ref="B876">INDEX('Whitelist (Blackout Reverse)'!$B$1:$K$1,MOD(ROW()-2,10)+1)</f>
        <v>HUDSON</v>
      </c>
      <c r="C876" s="2" t="str">
        <f>VLOOKUP(A876,'[1]Brand Family Territory (Enc)'!$A$2:$B$296,2,FALSE)</f>
        <v>Core Market</v>
      </c>
      <c r="D876" s="2">
        <f>IF(COUNTIFS('[1]Brand Family Territories (Enc)'!$B$2:$B$62,C876,'[1]Brand Family Territories (Enc)'!$C$2:$C$62,B876)&gt;0,1,IF(AND(LEFT(B876,6)="MORRIS",COUNTIFS('[1]Brand Family Territories (Enc)'!$B$2:$B$62,C876,'[1]Brand Family Territories (Enc)'!$C$2:$C$62,"Morri")&gt;0),"Unk",0))</f>
        <v>0</v>
      </c>
      <c r="E876" s="2" t="str">
        <f>IFERROR(INDEX('Blackout Brand Fam Areas (Enc)'!$D$6:$D$998,MATCH(UPPER(A876)&amp;"|"&amp;UPPER(B876),'Blackout Brand Fam Areas (Enc)'!$G$6:$G$998,0)),"No Match")</f>
        <v>Inactive</v>
      </c>
      <c r="F876" s="2" t="str">
        <f t="shared" si="26"/>
        <v>THEM</v>
      </c>
      <c r="G876" s="2" t="str">
        <f t="shared" si="27"/>
        <v>The Drop|HUDSON</v>
      </c>
    </row>
    <row r="877" spans="1:7" x14ac:dyDescent="0.2">
      <c r="A877" s="2" t="str" cm="1">
        <f t="array" ref="A877">INDEX('[1]Brand Family Territory (Enc)'!$A$2:$A$296,INT((ROW()-2)/10)+1)</f>
        <v>The Drop</v>
      </c>
      <c r="B877" s="2" t="str" cm="1">
        <f t="array" ref="B877">INDEX('Whitelist (Blackout Reverse)'!$B$1:$K$1,MOD(ROW()-2,10)+1)</f>
        <v>UNION</v>
      </c>
      <c r="C877" s="2" t="str">
        <f>VLOOKUP(A877,'[1]Brand Family Territory (Enc)'!$A$2:$B$296,2,FALSE)</f>
        <v>Core Market</v>
      </c>
      <c r="D877" s="2">
        <f>IF(COUNTIFS('[1]Brand Family Territories (Enc)'!$B$2:$B$62,C877,'[1]Brand Family Territories (Enc)'!$C$2:$C$62,B877)&gt;0,1,IF(AND(LEFT(B877,6)="MORRIS",COUNTIFS('[1]Brand Family Territories (Enc)'!$B$2:$B$62,C877,'[1]Brand Family Territories (Enc)'!$C$2:$C$62,"Morri")&gt;0),"Unk",0))</f>
        <v>0</v>
      </c>
      <c r="E877" s="2" t="str">
        <f>IFERROR(INDEX('Blackout Brand Fam Areas (Enc)'!$D$6:$D$998,MATCH(UPPER(A877)&amp;"|"&amp;UPPER(B877),'Blackout Brand Fam Areas (Enc)'!$G$6:$G$998,0)),"No Match")</f>
        <v>Inactive</v>
      </c>
      <c r="F877" s="2" t="str">
        <f t="shared" si="26"/>
        <v>THEM</v>
      </c>
      <c r="G877" s="2" t="str">
        <f t="shared" si="27"/>
        <v>The Drop|UNION</v>
      </c>
    </row>
    <row r="878" spans="1:7" x14ac:dyDescent="0.2">
      <c r="A878" s="2" t="str" cm="1">
        <f t="array" ref="A878">INDEX('[1]Brand Family Territory (Enc)'!$A$2:$A$296,INT((ROW()-2)/10)+1)</f>
        <v>The Drop</v>
      </c>
      <c r="B878" s="2" t="str" cm="1">
        <f t="array" ref="B878">INDEX('Whitelist (Blackout Reverse)'!$B$1:$K$1,MOD(ROW()-2,10)+1)</f>
        <v>SUSSEX</v>
      </c>
      <c r="C878" s="2" t="str">
        <f>VLOOKUP(A878,'[1]Brand Family Territory (Enc)'!$A$2:$B$296,2,FALSE)</f>
        <v>Core Market</v>
      </c>
      <c r="D878" s="2">
        <f>IF(COUNTIFS('[1]Brand Family Territories (Enc)'!$B$2:$B$62,C878,'[1]Brand Family Territories (Enc)'!$C$2:$C$62,B878)&gt;0,1,IF(AND(LEFT(B878,6)="MORRIS",COUNTIFS('[1]Brand Family Territories (Enc)'!$B$2:$B$62,C878,'[1]Brand Family Territories (Enc)'!$C$2:$C$62,"Morri")&gt;0),"Unk",0))</f>
        <v>1</v>
      </c>
      <c r="E878" s="2" t="str">
        <f>IFERROR(INDEX('Blackout Brand Fam Areas (Enc)'!$D$6:$D$998,MATCH(UPPER(A878)&amp;"|"&amp;UPPER(B878),'Blackout Brand Fam Areas (Enc)'!$G$6:$G$998,0)),"No Match")</f>
        <v>No Match</v>
      </c>
      <c r="F878" s="2" t="str">
        <f t="shared" si="26"/>
        <v>US</v>
      </c>
      <c r="G878" s="2" t="str">
        <f t="shared" si="27"/>
        <v>The Drop|SUSSEX</v>
      </c>
    </row>
    <row r="879" spans="1:7" x14ac:dyDescent="0.2">
      <c r="A879" s="2" t="str" cm="1">
        <f t="array" ref="A879">INDEX('[1]Brand Family Territory (Enc)'!$A$2:$A$296,INT((ROW()-2)/10)+1)</f>
        <v>The Drop</v>
      </c>
      <c r="B879" s="2" t="str" cm="1">
        <f t="array" ref="B879">INDEX('Whitelist (Blackout Reverse)'!$B$1:$K$1,MOD(ROW()-2,10)+1)</f>
        <v>MORRIS 1</v>
      </c>
      <c r="C879" s="2" t="str">
        <f>VLOOKUP(A879,'[1]Brand Family Territory (Enc)'!$A$2:$B$296,2,FALSE)</f>
        <v>Core Market</v>
      </c>
      <c r="D879" s="2">
        <f>IF(COUNTIFS('[1]Brand Family Territories (Enc)'!$B$2:$B$62,C879,'[1]Brand Family Territories (Enc)'!$C$2:$C$62,B879)&gt;0,1,IF(AND(LEFT(B879,6)="MORRIS",COUNTIFS('[1]Brand Family Territories (Enc)'!$B$2:$B$62,C879,'[1]Brand Family Territories (Enc)'!$C$2:$C$62,"Morri")&gt;0),"Unk",0))</f>
        <v>1</v>
      </c>
      <c r="E879" s="2" t="str">
        <f>IFERROR(INDEX('Blackout Brand Fam Areas (Enc)'!$D$6:$D$998,MATCH(UPPER(A879)&amp;"|"&amp;UPPER(B879),'Blackout Brand Fam Areas (Enc)'!$G$6:$G$998,0)),"No Match")</f>
        <v>No Match</v>
      </c>
      <c r="F879" s="2" t="str">
        <f t="shared" si="26"/>
        <v>US</v>
      </c>
      <c r="G879" s="2" t="str">
        <f t="shared" si="27"/>
        <v>The Drop|MORRIS 1</v>
      </c>
    </row>
    <row r="880" spans="1:7" x14ac:dyDescent="0.2">
      <c r="A880" s="2" t="str" cm="1">
        <f t="array" ref="A880">INDEX('[1]Brand Family Territory (Enc)'!$A$2:$A$296,INT((ROW()-2)/10)+1)</f>
        <v>The Drop</v>
      </c>
      <c r="B880" s="2" t="str" cm="1">
        <f t="array" ref="B880">INDEX('Whitelist (Blackout Reverse)'!$B$1:$K$1,MOD(ROW()-2,10)+1)</f>
        <v>MORRIS 2</v>
      </c>
      <c r="C880" s="2" t="str">
        <f>VLOOKUP(A880,'[1]Brand Family Territory (Enc)'!$A$2:$B$296,2,FALSE)</f>
        <v>Core Market</v>
      </c>
      <c r="D880" s="2">
        <f>IF(COUNTIFS('[1]Brand Family Territories (Enc)'!$B$2:$B$62,C880,'[1]Brand Family Territories (Enc)'!$C$2:$C$62,B880)&gt;0,1,IF(AND(LEFT(B880,6)="MORRIS",COUNTIFS('[1]Brand Family Territories (Enc)'!$B$2:$B$62,C880,'[1]Brand Family Territories (Enc)'!$C$2:$C$62,"Morri")&gt;0),"Unk",0))</f>
        <v>0</v>
      </c>
      <c r="E880" s="2" t="str">
        <f>IFERROR(INDEX('Blackout Brand Fam Areas (Enc)'!$D$6:$D$998,MATCH(UPPER(A880)&amp;"|"&amp;UPPER(B880),'Blackout Brand Fam Areas (Enc)'!$G$6:$G$998,0)),"No Match")</f>
        <v>Inactive</v>
      </c>
      <c r="F880" s="2" t="str">
        <f t="shared" si="26"/>
        <v>THEM</v>
      </c>
      <c r="G880" s="2" t="str">
        <f t="shared" si="27"/>
        <v>The Drop|MORRIS 2</v>
      </c>
    </row>
    <row r="881" spans="1:7" x14ac:dyDescent="0.2">
      <c r="A881" s="2" t="str" cm="1">
        <f t="array" ref="A881">INDEX('[1]Brand Family Territory (Enc)'!$A$2:$A$296,INT((ROW()-2)/10)+1)</f>
        <v>The Drop</v>
      </c>
      <c r="B881" s="2" t="str" cm="1">
        <f t="array" ref="B881">INDEX('Whitelist (Blackout Reverse)'!$B$1:$K$1,MOD(ROW()-2,10)+1)</f>
        <v>MORRIS 3</v>
      </c>
      <c r="C881" s="2" t="str">
        <f>VLOOKUP(A881,'[1]Brand Family Territory (Enc)'!$A$2:$B$296,2,FALSE)</f>
        <v>Core Market</v>
      </c>
      <c r="D881" s="2">
        <f>IF(COUNTIFS('[1]Brand Family Territories (Enc)'!$B$2:$B$62,C881,'[1]Brand Family Territories (Enc)'!$C$2:$C$62,B881)&gt;0,1,IF(AND(LEFT(B881,6)="MORRIS",COUNTIFS('[1]Brand Family Territories (Enc)'!$B$2:$B$62,C881,'[1]Brand Family Territories (Enc)'!$C$2:$C$62,"Morri")&gt;0),"Unk",0))</f>
        <v>1</v>
      </c>
      <c r="E881" s="2" t="str">
        <f>IFERROR(INDEX('Blackout Brand Fam Areas (Enc)'!$D$6:$D$998,MATCH(UPPER(A881)&amp;"|"&amp;UPPER(B881),'Blackout Brand Fam Areas (Enc)'!$G$6:$G$998,0)),"No Match")</f>
        <v>No Match</v>
      </c>
      <c r="F881" s="2" t="str">
        <f t="shared" si="26"/>
        <v>US</v>
      </c>
      <c r="G881" s="2" t="str">
        <f t="shared" si="27"/>
        <v>The Drop|MORRIS 3</v>
      </c>
    </row>
    <row r="882" spans="1:7" x14ac:dyDescent="0.2">
      <c r="A882" s="2" t="str" cm="1">
        <f t="array" ref="A882">INDEX('[1]Brand Family Territory (Enc)'!$A$2:$A$296,INT((ROW()-2)/10)+1)</f>
        <v>Topo Chico</v>
      </c>
      <c r="B882" s="2" t="str" cm="1">
        <f t="array" ref="B882">INDEX('Whitelist (Blackout Reverse)'!$B$1:$K$1,MOD(ROW()-2,10)+1)</f>
        <v>BERGEN</v>
      </c>
      <c r="C882" s="2" t="str">
        <f>VLOOKUP(A882,'[1]Brand Family Territory (Enc)'!$A$2:$B$296,2,FALSE)</f>
        <v>Core Market</v>
      </c>
      <c r="D882" s="2">
        <f>IF(COUNTIFS('[1]Brand Family Territories (Enc)'!$B$2:$B$62,C882,'[1]Brand Family Territories (Enc)'!$C$2:$C$62,B882)&gt;0,1,IF(AND(LEFT(B882,6)="MORRIS",COUNTIFS('[1]Brand Family Territories (Enc)'!$B$2:$B$62,C882,'[1]Brand Family Territories (Enc)'!$C$2:$C$62,"Morri")&gt;0),"Unk",0))</f>
        <v>1</v>
      </c>
      <c r="E882" s="2" t="str">
        <f>IFERROR(INDEX('Blackout Brand Fam Areas (Enc)'!$D$6:$D$998,MATCH(UPPER(A882)&amp;"|"&amp;UPPER(B882),'Blackout Brand Fam Areas (Enc)'!$G$6:$G$998,0)),"No Match")</f>
        <v>No Match</v>
      </c>
      <c r="F882" s="2" t="str">
        <f t="shared" si="26"/>
        <v>US</v>
      </c>
      <c r="G882" s="2" t="str">
        <f t="shared" si="27"/>
        <v>Topo Chico|BERGEN</v>
      </c>
    </row>
    <row r="883" spans="1:7" x14ac:dyDescent="0.2">
      <c r="A883" s="2" t="str" cm="1">
        <f t="array" ref="A883">INDEX('[1]Brand Family Territory (Enc)'!$A$2:$A$296,INT((ROW()-2)/10)+1)</f>
        <v>Topo Chico</v>
      </c>
      <c r="B883" s="2" t="str" cm="1">
        <f t="array" ref="B883">INDEX('Whitelist (Blackout Reverse)'!$B$1:$K$1,MOD(ROW()-2,10)+1)</f>
        <v>PASSAIC</v>
      </c>
      <c r="C883" s="2" t="str">
        <f>VLOOKUP(A883,'[1]Brand Family Territory (Enc)'!$A$2:$B$296,2,FALSE)</f>
        <v>Core Market</v>
      </c>
      <c r="D883" s="2">
        <f>IF(COUNTIFS('[1]Brand Family Territories (Enc)'!$B$2:$B$62,C883,'[1]Brand Family Territories (Enc)'!$C$2:$C$62,B883)&gt;0,1,IF(AND(LEFT(B883,6)="MORRIS",COUNTIFS('[1]Brand Family Territories (Enc)'!$B$2:$B$62,C883,'[1]Brand Family Territories (Enc)'!$C$2:$C$62,"Morri")&gt;0),"Unk",0))</f>
        <v>1</v>
      </c>
      <c r="E883" s="2" t="str">
        <f>IFERROR(INDEX('Blackout Brand Fam Areas (Enc)'!$D$6:$D$998,MATCH(UPPER(A883)&amp;"|"&amp;UPPER(B883),'Blackout Brand Fam Areas (Enc)'!$G$6:$G$998,0)),"No Match")</f>
        <v>No Match</v>
      </c>
      <c r="F883" s="2" t="str">
        <f t="shared" si="26"/>
        <v>US</v>
      </c>
      <c r="G883" s="2" t="str">
        <f t="shared" si="27"/>
        <v>Topo Chico|PASSAIC</v>
      </c>
    </row>
    <row r="884" spans="1:7" x14ac:dyDescent="0.2">
      <c r="A884" s="2" t="str" cm="1">
        <f t="array" ref="A884">INDEX('[1]Brand Family Territory (Enc)'!$A$2:$A$296,INT((ROW()-2)/10)+1)</f>
        <v>Topo Chico</v>
      </c>
      <c r="B884" s="2" t="str" cm="1">
        <f t="array" ref="B884">INDEX('Whitelist (Blackout Reverse)'!$B$1:$K$1,MOD(ROW()-2,10)+1)</f>
        <v>PASSAIC-FF</v>
      </c>
      <c r="C884" s="2" t="str">
        <f>VLOOKUP(A884,'[1]Brand Family Territory (Enc)'!$A$2:$B$296,2,FALSE)</f>
        <v>Core Market</v>
      </c>
      <c r="D884" s="2">
        <f>IF(COUNTIFS('[1]Brand Family Territories (Enc)'!$B$2:$B$62,C884,'[1]Brand Family Territories (Enc)'!$C$2:$C$62,B884)&gt;0,1,IF(AND(LEFT(B884,6)="MORRIS",COUNTIFS('[1]Brand Family Territories (Enc)'!$B$2:$B$62,C884,'[1]Brand Family Territories (Enc)'!$C$2:$C$62,"Morri")&gt;0),"Unk",0))</f>
        <v>1</v>
      </c>
      <c r="E884" s="2" t="str">
        <f>IFERROR(INDEX('Blackout Brand Fam Areas (Enc)'!$D$6:$D$998,MATCH(UPPER(A884)&amp;"|"&amp;UPPER(B884),'Blackout Brand Fam Areas (Enc)'!$G$6:$G$998,0)),"No Match")</f>
        <v>No Match</v>
      </c>
      <c r="F884" s="2" t="str">
        <f t="shared" si="26"/>
        <v>US</v>
      </c>
      <c r="G884" s="2" t="str">
        <f t="shared" si="27"/>
        <v>Topo Chico|PASSAIC-FF</v>
      </c>
    </row>
    <row r="885" spans="1:7" x14ac:dyDescent="0.2">
      <c r="A885" s="2" t="str" cm="1">
        <f t="array" ref="A885">INDEX('[1]Brand Family Territory (Enc)'!$A$2:$A$296,INT((ROW()-2)/10)+1)</f>
        <v>Topo Chico</v>
      </c>
      <c r="B885" s="2" t="str" cm="1">
        <f t="array" ref="B885">INDEX('Whitelist (Blackout Reverse)'!$B$1:$K$1,MOD(ROW()-2,10)+1)</f>
        <v>ESSEX</v>
      </c>
      <c r="C885" s="2" t="str">
        <f>VLOOKUP(A885,'[1]Brand Family Territory (Enc)'!$A$2:$B$296,2,FALSE)</f>
        <v>Core Market</v>
      </c>
      <c r="D885" s="2">
        <f>IF(COUNTIFS('[1]Brand Family Territories (Enc)'!$B$2:$B$62,C885,'[1]Brand Family Territories (Enc)'!$C$2:$C$62,B885)&gt;0,1,IF(AND(LEFT(B885,6)="MORRIS",COUNTIFS('[1]Brand Family Territories (Enc)'!$B$2:$B$62,C885,'[1]Brand Family Territories (Enc)'!$C$2:$C$62,"Morri")&gt;0),"Unk",0))</f>
        <v>0</v>
      </c>
      <c r="E885" s="2" t="str">
        <f>IFERROR(INDEX('Blackout Brand Fam Areas (Enc)'!$D$6:$D$998,MATCH(UPPER(A885)&amp;"|"&amp;UPPER(B885),'Blackout Brand Fam Areas (Enc)'!$G$6:$G$998,0)),"No Match")</f>
        <v>Inactive</v>
      </c>
      <c r="F885" s="2" t="str">
        <f t="shared" si="26"/>
        <v>THEM</v>
      </c>
      <c r="G885" s="2" t="str">
        <f t="shared" si="27"/>
        <v>Topo Chico|ESSEX</v>
      </c>
    </row>
    <row r="886" spans="1:7" x14ac:dyDescent="0.2">
      <c r="A886" s="2" t="str" cm="1">
        <f t="array" ref="A886">INDEX('[1]Brand Family Territory (Enc)'!$A$2:$A$296,INT((ROW()-2)/10)+1)</f>
        <v>Topo Chico</v>
      </c>
      <c r="B886" s="2" t="str" cm="1">
        <f t="array" ref="B886">INDEX('Whitelist (Blackout Reverse)'!$B$1:$K$1,MOD(ROW()-2,10)+1)</f>
        <v>HUDSON</v>
      </c>
      <c r="C886" s="2" t="str">
        <f>VLOOKUP(A886,'[1]Brand Family Territory (Enc)'!$A$2:$B$296,2,FALSE)</f>
        <v>Core Market</v>
      </c>
      <c r="D886" s="2">
        <f>IF(COUNTIFS('[1]Brand Family Territories (Enc)'!$B$2:$B$62,C886,'[1]Brand Family Territories (Enc)'!$C$2:$C$62,B886)&gt;0,1,IF(AND(LEFT(B886,6)="MORRIS",COUNTIFS('[1]Brand Family Territories (Enc)'!$B$2:$B$62,C886,'[1]Brand Family Territories (Enc)'!$C$2:$C$62,"Morri")&gt;0),"Unk",0))</f>
        <v>0</v>
      </c>
      <c r="E886" s="2" t="str">
        <f>IFERROR(INDEX('Blackout Brand Fam Areas (Enc)'!$D$6:$D$998,MATCH(UPPER(A886)&amp;"|"&amp;UPPER(B886),'Blackout Brand Fam Areas (Enc)'!$G$6:$G$998,0)),"No Match")</f>
        <v>Inactive</v>
      </c>
      <c r="F886" s="2" t="str">
        <f t="shared" si="26"/>
        <v>THEM</v>
      </c>
      <c r="G886" s="2" t="str">
        <f t="shared" si="27"/>
        <v>Topo Chico|HUDSON</v>
      </c>
    </row>
    <row r="887" spans="1:7" x14ac:dyDescent="0.2">
      <c r="A887" s="2" t="str" cm="1">
        <f t="array" ref="A887">INDEX('[1]Brand Family Territory (Enc)'!$A$2:$A$296,INT((ROW()-2)/10)+1)</f>
        <v>Topo Chico</v>
      </c>
      <c r="B887" s="2" t="str" cm="1">
        <f t="array" ref="B887">INDEX('Whitelist (Blackout Reverse)'!$B$1:$K$1,MOD(ROW()-2,10)+1)</f>
        <v>UNION</v>
      </c>
      <c r="C887" s="2" t="str">
        <f>VLOOKUP(A887,'[1]Brand Family Territory (Enc)'!$A$2:$B$296,2,FALSE)</f>
        <v>Core Market</v>
      </c>
      <c r="D887" s="2">
        <f>IF(COUNTIFS('[1]Brand Family Territories (Enc)'!$B$2:$B$62,C887,'[1]Brand Family Territories (Enc)'!$C$2:$C$62,B887)&gt;0,1,IF(AND(LEFT(B887,6)="MORRIS",COUNTIFS('[1]Brand Family Territories (Enc)'!$B$2:$B$62,C887,'[1]Brand Family Territories (Enc)'!$C$2:$C$62,"Morri")&gt;0),"Unk",0))</f>
        <v>0</v>
      </c>
      <c r="E887" s="2" t="str">
        <f>IFERROR(INDEX('Blackout Brand Fam Areas (Enc)'!$D$6:$D$998,MATCH(UPPER(A887)&amp;"|"&amp;UPPER(B887),'Blackout Brand Fam Areas (Enc)'!$G$6:$G$998,0)),"No Match")</f>
        <v>Inactive</v>
      </c>
      <c r="F887" s="2" t="str">
        <f t="shared" si="26"/>
        <v>THEM</v>
      </c>
      <c r="G887" s="2" t="str">
        <f t="shared" si="27"/>
        <v>Topo Chico|UNION</v>
      </c>
    </row>
    <row r="888" spans="1:7" x14ac:dyDescent="0.2">
      <c r="A888" s="2" t="str" cm="1">
        <f t="array" ref="A888">INDEX('[1]Brand Family Territory (Enc)'!$A$2:$A$296,INT((ROW()-2)/10)+1)</f>
        <v>Topo Chico</v>
      </c>
      <c r="B888" s="2" t="str" cm="1">
        <f t="array" ref="B888">INDEX('Whitelist (Blackout Reverse)'!$B$1:$K$1,MOD(ROW()-2,10)+1)</f>
        <v>SUSSEX</v>
      </c>
      <c r="C888" s="2" t="str">
        <f>VLOOKUP(A888,'[1]Brand Family Territory (Enc)'!$A$2:$B$296,2,FALSE)</f>
        <v>Core Market</v>
      </c>
      <c r="D888" s="2">
        <f>IF(COUNTIFS('[1]Brand Family Territories (Enc)'!$B$2:$B$62,C888,'[1]Brand Family Territories (Enc)'!$C$2:$C$62,B888)&gt;0,1,IF(AND(LEFT(B888,6)="MORRIS",COUNTIFS('[1]Brand Family Territories (Enc)'!$B$2:$B$62,C888,'[1]Brand Family Territories (Enc)'!$C$2:$C$62,"Morri")&gt;0),"Unk",0))</f>
        <v>1</v>
      </c>
      <c r="E888" s="2" t="str">
        <f>IFERROR(INDEX('Blackout Brand Fam Areas (Enc)'!$D$6:$D$998,MATCH(UPPER(A888)&amp;"|"&amp;UPPER(B888),'Blackout Brand Fam Areas (Enc)'!$G$6:$G$998,0)),"No Match")</f>
        <v>No Match</v>
      </c>
      <c r="F888" s="2" t="str">
        <f t="shared" si="26"/>
        <v>US</v>
      </c>
      <c r="G888" s="2" t="str">
        <f t="shared" si="27"/>
        <v>Topo Chico|SUSSEX</v>
      </c>
    </row>
    <row r="889" spans="1:7" x14ac:dyDescent="0.2">
      <c r="A889" s="2" t="str" cm="1">
        <f t="array" ref="A889">INDEX('[1]Brand Family Territory (Enc)'!$A$2:$A$296,INT((ROW()-2)/10)+1)</f>
        <v>Topo Chico</v>
      </c>
      <c r="B889" s="2" t="str" cm="1">
        <f t="array" ref="B889">INDEX('Whitelist (Blackout Reverse)'!$B$1:$K$1,MOD(ROW()-2,10)+1)</f>
        <v>MORRIS 1</v>
      </c>
      <c r="C889" s="2" t="str">
        <f>VLOOKUP(A889,'[1]Brand Family Territory (Enc)'!$A$2:$B$296,2,FALSE)</f>
        <v>Core Market</v>
      </c>
      <c r="D889" s="2">
        <f>IF(COUNTIFS('[1]Brand Family Territories (Enc)'!$B$2:$B$62,C889,'[1]Brand Family Territories (Enc)'!$C$2:$C$62,B889)&gt;0,1,IF(AND(LEFT(B889,6)="MORRIS",COUNTIFS('[1]Brand Family Territories (Enc)'!$B$2:$B$62,C889,'[1]Brand Family Territories (Enc)'!$C$2:$C$62,"Morri")&gt;0),"Unk",0))</f>
        <v>1</v>
      </c>
      <c r="E889" s="2" t="str">
        <f>IFERROR(INDEX('Blackout Brand Fam Areas (Enc)'!$D$6:$D$998,MATCH(UPPER(A889)&amp;"|"&amp;UPPER(B889),'Blackout Brand Fam Areas (Enc)'!$G$6:$G$998,0)),"No Match")</f>
        <v>No Match</v>
      </c>
      <c r="F889" s="2" t="str">
        <f t="shared" si="26"/>
        <v>US</v>
      </c>
      <c r="G889" s="2" t="str">
        <f t="shared" si="27"/>
        <v>Topo Chico|MORRIS 1</v>
      </c>
    </row>
    <row r="890" spans="1:7" x14ac:dyDescent="0.2">
      <c r="A890" s="2" t="str" cm="1">
        <f t="array" ref="A890">INDEX('[1]Brand Family Territory (Enc)'!$A$2:$A$296,INT((ROW()-2)/10)+1)</f>
        <v>Topo Chico</v>
      </c>
      <c r="B890" s="2" t="str" cm="1">
        <f t="array" ref="B890">INDEX('Whitelist (Blackout Reverse)'!$B$1:$K$1,MOD(ROW()-2,10)+1)</f>
        <v>MORRIS 2</v>
      </c>
      <c r="C890" s="2" t="str">
        <f>VLOOKUP(A890,'[1]Brand Family Territory (Enc)'!$A$2:$B$296,2,FALSE)</f>
        <v>Core Market</v>
      </c>
      <c r="D890" s="2">
        <f>IF(COUNTIFS('[1]Brand Family Territories (Enc)'!$B$2:$B$62,C890,'[1]Brand Family Territories (Enc)'!$C$2:$C$62,B890)&gt;0,1,IF(AND(LEFT(B890,6)="MORRIS",COUNTIFS('[1]Brand Family Territories (Enc)'!$B$2:$B$62,C890,'[1]Brand Family Territories (Enc)'!$C$2:$C$62,"Morri")&gt;0),"Unk",0))</f>
        <v>0</v>
      </c>
      <c r="E890" s="2" t="str">
        <f>IFERROR(INDEX('Blackout Brand Fam Areas (Enc)'!$D$6:$D$998,MATCH(UPPER(A890)&amp;"|"&amp;UPPER(B890),'Blackout Brand Fam Areas (Enc)'!$G$6:$G$998,0)),"No Match")</f>
        <v>Inactive</v>
      </c>
      <c r="F890" s="2" t="str">
        <f t="shared" si="26"/>
        <v>THEM</v>
      </c>
      <c r="G890" s="2" t="str">
        <f t="shared" si="27"/>
        <v>Topo Chico|MORRIS 2</v>
      </c>
    </row>
    <row r="891" spans="1:7" x14ac:dyDescent="0.2">
      <c r="A891" s="2" t="str" cm="1">
        <f t="array" ref="A891">INDEX('[1]Brand Family Territory (Enc)'!$A$2:$A$296,INT((ROW()-2)/10)+1)</f>
        <v>Topo Chico</v>
      </c>
      <c r="B891" s="2" t="str" cm="1">
        <f t="array" ref="B891">INDEX('Whitelist (Blackout Reverse)'!$B$1:$K$1,MOD(ROW()-2,10)+1)</f>
        <v>MORRIS 3</v>
      </c>
      <c r="C891" s="2" t="str">
        <f>VLOOKUP(A891,'[1]Brand Family Territory (Enc)'!$A$2:$B$296,2,FALSE)</f>
        <v>Core Market</v>
      </c>
      <c r="D891" s="2">
        <f>IF(COUNTIFS('[1]Brand Family Territories (Enc)'!$B$2:$B$62,C891,'[1]Brand Family Territories (Enc)'!$C$2:$C$62,B891)&gt;0,1,IF(AND(LEFT(B891,6)="MORRIS",COUNTIFS('[1]Brand Family Territories (Enc)'!$B$2:$B$62,C891,'[1]Brand Family Territories (Enc)'!$C$2:$C$62,"Morri")&gt;0),"Unk",0))</f>
        <v>1</v>
      </c>
      <c r="E891" s="2" t="str">
        <f>IFERROR(INDEX('Blackout Brand Fam Areas (Enc)'!$D$6:$D$998,MATCH(UPPER(A891)&amp;"|"&amp;UPPER(B891),'Blackout Brand Fam Areas (Enc)'!$G$6:$G$998,0)),"No Match")</f>
        <v>No Match</v>
      </c>
      <c r="F891" s="2" t="str">
        <f t="shared" si="26"/>
        <v>US</v>
      </c>
      <c r="G891" s="2" t="str">
        <f t="shared" si="27"/>
        <v>Topo Chico|MORRIS 3</v>
      </c>
    </row>
    <row r="892" spans="1:7" x14ac:dyDescent="0.2">
      <c r="A892" s="2" t="str" cm="1">
        <f t="array" ref="A892">INDEX('[1]Brand Family Territory (Enc)'!$A$2:$A$296,INT((ROW()-2)/10)+1)</f>
        <v>Truly</v>
      </c>
      <c r="B892" s="2" t="str" cm="1">
        <f t="array" ref="B892">INDEX('Whitelist (Blackout Reverse)'!$B$1:$K$1,MOD(ROW()-2,10)+1)</f>
        <v>BERGEN</v>
      </c>
      <c r="C892" s="2" t="str">
        <f>VLOOKUP(A892,'[1]Brand Family Territory (Enc)'!$A$2:$B$296,2,FALSE)</f>
        <v>Core Market</v>
      </c>
      <c r="D892" s="2">
        <f>IF(COUNTIFS('[1]Brand Family Territories (Enc)'!$B$2:$B$62,C892,'[1]Brand Family Territories (Enc)'!$C$2:$C$62,B892)&gt;0,1,IF(AND(LEFT(B892,6)="MORRIS",COUNTIFS('[1]Brand Family Territories (Enc)'!$B$2:$B$62,C892,'[1]Brand Family Territories (Enc)'!$C$2:$C$62,"Morri")&gt;0),"Unk",0))</f>
        <v>1</v>
      </c>
      <c r="E892" s="2" t="str">
        <f>IFERROR(INDEX('Blackout Brand Fam Areas (Enc)'!$D$6:$D$998,MATCH(UPPER(A892)&amp;"|"&amp;UPPER(B892),'Blackout Brand Fam Areas (Enc)'!$G$6:$G$998,0)),"No Match")</f>
        <v>No Match</v>
      </c>
      <c r="F892" s="2" t="str">
        <f t="shared" si="26"/>
        <v>US</v>
      </c>
      <c r="G892" s="2" t="str">
        <f t="shared" si="27"/>
        <v>Truly|BERGEN</v>
      </c>
    </row>
    <row r="893" spans="1:7" x14ac:dyDescent="0.2">
      <c r="A893" s="2" t="str" cm="1">
        <f t="array" ref="A893">INDEX('[1]Brand Family Territory (Enc)'!$A$2:$A$296,INT((ROW()-2)/10)+1)</f>
        <v>Truly</v>
      </c>
      <c r="B893" s="2" t="str" cm="1">
        <f t="array" ref="B893">INDEX('Whitelist (Blackout Reverse)'!$B$1:$K$1,MOD(ROW()-2,10)+1)</f>
        <v>PASSAIC</v>
      </c>
      <c r="C893" s="2" t="str">
        <f>VLOOKUP(A893,'[1]Brand Family Territory (Enc)'!$A$2:$B$296,2,FALSE)</f>
        <v>Core Market</v>
      </c>
      <c r="D893" s="2">
        <f>IF(COUNTIFS('[1]Brand Family Territories (Enc)'!$B$2:$B$62,C893,'[1]Brand Family Territories (Enc)'!$C$2:$C$62,B893)&gt;0,1,IF(AND(LEFT(B893,6)="MORRIS",COUNTIFS('[1]Brand Family Territories (Enc)'!$B$2:$B$62,C893,'[1]Brand Family Territories (Enc)'!$C$2:$C$62,"Morri")&gt;0),"Unk",0))</f>
        <v>1</v>
      </c>
      <c r="E893" s="2" t="str">
        <f>IFERROR(INDEX('Blackout Brand Fam Areas (Enc)'!$D$6:$D$998,MATCH(UPPER(A893)&amp;"|"&amp;UPPER(B893),'Blackout Brand Fam Areas (Enc)'!$G$6:$G$998,0)),"No Match")</f>
        <v>No Match</v>
      </c>
      <c r="F893" s="2" t="str">
        <f t="shared" si="26"/>
        <v>US</v>
      </c>
      <c r="G893" s="2" t="str">
        <f t="shared" si="27"/>
        <v>Truly|PASSAIC</v>
      </c>
    </row>
    <row r="894" spans="1:7" x14ac:dyDescent="0.2">
      <c r="A894" s="2" t="str" cm="1">
        <f t="array" ref="A894">INDEX('[1]Brand Family Territory (Enc)'!$A$2:$A$296,INT((ROW()-2)/10)+1)</f>
        <v>Truly</v>
      </c>
      <c r="B894" s="2" t="str" cm="1">
        <f t="array" ref="B894">INDEX('Whitelist (Blackout Reverse)'!$B$1:$K$1,MOD(ROW()-2,10)+1)</f>
        <v>PASSAIC-FF</v>
      </c>
      <c r="C894" s="2" t="str">
        <f>VLOOKUP(A894,'[1]Brand Family Territory (Enc)'!$A$2:$B$296,2,FALSE)</f>
        <v>Core Market</v>
      </c>
      <c r="D894" s="2">
        <f>IF(COUNTIFS('[1]Brand Family Territories (Enc)'!$B$2:$B$62,C894,'[1]Brand Family Territories (Enc)'!$C$2:$C$62,B894)&gt;0,1,IF(AND(LEFT(B894,6)="MORRIS",COUNTIFS('[1]Brand Family Territories (Enc)'!$B$2:$B$62,C894,'[1]Brand Family Territories (Enc)'!$C$2:$C$62,"Morri")&gt;0),"Unk",0))</f>
        <v>1</v>
      </c>
      <c r="E894" s="2" t="str">
        <f>IFERROR(INDEX('Blackout Brand Fam Areas (Enc)'!$D$6:$D$998,MATCH(UPPER(A894)&amp;"|"&amp;UPPER(B894),'Blackout Brand Fam Areas (Enc)'!$G$6:$G$998,0)),"No Match")</f>
        <v>No Match</v>
      </c>
      <c r="F894" s="2" t="str">
        <f t="shared" si="26"/>
        <v>US</v>
      </c>
      <c r="G894" s="2" t="str">
        <f t="shared" si="27"/>
        <v>Truly|PASSAIC-FF</v>
      </c>
    </row>
    <row r="895" spans="1:7" x14ac:dyDescent="0.2">
      <c r="A895" s="2" t="str" cm="1">
        <f t="array" ref="A895">INDEX('[1]Brand Family Territory (Enc)'!$A$2:$A$296,INT((ROW()-2)/10)+1)</f>
        <v>Truly</v>
      </c>
      <c r="B895" s="2" t="str" cm="1">
        <f t="array" ref="B895">INDEX('Whitelist (Blackout Reverse)'!$B$1:$K$1,MOD(ROW()-2,10)+1)</f>
        <v>ESSEX</v>
      </c>
      <c r="C895" s="2" t="str">
        <f>VLOOKUP(A895,'[1]Brand Family Territory (Enc)'!$A$2:$B$296,2,FALSE)</f>
        <v>Core Market</v>
      </c>
      <c r="D895" s="2">
        <f>IF(COUNTIFS('[1]Brand Family Territories (Enc)'!$B$2:$B$62,C895,'[1]Brand Family Territories (Enc)'!$C$2:$C$62,B895)&gt;0,1,IF(AND(LEFT(B895,6)="MORRIS",COUNTIFS('[1]Brand Family Territories (Enc)'!$B$2:$B$62,C895,'[1]Brand Family Territories (Enc)'!$C$2:$C$62,"Morri")&gt;0),"Unk",0))</f>
        <v>0</v>
      </c>
      <c r="E895" s="2" t="str">
        <f>IFERROR(INDEX('Blackout Brand Fam Areas (Enc)'!$D$6:$D$998,MATCH(UPPER(A895)&amp;"|"&amp;UPPER(B895),'Blackout Brand Fam Areas (Enc)'!$G$6:$G$998,0)),"No Match")</f>
        <v>Inactive</v>
      </c>
      <c r="F895" s="2" t="str">
        <f t="shared" si="26"/>
        <v>THEM</v>
      </c>
      <c r="G895" s="2" t="str">
        <f t="shared" si="27"/>
        <v>Truly|ESSEX</v>
      </c>
    </row>
    <row r="896" spans="1:7" x14ac:dyDescent="0.2">
      <c r="A896" s="2" t="str" cm="1">
        <f t="array" ref="A896">INDEX('[1]Brand Family Territory (Enc)'!$A$2:$A$296,INT((ROW()-2)/10)+1)</f>
        <v>Truly</v>
      </c>
      <c r="B896" s="2" t="str" cm="1">
        <f t="array" ref="B896">INDEX('Whitelist (Blackout Reverse)'!$B$1:$K$1,MOD(ROW()-2,10)+1)</f>
        <v>HUDSON</v>
      </c>
      <c r="C896" s="2" t="str">
        <f>VLOOKUP(A896,'[1]Brand Family Territory (Enc)'!$A$2:$B$296,2,FALSE)</f>
        <v>Core Market</v>
      </c>
      <c r="D896" s="2">
        <f>IF(COUNTIFS('[1]Brand Family Territories (Enc)'!$B$2:$B$62,C896,'[1]Brand Family Territories (Enc)'!$C$2:$C$62,B896)&gt;0,1,IF(AND(LEFT(B896,6)="MORRIS",COUNTIFS('[1]Brand Family Territories (Enc)'!$B$2:$B$62,C896,'[1]Brand Family Territories (Enc)'!$C$2:$C$62,"Morri")&gt;0),"Unk",0))</f>
        <v>0</v>
      </c>
      <c r="E896" s="2" t="str">
        <f>IFERROR(INDEX('Blackout Brand Fam Areas (Enc)'!$D$6:$D$998,MATCH(UPPER(A896)&amp;"|"&amp;UPPER(B896),'Blackout Brand Fam Areas (Enc)'!$G$6:$G$998,0)),"No Match")</f>
        <v>Inactive</v>
      </c>
      <c r="F896" s="2" t="str">
        <f t="shared" si="26"/>
        <v>THEM</v>
      </c>
      <c r="G896" s="2" t="str">
        <f t="shared" si="27"/>
        <v>Truly|HUDSON</v>
      </c>
    </row>
    <row r="897" spans="1:7" x14ac:dyDescent="0.2">
      <c r="A897" s="2" t="str" cm="1">
        <f t="array" ref="A897">INDEX('[1]Brand Family Territory (Enc)'!$A$2:$A$296,INT((ROW()-2)/10)+1)</f>
        <v>Truly</v>
      </c>
      <c r="B897" s="2" t="str" cm="1">
        <f t="array" ref="B897">INDEX('Whitelist (Blackout Reverse)'!$B$1:$K$1,MOD(ROW()-2,10)+1)</f>
        <v>UNION</v>
      </c>
      <c r="C897" s="2" t="str">
        <f>VLOOKUP(A897,'[1]Brand Family Territory (Enc)'!$A$2:$B$296,2,FALSE)</f>
        <v>Core Market</v>
      </c>
      <c r="D897" s="2">
        <f>IF(COUNTIFS('[1]Brand Family Territories (Enc)'!$B$2:$B$62,C897,'[1]Brand Family Territories (Enc)'!$C$2:$C$62,B897)&gt;0,1,IF(AND(LEFT(B897,6)="MORRIS",COUNTIFS('[1]Brand Family Territories (Enc)'!$B$2:$B$62,C897,'[1]Brand Family Territories (Enc)'!$C$2:$C$62,"Morri")&gt;0),"Unk",0))</f>
        <v>0</v>
      </c>
      <c r="E897" s="2" t="str">
        <f>IFERROR(INDEX('Blackout Brand Fam Areas (Enc)'!$D$6:$D$998,MATCH(UPPER(A897)&amp;"|"&amp;UPPER(B897),'Blackout Brand Fam Areas (Enc)'!$G$6:$G$998,0)),"No Match")</f>
        <v>Inactive</v>
      </c>
      <c r="F897" s="2" t="str">
        <f t="shared" si="26"/>
        <v>THEM</v>
      </c>
      <c r="G897" s="2" t="str">
        <f t="shared" si="27"/>
        <v>Truly|UNION</v>
      </c>
    </row>
    <row r="898" spans="1:7" x14ac:dyDescent="0.2">
      <c r="A898" s="2" t="str" cm="1">
        <f t="array" ref="A898">INDEX('[1]Brand Family Territory (Enc)'!$A$2:$A$296,INT((ROW()-2)/10)+1)</f>
        <v>Truly</v>
      </c>
      <c r="B898" s="2" t="str" cm="1">
        <f t="array" ref="B898">INDEX('Whitelist (Blackout Reverse)'!$B$1:$K$1,MOD(ROW()-2,10)+1)</f>
        <v>SUSSEX</v>
      </c>
      <c r="C898" s="2" t="str">
        <f>VLOOKUP(A898,'[1]Brand Family Territory (Enc)'!$A$2:$B$296,2,FALSE)</f>
        <v>Core Market</v>
      </c>
      <c r="D898" s="2">
        <f>IF(COUNTIFS('[1]Brand Family Territories (Enc)'!$B$2:$B$62,C898,'[1]Brand Family Territories (Enc)'!$C$2:$C$62,B898)&gt;0,1,IF(AND(LEFT(B898,6)="MORRIS",COUNTIFS('[1]Brand Family Territories (Enc)'!$B$2:$B$62,C898,'[1]Brand Family Territories (Enc)'!$C$2:$C$62,"Morri")&gt;0),"Unk",0))</f>
        <v>1</v>
      </c>
      <c r="E898" s="2" t="str">
        <f>IFERROR(INDEX('Blackout Brand Fam Areas (Enc)'!$D$6:$D$998,MATCH(UPPER(A898)&amp;"|"&amp;UPPER(B898),'Blackout Brand Fam Areas (Enc)'!$G$6:$G$998,0)),"No Match")</f>
        <v>No Match</v>
      </c>
      <c r="F898" s="2" t="str">
        <f t="shared" si="26"/>
        <v>US</v>
      </c>
      <c r="G898" s="2" t="str">
        <f t="shared" si="27"/>
        <v>Truly|SUSSEX</v>
      </c>
    </row>
    <row r="899" spans="1:7" x14ac:dyDescent="0.2">
      <c r="A899" s="2" t="str" cm="1">
        <f t="array" ref="A899">INDEX('[1]Brand Family Territory (Enc)'!$A$2:$A$296,INT((ROW()-2)/10)+1)</f>
        <v>Truly</v>
      </c>
      <c r="B899" s="2" t="str" cm="1">
        <f t="array" ref="B899">INDEX('Whitelist (Blackout Reverse)'!$B$1:$K$1,MOD(ROW()-2,10)+1)</f>
        <v>MORRIS 1</v>
      </c>
      <c r="C899" s="2" t="str">
        <f>VLOOKUP(A899,'[1]Brand Family Territory (Enc)'!$A$2:$B$296,2,FALSE)</f>
        <v>Core Market</v>
      </c>
      <c r="D899" s="2">
        <f>IF(COUNTIFS('[1]Brand Family Territories (Enc)'!$B$2:$B$62,C899,'[1]Brand Family Territories (Enc)'!$C$2:$C$62,B899)&gt;0,1,IF(AND(LEFT(B899,6)="MORRIS",COUNTIFS('[1]Brand Family Territories (Enc)'!$B$2:$B$62,C899,'[1]Brand Family Territories (Enc)'!$C$2:$C$62,"Morri")&gt;0),"Unk",0))</f>
        <v>1</v>
      </c>
      <c r="E899" s="2" t="str">
        <f>IFERROR(INDEX('Blackout Brand Fam Areas (Enc)'!$D$6:$D$998,MATCH(UPPER(A899)&amp;"|"&amp;UPPER(B899),'Blackout Brand Fam Areas (Enc)'!$G$6:$G$998,0)),"No Match")</f>
        <v>No Match</v>
      </c>
      <c r="F899" s="2" t="str">
        <f t="shared" ref="F899:F962" si="28">IF(D899="Unk","Ambiguous (Source Truncated)",IF(E899="Inactive","THEM",IF(D899=1,"US",IF(D899="N/A","No Territory Data","THEM"))))</f>
        <v>US</v>
      </c>
      <c r="G899" s="2" t="str">
        <f t="shared" ref="G899:G962" si="29">A899&amp;"|"&amp;B899</f>
        <v>Truly|MORRIS 1</v>
      </c>
    </row>
    <row r="900" spans="1:7" x14ac:dyDescent="0.2">
      <c r="A900" s="2" t="str" cm="1">
        <f t="array" ref="A900">INDEX('[1]Brand Family Territory (Enc)'!$A$2:$A$296,INT((ROW()-2)/10)+1)</f>
        <v>Truly</v>
      </c>
      <c r="B900" s="2" t="str" cm="1">
        <f t="array" ref="B900">INDEX('Whitelist (Blackout Reverse)'!$B$1:$K$1,MOD(ROW()-2,10)+1)</f>
        <v>MORRIS 2</v>
      </c>
      <c r="C900" s="2" t="str">
        <f>VLOOKUP(A900,'[1]Brand Family Territory (Enc)'!$A$2:$B$296,2,FALSE)</f>
        <v>Core Market</v>
      </c>
      <c r="D900" s="2">
        <f>IF(COUNTIFS('[1]Brand Family Territories (Enc)'!$B$2:$B$62,C900,'[1]Brand Family Territories (Enc)'!$C$2:$C$62,B900)&gt;0,1,IF(AND(LEFT(B900,6)="MORRIS",COUNTIFS('[1]Brand Family Territories (Enc)'!$B$2:$B$62,C900,'[1]Brand Family Territories (Enc)'!$C$2:$C$62,"Morri")&gt;0),"Unk",0))</f>
        <v>0</v>
      </c>
      <c r="E900" s="2" t="str">
        <f>IFERROR(INDEX('Blackout Brand Fam Areas (Enc)'!$D$6:$D$998,MATCH(UPPER(A900)&amp;"|"&amp;UPPER(B900),'Blackout Brand Fam Areas (Enc)'!$G$6:$G$998,0)),"No Match")</f>
        <v>Inactive</v>
      </c>
      <c r="F900" s="2" t="str">
        <f t="shared" si="28"/>
        <v>THEM</v>
      </c>
      <c r="G900" s="2" t="str">
        <f t="shared" si="29"/>
        <v>Truly|MORRIS 2</v>
      </c>
    </row>
    <row r="901" spans="1:7" x14ac:dyDescent="0.2">
      <c r="A901" s="2" t="str" cm="1">
        <f t="array" ref="A901">INDEX('[1]Brand Family Territory (Enc)'!$A$2:$A$296,INT((ROW()-2)/10)+1)</f>
        <v>Truly</v>
      </c>
      <c r="B901" s="2" t="str" cm="1">
        <f t="array" ref="B901">INDEX('Whitelist (Blackout Reverse)'!$B$1:$K$1,MOD(ROW()-2,10)+1)</f>
        <v>MORRIS 3</v>
      </c>
      <c r="C901" s="2" t="str">
        <f>VLOOKUP(A901,'[1]Brand Family Territory (Enc)'!$A$2:$B$296,2,FALSE)</f>
        <v>Core Market</v>
      </c>
      <c r="D901" s="2">
        <f>IF(COUNTIFS('[1]Brand Family Territories (Enc)'!$B$2:$B$62,C901,'[1]Brand Family Territories (Enc)'!$C$2:$C$62,B901)&gt;0,1,IF(AND(LEFT(B901,6)="MORRIS",COUNTIFS('[1]Brand Family Territories (Enc)'!$B$2:$B$62,C901,'[1]Brand Family Territories (Enc)'!$C$2:$C$62,"Morri")&gt;0),"Unk",0))</f>
        <v>1</v>
      </c>
      <c r="E901" s="2" t="str">
        <f>IFERROR(INDEX('Blackout Brand Fam Areas (Enc)'!$D$6:$D$998,MATCH(UPPER(A901)&amp;"|"&amp;UPPER(B901),'Blackout Brand Fam Areas (Enc)'!$G$6:$G$998,0)),"No Match")</f>
        <v>No Match</v>
      </c>
      <c r="F901" s="2" t="str">
        <f t="shared" si="28"/>
        <v>US</v>
      </c>
      <c r="G901" s="2" t="str">
        <f t="shared" si="29"/>
        <v>Truly|MORRIS 3</v>
      </c>
    </row>
    <row r="902" spans="1:7" x14ac:dyDescent="0.2">
      <c r="A902" s="2" t="str" cm="1">
        <f t="array" ref="A902">INDEX('[1]Brand Family Territory (Enc)'!$A$2:$A$296,INT((ROW()-2)/10)+1)</f>
        <v>Twisted Tea</v>
      </c>
      <c r="B902" s="2" t="str" cm="1">
        <f t="array" ref="B902">INDEX('Whitelist (Blackout Reverse)'!$B$1:$K$1,MOD(ROW()-2,10)+1)</f>
        <v>BERGEN</v>
      </c>
      <c r="C902" s="2" t="str">
        <f>VLOOKUP(A902,'[1]Brand Family Territory (Enc)'!$A$2:$B$296,2,FALSE)</f>
        <v>Core Market</v>
      </c>
      <c r="D902" s="2">
        <f>IF(COUNTIFS('[1]Brand Family Territories (Enc)'!$B$2:$B$62,C902,'[1]Brand Family Territories (Enc)'!$C$2:$C$62,B902)&gt;0,1,IF(AND(LEFT(B902,6)="MORRIS",COUNTIFS('[1]Brand Family Territories (Enc)'!$B$2:$B$62,C902,'[1]Brand Family Territories (Enc)'!$C$2:$C$62,"Morri")&gt;0),"Unk",0))</f>
        <v>1</v>
      </c>
      <c r="E902" s="2" t="str">
        <f>IFERROR(INDEX('Blackout Brand Fam Areas (Enc)'!$D$6:$D$998,MATCH(UPPER(A902)&amp;"|"&amp;UPPER(B902),'Blackout Brand Fam Areas (Enc)'!$G$6:$G$998,0)),"No Match")</f>
        <v>No Match</v>
      </c>
      <c r="F902" s="2" t="str">
        <f t="shared" si="28"/>
        <v>US</v>
      </c>
      <c r="G902" s="2" t="str">
        <f t="shared" si="29"/>
        <v>Twisted Tea|BERGEN</v>
      </c>
    </row>
    <row r="903" spans="1:7" x14ac:dyDescent="0.2">
      <c r="A903" s="2" t="str" cm="1">
        <f t="array" ref="A903">INDEX('[1]Brand Family Territory (Enc)'!$A$2:$A$296,INT((ROW()-2)/10)+1)</f>
        <v>Twisted Tea</v>
      </c>
      <c r="B903" s="2" t="str" cm="1">
        <f t="array" ref="B903">INDEX('Whitelist (Blackout Reverse)'!$B$1:$K$1,MOD(ROW()-2,10)+1)</f>
        <v>PASSAIC</v>
      </c>
      <c r="C903" s="2" t="str">
        <f>VLOOKUP(A903,'[1]Brand Family Territory (Enc)'!$A$2:$B$296,2,FALSE)</f>
        <v>Core Market</v>
      </c>
      <c r="D903" s="2">
        <f>IF(COUNTIFS('[1]Brand Family Territories (Enc)'!$B$2:$B$62,C903,'[1]Brand Family Territories (Enc)'!$C$2:$C$62,B903)&gt;0,1,IF(AND(LEFT(B903,6)="MORRIS",COUNTIFS('[1]Brand Family Territories (Enc)'!$B$2:$B$62,C903,'[1]Brand Family Territories (Enc)'!$C$2:$C$62,"Morri")&gt;0),"Unk",0))</f>
        <v>1</v>
      </c>
      <c r="E903" s="2" t="str">
        <f>IFERROR(INDEX('Blackout Brand Fam Areas (Enc)'!$D$6:$D$998,MATCH(UPPER(A903)&amp;"|"&amp;UPPER(B903),'Blackout Brand Fam Areas (Enc)'!$G$6:$G$998,0)),"No Match")</f>
        <v>No Match</v>
      </c>
      <c r="F903" s="2" t="str">
        <f t="shared" si="28"/>
        <v>US</v>
      </c>
      <c r="G903" s="2" t="str">
        <f t="shared" si="29"/>
        <v>Twisted Tea|PASSAIC</v>
      </c>
    </row>
    <row r="904" spans="1:7" x14ac:dyDescent="0.2">
      <c r="A904" s="2" t="str" cm="1">
        <f t="array" ref="A904">INDEX('[1]Brand Family Territory (Enc)'!$A$2:$A$296,INT((ROW()-2)/10)+1)</f>
        <v>Twisted Tea</v>
      </c>
      <c r="B904" s="2" t="str" cm="1">
        <f t="array" ref="B904">INDEX('Whitelist (Blackout Reverse)'!$B$1:$K$1,MOD(ROW()-2,10)+1)</f>
        <v>PASSAIC-FF</v>
      </c>
      <c r="C904" s="2" t="str">
        <f>VLOOKUP(A904,'[1]Brand Family Territory (Enc)'!$A$2:$B$296,2,FALSE)</f>
        <v>Core Market</v>
      </c>
      <c r="D904" s="2">
        <f>IF(COUNTIFS('[1]Brand Family Territories (Enc)'!$B$2:$B$62,C904,'[1]Brand Family Territories (Enc)'!$C$2:$C$62,B904)&gt;0,1,IF(AND(LEFT(B904,6)="MORRIS",COUNTIFS('[1]Brand Family Territories (Enc)'!$B$2:$B$62,C904,'[1]Brand Family Territories (Enc)'!$C$2:$C$62,"Morri")&gt;0),"Unk",0))</f>
        <v>1</v>
      </c>
      <c r="E904" s="2" t="str">
        <f>IFERROR(INDEX('Blackout Brand Fam Areas (Enc)'!$D$6:$D$998,MATCH(UPPER(A904)&amp;"|"&amp;UPPER(B904),'Blackout Brand Fam Areas (Enc)'!$G$6:$G$998,0)),"No Match")</f>
        <v>No Match</v>
      </c>
      <c r="F904" s="2" t="str">
        <f t="shared" si="28"/>
        <v>US</v>
      </c>
      <c r="G904" s="2" t="str">
        <f t="shared" si="29"/>
        <v>Twisted Tea|PASSAIC-FF</v>
      </c>
    </row>
    <row r="905" spans="1:7" x14ac:dyDescent="0.2">
      <c r="A905" s="2" t="str" cm="1">
        <f t="array" ref="A905">INDEX('[1]Brand Family Territory (Enc)'!$A$2:$A$296,INT((ROW()-2)/10)+1)</f>
        <v>Twisted Tea</v>
      </c>
      <c r="B905" s="2" t="str" cm="1">
        <f t="array" ref="B905">INDEX('Whitelist (Blackout Reverse)'!$B$1:$K$1,MOD(ROW()-2,10)+1)</f>
        <v>ESSEX</v>
      </c>
      <c r="C905" s="2" t="str">
        <f>VLOOKUP(A905,'[1]Brand Family Territory (Enc)'!$A$2:$B$296,2,FALSE)</f>
        <v>Core Market</v>
      </c>
      <c r="D905" s="2">
        <f>IF(COUNTIFS('[1]Brand Family Territories (Enc)'!$B$2:$B$62,C905,'[1]Brand Family Territories (Enc)'!$C$2:$C$62,B905)&gt;0,1,IF(AND(LEFT(B905,6)="MORRIS",COUNTIFS('[1]Brand Family Territories (Enc)'!$B$2:$B$62,C905,'[1]Brand Family Territories (Enc)'!$C$2:$C$62,"Morri")&gt;0),"Unk",0))</f>
        <v>0</v>
      </c>
      <c r="E905" s="2" t="str">
        <f>IFERROR(INDEX('Blackout Brand Fam Areas (Enc)'!$D$6:$D$998,MATCH(UPPER(A905)&amp;"|"&amp;UPPER(B905),'Blackout Brand Fam Areas (Enc)'!$G$6:$G$998,0)),"No Match")</f>
        <v>Inactive</v>
      </c>
      <c r="F905" s="2" t="str">
        <f t="shared" si="28"/>
        <v>THEM</v>
      </c>
      <c r="G905" s="2" t="str">
        <f t="shared" si="29"/>
        <v>Twisted Tea|ESSEX</v>
      </c>
    </row>
    <row r="906" spans="1:7" x14ac:dyDescent="0.2">
      <c r="A906" s="2" t="str" cm="1">
        <f t="array" ref="A906">INDEX('[1]Brand Family Territory (Enc)'!$A$2:$A$296,INT((ROW()-2)/10)+1)</f>
        <v>Twisted Tea</v>
      </c>
      <c r="B906" s="2" t="str" cm="1">
        <f t="array" ref="B906">INDEX('Whitelist (Blackout Reverse)'!$B$1:$K$1,MOD(ROW()-2,10)+1)</f>
        <v>HUDSON</v>
      </c>
      <c r="C906" s="2" t="str">
        <f>VLOOKUP(A906,'[1]Brand Family Territory (Enc)'!$A$2:$B$296,2,FALSE)</f>
        <v>Core Market</v>
      </c>
      <c r="D906" s="2">
        <f>IF(COUNTIFS('[1]Brand Family Territories (Enc)'!$B$2:$B$62,C906,'[1]Brand Family Territories (Enc)'!$C$2:$C$62,B906)&gt;0,1,IF(AND(LEFT(B906,6)="MORRIS",COUNTIFS('[1]Brand Family Territories (Enc)'!$B$2:$B$62,C906,'[1]Brand Family Territories (Enc)'!$C$2:$C$62,"Morri")&gt;0),"Unk",0))</f>
        <v>0</v>
      </c>
      <c r="E906" s="2" t="str">
        <f>IFERROR(INDEX('Blackout Brand Fam Areas (Enc)'!$D$6:$D$998,MATCH(UPPER(A906)&amp;"|"&amp;UPPER(B906),'Blackout Brand Fam Areas (Enc)'!$G$6:$G$998,0)),"No Match")</f>
        <v>Inactive</v>
      </c>
      <c r="F906" s="2" t="str">
        <f t="shared" si="28"/>
        <v>THEM</v>
      </c>
      <c r="G906" s="2" t="str">
        <f t="shared" si="29"/>
        <v>Twisted Tea|HUDSON</v>
      </c>
    </row>
    <row r="907" spans="1:7" x14ac:dyDescent="0.2">
      <c r="A907" s="2" t="str" cm="1">
        <f t="array" ref="A907">INDEX('[1]Brand Family Territory (Enc)'!$A$2:$A$296,INT((ROW()-2)/10)+1)</f>
        <v>Twisted Tea</v>
      </c>
      <c r="B907" s="2" t="str" cm="1">
        <f t="array" ref="B907">INDEX('Whitelist (Blackout Reverse)'!$B$1:$K$1,MOD(ROW()-2,10)+1)</f>
        <v>UNION</v>
      </c>
      <c r="C907" s="2" t="str">
        <f>VLOOKUP(A907,'[1]Brand Family Territory (Enc)'!$A$2:$B$296,2,FALSE)</f>
        <v>Core Market</v>
      </c>
      <c r="D907" s="2">
        <f>IF(COUNTIFS('[1]Brand Family Territories (Enc)'!$B$2:$B$62,C907,'[1]Brand Family Territories (Enc)'!$C$2:$C$62,B907)&gt;0,1,IF(AND(LEFT(B907,6)="MORRIS",COUNTIFS('[1]Brand Family Territories (Enc)'!$B$2:$B$62,C907,'[1]Brand Family Territories (Enc)'!$C$2:$C$62,"Morri")&gt;0),"Unk",0))</f>
        <v>0</v>
      </c>
      <c r="E907" s="2" t="str">
        <f>IFERROR(INDEX('Blackout Brand Fam Areas (Enc)'!$D$6:$D$998,MATCH(UPPER(A907)&amp;"|"&amp;UPPER(B907),'Blackout Brand Fam Areas (Enc)'!$G$6:$G$998,0)),"No Match")</f>
        <v>Inactive</v>
      </c>
      <c r="F907" s="2" t="str">
        <f t="shared" si="28"/>
        <v>THEM</v>
      </c>
      <c r="G907" s="2" t="str">
        <f t="shared" si="29"/>
        <v>Twisted Tea|UNION</v>
      </c>
    </row>
    <row r="908" spans="1:7" x14ac:dyDescent="0.2">
      <c r="A908" s="2" t="str" cm="1">
        <f t="array" ref="A908">INDEX('[1]Brand Family Territory (Enc)'!$A$2:$A$296,INT((ROW()-2)/10)+1)</f>
        <v>Twisted Tea</v>
      </c>
      <c r="B908" s="2" t="str" cm="1">
        <f t="array" ref="B908">INDEX('Whitelist (Blackout Reverse)'!$B$1:$K$1,MOD(ROW()-2,10)+1)</f>
        <v>SUSSEX</v>
      </c>
      <c r="C908" s="2" t="str">
        <f>VLOOKUP(A908,'[1]Brand Family Territory (Enc)'!$A$2:$B$296,2,FALSE)</f>
        <v>Core Market</v>
      </c>
      <c r="D908" s="2">
        <f>IF(COUNTIFS('[1]Brand Family Territories (Enc)'!$B$2:$B$62,C908,'[1]Brand Family Territories (Enc)'!$C$2:$C$62,B908)&gt;0,1,IF(AND(LEFT(B908,6)="MORRIS",COUNTIFS('[1]Brand Family Territories (Enc)'!$B$2:$B$62,C908,'[1]Brand Family Territories (Enc)'!$C$2:$C$62,"Morri")&gt;0),"Unk",0))</f>
        <v>1</v>
      </c>
      <c r="E908" s="2" t="str">
        <f>IFERROR(INDEX('Blackout Brand Fam Areas (Enc)'!$D$6:$D$998,MATCH(UPPER(A908)&amp;"|"&amp;UPPER(B908),'Blackout Brand Fam Areas (Enc)'!$G$6:$G$998,0)),"No Match")</f>
        <v>No Match</v>
      </c>
      <c r="F908" s="2" t="str">
        <f t="shared" si="28"/>
        <v>US</v>
      </c>
      <c r="G908" s="2" t="str">
        <f t="shared" si="29"/>
        <v>Twisted Tea|SUSSEX</v>
      </c>
    </row>
    <row r="909" spans="1:7" x14ac:dyDescent="0.2">
      <c r="A909" s="2" t="str" cm="1">
        <f t="array" ref="A909">INDEX('[1]Brand Family Territory (Enc)'!$A$2:$A$296,INT((ROW()-2)/10)+1)</f>
        <v>Twisted Tea</v>
      </c>
      <c r="B909" s="2" t="str" cm="1">
        <f t="array" ref="B909">INDEX('Whitelist (Blackout Reverse)'!$B$1:$K$1,MOD(ROW()-2,10)+1)</f>
        <v>MORRIS 1</v>
      </c>
      <c r="C909" s="2" t="str">
        <f>VLOOKUP(A909,'[1]Brand Family Territory (Enc)'!$A$2:$B$296,2,FALSE)</f>
        <v>Core Market</v>
      </c>
      <c r="D909" s="2">
        <f>IF(COUNTIFS('[1]Brand Family Territories (Enc)'!$B$2:$B$62,C909,'[1]Brand Family Territories (Enc)'!$C$2:$C$62,B909)&gt;0,1,IF(AND(LEFT(B909,6)="MORRIS",COUNTIFS('[1]Brand Family Territories (Enc)'!$B$2:$B$62,C909,'[1]Brand Family Territories (Enc)'!$C$2:$C$62,"Morri")&gt;0),"Unk",0))</f>
        <v>1</v>
      </c>
      <c r="E909" s="2" t="str">
        <f>IFERROR(INDEX('Blackout Brand Fam Areas (Enc)'!$D$6:$D$998,MATCH(UPPER(A909)&amp;"|"&amp;UPPER(B909),'Blackout Brand Fam Areas (Enc)'!$G$6:$G$998,0)),"No Match")</f>
        <v>No Match</v>
      </c>
      <c r="F909" s="2" t="str">
        <f t="shared" si="28"/>
        <v>US</v>
      </c>
      <c r="G909" s="2" t="str">
        <f t="shared" si="29"/>
        <v>Twisted Tea|MORRIS 1</v>
      </c>
    </row>
    <row r="910" spans="1:7" x14ac:dyDescent="0.2">
      <c r="A910" s="2" t="str" cm="1">
        <f t="array" ref="A910">INDEX('[1]Brand Family Territory (Enc)'!$A$2:$A$296,INT((ROW()-2)/10)+1)</f>
        <v>Twisted Tea</v>
      </c>
      <c r="B910" s="2" t="str" cm="1">
        <f t="array" ref="B910">INDEX('Whitelist (Blackout Reverse)'!$B$1:$K$1,MOD(ROW()-2,10)+1)</f>
        <v>MORRIS 2</v>
      </c>
      <c r="C910" s="2" t="str">
        <f>VLOOKUP(A910,'[1]Brand Family Territory (Enc)'!$A$2:$B$296,2,FALSE)</f>
        <v>Core Market</v>
      </c>
      <c r="D910" s="2">
        <f>IF(COUNTIFS('[1]Brand Family Territories (Enc)'!$B$2:$B$62,C910,'[1]Brand Family Territories (Enc)'!$C$2:$C$62,B910)&gt;0,1,IF(AND(LEFT(B910,6)="MORRIS",COUNTIFS('[1]Brand Family Territories (Enc)'!$B$2:$B$62,C910,'[1]Brand Family Territories (Enc)'!$C$2:$C$62,"Morri")&gt;0),"Unk",0))</f>
        <v>0</v>
      </c>
      <c r="E910" s="2" t="str">
        <f>IFERROR(INDEX('Blackout Brand Fam Areas (Enc)'!$D$6:$D$998,MATCH(UPPER(A910)&amp;"|"&amp;UPPER(B910),'Blackout Brand Fam Areas (Enc)'!$G$6:$G$998,0)),"No Match")</f>
        <v>Inactive</v>
      </c>
      <c r="F910" s="2" t="str">
        <f t="shared" si="28"/>
        <v>THEM</v>
      </c>
      <c r="G910" s="2" t="str">
        <f t="shared" si="29"/>
        <v>Twisted Tea|MORRIS 2</v>
      </c>
    </row>
    <row r="911" spans="1:7" x14ac:dyDescent="0.2">
      <c r="A911" s="2" t="str" cm="1">
        <f t="array" ref="A911">INDEX('[1]Brand Family Territory (Enc)'!$A$2:$A$296,INT((ROW()-2)/10)+1)</f>
        <v>Twisted Tea</v>
      </c>
      <c r="B911" s="2" t="str" cm="1">
        <f t="array" ref="B911">INDEX('Whitelist (Blackout Reverse)'!$B$1:$K$1,MOD(ROW()-2,10)+1)</f>
        <v>MORRIS 3</v>
      </c>
      <c r="C911" s="2" t="str">
        <f>VLOOKUP(A911,'[1]Brand Family Territory (Enc)'!$A$2:$B$296,2,FALSE)</f>
        <v>Core Market</v>
      </c>
      <c r="D911" s="2">
        <f>IF(COUNTIFS('[1]Brand Family Territories (Enc)'!$B$2:$B$62,C911,'[1]Brand Family Territories (Enc)'!$C$2:$C$62,B911)&gt;0,1,IF(AND(LEFT(B911,6)="MORRIS",COUNTIFS('[1]Brand Family Territories (Enc)'!$B$2:$B$62,C911,'[1]Brand Family Territories (Enc)'!$C$2:$C$62,"Morri")&gt;0),"Unk",0))</f>
        <v>1</v>
      </c>
      <c r="E911" s="2" t="str">
        <f>IFERROR(INDEX('Blackout Brand Fam Areas (Enc)'!$D$6:$D$998,MATCH(UPPER(A911)&amp;"|"&amp;UPPER(B911),'Blackout Brand Fam Areas (Enc)'!$G$6:$G$998,0)),"No Match")</f>
        <v>No Match</v>
      </c>
      <c r="F911" s="2" t="str">
        <f t="shared" si="28"/>
        <v>US</v>
      </c>
      <c r="G911" s="2" t="str">
        <f t="shared" si="29"/>
        <v>Twisted Tea|MORRIS 3</v>
      </c>
    </row>
    <row r="912" spans="1:7" x14ac:dyDescent="0.2">
      <c r="A912" s="2" t="str" cm="1">
        <f t="array" ref="A912">INDEX('[1]Brand Family Territory (Enc)'!$A$2:$A$296,INT((ROW()-2)/10)+1)</f>
        <v>Tyskie Gronie</v>
      </c>
      <c r="B912" s="2" t="str" cm="1">
        <f t="array" ref="B912">INDEX('Whitelist (Blackout Reverse)'!$B$1:$K$1,MOD(ROW()-2,10)+1)</f>
        <v>BERGEN</v>
      </c>
      <c r="C912" s="2" t="str">
        <f>VLOOKUP(A912,'[1]Brand Family Territory (Enc)'!$A$2:$B$296,2,FALSE)</f>
        <v>Core Market</v>
      </c>
      <c r="D912" s="2">
        <f>IF(COUNTIFS('[1]Brand Family Territories (Enc)'!$B$2:$B$62,C912,'[1]Brand Family Territories (Enc)'!$C$2:$C$62,B912)&gt;0,1,IF(AND(LEFT(B912,6)="MORRIS",COUNTIFS('[1]Brand Family Territories (Enc)'!$B$2:$B$62,C912,'[1]Brand Family Territories (Enc)'!$C$2:$C$62,"Morri")&gt;0),"Unk",0))</f>
        <v>1</v>
      </c>
      <c r="E912" s="2" t="str">
        <f>IFERROR(INDEX('Blackout Brand Fam Areas (Enc)'!$D$6:$D$998,MATCH(UPPER(A912)&amp;"|"&amp;UPPER(B912),'Blackout Brand Fam Areas (Enc)'!$G$6:$G$998,0)),"No Match")</f>
        <v>No Match</v>
      </c>
      <c r="F912" s="2" t="str">
        <f t="shared" si="28"/>
        <v>US</v>
      </c>
      <c r="G912" s="2" t="str">
        <f t="shared" si="29"/>
        <v>Tyskie Gronie|BERGEN</v>
      </c>
    </row>
    <row r="913" spans="1:7" x14ac:dyDescent="0.2">
      <c r="A913" s="2" t="str" cm="1">
        <f t="array" ref="A913">INDEX('[1]Brand Family Territory (Enc)'!$A$2:$A$296,INT((ROW()-2)/10)+1)</f>
        <v>Tyskie Gronie</v>
      </c>
      <c r="B913" s="2" t="str" cm="1">
        <f t="array" ref="B913">INDEX('Whitelist (Blackout Reverse)'!$B$1:$K$1,MOD(ROW()-2,10)+1)</f>
        <v>PASSAIC</v>
      </c>
      <c r="C913" s="2" t="str">
        <f>VLOOKUP(A913,'[1]Brand Family Territory (Enc)'!$A$2:$B$296,2,FALSE)</f>
        <v>Core Market</v>
      </c>
      <c r="D913" s="2">
        <f>IF(COUNTIFS('[1]Brand Family Territories (Enc)'!$B$2:$B$62,C913,'[1]Brand Family Territories (Enc)'!$C$2:$C$62,B913)&gt;0,1,IF(AND(LEFT(B913,6)="MORRIS",COUNTIFS('[1]Brand Family Territories (Enc)'!$B$2:$B$62,C913,'[1]Brand Family Territories (Enc)'!$C$2:$C$62,"Morri")&gt;0),"Unk",0))</f>
        <v>1</v>
      </c>
      <c r="E913" s="2" t="str">
        <f>IFERROR(INDEX('Blackout Brand Fam Areas (Enc)'!$D$6:$D$998,MATCH(UPPER(A913)&amp;"|"&amp;UPPER(B913),'Blackout Brand Fam Areas (Enc)'!$G$6:$G$998,0)),"No Match")</f>
        <v>No Match</v>
      </c>
      <c r="F913" s="2" t="str">
        <f t="shared" si="28"/>
        <v>US</v>
      </c>
      <c r="G913" s="2" t="str">
        <f t="shared" si="29"/>
        <v>Tyskie Gronie|PASSAIC</v>
      </c>
    </row>
    <row r="914" spans="1:7" x14ac:dyDescent="0.2">
      <c r="A914" s="2" t="str" cm="1">
        <f t="array" ref="A914">INDEX('[1]Brand Family Territory (Enc)'!$A$2:$A$296,INT((ROW()-2)/10)+1)</f>
        <v>Tyskie Gronie</v>
      </c>
      <c r="B914" s="2" t="str" cm="1">
        <f t="array" ref="B914">INDEX('Whitelist (Blackout Reverse)'!$B$1:$K$1,MOD(ROW()-2,10)+1)</f>
        <v>PASSAIC-FF</v>
      </c>
      <c r="C914" s="2" t="str">
        <f>VLOOKUP(A914,'[1]Brand Family Territory (Enc)'!$A$2:$B$296,2,FALSE)</f>
        <v>Core Market</v>
      </c>
      <c r="D914" s="2">
        <f>IF(COUNTIFS('[1]Brand Family Territories (Enc)'!$B$2:$B$62,C914,'[1]Brand Family Territories (Enc)'!$C$2:$C$62,B914)&gt;0,1,IF(AND(LEFT(B914,6)="MORRIS",COUNTIFS('[1]Brand Family Territories (Enc)'!$B$2:$B$62,C914,'[1]Brand Family Territories (Enc)'!$C$2:$C$62,"Morri")&gt;0),"Unk",0))</f>
        <v>1</v>
      </c>
      <c r="E914" s="2" t="str">
        <f>IFERROR(INDEX('Blackout Brand Fam Areas (Enc)'!$D$6:$D$998,MATCH(UPPER(A914)&amp;"|"&amp;UPPER(B914),'Blackout Brand Fam Areas (Enc)'!$G$6:$G$998,0)),"No Match")</f>
        <v>No Match</v>
      </c>
      <c r="F914" s="2" t="str">
        <f t="shared" si="28"/>
        <v>US</v>
      </c>
      <c r="G914" s="2" t="str">
        <f t="shared" si="29"/>
        <v>Tyskie Gronie|PASSAIC-FF</v>
      </c>
    </row>
    <row r="915" spans="1:7" x14ac:dyDescent="0.2">
      <c r="A915" s="2" t="str" cm="1">
        <f t="array" ref="A915">INDEX('[1]Brand Family Territory (Enc)'!$A$2:$A$296,INT((ROW()-2)/10)+1)</f>
        <v>Tyskie Gronie</v>
      </c>
      <c r="B915" s="2" t="str" cm="1">
        <f t="array" ref="B915">INDEX('Whitelist (Blackout Reverse)'!$B$1:$K$1,MOD(ROW()-2,10)+1)</f>
        <v>ESSEX</v>
      </c>
      <c r="C915" s="2" t="str">
        <f>VLOOKUP(A915,'[1]Brand Family Territory (Enc)'!$A$2:$B$296,2,FALSE)</f>
        <v>Core Market</v>
      </c>
      <c r="D915" s="2">
        <f>IF(COUNTIFS('[1]Brand Family Territories (Enc)'!$B$2:$B$62,C915,'[1]Brand Family Territories (Enc)'!$C$2:$C$62,B915)&gt;0,1,IF(AND(LEFT(B915,6)="MORRIS",COUNTIFS('[1]Brand Family Territories (Enc)'!$B$2:$B$62,C915,'[1]Brand Family Territories (Enc)'!$C$2:$C$62,"Morri")&gt;0),"Unk",0))</f>
        <v>0</v>
      </c>
      <c r="E915" s="2" t="str">
        <f>IFERROR(INDEX('Blackout Brand Fam Areas (Enc)'!$D$6:$D$998,MATCH(UPPER(A915)&amp;"|"&amp;UPPER(B915),'Blackout Brand Fam Areas (Enc)'!$G$6:$G$998,0)),"No Match")</f>
        <v>Inactive</v>
      </c>
      <c r="F915" s="2" t="str">
        <f t="shared" si="28"/>
        <v>THEM</v>
      </c>
      <c r="G915" s="2" t="str">
        <f t="shared" si="29"/>
        <v>Tyskie Gronie|ESSEX</v>
      </c>
    </row>
    <row r="916" spans="1:7" x14ac:dyDescent="0.2">
      <c r="A916" s="2" t="str" cm="1">
        <f t="array" ref="A916">INDEX('[1]Brand Family Territory (Enc)'!$A$2:$A$296,INT((ROW()-2)/10)+1)</f>
        <v>Tyskie Gronie</v>
      </c>
      <c r="B916" s="2" t="str" cm="1">
        <f t="array" ref="B916">INDEX('Whitelist (Blackout Reverse)'!$B$1:$K$1,MOD(ROW()-2,10)+1)</f>
        <v>HUDSON</v>
      </c>
      <c r="C916" s="2" t="str">
        <f>VLOOKUP(A916,'[1]Brand Family Territory (Enc)'!$A$2:$B$296,2,FALSE)</f>
        <v>Core Market</v>
      </c>
      <c r="D916" s="2">
        <f>IF(COUNTIFS('[1]Brand Family Territories (Enc)'!$B$2:$B$62,C916,'[1]Brand Family Territories (Enc)'!$C$2:$C$62,B916)&gt;0,1,IF(AND(LEFT(B916,6)="MORRIS",COUNTIFS('[1]Brand Family Territories (Enc)'!$B$2:$B$62,C916,'[1]Brand Family Territories (Enc)'!$C$2:$C$62,"Morri")&gt;0),"Unk",0))</f>
        <v>0</v>
      </c>
      <c r="E916" s="2" t="str">
        <f>IFERROR(INDEX('Blackout Brand Fam Areas (Enc)'!$D$6:$D$998,MATCH(UPPER(A916)&amp;"|"&amp;UPPER(B916),'Blackout Brand Fam Areas (Enc)'!$G$6:$G$998,0)),"No Match")</f>
        <v>Inactive</v>
      </c>
      <c r="F916" s="2" t="str">
        <f t="shared" si="28"/>
        <v>THEM</v>
      </c>
      <c r="G916" s="2" t="str">
        <f t="shared" si="29"/>
        <v>Tyskie Gronie|HUDSON</v>
      </c>
    </row>
    <row r="917" spans="1:7" x14ac:dyDescent="0.2">
      <c r="A917" s="2" t="str" cm="1">
        <f t="array" ref="A917">INDEX('[1]Brand Family Territory (Enc)'!$A$2:$A$296,INT((ROW()-2)/10)+1)</f>
        <v>Tyskie Gronie</v>
      </c>
      <c r="B917" s="2" t="str" cm="1">
        <f t="array" ref="B917">INDEX('Whitelist (Blackout Reverse)'!$B$1:$K$1,MOD(ROW()-2,10)+1)</f>
        <v>UNION</v>
      </c>
      <c r="C917" s="2" t="str">
        <f>VLOOKUP(A917,'[1]Brand Family Territory (Enc)'!$A$2:$B$296,2,FALSE)</f>
        <v>Core Market</v>
      </c>
      <c r="D917" s="2">
        <f>IF(COUNTIFS('[1]Brand Family Territories (Enc)'!$B$2:$B$62,C917,'[1]Brand Family Territories (Enc)'!$C$2:$C$62,B917)&gt;0,1,IF(AND(LEFT(B917,6)="MORRIS",COUNTIFS('[1]Brand Family Territories (Enc)'!$B$2:$B$62,C917,'[1]Brand Family Territories (Enc)'!$C$2:$C$62,"Morri")&gt;0),"Unk",0))</f>
        <v>0</v>
      </c>
      <c r="E917" s="2" t="str">
        <f>IFERROR(INDEX('Blackout Brand Fam Areas (Enc)'!$D$6:$D$998,MATCH(UPPER(A917)&amp;"|"&amp;UPPER(B917),'Blackout Brand Fam Areas (Enc)'!$G$6:$G$998,0)),"No Match")</f>
        <v>Inactive</v>
      </c>
      <c r="F917" s="2" t="str">
        <f t="shared" si="28"/>
        <v>THEM</v>
      </c>
      <c r="G917" s="2" t="str">
        <f t="shared" si="29"/>
        <v>Tyskie Gronie|UNION</v>
      </c>
    </row>
    <row r="918" spans="1:7" x14ac:dyDescent="0.2">
      <c r="A918" s="2" t="str" cm="1">
        <f t="array" ref="A918">INDEX('[1]Brand Family Territory (Enc)'!$A$2:$A$296,INT((ROW()-2)/10)+1)</f>
        <v>Tyskie Gronie</v>
      </c>
      <c r="B918" s="2" t="str" cm="1">
        <f t="array" ref="B918">INDEX('Whitelist (Blackout Reverse)'!$B$1:$K$1,MOD(ROW()-2,10)+1)</f>
        <v>SUSSEX</v>
      </c>
      <c r="C918" s="2" t="str">
        <f>VLOOKUP(A918,'[1]Brand Family Territory (Enc)'!$A$2:$B$296,2,FALSE)</f>
        <v>Core Market</v>
      </c>
      <c r="D918" s="2">
        <f>IF(COUNTIFS('[1]Brand Family Territories (Enc)'!$B$2:$B$62,C918,'[1]Brand Family Territories (Enc)'!$C$2:$C$62,B918)&gt;0,1,IF(AND(LEFT(B918,6)="MORRIS",COUNTIFS('[1]Brand Family Territories (Enc)'!$B$2:$B$62,C918,'[1]Brand Family Territories (Enc)'!$C$2:$C$62,"Morri")&gt;0),"Unk",0))</f>
        <v>1</v>
      </c>
      <c r="E918" s="2" t="str">
        <f>IFERROR(INDEX('Blackout Brand Fam Areas (Enc)'!$D$6:$D$998,MATCH(UPPER(A918)&amp;"|"&amp;UPPER(B918),'Blackout Brand Fam Areas (Enc)'!$G$6:$G$998,0)),"No Match")</f>
        <v>No Match</v>
      </c>
      <c r="F918" s="2" t="str">
        <f t="shared" si="28"/>
        <v>US</v>
      </c>
      <c r="G918" s="2" t="str">
        <f t="shared" si="29"/>
        <v>Tyskie Gronie|SUSSEX</v>
      </c>
    </row>
    <row r="919" spans="1:7" x14ac:dyDescent="0.2">
      <c r="A919" s="2" t="str" cm="1">
        <f t="array" ref="A919">INDEX('[1]Brand Family Territory (Enc)'!$A$2:$A$296,INT((ROW()-2)/10)+1)</f>
        <v>Tyskie Gronie</v>
      </c>
      <c r="B919" s="2" t="str" cm="1">
        <f t="array" ref="B919">INDEX('Whitelist (Blackout Reverse)'!$B$1:$K$1,MOD(ROW()-2,10)+1)</f>
        <v>MORRIS 1</v>
      </c>
      <c r="C919" s="2" t="str">
        <f>VLOOKUP(A919,'[1]Brand Family Territory (Enc)'!$A$2:$B$296,2,FALSE)</f>
        <v>Core Market</v>
      </c>
      <c r="D919" s="2">
        <f>IF(COUNTIFS('[1]Brand Family Territories (Enc)'!$B$2:$B$62,C919,'[1]Brand Family Territories (Enc)'!$C$2:$C$62,B919)&gt;0,1,IF(AND(LEFT(B919,6)="MORRIS",COUNTIFS('[1]Brand Family Territories (Enc)'!$B$2:$B$62,C919,'[1]Brand Family Territories (Enc)'!$C$2:$C$62,"Morri")&gt;0),"Unk",0))</f>
        <v>1</v>
      </c>
      <c r="E919" s="2" t="str">
        <f>IFERROR(INDEX('Blackout Brand Fam Areas (Enc)'!$D$6:$D$998,MATCH(UPPER(A919)&amp;"|"&amp;UPPER(B919),'Blackout Brand Fam Areas (Enc)'!$G$6:$G$998,0)),"No Match")</f>
        <v>No Match</v>
      </c>
      <c r="F919" s="2" t="str">
        <f t="shared" si="28"/>
        <v>US</v>
      </c>
      <c r="G919" s="2" t="str">
        <f t="shared" si="29"/>
        <v>Tyskie Gronie|MORRIS 1</v>
      </c>
    </row>
    <row r="920" spans="1:7" x14ac:dyDescent="0.2">
      <c r="A920" s="2" t="str" cm="1">
        <f t="array" ref="A920">INDEX('[1]Brand Family Territory (Enc)'!$A$2:$A$296,INT((ROW()-2)/10)+1)</f>
        <v>Tyskie Gronie</v>
      </c>
      <c r="B920" s="2" t="str" cm="1">
        <f t="array" ref="B920">INDEX('Whitelist (Blackout Reverse)'!$B$1:$K$1,MOD(ROW()-2,10)+1)</f>
        <v>MORRIS 2</v>
      </c>
      <c r="C920" s="2" t="str">
        <f>VLOOKUP(A920,'[1]Brand Family Territory (Enc)'!$A$2:$B$296,2,FALSE)</f>
        <v>Core Market</v>
      </c>
      <c r="D920" s="2">
        <f>IF(COUNTIFS('[1]Brand Family Territories (Enc)'!$B$2:$B$62,C920,'[1]Brand Family Territories (Enc)'!$C$2:$C$62,B920)&gt;0,1,IF(AND(LEFT(B920,6)="MORRIS",COUNTIFS('[1]Brand Family Territories (Enc)'!$B$2:$B$62,C920,'[1]Brand Family Territories (Enc)'!$C$2:$C$62,"Morri")&gt;0),"Unk",0))</f>
        <v>0</v>
      </c>
      <c r="E920" s="2" t="str">
        <f>IFERROR(INDEX('Blackout Brand Fam Areas (Enc)'!$D$6:$D$998,MATCH(UPPER(A920)&amp;"|"&amp;UPPER(B920),'Blackout Brand Fam Areas (Enc)'!$G$6:$G$998,0)),"No Match")</f>
        <v>Inactive</v>
      </c>
      <c r="F920" s="2" t="str">
        <f t="shared" si="28"/>
        <v>THEM</v>
      </c>
      <c r="G920" s="2" t="str">
        <f t="shared" si="29"/>
        <v>Tyskie Gronie|MORRIS 2</v>
      </c>
    </row>
    <row r="921" spans="1:7" x14ac:dyDescent="0.2">
      <c r="A921" s="2" t="str" cm="1">
        <f t="array" ref="A921">INDEX('[1]Brand Family Territory (Enc)'!$A$2:$A$296,INT((ROW()-2)/10)+1)</f>
        <v>Tyskie Gronie</v>
      </c>
      <c r="B921" s="2" t="str" cm="1">
        <f t="array" ref="B921">INDEX('Whitelist (Blackout Reverse)'!$B$1:$K$1,MOD(ROW()-2,10)+1)</f>
        <v>MORRIS 3</v>
      </c>
      <c r="C921" s="2" t="str">
        <f>VLOOKUP(A921,'[1]Brand Family Territory (Enc)'!$A$2:$B$296,2,FALSE)</f>
        <v>Core Market</v>
      </c>
      <c r="D921" s="2">
        <f>IF(COUNTIFS('[1]Brand Family Territories (Enc)'!$B$2:$B$62,C921,'[1]Brand Family Territories (Enc)'!$C$2:$C$62,B921)&gt;0,1,IF(AND(LEFT(B921,6)="MORRIS",COUNTIFS('[1]Brand Family Territories (Enc)'!$B$2:$B$62,C921,'[1]Brand Family Territories (Enc)'!$C$2:$C$62,"Morri")&gt;0),"Unk",0))</f>
        <v>1</v>
      </c>
      <c r="E921" s="2" t="str">
        <f>IFERROR(INDEX('Blackout Brand Fam Areas (Enc)'!$D$6:$D$998,MATCH(UPPER(A921)&amp;"|"&amp;UPPER(B921),'Blackout Brand Fam Areas (Enc)'!$G$6:$G$998,0)),"No Match")</f>
        <v>No Match</v>
      </c>
      <c r="F921" s="2" t="str">
        <f t="shared" si="28"/>
        <v>US</v>
      </c>
      <c r="G921" s="2" t="str">
        <f t="shared" si="29"/>
        <v>Tyskie Gronie|MORRIS 3</v>
      </c>
    </row>
    <row r="922" spans="1:7" x14ac:dyDescent="0.2">
      <c r="A922" s="2" t="str" cm="1">
        <f t="array" ref="A922">INDEX('[1]Brand Family Territory (Enc)'!$A$2:$A$296,INT((ROW()-2)/10)+1)</f>
        <v>Victoria</v>
      </c>
      <c r="B922" s="2" t="str" cm="1">
        <f t="array" ref="B922">INDEX('Whitelist (Blackout Reverse)'!$B$1:$K$1,MOD(ROW()-2,10)+1)</f>
        <v>BERGEN</v>
      </c>
      <c r="C922" s="2" t="str">
        <f>VLOOKUP(A922,'[1]Brand Family Territory (Enc)'!$A$2:$B$296,2,FALSE)</f>
        <v>Core Market</v>
      </c>
      <c r="D922" s="2">
        <f>IF(COUNTIFS('[1]Brand Family Territories (Enc)'!$B$2:$B$62,C922,'[1]Brand Family Territories (Enc)'!$C$2:$C$62,B922)&gt;0,1,IF(AND(LEFT(B922,6)="MORRIS",COUNTIFS('[1]Brand Family Territories (Enc)'!$B$2:$B$62,C922,'[1]Brand Family Territories (Enc)'!$C$2:$C$62,"Morri")&gt;0),"Unk",0))</f>
        <v>1</v>
      </c>
      <c r="E922" s="2" t="str">
        <f>IFERROR(INDEX('Blackout Brand Fam Areas (Enc)'!$D$6:$D$998,MATCH(UPPER(A922)&amp;"|"&amp;UPPER(B922),'Blackout Brand Fam Areas (Enc)'!$G$6:$G$998,0)),"No Match")</f>
        <v>No Match</v>
      </c>
      <c r="F922" s="2" t="str">
        <f t="shared" si="28"/>
        <v>US</v>
      </c>
      <c r="G922" s="2" t="str">
        <f t="shared" si="29"/>
        <v>Victoria|BERGEN</v>
      </c>
    </row>
    <row r="923" spans="1:7" x14ac:dyDescent="0.2">
      <c r="A923" s="2" t="str" cm="1">
        <f t="array" ref="A923">INDEX('[1]Brand Family Territory (Enc)'!$A$2:$A$296,INT((ROW()-2)/10)+1)</f>
        <v>Victoria</v>
      </c>
      <c r="B923" s="2" t="str" cm="1">
        <f t="array" ref="B923">INDEX('Whitelist (Blackout Reverse)'!$B$1:$K$1,MOD(ROW()-2,10)+1)</f>
        <v>PASSAIC</v>
      </c>
      <c r="C923" s="2" t="str">
        <f>VLOOKUP(A923,'[1]Brand Family Territory (Enc)'!$A$2:$B$296,2,FALSE)</f>
        <v>Core Market</v>
      </c>
      <c r="D923" s="2">
        <f>IF(COUNTIFS('[1]Brand Family Territories (Enc)'!$B$2:$B$62,C923,'[1]Brand Family Territories (Enc)'!$C$2:$C$62,B923)&gt;0,1,IF(AND(LEFT(B923,6)="MORRIS",COUNTIFS('[1]Brand Family Territories (Enc)'!$B$2:$B$62,C923,'[1]Brand Family Territories (Enc)'!$C$2:$C$62,"Morri")&gt;0),"Unk",0))</f>
        <v>1</v>
      </c>
      <c r="E923" s="2" t="str">
        <f>IFERROR(INDEX('Blackout Brand Fam Areas (Enc)'!$D$6:$D$998,MATCH(UPPER(A923)&amp;"|"&amp;UPPER(B923),'Blackout Brand Fam Areas (Enc)'!$G$6:$G$998,0)),"No Match")</f>
        <v>No Match</v>
      </c>
      <c r="F923" s="2" t="str">
        <f t="shared" si="28"/>
        <v>US</v>
      </c>
      <c r="G923" s="2" t="str">
        <f t="shared" si="29"/>
        <v>Victoria|PASSAIC</v>
      </c>
    </row>
    <row r="924" spans="1:7" x14ac:dyDescent="0.2">
      <c r="A924" s="2" t="str" cm="1">
        <f t="array" ref="A924">INDEX('[1]Brand Family Territory (Enc)'!$A$2:$A$296,INT((ROW()-2)/10)+1)</f>
        <v>Victoria</v>
      </c>
      <c r="B924" s="2" t="str" cm="1">
        <f t="array" ref="B924">INDEX('Whitelist (Blackout Reverse)'!$B$1:$K$1,MOD(ROW()-2,10)+1)</f>
        <v>PASSAIC-FF</v>
      </c>
      <c r="C924" s="2" t="str">
        <f>VLOOKUP(A924,'[1]Brand Family Territory (Enc)'!$A$2:$B$296,2,FALSE)</f>
        <v>Core Market</v>
      </c>
      <c r="D924" s="2">
        <f>IF(COUNTIFS('[1]Brand Family Territories (Enc)'!$B$2:$B$62,C924,'[1]Brand Family Territories (Enc)'!$C$2:$C$62,B924)&gt;0,1,IF(AND(LEFT(B924,6)="MORRIS",COUNTIFS('[1]Brand Family Territories (Enc)'!$B$2:$B$62,C924,'[1]Brand Family Territories (Enc)'!$C$2:$C$62,"Morri")&gt;0),"Unk",0))</f>
        <v>1</v>
      </c>
      <c r="E924" s="2" t="str">
        <f>IFERROR(INDEX('Blackout Brand Fam Areas (Enc)'!$D$6:$D$998,MATCH(UPPER(A924)&amp;"|"&amp;UPPER(B924),'Blackout Brand Fam Areas (Enc)'!$G$6:$G$998,0)),"No Match")</f>
        <v>No Match</v>
      </c>
      <c r="F924" s="2" t="str">
        <f t="shared" si="28"/>
        <v>US</v>
      </c>
      <c r="G924" s="2" t="str">
        <f t="shared" si="29"/>
        <v>Victoria|PASSAIC-FF</v>
      </c>
    </row>
    <row r="925" spans="1:7" x14ac:dyDescent="0.2">
      <c r="A925" s="2" t="str" cm="1">
        <f t="array" ref="A925">INDEX('[1]Brand Family Territory (Enc)'!$A$2:$A$296,INT((ROW()-2)/10)+1)</f>
        <v>Victoria</v>
      </c>
      <c r="B925" s="2" t="str" cm="1">
        <f t="array" ref="B925">INDEX('Whitelist (Blackout Reverse)'!$B$1:$K$1,MOD(ROW()-2,10)+1)</f>
        <v>ESSEX</v>
      </c>
      <c r="C925" s="2" t="str">
        <f>VLOOKUP(A925,'[1]Brand Family Territory (Enc)'!$A$2:$B$296,2,FALSE)</f>
        <v>Core Market</v>
      </c>
      <c r="D925" s="2">
        <f>IF(COUNTIFS('[1]Brand Family Territories (Enc)'!$B$2:$B$62,C925,'[1]Brand Family Territories (Enc)'!$C$2:$C$62,B925)&gt;0,1,IF(AND(LEFT(B925,6)="MORRIS",COUNTIFS('[1]Brand Family Territories (Enc)'!$B$2:$B$62,C925,'[1]Brand Family Territories (Enc)'!$C$2:$C$62,"Morri")&gt;0),"Unk",0))</f>
        <v>0</v>
      </c>
      <c r="E925" s="2" t="str">
        <f>IFERROR(INDEX('Blackout Brand Fam Areas (Enc)'!$D$6:$D$998,MATCH(UPPER(A925)&amp;"|"&amp;UPPER(B925),'Blackout Brand Fam Areas (Enc)'!$G$6:$G$998,0)),"No Match")</f>
        <v>Inactive</v>
      </c>
      <c r="F925" s="2" t="str">
        <f t="shared" si="28"/>
        <v>THEM</v>
      </c>
      <c r="G925" s="2" t="str">
        <f t="shared" si="29"/>
        <v>Victoria|ESSEX</v>
      </c>
    </row>
    <row r="926" spans="1:7" x14ac:dyDescent="0.2">
      <c r="A926" s="2" t="str" cm="1">
        <f t="array" ref="A926">INDEX('[1]Brand Family Territory (Enc)'!$A$2:$A$296,INT((ROW()-2)/10)+1)</f>
        <v>Victoria</v>
      </c>
      <c r="B926" s="2" t="str" cm="1">
        <f t="array" ref="B926">INDEX('Whitelist (Blackout Reverse)'!$B$1:$K$1,MOD(ROW()-2,10)+1)</f>
        <v>HUDSON</v>
      </c>
      <c r="C926" s="2" t="str">
        <f>VLOOKUP(A926,'[1]Brand Family Territory (Enc)'!$A$2:$B$296,2,FALSE)</f>
        <v>Core Market</v>
      </c>
      <c r="D926" s="2">
        <f>IF(COUNTIFS('[1]Brand Family Territories (Enc)'!$B$2:$B$62,C926,'[1]Brand Family Territories (Enc)'!$C$2:$C$62,B926)&gt;0,1,IF(AND(LEFT(B926,6)="MORRIS",COUNTIFS('[1]Brand Family Territories (Enc)'!$B$2:$B$62,C926,'[1]Brand Family Territories (Enc)'!$C$2:$C$62,"Morri")&gt;0),"Unk",0))</f>
        <v>0</v>
      </c>
      <c r="E926" s="2" t="str">
        <f>IFERROR(INDEX('Blackout Brand Fam Areas (Enc)'!$D$6:$D$998,MATCH(UPPER(A926)&amp;"|"&amp;UPPER(B926),'Blackout Brand Fam Areas (Enc)'!$G$6:$G$998,0)),"No Match")</f>
        <v>Inactive</v>
      </c>
      <c r="F926" s="2" t="str">
        <f t="shared" si="28"/>
        <v>THEM</v>
      </c>
      <c r="G926" s="2" t="str">
        <f t="shared" si="29"/>
        <v>Victoria|HUDSON</v>
      </c>
    </row>
    <row r="927" spans="1:7" x14ac:dyDescent="0.2">
      <c r="A927" s="2" t="str" cm="1">
        <f t="array" ref="A927">INDEX('[1]Brand Family Territory (Enc)'!$A$2:$A$296,INT((ROW()-2)/10)+1)</f>
        <v>Victoria</v>
      </c>
      <c r="B927" s="2" t="str" cm="1">
        <f t="array" ref="B927">INDEX('Whitelist (Blackout Reverse)'!$B$1:$K$1,MOD(ROW()-2,10)+1)</f>
        <v>UNION</v>
      </c>
      <c r="C927" s="2" t="str">
        <f>VLOOKUP(A927,'[1]Brand Family Territory (Enc)'!$A$2:$B$296,2,FALSE)</f>
        <v>Core Market</v>
      </c>
      <c r="D927" s="2">
        <f>IF(COUNTIFS('[1]Brand Family Territories (Enc)'!$B$2:$B$62,C927,'[1]Brand Family Territories (Enc)'!$C$2:$C$62,B927)&gt;0,1,IF(AND(LEFT(B927,6)="MORRIS",COUNTIFS('[1]Brand Family Territories (Enc)'!$B$2:$B$62,C927,'[1]Brand Family Territories (Enc)'!$C$2:$C$62,"Morri")&gt;0),"Unk",0))</f>
        <v>0</v>
      </c>
      <c r="E927" s="2" t="str">
        <f>IFERROR(INDEX('Blackout Brand Fam Areas (Enc)'!$D$6:$D$998,MATCH(UPPER(A927)&amp;"|"&amp;UPPER(B927),'Blackout Brand Fam Areas (Enc)'!$G$6:$G$998,0)),"No Match")</f>
        <v>Inactive</v>
      </c>
      <c r="F927" s="2" t="str">
        <f t="shared" si="28"/>
        <v>THEM</v>
      </c>
      <c r="G927" s="2" t="str">
        <f t="shared" si="29"/>
        <v>Victoria|UNION</v>
      </c>
    </row>
    <row r="928" spans="1:7" x14ac:dyDescent="0.2">
      <c r="A928" s="2" t="str" cm="1">
        <f t="array" ref="A928">INDEX('[1]Brand Family Territory (Enc)'!$A$2:$A$296,INT((ROW()-2)/10)+1)</f>
        <v>Victoria</v>
      </c>
      <c r="B928" s="2" t="str" cm="1">
        <f t="array" ref="B928">INDEX('Whitelist (Blackout Reverse)'!$B$1:$K$1,MOD(ROW()-2,10)+1)</f>
        <v>SUSSEX</v>
      </c>
      <c r="C928" s="2" t="str">
        <f>VLOOKUP(A928,'[1]Brand Family Territory (Enc)'!$A$2:$B$296,2,FALSE)</f>
        <v>Core Market</v>
      </c>
      <c r="D928" s="2">
        <f>IF(COUNTIFS('[1]Brand Family Territories (Enc)'!$B$2:$B$62,C928,'[1]Brand Family Territories (Enc)'!$C$2:$C$62,B928)&gt;0,1,IF(AND(LEFT(B928,6)="MORRIS",COUNTIFS('[1]Brand Family Territories (Enc)'!$B$2:$B$62,C928,'[1]Brand Family Territories (Enc)'!$C$2:$C$62,"Morri")&gt;0),"Unk",0))</f>
        <v>1</v>
      </c>
      <c r="E928" s="2" t="str">
        <f>IFERROR(INDEX('Blackout Brand Fam Areas (Enc)'!$D$6:$D$998,MATCH(UPPER(A928)&amp;"|"&amp;UPPER(B928),'Blackout Brand Fam Areas (Enc)'!$G$6:$G$998,0)),"No Match")</f>
        <v>No Match</v>
      </c>
      <c r="F928" s="2" t="str">
        <f t="shared" si="28"/>
        <v>US</v>
      </c>
      <c r="G928" s="2" t="str">
        <f t="shared" si="29"/>
        <v>Victoria|SUSSEX</v>
      </c>
    </row>
    <row r="929" spans="1:7" x14ac:dyDescent="0.2">
      <c r="A929" s="2" t="str" cm="1">
        <f t="array" ref="A929">INDEX('[1]Brand Family Territory (Enc)'!$A$2:$A$296,INT((ROW()-2)/10)+1)</f>
        <v>Victoria</v>
      </c>
      <c r="B929" s="2" t="str" cm="1">
        <f t="array" ref="B929">INDEX('Whitelist (Blackout Reverse)'!$B$1:$K$1,MOD(ROW()-2,10)+1)</f>
        <v>MORRIS 1</v>
      </c>
      <c r="C929" s="2" t="str">
        <f>VLOOKUP(A929,'[1]Brand Family Territory (Enc)'!$A$2:$B$296,2,FALSE)</f>
        <v>Core Market</v>
      </c>
      <c r="D929" s="2">
        <f>IF(COUNTIFS('[1]Brand Family Territories (Enc)'!$B$2:$B$62,C929,'[1]Brand Family Territories (Enc)'!$C$2:$C$62,B929)&gt;0,1,IF(AND(LEFT(B929,6)="MORRIS",COUNTIFS('[1]Brand Family Territories (Enc)'!$B$2:$B$62,C929,'[1]Brand Family Territories (Enc)'!$C$2:$C$62,"Morri")&gt;0),"Unk",0))</f>
        <v>1</v>
      </c>
      <c r="E929" s="2" t="str">
        <f>IFERROR(INDEX('Blackout Brand Fam Areas (Enc)'!$D$6:$D$998,MATCH(UPPER(A929)&amp;"|"&amp;UPPER(B929),'Blackout Brand Fam Areas (Enc)'!$G$6:$G$998,0)),"No Match")</f>
        <v>No Match</v>
      </c>
      <c r="F929" s="2" t="str">
        <f t="shared" si="28"/>
        <v>US</v>
      </c>
      <c r="G929" s="2" t="str">
        <f t="shared" si="29"/>
        <v>Victoria|MORRIS 1</v>
      </c>
    </row>
    <row r="930" spans="1:7" x14ac:dyDescent="0.2">
      <c r="A930" s="2" t="str" cm="1">
        <f t="array" ref="A930">INDEX('[1]Brand Family Territory (Enc)'!$A$2:$A$296,INT((ROW()-2)/10)+1)</f>
        <v>Victoria</v>
      </c>
      <c r="B930" s="2" t="str" cm="1">
        <f t="array" ref="B930">INDEX('Whitelist (Blackout Reverse)'!$B$1:$K$1,MOD(ROW()-2,10)+1)</f>
        <v>MORRIS 2</v>
      </c>
      <c r="C930" s="2" t="str">
        <f>VLOOKUP(A930,'[1]Brand Family Territory (Enc)'!$A$2:$B$296,2,FALSE)</f>
        <v>Core Market</v>
      </c>
      <c r="D930" s="2">
        <f>IF(COUNTIFS('[1]Brand Family Territories (Enc)'!$B$2:$B$62,C930,'[1]Brand Family Territories (Enc)'!$C$2:$C$62,B930)&gt;0,1,IF(AND(LEFT(B930,6)="MORRIS",COUNTIFS('[1]Brand Family Territories (Enc)'!$B$2:$B$62,C930,'[1]Brand Family Territories (Enc)'!$C$2:$C$62,"Morri")&gt;0),"Unk",0))</f>
        <v>0</v>
      </c>
      <c r="E930" s="2" t="str">
        <f>IFERROR(INDEX('Blackout Brand Fam Areas (Enc)'!$D$6:$D$998,MATCH(UPPER(A930)&amp;"|"&amp;UPPER(B930),'Blackout Brand Fam Areas (Enc)'!$G$6:$G$998,0)),"No Match")</f>
        <v>Inactive</v>
      </c>
      <c r="F930" s="2" t="str">
        <f t="shared" si="28"/>
        <v>THEM</v>
      </c>
      <c r="G930" s="2" t="str">
        <f t="shared" si="29"/>
        <v>Victoria|MORRIS 2</v>
      </c>
    </row>
    <row r="931" spans="1:7" x14ac:dyDescent="0.2">
      <c r="A931" s="2" t="str" cm="1">
        <f t="array" ref="A931">INDEX('[1]Brand Family Territory (Enc)'!$A$2:$A$296,INT((ROW()-2)/10)+1)</f>
        <v>Victoria</v>
      </c>
      <c r="B931" s="2" t="str" cm="1">
        <f t="array" ref="B931">INDEX('Whitelist (Blackout Reverse)'!$B$1:$K$1,MOD(ROW()-2,10)+1)</f>
        <v>MORRIS 3</v>
      </c>
      <c r="C931" s="2" t="str">
        <f>VLOOKUP(A931,'[1]Brand Family Territory (Enc)'!$A$2:$B$296,2,FALSE)</f>
        <v>Core Market</v>
      </c>
      <c r="D931" s="2">
        <f>IF(COUNTIFS('[1]Brand Family Territories (Enc)'!$B$2:$B$62,C931,'[1]Brand Family Territories (Enc)'!$C$2:$C$62,B931)&gt;0,1,IF(AND(LEFT(B931,6)="MORRIS",COUNTIFS('[1]Brand Family Territories (Enc)'!$B$2:$B$62,C931,'[1]Brand Family Territories (Enc)'!$C$2:$C$62,"Morri")&gt;0),"Unk",0))</f>
        <v>1</v>
      </c>
      <c r="E931" s="2" t="str">
        <f>IFERROR(INDEX('Blackout Brand Fam Areas (Enc)'!$D$6:$D$998,MATCH(UPPER(A931)&amp;"|"&amp;UPPER(B931),'Blackout Brand Fam Areas (Enc)'!$G$6:$G$998,0)),"No Match")</f>
        <v>No Match</v>
      </c>
      <c r="F931" s="2" t="str">
        <f t="shared" si="28"/>
        <v>US</v>
      </c>
      <c r="G931" s="2" t="str">
        <f t="shared" si="29"/>
        <v>Victoria|MORRIS 3</v>
      </c>
    </row>
    <row r="932" spans="1:7" x14ac:dyDescent="0.2">
      <c r="A932" s="2" t="str" cm="1">
        <f t="array" ref="A932">INDEX('[1]Brand Family Territory (Enc)'!$A$2:$A$296,INT((ROW()-2)/10)+1)</f>
        <v>Vizzy</v>
      </c>
      <c r="B932" s="2" t="str" cm="1">
        <f t="array" ref="B932">INDEX('Whitelist (Blackout Reverse)'!$B$1:$K$1,MOD(ROW()-2,10)+1)</f>
        <v>BERGEN</v>
      </c>
      <c r="C932" s="2" t="str">
        <f>VLOOKUP(A932,'[1]Brand Family Territory (Enc)'!$A$2:$B$296,2,FALSE)</f>
        <v>Core Market</v>
      </c>
      <c r="D932" s="2">
        <f>IF(COUNTIFS('[1]Brand Family Territories (Enc)'!$B$2:$B$62,C932,'[1]Brand Family Territories (Enc)'!$C$2:$C$62,B932)&gt;0,1,IF(AND(LEFT(B932,6)="MORRIS",COUNTIFS('[1]Brand Family Territories (Enc)'!$B$2:$B$62,C932,'[1]Brand Family Territories (Enc)'!$C$2:$C$62,"Morri")&gt;0),"Unk",0))</f>
        <v>1</v>
      </c>
      <c r="E932" s="2" t="str">
        <f>IFERROR(INDEX('Blackout Brand Fam Areas (Enc)'!$D$6:$D$998,MATCH(UPPER(A932)&amp;"|"&amp;UPPER(B932),'Blackout Brand Fam Areas (Enc)'!$G$6:$G$998,0)),"No Match")</f>
        <v>No Match</v>
      </c>
      <c r="F932" s="2" t="str">
        <f t="shared" si="28"/>
        <v>US</v>
      </c>
      <c r="G932" s="2" t="str">
        <f t="shared" si="29"/>
        <v>Vizzy|BERGEN</v>
      </c>
    </row>
    <row r="933" spans="1:7" x14ac:dyDescent="0.2">
      <c r="A933" s="2" t="str" cm="1">
        <f t="array" ref="A933">INDEX('[1]Brand Family Territory (Enc)'!$A$2:$A$296,INT((ROW()-2)/10)+1)</f>
        <v>Vizzy</v>
      </c>
      <c r="B933" s="2" t="str" cm="1">
        <f t="array" ref="B933">INDEX('Whitelist (Blackout Reverse)'!$B$1:$K$1,MOD(ROW()-2,10)+1)</f>
        <v>PASSAIC</v>
      </c>
      <c r="C933" s="2" t="str">
        <f>VLOOKUP(A933,'[1]Brand Family Territory (Enc)'!$A$2:$B$296,2,FALSE)</f>
        <v>Core Market</v>
      </c>
      <c r="D933" s="2">
        <f>IF(COUNTIFS('[1]Brand Family Territories (Enc)'!$B$2:$B$62,C933,'[1]Brand Family Territories (Enc)'!$C$2:$C$62,B933)&gt;0,1,IF(AND(LEFT(B933,6)="MORRIS",COUNTIFS('[1]Brand Family Territories (Enc)'!$B$2:$B$62,C933,'[1]Brand Family Territories (Enc)'!$C$2:$C$62,"Morri")&gt;0),"Unk",0))</f>
        <v>1</v>
      </c>
      <c r="E933" s="2" t="str">
        <f>IFERROR(INDEX('Blackout Brand Fam Areas (Enc)'!$D$6:$D$998,MATCH(UPPER(A933)&amp;"|"&amp;UPPER(B933),'Blackout Brand Fam Areas (Enc)'!$G$6:$G$998,0)),"No Match")</f>
        <v>No Match</v>
      </c>
      <c r="F933" s="2" t="str">
        <f t="shared" si="28"/>
        <v>US</v>
      </c>
      <c r="G933" s="2" t="str">
        <f t="shared" si="29"/>
        <v>Vizzy|PASSAIC</v>
      </c>
    </row>
    <row r="934" spans="1:7" x14ac:dyDescent="0.2">
      <c r="A934" s="2" t="str" cm="1">
        <f t="array" ref="A934">INDEX('[1]Brand Family Territory (Enc)'!$A$2:$A$296,INT((ROW()-2)/10)+1)</f>
        <v>Vizzy</v>
      </c>
      <c r="B934" s="2" t="str" cm="1">
        <f t="array" ref="B934">INDEX('Whitelist (Blackout Reverse)'!$B$1:$K$1,MOD(ROW()-2,10)+1)</f>
        <v>PASSAIC-FF</v>
      </c>
      <c r="C934" s="2" t="str">
        <f>VLOOKUP(A934,'[1]Brand Family Territory (Enc)'!$A$2:$B$296,2,FALSE)</f>
        <v>Core Market</v>
      </c>
      <c r="D934" s="2">
        <f>IF(COUNTIFS('[1]Brand Family Territories (Enc)'!$B$2:$B$62,C934,'[1]Brand Family Territories (Enc)'!$C$2:$C$62,B934)&gt;0,1,IF(AND(LEFT(B934,6)="MORRIS",COUNTIFS('[1]Brand Family Territories (Enc)'!$B$2:$B$62,C934,'[1]Brand Family Territories (Enc)'!$C$2:$C$62,"Morri")&gt;0),"Unk",0))</f>
        <v>1</v>
      </c>
      <c r="E934" s="2" t="str">
        <f>IFERROR(INDEX('Blackout Brand Fam Areas (Enc)'!$D$6:$D$998,MATCH(UPPER(A934)&amp;"|"&amp;UPPER(B934),'Blackout Brand Fam Areas (Enc)'!$G$6:$G$998,0)),"No Match")</f>
        <v>No Match</v>
      </c>
      <c r="F934" s="2" t="str">
        <f t="shared" si="28"/>
        <v>US</v>
      </c>
      <c r="G934" s="2" t="str">
        <f t="shared" si="29"/>
        <v>Vizzy|PASSAIC-FF</v>
      </c>
    </row>
    <row r="935" spans="1:7" x14ac:dyDescent="0.2">
      <c r="A935" s="2" t="str" cm="1">
        <f t="array" ref="A935">INDEX('[1]Brand Family Territory (Enc)'!$A$2:$A$296,INT((ROW()-2)/10)+1)</f>
        <v>Vizzy</v>
      </c>
      <c r="B935" s="2" t="str" cm="1">
        <f t="array" ref="B935">INDEX('Whitelist (Blackout Reverse)'!$B$1:$K$1,MOD(ROW()-2,10)+1)</f>
        <v>ESSEX</v>
      </c>
      <c r="C935" s="2" t="str">
        <f>VLOOKUP(A935,'[1]Brand Family Territory (Enc)'!$A$2:$B$296,2,FALSE)</f>
        <v>Core Market</v>
      </c>
      <c r="D935" s="2">
        <f>IF(COUNTIFS('[1]Brand Family Territories (Enc)'!$B$2:$B$62,C935,'[1]Brand Family Territories (Enc)'!$C$2:$C$62,B935)&gt;0,1,IF(AND(LEFT(B935,6)="MORRIS",COUNTIFS('[1]Brand Family Territories (Enc)'!$B$2:$B$62,C935,'[1]Brand Family Territories (Enc)'!$C$2:$C$62,"Morri")&gt;0),"Unk",0))</f>
        <v>0</v>
      </c>
      <c r="E935" s="2" t="str">
        <f>IFERROR(INDEX('Blackout Brand Fam Areas (Enc)'!$D$6:$D$998,MATCH(UPPER(A935)&amp;"|"&amp;UPPER(B935),'Blackout Brand Fam Areas (Enc)'!$G$6:$G$998,0)),"No Match")</f>
        <v>Inactive</v>
      </c>
      <c r="F935" s="2" t="str">
        <f t="shared" si="28"/>
        <v>THEM</v>
      </c>
      <c r="G935" s="2" t="str">
        <f t="shared" si="29"/>
        <v>Vizzy|ESSEX</v>
      </c>
    </row>
    <row r="936" spans="1:7" x14ac:dyDescent="0.2">
      <c r="A936" s="2" t="str" cm="1">
        <f t="array" ref="A936">INDEX('[1]Brand Family Territory (Enc)'!$A$2:$A$296,INT((ROW()-2)/10)+1)</f>
        <v>Vizzy</v>
      </c>
      <c r="B936" s="2" t="str" cm="1">
        <f t="array" ref="B936">INDEX('Whitelist (Blackout Reverse)'!$B$1:$K$1,MOD(ROW()-2,10)+1)</f>
        <v>HUDSON</v>
      </c>
      <c r="C936" s="2" t="str">
        <f>VLOOKUP(A936,'[1]Brand Family Territory (Enc)'!$A$2:$B$296,2,FALSE)</f>
        <v>Core Market</v>
      </c>
      <c r="D936" s="2">
        <f>IF(COUNTIFS('[1]Brand Family Territories (Enc)'!$B$2:$B$62,C936,'[1]Brand Family Territories (Enc)'!$C$2:$C$62,B936)&gt;0,1,IF(AND(LEFT(B936,6)="MORRIS",COUNTIFS('[1]Brand Family Territories (Enc)'!$B$2:$B$62,C936,'[1]Brand Family Territories (Enc)'!$C$2:$C$62,"Morri")&gt;0),"Unk",0))</f>
        <v>0</v>
      </c>
      <c r="E936" s="2" t="str">
        <f>IFERROR(INDEX('Blackout Brand Fam Areas (Enc)'!$D$6:$D$998,MATCH(UPPER(A936)&amp;"|"&amp;UPPER(B936),'Blackout Brand Fam Areas (Enc)'!$G$6:$G$998,0)),"No Match")</f>
        <v>Inactive</v>
      </c>
      <c r="F936" s="2" t="str">
        <f t="shared" si="28"/>
        <v>THEM</v>
      </c>
      <c r="G936" s="2" t="str">
        <f t="shared" si="29"/>
        <v>Vizzy|HUDSON</v>
      </c>
    </row>
    <row r="937" spans="1:7" x14ac:dyDescent="0.2">
      <c r="A937" s="2" t="str" cm="1">
        <f t="array" ref="A937">INDEX('[1]Brand Family Territory (Enc)'!$A$2:$A$296,INT((ROW()-2)/10)+1)</f>
        <v>Vizzy</v>
      </c>
      <c r="B937" s="2" t="str" cm="1">
        <f t="array" ref="B937">INDEX('Whitelist (Blackout Reverse)'!$B$1:$K$1,MOD(ROW()-2,10)+1)</f>
        <v>UNION</v>
      </c>
      <c r="C937" s="2" t="str">
        <f>VLOOKUP(A937,'[1]Brand Family Territory (Enc)'!$A$2:$B$296,2,FALSE)</f>
        <v>Core Market</v>
      </c>
      <c r="D937" s="2">
        <f>IF(COUNTIFS('[1]Brand Family Territories (Enc)'!$B$2:$B$62,C937,'[1]Brand Family Territories (Enc)'!$C$2:$C$62,B937)&gt;0,1,IF(AND(LEFT(B937,6)="MORRIS",COUNTIFS('[1]Brand Family Territories (Enc)'!$B$2:$B$62,C937,'[1]Brand Family Territories (Enc)'!$C$2:$C$62,"Morri")&gt;0),"Unk",0))</f>
        <v>0</v>
      </c>
      <c r="E937" s="2" t="str">
        <f>IFERROR(INDEX('Blackout Brand Fam Areas (Enc)'!$D$6:$D$998,MATCH(UPPER(A937)&amp;"|"&amp;UPPER(B937),'Blackout Brand Fam Areas (Enc)'!$G$6:$G$998,0)),"No Match")</f>
        <v>Inactive</v>
      </c>
      <c r="F937" s="2" t="str">
        <f t="shared" si="28"/>
        <v>THEM</v>
      </c>
      <c r="G937" s="2" t="str">
        <f t="shared" si="29"/>
        <v>Vizzy|UNION</v>
      </c>
    </row>
    <row r="938" spans="1:7" x14ac:dyDescent="0.2">
      <c r="A938" s="2" t="str" cm="1">
        <f t="array" ref="A938">INDEX('[1]Brand Family Territory (Enc)'!$A$2:$A$296,INT((ROW()-2)/10)+1)</f>
        <v>Vizzy</v>
      </c>
      <c r="B938" s="2" t="str" cm="1">
        <f t="array" ref="B938">INDEX('Whitelist (Blackout Reverse)'!$B$1:$K$1,MOD(ROW()-2,10)+1)</f>
        <v>SUSSEX</v>
      </c>
      <c r="C938" s="2" t="str">
        <f>VLOOKUP(A938,'[1]Brand Family Territory (Enc)'!$A$2:$B$296,2,FALSE)</f>
        <v>Core Market</v>
      </c>
      <c r="D938" s="2">
        <f>IF(COUNTIFS('[1]Brand Family Territories (Enc)'!$B$2:$B$62,C938,'[1]Brand Family Territories (Enc)'!$C$2:$C$62,B938)&gt;0,1,IF(AND(LEFT(B938,6)="MORRIS",COUNTIFS('[1]Brand Family Territories (Enc)'!$B$2:$B$62,C938,'[1]Brand Family Territories (Enc)'!$C$2:$C$62,"Morri")&gt;0),"Unk",0))</f>
        <v>1</v>
      </c>
      <c r="E938" s="2" t="str">
        <f>IFERROR(INDEX('Blackout Brand Fam Areas (Enc)'!$D$6:$D$998,MATCH(UPPER(A938)&amp;"|"&amp;UPPER(B938),'Blackout Brand Fam Areas (Enc)'!$G$6:$G$998,0)),"No Match")</f>
        <v>No Match</v>
      </c>
      <c r="F938" s="2" t="str">
        <f t="shared" si="28"/>
        <v>US</v>
      </c>
      <c r="G938" s="2" t="str">
        <f t="shared" si="29"/>
        <v>Vizzy|SUSSEX</v>
      </c>
    </row>
    <row r="939" spans="1:7" x14ac:dyDescent="0.2">
      <c r="A939" s="2" t="str" cm="1">
        <f t="array" ref="A939">INDEX('[1]Brand Family Territory (Enc)'!$A$2:$A$296,INT((ROW()-2)/10)+1)</f>
        <v>Vizzy</v>
      </c>
      <c r="B939" s="2" t="str" cm="1">
        <f t="array" ref="B939">INDEX('Whitelist (Blackout Reverse)'!$B$1:$K$1,MOD(ROW()-2,10)+1)</f>
        <v>MORRIS 1</v>
      </c>
      <c r="C939" s="2" t="str">
        <f>VLOOKUP(A939,'[1]Brand Family Territory (Enc)'!$A$2:$B$296,2,FALSE)</f>
        <v>Core Market</v>
      </c>
      <c r="D939" s="2">
        <f>IF(COUNTIFS('[1]Brand Family Territories (Enc)'!$B$2:$B$62,C939,'[1]Brand Family Territories (Enc)'!$C$2:$C$62,B939)&gt;0,1,IF(AND(LEFT(B939,6)="MORRIS",COUNTIFS('[1]Brand Family Territories (Enc)'!$B$2:$B$62,C939,'[1]Brand Family Territories (Enc)'!$C$2:$C$62,"Morri")&gt;0),"Unk",0))</f>
        <v>1</v>
      </c>
      <c r="E939" s="2" t="str">
        <f>IFERROR(INDEX('Blackout Brand Fam Areas (Enc)'!$D$6:$D$998,MATCH(UPPER(A939)&amp;"|"&amp;UPPER(B939),'Blackout Brand Fam Areas (Enc)'!$G$6:$G$998,0)),"No Match")</f>
        <v>No Match</v>
      </c>
      <c r="F939" s="2" t="str">
        <f t="shared" si="28"/>
        <v>US</v>
      </c>
      <c r="G939" s="2" t="str">
        <f t="shared" si="29"/>
        <v>Vizzy|MORRIS 1</v>
      </c>
    </row>
    <row r="940" spans="1:7" x14ac:dyDescent="0.2">
      <c r="A940" s="2" t="str" cm="1">
        <f t="array" ref="A940">INDEX('[1]Brand Family Territory (Enc)'!$A$2:$A$296,INT((ROW()-2)/10)+1)</f>
        <v>Vizzy</v>
      </c>
      <c r="B940" s="2" t="str" cm="1">
        <f t="array" ref="B940">INDEX('Whitelist (Blackout Reverse)'!$B$1:$K$1,MOD(ROW()-2,10)+1)</f>
        <v>MORRIS 2</v>
      </c>
      <c r="C940" s="2" t="str">
        <f>VLOOKUP(A940,'[1]Brand Family Territory (Enc)'!$A$2:$B$296,2,FALSE)</f>
        <v>Core Market</v>
      </c>
      <c r="D940" s="2">
        <f>IF(COUNTIFS('[1]Brand Family Territories (Enc)'!$B$2:$B$62,C940,'[1]Brand Family Territories (Enc)'!$C$2:$C$62,B940)&gt;0,1,IF(AND(LEFT(B940,6)="MORRIS",COUNTIFS('[1]Brand Family Territories (Enc)'!$B$2:$B$62,C940,'[1]Brand Family Territories (Enc)'!$C$2:$C$62,"Morri")&gt;0),"Unk",0))</f>
        <v>0</v>
      </c>
      <c r="E940" s="2" t="str">
        <f>IFERROR(INDEX('Blackout Brand Fam Areas (Enc)'!$D$6:$D$998,MATCH(UPPER(A940)&amp;"|"&amp;UPPER(B940),'Blackout Brand Fam Areas (Enc)'!$G$6:$G$998,0)),"No Match")</f>
        <v>Inactive</v>
      </c>
      <c r="F940" s="2" t="str">
        <f t="shared" si="28"/>
        <v>THEM</v>
      </c>
      <c r="G940" s="2" t="str">
        <f t="shared" si="29"/>
        <v>Vizzy|MORRIS 2</v>
      </c>
    </row>
    <row r="941" spans="1:7" x14ac:dyDescent="0.2">
      <c r="A941" s="2" t="str" cm="1">
        <f t="array" ref="A941">INDEX('[1]Brand Family Territory (Enc)'!$A$2:$A$296,INT((ROW()-2)/10)+1)</f>
        <v>Vizzy</v>
      </c>
      <c r="B941" s="2" t="str" cm="1">
        <f t="array" ref="B941">INDEX('Whitelist (Blackout Reverse)'!$B$1:$K$1,MOD(ROW()-2,10)+1)</f>
        <v>MORRIS 3</v>
      </c>
      <c r="C941" s="2" t="str">
        <f>VLOOKUP(A941,'[1]Brand Family Territory (Enc)'!$A$2:$B$296,2,FALSE)</f>
        <v>Core Market</v>
      </c>
      <c r="D941" s="2">
        <f>IF(COUNTIFS('[1]Brand Family Territories (Enc)'!$B$2:$B$62,C941,'[1]Brand Family Territories (Enc)'!$C$2:$C$62,B941)&gt;0,1,IF(AND(LEFT(B941,6)="MORRIS",COUNTIFS('[1]Brand Family Territories (Enc)'!$B$2:$B$62,C941,'[1]Brand Family Territories (Enc)'!$C$2:$C$62,"Morri")&gt;0),"Unk",0))</f>
        <v>1</v>
      </c>
      <c r="E941" s="2" t="str">
        <f>IFERROR(INDEX('Blackout Brand Fam Areas (Enc)'!$D$6:$D$998,MATCH(UPPER(A941)&amp;"|"&amp;UPPER(B941),'Blackout Brand Fam Areas (Enc)'!$G$6:$G$998,0)),"No Match")</f>
        <v>No Match</v>
      </c>
      <c r="F941" s="2" t="str">
        <f t="shared" si="28"/>
        <v>US</v>
      </c>
      <c r="G941" s="2" t="str">
        <f t="shared" si="29"/>
        <v>Vizzy|MORRIS 3</v>
      </c>
    </row>
    <row r="942" spans="1:7" x14ac:dyDescent="0.2">
      <c r="A942" s="2" t="str" cm="1">
        <f t="array" ref="A942">INDEX('[1]Brand Family Territory (Enc)'!$A$2:$A$296,INT((ROW()-2)/10)+1)</f>
        <v>White Claw</v>
      </c>
      <c r="B942" s="2" t="str" cm="1">
        <f t="array" ref="B942">INDEX('Whitelist (Blackout Reverse)'!$B$1:$K$1,MOD(ROW()-2,10)+1)</f>
        <v>BERGEN</v>
      </c>
      <c r="C942" s="2" t="str">
        <f>VLOOKUP(A942,'[1]Brand Family Territory (Enc)'!$A$2:$B$296,2,FALSE)</f>
        <v>Core Market</v>
      </c>
      <c r="D942" s="2">
        <f>IF(COUNTIFS('[1]Brand Family Territories (Enc)'!$B$2:$B$62,C942,'[1]Brand Family Territories (Enc)'!$C$2:$C$62,B942)&gt;0,1,IF(AND(LEFT(B942,6)="MORRIS",COUNTIFS('[1]Brand Family Territories (Enc)'!$B$2:$B$62,C942,'[1]Brand Family Territories (Enc)'!$C$2:$C$62,"Morri")&gt;0),"Unk",0))</f>
        <v>1</v>
      </c>
      <c r="E942" s="2" t="str">
        <f>IFERROR(INDEX('Blackout Brand Fam Areas (Enc)'!$D$6:$D$998,MATCH(UPPER(A942)&amp;"|"&amp;UPPER(B942),'Blackout Brand Fam Areas (Enc)'!$G$6:$G$998,0)),"No Match")</f>
        <v>No Match</v>
      </c>
      <c r="F942" s="2" t="str">
        <f t="shared" si="28"/>
        <v>US</v>
      </c>
      <c r="G942" s="2" t="str">
        <f t="shared" si="29"/>
        <v>White Claw|BERGEN</v>
      </c>
    </row>
    <row r="943" spans="1:7" x14ac:dyDescent="0.2">
      <c r="A943" s="2" t="str" cm="1">
        <f t="array" ref="A943">INDEX('[1]Brand Family Territory (Enc)'!$A$2:$A$296,INT((ROW()-2)/10)+1)</f>
        <v>White Claw</v>
      </c>
      <c r="B943" s="2" t="str" cm="1">
        <f t="array" ref="B943">INDEX('Whitelist (Blackout Reverse)'!$B$1:$K$1,MOD(ROW()-2,10)+1)</f>
        <v>PASSAIC</v>
      </c>
      <c r="C943" s="2" t="str">
        <f>VLOOKUP(A943,'[1]Brand Family Territory (Enc)'!$A$2:$B$296,2,FALSE)</f>
        <v>Core Market</v>
      </c>
      <c r="D943" s="2">
        <f>IF(COUNTIFS('[1]Brand Family Territories (Enc)'!$B$2:$B$62,C943,'[1]Brand Family Territories (Enc)'!$C$2:$C$62,B943)&gt;0,1,IF(AND(LEFT(B943,6)="MORRIS",COUNTIFS('[1]Brand Family Territories (Enc)'!$B$2:$B$62,C943,'[1]Brand Family Territories (Enc)'!$C$2:$C$62,"Morri")&gt;0),"Unk",0))</f>
        <v>1</v>
      </c>
      <c r="E943" s="2" t="str">
        <f>IFERROR(INDEX('Blackout Brand Fam Areas (Enc)'!$D$6:$D$998,MATCH(UPPER(A943)&amp;"|"&amp;UPPER(B943),'Blackout Brand Fam Areas (Enc)'!$G$6:$G$998,0)),"No Match")</f>
        <v>No Match</v>
      </c>
      <c r="F943" s="2" t="str">
        <f t="shared" si="28"/>
        <v>US</v>
      </c>
      <c r="G943" s="2" t="str">
        <f t="shared" si="29"/>
        <v>White Claw|PASSAIC</v>
      </c>
    </row>
    <row r="944" spans="1:7" x14ac:dyDescent="0.2">
      <c r="A944" s="2" t="str" cm="1">
        <f t="array" ref="A944">INDEX('[1]Brand Family Territory (Enc)'!$A$2:$A$296,INT((ROW()-2)/10)+1)</f>
        <v>White Claw</v>
      </c>
      <c r="B944" s="2" t="str" cm="1">
        <f t="array" ref="B944">INDEX('Whitelist (Blackout Reverse)'!$B$1:$K$1,MOD(ROW()-2,10)+1)</f>
        <v>PASSAIC-FF</v>
      </c>
      <c r="C944" s="2" t="str">
        <f>VLOOKUP(A944,'[1]Brand Family Territory (Enc)'!$A$2:$B$296,2,FALSE)</f>
        <v>Core Market</v>
      </c>
      <c r="D944" s="2">
        <f>IF(COUNTIFS('[1]Brand Family Territories (Enc)'!$B$2:$B$62,C944,'[1]Brand Family Territories (Enc)'!$C$2:$C$62,B944)&gt;0,1,IF(AND(LEFT(B944,6)="MORRIS",COUNTIFS('[1]Brand Family Territories (Enc)'!$B$2:$B$62,C944,'[1]Brand Family Territories (Enc)'!$C$2:$C$62,"Morri")&gt;0),"Unk",0))</f>
        <v>1</v>
      </c>
      <c r="E944" s="2" t="str">
        <f>IFERROR(INDEX('Blackout Brand Fam Areas (Enc)'!$D$6:$D$998,MATCH(UPPER(A944)&amp;"|"&amp;UPPER(B944),'Blackout Brand Fam Areas (Enc)'!$G$6:$G$998,0)),"No Match")</f>
        <v>No Match</v>
      </c>
      <c r="F944" s="2" t="str">
        <f t="shared" si="28"/>
        <v>US</v>
      </c>
      <c r="G944" s="2" t="str">
        <f t="shared" si="29"/>
        <v>White Claw|PASSAIC-FF</v>
      </c>
    </row>
    <row r="945" spans="1:7" x14ac:dyDescent="0.2">
      <c r="A945" s="2" t="str" cm="1">
        <f t="array" ref="A945">INDEX('[1]Brand Family Territory (Enc)'!$A$2:$A$296,INT((ROW()-2)/10)+1)</f>
        <v>White Claw</v>
      </c>
      <c r="B945" s="2" t="str" cm="1">
        <f t="array" ref="B945">INDEX('Whitelist (Blackout Reverse)'!$B$1:$K$1,MOD(ROW()-2,10)+1)</f>
        <v>ESSEX</v>
      </c>
      <c r="C945" s="2" t="str">
        <f>VLOOKUP(A945,'[1]Brand Family Territory (Enc)'!$A$2:$B$296,2,FALSE)</f>
        <v>Core Market</v>
      </c>
      <c r="D945" s="2">
        <f>IF(COUNTIFS('[1]Brand Family Territories (Enc)'!$B$2:$B$62,C945,'[1]Brand Family Territories (Enc)'!$C$2:$C$62,B945)&gt;0,1,IF(AND(LEFT(B945,6)="MORRIS",COUNTIFS('[1]Brand Family Territories (Enc)'!$B$2:$B$62,C945,'[1]Brand Family Territories (Enc)'!$C$2:$C$62,"Morri")&gt;0),"Unk",0))</f>
        <v>0</v>
      </c>
      <c r="E945" s="2" t="str">
        <f>IFERROR(INDEX('Blackout Brand Fam Areas (Enc)'!$D$6:$D$998,MATCH(UPPER(A945)&amp;"|"&amp;UPPER(B945),'Blackout Brand Fam Areas (Enc)'!$G$6:$G$998,0)),"No Match")</f>
        <v>Inactive</v>
      </c>
      <c r="F945" s="2" t="str">
        <f t="shared" si="28"/>
        <v>THEM</v>
      </c>
      <c r="G945" s="2" t="str">
        <f t="shared" si="29"/>
        <v>White Claw|ESSEX</v>
      </c>
    </row>
    <row r="946" spans="1:7" x14ac:dyDescent="0.2">
      <c r="A946" s="2" t="str" cm="1">
        <f t="array" ref="A946">INDEX('[1]Brand Family Territory (Enc)'!$A$2:$A$296,INT((ROW()-2)/10)+1)</f>
        <v>White Claw</v>
      </c>
      <c r="B946" s="2" t="str" cm="1">
        <f t="array" ref="B946">INDEX('Whitelist (Blackout Reverse)'!$B$1:$K$1,MOD(ROW()-2,10)+1)</f>
        <v>HUDSON</v>
      </c>
      <c r="C946" s="2" t="str">
        <f>VLOOKUP(A946,'[1]Brand Family Territory (Enc)'!$A$2:$B$296,2,FALSE)</f>
        <v>Core Market</v>
      </c>
      <c r="D946" s="2">
        <f>IF(COUNTIFS('[1]Brand Family Territories (Enc)'!$B$2:$B$62,C946,'[1]Brand Family Territories (Enc)'!$C$2:$C$62,B946)&gt;0,1,IF(AND(LEFT(B946,6)="MORRIS",COUNTIFS('[1]Brand Family Territories (Enc)'!$B$2:$B$62,C946,'[1]Brand Family Territories (Enc)'!$C$2:$C$62,"Morri")&gt;0),"Unk",0))</f>
        <v>0</v>
      </c>
      <c r="E946" s="2" t="str">
        <f>IFERROR(INDEX('Blackout Brand Fam Areas (Enc)'!$D$6:$D$998,MATCH(UPPER(A946)&amp;"|"&amp;UPPER(B946),'Blackout Brand Fam Areas (Enc)'!$G$6:$G$998,0)),"No Match")</f>
        <v>Inactive</v>
      </c>
      <c r="F946" s="2" t="str">
        <f t="shared" si="28"/>
        <v>THEM</v>
      </c>
      <c r="G946" s="2" t="str">
        <f t="shared" si="29"/>
        <v>White Claw|HUDSON</v>
      </c>
    </row>
    <row r="947" spans="1:7" x14ac:dyDescent="0.2">
      <c r="A947" s="2" t="str" cm="1">
        <f t="array" ref="A947">INDEX('[1]Brand Family Territory (Enc)'!$A$2:$A$296,INT((ROW()-2)/10)+1)</f>
        <v>White Claw</v>
      </c>
      <c r="B947" s="2" t="str" cm="1">
        <f t="array" ref="B947">INDEX('Whitelist (Blackout Reverse)'!$B$1:$K$1,MOD(ROW()-2,10)+1)</f>
        <v>UNION</v>
      </c>
      <c r="C947" s="2" t="str">
        <f>VLOOKUP(A947,'[1]Brand Family Territory (Enc)'!$A$2:$B$296,2,FALSE)</f>
        <v>Core Market</v>
      </c>
      <c r="D947" s="2">
        <f>IF(COUNTIFS('[1]Brand Family Territories (Enc)'!$B$2:$B$62,C947,'[1]Brand Family Territories (Enc)'!$C$2:$C$62,B947)&gt;0,1,IF(AND(LEFT(B947,6)="MORRIS",COUNTIFS('[1]Brand Family Territories (Enc)'!$B$2:$B$62,C947,'[1]Brand Family Territories (Enc)'!$C$2:$C$62,"Morri")&gt;0),"Unk",0))</f>
        <v>0</v>
      </c>
      <c r="E947" s="2" t="str">
        <f>IFERROR(INDEX('Blackout Brand Fam Areas (Enc)'!$D$6:$D$998,MATCH(UPPER(A947)&amp;"|"&amp;UPPER(B947),'Blackout Brand Fam Areas (Enc)'!$G$6:$G$998,0)),"No Match")</f>
        <v>Inactive</v>
      </c>
      <c r="F947" s="2" t="str">
        <f t="shared" si="28"/>
        <v>THEM</v>
      </c>
      <c r="G947" s="2" t="str">
        <f t="shared" si="29"/>
        <v>White Claw|UNION</v>
      </c>
    </row>
    <row r="948" spans="1:7" x14ac:dyDescent="0.2">
      <c r="A948" s="2" t="str" cm="1">
        <f t="array" ref="A948">INDEX('[1]Brand Family Territory (Enc)'!$A$2:$A$296,INT((ROW()-2)/10)+1)</f>
        <v>White Claw</v>
      </c>
      <c r="B948" s="2" t="str" cm="1">
        <f t="array" ref="B948">INDEX('Whitelist (Blackout Reverse)'!$B$1:$K$1,MOD(ROW()-2,10)+1)</f>
        <v>SUSSEX</v>
      </c>
      <c r="C948" s="2" t="str">
        <f>VLOOKUP(A948,'[1]Brand Family Territory (Enc)'!$A$2:$B$296,2,FALSE)</f>
        <v>Core Market</v>
      </c>
      <c r="D948" s="2">
        <f>IF(COUNTIFS('[1]Brand Family Territories (Enc)'!$B$2:$B$62,C948,'[1]Brand Family Territories (Enc)'!$C$2:$C$62,B948)&gt;0,1,IF(AND(LEFT(B948,6)="MORRIS",COUNTIFS('[1]Brand Family Territories (Enc)'!$B$2:$B$62,C948,'[1]Brand Family Territories (Enc)'!$C$2:$C$62,"Morri")&gt;0),"Unk",0))</f>
        <v>1</v>
      </c>
      <c r="E948" s="2" t="str">
        <f>IFERROR(INDEX('Blackout Brand Fam Areas (Enc)'!$D$6:$D$998,MATCH(UPPER(A948)&amp;"|"&amp;UPPER(B948),'Blackout Brand Fam Areas (Enc)'!$G$6:$G$998,0)),"No Match")</f>
        <v>No Match</v>
      </c>
      <c r="F948" s="2" t="str">
        <f t="shared" si="28"/>
        <v>US</v>
      </c>
      <c r="G948" s="2" t="str">
        <f t="shared" si="29"/>
        <v>White Claw|SUSSEX</v>
      </c>
    </row>
    <row r="949" spans="1:7" x14ac:dyDescent="0.2">
      <c r="A949" s="2" t="str" cm="1">
        <f t="array" ref="A949">INDEX('[1]Brand Family Territory (Enc)'!$A$2:$A$296,INT((ROW()-2)/10)+1)</f>
        <v>White Claw</v>
      </c>
      <c r="B949" s="2" t="str" cm="1">
        <f t="array" ref="B949">INDEX('Whitelist (Blackout Reverse)'!$B$1:$K$1,MOD(ROW()-2,10)+1)</f>
        <v>MORRIS 1</v>
      </c>
      <c r="C949" s="2" t="str">
        <f>VLOOKUP(A949,'[1]Brand Family Territory (Enc)'!$A$2:$B$296,2,FALSE)</f>
        <v>Core Market</v>
      </c>
      <c r="D949" s="2">
        <f>IF(COUNTIFS('[1]Brand Family Territories (Enc)'!$B$2:$B$62,C949,'[1]Brand Family Territories (Enc)'!$C$2:$C$62,B949)&gt;0,1,IF(AND(LEFT(B949,6)="MORRIS",COUNTIFS('[1]Brand Family Territories (Enc)'!$B$2:$B$62,C949,'[1]Brand Family Territories (Enc)'!$C$2:$C$62,"Morri")&gt;0),"Unk",0))</f>
        <v>1</v>
      </c>
      <c r="E949" s="2" t="str">
        <f>IFERROR(INDEX('Blackout Brand Fam Areas (Enc)'!$D$6:$D$998,MATCH(UPPER(A949)&amp;"|"&amp;UPPER(B949),'Blackout Brand Fam Areas (Enc)'!$G$6:$G$998,0)),"No Match")</f>
        <v>No Match</v>
      </c>
      <c r="F949" s="2" t="str">
        <f t="shared" si="28"/>
        <v>US</v>
      </c>
      <c r="G949" s="2" t="str">
        <f t="shared" si="29"/>
        <v>White Claw|MORRIS 1</v>
      </c>
    </row>
    <row r="950" spans="1:7" x14ac:dyDescent="0.2">
      <c r="A950" s="2" t="str" cm="1">
        <f t="array" ref="A950">INDEX('[1]Brand Family Territory (Enc)'!$A$2:$A$296,INT((ROW()-2)/10)+1)</f>
        <v>White Claw</v>
      </c>
      <c r="B950" s="2" t="str" cm="1">
        <f t="array" ref="B950">INDEX('Whitelist (Blackout Reverse)'!$B$1:$K$1,MOD(ROW()-2,10)+1)</f>
        <v>MORRIS 2</v>
      </c>
      <c r="C950" s="2" t="str">
        <f>VLOOKUP(A950,'[1]Brand Family Territory (Enc)'!$A$2:$B$296,2,FALSE)</f>
        <v>Core Market</v>
      </c>
      <c r="D950" s="2">
        <f>IF(COUNTIFS('[1]Brand Family Territories (Enc)'!$B$2:$B$62,C950,'[1]Brand Family Territories (Enc)'!$C$2:$C$62,B950)&gt;0,1,IF(AND(LEFT(B950,6)="MORRIS",COUNTIFS('[1]Brand Family Territories (Enc)'!$B$2:$B$62,C950,'[1]Brand Family Territories (Enc)'!$C$2:$C$62,"Morri")&gt;0),"Unk",0))</f>
        <v>0</v>
      </c>
      <c r="E950" s="2" t="str">
        <f>IFERROR(INDEX('Blackout Brand Fam Areas (Enc)'!$D$6:$D$998,MATCH(UPPER(A950)&amp;"|"&amp;UPPER(B950),'Blackout Brand Fam Areas (Enc)'!$G$6:$G$998,0)),"No Match")</f>
        <v>Inactive</v>
      </c>
      <c r="F950" s="2" t="str">
        <f t="shared" si="28"/>
        <v>THEM</v>
      </c>
      <c r="G950" s="2" t="str">
        <f t="shared" si="29"/>
        <v>White Claw|MORRIS 2</v>
      </c>
    </row>
    <row r="951" spans="1:7" x14ac:dyDescent="0.2">
      <c r="A951" s="2" t="str" cm="1">
        <f t="array" ref="A951">INDEX('[1]Brand Family Territory (Enc)'!$A$2:$A$296,INT((ROW()-2)/10)+1)</f>
        <v>White Claw</v>
      </c>
      <c r="B951" s="2" t="str" cm="1">
        <f t="array" ref="B951">INDEX('Whitelist (Blackout Reverse)'!$B$1:$K$1,MOD(ROW()-2,10)+1)</f>
        <v>MORRIS 3</v>
      </c>
      <c r="C951" s="2" t="str">
        <f>VLOOKUP(A951,'[1]Brand Family Territory (Enc)'!$A$2:$B$296,2,FALSE)</f>
        <v>Core Market</v>
      </c>
      <c r="D951" s="2">
        <f>IF(COUNTIFS('[1]Brand Family Territories (Enc)'!$B$2:$B$62,C951,'[1]Brand Family Territories (Enc)'!$C$2:$C$62,B951)&gt;0,1,IF(AND(LEFT(B951,6)="MORRIS",COUNTIFS('[1]Brand Family Territories (Enc)'!$B$2:$B$62,C951,'[1]Brand Family Territories (Enc)'!$C$2:$C$62,"Morri")&gt;0),"Unk",0))</f>
        <v>1</v>
      </c>
      <c r="E951" s="2" t="str">
        <f>IFERROR(INDEX('Blackout Brand Fam Areas (Enc)'!$D$6:$D$998,MATCH(UPPER(A951)&amp;"|"&amp;UPPER(B951),'Blackout Brand Fam Areas (Enc)'!$G$6:$G$998,0)),"No Match")</f>
        <v>No Match</v>
      </c>
      <c r="F951" s="2" t="str">
        <f t="shared" si="28"/>
        <v>US</v>
      </c>
      <c r="G951" s="2" t="str">
        <f t="shared" si="29"/>
        <v>White Claw|MORRIS 3</v>
      </c>
    </row>
    <row r="952" spans="1:7" x14ac:dyDescent="0.2">
      <c r="A952" s="2" t="str" cm="1">
        <f t="array" ref="A952">INDEX('[1]Brand Family Territory (Enc)'!$A$2:$A$296,INT((ROW()-2)/10)+1)</f>
        <v>Yuengling Black &amp; Tan</v>
      </c>
      <c r="B952" s="2" t="str" cm="1">
        <f t="array" ref="B952">INDEX('Whitelist (Blackout Reverse)'!$B$1:$K$1,MOD(ROW()-2,10)+1)</f>
        <v>BERGEN</v>
      </c>
      <c r="C952" s="2" t="str">
        <f>VLOOKUP(A952,'[1]Brand Family Territory (Enc)'!$A$2:$B$296,2,FALSE)</f>
        <v>Core Market</v>
      </c>
      <c r="D952" s="2">
        <f>IF(COUNTIFS('[1]Brand Family Territories (Enc)'!$B$2:$B$62,C952,'[1]Brand Family Territories (Enc)'!$C$2:$C$62,B952)&gt;0,1,IF(AND(LEFT(B952,6)="MORRIS",COUNTIFS('[1]Brand Family Territories (Enc)'!$B$2:$B$62,C952,'[1]Brand Family Territories (Enc)'!$C$2:$C$62,"Morri")&gt;0),"Unk",0))</f>
        <v>1</v>
      </c>
      <c r="E952" s="2" t="str">
        <f>IFERROR(INDEX('Blackout Brand Fam Areas (Enc)'!$D$6:$D$998,MATCH(UPPER(A952)&amp;"|"&amp;UPPER(B952),'Blackout Brand Fam Areas (Enc)'!$G$6:$G$998,0)),"No Match")</f>
        <v>No Match</v>
      </c>
      <c r="F952" s="2" t="str">
        <f t="shared" si="28"/>
        <v>US</v>
      </c>
      <c r="G952" s="2" t="str">
        <f t="shared" si="29"/>
        <v>Yuengling Black &amp; Tan|BERGEN</v>
      </c>
    </row>
    <row r="953" spans="1:7" x14ac:dyDescent="0.2">
      <c r="A953" s="2" t="str" cm="1">
        <f t="array" ref="A953">INDEX('[1]Brand Family Territory (Enc)'!$A$2:$A$296,INT((ROW()-2)/10)+1)</f>
        <v>Yuengling Black &amp; Tan</v>
      </c>
      <c r="B953" s="2" t="str" cm="1">
        <f t="array" ref="B953">INDEX('Whitelist (Blackout Reverse)'!$B$1:$K$1,MOD(ROW()-2,10)+1)</f>
        <v>PASSAIC</v>
      </c>
      <c r="C953" s="2" t="str">
        <f>VLOOKUP(A953,'[1]Brand Family Territory (Enc)'!$A$2:$B$296,2,FALSE)</f>
        <v>Core Market</v>
      </c>
      <c r="D953" s="2">
        <f>IF(COUNTIFS('[1]Brand Family Territories (Enc)'!$B$2:$B$62,C953,'[1]Brand Family Territories (Enc)'!$C$2:$C$62,B953)&gt;0,1,IF(AND(LEFT(B953,6)="MORRIS",COUNTIFS('[1]Brand Family Territories (Enc)'!$B$2:$B$62,C953,'[1]Brand Family Territories (Enc)'!$C$2:$C$62,"Morri")&gt;0),"Unk",0))</f>
        <v>1</v>
      </c>
      <c r="E953" s="2" t="str">
        <f>IFERROR(INDEX('Blackout Brand Fam Areas (Enc)'!$D$6:$D$998,MATCH(UPPER(A953)&amp;"|"&amp;UPPER(B953),'Blackout Brand Fam Areas (Enc)'!$G$6:$G$998,0)),"No Match")</f>
        <v>No Match</v>
      </c>
      <c r="F953" s="2" t="str">
        <f t="shared" si="28"/>
        <v>US</v>
      </c>
      <c r="G953" s="2" t="str">
        <f t="shared" si="29"/>
        <v>Yuengling Black &amp; Tan|PASSAIC</v>
      </c>
    </row>
    <row r="954" spans="1:7" x14ac:dyDescent="0.2">
      <c r="A954" s="2" t="str" cm="1">
        <f t="array" ref="A954">INDEX('[1]Brand Family Territory (Enc)'!$A$2:$A$296,INT((ROW()-2)/10)+1)</f>
        <v>Yuengling Black &amp; Tan</v>
      </c>
      <c r="B954" s="2" t="str" cm="1">
        <f t="array" ref="B954">INDEX('Whitelist (Blackout Reverse)'!$B$1:$K$1,MOD(ROW()-2,10)+1)</f>
        <v>PASSAIC-FF</v>
      </c>
      <c r="C954" s="2" t="str">
        <f>VLOOKUP(A954,'[1]Brand Family Territory (Enc)'!$A$2:$B$296,2,FALSE)</f>
        <v>Core Market</v>
      </c>
      <c r="D954" s="2">
        <f>IF(COUNTIFS('[1]Brand Family Territories (Enc)'!$B$2:$B$62,C954,'[1]Brand Family Territories (Enc)'!$C$2:$C$62,B954)&gt;0,1,IF(AND(LEFT(B954,6)="MORRIS",COUNTIFS('[1]Brand Family Territories (Enc)'!$B$2:$B$62,C954,'[1]Brand Family Territories (Enc)'!$C$2:$C$62,"Morri")&gt;0),"Unk",0))</f>
        <v>1</v>
      </c>
      <c r="E954" s="2" t="str">
        <f>IFERROR(INDEX('Blackout Brand Fam Areas (Enc)'!$D$6:$D$998,MATCH(UPPER(A954)&amp;"|"&amp;UPPER(B954),'Blackout Brand Fam Areas (Enc)'!$G$6:$G$998,0)),"No Match")</f>
        <v>No Match</v>
      </c>
      <c r="F954" s="2" t="str">
        <f t="shared" si="28"/>
        <v>US</v>
      </c>
      <c r="G954" s="2" t="str">
        <f t="shared" si="29"/>
        <v>Yuengling Black &amp; Tan|PASSAIC-FF</v>
      </c>
    </row>
    <row r="955" spans="1:7" x14ac:dyDescent="0.2">
      <c r="A955" s="2" t="str" cm="1">
        <f t="array" ref="A955">INDEX('[1]Brand Family Territory (Enc)'!$A$2:$A$296,INT((ROW()-2)/10)+1)</f>
        <v>Yuengling Black &amp; Tan</v>
      </c>
      <c r="B955" s="2" t="str" cm="1">
        <f t="array" ref="B955">INDEX('Whitelist (Blackout Reverse)'!$B$1:$K$1,MOD(ROW()-2,10)+1)</f>
        <v>ESSEX</v>
      </c>
      <c r="C955" s="2" t="str">
        <f>VLOOKUP(A955,'[1]Brand Family Territory (Enc)'!$A$2:$B$296,2,FALSE)</f>
        <v>Core Market</v>
      </c>
      <c r="D955" s="2">
        <f>IF(COUNTIFS('[1]Brand Family Territories (Enc)'!$B$2:$B$62,C955,'[1]Brand Family Territories (Enc)'!$C$2:$C$62,B955)&gt;0,1,IF(AND(LEFT(B955,6)="MORRIS",COUNTIFS('[1]Brand Family Territories (Enc)'!$B$2:$B$62,C955,'[1]Brand Family Territories (Enc)'!$C$2:$C$62,"Morri")&gt;0),"Unk",0))</f>
        <v>0</v>
      </c>
      <c r="E955" s="2" t="str">
        <f>IFERROR(INDEX('Blackout Brand Fam Areas (Enc)'!$D$6:$D$998,MATCH(UPPER(A955)&amp;"|"&amp;UPPER(B955),'Blackout Brand Fam Areas (Enc)'!$G$6:$G$998,0)),"No Match")</f>
        <v>Inactive</v>
      </c>
      <c r="F955" s="2" t="str">
        <f t="shared" si="28"/>
        <v>THEM</v>
      </c>
      <c r="G955" s="2" t="str">
        <f t="shared" si="29"/>
        <v>Yuengling Black &amp; Tan|ESSEX</v>
      </c>
    </row>
    <row r="956" spans="1:7" x14ac:dyDescent="0.2">
      <c r="A956" s="2" t="str" cm="1">
        <f t="array" ref="A956">INDEX('[1]Brand Family Territory (Enc)'!$A$2:$A$296,INT((ROW()-2)/10)+1)</f>
        <v>Yuengling Black &amp; Tan</v>
      </c>
      <c r="B956" s="2" t="str" cm="1">
        <f t="array" ref="B956">INDEX('Whitelist (Blackout Reverse)'!$B$1:$K$1,MOD(ROW()-2,10)+1)</f>
        <v>HUDSON</v>
      </c>
      <c r="C956" s="2" t="str">
        <f>VLOOKUP(A956,'[1]Brand Family Territory (Enc)'!$A$2:$B$296,2,FALSE)</f>
        <v>Core Market</v>
      </c>
      <c r="D956" s="2">
        <f>IF(COUNTIFS('[1]Brand Family Territories (Enc)'!$B$2:$B$62,C956,'[1]Brand Family Territories (Enc)'!$C$2:$C$62,B956)&gt;0,1,IF(AND(LEFT(B956,6)="MORRIS",COUNTIFS('[1]Brand Family Territories (Enc)'!$B$2:$B$62,C956,'[1]Brand Family Territories (Enc)'!$C$2:$C$62,"Morri")&gt;0),"Unk",0))</f>
        <v>0</v>
      </c>
      <c r="E956" s="2" t="str">
        <f>IFERROR(INDEX('Blackout Brand Fam Areas (Enc)'!$D$6:$D$998,MATCH(UPPER(A956)&amp;"|"&amp;UPPER(B956),'Blackout Brand Fam Areas (Enc)'!$G$6:$G$998,0)),"No Match")</f>
        <v>Inactive</v>
      </c>
      <c r="F956" s="2" t="str">
        <f t="shared" si="28"/>
        <v>THEM</v>
      </c>
      <c r="G956" s="2" t="str">
        <f t="shared" si="29"/>
        <v>Yuengling Black &amp; Tan|HUDSON</v>
      </c>
    </row>
    <row r="957" spans="1:7" x14ac:dyDescent="0.2">
      <c r="A957" s="2" t="str" cm="1">
        <f t="array" ref="A957">INDEX('[1]Brand Family Territory (Enc)'!$A$2:$A$296,INT((ROW()-2)/10)+1)</f>
        <v>Yuengling Black &amp; Tan</v>
      </c>
      <c r="B957" s="2" t="str" cm="1">
        <f t="array" ref="B957">INDEX('Whitelist (Blackout Reverse)'!$B$1:$K$1,MOD(ROW()-2,10)+1)</f>
        <v>UNION</v>
      </c>
      <c r="C957" s="2" t="str">
        <f>VLOOKUP(A957,'[1]Brand Family Territory (Enc)'!$A$2:$B$296,2,FALSE)</f>
        <v>Core Market</v>
      </c>
      <c r="D957" s="2">
        <f>IF(COUNTIFS('[1]Brand Family Territories (Enc)'!$B$2:$B$62,C957,'[1]Brand Family Territories (Enc)'!$C$2:$C$62,B957)&gt;0,1,IF(AND(LEFT(B957,6)="MORRIS",COUNTIFS('[1]Brand Family Territories (Enc)'!$B$2:$B$62,C957,'[1]Brand Family Territories (Enc)'!$C$2:$C$62,"Morri")&gt;0),"Unk",0))</f>
        <v>0</v>
      </c>
      <c r="E957" s="2" t="str">
        <f>IFERROR(INDEX('Blackout Brand Fam Areas (Enc)'!$D$6:$D$998,MATCH(UPPER(A957)&amp;"|"&amp;UPPER(B957),'Blackout Brand Fam Areas (Enc)'!$G$6:$G$998,0)),"No Match")</f>
        <v>Inactive</v>
      </c>
      <c r="F957" s="2" t="str">
        <f t="shared" si="28"/>
        <v>THEM</v>
      </c>
      <c r="G957" s="2" t="str">
        <f t="shared" si="29"/>
        <v>Yuengling Black &amp; Tan|UNION</v>
      </c>
    </row>
    <row r="958" spans="1:7" x14ac:dyDescent="0.2">
      <c r="A958" s="2" t="str" cm="1">
        <f t="array" ref="A958">INDEX('[1]Brand Family Territory (Enc)'!$A$2:$A$296,INT((ROW()-2)/10)+1)</f>
        <v>Yuengling Black &amp; Tan</v>
      </c>
      <c r="B958" s="2" t="str" cm="1">
        <f t="array" ref="B958">INDEX('Whitelist (Blackout Reverse)'!$B$1:$K$1,MOD(ROW()-2,10)+1)</f>
        <v>SUSSEX</v>
      </c>
      <c r="C958" s="2" t="str">
        <f>VLOOKUP(A958,'[1]Brand Family Territory (Enc)'!$A$2:$B$296,2,FALSE)</f>
        <v>Core Market</v>
      </c>
      <c r="D958" s="2">
        <f>IF(COUNTIFS('[1]Brand Family Territories (Enc)'!$B$2:$B$62,C958,'[1]Brand Family Territories (Enc)'!$C$2:$C$62,B958)&gt;0,1,IF(AND(LEFT(B958,6)="MORRIS",COUNTIFS('[1]Brand Family Territories (Enc)'!$B$2:$B$62,C958,'[1]Brand Family Territories (Enc)'!$C$2:$C$62,"Morri")&gt;0),"Unk",0))</f>
        <v>1</v>
      </c>
      <c r="E958" s="2" t="str">
        <f>IFERROR(INDEX('Blackout Brand Fam Areas (Enc)'!$D$6:$D$998,MATCH(UPPER(A958)&amp;"|"&amp;UPPER(B958),'Blackout Brand Fam Areas (Enc)'!$G$6:$G$998,0)),"No Match")</f>
        <v>No Match</v>
      </c>
      <c r="F958" s="2" t="str">
        <f t="shared" si="28"/>
        <v>US</v>
      </c>
      <c r="G958" s="2" t="str">
        <f t="shared" si="29"/>
        <v>Yuengling Black &amp; Tan|SUSSEX</v>
      </c>
    </row>
    <row r="959" spans="1:7" x14ac:dyDescent="0.2">
      <c r="A959" s="2" t="str" cm="1">
        <f t="array" ref="A959">INDEX('[1]Brand Family Territory (Enc)'!$A$2:$A$296,INT((ROW()-2)/10)+1)</f>
        <v>Yuengling Black &amp; Tan</v>
      </c>
      <c r="B959" s="2" t="str" cm="1">
        <f t="array" ref="B959">INDEX('Whitelist (Blackout Reverse)'!$B$1:$K$1,MOD(ROW()-2,10)+1)</f>
        <v>MORRIS 1</v>
      </c>
      <c r="C959" s="2" t="str">
        <f>VLOOKUP(A959,'[1]Brand Family Territory (Enc)'!$A$2:$B$296,2,FALSE)</f>
        <v>Core Market</v>
      </c>
      <c r="D959" s="2">
        <f>IF(COUNTIFS('[1]Brand Family Territories (Enc)'!$B$2:$B$62,C959,'[1]Brand Family Territories (Enc)'!$C$2:$C$62,B959)&gt;0,1,IF(AND(LEFT(B959,6)="MORRIS",COUNTIFS('[1]Brand Family Territories (Enc)'!$B$2:$B$62,C959,'[1]Brand Family Territories (Enc)'!$C$2:$C$62,"Morri")&gt;0),"Unk",0))</f>
        <v>1</v>
      </c>
      <c r="E959" s="2" t="str">
        <f>IFERROR(INDEX('Blackout Brand Fam Areas (Enc)'!$D$6:$D$998,MATCH(UPPER(A959)&amp;"|"&amp;UPPER(B959),'Blackout Brand Fam Areas (Enc)'!$G$6:$G$998,0)),"No Match")</f>
        <v>No Match</v>
      </c>
      <c r="F959" s="2" t="str">
        <f t="shared" si="28"/>
        <v>US</v>
      </c>
      <c r="G959" s="2" t="str">
        <f t="shared" si="29"/>
        <v>Yuengling Black &amp; Tan|MORRIS 1</v>
      </c>
    </row>
    <row r="960" spans="1:7" x14ac:dyDescent="0.2">
      <c r="A960" s="2" t="str" cm="1">
        <f t="array" ref="A960">INDEX('[1]Brand Family Territory (Enc)'!$A$2:$A$296,INT((ROW()-2)/10)+1)</f>
        <v>Yuengling Black &amp; Tan</v>
      </c>
      <c r="B960" s="2" t="str" cm="1">
        <f t="array" ref="B960">INDEX('Whitelist (Blackout Reverse)'!$B$1:$K$1,MOD(ROW()-2,10)+1)</f>
        <v>MORRIS 2</v>
      </c>
      <c r="C960" s="2" t="str">
        <f>VLOOKUP(A960,'[1]Brand Family Territory (Enc)'!$A$2:$B$296,2,FALSE)</f>
        <v>Core Market</v>
      </c>
      <c r="D960" s="2">
        <f>IF(COUNTIFS('[1]Brand Family Territories (Enc)'!$B$2:$B$62,C960,'[1]Brand Family Territories (Enc)'!$C$2:$C$62,B960)&gt;0,1,IF(AND(LEFT(B960,6)="MORRIS",COUNTIFS('[1]Brand Family Territories (Enc)'!$B$2:$B$62,C960,'[1]Brand Family Territories (Enc)'!$C$2:$C$62,"Morri")&gt;0),"Unk",0))</f>
        <v>0</v>
      </c>
      <c r="E960" s="2" t="str">
        <f>IFERROR(INDEX('Blackout Brand Fam Areas (Enc)'!$D$6:$D$998,MATCH(UPPER(A960)&amp;"|"&amp;UPPER(B960),'Blackout Brand Fam Areas (Enc)'!$G$6:$G$998,0)),"No Match")</f>
        <v>Inactive</v>
      </c>
      <c r="F960" s="2" t="str">
        <f t="shared" si="28"/>
        <v>THEM</v>
      </c>
      <c r="G960" s="2" t="str">
        <f t="shared" si="29"/>
        <v>Yuengling Black &amp; Tan|MORRIS 2</v>
      </c>
    </row>
    <row r="961" spans="1:7" x14ac:dyDescent="0.2">
      <c r="A961" s="2" t="str" cm="1">
        <f t="array" ref="A961">INDEX('[1]Brand Family Territory (Enc)'!$A$2:$A$296,INT((ROW()-2)/10)+1)</f>
        <v>Yuengling Black &amp; Tan</v>
      </c>
      <c r="B961" s="2" t="str" cm="1">
        <f t="array" ref="B961">INDEX('Whitelist (Blackout Reverse)'!$B$1:$K$1,MOD(ROW()-2,10)+1)</f>
        <v>MORRIS 3</v>
      </c>
      <c r="C961" s="2" t="str">
        <f>VLOOKUP(A961,'[1]Brand Family Territory (Enc)'!$A$2:$B$296,2,FALSE)</f>
        <v>Core Market</v>
      </c>
      <c r="D961" s="2">
        <f>IF(COUNTIFS('[1]Brand Family Territories (Enc)'!$B$2:$B$62,C961,'[1]Brand Family Territories (Enc)'!$C$2:$C$62,B961)&gt;0,1,IF(AND(LEFT(B961,6)="MORRIS",COUNTIFS('[1]Brand Family Territories (Enc)'!$B$2:$B$62,C961,'[1]Brand Family Territories (Enc)'!$C$2:$C$62,"Morri")&gt;0),"Unk",0))</f>
        <v>1</v>
      </c>
      <c r="E961" s="2" t="str">
        <f>IFERROR(INDEX('Blackout Brand Fam Areas (Enc)'!$D$6:$D$998,MATCH(UPPER(A961)&amp;"|"&amp;UPPER(B961),'Blackout Brand Fam Areas (Enc)'!$G$6:$G$998,0)),"No Match")</f>
        <v>No Match</v>
      </c>
      <c r="F961" s="2" t="str">
        <f t="shared" si="28"/>
        <v>US</v>
      </c>
      <c r="G961" s="2" t="str">
        <f t="shared" si="29"/>
        <v>Yuengling Black &amp; Tan|MORRIS 3</v>
      </c>
    </row>
    <row r="962" spans="1:7" x14ac:dyDescent="0.2">
      <c r="A962" s="2" t="str" cm="1">
        <f t="array" ref="A962">INDEX('[1]Brand Family Territory (Enc)'!$A$2:$A$296,INT((ROW()-2)/10)+1)</f>
        <v>Dg Yuengling Inc</v>
      </c>
      <c r="B962" s="2" t="str" cm="1">
        <f t="array" ref="B962">INDEX('Whitelist (Blackout Reverse)'!$B$1:$K$1,MOD(ROW()-2,10)+1)</f>
        <v>BERGEN</v>
      </c>
      <c r="C962" s="2" t="str">
        <f>VLOOKUP(A962,'[1]Brand Family Territory (Enc)'!$A$2:$B$296,2,FALSE)</f>
        <v>Core Market</v>
      </c>
      <c r="D962" s="2">
        <f>IF(COUNTIFS('[1]Brand Family Territories (Enc)'!$B$2:$B$62,C962,'[1]Brand Family Territories (Enc)'!$C$2:$C$62,B962)&gt;0,1,IF(AND(LEFT(B962,6)="MORRIS",COUNTIFS('[1]Brand Family Territories (Enc)'!$B$2:$B$62,C962,'[1]Brand Family Territories (Enc)'!$C$2:$C$62,"Morri")&gt;0),"Unk",0))</f>
        <v>1</v>
      </c>
      <c r="E962" s="2" t="str">
        <f>IFERROR(INDEX('Blackout Brand Fam Areas (Enc)'!$D$6:$D$998,MATCH(UPPER(A962)&amp;"|"&amp;UPPER(B962),'Blackout Brand Fam Areas (Enc)'!$G$6:$G$998,0)),"No Match")</f>
        <v>No Match</v>
      </c>
      <c r="F962" s="2" t="str">
        <f t="shared" si="28"/>
        <v>US</v>
      </c>
      <c r="G962" s="2" t="str">
        <f t="shared" si="29"/>
        <v>Dg Yuengling Inc|BERGEN</v>
      </c>
    </row>
    <row r="963" spans="1:7" x14ac:dyDescent="0.2">
      <c r="A963" s="2" t="str" cm="1">
        <f t="array" ref="A963">INDEX('[1]Brand Family Territory (Enc)'!$A$2:$A$296,INT((ROW()-2)/10)+1)</f>
        <v>Dg Yuengling Inc</v>
      </c>
      <c r="B963" s="2" t="str" cm="1">
        <f t="array" ref="B963">INDEX('Whitelist (Blackout Reverse)'!$B$1:$K$1,MOD(ROW()-2,10)+1)</f>
        <v>PASSAIC</v>
      </c>
      <c r="C963" s="2" t="str">
        <f>VLOOKUP(A963,'[1]Brand Family Territory (Enc)'!$A$2:$B$296,2,FALSE)</f>
        <v>Core Market</v>
      </c>
      <c r="D963" s="2">
        <f>IF(COUNTIFS('[1]Brand Family Territories (Enc)'!$B$2:$B$62,C963,'[1]Brand Family Territories (Enc)'!$C$2:$C$62,B963)&gt;0,1,IF(AND(LEFT(B963,6)="MORRIS",COUNTIFS('[1]Brand Family Territories (Enc)'!$B$2:$B$62,C963,'[1]Brand Family Territories (Enc)'!$C$2:$C$62,"Morri")&gt;0),"Unk",0))</f>
        <v>1</v>
      </c>
      <c r="E963" s="2" t="str">
        <f>IFERROR(INDEX('Blackout Brand Fam Areas (Enc)'!$D$6:$D$998,MATCH(UPPER(A963)&amp;"|"&amp;UPPER(B963),'Blackout Brand Fam Areas (Enc)'!$G$6:$G$998,0)),"No Match")</f>
        <v>No Match</v>
      </c>
      <c r="F963" s="2" t="str">
        <f t="shared" ref="F963:F1026" si="30">IF(D963="Unk","Ambiguous (Source Truncated)",IF(E963="Inactive","THEM",IF(D963=1,"US",IF(D963="N/A","No Territory Data","THEM"))))</f>
        <v>US</v>
      </c>
      <c r="G963" s="2" t="str">
        <f t="shared" ref="G963:G1026" si="31">A963&amp;"|"&amp;B963</f>
        <v>Dg Yuengling Inc|PASSAIC</v>
      </c>
    </row>
    <row r="964" spans="1:7" x14ac:dyDescent="0.2">
      <c r="A964" s="2" t="str" cm="1">
        <f t="array" ref="A964">INDEX('[1]Brand Family Territory (Enc)'!$A$2:$A$296,INT((ROW()-2)/10)+1)</f>
        <v>Dg Yuengling Inc</v>
      </c>
      <c r="B964" s="2" t="str" cm="1">
        <f t="array" ref="B964">INDEX('Whitelist (Blackout Reverse)'!$B$1:$K$1,MOD(ROW()-2,10)+1)</f>
        <v>PASSAIC-FF</v>
      </c>
      <c r="C964" s="2" t="str">
        <f>VLOOKUP(A964,'[1]Brand Family Territory (Enc)'!$A$2:$B$296,2,FALSE)</f>
        <v>Core Market</v>
      </c>
      <c r="D964" s="2">
        <f>IF(COUNTIFS('[1]Brand Family Territories (Enc)'!$B$2:$B$62,C964,'[1]Brand Family Territories (Enc)'!$C$2:$C$62,B964)&gt;0,1,IF(AND(LEFT(B964,6)="MORRIS",COUNTIFS('[1]Brand Family Territories (Enc)'!$B$2:$B$62,C964,'[1]Brand Family Territories (Enc)'!$C$2:$C$62,"Morri")&gt;0),"Unk",0))</f>
        <v>1</v>
      </c>
      <c r="E964" s="2" t="str">
        <f>IFERROR(INDEX('Blackout Brand Fam Areas (Enc)'!$D$6:$D$998,MATCH(UPPER(A964)&amp;"|"&amp;UPPER(B964),'Blackout Brand Fam Areas (Enc)'!$G$6:$G$998,0)),"No Match")</f>
        <v>No Match</v>
      </c>
      <c r="F964" s="2" t="str">
        <f t="shared" si="30"/>
        <v>US</v>
      </c>
      <c r="G964" s="2" t="str">
        <f t="shared" si="31"/>
        <v>Dg Yuengling Inc|PASSAIC-FF</v>
      </c>
    </row>
    <row r="965" spans="1:7" x14ac:dyDescent="0.2">
      <c r="A965" s="2" t="str" cm="1">
        <f t="array" ref="A965">INDEX('[1]Brand Family Territory (Enc)'!$A$2:$A$296,INT((ROW()-2)/10)+1)</f>
        <v>Dg Yuengling Inc</v>
      </c>
      <c r="B965" s="2" t="str" cm="1">
        <f t="array" ref="B965">INDEX('Whitelist (Blackout Reverse)'!$B$1:$K$1,MOD(ROW()-2,10)+1)</f>
        <v>ESSEX</v>
      </c>
      <c r="C965" s="2" t="str">
        <f>VLOOKUP(A965,'[1]Brand Family Territory (Enc)'!$A$2:$B$296,2,FALSE)</f>
        <v>Core Market</v>
      </c>
      <c r="D965" s="2">
        <f>IF(COUNTIFS('[1]Brand Family Territories (Enc)'!$B$2:$B$62,C965,'[1]Brand Family Territories (Enc)'!$C$2:$C$62,B965)&gt;0,1,IF(AND(LEFT(B965,6)="MORRIS",COUNTIFS('[1]Brand Family Territories (Enc)'!$B$2:$B$62,C965,'[1]Brand Family Territories (Enc)'!$C$2:$C$62,"Morri")&gt;0),"Unk",0))</f>
        <v>0</v>
      </c>
      <c r="E965" s="2" t="str">
        <f>IFERROR(INDEX('Blackout Brand Fam Areas (Enc)'!$D$6:$D$998,MATCH(UPPER(A965)&amp;"|"&amp;UPPER(B965),'Blackout Brand Fam Areas (Enc)'!$G$6:$G$998,0)),"No Match")</f>
        <v>Inactive</v>
      </c>
      <c r="F965" s="2" t="str">
        <f t="shared" si="30"/>
        <v>THEM</v>
      </c>
      <c r="G965" s="2" t="str">
        <f t="shared" si="31"/>
        <v>Dg Yuengling Inc|ESSEX</v>
      </c>
    </row>
    <row r="966" spans="1:7" x14ac:dyDescent="0.2">
      <c r="A966" s="2" t="str" cm="1">
        <f t="array" ref="A966">INDEX('[1]Brand Family Territory (Enc)'!$A$2:$A$296,INT((ROW()-2)/10)+1)</f>
        <v>Dg Yuengling Inc</v>
      </c>
      <c r="B966" s="2" t="str" cm="1">
        <f t="array" ref="B966">INDEX('Whitelist (Blackout Reverse)'!$B$1:$K$1,MOD(ROW()-2,10)+1)</f>
        <v>HUDSON</v>
      </c>
      <c r="C966" s="2" t="str">
        <f>VLOOKUP(A966,'[1]Brand Family Territory (Enc)'!$A$2:$B$296,2,FALSE)</f>
        <v>Core Market</v>
      </c>
      <c r="D966" s="2">
        <f>IF(COUNTIFS('[1]Brand Family Territories (Enc)'!$B$2:$B$62,C966,'[1]Brand Family Territories (Enc)'!$C$2:$C$62,B966)&gt;0,1,IF(AND(LEFT(B966,6)="MORRIS",COUNTIFS('[1]Brand Family Territories (Enc)'!$B$2:$B$62,C966,'[1]Brand Family Territories (Enc)'!$C$2:$C$62,"Morri")&gt;0),"Unk",0))</f>
        <v>0</v>
      </c>
      <c r="E966" s="2" t="str">
        <f>IFERROR(INDEX('Blackout Brand Fam Areas (Enc)'!$D$6:$D$998,MATCH(UPPER(A966)&amp;"|"&amp;UPPER(B966),'Blackout Brand Fam Areas (Enc)'!$G$6:$G$998,0)),"No Match")</f>
        <v>Inactive</v>
      </c>
      <c r="F966" s="2" t="str">
        <f t="shared" si="30"/>
        <v>THEM</v>
      </c>
      <c r="G966" s="2" t="str">
        <f t="shared" si="31"/>
        <v>Dg Yuengling Inc|HUDSON</v>
      </c>
    </row>
    <row r="967" spans="1:7" x14ac:dyDescent="0.2">
      <c r="A967" s="2" t="str" cm="1">
        <f t="array" ref="A967">INDEX('[1]Brand Family Territory (Enc)'!$A$2:$A$296,INT((ROW()-2)/10)+1)</f>
        <v>Dg Yuengling Inc</v>
      </c>
      <c r="B967" s="2" t="str" cm="1">
        <f t="array" ref="B967">INDEX('Whitelist (Blackout Reverse)'!$B$1:$K$1,MOD(ROW()-2,10)+1)</f>
        <v>UNION</v>
      </c>
      <c r="C967" s="2" t="str">
        <f>VLOOKUP(A967,'[1]Brand Family Territory (Enc)'!$A$2:$B$296,2,FALSE)</f>
        <v>Core Market</v>
      </c>
      <c r="D967" s="2">
        <f>IF(COUNTIFS('[1]Brand Family Territories (Enc)'!$B$2:$B$62,C967,'[1]Brand Family Territories (Enc)'!$C$2:$C$62,B967)&gt;0,1,IF(AND(LEFT(B967,6)="MORRIS",COUNTIFS('[1]Brand Family Territories (Enc)'!$B$2:$B$62,C967,'[1]Brand Family Territories (Enc)'!$C$2:$C$62,"Morri")&gt;0),"Unk",0))</f>
        <v>0</v>
      </c>
      <c r="E967" s="2" t="str">
        <f>IFERROR(INDEX('Blackout Brand Fam Areas (Enc)'!$D$6:$D$998,MATCH(UPPER(A967)&amp;"|"&amp;UPPER(B967),'Blackout Brand Fam Areas (Enc)'!$G$6:$G$998,0)),"No Match")</f>
        <v>Inactive</v>
      </c>
      <c r="F967" s="2" t="str">
        <f t="shared" si="30"/>
        <v>THEM</v>
      </c>
      <c r="G967" s="2" t="str">
        <f t="shared" si="31"/>
        <v>Dg Yuengling Inc|UNION</v>
      </c>
    </row>
    <row r="968" spans="1:7" x14ac:dyDescent="0.2">
      <c r="A968" s="2" t="str" cm="1">
        <f t="array" ref="A968">INDEX('[1]Brand Family Territory (Enc)'!$A$2:$A$296,INT((ROW()-2)/10)+1)</f>
        <v>Dg Yuengling Inc</v>
      </c>
      <c r="B968" s="2" t="str" cm="1">
        <f t="array" ref="B968">INDEX('Whitelist (Blackout Reverse)'!$B$1:$K$1,MOD(ROW()-2,10)+1)</f>
        <v>SUSSEX</v>
      </c>
      <c r="C968" s="2" t="str">
        <f>VLOOKUP(A968,'[1]Brand Family Territory (Enc)'!$A$2:$B$296,2,FALSE)</f>
        <v>Core Market</v>
      </c>
      <c r="D968" s="2">
        <f>IF(COUNTIFS('[1]Brand Family Territories (Enc)'!$B$2:$B$62,C968,'[1]Brand Family Territories (Enc)'!$C$2:$C$62,B968)&gt;0,1,IF(AND(LEFT(B968,6)="MORRIS",COUNTIFS('[1]Brand Family Territories (Enc)'!$B$2:$B$62,C968,'[1]Brand Family Territories (Enc)'!$C$2:$C$62,"Morri")&gt;0),"Unk",0))</f>
        <v>1</v>
      </c>
      <c r="E968" s="2" t="str">
        <f>IFERROR(INDEX('Blackout Brand Fam Areas (Enc)'!$D$6:$D$998,MATCH(UPPER(A968)&amp;"|"&amp;UPPER(B968),'Blackout Brand Fam Areas (Enc)'!$G$6:$G$998,0)),"No Match")</f>
        <v>No Match</v>
      </c>
      <c r="F968" s="2" t="str">
        <f t="shared" si="30"/>
        <v>US</v>
      </c>
      <c r="G968" s="2" t="str">
        <f t="shared" si="31"/>
        <v>Dg Yuengling Inc|SUSSEX</v>
      </c>
    </row>
    <row r="969" spans="1:7" x14ac:dyDescent="0.2">
      <c r="A969" s="2" t="str" cm="1">
        <f t="array" ref="A969">INDEX('[1]Brand Family Territory (Enc)'!$A$2:$A$296,INT((ROW()-2)/10)+1)</f>
        <v>Dg Yuengling Inc</v>
      </c>
      <c r="B969" s="2" t="str" cm="1">
        <f t="array" ref="B969">INDEX('Whitelist (Blackout Reverse)'!$B$1:$K$1,MOD(ROW()-2,10)+1)</f>
        <v>MORRIS 1</v>
      </c>
      <c r="C969" s="2" t="str">
        <f>VLOOKUP(A969,'[1]Brand Family Territory (Enc)'!$A$2:$B$296,2,FALSE)</f>
        <v>Core Market</v>
      </c>
      <c r="D969" s="2">
        <f>IF(COUNTIFS('[1]Brand Family Territories (Enc)'!$B$2:$B$62,C969,'[1]Brand Family Territories (Enc)'!$C$2:$C$62,B969)&gt;0,1,IF(AND(LEFT(B969,6)="MORRIS",COUNTIFS('[1]Brand Family Territories (Enc)'!$B$2:$B$62,C969,'[1]Brand Family Territories (Enc)'!$C$2:$C$62,"Morri")&gt;0),"Unk",0))</f>
        <v>1</v>
      </c>
      <c r="E969" s="2" t="str">
        <f>IFERROR(INDEX('Blackout Brand Fam Areas (Enc)'!$D$6:$D$998,MATCH(UPPER(A969)&amp;"|"&amp;UPPER(B969),'Blackout Brand Fam Areas (Enc)'!$G$6:$G$998,0)),"No Match")</f>
        <v>No Match</v>
      </c>
      <c r="F969" s="2" t="str">
        <f t="shared" si="30"/>
        <v>US</v>
      </c>
      <c r="G969" s="2" t="str">
        <f t="shared" si="31"/>
        <v>Dg Yuengling Inc|MORRIS 1</v>
      </c>
    </row>
    <row r="970" spans="1:7" x14ac:dyDescent="0.2">
      <c r="A970" s="2" t="str" cm="1">
        <f t="array" ref="A970">INDEX('[1]Brand Family Territory (Enc)'!$A$2:$A$296,INT((ROW()-2)/10)+1)</f>
        <v>Dg Yuengling Inc</v>
      </c>
      <c r="B970" s="2" t="str" cm="1">
        <f t="array" ref="B970">INDEX('Whitelist (Blackout Reverse)'!$B$1:$K$1,MOD(ROW()-2,10)+1)</f>
        <v>MORRIS 2</v>
      </c>
      <c r="C970" s="2" t="str">
        <f>VLOOKUP(A970,'[1]Brand Family Territory (Enc)'!$A$2:$B$296,2,FALSE)</f>
        <v>Core Market</v>
      </c>
      <c r="D970" s="2">
        <f>IF(COUNTIFS('[1]Brand Family Territories (Enc)'!$B$2:$B$62,C970,'[1]Brand Family Territories (Enc)'!$C$2:$C$62,B970)&gt;0,1,IF(AND(LEFT(B970,6)="MORRIS",COUNTIFS('[1]Brand Family Territories (Enc)'!$B$2:$B$62,C970,'[1]Brand Family Territories (Enc)'!$C$2:$C$62,"Morri")&gt;0),"Unk",0))</f>
        <v>0</v>
      </c>
      <c r="E970" s="2" t="str">
        <f>IFERROR(INDEX('Blackout Brand Fam Areas (Enc)'!$D$6:$D$998,MATCH(UPPER(A970)&amp;"|"&amp;UPPER(B970),'Blackout Brand Fam Areas (Enc)'!$G$6:$G$998,0)),"No Match")</f>
        <v>Inactive</v>
      </c>
      <c r="F970" s="2" t="str">
        <f t="shared" si="30"/>
        <v>THEM</v>
      </c>
      <c r="G970" s="2" t="str">
        <f t="shared" si="31"/>
        <v>Dg Yuengling Inc|MORRIS 2</v>
      </c>
    </row>
    <row r="971" spans="1:7" x14ac:dyDescent="0.2">
      <c r="A971" s="2" t="str" cm="1">
        <f t="array" ref="A971">INDEX('[1]Brand Family Territory (Enc)'!$A$2:$A$296,INT((ROW()-2)/10)+1)</f>
        <v>Dg Yuengling Inc</v>
      </c>
      <c r="B971" s="2" t="str" cm="1">
        <f t="array" ref="B971">INDEX('Whitelist (Blackout Reverse)'!$B$1:$K$1,MOD(ROW()-2,10)+1)</f>
        <v>MORRIS 3</v>
      </c>
      <c r="C971" s="2" t="str">
        <f>VLOOKUP(A971,'[1]Brand Family Territory (Enc)'!$A$2:$B$296,2,FALSE)</f>
        <v>Core Market</v>
      </c>
      <c r="D971" s="2">
        <f>IF(COUNTIFS('[1]Brand Family Territories (Enc)'!$B$2:$B$62,C971,'[1]Brand Family Territories (Enc)'!$C$2:$C$62,B971)&gt;0,1,IF(AND(LEFT(B971,6)="MORRIS",COUNTIFS('[1]Brand Family Territories (Enc)'!$B$2:$B$62,C971,'[1]Brand Family Territories (Enc)'!$C$2:$C$62,"Morri")&gt;0),"Unk",0))</f>
        <v>1</v>
      </c>
      <c r="E971" s="2" t="str">
        <f>IFERROR(INDEX('Blackout Brand Fam Areas (Enc)'!$D$6:$D$998,MATCH(UPPER(A971)&amp;"|"&amp;UPPER(B971),'Blackout Brand Fam Areas (Enc)'!$G$6:$G$998,0)),"No Match")</f>
        <v>No Match</v>
      </c>
      <c r="F971" s="2" t="str">
        <f t="shared" si="30"/>
        <v>US</v>
      </c>
      <c r="G971" s="2" t="str">
        <f t="shared" si="31"/>
        <v>Dg Yuengling Inc|MORRIS 3</v>
      </c>
    </row>
    <row r="972" spans="1:7" x14ac:dyDescent="0.2">
      <c r="A972" s="2" t="str" cm="1">
        <f t="array" ref="A972">INDEX('[1]Brand Family Territory (Enc)'!$A$2:$A$296,INT((ROW()-2)/10)+1)</f>
        <v>Yuengling Flight</v>
      </c>
      <c r="B972" s="2" t="str" cm="1">
        <f t="array" ref="B972">INDEX('Whitelist (Blackout Reverse)'!$B$1:$K$1,MOD(ROW()-2,10)+1)</f>
        <v>BERGEN</v>
      </c>
      <c r="C972" s="2" t="str">
        <f>VLOOKUP(A972,'[1]Brand Family Territory (Enc)'!$A$2:$B$296,2,FALSE)</f>
        <v>Core Market</v>
      </c>
      <c r="D972" s="2">
        <f>IF(COUNTIFS('[1]Brand Family Territories (Enc)'!$B$2:$B$62,C972,'[1]Brand Family Territories (Enc)'!$C$2:$C$62,B972)&gt;0,1,IF(AND(LEFT(B972,6)="MORRIS",COUNTIFS('[1]Brand Family Territories (Enc)'!$B$2:$B$62,C972,'[1]Brand Family Territories (Enc)'!$C$2:$C$62,"Morri")&gt;0),"Unk",0))</f>
        <v>1</v>
      </c>
      <c r="E972" s="2" t="str">
        <f>IFERROR(INDEX('Blackout Brand Fam Areas (Enc)'!$D$6:$D$998,MATCH(UPPER(A972)&amp;"|"&amp;UPPER(B972),'Blackout Brand Fam Areas (Enc)'!$G$6:$G$998,0)),"No Match")</f>
        <v>No Match</v>
      </c>
      <c r="F972" s="2" t="str">
        <f t="shared" si="30"/>
        <v>US</v>
      </c>
      <c r="G972" s="2" t="str">
        <f t="shared" si="31"/>
        <v>Yuengling Flight|BERGEN</v>
      </c>
    </row>
    <row r="973" spans="1:7" x14ac:dyDescent="0.2">
      <c r="A973" s="2" t="str" cm="1">
        <f t="array" ref="A973">INDEX('[1]Brand Family Territory (Enc)'!$A$2:$A$296,INT((ROW()-2)/10)+1)</f>
        <v>Yuengling Flight</v>
      </c>
      <c r="B973" s="2" t="str" cm="1">
        <f t="array" ref="B973">INDEX('Whitelist (Blackout Reverse)'!$B$1:$K$1,MOD(ROW()-2,10)+1)</f>
        <v>PASSAIC</v>
      </c>
      <c r="C973" s="2" t="str">
        <f>VLOOKUP(A973,'[1]Brand Family Territory (Enc)'!$A$2:$B$296,2,FALSE)</f>
        <v>Core Market</v>
      </c>
      <c r="D973" s="2">
        <f>IF(COUNTIFS('[1]Brand Family Territories (Enc)'!$B$2:$B$62,C973,'[1]Brand Family Territories (Enc)'!$C$2:$C$62,B973)&gt;0,1,IF(AND(LEFT(B973,6)="MORRIS",COUNTIFS('[1]Brand Family Territories (Enc)'!$B$2:$B$62,C973,'[1]Brand Family Territories (Enc)'!$C$2:$C$62,"Morri")&gt;0),"Unk",0))</f>
        <v>1</v>
      </c>
      <c r="E973" s="2" t="str">
        <f>IFERROR(INDEX('Blackout Brand Fam Areas (Enc)'!$D$6:$D$998,MATCH(UPPER(A973)&amp;"|"&amp;UPPER(B973),'Blackout Brand Fam Areas (Enc)'!$G$6:$G$998,0)),"No Match")</f>
        <v>No Match</v>
      </c>
      <c r="F973" s="2" t="str">
        <f t="shared" si="30"/>
        <v>US</v>
      </c>
      <c r="G973" s="2" t="str">
        <f t="shared" si="31"/>
        <v>Yuengling Flight|PASSAIC</v>
      </c>
    </row>
    <row r="974" spans="1:7" x14ac:dyDescent="0.2">
      <c r="A974" s="2" t="str" cm="1">
        <f t="array" ref="A974">INDEX('[1]Brand Family Territory (Enc)'!$A$2:$A$296,INT((ROW()-2)/10)+1)</f>
        <v>Yuengling Flight</v>
      </c>
      <c r="B974" s="2" t="str" cm="1">
        <f t="array" ref="B974">INDEX('Whitelist (Blackout Reverse)'!$B$1:$K$1,MOD(ROW()-2,10)+1)</f>
        <v>PASSAIC-FF</v>
      </c>
      <c r="C974" s="2" t="str">
        <f>VLOOKUP(A974,'[1]Brand Family Territory (Enc)'!$A$2:$B$296,2,FALSE)</f>
        <v>Core Market</v>
      </c>
      <c r="D974" s="2">
        <f>IF(COUNTIFS('[1]Brand Family Territories (Enc)'!$B$2:$B$62,C974,'[1]Brand Family Territories (Enc)'!$C$2:$C$62,B974)&gt;0,1,IF(AND(LEFT(B974,6)="MORRIS",COUNTIFS('[1]Brand Family Territories (Enc)'!$B$2:$B$62,C974,'[1]Brand Family Territories (Enc)'!$C$2:$C$62,"Morri")&gt;0),"Unk",0))</f>
        <v>1</v>
      </c>
      <c r="E974" s="2" t="str">
        <f>IFERROR(INDEX('Blackout Brand Fam Areas (Enc)'!$D$6:$D$998,MATCH(UPPER(A974)&amp;"|"&amp;UPPER(B974),'Blackout Brand Fam Areas (Enc)'!$G$6:$G$998,0)),"No Match")</f>
        <v>No Match</v>
      </c>
      <c r="F974" s="2" t="str">
        <f t="shared" si="30"/>
        <v>US</v>
      </c>
      <c r="G974" s="2" t="str">
        <f t="shared" si="31"/>
        <v>Yuengling Flight|PASSAIC-FF</v>
      </c>
    </row>
    <row r="975" spans="1:7" x14ac:dyDescent="0.2">
      <c r="A975" s="2" t="str" cm="1">
        <f t="array" ref="A975">INDEX('[1]Brand Family Territory (Enc)'!$A$2:$A$296,INT((ROW()-2)/10)+1)</f>
        <v>Yuengling Flight</v>
      </c>
      <c r="B975" s="2" t="str" cm="1">
        <f t="array" ref="B975">INDEX('Whitelist (Blackout Reverse)'!$B$1:$K$1,MOD(ROW()-2,10)+1)</f>
        <v>ESSEX</v>
      </c>
      <c r="C975" s="2" t="str">
        <f>VLOOKUP(A975,'[1]Brand Family Territory (Enc)'!$A$2:$B$296,2,FALSE)</f>
        <v>Core Market</v>
      </c>
      <c r="D975" s="2">
        <f>IF(COUNTIFS('[1]Brand Family Territories (Enc)'!$B$2:$B$62,C975,'[1]Brand Family Territories (Enc)'!$C$2:$C$62,B975)&gt;0,1,IF(AND(LEFT(B975,6)="MORRIS",COUNTIFS('[1]Brand Family Territories (Enc)'!$B$2:$B$62,C975,'[1]Brand Family Territories (Enc)'!$C$2:$C$62,"Morri")&gt;0),"Unk",0))</f>
        <v>0</v>
      </c>
      <c r="E975" s="2" t="str">
        <f>IFERROR(INDEX('Blackout Brand Fam Areas (Enc)'!$D$6:$D$998,MATCH(UPPER(A975)&amp;"|"&amp;UPPER(B975),'Blackout Brand Fam Areas (Enc)'!$G$6:$G$998,0)),"No Match")</f>
        <v>Inactive</v>
      </c>
      <c r="F975" s="2" t="str">
        <f t="shared" si="30"/>
        <v>THEM</v>
      </c>
      <c r="G975" s="2" t="str">
        <f t="shared" si="31"/>
        <v>Yuengling Flight|ESSEX</v>
      </c>
    </row>
    <row r="976" spans="1:7" x14ac:dyDescent="0.2">
      <c r="A976" s="2" t="str" cm="1">
        <f t="array" ref="A976">INDEX('[1]Brand Family Territory (Enc)'!$A$2:$A$296,INT((ROW()-2)/10)+1)</f>
        <v>Yuengling Flight</v>
      </c>
      <c r="B976" s="2" t="str" cm="1">
        <f t="array" ref="B976">INDEX('Whitelist (Blackout Reverse)'!$B$1:$K$1,MOD(ROW()-2,10)+1)</f>
        <v>HUDSON</v>
      </c>
      <c r="C976" s="2" t="str">
        <f>VLOOKUP(A976,'[1]Brand Family Territory (Enc)'!$A$2:$B$296,2,FALSE)</f>
        <v>Core Market</v>
      </c>
      <c r="D976" s="2">
        <f>IF(COUNTIFS('[1]Brand Family Territories (Enc)'!$B$2:$B$62,C976,'[1]Brand Family Territories (Enc)'!$C$2:$C$62,B976)&gt;0,1,IF(AND(LEFT(B976,6)="MORRIS",COUNTIFS('[1]Brand Family Territories (Enc)'!$B$2:$B$62,C976,'[1]Brand Family Territories (Enc)'!$C$2:$C$62,"Morri")&gt;0),"Unk",0))</f>
        <v>0</v>
      </c>
      <c r="E976" s="2" t="str">
        <f>IFERROR(INDEX('Blackout Brand Fam Areas (Enc)'!$D$6:$D$998,MATCH(UPPER(A976)&amp;"|"&amp;UPPER(B976),'Blackout Brand Fam Areas (Enc)'!$G$6:$G$998,0)),"No Match")</f>
        <v>Inactive</v>
      </c>
      <c r="F976" s="2" t="str">
        <f t="shared" si="30"/>
        <v>THEM</v>
      </c>
      <c r="G976" s="2" t="str">
        <f t="shared" si="31"/>
        <v>Yuengling Flight|HUDSON</v>
      </c>
    </row>
    <row r="977" spans="1:7" x14ac:dyDescent="0.2">
      <c r="A977" s="2" t="str" cm="1">
        <f t="array" ref="A977">INDEX('[1]Brand Family Territory (Enc)'!$A$2:$A$296,INT((ROW()-2)/10)+1)</f>
        <v>Yuengling Flight</v>
      </c>
      <c r="B977" s="2" t="str" cm="1">
        <f t="array" ref="B977">INDEX('Whitelist (Blackout Reverse)'!$B$1:$K$1,MOD(ROW()-2,10)+1)</f>
        <v>UNION</v>
      </c>
      <c r="C977" s="2" t="str">
        <f>VLOOKUP(A977,'[1]Brand Family Territory (Enc)'!$A$2:$B$296,2,FALSE)</f>
        <v>Core Market</v>
      </c>
      <c r="D977" s="2">
        <f>IF(COUNTIFS('[1]Brand Family Territories (Enc)'!$B$2:$B$62,C977,'[1]Brand Family Territories (Enc)'!$C$2:$C$62,B977)&gt;0,1,IF(AND(LEFT(B977,6)="MORRIS",COUNTIFS('[1]Brand Family Territories (Enc)'!$B$2:$B$62,C977,'[1]Brand Family Territories (Enc)'!$C$2:$C$62,"Morri")&gt;0),"Unk",0))</f>
        <v>0</v>
      </c>
      <c r="E977" s="2" t="str">
        <f>IFERROR(INDEX('Blackout Brand Fam Areas (Enc)'!$D$6:$D$998,MATCH(UPPER(A977)&amp;"|"&amp;UPPER(B977),'Blackout Brand Fam Areas (Enc)'!$G$6:$G$998,0)),"No Match")</f>
        <v>Inactive</v>
      </c>
      <c r="F977" s="2" t="str">
        <f t="shared" si="30"/>
        <v>THEM</v>
      </c>
      <c r="G977" s="2" t="str">
        <f t="shared" si="31"/>
        <v>Yuengling Flight|UNION</v>
      </c>
    </row>
    <row r="978" spans="1:7" x14ac:dyDescent="0.2">
      <c r="A978" s="2" t="str" cm="1">
        <f t="array" ref="A978">INDEX('[1]Brand Family Territory (Enc)'!$A$2:$A$296,INT((ROW()-2)/10)+1)</f>
        <v>Yuengling Flight</v>
      </c>
      <c r="B978" s="2" t="str" cm="1">
        <f t="array" ref="B978">INDEX('Whitelist (Blackout Reverse)'!$B$1:$K$1,MOD(ROW()-2,10)+1)</f>
        <v>SUSSEX</v>
      </c>
      <c r="C978" s="2" t="str">
        <f>VLOOKUP(A978,'[1]Brand Family Territory (Enc)'!$A$2:$B$296,2,FALSE)</f>
        <v>Core Market</v>
      </c>
      <c r="D978" s="2">
        <f>IF(COUNTIFS('[1]Brand Family Territories (Enc)'!$B$2:$B$62,C978,'[1]Brand Family Territories (Enc)'!$C$2:$C$62,B978)&gt;0,1,IF(AND(LEFT(B978,6)="MORRIS",COUNTIFS('[1]Brand Family Territories (Enc)'!$B$2:$B$62,C978,'[1]Brand Family Territories (Enc)'!$C$2:$C$62,"Morri")&gt;0),"Unk",0))</f>
        <v>1</v>
      </c>
      <c r="E978" s="2" t="str">
        <f>IFERROR(INDEX('Blackout Brand Fam Areas (Enc)'!$D$6:$D$998,MATCH(UPPER(A978)&amp;"|"&amp;UPPER(B978),'Blackout Brand Fam Areas (Enc)'!$G$6:$G$998,0)),"No Match")</f>
        <v>No Match</v>
      </c>
      <c r="F978" s="2" t="str">
        <f t="shared" si="30"/>
        <v>US</v>
      </c>
      <c r="G978" s="2" t="str">
        <f t="shared" si="31"/>
        <v>Yuengling Flight|SUSSEX</v>
      </c>
    </row>
    <row r="979" spans="1:7" x14ac:dyDescent="0.2">
      <c r="A979" s="2" t="str" cm="1">
        <f t="array" ref="A979">INDEX('[1]Brand Family Territory (Enc)'!$A$2:$A$296,INT((ROW()-2)/10)+1)</f>
        <v>Yuengling Flight</v>
      </c>
      <c r="B979" s="2" t="str" cm="1">
        <f t="array" ref="B979">INDEX('Whitelist (Blackout Reverse)'!$B$1:$K$1,MOD(ROW()-2,10)+1)</f>
        <v>MORRIS 1</v>
      </c>
      <c r="C979" s="2" t="str">
        <f>VLOOKUP(A979,'[1]Brand Family Territory (Enc)'!$A$2:$B$296,2,FALSE)</f>
        <v>Core Market</v>
      </c>
      <c r="D979" s="2">
        <f>IF(COUNTIFS('[1]Brand Family Territories (Enc)'!$B$2:$B$62,C979,'[1]Brand Family Territories (Enc)'!$C$2:$C$62,B979)&gt;0,1,IF(AND(LEFT(B979,6)="MORRIS",COUNTIFS('[1]Brand Family Territories (Enc)'!$B$2:$B$62,C979,'[1]Brand Family Territories (Enc)'!$C$2:$C$62,"Morri")&gt;0),"Unk",0))</f>
        <v>1</v>
      </c>
      <c r="E979" s="2" t="str">
        <f>IFERROR(INDEX('Blackout Brand Fam Areas (Enc)'!$D$6:$D$998,MATCH(UPPER(A979)&amp;"|"&amp;UPPER(B979),'Blackout Brand Fam Areas (Enc)'!$G$6:$G$998,0)),"No Match")</f>
        <v>No Match</v>
      </c>
      <c r="F979" s="2" t="str">
        <f t="shared" si="30"/>
        <v>US</v>
      </c>
      <c r="G979" s="2" t="str">
        <f t="shared" si="31"/>
        <v>Yuengling Flight|MORRIS 1</v>
      </c>
    </row>
    <row r="980" spans="1:7" x14ac:dyDescent="0.2">
      <c r="A980" s="2" t="str" cm="1">
        <f t="array" ref="A980">INDEX('[1]Brand Family Territory (Enc)'!$A$2:$A$296,INT((ROW()-2)/10)+1)</f>
        <v>Yuengling Flight</v>
      </c>
      <c r="B980" s="2" t="str" cm="1">
        <f t="array" ref="B980">INDEX('Whitelist (Blackout Reverse)'!$B$1:$K$1,MOD(ROW()-2,10)+1)</f>
        <v>MORRIS 2</v>
      </c>
      <c r="C980" s="2" t="str">
        <f>VLOOKUP(A980,'[1]Brand Family Territory (Enc)'!$A$2:$B$296,2,FALSE)</f>
        <v>Core Market</v>
      </c>
      <c r="D980" s="2">
        <f>IF(COUNTIFS('[1]Brand Family Territories (Enc)'!$B$2:$B$62,C980,'[1]Brand Family Territories (Enc)'!$C$2:$C$62,B980)&gt;0,1,IF(AND(LEFT(B980,6)="MORRIS",COUNTIFS('[1]Brand Family Territories (Enc)'!$B$2:$B$62,C980,'[1]Brand Family Territories (Enc)'!$C$2:$C$62,"Morri")&gt;0),"Unk",0))</f>
        <v>0</v>
      </c>
      <c r="E980" s="2" t="str">
        <f>IFERROR(INDEX('Blackout Brand Fam Areas (Enc)'!$D$6:$D$998,MATCH(UPPER(A980)&amp;"|"&amp;UPPER(B980),'Blackout Brand Fam Areas (Enc)'!$G$6:$G$998,0)),"No Match")</f>
        <v>Inactive</v>
      </c>
      <c r="F980" s="2" t="str">
        <f t="shared" si="30"/>
        <v>THEM</v>
      </c>
      <c r="G980" s="2" t="str">
        <f t="shared" si="31"/>
        <v>Yuengling Flight|MORRIS 2</v>
      </c>
    </row>
    <row r="981" spans="1:7" x14ac:dyDescent="0.2">
      <c r="A981" s="2" t="str" cm="1">
        <f t="array" ref="A981">INDEX('[1]Brand Family Territory (Enc)'!$A$2:$A$296,INT((ROW()-2)/10)+1)</f>
        <v>Yuengling Flight</v>
      </c>
      <c r="B981" s="2" t="str" cm="1">
        <f t="array" ref="B981">INDEX('Whitelist (Blackout Reverse)'!$B$1:$K$1,MOD(ROW()-2,10)+1)</f>
        <v>MORRIS 3</v>
      </c>
      <c r="C981" s="2" t="str">
        <f>VLOOKUP(A981,'[1]Brand Family Territory (Enc)'!$A$2:$B$296,2,FALSE)</f>
        <v>Core Market</v>
      </c>
      <c r="D981" s="2">
        <f>IF(COUNTIFS('[1]Brand Family Territories (Enc)'!$B$2:$B$62,C981,'[1]Brand Family Territories (Enc)'!$C$2:$C$62,B981)&gt;0,1,IF(AND(LEFT(B981,6)="MORRIS",COUNTIFS('[1]Brand Family Territories (Enc)'!$B$2:$B$62,C981,'[1]Brand Family Territories (Enc)'!$C$2:$C$62,"Morri")&gt;0),"Unk",0))</f>
        <v>1</v>
      </c>
      <c r="E981" s="2" t="str">
        <f>IFERROR(INDEX('Blackout Brand Fam Areas (Enc)'!$D$6:$D$998,MATCH(UPPER(A981)&amp;"|"&amp;UPPER(B981),'Blackout Brand Fam Areas (Enc)'!$G$6:$G$998,0)),"No Match")</f>
        <v>No Match</v>
      </c>
      <c r="F981" s="2" t="str">
        <f t="shared" si="30"/>
        <v>US</v>
      </c>
      <c r="G981" s="2" t="str">
        <f t="shared" si="31"/>
        <v>Yuengling Flight|MORRIS 3</v>
      </c>
    </row>
    <row r="982" spans="1:7" x14ac:dyDescent="0.2">
      <c r="A982" s="2" t="str" cm="1">
        <f t="array" ref="A982">INDEX('[1]Brand Family Territory (Enc)'!$A$2:$A$296,INT((ROW()-2)/10)+1)</f>
        <v>Yuengling Golden Pilsner</v>
      </c>
      <c r="B982" s="2" t="str" cm="1">
        <f t="array" ref="B982">INDEX('Whitelist (Blackout Reverse)'!$B$1:$K$1,MOD(ROW()-2,10)+1)</f>
        <v>BERGEN</v>
      </c>
      <c r="C982" s="2" t="str">
        <f>VLOOKUP(A982,'[1]Brand Family Territory (Enc)'!$A$2:$B$296,2,FALSE)</f>
        <v>Core Market</v>
      </c>
      <c r="D982" s="2">
        <f>IF(COUNTIFS('[1]Brand Family Territories (Enc)'!$B$2:$B$62,C982,'[1]Brand Family Territories (Enc)'!$C$2:$C$62,B982)&gt;0,1,IF(AND(LEFT(B982,6)="MORRIS",COUNTIFS('[1]Brand Family Territories (Enc)'!$B$2:$B$62,C982,'[1]Brand Family Territories (Enc)'!$C$2:$C$62,"Morri")&gt;0),"Unk",0))</f>
        <v>1</v>
      </c>
      <c r="E982" s="2" t="str">
        <f>IFERROR(INDEX('Blackout Brand Fam Areas (Enc)'!$D$6:$D$998,MATCH(UPPER(A982)&amp;"|"&amp;UPPER(B982),'Blackout Brand Fam Areas (Enc)'!$G$6:$G$998,0)),"No Match")</f>
        <v>No Match</v>
      </c>
      <c r="F982" s="2" t="str">
        <f t="shared" si="30"/>
        <v>US</v>
      </c>
      <c r="G982" s="2" t="str">
        <f t="shared" si="31"/>
        <v>Yuengling Golden Pilsner|BERGEN</v>
      </c>
    </row>
    <row r="983" spans="1:7" x14ac:dyDescent="0.2">
      <c r="A983" s="2" t="str" cm="1">
        <f t="array" ref="A983">INDEX('[1]Brand Family Territory (Enc)'!$A$2:$A$296,INT((ROW()-2)/10)+1)</f>
        <v>Yuengling Golden Pilsner</v>
      </c>
      <c r="B983" s="2" t="str" cm="1">
        <f t="array" ref="B983">INDEX('Whitelist (Blackout Reverse)'!$B$1:$K$1,MOD(ROW()-2,10)+1)</f>
        <v>PASSAIC</v>
      </c>
      <c r="C983" s="2" t="str">
        <f>VLOOKUP(A983,'[1]Brand Family Territory (Enc)'!$A$2:$B$296,2,FALSE)</f>
        <v>Core Market</v>
      </c>
      <c r="D983" s="2">
        <f>IF(COUNTIFS('[1]Brand Family Territories (Enc)'!$B$2:$B$62,C983,'[1]Brand Family Territories (Enc)'!$C$2:$C$62,B983)&gt;0,1,IF(AND(LEFT(B983,6)="MORRIS",COUNTIFS('[1]Brand Family Territories (Enc)'!$B$2:$B$62,C983,'[1]Brand Family Territories (Enc)'!$C$2:$C$62,"Morri")&gt;0),"Unk",0))</f>
        <v>1</v>
      </c>
      <c r="E983" s="2" t="str">
        <f>IFERROR(INDEX('Blackout Brand Fam Areas (Enc)'!$D$6:$D$998,MATCH(UPPER(A983)&amp;"|"&amp;UPPER(B983),'Blackout Brand Fam Areas (Enc)'!$G$6:$G$998,0)),"No Match")</f>
        <v>No Match</v>
      </c>
      <c r="F983" s="2" t="str">
        <f t="shared" si="30"/>
        <v>US</v>
      </c>
      <c r="G983" s="2" t="str">
        <f t="shared" si="31"/>
        <v>Yuengling Golden Pilsner|PASSAIC</v>
      </c>
    </row>
    <row r="984" spans="1:7" x14ac:dyDescent="0.2">
      <c r="A984" s="2" t="str" cm="1">
        <f t="array" ref="A984">INDEX('[1]Brand Family Territory (Enc)'!$A$2:$A$296,INT((ROW()-2)/10)+1)</f>
        <v>Yuengling Golden Pilsner</v>
      </c>
      <c r="B984" s="2" t="str" cm="1">
        <f t="array" ref="B984">INDEX('Whitelist (Blackout Reverse)'!$B$1:$K$1,MOD(ROW()-2,10)+1)</f>
        <v>PASSAIC-FF</v>
      </c>
      <c r="C984" s="2" t="str">
        <f>VLOOKUP(A984,'[1]Brand Family Territory (Enc)'!$A$2:$B$296,2,FALSE)</f>
        <v>Core Market</v>
      </c>
      <c r="D984" s="2">
        <f>IF(COUNTIFS('[1]Brand Family Territories (Enc)'!$B$2:$B$62,C984,'[1]Brand Family Territories (Enc)'!$C$2:$C$62,B984)&gt;0,1,IF(AND(LEFT(B984,6)="MORRIS",COUNTIFS('[1]Brand Family Territories (Enc)'!$B$2:$B$62,C984,'[1]Brand Family Territories (Enc)'!$C$2:$C$62,"Morri")&gt;0),"Unk",0))</f>
        <v>1</v>
      </c>
      <c r="E984" s="2" t="str">
        <f>IFERROR(INDEX('Blackout Brand Fam Areas (Enc)'!$D$6:$D$998,MATCH(UPPER(A984)&amp;"|"&amp;UPPER(B984),'Blackout Brand Fam Areas (Enc)'!$G$6:$G$998,0)),"No Match")</f>
        <v>No Match</v>
      </c>
      <c r="F984" s="2" t="str">
        <f t="shared" si="30"/>
        <v>US</v>
      </c>
      <c r="G984" s="2" t="str">
        <f t="shared" si="31"/>
        <v>Yuengling Golden Pilsner|PASSAIC-FF</v>
      </c>
    </row>
    <row r="985" spans="1:7" x14ac:dyDescent="0.2">
      <c r="A985" s="2" t="str" cm="1">
        <f t="array" ref="A985">INDEX('[1]Brand Family Territory (Enc)'!$A$2:$A$296,INT((ROW()-2)/10)+1)</f>
        <v>Yuengling Golden Pilsner</v>
      </c>
      <c r="B985" s="2" t="str" cm="1">
        <f t="array" ref="B985">INDEX('Whitelist (Blackout Reverse)'!$B$1:$K$1,MOD(ROW()-2,10)+1)</f>
        <v>ESSEX</v>
      </c>
      <c r="C985" s="2" t="str">
        <f>VLOOKUP(A985,'[1]Brand Family Territory (Enc)'!$A$2:$B$296,2,FALSE)</f>
        <v>Core Market</v>
      </c>
      <c r="D985" s="2">
        <f>IF(COUNTIFS('[1]Brand Family Territories (Enc)'!$B$2:$B$62,C985,'[1]Brand Family Territories (Enc)'!$C$2:$C$62,B985)&gt;0,1,IF(AND(LEFT(B985,6)="MORRIS",COUNTIFS('[1]Brand Family Territories (Enc)'!$B$2:$B$62,C985,'[1]Brand Family Territories (Enc)'!$C$2:$C$62,"Morri")&gt;0),"Unk",0))</f>
        <v>0</v>
      </c>
      <c r="E985" s="2" t="str">
        <f>IFERROR(INDEX('Blackout Brand Fam Areas (Enc)'!$D$6:$D$998,MATCH(UPPER(A985)&amp;"|"&amp;UPPER(B985),'Blackout Brand Fam Areas (Enc)'!$G$6:$G$998,0)),"No Match")</f>
        <v>Inactive</v>
      </c>
      <c r="F985" s="2" t="str">
        <f t="shared" si="30"/>
        <v>THEM</v>
      </c>
      <c r="G985" s="2" t="str">
        <f t="shared" si="31"/>
        <v>Yuengling Golden Pilsner|ESSEX</v>
      </c>
    </row>
    <row r="986" spans="1:7" x14ac:dyDescent="0.2">
      <c r="A986" s="2" t="str" cm="1">
        <f t="array" ref="A986">INDEX('[1]Brand Family Territory (Enc)'!$A$2:$A$296,INT((ROW()-2)/10)+1)</f>
        <v>Yuengling Golden Pilsner</v>
      </c>
      <c r="B986" s="2" t="str" cm="1">
        <f t="array" ref="B986">INDEX('Whitelist (Blackout Reverse)'!$B$1:$K$1,MOD(ROW()-2,10)+1)</f>
        <v>HUDSON</v>
      </c>
      <c r="C986" s="2" t="str">
        <f>VLOOKUP(A986,'[1]Brand Family Territory (Enc)'!$A$2:$B$296,2,FALSE)</f>
        <v>Core Market</v>
      </c>
      <c r="D986" s="2">
        <f>IF(COUNTIFS('[1]Brand Family Territories (Enc)'!$B$2:$B$62,C986,'[1]Brand Family Territories (Enc)'!$C$2:$C$62,B986)&gt;0,1,IF(AND(LEFT(B986,6)="MORRIS",COUNTIFS('[1]Brand Family Territories (Enc)'!$B$2:$B$62,C986,'[1]Brand Family Territories (Enc)'!$C$2:$C$62,"Morri")&gt;0),"Unk",0))</f>
        <v>0</v>
      </c>
      <c r="E986" s="2" t="str">
        <f>IFERROR(INDEX('Blackout Brand Fam Areas (Enc)'!$D$6:$D$998,MATCH(UPPER(A986)&amp;"|"&amp;UPPER(B986),'Blackout Brand Fam Areas (Enc)'!$G$6:$G$998,0)),"No Match")</f>
        <v>Inactive</v>
      </c>
      <c r="F986" s="2" t="str">
        <f t="shared" si="30"/>
        <v>THEM</v>
      </c>
      <c r="G986" s="2" t="str">
        <f t="shared" si="31"/>
        <v>Yuengling Golden Pilsner|HUDSON</v>
      </c>
    </row>
    <row r="987" spans="1:7" x14ac:dyDescent="0.2">
      <c r="A987" s="2" t="str" cm="1">
        <f t="array" ref="A987">INDEX('[1]Brand Family Territory (Enc)'!$A$2:$A$296,INT((ROW()-2)/10)+1)</f>
        <v>Yuengling Golden Pilsner</v>
      </c>
      <c r="B987" s="2" t="str" cm="1">
        <f t="array" ref="B987">INDEX('Whitelist (Blackout Reverse)'!$B$1:$K$1,MOD(ROW()-2,10)+1)</f>
        <v>UNION</v>
      </c>
      <c r="C987" s="2" t="str">
        <f>VLOOKUP(A987,'[1]Brand Family Territory (Enc)'!$A$2:$B$296,2,FALSE)</f>
        <v>Core Market</v>
      </c>
      <c r="D987" s="2">
        <f>IF(COUNTIFS('[1]Brand Family Territories (Enc)'!$B$2:$B$62,C987,'[1]Brand Family Territories (Enc)'!$C$2:$C$62,B987)&gt;0,1,IF(AND(LEFT(B987,6)="MORRIS",COUNTIFS('[1]Brand Family Territories (Enc)'!$B$2:$B$62,C987,'[1]Brand Family Territories (Enc)'!$C$2:$C$62,"Morri")&gt;0),"Unk",0))</f>
        <v>0</v>
      </c>
      <c r="E987" s="2" t="str">
        <f>IFERROR(INDEX('Blackout Brand Fam Areas (Enc)'!$D$6:$D$998,MATCH(UPPER(A987)&amp;"|"&amp;UPPER(B987),'Blackout Brand Fam Areas (Enc)'!$G$6:$G$998,0)),"No Match")</f>
        <v>Inactive</v>
      </c>
      <c r="F987" s="2" t="str">
        <f t="shared" si="30"/>
        <v>THEM</v>
      </c>
      <c r="G987" s="2" t="str">
        <f t="shared" si="31"/>
        <v>Yuengling Golden Pilsner|UNION</v>
      </c>
    </row>
    <row r="988" spans="1:7" x14ac:dyDescent="0.2">
      <c r="A988" s="2" t="str" cm="1">
        <f t="array" ref="A988">INDEX('[1]Brand Family Territory (Enc)'!$A$2:$A$296,INT((ROW()-2)/10)+1)</f>
        <v>Yuengling Golden Pilsner</v>
      </c>
      <c r="B988" s="2" t="str" cm="1">
        <f t="array" ref="B988">INDEX('Whitelist (Blackout Reverse)'!$B$1:$K$1,MOD(ROW()-2,10)+1)</f>
        <v>SUSSEX</v>
      </c>
      <c r="C988" s="2" t="str">
        <f>VLOOKUP(A988,'[1]Brand Family Territory (Enc)'!$A$2:$B$296,2,FALSE)</f>
        <v>Core Market</v>
      </c>
      <c r="D988" s="2">
        <f>IF(COUNTIFS('[1]Brand Family Territories (Enc)'!$B$2:$B$62,C988,'[1]Brand Family Territories (Enc)'!$C$2:$C$62,B988)&gt;0,1,IF(AND(LEFT(B988,6)="MORRIS",COUNTIFS('[1]Brand Family Territories (Enc)'!$B$2:$B$62,C988,'[1]Brand Family Territories (Enc)'!$C$2:$C$62,"Morri")&gt;0),"Unk",0))</f>
        <v>1</v>
      </c>
      <c r="E988" s="2" t="str">
        <f>IFERROR(INDEX('Blackout Brand Fam Areas (Enc)'!$D$6:$D$998,MATCH(UPPER(A988)&amp;"|"&amp;UPPER(B988),'Blackout Brand Fam Areas (Enc)'!$G$6:$G$998,0)),"No Match")</f>
        <v>No Match</v>
      </c>
      <c r="F988" s="2" t="str">
        <f t="shared" si="30"/>
        <v>US</v>
      </c>
      <c r="G988" s="2" t="str">
        <f t="shared" si="31"/>
        <v>Yuengling Golden Pilsner|SUSSEX</v>
      </c>
    </row>
    <row r="989" spans="1:7" x14ac:dyDescent="0.2">
      <c r="A989" s="2" t="str" cm="1">
        <f t="array" ref="A989">INDEX('[1]Brand Family Territory (Enc)'!$A$2:$A$296,INT((ROW()-2)/10)+1)</f>
        <v>Yuengling Golden Pilsner</v>
      </c>
      <c r="B989" s="2" t="str" cm="1">
        <f t="array" ref="B989">INDEX('Whitelist (Blackout Reverse)'!$B$1:$K$1,MOD(ROW()-2,10)+1)</f>
        <v>MORRIS 1</v>
      </c>
      <c r="C989" s="2" t="str">
        <f>VLOOKUP(A989,'[1]Brand Family Territory (Enc)'!$A$2:$B$296,2,FALSE)</f>
        <v>Core Market</v>
      </c>
      <c r="D989" s="2">
        <f>IF(COUNTIFS('[1]Brand Family Territories (Enc)'!$B$2:$B$62,C989,'[1]Brand Family Territories (Enc)'!$C$2:$C$62,B989)&gt;0,1,IF(AND(LEFT(B989,6)="MORRIS",COUNTIFS('[1]Brand Family Territories (Enc)'!$B$2:$B$62,C989,'[1]Brand Family Territories (Enc)'!$C$2:$C$62,"Morri")&gt;0),"Unk",0))</f>
        <v>1</v>
      </c>
      <c r="E989" s="2" t="str">
        <f>IFERROR(INDEX('Blackout Brand Fam Areas (Enc)'!$D$6:$D$998,MATCH(UPPER(A989)&amp;"|"&amp;UPPER(B989),'Blackout Brand Fam Areas (Enc)'!$G$6:$G$998,0)),"No Match")</f>
        <v>No Match</v>
      </c>
      <c r="F989" s="2" t="str">
        <f t="shared" si="30"/>
        <v>US</v>
      </c>
      <c r="G989" s="2" t="str">
        <f t="shared" si="31"/>
        <v>Yuengling Golden Pilsner|MORRIS 1</v>
      </c>
    </row>
    <row r="990" spans="1:7" x14ac:dyDescent="0.2">
      <c r="A990" s="2" t="str" cm="1">
        <f t="array" ref="A990">INDEX('[1]Brand Family Territory (Enc)'!$A$2:$A$296,INT((ROW()-2)/10)+1)</f>
        <v>Yuengling Golden Pilsner</v>
      </c>
      <c r="B990" s="2" t="str" cm="1">
        <f t="array" ref="B990">INDEX('Whitelist (Blackout Reverse)'!$B$1:$K$1,MOD(ROW()-2,10)+1)</f>
        <v>MORRIS 2</v>
      </c>
      <c r="C990" s="2" t="str">
        <f>VLOOKUP(A990,'[1]Brand Family Territory (Enc)'!$A$2:$B$296,2,FALSE)</f>
        <v>Core Market</v>
      </c>
      <c r="D990" s="2">
        <f>IF(COUNTIFS('[1]Brand Family Territories (Enc)'!$B$2:$B$62,C990,'[1]Brand Family Territories (Enc)'!$C$2:$C$62,B990)&gt;0,1,IF(AND(LEFT(B990,6)="MORRIS",COUNTIFS('[1]Brand Family Territories (Enc)'!$B$2:$B$62,C990,'[1]Brand Family Territories (Enc)'!$C$2:$C$62,"Morri")&gt;0),"Unk",0))</f>
        <v>0</v>
      </c>
      <c r="E990" s="2" t="str">
        <f>IFERROR(INDEX('Blackout Brand Fam Areas (Enc)'!$D$6:$D$998,MATCH(UPPER(A990)&amp;"|"&amp;UPPER(B990),'Blackout Brand Fam Areas (Enc)'!$G$6:$G$998,0)),"No Match")</f>
        <v>Inactive</v>
      </c>
      <c r="F990" s="2" t="str">
        <f t="shared" si="30"/>
        <v>THEM</v>
      </c>
      <c r="G990" s="2" t="str">
        <f t="shared" si="31"/>
        <v>Yuengling Golden Pilsner|MORRIS 2</v>
      </c>
    </row>
    <row r="991" spans="1:7" x14ac:dyDescent="0.2">
      <c r="A991" s="2" t="str" cm="1">
        <f t="array" ref="A991">INDEX('[1]Brand Family Territory (Enc)'!$A$2:$A$296,INT((ROW()-2)/10)+1)</f>
        <v>Yuengling Golden Pilsner</v>
      </c>
      <c r="B991" s="2" t="str" cm="1">
        <f t="array" ref="B991">INDEX('Whitelist (Blackout Reverse)'!$B$1:$K$1,MOD(ROW()-2,10)+1)</f>
        <v>MORRIS 3</v>
      </c>
      <c r="C991" s="2" t="str">
        <f>VLOOKUP(A991,'[1]Brand Family Territory (Enc)'!$A$2:$B$296,2,FALSE)</f>
        <v>Core Market</v>
      </c>
      <c r="D991" s="2">
        <f>IF(COUNTIFS('[1]Brand Family Territories (Enc)'!$B$2:$B$62,C991,'[1]Brand Family Territories (Enc)'!$C$2:$C$62,B991)&gt;0,1,IF(AND(LEFT(B991,6)="MORRIS",COUNTIFS('[1]Brand Family Territories (Enc)'!$B$2:$B$62,C991,'[1]Brand Family Territories (Enc)'!$C$2:$C$62,"Morri")&gt;0),"Unk",0))</f>
        <v>1</v>
      </c>
      <c r="E991" s="2" t="str">
        <f>IFERROR(INDEX('Blackout Brand Fam Areas (Enc)'!$D$6:$D$998,MATCH(UPPER(A991)&amp;"|"&amp;UPPER(B991),'Blackout Brand Fam Areas (Enc)'!$G$6:$G$998,0)),"No Match")</f>
        <v>No Match</v>
      </c>
      <c r="F991" s="2" t="str">
        <f t="shared" si="30"/>
        <v>US</v>
      </c>
      <c r="G991" s="2" t="str">
        <f t="shared" si="31"/>
        <v>Yuengling Golden Pilsner|MORRIS 3</v>
      </c>
    </row>
    <row r="992" spans="1:7" x14ac:dyDescent="0.2">
      <c r="A992" s="2" t="str" cm="1">
        <f t="array" ref="A992">INDEX('[1]Brand Family Territory (Enc)'!$A$2:$A$296,INT((ROW()-2)/10)+1)</f>
        <v>Yuengling Lager</v>
      </c>
      <c r="B992" s="2" t="str" cm="1">
        <f t="array" ref="B992">INDEX('Whitelist (Blackout Reverse)'!$B$1:$K$1,MOD(ROW()-2,10)+1)</f>
        <v>BERGEN</v>
      </c>
      <c r="C992" s="2" t="str">
        <f>VLOOKUP(A992,'[1]Brand Family Territory (Enc)'!$A$2:$B$296,2,FALSE)</f>
        <v>Core Market</v>
      </c>
      <c r="D992" s="2">
        <f>IF(COUNTIFS('[1]Brand Family Territories (Enc)'!$B$2:$B$62,C992,'[1]Brand Family Territories (Enc)'!$C$2:$C$62,B992)&gt;0,1,IF(AND(LEFT(B992,6)="MORRIS",COUNTIFS('[1]Brand Family Territories (Enc)'!$B$2:$B$62,C992,'[1]Brand Family Territories (Enc)'!$C$2:$C$62,"Morri")&gt;0),"Unk",0))</f>
        <v>1</v>
      </c>
      <c r="E992" s="2" t="str">
        <f>IFERROR(INDEX('Blackout Brand Fam Areas (Enc)'!$D$6:$D$998,MATCH(UPPER(A992)&amp;"|"&amp;UPPER(B992),'Blackout Brand Fam Areas (Enc)'!$G$6:$G$998,0)),"No Match")</f>
        <v>No Match</v>
      </c>
      <c r="F992" s="2" t="str">
        <f t="shared" si="30"/>
        <v>US</v>
      </c>
      <c r="G992" s="2" t="str">
        <f t="shared" si="31"/>
        <v>Yuengling Lager|BERGEN</v>
      </c>
    </row>
    <row r="993" spans="1:7" x14ac:dyDescent="0.2">
      <c r="A993" s="2" t="str" cm="1">
        <f t="array" ref="A993">INDEX('[1]Brand Family Territory (Enc)'!$A$2:$A$296,INT((ROW()-2)/10)+1)</f>
        <v>Yuengling Lager</v>
      </c>
      <c r="B993" s="2" t="str" cm="1">
        <f t="array" ref="B993">INDEX('Whitelist (Blackout Reverse)'!$B$1:$K$1,MOD(ROW()-2,10)+1)</f>
        <v>PASSAIC</v>
      </c>
      <c r="C993" s="2" t="str">
        <f>VLOOKUP(A993,'[1]Brand Family Territory (Enc)'!$A$2:$B$296,2,FALSE)</f>
        <v>Core Market</v>
      </c>
      <c r="D993" s="2">
        <f>IF(COUNTIFS('[1]Brand Family Territories (Enc)'!$B$2:$B$62,C993,'[1]Brand Family Territories (Enc)'!$C$2:$C$62,B993)&gt;0,1,IF(AND(LEFT(B993,6)="MORRIS",COUNTIFS('[1]Brand Family Territories (Enc)'!$B$2:$B$62,C993,'[1]Brand Family Territories (Enc)'!$C$2:$C$62,"Morri")&gt;0),"Unk",0))</f>
        <v>1</v>
      </c>
      <c r="E993" s="2" t="str">
        <f>IFERROR(INDEX('Blackout Brand Fam Areas (Enc)'!$D$6:$D$998,MATCH(UPPER(A993)&amp;"|"&amp;UPPER(B993),'Blackout Brand Fam Areas (Enc)'!$G$6:$G$998,0)),"No Match")</f>
        <v>No Match</v>
      </c>
      <c r="F993" s="2" t="str">
        <f t="shared" si="30"/>
        <v>US</v>
      </c>
      <c r="G993" s="2" t="str">
        <f t="shared" si="31"/>
        <v>Yuengling Lager|PASSAIC</v>
      </c>
    </row>
    <row r="994" spans="1:7" x14ac:dyDescent="0.2">
      <c r="A994" s="2" t="str" cm="1">
        <f t="array" ref="A994">INDEX('[1]Brand Family Territory (Enc)'!$A$2:$A$296,INT((ROW()-2)/10)+1)</f>
        <v>Yuengling Lager</v>
      </c>
      <c r="B994" s="2" t="str" cm="1">
        <f t="array" ref="B994">INDEX('Whitelist (Blackout Reverse)'!$B$1:$K$1,MOD(ROW()-2,10)+1)</f>
        <v>PASSAIC-FF</v>
      </c>
      <c r="C994" s="2" t="str">
        <f>VLOOKUP(A994,'[1]Brand Family Territory (Enc)'!$A$2:$B$296,2,FALSE)</f>
        <v>Core Market</v>
      </c>
      <c r="D994" s="2">
        <f>IF(COUNTIFS('[1]Brand Family Territories (Enc)'!$B$2:$B$62,C994,'[1]Brand Family Territories (Enc)'!$C$2:$C$62,B994)&gt;0,1,IF(AND(LEFT(B994,6)="MORRIS",COUNTIFS('[1]Brand Family Territories (Enc)'!$B$2:$B$62,C994,'[1]Brand Family Territories (Enc)'!$C$2:$C$62,"Morri")&gt;0),"Unk",0))</f>
        <v>1</v>
      </c>
      <c r="E994" s="2" t="str">
        <f>IFERROR(INDEX('Blackout Brand Fam Areas (Enc)'!$D$6:$D$998,MATCH(UPPER(A994)&amp;"|"&amp;UPPER(B994),'Blackout Brand Fam Areas (Enc)'!$G$6:$G$998,0)),"No Match")</f>
        <v>No Match</v>
      </c>
      <c r="F994" s="2" t="str">
        <f t="shared" si="30"/>
        <v>US</v>
      </c>
      <c r="G994" s="2" t="str">
        <f t="shared" si="31"/>
        <v>Yuengling Lager|PASSAIC-FF</v>
      </c>
    </row>
    <row r="995" spans="1:7" x14ac:dyDescent="0.2">
      <c r="A995" s="2" t="str" cm="1">
        <f t="array" ref="A995">INDEX('[1]Brand Family Territory (Enc)'!$A$2:$A$296,INT((ROW()-2)/10)+1)</f>
        <v>Yuengling Lager</v>
      </c>
      <c r="B995" s="2" t="str" cm="1">
        <f t="array" ref="B995">INDEX('Whitelist (Blackout Reverse)'!$B$1:$K$1,MOD(ROW()-2,10)+1)</f>
        <v>ESSEX</v>
      </c>
      <c r="C995" s="2" t="str">
        <f>VLOOKUP(A995,'[1]Brand Family Territory (Enc)'!$A$2:$B$296,2,FALSE)</f>
        <v>Core Market</v>
      </c>
      <c r="D995" s="2">
        <f>IF(COUNTIFS('[1]Brand Family Territories (Enc)'!$B$2:$B$62,C995,'[1]Brand Family Territories (Enc)'!$C$2:$C$62,B995)&gt;0,1,IF(AND(LEFT(B995,6)="MORRIS",COUNTIFS('[1]Brand Family Territories (Enc)'!$B$2:$B$62,C995,'[1]Brand Family Territories (Enc)'!$C$2:$C$62,"Morri")&gt;0),"Unk",0))</f>
        <v>0</v>
      </c>
      <c r="E995" s="2" t="str">
        <f>IFERROR(INDEX('Blackout Brand Fam Areas (Enc)'!$D$6:$D$998,MATCH(UPPER(A995)&amp;"|"&amp;UPPER(B995),'Blackout Brand Fam Areas (Enc)'!$G$6:$G$998,0)),"No Match")</f>
        <v>Inactive</v>
      </c>
      <c r="F995" s="2" t="str">
        <f t="shared" si="30"/>
        <v>THEM</v>
      </c>
      <c r="G995" s="2" t="str">
        <f t="shared" si="31"/>
        <v>Yuengling Lager|ESSEX</v>
      </c>
    </row>
    <row r="996" spans="1:7" x14ac:dyDescent="0.2">
      <c r="A996" s="2" t="str" cm="1">
        <f t="array" ref="A996">INDEX('[1]Brand Family Territory (Enc)'!$A$2:$A$296,INT((ROW()-2)/10)+1)</f>
        <v>Yuengling Lager</v>
      </c>
      <c r="B996" s="2" t="str" cm="1">
        <f t="array" ref="B996">INDEX('Whitelist (Blackout Reverse)'!$B$1:$K$1,MOD(ROW()-2,10)+1)</f>
        <v>HUDSON</v>
      </c>
      <c r="C996" s="2" t="str">
        <f>VLOOKUP(A996,'[1]Brand Family Territory (Enc)'!$A$2:$B$296,2,FALSE)</f>
        <v>Core Market</v>
      </c>
      <c r="D996" s="2">
        <f>IF(COUNTIFS('[1]Brand Family Territories (Enc)'!$B$2:$B$62,C996,'[1]Brand Family Territories (Enc)'!$C$2:$C$62,B996)&gt;0,1,IF(AND(LEFT(B996,6)="MORRIS",COUNTIFS('[1]Brand Family Territories (Enc)'!$B$2:$B$62,C996,'[1]Brand Family Territories (Enc)'!$C$2:$C$62,"Morri")&gt;0),"Unk",0))</f>
        <v>0</v>
      </c>
      <c r="E996" s="2" t="str">
        <f>IFERROR(INDEX('Blackout Brand Fam Areas (Enc)'!$D$6:$D$998,MATCH(UPPER(A996)&amp;"|"&amp;UPPER(B996),'Blackout Brand Fam Areas (Enc)'!$G$6:$G$998,0)),"No Match")</f>
        <v>Inactive</v>
      </c>
      <c r="F996" s="2" t="str">
        <f t="shared" si="30"/>
        <v>THEM</v>
      </c>
      <c r="G996" s="2" t="str">
        <f t="shared" si="31"/>
        <v>Yuengling Lager|HUDSON</v>
      </c>
    </row>
    <row r="997" spans="1:7" x14ac:dyDescent="0.2">
      <c r="A997" s="2" t="str" cm="1">
        <f t="array" ref="A997">INDEX('[1]Brand Family Territory (Enc)'!$A$2:$A$296,INT((ROW()-2)/10)+1)</f>
        <v>Yuengling Lager</v>
      </c>
      <c r="B997" s="2" t="str" cm="1">
        <f t="array" ref="B997">INDEX('Whitelist (Blackout Reverse)'!$B$1:$K$1,MOD(ROW()-2,10)+1)</f>
        <v>UNION</v>
      </c>
      <c r="C997" s="2" t="str">
        <f>VLOOKUP(A997,'[1]Brand Family Territory (Enc)'!$A$2:$B$296,2,FALSE)</f>
        <v>Core Market</v>
      </c>
      <c r="D997" s="2">
        <f>IF(COUNTIFS('[1]Brand Family Territories (Enc)'!$B$2:$B$62,C997,'[1]Brand Family Territories (Enc)'!$C$2:$C$62,B997)&gt;0,1,IF(AND(LEFT(B997,6)="MORRIS",COUNTIFS('[1]Brand Family Territories (Enc)'!$B$2:$B$62,C997,'[1]Brand Family Territories (Enc)'!$C$2:$C$62,"Morri")&gt;0),"Unk",0))</f>
        <v>0</v>
      </c>
      <c r="E997" s="2" t="str">
        <f>IFERROR(INDEX('Blackout Brand Fam Areas (Enc)'!$D$6:$D$998,MATCH(UPPER(A997)&amp;"|"&amp;UPPER(B997),'Blackout Brand Fam Areas (Enc)'!$G$6:$G$998,0)),"No Match")</f>
        <v>Inactive</v>
      </c>
      <c r="F997" s="2" t="str">
        <f t="shared" si="30"/>
        <v>THEM</v>
      </c>
      <c r="G997" s="2" t="str">
        <f t="shared" si="31"/>
        <v>Yuengling Lager|UNION</v>
      </c>
    </row>
    <row r="998" spans="1:7" x14ac:dyDescent="0.2">
      <c r="A998" s="2" t="str" cm="1">
        <f t="array" ref="A998">INDEX('[1]Brand Family Territory (Enc)'!$A$2:$A$296,INT((ROW()-2)/10)+1)</f>
        <v>Yuengling Lager</v>
      </c>
      <c r="B998" s="2" t="str" cm="1">
        <f t="array" ref="B998">INDEX('Whitelist (Blackout Reverse)'!$B$1:$K$1,MOD(ROW()-2,10)+1)</f>
        <v>SUSSEX</v>
      </c>
      <c r="C998" s="2" t="str">
        <f>VLOOKUP(A998,'[1]Brand Family Territory (Enc)'!$A$2:$B$296,2,FALSE)</f>
        <v>Core Market</v>
      </c>
      <c r="D998" s="2">
        <f>IF(COUNTIFS('[1]Brand Family Territories (Enc)'!$B$2:$B$62,C998,'[1]Brand Family Territories (Enc)'!$C$2:$C$62,B998)&gt;0,1,IF(AND(LEFT(B998,6)="MORRIS",COUNTIFS('[1]Brand Family Territories (Enc)'!$B$2:$B$62,C998,'[1]Brand Family Territories (Enc)'!$C$2:$C$62,"Morri")&gt;0),"Unk",0))</f>
        <v>1</v>
      </c>
      <c r="E998" s="2" t="str">
        <f>IFERROR(INDEX('Blackout Brand Fam Areas (Enc)'!$D$6:$D$998,MATCH(UPPER(A998)&amp;"|"&amp;UPPER(B998),'Blackout Brand Fam Areas (Enc)'!$G$6:$G$998,0)),"No Match")</f>
        <v>No Match</v>
      </c>
      <c r="F998" s="2" t="str">
        <f t="shared" si="30"/>
        <v>US</v>
      </c>
      <c r="G998" s="2" t="str">
        <f t="shared" si="31"/>
        <v>Yuengling Lager|SUSSEX</v>
      </c>
    </row>
    <row r="999" spans="1:7" x14ac:dyDescent="0.2">
      <c r="A999" s="2" t="str" cm="1">
        <f t="array" ref="A999">INDEX('[1]Brand Family Territory (Enc)'!$A$2:$A$296,INT((ROW()-2)/10)+1)</f>
        <v>Yuengling Lager</v>
      </c>
      <c r="B999" s="2" t="str" cm="1">
        <f t="array" ref="B999">INDEX('Whitelist (Blackout Reverse)'!$B$1:$K$1,MOD(ROW()-2,10)+1)</f>
        <v>MORRIS 1</v>
      </c>
      <c r="C999" s="2" t="str">
        <f>VLOOKUP(A999,'[1]Brand Family Territory (Enc)'!$A$2:$B$296,2,FALSE)</f>
        <v>Core Market</v>
      </c>
      <c r="D999" s="2">
        <f>IF(COUNTIFS('[1]Brand Family Territories (Enc)'!$B$2:$B$62,C999,'[1]Brand Family Territories (Enc)'!$C$2:$C$62,B999)&gt;0,1,IF(AND(LEFT(B999,6)="MORRIS",COUNTIFS('[1]Brand Family Territories (Enc)'!$B$2:$B$62,C999,'[1]Brand Family Territories (Enc)'!$C$2:$C$62,"Morri")&gt;0),"Unk",0))</f>
        <v>1</v>
      </c>
      <c r="E999" s="2" t="str">
        <f>IFERROR(INDEX('Blackout Brand Fam Areas (Enc)'!$D$6:$D$998,MATCH(UPPER(A999)&amp;"|"&amp;UPPER(B999),'Blackout Brand Fam Areas (Enc)'!$G$6:$G$998,0)),"No Match")</f>
        <v>No Match</v>
      </c>
      <c r="F999" s="2" t="str">
        <f t="shared" si="30"/>
        <v>US</v>
      </c>
      <c r="G999" s="2" t="str">
        <f t="shared" si="31"/>
        <v>Yuengling Lager|MORRIS 1</v>
      </c>
    </row>
    <row r="1000" spans="1:7" x14ac:dyDescent="0.2">
      <c r="A1000" s="2" t="str" cm="1">
        <f t="array" ref="A1000">INDEX('[1]Brand Family Territory (Enc)'!$A$2:$A$296,INT((ROW()-2)/10)+1)</f>
        <v>Yuengling Lager</v>
      </c>
      <c r="B1000" s="2" t="str" cm="1">
        <f t="array" ref="B1000">INDEX('Whitelist (Blackout Reverse)'!$B$1:$K$1,MOD(ROW()-2,10)+1)</f>
        <v>MORRIS 2</v>
      </c>
      <c r="C1000" s="2" t="str">
        <f>VLOOKUP(A1000,'[1]Brand Family Territory (Enc)'!$A$2:$B$296,2,FALSE)</f>
        <v>Core Market</v>
      </c>
      <c r="D1000" s="2">
        <f>IF(COUNTIFS('[1]Brand Family Territories (Enc)'!$B$2:$B$62,C1000,'[1]Brand Family Territories (Enc)'!$C$2:$C$62,B1000)&gt;0,1,IF(AND(LEFT(B1000,6)="MORRIS",COUNTIFS('[1]Brand Family Territories (Enc)'!$B$2:$B$62,C1000,'[1]Brand Family Territories (Enc)'!$C$2:$C$62,"Morri")&gt;0),"Unk",0))</f>
        <v>0</v>
      </c>
      <c r="E1000" s="2" t="str">
        <f>IFERROR(INDEX('Blackout Brand Fam Areas (Enc)'!$D$6:$D$998,MATCH(UPPER(A1000)&amp;"|"&amp;UPPER(B1000),'Blackout Brand Fam Areas (Enc)'!$G$6:$G$998,0)),"No Match")</f>
        <v>Inactive</v>
      </c>
      <c r="F1000" s="2" t="str">
        <f t="shared" si="30"/>
        <v>THEM</v>
      </c>
      <c r="G1000" s="2" t="str">
        <f t="shared" si="31"/>
        <v>Yuengling Lager|MORRIS 2</v>
      </c>
    </row>
    <row r="1001" spans="1:7" x14ac:dyDescent="0.2">
      <c r="A1001" s="2" t="str" cm="1">
        <f t="array" ref="A1001">INDEX('[1]Brand Family Territory (Enc)'!$A$2:$A$296,INT((ROW()-2)/10)+1)</f>
        <v>Yuengling Lager</v>
      </c>
      <c r="B1001" s="2" t="str" cm="1">
        <f t="array" ref="B1001">INDEX('Whitelist (Blackout Reverse)'!$B$1:$K$1,MOD(ROW()-2,10)+1)</f>
        <v>MORRIS 3</v>
      </c>
      <c r="C1001" s="2" t="str">
        <f>VLOOKUP(A1001,'[1]Brand Family Territory (Enc)'!$A$2:$B$296,2,FALSE)</f>
        <v>Core Market</v>
      </c>
      <c r="D1001" s="2">
        <f>IF(COUNTIFS('[1]Brand Family Territories (Enc)'!$B$2:$B$62,C1001,'[1]Brand Family Territories (Enc)'!$C$2:$C$62,B1001)&gt;0,1,IF(AND(LEFT(B1001,6)="MORRIS",COUNTIFS('[1]Brand Family Territories (Enc)'!$B$2:$B$62,C1001,'[1]Brand Family Territories (Enc)'!$C$2:$C$62,"Morri")&gt;0),"Unk",0))</f>
        <v>1</v>
      </c>
      <c r="E1001" s="2" t="str">
        <f>IFERROR(INDEX('Blackout Brand Fam Areas (Enc)'!$D$6:$D$998,MATCH(UPPER(A1001)&amp;"|"&amp;UPPER(B1001),'Blackout Brand Fam Areas (Enc)'!$G$6:$G$998,0)),"No Match")</f>
        <v>No Match</v>
      </c>
      <c r="F1001" s="2" t="str">
        <f t="shared" si="30"/>
        <v>US</v>
      </c>
      <c r="G1001" s="2" t="str">
        <f t="shared" si="31"/>
        <v>Yuengling Lager|MORRIS 3</v>
      </c>
    </row>
    <row r="1002" spans="1:7" x14ac:dyDescent="0.2">
      <c r="A1002" s="2" t="str" cm="1">
        <f t="array" ref="A1002">INDEX('[1]Brand Family Territory (Enc)'!$A$2:$A$296,INT((ROW()-2)/10)+1)</f>
        <v>Yuengling Light Lager</v>
      </c>
      <c r="B1002" s="2" t="str" cm="1">
        <f t="array" ref="B1002">INDEX('Whitelist (Blackout Reverse)'!$B$1:$K$1,MOD(ROW()-2,10)+1)</f>
        <v>BERGEN</v>
      </c>
      <c r="C1002" s="2" t="str">
        <f>VLOOKUP(A1002,'[1]Brand Family Territory (Enc)'!$A$2:$B$296,2,FALSE)</f>
        <v>Core Market</v>
      </c>
      <c r="D1002" s="2">
        <f>IF(COUNTIFS('[1]Brand Family Territories (Enc)'!$B$2:$B$62,C1002,'[1]Brand Family Territories (Enc)'!$C$2:$C$62,B1002)&gt;0,1,IF(AND(LEFT(B1002,6)="MORRIS",COUNTIFS('[1]Brand Family Territories (Enc)'!$B$2:$B$62,C1002,'[1]Brand Family Territories (Enc)'!$C$2:$C$62,"Morri")&gt;0),"Unk",0))</f>
        <v>1</v>
      </c>
      <c r="E1002" s="2" t="str">
        <f>IFERROR(INDEX('Blackout Brand Fam Areas (Enc)'!$D$6:$D$998,MATCH(UPPER(A1002)&amp;"|"&amp;UPPER(B1002),'Blackout Brand Fam Areas (Enc)'!$G$6:$G$998,0)),"No Match")</f>
        <v>No Match</v>
      </c>
      <c r="F1002" s="2" t="str">
        <f t="shared" si="30"/>
        <v>US</v>
      </c>
      <c r="G1002" s="2" t="str">
        <f t="shared" si="31"/>
        <v>Yuengling Light Lager|BERGEN</v>
      </c>
    </row>
    <row r="1003" spans="1:7" x14ac:dyDescent="0.2">
      <c r="A1003" s="2" t="str" cm="1">
        <f t="array" ref="A1003">INDEX('[1]Brand Family Territory (Enc)'!$A$2:$A$296,INT((ROW()-2)/10)+1)</f>
        <v>Yuengling Light Lager</v>
      </c>
      <c r="B1003" s="2" t="str" cm="1">
        <f t="array" ref="B1003">INDEX('Whitelist (Blackout Reverse)'!$B$1:$K$1,MOD(ROW()-2,10)+1)</f>
        <v>PASSAIC</v>
      </c>
      <c r="C1003" s="2" t="str">
        <f>VLOOKUP(A1003,'[1]Brand Family Territory (Enc)'!$A$2:$B$296,2,FALSE)</f>
        <v>Core Market</v>
      </c>
      <c r="D1003" s="2">
        <f>IF(COUNTIFS('[1]Brand Family Territories (Enc)'!$B$2:$B$62,C1003,'[1]Brand Family Territories (Enc)'!$C$2:$C$62,B1003)&gt;0,1,IF(AND(LEFT(B1003,6)="MORRIS",COUNTIFS('[1]Brand Family Territories (Enc)'!$B$2:$B$62,C1003,'[1]Brand Family Territories (Enc)'!$C$2:$C$62,"Morri")&gt;0),"Unk",0))</f>
        <v>1</v>
      </c>
      <c r="E1003" s="2" t="str">
        <f>IFERROR(INDEX('Blackout Brand Fam Areas (Enc)'!$D$6:$D$998,MATCH(UPPER(A1003)&amp;"|"&amp;UPPER(B1003),'Blackout Brand Fam Areas (Enc)'!$G$6:$G$998,0)),"No Match")</f>
        <v>No Match</v>
      </c>
      <c r="F1003" s="2" t="str">
        <f t="shared" si="30"/>
        <v>US</v>
      </c>
      <c r="G1003" s="2" t="str">
        <f t="shared" si="31"/>
        <v>Yuengling Light Lager|PASSAIC</v>
      </c>
    </row>
    <row r="1004" spans="1:7" x14ac:dyDescent="0.2">
      <c r="A1004" s="2" t="str" cm="1">
        <f t="array" ref="A1004">INDEX('[1]Brand Family Territory (Enc)'!$A$2:$A$296,INT((ROW()-2)/10)+1)</f>
        <v>Yuengling Light Lager</v>
      </c>
      <c r="B1004" s="2" t="str" cm="1">
        <f t="array" ref="B1004">INDEX('Whitelist (Blackout Reverse)'!$B$1:$K$1,MOD(ROW()-2,10)+1)</f>
        <v>PASSAIC-FF</v>
      </c>
      <c r="C1004" s="2" t="str">
        <f>VLOOKUP(A1004,'[1]Brand Family Territory (Enc)'!$A$2:$B$296,2,FALSE)</f>
        <v>Core Market</v>
      </c>
      <c r="D1004" s="2">
        <f>IF(COUNTIFS('[1]Brand Family Territories (Enc)'!$B$2:$B$62,C1004,'[1]Brand Family Territories (Enc)'!$C$2:$C$62,B1004)&gt;0,1,IF(AND(LEFT(B1004,6)="MORRIS",COUNTIFS('[1]Brand Family Territories (Enc)'!$B$2:$B$62,C1004,'[1]Brand Family Territories (Enc)'!$C$2:$C$62,"Morri")&gt;0),"Unk",0))</f>
        <v>1</v>
      </c>
      <c r="E1004" s="2" t="str">
        <f>IFERROR(INDEX('Blackout Brand Fam Areas (Enc)'!$D$6:$D$998,MATCH(UPPER(A1004)&amp;"|"&amp;UPPER(B1004),'Blackout Brand Fam Areas (Enc)'!$G$6:$G$998,0)),"No Match")</f>
        <v>No Match</v>
      </c>
      <c r="F1004" s="2" t="str">
        <f t="shared" si="30"/>
        <v>US</v>
      </c>
      <c r="G1004" s="2" t="str">
        <f t="shared" si="31"/>
        <v>Yuengling Light Lager|PASSAIC-FF</v>
      </c>
    </row>
    <row r="1005" spans="1:7" x14ac:dyDescent="0.2">
      <c r="A1005" s="2" t="str" cm="1">
        <f t="array" ref="A1005">INDEX('[1]Brand Family Territory (Enc)'!$A$2:$A$296,INT((ROW()-2)/10)+1)</f>
        <v>Yuengling Light Lager</v>
      </c>
      <c r="B1005" s="2" t="str" cm="1">
        <f t="array" ref="B1005">INDEX('Whitelist (Blackout Reverse)'!$B$1:$K$1,MOD(ROW()-2,10)+1)</f>
        <v>ESSEX</v>
      </c>
      <c r="C1005" s="2" t="str">
        <f>VLOOKUP(A1005,'[1]Brand Family Territory (Enc)'!$A$2:$B$296,2,FALSE)</f>
        <v>Core Market</v>
      </c>
      <c r="D1005" s="2">
        <f>IF(COUNTIFS('[1]Brand Family Territories (Enc)'!$B$2:$B$62,C1005,'[1]Brand Family Territories (Enc)'!$C$2:$C$62,B1005)&gt;0,1,IF(AND(LEFT(B1005,6)="MORRIS",COUNTIFS('[1]Brand Family Territories (Enc)'!$B$2:$B$62,C1005,'[1]Brand Family Territories (Enc)'!$C$2:$C$62,"Morri")&gt;0),"Unk",0))</f>
        <v>0</v>
      </c>
      <c r="E1005" s="2" t="str">
        <f>IFERROR(INDEX('Blackout Brand Fam Areas (Enc)'!$D$6:$D$998,MATCH(UPPER(A1005)&amp;"|"&amp;UPPER(B1005),'Blackout Brand Fam Areas (Enc)'!$G$6:$G$998,0)),"No Match")</f>
        <v>Inactive</v>
      </c>
      <c r="F1005" s="2" t="str">
        <f t="shared" si="30"/>
        <v>THEM</v>
      </c>
      <c r="G1005" s="2" t="str">
        <f t="shared" si="31"/>
        <v>Yuengling Light Lager|ESSEX</v>
      </c>
    </row>
    <row r="1006" spans="1:7" x14ac:dyDescent="0.2">
      <c r="A1006" s="2" t="str" cm="1">
        <f t="array" ref="A1006">INDEX('[1]Brand Family Territory (Enc)'!$A$2:$A$296,INT((ROW()-2)/10)+1)</f>
        <v>Yuengling Light Lager</v>
      </c>
      <c r="B1006" s="2" t="str" cm="1">
        <f t="array" ref="B1006">INDEX('Whitelist (Blackout Reverse)'!$B$1:$K$1,MOD(ROW()-2,10)+1)</f>
        <v>HUDSON</v>
      </c>
      <c r="C1006" s="2" t="str">
        <f>VLOOKUP(A1006,'[1]Brand Family Territory (Enc)'!$A$2:$B$296,2,FALSE)</f>
        <v>Core Market</v>
      </c>
      <c r="D1006" s="2">
        <f>IF(COUNTIFS('[1]Brand Family Territories (Enc)'!$B$2:$B$62,C1006,'[1]Brand Family Territories (Enc)'!$C$2:$C$62,B1006)&gt;0,1,IF(AND(LEFT(B1006,6)="MORRIS",COUNTIFS('[1]Brand Family Territories (Enc)'!$B$2:$B$62,C1006,'[1]Brand Family Territories (Enc)'!$C$2:$C$62,"Morri")&gt;0),"Unk",0))</f>
        <v>0</v>
      </c>
      <c r="E1006" s="2" t="str">
        <f>IFERROR(INDEX('Blackout Brand Fam Areas (Enc)'!$D$6:$D$998,MATCH(UPPER(A1006)&amp;"|"&amp;UPPER(B1006),'Blackout Brand Fam Areas (Enc)'!$G$6:$G$998,0)),"No Match")</f>
        <v>Inactive</v>
      </c>
      <c r="F1006" s="2" t="str">
        <f t="shared" si="30"/>
        <v>THEM</v>
      </c>
      <c r="G1006" s="2" t="str">
        <f t="shared" si="31"/>
        <v>Yuengling Light Lager|HUDSON</v>
      </c>
    </row>
    <row r="1007" spans="1:7" x14ac:dyDescent="0.2">
      <c r="A1007" s="2" t="str" cm="1">
        <f t="array" ref="A1007">INDEX('[1]Brand Family Territory (Enc)'!$A$2:$A$296,INT((ROW()-2)/10)+1)</f>
        <v>Yuengling Light Lager</v>
      </c>
      <c r="B1007" s="2" t="str" cm="1">
        <f t="array" ref="B1007">INDEX('Whitelist (Blackout Reverse)'!$B$1:$K$1,MOD(ROW()-2,10)+1)</f>
        <v>UNION</v>
      </c>
      <c r="C1007" s="2" t="str">
        <f>VLOOKUP(A1007,'[1]Brand Family Territory (Enc)'!$A$2:$B$296,2,FALSE)</f>
        <v>Core Market</v>
      </c>
      <c r="D1007" s="2">
        <f>IF(COUNTIFS('[1]Brand Family Territories (Enc)'!$B$2:$B$62,C1007,'[1]Brand Family Territories (Enc)'!$C$2:$C$62,B1007)&gt;0,1,IF(AND(LEFT(B1007,6)="MORRIS",COUNTIFS('[1]Brand Family Territories (Enc)'!$B$2:$B$62,C1007,'[1]Brand Family Territories (Enc)'!$C$2:$C$62,"Morri")&gt;0),"Unk",0))</f>
        <v>0</v>
      </c>
      <c r="E1007" s="2" t="str">
        <f>IFERROR(INDEX('Blackout Brand Fam Areas (Enc)'!$D$6:$D$998,MATCH(UPPER(A1007)&amp;"|"&amp;UPPER(B1007),'Blackout Brand Fam Areas (Enc)'!$G$6:$G$998,0)),"No Match")</f>
        <v>Inactive</v>
      </c>
      <c r="F1007" s="2" t="str">
        <f t="shared" si="30"/>
        <v>THEM</v>
      </c>
      <c r="G1007" s="2" t="str">
        <f t="shared" si="31"/>
        <v>Yuengling Light Lager|UNION</v>
      </c>
    </row>
    <row r="1008" spans="1:7" x14ac:dyDescent="0.2">
      <c r="A1008" s="2" t="str" cm="1">
        <f t="array" ref="A1008">INDEX('[1]Brand Family Territory (Enc)'!$A$2:$A$296,INT((ROW()-2)/10)+1)</f>
        <v>Yuengling Light Lager</v>
      </c>
      <c r="B1008" s="2" t="str" cm="1">
        <f t="array" ref="B1008">INDEX('Whitelist (Blackout Reverse)'!$B$1:$K$1,MOD(ROW()-2,10)+1)</f>
        <v>SUSSEX</v>
      </c>
      <c r="C1008" s="2" t="str">
        <f>VLOOKUP(A1008,'[1]Brand Family Territory (Enc)'!$A$2:$B$296,2,FALSE)</f>
        <v>Core Market</v>
      </c>
      <c r="D1008" s="2">
        <f>IF(COUNTIFS('[1]Brand Family Territories (Enc)'!$B$2:$B$62,C1008,'[1]Brand Family Territories (Enc)'!$C$2:$C$62,B1008)&gt;0,1,IF(AND(LEFT(B1008,6)="MORRIS",COUNTIFS('[1]Brand Family Territories (Enc)'!$B$2:$B$62,C1008,'[1]Brand Family Territories (Enc)'!$C$2:$C$62,"Morri")&gt;0),"Unk",0))</f>
        <v>1</v>
      </c>
      <c r="E1008" s="2" t="str">
        <f>IFERROR(INDEX('Blackout Brand Fam Areas (Enc)'!$D$6:$D$998,MATCH(UPPER(A1008)&amp;"|"&amp;UPPER(B1008),'Blackout Brand Fam Areas (Enc)'!$G$6:$G$998,0)),"No Match")</f>
        <v>No Match</v>
      </c>
      <c r="F1008" s="2" t="str">
        <f t="shared" si="30"/>
        <v>US</v>
      </c>
      <c r="G1008" s="2" t="str">
        <f t="shared" si="31"/>
        <v>Yuengling Light Lager|SUSSEX</v>
      </c>
    </row>
    <row r="1009" spans="1:7" x14ac:dyDescent="0.2">
      <c r="A1009" s="2" t="str" cm="1">
        <f t="array" ref="A1009">INDEX('[1]Brand Family Territory (Enc)'!$A$2:$A$296,INT((ROW()-2)/10)+1)</f>
        <v>Yuengling Light Lager</v>
      </c>
      <c r="B1009" s="2" t="str" cm="1">
        <f t="array" ref="B1009">INDEX('Whitelist (Blackout Reverse)'!$B$1:$K$1,MOD(ROW()-2,10)+1)</f>
        <v>MORRIS 1</v>
      </c>
      <c r="C1009" s="2" t="str">
        <f>VLOOKUP(A1009,'[1]Brand Family Territory (Enc)'!$A$2:$B$296,2,FALSE)</f>
        <v>Core Market</v>
      </c>
      <c r="D1009" s="2">
        <f>IF(COUNTIFS('[1]Brand Family Territories (Enc)'!$B$2:$B$62,C1009,'[1]Brand Family Territories (Enc)'!$C$2:$C$62,B1009)&gt;0,1,IF(AND(LEFT(B1009,6)="MORRIS",COUNTIFS('[1]Brand Family Territories (Enc)'!$B$2:$B$62,C1009,'[1]Brand Family Territories (Enc)'!$C$2:$C$62,"Morri")&gt;0),"Unk",0))</f>
        <v>1</v>
      </c>
      <c r="E1009" s="2" t="str">
        <f>IFERROR(INDEX('Blackout Brand Fam Areas (Enc)'!$D$6:$D$998,MATCH(UPPER(A1009)&amp;"|"&amp;UPPER(B1009),'Blackout Brand Fam Areas (Enc)'!$G$6:$G$998,0)),"No Match")</f>
        <v>No Match</v>
      </c>
      <c r="F1009" s="2" t="str">
        <f t="shared" si="30"/>
        <v>US</v>
      </c>
      <c r="G1009" s="2" t="str">
        <f t="shared" si="31"/>
        <v>Yuengling Light Lager|MORRIS 1</v>
      </c>
    </row>
    <row r="1010" spans="1:7" x14ac:dyDescent="0.2">
      <c r="A1010" s="2" t="str" cm="1">
        <f t="array" ref="A1010">INDEX('[1]Brand Family Territory (Enc)'!$A$2:$A$296,INT((ROW()-2)/10)+1)</f>
        <v>Yuengling Light Lager</v>
      </c>
      <c r="B1010" s="2" t="str" cm="1">
        <f t="array" ref="B1010">INDEX('Whitelist (Blackout Reverse)'!$B$1:$K$1,MOD(ROW()-2,10)+1)</f>
        <v>MORRIS 2</v>
      </c>
      <c r="C1010" s="2" t="str">
        <f>VLOOKUP(A1010,'[1]Brand Family Territory (Enc)'!$A$2:$B$296,2,FALSE)</f>
        <v>Core Market</v>
      </c>
      <c r="D1010" s="2">
        <f>IF(COUNTIFS('[1]Brand Family Territories (Enc)'!$B$2:$B$62,C1010,'[1]Brand Family Territories (Enc)'!$C$2:$C$62,B1010)&gt;0,1,IF(AND(LEFT(B1010,6)="MORRIS",COUNTIFS('[1]Brand Family Territories (Enc)'!$B$2:$B$62,C1010,'[1]Brand Family Territories (Enc)'!$C$2:$C$62,"Morri")&gt;0),"Unk",0))</f>
        <v>0</v>
      </c>
      <c r="E1010" s="2" t="str">
        <f>IFERROR(INDEX('Blackout Brand Fam Areas (Enc)'!$D$6:$D$998,MATCH(UPPER(A1010)&amp;"|"&amp;UPPER(B1010),'Blackout Brand Fam Areas (Enc)'!$G$6:$G$998,0)),"No Match")</f>
        <v>Inactive</v>
      </c>
      <c r="F1010" s="2" t="str">
        <f t="shared" si="30"/>
        <v>THEM</v>
      </c>
      <c r="G1010" s="2" t="str">
        <f t="shared" si="31"/>
        <v>Yuengling Light Lager|MORRIS 2</v>
      </c>
    </row>
    <row r="1011" spans="1:7" x14ac:dyDescent="0.2">
      <c r="A1011" s="2" t="str" cm="1">
        <f t="array" ref="A1011">INDEX('[1]Brand Family Territory (Enc)'!$A$2:$A$296,INT((ROW()-2)/10)+1)</f>
        <v>Yuengling Light Lager</v>
      </c>
      <c r="B1011" s="2" t="str" cm="1">
        <f t="array" ref="B1011">INDEX('Whitelist (Blackout Reverse)'!$B$1:$K$1,MOD(ROW()-2,10)+1)</f>
        <v>MORRIS 3</v>
      </c>
      <c r="C1011" s="2" t="str">
        <f>VLOOKUP(A1011,'[1]Brand Family Territory (Enc)'!$A$2:$B$296,2,FALSE)</f>
        <v>Core Market</v>
      </c>
      <c r="D1011" s="2">
        <f>IF(COUNTIFS('[1]Brand Family Territories (Enc)'!$B$2:$B$62,C1011,'[1]Brand Family Territories (Enc)'!$C$2:$C$62,B1011)&gt;0,1,IF(AND(LEFT(B1011,6)="MORRIS",COUNTIFS('[1]Brand Family Territories (Enc)'!$B$2:$B$62,C1011,'[1]Brand Family Territories (Enc)'!$C$2:$C$62,"Morri")&gt;0),"Unk",0))</f>
        <v>1</v>
      </c>
      <c r="E1011" s="2" t="str">
        <f>IFERROR(INDEX('Blackout Brand Fam Areas (Enc)'!$D$6:$D$998,MATCH(UPPER(A1011)&amp;"|"&amp;UPPER(B1011),'Blackout Brand Fam Areas (Enc)'!$G$6:$G$998,0)),"No Match")</f>
        <v>No Match</v>
      </c>
      <c r="F1011" s="2" t="str">
        <f t="shared" si="30"/>
        <v>US</v>
      </c>
      <c r="G1011" s="2" t="str">
        <f t="shared" si="31"/>
        <v>Yuengling Light Lager|MORRIS 3</v>
      </c>
    </row>
    <row r="1012" spans="1:7" x14ac:dyDescent="0.2">
      <c r="A1012" s="2" t="str" cm="1">
        <f t="array" ref="A1012">INDEX('[1]Brand Family Territory (Enc)'!$A$2:$A$296,INT((ROW()-2)/10)+1)</f>
        <v>Yuengling Oktoberfest</v>
      </c>
      <c r="B1012" s="2" t="str" cm="1">
        <f t="array" ref="B1012">INDEX('Whitelist (Blackout Reverse)'!$B$1:$K$1,MOD(ROW()-2,10)+1)</f>
        <v>BERGEN</v>
      </c>
      <c r="C1012" s="2" t="str">
        <f>VLOOKUP(A1012,'[1]Brand Family Territory (Enc)'!$A$2:$B$296,2,FALSE)</f>
        <v>Core Market</v>
      </c>
      <c r="D1012" s="2">
        <f>IF(COUNTIFS('[1]Brand Family Territories (Enc)'!$B$2:$B$62,C1012,'[1]Brand Family Territories (Enc)'!$C$2:$C$62,B1012)&gt;0,1,IF(AND(LEFT(B1012,6)="MORRIS",COUNTIFS('[1]Brand Family Territories (Enc)'!$B$2:$B$62,C1012,'[1]Brand Family Territories (Enc)'!$C$2:$C$62,"Morri")&gt;0),"Unk",0))</f>
        <v>1</v>
      </c>
      <c r="E1012" s="2" t="str">
        <f>IFERROR(INDEX('Blackout Brand Fam Areas (Enc)'!$D$6:$D$998,MATCH(UPPER(A1012)&amp;"|"&amp;UPPER(B1012),'Blackout Brand Fam Areas (Enc)'!$G$6:$G$998,0)),"No Match")</f>
        <v>No Match</v>
      </c>
      <c r="F1012" s="2" t="str">
        <f t="shared" si="30"/>
        <v>US</v>
      </c>
      <c r="G1012" s="2" t="str">
        <f t="shared" si="31"/>
        <v>Yuengling Oktoberfest|BERGEN</v>
      </c>
    </row>
    <row r="1013" spans="1:7" x14ac:dyDescent="0.2">
      <c r="A1013" s="2" t="str" cm="1">
        <f t="array" ref="A1013">INDEX('[1]Brand Family Territory (Enc)'!$A$2:$A$296,INT((ROW()-2)/10)+1)</f>
        <v>Yuengling Oktoberfest</v>
      </c>
      <c r="B1013" s="2" t="str" cm="1">
        <f t="array" ref="B1013">INDEX('Whitelist (Blackout Reverse)'!$B$1:$K$1,MOD(ROW()-2,10)+1)</f>
        <v>PASSAIC</v>
      </c>
      <c r="C1013" s="2" t="str">
        <f>VLOOKUP(A1013,'[1]Brand Family Territory (Enc)'!$A$2:$B$296,2,FALSE)</f>
        <v>Core Market</v>
      </c>
      <c r="D1013" s="2">
        <f>IF(COUNTIFS('[1]Brand Family Territories (Enc)'!$B$2:$B$62,C1013,'[1]Brand Family Territories (Enc)'!$C$2:$C$62,B1013)&gt;0,1,IF(AND(LEFT(B1013,6)="MORRIS",COUNTIFS('[1]Brand Family Territories (Enc)'!$B$2:$B$62,C1013,'[1]Brand Family Territories (Enc)'!$C$2:$C$62,"Morri")&gt;0),"Unk",0))</f>
        <v>1</v>
      </c>
      <c r="E1013" s="2" t="str">
        <f>IFERROR(INDEX('Blackout Brand Fam Areas (Enc)'!$D$6:$D$998,MATCH(UPPER(A1013)&amp;"|"&amp;UPPER(B1013),'Blackout Brand Fam Areas (Enc)'!$G$6:$G$998,0)),"No Match")</f>
        <v>No Match</v>
      </c>
      <c r="F1013" s="2" t="str">
        <f t="shared" si="30"/>
        <v>US</v>
      </c>
      <c r="G1013" s="2" t="str">
        <f t="shared" si="31"/>
        <v>Yuengling Oktoberfest|PASSAIC</v>
      </c>
    </row>
    <row r="1014" spans="1:7" x14ac:dyDescent="0.2">
      <c r="A1014" s="2" t="str" cm="1">
        <f t="array" ref="A1014">INDEX('[1]Brand Family Territory (Enc)'!$A$2:$A$296,INT((ROW()-2)/10)+1)</f>
        <v>Yuengling Oktoberfest</v>
      </c>
      <c r="B1014" s="2" t="str" cm="1">
        <f t="array" ref="B1014">INDEX('Whitelist (Blackout Reverse)'!$B$1:$K$1,MOD(ROW()-2,10)+1)</f>
        <v>PASSAIC-FF</v>
      </c>
      <c r="C1014" s="2" t="str">
        <f>VLOOKUP(A1014,'[1]Brand Family Territory (Enc)'!$A$2:$B$296,2,FALSE)</f>
        <v>Core Market</v>
      </c>
      <c r="D1014" s="2">
        <f>IF(COUNTIFS('[1]Brand Family Territories (Enc)'!$B$2:$B$62,C1014,'[1]Brand Family Territories (Enc)'!$C$2:$C$62,B1014)&gt;0,1,IF(AND(LEFT(B1014,6)="MORRIS",COUNTIFS('[1]Brand Family Territories (Enc)'!$B$2:$B$62,C1014,'[1]Brand Family Territories (Enc)'!$C$2:$C$62,"Morri")&gt;0),"Unk",0))</f>
        <v>1</v>
      </c>
      <c r="E1014" s="2" t="str">
        <f>IFERROR(INDEX('Blackout Brand Fam Areas (Enc)'!$D$6:$D$998,MATCH(UPPER(A1014)&amp;"|"&amp;UPPER(B1014),'Blackout Brand Fam Areas (Enc)'!$G$6:$G$998,0)),"No Match")</f>
        <v>No Match</v>
      </c>
      <c r="F1014" s="2" t="str">
        <f t="shared" si="30"/>
        <v>US</v>
      </c>
      <c r="G1014" s="2" t="str">
        <f t="shared" si="31"/>
        <v>Yuengling Oktoberfest|PASSAIC-FF</v>
      </c>
    </row>
    <row r="1015" spans="1:7" x14ac:dyDescent="0.2">
      <c r="A1015" s="2" t="str" cm="1">
        <f t="array" ref="A1015">INDEX('[1]Brand Family Territory (Enc)'!$A$2:$A$296,INT((ROW()-2)/10)+1)</f>
        <v>Yuengling Oktoberfest</v>
      </c>
      <c r="B1015" s="2" t="str" cm="1">
        <f t="array" ref="B1015">INDEX('Whitelist (Blackout Reverse)'!$B$1:$K$1,MOD(ROW()-2,10)+1)</f>
        <v>ESSEX</v>
      </c>
      <c r="C1015" s="2" t="str">
        <f>VLOOKUP(A1015,'[1]Brand Family Territory (Enc)'!$A$2:$B$296,2,FALSE)</f>
        <v>Core Market</v>
      </c>
      <c r="D1015" s="2">
        <f>IF(COUNTIFS('[1]Brand Family Territories (Enc)'!$B$2:$B$62,C1015,'[1]Brand Family Territories (Enc)'!$C$2:$C$62,B1015)&gt;0,1,IF(AND(LEFT(B1015,6)="MORRIS",COUNTIFS('[1]Brand Family Territories (Enc)'!$B$2:$B$62,C1015,'[1]Brand Family Territories (Enc)'!$C$2:$C$62,"Morri")&gt;0),"Unk",0))</f>
        <v>0</v>
      </c>
      <c r="E1015" s="2" t="str">
        <f>IFERROR(INDEX('Blackout Brand Fam Areas (Enc)'!$D$6:$D$998,MATCH(UPPER(A1015)&amp;"|"&amp;UPPER(B1015),'Blackout Brand Fam Areas (Enc)'!$G$6:$G$998,0)),"No Match")</f>
        <v>Inactive</v>
      </c>
      <c r="F1015" s="2" t="str">
        <f t="shared" si="30"/>
        <v>THEM</v>
      </c>
      <c r="G1015" s="2" t="str">
        <f t="shared" si="31"/>
        <v>Yuengling Oktoberfest|ESSEX</v>
      </c>
    </row>
    <row r="1016" spans="1:7" x14ac:dyDescent="0.2">
      <c r="A1016" s="2" t="str" cm="1">
        <f t="array" ref="A1016">INDEX('[1]Brand Family Territory (Enc)'!$A$2:$A$296,INT((ROW()-2)/10)+1)</f>
        <v>Yuengling Oktoberfest</v>
      </c>
      <c r="B1016" s="2" t="str" cm="1">
        <f t="array" ref="B1016">INDEX('Whitelist (Blackout Reverse)'!$B$1:$K$1,MOD(ROW()-2,10)+1)</f>
        <v>HUDSON</v>
      </c>
      <c r="C1016" s="2" t="str">
        <f>VLOOKUP(A1016,'[1]Brand Family Territory (Enc)'!$A$2:$B$296,2,FALSE)</f>
        <v>Core Market</v>
      </c>
      <c r="D1016" s="2">
        <f>IF(COUNTIFS('[1]Brand Family Territories (Enc)'!$B$2:$B$62,C1016,'[1]Brand Family Territories (Enc)'!$C$2:$C$62,B1016)&gt;0,1,IF(AND(LEFT(B1016,6)="MORRIS",COUNTIFS('[1]Brand Family Territories (Enc)'!$B$2:$B$62,C1016,'[1]Brand Family Territories (Enc)'!$C$2:$C$62,"Morri")&gt;0),"Unk",0))</f>
        <v>0</v>
      </c>
      <c r="E1016" s="2" t="str">
        <f>IFERROR(INDEX('Blackout Brand Fam Areas (Enc)'!$D$6:$D$998,MATCH(UPPER(A1016)&amp;"|"&amp;UPPER(B1016),'Blackout Brand Fam Areas (Enc)'!$G$6:$G$998,0)),"No Match")</f>
        <v>Inactive</v>
      </c>
      <c r="F1016" s="2" t="str">
        <f t="shared" si="30"/>
        <v>THEM</v>
      </c>
      <c r="G1016" s="2" t="str">
        <f t="shared" si="31"/>
        <v>Yuengling Oktoberfest|HUDSON</v>
      </c>
    </row>
    <row r="1017" spans="1:7" x14ac:dyDescent="0.2">
      <c r="A1017" s="2" t="str" cm="1">
        <f t="array" ref="A1017">INDEX('[1]Brand Family Territory (Enc)'!$A$2:$A$296,INT((ROW()-2)/10)+1)</f>
        <v>Yuengling Oktoberfest</v>
      </c>
      <c r="B1017" s="2" t="str" cm="1">
        <f t="array" ref="B1017">INDEX('Whitelist (Blackout Reverse)'!$B$1:$K$1,MOD(ROW()-2,10)+1)</f>
        <v>UNION</v>
      </c>
      <c r="C1017" s="2" t="str">
        <f>VLOOKUP(A1017,'[1]Brand Family Territory (Enc)'!$A$2:$B$296,2,FALSE)</f>
        <v>Core Market</v>
      </c>
      <c r="D1017" s="2">
        <f>IF(COUNTIFS('[1]Brand Family Territories (Enc)'!$B$2:$B$62,C1017,'[1]Brand Family Territories (Enc)'!$C$2:$C$62,B1017)&gt;0,1,IF(AND(LEFT(B1017,6)="MORRIS",COUNTIFS('[1]Brand Family Territories (Enc)'!$B$2:$B$62,C1017,'[1]Brand Family Territories (Enc)'!$C$2:$C$62,"Morri")&gt;0),"Unk",0))</f>
        <v>0</v>
      </c>
      <c r="E1017" s="2" t="str">
        <f>IFERROR(INDEX('Blackout Brand Fam Areas (Enc)'!$D$6:$D$998,MATCH(UPPER(A1017)&amp;"|"&amp;UPPER(B1017),'Blackout Brand Fam Areas (Enc)'!$G$6:$G$998,0)),"No Match")</f>
        <v>Inactive</v>
      </c>
      <c r="F1017" s="2" t="str">
        <f t="shared" si="30"/>
        <v>THEM</v>
      </c>
      <c r="G1017" s="2" t="str">
        <f t="shared" si="31"/>
        <v>Yuengling Oktoberfest|UNION</v>
      </c>
    </row>
    <row r="1018" spans="1:7" x14ac:dyDescent="0.2">
      <c r="A1018" s="2" t="str" cm="1">
        <f t="array" ref="A1018">INDEX('[1]Brand Family Territory (Enc)'!$A$2:$A$296,INT((ROW()-2)/10)+1)</f>
        <v>Yuengling Oktoberfest</v>
      </c>
      <c r="B1018" s="2" t="str" cm="1">
        <f t="array" ref="B1018">INDEX('Whitelist (Blackout Reverse)'!$B$1:$K$1,MOD(ROW()-2,10)+1)</f>
        <v>SUSSEX</v>
      </c>
      <c r="C1018" s="2" t="str">
        <f>VLOOKUP(A1018,'[1]Brand Family Territory (Enc)'!$A$2:$B$296,2,FALSE)</f>
        <v>Core Market</v>
      </c>
      <c r="D1018" s="2">
        <f>IF(COUNTIFS('[1]Brand Family Territories (Enc)'!$B$2:$B$62,C1018,'[1]Brand Family Territories (Enc)'!$C$2:$C$62,B1018)&gt;0,1,IF(AND(LEFT(B1018,6)="MORRIS",COUNTIFS('[1]Brand Family Territories (Enc)'!$B$2:$B$62,C1018,'[1]Brand Family Territories (Enc)'!$C$2:$C$62,"Morri")&gt;0),"Unk",0))</f>
        <v>1</v>
      </c>
      <c r="E1018" s="2" t="str">
        <f>IFERROR(INDEX('Blackout Brand Fam Areas (Enc)'!$D$6:$D$998,MATCH(UPPER(A1018)&amp;"|"&amp;UPPER(B1018),'Blackout Brand Fam Areas (Enc)'!$G$6:$G$998,0)),"No Match")</f>
        <v>No Match</v>
      </c>
      <c r="F1018" s="2" t="str">
        <f t="shared" si="30"/>
        <v>US</v>
      </c>
      <c r="G1018" s="2" t="str">
        <f t="shared" si="31"/>
        <v>Yuengling Oktoberfest|SUSSEX</v>
      </c>
    </row>
    <row r="1019" spans="1:7" x14ac:dyDescent="0.2">
      <c r="A1019" s="2" t="str" cm="1">
        <f t="array" ref="A1019">INDEX('[1]Brand Family Territory (Enc)'!$A$2:$A$296,INT((ROW()-2)/10)+1)</f>
        <v>Yuengling Oktoberfest</v>
      </c>
      <c r="B1019" s="2" t="str" cm="1">
        <f t="array" ref="B1019">INDEX('Whitelist (Blackout Reverse)'!$B$1:$K$1,MOD(ROW()-2,10)+1)</f>
        <v>MORRIS 1</v>
      </c>
      <c r="C1019" s="2" t="str">
        <f>VLOOKUP(A1019,'[1]Brand Family Territory (Enc)'!$A$2:$B$296,2,FALSE)</f>
        <v>Core Market</v>
      </c>
      <c r="D1019" s="2">
        <f>IF(COUNTIFS('[1]Brand Family Territories (Enc)'!$B$2:$B$62,C1019,'[1]Brand Family Territories (Enc)'!$C$2:$C$62,B1019)&gt;0,1,IF(AND(LEFT(B1019,6)="MORRIS",COUNTIFS('[1]Brand Family Territories (Enc)'!$B$2:$B$62,C1019,'[1]Brand Family Territories (Enc)'!$C$2:$C$62,"Morri")&gt;0),"Unk",0))</f>
        <v>1</v>
      </c>
      <c r="E1019" s="2" t="str">
        <f>IFERROR(INDEX('Blackout Brand Fam Areas (Enc)'!$D$6:$D$998,MATCH(UPPER(A1019)&amp;"|"&amp;UPPER(B1019),'Blackout Brand Fam Areas (Enc)'!$G$6:$G$998,0)),"No Match")</f>
        <v>No Match</v>
      </c>
      <c r="F1019" s="2" t="str">
        <f t="shared" si="30"/>
        <v>US</v>
      </c>
      <c r="G1019" s="2" t="str">
        <f t="shared" si="31"/>
        <v>Yuengling Oktoberfest|MORRIS 1</v>
      </c>
    </row>
    <row r="1020" spans="1:7" x14ac:dyDescent="0.2">
      <c r="A1020" s="2" t="str" cm="1">
        <f t="array" ref="A1020">INDEX('[1]Brand Family Territory (Enc)'!$A$2:$A$296,INT((ROW()-2)/10)+1)</f>
        <v>Yuengling Oktoberfest</v>
      </c>
      <c r="B1020" s="2" t="str" cm="1">
        <f t="array" ref="B1020">INDEX('Whitelist (Blackout Reverse)'!$B$1:$K$1,MOD(ROW()-2,10)+1)</f>
        <v>MORRIS 2</v>
      </c>
      <c r="C1020" s="2" t="str">
        <f>VLOOKUP(A1020,'[1]Brand Family Territory (Enc)'!$A$2:$B$296,2,FALSE)</f>
        <v>Core Market</v>
      </c>
      <c r="D1020" s="2">
        <f>IF(COUNTIFS('[1]Brand Family Territories (Enc)'!$B$2:$B$62,C1020,'[1]Brand Family Territories (Enc)'!$C$2:$C$62,B1020)&gt;0,1,IF(AND(LEFT(B1020,6)="MORRIS",COUNTIFS('[1]Brand Family Territories (Enc)'!$B$2:$B$62,C1020,'[1]Brand Family Territories (Enc)'!$C$2:$C$62,"Morri")&gt;0),"Unk",0))</f>
        <v>0</v>
      </c>
      <c r="E1020" s="2" t="str">
        <f>IFERROR(INDEX('Blackout Brand Fam Areas (Enc)'!$D$6:$D$998,MATCH(UPPER(A1020)&amp;"|"&amp;UPPER(B1020),'Blackout Brand Fam Areas (Enc)'!$G$6:$G$998,0)),"No Match")</f>
        <v>Inactive</v>
      </c>
      <c r="F1020" s="2" t="str">
        <f t="shared" si="30"/>
        <v>THEM</v>
      </c>
      <c r="G1020" s="2" t="str">
        <f t="shared" si="31"/>
        <v>Yuengling Oktoberfest|MORRIS 2</v>
      </c>
    </row>
    <row r="1021" spans="1:7" x14ac:dyDescent="0.2">
      <c r="A1021" s="2" t="str" cm="1">
        <f t="array" ref="A1021">INDEX('[1]Brand Family Territory (Enc)'!$A$2:$A$296,INT((ROW()-2)/10)+1)</f>
        <v>Yuengling Oktoberfest</v>
      </c>
      <c r="B1021" s="2" t="str" cm="1">
        <f t="array" ref="B1021">INDEX('Whitelist (Blackout Reverse)'!$B$1:$K$1,MOD(ROW()-2,10)+1)</f>
        <v>MORRIS 3</v>
      </c>
      <c r="C1021" s="2" t="str">
        <f>VLOOKUP(A1021,'[1]Brand Family Territory (Enc)'!$A$2:$B$296,2,FALSE)</f>
        <v>Core Market</v>
      </c>
      <c r="D1021" s="2">
        <f>IF(COUNTIFS('[1]Brand Family Territories (Enc)'!$B$2:$B$62,C1021,'[1]Brand Family Territories (Enc)'!$C$2:$C$62,B1021)&gt;0,1,IF(AND(LEFT(B1021,6)="MORRIS",COUNTIFS('[1]Brand Family Territories (Enc)'!$B$2:$B$62,C1021,'[1]Brand Family Territories (Enc)'!$C$2:$C$62,"Morri")&gt;0),"Unk",0))</f>
        <v>1</v>
      </c>
      <c r="E1021" s="2" t="str">
        <f>IFERROR(INDEX('Blackout Brand Fam Areas (Enc)'!$D$6:$D$998,MATCH(UPPER(A1021)&amp;"|"&amp;UPPER(B1021),'Blackout Brand Fam Areas (Enc)'!$G$6:$G$998,0)),"No Match")</f>
        <v>No Match</v>
      </c>
      <c r="F1021" s="2" t="str">
        <f t="shared" si="30"/>
        <v>US</v>
      </c>
      <c r="G1021" s="2" t="str">
        <f t="shared" si="31"/>
        <v>Yuengling Oktoberfest|MORRIS 3</v>
      </c>
    </row>
    <row r="1022" spans="1:7" x14ac:dyDescent="0.2">
      <c r="A1022" s="2" t="str" cm="1">
        <f t="array" ref="A1022">INDEX('[1]Brand Family Territory (Enc)'!$A$2:$A$296,INT((ROW()-2)/10)+1)</f>
        <v>Carta Blanca</v>
      </c>
      <c r="B1022" s="2" t="str" cm="1">
        <f t="array" ref="B1022">INDEX('Whitelist (Blackout Reverse)'!$B$1:$K$1,MOD(ROW()-2,10)+1)</f>
        <v>BERGEN</v>
      </c>
      <c r="C1022" s="2" t="str">
        <f>VLOOKUP(A1022,'[1]Brand Family Territory (Enc)'!$A$2:$B$296,2,FALSE)</f>
        <v>Bergen &amp; Passaic</v>
      </c>
      <c r="D1022" s="2">
        <f>IF(COUNTIFS('[1]Brand Family Territories (Enc)'!$B$2:$B$62,C1022,'[1]Brand Family Territories (Enc)'!$C$2:$C$62,B1022)&gt;0,1,IF(AND(LEFT(B1022,6)="MORRIS",COUNTIFS('[1]Brand Family Territories (Enc)'!$B$2:$B$62,C1022,'[1]Brand Family Territories (Enc)'!$C$2:$C$62,"Morri")&gt;0),"Unk",0))</f>
        <v>1</v>
      </c>
      <c r="E1022" s="2" t="str">
        <f>IFERROR(INDEX('Blackout Brand Fam Areas (Enc)'!$D$6:$D$998,MATCH(UPPER(A1022)&amp;"|"&amp;UPPER(B1022),'Blackout Brand Fam Areas (Enc)'!$G$6:$G$998,0)),"No Match")</f>
        <v>No Match</v>
      </c>
      <c r="F1022" s="2" t="str">
        <f t="shared" si="30"/>
        <v>US</v>
      </c>
      <c r="G1022" s="2" t="str">
        <f t="shared" si="31"/>
        <v>Carta Blanca|BERGEN</v>
      </c>
    </row>
    <row r="1023" spans="1:7" x14ac:dyDescent="0.2">
      <c r="A1023" s="2" t="str" cm="1">
        <f t="array" ref="A1023">INDEX('[1]Brand Family Territory (Enc)'!$A$2:$A$296,INT((ROW()-2)/10)+1)</f>
        <v>Carta Blanca</v>
      </c>
      <c r="B1023" s="2" t="str" cm="1">
        <f t="array" ref="B1023">INDEX('Whitelist (Blackout Reverse)'!$B$1:$K$1,MOD(ROW()-2,10)+1)</f>
        <v>PASSAIC</v>
      </c>
      <c r="C1023" s="2" t="str">
        <f>VLOOKUP(A1023,'[1]Brand Family Territory (Enc)'!$A$2:$B$296,2,FALSE)</f>
        <v>Bergen &amp; Passaic</v>
      </c>
      <c r="D1023" s="2">
        <f>IF(COUNTIFS('[1]Brand Family Territories (Enc)'!$B$2:$B$62,C1023,'[1]Brand Family Territories (Enc)'!$C$2:$C$62,B1023)&gt;0,1,IF(AND(LEFT(B1023,6)="MORRIS",COUNTIFS('[1]Brand Family Territories (Enc)'!$B$2:$B$62,C1023,'[1]Brand Family Territories (Enc)'!$C$2:$C$62,"Morri")&gt;0),"Unk",0))</f>
        <v>1</v>
      </c>
      <c r="E1023" s="2" t="str">
        <f>IFERROR(INDEX('Blackout Brand Fam Areas (Enc)'!$D$6:$D$998,MATCH(UPPER(A1023)&amp;"|"&amp;UPPER(B1023),'Blackout Brand Fam Areas (Enc)'!$G$6:$G$998,0)),"No Match")</f>
        <v>No Match</v>
      </c>
      <c r="F1023" s="2" t="str">
        <f t="shared" si="30"/>
        <v>US</v>
      </c>
      <c r="G1023" s="2" t="str">
        <f t="shared" si="31"/>
        <v>Carta Blanca|PASSAIC</v>
      </c>
    </row>
    <row r="1024" spans="1:7" x14ac:dyDescent="0.2">
      <c r="A1024" s="2" t="str" cm="1">
        <f t="array" ref="A1024">INDEX('[1]Brand Family Territory (Enc)'!$A$2:$A$296,INT((ROW()-2)/10)+1)</f>
        <v>Carta Blanca</v>
      </c>
      <c r="B1024" s="2" t="str" cm="1">
        <f t="array" ref="B1024">INDEX('Whitelist (Blackout Reverse)'!$B$1:$K$1,MOD(ROW()-2,10)+1)</f>
        <v>PASSAIC-FF</v>
      </c>
      <c r="C1024" s="2" t="str">
        <f>VLOOKUP(A1024,'[1]Brand Family Territory (Enc)'!$A$2:$B$296,2,FALSE)</f>
        <v>Bergen &amp; Passaic</v>
      </c>
      <c r="D1024" s="2">
        <f>IF(COUNTIFS('[1]Brand Family Territories (Enc)'!$B$2:$B$62,C1024,'[1]Brand Family Territories (Enc)'!$C$2:$C$62,B1024)&gt;0,1,IF(AND(LEFT(B1024,6)="MORRIS",COUNTIFS('[1]Brand Family Territories (Enc)'!$B$2:$B$62,C1024,'[1]Brand Family Territories (Enc)'!$C$2:$C$62,"Morri")&gt;0),"Unk",0))</f>
        <v>1</v>
      </c>
      <c r="E1024" s="2" t="str">
        <f>IFERROR(INDEX('Blackout Brand Fam Areas (Enc)'!$D$6:$D$998,MATCH(UPPER(A1024)&amp;"|"&amp;UPPER(B1024),'Blackout Brand Fam Areas (Enc)'!$G$6:$G$998,0)),"No Match")</f>
        <v>No Match</v>
      </c>
      <c r="F1024" s="2" t="str">
        <f t="shared" si="30"/>
        <v>US</v>
      </c>
      <c r="G1024" s="2" t="str">
        <f t="shared" si="31"/>
        <v>Carta Blanca|PASSAIC-FF</v>
      </c>
    </row>
    <row r="1025" spans="1:7" x14ac:dyDescent="0.2">
      <c r="A1025" s="2" t="str" cm="1">
        <f t="array" ref="A1025">INDEX('[1]Brand Family Territory (Enc)'!$A$2:$A$296,INT((ROW()-2)/10)+1)</f>
        <v>Carta Blanca</v>
      </c>
      <c r="B1025" s="2" t="str" cm="1">
        <f t="array" ref="B1025">INDEX('Whitelist (Blackout Reverse)'!$B$1:$K$1,MOD(ROW()-2,10)+1)</f>
        <v>ESSEX</v>
      </c>
      <c r="C1025" s="2" t="str">
        <f>VLOOKUP(A1025,'[1]Brand Family Territory (Enc)'!$A$2:$B$296,2,FALSE)</f>
        <v>Bergen &amp; Passaic</v>
      </c>
      <c r="D1025" s="2">
        <f>IF(COUNTIFS('[1]Brand Family Territories (Enc)'!$B$2:$B$62,C1025,'[1]Brand Family Territories (Enc)'!$C$2:$C$62,B1025)&gt;0,1,IF(AND(LEFT(B1025,6)="MORRIS",COUNTIFS('[1]Brand Family Territories (Enc)'!$B$2:$B$62,C1025,'[1]Brand Family Territories (Enc)'!$C$2:$C$62,"Morri")&gt;0),"Unk",0))</f>
        <v>0</v>
      </c>
      <c r="E1025" s="2" t="str">
        <f>IFERROR(INDEX('Blackout Brand Fam Areas (Enc)'!$D$6:$D$998,MATCH(UPPER(A1025)&amp;"|"&amp;UPPER(B1025),'Blackout Brand Fam Areas (Enc)'!$G$6:$G$998,0)),"No Match")</f>
        <v>Inactive</v>
      </c>
      <c r="F1025" s="2" t="str">
        <f t="shared" si="30"/>
        <v>THEM</v>
      </c>
      <c r="G1025" s="2" t="str">
        <f t="shared" si="31"/>
        <v>Carta Blanca|ESSEX</v>
      </c>
    </row>
    <row r="1026" spans="1:7" x14ac:dyDescent="0.2">
      <c r="A1026" s="2" t="str" cm="1">
        <f t="array" ref="A1026">INDEX('[1]Brand Family Territory (Enc)'!$A$2:$A$296,INT((ROW()-2)/10)+1)</f>
        <v>Carta Blanca</v>
      </c>
      <c r="B1026" s="2" t="str" cm="1">
        <f t="array" ref="B1026">INDEX('Whitelist (Blackout Reverse)'!$B$1:$K$1,MOD(ROW()-2,10)+1)</f>
        <v>HUDSON</v>
      </c>
      <c r="C1026" s="2" t="str">
        <f>VLOOKUP(A1026,'[1]Brand Family Territory (Enc)'!$A$2:$B$296,2,FALSE)</f>
        <v>Bergen &amp; Passaic</v>
      </c>
      <c r="D1026" s="2">
        <f>IF(COUNTIFS('[1]Brand Family Territories (Enc)'!$B$2:$B$62,C1026,'[1]Brand Family Territories (Enc)'!$C$2:$C$62,B1026)&gt;0,1,IF(AND(LEFT(B1026,6)="MORRIS",COUNTIFS('[1]Brand Family Territories (Enc)'!$B$2:$B$62,C1026,'[1]Brand Family Territories (Enc)'!$C$2:$C$62,"Morri")&gt;0),"Unk",0))</f>
        <v>0</v>
      </c>
      <c r="E1026" s="2" t="str">
        <f>IFERROR(INDEX('Blackout Brand Fam Areas (Enc)'!$D$6:$D$998,MATCH(UPPER(A1026)&amp;"|"&amp;UPPER(B1026),'Blackout Brand Fam Areas (Enc)'!$G$6:$G$998,0)),"No Match")</f>
        <v>Inactive</v>
      </c>
      <c r="F1026" s="2" t="str">
        <f t="shared" si="30"/>
        <v>THEM</v>
      </c>
      <c r="G1026" s="2" t="str">
        <f t="shared" si="31"/>
        <v>Carta Blanca|HUDSON</v>
      </c>
    </row>
    <row r="1027" spans="1:7" x14ac:dyDescent="0.2">
      <c r="A1027" s="2" t="str" cm="1">
        <f t="array" ref="A1027">INDEX('[1]Brand Family Territory (Enc)'!$A$2:$A$296,INT((ROW()-2)/10)+1)</f>
        <v>Carta Blanca</v>
      </c>
      <c r="B1027" s="2" t="str" cm="1">
        <f t="array" ref="B1027">INDEX('Whitelist (Blackout Reverse)'!$B$1:$K$1,MOD(ROW()-2,10)+1)</f>
        <v>UNION</v>
      </c>
      <c r="C1027" s="2" t="str">
        <f>VLOOKUP(A1027,'[1]Brand Family Territory (Enc)'!$A$2:$B$296,2,FALSE)</f>
        <v>Bergen &amp; Passaic</v>
      </c>
      <c r="D1027" s="2">
        <f>IF(COUNTIFS('[1]Brand Family Territories (Enc)'!$B$2:$B$62,C1027,'[1]Brand Family Territories (Enc)'!$C$2:$C$62,B1027)&gt;0,1,IF(AND(LEFT(B1027,6)="MORRIS",COUNTIFS('[1]Brand Family Territories (Enc)'!$B$2:$B$62,C1027,'[1]Brand Family Territories (Enc)'!$C$2:$C$62,"Morri")&gt;0),"Unk",0))</f>
        <v>0</v>
      </c>
      <c r="E1027" s="2" t="str">
        <f>IFERROR(INDEX('Blackout Brand Fam Areas (Enc)'!$D$6:$D$998,MATCH(UPPER(A1027)&amp;"|"&amp;UPPER(B1027),'Blackout Brand Fam Areas (Enc)'!$G$6:$G$998,0)),"No Match")</f>
        <v>Inactive</v>
      </c>
      <c r="F1027" s="2" t="str">
        <f t="shared" ref="F1027:F1090" si="32">IF(D1027="Unk","Ambiguous (Source Truncated)",IF(E1027="Inactive","THEM",IF(D1027=1,"US",IF(D1027="N/A","No Territory Data","THEM"))))</f>
        <v>THEM</v>
      </c>
      <c r="G1027" s="2" t="str">
        <f t="shared" ref="G1027:G1090" si="33">A1027&amp;"|"&amp;B1027</f>
        <v>Carta Blanca|UNION</v>
      </c>
    </row>
    <row r="1028" spans="1:7" x14ac:dyDescent="0.2">
      <c r="A1028" s="2" t="str" cm="1">
        <f t="array" ref="A1028">INDEX('[1]Brand Family Territory (Enc)'!$A$2:$A$296,INT((ROW()-2)/10)+1)</f>
        <v>Carta Blanca</v>
      </c>
      <c r="B1028" s="2" t="str" cm="1">
        <f t="array" ref="B1028">INDEX('Whitelist (Blackout Reverse)'!$B$1:$K$1,MOD(ROW()-2,10)+1)</f>
        <v>SUSSEX</v>
      </c>
      <c r="C1028" s="2" t="str">
        <f>VLOOKUP(A1028,'[1]Brand Family Territory (Enc)'!$A$2:$B$296,2,FALSE)</f>
        <v>Bergen &amp; Passaic</v>
      </c>
      <c r="D1028" s="2">
        <f>IF(COUNTIFS('[1]Brand Family Territories (Enc)'!$B$2:$B$62,C1028,'[1]Brand Family Territories (Enc)'!$C$2:$C$62,B1028)&gt;0,1,IF(AND(LEFT(B1028,6)="MORRIS",COUNTIFS('[1]Brand Family Territories (Enc)'!$B$2:$B$62,C1028,'[1]Brand Family Territories (Enc)'!$C$2:$C$62,"Morri")&gt;0),"Unk",0))</f>
        <v>0</v>
      </c>
      <c r="E1028" s="2" t="str">
        <f>IFERROR(INDEX('Blackout Brand Fam Areas (Enc)'!$D$6:$D$998,MATCH(UPPER(A1028)&amp;"|"&amp;UPPER(B1028),'Blackout Brand Fam Areas (Enc)'!$G$6:$G$998,0)),"No Match")</f>
        <v>Inactive</v>
      </c>
      <c r="F1028" s="2" t="str">
        <f t="shared" si="32"/>
        <v>THEM</v>
      </c>
      <c r="G1028" s="2" t="str">
        <f t="shared" si="33"/>
        <v>Carta Blanca|SUSSEX</v>
      </c>
    </row>
    <row r="1029" spans="1:7" x14ac:dyDescent="0.2">
      <c r="A1029" s="2" t="str" cm="1">
        <f t="array" ref="A1029">INDEX('[1]Brand Family Territory (Enc)'!$A$2:$A$296,INT((ROW()-2)/10)+1)</f>
        <v>Carta Blanca</v>
      </c>
      <c r="B1029" s="2" t="str" cm="1">
        <f t="array" ref="B1029">INDEX('Whitelist (Blackout Reverse)'!$B$1:$K$1,MOD(ROW()-2,10)+1)</f>
        <v>MORRIS 1</v>
      </c>
      <c r="C1029" s="2" t="str">
        <f>VLOOKUP(A1029,'[1]Brand Family Territory (Enc)'!$A$2:$B$296,2,FALSE)</f>
        <v>Bergen &amp; Passaic</v>
      </c>
      <c r="D1029" s="2">
        <f>IF(COUNTIFS('[1]Brand Family Territories (Enc)'!$B$2:$B$62,C1029,'[1]Brand Family Territories (Enc)'!$C$2:$C$62,B1029)&gt;0,1,IF(AND(LEFT(B1029,6)="MORRIS",COUNTIFS('[1]Brand Family Territories (Enc)'!$B$2:$B$62,C1029,'[1]Brand Family Territories (Enc)'!$C$2:$C$62,"Morri")&gt;0),"Unk",0))</f>
        <v>0</v>
      </c>
      <c r="E1029" s="2" t="str">
        <f>IFERROR(INDEX('Blackout Brand Fam Areas (Enc)'!$D$6:$D$998,MATCH(UPPER(A1029)&amp;"|"&amp;UPPER(B1029),'Blackout Brand Fam Areas (Enc)'!$G$6:$G$998,0)),"No Match")</f>
        <v>Inactive</v>
      </c>
      <c r="F1029" s="2" t="str">
        <f t="shared" si="32"/>
        <v>THEM</v>
      </c>
      <c r="G1029" s="2" t="str">
        <f t="shared" si="33"/>
        <v>Carta Blanca|MORRIS 1</v>
      </c>
    </row>
    <row r="1030" spans="1:7" x14ac:dyDescent="0.2">
      <c r="A1030" s="2" t="str" cm="1">
        <f t="array" ref="A1030">INDEX('[1]Brand Family Territory (Enc)'!$A$2:$A$296,INT((ROW()-2)/10)+1)</f>
        <v>Carta Blanca</v>
      </c>
      <c r="B1030" s="2" t="str" cm="1">
        <f t="array" ref="B1030">INDEX('Whitelist (Blackout Reverse)'!$B$1:$K$1,MOD(ROW()-2,10)+1)</f>
        <v>MORRIS 2</v>
      </c>
      <c r="C1030" s="2" t="str">
        <f>VLOOKUP(A1030,'[1]Brand Family Territory (Enc)'!$A$2:$B$296,2,FALSE)</f>
        <v>Bergen &amp; Passaic</v>
      </c>
      <c r="D1030" s="2">
        <f>IF(COUNTIFS('[1]Brand Family Territories (Enc)'!$B$2:$B$62,C1030,'[1]Brand Family Territories (Enc)'!$C$2:$C$62,B1030)&gt;0,1,IF(AND(LEFT(B1030,6)="MORRIS",COUNTIFS('[1]Brand Family Territories (Enc)'!$B$2:$B$62,C1030,'[1]Brand Family Territories (Enc)'!$C$2:$C$62,"Morri")&gt;0),"Unk",0))</f>
        <v>0</v>
      </c>
      <c r="E1030" s="2" t="str">
        <f>IFERROR(INDEX('Blackout Brand Fam Areas (Enc)'!$D$6:$D$998,MATCH(UPPER(A1030)&amp;"|"&amp;UPPER(B1030),'Blackout Brand Fam Areas (Enc)'!$G$6:$G$998,0)),"No Match")</f>
        <v>Inactive</v>
      </c>
      <c r="F1030" s="2" t="str">
        <f t="shared" si="32"/>
        <v>THEM</v>
      </c>
      <c r="G1030" s="2" t="str">
        <f t="shared" si="33"/>
        <v>Carta Blanca|MORRIS 2</v>
      </c>
    </row>
    <row r="1031" spans="1:7" x14ac:dyDescent="0.2">
      <c r="A1031" s="2" t="str" cm="1">
        <f t="array" ref="A1031">INDEX('[1]Brand Family Territory (Enc)'!$A$2:$A$296,INT((ROW()-2)/10)+1)</f>
        <v>Carta Blanca</v>
      </c>
      <c r="B1031" s="2" t="str" cm="1">
        <f t="array" ref="B1031">INDEX('Whitelist (Blackout Reverse)'!$B$1:$K$1,MOD(ROW()-2,10)+1)</f>
        <v>MORRIS 3</v>
      </c>
      <c r="C1031" s="2" t="str">
        <f>VLOOKUP(A1031,'[1]Brand Family Territory (Enc)'!$A$2:$B$296,2,FALSE)</f>
        <v>Bergen &amp; Passaic</v>
      </c>
      <c r="D1031" s="2">
        <f>IF(COUNTIFS('[1]Brand Family Territories (Enc)'!$B$2:$B$62,C1031,'[1]Brand Family Territories (Enc)'!$C$2:$C$62,B1031)&gt;0,1,IF(AND(LEFT(B1031,6)="MORRIS",COUNTIFS('[1]Brand Family Territories (Enc)'!$B$2:$B$62,C1031,'[1]Brand Family Territories (Enc)'!$C$2:$C$62,"Morri")&gt;0),"Unk",0))</f>
        <v>0</v>
      </c>
      <c r="E1031" s="2" t="str">
        <f>IFERROR(INDEX('Blackout Brand Fam Areas (Enc)'!$D$6:$D$998,MATCH(UPPER(A1031)&amp;"|"&amp;UPPER(B1031),'Blackout Brand Fam Areas (Enc)'!$G$6:$G$998,0)),"No Match")</f>
        <v>Inactive</v>
      </c>
      <c r="F1031" s="2" t="str">
        <f t="shared" si="32"/>
        <v>THEM</v>
      </c>
      <c r="G1031" s="2" t="str">
        <f t="shared" si="33"/>
        <v>Carta Blanca|MORRIS 3</v>
      </c>
    </row>
    <row r="1032" spans="1:7" x14ac:dyDescent="0.2">
      <c r="A1032" s="2" t="str" cm="1">
        <f t="array" ref="A1032">INDEX('[1]Brand Family Territory (Enc)'!$A$2:$A$296,INT((ROW()-2)/10)+1)</f>
        <v>Dos Equis</v>
      </c>
      <c r="B1032" s="2" t="str" cm="1">
        <f t="array" ref="B1032">INDEX('Whitelist (Blackout Reverse)'!$B$1:$K$1,MOD(ROW()-2,10)+1)</f>
        <v>BERGEN</v>
      </c>
      <c r="C1032" s="2" t="str">
        <f>VLOOKUP(A1032,'[1]Brand Family Territory (Enc)'!$A$2:$B$296,2,FALSE)</f>
        <v>Bergen &amp; Passaic</v>
      </c>
      <c r="D1032" s="2">
        <f>IF(COUNTIFS('[1]Brand Family Territories (Enc)'!$B$2:$B$62,C1032,'[1]Brand Family Territories (Enc)'!$C$2:$C$62,B1032)&gt;0,1,IF(AND(LEFT(B1032,6)="MORRIS",COUNTIFS('[1]Brand Family Territories (Enc)'!$B$2:$B$62,C1032,'[1]Brand Family Territories (Enc)'!$C$2:$C$62,"Morri")&gt;0),"Unk",0))</f>
        <v>1</v>
      </c>
      <c r="E1032" s="2" t="str">
        <f>IFERROR(INDEX('Blackout Brand Fam Areas (Enc)'!$D$6:$D$998,MATCH(UPPER(A1032)&amp;"|"&amp;UPPER(B1032),'Blackout Brand Fam Areas (Enc)'!$G$6:$G$998,0)),"No Match")</f>
        <v>No Match</v>
      </c>
      <c r="F1032" s="2" t="str">
        <f t="shared" si="32"/>
        <v>US</v>
      </c>
      <c r="G1032" s="2" t="str">
        <f t="shared" si="33"/>
        <v>Dos Equis|BERGEN</v>
      </c>
    </row>
    <row r="1033" spans="1:7" x14ac:dyDescent="0.2">
      <c r="A1033" s="2" t="str" cm="1">
        <f t="array" ref="A1033">INDEX('[1]Brand Family Territory (Enc)'!$A$2:$A$296,INT((ROW()-2)/10)+1)</f>
        <v>Dos Equis</v>
      </c>
      <c r="B1033" s="2" t="str" cm="1">
        <f t="array" ref="B1033">INDEX('Whitelist (Blackout Reverse)'!$B$1:$K$1,MOD(ROW()-2,10)+1)</f>
        <v>PASSAIC</v>
      </c>
      <c r="C1033" s="2" t="str">
        <f>VLOOKUP(A1033,'[1]Brand Family Territory (Enc)'!$A$2:$B$296,2,FALSE)</f>
        <v>Bergen &amp; Passaic</v>
      </c>
      <c r="D1033" s="2">
        <f>IF(COUNTIFS('[1]Brand Family Territories (Enc)'!$B$2:$B$62,C1033,'[1]Brand Family Territories (Enc)'!$C$2:$C$62,B1033)&gt;0,1,IF(AND(LEFT(B1033,6)="MORRIS",COUNTIFS('[1]Brand Family Territories (Enc)'!$B$2:$B$62,C1033,'[1]Brand Family Territories (Enc)'!$C$2:$C$62,"Morri")&gt;0),"Unk",0))</f>
        <v>1</v>
      </c>
      <c r="E1033" s="2" t="str">
        <f>IFERROR(INDEX('Blackout Brand Fam Areas (Enc)'!$D$6:$D$998,MATCH(UPPER(A1033)&amp;"|"&amp;UPPER(B1033),'Blackout Brand Fam Areas (Enc)'!$G$6:$G$998,0)),"No Match")</f>
        <v>No Match</v>
      </c>
      <c r="F1033" s="2" t="str">
        <f t="shared" si="32"/>
        <v>US</v>
      </c>
      <c r="G1033" s="2" t="str">
        <f t="shared" si="33"/>
        <v>Dos Equis|PASSAIC</v>
      </c>
    </row>
    <row r="1034" spans="1:7" x14ac:dyDescent="0.2">
      <c r="A1034" s="2" t="str" cm="1">
        <f t="array" ref="A1034">INDEX('[1]Brand Family Territory (Enc)'!$A$2:$A$296,INT((ROW()-2)/10)+1)</f>
        <v>Dos Equis</v>
      </c>
      <c r="B1034" s="2" t="str" cm="1">
        <f t="array" ref="B1034">INDEX('Whitelist (Blackout Reverse)'!$B$1:$K$1,MOD(ROW()-2,10)+1)</f>
        <v>PASSAIC-FF</v>
      </c>
      <c r="C1034" s="2" t="str">
        <f>VLOOKUP(A1034,'[1]Brand Family Territory (Enc)'!$A$2:$B$296,2,FALSE)</f>
        <v>Bergen &amp; Passaic</v>
      </c>
      <c r="D1034" s="2">
        <f>IF(COUNTIFS('[1]Brand Family Territories (Enc)'!$B$2:$B$62,C1034,'[1]Brand Family Territories (Enc)'!$C$2:$C$62,B1034)&gt;0,1,IF(AND(LEFT(B1034,6)="MORRIS",COUNTIFS('[1]Brand Family Territories (Enc)'!$B$2:$B$62,C1034,'[1]Brand Family Territories (Enc)'!$C$2:$C$62,"Morri")&gt;0),"Unk",0))</f>
        <v>1</v>
      </c>
      <c r="E1034" s="2" t="str">
        <f>IFERROR(INDEX('Blackout Brand Fam Areas (Enc)'!$D$6:$D$998,MATCH(UPPER(A1034)&amp;"|"&amp;UPPER(B1034),'Blackout Brand Fam Areas (Enc)'!$G$6:$G$998,0)),"No Match")</f>
        <v>No Match</v>
      </c>
      <c r="F1034" s="2" t="str">
        <f t="shared" si="32"/>
        <v>US</v>
      </c>
      <c r="G1034" s="2" t="str">
        <f t="shared" si="33"/>
        <v>Dos Equis|PASSAIC-FF</v>
      </c>
    </row>
    <row r="1035" spans="1:7" x14ac:dyDescent="0.2">
      <c r="A1035" s="2" t="str" cm="1">
        <f t="array" ref="A1035">INDEX('[1]Brand Family Territory (Enc)'!$A$2:$A$296,INT((ROW()-2)/10)+1)</f>
        <v>Dos Equis</v>
      </c>
      <c r="B1035" s="2" t="str" cm="1">
        <f t="array" ref="B1035">INDEX('Whitelist (Blackout Reverse)'!$B$1:$K$1,MOD(ROW()-2,10)+1)</f>
        <v>ESSEX</v>
      </c>
      <c r="C1035" s="2" t="str">
        <f>VLOOKUP(A1035,'[1]Brand Family Territory (Enc)'!$A$2:$B$296,2,FALSE)</f>
        <v>Bergen &amp; Passaic</v>
      </c>
      <c r="D1035" s="2">
        <f>IF(COUNTIFS('[1]Brand Family Territories (Enc)'!$B$2:$B$62,C1035,'[1]Brand Family Territories (Enc)'!$C$2:$C$62,B1035)&gt;0,1,IF(AND(LEFT(B1035,6)="MORRIS",COUNTIFS('[1]Brand Family Territories (Enc)'!$B$2:$B$62,C1035,'[1]Brand Family Territories (Enc)'!$C$2:$C$62,"Morri")&gt;0),"Unk",0))</f>
        <v>0</v>
      </c>
      <c r="E1035" s="2" t="str">
        <f>IFERROR(INDEX('Blackout Brand Fam Areas (Enc)'!$D$6:$D$998,MATCH(UPPER(A1035)&amp;"|"&amp;UPPER(B1035),'Blackout Brand Fam Areas (Enc)'!$G$6:$G$998,0)),"No Match")</f>
        <v>Inactive</v>
      </c>
      <c r="F1035" s="2" t="str">
        <f t="shared" si="32"/>
        <v>THEM</v>
      </c>
      <c r="G1035" s="2" t="str">
        <f t="shared" si="33"/>
        <v>Dos Equis|ESSEX</v>
      </c>
    </row>
    <row r="1036" spans="1:7" x14ac:dyDescent="0.2">
      <c r="A1036" s="2" t="str" cm="1">
        <f t="array" ref="A1036">INDEX('[1]Brand Family Territory (Enc)'!$A$2:$A$296,INT((ROW()-2)/10)+1)</f>
        <v>Dos Equis</v>
      </c>
      <c r="B1036" s="2" t="str" cm="1">
        <f t="array" ref="B1036">INDEX('Whitelist (Blackout Reverse)'!$B$1:$K$1,MOD(ROW()-2,10)+1)</f>
        <v>HUDSON</v>
      </c>
      <c r="C1036" s="2" t="str">
        <f>VLOOKUP(A1036,'[1]Brand Family Territory (Enc)'!$A$2:$B$296,2,FALSE)</f>
        <v>Bergen &amp; Passaic</v>
      </c>
      <c r="D1036" s="2">
        <f>IF(COUNTIFS('[1]Brand Family Territories (Enc)'!$B$2:$B$62,C1036,'[1]Brand Family Territories (Enc)'!$C$2:$C$62,B1036)&gt;0,1,IF(AND(LEFT(B1036,6)="MORRIS",COUNTIFS('[1]Brand Family Territories (Enc)'!$B$2:$B$62,C1036,'[1]Brand Family Territories (Enc)'!$C$2:$C$62,"Morri")&gt;0),"Unk",0))</f>
        <v>0</v>
      </c>
      <c r="E1036" s="2" t="str">
        <f>IFERROR(INDEX('Blackout Brand Fam Areas (Enc)'!$D$6:$D$998,MATCH(UPPER(A1036)&amp;"|"&amp;UPPER(B1036),'Blackout Brand Fam Areas (Enc)'!$G$6:$G$998,0)),"No Match")</f>
        <v>Inactive</v>
      </c>
      <c r="F1036" s="2" t="str">
        <f t="shared" si="32"/>
        <v>THEM</v>
      </c>
      <c r="G1036" s="2" t="str">
        <f t="shared" si="33"/>
        <v>Dos Equis|HUDSON</v>
      </c>
    </row>
    <row r="1037" spans="1:7" x14ac:dyDescent="0.2">
      <c r="A1037" s="2" t="str" cm="1">
        <f t="array" ref="A1037">INDEX('[1]Brand Family Territory (Enc)'!$A$2:$A$296,INT((ROW()-2)/10)+1)</f>
        <v>Dos Equis</v>
      </c>
      <c r="B1037" s="2" t="str" cm="1">
        <f t="array" ref="B1037">INDEX('Whitelist (Blackout Reverse)'!$B$1:$K$1,MOD(ROW()-2,10)+1)</f>
        <v>UNION</v>
      </c>
      <c r="C1037" s="2" t="str">
        <f>VLOOKUP(A1037,'[1]Brand Family Territory (Enc)'!$A$2:$B$296,2,FALSE)</f>
        <v>Bergen &amp; Passaic</v>
      </c>
      <c r="D1037" s="2">
        <f>IF(COUNTIFS('[1]Brand Family Territories (Enc)'!$B$2:$B$62,C1037,'[1]Brand Family Territories (Enc)'!$C$2:$C$62,B1037)&gt;0,1,IF(AND(LEFT(B1037,6)="MORRIS",COUNTIFS('[1]Brand Family Territories (Enc)'!$B$2:$B$62,C1037,'[1]Brand Family Territories (Enc)'!$C$2:$C$62,"Morri")&gt;0),"Unk",0))</f>
        <v>0</v>
      </c>
      <c r="E1037" s="2" t="str">
        <f>IFERROR(INDEX('Blackout Brand Fam Areas (Enc)'!$D$6:$D$998,MATCH(UPPER(A1037)&amp;"|"&amp;UPPER(B1037),'Blackout Brand Fam Areas (Enc)'!$G$6:$G$998,0)),"No Match")</f>
        <v>Inactive</v>
      </c>
      <c r="F1037" s="2" t="str">
        <f t="shared" si="32"/>
        <v>THEM</v>
      </c>
      <c r="G1037" s="2" t="str">
        <f t="shared" si="33"/>
        <v>Dos Equis|UNION</v>
      </c>
    </row>
    <row r="1038" spans="1:7" x14ac:dyDescent="0.2">
      <c r="A1038" s="2" t="str" cm="1">
        <f t="array" ref="A1038">INDEX('[1]Brand Family Territory (Enc)'!$A$2:$A$296,INT((ROW()-2)/10)+1)</f>
        <v>Dos Equis</v>
      </c>
      <c r="B1038" s="2" t="str" cm="1">
        <f t="array" ref="B1038">INDEX('Whitelist (Blackout Reverse)'!$B$1:$K$1,MOD(ROW()-2,10)+1)</f>
        <v>SUSSEX</v>
      </c>
      <c r="C1038" s="2" t="str">
        <f>VLOOKUP(A1038,'[1]Brand Family Territory (Enc)'!$A$2:$B$296,2,FALSE)</f>
        <v>Bergen &amp; Passaic</v>
      </c>
      <c r="D1038" s="2">
        <f>IF(COUNTIFS('[1]Brand Family Territories (Enc)'!$B$2:$B$62,C1038,'[1]Brand Family Territories (Enc)'!$C$2:$C$62,B1038)&gt;0,1,IF(AND(LEFT(B1038,6)="MORRIS",COUNTIFS('[1]Brand Family Territories (Enc)'!$B$2:$B$62,C1038,'[1]Brand Family Territories (Enc)'!$C$2:$C$62,"Morri")&gt;0),"Unk",0))</f>
        <v>0</v>
      </c>
      <c r="E1038" s="2" t="str">
        <f>IFERROR(INDEX('Blackout Brand Fam Areas (Enc)'!$D$6:$D$998,MATCH(UPPER(A1038)&amp;"|"&amp;UPPER(B1038),'Blackout Brand Fam Areas (Enc)'!$G$6:$G$998,0)),"No Match")</f>
        <v>Inactive</v>
      </c>
      <c r="F1038" s="2" t="str">
        <f t="shared" si="32"/>
        <v>THEM</v>
      </c>
      <c r="G1038" s="2" t="str">
        <f t="shared" si="33"/>
        <v>Dos Equis|SUSSEX</v>
      </c>
    </row>
    <row r="1039" spans="1:7" x14ac:dyDescent="0.2">
      <c r="A1039" s="2" t="str" cm="1">
        <f t="array" ref="A1039">INDEX('[1]Brand Family Territory (Enc)'!$A$2:$A$296,INT((ROW()-2)/10)+1)</f>
        <v>Dos Equis</v>
      </c>
      <c r="B1039" s="2" t="str" cm="1">
        <f t="array" ref="B1039">INDEX('Whitelist (Blackout Reverse)'!$B$1:$K$1,MOD(ROW()-2,10)+1)</f>
        <v>MORRIS 1</v>
      </c>
      <c r="C1039" s="2" t="str">
        <f>VLOOKUP(A1039,'[1]Brand Family Territory (Enc)'!$A$2:$B$296,2,FALSE)</f>
        <v>Bergen &amp; Passaic</v>
      </c>
      <c r="D1039" s="2">
        <f>IF(COUNTIFS('[1]Brand Family Territories (Enc)'!$B$2:$B$62,C1039,'[1]Brand Family Territories (Enc)'!$C$2:$C$62,B1039)&gt;0,1,IF(AND(LEFT(B1039,6)="MORRIS",COUNTIFS('[1]Brand Family Territories (Enc)'!$B$2:$B$62,C1039,'[1]Brand Family Territories (Enc)'!$C$2:$C$62,"Morri")&gt;0),"Unk",0))</f>
        <v>0</v>
      </c>
      <c r="E1039" s="2" t="str">
        <f>IFERROR(INDEX('Blackout Brand Fam Areas (Enc)'!$D$6:$D$998,MATCH(UPPER(A1039)&amp;"|"&amp;UPPER(B1039),'Blackout Brand Fam Areas (Enc)'!$G$6:$G$998,0)),"No Match")</f>
        <v>Inactive</v>
      </c>
      <c r="F1039" s="2" t="str">
        <f t="shared" si="32"/>
        <v>THEM</v>
      </c>
      <c r="G1039" s="2" t="str">
        <f t="shared" si="33"/>
        <v>Dos Equis|MORRIS 1</v>
      </c>
    </row>
    <row r="1040" spans="1:7" x14ac:dyDescent="0.2">
      <c r="A1040" s="2" t="str" cm="1">
        <f t="array" ref="A1040">INDEX('[1]Brand Family Territory (Enc)'!$A$2:$A$296,INT((ROW()-2)/10)+1)</f>
        <v>Dos Equis</v>
      </c>
      <c r="B1040" s="2" t="str" cm="1">
        <f t="array" ref="B1040">INDEX('Whitelist (Blackout Reverse)'!$B$1:$K$1,MOD(ROW()-2,10)+1)</f>
        <v>MORRIS 2</v>
      </c>
      <c r="C1040" s="2" t="str">
        <f>VLOOKUP(A1040,'[1]Brand Family Territory (Enc)'!$A$2:$B$296,2,FALSE)</f>
        <v>Bergen &amp; Passaic</v>
      </c>
      <c r="D1040" s="2">
        <f>IF(COUNTIFS('[1]Brand Family Territories (Enc)'!$B$2:$B$62,C1040,'[1]Brand Family Territories (Enc)'!$C$2:$C$62,B1040)&gt;0,1,IF(AND(LEFT(B1040,6)="MORRIS",COUNTIFS('[1]Brand Family Territories (Enc)'!$B$2:$B$62,C1040,'[1]Brand Family Territories (Enc)'!$C$2:$C$62,"Morri")&gt;0),"Unk",0))</f>
        <v>0</v>
      </c>
      <c r="E1040" s="2" t="str">
        <f>IFERROR(INDEX('Blackout Brand Fam Areas (Enc)'!$D$6:$D$998,MATCH(UPPER(A1040)&amp;"|"&amp;UPPER(B1040),'Blackout Brand Fam Areas (Enc)'!$G$6:$G$998,0)),"No Match")</f>
        <v>Inactive</v>
      </c>
      <c r="F1040" s="2" t="str">
        <f t="shared" si="32"/>
        <v>THEM</v>
      </c>
      <c r="G1040" s="2" t="str">
        <f t="shared" si="33"/>
        <v>Dos Equis|MORRIS 2</v>
      </c>
    </row>
    <row r="1041" spans="1:7" x14ac:dyDescent="0.2">
      <c r="A1041" s="2" t="str" cm="1">
        <f t="array" ref="A1041">INDEX('[1]Brand Family Territory (Enc)'!$A$2:$A$296,INT((ROW()-2)/10)+1)</f>
        <v>Dos Equis</v>
      </c>
      <c r="B1041" s="2" t="str" cm="1">
        <f t="array" ref="B1041">INDEX('Whitelist (Blackout Reverse)'!$B$1:$K$1,MOD(ROW()-2,10)+1)</f>
        <v>MORRIS 3</v>
      </c>
      <c r="C1041" s="2" t="str">
        <f>VLOOKUP(A1041,'[1]Brand Family Territory (Enc)'!$A$2:$B$296,2,FALSE)</f>
        <v>Bergen &amp; Passaic</v>
      </c>
      <c r="D1041" s="2">
        <f>IF(COUNTIFS('[1]Brand Family Territories (Enc)'!$B$2:$B$62,C1041,'[1]Brand Family Territories (Enc)'!$C$2:$C$62,B1041)&gt;0,1,IF(AND(LEFT(B1041,6)="MORRIS",COUNTIFS('[1]Brand Family Territories (Enc)'!$B$2:$B$62,C1041,'[1]Brand Family Territories (Enc)'!$C$2:$C$62,"Morri")&gt;0),"Unk",0))</f>
        <v>0</v>
      </c>
      <c r="E1041" s="2" t="str">
        <f>IFERROR(INDEX('Blackout Brand Fam Areas (Enc)'!$D$6:$D$998,MATCH(UPPER(A1041)&amp;"|"&amp;UPPER(B1041),'Blackout Brand Fam Areas (Enc)'!$G$6:$G$998,0)),"No Match")</f>
        <v>Inactive</v>
      </c>
      <c r="F1041" s="2" t="str">
        <f t="shared" si="32"/>
        <v>THEM</v>
      </c>
      <c r="G1041" s="2" t="str">
        <f t="shared" si="33"/>
        <v>Dos Equis|MORRIS 3</v>
      </c>
    </row>
    <row r="1042" spans="1:7" x14ac:dyDescent="0.2">
      <c r="A1042" s="2" t="str" cm="1">
        <f t="array" ref="A1042">INDEX('[1]Brand Family Territory (Enc)'!$A$2:$A$296,INT((ROW()-2)/10)+1)</f>
        <v>Prestige Lager</v>
      </c>
      <c r="B1042" s="2" t="str" cm="1">
        <f t="array" ref="B1042">INDEX('Whitelist (Blackout Reverse)'!$B$1:$K$1,MOD(ROW()-2,10)+1)</f>
        <v>BERGEN</v>
      </c>
      <c r="C1042" s="2" t="str">
        <f>VLOOKUP(A1042,'[1]Brand Family Territory (Enc)'!$A$2:$B$296,2,FALSE)</f>
        <v>Bergen &amp; Passaic</v>
      </c>
      <c r="D1042" s="2">
        <f>IF(COUNTIFS('[1]Brand Family Territories (Enc)'!$B$2:$B$62,C1042,'[1]Brand Family Territories (Enc)'!$C$2:$C$62,B1042)&gt;0,1,IF(AND(LEFT(B1042,6)="MORRIS",COUNTIFS('[1]Brand Family Territories (Enc)'!$B$2:$B$62,C1042,'[1]Brand Family Territories (Enc)'!$C$2:$C$62,"Morri")&gt;0),"Unk",0))</f>
        <v>1</v>
      </c>
      <c r="E1042" s="2" t="str">
        <f>IFERROR(INDEX('Blackout Brand Fam Areas (Enc)'!$D$6:$D$998,MATCH(UPPER(A1042)&amp;"|"&amp;UPPER(B1042),'Blackout Brand Fam Areas (Enc)'!$G$6:$G$998,0)),"No Match")</f>
        <v>No Match</v>
      </c>
      <c r="F1042" s="2" t="str">
        <f t="shared" si="32"/>
        <v>US</v>
      </c>
      <c r="G1042" s="2" t="str">
        <f t="shared" si="33"/>
        <v>Prestige Lager|BERGEN</v>
      </c>
    </row>
    <row r="1043" spans="1:7" x14ac:dyDescent="0.2">
      <c r="A1043" s="2" t="str" cm="1">
        <f t="array" ref="A1043">INDEX('[1]Brand Family Territory (Enc)'!$A$2:$A$296,INT((ROW()-2)/10)+1)</f>
        <v>Prestige Lager</v>
      </c>
      <c r="B1043" s="2" t="str" cm="1">
        <f t="array" ref="B1043">INDEX('Whitelist (Blackout Reverse)'!$B$1:$K$1,MOD(ROW()-2,10)+1)</f>
        <v>PASSAIC</v>
      </c>
      <c r="C1043" s="2" t="str">
        <f>VLOOKUP(A1043,'[1]Brand Family Territory (Enc)'!$A$2:$B$296,2,FALSE)</f>
        <v>Bergen &amp; Passaic</v>
      </c>
      <c r="D1043" s="2">
        <f>IF(COUNTIFS('[1]Brand Family Territories (Enc)'!$B$2:$B$62,C1043,'[1]Brand Family Territories (Enc)'!$C$2:$C$62,B1043)&gt;0,1,IF(AND(LEFT(B1043,6)="MORRIS",COUNTIFS('[1]Brand Family Territories (Enc)'!$B$2:$B$62,C1043,'[1]Brand Family Territories (Enc)'!$C$2:$C$62,"Morri")&gt;0),"Unk",0))</f>
        <v>1</v>
      </c>
      <c r="E1043" s="2" t="str">
        <f>IFERROR(INDEX('Blackout Brand Fam Areas (Enc)'!$D$6:$D$998,MATCH(UPPER(A1043)&amp;"|"&amp;UPPER(B1043),'Blackout Brand Fam Areas (Enc)'!$G$6:$G$998,0)),"No Match")</f>
        <v>No Match</v>
      </c>
      <c r="F1043" s="2" t="str">
        <f t="shared" si="32"/>
        <v>US</v>
      </c>
      <c r="G1043" s="2" t="str">
        <f t="shared" si="33"/>
        <v>Prestige Lager|PASSAIC</v>
      </c>
    </row>
    <row r="1044" spans="1:7" x14ac:dyDescent="0.2">
      <c r="A1044" s="2" t="str" cm="1">
        <f t="array" ref="A1044">INDEX('[1]Brand Family Territory (Enc)'!$A$2:$A$296,INT((ROW()-2)/10)+1)</f>
        <v>Prestige Lager</v>
      </c>
      <c r="B1044" s="2" t="str" cm="1">
        <f t="array" ref="B1044">INDEX('Whitelist (Blackout Reverse)'!$B$1:$K$1,MOD(ROW()-2,10)+1)</f>
        <v>PASSAIC-FF</v>
      </c>
      <c r="C1044" s="2" t="str">
        <f>VLOOKUP(A1044,'[1]Brand Family Territory (Enc)'!$A$2:$B$296,2,FALSE)</f>
        <v>Bergen &amp; Passaic</v>
      </c>
      <c r="D1044" s="2">
        <f>IF(COUNTIFS('[1]Brand Family Territories (Enc)'!$B$2:$B$62,C1044,'[1]Brand Family Territories (Enc)'!$C$2:$C$62,B1044)&gt;0,1,IF(AND(LEFT(B1044,6)="MORRIS",COUNTIFS('[1]Brand Family Territories (Enc)'!$B$2:$B$62,C1044,'[1]Brand Family Territories (Enc)'!$C$2:$C$62,"Morri")&gt;0),"Unk",0))</f>
        <v>1</v>
      </c>
      <c r="E1044" s="2" t="str">
        <f>IFERROR(INDEX('Blackout Brand Fam Areas (Enc)'!$D$6:$D$998,MATCH(UPPER(A1044)&amp;"|"&amp;UPPER(B1044),'Blackout Brand Fam Areas (Enc)'!$G$6:$G$998,0)),"No Match")</f>
        <v>No Match</v>
      </c>
      <c r="F1044" s="2" t="str">
        <f t="shared" si="32"/>
        <v>US</v>
      </c>
      <c r="G1044" s="2" t="str">
        <f t="shared" si="33"/>
        <v>Prestige Lager|PASSAIC-FF</v>
      </c>
    </row>
    <row r="1045" spans="1:7" x14ac:dyDescent="0.2">
      <c r="A1045" s="2" t="str" cm="1">
        <f t="array" ref="A1045">INDEX('[1]Brand Family Territory (Enc)'!$A$2:$A$296,INT((ROW()-2)/10)+1)</f>
        <v>Prestige Lager</v>
      </c>
      <c r="B1045" s="2" t="str" cm="1">
        <f t="array" ref="B1045">INDEX('Whitelist (Blackout Reverse)'!$B$1:$K$1,MOD(ROW()-2,10)+1)</f>
        <v>ESSEX</v>
      </c>
      <c r="C1045" s="2" t="str">
        <f>VLOOKUP(A1045,'[1]Brand Family Territory (Enc)'!$A$2:$B$296,2,FALSE)</f>
        <v>Bergen &amp; Passaic</v>
      </c>
      <c r="D1045" s="2">
        <f>IF(COUNTIFS('[1]Brand Family Territories (Enc)'!$B$2:$B$62,C1045,'[1]Brand Family Territories (Enc)'!$C$2:$C$62,B1045)&gt;0,1,IF(AND(LEFT(B1045,6)="MORRIS",COUNTIFS('[1]Brand Family Territories (Enc)'!$B$2:$B$62,C1045,'[1]Brand Family Territories (Enc)'!$C$2:$C$62,"Morri")&gt;0),"Unk",0))</f>
        <v>0</v>
      </c>
      <c r="E1045" s="2" t="str">
        <f>IFERROR(INDEX('Blackout Brand Fam Areas (Enc)'!$D$6:$D$998,MATCH(UPPER(A1045)&amp;"|"&amp;UPPER(B1045),'Blackout Brand Fam Areas (Enc)'!$G$6:$G$998,0)),"No Match")</f>
        <v>Inactive</v>
      </c>
      <c r="F1045" s="2" t="str">
        <f t="shared" si="32"/>
        <v>THEM</v>
      </c>
      <c r="G1045" s="2" t="str">
        <f t="shared" si="33"/>
        <v>Prestige Lager|ESSEX</v>
      </c>
    </row>
    <row r="1046" spans="1:7" x14ac:dyDescent="0.2">
      <c r="A1046" s="2" t="str" cm="1">
        <f t="array" ref="A1046">INDEX('[1]Brand Family Territory (Enc)'!$A$2:$A$296,INT((ROW()-2)/10)+1)</f>
        <v>Prestige Lager</v>
      </c>
      <c r="B1046" s="2" t="str" cm="1">
        <f t="array" ref="B1046">INDEX('Whitelist (Blackout Reverse)'!$B$1:$K$1,MOD(ROW()-2,10)+1)</f>
        <v>HUDSON</v>
      </c>
      <c r="C1046" s="2" t="str">
        <f>VLOOKUP(A1046,'[1]Brand Family Territory (Enc)'!$A$2:$B$296,2,FALSE)</f>
        <v>Bergen &amp; Passaic</v>
      </c>
      <c r="D1046" s="2">
        <f>IF(COUNTIFS('[1]Brand Family Territories (Enc)'!$B$2:$B$62,C1046,'[1]Brand Family Territories (Enc)'!$C$2:$C$62,B1046)&gt;0,1,IF(AND(LEFT(B1046,6)="MORRIS",COUNTIFS('[1]Brand Family Territories (Enc)'!$B$2:$B$62,C1046,'[1]Brand Family Territories (Enc)'!$C$2:$C$62,"Morri")&gt;0),"Unk",0))</f>
        <v>0</v>
      </c>
      <c r="E1046" s="2" t="str">
        <f>IFERROR(INDEX('Blackout Brand Fam Areas (Enc)'!$D$6:$D$998,MATCH(UPPER(A1046)&amp;"|"&amp;UPPER(B1046),'Blackout Brand Fam Areas (Enc)'!$G$6:$G$998,0)),"No Match")</f>
        <v>Inactive</v>
      </c>
      <c r="F1046" s="2" t="str">
        <f t="shared" si="32"/>
        <v>THEM</v>
      </c>
      <c r="G1046" s="2" t="str">
        <f t="shared" si="33"/>
        <v>Prestige Lager|HUDSON</v>
      </c>
    </row>
    <row r="1047" spans="1:7" x14ac:dyDescent="0.2">
      <c r="A1047" s="2" t="str" cm="1">
        <f t="array" ref="A1047">INDEX('[1]Brand Family Territory (Enc)'!$A$2:$A$296,INT((ROW()-2)/10)+1)</f>
        <v>Prestige Lager</v>
      </c>
      <c r="B1047" s="2" t="str" cm="1">
        <f t="array" ref="B1047">INDEX('Whitelist (Blackout Reverse)'!$B$1:$K$1,MOD(ROW()-2,10)+1)</f>
        <v>UNION</v>
      </c>
      <c r="C1047" s="2" t="str">
        <f>VLOOKUP(A1047,'[1]Brand Family Territory (Enc)'!$A$2:$B$296,2,FALSE)</f>
        <v>Bergen &amp; Passaic</v>
      </c>
      <c r="D1047" s="2">
        <f>IF(COUNTIFS('[1]Brand Family Territories (Enc)'!$B$2:$B$62,C1047,'[1]Brand Family Territories (Enc)'!$C$2:$C$62,B1047)&gt;0,1,IF(AND(LEFT(B1047,6)="MORRIS",COUNTIFS('[1]Brand Family Territories (Enc)'!$B$2:$B$62,C1047,'[1]Brand Family Territories (Enc)'!$C$2:$C$62,"Morri")&gt;0),"Unk",0))</f>
        <v>0</v>
      </c>
      <c r="E1047" s="2" t="str">
        <f>IFERROR(INDEX('Blackout Brand Fam Areas (Enc)'!$D$6:$D$998,MATCH(UPPER(A1047)&amp;"|"&amp;UPPER(B1047),'Blackout Brand Fam Areas (Enc)'!$G$6:$G$998,0)),"No Match")</f>
        <v>Inactive</v>
      </c>
      <c r="F1047" s="2" t="str">
        <f t="shared" si="32"/>
        <v>THEM</v>
      </c>
      <c r="G1047" s="2" t="str">
        <f t="shared" si="33"/>
        <v>Prestige Lager|UNION</v>
      </c>
    </row>
    <row r="1048" spans="1:7" x14ac:dyDescent="0.2">
      <c r="A1048" s="2" t="str" cm="1">
        <f t="array" ref="A1048">INDEX('[1]Brand Family Territory (Enc)'!$A$2:$A$296,INT((ROW()-2)/10)+1)</f>
        <v>Prestige Lager</v>
      </c>
      <c r="B1048" s="2" t="str" cm="1">
        <f t="array" ref="B1048">INDEX('Whitelist (Blackout Reverse)'!$B$1:$K$1,MOD(ROW()-2,10)+1)</f>
        <v>SUSSEX</v>
      </c>
      <c r="C1048" s="2" t="str">
        <f>VLOOKUP(A1048,'[1]Brand Family Territory (Enc)'!$A$2:$B$296,2,FALSE)</f>
        <v>Bergen &amp; Passaic</v>
      </c>
      <c r="D1048" s="2">
        <f>IF(COUNTIFS('[1]Brand Family Territories (Enc)'!$B$2:$B$62,C1048,'[1]Brand Family Territories (Enc)'!$C$2:$C$62,B1048)&gt;0,1,IF(AND(LEFT(B1048,6)="MORRIS",COUNTIFS('[1]Brand Family Territories (Enc)'!$B$2:$B$62,C1048,'[1]Brand Family Territories (Enc)'!$C$2:$C$62,"Morri")&gt;0),"Unk",0))</f>
        <v>0</v>
      </c>
      <c r="E1048" s="2" t="str">
        <f>IFERROR(INDEX('Blackout Brand Fam Areas (Enc)'!$D$6:$D$998,MATCH(UPPER(A1048)&amp;"|"&amp;UPPER(B1048),'Blackout Brand Fam Areas (Enc)'!$G$6:$G$998,0)),"No Match")</f>
        <v>Inactive</v>
      </c>
      <c r="F1048" s="2" t="str">
        <f t="shared" si="32"/>
        <v>THEM</v>
      </c>
      <c r="G1048" s="2" t="str">
        <f t="shared" si="33"/>
        <v>Prestige Lager|SUSSEX</v>
      </c>
    </row>
    <row r="1049" spans="1:7" x14ac:dyDescent="0.2">
      <c r="A1049" s="2" t="str" cm="1">
        <f t="array" ref="A1049">INDEX('[1]Brand Family Territory (Enc)'!$A$2:$A$296,INT((ROW()-2)/10)+1)</f>
        <v>Prestige Lager</v>
      </c>
      <c r="B1049" s="2" t="str" cm="1">
        <f t="array" ref="B1049">INDEX('Whitelist (Blackout Reverse)'!$B$1:$K$1,MOD(ROW()-2,10)+1)</f>
        <v>MORRIS 1</v>
      </c>
      <c r="C1049" s="2" t="str">
        <f>VLOOKUP(A1049,'[1]Brand Family Territory (Enc)'!$A$2:$B$296,2,FALSE)</f>
        <v>Bergen &amp; Passaic</v>
      </c>
      <c r="D1049" s="2">
        <f>IF(COUNTIFS('[1]Brand Family Territories (Enc)'!$B$2:$B$62,C1049,'[1]Brand Family Territories (Enc)'!$C$2:$C$62,B1049)&gt;0,1,IF(AND(LEFT(B1049,6)="MORRIS",COUNTIFS('[1]Brand Family Territories (Enc)'!$B$2:$B$62,C1049,'[1]Brand Family Territories (Enc)'!$C$2:$C$62,"Morri")&gt;0),"Unk",0))</f>
        <v>0</v>
      </c>
      <c r="E1049" s="2" t="str">
        <f>IFERROR(INDEX('Blackout Brand Fam Areas (Enc)'!$D$6:$D$998,MATCH(UPPER(A1049)&amp;"|"&amp;UPPER(B1049),'Blackout Brand Fam Areas (Enc)'!$G$6:$G$998,0)),"No Match")</f>
        <v>Inactive</v>
      </c>
      <c r="F1049" s="2" t="str">
        <f t="shared" si="32"/>
        <v>THEM</v>
      </c>
      <c r="G1049" s="2" t="str">
        <f t="shared" si="33"/>
        <v>Prestige Lager|MORRIS 1</v>
      </c>
    </row>
    <row r="1050" spans="1:7" x14ac:dyDescent="0.2">
      <c r="A1050" s="2" t="str" cm="1">
        <f t="array" ref="A1050">INDEX('[1]Brand Family Territory (Enc)'!$A$2:$A$296,INT((ROW()-2)/10)+1)</f>
        <v>Prestige Lager</v>
      </c>
      <c r="B1050" s="2" t="str" cm="1">
        <f t="array" ref="B1050">INDEX('Whitelist (Blackout Reverse)'!$B$1:$K$1,MOD(ROW()-2,10)+1)</f>
        <v>MORRIS 2</v>
      </c>
      <c r="C1050" s="2" t="str">
        <f>VLOOKUP(A1050,'[1]Brand Family Territory (Enc)'!$A$2:$B$296,2,FALSE)</f>
        <v>Bergen &amp; Passaic</v>
      </c>
      <c r="D1050" s="2">
        <f>IF(COUNTIFS('[1]Brand Family Territories (Enc)'!$B$2:$B$62,C1050,'[1]Brand Family Territories (Enc)'!$C$2:$C$62,B1050)&gt;0,1,IF(AND(LEFT(B1050,6)="MORRIS",COUNTIFS('[1]Brand Family Territories (Enc)'!$B$2:$B$62,C1050,'[1]Brand Family Territories (Enc)'!$C$2:$C$62,"Morri")&gt;0),"Unk",0))</f>
        <v>0</v>
      </c>
      <c r="E1050" s="2" t="str">
        <f>IFERROR(INDEX('Blackout Brand Fam Areas (Enc)'!$D$6:$D$998,MATCH(UPPER(A1050)&amp;"|"&amp;UPPER(B1050),'Blackout Brand Fam Areas (Enc)'!$G$6:$G$998,0)),"No Match")</f>
        <v>Inactive</v>
      </c>
      <c r="F1050" s="2" t="str">
        <f t="shared" si="32"/>
        <v>THEM</v>
      </c>
      <c r="G1050" s="2" t="str">
        <f t="shared" si="33"/>
        <v>Prestige Lager|MORRIS 2</v>
      </c>
    </row>
    <row r="1051" spans="1:7" x14ac:dyDescent="0.2">
      <c r="A1051" s="2" t="str" cm="1">
        <f t="array" ref="A1051">INDEX('[1]Brand Family Territory (Enc)'!$A$2:$A$296,INT((ROW()-2)/10)+1)</f>
        <v>Prestige Lager</v>
      </c>
      <c r="B1051" s="2" t="str" cm="1">
        <f t="array" ref="B1051">INDEX('Whitelist (Blackout Reverse)'!$B$1:$K$1,MOD(ROW()-2,10)+1)</f>
        <v>MORRIS 3</v>
      </c>
      <c r="C1051" s="2" t="str">
        <f>VLOOKUP(A1051,'[1]Brand Family Territory (Enc)'!$A$2:$B$296,2,FALSE)</f>
        <v>Bergen &amp; Passaic</v>
      </c>
      <c r="D1051" s="2">
        <f>IF(COUNTIFS('[1]Brand Family Territories (Enc)'!$B$2:$B$62,C1051,'[1]Brand Family Territories (Enc)'!$C$2:$C$62,B1051)&gt;0,1,IF(AND(LEFT(B1051,6)="MORRIS",COUNTIFS('[1]Brand Family Territories (Enc)'!$B$2:$B$62,C1051,'[1]Brand Family Territories (Enc)'!$C$2:$C$62,"Morri")&gt;0),"Unk",0))</f>
        <v>0</v>
      </c>
      <c r="E1051" s="2" t="str">
        <f>IFERROR(INDEX('Blackout Brand Fam Areas (Enc)'!$D$6:$D$998,MATCH(UPPER(A1051)&amp;"|"&amp;UPPER(B1051),'Blackout Brand Fam Areas (Enc)'!$G$6:$G$998,0)),"No Match")</f>
        <v>No Match</v>
      </c>
      <c r="F1051" s="2" t="str">
        <f t="shared" si="32"/>
        <v>THEM</v>
      </c>
      <c r="G1051" s="2" t="str">
        <f t="shared" si="33"/>
        <v>Prestige Lager|MORRIS 3</v>
      </c>
    </row>
    <row r="1052" spans="1:7" x14ac:dyDescent="0.2">
      <c r="A1052" s="2" t="str" cm="1">
        <f t="array" ref="A1052">INDEX('[1]Brand Family Territory (Enc)'!$A$2:$A$296,INT((ROW()-2)/10)+1)</f>
        <v>Tecate</v>
      </c>
      <c r="B1052" s="2" t="str" cm="1">
        <f t="array" ref="B1052">INDEX('Whitelist (Blackout Reverse)'!$B$1:$K$1,MOD(ROW()-2,10)+1)</f>
        <v>BERGEN</v>
      </c>
      <c r="C1052" s="2" t="str">
        <f>VLOOKUP(A1052,'[1]Brand Family Territory (Enc)'!$A$2:$B$296,2,FALSE)</f>
        <v>Bergen &amp; Passaic</v>
      </c>
      <c r="D1052" s="2">
        <f>IF(COUNTIFS('[1]Brand Family Territories (Enc)'!$B$2:$B$62,C1052,'[1]Brand Family Territories (Enc)'!$C$2:$C$62,B1052)&gt;0,1,IF(AND(LEFT(B1052,6)="MORRIS",COUNTIFS('[1]Brand Family Territories (Enc)'!$B$2:$B$62,C1052,'[1]Brand Family Territories (Enc)'!$C$2:$C$62,"Morri")&gt;0),"Unk",0))</f>
        <v>1</v>
      </c>
      <c r="E1052" s="2" t="str">
        <f>IFERROR(INDEX('Blackout Brand Fam Areas (Enc)'!$D$6:$D$998,MATCH(UPPER(A1052)&amp;"|"&amp;UPPER(B1052),'Blackout Brand Fam Areas (Enc)'!$G$6:$G$998,0)),"No Match")</f>
        <v>No Match</v>
      </c>
      <c r="F1052" s="2" t="str">
        <f t="shared" si="32"/>
        <v>US</v>
      </c>
      <c r="G1052" s="2" t="str">
        <f t="shared" si="33"/>
        <v>Tecate|BERGEN</v>
      </c>
    </row>
    <row r="1053" spans="1:7" x14ac:dyDescent="0.2">
      <c r="A1053" s="2" t="str" cm="1">
        <f t="array" ref="A1053">INDEX('[1]Brand Family Territory (Enc)'!$A$2:$A$296,INT((ROW()-2)/10)+1)</f>
        <v>Tecate</v>
      </c>
      <c r="B1053" s="2" t="str" cm="1">
        <f t="array" ref="B1053">INDEX('Whitelist (Blackout Reverse)'!$B$1:$K$1,MOD(ROW()-2,10)+1)</f>
        <v>PASSAIC</v>
      </c>
      <c r="C1053" s="2" t="str">
        <f>VLOOKUP(A1053,'[1]Brand Family Territory (Enc)'!$A$2:$B$296,2,FALSE)</f>
        <v>Bergen &amp; Passaic</v>
      </c>
      <c r="D1053" s="2">
        <f>IF(COUNTIFS('[1]Brand Family Territories (Enc)'!$B$2:$B$62,C1053,'[1]Brand Family Territories (Enc)'!$C$2:$C$62,B1053)&gt;0,1,IF(AND(LEFT(B1053,6)="MORRIS",COUNTIFS('[1]Brand Family Territories (Enc)'!$B$2:$B$62,C1053,'[1]Brand Family Territories (Enc)'!$C$2:$C$62,"Morri")&gt;0),"Unk",0))</f>
        <v>1</v>
      </c>
      <c r="E1053" s="2" t="str">
        <f>IFERROR(INDEX('Blackout Brand Fam Areas (Enc)'!$D$6:$D$998,MATCH(UPPER(A1053)&amp;"|"&amp;UPPER(B1053),'Blackout Brand Fam Areas (Enc)'!$G$6:$G$998,0)),"No Match")</f>
        <v>No Match</v>
      </c>
      <c r="F1053" s="2" t="str">
        <f t="shared" si="32"/>
        <v>US</v>
      </c>
      <c r="G1053" s="2" t="str">
        <f t="shared" si="33"/>
        <v>Tecate|PASSAIC</v>
      </c>
    </row>
    <row r="1054" spans="1:7" x14ac:dyDescent="0.2">
      <c r="A1054" s="2" t="str" cm="1">
        <f t="array" ref="A1054">INDEX('[1]Brand Family Territory (Enc)'!$A$2:$A$296,INT((ROW()-2)/10)+1)</f>
        <v>Tecate</v>
      </c>
      <c r="B1054" s="2" t="str" cm="1">
        <f t="array" ref="B1054">INDEX('Whitelist (Blackout Reverse)'!$B$1:$K$1,MOD(ROW()-2,10)+1)</f>
        <v>PASSAIC-FF</v>
      </c>
      <c r="C1054" s="2" t="str">
        <f>VLOOKUP(A1054,'[1]Brand Family Territory (Enc)'!$A$2:$B$296,2,FALSE)</f>
        <v>Bergen &amp; Passaic</v>
      </c>
      <c r="D1054" s="2">
        <f>IF(COUNTIFS('[1]Brand Family Territories (Enc)'!$B$2:$B$62,C1054,'[1]Brand Family Territories (Enc)'!$C$2:$C$62,B1054)&gt;0,1,IF(AND(LEFT(B1054,6)="MORRIS",COUNTIFS('[1]Brand Family Territories (Enc)'!$B$2:$B$62,C1054,'[1]Brand Family Territories (Enc)'!$C$2:$C$62,"Morri")&gt;0),"Unk",0))</f>
        <v>1</v>
      </c>
      <c r="E1054" s="2" t="str">
        <f>IFERROR(INDEX('Blackout Brand Fam Areas (Enc)'!$D$6:$D$998,MATCH(UPPER(A1054)&amp;"|"&amp;UPPER(B1054),'Blackout Brand Fam Areas (Enc)'!$G$6:$G$998,0)),"No Match")</f>
        <v>No Match</v>
      </c>
      <c r="F1054" s="2" t="str">
        <f t="shared" si="32"/>
        <v>US</v>
      </c>
      <c r="G1054" s="2" t="str">
        <f t="shared" si="33"/>
        <v>Tecate|PASSAIC-FF</v>
      </c>
    </row>
    <row r="1055" spans="1:7" x14ac:dyDescent="0.2">
      <c r="A1055" s="2" t="str" cm="1">
        <f t="array" ref="A1055">INDEX('[1]Brand Family Territory (Enc)'!$A$2:$A$296,INT((ROW()-2)/10)+1)</f>
        <v>Tecate</v>
      </c>
      <c r="B1055" s="2" t="str" cm="1">
        <f t="array" ref="B1055">INDEX('Whitelist (Blackout Reverse)'!$B$1:$K$1,MOD(ROW()-2,10)+1)</f>
        <v>ESSEX</v>
      </c>
      <c r="C1055" s="2" t="str">
        <f>VLOOKUP(A1055,'[1]Brand Family Territory (Enc)'!$A$2:$B$296,2,FALSE)</f>
        <v>Bergen &amp; Passaic</v>
      </c>
      <c r="D1055" s="2">
        <f>IF(COUNTIFS('[1]Brand Family Territories (Enc)'!$B$2:$B$62,C1055,'[1]Brand Family Territories (Enc)'!$C$2:$C$62,B1055)&gt;0,1,IF(AND(LEFT(B1055,6)="MORRIS",COUNTIFS('[1]Brand Family Territories (Enc)'!$B$2:$B$62,C1055,'[1]Brand Family Territories (Enc)'!$C$2:$C$62,"Morri")&gt;0),"Unk",0))</f>
        <v>0</v>
      </c>
      <c r="E1055" s="2" t="str">
        <f>IFERROR(INDEX('Blackout Brand Fam Areas (Enc)'!$D$6:$D$998,MATCH(UPPER(A1055)&amp;"|"&amp;UPPER(B1055),'Blackout Brand Fam Areas (Enc)'!$G$6:$G$998,0)),"No Match")</f>
        <v>Inactive</v>
      </c>
      <c r="F1055" s="2" t="str">
        <f t="shared" si="32"/>
        <v>THEM</v>
      </c>
      <c r="G1055" s="2" t="str">
        <f t="shared" si="33"/>
        <v>Tecate|ESSEX</v>
      </c>
    </row>
    <row r="1056" spans="1:7" x14ac:dyDescent="0.2">
      <c r="A1056" s="2" t="str" cm="1">
        <f t="array" ref="A1056">INDEX('[1]Brand Family Territory (Enc)'!$A$2:$A$296,INT((ROW()-2)/10)+1)</f>
        <v>Tecate</v>
      </c>
      <c r="B1056" s="2" t="str" cm="1">
        <f t="array" ref="B1056">INDEX('Whitelist (Blackout Reverse)'!$B$1:$K$1,MOD(ROW()-2,10)+1)</f>
        <v>HUDSON</v>
      </c>
      <c r="C1056" s="2" t="str">
        <f>VLOOKUP(A1056,'[1]Brand Family Territory (Enc)'!$A$2:$B$296,2,FALSE)</f>
        <v>Bergen &amp; Passaic</v>
      </c>
      <c r="D1056" s="2">
        <f>IF(COUNTIFS('[1]Brand Family Territories (Enc)'!$B$2:$B$62,C1056,'[1]Brand Family Territories (Enc)'!$C$2:$C$62,B1056)&gt;0,1,IF(AND(LEFT(B1056,6)="MORRIS",COUNTIFS('[1]Brand Family Territories (Enc)'!$B$2:$B$62,C1056,'[1]Brand Family Territories (Enc)'!$C$2:$C$62,"Morri")&gt;0),"Unk",0))</f>
        <v>0</v>
      </c>
      <c r="E1056" s="2" t="str">
        <f>IFERROR(INDEX('Blackout Brand Fam Areas (Enc)'!$D$6:$D$998,MATCH(UPPER(A1056)&amp;"|"&amp;UPPER(B1056),'Blackout Brand Fam Areas (Enc)'!$G$6:$G$998,0)),"No Match")</f>
        <v>Inactive</v>
      </c>
      <c r="F1056" s="2" t="str">
        <f t="shared" si="32"/>
        <v>THEM</v>
      </c>
      <c r="G1056" s="2" t="str">
        <f t="shared" si="33"/>
        <v>Tecate|HUDSON</v>
      </c>
    </row>
    <row r="1057" spans="1:7" x14ac:dyDescent="0.2">
      <c r="A1057" s="2" t="str" cm="1">
        <f t="array" ref="A1057">INDEX('[1]Brand Family Territory (Enc)'!$A$2:$A$296,INT((ROW()-2)/10)+1)</f>
        <v>Tecate</v>
      </c>
      <c r="B1057" s="2" t="str" cm="1">
        <f t="array" ref="B1057">INDEX('Whitelist (Blackout Reverse)'!$B$1:$K$1,MOD(ROW()-2,10)+1)</f>
        <v>UNION</v>
      </c>
      <c r="C1057" s="2" t="str">
        <f>VLOOKUP(A1057,'[1]Brand Family Territory (Enc)'!$A$2:$B$296,2,FALSE)</f>
        <v>Bergen &amp; Passaic</v>
      </c>
      <c r="D1057" s="2">
        <f>IF(COUNTIFS('[1]Brand Family Territories (Enc)'!$B$2:$B$62,C1057,'[1]Brand Family Territories (Enc)'!$C$2:$C$62,B1057)&gt;0,1,IF(AND(LEFT(B1057,6)="MORRIS",COUNTIFS('[1]Brand Family Territories (Enc)'!$B$2:$B$62,C1057,'[1]Brand Family Territories (Enc)'!$C$2:$C$62,"Morri")&gt;0),"Unk",0))</f>
        <v>0</v>
      </c>
      <c r="E1057" s="2" t="str">
        <f>IFERROR(INDEX('Blackout Brand Fam Areas (Enc)'!$D$6:$D$998,MATCH(UPPER(A1057)&amp;"|"&amp;UPPER(B1057),'Blackout Brand Fam Areas (Enc)'!$G$6:$G$998,0)),"No Match")</f>
        <v>Inactive</v>
      </c>
      <c r="F1057" s="2" t="str">
        <f t="shared" si="32"/>
        <v>THEM</v>
      </c>
      <c r="G1057" s="2" t="str">
        <f t="shared" si="33"/>
        <v>Tecate|UNION</v>
      </c>
    </row>
    <row r="1058" spans="1:7" x14ac:dyDescent="0.2">
      <c r="A1058" s="2" t="str" cm="1">
        <f t="array" ref="A1058">INDEX('[1]Brand Family Territory (Enc)'!$A$2:$A$296,INT((ROW()-2)/10)+1)</f>
        <v>Tecate</v>
      </c>
      <c r="B1058" s="2" t="str" cm="1">
        <f t="array" ref="B1058">INDEX('Whitelist (Blackout Reverse)'!$B$1:$K$1,MOD(ROW()-2,10)+1)</f>
        <v>SUSSEX</v>
      </c>
      <c r="C1058" s="2" t="str">
        <f>VLOOKUP(A1058,'[1]Brand Family Territory (Enc)'!$A$2:$B$296,2,FALSE)</f>
        <v>Bergen &amp; Passaic</v>
      </c>
      <c r="D1058" s="2">
        <f>IF(COUNTIFS('[1]Brand Family Territories (Enc)'!$B$2:$B$62,C1058,'[1]Brand Family Territories (Enc)'!$C$2:$C$62,B1058)&gt;0,1,IF(AND(LEFT(B1058,6)="MORRIS",COUNTIFS('[1]Brand Family Territories (Enc)'!$B$2:$B$62,C1058,'[1]Brand Family Territories (Enc)'!$C$2:$C$62,"Morri")&gt;0),"Unk",0))</f>
        <v>0</v>
      </c>
      <c r="E1058" s="2" t="str">
        <f>IFERROR(INDEX('Blackout Brand Fam Areas (Enc)'!$D$6:$D$998,MATCH(UPPER(A1058)&amp;"|"&amp;UPPER(B1058),'Blackout Brand Fam Areas (Enc)'!$G$6:$G$998,0)),"No Match")</f>
        <v>Inactive</v>
      </c>
      <c r="F1058" s="2" t="str">
        <f t="shared" si="32"/>
        <v>THEM</v>
      </c>
      <c r="G1058" s="2" t="str">
        <f t="shared" si="33"/>
        <v>Tecate|SUSSEX</v>
      </c>
    </row>
    <row r="1059" spans="1:7" x14ac:dyDescent="0.2">
      <c r="A1059" s="2" t="str" cm="1">
        <f t="array" ref="A1059">INDEX('[1]Brand Family Territory (Enc)'!$A$2:$A$296,INT((ROW()-2)/10)+1)</f>
        <v>Tecate</v>
      </c>
      <c r="B1059" s="2" t="str" cm="1">
        <f t="array" ref="B1059">INDEX('Whitelist (Blackout Reverse)'!$B$1:$K$1,MOD(ROW()-2,10)+1)</f>
        <v>MORRIS 1</v>
      </c>
      <c r="C1059" s="2" t="str">
        <f>VLOOKUP(A1059,'[1]Brand Family Territory (Enc)'!$A$2:$B$296,2,FALSE)</f>
        <v>Bergen &amp; Passaic</v>
      </c>
      <c r="D1059" s="2">
        <f>IF(COUNTIFS('[1]Brand Family Territories (Enc)'!$B$2:$B$62,C1059,'[1]Brand Family Territories (Enc)'!$C$2:$C$62,B1059)&gt;0,1,IF(AND(LEFT(B1059,6)="MORRIS",COUNTIFS('[1]Brand Family Territories (Enc)'!$B$2:$B$62,C1059,'[1]Brand Family Territories (Enc)'!$C$2:$C$62,"Morri")&gt;0),"Unk",0))</f>
        <v>0</v>
      </c>
      <c r="E1059" s="2" t="str">
        <f>IFERROR(INDEX('Blackout Brand Fam Areas (Enc)'!$D$6:$D$998,MATCH(UPPER(A1059)&amp;"|"&amp;UPPER(B1059),'Blackout Brand Fam Areas (Enc)'!$G$6:$G$998,0)),"No Match")</f>
        <v>Inactive</v>
      </c>
      <c r="F1059" s="2" t="str">
        <f t="shared" si="32"/>
        <v>THEM</v>
      </c>
      <c r="G1059" s="2" t="str">
        <f t="shared" si="33"/>
        <v>Tecate|MORRIS 1</v>
      </c>
    </row>
    <row r="1060" spans="1:7" x14ac:dyDescent="0.2">
      <c r="A1060" s="2" t="str" cm="1">
        <f t="array" ref="A1060">INDEX('[1]Brand Family Territory (Enc)'!$A$2:$A$296,INT((ROW()-2)/10)+1)</f>
        <v>Tecate</v>
      </c>
      <c r="B1060" s="2" t="str" cm="1">
        <f t="array" ref="B1060">INDEX('Whitelist (Blackout Reverse)'!$B$1:$K$1,MOD(ROW()-2,10)+1)</f>
        <v>MORRIS 2</v>
      </c>
      <c r="C1060" s="2" t="str">
        <f>VLOOKUP(A1060,'[1]Brand Family Territory (Enc)'!$A$2:$B$296,2,FALSE)</f>
        <v>Bergen &amp; Passaic</v>
      </c>
      <c r="D1060" s="2">
        <f>IF(COUNTIFS('[1]Brand Family Territories (Enc)'!$B$2:$B$62,C1060,'[1]Brand Family Territories (Enc)'!$C$2:$C$62,B1060)&gt;0,1,IF(AND(LEFT(B1060,6)="MORRIS",COUNTIFS('[1]Brand Family Territories (Enc)'!$B$2:$B$62,C1060,'[1]Brand Family Territories (Enc)'!$C$2:$C$62,"Morri")&gt;0),"Unk",0))</f>
        <v>0</v>
      </c>
      <c r="E1060" s="2" t="str">
        <f>IFERROR(INDEX('Blackout Brand Fam Areas (Enc)'!$D$6:$D$998,MATCH(UPPER(A1060)&amp;"|"&amp;UPPER(B1060),'Blackout Brand Fam Areas (Enc)'!$G$6:$G$998,0)),"No Match")</f>
        <v>Inactive</v>
      </c>
      <c r="F1060" s="2" t="str">
        <f t="shared" si="32"/>
        <v>THEM</v>
      </c>
      <c r="G1060" s="2" t="str">
        <f t="shared" si="33"/>
        <v>Tecate|MORRIS 2</v>
      </c>
    </row>
    <row r="1061" spans="1:7" x14ac:dyDescent="0.2">
      <c r="A1061" s="2" t="str" cm="1">
        <f t="array" ref="A1061">INDEX('[1]Brand Family Territory (Enc)'!$A$2:$A$296,INT((ROW()-2)/10)+1)</f>
        <v>Tecate</v>
      </c>
      <c r="B1061" s="2" t="str" cm="1">
        <f t="array" ref="B1061">INDEX('Whitelist (Blackout Reverse)'!$B$1:$K$1,MOD(ROW()-2,10)+1)</f>
        <v>MORRIS 3</v>
      </c>
      <c r="C1061" s="2" t="str">
        <f>VLOOKUP(A1061,'[1]Brand Family Territory (Enc)'!$A$2:$B$296,2,FALSE)</f>
        <v>Bergen &amp; Passaic</v>
      </c>
      <c r="D1061" s="2">
        <f>IF(COUNTIFS('[1]Brand Family Territories (Enc)'!$B$2:$B$62,C1061,'[1]Brand Family Territories (Enc)'!$C$2:$C$62,B1061)&gt;0,1,IF(AND(LEFT(B1061,6)="MORRIS",COUNTIFS('[1]Brand Family Territories (Enc)'!$B$2:$B$62,C1061,'[1]Brand Family Territories (Enc)'!$C$2:$C$62,"Morri")&gt;0),"Unk",0))</f>
        <v>0</v>
      </c>
      <c r="E1061" s="2" t="str">
        <f>IFERROR(INDEX('Blackout Brand Fam Areas (Enc)'!$D$6:$D$998,MATCH(UPPER(A1061)&amp;"|"&amp;UPPER(B1061),'Blackout Brand Fam Areas (Enc)'!$G$6:$G$998,0)),"No Match")</f>
        <v>Inactive</v>
      </c>
      <c r="F1061" s="2" t="str">
        <f t="shared" si="32"/>
        <v>THEM</v>
      </c>
      <c r="G1061" s="2" t="str">
        <f t="shared" si="33"/>
        <v>Tecate|MORRIS 3</v>
      </c>
    </row>
    <row r="1062" spans="1:7" x14ac:dyDescent="0.2">
      <c r="A1062" s="2" t="str" cm="1">
        <f t="array" ref="A1062">INDEX('[1]Brand Family Territory (Enc)'!$A$2:$A$296,INT((ROW()-2)/10)+1)</f>
        <v>Tecate Light</v>
      </c>
      <c r="B1062" s="2" t="str" cm="1">
        <f t="array" ref="B1062">INDEX('Whitelist (Blackout Reverse)'!$B$1:$K$1,MOD(ROW()-2,10)+1)</f>
        <v>BERGEN</v>
      </c>
      <c r="C1062" s="2" t="str">
        <f>VLOOKUP(A1062,'[1]Brand Family Territory (Enc)'!$A$2:$B$296,2,FALSE)</f>
        <v>Bergen &amp; Passaic</v>
      </c>
      <c r="D1062" s="2">
        <f>IF(COUNTIFS('[1]Brand Family Territories (Enc)'!$B$2:$B$62,C1062,'[1]Brand Family Territories (Enc)'!$C$2:$C$62,B1062)&gt;0,1,IF(AND(LEFT(B1062,6)="MORRIS",COUNTIFS('[1]Brand Family Territories (Enc)'!$B$2:$B$62,C1062,'[1]Brand Family Territories (Enc)'!$C$2:$C$62,"Morri")&gt;0),"Unk",0))</f>
        <v>1</v>
      </c>
      <c r="E1062" s="2" t="str">
        <f>IFERROR(INDEX('Blackout Brand Fam Areas (Enc)'!$D$6:$D$998,MATCH(UPPER(A1062)&amp;"|"&amp;UPPER(B1062),'Blackout Brand Fam Areas (Enc)'!$G$6:$G$998,0)),"No Match")</f>
        <v>No Match</v>
      </c>
      <c r="F1062" s="2" t="str">
        <f t="shared" si="32"/>
        <v>US</v>
      </c>
      <c r="G1062" s="2" t="str">
        <f t="shared" si="33"/>
        <v>Tecate Light|BERGEN</v>
      </c>
    </row>
    <row r="1063" spans="1:7" x14ac:dyDescent="0.2">
      <c r="A1063" s="2" t="str" cm="1">
        <f t="array" ref="A1063">INDEX('[1]Brand Family Territory (Enc)'!$A$2:$A$296,INT((ROW()-2)/10)+1)</f>
        <v>Tecate Light</v>
      </c>
      <c r="B1063" s="2" t="str" cm="1">
        <f t="array" ref="B1063">INDEX('Whitelist (Blackout Reverse)'!$B$1:$K$1,MOD(ROW()-2,10)+1)</f>
        <v>PASSAIC</v>
      </c>
      <c r="C1063" s="2" t="str">
        <f>VLOOKUP(A1063,'[1]Brand Family Territory (Enc)'!$A$2:$B$296,2,FALSE)</f>
        <v>Bergen &amp; Passaic</v>
      </c>
      <c r="D1063" s="2">
        <f>IF(COUNTIFS('[1]Brand Family Territories (Enc)'!$B$2:$B$62,C1063,'[1]Brand Family Territories (Enc)'!$C$2:$C$62,B1063)&gt;0,1,IF(AND(LEFT(B1063,6)="MORRIS",COUNTIFS('[1]Brand Family Territories (Enc)'!$B$2:$B$62,C1063,'[1]Brand Family Territories (Enc)'!$C$2:$C$62,"Morri")&gt;0),"Unk",0))</f>
        <v>1</v>
      </c>
      <c r="E1063" s="2" t="str">
        <f>IFERROR(INDEX('Blackout Brand Fam Areas (Enc)'!$D$6:$D$998,MATCH(UPPER(A1063)&amp;"|"&amp;UPPER(B1063),'Blackout Brand Fam Areas (Enc)'!$G$6:$G$998,0)),"No Match")</f>
        <v>No Match</v>
      </c>
      <c r="F1063" s="2" t="str">
        <f t="shared" si="32"/>
        <v>US</v>
      </c>
      <c r="G1063" s="2" t="str">
        <f t="shared" si="33"/>
        <v>Tecate Light|PASSAIC</v>
      </c>
    </row>
    <row r="1064" spans="1:7" x14ac:dyDescent="0.2">
      <c r="A1064" s="2" t="str" cm="1">
        <f t="array" ref="A1064">INDEX('[1]Brand Family Territory (Enc)'!$A$2:$A$296,INT((ROW()-2)/10)+1)</f>
        <v>Tecate Light</v>
      </c>
      <c r="B1064" s="2" t="str" cm="1">
        <f t="array" ref="B1064">INDEX('Whitelist (Blackout Reverse)'!$B$1:$K$1,MOD(ROW()-2,10)+1)</f>
        <v>PASSAIC-FF</v>
      </c>
      <c r="C1064" s="2" t="str">
        <f>VLOOKUP(A1064,'[1]Brand Family Territory (Enc)'!$A$2:$B$296,2,FALSE)</f>
        <v>Bergen &amp; Passaic</v>
      </c>
      <c r="D1064" s="2">
        <f>IF(COUNTIFS('[1]Brand Family Territories (Enc)'!$B$2:$B$62,C1064,'[1]Brand Family Territories (Enc)'!$C$2:$C$62,B1064)&gt;0,1,IF(AND(LEFT(B1064,6)="MORRIS",COUNTIFS('[1]Brand Family Territories (Enc)'!$B$2:$B$62,C1064,'[1]Brand Family Territories (Enc)'!$C$2:$C$62,"Morri")&gt;0),"Unk",0))</f>
        <v>1</v>
      </c>
      <c r="E1064" s="2" t="str">
        <f>IFERROR(INDEX('Blackout Brand Fam Areas (Enc)'!$D$6:$D$998,MATCH(UPPER(A1064)&amp;"|"&amp;UPPER(B1064),'Blackout Brand Fam Areas (Enc)'!$G$6:$G$998,0)),"No Match")</f>
        <v>No Match</v>
      </c>
      <c r="F1064" s="2" t="str">
        <f t="shared" si="32"/>
        <v>US</v>
      </c>
      <c r="G1064" s="2" t="str">
        <f t="shared" si="33"/>
        <v>Tecate Light|PASSAIC-FF</v>
      </c>
    </row>
    <row r="1065" spans="1:7" x14ac:dyDescent="0.2">
      <c r="A1065" s="2" t="str" cm="1">
        <f t="array" ref="A1065">INDEX('[1]Brand Family Territory (Enc)'!$A$2:$A$296,INT((ROW()-2)/10)+1)</f>
        <v>Tecate Light</v>
      </c>
      <c r="B1065" s="2" t="str" cm="1">
        <f t="array" ref="B1065">INDEX('Whitelist (Blackout Reverse)'!$B$1:$K$1,MOD(ROW()-2,10)+1)</f>
        <v>ESSEX</v>
      </c>
      <c r="C1065" s="2" t="str">
        <f>VLOOKUP(A1065,'[1]Brand Family Territory (Enc)'!$A$2:$B$296,2,FALSE)</f>
        <v>Bergen &amp; Passaic</v>
      </c>
      <c r="D1065" s="2">
        <f>IF(COUNTIFS('[1]Brand Family Territories (Enc)'!$B$2:$B$62,C1065,'[1]Brand Family Territories (Enc)'!$C$2:$C$62,B1065)&gt;0,1,IF(AND(LEFT(B1065,6)="MORRIS",COUNTIFS('[1]Brand Family Territories (Enc)'!$B$2:$B$62,C1065,'[1]Brand Family Territories (Enc)'!$C$2:$C$62,"Morri")&gt;0),"Unk",0))</f>
        <v>0</v>
      </c>
      <c r="E1065" s="2" t="str">
        <f>IFERROR(INDEX('Blackout Brand Fam Areas (Enc)'!$D$6:$D$998,MATCH(UPPER(A1065)&amp;"|"&amp;UPPER(B1065),'Blackout Brand Fam Areas (Enc)'!$G$6:$G$998,0)),"No Match")</f>
        <v>Inactive</v>
      </c>
      <c r="F1065" s="2" t="str">
        <f t="shared" si="32"/>
        <v>THEM</v>
      </c>
      <c r="G1065" s="2" t="str">
        <f t="shared" si="33"/>
        <v>Tecate Light|ESSEX</v>
      </c>
    </row>
    <row r="1066" spans="1:7" x14ac:dyDescent="0.2">
      <c r="A1066" s="2" t="str" cm="1">
        <f t="array" ref="A1066">INDEX('[1]Brand Family Territory (Enc)'!$A$2:$A$296,INT((ROW()-2)/10)+1)</f>
        <v>Tecate Light</v>
      </c>
      <c r="B1066" s="2" t="str" cm="1">
        <f t="array" ref="B1066">INDEX('Whitelist (Blackout Reverse)'!$B$1:$K$1,MOD(ROW()-2,10)+1)</f>
        <v>HUDSON</v>
      </c>
      <c r="C1066" s="2" t="str">
        <f>VLOOKUP(A1066,'[1]Brand Family Territory (Enc)'!$A$2:$B$296,2,FALSE)</f>
        <v>Bergen &amp; Passaic</v>
      </c>
      <c r="D1066" s="2">
        <f>IF(COUNTIFS('[1]Brand Family Territories (Enc)'!$B$2:$B$62,C1066,'[1]Brand Family Territories (Enc)'!$C$2:$C$62,B1066)&gt;0,1,IF(AND(LEFT(B1066,6)="MORRIS",COUNTIFS('[1]Brand Family Territories (Enc)'!$B$2:$B$62,C1066,'[1]Brand Family Territories (Enc)'!$C$2:$C$62,"Morri")&gt;0),"Unk",0))</f>
        <v>0</v>
      </c>
      <c r="E1066" s="2" t="str">
        <f>IFERROR(INDEX('Blackout Brand Fam Areas (Enc)'!$D$6:$D$998,MATCH(UPPER(A1066)&amp;"|"&amp;UPPER(B1066),'Blackout Brand Fam Areas (Enc)'!$G$6:$G$998,0)),"No Match")</f>
        <v>Inactive</v>
      </c>
      <c r="F1066" s="2" t="str">
        <f t="shared" si="32"/>
        <v>THEM</v>
      </c>
      <c r="G1066" s="2" t="str">
        <f t="shared" si="33"/>
        <v>Tecate Light|HUDSON</v>
      </c>
    </row>
    <row r="1067" spans="1:7" x14ac:dyDescent="0.2">
      <c r="A1067" s="2" t="str" cm="1">
        <f t="array" ref="A1067">INDEX('[1]Brand Family Territory (Enc)'!$A$2:$A$296,INT((ROW()-2)/10)+1)</f>
        <v>Tecate Light</v>
      </c>
      <c r="B1067" s="2" t="str" cm="1">
        <f t="array" ref="B1067">INDEX('Whitelist (Blackout Reverse)'!$B$1:$K$1,MOD(ROW()-2,10)+1)</f>
        <v>UNION</v>
      </c>
      <c r="C1067" s="2" t="str">
        <f>VLOOKUP(A1067,'[1]Brand Family Territory (Enc)'!$A$2:$B$296,2,FALSE)</f>
        <v>Bergen &amp; Passaic</v>
      </c>
      <c r="D1067" s="2">
        <f>IF(COUNTIFS('[1]Brand Family Territories (Enc)'!$B$2:$B$62,C1067,'[1]Brand Family Territories (Enc)'!$C$2:$C$62,B1067)&gt;0,1,IF(AND(LEFT(B1067,6)="MORRIS",COUNTIFS('[1]Brand Family Territories (Enc)'!$B$2:$B$62,C1067,'[1]Brand Family Territories (Enc)'!$C$2:$C$62,"Morri")&gt;0),"Unk",0))</f>
        <v>0</v>
      </c>
      <c r="E1067" s="2" t="str">
        <f>IFERROR(INDEX('Blackout Brand Fam Areas (Enc)'!$D$6:$D$998,MATCH(UPPER(A1067)&amp;"|"&amp;UPPER(B1067),'Blackout Brand Fam Areas (Enc)'!$G$6:$G$998,0)),"No Match")</f>
        <v>Inactive</v>
      </c>
      <c r="F1067" s="2" t="str">
        <f t="shared" si="32"/>
        <v>THEM</v>
      </c>
      <c r="G1067" s="2" t="str">
        <f t="shared" si="33"/>
        <v>Tecate Light|UNION</v>
      </c>
    </row>
    <row r="1068" spans="1:7" x14ac:dyDescent="0.2">
      <c r="A1068" s="2" t="str" cm="1">
        <f t="array" ref="A1068">INDEX('[1]Brand Family Territory (Enc)'!$A$2:$A$296,INT((ROW()-2)/10)+1)</f>
        <v>Tecate Light</v>
      </c>
      <c r="B1068" s="2" t="str" cm="1">
        <f t="array" ref="B1068">INDEX('Whitelist (Blackout Reverse)'!$B$1:$K$1,MOD(ROW()-2,10)+1)</f>
        <v>SUSSEX</v>
      </c>
      <c r="C1068" s="2" t="str">
        <f>VLOOKUP(A1068,'[1]Brand Family Territory (Enc)'!$A$2:$B$296,2,FALSE)</f>
        <v>Bergen &amp; Passaic</v>
      </c>
      <c r="D1068" s="2">
        <f>IF(COUNTIFS('[1]Brand Family Territories (Enc)'!$B$2:$B$62,C1068,'[1]Brand Family Territories (Enc)'!$C$2:$C$62,B1068)&gt;0,1,IF(AND(LEFT(B1068,6)="MORRIS",COUNTIFS('[1]Brand Family Territories (Enc)'!$B$2:$B$62,C1068,'[1]Brand Family Territories (Enc)'!$C$2:$C$62,"Morri")&gt;0),"Unk",0))</f>
        <v>0</v>
      </c>
      <c r="E1068" s="2" t="str">
        <f>IFERROR(INDEX('Blackout Brand Fam Areas (Enc)'!$D$6:$D$998,MATCH(UPPER(A1068)&amp;"|"&amp;UPPER(B1068),'Blackout Brand Fam Areas (Enc)'!$G$6:$G$998,0)),"No Match")</f>
        <v>Inactive</v>
      </c>
      <c r="F1068" s="2" t="str">
        <f t="shared" si="32"/>
        <v>THEM</v>
      </c>
      <c r="G1068" s="2" t="str">
        <f t="shared" si="33"/>
        <v>Tecate Light|SUSSEX</v>
      </c>
    </row>
    <row r="1069" spans="1:7" x14ac:dyDescent="0.2">
      <c r="A1069" s="2" t="str" cm="1">
        <f t="array" ref="A1069">INDEX('[1]Brand Family Territory (Enc)'!$A$2:$A$296,INT((ROW()-2)/10)+1)</f>
        <v>Tecate Light</v>
      </c>
      <c r="B1069" s="2" t="str" cm="1">
        <f t="array" ref="B1069">INDEX('Whitelist (Blackout Reverse)'!$B$1:$K$1,MOD(ROW()-2,10)+1)</f>
        <v>MORRIS 1</v>
      </c>
      <c r="C1069" s="2" t="str">
        <f>VLOOKUP(A1069,'[1]Brand Family Territory (Enc)'!$A$2:$B$296,2,FALSE)</f>
        <v>Bergen &amp; Passaic</v>
      </c>
      <c r="D1069" s="2">
        <f>IF(COUNTIFS('[1]Brand Family Territories (Enc)'!$B$2:$B$62,C1069,'[1]Brand Family Territories (Enc)'!$C$2:$C$62,B1069)&gt;0,1,IF(AND(LEFT(B1069,6)="MORRIS",COUNTIFS('[1]Brand Family Territories (Enc)'!$B$2:$B$62,C1069,'[1]Brand Family Territories (Enc)'!$C$2:$C$62,"Morri")&gt;0),"Unk",0))</f>
        <v>0</v>
      </c>
      <c r="E1069" s="2" t="str">
        <f>IFERROR(INDEX('Blackout Brand Fam Areas (Enc)'!$D$6:$D$998,MATCH(UPPER(A1069)&amp;"|"&amp;UPPER(B1069),'Blackout Brand Fam Areas (Enc)'!$G$6:$G$998,0)),"No Match")</f>
        <v>Inactive</v>
      </c>
      <c r="F1069" s="2" t="str">
        <f t="shared" si="32"/>
        <v>THEM</v>
      </c>
      <c r="G1069" s="2" t="str">
        <f t="shared" si="33"/>
        <v>Tecate Light|MORRIS 1</v>
      </c>
    </row>
    <row r="1070" spans="1:7" x14ac:dyDescent="0.2">
      <c r="A1070" s="2" t="str" cm="1">
        <f t="array" ref="A1070">INDEX('[1]Brand Family Territory (Enc)'!$A$2:$A$296,INT((ROW()-2)/10)+1)</f>
        <v>Tecate Light</v>
      </c>
      <c r="B1070" s="2" t="str" cm="1">
        <f t="array" ref="B1070">INDEX('Whitelist (Blackout Reverse)'!$B$1:$K$1,MOD(ROW()-2,10)+1)</f>
        <v>MORRIS 2</v>
      </c>
      <c r="C1070" s="2" t="str">
        <f>VLOOKUP(A1070,'[1]Brand Family Territory (Enc)'!$A$2:$B$296,2,FALSE)</f>
        <v>Bergen &amp; Passaic</v>
      </c>
      <c r="D1070" s="2">
        <f>IF(COUNTIFS('[1]Brand Family Territories (Enc)'!$B$2:$B$62,C1070,'[1]Brand Family Territories (Enc)'!$C$2:$C$62,B1070)&gt;0,1,IF(AND(LEFT(B1070,6)="MORRIS",COUNTIFS('[1]Brand Family Territories (Enc)'!$B$2:$B$62,C1070,'[1]Brand Family Territories (Enc)'!$C$2:$C$62,"Morri")&gt;0),"Unk",0))</f>
        <v>0</v>
      </c>
      <c r="E1070" s="2" t="str">
        <f>IFERROR(INDEX('Blackout Brand Fam Areas (Enc)'!$D$6:$D$998,MATCH(UPPER(A1070)&amp;"|"&amp;UPPER(B1070),'Blackout Brand Fam Areas (Enc)'!$G$6:$G$998,0)),"No Match")</f>
        <v>Inactive</v>
      </c>
      <c r="F1070" s="2" t="str">
        <f t="shared" si="32"/>
        <v>THEM</v>
      </c>
      <c r="G1070" s="2" t="str">
        <f t="shared" si="33"/>
        <v>Tecate Light|MORRIS 2</v>
      </c>
    </row>
    <row r="1071" spans="1:7" x14ac:dyDescent="0.2">
      <c r="A1071" s="2" t="str" cm="1">
        <f t="array" ref="A1071">INDEX('[1]Brand Family Territory (Enc)'!$A$2:$A$296,INT((ROW()-2)/10)+1)</f>
        <v>Tecate Light</v>
      </c>
      <c r="B1071" s="2" t="str" cm="1">
        <f t="array" ref="B1071">INDEX('Whitelist (Blackout Reverse)'!$B$1:$K$1,MOD(ROW()-2,10)+1)</f>
        <v>MORRIS 3</v>
      </c>
      <c r="C1071" s="2" t="str">
        <f>VLOOKUP(A1071,'[1]Brand Family Territory (Enc)'!$A$2:$B$296,2,FALSE)</f>
        <v>Bergen &amp; Passaic</v>
      </c>
      <c r="D1071" s="2">
        <f>IF(COUNTIFS('[1]Brand Family Territories (Enc)'!$B$2:$B$62,C1071,'[1]Brand Family Territories (Enc)'!$C$2:$C$62,B1071)&gt;0,1,IF(AND(LEFT(B1071,6)="MORRIS",COUNTIFS('[1]Brand Family Territories (Enc)'!$B$2:$B$62,C1071,'[1]Brand Family Territories (Enc)'!$C$2:$C$62,"Morri")&gt;0),"Unk",0))</f>
        <v>0</v>
      </c>
      <c r="E1071" s="2" t="str">
        <f>IFERROR(INDEX('Blackout Brand Fam Areas (Enc)'!$D$6:$D$998,MATCH(UPPER(A1071)&amp;"|"&amp;UPPER(B1071),'Blackout Brand Fam Areas (Enc)'!$G$6:$G$998,0)),"No Match")</f>
        <v>Inactive</v>
      </c>
      <c r="F1071" s="2" t="str">
        <f t="shared" si="32"/>
        <v>THEM</v>
      </c>
      <c r="G1071" s="2" t="str">
        <f t="shared" si="33"/>
        <v>Tecate Light|MORRIS 3</v>
      </c>
    </row>
    <row r="1072" spans="1:7" x14ac:dyDescent="0.2">
      <c r="A1072" s="2" t="str" cm="1">
        <f t="array" ref="A1072">INDEX('[1]Brand Family Territory (Enc)'!$A$2:$A$296,INT((ROW()-2)/10)+1)</f>
        <v>Amstel</v>
      </c>
      <c r="B1072" s="2" t="str" cm="1">
        <f t="array" ref="B1072">INDEX('Whitelist (Blackout Reverse)'!$B$1:$K$1,MOD(ROW()-2,10)+1)</f>
        <v>BERGEN</v>
      </c>
      <c r="C1072" s="2" t="str">
        <f>VLOOKUP(A1072,'[1]Brand Family Territory (Enc)'!$A$2:$B$296,2,FALSE)</f>
        <v>Core + Morris Communities</v>
      </c>
      <c r="D1072" s="2">
        <f>IF(COUNTIFS('[1]Brand Family Territories (Enc)'!$B$2:$B$62,C1072,'[1]Brand Family Territories (Enc)'!$C$2:$C$62,B1072)&gt;0,1,IF(AND(LEFT(B1072,6)="MORRIS",COUNTIFS('[1]Brand Family Territories (Enc)'!$B$2:$B$62,C1072,'[1]Brand Family Territories (Enc)'!$C$2:$C$62,"Morri")&gt;0),"Unk",0))</f>
        <v>1</v>
      </c>
      <c r="E1072" s="2" t="str">
        <f>IFERROR(INDEX('Blackout Brand Fam Areas (Enc)'!$D$6:$D$998,MATCH(UPPER(A1072)&amp;"|"&amp;UPPER(B1072),'Blackout Brand Fam Areas (Enc)'!$G$6:$G$998,0)),"No Match")</f>
        <v>No Match</v>
      </c>
      <c r="F1072" s="2" t="str">
        <f t="shared" si="32"/>
        <v>US</v>
      </c>
      <c r="G1072" s="2" t="str">
        <f t="shared" si="33"/>
        <v>Amstel|BERGEN</v>
      </c>
    </row>
    <row r="1073" spans="1:7" x14ac:dyDescent="0.2">
      <c r="A1073" s="2" t="str" cm="1">
        <f t="array" ref="A1073">INDEX('[1]Brand Family Territory (Enc)'!$A$2:$A$296,INT((ROW()-2)/10)+1)</f>
        <v>Amstel</v>
      </c>
      <c r="B1073" s="2" t="str" cm="1">
        <f t="array" ref="B1073">INDEX('Whitelist (Blackout Reverse)'!$B$1:$K$1,MOD(ROW()-2,10)+1)</f>
        <v>PASSAIC</v>
      </c>
      <c r="C1073" s="2" t="str">
        <f>VLOOKUP(A1073,'[1]Brand Family Territory (Enc)'!$A$2:$B$296,2,FALSE)</f>
        <v>Core + Morris Communities</v>
      </c>
      <c r="D1073" s="2">
        <f>IF(COUNTIFS('[1]Brand Family Territories (Enc)'!$B$2:$B$62,C1073,'[1]Brand Family Territories (Enc)'!$C$2:$C$62,B1073)&gt;0,1,IF(AND(LEFT(B1073,6)="MORRIS",COUNTIFS('[1]Brand Family Territories (Enc)'!$B$2:$B$62,C1073,'[1]Brand Family Territories (Enc)'!$C$2:$C$62,"Morri")&gt;0),"Unk",0))</f>
        <v>1</v>
      </c>
      <c r="E1073" s="2" t="str">
        <f>IFERROR(INDEX('Blackout Brand Fam Areas (Enc)'!$D$6:$D$998,MATCH(UPPER(A1073)&amp;"|"&amp;UPPER(B1073),'Blackout Brand Fam Areas (Enc)'!$G$6:$G$998,0)),"No Match")</f>
        <v>No Match</v>
      </c>
      <c r="F1073" s="2" t="str">
        <f t="shared" si="32"/>
        <v>US</v>
      </c>
      <c r="G1073" s="2" t="str">
        <f t="shared" si="33"/>
        <v>Amstel|PASSAIC</v>
      </c>
    </row>
    <row r="1074" spans="1:7" x14ac:dyDescent="0.2">
      <c r="A1074" s="2" t="str" cm="1">
        <f t="array" ref="A1074">INDEX('[1]Brand Family Territory (Enc)'!$A$2:$A$296,INT((ROW()-2)/10)+1)</f>
        <v>Amstel</v>
      </c>
      <c r="B1074" s="2" t="str" cm="1">
        <f t="array" ref="B1074">INDEX('Whitelist (Blackout Reverse)'!$B$1:$K$1,MOD(ROW()-2,10)+1)</f>
        <v>PASSAIC-FF</v>
      </c>
      <c r="C1074" s="2" t="str">
        <f>VLOOKUP(A1074,'[1]Brand Family Territory (Enc)'!$A$2:$B$296,2,FALSE)</f>
        <v>Core + Morris Communities</v>
      </c>
      <c r="D1074" s="2">
        <f>IF(COUNTIFS('[1]Brand Family Territories (Enc)'!$B$2:$B$62,C1074,'[1]Brand Family Territories (Enc)'!$C$2:$C$62,B1074)&gt;0,1,IF(AND(LEFT(B1074,6)="MORRIS",COUNTIFS('[1]Brand Family Territories (Enc)'!$B$2:$B$62,C1074,'[1]Brand Family Territories (Enc)'!$C$2:$C$62,"Morri")&gt;0),"Unk",0))</f>
        <v>1</v>
      </c>
      <c r="E1074" s="2" t="str">
        <f>IFERROR(INDEX('Blackout Brand Fam Areas (Enc)'!$D$6:$D$998,MATCH(UPPER(A1074)&amp;"|"&amp;UPPER(B1074),'Blackout Brand Fam Areas (Enc)'!$G$6:$G$998,0)),"No Match")</f>
        <v>No Match</v>
      </c>
      <c r="F1074" s="2" t="str">
        <f t="shared" si="32"/>
        <v>US</v>
      </c>
      <c r="G1074" s="2" t="str">
        <f t="shared" si="33"/>
        <v>Amstel|PASSAIC-FF</v>
      </c>
    </row>
    <row r="1075" spans="1:7" x14ac:dyDescent="0.2">
      <c r="A1075" s="2" t="str" cm="1">
        <f t="array" ref="A1075">INDEX('[1]Brand Family Territory (Enc)'!$A$2:$A$296,INT((ROW()-2)/10)+1)</f>
        <v>Amstel</v>
      </c>
      <c r="B1075" s="2" t="str" cm="1">
        <f t="array" ref="B1075">INDEX('Whitelist (Blackout Reverse)'!$B$1:$K$1,MOD(ROW()-2,10)+1)</f>
        <v>ESSEX</v>
      </c>
      <c r="C1075" s="2" t="str">
        <f>VLOOKUP(A1075,'[1]Brand Family Territory (Enc)'!$A$2:$B$296,2,FALSE)</f>
        <v>Core + Morris Communities</v>
      </c>
      <c r="D1075" s="2">
        <f>IF(COUNTIFS('[1]Brand Family Territories (Enc)'!$B$2:$B$62,C1075,'[1]Brand Family Territories (Enc)'!$C$2:$C$62,B1075)&gt;0,1,IF(AND(LEFT(B1075,6)="MORRIS",COUNTIFS('[1]Brand Family Territories (Enc)'!$B$2:$B$62,C1075,'[1]Brand Family Territories (Enc)'!$C$2:$C$62,"Morri")&gt;0),"Unk",0))</f>
        <v>0</v>
      </c>
      <c r="E1075" s="2" t="str">
        <f>IFERROR(INDEX('Blackout Brand Fam Areas (Enc)'!$D$6:$D$998,MATCH(UPPER(A1075)&amp;"|"&amp;UPPER(B1075),'Blackout Brand Fam Areas (Enc)'!$G$6:$G$998,0)),"No Match")</f>
        <v>Inactive</v>
      </c>
      <c r="F1075" s="2" t="str">
        <f t="shared" si="32"/>
        <v>THEM</v>
      </c>
      <c r="G1075" s="2" t="str">
        <f t="shared" si="33"/>
        <v>Amstel|ESSEX</v>
      </c>
    </row>
    <row r="1076" spans="1:7" x14ac:dyDescent="0.2">
      <c r="A1076" s="2" t="str" cm="1">
        <f t="array" ref="A1076">INDEX('[1]Brand Family Territory (Enc)'!$A$2:$A$296,INT((ROW()-2)/10)+1)</f>
        <v>Amstel</v>
      </c>
      <c r="B1076" s="2" t="str" cm="1">
        <f t="array" ref="B1076">INDEX('Whitelist (Blackout Reverse)'!$B$1:$K$1,MOD(ROW()-2,10)+1)</f>
        <v>HUDSON</v>
      </c>
      <c r="C1076" s="2" t="str">
        <f>VLOOKUP(A1076,'[1]Brand Family Territory (Enc)'!$A$2:$B$296,2,FALSE)</f>
        <v>Core + Morris Communities</v>
      </c>
      <c r="D1076" s="2">
        <f>IF(COUNTIFS('[1]Brand Family Territories (Enc)'!$B$2:$B$62,C1076,'[1]Brand Family Territories (Enc)'!$C$2:$C$62,B1076)&gt;0,1,IF(AND(LEFT(B1076,6)="MORRIS",COUNTIFS('[1]Brand Family Territories (Enc)'!$B$2:$B$62,C1076,'[1]Brand Family Territories (Enc)'!$C$2:$C$62,"Morri")&gt;0),"Unk",0))</f>
        <v>0</v>
      </c>
      <c r="E1076" s="2" t="str">
        <f>IFERROR(INDEX('Blackout Brand Fam Areas (Enc)'!$D$6:$D$998,MATCH(UPPER(A1076)&amp;"|"&amp;UPPER(B1076),'Blackout Brand Fam Areas (Enc)'!$G$6:$G$998,0)),"No Match")</f>
        <v>Inactive</v>
      </c>
      <c r="F1076" s="2" t="str">
        <f t="shared" si="32"/>
        <v>THEM</v>
      </c>
      <c r="G1076" s="2" t="str">
        <f t="shared" si="33"/>
        <v>Amstel|HUDSON</v>
      </c>
    </row>
    <row r="1077" spans="1:7" x14ac:dyDescent="0.2">
      <c r="A1077" s="2" t="str" cm="1">
        <f t="array" ref="A1077">INDEX('[1]Brand Family Territory (Enc)'!$A$2:$A$296,INT((ROW()-2)/10)+1)</f>
        <v>Amstel</v>
      </c>
      <c r="B1077" s="2" t="str" cm="1">
        <f t="array" ref="B1077">INDEX('Whitelist (Blackout Reverse)'!$B$1:$K$1,MOD(ROW()-2,10)+1)</f>
        <v>UNION</v>
      </c>
      <c r="C1077" s="2" t="str">
        <f>VLOOKUP(A1077,'[1]Brand Family Territory (Enc)'!$A$2:$B$296,2,FALSE)</f>
        <v>Core + Morris Communities</v>
      </c>
      <c r="D1077" s="2">
        <f>IF(COUNTIFS('[1]Brand Family Territories (Enc)'!$B$2:$B$62,C1077,'[1]Brand Family Territories (Enc)'!$C$2:$C$62,B1077)&gt;0,1,IF(AND(LEFT(B1077,6)="MORRIS",COUNTIFS('[1]Brand Family Territories (Enc)'!$B$2:$B$62,C1077,'[1]Brand Family Territories (Enc)'!$C$2:$C$62,"Morri")&gt;0),"Unk",0))</f>
        <v>0</v>
      </c>
      <c r="E1077" s="2" t="str">
        <f>IFERROR(INDEX('Blackout Brand Fam Areas (Enc)'!$D$6:$D$998,MATCH(UPPER(A1077)&amp;"|"&amp;UPPER(B1077),'Blackout Brand Fam Areas (Enc)'!$G$6:$G$998,0)),"No Match")</f>
        <v>Inactive</v>
      </c>
      <c r="F1077" s="2" t="str">
        <f t="shared" si="32"/>
        <v>THEM</v>
      </c>
      <c r="G1077" s="2" t="str">
        <f t="shared" si="33"/>
        <v>Amstel|UNION</v>
      </c>
    </row>
    <row r="1078" spans="1:7" x14ac:dyDescent="0.2">
      <c r="A1078" s="2" t="str" cm="1">
        <f t="array" ref="A1078">INDEX('[1]Brand Family Territory (Enc)'!$A$2:$A$296,INT((ROW()-2)/10)+1)</f>
        <v>Amstel</v>
      </c>
      <c r="B1078" s="2" t="str" cm="1">
        <f t="array" ref="B1078">INDEX('Whitelist (Blackout Reverse)'!$B$1:$K$1,MOD(ROW()-2,10)+1)</f>
        <v>SUSSEX</v>
      </c>
      <c r="C1078" s="2" t="str">
        <f>VLOOKUP(A1078,'[1]Brand Family Territory (Enc)'!$A$2:$B$296,2,FALSE)</f>
        <v>Core + Morris Communities</v>
      </c>
      <c r="D1078" s="2">
        <f>IF(COUNTIFS('[1]Brand Family Territories (Enc)'!$B$2:$B$62,C1078,'[1]Brand Family Territories (Enc)'!$C$2:$C$62,B1078)&gt;0,1,IF(AND(LEFT(B1078,6)="MORRIS",COUNTIFS('[1]Brand Family Territories (Enc)'!$B$2:$B$62,C1078,'[1]Brand Family Territories (Enc)'!$C$2:$C$62,"Morri")&gt;0),"Unk",0))</f>
        <v>0</v>
      </c>
      <c r="E1078" s="2" t="str">
        <f>IFERROR(INDEX('Blackout Brand Fam Areas (Enc)'!$D$6:$D$998,MATCH(UPPER(A1078)&amp;"|"&amp;UPPER(B1078),'Blackout Brand Fam Areas (Enc)'!$G$6:$G$998,0)),"No Match")</f>
        <v>Inactive</v>
      </c>
      <c r="F1078" s="2" t="str">
        <f t="shared" si="32"/>
        <v>THEM</v>
      </c>
      <c r="G1078" s="2" t="str">
        <f t="shared" si="33"/>
        <v>Amstel|SUSSEX</v>
      </c>
    </row>
    <row r="1079" spans="1:7" x14ac:dyDescent="0.2">
      <c r="A1079" s="2" t="str" cm="1">
        <f t="array" ref="A1079">INDEX('[1]Brand Family Territory (Enc)'!$A$2:$A$296,INT((ROW()-2)/10)+1)</f>
        <v>Amstel</v>
      </c>
      <c r="B1079" s="2" t="str" cm="1">
        <f t="array" ref="B1079">INDEX('Whitelist (Blackout Reverse)'!$B$1:$K$1,MOD(ROW()-2,10)+1)</f>
        <v>MORRIS 1</v>
      </c>
      <c r="C1079" s="2" t="str">
        <f>VLOOKUP(A1079,'[1]Brand Family Territory (Enc)'!$A$2:$B$296,2,FALSE)</f>
        <v>Core + Morris Communities</v>
      </c>
      <c r="D1079" s="2">
        <f>IF(COUNTIFS('[1]Brand Family Territories (Enc)'!$B$2:$B$62,C1079,'[1]Brand Family Territories (Enc)'!$C$2:$C$62,B1079)&gt;0,1,IF(AND(LEFT(B1079,6)="MORRIS",COUNTIFS('[1]Brand Family Territories (Enc)'!$B$2:$B$62,C1079,'[1]Brand Family Territories (Enc)'!$C$2:$C$62,"Morri")&gt;0),"Unk",0))</f>
        <v>1</v>
      </c>
      <c r="E1079" s="2" t="str">
        <f>IFERROR(INDEX('Blackout Brand Fam Areas (Enc)'!$D$6:$D$998,MATCH(UPPER(A1079)&amp;"|"&amp;UPPER(B1079),'Blackout Brand Fam Areas (Enc)'!$G$6:$G$998,0)),"No Match")</f>
        <v>Inactive</v>
      </c>
      <c r="F1079" s="2" t="str">
        <f t="shared" si="32"/>
        <v>THEM</v>
      </c>
      <c r="G1079" s="2" t="str">
        <f t="shared" si="33"/>
        <v>Amstel|MORRIS 1</v>
      </c>
    </row>
    <row r="1080" spans="1:7" x14ac:dyDescent="0.2">
      <c r="A1080" s="2" t="str" cm="1">
        <f t="array" ref="A1080">INDEX('[1]Brand Family Territory (Enc)'!$A$2:$A$296,INT((ROW()-2)/10)+1)</f>
        <v>Amstel</v>
      </c>
      <c r="B1080" s="2" t="str" cm="1">
        <f t="array" ref="B1080">INDEX('Whitelist (Blackout Reverse)'!$B$1:$K$1,MOD(ROW()-2,10)+1)</f>
        <v>MORRIS 2</v>
      </c>
      <c r="C1080" s="2" t="str">
        <f>VLOOKUP(A1080,'[1]Brand Family Territory (Enc)'!$A$2:$B$296,2,FALSE)</f>
        <v>Core + Morris Communities</v>
      </c>
      <c r="D1080" s="2">
        <f>IF(COUNTIFS('[1]Brand Family Territories (Enc)'!$B$2:$B$62,C1080,'[1]Brand Family Territories (Enc)'!$C$2:$C$62,B1080)&gt;0,1,IF(AND(LEFT(B1080,6)="MORRIS",COUNTIFS('[1]Brand Family Territories (Enc)'!$B$2:$B$62,C1080,'[1]Brand Family Territories (Enc)'!$C$2:$C$62,"Morri")&gt;0),"Unk",0))</f>
        <v>0</v>
      </c>
      <c r="E1080" s="2" t="str">
        <f>IFERROR(INDEX('Blackout Brand Fam Areas (Enc)'!$D$6:$D$998,MATCH(UPPER(A1080)&amp;"|"&amp;UPPER(B1080),'Blackout Brand Fam Areas (Enc)'!$G$6:$G$998,0)),"No Match")</f>
        <v>Inactive</v>
      </c>
      <c r="F1080" s="2" t="str">
        <f t="shared" si="32"/>
        <v>THEM</v>
      </c>
      <c r="G1080" s="2" t="str">
        <f t="shared" si="33"/>
        <v>Amstel|MORRIS 2</v>
      </c>
    </row>
    <row r="1081" spans="1:7" x14ac:dyDescent="0.2">
      <c r="A1081" s="2" t="str" cm="1">
        <f t="array" ref="A1081">INDEX('[1]Brand Family Territory (Enc)'!$A$2:$A$296,INT((ROW()-2)/10)+1)</f>
        <v>Amstel</v>
      </c>
      <c r="B1081" s="2" t="str" cm="1">
        <f t="array" ref="B1081">INDEX('Whitelist (Blackout Reverse)'!$B$1:$K$1,MOD(ROW()-2,10)+1)</f>
        <v>MORRIS 3</v>
      </c>
      <c r="C1081" s="2" t="str">
        <f>VLOOKUP(A1081,'[1]Brand Family Territory (Enc)'!$A$2:$B$296,2,FALSE)</f>
        <v>Core + Morris Communities</v>
      </c>
      <c r="D1081" s="2">
        <f>IF(COUNTIFS('[1]Brand Family Territories (Enc)'!$B$2:$B$62,C1081,'[1]Brand Family Territories (Enc)'!$C$2:$C$62,B1081)&gt;0,1,IF(AND(LEFT(B1081,6)="MORRIS",COUNTIFS('[1]Brand Family Territories (Enc)'!$B$2:$B$62,C1081,'[1]Brand Family Territories (Enc)'!$C$2:$C$62,"Morri")&gt;0),"Unk",0))</f>
        <v>1</v>
      </c>
      <c r="E1081" s="2" t="str">
        <f>IFERROR(INDEX('Blackout Brand Fam Areas (Enc)'!$D$6:$D$998,MATCH(UPPER(A1081)&amp;"|"&amp;UPPER(B1081),'Blackout Brand Fam Areas (Enc)'!$G$6:$G$998,0)),"No Match")</f>
        <v>No Match</v>
      </c>
      <c r="F1081" s="2" t="str">
        <f t="shared" si="32"/>
        <v>US</v>
      </c>
      <c r="G1081" s="2" t="str">
        <f t="shared" si="33"/>
        <v>Amstel|MORRIS 3</v>
      </c>
    </row>
    <row r="1082" spans="1:7" x14ac:dyDescent="0.2">
      <c r="A1082" s="2" t="str" cm="1">
        <f t="array" ref="A1082">INDEX('[1]Brand Family Territory (Enc)'!$A$2:$A$296,INT((ROW()-2)/10)+1)</f>
        <v>Daura</v>
      </c>
      <c r="B1082" s="2" t="str" cm="1">
        <f t="array" ref="B1082">INDEX('Whitelist (Blackout Reverse)'!$B$1:$K$1,MOD(ROW()-2,10)+1)</f>
        <v>BERGEN</v>
      </c>
      <c r="C1082" s="2" t="str">
        <f>VLOOKUP(A1082,'[1]Brand Family Territory (Enc)'!$A$2:$B$296,2,FALSE)</f>
        <v>Core + Morris Communities</v>
      </c>
      <c r="D1082" s="2">
        <f>IF(COUNTIFS('[1]Brand Family Territories (Enc)'!$B$2:$B$62,C1082,'[1]Brand Family Territories (Enc)'!$C$2:$C$62,B1082)&gt;0,1,IF(AND(LEFT(B1082,6)="MORRIS",COUNTIFS('[1]Brand Family Territories (Enc)'!$B$2:$B$62,C1082,'[1]Brand Family Territories (Enc)'!$C$2:$C$62,"Morri")&gt;0),"Unk",0))</f>
        <v>1</v>
      </c>
      <c r="E1082" s="2" t="str">
        <f>IFERROR(INDEX('Blackout Brand Fam Areas (Enc)'!$D$6:$D$998,MATCH(UPPER(A1082)&amp;"|"&amp;UPPER(B1082),'Blackout Brand Fam Areas (Enc)'!$G$6:$G$998,0)),"No Match")</f>
        <v>No Match</v>
      </c>
      <c r="F1082" s="2" t="str">
        <f t="shared" si="32"/>
        <v>US</v>
      </c>
      <c r="G1082" s="2" t="str">
        <f t="shared" si="33"/>
        <v>Daura|BERGEN</v>
      </c>
    </row>
    <row r="1083" spans="1:7" x14ac:dyDescent="0.2">
      <c r="A1083" s="2" t="str" cm="1">
        <f t="array" ref="A1083">INDEX('[1]Brand Family Territory (Enc)'!$A$2:$A$296,INT((ROW()-2)/10)+1)</f>
        <v>Daura</v>
      </c>
      <c r="B1083" s="2" t="str" cm="1">
        <f t="array" ref="B1083">INDEX('Whitelist (Blackout Reverse)'!$B$1:$K$1,MOD(ROW()-2,10)+1)</f>
        <v>PASSAIC</v>
      </c>
      <c r="C1083" s="2" t="str">
        <f>VLOOKUP(A1083,'[1]Brand Family Territory (Enc)'!$A$2:$B$296,2,FALSE)</f>
        <v>Core + Morris Communities</v>
      </c>
      <c r="D1083" s="2">
        <f>IF(COUNTIFS('[1]Brand Family Territories (Enc)'!$B$2:$B$62,C1083,'[1]Brand Family Territories (Enc)'!$C$2:$C$62,B1083)&gt;0,1,IF(AND(LEFT(B1083,6)="MORRIS",COUNTIFS('[1]Brand Family Territories (Enc)'!$B$2:$B$62,C1083,'[1]Brand Family Territories (Enc)'!$C$2:$C$62,"Morri")&gt;0),"Unk",0))</f>
        <v>1</v>
      </c>
      <c r="E1083" s="2" t="str">
        <f>IFERROR(INDEX('Blackout Brand Fam Areas (Enc)'!$D$6:$D$998,MATCH(UPPER(A1083)&amp;"|"&amp;UPPER(B1083),'Blackout Brand Fam Areas (Enc)'!$G$6:$G$998,0)),"No Match")</f>
        <v>No Match</v>
      </c>
      <c r="F1083" s="2" t="str">
        <f t="shared" si="32"/>
        <v>US</v>
      </c>
      <c r="G1083" s="2" t="str">
        <f t="shared" si="33"/>
        <v>Daura|PASSAIC</v>
      </c>
    </row>
    <row r="1084" spans="1:7" x14ac:dyDescent="0.2">
      <c r="A1084" s="2" t="str" cm="1">
        <f t="array" ref="A1084">INDEX('[1]Brand Family Territory (Enc)'!$A$2:$A$296,INT((ROW()-2)/10)+1)</f>
        <v>Daura</v>
      </c>
      <c r="B1084" s="2" t="str" cm="1">
        <f t="array" ref="B1084">INDEX('Whitelist (Blackout Reverse)'!$B$1:$K$1,MOD(ROW()-2,10)+1)</f>
        <v>PASSAIC-FF</v>
      </c>
      <c r="C1084" s="2" t="str">
        <f>VLOOKUP(A1084,'[1]Brand Family Territory (Enc)'!$A$2:$B$296,2,FALSE)</f>
        <v>Core + Morris Communities</v>
      </c>
      <c r="D1084" s="2">
        <f>IF(COUNTIFS('[1]Brand Family Territories (Enc)'!$B$2:$B$62,C1084,'[1]Brand Family Territories (Enc)'!$C$2:$C$62,B1084)&gt;0,1,IF(AND(LEFT(B1084,6)="MORRIS",COUNTIFS('[1]Brand Family Territories (Enc)'!$B$2:$B$62,C1084,'[1]Brand Family Territories (Enc)'!$C$2:$C$62,"Morri")&gt;0),"Unk",0))</f>
        <v>1</v>
      </c>
      <c r="E1084" s="2" t="str">
        <f>IFERROR(INDEX('Blackout Brand Fam Areas (Enc)'!$D$6:$D$998,MATCH(UPPER(A1084)&amp;"|"&amp;UPPER(B1084),'Blackout Brand Fam Areas (Enc)'!$G$6:$G$998,0)),"No Match")</f>
        <v>No Match</v>
      </c>
      <c r="F1084" s="2" t="str">
        <f t="shared" si="32"/>
        <v>US</v>
      </c>
      <c r="G1084" s="2" t="str">
        <f t="shared" si="33"/>
        <v>Daura|PASSAIC-FF</v>
      </c>
    </row>
    <row r="1085" spans="1:7" x14ac:dyDescent="0.2">
      <c r="A1085" s="2" t="str" cm="1">
        <f t="array" ref="A1085">INDEX('[1]Brand Family Territory (Enc)'!$A$2:$A$296,INT((ROW()-2)/10)+1)</f>
        <v>Daura</v>
      </c>
      <c r="B1085" s="2" t="str" cm="1">
        <f t="array" ref="B1085">INDEX('Whitelist (Blackout Reverse)'!$B$1:$K$1,MOD(ROW()-2,10)+1)</f>
        <v>ESSEX</v>
      </c>
      <c r="C1085" s="2" t="str">
        <f>VLOOKUP(A1085,'[1]Brand Family Territory (Enc)'!$A$2:$B$296,2,FALSE)</f>
        <v>Core + Morris Communities</v>
      </c>
      <c r="D1085" s="2">
        <f>IF(COUNTIFS('[1]Brand Family Territories (Enc)'!$B$2:$B$62,C1085,'[1]Brand Family Territories (Enc)'!$C$2:$C$62,B1085)&gt;0,1,IF(AND(LEFT(B1085,6)="MORRIS",COUNTIFS('[1]Brand Family Territories (Enc)'!$B$2:$B$62,C1085,'[1]Brand Family Territories (Enc)'!$C$2:$C$62,"Morri")&gt;0),"Unk",0))</f>
        <v>0</v>
      </c>
      <c r="E1085" s="2" t="str">
        <f>IFERROR(INDEX('Blackout Brand Fam Areas (Enc)'!$D$6:$D$998,MATCH(UPPER(A1085)&amp;"|"&amp;UPPER(B1085),'Blackout Brand Fam Areas (Enc)'!$G$6:$G$998,0)),"No Match")</f>
        <v>No Match</v>
      </c>
      <c r="F1085" s="2" t="str">
        <f t="shared" si="32"/>
        <v>THEM</v>
      </c>
      <c r="G1085" s="2" t="str">
        <f t="shared" si="33"/>
        <v>Daura|ESSEX</v>
      </c>
    </row>
    <row r="1086" spans="1:7" x14ac:dyDescent="0.2">
      <c r="A1086" s="2" t="str" cm="1">
        <f t="array" ref="A1086">INDEX('[1]Brand Family Territory (Enc)'!$A$2:$A$296,INT((ROW()-2)/10)+1)</f>
        <v>Daura</v>
      </c>
      <c r="B1086" s="2" t="str" cm="1">
        <f t="array" ref="B1086">INDEX('Whitelist (Blackout Reverse)'!$B$1:$K$1,MOD(ROW()-2,10)+1)</f>
        <v>HUDSON</v>
      </c>
      <c r="C1086" s="2" t="str">
        <f>VLOOKUP(A1086,'[1]Brand Family Territory (Enc)'!$A$2:$B$296,2,FALSE)</f>
        <v>Core + Morris Communities</v>
      </c>
      <c r="D1086" s="2">
        <f>IF(COUNTIFS('[1]Brand Family Territories (Enc)'!$B$2:$B$62,C1086,'[1]Brand Family Territories (Enc)'!$C$2:$C$62,B1086)&gt;0,1,IF(AND(LEFT(B1086,6)="MORRIS",COUNTIFS('[1]Brand Family Territories (Enc)'!$B$2:$B$62,C1086,'[1]Brand Family Territories (Enc)'!$C$2:$C$62,"Morri")&gt;0),"Unk",0))</f>
        <v>0</v>
      </c>
      <c r="E1086" s="2" t="str">
        <f>IFERROR(INDEX('Blackout Brand Fam Areas (Enc)'!$D$6:$D$998,MATCH(UPPER(A1086)&amp;"|"&amp;UPPER(B1086),'Blackout Brand Fam Areas (Enc)'!$G$6:$G$998,0)),"No Match")</f>
        <v>No Match</v>
      </c>
      <c r="F1086" s="2" t="str">
        <f t="shared" si="32"/>
        <v>THEM</v>
      </c>
      <c r="G1086" s="2" t="str">
        <f t="shared" si="33"/>
        <v>Daura|HUDSON</v>
      </c>
    </row>
    <row r="1087" spans="1:7" x14ac:dyDescent="0.2">
      <c r="A1087" s="2" t="str" cm="1">
        <f t="array" ref="A1087">INDEX('[1]Brand Family Territory (Enc)'!$A$2:$A$296,INT((ROW()-2)/10)+1)</f>
        <v>Daura</v>
      </c>
      <c r="B1087" s="2" t="str" cm="1">
        <f t="array" ref="B1087">INDEX('Whitelist (Blackout Reverse)'!$B$1:$K$1,MOD(ROW()-2,10)+1)</f>
        <v>UNION</v>
      </c>
      <c r="C1087" s="2" t="str">
        <f>VLOOKUP(A1087,'[1]Brand Family Territory (Enc)'!$A$2:$B$296,2,FALSE)</f>
        <v>Core + Morris Communities</v>
      </c>
      <c r="D1087" s="2">
        <f>IF(COUNTIFS('[1]Brand Family Territories (Enc)'!$B$2:$B$62,C1087,'[1]Brand Family Territories (Enc)'!$C$2:$C$62,B1087)&gt;0,1,IF(AND(LEFT(B1087,6)="MORRIS",COUNTIFS('[1]Brand Family Territories (Enc)'!$B$2:$B$62,C1087,'[1]Brand Family Territories (Enc)'!$C$2:$C$62,"Morri")&gt;0),"Unk",0))</f>
        <v>0</v>
      </c>
      <c r="E1087" s="2" t="str">
        <f>IFERROR(INDEX('Blackout Brand Fam Areas (Enc)'!$D$6:$D$998,MATCH(UPPER(A1087)&amp;"|"&amp;UPPER(B1087),'Blackout Brand Fam Areas (Enc)'!$G$6:$G$998,0)),"No Match")</f>
        <v>No Match</v>
      </c>
      <c r="F1087" s="2" t="str">
        <f t="shared" si="32"/>
        <v>THEM</v>
      </c>
      <c r="G1087" s="2" t="str">
        <f t="shared" si="33"/>
        <v>Daura|UNION</v>
      </c>
    </row>
    <row r="1088" spans="1:7" x14ac:dyDescent="0.2">
      <c r="A1088" s="2" t="str" cm="1">
        <f t="array" ref="A1088">INDEX('[1]Brand Family Territory (Enc)'!$A$2:$A$296,INT((ROW()-2)/10)+1)</f>
        <v>Daura</v>
      </c>
      <c r="B1088" s="2" t="str" cm="1">
        <f t="array" ref="B1088">INDEX('Whitelist (Blackout Reverse)'!$B$1:$K$1,MOD(ROW()-2,10)+1)</f>
        <v>SUSSEX</v>
      </c>
      <c r="C1088" s="2" t="str">
        <f>VLOOKUP(A1088,'[1]Brand Family Territory (Enc)'!$A$2:$B$296,2,FALSE)</f>
        <v>Core + Morris Communities</v>
      </c>
      <c r="D1088" s="2">
        <f>IF(COUNTIFS('[1]Brand Family Territories (Enc)'!$B$2:$B$62,C1088,'[1]Brand Family Territories (Enc)'!$C$2:$C$62,B1088)&gt;0,1,IF(AND(LEFT(B1088,6)="MORRIS",COUNTIFS('[1]Brand Family Territories (Enc)'!$B$2:$B$62,C1088,'[1]Brand Family Territories (Enc)'!$C$2:$C$62,"Morri")&gt;0),"Unk",0))</f>
        <v>0</v>
      </c>
      <c r="E1088" s="2" t="str">
        <f>IFERROR(INDEX('Blackout Brand Fam Areas (Enc)'!$D$6:$D$998,MATCH(UPPER(A1088)&amp;"|"&amp;UPPER(B1088),'Blackout Brand Fam Areas (Enc)'!$G$6:$G$998,0)),"No Match")</f>
        <v>Inactive</v>
      </c>
      <c r="F1088" s="2" t="str">
        <f t="shared" si="32"/>
        <v>THEM</v>
      </c>
      <c r="G1088" s="2" t="str">
        <f t="shared" si="33"/>
        <v>Daura|SUSSEX</v>
      </c>
    </row>
    <row r="1089" spans="1:7" x14ac:dyDescent="0.2">
      <c r="A1089" s="2" t="str" cm="1">
        <f t="array" ref="A1089">INDEX('[1]Brand Family Territory (Enc)'!$A$2:$A$296,INT((ROW()-2)/10)+1)</f>
        <v>Daura</v>
      </c>
      <c r="B1089" s="2" t="str" cm="1">
        <f t="array" ref="B1089">INDEX('Whitelist (Blackout Reverse)'!$B$1:$K$1,MOD(ROW()-2,10)+1)</f>
        <v>MORRIS 1</v>
      </c>
      <c r="C1089" s="2" t="str">
        <f>VLOOKUP(A1089,'[1]Brand Family Territory (Enc)'!$A$2:$B$296,2,FALSE)</f>
        <v>Core + Morris Communities</v>
      </c>
      <c r="D1089" s="2">
        <f>IF(COUNTIFS('[1]Brand Family Territories (Enc)'!$B$2:$B$62,C1089,'[1]Brand Family Territories (Enc)'!$C$2:$C$62,B1089)&gt;0,1,IF(AND(LEFT(B1089,6)="MORRIS",COUNTIFS('[1]Brand Family Territories (Enc)'!$B$2:$B$62,C1089,'[1]Brand Family Territories (Enc)'!$C$2:$C$62,"Morri")&gt;0),"Unk",0))</f>
        <v>1</v>
      </c>
      <c r="E1089" s="2" t="str">
        <f>IFERROR(INDEX('Blackout Brand Fam Areas (Enc)'!$D$6:$D$998,MATCH(UPPER(A1089)&amp;"|"&amp;UPPER(B1089),'Blackout Brand Fam Areas (Enc)'!$G$6:$G$998,0)),"No Match")</f>
        <v>Inactive</v>
      </c>
      <c r="F1089" s="2" t="str">
        <f t="shared" si="32"/>
        <v>THEM</v>
      </c>
      <c r="G1089" s="2" t="str">
        <f t="shared" si="33"/>
        <v>Daura|MORRIS 1</v>
      </c>
    </row>
    <row r="1090" spans="1:7" x14ac:dyDescent="0.2">
      <c r="A1090" s="2" t="str" cm="1">
        <f t="array" ref="A1090">INDEX('[1]Brand Family Territory (Enc)'!$A$2:$A$296,INT((ROW()-2)/10)+1)</f>
        <v>Daura</v>
      </c>
      <c r="B1090" s="2" t="str" cm="1">
        <f t="array" ref="B1090">INDEX('Whitelist (Blackout Reverse)'!$B$1:$K$1,MOD(ROW()-2,10)+1)</f>
        <v>MORRIS 2</v>
      </c>
      <c r="C1090" s="2" t="str">
        <f>VLOOKUP(A1090,'[1]Brand Family Territory (Enc)'!$A$2:$B$296,2,FALSE)</f>
        <v>Core + Morris Communities</v>
      </c>
      <c r="D1090" s="2">
        <f>IF(COUNTIFS('[1]Brand Family Territories (Enc)'!$B$2:$B$62,C1090,'[1]Brand Family Territories (Enc)'!$C$2:$C$62,B1090)&gt;0,1,IF(AND(LEFT(B1090,6)="MORRIS",COUNTIFS('[1]Brand Family Territories (Enc)'!$B$2:$B$62,C1090,'[1]Brand Family Territories (Enc)'!$C$2:$C$62,"Morri")&gt;0),"Unk",0))</f>
        <v>0</v>
      </c>
      <c r="E1090" s="2" t="str">
        <f>IFERROR(INDEX('Blackout Brand Fam Areas (Enc)'!$D$6:$D$998,MATCH(UPPER(A1090)&amp;"|"&amp;UPPER(B1090),'Blackout Brand Fam Areas (Enc)'!$G$6:$G$998,0)),"No Match")</f>
        <v>Inactive</v>
      </c>
      <c r="F1090" s="2" t="str">
        <f t="shared" si="32"/>
        <v>THEM</v>
      </c>
      <c r="G1090" s="2" t="str">
        <f t="shared" si="33"/>
        <v>Daura|MORRIS 2</v>
      </c>
    </row>
    <row r="1091" spans="1:7" x14ac:dyDescent="0.2">
      <c r="A1091" s="2" t="str" cm="1">
        <f t="array" ref="A1091">INDEX('[1]Brand Family Territory (Enc)'!$A$2:$A$296,INT((ROW()-2)/10)+1)</f>
        <v>Daura</v>
      </c>
      <c r="B1091" s="2" t="str" cm="1">
        <f t="array" ref="B1091">INDEX('Whitelist (Blackout Reverse)'!$B$1:$K$1,MOD(ROW()-2,10)+1)</f>
        <v>MORRIS 3</v>
      </c>
      <c r="C1091" s="2" t="str">
        <f>VLOOKUP(A1091,'[1]Brand Family Territory (Enc)'!$A$2:$B$296,2,FALSE)</f>
        <v>Core + Morris Communities</v>
      </c>
      <c r="D1091" s="2">
        <f>IF(COUNTIFS('[1]Brand Family Territories (Enc)'!$B$2:$B$62,C1091,'[1]Brand Family Territories (Enc)'!$C$2:$C$62,B1091)&gt;0,1,IF(AND(LEFT(B1091,6)="MORRIS",COUNTIFS('[1]Brand Family Territories (Enc)'!$B$2:$B$62,C1091,'[1]Brand Family Territories (Enc)'!$C$2:$C$62,"Morri")&gt;0),"Unk",0))</f>
        <v>1</v>
      </c>
      <c r="E1091" s="2" t="str">
        <f>IFERROR(INDEX('Blackout Brand Fam Areas (Enc)'!$D$6:$D$998,MATCH(UPPER(A1091)&amp;"|"&amp;UPPER(B1091),'Blackout Brand Fam Areas (Enc)'!$G$6:$G$998,0)),"No Match")</f>
        <v>Inactive</v>
      </c>
      <c r="F1091" s="2" t="str">
        <f t="shared" ref="F1091:F1154" si="34">IF(D1091="Unk","Ambiguous (Source Truncated)",IF(E1091="Inactive","THEM",IF(D1091=1,"US",IF(D1091="N/A","No Territory Data","THEM"))))</f>
        <v>THEM</v>
      </c>
      <c r="G1091" s="2" t="str">
        <f t="shared" ref="G1091:G1154" si="35">A1091&amp;"|"&amp;B1091</f>
        <v>Daura|MORRIS 3</v>
      </c>
    </row>
    <row r="1092" spans="1:7" x14ac:dyDescent="0.2">
      <c r="A1092" s="2" t="str" cm="1">
        <f t="array" ref="A1092">INDEX('[1]Brand Family Territory (Enc)'!$A$2:$A$296,INT((ROW()-2)/10)+1)</f>
        <v>Heineken 0.0</v>
      </c>
      <c r="B1092" s="2" t="str" cm="1">
        <f t="array" ref="B1092">INDEX('Whitelist (Blackout Reverse)'!$B$1:$K$1,MOD(ROW()-2,10)+1)</f>
        <v>BERGEN</v>
      </c>
      <c r="C1092" s="2" t="str">
        <f>VLOOKUP(A1092,'[1]Brand Family Territory (Enc)'!$A$2:$B$296,2,FALSE)</f>
        <v>Core + Morris Communities</v>
      </c>
      <c r="D1092" s="2">
        <f>IF(COUNTIFS('[1]Brand Family Territories (Enc)'!$B$2:$B$62,C1092,'[1]Brand Family Territories (Enc)'!$C$2:$C$62,B1092)&gt;0,1,IF(AND(LEFT(B1092,6)="MORRIS",COUNTIFS('[1]Brand Family Territories (Enc)'!$B$2:$B$62,C1092,'[1]Brand Family Territories (Enc)'!$C$2:$C$62,"Morri")&gt;0),"Unk",0))</f>
        <v>1</v>
      </c>
      <c r="E1092" s="2" t="str">
        <f>IFERROR(INDEX('Blackout Brand Fam Areas (Enc)'!$D$6:$D$998,MATCH(UPPER(A1092)&amp;"|"&amp;UPPER(B1092),'Blackout Brand Fam Areas (Enc)'!$G$6:$G$998,0)),"No Match")</f>
        <v>No Match</v>
      </c>
      <c r="F1092" s="2" t="str">
        <f t="shared" si="34"/>
        <v>US</v>
      </c>
      <c r="G1092" s="2" t="str">
        <f t="shared" si="35"/>
        <v>Heineken 0.0|BERGEN</v>
      </c>
    </row>
    <row r="1093" spans="1:7" x14ac:dyDescent="0.2">
      <c r="A1093" s="2" t="str" cm="1">
        <f t="array" ref="A1093">INDEX('[1]Brand Family Territory (Enc)'!$A$2:$A$296,INT((ROW()-2)/10)+1)</f>
        <v>Heineken 0.0</v>
      </c>
      <c r="B1093" s="2" t="str" cm="1">
        <f t="array" ref="B1093">INDEX('Whitelist (Blackout Reverse)'!$B$1:$K$1,MOD(ROW()-2,10)+1)</f>
        <v>PASSAIC</v>
      </c>
      <c r="C1093" s="2" t="str">
        <f>VLOOKUP(A1093,'[1]Brand Family Territory (Enc)'!$A$2:$B$296,2,FALSE)</f>
        <v>Core + Morris Communities</v>
      </c>
      <c r="D1093" s="2">
        <f>IF(COUNTIFS('[1]Brand Family Territories (Enc)'!$B$2:$B$62,C1093,'[1]Brand Family Territories (Enc)'!$C$2:$C$62,B1093)&gt;0,1,IF(AND(LEFT(B1093,6)="MORRIS",COUNTIFS('[1]Brand Family Territories (Enc)'!$B$2:$B$62,C1093,'[1]Brand Family Territories (Enc)'!$C$2:$C$62,"Morri")&gt;0),"Unk",0))</f>
        <v>1</v>
      </c>
      <c r="E1093" s="2" t="str">
        <f>IFERROR(INDEX('Blackout Brand Fam Areas (Enc)'!$D$6:$D$998,MATCH(UPPER(A1093)&amp;"|"&amp;UPPER(B1093),'Blackout Brand Fam Areas (Enc)'!$G$6:$G$998,0)),"No Match")</f>
        <v>No Match</v>
      </c>
      <c r="F1093" s="2" t="str">
        <f t="shared" si="34"/>
        <v>US</v>
      </c>
      <c r="G1093" s="2" t="str">
        <f t="shared" si="35"/>
        <v>Heineken 0.0|PASSAIC</v>
      </c>
    </row>
    <row r="1094" spans="1:7" x14ac:dyDescent="0.2">
      <c r="A1094" s="2" t="str" cm="1">
        <f t="array" ref="A1094">INDEX('[1]Brand Family Territory (Enc)'!$A$2:$A$296,INT((ROW()-2)/10)+1)</f>
        <v>Heineken 0.0</v>
      </c>
      <c r="B1094" s="2" t="str" cm="1">
        <f t="array" ref="B1094">INDEX('Whitelist (Blackout Reverse)'!$B$1:$K$1,MOD(ROW()-2,10)+1)</f>
        <v>PASSAIC-FF</v>
      </c>
      <c r="C1094" s="2" t="str">
        <f>VLOOKUP(A1094,'[1]Brand Family Territory (Enc)'!$A$2:$B$296,2,FALSE)</f>
        <v>Core + Morris Communities</v>
      </c>
      <c r="D1094" s="2">
        <f>IF(COUNTIFS('[1]Brand Family Territories (Enc)'!$B$2:$B$62,C1094,'[1]Brand Family Territories (Enc)'!$C$2:$C$62,B1094)&gt;0,1,IF(AND(LEFT(B1094,6)="MORRIS",COUNTIFS('[1]Brand Family Territories (Enc)'!$B$2:$B$62,C1094,'[1]Brand Family Territories (Enc)'!$C$2:$C$62,"Morri")&gt;0),"Unk",0))</f>
        <v>1</v>
      </c>
      <c r="E1094" s="2" t="str">
        <f>IFERROR(INDEX('Blackout Brand Fam Areas (Enc)'!$D$6:$D$998,MATCH(UPPER(A1094)&amp;"|"&amp;UPPER(B1094),'Blackout Brand Fam Areas (Enc)'!$G$6:$G$998,0)),"No Match")</f>
        <v>No Match</v>
      </c>
      <c r="F1094" s="2" t="str">
        <f t="shared" si="34"/>
        <v>US</v>
      </c>
      <c r="G1094" s="2" t="str">
        <f t="shared" si="35"/>
        <v>Heineken 0.0|PASSAIC-FF</v>
      </c>
    </row>
    <row r="1095" spans="1:7" x14ac:dyDescent="0.2">
      <c r="A1095" s="2" t="str" cm="1">
        <f t="array" ref="A1095">INDEX('[1]Brand Family Territory (Enc)'!$A$2:$A$296,INT((ROW()-2)/10)+1)</f>
        <v>Heineken 0.0</v>
      </c>
      <c r="B1095" s="2" t="str" cm="1">
        <f t="array" ref="B1095">INDEX('Whitelist (Blackout Reverse)'!$B$1:$K$1,MOD(ROW()-2,10)+1)</f>
        <v>ESSEX</v>
      </c>
      <c r="C1095" s="2" t="str">
        <f>VLOOKUP(A1095,'[1]Brand Family Territory (Enc)'!$A$2:$B$296,2,FALSE)</f>
        <v>Core + Morris Communities</v>
      </c>
      <c r="D1095" s="2">
        <f>IF(COUNTIFS('[1]Brand Family Territories (Enc)'!$B$2:$B$62,C1095,'[1]Brand Family Territories (Enc)'!$C$2:$C$62,B1095)&gt;0,1,IF(AND(LEFT(B1095,6)="MORRIS",COUNTIFS('[1]Brand Family Territories (Enc)'!$B$2:$B$62,C1095,'[1]Brand Family Territories (Enc)'!$C$2:$C$62,"Morri")&gt;0),"Unk",0))</f>
        <v>0</v>
      </c>
      <c r="E1095" s="2" t="str">
        <f>IFERROR(INDEX('Blackout Brand Fam Areas (Enc)'!$D$6:$D$998,MATCH(UPPER(A1095)&amp;"|"&amp;UPPER(B1095),'Blackout Brand Fam Areas (Enc)'!$G$6:$G$998,0)),"No Match")</f>
        <v>Inactive</v>
      </c>
      <c r="F1095" s="2" t="str">
        <f t="shared" si="34"/>
        <v>THEM</v>
      </c>
      <c r="G1095" s="2" t="str">
        <f t="shared" si="35"/>
        <v>Heineken 0.0|ESSEX</v>
      </c>
    </row>
    <row r="1096" spans="1:7" x14ac:dyDescent="0.2">
      <c r="A1096" s="2" t="str" cm="1">
        <f t="array" ref="A1096">INDEX('[1]Brand Family Territory (Enc)'!$A$2:$A$296,INT((ROW()-2)/10)+1)</f>
        <v>Heineken 0.0</v>
      </c>
      <c r="B1096" s="2" t="str" cm="1">
        <f t="array" ref="B1096">INDEX('Whitelist (Blackout Reverse)'!$B$1:$K$1,MOD(ROW()-2,10)+1)</f>
        <v>HUDSON</v>
      </c>
      <c r="C1096" s="2" t="str">
        <f>VLOOKUP(A1096,'[1]Brand Family Territory (Enc)'!$A$2:$B$296,2,FALSE)</f>
        <v>Core + Morris Communities</v>
      </c>
      <c r="D1096" s="2">
        <f>IF(COUNTIFS('[1]Brand Family Territories (Enc)'!$B$2:$B$62,C1096,'[1]Brand Family Territories (Enc)'!$C$2:$C$62,B1096)&gt;0,1,IF(AND(LEFT(B1096,6)="MORRIS",COUNTIFS('[1]Brand Family Territories (Enc)'!$B$2:$B$62,C1096,'[1]Brand Family Territories (Enc)'!$C$2:$C$62,"Morri")&gt;0),"Unk",0))</f>
        <v>0</v>
      </c>
      <c r="E1096" s="2" t="str">
        <f>IFERROR(INDEX('Blackout Brand Fam Areas (Enc)'!$D$6:$D$998,MATCH(UPPER(A1096)&amp;"|"&amp;UPPER(B1096),'Blackout Brand Fam Areas (Enc)'!$G$6:$G$998,0)),"No Match")</f>
        <v>Inactive</v>
      </c>
      <c r="F1096" s="2" t="str">
        <f t="shared" si="34"/>
        <v>THEM</v>
      </c>
      <c r="G1096" s="2" t="str">
        <f t="shared" si="35"/>
        <v>Heineken 0.0|HUDSON</v>
      </c>
    </row>
    <row r="1097" spans="1:7" x14ac:dyDescent="0.2">
      <c r="A1097" s="2" t="str" cm="1">
        <f t="array" ref="A1097">INDEX('[1]Brand Family Territory (Enc)'!$A$2:$A$296,INT((ROW()-2)/10)+1)</f>
        <v>Heineken 0.0</v>
      </c>
      <c r="B1097" s="2" t="str" cm="1">
        <f t="array" ref="B1097">INDEX('Whitelist (Blackout Reverse)'!$B$1:$K$1,MOD(ROW()-2,10)+1)</f>
        <v>UNION</v>
      </c>
      <c r="C1097" s="2" t="str">
        <f>VLOOKUP(A1097,'[1]Brand Family Territory (Enc)'!$A$2:$B$296,2,FALSE)</f>
        <v>Core + Morris Communities</v>
      </c>
      <c r="D1097" s="2">
        <f>IF(COUNTIFS('[1]Brand Family Territories (Enc)'!$B$2:$B$62,C1097,'[1]Brand Family Territories (Enc)'!$C$2:$C$62,B1097)&gt;0,1,IF(AND(LEFT(B1097,6)="MORRIS",COUNTIFS('[1]Brand Family Territories (Enc)'!$B$2:$B$62,C1097,'[1]Brand Family Territories (Enc)'!$C$2:$C$62,"Morri")&gt;0),"Unk",0))</f>
        <v>0</v>
      </c>
      <c r="E1097" s="2" t="str">
        <f>IFERROR(INDEX('Blackout Brand Fam Areas (Enc)'!$D$6:$D$998,MATCH(UPPER(A1097)&amp;"|"&amp;UPPER(B1097),'Blackout Brand Fam Areas (Enc)'!$G$6:$G$998,0)),"No Match")</f>
        <v>Inactive</v>
      </c>
      <c r="F1097" s="2" t="str">
        <f t="shared" si="34"/>
        <v>THEM</v>
      </c>
      <c r="G1097" s="2" t="str">
        <f t="shared" si="35"/>
        <v>Heineken 0.0|UNION</v>
      </c>
    </row>
    <row r="1098" spans="1:7" x14ac:dyDescent="0.2">
      <c r="A1098" s="2" t="str" cm="1">
        <f t="array" ref="A1098">INDEX('[1]Brand Family Territory (Enc)'!$A$2:$A$296,INT((ROW()-2)/10)+1)</f>
        <v>Heineken 0.0</v>
      </c>
      <c r="B1098" s="2" t="str" cm="1">
        <f t="array" ref="B1098">INDEX('Whitelist (Blackout Reverse)'!$B$1:$K$1,MOD(ROW()-2,10)+1)</f>
        <v>SUSSEX</v>
      </c>
      <c r="C1098" s="2" t="str">
        <f>VLOOKUP(A1098,'[1]Brand Family Territory (Enc)'!$A$2:$B$296,2,FALSE)</f>
        <v>Core + Morris Communities</v>
      </c>
      <c r="D1098" s="2">
        <f>IF(COUNTIFS('[1]Brand Family Territories (Enc)'!$B$2:$B$62,C1098,'[1]Brand Family Territories (Enc)'!$C$2:$C$62,B1098)&gt;0,1,IF(AND(LEFT(B1098,6)="MORRIS",COUNTIFS('[1]Brand Family Territories (Enc)'!$B$2:$B$62,C1098,'[1]Brand Family Territories (Enc)'!$C$2:$C$62,"Morri")&gt;0),"Unk",0))</f>
        <v>0</v>
      </c>
      <c r="E1098" s="2" t="str">
        <f>IFERROR(INDEX('Blackout Brand Fam Areas (Enc)'!$D$6:$D$998,MATCH(UPPER(A1098)&amp;"|"&amp;UPPER(B1098),'Blackout Brand Fam Areas (Enc)'!$G$6:$G$998,0)),"No Match")</f>
        <v>Inactive</v>
      </c>
      <c r="F1098" s="2" t="str">
        <f t="shared" si="34"/>
        <v>THEM</v>
      </c>
      <c r="G1098" s="2" t="str">
        <f t="shared" si="35"/>
        <v>Heineken 0.0|SUSSEX</v>
      </c>
    </row>
    <row r="1099" spans="1:7" x14ac:dyDescent="0.2">
      <c r="A1099" s="2" t="str" cm="1">
        <f t="array" ref="A1099">INDEX('[1]Brand Family Territory (Enc)'!$A$2:$A$296,INT((ROW()-2)/10)+1)</f>
        <v>Heineken 0.0</v>
      </c>
      <c r="B1099" s="2" t="str" cm="1">
        <f t="array" ref="B1099">INDEX('Whitelist (Blackout Reverse)'!$B$1:$K$1,MOD(ROW()-2,10)+1)</f>
        <v>MORRIS 1</v>
      </c>
      <c r="C1099" s="2" t="str">
        <f>VLOOKUP(A1099,'[1]Brand Family Territory (Enc)'!$A$2:$B$296,2,FALSE)</f>
        <v>Core + Morris Communities</v>
      </c>
      <c r="D1099" s="2">
        <f>IF(COUNTIFS('[1]Brand Family Territories (Enc)'!$B$2:$B$62,C1099,'[1]Brand Family Territories (Enc)'!$C$2:$C$62,B1099)&gt;0,1,IF(AND(LEFT(B1099,6)="MORRIS",COUNTIFS('[1]Brand Family Territories (Enc)'!$B$2:$B$62,C1099,'[1]Brand Family Territories (Enc)'!$C$2:$C$62,"Morri")&gt;0),"Unk",0))</f>
        <v>1</v>
      </c>
      <c r="E1099" s="2" t="str">
        <f>IFERROR(INDEX('Blackout Brand Fam Areas (Enc)'!$D$6:$D$998,MATCH(UPPER(A1099)&amp;"|"&amp;UPPER(B1099),'Blackout Brand Fam Areas (Enc)'!$G$6:$G$998,0)),"No Match")</f>
        <v>Inactive</v>
      </c>
      <c r="F1099" s="2" t="str">
        <f t="shared" si="34"/>
        <v>THEM</v>
      </c>
      <c r="G1099" s="2" t="str">
        <f t="shared" si="35"/>
        <v>Heineken 0.0|MORRIS 1</v>
      </c>
    </row>
    <row r="1100" spans="1:7" x14ac:dyDescent="0.2">
      <c r="A1100" s="2" t="str" cm="1">
        <f t="array" ref="A1100">INDEX('[1]Brand Family Territory (Enc)'!$A$2:$A$296,INT((ROW()-2)/10)+1)</f>
        <v>Heineken 0.0</v>
      </c>
      <c r="B1100" s="2" t="str" cm="1">
        <f t="array" ref="B1100">INDEX('Whitelist (Blackout Reverse)'!$B$1:$K$1,MOD(ROW()-2,10)+1)</f>
        <v>MORRIS 2</v>
      </c>
      <c r="C1100" s="2" t="str">
        <f>VLOOKUP(A1100,'[1]Brand Family Territory (Enc)'!$A$2:$B$296,2,FALSE)</f>
        <v>Core + Morris Communities</v>
      </c>
      <c r="D1100" s="2">
        <f>IF(COUNTIFS('[1]Brand Family Territories (Enc)'!$B$2:$B$62,C1100,'[1]Brand Family Territories (Enc)'!$C$2:$C$62,B1100)&gt;0,1,IF(AND(LEFT(B1100,6)="MORRIS",COUNTIFS('[1]Brand Family Territories (Enc)'!$B$2:$B$62,C1100,'[1]Brand Family Territories (Enc)'!$C$2:$C$62,"Morri")&gt;0),"Unk",0))</f>
        <v>0</v>
      </c>
      <c r="E1100" s="2" t="str">
        <f>IFERROR(INDEX('Blackout Brand Fam Areas (Enc)'!$D$6:$D$998,MATCH(UPPER(A1100)&amp;"|"&amp;UPPER(B1100),'Blackout Brand Fam Areas (Enc)'!$G$6:$G$998,0)),"No Match")</f>
        <v>Inactive</v>
      </c>
      <c r="F1100" s="2" t="str">
        <f t="shared" si="34"/>
        <v>THEM</v>
      </c>
      <c r="G1100" s="2" t="str">
        <f t="shared" si="35"/>
        <v>Heineken 0.0|MORRIS 2</v>
      </c>
    </row>
    <row r="1101" spans="1:7" x14ac:dyDescent="0.2">
      <c r="A1101" s="2" t="str" cm="1">
        <f t="array" ref="A1101">INDEX('[1]Brand Family Territory (Enc)'!$A$2:$A$296,INT((ROW()-2)/10)+1)</f>
        <v>Heineken 0.0</v>
      </c>
      <c r="B1101" s="2" t="str" cm="1">
        <f t="array" ref="B1101">INDEX('Whitelist (Blackout Reverse)'!$B$1:$K$1,MOD(ROW()-2,10)+1)</f>
        <v>MORRIS 3</v>
      </c>
      <c r="C1101" s="2" t="str">
        <f>VLOOKUP(A1101,'[1]Brand Family Territory (Enc)'!$A$2:$B$296,2,FALSE)</f>
        <v>Core + Morris Communities</v>
      </c>
      <c r="D1101" s="2">
        <f>IF(COUNTIFS('[1]Brand Family Territories (Enc)'!$B$2:$B$62,C1101,'[1]Brand Family Territories (Enc)'!$C$2:$C$62,B1101)&gt;0,1,IF(AND(LEFT(B1101,6)="MORRIS",COUNTIFS('[1]Brand Family Territories (Enc)'!$B$2:$B$62,C1101,'[1]Brand Family Territories (Enc)'!$C$2:$C$62,"Morri")&gt;0),"Unk",0))</f>
        <v>1</v>
      </c>
      <c r="E1101" s="2" t="str">
        <f>IFERROR(INDEX('Blackout Brand Fam Areas (Enc)'!$D$6:$D$998,MATCH(UPPER(A1101)&amp;"|"&amp;UPPER(B1101),'Blackout Brand Fam Areas (Enc)'!$G$6:$G$998,0)),"No Match")</f>
        <v>No Match</v>
      </c>
      <c r="F1101" s="2" t="str">
        <f t="shared" si="34"/>
        <v>US</v>
      </c>
      <c r="G1101" s="2" t="str">
        <f t="shared" si="35"/>
        <v>Heineken 0.0|MORRIS 3</v>
      </c>
    </row>
    <row r="1102" spans="1:7" x14ac:dyDescent="0.2">
      <c r="A1102" s="2" t="str" cm="1">
        <f t="array" ref="A1102">INDEX('[1]Brand Family Territory (Enc)'!$A$2:$A$296,INT((ROW()-2)/10)+1)</f>
        <v>Heineken 0.0 Ultimate</v>
      </c>
      <c r="B1102" s="2" t="str" cm="1">
        <f t="array" ref="B1102">INDEX('Whitelist (Blackout Reverse)'!$B$1:$K$1,MOD(ROW()-2,10)+1)</f>
        <v>BERGEN</v>
      </c>
      <c r="C1102" s="2" t="str">
        <f>VLOOKUP(A1102,'[1]Brand Family Territory (Enc)'!$A$2:$B$296,2,FALSE)</f>
        <v>Core + Morris Communities</v>
      </c>
      <c r="D1102" s="2">
        <f>IF(COUNTIFS('[1]Brand Family Territories (Enc)'!$B$2:$B$62,C1102,'[1]Brand Family Territories (Enc)'!$C$2:$C$62,B1102)&gt;0,1,IF(AND(LEFT(B1102,6)="MORRIS",COUNTIFS('[1]Brand Family Territories (Enc)'!$B$2:$B$62,C1102,'[1]Brand Family Territories (Enc)'!$C$2:$C$62,"Morri")&gt;0),"Unk",0))</f>
        <v>1</v>
      </c>
      <c r="E1102" s="2" t="str">
        <f>IFERROR(INDEX('Blackout Brand Fam Areas (Enc)'!$D$6:$D$998,MATCH(UPPER(A1102)&amp;"|"&amp;UPPER(B1102),'Blackout Brand Fam Areas (Enc)'!$G$6:$G$998,0)),"No Match")</f>
        <v>No Match</v>
      </c>
      <c r="F1102" s="2" t="str">
        <f t="shared" si="34"/>
        <v>US</v>
      </c>
      <c r="G1102" s="2" t="str">
        <f t="shared" si="35"/>
        <v>Heineken 0.0 Ultimate|BERGEN</v>
      </c>
    </row>
    <row r="1103" spans="1:7" x14ac:dyDescent="0.2">
      <c r="A1103" s="2" t="str" cm="1">
        <f t="array" ref="A1103">INDEX('[1]Brand Family Territory (Enc)'!$A$2:$A$296,INT((ROW()-2)/10)+1)</f>
        <v>Heineken 0.0 Ultimate</v>
      </c>
      <c r="B1103" s="2" t="str" cm="1">
        <f t="array" ref="B1103">INDEX('Whitelist (Blackout Reverse)'!$B$1:$K$1,MOD(ROW()-2,10)+1)</f>
        <v>PASSAIC</v>
      </c>
      <c r="C1103" s="2" t="str">
        <f>VLOOKUP(A1103,'[1]Brand Family Territory (Enc)'!$A$2:$B$296,2,FALSE)</f>
        <v>Core + Morris Communities</v>
      </c>
      <c r="D1103" s="2">
        <f>IF(COUNTIFS('[1]Brand Family Territories (Enc)'!$B$2:$B$62,C1103,'[1]Brand Family Territories (Enc)'!$C$2:$C$62,B1103)&gt;0,1,IF(AND(LEFT(B1103,6)="MORRIS",COUNTIFS('[1]Brand Family Territories (Enc)'!$B$2:$B$62,C1103,'[1]Brand Family Territories (Enc)'!$C$2:$C$62,"Morri")&gt;0),"Unk",0))</f>
        <v>1</v>
      </c>
      <c r="E1103" s="2" t="str">
        <f>IFERROR(INDEX('Blackout Brand Fam Areas (Enc)'!$D$6:$D$998,MATCH(UPPER(A1103)&amp;"|"&amp;UPPER(B1103),'Blackout Brand Fam Areas (Enc)'!$G$6:$G$998,0)),"No Match")</f>
        <v>No Match</v>
      </c>
      <c r="F1103" s="2" t="str">
        <f t="shared" si="34"/>
        <v>US</v>
      </c>
      <c r="G1103" s="2" t="str">
        <f t="shared" si="35"/>
        <v>Heineken 0.0 Ultimate|PASSAIC</v>
      </c>
    </row>
    <row r="1104" spans="1:7" x14ac:dyDescent="0.2">
      <c r="A1104" s="2" t="str" cm="1">
        <f t="array" ref="A1104">INDEX('[1]Brand Family Territory (Enc)'!$A$2:$A$296,INT((ROW()-2)/10)+1)</f>
        <v>Heineken 0.0 Ultimate</v>
      </c>
      <c r="B1104" s="2" t="str" cm="1">
        <f t="array" ref="B1104">INDEX('Whitelist (Blackout Reverse)'!$B$1:$K$1,MOD(ROW()-2,10)+1)</f>
        <v>PASSAIC-FF</v>
      </c>
      <c r="C1104" s="2" t="str">
        <f>VLOOKUP(A1104,'[1]Brand Family Territory (Enc)'!$A$2:$B$296,2,FALSE)</f>
        <v>Core + Morris Communities</v>
      </c>
      <c r="D1104" s="2">
        <f>IF(COUNTIFS('[1]Brand Family Territories (Enc)'!$B$2:$B$62,C1104,'[1]Brand Family Territories (Enc)'!$C$2:$C$62,B1104)&gt;0,1,IF(AND(LEFT(B1104,6)="MORRIS",COUNTIFS('[1]Brand Family Territories (Enc)'!$B$2:$B$62,C1104,'[1]Brand Family Territories (Enc)'!$C$2:$C$62,"Morri")&gt;0),"Unk",0))</f>
        <v>1</v>
      </c>
      <c r="E1104" s="2" t="str">
        <f>IFERROR(INDEX('Blackout Brand Fam Areas (Enc)'!$D$6:$D$998,MATCH(UPPER(A1104)&amp;"|"&amp;UPPER(B1104),'Blackout Brand Fam Areas (Enc)'!$G$6:$G$998,0)),"No Match")</f>
        <v>No Match</v>
      </c>
      <c r="F1104" s="2" t="str">
        <f t="shared" si="34"/>
        <v>US</v>
      </c>
      <c r="G1104" s="2" t="str">
        <f t="shared" si="35"/>
        <v>Heineken 0.0 Ultimate|PASSAIC-FF</v>
      </c>
    </row>
    <row r="1105" spans="1:7" x14ac:dyDescent="0.2">
      <c r="A1105" s="2" t="str" cm="1">
        <f t="array" ref="A1105">INDEX('[1]Brand Family Territory (Enc)'!$A$2:$A$296,INT((ROW()-2)/10)+1)</f>
        <v>Heineken 0.0 Ultimate</v>
      </c>
      <c r="B1105" s="2" t="str" cm="1">
        <f t="array" ref="B1105">INDEX('Whitelist (Blackout Reverse)'!$B$1:$K$1,MOD(ROW()-2,10)+1)</f>
        <v>ESSEX</v>
      </c>
      <c r="C1105" s="2" t="str">
        <f>VLOOKUP(A1105,'[1]Brand Family Territory (Enc)'!$A$2:$B$296,2,FALSE)</f>
        <v>Core + Morris Communities</v>
      </c>
      <c r="D1105" s="2">
        <f>IF(COUNTIFS('[1]Brand Family Territories (Enc)'!$B$2:$B$62,C1105,'[1]Brand Family Territories (Enc)'!$C$2:$C$62,B1105)&gt;0,1,IF(AND(LEFT(B1105,6)="MORRIS",COUNTIFS('[1]Brand Family Territories (Enc)'!$B$2:$B$62,C1105,'[1]Brand Family Territories (Enc)'!$C$2:$C$62,"Morri")&gt;0),"Unk",0))</f>
        <v>0</v>
      </c>
      <c r="E1105" s="2" t="str">
        <f>IFERROR(INDEX('Blackout Brand Fam Areas (Enc)'!$D$6:$D$998,MATCH(UPPER(A1105)&amp;"|"&amp;UPPER(B1105),'Blackout Brand Fam Areas (Enc)'!$G$6:$G$998,0)),"No Match")</f>
        <v>Inactive</v>
      </c>
      <c r="F1105" s="2" t="str">
        <f t="shared" si="34"/>
        <v>THEM</v>
      </c>
      <c r="G1105" s="2" t="str">
        <f t="shared" si="35"/>
        <v>Heineken 0.0 Ultimate|ESSEX</v>
      </c>
    </row>
    <row r="1106" spans="1:7" x14ac:dyDescent="0.2">
      <c r="A1106" s="2" t="str" cm="1">
        <f t="array" ref="A1106">INDEX('[1]Brand Family Territory (Enc)'!$A$2:$A$296,INT((ROW()-2)/10)+1)</f>
        <v>Heineken 0.0 Ultimate</v>
      </c>
      <c r="B1106" s="2" t="str" cm="1">
        <f t="array" ref="B1106">INDEX('Whitelist (Blackout Reverse)'!$B$1:$K$1,MOD(ROW()-2,10)+1)</f>
        <v>HUDSON</v>
      </c>
      <c r="C1106" s="2" t="str">
        <f>VLOOKUP(A1106,'[1]Brand Family Territory (Enc)'!$A$2:$B$296,2,FALSE)</f>
        <v>Core + Morris Communities</v>
      </c>
      <c r="D1106" s="2">
        <f>IF(COUNTIFS('[1]Brand Family Territories (Enc)'!$B$2:$B$62,C1106,'[1]Brand Family Territories (Enc)'!$C$2:$C$62,B1106)&gt;0,1,IF(AND(LEFT(B1106,6)="MORRIS",COUNTIFS('[1]Brand Family Territories (Enc)'!$B$2:$B$62,C1106,'[1]Brand Family Territories (Enc)'!$C$2:$C$62,"Morri")&gt;0),"Unk",0))</f>
        <v>0</v>
      </c>
      <c r="E1106" s="2" t="str">
        <f>IFERROR(INDEX('Blackout Brand Fam Areas (Enc)'!$D$6:$D$998,MATCH(UPPER(A1106)&amp;"|"&amp;UPPER(B1106),'Blackout Brand Fam Areas (Enc)'!$G$6:$G$998,0)),"No Match")</f>
        <v>Inactive</v>
      </c>
      <c r="F1106" s="2" t="str">
        <f t="shared" si="34"/>
        <v>THEM</v>
      </c>
      <c r="G1106" s="2" t="str">
        <f t="shared" si="35"/>
        <v>Heineken 0.0 Ultimate|HUDSON</v>
      </c>
    </row>
    <row r="1107" spans="1:7" x14ac:dyDescent="0.2">
      <c r="A1107" s="2" t="str" cm="1">
        <f t="array" ref="A1107">INDEX('[1]Brand Family Territory (Enc)'!$A$2:$A$296,INT((ROW()-2)/10)+1)</f>
        <v>Heineken 0.0 Ultimate</v>
      </c>
      <c r="B1107" s="2" t="str" cm="1">
        <f t="array" ref="B1107">INDEX('Whitelist (Blackout Reverse)'!$B$1:$K$1,MOD(ROW()-2,10)+1)</f>
        <v>UNION</v>
      </c>
      <c r="C1107" s="2" t="str">
        <f>VLOOKUP(A1107,'[1]Brand Family Territory (Enc)'!$A$2:$B$296,2,FALSE)</f>
        <v>Core + Morris Communities</v>
      </c>
      <c r="D1107" s="2">
        <f>IF(COUNTIFS('[1]Brand Family Territories (Enc)'!$B$2:$B$62,C1107,'[1]Brand Family Territories (Enc)'!$C$2:$C$62,B1107)&gt;0,1,IF(AND(LEFT(B1107,6)="MORRIS",COUNTIFS('[1]Brand Family Territories (Enc)'!$B$2:$B$62,C1107,'[1]Brand Family Territories (Enc)'!$C$2:$C$62,"Morri")&gt;0),"Unk",0))</f>
        <v>0</v>
      </c>
      <c r="E1107" s="2" t="str">
        <f>IFERROR(INDEX('Blackout Brand Fam Areas (Enc)'!$D$6:$D$998,MATCH(UPPER(A1107)&amp;"|"&amp;UPPER(B1107),'Blackout Brand Fam Areas (Enc)'!$G$6:$G$998,0)),"No Match")</f>
        <v>Inactive</v>
      </c>
      <c r="F1107" s="2" t="str">
        <f t="shared" si="34"/>
        <v>THEM</v>
      </c>
      <c r="G1107" s="2" t="str">
        <f t="shared" si="35"/>
        <v>Heineken 0.0 Ultimate|UNION</v>
      </c>
    </row>
    <row r="1108" spans="1:7" x14ac:dyDescent="0.2">
      <c r="A1108" s="2" t="str" cm="1">
        <f t="array" ref="A1108">INDEX('[1]Brand Family Territory (Enc)'!$A$2:$A$296,INT((ROW()-2)/10)+1)</f>
        <v>Heineken 0.0 Ultimate</v>
      </c>
      <c r="B1108" s="2" t="str" cm="1">
        <f t="array" ref="B1108">INDEX('Whitelist (Blackout Reverse)'!$B$1:$K$1,MOD(ROW()-2,10)+1)</f>
        <v>SUSSEX</v>
      </c>
      <c r="C1108" s="2" t="str">
        <f>VLOOKUP(A1108,'[1]Brand Family Territory (Enc)'!$A$2:$B$296,2,FALSE)</f>
        <v>Core + Morris Communities</v>
      </c>
      <c r="D1108" s="2">
        <f>IF(COUNTIFS('[1]Brand Family Territories (Enc)'!$B$2:$B$62,C1108,'[1]Brand Family Territories (Enc)'!$C$2:$C$62,B1108)&gt;0,1,IF(AND(LEFT(B1108,6)="MORRIS",COUNTIFS('[1]Brand Family Territories (Enc)'!$B$2:$B$62,C1108,'[1]Brand Family Territories (Enc)'!$C$2:$C$62,"Morri")&gt;0),"Unk",0))</f>
        <v>0</v>
      </c>
      <c r="E1108" s="2" t="str">
        <f>IFERROR(INDEX('Blackout Brand Fam Areas (Enc)'!$D$6:$D$998,MATCH(UPPER(A1108)&amp;"|"&amp;UPPER(B1108),'Blackout Brand Fam Areas (Enc)'!$G$6:$G$998,0)),"No Match")</f>
        <v>Inactive</v>
      </c>
      <c r="F1108" s="2" t="str">
        <f t="shared" si="34"/>
        <v>THEM</v>
      </c>
      <c r="G1108" s="2" t="str">
        <f t="shared" si="35"/>
        <v>Heineken 0.0 Ultimate|SUSSEX</v>
      </c>
    </row>
    <row r="1109" spans="1:7" x14ac:dyDescent="0.2">
      <c r="A1109" s="2" t="str" cm="1">
        <f t="array" ref="A1109">INDEX('[1]Brand Family Territory (Enc)'!$A$2:$A$296,INT((ROW()-2)/10)+1)</f>
        <v>Heineken 0.0 Ultimate</v>
      </c>
      <c r="B1109" s="2" t="str" cm="1">
        <f t="array" ref="B1109">INDEX('Whitelist (Blackout Reverse)'!$B$1:$K$1,MOD(ROW()-2,10)+1)</f>
        <v>MORRIS 1</v>
      </c>
      <c r="C1109" s="2" t="str">
        <f>VLOOKUP(A1109,'[1]Brand Family Territory (Enc)'!$A$2:$B$296,2,FALSE)</f>
        <v>Core + Morris Communities</v>
      </c>
      <c r="D1109" s="2">
        <f>IF(COUNTIFS('[1]Brand Family Territories (Enc)'!$B$2:$B$62,C1109,'[1]Brand Family Territories (Enc)'!$C$2:$C$62,B1109)&gt;0,1,IF(AND(LEFT(B1109,6)="MORRIS",COUNTIFS('[1]Brand Family Territories (Enc)'!$B$2:$B$62,C1109,'[1]Brand Family Territories (Enc)'!$C$2:$C$62,"Morri")&gt;0),"Unk",0))</f>
        <v>1</v>
      </c>
      <c r="E1109" s="2" t="str">
        <f>IFERROR(INDEX('Blackout Brand Fam Areas (Enc)'!$D$6:$D$998,MATCH(UPPER(A1109)&amp;"|"&amp;UPPER(B1109),'Blackout Brand Fam Areas (Enc)'!$G$6:$G$998,0)),"No Match")</f>
        <v>Inactive</v>
      </c>
      <c r="F1109" s="2" t="str">
        <f t="shared" si="34"/>
        <v>THEM</v>
      </c>
      <c r="G1109" s="2" t="str">
        <f t="shared" si="35"/>
        <v>Heineken 0.0 Ultimate|MORRIS 1</v>
      </c>
    </row>
    <row r="1110" spans="1:7" x14ac:dyDescent="0.2">
      <c r="A1110" s="2" t="str" cm="1">
        <f t="array" ref="A1110">INDEX('[1]Brand Family Territory (Enc)'!$A$2:$A$296,INT((ROW()-2)/10)+1)</f>
        <v>Heineken 0.0 Ultimate</v>
      </c>
      <c r="B1110" s="2" t="str" cm="1">
        <f t="array" ref="B1110">INDEX('Whitelist (Blackout Reverse)'!$B$1:$K$1,MOD(ROW()-2,10)+1)</f>
        <v>MORRIS 2</v>
      </c>
      <c r="C1110" s="2" t="str">
        <f>VLOOKUP(A1110,'[1]Brand Family Territory (Enc)'!$A$2:$B$296,2,FALSE)</f>
        <v>Core + Morris Communities</v>
      </c>
      <c r="D1110" s="2">
        <f>IF(COUNTIFS('[1]Brand Family Territories (Enc)'!$B$2:$B$62,C1110,'[1]Brand Family Territories (Enc)'!$C$2:$C$62,B1110)&gt;0,1,IF(AND(LEFT(B1110,6)="MORRIS",COUNTIFS('[1]Brand Family Territories (Enc)'!$B$2:$B$62,C1110,'[1]Brand Family Territories (Enc)'!$C$2:$C$62,"Morri")&gt;0),"Unk",0))</f>
        <v>0</v>
      </c>
      <c r="E1110" s="2" t="str">
        <f>IFERROR(INDEX('Blackout Brand Fam Areas (Enc)'!$D$6:$D$998,MATCH(UPPER(A1110)&amp;"|"&amp;UPPER(B1110),'Blackout Brand Fam Areas (Enc)'!$G$6:$G$998,0)),"No Match")</f>
        <v>Inactive</v>
      </c>
      <c r="F1110" s="2" t="str">
        <f t="shared" si="34"/>
        <v>THEM</v>
      </c>
      <c r="G1110" s="2" t="str">
        <f t="shared" si="35"/>
        <v>Heineken 0.0 Ultimate|MORRIS 2</v>
      </c>
    </row>
    <row r="1111" spans="1:7" x14ac:dyDescent="0.2">
      <c r="A1111" s="2" t="str" cm="1">
        <f t="array" ref="A1111">INDEX('[1]Brand Family Territory (Enc)'!$A$2:$A$296,INT((ROW()-2)/10)+1)</f>
        <v>Heineken 0.0 Ultimate</v>
      </c>
      <c r="B1111" s="2" t="str" cm="1">
        <f t="array" ref="B1111">INDEX('Whitelist (Blackout Reverse)'!$B$1:$K$1,MOD(ROW()-2,10)+1)</f>
        <v>MORRIS 3</v>
      </c>
      <c r="C1111" s="2" t="str">
        <f>VLOOKUP(A1111,'[1]Brand Family Territory (Enc)'!$A$2:$B$296,2,FALSE)</f>
        <v>Core + Morris Communities</v>
      </c>
      <c r="D1111" s="2">
        <f>IF(COUNTIFS('[1]Brand Family Territories (Enc)'!$B$2:$B$62,C1111,'[1]Brand Family Territories (Enc)'!$C$2:$C$62,B1111)&gt;0,1,IF(AND(LEFT(B1111,6)="MORRIS",COUNTIFS('[1]Brand Family Territories (Enc)'!$B$2:$B$62,C1111,'[1]Brand Family Territories (Enc)'!$C$2:$C$62,"Morri")&gt;0),"Unk",0))</f>
        <v>1</v>
      </c>
      <c r="E1111" s="2" t="str">
        <f>IFERROR(INDEX('Blackout Brand Fam Areas (Enc)'!$D$6:$D$998,MATCH(UPPER(A1111)&amp;"|"&amp;UPPER(B1111),'Blackout Brand Fam Areas (Enc)'!$G$6:$G$998,0)),"No Match")</f>
        <v>No Match</v>
      </c>
      <c r="F1111" s="2" t="str">
        <f t="shared" si="34"/>
        <v>US</v>
      </c>
      <c r="G1111" s="2" t="str">
        <f t="shared" si="35"/>
        <v>Heineken 0.0 Ultimate|MORRIS 3</v>
      </c>
    </row>
    <row r="1112" spans="1:7" x14ac:dyDescent="0.2">
      <c r="A1112" s="2" t="str" cm="1">
        <f t="array" ref="A1112">INDEX('[1]Brand Family Territory (Enc)'!$A$2:$A$296,INT((ROW()-2)/10)+1)</f>
        <v>Heineken USA</v>
      </c>
      <c r="B1112" s="2" t="str" cm="1">
        <f t="array" ref="B1112">INDEX('Whitelist (Blackout Reverse)'!$B$1:$K$1,MOD(ROW()-2,10)+1)</f>
        <v>BERGEN</v>
      </c>
      <c r="C1112" s="2" t="str">
        <f>VLOOKUP(A1112,'[1]Brand Family Territory (Enc)'!$A$2:$B$296,2,FALSE)</f>
        <v>Core + Morris Communities</v>
      </c>
      <c r="D1112" s="2">
        <f>IF(COUNTIFS('[1]Brand Family Territories (Enc)'!$B$2:$B$62,C1112,'[1]Brand Family Territories (Enc)'!$C$2:$C$62,B1112)&gt;0,1,IF(AND(LEFT(B1112,6)="MORRIS",COUNTIFS('[1]Brand Family Territories (Enc)'!$B$2:$B$62,C1112,'[1]Brand Family Territories (Enc)'!$C$2:$C$62,"Morri")&gt;0),"Unk",0))</f>
        <v>1</v>
      </c>
      <c r="E1112" s="2" t="str">
        <f>IFERROR(INDEX('Blackout Brand Fam Areas (Enc)'!$D$6:$D$998,MATCH(UPPER(A1112)&amp;"|"&amp;UPPER(B1112),'Blackout Brand Fam Areas (Enc)'!$G$6:$G$998,0)),"No Match")</f>
        <v>No Match</v>
      </c>
      <c r="F1112" s="2" t="str">
        <f t="shared" si="34"/>
        <v>US</v>
      </c>
      <c r="G1112" s="2" t="str">
        <f t="shared" si="35"/>
        <v>Heineken USA|BERGEN</v>
      </c>
    </row>
    <row r="1113" spans="1:7" x14ac:dyDescent="0.2">
      <c r="A1113" s="2" t="str" cm="1">
        <f t="array" ref="A1113">INDEX('[1]Brand Family Territory (Enc)'!$A$2:$A$296,INT((ROW()-2)/10)+1)</f>
        <v>Heineken USA</v>
      </c>
      <c r="B1113" s="2" t="str" cm="1">
        <f t="array" ref="B1113">INDEX('Whitelist (Blackout Reverse)'!$B$1:$K$1,MOD(ROW()-2,10)+1)</f>
        <v>PASSAIC</v>
      </c>
      <c r="C1113" s="2" t="str">
        <f>VLOOKUP(A1113,'[1]Brand Family Territory (Enc)'!$A$2:$B$296,2,FALSE)</f>
        <v>Core + Morris Communities</v>
      </c>
      <c r="D1113" s="2">
        <f>IF(COUNTIFS('[1]Brand Family Territories (Enc)'!$B$2:$B$62,C1113,'[1]Brand Family Territories (Enc)'!$C$2:$C$62,B1113)&gt;0,1,IF(AND(LEFT(B1113,6)="MORRIS",COUNTIFS('[1]Brand Family Territories (Enc)'!$B$2:$B$62,C1113,'[1]Brand Family Territories (Enc)'!$C$2:$C$62,"Morri")&gt;0),"Unk",0))</f>
        <v>1</v>
      </c>
      <c r="E1113" s="2" t="str">
        <f>IFERROR(INDEX('Blackout Brand Fam Areas (Enc)'!$D$6:$D$998,MATCH(UPPER(A1113)&amp;"|"&amp;UPPER(B1113),'Blackout Brand Fam Areas (Enc)'!$G$6:$G$998,0)),"No Match")</f>
        <v>No Match</v>
      </c>
      <c r="F1113" s="2" t="str">
        <f t="shared" si="34"/>
        <v>US</v>
      </c>
      <c r="G1113" s="2" t="str">
        <f t="shared" si="35"/>
        <v>Heineken USA|PASSAIC</v>
      </c>
    </row>
    <row r="1114" spans="1:7" x14ac:dyDescent="0.2">
      <c r="A1114" s="2" t="str" cm="1">
        <f t="array" ref="A1114">INDEX('[1]Brand Family Territory (Enc)'!$A$2:$A$296,INT((ROW()-2)/10)+1)</f>
        <v>Heineken USA</v>
      </c>
      <c r="B1114" s="2" t="str" cm="1">
        <f t="array" ref="B1114">INDEX('Whitelist (Blackout Reverse)'!$B$1:$K$1,MOD(ROW()-2,10)+1)</f>
        <v>PASSAIC-FF</v>
      </c>
      <c r="C1114" s="2" t="str">
        <f>VLOOKUP(A1114,'[1]Brand Family Territory (Enc)'!$A$2:$B$296,2,FALSE)</f>
        <v>Core + Morris Communities</v>
      </c>
      <c r="D1114" s="2">
        <f>IF(COUNTIFS('[1]Brand Family Territories (Enc)'!$B$2:$B$62,C1114,'[1]Brand Family Territories (Enc)'!$C$2:$C$62,B1114)&gt;0,1,IF(AND(LEFT(B1114,6)="MORRIS",COUNTIFS('[1]Brand Family Territories (Enc)'!$B$2:$B$62,C1114,'[1]Brand Family Territories (Enc)'!$C$2:$C$62,"Morri")&gt;0),"Unk",0))</f>
        <v>1</v>
      </c>
      <c r="E1114" s="2" t="str">
        <f>IFERROR(INDEX('Blackout Brand Fam Areas (Enc)'!$D$6:$D$998,MATCH(UPPER(A1114)&amp;"|"&amp;UPPER(B1114),'Blackout Brand Fam Areas (Enc)'!$G$6:$G$998,0)),"No Match")</f>
        <v>No Match</v>
      </c>
      <c r="F1114" s="2" t="str">
        <f t="shared" si="34"/>
        <v>US</v>
      </c>
      <c r="G1114" s="2" t="str">
        <f t="shared" si="35"/>
        <v>Heineken USA|PASSAIC-FF</v>
      </c>
    </row>
    <row r="1115" spans="1:7" x14ac:dyDescent="0.2">
      <c r="A1115" s="2" t="str" cm="1">
        <f t="array" ref="A1115">INDEX('[1]Brand Family Territory (Enc)'!$A$2:$A$296,INT((ROW()-2)/10)+1)</f>
        <v>Heineken USA</v>
      </c>
      <c r="B1115" s="2" t="str" cm="1">
        <f t="array" ref="B1115">INDEX('Whitelist (Blackout Reverse)'!$B$1:$K$1,MOD(ROW()-2,10)+1)</f>
        <v>ESSEX</v>
      </c>
      <c r="C1115" s="2" t="str">
        <f>VLOOKUP(A1115,'[1]Brand Family Territory (Enc)'!$A$2:$B$296,2,FALSE)</f>
        <v>Core + Morris Communities</v>
      </c>
      <c r="D1115" s="2">
        <f>IF(COUNTIFS('[1]Brand Family Territories (Enc)'!$B$2:$B$62,C1115,'[1]Brand Family Territories (Enc)'!$C$2:$C$62,B1115)&gt;0,1,IF(AND(LEFT(B1115,6)="MORRIS",COUNTIFS('[1]Brand Family Territories (Enc)'!$B$2:$B$62,C1115,'[1]Brand Family Territories (Enc)'!$C$2:$C$62,"Morri")&gt;0),"Unk",0))</f>
        <v>0</v>
      </c>
      <c r="E1115" s="2" t="str">
        <f>IFERROR(INDEX('Blackout Brand Fam Areas (Enc)'!$D$6:$D$998,MATCH(UPPER(A1115)&amp;"|"&amp;UPPER(B1115),'Blackout Brand Fam Areas (Enc)'!$G$6:$G$998,0)),"No Match")</f>
        <v>Inactive</v>
      </c>
      <c r="F1115" s="2" t="str">
        <f t="shared" si="34"/>
        <v>THEM</v>
      </c>
      <c r="G1115" s="2" t="str">
        <f t="shared" si="35"/>
        <v>Heineken USA|ESSEX</v>
      </c>
    </row>
    <row r="1116" spans="1:7" x14ac:dyDescent="0.2">
      <c r="A1116" s="2" t="str" cm="1">
        <f t="array" ref="A1116">INDEX('[1]Brand Family Territory (Enc)'!$A$2:$A$296,INT((ROW()-2)/10)+1)</f>
        <v>Heineken USA</v>
      </c>
      <c r="B1116" s="2" t="str" cm="1">
        <f t="array" ref="B1116">INDEX('Whitelist (Blackout Reverse)'!$B$1:$K$1,MOD(ROW()-2,10)+1)</f>
        <v>HUDSON</v>
      </c>
      <c r="C1116" s="2" t="str">
        <f>VLOOKUP(A1116,'[1]Brand Family Territory (Enc)'!$A$2:$B$296,2,FALSE)</f>
        <v>Core + Morris Communities</v>
      </c>
      <c r="D1116" s="2">
        <f>IF(COUNTIFS('[1]Brand Family Territories (Enc)'!$B$2:$B$62,C1116,'[1]Brand Family Territories (Enc)'!$C$2:$C$62,B1116)&gt;0,1,IF(AND(LEFT(B1116,6)="MORRIS",COUNTIFS('[1]Brand Family Territories (Enc)'!$B$2:$B$62,C1116,'[1]Brand Family Territories (Enc)'!$C$2:$C$62,"Morri")&gt;0),"Unk",0))</f>
        <v>0</v>
      </c>
      <c r="E1116" s="2" t="str">
        <f>IFERROR(INDEX('Blackout Brand Fam Areas (Enc)'!$D$6:$D$998,MATCH(UPPER(A1116)&amp;"|"&amp;UPPER(B1116),'Blackout Brand Fam Areas (Enc)'!$G$6:$G$998,0)),"No Match")</f>
        <v>Inactive</v>
      </c>
      <c r="F1116" s="2" t="str">
        <f t="shared" si="34"/>
        <v>THEM</v>
      </c>
      <c r="G1116" s="2" t="str">
        <f t="shared" si="35"/>
        <v>Heineken USA|HUDSON</v>
      </c>
    </row>
    <row r="1117" spans="1:7" x14ac:dyDescent="0.2">
      <c r="A1117" s="2" t="str" cm="1">
        <f t="array" ref="A1117">INDEX('[1]Brand Family Territory (Enc)'!$A$2:$A$296,INT((ROW()-2)/10)+1)</f>
        <v>Heineken USA</v>
      </c>
      <c r="B1117" s="2" t="str" cm="1">
        <f t="array" ref="B1117">INDEX('Whitelist (Blackout Reverse)'!$B$1:$K$1,MOD(ROW()-2,10)+1)</f>
        <v>UNION</v>
      </c>
      <c r="C1117" s="2" t="str">
        <f>VLOOKUP(A1117,'[1]Brand Family Territory (Enc)'!$A$2:$B$296,2,FALSE)</f>
        <v>Core + Morris Communities</v>
      </c>
      <c r="D1117" s="2">
        <f>IF(COUNTIFS('[1]Brand Family Territories (Enc)'!$B$2:$B$62,C1117,'[1]Brand Family Territories (Enc)'!$C$2:$C$62,B1117)&gt;0,1,IF(AND(LEFT(B1117,6)="MORRIS",COUNTIFS('[1]Brand Family Territories (Enc)'!$B$2:$B$62,C1117,'[1]Brand Family Territories (Enc)'!$C$2:$C$62,"Morri")&gt;0),"Unk",0))</f>
        <v>0</v>
      </c>
      <c r="E1117" s="2" t="str">
        <f>IFERROR(INDEX('Blackout Brand Fam Areas (Enc)'!$D$6:$D$998,MATCH(UPPER(A1117)&amp;"|"&amp;UPPER(B1117),'Blackout Brand Fam Areas (Enc)'!$G$6:$G$998,0)),"No Match")</f>
        <v>Inactive</v>
      </c>
      <c r="F1117" s="2" t="str">
        <f t="shared" si="34"/>
        <v>THEM</v>
      </c>
      <c r="G1117" s="2" t="str">
        <f t="shared" si="35"/>
        <v>Heineken USA|UNION</v>
      </c>
    </row>
    <row r="1118" spans="1:7" x14ac:dyDescent="0.2">
      <c r="A1118" s="2" t="str" cm="1">
        <f t="array" ref="A1118">INDEX('[1]Brand Family Territory (Enc)'!$A$2:$A$296,INT((ROW()-2)/10)+1)</f>
        <v>Heineken USA</v>
      </c>
      <c r="B1118" s="2" t="str" cm="1">
        <f t="array" ref="B1118">INDEX('Whitelist (Blackout Reverse)'!$B$1:$K$1,MOD(ROW()-2,10)+1)</f>
        <v>SUSSEX</v>
      </c>
      <c r="C1118" s="2" t="str">
        <f>VLOOKUP(A1118,'[1]Brand Family Territory (Enc)'!$A$2:$B$296,2,FALSE)</f>
        <v>Core + Morris Communities</v>
      </c>
      <c r="D1118" s="2">
        <f>IF(COUNTIFS('[1]Brand Family Territories (Enc)'!$B$2:$B$62,C1118,'[1]Brand Family Territories (Enc)'!$C$2:$C$62,B1118)&gt;0,1,IF(AND(LEFT(B1118,6)="MORRIS",COUNTIFS('[1]Brand Family Territories (Enc)'!$B$2:$B$62,C1118,'[1]Brand Family Territories (Enc)'!$C$2:$C$62,"Morri")&gt;0),"Unk",0))</f>
        <v>0</v>
      </c>
      <c r="E1118" s="2" t="str">
        <f>IFERROR(INDEX('Blackout Brand Fam Areas (Enc)'!$D$6:$D$998,MATCH(UPPER(A1118)&amp;"|"&amp;UPPER(B1118),'Blackout Brand Fam Areas (Enc)'!$G$6:$G$998,0)),"No Match")</f>
        <v>Inactive</v>
      </c>
      <c r="F1118" s="2" t="str">
        <f t="shared" si="34"/>
        <v>THEM</v>
      </c>
      <c r="G1118" s="2" t="str">
        <f t="shared" si="35"/>
        <v>Heineken USA|SUSSEX</v>
      </c>
    </row>
    <row r="1119" spans="1:7" x14ac:dyDescent="0.2">
      <c r="A1119" s="2" t="str" cm="1">
        <f t="array" ref="A1119">INDEX('[1]Brand Family Territory (Enc)'!$A$2:$A$296,INT((ROW()-2)/10)+1)</f>
        <v>Heineken USA</v>
      </c>
      <c r="B1119" s="2" t="str" cm="1">
        <f t="array" ref="B1119">INDEX('Whitelist (Blackout Reverse)'!$B$1:$K$1,MOD(ROW()-2,10)+1)</f>
        <v>MORRIS 1</v>
      </c>
      <c r="C1119" s="2" t="str">
        <f>VLOOKUP(A1119,'[1]Brand Family Territory (Enc)'!$A$2:$B$296,2,FALSE)</f>
        <v>Core + Morris Communities</v>
      </c>
      <c r="D1119" s="2">
        <f>IF(COUNTIFS('[1]Brand Family Territories (Enc)'!$B$2:$B$62,C1119,'[1]Brand Family Territories (Enc)'!$C$2:$C$62,B1119)&gt;0,1,IF(AND(LEFT(B1119,6)="MORRIS",COUNTIFS('[1]Brand Family Territories (Enc)'!$B$2:$B$62,C1119,'[1]Brand Family Territories (Enc)'!$C$2:$C$62,"Morri")&gt;0),"Unk",0))</f>
        <v>1</v>
      </c>
      <c r="E1119" s="2" t="str">
        <f>IFERROR(INDEX('Blackout Brand Fam Areas (Enc)'!$D$6:$D$998,MATCH(UPPER(A1119)&amp;"|"&amp;UPPER(B1119),'Blackout Brand Fam Areas (Enc)'!$G$6:$G$998,0)),"No Match")</f>
        <v>Inactive</v>
      </c>
      <c r="F1119" s="2" t="str">
        <f t="shared" si="34"/>
        <v>THEM</v>
      </c>
      <c r="G1119" s="2" t="str">
        <f t="shared" si="35"/>
        <v>Heineken USA|MORRIS 1</v>
      </c>
    </row>
    <row r="1120" spans="1:7" x14ac:dyDescent="0.2">
      <c r="A1120" s="2" t="str" cm="1">
        <f t="array" ref="A1120">INDEX('[1]Brand Family Territory (Enc)'!$A$2:$A$296,INT((ROW()-2)/10)+1)</f>
        <v>Heineken USA</v>
      </c>
      <c r="B1120" s="2" t="str" cm="1">
        <f t="array" ref="B1120">INDEX('Whitelist (Blackout Reverse)'!$B$1:$K$1,MOD(ROW()-2,10)+1)</f>
        <v>MORRIS 2</v>
      </c>
      <c r="C1120" s="2" t="str">
        <f>VLOOKUP(A1120,'[1]Brand Family Territory (Enc)'!$A$2:$B$296,2,FALSE)</f>
        <v>Core + Morris Communities</v>
      </c>
      <c r="D1120" s="2">
        <f>IF(COUNTIFS('[1]Brand Family Territories (Enc)'!$B$2:$B$62,C1120,'[1]Brand Family Territories (Enc)'!$C$2:$C$62,B1120)&gt;0,1,IF(AND(LEFT(B1120,6)="MORRIS",COUNTIFS('[1]Brand Family Territories (Enc)'!$B$2:$B$62,C1120,'[1]Brand Family Territories (Enc)'!$C$2:$C$62,"Morri")&gt;0),"Unk",0))</f>
        <v>0</v>
      </c>
      <c r="E1120" s="2" t="str">
        <f>IFERROR(INDEX('Blackout Brand Fam Areas (Enc)'!$D$6:$D$998,MATCH(UPPER(A1120)&amp;"|"&amp;UPPER(B1120),'Blackout Brand Fam Areas (Enc)'!$G$6:$G$998,0)),"No Match")</f>
        <v>Inactive</v>
      </c>
      <c r="F1120" s="2" t="str">
        <f t="shared" si="34"/>
        <v>THEM</v>
      </c>
      <c r="G1120" s="2" t="str">
        <f t="shared" si="35"/>
        <v>Heineken USA|MORRIS 2</v>
      </c>
    </row>
    <row r="1121" spans="1:7" x14ac:dyDescent="0.2">
      <c r="A1121" s="2" t="str" cm="1">
        <f t="array" ref="A1121">INDEX('[1]Brand Family Territory (Enc)'!$A$2:$A$296,INT((ROW()-2)/10)+1)</f>
        <v>Heineken USA</v>
      </c>
      <c r="B1121" s="2" t="str" cm="1">
        <f t="array" ref="B1121">INDEX('Whitelist (Blackout Reverse)'!$B$1:$K$1,MOD(ROW()-2,10)+1)</f>
        <v>MORRIS 3</v>
      </c>
      <c r="C1121" s="2" t="str">
        <f>VLOOKUP(A1121,'[1]Brand Family Territory (Enc)'!$A$2:$B$296,2,FALSE)</f>
        <v>Core + Morris Communities</v>
      </c>
      <c r="D1121" s="2">
        <f>IF(COUNTIFS('[1]Brand Family Territories (Enc)'!$B$2:$B$62,C1121,'[1]Brand Family Territories (Enc)'!$C$2:$C$62,B1121)&gt;0,1,IF(AND(LEFT(B1121,6)="MORRIS",COUNTIFS('[1]Brand Family Territories (Enc)'!$B$2:$B$62,C1121,'[1]Brand Family Territories (Enc)'!$C$2:$C$62,"Morri")&gt;0),"Unk",0))</f>
        <v>1</v>
      </c>
      <c r="E1121" s="2" t="str">
        <f>IFERROR(INDEX('Blackout Brand Fam Areas (Enc)'!$D$6:$D$998,MATCH(UPPER(A1121)&amp;"|"&amp;UPPER(B1121),'Blackout Brand Fam Areas (Enc)'!$G$6:$G$998,0)),"No Match")</f>
        <v>No Match</v>
      </c>
      <c r="F1121" s="2" t="str">
        <f t="shared" si="34"/>
        <v>US</v>
      </c>
      <c r="G1121" s="2" t="str">
        <f t="shared" si="35"/>
        <v>Heineken USA|MORRIS 3</v>
      </c>
    </row>
    <row r="1122" spans="1:7" x14ac:dyDescent="0.2">
      <c r="A1122" s="2" t="str" cm="1">
        <f t="array" ref="A1122">INDEX('[1]Brand Family Territory (Enc)'!$A$2:$A$296,INT((ROW()-2)/10)+1)</f>
        <v>Heineken Light</v>
      </c>
      <c r="B1122" s="2" t="str" cm="1">
        <f t="array" ref="B1122">INDEX('Whitelist (Blackout Reverse)'!$B$1:$K$1,MOD(ROW()-2,10)+1)</f>
        <v>BERGEN</v>
      </c>
      <c r="C1122" s="2" t="str">
        <f>VLOOKUP(A1122,'[1]Brand Family Territory (Enc)'!$A$2:$B$296,2,FALSE)</f>
        <v>Core + Morris Communities</v>
      </c>
      <c r="D1122" s="2">
        <f>IF(COUNTIFS('[1]Brand Family Territories (Enc)'!$B$2:$B$62,C1122,'[1]Brand Family Territories (Enc)'!$C$2:$C$62,B1122)&gt;0,1,IF(AND(LEFT(B1122,6)="MORRIS",COUNTIFS('[1]Brand Family Territories (Enc)'!$B$2:$B$62,C1122,'[1]Brand Family Territories (Enc)'!$C$2:$C$62,"Morri")&gt;0),"Unk",0))</f>
        <v>1</v>
      </c>
      <c r="E1122" s="2" t="str">
        <f>IFERROR(INDEX('Blackout Brand Fam Areas (Enc)'!$D$6:$D$998,MATCH(UPPER(A1122)&amp;"|"&amp;UPPER(B1122),'Blackout Brand Fam Areas (Enc)'!$G$6:$G$998,0)),"No Match")</f>
        <v>No Match</v>
      </c>
      <c r="F1122" s="2" t="str">
        <f t="shared" si="34"/>
        <v>US</v>
      </c>
      <c r="G1122" s="2" t="str">
        <f t="shared" si="35"/>
        <v>Heineken Light|BERGEN</v>
      </c>
    </row>
    <row r="1123" spans="1:7" x14ac:dyDescent="0.2">
      <c r="A1123" s="2" t="str" cm="1">
        <f t="array" ref="A1123">INDEX('[1]Brand Family Territory (Enc)'!$A$2:$A$296,INT((ROW()-2)/10)+1)</f>
        <v>Heineken Light</v>
      </c>
      <c r="B1123" s="2" t="str" cm="1">
        <f t="array" ref="B1123">INDEX('Whitelist (Blackout Reverse)'!$B$1:$K$1,MOD(ROW()-2,10)+1)</f>
        <v>PASSAIC</v>
      </c>
      <c r="C1123" s="2" t="str">
        <f>VLOOKUP(A1123,'[1]Brand Family Territory (Enc)'!$A$2:$B$296,2,FALSE)</f>
        <v>Core + Morris Communities</v>
      </c>
      <c r="D1123" s="2">
        <f>IF(COUNTIFS('[1]Brand Family Territories (Enc)'!$B$2:$B$62,C1123,'[1]Brand Family Territories (Enc)'!$C$2:$C$62,B1123)&gt;0,1,IF(AND(LEFT(B1123,6)="MORRIS",COUNTIFS('[1]Brand Family Territories (Enc)'!$B$2:$B$62,C1123,'[1]Brand Family Territories (Enc)'!$C$2:$C$62,"Morri")&gt;0),"Unk",0))</f>
        <v>1</v>
      </c>
      <c r="E1123" s="2" t="str">
        <f>IFERROR(INDEX('Blackout Brand Fam Areas (Enc)'!$D$6:$D$998,MATCH(UPPER(A1123)&amp;"|"&amp;UPPER(B1123),'Blackout Brand Fam Areas (Enc)'!$G$6:$G$998,0)),"No Match")</f>
        <v>No Match</v>
      </c>
      <c r="F1123" s="2" t="str">
        <f t="shared" si="34"/>
        <v>US</v>
      </c>
      <c r="G1123" s="2" t="str">
        <f t="shared" si="35"/>
        <v>Heineken Light|PASSAIC</v>
      </c>
    </row>
    <row r="1124" spans="1:7" x14ac:dyDescent="0.2">
      <c r="A1124" s="2" t="str" cm="1">
        <f t="array" ref="A1124">INDEX('[1]Brand Family Territory (Enc)'!$A$2:$A$296,INT((ROW()-2)/10)+1)</f>
        <v>Heineken Light</v>
      </c>
      <c r="B1124" s="2" t="str" cm="1">
        <f t="array" ref="B1124">INDEX('Whitelist (Blackout Reverse)'!$B$1:$K$1,MOD(ROW()-2,10)+1)</f>
        <v>PASSAIC-FF</v>
      </c>
      <c r="C1124" s="2" t="str">
        <f>VLOOKUP(A1124,'[1]Brand Family Territory (Enc)'!$A$2:$B$296,2,FALSE)</f>
        <v>Core + Morris Communities</v>
      </c>
      <c r="D1124" s="2">
        <f>IF(COUNTIFS('[1]Brand Family Territories (Enc)'!$B$2:$B$62,C1124,'[1]Brand Family Territories (Enc)'!$C$2:$C$62,B1124)&gt;0,1,IF(AND(LEFT(B1124,6)="MORRIS",COUNTIFS('[1]Brand Family Territories (Enc)'!$B$2:$B$62,C1124,'[1]Brand Family Territories (Enc)'!$C$2:$C$62,"Morri")&gt;0),"Unk",0))</f>
        <v>1</v>
      </c>
      <c r="E1124" s="2" t="str">
        <f>IFERROR(INDEX('Blackout Brand Fam Areas (Enc)'!$D$6:$D$998,MATCH(UPPER(A1124)&amp;"|"&amp;UPPER(B1124),'Blackout Brand Fam Areas (Enc)'!$G$6:$G$998,0)),"No Match")</f>
        <v>No Match</v>
      </c>
      <c r="F1124" s="2" t="str">
        <f t="shared" si="34"/>
        <v>US</v>
      </c>
      <c r="G1124" s="2" t="str">
        <f t="shared" si="35"/>
        <v>Heineken Light|PASSAIC-FF</v>
      </c>
    </row>
    <row r="1125" spans="1:7" x14ac:dyDescent="0.2">
      <c r="A1125" s="2" t="str" cm="1">
        <f t="array" ref="A1125">INDEX('[1]Brand Family Territory (Enc)'!$A$2:$A$296,INT((ROW()-2)/10)+1)</f>
        <v>Heineken Light</v>
      </c>
      <c r="B1125" s="2" t="str" cm="1">
        <f t="array" ref="B1125">INDEX('Whitelist (Blackout Reverse)'!$B$1:$K$1,MOD(ROW()-2,10)+1)</f>
        <v>ESSEX</v>
      </c>
      <c r="C1125" s="2" t="str">
        <f>VLOOKUP(A1125,'[1]Brand Family Territory (Enc)'!$A$2:$B$296,2,FALSE)</f>
        <v>Core + Morris Communities</v>
      </c>
      <c r="D1125" s="2">
        <f>IF(COUNTIFS('[1]Brand Family Territories (Enc)'!$B$2:$B$62,C1125,'[1]Brand Family Territories (Enc)'!$C$2:$C$62,B1125)&gt;0,1,IF(AND(LEFT(B1125,6)="MORRIS",COUNTIFS('[1]Brand Family Territories (Enc)'!$B$2:$B$62,C1125,'[1]Brand Family Territories (Enc)'!$C$2:$C$62,"Morri")&gt;0),"Unk",0))</f>
        <v>0</v>
      </c>
      <c r="E1125" s="2" t="str">
        <f>IFERROR(INDEX('Blackout Brand Fam Areas (Enc)'!$D$6:$D$998,MATCH(UPPER(A1125)&amp;"|"&amp;UPPER(B1125),'Blackout Brand Fam Areas (Enc)'!$G$6:$G$998,0)),"No Match")</f>
        <v>Inactive</v>
      </c>
      <c r="F1125" s="2" t="str">
        <f t="shared" si="34"/>
        <v>THEM</v>
      </c>
      <c r="G1125" s="2" t="str">
        <f t="shared" si="35"/>
        <v>Heineken Light|ESSEX</v>
      </c>
    </row>
    <row r="1126" spans="1:7" x14ac:dyDescent="0.2">
      <c r="A1126" s="2" t="str" cm="1">
        <f t="array" ref="A1126">INDEX('[1]Brand Family Territory (Enc)'!$A$2:$A$296,INT((ROW()-2)/10)+1)</f>
        <v>Heineken Light</v>
      </c>
      <c r="B1126" s="2" t="str" cm="1">
        <f t="array" ref="B1126">INDEX('Whitelist (Blackout Reverse)'!$B$1:$K$1,MOD(ROW()-2,10)+1)</f>
        <v>HUDSON</v>
      </c>
      <c r="C1126" s="2" t="str">
        <f>VLOOKUP(A1126,'[1]Brand Family Territory (Enc)'!$A$2:$B$296,2,FALSE)</f>
        <v>Core + Morris Communities</v>
      </c>
      <c r="D1126" s="2">
        <f>IF(COUNTIFS('[1]Brand Family Territories (Enc)'!$B$2:$B$62,C1126,'[1]Brand Family Territories (Enc)'!$C$2:$C$62,B1126)&gt;0,1,IF(AND(LEFT(B1126,6)="MORRIS",COUNTIFS('[1]Brand Family Territories (Enc)'!$B$2:$B$62,C1126,'[1]Brand Family Territories (Enc)'!$C$2:$C$62,"Morri")&gt;0),"Unk",0))</f>
        <v>0</v>
      </c>
      <c r="E1126" s="2" t="str">
        <f>IFERROR(INDEX('Blackout Brand Fam Areas (Enc)'!$D$6:$D$998,MATCH(UPPER(A1126)&amp;"|"&amp;UPPER(B1126),'Blackout Brand Fam Areas (Enc)'!$G$6:$G$998,0)),"No Match")</f>
        <v>Inactive</v>
      </c>
      <c r="F1126" s="2" t="str">
        <f t="shared" si="34"/>
        <v>THEM</v>
      </c>
      <c r="G1126" s="2" t="str">
        <f t="shared" si="35"/>
        <v>Heineken Light|HUDSON</v>
      </c>
    </row>
    <row r="1127" spans="1:7" x14ac:dyDescent="0.2">
      <c r="A1127" s="2" t="str" cm="1">
        <f t="array" ref="A1127">INDEX('[1]Brand Family Territory (Enc)'!$A$2:$A$296,INT((ROW()-2)/10)+1)</f>
        <v>Heineken Light</v>
      </c>
      <c r="B1127" s="2" t="str" cm="1">
        <f t="array" ref="B1127">INDEX('Whitelist (Blackout Reverse)'!$B$1:$K$1,MOD(ROW()-2,10)+1)</f>
        <v>UNION</v>
      </c>
      <c r="C1127" s="2" t="str">
        <f>VLOOKUP(A1127,'[1]Brand Family Territory (Enc)'!$A$2:$B$296,2,FALSE)</f>
        <v>Core + Morris Communities</v>
      </c>
      <c r="D1127" s="2">
        <f>IF(COUNTIFS('[1]Brand Family Territories (Enc)'!$B$2:$B$62,C1127,'[1]Brand Family Territories (Enc)'!$C$2:$C$62,B1127)&gt;0,1,IF(AND(LEFT(B1127,6)="MORRIS",COUNTIFS('[1]Brand Family Territories (Enc)'!$B$2:$B$62,C1127,'[1]Brand Family Territories (Enc)'!$C$2:$C$62,"Morri")&gt;0),"Unk",0))</f>
        <v>0</v>
      </c>
      <c r="E1127" s="2" t="str">
        <f>IFERROR(INDEX('Blackout Brand Fam Areas (Enc)'!$D$6:$D$998,MATCH(UPPER(A1127)&amp;"|"&amp;UPPER(B1127),'Blackout Brand Fam Areas (Enc)'!$G$6:$G$998,0)),"No Match")</f>
        <v>Inactive</v>
      </c>
      <c r="F1127" s="2" t="str">
        <f t="shared" si="34"/>
        <v>THEM</v>
      </c>
      <c r="G1127" s="2" t="str">
        <f t="shared" si="35"/>
        <v>Heineken Light|UNION</v>
      </c>
    </row>
    <row r="1128" spans="1:7" x14ac:dyDescent="0.2">
      <c r="A1128" s="2" t="str" cm="1">
        <f t="array" ref="A1128">INDEX('[1]Brand Family Territory (Enc)'!$A$2:$A$296,INT((ROW()-2)/10)+1)</f>
        <v>Heineken Light</v>
      </c>
      <c r="B1128" s="2" t="str" cm="1">
        <f t="array" ref="B1128">INDEX('Whitelist (Blackout Reverse)'!$B$1:$K$1,MOD(ROW()-2,10)+1)</f>
        <v>SUSSEX</v>
      </c>
      <c r="C1128" s="2" t="str">
        <f>VLOOKUP(A1128,'[1]Brand Family Territory (Enc)'!$A$2:$B$296,2,FALSE)</f>
        <v>Core + Morris Communities</v>
      </c>
      <c r="D1128" s="2">
        <f>IF(COUNTIFS('[1]Brand Family Territories (Enc)'!$B$2:$B$62,C1128,'[1]Brand Family Territories (Enc)'!$C$2:$C$62,B1128)&gt;0,1,IF(AND(LEFT(B1128,6)="MORRIS",COUNTIFS('[1]Brand Family Territories (Enc)'!$B$2:$B$62,C1128,'[1]Brand Family Territories (Enc)'!$C$2:$C$62,"Morri")&gt;0),"Unk",0))</f>
        <v>0</v>
      </c>
      <c r="E1128" s="2" t="str">
        <f>IFERROR(INDEX('Blackout Brand Fam Areas (Enc)'!$D$6:$D$998,MATCH(UPPER(A1128)&amp;"|"&amp;UPPER(B1128),'Blackout Brand Fam Areas (Enc)'!$G$6:$G$998,0)),"No Match")</f>
        <v>Inactive</v>
      </c>
      <c r="F1128" s="2" t="str">
        <f t="shared" si="34"/>
        <v>THEM</v>
      </c>
      <c r="G1128" s="2" t="str">
        <f t="shared" si="35"/>
        <v>Heineken Light|SUSSEX</v>
      </c>
    </row>
    <row r="1129" spans="1:7" x14ac:dyDescent="0.2">
      <c r="A1129" s="2" t="str" cm="1">
        <f t="array" ref="A1129">INDEX('[1]Brand Family Territory (Enc)'!$A$2:$A$296,INT((ROW()-2)/10)+1)</f>
        <v>Heineken Light</v>
      </c>
      <c r="B1129" s="2" t="str" cm="1">
        <f t="array" ref="B1129">INDEX('Whitelist (Blackout Reverse)'!$B$1:$K$1,MOD(ROW()-2,10)+1)</f>
        <v>MORRIS 1</v>
      </c>
      <c r="C1129" s="2" t="str">
        <f>VLOOKUP(A1129,'[1]Brand Family Territory (Enc)'!$A$2:$B$296,2,FALSE)</f>
        <v>Core + Morris Communities</v>
      </c>
      <c r="D1129" s="2">
        <f>IF(COUNTIFS('[1]Brand Family Territories (Enc)'!$B$2:$B$62,C1129,'[1]Brand Family Territories (Enc)'!$C$2:$C$62,B1129)&gt;0,1,IF(AND(LEFT(B1129,6)="MORRIS",COUNTIFS('[1]Brand Family Territories (Enc)'!$B$2:$B$62,C1129,'[1]Brand Family Territories (Enc)'!$C$2:$C$62,"Morri")&gt;0),"Unk",0))</f>
        <v>1</v>
      </c>
      <c r="E1129" s="2" t="str">
        <f>IFERROR(INDEX('Blackout Brand Fam Areas (Enc)'!$D$6:$D$998,MATCH(UPPER(A1129)&amp;"|"&amp;UPPER(B1129),'Blackout Brand Fam Areas (Enc)'!$G$6:$G$998,0)),"No Match")</f>
        <v>Inactive</v>
      </c>
      <c r="F1129" s="2" t="str">
        <f t="shared" si="34"/>
        <v>THEM</v>
      </c>
      <c r="G1129" s="2" t="str">
        <f t="shared" si="35"/>
        <v>Heineken Light|MORRIS 1</v>
      </c>
    </row>
    <row r="1130" spans="1:7" x14ac:dyDescent="0.2">
      <c r="A1130" s="2" t="str" cm="1">
        <f t="array" ref="A1130">INDEX('[1]Brand Family Territory (Enc)'!$A$2:$A$296,INT((ROW()-2)/10)+1)</f>
        <v>Heineken Light</v>
      </c>
      <c r="B1130" s="2" t="str" cm="1">
        <f t="array" ref="B1130">INDEX('Whitelist (Blackout Reverse)'!$B$1:$K$1,MOD(ROW()-2,10)+1)</f>
        <v>MORRIS 2</v>
      </c>
      <c r="C1130" s="2" t="str">
        <f>VLOOKUP(A1130,'[1]Brand Family Territory (Enc)'!$A$2:$B$296,2,FALSE)</f>
        <v>Core + Morris Communities</v>
      </c>
      <c r="D1130" s="2">
        <f>IF(COUNTIFS('[1]Brand Family Territories (Enc)'!$B$2:$B$62,C1130,'[1]Brand Family Territories (Enc)'!$C$2:$C$62,B1130)&gt;0,1,IF(AND(LEFT(B1130,6)="MORRIS",COUNTIFS('[1]Brand Family Territories (Enc)'!$B$2:$B$62,C1130,'[1]Brand Family Territories (Enc)'!$C$2:$C$62,"Morri")&gt;0),"Unk",0))</f>
        <v>0</v>
      </c>
      <c r="E1130" s="2" t="str">
        <f>IFERROR(INDEX('Blackout Brand Fam Areas (Enc)'!$D$6:$D$998,MATCH(UPPER(A1130)&amp;"|"&amp;UPPER(B1130),'Blackout Brand Fam Areas (Enc)'!$G$6:$G$998,0)),"No Match")</f>
        <v>Inactive</v>
      </c>
      <c r="F1130" s="2" t="str">
        <f t="shared" si="34"/>
        <v>THEM</v>
      </c>
      <c r="G1130" s="2" t="str">
        <f t="shared" si="35"/>
        <v>Heineken Light|MORRIS 2</v>
      </c>
    </row>
    <row r="1131" spans="1:7" x14ac:dyDescent="0.2">
      <c r="A1131" s="2" t="str" cm="1">
        <f t="array" ref="A1131">INDEX('[1]Brand Family Territory (Enc)'!$A$2:$A$296,INT((ROW()-2)/10)+1)</f>
        <v>Heineken Light</v>
      </c>
      <c r="B1131" s="2" t="str" cm="1">
        <f t="array" ref="B1131">INDEX('Whitelist (Blackout Reverse)'!$B$1:$K$1,MOD(ROW()-2,10)+1)</f>
        <v>MORRIS 3</v>
      </c>
      <c r="C1131" s="2" t="str">
        <f>VLOOKUP(A1131,'[1]Brand Family Territory (Enc)'!$A$2:$B$296,2,FALSE)</f>
        <v>Core + Morris Communities</v>
      </c>
      <c r="D1131" s="2">
        <f>IF(COUNTIFS('[1]Brand Family Territories (Enc)'!$B$2:$B$62,C1131,'[1]Brand Family Territories (Enc)'!$C$2:$C$62,B1131)&gt;0,1,IF(AND(LEFT(B1131,6)="MORRIS",COUNTIFS('[1]Brand Family Territories (Enc)'!$B$2:$B$62,C1131,'[1]Brand Family Territories (Enc)'!$C$2:$C$62,"Morri")&gt;0),"Unk",0))</f>
        <v>1</v>
      </c>
      <c r="E1131" s="2" t="str">
        <f>IFERROR(INDEX('Blackout Brand Fam Areas (Enc)'!$D$6:$D$998,MATCH(UPPER(A1131)&amp;"|"&amp;UPPER(B1131),'Blackout Brand Fam Areas (Enc)'!$G$6:$G$998,0)),"No Match")</f>
        <v>No Match</v>
      </c>
      <c r="F1131" s="2" t="str">
        <f t="shared" si="34"/>
        <v>US</v>
      </c>
      <c r="G1131" s="2" t="str">
        <f t="shared" si="35"/>
        <v>Heineken Light|MORRIS 3</v>
      </c>
    </row>
    <row r="1132" spans="1:7" x14ac:dyDescent="0.2">
      <c r="A1132" s="2" t="str" cm="1">
        <f t="array" ref="A1132">INDEX('[1]Brand Family Territory (Enc)'!$A$2:$A$296,INT((ROW()-2)/10)+1)</f>
        <v>Heineken Silver</v>
      </c>
      <c r="B1132" s="2" t="str" cm="1">
        <f t="array" ref="B1132">INDEX('Whitelist (Blackout Reverse)'!$B$1:$K$1,MOD(ROW()-2,10)+1)</f>
        <v>BERGEN</v>
      </c>
      <c r="C1132" s="2" t="str">
        <f>VLOOKUP(A1132,'[1]Brand Family Territory (Enc)'!$A$2:$B$296,2,FALSE)</f>
        <v>Core + Morris Communities</v>
      </c>
      <c r="D1132" s="2">
        <f>IF(COUNTIFS('[1]Brand Family Territories (Enc)'!$B$2:$B$62,C1132,'[1]Brand Family Territories (Enc)'!$C$2:$C$62,B1132)&gt;0,1,IF(AND(LEFT(B1132,6)="MORRIS",COUNTIFS('[1]Brand Family Territories (Enc)'!$B$2:$B$62,C1132,'[1]Brand Family Territories (Enc)'!$C$2:$C$62,"Morri")&gt;0),"Unk",0))</f>
        <v>1</v>
      </c>
      <c r="E1132" s="2" t="str">
        <f>IFERROR(INDEX('Blackout Brand Fam Areas (Enc)'!$D$6:$D$998,MATCH(UPPER(A1132)&amp;"|"&amp;UPPER(B1132),'Blackout Brand Fam Areas (Enc)'!$G$6:$G$998,0)),"No Match")</f>
        <v>No Match</v>
      </c>
      <c r="F1132" s="2" t="str">
        <f t="shared" si="34"/>
        <v>US</v>
      </c>
      <c r="G1132" s="2" t="str">
        <f t="shared" si="35"/>
        <v>Heineken Silver|BERGEN</v>
      </c>
    </row>
    <row r="1133" spans="1:7" x14ac:dyDescent="0.2">
      <c r="A1133" s="2" t="str" cm="1">
        <f t="array" ref="A1133">INDEX('[1]Brand Family Territory (Enc)'!$A$2:$A$296,INT((ROW()-2)/10)+1)</f>
        <v>Heineken Silver</v>
      </c>
      <c r="B1133" s="2" t="str" cm="1">
        <f t="array" ref="B1133">INDEX('Whitelist (Blackout Reverse)'!$B$1:$K$1,MOD(ROW()-2,10)+1)</f>
        <v>PASSAIC</v>
      </c>
      <c r="C1133" s="2" t="str">
        <f>VLOOKUP(A1133,'[1]Brand Family Territory (Enc)'!$A$2:$B$296,2,FALSE)</f>
        <v>Core + Morris Communities</v>
      </c>
      <c r="D1133" s="2">
        <f>IF(COUNTIFS('[1]Brand Family Territories (Enc)'!$B$2:$B$62,C1133,'[1]Brand Family Territories (Enc)'!$C$2:$C$62,B1133)&gt;0,1,IF(AND(LEFT(B1133,6)="MORRIS",COUNTIFS('[1]Brand Family Territories (Enc)'!$B$2:$B$62,C1133,'[1]Brand Family Territories (Enc)'!$C$2:$C$62,"Morri")&gt;0),"Unk",0))</f>
        <v>1</v>
      </c>
      <c r="E1133" s="2" t="str">
        <f>IFERROR(INDEX('Blackout Brand Fam Areas (Enc)'!$D$6:$D$998,MATCH(UPPER(A1133)&amp;"|"&amp;UPPER(B1133),'Blackout Brand Fam Areas (Enc)'!$G$6:$G$998,0)),"No Match")</f>
        <v>No Match</v>
      </c>
      <c r="F1133" s="2" t="str">
        <f t="shared" si="34"/>
        <v>US</v>
      </c>
      <c r="G1133" s="2" t="str">
        <f t="shared" si="35"/>
        <v>Heineken Silver|PASSAIC</v>
      </c>
    </row>
    <row r="1134" spans="1:7" x14ac:dyDescent="0.2">
      <c r="A1134" s="2" t="str" cm="1">
        <f t="array" ref="A1134">INDEX('[1]Brand Family Territory (Enc)'!$A$2:$A$296,INT((ROW()-2)/10)+1)</f>
        <v>Heineken Silver</v>
      </c>
      <c r="B1134" s="2" t="str" cm="1">
        <f t="array" ref="B1134">INDEX('Whitelist (Blackout Reverse)'!$B$1:$K$1,MOD(ROW()-2,10)+1)</f>
        <v>PASSAIC-FF</v>
      </c>
      <c r="C1134" s="2" t="str">
        <f>VLOOKUP(A1134,'[1]Brand Family Territory (Enc)'!$A$2:$B$296,2,FALSE)</f>
        <v>Core + Morris Communities</v>
      </c>
      <c r="D1134" s="2">
        <f>IF(COUNTIFS('[1]Brand Family Territories (Enc)'!$B$2:$B$62,C1134,'[1]Brand Family Territories (Enc)'!$C$2:$C$62,B1134)&gt;0,1,IF(AND(LEFT(B1134,6)="MORRIS",COUNTIFS('[1]Brand Family Territories (Enc)'!$B$2:$B$62,C1134,'[1]Brand Family Territories (Enc)'!$C$2:$C$62,"Morri")&gt;0),"Unk",0))</f>
        <v>1</v>
      </c>
      <c r="E1134" s="2" t="str">
        <f>IFERROR(INDEX('Blackout Brand Fam Areas (Enc)'!$D$6:$D$998,MATCH(UPPER(A1134)&amp;"|"&amp;UPPER(B1134),'Blackout Brand Fam Areas (Enc)'!$G$6:$G$998,0)),"No Match")</f>
        <v>No Match</v>
      </c>
      <c r="F1134" s="2" t="str">
        <f t="shared" si="34"/>
        <v>US</v>
      </c>
      <c r="G1134" s="2" t="str">
        <f t="shared" si="35"/>
        <v>Heineken Silver|PASSAIC-FF</v>
      </c>
    </row>
    <row r="1135" spans="1:7" x14ac:dyDescent="0.2">
      <c r="A1135" s="2" t="str" cm="1">
        <f t="array" ref="A1135">INDEX('[1]Brand Family Territory (Enc)'!$A$2:$A$296,INT((ROW()-2)/10)+1)</f>
        <v>Heineken Silver</v>
      </c>
      <c r="B1135" s="2" t="str" cm="1">
        <f t="array" ref="B1135">INDEX('Whitelist (Blackout Reverse)'!$B$1:$K$1,MOD(ROW()-2,10)+1)</f>
        <v>ESSEX</v>
      </c>
      <c r="C1135" s="2" t="str">
        <f>VLOOKUP(A1135,'[1]Brand Family Territory (Enc)'!$A$2:$B$296,2,FALSE)</f>
        <v>Core + Morris Communities</v>
      </c>
      <c r="D1135" s="2">
        <f>IF(COUNTIFS('[1]Brand Family Territories (Enc)'!$B$2:$B$62,C1135,'[1]Brand Family Territories (Enc)'!$C$2:$C$62,B1135)&gt;0,1,IF(AND(LEFT(B1135,6)="MORRIS",COUNTIFS('[1]Brand Family Territories (Enc)'!$B$2:$B$62,C1135,'[1]Brand Family Territories (Enc)'!$C$2:$C$62,"Morri")&gt;0),"Unk",0))</f>
        <v>0</v>
      </c>
      <c r="E1135" s="2" t="str">
        <f>IFERROR(INDEX('Blackout Brand Fam Areas (Enc)'!$D$6:$D$998,MATCH(UPPER(A1135)&amp;"|"&amp;UPPER(B1135),'Blackout Brand Fam Areas (Enc)'!$G$6:$G$998,0)),"No Match")</f>
        <v>Inactive</v>
      </c>
      <c r="F1135" s="2" t="str">
        <f t="shared" si="34"/>
        <v>THEM</v>
      </c>
      <c r="G1135" s="2" t="str">
        <f t="shared" si="35"/>
        <v>Heineken Silver|ESSEX</v>
      </c>
    </row>
    <row r="1136" spans="1:7" x14ac:dyDescent="0.2">
      <c r="A1136" s="2" t="str" cm="1">
        <f t="array" ref="A1136">INDEX('[1]Brand Family Territory (Enc)'!$A$2:$A$296,INT((ROW()-2)/10)+1)</f>
        <v>Heineken Silver</v>
      </c>
      <c r="B1136" s="2" t="str" cm="1">
        <f t="array" ref="B1136">INDEX('Whitelist (Blackout Reverse)'!$B$1:$K$1,MOD(ROW()-2,10)+1)</f>
        <v>HUDSON</v>
      </c>
      <c r="C1136" s="2" t="str">
        <f>VLOOKUP(A1136,'[1]Brand Family Territory (Enc)'!$A$2:$B$296,2,FALSE)</f>
        <v>Core + Morris Communities</v>
      </c>
      <c r="D1136" s="2">
        <f>IF(COUNTIFS('[1]Brand Family Territories (Enc)'!$B$2:$B$62,C1136,'[1]Brand Family Territories (Enc)'!$C$2:$C$62,B1136)&gt;0,1,IF(AND(LEFT(B1136,6)="MORRIS",COUNTIFS('[1]Brand Family Territories (Enc)'!$B$2:$B$62,C1136,'[1]Brand Family Territories (Enc)'!$C$2:$C$62,"Morri")&gt;0),"Unk",0))</f>
        <v>0</v>
      </c>
      <c r="E1136" s="2" t="str">
        <f>IFERROR(INDEX('Blackout Brand Fam Areas (Enc)'!$D$6:$D$998,MATCH(UPPER(A1136)&amp;"|"&amp;UPPER(B1136),'Blackout Brand Fam Areas (Enc)'!$G$6:$G$998,0)),"No Match")</f>
        <v>Inactive</v>
      </c>
      <c r="F1136" s="2" t="str">
        <f t="shared" si="34"/>
        <v>THEM</v>
      </c>
      <c r="G1136" s="2" t="str">
        <f t="shared" si="35"/>
        <v>Heineken Silver|HUDSON</v>
      </c>
    </row>
    <row r="1137" spans="1:7" x14ac:dyDescent="0.2">
      <c r="A1137" s="2" t="str" cm="1">
        <f t="array" ref="A1137">INDEX('[1]Brand Family Territory (Enc)'!$A$2:$A$296,INT((ROW()-2)/10)+1)</f>
        <v>Heineken Silver</v>
      </c>
      <c r="B1137" s="2" t="str" cm="1">
        <f t="array" ref="B1137">INDEX('Whitelist (Blackout Reverse)'!$B$1:$K$1,MOD(ROW()-2,10)+1)</f>
        <v>UNION</v>
      </c>
      <c r="C1137" s="2" t="str">
        <f>VLOOKUP(A1137,'[1]Brand Family Territory (Enc)'!$A$2:$B$296,2,FALSE)</f>
        <v>Core + Morris Communities</v>
      </c>
      <c r="D1137" s="2">
        <f>IF(COUNTIFS('[1]Brand Family Territories (Enc)'!$B$2:$B$62,C1137,'[1]Brand Family Territories (Enc)'!$C$2:$C$62,B1137)&gt;0,1,IF(AND(LEFT(B1137,6)="MORRIS",COUNTIFS('[1]Brand Family Territories (Enc)'!$B$2:$B$62,C1137,'[1]Brand Family Territories (Enc)'!$C$2:$C$62,"Morri")&gt;0),"Unk",0))</f>
        <v>0</v>
      </c>
      <c r="E1137" s="2" t="str">
        <f>IFERROR(INDEX('Blackout Brand Fam Areas (Enc)'!$D$6:$D$998,MATCH(UPPER(A1137)&amp;"|"&amp;UPPER(B1137),'Blackout Brand Fam Areas (Enc)'!$G$6:$G$998,0)),"No Match")</f>
        <v>Inactive</v>
      </c>
      <c r="F1137" s="2" t="str">
        <f t="shared" si="34"/>
        <v>THEM</v>
      </c>
      <c r="G1137" s="2" t="str">
        <f t="shared" si="35"/>
        <v>Heineken Silver|UNION</v>
      </c>
    </row>
    <row r="1138" spans="1:7" x14ac:dyDescent="0.2">
      <c r="A1138" s="2" t="str" cm="1">
        <f t="array" ref="A1138">INDEX('[1]Brand Family Territory (Enc)'!$A$2:$A$296,INT((ROW()-2)/10)+1)</f>
        <v>Heineken Silver</v>
      </c>
      <c r="B1138" s="2" t="str" cm="1">
        <f t="array" ref="B1138">INDEX('Whitelist (Blackout Reverse)'!$B$1:$K$1,MOD(ROW()-2,10)+1)</f>
        <v>SUSSEX</v>
      </c>
      <c r="C1138" s="2" t="str">
        <f>VLOOKUP(A1138,'[1]Brand Family Territory (Enc)'!$A$2:$B$296,2,FALSE)</f>
        <v>Core + Morris Communities</v>
      </c>
      <c r="D1138" s="2">
        <f>IF(COUNTIFS('[1]Brand Family Territories (Enc)'!$B$2:$B$62,C1138,'[1]Brand Family Territories (Enc)'!$C$2:$C$62,B1138)&gt;0,1,IF(AND(LEFT(B1138,6)="MORRIS",COUNTIFS('[1]Brand Family Territories (Enc)'!$B$2:$B$62,C1138,'[1]Brand Family Territories (Enc)'!$C$2:$C$62,"Morri")&gt;0),"Unk",0))</f>
        <v>0</v>
      </c>
      <c r="E1138" s="2" t="str">
        <f>IFERROR(INDEX('Blackout Brand Fam Areas (Enc)'!$D$6:$D$998,MATCH(UPPER(A1138)&amp;"|"&amp;UPPER(B1138),'Blackout Brand Fam Areas (Enc)'!$G$6:$G$998,0)),"No Match")</f>
        <v>Inactive</v>
      </c>
      <c r="F1138" s="2" t="str">
        <f t="shared" si="34"/>
        <v>THEM</v>
      </c>
      <c r="G1138" s="2" t="str">
        <f t="shared" si="35"/>
        <v>Heineken Silver|SUSSEX</v>
      </c>
    </row>
    <row r="1139" spans="1:7" x14ac:dyDescent="0.2">
      <c r="A1139" s="2" t="str" cm="1">
        <f t="array" ref="A1139">INDEX('[1]Brand Family Territory (Enc)'!$A$2:$A$296,INT((ROW()-2)/10)+1)</f>
        <v>Heineken Silver</v>
      </c>
      <c r="B1139" s="2" t="str" cm="1">
        <f t="array" ref="B1139">INDEX('Whitelist (Blackout Reverse)'!$B$1:$K$1,MOD(ROW()-2,10)+1)</f>
        <v>MORRIS 1</v>
      </c>
      <c r="C1139" s="2" t="str">
        <f>VLOOKUP(A1139,'[1]Brand Family Territory (Enc)'!$A$2:$B$296,2,FALSE)</f>
        <v>Core + Morris Communities</v>
      </c>
      <c r="D1139" s="2">
        <f>IF(COUNTIFS('[1]Brand Family Territories (Enc)'!$B$2:$B$62,C1139,'[1]Brand Family Territories (Enc)'!$C$2:$C$62,B1139)&gt;0,1,IF(AND(LEFT(B1139,6)="MORRIS",COUNTIFS('[1]Brand Family Territories (Enc)'!$B$2:$B$62,C1139,'[1]Brand Family Territories (Enc)'!$C$2:$C$62,"Morri")&gt;0),"Unk",0))</f>
        <v>1</v>
      </c>
      <c r="E1139" s="2" t="str">
        <f>IFERROR(INDEX('Blackout Brand Fam Areas (Enc)'!$D$6:$D$998,MATCH(UPPER(A1139)&amp;"|"&amp;UPPER(B1139),'Blackout Brand Fam Areas (Enc)'!$G$6:$G$998,0)),"No Match")</f>
        <v>Inactive</v>
      </c>
      <c r="F1139" s="2" t="str">
        <f t="shared" si="34"/>
        <v>THEM</v>
      </c>
      <c r="G1139" s="2" t="str">
        <f t="shared" si="35"/>
        <v>Heineken Silver|MORRIS 1</v>
      </c>
    </row>
    <row r="1140" spans="1:7" x14ac:dyDescent="0.2">
      <c r="A1140" s="2" t="str" cm="1">
        <f t="array" ref="A1140">INDEX('[1]Brand Family Territory (Enc)'!$A$2:$A$296,INT((ROW()-2)/10)+1)</f>
        <v>Heineken Silver</v>
      </c>
      <c r="B1140" s="2" t="str" cm="1">
        <f t="array" ref="B1140">INDEX('Whitelist (Blackout Reverse)'!$B$1:$K$1,MOD(ROW()-2,10)+1)</f>
        <v>MORRIS 2</v>
      </c>
      <c r="C1140" s="2" t="str">
        <f>VLOOKUP(A1140,'[1]Brand Family Territory (Enc)'!$A$2:$B$296,2,FALSE)</f>
        <v>Core + Morris Communities</v>
      </c>
      <c r="D1140" s="2">
        <f>IF(COUNTIFS('[1]Brand Family Territories (Enc)'!$B$2:$B$62,C1140,'[1]Brand Family Territories (Enc)'!$C$2:$C$62,B1140)&gt;0,1,IF(AND(LEFT(B1140,6)="MORRIS",COUNTIFS('[1]Brand Family Territories (Enc)'!$B$2:$B$62,C1140,'[1]Brand Family Territories (Enc)'!$C$2:$C$62,"Morri")&gt;0),"Unk",0))</f>
        <v>0</v>
      </c>
      <c r="E1140" s="2" t="str">
        <f>IFERROR(INDEX('Blackout Brand Fam Areas (Enc)'!$D$6:$D$998,MATCH(UPPER(A1140)&amp;"|"&amp;UPPER(B1140),'Blackout Brand Fam Areas (Enc)'!$G$6:$G$998,0)),"No Match")</f>
        <v>Inactive</v>
      </c>
      <c r="F1140" s="2" t="str">
        <f t="shared" si="34"/>
        <v>THEM</v>
      </c>
      <c r="G1140" s="2" t="str">
        <f t="shared" si="35"/>
        <v>Heineken Silver|MORRIS 2</v>
      </c>
    </row>
    <row r="1141" spans="1:7" x14ac:dyDescent="0.2">
      <c r="A1141" s="2" t="str" cm="1">
        <f t="array" ref="A1141">INDEX('[1]Brand Family Territory (Enc)'!$A$2:$A$296,INT((ROW()-2)/10)+1)</f>
        <v>Heineken Silver</v>
      </c>
      <c r="B1141" s="2" t="str" cm="1">
        <f t="array" ref="B1141">INDEX('Whitelist (Blackout Reverse)'!$B$1:$K$1,MOD(ROW()-2,10)+1)</f>
        <v>MORRIS 3</v>
      </c>
      <c r="C1141" s="2" t="str">
        <f>VLOOKUP(A1141,'[1]Brand Family Territory (Enc)'!$A$2:$B$296,2,FALSE)</f>
        <v>Core + Morris Communities</v>
      </c>
      <c r="D1141" s="2">
        <f>IF(COUNTIFS('[1]Brand Family Territories (Enc)'!$B$2:$B$62,C1141,'[1]Brand Family Territories (Enc)'!$C$2:$C$62,B1141)&gt;0,1,IF(AND(LEFT(B1141,6)="MORRIS",COUNTIFS('[1]Brand Family Territories (Enc)'!$B$2:$B$62,C1141,'[1]Brand Family Territories (Enc)'!$C$2:$C$62,"Morri")&gt;0),"Unk",0))</f>
        <v>1</v>
      </c>
      <c r="E1141" s="2" t="str">
        <f>IFERROR(INDEX('Blackout Brand Fam Areas (Enc)'!$D$6:$D$998,MATCH(UPPER(A1141)&amp;"|"&amp;UPPER(B1141),'Blackout Brand Fam Areas (Enc)'!$G$6:$G$998,0)),"No Match")</f>
        <v>No Match</v>
      </c>
      <c r="F1141" s="2" t="str">
        <f t="shared" si="34"/>
        <v>US</v>
      </c>
      <c r="G1141" s="2" t="str">
        <f t="shared" si="35"/>
        <v>Heineken Silver|MORRIS 3</v>
      </c>
    </row>
    <row r="1142" spans="1:7" x14ac:dyDescent="0.2">
      <c r="A1142" s="2" t="str" cm="1">
        <f t="array" ref="A1142">INDEX('[1]Brand Family Territory (Enc)'!$A$2:$A$296,INT((ROW()-2)/10)+1)</f>
        <v>Lagunitas</v>
      </c>
      <c r="B1142" s="2" t="str" cm="1">
        <f t="array" ref="B1142">INDEX('Whitelist (Blackout Reverse)'!$B$1:$K$1,MOD(ROW()-2,10)+1)</f>
        <v>BERGEN</v>
      </c>
      <c r="C1142" s="2" t="str">
        <f>VLOOKUP(A1142,'[1]Brand Family Territory (Enc)'!$A$2:$B$296,2,FALSE)</f>
        <v>Core + Morris Communities</v>
      </c>
      <c r="D1142" s="2">
        <f>IF(COUNTIFS('[1]Brand Family Territories (Enc)'!$B$2:$B$62,C1142,'[1]Brand Family Territories (Enc)'!$C$2:$C$62,B1142)&gt;0,1,IF(AND(LEFT(B1142,6)="MORRIS",COUNTIFS('[1]Brand Family Territories (Enc)'!$B$2:$B$62,C1142,'[1]Brand Family Territories (Enc)'!$C$2:$C$62,"Morri")&gt;0),"Unk",0))</f>
        <v>1</v>
      </c>
      <c r="E1142" s="2" t="str">
        <f>IFERROR(INDEX('Blackout Brand Fam Areas (Enc)'!$D$6:$D$998,MATCH(UPPER(A1142)&amp;"|"&amp;UPPER(B1142),'Blackout Brand Fam Areas (Enc)'!$G$6:$G$998,0)),"No Match")</f>
        <v>No Match</v>
      </c>
      <c r="F1142" s="2" t="str">
        <f t="shared" si="34"/>
        <v>US</v>
      </c>
      <c r="G1142" s="2" t="str">
        <f t="shared" si="35"/>
        <v>Lagunitas|BERGEN</v>
      </c>
    </row>
    <row r="1143" spans="1:7" x14ac:dyDescent="0.2">
      <c r="A1143" s="2" t="str" cm="1">
        <f t="array" ref="A1143">INDEX('[1]Brand Family Territory (Enc)'!$A$2:$A$296,INT((ROW()-2)/10)+1)</f>
        <v>Lagunitas</v>
      </c>
      <c r="B1143" s="2" t="str" cm="1">
        <f t="array" ref="B1143">INDEX('Whitelist (Blackout Reverse)'!$B$1:$K$1,MOD(ROW()-2,10)+1)</f>
        <v>PASSAIC</v>
      </c>
      <c r="C1143" s="2" t="str">
        <f>VLOOKUP(A1143,'[1]Brand Family Territory (Enc)'!$A$2:$B$296,2,FALSE)</f>
        <v>Core + Morris Communities</v>
      </c>
      <c r="D1143" s="2">
        <f>IF(COUNTIFS('[1]Brand Family Territories (Enc)'!$B$2:$B$62,C1143,'[1]Brand Family Territories (Enc)'!$C$2:$C$62,B1143)&gt;0,1,IF(AND(LEFT(B1143,6)="MORRIS",COUNTIFS('[1]Brand Family Territories (Enc)'!$B$2:$B$62,C1143,'[1]Brand Family Territories (Enc)'!$C$2:$C$62,"Morri")&gt;0),"Unk",0))</f>
        <v>1</v>
      </c>
      <c r="E1143" s="2" t="str">
        <f>IFERROR(INDEX('Blackout Brand Fam Areas (Enc)'!$D$6:$D$998,MATCH(UPPER(A1143)&amp;"|"&amp;UPPER(B1143),'Blackout Brand Fam Areas (Enc)'!$G$6:$G$998,0)),"No Match")</f>
        <v>No Match</v>
      </c>
      <c r="F1143" s="2" t="str">
        <f t="shared" si="34"/>
        <v>US</v>
      </c>
      <c r="G1143" s="2" t="str">
        <f t="shared" si="35"/>
        <v>Lagunitas|PASSAIC</v>
      </c>
    </row>
    <row r="1144" spans="1:7" x14ac:dyDescent="0.2">
      <c r="A1144" s="2" t="str" cm="1">
        <f t="array" ref="A1144">INDEX('[1]Brand Family Territory (Enc)'!$A$2:$A$296,INT((ROW()-2)/10)+1)</f>
        <v>Lagunitas</v>
      </c>
      <c r="B1144" s="2" t="str" cm="1">
        <f t="array" ref="B1144">INDEX('Whitelist (Blackout Reverse)'!$B$1:$K$1,MOD(ROW()-2,10)+1)</f>
        <v>PASSAIC-FF</v>
      </c>
      <c r="C1144" s="2" t="str">
        <f>VLOOKUP(A1144,'[1]Brand Family Territory (Enc)'!$A$2:$B$296,2,FALSE)</f>
        <v>Core + Morris Communities</v>
      </c>
      <c r="D1144" s="2">
        <f>IF(COUNTIFS('[1]Brand Family Territories (Enc)'!$B$2:$B$62,C1144,'[1]Brand Family Territories (Enc)'!$C$2:$C$62,B1144)&gt;0,1,IF(AND(LEFT(B1144,6)="MORRIS",COUNTIFS('[1]Brand Family Territories (Enc)'!$B$2:$B$62,C1144,'[1]Brand Family Territories (Enc)'!$C$2:$C$62,"Morri")&gt;0),"Unk",0))</f>
        <v>1</v>
      </c>
      <c r="E1144" s="2" t="str">
        <f>IFERROR(INDEX('Blackout Brand Fam Areas (Enc)'!$D$6:$D$998,MATCH(UPPER(A1144)&amp;"|"&amp;UPPER(B1144),'Blackout Brand Fam Areas (Enc)'!$G$6:$G$998,0)),"No Match")</f>
        <v>No Match</v>
      </c>
      <c r="F1144" s="2" t="str">
        <f t="shared" si="34"/>
        <v>US</v>
      </c>
      <c r="G1144" s="2" t="str">
        <f t="shared" si="35"/>
        <v>Lagunitas|PASSAIC-FF</v>
      </c>
    </row>
    <row r="1145" spans="1:7" x14ac:dyDescent="0.2">
      <c r="A1145" s="2" t="str" cm="1">
        <f t="array" ref="A1145">INDEX('[1]Brand Family Territory (Enc)'!$A$2:$A$296,INT((ROW()-2)/10)+1)</f>
        <v>Lagunitas</v>
      </c>
      <c r="B1145" s="2" t="str" cm="1">
        <f t="array" ref="B1145">INDEX('Whitelist (Blackout Reverse)'!$B$1:$K$1,MOD(ROW()-2,10)+1)</f>
        <v>ESSEX</v>
      </c>
      <c r="C1145" s="2" t="str">
        <f>VLOOKUP(A1145,'[1]Brand Family Territory (Enc)'!$A$2:$B$296,2,FALSE)</f>
        <v>Core + Morris Communities</v>
      </c>
      <c r="D1145" s="2">
        <f>IF(COUNTIFS('[1]Brand Family Territories (Enc)'!$B$2:$B$62,C1145,'[1]Brand Family Territories (Enc)'!$C$2:$C$62,B1145)&gt;0,1,IF(AND(LEFT(B1145,6)="MORRIS",COUNTIFS('[1]Brand Family Territories (Enc)'!$B$2:$B$62,C1145,'[1]Brand Family Territories (Enc)'!$C$2:$C$62,"Morri")&gt;0),"Unk",0))</f>
        <v>0</v>
      </c>
      <c r="E1145" s="2" t="str">
        <f>IFERROR(INDEX('Blackout Brand Fam Areas (Enc)'!$D$6:$D$998,MATCH(UPPER(A1145)&amp;"|"&amp;UPPER(B1145),'Blackout Brand Fam Areas (Enc)'!$G$6:$G$998,0)),"No Match")</f>
        <v>Inactive</v>
      </c>
      <c r="F1145" s="2" t="str">
        <f t="shared" si="34"/>
        <v>THEM</v>
      </c>
      <c r="G1145" s="2" t="str">
        <f t="shared" si="35"/>
        <v>Lagunitas|ESSEX</v>
      </c>
    </row>
    <row r="1146" spans="1:7" x14ac:dyDescent="0.2">
      <c r="A1146" s="2" t="str" cm="1">
        <f t="array" ref="A1146">INDEX('[1]Brand Family Territory (Enc)'!$A$2:$A$296,INT((ROW()-2)/10)+1)</f>
        <v>Lagunitas</v>
      </c>
      <c r="B1146" s="2" t="str" cm="1">
        <f t="array" ref="B1146">INDEX('Whitelist (Blackout Reverse)'!$B$1:$K$1,MOD(ROW()-2,10)+1)</f>
        <v>HUDSON</v>
      </c>
      <c r="C1146" s="2" t="str">
        <f>VLOOKUP(A1146,'[1]Brand Family Territory (Enc)'!$A$2:$B$296,2,FALSE)</f>
        <v>Core + Morris Communities</v>
      </c>
      <c r="D1146" s="2">
        <f>IF(COUNTIFS('[1]Brand Family Territories (Enc)'!$B$2:$B$62,C1146,'[1]Brand Family Territories (Enc)'!$C$2:$C$62,B1146)&gt;0,1,IF(AND(LEFT(B1146,6)="MORRIS",COUNTIFS('[1]Brand Family Territories (Enc)'!$B$2:$B$62,C1146,'[1]Brand Family Territories (Enc)'!$C$2:$C$62,"Morri")&gt;0),"Unk",0))</f>
        <v>0</v>
      </c>
      <c r="E1146" s="2" t="str">
        <f>IFERROR(INDEX('Blackout Brand Fam Areas (Enc)'!$D$6:$D$998,MATCH(UPPER(A1146)&amp;"|"&amp;UPPER(B1146),'Blackout Brand Fam Areas (Enc)'!$G$6:$G$998,0)),"No Match")</f>
        <v>Inactive</v>
      </c>
      <c r="F1146" s="2" t="str">
        <f t="shared" si="34"/>
        <v>THEM</v>
      </c>
      <c r="G1146" s="2" t="str">
        <f t="shared" si="35"/>
        <v>Lagunitas|HUDSON</v>
      </c>
    </row>
    <row r="1147" spans="1:7" x14ac:dyDescent="0.2">
      <c r="A1147" s="2" t="str" cm="1">
        <f t="array" ref="A1147">INDEX('[1]Brand Family Territory (Enc)'!$A$2:$A$296,INT((ROW()-2)/10)+1)</f>
        <v>Lagunitas</v>
      </c>
      <c r="B1147" s="2" t="str" cm="1">
        <f t="array" ref="B1147">INDEX('Whitelist (Blackout Reverse)'!$B$1:$K$1,MOD(ROW()-2,10)+1)</f>
        <v>UNION</v>
      </c>
      <c r="C1147" s="2" t="str">
        <f>VLOOKUP(A1147,'[1]Brand Family Territory (Enc)'!$A$2:$B$296,2,FALSE)</f>
        <v>Core + Morris Communities</v>
      </c>
      <c r="D1147" s="2">
        <f>IF(COUNTIFS('[1]Brand Family Territories (Enc)'!$B$2:$B$62,C1147,'[1]Brand Family Territories (Enc)'!$C$2:$C$62,B1147)&gt;0,1,IF(AND(LEFT(B1147,6)="MORRIS",COUNTIFS('[1]Brand Family Territories (Enc)'!$B$2:$B$62,C1147,'[1]Brand Family Territories (Enc)'!$C$2:$C$62,"Morri")&gt;0),"Unk",0))</f>
        <v>0</v>
      </c>
      <c r="E1147" s="2" t="str">
        <f>IFERROR(INDEX('Blackout Brand Fam Areas (Enc)'!$D$6:$D$998,MATCH(UPPER(A1147)&amp;"|"&amp;UPPER(B1147),'Blackout Brand Fam Areas (Enc)'!$G$6:$G$998,0)),"No Match")</f>
        <v>Inactive</v>
      </c>
      <c r="F1147" s="2" t="str">
        <f t="shared" si="34"/>
        <v>THEM</v>
      </c>
      <c r="G1147" s="2" t="str">
        <f t="shared" si="35"/>
        <v>Lagunitas|UNION</v>
      </c>
    </row>
    <row r="1148" spans="1:7" x14ac:dyDescent="0.2">
      <c r="A1148" s="2" t="str" cm="1">
        <f t="array" ref="A1148">INDEX('[1]Brand Family Territory (Enc)'!$A$2:$A$296,INT((ROW()-2)/10)+1)</f>
        <v>Lagunitas</v>
      </c>
      <c r="B1148" s="2" t="str" cm="1">
        <f t="array" ref="B1148">INDEX('Whitelist (Blackout Reverse)'!$B$1:$K$1,MOD(ROW()-2,10)+1)</f>
        <v>SUSSEX</v>
      </c>
      <c r="C1148" s="2" t="str">
        <f>VLOOKUP(A1148,'[1]Brand Family Territory (Enc)'!$A$2:$B$296,2,FALSE)</f>
        <v>Core + Morris Communities</v>
      </c>
      <c r="D1148" s="2">
        <f>IF(COUNTIFS('[1]Brand Family Territories (Enc)'!$B$2:$B$62,C1148,'[1]Brand Family Territories (Enc)'!$C$2:$C$62,B1148)&gt;0,1,IF(AND(LEFT(B1148,6)="MORRIS",COUNTIFS('[1]Brand Family Territories (Enc)'!$B$2:$B$62,C1148,'[1]Brand Family Territories (Enc)'!$C$2:$C$62,"Morri")&gt;0),"Unk",0))</f>
        <v>0</v>
      </c>
      <c r="E1148" s="2" t="str">
        <f>IFERROR(INDEX('Blackout Brand Fam Areas (Enc)'!$D$6:$D$998,MATCH(UPPER(A1148)&amp;"|"&amp;UPPER(B1148),'Blackout Brand Fam Areas (Enc)'!$G$6:$G$998,0)),"No Match")</f>
        <v>Inactive</v>
      </c>
      <c r="F1148" s="2" t="str">
        <f t="shared" si="34"/>
        <v>THEM</v>
      </c>
      <c r="G1148" s="2" t="str">
        <f t="shared" si="35"/>
        <v>Lagunitas|SUSSEX</v>
      </c>
    </row>
    <row r="1149" spans="1:7" x14ac:dyDescent="0.2">
      <c r="A1149" s="2" t="str" cm="1">
        <f t="array" ref="A1149">INDEX('[1]Brand Family Territory (Enc)'!$A$2:$A$296,INT((ROW()-2)/10)+1)</f>
        <v>Lagunitas</v>
      </c>
      <c r="B1149" s="2" t="str" cm="1">
        <f t="array" ref="B1149">INDEX('Whitelist (Blackout Reverse)'!$B$1:$K$1,MOD(ROW()-2,10)+1)</f>
        <v>MORRIS 1</v>
      </c>
      <c r="C1149" s="2" t="str">
        <f>VLOOKUP(A1149,'[1]Brand Family Territory (Enc)'!$A$2:$B$296,2,FALSE)</f>
        <v>Core + Morris Communities</v>
      </c>
      <c r="D1149" s="2">
        <f>IF(COUNTIFS('[1]Brand Family Territories (Enc)'!$B$2:$B$62,C1149,'[1]Brand Family Territories (Enc)'!$C$2:$C$62,B1149)&gt;0,1,IF(AND(LEFT(B1149,6)="MORRIS",COUNTIFS('[1]Brand Family Territories (Enc)'!$B$2:$B$62,C1149,'[1]Brand Family Territories (Enc)'!$C$2:$C$62,"Morri")&gt;0),"Unk",0))</f>
        <v>1</v>
      </c>
      <c r="E1149" s="2" t="str">
        <f>IFERROR(INDEX('Blackout Brand Fam Areas (Enc)'!$D$6:$D$998,MATCH(UPPER(A1149)&amp;"|"&amp;UPPER(B1149),'Blackout Brand Fam Areas (Enc)'!$G$6:$G$998,0)),"No Match")</f>
        <v>Inactive</v>
      </c>
      <c r="F1149" s="2" t="str">
        <f t="shared" si="34"/>
        <v>THEM</v>
      </c>
      <c r="G1149" s="2" t="str">
        <f t="shared" si="35"/>
        <v>Lagunitas|MORRIS 1</v>
      </c>
    </row>
    <row r="1150" spans="1:7" x14ac:dyDescent="0.2">
      <c r="A1150" s="2" t="str" cm="1">
        <f t="array" ref="A1150">INDEX('[1]Brand Family Territory (Enc)'!$A$2:$A$296,INT((ROW()-2)/10)+1)</f>
        <v>Lagunitas</v>
      </c>
      <c r="B1150" s="2" t="str" cm="1">
        <f t="array" ref="B1150">INDEX('Whitelist (Blackout Reverse)'!$B$1:$K$1,MOD(ROW()-2,10)+1)</f>
        <v>MORRIS 2</v>
      </c>
      <c r="C1150" s="2" t="str">
        <f>VLOOKUP(A1150,'[1]Brand Family Territory (Enc)'!$A$2:$B$296,2,FALSE)</f>
        <v>Core + Morris Communities</v>
      </c>
      <c r="D1150" s="2">
        <f>IF(COUNTIFS('[1]Brand Family Territories (Enc)'!$B$2:$B$62,C1150,'[1]Brand Family Territories (Enc)'!$C$2:$C$62,B1150)&gt;0,1,IF(AND(LEFT(B1150,6)="MORRIS",COUNTIFS('[1]Brand Family Territories (Enc)'!$B$2:$B$62,C1150,'[1]Brand Family Territories (Enc)'!$C$2:$C$62,"Morri")&gt;0),"Unk",0))</f>
        <v>0</v>
      </c>
      <c r="E1150" s="2" t="str">
        <f>IFERROR(INDEX('Blackout Brand Fam Areas (Enc)'!$D$6:$D$998,MATCH(UPPER(A1150)&amp;"|"&amp;UPPER(B1150),'Blackout Brand Fam Areas (Enc)'!$G$6:$G$998,0)),"No Match")</f>
        <v>Inactive</v>
      </c>
      <c r="F1150" s="2" t="str">
        <f t="shared" si="34"/>
        <v>THEM</v>
      </c>
      <c r="G1150" s="2" t="str">
        <f t="shared" si="35"/>
        <v>Lagunitas|MORRIS 2</v>
      </c>
    </row>
    <row r="1151" spans="1:7" x14ac:dyDescent="0.2">
      <c r="A1151" s="2" t="str" cm="1">
        <f t="array" ref="A1151">INDEX('[1]Brand Family Territory (Enc)'!$A$2:$A$296,INT((ROW()-2)/10)+1)</f>
        <v>Lagunitas</v>
      </c>
      <c r="B1151" s="2" t="str" cm="1">
        <f t="array" ref="B1151">INDEX('Whitelist (Blackout Reverse)'!$B$1:$K$1,MOD(ROW()-2,10)+1)</f>
        <v>MORRIS 3</v>
      </c>
      <c r="C1151" s="2" t="str">
        <f>VLOOKUP(A1151,'[1]Brand Family Territory (Enc)'!$A$2:$B$296,2,FALSE)</f>
        <v>Core + Morris Communities</v>
      </c>
      <c r="D1151" s="2">
        <f>IF(COUNTIFS('[1]Brand Family Territories (Enc)'!$B$2:$B$62,C1151,'[1]Brand Family Territories (Enc)'!$C$2:$C$62,B1151)&gt;0,1,IF(AND(LEFT(B1151,6)="MORRIS",COUNTIFS('[1]Brand Family Territories (Enc)'!$B$2:$B$62,C1151,'[1]Brand Family Territories (Enc)'!$C$2:$C$62,"Morri")&gt;0),"Unk",0))</f>
        <v>1</v>
      </c>
      <c r="E1151" s="2" t="str">
        <f>IFERROR(INDEX('Blackout Brand Fam Areas (Enc)'!$D$6:$D$998,MATCH(UPPER(A1151)&amp;"|"&amp;UPPER(B1151),'Blackout Brand Fam Areas (Enc)'!$G$6:$G$998,0)),"No Match")</f>
        <v>No Match</v>
      </c>
      <c r="F1151" s="2" t="str">
        <f t="shared" si="34"/>
        <v>US</v>
      </c>
      <c r="G1151" s="2" t="str">
        <f t="shared" si="35"/>
        <v>Lagunitas|MORRIS 3</v>
      </c>
    </row>
    <row r="1152" spans="1:7" x14ac:dyDescent="0.2">
      <c r="A1152" s="2" t="str" cm="1">
        <f t="array" ref="A1152">INDEX('[1]Brand Family Territory (Enc)'!$A$2:$A$296,INT((ROW()-2)/10)+1)</f>
        <v>Lagunitas NA</v>
      </c>
      <c r="B1152" s="2" t="str" cm="1">
        <f t="array" ref="B1152">INDEX('Whitelist (Blackout Reverse)'!$B$1:$K$1,MOD(ROW()-2,10)+1)</f>
        <v>BERGEN</v>
      </c>
      <c r="C1152" s="2" t="str">
        <f>VLOOKUP(A1152,'[1]Brand Family Territory (Enc)'!$A$2:$B$296,2,FALSE)</f>
        <v>Core + Morris Communities</v>
      </c>
      <c r="D1152" s="2">
        <f>IF(COUNTIFS('[1]Brand Family Territories (Enc)'!$B$2:$B$62,C1152,'[1]Brand Family Territories (Enc)'!$C$2:$C$62,B1152)&gt;0,1,IF(AND(LEFT(B1152,6)="MORRIS",COUNTIFS('[1]Brand Family Territories (Enc)'!$B$2:$B$62,C1152,'[1]Brand Family Territories (Enc)'!$C$2:$C$62,"Morri")&gt;0),"Unk",0))</f>
        <v>1</v>
      </c>
      <c r="E1152" s="2" t="str">
        <f>IFERROR(INDEX('Blackout Brand Fam Areas (Enc)'!$D$6:$D$998,MATCH(UPPER(A1152)&amp;"|"&amp;UPPER(B1152),'Blackout Brand Fam Areas (Enc)'!$G$6:$G$998,0)),"No Match")</f>
        <v>No Match</v>
      </c>
      <c r="F1152" s="2" t="str">
        <f t="shared" si="34"/>
        <v>US</v>
      </c>
      <c r="G1152" s="2" t="str">
        <f t="shared" si="35"/>
        <v>Lagunitas NA|BERGEN</v>
      </c>
    </row>
    <row r="1153" spans="1:7" x14ac:dyDescent="0.2">
      <c r="A1153" s="2" t="str" cm="1">
        <f t="array" ref="A1153">INDEX('[1]Brand Family Territory (Enc)'!$A$2:$A$296,INT((ROW()-2)/10)+1)</f>
        <v>Lagunitas NA</v>
      </c>
      <c r="B1153" s="2" t="str" cm="1">
        <f t="array" ref="B1153">INDEX('Whitelist (Blackout Reverse)'!$B$1:$K$1,MOD(ROW()-2,10)+1)</f>
        <v>PASSAIC</v>
      </c>
      <c r="C1153" s="2" t="str">
        <f>VLOOKUP(A1153,'[1]Brand Family Territory (Enc)'!$A$2:$B$296,2,FALSE)</f>
        <v>Core + Morris Communities</v>
      </c>
      <c r="D1153" s="2">
        <f>IF(COUNTIFS('[1]Brand Family Territories (Enc)'!$B$2:$B$62,C1153,'[1]Brand Family Territories (Enc)'!$C$2:$C$62,B1153)&gt;0,1,IF(AND(LEFT(B1153,6)="MORRIS",COUNTIFS('[1]Brand Family Territories (Enc)'!$B$2:$B$62,C1153,'[1]Brand Family Territories (Enc)'!$C$2:$C$62,"Morri")&gt;0),"Unk",0))</f>
        <v>1</v>
      </c>
      <c r="E1153" s="2" t="str">
        <f>IFERROR(INDEX('Blackout Brand Fam Areas (Enc)'!$D$6:$D$998,MATCH(UPPER(A1153)&amp;"|"&amp;UPPER(B1153),'Blackout Brand Fam Areas (Enc)'!$G$6:$G$998,0)),"No Match")</f>
        <v>No Match</v>
      </c>
      <c r="F1153" s="2" t="str">
        <f t="shared" si="34"/>
        <v>US</v>
      </c>
      <c r="G1153" s="2" t="str">
        <f t="shared" si="35"/>
        <v>Lagunitas NA|PASSAIC</v>
      </c>
    </row>
    <row r="1154" spans="1:7" x14ac:dyDescent="0.2">
      <c r="A1154" s="2" t="str" cm="1">
        <f t="array" ref="A1154">INDEX('[1]Brand Family Territory (Enc)'!$A$2:$A$296,INT((ROW()-2)/10)+1)</f>
        <v>Lagunitas NA</v>
      </c>
      <c r="B1154" s="2" t="str" cm="1">
        <f t="array" ref="B1154">INDEX('Whitelist (Blackout Reverse)'!$B$1:$K$1,MOD(ROW()-2,10)+1)</f>
        <v>PASSAIC-FF</v>
      </c>
      <c r="C1154" s="2" t="str">
        <f>VLOOKUP(A1154,'[1]Brand Family Territory (Enc)'!$A$2:$B$296,2,FALSE)</f>
        <v>Core + Morris Communities</v>
      </c>
      <c r="D1154" s="2">
        <f>IF(COUNTIFS('[1]Brand Family Territories (Enc)'!$B$2:$B$62,C1154,'[1]Brand Family Territories (Enc)'!$C$2:$C$62,B1154)&gt;0,1,IF(AND(LEFT(B1154,6)="MORRIS",COUNTIFS('[1]Brand Family Territories (Enc)'!$B$2:$B$62,C1154,'[1]Brand Family Territories (Enc)'!$C$2:$C$62,"Morri")&gt;0),"Unk",0))</f>
        <v>1</v>
      </c>
      <c r="E1154" s="2" t="str">
        <f>IFERROR(INDEX('Blackout Brand Fam Areas (Enc)'!$D$6:$D$998,MATCH(UPPER(A1154)&amp;"|"&amp;UPPER(B1154),'Blackout Brand Fam Areas (Enc)'!$G$6:$G$998,0)),"No Match")</f>
        <v>No Match</v>
      </c>
      <c r="F1154" s="2" t="str">
        <f t="shared" si="34"/>
        <v>US</v>
      </c>
      <c r="G1154" s="2" t="str">
        <f t="shared" si="35"/>
        <v>Lagunitas NA|PASSAIC-FF</v>
      </c>
    </row>
    <row r="1155" spans="1:7" x14ac:dyDescent="0.2">
      <c r="A1155" s="2" t="str" cm="1">
        <f t="array" ref="A1155">INDEX('[1]Brand Family Territory (Enc)'!$A$2:$A$296,INT((ROW()-2)/10)+1)</f>
        <v>Lagunitas NA</v>
      </c>
      <c r="B1155" s="2" t="str" cm="1">
        <f t="array" ref="B1155">INDEX('Whitelist (Blackout Reverse)'!$B$1:$K$1,MOD(ROW()-2,10)+1)</f>
        <v>ESSEX</v>
      </c>
      <c r="C1155" s="2" t="str">
        <f>VLOOKUP(A1155,'[1]Brand Family Territory (Enc)'!$A$2:$B$296,2,FALSE)</f>
        <v>Core + Morris Communities</v>
      </c>
      <c r="D1155" s="2">
        <f>IF(COUNTIFS('[1]Brand Family Territories (Enc)'!$B$2:$B$62,C1155,'[1]Brand Family Territories (Enc)'!$C$2:$C$62,B1155)&gt;0,1,IF(AND(LEFT(B1155,6)="MORRIS",COUNTIFS('[1]Brand Family Territories (Enc)'!$B$2:$B$62,C1155,'[1]Brand Family Territories (Enc)'!$C$2:$C$62,"Morri")&gt;0),"Unk",0))</f>
        <v>0</v>
      </c>
      <c r="E1155" s="2" t="str">
        <f>IFERROR(INDEX('Blackout Brand Fam Areas (Enc)'!$D$6:$D$998,MATCH(UPPER(A1155)&amp;"|"&amp;UPPER(B1155),'Blackout Brand Fam Areas (Enc)'!$G$6:$G$998,0)),"No Match")</f>
        <v>Inactive</v>
      </c>
      <c r="F1155" s="2" t="str">
        <f t="shared" ref="F1155:F1218" si="36">IF(D1155="Unk","Ambiguous (Source Truncated)",IF(E1155="Inactive","THEM",IF(D1155=1,"US",IF(D1155="N/A","No Territory Data","THEM"))))</f>
        <v>THEM</v>
      </c>
      <c r="G1155" s="2" t="str">
        <f t="shared" ref="G1155:G1218" si="37">A1155&amp;"|"&amp;B1155</f>
        <v>Lagunitas NA|ESSEX</v>
      </c>
    </row>
    <row r="1156" spans="1:7" x14ac:dyDescent="0.2">
      <c r="A1156" s="2" t="str" cm="1">
        <f t="array" ref="A1156">INDEX('[1]Brand Family Territory (Enc)'!$A$2:$A$296,INT((ROW()-2)/10)+1)</f>
        <v>Lagunitas NA</v>
      </c>
      <c r="B1156" s="2" t="str" cm="1">
        <f t="array" ref="B1156">INDEX('Whitelist (Blackout Reverse)'!$B$1:$K$1,MOD(ROW()-2,10)+1)</f>
        <v>HUDSON</v>
      </c>
      <c r="C1156" s="2" t="str">
        <f>VLOOKUP(A1156,'[1]Brand Family Territory (Enc)'!$A$2:$B$296,2,FALSE)</f>
        <v>Core + Morris Communities</v>
      </c>
      <c r="D1156" s="2">
        <f>IF(COUNTIFS('[1]Brand Family Territories (Enc)'!$B$2:$B$62,C1156,'[1]Brand Family Territories (Enc)'!$C$2:$C$62,B1156)&gt;0,1,IF(AND(LEFT(B1156,6)="MORRIS",COUNTIFS('[1]Brand Family Territories (Enc)'!$B$2:$B$62,C1156,'[1]Brand Family Territories (Enc)'!$C$2:$C$62,"Morri")&gt;0),"Unk",0))</f>
        <v>0</v>
      </c>
      <c r="E1156" s="2" t="str">
        <f>IFERROR(INDEX('Blackout Brand Fam Areas (Enc)'!$D$6:$D$998,MATCH(UPPER(A1156)&amp;"|"&amp;UPPER(B1156),'Blackout Brand Fam Areas (Enc)'!$G$6:$G$998,0)),"No Match")</f>
        <v>Inactive</v>
      </c>
      <c r="F1156" s="2" t="str">
        <f t="shared" si="36"/>
        <v>THEM</v>
      </c>
      <c r="G1156" s="2" t="str">
        <f t="shared" si="37"/>
        <v>Lagunitas NA|HUDSON</v>
      </c>
    </row>
    <row r="1157" spans="1:7" x14ac:dyDescent="0.2">
      <c r="A1157" s="2" t="str" cm="1">
        <f t="array" ref="A1157">INDEX('[1]Brand Family Territory (Enc)'!$A$2:$A$296,INT((ROW()-2)/10)+1)</f>
        <v>Lagunitas NA</v>
      </c>
      <c r="B1157" s="2" t="str" cm="1">
        <f t="array" ref="B1157">INDEX('Whitelist (Blackout Reverse)'!$B$1:$K$1,MOD(ROW()-2,10)+1)</f>
        <v>UNION</v>
      </c>
      <c r="C1157" s="2" t="str">
        <f>VLOOKUP(A1157,'[1]Brand Family Territory (Enc)'!$A$2:$B$296,2,FALSE)</f>
        <v>Core + Morris Communities</v>
      </c>
      <c r="D1157" s="2">
        <f>IF(COUNTIFS('[1]Brand Family Territories (Enc)'!$B$2:$B$62,C1157,'[1]Brand Family Territories (Enc)'!$C$2:$C$62,B1157)&gt;0,1,IF(AND(LEFT(B1157,6)="MORRIS",COUNTIFS('[1]Brand Family Territories (Enc)'!$B$2:$B$62,C1157,'[1]Brand Family Territories (Enc)'!$C$2:$C$62,"Morri")&gt;0),"Unk",0))</f>
        <v>0</v>
      </c>
      <c r="E1157" s="2" t="str">
        <f>IFERROR(INDEX('Blackout Brand Fam Areas (Enc)'!$D$6:$D$998,MATCH(UPPER(A1157)&amp;"|"&amp;UPPER(B1157),'Blackout Brand Fam Areas (Enc)'!$G$6:$G$998,0)),"No Match")</f>
        <v>Inactive</v>
      </c>
      <c r="F1157" s="2" t="str">
        <f t="shared" si="36"/>
        <v>THEM</v>
      </c>
      <c r="G1157" s="2" t="str">
        <f t="shared" si="37"/>
        <v>Lagunitas NA|UNION</v>
      </c>
    </row>
    <row r="1158" spans="1:7" x14ac:dyDescent="0.2">
      <c r="A1158" s="2" t="str" cm="1">
        <f t="array" ref="A1158">INDEX('[1]Brand Family Territory (Enc)'!$A$2:$A$296,INT((ROW()-2)/10)+1)</f>
        <v>Lagunitas NA</v>
      </c>
      <c r="B1158" s="2" t="str" cm="1">
        <f t="array" ref="B1158">INDEX('Whitelist (Blackout Reverse)'!$B$1:$K$1,MOD(ROW()-2,10)+1)</f>
        <v>SUSSEX</v>
      </c>
      <c r="C1158" s="2" t="str">
        <f>VLOOKUP(A1158,'[1]Brand Family Territory (Enc)'!$A$2:$B$296,2,FALSE)</f>
        <v>Core + Morris Communities</v>
      </c>
      <c r="D1158" s="2">
        <f>IF(COUNTIFS('[1]Brand Family Territories (Enc)'!$B$2:$B$62,C1158,'[1]Brand Family Territories (Enc)'!$C$2:$C$62,B1158)&gt;0,1,IF(AND(LEFT(B1158,6)="MORRIS",COUNTIFS('[1]Brand Family Territories (Enc)'!$B$2:$B$62,C1158,'[1]Brand Family Territories (Enc)'!$C$2:$C$62,"Morri")&gt;0),"Unk",0))</f>
        <v>0</v>
      </c>
      <c r="E1158" s="2" t="str">
        <f>IFERROR(INDEX('Blackout Brand Fam Areas (Enc)'!$D$6:$D$998,MATCH(UPPER(A1158)&amp;"|"&amp;UPPER(B1158),'Blackout Brand Fam Areas (Enc)'!$G$6:$G$998,0)),"No Match")</f>
        <v>Inactive</v>
      </c>
      <c r="F1158" s="2" t="str">
        <f t="shared" si="36"/>
        <v>THEM</v>
      </c>
      <c r="G1158" s="2" t="str">
        <f t="shared" si="37"/>
        <v>Lagunitas NA|SUSSEX</v>
      </c>
    </row>
    <row r="1159" spans="1:7" x14ac:dyDescent="0.2">
      <c r="A1159" s="2" t="str" cm="1">
        <f t="array" ref="A1159">INDEX('[1]Brand Family Territory (Enc)'!$A$2:$A$296,INT((ROW()-2)/10)+1)</f>
        <v>Lagunitas NA</v>
      </c>
      <c r="B1159" s="2" t="str" cm="1">
        <f t="array" ref="B1159">INDEX('Whitelist (Blackout Reverse)'!$B$1:$K$1,MOD(ROW()-2,10)+1)</f>
        <v>MORRIS 1</v>
      </c>
      <c r="C1159" s="2" t="str">
        <f>VLOOKUP(A1159,'[1]Brand Family Territory (Enc)'!$A$2:$B$296,2,FALSE)</f>
        <v>Core + Morris Communities</v>
      </c>
      <c r="D1159" s="2">
        <f>IF(COUNTIFS('[1]Brand Family Territories (Enc)'!$B$2:$B$62,C1159,'[1]Brand Family Territories (Enc)'!$C$2:$C$62,B1159)&gt;0,1,IF(AND(LEFT(B1159,6)="MORRIS",COUNTIFS('[1]Brand Family Territories (Enc)'!$B$2:$B$62,C1159,'[1]Brand Family Territories (Enc)'!$C$2:$C$62,"Morri")&gt;0),"Unk",0))</f>
        <v>1</v>
      </c>
      <c r="E1159" s="2" t="str">
        <f>IFERROR(INDEX('Blackout Brand Fam Areas (Enc)'!$D$6:$D$998,MATCH(UPPER(A1159)&amp;"|"&amp;UPPER(B1159),'Blackout Brand Fam Areas (Enc)'!$G$6:$G$998,0)),"No Match")</f>
        <v>Inactive</v>
      </c>
      <c r="F1159" s="2" t="str">
        <f t="shared" si="36"/>
        <v>THEM</v>
      </c>
      <c r="G1159" s="2" t="str">
        <f t="shared" si="37"/>
        <v>Lagunitas NA|MORRIS 1</v>
      </c>
    </row>
    <row r="1160" spans="1:7" x14ac:dyDescent="0.2">
      <c r="A1160" s="2" t="str" cm="1">
        <f t="array" ref="A1160">INDEX('[1]Brand Family Territory (Enc)'!$A$2:$A$296,INT((ROW()-2)/10)+1)</f>
        <v>Lagunitas NA</v>
      </c>
      <c r="B1160" s="2" t="str" cm="1">
        <f t="array" ref="B1160">INDEX('Whitelist (Blackout Reverse)'!$B$1:$K$1,MOD(ROW()-2,10)+1)</f>
        <v>MORRIS 2</v>
      </c>
      <c r="C1160" s="2" t="str">
        <f>VLOOKUP(A1160,'[1]Brand Family Territory (Enc)'!$A$2:$B$296,2,FALSE)</f>
        <v>Core + Morris Communities</v>
      </c>
      <c r="D1160" s="2">
        <f>IF(COUNTIFS('[1]Brand Family Territories (Enc)'!$B$2:$B$62,C1160,'[1]Brand Family Territories (Enc)'!$C$2:$C$62,B1160)&gt;0,1,IF(AND(LEFT(B1160,6)="MORRIS",COUNTIFS('[1]Brand Family Territories (Enc)'!$B$2:$B$62,C1160,'[1]Brand Family Territories (Enc)'!$C$2:$C$62,"Morri")&gt;0),"Unk",0))</f>
        <v>0</v>
      </c>
      <c r="E1160" s="2" t="str">
        <f>IFERROR(INDEX('Blackout Brand Fam Areas (Enc)'!$D$6:$D$998,MATCH(UPPER(A1160)&amp;"|"&amp;UPPER(B1160),'Blackout Brand Fam Areas (Enc)'!$G$6:$G$998,0)),"No Match")</f>
        <v>Inactive</v>
      </c>
      <c r="F1160" s="2" t="str">
        <f t="shared" si="36"/>
        <v>THEM</v>
      </c>
      <c r="G1160" s="2" t="str">
        <f t="shared" si="37"/>
        <v>Lagunitas NA|MORRIS 2</v>
      </c>
    </row>
    <row r="1161" spans="1:7" x14ac:dyDescent="0.2">
      <c r="A1161" s="2" t="str" cm="1">
        <f t="array" ref="A1161">INDEX('[1]Brand Family Territory (Enc)'!$A$2:$A$296,INT((ROW()-2)/10)+1)</f>
        <v>Lagunitas NA</v>
      </c>
      <c r="B1161" s="2" t="str" cm="1">
        <f t="array" ref="B1161">INDEX('Whitelist (Blackout Reverse)'!$B$1:$K$1,MOD(ROW()-2,10)+1)</f>
        <v>MORRIS 3</v>
      </c>
      <c r="C1161" s="2" t="str">
        <f>VLOOKUP(A1161,'[1]Brand Family Territory (Enc)'!$A$2:$B$296,2,FALSE)</f>
        <v>Core + Morris Communities</v>
      </c>
      <c r="D1161" s="2">
        <f>IF(COUNTIFS('[1]Brand Family Territories (Enc)'!$B$2:$B$62,C1161,'[1]Brand Family Territories (Enc)'!$C$2:$C$62,B1161)&gt;0,1,IF(AND(LEFT(B1161,6)="MORRIS",COUNTIFS('[1]Brand Family Territories (Enc)'!$B$2:$B$62,C1161,'[1]Brand Family Territories (Enc)'!$C$2:$C$62,"Morri")&gt;0),"Unk",0))</f>
        <v>1</v>
      </c>
      <c r="E1161" s="2" t="str">
        <f>IFERROR(INDEX('Blackout Brand Fam Areas (Enc)'!$D$6:$D$998,MATCH(UPPER(A1161)&amp;"|"&amp;UPPER(B1161),'Blackout Brand Fam Areas (Enc)'!$G$6:$G$998,0)),"No Match")</f>
        <v>No Match</v>
      </c>
      <c r="F1161" s="2" t="str">
        <f t="shared" si="36"/>
        <v>US</v>
      </c>
      <c r="G1161" s="2" t="str">
        <f t="shared" si="37"/>
        <v>Lagunitas NA|MORRIS 3</v>
      </c>
    </row>
    <row r="1162" spans="1:7" x14ac:dyDescent="0.2">
      <c r="A1162" s="2" t="str" cm="1">
        <f t="array" ref="A1162">INDEX('[1]Brand Family Territory (Enc)'!$A$2:$A$296,INT((ROW()-2)/10)+1)</f>
        <v>Birra Moretti</v>
      </c>
      <c r="B1162" s="2" t="str" cm="1">
        <f t="array" ref="B1162">INDEX('Whitelist (Blackout Reverse)'!$B$1:$K$1,MOD(ROW()-2,10)+1)</f>
        <v>BERGEN</v>
      </c>
      <c r="C1162" s="2" t="str">
        <f>VLOOKUP(A1162,'[1]Brand Family Territory (Enc)'!$A$2:$B$296,2,FALSE)</f>
        <v>Core + Morris Communities</v>
      </c>
      <c r="D1162" s="2">
        <f>IF(COUNTIFS('[1]Brand Family Territories (Enc)'!$B$2:$B$62,C1162,'[1]Brand Family Territories (Enc)'!$C$2:$C$62,B1162)&gt;0,1,IF(AND(LEFT(B1162,6)="MORRIS",COUNTIFS('[1]Brand Family Territories (Enc)'!$B$2:$B$62,C1162,'[1]Brand Family Territories (Enc)'!$C$2:$C$62,"Morri")&gt;0),"Unk",0))</f>
        <v>1</v>
      </c>
      <c r="E1162" s="2" t="str">
        <f>IFERROR(INDEX('Blackout Brand Fam Areas (Enc)'!$D$6:$D$998,MATCH(UPPER(A1162)&amp;"|"&amp;UPPER(B1162),'Blackout Brand Fam Areas (Enc)'!$G$6:$G$998,0)),"No Match")</f>
        <v>No Match</v>
      </c>
      <c r="F1162" s="2" t="str">
        <f t="shared" si="36"/>
        <v>US</v>
      </c>
      <c r="G1162" s="2" t="str">
        <f t="shared" si="37"/>
        <v>Birra Moretti|BERGEN</v>
      </c>
    </row>
    <row r="1163" spans="1:7" x14ac:dyDescent="0.2">
      <c r="A1163" s="2" t="str" cm="1">
        <f t="array" ref="A1163">INDEX('[1]Brand Family Territory (Enc)'!$A$2:$A$296,INT((ROW()-2)/10)+1)</f>
        <v>Birra Moretti</v>
      </c>
      <c r="B1163" s="2" t="str" cm="1">
        <f t="array" ref="B1163">INDEX('Whitelist (Blackout Reverse)'!$B$1:$K$1,MOD(ROW()-2,10)+1)</f>
        <v>PASSAIC</v>
      </c>
      <c r="C1163" s="2" t="str">
        <f>VLOOKUP(A1163,'[1]Brand Family Territory (Enc)'!$A$2:$B$296,2,FALSE)</f>
        <v>Core + Morris Communities</v>
      </c>
      <c r="D1163" s="2">
        <f>IF(COUNTIFS('[1]Brand Family Territories (Enc)'!$B$2:$B$62,C1163,'[1]Brand Family Territories (Enc)'!$C$2:$C$62,B1163)&gt;0,1,IF(AND(LEFT(B1163,6)="MORRIS",COUNTIFS('[1]Brand Family Territories (Enc)'!$B$2:$B$62,C1163,'[1]Brand Family Territories (Enc)'!$C$2:$C$62,"Morri")&gt;0),"Unk",0))</f>
        <v>1</v>
      </c>
      <c r="E1163" s="2" t="str">
        <f>IFERROR(INDEX('Blackout Brand Fam Areas (Enc)'!$D$6:$D$998,MATCH(UPPER(A1163)&amp;"|"&amp;UPPER(B1163),'Blackout Brand Fam Areas (Enc)'!$G$6:$G$998,0)),"No Match")</f>
        <v>No Match</v>
      </c>
      <c r="F1163" s="2" t="str">
        <f t="shared" si="36"/>
        <v>US</v>
      </c>
      <c r="G1163" s="2" t="str">
        <f t="shared" si="37"/>
        <v>Birra Moretti|PASSAIC</v>
      </c>
    </row>
    <row r="1164" spans="1:7" x14ac:dyDescent="0.2">
      <c r="A1164" s="2" t="str" cm="1">
        <f t="array" ref="A1164">INDEX('[1]Brand Family Territory (Enc)'!$A$2:$A$296,INT((ROW()-2)/10)+1)</f>
        <v>Birra Moretti</v>
      </c>
      <c r="B1164" s="2" t="str" cm="1">
        <f t="array" ref="B1164">INDEX('Whitelist (Blackout Reverse)'!$B$1:$K$1,MOD(ROW()-2,10)+1)</f>
        <v>PASSAIC-FF</v>
      </c>
      <c r="C1164" s="2" t="str">
        <f>VLOOKUP(A1164,'[1]Brand Family Territory (Enc)'!$A$2:$B$296,2,FALSE)</f>
        <v>Core + Morris Communities</v>
      </c>
      <c r="D1164" s="2">
        <f>IF(COUNTIFS('[1]Brand Family Territories (Enc)'!$B$2:$B$62,C1164,'[1]Brand Family Territories (Enc)'!$C$2:$C$62,B1164)&gt;0,1,IF(AND(LEFT(B1164,6)="MORRIS",COUNTIFS('[1]Brand Family Territories (Enc)'!$B$2:$B$62,C1164,'[1]Brand Family Territories (Enc)'!$C$2:$C$62,"Morri")&gt;0),"Unk",0))</f>
        <v>1</v>
      </c>
      <c r="E1164" s="2" t="str">
        <f>IFERROR(INDEX('Blackout Brand Fam Areas (Enc)'!$D$6:$D$998,MATCH(UPPER(A1164)&amp;"|"&amp;UPPER(B1164),'Blackout Brand Fam Areas (Enc)'!$G$6:$G$998,0)),"No Match")</f>
        <v>No Match</v>
      </c>
      <c r="F1164" s="2" t="str">
        <f t="shared" si="36"/>
        <v>US</v>
      </c>
      <c r="G1164" s="2" t="str">
        <f t="shared" si="37"/>
        <v>Birra Moretti|PASSAIC-FF</v>
      </c>
    </row>
    <row r="1165" spans="1:7" x14ac:dyDescent="0.2">
      <c r="A1165" s="2" t="str" cm="1">
        <f t="array" ref="A1165">INDEX('[1]Brand Family Territory (Enc)'!$A$2:$A$296,INT((ROW()-2)/10)+1)</f>
        <v>Birra Moretti</v>
      </c>
      <c r="B1165" s="2" t="str" cm="1">
        <f t="array" ref="B1165">INDEX('Whitelist (Blackout Reverse)'!$B$1:$K$1,MOD(ROW()-2,10)+1)</f>
        <v>ESSEX</v>
      </c>
      <c r="C1165" s="2" t="str">
        <f>VLOOKUP(A1165,'[1]Brand Family Territory (Enc)'!$A$2:$B$296,2,FALSE)</f>
        <v>Core + Morris Communities</v>
      </c>
      <c r="D1165" s="2">
        <f>IF(COUNTIFS('[1]Brand Family Territories (Enc)'!$B$2:$B$62,C1165,'[1]Brand Family Territories (Enc)'!$C$2:$C$62,B1165)&gt;0,1,IF(AND(LEFT(B1165,6)="MORRIS",COUNTIFS('[1]Brand Family Territories (Enc)'!$B$2:$B$62,C1165,'[1]Brand Family Territories (Enc)'!$C$2:$C$62,"Morri")&gt;0),"Unk",0))</f>
        <v>0</v>
      </c>
      <c r="E1165" s="2" t="str">
        <f>IFERROR(INDEX('Blackout Brand Fam Areas (Enc)'!$D$6:$D$998,MATCH(UPPER(A1165)&amp;"|"&amp;UPPER(B1165),'Blackout Brand Fam Areas (Enc)'!$G$6:$G$998,0)),"No Match")</f>
        <v>Inactive</v>
      </c>
      <c r="F1165" s="2" t="str">
        <f t="shared" si="36"/>
        <v>THEM</v>
      </c>
      <c r="G1165" s="2" t="str">
        <f t="shared" si="37"/>
        <v>Birra Moretti|ESSEX</v>
      </c>
    </row>
    <row r="1166" spans="1:7" x14ac:dyDescent="0.2">
      <c r="A1166" s="2" t="str" cm="1">
        <f t="array" ref="A1166">INDEX('[1]Brand Family Territory (Enc)'!$A$2:$A$296,INT((ROW()-2)/10)+1)</f>
        <v>Birra Moretti</v>
      </c>
      <c r="B1166" s="2" t="str" cm="1">
        <f t="array" ref="B1166">INDEX('Whitelist (Blackout Reverse)'!$B$1:$K$1,MOD(ROW()-2,10)+1)</f>
        <v>HUDSON</v>
      </c>
      <c r="C1166" s="2" t="str">
        <f>VLOOKUP(A1166,'[1]Brand Family Territory (Enc)'!$A$2:$B$296,2,FALSE)</f>
        <v>Core + Morris Communities</v>
      </c>
      <c r="D1166" s="2">
        <f>IF(COUNTIFS('[1]Brand Family Territories (Enc)'!$B$2:$B$62,C1166,'[1]Brand Family Territories (Enc)'!$C$2:$C$62,B1166)&gt;0,1,IF(AND(LEFT(B1166,6)="MORRIS",COUNTIFS('[1]Brand Family Territories (Enc)'!$B$2:$B$62,C1166,'[1]Brand Family Territories (Enc)'!$C$2:$C$62,"Morri")&gt;0),"Unk",0))</f>
        <v>0</v>
      </c>
      <c r="E1166" s="2" t="str">
        <f>IFERROR(INDEX('Blackout Brand Fam Areas (Enc)'!$D$6:$D$998,MATCH(UPPER(A1166)&amp;"|"&amp;UPPER(B1166),'Blackout Brand Fam Areas (Enc)'!$G$6:$G$998,0)),"No Match")</f>
        <v>Inactive</v>
      </c>
      <c r="F1166" s="2" t="str">
        <f t="shared" si="36"/>
        <v>THEM</v>
      </c>
      <c r="G1166" s="2" t="str">
        <f t="shared" si="37"/>
        <v>Birra Moretti|HUDSON</v>
      </c>
    </row>
    <row r="1167" spans="1:7" x14ac:dyDescent="0.2">
      <c r="A1167" s="2" t="str" cm="1">
        <f t="array" ref="A1167">INDEX('[1]Brand Family Territory (Enc)'!$A$2:$A$296,INT((ROW()-2)/10)+1)</f>
        <v>Birra Moretti</v>
      </c>
      <c r="B1167" s="2" t="str" cm="1">
        <f t="array" ref="B1167">INDEX('Whitelist (Blackout Reverse)'!$B$1:$K$1,MOD(ROW()-2,10)+1)</f>
        <v>UNION</v>
      </c>
      <c r="C1167" s="2" t="str">
        <f>VLOOKUP(A1167,'[1]Brand Family Territory (Enc)'!$A$2:$B$296,2,FALSE)</f>
        <v>Core + Morris Communities</v>
      </c>
      <c r="D1167" s="2">
        <f>IF(COUNTIFS('[1]Brand Family Territories (Enc)'!$B$2:$B$62,C1167,'[1]Brand Family Territories (Enc)'!$C$2:$C$62,B1167)&gt;0,1,IF(AND(LEFT(B1167,6)="MORRIS",COUNTIFS('[1]Brand Family Territories (Enc)'!$B$2:$B$62,C1167,'[1]Brand Family Territories (Enc)'!$C$2:$C$62,"Morri")&gt;0),"Unk",0))</f>
        <v>0</v>
      </c>
      <c r="E1167" s="2" t="str">
        <f>IFERROR(INDEX('Blackout Brand Fam Areas (Enc)'!$D$6:$D$998,MATCH(UPPER(A1167)&amp;"|"&amp;UPPER(B1167),'Blackout Brand Fam Areas (Enc)'!$G$6:$G$998,0)),"No Match")</f>
        <v>Inactive</v>
      </c>
      <c r="F1167" s="2" t="str">
        <f t="shared" si="36"/>
        <v>THEM</v>
      </c>
      <c r="G1167" s="2" t="str">
        <f t="shared" si="37"/>
        <v>Birra Moretti|UNION</v>
      </c>
    </row>
    <row r="1168" spans="1:7" x14ac:dyDescent="0.2">
      <c r="A1168" s="2" t="str" cm="1">
        <f t="array" ref="A1168">INDEX('[1]Brand Family Territory (Enc)'!$A$2:$A$296,INT((ROW()-2)/10)+1)</f>
        <v>Birra Moretti</v>
      </c>
      <c r="B1168" s="2" t="str" cm="1">
        <f t="array" ref="B1168">INDEX('Whitelist (Blackout Reverse)'!$B$1:$K$1,MOD(ROW()-2,10)+1)</f>
        <v>SUSSEX</v>
      </c>
      <c r="C1168" s="2" t="str">
        <f>VLOOKUP(A1168,'[1]Brand Family Territory (Enc)'!$A$2:$B$296,2,FALSE)</f>
        <v>Core + Morris Communities</v>
      </c>
      <c r="D1168" s="2">
        <f>IF(COUNTIFS('[1]Brand Family Territories (Enc)'!$B$2:$B$62,C1168,'[1]Brand Family Territories (Enc)'!$C$2:$C$62,B1168)&gt;0,1,IF(AND(LEFT(B1168,6)="MORRIS",COUNTIFS('[1]Brand Family Territories (Enc)'!$B$2:$B$62,C1168,'[1]Brand Family Territories (Enc)'!$C$2:$C$62,"Morri")&gt;0),"Unk",0))</f>
        <v>0</v>
      </c>
      <c r="E1168" s="2" t="str">
        <f>IFERROR(INDEX('Blackout Brand Fam Areas (Enc)'!$D$6:$D$998,MATCH(UPPER(A1168)&amp;"|"&amp;UPPER(B1168),'Blackout Brand Fam Areas (Enc)'!$G$6:$G$998,0)),"No Match")</f>
        <v>Inactive</v>
      </c>
      <c r="F1168" s="2" t="str">
        <f t="shared" si="36"/>
        <v>THEM</v>
      </c>
      <c r="G1168" s="2" t="str">
        <f t="shared" si="37"/>
        <v>Birra Moretti|SUSSEX</v>
      </c>
    </row>
    <row r="1169" spans="1:7" x14ac:dyDescent="0.2">
      <c r="A1169" s="2" t="str" cm="1">
        <f t="array" ref="A1169">INDEX('[1]Brand Family Territory (Enc)'!$A$2:$A$296,INT((ROW()-2)/10)+1)</f>
        <v>Birra Moretti</v>
      </c>
      <c r="B1169" s="2" t="str" cm="1">
        <f t="array" ref="B1169">INDEX('Whitelist (Blackout Reverse)'!$B$1:$K$1,MOD(ROW()-2,10)+1)</f>
        <v>MORRIS 1</v>
      </c>
      <c r="C1169" s="2" t="str">
        <f>VLOOKUP(A1169,'[1]Brand Family Territory (Enc)'!$A$2:$B$296,2,FALSE)</f>
        <v>Core + Morris Communities</v>
      </c>
      <c r="D1169" s="2">
        <f>IF(COUNTIFS('[1]Brand Family Territories (Enc)'!$B$2:$B$62,C1169,'[1]Brand Family Territories (Enc)'!$C$2:$C$62,B1169)&gt;0,1,IF(AND(LEFT(B1169,6)="MORRIS",COUNTIFS('[1]Brand Family Territories (Enc)'!$B$2:$B$62,C1169,'[1]Brand Family Territories (Enc)'!$C$2:$C$62,"Morri")&gt;0),"Unk",0))</f>
        <v>1</v>
      </c>
      <c r="E1169" s="2" t="str">
        <f>IFERROR(INDEX('Blackout Brand Fam Areas (Enc)'!$D$6:$D$998,MATCH(UPPER(A1169)&amp;"|"&amp;UPPER(B1169),'Blackout Brand Fam Areas (Enc)'!$G$6:$G$998,0)),"No Match")</f>
        <v>Inactive</v>
      </c>
      <c r="F1169" s="2" t="str">
        <f t="shared" si="36"/>
        <v>THEM</v>
      </c>
      <c r="G1169" s="2" t="str">
        <f t="shared" si="37"/>
        <v>Birra Moretti|MORRIS 1</v>
      </c>
    </row>
    <row r="1170" spans="1:7" x14ac:dyDescent="0.2">
      <c r="A1170" s="2" t="str" cm="1">
        <f t="array" ref="A1170">INDEX('[1]Brand Family Territory (Enc)'!$A$2:$A$296,INT((ROW()-2)/10)+1)</f>
        <v>Birra Moretti</v>
      </c>
      <c r="B1170" s="2" t="str" cm="1">
        <f t="array" ref="B1170">INDEX('Whitelist (Blackout Reverse)'!$B$1:$K$1,MOD(ROW()-2,10)+1)</f>
        <v>MORRIS 2</v>
      </c>
      <c r="C1170" s="2" t="str">
        <f>VLOOKUP(A1170,'[1]Brand Family Territory (Enc)'!$A$2:$B$296,2,FALSE)</f>
        <v>Core + Morris Communities</v>
      </c>
      <c r="D1170" s="2">
        <f>IF(COUNTIFS('[1]Brand Family Territories (Enc)'!$B$2:$B$62,C1170,'[1]Brand Family Territories (Enc)'!$C$2:$C$62,B1170)&gt;0,1,IF(AND(LEFT(B1170,6)="MORRIS",COUNTIFS('[1]Brand Family Territories (Enc)'!$B$2:$B$62,C1170,'[1]Brand Family Territories (Enc)'!$C$2:$C$62,"Morri")&gt;0),"Unk",0))</f>
        <v>0</v>
      </c>
      <c r="E1170" s="2" t="str">
        <f>IFERROR(INDEX('Blackout Brand Fam Areas (Enc)'!$D$6:$D$998,MATCH(UPPER(A1170)&amp;"|"&amp;UPPER(B1170),'Blackout Brand Fam Areas (Enc)'!$G$6:$G$998,0)),"No Match")</f>
        <v>Inactive</v>
      </c>
      <c r="F1170" s="2" t="str">
        <f t="shared" si="36"/>
        <v>THEM</v>
      </c>
      <c r="G1170" s="2" t="str">
        <f t="shared" si="37"/>
        <v>Birra Moretti|MORRIS 2</v>
      </c>
    </row>
    <row r="1171" spans="1:7" x14ac:dyDescent="0.2">
      <c r="A1171" s="2" t="str" cm="1">
        <f t="array" ref="A1171">INDEX('[1]Brand Family Territory (Enc)'!$A$2:$A$296,INT((ROW()-2)/10)+1)</f>
        <v>Birra Moretti</v>
      </c>
      <c r="B1171" s="2" t="str" cm="1">
        <f t="array" ref="B1171">INDEX('Whitelist (Blackout Reverse)'!$B$1:$K$1,MOD(ROW()-2,10)+1)</f>
        <v>MORRIS 3</v>
      </c>
      <c r="C1171" s="2" t="str">
        <f>VLOOKUP(A1171,'[1]Brand Family Territory (Enc)'!$A$2:$B$296,2,FALSE)</f>
        <v>Core + Morris Communities</v>
      </c>
      <c r="D1171" s="2">
        <f>IF(COUNTIFS('[1]Brand Family Territories (Enc)'!$B$2:$B$62,C1171,'[1]Brand Family Territories (Enc)'!$C$2:$C$62,B1171)&gt;0,1,IF(AND(LEFT(B1171,6)="MORRIS",COUNTIFS('[1]Brand Family Territories (Enc)'!$B$2:$B$62,C1171,'[1]Brand Family Territories (Enc)'!$C$2:$C$62,"Morri")&gt;0),"Unk",0))</f>
        <v>1</v>
      </c>
      <c r="E1171" s="2" t="str">
        <f>IFERROR(INDEX('Blackout Brand Fam Areas (Enc)'!$D$6:$D$998,MATCH(UPPER(A1171)&amp;"|"&amp;UPPER(B1171),'Blackout Brand Fam Areas (Enc)'!$G$6:$G$998,0)),"No Match")</f>
        <v>No Match</v>
      </c>
      <c r="F1171" s="2" t="str">
        <f t="shared" si="36"/>
        <v>US</v>
      </c>
      <c r="G1171" s="2" t="str">
        <f t="shared" si="37"/>
        <v>Birra Moretti|MORRIS 3</v>
      </c>
    </row>
    <row r="1172" spans="1:7" x14ac:dyDescent="0.2">
      <c r="A1172" s="2" t="str" cm="1">
        <f t="array" ref="A1172">INDEX('[1]Brand Family Territory (Enc)'!$A$2:$A$296,INT((ROW()-2)/10)+1)</f>
        <v>Murphy's</v>
      </c>
      <c r="B1172" s="2" t="str" cm="1">
        <f t="array" ref="B1172">INDEX('Whitelist (Blackout Reverse)'!$B$1:$K$1,MOD(ROW()-2,10)+1)</f>
        <v>BERGEN</v>
      </c>
      <c r="C1172" s="2" t="str">
        <f>VLOOKUP(A1172,'[1]Brand Family Territory (Enc)'!$A$2:$B$296,2,FALSE)</f>
        <v>Core + Morris Communities</v>
      </c>
      <c r="D1172" s="2">
        <f>IF(COUNTIFS('[1]Brand Family Territories (Enc)'!$B$2:$B$62,C1172,'[1]Brand Family Territories (Enc)'!$C$2:$C$62,B1172)&gt;0,1,IF(AND(LEFT(B1172,6)="MORRIS",COUNTIFS('[1]Brand Family Territories (Enc)'!$B$2:$B$62,C1172,'[1]Brand Family Territories (Enc)'!$C$2:$C$62,"Morri")&gt;0),"Unk",0))</f>
        <v>1</v>
      </c>
      <c r="E1172" s="2" t="str">
        <f>IFERROR(INDEX('Blackout Brand Fam Areas (Enc)'!$D$6:$D$998,MATCH(UPPER(A1172)&amp;"|"&amp;UPPER(B1172),'Blackout Brand Fam Areas (Enc)'!$G$6:$G$998,0)),"No Match")</f>
        <v>No Match</v>
      </c>
      <c r="F1172" s="2" t="str">
        <f t="shared" si="36"/>
        <v>US</v>
      </c>
      <c r="G1172" s="2" t="str">
        <f t="shared" si="37"/>
        <v>Murphy's|BERGEN</v>
      </c>
    </row>
    <row r="1173" spans="1:7" x14ac:dyDescent="0.2">
      <c r="A1173" s="2" t="str" cm="1">
        <f t="array" ref="A1173">INDEX('[1]Brand Family Territory (Enc)'!$A$2:$A$296,INT((ROW()-2)/10)+1)</f>
        <v>Murphy's</v>
      </c>
      <c r="B1173" s="2" t="str" cm="1">
        <f t="array" ref="B1173">INDEX('Whitelist (Blackout Reverse)'!$B$1:$K$1,MOD(ROW()-2,10)+1)</f>
        <v>PASSAIC</v>
      </c>
      <c r="C1173" s="2" t="str">
        <f>VLOOKUP(A1173,'[1]Brand Family Territory (Enc)'!$A$2:$B$296,2,FALSE)</f>
        <v>Core + Morris Communities</v>
      </c>
      <c r="D1173" s="2">
        <f>IF(COUNTIFS('[1]Brand Family Territories (Enc)'!$B$2:$B$62,C1173,'[1]Brand Family Territories (Enc)'!$C$2:$C$62,B1173)&gt;0,1,IF(AND(LEFT(B1173,6)="MORRIS",COUNTIFS('[1]Brand Family Territories (Enc)'!$B$2:$B$62,C1173,'[1]Brand Family Territories (Enc)'!$C$2:$C$62,"Morri")&gt;0),"Unk",0))</f>
        <v>1</v>
      </c>
      <c r="E1173" s="2" t="str">
        <f>IFERROR(INDEX('Blackout Brand Fam Areas (Enc)'!$D$6:$D$998,MATCH(UPPER(A1173)&amp;"|"&amp;UPPER(B1173),'Blackout Brand Fam Areas (Enc)'!$G$6:$G$998,0)),"No Match")</f>
        <v>No Match</v>
      </c>
      <c r="F1173" s="2" t="str">
        <f t="shared" si="36"/>
        <v>US</v>
      </c>
      <c r="G1173" s="2" t="str">
        <f t="shared" si="37"/>
        <v>Murphy's|PASSAIC</v>
      </c>
    </row>
    <row r="1174" spans="1:7" x14ac:dyDescent="0.2">
      <c r="A1174" s="2" t="str" cm="1">
        <f t="array" ref="A1174">INDEX('[1]Brand Family Territory (Enc)'!$A$2:$A$296,INT((ROW()-2)/10)+1)</f>
        <v>Murphy's</v>
      </c>
      <c r="B1174" s="2" t="str" cm="1">
        <f t="array" ref="B1174">INDEX('Whitelist (Blackout Reverse)'!$B$1:$K$1,MOD(ROW()-2,10)+1)</f>
        <v>PASSAIC-FF</v>
      </c>
      <c r="C1174" s="2" t="str">
        <f>VLOOKUP(A1174,'[1]Brand Family Territory (Enc)'!$A$2:$B$296,2,FALSE)</f>
        <v>Core + Morris Communities</v>
      </c>
      <c r="D1174" s="2">
        <f>IF(COUNTIFS('[1]Brand Family Territories (Enc)'!$B$2:$B$62,C1174,'[1]Brand Family Territories (Enc)'!$C$2:$C$62,B1174)&gt;0,1,IF(AND(LEFT(B1174,6)="MORRIS",COUNTIFS('[1]Brand Family Territories (Enc)'!$B$2:$B$62,C1174,'[1]Brand Family Territories (Enc)'!$C$2:$C$62,"Morri")&gt;0),"Unk",0))</f>
        <v>1</v>
      </c>
      <c r="E1174" s="2" t="str">
        <f>IFERROR(INDEX('Blackout Brand Fam Areas (Enc)'!$D$6:$D$998,MATCH(UPPER(A1174)&amp;"|"&amp;UPPER(B1174),'Blackout Brand Fam Areas (Enc)'!$G$6:$G$998,0)),"No Match")</f>
        <v>No Match</v>
      </c>
      <c r="F1174" s="2" t="str">
        <f t="shared" si="36"/>
        <v>US</v>
      </c>
      <c r="G1174" s="2" t="str">
        <f t="shared" si="37"/>
        <v>Murphy's|PASSAIC-FF</v>
      </c>
    </row>
    <row r="1175" spans="1:7" x14ac:dyDescent="0.2">
      <c r="A1175" s="2" t="str" cm="1">
        <f t="array" ref="A1175">INDEX('[1]Brand Family Territory (Enc)'!$A$2:$A$296,INT((ROW()-2)/10)+1)</f>
        <v>Murphy's</v>
      </c>
      <c r="B1175" s="2" t="str" cm="1">
        <f t="array" ref="B1175">INDEX('Whitelist (Blackout Reverse)'!$B$1:$K$1,MOD(ROW()-2,10)+1)</f>
        <v>ESSEX</v>
      </c>
      <c r="C1175" s="2" t="str">
        <f>VLOOKUP(A1175,'[1]Brand Family Territory (Enc)'!$A$2:$B$296,2,FALSE)</f>
        <v>Core + Morris Communities</v>
      </c>
      <c r="D1175" s="2">
        <f>IF(COUNTIFS('[1]Brand Family Territories (Enc)'!$B$2:$B$62,C1175,'[1]Brand Family Territories (Enc)'!$C$2:$C$62,B1175)&gt;0,1,IF(AND(LEFT(B1175,6)="MORRIS",COUNTIFS('[1]Brand Family Territories (Enc)'!$B$2:$B$62,C1175,'[1]Brand Family Territories (Enc)'!$C$2:$C$62,"Morri")&gt;0),"Unk",0))</f>
        <v>0</v>
      </c>
      <c r="E1175" s="2" t="str">
        <f>IFERROR(INDEX('Blackout Brand Fam Areas (Enc)'!$D$6:$D$998,MATCH(UPPER(A1175)&amp;"|"&amp;UPPER(B1175),'Blackout Brand Fam Areas (Enc)'!$G$6:$G$998,0)),"No Match")</f>
        <v>Inactive</v>
      </c>
      <c r="F1175" s="2" t="str">
        <f t="shared" si="36"/>
        <v>THEM</v>
      </c>
      <c r="G1175" s="2" t="str">
        <f t="shared" si="37"/>
        <v>Murphy's|ESSEX</v>
      </c>
    </row>
    <row r="1176" spans="1:7" x14ac:dyDescent="0.2">
      <c r="A1176" s="2" t="str" cm="1">
        <f t="array" ref="A1176">INDEX('[1]Brand Family Territory (Enc)'!$A$2:$A$296,INT((ROW()-2)/10)+1)</f>
        <v>Murphy's</v>
      </c>
      <c r="B1176" s="2" t="str" cm="1">
        <f t="array" ref="B1176">INDEX('Whitelist (Blackout Reverse)'!$B$1:$K$1,MOD(ROW()-2,10)+1)</f>
        <v>HUDSON</v>
      </c>
      <c r="C1176" s="2" t="str">
        <f>VLOOKUP(A1176,'[1]Brand Family Territory (Enc)'!$A$2:$B$296,2,FALSE)</f>
        <v>Core + Morris Communities</v>
      </c>
      <c r="D1176" s="2">
        <f>IF(COUNTIFS('[1]Brand Family Territories (Enc)'!$B$2:$B$62,C1176,'[1]Brand Family Territories (Enc)'!$C$2:$C$62,B1176)&gt;0,1,IF(AND(LEFT(B1176,6)="MORRIS",COUNTIFS('[1]Brand Family Territories (Enc)'!$B$2:$B$62,C1176,'[1]Brand Family Territories (Enc)'!$C$2:$C$62,"Morri")&gt;0),"Unk",0))</f>
        <v>0</v>
      </c>
      <c r="E1176" s="2" t="str">
        <f>IFERROR(INDEX('Blackout Brand Fam Areas (Enc)'!$D$6:$D$998,MATCH(UPPER(A1176)&amp;"|"&amp;UPPER(B1176),'Blackout Brand Fam Areas (Enc)'!$G$6:$G$998,0)),"No Match")</f>
        <v>Inactive</v>
      </c>
      <c r="F1176" s="2" t="str">
        <f t="shared" si="36"/>
        <v>THEM</v>
      </c>
      <c r="G1176" s="2" t="str">
        <f t="shared" si="37"/>
        <v>Murphy's|HUDSON</v>
      </c>
    </row>
    <row r="1177" spans="1:7" x14ac:dyDescent="0.2">
      <c r="A1177" s="2" t="str" cm="1">
        <f t="array" ref="A1177">INDEX('[1]Brand Family Territory (Enc)'!$A$2:$A$296,INT((ROW()-2)/10)+1)</f>
        <v>Murphy's</v>
      </c>
      <c r="B1177" s="2" t="str" cm="1">
        <f t="array" ref="B1177">INDEX('Whitelist (Blackout Reverse)'!$B$1:$K$1,MOD(ROW()-2,10)+1)</f>
        <v>UNION</v>
      </c>
      <c r="C1177" s="2" t="str">
        <f>VLOOKUP(A1177,'[1]Brand Family Territory (Enc)'!$A$2:$B$296,2,FALSE)</f>
        <v>Core + Morris Communities</v>
      </c>
      <c r="D1177" s="2">
        <f>IF(COUNTIFS('[1]Brand Family Territories (Enc)'!$B$2:$B$62,C1177,'[1]Brand Family Territories (Enc)'!$C$2:$C$62,B1177)&gt;0,1,IF(AND(LEFT(B1177,6)="MORRIS",COUNTIFS('[1]Brand Family Territories (Enc)'!$B$2:$B$62,C1177,'[1]Brand Family Territories (Enc)'!$C$2:$C$62,"Morri")&gt;0),"Unk",0))</f>
        <v>0</v>
      </c>
      <c r="E1177" s="2" t="str">
        <f>IFERROR(INDEX('Blackout Brand Fam Areas (Enc)'!$D$6:$D$998,MATCH(UPPER(A1177)&amp;"|"&amp;UPPER(B1177),'Blackout Brand Fam Areas (Enc)'!$G$6:$G$998,0)),"No Match")</f>
        <v>Inactive</v>
      </c>
      <c r="F1177" s="2" t="str">
        <f t="shared" si="36"/>
        <v>THEM</v>
      </c>
      <c r="G1177" s="2" t="str">
        <f t="shared" si="37"/>
        <v>Murphy's|UNION</v>
      </c>
    </row>
    <row r="1178" spans="1:7" x14ac:dyDescent="0.2">
      <c r="A1178" s="2" t="str" cm="1">
        <f t="array" ref="A1178">INDEX('[1]Brand Family Territory (Enc)'!$A$2:$A$296,INT((ROW()-2)/10)+1)</f>
        <v>Murphy's</v>
      </c>
      <c r="B1178" s="2" t="str" cm="1">
        <f t="array" ref="B1178">INDEX('Whitelist (Blackout Reverse)'!$B$1:$K$1,MOD(ROW()-2,10)+1)</f>
        <v>SUSSEX</v>
      </c>
      <c r="C1178" s="2" t="str">
        <f>VLOOKUP(A1178,'[1]Brand Family Territory (Enc)'!$A$2:$B$296,2,FALSE)</f>
        <v>Core + Morris Communities</v>
      </c>
      <c r="D1178" s="2">
        <f>IF(COUNTIFS('[1]Brand Family Territories (Enc)'!$B$2:$B$62,C1178,'[1]Brand Family Territories (Enc)'!$C$2:$C$62,B1178)&gt;0,1,IF(AND(LEFT(B1178,6)="MORRIS",COUNTIFS('[1]Brand Family Territories (Enc)'!$B$2:$B$62,C1178,'[1]Brand Family Territories (Enc)'!$C$2:$C$62,"Morri")&gt;0),"Unk",0))</f>
        <v>0</v>
      </c>
      <c r="E1178" s="2" t="str">
        <f>IFERROR(INDEX('Blackout Brand Fam Areas (Enc)'!$D$6:$D$998,MATCH(UPPER(A1178)&amp;"|"&amp;UPPER(B1178),'Blackout Brand Fam Areas (Enc)'!$G$6:$G$998,0)),"No Match")</f>
        <v>Inactive</v>
      </c>
      <c r="F1178" s="2" t="str">
        <f t="shared" si="36"/>
        <v>THEM</v>
      </c>
      <c r="G1178" s="2" t="str">
        <f t="shared" si="37"/>
        <v>Murphy's|SUSSEX</v>
      </c>
    </row>
    <row r="1179" spans="1:7" x14ac:dyDescent="0.2">
      <c r="A1179" s="2" t="str" cm="1">
        <f t="array" ref="A1179">INDEX('[1]Brand Family Territory (Enc)'!$A$2:$A$296,INT((ROW()-2)/10)+1)</f>
        <v>Murphy's</v>
      </c>
      <c r="B1179" s="2" t="str" cm="1">
        <f t="array" ref="B1179">INDEX('Whitelist (Blackout Reverse)'!$B$1:$K$1,MOD(ROW()-2,10)+1)</f>
        <v>MORRIS 1</v>
      </c>
      <c r="C1179" s="2" t="str">
        <f>VLOOKUP(A1179,'[1]Brand Family Territory (Enc)'!$A$2:$B$296,2,FALSE)</f>
        <v>Core + Morris Communities</v>
      </c>
      <c r="D1179" s="2">
        <f>IF(COUNTIFS('[1]Brand Family Territories (Enc)'!$B$2:$B$62,C1179,'[1]Brand Family Territories (Enc)'!$C$2:$C$62,B1179)&gt;0,1,IF(AND(LEFT(B1179,6)="MORRIS",COUNTIFS('[1]Brand Family Territories (Enc)'!$B$2:$B$62,C1179,'[1]Brand Family Territories (Enc)'!$C$2:$C$62,"Morri")&gt;0),"Unk",0))</f>
        <v>1</v>
      </c>
      <c r="E1179" s="2" t="str">
        <f>IFERROR(INDEX('Blackout Brand Fam Areas (Enc)'!$D$6:$D$998,MATCH(UPPER(A1179)&amp;"|"&amp;UPPER(B1179),'Blackout Brand Fam Areas (Enc)'!$G$6:$G$998,0)),"No Match")</f>
        <v>Inactive</v>
      </c>
      <c r="F1179" s="2" t="str">
        <f t="shared" si="36"/>
        <v>THEM</v>
      </c>
      <c r="G1179" s="2" t="str">
        <f t="shared" si="37"/>
        <v>Murphy's|MORRIS 1</v>
      </c>
    </row>
    <row r="1180" spans="1:7" x14ac:dyDescent="0.2">
      <c r="A1180" s="2" t="str" cm="1">
        <f t="array" ref="A1180">INDEX('[1]Brand Family Territory (Enc)'!$A$2:$A$296,INT((ROW()-2)/10)+1)</f>
        <v>Murphy's</v>
      </c>
      <c r="B1180" s="2" t="str" cm="1">
        <f t="array" ref="B1180">INDEX('Whitelist (Blackout Reverse)'!$B$1:$K$1,MOD(ROW()-2,10)+1)</f>
        <v>MORRIS 2</v>
      </c>
      <c r="C1180" s="2" t="str">
        <f>VLOOKUP(A1180,'[1]Brand Family Territory (Enc)'!$A$2:$B$296,2,FALSE)</f>
        <v>Core + Morris Communities</v>
      </c>
      <c r="D1180" s="2">
        <f>IF(COUNTIFS('[1]Brand Family Territories (Enc)'!$B$2:$B$62,C1180,'[1]Brand Family Territories (Enc)'!$C$2:$C$62,B1180)&gt;0,1,IF(AND(LEFT(B1180,6)="MORRIS",COUNTIFS('[1]Brand Family Territories (Enc)'!$B$2:$B$62,C1180,'[1]Brand Family Territories (Enc)'!$C$2:$C$62,"Morri")&gt;0),"Unk",0))</f>
        <v>0</v>
      </c>
      <c r="E1180" s="2" t="str">
        <f>IFERROR(INDEX('Blackout Brand Fam Areas (Enc)'!$D$6:$D$998,MATCH(UPPER(A1180)&amp;"|"&amp;UPPER(B1180),'Blackout Brand Fam Areas (Enc)'!$G$6:$G$998,0)),"No Match")</f>
        <v>Inactive</v>
      </c>
      <c r="F1180" s="2" t="str">
        <f t="shared" si="36"/>
        <v>THEM</v>
      </c>
      <c r="G1180" s="2" t="str">
        <f t="shared" si="37"/>
        <v>Murphy's|MORRIS 2</v>
      </c>
    </row>
    <row r="1181" spans="1:7" x14ac:dyDescent="0.2">
      <c r="A1181" s="2" t="str" cm="1">
        <f t="array" ref="A1181">INDEX('[1]Brand Family Territory (Enc)'!$A$2:$A$296,INT((ROW()-2)/10)+1)</f>
        <v>Murphy's</v>
      </c>
      <c r="B1181" s="2" t="str" cm="1">
        <f t="array" ref="B1181">INDEX('Whitelist (Blackout Reverse)'!$B$1:$K$1,MOD(ROW()-2,10)+1)</f>
        <v>MORRIS 3</v>
      </c>
      <c r="C1181" s="2" t="str">
        <f>VLOOKUP(A1181,'[1]Brand Family Territory (Enc)'!$A$2:$B$296,2,FALSE)</f>
        <v>Core + Morris Communities</v>
      </c>
      <c r="D1181" s="2">
        <f>IF(COUNTIFS('[1]Brand Family Territories (Enc)'!$B$2:$B$62,C1181,'[1]Brand Family Territories (Enc)'!$C$2:$C$62,B1181)&gt;0,1,IF(AND(LEFT(B1181,6)="MORRIS",COUNTIFS('[1]Brand Family Territories (Enc)'!$B$2:$B$62,C1181,'[1]Brand Family Territories (Enc)'!$C$2:$C$62,"Morri")&gt;0),"Unk",0))</f>
        <v>1</v>
      </c>
      <c r="E1181" s="2" t="str">
        <f>IFERROR(INDEX('Blackout Brand Fam Areas (Enc)'!$D$6:$D$998,MATCH(UPPER(A1181)&amp;"|"&amp;UPPER(B1181),'Blackout Brand Fam Areas (Enc)'!$G$6:$G$998,0)),"No Match")</f>
        <v>No Match</v>
      </c>
      <c r="F1181" s="2" t="str">
        <f t="shared" si="36"/>
        <v>US</v>
      </c>
      <c r="G1181" s="2" t="str">
        <f t="shared" si="37"/>
        <v>Murphy's|MORRIS 3</v>
      </c>
    </row>
    <row r="1182" spans="1:7" x14ac:dyDescent="0.2">
      <c r="A1182" s="2" t="str" cm="1">
        <f t="array" ref="A1182">INDEX('[1]Brand Family Territory (Enc)'!$A$2:$A$296,INT((ROW()-2)/10)+1)</f>
        <v>Red Stripe</v>
      </c>
      <c r="B1182" s="2" t="str" cm="1">
        <f t="array" ref="B1182">INDEX('Whitelist (Blackout Reverse)'!$B$1:$K$1,MOD(ROW()-2,10)+1)</f>
        <v>BERGEN</v>
      </c>
      <c r="C1182" s="2" t="str">
        <f>VLOOKUP(A1182,'[1]Brand Family Territory (Enc)'!$A$2:$B$296,2,FALSE)</f>
        <v>Core + Morris Communities</v>
      </c>
      <c r="D1182" s="2">
        <f>IF(COUNTIFS('[1]Brand Family Territories (Enc)'!$B$2:$B$62,C1182,'[1]Brand Family Territories (Enc)'!$C$2:$C$62,B1182)&gt;0,1,IF(AND(LEFT(B1182,6)="MORRIS",COUNTIFS('[1]Brand Family Territories (Enc)'!$B$2:$B$62,C1182,'[1]Brand Family Territories (Enc)'!$C$2:$C$62,"Morri")&gt;0),"Unk",0))</f>
        <v>1</v>
      </c>
      <c r="E1182" s="2" t="str">
        <f>IFERROR(INDEX('Blackout Brand Fam Areas (Enc)'!$D$6:$D$998,MATCH(UPPER(A1182)&amp;"|"&amp;UPPER(B1182),'Blackout Brand Fam Areas (Enc)'!$G$6:$G$998,0)),"No Match")</f>
        <v>No Match</v>
      </c>
      <c r="F1182" s="2" t="str">
        <f t="shared" si="36"/>
        <v>US</v>
      </c>
      <c r="G1182" s="2" t="str">
        <f t="shared" si="37"/>
        <v>Red Stripe|BERGEN</v>
      </c>
    </row>
    <row r="1183" spans="1:7" x14ac:dyDescent="0.2">
      <c r="A1183" s="2" t="str" cm="1">
        <f t="array" ref="A1183">INDEX('[1]Brand Family Territory (Enc)'!$A$2:$A$296,INT((ROW()-2)/10)+1)</f>
        <v>Red Stripe</v>
      </c>
      <c r="B1183" s="2" t="str" cm="1">
        <f t="array" ref="B1183">INDEX('Whitelist (Blackout Reverse)'!$B$1:$K$1,MOD(ROW()-2,10)+1)</f>
        <v>PASSAIC</v>
      </c>
      <c r="C1183" s="2" t="str">
        <f>VLOOKUP(A1183,'[1]Brand Family Territory (Enc)'!$A$2:$B$296,2,FALSE)</f>
        <v>Core + Morris Communities</v>
      </c>
      <c r="D1183" s="2">
        <f>IF(COUNTIFS('[1]Brand Family Territories (Enc)'!$B$2:$B$62,C1183,'[1]Brand Family Territories (Enc)'!$C$2:$C$62,B1183)&gt;0,1,IF(AND(LEFT(B1183,6)="MORRIS",COUNTIFS('[1]Brand Family Territories (Enc)'!$B$2:$B$62,C1183,'[1]Brand Family Territories (Enc)'!$C$2:$C$62,"Morri")&gt;0),"Unk",0))</f>
        <v>1</v>
      </c>
      <c r="E1183" s="2" t="str">
        <f>IFERROR(INDEX('Blackout Brand Fam Areas (Enc)'!$D$6:$D$998,MATCH(UPPER(A1183)&amp;"|"&amp;UPPER(B1183),'Blackout Brand Fam Areas (Enc)'!$G$6:$G$998,0)),"No Match")</f>
        <v>No Match</v>
      </c>
      <c r="F1183" s="2" t="str">
        <f t="shared" si="36"/>
        <v>US</v>
      </c>
      <c r="G1183" s="2" t="str">
        <f t="shared" si="37"/>
        <v>Red Stripe|PASSAIC</v>
      </c>
    </row>
    <row r="1184" spans="1:7" x14ac:dyDescent="0.2">
      <c r="A1184" s="2" t="str" cm="1">
        <f t="array" ref="A1184">INDEX('[1]Brand Family Territory (Enc)'!$A$2:$A$296,INT((ROW()-2)/10)+1)</f>
        <v>Red Stripe</v>
      </c>
      <c r="B1184" s="2" t="str" cm="1">
        <f t="array" ref="B1184">INDEX('Whitelist (Blackout Reverse)'!$B$1:$K$1,MOD(ROW()-2,10)+1)</f>
        <v>PASSAIC-FF</v>
      </c>
      <c r="C1184" s="2" t="str">
        <f>VLOOKUP(A1184,'[1]Brand Family Territory (Enc)'!$A$2:$B$296,2,FALSE)</f>
        <v>Core + Morris Communities</v>
      </c>
      <c r="D1184" s="2">
        <f>IF(COUNTIFS('[1]Brand Family Territories (Enc)'!$B$2:$B$62,C1184,'[1]Brand Family Territories (Enc)'!$C$2:$C$62,B1184)&gt;0,1,IF(AND(LEFT(B1184,6)="MORRIS",COUNTIFS('[1]Brand Family Territories (Enc)'!$B$2:$B$62,C1184,'[1]Brand Family Territories (Enc)'!$C$2:$C$62,"Morri")&gt;0),"Unk",0))</f>
        <v>1</v>
      </c>
      <c r="E1184" s="2" t="str">
        <f>IFERROR(INDEX('Blackout Brand Fam Areas (Enc)'!$D$6:$D$998,MATCH(UPPER(A1184)&amp;"|"&amp;UPPER(B1184),'Blackout Brand Fam Areas (Enc)'!$G$6:$G$998,0)),"No Match")</f>
        <v>No Match</v>
      </c>
      <c r="F1184" s="2" t="str">
        <f t="shared" si="36"/>
        <v>US</v>
      </c>
      <c r="G1184" s="2" t="str">
        <f t="shared" si="37"/>
        <v>Red Stripe|PASSAIC-FF</v>
      </c>
    </row>
    <row r="1185" spans="1:7" x14ac:dyDescent="0.2">
      <c r="A1185" s="2" t="str" cm="1">
        <f t="array" ref="A1185">INDEX('[1]Brand Family Territory (Enc)'!$A$2:$A$296,INT((ROW()-2)/10)+1)</f>
        <v>Red Stripe</v>
      </c>
      <c r="B1185" s="2" t="str" cm="1">
        <f t="array" ref="B1185">INDEX('Whitelist (Blackout Reverse)'!$B$1:$K$1,MOD(ROW()-2,10)+1)</f>
        <v>ESSEX</v>
      </c>
      <c r="C1185" s="2" t="str">
        <f>VLOOKUP(A1185,'[1]Brand Family Territory (Enc)'!$A$2:$B$296,2,FALSE)</f>
        <v>Core + Morris Communities</v>
      </c>
      <c r="D1185" s="2">
        <f>IF(COUNTIFS('[1]Brand Family Territories (Enc)'!$B$2:$B$62,C1185,'[1]Brand Family Territories (Enc)'!$C$2:$C$62,B1185)&gt;0,1,IF(AND(LEFT(B1185,6)="MORRIS",COUNTIFS('[1]Brand Family Territories (Enc)'!$B$2:$B$62,C1185,'[1]Brand Family Territories (Enc)'!$C$2:$C$62,"Morri")&gt;0),"Unk",0))</f>
        <v>0</v>
      </c>
      <c r="E1185" s="2" t="str">
        <f>IFERROR(INDEX('Blackout Brand Fam Areas (Enc)'!$D$6:$D$998,MATCH(UPPER(A1185)&amp;"|"&amp;UPPER(B1185),'Blackout Brand Fam Areas (Enc)'!$G$6:$G$998,0)),"No Match")</f>
        <v>Inactive</v>
      </c>
      <c r="F1185" s="2" t="str">
        <f t="shared" si="36"/>
        <v>THEM</v>
      </c>
      <c r="G1185" s="2" t="str">
        <f t="shared" si="37"/>
        <v>Red Stripe|ESSEX</v>
      </c>
    </row>
    <row r="1186" spans="1:7" x14ac:dyDescent="0.2">
      <c r="A1186" s="2" t="str" cm="1">
        <f t="array" ref="A1186">INDEX('[1]Brand Family Territory (Enc)'!$A$2:$A$296,INT((ROW()-2)/10)+1)</f>
        <v>Red Stripe</v>
      </c>
      <c r="B1186" s="2" t="str" cm="1">
        <f t="array" ref="B1186">INDEX('Whitelist (Blackout Reverse)'!$B$1:$K$1,MOD(ROW()-2,10)+1)</f>
        <v>HUDSON</v>
      </c>
      <c r="C1186" s="2" t="str">
        <f>VLOOKUP(A1186,'[1]Brand Family Territory (Enc)'!$A$2:$B$296,2,FALSE)</f>
        <v>Core + Morris Communities</v>
      </c>
      <c r="D1186" s="2">
        <f>IF(COUNTIFS('[1]Brand Family Territories (Enc)'!$B$2:$B$62,C1186,'[1]Brand Family Territories (Enc)'!$C$2:$C$62,B1186)&gt;0,1,IF(AND(LEFT(B1186,6)="MORRIS",COUNTIFS('[1]Brand Family Territories (Enc)'!$B$2:$B$62,C1186,'[1]Brand Family Territories (Enc)'!$C$2:$C$62,"Morri")&gt;0),"Unk",0))</f>
        <v>0</v>
      </c>
      <c r="E1186" s="2" t="str">
        <f>IFERROR(INDEX('Blackout Brand Fam Areas (Enc)'!$D$6:$D$998,MATCH(UPPER(A1186)&amp;"|"&amp;UPPER(B1186),'Blackout Brand Fam Areas (Enc)'!$G$6:$G$998,0)),"No Match")</f>
        <v>Inactive</v>
      </c>
      <c r="F1186" s="2" t="str">
        <f t="shared" si="36"/>
        <v>THEM</v>
      </c>
      <c r="G1186" s="2" t="str">
        <f t="shared" si="37"/>
        <v>Red Stripe|HUDSON</v>
      </c>
    </row>
    <row r="1187" spans="1:7" x14ac:dyDescent="0.2">
      <c r="A1187" s="2" t="str" cm="1">
        <f t="array" ref="A1187">INDEX('[1]Brand Family Territory (Enc)'!$A$2:$A$296,INT((ROW()-2)/10)+1)</f>
        <v>Red Stripe</v>
      </c>
      <c r="B1187" s="2" t="str" cm="1">
        <f t="array" ref="B1187">INDEX('Whitelist (Blackout Reverse)'!$B$1:$K$1,MOD(ROW()-2,10)+1)</f>
        <v>UNION</v>
      </c>
      <c r="C1187" s="2" t="str">
        <f>VLOOKUP(A1187,'[1]Brand Family Territory (Enc)'!$A$2:$B$296,2,FALSE)</f>
        <v>Core + Morris Communities</v>
      </c>
      <c r="D1187" s="2">
        <f>IF(COUNTIFS('[1]Brand Family Territories (Enc)'!$B$2:$B$62,C1187,'[1]Brand Family Territories (Enc)'!$C$2:$C$62,B1187)&gt;0,1,IF(AND(LEFT(B1187,6)="MORRIS",COUNTIFS('[1]Brand Family Territories (Enc)'!$B$2:$B$62,C1187,'[1]Brand Family Territories (Enc)'!$C$2:$C$62,"Morri")&gt;0),"Unk",0))</f>
        <v>0</v>
      </c>
      <c r="E1187" s="2" t="str">
        <f>IFERROR(INDEX('Blackout Brand Fam Areas (Enc)'!$D$6:$D$998,MATCH(UPPER(A1187)&amp;"|"&amp;UPPER(B1187),'Blackout Brand Fam Areas (Enc)'!$G$6:$G$998,0)),"No Match")</f>
        <v>Inactive</v>
      </c>
      <c r="F1187" s="2" t="str">
        <f t="shared" si="36"/>
        <v>THEM</v>
      </c>
      <c r="G1187" s="2" t="str">
        <f t="shared" si="37"/>
        <v>Red Stripe|UNION</v>
      </c>
    </row>
    <row r="1188" spans="1:7" x14ac:dyDescent="0.2">
      <c r="A1188" s="2" t="str" cm="1">
        <f t="array" ref="A1188">INDEX('[1]Brand Family Territory (Enc)'!$A$2:$A$296,INT((ROW()-2)/10)+1)</f>
        <v>Red Stripe</v>
      </c>
      <c r="B1188" s="2" t="str" cm="1">
        <f t="array" ref="B1188">INDEX('Whitelist (Blackout Reverse)'!$B$1:$K$1,MOD(ROW()-2,10)+1)</f>
        <v>SUSSEX</v>
      </c>
      <c r="C1188" s="2" t="str">
        <f>VLOOKUP(A1188,'[1]Brand Family Territory (Enc)'!$A$2:$B$296,2,FALSE)</f>
        <v>Core + Morris Communities</v>
      </c>
      <c r="D1188" s="2">
        <f>IF(COUNTIFS('[1]Brand Family Territories (Enc)'!$B$2:$B$62,C1188,'[1]Brand Family Territories (Enc)'!$C$2:$C$62,B1188)&gt;0,1,IF(AND(LEFT(B1188,6)="MORRIS",COUNTIFS('[1]Brand Family Territories (Enc)'!$B$2:$B$62,C1188,'[1]Brand Family Territories (Enc)'!$C$2:$C$62,"Morri")&gt;0),"Unk",0))</f>
        <v>0</v>
      </c>
      <c r="E1188" s="2" t="str">
        <f>IFERROR(INDEX('Blackout Brand Fam Areas (Enc)'!$D$6:$D$998,MATCH(UPPER(A1188)&amp;"|"&amp;UPPER(B1188),'Blackout Brand Fam Areas (Enc)'!$G$6:$G$998,0)),"No Match")</f>
        <v>Inactive</v>
      </c>
      <c r="F1188" s="2" t="str">
        <f t="shared" si="36"/>
        <v>THEM</v>
      </c>
      <c r="G1188" s="2" t="str">
        <f t="shared" si="37"/>
        <v>Red Stripe|SUSSEX</v>
      </c>
    </row>
    <row r="1189" spans="1:7" x14ac:dyDescent="0.2">
      <c r="A1189" s="2" t="str" cm="1">
        <f t="array" ref="A1189">INDEX('[1]Brand Family Territory (Enc)'!$A$2:$A$296,INT((ROW()-2)/10)+1)</f>
        <v>Red Stripe</v>
      </c>
      <c r="B1189" s="2" t="str" cm="1">
        <f t="array" ref="B1189">INDEX('Whitelist (Blackout Reverse)'!$B$1:$K$1,MOD(ROW()-2,10)+1)</f>
        <v>MORRIS 1</v>
      </c>
      <c r="C1189" s="2" t="str">
        <f>VLOOKUP(A1189,'[1]Brand Family Territory (Enc)'!$A$2:$B$296,2,FALSE)</f>
        <v>Core + Morris Communities</v>
      </c>
      <c r="D1189" s="2">
        <f>IF(COUNTIFS('[1]Brand Family Territories (Enc)'!$B$2:$B$62,C1189,'[1]Brand Family Territories (Enc)'!$C$2:$C$62,B1189)&gt;0,1,IF(AND(LEFT(B1189,6)="MORRIS",COUNTIFS('[1]Brand Family Territories (Enc)'!$B$2:$B$62,C1189,'[1]Brand Family Territories (Enc)'!$C$2:$C$62,"Morri")&gt;0),"Unk",0))</f>
        <v>1</v>
      </c>
      <c r="E1189" s="2" t="str">
        <f>IFERROR(INDEX('Blackout Brand Fam Areas (Enc)'!$D$6:$D$998,MATCH(UPPER(A1189)&amp;"|"&amp;UPPER(B1189),'Blackout Brand Fam Areas (Enc)'!$G$6:$G$998,0)),"No Match")</f>
        <v>Inactive</v>
      </c>
      <c r="F1189" s="2" t="str">
        <f t="shared" si="36"/>
        <v>THEM</v>
      </c>
      <c r="G1189" s="2" t="str">
        <f t="shared" si="37"/>
        <v>Red Stripe|MORRIS 1</v>
      </c>
    </row>
    <row r="1190" spans="1:7" x14ac:dyDescent="0.2">
      <c r="A1190" s="2" t="str" cm="1">
        <f t="array" ref="A1190">INDEX('[1]Brand Family Territory (Enc)'!$A$2:$A$296,INT((ROW()-2)/10)+1)</f>
        <v>Red Stripe</v>
      </c>
      <c r="B1190" s="2" t="str" cm="1">
        <f t="array" ref="B1190">INDEX('Whitelist (Blackout Reverse)'!$B$1:$K$1,MOD(ROW()-2,10)+1)</f>
        <v>MORRIS 2</v>
      </c>
      <c r="C1190" s="2" t="str">
        <f>VLOOKUP(A1190,'[1]Brand Family Territory (Enc)'!$A$2:$B$296,2,FALSE)</f>
        <v>Core + Morris Communities</v>
      </c>
      <c r="D1190" s="2">
        <f>IF(COUNTIFS('[1]Brand Family Territories (Enc)'!$B$2:$B$62,C1190,'[1]Brand Family Territories (Enc)'!$C$2:$C$62,B1190)&gt;0,1,IF(AND(LEFT(B1190,6)="MORRIS",COUNTIFS('[1]Brand Family Territories (Enc)'!$B$2:$B$62,C1190,'[1]Brand Family Territories (Enc)'!$C$2:$C$62,"Morri")&gt;0),"Unk",0))</f>
        <v>0</v>
      </c>
      <c r="E1190" s="2" t="str">
        <f>IFERROR(INDEX('Blackout Brand Fam Areas (Enc)'!$D$6:$D$998,MATCH(UPPER(A1190)&amp;"|"&amp;UPPER(B1190),'Blackout Brand Fam Areas (Enc)'!$G$6:$G$998,0)),"No Match")</f>
        <v>Inactive</v>
      </c>
      <c r="F1190" s="2" t="str">
        <f t="shared" si="36"/>
        <v>THEM</v>
      </c>
      <c r="G1190" s="2" t="str">
        <f t="shared" si="37"/>
        <v>Red Stripe|MORRIS 2</v>
      </c>
    </row>
    <row r="1191" spans="1:7" x14ac:dyDescent="0.2">
      <c r="A1191" s="2" t="str" cm="1">
        <f t="array" ref="A1191">INDEX('[1]Brand Family Territory (Enc)'!$A$2:$A$296,INT((ROW()-2)/10)+1)</f>
        <v>Red Stripe</v>
      </c>
      <c r="B1191" s="2" t="str" cm="1">
        <f t="array" ref="B1191">INDEX('Whitelist (Blackout Reverse)'!$B$1:$K$1,MOD(ROW()-2,10)+1)</f>
        <v>MORRIS 3</v>
      </c>
      <c r="C1191" s="2" t="str">
        <f>VLOOKUP(A1191,'[1]Brand Family Territory (Enc)'!$A$2:$B$296,2,FALSE)</f>
        <v>Core + Morris Communities</v>
      </c>
      <c r="D1191" s="2">
        <f>IF(COUNTIFS('[1]Brand Family Territories (Enc)'!$B$2:$B$62,C1191,'[1]Brand Family Territories (Enc)'!$C$2:$C$62,B1191)&gt;0,1,IF(AND(LEFT(B1191,6)="MORRIS",COUNTIFS('[1]Brand Family Territories (Enc)'!$B$2:$B$62,C1191,'[1]Brand Family Territories (Enc)'!$C$2:$C$62,"Morri")&gt;0),"Unk",0))</f>
        <v>1</v>
      </c>
      <c r="E1191" s="2" t="str">
        <f>IFERROR(INDEX('Blackout Brand Fam Areas (Enc)'!$D$6:$D$998,MATCH(UPPER(A1191)&amp;"|"&amp;UPPER(B1191),'Blackout Brand Fam Areas (Enc)'!$G$6:$G$998,0)),"No Match")</f>
        <v>No Match</v>
      </c>
      <c r="F1191" s="2" t="str">
        <f t="shared" si="36"/>
        <v>US</v>
      </c>
      <c r="G1191" s="2" t="str">
        <f t="shared" si="37"/>
        <v>Red Stripe|MORRIS 3</v>
      </c>
    </row>
    <row r="1192" spans="1:7" x14ac:dyDescent="0.2">
      <c r="A1192" s="2" t="str" cm="1">
        <f t="array" ref="A1192">INDEX('[1]Brand Family Territory (Enc)'!$A$2:$A$296,INT((ROW()-2)/10)+1)</f>
        <v>Sagres Cerveja</v>
      </c>
      <c r="B1192" s="2" t="str" cm="1">
        <f t="array" ref="B1192">INDEX('Whitelist (Blackout Reverse)'!$B$1:$K$1,MOD(ROW()-2,10)+1)</f>
        <v>BERGEN</v>
      </c>
      <c r="C1192" s="2" t="str">
        <f>VLOOKUP(A1192,'[1]Brand Family Territory (Enc)'!$A$2:$B$296,2,FALSE)</f>
        <v>Core + Morris Communities</v>
      </c>
      <c r="D1192" s="2">
        <f>IF(COUNTIFS('[1]Brand Family Territories (Enc)'!$B$2:$B$62,C1192,'[1]Brand Family Territories (Enc)'!$C$2:$C$62,B1192)&gt;0,1,IF(AND(LEFT(B1192,6)="MORRIS",COUNTIFS('[1]Brand Family Territories (Enc)'!$B$2:$B$62,C1192,'[1]Brand Family Territories (Enc)'!$C$2:$C$62,"Morri")&gt;0),"Unk",0))</f>
        <v>1</v>
      </c>
      <c r="E1192" s="2" t="str">
        <f>IFERROR(INDEX('Blackout Brand Fam Areas (Enc)'!$D$6:$D$998,MATCH(UPPER(A1192)&amp;"|"&amp;UPPER(B1192),'Blackout Brand Fam Areas (Enc)'!$G$6:$G$998,0)),"No Match")</f>
        <v>No Match</v>
      </c>
      <c r="F1192" s="2" t="str">
        <f t="shared" si="36"/>
        <v>US</v>
      </c>
      <c r="G1192" s="2" t="str">
        <f t="shared" si="37"/>
        <v>Sagres Cerveja|BERGEN</v>
      </c>
    </row>
    <row r="1193" spans="1:7" x14ac:dyDescent="0.2">
      <c r="A1193" s="2" t="str" cm="1">
        <f t="array" ref="A1193">INDEX('[1]Brand Family Territory (Enc)'!$A$2:$A$296,INT((ROW()-2)/10)+1)</f>
        <v>Sagres Cerveja</v>
      </c>
      <c r="B1193" s="2" t="str" cm="1">
        <f t="array" ref="B1193">INDEX('Whitelist (Blackout Reverse)'!$B$1:$K$1,MOD(ROW()-2,10)+1)</f>
        <v>PASSAIC</v>
      </c>
      <c r="C1193" s="2" t="str">
        <f>VLOOKUP(A1193,'[1]Brand Family Territory (Enc)'!$A$2:$B$296,2,FALSE)</f>
        <v>Core + Morris Communities</v>
      </c>
      <c r="D1193" s="2">
        <f>IF(COUNTIFS('[1]Brand Family Territories (Enc)'!$B$2:$B$62,C1193,'[1]Brand Family Territories (Enc)'!$C$2:$C$62,B1193)&gt;0,1,IF(AND(LEFT(B1193,6)="MORRIS",COUNTIFS('[1]Brand Family Territories (Enc)'!$B$2:$B$62,C1193,'[1]Brand Family Territories (Enc)'!$C$2:$C$62,"Morri")&gt;0),"Unk",0))</f>
        <v>1</v>
      </c>
      <c r="E1193" s="2" t="str">
        <f>IFERROR(INDEX('Blackout Brand Fam Areas (Enc)'!$D$6:$D$998,MATCH(UPPER(A1193)&amp;"|"&amp;UPPER(B1193),'Blackout Brand Fam Areas (Enc)'!$G$6:$G$998,0)),"No Match")</f>
        <v>No Match</v>
      </c>
      <c r="F1193" s="2" t="str">
        <f t="shared" si="36"/>
        <v>US</v>
      </c>
      <c r="G1193" s="2" t="str">
        <f t="shared" si="37"/>
        <v>Sagres Cerveja|PASSAIC</v>
      </c>
    </row>
    <row r="1194" spans="1:7" x14ac:dyDescent="0.2">
      <c r="A1194" s="2" t="str" cm="1">
        <f t="array" ref="A1194">INDEX('[1]Brand Family Territory (Enc)'!$A$2:$A$296,INT((ROW()-2)/10)+1)</f>
        <v>Sagres Cerveja</v>
      </c>
      <c r="B1194" s="2" t="str" cm="1">
        <f t="array" ref="B1194">INDEX('Whitelist (Blackout Reverse)'!$B$1:$K$1,MOD(ROW()-2,10)+1)</f>
        <v>PASSAIC-FF</v>
      </c>
      <c r="C1194" s="2" t="str">
        <f>VLOOKUP(A1194,'[1]Brand Family Territory (Enc)'!$A$2:$B$296,2,FALSE)</f>
        <v>Core + Morris Communities</v>
      </c>
      <c r="D1194" s="2">
        <f>IF(COUNTIFS('[1]Brand Family Territories (Enc)'!$B$2:$B$62,C1194,'[1]Brand Family Territories (Enc)'!$C$2:$C$62,B1194)&gt;0,1,IF(AND(LEFT(B1194,6)="MORRIS",COUNTIFS('[1]Brand Family Territories (Enc)'!$B$2:$B$62,C1194,'[1]Brand Family Territories (Enc)'!$C$2:$C$62,"Morri")&gt;0),"Unk",0))</f>
        <v>1</v>
      </c>
      <c r="E1194" s="2" t="str">
        <f>IFERROR(INDEX('Blackout Brand Fam Areas (Enc)'!$D$6:$D$998,MATCH(UPPER(A1194)&amp;"|"&amp;UPPER(B1194),'Blackout Brand Fam Areas (Enc)'!$G$6:$G$998,0)),"No Match")</f>
        <v>No Match</v>
      </c>
      <c r="F1194" s="2" t="str">
        <f t="shared" si="36"/>
        <v>US</v>
      </c>
      <c r="G1194" s="2" t="str">
        <f t="shared" si="37"/>
        <v>Sagres Cerveja|PASSAIC-FF</v>
      </c>
    </row>
    <row r="1195" spans="1:7" x14ac:dyDescent="0.2">
      <c r="A1195" s="2" t="str" cm="1">
        <f t="array" ref="A1195">INDEX('[1]Brand Family Territory (Enc)'!$A$2:$A$296,INT((ROW()-2)/10)+1)</f>
        <v>Sagres Cerveja</v>
      </c>
      <c r="B1195" s="2" t="str" cm="1">
        <f t="array" ref="B1195">INDEX('Whitelist (Blackout Reverse)'!$B$1:$K$1,MOD(ROW()-2,10)+1)</f>
        <v>ESSEX</v>
      </c>
      <c r="C1195" s="2" t="str">
        <f>VLOOKUP(A1195,'[1]Brand Family Territory (Enc)'!$A$2:$B$296,2,FALSE)</f>
        <v>Core + Morris Communities</v>
      </c>
      <c r="D1195" s="2">
        <f>IF(COUNTIFS('[1]Brand Family Territories (Enc)'!$B$2:$B$62,C1195,'[1]Brand Family Territories (Enc)'!$C$2:$C$62,B1195)&gt;0,1,IF(AND(LEFT(B1195,6)="MORRIS",COUNTIFS('[1]Brand Family Territories (Enc)'!$B$2:$B$62,C1195,'[1]Brand Family Territories (Enc)'!$C$2:$C$62,"Morri")&gt;0),"Unk",0))</f>
        <v>0</v>
      </c>
      <c r="E1195" s="2" t="str">
        <f>IFERROR(INDEX('Blackout Brand Fam Areas (Enc)'!$D$6:$D$998,MATCH(UPPER(A1195)&amp;"|"&amp;UPPER(B1195),'Blackout Brand Fam Areas (Enc)'!$G$6:$G$998,0)),"No Match")</f>
        <v>Inactive</v>
      </c>
      <c r="F1195" s="2" t="str">
        <f t="shared" si="36"/>
        <v>THEM</v>
      </c>
      <c r="G1195" s="2" t="str">
        <f t="shared" si="37"/>
        <v>Sagres Cerveja|ESSEX</v>
      </c>
    </row>
    <row r="1196" spans="1:7" x14ac:dyDescent="0.2">
      <c r="A1196" s="2" t="str" cm="1">
        <f t="array" ref="A1196">INDEX('[1]Brand Family Territory (Enc)'!$A$2:$A$296,INT((ROW()-2)/10)+1)</f>
        <v>Sagres Cerveja</v>
      </c>
      <c r="B1196" s="2" t="str" cm="1">
        <f t="array" ref="B1196">INDEX('Whitelist (Blackout Reverse)'!$B$1:$K$1,MOD(ROW()-2,10)+1)</f>
        <v>HUDSON</v>
      </c>
      <c r="C1196" s="2" t="str">
        <f>VLOOKUP(A1196,'[1]Brand Family Territory (Enc)'!$A$2:$B$296,2,FALSE)</f>
        <v>Core + Morris Communities</v>
      </c>
      <c r="D1196" s="2">
        <f>IF(COUNTIFS('[1]Brand Family Territories (Enc)'!$B$2:$B$62,C1196,'[1]Brand Family Territories (Enc)'!$C$2:$C$62,B1196)&gt;0,1,IF(AND(LEFT(B1196,6)="MORRIS",COUNTIFS('[1]Brand Family Territories (Enc)'!$B$2:$B$62,C1196,'[1]Brand Family Territories (Enc)'!$C$2:$C$62,"Morri")&gt;0),"Unk",0))</f>
        <v>0</v>
      </c>
      <c r="E1196" s="2" t="str">
        <f>IFERROR(INDEX('Blackout Brand Fam Areas (Enc)'!$D$6:$D$998,MATCH(UPPER(A1196)&amp;"|"&amp;UPPER(B1196),'Blackout Brand Fam Areas (Enc)'!$G$6:$G$998,0)),"No Match")</f>
        <v>Inactive</v>
      </c>
      <c r="F1196" s="2" t="str">
        <f t="shared" si="36"/>
        <v>THEM</v>
      </c>
      <c r="G1196" s="2" t="str">
        <f t="shared" si="37"/>
        <v>Sagres Cerveja|HUDSON</v>
      </c>
    </row>
    <row r="1197" spans="1:7" x14ac:dyDescent="0.2">
      <c r="A1197" s="2" t="str" cm="1">
        <f t="array" ref="A1197">INDEX('[1]Brand Family Territory (Enc)'!$A$2:$A$296,INT((ROW()-2)/10)+1)</f>
        <v>Sagres Cerveja</v>
      </c>
      <c r="B1197" s="2" t="str" cm="1">
        <f t="array" ref="B1197">INDEX('Whitelist (Blackout Reverse)'!$B$1:$K$1,MOD(ROW()-2,10)+1)</f>
        <v>UNION</v>
      </c>
      <c r="C1197" s="2" t="str">
        <f>VLOOKUP(A1197,'[1]Brand Family Territory (Enc)'!$A$2:$B$296,2,FALSE)</f>
        <v>Core + Morris Communities</v>
      </c>
      <c r="D1197" s="2">
        <f>IF(COUNTIFS('[1]Brand Family Territories (Enc)'!$B$2:$B$62,C1197,'[1]Brand Family Territories (Enc)'!$C$2:$C$62,B1197)&gt;0,1,IF(AND(LEFT(B1197,6)="MORRIS",COUNTIFS('[1]Brand Family Territories (Enc)'!$B$2:$B$62,C1197,'[1]Brand Family Territories (Enc)'!$C$2:$C$62,"Morri")&gt;0),"Unk",0))</f>
        <v>0</v>
      </c>
      <c r="E1197" s="2" t="str">
        <f>IFERROR(INDEX('Blackout Brand Fam Areas (Enc)'!$D$6:$D$998,MATCH(UPPER(A1197)&amp;"|"&amp;UPPER(B1197),'Blackout Brand Fam Areas (Enc)'!$G$6:$G$998,0)),"No Match")</f>
        <v>Inactive</v>
      </c>
      <c r="F1197" s="2" t="str">
        <f t="shared" si="36"/>
        <v>THEM</v>
      </c>
      <c r="G1197" s="2" t="str">
        <f t="shared" si="37"/>
        <v>Sagres Cerveja|UNION</v>
      </c>
    </row>
    <row r="1198" spans="1:7" x14ac:dyDescent="0.2">
      <c r="A1198" s="2" t="str" cm="1">
        <f t="array" ref="A1198">INDEX('[1]Brand Family Territory (Enc)'!$A$2:$A$296,INT((ROW()-2)/10)+1)</f>
        <v>Sagres Cerveja</v>
      </c>
      <c r="B1198" s="2" t="str" cm="1">
        <f t="array" ref="B1198">INDEX('Whitelist (Blackout Reverse)'!$B$1:$K$1,MOD(ROW()-2,10)+1)</f>
        <v>SUSSEX</v>
      </c>
      <c r="C1198" s="2" t="str">
        <f>VLOOKUP(A1198,'[1]Brand Family Territory (Enc)'!$A$2:$B$296,2,FALSE)</f>
        <v>Core + Morris Communities</v>
      </c>
      <c r="D1198" s="2">
        <f>IF(COUNTIFS('[1]Brand Family Territories (Enc)'!$B$2:$B$62,C1198,'[1]Brand Family Territories (Enc)'!$C$2:$C$62,B1198)&gt;0,1,IF(AND(LEFT(B1198,6)="MORRIS",COUNTIFS('[1]Brand Family Territories (Enc)'!$B$2:$B$62,C1198,'[1]Brand Family Territories (Enc)'!$C$2:$C$62,"Morri")&gt;0),"Unk",0))</f>
        <v>0</v>
      </c>
      <c r="E1198" s="2" t="str">
        <f>IFERROR(INDEX('Blackout Brand Fam Areas (Enc)'!$D$6:$D$998,MATCH(UPPER(A1198)&amp;"|"&amp;UPPER(B1198),'Blackout Brand Fam Areas (Enc)'!$G$6:$G$998,0)),"No Match")</f>
        <v>Inactive</v>
      </c>
      <c r="F1198" s="2" t="str">
        <f t="shared" si="36"/>
        <v>THEM</v>
      </c>
      <c r="G1198" s="2" t="str">
        <f t="shared" si="37"/>
        <v>Sagres Cerveja|SUSSEX</v>
      </c>
    </row>
    <row r="1199" spans="1:7" x14ac:dyDescent="0.2">
      <c r="A1199" s="2" t="str" cm="1">
        <f t="array" ref="A1199">INDEX('[1]Brand Family Territory (Enc)'!$A$2:$A$296,INT((ROW()-2)/10)+1)</f>
        <v>Sagres Cerveja</v>
      </c>
      <c r="B1199" s="2" t="str" cm="1">
        <f t="array" ref="B1199">INDEX('Whitelist (Blackout Reverse)'!$B$1:$K$1,MOD(ROW()-2,10)+1)</f>
        <v>MORRIS 1</v>
      </c>
      <c r="C1199" s="2" t="str">
        <f>VLOOKUP(A1199,'[1]Brand Family Territory (Enc)'!$A$2:$B$296,2,FALSE)</f>
        <v>Core + Morris Communities</v>
      </c>
      <c r="D1199" s="2">
        <f>IF(COUNTIFS('[1]Brand Family Territories (Enc)'!$B$2:$B$62,C1199,'[1]Brand Family Territories (Enc)'!$C$2:$C$62,B1199)&gt;0,1,IF(AND(LEFT(B1199,6)="MORRIS",COUNTIFS('[1]Brand Family Territories (Enc)'!$B$2:$B$62,C1199,'[1]Brand Family Territories (Enc)'!$C$2:$C$62,"Morri")&gt;0),"Unk",0))</f>
        <v>1</v>
      </c>
      <c r="E1199" s="2" t="str">
        <f>IFERROR(INDEX('Blackout Brand Fam Areas (Enc)'!$D$6:$D$998,MATCH(UPPER(A1199)&amp;"|"&amp;UPPER(B1199),'Blackout Brand Fam Areas (Enc)'!$G$6:$G$998,0)),"No Match")</f>
        <v>Inactive</v>
      </c>
      <c r="F1199" s="2" t="str">
        <f t="shared" si="36"/>
        <v>THEM</v>
      </c>
      <c r="G1199" s="2" t="str">
        <f t="shared" si="37"/>
        <v>Sagres Cerveja|MORRIS 1</v>
      </c>
    </row>
    <row r="1200" spans="1:7" x14ac:dyDescent="0.2">
      <c r="A1200" s="2" t="str" cm="1">
        <f t="array" ref="A1200">INDEX('[1]Brand Family Territory (Enc)'!$A$2:$A$296,INT((ROW()-2)/10)+1)</f>
        <v>Sagres Cerveja</v>
      </c>
      <c r="B1200" s="2" t="str" cm="1">
        <f t="array" ref="B1200">INDEX('Whitelist (Blackout Reverse)'!$B$1:$K$1,MOD(ROW()-2,10)+1)</f>
        <v>MORRIS 2</v>
      </c>
      <c r="C1200" s="2" t="str">
        <f>VLOOKUP(A1200,'[1]Brand Family Territory (Enc)'!$A$2:$B$296,2,FALSE)</f>
        <v>Core + Morris Communities</v>
      </c>
      <c r="D1200" s="2">
        <f>IF(COUNTIFS('[1]Brand Family Territories (Enc)'!$B$2:$B$62,C1200,'[1]Brand Family Territories (Enc)'!$C$2:$C$62,B1200)&gt;0,1,IF(AND(LEFT(B1200,6)="MORRIS",COUNTIFS('[1]Brand Family Territories (Enc)'!$B$2:$B$62,C1200,'[1]Brand Family Territories (Enc)'!$C$2:$C$62,"Morri")&gt;0),"Unk",0))</f>
        <v>0</v>
      </c>
      <c r="E1200" s="2" t="str">
        <f>IFERROR(INDEX('Blackout Brand Fam Areas (Enc)'!$D$6:$D$998,MATCH(UPPER(A1200)&amp;"|"&amp;UPPER(B1200),'Blackout Brand Fam Areas (Enc)'!$G$6:$G$998,0)),"No Match")</f>
        <v>Inactive</v>
      </c>
      <c r="F1200" s="2" t="str">
        <f t="shared" si="36"/>
        <v>THEM</v>
      </c>
      <c r="G1200" s="2" t="str">
        <f t="shared" si="37"/>
        <v>Sagres Cerveja|MORRIS 2</v>
      </c>
    </row>
    <row r="1201" spans="1:7" x14ac:dyDescent="0.2">
      <c r="A1201" s="2" t="str" cm="1">
        <f t="array" ref="A1201">INDEX('[1]Brand Family Territory (Enc)'!$A$2:$A$296,INT((ROW()-2)/10)+1)</f>
        <v>Sagres Cerveja</v>
      </c>
      <c r="B1201" s="2" t="str" cm="1">
        <f t="array" ref="B1201">INDEX('Whitelist (Blackout Reverse)'!$B$1:$K$1,MOD(ROW()-2,10)+1)</f>
        <v>MORRIS 3</v>
      </c>
      <c r="C1201" s="2" t="str">
        <f>VLOOKUP(A1201,'[1]Brand Family Territory (Enc)'!$A$2:$B$296,2,FALSE)</f>
        <v>Core + Morris Communities</v>
      </c>
      <c r="D1201" s="2">
        <f>IF(COUNTIFS('[1]Brand Family Territories (Enc)'!$B$2:$B$62,C1201,'[1]Brand Family Territories (Enc)'!$C$2:$C$62,B1201)&gt;0,1,IF(AND(LEFT(B1201,6)="MORRIS",COUNTIFS('[1]Brand Family Territories (Enc)'!$B$2:$B$62,C1201,'[1]Brand Family Territories (Enc)'!$C$2:$C$62,"Morri")&gt;0),"Unk",0))</f>
        <v>1</v>
      </c>
      <c r="E1201" s="2" t="str">
        <f>IFERROR(INDEX('Blackout Brand Fam Areas (Enc)'!$D$6:$D$998,MATCH(UPPER(A1201)&amp;"|"&amp;UPPER(B1201),'Blackout Brand Fam Areas (Enc)'!$G$6:$G$998,0)),"No Match")</f>
        <v>No Match</v>
      </c>
      <c r="F1201" s="2" t="str">
        <f t="shared" si="36"/>
        <v>US</v>
      </c>
      <c r="G1201" s="2" t="str">
        <f t="shared" si="37"/>
        <v>Sagres Cerveja|MORRIS 3</v>
      </c>
    </row>
    <row r="1202" spans="1:7" x14ac:dyDescent="0.2">
      <c r="A1202" s="2" t="str" cm="1">
        <f t="array" ref="A1202">INDEX('[1]Brand Family Territory (Enc)'!$A$2:$A$296,INT((ROW()-2)/10)+1)</f>
        <v>Strongbow</v>
      </c>
      <c r="B1202" s="2" t="str" cm="1">
        <f t="array" ref="B1202">INDEX('Whitelist (Blackout Reverse)'!$B$1:$K$1,MOD(ROW()-2,10)+1)</f>
        <v>BERGEN</v>
      </c>
      <c r="C1202" s="2" t="str">
        <f>VLOOKUP(A1202,'[1]Brand Family Territory (Enc)'!$A$2:$B$296,2,FALSE)</f>
        <v>Core + Morris Communities</v>
      </c>
      <c r="D1202" s="2">
        <f>IF(COUNTIFS('[1]Brand Family Territories (Enc)'!$B$2:$B$62,C1202,'[1]Brand Family Territories (Enc)'!$C$2:$C$62,B1202)&gt;0,1,IF(AND(LEFT(B1202,6)="MORRIS",COUNTIFS('[1]Brand Family Territories (Enc)'!$B$2:$B$62,C1202,'[1]Brand Family Territories (Enc)'!$C$2:$C$62,"Morri")&gt;0),"Unk",0))</f>
        <v>1</v>
      </c>
      <c r="E1202" s="2" t="str">
        <f>IFERROR(INDEX('Blackout Brand Fam Areas (Enc)'!$D$6:$D$998,MATCH(UPPER(A1202)&amp;"|"&amp;UPPER(B1202),'Blackout Brand Fam Areas (Enc)'!$G$6:$G$998,0)),"No Match")</f>
        <v>No Match</v>
      </c>
      <c r="F1202" s="2" t="str">
        <f t="shared" si="36"/>
        <v>US</v>
      </c>
      <c r="G1202" s="2" t="str">
        <f t="shared" si="37"/>
        <v>Strongbow|BERGEN</v>
      </c>
    </row>
    <row r="1203" spans="1:7" x14ac:dyDescent="0.2">
      <c r="A1203" s="2" t="str" cm="1">
        <f t="array" ref="A1203">INDEX('[1]Brand Family Territory (Enc)'!$A$2:$A$296,INT((ROW()-2)/10)+1)</f>
        <v>Strongbow</v>
      </c>
      <c r="B1203" s="2" t="str" cm="1">
        <f t="array" ref="B1203">INDEX('Whitelist (Blackout Reverse)'!$B$1:$K$1,MOD(ROW()-2,10)+1)</f>
        <v>PASSAIC</v>
      </c>
      <c r="C1203" s="2" t="str">
        <f>VLOOKUP(A1203,'[1]Brand Family Territory (Enc)'!$A$2:$B$296,2,FALSE)</f>
        <v>Core + Morris Communities</v>
      </c>
      <c r="D1203" s="2">
        <f>IF(COUNTIFS('[1]Brand Family Territories (Enc)'!$B$2:$B$62,C1203,'[1]Brand Family Territories (Enc)'!$C$2:$C$62,B1203)&gt;0,1,IF(AND(LEFT(B1203,6)="MORRIS",COUNTIFS('[1]Brand Family Territories (Enc)'!$B$2:$B$62,C1203,'[1]Brand Family Territories (Enc)'!$C$2:$C$62,"Morri")&gt;0),"Unk",0))</f>
        <v>1</v>
      </c>
      <c r="E1203" s="2" t="str">
        <f>IFERROR(INDEX('Blackout Brand Fam Areas (Enc)'!$D$6:$D$998,MATCH(UPPER(A1203)&amp;"|"&amp;UPPER(B1203),'Blackout Brand Fam Areas (Enc)'!$G$6:$G$998,0)),"No Match")</f>
        <v>No Match</v>
      </c>
      <c r="F1203" s="2" t="str">
        <f t="shared" si="36"/>
        <v>US</v>
      </c>
      <c r="G1203" s="2" t="str">
        <f t="shared" si="37"/>
        <v>Strongbow|PASSAIC</v>
      </c>
    </row>
    <row r="1204" spans="1:7" x14ac:dyDescent="0.2">
      <c r="A1204" s="2" t="str" cm="1">
        <f t="array" ref="A1204">INDEX('[1]Brand Family Territory (Enc)'!$A$2:$A$296,INT((ROW()-2)/10)+1)</f>
        <v>Strongbow</v>
      </c>
      <c r="B1204" s="2" t="str" cm="1">
        <f t="array" ref="B1204">INDEX('Whitelist (Blackout Reverse)'!$B$1:$K$1,MOD(ROW()-2,10)+1)</f>
        <v>PASSAIC-FF</v>
      </c>
      <c r="C1204" s="2" t="str">
        <f>VLOOKUP(A1204,'[1]Brand Family Territory (Enc)'!$A$2:$B$296,2,FALSE)</f>
        <v>Core + Morris Communities</v>
      </c>
      <c r="D1204" s="2">
        <f>IF(COUNTIFS('[1]Brand Family Territories (Enc)'!$B$2:$B$62,C1204,'[1]Brand Family Territories (Enc)'!$C$2:$C$62,B1204)&gt;0,1,IF(AND(LEFT(B1204,6)="MORRIS",COUNTIFS('[1]Brand Family Territories (Enc)'!$B$2:$B$62,C1204,'[1]Brand Family Territories (Enc)'!$C$2:$C$62,"Morri")&gt;0),"Unk",0))</f>
        <v>1</v>
      </c>
      <c r="E1204" s="2" t="str">
        <f>IFERROR(INDEX('Blackout Brand Fam Areas (Enc)'!$D$6:$D$998,MATCH(UPPER(A1204)&amp;"|"&amp;UPPER(B1204),'Blackout Brand Fam Areas (Enc)'!$G$6:$G$998,0)),"No Match")</f>
        <v>No Match</v>
      </c>
      <c r="F1204" s="2" t="str">
        <f t="shared" si="36"/>
        <v>US</v>
      </c>
      <c r="G1204" s="2" t="str">
        <f t="shared" si="37"/>
        <v>Strongbow|PASSAIC-FF</v>
      </c>
    </row>
    <row r="1205" spans="1:7" x14ac:dyDescent="0.2">
      <c r="A1205" s="2" t="str" cm="1">
        <f t="array" ref="A1205">INDEX('[1]Brand Family Territory (Enc)'!$A$2:$A$296,INT((ROW()-2)/10)+1)</f>
        <v>Strongbow</v>
      </c>
      <c r="B1205" s="2" t="str" cm="1">
        <f t="array" ref="B1205">INDEX('Whitelist (Blackout Reverse)'!$B$1:$K$1,MOD(ROW()-2,10)+1)</f>
        <v>ESSEX</v>
      </c>
      <c r="C1205" s="2" t="str">
        <f>VLOOKUP(A1205,'[1]Brand Family Territory (Enc)'!$A$2:$B$296,2,FALSE)</f>
        <v>Core + Morris Communities</v>
      </c>
      <c r="D1205" s="2">
        <f>IF(COUNTIFS('[1]Brand Family Territories (Enc)'!$B$2:$B$62,C1205,'[1]Brand Family Territories (Enc)'!$C$2:$C$62,B1205)&gt;0,1,IF(AND(LEFT(B1205,6)="MORRIS",COUNTIFS('[1]Brand Family Territories (Enc)'!$B$2:$B$62,C1205,'[1]Brand Family Territories (Enc)'!$C$2:$C$62,"Morri")&gt;0),"Unk",0))</f>
        <v>0</v>
      </c>
      <c r="E1205" s="2" t="str">
        <f>IFERROR(INDEX('Blackout Brand Fam Areas (Enc)'!$D$6:$D$998,MATCH(UPPER(A1205)&amp;"|"&amp;UPPER(B1205),'Blackout Brand Fam Areas (Enc)'!$G$6:$G$998,0)),"No Match")</f>
        <v>Inactive</v>
      </c>
      <c r="F1205" s="2" t="str">
        <f t="shared" si="36"/>
        <v>THEM</v>
      </c>
      <c r="G1205" s="2" t="str">
        <f t="shared" si="37"/>
        <v>Strongbow|ESSEX</v>
      </c>
    </row>
    <row r="1206" spans="1:7" x14ac:dyDescent="0.2">
      <c r="A1206" s="2" t="str" cm="1">
        <f t="array" ref="A1206">INDEX('[1]Brand Family Territory (Enc)'!$A$2:$A$296,INT((ROW()-2)/10)+1)</f>
        <v>Strongbow</v>
      </c>
      <c r="B1206" s="2" t="str" cm="1">
        <f t="array" ref="B1206">INDEX('Whitelist (Blackout Reverse)'!$B$1:$K$1,MOD(ROW()-2,10)+1)</f>
        <v>HUDSON</v>
      </c>
      <c r="C1206" s="2" t="str">
        <f>VLOOKUP(A1206,'[1]Brand Family Territory (Enc)'!$A$2:$B$296,2,FALSE)</f>
        <v>Core + Morris Communities</v>
      </c>
      <c r="D1206" s="2">
        <f>IF(COUNTIFS('[1]Brand Family Territories (Enc)'!$B$2:$B$62,C1206,'[1]Brand Family Territories (Enc)'!$C$2:$C$62,B1206)&gt;0,1,IF(AND(LEFT(B1206,6)="MORRIS",COUNTIFS('[1]Brand Family Territories (Enc)'!$B$2:$B$62,C1206,'[1]Brand Family Territories (Enc)'!$C$2:$C$62,"Morri")&gt;0),"Unk",0))</f>
        <v>0</v>
      </c>
      <c r="E1206" s="2" t="str">
        <f>IFERROR(INDEX('Blackout Brand Fam Areas (Enc)'!$D$6:$D$998,MATCH(UPPER(A1206)&amp;"|"&amp;UPPER(B1206),'Blackout Brand Fam Areas (Enc)'!$G$6:$G$998,0)),"No Match")</f>
        <v>Inactive</v>
      </c>
      <c r="F1206" s="2" t="str">
        <f t="shared" si="36"/>
        <v>THEM</v>
      </c>
      <c r="G1206" s="2" t="str">
        <f t="shared" si="37"/>
        <v>Strongbow|HUDSON</v>
      </c>
    </row>
    <row r="1207" spans="1:7" x14ac:dyDescent="0.2">
      <c r="A1207" s="2" t="str" cm="1">
        <f t="array" ref="A1207">INDEX('[1]Brand Family Territory (Enc)'!$A$2:$A$296,INT((ROW()-2)/10)+1)</f>
        <v>Strongbow</v>
      </c>
      <c r="B1207" s="2" t="str" cm="1">
        <f t="array" ref="B1207">INDEX('Whitelist (Blackout Reverse)'!$B$1:$K$1,MOD(ROW()-2,10)+1)</f>
        <v>UNION</v>
      </c>
      <c r="C1207" s="2" t="str">
        <f>VLOOKUP(A1207,'[1]Brand Family Territory (Enc)'!$A$2:$B$296,2,FALSE)</f>
        <v>Core + Morris Communities</v>
      </c>
      <c r="D1207" s="2">
        <f>IF(COUNTIFS('[1]Brand Family Territories (Enc)'!$B$2:$B$62,C1207,'[1]Brand Family Territories (Enc)'!$C$2:$C$62,B1207)&gt;0,1,IF(AND(LEFT(B1207,6)="MORRIS",COUNTIFS('[1]Brand Family Territories (Enc)'!$B$2:$B$62,C1207,'[1]Brand Family Territories (Enc)'!$C$2:$C$62,"Morri")&gt;0),"Unk",0))</f>
        <v>0</v>
      </c>
      <c r="E1207" s="2" t="str">
        <f>IFERROR(INDEX('Blackout Brand Fam Areas (Enc)'!$D$6:$D$998,MATCH(UPPER(A1207)&amp;"|"&amp;UPPER(B1207),'Blackout Brand Fam Areas (Enc)'!$G$6:$G$998,0)),"No Match")</f>
        <v>Inactive</v>
      </c>
      <c r="F1207" s="2" t="str">
        <f t="shared" si="36"/>
        <v>THEM</v>
      </c>
      <c r="G1207" s="2" t="str">
        <f t="shared" si="37"/>
        <v>Strongbow|UNION</v>
      </c>
    </row>
    <row r="1208" spans="1:7" x14ac:dyDescent="0.2">
      <c r="A1208" s="2" t="str" cm="1">
        <f t="array" ref="A1208">INDEX('[1]Brand Family Territory (Enc)'!$A$2:$A$296,INT((ROW()-2)/10)+1)</f>
        <v>Strongbow</v>
      </c>
      <c r="B1208" s="2" t="str" cm="1">
        <f t="array" ref="B1208">INDEX('Whitelist (Blackout Reverse)'!$B$1:$K$1,MOD(ROW()-2,10)+1)</f>
        <v>SUSSEX</v>
      </c>
      <c r="C1208" s="2" t="str">
        <f>VLOOKUP(A1208,'[1]Brand Family Territory (Enc)'!$A$2:$B$296,2,FALSE)</f>
        <v>Core + Morris Communities</v>
      </c>
      <c r="D1208" s="2">
        <f>IF(COUNTIFS('[1]Brand Family Territories (Enc)'!$B$2:$B$62,C1208,'[1]Brand Family Territories (Enc)'!$C$2:$C$62,B1208)&gt;0,1,IF(AND(LEFT(B1208,6)="MORRIS",COUNTIFS('[1]Brand Family Territories (Enc)'!$B$2:$B$62,C1208,'[1]Brand Family Territories (Enc)'!$C$2:$C$62,"Morri")&gt;0),"Unk",0))</f>
        <v>0</v>
      </c>
      <c r="E1208" s="2" t="str">
        <f>IFERROR(INDEX('Blackout Brand Fam Areas (Enc)'!$D$6:$D$998,MATCH(UPPER(A1208)&amp;"|"&amp;UPPER(B1208),'Blackout Brand Fam Areas (Enc)'!$G$6:$G$998,0)),"No Match")</f>
        <v>Inactive</v>
      </c>
      <c r="F1208" s="2" t="str">
        <f t="shared" si="36"/>
        <v>THEM</v>
      </c>
      <c r="G1208" s="2" t="str">
        <f t="shared" si="37"/>
        <v>Strongbow|SUSSEX</v>
      </c>
    </row>
    <row r="1209" spans="1:7" x14ac:dyDescent="0.2">
      <c r="A1209" s="2" t="str" cm="1">
        <f t="array" ref="A1209">INDEX('[1]Brand Family Territory (Enc)'!$A$2:$A$296,INT((ROW()-2)/10)+1)</f>
        <v>Strongbow</v>
      </c>
      <c r="B1209" s="2" t="str" cm="1">
        <f t="array" ref="B1209">INDEX('Whitelist (Blackout Reverse)'!$B$1:$K$1,MOD(ROW()-2,10)+1)</f>
        <v>MORRIS 1</v>
      </c>
      <c r="C1209" s="2" t="str">
        <f>VLOOKUP(A1209,'[1]Brand Family Territory (Enc)'!$A$2:$B$296,2,FALSE)</f>
        <v>Core + Morris Communities</v>
      </c>
      <c r="D1209" s="2">
        <f>IF(COUNTIFS('[1]Brand Family Territories (Enc)'!$B$2:$B$62,C1209,'[1]Brand Family Territories (Enc)'!$C$2:$C$62,B1209)&gt;0,1,IF(AND(LEFT(B1209,6)="MORRIS",COUNTIFS('[1]Brand Family Territories (Enc)'!$B$2:$B$62,C1209,'[1]Brand Family Territories (Enc)'!$C$2:$C$62,"Morri")&gt;0),"Unk",0))</f>
        <v>1</v>
      </c>
      <c r="E1209" s="2" t="str">
        <f>IFERROR(INDEX('Blackout Brand Fam Areas (Enc)'!$D$6:$D$998,MATCH(UPPER(A1209)&amp;"|"&amp;UPPER(B1209),'Blackout Brand Fam Areas (Enc)'!$G$6:$G$998,0)),"No Match")</f>
        <v>Inactive</v>
      </c>
      <c r="F1209" s="2" t="str">
        <f t="shared" si="36"/>
        <v>THEM</v>
      </c>
      <c r="G1209" s="2" t="str">
        <f t="shared" si="37"/>
        <v>Strongbow|MORRIS 1</v>
      </c>
    </row>
    <row r="1210" spans="1:7" x14ac:dyDescent="0.2">
      <c r="A1210" s="2" t="str" cm="1">
        <f t="array" ref="A1210">INDEX('[1]Brand Family Territory (Enc)'!$A$2:$A$296,INT((ROW()-2)/10)+1)</f>
        <v>Strongbow</v>
      </c>
      <c r="B1210" s="2" t="str" cm="1">
        <f t="array" ref="B1210">INDEX('Whitelist (Blackout Reverse)'!$B$1:$K$1,MOD(ROW()-2,10)+1)</f>
        <v>MORRIS 2</v>
      </c>
      <c r="C1210" s="2" t="str">
        <f>VLOOKUP(A1210,'[1]Brand Family Territory (Enc)'!$A$2:$B$296,2,FALSE)</f>
        <v>Core + Morris Communities</v>
      </c>
      <c r="D1210" s="2">
        <f>IF(COUNTIFS('[1]Brand Family Territories (Enc)'!$B$2:$B$62,C1210,'[1]Brand Family Territories (Enc)'!$C$2:$C$62,B1210)&gt;0,1,IF(AND(LEFT(B1210,6)="MORRIS",COUNTIFS('[1]Brand Family Territories (Enc)'!$B$2:$B$62,C1210,'[1]Brand Family Territories (Enc)'!$C$2:$C$62,"Morri")&gt;0),"Unk",0))</f>
        <v>0</v>
      </c>
      <c r="E1210" s="2" t="str">
        <f>IFERROR(INDEX('Blackout Brand Fam Areas (Enc)'!$D$6:$D$998,MATCH(UPPER(A1210)&amp;"|"&amp;UPPER(B1210),'Blackout Brand Fam Areas (Enc)'!$G$6:$G$998,0)),"No Match")</f>
        <v>Inactive</v>
      </c>
      <c r="F1210" s="2" t="str">
        <f t="shared" si="36"/>
        <v>THEM</v>
      </c>
      <c r="G1210" s="2" t="str">
        <f t="shared" si="37"/>
        <v>Strongbow|MORRIS 2</v>
      </c>
    </row>
    <row r="1211" spans="1:7" x14ac:dyDescent="0.2">
      <c r="A1211" s="2" t="str" cm="1">
        <f t="array" ref="A1211">INDEX('[1]Brand Family Territory (Enc)'!$A$2:$A$296,INT((ROW()-2)/10)+1)</f>
        <v>Strongbow</v>
      </c>
      <c r="B1211" s="2" t="str" cm="1">
        <f t="array" ref="B1211">INDEX('Whitelist (Blackout Reverse)'!$B$1:$K$1,MOD(ROW()-2,10)+1)</f>
        <v>MORRIS 3</v>
      </c>
      <c r="C1211" s="2" t="str">
        <f>VLOOKUP(A1211,'[1]Brand Family Territory (Enc)'!$A$2:$B$296,2,FALSE)</f>
        <v>Core + Morris Communities</v>
      </c>
      <c r="D1211" s="2">
        <f>IF(COUNTIFS('[1]Brand Family Territories (Enc)'!$B$2:$B$62,C1211,'[1]Brand Family Territories (Enc)'!$C$2:$C$62,B1211)&gt;0,1,IF(AND(LEFT(B1211,6)="MORRIS",COUNTIFS('[1]Brand Family Territories (Enc)'!$B$2:$B$62,C1211,'[1]Brand Family Territories (Enc)'!$C$2:$C$62,"Morri")&gt;0),"Unk",0))</f>
        <v>1</v>
      </c>
      <c r="E1211" s="2" t="str">
        <f>IFERROR(INDEX('Blackout Brand Fam Areas (Enc)'!$D$6:$D$998,MATCH(UPPER(A1211)&amp;"|"&amp;UPPER(B1211),'Blackout Brand Fam Areas (Enc)'!$G$6:$G$998,0)),"No Match")</f>
        <v>No Match</v>
      </c>
      <c r="F1211" s="2" t="str">
        <f t="shared" si="36"/>
        <v>US</v>
      </c>
      <c r="G1211" s="2" t="str">
        <f t="shared" si="37"/>
        <v>Strongbow|MORRIS 3</v>
      </c>
    </row>
    <row r="1212" spans="1:7" x14ac:dyDescent="0.2">
      <c r="A1212" s="2" t="str" cm="1">
        <f t="array" ref="A1212">INDEX('[1]Brand Family Territory (Enc)'!$A$2:$A$296,INT((ROW()-2)/10)+1)</f>
        <v>1911 Hard Cider</v>
      </c>
      <c r="B1212" s="2" t="str" cm="1">
        <f t="array" ref="B1212">INDEX('Whitelist (Blackout Reverse)'!$B$1:$K$1,MOD(ROW()-2,10)+1)</f>
        <v>BERGEN</v>
      </c>
      <c r="C1212" s="2" t="str">
        <f>VLOOKUP(A1212,'[1]Brand Family Territory (Enc)'!$A$2:$B$296,2,FALSE)</f>
        <v>All Counties</v>
      </c>
      <c r="D1212" s="2">
        <f>IF(COUNTIFS('[1]Brand Family Territories (Enc)'!$B$2:$B$62,C1212,'[1]Brand Family Territories (Enc)'!$C$2:$C$62,B1212)&gt;0,1,IF(AND(LEFT(B1212,6)="MORRIS",COUNTIFS('[1]Brand Family Territories (Enc)'!$B$2:$B$62,C1212,'[1]Brand Family Territories (Enc)'!$C$2:$C$62,"Morri")&gt;0),"Unk",0))</f>
        <v>1</v>
      </c>
      <c r="E1212" s="2" t="str">
        <f>IFERROR(INDEX('Blackout Brand Fam Areas (Enc)'!$D$6:$D$998,MATCH(UPPER(A1212)&amp;"|"&amp;UPPER(B1212),'Blackout Brand Fam Areas (Enc)'!$G$6:$G$998,0)),"No Match")</f>
        <v>No Match</v>
      </c>
      <c r="F1212" s="2" t="str">
        <f t="shared" si="36"/>
        <v>US</v>
      </c>
      <c r="G1212" s="2" t="str">
        <f t="shared" si="37"/>
        <v>1911 Hard Cider|BERGEN</v>
      </c>
    </row>
    <row r="1213" spans="1:7" x14ac:dyDescent="0.2">
      <c r="A1213" s="2" t="str" cm="1">
        <f t="array" ref="A1213">INDEX('[1]Brand Family Territory (Enc)'!$A$2:$A$296,INT((ROW()-2)/10)+1)</f>
        <v>1911 Hard Cider</v>
      </c>
      <c r="B1213" s="2" t="str" cm="1">
        <f t="array" ref="B1213">INDEX('Whitelist (Blackout Reverse)'!$B$1:$K$1,MOD(ROW()-2,10)+1)</f>
        <v>PASSAIC</v>
      </c>
      <c r="C1213" s="2" t="str">
        <f>VLOOKUP(A1213,'[1]Brand Family Territory (Enc)'!$A$2:$B$296,2,FALSE)</f>
        <v>All Counties</v>
      </c>
      <c r="D1213" s="2">
        <f>IF(COUNTIFS('[1]Brand Family Territories (Enc)'!$B$2:$B$62,C1213,'[1]Brand Family Territories (Enc)'!$C$2:$C$62,B1213)&gt;0,1,IF(AND(LEFT(B1213,6)="MORRIS",COUNTIFS('[1]Brand Family Territories (Enc)'!$B$2:$B$62,C1213,'[1]Brand Family Territories (Enc)'!$C$2:$C$62,"Morri")&gt;0),"Unk",0))</f>
        <v>1</v>
      </c>
      <c r="E1213" s="2" t="str">
        <f>IFERROR(INDEX('Blackout Brand Fam Areas (Enc)'!$D$6:$D$998,MATCH(UPPER(A1213)&amp;"|"&amp;UPPER(B1213),'Blackout Brand Fam Areas (Enc)'!$G$6:$G$998,0)),"No Match")</f>
        <v>No Match</v>
      </c>
      <c r="F1213" s="2" t="str">
        <f t="shared" si="36"/>
        <v>US</v>
      </c>
      <c r="G1213" s="2" t="str">
        <f t="shared" si="37"/>
        <v>1911 Hard Cider|PASSAIC</v>
      </c>
    </row>
    <row r="1214" spans="1:7" x14ac:dyDescent="0.2">
      <c r="A1214" s="2" t="str" cm="1">
        <f t="array" ref="A1214">INDEX('[1]Brand Family Territory (Enc)'!$A$2:$A$296,INT((ROW()-2)/10)+1)</f>
        <v>1911 Hard Cider</v>
      </c>
      <c r="B1214" s="2" t="str" cm="1">
        <f t="array" ref="B1214">INDEX('Whitelist (Blackout Reverse)'!$B$1:$K$1,MOD(ROW()-2,10)+1)</f>
        <v>PASSAIC-FF</v>
      </c>
      <c r="C1214" s="2" t="str">
        <f>VLOOKUP(A1214,'[1]Brand Family Territory (Enc)'!$A$2:$B$296,2,FALSE)</f>
        <v>All Counties</v>
      </c>
      <c r="D1214" s="2">
        <f>IF(COUNTIFS('[1]Brand Family Territories (Enc)'!$B$2:$B$62,C1214,'[1]Brand Family Territories (Enc)'!$C$2:$C$62,B1214)&gt;0,1,IF(AND(LEFT(B1214,6)="MORRIS",COUNTIFS('[1]Brand Family Territories (Enc)'!$B$2:$B$62,C1214,'[1]Brand Family Territories (Enc)'!$C$2:$C$62,"Morri")&gt;0),"Unk",0))</f>
        <v>1</v>
      </c>
      <c r="E1214" s="2" t="str">
        <f>IFERROR(INDEX('Blackout Brand Fam Areas (Enc)'!$D$6:$D$998,MATCH(UPPER(A1214)&amp;"|"&amp;UPPER(B1214),'Blackout Brand Fam Areas (Enc)'!$G$6:$G$998,0)),"No Match")</f>
        <v>No Match</v>
      </c>
      <c r="F1214" s="2" t="str">
        <f t="shared" si="36"/>
        <v>US</v>
      </c>
      <c r="G1214" s="2" t="str">
        <f t="shared" si="37"/>
        <v>1911 Hard Cider|PASSAIC-FF</v>
      </c>
    </row>
    <row r="1215" spans="1:7" x14ac:dyDescent="0.2">
      <c r="A1215" s="2" t="str" cm="1">
        <f t="array" ref="A1215">INDEX('[1]Brand Family Territory (Enc)'!$A$2:$A$296,INT((ROW()-2)/10)+1)</f>
        <v>1911 Hard Cider</v>
      </c>
      <c r="B1215" s="2" t="str" cm="1">
        <f t="array" ref="B1215">INDEX('Whitelist (Blackout Reverse)'!$B$1:$K$1,MOD(ROW()-2,10)+1)</f>
        <v>ESSEX</v>
      </c>
      <c r="C1215" s="2" t="str">
        <f>VLOOKUP(A1215,'[1]Brand Family Territory (Enc)'!$A$2:$B$296,2,FALSE)</f>
        <v>All Counties</v>
      </c>
      <c r="D1215" s="2">
        <f>IF(COUNTIFS('[1]Brand Family Territories (Enc)'!$B$2:$B$62,C1215,'[1]Brand Family Territories (Enc)'!$C$2:$C$62,B1215)&gt;0,1,IF(AND(LEFT(B1215,6)="MORRIS",COUNTIFS('[1]Brand Family Territories (Enc)'!$B$2:$B$62,C1215,'[1]Brand Family Territories (Enc)'!$C$2:$C$62,"Morri")&gt;0),"Unk",0))</f>
        <v>1</v>
      </c>
      <c r="E1215" s="2" t="str">
        <f>IFERROR(INDEX('Blackout Brand Fam Areas (Enc)'!$D$6:$D$998,MATCH(UPPER(A1215)&amp;"|"&amp;UPPER(B1215),'Blackout Brand Fam Areas (Enc)'!$G$6:$G$998,0)),"No Match")</f>
        <v>No Match</v>
      </c>
      <c r="F1215" s="2" t="str">
        <f t="shared" si="36"/>
        <v>US</v>
      </c>
      <c r="G1215" s="2" t="str">
        <f t="shared" si="37"/>
        <v>1911 Hard Cider|ESSEX</v>
      </c>
    </row>
    <row r="1216" spans="1:7" x14ac:dyDescent="0.2">
      <c r="A1216" s="2" t="str" cm="1">
        <f t="array" ref="A1216">INDEX('[1]Brand Family Territory (Enc)'!$A$2:$A$296,INT((ROW()-2)/10)+1)</f>
        <v>1911 Hard Cider</v>
      </c>
      <c r="B1216" s="2" t="str" cm="1">
        <f t="array" ref="B1216">INDEX('Whitelist (Blackout Reverse)'!$B$1:$K$1,MOD(ROW()-2,10)+1)</f>
        <v>HUDSON</v>
      </c>
      <c r="C1216" s="2" t="str">
        <f>VLOOKUP(A1216,'[1]Brand Family Territory (Enc)'!$A$2:$B$296,2,FALSE)</f>
        <v>All Counties</v>
      </c>
      <c r="D1216" s="2">
        <f>IF(COUNTIFS('[1]Brand Family Territories (Enc)'!$B$2:$B$62,C1216,'[1]Brand Family Territories (Enc)'!$C$2:$C$62,B1216)&gt;0,1,IF(AND(LEFT(B1216,6)="MORRIS",COUNTIFS('[1]Brand Family Territories (Enc)'!$B$2:$B$62,C1216,'[1]Brand Family Territories (Enc)'!$C$2:$C$62,"Morri")&gt;0),"Unk",0))</f>
        <v>1</v>
      </c>
      <c r="E1216" s="2" t="str">
        <f>IFERROR(INDEX('Blackout Brand Fam Areas (Enc)'!$D$6:$D$998,MATCH(UPPER(A1216)&amp;"|"&amp;UPPER(B1216),'Blackout Brand Fam Areas (Enc)'!$G$6:$G$998,0)),"No Match")</f>
        <v>No Match</v>
      </c>
      <c r="F1216" s="2" t="str">
        <f t="shared" si="36"/>
        <v>US</v>
      </c>
      <c r="G1216" s="2" t="str">
        <f t="shared" si="37"/>
        <v>1911 Hard Cider|HUDSON</v>
      </c>
    </row>
    <row r="1217" spans="1:7" x14ac:dyDescent="0.2">
      <c r="A1217" s="2" t="str" cm="1">
        <f t="array" ref="A1217">INDEX('[1]Brand Family Territory (Enc)'!$A$2:$A$296,INT((ROW()-2)/10)+1)</f>
        <v>1911 Hard Cider</v>
      </c>
      <c r="B1217" s="2" t="str" cm="1">
        <f t="array" ref="B1217">INDEX('Whitelist (Blackout Reverse)'!$B$1:$K$1,MOD(ROW()-2,10)+1)</f>
        <v>UNION</v>
      </c>
      <c r="C1217" s="2" t="str">
        <f>VLOOKUP(A1217,'[1]Brand Family Territory (Enc)'!$A$2:$B$296,2,FALSE)</f>
        <v>All Counties</v>
      </c>
      <c r="D1217" s="2">
        <f>IF(COUNTIFS('[1]Brand Family Territories (Enc)'!$B$2:$B$62,C1217,'[1]Brand Family Territories (Enc)'!$C$2:$C$62,B1217)&gt;0,1,IF(AND(LEFT(B1217,6)="MORRIS",COUNTIFS('[1]Brand Family Territories (Enc)'!$B$2:$B$62,C1217,'[1]Brand Family Territories (Enc)'!$C$2:$C$62,"Morri")&gt;0),"Unk",0))</f>
        <v>1</v>
      </c>
      <c r="E1217" s="2" t="str">
        <f>IFERROR(INDEX('Blackout Brand Fam Areas (Enc)'!$D$6:$D$998,MATCH(UPPER(A1217)&amp;"|"&amp;UPPER(B1217),'Blackout Brand Fam Areas (Enc)'!$G$6:$G$998,0)),"No Match")</f>
        <v>No Match</v>
      </c>
      <c r="F1217" s="2" t="str">
        <f t="shared" si="36"/>
        <v>US</v>
      </c>
      <c r="G1217" s="2" t="str">
        <f t="shared" si="37"/>
        <v>1911 Hard Cider|UNION</v>
      </c>
    </row>
    <row r="1218" spans="1:7" x14ac:dyDescent="0.2">
      <c r="A1218" s="2" t="str" cm="1">
        <f t="array" ref="A1218">INDEX('[1]Brand Family Territory (Enc)'!$A$2:$A$296,INT((ROW()-2)/10)+1)</f>
        <v>1911 Hard Cider</v>
      </c>
      <c r="B1218" s="2" t="str" cm="1">
        <f t="array" ref="B1218">INDEX('Whitelist (Blackout Reverse)'!$B$1:$K$1,MOD(ROW()-2,10)+1)</f>
        <v>SUSSEX</v>
      </c>
      <c r="C1218" s="2" t="str">
        <f>VLOOKUP(A1218,'[1]Brand Family Territory (Enc)'!$A$2:$B$296,2,FALSE)</f>
        <v>All Counties</v>
      </c>
      <c r="D1218" s="2">
        <f>IF(COUNTIFS('[1]Brand Family Territories (Enc)'!$B$2:$B$62,C1218,'[1]Brand Family Territories (Enc)'!$C$2:$C$62,B1218)&gt;0,1,IF(AND(LEFT(B1218,6)="MORRIS",COUNTIFS('[1]Brand Family Territories (Enc)'!$B$2:$B$62,C1218,'[1]Brand Family Territories (Enc)'!$C$2:$C$62,"Morri")&gt;0),"Unk",0))</f>
        <v>1</v>
      </c>
      <c r="E1218" s="2" t="str">
        <f>IFERROR(INDEX('Blackout Brand Fam Areas (Enc)'!$D$6:$D$998,MATCH(UPPER(A1218)&amp;"|"&amp;UPPER(B1218),'Blackout Brand Fam Areas (Enc)'!$G$6:$G$998,0)),"No Match")</f>
        <v>No Match</v>
      </c>
      <c r="F1218" s="2" t="str">
        <f t="shared" si="36"/>
        <v>US</v>
      </c>
      <c r="G1218" s="2" t="str">
        <f t="shared" si="37"/>
        <v>1911 Hard Cider|SUSSEX</v>
      </c>
    </row>
    <row r="1219" spans="1:7" x14ac:dyDescent="0.2">
      <c r="A1219" s="2" t="str" cm="1">
        <f t="array" ref="A1219">INDEX('[1]Brand Family Territory (Enc)'!$A$2:$A$296,INT((ROW()-2)/10)+1)</f>
        <v>1911 Hard Cider</v>
      </c>
      <c r="B1219" s="2" t="str" cm="1">
        <f t="array" ref="B1219">INDEX('Whitelist (Blackout Reverse)'!$B$1:$K$1,MOD(ROW()-2,10)+1)</f>
        <v>MORRIS 1</v>
      </c>
      <c r="C1219" s="2" t="str">
        <f>VLOOKUP(A1219,'[1]Brand Family Territory (Enc)'!$A$2:$B$296,2,FALSE)</f>
        <v>All Counties</v>
      </c>
      <c r="D1219" s="2">
        <f>IF(COUNTIFS('[1]Brand Family Territories (Enc)'!$B$2:$B$62,C1219,'[1]Brand Family Territories (Enc)'!$C$2:$C$62,B1219)&gt;0,1,IF(AND(LEFT(B1219,6)="MORRIS",COUNTIFS('[1]Brand Family Territories (Enc)'!$B$2:$B$62,C1219,'[1]Brand Family Territories (Enc)'!$C$2:$C$62,"Morri")&gt;0),"Unk",0))</f>
        <v>1</v>
      </c>
      <c r="E1219" s="2" t="str">
        <f>IFERROR(INDEX('Blackout Brand Fam Areas (Enc)'!$D$6:$D$998,MATCH(UPPER(A1219)&amp;"|"&amp;UPPER(B1219),'Blackout Brand Fam Areas (Enc)'!$G$6:$G$998,0)),"No Match")</f>
        <v>No Match</v>
      </c>
      <c r="F1219" s="2" t="str">
        <f t="shared" ref="F1219:F1282" si="38">IF(D1219="Unk","Ambiguous (Source Truncated)",IF(E1219="Inactive","THEM",IF(D1219=1,"US",IF(D1219="N/A","No Territory Data","THEM"))))</f>
        <v>US</v>
      </c>
      <c r="G1219" s="2" t="str">
        <f t="shared" ref="G1219:G1282" si="39">A1219&amp;"|"&amp;B1219</f>
        <v>1911 Hard Cider|MORRIS 1</v>
      </c>
    </row>
    <row r="1220" spans="1:7" x14ac:dyDescent="0.2">
      <c r="A1220" s="2" t="str" cm="1">
        <f t="array" ref="A1220">INDEX('[1]Brand Family Territory (Enc)'!$A$2:$A$296,INT((ROW()-2)/10)+1)</f>
        <v>1911 Hard Cider</v>
      </c>
      <c r="B1220" s="2" t="str" cm="1">
        <f t="array" ref="B1220">INDEX('Whitelist (Blackout Reverse)'!$B$1:$K$1,MOD(ROW()-2,10)+1)</f>
        <v>MORRIS 2</v>
      </c>
      <c r="C1220" s="2" t="str">
        <f>VLOOKUP(A1220,'[1]Brand Family Territory (Enc)'!$A$2:$B$296,2,FALSE)</f>
        <v>All Counties</v>
      </c>
      <c r="D1220" s="2">
        <f>IF(COUNTIFS('[1]Brand Family Territories (Enc)'!$B$2:$B$62,C1220,'[1]Brand Family Territories (Enc)'!$C$2:$C$62,B1220)&gt;0,1,IF(AND(LEFT(B1220,6)="MORRIS",COUNTIFS('[1]Brand Family Territories (Enc)'!$B$2:$B$62,C1220,'[1]Brand Family Territories (Enc)'!$C$2:$C$62,"Morri")&gt;0),"Unk",0))</f>
        <v>1</v>
      </c>
      <c r="E1220" s="2" t="str">
        <f>IFERROR(INDEX('Blackout Brand Fam Areas (Enc)'!$D$6:$D$998,MATCH(UPPER(A1220)&amp;"|"&amp;UPPER(B1220),'Blackout Brand Fam Areas (Enc)'!$G$6:$G$998,0)),"No Match")</f>
        <v>No Match</v>
      </c>
      <c r="F1220" s="2" t="str">
        <f t="shared" si="38"/>
        <v>US</v>
      </c>
      <c r="G1220" s="2" t="str">
        <f t="shared" si="39"/>
        <v>1911 Hard Cider|MORRIS 2</v>
      </c>
    </row>
    <row r="1221" spans="1:7" x14ac:dyDescent="0.2">
      <c r="A1221" s="2" t="str" cm="1">
        <f t="array" ref="A1221">INDEX('[1]Brand Family Territory (Enc)'!$A$2:$A$296,INT((ROW()-2)/10)+1)</f>
        <v>1911 Hard Cider</v>
      </c>
      <c r="B1221" s="2" t="str" cm="1">
        <f t="array" ref="B1221">INDEX('Whitelist (Blackout Reverse)'!$B$1:$K$1,MOD(ROW()-2,10)+1)</f>
        <v>MORRIS 3</v>
      </c>
      <c r="C1221" s="2" t="str">
        <f>VLOOKUP(A1221,'[1]Brand Family Territory (Enc)'!$A$2:$B$296,2,FALSE)</f>
        <v>All Counties</v>
      </c>
      <c r="D1221" s="2">
        <f>IF(COUNTIFS('[1]Brand Family Territories (Enc)'!$B$2:$B$62,C1221,'[1]Brand Family Territories (Enc)'!$C$2:$C$62,B1221)&gt;0,1,IF(AND(LEFT(B1221,6)="MORRIS",COUNTIFS('[1]Brand Family Territories (Enc)'!$B$2:$B$62,C1221,'[1]Brand Family Territories (Enc)'!$C$2:$C$62,"Morri")&gt;0),"Unk",0))</f>
        <v>1</v>
      </c>
      <c r="E1221" s="2" t="str">
        <f>IFERROR(INDEX('Blackout Brand Fam Areas (Enc)'!$D$6:$D$998,MATCH(UPPER(A1221)&amp;"|"&amp;UPPER(B1221),'Blackout Brand Fam Areas (Enc)'!$G$6:$G$998,0)),"No Match")</f>
        <v>No Match</v>
      </c>
      <c r="F1221" s="2" t="str">
        <f t="shared" si="38"/>
        <v>US</v>
      </c>
      <c r="G1221" s="2" t="str">
        <f t="shared" si="39"/>
        <v>1911 Hard Cider|MORRIS 3</v>
      </c>
    </row>
    <row r="1222" spans="1:7" x14ac:dyDescent="0.2">
      <c r="A1222" s="2" t="str" cm="1">
        <f t="array" ref="A1222">INDEX('[1]Brand Family Territory (Enc)'!$A$2:$A$296,INT((ROW()-2)/10)+1)</f>
        <v>Aguila Import</v>
      </c>
      <c r="B1222" s="2" t="str" cm="1">
        <f t="array" ref="B1222">INDEX('Whitelist (Blackout Reverse)'!$B$1:$K$1,MOD(ROW()-2,10)+1)</f>
        <v>BERGEN</v>
      </c>
      <c r="C1222" s="2" t="str">
        <f>VLOOKUP(A1222,'[1]Brand Family Territory (Enc)'!$A$2:$B$296,2,FALSE)</f>
        <v>All Counties</v>
      </c>
      <c r="D1222" s="2">
        <f>IF(COUNTIFS('[1]Brand Family Territories (Enc)'!$B$2:$B$62,C1222,'[1]Brand Family Territories (Enc)'!$C$2:$C$62,B1222)&gt;0,1,IF(AND(LEFT(B1222,6)="MORRIS",COUNTIFS('[1]Brand Family Territories (Enc)'!$B$2:$B$62,C1222,'[1]Brand Family Territories (Enc)'!$C$2:$C$62,"Morri")&gt;0),"Unk",0))</f>
        <v>1</v>
      </c>
      <c r="E1222" s="2" t="str">
        <f>IFERROR(INDEX('Blackout Brand Fam Areas (Enc)'!$D$6:$D$998,MATCH(UPPER(A1222)&amp;"|"&amp;UPPER(B1222),'Blackout Brand Fam Areas (Enc)'!$G$6:$G$998,0)),"No Match")</f>
        <v>No Match</v>
      </c>
      <c r="F1222" s="2" t="str">
        <f t="shared" si="38"/>
        <v>US</v>
      </c>
      <c r="G1222" s="2" t="str">
        <f t="shared" si="39"/>
        <v>Aguila Import|BERGEN</v>
      </c>
    </row>
    <row r="1223" spans="1:7" x14ac:dyDescent="0.2">
      <c r="A1223" s="2" t="str" cm="1">
        <f t="array" ref="A1223">INDEX('[1]Brand Family Territory (Enc)'!$A$2:$A$296,INT((ROW()-2)/10)+1)</f>
        <v>Aguila Import</v>
      </c>
      <c r="B1223" s="2" t="str" cm="1">
        <f t="array" ref="B1223">INDEX('Whitelist (Blackout Reverse)'!$B$1:$K$1,MOD(ROW()-2,10)+1)</f>
        <v>PASSAIC</v>
      </c>
      <c r="C1223" s="2" t="str">
        <f>VLOOKUP(A1223,'[1]Brand Family Territory (Enc)'!$A$2:$B$296,2,FALSE)</f>
        <v>All Counties</v>
      </c>
      <c r="D1223" s="2">
        <f>IF(COUNTIFS('[1]Brand Family Territories (Enc)'!$B$2:$B$62,C1223,'[1]Brand Family Territories (Enc)'!$C$2:$C$62,B1223)&gt;0,1,IF(AND(LEFT(B1223,6)="MORRIS",COUNTIFS('[1]Brand Family Territories (Enc)'!$B$2:$B$62,C1223,'[1]Brand Family Territories (Enc)'!$C$2:$C$62,"Morri")&gt;0),"Unk",0))</f>
        <v>1</v>
      </c>
      <c r="E1223" s="2" t="str">
        <f>IFERROR(INDEX('Blackout Brand Fam Areas (Enc)'!$D$6:$D$998,MATCH(UPPER(A1223)&amp;"|"&amp;UPPER(B1223),'Blackout Brand Fam Areas (Enc)'!$G$6:$G$998,0)),"No Match")</f>
        <v>No Match</v>
      </c>
      <c r="F1223" s="2" t="str">
        <f t="shared" si="38"/>
        <v>US</v>
      </c>
      <c r="G1223" s="2" t="str">
        <f t="shared" si="39"/>
        <v>Aguila Import|PASSAIC</v>
      </c>
    </row>
    <row r="1224" spans="1:7" x14ac:dyDescent="0.2">
      <c r="A1224" s="2" t="str" cm="1">
        <f t="array" ref="A1224">INDEX('[1]Brand Family Territory (Enc)'!$A$2:$A$296,INT((ROW()-2)/10)+1)</f>
        <v>Aguila Import</v>
      </c>
      <c r="B1224" s="2" t="str" cm="1">
        <f t="array" ref="B1224">INDEX('Whitelist (Blackout Reverse)'!$B$1:$K$1,MOD(ROW()-2,10)+1)</f>
        <v>PASSAIC-FF</v>
      </c>
      <c r="C1224" s="2" t="str">
        <f>VLOOKUP(A1224,'[1]Brand Family Territory (Enc)'!$A$2:$B$296,2,FALSE)</f>
        <v>All Counties</v>
      </c>
      <c r="D1224" s="2">
        <f>IF(COUNTIFS('[1]Brand Family Territories (Enc)'!$B$2:$B$62,C1224,'[1]Brand Family Territories (Enc)'!$C$2:$C$62,B1224)&gt;0,1,IF(AND(LEFT(B1224,6)="MORRIS",COUNTIFS('[1]Brand Family Territories (Enc)'!$B$2:$B$62,C1224,'[1]Brand Family Territories (Enc)'!$C$2:$C$62,"Morri")&gt;0),"Unk",0))</f>
        <v>1</v>
      </c>
      <c r="E1224" s="2" t="str">
        <f>IFERROR(INDEX('Blackout Brand Fam Areas (Enc)'!$D$6:$D$998,MATCH(UPPER(A1224)&amp;"|"&amp;UPPER(B1224),'Blackout Brand Fam Areas (Enc)'!$G$6:$G$998,0)),"No Match")</f>
        <v>No Match</v>
      </c>
      <c r="F1224" s="2" t="str">
        <f t="shared" si="38"/>
        <v>US</v>
      </c>
      <c r="G1224" s="2" t="str">
        <f t="shared" si="39"/>
        <v>Aguila Import|PASSAIC-FF</v>
      </c>
    </row>
    <row r="1225" spans="1:7" x14ac:dyDescent="0.2">
      <c r="A1225" s="2" t="str" cm="1">
        <f t="array" ref="A1225">INDEX('[1]Brand Family Territory (Enc)'!$A$2:$A$296,INT((ROW()-2)/10)+1)</f>
        <v>Aguila Import</v>
      </c>
      <c r="B1225" s="2" t="str" cm="1">
        <f t="array" ref="B1225">INDEX('Whitelist (Blackout Reverse)'!$B$1:$K$1,MOD(ROW()-2,10)+1)</f>
        <v>ESSEX</v>
      </c>
      <c r="C1225" s="2" t="str">
        <f>VLOOKUP(A1225,'[1]Brand Family Territory (Enc)'!$A$2:$B$296,2,FALSE)</f>
        <v>All Counties</v>
      </c>
      <c r="D1225" s="2">
        <f>IF(COUNTIFS('[1]Brand Family Territories (Enc)'!$B$2:$B$62,C1225,'[1]Brand Family Territories (Enc)'!$C$2:$C$62,B1225)&gt;0,1,IF(AND(LEFT(B1225,6)="MORRIS",COUNTIFS('[1]Brand Family Territories (Enc)'!$B$2:$B$62,C1225,'[1]Brand Family Territories (Enc)'!$C$2:$C$62,"Morri")&gt;0),"Unk",0))</f>
        <v>1</v>
      </c>
      <c r="E1225" s="2" t="str">
        <f>IFERROR(INDEX('Blackout Brand Fam Areas (Enc)'!$D$6:$D$998,MATCH(UPPER(A1225)&amp;"|"&amp;UPPER(B1225),'Blackout Brand Fam Areas (Enc)'!$G$6:$G$998,0)),"No Match")</f>
        <v>No Match</v>
      </c>
      <c r="F1225" s="2" t="str">
        <f t="shared" si="38"/>
        <v>US</v>
      </c>
      <c r="G1225" s="2" t="str">
        <f t="shared" si="39"/>
        <v>Aguila Import|ESSEX</v>
      </c>
    </row>
    <row r="1226" spans="1:7" x14ac:dyDescent="0.2">
      <c r="A1226" s="2" t="str" cm="1">
        <f t="array" ref="A1226">INDEX('[1]Brand Family Territory (Enc)'!$A$2:$A$296,INT((ROW()-2)/10)+1)</f>
        <v>Aguila Import</v>
      </c>
      <c r="B1226" s="2" t="str" cm="1">
        <f t="array" ref="B1226">INDEX('Whitelist (Blackout Reverse)'!$B$1:$K$1,MOD(ROW()-2,10)+1)</f>
        <v>HUDSON</v>
      </c>
      <c r="C1226" s="2" t="str">
        <f>VLOOKUP(A1226,'[1]Brand Family Territory (Enc)'!$A$2:$B$296,2,FALSE)</f>
        <v>All Counties</v>
      </c>
      <c r="D1226" s="2">
        <f>IF(COUNTIFS('[1]Brand Family Territories (Enc)'!$B$2:$B$62,C1226,'[1]Brand Family Territories (Enc)'!$C$2:$C$62,B1226)&gt;0,1,IF(AND(LEFT(B1226,6)="MORRIS",COUNTIFS('[1]Brand Family Territories (Enc)'!$B$2:$B$62,C1226,'[1]Brand Family Territories (Enc)'!$C$2:$C$62,"Morri")&gt;0),"Unk",0))</f>
        <v>1</v>
      </c>
      <c r="E1226" s="2" t="str">
        <f>IFERROR(INDEX('Blackout Brand Fam Areas (Enc)'!$D$6:$D$998,MATCH(UPPER(A1226)&amp;"|"&amp;UPPER(B1226),'Blackout Brand Fam Areas (Enc)'!$G$6:$G$998,0)),"No Match")</f>
        <v>No Match</v>
      </c>
      <c r="F1226" s="2" t="str">
        <f t="shared" si="38"/>
        <v>US</v>
      </c>
      <c r="G1226" s="2" t="str">
        <f t="shared" si="39"/>
        <v>Aguila Import|HUDSON</v>
      </c>
    </row>
    <row r="1227" spans="1:7" x14ac:dyDescent="0.2">
      <c r="A1227" s="2" t="str" cm="1">
        <f t="array" ref="A1227">INDEX('[1]Brand Family Territory (Enc)'!$A$2:$A$296,INT((ROW()-2)/10)+1)</f>
        <v>Aguila Import</v>
      </c>
      <c r="B1227" s="2" t="str" cm="1">
        <f t="array" ref="B1227">INDEX('Whitelist (Blackout Reverse)'!$B$1:$K$1,MOD(ROW()-2,10)+1)</f>
        <v>UNION</v>
      </c>
      <c r="C1227" s="2" t="str">
        <f>VLOOKUP(A1227,'[1]Brand Family Territory (Enc)'!$A$2:$B$296,2,FALSE)</f>
        <v>All Counties</v>
      </c>
      <c r="D1227" s="2">
        <f>IF(COUNTIFS('[1]Brand Family Territories (Enc)'!$B$2:$B$62,C1227,'[1]Brand Family Territories (Enc)'!$C$2:$C$62,B1227)&gt;0,1,IF(AND(LEFT(B1227,6)="MORRIS",COUNTIFS('[1]Brand Family Territories (Enc)'!$B$2:$B$62,C1227,'[1]Brand Family Territories (Enc)'!$C$2:$C$62,"Morri")&gt;0),"Unk",0))</f>
        <v>1</v>
      </c>
      <c r="E1227" s="2" t="str">
        <f>IFERROR(INDEX('Blackout Brand Fam Areas (Enc)'!$D$6:$D$998,MATCH(UPPER(A1227)&amp;"|"&amp;UPPER(B1227),'Blackout Brand Fam Areas (Enc)'!$G$6:$G$998,0)),"No Match")</f>
        <v>No Match</v>
      </c>
      <c r="F1227" s="2" t="str">
        <f t="shared" si="38"/>
        <v>US</v>
      </c>
      <c r="G1227" s="2" t="str">
        <f t="shared" si="39"/>
        <v>Aguila Import|UNION</v>
      </c>
    </row>
    <row r="1228" spans="1:7" x14ac:dyDescent="0.2">
      <c r="A1228" s="2" t="str" cm="1">
        <f t="array" ref="A1228">INDEX('[1]Brand Family Territory (Enc)'!$A$2:$A$296,INT((ROW()-2)/10)+1)</f>
        <v>Aguila Import</v>
      </c>
      <c r="B1228" s="2" t="str" cm="1">
        <f t="array" ref="B1228">INDEX('Whitelist (Blackout Reverse)'!$B$1:$K$1,MOD(ROW()-2,10)+1)</f>
        <v>SUSSEX</v>
      </c>
      <c r="C1228" s="2" t="str">
        <f>VLOOKUP(A1228,'[1]Brand Family Territory (Enc)'!$A$2:$B$296,2,FALSE)</f>
        <v>All Counties</v>
      </c>
      <c r="D1228" s="2">
        <f>IF(COUNTIFS('[1]Brand Family Territories (Enc)'!$B$2:$B$62,C1228,'[1]Brand Family Territories (Enc)'!$C$2:$C$62,B1228)&gt;0,1,IF(AND(LEFT(B1228,6)="MORRIS",COUNTIFS('[1]Brand Family Territories (Enc)'!$B$2:$B$62,C1228,'[1]Brand Family Territories (Enc)'!$C$2:$C$62,"Morri")&gt;0),"Unk",0))</f>
        <v>1</v>
      </c>
      <c r="E1228" s="2" t="str">
        <f>IFERROR(INDEX('Blackout Brand Fam Areas (Enc)'!$D$6:$D$998,MATCH(UPPER(A1228)&amp;"|"&amp;UPPER(B1228),'Blackout Brand Fam Areas (Enc)'!$G$6:$G$998,0)),"No Match")</f>
        <v>No Match</v>
      </c>
      <c r="F1228" s="2" t="str">
        <f t="shared" si="38"/>
        <v>US</v>
      </c>
      <c r="G1228" s="2" t="str">
        <f t="shared" si="39"/>
        <v>Aguila Import|SUSSEX</v>
      </c>
    </row>
    <row r="1229" spans="1:7" x14ac:dyDescent="0.2">
      <c r="A1229" s="2" t="str" cm="1">
        <f t="array" ref="A1229">INDEX('[1]Brand Family Territory (Enc)'!$A$2:$A$296,INT((ROW()-2)/10)+1)</f>
        <v>Aguila Import</v>
      </c>
      <c r="B1229" s="2" t="str" cm="1">
        <f t="array" ref="B1229">INDEX('Whitelist (Blackout Reverse)'!$B$1:$K$1,MOD(ROW()-2,10)+1)</f>
        <v>MORRIS 1</v>
      </c>
      <c r="C1229" s="2" t="str">
        <f>VLOOKUP(A1229,'[1]Brand Family Territory (Enc)'!$A$2:$B$296,2,FALSE)</f>
        <v>All Counties</v>
      </c>
      <c r="D1229" s="2">
        <f>IF(COUNTIFS('[1]Brand Family Territories (Enc)'!$B$2:$B$62,C1229,'[1]Brand Family Territories (Enc)'!$C$2:$C$62,B1229)&gt;0,1,IF(AND(LEFT(B1229,6)="MORRIS",COUNTIFS('[1]Brand Family Territories (Enc)'!$B$2:$B$62,C1229,'[1]Brand Family Territories (Enc)'!$C$2:$C$62,"Morri")&gt;0),"Unk",0))</f>
        <v>1</v>
      </c>
      <c r="E1229" s="2" t="str">
        <f>IFERROR(INDEX('Blackout Brand Fam Areas (Enc)'!$D$6:$D$998,MATCH(UPPER(A1229)&amp;"|"&amp;UPPER(B1229),'Blackout Brand Fam Areas (Enc)'!$G$6:$G$998,0)),"No Match")</f>
        <v>No Match</v>
      </c>
      <c r="F1229" s="2" t="str">
        <f t="shared" si="38"/>
        <v>US</v>
      </c>
      <c r="G1229" s="2" t="str">
        <f t="shared" si="39"/>
        <v>Aguila Import|MORRIS 1</v>
      </c>
    </row>
    <row r="1230" spans="1:7" x14ac:dyDescent="0.2">
      <c r="A1230" s="2" t="str" cm="1">
        <f t="array" ref="A1230">INDEX('[1]Brand Family Territory (Enc)'!$A$2:$A$296,INT((ROW()-2)/10)+1)</f>
        <v>Aguila Import</v>
      </c>
      <c r="B1230" s="2" t="str" cm="1">
        <f t="array" ref="B1230">INDEX('Whitelist (Blackout Reverse)'!$B$1:$K$1,MOD(ROW()-2,10)+1)</f>
        <v>MORRIS 2</v>
      </c>
      <c r="C1230" s="2" t="str">
        <f>VLOOKUP(A1230,'[1]Brand Family Territory (Enc)'!$A$2:$B$296,2,FALSE)</f>
        <v>All Counties</v>
      </c>
      <c r="D1230" s="2">
        <f>IF(COUNTIFS('[1]Brand Family Territories (Enc)'!$B$2:$B$62,C1230,'[1]Brand Family Territories (Enc)'!$C$2:$C$62,B1230)&gt;0,1,IF(AND(LEFT(B1230,6)="MORRIS",COUNTIFS('[1]Brand Family Territories (Enc)'!$B$2:$B$62,C1230,'[1]Brand Family Territories (Enc)'!$C$2:$C$62,"Morri")&gt;0),"Unk",0))</f>
        <v>1</v>
      </c>
      <c r="E1230" s="2" t="str">
        <f>IFERROR(INDEX('Blackout Brand Fam Areas (Enc)'!$D$6:$D$998,MATCH(UPPER(A1230)&amp;"|"&amp;UPPER(B1230),'Blackout Brand Fam Areas (Enc)'!$G$6:$G$998,0)),"No Match")</f>
        <v>No Match</v>
      </c>
      <c r="F1230" s="2" t="str">
        <f t="shared" si="38"/>
        <v>US</v>
      </c>
      <c r="G1230" s="2" t="str">
        <f t="shared" si="39"/>
        <v>Aguila Import|MORRIS 2</v>
      </c>
    </row>
    <row r="1231" spans="1:7" x14ac:dyDescent="0.2">
      <c r="A1231" s="2" t="str" cm="1">
        <f t="array" ref="A1231">INDEX('[1]Brand Family Territory (Enc)'!$A$2:$A$296,INT((ROW()-2)/10)+1)</f>
        <v>Aguila Import</v>
      </c>
      <c r="B1231" s="2" t="str" cm="1">
        <f t="array" ref="B1231">INDEX('Whitelist (Blackout Reverse)'!$B$1:$K$1,MOD(ROW()-2,10)+1)</f>
        <v>MORRIS 3</v>
      </c>
      <c r="C1231" s="2" t="str">
        <f>VLOOKUP(A1231,'[1]Brand Family Territory (Enc)'!$A$2:$B$296,2,FALSE)</f>
        <v>All Counties</v>
      </c>
      <c r="D1231" s="2">
        <f>IF(COUNTIFS('[1]Brand Family Territories (Enc)'!$B$2:$B$62,C1231,'[1]Brand Family Territories (Enc)'!$C$2:$C$62,B1231)&gt;0,1,IF(AND(LEFT(B1231,6)="MORRIS",COUNTIFS('[1]Brand Family Territories (Enc)'!$B$2:$B$62,C1231,'[1]Brand Family Territories (Enc)'!$C$2:$C$62,"Morri")&gt;0),"Unk",0))</f>
        <v>1</v>
      </c>
      <c r="E1231" s="2" t="str">
        <f>IFERROR(INDEX('Blackout Brand Fam Areas (Enc)'!$D$6:$D$998,MATCH(UPPER(A1231)&amp;"|"&amp;UPPER(B1231),'Blackout Brand Fam Areas (Enc)'!$G$6:$G$998,0)),"No Match")</f>
        <v>No Match</v>
      </c>
      <c r="F1231" s="2" t="str">
        <f t="shared" si="38"/>
        <v>US</v>
      </c>
      <c r="G1231" s="2" t="str">
        <f t="shared" si="39"/>
        <v>Aguila Import|MORRIS 3</v>
      </c>
    </row>
    <row r="1232" spans="1:7" x14ac:dyDescent="0.2">
      <c r="A1232" s="2" t="str" cm="1">
        <f t="array" ref="A1232">INDEX('[1]Brand Family Territory (Enc)'!$A$2:$A$296,INT((ROW()-2)/10)+1)</f>
        <v>Alias Brew Works</v>
      </c>
      <c r="B1232" s="2" t="str" cm="1">
        <f t="array" ref="B1232">INDEX('Whitelist (Blackout Reverse)'!$B$1:$K$1,MOD(ROW()-2,10)+1)</f>
        <v>BERGEN</v>
      </c>
      <c r="C1232" s="2" t="str">
        <f>VLOOKUP(A1232,'[1]Brand Family Territory (Enc)'!$A$2:$B$296,2,FALSE)</f>
        <v>All Counties</v>
      </c>
      <c r="D1232" s="2">
        <f>IF(COUNTIFS('[1]Brand Family Territories (Enc)'!$B$2:$B$62,C1232,'[1]Brand Family Territories (Enc)'!$C$2:$C$62,B1232)&gt;0,1,IF(AND(LEFT(B1232,6)="MORRIS",COUNTIFS('[1]Brand Family Territories (Enc)'!$B$2:$B$62,C1232,'[1]Brand Family Territories (Enc)'!$C$2:$C$62,"Morri")&gt;0),"Unk",0))</f>
        <v>1</v>
      </c>
      <c r="E1232" s="2" t="str">
        <f>IFERROR(INDEX('Blackout Brand Fam Areas (Enc)'!$D$6:$D$998,MATCH(UPPER(A1232)&amp;"|"&amp;UPPER(B1232),'Blackout Brand Fam Areas (Enc)'!$G$6:$G$998,0)),"No Match")</f>
        <v>No Match</v>
      </c>
      <c r="F1232" s="2" t="str">
        <f t="shared" si="38"/>
        <v>US</v>
      </c>
      <c r="G1232" s="2" t="str">
        <f t="shared" si="39"/>
        <v>Alias Brew Works|BERGEN</v>
      </c>
    </row>
    <row r="1233" spans="1:7" x14ac:dyDescent="0.2">
      <c r="A1233" s="2" t="str" cm="1">
        <f t="array" ref="A1233">INDEX('[1]Brand Family Territory (Enc)'!$A$2:$A$296,INT((ROW()-2)/10)+1)</f>
        <v>Alias Brew Works</v>
      </c>
      <c r="B1233" s="2" t="str" cm="1">
        <f t="array" ref="B1233">INDEX('Whitelist (Blackout Reverse)'!$B$1:$K$1,MOD(ROW()-2,10)+1)</f>
        <v>PASSAIC</v>
      </c>
      <c r="C1233" s="2" t="str">
        <f>VLOOKUP(A1233,'[1]Brand Family Territory (Enc)'!$A$2:$B$296,2,FALSE)</f>
        <v>All Counties</v>
      </c>
      <c r="D1233" s="2">
        <f>IF(COUNTIFS('[1]Brand Family Territories (Enc)'!$B$2:$B$62,C1233,'[1]Brand Family Territories (Enc)'!$C$2:$C$62,B1233)&gt;0,1,IF(AND(LEFT(B1233,6)="MORRIS",COUNTIFS('[1]Brand Family Territories (Enc)'!$B$2:$B$62,C1233,'[1]Brand Family Territories (Enc)'!$C$2:$C$62,"Morri")&gt;0),"Unk",0))</f>
        <v>1</v>
      </c>
      <c r="E1233" s="2" t="str">
        <f>IFERROR(INDEX('Blackout Brand Fam Areas (Enc)'!$D$6:$D$998,MATCH(UPPER(A1233)&amp;"|"&amp;UPPER(B1233),'Blackout Brand Fam Areas (Enc)'!$G$6:$G$998,0)),"No Match")</f>
        <v>No Match</v>
      </c>
      <c r="F1233" s="2" t="str">
        <f t="shared" si="38"/>
        <v>US</v>
      </c>
      <c r="G1233" s="2" t="str">
        <f t="shared" si="39"/>
        <v>Alias Brew Works|PASSAIC</v>
      </c>
    </row>
    <row r="1234" spans="1:7" x14ac:dyDescent="0.2">
      <c r="A1234" s="2" t="str" cm="1">
        <f t="array" ref="A1234">INDEX('[1]Brand Family Territory (Enc)'!$A$2:$A$296,INT((ROW()-2)/10)+1)</f>
        <v>Alias Brew Works</v>
      </c>
      <c r="B1234" s="2" t="str" cm="1">
        <f t="array" ref="B1234">INDEX('Whitelist (Blackout Reverse)'!$B$1:$K$1,MOD(ROW()-2,10)+1)</f>
        <v>PASSAIC-FF</v>
      </c>
      <c r="C1234" s="2" t="str">
        <f>VLOOKUP(A1234,'[1]Brand Family Territory (Enc)'!$A$2:$B$296,2,FALSE)</f>
        <v>All Counties</v>
      </c>
      <c r="D1234" s="2">
        <f>IF(COUNTIFS('[1]Brand Family Territories (Enc)'!$B$2:$B$62,C1234,'[1]Brand Family Territories (Enc)'!$C$2:$C$62,B1234)&gt;0,1,IF(AND(LEFT(B1234,6)="MORRIS",COUNTIFS('[1]Brand Family Territories (Enc)'!$B$2:$B$62,C1234,'[1]Brand Family Territories (Enc)'!$C$2:$C$62,"Morri")&gt;0),"Unk",0))</f>
        <v>1</v>
      </c>
      <c r="E1234" s="2" t="str">
        <f>IFERROR(INDEX('Blackout Brand Fam Areas (Enc)'!$D$6:$D$998,MATCH(UPPER(A1234)&amp;"|"&amp;UPPER(B1234),'Blackout Brand Fam Areas (Enc)'!$G$6:$G$998,0)),"No Match")</f>
        <v>No Match</v>
      </c>
      <c r="F1234" s="2" t="str">
        <f t="shared" si="38"/>
        <v>US</v>
      </c>
      <c r="G1234" s="2" t="str">
        <f t="shared" si="39"/>
        <v>Alias Brew Works|PASSAIC-FF</v>
      </c>
    </row>
    <row r="1235" spans="1:7" x14ac:dyDescent="0.2">
      <c r="A1235" s="2" t="str" cm="1">
        <f t="array" ref="A1235">INDEX('[1]Brand Family Territory (Enc)'!$A$2:$A$296,INT((ROW()-2)/10)+1)</f>
        <v>Alias Brew Works</v>
      </c>
      <c r="B1235" s="2" t="str" cm="1">
        <f t="array" ref="B1235">INDEX('Whitelist (Blackout Reverse)'!$B$1:$K$1,MOD(ROW()-2,10)+1)</f>
        <v>ESSEX</v>
      </c>
      <c r="C1235" s="2" t="str">
        <f>VLOOKUP(A1235,'[1]Brand Family Territory (Enc)'!$A$2:$B$296,2,FALSE)</f>
        <v>All Counties</v>
      </c>
      <c r="D1235" s="2">
        <f>IF(COUNTIFS('[1]Brand Family Territories (Enc)'!$B$2:$B$62,C1235,'[1]Brand Family Territories (Enc)'!$C$2:$C$62,B1235)&gt;0,1,IF(AND(LEFT(B1235,6)="MORRIS",COUNTIFS('[1]Brand Family Territories (Enc)'!$B$2:$B$62,C1235,'[1]Brand Family Territories (Enc)'!$C$2:$C$62,"Morri")&gt;0),"Unk",0))</f>
        <v>1</v>
      </c>
      <c r="E1235" s="2" t="str">
        <f>IFERROR(INDEX('Blackout Brand Fam Areas (Enc)'!$D$6:$D$998,MATCH(UPPER(A1235)&amp;"|"&amp;UPPER(B1235),'Blackout Brand Fam Areas (Enc)'!$G$6:$G$998,0)),"No Match")</f>
        <v>No Match</v>
      </c>
      <c r="F1235" s="2" t="str">
        <f t="shared" si="38"/>
        <v>US</v>
      </c>
      <c r="G1235" s="2" t="str">
        <f t="shared" si="39"/>
        <v>Alias Brew Works|ESSEX</v>
      </c>
    </row>
    <row r="1236" spans="1:7" x14ac:dyDescent="0.2">
      <c r="A1236" s="2" t="str" cm="1">
        <f t="array" ref="A1236">INDEX('[1]Brand Family Territory (Enc)'!$A$2:$A$296,INT((ROW()-2)/10)+1)</f>
        <v>Alias Brew Works</v>
      </c>
      <c r="B1236" s="2" t="str" cm="1">
        <f t="array" ref="B1236">INDEX('Whitelist (Blackout Reverse)'!$B$1:$K$1,MOD(ROW()-2,10)+1)</f>
        <v>HUDSON</v>
      </c>
      <c r="C1236" s="2" t="str">
        <f>VLOOKUP(A1236,'[1]Brand Family Territory (Enc)'!$A$2:$B$296,2,FALSE)</f>
        <v>All Counties</v>
      </c>
      <c r="D1236" s="2">
        <f>IF(COUNTIFS('[1]Brand Family Territories (Enc)'!$B$2:$B$62,C1236,'[1]Brand Family Territories (Enc)'!$C$2:$C$62,B1236)&gt;0,1,IF(AND(LEFT(B1236,6)="MORRIS",COUNTIFS('[1]Brand Family Territories (Enc)'!$B$2:$B$62,C1236,'[1]Brand Family Territories (Enc)'!$C$2:$C$62,"Morri")&gt;0),"Unk",0))</f>
        <v>1</v>
      </c>
      <c r="E1236" s="2" t="str">
        <f>IFERROR(INDEX('Blackout Brand Fam Areas (Enc)'!$D$6:$D$998,MATCH(UPPER(A1236)&amp;"|"&amp;UPPER(B1236),'Blackout Brand Fam Areas (Enc)'!$G$6:$G$998,0)),"No Match")</f>
        <v>No Match</v>
      </c>
      <c r="F1236" s="2" t="str">
        <f t="shared" si="38"/>
        <v>US</v>
      </c>
      <c r="G1236" s="2" t="str">
        <f t="shared" si="39"/>
        <v>Alias Brew Works|HUDSON</v>
      </c>
    </row>
    <row r="1237" spans="1:7" x14ac:dyDescent="0.2">
      <c r="A1237" s="2" t="str" cm="1">
        <f t="array" ref="A1237">INDEX('[1]Brand Family Territory (Enc)'!$A$2:$A$296,INT((ROW()-2)/10)+1)</f>
        <v>Alias Brew Works</v>
      </c>
      <c r="B1237" s="2" t="str" cm="1">
        <f t="array" ref="B1237">INDEX('Whitelist (Blackout Reverse)'!$B$1:$K$1,MOD(ROW()-2,10)+1)</f>
        <v>UNION</v>
      </c>
      <c r="C1237" s="2" t="str">
        <f>VLOOKUP(A1237,'[1]Brand Family Territory (Enc)'!$A$2:$B$296,2,FALSE)</f>
        <v>All Counties</v>
      </c>
      <c r="D1237" s="2">
        <f>IF(COUNTIFS('[1]Brand Family Territories (Enc)'!$B$2:$B$62,C1237,'[1]Brand Family Territories (Enc)'!$C$2:$C$62,B1237)&gt;0,1,IF(AND(LEFT(B1237,6)="MORRIS",COUNTIFS('[1]Brand Family Territories (Enc)'!$B$2:$B$62,C1237,'[1]Brand Family Territories (Enc)'!$C$2:$C$62,"Morri")&gt;0),"Unk",0))</f>
        <v>1</v>
      </c>
      <c r="E1237" s="2" t="str">
        <f>IFERROR(INDEX('Blackout Brand Fam Areas (Enc)'!$D$6:$D$998,MATCH(UPPER(A1237)&amp;"|"&amp;UPPER(B1237),'Blackout Brand Fam Areas (Enc)'!$G$6:$G$998,0)),"No Match")</f>
        <v>No Match</v>
      </c>
      <c r="F1237" s="2" t="str">
        <f t="shared" si="38"/>
        <v>US</v>
      </c>
      <c r="G1237" s="2" t="str">
        <f t="shared" si="39"/>
        <v>Alias Brew Works|UNION</v>
      </c>
    </row>
    <row r="1238" spans="1:7" x14ac:dyDescent="0.2">
      <c r="A1238" s="2" t="str" cm="1">
        <f t="array" ref="A1238">INDEX('[1]Brand Family Territory (Enc)'!$A$2:$A$296,INT((ROW()-2)/10)+1)</f>
        <v>Alias Brew Works</v>
      </c>
      <c r="B1238" s="2" t="str" cm="1">
        <f t="array" ref="B1238">INDEX('Whitelist (Blackout Reverse)'!$B$1:$K$1,MOD(ROW()-2,10)+1)</f>
        <v>SUSSEX</v>
      </c>
      <c r="C1238" s="2" t="str">
        <f>VLOOKUP(A1238,'[1]Brand Family Territory (Enc)'!$A$2:$B$296,2,FALSE)</f>
        <v>All Counties</v>
      </c>
      <c r="D1238" s="2">
        <f>IF(COUNTIFS('[1]Brand Family Territories (Enc)'!$B$2:$B$62,C1238,'[1]Brand Family Territories (Enc)'!$C$2:$C$62,B1238)&gt;0,1,IF(AND(LEFT(B1238,6)="MORRIS",COUNTIFS('[1]Brand Family Territories (Enc)'!$B$2:$B$62,C1238,'[1]Brand Family Territories (Enc)'!$C$2:$C$62,"Morri")&gt;0),"Unk",0))</f>
        <v>1</v>
      </c>
      <c r="E1238" s="2" t="str">
        <f>IFERROR(INDEX('Blackout Brand Fam Areas (Enc)'!$D$6:$D$998,MATCH(UPPER(A1238)&amp;"|"&amp;UPPER(B1238),'Blackout Brand Fam Areas (Enc)'!$G$6:$G$998,0)),"No Match")</f>
        <v>No Match</v>
      </c>
      <c r="F1238" s="2" t="str">
        <f t="shared" si="38"/>
        <v>US</v>
      </c>
      <c r="G1238" s="2" t="str">
        <f t="shared" si="39"/>
        <v>Alias Brew Works|SUSSEX</v>
      </c>
    </row>
    <row r="1239" spans="1:7" x14ac:dyDescent="0.2">
      <c r="A1239" s="2" t="str" cm="1">
        <f t="array" ref="A1239">INDEX('[1]Brand Family Territory (Enc)'!$A$2:$A$296,INT((ROW()-2)/10)+1)</f>
        <v>Alias Brew Works</v>
      </c>
      <c r="B1239" s="2" t="str" cm="1">
        <f t="array" ref="B1239">INDEX('Whitelist (Blackout Reverse)'!$B$1:$K$1,MOD(ROW()-2,10)+1)</f>
        <v>MORRIS 1</v>
      </c>
      <c r="C1239" s="2" t="str">
        <f>VLOOKUP(A1239,'[1]Brand Family Territory (Enc)'!$A$2:$B$296,2,FALSE)</f>
        <v>All Counties</v>
      </c>
      <c r="D1239" s="2">
        <f>IF(COUNTIFS('[1]Brand Family Territories (Enc)'!$B$2:$B$62,C1239,'[1]Brand Family Territories (Enc)'!$C$2:$C$62,B1239)&gt;0,1,IF(AND(LEFT(B1239,6)="MORRIS",COUNTIFS('[1]Brand Family Territories (Enc)'!$B$2:$B$62,C1239,'[1]Brand Family Territories (Enc)'!$C$2:$C$62,"Morri")&gt;0),"Unk",0))</f>
        <v>1</v>
      </c>
      <c r="E1239" s="2" t="str">
        <f>IFERROR(INDEX('Blackout Brand Fam Areas (Enc)'!$D$6:$D$998,MATCH(UPPER(A1239)&amp;"|"&amp;UPPER(B1239),'Blackout Brand Fam Areas (Enc)'!$G$6:$G$998,0)),"No Match")</f>
        <v>No Match</v>
      </c>
      <c r="F1239" s="2" t="str">
        <f t="shared" si="38"/>
        <v>US</v>
      </c>
      <c r="G1239" s="2" t="str">
        <f t="shared" si="39"/>
        <v>Alias Brew Works|MORRIS 1</v>
      </c>
    </row>
    <row r="1240" spans="1:7" x14ac:dyDescent="0.2">
      <c r="A1240" s="2" t="str" cm="1">
        <f t="array" ref="A1240">INDEX('[1]Brand Family Territory (Enc)'!$A$2:$A$296,INT((ROW()-2)/10)+1)</f>
        <v>Alias Brew Works</v>
      </c>
      <c r="B1240" s="2" t="str" cm="1">
        <f t="array" ref="B1240">INDEX('Whitelist (Blackout Reverse)'!$B$1:$K$1,MOD(ROW()-2,10)+1)</f>
        <v>MORRIS 2</v>
      </c>
      <c r="C1240" s="2" t="str">
        <f>VLOOKUP(A1240,'[1]Brand Family Territory (Enc)'!$A$2:$B$296,2,FALSE)</f>
        <v>All Counties</v>
      </c>
      <c r="D1240" s="2">
        <f>IF(COUNTIFS('[1]Brand Family Territories (Enc)'!$B$2:$B$62,C1240,'[1]Brand Family Territories (Enc)'!$C$2:$C$62,B1240)&gt;0,1,IF(AND(LEFT(B1240,6)="MORRIS",COUNTIFS('[1]Brand Family Territories (Enc)'!$B$2:$B$62,C1240,'[1]Brand Family Territories (Enc)'!$C$2:$C$62,"Morri")&gt;0),"Unk",0))</f>
        <v>1</v>
      </c>
      <c r="E1240" s="2" t="str">
        <f>IFERROR(INDEX('Blackout Brand Fam Areas (Enc)'!$D$6:$D$998,MATCH(UPPER(A1240)&amp;"|"&amp;UPPER(B1240),'Blackout Brand Fam Areas (Enc)'!$G$6:$G$998,0)),"No Match")</f>
        <v>No Match</v>
      </c>
      <c r="F1240" s="2" t="str">
        <f t="shared" si="38"/>
        <v>US</v>
      </c>
      <c r="G1240" s="2" t="str">
        <f t="shared" si="39"/>
        <v>Alias Brew Works|MORRIS 2</v>
      </c>
    </row>
    <row r="1241" spans="1:7" x14ac:dyDescent="0.2">
      <c r="A1241" s="2" t="str" cm="1">
        <f t="array" ref="A1241">INDEX('[1]Brand Family Territory (Enc)'!$A$2:$A$296,INT((ROW()-2)/10)+1)</f>
        <v>Alias Brew Works</v>
      </c>
      <c r="B1241" s="2" t="str" cm="1">
        <f t="array" ref="B1241">INDEX('Whitelist (Blackout Reverse)'!$B$1:$K$1,MOD(ROW()-2,10)+1)</f>
        <v>MORRIS 3</v>
      </c>
      <c r="C1241" s="2" t="str">
        <f>VLOOKUP(A1241,'[1]Brand Family Territory (Enc)'!$A$2:$B$296,2,FALSE)</f>
        <v>All Counties</v>
      </c>
      <c r="D1241" s="2">
        <f>IF(COUNTIFS('[1]Brand Family Territories (Enc)'!$B$2:$B$62,C1241,'[1]Brand Family Territories (Enc)'!$C$2:$C$62,B1241)&gt;0,1,IF(AND(LEFT(B1241,6)="MORRIS",COUNTIFS('[1]Brand Family Territories (Enc)'!$B$2:$B$62,C1241,'[1]Brand Family Territories (Enc)'!$C$2:$C$62,"Morri")&gt;0),"Unk",0))</f>
        <v>1</v>
      </c>
      <c r="E1241" s="2" t="str">
        <f>IFERROR(INDEX('Blackout Brand Fam Areas (Enc)'!$D$6:$D$998,MATCH(UPPER(A1241)&amp;"|"&amp;UPPER(B1241),'Blackout Brand Fam Areas (Enc)'!$G$6:$G$998,0)),"No Match")</f>
        <v>No Match</v>
      </c>
      <c r="F1241" s="2" t="str">
        <f t="shared" si="38"/>
        <v>US</v>
      </c>
      <c r="G1241" s="2" t="str">
        <f t="shared" si="39"/>
        <v>Alias Brew Works|MORRIS 3</v>
      </c>
    </row>
    <row r="1242" spans="1:7" x14ac:dyDescent="0.2">
      <c r="A1242" s="2" t="str" cm="1">
        <f t="array" ref="A1242">INDEX('[1]Brand Family Territory (Enc)'!$A$2:$A$296,INT((ROW()-2)/10)+1)</f>
        <v>Alte Beverage</v>
      </c>
      <c r="B1242" s="2" t="str" cm="1">
        <f t="array" ref="B1242">INDEX('Whitelist (Blackout Reverse)'!$B$1:$K$1,MOD(ROW()-2,10)+1)</f>
        <v>BERGEN</v>
      </c>
      <c r="C1242" s="2" t="str">
        <f>VLOOKUP(A1242,'[1]Brand Family Territory (Enc)'!$A$2:$B$296,2,FALSE)</f>
        <v>All Counties</v>
      </c>
      <c r="D1242" s="2">
        <f>IF(COUNTIFS('[1]Brand Family Territories (Enc)'!$B$2:$B$62,C1242,'[1]Brand Family Territories (Enc)'!$C$2:$C$62,B1242)&gt;0,1,IF(AND(LEFT(B1242,6)="MORRIS",COUNTIFS('[1]Brand Family Territories (Enc)'!$B$2:$B$62,C1242,'[1]Brand Family Territories (Enc)'!$C$2:$C$62,"Morri")&gt;0),"Unk",0))</f>
        <v>1</v>
      </c>
      <c r="E1242" s="2" t="str">
        <f>IFERROR(INDEX('Blackout Brand Fam Areas (Enc)'!$D$6:$D$998,MATCH(UPPER(A1242)&amp;"|"&amp;UPPER(B1242),'Blackout Brand Fam Areas (Enc)'!$G$6:$G$998,0)),"No Match")</f>
        <v>No Match</v>
      </c>
      <c r="F1242" s="2" t="str">
        <f t="shared" si="38"/>
        <v>US</v>
      </c>
      <c r="G1242" s="2" t="str">
        <f t="shared" si="39"/>
        <v>Alte Beverage|BERGEN</v>
      </c>
    </row>
    <row r="1243" spans="1:7" x14ac:dyDescent="0.2">
      <c r="A1243" s="2" t="str" cm="1">
        <f t="array" ref="A1243">INDEX('[1]Brand Family Territory (Enc)'!$A$2:$A$296,INT((ROW()-2)/10)+1)</f>
        <v>Alte Beverage</v>
      </c>
      <c r="B1243" s="2" t="str" cm="1">
        <f t="array" ref="B1243">INDEX('Whitelist (Blackout Reverse)'!$B$1:$K$1,MOD(ROW()-2,10)+1)</f>
        <v>PASSAIC</v>
      </c>
      <c r="C1243" s="2" t="str">
        <f>VLOOKUP(A1243,'[1]Brand Family Territory (Enc)'!$A$2:$B$296,2,FALSE)</f>
        <v>All Counties</v>
      </c>
      <c r="D1243" s="2">
        <f>IF(COUNTIFS('[1]Brand Family Territories (Enc)'!$B$2:$B$62,C1243,'[1]Brand Family Territories (Enc)'!$C$2:$C$62,B1243)&gt;0,1,IF(AND(LEFT(B1243,6)="MORRIS",COUNTIFS('[1]Brand Family Territories (Enc)'!$B$2:$B$62,C1243,'[1]Brand Family Territories (Enc)'!$C$2:$C$62,"Morri")&gt;0),"Unk",0))</f>
        <v>1</v>
      </c>
      <c r="E1243" s="2" t="str">
        <f>IFERROR(INDEX('Blackout Brand Fam Areas (Enc)'!$D$6:$D$998,MATCH(UPPER(A1243)&amp;"|"&amp;UPPER(B1243),'Blackout Brand Fam Areas (Enc)'!$G$6:$G$998,0)),"No Match")</f>
        <v>No Match</v>
      </c>
      <c r="F1243" s="2" t="str">
        <f t="shared" si="38"/>
        <v>US</v>
      </c>
      <c r="G1243" s="2" t="str">
        <f t="shared" si="39"/>
        <v>Alte Beverage|PASSAIC</v>
      </c>
    </row>
    <row r="1244" spans="1:7" x14ac:dyDescent="0.2">
      <c r="A1244" s="2" t="str" cm="1">
        <f t="array" ref="A1244">INDEX('[1]Brand Family Territory (Enc)'!$A$2:$A$296,INT((ROW()-2)/10)+1)</f>
        <v>Alte Beverage</v>
      </c>
      <c r="B1244" s="2" t="str" cm="1">
        <f t="array" ref="B1244">INDEX('Whitelist (Blackout Reverse)'!$B$1:$K$1,MOD(ROW()-2,10)+1)</f>
        <v>PASSAIC-FF</v>
      </c>
      <c r="C1244" s="2" t="str">
        <f>VLOOKUP(A1244,'[1]Brand Family Territory (Enc)'!$A$2:$B$296,2,FALSE)</f>
        <v>All Counties</v>
      </c>
      <c r="D1244" s="2">
        <f>IF(COUNTIFS('[1]Brand Family Territories (Enc)'!$B$2:$B$62,C1244,'[1]Brand Family Territories (Enc)'!$C$2:$C$62,B1244)&gt;0,1,IF(AND(LEFT(B1244,6)="MORRIS",COUNTIFS('[1]Brand Family Territories (Enc)'!$B$2:$B$62,C1244,'[1]Brand Family Territories (Enc)'!$C$2:$C$62,"Morri")&gt;0),"Unk",0))</f>
        <v>1</v>
      </c>
      <c r="E1244" s="2" t="str">
        <f>IFERROR(INDEX('Blackout Brand Fam Areas (Enc)'!$D$6:$D$998,MATCH(UPPER(A1244)&amp;"|"&amp;UPPER(B1244),'Blackout Brand Fam Areas (Enc)'!$G$6:$G$998,0)),"No Match")</f>
        <v>No Match</v>
      </c>
      <c r="F1244" s="2" t="str">
        <f t="shared" si="38"/>
        <v>US</v>
      </c>
      <c r="G1244" s="2" t="str">
        <f t="shared" si="39"/>
        <v>Alte Beverage|PASSAIC-FF</v>
      </c>
    </row>
    <row r="1245" spans="1:7" x14ac:dyDescent="0.2">
      <c r="A1245" s="2" t="str" cm="1">
        <f t="array" ref="A1245">INDEX('[1]Brand Family Territory (Enc)'!$A$2:$A$296,INT((ROW()-2)/10)+1)</f>
        <v>Alte Beverage</v>
      </c>
      <c r="B1245" s="2" t="str" cm="1">
        <f t="array" ref="B1245">INDEX('Whitelist (Blackout Reverse)'!$B$1:$K$1,MOD(ROW()-2,10)+1)</f>
        <v>ESSEX</v>
      </c>
      <c r="C1245" s="2" t="str">
        <f>VLOOKUP(A1245,'[1]Brand Family Territory (Enc)'!$A$2:$B$296,2,FALSE)</f>
        <v>All Counties</v>
      </c>
      <c r="D1245" s="2">
        <f>IF(COUNTIFS('[1]Brand Family Territories (Enc)'!$B$2:$B$62,C1245,'[1]Brand Family Territories (Enc)'!$C$2:$C$62,B1245)&gt;0,1,IF(AND(LEFT(B1245,6)="MORRIS",COUNTIFS('[1]Brand Family Territories (Enc)'!$B$2:$B$62,C1245,'[1]Brand Family Territories (Enc)'!$C$2:$C$62,"Morri")&gt;0),"Unk",0))</f>
        <v>1</v>
      </c>
      <c r="E1245" s="2" t="str">
        <f>IFERROR(INDEX('Blackout Brand Fam Areas (Enc)'!$D$6:$D$998,MATCH(UPPER(A1245)&amp;"|"&amp;UPPER(B1245),'Blackout Brand Fam Areas (Enc)'!$G$6:$G$998,0)),"No Match")</f>
        <v>No Match</v>
      </c>
      <c r="F1245" s="2" t="str">
        <f t="shared" si="38"/>
        <v>US</v>
      </c>
      <c r="G1245" s="2" t="str">
        <f t="shared" si="39"/>
        <v>Alte Beverage|ESSEX</v>
      </c>
    </row>
    <row r="1246" spans="1:7" x14ac:dyDescent="0.2">
      <c r="A1246" s="2" t="str" cm="1">
        <f t="array" ref="A1246">INDEX('[1]Brand Family Territory (Enc)'!$A$2:$A$296,INT((ROW()-2)/10)+1)</f>
        <v>Alte Beverage</v>
      </c>
      <c r="B1246" s="2" t="str" cm="1">
        <f t="array" ref="B1246">INDEX('Whitelist (Blackout Reverse)'!$B$1:$K$1,MOD(ROW()-2,10)+1)</f>
        <v>HUDSON</v>
      </c>
      <c r="C1246" s="2" t="str">
        <f>VLOOKUP(A1246,'[1]Brand Family Territory (Enc)'!$A$2:$B$296,2,FALSE)</f>
        <v>All Counties</v>
      </c>
      <c r="D1246" s="2">
        <f>IF(COUNTIFS('[1]Brand Family Territories (Enc)'!$B$2:$B$62,C1246,'[1]Brand Family Territories (Enc)'!$C$2:$C$62,B1246)&gt;0,1,IF(AND(LEFT(B1246,6)="MORRIS",COUNTIFS('[1]Brand Family Territories (Enc)'!$B$2:$B$62,C1246,'[1]Brand Family Territories (Enc)'!$C$2:$C$62,"Morri")&gt;0),"Unk",0))</f>
        <v>1</v>
      </c>
      <c r="E1246" s="2" t="str">
        <f>IFERROR(INDEX('Blackout Brand Fam Areas (Enc)'!$D$6:$D$998,MATCH(UPPER(A1246)&amp;"|"&amp;UPPER(B1246),'Blackout Brand Fam Areas (Enc)'!$G$6:$G$998,0)),"No Match")</f>
        <v>No Match</v>
      </c>
      <c r="F1246" s="2" t="str">
        <f t="shared" si="38"/>
        <v>US</v>
      </c>
      <c r="G1246" s="2" t="str">
        <f t="shared" si="39"/>
        <v>Alte Beverage|HUDSON</v>
      </c>
    </row>
    <row r="1247" spans="1:7" x14ac:dyDescent="0.2">
      <c r="A1247" s="2" t="str" cm="1">
        <f t="array" ref="A1247">INDEX('[1]Brand Family Territory (Enc)'!$A$2:$A$296,INT((ROW()-2)/10)+1)</f>
        <v>Alte Beverage</v>
      </c>
      <c r="B1247" s="2" t="str" cm="1">
        <f t="array" ref="B1247">INDEX('Whitelist (Blackout Reverse)'!$B$1:$K$1,MOD(ROW()-2,10)+1)</f>
        <v>UNION</v>
      </c>
      <c r="C1247" s="2" t="str">
        <f>VLOOKUP(A1247,'[1]Brand Family Territory (Enc)'!$A$2:$B$296,2,FALSE)</f>
        <v>All Counties</v>
      </c>
      <c r="D1247" s="2">
        <f>IF(COUNTIFS('[1]Brand Family Territories (Enc)'!$B$2:$B$62,C1247,'[1]Brand Family Territories (Enc)'!$C$2:$C$62,B1247)&gt;0,1,IF(AND(LEFT(B1247,6)="MORRIS",COUNTIFS('[1]Brand Family Territories (Enc)'!$B$2:$B$62,C1247,'[1]Brand Family Territories (Enc)'!$C$2:$C$62,"Morri")&gt;0),"Unk",0))</f>
        <v>1</v>
      </c>
      <c r="E1247" s="2" t="str">
        <f>IFERROR(INDEX('Blackout Brand Fam Areas (Enc)'!$D$6:$D$998,MATCH(UPPER(A1247)&amp;"|"&amp;UPPER(B1247),'Blackout Brand Fam Areas (Enc)'!$G$6:$G$998,0)),"No Match")</f>
        <v>No Match</v>
      </c>
      <c r="F1247" s="2" t="str">
        <f t="shared" si="38"/>
        <v>US</v>
      </c>
      <c r="G1247" s="2" t="str">
        <f t="shared" si="39"/>
        <v>Alte Beverage|UNION</v>
      </c>
    </row>
    <row r="1248" spans="1:7" x14ac:dyDescent="0.2">
      <c r="A1248" s="2" t="str" cm="1">
        <f t="array" ref="A1248">INDEX('[1]Brand Family Territory (Enc)'!$A$2:$A$296,INT((ROW()-2)/10)+1)</f>
        <v>Alte Beverage</v>
      </c>
      <c r="B1248" s="2" t="str" cm="1">
        <f t="array" ref="B1248">INDEX('Whitelist (Blackout Reverse)'!$B$1:$K$1,MOD(ROW()-2,10)+1)</f>
        <v>SUSSEX</v>
      </c>
      <c r="C1248" s="2" t="str">
        <f>VLOOKUP(A1248,'[1]Brand Family Territory (Enc)'!$A$2:$B$296,2,FALSE)</f>
        <v>All Counties</v>
      </c>
      <c r="D1248" s="2">
        <f>IF(COUNTIFS('[1]Brand Family Territories (Enc)'!$B$2:$B$62,C1248,'[1]Brand Family Territories (Enc)'!$C$2:$C$62,B1248)&gt;0,1,IF(AND(LEFT(B1248,6)="MORRIS",COUNTIFS('[1]Brand Family Territories (Enc)'!$B$2:$B$62,C1248,'[1]Brand Family Territories (Enc)'!$C$2:$C$62,"Morri")&gt;0),"Unk",0))</f>
        <v>1</v>
      </c>
      <c r="E1248" s="2" t="str">
        <f>IFERROR(INDEX('Blackout Brand Fam Areas (Enc)'!$D$6:$D$998,MATCH(UPPER(A1248)&amp;"|"&amp;UPPER(B1248),'Blackout Brand Fam Areas (Enc)'!$G$6:$G$998,0)),"No Match")</f>
        <v>No Match</v>
      </c>
      <c r="F1248" s="2" t="str">
        <f t="shared" si="38"/>
        <v>US</v>
      </c>
      <c r="G1248" s="2" t="str">
        <f t="shared" si="39"/>
        <v>Alte Beverage|SUSSEX</v>
      </c>
    </row>
    <row r="1249" spans="1:7" x14ac:dyDescent="0.2">
      <c r="A1249" s="2" t="str" cm="1">
        <f t="array" ref="A1249">INDEX('[1]Brand Family Territory (Enc)'!$A$2:$A$296,INT((ROW()-2)/10)+1)</f>
        <v>Alte Beverage</v>
      </c>
      <c r="B1249" s="2" t="str" cm="1">
        <f t="array" ref="B1249">INDEX('Whitelist (Blackout Reverse)'!$B$1:$K$1,MOD(ROW()-2,10)+1)</f>
        <v>MORRIS 1</v>
      </c>
      <c r="C1249" s="2" t="str">
        <f>VLOOKUP(A1249,'[1]Brand Family Territory (Enc)'!$A$2:$B$296,2,FALSE)</f>
        <v>All Counties</v>
      </c>
      <c r="D1249" s="2">
        <f>IF(COUNTIFS('[1]Brand Family Territories (Enc)'!$B$2:$B$62,C1249,'[1]Brand Family Territories (Enc)'!$C$2:$C$62,B1249)&gt;0,1,IF(AND(LEFT(B1249,6)="MORRIS",COUNTIFS('[1]Brand Family Territories (Enc)'!$B$2:$B$62,C1249,'[1]Brand Family Territories (Enc)'!$C$2:$C$62,"Morri")&gt;0),"Unk",0))</f>
        <v>1</v>
      </c>
      <c r="E1249" s="2" t="str">
        <f>IFERROR(INDEX('Blackout Brand Fam Areas (Enc)'!$D$6:$D$998,MATCH(UPPER(A1249)&amp;"|"&amp;UPPER(B1249),'Blackout Brand Fam Areas (Enc)'!$G$6:$G$998,0)),"No Match")</f>
        <v>No Match</v>
      </c>
      <c r="F1249" s="2" t="str">
        <f t="shared" si="38"/>
        <v>US</v>
      </c>
      <c r="G1249" s="2" t="str">
        <f t="shared" si="39"/>
        <v>Alte Beverage|MORRIS 1</v>
      </c>
    </row>
    <row r="1250" spans="1:7" x14ac:dyDescent="0.2">
      <c r="A1250" s="2" t="str" cm="1">
        <f t="array" ref="A1250">INDEX('[1]Brand Family Territory (Enc)'!$A$2:$A$296,INT((ROW()-2)/10)+1)</f>
        <v>Alte Beverage</v>
      </c>
      <c r="B1250" s="2" t="str" cm="1">
        <f t="array" ref="B1250">INDEX('Whitelist (Blackout Reverse)'!$B$1:$K$1,MOD(ROW()-2,10)+1)</f>
        <v>MORRIS 2</v>
      </c>
      <c r="C1250" s="2" t="str">
        <f>VLOOKUP(A1250,'[1]Brand Family Territory (Enc)'!$A$2:$B$296,2,FALSE)</f>
        <v>All Counties</v>
      </c>
      <c r="D1250" s="2">
        <f>IF(COUNTIFS('[1]Brand Family Territories (Enc)'!$B$2:$B$62,C1250,'[1]Brand Family Territories (Enc)'!$C$2:$C$62,B1250)&gt;0,1,IF(AND(LEFT(B1250,6)="MORRIS",COUNTIFS('[1]Brand Family Territories (Enc)'!$B$2:$B$62,C1250,'[1]Brand Family Territories (Enc)'!$C$2:$C$62,"Morri")&gt;0),"Unk",0))</f>
        <v>1</v>
      </c>
      <c r="E1250" s="2" t="str">
        <f>IFERROR(INDEX('Blackout Brand Fam Areas (Enc)'!$D$6:$D$998,MATCH(UPPER(A1250)&amp;"|"&amp;UPPER(B1250),'Blackout Brand Fam Areas (Enc)'!$G$6:$G$998,0)),"No Match")</f>
        <v>No Match</v>
      </c>
      <c r="F1250" s="2" t="str">
        <f t="shared" si="38"/>
        <v>US</v>
      </c>
      <c r="G1250" s="2" t="str">
        <f t="shared" si="39"/>
        <v>Alte Beverage|MORRIS 2</v>
      </c>
    </row>
    <row r="1251" spans="1:7" x14ac:dyDescent="0.2">
      <c r="A1251" s="2" t="str" cm="1">
        <f t="array" ref="A1251">INDEX('[1]Brand Family Territory (Enc)'!$A$2:$A$296,INT((ROW()-2)/10)+1)</f>
        <v>Alte Beverage</v>
      </c>
      <c r="B1251" s="2" t="str" cm="1">
        <f t="array" ref="B1251">INDEX('Whitelist (Blackout Reverse)'!$B$1:$K$1,MOD(ROW()-2,10)+1)</f>
        <v>MORRIS 3</v>
      </c>
      <c r="C1251" s="2" t="str">
        <f>VLOOKUP(A1251,'[1]Brand Family Territory (Enc)'!$A$2:$B$296,2,FALSE)</f>
        <v>All Counties</v>
      </c>
      <c r="D1251" s="2">
        <f>IF(COUNTIFS('[1]Brand Family Territories (Enc)'!$B$2:$B$62,C1251,'[1]Brand Family Territories (Enc)'!$C$2:$C$62,B1251)&gt;0,1,IF(AND(LEFT(B1251,6)="MORRIS",COUNTIFS('[1]Brand Family Territories (Enc)'!$B$2:$B$62,C1251,'[1]Brand Family Territories (Enc)'!$C$2:$C$62,"Morri")&gt;0),"Unk",0))</f>
        <v>1</v>
      </c>
      <c r="E1251" s="2" t="str">
        <f>IFERROR(INDEX('Blackout Brand Fam Areas (Enc)'!$D$6:$D$998,MATCH(UPPER(A1251)&amp;"|"&amp;UPPER(B1251),'Blackout Brand Fam Areas (Enc)'!$G$6:$G$998,0)),"No Match")</f>
        <v>No Match</v>
      </c>
      <c r="F1251" s="2" t="str">
        <f t="shared" si="38"/>
        <v>US</v>
      </c>
      <c r="G1251" s="2" t="str">
        <f t="shared" si="39"/>
        <v>Alte Beverage|MORRIS 3</v>
      </c>
    </row>
    <row r="1252" spans="1:7" x14ac:dyDescent="0.2">
      <c r="A1252" s="2" t="str" cm="1">
        <f t="array" ref="A1252">INDEX('[1]Brand Family Territory (Enc)'!$A$2:$A$296,INT((ROW()-2)/10)+1)</f>
        <v>Arizona Hard</v>
      </c>
      <c r="B1252" s="2" t="str" cm="1">
        <f t="array" ref="B1252">INDEX('Whitelist (Blackout Reverse)'!$B$1:$K$1,MOD(ROW()-2,10)+1)</f>
        <v>BERGEN</v>
      </c>
      <c r="C1252" s="2" t="str">
        <f>VLOOKUP(A1252,'[1]Brand Family Territory (Enc)'!$A$2:$B$296,2,FALSE)</f>
        <v>All Counties</v>
      </c>
      <c r="D1252" s="2">
        <f>IF(COUNTIFS('[1]Brand Family Territories (Enc)'!$B$2:$B$62,C1252,'[1]Brand Family Territories (Enc)'!$C$2:$C$62,B1252)&gt;0,1,IF(AND(LEFT(B1252,6)="MORRIS",COUNTIFS('[1]Brand Family Territories (Enc)'!$B$2:$B$62,C1252,'[1]Brand Family Territories (Enc)'!$C$2:$C$62,"Morri")&gt;0),"Unk",0))</f>
        <v>1</v>
      </c>
      <c r="E1252" s="2" t="str">
        <f>IFERROR(INDEX('Blackout Brand Fam Areas (Enc)'!$D$6:$D$998,MATCH(UPPER(A1252)&amp;"|"&amp;UPPER(B1252),'Blackout Brand Fam Areas (Enc)'!$G$6:$G$998,0)),"No Match")</f>
        <v>No Match</v>
      </c>
      <c r="F1252" s="2" t="str">
        <f t="shared" si="38"/>
        <v>US</v>
      </c>
      <c r="G1252" s="2" t="str">
        <f t="shared" si="39"/>
        <v>Arizona Hard|BERGEN</v>
      </c>
    </row>
    <row r="1253" spans="1:7" x14ac:dyDescent="0.2">
      <c r="A1253" s="2" t="str" cm="1">
        <f t="array" ref="A1253">INDEX('[1]Brand Family Territory (Enc)'!$A$2:$A$296,INT((ROW()-2)/10)+1)</f>
        <v>Arizona Hard</v>
      </c>
      <c r="B1253" s="2" t="str" cm="1">
        <f t="array" ref="B1253">INDEX('Whitelist (Blackout Reverse)'!$B$1:$K$1,MOD(ROW()-2,10)+1)</f>
        <v>PASSAIC</v>
      </c>
      <c r="C1253" s="2" t="str">
        <f>VLOOKUP(A1253,'[1]Brand Family Territory (Enc)'!$A$2:$B$296,2,FALSE)</f>
        <v>All Counties</v>
      </c>
      <c r="D1253" s="2">
        <f>IF(COUNTIFS('[1]Brand Family Territories (Enc)'!$B$2:$B$62,C1253,'[1]Brand Family Territories (Enc)'!$C$2:$C$62,B1253)&gt;0,1,IF(AND(LEFT(B1253,6)="MORRIS",COUNTIFS('[1]Brand Family Territories (Enc)'!$B$2:$B$62,C1253,'[1]Brand Family Territories (Enc)'!$C$2:$C$62,"Morri")&gt;0),"Unk",0))</f>
        <v>1</v>
      </c>
      <c r="E1253" s="2" t="str">
        <f>IFERROR(INDEX('Blackout Brand Fam Areas (Enc)'!$D$6:$D$998,MATCH(UPPER(A1253)&amp;"|"&amp;UPPER(B1253),'Blackout Brand Fam Areas (Enc)'!$G$6:$G$998,0)),"No Match")</f>
        <v>No Match</v>
      </c>
      <c r="F1253" s="2" t="str">
        <f t="shared" si="38"/>
        <v>US</v>
      </c>
      <c r="G1253" s="2" t="str">
        <f t="shared" si="39"/>
        <v>Arizona Hard|PASSAIC</v>
      </c>
    </row>
    <row r="1254" spans="1:7" x14ac:dyDescent="0.2">
      <c r="A1254" s="2" t="str" cm="1">
        <f t="array" ref="A1254">INDEX('[1]Brand Family Territory (Enc)'!$A$2:$A$296,INT((ROW()-2)/10)+1)</f>
        <v>Arizona Hard</v>
      </c>
      <c r="B1254" s="2" t="str" cm="1">
        <f t="array" ref="B1254">INDEX('Whitelist (Blackout Reverse)'!$B$1:$K$1,MOD(ROW()-2,10)+1)</f>
        <v>PASSAIC-FF</v>
      </c>
      <c r="C1254" s="2" t="str">
        <f>VLOOKUP(A1254,'[1]Brand Family Territory (Enc)'!$A$2:$B$296,2,FALSE)</f>
        <v>All Counties</v>
      </c>
      <c r="D1254" s="2">
        <f>IF(COUNTIFS('[1]Brand Family Territories (Enc)'!$B$2:$B$62,C1254,'[1]Brand Family Territories (Enc)'!$C$2:$C$62,B1254)&gt;0,1,IF(AND(LEFT(B1254,6)="MORRIS",COUNTIFS('[1]Brand Family Territories (Enc)'!$B$2:$B$62,C1254,'[1]Brand Family Territories (Enc)'!$C$2:$C$62,"Morri")&gt;0),"Unk",0))</f>
        <v>1</v>
      </c>
      <c r="E1254" s="2" t="str">
        <f>IFERROR(INDEX('Blackout Brand Fam Areas (Enc)'!$D$6:$D$998,MATCH(UPPER(A1254)&amp;"|"&amp;UPPER(B1254),'Blackout Brand Fam Areas (Enc)'!$G$6:$G$998,0)),"No Match")</f>
        <v>No Match</v>
      </c>
      <c r="F1254" s="2" t="str">
        <f t="shared" si="38"/>
        <v>US</v>
      </c>
      <c r="G1254" s="2" t="str">
        <f t="shared" si="39"/>
        <v>Arizona Hard|PASSAIC-FF</v>
      </c>
    </row>
    <row r="1255" spans="1:7" x14ac:dyDescent="0.2">
      <c r="A1255" s="2" t="str" cm="1">
        <f t="array" ref="A1255">INDEX('[1]Brand Family Territory (Enc)'!$A$2:$A$296,INT((ROW()-2)/10)+1)</f>
        <v>Arizona Hard</v>
      </c>
      <c r="B1255" s="2" t="str" cm="1">
        <f t="array" ref="B1255">INDEX('Whitelist (Blackout Reverse)'!$B$1:$K$1,MOD(ROW()-2,10)+1)</f>
        <v>ESSEX</v>
      </c>
      <c r="C1255" s="2" t="str">
        <f>VLOOKUP(A1255,'[1]Brand Family Territory (Enc)'!$A$2:$B$296,2,FALSE)</f>
        <v>All Counties</v>
      </c>
      <c r="D1255" s="2">
        <f>IF(COUNTIFS('[1]Brand Family Territories (Enc)'!$B$2:$B$62,C1255,'[1]Brand Family Territories (Enc)'!$C$2:$C$62,B1255)&gt;0,1,IF(AND(LEFT(B1255,6)="MORRIS",COUNTIFS('[1]Brand Family Territories (Enc)'!$B$2:$B$62,C1255,'[1]Brand Family Territories (Enc)'!$C$2:$C$62,"Morri")&gt;0),"Unk",0))</f>
        <v>1</v>
      </c>
      <c r="E1255" s="2" t="str">
        <f>IFERROR(INDEX('Blackout Brand Fam Areas (Enc)'!$D$6:$D$998,MATCH(UPPER(A1255)&amp;"|"&amp;UPPER(B1255),'Blackout Brand Fam Areas (Enc)'!$G$6:$G$998,0)),"No Match")</f>
        <v>No Match</v>
      </c>
      <c r="F1255" s="2" t="str">
        <f t="shared" si="38"/>
        <v>US</v>
      </c>
      <c r="G1255" s="2" t="str">
        <f t="shared" si="39"/>
        <v>Arizona Hard|ESSEX</v>
      </c>
    </row>
    <row r="1256" spans="1:7" x14ac:dyDescent="0.2">
      <c r="A1256" s="2" t="str" cm="1">
        <f t="array" ref="A1256">INDEX('[1]Brand Family Territory (Enc)'!$A$2:$A$296,INT((ROW()-2)/10)+1)</f>
        <v>Arizona Hard</v>
      </c>
      <c r="B1256" s="2" t="str" cm="1">
        <f t="array" ref="B1256">INDEX('Whitelist (Blackout Reverse)'!$B$1:$K$1,MOD(ROW()-2,10)+1)</f>
        <v>HUDSON</v>
      </c>
      <c r="C1256" s="2" t="str">
        <f>VLOOKUP(A1256,'[1]Brand Family Territory (Enc)'!$A$2:$B$296,2,FALSE)</f>
        <v>All Counties</v>
      </c>
      <c r="D1256" s="2">
        <f>IF(COUNTIFS('[1]Brand Family Territories (Enc)'!$B$2:$B$62,C1256,'[1]Brand Family Territories (Enc)'!$C$2:$C$62,B1256)&gt;0,1,IF(AND(LEFT(B1256,6)="MORRIS",COUNTIFS('[1]Brand Family Territories (Enc)'!$B$2:$B$62,C1256,'[1]Brand Family Territories (Enc)'!$C$2:$C$62,"Morri")&gt;0),"Unk",0))</f>
        <v>1</v>
      </c>
      <c r="E1256" s="2" t="str">
        <f>IFERROR(INDEX('Blackout Brand Fam Areas (Enc)'!$D$6:$D$998,MATCH(UPPER(A1256)&amp;"|"&amp;UPPER(B1256),'Blackout Brand Fam Areas (Enc)'!$G$6:$G$998,0)),"No Match")</f>
        <v>No Match</v>
      </c>
      <c r="F1256" s="2" t="str">
        <f t="shared" si="38"/>
        <v>US</v>
      </c>
      <c r="G1256" s="2" t="str">
        <f t="shared" si="39"/>
        <v>Arizona Hard|HUDSON</v>
      </c>
    </row>
    <row r="1257" spans="1:7" x14ac:dyDescent="0.2">
      <c r="A1257" s="2" t="str" cm="1">
        <f t="array" ref="A1257">INDEX('[1]Brand Family Territory (Enc)'!$A$2:$A$296,INT((ROW()-2)/10)+1)</f>
        <v>Arizona Hard</v>
      </c>
      <c r="B1257" s="2" t="str" cm="1">
        <f t="array" ref="B1257">INDEX('Whitelist (Blackout Reverse)'!$B$1:$K$1,MOD(ROW()-2,10)+1)</f>
        <v>UNION</v>
      </c>
      <c r="C1257" s="2" t="str">
        <f>VLOOKUP(A1257,'[1]Brand Family Territory (Enc)'!$A$2:$B$296,2,FALSE)</f>
        <v>All Counties</v>
      </c>
      <c r="D1257" s="2">
        <f>IF(COUNTIFS('[1]Brand Family Territories (Enc)'!$B$2:$B$62,C1257,'[1]Brand Family Territories (Enc)'!$C$2:$C$62,B1257)&gt;0,1,IF(AND(LEFT(B1257,6)="MORRIS",COUNTIFS('[1]Brand Family Territories (Enc)'!$B$2:$B$62,C1257,'[1]Brand Family Territories (Enc)'!$C$2:$C$62,"Morri")&gt;0),"Unk",0))</f>
        <v>1</v>
      </c>
      <c r="E1257" s="2" t="str">
        <f>IFERROR(INDEX('Blackout Brand Fam Areas (Enc)'!$D$6:$D$998,MATCH(UPPER(A1257)&amp;"|"&amp;UPPER(B1257),'Blackout Brand Fam Areas (Enc)'!$G$6:$G$998,0)),"No Match")</f>
        <v>No Match</v>
      </c>
      <c r="F1257" s="2" t="str">
        <f t="shared" si="38"/>
        <v>US</v>
      </c>
      <c r="G1257" s="2" t="str">
        <f t="shared" si="39"/>
        <v>Arizona Hard|UNION</v>
      </c>
    </row>
    <row r="1258" spans="1:7" x14ac:dyDescent="0.2">
      <c r="A1258" s="2" t="str" cm="1">
        <f t="array" ref="A1258">INDEX('[1]Brand Family Territory (Enc)'!$A$2:$A$296,INT((ROW()-2)/10)+1)</f>
        <v>Arizona Hard</v>
      </c>
      <c r="B1258" s="2" t="str" cm="1">
        <f t="array" ref="B1258">INDEX('Whitelist (Blackout Reverse)'!$B$1:$K$1,MOD(ROW()-2,10)+1)</f>
        <v>SUSSEX</v>
      </c>
      <c r="C1258" s="2" t="str">
        <f>VLOOKUP(A1258,'[1]Brand Family Territory (Enc)'!$A$2:$B$296,2,FALSE)</f>
        <v>All Counties</v>
      </c>
      <c r="D1258" s="2">
        <f>IF(COUNTIFS('[1]Brand Family Territories (Enc)'!$B$2:$B$62,C1258,'[1]Brand Family Territories (Enc)'!$C$2:$C$62,B1258)&gt;0,1,IF(AND(LEFT(B1258,6)="MORRIS",COUNTIFS('[1]Brand Family Territories (Enc)'!$B$2:$B$62,C1258,'[1]Brand Family Territories (Enc)'!$C$2:$C$62,"Morri")&gt;0),"Unk",0))</f>
        <v>1</v>
      </c>
      <c r="E1258" s="2" t="str">
        <f>IFERROR(INDEX('Blackout Brand Fam Areas (Enc)'!$D$6:$D$998,MATCH(UPPER(A1258)&amp;"|"&amp;UPPER(B1258),'Blackout Brand Fam Areas (Enc)'!$G$6:$G$998,0)),"No Match")</f>
        <v>No Match</v>
      </c>
      <c r="F1258" s="2" t="str">
        <f t="shared" si="38"/>
        <v>US</v>
      </c>
      <c r="G1258" s="2" t="str">
        <f t="shared" si="39"/>
        <v>Arizona Hard|SUSSEX</v>
      </c>
    </row>
    <row r="1259" spans="1:7" x14ac:dyDescent="0.2">
      <c r="A1259" s="2" t="str" cm="1">
        <f t="array" ref="A1259">INDEX('[1]Brand Family Territory (Enc)'!$A$2:$A$296,INT((ROW()-2)/10)+1)</f>
        <v>Arizona Hard</v>
      </c>
      <c r="B1259" s="2" t="str" cm="1">
        <f t="array" ref="B1259">INDEX('Whitelist (Blackout Reverse)'!$B$1:$K$1,MOD(ROW()-2,10)+1)</f>
        <v>MORRIS 1</v>
      </c>
      <c r="C1259" s="2" t="str">
        <f>VLOOKUP(A1259,'[1]Brand Family Territory (Enc)'!$A$2:$B$296,2,FALSE)</f>
        <v>All Counties</v>
      </c>
      <c r="D1259" s="2">
        <f>IF(COUNTIFS('[1]Brand Family Territories (Enc)'!$B$2:$B$62,C1259,'[1]Brand Family Territories (Enc)'!$C$2:$C$62,B1259)&gt;0,1,IF(AND(LEFT(B1259,6)="MORRIS",COUNTIFS('[1]Brand Family Territories (Enc)'!$B$2:$B$62,C1259,'[1]Brand Family Territories (Enc)'!$C$2:$C$62,"Morri")&gt;0),"Unk",0))</f>
        <v>1</v>
      </c>
      <c r="E1259" s="2" t="str">
        <f>IFERROR(INDEX('Blackout Brand Fam Areas (Enc)'!$D$6:$D$998,MATCH(UPPER(A1259)&amp;"|"&amp;UPPER(B1259),'Blackout Brand Fam Areas (Enc)'!$G$6:$G$998,0)),"No Match")</f>
        <v>No Match</v>
      </c>
      <c r="F1259" s="2" t="str">
        <f t="shared" si="38"/>
        <v>US</v>
      </c>
      <c r="G1259" s="2" t="str">
        <f t="shared" si="39"/>
        <v>Arizona Hard|MORRIS 1</v>
      </c>
    </row>
    <row r="1260" spans="1:7" x14ac:dyDescent="0.2">
      <c r="A1260" s="2" t="str" cm="1">
        <f t="array" ref="A1260">INDEX('[1]Brand Family Territory (Enc)'!$A$2:$A$296,INT((ROW()-2)/10)+1)</f>
        <v>Arizona Hard</v>
      </c>
      <c r="B1260" s="2" t="str" cm="1">
        <f t="array" ref="B1260">INDEX('Whitelist (Blackout Reverse)'!$B$1:$K$1,MOD(ROW()-2,10)+1)</f>
        <v>MORRIS 2</v>
      </c>
      <c r="C1260" s="2" t="str">
        <f>VLOOKUP(A1260,'[1]Brand Family Territory (Enc)'!$A$2:$B$296,2,FALSE)</f>
        <v>All Counties</v>
      </c>
      <c r="D1260" s="2">
        <f>IF(COUNTIFS('[1]Brand Family Territories (Enc)'!$B$2:$B$62,C1260,'[1]Brand Family Territories (Enc)'!$C$2:$C$62,B1260)&gt;0,1,IF(AND(LEFT(B1260,6)="MORRIS",COUNTIFS('[1]Brand Family Territories (Enc)'!$B$2:$B$62,C1260,'[1]Brand Family Territories (Enc)'!$C$2:$C$62,"Morri")&gt;0),"Unk",0))</f>
        <v>1</v>
      </c>
      <c r="E1260" s="2" t="str">
        <f>IFERROR(INDEX('Blackout Brand Fam Areas (Enc)'!$D$6:$D$998,MATCH(UPPER(A1260)&amp;"|"&amp;UPPER(B1260),'Blackout Brand Fam Areas (Enc)'!$G$6:$G$998,0)),"No Match")</f>
        <v>No Match</v>
      </c>
      <c r="F1260" s="2" t="str">
        <f t="shared" si="38"/>
        <v>US</v>
      </c>
      <c r="G1260" s="2" t="str">
        <f t="shared" si="39"/>
        <v>Arizona Hard|MORRIS 2</v>
      </c>
    </row>
    <row r="1261" spans="1:7" x14ac:dyDescent="0.2">
      <c r="A1261" s="2" t="str" cm="1">
        <f t="array" ref="A1261">INDEX('[1]Brand Family Territory (Enc)'!$A$2:$A$296,INT((ROW()-2)/10)+1)</f>
        <v>Arizona Hard</v>
      </c>
      <c r="B1261" s="2" t="str" cm="1">
        <f t="array" ref="B1261">INDEX('Whitelist (Blackout Reverse)'!$B$1:$K$1,MOD(ROW()-2,10)+1)</f>
        <v>MORRIS 3</v>
      </c>
      <c r="C1261" s="2" t="str">
        <f>VLOOKUP(A1261,'[1]Brand Family Territory (Enc)'!$A$2:$B$296,2,FALSE)</f>
        <v>All Counties</v>
      </c>
      <c r="D1261" s="2">
        <f>IF(COUNTIFS('[1]Brand Family Territories (Enc)'!$B$2:$B$62,C1261,'[1]Brand Family Territories (Enc)'!$C$2:$C$62,B1261)&gt;0,1,IF(AND(LEFT(B1261,6)="MORRIS",COUNTIFS('[1]Brand Family Territories (Enc)'!$B$2:$B$62,C1261,'[1]Brand Family Territories (Enc)'!$C$2:$C$62,"Morri")&gt;0),"Unk",0))</f>
        <v>1</v>
      </c>
      <c r="E1261" s="2" t="str">
        <f>IFERROR(INDEX('Blackout Brand Fam Areas (Enc)'!$D$6:$D$998,MATCH(UPPER(A1261)&amp;"|"&amp;UPPER(B1261),'Blackout Brand Fam Areas (Enc)'!$G$6:$G$998,0)),"No Match")</f>
        <v>No Match</v>
      </c>
      <c r="F1261" s="2" t="str">
        <f t="shared" si="38"/>
        <v>US</v>
      </c>
      <c r="G1261" s="2" t="str">
        <f t="shared" si="39"/>
        <v>Arizona Hard|MORRIS 3</v>
      </c>
    </row>
    <row r="1262" spans="1:7" x14ac:dyDescent="0.2">
      <c r="A1262" s="2" t="str" cm="1">
        <f t="array" ref="A1262">INDEX('[1]Brand Family Territory (Enc)'!$A$2:$A$296,INT((ROW()-2)/10)+1)</f>
        <v>Augustiner</v>
      </c>
      <c r="B1262" s="2" t="str" cm="1">
        <f t="array" ref="B1262">INDEX('Whitelist (Blackout Reverse)'!$B$1:$K$1,MOD(ROW()-2,10)+1)</f>
        <v>BERGEN</v>
      </c>
      <c r="C1262" s="2" t="str">
        <f>VLOOKUP(A1262,'[1]Brand Family Territory (Enc)'!$A$2:$B$296,2,FALSE)</f>
        <v>All Counties</v>
      </c>
      <c r="D1262" s="2">
        <f>IF(COUNTIFS('[1]Brand Family Territories (Enc)'!$B$2:$B$62,C1262,'[1]Brand Family Territories (Enc)'!$C$2:$C$62,B1262)&gt;0,1,IF(AND(LEFT(B1262,6)="MORRIS",COUNTIFS('[1]Brand Family Territories (Enc)'!$B$2:$B$62,C1262,'[1]Brand Family Territories (Enc)'!$C$2:$C$62,"Morri")&gt;0),"Unk",0))</f>
        <v>1</v>
      </c>
      <c r="E1262" s="2" t="str">
        <f>IFERROR(INDEX('Blackout Brand Fam Areas (Enc)'!$D$6:$D$998,MATCH(UPPER(A1262)&amp;"|"&amp;UPPER(B1262),'Blackout Brand Fam Areas (Enc)'!$G$6:$G$998,0)),"No Match")</f>
        <v>No Match</v>
      </c>
      <c r="F1262" s="2" t="str">
        <f t="shared" si="38"/>
        <v>US</v>
      </c>
      <c r="G1262" s="2" t="str">
        <f t="shared" si="39"/>
        <v>Augustiner|BERGEN</v>
      </c>
    </row>
    <row r="1263" spans="1:7" x14ac:dyDescent="0.2">
      <c r="A1263" s="2" t="str" cm="1">
        <f t="array" ref="A1263">INDEX('[1]Brand Family Territory (Enc)'!$A$2:$A$296,INT((ROW()-2)/10)+1)</f>
        <v>Augustiner</v>
      </c>
      <c r="B1263" s="2" t="str" cm="1">
        <f t="array" ref="B1263">INDEX('Whitelist (Blackout Reverse)'!$B$1:$K$1,MOD(ROW()-2,10)+1)</f>
        <v>PASSAIC</v>
      </c>
      <c r="C1263" s="2" t="str">
        <f>VLOOKUP(A1263,'[1]Brand Family Territory (Enc)'!$A$2:$B$296,2,FALSE)</f>
        <v>All Counties</v>
      </c>
      <c r="D1263" s="2">
        <f>IF(COUNTIFS('[1]Brand Family Territories (Enc)'!$B$2:$B$62,C1263,'[1]Brand Family Territories (Enc)'!$C$2:$C$62,B1263)&gt;0,1,IF(AND(LEFT(B1263,6)="MORRIS",COUNTIFS('[1]Brand Family Territories (Enc)'!$B$2:$B$62,C1263,'[1]Brand Family Territories (Enc)'!$C$2:$C$62,"Morri")&gt;0),"Unk",0))</f>
        <v>1</v>
      </c>
      <c r="E1263" s="2" t="str">
        <f>IFERROR(INDEX('Blackout Brand Fam Areas (Enc)'!$D$6:$D$998,MATCH(UPPER(A1263)&amp;"|"&amp;UPPER(B1263),'Blackout Brand Fam Areas (Enc)'!$G$6:$G$998,0)),"No Match")</f>
        <v>No Match</v>
      </c>
      <c r="F1263" s="2" t="str">
        <f t="shared" si="38"/>
        <v>US</v>
      </c>
      <c r="G1263" s="2" t="str">
        <f t="shared" si="39"/>
        <v>Augustiner|PASSAIC</v>
      </c>
    </row>
    <row r="1264" spans="1:7" x14ac:dyDescent="0.2">
      <c r="A1264" s="2" t="str" cm="1">
        <f t="array" ref="A1264">INDEX('[1]Brand Family Territory (Enc)'!$A$2:$A$296,INT((ROW()-2)/10)+1)</f>
        <v>Augustiner</v>
      </c>
      <c r="B1264" s="2" t="str" cm="1">
        <f t="array" ref="B1264">INDEX('Whitelist (Blackout Reverse)'!$B$1:$K$1,MOD(ROW()-2,10)+1)</f>
        <v>PASSAIC-FF</v>
      </c>
      <c r="C1264" s="2" t="str">
        <f>VLOOKUP(A1264,'[1]Brand Family Territory (Enc)'!$A$2:$B$296,2,FALSE)</f>
        <v>All Counties</v>
      </c>
      <c r="D1264" s="2">
        <f>IF(COUNTIFS('[1]Brand Family Territories (Enc)'!$B$2:$B$62,C1264,'[1]Brand Family Territories (Enc)'!$C$2:$C$62,B1264)&gt;0,1,IF(AND(LEFT(B1264,6)="MORRIS",COUNTIFS('[1]Brand Family Territories (Enc)'!$B$2:$B$62,C1264,'[1]Brand Family Territories (Enc)'!$C$2:$C$62,"Morri")&gt;0),"Unk",0))</f>
        <v>1</v>
      </c>
      <c r="E1264" s="2" t="str">
        <f>IFERROR(INDEX('Blackout Brand Fam Areas (Enc)'!$D$6:$D$998,MATCH(UPPER(A1264)&amp;"|"&amp;UPPER(B1264),'Blackout Brand Fam Areas (Enc)'!$G$6:$G$998,0)),"No Match")</f>
        <v>No Match</v>
      </c>
      <c r="F1264" s="2" t="str">
        <f t="shared" si="38"/>
        <v>US</v>
      </c>
      <c r="G1264" s="2" t="str">
        <f t="shared" si="39"/>
        <v>Augustiner|PASSAIC-FF</v>
      </c>
    </row>
    <row r="1265" spans="1:7" x14ac:dyDescent="0.2">
      <c r="A1265" s="2" t="str" cm="1">
        <f t="array" ref="A1265">INDEX('[1]Brand Family Territory (Enc)'!$A$2:$A$296,INT((ROW()-2)/10)+1)</f>
        <v>Augustiner</v>
      </c>
      <c r="B1265" s="2" t="str" cm="1">
        <f t="array" ref="B1265">INDEX('Whitelist (Blackout Reverse)'!$B$1:$K$1,MOD(ROW()-2,10)+1)</f>
        <v>ESSEX</v>
      </c>
      <c r="C1265" s="2" t="str">
        <f>VLOOKUP(A1265,'[1]Brand Family Territory (Enc)'!$A$2:$B$296,2,FALSE)</f>
        <v>All Counties</v>
      </c>
      <c r="D1265" s="2">
        <f>IF(COUNTIFS('[1]Brand Family Territories (Enc)'!$B$2:$B$62,C1265,'[1]Brand Family Territories (Enc)'!$C$2:$C$62,B1265)&gt;0,1,IF(AND(LEFT(B1265,6)="MORRIS",COUNTIFS('[1]Brand Family Territories (Enc)'!$B$2:$B$62,C1265,'[1]Brand Family Territories (Enc)'!$C$2:$C$62,"Morri")&gt;0),"Unk",0))</f>
        <v>1</v>
      </c>
      <c r="E1265" s="2" t="str">
        <f>IFERROR(INDEX('Blackout Brand Fam Areas (Enc)'!$D$6:$D$998,MATCH(UPPER(A1265)&amp;"|"&amp;UPPER(B1265),'Blackout Brand Fam Areas (Enc)'!$G$6:$G$998,0)),"No Match")</f>
        <v>No Match</v>
      </c>
      <c r="F1265" s="2" t="str">
        <f t="shared" si="38"/>
        <v>US</v>
      </c>
      <c r="G1265" s="2" t="str">
        <f t="shared" si="39"/>
        <v>Augustiner|ESSEX</v>
      </c>
    </row>
    <row r="1266" spans="1:7" x14ac:dyDescent="0.2">
      <c r="A1266" s="2" t="str" cm="1">
        <f t="array" ref="A1266">INDEX('[1]Brand Family Territory (Enc)'!$A$2:$A$296,INT((ROW()-2)/10)+1)</f>
        <v>Augustiner</v>
      </c>
      <c r="B1266" s="2" t="str" cm="1">
        <f t="array" ref="B1266">INDEX('Whitelist (Blackout Reverse)'!$B$1:$K$1,MOD(ROW()-2,10)+1)</f>
        <v>HUDSON</v>
      </c>
      <c r="C1266" s="2" t="str">
        <f>VLOOKUP(A1266,'[1]Brand Family Territory (Enc)'!$A$2:$B$296,2,FALSE)</f>
        <v>All Counties</v>
      </c>
      <c r="D1266" s="2">
        <f>IF(COUNTIFS('[1]Brand Family Territories (Enc)'!$B$2:$B$62,C1266,'[1]Brand Family Territories (Enc)'!$C$2:$C$62,B1266)&gt;0,1,IF(AND(LEFT(B1266,6)="MORRIS",COUNTIFS('[1]Brand Family Territories (Enc)'!$B$2:$B$62,C1266,'[1]Brand Family Territories (Enc)'!$C$2:$C$62,"Morri")&gt;0),"Unk",0))</f>
        <v>1</v>
      </c>
      <c r="E1266" s="2" t="str">
        <f>IFERROR(INDEX('Blackout Brand Fam Areas (Enc)'!$D$6:$D$998,MATCH(UPPER(A1266)&amp;"|"&amp;UPPER(B1266),'Blackout Brand Fam Areas (Enc)'!$G$6:$G$998,0)),"No Match")</f>
        <v>No Match</v>
      </c>
      <c r="F1266" s="2" t="str">
        <f t="shared" si="38"/>
        <v>US</v>
      </c>
      <c r="G1266" s="2" t="str">
        <f t="shared" si="39"/>
        <v>Augustiner|HUDSON</v>
      </c>
    </row>
    <row r="1267" spans="1:7" x14ac:dyDescent="0.2">
      <c r="A1267" s="2" t="str" cm="1">
        <f t="array" ref="A1267">INDEX('[1]Brand Family Territory (Enc)'!$A$2:$A$296,INT((ROW()-2)/10)+1)</f>
        <v>Augustiner</v>
      </c>
      <c r="B1267" s="2" t="str" cm="1">
        <f t="array" ref="B1267">INDEX('Whitelist (Blackout Reverse)'!$B$1:$K$1,MOD(ROW()-2,10)+1)</f>
        <v>UNION</v>
      </c>
      <c r="C1267" s="2" t="str">
        <f>VLOOKUP(A1267,'[1]Brand Family Territory (Enc)'!$A$2:$B$296,2,FALSE)</f>
        <v>All Counties</v>
      </c>
      <c r="D1267" s="2">
        <f>IF(COUNTIFS('[1]Brand Family Territories (Enc)'!$B$2:$B$62,C1267,'[1]Brand Family Territories (Enc)'!$C$2:$C$62,B1267)&gt;0,1,IF(AND(LEFT(B1267,6)="MORRIS",COUNTIFS('[1]Brand Family Territories (Enc)'!$B$2:$B$62,C1267,'[1]Brand Family Territories (Enc)'!$C$2:$C$62,"Morri")&gt;0),"Unk",0))</f>
        <v>1</v>
      </c>
      <c r="E1267" s="2" t="str">
        <f>IFERROR(INDEX('Blackout Brand Fam Areas (Enc)'!$D$6:$D$998,MATCH(UPPER(A1267)&amp;"|"&amp;UPPER(B1267),'Blackout Brand Fam Areas (Enc)'!$G$6:$G$998,0)),"No Match")</f>
        <v>No Match</v>
      </c>
      <c r="F1267" s="2" t="str">
        <f t="shared" si="38"/>
        <v>US</v>
      </c>
      <c r="G1267" s="2" t="str">
        <f t="shared" si="39"/>
        <v>Augustiner|UNION</v>
      </c>
    </row>
    <row r="1268" spans="1:7" x14ac:dyDescent="0.2">
      <c r="A1268" s="2" t="str" cm="1">
        <f t="array" ref="A1268">INDEX('[1]Brand Family Territory (Enc)'!$A$2:$A$296,INT((ROW()-2)/10)+1)</f>
        <v>Augustiner</v>
      </c>
      <c r="B1268" s="2" t="str" cm="1">
        <f t="array" ref="B1268">INDEX('Whitelist (Blackout Reverse)'!$B$1:$K$1,MOD(ROW()-2,10)+1)</f>
        <v>SUSSEX</v>
      </c>
      <c r="C1268" s="2" t="str">
        <f>VLOOKUP(A1268,'[1]Brand Family Territory (Enc)'!$A$2:$B$296,2,FALSE)</f>
        <v>All Counties</v>
      </c>
      <c r="D1268" s="2">
        <f>IF(COUNTIFS('[1]Brand Family Territories (Enc)'!$B$2:$B$62,C1268,'[1]Brand Family Territories (Enc)'!$C$2:$C$62,B1268)&gt;0,1,IF(AND(LEFT(B1268,6)="MORRIS",COUNTIFS('[1]Brand Family Territories (Enc)'!$B$2:$B$62,C1268,'[1]Brand Family Territories (Enc)'!$C$2:$C$62,"Morri")&gt;0),"Unk",0))</f>
        <v>1</v>
      </c>
      <c r="E1268" s="2" t="str">
        <f>IFERROR(INDEX('Blackout Brand Fam Areas (Enc)'!$D$6:$D$998,MATCH(UPPER(A1268)&amp;"|"&amp;UPPER(B1268),'Blackout Brand Fam Areas (Enc)'!$G$6:$G$998,0)),"No Match")</f>
        <v>No Match</v>
      </c>
      <c r="F1268" s="2" t="str">
        <f t="shared" si="38"/>
        <v>US</v>
      </c>
      <c r="G1268" s="2" t="str">
        <f t="shared" si="39"/>
        <v>Augustiner|SUSSEX</v>
      </c>
    </row>
    <row r="1269" spans="1:7" x14ac:dyDescent="0.2">
      <c r="A1269" s="2" t="str" cm="1">
        <f t="array" ref="A1269">INDEX('[1]Brand Family Territory (Enc)'!$A$2:$A$296,INT((ROW()-2)/10)+1)</f>
        <v>Augustiner</v>
      </c>
      <c r="B1269" s="2" t="str" cm="1">
        <f t="array" ref="B1269">INDEX('Whitelist (Blackout Reverse)'!$B$1:$K$1,MOD(ROW()-2,10)+1)</f>
        <v>MORRIS 1</v>
      </c>
      <c r="C1269" s="2" t="str">
        <f>VLOOKUP(A1269,'[1]Brand Family Territory (Enc)'!$A$2:$B$296,2,FALSE)</f>
        <v>All Counties</v>
      </c>
      <c r="D1269" s="2">
        <f>IF(COUNTIFS('[1]Brand Family Territories (Enc)'!$B$2:$B$62,C1269,'[1]Brand Family Territories (Enc)'!$C$2:$C$62,B1269)&gt;0,1,IF(AND(LEFT(B1269,6)="MORRIS",COUNTIFS('[1]Brand Family Territories (Enc)'!$B$2:$B$62,C1269,'[1]Brand Family Territories (Enc)'!$C$2:$C$62,"Morri")&gt;0),"Unk",0))</f>
        <v>1</v>
      </c>
      <c r="E1269" s="2" t="str">
        <f>IFERROR(INDEX('Blackout Brand Fam Areas (Enc)'!$D$6:$D$998,MATCH(UPPER(A1269)&amp;"|"&amp;UPPER(B1269),'Blackout Brand Fam Areas (Enc)'!$G$6:$G$998,0)),"No Match")</f>
        <v>No Match</v>
      </c>
      <c r="F1269" s="2" t="str">
        <f t="shared" si="38"/>
        <v>US</v>
      </c>
      <c r="G1269" s="2" t="str">
        <f t="shared" si="39"/>
        <v>Augustiner|MORRIS 1</v>
      </c>
    </row>
    <row r="1270" spans="1:7" x14ac:dyDescent="0.2">
      <c r="A1270" s="2" t="str" cm="1">
        <f t="array" ref="A1270">INDEX('[1]Brand Family Territory (Enc)'!$A$2:$A$296,INT((ROW()-2)/10)+1)</f>
        <v>Augustiner</v>
      </c>
      <c r="B1270" s="2" t="str" cm="1">
        <f t="array" ref="B1270">INDEX('Whitelist (Blackout Reverse)'!$B$1:$K$1,MOD(ROW()-2,10)+1)</f>
        <v>MORRIS 2</v>
      </c>
      <c r="C1270" s="2" t="str">
        <f>VLOOKUP(A1270,'[1]Brand Family Territory (Enc)'!$A$2:$B$296,2,FALSE)</f>
        <v>All Counties</v>
      </c>
      <c r="D1270" s="2">
        <f>IF(COUNTIFS('[1]Brand Family Territories (Enc)'!$B$2:$B$62,C1270,'[1]Brand Family Territories (Enc)'!$C$2:$C$62,B1270)&gt;0,1,IF(AND(LEFT(B1270,6)="MORRIS",COUNTIFS('[1]Brand Family Territories (Enc)'!$B$2:$B$62,C1270,'[1]Brand Family Territories (Enc)'!$C$2:$C$62,"Morri")&gt;0),"Unk",0))</f>
        <v>1</v>
      </c>
      <c r="E1270" s="2" t="str">
        <f>IFERROR(INDEX('Blackout Brand Fam Areas (Enc)'!$D$6:$D$998,MATCH(UPPER(A1270)&amp;"|"&amp;UPPER(B1270),'Blackout Brand Fam Areas (Enc)'!$G$6:$G$998,0)),"No Match")</f>
        <v>No Match</v>
      </c>
      <c r="F1270" s="2" t="str">
        <f t="shared" si="38"/>
        <v>US</v>
      </c>
      <c r="G1270" s="2" t="str">
        <f t="shared" si="39"/>
        <v>Augustiner|MORRIS 2</v>
      </c>
    </row>
    <row r="1271" spans="1:7" x14ac:dyDescent="0.2">
      <c r="A1271" s="2" t="str" cm="1">
        <f t="array" ref="A1271">INDEX('[1]Brand Family Territory (Enc)'!$A$2:$A$296,INT((ROW()-2)/10)+1)</f>
        <v>Augustiner</v>
      </c>
      <c r="B1271" s="2" t="str" cm="1">
        <f t="array" ref="B1271">INDEX('Whitelist (Blackout Reverse)'!$B$1:$K$1,MOD(ROW()-2,10)+1)</f>
        <v>MORRIS 3</v>
      </c>
      <c r="C1271" s="2" t="str">
        <f>VLOOKUP(A1271,'[1]Brand Family Territory (Enc)'!$A$2:$B$296,2,FALSE)</f>
        <v>All Counties</v>
      </c>
      <c r="D1271" s="2">
        <f>IF(COUNTIFS('[1]Brand Family Territories (Enc)'!$B$2:$B$62,C1271,'[1]Brand Family Territories (Enc)'!$C$2:$C$62,B1271)&gt;0,1,IF(AND(LEFT(B1271,6)="MORRIS",COUNTIFS('[1]Brand Family Territories (Enc)'!$B$2:$B$62,C1271,'[1]Brand Family Territories (Enc)'!$C$2:$C$62,"Morri")&gt;0),"Unk",0))</f>
        <v>1</v>
      </c>
      <c r="E1271" s="2" t="str">
        <f>IFERROR(INDEX('Blackout Brand Fam Areas (Enc)'!$D$6:$D$998,MATCH(UPPER(A1271)&amp;"|"&amp;UPPER(B1271),'Blackout Brand Fam Areas (Enc)'!$G$6:$G$998,0)),"No Match")</f>
        <v>No Match</v>
      </c>
      <c r="F1271" s="2" t="str">
        <f t="shared" si="38"/>
        <v>US</v>
      </c>
      <c r="G1271" s="2" t="str">
        <f t="shared" si="39"/>
        <v>Augustiner|MORRIS 3</v>
      </c>
    </row>
    <row r="1272" spans="1:7" x14ac:dyDescent="0.2">
      <c r="A1272" s="2" t="str" cm="1">
        <f t="array" ref="A1272">INDEX('[1]Brand Family Territory (Enc)'!$A$2:$A$296,INT((ROW()-2)/10)+1)</f>
        <v>Baptist Wit</v>
      </c>
      <c r="B1272" s="2" t="str" cm="1">
        <f t="array" ref="B1272">INDEX('Whitelist (Blackout Reverse)'!$B$1:$K$1,MOD(ROW()-2,10)+1)</f>
        <v>BERGEN</v>
      </c>
      <c r="C1272" s="2" t="str">
        <f>VLOOKUP(A1272,'[1]Brand Family Territory (Enc)'!$A$2:$B$296,2,FALSE)</f>
        <v>All Counties</v>
      </c>
      <c r="D1272" s="2">
        <f>IF(COUNTIFS('[1]Brand Family Territories (Enc)'!$B$2:$B$62,C1272,'[1]Brand Family Territories (Enc)'!$C$2:$C$62,B1272)&gt;0,1,IF(AND(LEFT(B1272,6)="MORRIS",COUNTIFS('[1]Brand Family Territories (Enc)'!$B$2:$B$62,C1272,'[1]Brand Family Territories (Enc)'!$C$2:$C$62,"Morri")&gt;0),"Unk",0))</f>
        <v>1</v>
      </c>
      <c r="E1272" s="2" t="str">
        <f>IFERROR(INDEX('Blackout Brand Fam Areas (Enc)'!$D$6:$D$998,MATCH(UPPER(A1272)&amp;"|"&amp;UPPER(B1272),'Blackout Brand Fam Areas (Enc)'!$G$6:$G$998,0)),"No Match")</f>
        <v>No Match</v>
      </c>
      <c r="F1272" s="2" t="str">
        <f t="shared" si="38"/>
        <v>US</v>
      </c>
      <c r="G1272" s="2" t="str">
        <f t="shared" si="39"/>
        <v>Baptist Wit|BERGEN</v>
      </c>
    </row>
    <row r="1273" spans="1:7" x14ac:dyDescent="0.2">
      <c r="A1273" s="2" t="str" cm="1">
        <f t="array" ref="A1273">INDEX('[1]Brand Family Territory (Enc)'!$A$2:$A$296,INT((ROW()-2)/10)+1)</f>
        <v>Baptist Wit</v>
      </c>
      <c r="B1273" s="2" t="str" cm="1">
        <f t="array" ref="B1273">INDEX('Whitelist (Blackout Reverse)'!$B$1:$K$1,MOD(ROW()-2,10)+1)</f>
        <v>PASSAIC</v>
      </c>
      <c r="C1273" s="2" t="str">
        <f>VLOOKUP(A1273,'[1]Brand Family Territory (Enc)'!$A$2:$B$296,2,FALSE)</f>
        <v>All Counties</v>
      </c>
      <c r="D1273" s="2">
        <f>IF(COUNTIFS('[1]Brand Family Territories (Enc)'!$B$2:$B$62,C1273,'[1]Brand Family Territories (Enc)'!$C$2:$C$62,B1273)&gt;0,1,IF(AND(LEFT(B1273,6)="MORRIS",COUNTIFS('[1]Brand Family Territories (Enc)'!$B$2:$B$62,C1273,'[1]Brand Family Territories (Enc)'!$C$2:$C$62,"Morri")&gt;0),"Unk",0))</f>
        <v>1</v>
      </c>
      <c r="E1273" s="2" t="str">
        <f>IFERROR(INDEX('Blackout Brand Fam Areas (Enc)'!$D$6:$D$998,MATCH(UPPER(A1273)&amp;"|"&amp;UPPER(B1273),'Blackout Brand Fam Areas (Enc)'!$G$6:$G$998,0)),"No Match")</f>
        <v>No Match</v>
      </c>
      <c r="F1273" s="2" t="str">
        <f t="shared" si="38"/>
        <v>US</v>
      </c>
      <c r="G1273" s="2" t="str">
        <f t="shared" si="39"/>
        <v>Baptist Wit|PASSAIC</v>
      </c>
    </row>
    <row r="1274" spans="1:7" x14ac:dyDescent="0.2">
      <c r="A1274" s="2" t="str" cm="1">
        <f t="array" ref="A1274">INDEX('[1]Brand Family Territory (Enc)'!$A$2:$A$296,INT((ROW()-2)/10)+1)</f>
        <v>Baptist Wit</v>
      </c>
      <c r="B1274" s="2" t="str" cm="1">
        <f t="array" ref="B1274">INDEX('Whitelist (Blackout Reverse)'!$B$1:$K$1,MOD(ROW()-2,10)+1)</f>
        <v>PASSAIC-FF</v>
      </c>
      <c r="C1274" s="2" t="str">
        <f>VLOOKUP(A1274,'[1]Brand Family Territory (Enc)'!$A$2:$B$296,2,FALSE)</f>
        <v>All Counties</v>
      </c>
      <c r="D1274" s="2">
        <f>IF(COUNTIFS('[1]Brand Family Territories (Enc)'!$B$2:$B$62,C1274,'[1]Brand Family Territories (Enc)'!$C$2:$C$62,B1274)&gt;0,1,IF(AND(LEFT(B1274,6)="MORRIS",COUNTIFS('[1]Brand Family Territories (Enc)'!$B$2:$B$62,C1274,'[1]Brand Family Territories (Enc)'!$C$2:$C$62,"Morri")&gt;0),"Unk",0))</f>
        <v>1</v>
      </c>
      <c r="E1274" s="2" t="str">
        <f>IFERROR(INDEX('Blackout Brand Fam Areas (Enc)'!$D$6:$D$998,MATCH(UPPER(A1274)&amp;"|"&amp;UPPER(B1274),'Blackout Brand Fam Areas (Enc)'!$G$6:$G$998,0)),"No Match")</f>
        <v>No Match</v>
      </c>
      <c r="F1274" s="2" t="str">
        <f t="shared" si="38"/>
        <v>US</v>
      </c>
      <c r="G1274" s="2" t="str">
        <f t="shared" si="39"/>
        <v>Baptist Wit|PASSAIC-FF</v>
      </c>
    </row>
    <row r="1275" spans="1:7" x14ac:dyDescent="0.2">
      <c r="A1275" s="2" t="str" cm="1">
        <f t="array" ref="A1275">INDEX('[1]Brand Family Territory (Enc)'!$A$2:$A$296,INT((ROW()-2)/10)+1)</f>
        <v>Baptist Wit</v>
      </c>
      <c r="B1275" s="2" t="str" cm="1">
        <f t="array" ref="B1275">INDEX('Whitelist (Blackout Reverse)'!$B$1:$K$1,MOD(ROW()-2,10)+1)</f>
        <v>ESSEX</v>
      </c>
      <c r="C1275" s="2" t="str">
        <f>VLOOKUP(A1275,'[1]Brand Family Territory (Enc)'!$A$2:$B$296,2,FALSE)</f>
        <v>All Counties</v>
      </c>
      <c r="D1275" s="2">
        <f>IF(COUNTIFS('[1]Brand Family Territories (Enc)'!$B$2:$B$62,C1275,'[1]Brand Family Territories (Enc)'!$C$2:$C$62,B1275)&gt;0,1,IF(AND(LEFT(B1275,6)="MORRIS",COUNTIFS('[1]Brand Family Territories (Enc)'!$B$2:$B$62,C1275,'[1]Brand Family Territories (Enc)'!$C$2:$C$62,"Morri")&gt;0),"Unk",0))</f>
        <v>1</v>
      </c>
      <c r="E1275" s="2" t="str">
        <f>IFERROR(INDEX('Blackout Brand Fam Areas (Enc)'!$D$6:$D$998,MATCH(UPPER(A1275)&amp;"|"&amp;UPPER(B1275),'Blackout Brand Fam Areas (Enc)'!$G$6:$G$998,0)),"No Match")</f>
        <v>No Match</v>
      </c>
      <c r="F1275" s="2" t="str">
        <f t="shared" si="38"/>
        <v>US</v>
      </c>
      <c r="G1275" s="2" t="str">
        <f t="shared" si="39"/>
        <v>Baptist Wit|ESSEX</v>
      </c>
    </row>
    <row r="1276" spans="1:7" x14ac:dyDescent="0.2">
      <c r="A1276" s="2" t="str" cm="1">
        <f t="array" ref="A1276">INDEX('[1]Brand Family Territory (Enc)'!$A$2:$A$296,INT((ROW()-2)/10)+1)</f>
        <v>Baptist Wit</v>
      </c>
      <c r="B1276" s="2" t="str" cm="1">
        <f t="array" ref="B1276">INDEX('Whitelist (Blackout Reverse)'!$B$1:$K$1,MOD(ROW()-2,10)+1)</f>
        <v>HUDSON</v>
      </c>
      <c r="C1276" s="2" t="str">
        <f>VLOOKUP(A1276,'[1]Brand Family Territory (Enc)'!$A$2:$B$296,2,FALSE)</f>
        <v>All Counties</v>
      </c>
      <c r="D1276" s="2">
        <f>IF(COUNTIFS('[1]Brand Family Territories (Enc)'!$B$2:$B$62,C1276,'[1]Brand Family Territories (Enc)'!$C$2:$C$62,B1276)&gt;0,1,IF(AND(LEFT(B1276,6)="MORRIS",COUNTIFS('[1]Brand Family Territories (Enc)'!$B$2:$B$62,C1276,'[1]Brand Family Territories (Enc)'!$C$2:$C$62,"Morri")&gt;0),"Unk",0))</f>
        <v>1</v>
      </c>
      <c r="E1276" s="2" t="str">
        <f>IFERROR(INDEX('Blackout Brand Fam Areas (Enc)'!$D$6:$D$998,MATCH(UPPER(A1276)&amp;"|"&amp;UPPER(B1276),'Blackout Brand Fam Areas (Enc)'!$G$6:$G$998,0)),"No Match")</f>
        <v>No Match</v>
      </c>
      <c r="F1276" s="2" t="str">
        <f t="shared" si="38"/>
        <v>US</v>
      </c>
      <c r="G1276" s="2" t="str">
        <f t="shared" si="39"/>
        <v>Baptist Wit|HUDSON</v>
      </c>
    </row>
    <row r="1277" spans="1:7" x14ac:dyDescent="0.2">
      <c r="A1277" s="2" t="str" cm="1">
        <f t="array" ref="A1277">INDEX('[1]Brand Family Territory (Enc)'!$A$2:$A$296,INT((ROW()-2)/10)+1)</f>
        <v>Baptist Wit</v>
      </c>
      <c r="B1277" s="2" t="str" cm="1">
        <f t="array" ref="B1277">INDEX('Whitelist (Blackout Reverse)'!$B$1:$K$1,MOD(ROW()-2,10)+1)</f>
        <v>UNION</v>
      </c>
      <c r="C1277" s="2" t="str">
        <f>VLOOKUP(A1277,'[1]Brand Family Territory (Enc)'!$A$2:$B$296,2,FALSE)</f>
        <v>All Counties</v>
      </c>
      <c r="D1277" s="2">
        <f>IF(COUNTIFS('[1]Brand Family Territories (Enc)'!$B$2:$B$62,C1277,'[1]Brand Family Territories (Enc)'!$C$2:$C$62,B1277)&gt;0,1,IF(AND(LEFT(B1277,6)="MORRIS",COUNTIFS('[1]Brand Family Territories (Enc)'!$B$2:$B$62,C1277,'[1]Brand Family Territories (Enc)'!$C$2:$C$62,"Morri")&gt;0),"Unk",0))</f>
        <v>1</v>
      </c>
      <c r="E1277" s="2" t="str">
        <f>IFERROR(INDEX('Blackout Brand Fam Areas (Enc)'!$D$6:$D$998,MATCH(UPPER(A1277)&amp;"|"&amp;UPPER(B1277),'Blackout Brand Fam Areas (Enc)'!$G$6:$G$998,0)),"No Match")</f>
        <v>No Match</v>
      </c>
      <c r="F1277" s="2" t="str">
        <f t="shared" si="38"/>
        <v>US</v>
      </c>
      <c r="G1277" s="2" t="str">
        <f t="shared" si="39"/>
        <v>Baptist Wit|UNION</v>
      </c>
    </row>
    <row r="1278" spans="1:7" x14ac:dyDescent="0.2">
      <c r="A1278" s="2" t="str" cm="1">
        <f t="array" ref="A1278">INDEX('[1]Brand Family Territory (Enc)'!$A$2:$A$296,INT((ROW()-2)/10)+1)</f>
        <v>Baptist Wit</v>
      </c>
      <c r="B1278" s="2" t="str" cm="1">
        <f t="array" ref="B1278">INDEX('Whitelist (Blackout Reverse)'!$B$1:$K$1,MOD(ROW()-2,10)+1)</f>
        <v>SUSSEX</v>
      </c>
      <c r="C1278" s="2" t="str">
        <f>VLOOKUP(A1278,'[1]Brand Family Territory (Enc)'!$A$2:$B$296,2,FALSE)</f>
        <v>All Counties</v>
      </c>
      <c r="D1278" s="2">
        <f>IF(COUNTIFS('[1]Brand Family Territories (Enc)'!$B$2:$B$62,C1278,'[1]Brand Family Territories (Enc)'!$C$2:$C$62,B1278)&gt;0,1,IF(AND(LEFT(B1278,6)="MORRIS",COUNTIFS('[1]Brand Family Territories (Enc)'!$B$2:$B$62,C1278,'[1]Brand Family Territories (Enc)'!$C$2:$C$62,"Morri")&gt;0),"Unk",0))</f>
        <v>1</v>
      </c>
      <c r="E1278" s="2" t="str">
        <f>IFERROR(INDEX('Blackout Brand Fam Areas (Enc)'!$D$6:$D$998,MATCH(UPPER(A1278)&amp;"|"&amp;UPPER(B1278),'Blackout Brand Fam Areas (Enc)'!$G$6:$G$998,0)),"No Match")</f>
        <v>No Match</v>
      </c>
      <c r="F1278" s="2" t="str">
        <f t="shared" si="38"/>
        <v>US</v>
      </c>
      <c r="G1278" s="2" t="str">
        <f t="shared" si="39"/>
        <v>Baptist Wit|SUSSEX</v>
      </c>
    </row>
    <row r="1279" spans="1:7" x14ac:dyDescent="0.2">
      <c r="A1279" s="2" t="str" cm="1">
        <f t="array" ref="A1279">INDEX('[1]Brand Family Territory (Enc)'!$A$2:$A$296,INT((ROW()-2)/10)+1)</f>
        <v>Baptist Wit</v>
      </c>
      <c r="B1279" s="2" t="str" cm="1">
        <f t="array" ref="B1279">INDEX('Whitelist (Blackout Reverse)'!$B$1:$K$1,MOD(ROW()-2,10)+1)</f>
        <v>MORRIS 1</v>
      </c>
      <c r="C1279" s="2" t="str">
        <f>VLOOKUP(A1279,'[1]Brand Family Territory (Enc)'!$A$2:$B$296,2,FALSE)</f>
        <v>All Counties</v>
      </c>
      <c r="D1279" s="2">
        <f>IF(COUNTIFS('[1]Brand Family Territories (Enc)'!$B$2:$B$62,C1279,'[1]Brand Family Territories (Enc)'!$C$2:$C$62,B1279)&gt;0,1,IF(AND(LEFT(B1279,6)="MORRIS",COUNTIFS('[1]Brand Family Territories (Enc)'!$B$2:$B$62,C1279,'[1]Brand Family Territories (Enc)'!$C$2:$C$62,"Morri")&gt;0),"Unk",0))</f>
        <v>1</v>
      </c>
      <c r="E1279" s="2" t="str">
        <f>IFERROR(INDEX('Blackout Brand Fam Areas (Enc)'!$D$6:$D$998,MATCH(UPPER(A1279)&amp;"|"&amp;UPPER(B1279),'Blackout Brand Fam Areas (Enc)'!$G$6:$G$998,0)),"No Match")</f>
        <v>No Match</v>
      </c>
      <c r="F1279" s="2" t="str">
        <f t="shared" si="38"/>
        <v>US</v>
      </c>
      <c r="G1279" s="2" t="str">
        <f t="shared" si="39"/>
        <v>Baptist Wit|MORRIS 1</v>
      </c>
    </row>
    <row r="1280" spans="1:7" x14ac:dyDescent="0.2">
      <c r="A1280" s="2" t="str" cm="1">
        <f t="array" ref="A1280">INDEX('[1]Brand Family Territory (Enc)'!$A$2:$A$296,INT((ROW()-2)/10)+1)</f>
        <v>Baptist Wit</v>
      </c>
      <c r="B1280" s="2" t="str" cm="1">
        <f t="array" ref="B1280">INDEX('Whitelist (Blackout Reverse)'!$B$1:$K$1,MOD(ROW()-2,10)+1)</f>
        <v>MORRIS 2</v>
      </c>
      <c r="C1280" s="2" t="str">
        <f>VLOOKUP(A1280,'[1]Brand Family Territory (Enc)'!$A$2:$B$296,2,FALSE)</f>
        <v>All Counties</v>
      </c>
      <c r="D1280" s="2">
        <f>IF(COUNTIFS('[1]Brand Family Territories (Enc)'!$B$2:$B$62,C1280,'[1]Brand Family Territories (Enc)'!$C$2:$C$62,B1280)&gt;0,1,IF(AND(LEFT(B1280,6)="MORRIS",COUNTIFS('[1]Brand Family Territories (Enc)'!$B$2:$B$62,C1280,'[1]Brand Family Territories (Enc)'!$C$2:$C$62,"Morri")&gt;0),"Unk",0))</f>
        <v>1</v>
      </c>
      <c r="E1280" s="2" t="str">
        <f>IFERROR(INDEX('Blackout Brand Fam Areas (Enc)'!$D$6:$D$998,MATCH(UPPER(A1280)&amp;"|"&amp;UPPER(B1280),'Blackout Brand Fam Areas (Enc)'!$G$6:$G$998,0)),"No Match")</f>
        <v>No Match</v>
      </c>
      <c r="F1280" s="2" t="str">
        <f t="shared" si="38"/>
        <v>US</v>
      </c>
      <c r="G1280" s="2" t="str">
        <f t="shared" si="39"/>
        <v>Baptist Wit|MORRIS 2</v>
      </c>
    </row>
    <row r="1281" spans="1:7" x14ac:dyDescent="0.2">
      <c r="A1281" s="2" t="str" cm="1">
        <f t="array" ref="A1281">INDEX('[1]Brand Family Territory (Enc)'!$A$2:$A$296,INT((ROW()-2)/10)+1)</f>
        <v>Baptist Wit</v>
      </c>
      <c r="B1281" s="2" t="str" cm="1">
        <f t="array" ref="B1281">INDEX('Whitelist (Blackout Reverse)'!$B$1:$K$1,MOD(ROW()-2,10)+1)</f>
        <v>MORRIS 3</v>
      </c>
      <c r="C1281" s="2" t="str">
        <f>VLOOKUP(A1281,'[1]Brand Family Territory (Enc)'!$A$2:$B$296,2,FALSE)</f>
        <v>All Counties</v>
      </c>
      <c r="D1281" s="2">
        <f>IF(COUNTIFS('[1]Brand Family Territories (Enc)'!$B$2:$B$62,C1281,'[1]Brand Family Territories (Enc)'!$C$2:$C$62,B1281)&gt;0,1,IF(AND(LEFT(B1281,6)="MORRIS",COUNTIFS('[1]Brand Family Territories (Enc)'!$B$2:$B$62,C1281,'[1]Brand Family Territories (Enc)'!$C$2:$C$62,"Morri")&gt;0),"Unk",0))</f>
        <v>1</v>
      </c>
      <c r="E1281" s="2" t="str">
        <f>IFERROR(INDEX('Blackout Brand Fam Areas (Enc)'!$D$6:$D$998,MATCH(UPPER(A1281)&amp;"|"&amp;UPPER(B1281),'Blackout Brand Fam Areas (Enc)'!$G$6:$G$998,0)),"No Match")</f>
        <v>No Match</v>
      </c>
      <c r="F1281" s="2" t="str">
        <f t="shared" si="38"/>
        <v>US</v>
      </c>
      <c r="G1281" s="2" t="str">
        <f t="shared" si="39"/>
        <v>Baptist Wit|MORRIS 3</v>
      </c>
    </row>
    <row r="1282" spans="1:7" x14ac:dyDescent="0.2">
      <c r="A1282" s="2" t="str" cm="1">
        <f t="array" ref="A1282">INDEX('[1]Brand Family Territory (Enc)'!$A$2:$A$296,INT((ROW()-2)/10)+1)</f>
        <v>Barn Brew</v>
      </c>
      <c r="B1282" s="2" t="str" cm="1">
        <f t="array" ref="B1282">INDEX('Whitelist (Blackout Reverse)'!$B$1:$K$1,MOD(ROW()-2,10)+1)</f>
        <v>BERGEN</v>
      </c>
      <c r="C1282" s="2" t="str">
        <f>VLOOKUP(A1282,'[1]Brand Family Territory (Enc)'!$A$2:$B$296,2,FALSE)</f>
        <v>All Counties</v>
      </c>
      <c r="D1282" s="2">
        <f>IF(COUNTIFS('[1]Brand Family Territories (Enc)'!$B$2:$B$62,C1282,'[1]Brand Family Territories (Enc)'!$C$2:$C$62,B1282)&gt;0,1,IF(AND(LEFT(B1282,6)="MORRIS",COUNTIFS('[1]Brand Family Territories (Enc)'!$B$2:$B$62,C1282,'[1]Brand Family Territories (Enc)'!$C$2:$C$62,"Morri")&gt;0),"Unk",0))</f>
        <v>1</v>
      </c>
      <c r="E1282" s="2" t="str">
        <f>IFERROR(INDEX('Blackout Brand Fam Areas (Enc)'!$D$6:$D$998,MATCH(UPPER(A1282)&amp;"|"&amp;UPPER(B1282),'Blackout Brand Fam Areas (Enc)'!$G$6:$G$998,0)),"No Match")</f>
        <v>No Match</v>
      </c>
      <c r="F1282" s="2" t="str">
        <f t="shared" si="38"/>
        <v>US</v>
      </c>
      <c r="G1282" s="2" t="str">
        <f t="shared" si="39"/>
        <v>Barn Brew|BERGEN</v>
      </c>
    </row>
    <row r="1283" spans="1:7" x14ac:dyDescent="0.2">
      <c r="A1283" s="2" t="str" cm="1">
        <f t="array" ref="A1283">INDEX('[1]Brand Family Territory (Enc)'!$A$2:$A$296,INT((ROW()-2)/10)+1)</f>
        <v>Barn Brew</v>
      </c>
      <c r="B1283" s="2" t="str" cm="1">
        <f t="array" ref="B1283">INDEX('Whitelist (Blackout Reverse)'!$B$1:$K$1,MOD(ROW()-2,10)+1)</f>
        <v>PASSAIC</v>
      </c>
      <c r="C1283" s="2" t="str">
        <f>VLOOKUP(A1283,'[1]Brand Family Territory (Enc)'!$A$2:$B$296,2,FALSE)</f>
        <v>All Counties</v>
      </c>
      <c r="D1283" s="2">
        <f>IF(COUNTIFS('[1]Brand Family Territories (Enc)'!$B$2:$B$62,C1283,'[1]Brand Family Territories (Enc)'!$C$2:$C$62,B1283)&gt;0,1,IF(AND(LEFT(B1283,6)="MORRIS",COUNTIFS('[1]Brand Family Territories (Enc)'!$B$2:$B$62,C1283,'[1]Brand Family Territories (Enc)'!$C$2:$C$62,"Morri")&gt;0),"Unk",0))</f>
        <v>1</v>
      </c>
      <c r="E1283" s="2" t="str">
        <f>IFERROR(INDEX('Blackout Brand Fam Areas (Enc)'!$D$6:$D$998,MATCH(UPPER(A1283)&amp;"|"&amp;UPPER(B1283),'Blackout Brand Fam Areas (Enc)'!$G$6:$G$998,0)),"No Match")</f>
        <v>No Match</v>
      </c>
      <c r="F1283" s="2" t="str">
        <f t="shared" ref="F1283:F1346" si="40">IF(D1283="Unk","Ambiguous (Source Truncated)",IF(E1283="Inactive","THEM",IF(D1283=1,"US",IF(D1283="N/A","No Territory Data","THEM"))))</f>
        <v>US</v>
      </c>
      <c r="G1283" s="2" t="str">
        <f t="shared" ref="G1283:G1346" si="41">A1283&amp;"|"&amp;B1283</f>
        <v>Barn Brew|PASSAIC</v>
      </c>
    </row>
    <row r="1284" spans="1:7" x14ac:dyDescent="0.2">
      <c r="A1284" s="2" t="str" cm="1">
        <f t="array" ref="A1284">INDEX('[1]Brand Family Territory (Enc)'!$A$2:$A$296,INT((ROW()-2)/10)+1)</f>
        <v>Barn Brew</v>
      </c>
      <c r="B1284" s="2" t="str" cm="1">
        <f t="array" ref="B1284">INDEX('Whitelist (Blackout Reverse)'!$B$1:$K$1,MOD(ROW()-2,10)+1)</f>
        <v>PASSAIC-FF</v>
      </c>
      <c r="C1284" s="2" t="str">
        <f>VLOOKUP(A1284,'[1]Brand Family Territory (Enc)'!$A$2:$B$296,2,FALSE)</f>
        <v>All Counties</v>
      </c>
      <c r="D1284" s="2">
        <f>IF(COUNTIFS('[1]Brand Family Territories (Enc)'!$B$2:$B$62,C1284,'[1]Brand Family Territories (Enc)'!$C$2:$C$62,B1284)&gt;0,1,IF(AND(LEFT(B1284,6)="MORRIS",COUNTIFS('[1]Brand Family Territories (Enc)'!$B$2:$B$62,C1284,'[1]Brand Family Territories (Enc)'!$C$2:$C$62,"Morri")&gt;0),"Unk",0))</f>
        <v>1</v>
      </c>
      <c r="E1284" s="2" t="str">
        <f>IFERROR(INDEX('Blackout Brand Fam Areas (Enc)'!$D$6:$D$998,MATCH(UPPER(A1284)&amp;"|"&amp;UPPER(B1284),'Blackout Brand Fam Areas (Enc)'!$G$6:$G$998,0)),"No Match")</f>
        <v>No Match</v>
      </c>
      <c r="F1284" s="2" t="str">
        <f t="shared" si="40"/>
        <v>US</v>
      </c>
      <c r="G1284" s="2" t="str">
        <f t="shared" si="41"/>
        <v>Barn Brew|PASSAIC-FF</v>
      </c>
    </row>
    <row r="1285" spans="1:7" x14ac:dyDescent="0.2">
      <c r="A1285" s="2" t="str" cm="1">
        <f t="array" ref="A1285">INDEX('[1]Brand Family Territory (Enc)'!$A$2:$A$296,INT((ROW()-2)/10)+1)</f>
        <v>Barn Brew</v>
      </c>
      <c r="B1285" s="2" t="str" cm="1">
        <f t="array" ref="B1285">INDEX('Whitelist (Blackout Reverse)'!$B$1:$K$1,MOD(ROW()-2,10)+1)</f>
        <v>ESSEX</v>
      </c>
      <c r="C1285" s="2" t="str">
        <f>VLOOKUP(A1285,'[1]Brand Family Territory (Enc)'!$A$2:$B$296,2,FALSE)</f>
        <v>All Counties</v>
      </c>
      <c r="D1285" s="2">
        <f>IF(COUNTIFS('[1]Brand Family Territories (Enc)'!$B$2:$B$62,C1285,'[1]Brand Family Territories (Enc)'!$C$2:$C$62,B1285)&gt;0,1,IF(AND(LEFT(B1285,6)="MORRIS",COUNTIFS('[1]Brand Family Territories (Enc)'!$B$2:$B$62,C1285,'[1]Brand Family Territories (Enc)'!$C$2:$C$62,"Morri")&gt;0),"Unk",0))</f>
        <v>1</v>
      </c>
      <c r="E1285" s="2" t="str">
        <f>IFERROR(INDEX('Blackout Brand Fam Areas (Enc)'!$D$6:$D$998,MATCH(UPPER(A1285)&amp;"|"&amp;UPPER(B1285),'Blackout Brand Fam Areas (Enc)'!$G$6:$G$998,0)),"No Match")</f>
        <v>No Match</v>
      </c>
      <c r="F1285" s="2" t="str">
        <f t="shared" si="40"/>
        <v>US</v>
      </c>
      <c r="G1285" s="2" t="str">
        <f t="shared" si="41"/>
        <v>Barn Brew|ESSEX</v>
      </c>
    </row>
    <row r="1286" spans="1:7" x14ac:dyDescent="0.2">
      <c r="A1286" s="2" t="str" cm="1">
        <f t="array" ref="A1286">INDEX('[1]Brand Family Territory (Enc)'!$A$2:$A$296,INT((ROW()-2)/10)+1)</f>
        <v>Barn Brew</v>
      </c>
      <c r="B1286" s="2" t="str" cm="1">
        <f t="array" ref="B1286">INDEX('Whitelist (Blackout Reverse)'!$B$1:$K$1,MOD(ROW()-2,10)+1)</f>
        <v>HUDSON</v>
      </c>
      <c r="C1286" s="2" t="str">
        <f>VLOOKUP(A1286,'[1]Brand Family Territory (Enc)'!$A$2:$B$296,2,FALSE)</f>
        <v>All Counties</v>
      </c>
      <c r="D1286" s="2">
        <f>IF(COUNTIFS('[1]Brand Family Territories (Enc)'!$B$2:$B$62,C1286,'[1]Brand Family Territories (Enc)'!$C$2:$C$62,B1286)&gt;0,1,IF(AND(LEFT(B1286,6)="MORRIS",COUNTIFS('[1]Brand Family Territories (Enc)'!$B$2:$B$62,C1286,'[1]Brand Family Territories (Enc)'!$C$2:$C$62,"Morri")&gt;0),"Unk",0))</f>
        <v>1</v>
      </c>
      <c r="E1286" s="2" t="str">
        <f>IFERROR(INDEX('Blackout Brand Fam Areas (Enc)'!$D$6:$D$998,MATCH(UPPER(A1286)&amp;"|"&amp;UPPER(B1286),'Blackout Brand Fam Areas (Enc)'!$G$6:$G$998,0)),"No Match")</f>
        <v>No Match</v>
      </c>
      <c r="F1286" s="2" t="str">
        <f t="shared" si="40"/>
        <v>US</v>
      </c>
      <c r="G1286" s="2" t="str">
        <f t="shared" si="41"/>
        <v>Barn Brew|HUDSON</v>
      </c>
    </row>
    <row r="1287" spans="1:7" x14ac:dyDescent="0.2">
      <c r="A1287" s="2" t="str" cm="1">
        <f t="array" ref="A1287">INDEX('[1]Brand Family Territory (Enc)'!$A$2:$A$296,INT((ROW()-2)/10)+1)</f>
        <v>Barn Brew</v>
      </c>
      <c r="B1287" s="2" t="str" cm="1">
        <f t="array" ref="B1287">INDEX('Whitelist (Blackout Reverse)'!$B$1:$K$1,MOD(ROW()-2,10)+1)</f>
        <v>UNION</v>
      </c>
      <c r="C1287" s="2" t="str">
        <f>VLOOKUP(A1287,'[1]Brand Family Territory (Enc)'!$A$2:$B$296,2,FALSE)</f>
        <v>All Counties</v>
      </c>
      <c r="D1287" s="2">
        <f>IF(COUNTIFS('[1]Brand Family Territories (Enc)'!$B$2:$B$62,C1287,'[1]Brand Family Territories (Enc)'!$C$2:$C$62,B1287)&gt;0,1,IF(AND(LEFT(B1287,6)="MORRIS",COUNTIFS('[1]Brand Family Territories (Enc)'!$B$2:$B$62,C1287,'[1]Brand Family Territories (Enc)'!$C$2:$C$62,"Morri")&gt;0),"Unk",0))</f>
        <v>1</v>
      </c>
      <c r="E1287" s="2" t="str">
        <f>IFERROR(INDEX('Blackout Brand Fam Areas (Enc)'!$D$6:$D$998,MATCH(UPPER(A1287)&amp;"|"&amp;UPPER(B1287),'Blackout Brand Fam Areas (Enc)'!$G$6:$G$998,0)),"No Match")</f>
        <v>No Match</v>
      </c>
      <c r="F1287" s="2" t="str">
        <f t="shared" si="40"/>
        <v>US</v>
      </c>
      <c r="G1287" s="2" t="str">
        <f t="shared" si="41"/>
        <v>Barn Brew|UNION</v>
      </c>
    </row>
    <row r="1288" spans="1:7" x14ac:dyDescent="0.2">
      <c r="A1288" s="2" t="str" cm="1">
        <f t="array" ref="A1288">INDEX('[1]Brand Family Territory (Enc)'!$A$2:$A$296,INT((ROW()-2)/10)+1)</f>
        <v>Barn Brew</v>
      </c>
      <c r="B1288" s="2" t="str" cm="1">
        <f t="array" ref="B1288">INDEX('Whitelist (Blackout Reverse)'!$B$1:$K$1,MOD(ROW()-2,10)+1)</f>
        <v>SUSSEX</v>
      </c>
      <c r="C1288" s="2" t="str">
        <f>VLOOKUP(A1288,'[1]Brand Family Territory (Enc)'!$A$2:$B$296,2,FALSE)</f>
        <v>All Counties</v>
      </c>
      <c r="D1288" s="2">
        <f>IF(COUNTIFS('[1]Brand Family Territories (Enc)'!$B$2:$B$62,C1288,'[1]Brand Family Territories (Enc)'!$C$2:$C$62,B1288)&gt;0,1,IF(AND(LEFT(B1288,6)="MORRIS",COUNTIFS('[1]Brand Family Territories (Enc)'!$B$2:$B$62,C1288,'[1]Brand Family Territories (Enc)'!$C$2:$C$62,"Morri")&gt;0),"Unk",0))</f>
        <v>1</v>
      </c>
      <c r="E1288" s="2" t="str">
        <f>IFERROR(INDEX('Blackout Brand Fam Areas (Enc)'!$D$6:$D$998,MATCH(UPPER(A1288)&amp;"|"&amp;UPPER(B1288),'Blackout Brand Fam Areas (Enc)'!$G$6:$G$998,0)),"No Match")</f>
        <v>No Match</v>
      </c>
      <c r="F1288" s="2" t="str">
        <f t="shared" si="40"/>
        <v>US</v>
      </c>
      <c r="G1288" s="2" t="str">
        <f t="shared" si="41"/>
        <v>Barn Brew|SUSSEX</v>
      </c>
    </row>
    <row r="1289" spans="1:7" x14ac:dyDescent="0.2">
      <c r="A1289" s="2" t="str" cm="1">
        <f t="array" ref="A1289">INDEX('[1]Brand Family Territory (Enc)'!$A$2:$A$296,INT((ROW()-2)/10)+1)</f>
        <v>Barn Brew</v>
      </c>
      <c r="B1289" s="2" t="str" cm="1">
        <f t="array" ref="B1289">INDEX('Whitelist (Blackout Reverse)'!$B$1:$K$1,MOD(ROW()-2,10)+1)</f>
        <v>MORRIS 1</v>
      </c>
      <c r="C1289" s="2" t="str">
        <f>VLOOKUP(A1289,'[1]Brand Family Territory (Enc)'!$A$2:$B$296,2,FALSE)</f>
        <v>All Counties</v>
      </c>
      <c r="D1289" s="2">
        <f>IF(COUNTIFS('[1]Brand Family Territories (Enc)'!$B$2:$B$62,C1289,'[1]Brand Family Territories (Enc)'!$C$2:$C$62,B1289)&gt;0,1,IF(AND(LEFT(B1289,6)="MORRIS",COUNTIFS('[1]Brand Family Territories (Enc)'!$B$2:$B$62,C1289,'[1]Brand Family Territories (Enc)'!$C$2:$C$62,"Morri")&gt;0),"Unk",0))</f>
        <v>1</v>
      </c>
      <c r="E1289" s="2" t="str">
        <f>IFERROR(INDEX('Blackout Brand Fam Areas (Enc)'!$D$6:$D$998,MATCH(UPPER(A1289)&amp;"|"&amp;UPPER(B1289),'Blackout Brand Fam Areas (Enc)'!$G$6:$G$998,0)),"No Match")</f>
        <v>No Match</v>
      </c>
      <c r="F1289" s="2" t="str">
        <f t="shared" si="40"/>
        <v>US</v>
      </c>
      <c r="G1289" s="2" t="str">
        <f t="shared" si="41"/>
        <v>Barn Brew|MORRIS 1</v>
      </c>
    </row>
    <row r="1290" spans="1:7" x14ac:dyDescent="0.2">
      <c r="A1290" s="2" t="str" cm="1">
        <f t="array" ref="A1290">INDEX('[1]Brand Family Territory (Enc)'!$A$2:$A$296,INT((ROW()-2)/10)+1)</f>
        <v>Barn Brew</v>
      </c>
      <c r="B1290" s="2" t="str" cm="1">
        <f t="array" ref="B1290">INDEX('Whitelist (Blackout Reverse)'!$B$1:$K$1,MOD(ROW()-2,10)+1)</f>
        <v>MORRIS 2</v>
      </c>
      <c r="C1290" s="2" t="str">
        <f>VLOOKUP(A1290,'[1]Brand Family Territory (Enc)'!$A$2:$B$296,2,FALSE)</f>
        <v>All Counties</v>
      </c>
      <c r="D1290" s="2">
        <f>IF(COUNTIFS('[1]Brand Family Territories (Enc)'!$B$2:$B$62,C1290,'[1]Brand Family Territories (Enc)'!$C$2:$C$62,B1290)&gt;0,1,IF(AND(LEFT(B1290,6)="MORRIS",COUNTIFS('[1]Brand Family Territories (Enc)'!$B$2:$B$62,C1290,'[1]Brand Family Territories (Enc)'!$C$2:$C$62,"Morri")&gt;0),"Unk",0))</f>
        <v>1</v>
      </c>
      <c r="E1290" s="2" t="str">
        <f>IFERROR(INDEX('Blackout Brand Fam Areas (Enc)'!$D$6:$D$998,MATCH(UPPER(A1290)&amp;"|"&amp;UPPER(B1290),'Blackout Brand Fam Areas (Enc)'!$G$6:$G$998,0)),"No Match")</f>
        <v>No Match</v>
      </c>
      <c r="F1290" s="2" t="str">
        <f t="shared" si="40"/>
        <v>US</v>
      </c>
      <c r="G1290" s="2" t="str">
        <f t="shared" si="41"/>
        <v>Barn Brew|MORRIS 2</v>
      </c>
    </row>
    <row r="1291" spans="1:7" x14ac:dyDescent="0.2">
      <c r="A1291" s="2" t="str" cm="1">
        <f t="array" ref="A1291">INDEX('[1]Brand Family Territory (Enc)'!$A$2:$A$296,INT((ROW()-2)/10)+1)</f>
        <v>Barn Brew</v>
      </c>
      <c r="B1291" s="2" t="str" cm="1">
        <f t="array" ref="B1291">INDEX('Whitelist (Blackout Reverse)'!$B$1:$K$1,MOD(ROW()-2,10)+1)</f>
        <v>MORRIS 3</v>
      </c>
      <c r="C1291" s="2" t="str">
        <f>VLOOKUP(A1291,'[1]Brand Family Territory (Enc)'!$A$2:$B$296,2,FALSE)</f>
        <v>All Counties</v>
      </c>
      <c r="D1291" s="2">
        <f>IF(COUNTIFS('[1]Brand Family Territories (Enc)'!$B$2:$B$62,C1291,'[1]Brand Family Territories (Enc)'!$C$2:$C$62,B1291)&gt;0,1,IF(AND(LEFT(B1291,6)="MORRIS",COUNTIFS('[1]Brand Family Territories (Enc)'!$B$2:$B$62,C1291,'[1]Brand Family Territories (Enc)'!$C$2:$C$62,"Morri")&gt;0),"Unk",0))</f>
        <v>1</v>
      </c>
      <c r="E1291" s="2" t="str">
        <f>IFERROR(INDEX('Blackout Brand Fam Areas (Enc)'!$D$6:$D$998,MATCH(UPPER(A1291)&amp;"|"&amp;UPPER(B1291),'Blackout Brand Fam Areas (Enc)'!$G$6:$G$998,0)),"No Match")</f>
        <v>No Match</v>
      </c>
      <c r="F1291" s="2" t="str">
        <f t="shared" si="40"/>
        <v>US</v>
      </c>
      <c r="G1291" s="2" t="str">
        <f t="shared" si="41"/>
        <v>Barn Brew|MORRIS 3</v>
      </c>
    </row>
    <row r="1292" spans="1:7" x14ac:dyDescent="0.2">
      <c r="A1292" s="2" t="str" cm="1">
        <f t="array" ref="A1292">INDEX('[1]Brand Family Territory (Enc)'!$A$2:$A$296,INT((ROW()-2)/10)+1)</f>
        <v>Bavik</v>
      </c>
      <c r="B1292" s="2" t="str" cm="1">
        <f t="array" ref="B1292">INDEX('Whitelist (Blackout Reverse)'!$B$1:$K$1,MOD(ROW()-2,10)+1)</f>
        <v>BERGEN</v>
      </c>
      <c r="C1292" s="2" t="str">
        <f>VLOOKUP(A1292,'[1]Brand Family Territory (Enc)'!$A$2:$B$296,2,FALSE)</f>
        <v>All Counties</v>
      </c>
      <c r="D1292" s="2">
        <f>IF(COUNTIFS('[1]Brand Family Territories (Enc)'!$B$2:$B$62,C1292,'[1]Brand Family Territories (Enc)'!$C$2:$C$62,B1292)&gt;0,1,IF(AND(LEFT(B1292,6)="MORRIS",COUNTIFS('[1]Brand Family Territories (Enc)'!$B$2:$B$62,C1292,'[1]Brand Family Territories (Enc)'!$C$2:$C$62,"Morri")&gt;0),"Unk",0))</f>
        <v>1</v>
      </c>
      <c r="E1292" s="2" t="str">
        <f>IFERROR(INDEX('Blackout Brand Fam Areas (Enc)'!$D$6:$D$998,MATCH(UPPER(A1292)&amp;"|"&amp;UPPER(B1292),'Blackout Brand Fam Areas (Enc)'!$G$6:$G$998,0)),"No Match")</f>
        <v>No Match</v>
      </c>
      <c r="F1292" s="2" t="str">
        <f t="shared" si="40"/>
        <v>US</v>
      </c>
      <c r="G1292" s="2" t="str">
        <f t="shared" si="41"/>
        <v>Bavik|BERGEN</v>
      </c>
    </row>
    <row r="1293" spans="1:7" x14ac:dyDescent="0.2">
      <c r="A1293" s="2" t="str" cm="1">
        <f t="array" ref="A1293">INDEX('[1]Brand Family Territory (Enc)'!$A$2:$A$296,INT((ROW()-2)/10)+1)</f>
        <v>Bavik</v>
      </c>
      <c r="B1293" s="2" t="str" cm="1">
        <f t="array" ref="B1293">INDEX('Whitelist (Blackout Reverse)'!$B$1:$K$1,MOD(ROW()-2,10)+1)</f>
        <v>PASSAIC</v>
      </c>
      <c r="C1293" s="2" t="str">
        <f>VLOOKUP(A1293,'[1]Brand Family Territory (Enc)'!$A$2:$B$296,2,FALSE)</f>
        <v>All Counties</v>
      </c>
      <c r="D1293" s="2">
        <f>IF(COUNTIFS('[1]Brand Family Territories (Enc)'!$B$2:$B$62,C1293,'[1]Brand Family Territories (Enc)'!$C$2:$C$62,B1293)&gt;0,1,IF(AND(LEFT(B1293,6)="MORRIS",COUNTIFS('[1]Brand Family Territories (Enc)'!$B$2:$B$62,C1293,'[1]Brand Family Territories (Enc)'!$C$2:$C$62,"Morri")&gt;0),"Unk",0))</f>
        <v>1</v>
      </c>
      <c r="E1293" s="2" t="str">
        <f>IFERROR(INDEX('Blackout Brand Fam Areas (Enc)'!$D$6:$D$998,MATCH(UPPER(A1293)&amp;"|"&amp;UPPER(B1293),'Blackout Brand Fam Areas (Enc)'!$G$6:$G$998,0)),"No Match")</f>
        <v>No Match</v>
      </c>
      <c r="F1293" s="2" t="str">
        <f t="shared" si="40"/>
        <v>US</v>
      </c>
      <c r="G1293" s="2" t="str">
        <f t="shared" si="41"/>
        <v>Bavik|PASSAIC</v>
      </c>
    </row>
    <row r="1294" spans="1:7" x14ac:dyDescent="0.2">
      <c r="A1294" s="2" t="str" cm="1">
        <f t="array" ref="A1294">INDEX('[1]Brand Family Territory (Enc)'!$A$2:$A$296,INT((ROW()-2)/10)+1)</f>
        <v>Bavik</v>
      </c>
      <c r="B1294" s="2" t="str" cm="1">
        <f t="array" ref="B1294">INDEX('Whitelist (Blackout Reverse)'!$B$1:$K$1,MOD(ROW()-2,10)+1)</f>
        <v>PASSAIC-FF</v>
      </c>
      <c r="C1294" s="2" t="str">
        <f>VLOOKUP(A1294,'[1]Brand Family Territory (Enc)'!$A$2:$B$296,2,FALSE)</f>
        <v>All Counties</v>
      </c>
      <c r="D1294" s="2">
        <f>IF(COUNTIFS('[1]Brand Family Territories (Enc)'!$B$2:$B$62,C1294,'[1]Brand Family Territories (Enc)'!$C$2:$C$62,B1294)&gt;0,1,IF(AND(LEFT(B1294,6)="MORRIS",COUNTIFS('[1]Brand Family Territories (Enc)'!$B$2:$B$62,C1294,'[1]Brand Family Territories (Enc)'!$C$2:$C$62,"Morri")&gt;0),"Unk",0))</f>
        <v>1</v>
      </c>
      <c r="E1294" s="2" t="str">
        <f>IFERROR(INDEX('Blackout Brand Fam Areas (Enc)'!$D$6:$D$998,MATCH(UPPER(A1294)&amp;"|"&amp;UPPER(B1294),'Blackout Brand Fam Areas (Enc)'!$G$6:$G$998,0)),"No Match")</f>
        <v>No Match</v>
      </c>
      <c r="F1294" s="2" t="str">
        <f t="shared" si="40"/>
        <v>US</v>
      </c>
      <c r="G1294" s="2" t="str">
        <f t="shared" si="41"/>
        <v>Bavik|PASSAIC-FF</v>
      </c>
    </row>
    <row r="1295" spans="1:7" x14ac:dyDescent="0.2">
      <c r="A1295" s="2" t="str" cm="1">
        <f t="array" ref="A1295">INDEX('[1]Brand Family Territory (Enc)'!$A$2:$A$296,INT((ROW()-2)/10)+1)</f>
        <v>Bavik</v>
      </c>
      <c r="B1295" s="2" t="str" cm="1">
        <f t="array" ref="B1295">INDEX('Whitelist (Blackout Reverse)'!$B$1:$K$1,MOD(ROW()-2,10)+1)</f>
        <v>ESSEX</v>
      </c>
      <c r="C1295" s="2" t="str">
        <f>VLOOKUP(A1295,'[1]Brand Family Territory (Enc)'!$A$2:$B$296,2,FALSE)</f>
        <v>All Counties</v>
      </c>
      <c r="D1295" s="2">
        <f>IF(COUNTIFS('[1]Brand Family Territories (Enc)'!$B$2:$B$62,C1295,'[1]Brand Family Territories (Enc)'!$C$2:$C$62,B1295)&gt;0,1,IF(AND(LEFT(B1295,6)="MORRIS",COUNTIFS('[1]Brand Family Territories (Enc)'!$B$2:$B$62,C1295,'[1]Brand Family Territories (Enc)'!$C$2:$C$62,"Morri")&gt;0),"Unk",0))</f>
        <v>1</v>
      </c>
      <c r="E1295" s="2" t="str">
        <f>IFERROR(INDEX('Blackout Brand Fam Areas (Enc)'!$D$6:$D$998,MATCH(UPPER(A1295)&amp;"|"&amp;UPPER(B1295),'Blackout Brand Fam Areas (Enc)'!$G$6:$G$998,0)),"No Match")</f>
        <v>No Match</v>
      </c>
      <c r="F1295" s="2" t="str">
        <f t="shared" si="40"/>
        <v>US</v>
      </c>
      <c r="G1295" s="2" t="str">
        <f t="shared" si="41"/>
        <v>Bavik|ESSEX</v>
      </c>
    </row>
    <row r="1296" spans="1:7" x14ac:dyDescent="0.2">
      <c r="A1296" s="2" t="str" cm="1">
        <f t="array" ref="A1296">INDEX('[1]Brand Family Territory (Enc)'!$A$2:$A$296,INT((ROW()-2)/10)+1)</f>
        <v>Bavik</v>
      </c>
      <c r="B1296" s="2" t="str" cm="1">
        <f t="array" ref="B1296">INDEX('Whitelist (Blackout Reverse)'!$B$1:$K$1,MOD(ROW()-2,10)+1)</f>
        <v>HUDSON</v>
      </c>
      <c r="C1296" s="2" t="str">
        <f>VLOOKUP(A1296,'[1]Brand Family Territory (Enc)'!$A$2:$B$296,2,FALSE)</f>
        <v>All Counties</v>
      </c>
      <c r="D1296" s="2">
        <f>IF(COUNTIFS('[1]Brand Family Territories (Enc)'!$B$2:$B$62,C1296,'[1]Brand Family Territories (Enc)'!$C$2:$C$62,B1296)&gt;0,1,IF(AND(LEFT(B1296,6)="MORRIS",COUNTIFS('[1]Brand Family Territories (Enc)'!$B$2:$B$62,C1296,'[1]Brand Family Territories (Enc)'!$C$2:$C$62,"Morri")&gt;0),"Unk",0))</f>
        <v>1</v>
      </c>
      <c r="E1296" s="2" t="str">
        <f>IFERROR(INDEX('Blackout Brand Fam Areas (Enc)'!$D$6:$D$998,MATCH(UPPER(A1296)&amp;"|"&amp;UPPER(B1296),'Blackout Brand Fam Areas (Enc)'!$G$6:$G$998,0)),"No Match")</f>
        <v>No Match</v>
      </c>
      <c r="F1296" s="2" t="str">
        <f t="shared" si="40"/>
        <v>US</v>
      </c>
      <c r="G1296" s="2" t="str">
        <f t="shared" si="41"/>
        <v>Bavik|HUDSON</v>
      </c>
    </row>
    <row r="1297" spans="1:7" x14ac:dyDescent="0.2">
      <c r="A1297" s="2" t="str" cm="1">
        <f t="array" ref="A1297">INDEX('[1]Brand Family Territory (Enc)'!$A$2:$A$296,INT((ROW()-2)/10)+1)</f>
        <v>Bavik</v>
      </c>
      <c r="B1297" s="2" t="str" cm="1">
        <f t="array" ref="B1297">INDEX('Whitelist (Blackout Reverse)'!$B$1:$K$1,MOD(ROW()-2,10)+1)</f>
        <v>UNION</v>
      </c>
      <c r="C1297" s="2" t="str">
        <f>VLOOKUP(A1297,'[1]Brand Family Territory (Enc)'!$A$2:$B$296,2,FALSE)</f>
        <v>All Counties</v>
      </c>
      <c r="D1297" s="2">
        <f>IF(COUNTIFS('[1]Brand Family Territories (Enc)'!$B$2:$B$62,C1297,'[1]Brand Family Territories (Enc)'!$C$2:$C$62,B1297)&gt;0,1,IF(AND(LEFT(B1297,6)="MORRIS",COUNTIFS('[1]Brand Family Territories (Enc)'!$B$2:$B$62,C1297,'[1]Brand Family Territories (Enc)'!$C$2:$C$62,"Morri")&gt;0),"Unk",0))</f>
        <v>1</v>
      </c>
      <c r="E1297" s="2" t="str">
        <f>IFERROR(INDEX('Blackout Brand Fam Areas (Enc)'!$D$6:$D$998,MATCH(UPPER(A1297)&amp;"|"&amp;UPPER(B1297),'Blackout Brand Fam Areas (Enc)'!$G$6:$G$998,0)),"No Match")</f>
        <v>No Match</v>
      </c>
      <c r="F1297" s="2" t="str">
        <f t="shared" si="40"/>
        <v>US</v>
      </c>
      <c r="G1297" s="2" t="str">
        <f t="shared" si="41"/>
        <v>Bavik|UNION</v>
      </c>
    </row>
    <row r="1298" spans="1:7" x14ac:dyDescent="0.2">
      <c r="A1298" s="2" t="str" cm="1">
        <f t="array" ref="A1298">INDEX('[1]Brand Family Territory (Enc)'!$A$2:$A$296,INT((ROW()-2)/10)+1)</f>
        <v>Bavik</v>
      </c>
      <c r="B1298" s="2" t="str" cm="1">
        <f t="array" ref="B1298">INDEX('Whitelist (Blackout Reverse)'!$B$1:$K$1,MOD(ROW()-2,10)+1)</f>
        <v>SUSSEX</v>
      </c>
      <c r="C1298" s="2" t="str">
        <f>VLOOKUP(A1298,'[1]Brand Family Territory (Enc)'!$A$2:$B$296,2,FALSE)</f>
        <v>All Counties</v>
      </c>
      <c r="D1298" s="2">
        <f>IF(COUNTIFS('[1]Brand Family Territories (Enc)'!$B$2:$B$62,C1298,'[1]Brand Family Territories (Enc)'!$C$2:$C$62,B1298)&gt;0,1,IF(AND(LEFT(B1298,6)="MORRIS",COUNTIFS('[1]Brand Family Territories (Enc)'!$B$2:$B$62,C1298,'[1]Brand Family Territories (Enc)'!$C$2:$C$62,"Morri")&gt;0),"Unk",0))</f>
        <v>1</v>
      </c>
      <c r="E1298" s="2" t="str">
        <f>IFERROR(INDEX('Blackout Brand Fam Areas (Enc)'!$D$6:$D$998,MATCH(UPPER(A1298)&amp;"|"&amp;UPPER(B1298),'Blackout Brand Fam Areas (Enc)'!$G$6:$G$998,0)),"No Match")</f>
        <v>No Match</v>
      </c>
      <c r="F1298" s="2" t="str">
        <f t="shared" si="40"/>
        <v>US</v>
      </c>
      <c r="G1298" s="2" t="str">
        <f t="shared" si="41"/>
        <v>Bavik|SUSSEX</v>
      </c>
    </row>
    <row r="1299" spans="1:7" x14ac:dyDescent="0.2">
      <c r="A1299" s="2" t="str" cm="1">
        <f t="array" ref="A1299">INDEX('[1]Brand Family Territory (Enc)'!$A$2:$A$296,INT((ROW()-2)/10)+1)</f>
        <v>Bavik</v>
      </c>
      <c r="B1299" s="2" t="str" cm="1">
        <f t="array" ref="B1299">INDEX('Whitelist (Blackout Reverse)'!$B$1:$K$1,MOD(ROW()-2,10)+1)</f>
        <v>MORRIS 1</v>
      </c>
      <c r="C1299" s="2" t="str">
        <f>VLOOKUP(A1299,'[1]Brand Family Territory (Enc)'!$A$2:$B$296,2,FALSE)</f>
        <v>All Counties</v>
      </c>
      <c r="D1299" s="2">
        <f>IF(COUNTIFS('[1]Brand Family Territories (Enc)'!$B$2:$B$62,C1299,'[1]Brand Family Territories (Enc)'!$C$2:$C$62,B1299)&gt;0,1,IF(AND(LEFT(B1299,6)="MORRIS",COUNTIFS('[1]Brand Family Territories (Enc)'!$B$2:$B$62,C1299,'[1]Brand Family Territories (Enc)'!$C$2:$C$62,"Morri")&gt;0),"Unk",0))</f>
        <v>1</v>
      </c>
      <c r="E1299" s="2" t="str">
        <f>IFERROR(INDEX('Blackout Brand Fam Areas (Enc)'!$D$6:$D$998,MATCH(UPPER(A1299)&amp;"|"&amp;UPPER(B1299),'Blackout Brand Fam Areas (Enc)'!$G$6:$G$998,0)),"No Match")</f>
        <v>No Match</v>
      </c>
      <c r="F1299" s="2" t="str">
        <f t="shared" si="40"/>
        <v>US</v>
      </c>
      <c r="G1299" s="2" t="str">
        <f t="shared" si="41"/>
        <v>Bavik|MORRIS 1</v>
      </c>
    </row>
    <row r="1300" spans="1:7" x14ac:dyDescent="0.2">
      <c r="A1300" s="2" t="str" cm="1">
        <f t="array" ref="A1300">INDEX('[1]Brand Family Territory (Enc)'!$A$2:$A$296,INT((ROW()-2)/10)+1)</f>
        <v>Bavik</v>
      </c>
      <c r="B1300" s="2" t="str" cm="1">
        <f t="array" ref="B1300">INDEX('Whitelist (Blackout Reverse)'!$B$1:$K$1,MOD(ROW()-2,10)+1)</f>
        <v>MORRIS 2</v>
      </c>
      <c r="C1300" s="2" t="str">
        <f>VLOOKUP(A1300,'[1]Brand Family Territory (Enc)'!$A$2:$B$296,2,FALSE)</f>
        <v>All Counties</v>
      </c>
      <c r="D1300" s="2">
        <f>IF(COUNTIFS('[1]Brand Family Territories (Enc)'!$B$2:$B$62,C1300,'[1]Brand Family Territories (Enc)'!$C$2:$C$62,B1300)&gt;0,1,IF(AND(LEFT(B1300,6)="MORRIS",COUNTIFS('[1]Brand Family Territories (Enc)'!$B$2:$B$62,C1300,'[1]Brand Family Territories (Enc)'!$C$2:$C$62,"Morri")&gt;0),"Unk",0))</f>
        <v>1</v>
      </c>
      <c r="E1300" s="2" t="str">
        <f>IFERROR(INDEX('Blackout Brand Fam Areas (Enc)'!$D$6:$D$998,MATCH(UPPER(A1300)&amp;"|"&amp;UPPER(B1300),'Blackout Brand Fam Areas (Enc)'!$G$6:$G$998,0)),"No Match")</f>
        <v>No Match</v>
      </c>
      <c r="F1300" s="2" t="str">
        <f t="shared" si="40"/>
        <v>US</v>
      </c>
      <c r="G1300" s="2" t="str">
        <f t="shared" si="41"/>
        <v>Bavik|MORRIS 2</v>
      </c>
    </row>
    <row r="1301" spans="1:7" x14ac:dyDescent="0.2">
      <c r="A1301" s="2" t="str" cm="1">
        <f t="array" ref="A1301">INDEX('[1]Brand Family Territory (Enc)'!$A$2:$A$296,INT((ROW()-2)/10)+1)</f>
        <v>Bavik</v>
      </c>
      <c r="B1301" s="2" t="str" cm="1">
        <f t="array" ref="B1301">INDEX('Whitelist (Blackout Reverse)'!$B$1:$K$1,MOD(ROW()-2,10)+1)</f>
        <v>MORRIS 3</v>
      </c>
      <c r="C1301" s="2" t="str">
        <f>VLOOKUP(A1301,'[1]Brand Family Territory (Enc)'!$A$2:$B$296,2,FALSE)</f>
        <v>All Counties</v>
      </c>
      <c r="D1301" s="2">
        <f>IF(COUNTIFS('[1]Brand Family Territories (Enc)'!$B$2:$B$62,C1301,'[1]Brand Family Territories (Enc)'!$C$2:$C$62,B1301)&gt;0,1,IF(AND(LEFT(B1301,6)="MORRIS",COUNTIFS('[1]Brand Family Territories (Enc)'!$B$2:$B$62,C1301,'[1]Brand Family Territories (Enc)'!$C$2:$C$62,"Morri")&gt;0),"Unk",0))</f>
        <v>1</v>
      </c>
      <c r="E1301" s="2" t="str">
        <f>IFERROR(INDEX('Blackout Brand Fam Areas (Enc)'!$D$6:$D$998,MATCH(UPPER(A1301)&amp;"|"&amp;UPPER(B1301),'Blackout Brand Fam Areas (Enc)'!$G$6:$G$998,0)),"No Match")</f>
        <v>No Match</v>
      </c>
      <c r="F1301" s="2" t="str">
        <f t="shared" si="40"/>
        <v>US</v>
      </c>
      <c r="G1301" s="2" t="str">
        <f t="shared" si="41"/>
        <v>Bavik|MORRIS 3</v>
      </c>
    </row>
    <row r="1302" spans="1:7" x14ac:dyDescent="0.2">
      <c r="A1302" s="2" t="str" cm="1">
        <f t="array" ref="A1302">INDEX('[1]Brand Family Territory (Enc)'!$A$2:$A$296,INT((ROW()-2)/10)+1)</f>
        <v>Beckett's D9</v>
      </c>
      <c r="B1302" s="2" t="str" cm="1">
        <f t="array" ref="B1302">INDEX('Whitelist (Blackout Reverse)'!$B$1:$K$1,MOD(ROW()-2,10)+1)</f>
        <v>BERGEN</v>
      </c>
      <c r="C1302" s="2" t="str">
        <f>VLOOKUP(A1302,'[1]Brand Family Territory (Enc)'!$A$2:$B$296,2,FALSE)</f>
        <v>All Counties</v>
      </c>
      <c r="D1302" s="2">
        <f>IF(COUNTIFS('[1]Brand Family Territories (Enc)'!$B$2:$B$62,C1302,'[1]Brand Family Territories (Enc)'!$C$2:$C$62,B1302)&gt;0,1,IF(AND(LEFT(B1302,6)="MORRIS",COUNTIFS('[1]Brand Family Territories (Enc)'!$B$2:$B$62,C1302,'[1]Brand Family Territories (Enc)'!$C$2:$C$62,"Morri")&gt;0),"Unk",0))</f>
        <v>1</v>
      </c>
      <c r="E1302" s="2" t="str">
        <f>IFERROR(INDEX('Blackout Brand Fam Areas (Enc)'!$D$6:$D$998,MATCH(UPPER(A1302)&amp;"|"&amp;UPPER(B1302),'Blackout Brand Fam Areas (Enc)'!$G$6:$G$998,0)),"No Match")</f>
        <v>No Match</v>
      </c>
      <c r="F1302" s="2" t="str">
        <f t="shared" si="40"/>
        <v>US</v>
      </c>
      <c r="G1302" s="2" t="str">
        <f t="shared" si="41"/>
        <v>Beckett's D9|BERGEN</v>
      </c>
    </row>
    <row r="1303" spans="1:7" x14ac:dyDescent="0.2">
      <c r="A1303" s="2" t="str" cm="1">
        <f t="array" ref="A1303">INDEX('[1]Brand Family Territory (Enc)'!$A$2:$A$296,INT((ROW()-2)/10)+1)</f>
        <v>Beckett's D9</v>
      </c>
      <c r="B1303" s="2" t="str" cm="1">
        <f t="array" ref="B1303">INDEX('Whitelist (Blackout Reverse)'!$B$1:$K$1,MOD(ROW()-2,10)+1)</f>
        <v>PASSAIC</v>
      </c>
      <c r="C1303" s="2" t="str">
        <f>VLOOKUP(A1303,'[1]Brand Family Territory (Enc)'!$A$2:$B$296,2,FALSE)</f>
        <v>All Counties</v>
      </c>
      <c r="D1303" s="2">
        <f>IF(COUNTIFS('[1]Brand Family Territories (Enc)'!$B$2:$B$62,C1303,'[1]Brand Family Territories (Enc)'!$C$2:$C$62,B1303)&gt;0,1,IF(AND(LEFT(B1303,6)="MORRIS",COUNTIFS('[1]Brand Family Territories (Enc)'!$B$2:$B$62,C1303,'[1]Brand Family Territories (Enc)'!$C$2:$C$62,"Morri")&gt;0),"Unk",0))</f>
        <v>1</v>
      </c>
      <c r="E1303" s="2" t="str">
        <f>IFERROR(INDEX('Blackout Brand Fam Areas (Enc)'!$D$6:$D$998,MATCH(UPPER(A1303)&amp;"|"&amp;UPPER(B1303),'Blackout Brand Fam Areas (Enc)'!$G$6:$G$998,0)),"No Match")</f>
        <v>No Match</v>
      </c>
      <c r="F1303" s="2" t="str">
        <f t="shared" si="40"/>
        <v>US</v>
      </c>
      <c r="G1303" s="2" t="str">
        <f t="shared" si="41"/>
        <v>Beckett's D9|PASSAIC</v>
      </c>
    </row>
    <row r="1304" spans="1:7" x14ac:dyDescent="0.2">
      <c r="A1304" s="2" t="str" cm="1">
        <f t="array" ref="A1304">INDEX('[1]Brand Family Territory (Enc)'!$A$2:$A$296,INT((ROW()-2)/10)+1)</f>
        <v>Beckett's D9</v>
      </c>
      <c r="B1304" s="2" t="str" cm="1">
        <f t="array" ref="B1304">INDEX('Whitelist (Blackout Reverse)'!$B$1:$K$1,MOD(ROW()-2,10)+1)</f>
        <v>PASSAIC-FF</v>
      </c>
      <c r="C1304" s="2" t="str">
        <f>VLOOKUP(A1304,'[1]Brand Family Territory (Enc)'!$A$2:$B$296,2,FALSE)</f>
        <v>All Counties</v>
      </c>
      <c r="D1304" s="2">
        <f>IF(COUNTIFS('[1]Brand Family Territories (Enc)'!$B$2:$B$62,C1304,'[1]Brand Family Territories (Enc)'!$C$2:$C$62,B1304)&gt;0,1,IF(AND(LEFT(B1304,6)="MORRIS",COUNTIFS('[1]Brand Family Territories (Enc)'!$B$2:$B$62,C1304,'[1]Brand Family Territories (Enc)'!$C$2:$C$62,"Morri")&gt;0),"Unk",0))</f>
        <v>1</v>
      </c>
      <c r="E1304" s="2" t="str">
        <f>IFERROR(INDEX('Blackout Brand Fam Areas (Enc)'!$D$6:$D$998,MATCH(UPPER(A1304)&amp;"|"&amp;UPPER(B1304),'Blackout Brand Fam Areas (Enc)'!$G$6:$G$998,0)),"No Match")</f>
        <v>No Match</v>
      </c>
      <c r="F1304" s="2" t="str">
        <f t="shared" si="40"/>
        <v>US</v>
      </c>
      <c r="G1304" s="2" t="str">
        <f t="shared" si="41"/>
        <v>Beckett's D9|PASSAIC-FF</v>
      </c>
    </row>
    <row r="1305" spans="1:7" x14ac:dyDescent="0.2">
      <c r="A1305" s="2" t="str" cm="1">
        <f t="array" ref="A1305">INDEX('[1]Brand Family Territory (Enc)'!$A$2:$A$296,INT((ROW()-2)/10)+1)</f>
        <v>Beckett's D9</v>
      </c>
      <c r="B1305" s="2" t="str" cm="1">
        <f t="array" ref="B1305">INDEX('Whitelist (Blackout Reverse)'!$B$1:$K$1,MOD(ROW()-2,10)+1)</f>
        <v>ESSEX</v>
      </c>
      <c r="C1305" s="2" t="str">
        <f>VLOOKUP(A1305,'[1]Brand Family Territory (Enc)'!$A$2:$B$296,2,FALSE)</f>
        <v>All Counties</v>
      </c>
      <c r="D1305" s="2">
        <f>IF(COUNTIFS('[1]Brand Family Territories (Enc)'!$B$2:$B$62,C1305,'[1]Brand Family Territories (Enc)'!$C$2:$C$62,B1305)&gt;0,1,IF(AND(LEFT(B1305,6)="MORRIS",COUNTIFS('[1]Brand Family Territories (Enc)'!$B$2:$B$62,C1305,'[1]Brand Family Territories (Enc)'!$C$2:$C$62,"Morri")&gt;0),"Unk",0))</f>
        <v>1</v>
      </c>
      <c r="E1305" s="2" t="str">
        <f>IFERROR(INDEX('Blackout Brand Fam Areas (Enc)'!$D$6:$D$998,MATCH(UPPER(A1305)&amp;"|"&amp;UPPER(B1305),'Blackout Brand Fam Areas (Enc)'!$G$6:$G$998,0)),"No Match")</f>
        <v>No Match</v>
      </c>
      <c r="F1305" s="2" t="str">
        <f t="shared" si="40"/>
        <v>US</v>
      </c>
      <c r="G1305" s="2" t="str">
        <f t="shared" si="41"/>
        <v>Beckett's D9|ESSEX</v>
      </c>
    </row>
    <row r="1306" spans="1:7" x14ac:dyDescent="0.2">
      <c r="A1306" s="2" t="str" cm="1">
        <f t="array" ref="A1306">INDEX('[1]Brand Family Territory (Enc)'!$A$2:$A$296,INT((ROW()-2)/10)+1)</f>
        <v>Beckett's D9</v>
      </c>
      <c r="B1306" s="2" t="str" cm="1">
        <f t="array" ref="B1306">INDEX('Whitelist (Blackout Reverse)'!$B$1:$K$1,MOD(ROW()-2,10)+1)</f>
        <v>HUDSON</v>
      </c>
      <c r="C1306" s="2" t="str">
        <f>VLOOKUP(A1306,'[1]Brand Family Territory (Enc)'!$A$2:$B$296,2,FALSE)</f>
        <v>All Counties</v>
      </c>
      <c r="D1306" s="2">
        <f>IF(COUNTIFS('[1]Brand Family Territories (Enc)'!$B$2:$B$62,C1306,'[1]Brand Family Territories (Enc)'!$C$2:$C$62,B1306)&gt;0,1,IF(AND(LEFT(B1306,6)="MORRIS",COUNTIFS('[1]Brand Family Territories (Enc)'!$B$2:$B$62,C1306,'[1]Brand Family Territories (Enc)'!$C$2:$C$62,"Morri")&gt;0),"Unk",0))</f>
        <v>1</v>
      </c>
      <c r="E1306" s="2" t="str">
        <f>IFERROR(INDEX('Blackout Brand Fam Areas (Enc)'!$D$6:$D$998,MATCH(UPPER(A1306)&amp;"|"&amp;UPPER(B1306),'Blackout Brand Fam Areas (Enc)'!$G$6:$G$998,0)),"No Match")</f>
        <v>No Match</v>
      </c>
      <c r="F1306" s="2" t="str">
        <f t="shared" si="40"/>
        <v>US</v>
      </c>
      <c r="G1306" s="2" t="str">
        <f t="shared" si="41"/>
        <v>Beckett's D9|HUDSON</v>
      </c>
    </row>
    <row r="1307" spans="1:7" x14ac:dyDescent="0.2">
      <c r="A1307" s="2" t="str" cm="1">
        <f t="array" ref="A1307">INDEX('[1]Brand Family Territory (Enc)'!$A$2:$A$296,INT((ROW()-2)/10)+1)</f>
        <v>Beckett's D9</v>
      </c>
      <c r="B1307" s="2" t="str" cm="1">
        <f t="array" ref="B1307">INDEX('Whitelist (Blackout Reverse)'!$B$1:$K$1,MOD(ROW()-2,10)+1)</f>
        <v>UNION</v>
      </c>
      <c r="C1307" s="2" t="str">
        <f>VLOOKUP(A1307,'[1]Brand Family Territory (Enc)'!$A$2:$B$296,2,FALSE)</f>
        <v>All Counties</v>
      </c>
      <c r="D1307" s="2">
        <f>IF(COUNTIFS('[1]Brand Family Territories (Enc)'!$B$2:$B$62,C1307,'[1]Brand Family Territories (Enc)'!$C$2:$C$62,B1307)&gt;0,1,IF(AND(LEFT(B1307,6)="MORRIS",COUNTIFS('[1]Brand Family Territories (Enc)'!$B$2:$B$62,C1307,'[1]Brand Family Territories (Enc)'!$C$2:$C$62,"Morri")&gt;0),"Unk",0))</f>
        <v>1</v>
      </c>
      <c r="E1307" s="2" t="str">
        <f>IFERROR(INDEX('Blackout Brand Fam Areas (Enc)'!$D$6:$D$998,MATCH(UPPER(A1307)&amp;"|"&amp;UPPER(B1307),'Blackout Brand Fam Areas (Enc)'!$G$6:$G$998,0)),"No Match")</f>
        <v>No Match</v>
      </c>
      <c r="F1307" s="2" t="str">
        <f t="shared" si="40"/>
        <v>US</v>
      </c>
      <c r="G1307" s="2" t="str">
        <f t="shared" si="41"/>
        <v>Beckett's D9|UNION</v>
      </c>
    </row>
    <row r="1308" spans="1:7" x14ac:dyDescent="0.2">
      <c r="A1308" s="2" t="str" cm="1">
        <f t="array" ref="A1308">INDEX('[1]Brand Family Territory (Enc)'!$A$2:$A$296,INT((ROW()-2)/10)+1)</f>
        <v>Beckett's D9</v>
      </c>
      <c r="B1308" s="2" t="str" cm="1">
        <f t="array" ref="B1308">INDEX('Whitelist (Blackout Reverse)'!$B$1:$K$1,MOD(ROW()-2,10)+1)</f>
        <v>SUSSEX</v>
      </c>
      <c r="C1308" s="2" t="str">
        <f>VLOOKUP(A1308,'[1]Brand Family Territory (Enc)'!$A$2:$B$296,2,FALSE)</f>
        <v>All Counties</v>
      </c>
      <c r="D1308" s="2">
        <f>IF(COUNTIFS('[1]Brand Family Territories (Enc)'!$B$2:$B$62,C1308,'[1]Brand Family Territories (Enc)'!$C$2:$C$62,B1308)&gt;0,1,IF(AND(LEFT(B1308,6)="MORRIS",COUNTIFS('[1]Brand Family Territories (Enc)'!$B$2:$B$62,C1308,'[1]Brand Family Territories (Enc)'!$C$2:$C$62,"Morri")&gt;0),"Unk",0))</f>
        <v>1</v>
      </c>
      <c r="E1308" s="2" t="str">
        <f>IFERROR(INDEX('Blackout Brand Fam Areas (Enc)'!$D$6:$D$998,MATCH(UPPER(A1308)&amp;"|"&amp;UPPER(B1308),'Blackout Brand Fam Areas (Enc)'!$G$6:$G$998,0)),"No Match")</f>
        <v>No Match</v>
      </c>
      <c r="F1308" s="2" t="str">
        <f t="shared" si="40"/>
        <v>US</v>
      </c>
      <c r="G1308" s="2" t="str">
        <f t="shared" si="41"/>
        <v>Beckett's D9|SUSSEX</v>
      </c>
    </row>
    <row r="1309" spans="1:7" x14ac:dyDescent="0.2">
      <c r="A1309" s="2" t="str" cm="1">
        <f t="array" ref="A1309">INDEX('[1]Brand Family Territory (Enc)'!$A$2:$A$296,INT((ROW()-2)/10)+1)</f>
        <v>Beckett's D9</v>
      </c>
      <c r="B1309" s="2" t="str" cm="1">
        <f t="array" ref="B1309">INDEX('Whitelist (Blackout Reverse)'!$B$1:$K$1,MOD(ROW()-2,10)+1)</f>
        <v>MORRIS 1</v>
      </c>
      <c r="C1309" s="2" t="str">
        <f>VLOOKUP(A1309,'[1]Brand Family Territory (Enc)'!$A$2:$B$296,2,FALSE)</f>
        <v>All Counties</v>
      </c>
      <c r="D1309" s="2">
        <f>IF(COUNTIFS('[1]Brand Family Territories (Enc)'!$B$2:$B$62,C1309,'[1]Brand Family Territories (Enc)'!$C$2:$C$62,B1309)&gt;0,1,IF(AND(LEFT(B1309,6)="MORRIS",COUNTIFS('[1]Brand Family Territories (Enc)'!$B$2:$B$62,C1309,'[1]Brand Family Territories (Enc)'!$C$2:$C$62,"Morri")&gt;0),"Unk",0))</f>
        <v>1</v>
      </c>
      <c r="E1309" s="2" t="str">
        <f>IFERROR(INDEX('Blackout Brand Fam Areas (Enc)'!$D$6:$D$998,MATCH(UPPER(A1309)&amp;"|"&amp;UPPER(B1309),'Blackout Brand Fam Areas (Enc)'!$G$6:$G$998,0)),"No Match")</f>
        <v>No Match</v>
      </c>
      <c r="F1309" s="2" t="str">
        <f t="shared" si="40"/>
        <v>US</v>
      </c>
      <c r="G1309" s="2" t="str">
        <f t="shared" si="41"/>
        <v>Beckett's D9|MORRIS 1</v>
      </c>
    </row>
    <row r="1310" spans="1:7" x14ac:dyDescent="0.2">
      <c r="A1310" s="2" t="str" cm="1">
        <f t="array" ref="A1310">INDEX('[1]Brand Family Territory (Enc)'!$A$2:$A$296,INT((ROW()-2)/10)+1)</f>
        <v>Beckett's D9</v>
      </c>
      <c r="B1310" s="2" t="str" cm="1">
        <f t="array" ref="B1310">INDEX('Whitelist (Blackout Reverse)'!$B$1:$K$1,MOD(ROW()-2,10)+1)</f>
        <v>MORRIS 2</v>
      </c>
      <c r="C1310" s="2" t="str">
        <f>VLOOKUP(A1310,'[1]Brand Family Territory (Enc)'!$A$2:$B$296,2,FALSE)</f>
        <v>All Counties</v>
      </c>
      <c r="D1310" s="2">
        <f>IF(COUNTIFS('[1]Brand Family Territories (Enc)'!$B$2:$B$62,C1310,'[1]Brand Family Territories (Enc)'!$C$2:$C$62,B1310)&gt;0,1,IF(AND(LEFT(B1310,6)="MORRIS",COUNTIFS('[1]Brand Family Territories (Enc)'!$B$2:$B$62,C1310,'[1]Brand Family Territories (Enc)'!$C$2:$C$62,"Morri")&gt;0),"Unk",0))</f>
        <v>1</v>
      </c>
      <c r="E1310" s="2" t="str">
        <f>IFERROR(INDEX('Blackout Brand Fam Areas (Enc)'!$D$6:$D$998,MATCH(UPPER(A1310)&amp;"|"&amp;UPPER(B1310),'Blackout Brand Fam Areas (Enc)'!$G$6:$G$998,0)),"No Match")</f>
        <v>No Match</v>
      </c>
      <c r="F1310" s="2" t="str">
        <f t="shared" si="40"/>
        <v>US</v>
      </c>
      <c r="G1310" s="2" t="str">
        <f t="shared" si="41"/>
        <v>Beckett's D9|MORRIS 2</v>
      </c>
    </row>
    <row r="1311" spans="1:7" x14ac:dyDescent="0.2">
      <c r="A1311" s="2" t="str" cm="1">
        <f t="array" ref="A1311">INDEX('[1]Brand Family Territory (Enc)'!$A$2:$A$296,INT((ROW()-2)/10)+1)</f>
        <v>Beckett's D9</v>
      </c>
      <c r="B1311" s="2" t="str" cm="1">
        <f t="array" ref="B1311">INDEX('Whitelist (Blackout Reverse)'!$B$1:$K$1,MOD(ROW()-2,10)+1)</f>
        <v>MORRIS 3</v>
      </c>
      <c r="C1311" s="2" t="str">
        <f>VLOOKUP(A1311,'[1]Brand Family Territory (Enc)'!$A$2:$B$296,2,FALSE)</f>
        <v>All Counties</v>
      </c>
      <c r="D1311" s="2">
        <f>IF(COUNTIFS('[1]Brand Family Territories (Enc)'!$B$2:$B$62,C1311,'[1]Brand Family Territories (Enc)'!$C$2:$C$62,B1311)&gt;0,1,IF(AND(LEFT(B1311,6)="MORRIS",COUNTIFS('[1]Brand Family Territories (Enc)'!$B$2:$B$62,C1311,'[1]Brand Family Territories (Enc)'!$C$2:$C$62,"Morri")&gt;0),"Unk",0))</f>
        <v>1</v>
      </c>
      <c r="E1311" s="2" t="str">
        <f>IFERROR(INDEX('Blackout Brand Fam Areas (Enc)'!$D$6:$D$998,MATCH(UPPER(A1311)&amp;"|"&amp;UPPER(B1311),'Blackout Brand Fam Areas (Enc)'!$G$6:$G$998,0)),"No Match")</f>
        <v>No Match</v>
      </c>
      <c r="F1311" s="2" t="str">
        <f t="shared" si="40"/>
        <v>US</v>
      </c>
      <c r="G1311" s="2" t="str">
        <f t="shared" si="41"/>
        <v>Beckett's D9|MORRIS 3</v>
      </c>
    </row>
    <row r="1312" spans="1:7" x14ac:dyDescent="0.2">
      <c r="A1312" s="2" t="str" cm="1">
        <f t="array" ref="A1312">INDEX('[1]Brand Family Territory (Enc)'!$A$2:$A$296,INT((ROW()-2)/10)+1)</f>
        <v>Belize Breeze</v>
      </c>
      <c r="B1312" s="2" t="str" cm="1">
        <f t="array" ref="B1312">INDEX('Whitelist (Blackout Reverse)'!$B$1:$K$1,MOD(ROW()-2,10)+1)</f>
        <v>BERGEN</v>
      </c>
      <c r="C1312" s="2" t="str">
        <f>VLOOKUP(A1312,'[1]Brand Family Territory (Enc)'!$A$2:$B$296,2,FALSE)</f>
        <v>All Counties</v>
      </c>
      <c r="D1312" s="2">
        <f>IF(COUNTIFS('[1]Brand Family Territories (Enc)'!$B$2:$B$62,C1312,'[1]Brand Family Territories (Enc)'!$C$2:$C$62,B1312)&gt;0,1,IF(AND(LEFT(B1312,6)="MORRIS",COUNTIFS('[1]Brand Family Territories (Enc)'!$B$2:$B$62,C1312,'[1]Brand Family Territories (Enc)'!$C$2:$C$62,"Morri")&gt;0),"Unk",0))</f>
        <v>1</v>
      </c>
      <c r="E1312" s="2" t="str">
        <f>IFERROR(INDEX('Blackout Brand Fam Areas (Enc)'!$D$6:$D$998,MATCH(UPPER(A1312)&amp;"|"&amp;UPPER(B1312),'Blackout Brand Fam Areas (Enc)'!$G$6:$G$998,0)),"No Match")</f>
        <v>No Match</v>
      </c>
      <c r="F1312" s="2" t="str">
        <f t="shared" si="40"/>
        <v>US</v>
      </c>
      <c r="G1312" s="2" t="str">
        <f t="shared" si="41"/>
        <v>Belize Breeze|BERGEN</v>
      </c>
    </row>
    <row r="1313" spans="1:7" x14ac:dyDescent="0.2">
      <c r="A1313" s="2" t="str" cm="1">
        <f t="array" ref="A1313">INDEX('[1]Brand Family Territory (Enc)'!$A$2:$A$296,INT((ROW()-2)/10)+1)</f>
        <v>Belize Breeze</v>
      </c>
      <c r="B1313" s="2" t="str" cm="1">
        <f t="array" ref="B1313">INDEX('Whitelist (Blackout Reverse)'!$B$1:$K$1,MOD(ROW()-2,10)+1)</f>
        <v>PASSAIC</v>
      </c>
      <c r="C1313" s="2" t="str">
        <f>VLOOKUP(A1313,'[1]Brand Family Territory (Enc)'!$A$2:$B$296,2,FALSE)</f>
        <v>All Counties</v>
      </c>
      <c r="D1313" s="2">
        <f>IF(COUNTIFS('[1]Brand Family Territories (Enc)'!$B$2:$B$62,C1313,'[1]Brand Family Territories (Enc)'!$C$2:$C$62,B1313)&gt;0,1,IF(AND(LEFT(B1313,6)="MORRIS",COUNTIFS('[1]Brand Family Territories (Enc)'!$B$2:$B$62,C1313,'[1]Brand Family Territories (Enc)'!$C$2:$C$62,"Morri")&gt;0),"Unk",0))</f>
        <v>1</v>
      </c>
      <c r="E1313" s="2" t="str">
        <f>IFERROR(INDEX('Blackout Brand Fam Areas (Enc)'!$D$6:$D$998,MATCH(UPPER(A1313)&amp;"|"&amp;UPPER(B1313),'Blackout Brand Fam Areas (Enc)'!$G$6:$G$998,0)),"No Match")</f>
        <v>No Match</v>
      </c>
      <c r="F1313" s="2" t="str">
        <f t="shared" si="40"/>
        <v>US</v>
      </c>
      <c r="G1313" s="2" t="str">
        <f t="shared" si="41"/>
        <v>Belize Breeze|PASSAIC</v>
      </c>
    </row>
    <row r="1314" spans="1:7" x14ac:dyDescent="0.2">
      <c r="A1314" s="2" t="str" cm="1">
        <f t="array" ref="A1314">INDEX('[1]Brand Family Territory (Enc)'!$A$2:$A$296,INT((ROW()-2)/10)+1)</f>
        <v>Belize Breeze</v>
      </c>
      <c r="B1314" s="2" t="str" cm="1">
        <f t="array" ref="B1314">INDEX('Whitelist (Blackout Reverse)'!$B$1:$K$1,MOD(ROW()-2,10)+1)</f>
        <v>PASSAIC-FF</v>
      </c>
      <c r="C1314" s="2" t="str">
        <f>VLOOKUP(A1314,'[1]Brand Family Territory (Enc)'!$A$2:$B$296,2,FALSE)</f>
        <v>All Counties</v>
      </c>
      <c r="D1314" s="2">
        <f>IF(COUNTIFS('[1]Brand Family Territories (Enc)'!$B$2:$B$62,C1314,'[1]Brand Family Territories (Enc)'!$C$2:$C$62,B1314)&gt;0,1,IF(AND(LEFT(B1314,6)="MORRIS",COUNTIFS('[1]Brand Family Territories (Enc)'!$B$2:$B$62,C1314,'[1]Brand Family Territories (Enc)'!$C$2:$C$62,"Morri")&gt;0),"Unk",0))</f>
        <v>1</v>
      </c>
      <c r="E1314" s="2" t="str">
        <f>IFERROR(INDEX('Blackout Brand Fam Areas (Enc)'!$D$6:$D$998,MATCH(UPPER(A1314)&amp;"|"&amp;UPPER(B1314),'Blackout Brand Fam Areas (Enc)'!$G$6:$G$998,0)),"No Match")</f>
        <v>No Match</v>
      </c>
      <c r="F1314" s="2" t="str">
        <f t="shared" si="40"/>
        <v>US</v>
      </c>
      <c r="G1314" s="2" t="str">
        <f t="shared" si="41"/>
        <v>Belize Breeze|PASSAIC-FF</v>
      </c>
    </row>
    <row r="1315" spans="1:7" x14ac:dyDescent="0.2">
      <c r="A1315" s="2" t="str" cm="1">
        <f t="array" ref="A1315">INDEX('[1]Brand Family Territory (Enc)'!$A$2:$A$296,INT((ROW()-2)/10)+1)</f>
        <v>Belize Breeze</v>
      </c>
      <c r="B1315" s="2" t="str" cm="1">
        <f t="array" ref="B1315">INDEX('Whitelist (Blackout Reverse)'!$B$1:$K$1,MOD(ROW()-2,10)+1)</f>
        <v>ESSEX</v>
      </c>
      <c r="C1315" s="2" t="str">
        <f>VLOOKUP(A1315,'[1]Brand Family Territory (Enc)'!$A$2:$B$296,2,FALSE)</f>
        <v>All Counties</v>
      </c>
      <c r="D1315" s="2">
        <f>IF(COUNTIFS('[1]Brand Family Territories (Enc)'!$B$2:$B$62,C1315,'[1]Brand Family Territories (Enc)'!$C$2:$C$62,B1315)&gt;0,1,IF(AND(LEFT(B1315,6)="MORRIS",COUNTIFS('[1]Brand Family Territories (Enc)'!$B$2:$B$62,C1315,'[1]Brand Family Territories (Enc)'!$C$2:$C$62,"Morri")&gt;0),"Unk",0))</f>
        <v>1</v>
      </c>
      <c r="E1315" s="2" t="str">
        <f>IFERROR(INDEX('Blackout Brand Fam Areas (Enc)'!$D$6:$D$998,MATCH(UPPER(A1315)&amp;"|"&amp;UPPER(B1315),'Blackout Brand Fam Areas (Enc)'!$G$6:$G$998,0)),"No Match")</f>
        <v>No Match</v>
      </c>
      <c r="F1315" s="2" t="str">
        <f t="shared" si="40"/>
        <v>US</v>
      </c>
      <c r="G1315" s="2" t="str">
        <f t="shared" si="41"/>
        <v>Belize Breeze|ESSEX</v>
      </c>
    </row>
    <row r="1316" spans="1:7" x14ac:dyDescent="0.2">
      <c r="A1316" s="2" t="str" cm="1">
        <f t="array" ref="A1316">INDEX('[1]Brand Family Territory (Enc)'!$A$2:$A$296,INT((ROW()-2)/10)+1)</f>
        <v>Belize Breeze</v>
      </c>
      <c r="B1316" s="2" t="str" cm="1">
        <f t="array" ref="B1316">INDEX('Whitelist (Blackout Reverse)'!$B$1:$K$1,MOD(ROW()-2,10)+1)</f>
        <v>HUDSON</v>
      </c>
      <c r="C1316" s="2" t="str">
        <f>VLOOKUP(A1316,'[1]Brand Family Territory (Enc)'!$A$2:$B$296,2,FALSE)</f>
        <v>All Counties</v>
      </c>
      <c r="D1316" s="2">
        <f>IF(COUNTIFS('[1]Brand Family Territories (Enc)'!$B$2:$B$62,C1316,'[1]Brand Family Territories (Enc)'!$C$2:$C$62,B1316)&gt;0,1,IF(AND(LEFT(B1316,6)="MORRIS",COUNTIFS('[1]Brand Family Territories (Enc)'!$B$2:$B$62,C1316,'[1]Brand Family Territories (Enc)'!$C$2:$C$62,"Morri")&gt;0),"Unk",0))</f>
        <v>1</v>
      </c>
      <c r="E1316" s="2" t="str">
        <f>IFERROR(INDEX('Blackout Brand Fam Areas (Enc)'!$D$6:$D$998,MATCH(UPPER(A1316)&amp;"|"&amp;UPPER(B1316),'Blackout Brand Fam Areas (Enc)'!$G$6:$G$998,0)),"No Match")</f>
        <v>No Match</v>
      </c>
      <c r="F1316" s="2" t="str">
        <f t="shared" si="40"/>
        <v>US</v>
      </c>
      <c r="G1316" s="2" t="str">
        <f t="shared" si="41"/>
        <v>Belize Breeze|HUDSON</v>
      </c>
    </row>
    <row r="1317" spans="1:7" x14ac:dyDescent="0.2">
      <c r="A1317" s="2" t="str" cm="1">
        <f t="array" ref="A1317">INDEX('[1]Brand Family Territory (Enc)'!$A$2:$A$296,INT((ROW()-2)/10)+1)</f>
        <v>Belize Breeze</v>
      </c>
      <c r="B1317" s="2" t="str" cm="1">
        <f t="array" ref="B1317">INDEX('Whitelist (Blackout Reverse)'!$B$1:$K$1,MOD(ROW()-2,10)+1)</f>
        <v>UNION</v>
      </c>
      <c r="C1317" s="2" t="str">
        <f>VLOOKUP(A1317,'[1]Brand Family Territory (Enc)'!$A$2:$B$296,2,FALSE)</f>
        <v>All Counties</v>
      </c>
      <c r="D1317" s="2">
        <f>IF(COUNTIFS('[1]Brand Family Territories (Enc)'!$B$2:$B$62,C1317,'[1]Brand Family Territories (Enc)'!$C$2:$C$62,B1317)&gt;0,1,IF(AND(LEFT(B1317,6)="MORRIS",COUNTIFS('[1]Brand Family Territories (Enc)'!$B$2:$B$62,C1317,'[1]Brand Family Territories (Enc)'!$C$2:$C$62,"Morri")&gt;0),"Unk",0))</f>
        <v>1</v>
      </c>
      <c r="E1317" s="2" t="str">
        <f>IFERROR(INDEX('Blackout Brand Fam Areas (Enc)'!$D$6:$D$998,MATCH(UPPER(A1317)&amp;"|"&amp;UPPER(B1317),'Blackout Brand Fam Areas (Enc)'!$G$6:$G$998,0)),"No Match")</f>
        <v>No Match</v>
      </c>
      <c r="F1317" s="2" t="str">
        <f t="shared" si="40"/>
        <v>US</v>
      </c>
      <c r="G1317" s="2" t="str">
        <f t="shared" si="41"/>
        <v>Belize Breeze|UNION</v>
      </c>
    </row>
    <row r="1318" spans="1:7" x14ac:dyDescent="0.2">
      <c r="A1318" s="2" t="str" cm="1">
        <f t="array" ref="A1318">INDEX('[1]Brand Family Territory (Enc)'!$A$2:$A$296,INT((ROW()-2)/10)+1)</f>
        <v>Belize Breeze</v>
      </c>
      <c r="B1318" s="2" t="str" cm="1">
        <f t="array" ref="B1318">INDEX('Whitelist (Blackout Reverse)'!$B$1:$K$1,MOD(ROW()-2,10)+1)</f>
        <v>SUSSEX</v>
      </c>
      <c r="C1318" s="2" t="str">
        <f>VLOOKUP(A1318,'[1]Brand Family Territory (Enc)'!$A$2:$B$296,2,FALSE)</f>
        <v>All Counties</v>
      </c>
      <c r="D1318" s="2">
        <f>IF(COUNTIFS('[1]Brand Family Territories (Enc)'!$B$2:$B$62,C1318,'[1]Brand Family Territories (Enc)'!$C$2:$C$62,B1318)&gt;0,1,IF(AND(LEFT(B1318,6)="MORRIS",COUNTIFS('[1]Brand Family Territories (Enc)'!$B$2:$B$62,C1318,'[1]Brand Family Territories (Enc)'!$C$2:$C$62,"Morri")&gt;0),"Unk",0))</f>
        <v>1</v>
      </c>
      <c r="E1318" s="2" t="str">
        <f>IFERROR(INDEX('Blackout Brand Fam Areas (Enc)'!$D$6:$D$998,MATCH(UPPER(A1318)&amp;"|"&amp;UPPER(B1318),'Blackout Brand Fam Areas (Enc)'!$G$6:$G$998,0)),"No Match")</f>
        <v>No Match</v>
      </c>
      <c r="F1318" s="2" t="str">
        <f t="shared" si="40"/>
        <v>US</v>
      </c>
      <c r="G1318" s="2" t="str">
        <f t="shared" si="41"/>
        <v>Belize Breeze|SUSSEX</v>
      </c>
    </row>
    <row r="1319" spans="1:7" x14ac:dyDescent="0.2">
      <c r="A1319" s="2" t="str" cm="1">
        <f t="array" ref="A1319">INDEX('[1]Brand Family Territory (Enc)'!$A$2:$A$296,INT((ROW()-2)/10)+1)</f>
        <v>Belize Breeze</v>
      </c>
      <c r="B1319" s="2" t="str" cm="1">
        <f t="array" ref="B1319">INDEX('Whitelist (Blackout Reverse)'!$B$1:$K$1,MOD(ROW()-2,10)+1)</f>
        <v>MORRIS 1</v>
      </c>
      <c r="C1319" s="2" t="str">
        <f>VLOOKUP(A1319,'[1]Brand Family Territory (Enc)'!$A$2:$B$296,2,FALSE)</f>
        <v>All Counties</v>
      </c>
      <c r="D1319" s="2">
        <f>IF(COUNTIFS('[1]Brand Family Territories (Enc)'!$B$2:$B$62,C1319,'[1]Brand Family Territories (Enc)'!$C$2:$C$62,B1319)&gt;0,1,IF(AND(LEFT(B1319,6)="MORRIS",COUNTIFS('[1]Brand Family Territories (Enc)'!$B$2:$B$62,C1319,'[1]Brand Family Territories (Enc)'!$C$2:$C$62,"Morri")&gt;0),"Unk",0))</f>
        <v>1</v>
      </c>
      <c r="E1319" s="2" t="str">
        <f>IFERROR(INDEX('Blackout Brand Fam Areas (Enc)'!$D$6:$D$998,MATCH(UPPER(A1319)&amp;"|"&amp;UPPER(B1319),'Blackout Brand Fam Areas (Enc)'!$G$6:$G$998,0)),"No Match")</f>
        <v>No Match</v>
      </c>
      <c r="F1319" s="2" t="str">
        <f t="shared" si="40"/>
        <v>US</v>
      </c>
      <c r="G1319" s="2" t="str">
        <f t="shared" si="41"/>
        <v>Belize Breeze|MORRIS 1</v>
      </c>
    </row>
    <row r="1320" spans="1:7" x14ac:dyDescent="0.2">
      <c r="A1320" s="2" t="str" cm="1">
        <f t="array" ref="A1320">INDEX('[1]Brand Family Territory (Enc)'!$A$2:$A$296,INT((ROW()-2)/10)+1)</f>
        <v>Belize Breeze</v>
      </c>
      <c r="B1320" s="2" t="str" cm="1">
        <f t="array" ref="B1320">INDEX('Whitelist (Blackout Reverse)'!$B$1:$K$1,MOD(ROW()-2,10)+1)</f>
        <v>MORRIS 2</v>
      </c>
      <c r="C1320" s="2" t="str">
        <f>VLOOKUP(A1320,'[1]Brand Family Territory (Enc)'!$A$2:$B$296,2,FALSE)</f>
        <v>All Counties</v>
      </c>
      <c r="D1320" s="2">
        <f>IF(COUNTIFS('[1]Brand Family Territories (Enc)'!$B$2:$B$62,C1320,'[1]Brand Family Territories (Enc)'!$C$2:$C$62,B1320)&gt;0,1,IF(AND(LEFT(B1320,6)="MORRIS",COUNTIFS('[1]Brand Family Territories (Enc)'!$B$2:$B$62,C1320,'[1]Brand Family Territories (Enc)'!$C$2:$C$62,"Morri")&gt;0),"Unk",0))</f>
        <v>1</v>
      </c>
      <c r="E1320" s="2" t="str">
        <f>IFERROR(INDEX('Blackout Brand Fam Areas (Enc)'!$D$6:$D$998,MATCH(UPPER(A1320)&amp;"|"&amp;UPPER(B1320),'Blackout Brand Fam Areas (Enc)'!$G$6:$G$998,0)),"No Match")</f>
        <v>No Match</v>
      </c>
      <c r="F1320" s="2" t="str">
        <f t="shared" si="40"/>
        <v>US</v>
      </c>
      <c r="G1320" s="2" t="str">
        <f t="shared" si="41"/>
        <v>Belize Breeze|MORRIS 2</v>
      </c>
    </row>
    <row r="1321" spans="1:7" x14ac:dyDescent="0.2">
      <c r="A1321" s="2" t="str" cm="1">
        <f t="array" ref="A1321">INDEX('[1]Brand Family Territory (Enc)'!$A$2:$A$296,INT((ROW()-2)/10)+1)</f>
        <v>Belize Breeze</v>
      </c>
      <c r="B1321" s="2" t="str" cm="1">
        <f t="array" ref="B1321">INDEX('Whitelist (Blackout Reverse)'!$B$1:$K$1,MOD(ROW()-2,10)+1)</f>
        <v>MORRIS 3</v>
      </c>
      <c r="C1321" s="2" t="str">
        <f>VLOOKUP(A1321,'[1]Brand Family Territory (Enc)'!$A$2:$B$296,2,FALSE)</f>
        <v>All Counties</v>
      </c>
      <c r="D1321" s="2">
        <f>IF(COUNTIFS('[1]Brand Family Territories (Enc)'!$B$2:$B$62,C1321,'[1]Brand Family Territories (Enc)'!$C$2:$C$62,B1321)&gt;0,1,IF(AND(LEFT(B1321,6)="MORRIS",COUNTIFS('[1]Brand Family Territories (Enc)'!$B$2:$B$62,C1321,'[1]Brand Family Territories (Enc)'!$C$2:$C$62,"Morri")&gt;0),"Unk",0))</f>
        <v>1</v>
      </c>
      <c r="E1321" s="2" t="str">
        <f>IFERROR(INDEX('Blackout Brand Fam Areas (Enc)'!$D$6:$D$998,MATCH(UPPER(A1321)&amp;"|"&amp;UPPER(B1321),'Blackout Brand Fam Areas (Enc)'!$G$6:$G$998,0)),"No Match")</f>
        <v>No Match</v>
      </c>
      <c r="F1321" s="2" t="str">
        <f t="shared" si="40"/>
        <v>US</v>
      </c>
      <c r="G1321" s="2" t="str">
        <f t="shared" si="41"/>
        <v>Belize Breeze|MORRIS 3</v>
      </c>
    </row>
    <row r="1322" spans="1:7" x14ac:dyDescent="0.2">
      <c r="A1322" s="2" t="str" cm="1">
        <f t="array" ref="A1322">INDEX('[1]Brand Family Territory (Enc)'!$A$2:$A$296,INT((ROW()-2)/10)+1)</f>
        <v>Bella Ray</v>
      </c>
      <c r="B1322" s="2" t="str" cm="1">
        <f t="array" ref="B1322">INDEX('Whitelist (Blackout Reverse)'!$B$1:$K$1,MOD(ROW()-2,10)+1)</f>
        <v>BERGEN</v>
      </c>
      <c r="C1322" s="2" t="str">
        <f>VLOOKUP(A1322,'[1]Brand Family Territory (Enc)'!$A$2:$B$296,2,FALSE)</f>
        <v>All Counties</v>
      </c>
      <c r="D1322" s="2">
        <f>IF(COUNTIFS('[1]Brand Family Territories (Enc)'!$B$2:$B$62,C1322,'[1]Brand Family Territories (Enc)'!$C$2:$C$62,B1322)&gt;0,1,IF(AND(LEFT(B1322,6)="MORRIS",COUNTIFS('[1]Brand Family Territories (Enc)'!$B$2:$B$62,C1322,'[1]Brand Family Territories (Enc)'!$C$2:$C$62,"Morri")&gt;0),"Unk",0))</f>
        <v>1</v>
      </c>
      <c r="E1322" s="2" t="str">
        <f>IFERROR(INDEX('Blackout Brand Fam Areas (Enc)'!$D$6:$D$998,MATCH(UPPER(A1322)&amp;"|"&amp;UPPER(B1322),'Blackout Brand Fam Areas (Enc)'!$G$6:$G$998,0)),"No Match")</f>
        <v>No Match</v>
      </c>
      <c r="F1322" s="2" t="str">
        <f t="shared" si="40"/>
        <v>US</v>
      </c>
      <c r="G1322" s="2" t="str">
        <f t="shared" si="41"/>
        <v>Bella Ray|BERGEN</v>
      </c>
    </row>
    <row r="1323" spans="1:7" x14ac:dyDescent="0.2">
      <c r="A1323" s="2" t="str" cm="1">
        <f t="array" ref="A1323">INDEX('[1]Brand Family Territory (Enc)'!$A$2:$A$296,INT((ROW()-2)/10)+1)</f>
        <v>Bella Ray</v>
      </c>
      <c r="B1323" s="2" t="str" cm="1">
        <f t="array" ref="B1323">INDEX('Whitelist (Blackout Reverse)'!$B$1:$K$1,MOD(ROW()-2,10)+1)</f>
        <v>PASSAIC</v>
      </c>
      <c r="C1323" s="2" t="str">
        <f>VLOOKUP(A1323,'[1]Brand Family Territory (Enc)'!$A$2:$B$296,2,FALSE)</f>
        <v>All Counties</v>
      </c>
      <c r="D1323" s="2">
        <f>IF(COUNTIFS('[1]Brand Family Territories (Enc)'!$B$2:$B$62,C1323,'[1]Brand Family Territories (Enc)'!$C$2:$C$62,B1323)&gt;0,1,IF(AND(LEFT(B1323,6)="MORRIS",COUNTIFS('[1]Brand Family Territories (Enc)'!$B$2:$B$62,C1323,'[1]Brand Family Territories (Enc)'!$C$2:$C$62,"Morri")&gt;0),"Unk",0))</f>
        <v>1</v>
      </c>
      <c r="E1323" s="2" t="str">
        <f>IFERROR(INDEX('Blackout Brand Fam Areas (Enc)'!$D$6:$D$998,MATCH(UPPER(A1323)&amp;"|"&amp;UPPER(B1323),'Blackout Brand Fam Areas (Enc)'!$G$6:$G$998,0)),"No Match")</f>
        <v>No Match</v>
      </c>
      <c r="F1323" s="2" t="str">
        <f t="shared" si="40"/>
        <v>US</v>
      </c>
      <c r="G1323" s="2" t="str">
        <f t="shared" si="41"/>
        <v>Bella Ray|PASSAIC</v>
      </c>
    </row>
    <row r="1324" spans="1:7" x14ac:dyDescent="0.2">
      <c r="A1324" s="2" t="str" cm="1">
        <f t="array" ref="A1324">INDEX('[1]Brand Family Territory (Enc)'!$A$2:$A$296,INT((ROW()-2)/10)+1)</f>
        <v>Bella Ray</v>
      </c>
      <c r="B1324" s="2" t="str" cm="1">
        <f t="array" ref="B1324">INDEX('Whitelist (Blackout Reverse)'!$B$1:$K$1,MOD(ROW()-2,10)+1)</f>
        <v>PASSAIC-FF</v>
      </c>
      <c r="C1324" s="2" t="str">
        <f>VLOOKUP(A1324,'[1]Brand Family Territory (Enc)'!$A$2:$B$296,2,FALSE)</f>
        <v>All Counties</v>
      </c>
      <c r="D1324" s="2">
        <f>IF(COUNTIFS('[1]Brand Family Territories (Enc)'!$B$2:$B$62,C1324,'[1]Brand Family Territories (Enc)'!$C$2:$C$62,B1324)&gt;0,1,IF(AND(LEFT(B1324,6)="MORRIS",COUNTIFS('[1]Brand Family Territories (Enc)'!$B$2:$B$62,C1324,'[1]Brand Family Territories (Enc)'!$C$2:$C$62,"Morri")&gt;0),"Unk",0))</f>
        <v>1</v>
      </c>
      <c r="E1324" s="2" t="str">
        <f>IFERROR(INDEX('Blackout Brand Fam Areas (Enc)'!$D$6:$D$998,MATCH(UPPER(A1324)&amp;"|"&amp;UPPER(B1324),'Blackout Brand Fam Areas (Enc)'!$G$6:$G$998,0)),"No Match")</f>
        <v>No Match</v>
      </c>
      <c r="F1324" s="2" t="str">
        <f t="shared" si="40"/>
        <v>US</v>
      </c>
      <c r="G1324" s="2" t="str">
        <f t="shared" si="41"/>
        <v>Bella Ray|PASSAIC-FF</v>
      </c>
    </row>
    <row r="1325" spans="1:7" x14ac:dyDescent="0.2">
      <c r="A1325" s="2" t="str" cm="1">
        <f t="array" ref="A1325">INDEX('[1]Brand Family Territory (Enc)'!$A$2:$A$296,INT((ROW()-2)/10)+1)</f>
        <v>Bella Ray</v>
      </c>
      <c r="B1325" s="2" t="str" cm="1">
        <f t="array" ref="B1325">INDEX('Whitelist (Blackout Reverse)'!$B$1:$K$1,MOD(ROW()-2,10)+1)</f>
        <v>ESSEX</v>
      </c>
      <c r="C1325" s="2" t="str">
        <f>VLOOKUP(A1325,'[1]Brand Family Territory (Enc)'!$A$2:$B$296,2,FALSE)</f>
        <v>All Counties</v>
      </c>
      <c r="D1325" s="2">
        <f>IF(COUNTIFS('[1]Brand Family Territories (Enc)'!$B$2:$B$62,C1325,'[1]Brand Family Territories (Enc)'!$C$2:$C$62,B1325)&gt;0,1,IF(AND(LEFT(B1325,6)="MORRIS",COUNTIFS('[1]Brand Family Territories (Enc)'!$B$2:$B$62,C1325,'[1]Brand Family Territories (Enc)'!$C$2:$C$62,"Morri")&gt;0),"Unk",0))</f>
        <v>1</v>
      </c>
      <c r="E1325" s="2" t="str">
        <f>IFERROR(INDEX('Blackout Brand Fam Areas (Enc)'!$D$6:$D$998,MATCH(UPPER(A1325)&amp;"|"&amp;UPPER(B1325),'Blackout Brand Fam Areas (Enc)'!$G$6:$G$998,0)),"No Match")</f>
        <v>No Match</v>
      </c>
      <c r="F1325" s="2" t="str">
        <f t="shared" si="40"/>
        <v>US</v>
      </c>
      <c r="G1325" s="2" t="str">
        <f t="shared" si="41"/>
        <v>Bella Ray|ESSEX</v>
      </c>
    </row>
    <row r="1326" spans="1:7" x14ac:dyDescent="0.2">
      <c r="A1326" s="2" t="str" cm="1">
        <f t="array" ref="A1326">INDEX('[1]Brand Family Territory (Enc)'!$A$2:$A$296,INT((ROW()-2)/10)+1)</f>
        <v>Bella Ray</v>
      </c>
      <c r="B1326" s="2" t="str" cm="1">
        <f t="array" ref="B1326">INDEX('Whitelist (Blackout Reverse)'!$B$1:$K$1,MOD(ROW()-2,10)+1)</f>
        <v>HUDSON</v>
      </c>
      <c r="C1326" s="2" t="str">
        <f>VLOOKUP(A1326,'[1]Brand Family Territory (Enc)'!$A$2:$B$296,2,FALSE)</f>
        <v>All Counties</v>
      </c>
      <c r="D1326" s="2">
        <f>IF(COUNTIFS('[1]Brand Family Territories (Enc)'!$B$2:$B$62,C1326,'[1]Brand Family Territories (Enc)'!$C$2:$C$62,B1326)&gt;0,1,IF(AND(LEFT(B1326,6)="MORRIS",COUNTIFS('[1]Brand Family Territories (Enc)'!$B$2:$B$62,C1326,'[1]Brand Family Territories (Enc)'!$C$2:$C$62,"Morri")&gt;0),"Unk",0))</f>
        <v>1</v>
      </c>
      <c r="E1326" s="2" t="str">
        <f>IFERROR(INDEX('Blackout Brand Fam Areas (Enc)'!$D$6:$D$998,MATCH(UPPER(A1326)&amp;"|"&amp;UPPER(B1326),'Blackout Brand Fam Areas (Enc)'!$G$6:$G$998,0)),"No Match")</f>
        <v>No Match</v>
      </c>
      <c r="F1326" s="2" t="str">
        <f t="shared" si="40"/>
        <v>US</v>
      </c>
      <c r="G1326" s="2" t="str">
        <f t="shared" si="41"/>
        <v>Bella Ray|HUDSON</v>
      </c>
    </row>
    <row r="1327" spans="1:7" x14ac:dyDescent="0.2">
      <c r="A1327" s="2" t="str" cm="1">
        <f t="array" ref="A1327">INDEX('[1]Brand Family Territory (Enc)'!$A$2:$A$296,INT((ROW()-2)/10)+1)</f>
        <v>Bella Ray</v>
      </c>
      <c r="B1327" s="2" t="str" cm="1">
        <f t="array" ref="B1327">INDEX('Whitelist (Blackout Reverse)'!$B$1:$K$1,MOD(ROW()-2,10)+1)</f>
        <v>UNION</v>
      </c>
      <c r="C1327" s="2" t="str">
        <f>VLOOKUP(A1327,'[1]Brand Family Territory (Enc)'!$A$2:$B$296,2,FALSE)</f>
        <v>All Counties</v>
      </c>
      <c r="D1327" s="2">
        <f>IF(COUNTIFS('[1]Brand Family Territories (Enc)'!$B$2:$B$62,C1327,'[1]Brand Family Territories (Enc)'!$C$2:$C$62,B1327)&gt;0,1,IF(AND(LEFT(B1327,6)="MORRIS",COUNTIFS('[1]Brand Family Territories (Enc)'!$B$2:$B$62,C1327,'[1]Brand Family Territories (Enc)'!$C$2:$C$62,"Morri")&gt;0),"Unk",0))</f>
        <v>1</v>
      </c>
      <c r="E1327" s="2" t="str">
        <f>IFERROR(INDEX('Blackout Brand Fam Areas (Enc)'!$D$6:$D$998,MATCH(UPPER(A1327)&amp;"|"&amp;UPPER(B1327),'Blackout Brand Fam Areas (Enc)'!$G$6:$G$998,0)),"No Match")</f>
        <v>No Match</v>
      </c>
      <c r="F1327" s="2" t="str">
        <f t="shared" si="40"/>
        <v>US</v>
      </c>
      <c r="G1327" s="2" t="str">
        <f t="shared" si="41"/>
        <v>Bella Ray|UNION</v>
      </c>
    </row>
    <row r="1328" spans="1:7" x14ac:dyDescent="0.2">
      <c r="A1328" s="2" t="str" cm="1">
        <f t="array" ref="A1328">INDEX('[1]Brand Family Territory (Enc)'!$A$2:$A$296,INT((ROW()-2)/10)+1)</f>
        <v>Bella Ray</v>
      </c>
      <c r="B1328" s="2" t="str" cm="1">
        <f t="array" ref="B1328">INDEX('Whitelist (Blackout Reverse)'!$B$1:$K$1,MOD(ROW()-2,10)+1)</f>
        <v>SUSSEX</v>
      </c>
      <c r="C1328" s="2" t="str">
        <f>VLOOKUP(A1328,'[1]Brand Family Territory (Enc)'!$A$2:$B$296,2,FALSE)</f>
        <v>All Counties</v>
      </c>
      <c r="D1328" s="2">
        <f>IF(COUNTIFS('[1]Brand Family Territories (Enc)'!$B$2:$B$62,C1328,'[1]Brand Family Territories (Enc)'!$C$2:$C$62,B1328)&gt;0,1,IF(AND(LEFT(B1328,6)="MORRIS",COUNTIFS('[1]Brand Family Territories (Enc)'!$B$2:$B$62,C1328,'[1]Brand Family Territories (Enc)'!$C$2:$C$62,"Morri")&gt;0),"Unk",0))</f>
        <v>1</v>
      </c>
      <c r="E1328" s="2" t="str">
        <f>IFERROR(INDEX('Blackout Brand Fam Areas (Enc)'!$D$6:$D$998,MATCH(UPPER(A1328)&amp;"|"&amp;UPPER(B1328),'Blackout Brand Fam Areas (Enc)'!$G$6:$G$998,0)),"No Match")</f>
        <v>No Match</v>
      </c>
      <c r="F1328" s="2" t="str">
        <f t="shared" si="40"/>
        <v>US</v>
      </c>
      <c r="G1328" s="2" t="str">
        <f t="shared" si="41"/>
        <v>Bella Ray|SUSSEX</v>
      </c>
    </row>
    <row r="1329" spans="1:7" x14ac:dyDescent="0.2">
      <c r="A1329" s="2" t="str" cm="1">
        <f t="array" ref="A1329">INDEX('[1]Brand Family Territory (Enc)'!$A$2:$A$296,INT((ROW()-2)/10)+1)</f>
        <v>Bella Ray</v>
      </c>
      <c r="B1329" s="2" t="str" cm="1">
        <f t="array" ref="B1329">INDEX('Whitelist (Blackout Reverse)'!$B$1:$K$1,MOD(ROW()-2,10)+1)</f>
        <v>MORRIS 1</v>
      </c>
      <c r="C1329" s="2" t="str">
        <f>VLOOKUP(A1329,'[1]Brand Family Territory (Enc)'!$A$2:$B$296,2,FALSE)</f>
        <v>All Counties</v>
      </c>
      <c r="D1329" s="2">
        <f>IF(COUNTIFS('[1]Brand Family Territories (Enc)'!$B$2:$B$62,C1329,'[1]Brand Family Territories (Enc)'!$C$2:$C$62,B1329)&gt;0,1,IF(AND(LEFT(B1329,6)="MORRIS",COUNTIFS('[1]Brand Family Territories (Enc)'!$B$2:$B$62,C1329,'[1]Brand Family Territories (Enc)'!$C$2:$C$62,"Morri")&gt;0),"Unk",0))</f>
        <v>1</v>
      </c>
      <c r="E1329" s="2" t="str">
        <f>IFERROR(INDEX('Blackout Brand Fam Areas (Enc)'!$D$6:$D$998,MATCH(UPPER(A1329)&amp;"|"&amp;UPPER(B1329),'Blackout Brand Fam Areas (Enc)'!$G$6:$G$998,0)),"No Match")</f>
        <v>No Match</v>
      </c>
      <c r="F1329" s="2" t="str">
        <f t="shared" si="40"/>
        <v>US</v>
      </c>
      <c r="G1329" s="2" t="str">
        <f t="shared" si="41"/>
        <v>Bella Ray|MORRIS 1</v>
      </c>
    </row>
    <row r="1330" spans="1:7" x14ac:dyDescent="0.2">
      <c r="A1330" s="2" t="str" cm="1">
        <f t="array" ref="A1330">INDEX('[1]Brand Family Territory (Enc)'!$A$2:$A$296,INT((ROW()-2)/10)+1)</f>
        <v>Bella Ray</v>
      </c>
      <c r="B1330" s="2" t="str" cm="1">
        <f t="array" ref="B1330">INDEX('Whitelist (Blackout Reverse)'!$B$1:$K$1,MOD(ROW()-2,10)+1)</f>
        <v>MORRIS 2</v>
      </c>
      <c r="C1330" s="2" t="str">
        <f>VLOOKUP(A1330,'[1]Brand Family Territory (Enc)'!$A$2:$B$296,2,FALSE)</f>
        <v>All Counties</v>
      </c>
      <c r="D1330" s="2">
        <f>IF(COUNTIFS('[1]Brand Family Territories (Enc)'!$B$2:$B$62,C1330,'[1]Brand Family Territories (Enc)'!$C$2:$C$62,B1330)&gt;0,1,IF(AND(LEFT(B1330,6)="MORRIS",COUNTIFS('[1]Brand Family Territories (Enc)'!$B$2:$B$62,C1330,'[1]Brand Family Territories (Enc)'!$C$2:$C$62,"Morri")&gt;0),"Unk",0))</f>
        <v>1</v>
      </c>
      <c r="E1330" s="2" t="str">
        <f>IFERROR(INDEX('Blackout Brand Fam Areas (Enc)'!$D$6:$D$998,MATCH(UPPER(A1330)&amp;"|"&amp;UPPER(B1330),'Blackout Brand Fam Areas (Enc)'!$G$6:$G$998,0)),"No Match")</f>
        <v>No Match</v>
      </c>
      <c r="F1330" s="2" t="str">
        <f t="shared" si="40"/>
        <v>US</v>
      </c>
      <c r="G1330" s="2" t="str">
        <f t="shared" si="41"/>
        <v>Bella Ray|MORRIS 2</v>
      </c>
    </row>
    <row r="1331" spans="1:7" x14ac:dyDescent="0.2">
      <c r="A1331" s="2" t="str" cm="1">
        <f t="array" ref="A1331">INDEX('[1]Brand Family Territory (Enc)'!$A$2:$A$296,INT((ROW()-2)/10)+1)</f>
        <v>Bella Ray</v>
      </c>
      <c r="B1331" s="2" t="str" cm="1">
        <f t="array" ref="B1331">INDEX('Whitelist (Blackout Reverse)'!$B$1:$K$1,MOD(ROW()-2,10)+1)</f>
        <v>MORRIS 3</v>
      </c>
      <c r="C1331" s="2" t="str">
        <f>VLOOKUP(A1331,'[1]Brand Family Territory (Enc)'!$A$2:$B$296,2,FALSE)</f>
        <v>All Counties</v>
      </c>
      <c r="D1331" s="2">
        <f>IF(COUNTIFS('[1]Brand Family Territories (Enc)'!$B$2:$B$62,C1331,'[1]Brand Family Territories (Enc)'!$C$2:$C$62,B1331)&gt;0,1,IF(AND(LEFT(B1331,6)="MORRIS",COUNTIFS('[1]Brand Family Territories (Enc)'!$B$2:$B$62,C1331,'[1]Brand Family Territories (Enc)'!$C$2:$C$62,"Morri")&gt;0),"Unk",0))</f>
        <v>1</v>
      </c>
      <c r="E1331" s="2" t="str">
        <f>IFERROR(INDEX('Blackout Brand Fam Areas (Enc)'!$D$6:$D$998,MATCH(UPPER(A1331)&amp;"|"&amp;UPPER(B1331),'Blackout Brand Fam Areas (Enc)'!$G$6:$G$998,0)),"No Match")</f>
        <v>No Match</v>
      </c>
      <c r="F1331" s="2" t="str">
        <f t="shared" si="40"/>
        <v>US</v>
      </c>
      <c r="G1331" s="2" t="str">
        <f t="shared" si="41"/>
        <v>Bella Ray|MORRIS 3</v>
      </c>
    </row>
    <row r="1332" spans="1:7" x14ac:dyDescent="0.2">
      <c r="A1332" s="2" t="str" cm="1">
        <f t="array" ref="A1332">INDEX('[1]Brand Family Territory (Enc)'!$A$2:$A$296,INT((ROW()-2)/10)+1)</f>
        <v>Big Mans Brew</v>
      </c>
      <c r="B1332" s="2" t="str" cm="1">
        <f t="array" ref="B1332">INDEX('Whitelist (Blackout Reverse)'!$B$1:$K$1,MOD(ROW()-2,10)+1)</f>
        <v>BERGEN</v>
      </c>
      <c r="C1332" s="2" t="str">
        <f>VLOOKUP(A1332,'[1]Brand Family Territory (Enc)'!$A$2:$B$296,2,FALSE)</f>
        <v>All Counties</v>
      </c>
      <c r="D1332" s="2">
        <f>IF(COUNTIFS('[1]Brand Family Territories (Enc)'!$B$2:$B$62,C1332,'[1]Brand Family Territories (Enc)'!$C$2:$C$62,B1332)&gt;0,1,IF(AND(LEFT(B1332,6)="MORRIS",COUNTIFS('[1]Brand Family Territories (Enc)'!$B$2:$B$62,C1332,'[1]Brand Family Territories (Enc)'!$C$2:$C$62,"Morri")&gt;0),"Unk",0))</f>
        <v>1</v>
      </c>
      <c r="E1332" s="2" t="str">
        <f>IFERROR(INDEX('Blackout Brand Fam Areas (Enc)'!$D$6:$D$998,MATCH(UPPER(A1332)&amp;"|"&amp;UPPER(B1332),'Blackout Brand Fam Areas (Enc)'!$G$6:$G$998,0)),"No Match")</f>
        <v>No Match</v>
      </c>
      <c r="F1332" s="2" t="str">
        <f t="shared" si="40"/>
        <v>US</v>
      </c>
      <c r="G1332" s="2" t="str">
        <f t="shared" si="41"/>
        <v>Big Mans Brew|BERGEN</v>
      </c>
    </row>
    <row r="1333" spans="1:7" x14ac:dyDescent="0.2">
      <c r="A1333" s="2" t="str" cm="1">
        <f t="array" ref="A1333">INDEX('[1]Brand Family Territory (Enc)'!$A$2:$A$296,INT((ROW()-2)/10)+1)</f>
        <v>Big Mans Brew</v>
      </c>
      <c r="B1333" s="2" t="str" cm="1">
        <f t="array" ref="B1333">INDEX('Whitelist (Blackout Reverse)'!$B$1:$K$1,MOD(ROW()-2,10)+1)</f>
        <v>PASSAIC</v>
      </c>
      <c r="C1333" s="2" t="str">
        <f>VLOOKUP(A1333,'[1]Brand Family Territory (Enc)'!$A$2:$B$296,2,FALSE)</f>
        <v>All Counties</v>
      </c>
      <c r="D1333" s="2">
        <f>IF(COUNTIFS('[1]Brand Family Territories (Enc)'!$B$2:$B$62,C1333,'[1]Brand Family Territories (Enc)'!$C$2:$C$62,B1333)&gt;0,1,IF(AND(LEFT(B1333,6)="MORRIS",COUNTIFS('[1]Brand Family Territories (Enc)'!$B$2:$B$62,C1333,'[1]Brand Family Territories (Enc)'!$C$2:$C$62,"Morri")&gt;0),"Unk",0))</f>
        <v>1</v>
      </c>
      <c r="E1333" s="2" t="str">
        <f>IFERROR(INDEX('Blackout Brand Fam Areas (Enc)'!$D$6:$D$998,MATCH(UPPER(A1333)&amp;"|"&amp;UPPER(B1333),'Blackout Brand Fam Areas (Enc)'!$G$6:$G$998,0)),"No Match")</f>
        <v>No Match</v>
      </c>
      <c r="F1333" s="2" t="str">
        <f t="shared" si="40"/>
        <v>US</v>
      </c>
      <c r="G1333" s="2" t="str">
        <f t="shared" si="41"/>
        <v>Big Mans Brew|PASSAIC</v>
      </c>
    </row>
    <row r="1334" spans="1:7" x14ac:dyDescent="0.2">
      <c r="A1334" s="2" t="str" cm="1">
        <f t="array" ref="A1334">INDEX('[1]Brand Family Territory (Enc)'!$A$2:$A$296,INT((ROW()-2)/10)+1)</f>
        <v>Big Mans Brew</v>
      </c>
      <c r="B1334" s="2" t="str" cm="1">
        <f t="array" ref="B1334">INDEX('Whitelist (Blackout Reverse)'!$B$1:$K$1,MOD(ROW()-2,10)+1)</f>
        <v>PASSAIC-FF</v>
      </c>
      <c r="C1334" s="2" t="str">
        <f>VLOOKUP(A1334,'[1]Brand Family Territory (Enc)'!$A$2:$B$296,2,FALSE)</f>
        <v>All Counties</v>
      </c>
      <c r="D1334" s="2">
        <f>IF(COUNTIFS('[1]Brand Family Territories (Enc)'!$B$2:$B$62,C1334,'[1]Brand Family Territories (Enc)'!$C$2:$C$62,B1334)&gt;0,1,IF(AND(LEFT(B1334,6)="MORRIS",COUNTIFS('[1]Brand Family Territories (Enc)'!$B$2:$B$62,C1334,'[1]Brand Family Territories (Enc)'!$C$2:$C$62,"Morri")&gt;0),"Unk",0))</f>
        <v>1</v>
      </c>
      <c r="E1334" s="2" t="str">
        <f>IFERROR(INDEX('Blackout Brand Fam Areas (Enc)'!$D$6:$D$998,MATCH(UPPER(A1334)&amp;"|"&amp;UPPER(B1334),'Blackout Brand Fam Areas (Enc)'!$G$6:$G$998,0)),"No Match")</f>
        <v>No Match</v>
      </c>
      <c r="F1334" s="2" t="str">
        <f t="shared" si="40"/>
        <v>US</v>
      </c>
      <c r="G1334" s="2" t="str">
        <f t="shared" si="41"/>
        <v>Big Mans Brew|PASSAIC-FF</v>
      </c>
    </row>
    <row r="1335" spans="1:7" x14ac:dyDescent="0.2">
      <c r="A1335" s="2" t="str" cm="1">
        <f t="array" ref="A1335">INDEX('[1]Brand Family Territory (Enc)'!$A$2:$A$296,INT((ROW()-2)/10)+1)</f>
        <v>Big Mans Brew</v>
      </c>
      <c r="B1335" s="2" t="str" cm="1">
        <f t="array" ref="B1335">INDEX('Whitelist (Blackout Reverse)'!$B$1:$K$1,MOD(ROW()-2,10)+1)</f>
        <v>ESSEX</v>
      </c>
      <c r="C1335" s="2" t="str">
        <f>VLOOKUP(A1335,'[1]Brand Family Territory (Enc)'!$A$2:$B$296,2,FALSE)</f>
        <v>All Counties</v>
      </c>
      <c r="D1335" s="2">
        <f>IF(COUNTIFS('[1]Brand Family Territories (Enc)'!$B$2:$B$62,C1335,'[1]Brand Family Territories (Enc)'!$C$2:$C$62,B1335)&gt;0,1,IF(AND(LEFT(B1335,6)="MORRIS",COUNTIFS('[1]Brand Family Territories (Enc)'!$B$2:$B$62,C1335,'[1]Brand Family Territories (Enc)'!$C$2:$C$62,"Morri")&gt;0),"Unk",0))</f>
        <v>1</v>
      </c>
      <c r="E1335" s="2" t="str">
        <f>IFERROR(INDEX('Blackout Brand Fam Areas (Enc)'!$D$6:$D$998,MATCH(UPPER(A1335)&amp;"|"&amp;UPPER(B1335),'Blackout Brand Fam Areas (Enc)'!$G$6:$G$998,0)),"No Match")</f>
        <v>No Match</v>
      </c>
      <c r="F1335" s="2" t="str">
        <f t="shared" si="40"/>
        <v>US</v>
      </c>
      <c r="G1335" s="2" t="str">
        <f t="shared" si="41"/>
        <v>Big Mans Brew|ESSEX</v>
      </c>
    </row>
    <row r="1336" spans="1:7" x14ac:dyDescent="0.2">
      <c r="A1336" s="2" t="str" cm="1">
        <f t="array" ref="A1336">INDEX('[1]Brand Family Territory (Enc)'!$A$2:$A$296,INT((ROW()-2)/10)+1)</f>
        <v>Big Mans Brew</v>
      </c>
      <c r="B1336" s="2" t="str" cm="1">
        <f t="array" ref="B1336">INDEX('Whitelist (Blackout Reverse)'!$B$1:$K$1,MOD(ROW()-2,10)+1)</f>
        <v>HUDSON</v>
      </c>
      <c r="C1336" s="2" t="str">
        <f>VLOOKUP(A1336,'[1]Brand Family Territory (Enc)'!$A$2:$B$296,2,FALSE)</f>
        <v>All Counties</v>
      </c>
      <c r="D1336" s="2">
        <f>IF(COUNTIFS('[1]Brand Family Territories (Enc)'!$B$2:$B$62,C1336,'[1]Brand Family Territories (Enc)'!$C$2:$C$62,B1336)&gt;0,1,IF(AND(LEFT(B1336,6)="MORRIS",COUNTIFS('[1]Brand Family Territories (Enc)'!$B$2:$B$62,C1336,'[1]Brand Family Territories (Enc)'!$C$2:$C$62,"Morri")&gt;0),"Unk",0))</f>
        <v>1</v>
      </c>
      <c r="E1336" s="2" t="str">
        <f>IFERROR(INDEX('Blackout Brand Fam Areas (Enc)'!$D$6:$D$998,MATCH(UPPER(A1336)&amp;"|"&amp;UPPER(B1336),'Blackout Brand Fam Areas (Enc)'!$G$6:$G$998,0)),"No Match")</f>
        <v>No Match</v>
      </c>
      <c r="F1336" s="2" t="str">
        <f t="shared" si="40"/>
        <v>US</v>
      </c>
      <c r="G1336" s="2" t="str">
        <f t="shared" si="41"/>
        <v>Big Mans Brew|HUDSON</v>
      </c>
    </row>
    <row r="1337" spans="1:7" x14ac:dyDescent="0.2">
      <c r="A1337" s="2" t="str" cm="1">
        <f t="array" ref="A1337">INDEX('[1]Brand Family Territory (Enc)'!$A$2:$A$296,INT((ROW()-2)/10)+1)</f>
        <v>Big Mans Brew</v>
      </c>
      <c r="B1337" s="2" t="str" cm="1">
        <f t="array" ref="B1337">INDEX('Whitelist (Blackout Reverse)'!$B$1:$K$1,MOD(ROW()-2,10)+1)</f>
        <v>UNION</v>
      </c>
      <c r="C1337" s="2" t="str">
        <f>VLOOKUP(A1337,'[1]Brand Family Territory (Enc)'!$A$2:$B$296,2,FALSE)</f>
        <v>All Counties</v>
      </c>
      <c r="D1337" s="2">
        <f>IF(COUNTIFS('[1]Brand Family Territories (Enc)'!$B$2:$B$62,C1337,'[1]Brand Family Territories (Enc)'!$C$2:$C$62,B1337)&gt;0,1,IF(AND(LEFT(B1337,6)="MORRIS",COUNTIFS('[1]Brand Family Territories (Enc)'!$B$2:$B$62,C1337,'[1]Brand Family Territories (Enc)'!$C$2:$C$62,"Morri")&gt;0),"Unk",0))</f>
        <v>1</v>
      </c>
      <c r="E1337" s="2" t="str">
        <f>IFERROR(INDEX('Blackout Brand Fam Areas (Enc)'!$D$6:$D$998,MATCH(UPPER(A1337)&amp;"|"&amp;UPPER(B1337),'Blackout Brand Fam Areas (Enc)'!$G$6:$G$998,0)),"No Match")</f>
        <v>No Match</v>
      </c>
      <c r="F1337" s="2" t="str">
        <f t="shared" si="40"/>
        <v>US</v>
      </c>
      <c r="G1337" s="2" t="str">
        <f t="shared" si="41"/>
        <v>Big Mans Brew|UNION</v>
      </c>
    </row>
    <row r="1338" spans="1:7" x14ac:dyDescent="0.2">
      <c r="A1338" s="2" t="str" cm="1">
        <f t="array" ref="A1338">INDEX('[1]Brand Family Territory (Enc)'!$A$2:$A$296,INT((ROW()-2)/10)+1)</f>
        <v>Big Mans Brew</v>
      </c>
      <c r="B1338" s="2" t="str" cm="1">
        <f t="array" ref="B1338">INDEX('Whitelist (Blackout Reverse)'!$B$1:$K$1,MOD(ROW()-2,10)+1)</f>
        <v>SUSSEX</v>
      </c>
      <c r="C1338" s="2" t="str">
        <f>VLOOKUP(A1338,'[1]Brand Family Territory (Enc)'!$A$2:$B$296,2,FALSE)</f>
        <v>All Counties</v>
      </c>
      <c r="D1338" s="2">
        <f>IF(COUNTIFS('[1]Brand Family Territories (Enc)'!$B$2:$B$62,C1338,'[1]Brand Family Territories (Enc)'!$C$2:$C$62,B1338)&gt;0,1,IF(AND(LEFT(B1338,6)="MORRIS",COUNTIFS('[1]Brand Family Territories (Enc)'!$B$2:$B$62,C1338,'[1]Brand Family Territories (Enc)'!$C$2:$C$62,"Morri")&gt;0),"Unk",0))</f>
        <v>1</v>
      </c>
      <c r="E1338" s="2" t="str">
        <f>IFERROR(INDEX('Blackout Brand Fam Areas (Enc)'!$D$6:$D$998,MATCH(UPPER(A1338)&amp;"|"&amp;UPPER(B1338),'Blackout Brand Fam Areas (Enc)'!$G$6:$G$998,0)),"No Match")</f>
        <v>No Match</v>
      </c>
      <c r="F1338" s="2" t="str">
        <f t="shared" si="40"/>
        <v>US</v>
      </c>
      <c r="G1338" s="2" t="str">
        <f t="shared" si="41"/>
        <v>Big Mans Brew|SUSSEX</v>
      </c>
    </row>
    <row r="1339" spans="1:7" x14ac:dyDescent="0.2">
      <c r="A1339" s="2" t="str" cm="1">
        <f t="array" ref="A1339">INDEX('[1]Brand Family Territory (Enc)'!$A$2:$A$296,INT((ROW()-2)/10)+1)</f>
        <v>Big Mans Brew</v>
      </c>
      <c r="B1339" s="2" t="str" cm="1">
        <f t="array" ref="B1339">INDEX('Whitelist (Blackout Reverse)'!$B$1:$K$1,MOD(ROW()-2,10)+1)</f>
        <v>MORRIS 1</v>
      </c>
      <c r="C1339" s="2" t="str">
        <f>VLOOKUP(A1339,'[1]Brand Family Territory (Enc)'!$A$2:$B$296,2,FALSE)</f>
        <v>All Counties</v>
      </c>
      <c r="D1339" s="2">
        <f>IF(COUNTIFS('[1]Brand Family Territories (Enc)'!$B$2:$B$62,C1339,'[1]Brand Family Territories (Enc)'!$C$2:$C$62,B1339)&gt;0,1,IF(AND(LEFT(B1339,6)="MORRIS",COUNTIFS('[1]Brand Family Territories (Enc)'!$B$2:$B$62,C1339,'[1]Brand Family Territories (Enc)'!$C$2:$C$62,"Morri")&gt;0),"Unk",0))</f>
        <v>1</v>
      </c>
      <c r="E1339" s="2" t="str">
        <f>IFERROR(INDEX('Blackout Brand Fam Areas (Enc)'!$D$6:$D$998,MATCH(UPPER(A1339)&amp;"|"&amp;UPPER(B1339),'Blackout Brand Fam Areas (Enc)'!$G$6:$G$998,0)),"No Match")</f>
        <v>No Match</v>
      </c>
      <c r="F1339" s="2" t="str">
        <f t="shared" si="40"/>
        <v>US</v>
      </c>
      <c r="G1339" s="2" t="str">
        <f t="shared" si="41"/>
        <v>Big Mans Brew|MORRIS 1</v>
      </c>
    </row>
    <row r="1340" spans="1:7" x14ac:dyDescent="0.2">
      <c r="A1340" s="2" t="str" cm="1">
        <f t="array" ref="A1340">INDEX('[1]Brand Family Territory (Enc)'!$A$2:$A$296,INT((ROW()-2)/10)+1)</f>
        <v>Big Mans Brew</v>
      </c>
      <c r="B1340" s="2" t="str" cm="1">
        <f t="array" ref="B1340">INDEX('Whitelist (Blackout Reverse)'!$B$1:$K$1,MOD(ROW()-2,10)+1)</f>
        <v>MORRIS 2</v>
      </c>
      <c r="C1340" s="2" t="str">
        <f>VLOOKUP(A1340,'[1]Brand Family Territory (Enc)'!$A$2:$B$296,2,FALSE)</f>
        <v>All Counties</v>
      </c>
      <c r="D1340" s="2">
        <f>IF(COUNTIFS('[1]Brand Family Territories (Enc)'!$B$2:$B$62,C1340,'[1]Brand Family Territories (Enc)'!$C$2:$C$62,B1340)&gt;0,1,IF(AND(LEFT(B1340,6)="MORRIS",COUNTIFS('[1]Brand Family Territories (Enc)'!$B$2:$B$62,C1340,'[1]Brand Family Territories (Enc)'!$C$2:$C$62,"Morri")&gt;0),"Unk",0))</f>
        <v>1</v>
      </c>
      <c r="E1340" s="2" t="str">
        <f>IFERROR(INDEX('Blackout Brand Fam Areas (Enc)'!$D$6:$D$998,MATCH(UPPER(A1340)&amp;"|"&amp;UPPER(B1340),'Blackout Brand Fam Areas (Enc)'!$G$6:$G$998,0)),"No Match")</f>
        <v>No Match</v>
      </c>
      <c r="F1340" s="2" t="str">
        <f t="shared" si="40"/>
        <v>US</v>
      </c>
      <c r="G1340" s="2" t="str">
        <f t="shared" si="41"/>
        <v>Big Mans Brew|MORRIS 2</v>
      </c>
    </row>
    <row r="1341" spans="1:7" x14ac:dyDescent="0.2">
      <c r="A1341" s="2" t="str" cm="1">
        <f t="array" ref="A1341">INDEX('[1]Brand Family Territory (Enc)'!$A$2:$A$296,INT((ROW()-2)/10)+1)</f>
        <v>Big Mans Brew</v>
      </c>
      <c r="B1341" s="2" t="str" cm="1">
        <f t="array" ref="B1341">INDEX('Whitelist (Blackout Reverse)'!$B$1:$K$1,MOD(ROW()-2,10)+1)</f>
        <v>MORRIS 3</v>
      </c>
      <c r="C1341" s="2" t="str">
        <f>VLOOKUP(A1341,'[1]Brand Family Territory (Enc)'!$A$2:$B$296,2,FALSE)</f>
        <v>All Counties</v>
      </c>
      <c r="D1341" s="2">
        <f>IF(COUNTIFS('[1]Brand Family Territories (Enc)'!$B$2:$B$62,C1341,'[1]Brand Family Territories (Enc)'!$C$2:$C$62,B1341)&gt;0,1,IF(AND(LEFT(B1341,6)="MORRIS",COUNTIFS('[1]Brand Family Territories (Enc)'!$B$2:$B$62,C1341,'[1]Brand Family Territories (Enc)'!$C$2:$C$62,"Morri")&gt;0),"Unk",0))</f>
        <v>1</v>
      </c>
      <c r="E1341" s="2" t="str">
        <f>IFERROR(INDEX('Blackout Brand Fam Areas (Enc)'!$D$6:$D$998,MATCH(UPPER(A1341)&amp;"|"&amp;UPPER(B1341),'Blackout Brand Fam Areas (Enc)'!$G$6:$G$998,0)),"No Match")</f>
        <v>No Match</v>
      </c>
      <c r="F1341" s="2" t="str">
        <f t="shared" si="40"/>
        <v>US</v>
      </c>
      <c r="G1341" s="2" t="str">
        <f t="shared" si="41"/>
        <v>Big Mans Brew|MORRIS 3</v>
      </c>
    </row>
    <row r="1342" spans="1:7" x14ac:dyDescent="0.2">
      <c r="A1342" s="2" t="str" cm="1">
        <f t="array" ref="A1342">INDEX('[1]Brand Family Territory (Enc)'!$A$2:$A$296,INT((ROW()-2)/10)+1)</f>
        <v>BJ'S Private Label Brewa</v>
      </c>
      <c r="B1342" s="2" t="str" cm="1">
        <f t="array" ref="B1342">INDEX('Whitelist (Blackout Reverse)'!$B$1:$K$1,MOD(ROW()-2,10)+1)</f>
        <v>BERGEN</v>
      </c>
      <c r="C1342" s="2" t="str">
        <f>VLOOKUP(A1342,'[1]Brand Family Territory (Enc)'!$A$2:$B$296,2,FALSE)</f>
        <v>All Counties</v>
      </c>
      <c r="D1342" s="2">
        <f>IF(COUNTIFS('[1]Brand Family Territories (Enc)'!$B$2:$B$62,C1342,'[1]Brand Family Territories (Enc)'!$C$2:$C$62,B1342)&gt;0,1,IF(AND(LEFT(B1342,6)="MORRIS",COUNTIFS('[1]Brand Family Territories (Enc)'!$B$2:$B$62,C1342,'[1]Brand Family Territories (Enc)'!$C$2:$C$62,"Morri")&gt;0),"Unk",0))</f>
        <v>1</v>
      </c>
      <c r="E1342" s="2" t="str">
        <f>IFERROR(INDEX('Blackout Brand Fam Areas (Enc)'!$D$6:$D$998,MATCH(UPPER(A1342)&amp;"|"&amp;UPPER(B1342),'Blackout Brand Fam Areas (Enc)'!$G$6:$G$998,0)),"No Match")</f>
        <v>No Match</v>
      </c>
      <c r="F1342" s="2" t="str">
        <f t="shared" si="40"/>
        <v>US</v>
      </c>
      <c r="G1342" s="2" t="str">
        <f t="shared" si="41"/>
        <v>BJ'S Private Label Brewa|BERGEN</v>
      </c>
    </row>
    <row r="1343" spans="1:7" x14ac:dyDescent="0.2">
      <c r="A1343" s="2" t="str" cm="1">
        <f t="array" ref="A1343">INDEX('[1]Brand Family Territory (Enc)'!$A$2:$A$296,INT((ROW()-2)/10)+1)</f>
        <v>BJ'S Private Label Brewa</v>
      </c>
      <c r="B1343" s="2" t="str" cm="1">
        <f t="array" ref="B1343">INDEX('Whitelist (Blackout Reverse)'!$B$1:$K$1,MOD(ROW()-2,10)+1)</f>
        <v>PASSAIC</v>
      </c>
      <c r="C1343" s="2" t="str">
        <f>VLOOKUP(A1343,'[1]Brand Family Territory (Enc)'!$A$2:$B$296,2,FALSE)</f>
        <v>All Counties</v>
      </c>
      <c r="D1343" s="2">
        <f>IF(COUNTIFS('[1]Brand Family Territories (Enc)'!$B$2:$B$62,C1343,'[1]Brand Family Territories (Enc)'!$C$2:$C$62,B1343)&gt;0,1,IF(AND(LEFT(B1343,6)="MORRIS",COUNTIFS('[1]Brand Family Territories (Enc)'!$B$2:$B$62,C1343,'[1]Brand Family Territories (Enc)'!$C$2:$C$62,"Morri")&gt;0),"Unk",0))</f>
        <v>1</v>
      </c>
      <c r="E1343" s="2" t="str">
        <f>IFERROR(INDEX('Blackout Brand Fam Areas (Enc)'!$D$6:$D$998,MATCH(UPPER(A1343)&amp;"|"&amp;UPPER(B1343),'Blackout Brand Fam Areas (Enc)'!$G$6:$G$998,0)),"No Match")</f>
        <v>No Match</v>
      </c>
      <c r="F1343" s="2" t="str">
        <f t="shared" si="40"/>
        <v>US</v>
      </c>
      <c r="G1343" s="2" t="str">
        <f t="shared" si="41"/>
        <v>BJ'S Private Label Brewa|PASSAIC</v>
      </c>
    </row>
    <row r="1344" spans="1:7" x14ac:dyDescent="0.2">
      <c r="A1344" s="2" t="str" cm="1">
        <f t="array" ref="A1344">INDEX('[1]Brand Family Territory (Enc)'!$A$2:$A$296,INT((ROW()-2)/10)+1)</f>
        <v>BJ'S Private Label Brewa</v>
      </c>
      <c r="B1344" s="2" t="str" cm="1">
        <f t="array" ref="B1344">INDEX('Whitelist (Blackout Reverse)'!$B$1:$K$1,MOD(ROW()-2,10)+1)</f>
        <v>PASSAIC-FF</v>
      </c>
      <c r="C1344" s="2" t="str">
        <f>VLOOKUP(A1344,'[1]Brand Family Territory (Enc)'!$A$2:$B$296,2,FALSE)</f>
        <v>All Counties</v>
      </c>
      <c r="D1344" s="2">
        <f>IF(COUNTIFS('[1]Brand Family Territories (Enc)'!$B$2:$B$62,C1344,'[1]Brand Family Territories (Enc)'!$C$2:$C$62,B1344)&gt;0,1,IF(AND(LEFT(B1344,6)="MORRIS",COUNTIFS('[1]Brand Family Territories (Enc)'!$B$2:$B$62,C1344,'[1]Brand Family Territories (Enc)'!$C$2:$C$62,"Morri")&gt;0),"Unk",0))</f>
        <v>1</v>
      </c>
      <c r="E1344" s="2" t="str">
        <f>IFERROR(INDEX('Blackout Brand Fam Areas (Enc)'!$D$6:$D$998,MATCH(UPPER(A1344)&amp;"|"&amp;UPPER(B1344),'Blackout Brand Fam Areas (Enc)'!$G$6:$G$998,0)),"No Match")</f>
        <v>No Match</v>
      </c>
      <c r="F1344" s="2" t="str">
        <f t="shared" si="40"/>
        <v>US</v>
      </c>
      <c r="G1344" s="2" t="str">
        <f t="shared" si="41"/>
        <v>BJ'S Private Label Brewa|PASSAIC-FF</v>
      </c>
    </row>
    <row r="1345" spans="1:7" x14ac:dyDescent="0.2">
      <c r="A1345" s="2" t="str" cm="1">
        <f t="array" ref="A1345">INDEX('[1]Brand Family Territory (Enc)'!$A$2:$A$296,INT((ROW()-2)/10)+1)</f>
        <v>BJ'S Private Label Brewa</v>
      </c>
      <c r="B1345" s="2" t="str" cm="1">
        <f t="array" ref="B1345">INDEX('Whitelist (Blackout Reverse)'!$B$1:$K$1,MOD(ROW()-2,10)+1)</f>
        <v>ESSEX</v>
      </c>
      <c r="C1345" s="2" t="str">
        <f>VLOOKUP(A1345,'[1]Brand Family Territory (Enc)'!$A$2:$B$296,2,FALSE)</f>
        <v>All Counties</v>
      </c>
      <c r="D1345" s="2">
        <f>IF(COUNTIFS('[1]Brand Family Territories (Enc)'!$B$2:$B$62,C1345,'[1]Brand Family Territories (Enc)'!$C$2:$C$62,B1345)&gt;0,1,IF(AND(LEFT(B1345,6)="MORRIS",COUNTIFS('[1]Brand Family Territories (Enc)'!$B$2:$B$62,C1345,'[1]Brand Family Territories (Enc)'!$C$2:$C$62,"Morri")&gt;0),"Unk",0))</f>
        <v>1</v>
      </c>
      <c r="E1345" s="2" t="str">
        <f>IFERROR(INDEX('Blackout Brand Fam Areas (Enc)'!$D$6:$D$998,MATCH(UPPER(A1345)&amp;"|"&amp;UPPER(B1345),'Blackout Brand Fam Areas (Enc)'!$G$6:$G$998,0)),"No Match")</f>
        <v>Inactive</v>
      </c>
      <c r="F1345" s="2" t="str">
        <f t="shared" si="40"/>
        <v>THEM</v>
      </c>
      <c r="G1345" s="2" t="str">
        <f t="shared" si="41"/>
        <v>BJ'S Private Label Brewa|ESSEX</v>
      </c>
    </row>
    <row r="1346" spans="1:7" x14ac:dyDescent="0.2">
      <c r="A1346" s="2" t="str" cm="1">
        <f t="array" ref="A1346">INDEX('[1]Brand Family Territory (Enc)'!$A$2:$A$296,INT((ROW()-2)/10)+1)</f>
        <v>BJ'S Private Label Brewa</v>
      </c>
      <c r="B1346" s="2" t="str" cm="1">
        <f t="array" ref="B1346">INDEX('Whitelist (Blackout Reverse)'!$B$1:$K$1,MOD(ROW()-2,10)+1)</f>
        <v>HUDSON</v>
      </c>
      <c r="C1346" s="2" t="str">
        <f>VLOOKUP(A1346,'[1]Brand Family Territory (Enc)'!$A$2:$B$296,2,FALSE)</f>
        <v>All Counties</v>
      </c>
      <c r="D1346" s="2">
        <f>IF(COUNTIFS('[1]Brand Family Territories (Enc)'!$B$2:$B$62,C1346,'[1]Brand Family Territories (Enc)'!$C$2:$C$62,B1346)&gt;0,1,IF(AND(LEFT(B1346,6)="MORRIS",COUNTIFS('[1]Brand Family Territories (Enc)'!$B$2:$B$62,C1346,'[1]Brand Family Territories (Enc)'!$C$2:$C$62,"Morri")&gt;0),"Unk",0))</f>
        <v>1</v>
      </c>
      <c r="E1346" s="2" t="str">
        <f>IFERROR(INDEX('Blackout Brand Fam Areas (Enc)'!$D$6:$D$998,MATCH(UPPER(A1346)&amp;"|"&amp;UPPER(B1346),'Blackout Brand Fam Areas (Enc)'!$G$6:$G$998,0)),"No Match")</f>
        <v>Inactive</v>
      </c>
      <c r="F1346" s="2" t="str">
        <f t="shared" si="40"/>
        <v>THEM</v>
      </c>
      <c r="G1346" s="2" t="str">
        <f t="shared" si="41"/>
        <v>BJ'S Private Label Brewa|HUDSON</v>
      </c>
    </row>
    <row r="1347" spans="1:7" x14ac:dyDescent="0.2">
      <c r="A1347" s="2" t="str" cm="1">
        <f t="array" ref="A1347">INDEX('[1]Brand Family Territory (Enc)'!$A$2:$A$296,INT((ROW()-2)/10)+1)</f>
        <v>BJ'S Private Label Brewa</v>
      </c>
      <c r="B1347" s="2" t="str" cm="1">
        <f t="array" ref="B1347">INDEX('Whitelist (Blackout Reverse)'!$B$1:$K$1,MOD(ROW()-2,10)+1)</f>
        <v>UNION</v>
      </c>
      <c r="C1347" s="2" t="str">
        <f>VLOOKUP(A1347,'[1]Brand Family Territory (Enc)'!$A$2:$B$296,2,FALSE)</f>
        <v>All Counties</v>
      </c>
      <c r="D1347" s="2">
        <f>IF(COUNTIFS('[1]Brand Family Territories (Enc)'!$B$2:$B$62,C1347,'[1]Brand Family Territories (Enc)'!$C$2:$C$62,B1347)&gt;0,1,IF(AND(LEFT(B1347,6)="MORRIS",COUNTIFS('[1]Brand Family Territories (Enc)'!$B$2:$B$62,C1347,'[1]Brand Family Territories (Enc)'!$C$2:$C$62,"Morri")&gt;0),"Unk",0))</f>
        <v>1</v>
      </c>
      <c r="E1347" s="2" t="str">
        <f>IFERROR(INDEX('Blackout Brand Fam Areas (Enc)'!$D$6:$D$998,MATCH(UPPER(A1347)&amp;"|"&amp;UPPER(B1347),'Blackout Brand Fam Areas (Enc)'!$G$6:$G$998,0)),"No Match")</f>
        <v>Inactive</v>
      </c>
      <c r="F1347" s="2" t="str">
        <f t="shared" ref="F1347:F1410" si="42">IF(D1347="Unk","Ambiguous (Source Truncated)",IF(E1347="Inactive","THEM",IF(D1347=1,"US",IF(D1347="N/A","No Territory Data","THEM"))))</f>
        <v>THEM</v>
      </c>
      <c r="G1347" s="2" t="str">
        <f t="shared" ref="G1347:G1410" si="43">A1347&amp;"|"&amp;B1347</f>
        <v>BJ'S Private Label Brewa|UNION</v>
      </c>
    </row>
    <row r="1348" spans="1:7" x14ac:dyDescent="0.2">
      <c r="A1348" s="2" t="str" cm="1">
        <f t="array" ref="A1348">INDEX('[1]Brand Family Territory (Enc)'!$A$2:$A$296,INT((ROW()-2)/10)+1)</f>
        <v>BJ'S Private Label Brewa</v>
      </c>
      <c r="B1348" s="2" t="str" cm="1">
        <f t="array" ref="B1348">INDEX('Whitelist (Blackout Reverse)'!$B$1:$K$1,MOD(ROW()-2,10)+1)</f>
        <v>SUSSEX</v>
      </c>
      <c r="C1348" s="2" t="str">
        <f>VLOOKUP(A1348,'[1]Brand Family Territory (Enc)'!$A$2:$B$296,2,FALSE)</f>
        <v>All Counties</v>
      </c>
      <c r="D1348" s="2">
        <f>IF(COUNTIFS('[1]Brand Family Territories (Enc)'!$B$2:$B$62,C1348,'[1]Brand Family Territories (Enc)'!$C$2:$C$62,B1348)&gt;0,1,IF(AND(LEFT(B1348,6)="MORRIS",COUNTIFS('[1]Brand Family Territories (Enc)'!$B$2:$B$62,C1348,'[1]Brand Family Territories (Enc)'!$C$2:$C$62,"Morri")&gt;0),"Unk",0))</f>
        <v>1</v>
      </c>
      <c r="E1348" s="2" t="str">
        <f>IFERROR(INDEX('Blackout Brand Fam Areas (Enc)'!$D$6:$D$998,MATCH(UPPER(A1348)&amp;"|"&amp;UPPER(B1348),'Blackout Brand Fam Areas (Enc)'!$G$6:$G$998,0)),"No Match")</f>
        <v>No Match</v>
      </c>
      <c r="F1348" s="2" t="str">
        <f t="shared" si="42"/>
        <v>US</v>
      </c>
      <c r="G1348" s="2" t="str">
        <f t="shared" si="43"/>
        <v>BJ'S Private Label Brewa|SUSSEX</v>
      </c>
    </row>
    <row r="1349" spans="1:7" x14ac:dyDescent="0.2">
      <c r="A1349" s="2" t="str" cm="1">
        <f t="array" ref="A1349">INDEX('[1]Brand Family Territory (Enc)'!$A$2:$A$296,INT((ROW()-2)/10)+1)</f>
        <v>BJ'S Private Label Brewa</v>
      </c>
      <c r="B1349" s="2" t="str" cm="1">
        <f t="array" ref="B1349">INDEX('Whitelist (Blackout Reverse)'!$B$1:$K$1,MOD(ROW()-2,10)+1)</f>
        <v>MORRIS 1</v>
      </c>
      <c r="C1349" s="2" t="str">
        <f>VLOOKUP(A1349,'[1]Brand Family Territory (Enc)'!$A$2:$B$296,2,FALSE)</f>
        <v>All Counties</v>
      </c>
      <c r="D1349" s="2">
        <f>IF(COUNTIFS('[1]Brand Family Territories (Enc)'!$B$2:$B$62,C1349,'[1]Brand Family Territories (Enc)'!$C$2:$C$62,B1349)&gt;0,1,IF(AND(LEFT(B1349,6)="MORRIS",COUNTIFS('[1]Brand Family Territories (Enc)'!$B$2:$B$62,C1349,'[1]Brand Family Territories (Enc)'!$C$2:$C$62,"Morri")&gt;0),"Unk",0))</f>
        <v>1</v>
      </c>
      <c r="E1349" s="2" t="str">
        <f>IFERROR(INDEX('Blackout Brand Fam Areas (Enc)'!$D$6:$D$998,MATCH(UPPER(A1349)&amp;"|"&amp;UPPER(B1349),'Blackout Brand Fam Areas (Enc)'!$G$6:$G$998,0)),"No Match")</f>
        <v>No Match</v>
      </c>
      <c r="F1349" s="2" t="str">
        <f t="shared" si="42"/>
        <v>US</v>
      </c>
      <c r="G1349" s="2" t="str">
        <f t="shared" si="43"/>
        <v>BJ'S Private Label Brewa|MORRIS 1</v>
      </c>
    </row>
    <row r="1350" spans="1:7" x14ac:dyDescent="0.2">
      <c r="A1350" s="2" t="str" cm="1">
        <f t="array" ref="A1350">INDEX('[1]Brand Family Territory (Enc)'!$A$2:$A$296,INT((ROW()-2)/10)+1)</f>
        <v>BJ'S Private Label Brewa</v>
      </c>
      <c r="B1350" s="2" t="str" cm="1">
        <f t="array" ref="B1350">INDEX('Whitelist (Blackout Reverse)'!$B$1:$K$1,MOD(ROW()-2,10)+1)</f>
        <v>MORRIS 2</v>
      </c>
      <c r="C1350" s="2" t="str">
        <f>VLOOKUP(A1350,'[1]Brand Family Territory (Enc)'!$A$2:$B$296,2,FALSE)</f>
        <v>All Counties</v>
      </c>
      <c r="D1350" s="2">
        <f>IF(COUNTIFS('[1]Brand Family Territories (Enc)'!$B$2:$B$62,C1350,'[1]Brand Family Territories (Enc)'!$C$2:$C$62,B1350)&gt;0,1,IF(AND(LEFT(B1350,6)="MORRIS",COUNTIFS('[1]Brand Family Territories (Enc)'!$B$2:$B$62,C1350,'[1]Brand Family Territories (Enc)'!$C$2:$C$62,"Morri")&gt;0),"Unk",0))</f>
        <v>1</v>
      </c>
      <c r="E1350" s="2" t="str">
        <f>IFERROR(INDEX('Blackout Brand Fam Areas (Enc)'!$D$6:$D$998,MATCH(UPPER(A1350)&amp;"|"&amp;UPPER(B1350),'Blackout Brand Fam Areas (Enc)'!$G$6:$G$998,0)),"No Match")</f>
        <v>Inactive</v>
      </c>
      <c r="F1350" s="2" t="str">
        <f t="shared" si="42"/>
        <v>THEM</v>
      </c>
      <c r="G1350" s="2" t="str">
        <f t="shared" si="43"/>
        <v>BJ'S Private Label Brewa|MORRIS 2</v>
      </c>
    </row>
    <row r="1351" spans="1:7" x14ac:dyDescent="0.2">
      <c r="A1351" s="2" t="str" cm="1">
        <f t="array" ref="A1351">INDEX('[1]Brand Family Territory (Enc)'!$A$2:$A$296,INT((ROW()-2)/10)+1)</f>
        <v>BJ'S Private Label Brewa</v>
      </c>
      <c r="B1351" s="2" t="str" cm="1">
        <f t="array" ref="B1351">INDEX('Whitelist (Blackout Reverse)'!$B$1:$K$1,MOD(ROW()-2,10)+1)</f>
        <v>MORRIS 3</v>
      </c>
      <c r="C1351" s="2" t="str">
        <f>VLOOKUP(A1351,'[1]Brand Family Territory (Enc)'!$A$2:$B$296,2,FALSE)</f>
        <v>All Counties</v>
      </c>
      <c r="D1351" s="2">
        <f>IF(COUNTIFS('[1]Brand Family Territories (Enc)'!$B$2:$B$62,C1351,'[1]Brand Family Territories (Enc)'!$C$2:$C$62,B1351)&gt;0,1,IF(AND(LEFT(B1351,6)="MORRIS",COUNTIFS('[1]Brand Family Territories (Enc)'!$B$2:$B$62,C1351,'[1]Brand Family Territories (Enc)'!$C$2:$C$62,"Morri")&gt;0),"Unk",0))</f>
        <v>1</v>
      </c>
      <c r="E1351" s="2" t="str">
        <f>IFERROR(INDEX('Blackout Brand Fam Areas (Enc)'!$D$6:$D$998,MATCH(UPPER(A1351)&amp;"|"&amp;UPPER(B1351),'Blackout Brand Fam Areas (Enc)'!$G$6:$G$998,0)),"No Match")</f>
        <v>No Match</v>
      </c>
      <c r="F1351" s="2" t="str">
        <f t="shared" si="42"/>
        <v>US</v>
      </c>
      <c r="G1351" s="2" t="str">
        <f t="shared" si="43"/>
        <v>BJ'S Private Label Brewa|MORRIS 3</v>
      </c>
    </row>
    <row r="1352" spans="1:7" x14ac:dyDescent="0.2">
      <c r="A1352" s="2" t="str" cm="1">
        <f t="array" ref="A1352">INDEX('[1]Brand Family Territory (Enc)'!$A$2:$A$296,INT((ROW()-2)/10)+1)</f>
        <v>Bodega Chiller</v>
      </c>
      <c r="B1352" s="2" t="str" cm="1">
        <f t="array" ref="B1352">INDEX('Whitelist (Blackout Reverse)'!$B$1:$K$1,MOD(ROW()-2,10)+1)</f>
        <v>BERGEN</v>
      </c>
      <c r="C1352" s="2" t="str">
        <f>VLOOKUP(A1352,'[1]Brand Family Territory (Enc)'!$A$2:$B$296,2,FALSE)</f>
        <v>All Counties</v>
      </c>
      <c r="D1352" s="2">
        <f>IF(COUNTIFS('[1]Brand Family Territories (Enc)'!$B$2:$B$62,C1352,'[1]Brand Family Territories (Enc)'!$C$2:$C$62,B1352)&gt;0,1,IF(AND(LEFT(B1352,6)="MORRIS",COUNTIFS('[1]Brand Family Territories (Enc)'!$B$2:$B$62,C1352,'[1]Brand Family Territories (Enc)'!$C$2:$C$62,"Morri")&gt;0),"Unk",0))</f>
        <v>1</v>
      </c>
      <c r="E1352" s="2" t="str">
        <f>IFERROR(INDEX('Blackout Brand Fam Areas (Enc)'!$D$6:$D$998,MATCH(UPPER(A1352)&amp;"|"&amp;UPPER(B1352),'Blackout Brand Fam Areas (Enc)'!$G$6:$G$998,0)),"No Match")</f>
        <v>No Match</v>
      </c>
      <c r="F1352" s="2" t="str">
        <f t="shared" si="42"/>
        <v>US</v>
      </c>
      <c r="G1352" s="2" t="str">
        <f t="shared" si="43"/>
        <v>Bodega Chiller|BERGEN</v>
      </c>
    </row>
    <row r="1353" spans="1:7" x14ac:dyDescent="0.2">
      <c r="A1353" s="2" t="str" cm="1">
        <f t="array" ref="A1353">INDEX('[1]Brand Family Territory (Enc)'!$A$2:$A$296,INT((ROW()-2)/10)+1)</f>
        <v>Bodega Chiller</v>
      </c>
      <c r="B1353" s="2" t="str" cm="1">
        <f t="array" ref="B1353">INDEX('Whitelist (Blackout Reverse)'!$B$1:$K$1,MOD(ROW()-2,10)+1)</f>
        <v>PASSAIC</v>
      </c>
      <c r="C1353" s="2" t="str">
        <f>VLOOKUP(A1353,'[1]Brand Family Territory (Enc)'!$A$2:$B$296,2,FALSE)</f>
        <v>All Counties</v>
      </c>
      <c r="D1353" s="2">
        <f>IF(COUNTIFS('[1]Brand Family Territories (Enc)'!$B$2:$B$62,C1353,'[1]Brand Family Territories (Enc)'!$C$2:$C$62,B1353)&gt;0,1,IF(AND(LEFT(B1353,6)="MORRIS",COUNTIFS('[1]Brand Family Territories (Enc)'!$B$2:$B$62,C1353,'[1]Brand Family Territories (Enc)'!$C$2:$C$62,"Morri")&gt;0),"Unk",0))</f>
        <v>1</v>
      </c>
      <c r="E1353" s="2" t="str">
        <f>IFERROR(INDEX('Blackout Brand Fam Areas (Enc)'!$D$6:$D$998,MATCH(UPPER(A1353)&amp;"|"&amp;UPPER(B1353),'Blackout Brand Fam Areas (Enc)'!$G$6:$G$998,0)),"No Match")</f>
        <v>No Match</v>
      </c>
      <c r="F1353" s="2" t="str">
        <f t="shared" si="42"/>
        <v>US</v>
      </c>
      <c r="G1353" s="2" t="str">
        <f t="shared" si="43"/>
        <v>Bodega Chiller|PASSAIC</v>
      </c>
    </row>
    <row r="1354" spans="1:7" x14ac:dyDescent="0.2">
      <c r="A1354" s="2" t="str" cm="1">
        <f t="array" ref="A1354">INDEX('[1]Brand Family Territory (Enc)'!$A$2:$A$296,INT((ROW()-2)/10)+1)</f>
        <v>Bodega Chiller</v>
      </c>
      <c r="B1354" s="2" t="str" cm="1">
        <f t="array" ref="B1354">INDEX('Whitelist (Blackout Reverse)'!$B$1:$K$1,MOD(ROW()-2,10)+1)</f>
        <v>PASSAIC-FF</v>
      </c>
      <c r="C1354" s="2" t="str">
        <f>VLOOKUP(A1354,'[1]Brand Family Territory (Enc)'!$A$2:$B$296,2,FALSE)</f>
        <v>All Counties</v>
      </c>
      <c r="D1354" s="2">
        <f>IF(COUNTIFS('[1]Brand Family Territories (Enc)'!$B$2:$B$62,C1354,'[1]Brand Family Territories (Enc)'!$C$2:$C$62,B1354)&gt;0,1,IF(AND(LEFT(B1354,6)="MORRIS",COUNTIFS('[1]Brand Family Territories (Enc)'!$B$2:$B$62,C1354,'[1]Brand Family Territories (Enc)'!$C$2:$C$62,"Morri")&gt;0),"Unk",0))</f>
        <v>1</v>
      </c>
      <c r="E1354" s="2" t="str">
        <f>IFERROR(INDEX('Blackout Brand Fam Areas (Enc)'!$D$6:$D$998,MATCH(UPPER(A1354)&amp;"|"&amp;UPPER(B1354),'Blackout Brand Fam Areas (Enc)'!$G$6:$G$998,0)),"No Match")</f>
        <v>No Match</v>
      </c>
      <c r="F1354" s="2" t="str">
        <f t="shared" si="42"/>
        <v>US</v>
      </c>
      <c r="G1354" s="2" t="str">
        <f t="shared" si="43"/>
        <v>Bodega Chiller|PASSAIC-FF</v>
      </c>
    </row>
    <row r="1355" spans="1:7" x14ac:dyDescent="0.2">
      <c r="A1355" s="2" t="str" cm="1">
        <f t="array" ref="A1355">INDEX('[1]Brand Family Territory (Enc)'!$A$2:$A$296,INT((ROW()-2)/10)+1)</f>
        <v>Bodega Chiller</v>
      </c>
      <c r="B1355" s="2" t="str" cm="1">
        <f t="array" ref="B1355">INDEX('Whitelist (Blackout Reverse)'!$B$1:$K$1,MOD(ROW()-2,10)+1)</f>
        <v>ESSEX</v>
      </c>
      <c r="C1355" s="2" t="str">
        <f>VLOOKUP(A1355,'[1]Brand Family Territory (Enc)'!$A$2:$B$296,2,FALSE)</f>
        <v>All Counties</v>
      </c>
      <c r="D1355" s="2">
        <f>IF(COUNTIFS('[1]Brand Family Territories (Enc)'!$B$2:$B$62,C1355,'[1]Brand Family Territories (Enc)'!$C$2:$C$62,B1355)&gt;0,1,IF(AND(LEFT(B1355,6)="MORRIS",COUNTIFS('[1]Brand Family Territories (Enc)'!$B$2:$B$62,C1355,'[1]Brand Family Territories (Enc)'!$C$2:$C$62,"Morri")&gt;0),"Unk",0))</f>
        <v>1</v>
      </c>
      <c r="E1355" s="2" t="str">
        <f>IFERROR(INDEX('Blackout Brand Fam Areas (Enc)'!$D$6:$D$998,MATCH(UPPER(A1355)&amp;"|"&amp;UPPER(B1355),'Blackout Brand Fam Areas (Enc)'!$G$6:$G$998,0)),"No Match")</f>
        <v>No Match</v>
      </c>
      <c r="F1355" s="2" t="str">
        <f t="shared" si="42"/>
        <v>US</v>
      </c>
      <c r="G1355" s="2" t="str">
        <f t="shared" si="43"/>
        <v>Bodega Chiller|ESSEX</v>
      </c>
    </row>
    <row r="1356" spans="1:7" x14ac:dyDescent="0.2">
      <c r="A1356" s="2" t="str" cm="1">
        <f t="array" ref="A1356">INDEX('[1]Brand Family Territory (Enc)'!$A$2:$A$296,INT((ROW()-2)/10)+1)</f>
        <v>Bodega Chiller</v>
      </c>
      <c r="B1356" s="2" t="str" cm="1">
        <f t="array" ref="B1356">INDEX('Whitelist (Blackout Reverse)'!$B$1:$K$1,MOD(ROW()-2,10)+1)</f>
        <v>HUDSON</v>
      </c>
      <c r="C1356" s="2" t="str">
        <f>VLOOKUP(A1356,'[1]Brand Family Territory (Enc)'!$A$2:$B$296,2,FALSE)</f>
        <v>All Counties</v>
      </c>
      <c r="D1356" s="2">
        <f>IF(COUNTIFS('[1]Brand Family Territories (Enc)'!$B$2:$B$62,C1356,'[1]Brand Family Territories (Enc)'!$C$2:$C$62,B1356)&gt;0,1,IF(AND(LEFT(B1356,6)="MORRIS",COUNTIFS('[1]Brand Family Territories (Enc)'!$B$2:$B$62,C1356,'[1]Brand Family Territories (Enc)'!$C$2:$C$62,"Morri")&gt;0),"Unk",0))</f>
        <v>1</v>
      </c>
      <c r="E1356" s="2" t="str">
        <f>IFERROR(INDEX('Blackout Brand Fam Areas (Enc)'!$D$6:$D$998,MATCH(UPPER(A1356)&amp;"|"&amp;UPPER(B1356),'Blackout Brand Fam Areas (Enc)'!$G$6:$G$998,0)),"No Match")</f>
        <v>No Match</v>
      </c>
      <c r="F1356" s="2" t="str">
        <f t="shared" si="42"/>
        <v>US</v>
      </c>
      <c r="G1356" s="2" t="str">
        <f t="shared" si="43"/>
        <v>Bodega Chiller|HUDSON</v>
      </c>
    </row>
    <row r="1357" spans="1:7" x14ac:dyDescent="0.2">
      <c r="A1357" s="2" t="str" cm="1">
        <f t="array" ref="A1357">INDEX('[1]Brand Family Territory (Enc)'!$A$2:$A$296,INT((ROW()-2)/10)+1)</f>
        <v>Bodega Chiller</v>
      </c>
      <c r="B1357" s="2" t="str" cm="1">
        <f t="array" ref="B1357">INDEX('Whitelist (Blackout Reverse)'!$B$1:$K$1,MOD(ROW()-2,10)+1)</f>
        <v>UNION</v>
      </c>
      <c r="C1357" s="2" t="str">
        <f>VLOOKUP(A1357,'[1]Brand Family Territory (Enc)'!$A$2:$B$296,2,FALSE)</f>
        <v>All Counties</v>
      </c>
      <c r="D1357" s="2">
        <f>IF(COUNTIFS('[1]Brand Family Territories (Enc)'!$B$2:$B$62,C1357,'[1]Brand Family Territories (Enc)'!$C$2:$C$62,B1357)&gt;0,1,IF(AND(LEFT(B1357,6)="MORRIS",COUNTIFS('[1]Brand Family Territories (Enc)'!$B$2:$B$62,C1357,'[1]Brand Family Territories (Enc)'!$C$2:$C$62,"Morri")&gt;0),"Unk",0))</f>
        <v>1</v>
      </c>
      <c r="E1357" s="2" t="str">
        <f>IFERROR(INDEX('Blackout Brand Fam Areas (Enc)'!$D$6:$D$998,MATCH(UPPER(A1357)&amp;"|"&amp;UPPER(B1357),'Blackout Brand Fam Areas (Enc)'!$G$6:$G$998,0)),"No Match")</f>
        <v>No Match</v>
      </c>
      <c r="F1357" s="2" t="str">
        <f t="shared" si="42"/>
        <v>US</v>
      </c>
      <c r="G1357" s="2" t="str">
        <f t="shared" si="43"/>
        <v>Bodega Chiller|UNION</v>
      </c>
    </row>
    <row r="1358" spans="1:7" x14ac:dyDescent="0.2">
      <c r="A1358" s="2" t="str" cm="1">
        <f t="array" ref="A1358">INDEX('[1]Brand Family Territory (Enc)'!$A$2:$A$296,INT((ROW()-2)/10)+1)</f>
        <v>Bodega Chiller</v>
      </c>
      <c r="B1358" s="2" t="str" cm="1">
        <f t="array" ref="B1358">INDEX('Whitelist (Blackout Reverse)'!$B$1:$K$1,MOD(ROW()-2,10)+1)</f>
        <v>SUSSEX</v>
      </c>
      <c r="C1358" s="2" t="str">
        <f>VLOOKUP(A1358,'[1]Brand Family Territory (Enc)'!$A$2:$B$296,2,FALSE)</f>
        <v>All Counties</v>
      </c>
      <c r="D1358" s="2">
        <f>IF(COUNTIFS('[1]Brand Family Territories (Enc)'!$B$2:$B$62,C1358,'[1]Brand Family Territories (Enc)'!$C$2:$C$62,B1358)&gt;0,1,IF(AND(LEFT(B1358,6)="MORRIS",COUNTIFS('[1]Brand Family Territories (Enc)'!$B$2:$B$62,C1358,'[1]Brand Family Territories (Enc)'!$C$2:$C$62,"Morri")&gt;0),"Unk",0))</f>
        <v>1</v>
      </c>
      <c r="E1358" s="2" t="str">
        <f>IFERROR(INDEX('Blackout Brand Fam Areas (Enc)'!$D$6:$D$998,MATCH(UPPER(A1358)&amp;"|"&amp;UPPER(B1358),'Blackout Brand Fam Areas (Enc)'!$G$6:$G$998,0)),"No Match")</f>
        <v>No Match</v>
      </c>
      <c r="F1358" s="2" t="str">
        <f t="shared" si="42"/>
        <v>US</v>
      </c>
      <c r="G1358" s="2" t="str">
        <f t="shared" si="43"/>
        <v>Bodega Chiller|SUSSEX</v>
      </c>
    </row>
    <row r="1359" spans="1:7" x14ac:dyDescent="0.2">
      <c r="A1359" s="2" t="str" cm="1">
        <f t="array" ref="A1359">INDEX('[1]Brand Family Territory (Enc)'!$A$2:$A$296,INT((ROW()-2)/10)+1)</f>
        <v>Bodega Chiller</v>
      </c>
      <c r="B1359" s="2" t="str" cm="1">
        <f t="array" ref="B1359">INDEX('Whitelist (Blackout Reverse)'!$B$1:$K$1,MOD(ROW()-2,10)+1)</f>
        <v>MORRIS 1</v>
      </c>
      <c r="C1359" s="2" t="str">
        <f>VLOOKUP(A1359,'[1]Brand Family Territory (Enc)'!$A$2:$B$296,2,FALSE)</f>
        <v>All Counties</v>
      </c>
      <c r="D1359" s="2">
        <f>IF(COUNTIFS('[1]Brand Family Territories (Enc)'!$B$2:$B$62,C1359,'[1]Brand Family Territories (Enc)'!$C$2:$C$62,B1359)&gt;0,1,IF(AND(LEFT(B1359,6)="MORRIS",COUNTIFS('[1]Brand Family Territories (Enc)'!$B$2:$B$62,C1359,'[1]Brand Family Territories (Enc)'!$C$2:$C$62,"Morri")&gt;0),"Unk",0))</f>
        <v>1</v>
      </c>
      <c r="E1359" s="2" t="str">
        <f>IFERROR(INDEX('Blackout Brand Fam Areas (Enc)'!$D$6:$D$998,MATCH(UPPER(A1359)&amp;"|"&amp;UPPER(B1359),'Blackout Brand Fam Areas (Enc)'!$G$6:$G$998,0)),"No Match")</f>
        <v>No Match</v>
      </c>
      <c r="F1359" s="2" t="str">
        <f t="shared" si="42"/>
        <v>US</v>
      </c>
      <c r="G1359" s="2" t="str">
        <f t="shared" si="43"/>
        <v>Bodega Chiller|MORRIS 1</v>
      </c>
    </row>
    <row r="1360" spans="1:7" x14ac:dyDescent="0.2">
      <c r="A1360" s="2" t="str" cm="1">
        <f t="array" ref="A1360">INDEX('[1]Brand Family Territory (Enc)'!$A$2:$A$296,INT((ROW()-2)/10)+1)</f>
        <v>Bodega Chiller</v>
      </c>
      <c r="B1360" s="2" t="str" cm="1">
        <f t="array" ref="B1360">INDEX('Whitelist (Blackout Reverse)'!$B$1:$K$1,MOD(ROW()-2,10)+1)</f>
        <v>MORRIS 2</v>
      </c>
      <c r="C1360" s="2" t="str">
        <f>VLOOKUP(A1360,'[1]Brand Family Territory (Enc)'!$A$2:$B$296,2,FALSE)</f>
        <v>All Counties</v>
      </c>
      <c r="D1360" s="2">
        <f>IF(COUNTIFS('[1]Brand Family Territories (Enc)'!$B$2:$B$62,C1360,'[1]Brand Family Territories (Enc)'!$C$2:$C$62,B1360)&gt;0,1,IF(AND(LEFT(B1360,6)="MORRIS",COUNTIFS('[1]Brand Family Territories (Enc)'!$B$2:$B$62,C1360,'[1]Brand Family Territories (Enc)'!$C$2:$C$62,"Morri")&gt;0),"Unk",0))</f>
        <v>1</v>
      </c>
      <c r="E1360" s="2" t="str">
        <f>IFERROR(INDEX('Blackout Brand Fam Areas (Enc)'!$D$6:$D$998,MATCH(UPPER(A1360)&amp;"|"&amp;UPPER(B1360),'Blackout Brand Fam Areas (Enc)'!$G$6:$G$998,0)),"No Match")</f>
        <v>No Match</v>
      </c>
      <c r="F1360" s="2" t="str">
        <f t="shared" si="42"/>
        <v>US</v>
      </c>
      <c r="G1360" s="2" t="str">
        <f t="shared" si="43"/>
        <v>Bodega Chiller|MORRIS 2</v>
      </c>
    </row>
    <row r="1361" spans="1:7" x14ac:dyDescent="0.2">
      <c r="A1361" s="2" t="str" cm="1">
        <f t="array" ref="A1361">INDEX('[1]Brand Family Territory (Enc)'!$A$2:$A$296,INT((ROW()-2)/10)+1)</f>
        <v>Bodega Chiller</v>
      </c>
      <c r="B1361" s="2" t="str" cm="1">
        <f t="array" ref="B1361">INDEX('Whitelist (Blackout Reverse)'!$B$1:$K$1,MOD(ROW()-2,10)+1)</f>
        <v>MORRIS 3</v>
      </c>
      <c r="C1361" s="2" t="str">
        <f>VLOOKUP(A1361,'[1]Brand Family Territory (Enc)'!$A$2:$B$296,2,FALSE)</f>
        <v>All Counties</v>
      </c>
      <c r="D1361" s="2">
        <f>IF(COUNTIFS('[1]Brand Family Territories (Enc)'!$B$2:$B$62,C1361,'[1]Brand Family Territories (Enc)'!$C$2:$C$62,B1361)&gt;0,1,IF(AND(LEFT(B1361,6)="MORRIS",COUNTIFS('[1]Brand Family Territories (Enc)'!$B$2:$B$62,C1361,'[1]Brand Family Territories (Enc)'!$C$2:$C$62,"Morri")&gt;0),"Unk",0))</f>
        <v>1</v>
      </c>
      <c r="E1361" s="2" t="str">
        <f>IFERROR(INDEX('Blackout Brand Fam Areas (Enc)'!$D$6:$D$998,MATCH(UPPER(A1361)&amp;"|"&amp;UPPER(B1361),'Blackout Brand Fam Areas (Enc)'!$G$6:$G$998,0)),"No Match")</f>
        <v>No Match</v>
      </c>
      <c r="F1361" s="2" t="str">
        <f t="shared" si="42"/>
        <v>US</v>
      </c>
      <c r="G1361" s="2" t="str">
        <f t="shared" si="43"/>
        <v>Bodega Chiller|MORRIS 3</v>
      </c>
    </row>
    <row r="1362" spans="1:7" x14ac:dyDescent="0.2">
      <c r="A1362" s="2" t="str" cm="1">
        <f t="array" ref="A1362">INDEX('[1]Brand Family Territory (Enc)'!$A$2:$A$296,INT((ROW()-2)/10)+1)</f>
        <v>Bodega Quarters</v>
      </c>
      <c r="B1362" s="2" t="str" cm="1">
        <f t="array" ref="B1362">INDEX('Whitelist (Blackout Reverse)'!$B$1:$K$1,MOD(ROW()-2,10)+1)</f>
        <v>BERGEN</v>
      </c>
      <c r="C1362" s="2" t="str">
        <f>VLOOKUP(A1362,'[1]Brand Family Territory (Enc)'!$A$2:$B$296,2,FALSE)</f>
        <v>All Counties</v>
      </c>
      <c r="D1362" s="2">
        <f>IF(COUNTIFS('[1]Brand Family Territories (Enc)'!$B$2:$B$62,C1362,'[1]Brand Family Territories (Enc)'!$C$2:$C$62,B1362)&gt;0,1,IF(AND(LEFT(B1362,6)="MORRIS",COUNTIFS('[1]Brand Family Territories (Enc)'!$B$2:$B$62,C1362,'[1]Brand Family Territories (Enc)'!$C$2:$C$62,"Morri")&gt;0),"Unk",0))</f>
        <v>1</v>
      </c>
      <c r="E1362" s="2" t="str">
        <f>IFERROR(INDEX('Blackout Brand Fam Areas (Enc)'!$D$6:$D$998,MATCH(UPPER(A1362)&amp;"|"&amp;UPPER(B1362),'Blackout Brand Fam Areas (Enc)'!$G$6:$G$998,0)),"No Match")</f>
        <v>No Match</v>
      </c>
      <c r="F1362" s="2" t="str">
        <f t="shared" si="42"/>
        <v>US</v>
      </c>
      <c r="G1362" s="2" t="str">
        <f t="shared" si="43"/>
        <v>Bodega Quarters|BERGEN</v>
      </c>
    </row>
    <row r="1363" spans="1:7" x14ac:dyDescent="0.2">
      <c r="A1363" s="2" t="str" cm="1">
        <f t="array" ref="A1363">INDEX('[1]Brand Family Territory (Enc)'!$A$2:$A$296,INT((ROW()-2)/10)+1)</f>
        <v>Bodega Quarters</v>
      </c>
      <c r="B1363" s="2" t="str" cm="1">
        <f t="array" ref="B1363">INDEX('Whitelist (Blackout Reverse)'!$B$1:$K$1,MOD(ROW()-2,10)+1)</f>
        <v>PASSAIC</v>
      </c>
      <c r="C1363" s="2" t="str">
        <f>VLOOKUP(A1363,'[1]Brand Family Territory (Enc)'!$A$2:$B$296,2,FALSE)</f>
        <v>All Counties</v>
      </c>
      <c r="D1363" s="2">
        <f>IF(COUNTIFS('[1]Brand Family Territories (Enc)'!$B$2:$B$62,C1363,'[1]Brand Family Territories (Enc)'!$C$2:$C$62,B1363)&gt;0,1,IF(AND(LEFT(B1363,6)="MORRIS",COUNTIFS('[1]Brand Family Territories (Enc)'!$B$2:$B$62,C1363,'[1]Brand Family Territories (Enc)'!$C$2:$C$62,"Morri")&gt;0),"Unk",0))</f>
        <v>1</v>
      </c>
      <c r="E1363" s="2" t="str">
        <f>IFERROR(INDEX('Blackout Brand Fam Areas (Enc)'!$D$6:$D$998,MATCH(UPPER(A1363)&amp;"|"&amp;UPPER(B1363),'Blackout Brand Fam Areas (Enc)'!$G$6:$G$998,0)),"No Match")</f>
        <v>No Match</v>
      </c>
      <c r="F1363" s="2" t="str">
        <f t="shared" si="42"/>
        <v>US</v>
      </c>
      <c r="G1363" s="2" t="str">
        <f t="shared" si="43"/>
        <v>Bodega Quarters|PASSAIC</v>
      </c>
    </row>
    <row r="1364" spans="1:7" x14ac:dyDescent="0.2">
      <c r="A1364" s="2" t="str" cm="1">
        <f t="array" ref="A1364">INDEX('[1]Brand Family Territory (Enc)'!$A$2:$A$296,INT((ROW()-2)/10)+1)</f>
        <v>Bodega Quarters</v>
      </c>
      <c r="B1364" s="2" t="str" cm="1">
        <f t="array" ref="B1364">INDEX('Whitelist (Blackout Reverse)'!$B$1:$K$1,MOD(ROW()-2,10)+1)</f>
        <v>PASSAIC-FF</v>
      </c>
      <c r="C1364" s="2" t="str">
        <f>VLOOKUP(A1364,'[1]Brand Family Territory (Enc)'!$A$2:$B$296,2,FALSE)</f>
        <v>All Counties</v>
      </c>
      <c r="D1364" s="2">
        <f>IF(COUNTIFS('[1]Brand Family Territories (Enc)'!$B$2:$B$62,C1364,'[1]Brand Family Territories (Enc)'!$C$2:$C$62,B1364)&gt;0,1,IF(AND(LEFT(B1364,6)="MORRIS",COUNTIFS('[1]Brand Family Territories (Enc)'!$B$2:$B$62,C1364,'[1]Brand Family Territories (Enc)'!$C$2:$C$62,"Morri")&gt;0),"Unk",0))</f>
        <v>1</v>
      </c>
      <c r="E1364" s="2" t="str">
        <f>IFERROR(INDEX('Blackout Brand Fam Areas (Enc)'!$D$6:$D$998,MATCH(UPPER(A1364)&amp;"|"&amp;UPPER(B1364),'Blackout Brand Fam Areas (Enc)'!$G$6:$G$998,0)),"No Match")</f>
        <v>No Match</v>
      </c>
      <c r="F1364" s="2" t="str">
        <f t="shared" si="42"/>
        <v>US</v>
      </c>
      <c r="G1364" s="2" t="str">
        <f t="shared" si="43"/>
        <v>Bodega Quarters|PASSAIC-FF</v>
      </c>
    </row>
    <row r="1365" spans="1:7" x14ac:dyDescent="0.2">
      <c r="A1365" s="2" t="str" cm="1">
        <f t="array" ref="A1365">INDEX('[1]Brand Family Territory (Enc)'!$A$2:$A$296,INT((ROW()-2)/10)+1)</f>
        <v>Bodega Quarters</v>
      </c>
      <c r="B1365" s="2" t="str" cm="1">
        <f t="array" ref="B1365">INDEX('Whitelist (Blackout Reverse)'!$B$1:$K$1,MOD(ROW()-2,10)+1)</f>
        <v>ESSEX</v>
      </c>
      <c r="C1365" s="2" t="str">
        <f>VLOOKUP(A1365,'[1]Brand Family Territory (Enc)'!$A$2:$B$296,2,FALSE)</f>
        <v>All Counties</v>
      </c>
      <c r="D1365" s="2">
        <f>IF(COUNTIFS('[1]Brand Family Territories (Enc)'!$B$2:$B$62,C1365,'[1]Brand Family Territories (Enc)'!$C$2:$C$62,B1365)&gt;0,1,IF(AND(LEFT(B1365,6)="MORRIS",COUNTIFS('[1]Brand Family Territories (Enc)'!$B$2:$B$62,C1365,'[1]Brand Family Territories (Enc)'!$C$2:$C$62,"Morri")&gt;0),"Unk",0))</f>
        <v>1</v>
      </c>
      <c r="E1365" s="2" t="str">
        <f>IFERROR(INDEX('Blackout Brand Fam Areas (Enc)'!$D$6:$D$998,MATCH(UPPER(A1365)&amp;"|"&amp;UPPER(B1365),'Blackout Brand Fam Areas (Enc)'!$G$6:$G$998,0)),"No Match")</f>
        <v>No Match</v>
      </c>
      <c r="F1365" s="2" t="str">
        <f t="shared" si="42"/>
        <v>US</v>
      </c>
      <c r="G1365" s="2" t="str">
        <f t="shared" si="43"/>
        <v>Bodega Quarters|ESSEX</v>
      </c>
    </row>
    <row r="1366" spans="1:7" x14ac:dyDescent="0.2">
      <c r="A1366" s="2" t="str" cm="1">
        <f t="array" ref="A1366">INDEX('[1]Brand Family Territory (Enc)'!$A$2:$A$296,INT((ROW()-2)/10)+1)</f>
        <v>Bodega Quarters</v>
      </c>
      <c r="B1366" s="2" t="str" cm="1">
        <f t="array" ref="B1366">INDEX('Whitelist (Blackout Reverse)'!$B$1:$K$1,MOD(ROW()-2,10)+1)</f>
        <v>HUDSON</v>
      </c>
      <c r="C1366" s="2" t="str">
        <f>VLOOKUP(A1366,'[1]Brand Family Territory (Enc)'!$A$2:$B$296,2,FALSE)</f>
        <v>All Counties</v>
      </c>
      <c r="D1366" s="2">
        <f>IF(COUNTIFS('[1]Brand Family Territories (Enc)'!$B$2:$B$62,C1366,'[1]Brand Family Territories (Enc)'!$C$2:$C$62,B1366)&gt;0,1,IF(AND(LEFT(B1366,6)="MORRIS",COUNTIFS('[1]Brand Family Territories (Enc)'!$B$2:$B$62,C1366,'[1]Brand Family Territories (Enc)'!$C$2:$C$62,"Morri")&gt;0),"Unk",0))</f>
        <v>1</v>
      </c>
      <c r="E1366" s="2" t="str">
        <f>IFERROR(INDEX('Blackout Brand Fam Areas (Enc)'!$D$6:$D$998,MATCH(UPPER(A1366)&amp;"|"&amp;UPPER(B1366),'Blackout Brand Fam Areas (Enc)'!$G$6:$G$998,0)),"No Match")</f>
        <v>No Match</v>
      </c>
      <c r="F1366" s="2" t="str">
        <f t="shared" si="42"/>
        <v>US</v>
      </c>
      <c r="G1366" s="2" t="str">
        <f t="shared" si="43"/>
        <v>Bodega Quarters|HUDSON</v>
      </c>
    </row>
    <row r="1367" spans="1:7" x14ac:dyDescent="0.2">
      <c r="A1367" s="2" t="str" cm="1">
        <f t="array" ref="A1367">INDEX('[1]Brand Family Territory (Enc)'!$A$2:$A$296,INT((ROW()-2)/10)+1)</f>
        <v>Bodega Quarters</v>
      </c>
      <c r="B1367" s="2" t="str" cm="1">
        <f t="array" ref="B1367">INDEX('Whitelist (Blackout Reverse)'!$B$1:$K$1,MOD(ROW()-2,10)+1)</f>
        <v>UNION</v>
      </c>
      <c r="C1367" s="2" t="str">
        <f>VLOOKUP(A1367,'[1]Brand Family Territory (Enc)'!$A$2:$B$296,2,FALSE)</f>
        <v>All Counties</v>
      </c>
      <c r="D1367" s="2">
        <f>IF(COUNTIFS('[1]Brand Family Territories (Enc)'!$B$2:$B$62,C1367,'[1]Brand Family Territories (Enc)'!$C$2:$C$62,B1367)&gt;0,1,IF(AND(LEFT(B1367,6)="MORRIS",COUNTIFS('[1]Brand Family Territories (Enc)'!$B$2:$B$62,C1367,'[1]Brand Family Territories (Enc)'!$C$2:$C$62,"Morri")&gt;0),"Unk",0))</f>
        <v>1</v>
      </c>
      <c r="E1367" s="2" t="str">
        <f>IFERROR(INDEX('Blackout Brand Fam Areas (Enc)'!$D$6:$D$998,MATCH(UPPER(A1367)&amp;"|"&amp;UPPER(B1367),'Blackout Brand Fam Areas (Enc)'!$G$6:$G$998,0)),"No Match")</f>
        <v>No Match</v>
      </c>
      <c r="F1367" s="2" t="str">
        <f t="shared" si="42"/>
        <v>US</v>
      </c>
      <c r="G1367" s="2" t="str">
        <f t="shared" si="43"/>
        <v>Bodega Quarters|UNION</v>
      </c>
    </row>
    <row r="1368" spans="1:7" x14ac:dyDescent="0.2">
      <c r="A1368" s="2" t="str" cm="1">
        <f t="array" ref="A1368">INDEX('[1]Brand Family Territory (Enc)'!$A$2:$A$296,INT((ROW()-2)/10)+1)</f>
        <v>Bodega Quarters</v>
      </c>
      <c r="B1368" s="2" t="str" cm="1">
        <f t="array" ref="B1368">INDEX('Whitelist (Blackout Reverse)'!$B$1:$K$1,MOD(ROW()-2,10)+1)</f>
        <v>SUSSEX</v>
      </c>
      <c r="C1368" s="2" t="str">
        <f>VLOOKUP(A1368,'[1]Brand Family Territory (Enc)'!$A$2:$B$296,2,FALSE)</f>
        <v>All Counties</v>
      </c>
      <c r="D1368" s="2">
        <f>IF(COUNTIFS('[1]Brand Family Territories (Enc)'!$B$2:$B$62,C1368,'[1]Brand Family Territories (Enc)'!$C$2:$C$62,B1368)&gt;0,1,IF(AND(LEFT(B1368,6)="MORRIS",COUNTIFS('[1]Brand Family Territories (Enc)'!$B$2:$B$62,C1368,'[1]Brand Family Territories (Enc)'!$C$2:$C$62,"Morri")&gt;0),"Unk",0))</f>
        <v>1</v>
      </c>
      <c r="E1368" s="2" t="str">
        <f>IFERROR(INDEX('Blackout Brand Fam Areas (Enc)'!$D$6:$D$998,MATCH(UPPER(A1368)&amp;"|"&amp;UPPER(B1368),'Blackout Brand Fam Areas (Enc)'!$G$6:$G$998,0)),"No Match")</f>
        <v>No Match</v>
      </c>
      <c r="F1368" s="2" t="str">
        <f t="shared" si="42"/>
        <v>US</v>
      </c>
      <c r="G1368" s="2" t="str">
        <f t="shared" si="43"/>
        <v>Bodega Quarters|SUSSEX</v>
      </c>
    </row>
    <row r="1369" spans="1:7" x14ac:dyDescent="0.2">
      <c r="A1369" s="2" t="str" cm="1">
        <f t="array" ref="A1369">INDEX('[1]Brand Family Territory (Enc)'!$A$2:$A$296,INT((ROW()-2)/10)+1)</f>
        <v>Bodega Quarters</v>
      </c>
      <c r="B1369" s="2" t="str" cm="1">
        <f t="array" ref="B1369">INDEX('Whitelist (Blackout Reverse)'!$B$1:$K$1,MOD(ROW()-2,10)+1)</f>
        <v>MORRIS 1</v>
      </c>
      <c r="C1369" s="2" t="str">
        <f>VLOOKUP(A1369,'[1]Brand Family Territory (Enc)'!$A$2:$B$296,2,FALSE)</f>
        <v>All Counties</v>
      </c>
      <c r="D1369" s="2">
        <f>IF(COUNTIFS('[1]Brand Family Territories (Enc)'!$B$2:$B$62,C1369,'[1]Brand Family Territories (Enc)'!$C$2:$C$62,B1369)&gt;0,1,IF(AND(LEFT(B1369,6)="MORRIS",COUNTIFS('[1]Brand Family Territories (Enc)'!$B$2:$B$62,C1369,'[1]Brand Family Territories (Enc)'!$C$2:$C$62,"Morri")&gt;0),"Unk",0))</f>
        <v>1</v>
      </c>
      <c r="E1369" s="2" t="str">
        <f>IFERROR(INDEX('Blackout Brand Fam Areas (Enc)'!$D$6:$D$998,MATCH(UPPER(A1369)&amp;"|"&amp;UPPER(B1369),'Blackout Brand Fam Areas (Enc)'!$G$6:$G$998,0)),"No Match")</f>
        <v>No Match</v>
      </c>
      <c r="F1369" s="2" t="str">
        <f t="shared" si="42"/>
        <v>US</v>
      </c>
      <c r="G1369" s="2" t="str">
        <f t="shared" si="43"/>
        <v>Bodega Quarters|MORRIS 1</v>
      </c>
    </row>
    <row r="1370" spans="1:7" x14ac:dyDescent="0.2">
      <c r="A1370" s="2" t="str" cm="1">
        <f t="array" ref="A1370">INDEX('[1]Brand Family Territory (Enc)'!$A$2:$A$296,INT((ROW()-2)/10)+1)</f>
        <v>Bodega Quarters</v>
      </c>
      <c r="B1370" s="2" t="str" cm="1">
        <f t="array" ref="B1370">INDEX('Whitelist (Blackout Reverse)'!$B$1:$K$1,MOD(ROW()-2,10)+1)</f>
        <v>MORRIS 2</v>
      </c>
      <c r="C1370" s="2" t="str">
        <f>VLOOKUP(A1370,'[1]Brand Family Territory (Enc)'!$A$2:$B$296,2,FALSE)</f>
        <v>All Counties</v>
      </c>
      <c r="D1370" s="2">
        <f>IF(COUNTIFS('[1]Brand Family Territories (Enc)'!$B$2:$B$62,C1370,'[1]Brand Family Territories (Enc)'!$C$2:$C$62,B1370)&gt;0,1,IF(AND(LEFT(B1370,6)="MORRIS",COUNTIFS('[1]Brand Family Territories (Enc)'!$B$2:$B$62,C1370,'[1]Brand Family Territories (Enc)'!$C$2:$C$62,"Morri")&gt;0),"Unk",0))</f>
        <v>1</v>
      </c>
      <c r="E1370" s="2" t="str">
        <f>IFERROR(INDEX('Blackout Brand Fam Areas (Enc)'!$D$6:$D$998,MATCH(UPPER(A1370)&amp;"|"&amp;UPPER(B1370),'Blackout Brand Fam Areas (Enc)'!$G$6:$G$998,0)),"No Match")</f>
        <v>No Match</v>
      </c>
      <c r="F1370" s="2" t="str">
        <f t="shared" si="42"/>
        <v>US</v>
      </c>
      <c r="G1370" s="2" t="str">
        <f t="shared" si="43"/>
        <v>Bodega Quarters|MORRIS 2</v>
      </c>
    </row>
    <row r="1371" spans="1:7" x14ac:dyDescent="0.2">
      <c r="A1371" s="2" t="str" cm="1">
        <f t="array" ref="A1371">INDEX('[1]Brand Family Territory (Enc)'!$A$2:$A$296,INT((ROW()-2)/10)+1)</f>
        <v>Bodega Quarters</v>
      </c>
      <c r="B1371" s="2" t="str" cm="1">
        <f t="array" ref="B1371">INDEX('Whitelist (Blackout Reverse)'!$B$1:$K$1,MOD(ROW()-2,10)+1)</f>
        <v>MORRIS 3</v>
      </c>
      <c r="C1371" s="2" t="str">
        <f>VLOOKUP(A1371,'[1]Brand Family Territory (Enc)'!$A$2:$B$296,2,FALSE)</f>
        <v>All Counties</v>
      </c>
      <c r="D1371" s="2">
        <f>IF(COUNTIFS('[1]Brand Family Territories (Enc)'!$B$2:$B$62,C1371,'[1]Brand Family Territories (Enc)'!$C$2:$C$62,B1371)&gt;0,1,IF(AND(LEFT(B1371,6)="MORRIS",COUNTIFS('[1]Brand Family Territories (Enc)'!$B$2:$B$62,C1371,'[1]Brand Family Territories (Enc)'!$C$2:$C$62,"Morri")&gt;0),"Unk",0))</f>
        <v>1</v>
      </c>
      <c r="E1371" s="2" t="str">
        <f>IFERROR(INDEX('Blackout Brand Fam Areas (Enc)'!$D$6:$D$998,MATCH(UPPER(A1371)&amp;"|"&amp;UPPER(B1371),'Blackout Brand Fam Areas (Enc)'!$G$6:$G$998,0)),"No Match")</f>
        <v>No Match</v>
      </c>
      <c r="F1371" s="2" t="str">
        <f t="shared" si="42"/>
        <v>US</v>
      </c>
      <c r="G1371" s="2" t="str">
        <f t="shared" si="43"/>
        <v>Bodega Quarters|MORRIS 3</v>
      </c>
    </row>
    <row r="1372" spans="1:7" x14ac:dyDescent="0.2">
      <c r="A1372" s="2" t="str" cm="1">
        <f t="array" ref="A1372">INDEX('[1]Brand Family Territory (Enc)'!$A$2:$A$296,INT((ROW()-2)/10)+1)</f>
        <v>Boldt Infused D9</v>
      </c>
      <c r="B1372" s="2" t="str" cm="1">
        <f t="array" ref="B1372">INDEX('Whitelist (Blackout Reverse)'!$B$1:$K$1,MOD(ROW()-2,10)+1)</f>
        <v>BERGEN</v>
      </c>
      <c r="C1372" s="2" t="str">
        <f>VLOOKUP(A1372,'[1]Brand Family Territory (Enc)'!$A$2:$B$296,2,FALSE)</f>
        <v>All Counties</v>
      </c>
      <c r="D1372" s="2">
        <f>IF(COUNTIFS('[1]Brand Family Territories (Enc)'!$B$2:$B$62,C1372,'[1]Brand Family Territories (Enc)'!$C$2:$C$62,B1372)&gt;0,1,IF(AND(LEFT(B1372,6)="MORRIS",COUNTIFS('[1]Brand Family Territories (Enc)'!$B$2:$B$62,C1372,'[1]Brand Family Territories (Enc)'!$C$2:$C$62,"Morri")&gt;0),"Unk",0))</f>
        <v>1</v>
      </c>
      <c r="E1372" s="2" t="str">
        <f>IFERROR(INDEX('Blackout Brand Fam Areas (Enc)'!$D$6:$D$998,MATCH(UPPER(A1372)&amp;"|"&amp;UPPER(B1372),'Blackout Brand Fam Areas (Enc)'!$G$6:$G$998,0)),"No Match")</f>
        <v>No Match</v>
      </c>
      <c r="F1372" s="2" t="str">
        <f t="shared" si="42"/>
        <v>US</v>
      </c>
      <c r="G1372" s="2" t="str">
        <f t="shared" si="43"/>
        <v>Boldt Infused D9|BERGEN</v>
      </c>
    </row>
    <row r="1373" spans="1:7" x14ac:dyDescent="0.2">
      <c r="A1373" s="2" t="str" cm="1">
        <f t="array" ref="A1373">INDEX('[1]Brand Family Territory (Enc)'!$A$2:$A$296,INT((ROW()-2)/10)+1)</f>
        <v>Boldt Infused D9</v>
      </c>
      <c r="B1373" s="2" t="str" cm="1">
        <f t="array" ref="B1373">INDEX('Whitelist (Blackout Reverse)'!$B$1:$K$1,MOD(ROW()-2,10)+1)</f>
        <v>PASSAIC</v>
      </c>
      <c r="C1373" s="2" t="str">
        <f>VLOOKUP(A1373,'[1]Brand Family Territory (Enc)'!$A$2:$B$296,2,FALSE)</f>
        <v>All Counties</v>
      </c>
      <c r="D1373" s="2">
        <f>IF(COUNTIFS('[1]Brand Family Territories (Enc)'!$B$2:$B$62,C1373,'[1]Brand Family Territories (Enc)'!$C$2:$C$62,B1373)&gt;0,1,IF(AND(LEFT(B1373,6)="MORRIS",COUNTIFS('[1]Brand Family Territories (Enc)'!$B$2:$B$62,C1373,'[1]Brand Family Territories (Enc)'!$C$2:$C$62,"Morri")&gt;0),"Unk",0))</f>
        <v>1</v>
      </c>
      <c r="E1373" s="2" t="str">
        <f>IFERROR(INDEX('Blackout Brand Fam Areas (Enc)'!$D$6:$D$998,MATCH(UPPER(A1373)&amp;"|"&amp;UPPER(B1373),'Blackout Brand Fam Areas (Enc)'!$G$6:$G$998,0)),"No Match")</f>
        <v>No Match</v>
      </c>
      <c r="F1373" s="2" t="str">
        <f t="shared" si="42"/>
        <v>US</v>
      </c>
      <c r="G1373" s="2" t="str">
        <f t="shared" si="43"/>
        <v>Boldt Infused D9|PASSAIC</v>
      </c>
    </row>
    <row r="1374" spans="1:7" x14ac:dyDescent="0.2">
      <c r="A1374" s="2" t="str" cm="1">
        <f t="array" ref="A1374">INDEX('[1]Brand Family Territory (Enc)'!$A$2:$A$296,INT((ROW()-2)/10)+1)</f>
        <v>Boldt Infused D9</v>
      </c>
      <c r="B1374" s="2" t="str" cm="1">
        <f t="array" ref="B1374">INDEX('Whitelist (Blackout Reverse)'!$B$1:$K$1,MOD(ROW()-2,10)+1)</f>
        <v>PASSAIC-FF</v>
      </c>
      <c r="C1374" s="2" t="str">
        <f>VLOOKUP(A1374,'[1]Brand Family Territory (Enc)'!$A$2:$B$296,2,FALSE)</f>
        <v>All Counties</v>
      </c>
      <c r="D1374" s="2">
        <f>IF(COUNTIFS('[1]Brand Family Territories (Enc)'!$B$2:$B$62,C1374,'[1]Brand Family Territories (Enc)'!$C$2:$C$62,B1374)&gt;0,1,IF(AND(LEFT(B1374,6)="MORRIS",COUNTIFS('[1]Brand Family Territories (Enc)'!$B$2:$B$62,C1374,'[1]Brand Family Territories (Enc)'!$C$2:$C$62,"Morri")&gt;0),"Unk",0))</f>
        <v>1</v>
      </c>
      <c r="E1374" s="2" t="str">
        <f>IFERROR(INDEX('Blackout Brand Fam Areas (Enc)'!$D$6:$D$998,MATCH(UPPER(A1374)&amp;"|"&amp;UPPER(B1374),'Blackout Brand Fam Areas (Enc)'!$G$6:$G$998,0)),"No Match")</f>
        <v>No Match</v>
      </c>
      <c r="F1374" s="2" t="str">
        <f t="shared" si="42"/>
        <v>US</v>
      </c>
      <c r="G1374" s="2" t="str">
        <f t="shared" si="43"/>
        <v>Boldt Infused D9|PASSAIC-FF</v>
      </c>
    </row>
    <row r="1375" spans="1:7" x14ac:dyDescent="0.2">
      <c r="A1375" s="2" t="str" cm="1">
        <f t="array" ref="A1375">INDEX('[1]Brand Family Territory (Enc)'!$A$2:$A$296,INT((ROW()-2)/10)+1)</f>
        <v>Boldt Infused D9</v>
      </c>
      <c r="B1375" s="2" t="str" cm="1">
        <f t="array" ref="B1375">INDEX('Whitelist (Blackout Reverse)'!$B$1:$K$1,MOD(ROW()-2,10)+1)</f>
        <v>ESSEX</v>
      </c>
      <c r="C1375" s="2" t="str">
        <f>VLOOKUP(A1375,'[1]Brand Family Territory (Enc)'!$A$2:$B$296,2,FALSE)</f>
        <v>All Counties</v>
      </c>
      <c r="D1375" s="2">
        <f>IF(COUNTIFS('[1]Brand Family Territories (Enc)'!$B$2:$B$62,C1375,'[1]Brand Family Territories (Enc)'!$C$2:$C$62,B1375)&gt;0,1,IF(AND(LEFT(B1375,6)="MORRIS",COUNTIFS('[1]Brand Family Territories (Enc)'!$B$2:$B$62,C1375,'[1]Brand Family Territories (Enc)'!$C$2:$C$62,"Morri")&gt;0),"Unk",0))</f>
        <v>1</v>
      </c>
      <c r="E1375" s="2" t="str">
        <f>IFERROR(INDEX('Blackout Brand Fam Areas (Enc)'!$D$6:$D$998,MATCH(UPPER(A1375)&amp;"|"&amp;UPPER(B1375),'Blackout Brand Fam Areas (Enc)'!$G$6:$G$998,0)),"No Match")</f>
        <v>No Match</v>
      </c>
      <c r="F1375" s="2" t="str">
        <f t="shared" si="42"/>
        <v>US</v>
      </c>
      <c r="G1375" s="2" t="str">
        <f t="shared" si="43"/>
        <v>Boldt Infused D9|ESSEX</v>
      </c>
    </row>
    <row r="1376" spans="1:7" x14ac:dyDescent="0.2">
      <c r="A1376" s="2" t="str" cm="1">
        <f t="array" ref="A1376">INDEX('[1]Brand Family Territory (Enc)'!$A$2:$A$296,INT((ROW()-2)/10)+1)</f>
        <v>Boldt Infused D9</v>
      </c>
      <c r="B1376" s="2" t="str" cm="1">
        <f t="array" ref="B1376">INDEX('Whitelist (Blackout Reverse)'!$B$1:$K$1,MOD(ROW()-2,10)+1)</f>
        <v>HUDSON</v>
      </c>
      <c r="C1376" s="2" t="str">
        <f>VLOOKUP(A1376,'[1]Brand Family Territory (Enc)'!$A$2:$B$296,2,FALSE)</f>
        <v>All Counties</v>
      </c>
      <c r="D1376" s="2">
        <f>IF(COUNTIFS('[1]Brand Family Territories (Enc)'!$B$2:$B$62,C1376,'[1]Brand Family Territories (Enc)'!$C$2:$C$62,B1376)&gt;0,1,IF(AND(LEFT(B1376,6)="MORRIS",COUNTIFS('[1]Brand Family Territories (Enc)'!$B$2:$B$62,C1376,'[1]Brand Family Territories (Enc)'!$C$2:$C$62,"Morri")&gt;0),"Unk",0))</f>
        <v>1</v>
      </c>
      <c r="E1376" s="2" t="str">
        <f>IFERROR(INDEX('Blackout Brand Fam Areas (Enc)'!$D$6:$D$998,MATCH(UPPER(A1376)&amp;"|"&amp;UPPER(B1376),'Blackout Brand Fam Areas (Enc)'!$G$6:$G$998,0)),"No Match")</f>
        <v>No Match</v>
      </c>
      <c r="F1376" s="2" t="str">
        <f t="shared" si="42"/>
        <v>US</v>
      </c>
      <c r="G1376" s="2" t="str">
        <f t="shared" si="43"/>
        <v>Boldt Infused D9|HUDSON</v>
      </c>
    </row>
    <row r="1377" spans="1:7" x14ac:dyDescent="0.2">
      <c r="A1377" s="2" t="str" cm="1">
        <f t="array" ref="A1377">INDEX('[1]Brand Family Territory (Enc)'!$A$2:$A$296,INT((ROW()-2)/10)+1)</f>
        <v>Boldt Infused D9</v>
      </c>
      <c r="B1377" s="2" t="str" cm="1">
        <f t="array" ref="B1377">INDEX('Whitelist (Blackout Reverse)'!$B$1:$K$1,MOD(ROW()-2,10)+1)</f>
        <v>UNION</v>
      </c>
      <c r="C1377" s="2" t="str">
        <f>VLOOKUP(A1377,'[1]Brand Family Territory (Enc)'!$A$2:$B$296,2,FALSE)</f>
        <v>All Counties</v>
      </c>
      <c r="D1377" s="2">
        <f>IF(COUNTIFS('[1]Brand Family Territories (Enc)'!$B$2:$B$62,C1377,'[1]Brand Family Territories (Enc)'!$C$2:$C$62,B1377)&gt;0,1,IF(AND(LEFT(B1377,6)="MORRIS",COUNTIFS('[1]Brand Family Territories (Enc)'!$B$2:$B$62,C1377,'[1]Brand Family Territories (Enc)'!$C$2:$C$62,"Morri")&gt;0),"Unk",0))</f>
        <v>1</v>
      </c>
      <c r="E1377" s="2" t="str">
        <f>IFERROR(INDEX('Blackout Brand Fam Areas (Enc)'!$D$6:$D$998,MATCH(UPPER(A1377)&amp;"|"&amp;UPPER(B1377),'Blackout Brand Fam Areas (Enc)'!$G$6:$G$998,0)),"No Match")</f>
        <v>No Match</v>
      </c>
      <c r="F1377" s="2" t="str">
        <f t="shared" si="42"/>
        <v>US</v>
      </c>
      <c r="G1377" s="2" t="str">
        <f t="shared" si="43"/>
        <v>Boldt Infused D9|UNION</v>
      </c>
    </row>
    <row r="1378" spans="1:7" x14ac:dyDescent="0.2">
      <c r="A1378" s="2" t="str" cm="1">
        <f t="array" ref="A1378">INDEX('[1]Brand Family Territory (Enc)'!$A$2:$A$296,INT((ROW()-2)/10)+1)</f>
        <v>Boldt Infused D9</v>
      </c>
      <c r="B1378" s="2" t="str" cm="1">
        <f t="array" ref="B1378">INDEX('Whitelist (Blackout Reverse)'!$B$1:$K$1,MOD(ROW()-2,10)+1)</f>
        <v>SUSSEX</v>
      </c>
      <c r="C1378" s="2" t="str">
        <f>VLOOKUP(A1378,'[1]Brand Family Territory (Enc)'!$A$2:$B$296,2,FALSE)</f>
        <v>All Counties</v>
      </c>
      <c r="D1378" s="2">
        <f>IF(COUNTIFS('[1]Brand Family Territories (Enc)'!$B$2:$B$62,C1378,'[1]Brand Family Territories (Enc)'!$C$2:$C$62,B1378)&gt;0,1,IF(AND(LEFT(B1378,6)="MORRIS",COUNTIFS('[1]Brand Family Territories (Enc)'!$B$2:$B$62,C1378,'[1]Brand Family Territories (Enc)'!$C$2:$C$62,"Morri")&gt;0),"Unk",0))</f>
        <v>1</v>
      </c>
      <c r="E1378" s="2" t="str">
        <f>IFERROR(INDEX('Blackout Brand Fam Areas (Enc)'!$D$6:$D$998,MATCH(UPPER(A1378)&amp;"|"&amp;UPPER(B1378),'Blackout Brand Fam Areas (Enc)'!$G$6:$G$998,0)),"No Match")</f>
        <v>No Match</v>
      </c>
      <c r="F1378" s="2" t="str">
        <f t="shared" si="42"/>
        <v>US</v>
      </c>
      <c r="G1378" s="2" t="str">
        <f t="shared" si="43"/>
        <v>Boldt Infused D9|SUSSEX</v>
      </c>
    </row>
    <row r="1379" spans="1:7" x14ac:dyDescent="0.2">
      <c r="A1379" s="2" t="str" cm="1">
        <f t="array" ref="A1379">INDEX('[1]Brand Family Territory (Enc)'!$A$2:$A$296,INT((ROW()-2)/10)+1)</f>
        <v>Boldt Infused D9</v>
      </c>
      <c r="B1379" s="2" t="str" cm="1">
        <f t="array" ref="B1379">INDEX('Whitelist (Blackout Reverse)'!$B$1:$K$1,MOD(ROW()-2,10)+1)</f>
        <v>MORRIS 1</v>
      </c>
      <c r="C1379" s="2" t="str">
        <f>VLOOKUP(A1379,'[1]Brand Family Territory (Enc)'!$A$2:$B$296,2,FALSE)</f>
        <v>All Counties</v>
      </c>
      <c r="D1379" s="2">
        <f>IF(COUNTIFS('[1]Brand Family Territories (Enc)'!$B$2:$B$62,C1379,'[1]Brand Family Territories (Enc)'!$C$2:$C$62,B1379)&gt;0,1,IF(AND(LEFT(B1379,6)="MORRIS",COUNTIFS('[1]Brand Family Territories (Enc)'!$B$2:$B$62,C1379,'[1]Brand Family Territories (Enc)'!$C$2:$C$62,"Morri")&gt;0),"Unk",0))</f>
        <v>1</v>
      </c>
      <c r="E1379" s="2" t="str">
        <f>IFERROR(INDEX('Blackout Brand Fam Areas (Enc)'!$D$6:$D$998,MATCH(UPPER(A1379)&amp;"|"&amp;UPPER(B1379),'Blackout Brand Fam Areas (Enc)'!$G$6:$G$998,0)),"No Match")</f>
        <v>No Match</v>
      </c>
      <c r="F1379" s="2" t="str">
        <f t="shared" si="42"/>
        <v>US</v>
      </c>
      <c r="G1379" s="2" t="str">
        <f t="shared" si="43"/>
        <v>Boldt Infused D9|MORRIS 1</v>
      </c>
    </row>
    <row r="1380" spans="1:7" x14ac:dyDescent="0.2">
      <c r="A1380" s="2" t="str" cm="1">
        <f t="array" ref="A1380">INDEX('[1]Brand Family Territory (Enc)'!$A$2:$A$296,INT((ROW()-2)/10)+1)</f>
        <v>Boldt Infused D9</v>
      </c>
      <c r="B1380" s="2" t="str" cm="1">
        <f t="array" ref="B1380">INDEX('Whitelist (Blackout Reverse)'!$B$1:$K$1,MOD(ROW()-2,10)+1)</f>
        <v>MORRIS 2</v>
      </c>
      <c r="C1380" s="2" t="str">
        <f>VLOOKUP(A1380,'[1]Brand Family Territory (Enc)'!$A$2:$B$296,2,FALSE)</f>
        <v>All Counties</v>
      </c>
      <c r="D1380" s="2">
        <f>IF(COUNTIFS('[1]Brand Family Territories (Enc)'!$B$2:$B$62,C1380,'[1]Brand Family Territories (Enc)'!$C$2:$C$62,B1380)&gt;0,1,IF(AND(LEFT(B1380,6)="MORRIS",COUNTIFS('[1]Brand Family Territories (Enc)'!$B$2:$B$62,C1380,'[1]Brand Family Territories (Enc)'!$C$2:$C$62,"Morri")&gt;0),"Unk",0))</f>
        <v>1</v>
      </c>
      <c r="E1380" s="2" t="str">
        <f>IFERROR(INDEX('Blackout Brand Fam Areas (Enc)'!$D$6:$D$998,MATCH(UPPER(A1380)&amp;"|"&amp;UPPER(B1380),'Blackout Brand Fam Areas (Enc)'!$G$6:$G$998,0)),"No Match")</f>
        <v>No Match</v>
      </c>
      <c r="F1380" s="2" t="str">
        <f t="shared" si="42"/>
        <v>US</v>
      </c>
      <c r="G1380" s="2" t="str">
        <f t="shared" si="43"/>
        <v>Boldt Infused D9|MORRIS 2</v>
      </c>
    </row>
    <row r="1381" spans="1:7" x14ac:dyDescent="0.2">
      <c r="A1381" s="2" t="str" cm="1">
        <f t="array" ref="A1381">INDEX('[1]Brand Family Territory (Enc)'!$A$2:$A$296,INT((ROW()-2)/10)+1)</f>
        <v>Boldt Infused D9</v>
      </c>
      <c r="B1381" s="2" t="str" cm="1">
        <f t="array" ref="B1381">INDEX('Whitelist (Blackout Reverse)'!$B$1:$K$1,MOD(ROW()-2,10)+1)</f>
        <v>MORRIS 3</v>
      </c>
      <c r="C1381" s="2" t="str">
        <f>VLOOKUP(A1381,'[1]Brand Family Territory (Enc)'!$A$2:$B$296,2,FALSE)</f>
        <v>All Counties</v>
      </c>
      <c r="D1381" s="2">
        <f>IF(COUNTIFS('[1]Brand Family Territories (Enc)'!$B$2:$B$62,C1381,'[1]Brand Family Territories (Enc)'!$C$2:$C$62,B1381)&gt;0,1,IF(AND(LEFT(B1381,6)="MORRIS",COUNTIFS('[1]Brand Family Territories (Enc)'!$B$2:$B$62,C1381,'[1]Brand Family Territories (Enc)'!$C$2:$C$62,"Morri")&gt;0),"Unk",0))</f>
        <v>1</v>
      </c>
      <c r="E1381" s="2" t="str">
        <f>IFERROR(INDEX('Blackout Brand Fam Areas (Enc)'!$D$6:$D$998,MATCH(UPPER(A1381)&amp;"|"&amp;UPPER(B1381),'Blackout Brand Fam Areas (Enc)'!$G$6:$G$998,0)),"No Match")</f>
        <v>No Match</v>
      </c>
      <c r="F1381" s="2" t="str">
        <f t="shared" si="42"/>
        <v>US</v>
      </c>
      <c r="G1381" s="2" t="str">
        <f t="shared" si="43"/>
        <v>Boldt Infused D9|MORRIS 3</v>
      </c>
    </row>
    <row r="1382" spans="1:7" x14ac:dyDescent="0.2">
      <c r="A1382" s="2" t="str" cm="1">
        <f t="array" ref="A1382">INDEX('[1]Brand Family Territory (Enc)'!$A$2:$A$296,INT((ROW()-2)/10)+1)</f>
        <v>Brewt's</v>
      </c>
      <c r="B1382" s="2" t="str" cm="1">
        <f t="array" ref="B1382">INDEX('Whitelist (Blackout Reverse)'!$B$1:$K$1,MOD(ROW()-2,10)+1)</f>
        <v>BERGEN</v>
      </c>
      <c r="C1382" s="2" t="str">
        <f>VLOOKUP(A1382,'[1]Brand Family Territory (Enc)'!$A$2:$B$296,2,FALSE)</f>
        <v>All Counties</v>
      </c>
      <c r="D1382" s="2">
        <f>IF(COUNTIFS('[1]Brand Family Territories (Enc)'!$B$2:$B$62,C1382,'[1]Brand Family Territories (Enc)'!$C$2:$C$62,B1382)&gt;0,1,IF(AND(LEFT(B1382,6)="MORRIS",COUNTIFS('[1]Brand Family Territories (Enc)'!$B$2:$B$62,C1382,'[1]Brand Family Territories (Enc)'!$C$2:$C$62,"Morri")&gt;0),"Unk",0))</f>
        <v>1</v>
      </c>
      <c r="E1382" s="2" t="str">
        <f>IFERROR(INDEX('Blackout Brand Fam Areas (Enc)'!$D$6:$D$998,MATCH(UPPER(A1382)&amp;"|"&amp;UPPER(B1382),'Blackout Brand Fam Areas (Enc)'!$G$6:$G$998,0)),"No Match")</f>
        <v>No Match</v>
      </c>
      <c r="F1382" s="2" t="str">
        <f t="shared" si="42"/>
        <v>US</v>
      </c>
      <c r="G1382" s="2" t="str">
        <f t="shared" si="43"/>
        <v>Brewt's|BERGEN</v>
      </c>
    </row>
    <row r="1383" spans="1:7" x14ac:dyDescent="0.2">
      <c r="A1383" s="2" t="str" cm="1">
        <f t="array" ref="A1383">INDEX('[1]Brand Family Territory (Enc)'!$A$2:$A$296,INT((ROW()-2)/10)+1)</f>
        <v>Brewt's</v>
      </c>
      <c r="B1383" s="2" t="str" cm="1">
        <f t="array" ref="B1383">INDEX('Whitelist (Blackout Reverse)'!$B$1:$K$1,MOD(ROW()-2,10)+1)</f>
        <v>PASSAIC</v>
      </c>
      <c r="C1383" s="2" t="str">
        <f>VLOOKUP(A1383,'[1]Brand Family Territory (Enc)'!$A$2:$B$296,2,FALSE)</f>
        <v>All Counties</v>
      </c>
      <c r="D1383" s="2">
        <f>IF(COUNTIFS('[1]Brand Family Territories (Enc)'!$B$2:$B$62,C1383,'[1]Brand Family Territories (Enc)'!$C$2:$C$62,B1383)&gt;0,1,IF(AND(LEFT(B1383,6)="MORRIS",COUNTIFS('[1]Brand Family Territories (Enc)'!$B$2:$B$62,C1383,'[1]Brand Family Territories (Enc)'!$C$2:$C$62,"Morri")&gt;0),"Unk",0))</f>
        <v>1</v>
      </c>
      <c r="E1383" s="2" t="str">
        <f>IFERROR(INDEX('Blackout Brand Fam Areas (Enc)'!$D$6:$D$998,MATCH(UPPER(A1383)&amp;"|"&amp;UPPER(B1383),'Blackout Brand Fam Areas (Enc)'!$G$6:$G$998,0)),"No Match")</f>
        <v>No Match</v>
      </c>
      <c r="F1383" s="2" t="str">
        <f t="shared" si="42"/>
        <v>US</v>
      </c>
      <c r="G1383" s="2" t="str">
        <f t="shared" si="43"/>
        <v>Brewt's|PASSAIC</v>
      </c>
    </row>
    <row r="1384" spans="1:7" x14ac:dyDescent="0.2">
      <c r="A1384" s="2" t="str" cm="1">
        <f t="array" ref="A1384">INDEX('[1]Brand Family Territory (Enc)'!$A$2:$A$296,INT((ROW()-2)/10)+1)</f>
        <v>Brewt's</v>
      </c>
      <c r="B1384" s="2" t="str" cm="1">
        <f t="array" ref="B1384">INDEX('Whitelist (Blackout Reverse)'!$B$1:$K$1,MOD(ROW()-2,10)+1)</f>
        <v>PASSAIC-FF</v>
      </c>
      <c r="C1384" s="2" t="str">
        <f>VLOOKUP(A1384,'[1]Brand Family Territory (Enc)'!$A$2:$B$296,2,FALSE)</f>
        <v>All Counties</v>
      </c>
      <c r="D1384" s="2">
        <f>IF(COUNTIFS('[1]Brand Family Territories (Enc)'!$B$2:$B$62,C1384,'[1]Brand Family Territories (Enc)'!$C$2:$C$62,B1384)&gt;0,1,IF(AND(LEFT(B1384,6)="MORRIS",COUNTIFS('[1]Brand Family Territories (Enc)'!$B$2:$B$62,C1384,'[1]Brand Family Territories (Enc)'!$C$2:$C$62,"Morri")&gt;0),"Unk",0))</f>
        <v>1</v>
      </c>
      <c r="E1384" s="2" t="str">
        <f>IFERROR(INDEX('Blackout Brand Fam Areas (Enc)'!$D$6:$D$998,MATCH(UPPER(A1384)&amp;"|"&amp;UPPER(B1384),'Blackout Brand Fam Areas (Enc)'!$G$6:$G$998,0)),"No Match")</f>
        <v>No Match</v>
      </c>
      <c r="F1384" s="2" t="str">
        <f t="shared" si="42"/>
        <v>US</v>
      </c>
      <c r="G1384" s="2" t="str">
        <f t="shared" si="43"/>
        <v>Brewt's|PASSAIC-FF</v>
      </c>
    </row>
    <row r="1385" spans="1:7" x14ac:dyDescent="0.2">
      <c r="A1385" s="2" t="str" cm="1">
        <f t="array" ref="A1385">INDEX('[1]Brand Family Territory (Enc)'!$A$2:$A$296,INT((ROW()-2)/10)+1)</f>
        <v>Brewt's</v>
      </c>
      <c r="B1385" s="2" t="str" cm="1">
        <f t="array" ref="B1385">INDEX('Whitelist (Blackout Reverse)'!$B$1:$K$1,MOD(ROW()-2,10)+1)</f>
        <v>ESSEX</v>
      </c>
      <c r="C1385" s="2" t="str">
        <f>VLOOKUP(A1385,'[1]Brand Family Territory (Enc)'!$A$2:$B$296,2,FALSE)</f>
        <v>All Counties</v>
      </c>
      <c r="D1385" s="2">
        <f>IF(COUNTIFS('[1]Brand Family Territories (Enc)'!$B$2:$B$62,C1385,'[1]Brand Family Territories (Enc)'!$C$2:$C$62,B1385)&gt;0,1,IF(AND(LEFT(B1385,6)="MORRIS",COUNTIFS('[1]Brand Family Territories (Enc)'!$B$2:$B$62,C1385,'[1]Brand Family Territories (Enc)'!$C$2:$C$62,"Morri")&gt;0),"Unk",0))</f>
        <v>1</v>
      </c>
      <c r="E1385" s="2" t="str">
        <f>IFERROR(INDEX('Blackout Brand Fam Areas (Enc)'!$D$6:$D$998,MATCH(UPPER(A1385)&amp;"|"&amp;UPPER(B1385),'Blackout Brand Fam Areas (Enc)'!$G$6:$G$998,0)),"No Match")</f>
        <v>No Match</v>
      </c>
      <c r="F1385" s="2" t="str">
        <f t="shared" si="42"/>
        <v>US</v>
      </c>
      <c r="G1385" s="2" t="str">
        <f t="shared" si="43"/>
        <v>Brewt's|ESSEX</v>
      </c>
    </row>
    <row r="1386" spans="1:7" x14ac:dyDescent="0.2">
      <c r="A1386" s="2" t="str" cm="1">
        <f t="array" ref="A1386">INDEX('[1]Brand Family Territory (Enc)'!$A$2:$A$296,INT((ROW()-2)/10)+1)</f>
        <v>Brewt's</v>
      </c>
      <c r="B1386" s="2" t="str" cm="1">
        <f t="array" ref="B1386">INDEX('Whitelist (Blackout Reverse)'!$B$1:$K$1,MOD(ROW()-2,10)+1)</f>
        <v>HUDSON</v>
      </c>
      <c r="C1386" s="2" t="str">
        <f>VLOOKUP(A1386,'[1]Brand Family Territory (Enc)'!$A$2:$B$296,2,FALSE)</f>
        <v>All Counties</v>
      </c>
      <c r="D1386" s="2">
        <f>IF(COUNTIFS('[1]Brand Family Territories (Enc)'!$B$2:$B$62,C1386,'[1]Brand Family Territories (Enc)'!$C$2:$C$62,B1386)&gt;0,1,IF(AND(LEFT(B1386,6)="MORRIS",COUNTIFS('[1]Brand Family Territories (Enc)'!$B$2:$B$62,C1386,'[1]Brand Family Territories (Enc)'!$C$2:$C$62,"Morri")&gt;0),"Unk",0))</f>
        <v>1</v>
      </c>
      <c r="E1386" s="2" t="str">
        <f>IFERROR(INDEX('Blackout Brand Fam Areas (Enc)'!$D$6:$D$998,MATCH(UPPER(A1386)&amp;"|"&amp;UPPER(B1386),'Blackout Brand Fam Areas (Enc)'!$G$6:$G$998,0)),"No Match")</f>
        <v>No Match</v>
      </c>
      <c r="F1386" s="2" t="str">
        <f t="shared" si="42"/>
        <v>US</v>
      </c>
      <c r="G1386" s="2" t="str">
        <f t="shared" si="43"/>
        <v>Brewt's|HUDSON</v>
      </c>
    </row>
    <row r="1387" spans="1:7" x14ac:dyDescent="0.2">
      <c r="A1387" s="2" t="str" cm="1">
        <f t="array" ref="A1387">INDEX('[1]Brand Family Territory (Enc)'!$A$2:$A$296,INT((ROW()-2)/10)+1)</f>
        <v>Brewt's</v>
      </c>
      <c r="B1387" s="2" t="str" cm="1">
        <f t="array" ref="B1387">INDEX('Whitelist (Blackout Reverse)'!$B$1:$K$1,MOD(ROW()-2,10)+1)</f>
        <v>UNION</v>
      </c>
      <c r="C1387" s="2" t="str">
        <f>VLOOKUP(A1387,'[1]Brand Family Territory (Enc)'!$A$2:$B$296,2,FALSE)</f>
        <v>All Counties</v>
      </c>
      <c r="D1387" s="2">
        <f>IF(COUNTIFS('[1]Brand Family Territories (Enc)'!$B$2:$B$62,C1387,'[1]Brand Family Territories (Enc)'!$C$2:$C$62,B1387)&gt;0,1,IF(AND(LEFT(B1387,6)="MORRIS",COUNTIFS('[1]Brand Family Territories (Enc)'!$B$2:$B$62,C1387,'[1]Brand Family Territories (Enc)'!$C$2:$C$62,"Morri")&gt;0),"Unk",0))</f>
        <v>1</v>
      </c>
      <c r="E1387" s="2" t="str">
        <f>IFERROR(INDEX('Blackout Brand Fam Areas (Enc)'!$D$6:$D$998,MATCH(UPPER(A1387)&amp;"|"&amp;UPPER(B1387),'Blackout Brand Fam Areas (Enc)'!$G$6:$G$998,0)),"No Match")</f>
        <v>No Match</v>
      </c>
      <c r="F1387" s="2" t="str">
        <f t="shared" si="42"/>
        <v>US</v>
      </c>
      <c r="G1387" s="2" t="str">
        <f t="shared" si="43"/>
        <v>Brewt's|UNION</v>
      </c>
    </row>
    <row r="1388" spans="1:7" x14ac:dyDescent="0.2">
      <c r="A1388" s="2" t="str" cm="1">
        <f t="array" ref="A1388">INDEX('[1]Brand Family Territory (Enc)'!$A$2:$A$296,INT((ROW()-2)/10)+1)</f>
        <v>Brewt's</v>
      </c>
      <c r="B1388" s="2" t="str" cm="1">
        <f t="array" ref="B1388">INDEX('Whitelist (Blackout Reverse)'!$B$1:$K$1,MOD(ROW()-2,10)+1)</f>
        <v>SUSSEX</v>
      </c>
      <c r="C1388" s="2" t="str">
        <f>VLOOKUP(A1388,'[1]Brand Family Territory (Enc)'!$A$2:$B$296,2,FALSE)</f>
        <v>All Counties</v>
      </c>
      <c r="D1388" s="2">
        <f>IF(COUNTIFS('[1]Brand Family Territories (Enc)'!$B$2:$B$62,C1388,'[1]Brand Family Territories (Enc)'!$C$2:$C$62,B1388)&gt;0,1,IF(AND(LEFT(B1388,6)="MORRIS",COUNTIFS('[1]Brand Family Territories (Enc)'!$B$2:$B$62,C1388,'[1]Brand Family Territories (Enc)'!$C$2:$C$62,"Morri")&gt;0),"Unk",0))</f>
        <v>1</v>
      </c>
      <c r="E1388" s="2" t="str">
        <f>IFERROR(INDEX('Blackout Brand Fam Areas (Enc)'!$D$6:$D$998,MATCH(UPPER(A1388)&amp;"|"&amp;UPPER(B1388),'Blackout Brand Fam Areas (Enc)'!$G$6:$G$998,0)),"No Match")</f>
        <v>No Match</v>
      </c>
      <c r="F1388" s="2" t="str">
        <f t="shared" si="42"/>
        <v>US</v>
      </c>
      <c r="G1388" s="2" t="str">
        <f t="shared" si="43"/>
        <v>Brewt's|SUSSEX</v>
      </c>
    </row>
    <row r="1389" spans="1:7" x14ac:dyDescent="0.2">
      <c r="A1389" s="2" t="str" cm="1">
        <f t="array" ref="A1389">INDEX('[1]Brand Family Territory (Enc)'!$A$2:$A$296,INT((ROW()-2)/10)+1)</f>
        <v>Brewt's</v>
      </c>
      <c r="B1389" s="2" t="str" cm="1">
        <f t="array" ref="B1389">INDEX('Whitelist (Blackout Reverse)'!$B$1:$K$1,MOD(ROW()-2,10)+1)</f>
        <v>MORRIS 1</v>
      </c>
      <c r="C1389" s="2" t="str">
        <f>VLOOKUP(A1389,'[1]Brand Family Territory (Enc)'!$A$2:$B$296,2,FALSE)</f>
        <v>All Counties</v>
      </c>
      <c r="D1389" s="2">
        <f>IF(COUNTIFS('[1]Brand Family Territories (Enc)'!$B$2:$B$62,C1389,'[1]Brand Family Territories (Enc)'!$C$2:$C$62,B1389)&gt;0,1,IF(AND(LEFT(B1389,6)="MORRIS",COUNTIFS('[1]Brand Family Territories (Enc)'!$B$2:$B$62,C1389,'[1]Brand Family Territories (Enc)'!$C$2:$C$62,"Morri")&gt;0),"Unk",0))</f>
        <v>1</v>
      </c>
      <c r="E1389" s="2" t="str">
        <f>IFERROR(INDEX('Blackout Brand Fam Areas (Enc)'!$D$6:$D$998,MATCH(UPPER(A1389)&amp;"|"&amp;UPPER(B1389),'Blackout Brand Fam Areas (Enc)'!$G$6:$G$998,0)),"No Match")</f>
        <v>No Match</v>
      </c>
      <c r="F1389" s="2" t="str">
        <f t="shared" si="42"/>
        <v>US</v>
      </c>
      <c r="G1389" s="2" t="str">
        <f t="shared" si="43"/>
        <v>Brewt's|MORRIS 1</v>
      </c>
    </row>
    <row r="1390" spans="1:7" x14ac:dyDescent="0.2">
      <c r="A1390" s="2" t="str" cm="1">
        <f t="array" ref="A1390">INDEX('[1]Brand Family Territory (Enc)'!$A$2:$A$296,INT((ROW()-2)/10)+1)</f>
        <v>Brewt's</v>
      </c>
      <c r="B1390" s="2" t="str" cm="1">
        <f t="array" ref="B1390">INDEX('Whitelist (Blackout Reverse)'!$B$1:$K$1,MOD(ROW()-2,10)+1)</f>
        <v>MORRIS 2</v>
      </c>
      <c r="C1390" s="2" t="str">
        <f>VLOOKUP(A1390,'[1]Brand Family Territory (Enc)'!$A$2:$B$296,2,FALSE)</f>
        <v>All Counties</v>
      </c>
      <c r="D1390" s="2">
        <f>IF(COUNTIFS('[1]Brand Family Territories (Enc)'!$B$2:$B$62,C1390,'[1]Brand Family Territories (Enc)'!$C$2:$C$62,B1390)&gt;0,1,IF(AND(LEFT(B1390,6)="MORRIS",COUNTIFS('[1]Brand Family Territories (Enc)'!$B$2:$B$62,C1390,'[1]Brand Family Territories (Enc)'!$C$2:$C$62,"Morri")&gt;0),"Unk",0))</f>
        <v>1</v>
      </c>
      <c r="E1390" s="2" t="str">
        <f>IFERROR(INDEX('Blackout Brand Fam Areas (Enc)'!$D$6:$D$998,MATCH(UPPER(A1390)&amp;"|"&amp;UPPER(B1390),'Blackout Brand Fam Areas (Enc)'!$G$6:$G$998,0)),"No Match")</f>
        <v>No Match</v>
      </c>
      <c r="F1390" s="2" t="str">
        <f t="shared" si="42"/>
        <v>US</v>
      </c>
      <c r="G1390" s="2" t="str">
        <f t="shared" si="43"/>
        <v>Brewt's|MORRIS 2</v>
      </c>
    </row>
    <row r="1391" spans="1:7" x14ac:dyDescent="0.2">
      <c r="A1391" s="2" t="str" cm="1">
        <f t="array" ref="A1391">INDEX('[1]Brand Family Territory (Enc)'!$A$2:$A$296,INT((ROW()-2)/10)+1)</f>
        <v>Brewt's</v>
      </c>
      <c r="B1391" s="2" t="str" cm="1">
        <f t="array" ref="B1391">INDEX('Whitelist (Blackout Reverse)'!$B$1:$K$1,MOD(ROW()-2,10)+1)</f>
        <v>MORRIS 3</v>
      </c>
      <c r="C1391" s="2" t="str">
        <f>VLOOKUP(A1391,'[1]Brand Family Territory (Enc)'!$A$2:$B$296,2,FALSE)</f>
        <v>All Counties</v>
      </c>
      <c r="D1391" s="2">
        <f>IF(COUNTIFS('[1]Brand Family Territories (Enc)'!$B$2:$B$62,C1391,'[1]Brand Family Territories (Enc)'!$C$2:$C$62,B1391)&gt;0,1,IF(AND(LEFT(B1391,6)="MORRIS",COUNTIFS('[1]Brand Family Territories (Enc)'!$B$2:$B$62,C1391,'[1]Brand Family Territories (Enc)'!$C$2:$C$62,"Morri")&gt;0),"Unk",0))</f>
        <v>1</v>
      </c>
      <c r="E1391" s="2" t="str">
        <f>IFERROR(INDEX('Blackout Brand Fam Areas (Enc)'!$D$6:$D$998,MATCH(UPPER(A1391)&amp;"|"&amp;UPPER(B1391),'Blackout Brand Fam Areas (Enc)'!$G$6:$G$998,0)),"No Match")</f>
        <v>No Match</v>
      </c>
      <c r="F1391" s="2" t="str">
        <f t="shared" si="42"/>
        <v>US</v>
      </c>
      <c r="G1391" s="2" t="str">
        <f t="shared" si="43"/>
        <v>Brewt's|MORRIS 3</v>
      </c>
    </row>
    <row r="1392" spans="1:7" x14ac:dyDescent="0.2">
      <c r="A1392" s="2" t="str" cm="1">
        <f t="array" ref="A1392">INDEX('[1]Brand Family Territory (Enc)'!$A$2:$A$296,INT((ROW()-2)/10)+1)</f>
        <v>Brio</v>
      </c>
      <c r="B1392" s="2" t="str" cm="1">
        <f t="array" ref="B1392">INDEX('Whitelist (Blackout Reverse)'!$B$1:$K$1,MOD(ROW()-2,10)+1)</f>
        <v>BERGEN</v>
      </c>
      <c r="C1392" s="2" t="str">
        <f>VLOOKUP(A1392,'[1]Brand Family Territory (Enc)'!$A$2:$B$296,2,FALSE)</f>
        <v>All Counties</v>
      </c>
      <c r="D1392" s="2">
        <f>IF(COUNTIFS('[1]Brand Family Territories (Enc)'!$B$2:$B$62,C1392,'[1]Brand Family Territories (Enc)'!$C$2:$C$62,B1392)&gt;0,1,IF(AND(LEFT(B1392,6)="MORRIS",COUNTIFS('[1]Brand Family Territories (Enc)'!$B$2:$B$62,C1392,'[1]Brand Family Territories (Enc)'!$C$2:$C$62,"Morri")&gt;0),"Unk",0))</f>
        <v>1</v>
      </c>
      <c r="E1392" s="2" t="str">
        <f>IFERROR(INDEX('Blackout Brand Fam Areas (Enc)'!$D$6:$D$998,MATCH(UPPER(A1392)&amp;"|"&amp;UPPER(B1392),'Blackout Brand Fam Areas (Enc)'!$G$6:$G$998,0)),"No Match")</f>
        <v>No Match</v>
      </c>
      <c r="F1392" s="2" t="str">
        <f t="shared" si="42"/>
        <v>US</v>
      </c>
      <c r="G1392" s="2" t="str">
        <f t="shared" si="43"/>
        <v>Brio|BERGEN</v>
      </c>
    </row>
    <row r="1393" spans="1:7" x14ac:dyDescent="0.2">
      <c r="A1393" s="2" t="str" cm="1">
        <f t="array" ref="A1393">INDEX('[1]Brand Family Territory (Enc)'!$A$2:$A$296,INT((ROW()-2)/10)+1)</f>
        <v>Brio</v>
      </c>
      <c r="B1393" s="2" t="str" cm="1">
        <f t="array" ref="B1393">INDEX('Whitelist (Blackout Reverse)'!$B$1:$K$1,MOD(ROW()-2,10)+1)</f>
        <v>PASSAIC</v>
      </c>
      <c r="C1393" s="2" t="str">
        <f>VLOOKUP(A1393,'[1]Brand Family Territory (Enc)'!$A$2:$B$296,2,FALSE)</f>
        <v>All Counties</v>
      </c>
      <c r="D1393" s="2">
        <f>IF(COUNTIFS('[1]Brand Family Territories (Enc)'!$B$2:$B$62,C1393,'[1]Brand Family Territories (Enc)'!$C$2:$C$62,B1393)&gt;0,1,IF(AND(LEFT(B1393,6)="MORRIS",COUNTIFS('[1]Brand Family Territories (Enc)'!$B$2:$B$62,C1393,'[1]Brand Family Territories (Enc)'!$C$2:$C$62,"Morri")&gt;0),"Unk",0))</f>
        <v>1</v>
      </c>
      <c r="E1393" s="2" t="str">
        <f>IFERROR(INDEX('Blackout Brand Fam Areas (Enc)'!$D$6:$D$998,MATCH(UPPER(A1393)&amp;"|"&amp;UPPER(B1393),'Blackout Brand Fam Areas (Enc)'!$G$6:$G$998,0)),"No Match")</f>
        <v>No Match</v>
      </c>
      <c r="F1393" s="2" t="str">
        <f t="shared" si="42"/>
        <v>US</v>
      </c>
      <c r="G1393" s="2" t="str">
        <f t="shared" si="43"/>
        <v>Brio|PASSAIC</v>
      </c>
    </row>
    <row r="1394" spans="1:7" x14ac:dyDescent="0.2">
      <c r="A1394" s="2" t="str" cm="1">
        <f t="array" ref="A1394">INDEX('[1]Brand Family Territory (Enc)'!$A$2:$A$296,INT((ROW()-2)/10)+1)</f>
        <v>Brio</v>
      </c>
      <c r="B1394" s="2" t="str" cm="1">
        <f t="array" ref="B1394">INDEX('Whitelist (Blackout Reverse)'!$B$1:$K$1,MOD(ROW()-2,10)+1)</f>
        <v>PASSAIC-FF</v>
      </c>
      <c r="C1394" s="2" t="str">
        <f>VLOOKUP(A1394,'[1]Brand Family Territory (Enc)'!$A$2:$B$296,2,FALSE)</f>
        <v>All Counties</v>
      </c>
      <c r="D1394" s="2">
        <f>IF(COUNTIFS('[1]Brand Family Territories (Enc)'!$B$2:$B$62,C1394,'[1]Brand Family Territories (Enc)'!$C$2:$C$62,B1394)&gt;0,1,IF(AND(LEFT(B1394,6)="MORRIS",COUNTIFS('[1]Brand Family Territories (Enc)'!$B$2:$B$62,C1394,'[1]Brand Family Territories (Enc)'!$C$2:$C$62,"Morri")&gt;0),"Unk",0))</f>
        <v>1</v>
      </c>
      <c r="E1394" s="2" t="str">
        <f>IFERROR(INDEX('Blackout Brand Fam Areas (Enc)'!$D$6:$D$998,MATCH(UPPER(A1394)&amp;"|"&amp;UPPER(B1394),'Blackout Brand Fam Areas (Enc)'!$G$6:$G$998,0)),"No Match")</f>
        <v>No Match</v>
      </c>
      <c r="F1394" s="2" t="str">
        <f t="shared" si="42"/>
        <v>US</v>
      </c>
      <c r="G1394" s="2" t="str">
        <f t="shared" si="43"/>
        <v>Brio|PASSAIC-FF</v>
      </c>
    </row>
    <row r="1395" spans="1:7" x14ac:dyDescent="0.2">
      <c r="A1395" s="2" t="str" cm="1">
        <f t="array" ref="A1395">INDEX('[1]Brand Family Territory (Enc)'!$A$2:$A$296,INT((ROW()-2)/10)+1)</f>
        <v>Brio</v>
      </c>
      <c r="B1395" s="2" t="str" cm="1">
        <f t="array" ref="B1395">INDEX('Whitelist (Blackout Reverse)'!$B$1:$K$1,MOD(ROW()-2,10)+1)</f>
        <v>ESSEX</v>
      </c>
      <c r="C1395" s="2" t="str">
        <f>VLOOKUP(A1395,'[1]Brand Family Territory (Enc)'!$A$2:$B$296,2,FALSE)</f>
        <v>All Counties</v>
      </c>
      <c r="D1395" s="2">
        <f>IF(COUNTIFS('[1]Brand Family Territories (Enc)'!$B$2:$B$62,C1395,'[1]Brand Family Territories (Enc)'!$C$2:$C$62,B1395)&gt;0,1,IF(AND(LEFT(B1395,6)="MORRIS",COUNTIFS('[1]Brand Family Territories (Enc)'!$B$2:$B$62,C1395,'[1]Brand Family Territories (Enc)'!$C$2:$C$62,"Morri")&gt;0),"Unk",0))</f>
        <v>1</v>
      </c>
      <c r="E1395" s="2" t="str">
        <f>IFERROR(INDEX('Blackout Brand Fam Areas (Enc)'!$D$6:$D$998,MATCH(UPPER(A1395)&amp;"|"&amp;UPPER(B1395),'Blackout Brand Fam Areas (Enc)'!$G$6:$G$998,0)),"No Match")</f>
        <v>No Match</v>
      </c>
      <c r="F1395" s="2" t="str">
        <f t="shared" si="42"/>
        <v>US</v>
      </c>
      <c r="G1395" s="2" t="str">
        <f t="shared" si="43"/>
        <v>Brio|ESSEX</v>
      </c>
    </row>
    <row r="1396" spans="1:7" x14ac:dyDescent="0.2">
      <c r="A1396" s="2" t="str" cm="1">
        <f t="array" ref="A1396">INDEX('[1]Brand Family Territory (Enc)'!$A$2:$A$296,INT((ROW()-2)/10)+1)</f>
        <v>Brio</v>
      </c>
      <c r="B1396" s="2" t="str" cm="1">
        <f t="array" ref="B1396">INDEX('Whitelist (Blackout Reverse)'!$B$1:$K$1,MOD(ROW()-2,10)+1)</f>
        <v>HUDSON</v>
      </c>
      <c r="C1396" s="2" t="str">
        <f>VLOOKUP(A1396,'[1]Brand Family Territory (Enc)'!$A$2:$B$296,2,FALSE)</f>
        <v>All Counties</v>
      </c>
      <c r="D1396" s="2">
        <f>IF(COUNTIFS('[1]Brand Family Territories (Enc)'!$B$2:$B$62,C1396,'[1]Brand Family Territories (Enc)'!$C$2:$C$62,B1396)&gt;0,1,IF(AND(LEFT(B1396,6)="MORRIS",COUNTIFS('[1]Brand Family Territories (Enc)'!$B$2:$B$62,C1396,'[1]Brand Family Territories (Enc)'!$C$2:$C$62,"Morri")&gt;0),"Unk",0))</f>
        <v>1</v>
      </c>
      <c r="E1396" s="2" t="str">
        <f>IFERROR(INDEX('Blackout Brand Fam Areas (Enc)'!$D$6:$D$998,MATCH(UPPER(A1396)&amp;"|"&amp;UPPER(B1396),'Blackout Brand Fam Areas (Enc)'!$G$6:$G$998,0)),"No Match")</f>
        <v>No Match</v>
      </c>
      <c r="F1396" s="2" t="str">
        <f t="shared" si="42"/>
        <v>US</v>
      </c>
      <c r="G1396" s="2" t="str">
        <f t="shared" si="43"/>
        <v>Brio|HUDSON</v>
      </c>
    </row>
    <row r="1397" spans="1:7" x14ac:dyDescent="0.2">
      <c r="A1397" s="2" t="str" cm="1">
        <f t="array" ref="A1397">INDEX('[1]Brand Family Territory (Enc)'!$A$2:$A$296,INT((ROW()-2)/10)+1)</f>
        <v>Brio</v>
      </c>
      <c r="B1397" s="2" t="str" cm="1">
        <f t="array" ref="B1397">INDEX('Whitelist (Blackout Reverse)'!$B$1:$K$1,MOD(ROW()-2,10)+1)</f>
        <v>UNION</v>
      </c>
      <c r="C1397" s="2" t="str">
        <f>VLOOKUP(A1397,'[1]Brand Family Territory (Enc)'!$A$2:$B$296,2,FALSE)</f>
        <v>All Counties</v>
      </c>
      <c r="D1397" s="2">
        <f>IF(COUNTIFS('[1]Brand Family Territories (Enc)'!$B$2:$B$62,C1397,'[1]Brand Family Territories (Enc)'!$C$2:$C$62,B1397)&gt;0,1,IF(AND(LEFT(B1397,6)="MORRIS",COUNTIFS('[1]Brand Family Territories (Enc)'!$B$2:$B$62,C1397,'[1]Brand Family Territories (Enc)'!$C$2:$C$62,"Morri")&gt;0),"Unk",0))</f>
        <v>1</v>
      </c>
      <c r="E1397" s="2" t="str">
        <f>IFERROR(INDEX('Blackout Brand Fam Areas (Enc)'!$D$6:$D$998,MATCH(UPPER(A1397)&amp;"|"&amp;UPPER(B1397),'Blackout Brand Fam Areas (Enc)'!$G$6:$G$998,0)),"No Match")</f>
        <v>No Match</v>
      </c>
      <c r="F1397" s="2" t="str">
        <f t="shared" si="42"/>
        <v>US</v>
      </c>
      <c r="G1397" s="2" t="str">
        <f t="shared" si="43"/>
        <v>Brio|UNION</v>
      </c>
    </row>
    <row r="1398" spans="1:7" x14ac:dyDescent="0.2">
      <c r="A1398" s="2" t="str" cm="1">
        <f t="array" ref="A1398">INDEX('[1]Brand Family Territory (Enc)'!$A$2:$A$296,INT((ROW()-2)/10)+1)</f>
        <v>Brio</v>
      </c>
      <c r="B1398" s="2" t="str" cm="1">
        <f t="array" ref="B1398">INDEX('Whitelist (Blackout Reverse)'!$B$1:$K$1,MOD(ROW()-2,10)+1)</f>
        <v>SUSSEX</v>
      </c>
      <c r="C1398" s="2" t="str">
        <f>VLOOKUP(A1398,'[1]Brand Family Territory (Enc)'!$A$2:$B$296,2,FALSE)</f>
        <v>All Counties</v>
      </c>
      <c r="D1398" s="2">
        <f>IF(COUNTIFS('[1]Brand Family Territories (Enc)'!$B$2:$B$62,C1398,'[1]Brand Family Territories (Enc)'!$C$2:$C$62,B1398)&gt;0,1,IF(AND(LEFT(B1398,6)="MORRIS",COUNTIFS('[1]Brand Family Territories (Enc)'!$B$2:$B$62,C1398,'[1]Brand Family Territories (Enc)'!$C$2:$C$62,"Morri")&gt;0),"Unk",0))</f>
        <v>1</v>
      </c>
      <c r="E1398" s="2" t="str">
        <f>IFERROR(INDEX('Blackout Brand Fam Areas (Enc)'!$D$6:$D$998,MATCH(UPPER(A1398)&amp;"|"&amp;UPPER(B1398),'Blackout Brand Fam Areas (Enc)'!$G$6:$G$998,0)),"No Match")</f>
        <v>No Match</v>
      </c>
      <c r="F1398" s="2" t="str">
        <f t="shared" si="42"/>
        <v>US</v>
      </c>
      <c r="G1398" s="2" t="str">
        <f t="shared" si="43"/>
        <v>Brio|SUSSEX</v>
      </c>
    </row>
    <row r="1399" spans="1:7" x14ac:dyDescent="0.2">
      <c r="A1399" s="2" t="str" cm="1">
        <f t="array" ref="A1399">INDEX('[1]Brand Family Territory (Enc)'!$A$2:$A$296,INT((ROW()-2)/10)+1)</f>
        <v>Brio</v>
      </c>
      <c r="B1399" s="2" t="str" cm="1">
        <f t="array" ref="B1399">INDEX('Whitelist (Blackout Reverse)'!$B$1:$K$1,MOD(ROW()-2,10)+1)</f>
        <v>MORRIS 1</v>
      </c>
      <c r="C1399" s="2" t="str">
        <f>VLOOKUP(A1399,'[1]Brand Family Territory (Enc)'!$A$2:$B$296,2,FALSE)</f>
        <v>All Counties</v>
      </c>
      <c r="D1399" s="2">
        <f>IF(COUNTIFS('[1]Brand Family Territories (Enc)'!$B$2:$B$62,C1399,'[1]Brand Family Territories (Enc)'!$C$2:$C$62,B1399)&gt;0,1,IF(AND(LEFT(B1399,6)="MORRIS",COUNTIFS('[1]Brand Family Territories (Enc)'!$B$2:$B$62,C1399,'[1]Brand Family Territories (Enc)'!$C$2:$C$62,"Morri")&gt;0),"Unk",0))</f>
        <v>1</v>
      </c>
      <c r="E1399" s="2" t="str">
        <f>IFERROR(INDEX('Blackout Brand Fam Areas (Enc)'!$D$6:$D$998,MATCH(UPPER(A1399)&amp;"|"&amp;UPPER(B1399),'Blackout Brand Fam Areas (Enc)'!$G$6:$G$998,0)),"No Match")</f>
        <v>No Match</v>
      </c>
      <c r="F1399" s="2" t="str">
        <f t="shared" si="42"/>
        <v>US</v>
      </c>
      <c r="G1399" s="2" t="str">
        <f t="shared" si="43"/>
        <v>Brio|MORRIS 1</v>
      </c>
    </row>
    <row r="1400" spans="1:7" x14ac:dyDescent="0.2">
      <c r="A1400" s="2" t="str" cm="1">
        <f t="array" ref="A1400">INDEX('[1]Brand Family Territory (Enc)'!$A$2:$A$296,INT((ROW()-2)/10)+1)</f>
        <v>Brio</v>
      </c>
      <c r="B1400" s="2" t="str" cm="1">
        <f t="array" ref="B1400">INDEX('Whitelist (Blackout Reverse)'!$B$1:$K$1,MOD(ROW()-2,10)+1)</f>
        <v>MORRIS 2</v>
      </c>
      <c r="C1400" s="2" t="str">
        <f>VLOOKUP(A1400,'[1]Brand Family Territory (Enc)'!$A$2:$B$296,2,FALSE)</f>
        <v>All Counties</v>
      </c>
      <c r="D1400" s="2">
        <f>IF(COUNTIFS('[1]Brand Family Territories (Enc)'!$B$2:$B$62,C1400,'[1]Brand Family Territories (Enc)'!$C$2:$C$62,B1400)&gt;0,1,IF(AND(LEFT(B1400,6)="MORRIS",COUNTIFS('[1]Brand Family Territories (Enc)'!$B$2:$B$62,C1400,'[1]Brand Family Territories (Enc)'!$C$2:$C$62,"Morri")&gt;0),"Unk",0))</f>
        <v>1</v>
      </c>
      <c r="E1400" s="2" t="str">
        <f>IFERROR(INDEX('Blackout Brand Fam Areas (Enc)'!$D$6:$D$998,MATCH(UPPER(A1400)&amp;"|"&amp;UPPER(B1400),'Blackout Brand Fam Areas (Enc)'!$G$6:$G$998,0)),"No Match")</f>
        <v>No Match</v>
      </c>
      <c r="F1400" s="2" t="str">
        <f t="shared" si="42"/>
        <v>US</v>
      </c>
      <c r="G1400" s="2" t="str">
        <f t="shared" si="43"/>
        <v>Brio|MORRIS 2</v>
      </c>
    </row>
    <row r="1401" spans="1:7" x14ac:dyDescent="0.2">
      <c r="A1401" s="2" t="str" cm="1">
        <f t="array" ref="A1401">INDEX('[1]Brand Family Territory (Enc)'!$A$2:$A$296,INT((ROW()-2)/10)+1)</f>
        <v>Brio</v>
      </c>
      <c r="B1401" s="2" t="str" cm="1">
        <f t="array" ref="B1401">INDEX('Whitelist (Blackout Reverse)'!$B$1:$K$1,MOD(ROW()-2,10)+1)</f>
        <v>MORRIS 3</v>
      </c>
      <c r="C1401" s="2" t="str">
        <f>VLOOKUP(A1401,'[1]Brand Family Territory (Enc)'!$A$2:$B$296,2,FALSE)</f>
        <v>All Counties</v>
      </c>
      <c r="D1401" s="2">
        <f>IF(COUNTIFS('[1]Brand Family Territories (Enc)'!$B$2:$B$62,C1401,'[1]Brand Family Territories (Enc)'!$C$2:$C$62,B1401)&gt;0,1,IF(AND(LEFT(B1401,6)="MORRIS",COUNTIFS('[1]Brand Family Territories (Enc)'!$B$2:$B$62,C1401,'[1]Brand Family Territories (Enc)'!$C$2:$C$62,"Morri")&gt;0),"Unk",0))</f>
        <v>1</v>
      </c>
      <c r="E1401" s="2" t="str">
        <f>IFERROR(INDEX('Blackout Brand Fam Areas (Enc)'!$D$6:$D$998,MATCH(UPPER(A1401)&amp;"|"&amp;UPPER(B1401),'Blackout Brand Fam Areas (Enc)'!$G$6:$G$998,0)),"No Match")</f>
        <v>No Match</v>
      </c>
      <c r="F1401" s="2" t="str">
        <f t="shared" si="42"/>
        <v>US</v>
      </c>
      <c r="G1401" s="2" t="str">
        <f t="shared" si="43"/>
        <v>Brio|MORRIS 3</v>
      </c>
    </row>
    <row r="1402" spans="1:7" x14ac:dyDescent="0.2">
      <c r="A1402" s="2" t="str" cm="1">
        <f t="array" ref="A1402">INDEX('[1]Brand Family Territory (Enc)'!$A$2:$A$296,INT((ROW()-2)/10)+1)</f>
        <v>Buzbee's</v>
      </c>
      <c r="B1402" s="2" t="str" cm="1">
        <f t="array" ref="B1402">INDEX('Whitelist (Blackout Reverse)'!$B$1:$K$1,MOD(ROW()-2,10)+1)</f>
        <v>BERGEN</v>
      </c>
      <c r="C1402" s="2" t="str">
        <f>VLOOKUP(A1402,'[1]Brand Family Territory (Enc)'!$A$2:$B$296,2,FALSE)</f>
        <v>All Counties</v>
      </c>
      <c r="D1402" s="2">
        <f>IF(COUNTIFS('[1]Brand Family Territories (Enc)'!$B$2:$B$62,C1402,'[1]Brand Family Territories (Enc)'!$C$2:$C$62,B1402)&gt;0,1,IF(AND(LEFT(B1402,6)="MORRIS",COUNTIFS('[1]Brand Family Territories (Enc)'!$B$2:$B$62,C1402,'[1]Brand Family Territories (Enc)'!$C$2:$C$62,"Morri")&gt;0),"Unk",0))</f>
        <v>1</v>
      </c>
      <c r="E1402" s="2" t="str">
        <f>IFERROR(INDEX('Blackout Brand Fam Areas (Enc)'!$D$6:$D$998,MATCH(UPPER(A1402)&amp;"|"&amp;UPPER(B1402),'Blackout Brand Fam Areas (Enc)'!$G$6:$G$998,0)),"No Match")</f>
        <v>No Match</v>
      </c>
      <c r="F1402" s="2" t="str">
        <f t="shared" si="42"/>
        <v>US</v>
      </c>
      <c r="G1402" s="2" t="str">
        <f t="shared" si="43"/>
        <v>Buzbee's|BERGEN</v>
      </c>
    </row>
    <row r="1403" spans="1:7" x14ac:dyDescent="0.2">
      <c r="A1403" s="2" t="str" cm="1">
        <f t="array" ref="A1403">INDEX('[1]Brand Family Territory (Enc)'!$A$2:$A$296,INT((ROW()-2)/10)+1)</f>
        <v>Buzbee's</v>
      </c>
      <c r="B1403" s="2" t="str" cm="1">
        <f t="array" ref="B1403">INDEX('Whitelist (Blackout Reverse)'!$B$1:$K$1,MOD(ROW()-2,10)+1)</f>
        <v>PASSAIC</v>
      </c>
      <c r="C1403" s="2" t="str">
        <f>VLOOKUP(A1403,'[1]Brand Family Territory (Enc)'!$A$2:$B$296,2,FALSE)</f>
        <v>All Counties</v>
      </c>
      <c r="D1403" s="2">
        <f>IF(COUNTIFS('[1]Brand Family Territories (Enc)'!$B$2:$B$62,C1403,'[1]Brand Family Territories (Enc)'!$C$2:$C$62,B1403)&gt;0,1,IF(AND(LEFT(B1403,6)="MORRIS",COUNTIFS('[1]Brand Family Territories (Enc)'!$B$2:$B$62,C1403,'[1]Brand Family Territories (Enc)'!$C$2:$C$62,"Morri")&gt;0),"Unk",0))</f>
        <v>1</v>
      </c>
      <c r="E1403" s="2" t="str">
        <f>IFERROR(INDEX('Blackout Brand Fam Areas (Enc)'!$D$6:$D$998,MATCH(UPPER(A1403)&amp;"|"&amp;UPPER(B1403),'Blackout Brand Fam Areas (Enc)'!$G$6:$G$998,0)),"No Match")</f>
        <v>No Match</v>
      </c>
      <c r="F1403" s="2" t="str">
        <f t="shared" si="42"/>
        <v>US</v>
      </c>
      <c r="G1403" s="2" t="str">
        <f t="shared" si="43"/>
        <v>Buzbee's|PASSAIC</v>
      </c>
    </row>
    <row r="1404" spans="1:7" x14ac:dyDescent="0.2">
      <c r="A1404" s="2" t="str" cm="1">
        <f t="array" ref="A1404">INDEX('[1]Brand Family Territory (Enc)'!$A$2:$A$296,INT((ROW()-2)/10)+1)</f>
        <v>Buzbee's</v>
      </c>
      <c r="B1404" s="2" t="str" cm="1">
        <f t="array" ref="B1404">INDEX('Whitelist (Blackout Reverse)'!$B$1:$K$1,MOD(ROW()-2,10)+1)</f>
        <v>PASSAIC-FF</v>
      </c>
      <c r="C1404" s="2" t="str">
        <f>VLOOKUP(A1404,'[1]Brand Family Territory (Enc)'!$A$2:$B$296,2,FALSE)</f>
        <v>All Counties</v>
      </c>
      <c r="D1404" s="2">
        <f>IF(COUNTIFS('[1]Brand Family Territories (Enc)'!$B$2:$B$62,C1404,'[1]Brand Family Territories (Enc)'!$C$2:$C$62,B1404)&gt;0,1,IF(AND(LEFT(B1404,6)="MORRIS",COUNTIFS('[1]Brand Family Territories (Enc)'!$B$2:$B$62,C1404,'[1]Brand Family Territories (Enc)'!$C$2:$C$62,"Morri")&gt;0),"Unk",0))</f>
        <v>1</v>
      </c>
      <c r="E1404" s="2" t="str">
        <f>IFERROR(INDEX('Blackout Brand Fam Areas (Enc)'!$D$6:$D$998,MATCH(UPPER(A1404)&amp;"|"&amp;UPPER(B1404),'Blackout Brand Fam Areas (Enc)'!$G$6:$G$998,0)),"No Match")</f>
        <v>No Match</v>
      </c>
      <c r="F1404" s="2" t="str">
        <f t="shared" si="42"/>
        <v>US</v>
      </c>
      <c r="G1404" s="2" t="str">
        <f t="shared" si="43"/>
        <v>Buzbee's|PASSAIC-FF</v>
      </c>
    </row>
    <row r="1405" spans="1:7" x14ac:dyDescent="0.2">
      <c r="A1405" s="2" t="str" cm="1">
        <f t="array" ref="A1405">INDEX('[1]Brand Family Territory (Enc)'!$A$2:$A$296,INT((ROW()-2)/10)+1)</f>
        <v>Buzbee's</v>
      </c>
      <c r="B1405" s="2" t="str" cm="1">
        <f t="array" ref="B1405">INDEX('Whitelist (Blackout Reverse)'!$B$1:$K$1,MOD(ROW()-2,10)+1)</f>
        <v>ESSEX</v>
      </c>
      <c r="C1405" s="2" t="str">
        <f>VLOOKUP(A1405,'[1]Brand Family Territory (Enc)'!$A$2:$B$296,2,FALSE)</f>
        <v>All Counties</v>
      </c>
      <c r="D1405" s="2">
        <f>IF(COUNTIFS('[1]Brand Family Territories (Enc)'!$B$2:$B$62,C1405,'[1]Brand Family Territories (Enc)'!$C$2:$C$62,B1405)&gt;0,1,IF(AND(LEFT(B1405,6)="MORRIS",COUNTIFS('[1]Brand Family Territories (Enc)'!$B$2:$B$62,C1405,'[1]Brand Family Territories (Enc)'!$C$2:$C$62,"Morri")&gt;0),"Unk",0))</f>
        <v>1</v>
      </c>
      <c r="E1405" s="2" t="str">
        <f>IFERROR(INDEX('Blackout Brand Fam Areas (Enc)'!$D$6:$D$998,MATCH(UPPER(A1405)&amp;"|"&amp;UPPER(B1405),'Blackout Brand Fam Areas (Enc)'!$G$6:$G$998,0)),"No Match")</f>
        <v>No Match</v>
      </c>
      <c r="F1405" s="2" t="str">
        <f t="shared" si="42"/>
        <v>US</v>
      </c>
      <c r="G1405" s="2" t="str">
        <f t="shared" si="43"/>
        <v>Buzbee's|ESSEX</v>
      </c>
    </row>
    <row r="1406" spans="1:7" x14ac:dyDescent="0.2">
      <c r="A1406" s="2" t="str" cm="1">
        <f t="array" ref="A1406">INDEX('[1]Brand Family Territory (Enc)'!$A$2:$A$296,INT((ROW()-2)/10)+1)</f>
        <v>Buzbee's</v>
      </c>
      <c r="B1406" s="2" t="str" cm="1">
        <f t="array" ref="B1406">INDEX('Whitelist (Blackout Reverse)'!$B$1:$K$1,MOD(ROW()-2,10)+1)</f>
        <v>HUDSON</v>
      </c>
      <c r="C1406" s="2" t="str">
        <f>VLOOKUP(A1406,'[1]Brand Family Territory (Enc)'!$A$2:$B$296,2,FALSE)</f>
        <v>All Counties</v>
      </c>
      <c r="D1406" s="2">
        <f>IF(COUNTIFS('[1]Brand Family Territories (Enc)'!$B$2:$B$62,C1406,'[1]Brand Family Territories (Enc)'!$C$2:$C$62,B1406)&gt;0,1,IF(AND(LEFT(B1406,6)="MORRIS",COUNTIFS('[1]Brand Family Territories (Enc)'!$B$2:$B$62,C1406,'[1]Brand Family Territories (Enc)'!$C$2:$C$62,"Morri")&gt;0),"Unk",0))</f>
        <v>1</v>
      </c>
      <c r="E1406" s="2" t="str">
        <f>IFERROR(INDEX('Blackout Brand Fam Areas (Enc)'!$D$6:$D$998,MATCH(UPPER(A1406)&amp;"|"&amp;UPPER(B1406),'Blackout Brand Fam Areas (Enc)'!$G$6:$G$998,0)),"No Match")</f>
        <v>No Match</v>
      </c>
      <c r="F1406" s="2" t="str">
        <f t="shared" si="42"/>
        <v>US</v>
      </c>
      <c r="G1406" s="2" t="str">
        <f t="shared" si="43"/>
        <v>Buzbee's|HUDSON</v>
      </c>
    </row>
    <row r="1407" spans="1:7" x14ac:dyDescent="0.2">
      <c r="A1407" s="2" t="str" cm="1">
        <f t="array" ref="A1407">INDEX('[1]Brand Family Territory (Enc)'!$A$2:$A$296,INT((ROW()-2)/10)+1)</f>
        <v>Buzbee's</v>
      </c>
      <c r="B1407" s="2" t="str" cm="1">
        <f t="array" ref="B1407">INDEX('Whitelist (Blackout Reverse)'!$B$1:$K$1,MOD(ROW()-2,10)+1)</f>
        <v>UNION</v>
      </c>
      <c r="C1407" s="2" t="str">
        <f>VLOOKUP(A1407,'[1]Brand Family Territory (Enc)'!$A$2:$B$296,2,FALSE)</f>
        <v>All Counties</v>
      </c>
      <c r="D1407" s="2">
        <f>IF(COUNTIFS('[1]Brand Family Territories (Enc)'!$B$2:$B$62,C1407,'[1]Brand Family Territories (Enc)'!$C$2:$C$62,B1407)&gt;0,1,IF(AND(LEFT(B1407,6)="MORRIS",COUNTIFS('[1]Brand Family Territories (Enc)'!$B$2:$B$62,C1407,'[1]Brand Family Territories (Enc)'!$C$2:$C$62,"Morri")&gt;0),"Unk",0))</f>
        <v>1</v>
      </c>
      <c r="E1407" s="2" t="str">
        <f>IFERROR(INDEX('Blackout Brand Fam Areas (Enc)'!$D$6:$D$998,MATCH(UPPER(A1407)&amp;"|"&amp;UPPER(B1407),'Blackout Brand Fam Areas (Enc)'!$G$6:$G$998,0)),"No Match")</f>
        <v>No Match</v>
      </c>
      <c r="F1407" s="2" t="str">
        <f t="shared" si="42"/>
        <v>US</v>
      </c>
      <c r="G1407" s="2" t="str">
        <f t="shared" si="43"/>
        <v>Buzbee's|UNION</v>
      </c>
    </row>
    <row r="1408" spans="1:7" x14ac:dyDescent="0.2">
      <c r="A1408" s="2" t="str" cm="1">
        <f t="array" ref="A1408">INDEX('[1]Brand Family Territory (Enc)'!$A$2:$A$296,INT((ROW()-2)/10)+1)</f>
        <v>Buzbee's</v>
      </c>
      <c r="B1408" s="2" t="str" cm="1">
        <f t="array" ref="B1408">INDEX('Whitelist (Blackout Reverse)'!$B$1:$K$1,MOD(ROW()-2,10)+1)</f>
        <v>SUSSEX</v>
      </c>
      <c r="C1408" s="2" t="str">
        <f>VLOOKUP(A1408,'[1]Brand Family Territory (Enc)'!$A$2:$B$296,2,FALSE)</f>
        <v>All Counties</v>
      </c>
      <c r="D1408" s="2">
        <f>IF(COUNTIFS('[1]Brand Family Territories (Enc)'!$B$2:$B$62,C1408,'[1]Brand Family Territories (Enc)'!$C$2:$C$62,B1408)&gt;0,1,IF(AND(LEFT(B1408,6)="MORRIS",COUNTIFS('[1]Brand Family Territories (Enc)'!$B$2:$B$62,C1408,'[1]Brand Family Territories (Enc)'!$C$2:$C$62,"Morri")&gt;0),"Unk",0))</f>
        <v>1</v>
      </c>
      <c r="E1408" s="2" t="str">
        <f>IFERROR(INDEX('Blackout Brand Fam Areas (Enc)'!$D$6:$D$998,MATCH(UPPER(A1408)&amp;"|"&amp;UPPER(B1408),'Blackout Brand Fam Areas (Enc)'!$G$6:$G$998,0)),"No Match")</f>
        <v>No Match</v>
      </c>
      <c r="F1408" s="2" t="str">
        <f t="shared" si="42"/>
        <v>US</v>
      </c>
      <c r="G1408" s="2" t="str">
        <f t="shared" si="43"/>
        <v>Buzbee's|SUSSEX</v>
      </c>
    </row>
    <row r="1409" spans="1:7" x14ac:dyDescent="0.2">
      <c r="A1409" s="2" t="str" cm="1">
        <f t="array" ref="A1409">INDEX('[1]Brand Family Territory (Enc)'!$A$2:$A$296,INT((ROW()-2)/10)+1)</f>
        <v>Buzbee's</v>
      </c>
      <c r="B1409" s="2" t="str" cm="1">
        <f t="array" ref="B1409">INDEX('Whitelist (Blackout Reverse)'!$B$1:$K$1,MOD(ROW()-2,10)+1)</f>
        <v>MORRIS 1</v>
      </c>
      <c r="C1409" s="2" t="str">
        <f>VLOOKUP(A1409,'[1]Brand Family Territory (Enc)'!$A$2:$B$296,2,FALSE)</f>
        <v>All Counties</v>
      </c>
      <c r="D1409" s="2">
        <f>IF(COUNTIFS('[1]Brand Family Territories (Enc)'!$B$2:$B$62,C1409,'[1]Brand Family Territories (Enc)'!$C$2:$C$62,B1409)&gt;0,1,IF(AND(LEFT(B1409,6)="MORRIS",COUNTIFS('[1]Brand Family Territories (Enc)'!$B$2:$B$62,C1409,'[1]Brand Family Territories (Enc)'!$C$2:$C$62,"Morri")&gt;0),"Unk",0))</f>
        <v>1</v>
      </c>
      <c r="E1409" s="2" t="str">
        <f>IFERROR(INDEX('Blackout Brand Fam Areas (Enc)'!$D$6:$D$998,MATCH(UPPER(A1409)&amp;"|"&amp;UPPER(B1409),'Blackout Brand Fam Areas (Enc)'!$G$6:$G$998,0)),"No Match")</f>
        <v>No Match</v>
      </c>
      <c r="F1409" s="2" t="str">
        <f t="shared" si="42"/>
        <v>US</v>
      </c>
      <c r="G1409" s="2" t="str">
        <f t="shared" si="43"/>
        <v>Buzbee's|MORRIS 1</v>
      </c>
    </row>
    <row r="1410" spans="1:7" x14ac:dyDescent="0.2">
      <c r="A1410" s="2" t="str" cm="1">
        <f t="array" ref="A1410">INDEX('[1]Brand Family Territory (Enc)'!$A$2:$A$296,INT((ROW()-2)/10)+1)</f>
        <v>Buzbee's</v>
      </c>
      <c r="B1410" s="2" t="str" cm="1">
        <f t="array" ref="B1410">INDEX('Whitelist (Blackout Reverse)'!$B$1:$K$1,MOD(ROW()-2,10)+1)</f>
        <v>MORRIS 2</v>
      </c>
      <c r="C1410" s="2" t="str">
        <f>VLOOKUP(A1410,'[1]Brand Family Territory (Enc)'!$A$2:$B$296,2,FALSE)</f>
        <v>All Counties</v>
      </c>
      <c r="D1410" s="2">
        <f>IF(COUNTIFS('[1]Brand Family Territories (Enc)'!$B$2:$B$62,C1410,'[1]Brand Family Territories (Enc)'!$C$2:$C$62,B1410)&gt;0,1,IF(AND(LEFT(B1410,6)="MORRIS",COUNTIFS('[1]Brand Family Territories (Enc)'!$B$2:$B$62,C1410,'[1]Brand Family Territories (Enc)'!$C$2:$C$62,"Morri")&gt;0),"Unk",0))</f>
        <v>1</v>
      </c>
      <c r="E1410" s="2" t="str">
        <f>IFERROR(INDEX('Blackout Brand Fam Areas (Enc)'!$D$6:$D$998,MATCH(UPPER(A1410)&amp;"|"&amp;UPPER(B1410),'Blackout Brand Fam Areas (Enc)'!$G$6:$G$998,0)),"No Match")</f>
        <v>No Match</v>
      </c>
      <c r="F1410" s="2" t="str">
        <f t="shared" si="42"/>
        <v>US</v>
      </c>
      <c r="G1410" s="2" t="str">
        <f t="shared" si="43"/>
        <v>Buzbee's|MORRIS 2</v>
      </c>
    </row>
    <row r="1411" spans="1:7" x14ac:dyDescent="0.2">
      <c r="A1411" s="2" t="str" cm="1">
        <f t="array" ref="A1411">INDEX('[1]Brand Family Territory (Enc)'!$A$2:$A$296,INT((ROW()-2)/10)+1)</f>
        <v>Buzbee's</v>
      </c>
      <c r="B1411" s="2" t="str" cm="1">
        <f t="array" ref="B1411">INDEX('Whitelist (Blackout Reverse)'!$B$1:$K$1,MOD(ROW()-2,10)+1)</f>
        <v>MORRIS 3</v>
      </c>
      <c r="C1411" s="2" t="str">
        <f>VLOOKUP(A1411,'[1]Brand Family Territory (Enc)'!$A$2:$B$296,2,FALSE)</f>
        <v>All Counties</v>
      </c>
      <c r="D1411" s="2">
        <f>IF(COUNTIFS('[1]Brand Family Territories (Enc)'!$B$2:$B$62,C1411,'[1]Brand Family Territories (Enc)'!$C$2:$C$62,B1411)&gt;0,1,IF(AND(LEFT(B1411,6)="MORRIS",COUNTIFS('[1]Brand Family Territories (Enc)'!$B$2:$B$62,C1411,'[1]Brand Family Territories (Enc)'!$C$2:$C$62,"Morri")&gt;0),"Unk",0))</f>
        <v>1</v>
      </c>
      <c r="E1411" s="2" t="str">
        <f>IFERROR(INDEX('Blackout Brand Fam Areas (Enc)'!$D$6:$D$998,MATCH(UPPER(A1411)&amp;"|"&amp;UPPER(B1411),'Blackout Brand Fam Areas (Enc)'!$G$6:$G$998,0)),"No Match")</f>
        <v>No Match</v>
      </c>
      <c r="F1411" s="2" t="str">
        <f t="shared" ref="F1411:F1474" si="44">IF(D1411="Unk","Ambiguous (Source Truncated)",IF(E1411="Inactive","THEM",IF(D1411=1,"US",IF(D1411="N/A","No Territory Data","THEM"))))</f>
        <v>US</v>
      </c>
      <c r="G1411" s="2" t="str">
        <f t="shared" ref="G1411:G1474" si="45">A1411&amp;"|"&amp;B1411</f>
        <v>Buzbee's|MORRIS 3</v>
      </c>
    </row>
    <row r="1412" spans="1:7" x14ac:dyDescent="0.2">
      <c r="A1412" s="2" t="str" cm="1">
        <f t="array" ref="A1412">INDEX('[1]Brand Family Territory (Enc)'!$A$2:$A$296,INT((ROW()-2)/10)+1)</f>
        <v>Calise</v>
      </c>
      <c r="B1412" s="2" t="str" cm="1">
        <f t="array" ref="B1412">INDEX('Whitelist (Blackout Reverse)'!$B$1:$K$1,MOD(ROW()-2,10)+1)</f>
        <v>BERGEN</v>
      </c>
      <c r="C1412" s="2" t="str">
        <f>VLOOKUP(A1412,'[1]Brand Family Territory (Enc)'!$A$2:$B$296,2,FALSE)</f>
        <v>All Counties</v>
      </c>
      <c r="D1412" s="2">
        <f>IF(COUNTIFS('[1]Brand Family Territories (Enc)'!$B$2:$B$62,C1412,'[1]Brand Family Territories (Enc)'!$C$2:$C$62,B1412)&gt;0,1,IF(AND(LEFT(B1412,6)="MORRIS",COUNTIFS('[1]Brand Family Territories (Enc)'!$B$2:$B$62,C1412,'[1]Brand Family Territories (Enc)'!$C$2:$C$62,"Morri")&gt;0),"Unk",0))</f>
        <v>1</v>
      </c>
      <c r="E1412" s="2" t="str">
        <f>IFERROR(INDEX('Blackout Brand Fam Areas (Enc)'!$D$6:$D$998,MATCH(UPPER(A1412)&amp;"|"&amp;UPPER(B1412),'Blackout Brand Fam Areas (Enc)'!$G$6:$G$998,0)),"No Match")</f>
        <v>No Match</v>
      </c>
      <c r="F1412" s="2" t="str">
        <f t="shared" si="44"/>
        <v>US</v>
      </c>
      <c r="G1412" s="2" t="str">
        <f t="shared" si="45"/>
        <v>Calise|BERGEN</v>
      </c>
    </row>
    <row r="1413" spans="1:7" x14ac:dyDescent="0.2">
      <c r="A1413" s="2" t="str" cm="1">
        <f t="array" ref="A1413">INDEX('[1]Brand Family Territory (Enc)'!$A$2:$A$296,INT((ROW()-2)/10)+1)</f>
        <v>Calise</v>
      </c>
      <c r="B1413" s="2" t="str" cm="1">
        <f t="array" ref="B1413">INDEX('Whitelist (Blackout Reverse)'!$B$1:$K$1,MOD(ROW()-2,10)+1)</f>
        <v>PASSAIC</v>
      </c>
      <c r="C1413" s="2" t="str">
        <f>VLOOKUP(A1413,'[1]Brand Family Territory (Enc)'!$A$2:$B$296,2,FALSE)</f>
        <v>All Counties</v>
      </c>
      <c r="D1413" s="2">
        <f>IF(COUNTIFS('[1]Brand Family Territories (Enc)'!$B$2:$B$62,C1413,'[1]Brand Family Territories (Enc)'!$C$2:$C$62,B1413)&gt;0,1,IF(AND(LEFT(B1413,6)="MORRIS",COUNTIFS('[1]Brand Family Territories (Enc)'!$B$2:$B$62,C1413,'[1]Brand Family Territories (Enc)'!$C$2:$C$62,"Morri")&gt;0),"Unk",0))</f>
        <v>1</v>
      </c>
      <c r="E1413" s="2" t="str">
        <f>IFERROR(INDEX('Blackout Brand Fam Areas (Enc)'!$D$6:$D$998,MATCH(UPPER(A1413)&amp;"|"&amp;UPPER(B1413),'Blackout Brand Fam Areas (Enc)'!$G$6:$G$998,0)),"No Match")</f>
        <v>No Match</v>
      </c>
      <c r="F1413" s="2" t="str">
        <f t="shared" si="44"/>
        <v>US</v>
      </c>
      <c r="G1413" s="2" t="str">
        <f t="shared" si="45"/>
        <v>Calise|PASSAIC</v>
      </c>
    </row>
    <row r="1414" spans="1:7" x14ac:dyDescent="0.2">
      <c r="A1414" s="2" t="str" cm="1">
        <f t="array" ref="A1414">INDEX('[1]Brand Family Territory (Enc)'!$A$2:$A$296,INT((ROW()-2)/10)+1)</f>
        <v>Calise</v>
      </c>
      <c r="B1414" s="2" t="str" cm="1">
        <f t="array" ref="B1414">INDEX('Whitelist (Blackout Reverse)'!$B$1:$K$1,MOD(ROW()-2,10)+1)</f>
        <v>PASSAIC-FF</v>
      </c>
      <c r="C1414" s="2" t="str">
        <f>VLOOKUP(A1414,'[1]Brand Family Territory (Enc)'!$A$2:$B$296,2,FALSE)</f>
        <v>All Counties</v>
      </c>
      <c r="D1414" s="2">
        <f>IF(COUNTIFS('[1]Brand Family Territories (Enc)'!$B$2:$B$62,C1414,'[1]Brand Family Territories (Enc)'!$C$2:$C$62,B1414)&gt;0,1,IF(AND(LEFT(B1414,6)="MORRIS",COUNTIFS('[1]Brand Family Territories (Enc)'!$B$2:$B$62,C1414,'[1]Brand Family Territories (Enc)'!$C$2:$C$62,"Morri")&gt;0),"Unk",0))</f>
        <v>1</v>
      </c>
      <c r="E1414" s="2" t="str">
        <f>IFERROR(INDEX('Blackout Brand Fam Areas (Enc)'!$D$6:$D$998,MATCH(UPPER(A1414)&amp;"|"&amp;UPPER(B1414),'Blackout Brand Fam Areas (Enc)'!$G$6:$G$998,0)),"No Match")</f>
        <v>No Match</v>
      </c>
      <c r="F1414" s="2" t="str">
        <f t="shared" si="44"/>
        <v>US</v>
      </c>
      <c r="G1414" s="2" t="str">
        <f t="shared" si="45"/>
        <v>Calise|PASSAIC-FF</v>
      </c>
    </row>
    <row r="1415" spans="1:7" x14ac:dyDescent="0.2">
      <c r="A1415" s="2" t="str" cm="1">
        <f t="array" ref="A1415">INDEX('[1]Brand Family Territory (Enc)'!$A$2:$A$296,INT((ROW()-2)/10)+1)</f>
        <v>Calise</v>
      </c>
      <c r="B1415" s="2" t="str" cm="1">
        <f t="array" ref="B1415">INDEX('Whitelist (Blackout Reverse)'!$B$1:$K$1,MOD(ROW()-2,10)+1)</f>
        <v>ESSEX</v>
      </c>
      <c r="C1415" s="2" t="str">
        <f>VLOOKUP(A1415,'[1]Brand Family Territory (Enc)'!$A$2:$B$296,2,FALSE)</f>
        <v>All Counties</v>
      </c>
      <c r="D1415" s="2">
        <f>IF(COUNTIFS('[1]Brand Family Territories (Enc)'!$B$2:$B$62,C1415,'[1]Brand Family Territories (Enc)'!$C$2:$C$62,B1415)&gt;0,1,IF(AND(LEFT(B1415,6)="MORRIS",COUNTIFS('[1]Brand Family Territories (Enc)'!$B$2:$B$62,C1415,'[1]Brand Family Territories (Enc)'!$C$2:$C$62,"Morri")&gt;0),"Unk",0))</f>
        <v>1</v>
      </c>
      <c r="E1415" s="2" t="str">
        <f>IFERROR(INDEX('Blackout Brand Fam Areas (Enc)'!$D$6:$D$998,MATCH(UPPER(A1415)&amp;"|"&amp;UPPER(B1415),'Blackout Brand Fam Areas (Enc)'!$G$6:$G$998,0)),"No Match")</f>
        <v>No Match</v>
      </c>
      <c r="F1415" s="2" t="str">
        <f t="shared" si="44"/>
        <v>US</v>
      </c>
      <c r="G1415" s="2" t="str">
        <f t="shared" si="45"/>
        <v>Calise|ESSEX</v>
      </c>
    </row>
    <row r="1416" spans="1:7" x14ac:dyDescent="0.2">
      <c r="A1416" s="2" t="str" cm="1">
        <f t="array" ref="A1416">INDEX('[1]Brand Family Territory (Enc)'!$A$2:$A$296,INT((ROW()-2)/10)+1)</f>
        <v>Calise</v>
      </c>
      <c r="B1416" s="2" t="str" cm="1">
        <f t="array" ref="B1416">INDEX('Whitelist (Blackout Reverse)'!$B$1:$K$1,MOD(ROW()-2,10)+1)</f>
        <v>HUDSON</v>
      </c>
      <c r="C1416" s="2" t="str">
        <f>VLOOKUP(A1416,'[1]Brand Family Territory (Enc)'!$A$2:$B$296,2,FALSE)</f>
        <v>All Counties</v>
      </c>
      <c r="D1416" s="2">
        <f>IF(COUNTIFS('[1]Brand Family Territories (Enc)'!$B$2:$B$62,C1416,'[1]Brand Family Territories (Enc)'!$C$2:$C$62,B1416)&gt;0,1,IF(AND(LEFT(B1416,6)="MORRIS",COUNTIFS('[1]Brand Family Territories (Enc)'!$B$2:$B$62,C1416,'[1]Brand Family Territories (Enc)'!$C$2:$C$62,"Morri")&gt;0),"Unk",0))</f>
        <v>1</v>
      </c>
      <c r="E1416" s="2" t="str">
        <f>IFERROR(INDEX('Blackout Brand Fam Areas (Enc)'!$D$6:$D$998,MATCH(UPPER(A1416)&amp;"|"&amp;UPPER(B1416),'Blackout Brand Fam Areas (Enc)'!$G$6:$G$998,0)),"No Match")</f>
        <v>No Match</v>
      </c>
      <c r="F1416" s="2" t="str">
        <f t="shared" si="44"/>
        <v>US</v>
      </c>
      <c r="G1416" s="2" t="str">
        <f t="shared" si="45"/>
        <v>Calise|HUDSON</v>
      </c>
    </row>
    <row r="1417" spans="1:7" x14ac:dyDescent="0.2">
      <c r="A1417" s="2" t="str" cm="1">
        <f t="array" ref="A1417">INDEX('[1]Brand Family Territory (Enc)'!$A$2:$A$296,INT((ROW()-2)/10)+1)</f>
        <v>Calise</v>
      </c>
      <c r="B1417" s="2" t="str" cm="1">
        <f t="array" ref="B1417">INDEX('Whitelist (Blackout Reverse)'!$B$1:$K$1,MOD(ROW()-2,10)+1)</f>
        <v>UNION</v>
      </c>
      <c r="C1417" s="2" t="str">
        <f>VLOOKUP(A1417,'[1]Brand Family Territory (Enc)'!$A$2:$B$296,2,FALSE)</f>
        <v>All Counties</v>
      </c>
      <c r="D1417" s="2">
        <f>IF(COUNTIFS('[1]Brand Family Territories (Enc)'!$B$2:$B$62,C1417,'[1]Brand Family Territories (Enc)'!$C$2:$C$62,B1417)&gt;0,1,IF(AND(LEFT(B1417,6)="MORRIS",COUNTIFS('[1]Brand Family Territories (Enc)'!$B$2:$B$62,C1417,'[1]Brand Family Territories (Enc)'!$C$2:$C$62,"Morri")&gt;0),"Unk",0))</f>
        <v>1</v>
      </c>
      <c r="E1417" s="2" t="str">
        <f>IFERROR(INDEX('Blackout Brand Fam Areas (Enc)'!$D$6:$D$998,MATCH(UPPER(A1417)&amp;"|"&amp;UPPER(B1417),'Blackout Brand Fam Areas (Enc)'!$G$6:$G$998,0)),"No Match")</f>
        <v>No Match</v>
      </c>
      <c r="F1417" s="2" t="str">
        <f t="shared" si="44"/>
        <v>US</v>
      </c>
      <c r="G1417" s="2" t="str">
        <f t="shared" si="45"/>
        <v>Calise|UNION</v>
      </c>
    </row>
    <row r="1418" spans="1:7" x14ac:dyDescent="0.2">
      <c r="A1418" s="2" t="str" cm="1">
        <f t="array" ref="A1418">INDEX('[1]Brand Family Territory (Enc)'!$A$2:$A$296,INT((ROW()-2)/10)+1)</f>
        <v>Calise</v>
      </c>
      <c r="B1418" s="2" t="str" cm="1">
        <f t="array" ref="B1418">INDEX('Whitelist (Blackout Reverse)'!$B$1:$K$1,MOD(ROW()-2,10)+1)</f>
        <v>SUSSEX</v>
      </c>
      <c r="C1418" s="2" t="str">
        <f>VLOOKUP(A1418,'[1]Brand Family Territory (Enc)'!$A$2:$B$296,2,FALSE)</f>
        <v>All Counties</v>
      </c>
      <c r="D1418" s="2">
        <f>IF(COUNTIFS('[1]Brand Family Territories (Enc)'!$B$2:$B$62,C1418,'[1]Brand Family Territories (Enc)'!$C$2:$C$62,B1418)&gt;0,1,IF(AND(LEFT(B1418,6)="MORRIS",COUNTIFS('[1]Brand Family Territories (Enc)'!$B$2:$B$62,C1418,'[1]Brand Family Territories (Enc)'!$C$2:$C$62,"Morri")&gt;0),"Unk",0))</f>
        <v>1</v>
      </c>
      <c r="E1418" s="2" t="str">
        <f>IFERROR(INDEX('Blackout Brand Fam Areas (Enc)'!$D$6:$D$998,MATCH(UPPER(A1418)&amp;"|"&amp;UPPER(B1418),'Blackout Brand Fam Areas (Enc)'!$G$6:$G$998,0)),"No Match")</f>
        <v>No Match</v>
      </c>
      <c r="F1418" s="2" t="str">
        <f t="shared" si="44"/>
        <v>US</v>
      </c>
      <c r="G1418" s="2" t="str">
        <f t="shared" si="45"/>
        <v>Calise|SUSSEX</v>
      </c>
    </row>
    <row r="1419" spans="1:7" x14ac:dyDescent="0.2">
      <c r="A1419" s="2" t="str" cm="1">
        <f t="array" ref="A1419">INDEX('[1]Brand Family Territory (Enc)'!$A$2:$A$296,INT((ROW()-2)/10)+1)</f>
        <v>Calise</v>
      </c>
      <c r="B1419" s="2" t="str" cm="1">
        <f t="array" ref="B1419">INDEX('Whitelist (Blackout Reverse)'!$B$1:$K$1,MOD(ROW()-2,10)+1)</f>
        <v>MORRIS 1</v>
      </c>
      <c r="C1419" s="2" t="str">
        <f>VLOOKUP(A1419,'[1]Brand Family Territory (Enc)'!$A$2:$B$296,2,FALSE)</f>
        <v>All Counties</v>
      </c>
      <c r="D1419" s="2">
        <f>IF(COUNTIFS('[1]Brand Family Territories (Enc)'!$B$2:$B$62,C1419,'[1]Brand Family Territories (Enc)'!$C$2:$C$62,B1419)&gt;0,1,IF(AND(LEFT(B1419,6)="MORRIS",COUNTIFS('[1]Brand Family Territories (Enc)'!$B$2:$B$62,C1419,'[1]Brand Family Territories (Enc)'!$C$2:$C$62,"Morri")&gt;0),"Unk",0))</f>
        <v>1</v>
      </c>
      <c r="E1419" s="2" t="str">
        <f>IFERROR(INDEX('Blackout Brand Fam Areas (Enc)'!$D$6:$D$998,MATCH(UPPER(A1419)&amp;"|"&amp;UPPER(B1419),'Blackout Brand Fam Areas (Enc)'!$G$6:$G$998,0)),"No Match")</f>
        <v>No Match</v>
      </c>
      <c r="F1419" s="2" t="str">
        <f t="shared" si="44"/>
        <v>US</v>
      </c>
      <c r="G1419" s="2" t="str">
        <f t="shared" si="45"/>
        <v>Calise|MORRIS 1</v>
      </c>
    </row>
    <row r="1420" spans="1:7" x14ac:dyDescent="0.2">
      <c r="A1420" s="2" t="str" cm="1">
        <f t="array" ref="A1420">INDEX('[1]Brand Family Territory (Enc)'!$A$2:$A$296,INT((ROW()-2)/10)+1)</f>
        <v>Calise</v>
      </c>
      <c r="B1420" s="2" t="str" cm="1">
        <f t="array" ref="B1420">INDEX('Whitelist (Blackout Reverse)'!$B$1:$K$1,MOD(ROW()-2,10)+1)</f>
        <v>MORRIS 2</v>
      </c>
      <c r="C1420" s="2" t="str">
        <f>VLOOKUP(A1420,'[1]Brand Family Territory (Enc)'!$A$2:$B$296,2,FALSE)</f>
        <v>All Counties</v>
      </c>
      <c r="D1420" s="2">
        <f>IF(COUNTIFS('[1]Brand Family Territories (Enc)'!$B$2:$B$62,C1420,'[1]Brand Family Territories (Enc)'!$C$2:$C$62,B1420)&gt;0,1,IF(AND(LEFT(B1420,6)="MORRIS",COUNTIFS('[1]Brand Family Territories (Enc)'!$B$2:$B$62,C1420,'[1]Brand Family Territories (Enc)'!$C$2:$C$62,"Morri")&gt;0),"Unk",0))</f>
        <v>1</v>
      </c>
      <c r="E1420" s="2" t="str">
        <f>IFERROR(INDEX('Blackout Brand Fam Areas (Enc)'!$D$6:$D$998,MATCH(UPPER(A1420)&amp;"|"&amp;UPPER(B1420),'Blackout Brand Fam Areas (Enc)'!$G$6:$G$998,0)),"No Match")</f>
        <v>No Match</v>
      </c>
      <c r="F1420" s="2" t="str">
        <f t="shared" si="44"/>
        <v>US</v>
      </c>
      <c r="G1420" s="2" t="str">
        <f t="shared" si="45"/>
        <v>Calise|MORRIS 2</v>
      </c>
    </row>
    <row r="1421" spans="1:7" x14ac:dyDescent="0.2">
      <c r="A1421" s="2" t="str" cm="1">
        <f t="array" ref="A1421">INDEX('[1]Brand Family Territory (Enc)'!$A$2:$A$296,INT((ROW()-2)/10)+1)</f>
        <v>Calise</v>
      </c>
      <c r="B1421" s="2" t="str" cm="1">
        <f t="array" ref="B1421">INDEX('Whitelist (Blackout Reverse)'!$B$1:$K$1,MOD(ROW()-2,10)+1)</f>
        <v>MORRIS 3</v>
      </c>
      <c r="C1421" s="2" t="str">
        <f>VLOOKUP(A1421,'[1]Brand Family Territory (Enc)'!$A$2:$B$296,2,FALSE)</f>
        <v>All Counties</v>
      </c>
      <c r="D1421" s="2">
        <f>IF(COUNTIFS('[1]Brand Family Territories (Enc)'!$B$2:$B$62,C1421,'[1]Brand Family Territories (Enc)'!$C$2:$C$62,B1421)&gt;0,1,IF(AND(LEFT(B1421,6)="MORRIS",COUNTIFS('[1]Brand Family Territories (Enc)'!$B$2:$B$62,C1421,'[1]Brand Family Territories (Enc)'!$C$2:$C$62,"Morri")&gt;0),"Unk",0))</f>
        <v>1</v>
      </c>
      <c r="E1421" s="2" t="str">
        <f>IFERROR(INDEX('Blackout Brand Fam Areas (Enc)'!$D$6:$D$998,MATCH(UPPER(A1421)&amp;"|"&amp;UPPER(B1421),'Blackout Brand Fam Areas (Enc)'!$G$6:$G$998,0)),"No Match")</f>
        <v>No Match</v>
      </c>
      <c r="F1421" s="2" t="str">
        <f t="shared" si="44"/>
        <v>US</v>
      </c>
      <c r="G1421" s="2" t="str">
        <f t="shared" si="45"/>
        <v>Calise|MORRIS 3</v>
      </c>
    </row>
    <row r="1422" spans="1:7" x14ac:dyDescent="0.2">
      <c r="A1422" s="2" t="str" cm="1">
        <f t="array" ref="A1422">INDEX('[1]Brand Family Territory (Enc)'!$A$2:$A$296,INT((ROW()-2)/10)+1)</f>
        <v>Carib</v>
      </c>
      <c r="B1422" s="2" t="str" cm="1">
        <f t="array" ref="B1422">INDEX('Whitelist (Blackout Reverse)'!$B$1:$K$1,MOD(ROW()-2,10)+1)</f>
        <v>BERGEN</v>
      </c>
      <c r="C1422" s="2" t="str">
        <f>VLOOKUP(A1422,'[1]Brand Family Territory (Enc)'!$A$2:$B$296,2,FALSE)</f>
        <v>All Counties</v>
      </c>
      <c r="D1422" s="2">
        <f>IF(COUNTIFS('[1]Brand Family Territories (Enc)'!$B$2:$B$62,C1422,'[1]Brand Family Territories (Enc)'!$C$2:$C$62,B1422)&gt;0,1,IF(AND(LEFT(B1422,6)="MORRIS",COUNTIFS('[1]Brand Family Territories (Enc)'!$B$2:$B$62,C1422,'[1]Brand Family Territories (Enc)'!$C$2:$C$62,"Morri")&gt;0),"Unk",0))</f>
        <v>1</v>
      </c>
      <c r="E1422" s="2" t="str">
        <f>IFERROR(INDEX('Blackout Brand Fam Areas (Enc)'!$D$6:$D$998,MATCH(UPPER(A1422)&amp;"|"&amp;UPPER(B1422),'Blackout Brand Fam Areas (Enc)'!$G$6:$G$998,0)),"No Match")</f>
        <v>No Match</v>
      </c>
      <c r="F1422" s="2" t="str">
        <f t="shared" si="44"/>
        <v>US</v>
      </c>
      <c r="G1422" s="2" t="str">
        <f t="shared" si="45"/>
        <v>Carib|BERGEN</v>
      </c>
    </row>
    <row r="1423" spans="1:7" x14ac:dyDescent="0.2">
      <c r="A1423" s="2" t="str" cm="1">
        <f t="array" ref="A1423">INDEX('[1]Brand Family Territory (Enc)'!$A$2:$A$296,INT((ROW()-2)/10)+1)</f>
        <v>Carib</v>
      </c>
      <c r="B1423" s="2" t="str" cm="1">
        <f t="array" ref="B1423">INDEX('Whitelist (Blackout Reverse)'!$B$1:$K$1,MOD(ROW()-2,10)+1)</f>
        <v>PASSAIC</v>
      </c>
      <c r="C1423" s="2" t="str">
        <f>VLOOKUP(A1423,'[1]Brand Family Territory (Enc)'!$A$2:$B$296,2,FALSE)</f>
        <v>All Counties</v>
      </c>
      <c r="D1423" s="2">
        <f>IF(COUNTIFS('[1]Brand Family Territories (Enc)'!$B$2:$B$62,C1423,'[1]Brand Family Territories (Enc)'!$C$2:$C$62,B1423)&gt;0,1,IF(AND(LEFT(B1423,6)="MORRIS",COUNTIFS('[1]Brand Family Territories (Enc)'!$B$2:$B$62,C1423,'[1]Brand Family Territories (Enc)'!$C$2:$C$62,"Morri")&gt;0),"Unk",0))</f>
        <v>1</v>
      </c>
      <c r="E1423" s="2" t="str">
        <f>IFERROR(INDEX('Blackout Brand Fam Areas (Enc)'!$D$6:$D$998,MATCH(UPPER(A1423)&amp;"|"&amp;UPPER(B1423),'Blackout Brand Fam Areas (Enc)'!$G$6:$G$998,0)),"No Match")</f>
        <v>No Match</v>
      </c>
      <c r="F1423" s="2" t="str">
        <f t="shared" si="44"/>
        <v>US</v>
      </c>
      <c r="G1423" s="2" t="str">
        <f t="shared" si="45"/>
        <v>Carib|PASSAIC</v>
      </c>
    </row>
    <row r="1424" spans="1:7" x14ac:dyDescent="0.2">
      <c r="A1424" s="2" t="str" cm="1">
        <f t="array" ref="A1424">INDEX('[1]Brand Family Territory (Enc)'!$A$2:$A$296,INT((ROW()-2)/10)+1)</f>
        <v>Carib</v>
      </c>
      <c r="B1424" s="2" t="str" cm="1">
        <f t="array" ref="B1424">INDEX('Whitelist (Blackout Reverse)'!$B$1:$K$1,MOD(ROW()-2,10)+1)</f>
        <v>PASSAIC-FF</v>
      </c>
      <c r="C1424" s="2" t="str">
        <f>VLOOKUP(A1424,'[1]Brand Family Territory (Enc)'!$A$2:$B$296,2,FALSE)</f>
        <v>All Counties</v>
      </c>
      <c r="D1424" s="2">
        <f>IF(COUNTIFS('[1]Brand Family Territories (Enc)'!$B$2:$B$62,C1424,'[1]Brand Family Territories (Enc)'!$C$2:$C$62,B1424)&gt;0,1,IF(AND(LEFT(B1424,6)="MORRIS",COUNTIFS('[1]Brand Family Territories (Enc)'!$B$2:$B$62,C1424,'[1]Brand Family Territories (Enc)'!$C$2:$C$62,"Morri")&gt;0),"Unk",0))</f>
        <v>1</v>
      </c>
      <c r="E1424" s="2" t="str">
        <f>IFERROR(INDEX('Blackout Brand Fam Areas (Enc)'!$D$6:$D$998,MATCH(UPPER(A1424)&amp;"|"&amp;UPPER(B1424),'Blackout Brand Fam Areas (Enc)'!$G$6:$G$998,0)),"No Match")</f>
        <v>No Match</v>
      </c>
      <c r="F1424" s="2" t="str">
        <f t="shared" si="44"/>
        <v>US</v>
      </c>
      <c r="G1424" s="2" t="str">
        <f t="shared" si="45"/>
        <v>Carib|PASSAIC-FF</v>
      </c>
    </row>
    <row r="1425" spans="1:7" x14ac:dyDescent="0.2">
      <c r="A1425" s="2" t="str" cm="1">
        <f t="array" ref="A1425">INDEX('[1]Brand Family Territory (Enc)'!$A$2:$A$296,INT((ROW()-2)/10)+1)</f>
        <v>Carib</v>
      </c>
      <c r="B1425" s="2" t="str" cm="1">
        <f t="array" ref="B1425">INDEX('Whitelist (Blackout Reverse)'!$B$1:$K$1,MOD(ROW()-2,10)+1)</f>
        <v>ESSEX</v>
      </c>
      <c r="C1425" s="2" t="str">
        <f>VLOOKUP(A1425,'[1]Brand Family Territory (Enc)'!$A$2:$B$296,2,FALSE)</f>
        <v>All Counties</v>
      </c>
      <c r="D1425" s="2">
        <f>IF(COUNTIFS('[1]Brand Family Territories (Enc)'!$B$2:$B$62,C1425,'[1]Brand Family Territories (Enc)'!$C$2:$C$62,B1425)&gt;0,1,IF(AND(LEFT(B1425,6)="MORRIS",COUNTIFS('[1]Brand Family Territories (Enc)'!$B$2:$B$62,C1425,'[1]Brand Family Territories (Enc)'!$C$2:$C$62,"Morri")&gt;0),"Unk",0))</f>
        <v>1</v>
      </c>
      <c r="E1425" s="2" t="str">
        <f>IFERROR(INDEX('Blackout Brand Fam Areas (Enc)'!$D$6:$D$998,MATCH(UPPER(A1425)&amp;"|"&amp;UPPER(B1425),'Blackout Brand Fam Areas (Enc)'!$G$6:$G$998,0)),"No Match")</f>
        <v>No Match</v>
      </c>
      <c r="F1425" s="2" t="str">
        <f t="shared" si="44"/>
        <v>US</v>
      </c>
      <c r="G1425" s="2" t="str">
        <f t="shared" si="45"/>
        <v>Carib|ESSEX</v>
      </c>
    </row>
    <row r="1426" spans="1:7" x14ac:dyDescent="0.2">
      <c r="A1426" s="2" t="str" cm="1">
        <f t="array" ref="A1426">INDEX('[1]Brand Family Territory (Enc)'!$A$2:$A$296,INT((ROW()-2)/10)+1)</f>
        <v>Carib</v>
      </c>
      <c r="B1426" s="2" t="str" cm="1">
        <f t="array" ref="B1426">INDEX('Whitelist (Blackout Reverse)'!$B$1:$K$1,MOD(ROW()-2,10)+1)</f>
        <v>HUDSON</v>
      </c>
      <c r="C1426" s="2" t="str">
        <f>VLOOKUP(A1426,'[1]Brand Family Territory (Enc)'!$A$2:$B$296,2,FALSE)</f>
        <v>All Counties</v>
      </c>
      <c r="D1426" s="2">
        <f>IF(COUNTIFS('[1]Brand Family Territories (Enc)'!$B$2:$B$62,C1426,'[1]Brand Family Territories (Enc)'!$C$2:$C$62,B1426)&gt;0,1,IF(AND(LEFT(B1426,6)="MORRIS",COUNTIFS('[1]Brand Family Territories (Enc)'!$B$2:$B$62,C1426,'[1]Brand Family Territories (Enc)'!$C$2:$C$62,"Morri")&gt;0),"Unk",0))</f>
        <v>1</v>
      </c>
      <c r="E1426" s="2" t="str">
        <f>IFERROR(INDEX('Blackout Brand Fam Areas (Enc)'!$D$6:$D$998,MATCH(UPPER(A1426)&amp;"|"&amp;UPPER(B1426),'Blackout Brand Fam Areas (Enc)'!$G$6:$G$998,0)),"No Match")</f>
        <v>No Match</v>
      </c>
      <c r="F1426" s="2" t="str">
        <f t="shared" si="44"/>
        <v>US</v>
      </c>
      <c r="G1426" s="2" t="str">
        <f t="shared" si="45"/>
        <v>Carib|HUDSON</v>
      </c>
    </row>
    <row r="1427" spans="1:7" x14ac:dyDescent="0.2">
      <c r="A1427" s="2" t="str" cm="1">
        <f t="array" ref="A1427">INDEX('[1]Brand Family Territory (Enc)'!$A$2:$A$296,INT((ROW()-2)/10)+1)</f>
        <v>Carib</v>
      </c>
      <c r="B1427" s="2" t="str" cm="1">
        <f t="array" ref="B1427">INDEX('Whitelist (Blackout Reverse)'!$B$1:$K$1,MOD(ROW()-2,10)+1)</f>
        <v>UNION</v>
      </c>
      <c r="C1427" s="2" t="str">
        <f>VLOOKUP(A1427,'[1]Brand Family Territory (Enc)'!$A$2:$B$296,2,FALSE)</f>
        <v>All Counties</v>
      </c>
      <c r="D1427" s="2">
        <f>IF(COUNTIFS('[1]Brand Family Territories (Enc)'!$B$2:$B$62,C1427,'[1]Brand Family Territories (Enc)'!$C$2:$C$62,B1427)&gt;0,1,IF(AND(LEFT(B1427,6)="MORRIS",COUNTIFS('[1]Brand Family Territories (Enc)'!$B$2:$B$62,C1427,'[1]Brand Family Territories (Enc)'!$C$2:$C$62,"Morri")&gt;0),"Unk",0))</f>
        <v>1</v>
      </c>
      <c r="E1427" s="2" t="str">
        <f>IFERROR(INDEX('Blackout Brand Fam Areas (Enc)'!$D$6:$D$998,MATCH(UPPER(A1427)&amp;"|"&amp;UPPER(B1427),'Blackout Brand Fam Areas (Enc)'!$G$6:$G$998,0)),"No Match")</f>
        <v>No Match</v>
      </c>
      <c r="F1427" s="2" t="str">
        <f t="shared" si="44"/>
        <v>US</v>
      </c>
      <c r="G1427" s="2" t="str">
        <f t="shared" si="45"/>
        <v>Carib|UNION</v>
      </c>
    </row>
    <row r="1428" spans="1:7" x14ac:dyDescent="0.2">
      <c r="A1428" s="2" t="str" cm="1">
        <f t="array" ref="A1428">INDEX('[1]Brand Family Territory (Enc)'!$A$2:$A$296,INT((ROW()-2)/10)+1)</f>
        <v>Carib</v>
      </c>
      <c r="B1428" s="2" t="str" cm="1">
        <f t="array" ref="B1428">INDEX('Whitelist (Blackout Reverse)'!$B$1:$K$1,MOD(ROW()-2,10)+1)</f>
        <v>SUSSEX</v>
      </c>
      <c r="C1428" s="2" t="str">
        <f>VLOOKUP(A1428,'[1]Brand Family Territory (Enc)'!$A$2:$B$296,2,FALSE)</f>
        <v>All Counties</v>
      </c>
      <c r="D1428" s="2">
        <f>IF(COUNTIFS('[1]Brand Family Territories (Enc)'!$B$2:$B$62,C1428,'[1]Brand Family Territories (Enc)'!$C$2:$C$62,B1428)&gt;0,1,IF(AND(LEFT(B1428,6)="MORRIS",COUNTIFS('[1]Brand Family Territories (Enc)'!$B$2:$B$62,C1428,'[1]Brand Family Territories (Enc)'!$C$2:$C$62,"Morri")&gt;0),"Unk",0))</f>
        <v>1</v>
      </c>
      <c r="E1428" s="2" t="str">
        <f>IFERROR(INDEX('Blackout Brand Fam Areas (Enc)'!$D$6:$D$998,MATCH(UPPER(A1428)&amp;"|"&amp;UPPER(B1428),'Blackout Brand Fam Areas (Enc)'!$G$6:$G$998,0)),"No Match")</f>
        <v>No Match</v>
      </c>
      <c r="F1428" s="2" t="str">
        <f t="shared" si="44"/>
        <v>US</v>
      </c>
      <c r="G1428" s="2" t="str">
        <f t="shared" si="45"/>
        <v>Carib|SUSSEX</v>
      </c>
    </row>
    <row r="1429" spans="1:7" x14ac:dyDescent="0.2">
      <c r="A1429" s="2" t="str" cm="1">
        <f t="array" ref="A1429">INDEX('[1]Brand Family Territory (Enc)'!$A$2:$A$296,INT((ROW()-2)/10)+1)</f>
        <v>Carib</v>
      </c>
      <c r="B1429" s="2" t="str" cm="1">
        <f t="array" ref="B1429">INDEX('Whitelist (Blackout Reverse)'!$B$1:$K$1,MOD(ROW()-2,10)+1)</f>
        <v>MORRIS 1</v>
      </c>
      <c r="C1429" s="2" t="str">
        <f>VLOOKUP(A1429,'[1]Brand Family Territory (Enc)'!$A$2:$B$296,2,FALSE)</f>
        <v>All Counties</v>
      </c>
      <c r="D1429" s="2">
        <f>IF(COUNTIFS('[1]Brand Family Territories (Enc)'!$B$2:$B$62,C1429,'[1]Brand Family Territories (Enc)'!$C$2:$C$62,B1429)&gt;0,1,IF(AND(LEFT(B1429,6)="MORRIS",COUNTIFS('[1]Brand Family Territories (Enc)'!$B$2:$B$62,C1429,'[1]Brand Family Territories (Enc)'!$C$2:$C$62,"Morri")&gt;0),"Unk",0))</f>
        <v>1</v>
      </c>
      <c r="E1429" s="2" t="str">
        <f>IFERROR(INDEX('Blackout Brand Fam Areas (Enc)'!$D$6:$D$998,MATCH(UPPER(A1429)&amp;"|"&amp;UPPER(B1429),'Blackout Brand Fam Areas (Enc)'!$G$6:$G$998,0)),"No Match")</f>
        <v>No Match</v>
      </c>
      <c r="F1429" s="2" t="str">
        <f t="shared" si="44"/>
        <v>US</v>
      </c>
      <c r="G1429" s="2" t="str">
        <f t="shared" si="45"/>
        <v>Carib|MORRIS 1</v>
      </c>
    </row>
    <row r="1430" spans="1:7" x14ac:dyDescent="0.2">
      <c r="A1430" s="2" t="str" cm="1">
        <f t="array" ref="A1430">INDEX('[1]Brand Family Territory (Enc)'!$A$2:$A$296,INT((ROW()-2)/10)+1)</f>
        <v>Carib</v>
      </c>
      <c r="B1430" s="2" t="str" cm="1">
        <f t="array" ref="B1430">INDEX('Whitelist (Blackout Reverse)'!$B$1:$K$1,MOD(ROW()-2,10)+1)</f>
        <v>MORRIS 2</v>
      </c>
      <c r="C1430" s="2" t="str">
        <f>VLOOKUP(A1430,'[1]Brand Family Territory (Enc)'!$A$2:$B$296,2,FALSE)</f>
        <v>All Counties</v>
      </c>
      <c r="D1430" s="2">
        <f>IF(COUNTIFS('[1]Brand Family Territories (Enc)'!$B$2:$B$62,C1430,'[1]Brand Family Territories (Enc)'!$C$2:$C$62,B1430)&gt;0,1,IF(AND(LEFT(B1430,6)="MORRIS",COUNTIFS('[1]Brand Family Territories (Enc)'!$B$2:$B$62,C1430,'[1]Brand Family Territories (Enc)'!$C$2:$C$62,"Morri")&gt;0),"Unk",0))</f>
        <v>1</v>
      </c>
      <c r="E1430" s="2" t="str">
        <f>IFERROR(INDEX('Blackout Brand Fam Areas (Enc)'!$D$6:$D$998,MATCH(UPPER(A1430)&amp;"|"&amp;UPPER(B1430),'Blackout Brand Fam Areas (Enc)'!$G$6:$G$998,0)),"No Match")</f>
        <v>No Match</v>
      </c>
      <c r="F1430" s="2" t="str">
        <f t="shared" si="44"/>
        <v>US</v>
      </c>
      <c r="G1430" s="2" t="str">
        <f t="shared" si="45"/>
        <v>Carib|MORRIS 2</v>
      </c>
    </row>
    <row r="1431" spans="1:7" x14ac:dyDescent="0.2">
      <c r="A1431" s="2" t="str" cm="1">
        <f t="array" ref="A1431">INDEX('[1]Brand Family Territory (Enc)'!$A$2:$A$296,INT((ROW()-2)/10)+1)</f>
        <v>Carib</v>
      </c>
      <c r="B1431" s="2" t="str" cm="1">
        <f t="array" ref="B1431">INDEX('Whitelist (Blackout Reverse)'!$B$1:$K$1,MOD(ROW()-2,10)+1)</f>
        <v>MORRIS 3</v>
      </c>
      <c r="C1431" s="2" t="str">
        <f>VLOOKUP(A1431,'[1]Brand Family Territory (Enc)'!$A$2:$B$296,2,FALSE)</f>
        <v>All Counties</v>
      </c>
      <c r="D1431" s="2">
        <f>IF(COUNTIFS('[1]Brand Family Territories (Enc)'!$B$2:$B$62,C1431,'[1]Brand Family Territories (Enc)'!$C$2:$C$62,B1431)&gt;0,1,IF(AND(LEFT(B1431,6)="MORRIS",COUNTIFS('[1]Brand Family Territories (Enc)'!$B$2:$B$62,C1431,'[1]Brand Family Territories (Enc)'!$C$2:$C$62,"Morri")&gt;0),"Unk",0))</f>
        <v>1</v>
      </c>
      <c r="E1431" s="2" t="str">
        <f>IFERROR(INDEX('Blackout Brand Fam Areas (Enc)'!$D$6:$D$998,MATCH(UPPER(A1431)&amp;"|"&amp;UPPER(B1431),'Blackout Brand Fam Areas (Enc)'!$G$6:$G$998,0)),"No Match")</f>
        <v>No Match</v>
      </c>
      <c r="F1431" s="2" t="str">
        <f t="shared" si="44"/>
        <v>US</v>
      </c>
      <c r="G1431" s="2" t="str">
        <f t="shared" si="45"/>
        <v>Carib|MORRIS 3</v>
      </c>
    </row>
    <row r="1432" spans="1:7" x14ac:dyDescent="0.2">
      <c r="A1432" s="2" t="str" cm="1">
        <f t="array" ref="A1432">INDEX('[1]Brand Family Territory (Enc)'!$A$2:$A$296,INT((ROW()-2)/10)+1)</f>
        <v>Charro</v>
      </c>
      <c r="B1432" s="2" t="str" cm="1">
        <f t="array" ref="B1432">INDEX('Whitelist (Blackout Reverse)'!$B$1:$K$1,MOD(ROW()-2,10)+1)</f>
        <v>BERGEN</v>
      </c>
      <c r="C1432" s="2" t="str">
        <f>VLOOKUP(A1432,'[1]Brand Family Territory (Enc)'!$A$2:$B$296,2,FALSE)</f>
        <v>All Counties</v>
      </c>
      <c r="D1432" s="2">
        <f>IF(COUNTIFS('[1]Brand Family Territories (Enc)'!$B$2:$B$62,C1432,'[1]Brand Family Territories (Enc)'!$C$2:$C$62,B1432)&gt;0,1,IF(AND(LEFT(B1432,6)="MORRIS",COUNTIFS('[1]Brand Family Territories (Enc)'!$B$2:$B$62,C1432,'[1]Brand Family Territories (Enc)'!$C$2:$C$62,"Morri")&gt;0),"Unk",0))</f>
        <v>1</v>
      </c>
      <c r="E1432" s="2" t="str">
        <f>IFERROR(INDEX('Blackout Brand Fam Areas (Enc)'!$D$6:$D$998,MATCH(UPPER(A1432)&amp;"|"&amp;UPPER(B1432),'Blackout Brand Fam Areas (Enc)'!$G$6:$G$998,0)),"No Match")</f>
        <v>No Match</v>
      </c>
      <c r="F1432" s="2" t="str">
        <f t="shared" si="44"/>
        <v>US</v>
      </c>
      <c r="G1432" s="2" t="str">
        <f t="shared" si="45"/>
        <v>Charro|BERGEN</v>
      </c>
    </row>
    <row r="1433" spans="1:7" x14ac:dyDescent="0.2">
      <c r="A1433" s="2" t="str" cm="1">
        <f t="array" ref="A1433">INDEX('[1]Brand Family Territory (Enc)'!$A$2:$A$296,INT((ROW()-2)/10)+1)</f>
        <v>Charro</v>
      </c>
      <c r="B1433" s="2" t="str" cm="1">
        <f t="array" ref="B1433">INDEX('Whitelist (Blackout Reverse)'!$B$1:$K$1,MOD(ROW()-2,10)+1)</f>
        <v>PASSAIC</v>
      </c>
      <c r="C1433" s="2" t="str">
        <f>VLOOKUP(A1433,'[1]Brand Family Territory (Enc)'!$A$2:$B$296,2,FALSE)</f>
        <v>All Counties</v>
      </c>
      <c r="D1433" s="2">
        <f>IF(COUNTIFS('[1]Brand Family Territories (Enc)'!$B$2:$B$62,C1433,'[1]Brand Family Territories (Enc)'!$C$2:$C$62,B1433)&gt;0,1,IF(AND(LEFT(B1433,6)="MORRIS",COUNTIFS('[1]Brand Family Territories (Enc)'!$B$2:$B$62,C1433,'[1]Brand Family Territories (Enc)'!$C$2:$C$62,"Morri")&gt;0),"Unk",0))</f>
        <v>1</v>
      </c>
      <c r="E1433" s="2" t="str">
        <f>IFERROR(INDEX('Blackout Brand Fam Areas (Enc)'!$D$6:$D$998,MATCH(UPPER(A1433)&amp;"|"&amp;UPPER(B1433),'Blackout Brand Fam Areas (Enc)'!$G$6:$G$998,0)),"No Match")</f>
        <v>No Match</v>
      </c>
      <c r="F1433" s="2" t="str">
        <f t="shared" si="44"/>
        <v>US</v>
      </c>
      <c r="G1433" s="2" t="str">
        <f t="shared" si="45"/>
        <v>Charro|PASSAIC</v>
      </c>
    </row>
    <row r="1434" spans="1:7" x14ac:dyDescent="0.2">
      <c r="A1434" s="2" t="str" cm="1">
        <f t="array" ref="A1434">INDEX('[1]Brand Family Territory (Enc)'!$A$2:$A$296,INT((ROW()-2)/10)+1)</f>
        <v>Charro</v>
      </c>
      <c r="B1434" s="2" t="str" cm="1">
        <f t="array" ref="B1434">INDEX('Whitelist (Blackout Reverse)'!$B$1:$K$1,MOD(ROW()-2,10)+1)</f>
        <v>PASSAIC-FF</v>
      </c>
      <c r="C1434" s="2" t="str">
        <f>VLOOKUP(A1434,'[1]Brand Family Territory (Enc)'!$A$2:$B$296,2,FALSE)</f>
        <v>All Counties</v>
      </c>
      <c r="D1434" s="2">
        <f>IF(COUNTIFS('[1]Brand Family Territories (Enc)'!$B$2:$B$62,C1434,'[1]Brand Family Territories (Enc)'!$C$2:$C$62,B1434)&gt;0,1,IF(AND(LEFT(B1434,6)="MORRIS",COUNTIFS('[1]Brand Family Territories (Enc)'!$B$2:$B$62,C1434,'[1]Brand Family Territories (Enc)'!$C$2:$C$62,"Morri")&gt;0),"Unk",0))</f>
        <v>1</v>
      </c>
      <c r="E1434" s="2" t="str">
        <f>IFERROR(INDEX('Blackout Brand Fam Areas (Enc)'!$D$6:$D$998,MATCH(UPPER(A1434)&amp;"|"&amp;UPPER(B1434),'Blackout Brand Fam Areas (Enc)'!$G$6:$G$998,0)),"No Match")</f>
        <v>No Match</v>
      </c>
      <c r="F1434" s="2" t="str">
        <f t="shared" si="44"/>
        <v>US</v>
      </c>
      <c r="G1434" s="2" t="str">
        <f t="shared" si="45"/>
        <v>Charro|PASSAIC-FF</v>
      </c>
    </row>
    <row r="1435" spans="1:7" x14ac:dyDescent="0.2">
      <c r="A1435" s="2" t="str" cm="1">
        <f t="array" ref="A1435">INDEX('[1]Brand Family Territory (Enc)'!$A$2:$A$296,INT((ROW()-2)/10)+1)</f>
        <v>Charro</v>
      </c>
      <c r="B1435" s="2" t="str" cm="1">
        <f t="array" ref="B1435">INDEX('Whitelist (Blackout Reverse)'!$B$1:$K$1,MOD(ROW()-2,10)+1)</f>
        <v>ESSEX</v>
      </c>
      <c r="C1435" s="2" t="str">
        <f>VLOOKUP(A1435,'[1]Brand Family Territory (Enc)'!$A$2:$B$296,2,FALSE)</f>
        <v>All Counties</v>
      </c>
      <c r="D1435" s="2">
        <f>IF(COUNTIFS('[1]Brand Family Territories (Enc)'!$B$2:$B$62,C1435,'[1]Brand Family Territories (Enc)'!$C$2:$C$62,B1435)&gt;0,1,IF(AND(LEFT(B1435,6)="MORRIS",COUNTIFS('[1]Brand Family Territories (Enc)'!$B$2:$B$62,C1435,'[1]Brand Family Territories (Enc)'!$C$2:$C$62,"Morri")&gt;0),"Unk",0))</f>
        <v>1</v>
      </c>
      <c r="E1435" s="2" t="str">
        <f>IFERROR(INDEX('Blackout Brand Fam Areas (Enc)'!$D$6:$D$998,MATCH(UPPER(A1435)&amp;"|"&amp;UPPER(B1435),'Blackout Brand Fam Areas (Enc)'!$G$6:$G$998,0)),"No Match")</f>
        <v>No Match</v>
      </c>
      <c r="F1435" s="2" t="str">
        <f t="shared" si="44"/>
        <v>US</v>
      </c>
      <c r="G1435" s="2" t="str">
        <f t="shared" si="45"/>
        <v>Charro|ESSEX</v>
      </c>
    </row>
    <row r="1436" spans="1:7" x14ac:dyDescent="0.2">
      <c r="A1436" s="2" t="str" cm="1">
        <f t="array" ref="A1436">INDEX('[1]Brand Family Territory (Enc)'!$A$2:$A$296,INT((ROW()-2)/10)+1)</f>
        <v>Charro</v>
      </c>
      <c r="B1436" s="2" t="str" cm="1">
        <f t="array" ref="B1436">INDEX('Whitelist (Blackout Reverse)'!$B$1:$K$1,MOD(ROW()-2,10)+1)</f>
        <v>HUDSON</v>
      </c>
      <c r="C1436" s="2" t="str">
        <f>VLOOKUP(A1436,'[1]Brand Family Territory (Enc)'!$A$2:$B$296,2,FALSE)</f>
        <v>All Counties</v>
      </c>
      <c r="D1436" s="2">
        <f>IF(COUNTIFS('[1]Brand Family Territories (Enc)'!$B$2:$B$62,C1436,'[1]Brand Family Territories (Enc)'!$C$2:$C$62,B1436)&gt;0,1,IF(AND(LEFT(B1436,6)="MORRIS",COUNTIFS('[1]Brand Family Territories (Enc)'!$B$2:$B$62,C1436,'[1]Brand Family Territories (Enc)'!$C$2:$C$62,"Morri")&gt;0),"Unk",0))</f>
        <v>1</v>
      </c>
      <c r="E1436" s="2" t="str">
        <f>IFERROR(INDEX('Blackout Brand Fam Areas (Enc)'!$D$6:$D$998,MATCH(UPPER(A1436)&amp;"|"&amp;UPPER(B1436),'Blackout Brand Fam Areas (Enc)'!$G$6:$G$998,0)),"No Match")</f>
        <v>No Match</v>
      </c>
      <c r="F1436" s="2" t="str">
        <f t="shared" si="44"/>
        <v>US</v>
      </c>
      <c r="G1436" s="2" t="str">
        <f t="shared" si="45"/>
        <v>Charro|HUDSON</v>
      </c>
    </row>
    <row r="1437" spans="1:7" x14ac:dyDescent="0.2">
      <c r="A1437" s="2" t="str" cm="1">
        <f t="array" ref="A1437">INDEX('[1]Brand Family Territory (Enc)'!$A$2:$A$296,INT((ROW()-2)/10)+1)</f>
        <v>Charro</v>
      </c>
      <c r="B1437" s="2" t="str" cm="1">
        <f t="array" ref="B1437">INDEX('Whitelist (Blackout Reverse)'!$B$1:$K$1,MOD(ROW()-2,10)+1)</f>
        <v>UNION</v>
      </c>
      <c r="C1437" s="2" t="str">
        <f>VLOOKUP(A1437,'[1]Brand Family Territory (Enc)'!$A$2:$B$296,2,FALSE)</f>
        <v>All Counties</v>
      </c>
      <c r="D1437" s="2">
        <f>IF(COUNTIFS('[1]Brand Family Territories (Enc)'!$B$2:$B$62,C1437,'[1]Brand Family Territories (Enc)'!$C$2:$C$62,B1437)&gt;0,1,IF(AND(LEFT(B1437,6)="MORRIS",COUNTIFS('[1]Brand Family Territories (Enc)'!$B$2:$B$62,C1437,'[1]Brand Family Territories (Enc)'!$C$2:$C$62,"Morri")&gt;0),"Unk",0))</f>
        <v>1</v>
      </c>
      <c r="E1437" s="2" t="str">
        <f>IFERROR(INDEX('Blackout Brand Fam Areas (Enc)'!$D$6:$D$998,MATCH(UPPER(A1437)&amp;"|"&amp;UPPER(B1437),'Blackout Brand Fam Areas (Enc)'!$G$6:$G$998,0)),"No Match")</f>
        <v>No Match</v>
      </c>
      <c r="F1437" s="2" t="str">
        <f t="shared" si="44"/>
        <v>US</v>
      </c>
      <c r="G1437" s="2" t="str">
        <f t="shared" si="45"/>
        <v>Charro|UNION</v>
      </c>
    </row>
    <row r="1438" spans="1:7" x14ac:dyDescent="0.2">
      <c r="A1438" s="2" t="str" cm="1">
        <f t="array" ref="A1438">INDEX('[1]Brand Family Territory (Enc)'!$A$2:$A$296,INT((ROW()-2)/10)+1)</f>
        <v>Charro</v>
      </c>
      <c r="B1438" s="2" t="str" cm="1">
        <f t="array" ref="B1438">INDEX('Whitelist (Blackout Reverse)'!$B$1:$K$1,MOD(ROW()-2,10)+1)</f>
        <v>SUSSEX</v>
      </c>
      <c r="C1438" s="2" t="str">
        <f>VLOOKUP(A1438,'[1]Brand Family Territory (Enc)'!$A$2:$B$296,2,FALSE)</f>
        <v>All Counties</v>
      </c>
      <c r="D1438" s="2">
        <f>IF(COUNTIFS('[1]Brand Family Territories (Enc)'!$B$2:$B$62,C1438,'[1]Brand Family Territories (Enc)'!$C$2:$C$62,B1438)&gt;0,1,IF(AND(LEFT(B1438,6)="MORRIS",COUNTIFS('[1]Brand Family Territories (Enc)'!$B$2:$B$62,C1438,'[1]Brand Family Territories (Enc)'!$C$2:$C$62,"Morri")&gt;0),"Unk",0))</f>
        <v>1</v>
      </c>
      <c r="E1438" s="2" t="str">
        <f>IFERROR(INDEX('Blackout Brand Fam Areas (Enc)'!$D$6:$D$998,MATCH(UPPER(A1438)&amp;"|"&amp;UPPER(B1438),'Blackout Brand Fam Areas (Enc)'!$G$6:$G$998,0)),"No Match")</f>
        <v>No Match</v>
      </c>
      <c r="F1438" s="2" t="str">
        <f t="shared" si="44"/>
        <v>US</v>
      </c>
      <c r="G1438" s="2" t="str">
        <f t="shared" si="45"/>
        <v>Charro|SUSSEX</v>
      </c>
    </row>
    <row r="1439" spans="1:7" x14ac:dyDescent="0.2">
      <c r="A1439" s="2" t="str" cm="1">
        <f t="array" ref="A1439">INDEX('[1]Brand Family Territory (Enc)'!$A$2:$A$296,INT((ROW()-2)/10)+1)</f>
        <v>Charro</v>
      </c>
      <c r="B1439" s="2" t="str" cm="1">
        <f t="array" ref="B1439">INDEX('Whitelist (Blackout Reverse)'!$B$1:$K$1,MOD(ROW()-2,10)+1)</f>
        <v>MORRIS 1</v>
      </c>
      <c r="C1439" s="2" t="str">
        <f>VLOOKUP(A1439,'[1]Brand Family Territory (Enc)'!$A$2:$B$296,2,FALSE)</f>
        <v>All Counties</v>
      </c>
      <c r="D1439" s="2">
        <f>IF(COUNTIFS('[1]Brand Family Territories (Enc)'!$B$2:$B$62,C1439,'[1]Brand Family Territories (Enc)'!$C$2:$C$62,B1439)&gt;0,1,IF(AND(LEFT(B1439,6)="MORRIS",COUNTIFS('[1]Brand Family Territories (Enc)'!$B$2:$B$62,C1439,'[1]Brand Family Territories (Enc)'!$C$2:$C$62,"Morri")&gt;0),"Unk",0))</f>
        <v>1</v>
      </c>
      <c r="E1439" s="2" t="str">
        <f>IFERROR(INDEX('Blackout Brand Fam Areas (Enc)'!$D$6:$D$998,MATCH(UPPER(A1439)&amp;"|"&amp;UPPER(B1439),'Blackout Brand Fam Areas (Enc)'!$G$6:$G$998,0)),"No Match")</f>
        <v>No Match</v>
      </c>
      <c r="F1439" s="2" t="str">
        <f t="shared" si="44"/>
        <v>US</v>
      </c>
      <c r="G1439" s="2" t="str">
        <f t="shared" si="45"/>
        <v>Charro|MORRIS 1</v>
      </c>
    </row>
    <row r="1440" spans="1:7" x14ac:dyDescent="0.2">
      <c r="A1440" s="2" t="str" cm="1">
        <f t="array" ref="A1440">INDEX('[1]Brand Family Territory (Enc)'!$A$2:$A$296,INT((ROW()-2)/10)+1)</f>
        <v>Charro</v>
      </c>
      <c r="B1440" s="2" t="str" cm="1">
        <f t="array" ref="B1440">INDEX('Whitelist (Blackout Reverse)'!$B$1:$K$1,MOD(ROW()-2,10)+1)</f>
        <v>MORRIS 2</v>
      </c>
      <c r="C1440" s="2" t="str">
        <f>VLOOKUP(A1440,'[1]Brand Family Territory (Enc)'!$A$2:$B$296,2,FALSE)</f>
        <v>All Counties</v>
      </c>
      <c r="D1440" s="2">
        <f>IF(COUNTIFS('[1]Brand Family Territories (Enc)'!$B$2:$B$62,C1440,'[1]Brand Family Territories (Enc)'!$C$2:$C$62,B1440)&gt;0,1,IF(AND(LEFT(B1440,6)="MORRIS",COUNTIFS('[1]Brand Family Territories (Enc)'!$B$2:$B$62,C1440,'[1]Brand Family Territories (Enc)'!$C$2:$C$62,"Morri")&gt;0),"Unk",0))</f>
        <v>1</v>
      </c>
      <c r="E1440" s="2" t="str">
        <f>IFERROR(INDEX('Blackout Brand Fam Areas (Enc)'!$D$6:$D$998,MATCH(UPPER(A1440)&amp;"|"&amp;UPPER(B1440),'Blackout Brand Fam Areas (Enc)'!$G$6:$G$998,0)),"No Match")</f>
        <v>No Match</v>
      </c>
      <c r="F1440" s="2" t="str">
        <f t="shared" si="44"/>
        <v>US</v>
      </c>
      <c r="G1440" s="2" t="str">
        <f t="shared" si="45"/>
        <v>Charro|MORRIS 2</v>
      </c>
    </row>
    <row r="1441" spans="1:7" x14ac:dyDescent="0.2">
      <c r="A1441" s="2" t="str" cm="1">
        <f t="array" ref="A1441">INDEX('[1]Brand Family Territory (Enc)'!$A$2:$A$296,INT((ROW()-2)/10)+1)</f>
        <v>Charro</v>
      </c>
      <c r="B1441" s="2" t="str" cm="1">
        <f t="array" ref="B1441">INDEX('Whitelist (Blackout Reverse)'!$B$1:$K$1,MOD(ROW()-2,10)+1)</f>
        <v>MORRIS 3</v>
      </c>
      <c r="C1441" s="2" t="str">
        <f>VLOOKUP(A1441,'[1]Brand Family Territory (Enc)'!$A$2:$B$296,2,FALSE)</f>
        <v>All Counties</v>
      </c>
      <c r="D1441" s="2">
        <f>IF(COUNTIFS('[1]Brand Family Territories (Enc)'!$B$2:$B$62,C1441,'[1]Brand Family Territories (Enc)'!$C$2:$C$62,B1441)&gt;0,1,IF(AND(LEFT(B1441,6)="MORRIS",COUNTIFS('[1]Brand Family Territories (Enc)'!$B$2:$B$62,C1441,'[1]Brand Family Territories (Enc)'!$C$2:$C$62,"Morri")&gt;0),"Unk",0))</f>
        <v>1</v>
      </c>
      <c r="E1441" s="2" t="str">
        <f>IFERROR(INDEX('Blackout Brand Fam Areas (Enc)'!$D$6:$D$998,MATCH(UPPER(A1441)&amp;"|"&amp;UPPER(B1441),'Blackout Brand Fam Areas (Enc)'!$G$6:$G$998,0)),"No Match")</f>
        <v>No Match</v>
      </c>
      <c r="F1441" s="2" t="str">
        <f t="shared" si="44"/>
        <v>US</v>
      </c>
      <c r="G1441" s="2" t="str">
        <f t="shared" si="45"/>
        <v>Charro|MORRIS 3</v>
      </c>
    </row>
    <row r="1442" spans="1:7" x14ac:dyDescent="0.2">
      <c r="A1442" s="2" t="str" cm="1">
        <f t="array" ref="A1442">INDEX('[1]Brand Family Territory (Enc)'!$A$2:$A$296,INT((ROW()-2)/10)+1)</f>
        <v>Chateau Diana</v>
      </c>
      <c r="B1442" s="2" t="str" cm="1">
        <f t="array" ref="B1442">INDEX('Whitelist (Blackout Reverse)'!$B$1:$K$1,MOD(ROW()-2,10)+1)</f>
        <v>BERGEN</v>
      </c>
      <c r="C1442" s="2" t="str">
        <f>VLOOKUP(A1442,'[1]Brand Family Territory (Enc)'!$A$2:$B$296,2,FALSE)</f>
        <v>All Counties</v>
      </c>
      <c r="D1442" s="2">
        <f>IF(COUNTIFS('[1]Brand Family Territories (Enc)'!$B$2:$B$62,C1442,'[1]Brand Family Territories (Enc)'!$C$2:$C$62,B1442)&gt;0,1,IF(AND(LEFT(B1442,6)="MORRIS",COUNTIFS('[1]Brand Family Territories (Enc)'!$B$2:$B$62,C1442,'[1]Brand Family Territories (Enc)'!$C$2:$C$62,"Morri")&gt;0),"Unk",0))</f>
        <v>1</v>
      </c>
      <c r="E1442" s="2" t="str">
        <f>IFERROR(INDEX('Blackout Brand Fam Areas (Enc)'!$D$6:$D$998,MATCH(UPPER(A1442)&amp;"|"&amp;UPPER(B1442),'Blackout Brand Fam Areas (Enc)'!$G$6:$G$998,0)),"No Match")</f>
        <v>No Match</v>
      </c>
      <c r="F1442" s="2" t="str">
        <f t="shared" si="44"/>
        <v>US</v>
      </c>
      <c r="G1442" s="2" t="str">
        <f t="shared" si="45"/>
        <v>Chateau Diana|BERGEN</v>
      </c>
    </row>
    <row r="1443" spans="1:7" x14ac:dyDescent="0.2">
      <c r="A1443" s="2" t="str" cm="1">
        <f t="array" ref="A1443">INDEX('[1]Brand Family Territory (Enc)'!$A$2:$A$296,INT((ROW()-2)/10)+1)</f>
        <v>Chateau Diana</v>
      </c>
      <c r="B1443" s="2" t="str" cm="1">
        <f t="array" ref="B1443">INDEX('Whitelist (Blackout Reverse)'!$B$1:$K$1,MOD(ROW()-2,10)+1)</f>
        <v>PASSAIC</v>
      </c>
      <c r="C1443" s="2" t="str">
        <f>VLOOKUP(A1443,'[1]Brand Family Territory (Enc)'!$A$2:$B$296,2,FALSE)</f>
        <v>All Counties</v>
      </c>
      <c r="D1443" s="2">
        <f>IF(COUNTIFS('[1]Brand Family Territories (Enc)'!$B$2:$B$62,C1443,'[1]Brand Family Territories (Enc)'!$C$2:$C$62,B1443)&gt;0,1,IF(AND(LEFT(B1443,6)="MORRIS",COUNTIFS('[1]Brand Family Territories (Enc)'!$B$2:$B$62,C1443,'[1]Brand Family Territories (Enc)'!$C$2:$C$62,"Morri")&gt;0),"Unk",0))</f>
        <v>1</v>
      </c>
      <c r="E1443" s="2" t="str">
        <f>IFERROR(INDEX('Blackout Brand Fam Areas (Enc)'!$D$6:$D$998,MATCH(UPPER(A1443)&amp;"|"&amp;UPPER(B1443),'Blackout Brand Fam Areas (Enc)'!$G$6:$G$998,0)),"No Match")</f>
        <v>No Match</v>
      </c>
      <c r="F1443" s="2" t="str">
        <f t="shared" si="44"/>
        <v>US</v>
      </c>
      <c r="G1443" s="2" t="str">
        <f t="shared" si="45"/>
        <v>Chateau Diana|PASSAIC</v>
      </c>
    </row>
    <row r="1444" spans="1:7" x14ac:dyDescent="0.2">
      <c r="A1444" s="2" t="str" cm="1">
        <f t="array" ref="A1444">INDEX('[1]Brand Family Territory (Enc)'!$A$2:$A$296,INT((ROW()-2)/10)+1)</f>
        <v>Chateau Diana</v>
      </c>
      <c r="B1444" s="2" t="str" cm="1">
        <f t="array" ref="B1444">INDEX('Whitelist (Blackout Reverse)'!$B$1:$K$1,MOD(ROW()-2,10)+1)</f>
        <v>PASSAIC-FF</v>
      </c>
      <c r="C1444" s="2" t="str">
        <f>VLOOKUP(A1444,'[1]Brand Family Territory (Enc)'!$A$2:$B$296,2,FALSE)</f>
        <v>All Counties</v>
      </c>
      <c r="D1444" s="2">
        <f>IF(COUNTIFS('[1]Brand Family Territories (Enc)'!$B$2:$B$62,C1444,'[1]Brand Family Territories (Enc)'!$C$2:$C$62,B1444)&gt;0,1,IF(AND(LEFT(B1444,6)="MORRIS",COUNTIFS('[1]Brand Family Territories (Enc)'!$B$2:$B$62,C1444,'[1]Brand Family Territories (Enc)'!$C$2:$C$62,"Morri")&gt;0),"Unk",0))</f>
        <v>1</v>
      </c>
      <c r="E1444" s="2" t="str">
        <f>IFERROR(INDEX('Blackout Brand Fam Areas (Enc)'!$D$6:$D$998,MATCH(UPPER(A1444)&amp;"|"&amp;UPPER(B1444),'Blackout Brand Fam Areas (Enc)'!$G$6:$G$998,0)),"No Match")</f>
        <v>No Match</v>
      </c>
      <c r="F1444" s="2" t="str">
        <f t="shared" si="44"/>
        <v>US</v>
      </c>
      <c r="G1444" s="2" t="str">
        <f t="shared" si="45"/>
        <v>Chateau Diana|PASSAIC-FF</v>
      </c>
    </row>
    <row r="1445" spans="1:7" x14ac:dyDescent="0.2">
      <c r="A1445" s="2" t="str" cm="1">
        <f t="array" ref="A1445">INDEX('[1]Brand Family Territory (Enc)'!$A$2:$A$296,INT((ROW()-2)/10)+1)</f>
        <v>Chateau Diana</v>
      </c>
      <c r="B1445" s="2" t="str" cm="1">
        <f t="array" ref="B1445">INDEX('Whitelist (Blackout Reverse)'!$B$1:$K$1,MOD(ROW()-2,10)+1)</f>
        <v>ESSEX</v>
      </c>
      <c r="C1445" s="2" t="str">
        <f>VLOOKUP(A1445,'[1]Brand Family Territory (Enc)'!$A$2:$B$296,2,FALSE)</f>
        <v>All Counties</v>
      </c>
      <c r="D1445" s="2">
        <f>IF(COUNTIFS('[1]Brand Family Territories (Enc)'!$B$2:$B$62,C1445,'[1]Brand Family Territories (Enc)'!$C$2:$C$62,B1445)&gt;0,1,IF(AND(LEFT(B1445,6)="MORRIS",COUNTIFS('[1]Brand Family Territories (Enc)'!$B$2:$B$62,C1445,'[1]Brand Family Territories (Enc)'!$C$2:$C$62,"Morri")&gt;0),"Unk",0))</f>
        <v>1</v>
      </c>
      <c r="E1445" s="2" t="str">
        <f>IFERROR(INDEX('Blackout Brand Fam Areas (Enc)'!$D$6:$D$998,MATCH(UPPER(A1445)&amp;"|"&amp;UPPER(B1445),'Blackout Brand Fam Areas (Enc)'!$G$6:$G$998,0)),"No Match")</f>
        <v>No Match</v>
      </c>
      <c r="F1445" s="2" t="str">
        <f t="shared" si="44"/>
        <v>US</v>
      </c>
      <c r="G1445" s="2" t="str">
        <f t="shared" si="45"/>
        <v>Chateau Diana|ESSEX</v>
      </c>
    </row>
    <row r="1446" spans="1:7" x14ac:dyDescent="0.2">
      <c r="A1446" s="2" t="str" cm="1">
        <f t="array" ref="A1446">INDEX('[1]Brand Family Territory (Enc)'!$A$2:$A$296,INT((ROW()-2)/10)+1)</f>
        <v>Chateau Diana</v>
      </c>
      <c r="B1446" s="2" t="str" cm="1">
        <f t="array" ref="B1446">INDEX('Whitelist (Blackout Reverse)'!$B$1:$K$1,MOD(ROW()-2,10)+1)</f>
        <v>HUDSON</v>
      </c>
      <c r="C1446" s="2" t="str">
        <f>VLOOKUP(A1446,'[1]Brand Family Territory (Enc)'!$A$2:$B$296,2,FALSE)</f>
        <v>All Counties</v>
      </c>
      <c r="D1446" s="2">
        <f>IF(COUNTIFS('[1]Brand Family Territories (Enc)'!$B$2:$B$62,C1446,'[1]Brand Family Territories (Enc)'!$C$2:$C$62,B1446)&gt;0,1,IF(AND(LEFT(B1446,6)="MORRIS",COUNTIFS('[1]Brand Family Territories (Enc)'!$B$2:$B$62,C1446,'[1]Brand Family Territories (Enc)'!$C$2:$C$62,"Morri")&gt;0),"Unk",0))</f>
        <v>1</v>
      </c>
      <c r="E1446" s="2" t="str">
        <f>IFERROR(INDEX('Blackout Brand Fam Areas (Enc)'!$D$6:$D$998,MATCH(UPPER(A1446)&amp;"|"&amp;UPPER(B1446),'Blackout Brand Fam Areas (Enc)'!$G$6:$G$998,0)),"No Match")</f>
        <v>No Match</v>
      </c>
      <c r="F1446" s="2" t="str">
        <f t="shared" si="44"/>
        <v>US</v>
      </c>
      <c r="G1446" s="2" t="str">
        <f t="shared" si="45"/>
        <v>Chateau Diana|HUDSON</v>
      </c>
    </row>
    <row r="1447" spans="1:7" x14ac:dyDescent="0.2">
      <c r="A1447" s="2" t="str" cm="1">
        <f t="array" ref="A1447">INDEX('[1]Brand Family Territory (Enc)'!$A$2:$A$296,INT((ROW()-2)/10)+1)</f>
        <v>Chateau Diana</v>
      </c>
      <c r="B1447" s="2" t="str" cm="1">
        <f t="array" ref="B1447">INDEX('Whitelist (Blackout Reverse)'!$B$1:$K$1,MOD(ROW()-2,10)+1)</f>
        <v>UNION</v>
      </c>
      <c r="C1447" s="2" t="str">
        <f>VLOOKUP(A1447,'[1]Brand Family Territory (Enc)'!$A$2:$B$296,2,FALSE)</f>
        <v>All Counties</v>
      </c>
      <c r="D1447" s="2">
        <f>IF(COUNTIFS('[1]Brand Family Territories (Enc)'!$B$2:$B$62,C1447,'[1]Brand Family Territories (Enc)'!$C$2:$C$62,B1447)&gt;0,1,IF(AND(LEFT(B1447,6)="MORRIS",COUNTIFS('[1]Brand Family Territories (Enc)'!$B$2:$B$62,C1447,'[1]Brand Family Territories (Enc)'!$C$2:$C$62,"Morri")&gt;0),"Unk",0))</f>
        <v>1</v>
      </c>
      <c r="E1447" s="2" t="str">
        <f>IFERROR(INDEX('Blackout Brand Fam Areas (Enc)'!$D$6:$D$998,MATCH(UPPER(A1447)&amp;"|"&amp;UPPER(B1447),'Blackout Brand Fam Areas (Enc)'!$G$6:$G$998,0)),"No Match")</f>
        <v>No Match</v>
      </c>
      <c r="F1447" s="2" t="str">
        <f t="shared" si="44"/>
        <v>US</v>
      </c>
      <c r="G1447" s="2" t="str">
        <f t="shared" si="45"/>
        <v>Chateau Diana|UNION</v>
      </c>
    </row>
    <row r="1448" spans="1:7" x14ac:dyDescent="0.2">
      <c r="A1448" s="2" t="str" cm="1">
        <f t="array" ref="A1448">INDEX('[1]Brand Family Territory (Enc)'!$A$2:$A$296,INT((ROW()-2)/10)+1)</f>
        <v>Chateau Diana</v>
      </c>
      <c r="B1448" s="2" t="str" cm="1">
        <f t="array" ref="B1448">INDEX('Whitelist (Blackout Reverse)'!$B$1:$K$1,MOD(ROW()-2,10)+1)</f>
        <v>SUSSEX</v>
      </c>
      <c r="C1448" s="2" t="str">
        <f>VLOOKUP(A1448,'[1]Brand Family Territory (Enc)'!$A$2:$B$296,2,FALSE)</f>
        <v>All Counties</v>
      </c>
      <c r="D1448" s="2">
        <f>IF(COUNTIFS('[1]Brand Family Territories (Enc)'!$B$2:$B$62,C1448,'[1]Brand Family Territories (Enc)'!$C$2:$C$62,B1448)&gt;0,1,IF(AND(LEFT(B1448,6)="MORRIS",COUNTIFS('[1]Brand Family Territories (Enc)'!$B$2:$B$62,C1448,'[1]Brand Family Territories (Enc)'!$C$2:$C$62,"Morri")&gt;0),"Unk",0))</f>
        <v>1</v>
      </c>
      <c r="E1448" s="2" t="str">
        <f>IFERROR(INDEX('Blackout Brand Fam Areas (Enc)'!$D$6:$D$998,MATCH(UPPER(A1448)&amp;"|"&amp;UPPER(B1448),'Blackout Brand Fam Areas (Enc)'!$G$6:$G$998,0)),"No Match")</f>
        <v>No Match</v>
      </c>
      <c r="F1448" s="2" t="str">
        <f t="shared" si="44"/>
        <v>US</v>
      </c>
      <c r="G1448" s="2" t="str">
        <f t="shared" si="45"/>
        <v>Chateau Diana|SUSSEX</v>
      </c>
    </row>
    <row r="1449" spans="1:7" x14ac:dyDescent="0.2">
      <c r="A1449" s="2" t="str" cm="1">
        <f t="array" ref="A1449">INDEX('[1]Brand Family Territory (Enc)'!$A$2:$A$296,INT((ROW()-2)/10)+1)</f>
        <v>Chateau Diana</v>
      </c>
      <c r="B1449" s="2" t="str" cm="1">
        <f t="array" ref="B1449">INDEX('Whitelist (Blackout Reverse)'!$B$1:$K$1,MOD(ROW()-2,10)+1)</f>
        <v>MORRIS 1</v>
      </c>
      <c r="C1449" s="2" t="str">
        <f>VLOOKUP(A1449,'[1]Brand Family Territory (Enc)'!$A$2:$B$296,2,FALSE)</f>
        <v>All Counties</v>
      </c>
      <c r="D1449" s="2">
        <f>IF(COUNTIFS('[1]Brand Family Territories (Enc)'!$B$2:$B$62,C1449,'[1]Brand Family Territories (Enc)'!$C$2:$C$62,B1449)&gt;0,1,IF(AND(LEFT(B1449,6)="MORRIS",COUNTIFS('[1]Brand Family Territories (Enc)'!$B$2:$B$62,C1449,'[1]Brand Family Territories (Enc)'!$C$2:$C$62,"Morri")&gt;0),"Unk",0))</f>
        <v>1</v>
      </c>
      <c r="E1449" s="2" t="str">
        <f>IFERROR(INDEX('Blackout Brand Fam Areas (Enc)'!$D$6:$D$998,MATCH(UPPER(A1449)&amp;"|"&amp;UPPER(B1449),'Blackout Brand Fam Areas (Enc)'!$G$6:$G$998,0)),"No Match")</f>
        <v>No Match</v>
      </c>
      <c r="F1449" s="2" t="str">
        <f t="shared" si="44"/>
        <v>US</v>
      </c>
      <c r="G1449" s="2" t="str">
        <f t="shared" si="45"/>
        <v>Chateau Diana|MORRIS 1</v>
      </c>
    </row>
    <row r="1450" spans="1:7" x14ac:dyDescent="0.2">
      <c r="A1450" s="2" t="str" cm="1">
        <f t="array" ref="A1450">INDEX('[1]Brand Family Territory (Enc)'!$A$2:$A$296,INT((ROW()-2)/10)+1)</f>
        <v>Chateau Diana</v>
      </c>
      <c r="B1450" s="2" t="str" cm="1">
        <f t="array" ref="B1450">INDEX('Whitelist (Blackout Reverse)'!$B$1:$K$1,MOD(ROW()-2,10)+1)</f>
        <v>MORRIS 2</v>
      </c>
      <c r="C1450" s="2" t="str">
        <f>VLOOKUP(A1450,'[1]Brand Family Territory (Enc)'!$A$2:$B$296,2,FALSE)</f>
        <v>All Counties</v>
      </c>
      <c r="D1450" s="2">
        <f>IF(COUNTIFS('[1]Brand Family Territories (Enc)'!$B$2:$B$62,C1450,'[1]Brand Family Territories (Enc)'!$C$2:$C$62,B1450)&gt;0,1,IF(AND(LEFT(B1450,6)="MORRIS",COUNTIFS('[1]Brand Family Territories (Enc)'!$B$2:$B$62,C1450,'[1]Brand Family Territories (Enc)'!$C$2:$C$62,"Morri")&gt;0),"Unk",0))</f>
        <v>1</v>
      </c>
      <c r="E1450" s="2" t="str">
        <f>IFERROR(INDEX('Blackout Brand Fam Areas (Enc)'!$D$6:$D$998,MATCH(UPPER(A1450)&amp;"|"&amp;UPPER(B1450),'Blackout Brand Fam Areas (Enc)'!$G$6:$G$998,0)),"No Match")</f>
        <v>No Match</v>
      </c>
      <c r="F1450" s="2" t="str">
        <f t="shared" si="44"/>
        <v>US</v>
      </c>
      <c r="G1450" s="2" t="str">
        <f t="shared" si="45"/>
        <v>Chateau Diana|MORRIS 2</v>
      </c>
    </row>
    <row r="1451" spans="1:7" x14ac:dyDescent="0.2">
      <c r="A1451" s="2" t="str" cm="1">
        <f t="array" ref="A1451">INDEX('[1]Brand Family Territory (Enc)'!$A$2:$A$296,INT((ROW()-2)/10)+1)</f>
        <v>Chateau Diana</v>
      </c>
      <c r="B1451" s="2" t="str" cm="1">
        <f t="array" ref="B1451">INDEX('Whitelist (Blackout Reverse)'!$B$1:$K$1,MOD(ROW()-2,10)+1)</f>
        <v>MORRIS 3</v>
      </c>
      <c r="C1451" s="2" t="str">
        <f>VLOOKUP(A1451,'[1]Brand Family Territory (Enc)'!$A$2:$B$296,2,FALSE)</f>
        <v>All Counties</v>
      </c>
      <c r="D1451" s="2">
        <f>IF(COUNTIFS('[1]Brand Family Territories (Enc)'!$B$2:$B$62,C1451,'[1]Brand Family Territories (Enc)'!$C$2:$C$62,B1451)&gt;0,1,IF(AND(LEFT(B1451,6)="MORRIS",COUNTIFS('[1]Brand Family Territories (Enc)'!$B$2:$B$62,C1451,'[1]Brand Family Territories (Enc)'!$C$2:$C$62,"Morri")&gt;0),"Unk",0))</f>
        <v>1</v>
      </c>
      <c r="E1451" s="2" t="str">
        <f>IFERROR(INDEX('Blackout Brand Fam Areas (Enc)'!$D$6:$D$998,MATCH(UPPER(A1451)&amp;"|"&amp;UPPER(B1451),'Blackout Brand Fam Areas (Enc)'!$G$6:$G$998,0)),"No Match")</f>
        <v>No Match</v>
      </c>
      <c r="F1451" s="2" t="str">
        <f t="shared" si="44"/>
        <v>US</v>
      </c>
      <c r="G1451" s="2" t="str">
        <f t="shared" si="45"/>
        <v>Chateau Diana|MORRIS 3</v>
      </c>
    </row>
    <row r="1452" spans="1:7" x14ac:dyDescent="0.2">
      <c r="A1452" s="2" t="str" cm="1">
        <f t="array" ref="A1452">INDEX('[1]Brand Family Territory (Enc)'!$A$2:$A$296,INT((ROW()-2)/10)+1)</f>
        <v>Clausthaler</v>
      </c>
      <c r="B1452" s="2" t="str" cm="1">
        <f t="array" ref="B1452">INDEX('Whitelist (Blackout Reverse)'!$B$1:$K$1,MOD(ROW()-2,10)+1)</f>
        <v>BERGEN</v>
      </c>
      <c r="C1452" s="2" t="str">
        <f>VLOOKUP(A1452,'[1]Brand Family Territory (Enc)'!$A$2:$B$296,2,FALSE)</f>
        <v>All Counties</v>
      </c>
      <c r="D1452" s="2">
        <f>IF(COUNTIFS('[1]Brand Family Territories (Enc)'!$B$2:$B$62,C1452,'[1]Brand Family Territories (Enc)'!$C$2:$C$62,B1452)&gt;0,1,IF(AND(LEFT(B1452,6)="MORRIS",COUNTIFS('[1]Brand Family Territories (Enc)'!$B$2:$B$62,C1452,'[1]Brand Family Territories (Enc)'!$C$2:$C$62,"Morri")&gt;0),"Unk",0))</f>
        <v>1</v>
      </c>
      <c r="E1452" s="2" t="str">
        <f>IFERROR(INDEX('Blackout Brand Fam Areas (Enc)'!$D$6:$D$998,MATCH(UPPER(A1452)&amp;"|"&amp;UPPER(B1452),'Blackout Brand Fam Areas (Enc)'!$G$6:$G$998,0)),"No Match")</f>
        <v>No Match</v>
      </c>
      <c r="F1452" s="2" t="str">
        <f t="shared" si="44"/>
        <v>US</v>
      </c>
      <c r="G1452" s="2" t="str">
        <f t="shared" si="45"/>
        <v>Clausthaler|BERGEN</v>
      </c>
    </row>
    <row r="1453" spans="1:7" x14ac:dyDescent="0.2">
      <c r="A1453" s="2" t="str" cm="1">
        <f t="array" ref="A1453">INDEX('[1]Brand Family Territory (Enc)'!$A$2:$A$296,INT((ROW()-2)/10)+1)</f>
        <v>Clausthaler</v>
      </c>
      <c r="B1453" s="2" t="str" cm="1">
        <f t="array" ref="B1453">INDEX('Whitelist (Blackout Reverse)'!$B$1:$K$1,MOD(ROW()-2,10)+1)</f>
        <v>PASSAIC</v>
      </c>
      <c r="C1453" s="2" t="str">
        <f>VLOOKUP(A1453,'[1]Brand Family Territory (Enc)'!$A$2:$B$296,2,FALSE)</f>
        <v>All Counties</v>
      </c>
      <c r="D1453" s="2">
        <f>IF(COUNTIFS('[1]Brand Family Territories (Enc)'!$B$2:$B$62,C1453,'[1]Brand Family Territories (Enc)'!$C$2:$C$62,B1453)&gt;0,1,IF(AND(LEFT(B1453,6)="MORRIS",COUNTIFS('[1]Brand Family Territories (Enc)'!$B$2:$B$62,C1453,'[1]Brand Family Territories (Enc)'!$C$2:$C$62,"Morri")&gt;0),"Unk",0))</f>
        <v>1</v>
      </c>
      <c r="E1453" s="2" t="str">
        <f>IFERROR(INDEX('Blackout Brand Fam Areas (Enc)'!$D$6:$D$998,MATCH(UPPER(A1453)&amp;"|"&amp;UPPER(B1453),'Blackout Brand Fam Areas (Enc)'!$G$6:$G$998,0)),"No Match")</f>
        <v>No Match</v>
      </c>
      <c r="F1453" s="2" t="str">
        <f t="shared" si="44"/>
        <v>US</v>
      </c>
      <c r="G1453" s="2" t="str">
        <f t="shared" si="45"/>
        <v>Clausthaler|PASSAIC</v>
      </c>
    </row>
    <row r="1454" spans="1:7" x14ac:dyDescent="0.2">
      <c r="A1454" s="2" t="str" cm="1">
        <f t="array" ref="A1454">INDEX('[1]Brand Family Territory (Enc)'!$A$2:$A$296,INT((ROW()-2)/10)+1)</f>
        <v>Clausthaler</v>
      </c>
      <c r="B1454" s="2" t="str" cm="1">
        <f t="array" ref="B1454">INDEX('Whitelist (Blackout Reverse)'!$B$1:$K$1,MOD(ROW()-2,10)+1)</f>
        <v>PASSAIC-FF</v>
      </c>
      <c r="C1454" s="2" t="str">
        <f>VLOOKUP(A1454,'[1]Brand Family Territory (Enc)'!$A$2:$B$296,2,FALSE)</f>
        <v>All Counties</v>
      </c>
      <c r="D1454" s="2">
        <f>IF(COUNTIFS('[1]Brand Family Territories (Enc)'!$B$2:$B$62,C1454,'[1]Brand Family Territories (Enc)'!$C$2:$C$62,B1454)&gt;0,1,IF(AND(LEFT(B1454,6)="MORRIS",COUNTIFS('[1]Brand Family Territories (Enc)'!$B$2:$B$62,C1454,'[1]Brand Family Territories (Enc)'!$C$2:$C$62,"Morri")&gt;0),"Unk",0))</f>
        <v>1</v>
      </c>
      <c r="E1454" s="2" t="str">
        <f>IFERROR(INDEX('Blackout Brand Fam Areas (Enc)'!$D$6:$D$998,MATCH(UPPER(A1454)&amp;"|"&amp;UPPER(B1454),'Blackout Brand Fam Areas (Enc)'!$G$6:$G$998,0)),"No Match")</f>
        <v>No Match</v>
      </c>
      <c r="F1454" s="2" t="str">
        <f t="shared" si="44"/>
        <v>US</v>
      </c>
      <c r="G1454" s="2" t="str">
        <f t="shared" si="45"/>
        <v>Clausthaler|PASSAIC-FF</v>
      </c>
    </row>
    <row r="1455" spans="1:7" x14ac:dyDescent="0.2">
      <c r="A1455" s="2" t="str" cm="1">
        <f t="array" ref="A1455">INDEX('[1]Brand Family Territory (Enc)'!$A$2:$A$296,INT((ROW()-2)/10)+1)</f>
        <v>Clausthaler</v>
      </c>
      <c r="B1455" s="2" t="str" cm="1">
        <f t="array" ref="B1455">INDEX('Whitelist (Blackout Reverse)'!$B$1:$K$1,MOD(ROW()-2,10)+1)</f>
        <v>ESSEX</v>
      </c>
      <c r="C1455" s="2" t="str">
        <f>VLOOKUP(A1455,'[1]Brand Family Territory (Enc)'!$A$2:$B$296,2,FALSE)</f>
        <v>All Counties</v>
      </c>
      <c r="D1455" s="2">
        <f>IF(COUNTIFS('[1]Brand Family Territories (Enc)'!$B$2:$B$62,C1455,'[1]Brand Family Territories (Enc)'!$C$2:$C$62,B1455)&gt;0,1,IF(AND(LEFT(B1455,6)="MORRIS",COUNTIFS('[1]Brand Family Territories (Enc)'!$B$2:$B$62,C1455,'[1]Brand Family Territories (Enc)'!$C$2:$C$62,"Morri")&gt;0),"Unk",0))</f>
        <v>1</v>
      </c>
      <c r="E1455" s="2" t="str">
        <f>IFERROR(INDEX('Blackout Brand Fam Areas (Enc)'!$D$6:$D$998,MATCH(UPPER(A1455)&amp;"|"&amp;UPPER(B1455),'Blackout Brand Fam Areas (Enc)'!$G$6:$G$998,0)),"No Match")</f>
        <v>No Match</v>
      </c>
      <c r="F1455" s="2" t="str">
        <f t="shared" si="44"/>
        <v>US</v>
      </c>
      <c r="G1455" s="2" t="str">
        <f t="shared" si="45"/>
        <v>Clausthaler|ESSEX</v>
      </c>
    </row>
    <row r="1456" spans="1:7" x14ac:dyDescent="0.2">
      <c r="A1456" s="2" t="str" cm="1">
        <f t="array" ref="A1456">INDEX('[1]Brand Family Territory (Enc)'!$A$2:$A$296,INT((ROW()-2)/10)+1)</f>
        <v>Clausthaler</v>
      </c>
      <c r="B1456" s="2" t="str" cm="1">
        <f t="array" ref="B1456">INDEX('Whitelist (Blackout Reverse)'!$B$1:$K$1,MOD(ROW()-2,10)+1)</f>
        <v>HUDSON</v>
      </c>
      <c r="C1456" s="2" t="str">
        <f>VLOOKUP(A1456,'[1]Brand Family Territory (Enc)'!$A$2:$B$296,2,FALSE)</f>
        <v>All Counties</v>
      </c>
      <c r="D1456" s="2">
        <f>IF(COUNTIFS('[1]Brand Family Territories (Enc)'!$B$2:$B$62,C1456,'[1]Brand Family Territories (Enc)'!$C$2:$C$62,B1456)&gt;0,1,IF(AND(LEFT(B1456,6)="MORRIS",COUNTIFS('[1]Brand Family Territories (Enc)'!$B$2:$B$62,C1456,'[1]Brand Family Territories (Enc)'!$C$2:$C$62,"Morri")&gt;0),"Unk",0))</f>
        <v>1</v>
      </c>
      <c r="E1456" s="2" t="str">
        <f>IFERROR(INDEX('Blackout Brand Fam Areas (Enc)'!$D$6:$D$998,MATCH(UPPER(A1456)&amp;"|"&amp;UPPER(B1456),'Blackout Brand Fam Areas (Enc)'!$G$6:$G$998,0)),"No Match")</f>
        <v>No Match</v>
      </c>
      <c r="F1456" s="2" t="str">
        <f t="shared" si="44"/>
        <v>US</v>
      </c>
      <c r="G1456" s="2" t="str">
        <f t="shared" si="45"/>
        <v>Clausthaler|HUDSON</v>
      </c>
    </row>
    <row r="1457" spans="1:7" x14ac:dyDescent="0.2">
      <c r="A1457" s="2" t="str" cm="1">
        <f t="array" ref="A1457">INDEX('[1]Brand Family Territory (Enc)'!$A$2:$A$296,INT((ROW()-2)/10)+1)</f>
        <v>Clausthaler</v>
      </c>
      <c r="B1457" s="2" t="str" cm="1">
        <f t="array" ref="B1457">INDEX('Whitelist (Blackout Reverse)'!$B$1:$K$1,MOD(ROW()-2,10)+1)</f>
        <v>UNION</v>
      </c>
      <c r="C1457" s="2" t="str">
        <f>VLOOKUP(A1457,'[1]Brand Family Territory (Enc)'!$A$2:$B$296,2,FALSE)</f>
        <v>All Counties</v>
      </c>
      <c r="D1457" s="2">
        <f>IF(COUNTIFS('[1]Brand Family Territories (Enc)'!$B$2:$B$62,C1457,'[1]Brand Family Territories (Enc)'!$C$2:$C$62,B1457)&gt;0,1,IF(AND(LEFT(B1457,6)="MORRIS",COUNTIFS('[1]Brand Family Territories (Enc)'!$B$2:$B$62,C1457,'[1]Brand Family Territories (Enc)'!$C$2:$C$62,"Morri")&gt;0),"Unk",0))</f>
        <v>1</v>
      </c>
      <c r="E1457" s="2" t="str">
        <f>IFERROR(INDEX('Blackout Brand Fam Areas (Enc)'!$D$6:$D$998,MATCH(UPPER(A1457)&amp;"|"&amp;UPPER(B1457),'Blackout Brand Fam Areas (Enc)'!$G$6:$G$998,0)),"No Match")</f>
        <v>No Match</v>
      </c>
      <c r="F1457" s="2" t="str">
        <f t="shared" si="44"/>
        <v>US</v>
      </c>
      <c r="G1457" s="2" t="str">
        <f t="shared" si="45"/>
        <v>Clausthaler|UNION</v>
      </c>
    </row>
    <row r="1458" spans="1:7" x14ac:dyDescent="0.2">
      <c r="A1458" s="2" t="str" cm="1">
        <f t="array" ref="A1458">INDEX('[1]Brand Family Territory (Enc)'!$A$2:$A$296,INT((ROW()-2)/10)+1)</f>
        <v>Clausthaler</v>
      </c>
      <c r="B1458" s="2" t="str" cm="1">
        <f t="array" ref="B1458">INDEX('Whitelist (Blackout Reverse)'!$B$1:$K$1,MOD(ROW()-2,10)+1)</f>
        <v>SUSSEX</v>
      </c>
      <c r="C1458" s="2" t="str">
        <f>VLOOKUP(A1458,'[1]Brand Family Territory (Enc)'!$A$2:$B$296,2,FALSE)</f>
        <v>All Counties</v>
      </c>
      <c r="D1458" s="2">
        <f>IF(COUNTIFS('[1]Brand Family Territories (Enc)'!$B$2:$B$62,C1458,'[1]Brand Family Territories (Enc)'!$C$2:$C$62,B1458)&gt;0,1,IF(AND(LEFT(B1458,6)="MORRIS",COUNTIFS('[1]Brand Family Territories (Enc)'!$B$2:$B$62,C1458,'[1]Brand Family Territories (Enc)'!$C$2:$C$62,"Morri")&gt;0),"Unk",0))</f>
        <v>1</v>
      </c>
      <c r="E1458" s="2" t="str">
        <f>IFERROR(INDEX('Blackout Brand Fam Areas (Enc)'!$D$6:$D$998,MATCH(UPPER(A1458)&amp;"|"&amp;UPPER(B1458),'Blackout Brand Fam Areas (Enc)'!$G$6:$G$998,0)),"No Match")</f>
        <v>No Match</v>
      </c>
      <c r="F1458" s="2" t="str">
        <f t="shared" si="44"/>
        <v>US</v>
      </c>
      <c r="G1458" s="2" t="str">
        <f t="shared" si="45"/>
        <v>Clausthaler|SUSSEX</v>
      </c>
    </row>
    <row r="1459" spans="1:7" x14ac:dyDescent="0.2">
      <c r="A1459" s="2" t="str" cm="1">
        <f t="array" ref="A1459">INDEX('[1]Brand Family Territory (Enc)'!$A$2:$A$296,INT((ROW()-2)/10)+1)</f>
        <v>Clausthaler</v>
      </c>
      <c r="B1459" s="2" t="str" cm="1">
        <f t="array" ref="B1459">INDEX('Whitelist (Blackout Reverse)'!$B$1:$K$1,MOD(ROW()-2,10)+1)</f>
        <v>MORRIS 1</v>
      </c>
      <c r="C1459" s="2" t="str">
        <f>VLOOKUP(A1459,'[1]Brand Family Territory (Enc)'!$A$2:$B$296,2,FALSE)</f>
        <v>All Counties</v>
      </c>
      <c r="D1459" s="2">
        <f>IF(COUNTIFS('[1]Brand Family Territories (Enc)'!$B$2:$B$62,C1459,'[1]Brand Family Territories (Enc)'!$C$2:$C$62,B1459)&gt;0,1,IF(AND(LEFT(B1459,6)="MORRIS",COUNTIFS('[1]Brand Family Territories (Enc)'!$B$2:$B$62,C1459,'[1]Brand Family Territories (Enc)'!$C$2:$C$62,"Morri")&gt;0),"Unk",0))</f>
        <v>1</v>
      </c>
      <c r="E1459" s="2" t="str">
        <f>IFERROR(INDEX('Blackout Brand Fam Areas (Enc)'!$D$6:$D$998,MATCH(UPPER(A1459)&amp;"|"&amp;UPPER(B1459),'Blackout Brand Fam Areas (Enc)'!$G$6:$G$998,0)),"No Match")</f>
        <v>No Match</v>
      </c>
      <c r="F1459" s="2" t="str">
        <f t="shared" si="44"/>
        <v>US</v>
      </c>
      <c r="G1459" s="2" t="str">
        <f t="shared" si="45"/>
        <v>Clausthaler|MORRIS 1</v>
      </c>
    </row>
    <row r="1460" spans="1:7" x14ac:dyDescent="0.2">
      <c r="A1460" s="2" t="str" cm="1">
        <f t="array" ref="A1460">INDEX('[1]Brand Family Territory (Enc)'!$A$2:$A$296,INT((ROW()-2)/10)+1)</f>
        <v>Clausthaler</v>
      </c>
      <c r="B1460" s="2" t="str" cm="1">
        <f t="array" ref="B1460">INDEX('Whitelist (Blackout Reverse)'!$B$1:$K$1,MOD(ROW()-2,10)+1)</f>
        <v>MORRIS 2</v>
      </c>
      <c r="C1460" s="2" t="str">
        <f>VLOOKUP(A1460,'[1]Brand Family Territory (Enc)'!$A$2:$B$296,2,FALSE)</f>
        <v>All Counties</v>
      </c>
      <c r="D1460" s="2">
        <f>IF(COUNTIFS('[1]Brand Family Territories (Enc)'!$B$2:$B$62,C1460,'[1]Brand Family Territories (Enc)'!$C$2:$C$62,B1460)&gt;0,1,IF(AND(LEFT(B1460,6)="MORRIS",COUNTIFS('[1]Brand Family Territories (Enc)'!$B$2:$B$62,C1460,'[1]Brand Family Territories (Enc)'!$C$2:$C$62,"Morri")&gt;0),"Unk",0))</f>
        <v>1</v>
      </c>
      <c r="E1460" s="2" t="str">
        <f>IFERROR(INDEX('Blackout Brand Fam Areas (Enc)'!$D$6:$D$998,MATCH(UPPER(A1460)&amp;"|"&amp;UPPER(B1460),'Blackout Brand Fam Areas (Enc)'!$G$6:$G$998,0)),"No Match")</f>
        <v>No Match</v>
      </c>
      <c r="F1460" s="2" t="str">
        <f t="shared" si="44"/>
        <v>US</v>
      </c>
      <c r="G1460" s="2" t="str">
        <f t="shared" si="45"/>
        <v>Clausthaler|MORRIS 2</v>
      </c>
    </row>
    <row r="1461" spans="1:7" x14ac:dyDescent="0.2">
      <c r="A1461" s="2" t="str" cm="1">
        <f t="array" ref="A1461">INDEX('[1]Brand Family Territory (Enc)'!$A$2:$A$296,INT((ROW()-2)/10)+1)</f>
        <v>Clausthaler</v>
      </c>
      <c r="B1461" s="2" t="str" cm="1">
        <f t="array" ref="B1461">INDEX('Whitelist (Blackout Reverse)'!$B$1:$K$1,MOD(ROW()-2,10)+1)</f>
        <v>MORRIS 3</v>
      </c>
      <c r="C1461" s="2" t="str">
        <f>VLOOKUP(A1461,'[1]Brand Family Territory (Enc)'!$A$2:$B$296,2,FALSE)</f>
        <v>All Counties</v>
      </c>
      <c r="D1461" s="2">
        <f>IF(COUNTIFS('[1]Brand Family Territories (Enc)'!$B$2:$B$62,C1461,'[1]Brand Family Territories (Enc)'!$C$2:$C$62,B1461)&gt;0,1,IF(AND(LEFT(B1461,6)="MORRIS",COUNTIFS('[1]Brand Family Territories (Enc)'!$B$2:$B$62,C1461,'[1]Brand Family Territories (Enc)'!$C$2:$C$62,"Morri")&gt;0),"Unk",0))</f>
        <v>1</v>
      </c>
      <c r="E1461" s="2" t="str">
        <f>IFERROR(INDEX('Blackout Brand Fam Areas (Enc)'!$D$6:$D$998,MATCH(UPPER(A1461)&amp;"|"&amp;UPPER(B1461),'Blackout Brand Fam Areas (Enc)'!$G$6:$G$998,0)),"No Match")</f>
        <v>No Match</v>
      </c>
      <c r="F1461" s="2" t="str">
        <f t="shared" si="44"/>
        <v>US</v>
      </c>
      <c r="G1461" s="2" t="str">
        <f t="shared" si="45"/>
        <v>Clausthaler|MORRIS 3</v>
      </c>
    </row>
    <row r="1462" spans="1:7" x14ac:dyDescent="0.2">
      <c r="A1462" s="2" t="str" cm="1">
        <f t="array" ref="A1462">INDEX('[1]Brand Family Territory (Enc)'!$A$2:$A$296,INT((ROW()-2)/10)+1)</f>
        <v>Food &amp; Bev</v>
      </c>
      <c r="B1462" s="2" t="str" cm="1">
        <f t="array" ref="B1462">INDEX('Whitelist (Blackout Reverse)'!$B$1:$K$1,MOD(ROW()-2,10)+1)</f>
        <v>BERGEN</v>
      </c>
      <c r="C1462" s="2" t="str">
        <f>VLOOKUP(A1462,'[1]Brand Family Territory (Enc)'!$A$2:$B$296,2,FALSE)</f>
        <v>All Counties</v>
      </c>
      <c r="D1462" s="2">
        <f>IF(COUNTIFS('[1]Brand Family Territories (Enc)'!$B$2:$B$62,C1462,'[1]Brand Family Territories (Enc)'!$C$2:$C$62,B1462)&gt;0,1,IF(AND(LEFT(B1462,6)="MORRIS",COUNTIFS('[1]Brand Family Territories (Enc)'!$B$2:$B$62,C1462,'[1]Brand Family Territories (Enc)'!$C$2:$C$62,"Morri")&gt;0),"Unk",0))</f>
        <v>1</v>
      </c>
      <c r="E1462" s="2" t="str">
        <f>IFERROR(INDEX('Blackout Brand Fam Areas (Enc)'!$D$6:$D$998,MATCH(UPPER(A1462)&amp;"|"&amp;UPPER(B1462),'Blackout Brand Fam Areas (Enc)'!$G$6:$G$998,0)),"No Match")</f>
        <v>No Match</v>
      </c>
      <c r="F1462" s="2" t="str">
        <f t="shared" si="44"/>
        <v>US</v>
      </c>
      <c r="G1462" s="2" t="str">
        <f t="shared" si="45"/>
        <v>Food &amp; Bev|BERGEN</v>
      </c>
    </row>
    <row r="1463" spans="1:7" x14ac:dyDescent="0.2">
      <c r="A1463" s="2" t="str" cm="1">
        <f t="array" ref="A1463">INDEX('[1]Brand Family Territory (Enc)'!$A$2:$A$296,INT((ROW()-2)/10)+1)</f>
        <v>Food &amp; Bev</v>
      </c>
      <c r="B1463" s="2" t="str" cm="1">
        <f t="array" ref="B1463">INDEX('Whitelist (Blackout Reverse)'!$B$1:$K$1,MOD(ROW()-2,10)+1)</f>
        <v>PASSAIC</v>
      </c>
      <c r="C1463" s="2" t="str">
        <f>VLOOKUP(A1463,'[1]Brand Family Territory (Enc)'!$A$2:$B$296,2,FALSE)</f>
        <v>All Counties</v>
      </c>
      <c r="D1463" s="2">
        <f>IF(COUNTIFS('[1]Brand Family Territories (Enc)'!$B$2:$B$62,C1463,'[1]Brand Family Territories (Enc)'!$C$2:$C$62,B1463)&gt;0,1,IF(AND(LEFT(B1463,6)="MORRIS",COUNTIFS('[1]Brand Family Territories (Enc)'!$B$2:$B$62,C1463,'[1]Brand Family Territories (Enc)'!$C$2:$C$62,"Morri")&gt;0),"Unk",0))</f>
        <v>1</v>
      </c>
      <c r="E1463" s="2" t="str">
        <f>IFERROR(INDEX('Blackout Brand Fam Areas (Enc)'!$D$6:$D$998,MATCH(UPPER(A1463)&amp;"|"&amp;UPPER(B1463),'Blackout Brand Fam Areas (Enc)'!$G$6:$G$998,0)),"No Match")</f>
        <v>No Match</v>
      </c>
      <c r="F1463" s="2" t="str">
        <f t="shared" si="44"/>
        <v>US</v>
      </c>
      <c r="G1463" s="2" t="str">
        <f t="shared" si="45"/>
        <v>Food &amp; Bev|PASSAIC</v>
      </c>
    </row>
    <row r="1464" spans="1:7" x14ac:dyDescent="0.2">
      <c r="A1464" s="2" t="str" cm="1">
        <f t="array" ref="A1464">INDEX('[1]Brand Family Territory (Enc)'!$A$2:$A$296,INT((ROW()-2)/10)+1)</f>
        <v>Food &amp; Bev</v>
      </c>
      <c r="B1464" s="2" t="str" cm="1">
        <f t="array" ref="B1464">INDEX('Whitelist (Blackout Reverse)'!$B$1:$K$1,MOD(ROW()-2,10)+1)</f>
        <v>PASSAIC-FF</v>
      </c>
      <c r="C1464" s="2" t="str">
        <f>VLOOKUP(A1464,'[1]Brand Family Territory (Enc)'!$A$2:$B$296,2,FALSE)</f>
        <v>All Counties</v>
      </c>
      <c r="D1464" s="2">
        <f>IF(COUNTIFS('[1]Brand Family Territories (Enc)'!$B$2:$B$62,C1464,'[1]Brand Family Territories (Enc)'!$C$2:$C$62,B1464)&gt;0,1,IF(AND(LEFT(B1464,6)="MORRIS",COUNTIFS('[1]Brand Family Territories (Enc)'!$B$2:$B$62,C1464,'[1]Brand Family Territories (Enc)'!$C$2:$C$62,"Morri")&gt;0),"Unk",0))</f>
        <v>1</v>
      </c>
      <c r="E1464" s="2" t="str">
        <f>IFERROR(INDEX('Blackout Brand Fam Areas (Enc)'!$D$6:$D$998,MATCH(UPPER(A1464)&amp;"|"&amp;UPPER(B1464),'Blackout Brand Fam Areas (Enc)'!$G$6:$G$998,0)),"No Match")</f>
        <v>No Match</v>
      </c>
      <c r="F1464" s="2" t="str">
        <f t="shared" si="44"/>
        <v>US</v>
      </c>
      <c r="G1464" s="2" t="str">
        <f t="shared" si="45"/>
        <v>Food &amp; Bev|PASSAIC-FF</v>
      </c>
    </row>
    <row r="1465" spans="1:7" x14ac:dyDescent="0.2">
      <c r="A1465" s="2" t="str" cm="1">
        <f t="array" ref="A1465">INDEX('[1]Brand Family Territory (Enc)'!$A$2:$A$296,INT((ROW()-2)/10)+1)</f>
        <v>Food &amp; Bev</v>
      </c>
      <c r="B1465" s="2" t="str" cm="1">
        <f t="array" ref="B1465">INDEX('Whitelist (Blackout Reverse)'!$B$1:$K$1,MOD(ROW()-2,10)+1)</f>
        <v>ESSEX</v>
      </c>
      <c r="C1465" s="2" t="str">
        <f>VLOOKUP(A1465,'[1]Brand Family Territory (Enc)'!$A$2:$B$296,2,FALSE)</f>
        <v>All Counties</v>
      </c>
      <c r="D1465" s="2">
        <f>IF(COUNTIFS('[1]Brand Family Territories (Enc)'!$B$2:$B$62,C1465,'[1]Brand Family Territories (Enc)'!$C$2:$C$62,B1465)&gt;0,1,IF(AND(LEFT(B1465,6)="MORRIS",COUNTIFS('[1]Brand Family Territories (Enc)'!$B$2:$B$62,C1465,'[1]Brand Family Territories (Enc)'!$C$2:$C$62,"Morri")&gt;0),"Unk",0))</f>
        <v>1</v>
      </c>
      <c r="E1465" s="2" t="str">
        <f>IFERROR(INDEX('Blackout Brand Fam Areas (Enc)'!$D$6:$D$998,MATCH(UPPER(A1465)&amp;"|"&amp;UPPER(B1465),'Blackout Brand Fam Areas (Enc)'!$G$6:$G$998,0)),"No Match")</f>
        <v>No Match</v>
      </c>
      <c r="F1465" s="2" t="str">
        <f t="shared" si="44"/>
        <v>US</v>
      </c>
      <c r="G1465" s="2" t="str">
        <f t="shared" si="45"/>
        <v>Food &amp; Bev|ESSEX</v>
      </c>
    </row>
    <row r="1466" spans="1:7" x14ac:dyDescent="0.2">
      <c r="A1466" s="2" t="str" cm="1">
        <f t="array" ref="A1466">INDEX('[1]Brand Family Territory (Enc)'!$A$2:$A$296,INT((ROW()-2)/10)+1)</f>
        <v>Food &amp; Bev</v>
      </c>
      <c r="B1466" s="2" t="str" cm="1">
        <f t="array" ref="B1466">INDEX('Whitelist (Blackout Reverse)'!$B$1:$K$1,MOD(ROW()-2,10)+1)</f>
        <v>HUDSON</v>
      </c>
      <c r="C1466" s="2" t="str">
        <f>VLOOKUP(A1466,'[1]Brand Family Territory (Enc)'!$A$2:$B$296,2,FALSE)</f>
        <v>All Counties</v>
      </c>
      <c r="D1466" s="2">
        <f>IF(COUNTIFS('[1]Brand Family Territories (Enc)'!$B$2:$B$62,C1466,'[1]Brand Family Territories (Enc)'!$C$2:$C$62,B1466)&gt;0,1,IF(AND(LEFT(B1466,6)="MORRIS",COUNTIFS('[1]Brand Family Territories (Enc)'!$B$2:$B$62,C1466,'[1]Brand Family Territories (Enc)'!$C$2:$C$62,"Morri")&gt;0),"Unk",0))</f>
        <v>1</v>
      </c>
      <c r="E1466" s="2" t="str">
        <f>IFERROR(INDEX('Blackout Brand Fam Areas (Enc)'!$D$6:$D$998,MATCH(UPPER(A1466)&amp;"|"&amp;UPPER(B1466),'Blackout Brand Fam Areas (Enc)'!$G$6:$G$998,0)),"No Match")</f>
        <v>No Match</v>
      </c>
      <c r="F1466" s="2" t="str">
        <f t="shared" si="44"/>
        <v>US</v>
      </c>
      <c r="G1466" s="2" t="str">
        <f t="shared" si="45"/>
        <v>Food &amp; Bev|HUDSON</v>
      </c>
    </row>
    <row r="1467" spans="1:7" x14ac:dyDescent="0.2">
      <c r="A1467" s="2" t="str" cm="1">
        <f t="array" ref="A1467">INDEX('[1]Brand Family Territory (Enc)'!$A$2:$A$296,INT((ROW()-2)/10)+1)</f>
        <v>Food &amp; Bev</v>
      </c>
      <c r="B1467" s="2" t="str" cm="1">
        <f t="array" ref="B1467">INDEX('Whitelist (Blackout Reverse)'!$B$1:$K$1,MOD(ROW()-2,10)+1)</f>
        <v>UNION</v>
      </c>
      <c r="C1467" s="2" t="str">
        <f>VLOOKUP(A1467,'[1]Brand Family Territory (Enc)'!$A$2:$B$296,2,FALSE)</f>
        <v>All Counties</v>
      </c>
      <c r="D1467" s="2">
        <f>IF(COUNTIFS('[1]Brand Family Territories (Enc)'!$B$2:$B$62,C1467,'[1]Brand Family Territories (Enc)'!$C$2:$C$62,B1467)&gt;0,1,IF(AND(LEFT(B1467,6)="MORRIS",COUNTIFS('[1]Brand Family Territories (Enc)'!$B$2:$B$62,C1467,'[1]Brand Family Territories (Enc)'!$C$2:$C$62,"Morri")&gt;0),"Unk",0))</f>
        <v>1</v>
      </c>
      <c r="E1467" s="2" t="str">
        <f>IFERROR(INDEX('Blackout Brand Fam Areas (Enc)'!$D$6:$D$998,MATCH(UPPER(A1467)&amp;"|"&amp;UPPER(B1467),'Blackout Brand Fam Areas (Enc)'!$G$6:$G$998,0)),"No Match")</f>
        <v>No Match</v>
      </c>
      <c r="F1467" s="2" t="str">
        <f t="shared" si="44"/>
        <v>US</v>
      </c>
      <c r="G1467" s="2" t="str">
        <f t="shared" si="45"/>
        <v>Food &amp; Bev|UNION</v>
      </c>
    </row>
    <row r="1468" spans="1:7" x14ac:dyDescent="0.2">
      <c r="A1468" s="2" t="str" cm="1">
        <f t="array" ref="A1468">INDEX('[1]Brand Family Territory (Enc)'!$A$2:$A$296,INT((ROW()-2)/10)+1)</f>
        <v>Food &amp; Bev</v>
      </c>
      <c r="B1468" s="2" t="str" cm="1">
        <f t="array" ref="B1468">INDEX('Whitelist (Blackout Reverse)'!$B$1:$K$1,MOD(ROW()-2,10)+1)</f>
        <v>SUSSEX</v>
      </c>
      <c r="C1468" s="2" t="str">
        <f>VLOOKUP(A1468,'[1]Brand Family Territory (Enc)'!$A$2:$B$296,2,FALSE)</f>
        <v>All Counties</v>
      </c>
      <c r="D1468" s="2">
        <f>IF(COUNTIFS('[1]Brand Family Territories (Enc)'!$B$2:$B$62,C1468,'[1]Brand Family Territories (Enc)'!$C$2:$C$62,B1468)&gt;0,1,IF(AND(LEFT(B1468,6)="MORRIS",COUNTIFS('[1]Brand Family Territories (Enc)'!$B$2:$B$62,C1468,'[1]Brand Family Territories (Enc)'!$C$2:$C$62,"Morri")&gt;0),"Unk",0))</f>
        <v>1</v>
      </c>
      <c r="E1468" s="2" t="str">
        <f>IFERROR(INDEX('Blackout Brand Fam Areas (Enc)'!$D$6:$D$998,MATCH(UPPER(A1468)&amp;"|"&amp;UPPER(B1468),'Blackout Brand Fam Areas (Enc)'!$G$6:$G$998,0)),"No Match")</f>
        <v>No Match</v>
      </c>
      <c r="F1468" s="2" t="str">
        <f t="shared" si="44"/>
        <v>US</v>
      </c>
      <c r="G1468" s="2" t="str">
        <f t="shared" si="45"/>
        <v>Food &amp; Bev|SUSSEX</v>
      </c>
    </row>
    <row r="1469" spans="1:7" x14ac:dyDescent="0.2">
      <c r="A1469" s="2" t="str" cm="1">
        <f t="array" ref="A1469">INDEX('[1]Brand Family Territory (Enc)'!$A$2:$A$296,INT((ROW()-2)/10)+1)</f>
        <v>Food &amp; Bev</v>
      </c>
      <c r="B1469" s="2" t="str" cm="1">
        <f t="array" ref="B1469">INDEX('Whitelist (Blackout Reverse)'!$B$1:$K$1,MOD(ROW()-2,10)+1)</f>
        <v>MORRIS 1</v>
      </c>
      <c r="C1469" s="2" t="str">
        <f>VLOOKUP(A1469,'[1]Brand Family Territory (Enc)'!$A$2:$B$296,2,FALSE)</f>
        <v>All Counties</v>
      </c>
      <c r="D1469" s="2">
        <f>IF(COUNTIFS('[1]Brand Family Territories (Enc)'!$B$2:$B$62,C1469,'[1]Brand Family Territories (Enc)'!$C$2:$C$62,B1469)&gt;0,1,IF(AND(LEFT(B1469,6)="MORRIS",COUNTIFS('[1]Brand Family Territories (Enc)'!$B$2:$B$62,C1469,'[1]Brand Family Territories (Enc)'!$C$2:$C$62,"Morri")&gt;0),"Unk",0))</f>
        <v>1</v>
      </c>
      <c r="E1469" s="2" t="str">
        <f>IFERROR(INDEX('Blackout Brand Fam Areas (Enc)'!$D$6:$D$998,MATCH(UPPER(A1469)&amp;"|"&amp;UPPER(B1469),'Blackout Brand Fam Areas (Enc)'!$G$6:$G$998,0)),"No Match")</f>
        <v>No Match</v>
      </c>
      <c r="F1469" s="2" t="str">
        <f t="shared" si="44"/>
        <v>US</v>
      </c>
      <c r="G1469" s="2" t="str">
        <f t="shared" si="45"/>
        <v>Food &amp; Bev|MORRIS 1</v>
      </c>
    </row>
    <row r="1470" spans="1:7" x14ac:dyDescent="0.2">
      <c r="A1470" s="2" t="str" cm="1">
        <f t="array" ref="A1470">INDEX('[1]Brand Family Territory (Enc)'!$A$2:$A$296,INT((ROW()-2)/10)+1)</f>
        <v>Food &amp; Bev</v>
      </c>
      <c r="B1470" s="2" t="str" cm="1">
        <f t="array" ref="B1470">INDEX('Whitelist (Blackout Reverse)'!$B$1:$K$1,MOD(ROW()-2,10)+1)</f>
        <v>MORRIS 2</v>
      </c>
      <c r="C1470" s="2" t="str">
        <f>VLOOKUP(A1470,'[1]Brand Family Territory (Enc)'!$A$2:$B$296,2,FALSE)</f>
        <v>All Counties</v>
      </c>
      <c r="D1470" s="2">
        <f>IF(COUNTIFS('[1]Brand Family Territories (Enc)'!$B$2:$B$62,C1470,'[1]Brand Family Territories (Enc)'!$C$2:$C$62,B1470)&gt;0,1,IF(AND(LEFT(B1470,6)="MORRIS",COUNTIFS('[1]Brand Family Territories (Enc)'!$B$2:$B$62,C1470,'[1]Brand Family Territories (Enc)'!$C$2:$C$62,"Morri")&gt;0),"Unk",0))</f>
        <v>1</v>
      </c>
      <c r="E1470" s="2" t="str">
        <f>IFERROR(INDEX('Blackout Brand Fam Areas (Enc)'!$D$6:$D$998,MATCH(UPPER(A1470)&amp;"|"&amp;UPPER(B1470),'Blackout Brand Fam Areas (Enc)'!$G$6:$G$998,0)),"No Match")</f>
        <v>No Match</v>
      </c>
      <c r="F1470" s="2" t="str">
        <f t="shared" si="44"/>
        <v>US</v>
      </c>
      <c r="G1470" s="2" t="str">
        <f t="shared" si="45"/>
        <v>Food &amp; Bev|MORRIS 2</v>
      </c>
    </row>
    <row r="1471" spans="1:7" x14ac:dyDescent="0.2">
      <c r="A1471" s="2" t="str" cm="1">
        <f t="array" ref="A1471">INDEX('[1]Brand Family Territory (Enc)'!$A$2:$A$296,INT((ROW()-2)/10)+1)</f>
        <v>Food &amp; Bev</v>
      </c>
      <c r="B1471" s="2" t="str" cm="1">
        <f t="array" ref="B1471">INDEX('Whitelist (Blackout Reverse)'!$B$1:$K$1,MOD(ROW()-2,10)+1)</f>
        <v>MORRIS 3</v>
      </c>
      <c r="C1471" s="2" t="str">
        <f>VLOOKUP(A1471,'[1]Brand Family Territory (Enc)'!$A$2:$B$296,2,FALSE)</f>
        <v>All Counties</v>
      </c>
      <c r="D1471" s="2">
        <f>IF(COUNTIFS('[1]Brand Family Territories (Enc)'!$B$2:$B$62,C1471,'[1]Brand Family Territories (Enc)'!$C$2:$C$62,B1471)&gt;0,1,IF(AND(LEFT(B1471,6)="MORRIS",COUNTIFS('[1]Brand Family Territories (Enc)'!$B$2:$B$62,C1471,'[1]Brand Family Territories (Enc)'!$C$2:$C$62,"Morri")&gt;0),"Unk",0))</f>
        <v>1</v>
      </c>
      <c r="E1471" s="2" t="str">
        <f>IFERROR(INDEX('Blackout Brand Fam Areas (Enc)'!$D$6:$D$998,MATCH(UPPER(A1471)&amp;"|"&amp;UPPER(B1471),'Blackout Brand Fam Areas (Enc)'!$G$6:$G$998,0)),"No Match")</f>
        <v>No Match</v>
      </c>
      <c r="F1471" s="2" t="str">
        <f t="shared" si="44"/>
        <v>US</v>
      </c>
      <c r="G1471" s="2" t="str">
        <f t="shared" si="45"/>
        <v>Food &amp; Bev|MORRIS 3</v>
      </c>
    </row>
    <row r="1472" spans="1:7" x14ac:dyDescent="0.2">
      <c r="A1472" s="2" t="str" cm="1">
        <f t="array" ref="A1472">INDEX('[1]Brand Family Territory (Enc)'!$A$2:$A$296,INT((ROW()-2)/10)+1)</f>
        <v>Coastal Cocktails</v>
      </c>
      <c r="B1472" s="2" t="str" cm="1">
        <f t="array" ref="B1472">INDEX('Whitelist (Blackout Reverse)'!$B$1:$K$1,MOD(ROW()-2,10)+1)</f>
        <v>BERGEN</v>
      </c>
      <c r="C1472" s="2" t="str">
        <f>VLOOKUP(A1472,'[1]Brand Family Territory (Enc)'!$A$2:$B$296,2,FALSE)</f>
        <v>All Counties</v>
      </c>
      <c r="D1472" s="2">
        <f>IF(COUNTIFS('[1]Brand Family Territories (Enc)'!$B$2:$B$62,C1472,'[1]Brand Family Territories (Enc)'!$C$2:$C$62,B1472)&gt;0,1,IF(AND(LEFT(B1472,6)="MORRIS",COUNTIFS('[1]Brand Family Territories (Enc)'!$B$2:$B$62,C1472,'[1]Brand Family Territories (Enc)'!$C$2:$C$62,"Morri")&gt;0),"Unk",0))</f>
        <v>1</v>
      </c>
      <c r="E1472" s="2" t="str">
        <f>IFERROR(INDEX('Blackout Brand Fam Areas (Enc)'!$D$6:$D$998,MATCH(UPPER(A1472)&amp;"|"&amp;UPPER(B1472),'Blackout Brand Fam Areas (Enc)'!$G$6:$G$998,0)),"No Match")</f>
        <v>No Match</v>
      </c>
      <c r="F1472" s="2" t="str">
        <f t="shared" si="44"/>
        <v>US</v>
      </c>
      <c r="G1472" s="2" t="str">
        <f t="shared" si="45"/>
        <v>Coastal Cocktails|BERGEN</v>
      </c>
    </row>
    <row r="1473" spans="1:7" x14ac:dyDescent="0.2">
      <c r="A1473" s="2" t="str" cm="1">
        <f t="array" ref="A1473">INDEX('[1]Brand Family Territory (Enc)'!$A$2:$A$296,INT((ROW()-2)/10)+1)</f>
        <v>Coastal Cocktails</v>
      </c>
      <c r="B1473" s="2" t="str" cm="1">
        <f t="array" ref="B1473">INDEX('Whitelist (Blackout Reverse)'!$B$1:$K$1,MOD(ROW()-2,10)+1)</f>
        <v>PASSAIC</v>
      </c>
      <c r="C1473" s="2" t="str">
        <f>VLOOKUP(A1473,'[1]Brand Family Territory (Enc)'!$A$2:$B$296,2,FALSE)</f>
        <v>All Counties</v>
      </c>
      <c r="D1473" s="2">
        <f>IF(COUNTIFS('[1]Brand Family Territories (Enc)'!$B$2:$B$62,C1473,'[1]Brand Family Territories (Enc)'!$C$2:$C$62,B1473)&gt;0,1,IF(AND(LEFT(B1473,6)="MORRIS",COUNTIFS('[1]Brand Family Territories (Enc)'!$B$2:$B$62,C1473,'[1]Brand Family Territories (Enc)'!$C$2:$C$62,"Morri")&gt;0),"Unk",0))</f>
        <v>1</v>
      </c>
      <c r="E1473" s="2" t="str">
        <f>IFERROR(INDEX('Blackout Brand Fam Areas (Enc)'!$D$6:$D$998,MATCH(UPPER(A1473)&amp;"|"&amp;UPPER(B1473),'Blackout Brand Fam Areas (Enc)'!$G$6:$G$998,0)),"No Match")</f>
        <v>No Match</v>
      </c>
      <c r="F1473" s="2" t="str">
        <f t="shared" si="44"/>
        <v>US</v>
      </c>
      <c r="G1473" s="2" t="str">
        <f t="shared" si="45"/>
        <v>Coastal Cocktails|PASSAIC</v>
      </c>
    </row>
    <row r="1474" spans="1:7" x14ac:dyDescent="0.2">
      <c r="A1474" s="2" t="str" cm="1">
        <f t="array" ref="A1474">INDEX('[1]Brand Family Territory (Enc)'!$A$2:$A$296,INT((ROW()-2)/10)+1)</f>
        <v>Coastal Cocktails</v>
      </c>
      <c r="B1474" s="2" t="str" cm="1">
        <f t="array" ref="B1474">INDEX('Whitelist (Blackout Reverse)'!$B$1:$K$1,MOD(ROW()-2,10)+1)</f>
        <v>PASSAIC-FF</v>
      </c>
      <c r="C1474" s="2" t="str">
        <f>VLOOKUP(A1474,'[1]Brand Family Territory (Enc)'!$A$2:$B$296,2,FALSE)</f>
        <v>All Counties</v>
      </c>
      <c r="D1474" s="2">
        <f>IF(COUNTIFS('[1]Brand Family Territories (Enc)'!$B$2:$B$62,C1474,'[1]Brand Family Territories (Enc)'!$C$2:$C$62,B1474)&gt;0,1,IF(AND(LEFT(B1474,6)="MORRIS",COUNTIFS('[1]Brand Family Territories (Enc)'!$B$2:$B$62,C1474,'[1]Brand Family Territories (Enc)'!$C$2:$C$62,"Morri")&gt;0),"Unk",0))</f>
        <v>1</v>
      </c>
      <c r="E1474" s="2" t="str">
        <f>IFERROR(INDEX('Blackout Brand Fam Areas (Enc)'!$D$6:$D$998,MATCH(UPPER(A1474)&amp;"|"&amp;UPPER(B1474),'Blackout Brand Fam Areas (Enc)'!$G$6:$G$998,0)),"No Match")</f>
        <v>No Match</v>
      </c>
      <c r="F1474" s="2" t="str">
        <f t="shared" si="44"/>
        <v>US</v>
      </c>
      <c r="G1474" s="2" t="str">
        <f t="shared" si="45"/>
        <v>Coastal Cocktails|PASSAIC-FF</v>
      </c>
    </row>
    <row r="1475" spans="1:7" x14ac:dyDescent="0.2">
      <c r="A1475" s="2" t="str" cm="1">
        <f t="array" ref="A1475">INDEX('[1]Brand Family Territory (Enc)'!$A$2:$A$296,INT((ROW()-2)/10)+1)</f>
        <v>Coastal Cocktails</v>
      </c>
      <c r="B1475" s="2" t="str" cm="1">
        <f t="array" ref="B1475">INDEX('Whitelist (Blackout Reverse)'!$B$1:$K$1,MOD(ROW()-2,10)+1)</f>
        <v>ESSEX</v>
      </c>
      <c r="C1475" s="2" t="str">
        <f>VLOOKUP(A1475,'[1]Brand Family Territory (Enc)'!$A$2:$B$296,2,FALSE)</f>
        <v>All Counties</v>
      </c>
      <c r="D1475" s="2">
        <f>IF(COUNTIFS('[1]Brand Family Territories (Enc)'!$B$2:$B$62,C1475,'[1]Brand Family Territories (Enc)'!$C$2:$C$62,B1475)&gt;0,1,IF(AND(LEFT(B1475,6)="MORRIS",COUNTIFS('[1]Brand Family Territories (Enc)'!$B$2:$B$62,C1475,'[1]Brand Family Territories (Enc)'!$C$2:$C$62,"Morri")&gt;0),"Unk",0))</f>
        <v>1</v>
      </c>
      <c r="E1475" s="2" t="str">
        <f>IFERROR(INDEX('Blackout Brand Fam Areas (Enc)'!$D$6:$D$998,MATCH(UPPER(A1475)&amp;"|"&amp;UPPER(B1475),'Blackout Brand Fam Areas (Enc)'!$G$6:$G$998,0)),"No Match")</f>
        <v>No Match</v>
      </c>
      <c r="F1475" s="2" t="str">
        <f t="shared" ref="F1475:F1538" si="46">IF(D1475="Unk","Ambiguous (Source Truncated)",IF(E1475="Inactive","THEM",IF(D1475=1,"US",IF(D1475="N/A","No Territory Data","THEM"))))</f>
        <v>US</v>
      </c>
      <c r="G1475" s="2" t="str">
        <f t="shared" ref="G1475:G1538" si="47">A1475&amp;"|"&amp;B1475</f>
        <v>Coastal Cocktails|ESSEX</v>
      </c>
    </row>
    <row r="1476" spans="1:7" x14ac:dyDescent="0.2">
      <c r="A1476" s="2" t="str" cm="1">
        <f t="array" ref="A1476">INDEX('[1]Brand Family Territory (Enc)'!$A$2:$A$296,INT((ROW()-2)/10)+1)</f>
        <v>Coastal Cocktails</v>
      </c>
      <c r="B1476" s="2" t="str" cm="1">
        <f t="array" ref="B1476">INDEX('Whitelist (Blackout Reverse)'!$B$1:$K$1,MOD(ROW()-2,10)+1)</f>
        <v>HUDSON</v>
      </c>
      <c r="C1476" s="2" t="str">
        <f>VLOOKUP(A1476,'[1]Brand Family Territory (Enc)'!$A$2:$B$296,2,FALSE)</f>
        <v>All Counties</v>
      </c>
      <c r="D1476" s="2">
        <f>IF(COUNTIFS('[1]Brand Family Territories (Enc)'!$B$2:$B$62,C1476,'[1]Brand Family Territories (Enc)'!$C$2:$C$62,B1476)&gt;0,1,IF(AND(LEFT(B1476,6)="MORRIS",COUNTIFS('[1]Brand Family Territories (Enc)'!$B$2:$B$62,C1476,'[1]Brand Family Territories (Enc)'!$C$2:$C$62,"Morri")&gt;0),"Unk",0))</f>
        <v>1</v>
      </c>
      <c r="E1476" s="2" t="str">
        <f>IFERROR(INDEX('Blackout Brand Fam Areas (Enc)'!$D$6:$D$998,MATCH(UPPER(A1476)&amp;"|"&amp;UPPER(B1476),'Blackout Brand Fam Areas (Enc)'!$G$6:$G$998,0)),"No Match")</f>
        <v>No Match</v>
      </c>
      <c r="F1476" s="2" t="str">
        <f t="shared" si="46"/>
        <v>US</v>
      </c>
      <c r="G1476" s="2" t="str">
        <f t="shared" si="47"/>
        <v>Coastal Cocktails|HUDSON</v>
      </c>
    </row>
    <row r="1477" spans="1:7" x14ac:dyDescent="0.2">
      <c r="A1477" s="2" t="str" cm="1">
        <f t="array" ref="A1477">INDEX('[1]Brand Family Territory (Enc)'!$A$2:$A$296,INT((ROW()-2)/10)+1)</f>
        <v>Coastal Cocktails</v>
      </c>
      <c r="B1477" s="2" t="str" cm="1">
        <f t="array" ref="B1477">INDEX('Whitelist (Blackout Reverse)'!$B$1:$K$1,MOD(ROW()-2,10)+1)</f>
        <v>UNION</v>
      </c>
      <c r="C1477" s="2" t="str">
        <f>VLOOKUP(A1477,'[1]Brand Family Territory (Enc)'!$A$2:$B$296,2,FALSE)</f>
        <v>All Counties</v>
      </c>
      <c r="D1477" s="2">
        <f>IF(COUNTIFS('[1]Brand Family Territories (Enc)'!$B$2:$B$62,C1477,'[1]Brand Family Territories (Enc)'!$C$2:$C$62,B1477)&gt;0,1,IF(AND(LEFT(B1477,6)="MORRIS",COUNTIFS('[1]Brand Family Territories (Enc)'!$B$2:$B$62,C1477,'[1]Brand Family Territories (Enc)'!$C$2:$C$62,"Morri")&gt;0),"Unk",0))</f>
        <v>1</v>
      </c>
      <c r="E1477" s="2" t="str">
        <f>IFERROR(INDEX('Blackout Brand Fam Areas (Enc)'!$D$6:$D$998,MATCH(UPPER(A1477)&amp;"|"&amp;UPPER(B1477),'Blackout Brand Fam Areas (Enc)'!$G$6:$G$998,0)),"No Match")</f>
        <v>No Match</v>
      </c>
      <c r="F1477" s="2" t="str">
        <f t="shared" si="46"/>
        <v>US</v>
      </c>
      <c r="G1477" s="2" t="str">
        <f t="shared" si="47"/>
        <v>Coastal Cocktails|UNION</v>
      </c>
    </row>
    <row r="1478" spans="1:7" x14ac:dyDescent="0.2">
      <c r="A1478" s="2" t="str" cm="1">
        <f t="array" ref="A1478">INDEX('[1]Brand Family Territory (Enc)'!$A$2:$A$296,INT((ROW()-2)/10)+1)</f>
        <v>Coastal Cocktails</v>
      </c>
      <c r="B1478" s="2" t="str" cm="1">
        <f t="array" ref="B1478">INDEX('Whitelist (Blackout Reverse)'!$B$1:$K$1,MOD(ROW()-2,10)+1)</f>
        <v>SUSSEX</v>
      </c>
      <c r="C1478" s="2" t="str">
        <f>VLOOKUP(A1478,'[1]Brand Family Territory (Enc)'!$A$2:$B$296,2,FALSE)</f>
        <v>All Counties</v>
      </c>
      <c r="D1478" s="2">
        <f>IF(COUNTIFS('[1]Brand Family Territories (Enc)'!$B$2:$B$62,C1478,'[1]Brand Family Territories (Enc)'!$C$2:$C$62,B1478)&gt;0,1,IF(AND(LEFT(B1478,6)="MORRIS",COUNTIFS('[1]Brand Family Territories (Enc)'!$B$2:$B$62,C1478,'[1]Brand Family Territories (Enc)'!$C$2:$C$62,"Morri")&gt;0),"Unk",0))</f>
        <v>1</v>
      </c>
      <c r="E1478" s="2" t="str">
        <f>IFERROR(INDEX('Blackout Brand Fam Areas (Enc)'!$D$6:$D$998,MATCH(UPPER(A1478)&amp;"|"&amp;UPPER(B1478),'Blackout Brand Fam Areas (Enc)'!$G$6:$G$998,0)),"No Match")</f>
        <v>No Match</v>
      </c>
      <c r="F1478" s="2" t="str">
        <f t="shared" si="46"/>
        <v>US</v>
      </c>
      <c r="G1478" s="2" t="str">
        <f t="shared" si="47"/>
        <v>Coastal Cocktails|SUSSEX</v>
      </c>
    </row>
    <row r="1479" spans="1:7" x14ac:dyDescent="0.2">
      <c r="A1479" s="2" t="str" cm="1">
        <f t="array" ref="A1479">INDEX('[1]Brand Family Territory (Enc)'!$A$2:$A$296,INT((ROW()-2)/10)+1)</f>
        <v>Coastal Cocktails</v>
      </c>
      <c r="B1479" s="2" t="str" cm="1">
        <f t="array" ref="B1479">INDEX('Whitelist (Blackout Reverse)'!$B$1:$K$1,MOD(ROW()-2,10)+1)</f>
        <v>MORRIS 1</v>
      </c>
      <c r="C1479" s="2" t="str">
        <f>VLOOKUP(A1479,'[1]Brand Family Territory (Enc)'!$A$2:$B$296,2,FALSE)</f>
        <v>All Counties</v>
      </c>
      <c r="D1479" s="2">
        <f>IF(COUNTIFS('[1]Brand Family Territories (Enc)'!$B$2:$B$62,C1479,'[1]Brand Family Territories (Enc)'!$C$2:$C$62,B1479)&gt;0,1,IF(AND(LEFT(B1479,6)="MORRIS",COUNTIFS('[1]Brand Family Territories (Enc)'!$B$2:$B$62,C1479,'[1]Brand Family Territories (Enc)'!$C$2:$C$62,"Morri")&gt;0),"Unk",0))</f>
        <v>1</v>
      </c>
      <c r="E1479" s="2" t="str">
        <f>IFERROR(INDEX('Blackout Brand Fam Areas (Enc)'!$D$6:$D$998,MATCH(UPPER(A1479)&amp;"|"&amp;UPPER(B1479),'Blackout Brand Fam Areas (Enc)'!$G$6:$G$998,0)),"No Match")</f>
        <v>No Match</v>
      </c>
      <c r="F1479" s="2" t="str">
        <f t="shared" si="46"/>
        <v>US</v>
      </c>
      <c r="G1479" s="2" t="str">
        <f t="shared" si="47"/>
        <v>Coastal Cocktails|MORRIS 1</v>
      </c>
    </row>
    <row r="1480" spans="1:7" x14ac:dyDescent="0.2">
      <c r="A1480" s="2" t="str" cm="1">
        <f t="array" ref="A1480">INDEX('[1]Brand Family Territory (Enc)'!$A$2:$A$296,INT((ROW()-2)/10)+1)</f>
        <v>Coastal Cocktails</v>
      </c>
      <c r="B1480" s="2" t="str" cm="1">
        <f t="array" ref="B1480">INDEX('Whitelist (Blackout Reverse)'!$B$1:$K$1,MOD(ROW()-2,10)+1)</f>
        <v>MORRIS 2</v>
      </c>
      <c r="C1480" s="2" t="str">
        <f>VLOOKUP(A1480,'[1]Brand Family Territory (Enc)'!$A$2:$B$296,2,FALSE)</f>
        <v>All Counties</v>
      </c>
      <c r="D1480" s="2">
        <f>IF(COUNTIFS('[1]Brand Family Territories (Enc)'!$B$2:$B$62,C1480,'[1]Brand Family Territories (Enc)'!$C$2:$C$62,B1480)&gt;0,1,IF(AND(LEFT(B1480,6)="MORRIS",COUNTIFS('[1]Brand Family Territories (Enc)'!$B$2:$B$62,C1480,'[1]Brand Family Territories (Enc)'!$C$2:$C$62,"Morri")&gt;0),"Unk",0))</f>
        <v>1</v>
      </c>
      <c r="E1480" s="2" t="str">
        <f>IFERROR(INDEX('Blackout Brand Fam Areas (Enc)'!$D$6:$D$998,MATCH(UPPER(A1480)&amp;"|"&amp;UPPER(B1480),'Blackout Brand Fam Areas (Enc)'!$G$6:$G$998,0)),"No Match")</f>
        <v>No Match</v>
      </c>
      <c r="F1480" s="2" t="str">
        <f t="shared" si="46"/>
        <v>US</v>
      </c>
      <c r="G1480" s="2" t="str">
        <f t="shared" si="47"/>
        <v>Coastal Cocktails|MORRIS 2</v>
      </c>
    </row>
    <row r="1481" spans="1:7" x14ac:dyDescent="0.2">
      <c r="A1481" s="2" t="str" cm="1">
        <f t="array" ref="A1481">INDEX('[1]Brand Family Territory (Enc)'!$A$2:$A$296,INT((ROW()-2)/10)+1)</f>
        <v>Coastal Cocktails</v>
      </c>
      <c r="B1481" s="2" t="str" cm="1">
        <f t="array" ref="B1481">INDEX('Whitelist (Blackout Reverse)'!$B$1:$K$1,MOD(ROW()-2,10)+1)</f>
        <v>MORRIS 3</v>
      </c>
      <c r="C1481" s="2" t="str">
        <f>VLOOKUP(A1481,'[1]Brand Family Territory (Enc)'!$A$2:$B$296,2,FALSE)</f>
        <v>All Counties</v>
      </c>
      <c r="D1481" s="2">
        <f>IF(COUNTIFS('[1]Brand Family Territories (Enc)'!$B$2:$B$62,C1481,'[1]Brand Family Territories (Enc)'!$C$2:$C$62,B1481)&gt;0,1,IF(AND(LEFT(B1481,6)="MORRIS",COUNTIFS('[1]Brand Family Territories (Enc)'!$B$2:$B$62,C1481,'[1]Brand Family Territories (Enc)'!$C$2:$C$62,"Morri")&gt;0),"Unk",0))</f>
        <v>1</v>
      </c>
      <c r="E1481" s="2" t="str">
        <f>IFERROR(INDEX('Blackout Brand Fam Areas (Enc)'!$D$6:$D$998,MATCH(UPPER(A1481)&amp;"|"&amp;UPPER(B1481),'Blackout Brand Fam Areas (Enc)'!$G$6:$G$998,0)),"No Match")</f>
        <v>No Match</v>
      </c>
      <c r="F1481" s="2" t="str">
        <f t="shared" si="46"/>
        <v>US</v>
      </c>
      <c r="G1481" s="2" t="str">
        <f t="shared" si="47"/>
        <v>Coastal Cocktails|MORRIS 3</v>
      </c>
    </row>
    <row r="1482" spans="1:7" x14ac:dyDescent="0.2">
      <c r="A1482" s="2" t="str" cm="1">
        <f t="array" ref="A1482">INDEX('[1]Brand Family Territory (Enc)'!$A$2:$A$296,INT((ROW()-2)/10)+1)</f>
        <v>Colt 45</v>
      </c>
      <c r="B1482" s="2" t="str" cm="1">
        <f t="array" ref="B1482">INDEX('Whitelist (Blackout Reverse)'!$B$1:$K$1,MOD(ROW()-2,10)+1)</f>
        <v>BERGEN</v>
      </c>
      <c r="C1482" s="2" t="str">
        <f>VLOOKUP(A1482,'[1]Brand Family Territory (Enc)'!$A$2:$B$296,2,FALSE)</f>
        <v>All Counties</v>
      </c>
      <c r="D1482" s="2">
        <f>IF(COUNTIFS('[1]Brand Family Territories (Enc)'!$B$2:$B$62,C1482,'[1]Brand Family Territories (Enc)'!$C$2:$C$62,B1482)&gt;0,1,IF(AND(LEFT(B1482,6)="MORRIS",COUNTIFS('[1]Brand Family Territories (Enc)'!$B$2:$B$62,C1482,'[1]Brand Family Territories (Enc)'!$C$2:$C$62,"Morri")&gt;0),"Unk",0))</f>
        <v>1</v>
      </c>
      <c r="E1482" s="2" t="str">
        <f>IFERROR(INDEX('Blackout Brand Fam Areas (Enc)'!$D$6:$D$998,MATCH(UPPER(A1482)&amp;"|"&amp;UPPER(B1482),'Blackout Brand Fam Areas (Enc)'!$G$6:$G$998,0)),"No Match")</f>
        <v>No Match</v>
      </c>
      <c r="F1482" s="2" t="str">
        <f t="shared" si="46"/>
        <v>US</v>
      </c>
      <c r="G1482" s="2" t="str">
        <f t="shared" si="47"/>
        <v>Colt 45|BERGEN</v>
      </c>
    </row>
    <row r="1483" spans="1:7" x14ac:dyDescent="0.2">
      <c r="A1483" s="2" t="str" cm="1">
        <f t="array" ref="A1483">INDEX('[1]Brand Family Territory (Enc)'!$A$2:$A$296,INT((ROW()-2)/10)+1)</f>
        <v>Colt 45</v>
      </c>
      <c r="B1483" s="2" t="str" cm="1">
        <f t="array" ref="B1483">INDEX('Whitelist (Blackout Reverse)'!$B$1:$K$1,MOD(ROW()-2,10)+1)</f>
        <v>PASSAIC</v>
      </c>
      <c r="C1483" s="2" t="str">
        <f>VLOOKUP(A1483,'[1]Brand Family Territory (Enc)'!$A$2:$B$296,2,FALSE)</f>
        <v>All Counties</v>
      </c>
      <c r="D1483" s="2">
        <f>IF(COUNTIFS('[1]Brand Family Territories (Enc)'!$B$2:$B$62,C1483,'[1]Brand Family Territories (Enc)'!$C$2:$C$62,B1483)&gt;0,1,IF(AND(LEFT(B1483,6)="MORRIS",COUNTIFS('[1]Brand Family Territories (Enc)'!$B$2:$B$62,C1483,'[1]Brand Family Territories (Enc)'!$C$2:$C$62,"Morri")&gt;0),"Unk",0))</f>
        <v>1</v>
      </c>
      <c r="E1483" s="2" t="str">
        <f>IFERROR(INDEX('Blackout Brand Fam Areas (Enc)'!$D$6:$D$998,MATCH(UPPER(A1483)&amp;"|"&amp;UPPER(B1483),'Blackout Brand Fam Areas (Enc)'!$G$6:$G$998,0)),"No Match")</f>
        <v>No Match</v>
      </c>
      <c r="F1483" s="2" t="str">
        <f t="shared" si="46"/>
        <v>US</v>
      </c>
      <c r="G1483" s="2" t="str">
        <f t="shared" si="47"/>
        <v>Colt 45|PASSAIC</v>
      </c>
    </row>
    <row r="1484" spans="1:7" x14ac:dyDescent="0.2">
      <c r="A1484" s="2" t="str" cm="1">
        <f t="array" ref="A1484">INDEX('[1]Brand Family Territory (Enc)'!$A$2:$A$296,INT((ROW()-2)/10)+1)</f>
        <v>Colt 45</v>
      </c>
      <c r="B1484" s="2" t="str" cm="1">
        <f t="array" ref="B1484">INDEX('Whitelist (Blackout Reverse)'!$B$1:$K$1,MOD(ROW()-2,10)+1)</f>
        <v>PASSAIC-FF</v>
      </c>
      <c r="C1484" s="2" t="str">
        <f>VLOOKUP(A1484,'[1]Brand Family Territory (Enc)'!$A$2:$B$296,2,FALSE)</f>
        <v>All Counties</v>
      </c>
      <c r="D1484" s="2">
        <f>IF(COUNTIFS('[1]Brand Family Territories (Enc)'!$B$2:$B$62,C1484,'[1]Brand Family Territories (Enc)'!$C$2:$C$62,B1484)&gt;0,1,IF(AND(LEFT(B1484,6)="MORRIS",COUNTIFS('[1]Brand Family Territories (Enc)'!$B$2:$B$62,C1484,'[1]Brand Family Territories (Enc)'!$C$2:$C$62,"Morri")&gt;0),"Unk",0))</f>
        <v>1</v>
      </c>
      <c r="E1484" s="2" t="str">
        <f>IFERROR(INDEX('Blackout Brand Fam Areas (Enc)'!$D$6:$D$998,MATCH(UPPER(A1484)&amp;"|"&amp;UPPER(B1484),'Blackout Brand Fam Areas (Enc)'!$G$6:$G$998,0)),"No Match")</f>
        <v>No Match</v>
      </c>
      <c r="F1484" s="2" t="str">
        <f t="shared" si="46"/>
        <v>US</v>
      </c>
      <c r="G1484" s="2" t="str">
        <f t="shared" si="47"/>
        <v>Colt 45|PASSAIC-FF</v>
      </c>
    </row>
    <row r="1485" spans="1:7" x14ac:dyDescent="0.2">
      <c r="A1485" s="2" t="str" cm="1">
        <f t="array" ref="A1485">INDEX('[1]Brand Family Territory (Enc)'!$A$2:$A$296,INT((ROW()-2)/10)+1)</f>
        <v>Colt 45</v>
      </c>
      <c r="B1485" s="2" t="str" cm="1">
        <f t="array" ref="B1485">INDEX('Whitelist (Blackout Reverse)'!$B$1:$K$1,MOD(ROW()-2,10)+1)</f>
        <v>ESSEX</v>
      </c>
      <c r="C1485" s="2" t="str">
        <f>VLOOKUP(A1485,'[1]Brand Family Territory (Enc)'!$A$2:$B$296,2,FALSE)</f>
        <v>All Counties</v>
      </c>
      <c r="D1485" s="2">
        <f>IF(COUNTIFS('[1]Brand Family Territories (Enc)'!$B$2:$B$62,C1485,'[1]Brand Family Territories (Enc)'!$C$2:$C$62,B1485)&gt;0,1,IF(AND(LEFT(B1485,6)="MORRIS",COUNTIFS('[1]Brand Family Territories (Enc)'!$B$2:$B$62,C1485,'[1]Brand Family Territories (Enc)'!$C$2:$C$62,"Morri")&gt;0),"Unk",0))</f>
        <v>1</v>
      </c>
      <c r="E1485" s="2" t="str">
        <f>IFERROR(INDEX('Blackout Brand Fam Areas (Enc)'!$D$6:$D$998,MATCH(UPPER(A1485)&amp;"|"&amp;UPPER(B1485),'Blackout Brand Fam Areas (Enc)'!$G$6:$G$998,0)),"No Match")</f>
        <v>No Match</v>
      </c>
      <c r="F1485" s="2" t="str">
        <f t="shared" si="46"/>
        <v>US</v>
      </c>
      <c r="G1485" s="2" t="str">
        <f t="shared" si="47"/>
        <v>Colt 45|ESSEX</v>
      </c>
    </row>
    <row r="1486" spans="1:7" x14ac:dyDescent="0.2">
      <c r="A1486" s="2" t="str" cm="1">
        <f t="array" ref="A1486">INDEX('[1]Brand Family Territory (Enc)'!$A$2:$A$296,INT((ROW()-2)/10)+1)</f>
        <v>Colt 45</v>
      </c>
      <c r="B1486" s="2" t="str" cm="1">
        <f t="array" ref="B1486">INDEX('Whitelist (Blackout Reverse)'!$B$1:$K$1,MOD(ROW()-2,10)+1)</f>
        <v>HUDSON</v>
      </c>
      <c r="C1486" s="2" t="str">
        <f>VLOOKUP(A1486,'[1]Brand Family Territory (Enc)'!$A$2:$B$296,2,FALSE)</f>
        <v>All Counties</v>
      </c>
      <c r="D1486" s="2">
        <f>IF(COUNTIFS('[1]Brand Family Territories (Enc)'!$B$2:$B$62,C1486,'[1]Brand Family Territories (Enc)'!$C$2:$C$62,B1486)&gt;0,1,IF(AND(LEFT(B1486,6)="MORRIS",COUNTIFS('[1]Brand Family Territories (Enc)'!$B$2:$B$62,C1486,'[1]Brand Family Territories (Enc)'!$C$2:$C$62,"Morri")&gt;0),"Unk",0))</f>
        <v>1</v>
      </c>
      <c r="E1486" s="2" t="str">
        <f>IFERROR(INDEX('Blackout Brand Fam Areas (Enc)'!$D$6:$D$998,MATCH(UPPER(A1486)&amp;"|"&amp;UPPER(B1486),'Blackout Brand Fam Areas (Enc)'!$G$6:$G$998,0)),"No Match")</f>
        <v>No Match</v>
      </c>
      <c r="F1486" s="2" t="str">
        <f t="shared" si="46"/>
        <v>US</v>
      </c>
      <c r="G1486" s="2" t="str">
        <f t="shared" si="47"/>
        <v>Colt 45|HUDSON</v>
      </c>
    </row>
    <row r="1487" spans="1:7" x14ac:dyDescent="0.2">
      <c r="A1487" s="2" t="str" cm="1">
        <f t="array" ref="A1487">INDEX('[1]Brand Family Territory (Enc)'!$A$2:$A$296,INT((ROW()-2)/10)+1)</f>
        <v>Colt 45</v>
      </c>
      <c r="B1487" s="2" t="str" cm="1">
        <f t="array" ref="B1487">INDEX('Whitelist (Blackout Reverse)'!$B$1:$K$1,MOD(ROW()-2,10)+1)</f>
        <v>UNION</v>
      </c>
      <c r="C1487" s="2" t="str">
        <f>VLOOKUP(A1487,'[1]Brand Family Territory (Enc)'!$A$2:$B$296,2,FALSE)</f>
        <v>All Counties</v>
      </c>
      <c r="D1487" s="2">
        <f>IF(COUNTIFS('[1]Brand Family Territories (Enc)'!$B$2:$B$62,C1487,'[1]Brand Family Territories (Enc)'!$C$2:$C$62,B1487)&gt;0,1,IF(AND(LEFT(B1487,6)="MORRIS",COUNTIFS('[1]Brand Family Territories (Enc)'!$B$2:$B$62,C1487,'[1]Brand Family Territories (Enc)'!$C$2:$C$62,"Morri")&gt;0),"Unk",0))</f>
        <v>1</v>
      </c>
      <c r="E1487" s="2" t="str">
        <f>IFERROR(INDEX('Blackout Brand Fam Areas (Enc)'!$D$6:$D$998,MATCH(UPPER(A1487)&amp;"|"&amp;UPPER(B1487),'Blackout Brand Fam Areas (Enc)'!$G$6:$G$998,0)),"No Match")</f>
        <v>No Match</v>
      </c>
      <c r="F1487" s="2" t="str">
        <f t="shared" si="46"/>
        <v>US</v>
      </c>
      <c r="G1487" s="2" t="str">
        <f t="shared" si="47"/>
        <v>Colt 45|UNION</v>
      </c>
    </row>
    <row r="1488" spans="1:7" x14ac:dyDescent="0.2">
      <c r="A1488" s="2" t="str" cm="1">
        <f t="array" ref="A1488">INDEX('[1]Brand Family Territory (Enc)'!$A$2:$A$296,INT((ROW()-2)/10)+1)</f>
        <v>Colt 45</v>
      </c>
      <c r="B1488" s="2" t="str" cm="1">
        <f t="array" ref="B1488">INDEX('Whitelist (Blackout Reverse)'!$B$1:$K$1,MOD(ROW()-2,10)+1)</f>
        <v>SUSSEX</v>
      </c>
      <c r="C1488" s="2" t="str">
        <f>VLOOKUP(A1488,'[1]Brand Family Territory (Enc)'!$A$2:$B$296,2,FALSE)</f>
        <v>All Counties</v>
      </c>
      <c r="D1488" s="2">
        <f>IF(COUNTIFS('[1]Brand Family Territories (Enc)'!$B$2:$B$62,C1488,'[1]Brand Family Territories (Enc)'!$C$2:$C$62,B1488)&gt;0,1,IF(AND(LEFT(B1488,6)="MORRIS",COUNTIFS('[1]Brand Family Territories (Enc)'!$B$2:$B$62,C1488,'[1]Brand Family Territories (Enc)'!$C$2:$C$62,"Morri")&gt;0),"Unk",0))</f>
        <v>1</v>
      </c>
      <c r="E1488" s="2" t="str">
        <f>IFERROR(INDEX('Blackout Brand Fam Areas (Enc)'!$D$6:$D$998,MATCH(UPPER(A1488)&amp;"|"&amp;UPPER(B1488),'Blackout Brand Fam Areas (Enc)'!$G$6:$G$998,0)),"No Match")</f>
        <v>No Match</v>
      </c>
      <c r="F1488" s="2" t="str">
        <f t="shared" si="46"/>
        <v>US</v>
      </c>
      <c r="G1488" s="2" t="str">
        <f t="shared" si="47"/>
        <v>Colt 45|SUSSEX</v>
      </c>
    </row>
    <row r="1489" spans="1:7" x14ac:dyDescent="0.2">
      <c r="A1489" s="2" t="str" cm="1">
        <f t="array" ref="A1489">INDEX('[1]Brand Family Territory (Enc)'!$A$2:$A$296,INT((ROW()-2)/10)+1)</f>
        <v>Colt 45</v>
      </c>
      <c r="B1489" s="2" t="str" cm="1">
        <f t="array" ref="B1489">INDEX('Whitelist (Blackout Reverse)'!$B$1:$K$1,MOD(ROW()-2,10)+1)</f>
        <v>MORRIS 1</v>
      </c>
      <c r="C1489" s="2" t="str">
        <f>VLOOKUP(A1489,'[1]Brand Family Territory (Enc)'!$A$2:$B$296,2,FALSE)</f>
        <v>All Counties</v>
      </c>
      <c r="D1489" s="2">
        <f>IF(COUNTIFS('[1]Brand Family Territories (Enc)'!$B$2:$B$62,C1489,'[1]Brand Family Territories (Enc)'!$C$2:$C$62,B1489)&gt;0,1,IF(AND(LEFT(B1489,6)="MORRIS",COUNTIFS('[1]Brand Family Territories (Enc)'!$B$2:$B$62,C1489,'[1]Brand Family Territories (Enc)'!$C$2:$C$62,"Morri")&gt;0),"Unk",0))</f>
        <v>1</v>
      </c>
      <c r="E1489" s="2" t="str">
        <f>IFERROR(INDEX('Blackout Brand Fam Areas (Enc)'!$D$6:$D$998,MATCH(UPPER(A1489)&amp;"|"&amp;UPPER(B1489),'Blackout Brand Fam Areas (Enc)'!$G$6:$G$998,0)),"No Match")</f>
        <v>No Match</v>
      </c>
      <c r="F1489" s="2" t="str">
        <f t="shared" si="46"/>
        <v>US</v>
      </c>
      <c r="G1489" s="2" t="str">
        <f t="shared" si="47"/>
        <v>Colt 45|MORRIS 1</v>
      </c>
    </row>
    <row r="1490" spans="1:7" x14ac:dyDescent="0.2">
      <c r="A1490" s="2" t="str" cm="1">
        <f t="array" ref="A1490">INDEX('[1]Brand Family Territory (Enc)'!$A$2:$A$296,INT((ROW()-2)/10)+1)</f>
        <v>Colt 45</v>
      </c>
      <c r="B1490" s="2" t="str" cm="1">
        <f t="array" ref="B1490">INDEX('Whitelist (Blackout Reverse)'!$B$1:$K$1,MOD(ROW()-2,10)+1)</f>
        <v>MORRIS 2</v>
      </c>
      <c r="C1490" s="2" t="str">
        <f>VLOOKUP(A1490,'[1]Brand Family Territory (Enc)'!$A$2:$B$296,2,FALSE)</f>
        <v>All Counties</v>
      </c>
      <c r="D1490" s="2">
        <f>IF(COUNTIFS('[1]Brand Family Territories (Enc)'!$B$2:$B$62,C1490,'[1]Brand Family Territories (Enc)'!$C$2:$C$62,B1490)&gt;0,1,IF(AND(LEFT(B1490,6)="MORRIS",COUNTIFS('[1]Brand Family Territories (Enc)'!$B$2:$B$62,C1490,'[1]Brand Family Territories (Enc)'!$C$2:$C$62,"Morri")&gt;0),"Unk",0))</f>
        <v>1</v>
      </c>
      <c r="E1490" s="2" t="str">
        <f>IFERROR(INDEX('Blackout Brand Fam Areas (Enc)'!$D$6:$D$998,MATCH(UPPER(A1490)&amp;"|"&amp;UPPER(B1490),'Blackout Brand Fam Areas (Enc)'!$G$6:$G$998,0)),"No Match")</f>
        <v>No Match</v>
      </c>
      <c r="F1490" s="2" t="str">
        <f t="shared" si="46"/>
        <v>US</v>
      </c>
      <c r="G1490" s="2" t="str">
        <f t="shared" si="47"/>
        <v>Colt 45|MORRIS 2</v>
      </c>
    </row>
    <row r="1491" spans="1:7" x14ac:dyDescent="0.2">
      <c r="A1491" s="2" t="str" cm="1">
        <f t="array" ref="A1491">INDEX('[1]Brand Family Territory (Enc)'!$A$2:$A$296,INT((ROW()-2)/10)+1)</f>
        <v>Colt 45</v>
      </c>
      <c r="B1491" s="2" t="str" cm="1">
        <f t="array" ref="B1491">INDEX('Whitelist (Blackout Reverse)'!$B$1:$K$1,MOD(ROW()-2,10)+1)</f>
        <v>MORRIS 3</v>
      </c>
      <c r="C1491" s="2" t="str">
        <f>VLOOKUP(A1491,'[1]Brand Family Territory (Enc)'!$A$2:$B$296,2,FALSE)</f>
        <v>All Counties</v>
      </c>
      <c r="D1491" s="2">
        <f>IF(COUNTIFS('[1]Brand Family Territories (Enc)'!$B$2:$B$62,C1491,'[1]Brand Family Territories (Enc)'!$C$2:$C$62,B1491)&gt;0,1,IF(AND(LEFT(B1491,6)="MORRIS",COUNTIFS('[1]Brand Family Territories (Enc)'!$B$2:$B$62,C1491,'[1]Brand Family Territories (Enc)'!$C$2:$C$62,"Morri")&gt;0),"Unk",0))</f>
        <v>1</v>
      </c>
      <c r="E1491" s="2" t="str">
        <f>IFERROR(INDEX('Blackout Brand Fam Areas (Enc)'!$D$6:$D$998,MATCH(UPPER(A1491)&amp;"|"&amp;UPPER(B1491),'Blackout Brand Fam Areas (Enc)'!$G$6:$G$998,0)),"No Match")</f>
        <v>No Match</v>
      </c>
      <c r="F1491" s="2" t="str">
        <f t="shared" si="46"/>
        <v>US</v>
      </c>
      <c r="G1491" s="2" t="str">
        <f t="shared" si="47"/>
        <v>Colt 45|MORRIS 3</v>
      </c>
    </row>
    <row r="1492" spans="1:7" x14ac:dyDescent="0.2">
      <c r="A1492" s="2" t="str" cm="1">
        <f t="array" ref="A1492">INDEX('[1]Brand Family Territory (Enc)'!$A$2:$A$296,INT((ROW()-2)/10)+1)</f>
        <v>Costenita</v>
      </c>
      <c r="B1492" s="2" t="str" cm="1">
        <f t="array" ref="B1492">INDEX('Whitelist (Blackout Reverse)'!$B$1:$K$1,MOD(ROW()-2,10)+1)</f>
        <v>BERGEN</v>
      </c>
      <c r="C1492" s="2" t="str">
        <f>VLOOKUP(A1492,'[1]Brand Family Territory (Enc)'!$A$2:$B$296,2,FALSE)</f>
        <v>All Counties</v>
      </c>
      <c r="D1492" s="2">
        <f>IF(COUNTIFS('[1]Brand Family Territories (Enc)'!$B$2:$B$62,C1492,'[1]Brand Family Territories (Enc)'!$C$2:$C$62,B1492)&gt;0,1,IF(AND(LEFT(B1492,6)="MORRIS",COUNTIFS('[1]Brand Family Territories (Enc)'!$B$2:$B$62,C1492,'[1]Brand Family Territories (Enc)'!$C$2:$C$62,"Morri")&gt;0),"Unk",0))</f>
        <v>1</v>
      </c>
      <c r="E1492" s="2" t="str">
        <f>IFERROR(INDEX('Blackout Brand Fam Areas (Enc)'!$D$6:$D$998,MATCH(UPPER(A1492)&amp;"|"&amp;UPPER(B1492),'Blackout Brand Fam Areas (Enc)'!$G$6:$G$998,0)),"No Match")</f>
        <v>No Match</v>
      </c>
      <c r="F1492" s="2" t="str">
        <f t="shared" si="46"/>
        <v>US</v>
      </c>
      <c r="G1492" s="2" t="str">
        <f t="shared" si="47"/>
        <v>Costenita|BERGEN</v>
      </c>
    </row>
    <row r="1493" spans="1:7" x14ac:dyDescent="0.2">
      <c r="A1493" s="2" t="str" cm="1">
        <f t="array" ref="A1493">INDEX('[1]Brand Family Territory (Enc)'!$A$2:$A$296,INT((ROW()-2)/10)+1)</f>
        <v>Costenita</v>
      </c>
      <c r="B1493" s="2" t="str" cm="1">
        <f t="array" ref="B1493">INDEX('Whitelist (Blackout Reverse)'!$B$1:$K$1,MOD(ROW()-2,10)+1)</f>
        <v>PASSAIC</v>
      </c>
      <c r="C1493" s="2" t="str">
        <f>VLOOKUP(A1493,'[1]Brand Family Territory (Enc)'!$A$2:$B$296,2,FALSE)</f>
        <v>All Counties</v>
      </c>
      <c r="D1493" s="2">
        <f>IF(COUNTIFS('[1]Brand Family Territories (Enc)'!$B$2:$B$62,C1493,'[1]Brand Family Territories (Enc)'!$C$2:$C$62,B1493)&gt;0,1,IF(AND(LEFT(B1493,6)="MORRIS",COUNTIFS('[1]Brand Family Territories (Enc)'!$B$2:$B$62,C1493,'[1]Brand Family Territories (Enc)'!$C$2:$C$62,"Morri")&gt;0),"Unk",0))</f>
        <v>1</v>
      </c>
      <c r="E1493" s="2" t="str">
        <f>IFERROR(INDEX('Blackout Brand Fam Areas (Enc)'!$D$6:$D$998,MATCH(UPPER(A1493)&amp;"|"&amp;UPPER(B1493),'Blackout Brand Fam Areas (Enc)'!$G$6:$G$998,0)),"No Match")</f>
        <v>No Match</v>
      </c>
      <c r="F1493" s="2" t="str">
        <f t="shared" si="46"/>
        <v>US</v>
      </c>
      <c r="G1493" s="2" t="str">
        <f t="shared" si="47"/>
        <v>Costenita|PASSAIC</v>
      </c>
    </row>
    <row r="1494" spans="1:7" x14ac:dyDescent="0.2">
      <c r="A1494" s="2" t="str" cm="1">
        <f t="array" ref="A1494">INDEX('[1]Brand Family Territory (Enc)'!$A$2:$A$296,INT((ROW()-2)/10)+1)</f>
        <v>Costenita</v>
      </c>
      <c r="B1494" s="2" t="str" cm="1">
        <f t="array" ref="B1494">INDEX('Whitelist (Blackout Reverse)'!$B$1:$K$1,MOD(ROW()-2,10)+1)</f>
        <v>PASSAIC-FF</v>
      </c>
      <c r="C1494" s="2" t="str">
        <f>VLOOKUP(A1494,'[1]Brand Family Territory (Enc)'!$A$2:$B$296,2,FALSE)</f>
        <v>All Counties</v>
      </c>
      <c r="D1494" s="2">
        <f>IF(COUNTIFS('[1]Brand Family Territories (Enc)'!$B$2:$B$62,C1494,'[1]Brand Family Territories (Enc)'!$C$2:$C$62,B1494)&gt;0,1,IF(AND(LEFT(B1494,6)="MORRIS",COUNTIFS('[1]Brand Family Territories (Enc)'!$B$2:$B$62,C1494,'[1]Brand Family Territories (Enc)'!$C$2:$C$62,"Morri")&gt;0),"Unk",0))</f>
        <v>1</v>
      </c>
      <c r="E1494" s="2" t="str">
        <f>IFERROR(INDEX('Blackout Brand Fam Areas (Enc)'!$D$6:$D$998,MATCH(UPPER(A1494)&amp;"|"&amp;UPPER(B1494),'Blackout Brand Fam Areas (Enc)'!$G$6:$G$998,0)),"No Match")</f>
        <v>No Match</v>
      </c>
      <c r="F1494" s="2" t="str">
        <f t="shared" si="46"/>
        <v>US</v>
      </c>
      <c r="G1494" s="2" t="str">
        <f t="shared" si="47"/>
        <v>Costenita|PASSAIC-FF</v>
      </c>
    </row>
    <row r="1495" spans="1:7" x14ac:dyDescent="0.2">
      <c r="A1495" s="2" t="str" cm="1">
        <f t="array" ref="A1495">INDEX('[1]Brand Family Territory (Enc)'!$A$2:$A$296,INT((ROW()-2)/10)+1)</f>
        <v>Costenita</v>
      </c>
      <c r="B1495" s="2" t="str" cm="1">
        <f t="array" ref="B1495">INDEX('Whitelist (Blackout Reverse)'!$B$1:$K$1,MOD(ROW()-2,10)+1)</f>
        <v>ESSEX</v>
      </c>
      <c r="C1495" s="2" t="str">
        <f>VLOOKUP(A1495,'[1]Brand Family Territory (Enc)'!$A$2:$B$296,2,FALSE)</f>
        <v>All Counties</v>
      </c>
      <c r="D1495" s="2">
        <f>IF(COUNTIFS('[1]Brand Family Territories (Enc)'!$B$2:$B$62,C1495,'[1]Brand Family Territories (Enc)'!$C$2:$C$62,B1495)&gt;0,1,IF(AND(LEFT(B1495,6)="MORRIS",COUNTIFS('[1]Brand Family Territories (Enc)'!$B$2:$B$62,C1495,'[1]Brand Family Territories (Enc)'!$C$2:$C$62,"Morri")&gt;0),"Unk",0))</f>
        <v>1</v>
      </c>
      <c r="E1495" s="2" t="str">
        <f>IFERROR(INDEX('Blackout Brand Fam Areas (Enc)'!$D$6:$D$998,MATCH(UPPER(A1495)&amp;"|"&amp;UPPER(B1495),'Blackout Brand Fam Areas (Enc)'!$G$6:$G$998,0)),"No Match")</f>
        <v>No Match</v>
      </c>
      <c r="F1495" s="2" t="str">
        <f t="shared" si="46"/>
        <v>US</v>
      </c>
      <c r="G1495" s="2" t="str">
        <f t="shared" si="47"/>
        <v>Costenita|ESSEX</v>
      </c>
    </row>
    <row r="1496" spans="1:7" x14ac:dyDescent="0.2">
      <c r="A1496" s="2" t="str" cm="1">
        <f t="array" ref="A1496">INDEX('[1]Brand Family Territory (Enc)'!$A$2:$A$296,INT((ROW()-2)/10)+1)</f>
        <v>Costenita</v>
      </c>
      <c r="B1496" s="2" t="str" cm="1">
        <f t="array" ref="B1496">INDEX('Whitelist (Blackout Reverse)'!$B$1:$K$1,MOD(ROW()-2,10)+1)</f>
        <v>HUDSON</v>
      </c>
      <c r="C1496" s="2" t="str">
        <f>VLOOKUP(A1496,'[1]Brand Family Territory (Enc)'!$A$2:$B$296,2,FALSE)</f>
        <v>All Counties</v>
      </c>
      <c r="D1496" s="2">
        <f>IF(COUNTIFS('[1]Brand Family Territories (Enc)'!$B$2:$B$62,C1496,'[1]Brand Family Territories (Enc)'!$C$2:$C$62,B1496)&gt;0,1,IF(AND(LEFT(B1496,6)="MORRIS",COUNTIFS('[1]Brand Family Territories (Enc)'!$B$2:$B$62,C1496,'[1]Brand Family Territories (Enc)'!$C$2:$C$62,"Morri")&gt;0),"Unk",0))</f>
        <v>1</v>
      </c>
      <c r="E1496" s="2" t="str">
        <f>IFERROR(INDEX('Blackout Brand Fam Areas (Enc)'!$D$6:$D$998,MATCH(UPPER(A1496)&amp;"|"&amp;UPPER(B1496),'Blackout Brand Fam Areas (Enc)'!$G$6:$G$998,0)),"No Match")</f>
        <v>No Match</v>
      </c>
      <c r="F1496" s="2" t="str">
        <f t="shared" si="46"/>
        <v>US</v>
      </c>
      <c r="G1496" s="2" t="str">
        <f t="shared" si="47"/>
        <v>Costenita|HUDSON</v>
      </c>
    </row>
    <row r="1497" spans="1:7" x14ac:dyDescent="0.2">
      <c r="A1497" s="2" t="str" cm="1">
        <f t="array" ref="A1497">INDEX('[1]Brand Family Territory (Enc)'!$A$2:$A$296,INT((ROW()-2)/10)+1)</f>
        <v>Costenita</v>
      </c>
      <c r="B1497" s="2" t="str" cm="1">
        <f t="array" ref="B1497">INDEX('Whitelist (Blackout Reverse)'!$B$1:$K$1,MOD(ROW()-2,10)+1)</f>
        <v>UNION</v>
      </c>
      <c r="C1497" s="2" t="str">
        <f>VLOOKUP(A1497,'[1]Brand Family Territory (Enc)'!$A$2:$B$296,2,FALSE)</f>
        <v>All Counties</v>
      </c>
      <c r="D1497" s="2">
        <f>IF(COUNTIFS('[1]Brand Family Territories (Enc)'!$B$2:$B$62,C1497,'[1]Brand Family Territories (Enc)'!$C$2:$C$62,B1497)&gt;0,1,IF(AND(LEFT(B1497,6)="MORRIS",COUNTIFS('[1]Brand Family Territories (Enc)'!$B$2:$B$62,C1497,'[1]Brand Family Territories (Enc)'!$C$2:$C$62,"Morri")&gt;0),"Unk",0))</f>
        <v>1</v>
      </c>
      <c r="E1497" s="2" t="str">
        <f>IFERROR(INDEX('Blackout Brand Fam Areas (Enc)'!$D$6:$D$998,MATCH(UPPER(A1497)&amp;"|"&amp;UPPER(B1497),'Blackout Brand Fam Areas (Enc)'!$G$6:$G$998,0)),"No Match")</f>
        <v>No Match</v>
      </c>
      <c r="F1497" s="2" t="str">
        <f t="shared" si="46"/>
        <v>US</v>
      </c>
      <c r="G1497" s="2" t="str">
        <f t="shared" si="47"/>
        <v>Costenita|UNION</v>
      </c>
    </row>
    <row r="1498" spans="1:7" x14ac:dyDescent="0.2">
      <c r="A1498" s="2" t="str" cm="1">
        <f t="array" ref="A1498">INDEX('[1]Brand Family Territory (Enc)'!$A$2:$A$296,INT((ROW()-2)/10)+1)</f>
        <v>Costenita</v>
      </c>
      <c r="B1498" s="2" t="str" cm="1">
        <f t="array" ref="B1498">INDEX('Whitelist (Blackout Reverse)'!$B$1:$K$1,MOD(ROW()-2,10)+1)</f>
        <v>SUSSEX</v>
      </c>
      <c r="C1498" s="2" t="str">
        <f>VLOOKUP(A1498,'[1]Brand Family Territory (Enc)'!$A$2:$B$296,2,FALSE)</f>
        <v>All Counties</v>
      </c>
      <c r="D1498" s="2">
        <f>IF(COUNTIFS('[1]Brand Family Territories (Enc)'!$B$2:$B$62,C1498,'[1]Brand Family Territories (Enc)'!$C$2:$C$62,B1498)&gt;0,1,IF(AND(LEFT(B1498,6)="MORRIS",COUNTIFS('[1]Brand Family Territories (Enc)'!$B$2:$B$62,C1498,'[1]Brand Family Territories (Enc)'!$C$2:$C$62,"Morri")&gt;0),"Unk",0))</f>
        <v>1</v>
      </c>
      <c r="E1498" s="2" t="str">
        <f>IFERROR(INDEX('Blackout Brand Fam Areas (Enc)'!$D$6:$D$998,MATCH(UPPER(A1498)&amp;"|"&amp;UPPER(B1498),'Blackout Brand Fam Areas (Enc)'!$G$6:$G$998,0)),"No Match")</f>
        <v>No Match</v>
      </c>
      <c r="F1498" s="2" t="str">
        <f t="shared" si="46"/>
        <v>US</v>
      </c>
      <c r="G1498" s="2" t="str">
        <f t="shared" si="47"/>
        <v>Costenita|SUSSEX</v>
      </c>
    </row>
    <row r="1499" spans="1:7" x14ac:dyDescent="0.2">
      <c r="A1499" s="2" t="str" cm="1">
        <f t="array" ref="A1499">INDEX('[1]Brand Family Territory (Enc)'!$A$2:$A$296,INT((ROW()-2)/10)+1)</f>
        <v>Costenita</v>
      </c>
      <c r="B1499" s="2" t="str" cm="1">
        <f t="array" ref="B1499">INDEX('Whitelist (Blackout Reverse)'!$B$1:$K$1,MOD(ROW()-2,10)+1)</f>
        <v>MORRIS 1</v>
      </c>
      <c r="C1499" s="2" t="str">
        <f>VLOOKUP(A1499,'[1]Brand Family Territory (Enc)'!$A$2:$B$296,2,FALSE)</f>
        <v>All Counties</v>
      </c>
      <c r="D1499" s="2">
        <f>IF(COUNTIFS('[1]Brand Family Territories (Enc)'!$B$2:$B$62,C1499,'[1]Brand Family Territories (Enc)'!$C$2:$C$62,B1499)&gt;0,1,IF(AND(LEFT(B1499,6)="MORRIS",COUNTIFS('[1]Brand Family Territories (Enc)'!$B$2:$B$62,C1499,'[1]Brand Family Territories (Enc)'!$C$2:$C$62,"Morri")&gt;0),"Unk",0))</f>
        <v>1</v>
      </c>
      <c r="E1499" s="2" t="str">
        <f>IFERROR(INDEX('Blackout Brand Fam Areas (Enc)'!$D$6:$D$998,MATCH(UPPER(A1499)&amp;"|"&amp;UPPER(B1499),'Blackout Brand Fam Areas (Enc)'!$G$6:$G$998,0)),"No Match")</f>
        <v>No Match</v>
      </c>
      <c r="F1499" s="2" t="str">
        <f t="shared" si="46"/>
        <v>US</v>
      </c>
      <c r="G1499" s="2" t="str">
        <f t="shared" si="47"/>
        <v>Costenita|MORRIS 1</v>
      </c>
    </row>
    <row r="1500" spans="1:7" x14ac:dyDescent="0.2">
      <c r="A1500" s="2" t="str" cm="1">
        <f t="array" ref="A1500">INDEX('[1]Brand Family Territory (Enc)'!$A$2:$A$296,INT((ROW()-2)/10)+1)</f>
        <v>Costenita</v>
      </c>
      <c r="B1500" s="2" t="str" cm="1">
        <f t="array" ref="B1500">INDEX('Whitelist (Blackout Reverse)'!$B$1:$K$1,MOD(ROW()-2,10)+1)</f>
        <v>MORRIS 2</v>
      </c>
      <c r="C1500" s="2" t="str">
        <f>VLOOKUP(A1500,'[1]Brand Family Territory (Enc)'!$A$2:$B$296,2,FALSE)</f>
        <v>All Counties</v>
      </c>
      <c r="D1500" s="2">
        <f>IF(COUNTIFS('[1]Brand Family Territories (Enc)'!$B$2:$B$62,C1500,'[1]Brand Family Territories (Enc)'!$C$2:$C$62,B1500)&gt;0,1,IF(AND(LEFT(B1500,6)="MORRIS",COUNTIFS('[1]Brand Family Territories (Enc)'!$B$2:$B$62,C1500,'[1]Brand Family Territories (Enc)'!$C$2:$C$62,"Morri")&gt;0),"Unk",0))</f>
        <v>1</v>
      </c>
      <c r="E1500" s="2" t="str">
        <f>IFERROR(INDEX('Blackout Brand Fam Areas (Enc)'!$D$6:$D$998,MATCH(UPPER(A1500)&amp;"|"&amp;UPPER(B1500),'Blackout Brand Fam Areas (Enc)'!$G$6:$G$998,0)),"No Match")</f>
        <v>No Match</v>
      </c>
      <c r="F1500" s="2" t="str">
        <f t="shared" si="46"/>
        <v>US</v>
      </c>
      <c r="G1500" s="2" t="str">
        <f t="shared" si="47"/>
        <v>Costenita|MORRIS 2</v>
      </c>
    </row>
    <row r="1501" spans="1:7" x14ac:dyDescent="0.2">
      <c r="A1501" s="2" t="str" cm="1">
        <f t="array" ref="A1501">INDEX('[1]Brand Family Territory (Enc)'!$A$2:$A$296,INT((ROW()-2)/10)+1)</f>
        <v>Costenita</v>
      </c>
      <c r="B1501" s="2" t="str" cm="1">
        <f t="array" ref="B1501">INDEX('Whitelist (Blackout Reverse)'!$B$1:$K$1,MOD(ROW()-2,10)+1)</f>
        <v>MORRIS 3</v>
      </c>
      <c r="C1501" s="2" t="str">
        <f>VLOOKUP(A1501,'[1]Brand Family Territory (Enc)'!$A$2:$B$296,2,FALSE)</f>
        <v>All Counties</v>
      </c>
      <c r="D1501" s="2">
        <f>IF(COUNTIFS('[1]Brand Family Territories (Enc)'!$B$2:$B$62,C1501,'[1]Brand Family Territories (Enc)'!$C$2:$C$62,B1501)&gt;0,1,IF(AND(LEFT(B1501,6)="MORRIS",COUNTIFS('[1]Brand Family Territories (Enc)'!$B$2:$B$62,C1501,'[1]Brand Family Territories (Enc)'!$C$2:$C$62,"Morri")&gt;0),"Unk",0))</f>
        <v>1</v>
      </c>
      <c r="E1501" s="2" t="str">
        <f>IFERROR(INDEX('Blackout Brand Fam Areas (Enc)'!$D$6:$D$998,MATCH(UPPER(A1501)&amp;"|"&amp;UPPER(B1501),'Blackout Brand Fam Areas (Enc)'!$G$6:$G$998,0)),"No Match")</f>
        <v>No Match</v>
      </c>
      <c r="F1501" s="2" t="str">
        <f t="shared" si="46"/>
        <v>US</v>
      </c>
      <c r="G1501" s="2" t="str">
        <f t="shared" si="47"/>
        <v>Costenita|MORRIS 3</v>
      </c>
    </row>
    <row r="1502" spans="1:7" x14ac:dyDescent="0.2">
      <c r="A1502" s="2" t="str" cm="1">
        <f t="array" ref="A1502">INDEX('[1]Brand Family Territory (Enc)'!$A$2:$A$296,INT((ROW()-2)/10)+1)</f>
        <v>Country Club</v>
      </c>
      <c r="B1502" s="2" t="str" cm="1">
        <f t="array" ref="B1502">INDEX('Whitelist (Blackout Reverse)'!$B$1:$K$1,MOD(ROW()-2,10)+1)</f>
        <v>BERGEN</v>
      </c>
      <c r="C1502" s="2" t="str">
        <f>VLOOKUP(A1502,'[1]Brand Family Territory (Enc)'!$A$2:$B$296,2,FALSE)</f>
        <v>All Counties</v>
      </c>
      <c r="D1502" s="2">
        <f>IF(COUNTIFS('[1]Brand Family Territories (Enc)'!$B$2:$B$62,C1502,'[1]Brand Family Territories (Enc)'!$C$2:$C$62,B1502)&gt;0,1,IF(AND(LEFT(B1502,6)="MORRIS",COUNTIFS('[1]Brand Family Territories (Enc)'!$B$2:$B$62,C1502,'[1]Brand Family Territories (Enc)'!$C$2:$C$62,"Morri")&gt;0),"Unk",0))</f>
        <v>1</v>
      </c>
      <c r="E1502" s="2" t="str">
        <f>IFERROR(INDEX('Blackout Brand Fam Areas (Enc)'!$D$6:$D$998,MATCH(UPPER(A1502)&amp;"|"&amp;UPPER(B1502),'Blackout Brand Fam Areas (Enc)'!$G$6:$G$998,0)),"No Match")</f>
        <v>No Match</v>
      </c>
      <c r="F1502" s="2" t="str">
        <f t="shared" si="46"/>
        <v>US</v>
      </c>
      <c r="G1502" s="2" t="str">
        <f t="shared" si="47"/>
        <v>Country Club|BERGEN</v>
      </c>
    </row>
    <row r="1503" spans="1:7" x14ac:dyDescent="0.2">
      <c r="A1503" s="2" t="str" cm="1">
        <f t="array" ref="A1503">INDEX('[1]Brand Family Territory (Enc)'!$A$2:$A$296,INT((ROW()-2)/10)+1)</f>
        <v>Country Club</v>
      </c>
      <c r="B1503" s="2" t="str" cm="1">
        <f t="array" ref="B1503">INDEX('Whitelist (Blackout Reverse)'!$B$1:$K$1,MOD(ROW()-2,10)+1)</f>
        <v>PASSAIC</v>
      </c>
      <c r="C1503" s="2" t="str">
        <f>VLOOKUP(A1503,'[1]Brand Family Territory (Enc)'!$A$2:$B$296,2,FALSE)</f>
        <v>All Counties</v>
      </c>
      <c r="D1503" s="2">
        <f>IF(COUNTIFS('[1]Brand Family Territories (Enc)'!$B$2:$B$62,C1503,'[1]Brand Family Territories (Enc)'!$C$2:$C$62,B1503)&gt;0,1,IF(AND(LEFT(B1503,6)="MORRIS",COUNTIFS('[1]Brand Family Territories (Enc)'!$B$2:$B$62,C1503,'[1]Brand Family Territories (Enc)'!$C$2:$C$62,"Morri")&gt;0),"Unk",0))</f>
        <v>1</v>
      </c>
      <c r="E1503" s="2" t="str">
        <f>IFERROR(INDEX('Blackout Brand Fam Areas (Enc)'!$D$6:$D$998,MATCH(UPPER(A1503)&amp;"|"&amp;UPPER(B1503),'Blackout Brand Fam Areas (Enc)'!$G$6:$G$998,0)),"No Match")</f>
        <v>No Match</v>
      </c>
      <c r="F1503" s="2" t="str">
        <f t="shared" si="46"/>
        <v>US</v>
      </c>
      <c r="G1503" s="2" t="str">
        <f t="shared" si="47"/>
        <v>Country Club|PASSAIC</v>
      </c>
    </row>
    <row r="1504" spans="1:7" x14ac:dyDescent="0.2">
      <c r="A1504" s="2" t="str" cm="1">
        <f t="array" ref="A1504">INDEX('[1]Brand Family Territory (Enc)'!$A$2:$A$296,INT((ROW()-2)/10)+1)</f>
        <v>Country Club</v>
      </c>
      <c r="B1504" s="2" t="str" cm="1">
        <f t="array" ref="B1504">INDEX('Whitelist (Blackout Reverse)'!$B$1:$K$1,MOD(ROW()-2,10)+1)</f>
        <v>PASSAIC-FF</v>
      </c>
      <c r="C1504" s="2" t="str">
        <f>VLOOKUP(A1504,'[1]Brand Family Territory (Enc)'!$A$2:$B$296,2,FALSE)</f>
        <v>All Counties</v>
      </c>
      <c r="D1504" s="2">
        <f>IF(COUNTIFS('[1]Brand Family Territories (Enc)'!$B$2:$B$62,C1504,'[1]Brand Family Territories (Enc)'!$C$2:$C$62,B1504)&gt;0,1,IF(AND(LEFT(B1504,6)="MORRIS",COUNTIFS('[1]Brand Family Territories (Enc)'!$B$2:$B$62,C1504,'[1]Brand Family Territories (Enc)'!$C$2:$C$62,"Morri")&gt;0),"Unk",0))</f>
        <v>1</v>
      </c>
      <c r="E1504" s="2" t="str">
        <f>IFERROR(INDEX('Blackout Brand Fam Areas (Enc)'!$D$6:$D$998,MATCH(UPPER(A1504)&amp;"|"&amp;UPPER(B1504),'Blackout Brand Fam Areas (Enc)'!$G$6:$G$998,0)),"No Match")</f>
        <v>No Match</v>
      </c>
      <c r="F1504" s="2" t="str">
        <f t="shared" si="46"/>
        <v>US</v>
      </c>
      <c r="G1504" s="2" t="str">
        <f t="shared" si="47"/>
        <v>Country Club|PASSAIC-FF</v>
      </c>
    </row>
    <row r="1505" spans="1:7" x14ac:dyDescent="0.2">
      <c r="A1505" s="2" t="str" cm="1">
        <f t="array" ref="A1505">INDEX('[1]Brand Family Territory (Enc)'!$A$2:$A$296,INT((ROW()-2)/10)+1)</f>
        <v>Country Club</v>
      </c>
      <c r="B1505" s="2" t="str" cm="1">
        <f t="array" ref="B1505">INDEX('Whitelist (Blackout Reverse)'!$B$1:$K$1,MOD(ROW()-2,10)+1)</f>
        <v>ESSEX</v>
      </c>
      <c r="C1505" s="2" t="str">
        <f>VLOOKUP(A1505,'[1]Brand Family Territory (Enc)'!$A$2:$B$296,2,FALSE)</f>
        <v>All Counties</v>
      </c>
      <c r="D1505" s="2">
        <f>IF(COUNTIFS('[1]Brand Family Territories (Enc)'!$B$2:$B$62,C1505,'[1]Brand Family Territories (Enc)'!$C$2:$C$62,B1505)&gt;0,1,IF(AND(LEFT(B1505,6)="MORRIS",COUNTIFS('[1]Brand Family Territories (Enc)'!$B$2:$B$62,C1505,'[1]Brand Family Territories (Enc)'!$C$2:$C$62,"Morri")&gt;0),"Unk",0))</f>
        <v>1</v>
      </c>
      <c r="E1505" s="2" t="str">
        <f>IFERROR(INDEX('Blackout Brand Fam Areas (Enc)'!$D$6:$D$998,MATCH(UPPER(A1505)&amp;"|"&amp;UPPER(B1505),'Blackout Brand Fam Areas (Enc)'!$G$6:$G$998,0)),"No Match")</f>
        <v>No Match</v>
      </c>
      <c r="F1505" s="2" t="str">
        <f t="shared" si="46"/>
        <v>US</v>
      </c>
      <c r="G1505" s="2" t="str">
        <f t="shared" si="47"/>
        <v>Country Club|ESSEX</v>
      </c>
    </row>
    <row r="1506" spans="1:7" x14ac:dyDescent="0.2">
      <c r="A1506" s="2" t="str" cm="1">
        <f t="array" ref="A1506">INDEX('[1]Brand Family Territory (Enc)'!$A$2:$A$296,INT((ROW()-2)/10)+1)</f>
        <v>Country Club</v>
      </c>
      <c r="B1506" s="2" t="str" cm="1">
        <f t="array" ref="B1506">INDEX('Whitelist (Blackout Reverse)'!$B$1:$K$1,MOD(ROW()-2,10)+1)</f>
        <v>HUDSON</v>
      </c>
      <c r="C1506" s="2" t="str">
        <f>VLOOKUP(A1506,'[1]Brand Family Territory (Enc)'!$A$2:$B$296,2,FALSE)</f>
        <v>All Counties</v>
      </c>
      <c r="D1506" s="2">
        <f>IF(COUNTIFS('[1]Brand Family Territories (Enc)'!$B$2:$B$62,C1506,'[1]Brand Family Territories (Enc)'!$C$2:$C$62,B1506)&gt;0,1,IF(AND(LEFT(B1506,6)="MORRIS",COUNTIFS('[1]Brand Family Territories (Enc)'!$B$2:$B$62,C1506,'[1]Brand Family Territories (Enc)'!$C$2:$C$62,"Morri")&gt;0),"Unk",0))</f>
        <v>1</v>
      </c>
      <c r="E1506" s="2" t="str">
        <f>IFERROR(INDEX('Blackout Brand Fam Areas (Enc)'!$D$6:$D$998,MATCH(UPPER(A1506)&amp;"|"&amp;UPPER(B1506),'Blackout Brand Fam Areas (Enc)'!$G$6:$G$998,0)),"No Match")</f>
        <v>No Match</v>
      </c>
      <c r="F1506" s="2" t="str">
        <f t="shared" si="46"/>
        <v>US</v>
      </c>
      <c r="G1506" s="2" t="str">
        <f t="shared" si="47"/>
        <v>Country Club|HUDSON</v>
      </c>
    </row>
    <row r="1507" spans="1:7" x14ac:dyDescent="0.2">
      <c r="A1507" s="2" t="str" cm="1">
        <f t="array" ref="A1507">INDEX('[1]Brand Family Territory (Enc)'!$A$2:$A$296,INT((ROW()-2)/10)+1)</f>
        <v>Country Club</v>
      </c>
      <c r="B1507" s="2" t="str" cm="1">
        <f t="array" ref="B1507">INDEX('Whitelist (Blackout Reverse)'!$B$1:$K$1,MOD(ROW()-2,10)+1)</f>
        <v>UNION</v>
      </c>
      <c r="C1507" s="2" t="str">
        <f>VLOOKUP(A1507,'[1]Brand Family Territory (Enc)'!$A$2:$B$296,2,FALSE)</f>
        <v>All Counties</v>
      </c>
      <c r="D1507" s="2">
        <f>IF(COUNTIFS('[1]Brand Family Territories (Enc)'!$B$2:$B$62,C1507,'[1]Brand Family Territories (Enc)'!$C$2:$C$62,B1507)&gt;0,1,IF(AND(LEFT(B1507,6)="MORRIS",COUNTIFS('[1]Brand Family Territories (Enc)'!$B$2:$B$62,C1507,'[1]Brand Family Territories (Enc)'!$C$2:$C$62,"Morri")&gt;0),"Unk",0))</f>
        <v>1</v>
      </c>
      <c r="E1507" s="2" t="str">
        <f>IFERROR(INDEX('Blackout Brand Fam Areas (Enc)'!$D$6:$D$998,MATCH(UPPER(A1507)&amp;"|"&amp;UPPER(B1507),'Blackout Brand Fam Areas (Enc)'!$G$6:$G$998,0)),"No Match")</f>
        <v>No Match</v>
      </c>
      <c r="F1507" s="2" t="str">
        <f t="shared" si="46"/>
        <v>US</v>
      </c>
      <c r="G1507" s="2" t="str">
        <f t="shared" si="47"/>
        <v>Country Club|UNION</v>
      </c>
    </row>
    <row r="1508" spans="1:7" x14ac:dyDescent="0.2">
      <c r="A1508" s="2" t="str" cm="1">
        <f t="array" ref="A1508">INDEX('[1]Brand Family Territory (Enc)'!$A$2:$A$296,INT((ROW()-2)/10)+1)</f>
        <v>Country Club</v>
      </c>
      <c r="B1508" s="2" t="str" cm="1">
        <f t="array" ref="B1508">INDEX('Whitelist (Blackout Reverse)'!$B$1:$K$1,MOD(ROW()-2,10)+1)</f>
        <v>SUSSEX</v>
      </c>
      <c r="C1508" s="2" t="str">
        <f>VLOOKUP(A1508,'[1]Brand Family Territory (Enc)'!$A$2:$B$296,2,FALSE)</f>
        <v>All Counties</v>
      </c>
      <c r="D1508" s="2">
        <f>IF(COUNTIFS('[1]Brand Family Territories (Enc)'!$B$2:$B$62,C1508,'[1]Brand Family Territories (Enc)'!$C$2:$C$62,B1508)&gt;0,1,IF(AND(LEFT(B1508,6)="MORRIS",COUNTIFS('[1]Brand Family Territories (Enc)'!$B$2:$B$62,C1508,'[1]Brand Family Territories (Enc)'!$C$2:$C$62,"Morri")&gt;0),"Unk",0))</f>
        <v>1</v>
      </c>
      <c r="E1508" s="2" t="str">
        <f>IFERROR(INDEX('Blackout Brand Fam Areas (Enc)'!$D$6:$D$998,MATCH(UPPER(A1508)&amp;"|"&amp;UPPER(B1508),'Blackout Brand Fam Areas (Enc)'!$G$6:$G$998,0)),"No Match")</f>
        <v>No Match</v>
      </c>
      <c r="F1508" s="2" t="str">
        <f t="shared" si="46"/>
        <v>US</v>
      </c>
      <c r="G1508" s="2" t="str">
        <f t="shared" si="47"/>
        <v>Country Club|SUSSEX</v>
      </c>
    </row>
    <row r="1509" spans="1:7" x14ac:dyDescent="0.2">
      <c r="A1509" s="2" t="str" cm="1">
        <f t="array" ref="A1509">INDEX('[1]Brand Family Territory (Enc)'!$A$2:$A$296,INT((ROW()-2)/10)+1)</f>
        <v>Country Club</v>
      </c>
      <c r="B1509" s="2" t="str" cm="1">
        <f t="array" ref="B1509">INDEX('Whitelist (Blackout Reverse)'!$B$1:$K$1,MOD(ROW()-2,10)+1)</f>
        <v>MORRIS 1</v>
      </c>
      <c r="C1509" s="2" t="str">
        <f>VLOOKUP(A1509,'[1]Brand Family Territory (Enc)'!$A$2:$B$296,2,FALSE)</f>
        <v>All Counties</v>
      </c>
      <c r="D1509" s="2">
        <f>IF(COUNTIFS('[1]Brand Family Territories (Enc)'!$B$2:$B$62,C1509,'[1]Brand Family Territories (Enc)'!$C$2:$C$62,B1509)&gt;0,1,IF(AND(LEFT(B1509,6)="MORRIS",COUNTIFS('[1]Brand Family Territories (Enc)'!$B$2:$B$62,C1509,'[1]Brand Family Territories (Enc)'!$C$2:$C$62,"Morri")&gt;0),"Unk",0))</f>
        <v>1</v>
      </c>
      <c r="E1509" s="2" t="str">
        <f>IFERROR(INDEX('Blackout Brand Fam Areas (Enc)'!$D$6:$D$998,MATCH(UPPER(A1509)&amp;"|"&amp;UPPER(B1509),'Blackout Brand Fam Areas (Enc)'!$G$6:$G$998,0)),"No Match")</f>
        <v>No Match</v>
      </c>
      <c r="F1509" s="2" t="str">
        <f t="shared" si="46"/>
        <v>US</v>
      </c>
      <c r="G1509" s="2" t="str">
        <f t="shared" si="47"/>
        <v>Country Club|MORRIS 1</v>
      </c>
    </row>
    <row r="1510" spans="1:7" x14ac:dyDescent="0.2">
      <c r="A1510" s="2" t="str" cm="1">
        <f t="array" ref="A1510">INDEX('[1]Brand Family Territory (Enc)'!$A$2:$A$296,INT((ROW()-2)/10)+1)</f>
        <v>Country Club</v>
      </c>
      <c r="B1510" s="2" t="str" cm="1">
        <f t="array" ref="B1510">INDEX('Whitelist (Blackout Reverse)'!$B$1:$K$1,MOD(ROW()-2,10)+1)</f>
        <v>MORRIS 2</v>
      </c>
      <c r="C1510" s="2" t="str">
        <f>VLOOKUP(A1510,'[1]Brand Family Territory (Enc)'!$A$2:$B$296,2,FALSE)</f>
        <v>All Counties</v>
      </c>
      <c r="D1510" s="2">
        <f>IF(COUNTIFS('[1]Brand Family Territories (Enc)'!$B$2:$B$62,C1510,'[1]Brand Family Territories (Enc)'!$C$2:$C$62,B1510)&gt;0,1,IF(AND(LEFT(B1510,6)="MORRIS",COUNTIFS('[1]Brand Family Territories (Enc)'!$B$2:$B$62,C1510,'[1]Brand Family Territories (Enc)'!$C$2:$C$62,"Morri")&gt;0),"Unk",0))</f>
        <v>1</v>
      </c>
      <c r="E1510" s="2" t="str">
        <f>IFERROR(INDEX('Blackout Brand Fam Areas (Enc)'!$D$6:$D$998,MATCH(UPPER(A1510)&amp;"|"&amp;UPPER(B1510),'Blackout Brand Fam Areas (Enc)'!$G$6:$G$998,0)),"No Match")</f>
        <v>No Match</v>
      </c>
      <c r="F1510" s="2" t="str">
        <f t="shared" si="46"/>
        <v>US</v>
      </c>
      <c r="G1510" s="2" t="str">
        <f t="shared" si="47"/>
        <v>Country Club|MORRIS 2</v>
      </c>
    </row>
    <row r="1511" spans="1:7" x14ac:dyDescent="0.2">
      <c r="A1511" s="2" t="str" cm="1">
        <f t="array" ref="A1511">INDEX('[1]Brand Family Territory (Enc)'!$A$2:$A$296,INT((ROW()-2)/10)+1)</f>
        <v>Country Club</v>
      </c>
      <c r="B1511" s="2" t="str" cm="1">
        <f t="array" ref="B1511">INDEX('Whitelist (Blackout Reverse)'!$B$1:$K$1,MOD(ROW()-2,10)+1)</f>
        <v>MORRIS 3</v>
      </c>
      <c r="C1511" s="2" t="str">
        <f>VLOOKUP(A1511,'[1]Brand Family Territory (Enc)'!$A$2:$B$296,2,FALSE)</f>
        <v>All Counties</v>
      </c>
      <c r="D1511" s="2">
        <f>IF(COUNTIFS('[1]Brand Family Territories (Enc)'!$B$2:$B$62,C1511,'[1]Brand Family Territories (Enc)'!$C$2:$C$62,B1511)&gt;0,1,IF(AND(LEFT(B1511,6)="MORRIS",COUNTIFS('[1]Brand Family Territories (Enc)'!$B$2:$B$62,C1511,'[1]Brand Family Territories (Enc)'!$C$2:$C$62,"Morri")&gt;0),"Unk",0))</f>
        <v>1</v>
      </c>
      <c r="E1511" s="2" t="str">
        <f>IFERROR(INDEX('Blackout Brand Fam Areas (Enc)'!$D$6:$D$998,MATCH(UPPER(A1511)&amp;"|"&amp;UPPER(B1511),'Blackout Brand Fam Areas (Enc)'!$G$6:$G$998,0)),"No Match")</f>
        <v>No Match</v>
      </c>
      <c r="F1511" s="2" t="str">
        <f t="shared" si="46"/>
        <v>US</v>
      </c>
      <c r="G1511" s="2" t="str">
        <f t="shared" si="47"/>
        <v>Country Club|MORRIS 3</v>
      </c>
    </row>
    <row r="1512" spans="1:7" x14ac:dyDescent="0.2">
      <c r="A1512" s="2" t="str" cm="1">
        <f t="array" ref="A1512">INDEX('[1]Brand Family Territory (Enc)'!$A$2:$A$296,INT((ROW()-2)/10)+1)</f>
        <v>Crescent 9</v>
      </c>
      <c r="B1512" s="2" t="str" cm="1">
        <f t="array" ref="B1512">INDEX('Whitelist (Blackout Reverse)'!$B$1:$K$1,MOD(ROW()-2,10)+1)</f>
        <v>BERGEN</v>
      </c>
      <c r="C1512" s="2" t="str">
        <f>VLOOKUP(A1512,'[1]Brand Family Territory (Enc)'!$A$2:$B$296,2,FALSE)</f>
        <v>All Counties</v>
      </c>
      <c r="D1512" s="2">
        <f>IF(COUNTIFS('[1]Brand Family Territories (Enc)'!$B$2:$B$62,C1512,'[1]Brand Family Territories (Enc)'!$C$2:$C$62,B1512)&gt;0,1,IF(AND(LEFT(B1512,6)="MORRIS",COUNTIFS('[1]Brand Family Territories (Enc)'!$B$2:$B$62,C1512,'[1]Brand Family Territories (Enc)'!$C$2:$C$62,"Morri")&gt;0),"Unk",0))</f>
        <v>1</v>
      </c>
      <c r="E1512" s="2" t="str">
        <f>IFERROR(INDEX('Blackout Brand Fam Areas (Enc)'!$D$6:$D$998,MATCH(UPPER(A1512)&amp;"|"&amp;UPPER(B1512),'Blackout Brand Fam Areas (Enc)'!$G$6:$G$998,0)),"No Match")</f>
        <v>No Match</v>
      </c>
      <c r="F1512" s="2" t="str">
        <f t="shared" si="46"/>
        <v>US</v>
      </c>
      <c r="G1512" s="2" t="str">
        <f t="shared" si="47"/>
        <v>Crescent 9|BERGEN</v>
      </c>
    </row>
    <row r="1513" spans="1:7" x14ac:dyDescent="0.2">
      <c r="A1513" s="2" t="str" cm="1">
        <f t="array" ref="A1513">INDEX('[1]Brand Family Territory (Enc)'!$A$2:$A$296,INT((ROW()-2)/10)+1)</f>
        <v>Crescent 9</v>
      </c>
      <c r="B1513" s="2" t="str" cm="1">
        <f t="array" ref="B1513">INDEX('Whitelist (Blackout Reverse)'!$B$1:$K$1,MOD(ROW()-2,10)+1)</f>
        <v>PASSAIC</v>
      </c>
      <c r="C1513" s="2" t="str">
        <f>VLOOKUP(A1513,'[1]Brand Family Territory (Enc)'!$A$2:$B$296,2,FALSE)</f>
        <v>All Counties</v>
      </c>
      <c r="D1513" s="2">
        <f>IF(COUNTIFS('[1]Brand Family Territories (Enc)'!$B$2:$B$62,C1513,'[1]Brand Family Territories (Enc)'!$C$2:$C$62,B1513)&gt;0,1,IF(AND(LEFT(B1513,6)="MORRIS",COUNTIFS('[1]Brand Family Territories (Enc)'!$B$2:$B$62,C1513,'[1]Brand Family Territories (Enc)'!$C$2:$C$62,"Morri")&gt;0),"Unk",0))</f>
        <v>1</v>
      </c>
      <c r="E1513" s="2" t="str">
        <f>IFERROR(INDEX('Blackout Brand Fam Areas (Enc)'!$D$6:$D$998,MATCH(UPPER(A1513)&amp;"|"&amp;UPPER(B1513),'Blackout Brand Fam Areas (Enc)'!$G$6:$G$998,0)),"No Match")</f>
        <v>No Match</v>
      </c>
      <c r="F1513" s="2" t="str">
        <f t="shared" si="46"/>
        <v>US</v>
      </c>
      <c r="G1513" s="2" t="str">
        <f t="shared" si="47"/>
        <v>Crescent 9|PASSAIC</v>
      </c>
    </row>
    <row r="1514" spans="1:7" x14ac:dyDescent="0.2">
      <c r="A1514" s="2" t="str" cm="1">
        <f t="array" ref="A1514">INDEX('[1]Brand Family Territory (Enc)'!$A$2:$A$296,INT((ROW()-2)/10)+1)</f>
        <v>Crescent 9</v>
      </c>
      <c r="B1514" s="2" t="str" cm="1">
        <f t="array" ref="B1514">INDEX('Whitelist (Blackout Reverse)'!$B$1:$K$1,MOD(ROW()-2,10)+1)</f>
        <v>PASSAIC-FF</v>
      </c>
      <c r="C1514" s="2" t="str">
        <f>VLOOKUP(A1514,'[1]Brand Family Territory (Enc)'!$A$2:$B$296,2,FALSE)</f>
        <v>All Counties</v>
      </c>
      <c r="D1514" s="2">
        <f>IF(COUNTIFS('[1]Brand Family Territories (Enc)'!$B$2:$B$62,C1514,'[1]Brand Family Territories (Enc)'!$C$2:$C$62,B1514)&gt;0,1,IF(AND(LEFT(B1514,6)="MORRIS",COUNTIFS('[1]Brand Family Territories (Enc)'!$B$2:$B$62,C1514,'[1]Brand Family Territories (Enc)'!$C$2:$C$62,"Morri")&gt;0),"Unk",0))</f>
        <v>1</v>
      </c>
      <c r="E1514" s="2" t="str">
        <f>IFERROR(INDEX('Blackout Brand Fam Areas (Enc)'!$D$6:$D$998,MATCH(UPPER(A1514)&amp;"|"&amp;UPPER(B1514),'Blackout Brand Fam Areas (Enc)'!$G$6:$G$998,0)),"No Match")</f>
        <v>No Match</v>
      </c>
      <c r="F1514" s="2" t="str">
        <f t="shared" si="46"/>
        <v>US</v>
      </c>
      <c r="G1514" s="2" t="str">
        <f t="shared" si="47"/>
        <v>Crescent 9|PASSAIC-FF</v>
      </c>
    </row>
    <row r="1515" spans="1:7" x14ac:dyDescent="0.2">
      <c r="A1515" s="2" t="str" cm="1">
        <f t="array" ref="A1515">INDEX('[1]Brand Family Territory (Enc)'!$A$2:$A$296,INT((ROW()-2)/10)+1)</f>
        <v>Crescent 9</v>
      </c>
      <c r="B1515" s="2" t="str" cm="1">
        <f t="array" ref="B1515">INDEX('Whitelist (Blackout Reverse)'!$B$1:$K$1,MOD(ROW()-2,10)+1)</f>
        <v>ESSEX</v>
      </c>
      <c r="C1515" s="2" t="str">
        <f>VLOOKUP(A1515,'[1]Brand Family Territory (Enc)'!$A$2:$B$296,2,FALSE)</f>
        <v>All Counties</v>
      </c>
      <c r="D1515" s="2">
        <f>IF(COUNTIFS('[1]Brand Family Territories (Enc)'!$B$2:$B$62,C1515,'[1]Brand Family Territories (Enc)'!$C$2:$C$62,B1515)&gt;0,1,IF(AND(LEFT(B1515,6)="MORRIS",COUNTIFS('[1]Brand Family Territories (Enc)'!$B$2:$B$62,C1515,'[1]Brand Family Territories (Enc)'!$C$2:$C$62,"Morri")&gt;0),"Unk",0))</f>
        <v>1</v>
      </c>
      <c r="E1515" s="2" t="str">
        <f>IFERROR(INDEX('Blackout Brand Fam Areas (Enc)'!$D$6:$D$998,MATCH(UPPER(A1515)&amp;"|"&amp;UPPER(B1515),'Blackout Brand Fam Areas (Enc)'!$G$6:$G$998,0)),"No Match")</f>
        <v>No Match</v>
      </c>
      <c r="F1515" s="2" t="str">
        <f t="shared" si="46"/>
        <v>US</v>
      </c>
      <c r="G1515" s="2" t="str">
        <f t="shared" si="47"/>
        <v>Crescent 9|ESSEX</v>
      </c>
    </row>
    <row r="1516" spans="1:7" x14ac:dyDescent="0.2">
      <c r="A1516" s="2" t="str" cm="1">
        <f t="array" ref="A1516">INDEX('[1]Brand Family Territory (Enc)'!$A$2:$A$296,INT((ROW()-2)/10)+1)</f>
        <v>Crescent 9</v>
      </c>
      <c r="B1516" s="2" t="str" cm="1">
        <f t="array" ref="B1516">INDEX('Whitelist (Blackout Reverse)'!$B$1:$K$1,MOD(ROW()-2,10)+1)</f>
        <v>HUDSON</v>
      </c>
      <c r="C1516" s="2" t="str">
        <f>VLOOKUP(A1516,'[1]Brand Family Territory (Enc)'!$A$2:$B$296,2,FALSE)</f>
        <v>All Counties</v>
      </c>
      <c r="D1516" s="2">
        <f>IF(COUNTIFS('[1]Brand Family Territories (Enc)'!$B$2:$B$62,C1516,'[1]Brand Family Territories (Enc)'!$C$2:$C$62,B1516)&gt;0,1,IF(AND(LEFT(B1516,6)="MORRIS",COUNTIFS('[1]Brand Family Territories (Enc)'!$B$2:$B$62,C1516,'[1]Brand Family Territories (Enc)'!$C$2:$C$62,"Morri")&gt;0),"Unk",0))</f>
        <v>1</v>
      </c>
      <c r="E1516" s="2" t="str">
        <f>IFERROR(INDEX('Blackout Brand Fam Areas (Enc)'!$D$6:$D$998,MATCH(UPPER(A1516)&amp;"|"&amp;UPPER(B1516),'Blackout Brand Fam Areas (Enc)'!$G$6:$G$998,0)),"No Match")</f>
        <v>No Match</v>
      </c>
      <c r="F1516" s="2" t="str">
        <f t="shared" si="46"/>
        <v>US</v>
      </c>
      <c r="G1516" s="2" t="str">
        <f t="shared" si="47"/>
        <v>Crescent 9|HUDSON</v>
      </c>
    </row>
    <row r="1517" spans="1:7" x14ac:dyDescent="0.2">
      <c r="A1517" s="2" t="str" cm="1">
        <f t="array" ref="A1517">INDEX('[1]Brand Family Territory (Enc)'!$A$2:$A$296,INT((ROW()-2)/10)+1)</f>
        <v>Crescent 9</v>
      </c>
      <c r="B1517" s="2" t="str" cm="1">
        <f t="array" ref="B1517">INDEX('Whitelist (Blackout Reverse)'!$B$1:$K$1,MOD(ROW()-2,10)+1)</f>
        <v>UNION</v>
      </c>
      <c r="C1517" s="2" t="str">
        <f>VLOOKUP(A1517,'[1]Brand Family Territory (Enc)'!$A$2:$B$296,2,FALSE)</f>
        <v>All Counties</v>
      </c>
      <c r="D1517" s="2">
        <f>IF(COUNTIFS('[1]Brand Family Territories (Enc)'!$B$2:$B$62,C1517,'[1]Brand Family Territories (Enc)'!$C$2:$C$62,B1517)&gt;0,1,IF(AND(LEFT(B1517,6)="MORRIS",COUNTIFS('[1]Brand Family Territories (Enc)'!$B$2:$B$62,C1517,'[1]Brand Family Territories (Enc)'!$C$2:$C$62,"Morri")&gt;0),"Unk",0))</f>
        <v>1</v>
      </c>
      <c r="E1517" s="2" t="str">
        <f>IFERROR(INDEX('Blackout Brand Fam Areas (Enc)'!$D$6:$D$998,MATCH(UPPER(A1517)&amp;"|"&amp;UPPER(B1517),'Blackout Brand Fam Areas (Enc)'!$G$6:$G$998,0)),"No Match")</f>
        <v>No Match</v>
      </c>
      <c r="F1517" s="2" t="str">
        <f t="shared" si="46"/>
        <v>US</v>
      </c>
      <c r="G1517" s="2" t="str">
        <f t="shared" si="47"/>
        <v>Crescent 9|UNION</v>
      </c>
    </row>
    <row r="1518" spans="1:7" x14ac:dyDescent="0.2">
      <c r="A1518" s="2" t="str" cm="1">
        <f t="array" ref="A1518">INDEX('[1]Brand Family Territory (Enc)'!$A$2:$A$296,INT((ROW()-2)/10)+1)</f>
        <v>Crescent 9</v>
      </c>
      <c r="B1518" s="2" t="str" cm="1">
        <f t="array" ref="B1518">INDEX('Whitelist (Blackout Reverse)'!$B$1:$K$1,MOD(ROW()-2,10)+1)</f>
        <v>SUSSEX</v>
      </c>
      <c r="C1518" s="2" t="str">
        <f>VLOOKUP(A1518,'[1]Brand Family Territory (Enc)'!$A$2:$B$296,2,FALSE)</f>
        <v>All Counties</v>
      </c>
      <c r="D1518" s="2">
        <f>IF(COUNTIFS('[1]Brand Family Territories (Enc)'!$B$2:$B$62,C1518,'[1]Brand Family Territories (Enc)'!$C$2:$C$62,B1518)&gt;0,1,IF(AND(LEFT(B1518,6)="MORRIS",COUNTIFS('[1]Brand Family Territories (Enc)'!$B$2:$B$62,C1518,'[1]Brand Family Territories (Enc)'!$C$2:$C$62,"Morri")&gt;0),"Unk",0))</f>
        <v>1</v>
      </c>
      <c r="E1518" s="2" t="str">
        <f>IFERROR(INDEX('Blackout Brand Fam Areas (Enc)'!$D$6:$D$998,MATCH(UPPER(A1518)&amp;"|"&amp;UPPER(B1518),'Blackout Brand Fam Areas (Enc)'!$G$6:$G$998,0)),"No Match")</f>
        <v>No Match</v>
      </c>
      <c r="F1518" s="2" t="str">
        <f t="shared" si="46"/>
        <v>US</v>
      </c>
      <c r="G1518" s="2" t="str">
        <f t="shared" si="47"/>
        <v>Crescent 9|SUSSEX</v>
      </c>
    </row>
    <row r="1519" spans="1:7" x14ac:dyDescent="0.2">
      <c r="A1519" s="2" t="str" cm="1">
        <f t="array" ref="A1519">INDEX('[1]Brand Family Territory (Enc)'!$A$2:$A$296,INT((ROW()-2)/10)+1)</f>
        <v>Crescent 9</v>
      </c>
      <c r="B1519" s="2" t="str" cm="1">
        <f t="array" ref="B1519">INDEX('Whitelist (Blackout Reverse)'!$B$1:$K$1,MOD(ROW()-2,10)+1)</f>
        <v>MORRIS 1</v>
      </c>
      <c r="C1519" s="2" t="str">
        <f>VLOOKUP(A1519,'[1]Brand Family Territory (Enc)'!$A$2:$B$296,2,FALSE)</f>
        <v>All Counties</v>
      </c>
      <c r="D1519" s="2">
        <f>IF(COUNTIFS('[1]Brand Family Territories (Enc)'!$B$2:$B$62,C1519,'[1]Brand Family Territories (Enc)'!$C$2:$C$62,B1519)&gt;0,1,IF(AND(LEFT(B1519,6)="MORRIS",COUNTIFS('[1]Brand Family Territories (Enc)'!$B$2:$B$62,C1519,'[1]Brand Family Territories (Enc)'!$C$2:$C$62,"Morri")&gt;0),"Unk",0))</f>
        <v>1</v>
      </c>
      <c r="E1519" s="2" t="str">
        <f>IFERROR(INDEX('Blackout Brand Fam Areas (Enc)'!$D$6:$D$998,MATCH(UPPER(A1519)&amp;"|"&amp;UPPER(B1519),'Blackout Brand Fam Areas (Enc)'!$G$6:$G$998,0)),"No Match")</f>
        <v>No Match</v>
      </c>
      <c r="F1519" s="2" t="str">
        <f t="shared" si="46"/>
        <v>US</v>
      </c>
      <c r="G1519" s="2" t="str">
        <f t="shared" si="47"/>
        <v>Crescent 9|MORRIS 1</v>
      </c>
    </row>
    <row r="1520" spans="1:7" x14ac:dyDescent="0.2">
      <c r="A1520" s="2" t="str" cm="1">
        <f t="array" ref="A1520">INDEX('[1]Brand Family Territory (Enc)'!$A$2:$A$296,INT((ROW()-2)/10)+1)</f>
        <v>Crescent 9</v>
      </c>
      <c r="B1520" s="2" t="str" cm="1">
        <f t="array" ref="B1520">INDEX('Whitelist (Blackout Reverse)'!$B$1:$K$1,MOD(ROW()-2,10)+1)</f>
        <v>MORRIS 2</v>
      </c>
      <c r="C1520" s="2" t="str">
        <f>VLOOKUP(A1520,'[1]Brand Family Territory (Enc)'!$A$2:$B$296,2,FALSE)</f>
        <v>All Counties</v>
      </c>
      <c r="D1520" s="2">
        <f>IF(COUNTIFS('[1]Brand Family Territories (Enc)'!$B$2:$B$62,C1520,'[1]Brand Family Territories (Enc)'!$C$2:$C$62,B1520)&gt;0,1,IF(AND(LEFT(B1520,6)="MORRIS",COUNTIFS('[1]Brand Family Territories (Enc)'!$B$2:$B$62,C1520,'[1]Brand Family Territories (Enc)'!$C$2:$C$62,"Morri")&gt;0),"Unk",0))</f>
        <v>1</v>
      </c>
      <c r="E1520" s="2" t="str">
        <f>IFERROR(INDEX('Blackout Brand Fam Areas (Enc)'!$D$6:$D$998,MATCH(UPPER(A1520)&amp;"|"&amp;UPPER(B1520),'Blackout Brand Fam Areas (Enc)'!$G$6:$G$998,0)),"No Match")</f>
        <v>No Match</v>
      </c>
      <c r="F1520" s="2" t="str">
        <f t="shared" si="46"/>
        <v>US</v>
      </c>
      <c r="G1520" s="2" t="str">
        <f t="shared" si="47"/>
        <v>Crescent 9|MORRIS 2</v>
      </c>
    </row>
    <row r="1521" spans="1:7" x14ac:dyDescent="0.2">
      <c r="A1521" s="2" t="str" cm="1">
        <f t="array" ref="A1521">INDEX('[1]Brand Family Territory (Enc)'!$A$2:$A$296,INT((ROW()-2)/10)+1)</f>
        <v>Crescent 9</v>
      </c>
      <c r="B1521" s="2" t="str" cm="1">
        <f t="array" ref="B1521">INDEX('Whitelist (Blackout Reverse)'!$B$1:$K$1,MOD(ROW()-2,10)+1)</f>
        <v>MORRIS 3</v>
      </c>
      <c r="C1521" s="2" t="str">
        <f>VLOOKUP(A1521,'[1]Brand Family Territory (Enc)'!$A$2:$B$296,2,FALSE)</f>
        <v>All Counties</v>
      </c>
      <c r="D1521" s="2">
        <f>IF(COUNTIFS('[1]Brand Family Territories (Enc)'!$B$2:$B$62,C1521,'[1]Brand Family Territories (Enc)'!$C$2:$C$62,B1521)&gt;0,1,IF(AND(LEFT(B1521,6)="MORRIS",COUNTIFS('[1]Brand Family Territories (Enc)'!$B$2:$B$62,C1521,'[1]Brand Family Territories (Enc)'!$C$2:$C$62,"Morri")&gt;0),"Unk",0))</f>
        <v>1</v>
      </c>
      <c r="E1521" s="2" t="str">
        <f>IFERROR(INDEX('Blackout Brand Fam Areas (Enc)'!$D$6:$D$998,MATCH(UPPER(A1521)&amp;"|"&amp;UPPER(B1521),'Blackout Brand Fam Areas (Enc)'!$G$6:$G$998,0)),"No Match")</f>
        <v>No Match</v>
      </c>
      <c r="F1521" s="2" t="str">
        <f t="shared" si="46"/>
        <v>US</v>
      </c>
      <c r="G1521" s="2" t="str">
        <f t="shared" si="47"/>
        <v>Crescent 9|MORRIS 3</v>
      </c>
    </row>
    <row r="1522" spans="1:7" x14ac:dyDescent="0.2">
      <c r="A1522" s="2" t="str" cm="1">
        <f t="array" ref="A1522">INDEX('[1]Brand Family Territory (Enc)'!$A$2:$A$296,INT((ROW()-2)/10)+1)</f>
        <v>Cricket Hill</v>
      </c>
      <c r="B1522" s="2" t="str" cm="1">
        <f t="array" ref="B1522">INDEX('Whitelist (Blackout Reverse)'!$B$1:$K$1,MOD(ROW()-2,10)+1)</f>
        <v>BERGEN</v>
      </c>
      <c r="C1522" s="2" t="str">
        <f>VLOOKUP(A1522,'[1]Brand Family Territory (Enc)'!$A$2:$B$296,2,FALSE)</f>
        <v>All Counties</v>
      </c>
      <c r="D1522" s="2">
        <f>IF(COUNTIFS('[1]Brand Family Territories (Enc)'!$B$2:$B$62,C1522,'[1]Brand Family Territories (Enc)'!$C$2:$C$62,B1522)&gt;0,1,IF(AND(LEFT(B1522,6)="MORRIS",COUNTIFS('[1]Brand Family Territories (Enc)'!$B$2:$B$62,C1522,'[1]Brand Family Territories (Enc)'!$C$2:$C$62,"Morri")&gt;0),"Unk",0))</f>
        <v>1</v>
      </c>
      <c r="E1522" s="2" t="str">
        <f>IFERROR(INDEX('Blackout Brand Fam Areas (Enc)'!$D$6:$D$998,MATCH(UPPER(A1522)&amp;"|"&amp;UPPER(B1522),'Blackout Brand Fam Areas (Enc)'!$G$6:$G$998,0)),"No Match")</f>
        <v>No Match</v>
      </c>
      <c r="F1522" s="2" t="str">
        <f t="shared" si="46"/>
        <v>US</v>
      </c>
      <c r="G1522" s="2" t="str">
        <f t="shared" si="47"/>
        <v>Cricket Hill|BERGEN</v>
      </c>
    </row>
    <row r="1523" spans="1:7" x14ac:dyDescent="0.2">
      <c r="A1523" s="2" t="str" cm="1">
        <f t="array" ref="A1523">INDEX('[1]Brand Family Territory (Enc)'!$A$2:$A$296,INT((ROW()-2)/10)+1)</f>
        <v>Cricket Hill</v>
      </c>
      <c r="B1523" s="2" t="str" cm="1">
        <f t="array" ref="B1523">INDEX('Whitelist (Blackout Reverse)'!$B$1:$K$1,MOD(ROW()-2,10)+1)</f>
        <v>PASSAIC</v>
      </c>
      <c r="C1523" s="2" t="str">
        <f>VLOOKUP(A1523,'[1]Brand Family Territory (Enc)'!$A$2:$B$296,2,FALSE)</f>
        <v>All Counties</v>
      </c>
      <c r="D1523" s="2">
        <f>IF(COUNTIFS('[1]Brand Family Territories (Enc)'!$B$2:$B$62,C1523,'[1]Brand Family Territories (Enc)'!$C$2:$C$62,B1523)&gt;0,1,IF(AND(LEFT(B1523,6)="MORRIS",COUNTIFS('[1]Brand Family Territories (Enc)'!$B$2:$B$62,C1523,'[1]Brand Family Territories (Enc)'!$C$2:$C$62,"Morri")&gt;0),"Unk",0))</f>
        <v>1</v>
      </c>
      <c r="E1523" s="2" t="str">
        <f>IFERROR(INDEX('Blackout Brand Fam Areas (Enc)'!$D$6:$D$998,MATCH(UPPER(A1523)&amp;"|"&amp;UPPER(B1523),'Blackout Brand Fam Areas (Enc)'!$G$6:$G$998,0)),"No Match")</f>
        <v>No Match</v>
      </c>
      <c r="F1523" s="2" t="str">
        <f t="shared" si="46"/>
        <v>US</v>
      </c>
      <c r="G1523" s="2" t="str">
        <f t="shared" si="47"/>
        <v>Cricket Hill|PASSAIC</v>
      </c>
    </row>
    <row r="1524" spans="1:7" x14ac:dyDescent="0.2">
      <c r="A1524" s="2" t="str" cm="1">
        <f t="array" ref="A1524">INDEX('[1]Brand Family Territory (Enc)'!$A$2:$A$296,INT((ROW()-2)/10)+1)</f>
        <v>Cricket Hill</v>
      </c>
      <c r="B1524" s="2" t="str" cm="1">
        <f t="array" ref="B1524">INDEX('Whitelist (Blackout Reverse)'!$B$1:$K$1,MOD(ROW()-2,10)+1)</f>
        <v>PASSAIC-FF</v>
      </c>
      <c r="C1524" s="2" t="str">
        <f>VLOOKUP(A1524,'[1]Brand Family Territory (Enc)'!$A$2:$B$296,2,FALSE)</f>
        <v>All Counties</v>
      </c>
      <c r="D1524" s="2">
        <f>IF(COUNTIFS('[1]Brand Family Territories (Enc)'!$B$2:$B$62,C1524,'[1]Brand Family Territories (Enc)'!$C$2:$C$62,B1524)&gt;0,1,IF(AND(LEFT(B1524,6)="MORRIS",COUNTIFS('[1]Brand Family Territories (Enc)'!$B$2:$B$62,C1524,'[1]Brand Family Territories (Enc)'!$C$2:$C$62,"Morri")&gt;0),"Unk",0))</f>
        <v>1</v>
      </c>
      <c r="E1524" s="2" t="str">
        <f>IFERROR(INDEX('Blackout Brand Fam Areas (Enc)'!$D$6:$D$998,MATCH(UPPER(A1524)&amp;"|"&amp;UPPER(B1524),'Blackout Brand Fam Areas (Enc)'!$G$6:$G$998,0)),"No Match")</f>
        <v>No Match</v>
      </c>
      <c r="F1524" s="2" t="str">
        <f t="shared" si="46"/>
        <v>US</v>
      </c>
      <c r="G1524" s="2" t="str">
        <f t="shared" si="47"/>
        <v>Cricket Hill|PASSAIC-FF</v>
      </c>
    </row>
    <row r="1525" spans="1:7" x14ac:dyDescent="0.2">
      <c r="A1525" s="2" t="str" cm="1">
        <f t="array" ref="A1525">INDEX('[1]Brand Family Territory (Enc)'!$A$2:$A$296,INT((ROW()-2)/10)+1)</f>
        <v>Cricket Hill</v>
      </c>
      <c r="B1525" s="2" t="str" cm="1">
        <f t="array" ref="B1525">INDEX('Whitelist (Blackout Reverse)'!$B$1:$K$1,MOD(ROW()-2,10)+1)</f>
        <v>ESSEX</v>
      </c>
      <c r="C1525" s="2" t="str">
        <f>VLOOKUP(A1525,'[1]Brand Family Territory (Enc)'!$A$2:$B$296,2,FALSE)</f>
        <v>All Counties</v>
      </c>
      <c r="D1525" s="2">
        <f>IF(COUNTIFS('[1]Brand Family Territories (Enc)'!$B$2:$B$62,C1525,'[1]Brand Family Territories (Enc)'!$C$2:$C$62,B1525)&gt;0,1,IF(AND(LEFT(B1525,6)="MORRIS",COUNTIFS('[1]Brand Family Territories (Enc)'!$B$2:$B$62,C1525,'[1]Brand Family Territories (Enc)'!$C$2:$C$62,"Morri")&gt;0),"Unk",0))</f>
        <v>1</v>
      </c>
      <c r="E1525" s="2" t="str">
        <f>IFERROR(INDEX('Blackout Brand Fam Areas (Enc)'!$D$6:$D$998,MATCH(UPPER(A1525)&amp;"|"&amp;UPPER(B1525),'Blackout Brand Fam Areas (Enc)'!$G$6:$G$998,0)),"No Match")</f>
        <v>No Match</v>
      </c>
      <c r="F1525" s="2" t="str">
        <f t="shared" si="46"/>
        <v>US</v>
      </c>
      <c r="G1525" s="2" t="str">
        <f t="shared" si="47"/>
        <v>Cricket Hill|ESSEX</v>
      </c>
    </row>
    <row r="1526" spans="1:7" x14ac:dyDescent="0.2">
      <c r="A1526" s="2" t="str" cm="1">
        <f t="array" ref="A1526">INDEX('[1]Brand Family Territory (Enc)'!$A$2:$A$296,INT((ROW()-2)/10)+1)</f>
        <v>Cricket Hill</v>
      </c>
      <c r="B1526" s="2" t="str" cm="1">
        <f t="array" ref="B1526">INDEX('Whitelist (Blackout Reverse)'!$B$1:$K$1,MOD(ROW()-2,10)+1)</f>
        <v>HUDSON</v>
      </c>
      <c r="C1526" s="2" t="str">
        <f>VLOOKUP(A1526,'[1]Brand Family Territory (Enc)'!$A$2:$B$296,2,FALSE)</f>
        <v>All Counties</v>
      </c>
      <c r="D1526" s="2">
        <f>IF(COUNTIFS('[1]Brand Family Territories (Enc)'!$B$2:$B$62,C1526,'[1]Brand Family Territories (Enc)'!$C$2:$C$62,B1526)&gt;0,1,IF(AND(LEFT(B1526,6)="MORRIS",COUNTIFS('[1]Brand Family Territories (Enc)'!$B$2:$B$62,C1526,'[1]Brand Family Territories (Enc)'!$C$2:$C$62,"Morri")&gt;0),"Unk",0))</f>
        <v>1</v>
      </c>
      <c r="E1526" s="2" t="str">
        <f>IFERROR(INDEX('Blackout Brand Fam Areas (Enc)'!$D$6:$D$998,MATCH(UPPER(A1526)&amp;"|"&amp;UPPER(B1526),'Blackout Brand Fam Areas (Enc)'!$G$6:$G$998,0)),"No Match")</f>
        <v>No Match</v>
      </c>
      <c r="F1526" s="2" t="str">
        <f t="shared" si="46"/>
        <v>US</v>
      </c>
      <c r="G1526" s="2" t="str">
        <f t="shared" si="47"/>
        <v>Cricket Hill|HUDSON</v>
      </c>
    </row>
    <row r="1527" spans="1:7" x14ac:dyDescent="0.2">
      <c r="A1527" s="2" t="str" cm="1">
        <f t="array" ref="A1527">INDEX('[1]Brand Family Territory (Enc)'!$A$2:$A$296,INT((ROW()-2)/10)+1)</f>
        <v>Cricket Hill</v>
      </c>
      <c r="B1527" s="2" t="str" cm="1">
        <f t="array" ref="B1527">INDEX('Whitelist (Blackout Reverse)'!$B$1:$K$1,MOD(ROW()-2,10)+1)</f>
        <v>UNION</v>
      </c>
      <c r="C1527" s="2" t="str">
        <f>VLOOKUP(A1527,'[1]Brand Family Territory (Enc)'!$A$2:$B$296,2,FALSE)</f>
        <v>All Counties</v>
      </c>
      <c r="D1527" s="2">
        <f>IF(COUNTIFS('[1]Brand Family Territories (Enc)'!$B$2:$B$62,C1527,'[1]Brand Family Territories (Enc)'!$C$2:$C$62,B1527)&gt;0,1,IF(AND(LEFT(B1527,6)="MORRIS",COUNTIFS('[1]Brand Family Territories (Enc)'!$B$2:$B$62,C1527,'[1]Brand Family Territories (Enc)'!$C$2:$C$62,"Morri")&gt;0),"Unk",0))</f>
        <v>1</v>
      </c>
      <c r="E1527" s="2" t="str">
        <f>IFERROR(INDEX('Blackout Brand Fam Areas (Enc)'!$D$6:$D$998,MATCH(UPPER(A1527)&amp;"|"&amp;UPPER(B1527),'Blackout Brand Fam Areas (Enc)'!$G$6:$G$998,0)),"No Match")</f>
        <v>No Match</v>
      </c>
      <c r="F1527" s="2" t="str">
        <f t="shared" si="46"/>
        <v>US</v>
      </c>
      <c r="G1527" s="2" t="str">
        <f t="shared" si="47"/>
        <v>Cricket Hill|UNION</v>
      </c>
    </row>
    <row r="1528" spans="1:7" x14ac:dyDescent="0.2">
      <c r="A1528" s="2" t="str" cm="1">
        <f t="array" ref="A1528">INDEX('[1]Brand Family Territory (Enc)'!$A$2:$A$296,INT((ROW()-2)/10)+1)</f>
        <v>Cricket Hill</v>
      </c>
      <c r="B1528" s="2" t="str" cm="1">
        <f t="array" ref="B1528">INDEX('Whitelist (Blackout Reverse)'!$B$1:$K$1,MOD(ROW()-2,10)+1)</f>
        <v>SUSSEX</v>
      </c>
      <c r="C1528" s="2" t="str">
        <f>VLOOKUP(A1528,'[1]Brand Family Territory (Enc)'!$A$2:$B$296,2,FALSE)</f>
        <v>All Counties</v>
      </c>
      <c r="D1528" s="2">
        <f>IF(COUNTIFS('[1]Brand Family Territories (Enc)'!$B$2:$B$62,C1528,'[1]Brand Family Territories (Enc)'!$C$2:$C$62,B1528)&gt;0,1,IF(AND(LEFT(B1528,6)="MORRIS",COUNTIFS('[1]Brand Family Territories (Enc)'!$B$2:$B$62,C1528,'[1]Brand Family Territories (Enc)'!$C$2:$C$62,"Morri")&gt;0),"Unk",0))</f>
        <v>1</v>
      </c>
      <c r="E1528" s="2" t="str">
        <f>IFERROR(INDEX('Blackout Brand Fam Areas (Enc)'!$D$6:$D$998,MATCH(UPPER(A1528)&amp;"|"&amp;UPPER(B1528),'Blackout Brand Fam Areas (Enc)'!$G$6:$G$998,0)),"No Match")</f>
        <v>No Match</v>
      </c>
      <c r="F1528" s="2" t="str">
        <f t="shared" si="46"/>
        <v>US</v>
      </c>
      <c r="G1528" s="2" t="str">
        <f t="shared" si="47"/>
        <v>Cricket Hill|SUSSEX</v>
      </c>
    </row>
    <row r="1529" spans="1:7" x14ac:dyDescent="0.2">
      <c r="A1529" s="2" t="str" cm="1">
        <f t="array" ref="A1529">INDEX('[1]Brand Family Territory (Enc)'!$A$2:$A$296,INT((ROW()-2)/10)+1)</f>
        <v>Cricket Hill</v>
      </c>
      <c r="B1529" s="2" t="str" cm="1">
        <f t="array" ref="B1529">INDEX('Whitelist (Blackout Reverse)'!$B$1:$K$1,MOD(ROW()-2,10)+1)</f>
        <v>MORRIS 1</v>
      </c>
      <c r="C1529" s="2" t="str">
        <f>VLOOKUP(A1529,'[1]Brand Family Territory (Enc)'!$A$2:$B$296,2,FALSE)</f>
        <v>All Counties</v>
      </c>
      <c r="D1529" s="2">
        <f>IF(COUNTIFS('[1]Brand Family Territories (Enc)'!$B$2:$B$62,C1529,'[1]Brand Family Territories (Enc)'!$C$2:$C$62,B1529)&gt;0,1,IF(AND(LEFT(B1529,6)="MORRIS",COUNTIFS('[1]Brand Family Territories (Enc)'!$B$2:$B$62,C1529,'[1]Brand Family Territories (Enc)'!$C$2:$C$62,"Morri")&gt;0),"Unk",0))</f>
        <v>1</v>
      </c>
      <c r="E1529" s="2" t="str">
        <f>IFERROR(INDEX('Blackout Brand Fam Areas (Enc)'!$D$6:$D$998,MATCH(UPPER(A1529)&amp;"|"&amp;UPPER(B1529),'Blackout Brand Fam Areas (Enc)'!$G$6:$G$998,0)),"No Match")</f>
        <v>No Match</v>
      </c>
      <c r="F1529" s="2" t="str">
        <f t="shared" si="46"/>
        <v>US</v>
      </c>
      <c r="G1529" s="2" t="str">
        <f t="shared" si="47"/>
        <v>Cricket Hill|MORRIS 1</v>
      </c>
    </row>
    <row r="1530" spans="1:7" x14ac:dyDescent="0.2">
      <c r="A1530" s="2" t="str" cm="1">
        <f t="array" ref="A1530">INDEX('[1]Brand Family Territory (Enc)'!$A$2:$A$296,INT((ROW()-2)/10)+1)</f>
        <v>Cricket Hill</v>
      </c>
      <c r="B1530" s="2" t="str" cm="1">
        <f t="array" ref="B1530">INDEX('Whitelist (Blackout Reverse)'!$B$1:$K$1,MOD(ROW()-2,10)+1)</f>
        <v>MORRIS 2</v>
      </c>
      <c r="C1530" s="2" t="str">
        <f>VLOOKUP(A1530,'[1]Brand Family Territory (Enc)'!$A$2:$B$296,2,FALSE)</f>
        <v>All Counties</v>
      </c>
      <c r="D1530" s="2">
        <f>IF(COUNTIFS('[1]Brand Family Territories (Enc)'!$B$2:$B$62,C1530,'[1]Brand Family Territories (Enc)'!$C$2:$C$62,B1530)&gt;0,1,IF(AND(LEFT(B1530,6)="MORRIS",COUNTIFS('[1]Brand Family Territories (Enc)'!$B$2:$B$62,C1530,'[1]Brand Family Territories (Enc)'!$C$2:$C$62,"Morri")&gt;0),"Unk",0))</f>
        <v>1</v>
      </c>
      <c r="E1530" s="2" t="str">
        <f>IFERROR(INDEX('Blackout Brand Fam Areas (Enc)'!$D$6:$D$998,MATCH(UPPER(A1530)&amp;"|"&amp;UPPER(B1530),'Blackout Brand Fam Areas (Enc)'!$G$6:$G$998,0)),"No Match")</f>
        <v>No Match</v>
      </c>
      <c r="F1530" s="2" t="str">
        <f t="shared" si="46"/>
        <v>US</v>
      </c>
      <c r="G1530" s="2" t="str">
        <f t="shared" si="47"/>
        <v>Cricket Hill|MORRIS 2</v>
      </c>
    </row>
    <row r="1531" spans="1:7" x14ac:dyDescent="0.2">
      <c r="A1531" s="2" t="str" cm="1">
        <f t="array" ref="A1531">INDEX('[1]Brand Family Territory (Enc)'!$A$2:$A$296,INT((ROW()-2)/10)+1)</f>
        <v>Cricket Hill</v>
      </c>
      <c r="B1531" s="2" t="str" cm="1">
        <f t="array" ref="B1531">INDEX('Whitelist (Blackout Reverse)'!$B$1:$K$1,MOD(ROW()-2,10)+1)</f>
        <v>MORRIS 3</v>
      </c>
      <c r="C1531" s="2" t="str">
        <f>VLOOKUP(A1531,'[1]Brand Family Territory (Enc)'!$A$2:$B$296,2,FALSE)</f>
        <v>All Counties</v>
      </c>
      <c r="D1531" s="2">
        <f>IF(COUNTIFS('[1]Brand Family Territories (Enc)'!$B$2:$B$62,C1531,'[1]Brand Family Territories (Enc)'!$C$2:$C$62,B1531)&gt;0,1,IF(AND(LEFT(B1531,6)="MORRIS",COUNTIFS('[1]Brand Family Territories (Enc)'!$B$2:$B$62,C1531,'[1]Brand Family Territories (Enc)'!$C$2:$C$62,"Morri")&gt;0),"Unk",0))</f>
        <v>1</v>
      </c>
      <c r="E1531" s="2" t="str">
        <f>IFERROR(INDEX('Blackout Brand Fam Areas (Enc)'!$D$6:$D$998,MATCH(UPPER(A1531)&amp;"|"&amp;UPPER(B1531),'Blackout Brand Fam Areas (Enc)'!$G$6:$G$998,0)),"No Match")</f>
        <v>No Match</v>
      </c>
      <c r="F1531" s="2" t="str">
        <f t="shared" si="46"/>
        <v>US</v>
      </c>
      <c r="G1531" s="2" t="str">
        <f t="shared" si="47"/>
        <v>Cricket Hill|MORRIS 3</v>
      </c>
    </row>
    <row r="1532" spans="1:7" x14ac:dyDescent="0.2">
      <c r="A1532" s="2" t="str" cm="1">
        <f t="array" ref="A1532">INDEX('[1]Brand Family Territory (Enc)'!$A$2:$A$296,INT((ROW()-2)/10)+1)</f>
        <v>Crook&amp;Marker</v>
      </c>
      <c r="B1532" s="2" t="str" cm="1">
        <f t="array" ref="B1532">INDEX('Whitelist (Blackout Reverse)'!$B$1:$K$1,MOD(ROW()-2,10)+1)</f>
        <v>BERGEN</v>
      </c>
      <c r="C1532" s="2" t="str">
        <f>VLOOKUP(A1532,'[1]Brand Family Territory (Enc)'!$A$2:$B$296,2,FALSE)</f>
        <v>All Counties</v>
      </c>
      <c r="D1532" s="2">
        <f>IF(COUNTIFS('[1]Brand Family Territories (Enc)'!$B$2:$B$62,C1532,'[1]Brand Family Territories (Enc)'!$C$2:$C$62,B1532)&gt;0,1,IF(AND(LEFT(B1532,6)="MORRIS",COUNTIFS('[1]Brand Family Territories (Enc)'!$B$2:$B$62,C1532,'[1]Brand Family Territories (Enc)'!$C$2:$C$62,"Morri")&gt;0),"Unk",0))</f>
        <v>1</v>
      </c>
      <c r="E1532" s="2" t="str">
        <f>IFERROR(INDEX('Blackout Brand Fam Areas (Enc)'!$D$6:$D$998,MATCH(UPPER(A1532)&amp;"|"&amp;UPPER(B1532),'Blackout Brand Fam Areas (Enc)'!$G$6:$G$998,0)),"No Match")</f>
        <v>No Match</v>
      </c>
      <c r="F1532" s="2" t="str">
        <f t="shared" si="46"/>
        <v>US</v>
      </c>
      <c r="G1532" s="2" t="str">
        <f t="shared" si="47"/>
        <v>Crook&amp;Marker|BERGEN</v>
      </c>
    </row>
    <row r="1533" spans="1:7" x14ac:dyDescent="0.2">
      <c r="A1533" s="2" t="str" cm="1">
        <f t="array" ref="A1533">INDEX('[1]Brand Family Territory (Enc)'!$A$2:$A$296,INT((ROW()-2)/10)+1)</f>
        <v>Crook&amp;Marker</v>
      </c>
      <c r="B1533" s="2" t="str" cm="1">
        <f t="array" ref="B1533">INDEX('Whitelist (Blackout Reverse)'!$B$1:$K$1,MOD(ROW()-2,10)+1)</f>
        <v>PASSAIC</v>
      </c>
      <c r="C1533" s="2" t="str">
        <f>VLOOKUP(A1533,'[1]Brand Family Territory (Enc)'!$A$2:$B$296,2,FALSE)</f>
        <v>All Counties</v>
      </c>
      <c r="D1533" s="2">
        <f>IF(COUNTIFS('[1]Brand Family Territories (Enc)'!$B$2:$B$62,C1533,'[1]Brand Family Territories (Enc)'!$C$2:$C$62,B1533)&gt;0,1,IF(AND(LEFT(B1533,6)="MORRIS",COUNTIFS('[1]Brand Family Territories (Enc)'!$B$2:$B$62,C1533,'[1]Brand Family Territories (Enc)'!$C$2:$C$62,"Morri")&gt;0),"Unk",0))</f>
        <v>1</v>
      </c>
      <c r="E1533" s="2" t="str">
        <f>IFERROR(INDEX('Blackout Brand Fam Areas (Enc)'!$D$6:$D$998,MATCH(UPPER(A1533)&amp;"|"&amp;UPPER(B1533),'Blackout Brand Fam Areas (Enc)'!$G$6:$G$998,0)),"No Match")</f>
        <v>No Match</v>
      </c>
      <c r="F1533" s="2" t="str">
        <f t="shared" si="46"/>
        <v>US</v>
      </c>
      <c r="G1533" s="2" t="str">
        <f t="shared" si="47"/>
        <v>Crook&amp;Marker|PASSAIC</v>
      </c>
    </row>
    <row r="1534" spans="1:7" x14ac:dyDescent="0.2">
      <c r="A1534" s="2" t="str" cm="1">
        <f t="array" ref="A1534">INDEX('[1]Brand Family Territory (Enc)'!$A$2:$A$296,INT((ROW()-2)/10)+1)</f>
        <v>Crook&amp;Marker</v>
      </c>
      <c r="B1534" s="2" t="str" cm="1">
        <f t="array" ref="B1534">INDEX('Whitelist (Blackout Reverse)'!$B$1:$K$1,MOD(ROW()-2,10)+1)</f>
        <v>PASSAIC-FF</v>
      </c>
      <c r="C1534" s="2" t="str">
        <f>VLOOKUP(A1534,'[1]Brand Family Territory (Enc)'!$A$2:$B$296,2,FALSE)</f>
        <v>All Counties</v>
      </c>
      <c r="D1534" s="2">
        <f>IF(COUNTIFS('[1]Brand Family Territories (Enc)'!$B$2:$B$62,C1534,'[1]Brand Family Territories (Enc)'!$C$2:$C$62,B1534)&gt;0,1,IF(AND(LEFT(B1534,6)="MORRIS",COUNTIFS('[1]Brand Family Territories (Enc)'!$B$2:$B$62,C1534,'[1]Brand Family Territories (Enc)'!$C$2:$C$62,"Morri")&gt;0),"Unk",0))</f>
        <v>1</v>
      </c>
      <c r="E1534" s="2" t="str">
        <f>IFERROR(INDEX('Blackout Brand Fam Areas (Enc)'!$D$6:$D$998,MATCH(UPPER(A1534)&amp;"|"&amp;UPPER(B1534),'Blackout Brand Fam Areas (Enc)'!$G$6:$G$998,0)),"No Match")</f>
        <v>No Match</v>
      </c>
      <c r="F1534" s="2" t="str">
        <f t="shared" si="46"/>
        <v>US</v>
      </c>
      <c r="G1534" s="2" t="str">
        <f t="shared" si="47"/>
        <v>Crook&amp;Marker|PASSAIC-FF</v>
      </c>
    </row>
    <row r="1535" spans="1:7" x14ac:dyDescent="0.2">
      <c r="A1535" s="2" t="str" cm="1">
        <f t="array" ref="A1535">INDEX('[1]Brand Family Territory (Enc)'!$A$2:$A$296,INT((ROW()-2)/10)+1)</f>
        <v>Crook&amp;Marker</v>
      </c>
      <c r="B1535" s="2" t="str" cm="1">
        <f t="array" ref="B1535">INDEX('Whitelist (Blackout Reverse)'!$B$1:$K$1,MOD(ROW()-2,10)+1)</f>
        <v>ESSEX</v>
      </c>
      <c r="C1535" s="2" t="str">
        <f>VLOOKUP(A1535,'[1]Brand Family Territory (Enc)'!$A$2:$B$296,2,FALSE)</f>
        <v>All Counties</v>
      </c>
      <c r="D1535" s="2">
        <f>IF(COUNTIFS('[1]Brand Family Territories (Enc)'!$B$2:$B$62,C1535,'[1]Brand Family Territories (Enc)'!$C$2:$C$62,B1535)&gt;0,1,IF(AND(LEFT(B1535,6)="MORRIS",COUNTIFS('[1]Brand Family Territories (Enc)'!$B$2:$B$62,C1535,'[1]Brand Family Territories (Enc)'!$C$2:$C$62,"Morri")&gt;0),"Unk",0))</f>
        <v>1</v>
      </c>
      <c r="E1535" s="2" t="str">
        <f>IFERROR(INDEX('Blackout Brand Fam Areas (Enc)'!$D$6:$D$998,MATCH(UPPER(A1535)&amp;"|"&amp;UPPER(B1535),'Blackout Brand Fam Areas (Enc)'!$G$6:$G$998,0)),"No Match")</f>
        <v>No Match</v>
      </c>
      <c r="F1535" s="2" t="str">
        <f t="shared" si="46"/>
        <v>US</v>
      </c>
      <c r="G1535" s="2" t="str">
        <f t="shared" si="47"/>
        <v>Crook&amp;Marker|ESSEX</v>
      </c>
    </row>
    <row r="1536" spans="1:7" x14ac:dyDescent="0.2">
      <c r="A1536" s="2" t="str" cm="1">
        <f t="array" ref="A1536">INDEX('[1]Brand Family Territory (Enc)'!$A$2:$A$296,INT((ROW()-2)/10)+1)</f>
        <v>Crook&amp;Marker</v>
      </c>
      <c r="B1536" s="2" t="str" cm="1">
        <f t="array" ref="B1536">INDEX('Whitelist (Blackout Reverse)'!$B$1:$K$1,MOD(ROW()-2,10)+1)</f>
        <v>HUDSON</v>
      </c>
      <c r="C1536" s="2" t="str">
        <f>VLOOKUP(A1536,'[1]Brand Family Territory (Enc)'!$A$2:$B$296,2,FALSE)</f>
        <v>All Counties</v>
      </c>
      <c r="D1536" s="2">
        <f>IF(COUNTIFS('[1]Brand Family Territories (Enc)'!$B$2:$B$62,C1536,'[1]Brand Family Territories (Enc)'!$C$2:$C$62,B1536)&gt;0,1,IF(AND(LEFT(B1536,6)="MORRIS",COUNTIFS('[1]Brand Family Territories (Enc)'!$B$2:$B$62,C1536,'[1]Brand Family Territories (Enc)'!$C$2:$C$62,"Morri")&gt;0),"Unk",0))</f>
        <v>1</v>
      </c>
      <c r="E1536" s="2" t="str">
        <f>IFERROR(INDEX('Blackout Brand Fam Areas (Enc)'!$D$6:$D$998,MATCH(UPPER(A1536)&amp;"|"&amp;UPPER(B1536),'Blackout Brand Fam Areas (Enc)'!$G$6:$G$998,0)),"No Match")</f>
        <v>No Match</v>
      </c>
      <c r="F1536" s="2" t="str">
        <f t="shared" si="46"/>
        <v>US</v>
      </c>
      <c r="G1536" s="2" t="str">
        <f t="shared" si="47"/>
        <v>Crook&amp;Marker|HUDSON</v>
      </c>
    </row>
    <row r="1537" spans="1:7" x14ac:dyDescent="0.2">
      <c r="A1537" s="2" t="str" cm="1">
        <f t="array" ref="A1537">INDEX('[1]Brand Family Territory (Enc)'!$A$2:$A$296,INT((ROW()-2)/10)+1)</f>
        <v>Crook&amp;Marker</v>
      </c>
      <c r="B1537" s="2" t="str" cm="1">
        <f t="array" ref="B1537">INDEX('Whitelist (Blackout Reverse)'!$B$1:$K$1,MOD(ROW()-2,10)+1)</f>
        <v>UNION</v>
      </c>
      <c r="C1537" s="2" t="str">
        <f>VLOOKUP(A1537,'[1]Brand Family Territory (Enc)'!$A$2:$B$296,2,FALSE)</f>
        <v>All Counties</v>
      </c>
      <c r="D1537" s="2">
        <f>IF(COUNTIFS('[1]Brand Family Territories (Enc)'!$B$2:$B$62,C1537,'[1]Brand Family Territories (Enc)'!$C$2:$C$62,B1537)&gt;0,1,IF(AND(LEFT(B1537,6)="MORRIS",COUNTIFS('[1]Brand Family Territories (Enc)'!$B$2:$B$62,C1537,'[1]Brand Family Territories (Enc)'!$C$2:$C$62,"Morri")&gt;0),"Unk",0))</f>
        <v>1</v>
      </c>
      <c r="E1537" s="2" t="str">
        <f>IFERROR(INDEX('Blackout Brand Fam Areas (Enc)'!$D$6:$D$998,MATCH(UPPER(A1537)&amp;"|"&amp;UPPER(B1537),'Blackout Brand Fam Areas (Enc)'!$G$6:$G$998,0)),"No Match")</f>
        <v>No Match</v>
      </c>
      <c r="F1537" s="2" t="str">
        <f t="shared" si="46"/>
        <v>US</v>
      </c>
      <c r="G1537" s="2" t="str">
        <f t="shared" si="47"/>
        <v>Crook&amp;Marker|UNION</v>
      </c>
    </row>
    <row r="1538" spans="1:7" x14ac:dyDescent="0.2">
      <c r="A1538" s="2" t="str" cm="1">
        <f t="array" ref="A1538">INDEX('[1]Brand Family Territory (Enc)'!$A$2:$A$296,INT((ROW()-2)/10)+1)</f>
        <v>Crook&amp;Marker</v>
      </c>
      <c r="B1538" s="2" t="str" cm="1">
        <f t="array" ref="B1538">INDEX('Whitelist (Blackout Reverse)'!$B$1:$K$1,MOD(ROW()-2,10)+1)</f>
        <v>SUSSEX</v>
      </c>
      <c r="C1538" s="2" t="str">
        <f>VLOOKUP(A1538,'[1]Brand Family Territory (Enc)'!$A$2:$B$296,2,FALSE)</f>
        <v>All Counties</v>
      </c>
      <c r="D1538" s="2">
        <f>IF(COUNTIFS('[1]Brand Family Territories (Enc)'!$B$2:$B$62,C1538,'[1]Brand Family Territories (Enc)'!$C$2:$C$62,B1538)&gt;0,1,IF(AND(LEFT(B1538,6)="MORRIS",COUNTIFS('[1]Brand Family Territories (Enc)'!$B$2:$B$62,C1538,'[1]Brand Family Territories (Enc)'!$C$2:$C$62,"Morri")&gt;0),"Unk",0))</f>
        <v>1</v>
      </c>
      <c r="E1538" s="2" t="str">
        <f>IFERROR(INDEX('Blackout Brand Fam Areas (Enc)'!$D$6:$D$998,MATCH(UPPER(A1538)&amp;"|"&amp;UPPER(B1538),'Blackout Brand Fam Areas (Enc)'!$G$6:$G$998,0)),"No Match")</f>
        <v>No Match</v>
      </c>
      <c r="F1538" s="2" t="str">
        <f t="shared" si="46"/>
        <v>US</v>
      </c>
      <c r="G1538" s="2" t="str">
        <f t="shared" si="47"/>
        <v>Crook&amp;Marker|SUSSEX</v>
      </c>
    </row>
    <row r="1539" spans="1:7" x14ac:dyDescent="0.2">
      <c r="A1539" s="2" t="str" cm="1">
        <f t="array" ref="A1539">INDEX('[1]Brand Family Territory (Enc)'!$A$2:$A$296,INT((ROW()-2)/10)+1)</f>
        <v>Crook&amp;Marker</v>
      </c>
      <c r="B1539" s="2" t="str" cm="1">
        <f t="array" ref="B1539">INDEX('Whitelist (Blackout Reverse)'!$B$1:$K$1,MOD(ROW()-2,10)+1)</f>
        <v>MORRIS 1</v>
      </c>
      <c r="C1539" s="2" t="str">
        <f>VLOOKUP(A1539,'[1]Brand Family Territory (Enc)'!$A$2:$B$296,2,FALSE)</f>
        <v>All Counties</v>
      </c>
      <c r="D1539" s="2">
        <f>IF(COUNTIFS('[1]Brand Family Territories (Enc)'!$B$2:$B$62,C1539,'[1]Brand Family Territories (Enc)'!$C$2:$C$62,B1539)&gt;0,1,IF(AND(LEFT(B1539,6)="MORRIS",COUNTIFS('[1]Brand Family Territories (Enc)'!$B$2:$B$62,C1539,'[1]Brand Family Territories (Enc)'!$C$2:$C$62,"Morri")&gt;0),"Unk",0))</f>
        <v>1</v>
      </c>
      <c r="E1539" s="2" t="str">
        <f>IFERROR(INDEX('Blackout Brand Fam Areas (Enc)'!$D$6:$D$998,MATCH(UPPER(A1539)&amp;"|"&amp;UPPER(B1539),'Blackout Brand Fam Areas (Enc)'!$G$6:$G$998,0)),"No Match")</f>
        <v>No Match</v>
      </c>
      <c r="F1539" s="2" t="str">
        <f t="shared" ref="F1539:F1602" si="48">IF(D1539="Unk","Ambiguous (Source Truncated)",IF(E1539="Inactive","THEM",IF(D1539=1,"US",IF(D1539="N/A","No Territory Data","THEM"))))</f>
        <v>US</v>
      </c>
      <c r="G1539" s="2" t="str">
        <f t="shared" ref="G1539:G1602" si="49">A1539&amp;"|"&amp;B1539</f>
        <v>Crook&amp;Marker|MORRIS 1</v>
      </c>
    </row>
    <row r="1540" spans="1:7" x14ac:dyDescent="0.2">
      <c r="A1540" s="2" t="str" cm="1">
        <f t="array" ref="A1540">INDEX('[1]Brand Family Territory (Enc)'!$A$2:$A$296,INT((ROW()-2)/10)+1)</f>
        <v>Crook&amp;Marker</v>
      </c>
      <c r="B1540" s="2" t="str" cm="1">
        <f t="array" ref="B1540">INDEX('Whitelist (Blackout Reverse)'!$B$1:$K$1,MOD(ROW()-2,10)+1)</f>
        <v>MORRIS 2</v>
      </c>
      <c r="C1540" s="2" t="str">
        <f>VLOOKUP(A1540,'[1]Brand Family Territory (Enc)'!$A$2:$B$296,2,FALSE)</f>
        <v>All Counties</v>
      </c>
      <c r="D1540" s="2">
        <f>IF(COUNTIFS('[1]Brand Family Territories (Enc)'!$B$2:$B$62,C1540,'[1]Brand Family Territories (Enc)'!$C$2:$C$62,B1540)&gt;0,1,IF(AND(LEFT(B1540,6)="MORRIS",COUNTIFS('[1]Brand Family Territories (Enc)'!$B$2:$B$62,C1540,'[1]Brand Family Territories (Enc)'!$C$2:$C$62,"Morri")&gt;0),"Unk",0))</f>
        <v>1</v>
      </c>
      <c r="E1540" s="2" t="str">
        <f>IFERROR(INDEX('Blackout Brand Fam Areas (Enc)'!$D$6:$D$998,MATCH(UPPER(A1540)&amp;"|"&amp;UPPER(B1540),'Blackout Brand Fam Areas (Enc)'!$G$6:$G$998,0)),"No Match")</f>
        <v>No Match</v>
      </c>
      <c r="F1540" s="2" t="str">
        <f t="shared" si="48"/>
        <v>US</v>
      </c>
      <c r="G1540" s="2" t="str">
        <f t="shared" si="49"/>
        <v>Crook&amp;Marker|MORRIS 2</v>
      </c>
    </row>
    <row r="1541" spans="1:7" x14ac:dyDescent="0.2">
      <c r="A1541" s="2" t="str" cm="1">
        <f t="array" ref="A1541">INDEX('[1]Brand Family Territory (Enc)'!$A$2:$A$296,INT((ROW()-2)/10)+1)</f>
        <v>Crook&amp;Marker</v>
      </c>
      <c r="B1541" s="2" t="str" cm="1">
        <f t="array" ref="B1541">INDEX('Whitelist (Blackout Reverse)'!$B$1:$K$1,MOD(ROW()-2,10)+1)</f>
        <v>MORRIS 3</v>
      </c>
      <c r="C1541" s="2" t="str">
        <f>VLOOKUP(A1541,'[1]Brand Family Territory (Enc)'!$A$2:$B$296,2,FALSE)</f>
        <v>All Counties</v>
      </c>
      <c r="D1541" s="2">
        <f>IF(COUNTIFS('[1]Brand Family Territories (Enc)'!$B$2:$B$62,C1541,'[1]Brand Family Territories (Enc)'!$C$2:$C$62,B1541)&gt;0,1,IF(AND(LEFT(B1541,6)="MORRIS",COUNTIFS('[1]Brand Family Territories (Enc)'!$B$2:$B$62,C1541,'[1]Brand Family Territories (Enc)'!$C$2:$C$62,"Morri")&gt;0),"Unk",0))</f>
        <v>1</v>
      </c>
      <c r="E1541" s="2" t="str">
        <f>IFERROR(INDEX('Blackout Brand Fam Areas (Enc)'!$D$6:$D$998,MATCH(UPPER(A1541)&amp;"|"&amp;UPPER(B1541),'Blackout Brand Fam Areas (Enc)'!$G$6:$G$998,0)),"No Match")</f>
        <v>No Match</v>
      </c>
      <c r="F1541" s="2" t="str">
        <f t="shared" si="48"/>
        <v>US</v>
      </c>
      <c r="G1541" s="2" t="str">
        <f t="shared" si="49"/>
        <v>Crook&amp;Marker|MORRIS 3</v>
      </c>
    </row>
    <row r="1542" spans="1:7" x14ac:dyDescent="0.2">
      <c r="A1542" s="2" t="str" cm="1">
        <f t="array" ref="A1542">INDEX('[1]Brand Family Territory (Enc)'!$A$2:$A$296,INT((ROW()-2)/10)+1)</f>
        <v>Crooked Tea</v>
      </c>
      <c r="B1542" s="2" t="str" cm="1">
        <f t="array" ref="B1542">INDEX('Whitelist (Blackout Reverse)'!$B$1:$K$1,MOD(ROW()-2,10)+1)</f>
        <v>BERGEN</v>
      </c>
      <c r="C1542" s="2" t="str">
        <f>VLOOKUP(A1542,'[1]Brand Family Territory (Enc)'!$A$2:$B$296,2,FALSE)</f>
        <v>All Counties</v>
      </c>
      <c r="D1542" s="2">
        <f>IF(COUNTIFS('[1]Brand Family Territories (Enc)'!$B$2:$B$62,C1542,'[1]Brand Family Territories (Enc)'!$C$2:$C$62,B1542)&gt;0,1,IF(AND(LEFT(B1542,6)="MORRIS",COUNTIFS('[1]Brand Family Territories (Enc)'!$B$2:$B$62,C1542,'[1]Brand Family Territories (Enc)'!$C$2:$C$62,"Morri")&gt;0),"Unk",0))</f>
        <v>1</v>
      </c>
      <c r="E1542" s="2" t="str">
        <f>IFERROR(INDEX('Blackout Brand Fam Areas (Enc)'!$D$6:$D$998,MATCH(UPPER(A1542)&amp;"|"&amp;UPPER(B1542),'Blackout Brand Fam Areas (Enc)'!$G$6:$G$998,0)),"No Match")</f>
        <v>No Match</v>
      </c>
      <c r="F1542" s="2" t="str">
        <f t="shared" si="48"/>
        <v>US</v>
      </c>
      <c r="G1542" s="2" t="str">
        <f t="shared" si="49"/>
        <v>Crooked Tea|BERGEN</v>
      </c>
    </row>
    <row r="1543" spans="1:7" x14ac:dyDescent="0.2">
      <c r="A1543" s="2" t="str" cm="1">
        <f t="array" ref="A1543">INDEX('[1]Brand Family Territory (Enc)'!$A$2:$A$296,INT((ROW()-2)/10)+1)</f>
        <v>Crooked Tea</v>
      </c>
      <c r="B1543" s="2" t="str" cm="1">
        <f t="array" ref="B1543">INDEX('Whitelist (Blackout Reverse)'!$B$1:$K$1,MOD(ROW()-2,10)+1)</f>
        <v>PASSAIC</v>
      </c>
      <c r="C1543" s="2" t="str">
        <f>VLOOKUP(A1543,'[1]Brand Family Territory (Enc)'!$A$2:$B$296,2,FALSE)</f>
        <v>All Counties</v>
      </c>
      <c r="D1543" s="2">
        <f>IF(COUNTIFS('[1]Brand Family Territories (Enc)'!$B$2:$B$62,C1543,'[1]Brand Family Territories (Enc)'!$C$2:$C$62,B1543)&gt;0,1,IF(AND(LEFT(B1543,6)="MORRIS",COUNTIFS('[1]Brand Family Territories (Enc)'!$B$2:$B$62,C1543,'[1]Brand Family Territories (Enc)'!$C$2:$C$62,"Morri")&gt;0),"Unk",0))</f>
        <v>1</v>
      </c>
      <c r="E1543" s="2" t="str">
        <f>IFERROR(INDEX('Blackout Brand Fam Areas (Enc)'!$D$6:$D$998,MATCH(UPPER(A1543)&amp;"|"&amp;UPPER(B1543),'Blackout Brand Fam Areas (Enc)'!$G$6:$G$998,0)),"No Match")</f>
        <v>No Match</v>
      </c>
      <c r="F1543" s="2" t="str">
        <f t="shared" si="48"/>
        <v>US</v>
      </c>
      <c r="G1543" s="2" t="str">
        <f t="shared" si="49"/>
        <v>Crooked Tea|PASSAIC</v>
      </c>
    </row>
    <row r="1544" spans="1:7" x14ac:dyDescent="0.2">
      <c r="A1544" s="2" t="str" cm="1">
        <f t="array" ref="A1544">INDEX('[1]Brand Family Territory (Enc)'!$A$2:$A$296,INT((ROW()-2)/10)+1)</f>
        <v>Crooked Tea</v>
      </c>
      <c r="B1544" s="2" t="str" cm="1">
        <f t="array" ref="B1544">INDEX('Whitelist (Blackout Reverse)'!$B$1:$K$1,MOD(ROW()-2,10)+1)</f>
        <v>PASSAIC-FF</v>
      </c>
      <c r="C1544" s="2" t="str">
        <f>VLOOKUP(A1544,'[1]Brand Family Territory (Enc)'!$A$2:$B$296,2,FALSE)</f>
        <v>All Counties</v>
      </c>
      <c r="D1544" s="2">
        <f>IF(COUNTIFS('[1]Brand Family Territories (Enc)'!$B$2:$B$62,C1544,'[1]Brand Family Territories (Enc)'!$C$2:$C$62,B1544)&gt;0,1,IF(AND(LEFT(B1544,6)="MORRIS",COUNTIFS('[1]Brand Family Territories (Enc)'!$B$2:$B$62,C1544,'[1]Brand Family Territories (Enc)'!$C$2:$C$62,"Morri")&gt;0),"Unk",0))</f>
        <v>1</v>
      </c>
      <c r="E1544" s="2" t="str">
        <f>IFERROR(INDEX('Blackout Brand Fam Areas (Enc)'!$D$6:$D$998,MATCH(UPPER(A1544)&amp;"|"&amp;UPPER(B1544),'Blackout Brand Fam Areas (Enc)'!$G$6:$G$998,0)),"No Match")</f>
        <v>No Match</v>
      </c>
      <c r="F1544" s="2" t="str">
        <f t="shared" si="48"/>
        <v>US</v>
      </c>
      <c r="G1544" s="2" t="str">
        <f t="shared" si="49"/>
        <v>Crooked Tea|PASSAIC-FF</v>
      </c>
    </row>
    <row r="1545" spans="1:7" x14ac:dyDescent="0.2">
      <c r="A1545" s="2" t="str" cm="1">
        <f t="array" ref="A1545">INDEX('[1]Brand Family Territory (Enc)'!$A$2:$A$296,INT((ROW()-2)/10)+1)</f>
        <v>Crooked Tea</v>
      </c>
      <c r="B1545" s="2" t="str" cm="1">
        <f t="array" ref="B1545">INDEX('Whitelist (Blackout Reverse)'!$B$1:$K$1,MOD(ROW()-2,10)+1)</f>
        <v>ESSEX</v>
      </c>
      <c r="C1545" s="2" t="str">
        <f>VLOOKUP(A1545,'[1]Brand Family Territory (Enc)'!$A$2:$B$296,2,FALSE)</f>
        <v>All Counties</v>
      </c>
      <c r="D1545" s="2">
        <f>IF(COUNTIFS('[1]Brand Family Territories (Enc)'!$B$2:$B$62,C1545,'[1]Brand Family Territories (Enc)'!$C$2:$C$62,B1545)&gt;0,1,IF(AND(LEFT(B1545,6)="MORRIS",COUNTIFS('[1]Brand Family Territories (Enc)'!$B$2:$B$62,C1545,'[1]Brand Family Territories (Enc)'!$C$2:$C$62,"Morri")&gt;0),"Unk",0))</f>
        <v>1</v>
      </c>
      <c r="E1545" s="2" t="str">
        <f>IFERROR(INDEX('Blackout Brand Fam Areas (Enc)'!$D$6:$D$998,MATCH(UPPER(A1545)&amp;"|"&amp;UPPER(B1545),'Blackout Brand Fam Areas (Enc)'!$G$6:$G$998,0)),"No Match")</f>
        <v>No Match</v>
      </c>
      <c r="F1545" s="2" t="str">
        <f t="shared" si="48"/>
        <v>US</v>
      </c>
      <c r="G1545" s="2" t="str">
        <f t="shared" si="49"/>
        <v>Crooked Tea|ESSEX</v>
      </c>
    </row>
    <row r="1546" spans="1:7" x14ac:dyDescent="0.2">
      <c r="A1546" s="2" t="str" cm="1">
        <f t="array" ref="A1546">INDEX('[1]Brand Family Territory (Enc)'!$A$2:$A$296,INT((ROW()-2)/10)+1)</f>
        <v>Crooked Tea</v>
      </c>
      <c r="B1546" s="2" t="str" cm="1">
        <f t="array" ref="B1546">INDEX('Whitelist (Blackout Reverse)'!$B$1:$K$1,MOD(ROW()-2,10)+1)</f>
        <v>HUDSON</v>
      </c>
      <c r="C1546" s="2" t="str">
        <f>VLOOKUP(A1546,'[1]Brand Family Territory (Enc)'!$A$2:$B$296,2,FALSE)</f>
        <v>All Counties</v>
      </c>
      <c r="D1546" s="2">
        <f>IF(COUNTIFS('[1]Brand Family Territories (Enc)'!$B$2:$B$62,C1546,'[1]Brand Family Territories (Enc)'!$C$2:$C$62,B1546)&gt;0,1,IF(AND(LEFT(B1546,6)="MORRIS",COUNTIFS('[1]Brand Family Territories (Enc)'!$B$2:$B$62,C1546,'[1]Brand Family Territories (Enc)'!$C$2:$C$62,"Morri")&gt;0),"Unk",0))</f>
        <v>1</v>
      </c>
      <c r="E1546" s="2" t="str">
        <f>IFERROR(INDEX('Blackout Brand Fam Areas (Enc)'!$D$6:$D$998,MATCH(UPPER(A1546)&amp;"|"&amp;UPPER(B1546),'Blackout Brand Fam Areas (Enc)'!$G$6:$G$998,0)),"No Match")</f>
        <v>No Match</v>
      </c>
      <c r="F1546" s="2" t="str">
        <f t="shared" si="48"/>
        <v>US</v>
      </c>
      <c r="G1546" s="2" t="str">
        <f t="shared" si="49"/>
        <v>Crooked Tea|HUDSON</v>
      </c>
    </row>
    <row r="1547" spans="1:7" x14ac:dyDescent="0.2">
      <c r="A1547" s="2" t="str" cm="1">
        <f t="array" ref="A1547">INDEX('[1]Brand Family Territory (Enc)'!$A$2:$A$296,INT((ROW()-2)/10)+1)</f>
        <v>Crooked Tea</v>
      </c>
      <c r="B1547" s="2" t="str" cm="1">
        <f t="array" ref="B1547">INDEX('Whitelist (Blackout Reverse)'!$B$1:$K$1,MOD(ROW()-2,10)+1)</f>
        <v>UNION</v>
      </c>
      <c r="C1547" s="2" t="str">
        <f>VLOOKUP(A1547,'[1]Brand Family Territory (Enc)'!$A$2:$B$296,2,FALSE)</f>
        <v>All Counties</v>
      </c>
      <c r="D1547" s="2">
        <f>IF(COUNTIFS('[1]Brand Family Territories (Enc)'!$B$2:$B$62,C1547,'[1]Brand Family Territories (Enc)'!$C$2:$C$62,B1547)&gt;0,1,IF(AND(LEFT(B1547,6)="MORRIS",COUNTIFS('[1]Brand Family Territories (Enc)'!$B$2:$B$62,C1547,'[1]Brand Family Territories (Enc)'!$C$2:$C$62,"Morri")&gt;0),"Unk",0))</f>
        <v>1</v>
      </c>
      <c r="E1547" s="2" t="str">
        <f>IFERROR(INDEX('Blackout Brand Fam Areas (Enc)'!$D$6:$D$998,MATCH(UPPER(A1547)&amp;"|"&amp;UPPER(B1547),'Blackout Brand Fam Areas (Enc)'!$G$6:$G$998,0)),"No Match")</f>
        <v>No Match</v>
      </c>
      <c r="F1547" s="2" t="str">
        <f t="shared" si="48"/>
        <v>US</v>
      </c>
      <c r="G1547" s="2" t="str">
        <f t="shared" si="49"/>
        <v>Crooked Tea|UNION</v>
      </c>
    </row>
    <row r="1548" spans="1:7" x14ac:dyDescent="0.2">
      <c r="A1548" s="2" t="str" cm="1">
        <f t="array" ref="A1548">INDEX('[1]Brand Family Territory (Enc)'!$A$2:$A$296,INT((ROW()-2)/10)+1)</f>
        <v>Crooked Tea</v>
      </c>
      <c r="B1548" s="2" t="str" cm="1">
        <f t="array" ref="B1548">INDEX('Whitelist (Blackout Reverse)'!$B$1:$K$1,MOD(ROW()-2,10)+1)</f>
        <v>SUSSEX</v>
      </c>
      <c r="C1548" s="2" t="str">
        <f>VLOOKUP(A1548,'[1]Brand Family Territory (Enc)'!$A$2:$B$296,2,FALSE)</f>
        <v>All Counties</v>
      </c>
      <c r="D1548" s="2">
        <f>IF(COUNTIFS('[1]Brand Family Territories (Enc)'!$B$2:$B$62,C1548,'[1]Brand Family Territories (Enc)'!$C$2:$C$62,B1548)&gt;0,1,IF(AND(LEFT(B1548,6)="MORRIS",COUNTIFS('[1]Brand Family Territories (Enc)'!$B$2:$B$62,C1548,'[1]Brand Family Territories (Enc)'!$C$2:$C$62,"Morri")&gt;0),"Unk",0))</f>
        <v>1</v>
      </c>
      <c r="E1548" s="2" t="str">
        <f>IFERROR(INDEX('Blackout Brand Fam Areas (Enc)'!$D$6:$D$998,MATCH(UPPER(A1548)&amp;"|"&amp;UPPER(B1548),'Blackout Brand Fam Areas (Enc)'!$G$6:$G$998,0)),"No Match")</f>
        <v>No Match</v>
      </c>
      <c r="F1548" s="2" t="str">
        <f t="shared" si="48"/>
        <v>US</v>
      </c>
      <c r="G1548" s="2" t="str">
        <f t="shared" si="49"/>
        <v>Crooked Tea|SUSSEX</v>
      </c>
    </row>
    <row r="1549" spans="1:7" x14ac:dyDescent="0.2">
      <c r="A1549" s="2" t="str" cm="1">
        <f t="array" ref="A1549">INDEX('[1]Brand Family Territory (Enc)'!$A$2:$A$296,INT((ROW()-2)/10)+1)</f>
        <v>Crooked Tea</v>
      </c>
      <c r="B1549" s="2" t="str" cm="1">
        <f t="array" ref="B1549">INDEX('Whitelist (Blackout Reverse)'!$B$1:$K$1,MOD(ROW()-2,10)+1)</f>
        <v>MORRIS 1</v>
      </c>
      <c r="C1549" s="2" t="str">
        <f>VLOOKUP(A1549,'[1]Brand Family Territory (Enc)'!$A$2:$B$296,2,FALSE)</f>
        <v>All Counties</v>
      </c>
      <c r="D1549" s="2">
        <f>IF(COUNTIFS('[1]Brand Family Territories (Enc)'!$B$2:$B$62,C1549,'[1]Brand Family Territories (Enc)'!$C$2:$C$62,B1549)&gt;0,1,IF(AND(LEFT(B1549,6)="MORRIS",COUNTIFS('[1]Brand Family Territories (Enc)'!$B$2:$B$62,C1549,'[1]Brand Family Territories (Enc)'!$C$2:$C$62,"Morri")&gt;0),"Unk",0))</f>
        <v>1</v>
      </c>
      <c r="E1549" s="2" t="str">
        <f>IFERROR(INDEX('Blackout Brand Fam Areas (Enc)'!$D$6:$D$998,MATCH(UPPER(A1549)&amp;"|"&amp;UPPER(B1549),'Blackout Brand Fam Areas (Enc)'!$G$6:$G$998,0)),"No Match")</f>
        <v>No Match</v>
      </c>
      <c r="F1549" s="2" t="str">
        <f t="shared" si="48"/>
        <v>US</v>
      </c>
      <c r="G1549" s="2" t="str">
        <f t="shared" si="49"/>
        <v>Crooked Tea|MORRIS 1</v>
      </c>
    </row>
    <row r="1550" spans="1:7" x14ac:dyDescent="0.2">
      <c r="A1550" s="2" t="str" cm="1">
        <f t="array" ref="A1550">INDEX('[1]Brand Family Territory (Enc)'!$A$2:$A$296,INT((ROW()-2)/10)+1)</f>
        <v>Crooked Tea</v>
      </c>
      <c r="B1550" s="2" t="str" cm="1">
        <f t="array" ref="B1550">INDEX('Whitelist (Blackout Reverse)'!$B$1:$K$1,MOD(ROW()-2,10)+1)</f>
        <v>MORRIS 2</v>
      </c>
      <c r="C1550" s="2" t="str">
        <f>VLOOKUP(A1550,'[1]Brand Family Territory (Enc)'!$A$2:$B$296,2,FALSE)</f>
        <v>All Counties</v>
      </c>
      <c r="D1550" s="2">
        <f>IF(COUNTIFS('[1]Brand Family Territories (Enc)'!$B$2:$B$62,C1550,'[1]Brand Family Territories (Enc)'!$C$2:$C$62,B1550)&gt;0,1,IF(AND(LEFT(B1550,6)="MORRIS",COUNTIFS('[1]Brand Family Territories (Enc)'!$B$2:$B$62,C1550,'[1]Brand Family Territories (Enc)'!$C$2:$C$62,"Morri")&gt;0),"Unk",0))</f>
        <v>1</v>
      </c>
      <c r="E1550" s="2" t="str">
        <f>IFERROR(INDEX('Blackout Brand Fam Areas (Enc)'!$D$6:$D$998,MATCH(UPPER(A1550)&amp;"|"&amp;UPPER(B1550),'Blackout Brand Fam Areas (Enc)'!$G$6:$G$998,0)),"No Match")</f>
        <v>No Match</v>
      </c>
      <c r="F1550" s="2" t="str">
        <f t="shared" si="48"/>
        <v>US</v>
      </c>
      <c r="G1550" s="2" t="str">
        <f t="shared" si="49"/>
        <v>Crooked Tea|MORRIS 2</v>
      </c>
    </row>
    <row r="1551" spans="1:7" x14ac:dyDescent="0.2">
      <c r="A1551" s="2" t="str" cm="1">
        <f t="array" ref="A1551">INDEX('[1]Brand Family Territory (Enc)'!$A$2:$A$296,INT((ROW()-2)/10)+1)</f>
        <v>Crooked Tea</v>
      </c>
      <c r="B1551" s="2" t="str" cm="1">
        <f t="array" ref="B1551">INDEX('Whitelist (Blackout Reverse)'!$B$1:$K$1,MOD(ROW()-2,10)+1)</f>
        <v>MORRIS 3</v>
      </c>
      <c r="C1551" s="2" t="str">
        <f>VLOOKUP(A1551,'[1]Brand Family Territory (Enc)'!$A$2:$B$296,2,FALSE)</f>
        <v>All Counties</v>
      </c>
      <c r="D1551" s="2">
        <f>IF(COUNTIFS('[1]Brand Family Territories (Enc)'!$B$2:$B$62,C1551,'[1]Brand Family Territories (Enc)'!$C$2:$C$62,B1551)&gt;0,1,IF(AND(LEFT(B1551,6)="MORRIS",COUNTIFS('[1]Brand Family Territories (Enc)'!$B$2:$B$62,C1551,'[1]Brand Family Territories (Enc)'!$C$2:$C$62,"Morri")&gt;0),"Unk",0))</f>
        <v>1</v>
      </c>
      <c r="E1551" s="2" t="str">
        <f>IFERROR(INDEX('Blackout Brand Fam Areas (Enc)'!$D$6:$D$998,MATCH(UPPER(A1551)&amp;"|"&amp;UPPER(B1551),'Blackout Brand Fam Areas (Enc)'!$G$6:$G$998,0)),"No Match")</f>
        <v>No Match</v>
      </c>
      <c r="F1551" s="2" t="str">
        <f t="shared" si="48"/>
        <v>US</v>
      </c>
      <c r="G1551" s="2" t="str">
        <f t="shared" si="49"/>
        <v>Crooked Tea|MORRIS 3</v>
      </c>
    </row>
    <row r="1552" spans="1:7" x14ac:dyDescent="0.2">
      <c r="A1552" s="2" t="str" cm="1">
        <f t="array" ref="A1552">INDEX('[1]Brand Family Territory (Enc)'!$A$2:$A$296,INT((ROW()-2)/10)+1)</f>
        <v>Crooked Beverage</v>
      </c>
      <c r="B1552" s="2" t="str" cm="1">
        <f t="array" ref="B1552">INDEX('Whitelist (Blackout Reverse)'!$B$1:$K$1,MOD(ROW()-2,10)+1)</f>
        <v>BERGEN</v>
      </c>
      <c r="C1552" s="2" t="str">
        <f>VLOOKUP(A1552,'[1]Brand Family Territory (Enc)'!$A$2:$B$296,2,FALSE)</f>
        <v>All Counties</v>
      </c>
      <c r="D1552" s="2">
        <f>IF(COUNTIFS('[1]Brand Family Territories (Enc)'!$B$2:$B$62,C1552,'[1]Brand Family Territories (Enc)'!$C$2:$C$62,B1552)&gt;0,1,IF(AND(LEFT(B1552,6)="MORRIS",COUNTIFS('[1]Brand Family Territories (Enc)'!$B$2:$B$62,C1552,'[1]Brand Family Territories (Enc)'!$C$2:$C$62,"Morri")&gt;0),"Unk",0))</f>
        <v>1</v>
      </c>
      <c r="E1552" s="2" t="str">
        <f>IFERROR(INDEX('Blackout Brand Fam Areas (Enc)'!$D$6:$D$998,MATCH(UPPER(A1552)&amp;"|"&amp;UPPER(B1552),'Blackout Brand Fam Areas (Enc)'!$G$6:$G$998,0)),"No Match")</f>
        <v>No Match</v>
      </c>
      <c r="F1552" s="2" t="str">
        <f t="shared" si="48"/>
        <v>US</v>
      </c>
      <c r="G1552" s="2" t="str">
        <f t="shared" si="49"/>
        <v>Crooked Beverage|BERGEN</v>
      </c>
    </row>
    <row r="1553" spans="1:7" x14ac:dyDescent="0.2">
      <c r="A1553" s="2" t="str" cm="1">
        <f t="array" ref="A1553">INDEX('[1]Brand Family Territory (Enc)'!$A$2:$A$296,INT((ROW()-2)/10)+1)</f>
        <v>Crooked Beverage</v>
      </c>
      <c r="B1553" s="2" t="str" cm="1">
        <f t="array" ref="B1553">INDEX('Whitelist (Blackout Reverse)'!$B$1:$K$1,MOD(ROW()-2,10)+1)</f>
        <v>PASSAIC</v>
      </c>
      <c r="C1553" s="2" t="str">
        <f>VLOOKUP(A1553,'[1]Brand Family Territory (Enc)'!$A$2:$B$296,2,FALSE)</f>
        <v>All Counties</v>
      </c>
      <c r="D1553" s="2">
        <f>IF(COUNTIFS('[1]Brand Family Territories (Enc)'!$B$2:$B$62,C1553,'[1]Brand Family Territories (Enc)'!$C$2:$C$62,B1553)&gt;0,1,IF(AND(LEFT(B1553,6)="MORRIS",COUNTIFS('[1]Brand Family Territories (Enc)'!$B$2:$B$62,C1553,'[1]Brand Family Territories (Enc)'!$C$2:$C$62,"Morri")&gt;0),"Unk",0))</f>
        <v>1</v>
      </c>
      <c r="E1553" s="2" t="str">
        <f>IFERROR(INDEX('Blackout Brand Fam Areas (Enc)'!$D$6:$D$998,MATCH(UPPER(A1553)&amp;"|"&amp;UPPER(B1553),'Blackout Brand Fam Areas (Enc)'!$G$6:$G$998,0)),"No Match")</f>
        <v>No Match</v>
      </c>
      <c r="F1553" s="2" t="str">
        <f t="shared" si="48"/>
        <v>US</v>
      </c>
      <c r="G1553" s="2" t="str">
        <f t="shared" si="49"/>
        <v>Crooked Beverage|PASSAIC</v>
      </c>
    </row>
    <row r="1554" spans="1:7" x14ac:dyDescent="0.2">
      <c r="A1554" s="2" t="str" cm="1">
        <f t="array" ref="A1554">INDEX('[1]Brand Family Territory (Enc)'!$A$2:$A$296,INT((ROW()-2)/10)+1)</f>
        <v>Crooked Beverage</v>
      </c>
      <c r="B1554" s="2" t="str" cm="1">
        <f t="array" ref="B1554">INDEX('Whitelist (Blackout Reverse)'!$B$1:$K$1,MOD(ROW()-2,10)+1)</f>
        <v>PASSAIC-FF</v>
      </c>
      <c r="C1554" s="2" t="str">
        <f>VLOOKUP(A1554,'[1]Brand Family Territory (Enc)'!$A$2:$B$296,2,FALSE)</f>
        <v>All Counties</v>
      </c>
      <c r="D1554" s="2">
        <f>IF(COUNTIFS('[1]Brand Family Territories (Enc)'!$B$2:$B$62,C1554,'[1]Brand Family Territories (Enc)'!$C$2:$C$62,B1554)&gt;0,1,IF(AND(LEFT(B1554,6)="MORRIS",COUNTIFS('[1]Brand Family Territories (Enc)'!$B$2:$B$62,C1554,'[1]Brand Family Territories (Enc)'!$C$2:$C$62,"Morri")&gt;0),"Unk",0))</f>
        <v>1</v>
      </c>
      <c r="E1554" s="2" t="str">
        <f>IFERROR(INDEX('Blackout Brand Fam Areas (Enc)'!$D$6:$D$998,MATCH(UPPER(A1554)&amp;"|"&amp;UPPER(B1554),'Blackout Brand Fam Areas (Enc)'!$G$6:$G$998,0)),"No Match")</f>
        <v>No Match</v>
      </c>
      <c r="F1554" s="2" t="str">
        <f t="shared" si="48"/>
        <v>US</v>
      </c>
      <c r="G1554" s="2" t="str">
        <f t="shared" si="49"/>
        <v>Crooked Beverage|PASSAIC-FF</v>
      </c>
    </row>
    <row r="1555" spans="1:7" x14ac:dyDescent="0.2">
      <c r="A1555" s="2" t="str" cm="1">
        <f t="array" ref="A1555">INDEX('[1]Brand Family Territory (Enc)'!$A$2:$A$296,INT((ROW()-2)/10)+1)</f>
        <v>Crooked Beverage</v>
      </c>
      <c r="B1555" s="2" t="str" cm="1">
        <f t="array" ref="B1555">INDEX('Whitelist (Blackout Reverse)'!$B$1:$K$1,MOD(ROW()-2,10)+1)</f>
        <v>ESSEX</v>
      </c>
      <c r="C1555" s="2" t="str">
        <f>VLOOKUP(A1555,'[1]Brand Family Territory (Enc)'!$A$2:$B$296,2,FALSE)</f>
        <v>All Counties</v>
      </c>
      <c r="D1555" s="2">
        <f>IF(COUNTIFS('[1]Brand Family Territories (Enc)'!$B$2:$B$62,C1555,'[1]Brand Family Territories (Enc)'!$C$2:$C$62,B1555)&gt;0,1,IF(AND(LEFT(B1555,6)="MORRIS",COUNTIFS('[1]Brand Family Territories (Enc)'!$B$2:$B$62,C1555,'[1]Brand Family Territories (Enc)'!$C$2:$C$62,"Morri")&gt;0),"Unk",0))</f>
        <v>1</v>
      </c>
      <c r="E1555" s="2" t="str">
        <f>IFERROR(INDEX('Blackout Brand Fam Areas (Enc)'!$D$6:$D$998,MATCH(UPPER(A1555)&amp;"|"&amp;UPPER(B1555),'Blackout Brand Fam Areas (Enc)'!$G$6:$G$998,0)),"No Match")</f>
        <v>No Match</v>
      </c>
      <c r="F1555" s="2" t="str">
        <f t="shared" si="48"/>
        <v>US</v>
      </c>
      <c r="G1555" s="2" t="str">
        <f t="shared" si="49"/>
        <v>Crooked Beverage|ESSEX</v>
      </c>
    </row>
    <row r="1556" spans="1:7" x14ac:dyDescent="0.2">
      <c r="A1556" s="2" t="str" cm="1">
        <f t="array" ref="A1556">INDEX('[1]Brand Family Territory (Enc)'!$A$2:$A$296,INT((ROW()-2)/10)+1)</f>
        <v>Crooked Beverage</v>
      </c>
      <c r="B1556" s="2" t="str" cm="1">
        <f t="array" ref="B1556">INDEX('Whitelist (Blackout Reverse)'!$B$1:$K$1,MOD(ROW()-2,10)+1)</f>
        <v>HUDSON</v>
      </c>
      <c r="C1556" s="2" t="str">
        <f>VLOOKUP(A1556,'[1]Brand Family Territory (Enc)'!$A$2:$B$296,2,FALSE)</f>
        <v>All Counties</v>
      </c>
      <c r="D1556" s="2">
        <f>IF(COUNTIFS('[1]Brand Family Territories (Enc)'!$B$2:$B$62,C1556,'[1]Brand Family Territories (Enc)'!$C$2:$C$62,B1556)&gt;0,1,IF(AND(LEFT(B1556,6)="MORRIS",COUNTIFS('[1]Brand Family Territories (Enc)'!$B$2:$B$62,C1556,'[1]Brand Family Territories (Enc)'!$C$2:$C$62,"Morri")&gt;0),"Unk",0))</f>
        <v>1</v>
      </c>
      <c r="E1556" s="2" t="str">
        <f>IFERROR(INDEX('Blackout Brand Fam Areas (Enc)'!$D$6:$D$998,MATCH(UPPER(A1556)&amp;"|"&amp;UPPER(B1556),'Blackout Brand Fam Areas (Enc)'!$G$6:$G$998,0)),"No Match")</f>
        <v>No Match</v>
      </c>
      <c r="F1556" s="2" t="str">
        <f t="shared" si="48"/>
        <v>US</v>
      </c>
      <c r="G1556" s="2" t="str">
        <f t="shared" si="49"/>
        <v>Crooked Beverage|HUDSON</v>
      </c>
    </row>
    <row r="1557" spans="1:7" x14ac:dyDescent="0.2">
      <c r="A1557" s="2" t="str" cm="1">
        <f t="array" ref="A1557">INDEX('[1]Brand Family Territory (Enc)'!$A$2:$A$296,INT((ROW()-2)/10)+1)</f>
        <v>Crooked Beverage</v>
      </c>
      <c r="B1557" s="2" t="str" cm="1">
        <f t="array" ref="B1557">INDEX('Whitelist (Blackout Reverse)'!$B$1:$K$1,MOD(ROW()-2,10)+1)</f>
        <v>UNION</v>
      </c>
      <c r="C1557" s="2" t="str">
        <f>VLOOKUP(A1557,'[1]Brand Family Territory (Enc)'!$A$2:$B$296,2,FALSE)</f>
        <v>All Counties</v>
      </c>
      <c r="D1557" s="2">
        <f>IF(COUNTIFS('[1]Brand Family Territories (Enc)'!$B$2:$B$62,C1557,'[1]Brand Family Territories (Enc)'!$C$2:$C$62,B1557)&gt;0,1,IF(AND(LEFT(B1557,6)="MORRIS",COUNTIFS('[1]Brand Family Territories (Enc)'!$B$2:$B$62,C1557,'[1]Brand Family Territories (Enc)'!$C$2:$C$62,"Morri")&gt;0),"Unk",0))</f>
        <v>1</v>
      </c>
      <c r="E1557" s="2" t="str">
        <f>IFERROR(INDEX('Blackout Brand Fam Areas (Enc)'!$D$6:$D$998,MATCH(UPPER(A1557)&amp;"|"&amp;UPPER(B1557),'Blackout Brand Fam Areas (Enc)'!$G$6:$G$998,0)),"No Match")</f>
        <v>No Match</v>
      </c>
      <c r="F1557" s="2" t="str">
        <f t="shared" si="48"/>
        <v>US</v>
      </c>
      <c r="G1557" s="2" t="str">
        <f t="shared" si="49"/>
        <v>Crooked Beverage|UNION</v>
      </c>
    </row>
    <row r="1558" spans="1:7" x14ac:dyDescent="0.2">
      <c r="A1558" s="2" t="str" cm="1">
        <f t="array" ref="A1558">INDEX('[1]Brand Family Territory (Enc)'!$A$2:$A$296,INT((ROW()-2)/10)+1)</f>
        <v>Crooked Beverage</v>
      </c>
      <c r="B1558" s="2" t="str" cm="1">
        <f t="array" ref="B1558">INDEX('Whitelist (Blackout Reverse)'!$B$1:$K$1,MOD(ROW()-2,10)+1)</f>
        <v>SUSSEX</v>
      </c>
      <c r="C1558" s="2" t="str">
        <f>VLOOKUP(A1558,'[1]Brand Family Territory (Enc)'!$A$2:$B$296,2,FALSE)</f>
        <v>All Counties</v>
      </c>
      <c r="D1558" s="2">
        <f>IF(COUNTIFS('[1]Brand Family Territories (Enc)'!$B$2:$B$62,C1558,'[1]Brand Family Territories (Enc)'!$C$2:$C$62,B1558)&gt;0,1,IF(AND(LEFT(B1558,6)="MORRIS",COUNTIFS('[1]Brand Family Territories (Enc)'!$B$2:$B$62,C1558,'[1]Brand Family Territories (Enc)'!$C$2:$C$62,"Morri")&gt;0),"Unk",0))</f>
        <v>1</v>
      </c>
      <c r="E1558" s="2" t="str">
        <f>IFERROR(INDEX('Blackout Brand Fam Areas (Enc)'!$D$6:$D$998,MATCH(UPPER(A1558)&amp;"|"&amp;UPPER(B1558),'Blackout Brand Fam Areas (Enc)'!$G$6:$G$998,0)),"No Match")</f>
        <v>No Match</v>
      </c>
      <c r="F1558" s="2" t="str">
        <f t="shared" si="48"/>
        <v>US</v>
      </c>
      <c r="G1558" s="2" t="str">
        <f t="shared" si="49"/>
        <v>Crooked Beverage|SUSSEX</v>
      </c>
    </row>
    <row r="1559" spans="1:7" x14ac:dyDescent="0.2">
      <c r="A1559" s="2" t="str" cm="1">
        <f t="array" ref="A1559">INDEX('[1]Brand Family Territory (Enc)'!$A$2:$A$296,INT((ROW()-2)/10)+1)</f>
        <v>Crooked Beverage</v>
      </c>
      <c r="B1559" s="2" t="str" cm="1">
        <f t="array" ref="B1559">INDEX('Whitelist (Blackout Reverse)'!$B$1:$K$1,MOD(ROW()-2,10)+1)</f>
        <v>MORRIS 1</v>
      </c>
      <c r="C1559" s="2" t="str">
        <f>VLOOKUP(A1559,'[1]Brand Family Territory (Enc)'!$A$2:$B$296,2,FALSE)</f>
        <v>All Counties</v>
      </c>
      <c r="D1559" s="2">
        <f>IF(COUNTIFS('[1]Brand Family Territories (Enc)'!$B$2:$B$62,C1559,'[1]Brand Family Territories (Enc)'!$C$2:$C$62,B1559)&gt;0,1,IF(AND(LEFT(B1559,6)="MORRIS",COUNTIFS('[1]Brand Family Territories (Enc)'!$B$2:$B$62,C1559,'[1]Brand Family Territories (Enc)'!$C$2:$C$62,"Morri")&gt;0),"Unk",0))</f>
        <v>1</v>
      </c>
      <c r="E1559" s="2" t="str">
        <f>IFERROR(INDEX('Blackout Brand Fam Areas (Enc)'!$D$6:$D$998,MATCH(UPPER(A1559)&amp;"|"&amp;UPPER(B1559),'Blackout Brand Fam Areas (Enc)'!$G$6:$G$998,0)),"No Match")</f>
        <v>No Match</v>
      </c>
      <c r="F1559" s="2" t="str">
        <f t="shared" si="48"/>
        <v>US</v>
      </c>
      <c r="G1559" s="2" t="str">
        <f t="shared" si="49"/>
        <v>Crooked Beverage|MORRIS 1</v>
      </c>
    </row>
    <row r="1560" spans="1:7" x14ac:dyDescent="0.2">
      <c r="A1560" s="2" t="str" cm="1">
        <f t="array" ref="A1560">INDEX('[1]Brand Family Territory (Enc)'!$A$2:$A$296,INT((ROW()-2)/10)+1)</f>
        <v>Crooked Beverage</v>
      </c>
      <c r="B1560" s="2" t="str" cm="1">
        <f t="array" ref="B1560">INDEX('Whitelist (Blackout Reverse)'!$B$1:$K$1,MOD(ROW()-2,10)+1)</f>
        <v>MORRIS 2</v>
      </c>
      <c r="C1560" s="2" t="str">
        <f>VLOOKUP(A1560,'[1]Brand Family Territory (Enc)'!$A$2:$B$296,2,FALSE)</f>
        <v>All Counties</v>
      </c>
      <c r="D1560" s="2">
        <f>IF(COUNTIFS('[1]Brand Family Territories (Enc)'!$B$2:$B$62,C1560,'[1]Brand Family Territories (Enc)'!$C$2:$C$62,B1560)&gt;0,1,IF(AND(LEFT(B1560,6)="MORRIS",COUNTIFS('[1]Brand Family Territories (Enc)'!$B$2:$B$62,C1560,'[1]Brand Family Territories (Enc)'!$C$2:$C$62,"Morri")&gt;0),"Unk",0))</f>
        <v>1</v>
      </c>
      <c r="E1560" s="2" t="str">
        <f>IFERROR(INDEX('Blackout Brand Fam Areas (Enc)'!$D$6:$D$998,MATCH(UPPER(A1560)&amp;"|"&amp;UPPER(B1560),'Blackout Brand Fam Areas (Enc)'!$G$6:$G$998,0)),"No Match")</f>
        <v>No Match</v>
      </c>
      <c r="F1560" s="2" t="str">
        <f t="shared" si="48"/>
        <v>US</v>
      </c>
      <c r="G1560" s="2" t="str">
        <f t="shared" si="49"/>
        <v>Crooked Beverage|MORRIS 2</v>
      </c>
    </row>
    <row r="1561" spans="1:7" x14ac:dyDescent="0.2">
      <c r="A1561" s="2" t="str" cm="1">
        <f t="array" ref="A1561">INDEX('[1]Brand Family Territory (Enc)'!$A$2:$A$296,INT((ROW()-2)/10)+1)</f>
        <v>Crooked Beverage</v>
      </c>
      <c r="B1561" s="2" t="str" cm="1">
        <f t="array" ref="B1561">INDEX('Whitelist (Blackout Reverse)'!$B$1:$K$1,MOD(ROW()-2,10)+1)</f>
        <v>MORRIS 3</v>
      </c>
      <c r="C1561" s="2" t="str">
        <f>VLOOKUP(A1561,'[1]Brand Family Territory (Enc)'!$A$2:$B$296,2,FALSE)</f>
        <v>All Counties</v>
      </c>
      <c r="D1561" s="2">
        <f>IF(COUNTIFS('[1]Brand Family Territories (Enc)'!$B$2:$B$62,C1561,'[1]Brand Family Territories (Enc)'!$C$2:$C$62,B1561)&gt;0,1,IF(AND(LEFT(B1561,6)="MORRIS",COUNTIFS('[1]Brand Family Territories (Enc)'!$B$2:$B$62,C1561,'[1]Brand Family Territories (Enc)'!$C$2:$C$62,"Morri")&gt;0),"Unk",0))</f>
        <v>1</v>
      </c>
      <c r="E1561" s="2" t="str">
        <f>IFERROR(INDEX('Blackout Brand Fam Areas (Enc)'!$D$6:$D$998,MATCH(UPPER(A1561)&amp;"|"&amp;UPPER(B1561),'Blackout Brand Fam Areas (Enc)'!$G$6:$G$998,0)),"No Match")</f>
        <v>No Match</v>
      </c>
      <c r="F1561" s="2" t="str">
        <f t="shared" si="48"/>
        <v>US</v>
      </c>
      <c r="G1561" s="2" t="str">
        <f t="shared" si="49"/>
        <v>Crooked Beverage|MORRIS 3</v>
      </c>
    </row>
    <row r="1562" spans="1:7" x14ac:dyDescent="0.2">
      <c r="A1562" s="2" t="str" cm="1">
        <f t="array" ref="A1562">INDEX('[1]Brand Family Territory (Enc)'!$A$2:$A$296,INT((ROW()-2)/10)+1)</f>
        <v>Dab</v>
      </c>
      <c r="B1562" s="2" t="str" cm="1">
        <f t="array" ref="B1562">INDEX('Whitelist (Blackout Reverse)'!$B$1:$K$1,MOD(ROW()-2,10)+1)</f>
        <v>BERGEN</v>
      </c>
      <c r="C1562" s="2" t="str">
        <f>VLOOKUP(A1562,'[1]Brand Family Territory (Enc)'!$A$2:$B$296,2,FALSE)</f>
        <v>All Counties</v>
      </c>
      <c r="D1562" s="2">
        <f>IF(COUNTIFS('[1]Brand Family Territories (Enc)'!$B$2:$B$62,C1562,'[1]Brand Family Territories (Enc)'!$C$2:$C$62,B1562)&gt;0,1,IF(AND(LEFT(B1562,6)="MORRIS",COUNTIFS('[1]Brand Family Territories (Enc)'!$B$2:$B$62,C1562,'[1]Brand Family Territories (Enc)'!$C$2:$C$62,"Morri")&gt;0),"Unk",0))</f>
        <v>1</v>
      </c>
      <c r="E1562" s="2" t="str">
        <f>IFERROR(INDEX('Blackout Brand Fam Areas (Enc)'!$D$6:$D$998,MATCH(UPPER(A1562)&amp;"|"&amp;UPPER(B1562),'Blackout Brand Fam Areas (Enc)'!$G$6:$G$998,0)),"No Match")</f>
        <v>No Match</v>
      </c>
      <c r="F1562" s="2" t="str">
        <f t="shared" si="48"/>
        <v>US</v>
      </c>
      <c r="G1562" s="2" t="str">
        <f t="shared" si="49"/>
        <v>Dab|BERGEN</v>
      </c>
    </row>
    <row r="1563" spans="1:7" x14ac:dyDescent="0.2">
      <c r="A1563" s="2" t="str" cm="1">
        <f t="array" ref="A1563">INDEX('[1]Brand Family Territory (Enc)'!$A$2:$A$296,INT((ROW()-2)/10)+1)</f>
        <v>Dab</v>
      </c>
      <c r="B1563" s="2" t="str" cm="1">
        <f t="array" ref="B1563">INDEX('Whitelist (Blackout Reverse)'!$B$1:$K$1,MOD(ROW()-2,10)+1)</f>
        <v>PASSAIC</v>
      </c>
      <c r="C1563" s="2" t="str">
        <f>VLOOKUP(A1563,'[1]Brand Family Territory (Enc)'!$A$2:$B$296,2,FALSE)</f>
        <v>All Counties</v>
      </c>
      <c r="D1563" s="2">
        <f>IF(COUNTIFS('[1]Brand Family Territories (Enc)'!$B$2:$B$62,C1563,'[1]Brand Family Territories (Enc)'!$C$2:$C$62,B1563)&gt;0,1,IF(AND(LEFT(B1563,6)="MORRIS",COUNTIFS('[1]Brand Family Territories (Enc)'!$B$2:$B$62,C1563,'[1]Brand Family Territories (Enc)'!$C$2:$C$62,"Morri")&gt;0),"Unk",0))</f>
        <v>1</v>
      </c>
      <c r="E1563" s="2" t="str">
        <f>IFERROR(INDEX('Blackout Brand Fam Areas (Enc)'!$D$6:$D$998,MATCH(UPPER(A1563)&amp;"|"&amp;UPPER(B1563),'Blackout Brand Fam Areas (Enc)'!$G$6:$G$998,0)),"No Match")</f>
        <v>No Match</v>
      </c>
      <c r="F1563" s="2" t="str">
        <f t="shared" si="48"/>
        <v>US</v>
      </c>
      <c r="G1563" s="2" t="str">
        <f t="shared" si="49"/>
        <v>Dab|PASSAIC</v>
      </c>
    </row>
    <row r="1564" spans="1:7" x14ac:dyDescent="0.2">
      <c r="A1564" s="2" t="str" cm="1">
        <f t="array" ref="A1564">INDEX('[1]Brand Family Territory (Enc)'!$A$2:$A$296,INT((ROW()-2)/10)+1)</f>
        <v>Dab</v>
      </c>
      <c r="B1564" s="2" t="str" cm="1">
        <f t="array" ref="B1564">INDEX('Whitelist (Blackout Reverse)'!$B$1:$K$1,MOD(ROW()-2,10)+1)</f>
        <v>PASSAIC-FF</v>
      </c>
      <c r="C1564" s="2" t="str">
        <f>VLOOKUP(A1564,'[1]Brand Family Territory (Enc)'!$A$2:$B$296,2,FALSE)</f>
        <v>All Counties</v>
      </c>
      <c r="D1564" s="2">
        <f>IF(COUNTIFS('[1]Brand Family Territories (Enc)'!$B$2:$B$62,C1564,'[1]Brand Family Territories (Enc)'!$C$2:$C$62,B1564)&gt;0,1,IF(AND(LEFT(B1564,6)="MORRIS",COUNTIFS('[1]Brand Family Territories (Enc)'!$B$2:$B$62,C1564,'[1]Brand Family Territories (Enc)'!$C$2:$C$62,"Morri")&gt;0),"Unk",0))</f>
        <v>1</v>
      </c>
      <c r="E1564" s="2" t="str">
        <f>IFERROR(INDEX('Blackout Brand Fam Areas (Enc)'!$D$6:$D$998,MATCH(UPPER(A1564)&amp;"|"&amp;UPPER(B1564),'Blackout Brand Fam Areas (Enc)'!$G$6:$G$998,0)),"No Match")</f>
        <v>No Match</v>
      </c>
      <c r="F1564" s="2" t="str">
        <f t="shared" si="48"/>
        <v>US</v>
      </c>
      <c r="G1564" s="2" t="str">
        <f t="shared" si="49"/>
        <v>Dab|PASSAIC-FF</v>
      </c>
    </row>
    <row r="1565" spans="1:7" x14ac:dyDescent="0.2">
      <c r="A1565" s="2" t="str" cm="1">
        <f t="array" ref="A1565">INDEX('[1]Brand Family Territory (Enc)'!$A$2:$A$296,INT((ROW()-2)/10)+1)</f>
        <v>Dab</v>
      </c>
      <c r="B1565" s="2" t="str" cm="1">
        <f t="array" ref="B1565">INDEX('Whitelist (Blackout Reverse)'!$B$1:$K$1,MOD(ROW()-2,10)+1)</f>
        <v>ESSEX</v>
      </c>
      <c r="C1565" s="2" t="str">
        <f>VLOOKUP(A1565,'[1]Brand Family Territory (Enc)'!$A$2:$B$296,2,FALSE)</f>
        <v>All Counties</v>
      </c>
      <c r="D1565" s="2">
        <f>IF(COUNTIFS('[1]Brand Family Territories (Enc)'!$B$2:$B$62,C1565,'[1]Brand Family Territories (Enc)'!$C$2:$C$62,B1565)&gt;0,1,IF(AND(LEFT(B1565,6)="MORRIS",COUNTIFS('[1]Brand Family Territories (Enc)'!$B$2:$B$62,C1565,'[1]Brand Family Territories (Enc)'!$C$2:$C$62,"Morri")&gt;0),"Unk",0))</f>
        <v>1</v>
      </c>
      <c r="E1565" s="2" t="str">
        <f>IFERROR(INDEX('Blackout Brand Fam Areas (Enc)'!$D$6:$D$998,MATCH(UPPER(A1565)&amp;"|"&amp;UPPER(B1565),'Blackout Brand Fam Areas (Enc)'!$G$6:$G$998,0)),"No Match")</f>
        <v>No Match</v>
      </c>
      <c r="F1565" s="2" t="str">
        <f t="shared" si="48"/>
        <v>US</v>
      </c>
      <c r="G1565" s="2" t="str">
        <f t="shared" si="49"/>
        <v>Dab|ESSEX</v>
      </c>
    </row>
    <row r="1566" spans="1:7" x14ac:dyDescent="0.2">
      <c r="A1566" s="2" t="str" cm="1">
        <f t="array" ref="A1566">INDEX('[1]Brand Family Territory (Enc)'!$A$2:$A$296,INT((ROW()-2)/10)+1)</f>
        <v>Dab</v>
      </c>
      <c r="B1566" s="2" t="str" cm="1">
        <f t="array" ref="B1566">INDEX('Whitelist (Blackout Reverse)'!$B$1:$K$1,MOD(ROW()-2,10)+1)</f>
        <v>HUDSON</v>
      </c>
      <c r="C1566" s="2" t="str">
        <f>VLOOKUP(A1566,'[1]Brand Family Territory (Enc)'!$A$2:$B$296,2,FALSE)</f>
        <v>All Counties</v>
      </c>
      <c r="D1566" s="2">
        <f>IF(COUNTIFS('[1]Brand Family Territories (Enc)'!$B$2:$B$62,C1566,'[1]Brand Family Territories (Enc)'!$C$2:$C$62,B1566)&gt;0,1,IF(AND(LEFT(B1566,6)="MORRIS",COUNTIFS('[1]Brand Family Territories (Enc)'!$B$2:$B$62,C1566,'[1]Brand Family Territories (Enc)'!$C$2:$C$62,"Morri")&gt;0),"Unk",0))</f>
        <v>1</v>
      </c>
      <c r="E1566" s="2" t="str">
        <f>IFERROR(INDEX('Blackout Brand Fam Areas (Enc)'!$D$6:$D$998,MATCH(UPPER(A1566)&amp;"|"&amp;UPPER(B1566),'Blackout Brand Fam Areas (Enc)'!$G$6:$G$998,0)),"No Match")</f>
        <v>No Match</v>
      </c>
      <c r="F1566" s="2" t="str">
        <f t="shared" si="48"/>
        <v>US</v>
      </c>
      <c r="G1566" s="2" t="str">
        <f t="shared" si="49"/>
        <v>Dab|HUDSON</v>
      </c>
    </row>
    <row r="1567" spans="1:7" x14ac:dyDescent="0.2">
      <c r="A1567" s="2" t="str" cm="1">
        <f t="array" ref="A1567">INDEX('[1]Brand Family Territory (Enc)'!$A$2:$A$296,INT((ROW()-2)/10)+1)</f>
        <v>Dab</v>
      </c>
      <c r="B1567" s="2" t="str" cm="1">
        <f t="array" ref="B1567">INDEX('Whitelist (Blackout Reverse)'!$B$1:$K$1,MOD(ROW()-2,10)+1)</f>
        <v>UNION</v>
      </c>
      <c r="C1567" s="2" t="str">
        <f>VLOOKUP(A1567,'[1]Brand Family Territory (Enc)'!$A$2:$B$296,2,FALSE)</f>
        <v>All Counties</v>
      </c>
      <c r="D1567" s="2">
        <f>IF(COUNTIFS('[1]Brand Family Territories (Enc)'!$B$2:$B$62,C1567,'[1]Brand Family Territories (Enc)'!$C$2:$C$62,B1567)&gt;0,1,IF(AND(LEFT(B1567,6)="MORRIS",COUNTIFS('[1]Brand Family Territories (Enc)'!$B$2:$B$62,C1567,'[1]Brand Family Territories (Enc)'!$C$2:$C$62,"Morri")&gt;0),"Unk",0))</f>
        <v>1</v>
      </c>
      <c r="E1567" s="2" t="str">
        <f>IFERROR(INDEX('Blackout Brand Fam Areas (Enc)'!$D$6:$D$998,MATCH(UPPER(A1567)&amp;"|"&amp;UPPER(B1567),'Blackout Brand Fam Areas (Enc)'!$G$6:$G$998,0)),"No Match")</f>
        <v>No Match</v>
      </c>
      <c r="F1567" s="2" t="str">
        <f t="shared" si="48"/>
        <v>US</v>
      </c>
      <c r="G1567" s="2" t="str">
        <f t="shared" si="49"/>
        <v>Dab|UNION</v>
      </c>
    </row>
    <row r="1568" spans="1:7" x14ac:dyDescent="0.2">
      <c r="A1568" s="2" t="str" cm="1">
        <f t="array" ref="A1568">INDEX('[1]Brand Family Territory (Enc)'!$A$2:$A$296,INT((ROW()-2)/10)+1)</f>
        <v>Dab</v>
      </c>
      <c r="B1568" s="2" t="str" cm="1">
        <f t="array" ref="B1568">INDEX('Whitelist (Blackout Reverse)'!$B$1:$K$1,MOD(ROW()-2,10)+1)</f>
        <v>SUSSEX</v>
      </c>
      <c r="C1568" s="2" t="str">
        <f>VLOOKUP(A1568,'[1]Brand Family Territory (Enc)'!$A$2:$B$296,2,FALSE)</f>
        <v>All Counties</v>
      </c>
      <c r="D1568" s="2">
        <f>IF(COUNTIFS('[1]Brand Family Territories (Enc)'!$B$2:$B$62,C1568,'[1]Brand Family Territories (Enc)'!$C$2:$C$62,B1568)&gt;0,1,IF(AND(LEFT(B1568,6)="MORRIS",COUNTIFS('[1]Brand Family Territories (Enc)'!$B$2:$B$62,C1568,'[1]Brand Family Territories (Enc)'!$C$2:$C$62,"Morri")&gt;0),"Unk",0))</f>
        <v>1</v>
      </c>
      <c r="E1568" s="2" t="str">
        <f>IFERROR(INDEX('Blackout Brand Fam Areas (Enc)'!$D$6:$D$998,MATCH(UPPER(A1568)&amp;"|"&amp;UPPER(B1568),'Blackout Brand Fam Areas (Enc)'!$G$6:$G$998,0)),"No Match")</f>
        <v>No Match</v>
      </c>
      <c r="F1568" s="2" t="str">
        <f t="shared" si="48"/>
        <v>US</v>
      </c>
      <c r="G1568" s="2" t="str">
        <f t="shared" si="49"/>
        <v>Dab|SUSSEX</v>
      </c>
    </row>
    <row r="1569" spans="1:7" x14ac:dyDescent="0.2">
      <c r="A1569" s="2" t="str" cm="1">
        <f t="array" ref="A1569">INDEX('[1]Brand Family Territory (Enc)'!$A$2:$A$296,INT((ROW()-2)/10)+1)</f>
        <v>Dab</v>
      </c>
      <c r="B1569" s="2" t="str" cm="1">
        <f t="array" ref="B1569">INDEX('Whitelist (Blackout Reverse)'!$B$1:$K$1,MOD(ROW()-2,10)+1)</f>
        <v>MORRIS 1</v>
      </c>
      <c r="C1569" s="2" t="str">
        <f>VLOOKUP(A1569,'[1]Brand Family Territory (Enc)'!$A$2:$B$296,2,FALSE)</f>
        <v>All Counties</v>
      </c>
      <c r="D1569" s="2">
        <f>IF(COUNTIFS('[1]Brand Family Territories (Enc)'!$B$2:$B$62,C1569,'[1]Brand Family Territories (Enc)'!$C$2:$C$62,B1569)&gt;0,1,IF(AND(LEFT(B1569,6)="MORRIS",COUNTIFS('[1]Brand Family Territories (Enc)'!$B$2:$B$62,C1569,'[1]Brand Family Territories (Enc)'!$C$2:$C$62,"Morri")&gt;0),"Unk",0))</f>
        <v>1</v>
      </c>
      <c r="E1569" s="2" t="str">
        <f>IFERROR(INDEX('Blackout Brand Fam Areas (Enc)'!$D$6:$D$998,MATCH(UPPER(A1569)&amp;"|"&amp;UPPER(B1569),'Blackout Brand Fam Areas (Enc)'!$G$6:$G$998,0)),"No Match")</f>
        <v>No Match</v>
      </c>
      <c r="F1569" s="2" t="str">
        <f t="shared" si="48"/>
        <v>US</v>
      </c>
      <c r="G1569" s="2" t="str">
        <f t="shared" si="49"/>
        <v>Dab|MORRIS 1</v>
      </c>
    </row>
    <row r="1570" spans="1:7" x14ac:dyDescent="0.2">
      <c r="A1570" s="2" t="str" cm="1">
        <f t="array" ref="A1570">INDEX('[1]Brand Family Territory (Enc)'!$A$2:$A$296,INT((ROW()-2)/10)+1)</f>
        <v>Dab</v>
      </c>
      <c r="B1570" s="2" t="str" cm="1">
        <f t="array" ref="B1570">INDEX('Whitelist (Blackout Reverse)'!$B$1:$K$1,MOD(ROW()-2,10)+1)</f>
        <v>MORRIS 2</v>
      </c>
      <c r="C1570" s="2" t="str">
        <f>VLOOKUP(A1570,'[1]Brand Family Territory (Enc)'!$A$2:$B$296,2,FALSE)</f>
        <v>All Counties</v>
      </c>
      <c r="D1570" s="2">
        <f>IF(COUNTIFS('[1]Brand Family Territories (Enc)'!$B$2:$B$62,C1570,'[1]Brand Family Territories (Enc)'!$C$2:$C$62,B1570)&gt;0,1,IF(AND(LEFT(B1570,6)="MORRIS",COUNTIFS('[1]Brand Family Territories (Enc)'!$B$2:$B$62,C1570,'[1]Brand Family Territories (Enc)'!$C$2:$C$62,"Morri")&gt;0),"Unk",0))</f>
        <v>1</v>
      </c>
      <c r="E1570" s="2" t="str">
        <f>IFERROR(INDEX('Blackout Brand Fam Areas (Enc)'!$D$6:$D$998,MATCH(UPPER(A1570)&amp;"|"&amp;UPPER(B1570),'Blackout Brand Fam Areas (Enc)'!$G$6:$G$998,0)),"No Match")</f>
        <v>No Match</v>
      </c>
      <c r="F1570" s="2" t="str">
        <f t="shared" si="48"/>
        <v>US</v>
      </c>
      <c r="G1570" s="2" t="str">
        <f t="shared" si="49"/>
        <v>Dab|MORRIS 2</v>
      </c>
    </row>
    <row r="1571" spans="1:7" x14ac:dyDescent="0.2">
      <c r="A1571" s="2" t="str" cm="1">
        <f t="array" ref="A1571">INDEX('[1]Brand Family Territory (Enc)'!$A$2:$A$296,INT((ROW()-2)/10)+1)</f>
        <v>Dab</v>
      </c>
      <c r="B1571" s="2" t="str" cm="1">
        <f t="array" ref="B1571">INDEX('Whitelist (Blackout Reverse)'!$B$1:$K$1,MOD(ROW()-2,10)+1)</f>
        <v>MORRIS 3</v>
      </c>
      <c r="C1571" s="2" t="str">
        <f>VLOOKUP(A1571,'[1]Brand Family Territory (Enc)'!$A$2:$B$296,2,FALSE)</f>
        <v>All Counties</v>
      </c>
      <c r="D1571" s="2">
        <f>IF(COUNTIFS('[1]Brand Family Territories (Enc)'!$B$2:$B$62,C1571,'[1]Brand Family Territories (Enc)'!$C$2:$C$62,B1571)&gt;0,1,IF(AND(LEFT(B1571,6)="MORRIS",COUNTIFS('[1]Brand Family Territories (Enc)'!$B$2:$B$62,C1571,'[1]Brand Family Territories (Enc)'!$C$2:$C$62,"Morri")&gt;0),"Unk",0))</f>
        <v>1</v>
      </c>
      <c r="E1571" s="2" t="str">
        <f>IFERROR(INDEX('Blackout Brand Fam Areas (Enc)'!$D$6:$D$998,MATCH(UPPER(A1571)&amp;"|"&amp;UPPER(B1571),'Blackout Brand Fam Areas (Enc)'!$G$6:$G$998,0)),"No Match")</f>
        <v>No Match</v>
      </c>
      <c r="F1571" s="2" t="str">
        <f t="shared" si="48"/>
        <v>US</v>
      </c>
      <c r="G1571" s="2" t="str">
        <f t="shared" si="49"/>
        <v>Dab|MORRIS 3</v>
      </c>
    </row>
    <row r="1572" spans="1:7" x14ac:dyDescent="0.2">
      <c r="A1572" s="2" t="str" cm="1">
        <f t="array" ref="A1572">INDEX('[1]Brand Family Territory (Enc)'!$A$2:$A$296,INT((ROW()-2)/10)+1)</f>
        <v>Day Chaser</v>
      </c>
      <c r="B1572" s="2" t="str" cm="1">
        <f t="array" ref="B1572">INDEX('Whitelist (Blackout Reverse)'!$B$1:$K$1,MOD(ROW()-2,10)+1)</f>
        <v>BERGEN</v>
      </c>
      <c r="C1572" s="2" t="str">
        <f>VLOOKUP(A1572,'[1]Brand Family Territory (Enc)'!$A$2:$B$296,2,FALSE)</f>
        <v>All Counties</v>
      </c>
      <c r="D1572" s="2">
        <f>IF(COUNTIFS('[1]Brand Family Territories (Enc)'!$B$2:$B$62,C1572,'[1]Brand Family Territories (Enc)'!$C$2:$C$62,B1572)&gt;0,1,IF(AND(LEFT(B1572,6)="MORRIS",COUNTIFS('[1]Brand Family Territories (Enc)'!$B$2:$B$62,C1572,'[1]Brand Family Territories (Enc)'!$C$2:$C$62,"Morri")&gt;0),"Unk",0))</f>
        <v>1</v>
      </c>
      <c r="E1572" s="2" t="str">
        <f>IFERROR(INDEX('Blackout Brand Fam Areas (Enc)'!$D$6:$D$998,MATCH(UPPER(A1572)&amp;"|"&amp;UPPER(B1572),'Blackout Brand Fam Areas (Enc)'!$G$6:$G$998,0)),"No Match")</f>
        <v>No Match</v>
      </c>
      <c r="F1572" s="2" t="str">
        <f t="shared" si="48"/>
        <v>US</v>
      </c>
      <c r="G1572" s="2" t="str">
        <f t="shared" si="49"/>
        <v>Day Chaser|BERGEN</v>
      </c>
    </row>
    <row r="1573" spans="1:7" x14ac:dyDescent="0.2">
      <c r="A1573" s="2" t="str" cm="1">
        <f t="array" ref="A1573">INDEX('[1]Brand Family Territory (Enc)'!$A$2:$A$296,INT((ROW()-2)/10)+1)</f>
        <v>Day Chaser</v>
      </c>
      <c r="B1573" s="2" t="str" cm="1">
        <f t="array" ref="B1573">INDEX('Whitelist (Blackout Reverse)'!$B$1:$K$1,MOD(ROW()-2,10)+1)</f>
        <v>PASSAIC</v>
      </c>
      <c r="C1573" s="2" t="str">
        <f>VLOOKUP(A1573,'[1]Brand Family Territory (Enc)'!$A$2:$B$296,2,FALSE)</f>
        <v>All Counties</v>
      </c>
      <c r="D1573" s="2">
        <f>IF(COUNTIFS('[1]Brand Family Territories (Enc)'!$B$2:$B$62,C1573,'[1]Brand Family Territories (Enc)'!$C$2:$C$62,B1573)&gt;0,1,IF(AND(LEFT(B1573,6)="MORRIS",COUNTIFS('[1]Brand Family Territories (Enc)'!$B$2:$B$62,C1573,'[1]Brand Family Territories (Enc)'!$C$2:$C$62,"Morri")&gt;0),"Unk",0))</f>
        <v>1</v>
      </c>
      <c r="E1573" s="2" t="str">
        <f>IFERROR(INDEX('Blackout Brand Fam Areas (Enc)'!$D$6:$D$998,MATCH(UPPER(A1573)&amp;"|"&amp;UPPER(B1573),'Blackout Brand Fam Areas (Enc)'!$G$6:$G$998,0)),"No Match")</f>
        <v>No Match</v>
      </c>
      <c r="F1573" s="2" t="str">
        <f t="shared" si="48"/>
        <v>US</v>
      </c>
      <c r="G1573" s="2" t="str">
        <f t="shared" si="49"/>
        <v>Day Chaser|PASSAIC</v>
      </c>
    </row>
    <row r="1574" spans="1:7" x14ac:dyDescent="0.2">
      <c r="A1574" s="2" t="str" cm="1">
        <f t="array" ref="A1574">INDEX('[1]Brand Family Territory (Enc)'!$A$2:$A$296,INT((ROW()-2)/10)+1)</f>
        <v>Day Chaser</v>
      </c>
      <c r="B1574" s="2" t="str" cm="1">
        <f t="array" ref="B1574">INDEX('Whitelist (Blackout Reverse)'!$B$1:$K$1,MOD(ROW()-2,10)+1)</f>
        <v>PASSAIC-FF</v>
      </c>
      <c r="C1574" s="2" t="str">
        <f>VLOOKUP(A1574,'[1]Brand Family Territory (Enc)'!$A$2:$B$296,2,FALSE)</f>
        <v>All Counties</v>
      </c>
      <c r="D1574" s="2">
        <f>IF(COUNTIFS('[1]Brand Family Territories (Enc)'!$B$2:$B$62,C1574,'[1]Brand Family Territories (Enc)'!$C$2:$C$62,B1574)&gt;0,1,IF(AND(LEFT(B1574,6)="MORRIS",COUNTIFS('[1]Brand Family Territories (Enc)'!$B$2:$B$62,C1574,'[1]Brand Family Territories (Enc)'!$C$2:$C$62,"Morri")&gt;0),"Unk",0))</f>
        <v>1</v>
      </c>
      <c r="E1574" s="2" t="str">
        <f>IFERROR(INDEX('Blackout Brand Fam Areas (Enc)'!$D$6:$D$998,MATCH(UPPER(A1574)&amp;"|"&amp;UPPER(B1574),'Blackout Brand Fam Areas (Enc)'!$G$6:$G$998,0)),"No Match")</f>
        <v>No Match</v>
      </c>
      <c r="F1574" s="2" t="str">
        <f t="shared" si="48"/>
        <v>US</v>
      </c>
      <c r="G1574" s="2" t="str">
        <f t="shared" si="49"/>
        <v>Day Chaser|PASSAIC-FF</v>
      </c>
    </row>
    <row r="1575" spans="1:7" x14ac:dyDescent="0.2">
      <c r="A1575" s="2" t="str" cm="1">
        <f t="array" ref="A1575">INDEX('[1]Brand Family Territory (Enc)'!$A$2:$A$296,INT((ROW()-2)/10)+1)</f>
        <v>Day Chaser</v>
      </c>
      <c r="B1575" s="2" t="str" cm="1">
        <f t="array" ref="B1575">INDEX('Whitelist (Blackout Reverse)'!$B$1:$K$1,MOD(ROW()-2,10)+1)</f>
        <v>ESSEX</v>
      </c>
      <c r="C1575" s="2" t="str">
        <f>VLOOKUP(A1575,'[1]Brand Family Territory (Enc)'!$A$2:$B$296,2,FALSE)</f>
        <v>All Counties</v>
      </c>
      <c r="D1575" s="2">
        <f>IF(COUNTIFS('[1]Brand Family Territories (Enc)'!$B$2:$B$62,C1575,'[1]Brand Family Territories (Enc)'!$C$2:$C$62,B1575)&gt;0,1,IF(AND(LEFT(B1575,6)="MORRIS",COUNTIFS('[1]Brand Family Territories (Enc)'!$B$2:$B$62,C1575,'[1]Brand Family Territories (Enc)'!$C$2:$C$62,"Morri")&gt;0),"Unk",0))</f>
        <v>1</v>
      </c>
      <c r="E1575" s="2" t="str">
        <f>IFERROR(INDEX('Blackout Brand Fam Areas (Enc)'!$D$6:$D$998,MATCH(UPPER(A1575)&amp;"|"&amp;UPPER(B1575),'Blackout Brand Fam Areas (Enc)'!$G$6:$G$998,0)),"No Match")</f>
        <v>No Match</v>
      </c>
      <c r="F1575" s="2" t="str">
        <f t="shared" si="48"/>
        <v>US</v>
      </c>
      <c r="G1575" s="2" t="str">
        <f t="shared" si="49"/>
        <v>Day Chaser|ESSEX</v>
      </c>
    </row>
    <row r="1576" spans="1:7" x14ac:dyDescent="0.2">
      <c r="A1576" s="2" t="str" cm="1">
        <f t="array" ref="A1576">INDEX('[1]Brand Family Territory (Enc)'!$A$2:$A$296,INT((ROW()-2)/10)+1)</f>
        <v>Day Chaser</v>
      </c>
      <c r="B1576" s="2" t="str" cm="1">
        <f t="array" ref="B1576">INDEX('Whitelist (Blackout Reverse)'!$B$1:$K$1,MOD(ROW()-2,10)+1)</f>
        <v>HUDSON</v>
      </c>
      <c r="C1576" s="2" t="str">
        <f>VLOOKUP(A1576,'[1]Brand Family Territory (Enc)'!$A$2:$B$296,2,FALSE)</f>
        <v>All Counties</v>
      </c>
      <c r="D1576" s="2">
        <f>IF(COUNTIFS('[1]Brand Family Territories (Enc)'!$B$2:$B$62,C1576,'[1]Brand Family Territories (Enc)'!$C$2:$C$62,B1576)&gt;0,1,IF(AND(LEFT(B1576,6)="MORRIS",COUNTIFS('[1]Brand Family Territories (Enc)'!$B$2:$B$62,C1576,'[1]Brand Family Territories (Enc)'!$C$2:$C$62,"Morri")&gt;0),"Unk",0))</f>
        <v>1</v>
      </c>
      <c r="E1576" s="2" t="str">
        <f>IFERROR(INDEX('Blackout Brand Fam Areas (Enc)'!$D$6:$D$998,MATCH(UPPER(A1576)&amp;"|"&amp;UPPER(B1576),'Blackout Brand Fam Areas (Enc)'!$G$6:$G$998,0)),"No Match")</f>
        <v>No Match</v>
      </c>
      <c r="F1576" s="2" t="str">
        <f t="shared" si="48"/>
        <v>US</v>
      </c>
      <c r="G1576" s="2" t="str">
        <f t="shared" si="49"/>
        <v>Day Chaser|HUDSON</v>
      </c>
    </row>
    <row r="1577" spans="1:7" x14ac:dyDescent="0.2">
      <c r="A1577" s="2" t="str" cm="1">
        <f t="array" ref="A1577">INDEX('[1]Brand Family Territory (Enc)'!$A$2:$A$296,INT((ROW()-2)/10)+1)</f>
        <v>Day Chaser</v>
      </c>
      <c r="B1577" s="2" t="str" cm="1">
        <f t="array" ref="B1577">INDEX('Whitelist (Blackout Reverse)'!$B$1:$K$1,MOD(ROW()-2,10)+1)</f>
        <v>UNION</v>
      </c>
      <c r="C1577" s="2" t="str">
        <f>VLOOKUP(A1577,'[1]Brand Family Territory (Enc)'!$A$2:$B$296,2,FALSE)</f>
        <v>All Counties</v>
      </c>
      <c r="D1577" s="2">
        <f>IF(COUNTIFS('[1]Brand Family Territories (Enc)'!$B$2:$B$62,C1577,'[1]Brand Family Territories (Enc)'!$C$2:$C$62,B1577)&gt;0,1,IF(AND(LEFT(B1577,6)="MORRIS",COUNTIFS('[1]Brand Family Territories (Enc)'!$B$2:$B$62,C1577,'[1]Brand Family Territories (Enc)'!$C$2:$C$62,"Morri")&gt;0),"Unk",0))</f>
        <v>1</v>
      </c>
      <c r="E1577" s="2" t="str">
        <f>IFERROR(INDEX('Blackout Brand Fam Areas (Enc)'!$D$6:$D$998,MATCH(UPPER(A1577)&amp;"|"&amp;UPPER(B1577),'Blackout Brand Fam Areas (Enc)'!$G$6:$G$998,0)),"No Match")</f>
        <v>No Match</v>
      </c>
      <c r="F1577" s="2" t="str">
        <f t="shared" si="48"/>
        <v>US</v>
      </c>
      <c r="G1577" s="2" t="str">
        <f t="shared" si="49"/>
        <v>Day Chaser|UNION</v>
      </c>
    </row>
    <row r="1578" spans="1:7" x14ac:dyDescent="0.2">
      <c r="A1578" s="2" t="str" cm="1">
        <f t="array" ref="A1578">INDEX('[1]Brand Family Territory (Enc)'!$A$2:$A$296,INT((ROW()-2)/10)+1)</f>
        <v>Day Chaser</v>
      </c>
      <c r="B1578" s="2" t="str" cm="1">
        <f t="array" ref="B1578">INDEX('Whitelist (Blackout Reverse)'!$B$1:$K$1,MOD(ROW()-2,10)+1)</f>
        <v>SUSSEX</v>
      </c>
      <c r="C1578" s="2" t="str">
        <f>VLOOKUP(A1578,'[1]Brand Family Territory (Enc)'!$A$2:$B$296,2,FALSE)</f>
        <v>All Counties</v>
      </c>
      <c r="D1578" s="2">
        <f>IF(COUNTIFS('[1]Brand Family Territories (Enc)'!$B$2:$B$62,C1578,'[1]Brand Family Territories (Enc)'!$C$2:$C$62,B1578)&gt;0,1,IF(AND(LEFT(B1578,6)="MORRIS",COUNTIFS('[1]Brand Family Territories (Enc)'!$B$2:$B$62,C1578,'[1]Brand Family Territories (Enc)'!$C$2:$C$62,"Morri")&gt;0),"Unk",0))</f>
        <v>1</v>
      </c>
      <c r="E1578" s="2" t="str">
        <f>IFERROR(INDEX('Blackout Brand Fam Areas (Enc)'!$D$6:$D$998,MATCH(UPPER(A1578)&amp;"|"&amp;UPPER(B1578),'Blackout Brand Fam Areas (Enc)'!$G$6:$G$998,0)),"No Match")</f>
        <v>No Match</v>
      </c>
      <c r="F1578" s="2" t="str">
        <f t="shared" si="48"/>
        <v>US</v>
      </c>
      <c r="G1578" s="2" t="str">
        <f t="shared" si="49"/>
        <v>Day Chaser|SUSSEX</v>
      </c>
    </row>
    <row r="1579" spans="1:7" x14ac:dyDescent="0.2">
      <c r="A1579" s="2" t="str" cm="1">
        <f t="array" ref="A1579">INDEX('[1]Brand Family Territory (Enc)'!$A$2:$A$296,INT((ROW()-2)/10)+1)</f>
        <v>Day Chaser</v>
      </c>
      <c r="B1579" s="2" t="str" cm="1">
        <f t="array" ref="B1579">INDEX('Whitelist (Blackout Reverse)'!$B$1:$K$1,MOD(ROW()-2,10)+1)</f>
        <v>MORRIS 1</v>
      </c>
      <c r="C1579" s="2" t="str">
        <f>VLOOKUP(A1579,'[1]Brand Family Territory (Enc)'!$A$2:$B$296,2,FALSE)</f>
        <v>All Counties</v>
      </c>
      <c r="D1579" s="2">
        <f>IF(COUNTIFS('[1]Brand Family Territories (Enc)'!$B$2:$B$62,C1579,'[1]Brand Family Territories (Enc)'!$C$2:$C$62,B1579)&gt;0,1,IF(AND(LEFT(B1579,6)="MORRIS",COUNTIFS('[1]Brand Family Territories (Enc)'!$B$2:$B$62,C1579,'[1]Brand Family Territories (Enc)'!$C$2:$C$62,"Morri")&gt;0),"Unk",0))</f>
        <v>1</v>
      </c>
      <c r="E1579" s="2" t="str">
        <f>IFERROR(INDEX('Blackout Brand Fam Areas (Enc)'!$D$6:$D$998,MATCH(UPPER(A1579)&amp;"|"&amp;UPPER(B1579),'Blackout Brand Fam Areas (Enc)'!$G$6:$G$998,0)),"No Match")</f>
        <v>No Match</v>
      </c>
      <c r="F1579" s="2" t="str">
        <f t="shared" si="48"/>
        <v>US</v>
      </c>
      <c r="G1579" s="2" t="str">
        <f t="shared" si="49"/>
        <v>Day Chaser|MORRIS 1</v>
      </c>
    </row>
    <row r="1580" spans="1:7" x14ac:dyDescent="0.2">
      <c r="A1580" s="2" t="str" cm="1">
        <f t="array" ref="A1580">INDEX('[1]Brand Family Territory (Enc)'!$A$2:$A$296,INT((ROW()-2)/10)+1)</f>
        <v>Day Chaser</v>
      </c>
      <c r="B1580" s="2" t="str" cm="1">
        <f t="array" ref="B1580">INDEX('Whitelist (Blackout Reverse)'!$B$1:$K$1,MOD(ROW()-2,10)+1)</f>
        <v>MORRIS 2</v>
      </c>
      <c r="C1580" s="2" t="str">
        <f>VLOOKUP(A1580,'[1]Brand Family Territory (Enc)'!$A$2:$B$296,2,FALSE)</f>
        <v>All Counties</v>
      </c>
      <c r="D1580" s="2">
        <f>IF(COUNTIFS('[1]Brand Family Territories (Enc)'!$B$2:$B$62,C1580,'[1]Brand Family Territories (Enc)'!$C$2:$C$62,B1580)&gt;0,1,IF(AND(LEFT(B1580,6)="MORRIS",COUNTIFS('[1]Brand Family Territories (Enc)'!$B$2:$B$62,C1580,'[1]Brand Family Territories (Enc)'!$C$2:$C$62,"Morri")&gt;0),"Unk",0))</f>
        <v>1</v>
      </c>
      <c r="E1580" s="2" t="str">
        <f>IFERROR(INDEX('Blackout Brand Fam Areas (Enc)'!$D$6:$D$998,MATCH(UPPER(A1580)&amp;"|"&amp;UPPER(B1580),'Blackout Brand Fam Areas (Enc)'!$G$6:$G$998,0)),"No Match")</f>
        <v>No Match</v>
      </c>
      <c r="F1580" s="2" t="str">
        <f t="shared" si="48"/>
        <v>US</v>
      </c>
      <c r="G1580" s="2" t="str">
        <f t="shared" si="49"/>
        <v>Day Chaser|MORRIS 2</v>
      </c>
    </row>
    <row r="1581" spans="1:7" x14ac:dyDescent="0.2">
      <c r="A1581" s="2" t="str" cm="1">
        <f t="array" ref="A1581">INDEX('[1]Brand Family Territory (Enc)'!$A$2:$A$296,INT((ROW()-2)/10)+1)</f>
        <v>Day Chaser</v>
      </c>
      <c r="B1581" s="2" t="str" cm="1">
        <f t="array" ref="B1581">INDEX('Whitelist (Blackout Reverse)'!$B$1:$K$1,MOD(ROW()-2,10)+1)</f>
        <v>MORRIS 3</v>
      </c>
      <c r="C1581" s="2" t="str">
        <f>VLOOKUP(A1581,'[1]Brand Family Territory (Enc)'!$A$2:$B$296,2,FALSE)</f>
        <v>All Counties</v>
      </c>
      <c r="D1581" s="2">
        <f>IF(COUNTIFS('[1]Brand Family Territories (Enc)'!$B$2:$B$62,C1581,'[1]Brand Family Territories (Enc)'!$C$2:$C$62,B1581)&gt;0,1,IF(AND(LEFT(B1581,6)="MORRIS",COUNTIFS('[1]Brand Family Territories (Enc)'!$B$2:$B$62,C1581,'[1]Brand Family Territories (Enc)'!$C$2:$C$62,"Morri")&gt;0),"Unk",0))</f>
        <v>1</v>
      </c>
      <c r="E1581" s="2" t="str">
        <f>IFERROR(INDEX('Blackout Brand Fam Areas (Enc)'!$D$6:$D$998,MATCH(UPPER(A1581)&amp;"|"&amp;UPPER(B1581),'Blackout Brand Fam Areas (Enc)'!$G$6:$G$998,0)),"No Match")</f>
        <v>No Match</v>
      </c>
      <c r="F1581" s="2" t="str">
        <f t="shared" si="48"/>
        <v>US</v>
      </c>
      <c r="G1581" s="2" t="str">
        <f t="shared" si="49"/>
        <v>Day Chaser|MORRIS 3</v>
      </c>
    </row>
    <row r="1582" spans="1:7" x14ac:dyDescent="0.2">
      <c r="A1582" s="2" t="str" cm="1">
        <f t="array" ref="A1582">INDEX('[1]Brand Family Territory (Enc)'!$A$2:$A$296,INT((ROW()-2)/10)+1)</f>
        <v>Defiant</v>
      </c>
      <c r="B1582" s="2" t="str" cm="1">
        <f t="array" ref="B1582">INDEX('Whitelist (Blackout Reverse)'!$B$1:$K$1,MOD(ROW()-2,10)+1)</f>
        <v>BERGEN</v>
      </c>
      <c r="C1582" s="2" t="str">
        <f>VLOOKUP(A1582,'[1]Brand Family Territory (Enc)'!$A$2:$B$296,2,FALSE)</f>
        <v>All Counties</v>
      </c>
      <c r="D1582" s="2">
        <f>IF(COUNTIFS('[1]Brand Family Territories (Enc)'!$B$2:$B$62,C1582,'[1]Brand Family Territories (Enc)'!$C$2:$C$62,B1582)&gt;0,1,IF(AND(LEFT(B1582,6)="MORRIS",COUNTIFS('[1]Brand Family Territories (Enc)'!$B$2:$B$62,C1582,'[1]Brand Family Territories (Enc)'!$C$2:$C$62,"Morri")&gt;0),"Unk",0))</f>
        <v>1</v>
      </c>
      <c r="E1582" s="2" t="str">
        <f>IFERROR(INDEX('Blackout Brand Fam Areas (Enc)'!$D$6:$D$998,MATCH(UPPER(A1582)&amp;"|"&amp;UPPER(B1582),'Blackout Brand Fam Areas (Enc)'!$G$6:$G$998,0)),"No Match")</f>
        <v>No Match</v>
      </c>
      <c r="F1582" s="2" t="str">
        <f t="shared" si="48"/>
        <v>US</v>
      </c>
      <c r="G1582" s="2" t="str">
        <f t="shared" si="49"/>
        <v>Defiant|BERGEN</v>
      </c>
    </row>
    <row r="1583" spans="1:7" x14ac:dyDescent="0.2">
      <c r="A1583" s="2" t="str" cm="1">
        <f t="array" ref="A1583">INDEX('[1]Brand Family Territory (Enc)'!$A$2:$A$296,INT((ROW()-2)/10)+1)</f>
        <v>Defiant</v>
      </c>
      <c r="B1583" s="2" t="str" cm="1">
        <f t="array" ref="B1583">INDEX('Whitelist (Blackout Reverse)'!$B$1:$K$1,MOD(ROW()-2,10)+1)</f>
        <v>PASSAIC</v>
      </c>
      <c r="C1583" s="2" t="str">
        <f>VLOOKUP(A1583,'[1]Brand Family Territory (Enc)'!$A$2:$B$296,2,FALSE)</f>
        <v>All Counties</v>
      </c>
      <c r="D1583" s="2">
        <f>IF(COUNTIFS('[1]Brand Family Territories (Enc)'!$B$2:$B$62,C1583,'[1]Brand Family Territories (Enc)'!$C$2:$C$62,B1583)&gt;0,1,IF(AND(LEFT(B1583,6)="MORRIS",COUNTIFS('[1]Brand Family Territories (Enc)'!$B$2:$B$62,C1583,'[1]Brand Family Territories (Enc)'!$C$2:$C$62,"Morri")&gt;0),"Unk",0))</f>
        <v>1</v>
      </c>
      <c r="E1583" s="2" t="str">
        <f>IFERROR(INDEX('Blackout Brand Fam Areas (Enc)'!$D$6:$D$998,MATCH(UPPER(A1583)&amp;"|"&amp;UPPER(B1583),'Blackout Brand Fam Areas (Enc)'!$G$6:$G$998,0)),"No Match")</f>
        <v>No Match</v>
      </c>
      <c r="F1583" s="2" t="str">
        <f t="shared" si="48"/>
        <v>US</v>
      </c>
      <c r="G1583" s="2" t="str">
        <f t="shared" si="49"/>
        <v>Defiant|PASSAIC</v>
      </c>
    </row>
    <row r="1584" spans="1:7" x14ac:dyDescent="0.2">
      <c r="A1584" s="2" t="str" cm="1">
        <f t="array" ref="A1584">INDEX('[1]Brand Family Territory (Enc)'!$A$2:$A$296,INT((ROW()-2)/10)+1)</f>
        <v>Defiant</v>
      </c>
      <c r="B1584" s="2" t="str" cm="1">
        <f t="array" ref="B1584">INDEX('Whitelist (Blackout Reverse)'!$B$1:$K$1,MOD(ROW()-2,10)+1)</f>
        <v>PASSAIC-FF</v>
      </c>
      <c r="C1584" s="2" t="str">
        <f>VLOOKUP(A1584,'[1]Brand Family Territory (Enc)'!$A$2:$B$296,2,FALSE)</f>
        <v>All Counties</v>
      </c>
      <c r="D1584" s="2">
        <f>IF(COUNTIFS('[1]Brand Family Territories (Enc)'!$B$2:$B$62,C1584,'[1]Brand Family Territories (Enc)'!$C$2:$C$62,B1584)&gt;0,1,IF(AND(LEFT(B1584,6)="MORRIS",COUNTIFS('[1]Brand Family Territories (Enc)'!$B$2:$B$62,C1584,'[1]Brand Family Territories (Enc)'!$C$2:$C$62,"Morri")&gt;0),"Unk",0))</f>
        <v>1</v>
      </c>
      <c r="E1584" s="2" t="str">
        <f>IFERROR(INDEX('Blackout Brand Fam Areas (Enc)'!$D$6:$D$998,MATCH(UPPER(A1584)&amp;"|"&amp;UPPER(B1584),'Blackout Brand Fam Areas (Enc)'!$G$6:$G$998,0)),"No Match")</f>
        <v>No Match</v>
      </c>
      <c r="F1584" s="2" t="str">
        <f t="shared" si="48"/>
        <v>US</v>
      </c>
      <c r="G1584" s="2" t="str">
        <f t="shared" si="49"/>
        <v>Defiant|PASSAIC-FF</v>
      </c>
    </row>
    <row r="1585" spans="1:7" x14ac:dyDescent="0.2">
      <c r="A1585" s="2" t="str" cm="1">
        <f t="array" ref="A1585">INDEX('[1]Brand Family Territory (Enc)'!$A$2:$A$296,INT((ROW()-2)/10)+1)</f>
        <v>Defiant</v>
      </c>
      <c r="B1585" s="2" t="str" cm="1">
        <f t="array" ref="B1585">INDEX('Whitelist (Blackout Reverse)'!$B$1:$K$1,MOD(ROW()-2,10)+1)</f>
        <v>ESSEX</v>
      </c>
      <c r="C1585" s="2" t="str">
        <f>VLOOKUP(A1585,'[1]Brand Family Territory (Enc)'!$A$2:$B$296,2,FALSE)</f>
        <v>All Counties</v>
      </c>
      <c r="D1585" s="2">
        <f>IF(COUNTIFS('[1]Brand Family Territories (Enc)'!$B$2:$B$62,C1585,'[1]Brand Family Territories (Enc)'!$C$2:$C$62,B1585)&gt;0,1,IF(AND(LEFT(B1585,6)="MORRIS",COUNTIFS('[1]Brand Family Territories (Enc)'!$B$2:$B$62,C1585,'[1]Brand Family Territories (Enc)'!$C$2:$C$62,"Morri")&gt;0),"Unk",0))</f>
        <v>1</v>
      </c>
      <c r="E1585" s="2" t="str">
        <f>IFERROR(INDEX('Blackout Brand Fam Areas (Enc)'!$D$6:$D$998,MATCH(UPPER(A1585)&amp;"|"&amp;UPPER(B1585),'Blackout Brand Fam Areas (Enc)'!$G$6:$G$998,0)),"No Match")</f>
        <v>No Match</v>
      </c>
      <c r="F1585" s="2" t="str">
        <f t="shared" si="48"/>
        <v>US</v>
      </c>
      <c r="G1585" s="2" t="str">
        <f t="shared" si="49"/>
        <v>Defiant|ESSEX</v>
      </c>
    </row>
    <row r="1586" spans="1:7" x14ac:dyDescent="0.2">
      <c r="A1586" s="2" t="str" cm="1">
        <f t="array" ref="A1586">INDEX('[1]Brand Family Territory (Enc)'!$A$2:$A$296,INT((ROW()-2)/10)+1)</f>
        <v>Defiant</v>
      </c>
      <c r="B1586" s="2" t="str" cm="1">
        <f t="array" ref="B1586">INDEX('Whitelist (Blackout Reverse)'!$B$1:$K$1,MOD(ROW()-2,10)+1)</f>
        <v>HUDSON</v>
      </c>
      <c r="C1586" s="2" t="str">
        <f>VLOOKUP(A1586,'[1]Brand Family Territory (Enc)'!$A$2:$B$296,2,FALSE)</f>
        <v>All Counties</v>
      </c>
      <c r="D1586" s="2">
        <f>IF(COUNTIFS('[1]Brand Family Territories (Enc)'!$B$2:$B$62,C1586,'[1]Brand Family Territories (Enc)'!$C$2:$C$62,B1586)&gt;0,1,IF(AND(LEFT(B1586,6)="MORRIS",COUNTIFS('[1]Brand Family Territories (Enc)'!$B$2:$B$62,C1586,'[1]Brand Family Territories (Enc)'!$C$2:$C$62,"Morri")&gt;0),"Unk",0))</f>
        <v>1</v>
      </c>
      <c r="E1586" s="2" t="str">
        <f>IFERROR(INDEX('Blackout Brand Fam Areas (Enc)'!$D$6:$D$998,MATCH(UPPER(A1586)&amp;"|"&amp;UPPER(B1586),'Blackout Brand Fam Areas (Enc)'!$G$6:$G$998,0)),"No Match")</f>
        <v>No Match</v>
      </c>
      <c r="F1586" s="2" t="str">
        <f t="shared" si="48"/>
        <v>US</v>
      </c>
      <c r="G1586" s="2" t="str">
        <f t="shared" si="49"/>
        <v>Defiant|HUDSON</v>
      </c>
    </row>
    <row r="1587" spans="1:7" x14ac:dyDescent="0.2">
      <c r="A1587" s="2" t="str" cm="1">
        <f t="array" ref="A1587">INDEX('[1]Brand Family Territory (Enc)'!$A$2:$A$296,INT((ROW()-2)/10)+1)</f>
        <v>Defiant</v>
      </c>
      <c r="B1587" s="2" t="str" cm="1">
        <f t="array" ref="B1587">INDEX('Whitelist (Blackout Reverse)'!$B$1:$K$1,MOD(ROW()-2,10)+1)</f>
        <v>UNION</v>
      </c>
      <c r="C1587" s="2" t="str">
        <f>VLOOKUP(A1587,'[1]Brand Family Territory (Enc)'!$A$2:$B$296,2,FALSE)</f>
        <v>All Counties</v>
      </c>
      <c r="D1587" s="2">
        <f>IF(COUNTIFS('[1]Brand Family Territories (Enc)'!$B$2:$B$62,C1587,'[1]Brand Family Territories (Enc)'!$C$2:$C$62,B1587)&gt;0,1,IF(AND(LEFT(B1587,6)="MORRIS",COUNTIFS('[1]Brand Family Territories (Enc)'!$B$2:$B$62,C1587,'[1]Brand Family Territories (Enc)'!$C$2:$C$62,"Morri")&gt;0),"Unk",0))</f>
        <v>1</v>
      </c>
      <c r="E1587" s="2" t="str">
        <f>IFERROR(INDEX('Blackout Brand Fam Areas (Enc)'!$D$6:$D$998,MATCH(UPPER(A1587)&amp;"|"&amp;UPPER(B1587),'Blackout Brand Fam Areas (Enc)'!$G$6:$G$998,0)),"No Match")</f>
        <v>No Match</v>
      </c>
      <c r="F1587" s="2" t="str">
        <f t="shared" si="48"/>
        <v>US</v>
      </c>
      <c r="G1587" s="2" t="str">
        <f t="shared" si="49"/>
        <v>Defiant|UNION</v>
      </c>
    </row>
    <row r="1588" spans="1:7" x14ac:dyDescent="0.2">
      <c r="A1588" s="2" t="str" cm="1">
        <f t="array" ref="A1588">INDEX('[1]Brand Family Territory (Enc)'!$A$2:$A$296,INT((ROW()-2)/10)+1)</f>
        <v>Defiant</v>
      </c>
      <c r="B1588" s="2" t="str" cm="1">
        <f t="array" ref="B1588">INDEX('Whitelist (Blackout Reverse)'!$B$1:$K$1,MOD(ROW()-2,10)+1)</f>
        <v>SUSSEX</v>
      </c>
      <c r="C1588" s="2" t="str">
        <f>VLOOKUP(A1588,'[1]Brand Family Territory (Enc)'!$A$2:$B$296,2,FALSE)</f>
        <v>All Counties</v>
      </c>
      <c r="D1588" s="2">
        <f>IF(COUNTIFS('[1]Brand Family Territories (Enc)'!$B$2:$B$62,C1588,'[1]Brand Family Territories (Enc)'!$C$2:$C$62,B1588)&gt;0,1,IF(AND(LEFT(B1588,6)="MORRIS",COUNTIFS('[1]Brand Family Territories (Enc)'!$B$2:$B$62,C1588,'[1]Brand Family Territories (Enc)'!$C$2:$C$62,"Morri")&gt;0),"Unk",0))</f>
        <v>1</v>
      </c>
      <c r="E1588" s="2" t="str">
        <f>IFERROR(INDEX('Blackout Brand Fam Areas (Enc)'!$D$6:$D$998,MATCH(UPPER(A1588)&amp;"|"&amp;UPPER(B1588),'Blackout Brand Fam Areas (Enc)'!$G$6:$G$998,0)),"No Match")</f>
        <v>No Match</v>
      </c>
      <c r="F1588" s="2" t="str">
        <f t="shared" si="48"/>
        <v>US</v>
      </c>
      <c r="G1588" s="2" t="str">
        <f t="shared" si="49"/>
        <v>Defiant|SUSSEX</v>
      </c>
    </row>
    <row r="1589" spans="1:7" x14ac:dyDescent="0.2">
      <c r="A1589" s="2" t="str" cm="1">
        <f t="array" ref="A1589">INDEX('[1]Brand Family Territory (Enc)'!$A$2:$A$296,INT((ROW()-2)/10)+1)</f>
        <v>Defiant</v>
      </c>
      <c r="B1589" s="2" t="str" cm="1">
        <f t="array" ref="B1589">INDEX('Whitelist (Blackout Reverse)'!$B$1:$K$1,MOD(ROW()-2,10)+1)</f>
        <v>MORRIS 1</v>
      </c>
      <c r="C1589" s="2" t="str">
        <f>VLOOKUP(A1589,'[1]Brand Family Territory (Enc)'!$A$2:$B$296,2,FALSE)</f>
        <v>All Counties</v>
      </c>
      <c r="D1589" s="2">
        <f>IF(COUNTIFS('[1]Brand Family Territories (Enc)'!$B$2:$B$62,C1589,'[1]Brand Family Territories (Enc)'!$C$2:$C$62,B1589)&gt;0,1,IF(AND(LEFT(B1589,6)="MORRIS",COUNTIFS('[1]Brand Family Territories (Enc)'!$B$2:$B$62,C1589,'[1]Brand Family Territories (Enc)'!$C$2:$C$62,"Morri")&gt;0),"Unk",0))</f>
        <v>1</v>
      </c>
      <c r="E1589" s="2" t="str">
        <f>IFERROR(INDEX('Blackout Brand Fam Areas (Enc)'!$D$6:$D$998,MATCH(UPPER(A1589)&amp;"|"&amp;UPPER(B1589),'Blackout Brand Fam Areas (Enc)'!$G$6:$G$998,0)),"No Match")</f>
        <v>No Match</v>
      </c>
      <c r="F1589" s="2" t="str">
        <f t="shared" si="48"/>
        <v>US</v>
      </c>
      <c r="G1589" s="2" t="str">
        <f t="shared" si="49"/>
        <v>Defiant|MORRIS 1</v>
      </c>
    </row>
    <row r="1590" spans="1:7" x14ac:dyDescent="0.2">
      <c r="A1590" s="2" t="str" cm="1">
        <f t="array" ref="A1590">INDEX('[1]Brand Family Territory (Enc)'!$A$2:$A$296,INT((ROW()-2)/10)+1)</f>
        <v>Defiant</v>
      </c>
      <c r="B1590" s="2" t="str" cm="1">
        <f t="array" ref="B1590">INDEX('Whitelist (Blackout Reverse)'!$B$1:$K$1,MOD(ROW()-2,10)+1)</f>
        <v>MORRIS 2</v>
      </c>
      <c r="C1590" s="2" t="str">
        <f>VLOOKUP(A1590,'[1]Brand Family Territory (Enc)'!$A$2:$B$296,2,FALSE)</f>
        <v>All Counties</v>
      </c>
      <c r="D1590" s="2">
        <f>IF(COUNTIFS('[1]Brand Family Territories (Enc)'!$B$2:$B$62,C1590,'[1]Brand Family Territories (Enc)'!$C$2:$C$62,B1590)&gt;0,1,IF(AND(LEFT(B1590,6)="MORRIS",COUNTIFS('[1]Brand Family Territories (Enc)'!$B$2:$B$62,C1590,'[1]Brand Family Territories (Enc)'!$C$2:$C$62,"Morri")&gt;0),"Unk",0))</f>
        <v>1</v>
      </c>
      <c r="E1590" s="2" t="str">
        <f>IFERROR(INDEX('Blackout Brand Fam Areas (Enc)'!$D$6:$D$998,MATCH(UPPER(A1590)&amp;"|"&amp;UPPER(B1590),'Blackout Brand Fam Areas (Enc)'!$G$6:$G$998,0)),"No Match")</f>
        <v>No Match</v>
      </c>
      <c r="F1590" s="2" t="str">
        <f t="shared" si="48"/>
        <v>US</v>
      </c>
      <c r="G1590" s="2" t="str">
        <f t="shared" si="49"/>
        <v>Defiant|MORRIS 2</v>
      </c>
    </row>
    <row r="1591" spans="1:7" x14ac:dyDescent="0.2">
      <c r="A1591" s="2" t="str" cm="1">
        <f t="array" ref="A1591">INDEX('[1]Brand Family Territory (Enc)'!$A$2:$A$296,INT((ROW()-2)/10)+1)</f>
        <v>Defiant</v>
      </c>
      <c r="B1591" s="2" t="str" cm="1">
        <f t="array" ref="B1591">INDEX('Whitelist (Blackout Reverse)'!$B$1:$K$1,MOD(ROW()-2,10)+1)</f>
        <v>MORRIS 3</v>
      </c>
      <c r="C1591" s="2" t="str">
        <f>VLOOKUP(A1591,'[1]Brand Family Territory (Enc)'!$A$2:$B$296,2,FALSE)</f>
        <v>All Counties</v>
      </c>
      <c r="D1591" s="2">
        <f>IF(COUNTIFS('[1]Brand Family Territories (Enc)'!$B$2:$B$62,C1591,'[1]Brand Family Territories (Enc)'!$C$2:$C$62,B1591)&gt;0,1,IF(AND(LEFT(B1591,6)="MORRIS",COUNTIFS('[1]Brand Family Territories (Enc)'!$B$2:$B$62,C1591,'[1]Brand Family Territories (Enc)'!$C$2:$C$62,"Morri")&gt;0),"Unk",0))</f>
        <v>1</v>
      </c>
      <c r="E1591" s="2" t="str">
        <f>IFERROR(INDEX('Blackout Brand Fam Areas (Enc)'!$D$6:$D$998,MATCH(UPPER(A1591)&amp;"|"&amp;UPPER(B1591),'Blackout Brand Fam Areas (Enc)'!$G$6:$G$998,0)),"No Match")</f>
        <v>No Match</v>
      </c>
      <c r="F1591" s="2" t="str">
        <f t="shared" si="48"/>
        <v>US</v>
      </c>
      <c r="G1591" s="2" t="str">
        <f t="shared" si="49"/>
        <v>Defiant|MORRIS 3</v>
      </c>
    </row>
    <row r="1592" spans="1:7" x14ac:dyDescent="0.2">
      <c r="A1592" s="2" t="str" cm="1">
        <f t="array" ref="A1592">INDEX('[1]Brand Family Territory (Enc)'!$A$2:$A$296,INT((ROW()-2)/10)+1)</f>
        <v>Delta</v>
      </c>
      <c r="B1592" s="2" t="str" cm="1">
        <f t="array" ref="B1592">INDEX('Whitelist (Blackout Reverse)'!$B$1:$K$1,MOD(ROW()-2,10)+1)</f>
        <v>BERGEN</v>
      </c>
      <c r="C1592" s="2" t="str">
        <f>VLOOKUP(A1592,'[1]Brand Family Territory (Enc)'!$A$2:$B$296,2,FALSE)</f>
        <v>All Counties</v>
      </c>
      <c r="D1592" s="2">
        <f>IF(COUNTIFS('[1]Brand Family Territories (Enc)'!$B$2:$B$62,C1592,'[1]Brand Family Territories (Enc)'!$C$2:$C$62,B1592)&gt;0,1,IF(AND(LEFT(B1592,6)="MORRIS",COUNTIFS('[1]Brand Family Territories (Enc)'!$B$2:$B$62,C1592,'[1]Brand Family Territories (Enc)'!$C$2:$C$62,"Morri")&gt;0),"Unk",0))</f>
        <v>1</v>
      </c>
      <c r="E1592" s="2" t="str">
        <f>IFERROR(INDEX('Blackout Brand Fam Areas (Enc)'!$D$6:$D$998,MATCH(UPPER(A1592)&amp;"|"&amp;UPPER(B1592),'Blackout Brand Fam Areas (Enc)'!$G$6:$G$998,0)),"No Match")</f>
        <v>No Match</v>
      </c>
      <c r="F1592" s="2" t="str">
        <f t="shared" si="48"/>
        <v>US</v>
      </c>
      <c r="G1592" s="2" t="str">
        <f t="shared" si="49"/>
        <v>Delta|BERGEN</v>
      </c>
    </row>
    <row r="1593" spans="1:7" x14ac:dyDescent="0.2">
      <c r="A1593" s="2" t="str" cm="1">
        <f t="array" ref="A1593">INDEX('[1]Brand Family Territory (Enc)'!$A$2:$A$296,INT((ROW()-2)/10)+1)</f>
        <v>Delta</v>
      </c>
      <c r="B1593" s="2" t="str" cm="1">
        <f t="array" ref="B1593">INDEX('Whitelist (Blackout Reverse)'!$B$1:$K$1,MOD(ROW()-2,10)+1)</f>
        <v>PASSAIC</v>
      </c>
      <c r="C1593" s="2" t="str">
        <f>VLOOKUP(A1593,'[1]Brand Family Territory (Enc)'!$A$2:$B$296,2,FALSE)</f>
        <v>All Counties</v>
      </c>
      <c r="D1593" s="2">
        <f>IF(COUNTIFS('[1]Brand Family Territories (Enc)'!$B$2:$B$62,C1593,'[1]Brand Family Territories (Enc)'!$C$2:$C$62,B1593)&gt;0,1,IF(AND(LEFT(B1593,6)="MORRIS",COUNTIFS('[1]Brand Family Territories (Enc)'!$B$2:$B$62,C1593,'[1]Brand Family Territories (Enc)'!$C$2:$C$62,"Morri")&gt;0),"Unk",0))</f>
        <v>1</v>
      </c>
      <c r="E1593" s="2" t="str">
        <f>IFERROR(INDEX('Blackout Brand Fam Areas (Enc)'!$D$6:$D$998,MATCH(UPPER(A1593)&amp;"|"&amp;UPPER(B1593),'Blackout Brand Fam Areas (Enc)'!$G$6:$G$998,0)),"No Match")</f>
        <v>No Match</v>
      </c>
      <c r="F1593" s="2" t="str">
        <f t="shared" si="48"/>
        <v>US</v>
      </c>
      <c r="G1593" s="2" t="str">
        <f t="shared" si="49"/>
        <v>Delta|PASSAIC</v>
      </c>
    </row>
    <row r="1594" spans="1:7" x14ac:dyDescent="0.2">
      <c r="A1594" s="2" t="str" cm="1">
        <f t="array" ref="A1594">INDEX('[1]Brand Family Territory (Enc)'!$A$2:$A$296,INT((ROW()-2)/10)+1)</f>
        <v>Delta</v>
      </c>
      <c r="B1594" s="2" t="str" cm="1">
        <f t="array" ref="B1594">INDEX('Whitelist (Blackout Reverse)'!$B$1:$K$1,MOD(ROW()-2,10)+1)</f>
        <v>PASSAIC-FF</v>
      </c>
      <c r="C1594" s="2" t="str">
        <f>VLOOKUP(A1594,'[1]Brand Family Territory (Enc)'!$A$2:$B$296,2,FALSE)</f>
        <v>All Counties</v>
      </c>
      <c r="D1594" s="2">
        <f>IF(COUNTIFS('[1]Brand Family Territories (Enc)'!$B$2:$B$62,C1594,'[1]Brand Family Territories (Enc)'!$C$2:$C$62,B1594)&gt;0,1,IF(AND(LEFT(B1594,6)="MORRIS",COUNTIFS('[1]Brand Family Territories (Enc)'!$B$2:$B$62,C1594,'[1]Brand Family Territories (Enc)'!$C$2:$C$62,"Morri")&gt;0),"Unk",0))</f>
        <v>1</v>
      </c>
      <c r="E1594" s="2" t="str">
        <f>IFERROR(INDEX('Blackout Brand Fam Areas (Enc)'!$D$6:$D$998,MATCH(UPPER(A1594)&amp;"|"&amp;UPPER(B1594),'Blackout Brand Fam Areas (Enc)'!$G$6:$G$998,0)),"No Match")</f>
        <v>No Match</v>
      </c>
      <c r="F1594" s="2" t="str">
        <f t="shared" si="48"/>
        <v>US</v>
      </c>
      <c r="G1594" s="2" t="str">
        <f t="shared" si="49"/>
        <v>Delta|PASSAIC-FF</v>
      </c>
    </row>
    <row r="1595" spans="1:7" x14ac:dyDescent="0.2">
      <c r="A1595" s="2" t="str" cm="1">
        <f t="array" ref="A1595">INDEX('[1]Brand Family Territory (Enc)'!$A$2:$A$296,INT((ROW()-2)/10)+1)</f>
        <v>Delta</v>
      </c>
      <c r="B1595" s="2" t="str" cm="1">
        <f t="array" ref="B1595">INDEX('Whitelist (Blackout Reverse)'!$B$1:$K$1,MOD(ROW()-2,10)+1)</f>
        <v>ESSEX</v>
      </c>
      <c r="C1595" s="2" t="str">
        <f>VLOOKUP(A1595,'[1]Brand Family Territory (Enc)'!$A$2:$B$296,2,FALSE)</f>
        <v>All Counties</v>
      </c>
      <c r="D1595" s="2">
        <f>IF(COUNTIFS('[1]Brand Family Territories (Enc)'!$B$2:$B$62,C1595,'[1]Brand Family Territories (Enc)'!$C$2:$C$62,B1595)&gt;0,1,IF(AND(LEFT(B1595,6)="MORRIS",COUNTIFS('[1]Brand Family Territories (Enc)'!$B$2:$B$62,C1595,'[1]Brand Family Territories (Enc)'!$C$2:$C$62,"Morri")&gt;0),"Unk",0))</f>
        <v>1</v>
      </c>
      <c r="E1595" s="2" t="str">
        <f>IFERROR(INDEX('Blackout Brand Fam Areas (Enc)'!$D$6:$D$998,MATCH(UPPER(A1595)&amp;"|"&amp;UPPER(B1595),'Blackout Brand Fam Areas (Enc)'!$G$6:$G$998,0)),"No Match")</f>
        <v>No Match</v>
      </c>
      <c r="F1595" s="2" t="str">
        <f t="shared" si="48"/>
        <v>US</v>
      </c>
      <c r="G1595" s="2" t="str">
        <f t="shared" si="49"/>
        <v>Delta|ESSEX</v>
      </c>
    </row>
    <row r="1596" spans="1:7" x14ac:dyDescent="0.2">
      <c r="A1596" s="2" t="str" cm="1">
        <f t="array" ref="A1596">INDEX('[1]Brand Family Territory (Enc)'!$A$2:$A$296,INT((ROW()-2)/10)+1)</f>
        <v>Delta</v>
      </c>
      <c r="B1596" s="2" t="str" cm="1">
        <f t="array" ref="B1596">INDEX('Whitelist (Blackout Reverse)'!$B$1:$K$1,MOD(ROW()-2,10)+1)</f>
        <v>HUDSON</v>
      </c>
      <c r="C1596" s="2" t="str">
        <f>VLOOKUP(A1596,'[1]Brand Family Territory (Enc)'!$A$2:$B$296,2,FALSE)</f>
        <v>All Counties</v>
      </c>
      <c r="D1596" s="2">
        <f>IF(COUNTIFS('[1]Brand Family Territories (Enc)'!$B$2:$B$62,C1596,'[1]Brand Family Territories (Enc)'!$C$2:$C$62,B1596)&gt;0,1,IF(AND(LEFT(B1596,6)="MORRIS",COUNTIFS('[1]Brand Family Territories (Enc)'!$B$2:$B$62,C1596,'[1]Brand Family Territories (Enc)'!$C$2:$C$62,"Morri")&gt;0),"Unk",0))</f>
        <v>1</v>
      </c>
      <c r="E1596" s="2" t="str">
        <f>IFERROR(INDEX('Blackout Brand Fam Areas (Enc)'!$D$6:$D$998,MATCH(UPPER(A1596)&amp;"|"&amp;UPPER(B1596),'Blackout Brand Fam Areas (Enc)'!$G$6:$G$998,0)),"No Match")</f>
        <v>No Match</v>
      </c>
      <c r="F1596" s="2" t="str">
        <f t="shared" si="48"/>
        <v>US</v>
      </c>
      <c r="G1596" s="2" t="str">
        <f t="shared" si="49"/>
        <v>Delta|HUDSON</v>
      </c>
    </row>
    <row r="1597" spans="1:7" x14ac:dyDescent="0.2">
      <c r="A1597" s="2" t="str" cm="1">
        <f t="array" ref="A1597">INDEX('[1]Brand Family Territory (Enc)'!$A$2:$A$296,INT((ROW()-2)/10)+1)</f>
        <v>Delta</v>
      </c>
      <c r="B1597" s="2" t="str" cm="1">
        <f t="array" ref="B1597">INDEX('Whitelist (Blackout Reverse)'!$B$1:$K$1,MOD(ROW()-2,10)+1)</f>
        <v>UNION</v>
      </c>
      <c r="C1597" s="2" t="str">
        <f>VLOOKUP(A1597,'[1]Brand Family Territory (Enc)'!$A$2:$B$296,2,FALSE)</f>
        <v>All Counties</v>
      </c>
      <c r="D1597" s="2">
        <f>IF(COUNTIFS('[1]Brand Family Territories (Enc)'!$B$2:$B$62,C1597,'[1]Brand Family Territories (Enc)'!$C$2:$C$62,B1597)&gt;0,1,IF(AND(LEFT(B1597,6)="MORRIS",COUNTIFS('[1]Brand Family Territories (Enc)'!$B$2:$B$62,C1597,'[1]Brand Family Territories (Enc)'!$C$2:$C$62,"Morri")&gt;0),"Unk",0))</f>
        <v>1</v>
      </c>
      <c r="E1597" s="2" t="str">
        <f>IFERROR(INDEX('Blackout Brand Fam Areas (Enc)'!$D$6:$D$998,MATCH(UPPER(A1597)&amp;"|"&amp;UPPER(B1597),'Blackout Brand Fam Areas (Enc)'!$G$6:$G$998,0)),"No Match")</f>
        <v>No Match</v>
      </c>
      <c r="F1597" s="2" t="str">
        <f t="shared" si="48"/>
        <v>US</v>
      </c>
      <c r="G1597" s="2" t="str">
        <f t="shared" si="49"/>
        <v>Delta|UNION</v>
      </c>
    </row>
    <row r="1598" spans="1:7" x14ac:dyDescent="0.2">
      <c r="A1598" s="2" t="str" cm="1">
        <f t="array" ref="A1598">INDEX('[1]Brand Family Territory (Enc)'!$A$2:$A$296,INT((ROW()-2)/10)+1)</f>
        <v>Delta</v>
      </c>
      <c r="B1598" s="2" t="str" cm="1">
        <f t="array" ref="B1598">INDEX('Whitelist (Blackout Reverse)'!$B$1:$K$1,MOD(ROW()-2,10)+1)</f>
        <v>SUSSEX</v>
      </c>
      <c r="C1598" s="2" t="str">
        <f>VLOOKUP(A1598,'[1]Brand Family Territory (Enc)'!$A$2:$B$296,2,FALSE)</f>
        <v>All Counties</v>
      </c>
      <c r="D1598" s="2">
        <f>IF(COUNTIFS('[1]Brand Family Territories (Enc)'!$B$2:$B$62,C1598,'[1]Brand Family Territories (Enc)'!$C$2:$C$62,B1598)&gt;0,1,IF(AND(LEFT(B1598,6)="MORRIS",COUNTIFS('[1]Brand Family Territories (Enc)'!$B$2:$B$62,C1598,'[1]Brand Family Territories (Enc)'!$C$2:$C$62,"Morri")&gt;0),"Unk",0))</f>
        <v>1</v>
      </c>
      <c r="E1598" s="2" t="str">
        <f>IFERROR(INDEX('Blackout Brand Fam Areas (Enc)'!$D$6:$D$998,MATCH(UPPER(A1598)&amp;"|"&amp;UPPER(B1598),'Blackout Brand Fam Areas (Enc)'!$G$6:$G$998,0)),"No Match")</f>
        <v>No Match</v>
      </c>
      <c r="F1598" s="2" t="str">
        <f t="shared" si="48"/>
        <v>US</v>
      </c>
      <c r="G1598" s="2" t="str">
        <f t="shared" si="49"/>
        <v>Delta|SUSSEX</v>
      </c>
    </row>
    <row r="1599" spans="1:7" x14ac:dyDescent="0.2">
      <c r="A1599" s="2" t="str" cm="1">
        <f t="array" ref="A1599">INDEX('[1]Brand Family Territory (Enc)'!$A$2:$A$296,INT((ROW()-2)/10)+1)</f>
        <v>Delta</v>
      </c>
      <c r="B1599" s="2" t="str" cm="1">
        <f t="array" ref="B1599">INDEX('Whitelist (Blackout Reverse)'!$B$1:$K$1,MOD(ROW()-2,10)+1)</f>
        <v>MORRIS 1</v>
      </c>
      <c r="C1599" s="2" t="str">
        <f>VLOOKUP(A1599,'[1]Brand Family Territory (Enc)'!$A$2:$B$296,2,FALSE)</f>
        <v>All Counties</v>
      </c>
      <c r="D1599" s="2">
        <f>IF(COUNTIFS('[1]Brand Family Territories (Enc)'!$B$2:$B$62,C1599,'[1]Brand Family Territories (Enc)'!$C$2:$C$62,B1599)&gt;0,1,IF(AND(LEFT(B1599,6)="MORRIS",COUNTIFS('[1]Brand Family Territories (Enc)'!$B$2:$B$62,C1599,'[1]Brand Family Territories (Enc)'!$C$2:$C$62,"Morri")&gt;0),"Unk",0))</f>
        <v>1</v>
      </c>
      <c r="E1599" s="2" t="str">
        <f>IFERROR(INDEX('Blackout Brand Fam Areas (Enc)'!$D$6:$D$998,MATCH(UPPER(A1599)&amp;"|"&amp;UPPER(B1599),'Blackout Brand Fam Areas (Enc)'!$G$6:$G$998,0)),"No Match")</f>
        <v>No Match</v>
      </c>
      <c r="F1599" s="2" t="str">
        <f t="shared" si="48"/>
        <v>US</v>
      </c>
      <c r="G1599" s="2" t="str">
        <f t="shared" si="49"/>
        <v>Delta|MORRIS 1</v>
      </c>
    </row>
    <row r="1600" spans="1:7" x14ac:dyDescent="0.2">
      <c r="A1600" s="2" t="str" cm="1">
        <f t="array" ref="A1600">INDEX('[1]Brand Family Territory (Enc)'!$A$2:$A$296,INT((ROW()-2)/10)+1)</f>
        <v>Delta</v>
      </c>
      <c r="B1600" s="2" t="str" cm="1">
        <f t="array" ref="B1600">INDEX('Whitelist (Blackout Reverse)'!$B$1:$K$1,MOD(ROW()-2,10)+1)</f>
        <v>MORRIS 2</v>
      </c>
      <c r="C1600" s="2" t="str">
        <f>VLOOKUP(A1600,'[1]Brand Family Territory (Enc)'!$A$2:$B$296,2,FALSE)</f>
        <v>All Counties</v>
      </c>
      <c r="D1600" s="2">
        <f>IF(COUNTIFS('[1]Brand Family Territories (Enc)'!$B$2:$B$62,C1600,'[1]Brand Family Territories (Enc)'!$C$2:$C$62,B1600)&gt;0,1,IF(AND(LEFT(B1600,6)="MORRIS",COUNTIFS('[1]Brand Family Territories (Enc)'!$B$2:$B$62,C1600,'[1]Brand Family Territories (Enc)'!$C$2:$C$62,"Morri")&gt;0),"Unk",0))</f>
        <v>1</v>
      </c>
      <c r="E1600" s="2" t="str">
        <f>IFERROR(INDEX('Blackout Brand Fam Areas (Enc)'!$D$6:$D$998,MATCH(UPPER(A1600)&amp;"|"&amp;UPPER(B1600),'Blackout Brand Fam Areas (Enc)'!$G$6:$G$998,0)),"No Match")</f>
        <v>No Match</v>
      </c>
      <c r="F1600" s="2" t="str">
        <f t="shared" si="48"/>
        <v>US</v>
      </c>
      <c r="G1600" s="2" t="str">
        <f t="shared" si="49"/>
        <v>Delta|MORRIS 2</v>
      </c>
    </row>
    <row r="1601" spans="1:7" x14ac:dyDescent="0.2">
      <c r="A1601" s="2" t="str" cm="1">
        <f t="array" ref="A1601">INDEX('[1]Brand Family Territory (Enc)'!$A$2:$A$296,INT((ROW()-2)/10)+1)</f>
        <v>Delta</v>
      </c>
      <c r="B1601" s="2" t="str" cm="1">
        <f t="array" ref="B1601">INDEX('Whitelist (Blackout Reverse)'!$B$1:$K$1,MOD(ROW()-2,10)+1)</f>
        <v>MORRIS 3</v>
      </c>
      <c r="C1601" s="2" t="str">
        <f>VLOOKUP(A1601,'[1]Brand Family Territory (Enc)'!$A$2:$B$296,2,FALSE)</f>
        <v>All Counties</v>
      </c>
      <c r="D1601" s="2">
        <f>IF(COUNTIFS('[1]Brand Family Territories (Enc)'!$B$2:$B$62,C1601,'[1]Brand Family Territories (Enc)'!$C$2:$C$62,B1601)&gt;0,1,IF(AND(LEFT(B1601,6)="MORRIS",COUNTIFS('[1]Brand Family Territories (Enc)'!$B$2:$B$62,C1601,'[1]Brand Family Territories (Enc)'!$C$2:$C$62,"Morri")&gt;0),"Unk",0))</f>
        <v>1</v>
      </c>
      <c r="E1601" s="2" t="str">
        <f>IFERROR(INDEX('Blackout Brand Fam Areas (Enc)'!$D$6:$D$998,MATCH(UPPER(A1601)&amp;"|"&amp;UPPER(B1601),'Blackout Brand Fam Areas (Enc)'!$G$6:$G$998,0)),"No Match")</f>
        <v>No Match</v>
      </c>
      <c r="F1601" s="2" t="str">
        <f t="shared" si="48"/>
        <v>US</v>
      </c>
      <c r="G1601" s="2" t="str">
        <f t="shared" si="49"/>
        <v>Delta|MORRIS 3</v>
      </c>
    </row>
    <row r="1602" spans="1:7" x14ac:dyDescent="0.2">
      <c r="A1602" s="2" t="str" cm="1">
        <f t="array" ref="A1602">INDEX('[1]Brand Family Territory (Enc)'!$A$2:$A$296,INT((ROW()-2)/10)+1)</f>
        <v>Desquite</v>
      </c>
      <c r="B1602" s="2" t="str" cm="1">
        <f t="array" ref="B1602">INDEX('Whitelist (Blackout Reverse)'!$B$1:$K$1,MOD(ROW()-2,10)+1)</f>
        <v>BERGEN</v>
      </c>
      <c r="C1602" s="2" t="str">
        <f>VLOOKUP(A1602,'[1]Brand Family Territory (Enc)'!$A$2:$B$296,2,FALSE)</f>
        <v>All Counties</v>
      </c>
      <c r="D1602" s="2">
        <f>IF(COUNTIFS('[1]Brand Family Territories (Enc)'!$B$2:$B$62,C1602,'[1]Brand Family Territories (Enc)'!$C$2:$C$62,B1602)&gt;0,1,IF(AND(LEFT(B1602,6)="MORRIS",COUNTIFS('[1]Brand Family Territories (Enc)'!$B$2:$B$62,C1602,'[1]Brand Family Territories (Enc)'!$C$2:$C$62,"Morri")&gt;0),"Unk",0))</f>
        <v>1</v>
      </c>
      <c r="E1602" s="2" t="str">
        <f>IFERROR(INDEX('Blackout Brand Fam Areas (Enc)'!$D$6:$D$998,MATCH(UPPER(A1602)&amp;"|"&amp;UPPER(B1602),'Blackout Brand Fam Areas (Enc)'!$G$6:$G$998,0)),"No Match")</f>
        <v>No Match</v>
      </c>
      <c r="F1602" s="2" t="str">
        <f t="shared" si="48"/>
        <v>US</v>
      </c>
      <c r="G1602" s="2" t="str">
        <f t="shared" si="49"/>
        <v>Desquite|BERGEN</v>
      </c>
    </row>
    <row r="1603" spans="1:7" x14ac:dyDescent="0.2">
      <c r="A1603" s="2" t="str" cm="1">
        <f t="array" ref="A1603">INDEX('[1]Brand Family Territory (Enc)'!$A$2:$A$296,INT((ROW()-2)/10)+1)</f>
        <v>Desquite</v>
      </c>
      <c r="B1603" s="2" t="str" cm="1">
        <f t="array" ref="B1603">INDEX('Whitelist (Blackout Reverse)'!$B$1:$K$1,MOD(ROW()-2,10)+1)</f>
        <v>PASSAIC</v>
      </c>
      <c r="C1603" s="2" t="str">
        <f>VLOOKUP(A1603,'[1]Brand Family Territory (Enc)'!$A$2:$B$296,2,FALSE)</f>
        <v>All Counties</v>
      </c>
      <c r="D1603" s="2">
        <f>IF(COUNTIFS('[1]Brand Family Territories (Enc)'!$B$2:$B$62,C1603,'[1]Brand Family Territories (Enc)'!$C$2:$C$62,B1603)&gt;0,1,IF(AND(LEFT(B1603,6)="MORRIS",COUNTIFS('[1]Brand Family Territories (Enc)'!$B$2:$B$62,C1603,'[1]Brand Family Territories (Enc)'!$C$2:$C$62,"Morri")&gt;0),"Unk",0))</f>
        <v>1</v>
      </c>
      <c r="E1603" s="2" t="str">
        <f>IFERROR(INDEX('Blackout Brand Fam Areas (Enc)'!$D$6:$D$998,MATCH(UPPER(A1603)&amp;"|"&amp;UPPER(B1603),'Blackout Brand Fam Areas (Enc)'!$G$6:$G$998,0)),"No Match")</f>
        <v>No Match</v>
      </c>
      <c r="F1603" s="2" t="str">
        <f t="shared" ref="F1603:F1666" si="50">IF(D1603="Unk","Ambiguous (Source Truncated)",IF(E1603="Inactive","THEM",IF(D1603=1,"US",IF(D1603="N/A","No Territory Data","THEM"))))</f>
        <v>US</v>
      </c>
      <c r="G1603" s="2" t="str">
        <f t="shared" ref="G1603:G1666" si="51">A1603&amp;"|"&amp;B1603</f>
        <v>Desquite|PASSAIC</v>
      </c>
    </row>
    <row r="1604" spans="1:7" x14ac:dyDescent="0.2">
      <c r="A1604" s="2" t="str" cm="1">
        <f t="array" ref="A1604">INDEX('[1]Brand Family Territory (Enc)'!$A$2:$A$296,INT((ROW()-2)/10)+1)</f>
        <v>Desquite</v>
      </c>
      <c r="B1604" s="2" t="str" cm="1">
        <f t="array" ref="B1604">INDEX('Whitelist (Blackout Reverse)'!$B$1:$K$1,MOD(ROW()-2,10)+1)</f>
        <v>PASSAIC-FF</v>
      </c>
      <c r="C1604" s="2" t="str">
        <f>VLOOKUP(A1604,'[1]Brand Family Territory (Enc)'!$A$2:$B$296,2,FALSE)</f>
        <v>All Counties</v>
      </c>
      <c r="D1604" s="2">
        <f>IF(COUNTIFS('[1]Brand Family Territories (Enc)'!$B$2:$B$62,C1604,'[1]Brand Family Territories (Enc)'!$C$2:$C$62,B1604)&gt;0,1,IF(AND(LEFT(B1604,6)="MORRIS",COUNTIFS('[1]Brand Family Territories (Enc)'!$B$2:$B$62,C1604,'[1]Brand Family Territories (Enc)'!$C$2:$C$62,"Morri")&gt;0),"Unk",0))</f>
        <v>1</v>
      </c>
      <c r="E1604" s="2" t="str">
        <f>IFERROR(INDEX('Blackout Brand Fam Areas (Enc)'!$D$6:$D$998,MATCH(UPPER(A1604)&amp;"|"&amp;UPPER(B1604),'Blackout Brand Fam Areas (Enc)'!$G$6:$G$998,0)),"No Match")</f>
        <v>No Match</v>
      </c>
      <c r="F1604" s="2" t="str">
        <f t="shared" si="50"/>
        <v>US</v>
      </c>
      <c r="G1604" s="2" t="str">
        <f t="shared" si="51"/>
        <v>Desquite|PASSAIC-FF</v>
      </c>
    </row>
    <row r="1605" spans="1:7" x14ac:dyDescent="0.2">
      <c r="A1605" s="2" t="str" cm="1">
        <f t="array" ref="A1605">INDEX('[1]Brand Family Territory (Enc)'!$A$2:$A$296,INT((ROW()-2)/10)+1)</f>
        <v>Desquite</v>
      </c>
      <c r="B1605" s="2" t="str" cm="1">
        <f t="array" ref="B1605">INDEX('Whitelist (Blackout Reverse)'!$B$1:$K$1,MOD(ROW()-2,10)+1)</f>
        <v>ESSEX</v>
      </c>
      <c r="C1605" s="2" t="str">
        <f>VLOOKUP(A1605,'[1]Brand Family Territory (Enc)'!$A$2:$B$296,2,FALSE)</f>
        <v>All Counties</v>
      </c>
      <c r="D1605" s="2">
        <f>IF(COUNTIFS('[1]Brand Family Territories (Enc)'!$B$2:$B$62,C1605,'[1]Brand Family Territories (Enc)'!$C$2:$C$62,B1605)&gt;0,1,IF(AND(LEFT(B1605,6)="MORRIS",COUNTIFS('[1]Brand Family Territories (Enc)'!$B$2:$B$62,C1605,'[1]Brand Family Territories (Enc)'!$C$2:$C$62,"Morri")&gt;0),"Unk",0))</f>
        <v>1</v>
      </c>
      <c r="E1605" s="2" t="str">
        <f>IFERROR(INDEX('Blackout Brand Fam Areas (Enc)'!$D$6:$D$998,MATCH(UPPER(A1605)&amp;"|"&amp;UPPER(B1605),'Blackout Brand Fam Areas (Enc)'!$G$6:$G$998,0)),"No Match")</f>
        <v>No Match</v>
      </c>
      <c r="F1605" s="2" t="str">
        <f t="shared" si="50"/>
        <v>US</v>
      </c>
      <c r="G1605" s="2" t="str">
        <f t="shared" si="51"/>
        <v>Desquite|ESSEX</v>
      </c>
    </row>
    <row r="1606" spans="1:7" x14ac:dyDescent="0.2">
      <c r="A1606" s="2" t="str" cm="1">
        <f t="array" ref="A1606">INDEX('[1]Brand Family Territory (Enc)'!$A$2:$A$296,INT((ROW()-2)/10)+1)</f>
        <v>Desquite</v>
      </c>
      <c r="B1606" s="2" t="str" cm="1">
        <f t="array" ref="B1606">INDEX('Whitelist (Blackout Reverse)'!$B$1:$K$1,MOD(ROW()-2,10)+1)</f>
        <v>HUDSON</v>
      </c>
      <c r="C1606" s="2" t="str">
        <f>VLOOKUP(A1606,'[1]Brand Family Territory (Enc)'!$A$2:$B$296,2,FALSE)</f>
        <v>All Counties</v>
      </c>
      <c r="D1606" s="2">
        <f>IF(COUNTIFS('[1]Brand Family Territories (Enc)'!$B$2:$B$62,C1606,'[1]Brand Family Territories (Enc)'!$C$2:$C$62,B1606)&gt;0,1,IF(AND(LEFT(B1606,6)="MORRIS",COUNTIFS('[1]Brand Family Territories (Enc)'!$B$2:$B$62,C1606,'[1]Brand Family Territories (Enc)'!$C$2:$C$62,"Morri")&gt;0),"Unk",0))</f>
        <v>1</v>
      </c>
      <c r="E1606" s="2" t="str">
        <f>IFERROR(INDEX('Blackout Brand Fam Areas (Enc)'!$D$6:$D$998,MATCH(UPPER(A1606)&amp;"|"&amp;UPPER(B1606),'Blackout Brand Fam Areas (Enc)'!$G$6:$G$998,0)),"No Match")</f>
        <v>No Match</v>
      </c>
      <c r="F1606" s="2" t="str">
        <f t="shared" si="50"/>
        <v>US</v>
      </c>
      <c r="G1606" s="2" t="str">
        <f t="shared" si="51"/>
        <v>Desquite|HUDSON</v>
      </c>
    </row>
    <row r="1607" spans="1:7" x14ac:dyDescent="0.2">
      <c r="A1607" s="2" t="str" cm="1">
        <f t="array" ref="A1607">INDEX('[1]Brand Family Territory (Enc)'!$A$2:$A$296,INT((ROW()-2)/10)+1)</f>
        <v>Desquite</v>
      </c>
      <c r="B1607" s="2" t="str" cm="1">
        <f t="array" ref="B1607">INDEX('Whitelist (Blackout Reverse)'!$B$1:$K$1,MOD(ROW()-2,10)+1)</f>
        <v>UNION</v>
      </c>
      <c r="C1607" s="2" t="str">
        <f>VLOOKUP(A1607,'[1]Brand Family Territory (Enc)'!$A$2:$B$296,2,FALSE)</f>
        <v>All Counties</v>
      </c>
      <c r="D1607" s="2">
        <f>IF(COUNTIFS('[1]Brand Family Territories (Enc)'!$B$2:$B$62,C1607,'[1]Brand Family Territories (Enc)'!$C$2:$C$62,B1607)&gt;0,1,IF(AND(LEFT(B1607,6)="MORRIS",COUNTIFS('[1]Brand Family Territories (Enc)'!$B$2:$B$62,C1607,'[1]Brand Family Territories (Enc)'!$C$2:$C$62,"Morri")&gt;0),"Unk",0))</f>
        <v>1</v>
      </c>
      <c r="E1607" s="2" t="str">
        <f>IFERROR(INDEX('Blackout Brand Fam Areas (Enc)'!$D$6:$D$998,MATCH(UPPER(A1607)&amp;"|"&amp;UPPER(B1607),'Blackout Brand Fam Areas (Enc)'!$G$6:$G$998,0)),"No Match")</f>
        <v>No Match</v>
      </c>
      <c r="F1607" s="2" t="str">
        <f t="shared" si="50"/>
        <v>US</v>
      </c>
      <c r="G1607" s="2" t="str">
        <f t="shared" si="51"/>
        <v>Desquite|UNION</v>
      </c>
    </row>
    <row r="1608" spans="1:7" x14ac:dyDescent="0.2">
      <c r="A1608" s="2" t="str" cm="1">
        <f t="array" ref="A1608">INDEX('[1]Brand Family Territory (Enc)'!$A$2:$A$296,INT((ROW()-2)/10)+1)</f>
        <v>Desquite</v>
      </c>
      <c r="B1608" s="2" t="str" cm="1">
        <f t="array" ref="B1608">INDEX('Whitelist (Blackout Reverse)'!$B$1:$K$1,MOD(ROW()-2,10)+1)</f>
        <v>SUSSEX</v>
      </c>
      <c r="C1608" s="2" t="str">
        <f>VLOOKUP(A1608,'[1]Brand Family Territory (Enc)'!$A$2:$B$296,2,FALSE)</f>
        <v>All Counties</v>
      </c>
      <c r="D1608" s="2">
        <f>IF(COUNTIFS('[1]Brand Family Territories (Enc)'!$B$2:$B$62,C1608,'[1]Brand Family Territories (Enc)'!$C$2:$C$62,B1608)&gt;0,1,IF(AND(LEFT(B1608,6)="MORRIS",COUNTIFS('[1]Brand Family Territories (Enc)'!$B$2:$B$62,C1608,'[1]Brand Family Territories (Enc)'!$C$2:$C$62,"Morri")&gt;0),"Unk",0))</f>
        <v>1</v>
      </c>
      <c r="E1608" s="2" t="str">
        <f>IFERROR(INDEX('Blackout Brand Fam Areas (Enc)'!$D$6:$D$998,MATCH(UPPER(A1608)&amp;"|"&amp;UPPER(B1608),'Blackout Brand Fam Areas (Enc)'!$G$6:$G$998,0)),"No Match")</f>
        <v>No Match</v>
      </c>
      <c r="F1608" s="2" t="str">
        <f t="shared" si="50"/>
        <v>US</v>
      </c>
      <c r="G1608" s="2" t="str">
        <f t="shared" si="51"/>
        <v>Desquite|SUSSEX</v>
      </c>
    </row>
    <row r="1609" spans="1:7" x14ac:dyDescent="0.2">
      <c r="A1609" s="2" t="str" cm="1">
        <f t="array" ref="A1609">INDEX('[1]Brand Family Territory (Enc)'!$A$2:$A$296,INT((ROW()-2)/10)+1)</f>
        <v>Desquite</v>
      </c>
      <c r="B1609" s="2" t="str" cm="1">
        <f t="array" ref="B1609">INDEX('Whitelist (Blackout Reverse)'!$B$1:$K$1,MOD(ROW()-2,10)+1)</f>
        <v>MORRIS 1</v>
      </c>
      <c r="C1609" s="2" t="str">
        <f>VLOOKUP(A1609,'[1]Brand Family Territory (Enc)'!$A$2:$B$296,2,FALSE)</f>
        <v>All Counties</v>
      </c>
      <c r="D1609" s="2">
        <f>IF(COUNTIFS('[1]Brand Family Territories (Enc)'!$B$2:$B$62,C1609,'[1]Brand Family Territories (Enc)'!$C$2:$C$62,B1609)&gt;0,1,IF(AND(LEFT(B1609,6)="MORRIS",COUNTIFS('[1]Brand Family Territories (Enc)'!$B$2:$B$62,C1609,'[1]Brand Family Territories (Enc)'!$C$2:$C$62,"Morri")&gt;0),"Unk",0))</f>
        <v>1</v>
      </c>
      <c r="E1609" s="2" t="str">
        <f>IFERROR(INDEX('Blackout Brand Fam Areas (Enc)'!$D$6:$D$998,MATCH(UPPER(A1609)&amp;"|"&amp;UPPER(B1609),'Blackout Brand Fam Areas (Enc)'!$G$6:$G$998,0)),"No Match")</f>
        <v>No Match</v>
      </c>
      <c r="F1609" s="2" t="str">
        <f t="shared" si="50"/>
        <v>US</v>
      </c>
      <c r="G1609" s="2" t="str">
        <f t="shared" si="51"/>
        <v>Desquite|MORRIS 1</v>
      </c>
    </row>
    <row r="1610" spans="1:7" x14ac:dyDescent="0.2">
      <c r="A1610" s="2" t="str" cm="1">
        <f t="array" ref="A1610">INDEX('[1]Brand Family Territory (Enc)'!$A$2:$A$296,INT((ROW()-2)/10)+1)</f>
        <v>Desquite</v>
      </c>
      <c r="B1610" s="2" t="str" cm="1">
        <f t="array" ref="B1610">INDEX('Whitelist (Blackout Reverse)'!$B$1:$K$1,MOD(ROW()-2,10)+1)</f>
        <v>MORRIS 2</v>
      </c>
      <c r="C1610" s="2" t="str">
        <f>VLOOKUP(A1610,'[1]Brand Family Territory (Enc)'!$A$2:$B$296,2,FALSE)</f>
        <v>All Counties</v>
      </c>
      <c r="D1610" s="2">
        <f>IF(COUNTIFS('[1]Brand Family Territories (Enc)'!$B$2:$B$62,C1610,'[1]Brand Family Territories (Enc)'!$C$2:$C$62,B1610)&gt;0,1,IF(AND(LEFT(B1610,6)="MORRIS",COUNTIFS('[1]Brand Family Territories (Enc)'!$B$2:$B$62,C1610,'[1]Brand Family Territories (Enc)'!$C$2:$C$62,"Morri")&gt;0),"Unk",0))</f>
        <v>1</v>
      </c>
      <c r="E1610" s="2" t="str">
        <f>IFERROR(INDEX('Blackout Brand Fam Areas (Enc)'!$D$6:$D$998,MATCH(UPPER(A1610)&amp;"|"&amp;UPPER(B1610),'Blackout Brand Fam Areas (Enc)'!$G$6:$G$998,0)),"No Match")</f>
        <v>No Match</v>
      </c>
      <c r="F1610" s="2" t="str">
        <f t="shared" si="50"/>
        <v>US</v>
      </c>
      <c r="G1610" s="2" t="str">
        <f t="shared" si="51"/>
        <v>Desquite|MORRIS 2</v>
      </c>
    </row>
    <row r="1611" spans="1:7" x14ac:dyDescent="0.2">
      <c r="A1611" s="2" t="str" cm="1">
        <f t="array" ref="A1611">INDEX('[1]Brand Family Territory (Enc)'!$A$2:$A$296,INT((ROW()-2)/10)+1)</f>
        <v>Desquite</v>
      </c>
      <c r="B1611" s="2" t="str" cm="1">
        <f t="array" ref="B1611">INDEX('Whitelist (Blackout Reverse)'!$B$1:$K$1,MOD(ROW()-2,10)+1)</f>
        <v>MORRIS 3</v>
      </c>
      <c r="C1611" s="2" t="str">
        <f>VLOOKUP(A1611,'[1]Brand Family Territory (Enc)'!$A$2:$B$296,2,FALSE)</f>
        <v>All Counties</v>
      </c>
      <c r="D1611" s="2">
        <f>IF(COUNTIFS('[1]Brand Family Territories (Enc)'!$B$2:$B$62,C1611,'[1]Brand Family Territories (Enc)'!$C$2:$C$62,B1611)&gt;0,1,IF(AND(LEFT(B1611,6)="MORRIS",COUNTIFS('[1]Brand Family Territories (Enc)'!$B$2:$B$62,C1611,'[1]Brand Family Territories (Enc)'!$C$2:$C$62,"Morri")&gt;0),"Unk",0))</f>
        <v>1</v>
      </c>
      <c r="E1611" s="2" t="str">
        <f>IFERROR(INDEX('Blackout Brand Fam Areas (Enc)'!$D$6:$D$998,MATCH(UPPER(A1611)&amp;"|"&amp;UPPER(B1611),'Blackout Brand Fam Areas (Enc)'!$G$6:$G$998,0)),"No Match")</f>
        <v>No Match</v>
      </c>
      <c r="F1611" s="2" t="str">
        <f t="shared" si="50"/>
        <v>US</v>
      </c>
      <c r="G1611" s="2" t="str">
        <f t="shared" si="51"/>
        <v>Desquite|MORRIS 3</v>
      </c>
    </row>
    <row r="1612" spans="1:7" x14ac:dyDescent="0.2">
      <c r="A1612" s="2" t="str" cm="1">
        <f t="array" ref="A1612">INDEX('[1]Brand Family Territory (Enc)'!$A$2:$A$296,INT((ROW()-2)/10)+1)</f>
        <v>Dewey Crush</v>
      </c>
      <c r="B1612" s="2" t="str" cm="1">
        <f t="array" ref="B1612">INDEX('Whitelist (Blackout Reverse)'!$B$1:$K$1,MOD(ROW()-2,10)+1)</f>
        <v>BERGEN</v>
      </c>
      <c r="C1612" s="2" t="str">
        <f>VLOOKUP(A1612,'[1]Brand Family Territory (Enc)'!$A$2:$B$296,2,FALSE)</f>
        <v>All Counties</v>
      </c>
      <c r="D1612" s="2">
        <f>IF(COUNTIFS('[1]Brand Family Territories (Enc)'!$B$2:$B$62,C1612,'[1]Brand Family Territories (Enc)'!$C$2:$C$62,B1612)&gt;0,1,IF(AND(LEFT(B1612,6)="MORRIS",COUNTIFS('[1]Brand Family Territories (Enc)'!$B$2:$B$62,C1612,'[1]Brand Family Territories (Enc)'!$C$2:$C$62,"Morri")&gt;0),"Unk",0))</f>
        <v>1</v>
      </c>
      <c r="E1612" s="2" t="str">
        <f>IFERROR(INDEX('Blackout Brand Fam Areas (Enc)'!$D$6:$D$998,MATCH(UPPER(A1612)&amp;"|"&amp;UPPER(B1612),'Blackout Brand Fam Areas (Enc)'!$G$6:$G$998,0)),"No Match")</f>
        <v>No Match</v>
      </c>
      <c r="F1612" s="2" t="str">
        <f t="shared" si="50"/>
        <v>US</v>
      </c>
      <c r="G1612" s="2" t="str">
        <f t="shared" si="51"/>
        <v>Dewey Crush|BERGEN</v>
      </c>
    </row>
    <row r="1613" spans="1:7" x14ac:dyDescent="0.2">
      <c r="A1613" s="2" t="str" cm="1">
        <f t="array" ref="A1613">INDEX('[1]Brand Family Territory (Enc)'!$A$2:$A$296,INT((ROW()-2)/10)+1)</f>
        <v>Dewey Crush</v>
      </c>
      <c r="B1613" s="2" t="str" cm="1">
        <f t="array" ref="B1613">INDEX('Whitelist (Blackout Reverse)'!$B$1:$K$1,MOD(ROW()-2,10)+1)</f>
        <v>PASSAIC</v>
      </c>
      <c r="C1613" s="2" t="str">
        <f>VLOOKUP(A1613,'[1]Brand Family Territory (Enc)'!$A$2:$B$296,2,FALSE)</f>
        <v>All Counties</v>
      </c>
      <c r="D1613" s="2">
        <f>IF(COUNTIFS('[1]Brand Family Territories (Enc)'!$B$2:$B$62,C1613,'[1]Brand Family Territories (Enc)'!$C$2:$C$62,B1613)&gt;0,1,IF(AND(LEFT(B1613,6)="MORRIS",COUNTIFS('[1]Brand Family Territories (Enc)'!$B$2:$B$62,C1613,'[1]Brand Family Territories (Enc)'!$C$2:$C$62,"Morri")&gt;0),"Unk",0))</f>
        <v>1</v>
      </c>
      <c r="E1613" s="2" t="str">
        <f>IFERROR(INDEX('Blackout Brand Fam Areas (Enc)'!$D$6:$D$998,MATCH(UPPER(A1613)&amp;"|"&amp;UPPER(B1613),'Blackout Brand Fam Areas (Enc)'!$G$6:$G$998,0)),"No Match")</f>
        <v>No Match</v>
      </c>
      <c r="F1613" s="2" t="str">
        <f t="shared" si="50"/>
        <v>US</v>
      </c>
      <c r="G1613" s="2" t="str">
        <f t="shared" si="51"/>
        <v>Dewey Crush|PASSAIC</v>
      </c>
    </row>
    <row r="1614" spans="1:7" x14ac:dyDescent="0.2">
      <c r="A1614" s="2" t="str" cm="1">
        <f t="array" ref="A1614">INDEX('[1]Brand Family Territory (Enc)'!$A$2:$A$296,INT((ROW()-2)/10)+1)</f>
        <v>Dewey Crush</v>
      </c>
      <c r="B1614" s="2" t="str" cm="1">
        <f t="array" ref="B1614">INDEX('Whitelist (Blackout Reverse)'!$B$1:$K$1,MOD(ROW()-2,10)+1)</f>
        <v>PASSAIC-FF</v>
      </c>
      <c r="C1614" s="2" t="str">
        <f>VLOOKUP(A1614,'[1]Brand Family Territory (Enc)'!$A$2:$B$296,2,FALSE)</f>
        <v>All Counties</v>
      </c>
      <c r="D1614" s="2">
        <f>IF(COUNTIFS('[1]Brand Family Territories (Enc)'!$B$2:$B$62,C1614,'[1]Brand Family Territories (Enc)'!$C$2:$C$62,B1614)&gt;0,1,IF(AND(LEFT(B1614,6)="MORRIS",COUNTIFS('[1]Brand Family Territories (Enc)'!$B$2:$B$62,C1614,'[1]Brand Family Territories (Enc)'!$C$2:$C$62,"Morri")&gt;0),"Unk",0))</f>
        <v>1</v>
      </c>
      <c r="E1614" s="2" t="str">
        <f>IFERROR(INDEX('Blackout Brand Fam Areas (Enc)'!$D$6:$D$998,MATCH(UPPER(A1614)&amp;"|"&amp;UPPER(B1614),'Blackout Brand Fam Areas (Enc)'!$G$6:$G$998,0)),"No Match")</f>
        <v>No Match</v>
      </c>
      <c r="F1614" s="2" t="str">
        <f t="shared" si="50"/>
        <v>US</v>
      </c>
      <c r="G1614" s="2" t="str">
        <f t="shared" si="51"/>
        <v>Dewey Crush|PASSAIC-FF</v>
      </c>
    </row>
    <row r="1615" spans="1:7" x14ac:dyDescent="0.2">
      <c r="A1615" s="2" t="str" cm="1">
        <f t="array" ref="A1615">INDEX('[1]Brand Family Territory (Enc)'!$A$2:$A$296,INT((ROW()-2)/10)+1)</f>
        <v>Dewey Crush</v>
      </c>
      <c r="B1615" s="2" t="str" cm="1">
        <f t="array" ref="B1615">INDEX('Whitelist (Blackout Reverse)'!$B$1:$K$1,MOD(ROW()-2,10)+1)</f>
        <v>ESSEX</v>
      </c>
      <c r="C1615" s="2" t="str">
        <f>VLOOKUP(A1615,'[1]Brand Family Territory (Enc)'!$A$2:$B$296,2,FALSE)</f>
        <v>All Counties</v>
      </c>
      <c r="D1615" s="2">
        <f>IF(COUNTIFS('[1]Brand Family Territories (Enc)'!$B$2:$B$62,C1615,'[1]Brand Family Territories (Enc)'!$C$2:$C$62,B1615)&gt;0,1,IF(AND(LEFT(B1615,6)="MORRIS",COUNTIFS('[1]Brand Family Territories (Enc)'!$B$2:$B$62,C1615,'[1]Brand Family Territories (Enc)'!$C$2:$C$62,"Morri")&gt;0),"Unk",0))</f>
        <v>1</v>
      </c>
      <c r="E1615" s="2" t="str">
        <f>IFERROR(INDEX('Blackout Brand Fam Areas (Enc)'!$D$6:$D$998,MATCH(UPPER(A1615)&amp;"|"&amp;UPPER(B1615),'Blackout Brand Fam Areas (Enc)'!$G$6:$G$998,0)),"No Match")</f>
        <v>No Match</v>
      </c>
      <c r="F1615" s="2" t="str">
        <f t="shared" si="50"/>
        <v>US</v>
      </c>
      <c r="G1615" s="2" t="str">
        <f t="shared" si="51"/>
        <v>Dewey Crush|ESSEX</v>
      </c>
    </row>
    <row r="1616" spans="1:7" x14ac:dyDescent="0.2">
      <c r="A1616" s="2" t="str" cm="1">
        <f t="array" ref="A1616">INDEX('[1]Brand Family Territory (Enc)'!$A$2:$A$296,INT((ROW()-2)/10)+1)</f>
        <v>Dewey Crush</v>
      </c>
      <c r="B1616" s="2" t="str" cm="1">
        <f t="array" ref="B1616">INDEX('Whitelist (Blackout Reverse)'!$B$1:$K$1,MOD(ROW()-2,10)+1)</f>
        <v>HUDSON</v>
      </c>
      <c r="C1616" s="2" t="str">
        <f>VLOOKUP(A1616,'[1]Brand Family Territory (Enc)'!$A$2:$B$296,2,FALSE)</f>
        <v>All Counties</v>
      </c>
      <c r="D1616" s="2">
        <f>IF(COUNTIFS('[1]Brand Family Territories (Enc)'!$B$2:$B$62,C1616,'[1]Brand Family Territories (Enc)'!$C$2:$C$62,B1616)&gt;0,1,IF(AND(LEFT(B1616,6)="MORRIS",COUNTIFS('[1]Brand Family Territories (Enc)'!$B$2:$B$62,C1616,'[1]Brand Family Territories (Enc)'!$C$2:$C$62,"Morri")&gt;0),"Unk",0))</f>
        <v>1</v>
      </c>
      <c r="E1616" s="2" t="str">
        <f>IFERROR(INDEX('Blackout Brand Fam Areas (Enc)'!$D$6:$D$998,MATCH(UPPER(A1616)&amp;"|"&amp;UPPER(B1616),'Blackout Brand Fam Areas (Enc)'!$G$6:$G$998,0)),"No Match")</f>
        <v>No Match</v>
      </c>
      <c r="F1616" s="2" t="str">
        <f t="shared" si="50"/>
        <v>US</v>
      </c>
      <c r="G1616" s="2" t="str">
        <f t="shared" si="51"/>
        <v>Dewey Crush|HUDSON</v>
      </c>
    </row>
    <row r="1617" spans="1:7" x14ac:dyDescent="0.2">
      <c r="A1617" s="2" t="str" cm="1">
        <f t="array" ref="A1617">INDEX('[1]Brand Family Territory (Enc)'!$A$2:$A$296,INT((ROW()-2)/10)+1)</f>
        <v>Dewey Crush</v>
      </c>
      <c r="B1617" s="2" t="str" cm="1">
        <f t="array" ref="B1617">INDEX('Whitelist (Blackout Reverse)'!$B$1:$K$1,MOD(ROW()-2,10)+1)</f>
        <v>UNION</v>
      </c>
      <c r="C1617" s="2" t="str">
        <f>VLOOKUP(A1617,'[1]Brand Family Territory (Enc)'!$A$2:$B$296,2,FALSE)</f>
        <v>All Counties</v>
      </c>
      <c r="D1617" s="2">
        <f>IF(COUNTIFS('[1]Brand Family Territories (Enc)'!$B$2:$B$62,C1617,'[1]Brand Family Territories (Enc)'!$C$2:$C$62,B1617)&gt;0,1,IF(AND(LEFT(B1617,6)="MORRIS",COUNTIFS('[1]Brand Family Territories (Enc)'!$B$2:$B$62,C1617,'[1]Brand Family Territories (Enc)'!$C$2:$C$62,"Morri")&gt;0),"Unk",0))</f>
        <v>1</v>
      </c>
      <c r="E1617" s="2" t="str">
        <f>IFERROR(INDEX('Blackout Brand Fam Areas (Enc)'!$D$6:$D$998,MATCH(UPPER(A1617)&amp;"|"&amp;UPPER(B1617),'Blackout Brand Fam Areas (Enc)'!$G$6:$G$998,0)),"No Match")</f>
        <v>No Match</v>
      </c>
      <c r="F1617" s="2" t="str">
        <f t="shared" si="50"/>
        <v>US</v>
      </c>
      <c r="G1617" s="2" t="str">
        <f t="shared" si="51"/>
        <v>Dewey Crush|UNION</v>
      </c>
    </row>
    <row r="1618" spans="1:7" x14ac:dyDescent="0.2">
      <c r="A1618" s="2" t="str" cm="1">
        <f t="array" ref="A1618">INDEX('[1]Brand Family Territory (Enc)'!$A$2:$A$296,INT((ROW()-2)/10)+1)</f>
        <v>Dewey Crush</v>
      </c>
      <c r="B1618" s="2" t="str" cm="1">
        <f t="array" ref="B1618">INDEX('Whitelist (Blackout Reverse)'!$B$1:$K$1,MOD(ROW()-2,10)+1)</f>
        <v>SUSSEX</v>
      </c>
      <c r="C1618" s="2" t="str">
        <f>VLOOKUP(A1618,'[1]Brand Family Territory (Enc)'!$A$2:$B$296,2,FALSE)</f>
        <v>All Counties</v>
      </c>
      <c r="D1618" s="2">
        <f>IF(COUNTIFS('[1]Brand Family Territories (Enc)'!$B$2:$B$62,C1618,'[1]Brand Family Territories (Enc)'!$C$2:$C$62,B1618)&gt;0,1,IF(AND(LEFT(B1618,6)="MORRIS",COUNTIFS('[1]Brand Family Territories (Enc)'!$B$2:$B$62,C1618,'[1]Brand Family Territories (Enc)'!$C$2:$C$62,"Morri")&gt;0),"Unk",0))</f>
        <v>1</v>
      </c>
      <c r="E1618" s="2" t="str">
        <f>IFERROR(INDEX('Blackout Brand Fam Areas (Enc)'!$D$6:$D$998,MATCH(UPPER(A1618)&amp;"|"&amp;UPPER(B1618),'Blackout Brand Fam Areas (Enc)'!$G$6:$G$998,0)),"No Match")</f>
        <v>No Match</v>
      </c>
      <c r="F1618" s="2" t="str">
        <f t="shared" si="50"/>
        <v>US</v>
      </c>
      <c r="G1618" s="2" t="str">
        <f t="shared" si="51"/>
        <v>Dewey Crush|SUSSEX</v>
      </c>
    </row>
    <row r="1619" spans="1:7" x14ac:dyDescent="0.2">
      <c r="A1619" s="2" t="str" cm="1">
        <f t="array" ref="A1619">INDEX('[1]Brand Family Territory (Enc)'!$A$2:$A$296,INT((ROW()-2)/10)+1)</f>
        <v>Dewey Crush</v>
      </c>
      <c r="B1619" s="2" t="str" cm="1">
        <f t="array" ref="B1619">INDEX('Whitelist (Blackout Reverse)'!$B$1:$K$1,MOD(ROW()-2,10)+1)</f>
        <v>MORRIS 1</v>
      </c>
      <c r="C1619" s="2" t="str">
        <f>VLOOKUP(A1619,'[1]Brand Family Territory (Enc)'!$A$2:$B$296,2,FALSE)</f>
        <v>All Counties</v>
      </c>
      <c r="D1619" s="2">
        <f>IF(COUNTIFS('[1]Brand Family Territories (Enc)'!$B$2:$B$62,C1619,'[1]Brand Family Territories (Enc)'!$C$2:$C$62,B1619)&gt;0,1,IF(AND(LEFT(B1619,6)="MORRIS",COUNTIFS('[1]Brand Family Territories (Enc)'!$B$2:$B$62,C1619,'[1]Brand Family Territories (Enc)'!$C$2:$C$62,"Morri")&gt;0),"Unk",0))</f>
        <v>1</v>
      </c>
      <c r="E1619" s="2" t="str">
        <f>IFERROR(INDEX('Blackout Brand Fam Areas (Enc)'!$D$6:$D$998,MATCH(UPPER(A1619)&amp;"|"&amp;UPPER(B1619),'Blackout Brand Fam Areas (Enc)'!$G$6:$G$998,0)),"No Match")</f>
        <v>No Match</v>
      </c>
      <c r="F1619" s="2" t="str">
        <f t="shared" si="50"/>
        <v>US</v>
      </c>
      <c r="G1619" s="2" t="str">
        <f t="shared" si="51"/>
        <v>Dewey Crush|MORRIS 1</v>
      </c>
    </row>
    <row r="1620" spans="1:7" x14ac:dyDescent="0.2">
      <c r="A1620" s="2" t="str" cm="1">
        <f t="array" ref="A1620">INDEX('[1]Brand Family Territory (Enc)'!$A$2:$A$296,INT((ROW()-2)/10)+1)</f>
        <v>Dewey Crush</v>
      </c>
      <c r="B1620" s="2" t="str" cm="1">
        <f t="array" ref="B1620">INDEX('Whitelist (Blackout Reverse)'!$B$1:$K$1,MOD(ROW()-2,10)+1)</f>
        <v>MORRIS 2</v>
      </c>
      <c r="C1620" s="2" t="str">
        <f>VLOOKUP(A1620,'[1]Brand Family Territory (Enc)'!$A$2:$B$296,2,FALSE)</f>
        <v>All Counties</v>
      </c>
      <c r="D1620" s="2">
        <f>IF(COUNTIFS('[1]Brand Family Territories (Enc)'!$B$2:$B$62,C1620,'[1]Brand Family Territories (Enc)'!$C$2:$C$62,B1620)&gt;0,1,IF(AND(LEFT(B1620,6)="MORRIS",COUNTIFS('[1]Brand Family Territories (Enc)'!$B$2:$B$62,C1620,'[1]Brand Family Territories (Enc)'!$C$2:$C$62,"Morri")&gt;0),"Unk",0))</f>
        <v>1</v>
      </c>
      <c r="E1620" s="2" t="str">
        <f>IFERROR(INDEX('Blackout Brand Fam Areas (Enc)'!$D$6:$D$998,MATCH(UPPER(A1620)&amp;"|"&amp;UPPER(B1620),'Blackout Brand Fam Areas (Enc)'!$G$6:$G$998,0)),"No Match")</f>
        <v>No Match</v>
      </c>
      <c r="F1620" s="2" t="str">
        <f t="shared" si="50"/>
        <v>US</v>
      </c>
      <c r="G1620" s="2" t="str">
        <f t="shared" si="51"/>
        <v>Dewey Crush|MORRIS 2</v>
      </c>
    </row>
    <row r="1621" spans="1:7" x14ac:dyDescent="0.2">
      <c r="A1621" s="2" t="str" cm="1">
        <f t="array" ref="A1621">INDEX('[1]Brand Family Territory (Enc)'!$A$2:$A$296,INT((ROW()-2)/10)+1)</f>
        <v>Dewey Crush</v>
      </c>
      <c r="B1621" s="2" t="str" cm="1">
        <f t="array" ref="B1621">INDEX('Whitelist (Blackout Reverse)'!$B$1:$K$1,MOD(ROW()-2,10)+1)</f>
        <v>MORRIS 3</v>
      </c>
      <c r="C1621" s="2" t="str">
        <f>VLOOKUP(A1621,'[1]Brand Family Territory (Enc)'!$A$2:$B$296,2,FALSE)</f>
        <v>All Counties</v>
      </c>
      <c r="D1621" s="2">
        <f>IF(COUNTIFS('[1]Brand Family Territories (Enc)'!$B$2:$B$62,C1621,'[1]Brand Family Territories (Enc)'!$C$2:$C$62,B1621)&gt;0,1,IF(AND(LEFT(B1621,6)="MORRIS",COUNTIFS('[1]Brand Family Territories (Enc)'!$B$2:$B$62,C1621,'[1]Brand Family Territories (Enc)'!$C$2:$C$62,"Morri")&gt;0),"Unk",0))</f>
        <v>1</v>
      </c>
      <c r="E1621" s="2" t="str">
        <f>IFERROR(INDEX('Blackout Brand Fam Areas (Enc)'!$D$6:$D$998,MATCH(UPPER(A1621)&amp;"|"&amp;UPPER(B1621),'Blackout Brand Fam Areas (Enc)'!$G$6:$G$998,0)),"No Match")</f>
        <v>No Match</v>
      </c>
      <c r="F1621" s="2" t="str">
        <f t="shared" si="50"/>
        <v>US</v>
      </c>
      <c r="G1621" s="2" t="str">
        <f t="shared" si="51"/>
        <v>Dewey Crush|MORRIS 3</v>
      </c>
    </row>
    <row r="1622" spans="1:7" x14ac:dyDescent="0.2">
      <c r="A1622" s="2" t="str" cm="1">
        <f t="array" ref="A1622">INDEX('[1]Brand Family Territory (Enc)'!$A$2:$A$296,INT((ROW()-2)/10)+1)</f>
        <v>Doc's</v>
      </c>
      <c r="B1622" s="2" t="str" cm="1">
        <f t="array" ref="B1622">INDEX('Whitelist (Blackout Reverse)'!$B$1:$K$1,MOD(ROW()-2,10)+1)</f>
        <v>BERGEN</v>
      </c>
      <c r="C1622" s="2" t="str">
        <f>VLOOKUP(A1622,'[1]Brand Family Territory (Enc)'!$A$2:$B$296,2,FALSE)</f>
        <v>All Counties</v>
      </c>
      <c r="D1622" s="2">
        <f>IF(COUNTIFS('[1]Brand Family Territories (Enc)'!$B$2:$B$62,C1622,'[1]Brand Family Territories (Enc)'!$C$2:$C$62,B1622)&gt;0,1,IF(AND(LEFT(B1622,6)="MORRIS",COUNTIFS('[1]Brand Family Territories (Enc)'!$B$2:$B$62,C1622,'[1]Brand Family Territories (Enc)'!$C$2:$C$62,"Morri")&gt;0),"Unk",0))</f>
        <v>1</v>
      </c>
      <c r="E1622" s="2" t="str">
        <f>IFERROR(INDEX('Blackout Brand Fam Areas (Enc)'!$D$6:$D$998,MATCH(UPPER(A1622)&amp;"|"&amp;UPPER(B1622),'Blackout Brand Fam Areas (Enc)'!$G$6:$G$998,0)),"No Match")</f>
        <v>No Match</v>
      </c>
      <c r="F1622" s="2" t="str">
        <f t="shared" si="50"/>
        <v>US</v>
      </c>
      <c r="G1622" s="2" t="str">
        <f t="shared" si="51"/>
        <v>Doc's|BERGEN</v>
      </c>
    </row>
    <row r="1623" spans="1:7" x14ac:dyDescent="0.2">
      <c r="A1623" s="2" t="str" cm="1">
        <f t="array" ref="A1623">INDEX('[1]Brand Family Territory (Enc)'!$A$2:$A$296,INT((ROW()-2)/10)+1)</f>
        <v>Doc's</v>
      </c>
      <c r="B1623" s="2" t="str" cm="1">
        <f t="array" ref="B1623">INDEX('Whitelist (Blackout Reverse)'!$B$1:$K$1,MOD(ROW()-2,10)+1)</f>
        <v>PASSAIC</v>
      </c>
      <c r="C1623" s="2" t="str">
        <f>VLOOKUP(A1623,'[1]Brand Family Territory (Enc)'!$A$2:$B$296,2,FALSE)</f>
        <v>All Counties</v>
      </c>
      <c r="D1623" s="2">
        <f>IF(COUNTIFS('[1]Brand Family Territories (Enc)'!$B$2:$B$62,C1623,'[1]Brand Family Territories (Enc)'!$C$2:$C$62,B1623)&gt;0,1,IF(AND(LEFT(B1623,6)="MORRIS",COUNTIFS('[1]Brand Family Territories (Enc)'!$B$2:$B$62,C1623,'[1]Brand Family Territories (Enc)'!$C$2:$C$62,"Morri")&gt;0),"Unk",0))</f>
        <v>1</v>
      </c>
      <c r="E1623" s="2" t="str">
        <f>IFERROR(INDEX('Blackout Brand Fam Areas (Enc)'!$D$6:$D$998,MATCH(UPPER(A1623)&amp;"|"&amp;UPPER(B1623),'Blackout Brand Fam Areas (Enc)'!$G$6:$G$998,0)),"No Match")</f>
        <v>No Match</v>
      </c>
      <c r="F1623" s="2" t="str">
        <f t="shared" si="50"/>
        <v>US</v>
      </c>
      <c r="G1623" s="2" t="str">
        <f t="shared" si="51"/>
        <v>Doc's|PASSAIC</v>
      </c>
    </row>
    <row r="1624" spans="1:7" x14ac:dyDescent="0.2">
      <c r="A1624" s="2" t="str" cm="1">
        <f t="array" ref="A1624">INDEX('[1]Brand Family Territory (Enc)'!$A$2:$A$296,INT((ROW()-2)/10)+1)</f>
        <v>Doc's</v>
      </c>
      <c r="B1624" s="2" t="str" cm="1">
        <f t="array" ref="B1624">INDEX('Whitelist (Blackout Reverse)'!$B$1:$K$1,MOD(ROW()-2,10)+1)</f>
        <v>PASSAIC-FF</v>
      </c>
      <c r="C1624" s="2" t="str">
        <f>VLOOKUP(A1624,'[1]Brand Family Territory (Enc)'!$A$2:$B$296,2,FALSE)</f>
        <v>All Counties</v>
      </c>
      <c r="D1624" s="2">
        <f>IF(COUNTIFS('[1]Brand Family Territories (Enc)'!$B$2:$B$62,C1624,'[1]Brand Family Territories (Enc)'!$C$2:$C$62,B1624)&gt;0,1,IF(AND(LEFT(B1624,6)="MORRIS",COUNTIFS('[1]Brand Family Territories (Enc)'!$B$2:$B$62,C1624,'[1]Brand Family Territories (Enc)'!$C$2:$C$62,"Morri")&gt;0),"Unk",0))</f>
        <v>1</v>
      </c>
      <c r="E1624" s="2" t="str">
        <f>IFERROR(INDEX('Blackout Brand Fam Areas (Enc)'!$D$6:$D$998,MATCH(UPPER(A1624)&amp;"|"&amp;UPPER(B1624),'Blackout Brand Fam Areas (Enc)'!$G$6:$G$998,0)),"No Match")</f>
        <v>No Match</v>
      </c>
      <c r="F1624" s="2" t="str">
        <f t="shared" si="50"/>
        <v>US</v>
      </c>
      <c r="G1624" s="2" t="str">
        <f t="shared" si="51"/>
        <v>Doc's|PASSAIC-FF</v>
      </c>
    </row>
    <row r="1625" spans="1:7" x14ac:dyDescent="0.2">
      <c r="A1625" s="2" t="str" cm="1">
        <f t="array" ref="A1625">INDEX('[1]Brand Family Territory (Enc)'!$A$2:$A$296,INT((ROW()-2)/10)+1)</f>
        <v>Doc's</v>
      </c>
      <c r="B1625" s="2" t="str" cm="1">
        <f t="array" ref="B1625">INDEX('Whitelist (Blackout Reverse)'!$B$1:$K$1,MOD(ROW()-2,10)+1)</f>
        <v>ESSEX</v>
      </c>
      <c r="C1625" s="2" t="str">
        <f>VLOOKUP(A1625,'[1]Brand Family Territory (Enc)'!$A$2:$B$296,2,FALSE)</f>
        <v>All Counties</v>
      </c>
      <c r="D1625" s="2">
        <f>IF(COUNTIFS('[1]Brand Family Territories (Enc)'!$B$2:$B$62,C1625,'[1]Brand Family Territories (Enc)'!$C$2:$C$62,B1625)&gt;0,1,IF(AND(LEFT(B1625,6)="MORRIS",COUNTIFS('[1]Brand Family Territories (Enc)'!$B$2:$B$62,C1625,'[1]Brand Family Territories (Enc)'!$C$2:$C$62,"Morri")&gt;0),"Unk",0))</f>
        <v>1</v>
      </c>
      <c r="E1625" s="2" t="str">
        <f>IFERROR(INDEX('Blackout Brand Fam Areas (Enc)'!$D$6:$D$998,MATCH(UPPER(A1625)&amp;"|"&amp;UPPER(B1625),'Blackout Brand Fam Areas (Enc)'!$G$6:$G$998,0)),"No Match")</f>
        <v>No Match</v>
      </c>
      <c r="F1625" s="2" t="str">
        <f t="shared" si="50"/>
        <v>US</v>
      </c>
      <c r="G1625" s="2" t="str">
        <f t="shared" si="51"/>
        <v>Doc's|ESSEX</v>
      </c>
    </row>
    <row r="1626" spans="1:7" x14ac:dyDescent="0.2">
      <c r="A1626" s="2" t="str" cm="1">
        <f t="array" ref="A1626">INDEX('[1]Brand Family Territory (Enc)'!$A$2:$A$296,INT((ROW()-2)/10)+1)</f>
        <v>Doc's</v>
      </c>
      <c r="B1626" s="2" t="str" cm="1">
        <f t="array" ref="B1626">INDEX('Whitelist (Blackout Reverse)'!$B$1:$K$1,MOD(ROW()-2,10)+1)</f>
        <v>HUDSON</v>
      </c>
      <c r="C1626" s="2" t="str">
        <f>VLOOKUP(A1626,'[1]Brand Family Territory (Enc)'!$A$2:$B$296,2,FALSE)</f>
        <v>All Counties</v>
      </c>
      <c r="D1626" s="2">
        <f>IF(COUNTIFS('[1]Brand Family Territories (Enc)'!$B$2:$B$62,C1626,'[1]Brand Family Territories (Enc)'!$C$2:$C$62,B1626)&gt;0,1,IF(AND(LEFT(B1626,6)="MORRIS",COUNTIFS('[1]Brand Family Territories (Enc)'!$B$2:$B$62,C1626,'[1]Brand Family Territories (Enc)'!$C$2:$C$62,"Morri")&gt;0),"Unk",0))</f>
        <v>1</v>
      </c>
      <c r="E1626" s="2" t="str">
        <f>IFERROR(INDEX('Blackout Brand Fam Areas (Enc)'!$D$6:$D$998,MATCH(UPPER(A1626)&amp;"|"&amp;UPPER(B1626),'Blackout Brand Fam Areas (Enc)'!$G$6:$G$998,0)),"No Match")</f>
        <v>No Match</v>
      </c>
      <c r="F1626" s="2" t="str">
        <f t="shared" si="50"/>
        <v>US</v>
      </c>
      <c r="G1626" s="2" t="str">
        <f t="shared" si="51"/>
        <v>Doc's|HUDSON</v>
      </c>
    </row>
    <row r="1627" spans="1:7" x14ac:dyDescent="0.2">
      <c r="A1627" s="2" t="str" cm="1">
        <f t="array" ref="A1627">INDEX('[1]Brand Family Territory (Enc)'!$A$2:$A$296,INT((ROW()-2)/10)+1)</f>
        <v>Doc's</v>
      </c>
      <c r="B1627" s="2" t="str" cm="1">
        <f t="array" ref="B1627">INDEX('Whitelist (Blackout Reverse)'!$B$1:$K$1,MOD(ROW()-2,10)+1)</f>
        <v>UNION</v>
      </c>
      <c r="C1627" s="2" t="str">
        <f>VLOOKUP(A1627,'[1]Brand Family Territory (Enc)'!$A$2:$B$296,2,FALSE)</f>
        <v>All Counties</v>
      </c>
      <c r="D1627" s="2">
        <f>IF(COUNTIFS('[1]Brand Family Territories (Enc)'!$B$2:$B$62,C1627,'[1]Brand Family Territories (Enc)'!$C$2:$C$62,B1627)&gt;0,1,IF(AND(LEFT(B1627,6)="MORRIS",COUNTIFS('[1]Brand Family Territories (Enc)'!$B$2:$B$62,C1627,'[1]Brand Family Territories (Enc)'!$C$2:$C$62,"Morri")&gt;0),"Unk",0))</f>
        <v>1</v>
      </c>
      <c r="E1627" s="2" t="str">
        <f>IFERROR(INDEX('Blackout Brand Fam Areas (Enc)'!$D$6:$D$998,MATCH(UPPER(A1627)&amp;"|"&amp;UPPER(B1627),'Blackout Brand Fam Areas (Enc)'!$G$6:$G$998,0)),"No Match")</f>
        <v>No Match</v>
      </c>
      <c r="F1627" s="2" t="str">
        <f t="shared" si="50"/>
        <v>US</v>
      </c>
      <c r="G1627" s="2" t="str">
        <f t="shared" si="51"/>
        <v>Doc's|UNION</v>
      </c>
    </row>
    <row r="1628" spans="1:7" x14ac:dyDescent="0.2">
      <c r="A1628" s="2" t="str" cm="1">
        <f t="array" ref="A1628">INDEX('[1]Brand Family Territory (Enc)'!$A$2:$A$296,INT((ROW()-2)/10)+1)</f>
        <v>Doc's</v>
      </c>
      <c r="B1628" s="2" t="str" cm="1">
        <f t="array" ref="B1628">INDEX('Whitelist (Blackout Reverse)'!$B$1:$K$1,MOD(ROW()-2,10)+1)</f>
        <v>SUSSEX</v>
      </c>
      <c r="C1628" s="2" t="str">
        <f>VLOOKUP(A1628,'[1]Brand Family Territory (Enc)'!$A$2:$B$296,2,FALSE)</f>
        <v>All Counties</v>
      </c>
      <c r="D1628" s="2">
        <f>IF(COUNTIFS('[1]Brand Family Territories (Enc)'!$B$2:$B$62,C1628,'[1]Brand Family Territories (Enc)'!$C$2:$C$62,B1628)&gt;0,1,IF(AND(LEFT(B1628,6)="MORRIS",COUNTIFS('[1]Brand Family Territories (Enc)'!$B$2:$B$62,C1628,'[1]Brand Family Territories (Enc)'!$C$2:$C$62,"Morri")&gt;0),"Unk",0))</f>
        <v>1</v>
      </c>
      <c r="E1628" s="2" t="str">
        <f>IFERROR(INDEX('Blackout Brand Fam Areas (Enc)'!$D$6:$D$998,MATCH(UPPER(A1628)&amp;"|"&amp;UPPER(B1628),'Blackout Brand Fam Areas (Enc)'!$G$6:$G$998,0)),"No Match")</f>
        <v>No Match</v>
      </c>
      <c r="F1628" s="2" t="str">
        <f t="shared" si="50"/>
        <v>US</v>
      </c>
      <c r="G1628" s="2" t="str">
        <f t="shared" si="51"/>
        <v>Doc's|SUSSEX</v>
      </c>
    </row>
    <row r="1629" spans="1:7" x14ac:dyDescent="0.2">
      <c r="A1629" s="2" t="str" cm="1">
        <f t="array" ref="A1629">INDEX('[1]Brand Family Territory (Enc)'!$A$2:$A$296,INT((ROW()-2)/10)+1)</f>
        <v>Doc's</v>
      </c>
      <c r="B1629" s="2" t="str" cm="1">
        <f t="array" ref="B1629">INDEX('Whitelist (Blackout Reverse)'!$B$1:$K$1,MOD(ROW()-2,10)+1)</f>
        <v>MORRIS 1</v>
      </c>
      <c r="C1629" s="2" t="str">
        <f>VLOOKUP(A1629,'[1]Brand Family Territory (Enc)'!$A$2:$B$296,2,FALSE)</f>
        <v>All Counties</v>
      </c>
      <c r="D1629" s="2">
        <f>IF(COUNTIFS('[1]Brand Family Territories (Enc)'!$B$2:$B$62,C1629,'[1]Brand Family Territories (Enc)'!$C$2:$C$62,B1629)&gt;0,1,IF(AND(LEFT(B1629,6)="MORRIS",COUNTIFS('[1]Brand Family Territories (Enc)'!$B$2:$B$62,C1629,'[1]Brand Family Territories (Enc)'!$C$2:$C$62,"Morri")&gt;0),"Unk",0))</f>
        <v>1</v>
      </c>
      <c r="E1629" s="2" t="str">
        <f>IFERROR(INDEX('Blackout Brand Fam Areas (Enc)'!$D$6:$D$998,MATCH(UPPER(A1629)&amp;"|"&amp;UPPER(B1629),'Blackout Brand Fam Areas (Enc)'!$G$6:$G$998,0)),"No Match")</f>
        <v>No Match</v>
      </c>
      <c r="F1629" s="2" t="str">
        <f t="shared" si="50"/>
        <v>US</v>
      </c>
      <c r="G1629" s="2" t="str">
        <f t="shared" si="51"/>
        <v>Doc's|MORRIS 1</v>
      </c>
    </row>
    <row r="1630" spans="1:7" x14ac:dyDescent="0.2">
      <c r="A1630" s="2" t="str" cm="1">
        <f t="array" ref="A1630">INDEX('[1]Brand Family Territory (Enc)'!$A$2:$A$296,INT((ROW()-2)/10)+1)</f>
        <v>Doc's</v>
      </c>
      <c r="B1630" s="2" t="str" cm="1">
        <f t="array" ref="B1630">INDEX('Whitelist (Blackout Reverse)'!$B$1:$K$1,MOD(ROW()-2,10)+1)</f>
        <v>MORRIS 2</v>
      </c>
      <c r="C1630" s="2" t="str">
        <f>VLOOKUP(A1630,'[1]Brand Family Territory (Enc)'!$A$2:$B$296,2,FALSE)</f>
        <v>All Counties</v>
      </c>
      <c r="D1630" s="2">
        <f>IF(COUNTIFS('[1]Brand Family Territories (Enc)'!$B$2:$B$62,C1630,'[1]Brand Family Territories (Enc)'!$C$2:$C$62,B1630)&gt;0,1,IF(AND(LEFT(B1630,6)="MORRIS",COUNTIFS('[1]Brand Family Territories (Enc)'!$B$2:$B$62,C1630,'[1]Brand Family Territories (Enc)'!$C$2:$C$62,"Morri")&gt;0),"Unk",0))</f>
        <v>1</v>
      </c>
      <c r="E1630" s="2" t="str">
        <f>IFERROR(INDEX('Blackout Brand Fam Areas (Enc)'!$D$6:$D$998,MATCH(UPPER(A1630)&amp;"|"&amp;UPPER(B1630),'Blackout Brand Fam Areas (Enc)'!$G$6:$G$998,0)),"No Match")</f>
        <v>No Match</v>
      </c>
      <c r="F1630" s="2" t="str">
        <f t="shared" si="50"/>
        <v>US</v>
      </c>
      <c r="G1630" s="2" t="str">
        <f t="shared" si="51"/>
        <v>Doc's|MORRIS 2</v>
      </c>
    </row>
    <row r="1631" spans="1:7" x14ac:dyDescent="0.2">
      <c r="A1631" s="2" t="str" cm="1">
        <f t="array" ref="A1631">INDEX('[1]Brand Family Territory (Enc)'!$A$2:$A$296,INT((ROW()-2)/10)+1)</f>
        <v>Doc's</v>
      </c>
      <c r="B1631" s="2" t="str" cm="1">
        <f t="array" ref="B1631">INDEX('Whitelist (Blackout Reverse)'!$B$1:$K$1,MOD(ROW()-2,10)+1)</f>
        <v>MORRIS 3</v>
      </c>
      <c r="C1631" s="2" t="str">
        <f>VLOOKUP(A1631,'[1]Brand Family Territory (Enc)'!$A$2:$B$296,2,FALSE)</f>
        <v>All Counties</v>
      </c>
      <c r="D1631" s="2">
        <f>IF(COUNTIFS('[1]Brand Family Territories (Enc)'!$B$2:$B$62,C1631,'[1]Brand Family Territories (Enc)'!$C$2:$C$62,B1631)&gt;0,1,IF(AND(LEFT(B1631,6)="MORRIS",COUNTIFS('[1]Brand Family Territories (Enc)'!$B$2:$B$62,C1631,'[1]Brand Family Territories (Enc)'!$C$2:$C$62,"Morri")&gt;0),"Unk",0))</f>
        <v>1</v>
      </c>
      <c r="E1631" s="2" t="str">
        <f>IFERROR(INDEX('Blackout Brand Fam Areas (Enc)'!$D$6:$D$998,MATCH(UPPER(A1631)&amp;"|"&amp;UPPER(B1631),'Blackout Brand Fam Areas (Enc)'!$G$6:$G$998,0)),"No Match")</f>
        <v>No Match</v>
      </c>
      <c r="F1631" s="2" t="str">
        <f t="shared" si="50"/>
        <v>US</v>
      </c>
      <c r="G1631" s="2" t="str">
        <f t="shared" si="51"/>
        <v>Doc's|MORRIS 3</v>
      </c>
    </row>
    <row r="1632" spans="1:7" x14ac:dyDescent="0.2">
      <c r="A1632" s="2" t="str" cm="1">
        <f t="array" ref="A1632">INDEX('[1]Brand Family Territory (Enc)'!$A$2:$A$296,INT((ROW()-2)/10)+1)</f>
        <v>Dragon Stout</v>
      </c>
      <c r="B1632" s="2" t="str" cm="1">
        <f t="array" ref="B1632">INDEX('Whitelist (Blackout Reverse)'!$B$1:$K$1,MOD(ROW()-2,10)+1)</f>
        <v>BERGEN</v>
      </c>
      <c r="C1632" s="2" t="str">
        <f>VLOOKUP(A1632,'[1]Brand Family Territory (Enc)'!$A$2:$B$296,2,FALSE)</f>
        <v>All Counties</v>
      </c>
      <c r="D1632" s="2">
        <f>IF(COUNTIFS('[1]Brand Family Territories (Enc)'!$B$2:$B$62,C1632,'[1]Brand Family Territories (Enc)'!$C$2:$C$62,B1632)&gt;0,1,IF(AND(LEFT(B1632,6)="MORRIS",COUNTIFS('[1]Brand Family Territories (Enc)'!$B$2:$B$62,C1632,'[1]Brand Family Territories (Enc)'!$C$2:$C$62,"Morri")&gt;0),"Unk",0))</f>
        <v>1</v>
      </c>
      <c r="E1632" s="2" t="str">
        <f>IFERROR(INDEX('Blackout Brand Fam Areas (Enc)'!$D$6:$D$998,MATCH(UPPER(A1632)&amp;"|"&amp;UPPER(B1632),'Blackout Brand Fam Areas (Enc)'!$G$6:$G$998,0)),"No Match")</f>
        <v>No Match</v>
      </c>
      <c r="F1632" s="2" t="str">
        <f t="shared" si="50"/>
        <v>US</v>
      </c>
      <c r="G1632" s="2" t="str">
        <f t="shared" si="51"/>
        <v>Dragon Stout|BERGEN</v>
      </c>
    </row>
    <row r="1633" spans="1:7" x14ac:dyDescent="0.2">
      <c r="A1633" s="2" t="str" cm="1">
        <f t="array" ref="A1633">INDEX('[1]Brand Family Territory (Enc)'!$A$2:$A$296,INT((ROW()-2)/10)+1)</f>
        <v>Dragon Stout</v>
      </c>
      <c r="B1633" s="2" t="str" cm="1">
        <f t="array" ref="B1633">INDEX('Whitelist (Blackout Reverse)'!$B$1:$K$1,MOD(ROW()-2,10)+1)</f>
        <v>PASSAIC</v>
      </c>
      <c r="C1633" s="2" t="str">
        <f>VLOOKUP(A1633,'[1]Brand Family Territory (Enc)'!$A$2:$B$296,2,FALSE)</f>
        <v>All Counties</v>
      </c>
      <c r="D1633" s="2">
        <f>IF(COUNTIFS('[1]Brand Family Territories (Enc)'!$B$2:$B$62,C1633,'[1]Brand Family Territories (Enc)'!$C$2:$C$62,B1633)&gt;0,1,IF(AND(LEFT(B1633,6)="MORRIS",COUNTIFS('[1]Brand Family Territories (Enc)'!$B$2:$B$62,C1633,'[1]Brand Family Territories (Enc)'!$C$2:$C$62,"Morri")&gt;0),"Unk",0))</f>
        <v>1</v>
      </c>
      <c r="E1633" s="2" t="str">
        <f>IFERROR(INDEX('Blackout Brand Fam Areas (Enc)'!$D$6:$D$998,MATCH(UPPER(A1633)&amp;"|"&amp;UPPER(B1633),'Blackout Brand Fam Areas (Enc)'!$G$6:$G$998,0)),"No Match")</f>
        <v>No Match</v>
      </c>
      <c r="F1633" s="2" t="str">
        <f t="shared" si="50"/>
        <v>US</v>
      </c>
      <c r="G1633" s="2" t="str">
        <f t="shared" si="51"/>
        <v>Dragon Stout|PASSAIC</v>
      </c>
    </row>
    <row r="1634" spans="1:7" x14ac:dyDescent="0.2">
      <c r="A1634" s="2" t="str" cm="1">
        <f t="array" ref="A1634">INDEX('[1]Brand Family Territory (Enc)'!$A$2:$A$296,INT((ROW()-2)/10)+1)</f>
        <v>Dragon Stout</v>
      </c>
      <c r="B1634" s="2" t="str" cm="1">
        <f t="array" ref="B1634">INDEX('Whitelist (Blackout Reverse)'!$B$1:$K$1,MOD(ROW()-2,10)+1)</f>
        <v>PASSAIC-FF</v>
      </c>
      <c r="C1634" s="2" t="str">
        <f>VLOOKUP(A1634,'[1]Brand Family Territory (Enc)'!$A$2:$B$296,2,FALSE)</f>
        <v>All Counties</v>
      </c>
      <c r="D1634" s="2">
        <f>IF(COUNTIFS('[1]Brand Family Territories (Enc)'!$B$2:$B$62,C1634,'[1]Brand Family Territories (Enc)'!$C$2:$C$62,B1634)&gt;0,1,IF(AND(LEFT(B1634,6)="MORRIS",COUNTIFS('[1]Brand Family Territories (Enc)'!$B$2:$B$62,C1634,'[1]Brand Family Territories (Enc)'!$C$2:$C$62,"Morri")&gt;0),"Unk",0))</f>
        <v>1</v>
      </c>
      <c r="E1634" s="2" t="str">
        <f>IFERROR(INDEX('Blackout Brand Fam Areas (Enc)'!$D$6:$D$998,MATCH(UPPER(A1634)&amp;"|"&amp;UPPER(B1634),'Blackout Brand Fam Areas (Enc)'!$G$6:$G$998,0)),"No Match")</f>
        <v>No Match</v>
      </c>
      <c r="F1634" s="2" t="str">
        <f t="shared" si="50"/>
        <v>US</v>
      </c>
      <c r="G1634" s="2" t="str">
        <f t="shared" si="51"/>
        <v>Dragon Stout|PASSAIC-FF</v>
      </c>
    </row>
    <row r="1635" spans="1:7" x14ac:dyDescent="0.2">
      <c r="A1635" s="2" t="str" cm="1">
        <f t="array" ref="A1635">INDEX('[1]Brand Family Territory (Enc)'!$A$2:$A$296,INT((ROW()-2)/10)+1)</f>
        <v>Dragon Stout</v>
      </c>
      <c r="B1635" s="2" t="str" cm="1">
        <f t="array" ref="B1635">INDEX('Whitelist (Blackout Reverse)'!$B$1:$K$1,MOD(ROW()-2,10)+1)</f>
        <v>ESSEX</v>
      </c>
      <c r="C1635" s="2" t="str">
        <f>VLOOKUP(A1635,'[1]Brand Family Territory (Enc)'!$A$2:$B$296,2,FALSE)</f>
        <v>All Counties</v>
      </c>
      <c r="D1635" s="2">
        <f>IF(COUNTIFS('[1]Brand Family Territories (Enc)'!$B$2:$B$62,C1635,'[1]Brand Family Territories (Enc)'!$C$2:$C$62,B1635)&gt;0,1,IF(AND(LEFT(B1635,6)="MORRIS",COUNTIFS('[1]Brand Family Territories (Enc)'!$B$2:$B$62,C1635,'[1]Brand Family Territories (Enc)'!$C$2:$C$62,"Morri")&gt;0),"Unk",0))</f>
        <v>1</v>
      </c>
      <c r="E1635" s="2" t="str">
        <f>IFERROR(INDEX('Blackout Brand Fam Areas (Enc)'!$D$6:$D$998,MATCH(UPPER(A1635)&amp;"|"&amp;UPPER(B1635),'Blackout Brand Fam Areas (Enc)'!$G$6:$G$998,0)),"No Match")</f>
        <v>No Match</v>
      </c>
      <c r="F1635" s="2" t="str">
        <f t="shared" si="50"/>
        <v>US</v>
      </c>
      <c r="G1635" s="2" t="str">
        <f t="shared" si="51"/>
        <v>Dragon Stout|ESSEX</v>
      </c>
    </row>
    <row r="1636" spans="1:7" x14ac:dyDescent="0.2">
      <c r="A1636" s="2" t="str" cm="1">
        <f t="array" ref="A1636">INDEX('[1]Brand Family Territory (Enc)'!$A$2:$A$296,INT((ROW()-2)/10)+1)</f>
        <v>Dragon Stout</v>
      </c>
      <c r="B1636" s="2" t="str" cm="1">
        <f t="array" ref="B1636">INDEX('Whitelist (Blackout Reverse)'!$B$1:$K$1,MOD(ROW()-2,10)+1)</f>
        <v>HUDSON</v>
      </c>
      <c r="C1636" s="2" t="str">
        <f>VLOOKUP(A1636,'[1]Brand Family Territory (Enc)'!$A$2:$B$296,2,FALSE)</f>
        <v>All Counties</v>
      </c>
      <c r="D1636" s="2">
        <f>IF(COUNTIFS('[1]Brand Family Territories (Enc)'!$B$2:$B$62,C1636,'[1]Brand Family Territories (Enc)'!$C$2:$C$62,B1636)&gt;0,1,IF(AND(LEFT(B1636,6)="MORRIS",COUNTIFS('[1]Brand Family Territories (Enc)'!$B$2:$B$62,C1636,'[1]Brand Family Territories (Enc)'!$C$2:$C$62,"Morri")&gt;0),"Unk",0))</f>
        <v>1</v>
      </c>
      <c r="E1636" s="2" t="str">
        <f>IFERROR(INDEX('Blackout Brand Fam Areas (Enc)'!$D$6:$D$998,MATCH(UPPER(A1636)&amp;"|"&amp;UPPER(B1636),'Blackout Brand Fam Areas (Enc)'!$G$6:$G$998,0)),"No Match")</f>
        <v>No Match</v>
      </c>
      <c r="F1636" s="2" t="str">
        <f t="shared" si="50"/>
        <v>US</v>
      </c>
      <c r="G1636" s="2" t="str">
        <f t="shared" si="51"/>
        <v>Dragon Stout|HUDSON</v>
      </c>
    </row>
    <row r="1637" spans="1:7" x14ac:dyDescent="0.2">
      <c r="A1637" s="2" t="str" cm="1">
        <f t="array" ref="A1637">INDEX('[1]Brand Family Territory (Enc)'!$A$2:$A$296,INT((ROW()-2)/10)+1)</f>
        <v>Dragon Stout</v>
      </c>
      <c r="B1637" s="2" t="str" cm="1">
        <f t="array" ref="B1637">INDEX('Whitelist (Blackout Reverse)'!$B$1:$K$1,MOD(ROW()-2,10)+1)</f>
        <v>UNION</v>
      </c>
      <c r="C1637" s="2" t="str">
        <f>VLOOKUP(A1637,'[1]Brand Family Territory (Enc)'!$A$2:$B$296,2,FALSE)</f>
        <v>All Counties</v>
      </c>
      <c r="D1637" s="2">
        <f>IF(COUNTIFS('[1]Brand Family Territories (Enc)'!$B$2:$B$62,C1637,'[1]Brand Family Territories (Enc)'!$C$2:$C$62,B1637)&gt;0,1,IF(AND(LEFT(B1637,6)="MORRIS",COUNTIFS('[1]Brand Family Territories (Enc)'!$B$2:$B$62,C1637,'[1]Brand Family Territories (Enc)'!$C$2:$C$62,"Morri")&gt;0),"Unk",0))</f>
        <v>1</v>
      </c>
      <c r="E1637" s="2" t="str">
        <f>IFERROR(INDEX('Blackout Brand Fam Areas (Enc)'!$D$6:$D$998,MATCH(UPPER(A1637)&amp;"|"&amp;UPPER(B1637),'Blackout Brand Fam Areas (Enc)'!$G$6:$G$998,0)),"No Match")</f>
        <v>No Match</v>
      </c>
      <c r="F1637" s="2" t="str">
        <f t="shared" si="50"/>
        <v>US</v>
      </c>
      <c r="G1637" s="2" t="str">
        <f t="shared" si="51"/>
        <v>Dragon Stout|UNION</v>
      </c>
    </row>
    <row r="1638" spans="1:7" x14ac:dyDescent="0.2">
      <c r="A1638" s="2" t="str" cm="1">
        <f t="array" ref="A1638">INDEX('[1]Brand Family Territory (Enc)'!$A$2:$A$296,INT((ROW()-2)/10)+1)</f>
        <v>Dragon Stout</v>
      </c>
      <c r="B1638" s="2" t="str" cm="1">
        <f t="array" ref="B1638">INDEX('Whitelist (Blackout Reverse)'!$B$1:$K$1,MOD(ROW()-2,10)+1)</f>
        <v>SUSSEX</v>
      </c>
      <c r="C1638" s="2" t="str">
        <f>VLOOKUP(A1638,'[1]Brand Family Territory (Enc)'!$A$2:$B$296,2,FALSE)</f>
        <v>All Counties</v>
      </c>
      <c r="D1638" s="2">
        <f>IF(COUNTIFS('[1]Brand Family Territories (Enc)'!$B$2:$B$62,C1638,'[1]Brand Family Territories (Enc)'!$C$2:$C$62,B1638)&gt;0,1,IF(AND(LEFT(B1638,6)="MORRIS",COUNTIFS('[1]Brand Family Territories (Enc)'!$B$2:$B$62,C1638,'[1]Brand Family Territories (Enc)'!$C$2:$C$62,"Morri")&gt;0),"Unk",0))</f>
        <v>1</v>
      </c>
      <c r="E1638" s="2" t="str">
        <f>IFERROR(INDEX('Blackout Brand Fam Areas (Enc)'!$D$6:$D$998,MATCH(UPPER(A1638)&amp;"|"&amp;UPPER(B1638),'Blackout Brand Fam Areas (Enc)'!$G$6:$G$998,0)),"No Match")</f>
        <v>No Match</v>
      </c>
      <c r="F1638" s="2" t="str">
        <f t="shared" si="50"/>
        <v>US</v>
      </c>
      <c r="G1638" s="2" t="str">
        <f t="shared" si="51"/>
        <v>Dragon Stout|SUSSEX</v>
      </c>
    </row>
    <row r="1639" spans="1:7" x14ac:dyDescent="0.2">
      <c r="A1639" s="2" t="str" cm="1">
        <f t="array" ref="A1639">INDEX('[1]Brand Family Territory (Enc)'!$A$2:$A$296,INT((ROW()-2)/10)+1)</f>
        <v>Dragon Stout</v>
      </c>
      <c r="B1639" s="2" t="str" cm="1">
        <f t="array" ref="B1639">INDEX('Whitelist (Blackout Reverse)'!$B$1:$K$1,MOD(ROW()-2,10)+1)</f>
        <v>MORRIS 1</v>
      </c>
      <c r="C1639" s="2" t="str">
        <f>VLOOKUP(A1639,'[1]Brand Family Territory (Enc)'!$A$2:$B$296,2,FALSE)</f>
        <v>All Counties</v>
      </c>
      <c r="D1639" s="2">
        <f>IF(COUNTIFS('[1]Brand Family Territories (Enc)'!$B$2:$B$62,C1639,'[1]Brand Family Territories (Enc)'!$C$2:$C$62,B1639)&gt;0,1,IF(AND(LEFT(B1639,6)="MORRIS",COUNTIFS('[1]Brand Family Territories (Enc)'!$B$2:$B$62,C1639,'[1]Brand Family Territories (Enc)'!$C$2:$C$62,"Morri")&gt;0),"Unk",0))</f>
        <v>1</v>
      </c>
      <c r="E1639" s="2" t="str">
        <f>IFERROR(INDEX('Blackout Brand Fam Areas (Enc)'!$D$6:$D$998,MATCH(UPPER(A1639)&amp;"|"&amp;UPPER(B1639),'Blackout Brand Fam Areas (Enc)'!$G$6:$G$998,0)),"No Match")</f>
        <v>No Match</v>
      </c>
      <c r="F1639" s="2" t="str">
        <f t="shared" si="50"/>
        <v>US</v>
      </c>
      <c r="G1639" s="2" t="str">
        <f t="shared" si="51"/>
        <v>Dragon Stout|MORRIS 1</v>
      </c>
    </row>
    <row r="1640" spans="1:7" x14ac:dyDescent="0.2">
      <c r="A1640" s="2" t="str" cm="1">
        <f t="array" ref="A1640">INDEX('[1]Brand Family Territory (Enc)'!$A$2:$A$296,INT((ROW()-2)/10)+1)</f>
        <v>Dragon Stout</v>
      </c>
      <c r="B1640" s="2" t="str" cm="1">
        <f t="array" ref="B1640">INDEX('Whitelist (Blackout Reverse)'!$B$1:$K$1,MOD(ROW()-2,10)+1)</f>
        <v>MORRIS 2</v>
      </c>
      <c r="C1640" s="2" t="str">
        <f>VLOOKUP(A1640,'[1]Brand Family Territory (Enc)'!$A$2:$B$296,2,FALSE)</f>
        <v>All Counties</v>
      </c>
      <c r="D1640" s="2">
        <f>IF(COUNTIFS('[1]Brand Family Territories (Enc)'!$B$2:$B$62,C1640,'[1]Brand Family Territories (Enc)'!$C$2:$C$62,B1640)&gt;0,1,IF(AND(LEFT(B1640,6)="MORRIS",COUNTIFS('[1]Brand Family Territories (Enc)'!$B$2:$B$62,C1640,'[1]Brand Family Territories (Enc)'!$C$2:$C$62,"Morri")&gt;0),"Unk",0))</f>
        <v>1</v>
      </c>
      <c r="E1640" s="2" t="str">
        <f>IFERROR(INDEX('Blackout Brand Fam Areas (Enc)'!$D$6:$D$998,MATCH(UPPER(A1640)&amp;"|"&amp;UPPER(B1640),'Blackout Brand Fam Areas (Enc)'!$G$6:$G$998,0)),"No Match")</f>
        <v>No Match</v>
      </c>
      <c r="F1640" s="2" t="str">
        <f t="shared" si="50"/>
        <v>US</v>
      </c>
      <c r="G1640" s="2" t="str">
        <f t="shared" si="51"/>
        <v>Dragon Stout|MORRIS 2</v>
      </c>
    </row>
    <row r="1641" spans="1:7" x14ac:dyDescent="0.2">
      <c r="A1641" s="2" t="str" cm="1">
        <f t="array" ref="A1641">INDEX('[1]Brand Family Territory (Enc)'!$A$2:$A$296,INT((ROW()-2)/10)+1)</f>
        <v>Dragon Stout</v>
      </c>
      <c r="B1641" s="2" t="str" cm="1">
        <f t="array" ref="B1641">INDEX('Whitelist (Blackout Reverse)'!$B$1:$K$1,MOD(ROW()-2,10)+1)</f>
        <v>MORRIS 3</v>
      </c>
      <c r="C1641" s="2" t="str">
        <f>VLOOKUP(A1641,'[1]Brand Family Territory (Enc)'!$A$2:$B$296,2,FALSE)</f>
        <v>All Counties</v>
      </c>
      <c r="D1641" s="2">
        <f>IF(COUNTIFS('[1]Brand Family Territories (Enc)'!$B$2:$B$62,C1641,'[1]Brand Family Territories (Enc)'!$C$2:$C$62,B1641)&gt;0,1,IF(AND(LEFT(B1641,6)="MORRIS",COUNTIFS('[1]Brand Family Territories (Enc)'!$B$2:$B$62,C1641,'[1]Brand Family Territories (Enc)'!$C$2:$C$62,"Morri")&gt;0),"Unk",0))</f>
        <v>1</v>
      </c>
      <c r="E1641" s="2" t="str">
        <f>IFERROR(INDEX('Blackout Brand Fam Areas (Enc)'!$D$6:$D$998,MATCH(UPPER(A1641)&amp;"|"&amp;UPPER(B1641),'Blackout Brand Fam Areas (Enc)'!$G$6:$G$998,0)),"No Match")</f>
        <v>No Match</v>
      </c>
      <c r="F1641" s="2" t="str">
        <f t="shared" si="50"/>
        <v>US</v>
      </c>
      <c r="G1641" s="2" t="str">
        <f t="shared" si="51"/>
        <v>Dragon Stout|MORRIS 3</v>
      </c>
    </row>
    <row r="1642" spans="1:7" x14ac:dyDescent="0.2">
      <c r="A1642" s="2" t="str" cm="1">
        <f t="array" ref="A1642">INDEX('[1]Brand Family Territory (Enc)'!$A$2:$A$296,INT((ROW()-2)/10)+1)</f>
        <v>Duclaw</v>
      </c>
      <c r="B1642" s="2" t="str" cm="1">
        <f t="array" ref="B1642">INDEX('Whitelist (Blackout Reverse)'!$B$1:$K$1,MOD(ROW()-2,10)+1)</f>
        <v>BERGEN</v>
      </c>
      <c r="C1642" s="2" t="str">
        <f>VLOOKUP(A1642,'[1]Brand Family Territory (Enc)'!$A$2:$B$296,2,FALSE)</f>
        <v>All Counties</v>
      </c>
      <c r="D1642" s="2">
        <f>IF(COUNTIFS('[1]Brand Family Territories (Enc)'!$B$2:$B$62,C1642,'[1]Brand Family Territories (Enc)'!$C$2:$C$62,B1642)&gt;0,1,IF(AND(LEFT(B1642,6)="MORRIS",COUNTIFS('[1]Brand Family Territories (Enc)'!$B$2:$B$62,C1642,'[1]Brand Family Territories (Enc)'!$C$2:$C$62,"Morri")&gt;0),"Unk",0))</f>
        <v>1</v>
      </c>
      <c r="E1642" s="2" t="str">
        <f>IFERROR(INDEX('Blackout Brand Fam Areas (Enc)'!$D$6:$D$998,MATCH(UPPER(A1642)&amp;"|"&amp;UPPER(B1642),'Blackout Brand Fam Areas (Enc)'!$G$6:$G$998,0)),"No Match")</f>
        <v>No Match</v>
      </c>
      <c r="F1642" s="2" t="str">
        <f t="shared" si="50"/>
        <v>US</v>
      </c>
      <c r="G1642" s="2" t="str">
        <f t="shared" si="51"/>
        <v>Duclaw|BERGEN</v>
      </c>
    </row>
    <row r="1643" spans="1:7" x14ac:dyDescent="0.2">
      <c r="A1643" s="2" t="str" cm="1">
        <f t="array" ref="A1643">INDEX('[1]Brand Family Territory (Enc)'!$A$2:$A$296,INT((ROW()-2)/10)+1)</f>
        <v>Duclaw</v>
      </c>
      <c r="B1643" s="2" t="str" cm="1">
        <f t="array" ref="B1643">INDEX('Whitelist (Blackout Reverse)'!$B$1:$K$1,MOD(ROW()-2,10)+1)</f>
        <v>PASSAIC</v>
      </c>
      <c r="C1643" s="2" t="str">
        <f>VLOOKUP(A1643,'[1]Brand Family Territory (Enc)'!$A$2:$B$296,2,FALSE)</f>
        <v>All Counties</v>
      </c>
      <c r="D1643" s="2">
        <f>IF(COUNTIFS('[1]Brand Family Territories (Enc)'!$B$2:$B$62,C1643,'[1]Brand Family Territories (Enc)'!$C$2:$C$62,B1643)&gt;0,1,IF(AND(LEFT(B1643,6)="MORRIS",COUNTIFS('[1]Brand Family Territories (Enc)'!$B$2:$B$62,C1643,'[1]Brand Family Territories (Enc)'!$C$2:$C$62,"Morri")&gt;0),"Unk",0))</f>
        <v>1</v>
      </c>
      <c r="E1643" s="2" t="str">
        <f>IFERROR(INDEX('Blackout Brand Fam Areas (Enc)'!$D$6:$D$998,MATCH(UPPER(A1643)&amp;"|"&amp;UPPER(B1643),'Blackout Brand Fam Areas (Enc)'!$G$6:$G$998,0)),"No Match")</f>
        <v>No Match</v>
      </c>
      <c r="F1643" s="2" t="str">
        <f t="shared" si="50"/>
        <v>US</v>
      </c>
      <c r="G1643" s="2" t="str">
        <f t="shared" si="51"/>
        <v>Duclaw|PASSAIC</v>
      </c>
    </row>
    <row r="1644" spans="1:7" x14ac:dyDescent="0.2">
      <c r="A1644" s="2" t="str" cm="1">
        <f t="array" ref="A1644">INDEX('[1]Brand Family Territory (Enc)'!$A$2:$A$296,INT((ROW()-2)/10)+1)</f>
        <v>Duclaw</v>
      </c>
      <c r="B1644" s="2" t="str" cm="1">
        <f t="array" ref="B1644">INDEX('Whitelist (Blackout Reverse)'!$B$1:$K$1,MOD(ROW()-2,10)+1)</f>
        <v>PASSAIC-FF</v>
      </c>
      <c r="C1644" s="2" t="str">
        <f>VLOOKUP(A1644,'[1]Brand Family Territory (Enc)'!$A$2:$B$296,2,FALSE)</f>
        <v>All Counties</v>
      </c>
      <c r="D1644" s="2">
        <f>IF(COUNTIFS('[1]Brand Family Territories (Enc)'!$B$2:$B$62,C1644,'[1]Brand Family Territories (Enc)'!$C$2:$C$62,B1644)&gt;0,1,IF(AND(LEFT(B1644,6)="MORRIS",COUNTIFS('[1]Brand Family Territories (Enc)'!$B$2:$B$62,C1644,'[1]Brand Family Territories (Enc)'!$C$2:$C$62,"Morri")&gt;0),"Unk",0))</f>
        <v>1</v>
      </c>
      <c r="E1644" s="2" t="str">
        <f>IFERROR(INDEX('Blackout Brand Fam Areas (Enc)'!$D$6:$D$998,MATCH(UPPER(A1644)&amp;"|"&amp;UPPER(B1644),'Blackout Brand Fam Areas (Enc)'!$G$6:$G$998,0)),"No Match")</f>
        <v>No Match</v>
      </c>
      <c r="F1644" s="2" t="str">
        <f t="shared" si="50"/>
        <v>US</v>
      </c>
      <c r="G1644" s="2" t="str">
        <f t="shared" si="51"/>
        <v>Duclaw|PASSAIC-FF</v>
      </c>
    </row>
    <row r="1645" spans="1:7" x14ac:dyDescent="0.2">
      <c r="A1645" s="2" t="str" cm="1">
        <f t="array" ref="A1645">INDEX('[1]Brand Family Territory (Enc)'!$A$2:$A$296,INT((ROW()-2)/10)+1)</f>
        <v>Duclaw</v>
      </c>
      <c r="B1645" s="2" t="str" cm="1">
        <f t="array" ref="B1645">INDEX('Whitelist (Blackout Reverse)'!$B$1:$K$1,MOD(ROW()-2,10)+1)</f>
        <v>ESSEX</v>
      </c>
      <c r="C1645" s="2" t="str">
        <f>VLOOKUP(A1645,'[1]Brand Family Territory (Enc)'!$A$2:$B$296,2,FALSE)</f>
        <v>All Counties</v>
      </c>
      <c r="D1645" s="2">
        <f>IF(COUNTIFS('[1]Brand Family Territories (Enc)'!$B$2:$B$62,C1645,'[1]Brand Family Territories (Enc)'!$C$2:$C$62,B1645)&gt;0,1,IF(AND(LEFT(B1645,6)="MORRIS",COUNTIFS('[1]Brand Family Territories (Enc)'!$B$2:$B$62,C1645,'[1]Brand Family Territories (Enc)'!$C$2:$C$62,"Morri")&gt;0),"Unk",0))</f>
        <v>1</v>
      </c>
      <c r="E1645" s="2" t="str">
        <f>IFERROR(INDEX('Blackout Brand Fam Areas (Enc)'!$D$6:$D$998,MATCH(UPPER(A1645)&amp;"|"&amp;UPPER(B1645),'Blackout Brand Fam Areas (Enc)'!$G$6:$G$998,0)),"No Match")</f>
        <v>No Match</v>
      </c>
      <c r="F1645" s="2" t="str">
        <f t="shared" si="50"/>
        <v>US</v>
      </c>
      <c r="G1645" s="2" t="str">
        <f t="shared" si="51"/>
        <v>Duclaw|ESSEX</v>
      </c>
    </row>
    <row r="1646" spans="1:7" x14ac:dyDescent="0.2">
      <c r="A1646" s="2" t="str" cm="1">
        <f t="array" ref="A1646">INDEX('[1]Brand Family Territory (Enc)'!$A$2:$A$296,INT((ROW()-2)/10)+1)</f>
        <v>Duclaw</v>
      </c>
      <c r="B1646" s="2" t="str" cm="1">
        <f t="array" ref="B1646">INDEX('Whitelist (Blackout Reverse)'!$B$1:$K$1,MOD(ROW()-2,10)+1)</f>
        <v>HUDSON</v>
      </c>
      <c r="C1646" s="2" t="str">
        <f>VLOOKUP(A1646,'[1]Brand Family Territory (Enc)'!$A$2:$B$296,2,FALSE)</f>
        <v>All Counties</v>
      </c>
      <c r="D1646" s="2">
        <f>IF(COUNTIFS('[1]Brand Family Territories (Enc)'!$B$2:$B$62,C1646,'[1]Brand Family Territories (Enc)'!$C$2:$C$62,B1646)&gt;0,1,IF(AND(LEFT(B1646,6)="MORRIS",COUNTIFS('[1]Brand Family Territories (Enc)'!$B$2:$B$62,C1646,'[1]Brand Family Territories (Enc)'!$C$2:$C$62,"Morri")&gt;0),"Unk",0))</f>
        <v>1</v>
      </c>
      <c r="E1646" s="2" t="str">
        <f>IFERROR(INDEX('Blackout Brand Fam Areas (Enc)'!$D$6:$D$998,MATCH(UPPER(A1646)&amp;"|"&amp;UPPER(B1646),'Blackout Brand Fam Areas (Enc)'!$G$6:$G$998,0)),"No Match")</f>
        <v>No Match</v>
      </c>
      <c r="F1646" s="2" t="str">
        <f t="shared" si="50"/>
        <v>US</v>
      </c>
      <c r="G1646" s="2" t="str">
        <f t="shared" si="51"/>
        <v>Duclaw|HUDSON</v>
      </c>
    </row>
    <row r="1647" spans="1:7" x14ac:dyDescent="0.2">
      <c r="A1647" s="2" t="str" cm="1">
        <f t="array" ref="A1647">INDEX('[1]Brand Family Territory (Enc)'!$A$2:$A$296,INT((ROW()-2)/10)+1)</f>
        <v>Duclaw</v>
      </c>
      <c r="B1647" s="2" t="str" cm="1">
        <f t="array" ref="B1647">INDEX('Whitelist (Blackout Reverse)'!$B$1:$K$1,MOD(ROW()-2,10)+1)</f>
        <v>UNION</v>
      </c>
      <c r="C1647" s="2" t="str">
        <f>VLOOKUP(A1647,'[1]Brand Family Territory (Enc)'!$A$2:$B$296,2,FALSE)</f>
        <v>All Counties</v>
      </c>
      <c r="D1647" s="2">
        <f>IF(COUNTIFS('[1]Brand Family Territories (Enc)'!$B$2:$B$62,C1647,'[1]Brand Family Territories (Enc)'!$C$2:$C$62,B1647)&gt;0,1,IF(AND(LEFT(B1647,6)="MORRIS",COUNTIFS('[1]Brand Family Territories (Enc)'!$B$2:$B$62,C1647,'[1]Brand Family Territories (Enc)'!$C$2:$C$62,"Morri")&gt;0),"Unk",0))</f>
        <v>1</v>
      </c>
      <c r="E1647" s="2" t="str">
        <f>IFERROR(INDEX('Blackout Brand Fam Areas (Enc)'!$D$6:$D$998,MATCH(UPPER(A1647)&amp;"|"&amp;UPPER(B1647),'Blackout Brand Fam Areas (Enc)'!$G$6:$G$998,0)),"No Match")</f>
        <v>No Match</v>
      </c>
      <c r="F1647" s="2" t="str">
        <f t="shared" si="50"/>
        <v>US</v>
      </c>
      <c r="G1647" s="2" t="str">
        <f t="shared" si="51"/>
        <v>Duclaw|UNION</v>
      </c>
    </row>
    <row r="1648" spans="1:7" x14ac:dyDescent="0.2">
      <c r="A1648" s="2" t="str" cm="1">
        <f t="array" ref="A1648">INDEX('[1]Brand Family Territory (Enc)'!$A$2:$A$296,INT((ROW()-2)/10)+1)</f>
        <v>Duclaw</v>
      </c>
      <c r="B1648" s="2" t="str" cm="1">
        <f t="array" ref="B1648">INDEX('Whitelist (Blackout Reverse)'!$B$1:$K$1,MOD(ROW()-2,10)+1)</f>
        <v>SUSSEX</v>
      </c>
      <c r="C1648" s="2" t="str">
        <f>VLOOKUP(A1648,'[1]Brand Family Territory (Enc)'!$A$2:$B$296,2,FALSE)</f>
        <v>All Counties</v>
      </c>
      <c r="D1648" s="2">
        <f>IF(COUNTIFS('[1]Brand Family Territories (Enc)'!$B$2:$B$62,C1648,'[1]Brand Family Territories (Enc)'!$C$2:$C$62,B1648)&gt;0,1,IF(AND(LEFT(B1648,6)="MORRIS",COUNTIFS('[1]Brand Family Territories (Enc)'!$B$2:$B$62,C1648,'[1]Brand Family Territories (Enc)'!$C$2:$C$62,"Morri")&gt;0),"Unk",0))</f>
        <v>1</v>
      </c>
      <c r="E1648" s="2" t="str">
        <f>IFERROR(INDEX('Blackout Brand Fam Areas (Enc)'!$D$6:$D$998,MATCH(UPPER(A1648)&amp;"|"&amp;UPPER(B1648),'Blackout Brand Fam Areas (Enc)'!$G$6:$G$998,0)),"No Match")</f>
        <v>No Match</v>
      </c>
      <c r="F1648" s="2" t="str">
        <f t="shared" si="50"/>
        <v>US</v>
      </c>
      <c r="G1648" s="2" t="str">
        <f t="shared" si="51"/>
        <v>Duclaw|SUSSEX</v>
      </c>
    </row>
    <row r="1649" spans="1:7" x14ac:dyDescent="0.2">
      <c r="A1649" s="2" t="str" cm="1">
        <f t="array" ref="A1649">INDEX('[1]Brand Family Territory (Enc)'!$A$2:$A$296,INT((ROW()-2)/10)+1)</f>
        <v>Duclaw</v>
      </c>
      <c r="B1649" s="2" t="str" cm="1">
        <f t="array" ref="B1649">INDEX('Whitelist (Blackout Reverse)'!$B$1:$K$1,MOD(ROW()-2,10)+1)</f>
        <v>MORRIS 1</v>
      </c>
      <c r="C1649" s="2" t="str">
        <f>VLOOKUP(A1649,'[1]Brand Family Territory (Enc)'!$A$2:$B$296,2,FALSE)</f>
        <v>All Counties</v>
      </c>
      <c r="D1649" s="2">
        <f>IF(COUNTIFS('[1]Brand Family Territories (Enc)'!$B$2:$B$62,C1649,'[1]Brand Family Territories (Enc)'!$C$2:$C$62,B1649)&gt;0,1,IF(AND(LEFT(B1649,6)="MORRIS",COUNTIFS('[1]Brand Family Territories (Enc)'!$B$2:$B$62,C1649,'[1]Brand Family Territories (Enc)'!$C$2:$C$62,"Morri")&gt;0),"Unk",0))</f>
        <v>1</v>
      </c>
      <c r="E1649" s="2" t="str">
        <f>IFERROR(INDEX('Blackout Brand Fam Areas (Enc)'!$D$6:$D$998,MATCH(UPPER(A1649)&amp;"|"&amp;UPPER(B1649),'Blackout Brand Fam Areas (Enc)'!$G$6:$G$998,0)),"No Match")</f>
        <v>No Match</v>
      </c>
      <c r="F1649" s="2" t="str">
        <f t="shared" si="50"/>
        <v>US</v>
      </c>
      <c r="G1649" s="2" t="str">
        <f t="shared" si="51"/>
        <v>Duclaw|MORRIS 1</v>
      </c>
    </row>
    <row r="1650" spans="1:7" x14ac:dyDescent="0.2">
      <c r="A1650" s="2" t="str" cm="1">
        <f t="array" ref="A1650">INDEX('[1]Brand Family Territory (Enc)'!$A$2:$A$296,INT((ROW()-2)/10)+1)</f>
        <v>Duclaw</v>
      </c>
      <c r="B1650" s="2" t="str" cm="1">
        <f t="array" ref="B1650">INDEX('Whitelist (Blackout Reverse)'!$B$1:$K$1,MOD(ROW()-2,10)+1)</f>
        <v>MORRIS 2</v>
      </c>
      <c r="C1650" s="2" t="str">
        <f>VLOOKUP(A1650,'[1]Brand Family Territory (Enc)'!$A$2:$B$296,2,FALSE)</f>
        <v>All Counties</v>
      </c>
      <c r="D1650" s="2">
        <f>IF(COUNTIFS('[1]Brand Family Territories (Enc)'!$B$2:$B$62,C1650,'[1]Brand Family Territories (Enc)'!$C$2:$C$62,B1650)&gt;0,1,IF(AND(LEFT(B1650,6)="MORRIS",COUNTIFS('[1]Brand Family Territories (Enc)'!$B$2:$B$62,C1650,'[1]Brand Family Territories (Enc)'!$C$2:$C$62,"Morri")&gt;0),"Unk",0))</f>
        <v>1</v>
      </c>
      <c r="E1650" s="2" t="str">
        <f>IFERROR(INDEX('Blackout Brand Fam Areas (Enc)'!$D$6:$D$998,MATCH(UPPER(A1650)&amp;"|"&amp;UPPER(B1650),'Blackout Brand Fam Areas (Enc)'!$G$6:$G$998,0)),"No Match")</f>
        <v>No Match</v>
      </c>
      <c r="F1650" s="2" t="str">
        <f t="shared" si="50"/>
        <v>US</v>
      </c>
      <c r="G1650" s="2" t="str">
        <f t="shared" si="51"/>
        <v>Duclaw|MORRIS 2</v>
      </c>
    </row>
    <row r="1651" spans="1:7" x14ac:dyDescent="0.2">
      <c r="A1651" s="2" t="str" cm="1">
        <f t="array" ref="A1651">INDEX('[1]Brand Family Territory (Enc)'!$A$2:$A$296,INT((ROW()-2)/10)+1)</f>
        <v>Duclaw</v>
      </c>
      <c r="B1651" s="2" t="str" cm="1">
        <f t="array" ref="B1651">INDEX('Whitelist (Blackout Reverse)'!$B$1:$K$1,MOD(ROW()-2,10)+1)</f>
        <v>MORRIS 3</v>
      </c>
      <c r="C1651" s="2" t="str">
        <f>VLOOKUP(A1651,'[1]Brand Family Territory (Enc)'!$A$2:$B$296,2,FALSE)</f>
        <v>All Counties</v>
      </c>
      <c r="D1651" s="2">
        <f>IF(COUNTIFS('[1]Brand Family Territories (Enc)'!$B$2:$B$62,C1651,'[1]Brand Family Territories (Enc)'!$C$2:$C$62,B1651)&gt;0,1,IF(AND(LEFT(B1651,6)="MORRIS",COUNTIFS('[1]Brand Family Territories (Enc)'!$B$2:$B$62,C1651,'[1]Brand Family Territories (Enc)'!$C$2:$C$62,"Morri")&gt;0),"Unk",0))</f>
        <v>1</v>
      </c>
      <c r="E1651" s="2" t="str">
        <f>IFERROR(INDEX('Blackout Brand Fam Areas (Enc)'!$D$6:$D$998,MATCH(UPPER(A1651)&amp;"|"&amp;UPPER(B1651),'Blackout Brand Fam Areas (Enc)'!$G$6:$G$998,0)),"No Match")</f>
        <v>No Match</v>
      </c>
      <c r="F1651" s="2" t="str">
        <f t="shared" si="50"/>
        <v>US</v>
      </c>
      <c r="G1651" s="2" t="str">
        <f t="shared" si="51"/>
        <v>Duclaw|MORRIS 3</v>
      </c>
    </row>
    <row r="1652" spans="1:7" x14ac:dyDescent="0.2">
      <c r="A1652" s="2" t="str" cm="1">
        <f t="array" ref="A1652">INDEX('[1]Brand Family Territory (Enc)'!$A$2:$A$296,INT((ROW()-2)/10)+1)</f>
        <v>Ecaana</v>
      </c>
      <c r="B1652" s="2" t="str" cm="1">
        <f t="array" ref="B1652">INDEX('Whitelist (Blackout Reverse)'!$B$1:$K$1,MOD(ROW()-2,10)+1)</f>
        <v>BERGEN</v>
      </c>
      <c r="C1652" s="2" t="str">
        <f>VLOOKUP(A1652,'[1]Brand Family Territory (Enc)'!$A$2:$B$296,2,FALSE)</f>
        <v>All Counties</v>
      </c>
      <c r="D1652" s="2">
        <f>IF(COUNTIFS('[1]Brand Family Territories (Enc)'!$B$2:$B$62,C1652,'[1]Brand Family Territories (Enc)'!$C$2:$C$62,B1652)&gt;0,1,IF(AND(LEFT(B1652,6)="MORRIS",COUNTIFS('[1]Brand Family Territories (Enc)'!$B$2:$B$62,C1652,'[1]Brand Family Territories (Enc)'!$C$2:$C$62,"Morri")&gt;0),"Unk",0))</f>
        <v>1</v>
      </c>
      <c r="E1652" s="2" t="str">
        <f>IFERROR(INDEX('Blackout Brand Fam Areas (Enc)'!$D$6:$D$998,MATCH(UPPER(A1652)&amp;"|"&amp;UPPER(B1652),'Blackout Brand Fam Areas (Enc)'!$G$6:$G$998,0)),"No Match")</f>
        <v>No Match</v>
      </c>
      <c r="F1652" s="2" t="str">
        <f t="shared" si="50"/>
        <v>US</v>
      </c>
      <c r="G1652" s="2" t="str">
        <f t="shared" si="51"/>
        <v>Ecaana|BERGEN</v>
      </c>
    </row>
    <row r="1653" spans="1:7" x14ac:dyDescent="0.2">
      <c r="A1653" s="2" t="str" cm="1">
        <f t="array" ref="A1653">INDEX('[1]Brand Family Territory (Enc)'!$A$2:$A$296,INT((ROW()-2)/10)+1)</f>
        <v>Ecaana</v>
      </c>
      <c r="B1653" s="2" t="str" cm="1">
        <f t="array" ref="B1653">INDEX('Whitelist (Blackout Reverse)'!$B$1:$K$1,MOD(ROW()-2,10)+1)</f>
        <v>PASSAIC</v>
      </c>
      <c r="C1653" s="2" t="str">
        <f>VLOOKUP(A1653,'[1]Brand Family Territory (Enc)'!$A$2:$B$296,2,FALSE)</f>
        <v>All Counties</v>
      </c>
      <c r="D1653" s="2">
        <f>IF(COUNTIFS('[1]Brand Family Territories (Enc)'!$B$2:$B$62,C1653,'[1]Brand Family Territories (Enc)'!$C$2:$C$62,B1653)&gt;0,1,IF(AND(LEFT(B1653,6)="MORRIS",COUNTIFS('[1]Brand Family Territories (Enc)'!$B$2:$B$62,C1653,'[1]Brand Family Territories (Enc)'!$C$2:$C$62,"Morri")&gt;0),"Unk",0))</f>
        <v>1</v>
      </c>
      <c r="E1653" s="2" t="str">
        <f>IFERROR(INDEX('Blackout Brand Fam Areas (Enc)'!$D$6:$D$998,MATCH(UPPER(A1653)&amp;"|"&amp;UPPER(B1653),'Blackout Brand Fam Areas (Enc)'!$G$6:$G$998,0)),"No Match")</f>
        <v>No Match</v>
      </c>
      <c r="F1653" s="2" t="str">
        <f t="shared" si="50"/>
        <v>US</v>
      </c>
      <c r="G1653" s="2" t="str">
        <f t="shared" si="51"/>
        <v>Ecaana|PASSAIC</v>
      </c>
    </row>
    <row r="1654" spans="1:7" x14ac:dyDescent="0.2">
      <c r="A1654" s="2" t="str" cm="1">
        <f t="array" ref="A1654">INDEX('[1]Brand Family Territory (Enc)'!$A$2:$A$296,INT((ROW()-2)/10)+1)</f>
        <v>Ecaana</v>
      </c>
      <c r="B1654" s="2" t="str" cm="1">
        <f t="array" ref="B1654">INDEX('Whitelist (Blackout Reverse)'!$B$1:$K$1,MOD(ROW()-2,10)+1)</f>
        <v>PASSAIC-FF</v>
      </c>
      <c r="C1654" s="2" t="str">
        <f>VLOOKUP(A1654,'[1]Brand Family Territory (Enc)'!$A$2:$B$296,2,FALSE)</f>
        <v>All Counties</v>
      </c>
      <c r="D1654" s="2">
        <f>IF(COUNTIFS('[1]Brand Family Territories (Enc)'!$B$2:$B$62,C1654,'[1]Brand Family Territories (Enc)'!$C$2:$C$62,B1654)&gt;0,1,IF(AND(LEFT(B1654,6)="MORRIS",COUNTIFS('[1]Brand Family Territories (Enc)'!$B$2:$B$62,C1654,'[1]Brand Family Territories (Enc)'!$C$2:$C$62,"Morri")&gt;0),"Unk",0))</f>
        <v>1</v>
      </c>
      <c r="E1654" s="2" t="str">
        <f>IFERROR(INDEX('Blackout Brand Fam Areas (Enc)'!$D$6:$D$998,MATCH(UPPER(A1654)&amp;"|"&amp;UPPER(B1654),'Blackout Brand Fam Areas (Enc)'!$G$6:$G$998,0)),"No Match")</f>
        <v>No Match</v>
      </c>
      <c r="F1654" s="2" t="str">
        <f t="shared" si="50"/>
        <v>US</v>
      </c>
      <c r="G1654" s="2" t="str">
        <f t="shared" si="51"/>
        <v>Ecaana|PASSAIC-FF</v>
      </c>
    </row>
    <row r="1655" spans="1:7" x14ac:dyDescent="0.2">
      <c r="A1655" s="2" t="str" cm="1">
        <f t="array" ref="A1655">INDEX('[1]Brand Family Territory (Enc)'!$A$2:$A$296,INT((ROW()-2)/10)+1)</f>
        <v>Ecaana</v>
      </c>
      <c r="B1655" s="2" t="str" cm="1">
        <f t="array" ref="B1655">INDEX('Whitelist (Blackout Reverse)'!$B$1:$K$1,MOD(ROW()-2,10)+1)</f>
        <v>ESSEX</v>
      </c>
      <c r="C1655" s="2" t="str">
        <f>VLOOKUP(A1655,'[1]Brand Family Territory (Enc)'!$A$2:$B$296,2,FALSE)</f>
        <v>All Counties</v>
      </c>
      <c r="D1655" s="2">
        <f>IF(COUNTIFS('[1]Brand Family Territories (Enc)'!$B$2:$B$62,C1655,'[1]Brand Family Territories (Enc)'!$C$2:$C$62,B1655)&gt;0,1,IF(AND(LEFT(B1655,6)="MORRIS",COUNTIFS('[1]Brand Family Territories (Enc)'!$B$2:$B$62,C1655,'[1]Brand Family Territories (Enc)'!$C$2:$C$62,"Morri")&gt;0),"Unk",0))</f>
        <v>1</v>
      </c>
      <c r="E1655" s="2" t="str">
        <f>IFERROR(INDEX('Blackout Brand Fam Areas (Enc)'!$D$6:$D$998,MATCH(UPPER(A1655)&amp;"|"&amp;UPPER(B1655),'Blackout Brand Fam Areas (Enc)'!$G$6:$G$998,0)),"No Match")</f>
        <v>No Match</v>
      </c>
      <c r="F1655" s="2" t="str">
        <f t="shared" si="50"/>
        <v>US</v>
      </c>
      <c r="G1655" s="2" t="str">
        <f t="shared" si="51"/>
        <v>Ecaana|ESSEX</v>
      </c>
    </row>
    <row r="1656" spans="1:7" x14ac:dyDescent="0.2">
      <c r="A1656" s="2" t="str" cm="1">
        <f t="array" ref="A1656">INDEX('[1]Brand Family Territory (Enc)'!$A$2:$A$296,INT((ROW()-2)/10)+1)</f>
        <v>Ecaana</v>
      </c>
      <c r="B1656" s="2" t="str" cm="1">
        <f t="array" ref="B1656">INDEX('Whitelist (Blackout Reverse)'!$B$1:$K$1,MOD(ROW()-2,10)+1)</f>
        <v>HUDSON</v>
      </c>
      <c r="C1656" s="2" t="str">
        <f>VLOOKUP(A1656,'[1]Brand Family Territory (Enc)'!$A$2:$B$296,2,FALSE)</f>
        <v>All Counties</v>
      </c>
      <c r="D1656" s="2">
        <f>IF(COUNTIFS('[1]Brand Family Territories (Enc)'!$B$2:$B$62,C1656,'[1]Brand Family Territories (Enc)'!$C$2:$C$62,B1656)&gt;0,1,IF(AND(LEFT(B1656,6)="MORRIS",COUNTIFS('[1]Brand Family Territories (Enc)'!$B$2:$B$62,C1656,'[1]Brand Family Territories (Enc)'!$C$2:$C$62,"Morri")&gt;0),"Unk",0))</f>
        <v>1</v>
      </c>
      <c r="E1656" s="2" t="str">
        <f>IFERROR(INDEX('Blackout Brand Fam Areas (Enc)'!$D$6:$D$998,MATCH(UPPER(A1656)&amp;"|"&amp;UPPER(B1656),'Blackout Brand Fam Areas (Enc)'!$G$6:$G$998,0)),"No Match")</f>
        <v>No Match</v>
      </c>
      <c r="F1656" s="2" t="str">
        <f t="shared" si="50"/>
        <v>US</v>
      </c>
      <c r="G1656" s="2" t="str">
        <f t="shared" si="51"/>
        <v>Ecaana|HUDSON</v>
      </c>
    </row>
    <row r="1657" spans="1:7" x14ac:dyDescent="0.2">
      <c r="A1657" s="2" t="str" cm="1">
        <f t="array" ref="A1657">INDEX('[1]Brand Family Territory (Enc)'!$A$2:$A$296,INT((ROW()-2)/10)+1)</f>
        <v>Ecaana</v>
      </c>
      <c r="B1657" s="2" t="str" cm="1">
        <f t="array" ref="B1657">INDEX('Whitelist (Blackout Reverse)'!$B$1:$K$1,MOD(ROW()-2,10)+1)</f>
        <v>UNION</v>
      </c>
      <c r="C1657" s="2" t="str">
        <f>VLOOKUP(A1657,'[1]Brand Family Territory (Enc)'!$A$2:$B$296,2,FALSE)</f>
        <v>All Counties</v>
      </c>
      <c r="D1657" s="2">
        <f>IF(COUNTIFS('[1]Brand Family Territories (Enc)'!$B$2:$B$62,C1657,'[1]Brand Family Territories (Enc)'!$C$2:$C$62,B1657)&gt;0,1,IF(AND(LEFT(B1657,6)="MORRIS",COUNTIFS('[1]Brand Family Territories (Enc)'!$B$2:$B$62,C1657,'[1]Brand Family Territories (Enc)'!$C$2:$C$62,"Morri")&gt;0),"Unk",0))</f>
        <v>1</v>
      </c>
      <c r="E1657" s="2" t="str">
        <f>IFERROR(INDEX('Blackout Brand Fam Areas (Enc)'!$D$6:$D$998,MATCH(UPPER(A1657)&amp;"|"&amp;UPPER(B1657),'Blackout Brand Fam Areas (Enc)'!$G$6:$G$998,0)),"No Match")</f>
        <v>No Match</v>
      </c>
      <c r="F1657" s="2" t="str">
        <f t="shared" si="50"/>
        <v>US</v>
      </c>
      <c r="G1657" s="2" t="str">
        <f t="shared" si="51"/>
        <v>Ecaana|UNION</v>
      </c>
    </row>
    <row r="1658" spans="1:7" x14ac:dyDescent="0.2">
      <c r="A1658" s="2" t="str" cm="1">
        <f t="array" ref="A1658">INDEX('[1]Brand Family Territory (Enc)'!$A$2:$A$296,INT((ROW()-2)/10)+1)</f>
        <v>Ecaana</v>
      </c>
      <c r="B1658" s="2" t="str" cm="1">
        <f t="array" ref="B1658">INDEX('Whitelist (Blackout Reverse)'!$B$1:$K$1,MOD(ROW()-2,10)+1)</f>
        <v>SUSSEX</v>
      </c>
      <c r="C1658" s="2" t="str">
        <f>VLOOKUP(A1658,'[1]Brand Family Territory (Enc)'!$A$2:$B$296,2,FALSE)</f>
        <v>All Counties</v>
      </c>
      <c r="D1658" s="2">
        <f>IF(COUNTIFS('[1]Brand Family Territories (Enc)'!$B$2:$B$62,C1658,'[1]Brand Family Territories (Enc)'!$C$2:$C$62,B1658)&gt;0,1,IF(AND(LEFT(B1658,6)="MORRIS",COUNTIFS('[1]Brand Family Territories (Enc)'!$B$2:$B$62,C1658,'[1]Brand Family Territories (Enc)'!$C$2:$C$62,"Morri")&gt;0),"Unk",0))</f>
        <v>1</v>
      </c>
      <c r="E1658" s="2" t="str">
        <f>IFERROR(INDEX('Blackout Brand Fam Areas (Enc)'!$D$6:$D$998,MATCH(UPPER(A1658)&amp;"|"&amp;UPPER(B1658),'Blackout Brand Fam Areas (Enc)'!$G$6:$G$998,0)),"No Match")</f>
        <v>No Match</v>
      </c>
      <c r="F1658" s="2" t="str">
        <f t="shared" si="50"/>
        <v>US</v>
      </c>
      <c r="G1658" s="2" t="str">
        <f t="shared" si="51"/>
        <v>Ecaana|SUSSEX</v>
      </c>
    </row>
    <row r="1659" spans="1:7" x14ac:dyDescent="0.2">
      <c r="A1659" s="2" t="str" cm="1">
        <f t="array" ref="A1659">INDEX('[1]Brand Family Territory (Enc)'!$A$2:$A$296,INT((ROW()-2)/10)+1)</f>
        <v>Ecaana</v>
      </c>
      <c r="B1659" s="2" t="str" cm="1">
        <f t="array" ref="B1659">INDEX('Whitelist (Blackout Reverse)'!$B$1:$K$1,MOD(ROW()-2,10)+1)</f>
        <v>MORRIS 1</v>
      </c>
      <c r="C1659" s="2" t="str">
        <f>VLOOKUP(A1659,'[1]Brand Family Territory (Enc)'!$A$2:$B$296,2,FALSE)</f>
        <v>All Counties</v>
      </c>
      <c r="D1659" s="2">
        <f>IF(COUNTIFS('[1]Brand Family Territories (Enc)'!$B$2:$B$62,C1659,'[1]Brand Family Territories (Enc)'!$C$2:$C$62,B1659)&gt;0,1,IF(AND(LEFT(B1659,6)="MORRIS",COUNTIFS('[1]Brand Family Territories (Enc)'!$B$2:$B$62,C1659,'[1]Brand Family Territories (Enc)'!$C$2:$C$62,"Morri")&gt;0),"Unk",0))</f>
        <v>1</v>
      </c>
      <c r="E1659" s="2" t="str">
        <f>IFERROR(INDEX('Blackout Brand Fam Areas (Enc)'!$D$6:$D$998,MATCH(UPPER(A1659)&amp;"|"&amp;UPPER(B1659),'Blackout Brand Fam Areas (Enc)'!$G$6:$G$998,0)),"No Match")</f>
        <v>No Match</v>
      </c>
      <c r="F1659" s="2" t="str">
        <f t="shared" si="50"/>
        <v>US</v>
      </c>
      <c r="G1659" s="2" t="str">
        <f t="shared" si="51"/>
        <v>Ecaana|MORRIS 1</v>
      </c>
    </row>
    <row r="1660" spans="1:7" x14ac:dyDescent="0.2">
      <c r="A1660" s="2" t="str" cm="1">
        <f t="array" ref="A1660">INDEX('[1]Brand Family Territory (Enc)'!$A$2:$A$296,INT((ROW()-2)/10)+1)</f>
        <v>Ecaana</v>
      </c>
      <c r="B1660" s="2" t="str" cm="1">
        <f t="array" ref="B1660">INDEX('Whitelist (Blackout Reverse)'!$B$1:$K$1,MOD(ROW()-2,10)+1)</f>
        <v>MORRIS 2</v>
      </c>
      <c r="C1660" s="2" t="str">
        <f>VLOOKUP(A1660,'[1]Brand Family Territory (Enc)'!$A$2:$B$296,2,FALSE)</f>
        <v>All Counties</v>
      </c>
      <c r="D1660" s="2">
        <f>IF(COUNTIFS('[1]Brand Family Territories (Enc)'!$B$2:$B$62,C1660,'[1]Brand Family Territories (Enc)'!$C$2:$C$62,B1660)&gt;0,1,IF(AND(LEFT(B1660,6)="MORRIS",COUNTIFS('[1]Brand Family Territories (Enc)'!$B$2:$B$62,C1660,'[1]Brand Family Territories (Enc)'!$C$2:$C$62,"Morri")&gt;0),"Unk",0))</f>
        <v>1</v>
      </c>
      <c r="E1660" s="2" t="str">
        <f>IFERROR(INDEX('Blackout Brand Fam Areas (Enc)'!$D$6:$D$998,MATCH(UPPER(A1660)&amp;"|"&amp;UPPER(B1660),'Blackout Brand Fam Areas (Enc)'!$G$6:$G$998,0)),"No Match")</f>
        <v>No Match</v>
      </c>
      <c r="F1660" s="2" t="str">
        <f t="shared" si="50"/>
        <v>US</v>
      </c>
      <c r="G1660" s="2" t="str">
        <f t="shared" si="51"/>
        <v>Ecaana|MORRIS 2</v>
      </c>
    </row>
    <row r="1661" spans="1:7" x14ac:dyDescent="0.2">
      <c r="A1661" s="2" t="str" cm="1">
        <f t="array" ref="A1661">INDEX('[1]Brand Family Territory (Enc)'!$A$2:$A$296,INT((ROW()-2)/10)+1)</f>
        <v>Ecaana</v>
      </c>
      <c r="B1661" s="2" t="str" cm="1">
        <f t="array" ref="B1661">INDEX('Whitelist (Blackout Reverse)'!$B$1:$K$1,MOD(ROW()-2,10)+1)</f>
        <v>MORRIS 3</v>
      </c>
      <c r="C1661" s="2" t="str">
        <f>VLOOKUP(A1661,'[1]Brand Family Territory (Enc)'!$A$2:$B$296,2,FALSE)</f>
        <v>All Counties</v>
      </c>
      <c r="D1661" s="2">
        <f>IF(COUNTIFS('[1]Brand Family Territories (Enc)'!$B$2:$B$62,C1661,'[1]Brand Family Territories (Enc)'!$C$2:$C$62,B1661)&gt;0,1,IF(AND(LEFT(B1661,6)="MORRIS",COUNTIFS('[1]Brand Family Territories (Enc)'!$B$2:$B$62,C1661,'[1]Brand Family Territories (Enc)'!$C$2:$C$62,"Morri")&gt;0),"Unk",0))</f>
        <v>1</v>
      </c>
      <c r="E1661" s="2" t="str">
        <f>IFERROR(INDEX('Blackout Brand Fam Areas (Enc)'!$D$6:$D$998,MATCH(UPPER(A1661)&amp;"|"&amp;UPPER(B1661),'Blackout Brand Fam Areas (Enc)'!$G$6:$G$998,0)),"No Match")</f>
        <v>No Match</v>
      </c>
      <c r="F1661" s="2" t="str">
        <f t="shared" si="50"/>
        <v>US</v>
      </c>
      <c r="G1661" s="2" t="str">
        <f t="shared" si="51"/>
        <v>Ecaana|MORRIS 3</v>
      </c>
    </row>
    <row r="1662" spans="1:7" x14ac:dyDescent="0.2">
      <c r="A1662" s="2" t="str" cm="1">
        <f t="array" ref="A1662">INDEX('[1]Brand Family Territory (Enc)'!$A$2:$A$296,INT((ROW()-2)/10)+1)</f>
        <v>Efes</v>
      </c>
      <c r="B1662" s="2" t="str" cm="1">
        <f t="array" ref="B1662">INDEX('Whitelist (Blackout Reverse)'!$B$1:$K$1,MOD(ROW()-2,10)+1)</f>
        <v>BERGEN</v>
      </c>
      <c r="C1662" s="2" t="str">
        <f>VLOOKUP(A1662,'[1]Brand Family Territory (Enc)'!$A$2:$B$296,2,FALSE)</f>
        <v>All Counties</v>
      </c>
      <c r="D1662" s="2">
        <f>IF(COUNTIFS('[1]Brand Family Territories (Enc)'!$B$2:$B$62,C1662,'[1]Brand Family Territories (Enc)'!$C$2:$C$62,B1662)&gt;0,1,IF(AND(LEFT(B1662,6)="MORRIS",COUNTIFS('[1]Brand Family Territories (Enc)'!$B$2:$B$62,C1662,'[1]Brand Family Territories (Enc)'!$C$2:$C$62,"Morri")&gt;0),"Unk",0))</f>
        <v>1</v>
      </c>
      <c r="E1662" s="2" t="str">
        <f>IFERROR(INDEX('Blackout Brand Fam Areas (Enc)'!$D$6:$D$998,MATCH(UPPER(A1662)&amp;"|"&amp;UPPER(B1662),'Blackout Brand Fam Areas (Enc)'!$G$6:$G$998,0)),"No Match")</f>
        <v>No Match</v>
      </c>
      <c r="F1662" s="2" t="str">
        <f t="shared" si="50"/>
        <v>US</v>
      </c>
      <c r="G1662" s="2" t="str">
        <f t="shared" si="51"/>
        <v>Efes|BERGEN</v>
      </c>
    </row>
    <row r="1663" spans="1:7" x14ac:dyDescent="0.2">
      <c r="A1663" s="2" t="str" cm="1">
        <f t="array" ref="A1663">INDEX('[1]Brand Family Territory (Enc)'!$A$2:$A$296,INT((ROW()-2)/10)+1)</f>
        <v>Efes</v>
      </c>
      <c r="B1663" s="2" t="str" cm="1">
        <f t="array" ref="B1663">INDEX('Whitelist (Blackout Reverse)'!$B$1:$K$1,MOD(ROW()-2,10)+1)</f>
        <v>PASSAIC</v>
      </c>
      <c r="C1663" s="2" t="str">
        <f>VLOOKUP(A1663,'[1]Brand Family Territory (Enc)'!$A$2:$B$296,2,FALSE)</f>
        <v>All Counties</v>
      </c>
      <c r="D1663" s="2">
        <f>IF(COUNTIFS('[1]Brand Family Territories (Enc)'!$B$2:$B$62,C1663,'[1]Brand Family Territories (Enc)'!$C$2:$C$62,B1663)&gt;0,1,IF(AND(LEFT(B1663,6)="MORRIS",COUNTIFS('[1]Brand Family Territories (Enc)'!$B$2:$B$62,C1663,'[1]Brand Family Territories (Enc)'!$C$2:$C$62,"Morri")&gt;0),"Unk",0))</f>
        <v>1</v>
      </c>
      <c r="E1663" s="2" t="str">
        <f>IFERROR(INDEX('Blackout Brand Fam Areas (Enc)'!$D$6:$D$998,MATCH(UPPER(A1663)&amp;"|"&amp;UPPER(B1663),'Blackout Brand Fam Areas (Enc)'!$G$6:$G$998,0)),"No Match")</f>
        <v>No Match</v>
      </c>
      <c r="F1663" s="2" t="str">
        <f t="shared" si="50"/>
        <v>US</v>
      </c>
      <c r="G1663" s="2" t="str">
        <f t="shared" si="51"/>
        <v>Efes|PASSAIC</v>
      </c>
    </row>
    <row r="1664" spans="1:7" x14ac:dyDescent="0.2">
      <c r="A1664" s="2" t="str" cm="1">
        <f t="array" ref="A1664">INDEX('[1]Brand Family Territory (Enc)'!$A$2:$A$296,INT((ROW()-2)/10)+1)</f>
        <v>Efes</v>
      </c>
      <c r="B1664" s="2" t="str" cm="1">
        <f t="array" ref="B1664">INDEX('Whitelist (Blackout Reverse)'!$B$1:$K$1,MOD(ROW()-2,10)+1)</f>
        <v>PASSAIC-FF</v>
      </c>
      <c r="C1664" s="2" t="str">
        <f>VLOOKUP(A1664,'[1]Brand Family Territory (Enc)'!$A$2:$B$296,2,FALSE)</f>
        <v>All Counties</v>
      </c>
      <c r="D1664" s="2">
        <f>IF(COUNTIFS('[1]Brand Family Territories (Enc)'!$B$2:$B$62,C1664,'[1]Brand Family Territories (Enc)'!$C$2:$C$62,B1664)&gt;0,1,IF(AND(LEFT(B1664,6)="MORRIS",COUNTIFS('[1]Brand Family Territories (Enc)'!$B$2:$B$62,C1664,'[1]Brand Family Territories (Enc)'!$C$2:$C$62,"Morri")&gt;0),"Unk",0))</f>
        <v>1</v>
      </c>
      <c r="E1664" s="2" t="str">
        <f>IFERROR(INDEX('Blackout Brand Fam Areas (Enc)'!$D$6:$D$998,MATCH(UPPER(A1664)&amp;"|"&amp;UPPER(B1664),'Blackout Brand Fam Areas (Enc)'!$G$6:$G$998,0)),"No Match")</f>
        <v>No Match</v>
      </c>
      <c r="F1664" s="2" t="str">
        <f t="shared" si="50"/>
        <v>US</v>
      </c>
      <c r="G1664" s="2" t="str">
        <f t="shared" si="51"/>
        <v>Efes|PASSAIC-FF</v>
      </c>
    </row>
    <row r="1665" spans="1:7" x14ac:dyDescent="0.2">
      <c r="A1665" s="2" t="str" cm="1">
        <f t="array" ref="A1665">INDEX('[1]Brand Family Territory (Enc)'!$A$2:$A$296,INT((ROW()-2)/10)+1)</f>
        <v>Efes</v>
      </c>
      <c r="B1665" s="2" t="str" cm="1">
        <f t="array" ref="B1665">INDEX('Whitelist (Blackout Reverse)'!$B$1:$K$1,MOD(ROW()-2,10)+1)</f>
        <v>ESSEX</v>
      </c>
      <c r="C1665" s="2" t="str">
        <f>VLOOKUP(A1665,'[1]Brand Family Territory (Enc)'!$A$2:$B$296,2,FALSE)</f>
        <v>All Counties</v>
      </c>
      <c r="D1665" s="2">
        <f>IF(COUNTIFS('[1]Brand Family Territories (Enc)'!$B$2:$B$62,C1665,'[1]Brand Family Territories (Enc)'!$C$2:$C$62,B1665)&gt;0,1,IF(AND(LEFT(B1665,6)="MORRIS",COUNTIFS('[1]Brand Family Territories (Enc)'!$B$2:$B$62,C1665,'[1]Brand Family Territories (Enc)'!$C$2:$C$62,"Morri")&gt;0),"Unk",0))</f>
        <v>1</v>
      </c>
      <c r="E1665" s="2" t="str">
        <f>IFERROR(INDEX('Blackout Brand Fam Areas (Enc)'!$D$6:$D$998,MATCH(UPPER(A1665)&amp;"|"&amp;UPPER(B1665),'Blackout Brand Fam Areas (Enc)'!$G$6:$G$998,0)),"No Match")</f>
        <v>No Match</v>
      </c>
      <c r="F1665" s="2" t="str">
        <f t="shared" si="50"/>
        <v>US</v>
      </c>
      <c r="G1665" s="2" t="str">
        <f t="shared" si="51"/>
        <v>Efes|ESSEX</v>
      </c>
    </row>
    <row r="1666" spans="1:7" x14ac:dyDescent="0.2">
      <c r="A1666" s="2" t="str" cm="1">
        <f t="array" ref="A1666">INDEX('[1]Brand Family Territory (Enc)'!$A$2:$A$296,INT((ROW()-2)/10)+1)</f>
        <v>Efes</v>
      </c>
      <c r="B1666" s="2" t="str" cm="1">
        <f t="array" ref="B1666">INDEX('Whitelist (Blackout Reverse)'!$B$1:$K$1,MOD(ROW()-2,10)+1)</f>
        <v>HUDSON</v>
      </c>
      <c r="C1666" s="2" t="str">
        <f>VLOOKUP(A1666,'[1]Brand Family Territory (Enc)'!$A$2:$B$296,2,FALSE)</f>
        <v>All Counties</v>
      </c>
      <c r="D1666" s="2">
        <f>IF(COUNTIFS('[1]Brand Family Territories (Enc)'!$B$2:$B$62,C1666,'[1]Brand Family Territories (Enc)'!$C$2:$C$62,B1666)&gt;0,1,IF(AND(LEFT(B1666,6)="MORRIS",COUNTIFS('[1]Brand Family Territories (Enc)'!$B$2:$B$62,C1666,'[1]Brand Family Territories (Enc)'!$C$2:$C$62,"Morri")&gt;0),"Unk",0))</f>
        <v>1</v>
      </c>
      <c r="E1666" s="2" t="str">
        <f>IFERROR(INDEX('Blackout Brand Fam Areas (Enc)'!$D$6:$D$998,MATCH(UPPER(A1666)&amp;"|"&amp;UPPER(B1666),'Blackout Brand Fam Areas (Enc)'!$G$6:$G$998,0)),"No Match")</f>
        <v>No Match</v>
      </c>
      <c r="F1666" s="2" t="str">
        <f t="shared" si="50"/>
        <v>US</v>
      </c>
      <c r="G1666" s="2" t="str">
        <f t="shared" si="51"/>
        <v>Efes|HUDSON</v>
      </c>
    </row>
    <row r="1667" spans="1:7" x14ac:dyDescent="0.2">
      <c r="A1667" s="2" t="str" cm="1">
        <f t="array" ref="A1667">INDEX('[1]Brand Family Territory (Enc)'!$A$2:$A$296,INT((ROW()-2)/10)+1)</f>
        <v>Efes</v>
      </c>
      <c r="B1667" s="2" t="str" cm="1">
        <f t="array" ref="B1667">INDEX('Whitelist (Blackout Reverse)'!$B$1:$K$1,MOD(ROW()-2,10)+1)</f>
        <v>UNION</v>
      </c>
      <c r="C1667" s="2" t="str">
        <f>VLOOKUP(A1667,'[1]Brand Family Territory (Enc)'!$A$2:$B$296,2,FALSE)</f>
        <v>All Counties</v>
      </c>
      <c r="D1667" s="2">
        <f>IF(COUNTIFS('[1]Brand Family Territories (Enc)'!$B$2:$B$62,C1667,'[1]Brand Family Territories (Enc)'!$C$2:$C$62,B1667)&gt;0,1,IF(AND(LEFT(B1667,6)="MORRIS",COUNTIFS('[1]Brand Family Territories (Enc)'!$B$2:$B$62,C1667,'[1]Brand Family Territories (Enc)'!$C$2:$C$62,"Morri")&gt;0),"Unk",0))</f>
        <v>1</v>
      </c>
      <c r="E1667" s="2" t="str">
        <f>IFERROR(INDEX('Blackout Brand Fam Areas (Enc)'!$D$6:$D$998,MATCH(UPPER(A1667)&amp;"|"&amp;UPPER(B1667),'Blackout Brand Fam Areas (Enc)'!$G$6:$G$998,0)),"No Match")</f>
        <v>No Match</v>
      </c>
      <c r="F1667" s="2" t="str">
        <f t="shared" ref="F1667:F1730" si="52">IF(D1667="Unk","Ambiguous (Source Truncated)",IF(E1667="Inactive","THEM",IF(D1667=1,"US",IF(D1667="N/A","No Territory Data","THEM"))))</f>
        <v>US</v>
      </c>
      <c r="G1667" s="2" t="str">
        <f t="shared" ref="G1667:G1730" si="53">A1667&amp;"|"&amp;B1667</f>
        <v>Efes|UNION</v>
      </c>
    </row>
    <row r="1668" spans="1:7" x14ac:dyDescent="0.2">
      <c r="A1668" s="2" t="str" cm="1">
        <f t="array" ref="A1668">INDEX('[1]Brand Family Territory (Enc)'!$A$2:$A$296,INT((ROW()-2)/10)+1)</f>
        <v>Efes</v>
      </c>
      <c r="B1668" s="2" t="str" cm="1">
        <f t="array" ref="B1668">INDEX('Whitelist (Blackout Reverse)'!$B$1:$K$1,MOD(ROW()-2,10)+1)</f>
        <v>SUSSEX</v>
      </c>
      <c r="C1668" s="2" t="str">
        <f>VLOOKUP(A1668,'[1]Brand Family Territory (Enc)'!$A$2:$B$296,2,FALSE)</f>
        <v>All Counties</v>
      </c>
      <c r="D1668" s="2">
        <f>IF(COUNTIFS('[1]Brand Family Territories (Enc)'!$B$2:$B$62,C1668,'[1]Brand Family Territories (Enc)'!$C$2:$C$62,B1668)&gt;0,1,IF(AND(LEFT(B1668,6)="MORRIS",COUNTIFS('[1]Brand Family Territories (Enc)'!$B$2:$B$62,C1668,'[1]Brand Family Territories (Enc)'!$C$2:$C$62,"Morri")&gt;0),"Unk",0))</f>
        <v>1</v>
      </c>
      <c r="E1668" s="2" t="str">
        <f>IFERROR(INDEX('Blackout Brand Fam Areas (Enc)'!$D$6:$D$998,MATCH(UPPER(A1668)&amp;"|"&amp;UPPER(B1668),'Blackout Brand Fam Areas (Enc)'!$G$6:$G$998,0)),"No Match")</f>
        <v>No Match</v>
      </c>
      <c r="F1668" s="2" t="str">
        <f t="shared" si="52"/>
        <v>US</v>
      </c>
      <c r="G1668" s="2" t="str">
        <f t="shared" si="53"/>
        <v>Efes|SUSSEX</v>
      </c>
    </row>
    <row r="1669" spans="1:7" x14ac:dyDescent="0.2">
      <c r="A1669" s="2" t="str" cm="1">
        <f t="array" ref="A1669">INDEX('[1]Brand Family Territory (Enc)'!$A$2:$A$296,INT((ROW()-2)/10)+1)</f>
        <v>Efes</v>
      </c>
      <c r="B1669" s="2" t="str" cm="1">
        <f t="array" ref="B1669">INDEX('Whitelist (Blackout Reverse)'!$B$1:$K$1,MOD(ROW()-2,10)+1)</f>
        <v>MORRIS 1</v>
      </c>
      <c r="C1669" s="2" t="str">
        <f>VLOOKUP(A1669,'[1]Brand Family Territory (Enc)'!$A$2:$B$296,2,FALSE)</f>
        <v>All Counties</v>
      </c>
      <c r="D1669" s="2">
        <f>IF(COUNTIFS('[1]Brand Family Territories (Enc)'!$B$2:$B$62,C1669,'[1]Brand Family Territories (Enc)'!$C$2:$C$62,B1669)&gt;0,1,IF(AND(LEFT(B1669,6)="MORRIS",COUNTIFS('[1]Brand Family Territories (Enc)'!$B$2:$B$62,C1669,'[1]Brand Family Territories (Enc)'!$C$2:$C$62,"Morri")&gt;0),"Unk",0))</f>
        <v>1</v>
      </c>
      <c r="E1669" s="2" t="str">
        <f>IFERROR(INDEX('Blackout Brand Fam Areas (Enc)'!$D$6:$D$998,MATCH(UPPER(A1669)&amp;"|"&amp;UPPER(B1669),'Blackout Brand Fam Areas (Enc)'!$G$6:$G$998,0)),"No Match")</f>
        <v>No Match</v>
      </c>
      <c r="F1669" s="2" t="str">
        <f t="shared" si="52"/>
        <v>US</v>
      </c>
      <c r="G1669" s="2" t="str">
        <f t="shared" si="53"/>
        <v>Efes|MORRIS 1</v>
      </c>
    </row>
    <row r="1670" spans="1:7" x14ac:dyDescent="0.2">
      <c r="A1670" s="2" t="str" cm="1">
        <f t="array" ref="A1670">INDEX('[1]Brand Family Territory (Enc)'!$A$2:$A$296,INT((ROW()-2)/10)+1)</f>
        <v>Efes</v>
      </c>
      <c r="B1670" s="2" t="str" cm="1">
        <f t="array" ref="B1670">INDEX('Whitelist (Blackout Reverse)'!$B$1:$K$1,MOD(ROW()-2,10)+1)</f>
        <v>MORRIS 2</v>
      </c>
      <c r="C1670" s="2" t="str">
        <f>VLOOKUP(A1670,'[1]Brand Family Territory (Enc)'!$A$2:$B$296,2,FALSE)</f>
        <v>All Counties</v>
      </c>
      <c r="D1670" s="2">
        <f>IF(COUNTIFS('[1]Brand Family Territories (Enc)'!$B$2:$B$62,C1670,'[1]Brand Family Territories (Enc)'!$C$2:$C$62,B1670)&gt;0,1,IF(AND(LEFT(B1670,6)="MORRIS",COUNTIFS('[1]Brand Family Territories (Enc)'!$B$2:$B$62,C1670,'[1]Brand Family Territories (Enc)'!$C$2:$C$62,"Morri")&gt;0),"Unk",0))</f>
        <v>1</v>
      </c>
      <c r="E1670" s="2" t="str">
        <f>IFERROR(INDEX('Blackout Brand Fam Areas (Enc)'!$D$6:$D$998,MATCH(UPPER(A1670)&amp;"|"&amp;UPPER(B1670),'Blackout Brand Fam Areas (Enc)'!$G$6:$G$998,0)),"No Match")</f>
        <v>No Match</v>
      </c>
      <c r="F1670" s="2" t="str">
        <f t="shared" si="52"/>
        <v>US</v>
      </c>
      <c r="G1670" s="2" t="str">
        <f t="shared" si="53"/>
        <v>Efes|MORRIS 2</v>
      </c>
    </row>
    <row r="1671" spans="1:7" x14ac:dyDescent="0.2">
      <c r="A1671" s="2" t="str" cm="1">
        <f t="array" ref="A1671">INDEX('[1]Brand Family Territory (Enc)'!$A$2:$A$296,INT((ROW()-2)/10)+1)</f>
        <v>Efes</v>
      </c>
      <c r="B1671" s="2" t="str" cm="1">
        <f t="array" ref="B1671">INDEX('Whitelist (Blackout Reverse)'!$B$1:$K$1,MOD(ROW()-2,10)+1)</f>
        <v>MORRIS 3</v>
      </c>
      <c r="C1671" s="2" t="str">
        <f>VLOOKUP(A1671,'[1]Brand Family Territory (Enc)'!$A$2:$B$296,2,FALSE)</f>
        <v>All Counties</v>
      </c>
      <c r="D1671" s="2">
        <f>IF(COUNTIFS('[1]Brand Family Territories (Enc)'!$B$2:$B$62,C1671,'[1]Brand Family Territories (Enc)'!$C$2:$C$62,B1671)&gt;0,1,IF(AND(LEFT(B1671,6)="MORRIS",COUNTIFS('[1]Brand Family Territories (Enc)'!$B$2:$B$62,C1671,'[1]Brand Family Territories (Enc)'!$C$2:$C$62,"Morri")&gt;0),"Unk",0))</f>
        <v>1</v>
      </c>
      <c r="E1671" s="2" t="str">
        <f>IFERROR(INDEX('Blackout Brand Fam Areas (Enc)'!$D$6:$D$998,MATCH(UPPER(A1671)&amp;"|"&amp;UPPER(B1671),'Blackout Brand Fam Areas (Enc)'!$G$6:$G$998,0)),"No Match")</f>
        <v>No Match</v>
      </c>
      <c r="F1671" s="2" t="str">
        <f t="shared" si="52"/>
        <v>US</v>
      </c>
      <c r="G1671" s="2" t="str">
        <f t="shared" si="53"/>
        <v>Efes|MORRIS 3</v>
      </c>
    </row>
    <row r="1672" spans="1:7" x14ac:dyDescent="0.2">
      <c r="A1672" s="2" t="str" cm="1">
        <f t="array" ref="A1672">INDEX('[1]Brand Family Territory (Enc)'!$A$2:$A$296,INT((ROW()-2)/10)+1)</f>
        <v>EL Jimador</v>
      </c>
      <c r="B1672" s="2" t="str" cm="1">
        <f t="array" ref="B1672">INDEX('Whitelist (Blackout Reverse)'!$B$1:$K$1,MOD(ROW()-2,10)+1)</f>
        <v>BERGEN</v>
      </c>
      <c r="C1672" s="2" t="str">
        <f>VLOOKUP(A1672,'[1]Brand Family Territory (Enc)'!$A$2:$B$296,2,FALSE)</f>
        <v>All Counties</v>
      </c>
      <c r="D1672" s="2">
        <f>IF(COUNTIFS('[1]Brand Family Territories (Enc)'!$B$2:$B$62,C1672,'[1]Brand Family Territories (Enc)'!$C$2:$C$62,B1672)&gt;0,1,IF(AND(LEFT(B1672,6)="MORRIS",COUNTIFS('[1]Brand Family Territories (Enc)'!$B$2:$B$62,C1672,'[1]Brand Family Territories (Enc)'!$C$2:$C$62,"Morri")&gt;0),"Unk",0))</f>
        <v>1</v>
      </c>
      <c r="E1672" s="2" t="str">
        <f>IFERROR(INDEX('Blackout Brand Fam Areas (Enc)'!$D$6:$D$998,MATCH(UPPER(A1672)&amp;"|"&amp;UPPER(B1672),'Blackout Brand Fam Areas (Enc)'!$G$6:$G$998,0)),"No Match")</f>
        <v>No Match</v>
      </c>
      <c r="F1672" s="2" t="str">
        <f t="shared" si="52"/>
        <v>US</v>
      </c>
      <c r="G1672" s="2" t="str">
        <f t="shared" si="53"/>
        <v>EL Jimador|BERGEN</v>
      </c>
    </row>
    <row r="1673" spans="1:7" x14ac:dyDescent="0.2">
      <c r="A1673" s="2" t="str" cm="1">
        <f t="array" ref="A1673">INDEX('[1]Brand Family Territory (Enc)'!$A$2:$A$296,INT((ROW()-2)/10)+1)</f>
        <v>EL Jimador</v>
      </c>
      <c r="B1673" s="2" t="str" cm="1">
        <f t="array" ref="B1673">INDEX('Whitelist (Blackout Reverse)'!$B$1:$K$1,MOD(ROW()-2,10)+1)</f>
        <v>PASSAIC</v>
      </c>
      <c r="C1673" s="2" t="str">
        <f>VLOOKUP(A1673,'[1]Brand Family Territory (Enc)'!$A$2:$B$296,2,FALSE)</f>
        <v>All Counties</v>
      </c>
      <c r="D1673" s="2">
        <f>IF(COUNTIFS('[1]Brand Family Territories (Enc)'!$B$2:$B$62,C1673,'[1]Brand Family Territories (Enc)'!$C$2:$C$62,B1673)&gt;0,1,IF(AND(LEFT(B1673,6)="MORRIS",COUNTIFS('[1]Brand Family Territories (Enc)'!$B$2:$B$62,C1673,'[1]Brand Family Territories (Enc)'!$C$2:$C$62,"Morri")&gt;0),"Unk",0))</f>
        <v>1</v>
      </c>
      <c r="E1673" s="2" t="str">
        <f>IFERROR(INDEX('Blackout Brand Fam Areas (Enc)'!$D$6:$D$998,MATCH(UPPER(A1673)&amp;"|"&amp;UPPER(B1673),'Blackout Brand Fam Areas (Enc)'!$G$6:$G$998,0)),"No Match")</f>
        <v>No Match</v>
      </c>
      <c r="F1673" s="2" t="str">
        <f t="shared" si="52"/>
        <v>US</v>
      </c>
      <c r="G1673" s="2" t="str">
        <f t="shared" si="53"/>
        <v>EL Jimador|PASSAIC</v>
      </c>
    </row>
    <row r="1674" spans="1:7" x14ac:dyDescent="0.2">
      <c r="A1674" s="2" t="str" cm="1">
        <f t="array" ref="A1674">INDEX('[1]Brand Family Territory (Enc)'!$A$2:$A$296,INT((ROW()-2)/10)+1)</f>
        <v>EL Jimador</v>
      </c>
      <c r="B1674" s="2" t="str" cm="1">
        <f t="array" ref="B1674">INDEX('Whitelist (Blackout Reverse)'!$B$1:$K$1,MOD(ROW()-2,10)+1)</f>
        <v>PASSAIC-FF</v>
      </c>
      <c r="C1674" s="2" t="str">
        <f>VLOOKUP(A1674,'[1]Brand Family Territory (Enc)'!$A$2:$B$296,2,FALSE)</f>
        <v>All Counties</v>
      </c>
      <c r="D1674" s="2">
        <f>IF(COUNTIFS('[1]Brand Family Territories (Enc)'!$B$2:$B$62,C1674,'[1]Brand Family Territories (Enc)'!$C$2:$C$62,B1674)&gt;0,1,IF(AND(LEFT(B1674,6)="MORRIS",COUNTIFS('[1]Brand Family Territories (Enc)'!$B$2:$B$62,C1674,'[1]Brand Family Territories (Enc)'!$C$2:$C$62,"Morri")&gt;0),"Unk",0))</f>
        <v>1</v>
      </c>
      <c r="E1674" s="2" t="str">
        <f>IFERROR(INDEX('Blackout Brand Fam Areas (Enc)'!$D$6:$D$998,MATCH(UPPER(A1674)&amp;"|"&amp;UPPER(B1674),'Blackout Brand Fam Areas (Enc)'!$G$6:$G$998,0)),"No Match")</f>
        <v>No Match</v>
      </c>
      <c r="F1674" s="2" t="str">
        <f t="shared" si="52"/>
        <v>US</v>
      </c>
      <c r="G1674" s="2" t="str">
        <f t="shared" si="53"/>
        <v>EL Jimador|PASSAIC-FF</v>
      </c>
    </row>
    <row r="1675" spans="1:7" x14ac:dyDescent="0.2">
      <c r="A1675" s="2" t="str" cm="1">
        <f t="array" ref="A1675">INDEX('[1]Brand Family Territory (Enc)'!$A$2:$A$296,INT((ROW()-2)/10)+1)</f>
        <v>EL Jimador</v>
      </c>
      <c r="B1675" s="2" t="str" cm="1">
        <f t="array" ref="B1675">INDEX('Whitelist (Blackout Reverse)'!$B$1:$K$1,MOD(ROW()-2,10)+1)</f>
        <v>ESSEX</v>
      </c>
      <c r="C1675" s="2" t="str">
        <f>VLOOKUP(A1675,'[1]Brand Family Territory (Enc)'!$A$2:$B$296,2,FALSE)</f>
        <v>All Counties</v>
      </c>
      <c r="D1675" s="2">
        <f>IF(COUNTIFS('[1]Brand Family Territories (Enc)'!$B$2:$B$62,C1675,'[1]Brand Family Territories (Enc)'!$C$2:$C$62,B1675)&gt;0,1,IF(AND(LEFT(B1675,6)="MORRIS",COUNTIFS('[1]Brand Family Territories (Enc)'!$B$2:$B$62,C1675,'[1]Brand Family Territories (Enc)'!$C$2:$C$62,"Morri")&gt;0),"Unk",0))</f>
        <v>1</v>
      </c>
      <c r="E1675" s="2" t="str">
        <f>IFERROR(INDEX('Blackout Brand Fam Areas (Enc)'!$D$6:$D$998,MATCH(UPPER(A1675)&amp;"|"&amp;UPPER(B1675),'Blackout Brand Fam Areas (Enc)'!$G$6:$G$998,0)),"No Match")</f>
        <v>No Match</v>
      </c>
      <c r="F1675" s="2" t="str">
        <f t="shared" si="52"/>
        <v>US</v>
      </c>
      <c r="G1675" s="2" t="str">
        <f t="shared" si="53"/>
        <v>EL Jimador|ESSEX</v>
      </c>
    </row>
    <row r="1676" spans="1:7" x14ac:dyDescent="0.2">
      <c r="A1676" s="2" t="str" cm="1">
        <f t="array" ref="A1676">INDEX('[1]Brand Family Territory (Enc)'!$A$2:$A$296,INT((ROW()-2)/10)+1)</f>
        <v>EL Jimador</v>
      </c>
      <c r="B1676" s="2" t="str" cm="1">
        <f t="array" ref="B1676">INDEX('Whitelist (Blackout Reverse)'!$B$1:$K$1,MOD(ROW()-2,10)+1)</f>
        <v>HUDSON</v>
      </c>
      <c r="C1676" s="2" t="str">
        <f>VLOOKUP(A1676,'[1]Brand Family Territory (Enc)'!$A$2:$B$296,2,FALSE)</f>
        <v>All Counties</v>
      </c>
      <c r="D1676" s="2">
        <f>IF(COUNTIFS('[1]Brand Family Territories (Enc)'!$B$2:$B$62,C1676,'[1]Brand Family Territories (Enc)'!$C$2:$C$62,B1676)&gt;0,1,IF(AND(LEFT(B1676,6)="MORRIS",COUNTIFS('[1]Brand Family Territories (Enc)'!$B$2:$B$62,C1676,'[1]Brand Family Territories (Enc)'!$C$2:$C$62,"Morri")&gt;0),"Unk",0))</f>
        <v>1</v>
      </c>
      <c r="E1676" s="2" t="str">
        <f>IFERROR(INDEX('Blackout Brand Fam Areas (Enc)'!$D$6:$D$998,MATCH(UPPER(A1676)&amp;"|"&amp;UPPER(B1676),'Blackout Brand Fam Areas (Enc)'!$G$6:$G$998,0)),"No Match")</f>
        <v>No Match</v>
      </c>
      <c r="F1676" s="2" t="str">
        <f t="shared" si="52"/>
        <v>US</v>
      </c>
      <c r="G1676" s="2" t="str">
        <f t="shared" si="53"/>
        <v>EL Jimador|HUDSON</v>
      </c>
    </row>
    <row r="1677" spans="1:7" x14ac:dyDescent="0.2">
      <c r="A1677" s="2" t="str" cm="1">
        <f t="array" ref="A1677">INDEX('[1]Brand Family Territory (Enc)'!$A$2:$A$296,INT((ROW()-2)/10)+1)</f>
        <v>EL Jimador</v>
      </c>
      <c r="B1677" s="2" t="str" cm="1">
        <f t="array" ref="B1677">INDEX('Whitelist (Blackout Reverse)'!$B$1:$K$1,MOD(ROW()-2,10)+1)</f>
        <v>UNION</v>
      </c>
      <c r="C1677" s="2" t="str">
        <f>VLOOKUP(A1677,'[1]Brand Family Territory (Enc)'!$A$2:$B$296,2,FALSE)</f>
        <v>All Counties</v>
      </c>
      <c r="D1677" s="2">
        <f>IF(COUNTIFS('[1]Brand Family Territories (Enc)'!$B$2:$B$62,C1677,'[1]Brand Family Territories (Enc)'!$C$2:$C$62,B1677)&gt;0,1,IF(AND(LEFT(B1677,6)="MORRIS",COUNTIFS('[1]Brand Family Territories (Enc)'!$B$2:$B$62,C1677,'[1]Brand Family Territories (Enc)'!$C$2:$C$62,"Morri")&gt;0),"Unk",0))</f>
        <v>1</v>
      </c>
      <c r="E1677" s="2" t="str">
        <f>IFERROR(INDEX('Blackout Brand Fam Areas (Enc)'!$D$6:$D$998,MATCH(UPPER(A1677)&amp;"|"&amp;UPPER(B1677),'Blackout Brand Fam Areas (Enc)'!$G$6:$G$998,0)),"No Match")</f>
        <v>No Match</v>
      </c>
      <c r="F1677" s="2" t="str">
        <f t="shared" si="52"/>
        <v>US</v>
      </c>
      <c r="G1677" s="2" t="str">
        <f t="shared" si="53"/>
        <v>EL Jimador|UNION</v>
      </c>
    </row>
    <row r="1678" spans="1:7" x14ac:dyDescent="0.2">
      <c r="A1678" s="2" t="str" cm="1">
        <f t="array" ref="A1678">INDEX('[1]Brand Family Territory (Enc)'!$A$2:$A$296,INT((ROW()-2)/10)+1)</f>
        <v>EL Jimador</v>
      </c>
      <c r="B1678" s="2" t="str" cm="1">
        <f t="array" ref="B1678">INDEX('Whitelist (Blackout Reverse)'!$B$1:$K$1,MOD(ROW()-2,10)+1)</f>
        <v>SUSSEX</v>
      </c>
      <c r="C1678" s="2" t="str">
        <f>VLOOKUP(A1678,'[1]Brand Family Territory (Enc)'!$A$2:$B$296,2,FALSE)</f>
        <v>All Counties</v>
      </c>
      <c r="D1678" s="2">
        <f>IF(COUNTIFS('[1]Brand Family Territories (Enc)'!$B$2:$B$62,C1678,'[1]Brand Family Territories (Enc)'!$C$2:$C$62,B1678)&gt;0,1,IF(AND(LEFT(B1678,6)="MORRIS",COUNTIFS('[1]Brand Family Territories (Enc)'!$B$2:$B$62,C1678,'[1]Brand Family Territories (Enc)'!$C$2:$C$62,"Morri")&gt;0),"Unk",0))</f>
        <v>1</v>
      </c>
      <c r="E1678" s="2" t="str">
        <f>IFERROR(INDEX('Blackout Brand Fam Areas (Enc)'!$D$6:$D$998,MATCH(UPPER(A1678)&amp;"|"&amp;UPPER(B1678),'Blackout Brand Fam Areas (Enc)'!$G$6:$G$998,0)),"No Match")</f>
        <v>No Match</v>
      </c>
      <c r="F1678" s="2" t="str">
        <f t="shared" si="52"/>
        <v>US</v>
      </c>
      <c r="G1678" s="2" t="str">
        <f t="shared" si="53"/>
        <v>EL Jimador|SUSSEX</v>
      </c>
    </row>
    <row r="1679" spans="1:7" x14ac:dyDescent="0.2">
      <c r="A1679" s="2" t="str" cm="1">
        <f t="array" ref="A1679">INDEX('[1]Brand Family Territory (Enc)'!$A$2:$A$296,INT((ROW()-2)/10)+1)</f>
        <v>EL Jimador</v>
      </c>
      <c r="B1679" s="2" t="str" cm="1">
        <f t="array" ref="B1679">INDEX('Whitelist (Blackout Reverse)'!$B$1:$K$1,MOD(ROW()-2,10)+1)</f>
        <v>MORRIS 1</v>
      </c>
      <c r="C1679" s="2" t="str">
        <f>VLOOKUP(A1679,'[1]Brand Family Territory (Enc)'!$A$2:$B$296,2,FALSE)</f>
        <v>All Counties</v>
      </c>
      <c r="D1679" s="2">
        <f>IF(COUNTIFS('[1]Brand Family Territories (Enc)'!$B$2:$B$62,C1679,'[1]Brand Family Territories (Enc)'!$C$2:$C$62,B1679)&gt;0,1,IF(AND(LEFT(B1679,6)="MORRIS",COUNTIFS('[1]Brand Family Territories (Enc)'!$B$2:$B$62,C1679,'[1]Brand Family Territories (Enc)'!$C$2:$C$62,"Morri")&gt;0),"Unk",0))</f>
        <v>1</v>
      </c>
      <c r="E1679" s="2" t="str">
        <f>IFERROR(INDEX('Blackout Brand Fam Areas (Enc)'!$D$6:$D$998,MATCH(UPPER(A1679)&amp;"|"&amp;UPPER(B1679),'Blackout Brand Fam Areas (Enc)'!$G$6:$G$998,0)),"No Match")</f>
        <v>No Match</v>
      </c>
      <c r="F1679" s="2" t="str">
        <f t="shared" si="52"/>
        <v>US</v>
      </c>
      <c r="G1679" s="2" t="str">
        <f t="shared" si="53"/>
        <v>EL Jimador|MORRIS 1</v>
      </c>
    </row>
    <row r="1680" spans="1:7" x14ac:dyDescent="0.2">
      <c r="A1680" s="2" t="str" cm="1">
        <f t="array" ref="A1680">INDEX('[1]Brand Family Territory (Enc)'!$A$2:$A$296,INT((ROW()-2)/10)+1)</f>
        <v>EL Jimador</v>
      </c>
      <c r="B1680" s="2" t="str" cm="1">
        <f t="array" ref="B1680">INDEX('Whitelist (Blackout Reverse)'!$B$1:$K$1,MOD(ROW()-2,10)+1)</f>
        <v>MORRIS 2</v>
      </c>
      <c r="C1680" s="2" t="str">
        <f>VLOOKUP(A1680,'[1]Brand Family Territory (Enc)'!$A$2:$B$296,2,FALSE)</f>
        <v>All Counties</v>
      </c>
      <c r="D1680" s="2">
        <f>IF(COUNTIFS('[1]Brand Family Territories (Enc)'!$B$2:$B$62,C1680,'[1]Brand Family Territories (Enc)'!$C$2:$C$62,B1680)&gt;0,1,IF(AND(LEFT(B1680,6)="MORRIS",COUNTIFS('[1]Brand Family Territories (Enc)'!$B$2:$B$62,C1680,'[1]Brand Family Territories (Enc)'!$C$2:$C$62,"Morri")&gt;0),"Unk",0))</f>
        <v>1</v>
      </c>
      <c r="E1680" s="2" t="str">
        <f>IFERROR(INDEX('Blackout Brand Fam Areas (Enc)'!$D$6:$D$998,MATCH(UPPER(A1680)&amp;"|"&amp;UPPER(B1680),'Blackout Brand Fam Areas (Enc)'!$G$6:$G$998,0)),"No Match")</f>
        <v>No Match</v>
      </c>
      <c r="F1680" s="2" t="str">
        <f t="shared" si="52"/>
        <v>US</v>
      </c>
      <c r="G1680" s="2" t="str">
        <f t="shared" si="53"/>
        <v>EL Jimador|MORRIS 2</v>
      </c>
    </row>
    <row r="1681" spans="1:7" x14ac:dyDescent="0.2">
      <c r="A1681" s="2" t="str" cm="1">
        <f t="array" ref="A1681">INDEX('[1]Brand Family Territory (Enc)'!$A$2:$A$296,INT((ROW()-2)/10)+1)</f>
        <v>EL Jimador</v>
      </c>
      <c r="B1681" s="2" t="str" cm="1">
        <f t="array" ref="B1681">INDEX('Whitelist (Blackout Reverse)'!$B$1:$K$1,MOD(ROW()-2,10)+1)</f>
        <v>MORRIS 3</v>
      </c>
      <c r="C1681" s="2" t="str">
        <f>VLOOKUP(A1681,'[1]Brand Family Territory (Enc)'!$A$2:$B$296,2,FALSE)</f>
        <v>All Counties</v>
      </c>
      <c r="D1681" s="2">
        <f>IF(COUNTIFS('[1]Brand Family Territories (Enc)'!$B$2:$B$62,C1681,'[1]Brand Family Territories (Enc)'!$C$2:$C$62,B1681)&gt;0,1,IF(AND(LEFT(B1681,6)="MORRIS",COUNTIFS('[1]Brand Family Territories (Enc)'!$B$2:$B$62,C1681,'[1]Brand Family Territories (Enc)'!$C$2:$C$62,"Morri")&gt;0),"Unk",0))</f>
        <v>1</v>
      </c>
      <c r="E1681" s="2" t="str">
        <f>IFERROR(INDEX('Blackout Brand Fam Areas (Enc)'!$D$6:$D$998,MATCH(UPPER(A1681)&amp;"|"&amp;UPPER(B1681),'Blackout Brand Fam Areas (Enc)'!$G$6:$G$998,0)),"No Match")</f>
        <v>No Match</v>
      </c>
      <c r="F1681" s="2" t="str">
        <f t="shared" si="52"/>
        <v>US</v>
      </c>
      <c r="G1681" s="2" t="str">
        <f t="shared" si="53"/>
        <v>EL Jimador|MORRIS 3</v>
      </c>
    </row>
    <row r="1682" spans="1:7" x14ac:dyDescent="0.2">
      <c r="A1682" s="2" t="str" cm="1">
        <f t="array" ref="A1682">INDEX('[1]Brand Family Territory (Enc)'!$A$2:$A$296,INT((ROW()-2)/10)+1)</f>
        <v>Eleven20 Tequila</v>
      </c>
      <c r="B1682" s="2" t="str" cm="1">
        <f t="array" ref="B1682">INDEX('Whitelist (Blackout Reverse)'!$B$1:$K$1,MOD(ROW()-2,10)+1)</f>
        <v>BERGEN</v>
      </c>
      <c r="C1682" s="2" t="str">
        <f>VLOOKUP(A1682,'[1]Brand Family Territory (Enc)'!$A$2:$B$296,2,FALSE)</f>
        <v>All Counties</v>
      </c>
      <c r="D1682" s="2">
        <f>IF(COUNTIFS('[1]Brand Family Territories (Enc)'!$B$2:$B$62,C1682,'[1]Brand Family Territories (Enc)'!$C$2:$C$62,B1682)&gt;0,1,IF(AND(LEFT(B1682,6)="MORRIS",COUNTIFS('[1]Brand Family Territories (Enc)'!$B$2:$B$62,C1682,'[1]Brand Family Territories (Enc)'!$C$2:$C$62,"Morri")&gt;0),"Unk",0))</f>
        <v>1</v>
      </c>
      <c r="E1682" s="2" t="str">
        <f>IFERROR(INDEX('Blackout Brand Fam Areas (Enc)'!$D$6:$D$998,MATCH(UPPER(A1682)&amp;"|"&amp;UPPER(B1682),'Blackout Brand Fam Areas (Enc)'!$G$6:$G$998,0)),"No Match")</f>
        <v>No Match</v>
      </c>
      <c r="F1682" s="2" t="str">
        <f t="shared" si="52"/>
        <v>US</v>
      </c>
      <c r="G1682" s="2" t="str">
        <f t="shared" si="53"/>
        <v>Eleven20 Tequila|BERGEN</v>
      </c>
    </row>
    <row r="1683" spans="1:7" x14ac:dyDescent="0.2">
      <c r="A1683" s="2" t="str" cm="1">
        <f t="array" ref="A1683">INDEX('[1]Brand Family Territory (Enc)'!$A$2:$A$296,INT((ROW()-2)/10)+1)</f>
        <v>Eleven20 Tequila</v>
      </c>
      <c r="B1683" s="2" t="str" cm="1">
        <f t="array" ref="B1683">INDEX('Whitelist (Blackout Reverse)'!$B$1:$K$1,MOD(ROW()-2,10)+1)</f>
        <v>PASSAIC</v>
      </c>
      <c r="C1683" s="2" t="str">
        <f>VLOOKUP(A1683,'[1]Brand Family Territory (Enc)'!$A$2:$B$296,2,FALSE)</f>
        <v>All Counties</v>
      </c>
      <c r="D1683" s="2">
        <f>IF(COUNTIFS('[1]Brand Family Territories (Enc)'!$B$2:$B$62,C1683,'[1]Brand Family Territories (Enc)'!$C$2:$C$62,B1683)&gt;0,1,IF(AND(LEFT(B1683,6)="MORRIS",COUNTIFS('[1]Brand Family Territories (Enc)'!$B$2:$B$62,C1683,'[1]Brand Family Territories (Enc)'!$C$2:$C$62,"Morri")&gt;0),"Unk",0))</f>
        <v>1</v>
      </c>
      <c r="E1683" s="2" t="str">
        <f>IFERROR(INDEX('Blackout Brand Fam Areas (Enc)'!$D$6:$D$998,MATCH(UPPER(A1683)&amp;"|"&amp;UPPER(B1683),'Blackout Brand Fam Areas (Enc)'!$G$6:$G$998,0)),"No Match")</f>
        <v>No Match</v>
      </c>
      <c r="F1683" s="2" t="str">
        <f t="shared" si="52"/>
        <v>US</v>
      </c>
      <c r="G1683" s="2" t="str">
        <f t="shared" si="53"/>
        <v>Eleven20 Tequila|PASSAIC</v>
      </c>
    </row>
    <row r="1684" spans="1:7" x14ac:dyDescent="0.2">
      <c r="A1684" s="2" t="str" cm="1">
        <f t="array" ref="A1684">INDEX('[1]Brand Family Territory (Enc)'!$A$2:$A$296,INT((ROW()-2)/10)+1)</f>
        <v>Eleven20 Tequila</v>
      </c>
      <c r="B1684" s="2" t="str" cm="1">
        <f t="array" ref="B1684">INDEX('Whitelist (Blackout Reverse)'!$B$1:$K$1,MOD(ROW()-2,10)+1)</f>
        <v>PASSAIC-FF</v>
      </c>
      <c r="C1684" s="2" t="str">
        <f>VLOOKUP(A1684,'[1]Brand Family Territory (Enc)'!$A$2:$B$296,2,FALSE)</f>
        <v>All Counties</v>
      </c>
      <c r="D1684" s="2">
        <f>IF(COUNTIFS('[1]Brand Family Territories (Enc)'!$B$2:$B$62,C1684,'[1]Brand Family Territories (Enc)'!$C$2:$C$62,B1684)&gt;0,1,IF(AND(LEFT(B1684,6)="MORRIS",COUNTIFS('[1]Brand Family Territories (Enc)'!$B$2:$B$62,C1684,'[1]Brand Family Territories (Enc)'!$C$2:$C$62,"Morri")&gt;0),"Unk",0))</f>
        <v>1</v>
      </c>
      <c r="E1684" s="2" t="str">
        <f>IFERROR(INDEX('Blackout Brand Fam Areas (Enc)'!$D$6:$D$998,MATCH(UPPER(A1684)&amp;"|"&amp;UPPER(B1684),'Blackout Brand Fam Areas (Enc)'!$G$6:$G$998,0)),"No Match")</f>
        <v>No Match</v>
      </c>
      <c r="F1684" s="2" t="str">
        <f t="shared" si="52"/>
        <v>US</v>
      </c>
      <c r="G1684" s="2" t="str">
        <f t="shared" si="53"/>
        <v>Eleven20 Tequila|PASSAIC-FF</v>
      </c>
    </row>
    <row r="1685" spans="1:7" x14ac:dyDescent="0.2">
      <c r="A1685" s="2" t="str" cm="1">
        <f t="array" ref="A1685">INDEX('[1]Brand Family Territory (Enc)'!$A$2:$A$296,INT((ROW()-2)/10)+1)</f>
        <v>Eleven20 Tequila</v>
      </c>
      <c r="B1685" s="2" t="str" cm="1">
        <f t="array" ref="B1685">INDEX('Whitelist (Blackout Reverse)'!$B$1:$K$1,MOD(ROW()-2,10)+1)</f>
        <v>ESSEX</v>
      </c>
      <c r="C1685" s="2" t="str">
        <f>VLOOKUP(A1685,'[1]Brand Family Territory (Enc)'!$A$2:$B$296,2,FALSE)</f>
        <v>All Counties</v>
      </c>
      <c r="D1685" s="2">
        <f>IF(COUNTIFS('[1]Brand Family Territories (Enc)'!$B$2:$B$62,C1685,'[1]Brand Family Territories (Enc)'!$C$2:$C$62,B1685)&gt;0,1,IF(AND(LEFT(B1685,6)="MORRIS",COUNTIFS('[1]Brand Family Territories (Enc)'!$B$2:$B$62,C1685,'[1]Brand Family Territories (Enc)'!$C$2:$C$62,"Morri")&gt;0),"Unk",0))</f>
        <v>1</v>
      </c>
      <c r="E1685" s="2" t="str">
        <f>IFERROR(INDEX('Blackout Brand Fam Areas (Enc)'!$D$6:$D$998,MATCH(UPPER(A1685)&amp;"|"&amp;UPPER(B1685),'Blackout Brand Fam Areas (Enc)'!$G$6:$G$998,0)),"No Match")</f>
        <v>No Match</v>
      </c>
      <c r="F1685" s="2" t="str">
        <f t="shared" si="52"/>
        <v>US</v>
      </c>
      <c r="G1685" s="2" t="str">
        <f t="shared" si="53"/>
        <v>Eleven20 Tequila|ESSEX</v>
      </c>
    </row>
    <row r="1686" spans="1:7" x14ac:dyDescent="0.2">
      <c r="A1686" s="2" t="str" cm="1">
        <f t="array" ref="A1686">INDEX('[1]Brand Family Territory (Enc)'!$A$2:$A$296,INT((ROW()-2)/10)+1)</f>
        <v>Eleven20 Tequila</v>
      </c>
      <c r="B1686" s="2" t="str" cm="1">
        <f t="array" ref="B1686">INDEX('Whitelist (Blackout Reverse)'!$B$1:$K$1,MOD(ROW()-2,10)+1)</f>
        <v>HUDSON</v>
      </c>
      <c r="C1686" s="2" t="str">
        <f>VLOOKUP(A1686,'[1]Brand Family Territory (Enc)'!$A$2:$B$296,2,FALSE)</f>
        <v>All Counties</v>
      </c>
      <c r="D1686" s="2">
        <f>IF(COUNTIFS('[1]Brand Family Territories (Enc)'!$B$2:$B$62,C1686,'[1]Brand Family Territories (Enc)'!$C$2:$C$62,B1686)&gt;0,1,IF(AND(LEFT(B1686,6)="MORRIS",COUNTIFS('[1]Brand Family Territories (Enc)'!$B$2:$B$62,C1686,'[1]Brand Family Territories (Enc)'!$C$2:$C$62,"Morri")&gt;0),"Unk",0))</f>
        <v>1</v>
      </c>
      <c r="E1686" s="2" t="str">
        <f>IFERROR(INDEX('Blackout Brand Fam Areas (Enc)'!$D$6:$D$998,MATCH(UPPER(A1686)&amp;"|"&amp;UPPER(B1686),'Blackout Brand Fam Areas (Enc)'!$G$6:$G$998,0)),"No Match")</f>
        <v>No Match</v>
      </c>
      <c r="F1686" s="2" t="str">
        <f t="shared" si="52"/>
        <v>US</v>
      </c>
      <c r="G1686" s="2" t="str">
        <f t="shared" si="53"/>
        <v>Eleven20 Tequila|HUDSON</v>
      </c>
    </row>
    <row r="1687" spans="1:7" x14ac:dyDescent="0.2">
      <c r="A1687" s="2" t="str" cm="1">
        <f t="array" ref="A1687">INDEX('[1]Brand Family Territory (Enc)'!$A$2:$A$296,INT((ROW()-2)/10)+1)</f>
        <v>Eleven20 Tequila</v>
      </c>
      <c r="B1687" s="2" t="str" cm="1">
        <f t="array" ref="B1687">INDEX('Whitelist (Blackout Reverse)'!$B$1:$K$1,MOD(ROW()-2,10)+1)</f>
        <v>UNION</v>
      </c>
      <c r="C1687" s="2" t="str">
        <f>VLOOKUP(A1687,'[1]Brand Family Territory (Enc)'!$A$2:$B$296,2,FALSE)</f>
        <v>All Counties</v>
      </c>
      <c r="D1687" s="2">
        <f>IF(COUNTIFS('[1]Brand Family Territories (Enc)'!$B$2:$B$62,C1687,'[1]Brand Family Territories (Enc)'!$C$2:$C$62,B1687)&gt;0,1,IF(AND(LEFT(B1687,6)="MORRIS",COUNTIFS('[1]Brand Family Territories (Enc)'!$B$2:$B$62,C1687,'[1]Brand Family Territories (Enc)'!$C$2:$C$62,"Morri")&gt;0),"Unk",0))</f>
        <v>1</v>
      </c>
      <c r="E1687" s="2" t="str">
        <f>IFERROR(INDEX('Blackout Brand Fam Areas (Enc)'!$D$6:$D$998,MATCH(UPPER(A1687)&amp;"|"&amp;UPPER(B1687),'Blackout Brand Fam Areas (Enc)'!$G$6:$G$998,0)),"No Match")</f>
        <v>No Match</v>
      </c>
      <c r="F1687" s="2" t="str">
        <f t="shared" si="52"/>
        <v>US</v>
      </c>
      <c r="G1687" s="2" t="str">
        <f t="shared" si="53"/>
        <v>Eleven20 Tequila|UNION</v>
      </c>
    </row>
    <row r="1688" spans="1:7" x14ac:dyDescent="0.2">
      <c r="A1688" s="2" t="str" cm="1">
        <f t="array" ref="A1688">INDEX('[1]Brand Family Territory (Enc)'!$A$2:$A$296,INT((ROW()-2)/10)+1)</f>
        <v>Eleven20 Tequila</v>
      </c>
      <c r="B1688" s="2" t="str" cm="1">
        <f t="array" ref="B1688">INDEX('Whitelist (Blackout Reverse)'!$B$1:$K$1,MOD(ROW()-2,10)+1)</f>
        <v>SUSSEX</v>
      </c>
      <c r="C1688" s="2" t="str">
        <f>VLOOKUP(A1688,'[1]Brand Family Territory (Enc)'!$A$2:$B$296,2,FALSE)</f>
        <v>All Counties</v>
      </c>
      <c r="D1688" s="2">
        <f>IF(COUNTIFS('[1]Brand Family Territories (Enc)'!$B$2:$B$62,C1688,'[1]Brand Family Territories (Enc)'!$C$2:$C$62,B1688)&gt;0,1,IF(AND(LEFT(B1688,6)="MORRIS",COUNTIFS('[1]Brand Family Territories (Enc)'!$B$2:$B$62,C1688,'[1]Brand Family Territories (Enc)'!$C$2:$C$62,"Morri")&gt;0),"Unk",0))</f>
        <v>1</v>
      </c>
      <c r="E1688" s="2" t="str">
        <f>IFERROR(INDEX('Blackout Brand Fam Areas (Enc)'!$D$6:$D$998,MATCH(UPPER(A1688)&amp;"|"&amp;UPPER(B1688),'Blackout Brand Fam Areas (Enc)'!$G$6:$G$998,0)),"No Match")</f>
        <v>No Match</v>
      </c>
      <c r="F1688" s="2" t="str">
        <f t="shared" si="52"/>
        <v>US</v>
      </c>
      <c r="G1688" s="2" t="str">
        <f t="shared" si="53"/>
        <v>Eleven20 Tequila|SUSSEX</v>
      </c>
    </row>
    <row r="1689" spans="1:7" x14ac:dyDescent="0.2">
      <c r="A1689" s="2" t="str" cm="1">
        <f t="array" ref="A1689">INDEX('[1]Brand Family Territory (Enc)'!$A$2:$A$296,INT((ROW()-2)/10)+1)</f>
        <v>Eleven20 Tequila</v>
      </c>
      <c r="B1689" s="2" t="str" cm="1">
        <f t="array" ref="B1689">INDEX('Whitelist (Blackout Reverse)'!$B$1:$K$1,MOD(ROW()-2,10)+1)</f>
        <v>MORRIS 1</v>
      </c>
      <c r="C1689" s="2" t="str">
        <f>VLOOKUP(A1689,'[1]Brand Family Territory (Enc)'!$A$2:$B$296,2,FALSE)</f>
        <v>All Counties</v>
      </c>
      <c r="D1689" s="2">
        <f>IF(COUNTIFS('[1]Brand Family Territories (Enc)'!$B$2:$B$62,C1689,'[1]Brand Family Territories (Enc)'!$C$2:$C$62,B1689)&gt;0,1,IF(AND(LEFT(B1689,6)="MORRIS",COUNTIFS('[1]Brand Family Territories (Enc)'!$B$2:$B$62,C1689,'[1]Brand Family Territories (Enc)'!$C$2:$C$62,"Morri")&gt;0),"Unk",0))</f>
        <v>1</v>
      </c>
      <c r="E1689" s="2" t="str">
        <f>IFERROR(INDEX('Blackout Brand Fam Areas (Enc)'!$D$6:$D$998,MATCH(UPPER(A1689)&amp;"|"&amp;UPPER(B1689),'Blackout Brand Fam Areas (Enc)'!$G$6:$G$998,0)),"No Match")</f>
        <v>No Match</v>
      </c>
      <c r="F1689" s="2" t="str">
        <f t="shared" si="52"/>
        <v>US</v>
      </c>
      <c r="G1689" s="2" t="str">
        <f t="shared" si="53"/>
        <v>Eleven20 Tequila|MORRIS 1</v>
      </c>
    </row>
    <row r="1690" spans="1:7" x14ac:dyDescent="0.2">
      <c r="A1690" s="2" t="str" cm="1">
        <f t="array" ref="A1690">INDEX('[1]Brand Family Territory (Enc)'!$A$2:$A$296,INT((ROW()-2)/10)+1)</f>
        <v>Eleven20 Tequila</v>
      </c>
      <c r="B1690" s="2" t="str" cm="1">
        <f t="array" ref="B1690">INDEX('Whitelist (Blackout Reverse)'!$B$1:$K$1,MOD(ROW()-2,10)+1)</f>
        <v>MORRIS 2</v>
      </c>
      <c r="C1690" s="2" t="str">
        <f>VLOOKUP(A1690,'[1]Brand Family Territory (Enc)'!$A$2:$B$296,2,FALSE)</f>
        <v>All Counties</v>
      </c>
      <c r="D1690" s="2">
        <f>IF(COUNTIFS('[1]Brand Family Territories (Enc)'!$B$2:$B$62,C1690,'[1]Brand Family Territories (Enc)'!$C$2:$C$62,B1690)&gt;0,1,IF(AND(LEFT(B1690,6)="MORRIS",COUNTIFS('[1]Brand Family Territories (Enc)'!$B$2:$B$62,C1690,'[1]Brand Family Territories (Enc)'!$C$2:$C$62,"Morri")&gt;0),"Unk",0))</f>
        <v>1</v>
      </c>
      <c r="E1690" s="2" t="str">
        <f>IFERROR(INDEX('Blackout Brand Fam Areas (Enc)'!$D$6:$D$998,MATCH(UPPER(A1690)&amp;"|"&amp;UPPER(B1690),'Blackout Brand Fam Areas (Enc)'!$G$6:$G$998,0)),"No Match")</f>
        <v>No Match</v>
      </c>
      <c r="F1690" s="2" t="str">
        <f t="shared" si="52"/>
        <v>US</v>
      </c>
      <c r="G1690" s="2" t="str">
        <f t="shared" si="53"/>
        <v>Eleven20 Tequila|MORRIS 2</v>
      </c>
    </row>
    <row r="1691" spans="1:7" x14ac:dyDescent="0.2">
      <c r="A1691" s="2" t="str" cm="1">
        <f t="array" ref="A1691">INDEX('[1]Brand Family Territory (Enc)'!$A$2:$A$296,INT((ROW()-2)/10)+1)</f>
        <v>Eleven20 Tequila</v>
      </c>
      <c r="B1691" s="2" t="str" cm="1">
        <f t="array" ref="B1691">INDEX('Whitelist (Blackout Reverse)'!$B$1:$K$1,MOD(ROW()-2,10)+1)</f>
        <v>MORRIS 3</v>
      </c>
      <c r="C1691" s="2" t="str">
        <f>VLOOKUP(A1691,'[1]Brand Family Territory (Enc)'!$A$2:$B$296,2,FALSE)</f>
        <v>All Counties</v>
      </c>
      <c r="D1691" s="2">
        <f>IF(COUNTIFS('[1]Brand Family Territories (Enc)'!$B$2:$B$62,C1691,'[1]Brand Family Territories (Enc)'!$C$2:$C$62,B1691)&gt;0,1,IF(AND(LEFT(B1691,6)="MORRIS",COUNTIFS('[1]Brand Family Territories (Enc)'!$B$2:$B$62,C1691,'[1]Brand Family Territories (Enc)'!$C$2:$C$62,"Morri")&gt;0),"Unk",0))</f>
        <v>1</v>
      </c>
      <c r="E1691" s="2" t="str">
        <f>IFERROR(INDEX('Blackout Brand Fam Areas (Enc)'!$D$6:$D$998,MATCH(UPPER(A1691)&amp;"|"&amp;UPPER(B1691),'Blackout Brand Fam Areas (Enc)'!$G$6:$G$998,0)),"No Match")</f>
        <v>No Match</v>
      </c>
      <c r="F1691" s="2" t="str">
        <f t="shared" si="52"/>
        <v>US</v>
      </c>
      <c r="G1691" s="2" t="str">
        <f t="shared" si="53"/>
        <v>Eleven20 Tequila|MORRIS 3</v>
      </c>
    </row>
    <row r="1692" spans="1:7" x14ac:dyDescent="0.2">
      <c r="A1692" s="2" t="str" cm="1">
        <f t="array" ref="A1692">INDEX('[1]Brand Family Territory (Enc)'!$A$2:$A$296,INT((ROW()-2)/10)+1)</f>
        <v>Evil Genius</v>
      </c>
      <c r="B1692" s="2" t="str" cm="1">
        <f t="array" ref="B1692">INDEX('Whitelist (Blackout Reverse)'!$B$1:$K$1,MOD(ROW()-2,10)+1)</f>
        <v>BERGEN</v>
      </c>
      <c r="C1692" s="2" t="str">
        <f>VLOOKUP(A1692,'[1]Brand Family Territory (Enc)'!$A$2:$B$296,2,FALSE)</f>
        <v>All Counties</v>
      </c>
      <c r="D1692" s="2">
        <f>IF(COUNTIFS('[1]Brand Family Territories (Enc)'!$B$2:$B$62,C1692,'[1]Brand Family Territories (Enc)'!$C$2:$C$62,B1692)&gt;0,1,IF(AND(LEFT(B1692,6)="MORRIS",COUNTIFS('[1]Brand Family Territories (Enc)'!$B$2:$B$62,C1692,'[1]Brand Family Territories (Enc)'!$C$2:$C$62,"Morri")&gt;0),"Unk",0))</f>
        <v>1</v>
      </c>
      <c r="E1692" s="2" t="str">
        <f>IFERROR(INDEX('Blackout Brand Fam Areas (Enc)'!$D$6:$D$998,MATCH(UPPER(A1692)&amp;"|"&amp;UPPER(B1692),'Blackout Brand Fam Areas (Enc)'!$G$6:$G$998,0)),"No Match")</f>
        <v>No Match</v>
      </c>
      <c r="F1692" s="2" t="str">
        <f t="shared" si="52"/>
        <v>US</v>
      </c>
      <c r="G1692" s="2" t="str">
        <f t="shared" si="53"/>
        <v>Evil Genius|BERGEN</v>
      </c>
    </row>
    <row r="1693" spans="1:7" x14ac:dyDescent="0.2">
      <c r="A1693" s="2" t="str" cm="1">
        <f t="array" ref="A1693">INDEX('[1]Brand Family Territory (Enc)'!$A$2:$A$296,INT((ROW()-2)/10)+1)</f>
        <v>Evil Genius</v>
      </c>
      <c r="B1693" s="2" t="str" cm="1">
        <f t="array" ref="B1693">INDEX('Whitelist (Blackout Reverse)'!$B$1:$K$1,MOD(ROW()-2,10)+1)</f>
        <v>PASSAIC</v>
      </c>
      <c r="C1693" s="2" t="str">
        <f>VLOOKUP(A1693,'[1]Brand Family Territory (Enc)'!$A$2:$B$296,2,FALSE)</f>
        <v>All Counties</v>
      </c>
      <c r="D1693" s="2">
        <f>IF(COUNTIFS('[1]Brand Family Territories (Enc)'!$B$2:$B$62,C1693,'[1]Brand Family Territories (Enc)'!$C$2:$C$62,B1693)&gt;0,1,IF(AND(LEFT(B1693,6)="MORRIS",COUNTIFS('[1]Brand Family Territories (Enc)'!$B$2:$B$62,C1693,'[1]Brand Family Territories (Enc)'!$C$2:$C$62,"Morri")&gt;0),"Unk",0))</f>
        <v>1</v>
      </c>
      <c r="E1693" s="2" t="str">
        <f>IFERROR(INDEX('Blackout Brand Fam Areas (Enc)'!$D$6:$D$998,MATCH(UPPER(A1693)&amp;"|"&amp;UPPER(B1693),'Blackout Brand Fam Areas (Enc)'!$G$6:$G$998,0)),"No Match")</f>
        <v>No Match</v>
      </c>
      <c r="F1693" s="2" t="str">
        <f t="shared" si="52"/>
        <v>US</v>
      </c>
      <c r="G1693" s="2" t="str">
        <f t="shared" si="53"/>
        <v>Evil Genius|PASSAIC</v>
      </c>
    </row>
    <row r="1694" spans="1:7" x14ac:dyDescent="0.2">
      <c r="A1694" s="2" t="str" cm="1">
        <f t="array" ref="A1694">INDEX('[1]Brand Family Territory (Enc)'!$A$2:$A$296,INT((ROW()-2)/10)+1)</f>
        <v>Evil Genius</v>
      </c>
      <c r="B1694" s="2" t="str" cm="1">
        <f t="array" ref="B1694">INDEX('Whitelist (Blackout Reverse)'!$B$1:$K$1,MOD(ROW()-2,10)+1)</f>
        <v>PASSAIC-FF</v>
      </c>
      <c r="C1694" s="2" t="str">
        <f>VLOOKUP(A1694,'[1]Brand Family Territory (Enc)'!$A$2:$B$296,2,FALSE)</f>
        <v>All Counties</v>
      </c>
      <c r="D1694" s="2">
        <f>IF(COUNTIFS('[1]Brand Family Territories (Enc)'!$B$2:$B$62,C1694,'[1]Brand Family Territories (Enc)'!$C$2:$C$62,B1694)&gt;0,1,IF(AND(LEFT(B1694,6)="MORRIS",COUNTIFS('[1]Brand Family Territories (Enc)'!$B$2:$B$62,C1694,'[1]Brand Family Territories (Enc)'!$C$2:$C$62,"Morri")&gt;0),"Unk",0))</f>
        <v>1</v>
      </c>
      <c r="E1694" s="2" t="str">
        <f>IFERROR(INDEX('Blackout Brand Fam Areas (Enc)'!$D$6:$D$998,MATCH(UPPER(A1694)&amp;"|"&amp;UPPER(B1694),'Blackout Brand Fam Areas (Enc)'!$G$6:$G$998,0)),"No Match")</f>
        <v>No Match</v>
      </c>
      <c r="F1694" s="2" t="str">
        <f t="shared" si="52"/>
        <v>US</v>
      </c>
      <c r="G1694" s="2" t="str">
        <f t="shared" si="53"/>
        <v>Evil Genius|PASSAIC-FF</v>
      </c>
    </row>
    <row r="1695" spans="1:7" x14ac:dyDescent="0.2">
      <c r="A1695" s="2" t="str" cm="1">
        <f t="array" ref="A1695">INDEX('[1]Brand Family Territory (Enc)'!$A$2:$A$296,INT((ROW()-2)/10)+1)</f>
        <v>Evil Genius</v>
      </c>
      <c r="B1695" s="2" t="str" cm="1">
        <f t="array" ref="B1695">INDEX('Whitelist (Blackout Reverse)'!$B$1:$K$1,MOD(ROW()-2,10)+1)</f>
        <v>ESSEX</v>
      </c>
      <c r="C1695" s="2" t="str">
        <f>VLOOKUP(A1695,'[1]Brand Family Territory (Enc)'!$A$2:$B$296,2,FALSE)</f>
        <v>All Counties</v>
      </c>
      <c r="D1695" s="2">
        <f>IF(COUNTIFS('[1]Brand Family Territories (Enc)'!$B$2:$B$62,C1695,'[1]Brand Family Territories (Enc)'!$C$2:$C$62,B1695)&gt;0,1,IF(AND(LEFT(B1695,6)="MORRIS",COUNTIFS('[1]Brand Family Territories (Enc)'!$B$2:$B$62,C1695,'[1]Brand Family Territories (Enc)'!$C$2:$C$62,"Morri")&gt;0),"Unk",0))</f>
        <v>1</v>
      </c>
      <c r="E1695" s="2" t="str">
        <f>IFERROR(INDEX('Blackout Brand Fam Areas (Enc)'!$D$6:$D$998,MATCH(UPPER(A1695)&amp;"|"&amp;UPPER(B1695),'Blackout Brand Fam Areas (Enc)'!$G$6:$G$998,0)),"No Match")</f>
        <v>No Match</v>
      </c>
      <c r="F1695" s="2" t="str">
        <f t="shared" si="52"/>
        <v>US</v>
      </c>
      <c r="G1695" s="2" t="str">
        <f t="shared" si="53"/>
        <v>Evil Genius|ESSEX</v>
      </c>
    </row>
    <row r="1696" spans="1:7" x14ac:dyDescent="0.2">
      <c r="A1696" s="2" t="str" cm="1">
        <f t="array" ref="A1696">INDEX('[1]Brand Family Territory (Enc)'!$A$2:$A$296,INT((ROW()-2)/10)+1)</f>
        <v>Evil Genius</v>
      </c>
      <c r="B1696" s="2" t="str" cm="1">
        <f t="array" ref="B1696">INDEX('Whitelist (Blackout Reverse)'!$B$1:$K$1,MOD(ROW()-2,10)+1)</f>
        <v>HUDSON</v>
      </c>
      <c r="C1696" s="2" t="str">
        <f>VLOOKUP(A1696,'[1]Brand Family Territory (Enc)'!$A$2:$B$296,2,FALSE)</f>
        <v>All Counties</v>
      </c>
      <c r="D1696" s="2">
        <f>IF(COUNTIFS('[1]Brand Family Territories (Enc)'!$B$2:$B$62,C1696,'[1]Brand Family Territories (Enc)'!$C$2:$C$62,B1696)&gt;0,1,IF(AND(LEFT(B1696,6)="MORRIS",COUNTIFS('[1]Brand Family Territories (Enc)'!$B$2:$B$62,C1696,'[1]Brand Family Territories (Enc)'!$C$2:$C$62,"Morri")&gt;0),"Unk",0))</f>
        <v>1</v>
      </c>
      <c r="E1696" s="2" t="str">
        <f>IFERROR(INDEX('Blackout Brand Fam Areas (Enc)'!$D$6:$D$998,MATCH(UPPER(A1696)&amp;"|"&amp;UPPER(B1696),'Blackout Brand Fam Areas (Enc)'!$G$6:$G$998,0)),"No Match")</f>
        <v>No Match</v>
      </c>
      <c r="F1696" s="2" t="str">
        <f t="shared" si="52"/>
        <v>US</v>
      </c>
      <c r="G1696" s="2" t="str">
        <f t="shared" si="53"/>
        <v>Evil Genius|HUDSON</v>
      </c>
    </row>
    <row r="1697" spans="1:7" x14ac:dyDescent="0.2">
      <c r="A1697" s="2" t="str" cm="1">
        <f t="array" ref="A1697">INDEX('[1]Brand Family Territory (Enc)'!$A$2:$A$296,INT((ROW()-2)/10)+1)</f>
        <v>Evil Genius</v>
      </c>
      <c r="B1697" s="2" t="str" cm="1">
        <f t="array" ref="B1697">INDEX('Whitelist (Blackout Reverse)'!$B$1:$K$1,MOD(ROW()-2,10)+1)</f>
        <v>UNION</v>
      </c>
      <c r="C1697" s="2" t="str">
        <f>VLOOKUP(A1697,'[1]Brand Family Territory (Enc)'!$A$2:$B$296,2,FALSE)</f>
        <v>All Counties</v>
      </c>
      <c r="D1697" s="2">
        <f>IF(COUNTIFS('[1]Brand Family Territories (Enc)'!$B$2:$B$62,C1697,'[1]Brand Family Territories (Enc)'!$C$2:$C$62,B1697)&gt;0,1,IF(AND(LEFT(B1697,6)="MORRIS",COUNTIFS('[1]Brand Family Territories (Enc)'!$B$2:$B$62,C1697,'[1]Brand Family Territories (Enc)'!$C$2:$C$62,"Morri")&gt;0),"Unk",0))</f>
        <v>1</v>
      </c>
      <c r="E1697" s="2" t="str">
        <f>IFERROR(INDEX('Blackout Brand Fam Areas (Enc)'!$D$6:$D$998,MATCH(UPPER(A1697)&amp;"|"&amp;UPPER(B1697),'Blackout Brand Fam Areas (Enc)'!$G$6:$G$998,0)),"No Match")</f>
        <v>No Match</v>
      </c>
      <c r="F1697" s="2" t="str">
        <f t="shared" si="52"/>
        <v>US</v>
      </c>
      <c r="G1697" s="2" t="str">
        <f t="shared" si="53"/>
        <v>Evil Genius|UNION</v>
      </c>
    </row>
    <row r="1698" spans="1:7" x14ac:dyDescent="0.2">
      <c r="A1698" s="2" t="str" cm="1">
        <f t="array" ref="A1698">INDEX('[1]Brand Family Territory (Enc)'!$A$2:$A$296,INT((ROW()-2)/10)+1)</f>
        <v>Evil Genius</v>
      </c>
      <c r="B1698" s="2" t="str" cm="1">
        <f t="array" ref="B1698">INDEX('Whitelist (Blackout Reverse)'!$B$1:$K$1,MOD(ROW()-2,10)+1)</f>
        <v>SUSSEX</v>
      </c>
      <c r="C1698" s="2" t="str">
        <f>VLOOKUP(A1698,'[1]Brand Family Territory (Enc)'!$A$2:$B$296,2,FALSE)</f>
        <v>All Counties</v>
      </c>
      <c r="D1698" s="2">
        <f>IF(COUNTIFS('[1]Brand Family Territories (Enc)'!$B$2:$B$62,C1698,'[1]Brand Family Territories (Enc)'!$C$2:$C$62,B1698)&gt;0,1,IF(AND(LEFT(B1698,6)="MORRIS",COUNTIFS('[1]Brand Family Territories (Enc)'!$B$2:$B$62,C1698,'[1]Brand Family Territories (Enc)'!$C$2:$C$62,"Morri")&gt;0),"Unk",0))</f>
        <v>1</v>
      </c>
      <c r="E1698" s="2" t="str">
        <f>IFERROR(INDEX('Blackout Brand Fam Areas (Enc)'!$D$6:$D$998,MATCH(UPPER(A1698)&amp;"|"&amp;UPPER(B1698),'Blackout Brand Fam Areas (Enc)'!$G$6:$G$998,0)),"No Match")</f>
        <v>No Match</v>
      </c>
      <c r="F1698" s="2" t="str">
        <f t="shared" si="52"/>
        <v>US</v>
      </c>
      <c r="G1698" s="2" t="str">
        <f t="shared" si="53"/>
        <v>Evil Genius|SUSSEX</v>
      </c>
    </row>
    <row r="1699" spans="1:7" x14ac:dyDescent="0.2">
      <c r="A1699" s="2" t="str" cm="1">
        <f t="array" ref="A1699">INDEX('[1]Brand Family Territory (Enc)'!$A$2:$A$296,INT((ROW()-2)/10)+1)</f>
        <v>Evil Genius</v>
      </c>
      <c r="B1699" s="2" t="str" cm="1">
        <f t="array" ref="B1699">INDEX('Whitelist (Blackout Reverse)'!$B$1:$K$1,MOD(ROW()-2,10)+1)</f>
        <v>MORRIS 1</v>
      </c>
      <c r="C1699" s="2" t="str">
        <f>VLOOKUP(A1699,'[1]Brand Family Territory (Enc)'!$A$2:$B$296,2,FALSE)</f>
        <v>All Counties</v>
      </c>
      <c r="D1699" s="2">
        <f>IF(COUNTIFS('[1]Brand Family Territories (Enc)'!$B$2:$B$62,C1699,'[1]Brand Family Territories (Enc)'!$C$2:$C$62,B1699)&gt;0,1,IF(AND(LEFT(B1699,6)="MORRIS",COUNTIFS('[1]Brand Family Territories (Enc)'!$B$2:$B$62,C1699,'[1]Brand Family Territories (Enc)'!$C$2:$C$62,"Morri")&gt;0),"Unk",0))</f>
        <v>1</v>
      </c>
      <c r="E1699" s="2" t="str">
        <f>IFERROR(INDEX('Blackout Brand Fam Areas (Enc)'!$D$6:$D$998,MATCH(UPPER(A1699)&amp;"|"&amp;UPPER(B1699),'Blackout Brand Fam Areas (Enc)'!$G$6:$G$998,0)),"No Match")</f>
        <v>No Match</v>
      </c>
      <c r="F1699" s="2" t="str">
        <f t="shared" si="52"/>
        <v>US</v>
      </c>
      <c r="G1699" s="2" t="str">
        <f t="shared" si="53"/>
        <v>Evil Genius|MORRIS 1</v>
      </c>
    </row>
    <row r="1700" spans="1:7" x14ac:dyDescent="0.2">
      <c r="A1700" s="2" t="str" cm="1">
        <f t="array" ref="A1700">INDEX('[1]Brand Family Territory (Enc)'!$A$2:$A$296,INT((ROW()-2)/10)+1)</f>
        <v>Evil Genius</v>
      </c>
      <c r="B1700" s="2" t="str" cm="1">
        <f t="array" ref="B1700">INDEX('Whitelist (Blackout Reverse)'!$B$1:$K$1,MOD(ROW()-2,10)+1)</f>
        <v>MORRIS 2</v>
      </c>
      <c r="C1700" s="2" t="str">
        <f>VLOOKUP(A1700,'[1]Brand Family Territory (Enc)'!$A$2:$B$296,2,FALSE)</f>
        <v>All Counties</v>
      </c>
      <c r="D1700" s="2">
        <f>IF(COUNTIFS('[1]Brand Family Territories (Enc)'!$B$2:$B$62,C1700,'[1]Brand Family Territories (Enc)'!$C$2:$C$62,B1700)&gt;0,1,IF(AND(LEFT(B1700,6)="MORRIS",COUNTIFS('[1]Brand Family Territories (Enc)'!$B$2:$B$62,C1700,'[1]Brand Family Territories (Enc)'!$C$2:$C$62,"Morri")&gt;0),"Unk",0))</f>
        <v>1</v>
      </c>
      <c r="E1700" s="2" t="str">
        <f>IFERROR(INDEX('Blackout Brand Fam Areas (Enc)'!$D$6:$D$998,MATCH(UPPER(A1700)&amp;"|"&amp;UPPER(B1700),'Blackout Brand Fam Areas (Enc)'!$G$6:$G$998,0)),"No Match")</f>
        <v>No Match</v>
      </c>
      <c r="F1700" s="2" t="str">
        <f t="shared" si="52"/>
        <v>US</v>
      </c>
      <c r="G1700" s="2" t="str">
        <f t="shared" si="53"/>
        <v>Evil Genius|MORRIS 2</v>
      </c>
    </row>
    <row r="1701" spans="1:7" x14ac:dyDescent="0.2">
      <c r="A1701" s="2" t="str" cm="1">
        <f t="array" ref="A1701">INDEX('[1]Brand Family Territory (Enc)'!$A$2:$A$296,INT((ROW()-2)/10)+1)</f>
        <v>Evil Genius</v>
      </c>
      <c r="B1701" s="2" t="str" cm="1">
        <f t="array" ref="B1701">INDEX('Whitelist (Blackout Reverse)'!$B$1:$K$1,MOD(ROW()-2,10)+1)</f>
        <v>MORRIS 3</v>
      </c>
      <c r="C1701" s="2" t="str">
        <f>VLOOKUP(A1701,'[1]Brand Family Territory (Enc)'!$A$2:$B$296,2,FALSE)</f>
        <v>All Counties</v>
      </c>
      <c r="D1701" s="2">
        <f>IF(COUNTIFS('[1]Brand Family Territories (Enc)'!$B$2:$B$62,C1701,'[1]Brand Family Territories (Enc)'!$C$2:$C$62,B1701)&gt;0,1,IF(AND(LEFT(B1701,6)="MORRIS",COUNTIFS('[1]Brand Family Territories (Enc)'!$B$2:$B$62,C1701,'[1]Brand Family Territories (Enc)'!$C$2:$C$62,"Morri")&gt;0),"Unk",0))</f>
        <v>1</v>
      </c>
      <c r="E1701" s="2" t="str">
        <f>IFERROR(INDEX('Blackout Brand Fam Areas (Enc)'!$D$6:$D$998,MATCH(UPPER(A1701)&amp;"|"&amp;UPPER(B1701),'Blackout Brand Fam Areas (Enc)'!$G$6:$G$998,0)),"No Match")</f>
        <v>No Match</v>
      </c>
      <c r="F1701" s="2" t="str">
        <f t="shared" si="52"/>
        <v>US</v>
      </c>
      <c r="G1701" s="2" t="str">
        <f t="shared" si="53"/>
        <v>Evil Genius|MORRIS 3</v>
      </c>
    </row>
    <row r="1702" spans="1:7" x14ac:dyDescent="0.2">
      <c r="A1702" s="2" t="str" cm="1">
        <f t="array" ref="A1702">INDEX('[1]Brand Family Territory (Enc)'!$A$2:$A$296,INT((ROW()-2)/10)+1)</f>
        <v>Five O'Clock</v>
      </c>
      <c r="B1702" s="2" t="str" cm="1">
        <f t="array" ref="B1702">INDEX('Whitelist (Blackout Reverse)'!$B$1:$K$1,MOD(ROW()-2,10)+1)</f>
        <v>BERGEN</v>
      </c>
      <c r="C1702" s="2" t="str">
        <f>VLOOKUP(A1702,'[1]Brand Family Territory (Enc)'!$A$2:$B$296,2,FALSE)</f>
        <v>All Counties</v>
      </c>
      <c r="D1702" s="2">
        <f>IF(COUNTIFS('[1]Brand Family Territories (Enc)'!$B$2:$B$62,C1702,'[1]Brand Family Territories (Enc)'!$C$2:$C$62,B1702)&gt;0,1,IF(AND(LEFT(B1702,6)="MORRIS",COUNTIFS('[1]Brand Family Territories (Enc)'!$B$2:$B$62,C1702,'[1]Brand Family Territories (Enc)'!$C$2:$C$62,"Morri")&gt;0),"Unk",0))</f>
        <v>1</v>
      </c>
      <c r="E1702" s="2" t="str">
        <f>IFERROR(INDEX('Blackout Brand Fam Areas (Enc)'!$D$6:$D$998,MATCH(UPPER(A1702)&amp;"|"&amp;UPPER(B1702),'Blackout Brand Fam Areas (Enc)'!$G$6:$G$998,0)),"No Match")</f>
        <v>No Match</v>
      </c>
      <c r="F1702" s="2" t="str">
        <f t="shared" si="52"/>
        <v>US</v>
      </c>
      <c r="G1702" s="2" t="str">
        <f t="shared" si="53"/>
        <v>Five O'Clock|BERGEN</v>
      </c>
    </row>
    <row r="1703" spans="1:7" x14ac:dyDescent="0.2">
      <c r="A1703" s="2" t="str" cm="1">
        <f t="array" ref="A1703">INDEX('[1]Brand Family Territory (Enc)'!$A$2:$A$296,INT((ROW()-2)/10)+1)</f>
        <v>Five O'Clock</v>
      </c>
      <c r="B1703" s="2" t="str" cm="1">
        <f t="array" ref="B1703">INDEX('Whitelist (Blackout Reverse)'!$B$1:$K$1,MOD(ROW()-2,10)+1)</f>
        <v>PASSAIC</v>
      </c>
      <c r="C1703" s="2" t="str">
        <f>VLOOKUP(A1703,'[1]Brand Family Territory (Enc)'!$A$2:$B$296,2,FALSE)</f>
        <v>All Counties</v>
      </c>
      <c r="D1703" s="2">
        <f>IF(COUNTIFS('[1]Brand Family Territories (Enc)'!$B$2:$B$62,C1703,'[1]Brand Family Territories (Enc)'!$C$2:$C$62,B1703)&gt;0,1,IF(AND(LEFT(B1703,6)="MORRIS",COUNTIFS('[1]Brand Family Territories (Enc)'!$B$2:$B$62,C1703,'[1]Brand Family Territories (Enc)'!$C$2:$C$62,"Morri")&gt;0),"Unk",0))</f>
        <v>1</v>
      </c>
      <c r="E1703" s="2" t="str">
        <f>IFERROR(INDEX('Blackout Brand Fam Areas (Enc)'!$D$6:$D$998,MATCH(UPPER(A1703)&amp;"|"&amp;UPPER(B1703),'Blackout Brand Fam Areas (Enc)'!$G$6:$G$998,0)),"No Match")</f>
        <v>No Match</v>
      </c>
      <c r="F1703" s="2" t="str">
        <f t="shared" si="52"/>
        <v>US</v>
      </c>
      <c r="G1703" s="2" t="str">
        <f t="shared" si="53"/>
        <v>Five O'Clock|PASSAIC</v>
      </c>
    </row>
    <row r="1704" spans="1:7" x14ac:dyDescent="0.2">
      <c r="A1704" s="2" t="str" cm="1">
        <f t="array" ref="A1704">INDEX('[1]Brand Family Territory (Enc)'!$A$2:$A$296,INT((ROW()-2)/10)+1)</f>
        <v>Five O'Clock</v>
      </c>
      <c r="B1704" s="2" t="str" cm="1">
        <f t="array" ref="B1704">INDEX('Whitelist (Blackout Reverse)'!$B$1:$K$1,MOD(ROW()-2,10)+1)</f>
        <v>PASSAIC-FF</v>
      </c>
      <c r="C1704" s="2" t="str">
        <f>VLOOKUP(A1704,'[1]Brand Family Territory (Enc)'!$A$2:$B$296,2,FALSE)</f>
        <v>All Counties</v>
      </c>
      <c r="D1704" s="2">
        <f>IF(COUNTIFS('[1]Brand Family Territories (Enc)'!$B$2:$B$62,C1704,'[1]Brand Family Territories (Enc)'!$C$2:$C$62,B1704)&gt;0,1,IF(AND(LEFT(B1704,6)="MORRIS",COUNTIFS('[1]Brand Family Territories (Enc)'!$B$2:$B$62,C1704,'[1]Brand Family Territories (Enc)'!$C$2:$C$62,"Morri")&gt;0),"Unk",0))</f>
        <v>1</v>
      </c>
      <c r="E1704" s="2" t="str">
        <f>IFERROR(INDEX('Blackout Brand Fam Areas (Enc)'!$D$6:$D$998,MATCH(UPPER(A1704)&amp;"|"&amp;UPPER(B1704),'Blackout Brand Fam Areas (Enc)'!$G$6:$G$998,0)),"No Match")</f>
        <v>No Match</v>
      </c>
      <c r="F1704" s="2" t="str">
        <f t="shared" si="52"/>
        <v>US</v>
      </c>
      <c r="G1704" s="2" t="str">
        <f t="shared" si="53"/>
        <v>Five O'Clock|PASSAIC-FF</v>
      </c>
    </row>
    <row r="1705" spans="1:7" x14ac:dyDescent="0.2">
      <c r="A1705" s="2" t="str" cm="1">
        <f t="array" ref="A1705">INDEX('[1]Brand Family Territory (Enc)'!$A$2:$A$296,INT((ROW()-2)/10)+1)</f>
        <v>Five O'Clock</v>
      </c>
      <c r="B1705" s="2" t="str" cm="1">
        <f t="array" ref="B1705">INDEX('Whitelist (Blackout Reverse)'!$B$1:$K$1,MOD(ROW()-2,10)+1)</f>
        <v>ESSEX</v>
      </c>
      <c r="C1705" s="2" t="str">
        <f>VLOOKUP(A1705,'[1]Brand Family Territory (Enc)'!$A$2:$B$296,2,FALSE)</f>
        <v>All Counties</v>
      </c>
      <c r="D1705" s="2">
        <f>IF(COUNTIFS('[1]Brand Family Territories (Enc)'!$B$2:$B$62,C1705,'[1]Brand Family Territories (Enc)'!$C$2:$C$62,B1705)&gt;0,1,IF(AND(LEFT(B1705,6)="MORRIS",COUNTIFS('[1]Brand Family Territories (Enc)'!$B$2:$B$62,C1705,'[1]Brand Family Territories (Enc)'!$C$2:$C$62,"Morri")&gt;0),"Unk",0))</f>
        <v>1</v>
      </c>
      <c r="E1705" s="2" t="str">
        <f>IFERROR(INDEX('Blackout Brand Fam Areas (Enc)'!$D$6:$D$998,MATCH(UPPER(A1705)&amp;"|"&amp;UPPER(B1705),'Blackout Brand Fam Areas (Enc)'!$G$6:$G$998,0)),"No Match")</f>
        <v>No Match</v>
      </c>
      <c r="F1705" s="2" t="str">
        <f t="shared" si="52"/>
        <v>US</v>
      </c>
      <c r="G1705" s="2" t="str">
        <f t="shared" si="53"/>
        <v>Five O'Clock|ESSEX</v>
      </c>
    </row>
    <row r="1706" spans="1:7" x14ac:dyDescent="0.2">
      <c r="A1706" s="2" t="str" cm="1">
        <f t="array" ref="A1706">INDEX('[1]Brand Family Territory (Enc)'!$A$2:$A$296,INT((ROW()-2)/10)+1)</f>
        <v>Five O'Clock</v>
      </c>
      <c r="B1706" s="2" t="str" cm="1">
        <f t="array" ref="B1706">INDEX('Whitelist (Blackout Reverse)'!$B$1:$K$1,MOD(ROW()-2,10)+1)</f>
        <v>HUDSON</v>
      </c>
      <c r="C1706" s="2" t="str">
        <f>VLOOKUP(A1706,'[1]Brand Family Territory (Enc)'!$A$2:$B$296,2,FALSE)</f>
        <v>All Counties</v>
      </c>
      <c r="D1706" s="2">
        <f>IF(COUNTIFS('[1]Brand Family Territories (Enc)'!$B$2:$B$62,C1706,'[1]Brand Family Territories (Enc)'!$C$2:$C$62,B1706)&gt;0,1,IF(AND(LEFT(B1706,6)="MORRIS",COUNTIFS('[1]Brand Family Territories (Enc)'!$B$2:$B$62,C1706,'[1]Brand Family Territories (Enc)'!$C$2:$C$62,"Morri")&gt;0),"Unk",0))</f>
        <v>1</v>
      </c>
      <c r="E1706" s="2" t="str">
        <f>IFERROR(INDEX('Blackout Brand Fam Areas (Enc)'!$D$6:$D$998,MATCH(UPPER(A1706)&amp;"|"&amp;UPPER(B1706),'Blackout Brand Fam Areas (Enc)'!$G$6:$G$998,0)),"No Match")</f>
        <v>No Match</v>
      </c>
      <c r="F1706" s="2" t="str">
        <f t="shared" si="52"/>
        <v>US</v>
      </c>
      <c r="G1706" s="2" t="str">
        <f t="shared" si="53"/>
        <v>Five O'Clock|HUDSON</v>
      </c>
    </row>
    <row r="1707" spans="1:7" x14ac:dyDescent="0.2">
      <c r="A1707" s="2" t="str" cm="1">
        <f t="array" ref="A1707">INDEX('[1]Brand Family Territory (Enc)'!$A$2:$A$296,INT((ROW()-2)/10)+1)</f>
        <v>Five O'Clock</v>
      </c>
      <c r="B1707" s="2" t="str" cm="1">
        <f t="array" ref="B1707">INDEX('Whitelist (Blackout Reverse)'!$B$1:$K$1,MOD(ROW()-2,10)+1)</f>
        <v>UNION</v>
      </c>
      <c r="C1707" s="2" t="str">
        <f>VLOOKUP(A1707,'[1]Brand Family Territory (Enc)'!$A$2:$B$296,2,FALSE)</f>
        <v>All Counties</v>
      </c>
      <c r="D1707" s="2">
        <f>IF(COUNTIFS('[1]Brand Family Territories (Enc)'!$B$2:$B$62,C1707,'[1]Brand Family Territories (Enc)'!$C$2:$C$62,B1707)&gt;0,1,IF(AND(LEFT(B1707,6)="MORRIS",COUNTIFS('[1]Brand Family Territories (Enc)'!$B$2:$B$62,C1707,'[1]Brand Family Territories (Enc)'!$C$2:$C$62,"Morri")&gt;0),"Unk",0))</f>
        <v>1</v>
      </c>
      <c r="E1707" s="2" t="str">
        <f>IFERROR(INDEX('Blackout Brand Fam Areas (Enc)'!$D$6:$D$998,MATCH(UPPER(A1707)&amp;"|"&amp;UPPER(B1707),'Blackout Brand Fam Areas (Enc)'!$G$6:$G$998,0)),"No Match")</f>
        <v>No Match</v>
      </c>
      <c r="F1707" s="2" t="str">
        <f t="shared" si="52"/>
        <v>US</v>
      </c>
      <c r="G1707" s="2" t="str">
        <f t="shared" si="53"/>
        <v>Five O'Clock|UNION</v>
      </c>
    </row>
    <row r="1708" spans="1:7" x14ac:dyDescent="0.2">
      <c r="A1708" s="2" t="str" cm="1">
        <f t="array" ref="A1708">INDEX('[1]Brand Family Territory (Enc)'!$A$2:$A$296,INT((ROW()-2)/10)+1)</f>
        <v>Five O'Clock</v>
      </c>
      <c r="B1708" s="2" t="str" cm="1">
        <f t="array" ref="B1708">INDEX('Whitelist (Blackout Reverse)'!$B$1:$K$1,MOD(ROW()-2,10)+1)</f>
        <v>SUSSEX</v>
      </c>
      <c r="C1708" s="2" t="str">
        <f>VLOOKUP(A1708,'[1]Brand Family Territory (Enc)'!$A$2:$B$296,2,FALSE)</f>
        <v>All Counties</v>
      </c>
      <c r="D1708" s="2">
        <f>IF(COUNTIFS('[1]Brand Family Territories (Enc)'!$B$2:$B$62,C1708,'[1]Brand Family Territories (Enc)'!$C$2:$C$62,B1708)&gt;0,1,IF(AND(LEFT(B1708,6)="MORRIS",COUNTIFS('[1]Brand Family Territories (Enc)'!$B$2:$B$62,C1708,'[1]Brand Family Territories (Enc)'!$C$2:$C$62,"Morri")&gt;0),"Unk",0))</f>
        <v>1</v>
      </c>
      <c r="E1708" s="2" t="str">
        <f>IFERROR(INDEX('Blackout Brand Fam Areas (Enc)'!$D$6:$D$998,MATCH(UPPER(A1708)&amp;"|"&amp;UPPER(B1708),'Blackout Brand Fam Areas (Enc)'!$G$6:$G$998,0)),"No Match")</f>
        <v>No Match</v>
      </c>
      <c r="F1708" s="2" t="str">
        <f t="shared" si="52"/>
        <v>US</v>
      </c>
      <c r="G1708" s="2" t="str">
        <f t="shared" si="53"/>
        <v>Five O'Clock|SUSSEX</v>
      </c>
    </row>
    <row r="1709" spans="1:7" x14ac:dyDescent="0.2">
      <c r="A1709" s="2" t="str" cm="1">
        <f t="array" ref="A1709">INDEX('[1]Brand Family Territory (Enc)'!$A$2:$A$296,INT((ROW()-2)/10)+1)</f>
        <v>Five O'Clock</v>
      </c>
      <c r="B1709" s="2" t="str" cm="1">
        <f t="array" ref="B1709">INDEX('Whitelist (Blackout Reverse)'!$B$1:$K$1,MOD(ROW()-2,10)+1)</f>
        <v>MORRIS 1</v>
      </c>
      <c r="C1709" s="2" t="str">
        <f>VLOOKUP(A1709,'[1]Brand Family Territory (Enc)'!$A$2:$B$296,2,FALSE)</f>
        <v>All Counties</v>
      </c>
      <c r="D1709" s="2">
        <f>IF(COUNTIFS('[1]Brand Family Territories (Enc)'!$B$2:$B$62,C1709,'[1]Brand Family Territories (Enc)'!$C$2:$C$62,B1709)&gt;0,1,IF(AND(LEFT(B1709,6)="MORRIS",COUNTIFS('[1]Brand Family Territories (Enc)'!$B$2:$B$62,C1709,'[1]Brand Family Territories (Enc)'!$C$2:$C$62,"Morri")&gt;0),"Unk",0))</f>
        <v>1</v>
      </c>
      <c r="E1709" s="2" t="str">
        <f>IFERROR(INDEX('Blackout Brand Fam Areas (Enc)'!$D$6:$D$998,MATCH(UPPER(A1709)&amp;"|"&amp;UPPER(B1709),'Blackout Brand Fam Areas (Enc)'!$G$6:$G$998,0)),"No Match")</f>
        <v>No Match</v>
      </c>
      <c r="F1709" s="2" t="str">
        <f t="shared" si="52"/>
        <v>US</v>
      </c>
      <c r="G1709" s="2" t="str">
        <f t="shared" si="53"/>
        <v>Five O'Clock|MORRIS 1</v>
      </c>
    </row>
    <row r="1710" spans="1:7" x14ac:dyDescent="0.2">
      <c r="A1710" s="2" t="str" cm="1">
        <f t="array" ref="A1710">INDEX('[1]Brand Family Territory (Enc)'!$A$2:$A$296,INT((ROW()-2)/10)+1)</f>
        <v>Five O'Clock</v>
      </c>
      <c r="B1710" s="2" t="str" cm="1">
        <f t="array" ref="B1710">INDEX('Whitelist (Blackout Reverse)'!$B$1:$K$1,MOD(ROW()-2,10)+1)</f>
        <v>MORRIS 2</v>
      </c>
      <c r="C1710" s="2" t="str">
        <f>VLOOKUP(A1710,'[1]Brand Family Territory (Enc)'!$A$2:$B$296,2,FALSE)</f>
        <v>All Counties</v>
      </c>
      <c r="D1710" s="2">
        <f>IF(COUNTIFS('[1]Brand Family Territories (Enc)'!$B$2:$B$62,C1710,'[1]Brand Family Territories (Enc)'!$C$2:$C$62,B1710)&gt;0,1,IF(AND(LEFT(B1710,6)="MORRIS",COUNTIFS('[1]Brand Family Territories (Enc)'!$B$2:$B$62,C1710,'[1]Brand Family Territories (Enc)'!$C$2:$C$62,"Morri")&gt;0),"Unk",0))</f>
        <v>1</v>
      </c>
      <c r="E1710" s="2" t="str">
        <f>IFERROR(INDEX('Blackout Brand Fam Areas (Enc)'!$D$6:$D$998,MATCH(UPPER(A1710)&amp;"|"&amp;UPPER(B1710),'Blackout Brand Fam Areas (Enc)'!$G$6:$G$998,0)),"No Match")</f>
        <v>No Match</v>
      </c>
      <c r="F1710" s="2" t="str">
        <f t="shared" si="52"/>
        <v>US</v>
      </c>
      <c r="G1710" s="2" t="str">
        <f t="shared" si="53"/>
        <v>Five O'Clock|MORRIS 2</v>
      </c>
    </row>
    <row r="1711" spans="1:7" x14ac:dyDescent="0.2">
      <c r="A1711" s="2" t="str" cm="1">
        <f t="array" ref="A1711">INDEX('[1]Brand Family Territory (Enc)'!$A$2:$A$296,INT((ROW()-2)/10)+1)</f>
        <v>Five O'Clock</v>
      </c>
      <c r="B1711" s="2" t="str" cm="1">
        <f t="array" ref="B1711">INDEX('Whitelist (Blackout Reverse)'!$B$1:$K$1,MOD(ROW()-2,10)+1)</f>
        <v>MORRIS 3</v>
      </c>
      <c r="C1711" s="2" t="str">
        <f>VLOOKUP(A1711,'[1]Brand Family Territory (Enc)'!$A$2:$B$296,2,FALSE)</f>
        <v>All Counties</v>
      </c>
      <c r="D1711" s="2">
        <f>IF(COUNTIFS('[1]Brand Family Territories (Enc)'!$B$2:$B$62,C1711,'[1]Brand Family Territories (Enc)'!$C$2:$C$62,B1711)&gt;0,1,IF(AND(LEFT(B1711,6)="MORRIS",COUNTIFS('[1]Brand Family Territories (Enc)'!$B$2:$B$62,C1711,'[1]Brand Family Territories (Enc)'!$C$2:$C$62,"Morri")&gt;0),"Unk",0))</f>
        <v>1</v>
      </c>
      <c r="E1711" s="2" t="str">
        <f>IFERROR(INDEX('Blackout Brand Fam Areas (Enc)'!$D$6:$D$998,MATCH(UPPER(A1711)&amp;"|"&amp;UPPER(B1711),'Blackout Brand Fam Areas (Enc)'!$G$6:$G$998,0)),"No Match")</f>
        <v>No Match</v>
      </c>
      <c r="F1711" s="2" t="str">
        <f t="shared" si="52"/>
        <v>US</v>
      </c>
      <c r="G1711" s="2" t="str">
        <f t="shared" si="53"/>
        <v>Five O'Clock|MORRIS 3</v>
      </c>
    </row>
    <row r="1712" spans="1:7" x14ac:dyDescent="0.2">
      <c r="A1712" s="2" t="str" cm="1">
        <f t="array" ref="A1712">INDEX('[1]Brand Family Territory (Enc)'!$A$2:$A$296,INT((ROW()-2)/10)+1)</f>
        <v>Fizzy Jane</v>
      </c>
      <c r="B1712" s="2" t="str" cm="1">
        <f t="array" ref="B1712">INDEX('Whitelist (Blackout Reverse)'!$B$1:$K$1,MOD(ROW()-2,10)+1)</f>
        <v>BERGEN</v>
      </c>
      <c r="C1712" s="2" t="str">
        <f>VLOOKUP(A1712,'[1]Brand Family Territory (Enc)'!$A$2:$B$296,2,FALSE)</f>
        <v>All Counties</v>
      </c>
      <c r="D1712" s="2">
        <f>IF(COUNTIFS('[1]Brand Family Territories (Enc)'!$B$2:$B$62,C1712,'[1]Brand Family Territories (Enc)'!$C$2:$C$62,B1712)&gt;0,1,IF(AND(LEFT(B1712,6)="MORRIS",COUNTIFS('[1]Brand Family Territories (Enc)'!$B$2:$B$62,C1712,'[1]Brand Family Territories (Enc)'!$C$2:$C$62,"Morri")&gt;0),"Unk",0))</f>
        <v>1</v>
      </c>
      <c r="E1712" s="2" t="str">
        <f>IFERROR(INDEX('Blackout Brand Fam Areas (Enc)'!$D$6:$D$998,MATCH(UPPER(A1712)&amp;"|"&amp;UPPER(B1712),'Blackout Brand Fam Areas (Enc)'!$G$6:$G$998,0)),"No Match")</f>
        <v>No Match</v>
      </c>
      <c r="F1712" s="2" t="str">
        <f t="shared" si="52"/>
        <v>US</v>
      </c>
      <c r="G1712" s="2" t="str">
        <f t="shared" si="53"/>
        <v>Fizzy Jane|BERGEN</v>
      </c>
    </row>
    <row r="1713" spans="1:7" x14ac:dyDescent="0.2">
      <c r="A1713" s="2" t="str" cm="1">
        <f t="array" ref="A1713">INDEX('[1]Brand Family Territory (Enc)'!$A$2:$A$296,INT((ROW()-2)/10)+1)</f>
        <v>Fizzy Jane</v>
      </c>
      <c r="B1713" s="2" t="str" cm="1">
        <f t="array" ref="B1713">INDEX('Whitelist (Blackout Reverse)'!$B$1:$K$1,MOD(ROW()-2,10)+1)</f>
        <v>PASSAIC</v>
      </c>
      <c r="C1713" s="2" t="str">
        <f>VLOOKUP(A1713,'[1]Brand Family Territory (Enc)'!$A$2:$B$296,2,FALSE)</f>
        <v>All Counties</v>
      </c>
      <c r="D1713" s="2">
        <f>IF(COUNTIFS('[1]Brand Family Territories (Enc)'!$B$2:$B$62,C1713,'[1]Brand Family Territories (Enc)'!$C$2:$C$62,B1713)&gt;0,1,IF(AND(LEFT(B1713,6)="MORRIS",COUNTIFS('[1]Brand Family Territories (Enc)'!$B$2:$B$62,C1713,'[1]Brand Family Territories (Enc)'!$C$2:$C$62,"Morri")&gt;0),"Unk",0))</f>
        <v>1</v>
      </c>
      <c r="E1713" s="2" t="str">
        <f>IFERROR(INDEX('Blackout Brand Fam Areas (Enc)'!$D$6:$D$998,MATCH(UPPER(A1713)&amp;"|"&amp;UPPER(B1713),'Blackout Brand Fam Areas (Enc)'!$G$6:$G$998,0)),"No Match")</f>
        <v>No Match</v>
      </c>
      <c r="F1713" s="2" t="str">
        <f t="shared" si="52"/>
        <v>US</v>
      </c>
      <c r="G1713" s="2" t="str">
        <f t="shared" si="53"/>
        <v>Fizzy Jane|PASSAIC</v>
      </c>
    </row>
    <row r="1714" spans="1:7" x14ac:dyDescent="0.2">
      <c r="A1714" s="2" t="str" cm="1">
        <f t="array" ref="A1714">INDEX('[1]Brand Family Territory (Enc)'!$A$2:$A$296,INT((ROW()-2)/10)+1)</f>
        <v>Fizzy Jane</v>
      </c>
      <c r="B1714" s="2" t="str" cm="1">
        <f t="array" ref="B1714">INDEX('Whitelist (Blackout Reverse)'!$B$1:$K$1,MOD(ROW()-2,10)+1)</f>
        <v>PASSAIC-FF</v>
      </c>
      <c r="C1714" s="2" t="str">
        <f>VLOOKUP(A1714,'[1]Brand Family Territory (Enc)'!$A$2:$B$296,2,FALSE)</f>
        <v>All Counties</v>
      </c>
      <c r="D1714" s="2">
        <f>IF(COUNTIFS('[1]Brand Family Territories (Enc)'!$B$2:$B$62,C1714,'[1]Brand Family Territories (Enc)'!$C$2:$C$62,B1714)&gt;0,1,IF(AND(LEFT(B1714,6)="MORRIS",COUNTIFS('[1]Brand Family Territories (Enc)'!$B$2:$B$62,C1714,'[1]Brand Family Territories (Enc)'!$C$2:$C$62,"Morri")&gt;0),"Unk",0))</f>
        <v>1</v>
      </c>
      <c r="E1714" s="2" t="str">
        <f>IFERROR(INDEX('Blackout Brand Fam Areas (Enc)'!$D$6:$D$998,MATCH(UPPER(A1714)&amp;"|"&amp;UPPER(B1714),'Blackout Brand Fam Areas (Enc)'!$G$6:$G$998,0)),"No Match")</f>
        <v>No Match</v>
      </c>
      <c r="F1714" s="2" t="str">
        <f t="shared" si="52"/>
        <v>US</v>
      </c>
      <c r="G1714" s="2" t="str">
        <f t="shared" si="53"/>
        <v>Fizzy Jane|PASSAIC-FF</v>
      </c>
    </row>
    <row r="1715" spans="1:7" x14ac:dyDescent="0.2">
      <c r="A1715" s="2" t="str" cm="1">
        <f t="array" ref="A1715">INDEX('[1]Brand Family Territory (Enc)'!$A$2:$A$296,INT((ROW()-2)/10)+1)</f>
        <v>Fizzy Jane</v>
      </c>
      <c r="B1715" s="2" t="str" cm="1">
        <f t="array" ref="B1715">INDEX('Whitelist (Blackout Reverse)'!$B$1:$K$1,MOD(ROW()-2,10)+1)</f>
        <v>ESSEX</v>
      </c>
      <c r="C1715" s="2" t="str">
        <f>VLOOKUP(A1715,'[1]Brand Family Territory (Enc)'!$A$2:$B$296,2,FALSE)</f>
        <v>All Counties</v>
      </c>
      <c r="D1715" s="2">
        <f>IF(COUNTIFS('[1]Brand Family Territories (Enc)'!$B$2:$B$62,C1715,'[1]Brand Family Territories (Enc)'!$C$2:$C$62,B1715)&gt;0,1,IF(AND(LEFT(B1715,6)="MORRIS",COUNTIFS('[1]Brand Family Territories (Enc)'!$B$2:$B$62,C1715,'[1]Brand Family Territories (Enc)'!$C$2:$C$62,"Morri")&gt;0),"Unk",0))</f>
        <v>1</v>
      </c>
      <c r="E1715" s="2" t="str">
        <f>IFERROR(INDEX('Blackout Brand Fam Areas (Enc)'!$D$6:$D$998,MATCH(UPPER(A1715)&amp;"|"&amp;UPPER(B1715),'Blackout Brand Fam Areas (Enc)'!$G$6:$G$998,0)),"No Match")</f>
        <v>No Match</v>
      </c>
      <c r="F1715" s="2" t="str">
        <f t="shared" si="52"/>
        <v>US</v>
      </c>
      <c r="G1715" s="2" t="str">
        <f t="shared" si="53"/>
        <v>Fizzy Jane|ESSEX</v>
      </c>
    </row>
    <row r="1716" spans="1:7" x14ac:dyDescent="0.2">
      <c r="A1716" s="2" t="str" cm="1">
        <f t="array" ref="A1716">INDEX('[1]Brand Family Territory (Enc)'!$A$2:$A$296,INT((ROW()-2)/10)+1)</f>
        <v>Fizzy Jane</v>
      </c>
      <c r="B1716" s="2" t="str" cm="1">
        <f t="array" ref="B1716">INDEX('Whitelist (Blackout Reverse)'!$B$1:$K$1,MOD(ROW()-2,10)+1)</f>
        <v>HUDSON</v>
      </c>
      <c r="C1716" s="2" t="str">
        <f>VLOOKUP(A1716,'[1]Brand Family Territory (Enc)'!$A$2:$B$296,2,FALSE)</f>
        <v>All Counties</v>
      </c>
      <c r="D1716" s="2">
        <f>IF(COUNTIFS('[1]Brand Family Territories (Enc)'!$B$2:$B$62,C1716,'[1]Brand Family Territories (Enc)'!$C$2:$C$62,B1716)&gt;0,1,IF(AND(LEFT(B1716,6)="MORRIS",COUNTIFS('[1]Brand Family Territories (Enc)'!$B$2:$B$62,C1716,'[1]Brand Family Territories (Enc)'!$C$2:$C$62,"Morri")&gt;0),"Unk",0))</f>
        <v>1</v>
      </c>
      <c r="E1716" s="2" t="str">
        <f>IFERROR(INDEX('Blackout Brand Fam Areas (Enc)'!$D$6:$D$998,MATCH(UPPER(A1716)&amp;"|"&amp;UPPER(B1716),'Blackout Brand Fam Areas (Enc)'!$G$6:$G$998,0)),"No Match")</f>
        <v>No Match</v>
      </c>
      <c r="F1716" s="2" t="str">
        <f t="shared" si="52"/>
        <v>US</v>
      </c>
      <c r="G1716" s="2" t="str">
        <f t="shared" si="53"/>
        <v>Fizzy Jane|HUDSON</v>
      </c>
    </row>
    <row r="1717" spans="1:7" x14ac:dyDescent="0.2">
      <c r="A1717" s="2" t="str" cm="1">
        <f t="array" ref="A1717">INDEX('[1]Brand Family Territory (Enc)'!$A$2:$A$296,INT((ROW()-2)/10)+1)</f>
        <v>Fizzy Jane</v>
      </c>
      <c r="B1717" s="2" t="str" cm="1">
        <f t="array" ref="B1717">INDEX('Whitelist (Blackout Reverse)'!$B$1:$K$1,MOD(ROW()-2,10)+1)</f>
        <v>UNION</v>
      </c>
      <c r="C1717" s="2" t="str">
        <f>VLOOKUP(A1717,'[1]Brand Family Territory (Enc)'!$A$2:$B$296,2,FALSE)</f>
        <v>All Counties</v>
      </c>
      <c r="D1717" s="2">
        <f>IF(COUNTIFS('[1]Brand Family Territories (Enc)'!$B$2:$B$62,C1717,'[1]Brand Family Territories (Enc)'!$C$2:$C$62,B1717)&gt;0,1,IF(AND(LEFT(B1717,6)="MORRIS",COUNTIFS('[1]Brand Family Territories (Enc)'!$B$2:$B$62,C1717,'[1]Brand Family Territories (Enc)'!$C$2:$C$62,"Morri")&gt;0),"Unk",0))</f>
        <v>1</v>
      </c>
      <c r="E1717" s="2" t="str">
        <f>IFERROR(INDEX('Blackout Brand Fam Areas (Enc)'!$D$6:$D$998,MATCH(UPPER(A1717)&amp;"|"&amp;UPPER(B1717),'Blackout Brand Fam Areas (Enc)'!$G$6:$G$998,0)),"No Match")</f>
        <v>No Match</v>
      </c>
      <c r="F1717" s="2" t="str">
        <f t="shared" si="52"/>
        <v>US</v>
      </c>
      <c r="G1717" s="2" t="str">
        <f t="shared" si="53"/>
        <v>Fizzy Jane|UNION</v>
      </c>
    </row>
    <row r="1718" spans="1:7" x14ac:dyDescent="0.2">
      <c r="A1718" s="2" t="str" cm="1">
        <f t="array" ref="A1718">INDEX('[1]Brand Family Territory (Enc)'!$A$2:$A$296,INT((ROW()-2)/10)+1)</f>
        <v>Fizzy Jane</v>
      </c>
      <c r="B1718" s="2" t="str" cm="1">
        <f t="array" ref="B1718">INDEX('Whitelist (Blackout Reverse)'!$B$1:$K$1,MOD(ROW()-2,10)+1)</f>
        <v>SUSSEX</v>
      </c>
      <c r="C1718" s="2" t="str">
        <f>VLOOKUP(A1718,'[1]Brand Family Territory (Enc)'!$A$2:$B$296,2,FALSE)</f>
        <v>All Counties</v>
      </c>
      <c r="D1718" s="2">
        <f>IF(COUNTIFS('[1]Brand Family Territories (Enc)'!$B$2:$B$62,C1718,'[1]Brand Family Territories (Enc)'!$C$2:$C$62,B1718)&gt;0,1,IF(AND(LEFT(B1718,6)="MORRIS",COUNTIFS('[1]Brand Family Territories (Enc)'!$B$2:$B$62,C1718,'[1]Brand Family Territories (Enc)'!$C$2:$C$62,"Morri")&gt;0),"Unk",0))</f>
        <v>1</v>
      </c>
      <c r="E1718" s="2" t="str">
        <f>IFERROR(INDEX('Blackout Brand Fam Areas (Enc)'!$D$6:$D$998,MATCH(UPPER(A1718)&amp;"|"&amp;UPPER(B1718),'Blackout Brand Fam Areas (Enc)'!$G$6:$G$998,0)),"No Match")</f>
        <v>No Match</v>
      </c>
      <c r="F1718" s="2" t="str">
        <f t="shared" si="52"/>
        <v>US</v>
      </c>
      <c r="G1718" s="2" t="str">
        <f t="shared" si="53"/>
        <v>Fizzy Jane|SUSSEX</v>
      </c>
    </row>
    <row r="1719" spans="1:7" x14ac:dyDescent="0.2">
      <c r="A1719" s="2" t="str" cm="1">
        <f t="array" ref="A1719">INDEX('[1]Brand Family Territory (Enc)'!$A$2:$A$296,INT((ROW()-2)/10)+1)</f>
        <v>Fizzy Jane</v>
      </c>
      <c r="B1719" s="2" t="str" cm="1">
        <f t="array" ref="B1719">INDEX('Whitelist (Blackout Reverse)'!$B$1:$K$1,MOD(ROW()-2,10)+1)</f>
        <v>MORRIS 1</v>
      </c>
      <c r="C1719" s="2" t="str">
        <f>VLOOKUP(A1719,'[1]Brand Family Territory (Enc)'!$A$2:$B$296,2,FALSE)</f>
        <v>All Counties</v>
      </c>
      <c r="D1719" s="2">
        <f>IF(COUNTIFS('[1]Brand Family Territories (Enc)'!$B$2:$B$62,C1719,'[1]Brand Family Territories (Enc)'!$C$2:$C$62,B1719)&gt;0,1,IF(AND(LEFT(B1719,6)="MORRIS",COUNTIFS('[1]Brand Family Territories (Enc)'!$B$2:$B$62,C1719,'[1]Brand Family Territories (Enc)'!$C$2:$C$62,"Morri")&gt;0),"Unk",0))</f>
        <v>1</v>
      </c>
      <c r="E1719" s="2" t="str">
        <f>IFERROR(INDEX('Blackout Brand Fam Areas (Enc)'!$D$6:$D$998,MATCH(UPPER(A1719)&amp;"|"&amp;UPPER(B1719),'Blackout Brand Fam Areas (Enc)'!$G$6:$G$998,0)),"No Match")</f>
        <v>No Match</v>
      </c>
      <c r="F1719" s="2" t="str">
        <f t="shared" si="52"/>
        <v>US</v>
      </c>
      <c r="G1719" s="2" t="str">
        <f t="shared" si="53"/>
        <v>Fizzy Jane|MORRIS 1</v>
      </c>
    </row>
    <row r="1720" spans="1:7" x14ac:dyDescent="0.2">
      <c r="A1720" s="2" t="str" cm="1">
        <f t="array" ref="A1720">INDEX('[1]Brand Family Territory (Enc)'!$A$2:$A$296,INT((ROW()-2)/10)+1)</f>
        <v>Fizzy Jane</v>
      </c>
      <c r="B1720" s="2" t="str" cm="1">
        <f t="array" ref="B1720">INDEX('Whitelist (Blackout Reverse)'!$B$1:$K$1,MOD(ROW()-2,10)+1)</f>
        <v>MORRIS 2</v>
      </c>
      <c r="C1720" s="2" t="str">
        <f>VLOOKUP(A1720,'[1]Brand Family Territory (Enc)'!$A$2:$B$296,2,FALSE)</f>
        <v>All Counties</v>
      </c>
      <c r="D1720" s="2">
        <f>IF(COUNTIFS('[1]Brand Family Territories (Enc)'!$B$2:$B$62,C1720,'[1]Brand Family Territories (Enc)'!$C$2:$C$62,B1720)&gt;0,1,IF(AND(LEFT(B1720,6)="MORRIS",COUNTIFS('[1]Brand Family Territories (Enc)'!$B$2:$B$62,C1720,'[1]Brand Family Territories (Enc)'!$C$2:$C$62,"Morri")&gt;0),"Unk",0))</f>
        <v>1</v>
      </c>
      <c r="E1720" s="2" t="str">
        <f>IFERROR(INDEX('Blackout Brand Fam Areas (Enc)'!$D$6:$D$998,MATCH(UPPER(A1720)&amp;"|"&amp;UPPER(B1720),'Blackout Brand Fam Areas (Enc)'!$G$6:$G$998,0)),"No Match")</f>
        <v>No Match</v>
      </c>
      <c r="F1720" s="2" t="str">
        <f t="shared" si="52"/>
        <v>US</v>
      </c>
      <c r="G1720" s="2" t="str">
        <f t="shared" si="53"/>
        <v>Fizzy Jane|MORRIS 2</v>
      </c>
    </row>
    <row r="1721" spans="1:7" x14ac:dyDescent="0.2">
      <c r="A1721" s="2" t="str" cm="1">
        <f t="array" ref="A1721">INDEX('[1]Brand Family Territory (Enc)'!$A$2:$A$296,INT((ROW()-2)/10)+1)</f>
        <v>Fizzy Jane</v>
      </c>
      <c r="B1721" s="2" t="str" cm="1">
        <f t="array" ref="B1721">INDEX('Whitelist (Blackout Reverse)'!$B$1:$K$1,MOD(ROW()-2,10)+1)</f>
        <v>MORRIS 3</v>
      </c>
      <c r="C1721" s="2" t="str">
        <f>VLOOKUP(A1721,'[1]Brand Family Territory (Enc)'!$A$2:$B$296,2,FALSE)</f>
        <v>All Counties</v>
      </c>
      <c r="D1721" s="2">
        <f>IF(COUNTIFS('[1]Brand Family Territories (Enc)'!$B$2:$B$62,C1721,'[1]Brand Family Territories (Enc)'!$C$2:$C$62,B1721)&gt;0,1,IF(AND(LEFT(B1721,6)="MORRIS",COUNTIFS('[1]Brand Family Territories (Enc)'!$B$2:$B$62,C1721,'[1]Brand Family Territories (Enc)'!$C$2:$C$62,"Morri")&gt;0),"Unk",0))</f>
        <v>1</v>
      </c>
      <c r="E1721" s="2" t="str">
        <f>IFERROR(INDEX('Blackout Brand Fam Areas (Enc)'!$D$6:$D$998,MATCH(UPPER(A1721)&amp;"|"&amp;UPPER(B1721),'Blackout Brand Fam Areas (Enc)'!$G$6:$G$998,0)),"No Match")</f>
        <v>No Match</v>
      </c>
      <c r="F1721" s="2" t="str">
        <f t="shared" si="52"/>
        <v>US</v>
      </c>
      <c r="G1721" s="2" t="str">
        <f t="shared" si="53"/>
        <v>Fizzy Jane|MORRIS 3</v>
      </c>
    </row>
    <row r="1722" spans="1:7" x14ac:dyDescent="0.2">
      <c r="A1722" s="2" t="str" cm="1">
        <f t="array" ref="A1722">INDEX('[1]Brand Family Territory (Enc)'!$A$2:$A$296,INT((ROW()-2)/10)+1)</f>
        <v>Flying Dog Brewing Co</v>
      </c>
      <c r="B1722" s="2" t="str" cm="1">
        <f t="array" ref="B1722">INDEX('Whitelist (Blackout Reverse)'!$B$1:$K$1,MOD(ROW()-2,10)+1)</f>
        <v>BERGEN</v>
      </c>
      <c r="C1722" s="2" t="str">
        <f>VLOOKUP(A1722,'[1]Brand Family Territory (Enc)'!$A$2:$B$296,2,FALSE)</f>
        <v>All Counties</v>
      </c>
      <c r="D1722" s="2">
        <f>IF(COUNTIFS('[1]Brand Family Territories (Enc)'!$B$2:$B$62,C1722,'[1]Brand Family Territories (Enc)'!$C$2:$C$62,B1722)&gt;0,1,IF(AND(LEFT(B1722,6)="MORRIS",COUNTIFS('[1]Brand Family Territories (Enc)'!$B$2:$B$62,C1722,'[1]Brand Family Territories (Enc)'!$C$2:$C$62,"Morri")&gt;0),"Unk",0))</f>
        <v>1</v>
      </c>
      <c r="E1722" s="2" t="str">
        <f>IFERROR(INDEX('Blackout Brand Fam Areas (Enc)'!$D$6:$D$998,MATCH(UPPER(A1722)&amp;"|"&amp;UPPER(B1722),'Blackout Brand Fam Areas (Enc)'!$G$6:$G$998,0)),"No Match")</f>
        <v>No Match</v>
      </c>
      <c r="F1722" s="2" t="str">
        <f t="shared" si="52"/>
        <v>US</v>
      </c>
      <c r="G1722" s="2" t="str">
        <f t="shared" si="53"/>
        <v>Flying Dog Brewing Co|BERGEN</v>
      </c>
    </row>
    <row r="1723" spans="1:7" x14ac:dyDescent="0.2">
      <c r="A1723" s="2" t="str" cm="1">
        <f t="array" ref="A1723">INDEX('[1]Brand Family Territory (Enc)'!$A$2:$A$296,INT((ROW()-2)/10)+1)</f>
        <v>Flying Dog Brewing Co</v>
      </c>
      <c r="B1723" s="2" t="str" cm="1">
        <f t="array" ref="B1723">INDEX('Whitelist (Blackout Reverse)'!$B$1:$K$1,MOD(ROW()-2,10)+1)</f>
        <v>PASSAIC</v>
      </c>
      <c r="C1723" s="2" t="str">
        <f>VLOOKUP(A1723,'[1]Brand Family Territory (Enc)'!$A$2:$B$296,2,FALSE)</f>
        <v>All Counties</v>
      </c>
      <c r="D1723" s="2">
        <f>IF(COUNTIFS('[1]Brand Family Territories (Enc)'!$B$2:$B$62,C1723,'[1]Brand Family Territories (Enc)'!$C$2:$C$62,B1723)&gt;0,1,IF(AND(LEFT(B1723,6)="MORRIS",COUNTIFS('[1]Brand Family Territories (Enc)'!$B$2:$B$62,C1723,'[1]Brand Family Territories (Enc)'!$C$2:$C$62,"Morri")&gt;0),"Unk",0))</f>
        <v>1</v>
      </c>
      <c r="E1723" s="2" t="str">
        <f>IFERROR(INDEX('Blackout Brand Fam Areas (Enc)'!$D$6:$D$998,MATCH(UPPER(A1723)&amp;"|"&amp;UPPER(B1723),'Blackout Brand Fam Areas (Enc)'!$G$6:$G$998,0)),"No Match")</f>
        <v>No Match</v>
      </c>
      <c r="F1723" s="2" t="str">
        <f t="shared" si="52"/>
        <v>US</v>
      </c>
      <c r="G1723" s="2" t="str">
        <f t="shared" si="53"/>
        <v>Flying Dog Brewing Co|PASSAIC</v>
      </c>
    </row>
    <row r="1724" spans="1:7" x14ac:dyDescent="0.2">
      <c r="A1724" s="2" t="str" cm="1">
        <f t="array" ref="A1724">INDEX('[1]Brand Family Territory (Enc)'!$A$2:$A$296,INT((ROW()-2)/10)+1)</f>
        <v>Flying Dog Brewing Co</v>
      </c>
      <c r="B1724" s="2" t="str" cm="1">
        <f t="array" ref="B1724">INDEX('Whitelist (Blackout Reverse)'!$B$1:$K$1,MOD(ROW()-2,10)+1)</f>
        <v>PASSAIC-FF</v>
      </c>
      <c r="C1724" s="2" t="str">
        <f>VLOOKUP(A1724,'[1]Brand Family Territory (Enc)'!$A$2:$B$296,2,FALSE)</f>
        <v>All Counties</v>
      </c>
      <c r="D1724" s="2">
        <f>IF(COUNTIFS('[1]Brand Family Territories (Enc)'!$B$2:$B$62,C1724,'[1]Brand Family Territories (Enc)'!$C$2:$C$62,B1724)&gt;0,1,IF(AND(LEFT(B1724,6)="MORRIS",COUNTIFS('[1]Brand Family Territories (Enc)'!$B$2:$B$62,C1724,'[1]Brand Family Territories (Enc)'!$C$2:$C$62,"Morri")&gt;0),"Unk",0))</f>
        <v>1</v>
      </c>
      <c r="E1724" s="2" t="str">
        <f>IFERROR(INDEX('Blackout Brand Fam Areas (Enc)'!$D$6:$D$998,MATCH(UPPER(A1724)&amp;"|"&amp;UPPER(B1724),'Blackout Brand Fam Areas (Enc)'!$G$6:$G$998,0)),"No Match")</f>
        <v>No Match</v>
      </c>
      <c r="F1724" s="2" t="str">
        <f t="shared" si="52"/>
        <v>US</v>
      </c>
      <c r="G1724" s="2" t="str">
        <f t="shared" si="53"/>
        <v>Flying Dog Brewing Co|PASSAIC-FF</v>
      </c>
    </row>
    <row r="1725" spans="1:7" x14ac:dyDescent="0.2">
      <c r="A1725" s="2" t="str" cm="1">
        <f t="array" ref="A1725">INDEX('[1]Brand Family Territory (Enc)'!$A$2:$A$296,INT((ROW()-2)/10)+1)</f>
        <v>Flying Dog Brewing Co</v>
      </c>
      <c r="B1725" s="2" t="str" cm="1">
        <f t="array" ref="B1725">INDEX('Whitelist (Blackout Reverse)'!$B$1:$K$1,MOD(ROW()-2,10)+1)</f>
        <v>ESSEX</v>
      </c>
      <c r="C1725" s="2" t="str">
        <f>VLOOKUP(A1725,'[1]Brand Family Territory (Enc)'!$A$2:$B$296,2,FALSE)</f>
        <v>All Counties</v>
      </c>
      <c r="D1725" s="2">
        <f>IF(COUNTIFS('[1]Brand Family Territories (Enc)'!$B$2:$B$62,C1725,'[1]Brand Family Territories (Enc)'!$C$2:$C$62,B1725)&gt;0,1,IF(AND(LEFT(B1725,6)="MORRIS",COUNTIFS('[1]Brand Family Territories (Enc)'!$B$2:$B$62,C1725,'[1]Brand Family Territories (Enc)'!$C$2:$C$62,"Morri")&gt;0),"Unk",0))</f>
        <v>1</v>
      </c>
      <c r="E1725" s="2" t="str">
        <f>IFERROR(INDEX('Blackout Brand Fam Areas (Enc)'!$D$6:$D$998,MATCH(UPPER(A1725)&amp;"|"&amp;UPPER(B1725),'Blackout Brand Fam Areas (Enc)'!$G$6:$G$998,0)),"No Match")</f>
        <v>No Match</v>
      </c>
      <c r="F1725" s="2" t="str">
        <f t="shared" si="52"/>
        <v>US</v>
      </c>
      <c r="G1725" s="2" t="str">
        <f t="shared" si="53"/>
        <v>Flying Dog Brewing Co|ESSEX</v>
      </c>
    </row>
    <row r="1726" spans="1:7" x14ac:dyDescent="0.2">
      <c r="A1726" s="2" t="str" cm="1">
        <f t="array" ref="A1726">INDEX('[1]Brand Family Territory (Enc)'!$A$2:$A$296,INT((ROW()-2)/10)+1)</f>
        <v>Flying Dog Brewing Co</v>
      </c>
      <c r="B1726" s="2" t="str" cm="1">
        <f t="array" ref="B1726">INDEX('Whitelist (Blackout Reverse)'!$B$1:$K$1,MOD(ROW()-2,10)+1)</f>
        <v>HUDSON</v>
      </c>
      <c r="C1726" s="2" t="str">
        <f>VLOOKUP(A1726,'[1]Brand Family Territory (Enc)'!$A$2:$B$296,2,FALSE)</f>
        <v>All Counties</v>
      </c>
      <c r="D1726" s="2">
        <f>IF(COUNTIFS('[1]Brand Family Territories (Enc)'!$B$2:$B$62,C1726,'[1]Brand Family Territories (Enc)'!$C$2:$C$62,B1726)&gt;0,1,IF(AND(LEFT(B1726,6)="MORRIS",COUNTIFS('[1]Brand Family Territories (Enc)'!$B$2:$B$62,C1726,'[1]Brand Family Territories (Enc)'!$C$2:$C$62,"Morri")&gt;0),"Unk",0))</f>
        <v>1</v>
      </c>
      <c r="E1726" s="2" t="str">
        <f>IFERROR(INDEX('Blackout Brand Fam Areas (Enc)'!$D$6:$D$998,MATCH(UPPER(A1726)&amp;"|"&amp;UPPER(B1726),'Blackout Brand Fam Areas (Enc)'!$G$6:$G$998,0)),"No Match")</f>
        <v>No Match</v>
      </c>
      <c r="F1726" s="2" t="str">
        <f t="shared" si="52"/>
        <v>US</v>
      </c>
      <c r="G1726" s="2" t="str">
        <f t="shared" si="53"/>
        <v>Flying Dog Brewing Co|HUDSON</v>
      </c>
    </row>
    <row r="1727" spans="1:7" x14ac:dyDescent="0.2">
      <c r="A1727" s="2" t="str" cm="1">
        <f t="array" ref="A1727">INDEX('[1]Brand Family Territory (Enc)'!$A$2:$A$296,INT((ROW()-2)/10)+1)</f>
        <v>Flying Dog Brewing Co</v>
      </c>
      <c r="B1727" s="2" t="str" cm="1">
        <f t="array" ref="B1727">INDEX('Whitelist (Blackout Reverse)'!$B$1:$K$1,MOD(ROW()-2,10)+1)</f>
        <v>UNION</v>
      </c>
      <c r="C1727" s="2" t="str">
        <f>VLOOKUP(A1727,'[1]Brand Family Territory (Enc)'!$A$2:$B$296,2,FALSE)</f>
        <v>All Counties</v>
      </c>
      <c r="D1727" s="2">
        <f>IF(COUNTIFS('[1]Brand Family Territories (Enc)'!$B$2:$B$62,C1727,'[1]Brand Family Territories (Enc)'!$C$2:$C$62,B1727)&gt;0,1,IF(AND(LEFT(B1727,6)="MORRIS",COUNTIFS('[1]Brand Family Territories (Enc)'!$B$2:$B$62,C1727,'[1]Brand Family Territories (Enc)'!$C$2:$C$62,"Morri")&gt;0),"Unk",0))</f>
        <v>1</v>
      </c>
      <c r="E1727" s="2" t="str">
        <f>IFERROR(INDEX('Blackout Brand Fam Areas (Enc)'!$D$6:$D$998,MATCH(UPPER(A1727)&amp;"|"&amp;UPPER(B1727),'Blackout Brand Fam Areas (Enc)'!$G$6:$G$998,0)),"No Match")</f>
        <v>No Match</v>
      </c>
      <c r="F1727" s="2" t="str">
        <f t="shared" si="52"/>
        <v>US</v>
      </c>
      <c r="G1727" s="2" t="str">
        <f t="shared" si="53"/>
        <v>Flying Dog Brewing Co|UNION</v>
      </c>
    </row>
    <row r="1728" spans="1:7" x14ac:dyDescent="0.2">
      <c r="A1728" s="2" t="str" cm="1">
        <f t="array" ref="A1728">INDEX('[1]Brand Family Territory (Enc)'!$A$2:$A$296,INT((ROW()-2)/10)+1)</f>
        <v>Flying Dog Brewing Co</v>
      </c>
      <c r="B1728" s="2" t="str" cm="1">
        <f t="array" ref="B1728">INDEX('Whitelist (Blackout Reverse)'!$B$1:$K$1,MOD(ROW()-2,10)+1)</f>
        <v>SUSSEX</v>
      </c>
      <c r="C1728" s="2" t="str">
        <f>VLOOKUP(A1728,'[1]Brand Family Territory (Enc)'!$A$2:$B$296,2,FALSE)</f>
        <v>All Counties</v>
      </c>
      <c r="D1728" s="2">
        <f>IF(COUNTIFS('[1]Brand Family Territories (Enc)'!$B$2:$B$62,C1728,'[1]Brand Family Territories (Enc)'!$C$2:$C$62,B1728)&gt;0,1,IF(AND(LEFT(B1728,6)="MORRIS",COUNTIFS('[1]Brand Family Territories (Enc)'!$B$2:$B$62,C1728,'[1]Brand Family Territories (Enc)'!$C$2:$C$62,"Morri")&gt;0),"Unk",0))</f>
        <v>1</v>
      </c>
      <c r="E1728" s="2" t="str">
        <f>IFERROR(INDEX('Blackout Brand Fam Areas (Enc)'!$D$6:$D$998,MATCH(UPPER(A1728)&amp;"|"&amp;UPPER(B1728),'Blackout Brand Fam Areas (Enc)'!$G$6:$G$998,0)),"No Match")</f>
        <v>No Match</v>
      </c>
      <c r="F1728" s="2" t="str">
        <f t="shared" si="52"/>
        <v>US</v>
      </c>
      <c r="G1728" s="2" t="str">
        <f t="shared" si="53"/>
        <v>Flying Dog Brewing Co|SUSSEX</v>
      </c>
    </row>
    <row r="1729" spans="1:7" x14ac:dyDescent="0.2">
      <c r="A1729" s="2" t="str" cm="1">
        <f t="array" ref="A1729">INDEX('[1]Brand Family Territory (Enc)'!$A$2:$A$296,INT((ROW()-2)/10)+1)</f>
        <v>Flying Dog Brewing Co</v>
      </c>
      <c r="B1729" s="2" t="str" cm="1">
        <f t="array" ref="B1729">INDEX('Whitelist (Blackout Reverse)'!$B$1:$K$1,MOD(ROW()-2,10)+1)</f>
        <v>MORRIS 1</v>
      </c>
      <c r="C1729" s="2" t="str">
        <f>VLOOKUP(A1729,'[1]Brand Family Territory (Enc)'!$A$2:$B$296,2,FALSE)</f>
        <v>All Counties</v>
      </c>
      <c r="D1729" s="2">
        <f>IF(COUNTIFS('[1]Brand Family Territories (Enc)'!$B$2:$B$62,C1729,'[1]Brand Family Territories (Enc)'!$C$2:$C$62,B1729)&gt;0,1,IF(AND(LEFT(B1729,6)="MORRIS",COUNTIFS('[1]Brand Family Territories (Enc)'!$B$2:$B$62,C1729,'[1]Brand Family Territories (Enc)'!$C$2:$C$62,"Morri")&gt;0),"Unk",0))</f>
        <v>1</v>
      </c>
      <c r="E1729" s="2" t="str">
        <f>IFERROR(INDEX('Blackout Brand Fam Areas (Enc)'!$D$6:$D$998,MATCH(UPPER(A1729)&amp;"|"&amp;UPPER(B1729),'Blackout Brand Fam Areas (Enc)'!$G$6:$G$998,0)),"No Match")</f>
        <v>No Match</v>
      </c>
      <c r="F1729" s="2" t="str">
        <f t="shared" si="52"/>
        <v>US</v>
      </c>
      <c r="G1729" s="2" t="str">
        <f t="shared" si="53"/>
        <v>Flying Dog Brewing Co|MORRIS 1</v>
      </c>
    </row>
    <row r="1730" spans="1:7" x14ac:dyDescent="0.2">
      <c r="A1730" s="2" t="str" cm="1">
        <f t="array" ref="A1730">INDEX('[1]Brand Family Territory (Enc)'!$A$2:$A$296,INT((ROW()-2)/10)+1)</f>
        <v>Flying Dog Brewing Co</v>
      </c>
      <c r="B1730" s="2" t="str" cm="1">
        <f t="array" ref="B1730">INDEX('Whitelist (Blackout Reverse)'!$B$1:$K$1,MOD(ROW()-2,10)+1)</f>
        <v>MORRIS 2</v>
      </c>
      <c r="C1730" s="2" t="str">
        <f>VLOOKUP(A1730,'[1]Brand Family Territory (Enc)'!$A$2:$B$296,2,FALSE)</f>
        <v>All Counties</v>
      </c>
      <c r="D1730" s="2">
        <f>IF(COUNTIFS('[1]Brand Family Territories (Enc)'!$B$2:$B$62,C1730,'[1]Brand Family Territories (Enc)'!$C$2:$C$62,B1730)&gt;0,1,IF(AND(LEFT(B1730,6)="MORRIS",COUNTIFS('[1]Brand Family Territories (Enc)'!$B$2:$B$62,C1730,'[1]Brand Family Territories (Enc)'!$C$2:$C$62,"Morri")&gt;0),"Unk",0))</f>
        <v>1</v>
      </c>
      <c r="E1730" s="2" t="str">
        <f>IFERROR(INDEX('Blackout Brand Fam Areas (Enc)'!$D$6:$D$998,MATCH(UPPER(A1730)&amp;"|"&amp;UPPER(B1730),'Blackout Brand Fam Areas (Enc)'!$G$6:$G$998,0)),"No Match")</f>
        <v>No Match</v>
      </c>
      <c r="F1730" s="2" t="str">
        <f t="shared" si="52"/>
        <v>US</v>
      </c>
      <c r="G1730" s="2" t="str">
        <f t="shared" si="53"/>
        <v>Flying Dog Brewing Co|MORRIS 2</v>
      </c>
    </row>
    <row r="1731" spans="1:7" x14ac:dyDescent="0.2">
      <c r="A1731" s="2" t="str" cm="1">
        <f t="array" ref="A1731">INDEX('[1]Brand Family Territory (Enc)'!$A$2:$A$296,INT((ROW()-2)/10)+1)</f>
        <v>Flying Dog Brewing Co</v>
      </c>
      <c r="B1731" s="2" t="str" cm="1">
        <f t="array" ref="B1731">INDEX('Whitelist (Blackout Reverse)'!$B$1:$K$1,MOD(ROW()-2,10)+1)</f>
        <v>MORRIS 3</v>
      </c>
      <c r="C1731" s="2" t="str">
        <f>VLOOKUP(A1731,'[1]Brand Family Territory (Enc)'!$A$2:$B$296,2,FALSE)</f>
        <v>All Counties</v>
      </c>
      <c r="D1731" s="2">
        <f>IF(COUNTIFS('[1]Brand Family Territories (Enc)'!$B$2:$B$62,C1731,'[1]Brand Family Territories (Enc)'!$C$2:$C$62,B1731)&gt;0,1,IF(AND(LEFT(B1731,6)="MORRIS",COUNTIFS('[1]Brand Family Territories (Enc)'!$B$2:$B$62,C1731,'[1]Brand Family Territories (Enc)'!$C$2:$C$62,"Morri")&gt;0),"Unk",0))</f>
        <v>1</v>
      </c>
      <c r="E1731" s="2" t="str">
        <f>IFERROR(INDEX('Blackout Brand Fam Areas (Enc)'!$D$6:$D$998,MATCH(UPPER(A1731)&amp;"|"&amp;UPPER(B1731),'Blackout Brand Fam Areas (Enc)'!$G$6:$G$998,0)),"No Match")</f>
        <v>No Match</v>
      </c>
      <c r="F1731" s="2" t="str">
        <f t="shared" ref="F1731:F1794" si="54">IF(D1731="Unk","Ambiguous (Source Truncated)",IF(E1731="Inactive","THEM",IF(D1731=1,"US",IF(D1731="N/A","No Territory Data","THEM"))))</f>
        <v>US</v>
      </c>
      <c r="G1731" s="2" t="str">
        <f t="shared" ref="G1731:G1794" si="55">A1731&amp;"|"&amp;B1731</f>
        <v>Flying Dog Brewing Co|MORRIS 3</v>
      </c>
    </row>
    <row r="1732" spans="1:7" x14ac:dyDescent="0.2">
      <c r="A1732" s="2" t="str" cm="1">
        <f t="array" ref="A1732">INDEX('[1]Brand Family Territory (Enc)'!$A$2:$A$296,INT((ROW()-2)/10)+1)</f>
        <v>Forged Irish Stout</v>
      </c>
      <c r="B1732" s="2" t="str" cm="1">
        <f t="array" ref="B1732">INDEX('Whitelist (Blackout Reverse)'!$B$1:$K$1,MOD(ROW()-2,10)+1)</f>
        <v>BERGEN</v>
      </c>
      <c r="C1732" s="2" t="str">
        <f>VLOOKUP(A1732,'[1]Brand Family Territory (Enc)'!$A$2:$B$296,2,FALSE)</f>
        <v>All Counties</v>
      </c>
      <c r="D1732" s="2">
        <f>IF(COUNTIFS('[1]Brand Family Territories (Enc)'!$B$2:$B$62,C1732,'[1]Brand Family Territories (Enc)'!$C$2:$C$62,B1732)&gt;0,1,IF(AND(LEFT(B1732,6)="MORRIS",COUNTIFS('[1]Brand Family Territories (Enc)'!$B$2:$B$62,C1732,'[1]Brand Family Territories (Enc)'!$C$2:$C$62,"Morri")&gt;0),"Unk",0))</f>
        <v>1</v>
      </c>
      <c r="E1732" s="2" t="str">
        <f>IFERROR(INDEX('Blackout Brand Fam Areas (Enc)'!$D$6:$D$998,MATCH(UPPER(A1732)&amp;"|"&amp;UPPER(B1732),'Blackout Brand Fam Areas (Enc)'!$G$6:$G$998,0)),"No Match")</f>
        <v>No Match</v>
      </c>
      <c r="F1732" s="2" t="str">
        <f t="shared" si="54"/>
        <v>US</v>
      </c>
      <c r="G1732" s="2" t="str">
        <f t="shared" si="55"/>
        <v>Forged Irish Stout|BERGEN</v>
      </c>
    </row>
    <row r="1733" spans="1:7" x14ac:dyDescent="0.2">
      <c r="A1733" s="2" t="str" cm="1">
        <f t="array" ref="A1733">INDEX('[1]Brand Family Territory (Enc)'!$A$2:$A$296,INT((ROW()-2)/10)+1)</f>
        <v>Forged Irish Stout</v>
      </c>
      <c r="B1733" s="2" t="str" cm="1">
        <f t="array" ref="B1733">INDEX('Whitelist (Blackout Reverse)'!$B$1:$K$1,MOD(ROW()-2,10)+1)</f>
        <v>PASSAIC</v>
      </c>
      <c r="C1733" s="2" t="str">
        <f>VLOOKUP(A1733,'[1]Brand Family Territory (Enc)'!$A$2:$B$296,2,FALSE)</f>
        <v>All Counties</v>
      </c>
      <c r="D1733" s="2">
        <f>IF(COUNTIFS('[1]Brand Family Territories (Enc)'!$B$2:$B$62,C1733,'[1]Brand Family Territories (Enc)'!$C$2:$C$62,B1733)&gt;0,1,IF(AND(LEFT(B1733,6)="MORRIS",COUNTIFS('[1]Brand Family Territories (Enc)'!$B$2:$B$62,C1733,'[1]Brand Family Territories (Enc)'!$C$2:$C$62,"Morri")&gt;0),"Unk",0))</f>
        <v>1</v>
      </c>
      <c r="E1733" s="2" t="str">
        <f>IFERROR(INDEX('Blackout Brand Fam Areas (Enc)'!$D$6:$D$998,MATCH(UPPER(A1733)&amp;"|"&amp;UPPER(B1733),'Blackout Brand Fam Areas (Enc)'!$G$6:$G$998,0)),"No Match")</f>
        <v>No Match</v>
      </c>
      <c r="F1733" s="2" t="str">
        <f t="shared" si="54"/>
        <v>US</v>
      </c>
      <c r="G1733" s="2" t="str">
        <f t="shared" si="55"/>
        <v>Forged Irish Stout|PASSAIC</v>
      </c>
    </row>
    <row r="1734" spans="1:7" x14ac:dyDescent="0.2">
      <c r="A1734" s="2" t="str" cm="1">
        <f t="array" ref="A1734">INDEX('[1]Brand Family Territory (Enc)'!$A$2:$A$296,INT((ROW()-2)/10)+1)</f>
        <v>Forged Irish Stout</v>
      </c>
      <c r="B1734" s="2" t="str" cm="1">
        <f t="array" ref="B1734">INDEX('Whitelist (Blackout Reverse)'!$B$1:$K$1,MOD(ROW()-2,10)+1)</f>
        <v>PASSAIC-FF</v>
      </c>
      <c r="C1734" s="2" t="str">
        <f>VLOOKUP(A1734,'[1]Brand Family Territory (Enc)'!$A$2:$B$296,2,FALSE)</f>
        <v>All Counties</v>
      </c>
      <c r="D1734" s="2">
        <f>IF(COUNTIFS('[1]Brand Family Territories (Enc)'!$B$2:$B$62,C1734,'[1]Brand Family Territories (Enc)'!$C$2:$C$62,B1734)&gt;0,1,IF(AND(LEFT(B1734,6)="MORRIS",COUNTIFS('[1]Brand Family Territories (Enc)'!$B$2:$B$62,C1734,'[1]Brand Family Territories (Enc)'!$C$2:$C$62,"Morri")&gt;0),"Unk",0))</f>
        <v>1</v>
      </c>
      <c r="E1734" s="2" t="str">
        <f>IFERROR(INDEX('Blackout Brand Fam Areas (Enc)'!$D$6:$D$998,MATCH(UPPER(A1734)&amp;"|"&amp;UPPER(B1734),'Blackout Brand Fam Areas (Enc)'!$G$6:$G$998,0)),"No Match")</f>
        <v>No Match</v>
      </c>
      <c r="F1734" s="2" t="str">
        <f t="shared" si="54"/>
        <v>US</v>
      </c>
      <c r="G1734" s="2" t="str">
        <f t="shared" si="55"/>
        <v>Forged Irish Stout|PASSAIC-FF</v>
      </c>
    </row>
    <row r="1735" spans="1:7" x14ac:dyDescent="0.2">
      <c r="A1735" s="2" t="str" cm="1">
        <f t="array" ref="A1735">INDEX('[1]Brand Family Territory (Enc)'!$A$2:$A$296,INT((ROW()-2)/10)+1)</f>
        <v>Forged Irish Stout</v>
      </c>
      <c r="B1735" s="2" t="str" cm="1">
        <f t="array" ref="B1735">INDEX('Whitelist (Blackout Reverse)'!$B$1:$K$1,MOD(ROW()-2,10)+1)</f>
        <v>ESSEX</v>
      </c>
      <c r="C1735" s="2" t="str">
        <f>VLOOKUP(A1735,'[1]Brand Family Territory (Enc)'!$A$2:$B$296,2,FALSE)</f>
        <v>All Counties</v>
      </c>
      <c r="D1735" s="2">
        <f>IF(COUNTIFS('[1]Brand Family Territories (Enc)'!$B$2:$B$62,C1735,'[1]Brand Family Territories (Enc)'!$C$2:$C$62,B1735)&gt;0,1,IF(AND(LEFT(B1735,6)="MORRIS",COUNTIFS('[1]Brand Family Territories (Enc)'!$B$2:$B$62,C1735,'[1]Brand Family Territories (Enc)'!$C$2:$C$62,"Morri")&gt;0),"Unk",0))</f>
        <v>1</v>
      </c>
      <c r="E1735" s="2" t="str">
        <f>IFERROR(INDEX('Blackout Brand Fam Areas (Enc)'!$D$6:$D$998,MATCH(UPPER(A1735)&amp;"|"&amp;UPPER(B1735),'Blackout Brand Fam Areas (Enc)'!$G$6:$G$998,0)),"No Match")</f>
        <v>No Match</v>
      </c>
      <c r="F1735" s="2" t="str">
        <f t="shared" si="54"/>
        <v>US</v>
      </c>
      <c r="G1735" s="2" t="str">
        <f t="shared" si="55"/>
        <v>Forged Irish Stout|ESSEX</v>
      </c>
    </row>
    <row r="1736" spans="1:7" x14ac:dyDescent="0.2">
      <c r="A1736" s="2" t="str" cm="1">
        <f t="array" ref="A1736">INDEX('[1]Brand Family Territory (Enc)'!$A$2:$A$296,INT((ROW()-2)/10)+1)</f>
        <v>Forged Irish Stout</v>
      </c>
      <c r="B1736" s="2" t="str" cm="1">
        <f t="array" ref="B1736">INDEX('Whitelist (Blackout Reverse)'!$B$1:$K$1,MOD(ROW()-2,10)+1)</f>
        <v>HUDSON</v>
      </c>
      <c r="C1736" s="2" t="str">
        <f>VLOOKUP(A1736,'[1]Brand Family Territory (Enc)'!$A$2:$B$296,2,FALSE)</f>
        <v>All Counties</v>
      </c>
      <c r="D1736" s="2">
        <f>IF(COUNTIFS('[1]Brand Family Territories (Enc)'!$B$2:$B$62,C1736,'[1]Brand Family Territories (Enc)'!$C$2:$C$62,B1736)&gt;0,1,IF(AND(LEFT(B1736,6)="MORRIS",COUNTIFS('[1]Brand Family Territories (Enc)'!$B$2:$B$62,C1736,'[1]Brand Family Territories (Enc)'!$C$2:$C$62,"Morri")&gt;0),"Unk",0))</f>
        <v>1</v>
      </c>
      <c r="E1736" s="2" t="str">
        <f>IFERROR(INDEX('Blackout Brand Fam Areas (Enc)'!$D$6:$D$998,MATCH(UPPER(A1736)&amp;"|"&amp;UPPER(B1736),'Blackout Brand Fam Areas (Enc)'!$G$6:$G$998,0)),"No Match")</f>
        <v>No Match</v>
      </c>
      <c r="F1736" s="2" t="str">
        <f t="shared" si="54"/>
        <v>US</v>
      </c>
      <c r="G1736" s="2" t="str">
        <f t="shared" si="55"/>
        <v>Forged Irish Stout|HUDSON</v>
      </c>
    </row>
    <row r="1737" spans="1:7" x14ac:dyDescent="0.2">
      <c r="A1737" s="2" t="str" cm="1">
        <f t="array" ref="A1737">INDEX('[1]Brand Family Territory (Enc)'!$A$2:$A$296,INT((ROW()-2)/10)+1)</f>
        <v>Forged Irish Stout</v>
      </c>
      <c r="B1737" s="2" t="str" cm="1">
        <f t="array" ref="B1737">INDEX('Whitelist (Blackout Reverse)'!$B$1:$K$1,MOD(ROW()-2,10)+1)</f>
        <v>UNION</v>
      </c>
      <c r="C1737" s="2" t="str">
        <f>VLOOKUP(A1737,'[1]Brand Family Territory (Enc)'!$A$2:$B$296,2,FALSE)</f>
        <v>All Counties</v>
      </c>
      <c r="D1737" s="2">
        <f>IF(COUNTIFS('[1]Brand Family Territories (Enc)'!$B$2:$B$62,C1737,'[1]Brand Family Territories (Enc)'!$C$2:$C$62,B1737)&gt;0,1,IF(AND(LEFT(B1737,6)="MORRIS",COUNTIFS('[1]Brand Family Territories (Enc)'!$B$2:$B$62,C1737,'[1]Brand Family Territories (Enc)'!$C$2:$C$62,"Morri")&gt;0),"Unk",0))</f>
        <v>1</v>
      </c>
      <c r="E1737" s="2" t="str">
        <f>IFERROR(INDEX('Blackout Brand Fam Areas (Enc)'!$D$6:$D$998,MATCH(UPPER(A1737)&amp;"|"&amp;UPPER(B1737),'Blackout Brand Fam Areas (Enc)'!$G$6:$G$998,0)),"No Match")</f>
        <v>No Match</v>
      </c>
      <c r="F1737" s="2" t="str">
        <f t="shared" si="54"/>
        <v>US</v>
      </c>
      <c r="G1737" s="2" t="str">
        <f t="shared" si="55"/>
        <v>Forged Irish Stout|UNION</v>
      </c>
    </row>
    <row r="1738" spans="1:7" x14ac:dyDescent="0.2">
      <c r="A1738" s="2" t="str" cm="1">
        <f t="array" ref="A1738">INDEX('[1]Brand Family Territory (Enc)'!$A$2:$A$296,INT((ROW()-2)/10)+1)</f>
        <v>Forged Irish Stout</v>
      </c>
      <c r="B1738" s="2" t="str" cm="1">
        <f t="array" ref="B1738">INDEX('Whitelist (Blackout Reverse)'!$B$1:$K$1,MOD(ROW()-2,10)+1)</f>
        <v>SUSSEX</v>
      </c>
      <c r="C1738" s="2" t="str">
        <f>VLOOKUP(A1738,'[1]Brand Family Territory (Enc)'!$A$2:$B$296,2,FALSE)</f>
        <v>All Counties</v>
      </c>
      <c r="D1738" s="2">
        <f>IF(COUNTIFS('[1]Brand Family Territories (Enc)'!$B$2:$B$62,C1738,'[1]Brand Family Territories (Enc)'!$C$2:$C$62,B1738)&gt;0,1,IF(AND(LEFT(B1738,6)="MORRIS",COUNTIFS('[1]Brand Family Territories (Enc)'!$B$2:$B$62,C1738,'[1]Brand Family Territories (Enc)'!$C$2:$C$62,"Morri")&gt;0),"Unk",0))</f>
        <v>1</v>
      </c>
      <c r="E1738" s="2" t="str">
        <f>IFERROR(INDEX('Blackout Brand Fam Areas (Enc)'!$D$6:$D$998,MATCH(UPPER(A1738)&amp;"|"&amp;UPPER(B1738),'Blackout Brand Fam Areas (Enc)'!$G$6:$G$998,0)),"No Match")</f>
        <v>No Match</v>
      </c>
      <c r="F1738" s="2" t="str">
        <f t="shared" si="54"/>
        <v>US</v>
      </c>
      <c r="G1738" s="2" t="str">
        <f t="shared" si="55"/>
        <v>Forged Irish Stout|SUSSEX</v>
      </c>
    </row>
    <row r="1739" spans="1:7" x14ac:dyDescent="0.2">
      <c r="A1739" s="2" t="str" cm="1">
        <f t="array" ref="A1739">INDEX('[1]Brand Family Territory (Enc)'!$A$2:$A$296,INT((ROW()-2)/10)+1)</f>
        <v>Forged Irish Stout</v>
      </c>
      <c r="B1739" s="2" t="str" cm="1">
        <f t="array" ref="B1739">INDEX('Whitelist (Blackout Reverse)'!$B$1:$K$1,MOD(ROW()-2,10)+1)</f>
        <v>MORRIS 1</v>
      </c>
      <c r="C1739" s="2" t="str">
        <f>VLOOKUP(A1739,'[1]Brand Family Territory (Enc)'!$A$2:$B$296,2,FALSE)</f>
        <v>All Counties</v>
      </c>
      <c r="D1739" s="2">
        <f>IF(COUNTIFS('[1]Brand Family Territories (Enc)'!$B$2:$B$62,C1739,'[1]Brand Family Territories (Enc)'!$C$2:$C$62,B1739)&gt;0,1,IF(AND(LEFT(B1739,6)="MORRIS",COUNTIFS('[1]Brand Family Territories (Enc)'!$B$2:$B$62,C1739,'[1]Brand Family Territories (Enc)'!$C$2:$C$62,"Morri")&gt;0),"Unk",0))</f>
        <v>1</v>
      </c>
      <c r="E1739" s="2" t="str">
        <f>IFERROR(INDEX('Blackout Brand Fam Areas (Enc)'!$D$6:$D$998,MATCH(UPPER(A1739)&amp;"|"&amp;UPPER(B1739),'Blackout Brand Fam Areas (Enc)'!$G$6:$G$998,0)),"No Match")</f>
        <v>No Match</v>
      </c>
      <c r="F1739" s="2" t="str">
        <f t="shared" si="54"/>
        <v>US</v>
      </c>
      <c r="G1739" s="2" t="str">
        <f t="shared" si="55"/>
        <v>Forged Irish Stout|MORRIS 1</v>
      </c>
    </row>
    <row r="1740" spans="1:7" x14ac:dyDescent="0.2">
      <c r="A1740" s="2" t="str" cm="1">
        <f t="array" ref="A1740">INDEX('[1]Brand Family Territory (Enc)'!$A$2:$A$296,INT((ROW()-2)/10)+1)</f>
        <v>Forged Irish Stout</v>
      </c>
      <c r="B1740" s="2" t="str" cm="1">
        <f t="array" ref="B1740">INDEX('Whitelist (Blackout Reverse)'!$B$1:$K$1,MOD(ROW()-2,10)+1)</f>
        <v>MORRIS 2</v>
      </c>
      <c r="C1740" s="2" t="str">
        <f>VLOOKUP(A1740,'[1]Brand Family Territory (Enc)'!$A$2:$B$296,2,FALSE)</f>
        <v>All Counties</v>
      </c>
      <c r="D1740" s="2">
        <f>IF(COUNTIFS('[1]Brand Family Territories (Enc)'!$B$2:$B$62,C1740,'[1]Brand Family Territories (Enc)'!$C$2:$C$62,B1740)&gt;0,1,IF(AND(LEFT(B1740,6)="MORRIS",COUNTIFS('[1]Brand Family Territories (Enc)'!$B$2:$B$62,C1740,'[1]Brand Family Territories (Enc)'!$C$2:$C$62,"Morri")&gt;0),"Unk",0))</f>
        <v>1</v>
      </c>
      <c r="E1740" s="2" t="str">
        <f>IFERROR(INDEX('Blackout Brand Fam Areas (Enc)'!$D$6:$D$998,MATCH(UPPER(A1740)&amp;"|"&amp;UPPER(B1740),'Blackout Brand Fam Areas (Enc)'!$G$6:$G$998,0)),"No Match")</f>
        <v>No Match</v>
      </c>
      <c r="F1740" s="2" t="str">
        <f t="shared" si="54"/>
        <v>US</v>
      </c>
      <c r="G1740" s="2" t="str">
        <f t="shared" si="55"/>
        <v>Forged Irish Stout|MORRIS 2</v>
      </c>
    </row>
    <row r="1741" spans="1:7" x14ac:dyDescent="0.2">
      <c r="A1741" s="2" t="str" cm="1">
        <f t="array" ref="A1741">INDEX('[1]Brand Family Territory (Enc)'!$A$2:$A$296,INT((ROW()-2)/10)+1)</f>
        <v>Forged Irish Stout</v>
      </c>
      <c r="B1741" s="2" t="str" cm="1">
        <f t="array" ref="B1741">INDEX('Whitelist (Blackout Reverse)'!$B$1:$K$1,MOD(ROW()-2,10)+1)</f>
        <v>MORRIS 3</v>
      </c>
      <c r="C1741" s="2" t="str">
        <f>VLOOKUP(A1741,'[1]Brand Family Territory (Enc)'!$A$2:$B$296,2,FALSE)</f>
        <v>All Counties</v>
      </c>
      <c r="D1741" s="2">
        <f>IF(COUNTIFS('[1]Brand Family Territories (Enc)'!$B$2:$B$62,C1741,'[1]Brand Family Territories (Enc)'!$C$2:$C$62,B1741)&gt;0,1,IF(AND(LEFT(B1741,6)="MORRIS",COUNTIFS('[1]Brand Family Territories (Enc)'!$B$2:$B$62,C1741,'[1]Brand Family Territories (Enc)'!$C$2:$C$62,"Morri")&gt;0),"Unk",0))</f>
        <v>1</v>
      </c>
      <c r="E1741" s="2" t="str">
        <f>IFERROR(INDEX('Blackout Brand Fam Areas (Enc)'!$D$6:$D$998,MATCH(UPPER(A1741)&amp;"|"&amp;UPPER(B1741),'Blackout Brand Fam Areas (Enc)'!$G$6:$G$998,0)),"No Match")</f>
        <v>No Match</v>
      </c>
      <c r="F1741" s="2" t="str">
        <f t="shared" si="54"/>
        <v>US</v>
      </c>
      <c r="G1741" s="2" t="str">
        <f t="shared" si="55"/>
        <v>Forged Irish Stout|MORRIS 3</v>
      </c>
    </row>
    <row r="1742" spans="1:7" x14ac:dyDescent="0.2">
      <c r="A1742" s="2" t="str" cm="1">
        <f t="array" ref="A1742">INDEX('[1]Brand Family Territory (Enc)'!$A$2:$A$296,INT((ROW()-2)/10)+1)</f>
        <v>Friday Beers</v>
      </c>
      <c r="B1742" s="2" t="str" cm="1">
        <f t="array" ref="B1742">INDEX('Whitelist (Blackout Reverse)'!$B$1:$K$1,MOD(ROW()-2,10)+1)</f>
        <v>BERGEN</v>
      </c>
      <c r="C1742" s="2" t="str">
        <f>VLOOKUP(A1742,'[1]Brand Family Territory (Enc)'!$A$2:$B$296,2,FALSE)</f>
        <v>All Counties</v>
      </c>
      <c r="D1742" s="2">
        <f>IF(COUNTIFS('[1]Brand Family Territories (Enc)'!$B$2:$B$62,C1742,'[1]Brand Family Territories (Enc)'!$C$2:$C$62,B1742)&gt;0,1,IF(AND(LEFT(B1742,6)="MORRIS",COUNTIFS('[1]Brand Family Territories (Enc)'!$B$2:$B$62,C1742,'[1]Brand Family Territories (Enc)'!$C$2:$C$62,"Morri")&gt;0),"Unk",0))</f>
        <v>1</v>
      </c>
      <c r="E1742" s="2" t="str">
        <f>IFERROR(INDEX('Blackout Brand Fam Areas (Enc)'!$D$6:$D$998,MATCH(UPPER(A1742)&amp;"|"&amp;UPPER(B1742),'Blackout Brand Fam Areas (Enc)'!$G$6:$G$998,0)),"No Match")</f>
        <v>No Match</v>
      </c>
      <c r="F1742" s="2" t="str">
        <f t="shared" si="54"/>
        <v>US</v>
      </c>
      <c r="G1742" s="2" t="str">
        <f t="shared" si="55"/>
        <v>Friday Beers|BERGEN</v>
      </c>
    </row>
    <row r="1743" spans="1:7" x14ac:dyDescent="0.2">
      <c r="A1743" s="2" t="str" cm="1">
        <f t="array" ref="A1743">INDEX('[1]Brand Family Territory (Enc)'!$A$2:$A$296,INT((ROW()-2)/10)+1)</f>
        <v>Friday Beers</v>
      </c>
      <c r="B1743" s="2" t="str" cm="1">
        <f t="array" ref="B1743">INDEX('Whitelist (Blackout Reverse)'!$B$1:$K$1,MOD(ROW()-2,10)+1)</f>
        <v>PASSAIC</v>
      </c>
      <c r="C1743" s="2" t="str">
        <f>VLOOKUP(A1743,'[1]Brand Family Territory (Enc)'!$A$2:$B$296,2,FALSE)</f>
        <v>All Counties</v>
      </c>
      <c r="D1743" s="2">
        <f>IF(COUNTIFS('[1]Brand Family Territories (Enc)'!$B$2:$B$62,C1743,'[1]Brand Family Territories (Enc)'!$C$2:$C$62,B1743)&gt;0,1,IF(AND(LEFT(B1743,6)="MORRIS",COUNTIFS('[1]Brand Family Territories (Enc)'!$B$2:$B$62,C1743,'[1]Brand Family Territories (Enc)'!$C$2:$C$62,"Morri")&gt;0),"Unk",0))</f>
        <v>1</v>
      </c>
      <c r="E1743" s="2" t="str">
        <f>IFERROR(INDEX('Blackout Brand Fam Areas (Enc)'!$D$6:$D$998,MATCH(UPPER(A1743)&amp;"|"&amp;UPPER(B1743),'Blackout Brand Fam Areas (Enc)'!$G$6:$G$998,0)),"No Match")</f>
        <v>No Match</v>
      </c>
      <c r="F1743" s="2" t="str">
        <f t="shared" si="54"/>
        <v>US</v>
      </c>
      <c r="G1743" s="2" t="str">
        <f t="shared" si="55"/>
        <v>Friday Beers|PASSAIC</v>
      </c>
    </row>
    <row r="1744" spans="1:7" x14ac:dyDescent="0.2">
      <c r="A1744" s="2" t="str" cm="1">
        <f t="array" ref="A1744">INDEX('[1]Brand Family Territory (Enc)'!$A$2:$A$296,INT((ROW()-2)/10)+1)</f>
        <v>Friday Beers</v>
      </c>
      <c r="B1744" s="2" t="str" cm="1">
        <f t="array" ref="B1744">INDEX('Whitelist (Blackout Reverse)'!$B$1:$K$1,MOD(ROW()-2,10)+1)</f>
        <v>PASSAIC-FF</v>
      </c>
      <c r="C1744" s="2" t="str">
        <f>VLOOKUP(A1744,'[1]Brand Family Territory (Enc)'!$A$2:$B$296,2,FALSE)</f>
        <v>All Counties</v>
      </c>
      <c r="D1744" s="2">
        <f>IF(COUNTIFS('[1]Brand Family Territories (Enc)'!$B$2:$B$62,C1744,'[1]Brand Family Territories (Enc)'!$C$2:$C$62,B1744)&gt;0,1,IF(AND(LEFT(B1744,6)="MORRIS",COUNTIFS('[1]Brand Family Territories (Enc)'!$B$2:$B$62,C1744,'[1]Brand Family Territories (Enc)'!$C$2:$C$62,"Morri")&gt;0),"Unk",0))</f>
        <v>1</v>
      </c>
      <c r="E1744" s="2" t="str">
        <f>IFERROR(INDEX('Blackout Brand Fam Areas (Enc)'!$D$6:$D$998,MATCH(UPPER(A1744)&amp;"|"&amp;UPPER(B1744),'Blackout Brand Fam Areas (Enc)'!$G$6:$G$998,0)),"No Match")</f>
        <v>No Match</v>
      </c>
      <c r="F1744" s="2" t="str">
        <f t="shared" si="54"/>
        <v>US</v>
      </c>
      <c r="G1744" s="2" t="str">
        <f t="shared" si="55"/>
        <v>Friday Beers|PASSAIC-FF</v>
      </c>
    </row>
    <row r="1745" spans="1:7" x14ac:dyDescent="0.2">
      <c r="A1745" s="2" t="str" cm="1">
        <f t="array" ref="A1745">INDEX('[1]Brand Family Territory (Enc)'!$A$2:$A$296,INT((ROW()-2)/10)+1)</f>
        <v>Friday Beers</v>
      </c>
      <c r="B1745" s="2" t="str" cm="1">
        <f t="array" ref="B1745">INDEX('Whitelist (Blackout Reverse)'!$B$1:$K$1,MOD(ROW()-2,10)+1)</f>
        <v>ESSEX</v>
      </c>
      <c r="C1745" s="2" t="str">
        <f>VLOOKUP(A1745,'[1]Brand Family Territory (Enc)'!$A$2:$B$296,2,FALSE)</f>
        <v>All Counties</v>
      </c>
      <c r="D1745" s="2">
        <f>IF(COUNTIFS('[1]Brand Family Territories (Enc)'!$B$2:$B$62,C1745,'[1]Brand Family Territories (Enc)'!$C$2:$C$62,B1745)&gt;0,1,IF(AND(LEFT(B1745,6)="MORRIS",COUNTIFS('[1]Brand Family Territories (Enc)'!$B$2:$B$62,C1745,'[1]Brand Family Territories (Enc)'!$C$2:$C$62,"Morri")&gt;0),"Unk",0))</f>
        <v>1</v>
      </c>
      <c r="E1745" s="2" t="str">
        <f>IFERROR(INDEX('Blackout Brand Fam Areas (Enc)'!$D$6:$D$998,MATCH(UPPER(A1745)&amp;"|"&amp;UPPER(B1745),'Blackout Brand Fam Areas (Enc)'!$G$6:$G$998,0)),"No Match")</f>
        <v>No Match</v>
      </c>
      <c r="F1745" s="2" t="str">
        <f t="shared" si="54"/>
        <v>US</v>
      </c>
      <c r="G1745" s="2" t="str">
        <f t="shared" si="55"/>
        <v>Friday Beers|ESSEX</v>
      </c>
    </row>
    <row r="1746" spans="1:7" x14ac:dyDescent="0.2">
      <c r="A1746" s="2" t="str" cm="1">
        <f t="array" ref="A1746">INDEX('[1]Brand Family Territory (Enc)'!$A$2:$A$296,INT((ROW()-2)/10)+1)</f>
        <v>Friday Beers</v>
      </c>
      <c r="B1746" s="2" t="str" cm="1">
        <f t="array" ref="B1746">INDEX('Whitelist (Blackout Reverse)'!$B$1:$K$1,MOD(ROW()-2,10)+1)</f>
        <v>HUDSON</v>
      </c>
      <c r="C1746" s="2" t="str">
        <f>VLOOKUP(A1746,'[1]Brand Family Territory (Enc)'!$A$2:$B$296,2,FALSE)</f>
        <v>All Counties</v>
      </c>
      <c r="D1746" s="2">
        <f>IF(COUNTIFS('[1]Brand Family Territories (Enc)'!$B$2:$B$62,C1746,'[1]Brand Family Territories (Enc)'!$C$2:$C$62,B1746)&gt;0,1,IF(AND(LEFT(B1746,6)="MORRIS",COUNTIFS('[1]Brand Family Territories (Enc)'!$B$2:$B$62,C1746,'[1]Brand Family Territories (Enc)'!$C$2:$C$62,"Morri")&gt;0),"Unk",0))</f>
        <v>1</v>
      </c>
      <c r="E1746" s="2" t="str">
        <f>IFERROR(INDEX('Blackout Brand Fam Areas (Enc)'!$D$6:$D$998,MATCH(UPPER(A1746)&amp;"|"&amp;UPPER(B1746),'Blackout Brand Fam Areas (Enc)'!$G$6:$G$998,0)),"No Match")</f>
        <v>No Match</v>
      </c>
      <c r="F1746" s="2" t="str">
        <f t="shared" si="54"/>
        <v>US</v>
      </c>
      <c r="G1746" s="2" t="str">
        <f t="shared" si="55"/>
        <v>Friday Beers|HUDSON</v>
      </c>
    </row>
    <row r="1747" spans="1:7" x14ac:dyDescent="0.2">
      <c r="A1747" s="2" t="str" cm="1">
        <f t="array" ref="A1747">INDEX('[1]Brand Family Territory (Enc)'!$A$2:$A$296,INT((ROW()-2)/10)+1)</f>
        <v>Friday Beers</v>
      </c>
      <c r="B1747" s="2" t="str" cm="1">
        <f t="array" ref="B1747">INDEX('Whitelist (Blackout Reverse)'!$B$1:$K$1,MOD(ROW()-2,10)+1)</f>
        <v>UNION</v>
      </c>
      <c r="C1747" s="2" t="str">
        <f>VLOOKUP(A1747,'[1]Brand Family Territory (Enc)'!$A$2:$B$296,2,FALSE)</f>
        <v>All Counties</v>
      </c>
      <c r="D1747" s="2">
        <f>IF(COUNTIFS('[1]Brand Family Territories (Enc)'!$B$2:$B$62,C1747,'[1]Brand Family Territories (Enc)'!$C$2:$C$62,B1747)&gt;0,1,IF(AND(LEFT(B1747,6)="MORRIS",COUNTIFS('[1]Brand Family Territories (Enc)'!$B$2:$B$62,C1747,'[1]Brand Family Territories (Enc)'!$C$2:$C$62,"Morri")&gt;0),"Unk",0))</f>
        <v>1</v>
      </c>
      <c r="E1747" s="2" t="str">
        <f>IFERROR(INDEX('Blackout Brand Fam Areas (Enc)'!$D$6:$D$998,MATCH(UPPER(A1747)&amp;"|"&amp;UPPER(B1747),'Blackout Brand Fam Areas (Enc)'!$G$6:$G$998,0)),"No Match")</f>
        <v>No Match</v>
      </c>
      <c r="F1747" s="2" t="str">
        <f t="shared" si="54"/>
        <v>US</v>
      </c>
      <c r="G1747" s="2" t="str">
        <f t="shared" si="55"/>
        <v>Friday Beers|UNION</v>
      </c>
    </row>
    <row r="1748" spans="1:7" x14ac:dyDescent="0.2">
      <c r="A1748" s="2" t="str" cm="1">
        <f t="array" ref="A1748">INDEX('[1]Brand Family Territory (Enc)'!$A$2:$A$296,INT((ROW()-2)/10)+1)</f>
        <v>Friday Beers</v>
      </c>
      <c r="B1748" s="2" t="str" cm="1">
        <f t="array" ref="B1748">INDEX('Whitelist (Blackout Reverse)'!$B$1:$K$1,MOD(ROW()-2,10)+1)</f>
        <v>SUSSEX</v>
      </c>
      <c r="C1748" s="2" t="str">
        <f>VLOOKUP(A1748,'[1]Brand Family Territory (Enc)'!$A$2:$B$296,2,FALSE)</f>
        <v>All Counties</v>
      </c>
      <c r="D1748" s="2">
        <f>IF(COUNTIFS('[1]Brand Family Territories (Enc)'!$B$2:$B$62,C1748,'[1]Brand Family Territories (Enc)'!$C$2:$C$62,B1748)&gt;0,1,IF(AND(LEFT(B1748,6)="MORRIS",COUNTIFS('[1]Brand Family Territories (Enc)'!$B$2:$B$62,C1748,'[1]Brand Family Territories (Enc)'!$C$2:$C$62,"Morri")&gt;0),"Unk",0))</f>
        <v>1</v>
      </c>
      <c r="E1748" s="2" t="str">
        <f>IFERROR(INDEX('Blackout Brand Fam Areas (Enc)'!$D$6:$D$998,MATCH(UPPER(A1748)&amp;"|"&amp;UPPER(B1748),'Blackout Brand Fam Areas (Enc)'!$G$6:$G$998,0)),"No Match")</f>
        <v>No Match</v>
      </c>
      <c r="F1748" s="2" t="str">
        <f t="shared" si="54"/>
        <v>US</v>
      </c>
      <c r="G1748" s="2" t="str">
        <f t="shared" si="55"/>
        <v>Friday Beers|SUSSEX</v>
      </c>
    </row>
    <row r="1749" spans="1:7" x14ac:dyDescent="0.2">
      <c r="A1749" s="2" t="str" cm="1">
        <f t="array" ref="A1749">INDEX('[1]Brand Family Territory (Enc)'!$A$2:$A$296,INT((ROW()-2)/10)+1)</f>
        <v>Friday Beers</v>
      </c>
      <c r="B1749" s="2" t="str" cm="1">
        <f t="array" ref="B1749">INDEX('Whitelist (Blackout Reverse)'!$B$1:$K$1,MOD(ROW()-2,10)+1)</f>
        <v>MORRIS 1</v>
      </c>
      <c r="C1749" s="2" t="str">
        <f>VLOOKUP(A1749,'[1]Brand Family Territory (Enc)'!$A$2:$B$296,2,FALSE)</f>
        <v>All Counties</v>
      </c>
      <c r="D1749" s="2">
        <f>IF(COUNTIFS('[1]Brand Family Territories (Enc)'!$B$2:$B$62,C1749,'[1]Brand Family Territories (Enc)'!$C$2:$C$62,B1749)&gt;0,1,IF(AND(LEFT(B1749,6)="MORRIS",COUNTIFS('[1]Brand Family Territories (Enc)'!$B$2:$B$62,C1749,'[1]Brand Family Territories (Enc)'!$C$2:$C$62,"Morri")&gt;0),"Unk",0))</f>
        <v>1</v>
      </c>
      <c r="E1749" s="2" t="str">
        <f>IFERROR(INDEX('Blackout Brand Fam Areas (Enc)'!$D$6:$D$998,MATCH(UPPER(A1749)&amp;"|"&amp;UPPER(B1749),'Blackout Brand Fam Areas (Enc)'!$G$6:$G$998,0)),"No Match")</f>
        <v>No Match</v>
      </c>
      <c r="F1749" s="2" t="str">
        <f t="shared" si="54"/>
        <v>US</v>
      </c>
      <c r="G1749" s="2" t="str">
        <f t="shared" si="55"/>
        <v>Friday Beers|MORRIS 1</v>
      </c>
    </row>
    <row r="1750" spans="1:7" x14ac:dyDescent="0.2">
      <c r="A1750" s="2" t="str" cm="1">
        <f t="array" ref="A1750">INDEX('[1]Brand Family Territory (Enc)'!$A$2:$A$296,INT((ROW()-2)/10)+1)</f>
        <v>Friday Beers</v>
      </c>
      <c r="B1750" s="2" t="str" cm="1">
        <f t="array" ref="B1750">INDEX('Whitelist (Blackout Reverse)'!$B$1:$K$1,MOD(ROW()-2,10)+1)</f>
        <v>MORRIS 2</v>
      </c>
      <c r="C1750" s="2" t="str">
        <f>VLOOKUP(A1750,'[1]Brand Family Territory (Enc)'!$A$2:$B$296,2,FALSE)</f>
        <v>All Counties</v>
      </c>
      <c r="D1750" s="2">
        <f>IF(COUNTIFS('[1]Brand Family Territories (Enc)'!$B$2:$B$62,C1750,'[1]Brand Family Territories (Enc)'!$C$2:$C$62,B1750)&gt;0,1,IF(AND(LEFT(B1750,6)="MORRIS",COUNTIFS('[1]Brand Family Territories (Enc)'!$B$2:$B$62,C1750,'[1]Brand Family Territories (Enc)'!$C$2:$C$62,"Morri")&gt;0),"Unk",0))</f>
        <v>1</v>
      </c>
      <c r="E1750" s="2" t="str">
        <f>IFERROR(INDEX('Blackout Brand Fam Areas (Enc)'!$D$6:$D$998,MATCH(UPPER(A1750)&amp;"|"&amp;UPPER(B1750),'Blackout Brand Fam Areas (Enc)'!$G$6:$G$998,0)),"No Match")</f>
        <v>No Match</v>
      </c>
      <c r="F1750" s="2" t="str">
        <f t="shared" si="54"/>
        <v>US</v>
      </c>
      <c r="G1750" s="2" t="str">
        <f t="shared" si="55"/>
        <v>Friday Beers|MORRIS 2</v>
      </c>
    </row>
    <row r="1751" spans="1:7" x14ac:dyDescent="0.2">
      <c r="A1751" s="2" t="str" cm="1">
        <f t="array" ref="A1751">INDEX('[1]Brand Family Territory (Enc)'!$A$2:$A$296,INT((ROW()-2)/10)+1)</f>
        <v>Friday Beers</v>
      </c>
      <c r="B1751" s="2" t="str" cm="1">
        <f t="array" ref="B1751">INDEX('Whitelist (Blackout Reverse)'!$B$1:$K$1,MOD(ROW()-2,10)+1)</f>
        <v>MORRIS 3</v>
      </c>
      <c r="C1751" s="2" t="str">
        <f>VLOOKUP(A1751,'[1]Brand Family Territory (Enc)'!$A$2:$B$296,2,FALSE)</f>
        <v>All Counties</v>
      </c>
      <c r="D1751" s="2">
        <f>IF(COUNTIFS('[1]Brand Family Territories (Enc)'!$B$2:$B$62,C1751,'[1]Brand Family Territories (Enc)'!$C$2:$C$62,B1751)&gt;0,1,IF(AND(LEFT(B1751,6)="MORRIS",COUNTIFS('[1]Brand Family Territories (Enc)'!$B$2:$B$62,C1751,'[1]Brand Family Territories (Enc)'!$C$2:$C$62,"Morri")&gt;0),"Unk",0))</f>
        <v>1</v>
      </c>
      <c r="E1751" s="2" t="str">
        <f>IFERROR(INDEX('Blackout Brand Fam Areas (Enc)'!$D$6:$D$998,MATCH(UPPER(A1751)&amp;"|"&amp;UPPER(B1751),'Blackout Brand Fam Areas (Enc)'!$G$6:$G$998,0)),"No Match")</f>
        <v>No Match</v>
      </c>
      <c r="F1751" s="2" t="str">
        <f t="shared" si="54"/>
        <v>US</v>
      </c>
      <c r="G1751" s="2" t="str">
        <f t="shared" si="55"/>
        <v>Friday Beers|MORRIS 3</v>
      </c>
    </row>
    <row r="1752" spans="1:7" x14ac:dyDescent="0.2">
      <c r="A1752" s="2" t="str" cm="1">
        <f t="array" ref="A1752">INDEX('[1]Brand Family Territory (Enc)'!$A$2:$A$296,INT((ROW()-2)/10)+1)</f>
        <v>Garage Beer</v>
      </c>
      <c r="B1752" s="2" t="str" cm="1">
        <f t="array" ref="B1752">INDEX('Whitelist (Blackout Reverse)'!$B$1:$K$1,MOD(ROW()-2,10)+1)</f>
        <v>BERGEN</v>
      </c>
      <c r="C1752" s="2" t="str">
        <f>VLOOKUP(A1752,'[1]Brand Family Territory (Enc)'!$A$2:$B$296,2,FALSE)</f>
        <v>All Counties</v>
      </c>
      <c r="D1752" s="2">
        <f>IF(COUNTIFS('[1]Brand Family Territories (Enc)'!$B$2:$B$62,C1752,'[1]Brand Family Territories (Enc)'!$C$2:$C$62,B1752)&gt;0,1,IF(AND(LEFT(B1752,6)="MORRIS",COUNTIFS('[1]Brand Family Territories (Enc)'!$B$2:$B$62,C1752,'[1]Brand Family Territories (Enc)'!$C$2:$C$62,"Morri")&gt;0),"Unk",0))</f>
        <v>1</v>
      </c>
      <c r="E1752" s="2" t="str">
        <f>IFERROR(INDEX('Blackout Brand Fam Areas (Enc)'!$D$6:$D$998,MATCH(UPPER(A1752)&amp;"|"&amp;UPPER(B1752),'Blackout Brand Fam Areas (Enc)'!$G$6:$G$998,0)),"No Match")</f>
        <v>No Match</v>
      </c>
      <c r="F1752" s="2" t="str">
        <f t="shared" si="54"/>
        <v>US</v>
      </c>
      <c r="G1752" s="2" t="str">
        <f t="shared" si="55"/>
        <v>Garage Beer|BERGEN</v>
      </c>
    </row>
    <row r="1753" spans="1:7" x14ac:dyDescent="0.2">
      <c r="A1753" s="2" t="str" cm="1">
        <f t="array" ref="A1753">INDEX('[1]Brand Family Territory (Enc)'!$A$2:$A$296,INT((ROW()-2)/10)+1)</f>
        <v>Garage Beer</v>
      </c>
      <c r="B1753" s="2" t="str" cm="1">
        <f t="array" ref="B1753">INDEX('Whitelist (Blackout Reverse)'!$B$1:$K$1,MOD(ROW()-2,10)+1)</f>
        <v>PASSAIC</v>
      </c>
      <c r="C1753" s="2" t="str">
        <f>VLOOKUP(A1753,'[1]Brand Family Territory (Enc)'!$A$2:$B$296,2,FALSE)</f>
        <v>All Counties</v>
      </c>
      <c r="D1753" s="2">
        <f>IF(COUNTIFS('[1]Brand Family Territories (Enc)'!$B$2:$B$62,C1753,'[1]Brand Family Territories (Enc)'!$C$2:$C$62,B1753)&gt;0,1,IF(AND(LEFT(B1753,6)="MORRIS",COUNTIFS('[1]Brand Family Territories (Enc)'!$B$2:$B$62,C1753,'[1]Brand Family Territories (Enc)'!$C$2:$C$62,"Morri")&gt;0),"Unk",0))</f>
        <v>1</v>
      </c>
      <c r="E1753" s="2" t="str">
        <f>IFERROR(INDEX('Blackout Brand Fam Areas (Enc)'!$D$6:$D$998,MATCH(UPPER(A1753)&amp;"|"&amp;UPPER(B1753),'Blackout Brand Fam Areas (Enc)'!$G$6:$G$998,0)),"No Match")</f>
        <v>No Match</v>
      </c>
      <c r="F1753" s="2" t="str">
        <f t="shared" si="54"/>
        <v>US</v>
      </c>
      <c r="G1753" s="2" t="str">
        <f t="shared" si="55"/>
        <v>Garage Beer|PASSAIC</v>
      </c>
    </row>
    <row r="1754" spans="1:7" x14ac:dyDescent="0.2">
      <c r="A1754" s="2" t="str" cm="1">
        <f t="array" ref="A1754">INDEX('[1]Brand Family Territory (Enc)'!$A$2:$A$296,INT((ROW()-2)/10)+1)</f>
        <v>Garage Beer</v>
      </c>
      <c r="B1754" s="2" t="str" cm="1">
        <f t="array" ref="B1754">INDEX('Whitelist (Blackout Reverse)'!$B$1:$K$1,MOD(ROW()-2,10)+1)</f>
        <v>PASSAIC-FF</v>
      </c>
      <c r="C1754" s="2" t="str">
        <f>VLOOKUP(A1754,'[1]Brand Family Territory (Enc)'!$A$2:$B$296,2,FALSE)</f>
        <v>All Counties</v>
      </c>
      <c r="D1754" s="2">
        <f>IF(COUNTIFS('[1]Brand Family Territories (Enc)'!$B$2:$B$62,C1754,'[1]Brand Family Territories (Enc)'!$C$2:$C$62,B1754)&gt;0,1,IF(AND(LEFT(B1754,6)="MORRIS",COUNTIFS('[1]Brand Family Territories (Enc)'!$B$2:$B$62,C1754,'[1]Brand Family Territories (Enc)'!$C$2:$C$62,"Morri")&gt;0),"Unk",0))</f>
        <v>1</v>
      </c>
      <c r="E1754" s="2" t="str">
        <f>IFERROR(INDEX('Blackout Brand Fam Areas (Enc)'!$D$6:$D$998,MATCH(UPPER(A1754)&amp;"|"&amp;UPPER(B1754),'Blackout Brand Fam Areas (Enc)'!$G$6:$G$998,0)),"No Match")</f>
        <v>No Match</v>
      </c>
      <c r="F1754" s="2" t="str">
        <f t="shared" si="54"/>
        <v>US</v>
      </c>
      <c r="G1754" s="2" t="str">
        <f t="shared" si="55"/>
        <v>Garage Beer|PASSAIC-FF</v>
      </c>
    </row>
    <row r="1755" spans="1:7" x14ac:dyDescent="0.2">
      <c r="A1755" s="2" t="str" cm="1">
        <f t="array" ref="A1755">INDEX('[1]Brand Family Territory (Enc)'!$A$2:$A$296,INT((ROW()-2)/10)+1)</f>
        <v>Garage Beer</v>
      </c>
      <c r="B1755" s="2" t="str" cm="1">
        <f t="array" ref="B1755">INDEX('Whitelist (Blackout Reverse)'!$B$1:$K$1,MOD(ROW()-2,10)+1)</f>
        <v>ESSEX</v>
      </c>
      <c r="C1755" s="2" t="str">
        <f>VLOOKUP(A1755,'[1]Brand Family Territory (Enc)'!$A$2:$B$296,2,FALSE)</f>
        <v>All Counties</v>
      </c>
      <c r="D1755" s="2">
        <f>IF(COUNTIFS('[1]Brand Family Territories (Enc)'!$B$2:$B$62,C1755,'[1]Brand Family Territories (Enc)'!$C$2:$C$62,B1755)&gt;0,1,IF(AND(LEFT(B1755,6)="MORRIS",COUNTIFS('[1]Brand Family Territories (Enc)'!$B$2:$B$62,C1755,'[1]Brand Family Territories (Enc)'!$C$2:$C$62,"Morri")&gt;0),"Unk",0))</f>
        <v>1</v>
      </c>
      <c r="E1755" s="2" t="str">
        <f>IFERROR(INDEX('Blackout Brand Fam Areas (Enc)'!$D$6:$D$998,MATCH(UPPER(A1755)&amp;"|"&amp;UPPER(B1755),'Blackout Brand Fam Areas (Enc)'!$G$6:$G$998,0)),"No Match")</f>
        <v>No Match</v>
      </c>
      <c r="F1755" s="2" t="str">
        <f t="shared" si="54"/>
        <v>US</v>
      </c>
      <c r="G1755" s="2" t="str">
        <f t="shared" si="55"/>
        <v>Garage Beer|ESSEX</v>
      </c>
    </row>
    <row r="1756" spans="1:7" x14ac:dyDescent="0.2">
      <c r="A1756" s="2" t="str" cm="1">
        <f t="array" ref="A1756">INDEX('[1]Brand Family Territory (Enc)'!$A$2:$A$296,INT((ROW()-2)/10)+1)</f>
        <v>Garage Beer</v>
      </c>
      <c r="B1756" s="2" t="str" cm="1">
        <f t="array" ref="B1756">INDEX('Whitelist (Blackout Reverse)'!$B$1:$K$1,MOD(ROW()-2,10)+1)</f>
        <v>HUDSON</v>
      </c>
      <c r="C1756" s="2" t="str">
        <f>VLOOKUP(A1756,'[1]Brand Family Territory (Enc)'!$A$2:$B$296,2,FALSE)</f>
        <v>All Counties</v>
      </c>
      <c r="D1756" s="2">
        <f>IF(COUNTIFS('[1]Brand Family Territories (Enc)'!$B$2:$B$62,C1756,'[1]Brand Family Territories (Enc)'!$C$2:$C$62,B1756)&gt;0,1,IF(AND(LEFT(B1756,6)="MORRIS",COUNTIFS('[1]Brand Family Territories (Enc)'!$B$2:$B$62,C1756,'[1]Brand Family Territories (Enc)'!$C$2:$C$62,"Morri")&gt;0),"Unk",0))</f>
        <v>1</v>
      </c>
      <c r="E1756" s="2" t="str">
        <f>IFERROR(INDEX('Blackout Brand Fam Areas (Enc)'!$D$6:$D$998,MATCH(UPPER(A1756)&amp;"|"&amp;UPPER(B1756),'Blackout Brand Fam Areas (Enc)'!$G$6:$G$998,0)),"No Match")</f>
        <v>No Match</v>
      </c>
      <c r="F1756" s="2" t="str">
        <f t="shared" si="54"/>
        <v>US</v>
      </c>
      <c r="G1756" s="2" t="str">
        <f t="shared" si="55"/>
        <v>Garage Beer|HUDSON</v>
      </c>
    </row>
    <row r="1757" spans="1:7" x14ac:dyDescent="0.2">
      <c r="A1757" s="2" t="str" cm="1">
        <f t="array" ref="A1757">INDEX('[1]Brand Family Territory (Enc)'!$A$2:$A$296,INT((ROW()-2)/10)+1)</f>
        <v>Garage Beer</v>
      </c>
      <c r="B1757" s="2" t="str" cm="1">
        <f t="array" ref="B1757">INDEX('Whitelist (Blackout Reverse)'!$B$1:$K$1,MOD(ROW()-2,10)+1)</f>
        <v>UNION</v>
      </c>
      <c r="C1757" s="2" t="str">
        <f>VLOOKUP(A1757,'[1]Brand Family Territory (Enc)'!$A$2:$B$296,2,FALSE)</f>
        <v>All Counties</v>
      </c>
      <c r="D1757" s="2">
        <f>IF(COUNTIFS('[1]Brand Family Territories (Enc)'!$B$2:$B$62,C1757,'[1]Brand Family Territories (Enc)'!$C$2:$C$62,B1757)&gt;0,1,IF(AND(LEFT(B1757,6)="MORRIS",COUNTIFS('[1]Brand Family Territories (Enc)'!$B$2:$B$62,C1757,'[1]Brand Family Territories (Enc)'!$C$2:$C$62,"Morri")&gt;0),"Unk",0))</f>
        <v>1</v>
      </c>
      <c r="E1757" s="2" t="str">
        <f>IFERROR(INDEX('Blackout Brand Fam Areas (Enc)'!$D$6:$D$998,MATCH(UPPER(A1757)&amp;"|"&amp;UPPER(B1757),'Blackout Brand Fam Areas (Enc)'!$G$6:$G$998,0)),"No Match")</f>
        <v>No Match</v>
      </c>
      <c r="F1757" s="2" t="str">
        <f t="shared" si="54"/>
        <v>US</v>
      </c>
      <c r="G1757" s="2" t="str">
        <f t="shared" si="55"/>
        <v>Garage Beer|UNION</v>
      </c>
    </row>
    <row r="1758" spans="1:7" x14ac:dyDescent="0.2">
      <c r="A1758" s="2" t="str" cm="1">
        <f t="array" ref="A1758">INDEX('[1]Brand Family Territory (Enc)'!$A$2:$A$296,INT((ROW()-2)/10)+1)</f>
        <v>Garage Beer</v>
      </c>
      <c r="B1758" s="2" t="str" cm="1">
        <f t="array" ref="B1758">INDEX('Whitelist (Blackout Reverse)'!$B$1:$K$1,MOD(ROW()-2,10)+1)</f>
        <v>SUSSEX</v>
      </c>
      <c r="C1758" s="2" t="str">
        <f>VLOOKUP(A1758,'[1]Brand Family Territory (Enc)'!$A$2:$B$296,2,FALSE)</f>
        <v>All Counties</v>
      </c>
      <c r="D1758" s="2">
        <f>IF(COUNTIFS('[1]Brand Family Territories (Enc)'!$B$2:$B$62,C1758,'[1]Brand Family Territories (Enc)'!$C$2:$C$62,B1758)&gt;0,1,IF(AND(LEFT(B1758,6)="MORRIS",COUNTIFS('[1]Brand Family Territories (Enc)'!$B$2:$B$62,C1758,'[1]Brand Family Territories (Enc)'!$C$2:$C$62,"Morri")&gt;0),"Unk",0))</f>
        <v>1</v>
      </c>
      <c r="E1758" s="2" t="str">
        <f>IFERROR(INDEX('Blackout Brand Fam Areas (Enc)'!$D$6:$D$998,MATCH(UPPER(A1758)&amp;"|"&amp;UPPER(B1758),'Blackout Brand Fam Areas (Enc)'!$G$6:$G$998,0)),"No Match")</f>
        <v>No Match</v>
      </c>
      <c r="F1758" s="2" t="str">
        <f t="shared" si="54"/>
        <v>US</v>
      </c>
      <c r="G1758" s="2" t="str">
        <f t="shared" si="55"/>
        <v>Garage Beer|SUSSEX</v>
      </c>
    </row>
    <row r="1759" spans="1:7" x14ac:dyDescent="0.2">
      <c r="A1759" s="2" t="str" cm="1">
        <f t="array" ref="A1759">INDEX('[1]Brand Family Territory (Enc)'!$A$2:$A$296,INT((ROW()-2)/10)+1)</f>
        <v>Garage Beer</v>
      </c>
      <c r="B1759" s="2" t="str" cm="1">
        <f t="array" ref="B1759">INDEX('Whitelist (Blackout Reverse)'!$B$1:$K$1,MOD(ROW()-2,10)+1)</f>
        <v>MORRIS 1</v>
      </c>
      <c r="C1759" s="2" t="str">
        <f>VLOOKUP(A1759,'[1]Brand Family Territory (Enc)'!$A$2:$B$296,2,FALSE)</f>
        <v>All Counties</v>
      </c>
      <c r="D1759" s="2">
        <f>IF(COUNTIFS('[1]Brand Family Territories (Enc)'!$B$2:$B$62,C1759,'[1]Brand Family Territories (Enc)'!$C$2:$C$62,B1759)&gt;0,1,IF(AND(LEFT(B1759,6)="MORRIS",COUNTIFS('[1]Brand Family Territories (Enc)'!$B$2:$B$62,C1759,'[1]Brand Family Territories (Enc)'!$C$2:$C$62,"Morri")&gt;0),"Unk",0))</f>
        <v>1</v>
      </c>
      <c r="E1759" s="2" t="str">
        <f>IFERROR(INDEX('Blackout Brand Fam Areas (Enc)'!$D$6:$D$998,MATCH(UPPER(A1759)&amp;"|"&amp;UPPER(B1759),'Blackout Brand Fam Areas (Enc)'!$G$6:$G$998,0)),"No Match")</f>
        <v>No Match</v>
      </c>
      <c r="F1759" s="2" t="str">
        <f t="shared" si="54"/>
        <v>US</v>
      </c>
      <c r="G1759" s="2" t="str">
        <f t="shared" si="55"/>
        <v>Garage Beer|MORRIS 1</v>
      </c>
    </row>
    <row r="1760" spans="1:7" x14ac:dyDescent="0.2">
      <c r="A1760" s="2" t="str" cm="1">
        <f t="array" ref="A1760">INDEX('[1]Brand Family Territory (Enc)'!$A$2:$A$296,INT((ROW()-2)/10)+1)</f>
        <v>Garage Beer</v>
      </c>
      <c r="B1760" s="2" t="str" cm="1">
        <f t="array" ref="B1760">INDEX('Whitelist (Blackout Reverse)'!$B$1:$K$1,MOD(ROW()-2,10)+1)</f>
        <v>MORRIS 2</v>
      </c>
      <c r="C1760" s="2" t="str">
        <f>VLOOKUP(A1760,'[1]Brand Family Territory (Enc)'!$A$2:$B$296,2,FALSE)</f>
        <v>All Counties</v>
      </c>
      <c r="D1760" s="2">
        <f>IF(COUNTIFS('[1]Brand Family Territories (Enc)'!$B$2:$B$62,C1760,'[1]Brand Family Territories (Enc)'!$C$2:$C$62,B1760)&gt;0,1,IF(AND(LEFT(B1760,6)="MORRIS",COUNTIFS('[1]Brand Family Territories (Enc)'!$B$2:$B$62,C1760,'[1]Brand Family Territories (Enc)'!$C$2:$C$62,"Morri")&gt;0),"Unk",0))</f>
        <v>1</v>
      </c>
      <c r="E1760" s="2" t="str">
        <f>IFERROR(INDEX('Blackout Brand Fam Areas (Enc)'!$D$6:$D$998,MATCH(UPPER(A1760)&amp;"|"&amp;UPPER(B1760),'Blackout Brand Fam Areas (Enc)'!$G$6:$G$998,0)),"No Match")</f>
        <v>No Match</v>
      </c>
      <c r="F1760" s="2" t="str">
        <f t="shared" si="54"/>
        <v>US</v>
      </c>
      <c r="G1760" s="2" t="str">
        <f t="shared" si="55"/>
        <v>Garage Beer|MORRIS 2</v>
      </c>
    </row>
    <row r="1761" spans="1:7" x14ac:dyDescent="0.2">
      <c r="A1761" s="2" t="str" cm="1">
        <f t="array" ref="A1761">INDEX('[1]Brand Family Territory (Enc)'!$A$2:$A$296,INT((ROW()-2)/10)+1)</f>
        <v>Garage Beer</v>
      </c>
      <c r="B1761" s="2" t="str" cm="1">
        <f t="array" ref="B1761">INDEX('Whitelist (Blackout Reverse)'!$B$1:$K$1,MOD(ROW()-2,10)+1)</f>
        <v>MORRIS 3</v>
      </c>
      <c r="C1761" s="2" t="str">
        <f>VLOOKUP(A1761,'[1]Brand Family Territory (Enc)'!$A$2:$B$296,2,FALSE)</f>
        <v>All Counties</v>
      </c>
      <c r="D1761" s="2">
        <f>IF(COUNTIFS('[1]Brand Family Territories (Enc)'!$B$2:$B$62,C1761,'[1]Brand Family Territories (Enc)'!$C$2:$C$62,B1761)&gt;0,1,IF(AND(LEFT(B1761,6)="MORRIS",COUNTIFS('[1]Brand Family Territories (Enc)'!$B$2:$B$62,C1761,'[1]Brand Family Territories (Enc)'!$C$2:$C$62,"Morri")&gt;0),"Unk",0))</f>
        <v>1</v>
      </c>
      <c r="E1761" s="2" t="str">
        <f>IFERROR(INDEX('Blackout Brand Fam Areas (Enc)'!$D$6:$D$998,MATCH(UPPER(A1761)&amp;"|"&amp;UPPER(B1761),'Blackout Brand Fam Areas (Enc)'!$G$6:$G$998,0)),"No Match")</f>
        <v>No Match</v>
      </c>
      <c r="F1761" s="2" t="str">
        <f t="shared" si="54"/>
        <v>US</v>
      </c>
      <c r="G1761" s="2" t="str">
        <f t="shared" si="55"/>
        <v>Garage Beer|MORRIS 3</v>
      </c>
    </row>
    <row r="1762" spans="1:7" x14ac:dyDescent="0.2">
      <c r="A1762" s="2" t="str" cm="1">
        <f t="array" ref="A1762">INDEX('[1]Brand Family Territory (Enc)'!$A$2:$A$296,INT((ROW()-2)/10)+1)</f>
        <v>Gin Pig</v>
      </c>
      <c r="B1762" s="2" t="str" cm="1">
        <f t="array" ref="B1762">INDEX('Whitelist (Blackout Reverse)'!$B$1:$K$1,MOD(ROW()-2,10)+1)</f>
        <v>BERGEN</v>
      </c>
      <c r="C1762" s="2" t="str">
        <f>VLOOKUP(A1762,'[1]Brand Family Territory (Enc)'!$A$2:$B$296,2,FALSE)</f>
        <v>All Counties</v>
      </c>
      <c r="D1762" s="2">
        <f>IF(COUNTIFS('[1]Brand Family Territories (Enc)'!$B$2:$B$62,C1762,'[1]Brand Family Territories (Enc)'!$C$2:$C$62,B1762)&gt;0,1,IF(AND(LEFT(B1762,6)="MORRIS",COUNTIFS('[1]Brand Family Territories (Enc)'!$B$2:$B$62,C1762,'[1]Brand Family Territories (Enc)'!$C$2:$C$62,"Morri")&gt;0),"Unk",0))</f>
        <v>1</v>
      </c>
      <c r="E1762" s="2" t="str">
        <f>IFERROR(INDEX('Blackout Brand Fam Areas (Enc)'!$D$6:$D$998,MATCH(UPPER(A1762)&amp;"|"&amp;UPPER(B1762),'Blackout Brand Fam Areas (Enc)'!$G$6:$G$998,0)),"No Match")</f>
        <v>No Match</v>
      </c>
      <c r="F1762" s="2" t="str">
        <f t="shared" si="54"/>
        <v>US</v>
      </c>
      <c r="G1762" s="2" t="str">
        <f t="shared" si="55"/>
        <v>Gin Pig|BERGEN</v>
      </c>
    </row>
    <row r="1763" spans="1:7" x14ac:dyDescent="0.2">
      <c r="A1763" s="2" t="str" cm="1">
        <f t="array" ref="A1763">INDEX('[1]Brand Family Territory (Enc)'!$A$2:$A$296,INT((ROW()-2)/10)+1)</f>
        <v>Gin Pig</v>
      </c>
      <c r="B1763" s="2" t="str" cm="1">
        <f t="array" ref="B1763">INDEX('Whitelist (Blackout Reverse)'!$B$1:$K$1,MOD(ROW()-2,10)+1)</f>
        <v>PASSAIC</v>
      </c>
      <c r="C1763" s="2" t="str">
        <f>VLOOKUP(A1763,'[1]Brand Family Territory (Enc)'!$A$2:$B$296,2,FALSE)</f>
        <v>All Counties</v>
      </c>
      <c r="D1763" s="2">
        <f>IF(COUNTIFS('[1]Brand Family Territories (Enc)'!$B$2:$B$62,C1763,'[1]Brand Family Territories (Enc)'!$C$2:$C$62,B1763)&gt;0,1,IF(AND(LEFT(B1763,6)="MORRIS",COUNTIFS('[1]Brand Family Territories (Enc)'!$B$2:$B$62,C1763,'[1]Brand Family Territories (Enc)'!$C$2:$C$62,"Morri")&gt;0),"Unk",0))</f>
        <v>1</v>
      </c>
      <c r="E1763" s="2" t="str">
        <f>IFERROR(INDEX('Blackout Brand Fam Areas (Enc)'!$D$6:$D$998,MATCH(UPPER(A1763)&amp;"|"&amp;UPPER(B1763),'Blackout Brand Fam Areas (Enc)'!$G$6:$G$998,0)),"No Match")</f>
        <v>No Match</v>
      </c>
      <c r="F1763" s="2" t="str">
        <f t="shared" si="54"/>
        <v>US</v>
      </c>
      <c r="G1763" s="2" t="str">
        <f t="shared" si="55"/>
        <v>Gin Pig|PASSAIC</v>
      </c>
    </row>
    <row r="1764" spans="1:7" x14ac:dyDescent="0.2">
      <c r="A1764" s="2" t="str" cm="1">
        <f t="array" ref="A1764">INDEX('[1]Brand Family Territory (Enc)'!$A$2:$A$296,INT((ROW()-2)/10)+1)</f>
        <v>Gin Pig</v>
      </c>
      <c r="B1764" s="2" t="str" cm="1">
        <f t="array" ref="B1764">INDEX('Whitelist (Blackout Reverse)'!$B$1:$K$1,MOD(ROW()-2,10)+1)</f>
        <v>PASSAIC-FF</v>
      </c>
      <c r="C1764" s="2" t="str">
        <f>VLOOKUP(A1764,'[1]Brand Family Territory (Enc)'!$A$2:$B$296,2,FALSE)</f>
        <v>All Counties</v>
      </c>
      <c r="D1764" s="2">
        <f>IF(COUNTIFS('[1]Brand Family Territories (Enc)'!$B$2:$B$62,C1764,'[1]Brand Family Territories (Enc)'!$C$2:$C$62,B1764)&gt;0,1,IF(AND(LEFT(B1764,6)="MORRIS",COUNTIFS('[1]Brand Family Territories (Enc)'!$B$2:$B$62,C1764,'[1]Brand Family Territories (Enc)'!$C$2:$C$62,"Morri")&gt;0),"Unk",0))</f>
        <v>1</v>
      </c>
      <c r="E1764" s="2" t="str">
        <f>IFERROR(INDEX('Blackout Brand Fam Areas (Enc)'!$D$6:$D$998,MATCH(UPPER(A1764)&amp;"|"&amp;UPPER(B1764),'Blackout Brand Fam Areas (Enc)'!$G$6:$G$998,0)),"No Match")</f>
        <v>No Match</v>
      </c>
      <c r="F1764" s="2" t="str">
        <f t="shared" si="54"/>
        <v>US</v>
      </c>
      <c r="G1764" s="2" t="str">
        <f t="shared" si="55"/>
        <v>Gin Pig|PASSAIC-FF</v>
      </c>
    </row>
    <row r="1765" spans="1:7" x14ac:dyDescent="0.2">
      <c r="A1765" s="2" t="str" cm="1">
        <f t="array" ref="A1765">INDEX('[1]Brand Family Territory (Enc)'!$A$2:$A$296,INT((ROW()-2)/10)+1)</f>
        <v>Gin Pig</v>
      </c>
      <c r="B1765" s="2" t="str" cm="1">
        <f t="array" ref="B1765">INDEX('Whitelist (Blackout Reverse)'!$B$1:$K$1,MOD(ROW()-2,10)+1)</f>
        <v>ESSEX</v>
      </c>
      <c r="C1765" s="2" t="str">
        <f>VLOOKUP(A1765,'[1]Brand Family Territory (Enc)'!$A$2:$B$296,2,FALSE)</f>
        <v>All Counties</v>
      </c>
      <c r="D1765" s="2">
        <f>IF(COUNTIFS('[1]Brand Family Territories (Enc)'!$B$2:$B$62,C1765,'[1]Brand Family Territories (Enc)'!$C$2:$C$62,B1765)&gt;0,1,IF(AND(LEFT(B1765,6)="MORRIS",COUNTIFS('[1]Brand Family Territories (Enc)'!$B$2:$B$62,C1765,'[1]Brand Family Territories (Enc)'!$C$2:$C$62,"Morri")&gt;0),"Unk",0))</f>
        <v>1</v>
      </c>
      <c r="E1765" s="2" t="str">
        <f>IFERROR(INDEX('Blackout Brand Fam Areas (Enc)'!$D$6:$D$998,MATCH(UPPER(A1765)&amp;"|"&amp;UPPER(B1765),'Blackout Brand Fam Areas (Enc)'!$G$6:$G$998,0)),"No Match")</f>
        <v>No Match</v>
      </c>
      <c r="F1765" s="2" t="str">
        <f t="shared" si="54"/>
        <v>US</v>
      </c>
      <c r="G1765" s="2" t="str">
        <f t="shared" si="55"/>
        <v>Gin Pig|ESSEX</v>
      </c>
    </row>
    <row r="1766" spans="1:7" x14ac:dyDescent="0.2">
      <c r="A1766" s="2" t="str" cm="1">
        <f t="array" ref="A1766">INDEX('[1]Brand Family Territory (Enc)'!$A$2:$A$296,INT((ROW()-2)/10)+1)</f>
        <v>Gin Pig</v>
      </c>
      <c r="B1766" s="2" t="str" cm="1">
        <f t="array" ref="B1766">INDEX('Whitelist (Blackout Reverse)'!$B$1:$K$1,MOD(ROW()-2,10)+1)</f>
        <v>HUDSON</v>
      </c>
      <c r="C1766" s="2" t="str">
        <f>VLOOKUP(A1766,'[1]Brand Family Territory (Enc)'!$A$2:$B$296,2,FALSE)</f>
        <v>All Counties</v>
      </c>
      <c r="D1766" s="2">
        <f>IF(COUNTIFS('[1]Brand Family Territories (Enc)'!$B$2:$B$62,C1766,'[1]Brand Family Territories (Enc)'!$C$2:$C$62,B1766)&gt;0,1,IF(AND(LEFT(B1766,6)="MORRIS",COUNTIFS('[1]Brand Family Territories (Enc)'!$B$2:$B$62,C1766,'[1]Brand Family Territories (Enc)'!$C$2:$C$62,"Morri")&gt;0),"Unk",0))</f>
        <v>1</v>
      </c>
      <c r="E1766" s="2" t="str">
        <f>IFERROR(INDEX('Blackout Brand Fam Areas (Enc)'!$D$6:$D$998,MATCH(UPPER(A1766)&amp;"|"&amp;UPPER(B1766),'Blackout Brand Fam Areas (Enc)'!$G$6:$G$998,0)),"No Match")</f>
        <v>No Match</v>
      </c>
      <c r="F1766" s="2" t="str">
        <f t="shared" si="54"/>
        <v>US</v>
      </c>
      <c r="G1766" s="2" t="str">
        <f t="shared" si="55"/>
        <v>Gin Pig|HUDSON</v>
      </c>
    </row>
    <row r="1767" spans="1:7" x14ac:dyDescent="0.2">
      <c r="A1767" s="2" t="str" cm="1">
        <f t="array" ref="A1767">INDEX('[1]Brand Family Territory (Enc)'!$A$2:$A$296,INT((ROW()-2)/10)+1)</f>
        <v>Gin Pig</v>
      </c>
      <c r="B1767" s="2" t="str" cm="1">
        <f t="array" ref="B1767">INDEX('Whitelist (Blackout Reverse)'!$B$1:$K$1,MOD(ROW()-2,10)+1)</f>
        <v>UNION</v>
      </c>
      <c r="C1767" s="2" t="str">
        <f>VLOOKUP(A1767,'[1]Brand Family Territory (Enc)'!$A$2:$B$296,2,FALSE)</f>
        <v>All Counties</v>
      </c>
      <c r="D1767" s="2">
        <f>IF(COUNTIFS('[1]Brand Family Territories (Enc)'!$B$2:$B$62,C1767,'[1]Brand Family Territories (Enc)'!$C$2:$C$62,B1767)&gt;0,1,IF(AND(LEFT(B1767,6)="MORRIS",COUNTIFS('[1]Brand Family Territories (Enc)'!$B$2:$B$62,C1767,'[1]Brand Family Territories (Enc)'!$C$2:$C$62,"Morri")&gt;0),"Unk",0))</f>
        <v>1</v>
      </c>
      <c r="E1767" s="2" t="str">
        <f>IFERROR(INDEX('Blackout Brand Fam Areas (Enc)'!$D$6:$D$998,MATCH(UPPER(A1767)&amp;"|"&amp;UPPER(B1767),'Blackout Brand Fam Areas (Enc)'!$G$6:$G$998,0)),"No Match")</f>
        <v>No Match</v>
      </c>
      <c r="F1767" s="2" t="str">
        <f t="shared" si="54"/>
        <v>US</v>
      </c>
      <c r="G1767" s="2" t="str">
        <f t="shared" si="55"/>
        <v>Gin Pig|UNION</v>
      </c>
    </row>
    <row r="1768" spans="1:7" x14ac:dyDescent="0.2">
      <c r="A1768" s="2" t="str" cm="1">
        <f t="array" ref="A1768">INDEX('[1]Brand Family Territory (Enc)'!$A$2:$A$296,INT((ROW()-2)/10)+1)</f>
        <v>Gin Pig</v>
      </c>
      <c r="B1768" s="2" t="str" cm="1">
        <f t="array" ref="B1768">INDEX('Whitelist (Blackout Reverse)'!$B$1:$K$1,MOD(ROW()-2,10)+1)</f>
        <v>SUSSEX</v>
      </c>
      <c r="C1768" s="2" t="str">
        <f>VLOOKUP(A1768,'[1]Brand Family Territory (Enc)'!$A$2:$B$296,2,FALSE)</f>
        <v>All Counties</v>
      </c>
      <c r="D1768" s="2">
        <f>IF(COUNTIFS('[1]Brand Family Territories (Enc)'!$B$2:$B$62,C1768,'[1]Brand Family Territories (Enc)'!$C$2:$C$62,B1768)&gt;0,1,IF(AND(LEFT(B1768,6)="MORRIS",COUNTIFS('[1]Brand Family Territories (Enc)'!$B$2:$B$62,C1768,'[1]Brand Family Territories (Enc)'!$C$2:$C$62,"Morri")&gt;0),"Unk",0))</f>
        <v>1</v>
      </c>
      <c r="E1768" s="2" t="str">
        <f>IFERROR(INDEX('Blackout Brand Fam Areas (Enc)'!$D$6:$D$998,MATCH(UPPER(A1768)&amp;"|"&amp;UPPER(B1768),'Blackout Brand Fam Areas (Enc)'!$G$6:$G$998,0)),"No Match")</f>
        <v>No Match</v>
      </c>
      <c r="F1768" s="2" t="str">
        <f t="shared" si="54"/>
        <v>US</v>
      </c>
      <c r="G1768" s="2" t="str">
        <f t="shared" si="55"/>
        <v>Gin Pig|SUSSEX</v>
      </c>
    </row>
    <row r="1769" spans="1:7" x14ac:dyDescent="0.2">
      <c r="A1769" s="2" t="str" cm="1">
        <f t="array" ref="A1769">INDEX('[1]Brand Family Territory (Enc)'!$A$2:$A$296,INT((ROW()-2)/10)+1)</f>
        <v>Gin Pig</v>
      </c>
      <c r="B1769" s="2" t="str" cm="1">
        <f t="array" ref="B1769">INDEX('Whitelist (Blackout Reverse)'!$B$1:$K$1,MOD(ROW()-2,10)+1)</f>
        <v>MORRIS 1</v>
      </c>
      <c r="C1769" s="2" t="str">
        <f>VLOOKUP(A1769,'[1]Brand Family Territory (Enc)'!$A$2:$B$296,2,FALSE)</f>
        <v>All Counties</v>
      </c>
      <c r="D1769" s="2">
        <f>IF(COUNTIFS('[1]Brand Family Territories (Enc)'!$B$2:$B$62,C1769,'[1]Brand Family Territories (Enc)'!$C$2:$C$62,B1769)&gt;0,1,IF(AND(LEFT(B1769,6)="MORRIS",COUNTIFS('[1]Brand Family Territories (Enc)'!$B$2:$B$62,C1769,'[1]Brand Family Territories (Enc)'!$C$2:$C$62,"Morri")&gt;0),"Unk",0))</f>
        <v>1</v>
      </c>
      <c r="E1769" s="2" t="str">
        <f>IFERROR(INDEX('Blackout Brand Fam Areas (Enc)'!$D$6:$D$998,MATCH(UPPER(A1769)&amp;"|"&amp;UPPER(B1769),'Blackout Brand Fam Areas (Enc)'!$G$6:$G$998,0)),"No Match")</f>
        <v>No Match</v>
      </c>
      <c r="F1769" s="2" t="str">
        <f t="shared" si="54"/>
        <v>US</v>
      </c>
      <c r="G1769" s="2" t="str">
        <f t="shared" si="55"/>
        <v>Gin Pig|MORRIS 1</v>
      </c>
    </row>
    <row r="1770" spans="1:7" x14ac:dyDescent="0.2">
      <c r="A1770" s="2" t="str" cm="1">
        <f t="array" ref="A1770">INDEX('[1]Brand Family Territory (Enc)'!$A$2:$A$296,INT((ROW()-2)/10)+1)</f>
        <v>Gin Pig</v>
      </c>
      <c r="B1770" s="2" t="str" cm="1">
        <f t="array" ref="B1770">INDEX('Whitelist (Blackout Reverse)'!$B$1:$K$1,MOD(ROW()-2,10)+1)</f>
        <v>MORRIS 2</v>
      </c>
      <c r="C1770" s="2" t="str">
        <f>VLOOKUP(A1770,'[1]Brand Family Territory (Enc)'!$A$2:$B$296,2,FALSE)</f>
        <v>All Counties</v>
      </c>
      <c r="D1770" s="2">
        <f>IF(COUNTIFS('[1]Brand Family Territories (Enc)'!$B$2:$B$62,C1770,'[1]Brand Family Territories (Enc)'!$C$2:$C$62,B1770)&gt;0,1,IF(AND(LEFT(B1770,6)="MORRIS",COUNTIFS('[1]Brand Family Territories (Enc)'!$B$2:$B$62,C1770,'[1]Brand Family Territories (Enc)'!$C$2:$C$62,"Morri")&gt;0),"Unk",0))</f>
        <v>1</v>
      </c>
      <c r="E1770" s="2" t="str">
        <f>IFERROR(INDEX('Blackout Brand Fam Areas (Enc)'!$D$6:$D$998,MATCH(UPPER(A1770)&amp;"|"&amp;UPPER(B1770),'Blackout Brand Fam Areas (Enc)'!$G$6:$G$998,0)),"No Match")</f>
        <v>No Match</v>
      </c>
      <c r="F1770" s="2" t="str">
        <f t="shared" si="54"/>
        <v>US</v>
      </c>
      <c r="G1770" s="2" t="str">
        <f t="shared" si="55"/>
        <v>Gin Pig|MORRIS 2</v>
      </c>
    </row>
    <row r="1771" spans="1:7" x14ac:dyDescent="0.2">
      <c r="A1771" s="2" t="str" cm="1">
        <f t="array" ref="A1771">INDEX('[1]Brand Family Territory (Enc)'!$A$2:$A$296,INT((ROW()-2)/10)+1)</f>
        <v>Gin Pig</v>
      </c>
      <c r="B1771" s="2" t="str" cm="1">
        <f t="array" ref="B1771">INDEX('Whitelist (Blackout Reverse)'!$B$1:$K$1,MOD(ROW()-2,10)+1)</f>
        <v>MORRIS 3</v>
      </c>
      <c r="C1771" s="2" t="str">
        <f>VLOOKUP(A1771,'[1]Brand Family Territory (Enc)'!$A$2:$B$296,2,FALSE)</f>
        <v>All Counties</v>
      </c>
      <c r="D1771" s="2">
        <f>IF(COUNTIFS('[1]Brand Family Territories (Enc)'!$B$2:$B$62,C1771,'[1]Brand Family Territories (Enc)'!$C$2:$C$62,B1771)&gt;0,1,IF(AND(LEFT(B1771,6)="MORRIS",COUNTIFS('[1]Brand Family Territories (Enc)'!$B$2:$B$62,C1771,'[1]Brand Family Territories (Enc)'!$C$2:$C$62,"Morri")&gt;0),"Unk",0))</f>
        <v>1</v>
      </c>
      <c r="E1771" s="2" t="str">
        <f>IFERROR(INDEX('Blackout Brand Fam Areas (Enc)'!$D$6:$D$998,MATCH(UPPER(A1771)&amp;"|"&amp;UPPER(B1771),'Blackout Brand Fam Areas (Enc)'!$G$6:$G$998,0)),"No Match")</f>
        <v>No Match</v>
      </c>
      <c r="F1771" s="2" t="str">
        <f t="shared" si="54"/>
        <v>US</v>
      </c>
      <c r="G1771" s="2" t="str">
        <f t="shared" si="55"/>
        <v>Gin Pig|MORRIS 3</v>
      </c>
    </row>
    <row r="1772" spans="1:7" x14ac:dyDescent="0.2">
      <c r="A1772" s="2" t="str" cm="1">
        <f t="array" ref="A1772">INDEX('[1]Brand Family Territory (Enc)'!$A$2:$A$296,INT((ROW()-2)/10)+1)</f>
        <v>Good Supply</v>
      </c>
      <c r="B1772" s="2" t="str" cm="1">
        <f t="array" ref="B1772">INDEX('Whitelist (Blackout Reverse)'!$B$1:$K$1,MOD(ROW()-2,10)+1)</f>
        <v>BERGEN</v>
      </c>
      <c r="C1772" s="2" t="str">
        <f>VLOOKUP(A1772,'[1]Brand Family Territory (Enc)'!$A$2:$B$296,2,FALSE)</f>
        <v>All Counties</v>
      </c>
      <c r="D1772" s="2">
        <f>IF(COUNTIFS('[1]Brand Family Territories (Enc)'!$B$2:$B$62,C1772,'[1]Brand Family Territories (Enc)'!$C$2:$C$62,B1772)&gt;0,1,IF(AND(LEFT(B1772,6)="MORRIS",COUNTIFS('[1]Brand Family Territories (Enc)'!$B$2:$B$62,C1772,'[1]Brand Family Territories (Enc)'!$C$2:$C$62,"Morri")&gt;0),"Unk",0))</f>
        <v>1</v>
      </c>
      <c r="E1772" s="2" t="str">
        <f>IFERROR(INDEX('Blackout Brand Fam Areas (Enc)'!$D$6:$D$998,MATCH(UPPER(A1772)&amp;"|"&amp;UPPER(B1772),'Blackout Brand Fam Areas (Enc)'!$G$6:$G$998,0)),"No Match")</f>
        <v>No Match</v>
      </c>
      <c r="F1772" s="2" t="str">
        <f t="shared" si="54"/>
        <v>US</v>
      </c>
      <c r="G1772" s="2" t="str">
        <f t="shared" si="55"/>
        <v>Good Supply|BERGEN</v>
      </c>
    </row>
    <row r="1773" spans="1:7" x14ac:dyDescent="0.2">
      <c r="A1773" s="2" t="str" cm="1">
        <f t="array" ref="A1773">INDEX('[1]Brand Family Territory (Enc)'!$A$2:$A$296,INT((ROW()-2)/10)+1)</f>
        <v>Good Supply</v>
      </c>
      <c r="B1773" s="2" t="str" cm="1">
        <f t="array" ref="B1773">INDEX('Whitelist (Blackout Reverse)'!$B$1:$K$1,MOD(ROW()-2,10)+1)</f>
        <v>PASSAIC</v>
      </c>
      <c r="C1773" s="2" t="str">
        <f>VLOOKUP(A1773,'[1]Brand Family Territory (Enc)'!$A$2:$B$296,2,FALSE)</f>
        <v>All Counties</v>
      </c>
      <c r="D1773" s="2">
        <f>IF(COUNTIFS('[1]Brand Family Territories (Enc)'!$B$2:$B$62,C1773,'[1]Brand Family Territories (Enc)'!$C$2:$C$62,B1773)&gt;0,1,IF(AND(LEFT(B1773,6)="MORRIS",COUNTIFS('[1]Brand Family Territories (Enc)'!$B$2:$B$62,C1773,'[1]Brand Family Territories (Enc)'!$C$2:$C$62,"Morri")&gt;0),"Unk",0))</f>
        <v>1</v>
      </c>
      <c r="E1773" s="2" t="str">
        <f>IFERROR(INDEX('Blackout Brand Fam Areas (Enc)'!$D$6:$D$998,MATCH(UPPER(A1773)&amp;"|"&amp;UPPER(B1773),'Blackout Brand Fam Areas (Enc)'!$G$6:$G$998,0)),"No Match")</f>
        <v>No Match</v>
      </c>
      <c r="F1773" s="2" t="str">
        <f t="shared" si="54"/>
        <v>US</v>
      </c>
      <c r="G1773" s="2" t="str">
        <f t="shared" si="55"/>
        <v>Good Supply|PASSAIC</v>
      </c>
    </row>
    <row r="1774" spans="1:7" x14ac:dyDescent="0.2">
      <c r="A1774" s="2" t="str" cm="1">
        <f t="array" ref="A1774">INDEX('[1]Brand Family Territory (Enc)'!$A$2:$A$296,INT((ROW()-2)/10)+1)</f>
        <v>Good Supply</v>
      </c>
      <c r="B1774" s="2" t="str" cm="1">
        <f t="array" ref="B1774">INDEX('Whitelist (Blackout Reverse)'!$B$1:$K$1,MOD(ROW()-2,10)+1)</f>
        <v>PASSAIC-FF</v>
      </c>
      <c r="C1774" s="2" t="str">
        <f>VLOOKUP(A1774,'[1]Brand Family Territory (Enc)'!$A$2:$B$296,2,FALSE)</f>
        <v>All Counties</v>
      </c>
      <c r="D1774" s="2">
        <f>IF(COUNTIFS('[1]Brand Family Territories (Enc)'!$B$2:$B$62,C1774,'[1]Brand Family Territories (Enc)'!$C$2:$C$62,B1774)&gt;0,1,IF(AND(LEFT(B1774,6)="MORRIS",COUNTIFS('[1]Brand Family Territories (Enc)'!$B$2:$B$62,C1774,'[1]Brand Family Territories (Enc)'!$C$2:$C$62,"Morri")&gt;0),"Unk",0))</f>
        <v>1</v>
      </c>
      <c r="E1774" s="2" t="str">
        <f>IFERROR(INDEX('Blackout Brand Fam Areas (Enc)'!$D$6:$D$998,MATCH(UPPER(A1774)&amp;"|"&amp;UPPER(B1774),'Blackout Brand Fam Areas (Enc)'!$G$6:$G$998,0)),"No Match")</f>
        <v>No Match</v>
      </c>
      <c r="F1774" s="2" t="str">
        <f t="shared" si="54"/>
        <v>US</v>
      </c>
      <c r="G1774" s="2" t="str">
        <f t="shared" si="55"/>
        <v>Good Supply|PASSAIC-FF</v>
      </c>
    </row>
    <row r="1775" spans="1:7" x14ac:dyDescent="0.2">
      <c r="A1775" s="2" t="str" cm="1">
        <f t="array" ref="A1775">INDEX('[1]Brand Family Territory (Enc)'!$A$2:$A$296,INT((ROW()-2)/10)+1)</f>
        <v>Good Supply</v>
      </c>
      <c r="B1775" s="2" t="str" cm="1">
        <f t="array" ref="B1775">INDEX('Whitelist (Blackout Reverse)'!$B$1:$K$1,MOD(ROW()-2,10)+1)</f>
        <v>ESSEX</v>
      </c>
      <c r="C1775" s="2" t="str">
        <f>VLOOKUP(A1775,'[1]Brand Family Territory (Enc)'!$A$2:$B$296,2,FALSE)</f>
        <v>All Counties</v>
      </c>
      <c r="D1775" s="2">
        <f>IF(COUNTIFS('[1]Brand Family Territories (Enc)'!$B$2:$B$62,C1775,'[1]Brand Family Territories (Enc)'!$C$2:$C$62,B1775)&gt;0,1,IF(AND(LEFT(B1775,6)="MORRIS",COUNTIFS('[1]Brand Family Territories (Enc)'!$B$2:$B$62,C1775,'[1]Brand Family Territories (Enc)'!$C$2:$C$62,"Morri")&gt;0),"Unk",0))</f>
        <v>1</v>
      </c>
      <c r="E1775" s="2" t="str">
        <f>IFERROR(INDEX('Blackout Brand Fam Areas (Enc)'!$D$6:$D$998,MATCH(UPPER(A1775)&amp;"|"&amp;UPPER(B1775),'Blackout Brand Fam Areas (Enc)'!$G$6:$G$998,0)),"No Match")</f>
        <v>No Match</v>
      </c>
      <c r="F1775" s="2" t="str">
        <f t="shared" si="54"/>
        <v>US</v>
      </c>
      <c r="G1775" s="2" t="str">
        <f t="shared" si="55"/>
        <v>Good Supply|ESSEX</v>
      </c>
    </row>
    <row r="1776" spans="1:7" x14ac:dyDescent="0.2">
      <c r="A1776" s="2" t="str" cm="1">
        <f t="array" ref="A1776">INDEX('[1]Brand Family Territory (Enc)'!$A$2:$A$296,INT((ROW()-2)/10)+1)</f>
        <v>Good Supply</v>
      </c>
      <c r="B1776" s="2" t="str" cm="1">
        <f t="array" ref="B1776">INDEX('Whitelist (Blackout Reverse)'!$B$1:$K$1,MOD(ROW()-2,10)+1)</f>
        <v>HUDSON</v>
      </c>
      <c r="C1776" s="2" t="str">
        <f>VLOOKUP(A1776,'[1]Brand Family Territory (Enc)'!$A$2:$B$296,2,FALSE)</f>
        <v>All Counties</v>
      </c>
      <c r="D1776" s="2">
        <f>IF(COUNTIFS('[1]Brand Family Territories (Enc)'!$B$2:$B$62,C1776,'[1]Brand Family Territories (Enc)'!$C$2:$C$62,B1776)&gt;0,1,IF(AND(LEFT(B1776,6)="MORRIS",COUNTIFS('[1]Brand Family Territories (Enc)'!$B$2:$B$62,C1776,'[1]Brand Family Territories (Enc)'!$C$2:$C$62,"Morri")&gt;0),"Unk",0))</f>
        <v>1</v>
      </c>
      <c r="E1776" s="2" t="str">
        <f>IFERROR(INDEX('Blackout Brand Fam Areas (Enc)'!$D$6:$D$998,MATCH(UPPER(A1776)&amp;"|"&amp;UPPER(B1776),'Blackout Brand Fam Areas (Enc)'!$G$6:$G$998,0)),"No Match")</f>
        <v>No Match</v>
      </c>
      <c r="F1776" s="2" t="str">
        <f t="shared" si="54"/>
        <v>US</v>
      </c>
      <c r="G1776" s="2" t="str">
        <f t="shared" si="55"/>
        <v>Good Supply|HUDSON</v>
      </c>
    </row>
    <row r="1777" spans="1:7" x14ac:dyDescent="0.2">
      <c r="A1777" s="2" t="str" cm="1">
        <f t="array" ref="A1777">INDEX('[1]Brand Family Territory (Enc)'!$A$2:$A$296,INT((ROW()-2)/10)+1)</f>
        <v>Good Supply</v>
      </c>
      <c r="B1777" s="2" t="str" cm="1">
        <f t="array" ref="B1777">INDEX('Whitelist (Blackout Reverse)'!$B$1:$K$1,MOD(ROW()-2,10)+1)</f>
        <v>UNION</v>
      </c>
      <c r="C1777" s="2" t="str">
        <f>VLOOKUP(A1777,'[1]Brand Family Territory (Enc)'!$A$2:$B$296,2,FALSE)</f>
        <v>All Counties</v>
      </c>
      <c r="D1777" s="2">
        <f>IF(COUNTIFS('[1]Brand Family Territories (Enc)'!$B$2:$B$62,C1777,'[1]Brand Family Territories (Enc)'!$C$2:$C$62,B1777)&gt;0,1,IF(AND(LEFT(B1777,6)="MORRIS",COUNTIFS('[1]Brand Family Territories (Enc)'!$B$2:$B$62,C1777,'[1]Brand Family Territories (Enc)'!$C$2:$C$62,"Morri")&gt;0),"Unk",0))</f>
        <v>1</v>
      </c>
      <c r="E1777" s="2" t="str">
        <f>IFERROR(INDEX('Blackout Brand Fam Areas (Enc)'!$D$6:$D$998,MATCH(UPPER(A1777)&amp;"|"&amp;UPPER(B1777),'Blackout Brand Fam Areas (Enc)'!$G$6:$G$998,0)),"No Match")</f>
        <v>No Match</v>
      </c>
      <c r="F1777" s="2" t="str">
        <f t="shared" si="54"/>
        <v>US</v>
      </c>
      <c r="G1777" s="2" t="str">
        <f t="shared" si="55"/>
        <v>Good Supply|UNION</v>
      </c>
    </row>
    <row r="1778" spans="1:7" x14ac:dyDescent="0.2">
      <c r="A1778" s="2" t="str" cm="1">
        <f t="array" ref="A1778">INDEX('[1]Brand Family Territory (Enc)'!$A$2:$A$296,INT((ROW()-2)/10)+1)</f>
        <v>Good Supply</v>
      </c>
      <c r="B1778" s="2" t="str" cm="1">
        <f t="array" ref="B1778">INDEX('Whitelist (Blackout Reverse)'!$B$1:$K$1,MOD(ROW()-2,10)+1)</f>
        <v>SUSSEX</v>
      </c>
      <c r="C1778" s="2" t="str">
        <f>VLOOKUP(A1778,'[1]Brand Family Territory (Enc)'!$A$2:$B$296,2,FALSE)</f>
        <v>All Counties</v>
      </c>
      <c r="D1778" s="2">
        <f>IF(COUNTIFS('[1]Brand Family Territories (Enc)'!$B$2:$B$62,C1778,'[1]Brand Family Territories (Enc)'!$C$2:$C$62,B1778)&gt;0,1,IF(AND(LEFT(B1778,6)="MORRIS",COUNTIFS('[1]Brand Family Territories (Enc)'!$B$2:$B$62,C1778,'[1]Brand Family Territories (Enc)'!$C$2:$C$62,"Morri")&gt;0),"Unk",0))</f>
        <v>1</v>
      </c>
      <c r="E1778" s="2" t="str">
        <f>IFERROR(INDEX('Blackout Brand Fam Areas (Enc)'!$D$6:$D$998,MATCH(UPPER(A1778)&amp;"|"&amp;UPPER(B1778),'Blackout Brand Fam Areas (Enc)'!$G$6:$G$998,0)),"No Match")</f>
        <v>No Match</v>
      </c>
      <c r="F1778" s="2" t="str">
        <f t="shared" si="54"/>
        <v>US</v>
      </c>
      <c r="G1778" s="2" t="str">
        <f t="shared" si="55"/>
        <v>Good Supply|SUSSEX</v>
      </c>
    </row>
    <row r="1779" spans="1:7" x14ac:dyDescent="0.2">
      <c r="A1779" s="2" t="str" cm="1">
        <f t="array" ref="A1779">INDEX('[1]Brand Family Territory (Enc)'!$A$2:$A$296,INT((ROW()-2)/10)+1)</f>
        <v>Good Supply</v>
      </c>
      <c r="B1779" s="2" t="str" cm="1">
        <f t="array" ref="B1779">INDEX('Whitelist (Blackout Reverse)'!$B$1:$K$1,MOD(ROW()-2,10)+1)</f>
        <v>MORRIS 1</v>
      </c>
      <c r="C1779" s="2" t="str">
        <f>VLOOKUP(A1779,'[1]Brand Family Territory (Enc)'!$A$2:$B$296,2,FALSE)</f>
        <v>All Counties</v>
      </c>
      <c r="D1779" s="2">
        <f>IF(COUNTIFS('[1]Brand Family Territories (Enc)'!$B$2:$B$62,C1779,'[1]Brand Family Territories (Enc)'!$C$2:$C$62,B1779)&gt;0,1,IF(AND(LEFT(B1779,6)="MORRIS",COUNTIFS('[1]Brand Family Territories (Enc)'!$B$2:$B$62,C1779,'[1]Brand Family Territories (Enc)'!$C$2:$C$62,"Morri")&gt;0),"Unk",0))</f>
        <v>1</v>
      </c>
      <c r="E1779" s="2" t="str">
        <f>IFERROR(INDEX('Blackout Brand Fam Areas (Enc)'!$D$6:$D$998,MATCH(UPPER(A1779)&amp;"|"&amp;UPPER(B1779),'Blackout Brand Fam Areas (Enc)'!$G$6:$G$998,0)),"No Match")</f>
        <v>No Match</v>
      </c>
      <c r="F1779" s="2" t="str">
        <f t="shared" si="54"/>
        <v>US</v>
      </c>
      <c r="G1779" s="2" t="str">
        <f t="shared" si="55"/>
        <v>Good Supply|MORRIS 1</v>
      </c>
    </row>
    <row r="1780" spans="1:7" x14ac:dyDescent="0.2">
      <c r="A1780" s="2" t="str" cm="1">
        <f t="array" ref="A1780">INDEX('[1]Brand Family Territory (Enc)'!$A$2:$A$296,INT((ROW()-2)/10)+1)</f>
        <v>Good Supply</v>
      </c>
      <c r="B1780" s="2" t="str" cm="1">
        <f t="array" ref="B1780">INDEX('Whitelist (Blackout Reverse)'!$B$1:$K$1,MOD(ROW()-2,10)+1)</f>
        <v>MORRIS 2</v>
      </c>
      <c r="C1780" s="2" t="str">
        <f>VLOOKUP(A1780,'[1]Brand Family Territory (Enc)'!$A$2:$B$296,2,FALSE)</f>
        <v>All Counties</v>
      </c>
      <c r="D1780" s="2">
        <f>IF(COUNTIFS('[1]Brand Family Territories (Enc)'!$B$2:$B$62,C1780,'[1]Brand Family Territories (Enc)'!$C$2:$C$62,B1780)&gt;0,1,IF(AND(LEFT(B1780,6)="MORRIS",COUNTIFS('[1]Brand Family Territories (Enc)'!$B$2:$B$62,C1780,'[1]Brand Family Territories (Enc)'!$C$2:$C$62,"Morri")&gt;0),"Unk",0))</f>
        <v>1</v>
      </c>
      <c r="E1780" s="2" t="str">
        <f>IFERROR(INDEX('Blackout Brand Fam Areas (Enc)'!$D$6:$D$998,MATCH(UPPER(A1780)&amp;"|"&amp;UPPER(B1780),'Blackout Brand Fam Areas (Enc)'!$G$6:$G$998,0)),"No Match")</f>
        <v>No Match</v>
      </c>
      <c r="F1780" s="2" t="str">
        <f t="shared" si="54"/>
        <v>US</v>
      </c>
      <c r="G1780" s="2" t="str">
        <f t="shared" si="55"/>
        <v>Good Supply|MORRIS 2</v>
      </c>
    </row>
    <row r="1781" spans="1:7" x14ac:dyDescent="0.2">
      <c r="A1781" s="2" t="str" cm="1">
        <f t="array" ref="A1781">INDEX('[1]Brand Family Territory (Enc)'!$A$2:$A$296,INT((ROW()-2)/10)+1)</f>
        <v>Good Supply</v>
      </c>
      <c r="B1781" s="2" t="str" cm="1">
        <f t="array" ref="B1781">INDEX('Whitelist (Blackout Reverse)'!$B$1:$K$1,MOD(ROW()-2,10)+1)</f>
        <v>MORRIS 3</v>
      </c>
      <c r="C1781" s="2" t="str">
        <f>VLOOKUP(A1781,'[1]Brand Family Territory (Enc)'!$A$2:$B$296,2,FALSE)</f>
        <v>All Counties</v>
      </c>
      <c r="D1781" s="2">
        <f>IF(COUNTIFS('[1]Brand Family Territories (Enc)'!$B$2:$B$62,C1781,'[1]Brand Family Territories (Enc)'!$C$2:$C$62,B1781)&gt;0,1,IF(AND(LEFT(B1781,6)="MORRIS",COUNTIFS('[1]Brand Family Territories (Enc)'!$B$2:$B$62,C1781,'[1]Brand Family Territories (Enc)'!$C$2:$C$62,"Morri")&gt;0),"Unk",0))</f>
        <v>1</v>
      </c>
      <c r="E1781" s="2" t="str">
        <f>IFERROR(INDEX('Blackout Brand Fam Areas (Enc)'!$D$6:$D$998,MATCH(UPPER(A1781)&amp;"|"&amp;UPPER(B1781),'Blackout Brand Fam Areas (Enc)'!$G$6:$G$998,0)),"No Match")</f>
        <v>No Match</v>
      </c>
      <c r="F1781" s="2" t="str">
        <f t="shared" si="54"/>
        <v>US</v>
      </c>
      <c r="G1781" s="2" t="str">
        <f t="shared" si="55"/>
        <v>Good Supply|MORRIS 3</v>
      </c>
    </row>
    <row r="1782" spans="1:7" x14ac:dyDescent="0.2">
      <c r="A1782" s="2" t="str" cm="1">
        <f t="array" ref="A1782">INDEX('[1]Brand Family Territory (Enc)'!$A$2:$A$296,INT((ROW()-2)/10)+1)</f>
        <v>Great Lakes</v>
      </c>
      <c r="B1782" s="2" t="str" cm="1">
        <f t="array" ref="B1782">INDEX('Whitelist (Blackout Reverse)'!$B$1:$K$1,MOD(ROW()-2,10)+1)</f>
        <v>BERGEN</v>
      </c>
      <c r="C1782" s="2" t="str">
        <f>VLOOKUP(A1782,'[1]Brand Family Territory (Enc)'!$A$2:$B$296,2,FALSE)</f>
        <v>All Counties</v>
      </c>
      <c r="D1782" s="2">
        <f>IF(COUNTIFS('[1]Brand Family Territories (Enc)'!$B$2:$B$62,C1782,'[1]Brand Family Territories (Enc)'!$C$2:$C$62,B1782)&gt;0,1,IF(AND(LEFT(B1782,6)="MORRIS",COUNTIFS('[1]Brand Family Territories (Enc)'!$B$2:$B$62,C1782,'[1]Brand Family Territories (Enc)'!$C$2:$C$62,"Morri")&gt;0),"Unk",0))</f>
        <v>1</v>
      </c>
      <c r="E1782" s="2" t="str">
        <f>IFERROR(INDEX('Blackout Brand Fam Areas (Enc)'!$D$6:$D$998,MATCH(UPPER(A1782)&amp;"|"&amp;UPPER(B1782),'Blackout Brand Fam Areas (Enc)'!$G$6:$G$998,0)),"No Match")</f>
        <v>No Match</v>
      </c>
      <c r="F1782" s="2" t="str">
        <f t="shared" si="54"/>
        <v>US</v>
      </c>
      <c r="G1782" s="2" t="str">
        <f t="shared" si="55"/>
        <v>Great Lakes|BERGEN</v>
      </c>
    </row>
    <row r="1783" spans="1:7" x14ac:dyDescent="0.2">
      <c r="A1783" s="2" t="str" cm="1">
        <f t="array" ref="A1783">INDEX('[1]Brand Family Territory (Enc)'!$A$2:$A$296,INT((ROW()-2)/10)+1)</f>
        <v>Great Lakes</v>
      </c>
      <c r="B1783" s="2" t="str" cm="1">
        <f t="array" ref="B1783">INDEX('Whitelist (Blackout Reverse)'!$B$1:$K$1,MOD(ROW()-2,10)+1)</f>
        <v>PASSAIC</v>
      </c>
      <c r="C1783" s="2" t="str">
        <f>VLOOKUP(A1783,'[1]Brand Family Territory (Enc)'!$A$2:$B$296,2,FALSE)</f>
        <v>All Counties</v>
      </c>
      <c r="D1783" s="2">
        <f>IF(COUNTIFS('[1]Brand Family Territories (Enc)'!$B$2:$B$62,C1783,'[1]Brand Family Territories (Enc)'!$C$2:$C$62,B1783)&gt;0,1,IF(AND(LEFT(B1783,6)="MORRIS",COUNTIFS('[1]Brand Family Territories (Enc)'!$B$2:$B$62,C1783,'[1]Brand Family Territories (Enc)'!$C$2:$C$62,"Morri")&gt;0),"Unk",0))</f>
        <v>1</v>
      </c>
      <c r="E1783" s="2" t="str">
        <f>IFERROR(INDEX('Blackout Brand Fam Areas (Enc)'!$D$6:$D$998,MATCH(UPPER(A1783)&amp;"|"&amp;UPPER(B1783),'Blackout Brand Fam Areas (Enc)'!$G$6:$G$998,0)),"No Match")</f>
        <v>No Match</v>
      </c>
      <c r="F1783" s="2" t="str">
        <f t="shared" si="54"/>
        <v>US</v>
      </c>
      <c r="G1783" s="2" t="str">
        <f t="shared" si="55"/>
        <v>Great Lakes|PASSAIC</v>
      </c>
    </row>
    <row r="1784" spans="1:7" x14ac:dyDescent="0.2">
      <c r="A1784" s="2" t="str" cm="1">
        <f t="array" ref="A1784">INDEX('[1]Brand Family Territory (Enc)'!$A$2:$A$296,INT((ROW()-2)/10)+1)</f>
        <v>Great Lakes</v>
      </c>
      <c r="B1784" s="2" t="str" cm="1">
        <f t="array" ref="B1784">INDEX('Whitelist (Blackout Reverse)'!$B$1:$K$1,MOD(ROW()-2,10)+1)</f>
        <v>PASSAIC-FF</v>
      </c>
      <c r="C1784" s="2" t="str">
        <f>VLOOKUP(A1784,'[1]Brand Family Territory (Enc)'!$A$2:$B$296,2,FALSE)</f>
        <v>All Counties</v>
      </c>
      <c r="D1784" s="2">
        <f>IF(COUNTIFS('[1]Brand Family Territories (Enc)'!$B$2:$B$62,C1784,'[1]Brand Family Territories (Enc)'!$C$2:$C$62,B1784)&gt;0,1,IF(AND(LEFT(B1784,6)="MORRIS",COUNTIFS('[1]Brand Family Territories (Enc)'!$B$2:$B$62,C1784,'[1]Brand Family Territories (Enc)'!$C$2:$C$62,"Morri")&gt;0),"Unk",0))</f>
        <v>1</v>
      </c>
      <c r="E1784" s="2" t="str">
        <f>IFERROR(INDEX('Blackout Brand Fam Areas (Enc)'!$D$6:$D$998,MATCH(UPPER(A1784)&amp;"|"&amp;UPPER(B1784),'Blackout Brand Fam Areas (Enc)'!$G$6:$G$998,0)),"No Match")</f>
        <v>No Match</v>
      </c>
      <c r="F1784" s="2" t="str">
        <f t="shared" si="54"/>
        <v>US</v>
      </c>
      <c r="G1784" s="2" t="str">
        <f t="shared" si="55"/>
        <v>Great Lakes|PASSAIC-FF</v>
      </c>
    </row>
    <row r="1785" spans="1:7" x14ac:dyDescent="0.2">
      <c r="A1785" s="2" t="str" cm="1">
        <f t="array" ref="A1785">INDEX('[1]Brand Family Territory (Enc)'!$A$2:$A$296,INT((ROW()-2)/10)+1)</f>
        <v>Great Lakes</v>
      </c>
      <c r="B1785" s="2" t="str" cm="1">
        <f t="array" ref="B1785">INDEX('Whitelist (Blackout Reverse)'!$B$1:$K$1,MOD(ROW()-2,10)+1)</f>
        <v>ESSEX</v>
      </c>
      <c r="C1785" s="2" t="str">
        <f>VLOOKUP(A1785,'[1]Brand Family Territory (Enc)'!$A$2:$B$296,2,FALSE)</f>
        <v>All Counties</v>
      </c>
      <c r="D1785" s="2">
        <f>IF(COUNTIFS('[1]Brand Family Territories (Enc)'!$B$2:$B$62,C1785,'[1]Brand Family Territories (Enc)'!$C$2:$C$62,B1785)&gt;0,1,IF(AND(LEFT(B1785,6)="MORRIS",COUNTIFS('[1]Brand Family Territories (Enc)'!$B$2:$B$62,C1785,'[1]Brand Family Territories (Enc)'!$C$2:$C$62,"Morri")&gt;0),"Unk",0))</f>
        <v>1</v>
      </c>
      <c r="E1785" s="2" t="str">
        <f>IFERROR(INDEX('Blackout Brand Fam Areas (Enc)'!$D$6:$D$998,MATCH(UPPER(A1785)&amp;"|"&amp;UPPER(B1785),'Blackout Brand Fam Areas (Enc)'!$G$6:$G$998,0)),"No Match")</f>
        <v>No Match</v>
      </c>
      <c r="F1785" s="2" t="str">
        <f t="shared" si="54"/>
        <v>US</v>
      </c>
      <c r="G1785" s="2" t="str">
        <f t="shared" si="55"/>
        <v>Great Lakes|ESSEX</v>
      </c>
    </row>
    <row r="1786" spans="1:7" x14ac:dyDescent="0.2">
      <c r="A1786" s="2" t="str" cm="1">
        <f t="array" ref="A1786">INDEX('[1]Brand Family Territory (Enc)'!$A$2:$A$296,INT((ROW()-2)/10)+1)</f>
        <v>Great Lakes</v>
      </c>
      <c r="B1786" s="2" t="str" cm="1">
        <f t="array" ref="B1786">INDEX('Whitelist (Blackout Reverse)'!$B$1:$K$1,MOD(ROW()-2,10)+1)</f>
        <v>HUDSON</v>
      </c>
      <c r="C1786" s="2" t="str">
        <f>VLOOKUP(A1786,'[1]Brand Family Territory (Enc)'!$A$2:$B$296,2,FALSE)</f>
        <v>All Counties</v>
      </c>
      <c r="D1786" s="2">
        <f>IF(COUNTIFS('[1]Brand Family Territories (Enc)'!$B$2:$B$62,C1786,'[1]Brand Family Territories (Enc)'!$C$2:$C$62,B1786)&gt;0,1,IF(AND(LEFT(B1786,6)="MORRIS",COUNTIFS('[1]Brand Family Territories (Enc)'!$B$2:$B$62,C1786,'[1]Brand Family Territories (Enc)'!$C$2:$C$62,"Morri")&gt;0),"Unk",0))</f>
        <v>1</v>
      </c>
      <c r="E1786" s="2" t="str">
        <f>IFERROR(INDEX('Blackout Brand Fam Areas (Enc)'!$D$6:$D$998,MATCH(UPPER(A1786)&amp;"|"&amp;UPPER(B1786),'Blackout Brand Fam Areas (Enc)'!$G$6:$G$998,0)),"No Match")</f>
        <v>No Match</v>
      </c>
      <c r="F1786" s="2" t="str">
        <f t="shared" si="54"/>
        <v>US</v>
      </c>
      <c r="G1786" s="2" t="str">
        <f t="shared" si="55"/>
        <v>Great Lakes|HUDSON</v>
      </c>
    </row>
    <row r="1787" spans="1:7" x14ac:dyDescent="0.2">
      <c r="A1787" s="2" t="str" cm="1">
        <f t="array" ref="A1787">INDEX('[1]Brand Family Territory (Enc)'!$A$2:$A$296,INT((ROW()-2)/10)+1)</f>
        <v>Great Lakes</v>
      </c>
      <c r="B1787" s="2" t="str" cm="1">
        <f t="array" ref="B1787">INDEX('Whitelist (Blackout Reverse)'!$B$1:$K$1,MOD(ROW()-2,10)+1)</f>
        <v>UNION</v>
      </c>
      <c r="C1787" s="2" t="str">
        <f>VLOOKUP(A1787,'[1]Brand Family Territory (Enc)'!$A$2:$B$296,2,FALSE)</f>
        <v>All Counties</v>
      </c>
      <c r="D1787" s="2">
        <f>IF(COUNTIFS('[1]Brand Family Territories (Enc)'!$B$2:$B$62,C1787,'[1]Brand Family Territories (Enc)'!$C$2:$C$62,B1787)&gt;0,1,IF(AND(LEFT(B1787,6)="MORRIS",COUNTIFS('[1]Brand Family Territories (Enc)'!$B$2:$B$62,C1787,'[1]Brand Family Territories (Enc)'!$C$2:$C$62,"Morri")&gt;0),"Unk",0))</f>
        <v>1</v>
      </c>
      <c r="E1787" s="2" t="str">
        <f>IFERROR(INDEX('Blackout Brand Fam Areas (Enc)'!$D$6:$D$998,MATCH(UPPER(A1787)&amp;"|"&amp;UPPER(B1787),'Blackout Brand Fam Areas (Enc)'!$G$6:$G$998,0)),"No Match")</f>
        <v>No Match</v>
      </c>
      <c r="F1787" s="2" t="str">
        <f t="shared" si="54"/>
        <v>US</v>
      </c>
      <c r="G1787" s="2" t="str">
        <f t="shared" si="55"/>
        <v>Great Lakes|UNION</v>
      </c>
    </row>
    <row r="1788" spans="1:7" x14ac:dyDescent="0.2">
      <c r="A1788" s="2" t="str" cm="1">
        <f t="array" ref="A1788">INDEX('[1]Brand Family Territory (Enc)'!$A$2:$A$296,INT((ROW()-2)/10)+1)</f>
        <v>Great Lakes</v>
      </c>
      <c r="B1788" s="2" t="str" cm="1">
        <f t="array" ref="B1788">INDEX('Whitelist (Blackout Reverse)'!$B$1:$K$1,MOD(ROW()-2,10)+1)</f>
        <v>SUSSEX</v>
      </c>
      <c r="C1788" s="2" t="str">
        <f>VLOOKUP(A1788,'[1]Brand Family Territory (Enc)'!$A$2:$B$296,2,FALSE)</f>
        <v>All Counties</v>
      </c>
      <c r="D1788" s="2">
        <f>IF(COUNTIFS('[1]Brand Family Territories (Enc)'!$B$2:$B$62,C1788,'[1]Brand Family Territories (Enc)'!$C$2:$C$62,B1788)&gt;0,1,IF(AND(LEFT(B1788,6)="MORRIS",COUNTIFS('[1]Brand Family Territories (Enc)'!$B$2:$B$62,C1788,'[1]Brand Family Territories (Enc)'!$C$2:$C$62,"Morri")&gt;0),"Unk",0))</f>
        <v>1</v>
      </c>
      <c r="E1788" s="2" t="str">
        <f>IFERROR(INDEX('Blackout Brand Fam Areas (Enc)'!$D$6:$D$998,MATCH(UPPER(A1788)&amp;"|"&amp;UPPER(B1788),'Blackout Brand Fam Areas (Enc)'!$G$6:$G$998,0)),"No Match")</f>
        <v>No Match</v>
      </c>
      <c r="F1788" s="2" t="str">
        <f t="shared" si="54"/>
        <v>US</v>
      </c>
      <c r="G1788" s="2" t="str">
        <f t="shared" si="55"/>
        <v>Great Lakes|SUSSEX</v>
      </c>
    </row>
    <row r="1789" spans="1:7" x14ac:dyDescent="0.2">
      <c r="A1789" s="2" t="str" cm="1">
        <f t="array" ref="A1789">INDEX('[1]Brand Family Territory (Enc)'!$A$2:$A$296,INT((ROW()-2)/10)+1)</f>
        <v>Great Lakes</v>
      </c>
      <c r="B1789" s="2" t="str" cm="1">
        <f t="array" ref="B1789">INDEX('Whitelist (Blackout Reverse)'!$B$1:$K$1,MOD(ROW()-2,10)+1)</f>
        <v>MORRIS 1</v>
      </c>
      <c r="C1789" s="2" t="str">
        <f>VLOOKUP(A1789,'[1]Brand Family Territory (Enc)'!$A$2:$B$296,2,FALSE)</f>
        <v>All Counties</v>
      </c>
      <c r="D1789" s="2">
        <f>IF(COUNTIFS('[1]Brand Family Territories (Enc)'!$B$2:$B$62,C1789,'[1]Brand Family Territories (Enc)'!$C$2:$C$62,B1789)&gt;0,1,IF(AND(LEFT(B1789,6)="MORRIS",COUNTIFS('[1]Brand Family Territories (Enc)'!$B$2:$B$62,C1789,'[1]Brand Family Territories (Enc)'!$C$2:$C$62,"Morri")&gt;0),"Unk",0))</f>
        <v>1</v>
      </c>
      <c r="E1789" s="2" t="str">
        <f>IFERROR(INDEX('Blackout Brand Fam Areas (Enc)'!$D$6:$D$998,MATCH(UPPER(A1789)&amp;"|"&amp;UPPER(B1789),'Blackout Brand Fam Areas (Enc)'!$G$6:$G$998,0)),"No Match")</f>
        <v>No Match</v>
      </c>
      <c r="F1789" s="2" t="str">
        <f t="shared" si="54"/>
        <v>US</v>
      </c>
      <c r="G1789" s="2" t="str">
        <f t="shared" si="55"/>
        <v>Great Lakes|MORRIS 1</v>
      </c>
    </row>
    <row r="1790" spans="1:7" x14ac:dyDescent="0.2">
      <c r="A1790" s="2" t="str" cm="1">
        <f t="array" ref="A1790">INDEX('[1]Brand Family Territory (Enc)'!$A$2:$A$296,INT((ROW()-2)/10)+1)</f>
        <v>Great Lakes</v>
      </c>
      <c r="B1790" s="2" t="str" cm="1">
        <f t="array" ref="B1790">INDEX('Whitelist (Blackout Reverse)'!$B$1:$K$1,MOD(ROW()-2,10)+1)</f>
        <v>MORRIS 2</v>
      </c>
      <c r="C1790" s="2" t="str">
        <f>VLOOKUP(A1790,'[1]Brand Family Territory (Enc)'!$A$2:$B$296,2,FALSE)</f>
        <v>All Counties</v>
      </c>
      <c r="D1790" s="2">
        <f>IF(COUNTIFS('[1]Brand Family Territories (Enc)'!$B$2:$B$62,C1790,'[1]Brand Family Territories (Enc)'!$C$2:$C$62,B1790)&gt;0,1,IF(AND(LEFT(B1790,6)="MORRIS",COUNTIFS('[1]Brand Family Territories (Enc)'!$B$2:$B$62,C1790,'[1]Brand Family Territories (Enc)'!$C$2:$C$62,"Morri")&gt;0),"Unk",0))</f>
        <v>1</v>
      </c>
      <c r="E1790" s="2" t="str">
        <f>IFERROR(INDEX('Blackout Brand Fam Areas (Enc)'!$D$6:$D$998,MATCH(UPPER(A1790)&amp;"|"&amp;UPPER(B1790),'Blackout Brand Fam Areas (Enc)'!$G$6:$G$998,0)),"No Match")</f>
        <v>No Match</v>
      </c>
      <c r="F1790" s="2" t="str">
        <f t="shared" si="54"/>
        <v>US</v>
      </c>
      <c r="G1790" s="2" t="str">
        <f t="shared" si="55"/>
        <v>Great Lakes|MORRIS 2</v>
      </c>
    </row>
    <row r="1791" spans="1:7" x14ac:dyDescent="0.2">
      <c r="A1791" s="2" t="str" cm="1">
        <f t="array" ref="A1791">INDEX('[1]Brand Family Territory (Enc)'!$A$2:$A$296,INT((ROW()-2)/10)+1)</f>
        <v>Great Lakes</v>
      </c>
      <c r="B1791" s="2" t="str" cm="1">
        <f t="array" ref="B1791">INDEX('Whitelist (Blackout Reverse)'!$B$1:$K$1,MOD(ROW()-2,10)+1)</f>
        <v>MORRIS 3</v>
      </c>
      <c r="C1791" s="2" t="str">
        <f>VLOOKUP(A1791,'[1]Brand Family Territory (Enc)'!$A$2:$B$296,2,FALSE)</f>
        <v>All Counties</v>
      </c>
      <c r="D1791" s="2">
        <f>IF(COUNTIFS('[1]Brand Family Territories (Enc)'!$B$2:$B$62,C1791,'[1]Brand Family Territories (Enc)'!$C$2:$C$62,B1791)&gt;0,1,IF(AND(LEFT(B1791,6)="MORRIS",COUNTIFS('[1]Brand Family Territories (Enc)'!$B$2:$B$62,C1791,'[1]Brand Family Territories (Enc)'!$C$2:$C$62,"Morri")&gt;0),"Unk",0))</f>
        <v>1</v>
      </c>
      <c r="E1791" s="2" t="str">
        <f>IFERROR(INDEX('Blackout Brand Fam Areas (Enc)'!$D$6:$D$998,MATCH(UPPER(A1791)&amp;"|"&amp;UPPER(B1791),'Blackout Brand Fam Areas (Enc)'!$G$6:$G$998,0)),"No Match")</f>
        <v>No Match</v>
      </c>
      <c r="F1791" s="2" t="str">
        <f t="shared" si="54"/>
        <v>US</v>
      </c>
      <c r="G1791" s="2" t="str">
        <f t="shared" si="55"/>
        <v>Great Lakes|MORRIS 3</v>
      </c>
    </row>
    <row r="1792" spans="1:7" x14ac:dyDescent="0.2">
      <c r="A1792" s="2" t="str" cm="1">
        <f t="array" ref="A1792">INDEX('[1]Brand Family Territory (Enc)'!$A$2:$A$296,INT((ROW()-2)/10)+1)</f>
        <v>Guaname Rompope</v>
      </c>
      <c r="B1792" s="2" t="str" cm="1">
        <f t="array" ref="B1792">INDEX('Whitelist (Blackout Reverse)'!$B$1:$K$1,MOD(ROW()-2,10)+1)</f>
        <v>BERGEN</v>
      </c>
      <c r="C1792" s="2" t="str">
        <f>VLOOKUP(A1792,'[1]Brand Family Territory (Enc)'!$A$2:$B$296,2,FALSE)</f>
        <v>All Counties</v>
      </c>
      <c r="D1792" s="2">
        <f>IF(COUNTIFS('[1]Brand Family Territories (Enc)'!$B$2:$B$62,C1792,'[1]Brand Family Territories (Enc)'!$C$2:$C$62,B1792)&gt;0,1,IF(AND(LEFT(B1792,6)="MORRIS",COUNTIFS('[1]Brand Family Territories (Enc)'!$B$2:$B$62,C1792,'[1]Brand Family Territories (Enc)'!$C$2:$C$62,"Morri")&gt;0),"Unk",0))</f>
        <v>1</v>
      </c>
      <c r="E1792" s="2" t="str">
        <f>IFERROR(INDEX('Blackout Brand Fam Areas (Enc)'!$D$6:$D$998,MATCH(UPPER(A1792)&amp;"|"&amp;UPPER(B1792),'Blackout Brand Fam Areas (Enc)'!$G$6:$G$998,0)),"No Match")</f>
        <v>No Match</v>
      </c>
      <c r="F1792" s="2" t="str">
        <f t="shared" si="54"/>
        <v>US</v>
      </c>
      <c r="G1792" s="2" t="str">
        <f t="shared" si="55"/>
        <v>Guaname Rompope|BERGEN</v>
      </c>
    </row>
    <row r="1793" spans="1:7" x14ac:dyDescent="0.2">
      <c r="A1793" s="2" t="str" cm="1">
        <f t="array" ref="A1793">INDEX('[1]Brand Family Territory (Enc)'!$A$2:$A$296,INT((ROW()-2)/10)+1)</f>
        <v>Guaname Rompope</v>
      </c>
      <c r="B1793" s="2" t="str" cm="1">
        <f t="array" ref="B1793">INDEX('Whitelist (Blackout Reverse)'!$B$1:$K$1,MOD(ROW()-2,10)+1)</f>
        <v>PASSAIC</v>
      </c>
      <c r="C1793" s="2" t="str">
        <f>VLOOKUP(A1793,'[1]Brand Family Territory (Enc)'!$A$2:$B$296,2,FALSE)</f>
        <v>All Counties</v>
      </c>
      <c r="D1793" s="2">
        <f>IF(COUNTIFS('[1]Brand Family Territories (Enc)'!$B$2:$B$62,C1793,'[1]Brand Family Territories (Enc)'!$C$2:$C$62,B1793)&gt;0,1,IF(AND(LEFT(B1793,6)="MORRIS",COUNTIFS('[1]Brand Family Territories (Enc)'!$B$2:$B$62,C1793,'[1]Brand Family Territories (Enc)'!$C$2:$C$62,"Morri")&gt;0),"Unk",0))</f>
        <v>1</v>
      </c>
      <c r="E1793" s="2" t="str">
        <f>IFERROR(INDEX('Blackout Brand Fam Areas (Enc)'!$D$6:$D$998,MATCH(UPPER(A1793)&amp;"|"&amp;UPPER(B1793),'Blackout Brand Fam Areas (Enc)'!$G$6:$G$998,0)),"No Match")</f>
        <v>No Match</v>
      </c>
      <c r="F1793" s="2" t="str">
        <f t="shared" si="54"/>
        <v>US</v>
      </c>
      <c r="G1793" s="2" t="str">
        <f t="shared" si="55"/>
        <v>Guaname Rompope|PASSAIC</v>
      </c>
    </row>
    <row r="1794" spans="1:7" x14ac:dyDescent="0.2">
      <c r="A1794" s="2" t="str" cm="1">
        <f t="array" ref="A1794">INDEX('[1]Brand Family Territory (Enc)'!$A$2:$A$296,INT((ROW()-2)/10)+1)</f>
        <v>Guaname Rompope</v>
      </c>
      <c r="B1794" s="2" t="str" cm="1">
        <f t="array" ref="B1794">INDEX('Whitelist (Blackout Reverse)'!$B$1:$K$1,MOD(ROW()-2,10)+1)</f>
        <v>PASSAIC-FF</v>
      </c>
      <c r="C1794" s="2" t="str">
        <f>VLOOKUP(A1794,'[1]Brand Family Territory (Enc)'!$A$2:$B$296,2,FALSE)</f>
        <v>All Counties</v>
      </c>
      <c r="D1794" s="2">
        <f>IF(COUNTIFS('[1]Brand Family Territories (Enc)'!$B$2:$B$62,C1794,'[1]Brand Family Territories (Enc)'!$C$2:$C$62,B1794)&gt;0,1,IF(AND(LEFT(B1794,6)="MORRIS",COUNTIFS('[1]Brand Family Territories (Enc)'!$B$2:$B$62,C1794,'[1]Brand Family Territories (Enc)'!$C$2:$C$62,"Morri")&gt;0),"Unk",0))</f>
        <v>1</v>
      </c>
      <c r="E1794" s="2" t="str">
        <f>IFERROR(INDEX('Blackout Brand Fam Areas (Enc)'!$D$6:$D$998,MATCH(UPPER(A1794)&amp;"|"&amp;UPPER(B1794),'Blackout Brand Fam Areas (Enc)'!$G$6:$G$998,0)),"No Match")</f>
        <v>No Match</v>
      </c>
      <c r="F1794" s="2" t="str">
        <f t="shared" si="54"/>
        <v>US</v>
      </c>
      <c r="G1794" s="2" t="str">
        <f t="shared" si="55"/>
        <v>Guaname Rompope|PASSAIC-FF</v>
      </c>
    </row>
    <row r="1795" spans="1:7" x14ac:dyDescent="0.2">
      <c r="A1795" s="2" t="str" cm="1">
        <f t="array" ref="A1795">INDEX('[1]Brand Family Territory (Enc)'!$A$2:$A$296,INT((ROW()-2)/10)+1)</f>
        <v>Guaname Rompope</v>
      </c>
      <c r="B1795" s="2" t="str" cm="1">
        <f t="array" ref="B1795">INDEX('Whitelist (Blackout Reverse)'!$B$1:$K$1,MOD(ROW()-2,10)+1)</f>
        <v>ESSEX</v>
      </c>
      <c r="C1795" s="2" t="str">
        <f>VLOOKUP(A1795,'[1]Brand Family Territory (Enc)'!$A$2:$B$296,2,FALSE)</f>
        <v>All Counties</v>
      </c>
      <c r="D1795" s="2">
        <f>IF(COUNTIFS('[1]Brand Family Territories (Enc)'!$B$2:$B$62,C1795,'[1]Brand Family Territories (Enc)'!$C$2:$C$62,B1795)&gt;0,1,IF(AND(LEFT(B1795,6)="MORRIS",COUNTIFS('[1]Brand Family Territories (Enc)'!$B$2:$B$62,C1795,'[1]Brand Family Territories (Enc)'!$C$2:$C$62,"Morri")&gt;0),"Unk",0))</f>
        <v>1</v>
      </c>
      <c r="E1795" s="2" t="str">
        <f>IFERROR(INDEX('Blackout Brand Fam Areas (Enc)'!$D$6:$D$998,MATCH(UPPER(A1795)&amp;"|"&amp;UPPER(B1795),'Blackout Brand Fam Areas (Enc)'!$G$6:$G$998,0)),"No Match")</f>
        <v>No Match</v>
      </c>
      <c r="F1795" s="2" t="str">
        <f t="shared" ref="F1795:F1858" si="56">IF(D1795="Unk","Ambiguous (Source Truncated)",IF(E1795="Inactive","THEM",IF(D1795=1,"US",IF(D1795="N/A","No Territory Data","THEM"))))</f>
        <v>US</v>
      </c>
      <c r="G1795" s="2" t="str">
        <f t="shared" ref="G1795:G1858" si="57">A1795&amp;"|"&amp;B1795</f>
        <v>Guaname Rompope|ESSEX</v>
      </c>
    </row>
    <row r="1796" spans="1:7" x14ac:dyDescent="0.2">
      <c r="A1796" s="2" t="str" cm="1">
        <f t="array" ref="A1796">INDEX('[1]Brand Family Territory (Enc)'!$A$2:$A$296,INT((ROW()-2)/10)+1)</f>
        <v>Guaname Rompope</v>
      </c>
      <c r="B1796" s="2" t="str" cm="1">
        <f t="array" ref="B1796">INDEX('Whitelist (Blackout Reverse)'!$B$1:$K$1,MOD(ROW()-2,10)+1)</f>
        <v>HUDSON</v>
      </c>
      <c r="C1796" s="2" t="str">
        <f>VLOOKUP(A1796,'[1]Brand Family Territory (Enc)'!$A$2:$B$296,2,FALSE)</f>
        <v>All Counties</v>
      </c>
      <c r="D1796" s="2">
        <f>IF(COUNTIFS('[1]Brand Family Territories (Enc)'!$B$2:$B$62,C1796,'[1]Brand Family Territories (Enc)'!$C$2:$C$62,B1796)&gt;0,1,IF(AND(LEFT(B1796,6)="MORRIS",COUNTIFS('[1]Brand Family Territories (Enc)'!$B$2:$B$62,C1796,'[1]Brand Family Territories (Enc)'!$C$2:$C$62,"Morri")&gt;0),"Unk",0))</f>
        <v>1</v>
      </c>
      <c r="E1796" s="2" t="str">
        <f>IFERROR(INDEX('Blackout Brand Fam Areas (Enc)'!$D$6:$D$998,MATCH(UPPER(A1796)&amp;"|"&amp;UPPER(B1796),'Blackout Brand Fam Areas (Enc)'!$G$6:$G$998,0)),"No Match")</f>
        <v>No Match</v>
      </c>
      <c r="F1796" s="2" t="str">
        <f t="shared" si="56"/>
        <v>US</v>
      </c>
      <c r="G1796" s="2" t="str">
        <f t="shared" si="57"/>
        <v>Guaname Rompope|HUDSON</v>
      </c>
    </row>
    <row r="1797" spans="1:7" x14ac:dyDescent="0.2">
      <c r="A1797" s="2" t="str" cm="1">
        <f t="array" ref="A1797">INDEX('[1]Brand Family Territory (Enc)'!$A$2:$A$296,INT((ROW()-2)/10)+1)</f>
        <v>Guaname Rompope</v>
      </c>
      <c r="B1797" s="2" t="str" cm="1">
        <f t="array" ref="B1797">INDEX('Whitelist (Blackout Reverse)'!$B$1:$K$1,MOD(ROW()-2,10)+1)</f>
        <v>UNION</v>
      </c>
      <c r="C1797" s="2" t="str">
        <f>VLOOKUP(A1797,'[1]Brand Family Territory (Enc)'!$A$2:$B$296,2,FALSE)</f>
        <v>All Counties</v>
      </c>
      <c r="D1797" s="2">
        <f>IF(COUNTIFS('[1]Brand Family Territories (Enc)'!$B$2:$B$62,C1797,'[1]Brand Family Territories (Enc)'!$C$2:$C$62,B1797)&gt;0,1,IF(AND(LEFT(B1797,6)="MORRIS",COUNTIFS('[1]Brand Family Territories (Enc)'!$B$2:$B$62,C1797,'[1]Brand Family Territories (Enc)'!$C$2:$C$62,"Morri")&gt;0),"Unk",0))</f>
        <v>1</v>
      </c>
      <c r="E1797" s="2" t="str">
        <f>IFERROR(INDEX('Blackout Brand Fam Areas (Enc)'!$D$6:$D$998,MATCH(UPPER(A1797)&amp;"|"&amp;UPPER(B1797),'Blackout Brand Fam Areas (Enc)'!$G$6:$G$998,0)),"No Match")</f>
        <v>No Match</v>
      </c>
      <c r="F1797" s="2" t="str">
        <f t="shared" si="56"/>
        <v>US</v>
      </c>
      <c r="G1797" s="2" t="str">
        <f t="shared" si="57"/>
        <v>Guaname Rompope|UNION</v>
      </c>
    </row>
    <row r="1798" spans="1:7" x14ac:dyDescent="0.2">
      <c r="A1798" s="2" t="str" cm="1">
        <f t="array" ref="A1798">INDEX('[1]Brand Family Territory (Enc)'!$A$2:$A$296,INT((ROW()-2)/10)+1)</f>
        <v>Guaname Rompope</v>
      </c>
      <c r="B1798" s="2" t="str" cm="1">
        <f t="array" ref="B1798">INDEX('Whitelist (Blackout Reverse)'!$B$1:$K$1,MOD(ROW()-2,10)+1)</f>
        <v>SUSSEX</v>
      </c>
      <c r="C1798" s="2" t="str">
        <f>VLOOKUP(A1798,'[1]Brand Family Territory (Enc)'!$A$2:$B$296,2,FALSE)</f>
        <v>All Counties</v>
      </c>
      <c r="D1798" s="2">
        <f>IF(COUNTIFS('[1]Brand Family Territories (Enc)'!$B$2:$B$62,C1798,'[1]Brand Family Territories (Enc)'!$C$2:$C$62,B1798)&gt;0,1,IF(AND(LEFT(B1798,6)="MORRIS",COUNTIFS('[1]Brand Family Territories (Enc)'!$B$2:$B$62,C1798,'[1]Brand Family Territories (Enc)'!$C$2:$C$62,"Morri")&gt;0),"Unk",0))</f>
        <v>1</v>
      </c>
      <c r="E1798" s="2" t="str">
        <f>IFERROR(INDEX('Blackout Brand Fam Areas (Enc)'!$D$6:$D$998,MATCH(UPPER(A1798)&amp;"|"&amp;UPPER(B1798),'Blackout Brand Fam Areas (Enc)'!$G$6:$G$998,0)),"No Match")</f>
        <v>No Match</v>
      </c>
      <c r="F1798" s="2" t="str">
        <f t="shared" si="56"/>
        <v>US</v>
      </c>
      <c r="G1798" s="2" t="str">
        <f t="shared" si="57"/>
        <v>Guaname Rompope|SUSSEX</v>
      </c>
    </row>
    <row r="1799" spans="1:7" x14ac:dyDescent="0.2">
      <c r="A1799" s="2" t="str" cm="1">
        <f t="array" ref="A1799">INDEX('[1]Brand Family Territory (Enc)'!$A$2:$A$296,INT((ROW()-2)/10)+1)</f>
        <v>Guaname Rompope</v>
      </c>
      <c r="B1799" s="2" t="str" cm="1">
        <f t="array" ref="B1799">INDEX('Whitelist (Blackout Reverse)'!$B$1:$K$1,MOD(ROW()-2,10)+1)</f>
        <v>MORRIS 1</v>
      </c>
      <c r="C1799" s="2" t="str">
        <f>VLOOKUP(A1799,'[1]Brand Family Territory (Enc)'!$A$2:$B$296,2,FALSE)</f>
        <v>All Counties</v>
      </c>
      <c r="D1799" s="2">
        <f>IF(COUNTIFS('[1]Brand Family Territories (Enc)'!$B$2:$B$62,C1799,'[1]Brand Family Territories (Enc)'!$C$2:$C$62,B1799)&gt;0,1,IF(AND(LEFT(B1799,6)="MORRIS",COUNTIFS('[1]Brand Family Territories (Enc)'!$B$2:$B$62,C1799,'[1]Brand Family Territories (Enc)'!$C$2:$C$62,"Morri")&gt;0),"Unk",0))</f>
        <v>1</v>
      </c>
      <c r="E1799" s="2" t="str">
        <f>IFERROR(INDEX('Blackout Brand Fam Areas (Enc)'!$D$6:$D$998,MATCH(UPPER(A1799)&amp;"|"&amp;UPPER(B1799),'Blackout Brand Fam Areas (Enc)'!$G$6:$G$998,0)),"No Match")</f>
        <v>No Match</v>
      </c>
      <c r="F1799" s="2" t="str">
        <f t="shared" si="56"/>
        <v>US</v>
      </c>
      <c r="G1799" s="2" t="str">
        <f t="shared" si="57"/>
        <v>Guaname Rompope|MORRIS 1</v>
      </c>
    </row>
    <row r="1800" spans="1:7" x14ac:dyDescent="0.2">
      <c r="A1800" s="2" t="str" cm="1">
        <f t="array" ref="A1800">INDEX('[1]Brand Family Territory (Enc)'!$A$2:$A$296,INT((ROW()-2)/10)+1)</f>
        <v>Guaname Rompope</v>
      </c>
      <c r="B1800" s="2" t="str" cm="1">
        <f t="array" ref="B1800">INDEX('Whitelist (Blackout Reverse)'!$B$1:$K$1,MOD(ROW()-2,10)+1)</f>
        <v>MORRIS 2</v>
      </c>
      <c r="C1800" s="2" t="str">
        <f>VLOOKUP(A1800,'[1]Brand Family Territory (Enc)'!$A$2:$B$296,2,FALSE)</f>
        <v>All Counties</v>
      </c>
      <c r="D1800" s="2">
        <f>IF(COUNTIFS('[1]Brand Family Territories (Enc)'!$B$2:$B$62,C1800,'[1]Brand Family Territories (Enc)'!$C$2:$C$62,B1800)&gt;0,1,IF(AND(LEFT(B1800,6)="MORRIS",COUNTIFS('[1]Brand Family Territories (Enc)'!$B$2:$B$62,C1800,'[1]Brand Family Territories (Enc)'!$C$2:$C$62,"Morri")&gt;0),"Unk",0))</f>
        <v>1</v>
      </c>
      <c r="E1800" s="2" t="str">
        <f>IFERROR(INDEX('Blackout Brand Fam Areas (Enc)'!$D$6:$D$998,MATCH(UPPER(A1800)&amp;"|"&amp;UPPER(B1800),'Blackout Brand Fam Areas (Enc)'!$G$6:$G$998,0)),"No Match")</f>
        <v>No Match</v>
      </c>
      <c r="F1800" s="2" t="str">
        <f t="shared" si="56"/>
        <v>US</v>
      </c>
      <c r="G1800" s="2" t="str">
        <f t="shared" si="57"/>
        <v>Guaname Rompope|MORRIS 2</v>
      </c>
    </row>
    <row r="1801" spans="1:7" x14ac:dyDescent="0.2">
      <c r="A1801" s="2" t="str" cm="1">
        <f t="array" ref="A1801">INDEX('[1]Brand Family Territory (Enc)'!$A$2:$A$296,INT((ROW()-2)/10)+1)</f>
        <v>Guaname Rompope</v>
      </c>
      <c r="B1801" s="2" t="str" cm="1">
        <f t="array" ref="B1801">INDEX('Whitelist (Blackout Reverse)'!$B$1:$K$1,MOD(ROW()-2,10)+1)</f>
        <v>MORRIS 3</v>
      </c>
      <c r="C1801" s="2" t="str">
        <f>VLOOKUP(A1801,'[1]Brand Family Territory (Enc)'!$A$2:$B$296,2,FALSE)</f>
        <v>All Counties</v>
      </c>
      <c r="D1801" s="2">
        <f>IF(COUNTIFS('[1]Brand Family Territories (Enc)'!$B$2:$B$62,C1801,'[1]Brand Family Territories (Enc)'!$C$2:$C$62,B1801)&gt;0,1,IF(AND(LEFT(B1801,6)="MORRIS",COUNTIFS('[1]Brand Family Territories (Enc)'!$B$2:$B$62,C1801,'[1]Brand Family Territories (Enc)'!$C$2:$C$62,"Morri")&gt;0),"Unk",0))</f>
        <v>1</v>
      </c>
      <c r="E1801" s="2" t="str">
        <f>IFERROR(INDEX('Blackout Brand Fam Areas (Enc)'!$D$6:$D$998,MATCH(UPPER(A1801)&amp;"|"&amp;UPPER(B1801),'Blackout Brand Fam Areas (Enc)'!$G$6:$G$998,0)),"No Match")</f>
        <v>No Match</v>
      </c>
      <c r="F1801" s="2" t="str">
        <f t="shared" si="56"/>
        <v>US</v>
      </c>
      <c r="G1801" s="2" t="str">
        <f t="shared" si="57"/>
        <v>Guaname Rompope|MORRIS 3</v>
      </c>
    </row>
    <row r="1802" spans="1:7" x14ac:dyDescent="0.2">
      <c r="A1802" s="2" t="str" cm="1">
        <f t="array" ref="A1802">INDEX('[1]Brand Family Territory (Enc)'!$A$2:$A$296,INT((ROW()-2)/10)+1)</f>
        <v>Gulden Draak</v>
      </c>
      <c r="B1802" s="2" t="str" cm="1">
        <f t="array" ref="B1802">INDEX('Whitelist (Blackout Reverse)'!$B$1:$K$1,MOD(ROW()-2,10)+1)</f>
        <v>BERGEN</v>
      </c>
      <c r="C1802" s="2" t="str">
        <f>VLOOKUP(A1802,'[1]Brand Family Territory (Enc)'!$A$2:$B$296,2,FALSE)</f>
        <v>All Counties</v>
      </c>
      <c r="D1802" s="2">
        <f>IF(COUNTIFS('[1]Brand Family Territories (Enc)'!$B$2:$B$62,C1802,'[1]Brand Family Territories (Enc)'!$C$2:$C$62,B1802)&gt;0,1,IF(AND(LEFT(B1802,6)="MORRIS",COUNTIFS('[1]Brand Family Territories (Enc)'!$B$2:$B$62,C1802,'[1]Brand Family Territories (Enc)'!$C$2:$C$62,"Morri")&gt;0),"Unk",0))</f>
        <v>1</v>
      </c>
      <c r="E1802" s="2" t="str">
        <f>IFERROR(INDEX('Blackout Brand Fam Areas (Enc)'!$D$6:$D$998,MATCH(UPPER(A1802)&amp;"|"&amp;UPPER(B1802),'Blackout Brand Fam Areas (Enc)'!$G$6:$G$998,0)),"No Match")</f>
        <v>No Match</v>
      </c>
      <c r="F1802" s="2" t="str">
        <f t="shared" si="56"/>
        <v>US</v>
      </c>
      <c r="G1802" s="2" t="str">
        <f t="shared" si="57"/>
        <v>Gulden Draak|BERGEN</v>
      </c>
    </row>
    <row r="1803" spans="1:7" x14ac:dyDescent="0.2">
      <c r="A1803" s="2" t="str" cm="1">
        <f t="array" ref="A1803">INDEX('[1]Brand Family Territory (Enc)'!$A$2:$A$296,INT((ROW()-2)/10)+1)</f>
        <v>Gulden Draak</v>
      </c>
      <c r="B1803" s="2" t="str" cm="1">
        <f t="array" ref="B1803">INDEX('Whitelist (Blackout Reverse)'!$B$1:$K$1,MOD(ROW()-2,10)+1)</f>
        <v>PASSAIC</v>
      </c>
      <c r="C1803" s="2" t="str">
        <f>VLOOKUP(A1803,'[1]Brand Family Territory (Enc)'!$A$2:$B$296,2,FALSE)</f>
        <v>All Counties</v>
      </c>
      <c r="D1803" s="2">
        <f>IF(COUNTIFS('[1]Brand Family Territories (Enc)'!$B$2:$B$62,C1803,'[1]Brand Family Territories (Enc)'!$C$2:$C$62,B1803)&gt;0,1,IF(AND(LEFT(B1803,6)="MORRIS",COUNTIFS('[1]Brand Family Territories (Enc)'!$B$2:$B$62,C1803,'[1]Brand Family Territories (Enc)'!$C$2:$C$62,"Morri")&gt;0),"Unk",0))</f>
        <v>1</v>
      </c>
      <c r="E1803" s="2" t="str">
        <f>IFERROR(INDEX('Blackout Brand Fam Areas (Enc)'!$D$6:$D$998,MATCH(UPPER(A1803)&amp;"|"&amp;UPPER(B1803),'Blackout Brand Fam Areas (Enc)'!$G$6:$G$998,0)),"No Match")</f>
        <v>No Match</v>
      </c>
      <c r="F1803" s="2" t="str">
        <f t="shared" si="56"/>
        <v>US</v>
      </c>
      <c r="G1803" s="2" t="str">
        <f t="shared" si="57"/>
        <v>Gulden Draak|PASSAIC</v>
      </c>
    </row>
    <row r="1804" spans="1:7" x14ac:dyDescent="0.2">
      <c r="A1804" s="2" t="str" cm="1">
        <f t="array" ref="A1804">INDEX('[1]Brand Family Territory (Enc)'!$A$2:$A$296,INT((ROW()-2)/10)+1)</f>
        <v>Gulden Draak</v>
      </c>
      <c r="B1804" s="2" t="str" cm="1">
        <f t="array" ref="B1804">INDEX('Whitelist (Blackout Reverse)'!$B$1:$K$1,MOD(ROW()-2,10)+1)</f>
        <v>PASSAIC-FF</v>
      </c>
      <c r="C1804" s="2" t="str">
        <f>VLOOKUP(A1804,'[1]Brand Family Territory (Enc)'!$A$2:$B$296,2,FALSE)</f>
        <v>All Counties</v>
      </c>
      <c r="D1804" s="2">
        <f>IF(COUNTIFS('[1]Brand Family Territories (Enc)'!$B$2:$B$62,C1804,'[1]Brand Family Territories (Enc)'!$C$2:$C$62,B1804)&gt;0,1,IF(AND(LEFT(B1804,6)="MORRIS",COUNTIFS('[1]Brand Family Territories (Enc)'!$B$2:$B$62,C1804,'[1]Brand Family Territories (Enc)'!$C$2:$C$62,"Morri")&gt;0),"Unk",0))</f>
        <v>1</v>
      </c>
      <c r="E1804" s="2" t="str">
        <f>IFERROR(INDEX('Blackout Brand Fam Areas (Enc)'!$D$6:$D$998,MATCH(UPPER(A1804)&amp;"|"&amp;UPPER(B1804),'Blackout Brand Fam Areas (Enc)'!$G$6:$G$998,0)),"No Match")</f>
        <v>No Match</v>
      </c>
      <c r="F1804" s="2" t="str">
        <f t="shared" si="56"/>
        <v>US</v>
      </c>
      <c r="G1804" s="2" t="str">
        <f t="shared" si="57"/>
        <v>Gulden Draak|PASSAIC-FF</v>
      </c>
    </row>
    <row r="1805" spans="1:7" x14ac:dyDescent="0.2">
      <c r="A1805" s="2" t="str" cm="1">
        <f t="array" ref="A1805">INDEX('[1]Brand Family Territory (Enc)'!$A$2:$A$296,INT((ROW()-2)/10)+1)</f>
        <v>Gulden Draak</v>
      </c>
      <c r="B1805" s="2" t="str" cm="1">
        <f t="array" ref="B1805">INDEX('Whitelist (Blackout Reverse)'!$B$1:$K$1,MOD(ROW()-2,10)+1)</f>
        <v>ESSEX</v>
      </c>
      <c r="C1805" s="2" t="str">
        <f>VLOOKUP(A1805,'[1]Brand Family Territory (Enc)'!$A$2:$B$296,2,FALSE)</f>
        <v>All Counties</v>
      </c>
      <c r="D1805" s="2">
        <f>IF(COUNTIFS('[1]Brand Family Territories (Enc)'!$B$2:$B$62,C1805,'[1]Brand Family Territories (Enc)'!$C$2:$C$62,B1805)&gt;0,1,IF(AND(LEFT(B1805,6)="MORRIS",COUNTIFS('[1]Brand Family Territories (Enc)'!$B$2:$B$62,C1805,'[1]Brand Family Territories (Enc)'!$C$2:$C$62,"Morri")&gt;0),"Unk",0))</f>
        <v>1</v>
      </c>
      <c r="E1805" s="2" t="str">
        <f>IFERROR(INDEX('Blackout Brand Fam Areas (Enc)'!$D$6:$D$998,MATCH(UPPER(A1805)&amp;"|"&amp;UPPER(B1805),'Blackout Brand Fam Areas (Enc)'!$G$6:$G$998,0)),"No Match")</f>
        <v>No Match</v>
      </c>
      <c r="F1805" s="2" t="str">
        <f t="shared" si="56"/>
        <v>US</v>
      </c>
      <c r="G1805" s="2" t="str">
        <f t="shared" si="57"/>
        <v>Gulden Draak|ESSEX</v>
      </c>
    </row>
    <row r="1806" spans="1:7" x14ac:dyDescent="0.2">
      <c r="A1806" s="2" t="str" cm="1">
        <f t="array" ref="A1806">INDEX('[1]Brand Family Territory (Enc)'!$A$2:$A$296,INT((ROW()-2)/10)+1)</f>
        <v>Gulden Draak</v>
      </c>
      <c r="B1806" s="2" t="str" cm="1">
        <f t="array" ref="B1806">INDEX('Whitelist (Blackout Reverse)'!$B$1:$K$1,MOD(ROW()-2,10)+1)</f>
        <v>HUDSON</v>
      </c>
      <c r="C1806" s="2" t="str">
        <f>VLOOKUP(A1806,'[1]Brand Family Territory (Enc)'!$A$2:$B$296,2,FALSE)</f>
        <v>All Counties</v>
      </c>
      <c r="D1806" s="2">
        <f>IF(COUNTIFS('[1]Brand Family Territories (Enc)'!$B$2:$B$62,C1806,'[1]Brand Family Territories (Enc)'!$C$2:$C$62,B1806)&gt;0,1,IF(AND(LEFT(B1806,6)="MORRIS",COUNTIFS('[1]Brand Family Territories (Enc)'!$B$2:$B$62,C1806,'[1]Brand Family Territories (Enc)'!$C$2:$C$62,"Morri")&gt;0),"Unk",0))</f>
        <v>1</v>
      </c>
      <c r="E1806" s="2" t="str">
        <f>IFERROR(INDEX('Blackout Brand Fam Areas (Enc)'!$D$6:$D$998,MATCH(UPPER(A1806)&amp;"|"&amp;UPPER(B1806),'Blackout Brand Fam Areas (Enc)'!$G$6:$G$998,0)),"No Match")</f>
        <v>No Match</v>
      </c>
      <c r="F1806" s="2" t="str">
        <f t="shared" si="56"/>
        <v>US</v>
      </c>
      <c r="G1806" s="2" t="str">
        <f t="shared" si="57"/>
        <v>Gulden Draak|HUDSON</v>
      </c>
    </row>
    <row r="1807" spans="1:7" x14ac:dyDescent="0.2">
      <c r="A1807" s="2" t="str" cm="1">
        <f t="array" ref="A1807">INDEX('[1]Brand Family Territory (Enc)'!$A$2:$A$296,INT((ROW()-2)/10)+1)</f>
        <v>Gulden Draak</v>
      </c>
      <c r="B1807" s="2" t="str" cm="1">
        <f t="array" ref="B1807">INDEX('Whitelist (Blackout Reverse)'!$B$1:$K$1,MOD(ROW()-2,10)+1)</f>
        <v>UNION</v>
      </c>
      <c r="C1807" s="2" t="str">
        <f>VLOOKUP(A1807,'[1]Brand Family Territory (Enc)'!$A$2:$B$296,2,FALSE)</f>
        <v>All Counties</v>
      </c>
      <c r="D1807" s="2">
        <f>IF(COUNTIFS('[1]Brand Family Territories (Enc)'!$B$2:$B$62,C1807,'[1]Brand Family Territories (Enc)'!$C$2:$C$62,B1807)&gt;0,1,IF(AND(LEFT(B1807,6)="MORRIS",COUNTIFS('[1]Brand Family Territories (Enc)'!$B$2:$B$62,C1807,'[1]Brand Family Territories (Enc)'!$C$2:$C$62,"Morri")&gt;0),"Unk",0))</f>
        <v>1</v>
      </c>
      <c r="E1807" s="2" t="str">
        <f>IFERROR(INDEX('Blackout Brand Fam Areas (Enc)'!$D$6:$D$998,MATCH(UPPER(A1807)&amp;"|"&amp;UPPER(B1807),'Blackout Brand Fam Areas (Enc)'!$G$6:$G$998,0)),"No Match")</f>
        <v>No Match</v>
      </c>
      <c r="F1807" s="2" t="str">
        <f t="shared" si="56"/>
        <v>US</v>
      </c>
      <c r="G1807" s="2" t="str">
        <f t="shared" si="57"/>
        <v>Gulden Draak|UNION</v>
      </c>
    </row>
    <row r="1808" spans="1:7" x14ac:dyDescent="0.2">
      <c r="A1808" s="2" t="str" cm="1">
        <f t="array" ref="A1808">INDEX('[1]Brand Family Territory (Enc)'!$A$2:$A$296,INT((ROW()-2)/10)+1)</f>
        <v>Gulden Draak</v>
      </c>
      <c r="B1808" s="2" t="str" cm="1">
        <f t="array" ref="B1808">INDEX('Whitelist (Blackout Reverse)'!$B$1:$K$1,MOD(ROW()-2,10)+1)</f>
        <v>SUSSEX</v>
      </c>
      <c r="C1808" s="2" t="str">
        <f>VLOOKUP(A1808,'[1]Brand Family Territory (Enc)'!$A$2:$B$296,2,FALSE)</f>
        <v>All Counties</v>
      </c>
      <c r="D1808" s="2">
        <f>IF(COUNTIFS('[1]Brand Family Territories (Enc)'!$B$2:$B$62,C1808,'[1]Brand Family Territories (Enc)'!$C$2:$C$62,B1808)&gt;0,1,IF(AND(LEFT(B1808,6)="MORRIS",COUNTIFS('[1]Brand Family Territories (Enc)'!$B$2:$B$62,C1808,'[1]Brand Family Territories (Enc)'!$C$2:$C$62,"Morri")&gt;0),"Unk",0))</f>
        <v>1</v>
      </c>
      <c r="E1808" s="2" t="str">
        <f>IFERROR(INDEX('Blackout Brand Fam Areas (Enc)'!$D$6:$D$998,MATCH(UPPER(A1808)&amp;"|"&amp;UPPER(B1808),'Blackout Brand Fam Areas (Enc)'!$G$6:$G$998,0)),"No Match")</f>
        <v>No Match</v>
      </c>
      <c r="F1808" s="2" t="str">
        <f t="shared" si="56"/>
        <v>US</v>
      </c>
      <c r="G1808" s="2" t="str">
        <f t="shared" si="57"/>
        <v>Gulden Draak|SUSSEX</v>
      </c>
    </row>
    <row r="1809" spans="1:7" x14ac:dyDescent="0.2">
      <c r="A1809" s="2" t="str" cm="1">
        <f t="array" ref="A1809">INDEX('[1]Brand Family Territory (Enc)'!$A$2:$A$296,INT((ROW()-2)/10)+1)</f>
        <v>Gulden Draak</v>
      </c>
      <c r="B1809" s="2" t="str" cm="1">
        <f t="array" ref="B1809">INDEX('Whitelist (Blackout Reverse)'!$B$1:$K$1,MOD(ROW()-2,10)+1)</f>
        <v>MORRIS 1</v>
      </c>
      <c r="C1809" s="2" t="str">
        <f>VLOOKUP(A1809,'[1]Brand Family Territory (Enc)'!$A$2:$B$296,2,FALSE)</f>
        <v>All Counties</v>
      </c>
      <c r="D1809" s="2">
        <f>IF(COUNTIFS('[1]Brand Family Territories (Enc)'!$B$2:$B$62,C1809,'[1]Brand Family Territories (Enc)'!$C$2:$C$62,B1809)&gt;0,1,IF(AND(LEFT(B1809,6)="MORRIS",COUNTIFS('[1]Brand Family Territories (Enc)'!$B$2:$B$62,C1809,'[1]Brand Family Territories (Enc)'!$C$2:$C$62,"Morri")&gt;0),"Unk",0))</f>
        <v>1</v>
      </c>
      <c r="E1809" s="2" t="str">
        <f>IFERROR(INDEX('Blackout Brand Fam Areas (Enc)'!$D$6:$D$998,MATCH(UPPER(A1809)&amp;"|"&amp;UPPER(B1809),'Blackout Brand Fam Areas (Enc)'!$G$6:$G$998,0)),"No Match")</f>
        <v>No Match</v>
      </c>
      <c r="F1809" s="2" t="str">
        <f t="shared" si="56"/>
        <v>US</v>
      </c>
      <c r="G1809" s="2" t="str">
        <f t="shared" si="57"/>
        <v>Gulden Draak|MORRIS 1</v>
      </c>
    </row>
    <row r="1810" spans="1:7" x14ac:dyDescent="0.2">
      <c r="A1810" s="2" t="str" cm="1">
        <f t="array" ref="A1810">INDEX('[1]Brand Family Territory (Enc)'!$A$2:$A$296,INT((ROW()-2)/10)+1)</f>
        <v>Gulden Draak</v>
      </c>
      <c r="B1810" s="2" t="str" cm="1">
        <f t="array" ref="B1810">INDEX('Whitelist (Blackout Reverse)'!$B$1:$K$1,MOD(ROW()-2,10)+1)</f>
        <v>MORRIS 2</v>
      </c>
      <c r="C1810" s="2" t="str">
        <f>VLOOKUP(A1810,'[1]Brand Family Territory (Enc)'!$A$2:$B$296,2,FALSE)</f>
        <v>All Counties</v>
      </c>
      <c r="D1810" s="2">
        <f>IF(COUNTIFS('[1]Brand Family Territories (Enc)'!$B$2:$B$62,C1810,'[1]Brand Family Territories (Enc)'!$C$2:$C$62,B1810)&gt;0,1,IF(AND(LEFT(B1810,6)="MORRIS",COUNTIFS('[1]Brand Family Territories (Enc)'!$B$2:$B$62,C1810,'[1]Brand Family Territories (Enc)'!$C$2:$C$62,"Morri")&gt;0),"Unk",0))</f>
        <v>1</v>
      </c>
      <c r="E1810" s="2" t="str">
        <f>IFERROR(INDEX('Blackout Brand Fam Areas (Enc)'!$D$6:$D$998,MATCH(UPPER(A1810)&amp;"|"&amp;UPPER(B1810),'Blackout Brand Fam Areas (Enc)'!$G$6:$G$998,0)),"No Match")</f>
        <v>No Match</v>
      </c>
      <c r="F1810" s="2" t="str">
        <f t="shared" si="56"/>
        <v>US</v>
      </c>
      <c r="G1810" s="2" t="str">
        <f t="shared" si="57"/>
        <v>Gulden Draak|MORRIS 2</v>
      </c>
    </row>
    <row r="1811" spans="1:7" x14ac:dyDescent="0.2">
      <c r="A1811" s="2" t="str" cm="1">
        <f t="array" ref="A1811">INDEX('[1]Brand Family Territory (Enc)'!$A$2:$A$296,INT((ROW()-2)/10)+1)</f>
        <v>Gulden Draak</v>
      </c>
      <c r="B1811" s="2" t="str" cm="1">
        <f t="array" ref="B1811">INDEX('Whitelist (Blackout Reverse)'!$B$1:$K$1,MOD(ROW()-2,10)+1)</f>
        <v>MORRIS 3</v>
      </c>
      <c r="C1811" s="2" t="str">
        <f>VLOOKUP(A1811,'[1]Brand Family Territory (Enc)'!$A$2:$B$296,2,FALSE)</f>
        <v>All Counties</v>
      </c>
      <c r="D1811" s="2">
        <f>IF(COUNTIFS('[1]Brand Family Territories (Enc)'!$B$2:$B$62,C1811,'[1]Brand Family Territories (Enc)'!$C$2:$C$62,B1811)&gt;0,1,IF(AND(LEFT(B1811,6)="MORRIS",COUNTIFS('[1]Brand Family Territories (Enc)'!$B$2:$B$62,C1811,'[1]Brand Family Territories (Enc)'!$C$2:$C$62,"Morri")&gt;0),"Unk",0))</f>
        <v>1</v>
      </c>
      <c r="E1811" s="2" t="str">
        <f>IFERROR(INDEX('Blackout Brand Fam Areas (Enc)'!$D$6:$D$998,MATCH(UPPER(A1811)&amp;"|"&amp;UPPER(B1811),'Blackout Brand Fam Areas (Enc)'!$G$6:$G$998,0)),"No Match")</f>
        <v>No Match</v>
      </c>
      <c r="F1811" s="2" t="str">
        <f t="shared" si="56"/>
        <v>US</v>
      </c>
      <c r="G1811" s="2" t="str">
        <f t="shared" si="57"/>
        <v>Gulden Draak|MORRIS 3</v>
      </c>
    </row>
    <row r="1812" spans="1:7" x14ac:dyDescent="0.2">
      <c r="A1812" s="2" t="str" cm="1">
        <f t="array" ref="A1812">INDEX('[1]Brand Family Territory (Enc)'!$A$2:$A$296,INT((ROW()-2)/10)+1)</f>
        <v>Happy Flower</v>
      </c>
      <c r="B1812" s="2" t="str" cm="1">
        <f t="array" ref="B1812">INDEX('Whitelist (Blackout Reverse)'!$B$1:$K$1,MOD(ROW()-2,10)+1)</f>
        <v>BERGEN</v>
      </c>
      <c r="C1812" s="2" t="str">
        <f>VLOOKUP(A1812,'[1]Brand Family Territory (Enc)'!$A$2:$B$296,2,FALSE)</f>
        <v>All Counties</v>
      </c>
      <c r="D1812" s="2">
        <f>IF(COUNTIFS('[1]Brand Family Territories (Enc)'!$B$2:$B$62,C1812,'[1]Brand Family Territories (Enc)'!$C$2:$C$62,B1812)&gt;0,1,IF(AND(LEFT(B1812,6)="MORRIS",COUNTIFS('[1]Brand Family Territories (Enc)'!$B$2:$B$62,C1812,'[1]Brand Family Territories (Enc)'!$C$2:$C$62,"Morri")&gt;0),"Unk",0))</f>
        <v>1</v>
      </c>
      <c r="E1812" s="2" t="str">
        <f>IFERROR(INDEX('Blackout Brand Fam Areas (Enc)'!$D$6:$D$998,MATCH(UPPER(A1812)&amp;"|"&amp;UPPER(B1812),'Blackout Brand Fam Areas (Enc)'!$G$6:$G$998,0)),"No Match")</f>
        <v>No Match</v>
      </c>
      <c r="F1812" s="2" t="str">
        <f t="shared" si="56"/>
        <v>US</v>
      </c>
      <c r="G1812" s="2" t="str">
        <f t="shared" si="57"/>
        <v>Happy Flower|BERGEN</v>
      </c>
    </row>
    <row r="1813" spans="1:7" x14ac:dyDescent="0.2">
      <c r="A1813" s="2" t="str" cm="1">
        <f t="array" ref="A1813">INDEX('[1]Brand Family Territory (Enc)'!$A$2:$A$296,INT((ROW()-2)/10)+1)</f>
        <v>Happy Flower</v>
      </c>
      <c r="B1813" s="2" t="str" cm="1">
        <f t="array" ref="B1813">INDEX('Whitelist (Blackout Reverse)'!$B$1:$K$1,MOD(ROW()-2,10)+1)</f>
        <v>PASSAIC</v>
      </c>
      <c r="C1813" s="2" t="str">
        <f>VLOOKUP(A1813,'[1]Brand Family Territory (Enc)'!$A$2:$B$296,2,FALSE)</f>
        <v>All Counties</v>
      </c>
      <c r="D1813" s="2">
        <f>IF(COUNTIFS('[1]Brand Family Territories (Enc)'!$B$2:$B$62,C1813,'[1]Brand Family Territories (Enc)'!$C$2:$C$62,B1813)&gt;0,1,IF(AND(LEFT(B1813,6)="MORRIS",COUNTIFS('[1]Brand Family Territories (Enc)'!$B$2:$B$62,C1813,'[1]Brand Family Territories (Enc)'!$C$2:$C$62,"Morri")&gt;0),"Unk",0))</f>
        <v>1</v>
      </c>
      <c r="E1813" s="2" t="str">
        <f>IFERROR(INDEX('Blackout Brand Fam Areas (Enc)'!$D$6:$D$998,MATCH(UPPER(A1813)&amp;"|"&amp;UPPER(B1813),'Blackout Brand Fam Areas (Enc)'!$G$6:$G$998,0)),"No Match")</f>
        <v>No Match</v>
      </c>
      <c r="F1813" s="2" t="str">
        <f t="shared" si="56"/>
        <v>US</v>
      </c>
      <c r="G1813" s="2" t="str">
        <f t="shared" si="57"/>
        <v>Happy Flower|PASSAIC</v>
      </c>
    </row>
    <row r="1814" spans="1:7" x14ac:dyDescent="0.2">
      <c r="A1814" s="2" t="str" cm="1">
        <f t="array" ref="A1814">INDEX('[1]Brand Family Territory (Enc)'!$A$2:$A$296,INT((ROW()-2)/10)+1)</f>
        <v>Happy Flower</v>
      </c>
      <c r="B1814" s="2" t="str" cm="1">
        <f t="array" ref="B1814">INDEX('Whitelist (Blackout Reverse)'!$B$1:$K$1,MOD(ROW()-2,10)+1)</f>
        <v>PASSAIC-FF</v>
      </c>
      <c r="C1814" s="2" t="str">
        <f>VLOOKUP(A1814,'[1]Brand Family Territory (Enc)'!$A$2:$B$296,2,FALSE)</f>
        <v>All Counties</v>
      </c>
      <c r="D1814" s="2">
        <f>IF(COUNTIFS('[1]Brand Family Territories (Enc)'!$B$2:$B$62,C1814,'[1]Brand Family Territories (Enc)'!$C$2:$C$62,B1814)&gt;0,1,IF(AND(LEFT(B1814,6)="MORRIS",COUNTIFS('[1]Brand Family Territories (Enc)'!$B$2:$B$62,C1814,'[1]Brand Family Territories (Enc)'!$C$2:$C$62,"Morri")&gt;0),"Unk",0))</f>
        <v>1</v>
      </c>
      <c r="E1814" s="2" t="str">
        <f>IFERROR(INDEX('Blackout Brand Fam Areas (Enc)'!$D$6:$D$998,MATCH(UPPER(A1814)&amp;"|"&amp;UPPER(B1814),'Blackout Brand Fam Areas (Enc)'!$G$6:$G$998,0)),"No Match")</f>
        <v>No Match</v>
      </c>
      <c r="F1814" s="2" t="str">
        <f t="shared" si="56"/>
        <v>US</v>
      </c>
      <c r="G1814" s="2" t="str">
        <f t="shared" si="57"/>
        <v>Happy Flower|PASSAIC-FF</v>
      </c>
    </row>
    <row r="1815" spans="1:7" x14ac:dyDescent="0.2">
      <c r="A1815" s="2" t="str" cm="1">
        <f t="array" ref="A1815">INDEX('[1]Brand Family Territory (Enc)'!$A$2:$A$296,INT((ROW()-2)/10)+1)</f>
        <v>Happy Flower</v>
      </c>
      <c r="B1815" s="2" t="str" cm="1">
        <f t="array" ref="B1815">INDEX('Whitelist (Blackout Reverse)'!$B$1:$K$1,MOD(ROW()-2,10)+1)</f>
        <v>ESSEX</v>
      </c>
      <c r="C1815" s="2" t="str">
        <f>VLOOKUP(A1815,'[1]Brand Family Territory (Enc)'!$A$2:$B$296,2,FALSE)</f>
        <v>All Counties</v>
      </c>
      <c r="D1815" s="2">
        <f>IF(COUNTIFS('[1]Brand Family Territories (Enc)'!$B$2:$B$62,C1815,'[1]Brand Family Territories (Enc)'!$C$2:$C$62,B1815)&gt;0,1,IF(AND(LEFT(B1815,6)="MORRIS",COUNTIFS('[1]Brand Family Territories (Enc)'!$B$2:$B$62,C1815,'[1]Brand Family Territories (Enc)'!$C$2:$C$62,"Morri")&gt;0),"Unk",0))</f>
        <v>1</v>
      </c>
      <c r="E1815" s="2" t="str">
        <f>IFERROR(INDEX('Blackout Brand Fam Areas (Enc)'!$D$6:$D$998,MATCH(UPPER(A1815)&amp;"|"&amp;UPPER(B1815),'Blackout Brand Fam Areas (Enc)'!$G$6:$G$998,0)),"No Match")</f>
        <v>No Match</v>
      </c>
      <c r="F1815" s="2" t="str">
        <f t="shared" si="56"/>
        <v>US</v>
      </c>
      <c r="G1815" s="2" t="str">
        <f t="shared" si="57"/>
        <v>Happy Flower|ESSEX</v>
      </c>
    </row>
    <row r="1816" spans="1:7" x14ac:dyDescent="0.2">
      <c r="A1816" s="2" t="str" cm="1">
        <f t="array" ref="A1816">INDEX('[1]Brand Family Territory (Enc)'!$A$2:$A$296,INT((ROW()-2)/10)+1)</f>
        <v>Happy Flower</v>
      </c>
      <c r="B1816" s="2" t="str" cm="1">
        <f t="array" ref="B1816">INDEX('Whitelist (Blackout Reverse)'!$B$1:$K$1,MOD(ROW()-2,10)+1)</f>
        <v>HUDSON</v>
      </c>
      <c r="C1816" s="2" t="str">
        <f>VLOOKUP(A1816,'[1]Brand Family Territory (Enc)'!$A$2:$B$296,2,FALSE)</f>
        <v>All Counties</v>
      </c>
      <c r="D1816" s="2">
        <f>IF(COUNTIFS('[1]Brand Family Territories (Enc)'!$B$2:$B$62,C1816,'[1]Brand Family Territories (Enc)'!$C$2:$C$62,B1816)&gt;0,1,IF(AND(LEFT(B1816,6)="MORRIS",COUNTIFS('[1]Brand Family Territories (Enc)'!$B$2:$B$62,C1816,'[1]Brand Family Territories (Enc)'!$C$2:$C$62,"Morri")&gt;0),"Unk",0))</f>
        <v>1</v>
      </c>
      <c r="E1816" s="2" t="str">
        <f>IFERROR(INDEX('Blackout Brand Fam Areas (Enc)'!$D$6:$D$998,MATCH(UPPER(A1816)&amp;"|"&amp;UPPER(B1816),'Blackout Brand Fam Areas (Enc)'!$G$6:$G$998,0)),"No Match")</f>
        <v>No Match</v>
      </c>
      <c r="F1816" s="2" t="str">
        <f t="shared" si="56"/>
        <v>US</v>
      </c>
      <c r="G1816" s="2" t="str">
        <f t="shared" si="57"/>
        <v>Happy Flower|HUDSON</v>
      </c>
    </row>
    <row r="1817" spans="1:7" x14ac:dyDescent="0.2">
      <c r="A1817" s="2" t="str" cm="1">
        <f t="array" ref="A1817">INDEX('[1]Brand Family Territory (Enc)'!$A$2:$A$296,INT((ROW()-2)/10)+1)</f>
        <v>Happy Flower</v>
      </c>
      <c r="B1817" s="2" t="str" cm="1">
        <f t="array" ref="B1817">INDEX('Whitelist (Blackout Reverse)'!$B$1:$K$1,MOD(ROW()-2,10)+1)</f>
        <v>UNION</v>
      </c>
      <c r="C1817" s="2" t="str">
        <f>VLOOKUP(A1817,'[1]Brand Family Territory (Enc)'!$A$2:$B$296,2,FALSE)</f>
        <v>All Counties</v>
      </c>
      <c r="D1817" s="2">
        <f>IF(COUNTIFS('[1]Brand Family Territories (Enc)'!$B$2:$B$62,C1817,'[1]Brand Family Territories (Enc)'!$C$2:$C$62,B1817)&gt;0,1,IF(AND(LEFT(B1817,6)="MORRIS",COUNTIFS('[1]Brand Family Territories (Enc)'!$B$2:$B$62,C1817,'[1]Brand Family Territories (Enc)'!$C$2:$C$62,"Morri")&gt;0),"Unk",0))</f>
        <v>1</v>
      </c>
      <c r="E1817" s="2" t="str">
        <f>IFERROR(INDEX('Blackout Brand Fam Areas (Enc)'!$D$6:$D$998,MATCH(UPPER(A1817)&amp;"|"&amp;UPPER(B1817),'Blackout Brand Fam Areas (Enc)'!$G$6:$G$998,0)),"No Match")</f>
        <v>No Match</v>
      </c>
      <c r="F1817" s="2" t="str">
        <f t="shared" si="56"/>
        <v>US</v>
      </c>
      <c r="G1817" s="2" t="str">
        <f t="shared" si="57"/>
        <v>Happy Flower|UNION</v>
      </c>
    </row>
    <row r="1818" spans="1:7" x14ac:dyDescent="0.2">
      <c r="A1818" s="2" t="str" cm="1">
        <f t="array" ref="A1818">INDEX('[1]Brand Family Territory (Enc)'!$A$2:$A$296,INT((ROW()-2)/10)+1)</f>
        <v>Happy Flower</v>
      </c>
      <c r="B1818" s="2" t="str" cm="1">
        <f t="array" ref="B1818">INDEX('Whitelist (Blackout Reverse)'!$B$1:$K$1,MOD(ROW()-2,10)+1)</f>
        <v>SUSSEX</v>
      </c>
      <c r="C1818" s="2" t="str">
        <f>VLOOKUP(A1818,'[1]Brand Family Territory (Enc)'!$A$2:$B$296,2,FALSE)</f>
        <v>All Counties</v>
      </c>
      <c r="D1818" s="2">
        <f>IF(COUNTIFS('[1]Brand Family Territories (Enc)'!$B$2:$B$62,C1818,'[1]Brand Family Territories (Enc)'!$C$2:$C$62,B1818)&gt;0,1,IF(AND(LEFT(B1818,6)="MORRIS",COUNTIFS('[1]Brand Family Territories (Enc)'!$B$2:$B$62,C1818,'[1]Brand Family Territories (Enc)'!$C$2:$C$62,"Morri")&gt;0),"Unk",0))</f>
        <v>1</v>
      </c>
      <c r="E1818" s="2" t="str">
        <f>IFERROR(INDEX('Blackout Brand Fam Areas (Enc)'!$D$6:$D$998,MATCH(UPPER(A1818)&amp;"|"&amp;UPPER(B1818),'Blackout Brand Fam Areas (Enc)'!$G$6:$G$998,0)),"No Match")</f>
        <v>No Match</v>
      </c>
      <c r="F1818" s="2" t="str">
        <f t="shared" si="56"/>
        <v>US</v>
      </c>
      <c r="G1818" s="2" t="str">
        <f t="shared" si="57"/>
        <v>Happy Flower|SUSSEX</v>
      </c>
    </row>
    <row r="1819" spans="1:7" x14ac:dyDescent="0.2">
      <c r="A1819" s="2" t="str" cm="1">
        <f t="array" ref="A1819">INDEX('[1]Brand Family Territory (Enc)'!$A$2:$A$296,INT((ROW()-2)/10)+1)</f>
        <v>Happy Flower</v>
      </c>
      <c r="B1819" s="2" t="str" cm="1">
        <f t="array" ref="B1819">INDEX('Whitelist (Blackout Reverse)'!$B$1:$K$1,MOD(ROW()-2,10)+1)</f>
        <v>MORRIS 1</v>
      </c>
      <c r="C1819" s="2" t="str">
        <f>VLOOKUP(A1819,'[1]Brand Family Territory (Enc)'!$A$2:$B$296,2,FALSE)</f>
        <v>All Counties</v>
      </c>
      <c r="D1819" s="2">
        <f>IF(COUNTIFS('[1]Brand Family Territories (Enc)'!$B$2:$B$62,C1819,'[1]Brand Family Territories (Enc)'!$C$2:$C$62,B1819)&gt;0,1,IF(AND(LEFT(B1819,6)="MORRIS",COUNTIFS('[1]Brand Family Territories (Enc)'!$B$2:$B$62,C1819,'[1]Brand Family Territories (Enc)'!$C$2:$C$62,"Morri")&gt;0),"Unk",0))</f>
        <v>1</v>
      </c>
      <c r="E1819" s="2" t="str">
        <f>IFERROR(INDEX('Blackout Brand Fam Areas (Enc)'!$D$6:$D$998,MATCH(UPPER(A1819)&amp;"|"&amp;UPPER(B1819),'Blackout Brand Fam Areas (Enc)'!$G$6:$G$998,0)),"No Match")</f>
        <v>No Match</v>
      </c>
      <c r="F1819" s="2" t="str">
        <f t="shared" si="56"/>
        <v>US</v>
      </c>
      <c r="G1819" s="2" t="str">
        <f t="shared" si="57"/>
        <v>Happy Flower|MORRIS 1</v>
      </c>
    </row>
    <row r="1820" spans="1:7" x14ac:dyDescent="0.2">
      <c r="A1820" s="2" t="str" cm="1">
        <f t="array" ref="A1820">INDEX('[1]Brand Family Territory (Enc)'!$A$2:$A$296,INT((ROW()-2)/10)+1)</f>
        <v>Happy Flower</v>
      </c>
      <c r="B1820" s="2" t="str" cm="1">
        <f t="array" ref="B1820">INDEX('Whitelist (Blackout Reverse)'!$B$1:$K$1,MOD(ROW()-2,10)+1)</f>
        <v>MORRIS 2</v>
      </c>
      <c r="C1820" s="2" t="str">
        <f>VLOOKUP(A1820,'[1]Brand Family Territory (Enc)'!$A$2:$B$296,2,FALSE)</f>
        <v>All Counties</v>
      </c>
      <c r="D1820" s="2">
        <f>IF(COUNTIFS('[1]Brand Family Territories (Enc)'!$B$2:$B$62,C1820,'[1]Brand Family Territories (Enc)'!$C$2:$C$62,B1820)&gt;0,1,IF(AND(LEFT(B1820,6)="MORRIS",COUNTIFS('[1]Brand Family Territories (Enc)'!$B$2:$B$62,C1820,'[1]Brand Family Territories (Enc)'!$C$2:$C$62,"Morri")&gt;0),"Unk",0))</f>
        <v>1</v>
      </c>
      <c r="E1820" s="2" t="str">
        <f>IFERROR(INDEX('Blackout Brand Fam Areas (Enc)'!$D$6:$D$998,MATCH(UPPER(A1820)&amp;"|"&amp;UPPER(B1820),'Blackout Brand Fam Areas (Enc)'!$G$6:$G$998,0)),"No Match")</f>
        <v>No Match</v>
      </c>
      <c r="F1820" s="2" t="str">
        <f t="shared" si="56"/>
        <v>US</v>
      </c>
      <c r="G1820" s="2" t="str">
        <f t="shared" si="57"/>
        <v>Happy Flower|MORRIS 2</v>
      </c>
    </row>
    <row r="1821" spans="1:7" x14ac:dyDescent="0.2">
      <c r="A1821" s="2" t="str" cm="1">
        <f t="array" ref="A1821">INDEX('[1]Brand Family Territory (Enc)'!$A$2:$A$296,INT((ROW()-2)/10)+1)</f>
        <v>Happy Flower</v>
      </c>
      <c r="B1821" s="2" t="str" cm="1">
        <f t="array" ref="B1821">INDEX('Whitelist (Blackout Reverse)'!$B$1:$K$1,MOD(ROW()-2,10)+1)</f>
        <v>MORRIS 3</v>
      </c>
      <c r="C1821" s="2" t="str">
        <f>VLOOKUP(A1821,'[1]Brand Family Territory (Enc)'!$A$2:$B$296,2,FALSE)</f>
        <v>All Counties</v>
      </c>
      <c r="D1821" s="2">
        <f>IF(COUNTIFS('[1]Brand Family Territories (Enc)'!$B$2:$B$62,C1821,'[1]Brand Family Territories (Enc)'!$C$2:$C$62,B1821)&gt;0,1,IF(AND(LEFT(B1821,6)="MORRIS",COUNTIFS('[1]Brand Family Territories (Enc)'!$B$2:$B$62,C1821,'[1]Brand Family Territories (Enc)'!$C$2:$C$62,"Morri")&gt;0),"Unk",0))</f>
        <v>1</v>
      </c>
      <c r="E1821" s="2" t="str">
        <f>IFERROR(INDEX('Blackout Brand Fam Areas (Enc)'!$D$6:$D$998,MATCH(UPPER(A1821)&amp;"|"&amp;UPPER(B1821),'Blackout Brand Fam Areas (Enc)'!$G$6:$G$998,0)),"No Match")</f>
        <v>No Match</v>
      </c>
      <c r="F1821" s="2" t="str">
        <f t="shared" si="56"/>
        <v>US</v>
      </c>
      <c r="G1821" s="2" t="str">
        <f t="shared" si="57"/>
        <v>Happy Flower|MORRIS 3</v>
      </c>
    </row>
    <row r="1822" spans="1:7" x14ac:dyDescent="0.2">
      <c r="A1822" s="2" t="str" cm="1">
        <f t="array" ref="A1822">INDEX('[1]Brand Family Territory (Enc)'!$A$2:$A$296,INT((ROW()-2)/10)+1)</f>
        <v>Hectare's</v>
      </c>
      <c r="B1822" s="2" t="str" cm="1">
        <f t="array" ref="B1822">INDEX('Whitelist (Blackout Reverse)'!$B$1:$K$1,MOD(ROW()-2,10)+1)</f>
        <v>BERGEN</v>
      </c>
      <c r="C1822" s="2" t="str">
        <f>VLOOKUP(A1822,'[1]Brand Family Territory (Enc)'!$A$2:$B$296,2,FALSE)</f>
        <v>All Counties</v>
      </c>
      <c r="D1822" s="2">
        <f>IF(COUNTIFS('[1]Brand Family Territories (Enc)'!$B$2:$B$62,C1822,'[1]Brand Family Territories (Enc)'!$C$2:$C$62,B1822)&gt;0,1,IF(AND(LEFT(B1822,6)="MORRIS",COUNTIFS('[1]Brand Family Territories (Enc)'!$B$2:$B$62,C1822,'[1]Brand Family Territories (Enc)'!$C$2:$C$62,"Morri")&gt;0),"Unk",0))</f>
        <v>1</v>
      </c>
      <c r="E1822" s="2" t="str">
        <f>IFERROR(INDEX('Blackout Brand Fam Areas (Enc)'!$D$6:$D$998,MATCH(UPPER(A1822)&amp;"|"&amp;UPPER(B1822),'Blackout Brand Fam Areas (Enc)'!$G$6:$G$998,0)),"No Match")</f>
        <v>No Match</v>
      </c>
      <c r="F1822" s="2" t="str">
        <f t="shared" si="56"/>
        <v>US</v>
      </c>
      <c r="G1822" s="2" t="str">
        <f t="shared" si="57"/>
        <v>Hectare's|BERGEN</v>
      </c>
    </row>
    <row r="1823" spans="1:7" x14ac:dyDescent="0.2">
      <c r="A1823" s="2" t="str" cm="1">
        <f t="array" ref="A1823">INDEX('[1]Brand Family Territory (Enc)'!$A$2:$A$296,INT((ROW()-2)/10)+1)</f>
        <v>Hectare's</v>
      </c>
      <c r="B1823" s="2" t="str" cm="1">
        <f t="array" ref="B1823">INDEX('Whitelist (Blackout Reverse)'!$B$1:$K$1,MOD(ROW()-2,10)+1)</f>
        <v>PASSAIC</v>
      </c>
      <c r="C1823" s="2" t="str">
        <f>VLOOKUP(A1823,'[1]Brand Family Territory (Enc)'!$A$2:$B$296,2,FALSE)</f>
        <v>All Counties</v>
      </c>
      <c r="D1823" s="2">
        <f>IF(COUNTIFS('[1]Brand Family Territories (Enc)'!$B$2:$B$62,C1823,'[1]Brand Family Territories (Enc)'!$C$2:$C$62,B1823)&gt;0,1,IF(AND(LEFT(B1823,6)="MORRIS",COUNTIFS('[1]Brand Family Territories (Enc)'!$B$2:$B$62,C1823,'[1]Brand Family Territories (Enc)'!$C$2:$C$62,"Morri")&gt;0),"Unk",0))</f>
        <v>1</v>
      </c>
      <c r="E1823" s="2" t="str">
        <f>IFERROR(INDEX('Blackout Brand Fam Areas (Enc)'!$D$6:$D$998,MATCH(UPPER(A1823)&amp;"|"&amp;UPPER(B1823),'Blackout Brand Fam Areas (Enc)'!$G$6:$G$998,0)),"No Match")</f>
        <v>No Match</v>
      </c>
      <c r="F1823" s="2" t="str">
        <f t="shared" si="56"/>
        <v>US</v>
      </c>
      <c r="G1823" s="2" t="str">
        <f t="shared" si="57"/>
        <v>Hectare's|PASSAIC</v>
      </c>
    </row>
    <row r="1824" spans="1:7" x14ac:dyDescent="0.2">
      <c r="A1824" s="2" t="str" cm="1">
        <f t="array" ref="A1824">INDEX('[1]Brand Family Territory (Enc)'!$A$2:$A$296,INT((ROW()-2)/10)+1)</f>
        <v>Hectare's</v>
      </c>
      <c r="B1824" s="2" t="str" cm="1">
        <f t="array" ref="B1824">INDEX('Whitelist (Blackout Reverse)'!$B$1:$K$1,MOD(ROW()-2,10)+1)</f>
        <v>PASSAIC-FF</v>
      </c>
      <c r="C1824" s="2" t="str">
        <f>VLOOKUP(A1824,'[1]Brand Family Territory (Enc)'!$A$2:$B$296,2,FALSE)</f>
        <v>All Counties</v>
      </c>
      <c r="D1824" s="2">
        <f>IF(COUNTIFS('[1]Brand Family Territories (Enc)'!$B$2:$B$62,C1824,'[1]Brand Family Territories (Enc)'!$C$2:$C$62,B1824)&gt;0,1,IF(AND(LEFT(B1824,6)="MORRIS",COUNTIFS('[1]Brand Family Territories (Enc)'!$B$2:$B$62,C1824,'[1]Brand Family Territories (Enc)'!$C$2:$C$62,"Morri")&gt;0),"Unk",0))</f>
        <v>1</v>
      </c>
      <c r="E1824" s="2" t="str">
        <f>IFERROR(INDEX('Blackout Brand Fam Areas (Enc)'!$D$6:$D$998,MATCH(UPPER(A1824)&amp;"|"&amp;UPPER(B1824),'Blackout Brand Fam Areas (Enc)'!$G$6:$G$998,0)),"No Match")</f>
        <v>No Match</v>
      </c>
      <c r="F1824" s="2" t="str">
        <f t="shared" si="56"/>
        <v>US</v>
      </c>
      <c r="G1824" s="2" t="str">
        <f t="shared" si="57"/>
        <v>Hectare's|PASSAIC-FF</v>
      </c>
    </row>
    <row r="1825" spans="1:7" x14ac:dyDescent="0.2">
      <c r="A1825" s="2" t="str" cm="1">
        <f t="array" ref="A1825">INDEX('[1]Brand Family Territory (Enc)'!$A$2:$A$296,INT((ROW()-2)/10)+1)</f>
        <v>Hectare's</v>
      </c>
      <c r="B1825" s="2" t="str" cm="1">
        <f t="array" ref="B1825">INDEX('Whitelist (Blackout Reverse)'!$B$1:$K$1,MOD(ROW()-2,10)+1)</f>
        <v>ESSEX</v>
      </c>
      <c r="C1825" s="2" t="str">
        <f>VLOOKUP(A1825,'[1]Brand Family Territory (Enc)'!$A$2:$B$296,2,FALSE)</f>
        <v>All Counties</v>
      </c>
      <c r="D1825" s="2">
        <f>IF(COUNTIFS('[1]Brand Family Territories (Enc)'!$B$2:$B$62,C1825,'[1]Brand Family Territories (Enc)'!$C$2:$C$62,B1825)&gt;0,1,IF(AND(LEFT(B1825,6)="MORRIS",COUNTIFS('[1]Brand Family Territories (Enc)'!$B$2:$B$62,C1825,'[1]Brand Family Territories (Enc)'!$C$2:$C$62,"Morri")&gt;0),"Unk",0))</f>
        <v>1</v>
      </c>
      <c r="E1825" s="2" t="str">
        <f>IFERROR(INDEX('Blackout Brand Fam Areas (Enc)'!$D$6:$D$998,MATCH(UPPER(A1825)&amp;"|"&amp;UPPER(B1825),'Blackout Brand Fam Areas (Enc)'!$G$6:$G$998,0)),"No Match")</f>
        <v>No Match</v>
      </c>
      <c r="F1825" s="2" t="str">
        <f t="shared" si="56"/>
        <v>US</v>
      </c>
      <c r="G1825" s="2" t="str">
        <f t="shared" si="57"/>
        <v>Hectare's|ESSEX</v>
      </c>
    </row>
    <row r="1826" spans="1:7" x14ac:dyDescent="0.2">
      <c r="A1826" s="2" t="str" cm="1">
        <f t="array" ref="A1826">INDEX('[1]Brand Family Territory (Enc)'!$A$2:$A$296,INT((ROW()-2)/10)+1)</f>
        <v>Hectare's</v>
      </c>
      <c r="B1826" s="2" t="str" cm="1">
        <f t="array" ref="B1826">INDEX('Whitelist (Blackout Reverse)'!$B$1:$K$1,MOD(ROW()-2,10)+1)</f>
        <v>HUDSON</v>
      </c>
      <c r="C1826" s="2" t="str">
        <f>VLOOKUP(A1826,'[1]Brand Family Territory (Enc)'!$A$2:$B$296,2,FALSE)</f>
        <v>All Counties</v>
      </c>
      <c r="D1826" s="2">
        <f>IF(COUNTIFS('[1]Brand Family Territories (Enc)'!$B$2:$B$62,C1826,'[1]Brand Family Territories (Enc)'!$C$2:$C$62,B1826)&gt;0,1,IF(AND(LEFT(B1826,6)="MORRIS",COUNTIFS('[1]Brand Family Territories (Enc)'!$B$2:$B$62,C1826,'[1]Brand Family Territories (Enc)'!$C$2:$C$62,"Morri")&gt;0),"Unk",0))</f>
        <v>1</v>
      </c>
      <c r="E1826" s="2" t="str">
        <f>IFERROR(INDEX('Blackout Brand Fam Areas (Enc)'!$D$6:$D$998,MATCH(UPPER(A1826)&amp;"|"&amp;UPPER(B1826),'Blackout Brand Fam Areas (Enc)'!$G$6:$G$998,0)),"No Match")</f>
        <v>No Match</v>
      </c>
      <c r="F1826" s="2" t="str">
        <f t="shared" si="56"/>
        <v>US</v>
      </c>
      <c r="G1826" s="2" t="str">
        <f t="shared" si="57"/>
        <v>Hectare's|HUDSON</v>
      </c>
    </row>
    <row r="1827" spans="1:7" x14ac:dyDescent="0.2">
      <c r="A1827" s="2" t="str" cm="1">
        <f t="array" ref="A1827">INDEX('[1]Brand Family Territory (Enc)'!$A$2:$A$296,INT((ROW()-2)/10)+1)</f>
        <v>Hectare's</v>
      </c>
      <c r="B1827" s="2" t="str" cm="1">
        <f t="array" ref="B1827">INDEX('Whitelist (Blackout Reverse)'!$B$1:$K$1,MOD(ROW()-2,10)+1)</f>
        <v>UNION</v>
      </c>
      <c r="C1827" s="2" t="str">
        <f>VLOOKUP(A1827,'[1]Brand Family Territory (Enc)'!$A$2:$B$296,2,FALSE)</f>
        <v>All Counties</v>
      </c>
      <c r="D1827" s="2">
        <f>IF(COUNTIFS('[1]Brand Family Territories (Enc)'!$B$2:$B$62,C1827,'[1]Brand Family Territories (Enc)'!$C$2:$C$62,B1827)&gt;0,1,IF(AND(LEFT(B1827,6)="MORRIS",COUNTIFS('[1]Brand Family Territories (Enc)'!$B$2:$B$62,C1827,'[1]Brand Family Territories (Enc)'!$C$2:$C$62,"Morri")&gt;0),"Unk",0))</f>
        <v>1</v>
      </c>
      <c r="E1827" s="2" t="str">
        <f>IFERROR(INDEX('Blackout Brand Fam Areas (Enc)'!$D$6:$D$998,MATCH(UPPER(A1827)&amp;"|"&amp;UPPER(B1827),'Blackout Brand Fam Areas (Enc)'!$G$6:$G$998,0)),"No Match")</f>
        <v>No Match</v>
      </c>
      <c r="F1827" s="2" t="str">
        <f t="shared" si="56"/>
        <v>US</v>
      </c>
      <c r="G1827" s="2" t="str">
        <f t="shared" si="57"/>
        <v>Hectare's|UNION</v>
      </c>
    </row>
    <row r="1828" spans="1:7" x14ac:dyDescent="0.2">
      <c r="A1828" s="2" t="str" cm="1">
        <f t="array" ref="A1828">INDEX('[1]Brand Family Territory (Enc)'!$A$2:$A$296,INT((ROW()-2)/10)+1)</f>
        <v>Hectare's</v>
      </c>
      <c r="B1828" s="2" t="str" cm="1">
        <f t="array" ref="B1828">INDEX('Whitelist (Blackout Reverse)'!$B$1:$K$1,MOD(ROW()-2,10)+1)</f>
        <v>SUSSEX</v>
      </c>
      <c r="C1828" s="2" t="str">
        <f>VLOOKUP(A1828,'[1]Brand Family Territory (Enc)'!$A$2:$B$296,2,FALSE)</f>
        <v>All Counties</v>
      </c>
      <c r="D1828" s="2">
        <f>IF(COUNTIFS('[1]Brand Family Territories (Enc)'!$B$2:$B$62,C1828,'[1]Brand Family Territories (Enc)'!$C$2:$C$62,B1828)&gt;0,1,IF(AND(LEFT(B1828,6)="MORRIS",COUNTIFS('[1]Brand Family Territories (Enc)'!$B$2:$B$62,C1828,'[1]Brand Family Territories (Enc)'!$C$2:$C$62,"Morri")&gt;0),"Unk",0))</f>
        <v>1</v>
      </c>
      <c r="E1828" s="2" t="str">
        <f>IFERROR(INDEX('Blackout Brand Fam Areas (Enc)'!$D$6:$D$998,MATCH(UPPER(A1828)&amp;"|"&amp;UPPER(B1828),'Blackout Brand Fam Areas (Enc)'!$G$6:$G$998,0)),"No Match")</f>
        <v>No Match</v>
      </c>
      <c r="F1828" s="2" t="str">
        <f t="shared" si="56"/>
        <v>US</v>
      </c>
      <c r="G1828" s="2" t="str">
        <f t="shared" si="57"/>
        <v>Hectare's|SUSSEX</v>
      </c>
    </row>
    <row r="1829" spans="1:7" x14ac:dyDescent="0.2">
      <c r="A1829" s="2" t="str" cm="1">
        <f t="array" ref="A1829">INDEX('[1]Brand Family Territory (Enc)'!$A$2:$A$296,INT((ROW()-2)/10)+1)</f>
        <v>Hectare's</v>
      </c>
      <c r="B1829" s="2" t="str" cm="1">
        <f t="array" ref="B1829">INDEX('Whitelist (Blackout Reverse)'!$B$1:$K$1,MOD(ROW()-2,10)+1)</f>
        <v>MORRIS 1</v>
      </c>
      <c r="C1829" s="2" t="str">
        <f>VLOOKUP(A1829,'[1]Brand Family Territory (Enc)'!$A$2:$B$296,2,FALSE)</f>
        <v>All Counties</v>
      </c>
      <c r="D1829" s="2">
        <f>IF(COUNTIFS('[1]Brand Family Territories (Enc)'!$B$2:$B$62,C1829,'[1]Brand Family Territories (Enc)'!$C$2:$C$62,B1829)&gt;0,1,IF(AND(LEFT(B1829,6)="MORRIS",COUNTIFS('[1]Brand Family Territories (Enc)'!$B$2:$B$62,C1829,'[1]Brand Family Territories (Enc)'!$C$2:$C$62,"Morri")&gt;0),"Unk",0))</f>
        <v>1</v>
      </c>
      <c r="E1829" s="2" t="str">
        <f>IFERROR(INDEX('Blackout Brand Fam Areas (Enc)'!$D$6:$D$998,MATCH(UPPER(A1829)&amp;"|"&amp;UPPER(B1829),'Blackout Brand Fam Areas (Enc)'!$G$6:$G$998,0)),"No Match")</f>
        <v>No Match</v>
      </c>
      <c r="F1829" s="2" t="str">
        <f t="shared" si="56"/>
        <v>US</v>
      </c>
      <c r="G1829" s="2" t="str">
        <f t="shared" si="57"/>
        <v>Hectare's|MORRIS 1</v>
      </c>
    </row>
    <row r="1830" spans="1:7" x14ac:dyDescent="0.2">
      <c r="A1830" s="2" t="str" cm="1">
        <f t="array" ref="A1830">INDEX('[1]Brand Family Territory (Enc)'!$A$2:$A$296,INT((ROW()-2)/10)+1)</f>
        <v>Hectare's</v>
      </c>
      <c r="B1830" s="2" t="str" cm="1">
        <f t="array" ref="B1830">INDEX('Whitelist (Blackout Reverse)'!$B$1:$K$1,MOD(ROW()-2,10)+1)</f>
        <v>MORRIS 2</v>
      </c>
      <c r="C1830" s="2" t="str">
        <f>VLOOKUP(A1830,'[1]Brand Family Territory (Enc)'!$A$2:$B$296,2,FALSE)</f>
        <v>All Counties</v>
      </c>
      <c r="D1830" s="2">
        <f>IF(COUNTIFS('[1]Brand Family Territories (Enc)'!$B$2:$B$62,C1830,'[1]Brand Family Territories (Enc)'!$C$2:$C$62,B1830)&gt;0,1,IF(AND(LEFT(B1830,6)="MORRIS",COUNTIFS('[1]Brand Family Territories (Enc)'!$B$2:$B$62,C1830,'[1]Brand Family Territories (Enc)'!$C$2:$C$62,"Morri")&gt;0),"Unk",0))</f>
        <v>1</v>
      </c>
      <c r="E1830" s="2" t="str">
        <f>IFERROR(INDEX('Blackout Brand Fam Areas (Enc)'!$D$6:$D$998,MATCH(UPPER(A1830)&amp;"|"&amp;UPPER(B1830),'Blackout Brand Fam Areas (Enc)'!$G$6:$G$998,0)),"No Match")</f>
        <v>No Match</v>
      </c>
      <c r="F1830" s="2" t="str">
        <f t="shared" si="56"/>
        <v>US</v>
      </c>
      <c r="G1830" s="2" t="str">
        <f t="shared" si="57"/>
        <v>Hectare's|MORRIS 2</v>
      </c>
    </row>
    <row r="1831" spans="1:7" x14ac:dyDescent="0.2">
      <c r="A1831" s="2" t="str" cm="1">
        <f t="array" ref="A1831">INDEX('[1]Brand Family Territory (Enc)'!$A$2:$A$296,INT((ROW()-2)/10)+1)</f>
        <v>Hectare's</v>
      </c>
      <c r="B1831" s="2" t="str" cm="1">
        <f t="array" ref="B1831">INDEX('Whitelist (Blackout Reverse)'!$B$1:$K$1,MOD(ROW()-2,10)+1)</f>
        <v>MORRIS 3</v>
      </c>
      <c r="C1831" s="2" t="str">
        <f>VLOOKUP(A1831,'[1]Brand Family Territory (Enc)'!$A$2:$B$296,2,FALSE)</f>
        <v>All Counties</v>
      </c>
      <c r="D1831" s="2">
        <f>IF(COUNTIFS('[1]Brand Family Territories (Enc)'!$B$2:$B$62,C1831,'[1]Brand Family Territories (Enc)'!$C$2:$C$62,B1831)&gt;0,1,IF(AND(LEFT(B1831,6)="MORRIS",COUNTIFS('[1]Brand Family Territories (Enc)'!$B$2:$B$62,C1831,'[1]Brand Family Territories (Enc)'!$C$2:$C$62,"Morri")&gt;0),"Unk",0))</f>
        <v>1</v>
      </c>
      <c r="E1831" s="2" t="str">
        <f>IFERROR(INDEX('Blackout Brand Fam Areas (Enc)'!$D$6:$D$998,MATCH(UPPER(A1831)&amp;"|"&amp;UPPER(B1831),'Blackout Brand Fam Areas (Enc)'!$G$6:$G$998,0)),"No Match")</f>
        <v>No Match</v>
      </c>
      <c r="F1831" s="2" t="str">
        <f t="shared" si="56"/>
        <v>US</v>
      </c>
      <c r="G1831" s="2" t="str">
        <f t="shared" si="57"/>
        <v>Hectare's|MORRIS 3</v>
      </c>
    </row>
    <row r="1832" spans="1:7" x14ac:dyDescent="0.2">
      <c r="A1832" s="2" t="str" cm="1">
        <f t="array" ref="A1832">INDEX('[1]Brand Family Territory (Enc)'!$A$2:$A$296,INT((ROW()-2)/10)+1)</f>
        <v>Herb &amp; Bloom</v>
      </c>
      <c r="B1832" s="2" t="str" cm="1">
        <f t="array" ref="B1832">INDEX('Whitelist (Blackout Reverse)'!$B$1:$K$1,MOD(ROW()-2,10)+1)</f>
        <v>BERGEN</v>
      </c>
      <c r="C1832" s="2" t="str">
        <f>VLOOKUP(A1832,'[1]Brand Family Territory (Enc)'!$A$2:$B$296,2,FALSE)</f>
        <v>All Counties</v>
      </c>
      <c r="D1832" s="2">
        <f>IF(COUNTIFS('[1]Brand Family Territories (Enc)'!$B$2:$B$62,C1832,'[1]Brand Family Territories (Enc)'!$C$2:$C$62,B1832)&gt;0,1,IF(AND(LEFT(B1832,6)="MORRIS",COUNTIFS('[1]Brand Family Territories (Enc)'!$B$2:$B$62,C1832,'[1]Brand Family Territories (Enc)'!$C$2:$C$62,"Morri")&gt;0),"Unk",0))</f>
        <v>1</v>
      </c>
      <c r="E1832" s="2" t="str">
        <f>IFERROR(INDEX('Blackout Brand Fam Areas (Enc)'!$D$6:$D$998,MATCH(UPPER(A1832)&amp;"|"&amp;UPPER(B1832),'Blackout Brand Fam Areas (Enc)'!$G$6:$G$998,0)),"No Match")</f>
        <v>No Match</v>
      </c>
      <c r="F1832" s="2" t="str">
        <f t="shared" si="56"/>
        <v>US</v>
      </c>
      <c r="G1832" s="2" t="str">
        <f t="shared" si="57"/>
        <v>Herb &amp; Bloom|BERGEN</v>
      </c>
    </row>
    <row r="1833" spans="1:7" x14ac:dyDescent="0.2">
      <c r="A1833" s="2" t="str" cm="1">
        <f t="array" ref="A1833">INDEX('[1]Brand Family Territory (Enc)'!$A$2:$A$296,INT((ROW()-2)/10)+1)</f>
        <v>Herb &amp; Bloom</v>
      </c>
      <c r="B1833" s="2" t="str" cm="1">
        <f t="array" ref="B1833">INDEX('Whitelist (Blackout Reverse)'!$B$1:$K$1,MOD(ROW()-2,10)+1)</f>
        <v>PASSAIC</v>
      </c>
      <c r="C1833" s="2" t="str">
        <f>VLOOKUP(A1833,'[1]Brand Family Territory (Enc)'!$A$2:$B$296,2,FALSE)</f>
        <v>All Counties</v>
      </c>
      <c r="D1833" s="2">
        <f>IF(COUNTIFS('[1]Brand Family Territories (Enc)'!$B$2:$B$62,C1833,'[1]Brand Family Territories (Enc)'!$C$2:$C$62,B1833)&gt;0,1,IF(AND(LEFT(B1833,6)="MORRIS",COUNTIFS('[1]Brand Family Territories (Enc)'!$B$2:$B$62,C1833,'[1]Brand Family Territories (Enc)'!$C$2:$C$62,"Morri")&gt;0),"Unk",0))</f>
        <v>1</v>
      </c>
      <c r="E1833" s="2" t="str">
        <f>IFERROR(INDEX('Blackout Brand Fam Areas (Enc)'!$D$6:$D$998,MATCH(UPPER(A1833)&amp;"|"&amp;UPPER(B1833),'Blackout Brand Fam Areas (Enc)'!$G$6:$G$998,0)),"No Match")</f>
        <v>No Match</v>
      </c>
      <c r="F1833" s="2" t="str">
        <f t="shared" si="56"/>
        <v>US</v>
      </c>
      <c r="G1833" s="2" t="str">
        <f t="shared" si="57"/>
        <v>Herb &amp; Bloom|PASSAIC</v>
      </c>
    </row>
    <row r="1834" spans="1:7" x14ac:dyDescent="0.2">
      <c r="A1834" s="2" t="str" cm="1">
        <f t="array" ref="A1834">INDEX('[1]Brand Family Territory (Enc)'!$A$2:$A$296,INT((ROW()-2)/10)+1)</f>
        <v>Herb &amp; Bloom</v>
      </c>
      <c r="B1834" s="2" t="str" cm="1">
        <f t="array" ref="B1834">INDEX('Whitelist (Blackout Reverse)'!$B$1:$K$1,MOD(ROW()-2,10)+1)</f>
        <v>PASSAIC-FF</v>
      </c>
      <c r="C1834" s="2" t="str">
        <f>VLOOKUP(A1834,'[1]Brand Family Territory (Enc)'!$A$2:$B$296,2,FALSE)</f>
        <v>All Counties</v>
      </c>
      <c r="D1834" s="2">
        <f>IF(COUNTIFS('[1]Brand Family Territories (Enc)'!$B$2:$B$62,C1834,'[1]Brand Family Territories (Enc)'!$C$2:$C$62,B1834)&gt;0,1,IF(AND(LEFT(B1834,6)="MORRIS",COUNTIFS('[1]Brand Family Territories (Enc)'!$B$2:$B$62,C1834,'[1]Brand Family Territories (Enc)'!$C$2:$C$62,"Morri")&gt;0),"Unk",0))</f>
        <v>1</v>
      </c>
      <c r="E1834" s="2" t="str">
        <f>IFERROR(INDEX('Blackout Brand Fam Areas (Enc)'!$D$6:$D$998,MATCH(UPPER(A1834)&amp;"|"&amp;UPPER(B1834),'Blackout Brand Fam Areas (Enc)'!$G$6:$G$998,0)),"No Match")</f>
        <v>No Match</v>
      </c>
      <c r="F1834" s="2" t="str">
        <f t="shared" si="56"/>
        <v>US</v>
      </c>
      <c r="G1834" s="2" t="str">
        <f t="shared" si="57"/>
        <v>Herb &amp; Bloom|PASSAIC-FF</v>
      </c>
    </row>
    <row r="1835" spans="1:7" x14ac:dyDescent="0.2">
      <c r="A1835" s="2" t="str" cm="1">
        <f t="array" ref="A1835">INDEX('[1]Brand Family Territory (Enc)'!$A$2:$A$296,INT((ROW()-2)/10)+1)</f>
        <v>Herb &amp; Bloom</v>
      </c>
      <c r="B1835" s="2" t="str" cm="1">
        <f t="array" ref="B1835">INDEX('Whitelist (Blackout Reverse)'!$B$1:$K$1,MOD(ROW()-2,10)+1)</f>
        <v>ESSEX</v>
      </c>
      <c r="C1835" s="2" t="str">
        <f>VLOOKUP(A1835,'[1]Brand Family Territory (Enc)'!$A$2:$B$296,2,FALSE)</f>
        <v>All Counties</v>
      </c>
      <c r="D1835" s="2">
        <f>IF(COUNTIFS('[1]Brand Family Territories (Enc)'!$B$2:$B$62,C1835,'[1]Brand Family Territories (Enc)'!$C$2:$C$62,B1835)&gt;0,1,IF(AND(LEFT(B1835,6)="MORRIS",COUNTIFS('[1]Brand Family Territories (Enc)'!$B$2:$B$62,C1835,'[1]Brand Family Territories (Enc)'!$C$2:$C$62,"Morri")&gt;0),"Unk",0))</f>
        <v>1</v>
      </c>
      <c r="E1835" s="2" t="str">
        <f>IFERROR(INDEX('Blackout Brand Fam Areas (Enc)'!$D$6:$D$998,MATCH(UPPER(A1835)&amp;"|"&amp;UPPER(B1835),'Blackout Brand Fam Areas (Enc)'!$G$6:$G$998,0)),"No Match")</f>
        <v>No Match</v>
      </c>
      <c r="F1835" s="2" t="str">
        <f t="shared" si="56"/>
        <v>US</v>
      </c>
      <c r="G1835" s="2" t="str">
        <f t="shared" si="57"/>
        <v>Herb &amp; Bloom|ESSEX</v>
      </c>
    </row>
    <row r="1836" spans="1:7" x14ac:dyDescent="0.2">
      <c r="A1836" s="2" t="str" cm="1">
        <f t="array" ref="A1836">INDEX('[1]Brand Family Territory (Enc)'!$A$2:$A$296,INT((ROW()-2)/10)+1)</f>
        <v>Herb &amp; Bloom</v>
      </c>
      <c r="B1836" s="2" t="str" cm="1">
        <f t="array" ref="B1836">INDEX('Whitelist (Blackout Reverse)'!$B$1:$K$1,MOD(ROW()-2,10)+1)</f>
        <v>HUDSON</v>
      </c>
      <c r="C1836" s="2" t="str">
        <f>VLOOKUP(A1836,'[1]Brand Family Territory (Enc)'!$A$2:$B$296,2,FALSE)</f>
        <v>All Counties</v>
      </c>
      <c r="D1836" s="2">
        <f>IF(COUNTIFS('[1]Brand Family Territories (Enc)'!$B$2:$B$62,C1836,'[1]Brand Family Territories (Enc)'!$C$2:$C$62,B1836)&gt;0,1,IF(AND(LEFT(B1836,6)="MORRIS",COUNTIFS('[1]Brand Family Territories (Enc)'!$B$2:$B$62,C1836,'[1]Brand Family Territories (Enc)'!$C$2:$C$62,"Morri")&gt;0),"Unk",0))</f>
        <v>1</v>
      </c>
      <c r="E1836" s="2" t="str">
        <f>IFERROR(INDEX('Blackout Brand Fam Areas (Enc)'!$D$6:$D$998,MATCH(UPPER(A1836)&amp;"|"&amp;UPPER(B1836),'Blackout Brand Fam Areas (Enc)'!$G$6:$G$998,0)),"No Match")</f>
        <v>No Match</v>
      </c>
      <c r="F1836" s="2" t="str">
        <f t="shared" si="56"/>
        <v>US</v>
      </c>
      <c r="G1836" s="2" t="str">
        <f t="shared" si="57"/>
        <v>Herb &amp; Bloom|HUDSON</v>
      </c>
    </row>
    <row r="1837" spans="1:7" x14ac:dyDescent="0.2">
      <c r="A1837" s="2" t="str" cm="1">
        <f t="array" ref="A1837">INDEX('[1]Brand Family Territory (Enc)'!$A$2:$A$296,INT((ROW()-2)/10)+1)</f>
        <v>Herb &amp; Bloom</v>
      </c>
      <c r="B1837" s="2" t="str" cm="1">
        <f t="array" ref="B1837">INDEX('Whitelist (Blackout Reverse)'!$B$1:$K$1,MOD(ROW()-2,10)+1)</f>
        <v>UNION</v>
      </c>
      <c r="C1837" s="2" t="str">
        <f>VLOOKUP(A1837,'[1]Brand Family Territory (Enc)'!$A$2:$B$296,2,FALSE)</f>
        <v>All Counties</v>
      </c>
      <c r="D1837" s="2">
        <f>IF(COUNTIFS('[1]Brand Family Territories (Enc)'!$B$2:$B$62,C1837,'[1]Brand Family Territories (Enc)'!$C$2:$C$62,B1837)&gt;0,1,IF(AND(LEFT(B1837,6)="MORRIS",COUNTIFS('[1]Brand Family Territories (Enc)'!$B$2:$B$62,C1837,'[1]Brand Family Territories (Enc)'!$C$2:$C$62,"Morri")&gt;0),"Unk",0))</f>
        <v>1</v>
      </c>
      <c r="E1837" s="2" t="str">
        <f>IFERROR(INDEX('Blackout Brand Fam Areas (Enc)'!$D$6:$D$998,MATCH(UPPER(A1837)&amp;"|"&amp;UPPER(B1837),'Blackout Brand Fam Areas (Enc)'!$G$6:$G$998,0)),"No Match")</f>
        <v>No Match</v>
      </c>
      <c r="F1837" s="2" t="str">
        <f t="shared" si="56"/>
        <v>US</v>
      </c>
      <c r="G1837" s="2" t="str">
        <f t="shared" si="57"/>
        <v>Herb &amp; Bloom|UNION</v>
      </c>
    </row>
    <row r="1838" spans="1:7" x14ac:dyDescent="0.2">
      <c r="A1838" s="2" t="str" cm="1">
        <f t="array" ref="A1838">INDEX('[1]Brand Family Territory (Enc)'!$A$2:$A$296,INT((ROW()-2)/10)+1)</f>
        <v>Herb &amp; Bloom</v>
      </c>
      <c r="B1838" s="2" t="str" cm="1">
        <f t="array" ref="B1838">INDEX('Whitelist (Blackout Reverse)'!$B$1:$K$1,MOD(ROW()-2,10)+1)</f>
        <v>SUSSEX</v>
      </c>
      <c r="C1838" s="2" t="str">
        <f>VLOOKUP(A1838,'[1]Brand Family Territory (Enc)'!$A$2:$B$296,2,FALSE)</f>
        <v>All Counties</v>
      </c>
      <c r="D1838" s="2">
        <f>IF(COUNTIFS('[1]Brand Family Territories (Enc)'!$B$2:$B$62,C1838,'[1]Brand Family Territories (Enc)'!$C$2:$C$62,B1838)&gt;0,1,IF(AND(LEFT(B1838,6)="MORRIS",COUNTIFS('[1]Brand Family Territories (Enc)'!$B$2:$B$62,C1838,'[1]Brand Family Territories (Enc)'!$C$2:$C$62,"Morri")&gt;0),"Unk",0))</f>
        <v>1</v>
      </c>
      <c r="E1838" s="2" t="str">
        <f>IFERROR(INDEX('Blackout Brand Fam Areas (Enc)'!$D$6:$D$998,MATCH(UPPER(A1838)&amp;"|"&amp;UPPER(B1838),'Blackout Brand Fam Areas (Enc)'!$G$6:$G$998,0)),"No Match")</f>
        <v>No Match</v>
      </c>
      <c r="F1838" s="2" t="str">
        <f t="shared" si="56"/>
        <v>US</v>
      </c>
      <c r="G1838" s="2" t="str">
        <f t="shared" si="57"/>
        <v>Herb &amp; Bloom|SUSSEX</v>
      </c>
    </row>
    <row r="1839" spans="1:7" x14ac:dyDescent="0.2">
      <c r="A1839" s="2" t="str" cm="1">
        <f t="array" ref="A1839">INDEX('[1]Brand Family Territory (Enc)'!$A$2:$A$296,INT((ROW()-2)/10)+1)</f>
        <v>Herb &amp; Bloom</v>
      </c>
      <c r="B1839" s="2" t="str" cm="1">
        <f t="array" ref="B1839">INDEX('Whitelist (Blackout Reverse)'!$B$1:$K$1,MOD(ROW()-2,10)+1)</f>
        <v>MORRIS 1</v>
      </c>
      <c r="C1839" s="2" t="str">
        <f>VLOOKUP(A1839,'[1]Brand Family Territory (Enc)'!$A$2:$B$296,2,FALSE)</f>
        <v>All Counties</v>
      </c>
      <c r="D1839" s="2">
        <f>IF(COUNTIFS('[1]Brand Family Territories (Enc)'!$B$2:$B$62,C1839,'[1]Brand Family Territories (Enc)'!$C$2:$C$62,B1839)&gt;0,1,IF(AND(LEFT(B1839,6)="MORRIS",COUNTIFS('[1]Brand Family Territories (Enc)'!$B$2:$B$62,C1839,'[1]Brand Family Territories (Enc)'!$C$2:$C$62,"Morri")&gt;0),"Unk",0))</f>
        <v>1</v>
      </c>
      <c r="E1839" s="2" t="str">
        <f>IFERROR(INDEX('Blackout Brand Fam Areas (Enc)'!$D$6:$D$998,MATCH(UPPER(A1839)&amp;"|"&amp;UPPER(B1839),'Blackout Brand Fam Areas (Enc)'!$G$6:$G$998,0)),"No Match")</f>
        <v>No Match</v>
      </c>
      <c r="F1839" s="2" t="str">
        <f t="shared" si="56"/>
        <v>US</v>
      </c>
      <c r="G1839" s="2" t="str">
        <f t="shared" si="57"/>
        <v>Herb &amp; Bloom|MORRIS 1</v>
      </c>
    </row>
    <row r="1840" spans="1:7" x14ac:dyDescent="0.2">
      <c r="A1840" s="2" t="str" cm="1">
        <f t="array" ref="A1840">INDEX('[1]Brand Family Territory (Enc)'!$A$2:$A$296,INT((ROW()-2)/10)+1)</f>
        <v>Herb &amp; Bloom</v>
      </c>
      <c r="B1840" s="2" t="str" cm="1">
        <f t="array" ref="B1840">INDEX('Whitelist (Blackout Reverse)'!$B$1:$K$1,MOD(ROW()-2,10)+1)</f>
        <v>MORRIS 2</v>
      </c>
      <c r="C1840" s="2" t="str">
        <f>VLOOKUP(A1840,'[1]Brand Family Territory (Enc)'!$A$2:$B$296,2,FALSE)</f>
        <v>All Counties</v>
      </c>
      <c r="D1840" s="2">
        <f>IF(COUNTIFS('[1]Brand Family Territories (Enc)'!$B$2:$B$62,C1840,'[1]Brand Family Territories (Enc)'!$C$2:$C$62,B1840)&gt;0,1,IF(AND(LEFT(B1840,6)="MORRIS",COUNTIFS('[1]Brand Family Territories (Enc)'!$B$2:$B$62,C1840,'[1]Brand Family Territories (Enc)'!$C$2:$C$62,"Morri")&gt;0),"Unk",0))</f>
        <v>1</v>
      </c>
      <c r="E1840" s="2" t="str">
        <f>IFERROR(INDEX('Blackout Brand Fam Areas (Enc)'!$D$6:$D$998,MATCH(UPPER(A1840)&amp;"|"&amp;UPPER(B1840),'Blackout Brand Fam Areas (Enc)'!$G$6:$G$998,0)),"No Match")</f>
        <v>No Match</v>
      </c>
      <c r="F1840" s="2" t="str">
        <f t="shared" si="56"/>
        <v>US</v>
      </c>
      <c r="G1840" s="2" t="str">
        <f t="shared" si="57"/>
        <v>Herb &amp; Bloom|MORRIS 2</v>
      </c>
    </row>
    <row r="1841" spans="1:7" x14ac:dyDescent="0.2">
      <c r="A1841" s="2" t="str" cm="1">
        <f t="array" ref="A1841">INDEX('[1]Brand Family Territory (Enc)'!$A$2:$A$296,INT((ROW()-2)/10)+1)</f>
        <v>Herb &amp; Bloom</v>
      </c>
      <c r="B1841" s="2" t="str" cm="1">
        <f t="array" ref="B1841">INDEX('Whitelist (Blackout Reverse)'!$B$1:$K$1,MOD(ROW()-2,10)+1)</f>
        <v>MORRIS 3</v>
      </c>
      <c r="C1841" s="2" t="str">
        <f>VLOOKUP(A1841,'[1]Brand Family Territory (Enc)'!$A$2:$B$296,2,FALSE)</f>
        <v>All Counties</v>
      </c>
      <c r="D1841" s="2">
        <f>IF(COUNTIFS('[1]Brand Family Territories (Enc)'!$B$2:$B$62,C1841,'[1]Brand Family Territories (Enc)'!$C$2:$C$62,B1841)&gt;0,1,IF(AND(LEFT(B1841,6)="MORRIS",COUNTIFS('[1]Brand Family Territories (Enc)'!$B$2:$B$62,C1841,'[1]Brand Family Territories (Enc)'!$C$2:$C$62,"Morri")&gt;0),"Unk",0))</f>
        <v>1</v>
      </c>
      <c r="E1841" s="2" t="str">
        <f>IFERROR(INDEX('Blackout Brand Fam Areas (Enc)'!$D$6:$D$998,MATCH(UPPER(A1841)&amp;"|"&amp;UPPER(B1841),'Blackout Brand Fam Areas (Enc)'!$G$6:$G$998,0)),"No Match")</f>
        <v>No Match</v>
      </c>
      <c r="F1841" s="2" t="str">
        <f t="shared" si="56"/>
        <v>US</v>
      </c>
      <c r="G1841" s="2" t="str">
        <f t="shared" si="57"/>
        <v>Herb &amp; Bloom|MORRIS 3</v>
      </c>
    </row>
    <row r="1842" spans="1:7" x14ac:dyDescent="0.2">
      <c r="A1842" s="2" t="str" cm="1">
        <f t="array" ref="A1842">INDEX('[1]Brand Family Territory (Enc)'!$A$2:$A$296,INT((ROW()-2)/10)+1)</f>
        <v>Hofbrau Usa</v>
      </c>
      <c r="B1842" s="2" t="str" cm="1">
        <f t="array" ref="B1842">INDEX('Whitelist (Blackout Reverse)'!$B$1:$K$1,MOD(ROW()-2,10)+1)</f>
        <v>BERGEN</v>
      </c>
      <c r="C1842" s="2" t="str">
        <f>VLOOKUP(A1842,'[1]Brand Family Territory (Enc)'!$A$2:$B$296,2,FALSE)</f>
        <v>All Counties</v>
      </c>
      <c r="D1842" s="2">
        <f>IF(COUNTIFS('[1]Brand Family Territories (Enc)'!$B$2:$B$62,C1842,'[1]Brand Family Territories (Enc)'!$C$2:$C$62,B1842)&gt;0,1,IF(AND(LEFT(B1842,6)="MORRIS",COUNTIFS('[1]Brand Family Territories (Enc)'!$B$2:$B$62,C1842,'[1]Brand Family Territories (Enc)'!$C$2:$C$62,"Morri")&gt;0),"Unk",0))</f>
        <v>1</v>
      </c>
      <c r="E1842" s="2" t="str">
        <f>IFERROR(INDEX('Blackout Brand Fam Areas (Enc)'!$D$6:$D$998,MATCH(UPPER(A1842)&amp;"|"&amp;UPPER(B1842),'Blackout Brand Fam Areas (Enc)'!$G$6:$G$998,0)),"No Match")</f>
        <v>No Match</v>
      </c>
      <c r="F1842" s="2" t="str">
        <f t="shared" si="56"/>
        <v>US</v>
      </c>
      <c r="G1842" s="2" t="str">
        <f t="shared" si="57"/>
        <v>Hofbrau Usa|BERGEN</v>
      </c>
    </row>
    <row r="1843" spans="1:7" x14ac:dyDescent="0.2">
      <c r="A1843" s="2" t="str" cm="1">
        <f t="array" ref="A1843">INDEX('[1]Brand Family Territory (Enc)'!$A$2:$A$296,INT((ROW()-2)/10)+1)</f>
        <v>Hofbrau Usa</v>
      </c>
      <c r="B1843" s="2" t="str" cm="1">
        <f t="array" ref="B1843">INDEX('Whitelist (Blackout Reverse)'!$B$1:$K$1,MOD(ROW()-2,10)+1)</f>
        <v>PASSAIC</v>
      </c>
      <c r="C1843" s="2" t="str">
        <f>VLOOKUP(A1843,'[1]Brand Family Territory (Enc)'!$A$2:$B$296,2,FALSE)</f>
        <v>All Counties</v>
      </c>
      <c r="D1843" s="2">
        <f>IF(COUNTIFS('[1]Brand Family Territories (Enc)'!$B$2:$B$62,C1843,'[1]Brand Family Territories (Enc)'!$C$2:$C$62,B1843)&gt;0,1,IF(AND(LEFT(B1843,6)="MORRIS",COUNTIFS('[1]Brand Family Territories (Enc)'!$B$2:$B$62,C1843,'[1]Brand Family Territories (Enc)'!$C$2:$C$62,"Morri")&gt;0),"Unk",0))</f>
        <v>1</v>
      </c>
      <c r="E1843" s="2" t="str">
        <f>IFERROR(INDEX('Blackout Brand Fam Areas (Enc)'!$D$6:$D$998,MATCH(UPPER(A1843)&amp;"|"&amp;UPPER(B1843),'Blackout Brand Fam Areas (Enc)'!$G$6:$G$998,0)),"No Match")</f>
        <v>No Match</v>
      </c>
      <c r="F1843" s="2" t="str">
        <f t="shared" si="56"/>
        <v>US</v>
      </c>
      <c r="G1843" s="2" t="str">
        <f t="shared" si="57"/>
        <v>Hofbrau Usa|PASSAIC</v>
      </c>
    </row>
    <row r="1844" spans="1:7" x14ac:dyDescent="0.2">
      <c r="A1844" s="2" t="str" cm="1">
        <f t="array" ref="A1844">INDEX('[1]Brand Family Territory (Enc)'!$A$2:$A$296,INT((ROW()-2)/10)+1)</f>
        <v>Hofbrau Usa</v>
      </c>
      <c r="B1844" s="2" t="str" cm="1">
        <f t="array" ref="B1844">INDEX('Whitelist (Blackout Reverse)'!$B$1:$K$1,MOD(ROW()-2,10)+1)</f>
        <v>PASSAIC-FF</v>
      </c>
      <c r="C1844" s="2" t="str">
        <f>VLOOKUP(A1844,'[1]Brand Family Territory (Enc)'!$A$2:$B$296,2,FALSE)</f>
        <v>All Counties</v>
      </c>
      <c r="D1844" s="2">
        <f>IF(COUNTIFS('[1]Brand Family Territories (Enc)'!$B$2:$B$62,C1844,'[1]Brand Family Territories (Enc)'!$C$2:$C$62,B1844)&gt;0,1,IF(AND(LEFT(B1844,6)="MORRIS",COUNTIFS('[1]Brand Family Territories (Enc)'!$B$2:$B$62,C1844,'[1]Brand Family Territories (Enc)'!$C$2:$C$62,"Morri")&gt;0),"Unk",0))</f>
        <v>1</v>
      </c>
      <c r="E1844" s="2" t="str">
        <f>IFERROR(INDEX('Blackout Brand Fam Areas (Enc)'!$D$6:$D$998,MATCH(UPPER(A1844)&amp;"|"&amp;UPPER(B1844),'Blackout Brand Fam Areas (Enc)'!$G$6:$G$998,0)),"No Match")</f>
        <v>No Match</v>
      </c>
      <c r="F1844" s="2" t="str">
        <f t="shared" si="56"/>
        <v>US</v>
      </c>
      <c r="G1844" s="2" t="str">
        <f t="shared" si="57"/>
        <v>Hofbrau Usa|PASSAIC-FF</v>
      </c>
    </row>
    <row r="1845" spans="1:7" x14ac:dyDescent="0.2">
      <c r="A1845" s="2" t="str" cm="1">
        <f t="array" ref="A1845">INDEX('[1]Brand Family Territory (Enc)'!$A$2:$A$296,INT((ROW()-2)/10)+1)</f>
        <v>Hofbrau Usa</v>
      </c>
      <c r="B1845" s="2" t="str" cm="1">
        <f t="array" ref="B1845">INDEX('Whitelist (Blackout Reverse)'!$B$1:$K$1,MOD(ROW()-2,10)+1)</f>
        <v>ESSEX</v>
      </c>
      <c r="C1845" s="2" t="str">
        <f>VLOOKUP(A1845,'[1]Brand Family Territory (Enc)'!$A$2:$B$296,2,FALSE)</f>
        <v>All Counties</v>
      </c>
      <c r="D1845" s="2">
        <f>IF(COUNTIFS('[1]Brand Family Territories (Enc)'!$B$2:$B$62,C1845,'[1]Brand Family Territories (Enc)'!$C$2:$C$62,B1845)&gt;0,1,IF(AND(LEFT(B1845,6)="MORRIS",COUNTIFS('[1]Brand Family Territories (Enc)'!$B$2:$B$62,C1845,'[1]Brand Family Territories (Enc)'!$C$2:$C$62,"Morri")&gt;0),"Unk",0))</f>
        <v>1</v>
      </c>
      <c r="E1845" s="2" t="str">
        <f>IFERROR(INDEX('Blackout Brand Fam Areas (Enc)'!$D$6:$D$998,MATCH(UPPER(A1845)&amp;"|"&amp;UPPER(B1845),'Blackout Brand Fam Areas (Enc)'!$G$6:$G$998,0)),"No Match")</f>
        <v>No Match</v>
      </c>
      <c r="F1845" s="2" t="str">
        <f t="shared" si="56"/>
        <v>US</v>
      </c>
      <c r="G1845" s="2" t="str">
        <f t="shared" si="57"/>
        <v>Hofbrau Usa|ESSEX</v>
      </c>
    </row>
    <row r="1846" spans="1:7" x14ac:dyDescent="0.2">
      <c r="A1846" s="2" t="str" cm="1">
        <f t="array" ref="A1846">INDEX('[1]Brand Family Territory (Enc)'!$A$2:$A$296,INT((ROW()-2)/10)+1)</f>
        <v>Hofbrau Usa</v>
      </c>
      <c r="B1846" s="2" t="str" cm="1">
        <f t="array" ref="B1846">INDEX('Whitelist (Blackout Reverse)'!$B$1:$K$1,MOD(ROW()-2,10)+1)</f>
        <v>HUDSON</v>
      </c>
      <c r="C1846" s="2" t="str">
        <f>VLOOKUP(A1846,'[1]Brand Family Territory (Enc)'!$A$2:$B$296,2,FALSE)</f>
        <v>All Counties</v>
      </c>
      <c r="D1846" s="2">
        <f>IF(COUNTIFS('[1]Brand Family Territories (Enc)'!$B$2:$B$62,C1846,'[1]Brand Family Territories (Enc)'!$C$2:$C$62,B1846)&gt;0,1,IF(AND(LEFT(B1846,6)="MORRIS",COUNTIFS('[1]Brand Family Territories (Enc)'!$B$2:$B$62,C1846,'[1]Brand Family Territories (Enc)'!$C$2:$C$62,"Morri")&gt;0),"Unk",0))</f>
        <v>1</v>
      </c>
      <c r="E1846" s="2" t="str">
        <f>IFERROR(INDEX('Blackout Brand Fam Areas (Enc)'!$D$6:$D$998,MATCH(UPPER(A1846)&amp;"|"&amp;UPPER(B1846),'Blackout Brand Fam Areas (Enc)'!$G$6:$G$998,0)),"No Match")</f>
        <v>No Match</v>
      </c>
      <c r="F1846" s="2" t="str">
        <f t="shared" si="56"/>
        <v>US</v>
      </c>
      <c r="G1846" s="2" t="str">
        <f t="shared" si="57"/>
        <v>Hofbrau Usa|HUDSON</v>
      </c>
    </row>
    <row r="1847" spans="1:7" x14ac:dyDescent="0.2">
      <c r="A1847" s="2" t="str" cm="1">
        <f t="array" ref="A1847">INDEX('[1]Brand Family Territory (Enc)'!$A$2:$A$296,INT((ROW()-2)/10)+1)</f>
        <v>Hofbrau Usa</v>
      </c>
      <c r="B1847" s="2" t="str" cm="1">
        <f t="array" ref="B1847">INDEX('Whitelist (Blackout Reverse)'!$B$1:$K$1,MOD(ROW()-2,10)+1)</f>
        <v>UNION</v>
      </c>
      <c r="C1847" s="2" t="str">
        <f>VLOOKUP(A1847,'[1]Brand Family Territory (Enc)'!$A$2:$B$296,2,FALSE)</f>
        <v>All Counties</v>
      </c>
      <c r="D1847" s="2">
        <f>IF(COUNTIFS('[1]Brand Family Territories (Enc)'!$B$2:$B$62,C1847,'[1]Brand Family Territories (Enc)'!$C$2:$C$62,B1847)&gt;0,1,IF(AND(LEFT(B1847,6)="MORRIS",COUNTIFS('[1]Brand Family Territories (Enc)'!$B$2:$B$62,C1847,'[1]Brand Family Territories (Enc)'!$C$2:$C$62,"Morri")&gt;0),"Unk",0))</f>
        <v>1</v>
      </c>
      <c r="E1847" s="2" t="str">
        <f>IFERROR(INDEX('Blackout Brand Fam Areas (Enc)'!$D$6:$D$998,MATCH(UPPER(A1847)&amp;"|"&amp;UPPER(B1847),'Blackout Brand Fam Areas (Enc)'!$G$6:$G$998,0)),"No Match")</f>
        <v>No Match</v>
      </c>
      <c r="F1847" s="2" t="str">
        <f t="shared" si="56"/>
        <v>US</v>
      </c>
      <c r="G1847" s="2" t="str">
        <f t="shared" si="57"/>
        <v>Hofbrau Usa|UNION</v>
      </c>
    </row>
    <row r="1848" spans="1:7" x14ac:dyDescent="0.2">
      <c r="A1848" s="2" t="str" cm="1">
        <f t="array" ref="A1848">INDEX('[1]Brand Family Territory (Enc)'!$A$2:$A$296,INT((ROW()-2)/10)+1)</f>
        <v>Hofbrau Usa</v>
      </c>
      <c r="B1848" s="2" t="str" cm="1">
        <f t="array" ref="B1848">INDEX('Whitelist (Blackout Reverse)'!$B$1:$K$1,MOD(ROW()-2,10)+1)</f>
        <v>SUSSEX</v>
      </c>
      <c r="C1848" s="2" t="str">
        <f>VLOOKUP(A1848,'[1]Brand Family Territory (Enc)'!$A$2:$B$296,2,FALSE)</f>
        <v>All Counties</v>
      </c>
      <c r="D1848" s="2">
        <f>IF(COUNTIFS('[1]Brand Family Territories (Enc)'!$B$2:$B$62,C1848,'[1]Brand Family Territories (Enc)'!$C$2:$C$62,B1848)&gt;0,1,IF(AND(LEFT(B1848,6)="MORRIS",COUNTIFS('[1]Brand Family Territories (Enc)'!$B$2:$B$62,C1848,'[1]Brand Family Territories (Enc)'!$C$2:$C$62,"Morri")&gt;0),"Unk",0))</f>
        <v>1</v>
      </c>
      <c r="E1848" s="2" t="str">
        <f>IFERROR(INDEX('Blackout Brand Fam Areas (Enc)'!$D$6:$D$998,MATCH(UPPER(A1848)&amp;"|"&amp;UPPER(B1848),'Blackout Brand Fam Areas (Enc)'!$G$6:$G$998,0)),"No Match")</f>
        <v>No Match</v>
      </c>
      <c r="F1848" s="2" t="str">
        <f t="shared" si="56"/>
        <v>US</v>
      </c>
      <c r="G1848" s="2" t="str">
        <f t="shared" si="57"/>
        <v>Hofbrau Usa|SUSSEX</v>
      </c>
    </row>
    <row r="1849" spans="1:7" x14ac:dyDescent="0.2">
      <c r="A1849" s="2" t="str" cm="1">
        <f t="array" ref="A1849">INDEX('[1]Brand Family Territory (Enc)'!$A$2:$A$296,INT((ROW()-2)/10)+1)</f>
        <v>Hofbrau Usa</v>
      </c>
      <c r="B1849" s="2" t="str" cm="1">
        <f t="array" ref="B1849">INDEX('Whitelist (Blackout Reverse)'!$B$1:$K$1,MOD(ROW()-2,10)+1)</f>
        <v>MORRIS 1</v>
      </c>
      <c r="C1849" s="2" t="str">
        <f>VLOOKUP(A1849,'[1]Brand Family Territory (Enc)'!$A$2:$B$296,2,FALSE)</f>
        <v>All Counties</v>
      </c>
      <c r="D1849" s="2">
        <f>IF(COUNTIFS('[1]Brand Family Territories (Enc)'!$B$2:$B$62,C1849,'[1]Brand Family Territories (Enc)'!$C$2:$C$62,B1849)&gt;0,1,IF(AND(LEFT(B1849,6)="MORRIS",COUNTIFS('[1]Brand Family Territories (Enc)'!$B$2:$B$62,C1849,'[1]Brand Family Territories (Enc)'!$C$2:$C$62,"Morri")&gt;0),"Unk",0))</f>
        <v>1</v>
      </c>
      <c r="E1849" s="2" t="str">
        <f>IFERROR(INDEX('Blackout Brand Fam Areas (Enc)'!$D$6:$D$998,MATCH(UPPER(A1849)&amp;"|"&amp;UPPER(B1849),'Blackout Brand Fam Areas (Enc)'!$G$6:$G$998,0)),"No Match")</f>
        <v>No Match</v>
      </c>
      <c r="F1849" s="2" t="str">
        <f t="shared" si="56"/>
        <v>US</v>
      </c>
      <c r="G1849" s="2" t="str">
        <f t="shared" si="57"/>
        <v>Hofbrau Usa|MORRIS 1</v>
      </c>
    </row>
    <row r="1850" spans="1:7" x14ac:dyDescent="0.2">
      <c r="A1850" s="2" t="str" cm="1">
        <f t="array" ref="A1850">INDEX('[1]Brand Family Territory (Enc)'!$A$2:$A$296,INT((ROW()-2)/10)+1)</f>
        <v>Hofbrau Usa</v>
      </c>
      <c r="B1850" s="2" t="str" cm="1">
        <f t="array" ref="B1850">INDEX('Whitelist (Blackout Reverse)'!$B$1:$K$1,MOD(ROW()-2,10)+1)</f>
        <v>MORRIS 2</v>
      </c>
      <c r="C1850" s="2" t="str">
        <f>VLOOKUP(A1850,'[1]Brand Family Territory (Enc)'!$A$2:$B$296,2,FALSE)</f>
        <v>All Counties</v>
      </c>
      <c r="D1850" s="2">
        <f>IF(COUNTIFS('[1]Brand Family Territories (Enc)'!$B$2:$B$62,C1850,'[1]Brand Family Territories (Enc)'!$C$2:$C$62,B1850)&gt;0,1,IF(AND(LEFT(B1850,6)="MORRIS",COUNTIFS('[1]Brand Family Territories (Enc)'!$B$2:$B$62,C1850,'[1]Brand Family Territories (Enc)'!$C$2:$C$62,"Morri")&gt;0),"Unk",0))</f>
        <v>1</v>
      </c>
      <c r="E1850" s="2" t="str">
        <f>IFERROR(INDEX('Blackout Brand Fam Areas (Enc)'!$D$6:$D$998,MATCH(UPPER(A1850)&amp;"|"&amp;UPPER(B1850),'Blackout Brand Fam Areas (Enc)'!$G$6:$G$998,0)),"No Match")</f>
        <v>No Match</v>
      </c>
      <c r="F1850" s="2" t="str">
        <f t="shared" si="56"/>
        <v>US</v>
      </c>
      <c r="G1850" s="2" t="str">
        <f t="shared" si="57"/>
        <v>Hofbrau Usa|MORRIS 2</v>
      </c>
    </row>
    <row r="1851" spans="1:7" x14ac:dyDescent="0.2">
      <c r="A1851" s="2" t="str" cm="1">
        <f t="array" ref="A1851">INDEX('[1]Brand Family Territory (Enc)'!$A$2:$A$296,INT((ROW()-2)/10)+1)</f>
        <v>Hofbrau Usa</v>
      </c>
      <c r="B1851" s="2" t="str" cm="1">
        <f t="array" ref="B1851">INDEX('Whitelist (Blackout Reverse)'!$B$1:$K$1,MOD(ROW()-2,10)+1)</f>
        <v>MORRIS 3</v>
      </c>
      <c r="C1851" s="2" t="str">
        <f>VLOOKUP(A1851,'[1]Brand Family Territory (Enc)'!$A$2:$B$296,2,FALSE)</f>
        <v>All Counties</v>
      </c>
      <c r="D1851" s="2">
        <f>IF(COUNTIFS('[1]Brand Family Territories (Enc)'!$B$2:$B$62,C1851,'[1]Brand Family Territories (Enc)'!$C$2:$C$62,B1851)&gt;0,1,IF(AND(LEFT(B1851,6)="MORRIS",COUNTIFS('[1]Brand Family Territories (Enc)'!$B$2:$B$62,C1851,'[1]Brand Family Territories (Enc)'!$C$2:$C$62,"Morri")&gt;0),"Unk",0))</f>
        <v>1</v>
      </c>
      <c r="E1851" s="2" t="str">
        <f>IFERROR(INDEX('Blackout Brand Fam Areas (Enc)'!$D$6:$D$998,MATCH(UPPER(A1851)&amp;"|"&amp;UPPER(B1851),'Blackout Brand Fam Areas (Enc)'!$G$6:$G$998,0)),"No Match")</f>
        <v>No Match</v>
      </c>
      <c r="F1851" s="2" t="str">
        <f t="shared" si="56"/>
        <v>US</v>
      </c>
      <c r="G1851" s="2" t="str">
        <f t="shared" si="57"/>
        <v>Hofbrau Usa|MORRIS 3</v>
      </c>
    </row>
    <row r="1852" spans="1:7" x14ac:dyDescent="0.2">
      <c r="A1852" s="2" t="str" cm="1">
        <f t="array" ref="A1852">INDEX('[1]Brand Family Territory (Enc)'!$A$2:$A$296,INT((ROW()-2)/10)+1)</f>
        <v>Greek Spirits</v>
      </c>
      <c r="B1852" s="2" t="str" cm="1">
        <f t="array" ref="B1852">INDEX('Whitelist (Blackout Reverse)'!$B$1:$K$1,MOD(ROW()-2,10)+1)</f>
        <v>BERGEN</v>
      </c>
      <c r="C1852" s="2" t="str">
        <f>VLOOKUP(A1852,'[1]Brand Family Territory (Enc)'!$A$2:$B$296,2,FALSE)</f>
        <v>All Counties</v>
      </c>
      <c r="D1852" s="2">
        <f>IF(COUNTIFS('[1]Brand Family Territories (Enc)'!$B$2:$B$62,C1852,'[1]Brand Family Territories (Enc)'!$C$2:$C$62,B1852)&gt;0,1,IF(AND(LEFT(B1852,6)="MORRIS",COUNTIFS('[1]Brand Family Territories (Enc)'!$B$2:$B$62,C1852,'[1]Brand Family Territories (Enc)'!$C$2:$C$62,"Morri")&gt;0),"Unk",0))</f>
        <v>1</v>
      </c>
      <c r="E1852" s="2" t="str">
        <f>IFERROR(INDEX('Blackout Brand Fam Areas (Enc)'!$D$6:$D$998,MATCH(UPPER(A1852)&amp;"|"&amp;UPPER(B1852),'Blackout Brand Fam Areas (Enc)'!$G$6:$G$998,0)),"No Match")</f>
        <v>No Match</v>
      </c>
      <c r="F1852" s="2" t="str">
        <f t="shared" si="56"/>
        <v>US</v>
      </c>
      <c r="G1852" s="2" t="str">
        <f t="shared" si="57"/>
        <v>Greek Spirits|BERGEN</v>
      </c>
    </row>
    <row r="1853" spans="1:7" x14ac:dyDescent="0.2">
      <c r="A1853" s="2" t="str" cm="1">
        <f t="array" ref="A1853">INDEX('[1]Brand Family Territory (Enc)'!$A$2:$A$296,INT((ROW()-2)/10)+1)</f>
        <v>Greek Spirits</v>
      </c>
      <c r="B1853" s="2" t="str" cm="1">
        <f t="array" ref="B1853">INDEX('Whitelist (Blackout Reverse)'!$B$1:$K$1,MOD(ROW()-2,10)+1)</f>
        <v>PASSAIC</v>
      </c>
      <c r="C1853" s="2" t="str">
        <f>VLOOKUP(A1853,'[1]Brand Family Territory (Enc)'!$A$2:$B$296,2,FALSE)</f>
        <v>All Counties</v>
      </c>
      <c r="D1853" s="2">
        <f>IF(COUNTIFS('[1]Brand Family Territories (Enc)'!$B$2:$B$62,C1853,'[1]Brand Family Territories (Enc)'!$C$2:$C$62,B1853)&gt;0,1,IF(AND(LEFT(B1853,6)="MORRIS",COUNTIFS('[1]Brand Family Territories (Enc)'!$B$2:$B$62,C1853,'[1]Brand Family Territories (Enc)'!$C$2:$C$62,"Morri")&gt;0),"Unk",0))</f>
        <v>1</v>
      </c>
      <c r="E1853" s="2" t="str">
        <f>IFERROR(INDEX('Blackout Brand Fam Areas (Enc)'!$D$6:$D$998,MATCH(UPPER(A1853)&amp;"|"&amp;UPPER(B1853),'Blackout Brand Fam Areas (Enc)'!$G$6:$G$998,0)),"No Match")</f>
        <v>No Match</v>
      </c>
      <c r="F1853" s="2" t="str">
        <f t="shared" si="56"/>
        <v>US</v>
      </c>
      <c r="G1853" s="2" t="str">
        <f t="shared" si="57"/>
        <v>Greek Spirits|PASSAIC</v>
      </c>
    </row>
    <row r="1854" spans="1:7" x14ac:dyDescent="0.2">
      <c r="A1854" s="2" t="str" cm="1">
        <f t="array" ref="A1854">INDEX('[1]Brand Family Territory (Enc)'!$A$2:$A$296,INT((ROW()-2)/10)+1)</f>
        <v>Greek Spirits</v>
      </c>
      <c r="B1854" s="2" t="str" cm="1">
        <f t="array" ref="B1854">INDEX('Whitelist (Blackout Reverse)'!$B$1:$K$1,MOD(ROW()-2,10)+1)</f>
        <v>PASSAIC-FF</v>
      </c>
      <c r="C1854" s="2" t="str">
        <f>VLOOKUP(A1854,'[1]Brand Family Territory (Enc)'!$A$2:$B$296,2,FALSE)</f>
        <v>All Counties</v>
      </c>
      <c r="D1854" s="2">
        <f>IF(COUNTIFS('[1]Brand Family Territories (Enc)'!$B$2:$B$62,C1854,'[1]Brand Family Territories (Enc)'!$C$2:$C$62,B1854)&gt;0,1,IF(AND(LEFT(B1854,6)="MORRIS",COUNTIFS('[1]Brand Family Territories (Enc)'!$B$2:$B$62,C1854,'[1]Brand Family Territories (Enc)'!$C$2:$C$62,"Morri")&gt;0),"Unk",0))</f>
        <v>1</v>
      </c>
      <c r="E1854" s="2" t="str">
        <f>IFERROR(INDEX('Blackout Brand Fam Areas (Enc)'!$D$6:$D$998,MATCH(UPPER(A1854)&amp;"|"&amp;UPPER(B1854),'Blackout Brand Fam Areas (Enc)'!$G$6:$G$998,0)),"No Match")</f>
        <v>No Match</v>
      </c>
      <c r="F1854" s="2" t="str">
        <f t="shared" si="56"/>
        <v>US</v>
      </c>
      <c r="G1854" s="2" t="str">
        <f t="shared" si="57"/>
        <v>Greek Spirits|PASSAIC-FF</v>
      </c>
    </row>
    <row r="1855" spans="1:7" x14ac:dyDescent="0.2">
      <c r="A1855" s="2" t="str" cm="1">
        <f t="array" ref="A1855">INDEX('[1]Brand Family Territory (Enc)'!$A$2:$A$296,INT((ROW()-2)/10)+1)</f>
        <v>Greek Spirits</v>
      </c>
      <c r="B1855" s="2" t="str" cm="1">
        <f t="array" ref="B1855">INDEX('Whitelist (Blackout Reverse)'!$B$1:$K$1,MOD(ROW()-2,10)+1)</f>
        <v>ESSEX</v>
      </c>
      <c r="C1855" s="2" t="str">
        <f>VLOOKUP(A1855,'[1]Brand Family Territory (Enc)'!$A$2:$B$296,2,FALSE)</f>
        <v>All Counties</v>
      </c>
      <c r="D1855" s="2">
        <f>IF(COUNTIFS('[1]Brand Family Territories (Enc)'!$B$2:$B$62,C1855,'[1]Brand Family Territories (Enc)'!$C$2:$C$62,B1855)&gt;0,1,IF(AND(LEFT(B1855,6)="MORRIS",COUNTIFS('[1]Brand Family Territories (Enc)'!$B$2:$B$62,C1855,'[1]Brand Family Territories (Enc)'!$C$2:$C$62,"Morri")&gt;0),"Unk",0))</f>
        <v>1</v>
      </c>
      <c r="E1855" s="2" t="str">
        <f>IFERROR(INDEX('Blackout Brand Fam Areas (Enc)'!$D$6:$D$998,MATCH(UPPER(A1855)&amp;"|"&amp;UPPER(B1855),'Blackout Brand Fam Areas (Enc)'!$G$6:$G$998,0)),"No Match")</f>
        <v>No Match</v>
      </c>
      <c r="F1855" s="2" t="str">
        <f t="shared" si="56"/>
        <v>US</v>
      </c>
      <c r="G1855" s="2" t="str">
        <f t="shared" si="57"/>
        <v>Greek Spirits|ESSEX</v>
      </c>
    </row>
    <row r="1856" spans="1:7" x14ac:dyDescent="0.2">
      <c r="A1856" s="2" t="str" cm="1">
        <f t="array" ref="A1856">INDEX('[1]Brand Family Territory (Enc)'!$A$2:$A$296,INT((ROW()-2)/10)+1)</f>
        <v>Greek Spirits</v>
      </c>
      <c r="B1856" s="2" t="str" cm="1">
        <f t="array" ref="B1856">INDEX('Whitelist (Blackout Reverse)'!$B$1:$K$1,MOD(ROW()-2,10)+1)</f>
        <v>HUDSON</v>
      </c>
      <c r="C1856" s="2" t="str">
        <f>VLOOKUP(A1856,'[1]Brand Family Territory (Enc)'!$A$2:$B$296,2,FALSE)</f>
        <v>All Counties</v>
      </c>
      <c r="D1856" s="2">
        <f>IF(COUNTIFS('[1]Brand Family Territories (Enc)'!$B$2:$B$62,C1856,'[1]Brand Family Territories (Enc)'!$C$2:$C$62,B1856)&gt;0,1,IF(AND(LEFT(B1856,6)="MORRIS",COUNTIFS('[1]Brand Family Territories (Enc)'!$B$2:$B$62,C1856,'[1]Brand Family Territories (Enc)'!$C$2:$C$62,"Morri")&gt;0),"Unk",0))</f>
        <v>1</v>
      </c>
      <c r="E1856" s="2" t="str">
        <f>IFERROR(INDEX('Blackout Brand Fam Areas (Enc)'!$D$6:$D$998,MATCH(UPPER(A1856)&amp;"|"&amp;UPPER(B1856),'Blackout Brand Fam Areas (Enc)'!$G$6:$G$998,0)),"No Match")</f>
        <v>No Match</v>
      </c>
      <c r="F1856" s="2" t="str">
        <f t="shared" si="56"/>
        <v>US</v>
      </c>
      <c r="G1856" s="2" t="str">
        <f t="shared" si="57"/>
        <v>Greek Spirits|HUDSON</v>
      </c>
    </row>
    <row r="1857" spans="1:7" x14ac:dyDescent="0.2">
      <c r="A1857" s="2" t="str" cm="1">
        <f t="array" ref="A1857">INDEX('[1]Brand Family Territory (Enc)'!$A$2:$A$296,INT((ROW()-2)/10)+1)</f>
        <v>Greek Spirits</v>
      </c>
      <c r="B1857" s="2" t="str" cm="1">
        <f t="array" ref="B1857">INDEX('Whitelist (Blackout Reverse)'!$B$1:$K$1,MOD(ROW()-2,10)+1)</f>
        <v>UNION</v>
      </c>
      <c r="C1857" s="2" t="str">
        <f>VLOOKUP(A1857,'[1]Brand Family Territory (Enc)'!$A$2:$B$296,2,FALSE)</f>
        <v>All Counties</v>
      </c>
      <c r="D1857" s="2">
        <f>IF(COUNTIFS('[1]Brand Family Territories (Enc)'!$B$2:$B$62,C1857,'[1]Brand Family Territories (Enc)'!$C$2:$C$62,B1857)&gt;0,1,IF(AND(LEFT(B1857,6)="MORRIS",COUNTIFS('[1]Brand Family Territories (Enc)'!$B$2:$B$62,C1857,'[1]Brand Family Territories (Enc)'!$C$2:$C$62,"Morri")&gt;0),"Unk",0))</f>
        <v>1</v>
      </c>
      <c r="E1857" s="2" t="str">
        <f>IFERROR(INDEX('Blackout Brand Fam Areas (Enc)'!$D$6:$D$998,MATCH(UPPER(A1857)&amp;"|"&amp;UPPER(B1857),'Blackout Brand Fam Areas (Enc)'!$G$6:$G$998,0)),"No Match")</f>
        <v>No Match</v>
      </c>
      <c r="F1857" s="2" t="str">
        <f t="shared" si="56"/>
        <v>US</v>
      </c>
      <c r="G1857" s="2" t="str">
        <f t="shared" si="57"/>
        <v>Greek Spirits|UNION</v>
      </c>
    </row>
    <row r="1858" spans="1:7" x14ac:dyDescent="0.2">
      <c r="A1858" s="2" t="str" cm="1">
        <f t="array" ref="A1858">INDEX('[1]Brand Family Territory (Enc)'!$A$2:$A$296,INT((ROW()-2)/10)+1)</f>
        <v>Greek Spirits</v>
      </c>
      <c r="B1858" s="2" t="str" cm="1">
        <f t="array" ref="B1858">INDEX('Whitelist (Blackout Reverse)'!$B$1:$K$1,MOD(ROW()-2,10)+1)</f>
        <v>SUSSEX</v>
      </c>
      <c r="C1858" s="2" t="str">
        <f>VLOOKUP(A1858,'[1]Brand Family Territory (Enc)'!$A$2:$B$296,2,FALSE)</f>
        <v>All Counties</v>
      </c>
      <c r="D1858" s="2">
        <f>IF(COUNTIFS('[1]Brand Family Territories (Enc)'!$B$2:$B$62,C1858,'[1]Brand Family Territories (Enc)'!$C$2:$C$62,B1858)&gt;0,1,IF(AND(LEFT(B1858,6)="MORRIS",COUNTIFS('[1]Brand Family Territories (Enc)'!$B$2:$B$62,C1858,'[1]Brand Family Territories (Enc)'!$C$2:$C$62,"Morri")&gt;0),"Unk",0))</f>
        <v>1</v>
      </c>
      <c r="E1858" s="2" t="str">
        <f>IFERROR(INDEX('Blackout Brand Fam Areas (Enc)'!$D$6:$D$998,MATCH(UPPER(A1858)&amp;"|"&amp;UPPER(B1858),'Blackout Brand Fam Areas (Enc)'!$G$6:$G$998,0)),"No Match")</f>
        <v>No Match</v>
      </c>
      <c r="F1858" s="2" t="str">
        <f t="shared" si="56"/>
        <v>US</v>
      </c>
      <c r="G1858" s="2" t="str">
        <f t="shared" si="57"/>
        <v>Greek Spirits|SUSSEX</v>
      </c>
    </row>
    <row r="1859" spans="1:7" x14ac:dyDescent="0.2">
      <c r="A1859" s="2" t="str" cm="1">
        <f t="array" ref="A1859">INDEX('[1]Brand Family Territory (Enc)'!$A$2:$A$296,INT((ROW()-2)/10)+1)</f>
        <v>Greek Spirits</v>
      </c>
      <c r="B1859" s="2" t="str" cm="1">
        <f t="array" ref="B1859">INDEX('Whitelist (Blackout Reverse)'!$B$1:$K$1,MOD(ROW()-2,10)+1)</f>
        <v>MORRIS 1</v>
      </c>
      <c r="C1859" s="2" t="str">
        <f>VLOOKUP(A1859,'[1]Brand Family Territory (Enc)'!$A$2:$B$296,2,FALSE)</f>
        <v>All Counties</v>
      </c>
      <c r="D1859" s="2">
        <f>IF(COUNTIFS('[1]Brand Family Territories (Enc)'!$B$2:$B$62,C1859,'[1]Brand Family Territories (Enc)'!$C$2:$C$62,B1859)&gt;0,1,IF(AND(LEFT(B1859,6)="MORRIS",COUNTIFS('[1]Brand Family Territories (Enc)'!$B$2:$B$62,C1859,'[1]Brand Family Territories (Enc)'!$C$2:$C$62,"Morri")&gt;0),"Unk",0))</f>
        <v>1</v>
      </c>
      <c r="E1859" s="2" t="str">
        <f>IFERROR(INDEX('Blackout Brand Fam Areas (Enc)'!$D$6:$D$998,MATCH(UPPER(A1859)&amp;"|"&amp;UPPER(B1859),'Blackout Brand Fam Areas (Enc)'!$G$6:$G$998,0)),"No Match")</f>
        <v>No Match</v>
      </c>
      <c r="F1859" s="2" t="str">
        <f t="shared" ref="F1859:F1922" si="58">IF(D1859="Unk","Ambiguous (Source Truncated)",IF(E1859="Inactive","THEM",IF(D1859=1,"US",IF(D1859="N/A","No Territory Data","THEM"))))</f>
        <v>US</v>
      </c>
      <c r="G1859" s="2" t="str">
        <f t="shared" ref="G1859:G1922" si="59">A1859&amp;"|"&amp;B1859</f>
        <v>Greek Spirits|MORRIS 1</v>
      </c>
    </row>
    <row r="1860" spans="1:7" x14ac:dyDescent="0.2">
      <c r="A1860" s="2" t="str" cm="1">
        <f t="array" ref="A1860">INDEX('[1]Brand Family Territory (Enc)'!$A$2:$A$296,INT((ROW()-2)/10)+1)</f>
        <v>Greek Spirits</v>
      </c>
      <c r="B1860" s="2" t="str" cm="1">
        <f t="array" ref="B1860">INDEX('Whitelist (Blackout Reverse)'!$B$1:$K$1,MOD(ROW()-2,10)+1)</f>
        <v>MORRIS 2</v>
      </c>
      <c r="C1860" s="2" t="str">
        <f>VLOOKUP(A1860,'[1]Brand Family Territory (Enc)'!$A$2:$B$296,2,FALSE)</f>
        <v>All Counties</v>
      </c>
      <c r="D1860" s="2">
        <f>IF(COUNTIFS('[1]Brand Family Territories (Enc)'!$B$2:$B$62,C1860,'[1]Brand Family Territories (Enc)'!$C$2:$C$62,B1860)&gt;0,1,IF(AND(LEFT(B1860,6)="MORRIS",COUNTIFS('[1]Brand Family Territories (Enc)'!$B$2:$B$62,C1860,'[1]Brand Family Territories (Enc)'!$C$2:$C$62,"Morri")&gt;0),"Unk",0))</f>
        <v>1</v>
      </c>
      <c r="E1860" s="2" t="str">
        <f>IFERROR(INDEX('Blackout Brand Fam Areas (Enc)'!$D$6:$D$998,MATCH(UPPER(A1860)&amp;"|"&amp;UPPER(B1860),'Blackout Brand Fam Areas (Enc)'!$G$6:$G$998,0)),"No Match")</f>
        <v>No Match</v>
      </c>
      <c r="F1860" s="2" t="str">
        <f t="shared" si="58"/>
        <v>US</v>
      </c>
      <c r="G1860" s="2" t="str">
        <f t="shared" si="59"/>
        <v>Greek Spirits|MORRIS 2</v>
      </c>
    </row>
    <row r="1861" spans="1:7" x14ac:dyDescent="0.2">
      <c r="A1861" s="2" t="str" cm="1">
        <f t="array" ref="A1861">INDEX('[1]Brand Family Territory (Enc)'!$A$2:$A$296,INT((ROW()-2)/10)+1)</f>
        <v>Greek Spirits</v>
      </c>
      <c r="B1861" s="2" t="str" cm="1">
        <f t="array" ref="B1861">INDEX('Whitelist (Blackout Reverse)'!$B$1:$K$1,MOD(ROW()-2,10)+1)</f>
        <v>MORRIS 3</v>
      </c>
      <c r="C1861" s="2" t="str">
        <f>VLOOKUP(A1861,'[1]Brand Family Territory (Enc)'!$A$2:$B$296,2,FALSE)</f>
        <v>All Counties</v>
      </c>
      <c r="D1861" s="2">
        <f>IF(COUNTIFS('[1]Brand Family Territories (Enc)'!$B$2:$B$62,C1861,'[1]Brand Family Territories (Enc)'!$C$2:$C$62,B1861)&gt;0,1,IF(AND(LEFT(B1861,6)="MORRIS",COUNTIFS('[1]Brand Family Territories (Enc)'!$B$2:$B$62,C1861,'[1]Brand Family Territories (Enc)'!$C$2:$C$62,"Morri")&gt;0),"Unk",0))</f>
        <v>1</v>
      </c>
      <c r="E1861" s="2" t="str">
        <f>IFERROR(INDEX('Blackout Brand Fam Areas (Enc)'!$D$6:$D$998,MATCH(UPPER(A1861)&amp;"|"&amp;UPPER(B1861),'Blackout Brand Fam Areas (Enc)'!$G$6:$G$998,0)),"No Match")</f>
        <v>No Match</v>
      </c>
      <c r="F1861" s="2" t="str">
        <f t="shared" si="58"/>
        <v>US</v>
      </c>
      <c r="G1861" s="2" t="str">
        <f t="shared" si="59"/>
        <v>Greek Spirits|MORRIS 3</v>
      </c>
    </row>
    <row r="1862" spans="1:7" x14ac:dyDescent="0.2">
      <c r="A1862" s="2" t="str" cm="1">
        <f t="array" ref="A1862">INDEX('[1]Brand Family Territory (Enc)'!$A$2:$A$296,INT((ROW()-2)/10)+1)</f>
        <v>Jack Daniels Country Cocktails</v>
      </c>
      <c r="B1862" s="2" t="str" cm="1">
        <f t="array" ref="B1862">INDEX('Whitelist (Blackout Reverse)'!$B$1:$K$1,MOD(ROW()-2,10)+1)</f>
        <v>BERGEN</v>
      </c>
      <c r="C1862" s="2" t="str">
        <f>VLOOKUP(A1862,'[1]Brand Family Territory (Enc)'!$A$2:$B$296,2,FALSE)</f>
        <v>All Counties</v>
      </c>
      <c r="D1862" s="2">
        <f>IF(COUNTIFS('[1]Brand Family Territories (Enc)'!$B$2:$B$62,C1862,'[1]Brand Family Territories (Enc)'!$C$2:$C$62,B1862)&gt;0,1,IF(AND(LEFT(B1862,6)="MORRIS",COUNTIFS('[1]Brand Family Territories (Enc)'!$B$2:$B$62,C1862,'[1]Brand Family Territories (Enc)'!$C$2:$C$62,"Morri")&gt;0),"Unk",0))</f>
        <v>1</v>
      </c>
      <c r="E1862" s="2" t="str">
        <f>IFERROR(INDEX('Blackout Brand Fam Areas (Enc)'!$D$6:$D$998,MATCH(UPPER(A1862)&amp;"|"&amp;UPPER(B1862),'Blackout Brand Fam Areas (Enc)'!$G$6:$G$998,0)),"No Match")</f>
        <v>No Match</v>
      </c>
      <c r="F1862" s="2" t="str">
        <f t="shared" si="58"/>
        <v>US</v>
      </c>
      <c r="G1862" s="2" t="str">
        <f t="shared" si="59"/>
        <v>Jack Daniels Country Cocktails|BERGEN</v>
      </c>
    </row>
    <row r="1863" spans="1:7" x14ac:dyDescent="0.2">
      <c r="A1863" s="2" t="str" cm="1">
        <f t="array" ref="A1863">INDEX('[1]Brand Family Territory (Enc)'!$A$2:$A$296,INT((ROW()-2)/10)+1)</f>
        <v>Jack Daniels Country Cocktails</v>
      </c>
      <c r="B1863" s="2" t="str" cm="1">
        <f t="array" ref="B1863">INDEX('Whitelist (Blackout Reverse)'!$B$1:$K$1,MOD(ROW()-2,10)+1)</f>
        <v>PASSAIC</v>
      </c>
      <c r="C1863" s="2" t="str">
        <f>VLOOKUP(A1863,'[1]Brand Family Territory (Enc)'!$A$2:$B$296,2,FALSE)</f>
        <v>All Counties</v>
      </c>
      <c r="D1863" s="2">
        <f>IF(COUNTIFS('[1]Brand Family Territories (Enc)'!$B$2:$B$62,C1863,'[1]Brand Family Territories (Enc)'!$C$2:$C$62,B1863)&gt;0,1,IF(AND(LEFT(B1863,6)="MORRIS",COUNTIFS('[1]Brand Family Territories (Enc)'!$B$2:$B$62,C1863,'[1]Brand Family Territories (Enc)'!$C$2:$C$62,"Morri")&gt;0),"Unk",0))</f>
        <v>1</v>
      </c>
      <c r="E1863" s="2" t="str">
        <f>IFERROR(INDEX('Blackout Brand Fam Areas (Enc)'!$D$6:$D$998,MATCH(UPPER(A1863)&amp;"|"&amp;UPPER(B1863),'Blackout Brand Fam Areas (Enc)'!$G$6:$G$998,0)),"No Match")</f>
        <v>No Match</v>
      </c>
      <c r="F1863" s="2" t="str">
        <f t="shared" si="58"/>
        <v>US</v>
      </c>
      <c r="G1863" s="2" t="str">
        <f t="shared" si="59"/>
        <v>Jack Daniels Country Cocktails|PASSAIC</v>
      </c>
    </row>
    <row r="1864" spans="1:7" x14ac:dyDescent="0.2">
      <c r="A1864" s="2" t="str" cm="1">
        <f t="array" ref="A1864">INDEX('[1]Brand Family Territory (Enc)'!$A$2:$A$296,INT((ROW()-2)/10)+1)</f>
        <v>Jack Daniels Country Cocktails</v>
      </c>
      <c r="B1864" s="2" t="str" cm="1">
        <f t="array" ref="B1864">INDEX('Whitelist (Blackout Reverse)'!$B$1:$K$1,MOD(ROW()-2,10)+1)</f>
        <v>PASSAIC-FF</v>
      </c>
      <c r="C1864" s="2" t="str">
        <f>VLOOKUP(A1864,'[1]Brand Family Territory (Enc)'!$A$2:$B$296,2,FALSE)</f>
        <v>All Counties</v>
      </c>
      <c r="D1864" s="2">
        <f>IF(COUNTIFS('[1]Brand Family Territories (Enc)'!$B$2:$B$62,C1864,'[1]Brand Family Territories (Enc)'!$C$2:$C$62,B1864)&gt;0,1,IF(AND(LEFT(B1864,6)="MORRIS",COUNTIFS('[1]Brand Family Territories (Enc)'!$B$2:$B$62,C1864,'[1]Brand Family Territories (Enc)'!$C$2:$C$62,"Morri")&gt;0),"Unk",0))</f>
        <v>1</v>
      </c>
      <c r="E1864" s="2" t="str">
        <f>IFERROR(INDEX('Blackout Brand Fam Areas (Enc)'!$D$6:$D$998,MATCH(UPPER(A1864)&amp;"|"&amp;UPPER(B1864),'Blackout Brand Fam Areas (Enc)'!$G$6:$G$998,0)),"No Match")</f>
        <v>No Match</v>
      </c>
      <c r="F1864" s="2" t="str">
        <f t="shared" si="58"/>
        <v>US</v>
      </c>
      <c r="G1864" s="2" t="str">
        <f t="shared" si="59"/>
        <v>Jack Daniels Country Cocktails|PASSAIC-FF</v>
      </c>
    </row>
    <row r="1865" spans="1:7" x14ac:dyDescent="0.2">
      <c r="A1865" s="2" t="str" cm="1">
        <f t="array" ref="A1865">INDEX('[1]Brand Family Territory (Enc)'!$A$2:$A$296,INT((ROW()-2)/10)+1)</f>
        <v>Jack Daniels Country Cocktails</v>
      </c>
      <c r="B1865" s="2" t="str" cm="1">
        <f t="array" ref="B1865">INDEX('Whitelist (Blackout Reverse)'!$B$1:$K$1,MOD(ROW()-2,10)+1)</f>
        <v>ESSEX</v>
      </c>
      <c r="C1865" s="2" t="str">
        <f>VLOOKUP(A1865,'[1]Brand Family Territory (Enc)'!$A$2:$B$296,2,FALSE)</f>
        <v>All Counties</v>
      </c>
      <c r="D1865" s="2">
        <f>IF(COUNTIFS('[1]Brand Family Territories (Enc)'!$B$2:$B$62,C1865,'[1]Brand Family Territories (Enc)'!$C$2:$C$62,B1865)&gt;0,1,IF(AND(LEFT(B1865,6)="MORRIS",COUNTIFS('[1]Brand Family Territories (Enc)'!$B$2:$B$62,C1865,'[1]Brand Family Territories (Enc)'!$C$2:$C$62,"Morri")&gt;0),"Unk",0))</f>
        <v>1</v>
      </c>
      <c r="E1865" s="2" t="str">
        <f>IFERROR(INDEX('Blackout Brand Fam Areas (Enc)'!$D$6:$D$998,MATCH(UPPER(A1865)&amp;"|"&amp;UPPER(B1865),'Blackout Brand Fam Areas (Enc)'!$G$6:$G$998,0)),"No Match")</f>
        <v>No Match</v>
      </c>
      <c r="F1865" s="2" t="str">
        <f t="shared" si="58"/>
        <v>US</v>
      </c>
      <c r="G1865" s="2" t="str">
        <f t="shared" si="59"/>
        <v>Jack Daniels Country Cocktails|ESSEX</v>
      </c>
    </row>
    <row r="1866" spans="1:7" x14ac:dyDescent="0.2">
      <c r="A1866" s="2" t="str" cm="1">
        <f t="array" ref="A1866">INDEX('[1]Brand Family Territory (Enc)'!$A$2:$A$296,INT((ROW()-2)/10)+1)</f>
        <v>Jack Daniels Country Cocktails</v>
      </c>
      <c r="B1866" s="2" t="str" cm="1">
        <f t="array" ref="B1866">INDEX('Whitelist (Blackout Reverse)'!$B$1:$K$1,MOD(ROW()-2,10)+1)</f>
        <v>HUDSON</v>
      </c>
      <c r="C1866" s="2" t="str">
        <f>VLOOKUP(A1866,'[1]Brand Family Territory (Enc)'!$A$2:$B$296,2,FALSE)</f>
        <v>All Counties</v>
      </c>
      <c r="D1866" s="2">
        <f>IF(COUNTIFS('[1]Brand Family Territories (Enc)'!$B$2:$B$62,C1866,'[1]Brand Family Territories (Enc)'!$C$2:$C$62,B1866)&gt;0,1,IF(AND(LEFT(B1866,6)="MORRIS",COUNTIFS('[1]Brand Family Territories (Enc)'!$B$2:$B$62,C1866,'[1]Brand Family Territories (Enc)'!$C$2:$C$62,"Morri")&gt;0),"Unk",0))</f>
        <v>1</v>
      </c>
      <c r="E1866" s="2" t="str">
        <f>IFERROR(INDEX('Blackout Brand Fam Areas (Enc)'!$D$6:$D$998,MATCH(UPPER(A1866)&amp;"|"&amp;UPPER(B1866),'Blackout Brand Fam Areas (Enc)'!$G$6:$G$998,0)),"No Match")</f>
        <v>No Match</v>
      </c>
      <c r="F1866" s="2" t="str">
        <f t="shared" si="58"/>
        <v>US</v>
      </c>
      <c r="G1866" s="2" t="str">
        <f t="shared" si="59"/>
        <v>Jack Daniels Country Cocktails|HUDSON</v>
      </c>
    </row>
    <row r="1867" spans="1:7" x14ac:dyDescent="0.2">
      <c r="A1867" s="2" t="str" cm="1">
        <f t="array" ref="A1867">INDEX('[1]Brand Family Territory (Enc)'!$A$2:$A$296,INT((ROW()-2)/10)+1)</f>
        <v>Jack Daniels Country Cocktails</v>
      </c>
      <c r="B1867" s="2" t="str" cm="1">
        <f t="array" ref="B1867">INDEX('Whitelist (Blackout Reverse)'!$B$1:$K$1,MOD(ROW()-2,10)+1)</f>
        <v>UNION</v>
      </c>
      <c r="C1867" s="2" t="str">
        <f>VLOOKUP(A1867,'[1]Brand Family Territory (Enc)'!$A$2:$B$296,2,FALSE)</f>
        <v>All Counties</v>
      </c>
      <c r="D1867" s="2">
        <f>IF(COUNTIFS('[1]Brand Family Territories (Enc)'!$B$2:$B$62,C1867,'[1]Brand Family Territories (Enc)'!$C$2:$C$62,B1867)&gt;0,1,IF(AND(LEFT(B1867,6)="MORRIS",COUNTIFS('[1]Brand Family Territories (Enc)'!$B$2:$B$62,C1867,'[1]Brand Family Territories (Enc)'!$C$2:$C$62,"Morri")&gt;0),"Unk",0))</f>
        <v>1</v>
      </c>
      <c r="E1867" s="2" t="str">
        <f>IFERROR(INDEX('Blackout Brand Fam Areas (Enc)'!$D$6:$D$998,MATCH(UPPER(A1867)&amp;"|"&amp;UPPER(B1867),'Blackout Brand Fam Areas (Enc)'!$G$6:$G$998,0)),"No Match")</f>
        <v>No Match</v>
      </c>
      <c r="F1867" s="2" t="str">
        <f t="shared" si="58"/>
        <v>US</v>
      </c>
      <c r="G1867" s="2" t="str">
        <f t="shared" si="59"/>
        <v>Jack Daniels Country Cocktails|UNION</v>
      </c>
    </row>
    <row r="1868" spans="1:7" x14ac:dyDescent="0.2">
      <c r="A1868" s="2" t="str" cm="1">
        <f t="array" ref="A1868">INDEX('[1]Brand Family Territory (Enc)'!$A$2:$A$296,INT((ROW()-2)/10)+1)</f>
        <v>Jack Daniels Country Cocktails</v>
      </c>
      <c r="B1868" s="2" t="str" cm="1">
        <f t="array" ref="B1868">INDEX('Whitelist (Blackout Reverse)'!$B$1:$K$1,MOD(ROW()-2,10)+1)</f>
        <v>SUSSEX</v>
      </c>
      <c r="C1868" s="2" t="str">
        <f>VLOOKUP(A1868,'[1]Brand Family Territory (Enc)'!$A$2:$B$296,2,FALSE)</f>
        <v>All Counties</v>
      </c>
      <c r="D1868" s="2">
        <f>IF(COUNTIFS('[1]Brand Family Territories (Enc)'!$B$2:$B$62,C1868,'[1]Brand Family Territories (Enc)'!$C$2:$C$62,B1868)&gt;0,1,IF(AND(LEFT(B1868,6)="MORRIS",COUNTIFS('[1]Brand Family Territories (Enc)'!$B$2:$B$62,C1868,'[1]Brand Family Territories (Enc)'!$C$2:$C$62,"Morri")&gt;0),"Unk",0))</f>
        <v>1</v>
      </c>
      <c r="E1868" s="2" t="str">
        <f>IFERROR(INDEX('Blackout Brand Fam Areas (Enc)'!$D$6:$D$998,MATCH(UPPER(A1868)&amp;"|"&amp;UPPER(B1868),'Blackout Brand Fam Areas (Enc)'!$G$6:$G$998,0)),"No Match")</f>
        <v>No Match</v>
      </c>
      <c r="F1868" s="2" t="str">
        <f t="shared" si="58"/>
        <v>US</v>
      </c>
      <c r="G1868" s="2" t="str">
        <f t="shared" si="59"/>
        <v>Jack Daniels Country Cocktails|SUSSEX</v>
      </c>
    </row>
    <row r="1869" spans="1:7" x14ac:dyDescent="0.2">
      <c r="A1869" s="2" t="str" cm="1">
        <f t="array" ref="A1869">INDEX('[1]Brand Family Territory (Enc)'!$A$2:$A$296,INT((ROW()-2)/10)+1)</f>
        <v>Jack Daniels Country Cocktails</v>
      </c>
      <c r="B1869" s="2" t="str" cm="1">
        <f t="array" ref="B1869">INDEX('Whitelist (Blackout Reverse)'!$B$1:$K$1,MOD(ROW()-2,10)+1)</f>
        <v>MORRIS 1</v>
      </c>
      <c r="C1869" s="2" t="str">
        <f>VLOOKUP(A1869,'[1]Brand Family Territory (Enc)'!$A$2:$B$296,2,FALSE)</f>
        <v>All Counties</v>
      </c>
      <c r="D1869" s="2">
        <f>IF(COUNTIFS('[1]Brand Family Territories (Enc)'!$B$2:$B$62,C1869,'[1]Brand Family Territories (Enc)'!$C$2:$C$62,B1869)&gt;0,1,IF(AND(LEFT(B1869,6)="MORRIS",COUNTIFS('[1]Brand Family Territories (Enc)'!$B$2:$B$62,C1869,'[1]Brand Family Territories (Enc)'!$C$2:$C$62,"Morri")&gt;0),"Unk",0))</f>
        <v>1</v>
      </c>
      <c r="E1869" s="2" t="str">
        <f>IFERROR(INDEX('Blackout Brand Fam Areas (Enc)'!$D$6:$D$998,MATCH(UPPER(A1869)&amp;"|"&amp;UPPER(B1869),'Blackout Brand Fam Areas (Enc)'!$G$6:$G$998,0)),"No Match")</f>
        <v>No Match</v>
      </c>
      <c r="F1869" s="2" t="str">
        <f t="shared" si="58"/>
        <v>US</v>
      </c>
      <c r="G1869" s="2" t="str">
        <f t="shared" si="59"/>
        <v>Jack Daniels Country Cocktails|MORRIS 1</v>
      </c>
    </row>
    <row r="1870" spans="1:7" x14ac:dyDescent="0.2">
      <c r="A1870" s="2" t="str" cm="1">
        <f t="array" ref="A1870">INDEX('[1]Brand Family Territory (Enc)'!$A$2:$A$296,INT((ROW()-2)/10)+1)</f>
        <v>Jack Daniels Country Cocktails</v>
      </c>
      <c r="B1870" s="2" t="str" cm="1">
        <f t="array" ref="B1870">INDEX('Whitelist (Blackout Reverse)'!$B$1:$K$1,MOD(ROW()-2,10)+1)</f>
        <v>MORRIS 2</v>
      </c>
      <c r="C1870" s="2" t="str">
        <f>VLOOKUP(A1870,'[1]Brand Family Territory (Enc)'!$A$2:$B$296,2,FALSE)</f>
        <v>All Counties</v>
      </c>
      <c r="D1870" s="2">
        <f>IF(COUNTIFS('[1]Brand Family Territories (Enc)'!$B$2:$B$62,C1870,'[1]Brand Family Territories (Enc)'!$C$2:$C$62,B1870)&gt;0,1,IF(AND(LEFT(B1870,6)="MORRIS",COUNTIFS('[1]Brand Family Territories (Enc)'!$B$2:$B$62,C1870,'[1]Brand Family Territories (Enc)'!$C$2:$C$62,"Morri")&gt;0),"Unk",0))</f>
        <v>1</v>
      </c>
      <c r="E1870" s="2" t="str">
        <f>IFERROR(INDEX('Blackout Brand Fam Areas (Enc)'!$D$6:$D$998,MATCH(UPPER(A1870)&amp;"|"&amp;UPPER(B1870),'Blackout Brand Fam Areas (Enc)'!$G$6:$G$998,0)),"No Match")</f>
        <v>No Match</v>
      </c>
      <c r="F1870" s="2" t="str">
        <f t="shared" si="58"/>
        <v>US</v>
      </c>
      <c r="G1870" s="2" t="str">
        <f t="shared" si="59"/>
        <v>Jack Daniels Country Cocktails|MORRIS 2</v>
      </c>
    </row>
    <row r="1871" spans="1:7" x14ac:dyDescent="0.2">
      <c r="A1871" s="2" t="str" cm="1">
        <f t="array" ref="A1871">INDEX('[1]Brand Family Territory (Enc)'!$A$2:$A$296,INT((ROW()-2)/10)+1)</f>
        <v>Jack Daniels Country Cocktails</v>
      </c>
      <c r="B1871" s="2" t="str" cm="1">
        <f t="array" ref="B1871">INDEX('Whitelist (Blackout Reverse)'!$B$1:$K$1,MOD(ROW()-2,10)+1)</f>
        <v>MORRIS 3</v>
      </c>
      <c r="C1871" s="2" t="str">
        <f>VLOOKUP(A1871,'[1]Brand Family Territory (Enc)'!$A$2:$B$296,2,FALSE)</f>
        <v>All Counties</v>
      </c>
      <c r="D1871" s="2">
        <f>IF(COUNTIFS('[1]Brand Family Territories (Enc)'!$B$2:$B$62,C1871,'[1]Brand Family Territories (Enc)'!$C$2:$C$62,B1871)&gt;0,1,IF(AND(LEFT(B1871,6)="MORRIS",COUNTIFS('[1]Brand Family Territories (Enc)'!$B$2:$B$62,C1871,'[1]Brand Family Territories (Enc)'!$C$2:$C$62,"Morri")&gt;0),"Unk",0))</f>
        <v>1</v>
      </c>
      <c r="E1871" s="2" t="str">
        <f>IFERROR(INDEX('Blackout Brand Fam Areas (Enc)'!$D$6:$D$998,MATCH(UPPER(A1871)&amp;"|"&amp;UPPER(B1871),'Blackout Brand Fam Areas (Enc)'!$G$6:$G$998,0)),"No Match")</f>
        <v>No Match</v>
      </c>
      <c r="F1871" s="2" t="str">
        <f t="shared" si="58"/>
        <v>US</v>
      </c>
      <c r="G1871" s="2" t="str">
        <f t="shared" si="59"/>
        <v>Jack Daniels Country Cocktails|MORRIS 3</v>
      </c>
    </row>
    <row r="1872" spans="1:7" x14ac:dyDescent="0.2">
      <c r="A1872" s="2" t="str" cm="1">
        <f t="array" ref="A1872">INDEX('[1]Brand Family Territory (Enc)'!$A$2:$A$296,INT((ROW()-2)/10)+1)</f>
        <v>Jerzey Jungle</v>
      </c>
      <c r="B1872" s="2" t="str" cm="1">
        <f t="array" ref="B1872">INDEX('Whitelist (Blackout Reverse)'!$B$1:$K$1,MOD(ROW()-2,10)+1)</f>
        <v>BERGEN</v>
      </c>
      <c r="C1872" s="2" t="str">
        <f>VLOOKUP(A1872,'[1]Brand Family Territory (Enc)'!$A$2:$B$296,2,FALSE)</f>
        <v>All Counties</v>
      </c>
      <c r="D1872" s="2">
        <f>IF(COUNTIFS('[1]Brand Family Territories (Enc)'!$B$2:$B$62,C1872,'[1]Brand Family Territories (Enc)'!$C$2:$C$62,B1872)&gt;0,1,IF(AND(LEFT(B1872,6)="MORRIS",COUNTIFS('[1]Brand Family Territories (Enc)'!$B$2:$B$62,C1872,'[1]Brand Family Territories (Enc)'!$C$2:$C$62,"Morri")&gt;0),"Unk",0))</f>
        <v>1</v>
      </c>
      <c r="E1872" s="2" t="str">
        <f>IFERROR(INDEX('Blackout Brand Fam Areas (Enc)'!$D$6:$D$998,MATCH(UPPER(A1872)&amp;"|"&amp;UPPER(B1872),'Blackout Brand Fam Areas (Enc)'!$G$6:$G$998,0)),"No Match")</f>
        <v>No Match</v>
      </c>
      <c r="F1872" s="2" t="str">
        <f t="shared" si="58"/>
        <v>US</v>
      </c>
      <c r="G1872" s="2" t="str">
        <f t="shared" si="59"/>
        <v>Jerzey Jungle|BERGEN</v>
      </c>
    </row>
    <row r="1873" spans="1:7" x14ac:dyDescent="0.2">
      <c r="A1873" s="2" t="str" cm="1">
        <f t="array" ref="A1873">INDEX('[1]Brand Family Territory (Enc)'!$A$2:$A$296,INT((ROW()-2)/10)+1)</f>
        <v>Jerzey Jungle</v>
      </c>
      <c r="B1873" s="2" t="str" cm="1">
        <f t="array" ref="B1873">INDEX('Whitelist (Blackout Reverse)'!$B$1:$K$1,MOD(ROW()-2,10)+1)</f>
        <v>PASSAIC</v>
      </c>
      <c r="C1873" s="2" t="str">
        <f>VLOOKUP(A1873,'[1]Brand Family Territory (Enc)'!$A$2:$B$296,2,FALSE)</f>
        <v>All Counties</v>
      </c>
      <c r="D1873" s="2">
        <f>IF(COUNTIFS('[1]Brand Family Territories (Enc)'!$B$2:$B$62,C1873,'[1]Brand Family Territories (Enc)'!$C$2:$C$62,B1873)&gt;0,1,IF(AND(LEFT(B1873,6)="MORRIS",COUNTIFS('[1]Brand Family Territories (Enc)'!$B$2:$B$62,C1873,'[1]Brand Family Territories (Enc)'!$C$2:$C$62,"Morri")&gt;0),"Unk",0))</f>
        <v>1</v>
      </c>
      <c r="E1873" s="2" t="str">
        <f>IFERROR(INDEX('Blackout Brand Fam Areas (Enc)'!$D$6:$D$998,MATCH(UPPER(A1873)&amp;"|"&amp;UPPER(B1873),'Blackout Brand Fam Areas (Enc)'!$G$6:$G$998,0)),"No Match")</f>
        <v>No Match</v>
      </c>
      <c r="F1873" s="2" t="str">
        <f t="shared" si="58"/>
        <v>US</v>
      </c>
      <c r="G1873" s="2" t="str">
        <f t="shared" si="59"/>
        <v>Jerzey Jungle|PASSAIC</v>
      </c>
    </row>
    <row r="1874" spans="1:7" x14ac:dyDescent="0.2">
      <c r="A1874" s="2" t="str" cm="1">
        <f t="array" ref="A1874">INDEX('[1]Brand Family Territory (Enc)'!$A$2:$A$296,INT((ROW()-2)/10)+1)</f>
        <v>Jerzey Jungle</v>
      </c>
      <c r="B1874" s="2" t="str" cm="1">
        <f t="array" ref="B1874">INDEX('Whitelist (Blackout Reverse)'!$B$1:$K$1,MOD(ROW()-2,10)+1)</f>
        <v>PASSAIC-FF</v>
      </c>
      <c r="C1874" s="2" t="str">
        <f>VLOOKUP(A1874,'[1]Brand Family Territory (Enc)'!$A$2:$B$296,2,FALSE)</f>
        <v>All Counties</v>
      </c>
      <c r="D1874" s="2">
        <f>IF(COUNTIFS('[1]Brand Family Territories (Enc)'!$B$2:$B$62,C1874,'[1]Brand Family Territories (Enc)'!$C$2:$C$62,B1874)&gt;0,1,IF(AND(LEFT(B1874,6)="MORRIS",COUNTIFS('[1]Brand Family Territories (Enc)'!$B$2:$B$62,C1874,'[1]Brand Family Territories (Enc)'!$C$2:$C$62,"Morri")&gt;0),"Unk",0))</f>
        <v>1</v>
      </c>
      <c r="E1874" s="2" t="str">
        <f>IFERROR(INDEX('Blackout Brand Fam Areas (Enc)'!$D$6:$D$998,MATCH(UPPER(A1874)&amp;"|"&amp;UPPER(B1874),'Blackout Brand Fam Areas (Enc)'!$G$6:$G$998,0)),"No Match")</f>
        <v>No Match</v>
      </c>
      <c r="F1874" s="2" t="str">
        <f t="shared" si="58"/>
        <v>US</v>
      </c>
      <c r="G1874" s="2" t="str">
        <f t="shared" si="59"/>
        <v>Jerzey Jungle|PASSAIC-FF</v>
      </c>
    </row>
    <row r="1875" spans="1:7" x14ac:dyDescent="0.2">
      <c r="A1875" s="2" t="str" cm="1">
        <f t="array" ref="A1875">INDEX('[1]Brand Family Territory (Enc)'!$A$2:$A$296,INT((ROW()-2)/10)+1)</f>
        <v>Jerzey Jungle</v>
      </c>
      <c r="B1875" s="2" t="str" cm="1">
        <f t="array" ref="B1875">INDEX('Whitelist (Blackout Reverse)'!$B$1:$K$1,MOD(ROW()-2,10)+1)</f>
        <v>ESSEX</v>
      </c>
      <c r="C1875" s="2" t="str">
        <f>VLOOKUP(A1875,'[1]Brand Family Territory (Enc)'!$A$2:$B$296,2,FALSE)</f>
        <v>All Counties</v>
      </c>
      <c r="D1875" s="2">
        <f>IF(COUNTIFS('[1]Brand Family Territories (Enc)'!$B$2:$B$62,C1875,'[1]Brand Family Territories (Enc)'!$C$2:$C$62,B1875)&gt;0,1,IF(AND(LEFT(B1875,6)="MORRIS",COUNTIFS('[1]Brand Family Territories (Enc)'!$B$2:$B$62,C1875,'[1]Brand Family Territories (Enc)'!$C$2:$C$62,"Morri")&gt;0),"Unk",0))</f>
        <v>1</v>
      </c>
      <c r="E1875" s="2" t="str">
        <f>IFERROR(INDEX('Blackout Brand Fam Areas (Enc)'!$D$6:$D$998,MATCH(UPPER(A1875)&amp;"|"&amp;UPPER(B1875),'Blackout Brand Fam Areas (Enc)'!$G$6:$G$998,0)),"No Match")</f>
        <v>No Match</v>
      </c>
      <c r="F1875" s="2" t="str">
        <f t="shared" si="58"/>
        <v>US</v>
      </c>
      <c r="G1875" s="2" t="str">
        <f t="shared" si="59"/>
        <v>Jerzey Jungle|ESSEX</v>
      </c>
    </row>
    <row r="1876" spans="1:7" x14ac:dyDescent="0.2">
      <c r="A1876" s="2" t="str" cm="1">
        <f t="array" ref="A1876">INDEX('[1]Brand Family Territory (Enc)'!$A$2:$A$296,INT((ROW()-2)/10)+1)</f>
        <v>Jerzey Jungle</v>
      </c>
      <c r="B1876" s="2" t="str" cm="1">
        <f t="array" ref="B1876">INDEX('Whitelist (Blackout Reverse)'!$B$1:$K$1,MOD(ROW()-2,10)+1)</f>
        <v>HUDSON</v>
      </c>
      <c r="C1876" s="2" t="str">
        <f>VLOOKUP(A1876,'[1]Brand Family Territory (Enc)'!$A$2:$B$296,2,FALSE)</f>
        <v>All Counties</v>
      </c>
      <c r="D1876" s="2">
        <f>IF(COUNTIFS('[1]Brand Family Territories (Enc)'!$B$2:$B$62,C1876,'[1]Brand Family Territories (Enc)'!$C$2:$C$62,B1876)&gt;0,1,IF(AND(LEFT(B1876,6)="MORRIS",COUNTIFS('[1]Brand Family Territories (Enc)'!$B$2:$B$62,C1876,'[1]Brand Family Territories (Enc)'!$C$2:$C$62,"Morri")&gt;0),"Unk",0))</f>
        <v>1</v>
      </c>
      <c r="E1876" s="2" t="str">
        <f>IFERROR(INDEX('Blackout Brand Fam Areas (Enc)'!$D$6:$D$998,MATCH(UPPER(A1876)&amp;"|"&amp;UPPER(B1876),'Blackout Brand Fam Areas (Enc)'!$G$6:$G$998,0)),"No Match")</f>
        <v>No Match</v>
      </c>
      <c r="F1876" s="2" t="str">
        <f t="shared" si="58"/>
        <v>US</v>
      </c>
      <c r="G1876" s="2" t="str">
        <f t="shared" si="59"/>
        <v>Jerzey Jungle|HUDSON</v>
      </c>
    </row>
    <row r="1877" spans="1:7" x14ac:dyDescent="0.2">
      <c r="A1877" s="2" t="str" cm="1">
        <f t="array" ref="A1877">INDEX('[1]Brand Family Territory (Enc)'!$A$2:$A$296,INT((ROW()-2)/10)+1)</f>
        <v>Jerzey Jungle</v>
      </c>
      <c r="B1877" s="2" t="str" cm="1">
        <f t="array" ref="B1877">INDEX('Whitelist (Blackout Reverse)'!$B$1:$K$1,MOD(ROW()-2,10)+1)</f>
        <v>UNION</v>
      </c>
      <c r="C1877" s="2" t="str">
        <f>VLOOKUP(A1877,'[1]Brand Family Territory (Enc)'!$A$2:$B$296,2,FALSE)</f>
        <v>All Counties</v>
      </c>
      <c r="D1877" s="2">
        <f>IF(COUNTIFS('[1]Brand Family Territories (Enc)'!$B$2:$B$62,C1877,'[1]Brand Family Territories (Enc)'!$C$2:$C$62,B1877)&gt;0,1,IF(AND(LEFT(B1877,6)="MORRIS",COUNTIFS('[1]Brand Family Territories (Enc)'!$B$2:$B$62,C1877,'[1]Brand Family Territories (Enc)'!$C$2:$C$62,"Morri")&gt;0),"Unk",0))</f>
        <v>1</v>
      </c>
      <c r="E1877" s="2" t="str">
        <f>IFERROR(INDEX('Blackout Brand Fam Areas (Enc)'!$D$6:$D$998,MATCH(UPPER(A1877)&amp;"|"&amp;UPPER(B1877),'Blackout Brand Fam Areas (Enc)'!$G$6:$G$998,0)),"No Match")</f>
        <v>No Match</v>
      </c>
      <c r="F1877" s="2" t="str">
        <f t="shared" si="58"/>
        <v>US</v>
      </c>
      <c r="G1877" s="2" t="str">
        <f t="shared" si="59"/>
        <v>Jerzey Jungle|UNION</v>
      </c>
    </row>
    <row r="1878" spans="1:7" x14ac:dyDescent="0.2">
      <c r="A1878" s="2" t="str" cm="1">
        <f t="array" ref="A1878">INDEX('[1]Brand Family Territory (Enc)'!$A$2:$A$296,INT((ROW()-2)/10)+1)</f>
        <v>Jerzey Jungle</v>
      </c>
      <c r="B1878" s="2" t="str" cm="1">
        <f t="array" ref="B1878">INDEX('Whitelist (Blackout Reverse)'!$B$1:$K$1,MOD(ROW()-2,10)+1)</f>
        <v>SUSSEX</v>
      </c>
      <c r="C1878" s="2" t="str">
        <f>VLOOKUP(A1878,'[1]Brand Family Territory (Enc)'!$A$2:$B$296,2,FALSE)</f>
        <v>All Counties</v>
      </c>
      <c r="D1878" s="2">
        <f>IF(COUNTIFS('[1]Brand Family Territories (Enc)'!$B$2:$B$62,C1878,'[1]Brand Family Territories (Enc)'!$C$2:$C$62,B1878)&gt;0,1,IF(AND(LEFT(B1878,6)="MORRIS",COUNTIFS('[1]Brand Family Territories (Enc)'!$B$2:$B$62,C1878,'[1]Brand Family Territories (Enc)'!$C$2:$C$62,"Morri")&gt;0),"Unk",0))</f>
        <v>1</v>
      </c>
      <c r="E1878" s="2" t="str">
        <f>IFERROR(INDEX('Blackout Brand Fam Areas (Enc)'!$D$6:$D$998,MATCH(UPPER(A1878)&amp;"|"&amp;UPPER(B1878),'Blackout Brand Fam Areas (Enc)'!$G$6:$G$998,0)),"No Match")</f>
        <v>No Match</v>
      </c>
      <c r="F1878" s="2" t="str">
        <f t="shared" si="58"/>
        <v>US</v>
      </c>
      <c r="G1878" s="2" t="str">
        <f t="shared" si="59"/>
        <v>Jerzey Jungle|SUSSEX</v>
      </c>
    </row>
    <row r="1879" spans="1:7" x14ac:dyDescent="0.2">
      <c r="A1879" s="2" t="str" cm="1">
        <f t="array" ref="A1879">INDEX('[1]Brand Family Territory (Enc)'!$A$2:$A$296,INT((ROW()-2)/10)+1)</f>
        <v>Jerzey Jungle</v>
      </c>
      <c r="B1879" s="2" t="str" cm="1">
        <f t="array" ref="B1879">INDEX('Whitelist (Blackout Reverse)'!$B$1:$K$1,MOD(ROW()-2,10)+1)</f>
        <v>MORRIS 1</v>
      </c>
      <c r="C1879" s="2" t="str">
        <f>VLOOKUP(A1879,'[1]Brand Family Territory (Enc)'!$A$2:$B$296,2,FALSE)</f>
        <v>All Counties</v>
      </c>
      <c r="D1879" s="2">
        <f>IF(COUNTIFS('[1]Brand Family Territories (Enc)'!$B$2:$B$62,C1879,'[1]Brand Family Territories (Enc)'!$C$2:$C$62,B1879)&gt;0,1,IF(AND(LEFT(B1879,6)="MORRIS",COUNTIFS('[1]Brand Family Territories (Enc)'!$B$2:$B$62,C1879,'[1]Brand Family Territories (Enc)'!$C$2:$C$62,"Morri")&gt;0),"Unk",0))</f>
        <v>1</v>
      </c>
      <c r="E1879" s="2" t="str">
        <f>IFERROR(INDEX('Blackout Brand Fam Areas (Enc)'!$D$6:$D$998,MATCH(UPPER(A1879)&amp;"|"&amp;UPPER(B1879),'Blackout Brand Fam Areas (Enc)'!$G$6:$G$998,0)),"No Match")</f>
        <v>No Match</v>
      </c>
      <c r="F1879" s="2" t="str">
        <f t="shared" si="58"/>
        <v>US</v>
      </c>
      <c r="G1879" s="2" t="str">
        <f t="shared" si="59"/>
        <v>Jerzey Jungle|MORRIS 1</v>
      </c>
    </row>
    <row r="1880" spans="1:7" x14ac:dyDescent="0.2">
      <c r="A1880" s="2" t="str" cm="1">
        <f t="array" ref="A1880">INDEX('[1]Brand Family Territory (Enc)'!$A$2:$A$296,INT((ROW()-2)/10)+1)</f>
        <v>Jerzey Jungle</v>
      </c>
      <c r="B1880" s="2" t="str" cm="1">
        <f t="array" ref="B1880">INDEX('Whitelist (Blackout Reverse)'!$B$1:$K$1,MOD(ROW()-2,10)+1)</f>
        <v>MORRIS 2</v>
      </c>
      <c r="C1880" s="2" t="str">
        <f>VLOOKUP(A1880,'[1]Brand Family Territory (Enc)'!$A$2:$B$296,2,FALSE)</f>
        <v>All Counties</v>
      </c>
      <c r="D1880" s="2">
        <f>IF(COUNTIFS('[1]Brand Family Territories (Enc)'!$B$2:$B$62,C1880,'[1]Brand Family Territories (Enc)'!$C$2:$C$62,B1880)&gt;0,1,IF(AND(LEFT(B1880,6)="MORRIS",COUNTIFS('[1]Brand Family Territories (Enc)'!$B$2:$B$62,C1880,'[1]Brand Family Territories (Enc)'!$C$2:$C$62,"Morri")&gt;0),"Unk",0))</f>
        <v>1</v>
      </c>
      <c r="E1880" s="2" t="str">
        <f>IFERROR(INDEX('Blackout Brand Fam Areas (Enc)'!$D$6:$D$998,MATCH(UPPER(A1880)&amp;"|"&amp;UPPER(B1880),'Blackout Brand Fam Areas (Enc)'!$G$6:$G$998,0)),"No Match")</f>
        <v>No Match</v>
      </c>
      <c r="F1880" s="2" t="str">
        <f t="shared" si="58"/>
        <v>US</v>
      </c>
      <c r="G1880" s="2" t="str">
        <f t="shared" si="59"/>
        <v>Jerzey Jungle|MORRIS 2</v>
      </c>
    </row>
    <row r="1881" spans="1:7" x14ac:dyDescent="0.2">
      <c r="A1881" s="2" t="str" cm="1">
        <f t="array" ref="A1881">INDEX('[1]Brand Family Territory (Enc)'!$A$2:$A$296,INT((ROW()-2)/10)+1)</f>
        <v>Jerzey Jungle</v>
      </c>
      <c r="B1881" s="2" t="str" cm="1">
        <f t="array" ref="B1881">INDEX('Whitelist (Blackout Reverse)'!$B$1:$K$1,MOD(ROW()-2,10)+1)</f>
        <v>MORRIS 3</v>
      </c>
      <c r="C1881" s="2" t="str">
        <f>VLOOKUP(A1881,'[1]Brand Family Territory (Enc)'!$A$2:$B$296,2,FALSE)</f>
        <v>All Counties</v>
      </c>
      <c r="D1881" s="2">
        <f>IF(COUNTIFS('[1]Brand Family Territories (Enc)'!$B$2:$B$62,C1881,'[1]Brand Family Territories (Enc)'!$C$2:$C$62,B1881)&gt;0,1,IF(AND(LEFT(B1881,6)="MORRIS",COUNTIFS('[1]Brand Family Territories (Enc)'!$B$2:$B$62,C1881,'[1]Brand Family Territories (Enc)'!$C$2:$C$62,"Morri")&gt;0),"Unk",0))</f>
        <v>1</v>
      </c>
      <c r="E1881" s="2" t="str">
        <f>IFERROR(INDEX('Blackout Brand Fam Areas (Enc)'!$D$6:$D$998,MATCH(UPPER(A1881)&amp;"|"&amp;UPPER(B1881),'Blackout Brand Fam Areas (Enc)'!$G$6:$G$998,0)),"No Match")</f>
        <v>No Match</v>
      </c>
      <c r="F1881" s="2" t="str">
        <f t="shared" si="58"/>
        <v>US</v>
      </c>
      <c r="G1881" s="2" t="str">
        <f t="shared" si="59"/>
        <v>Jerzey Jungle|MORRIS 3</v>
      </c>
    </row>
    <row r="1882" spans="1:7" x14ac:dyDescent="0.2">
      <c r="A1882" s="2" t="str" cm="1">
        <f t="array" ref="A1882">INDEX('[1]Brand Family Territory (Enc)'!$A$2:$A$296,INT((ROW()-2)/10)+1)</f>
        <v>Kingfisher Premium</v>
      </c>
      <c r="B1882" s="2" t="str" cm="1">
        <f t="array" ref="B1882">INDEX('Whitelist (Blackout Reverse)'!$B$1:$K$1,MOD(ROW()-2,10)+1)</f>
        <v>BERGEN</v>
      </c>
      <c r="C1882" s="2" t="str">
        <f>VLOOKUP(A1882,'[1]Brand Family Territory (Enc)'!$A$2:$B$296,2,FALSE)</f>
        <v>All Counties</v>
      </c>
      <c r="D1882" s="2">
        <f>IF(COUNTIFS('[1]Brand Family Territories (Enc)'!$B$2:$B$62,C1882,'[1]Brand Family Territories (Enc)'!$C$2:$C$62,B1882)&gt;0,1,IF(AND(LEFT(B1882,6)="MORRIS",COUNTIFS('[1]Brand Family Territories (Enc)'!$B$2:$B$62,C1882,'[1]Brand Family Territories (Enc)'!$C$2:$C$62,"Morri")&gt;0),"Unk",0))</f>
        <v>1</v>
      </c>
      <c r="E1882" s="2" t="str">
        <f>IFERROR(INDEX('Blackout Brand Fam Areas (Enc)'!$D$6:$D$998,MATCH(UPPER(A1882)&amp;"|"&amp;UPPER(B1882),'Blackout Brand Fam Areas (Enc)'!$G$6:$G$998,0)),"No Match")</f>
        <v>No Match</v>
      </c>
      <c r="F1882" s="2" t="str">
        <f t="shared" si="58"/>
        <v>US</v>
      </c>
      <c r="G1882" s="2" t="str">
        <f t="shared" si="59"/>
        <v>Kingfisher Premium|BERGEN</v>
      </c>
    </row>
    <row r="1883" spans="1:7" x14ac:dyDescent="0.2">
      <c r="A1883" s="2" t="str" cm="1">
        <f t="array" ref="A1883">INDEX('[1]Brand Family Territory (Enc)'!$A$2:$A$296,INT((ROW()-2)/10)+1)</f>
        <v>Kingfisher Premium</v>
      </c>
      <c r="B1883" s="2" t="str" cm="1">
        <f t="array" ref="B1883">INDEX('Whitelist (Blackout Reverse)'!$B$1:$K$1,MOD(ROW()-2,10)+1)</f>
        <v>PASSAIC</v>
      </c>
      <c r="C1883" s="2" t="str">
        <f>VLOOKUP(A1883,'[1]Brand Family Territory (Enc)'!$A$2:$B$296,2,FALSE)</f>
        <v>All Counties</v>
      </c>
      <c r="D1883" s="2">
        <f>IF(COUNTIFS('[1]Brand Family Territories (Enc)'!$B$2:$B$62,C1883,'[1]Brand Family Territories (Enc)'!$C$2:$C$62,B1883)&gt;0,1,IF(AND(LEFT(B1883,6)="MORRIS",COUNTIFS('[1]Brand Family Territories (Enc)'!$B$2:$B$62,C1883,'[1]Brand Family Territories (Enc)'!$C$2:$C$62,"Morri")&gt;0),"Unk",0))</f>
        <v>1</v>
      </c>
      <c r="E1883" s="2" t="str">
        <f>IFERROR(INDEX('Blackout Brand Fam Areas (Enc)'!$D$6:$D$998,MATCH(UPPER(A1883)&amp;"|"&amp;UPPER(B1883),'Blackout Brand Fam Areas (Enc)'!$G$6:$G$998,0)),"No Match")</f>
        <v>No Match</v>
      </c>
      <c r="F1883" s="2" t="str">
        <f t="shared" si="58"/>
        <v>US</v>
      </c>
      <c r="G1883" s="2" t="str">
        <f t="shared" si="59"/>
        <v>Kingfisher Premium|PASSAIC</v>
      </c>
    </row>
    <row r="1884" spans="1:7" x14ac:dyDescent="0.2">
      <c r="A1884" s="2" t="str" cm="1">
        <f t="array" ref="A1884">INDEX('[1]Brand Family Territory (Enc)'!$A$2:$A$296,INT((ROW()-2)/10)+1)</f>
        <v>Kingfisher Premium</v>
      </c>
      <c r="B1884" s="2" t="str" cm="1">
        <f t="array" ref="B1884">INDEX('Whitelist (Blackout Reverse)'!$B$1:$K$1,MOD(ROW()-2,10)+1)</f>
        <v>PASSAIC-FF</v>
      </c>
      <c r="C1884" s="2" t="str">
        <f>VLOOKUP(A1884,'[1]Brand Family Territory (Enc)'!$A$2:$B$296,2,FALSE)</f>
        <v>All Counties</v>
      </c>
      <c r="D1884" s="2">
        <f>IF(COUNTIFS('[1]Brand Family Territories (Enc)'!$B$2:$B$62,C1884,'[1]Brand Family Territories (Enc)'!$C$2:$C$62,B1884)&gt;0,1,IF(AND(LEFT(B1884,6)="MORRIS",COUNTIFS('[1]Brand Family Territories (Enc)'!$B$2:$B$62,C1884,'[1]Brand Family Territories (Enc)'!$C$2:$C$62,"Morri")&gt;0),"Unk",0))</f>
        <v>1</v>
      </c>
      <c r="E1884" s="2" t="str">
        <f>IFERROR(INDEX('Blackout Brand Fam Areas (Enc)'!$D$6:$D$998,MATCH(UPPER(A1884)&amp;"|"&amp;UPPER(B1884),'Blackout Brand Fam Areas (Enc)'!$G$6:$G$998,0)),"No Match")</f>
        <v>No Match</v>
      </c>
      <c r="F1884" s="2" t="str">
        <f t="shared" si="58"/>
        <v>US</v>
      </c>
      <c r="G1884" s="2" t="str">
        <f t="shared" si="59"/>
        <v>Kingfisher Premium|PASSAIC-FF</v>
      </c>
    </row>
    <row r="1885" spans="1:7" x14ac:dyDescent="0.2">
      <c r="A1885" s="2" t="str" cm="1">
        <f t="array" ref="A1885">INDEX('[1]Brand Family Territory (Enc)'!$A$2:$A$296,INT((ROW()-2)/10)+1)</f>
        <v>Kingfisher Premium</v>
      </c>
      <c r="B1885" s="2" t="str" cm="1">
        <f t="array" ref="B1885">INDEX('Whitelist (Blackout Reverse)'!$B$1:$K$1,MOD(ROW()-2,10)+1)</f>
        <v>ESSEX</v>
      </c>
      <c r="C1885" s="2" t="str">
        <f>VLOOKUP(A1885,'[1]Brand Family Territory (Enc)'!$A$2:$B$296,2,FALSE)</f>
        <v>All Counties</v>
      </c>
      <c r="D1885" s="2">
        <f>IF(COUNTIFS('[1]Brand Family Territories (Enc)'!$B$2:$B$62,C1885,'[1]Brand Family Territories (Enc)'!$C$2:$C$62,B1885)&gt;0,1,IF(AND(LEFT(B1885,6)="MORRIS",COUNTIFS('[1]Brand Family Territories (Enc)'!$B$2:$B$62,C1885,'[1]Brand Family Territories (Enc)'!$C$2:$C$62,"Morri")&gt;0),"Unk",0))</f>
        <v>1</v>
      </c>
      <c r="E1885" s="2" t="str">
        <f>IFERROR(INDEX('Blackout Brand Fam Areas (Enc)'!$D$6:$D$998,MATCH(UPPER(A1885)&amp;"|"&amp;UPPER(B1885),'Blackout Brand Fam Areas (Enc)'!$G$6:$G$998,0)),"No Match")</f>
        <v>No Match</v>
      </c>
      <c r="F1885" s="2" t="str">
        <f t="shared" si="58"/>
        <v>US</v>
      </c>
      <c r="G1885" s="2" t="str">
        <f t="shared" si="59"/>
        <v>Kingfisher Premium|ESSEX</v>
      </c>
    </row>
    <row r="1886" spans="1:7" x14ac:dyDescent="0.2">
      <c r="A1886" s="2" t="str" cm="1">
        <f t="array" ref="A1886">INDEX('[1]Brand Family Territory (Enc)'!$A$2:$A$296,INT((ROW()-2)/10)+1)</f>
        <v>Kingfisher Premium</v>
      </c>
      <c r="B1886" s="2" t="str" cm="1">
        <f t="array" ref="B1886">INDEX('Whitelist (Blackout Reverse)'!$B$1:$K$1,MOD(ROW()-2,10)+1)</f>
        <v>HUDSON</v>
      </c>
      <c r="C1886" s="2" t="str">
        <f>VLOOKUP(A1886,'[1]Brand Family Territory (Enc)'!$A$2:$B$296,2,FALSE)</f>
        <v>All Counties</v>
      </c>
      <c r="D1886" s="2">
        <f>IF(COUNTIFS('[1]Brand Family Territories (Enc)'!$B$2:$B$62,C1886,'[1]Brand Family Territories (Enc)'!$C$2:$C$62,B1886)&gt;0,1,IF(AND(LEFT(B1886,6)="MORRIS",COUNTIFS('[1]Brand Family Territories (Enc)'!$B$2:$B$62,C1886,'[1]Brand Family Territories (Enc)'!$C$2:$C$62,"Morri")&gt;0),"Unk",0))</f>
        <v>1</v>
      </c>
      <c r="E1886" s="2" t="str">
        <f>IFERROR(INDEX('Blackout Brand Fam Areas (Enc)'!$D$6:$D$998,MATCH(UPPER(A1886)&amp;"|"&amp;UPPER(B1886),'Blackout Brand Fam Areas (Enc)'!$G$6:$G$998,0)),"No Match")</f>
        <v>No Match</v>
      </c>
      <c r="F1886" s="2" t="str">
        <f t="shared" si="58"/>
        <v>US</v>
      </c>
      <c r="G1886" s="2" t="str">
        <f t="shared" si="59"/>
        <v>Kingfisher Premium|HUDSON</v>
      </c>
    </row>
    <row r="1887" spans="1:7" x14ac:dyDescent="0.2">
      <c r="A1887" s="2" t="str" cm="1">
        <f t="array" ref="A1887">INDEX('[1]Brand Family Territory (Enc)'!$A$2:$A$296,INT((ROW()-2)/10)+1)</f>
        <v>Kingfisher Premium</v>
      </c>
      <c r="B1887" s="2" t="str" cm="1">
        <f t="array" ref="B1887">INDEX('Whitelist (Blackout Reverse)'!$B$1:$K$1,MOD(ROW()-2,10)+1)</f>
        <v>UNION</v>
      </c>
      <c r="C1887" s="2" t="str">
        <f>VLOOKUP(A1887,'[1]Brand Family Territory (Enc)'!$A$2:$B$296,2,FALSE)</f>
        <v>All Counties</v>
      </c>
      <c r="D1887" s="2">
        <f>IF(COUNTIFS('[1]Brand Family Territories (Enc)'!$B$2:$B$62,C1887,'[1]Brand Family Territories (Enc)'!$C$2:$C$62,B1887)&gt;0,1,IF(AND(LEFT(B1887,6)="MORRIS",COUNTIFS('[1]Brand Family Territories (Enc)'!$B$2:$B$62,C1887,'[1]Brand Family Territories (Enc)'!$C$2:$C$62,"Morri")&gt;0),"Unk",0))</f>
        <v>1</v>
      </c>
      <c r="E1887" s="2" t="str">
        <f>IFERROR(INDEX('Blackout Brand Fam Areas (Enc)'!$D$6:$D$998,MATCH(UPPER(A1887)&amp;"|"&amp;UPPER(B1887),'Blackout Brand Fam Areas (Enc)'!$G$6:$G$998,0)),"No Match")</f>
        <v>No Match</v>
      </c>
      <c r="F1887" s="2" t="str">
        <f t="shared" si="58"/>
        <v>US</v>
      </c>
      <c r="G1887" s="2" t="str">
        <f t="shared" si="59"/>
        <v>Kingfisher Premium|UNION</v>
      </c>
    </row>
    <row r="1888" spans="1:7" x14ac:dyDescent="0.2">
      <c r="A1888" s="2" t="str" cm="1">
        <f t="array" ref="A1888">INDEX('[1]Brand Family Territory (Enc)'!$A$2:$A$296,INT((ROW()-2)/10)+1)</f>
        <v>Kingfisher Premium</v>
      </c>
      <c r="B1888" s="2" t="str" cm="1">
        <f t="array" ref="B1888">INDEX('Whitelist (Blackout Reverse)'!$B$1:$K$1,MOD(ROW()-2,10)+1)</f>
        <v>SUSSEX</v>
      </c>
      <c r="C1888" s="2" t="str">
        <f>VLOOKUP(A1888,'[1]Brand Family Territory (Enc)'!$A$2:$B$296,2,FALSE)</f>
        <v>All Counties</v>
      </c>
      <c r="D1888" s="2">
        <f>IF(COUNTIFS('[1]Brand Family Territories (Enc)'!$B$2:$B$62,C1888,'[1]Brand Family Territories (Enc)'!$C$2:$C$62,B1888)&gt;0,1,IF(AND(LEFT(B1888,6)="MORRIS",COUNTIFS('[1]Brand Family Territories (Enc)'!$B$2:$B$62,C1888,'[1]Brand Family Territories (Enc)'!$C$2:$C$62,"Morri")&gt;0),"Unk",0))</f>
        <v>1</v>
      </c>
      <c r="E1888" s="2" t="str">
        <f>IFERROR(INDEX('Blackout Brand Fam Areas (Enc)'!$D$6:$D$998,MATCH(UPPER(A1888)&amp;"|"&amp;UPPER(B1888),'Blackout Brand Fam Areas (Enc)'!$G$6:$G$998,0)),"No Match")</f>
        <v>No Match</v>
      </c>
      <c r="F1888" s="2" t="str">
        <f t="shared" si="58"/>
        <v>US</v>
      </c>
      <c r="G1888" s="2" t="str">
        <f t="shared" si="59"/>
        <v>Kingfisher Premium|SUSSEX</v>
      </c>
    </row>
    <row r="1889" spans="1:7" x14ac:dyDescent="0.2">
      <c r="A1889" s="2" t="str" cm="1">
        <f t="array" ref="A1889">INDEX('[1]Brand Family Territory (Enc)'!$A$2:$A$296,INT((ROW()-2)/10)+1)</f>
        <v>Kingfisher Premium</v>
      </c>
      <c r="B1889" s="2" t="str" cm="1">
        <f t="array" ref="B1889">INDEX('Whitelist (Blackout Reverse)'!$B$1:$K$1,MOD(ROW()-2,10)+1)</f>
        <v>MORRIS 1</v>
      </c>
      <c r="C1889" s="2" t="str">
        <f>VLOOKUP(A1889,'[1]Brand Family Territory (Enc)'!$A$2:$B$296,2,FALSE)</f>
        <v>All Counties</v>
      </c>
      <c r="D1889" s="2">
        <f>IF(COUNTIFS('[1]Brand Family Territories (Enc)'!$B$2:$B$62,C1889,'[1]Brand Family Territories (Enc)'!$C$2:$C$62,B1889)&gt;0,1,IF(AND(LEFT(B1889,6)="MORRIS",COUNTIFS('[1]Brand Family Territories (Enc)'!$B$2:$B$62,C1889,'[1]Brand Family Territories (Enc)'!$C$2:$C$62,"Morri")&gt;0),"Unk",0))</f>
        <v>1</v>
      </c>
      <c r="E1889" s="2" t="str">
        <f>IFERROR(INDEX('Blackout Brand Fam Areas (Enc)'!$D$6:$D$998,MATCH(UPPER(A1889)&amp;"|"&amp;UPPER(B1889),'Blackout Brand Fam Areas (Enc)'!$G$6:$G$998,0)),"No Match")</f>
        <v>No Match</v>
      </c>
      <c r="F1889" s="2" t="str">
        <f t="shared" si="58"/>
        <v>US</v>
      </c>
      <c r="G1889" s="2" t="str">
        <f t="shared" si="59"/>
        <v>Kingfisher Premium|MORRIS 1</v>
      </c>
    </row>
    <row r="1890" spans="1:7" x14ac:dyDescent="0.2">
      <c r="A1890" s="2" t="str" cm="1">
        <f t="array" ref="A1890">INDEX('[1]Brand Family Territory (Enc)'!$A$2:$A$296,INT((ROW()-2)/10)+1)</f>
        <v>Kingfisher Premium</v>
      </c>
      <c r="B1890" s="2" t="str" cm="1">
        <f t="array" ref="B1890">INDEX('Whitelist (Blackout Reverse)'!$B$1:$K$1,MOD(ROW()-2,10)+1)</f>
        <v>MORRIS 2</v>
      </c>
      <c r="C1890" s="2" t="str">
        <f>VLOOKUP(A1890,'[1]Brand Family Territory (Enc)'!$A$2:$B$296,2,FALSE)</f>
        <v>All Counties</v>
      </c>
      <c r="D1890" s="2">
        <f>IF(COUNTIFS('[1]Brand Family Territories (Enc)'!$B$2:$B$62,C1890,'[1]Brand Family Territories (Enc)'!$C$2:$C$62,B1890)&gt;0,1,IF(AND(LEFT(B1890,6)="MORRIS",COUNTIFS('[1]Brand Family Territories (Enc)'!$B$2:$B$62,C1890,'[1]Brand Family Territories (Enc)'!$C$2:$C$62,"Morri")&gt;0),"Unk",0))</f>
        <v>1</v>
      </c>
      <c r="E1890" s="2" t="str">
        <f>IFERROR(INDEX('Blackout Brand Fam Areas (Enc)'!$D$6:$D$998,MATCH(UPPER(A1890)&amp;"|"&amp;UPPER(B1890),'Blackout Brand Fam Areas (Enc)'!$G$6:$G$998,0)),"No Match")</f>
        <v>No Match</v>
      </c>
      <c r="F1890" s="2" t="str">
        <f t="shared" si="58"/>
        <v>US</v>
      </c>
      <c r="G1890" s="2" t="str">
        <f t="shared" si="59"/>
        <v>Kingfisher Premium|MORRIS 2</v>
      </c>
    </row>
    <row r="1891" spans="1:7" x14ac:dyDescent="0.2">
      <c r="A1891" s="2" t="str" cm="1">
        <f t="array" ref="A1891">INDEX('[1]Brand Family Territory (Enc)'!$A$2:$A$296,INT((ROW()-2)/10)+1)</f>
        <v>Kingfisher Premium</v>
      </c>
      <c r="B1891" s="2" t="str" cm="1">
        <f t="array" ref="B1891">INDEX('Whitelist (Blackout Reverse)'!$B$1:$K$1,MOD(ROW()-2,10)+1)</f>
        <v>MORRIS 3</v>
      </c>
      <c r="C1891" s="2" t="str">
        <f>VLOOKUP(A1891,'[1]Brand Family Territory (Enc)'!$A$2:$B$296,2,FALSE)</f>
        <v>All Counties</v>
      </c>
      <c r="D1891" s="2">
        <f>IF(COUNTIFS('[1]Brand Family Territories (Enc)'!$B$2:$B$62,C1891,'[1]Brand Family Territories (Enc)'!$C$2:$C$62,B1891)&gt;0,1,IF(AND(LEFT(B1891,6)="MORRIS",COUNTIFS('[1]Brand Family Territories (Enc)'!$B$2:$B$62,C1891,'[1]Brand Family Territories (Enc)'!$C$2:$C$62,"Morri")&gt;0),"Unk",0))</f>
        <v>1</v>
      </c>
      <c r="E1891" s="2" t="str">
        <f>IFERROR(INDEX('Blackout Brand Fam Areas (Enc)'!$D$6:$D$998,MATCH(UPPER(A1891)&amp;"|"&amp;UPPER(B1891),'Blackout Brand Fam Areas (Enc)'!$G$6:$G$998,0)),"No Match")</f>
        <v>No Match</v>
      </c>
      <c r="F1891" s="2" t="str">
        <f t="shared" si="58"/>
        <v>US</v>
      </c>
      <c r="G1891" s="2" t="str">
        <f t="shared" si="59"/>
        <v>Kingfisher Premium|MORRIS 3</v>
      </c>
    </row>
    <row r="1892" spans="1:7" x14ac:dyDescent="0.2">
      <c r="A1892" s="2" t="str" cm="1">
        <f t="array" ref="A1892">INDEX('[1]Brand Family Territory (Enc)'!$A$2:$A$296,INT((ROW()-2)/10)+1)</f>
        <v>Krusovice</v>
      </c>
      <c r="B1892" s="2" t="str" cm="1">
        <f t="array" ref="B1892">INDEX('Whitelist (Blackout Reverse)'!$B$1:$K$1,MOD(ROW()-2,10)+1)</f>
        <v>BERGEN</v>
      </c>
      <c r="C1892" s="2" t="str">
        <f>VLOOKUP(A1892,'[1]Brand Family Territory (Enc)'!$A$2:$B$296,2,FALSE)</f>
        <v>All Counties</v>
      </c>
      <c r="D1892" s="2">
        <f>IF(COUNTIFS('[1]Brand Family Territories (Enc)'!$B$2:$B$62,C1892,'[1]Brand Family Territories (Enc)'!$C$2:$C$62,B1892)&gt;0,1,IF(AND(LEFT(B1892,6)="MORRIS",COUNTIFS('[1]Brand Family Territories (Enc)'!$B$2:$B$62,C1892,'[1]Brand Family Territories (Enc)'!$C$2:$C$62,"Morri")&gt;0),"Unk",0))</f>
        <v>1</v>
      </c>
      <c r="E1892" s="2" t="str">
        <f>IFERROR(INDEX('Blackout Brand Fam Areas (Enc)'!$D$6:$D$998,MATCH(UPPER(A1892)&amp;"|"&amp;UPPER(B1892),'Blackout Brand Fam Areas (Enc)'!$G$6:$G$998,0)),"No Match")</f>
        <v>No Match</v>
      </c>
      <c r="F1892" s="2" t="str">
        <f t="shared" si="58"/>
        <v>US</v>
      </c>
      <c r="G1892" s="2" t="str">
        <f t="shared" si="59"/>
        <v>Krusovice|BERGEN</v>
      </c>
    </row>
    <row r="1893" spans="1:7" x14ac:dyDescent="0.2">
      <c r="A1893" s="2" t="str" cm="1">
        <f t="array" ref="A1893">INDEX('[1]Brand Family Territory (Enc)'!$A$2:$A$296,INT((ROW()-2)/10)+1)</f>
        <v>Krusovice</v>
      </c>
      <c r="B1893" s="2" t="str" cm="1">
        <f t="array" ref="B1893">INDEX('Whitelist (Blackout Reverse)'!$B$1:$K$1,MOD(ROW()-2,10)+1)</f>
        <v>PASSAIC</v>
      </c>
      <c r="C1893" s="2" t="str">
        <f>VLOOKUP(A1893,'[1]Brand Family Territory (Enc)'!$A$2:$B$296,2,FALSE)</f>
        <v>All Counties</v>
      </c>
      <c r="D1893" s="2">
        <f>IF(COUNTIFS('[1]Brand Family Territories (Enc)'!$B$2:$B$62,C1893,'[1]Brand Family Territories (Enc)'!$C$2:$C$62,B1893)&gt;0,1,IF(AND(LEFT(B1893,6)="MORRIS",COUNTIFS('[1]Brand Family Territories (Enc)'!$B$2:$B$62,C1893,'[1]Brand Family Territories (Enc)'!$C$2:$C$62,"Morri")&gt;0),"Unk",0))</f>
        <v>1</v>
      </c>
      <c r="E1893" s="2" t="str">
        <f>IFERROR(INDEX('Blackout Brand Fam Areas (Enc)'!$D$6:$D$998,MATCH(UPPER(A1893)&amp;"|"&amp;UPPER(B1893),'Blackout Brand Fam Areas (Enc)'!$G$6:$G$998,0)),"No Match")</f>
        <v>No Match</v>
      </c>
      <c r="F1893" s="2" t="str">
        <f t="shared" si="58"/>
        <v>US</v>
      </c>
      <c r="G1893" s="2" t="str">
        <f t="shared" si="59"/>
        <v>Krusovice|PASSAIC</v>
      </c>
    </row>
    <row r="1894" spans="1:7" x14ac:dyDescent="0.2">
      <c r="A1894" s="2" t="str" cm="1">
        <f t="array" ref="A1894">INDEX('[1]Brand Family Territory (Enc)'!$A$2:$A$296,INT((ROW()-2)/10)+1)</f>
        <v>Krusovice</v>
      </c>
      <c r="B1894" s="2" t="str" cm="1">
        <f t="array" ref="B1894">INDEX('Whitelist (Blackout Reverse)'!$B$1:$K$1,MOD(ROW()-2,10)+1)</f>
        <v>PASSAIC-FF</v>
      </c>
      <c r="C1894" s="2" t="str">
        <f>VLOOKUP(A1894,'[1]Brand Family Territory (Enc)'!$A$2:$B$296,2,FALSE)</f>
        <v>All Counties</v>
      </c>
      <c r="D1894" s="2">
        <f>IF(COUNTIFS('[1]Brand Family Territories (Enc)'!$B$2:$B$62,C1894,'[1]Brand Family Territories (Enc)'!$C$2:$C$62,B1894)&gt;0,1,IF(AND(LEFT(B1894,6)="MORRIS",COUNTIFS('[1]Brand Family Territories (Enc)'!$B$2:$B$62,C1894,'[1]Brand Family Territories (Enc)'!$C$2:$C$62,"Morri")&gt;0),"Unk",0))</f>
        <v>1</v>
      </c>
      <c r="E1894" s="2" t="str">
        <f>IFERROR(INDEX('Blackout Brand Fam Areas (Enc)'!$D$6:$D$998,MATCH(UPPER(A1894)&amp;"|"&amp;UPPER(B1894),'Blackout Brand Fam Areas (Enc)'!$G$6:$G$998,0)),"No Match")</f>
        <v>No Match</v>
      </c>
      <c r="F1894" s="2" t="str">
        <f t="shared" si="58"/>
        <v>US</v>
      </c>
      <c r="G1894" s="2" t="str">
        <f t="shared" si="59"/>
        <v>Krusovice|PASSAIC-FF</v>
      </c>
    </row>
    <row r="1895" spans="1:7" x14ac:dyDescent="0.2">
      <c r="A1895" s="2" t="str" cm="1">
        <f t="array" ref="A1895">INDEX('[1]Brand Family Territory (Enc)'!$A$2:$A$296,INT((ROW()-2)/10)+1)</f>
        <v>Krusovice</v>
      </c>
      <c r="B1895" s="2" t="str" cm="1">
        <f t="array" ref="B1895">INDEX('Whitelist (Blackout Reverse)'!$B$1:$K$1,MOD(ROW()-2,10)+1)</f>
        <v>ESSEX</v>
      </c>
      <c r="C1895" s="2" t="str">
        <f>VLOOKUP(A1895,'[1]Brand Family Territory (Enc)'!$A$2:$B$296,2,FALSE)</f>
        <v>All Counties</v>
      </c>
      <c r="D1895" s="2">
        <f>IF(COUNTIFS('[1]Brand Family Territories (Enc)'!$B$2:$B$62,C1895,'[1]Brand Family Territories (Enc)'!$C$2:$C$62,B1895)&gt;0,1,IF(AND(LEFT(B1895,6)="MORRIS",COUNTIFS('[1]Brand Family Territories (Enc)'!$B$2:$B$62,C1895,'[1]Brand Family Territories (Enc)'!$C$2:$C$62,"Morri")&gt;0),"Unk",0))</f>
        <v>1</v>
      </c>
      <c r="E1895" s="2" t="str">
        <f>IFERROR(INDEX('Blackout Brand Fam Areas (Enc)'!$D$6:$D$998,MATCH(UPPER(A1895)&amp;"|"&amp;UPPER(B1895),'Blackout Brand Fam Areas (Enc)'!$G$6:$G$998,0)),"No Match")</f>
        <v>No Match</v>
      </c>
      <c r="F1895" s="2" t="str">
        <f t="shared" si="58"/>
        <v>US</v>
      </c>
      <c r="G1895" s="2" t="str">
        <f t="shared" si="59"/>
        <v>Krusovice|ESSEX</v>
      </c>
    </row>
    <row r="1896" spans="1:7" x14ac:dyDescent="0.2">
      <c r="A1896" s="2" t="str" cm="1">
        <f t="array" ref="A1896">INDEX('[1]Brand Family Territory (Enc)'!$A$2:$A$296,INT((ROW()-2)/10)+1)</f>
        <v>Krusovice</v>
      </c>
      <c r="B1896" s="2" t="str" cm="1">
        <f t="array" ref="B1896">INDEX('Whitelist (Blackout Reverse)'!$B$1:$K$1,MOD(ROW()-2,10)+1)</f>
        <v>HUDSON</v>
      </c>
      <c r="C1896" s="2" t="str">
        <f>VLOOKUP(A1896,'[1]Brand Family Territory (Enc)'!$A$2:$B$296,2,FALSE)</f>
        <v>All Counties</v>
      </c>
      <c r="D1896" s="2">
        <f>IF(COUNTIFS('[1]Brand Family Territories (Enc)'!$B$2:$B$62,C1896,'[1]Brand Family Territories (Enc)'!$C$2:$C$62,B1896)&gt;0,1,IF(AND(LEFT(B1896,6)="MORRIS",COUNTIFS('[1]Brand Family Territories (Enc)'!$B$2:$B$62,C1896,'[1]Brand Family Territories (Enc)'!$C$2:$C$62,"Morri")&gt;0),"Unk",0))</f>
        <v>1</v>
      </c>
      <c r="E1896" s="2" t="str">
        <f>IFERROR(INDEX('Blackout Brand Fam Areas (Enc)'!$D$6:$D$998,MATCH(UPPER(A1896)&amp;"|"&amp;UPPER(B1896),'Blackout Brand Fam Areas (Enc)'!$G$6:$G$998,0)),"No Match")</f>
        <v>No Match</v>
      </c>
      <c r="F1896" s="2" t="str">
        <f t="shared" si="58"/>
        <v>US</v>
      </c>
      <c r="G1896" s="2" t="str">
        <f t="shared" si="59"/>
        <v>Krusovice|HUDSON</v>
      </c>
    </row>
    <row r="1897" spans="1:7" x14ac:dyDescent="0.2">
      <c r="A1897" s="2" t="str" cm="1">
        <f t="array" ref="A1897">INDEX('[1]Brand Family Territory (Enc)'!$A$2:$A$296,INT((ROW()-2)/10)+1)</f>
        <v>Krusovice</v>
      </c>
      <c r="B1897" s="2" t="str" cm="1">
        <f t="array" ref="B1897">INDEX('Whitelist (Blackout Reverse)'!$B$1:$K$1,MOD(ROW()-2,10)+1)</f>
        <v>UNION</v>
      </c>
      <c r="C1897" s="2" t="str">
        <f>VLOOKUP(A1897,'[1]Brand Family Territory (Enc)'!$A$2:$B$296,2,FALSE)</f>
        <v>All Counties</v>
      </c>
      <c r="D1897" s="2">
        <f>IF(COUNTIFS('[1]Brand Family Territories (Enc)'!$B$2:$B$62,C1897,'[1]Brand Family Territories (Enc)'!$C$2:$C$62,B1897)&gt;0,1,IF(AND(LEFT(B1897,6)="MORRIS",COUNTIFS('[1]Brand Family Territories (Enc)'!$B$2:$B$62,C1897,'[1]Brand Family Territories (Enc)'!$C$2:$C$62,"Morri")&gt;0),"Unk",0))</f>
        <v>1</v>
      </c>
      <c r="E1897" s="2" t="str">
        <f>IFERROR(INDEX('Blackout Brand Fam Areas (Enc)'!$D$6:$D$998,MATCH(UPPER(A1897)&amp;"|"&amp;UPPER(B1897),'Blackout Brand Fam Areas (Enc)'!$G$6:$G$998,0)),"No Match")</f>
        <v>No Match</v>
      </c>
      <c r="F1897" s="2" t="str">
        <f t="shared" si="58"/>
        <v>US</v>
      </c>
      <c r="G1897" s="2" t="str">
        <f t="shared" si="59"/>
        <v>Krusovice|UNION</v>
      </c>
    </row>
    <row r="1898" spans="1:7" x14ac:dyDescent="0.2">
      <c r="A1898" s="2" t="str" cm="1">
        <f t="array" ref="A1898">INDEX('[1]Brand Family Territory (Enc)'!$A$2:$A$296,INT((ROW()-2)/10)+1)</f>
        <v>Krusovice</v>
      </c>
      <c r="B1898" s="2" t="str" cm="1">
        <f t="array" ref="B1898">INDEX('Whitelist (Blackout Reverse)'!$B$1:$K$1,MOD(ROW()-2,10)+1)</f>
        <v>SUSSEX</v>
      </c>
      <c r="C1898" s="2" t="str">
        <f>VLOOKUP(A1898,'[1]Brand Family Territory (Enc)'!$A$2:$B$296,2,FALSE)</f>
        <v>All Counties</v>
      </c>
      <c r="D1898" s="2">
        <f>IF(COUNTIFS('[1]Brand Family Territories (Enc)'!$B$2:$B$62,C1898,'[1]Brand Family Territories (Enc)'!$C$2:$C$62,B1898)&gt;0,1,IF(AND(LEFT(B1898,6)="MORRIS",COUNTIFS('[1]Brand Family Territories (Enc)'!$B$2:$B$62,C1898,'[1]Brand Family Territories (Enc)'!$C$2:$C$62,"Morri")&gt;0),"Unk",0))</f>
        <v>1</v>
      </c>
      <c r="E1898" s="2" t="str">
        <f>IFERROR(INDEX('Blackout Brand Fam Areas (Enc)'!$D$6:$D$998,MATCH(UPPER(A1898)&amp;"|"&amp;UPPER(B1898),'Blackout Brand Fam Areas (Enc)'!$G$6:$G$998,0)),"No Match")</f>
        <v>No Match</v>
      </c>
      <c r="F1898" s="2" t="str">
        <f t="shared" si="58"/>
        <v>US</v>
      </c>
      <c r="G1898" s="2" t="str">
        <f t="shared" si="59"/>
        <v>Krusovice|SUSSEX</v>
      </c>
    </row>
    <row r="1899" spans="1:7" x14ac:dyDescent="0.2">
      <c r="A1899" s="2" t="str" cm="1">
        <f t="array" ref="A1899">INDEX('[1]Brand Family Territory (Enc)'!$A$2:$A$296,INT((ROW()-2)/10)+1)</f>
        <v>Krusovice</v>
      </c>
      <c r="B1899" s="2" t="str" cm="1">
        <f t="array" ref="B1899">INDEX('Whitelist (Blackout Reverse)'!$B$1:$K$1,MOD(ROW()-2,10)+1)</f>
        <v>MORRIS 1</v>
      </c>
      <c r="C1899" s="2" t="str">
        <f>VLOOKUP(A1899,'[1]Brand Family Territory (Enc)'!$A$2:$B$296,2,FALSE)</f>
        <v>All Counties</v>
      </c>
      <c r="D1899" s="2">
        <f>IF(COUNTIFS('[1]Brand Family Territories (Enc)'!$B$2:$B$62,C1899,'[1]Brand Family Territories (Enc)'!$C$2:$C$62,B1899)&gt;0,1,IF(AND(LEFT(B1899,6)="MORRIS",COUNTIFS('[1]Brand Family Territories (Enc)'!$B$2:$B$62,C1899,'[1]Brand Family Territories (Enc)'!$C$2:$C$62,"Morri")&gt;0),"Unk",0))</f>
        <v>1</v>
      </c>
      <c r="E1899" s="2" t="str">
        <f>IFERROR(INDEX('Blackout Brand Fam Areas (Enc)'!$D$6:$D$998,MATCH(UPPER(A1899)&amp;"|"&amp;UPPER(B1899),'Blackout Brand Fam Areas (Enc)'!$G$6:$G$998,0)),"No Match")</f>
        <v>No Match</v>
      </c>
      <c r="F1899" s="2" t="str">
        <f t="shared" si="58"/>
        <v>US</v>
      </c>
      <c r="G1899" s="2" t="str">
        <f t="shared" si="59"/>
        <v>Krusovice|MORRIS 1</v>
      </c>
    </row>
    <row r="1900" spans="1:7" x14ac:dyDescent="0.2">
      <c r="A1900" s="2" t="str" cm="1">
        <f t="array" ref="A1900">INDEX('[1]Brand Family Territory (Enc)'!$A$2:$A$296,INT((ROW()-2)/10)+1)</f>
        <v>Krusovice</v>
      </c>
      <c r="B1900" s="2" t="str" cm="1">
        <f t="array" ref="B1900">INDEX('Whitelist (Blackout Reverse)'!$B$1:$K$1,MOD(ROW()-2,10)+1)</f>
        <v>MORRIS 2</v>
      </c>
      <c r="C1900" s="2" t="str">
        <f>VLOOKUP(A1900,'[1]Brand Family Territory (Enc)'!$A$2:$B$296,2,FALSE)</f>
        <v>All Counties</v>
      </c>
      <c r="D1900" s="2">
        <f>IF(COUNTIFS('[1]Brand Family Territories (Enc)'!$B$2:$B$62,C1900,'[1]Brand Family Territories (Enc)'!$C$2:$C$62,B1900)&gt;0,1,IF(AND(LEFT(B1900,6)="MORRIS",COUNTIFS('[1]Brand Family Territories (Enc)'!$B$2:$B$62,C1900,'[1]Brand Family Territories (Enc)'!$C$2:$C$62,"Morri")&gt;0),"Unk",0))</f>
        <v>1</v>
      </c>
      <c r="E1900" s="2" t="str">
        <f>IFERROR(INDEX('Blackout Brand Fam Areas (Enc)'!$D$6:$D$998,MATCH(UPPER(A1900)&amp;"|"&amp;UPPER(B1900),'Blackout Brand Fam Areas (Enc)'!$G$6:$G$998,0)),"No Match")</f>
        <v>No Match</v>
      </c>
      <c r="F1900" s="2" t="str">
        <f t="shared" si="58"/>
        <v>US</v>
      </c>
      <c r="G1900" s="2" t="str">
        <f t="shared" si="59"/>
        <v>Krusovice|MORRIS 2</v>
      </c>
    </row>
    <row r="1901" spans="1:7" x14ac:dyDescent="0.2">
      <c r="A1901" s="2" t="str" cm="1">
        <f t="array" ref="A1901">INDEX('[1]Brand Family Territory (Enc)'!$A$2:$A$296,INT((ROW()-2)/10)+1)</f>
        <v>Krusovice</v>
      </c>
      <c r="B1901" s="2" t="str" cm="1">
        <f t="array" ref="B1901">INDEX('Whitelist (Blackout Reverse)'!$B$1:$K$1,MOD(ROW()-2,10)+1)</f>
        <v>MORRIS 3</v>
      </c>
      <c r="C1901" s="2" t="str">
        <f>VLOOKUP(A1901,'[1]Brand Family Territory (Enc)'!$A$2:$B$296,2,FALSE)</f>
        <v>All Counties</v>
      </c>
      <c r="D1901" s="2">
        <f>IF(COUNTIFS('[1]Brand Family Territories (Enc)'!$B$2:$B$62,C1901,'[1]Brand Family Territories (Enc)'!$C$2:$C$62,B1901)&gt;0,1,IF(AND(LEFT(B1901,6)="MORRIS",COUNTIFS('[1]Brand Family Territories (Enc)'!$B$2:$B$62,C1901,'[1]Brand Family Territories (Enc)'!$C$2:$C$62,"Morri")&gt;0),"Unk",0))</f>
        <v>1</v>
      </c>
      <c r="E1901" s="2" t="str">
        <f>IFERROR(INDEX('Blackout Brand Fam Areas (Enc)'!$D$6:$D$998,MATCH(UPPER(A1901)&amp;"|"&amp;UPPER(B1901),'Blackout Brand Fam Areas (Enc)'!$G$6:$G$998,0)),"No Match")</f>
        <v>No Match</v>
      </c>
      <c r="F1901" s="2" t="str">
        <f t="shared" si="58"/>
        <v>US</v>
      </c>
      <c r="G1901" s="2" t="str">
        <f t="shared" si="59"/>
        <v>Krusovice|MORRIS 3</v>
      </c>
    </row>
    <row r="1902" spans="1:7" x14ac:dyDescent="0.2">
      <c r="A1902" s="2" t="str" cm="1">
        <f t="array" ref="A1902">INDEX('[1]Brand Family Territory (Enc)'!$A$2:$A$296,INT((ROW()-2)/10)+1)</f>
        <v>Lark Infused D9</v>
      </c>
      <c r="B1902" s="2" t="str" cm="1">
        <f t="array" ref="B1902">INDEX('Whitelist (Blackout Reverse)'!$B$1:$K$1,MOD(ROW()-2,10)+1)</f>
        <v>BERGEN</v>
      </c>
      <c r="C1902" s="2" t="str">
        <f>VLOOKUP(A1902,'[1]Brand Family Territory (Enc)'!$A$2:$B$296,2,FALSE)</f>
        <v>All Counties</v>
      </c>
      <c r="D1902" s="2">
        <f>IF(COUNTIFS('[1]Brand Family Territories (Enc)'!$B$2:$B$62,C1902,'[1]Brand Family Territories (Enc)'!$C$2:$C$62,B1902)&gt;0,1,IF(AND(LEFT(B1902,6)="MORRIS",COUNTIFS('[1]Brand Family Territories (Enc)'!$B$2:$B$62,C1902,'[1]Brand Family Territories (Enc)'!$C$2:$C$62,"Morri")&gt;0),"Unk",0))</f>
        <v>1</v>
      </c>
      <c r="E1902" s="2" t="str">
        <f>IFERROR(INDEX('Blackout Brand Fam Areas (Enc)'!$D$6:$D$998,MATCH(UPPER(A1902)&amp;"|"&amp;UPPER(B1902),'Blackout Brand Fam Areas (Enc)'!$G$6:$G$998,0)),"No Match")</f>
        <v>No Match</v>
      </c>
      <c r="F1902" s="2" t="str">
        <f t="shared" si="58"/>
        <v>US</v>
      </c>
      <c r="G1902" s="2" t="str">
        <f t="shared" si="59"/>
        <v>Lark Infused D9|BERGEN</v>
      </c>
    </row>
    <row r="1903" spans="1:7" x14ac:dyDescent="0.2">
      <c r="A1903" s="2" t="str" cm="1">
        <f t="array" ref="A1903">INDEX('[1]Brand Family Territory (Enc)'!$A$2:$A$296,INT((ROW()-2)/10)+1)</f>
        <v>Lark Infused D9</v>
      </c>
      <c r="B1903" s="2" t="str" cm="1">
        <f t="array" ref="B1903">INDEX('Whitelist (Blackout Reverse)'!$B$1:$K$1,MOD(ROW()-2,10)+1)</f>
        <v>PASSAIC</v>
      </c>
      <c r="C1903" s="2" t="str">
        <f>VLOOKUP(A1903,'[1]Brand Family Territory (Enc)'!$A$2:$B$296,2,FALSE)</f>
        <v>All Counties</v>
      </c>
      <c r="D1903" s="2">
        <f>IF(COUNTIFS('[1]Brand Family Territories (Enc)'!$B$2:$B$62,C1903,'[1]Brand Family Territories (Enc)'!$C$2:$C$62,B1903)&gt;0,1,IF(AND(LEFT(B1903,6)="MORRIS",COUNTIFS('[1]Brand Family Territories (Enc)'!$B$2:$B$62,C1903,'[1]Brand Family Territories (Enc)'!$C$2:$C$62,"Morri")&gt;0),"Unk",0))</f>
        <v>1</v>
      </c>
      <c r="E1903" s="2" t="str">
        <f>IFERROR(INDEX('Blackout Brand Fam Areas (Enc)'!$D$6:$D$998,MATCH(UPPER(A1903)&amp;"|"&amp;UPPER(B1903),'Blackout Brand Fam Areas (Enc)'!$G$6:$G$998,0)),"No Match")</f>
        <v>No Match</v>
      </c>
      <c r="F1903" s="2" t="str">
        <f t="shared" si="58"/>
        <v>US</v>
      </c>
      <c r="G1903" s="2" t="str">
        <f t="shared" si="59"/>
        <v>Lark Infused D9|PASSAIC</v>
      </c>
    </row>
    <row r="1904" spans="1:7" x14ac:dyDescent="0.2">
      <c r="A1904" s="2" t="str" cm="1">
        <f t="array" ref="A1904">INDEX('[1]Brand Family Territory (Enc)'!$A$2:$A$296,INT((ROW()-2)/10)+1)</f>
        <v>Lark Infused D9</v>
      </c>
      <c r="B1904" s="2" t="str" cm="1">
        <f t="array" ref="B1904">INDEX('Whitelist (Blackout Reverse)'!$B$1:$K$1,MOD(ROW()-2,10)+1)</f>
        <v>PASSAIC-FF</v>
      </c>
      <c r="C1904" s="2" t="str">
        <f>VLOOKUP(A1904,'[1]Brand Family Territory (Enc)'!$A$2:$B$296,2,FALSE)</f>
        <v>All Counties</v>
      </c>
      <c r="D1904" s="2">
        <f>IF(COUNTIFS('[1]Brand Family Territories (Enc)'!$B$2:$B$62,C1904,'[1]Brand Family Territories (Enc)'!$C$2:$C$62,B1904)&gt;0,1,IF(AND(LEFT(B1904,6)="MORRIS",COUNTIFS('[1]Brand Family Territories (Enc)'!$B$2:$B$62,C1904,'[1]Brand Family Territories (Enc)'!$C$2:$C$62,"Morri")&gt;0),"Unk",0))</f>
        <v>1</v>
      </c>
      <c r="E1904" s="2" t="str">
        <f>IFERROR(INDEX('Blackout Brand Fam Areas (Enc)'!$D$6:$D$998,MATCH(UPPER(A1904)&amp;"|"&amp;UPPER(B1904),'Blackout Brand Fam Areas (Enc)'!$G$6:$G$998,0)),"No Match")</f>
        <v>No Match</v>
      </c>
      <c r="F1904" s="2" t="str">
        <f t="shared" si="58"/>
        <v>US</v>
      </c>
      <c r="G1904" s="2" t="str">
        <f t="shared" si="59"/>
        <v>Lark Infused D9|PASSAIC-FF</v>
      </c>
    </row>
    <row r="1905" spans="1:7" x14ac:dyDescent="0.2">
      <c r="A1905" s="2" t="str" cm="1">
        <f t="array" ref="A1905">INDEX('[1]Brand Family Territory (Enc)'!$A$2:$A$296,INT((ROW()-2)/10)+1)</f>
        <v>Lark Infused D9</v>
      </c>
      <c r="B1905" s="2" t="str" cm="1">
        <f t="array" ref="B1905">INDEX('Whitelist (Blackout Reverse)'!$B$1:$K$1,MOD(ROW()-2,10)+1)</f>
        <v>ESSEX</v>
      </c>
      <c r="C1905" s="2" t="str">
        <f>VLOOKUP(A1905,'[1]Brand Family Territory (Enc)'!$A$2:$B$296,2,FALSE)</f>
        <v>All Counties</v>
      </c>
      <c r="D1905" s="2">
        <f>IF(COUNTIFS('[1]Brand Family Territories (Enc)'!$B$2:$B$62,C1905,'[1]Brand Family Territories (Enc)'!$C$2:$C$62,B1905)&gt;0,1,IF(AND(LEFT(B1905,6)="MORRIS",COUNTIFS('[1]Brand Family Territories (Enc)'!$B$2:$B$62,C1905,'[1]Brand Family Territories (Enc)'!$C$2:$C$62,"Morri")&gt;0),"Unk",0))</f>
        <v>1</v>
      </c>
      <c r="E1905" s="2" t="str">
        <f>IFERROR(INDEX('Blackout Brand Fam Areas (Enc)'!$D$6:$D$998,MATCH(UPPER(A1905)&amp;"|"&amp;UPPER(B1905),'Blackout Brand Fam Areas (Enc)'!$G$6:$G$998,0)),"No Match")</f>
        <v>No Match</v>
      </c>
      <c r="F1905" s="2" t="str">
        <f t="shared" si="58"/>
        <v>US</v>
      </c>
      <c r="G1905" s="2" t="str">
        <f t="shared" si="59"/>
        <v>Lark Infused D9|ESSEX</v>
      </c>
    </row>
    <row r="1906" spans="1:7" x14ac:dyDescent="0.2">
      <c r="A1906" s="2" t="str" cm="1">
        <f t="array" ref="A1906">INDEX('[1]Brand Family Territory (Enc)'!$A$2:$A$296,INT((ROW()-2)/10)+1)</f>
        <v>Lark Infused D9</v>
      </c>
      <c r="B1906" s="2" t="str" cm="1">
        <f t="array" ref="B1906">INDEX('Whitelist (Blackout Reverse)'!$B$1:$K$1,MOD(ROW()-2,10)+1)</f>
        <v>HUDSON</v>
      </c>
      <c r="C1906" s="2" t="str">
        <f>VLOOKUP(A1906,'[1]Brand Family Territory (Enc)'!$A$2:$B$296,2,FALSE)</f>
        <v>All Counties</v>
      </c>
      <c r="D1906" s="2">
        <f>IF(COUNTIFS('[1]Brand Family Territories (Enc)'!$B$2:$B$62,C1906,'[1]Brand Family Territories (Enc)'!$C$2:$C$62,B1906)&gt;0,1,IF(AND(LEFT(B1906,6)="MORRIS",COUNTIFS('[1]Brand Family Territories (Enc)'!$B$2:$B$62,C1906,'[1]Brand Family Territories (Enc)'!$C$2:$C$62,"Morri")&gt;0),"Unk",0))</f>
        <v>1</v>
      </c>
      <c r="E1906" s="2" t="str">
        <f>IFERROR(INDEX('Blackout Brand Fam Areas (Enc)'!$D$6:$D$998,MATCH(UPPER(A1906)&amp;"|"&amp;UPPER(B1906),'Blackout Brand Fam Areas (Enc)'!$G$6:$G$998,0)),"No Match")</f>
        <v>No Match</v>
      </c>
      <c r="F1906" s="2" t="str">
        <f t="shared" si="58"/>
        <v>US</v>
      </c>
      <c r="G1906" s="2" t="str">
        <f t="shared" si="59"/>
        <v>Lark Infused D9|HUDSON</v>
      </c>
    </row>
    <row r="1907" spans="1:7" x14ac:dyDescent="0.2">
      <c r="A1907" s="2" t="str" cm="1">
        <f t="array" ref="A1907">INDEX('[1]Brand Family Territory (Enc)'!$A$2:$A$296,INT((ROW()-2)/10)+1)</f>
        <v>Lark Infused D9</v>
      </c>
      <c r="B1907" s="2" t="str" cm="1">
        <f t="array" ref="B1907">INDEX('Whitelist (Blackout Reverse)'!$B$1:$K$1,MOD(ROW()-2,10)+1)</f>
        <v>UNION</v>
      </c>
      <c r="C1907" s="2" t="str">
        <f>VLOOKUP(A1907,'[1]Brand Family Territory (Enc)'!$A$2:$B$296,2,FALSE)</f>
        <v>All Counties</v>
      </c>
      <c r="D1907" s="2">
        <f>IF(COUNTIFS('[1]Brand Family Territories (Enc)'!$B$2:$B$62,C1907,'[1]Brand Family Territories (Enc)'!$C$2:$C$62,B1907)&gt;0,1,IF(AND(LEFT(B1907,6)="MORRIS",COUNTIFS('[1]Brand Family Territories (Enc)'!$B$2:$B$62,C1907,'[1]Brand Family Territories (Enc)'!$C$2:$C$62,"Morri")&gt;0),"Unk",0))</f>
        <v>1</v>
      </c>
      <c r="E1907" s="2" t="str">
        <f>IFERROR(INDEX('Blackout Brand Fam Areas (Enc)'!$D$6:$D$998,MATCH(UPPER(A1907)&amp;"|"&amp;UPPER(B1907),'Blackout Brand Fam Areas (Enc)'!$G$6:$G$998,0)),"No Match")</f>
        <v>No Match</v>
      </c>
      <c r="F1907" s="2" t="str">
        <f t="shared" si="58"/>
        <v>US</v>
      </c>
      <c r="G1907" s="2" t="str">
        <f t="shared" si="59"/>
        <v>Lark Infused D9|UNION</v>
      </c>
    </row>
    <row r="1908" spans="1:7" x14ac:dyDescent="0.2">
      <c r="A1908" s="2" t="str" cm="1">
        <f t="array" ref="A1908">INDEX('[1]Brand Family Territory (Enc)'!$A$2:$A$296,INT((ROW()-2)/10)+1)</f>
        <v>Lark Infused D9</v>
      </c>
      <c r="B1908" s="2" t="str" cm="1">
        <f t="array" ref="B1908">INDEX('Whitelist (Blackout Reverse)'!$B$1:$K$1,MOD(ROW()-2,10)+1)</f>
        <v>SUSSEX</v>
      </c>
      <c r="C1908" s="2" t="str">
        <f>VLOOKUP(A1908,'[1]Brand Family Territory (Enc)'!$A$2:$B$296,2,FALSE)</f>
        <v>All Counties</v>
      </c>
      <c r="D1908" s="2">
        <f>IF(COUNTIFS('[1]Brand Family Territories (Enc)'!$B$2:$B$62,C1908,'[1]Brand Family Territories (Enc)'!$C$2:$C$62,B1908)&gt;0,1,IF(AND(LEFT(B1908,6)="MORRIS",COUNTIFS('[1]Brand Family Territories (Enc)'!$B$2:$B$62,C1908,'[1]Brand Family Territories (Enc)'!$C$2:$C$62,"Morri")&gt;0),"Unk",0))</f>
        <v>1</v>
      </c>
      <c r="E1908" s="2" t="str">
        <f>IFERROR(INDEX('Blackout Brand Fam Areas (Enc)'!$D$6:$D$998,MATCH(UPPER(A1908)&amp;"|"&amp;UPPER(B1908),'Blackout Brand Fam Areas (Enc)'!$G$6:$G$998,0)),"No Match")</f>
        <v>No Match</v>
      </c>
      <c r="F1908" s="2" t="str">
        <f t="shared" si="58"/>
        <v>US</v>
      </c>
      <c r="G1908" s="2" t="str">
        <f t="shared" si="59"/>
        <v>Lark Infused D9|SUSSEX</v>
      </c>
    </row>
    <row r="1909" spans="1:7" x14ac:dyDescent="0.2">
      <c r="A1909" s="2" t="str" cm="1">
        <f t="array" ref="A1909">INDEX('[1]Brand Family Territory (Enc)'!$A$2:$A$296,INT((ROW()-2)/10)+1)</f>
        <v>Lark Infused D9</v>
      </c>
      <c r="B1909" s="2" t="str" cm="1">
        <f t="array" ref="B1909">INDEX('Whitelist (Blackout Reverse)'!$B$1:$K$1,MOD(ROW()-2,10)+1)</f>
        <v>MORRIS 1</v>
      </c>
      <c r="C1909" s="2" t="str">
        <f>VLOOKUP(A1909,'[1]Brand Family Territory (Enc)'!$A$2:$B$296,2,FALSE)</f>
        <v>All Counties</v>
      </c>
      <c r="D1909" s="2">
        <f>IF(COUNTIFS('[1]Brand Family Territories (Enc)'!$B$2:$B$62,C1909,'[1]Brand Family Territories (Enc)'!$C$2:$C$62,B1909)&gt;0,1,IF(AND(LEFT(B1909,6)="MORRIS",COUNTIFS('[1]Brand Family Territories (Enc)'!$B$2:$B$62,C1909,'[1]Brand Family Territories (Enc)'!$C$2:$C$62,"Morri")&gt;0),"Unk",0))</f>
        <v>1</v>
      </c>
      <c r="E1909" s="2" t="str">
        <f>IFERROR(INDEX('Blackout Brand Fam Areas (Enc)'!$D$6:$D$998,MATCH(UPPER(A1909)&amp;"|"&amp;UPPER(B1909),'Blackout Brand Fam Areas (Enc)'!$G$6:$G$998,0)),"No Match")</f>
        <v>No Match</v>
      </c>
      <c r="F1909" s="2" t="str">
        <f t="shared" si="58"/>
        <v>US</v>
      </c>
      <c r="G1909" s="2" t="str">
        <f t="shared" si="59"/>
        <v>Lark Infused D9|MORRIS 1</v>
      </c>
    </row>
    <row r="1910" spans="1:7" x14ac:dyDescent="0.2">
      <c r="A1910" s="2" t="str" cm="1">
        <f t="array" ref="A1910">INDEX('[1]Brand Family Territory (Enc)'!$A$2:$A$296,INT((ROW()-2)/10)+1)</f>
        <v>Lark Infused D9</v>
      </c>
      <c r="B1910" s="2" t="str" cm="1">
        <f t="array" ref="B1910">INDEX('Whitelist (Blackout Reverse)'!$B$1:$K$1,MOD(ROW()-2,10)+1)</f>
        <v>MORRIS 2</v>
      </c>
      <c r="C1910" s="2" t="str">
        <f>VLOOKUP(A1910,'[1]Brand Family Territory (Enc)'!$A$2:$B$296,2,FALSE)</f>
        <v>All Counties</v>
      </c>
      <c r="D1910" s="2">
        <f>IF(COUNTIFS('[1]Brand Family Territories (Enc)'!$B$2:$B$62,C1910,'[1]Brand Family Territories (Enc)'!$C$2:$C$62,B1910)&gt;0,1,IF(AND(LEFT(B1910,6)="MORRIS",COUNTIFS('[1]Brand Family Territories (Enc)'!$B$2:$B$62,C1910,'[1]Brand Family Territories (Enc)'!$C$2:$C$62,"Morri")&gt;0),"Unk",0))</f>
        <v>1</v>
      </c>
      <c r="E1910" s="2" t="str">
        <f>IFERROR(INDEX('Blackout Brand Fam Areas (Enc)'!$D$6:$D$998,MATCH(UPPER(A1910)&amp;"|"&amp;UPPER(B1910),'Blackout Brand Fam Areas (Enc)'!$G$6:$G$998,0)),"No Match")</f>
        <v>No Match</v>
      </c>
      <c r="F1910" s="2" t="str">
        <f t="shared" si="58"/>
        <v>US</v>
      </c>
      <c r="G1910" s="2" t="str">
        <f t="shared" si="59"/>
        <v>Lark Infused D9|MORRIS 2</v>
      </c>
    </row>
    <row r="1911" spans="1:7" x14ac:dyDescent="0.2">
      <c r="A1911" s="2" t="str" cm="1">
        <f t="array" ref="A1911">INDEX('[1]Brand Family Territory (Enc)'!$A$2:$A$296,INT((ROW()-2)/10)+1)</f>
        <v>Lark Infused D9</v>
      </c>
      <c r="B1911" s="2" t="str" cm="1">
        <f t="array" ref="B1911">INDEX('Whitelist (Blackout Reverse)'!$B$1:$K$1,MOD(ROW()-2,10)+1)</f>
        <v>MORRIS 3</v>
      </c>
      <c r="C1911" s="2" t="str">
        <f>VLOOKUP(A1911,'[1]Brand Family Territory (Enc)'!$A$2:$B$296,2,FALSE)</f>
        <v>All Counties</v>
      </c>
      <c r="D1911" s="2">
        <f>IF(COUNTIFS('[1]Brand Family Territories (Enc)'!$B$2:$B$62,C1911,'[1]Brand Family Territories (Enc)'!$C$2:$C$62,B1911)&gt;0,1,IF(AND(LEFT(B1911,6)="MORRIS",COUNTIFS('[1]Brand Family Territories (Enc)'!$B$2:$B$62,C1911,'[1]Brand Family Territories (Enc)'!$C$2:$C$62,"Morri")&gt;0),"Unk",0))</f>
        <v>1</v>
      </c>
      <c r="E1911" s="2" t="str">
        <f>IFERROR(INDEX('Blackout Brand Fam Areas (Enc)'!$D$6:$D$998,MATCH(UPPER(A1911)&amp;"|"&amp;UPPER(B1911),'Blackout Brand Fam Areas (Enc)'!$G$6:$G$998,0)),"No Match")</f>
        <v>No Match</v>
      </c>
      <c r="F1911" s="2" t="str">
        <f t="shared" si="58"/>
        <v>US</v>
      </c>
      <c r="G1911" s="2" t="str">
        <f t="shared" si="59"/>
        <v>Lark Infused D9|MORRIS 3</v>
      </c>
    </row>
    <row r="1912" spans="1:7" x14ac:dyDescent="0.2">
      <c r="A1912" s="2" t="str" cm="1">
        <f t="array" ref="A1912">INDEX('[1]Brand Family Territory (Enc)'!$A$2:$A$296,INT((ROW()-2)/10)+1)</f>
        <v>Whitecap</v>
      </c>
      <c r="B1912" s="2" t="str" cm="1">
        <f t="array" ref="B1912">INDEX('Whitelist (Blackout Reverse)'!$B$1:$K$1,MOD(ROW()-2,10)+1)</f>
        <v>BERGEN</v>
      </c>
      <c r="C1912" s="2" t="str">
        <f>VLOOKUP(A1912,'[1]Brand Family Territory (Enc)'!$A$2:$B$296,2,FALSE)</f>
        <v>All Counties</v>
      </c>
      <c r="D1912" s="2">
        <f>IF(COUNTIFS('[1]Brand Family Territories (Enc)'!$B$2:$B$62,C1912,'[1]Brand Family Territories (Enc)'!$C$2:$C$62,B1912)&gt;0,1,IF(AND(LEFT(B1912,6)="MORRIS",COUNTIFS('[1]Brand Family Territories (Enc)'!$B$2:$B$62,C1912,'[1]Brand Family Territories (Enc)'!$C$2:$C$62,"Morri")&gt;0),"Unk",0))</f>
        <v>1</v>
      </c>
      <c r="E1912" s="2" t="str">
        <f>IFERROR(INDEX('Blackout Brand Fam Areas (Enc)'!$D$6:$D$998,MATCH(UPPER(A1912)&amp;"|"&amp;UPPER(B1912),'Blackout Brand Fam Areas (Enc)'!$G$6:$G$998,0)),"No Match")</f>
        <v>No Match</v>
      </c>
      <c r="F1912" s="2" t="str">
        <f t="shared" si="58"/>
        <v>US</v>
      </c>
      <c r="G1912" s="2" t="str">
        <f t="shared" si="59"/>
        <v>Whitecap|BERGEN</v>
      </c>
    </row>
    <row r="1913" spans="1:7" x14ac:dyDescent="0.2">
      <c r="A1913" s="2" t="str" cm="1">
        <f t="array" ref="A1913">INDEX('[1]Brand Family Territory (Enc)'!$A$2:$A$296,INT((ROW()-2)/10)+1)</f>
        <v>Whitecap</v>
      </c>
      <c r="B1913" s="2" t="str" cm="1">
        <f t="array" ref="B1913">INDEX('Whitelist (Blackout Reverse)'!$B$1:$K$1,MOD(ROW()-2,10)+1)</f>
        <v>PASSAIC</v>
      </c>
      <c r="C1913" s="2" t="str">
        <f>VLOOKUP(A1913,'[1]Brand Family Territory (Enc)'!$A$2:$B$296,2,FALSE)</f>
        <v>All Counties</v>
      </c>
      <c r="D1913" s="2">
        <f>IF(COUNTIFS('[1]Brand Family Territories (Enc)'!$B$2:$B$62,C1913,'[1]Brand Family Territories (Enc)'!$C$2:$C$62,B1913)&gt;0,1,IF(AND(LEFT(B1913,6)="MORRIS",COUNTIFS('[1]Brand Family Territories (Enc)'!$B$2:$B$62,C1913,'[1]Brand Family Territories (Enc)'!$C$2:$C$62,"Morri")&gt;0),"Unk",0))</f>
        <v>1</v>
      </c>
      <c r="E1913" s="2" t="str">
        <f>IFERROR(INDEX('Blackout Brand Fam Areas (Enc)'!$D$6:$D$998,MATCH(UPPER(A1913)&amp;"|"&amp;UPPER(B1913),'Blackout Brand Fam Areas (Enc)'!$G$6:$G$998,0)),"No Match")</f>
        <v>No Match</v>
      </c>
      <c r="F1913" s="2" t="str">
        <f t="shared" si="58"/>
        <v>US</v>
      </c>
      <c r="G1913" s="2" t="str">
        <f t="shared" si="59"/>
        <v>Whitecap|PASSAIC</v>
      </c>
    </row>
    <row r="1914" spans="1:7" x14ac:dyDescent="0.2">
      <c r="A1914" s="2" t="str" cm="1">
        <f t="array" ref="A1914">INDEX('[1]Brand Family Territory (Enc)'!$A$2:$A$296,INT((ROW()-2)/10)+1)</f>
        <v>Whitecap</v>
      </c>
      <c r="B1914" s="2" t="str" cm="1">
        <f t="array" ref="B1914">INDEX('Whitelist (Blackout Reverse)'!$B$1:$K$1,MOD(ROW()-2,10)+1)</f>
        <v>PASSAIC-FF</v>
      </c>
      <c r="C1914" s="2" t="str">
        <f>VLOOKUP(A1914,'[1]Brand Family Territory (Enc)'!$A$2:$B$296,2,FALSE)</f>
        <v>All Counties</v>
      </c>
      <c r="D1914" s="2">
        <f>IF(COUNTIFS('[1]Brand Family Territories (Enc)'!$B$2:$B$62,C1914,'[1]Brand Family Territories (Enc)'!$C$2:$C$62,B1914)&gt;0,1,IF(AND(LEFT(B1914,6)="MORRIS",COUNTIFS('[1]Brand Family Territories (Enc)'!$B$2:$B$62,C1914,'[1]Brand Family Territories (Enc)'!$C$2:$C$62,"Morri")&gt;0),"Unk",0))</f>
        <v>1</v>
      </c>
      <c r="E1914" s="2" t="str">
        <f>IFERROR(INDEX('Blackout Brand Fam Areas (Enc)'!$D$6:$D$998,MATCH(UPPER(A1914)&amp;"|"&amp;UPPER(B1914),'Blackout Brand Fam Areas (Enc)'!$G$6:$G$998,0)),"No Match")</f>
        <v>No Match</v>
      </c>
      <c r="F1914" s="2" t="str">
        <f t="shared" si="58"/>
        <v>US</v>
      </c>
      <c r="G1914" s="2" t="str">
        <f t="shared" si="59"/>
        <v>Whitecap|PASSAIC-FF</v>
      </c>
    </row>
    <row r="1915" spans="1:7" x14ac:dyDescent="0.2">
      <c r="A1915" s="2" t="str" cm="1">
        <f t="array" ref="A1915">INDEX('[1]Brand Family Territory (Enc)'!$A$2:$A$296,INT((ROW()-2)/10)+1)</f>
        <v>Whitecap</v>
      </c>
      <c r="B1915" s="2" t="str" cm="1">
        <f t="array" ref="B1915">INDEX('Whitelist (Blackout Reverse)'!$B$1:$K$1,MOD(ROW()-2,10)+1)</f>
        <v>ESSEX</v>
      </c>
      <c r="C1915" s="2" t="str">
        <f>VLOOKUP(A1915,'[1]Brand Family Territory (Enc)'!$A$2:$B$296,2,FALSE)</f>
        <v>All Counties</v>
      </c>
      <c r="D1915" s="2">
        <f>IF(COUNTIFS('[1]Brand Family Territories (Enc)'!$B$2:$B$62,C1915,'[1]Brand Family Territories (Enc)'!$C$2:$C$62,B1915)&gt;0,1,IF(AND(LEFT(B1915,6)="MORRIS",COUNTIFS('[1]Brand Family Territories (Enc)'!$B$2:$B$62,C1915,'[1]Brand Family Territories (Enc)'!$C$2:$C$62,"Morri")&gt;0),"Unk",0))</f>
        <v>1</v>
      </c>
      <c r="E1915" s="2" t="str">
        <f>IFERROR(INDEX('Blackout Brand Fam Areas (Enc)'!$D$6:$D$998,MATCH(UPPER(A1915)&amp;"|"&amp;UPPER(B1915),'Blackout Brand Fam Areas (Enc)'!$G$6:$G$998,0)),"No Match")</f>
        <v>No Match</v>
      </c>
      <c r="F1915" s="2" t="str">
        <f t="shared" si="58"/>
        <v>US</v>
      </c>
      <c r="G1915" s="2" t="str">
        <f t="shared" si="59"/>
        <v>Whitecap|ESSEX</v>
      </c>
    </row>
    <row r="1916" spans="1:7" x14ac:dyDescent="0.2">
      <c r="A1916" s="2" t="str" cm="1">
        <f t="array" ref="A1916">INDEX('[1]Brand Family Territory (Enc)'!$A$2:$A$296,INT((ROW()-2)/10)+1)</f>
        <v>Whitecap</v>
      </c>
      <c r="B1916" s="2" t="str" cm="1">
        <f t="array" ref="B1916">INDEX('Whitelist (Blackout Reverse)'!$B$1:$K$1,MOD(ROW()-2,10)+1)</f>
        <v>HUDSON</v>
      </c>
      <c r="C1916" s="2" t="str">
        <f>VLOOKUP(A1916,'[1]Brand Family Territory (Enc)'!$A$2:$B$296,2,FALSE)</f>
        <v>All Counties</v>
      </c>
      <c r="D1916" s="2">
        <f>IF(COUNTIFS('[1]Brand Family Territories (Enc)'!$B$2:$B$62,C1916,'[1]Brand Family Territories (Enc)'!$C$2:$C$62,B1916)&gt;0,1,IF(AND(LEFT(B1916,6)="MORRIS",COUNTIFS('[1]Brand Family Territories (Enc)'!$B$2:$B$62,C1916,'[1]Brand Family Territories (Enc)'!$C$2:$C$62,"Morri")&gt;0),"Unk",0))</f>
        <v>1</v>
      </c>
      <c r="E1916" s="2" t="str">
        <f>IFERROR(INDEX('Blackout Brand Fam Areas (Enc)'!$D$6:$D$998,MATCH(UPPER(A1916)&amp;"|"&amp;UPPER(B1916),'Blackout Brand Fam Areas (Enc)'!$G$6:$G$998,0)),"No Match")</f>
        <v>No Match</v>
      </c>
      <c r="F1916" s="2" t="str">
        <f t="shared" si="58"/>
        <v>US</v>
      </c>
      <c r="G1916" s="2" t="str">
        <f t="shared" si="59"/>
        <v>Whitecap|HUDSON</v>
      </c>
    </row>
    <row r="1917" spans="1:7" x14ac:dyDescent="0.2">
      <c r="A1917" s="2" t="str" cm="1">
        <f t="array" ref="A1917">INDEX('[1]Brand Family Territory (Enc)'!$A$2:$A$296,INT((ROW()-2)/10)+1)</f>
        <v>Whitecap</v>
      </c>
      <c r="B1917" s="2" t="str" cm="1">
        <f t="array" ref="B1917">INDEX('Whitelist (Blackout Reverse)'!$B$1:$K$1,MOD(ROW()-2,10)+1)</f>
        <v>UNION</v>
      </c>
      <c r="C1917" s="2" t="str">
        <f>VLOOKUP(A1917,'[1]Brand Family Territory (Enc)'!$A$2:$B$296,2,FALSE)</f>
        <v>All Counties</v>
      </c>
      <c r="D1917" s="2">
        <f>IF(COUNTIFS('[1]Brand Family Territories (Enc)'!$B$2:$B$62,C1917,'[1]Brand Family Territories (Enc)'!$C$2:$C$62,B1917)&gt;0,1,IF(AND(LEFT(B1917,6)="MORRIS",COUNTIFS('[1]Brand Family Territories (Enc)'!$B$2:$B$62,C1917,'[1]Brand Family Territories (Enc)'!$C$2:$C$62,"Morri")&gt;0),"Unk",0))</f>
        <v>1</v>
      </c>
      <c r="E1917" s="2" t="str">
        <f>IFERROR(INDEX('Blackout Brand Fam Areas (Enc)'!$D$6:$D$998,MATCH(UPPER(A1917)&amp;"|"&amp;UPPER(B1917),'Blackout Brand Fam Areas (Enc)'!$G$6:$G$998,0)),"No Match")</f>
        <v>No Match</v>
      </c>
      <c r="F1917" s="2" t="str">
        <f t="shared" si="58"/>
        <v>US</v>
      </c>
      <c r="G1917" s="2" t="str">
        <f t="shared" si="59"/>
        <v>Whitecap|UNION</v>
      </c>
    </row>
    <row r="1918" spans="1:7" x14ac:dyDescent="0.2">
      <c r="A1918" s="2" t="str" cm="1">
        <f t="array" ref="A1918">INDEX('[1]Brand Family Territory (Enc)'!$A$2:$A$296,INT((ROW()-2)/10)+1)</f>
        <v>Whitecap</v>
      </c>
      <c r="B1918" s="2" t="str" cm="1">
        <f t="array" ref="B1918">INDEX('Whitelist (Blackout Reverse)'!$B$1:$K$1,MOD(ROW()-2,10)+1)</f>
        <v>SUSSEX</v>
      </c>
      <c r="C1918" s="2" t="str">
        <f>VLOOKUP(A1918,'[1]Brand Family Territory (Enc)'!$A$2:$B$296,2,FALSE)</f>
        <v>All Counties</v>
      </c>
      <c r="D1918" s="2">
        <f>IF(COUNTIFS('[1]Brand Family Territories (Enc)'!$B$2:$B$62,C1918,'[1]Brand Family Territories (Enc)'!$C$2:$C$62,B1918)&gt;0,1,IF(AND(LEFT(B1918,6)="MORRIS",COUNTIFS('[1]Brand Family Territories (Enc)'!$B$2:$B$62,C1918,'[1]Brand Family Territories (Enc)'!$C$2:$C$62,"Morri")&gt;0),"Unk",0))</f>
        <v>1</v>
      </c>
      <c r="E1918" s="2" t="str">
        <f>IFERROR(INDEX('Blackout Brand Fam Areas (Enc)'!$D$6:$D$998,MATCH(UPPER(A1918)&amp;"|"&amp;UPPER(B1918),'Blackout Brand Fam Areas (Enc)'!$G$6:$G$998,0)),"No Match")</f>
        <v>No Match</v>
      </c>
      <c r="F1918" s="2" t="str">
        <f t="shared" si="58"/>
        <v>US</v>
      </c>
      <c r="G1918" s="2" t="str">
        <f t="shared" si="59"/>
        <v>Whitecap|SUSSEX</v>
      </c>
    </row>
    <row r="1919" spans="1:7" x14ac:dyDescent="0.2">
      <c r="A1919" s="2" t="str" cm="1">
        <f t="array" ref="A1919">INDEX('[1]Brand Family Territory (Enc)'!$A$2:$A$296,INT((ROW()-2)/10)+1)</f>
        <v>Whitecap</v>
      </c>
      <c r="B1919" s="2" t="str" cm="1">
        <f t="array" ref="B1919">INDEX('Whitelist (Blackout Reverse)'!$B$1:$K$1,MOD(ROW()-2,10)+1)</f>
        <v>MORRIS 1</v>
      </c>
      <c r="C1919" s="2" t="str">
        <f>VLOOKUP(A1919,'[1]Brand Family Territory (Enc)'!$A$2:$B$296,2,FALSE)</f>
        <v>All Counties</v>
      </c>
      <c r="D1919" s="2">
        <f>IF(COUNTIFS('[1]Brand Family Territories (Enc)'!$B$2:$B$62,C1919,'[1]Brand Family Territories (Enc)'!$C$2:$C$62,B1919)&gt;0,1,IF(AND(LEFT(B1919,6)="MORRIS",COUNTIFS('[1]Brand Family Territories (Enc)'!$B$2:$B$62,C1919,'[1]Brand Family Territories (Enc)'!$C$2:$C$62,"Morri")&gt;0),"Unk",0))</f>
        <v>1</v>
      </c>
      <c r="E1919" s="2" t="str">
        <f>IFERROR(INDEX('Blackout Brand Fam Areas (Enc)'!$D$6:$D$998,MATCH(UPPER(A1919)&amp;"|"&amp;UPPER(B1919),'Blackout Brand Fam Areas (Enc)'!$G$6:$G$998,0)),"No Match")</f>
        <v>No Match</v>
      </c>
      <c r="F1919" s="2" t="str">
        <f t="shared" si="58"/>
        <v>US</v>
      </c>
      <c r="G1919" s="2" t="str">
        <f t="shared" si="59"/>
        <v>Whitecap|MORRIS 1</v>
      </c>
    </row>
    <row r="1920" spans="1:7" x14ac:dyDescent="0.2">
      <c r="A1920" s="2" t="str" cm="1">
        <f t="array" ref="A1920">INDEX('[1]Brand Family Territory (Enc)'!$A$2:$A$296,INT((ROW()-2)/10)+1)</f>
        <v>Whitecap</v>
      </c>
      <c r="B1920" s="2" t="str" cm="1">
        <f t="array" ref="B1920">INDEX('Whitelist (Blackout Reverse)'!$B$1:$K$1,MOD(ROW()-2,10)+1)</f>
        <v>MORRIS 2</v>
      </c>
      <c r="C1920" s="2" t="str">
        <f>VLOOKUP(A1920,'[1]Brand Family Territory (Enc)'!$A$2:$B$296,2,FALSE)</f>
        <v>All Counties</v>
      </c>
      <c r="D1920" s="2">
        <f>IF(COUNTIFS('[1]Brand Family Territories (Enc)'!$B$2:$B$62,C1920,'[1]Brand Family Territories (Enc)'!$C$2:$C$62,B1920)&gt;0,1,IF(AND(LEFT(B1920,6)="MORRIS",COUNTIFS('[1]Brand Family Territories (Enc)'!$B$2:$B$62,C1920,'[1]Brand Family Territories (Enc)'!$C$2:$C$62,"Morri")&gt;0),"Unk",0))</f>
        <v>1</v>
      </c>
      <c r="E1920" s="2" t="str">
        <f>IFERROR(INDEX('Blackout Brand Fam Areas (Enc)'!$D$6:$D$998,MATCH(UPPER(A1920)&amp;"|"&amp;UPPER(B1920),'Blackout Brand Fam Areas (Enc)'!$G$6:$G$998,0)),"No Match")</f>
        <v>No Match</v>
      </c>
      <c r="F1920" s="2" t="str">
        <f t="shared" si="58"/>
        <v>US</v>
      </c>
      <c r="G1920" s="2" t="str">
        <f t="shared" si="59"/>
        <v>Whitecap|MORRIS 2</v>
      </c>
    </row>
    <row r="1921" spans="1:7" x14ac:dyDescent="0.2">
      <c r="A1921" s="2" t="str" cm="1">
        <f t="array" ref="A1921">INDEX('[1]Brand Family Territory (Enc)'!$A$2:$A$296,INT((ROW()-2)/10)+1)</f>
        <v>Whitecap</v>
      </c>
      <c r="B1921" s="2" t="str" cm="1">
        <f t="array" ref="B1921">INDEX('Whitelist (Blackout Reverse)'!$B$1:$K$1,MOD(ROW()-2,10)+1)</f>
        <v>MORRIS 3</v>
      </c>
      <c r="C1921" s="2" t="str">
        <f>VLOOKUP(A1921,'[1]Brand Family Territory (Enc)'!$A$2:$B$296,2,FALSE)</f>
        <v>All Counties</v>
      </c>
      <c r="D1921" s="2">
        <f>IF(COUNTIFS('[1]Brand Family Territories (Enc)'!$B$2:$B$62,C1921,'[1]Brand Family Territories (Enc)'!$C$2:$C$62,B1921)&gt;0,1,IF(AND(LEFT(B1921,6)="MORRIS",COUNTIFS('[1]Brand Family Territories (Enc)'!$B$2:$B$62,C1921,'[1]Brand Family Territories (Enc)'!$C$2:$C$62,"Morri")&gt;0),"Unk",0))</f>
        <v>1</v>
      </c>
      <c r="E1921" s="2" t="str">
        <f>IFERROR(INDEX('Blackout Brand Fam Areas (Enc)'!$D$6:$D$998,MATCH(UPPER(A1921)&amp;"|"&amp;UPPER(B1921),'Blackout Brand Fam Areas (Enc)'!$G$6:$G$998,0)),"No Match")</f>
        <v>No Match</v>
      </c>
      <c r="F1921" s="2" t="str">
        <f t="shared" si="58"/>
        <v>US</v>
      </c>
      <c r="G1921" s="2" t="str">
        <f t="shared" si="59"/>
        <v>Whitecap|MORRIS 3</v>
      </c>
    </row>
    <row r="1922" spans="1:7" x14ac:dyDescent="0.2">
      <c r="A1922" s="2" t="str" cm="1">
        <f t="array" ref="A1922">INDEX('[1]Brand Family Territory (Enc)'!$A$2:$A$296,INT((ROW()-2)/10)+1)</f>
        <v>Lone Star</v>
      </c>
      <c r="B1922" s="2" t="str" cm="1">
        <f t="array" ref="B1922">INDEX('Whitelist (Blackout Reverse)'!$B$1:$K$1,MOD(ROW()-2,10)+1)</f>
        <v>BERGEN</v>
      </c>
      <c r="C1922" s="2" t="str">
        <f>VLOOKUP(A1922,'[1]Brand Family Territory (Enc)'!$A$2:$B$296,2,FALSE)</f>
        <v>All Counties</v>
      </c>
      <c r="D1922" s="2">
        <f>IF(COUNTIFS('[1]Brand Family Territories (Enc)'!$B$2:$B$62,C1922,'[1]Brand Family Territories (Enc)'!$C$2:$C$62,B1922)&gt;0,1,IF(AND(LEFT(B1922,6)="MORRIS",COUNTIFS('[1]Brand Family Territories (Enc)'!$B$2:$B$62,C1922,'[1]Brand Family Territories (Enc)'!$C$2:$C$62,"Morri")&gt;0),"Unk",0))</f>
        <v>1</v>
      </c>
      <c r="E1922" s="2" t="str">
        <f>IFERROR(INDEX('Blackout Brand Fam Areas (Enc)'!$D$6:$D$998,MATCH(UPPER(A1922)&amp;"|"&amp;UPPER(B1922),'Blackout Brand Fam Areas (Enc)'!$G$6:$G$998,0)),"No Match")</f>
        <v>No Match</v>
      </c>
      <c r="F1922" s="2" t="str">
        <f t="shared" si="58"/>
        <v>US</v>
      </c>
      <c r="G1922" s="2" t="str">
        <f t="shared" si="59"/>
        <v>Lone Star|BERGEN</v>
      </c>
    </row>
    <row r="1923" spans="1:7" x14ac:dyDescent="0.2">
      <c r="A1923" s="2" t="str" cm="1">
        <f t="array" ref="A1923">INDEX('[1]Brand Family Territory (Enc)'!$A$2:$A$296,INT((ROW()-2)/10)+1)</f>
        <v>Lone Star</v>
      </c>
      <c r="B1923" s="2" t="str" cm="1">
        <f t="array" ref="B1923">INDEX('Whitelist (Blackout Reverse)'!$B$1:$K$1,MOD(ROW()-2,10)+1)</f>
        <v>PASSAIC</v>
      </c>
      <c r="C1923" s="2" t="str">
        <f>VLOOKUP(A1923,'[1]Brand Family Territory (Enc)'!$A$2:$B$296,2,FALSE)</f>
        <v>All Counties</v>
      </c>
      <c r="D1923" s="2">
        <f>IF(COUNTIFS('[1]Brand Family Territories (Enc)'!$B$2:$B$62,C1923,'[1]Brand Family Territories (Enc)'!$C$2:$C$62,B1923)&gt;0,1,IF(AND(LEFT(B1923,6)="MORRIS",COUNTIFS('[1]Brand Family Territories (Enc)'!$B$2:$B$62,C1923,'[1]Brand Family Territories (Enc)'!$C$2:$C$62,"Morri")&gt;0),"Unk",0))</f>
        <v>1</v>
      </c>
      <c r="E1923" s="2" t="str">
        <f>IFERROR(INDEX('Blackout Brand Fam Areas (Enc)'!$D$6:$D$998,MATCH(UPPER(A1923)&amp;"|"&amp;UPPER(B1923),'Blackout Brand Fam Areas (Enc)'!$G$6:$G$998,0)),"No Match")</f>
        <v>No Match</v>
      </c>
      <c r="F1923" s="2" t="str">
        <f t="shared" ref="F1923:F1986" si="60">IF(D1923="Unk","Ambiguous (Source Truncated)",IF(E1923="Inactive","THEM",IF(D1923=1,"US",IF(D1923="N/A","No Territory Data","THEM"))))</f>
        <v>US</v>
      </c>
      <c r="G1923" s="2" t="str">
        <f t="shared" ref="G1923:G1986" si="61">A1923&amp;"|"&amp;B1923</f>
        <v>Lone Star|PASSAIC</v>
      </c>
    </row>
    <row r="1924" spans="1:7" x14ac:dyDescent="0.2">
      <c r="A1924" s="2" t="str" cm="1">
        <f t="array" ref="A1924">INDEX('[1]Brand Family Territory (Enc)'!$A$2:$A$296,INT((ROW()-2)/10)+1)</f>
        <v>Lone Star</v>
      </c>
      <c r="B1924" s="2" t="str" cm="1">
        <f t="array" ref="B1924">INDEX('Whitelist (Blackout Reverse)'!$B$1:$K$1,MOD(ROW()-2,10)+1)</f>
        <v>PASSAIC-FF</v>
      </c>
      <c r="C1924" s="2" t="str">
        <f>VLOOKUP(A1924,'[1]Brand Family Territory (Enc)'!$A$2:$B$296,2,FALSE)</f>
        <v>All Counties</v>
      </c>
      <c r="D1924" s="2">
        <f>IF(COUNTIFS('[1]Brand Family Territories (Enc)'!$B$2:$B$62,C1924,'[1]Brand Family Territories (Enc)'!$C$2:$C$62,B1924)&gt;0,1,IF(AND(LEFT(B1924,6)="MORRIS",COUNTIFS('[1]Brand Family Territories (Enc)'!$B$2:$B$62,C1924,'[1]Brand Family Territories (Enc)'!$C$2:$C$62,"Morri")&gt;0),"Unk",0))</f>
        <v>1</v>
      </c>
      <c r="E1924" s="2" t="str">
        <f>IFERROR(INDEX('Blackout Brand Fam Areas (Enc)'!$D$6:$D$998,MATCH(UPPER(A1924)&amp;"|"&amp;UPPER(B1924),'Blackout Brand Fam Areas (Enc)'!$G$6:$G$998,0)),"No Match")</f>
        <v>No Match</v>
      </c>
      <c r="F1924" s="2" t="str">
        <f t="shared" si="60"/>
        <v>US</v>
      </c>
      <c r="G1924" s="2" t="str">
        <f t="shared" si="61"/>
        <v>Lone Star|PASSAIC-FF</v>
      </c>
    </row>
    <row r="1925" spans="1:7" x14ac:dyDescent="0.2">
      <c r="A1925" s="2" t="str" cm="1">
        <f t="array" ref="A1925">INDEX('[1]Brand Family Territory (Enc)'!$A$2:$A$296,INT((ROW()-2)/10)+1)</f>
        <v>Lone Star</v>
      </c>
      <c r="B1925" s="2" t="str" cm="1">
        <f t="array" ref="B1925">INDEX('Whitelist (Blackout Reverse)'!$B$1:$K$1,MOD(ROW()-2,10)+1)</f>
        <v>ESSEX</v>
      </c>
      <c r="C1925" s="2" t="str">
        <f>VLOOKUP(A1925,'[1]Brand Family Territory (Enc)'!$A$2:$B$296,2,FALSE)</f>
        <v>All Counties</v>
      </c>
      <c r="D1925" s="2">
        <f>IF(COUNTIFS('[1]Brand Family Territories (Enc)'!$B$2:$B$62,C1925,'[1]Brand Family Territories (Enc)'!$C$2:$C$62,B1925)&gt;0,1,IF(AND(LEFT(B1925,6)="MORRIS",COUNTIFS('[1]Brand Family Territories (Enc)'!$B$2:$B$62,C1925,'[1]Brand Family Territories (Enc)'!$C$2:$C$62,"Morri")&gt;0),"Unk",0))</f>
        <v>1</v>
      </c>
      <c r="E1925" s="2" t="str">
        <f>IFERROR(INDEX('Blackout Brand Fam Areas (Enc)'!$D$6:$D$998,MATCH(UPPER(A1925)&amp;"|"&amp;UPPER(B1925),'Blackout Brand Fam Areas (Enc)'!$G$6:$G$998,0)),"No Match")</f>
        <v>No Match</v>
      </c>
      <c r="F1925" s="2" t="str">
        <f t="shared" si="60"/>
        <v>US</v>
      </c>
      <c r="G1925" s="2" t="str">
        <f t="shared" si="61"/>
        <v>Lone Star|ESSEX</v>
      </c>
    </row>
    <row r="1926" spans="1:7" x14ac:dyDescent="0.2">
      <c r="A1926" s="2" t="str" cm="1">
        <f t="array" ref="A1926">INDEX('[1]Brand Family Territory (Enc)'!$A$2:$A$296,INT((ROW()-2)/10)+1)</f>
        <v>Lone Star</v>
      </c>
      <c r="B1926" s="2" t="str" cm="1">
        <f t="array" ref="B1926">INDEX('Whitelist (Blackout Reverse)'!$B$1:$K$1,MOD(ROW()-2,10)+1)</f>
        <v>HUDSON</v>
      </c>
      <c r="C1926" s="2" t="str">
        <f>VLOOKUP(A1926,'[1]Brand Family Territory (Enc)'!$A$2:$B$296,2,FALSE)</f>
        <v>All Counties</v>
      </c>
      <c r="D1926" s="2">
        <f>IF(COUNTIFS('[1]Brand Family Territories (Enc)'!$B$2:$B$62,C1926,'[1]Brand Family Territories (Enc)'!$C$2:$C$62,B1926)&gt;0,1,IF(AND(LEFT(B1926,6)="MORRIS",COUNTIFS('[1]Brand Family Territories (Enc)'!$B$2:$B$62,C1926,'[1]Brand Family Territories (Enc)'!$C$2:$C$62,"Morri")&gt;0),"Unk",0))</f>
        <v>1</v>
      </c>
      <c r="E1926" s="2" t="str">
        <f>IFERROR(INDEX('Blackout Brand Fam Areas (Enc)'!$D$6:$D$998,MATCH(UPPER(A1926)&amp;"|"&amp;UPPER(B1926),'Blackout Brand Fam Areas (Enc)'!$G$6:$G$998,0)),"No Match")</f>
        <v>No Match</v>
      </c>
      <c r="F1926" s="2" t="str">
        <f t="shared" si="60"/>
        <v>US</v>
      </c>
      <c r="G1926" s="2" t="str">
        <f t="shared" si="61"/>
        <v>Lone Star|HUDSON</v>
      </c>
    </row>
    <row r="1927" spans="1:7" x14ac:dyDescent="0.2">
      <c r="A1927" s="2" t="str" cm="1">
        <f t="array" ref="A1927">INDEX('[1]Brand Family Territory (Enc)'!$A$2:$A$296,INT((ROW()-2)/10)+1)</f>
        <v>Lone Star</v>
      </c>
      <c r="B1927" s="2" t="str" cm="1">
        <f t="array" ref="B1927">INDEX('Whitelist (Blackout Reverse)'!$B$1:$K$1,MOD(ROW()-2,10)+1)</f>
        <v>UNION</v>
      </c>
      <c r="C1927" s="2" t="str">
        <f>VLOOKUP(A1927,'[1]Brand Family Territory (Enc)'!$A$2:$B$296,2,FALSE)</f>
        <v>All Counties</v>
      </c>
      <c r="D1927" s="2">
        <f>IF(COUNTIFS('[1]Brand Family Territories (Enc)'!$B$2:$B$62,C1927,'[1]Brand Family Territories (Enc)'!$C$2:$C$62,B1927)&gt;0,1,IF(AND(LEFT(B1927,6)="MORRIS",COUNTIFS('[1]Brand Family Territories (Enc)'!$B$2:$B$62,C1927,'[1]Brand Family Territories (Enc)'!$C$2:$C$62,"Morri")&gt;0),"Unk",0))</f>
        <v>1</v>
      </c>
      <c r="E1927" s="2" t="str">
        <f>IFERROR(INDEX('Blackout Brand Fam Areas (Enc)'!$D$6:$D$998,MATCH(UPPER(A1927)&amp;"|"&amp;UPPER(B1927),'Blackout Brand Fam Areas (Enc)'!$G$6:$G$998,0)),"No Match")</f>
        <v>No Match</v>
      </c>
      <c r="F1927" s="2" t="str">
        <f t="shared" si="60"/>
        <v>US</v>
      </c>
      <c r="G1927" s="2" t="str">
        <f t="shared" si="61"/>
        <v>Lone Star|UNION</v>
      </c>
    </row>
    <row r="1928" spans="1:7" x14ac:dyDescent="0.2">
      <c r="A1928" s="2" t="str" cm="1">
        <f t="array" ref="A1928">INDEX('[1]Brand Family Territory (Enc)'!$A$2:$A$296,INT((ROW()-2)/10)+1)</f>
        <v>Lone Star</v>
      </c>
      <c r="B1928" s="2" t="str" cm="1">
        <f t="array" ref="B1928">INDEX('Whitelist (Blackout Reverse)'!$B$1:$K$1,MOD(ROW()-2,10)+1)</f>
        <v>SUSSEX</v>
      </c>
      <c r="C1928" s="2" t="str">
        <f>VLOOKUP(A1928,'[1]Brand Family Territory (Enc)'!$A$2:$B$296,2,FALSE)</f>
        <v>All Counties</v>
      </c>
      <c r="D1928" s="2">
        <f>IF(COUNTIFS('[1]Brand Family Territories (Enc)'!$B$2:$B$62,C1928,'[1]Brand Family Territories (Enc)'!$C$2:$C$62,B1928)&gt;0,1,IF(AND(LEFT(B1928,6)="MORRIS",COUNTIFS('[1]Brand Family Territories (Enc)'!$B$2:$B$62,C1928,'[1]Brand Family Territories (Enc)'!$C$2:$C$62,"Morri")&gt;0),"Unk",0))</f>
        <v>1</v>
      </c>
      <c r="E1928" s="2" t="str">
        <f>IFERROR(INDEX('Blackout Brand Fam Areas (Enc)'!$D$6:$D$998,MATCH(UPPER(A1928)&amp;"|"&amp;UPPER(B1928),'Blackout Brand Fam Areas (Enc)'!$G$6:$G$998,0)),"No Match")</f>
        <v>No Match</v>
      </c>
      <c r="F1928" s="2" t="str">
        <f t="shared" si="60"/>
        <v>US</v>
      </c>
      <c r="G1928" s="2" t="str">
        <f t="shared" si="61"/>
        <v>Lone Star|SUSSEX</v>
      </c>
    </row>
    <row r="1929" spans="1:7" x14ac:dyDescent="0.2">
      <c r="A1929" s="2" t="str" cm="1">
        <f t="array" ref="A1929">INDEX('[1]Brand Family Territory (Enc)'!$A$2:$A$296,INT((ROW()-2)/10)+1)</f>
        <v>Lone Star</v>
      </c>
      <c r="B1929" s="2" t="str" cm="1">
        <f t="array" ref="B1929">INDEX('Whitelist (Blackout Reverse)'!$B$1:$K$1,MOD(ROW()-2,10)+1)</f>
        <v>MORRIS 1</v>
      </c>
      <c r="C1929" s="2" t="str">
        <f>VLOOKUP(A1929,'[1]Brand Family Territory (Enc)'!$A$2:$B$296,2,FALSE)</f>
        <v>All Counties</v>
      </c>
      <c r="D1929" s="2">
        <f>IF(COUNTIFS('[1]Brand Family Territories (Enc)'!$B$2:$B$62,C1929,'[1]Brand Family Territories (Enc)'!$C$2:$C$62,B1929)&gt;0,1,IF(AND(LEFT(B1929,6)="MORRIS",COUNTIFS('[1]Brand Family Territories (Enc)'!$B$2:$B$62,C1929,'[1]Brand Family Territories (Enc)'!$C$2:$C$62,"Morri")&gt;0),"Unk",0))</f>
        <v>1</v>
      </c>
      <c r="E1929" s="2" t="str">
        <f>IFERROR(INDEX('Blackout Brand Fam Areas (Enc)'!$D$6:$D$998,MATCH(UPPER(A1929)&amp;"|"&amp;UPPER(B1929),'Blackout Brand Fam Areas (Enc)'!$G$6:$G$998,0)),"No Match")</f>
        <v>No Match</v>
      </c>
      <c r="F1929" s="2" t="str">
        <f t="shared" si="60"/>
        <v>US</v>
      </c>
      <c r="G1929" s="2" t="str">
        <f t="shared" si="61"/>
        <v>Lone Star|MORRIS 1</v>
      </c>
    </row>
    <row r="1930" spans="1:7" x14ac:dyDescent="0.2">
      <c r="A1930" s="2" t="str" cm="1">
        <f t="array" ref="A1930">INDEX('[1]Brand Family Territory (Enc)'!$A$2:$A$296,INT((ROW()-2)/10)+1)</f>
        <v>Lone Star</v>
      </c>
      <c r="B1930" s="2" t="str" cm="1">
        <f t="array" ref="B1930">INDEX('Whitelist (Blackout Reverse)'!$B$1:$K$1,MOD(ROW()-2,10)+1)</f>
        <v>MORRIS 2</v>
      </c>
      <c r="C1930" s="2" t="str">
        <f>VLOOKUP(A1930,'[1]Brand Family Territory (Enc)'!$A$2:$B$296,2,FALSE)</f>
        <v>All Counties</v>
      </c>
      <c r="D1930" s="2">
        <f>IF(COUNTIFS('[1]Brand Family Territories (Enc)'!$B$2:$B$62,C1930,'[1]Brand Family Territories (Enc)'!$C$2:$C$62,B1930)&gt;0,1,IF(AND(LEFT(B1930,6)="MORRIS",COUNTIFS('[1]Brand Family Territories (Enc)'!$B$2:$B$62,C1930,'[1]Brand Family Territories (Enc)'!$C$2:$C$62,"Morri")&gt;0),"Unk",0))</f>
        <v>1</v>
      </c>
      <c r="E1930" s="2" t="str">
        <f>IFERROR(INDEX('Blackout Brand Fam Areas (Enc)'!$D$6:$D$998,MATCH(UPPER(A1930)&amp;"|"&amp;UPPER(B1930),'Blackout Brand Fam Areas (Enc)'!$G$6:$G$998,0)),"No Match")</f>
        <v>No Match</v>
      </c>
      <c r="F1930" s="2" t="str">
        <f t="shared" si="60"/>
        <v>US</v>
      </c>
      <c r="G1930" s="2" t="str">
        <f t="shared" si="61"/>
        <v>Lone Star|MORRIS 2</v>
      </c>
    </row>
    <row r="1931" spans="1:7" x14ac:dyDescent="0.2">
      <c r="A1931" s="2" t="str" cm="1">
        <f t="array" ref="A1931">INDEX('[1]Brand Family Territory (Enc)'!$A$2:$A$296,INT((ROW()-2)/10)+1)</f>
        <v>Lone Star</v>
      </c>
      <c r="B1931" s="2" t="str" cm="1">
        <f t="array" ref="B1931">INDEX('Whitelist (Blackout Reverse)'!$B$1:$K$1,MOD(ROW()-2,10)+1)</f>
        <v>MORRIS 3</v>
      </c>
      <c r="C1931" s="2" t="str">
        <f>VLOOKUP(A1931,'[1]Brand Family Territory (Enc)'!$A$2:$B$296,2,FALSE)</f>
        <v>All Counties</v>
      </c>
      <c r="D1931" s="2">
        <f>IF(COUNTIFS('[1]Brand Family Territories (Enc)'!$B$2:$B$62,C1931,'[1]Brand Family Territories (Enc)'!$C$2:$C$62,B1931)&gt;0,1,IF(AND(LEFT(B1931,6)="MORRIS",COUNTIFS('[1]Brand Family Territories (Enc)'!$B$2:$B$62,C1931,'[1]Brand Family Territories (Enc)'!$C$2:$C$62,"Morri")&gt;0),"Unk",0))</f>
        <v>1</v>
      </c>
      <c r="E1931" s="2" t="str">
        <f>IFERROR(INDEX('Blackout Brand Fam Areas (Enc)'!$D$6:$D$998,MATCH(UPPER(A1931)&amp;"|"&amp;UPPER(B1931),'Blackout Brand Fam Areas (Enc)'!$G$6:$G$998,0)),"No Match")</f>
        <v>No Match</v>
      </c>
      <c r="F1931" s="2" t="str">
        <f t="shared" si="60"/>
        <v>US</v>
      </c>
      <c r="G1931" s="2" t="str">
        <f t="shared" si="61"/>
        <v>Lone Star|MORRIS 3</v>
      </c>
    </row>
    <row r="1932" spans="1:7" x14ac:dyDescent="0.2">
      <c r="A1932" s="2" t="str" cm="1">
        <f t="array" ref="A1932">INDEX('[1]Brand Family Territory (Enc)'!$A$2:$A$296,INT((ROW()-2)/10)+1)</f>
        <v>Long Trail</v>
      </c>
      <c r="B1932" s="2" t="str" cm="1">
        <f t="array" ref="B1932">INDEX('Whitelist (Blackout Reverse)'!$B$1:$K$1,MOD(ROW()-2,10)+1)</f>
        <v>BERGEN</v>
      </c>
      <c r="C1932" s="2" t="str">
        <f>VLOOKUP(A1932,'[1]Brand Family Territory (Enc)'!$A$2:$B$296,2,FALSE)</f>
        <v>All Counties</v>
      </c>
      <c r="D1932" s="2">
        <f>IF(COUNTIFS('[1]Brand Family Territories (Enc)'!$B$2:$B$62,C1932,'[1]Brand Family Territories (Enc)'!$C$2:$C$62,B1932)&gt;0,1,IF(AND(LEFT(B1932,6)="MORRIS",COUNTIFS('[1]Brand Family Territories (Enc)'!$B$2:$B$62,C1932,'[1]Brand Family Territories (Enc)'!$C$2:$C$62,"Morri")&gt;0),"Unk",0))</f>
        <v>1</v>
      </c>
      <c r="E1932" s="2" t="str">
        <f>IFERROR(INDEX('Blackout Brand Fam Areas (Enc)'!$D$6:$D$998,MATCH(UPPER(A1932)&amp;"|"&amp;UPPER(B1932),'Blackout Brand Fam Areas (Enc)'!$G$6:$G$998,0)),"No Match")</f>
        <v>No Match</v>
      </c>
      <c r="F1932" s="2" t="str">
        <f t="shared" si="60"/>
        <v>US</v>
      </c>
      <c r="G1932" s="2" t="str">
        <f t="shared" si="61"/>
        <v>Long Trail|BERGEN</v>
      </c>
    </row>
    <row r="1933" spans="1:7" x14ac:dyDescent="0.2">
      <c r="A1933" s="2" t="str" cm="1">
        <f t="array" ref="A1933">INDEX('[1]Brand Family Territory (Enc)'!$A$2:$A$296,INT((ROW()-2)/10)+1)</f>
        <v>Long Trail</v>
      </c>
      <c r="B1933" s="2" t="str" cm="1">
        <f t="array" ref="B1933">INDEX('Whitelist (Blackout Reverse)'!$B$1:$K$1,MOD(ROW()-2,10)+1)</f>
        <v>PASSAIC</v>
      </c>
      <c r="C1933" s="2" t="str">
        <f>VLOOKUP(A1933,'[1]Brand Family Territory (Enc)'!$A$2:$B$296,2,FALSE)</f>
        <v>All Counties</v>
      </c>
      <c r="D1933" s="2">
        <f>IF(COUNTIFS('[1]Brand Family Territories (Enc)'!$B$2:$B$62,C1933,'[1]Brand Family Territories (Enc)'!$C$2:$C$62,B1933)&gt;0,1,IF(AND(LEFT(B1933,6)="MORRIS",COUNTIFS('[1]Brand Family Territories (Enc)'!$B$2:$B$62,C1933,'[1]Brand Family Territories (Enc)'!$C$2:$C$62,"Morri")&gt;0),"Unk",0))</f>
        <v>1</v>
      </c>
      <c r="E1933" s="2" t="str">
        <f>IFERROR(INDEX('Blackout Brand Fam Areas (Enc)'!$D$6:$D$998,MATCH(UPPER(A1933)&amp;"|"&amp;UPPER(B1933),'Blackout Brand Fam Areas (Enc)'!$G$6:$G$998,0)),"No Match")</f>
        <v>No Match</v>
      </c>
      <c r="F1933" s="2" t="str">
        <f t="shared" si="60"/>
        <v>US</v>
      </c>
      <c r="G1933" s="2" t="str">
        <f t="shared" si="61"/>
        <v>Long Trail|PASSAIC</v>
      </c>
    </row>
    <row r="1934" spans="1:7" x14ac:dyDescent="0.2">
      <c r="A1934" s="2" t="str" cm="1">
        <f t="array" ref="A1934">INDEX('[1]Brand Family Territory (Enc)'!$A$2:$A$296,INT((ROW()-2)/10)+1)</f>
        <v>Long Trail</v>
      </c>
      <c r="B1934" s="2" t="str" cm="1">
        <f t="array" ref="B1934">INDEX('Whitelist (Blackout Reverse)'!$B$1:$K$1,MOD(ROW()-2,10)+1)</f>
        <v>PASSAIC-FF</v>
      </c>
      <c r="C1934" s="2" t="str">
        <f>VLOOKUP(A1934,'[1]Brand Family Territory (Enc)'!$A$2:$B$296,2,FALSE)</f>
        <v>All Counties</v>
      </c>
      <c r="D1934" s="2">
        <f>IF(COUNTIFS('[1]Brand Family Territories (Enc)'!$B$2:$B$62,C1934,'[1]Brand Family Territories (Enc)'!$C$2:$C$62,B1934)&gt;0,1,IF(AND(LEFT(B1934,6)="MORRIS",COUNTIFS('[1]Brand Family Territories (Enc)'!$B$2:$B$62,C1934,'[1]Brand Family Territories (Enc)'!$C$2:$C$62,"Morri")&gt;0),"Unk",0))</f>
        <v>1</v>
      </c>
      <c r="E1934" s="2" t="str">
        <f>IFERROR(INDEX('Blackout Brand Fam Areas (Enc)'!$D$6:$D$998,MATCH(UPPER(A1934)&amp;"|"&amp;UPPER(B1934),'Blackout Brand Fam Areas (Enc)'!$G$6:$G$998,0)),"No Match")</f>
        <v>No Match</v>
      </c>
      <c r="F1934" s="2" t="str">
        <f t="shared" si="60"/>
        <v>US</v>
      </c>
      <c r="G1934" s="2" t="str">
        <f t="shared" si="61"/>
        <v>Long Trail|PASSAIC-FF</v>
      </c>
    </row>
    <row r="1935" spans="1:7" x14ac:dyDescent="0.2">
      <c r="A1935" s="2" t="str" cm="1">
        <f t="array" ref="A1935">INDEX('[1]Brand Family Territory (Enc)'!$A$2:$A$296,INT((ROW()-2)/10)+1)</f>
        <v>Long Trail</v>
      </c>
      <c r="B1935" s="2" t="str" cm="1">
        <f t="array" ref="B1935">INDEX('Whitelist (Blackout Reverse)'!$B$1:$K$1,MOD(ROW()-2,10)+1)</f>
        <v>ESSEX</v>
      </c>
      <c r="C1935" s="2" t="str">
        <f>VLOOKUP(A1935,'[1]Brand Family Territory (Enc)'!$A$2:$B$296,2,FALSE)</f>
        <v>All Counties</v>
      </c>
      <c r="D1935" s="2">
        <f>IF(COUNTIFS('[1]Brand Family Territories (Enc)'!$B$2:$B$62,C1935,'[1]Brand Family Territories (Enc)'!$C$2:$C$62,B1935)&gt;0,1,IF(AND(LEFT(B1935,6)="MORRIS",COUNTIFS('[1]Brand Family Territories (Enc)'!$B$2:$B$62,C1935,'[1]Brand Family Territories (Enc)'!$C$2:$C$62,"Morri")&gt;0),"Unk",0))</f>
        <v>1</v>
      </c>
      <c r="E1935" s="2" t="str">
        <f>IFERROR(INDEX('Blackout Brand Fam Areas (Enc)'!$D$6:$D$998,MATCH(UPPER(A1935)&amp;"|"&amp;UPPER(B1935),'Blackout Brand Fam Areas (Enc)'!$G$6:$G$998,0)),"No Match")</f>
        <v>No Match</v>
      </c>
      <c r="F1935" s="2" t="str">
        <f t="shared" si="60"/>
        <v>US</v>
      </c>
      <c r="G1935" s="2" t="str">
        <f t="shared" si="61"/>
        <v>Long Trail|ESSEX</v>
      </c>
    </row>
    <row r="1936" spans="1:7" x14ac:dyDescent="0.2">
      <c r="A1936" s="2" t="str" cm="1">
        <f t="array" ref="A1936">INDEX('[1]Brand Family Territory (Enc)'!$A$2:$A$296,INT((ROW()-2)/10)+1)</f>
        <v>Long Trail</v>
      </c>
      <c r="B1936" s="2" t="str" cm="1">
        <f t="array" ref="B1936">INDEX('Whitelist (Blackout Reverse)'!$B$1:$K$1,MOD(ROW()-2,10)+1)</f>
        <v>HUDSON</v>
      </c>
      <c r="C1936" s="2" t="str">
        <f>VLOOKUP(A1936,'[1]Brand Family Territory (Enc)'!$A$2:$B$296,2,FALSE)</f>
        <v>All Counties</v>
      </c>
      <c r="D1936" s="2">
        <f>IF(COUNTIFS('[1]Brand Family Territories (Enc)'!$B$2:$B$62,C1936,'[1]Brand Family Territories (Enc)'!$C$2:$C$62,B1936)&gt;0,1,IF(AND(LEFT(B1936,6)="MORRIS",COUNTIFS('[1]Brand Family Territories (Enc)'!$B$2:$B$62,C1936,'[1]Brand Family Territories (Enc)'!$C$2:$C$62,"Morri")&gt;0),"Unk",0))</f>
        <v>1</v>
      </c>
      <c r="E1936" s="2" t="str">
        <f>IFERROR(INDEX('Blackout Brand Fam Areas (Enc)'!$D$6:$D$998,MATCH(UPPER(A1936)&amp;"|"&amp;UPPER(B1936),'Blackout Brand Fam Areas (Enc)'!$G$6:$G$998,0)),"No Match")</f>
        <v>No Match</v>
      </c>
      <c r="F1936" s="2" t="str">
        <f t="shared" si="60"/>
        <v>US</v>
      </c>
      <c r="G1936" s="2" t="str">
        <f t="shared" si="61"/>
        <v>Long Trail|HUDSON</v>
      </c>
    </row>
    <row r="1937" spans="1:7" x14ac:dyDescent="0.2">
      <c r="A1937" s="2" t="str" cm="1">
        <f t="array" ref="A1937">INDEX('[1]Brand Family Territory (Enc)'!$A$2:$A$296,INT((ROW()-2)/10)+1)</f>
        <v>Long Trail</v>
      </c>
      <c r="B1937" s="2" t="str" cm="1">
        <f t="array" ref="B1937">INDEX('Whitelist (Blackout Reverse)'!$B$1:$K$1,MOD(ROW()-2,10)+1)</f>
        <v>UNION</v>
      </c>
      <c r="C1937" s="2" t="str">
        <f>VLOOKUP(A1937,'[1]Brand Family Territory (Enc)'!$A$2:$B$296,2,FALSE)</f>
        <v>All Counties</v>
      </c>
      <c r="D1937" s="2">
        <f>IF(COUNTIFS('[1]Brand Family Territories (Enc)'!$B$2:$B$62,C1937,'[1]Brand Family Territories (Enc)'!$C$2:$C$62,B1937)&gt;0,1,IF(AND(LEFT(B1937,6)="MORRIS",COUNTIFS('[1]Brand Family Territories (Enc)'!$B$2:$B$62,C1937,'[1]Brand Family Territories (Enc)'!$C$2:$C$62,"Morri")&gt;0),"Unk",0))</f>
        <v>1</v>
      </c>
      <c r="E1937" s="2" t="str">
        <f>IFERROR(INDEX('Blackout Brand Fam Areas (Enc)'!$D$6:$D$998,MATCH(UPPER(A1937)&amp;"|"&amp;UPPER(B1937),'Blackout Brand Fam Areas (Enc)'!$G$6:$G$998,0)),"No Match")</f>
        <v>No Match</v>
      </c>
      <c r="F1937" s="2" t="str">
        <f t="shared" si="60"/>
        <v>US</v>
      </c>
      <c r="G1937" s="2" t="str">
        <f t="shared" si="61"/>
        <v>Long Trail|UNION</v>
      </c>
    </row>
    <row r="1938" spans="1:7" x14ac:dyDescent="0.2">
      <c r="A1938" s="2" t="str" cm="1">
        <f t="array" ref="A1938">INDEX('[1]Brand Family Territory (Enc)'!$A$2:$A$296,INT((ROW()-2)/10)+1)</f>
        <v>Long Trail</v>
      </c>
      <c r="B1938" s="2" t="str" cm="1">
        <f t="array" ref="B1938">INDEX('Whitelist (Blackout Reverse)'!$B$1:$K$1,MOD(ROW()-2,10)+1)</f>
        <v>SUSSEX</v>
      </c>
      <c r="C1938" s="2" t="str">
        <f>VLOOKUP(A1938,'[1]Brand Family Territory (Enc)'!$A$2:$B$296,2,FALSE)</f>
        <v>All Counties</v>
      </c>
      <c r="D1938" s="2">
        <f>IF(COUNTIFS('[1]Brand Family Territories (Enc)'!$B$2:$B$62,C1938,'[1]Brand Family Territories (Enc)'!$C$2:$C$62,B1938)&gt;0,1,IF(AND(LEFT(B1938,6)="MORRIS",COUNTIFS('[1]Brand Family Territories (Enc)'!$B$2:$B$62,C1938,'[1]Brand Family Territories (Enc)'!$C$2:$C$62,"Morri")&gt;0),"Unk",0))</f>
        <v>1</v>
      </c>
      <c r="E1938" s="2" t="str">
        <f>IFERROR(INDEX('Blackout Brand Fam Areas (Enc)'!$D$6:$D$998,MATCH(UPPER(A1938)&amp;"|"&amp;UPPER(B1938),'Blackout Brand Fam Areas (Enc)'!$G$6:$G$998,0)),"No Match")</f>
        <v>No Match</v>
      </c>
      <c r="F1938" s="2" t="str">
        <f t="shared" si="60"/>
        <v>US</v>
      </c>
      <c r="G1938" s="2" t="str">
        <f t="shared" si="61"/>
        <v>Long Trail|SUSSEX</v>
      </c>
    </row>
    <row r="1939" spans="1:7" x14ac:dyDescent="0.2">
      <c r="A1939" s="2" t="str" cm="1">
        <f t="array" ref="A1939">INDEX('[1]Brand Family Territory (Enc)'!$A$2:$A$296,INT((ROW()-2)/10)+1)</f>
        <v>Long Trail</v>
      </c>
      <c r="B1939" s="2" t="str" cm="1">
        <f t="array" ref="B1939">INDEX('Whitelist (Blackout Reverse)'!$B$1:$K$1,MOD(ROW()-2,10)+1)</f>
        <v>MORRIS 1</v>
      </c>
      <c r="C1939" s="2" t="str">
        <f>VLOOKUP(A1939,'[1]Brand Family Territory (Enc)'!$A$2:$B$296,2,FALSE)</f>
        <v>All Counties</v>
      </c>
      <c r="D1939" s="2">
        <f>IF(COUNTIFS('[1]Brand Family Territories (Enc)'!$B$2:$B$62,C1939,'[1]Brand Family Territories (Enc)'!$C$2:$C$62,B1939)&gt;0,1,IF(AND(LEFT(B1939,6)="MORRIS",COUNTIFS('[1]Brand Family Territories (Enc)'!$B$2:$B$62,C1939,'[1]Brand Family Territories (Enc)'!$C$2:$C$62,"Morri")&gt;0),"Unk",0))</f>
        <v>1</v>
      </c>
      <c r="E1939" s="2" t="str">
        <f>IFERROR(INDEX('Blackout Brand Fam Areas (Enc)'!$D$6:$D$998,MATCH(UPPER(A1939)&amp;"|"&amp;UPPER(B1939),'Blackout Brand Fam Areas (Enc)'!$G$6:$G$998,0)),"No Match")</f>
        <v>No Match</v>
      </c>
      <c r="F1939" s="2" t="str">
        <f t="shared" si="60"/>
        <v>US</v>
      </c>
      <c r="G1939" s="2" t="str">
        <f t="shared" si="61"/>
        <v>Long Trail|MORRIS 1</v>
      </c>
    </row>
    <row r="1940" spans="1:7" x14ac:dyDescent="0.2">
      <c r="A1940" s="2" t="str" cm="1">
        <f t="array" ref="A1940">INDEX('[1]Brand Family Territory (Enc)'!$A$2:$A$296,INT((ROW()-2)/10)+1)</f>
        <v>Long Trail</v>
      </c>
      <c r="B1940" s="2" t="str" cm="1">
        <f t="array" ref="B1940">INDEX('Whitelist (Blackout Reverse)'!$B$1:$K$1,MOD(ROW()-2,10)+1)</f>
        <v>MORRIS 2</v>
      </c>
      <c r="C1940" s="2" t="str">
        <f>VLOOKUP(A1940,'[1]Brand Family Territory (Enc)'!$A$2:$B$296,2,FALSE)</f>
        <v>All Counties</v>
      </c>
      <c r="D1940" s="2">
        <f>IF(COUNTIFS('[1]Brand Family Territories (Enc)'!$B$2:$B$62,C1940,'[1]Brand Family Territories (Enc)'!$C$2:$C$62,B1940)&gt;0,1,IF(AND(LEFT(B1940,6)="MORRIS",COUNTIFS('[1]Brand Family Territories (Enc)'!$B$2:$B$62,C1940,'[1]Brand Family Territories (Enc)'!$C$2:$C$62,"Morri")&gt;0),"Unk",0))</f>
        <v>1</v>
      </c>
      <c r="E1940" s="2" t="str">
        <f>IFERROR(INDEX('Blackout Brand Fam Areas (Enc)'!$D$6:$D$998,MATCH(UPPER(A1940)&amp;"|"&amp;UPPER(B1940),'Blackout Brand Fam Areas (Enc)'!$G$6:$G$998,0)),"No Match")</f>
        <v>No Match</v>
      </c>
      <c r="F1940" s="2" t="str">
        <f t="shared" si="60"/>
        <v>US</v>
      </c>
      <c r="G1940" s="2" t="str">
        <f t="shared" si="61"/>
        <v>Long Trail|MORRIS 2</v>
      </c>
    </row>
    <row r="1941" spans="1:7" x14ac:dyDescent="0.2">
      <c r="A1941" s="2" t="str" cm="1">
        <f t="array" ref="A1941">INDEX('[1]Brand Family Territory (Enc)'!$A$2:$A$296,INT((ROW()-2)/10)+1)</f>
        <v>Long Trail</v>
      </c>
      <c r="B1941" s="2" t="str" cm="1">
        <f t="array" ref="B1941">INDEX('Whitelist (Blackout Reverse)'!$B$1:$K$1,MOD(ROW()-2,10)+1)</f>
        <v>MORRIS 3</v>
      </c>
      <c r="C1941" s="2" t="str">
        <f>VLOOKUP(A1941,'[1]Brand Family Territory (Enc)'!$A$2:$B$296,2,FALSE)</f>
        <v>All Counties</v>
      </c>
      <c r="D1941" s="2">
        <f>IF(COUNTIFS('[1]Brand Family Territories (Enc)'!$B$2:$B$62,C1941,'[1]Brand Family Territories (Enc)'!$C$2:$C$62,B1941)&gt;0,1,IF(AND(LEFT(B1941,6)="MORRIS",COUNTIFS('[1]Brand Family Territories (Enc)'!$B$2:$B$62,C1941,'[1]Brand Family Territories (Enc)'!$C$2:$C$62,"Morri")&gt;0),"Unk",0))</f>
        <v>1</v>
      </c>
      <c r="E1941" s="2" t="str">
        <f>IFERROR(INDEX('Blackout Brand Fam Areas (Enc)'!$D$6:$D$998,MATCH(UPPER(A1941)&amp;"|"&amp;UPPER(B1941),'Blackout Brand Fam Areas (Enc)'!$G$6:$G$998,0)),"No Match")</f>
        <v>No Match</v>
      </c>
      <c r="F1941" s="2" t="str">
        <f t="shared" si="60"/>
        <v>US</v>
      </c>
      <c r="G1941" s="2" t="str">
        <f t="shared" si="61"/>
        <v>Long Trail|MORRIS 3</v>
      </c>
    </row>
    <row r="1942" spans="1:7" x14ac:dyDescent="0.2">
      <c r="A1942" s="2" t="str" cm="1">
        <f t="array" ref="A1942">INDEX('[1]Brand Family Territory (Enc)'!$A$2:$A$296,INT((ROW()-2)/10)+1)</f>
        <v>Caravella</v>
      </c>
      <c r="B1942" s="2" t="str" cm="1">
        <f t="array" ref="B1942">INDEX('Whitelist (Blackout Reverse)'!$B$1:$K$1,MOD(ROW()-2,10)+1)</f>
        <v>BERGEN</v>
      </c>
      <c r="C1942" s="2" t="str">
        <f>VLOOKUP(A1942,'[1]Brand Family Territory (Enc)'!$A$2:$B$296,2,FALSE)</f>
        <v>All Counties</v>
      </c>
      <c r="D1942" s="2">
        <f>IF(COUNTIFS('[1]Brand Family Territories (Enc)'!$B$2:$B$62,C1942,'[1]Brand Family Territories (Enc)'!$C$2:$C$62,B1942)&gt;0,1,IF(AND(LEFT(B1942,6)="MORRIS",COUNTIFS('[1]Brand Family Territories (Enc)'!$B$2:$B$62,C1942,'[1]Brand Family Territories (Enc)'!$C$2:$C$62,"Morri")&gt;0),"Unk",0))</f>
        <v>1</v>
      </c>
      <c r="E1942" s="2" t="str">
        <f>IFERROR(INDEX('Blackout Brand Fam Areas (Enc)'!$D$6:$D$998,MATCH(UPPER(A1942)&amp;"|"&amp;UPPER(B1942),'Blackout Brand Fam Areas (Enc)'!$G$6:$G$998,0)),"No Match")</f>
        <v>No Match</v>
      </c>
      <c r="F1942" s="2" t="str">
        <f t="shared" si="60"/>
        <v>US</v>
      </c>
      <c r="G1942" s="2" t="str">
        <f t="shared" si="61"/>
        <v>Caravella|BERGEN</v>
      </c>
    </row>
    <row r="1943" spans="1:7" x14ac:dyDescent="0.2">
      <c r="A1943" s="2" t="str" cm="1">
        <f t="array" ref="A1943">INDEX('[1]Brand Family Territory (Enc)'!$A$2:$A$296,INT((ROW()-2)/10)+1)</f>
        <v>Caravella</v>
      </c>
      <c r="B1943" s="2" t="str" cm="1">
        <f t="array" ref="B1943">INDEX('Whitelist (Blackout Reverse)'!$B$1:$K$1,MOD(ROW()-2,10)+1)</f>
        <v>PASSAIC</v>
      </c>
      <c r="C1943" s="2" t="str">
        <f>VLOOKUP(A1943,'[1]Brand Family Territory (Enc)'!$A$2:$B$296,2,FALSE)</f>
        <v>All Counties</v>
      </c>
      <c r="D1943" s="2">
        <f>IF(COUNTIFS('[1]Brand Family Territories (Enc)'!$B$2:$B$62,C1943,'[1]Brand Family Territories (Enc)'!$C$2:$C$62,B1943)&gt;0,1,IF(AND(LEFT(B1943,6)="MORRIS",COUNTIFS('[1]Brand Family Territories (Enc)'!$B$2:$B$62,C1943,'[1]Brand Family Territories (Enc)'!$C$2:$C$62,"Morri")&gt;0),"Unk",0))</f>
        <v>1</v>
      </c>
      <c r="E1943" s="2" t="str">
        <f>IFERROR(INDEX('Blackout Brand Fam Areas (Enc)'!$D$6:$D$998,MATCH(UPPER(A1943)&amp;"|"&amp;UPPER(B1943),'Blackout Brand Fam Areas (Enc)'!$G$6:$G$998,0)),"No Match")</f>
        <v>No Match</v>
      </c>
      <c r="F1943" s="2" t="str">
        <f t="shared" si="60"/>
        <v>US</v>
      </c>
      <c r="G1943" s="2" t="str">
        <f t="shared" si="61"/>
        <v>Caravella|PASSAIC</v>
      </c>
    </row>
    <row r="1944" spans="1:7" x14ac:dyDescent="0.2">
      <c r="A1944" s="2" t="str" cm="1">
        <f t="array" ref="A1944">INDEX('[1]Brand Family Territory (Enc)'!$A$2:$A$296,INT((ROW()-2)/10)+1)</f>
        <v>Caravella</v>
      </c>
      <c r="B1944" s="2" t="str" cm="1">
        <f t="array" ref="B1944">INDEX('Whitelist (Blackout Reverse)'!$B$1:$K$1,MOD(ROW()-2,10)+1)</f>
        <v>PASSAIC-FF</v>
      </c>
      <c r="C1944" s="2" t="str">
        <f>VLOOKUP(A1944,'[1]Brand Family Territory (Enc)'!$A$2:$B$296,2,FALSE)</f>
        <v>All Counties</v>
      </c>
      <c r="D1944" s="2">
        <f>IF(COUNTIFS('[1]Brand Family Territories (Enc)'!$B$2:$B$62,C1944,'[1]Brand Family Territories (Enc)'!$C$2:$C$62,B1944)&gt;0,1,IF(AND(LEFT(B1944,6)="MORRIS",COUNTIFS('[1]Brand Family Territories (Enc)'!$B$2:$B$62,C1944,'[1]Brand Family Territories (Enc)'!$C$2:$C$62,"Morri")&gt;0),"Unk",0))</f>
        <v>1</v>
      </c>
      <c r="E1944" s="2" t="str">
        <f>IFERROR(INDEX('Blackout Brand Fam Areas (Enc)'!$D$6:$D$998,MATCH(UPPER(A1944)&amp;"|"&amp;UPPER(B1944),'Blackout Brand Fam Areas (Enc)'!$G$6:$G$998,0)),"No Match")</f>
        <v>No Match</v>
      </c>
      <c r="F1944" s="2" t="str">
        <f t="shared" si="60"/>
        <v>US</v>
      </c>
      <c r="G1944" s="2" t="str">
        <f t="shared" si="61"/>
        <v>Caravella|PASSAIC-FF</v>
      </c>
    </row>
    <row r="1945" spans="1:7" x14ac:dyDescent="0.2">
      <c r="A1945" s="2" t="str" cm="1">
        <f t="array" ref="A1945">INDEX('[1]Brand Family Territory (Enc)'!$A$2:$A$296,INT((ROW()-2)/10)+1)</f>
        <v>Caravella</v>
      </c>
      <c r="B1945" s="2" t="str" cm="1">
        <f t="array" ref="B1945">INDEX('Whitelist (Blackout Reverse)'!$B$1:$K$1,MOD(ROW()-2,10)+1)</f>
        <v>ESSEX</v>
      </c>
      <c r="C1945" s="2" t="str">
        <f>VLOOKUP(A1945,'[1]Brand Family Territory (Enc)'!$A$2:$B$296,2,FALSE)</f>
        <v>All Counties</v>
      </c>
      <c r="D1945" s="2">
        <f>IF(COUNTIFS('[1]Brand Family Territories (Enc)'!$B$2:$B$62,C1945,'[1]Brand Family Territories (Enc)'!$C$2:$C$62,B1945)&gt;0,1,IF(AND(LEFT(B1945,6)="MORRIS",COUNTIFS('[1]Brand Family Territories (Enc)'!$B$2:$B$62,C1945,'[1]Brand Family Territories (Enc)'!$C$2:$C$62,"Morri")&gt;0),"Unk",0))</f>
        <v>1</v>
      </c>
      <c r="E1945" s="2" t="str">
        <f>IFERROR(INDEX('Blackout Brand Fam Areas (Enc)'!$D$6:$D$998,MATCH(UPPER(A1945)&amp;"|"&amp;UPPER(B1945),'Blackout Brand Fam Areas (Enc)'!$G$6:$G$998,0)),"No Match")</f>
        <v>No Match</v>
      </c>
      <c r="F1945" s="2" t="str">
        <f t="shared" si="60"/>
        <v>US</v>
      </c>
      <c r="G1945" s="2" t="str">
        <f t="shared" si="61"/>
        <v>Caravella|ESSEX</v>
      </c>
    </row>
    <row r="1946" spans="1:7" x14ac:dyDescent="0.2">
      <c r="A1946" s="2" t="str" cm="1">
        <f t="array" ref="A1946">INDEX('[1]Brand Family Territory (Enc)'!$A$2:$A$296,INT((ROW()-2)/10)+1)</f>
        <v>Caravella</v>
      </c>
      <c r="B1946" s="2" t="str" cm="1">
        <f t="array" ref="B1946">INDEX('Whitelist (Blackout Reverse)'!$B$1:$K$1,MOD(ROW()-2,10)+1)</f>
        <v>HUDSON</v>
      </c>
      <c r="C1946" s="2" t="str">
        <f>VLOOKUP(A1946,'[1]Brand Family Territory (Enc)'!$A$2:$B$296,2,FALSE)</f>
        <v>All Counties</v>
      </c>
      <c r="D1946" s="2">
        <f>IF(COUNTIFS('[1]Brand Family Territories (Enc)'!$B$2:$B$62,C1946,'[1]Brand Family Territories (Enc)'!$C$2:$C$62,B1946)&gt;0,1,IF(AND(LEFT(B1946,6)="MORRIS",COUNTIFS('[1]Brand Family Territories (Enc)'!$B$2:$B$62,C1946,'[1]Brand Family Territories (Enc)'!$C$2:$C$62,"Morri")&gt;0),"Unk",0))</f>
        <v>1</v>
      </c>
      <c r="E1946" s="2" t="str">
        <f>IFERROR(INDEX('Blackout Brand Fam Areas (Enc)'!$D$6:$D$998,MATCH(UPPER(A1946)&amp;"|"&amp;UPPER(B1946),'Blackout Brand Fam Areas (Enc)'!$G$6:$G$998,0)),"No Match")</f>
        <v>No Match</v>
      </c>
      <c r="F1946" s="2" t="str">
        <f t="shared" si="60"/>
        <v>US</v>
      </c>
      <c r="G1946" s="2" t="str">
        <f t="shared" si="61"/>
        <v>Caravella|HUDSON</v>
      </c>
    </row>
    <row r="1947" spans="1:7" x14ac:dyDescent="0.2">
      <c r="A1947" s="2" t="str" cm="1">
        <f t="array" ref="A1947">INDEX('[1]Brand Family Territory (Enc)'!$A$2:$A$296,INT((ROW()-2)/10)+1)</f>
        <v>Caravella</v>
      </c>
      <c r="B1947" s="2" t="str" cm="1">
        <f t="array" ref="B1947">INDEX('Whitelist (Blackout Reverse)'!$B$1:$K$1,MOD(ROW()-2,10)+1)</f>
        <v>UNION</v>
      </c>
      <c r="C1947" s="2" t="str">
        <f>VLOOKUP(A1947,'[1]Brand Family Territory (Enc)'!$A$2:$B$296,2,FALSE)</f>
        <v>All Counties</v>
      </c>
      <c r="D1947" s="2">
        <f>IF(COUNTIFS('[1]Brand Family Territories (Enc)'!$B$2:$B$62,C1947,'[1]Brand Family Territories (Enc)'!$C$2:$C$62,B1947)&gt;0,1,IF(AND(LEFT(B1947,6)="MORRIS",COUNTIFS('[1]Brand Family Territories (Enc)'!$B$2:$B$62,C1947,'[1]Brand Family Territories (Enc)'!$C$2:$C$62,"Morri")&gt;0),"Unk",0))</f>
        <v>1</v>
      </c>
      <c r="E1947" s="2" t="str">
        <f>IFERROR(INDEX('Blackout Brand Fam Areas (Enc)'!$D$6:$D$998,MATCH(UPPER(A1947)&amp;"|"&amp;UPPER(B1947),'Blackout Brand Fam Areas (Enc)'!$G$6:$G$998,0)),"No Match")</f>
        <v>No Match</v>
      </c>
      <c r="F1947" s="2" t="str">
        <f t="shared" si="60"/>
        <v>US</v>
      </c>
      <c r="G1947" s="2" t="str">
        <f t="shared" si="61"/>
        <v>Caravella|UNION</v>
      </c>
    </row>
    <row r="1948" spans="1:7" x14ac:dyDescent="0.2">
      <c r="A1948" s="2" t="str" cm="1">
        <f t="array" ref="A1948">INDEX('[1]Brand Family Territory (Enc)'!$A$2:$A$296,INT((ROW()-2)/10)+1)</f>
        <v>Caravella</v>
      </c>
      <c r="B1948" s="2" t="str" cm="1">
        <f t="array" ref="B1948">INDEX('Whitelist (Blackout Reverse)'!$B$1:$K$1,MOD(ROW()-2,10)+1)</f>
        <v>SUSSEX</v>
      </c>
      <c r="C1948" s="2" t="str">
        <f>VLOOKUP(A1948,'[1]Brand Family Territory (Enc)'!$A$2:$B$296,2,FALSE)</f>
        <v>All Counties</v>
      </c>
      <c r="D1948" s="2">
        <f>IF(COUNTIFS('[1]Brand Family Territories (Enc)'!$B$2:$B$62,C1948,'[1]Brand Family Territories (Enc)'!$C$2:$C$62,B1948)&gt;0,1,IF(AND(LEFT(B1948,6)="MORRIS",COUNTIFS('[1]Brand Family Territories (Enc)'!$B$2:$B$62,C1948,'[1]Brand Family Territories (Enc)'!$C$2:$C$62,"Morri")&gt;0),"Unk",0))</f>
        <v>1</v>
      </c>
      <c r="E1948" s="2" t="str">
        <f>IFERROR(INDEX('Blackout Brand Fam Areas (Enc)'!$D$6:$D$998,MATCH(UPPER(A1948)&amp;"|"&amp;UPPER(B1948),'Blackout Brand Fam Areas (Enc)'!$G$6:$G$998,0)),"No Match")</f>
        <v>No Match</v>
      </c>
      <c r="F1948" s="2" t="str">
        <f t="shared" si="60"/>
        <v>US</v>
      </c>
      <c r="G1948" s="2" t="str">
        <f t="shared" si="61"/>
        <v>Caravella|SUSSEX</v>
      </c>
    </row>
    <row r="1949" spans="1:7" x14ac:dyDescent="0.2">
      <c r="A1949" s="2" t="str" cm="1">
        <f t="array" ref="A1949">INDEX('[1]Brand Family Territory (Enc)'!$A$2:$A$296,INT((ROW()-2)/10)+1)</f>
        <v>Caravella</v>
      </c>
      <c r="B1949" s="2" t="str" cm="1">
        <f t="array" ref="B1949">INDEX('Whitelist (Blackout Reverse)'!$B$1:$K$1,MOD(ROW()-2,10)+1)</f>
        <v>MORRIS 1</v>
      </c>
      <c r="C1949" s="2" t="str">
        <f>VLOOKUP(A1949,'[1]Brand Family Territory (Enc)'!$A$2:$B$296,2,FALSE)</f>
        <v>All Counties</v>
      </c>
      <c r="D1949" s="2">
        <f>IF(COUNTIFS('[1]Brand Family Territories (Enc)'!$B$2:$B$62,C1949,'[1]Brand Family Territories (Enc)'!$C$2:$C$62,B1949)&gt;0,1,IF(AND(LEFT(B1949,6)="MORRIS",COUNTIFS('[1]Brand Family Territories (Enc)'!$B$2:$B$62,C1949,'[1]Brand Family Territories (Enc)'!$C$2:$C$62,"Morri")&gt;0),"Unk",0))</f>
        <v>1</v>
      </c>
      <c r="E1949" s="2" t="str">
        <f>IFERROR(INDEX('Blackout Brand Fam Areas (Enc)'!$D$6:$D$998,MATCH(UPPER(A1949)&amp;"|"&amp;UPPER(B1949),'Blackout Brand Fam Areas (Enc)'!$G$6:$G$998,0)),"No Match")</f>
        <v>No Match</v>
      </c>
      <c r="F1949" s="2" t="str">
        <f t="shared" si="60"/>
        <v>US</v>
      </c>
      <c r="G1949" s="2" t="str">
        <f t="shared" si="61"/>
        <v>Caravella|MORRIS 1</v>
      </c>
    </row>
    <row r="1950" spans="1:7" x14ac:dyDescent="0.2">
      <c r="A1950" s="2" t="str" cm="1">
        <f t="array" ref="A1950">INDEX('[1]Brand Family Territory (Enc)'!$A$2:$A$296,INT((ROW()-2)/10)+1)</f>
        <v>Caravella</v>
      </c>
      <c r="B1950" s="2" t="str" cm="1">
        <f t="array" ref="B1950">INDEX('Whitelist (Blackout Reverse)'!$B$1:$K$1,MOD(ROW()-2,10)+1)</f>
        <v>MORRIS 2</v>
      </c>
      <c r="C1950" s="2" t="str">
        <f>VLOOKUP(A1950,'[1]Brand Family Territory (Enc)'!$A$2:$B$296,2,FALSE)</f>
        <v>All Counties</v>
      </c>
      <c r="D1950" s="2">
        <f>IF(COUNTIFS('[1]Brand Family Territories (Enc)'!$B$2:$B$62,C1950,'[1]Brand Family Territories (Enc)'!$C$2:$C$62,B1950)&gt;0,1,IF(AND(LEFT(B1950,6)="MORRIS",COUNTIFS('[1]Brand Family Territories (Enc)'!$B$2:$B$62,C1950,'[1]Brand Family Territories (Enc)'!$C$2:$C$62,"Morri")&gt;0),"Unk",0))</f>
        <v>1</v>
      </c>
      <c r="E1950" s="2" t="str">
        <f>IFERROR(INDEX('Blackout Brand Fam Areas (Enc)'!$D$6:$D$998,MATCH(UPPER(A1950)&amp;"|"&amp;UPPER(B1950),'Blackout Brand Fam Areas (Enc)'!$G$6:$G$998,0)),"No Match")</f>
        <v>No Match</v>
      </c>
      <c r="F1950" s="2" t="str">
        <f t="shared" si="60"/>
        <v>US</v>
      </c>
      <c r="G1950" s="2" t="str">
        <f t="shared" si="61"/>
        <v>Caravella|MORRIS 2</v>
      </c>
    </row>
    <row r="1951" spans="1:7" x14ac:dyDescent="0.2">
      <c r="A1951" s="2" t="str" cm="1">
        <f t="array" ref="A1951">INDEX('[1]Brand Family Territory (Enc)'!$A$2:$A$296,INT((ROW()-2)/10)+1)</f>
        <v>Caravella</v>
      </c>
      <c r="B1951" s="2" t="str" cm="1">
        <f t="array" ref="B1951">INDEX('Whitelist (Blackout Reverse)'!$B$1:$K$1,MOD(ROW()-2,10)+1)</f>
        <v>MORRIS 3</v>
      </c>
      <c r="C1951" s="2" t="str">
        <f>VLOOKUP(A1951,'[1]Brand Family Territory (Enc)'!$A$2:$B$296,2,FALSE)</f>
        <v>All Counties</v>
      </c>
      <c r="D1951" s="2">
        <f>IF(COUNTIFS('[1]Brand Family Territories (Enc)'!$B$2:$B$62,C1951,'[1]Brand Family Territories (Enc)'!$C$2:$C$62,B1951)&gt;0,1,IF(AND(LEFT(B1951,6)="MORRIS",COUNTIFS('[1]Brand Family Territories (Enc)'!$B$2:$B$62,C1951,'[1]Brand Family Territories (Enc)'!$C$2:$C$62,"Morri")&gt;0),"Unk",0))</f>
        <v>1</v>
      </c>
      <c r="E1951" s="2" t="str">
        <f>IFERROR(INDEX('Blackout Brand Fam Areas (Enc)'!$D$6:$D$998,MATCH(UPPER(A1951)&amp;"|"&amp;UPPER(B1951),'Blackout Brand Fam Areas (Enc)'!$G$6:$G$998,0)),"No Match")</f>
        <v>No Match</v>
      </c>
      <c r="F1951" s="2" t="str">
        <f t="shared" si="60"/>
        <v>US</v>
      </c>
      <c r="G1951" s="2" t="str">
        <f t="shared" si="61"/>
        <v>Caravella|MORRIS 3</v>
      </c>
    </row>
    <row r="1952" spans="1:7" x14ac:dyDescent="0.2">
      <c r="A1952" s="2" t="str" cm="1">
        <f t="array" ref="A1952">INDEX('[1]Brand Family Territory (Enc)'!$A$2:$A$296,INT((ROW()-2)/10)+1)</f>
        <v>Mackeson</v>
      </c>
      <c r="B1952" s="2" t="str" cm="1">
        <f t="array" ref="B1952">INDEX('Whitelist (Blackout Reverse)'!$B$1:$K$1,MOD(ROW()-2,10)+1)</f>
        <v>BERGEN</v>
      </c>
      <c r="C1952" s="2" t="str">
        <f>VLOOKUP(A1952,'[1]Brand Family Territory (Enc)'!$A$2:$B$296,2,FALSE)</f>
        <v>All Counties</v>
      </c>
      <c r="D1952" s="2">
        <f>IF(COUNTIFS('[1]Brand Family Territories (Enc)'!$B$2:$B$62,C1952,'[1]Brand Family Territories (Enc)'!$C$2:$C$62,B1952)&gt;0,1,IF(AND(LEFT(B1952,6)="MORRIS",COUNTIFS('[1]Brand Family Territories (Enc)'!$B$2:$B$62,C1952,'[1]Brand Family Territories (Enc)'!$C$2:$C$62,"Morri")&gt;0),"Unk",0))</f>
        <v>1</v>
      </c>
      <c r="E1952" s="2" t="str">
        <f>IFERROR(INDEX('Blackout Brand Fam Areas (Enc)'!$D$6:$D$998,MATCH(UPPER(A1952)&amp;"|"&amp;UPPER(B1952),'Blackout Brand Fam Areas (Enc)'!$G$6:$G$998,0)),"No Match")</f>
        <v>No Match</v>
      </c>
      <c r="F1952" s="2" t="str">
        <f t="shared" si="60"/>
        <v>US</v>
      </c>
      <c r="G1952" s="2" t="str">
        <f t="shared" si="61"/>
        <v>Mackeson|BERGEN</v>
      </c>
    </row>
    <row r="1953" spans="1:7" x14ac:dyDescent="0.2">
      <c r="A1953" s="2" t="str" cm="1">
        <f t="array" ref="A1953">INDEX('[1]Brand Family Territory (Enc)'!$A$2:$A$296,INT((ROW()-2)/10)+1)</f>
        <v>Mackeson</v>
      </c>
      <c r="B1953" s="2" t="str" cm="1">
        <f t="array" ref="B1953">INDEX('Whitelist (Blackout Reverse)'!$B$1:$K$1,MOD(ROW()-2,10)+1)</f>
        <v>PASSAIC</v>
      </c>
      <c r="C1953" s="2" t="str">
        <f>VLOOKUP(A1953,'[1]Brand Family Territory (Enc)'!$A$2:$B$296,2,FALSE)</f>
        <v>All Counties</v>
      </c>
      <c r="D1953" s="2">
        <f>IF(COUNTIFS('[1]Brand Family Territories (Enc)'!$B$2:$B$62,C1953,'[1]Brand Family Territories (Enc)'!$C$2:$C$62,B1953)&gt;0,1,IF(AND(LEFT(B1953,6)="MORRIS",COUNTIFS('[1]Brand Family Territories (Enc)'!$B$2:$B$62,C1953,'[1]Brand Family Territories (Enc)'!$C$2:$C$62,"Morri")&gt;0),"Unk",0))</f>
        <v>1</v>
      </c>
      <c r="E1953" s="2" t="str">
        <f>IFERROR(INDEX('Blackout Brand Fam Areas (Enc)'!$D$6:$D$998,MATCH(UPPER(A1953)&amp;"|"&amp;UPPER(B1953),'Blackout Brand Fam Areas (Enc)'!$G$6:$G$998,0)),"No Match")</f>
        <v>No Match</v>
      </c>
      <c r="F1953" s="2" t="str">
        <f t="shared" si="60"/>
        <v>US</v>
      </c>
      <c r="G1953" s="2" t="str">
        <f t="shared" si="61"/>
        <v>Mackeson|PASSAIC</v>
      </c>
    </row>
    <row r="1954" spans="1:7" x14ac:dyDescent="0.2">
      <c r="A1954" s="2" t="str" cm="1">
        <f t="array" ref="A1954">INDEX('[1]Brand Family Territory (Enc)'!$A$2:$A$296,INT((ROW()-2)/10)+1)</f>
        <v>Mackeson</v>
      </c>
      <c r="B1954" s="2" t="str" cm="1">
        <f t="array" ref="B1954">INDEX('Whitelist (Blackout Reverse)'!$B$1:$K$1,MOD(ROW()-2,10)+1)</f>
        <v>PASSAIC-FF</v>
      </c>
      <c r="C1954" s="2" t="str">
        <f>VLOOKUP(A1954,'[1]Brand Family Territory (Enc)'!$A$2:$B$296,2,FALSE)</f>
        <v>All Counties</v>
      </c>
      <c r="D1954" s="2">
        <f>IF(COUNTIFS('[1]Brand Family Territories (Enc)'!$B$2:$B$62,C1954,'[1]Brand Family Territories (Enc)'!$C$2:$C$62,B1954)&gt;0,1,IF(AND(LEFT(B1954,6)="MORRIS",COUNTIFS('[1]Brand Family Territories (Enc)'!$B$2:$B$62,C1954,'[1]Brand Family Territories (Enc)'!$C$2:$C$62,"Morri")&gt;0),"Unk",0))</f>
        <v>1</v>
      </c>
      <c r="E1954" s="2" t="str">
        <f>IFERROR(INDEX('Blackout Brand Fam Areas (Enc)'!$D$6:$D$998,MATCH(UPPER(A1954)&amp;"|"&amp;UPPER(B1954),'Blackout Brand Fam Areas (Enc)'!$G$6:$G$998,0)),"No Match")</f>
        <v>No Match</v>
      </c>
      <c r="F1954" s="2" t="str">
        <f t="shared" si="60"/>
        <v>US</v>
      </c>
      <c r="G1954" s="2" t="str">
        <f t="shared" si="61"/>
        <v>Mackeson|PASSAIC-FF</v>
      </c>
    </row>
    <row r="1955" spans="1:7" x14ac:dyDescent="0.2">
      <c r="A1955" s="2" t="str" cm="1">
        <f t="array" ref="A1955">INDEX('[1]Brand Family Territory (Enc)'!$A$2:$A$296,INT((ROW()-2)/10)+1)</f>
        <v>Mackeson</v>
      </c>
      <c r="B1955" s="2" t="str" cm="1">
        <f t="array" ref="B1955">INDEX('Whitelist (Blackout Reverse)'!$B$1:$K$1,MOD(ROW()-2,10)+1)</f>
        <v>ESSEX</v>
      </c>
      <c r="C1955" s="2" t="str">
        <f>VLOOKUP(A1955,'[1]Brand Family Territory (Enc)'!$A$2:$B$296,2,FALSE)</f>
        <v>All Counties</v>
      </c>
      <c r="D1955" s="2">
        <f>IF(COUNTIFS('[1]Brand Family Territories (Enc)'!$B$2:$B$62,C1955,'[1]Brand Family Territories (Enc)'!$C$2:$C$62,B1955)&gt;0,1,IF(AND(LEFT(B1955,6)="MORRIS",COUNTIFS('[1]Brand Family Territories (Enc)'!$B$2:$B$62,C1955,'[1]Brand Family Territories (Enc)'!$C$2:$C$62,"Morri")&gt;0),"Unk",0))</f>
        <v>1</v>
      </c>
      <c r="E1955" s="2" t="str">
        <f>IFERROR(INDEX('Blackout Brand Fam Areas (Enc)'!$D$6:$D$998,MATCH(UPPER(A1955)&amp;"|"&amp;UPPER(B1955),'Blackout Brand Fam Areas (Enc)'!$G$6:$G$998,0)),"No Match")</f>
        <v>No Match</v>
      </c>
      <c r="F1955" s="2" t="str">
        <f t="shared" si="60"/>
        <v>US</v>
      </c>
      <c r="G1955" s="2" t="str">
        <f t="shared" si="61"/>
        <v>Mackeson|ESSEX</v>
      </c>
    </row>
    <row r="1956" spans="1:7" x14ac:dyDescent="0.2">
      <c r="A1956" s="2" t="str" cm="1">
        <f t="array" ref="A1956">INDEX('[1]Brand Family Territory (Enc)'!$A$2:$A$296,INT((ROW()-2)/10)+1)</f>
        <v>Mackeson</v>
      </c>
      <c r="B1956" s="2" t="str" cm="1">
        <f t="array" ref="B1956">INDEX('Whitelist (Blackout Reverse)'!$B$1:$K$1,MOD(ROW()-2,10)+1)</f>
        <v>HUDSON</v>
      </c>
      <c r="C1956" s="2" t="str">
        <f>VLOOKUP(A1956,'[1]Brand Family Territory (Enc)'!$A$2:$B$296,2,FALSE)</f>
        <v>All Counties</v>
      </c>
      <c r="D1956" s="2">
        <f>IF(COUNTIFS('[1]Brand Family Territories (Enc)'!$B$2:$B$62,C1956,'[1]Brand Family Territories (Enc)'!$C$2:$C$62,B1956)&gt;0,1,IF(AND(LEFT(B1956,6)="MORRIS",COUNTIFS('[1]Brand Family Territories (Enc)'!$B$2:$B$62,C1956,'[1]Brand Family Territories (Enc)'!$C$2:$C$62,"Morri")&gt;0),"Unk",0))</f>
        <v>1</v>
      </c>
      <c r="E1956" s="2" t="str">
        <f>IFERROR(INDEX('Blackout Brand Fam Areas (Enc)'!$D$6:$D$998,MATCH(UPPER(A1956)&amp;"|"&amp;UPPER(B1956),'Blackout Brand Fam Areas (Enc)'!$G$6:$G$998,0)),"No Match")</f>
        <v>No Match</v>
      </c>
      <c r="F1956" s="2" t="str">
        <f t="shared" si="60"/>
        <v>US</v>
      </c>
      <c r="G1956" s="2" t="str">
        <f t="shared" si="61"/>
        <v>Mackeson|HUDSON</v>
      </c>
    </row>
    <row r="1957" spans="1:7" x14ac:dyDescent="0.2">
      <c r="A1957" s="2" t="str" cm="1">
        <f t="array" ref="A1957">INDEX('[1]Brand Family Territory (Enc)'!$A$2:$A$296,INT((ROW()-2)/10)+1)</f>
        <v>Mackeson</v>
      </c>
      <c r="B1957" s="2" t="str" cm="1">
        <f t="array" ref="B1957">INDEX('Whitelist (Blackout Reverse)'!$B$1:$K$1,MOD(ROW()-2,10)+1)</f>
        <v>UNION</v>
      </c>
      <c r="C1957" s="2" t="str">
        <f>VLOOKUP(A1957,'[1]Brand Family Territory (Enc)'!$A$2:$B$296,2,FALSE)</f>
        <v>All Counties</v>
      </c>
      <c r="D1957" s="2">
        <f>IF(COUNTIFS('[1]Brand Family Territories (Enc)'!$B$2:$B$62,C1957,'[1]Brand Family Territories (Enc)'!$C$2:$C$62,B1957)&gt;0,1,IF(AND(LEFT(B1957,6)="MORRIS",COUNTIFS('[1]Brand Family Territories (Enc)'!$B$2:$B$62,C1957,'[1]Brand Family Territories (Enc)'!$C$2:$C$62,"Morri")&gt;0),"Unk",0))</f>
        <v>1</v>
      </c>
      <c r="E1957" s="2" t="str">
        <f>IFERROR(INDEX('Blackout Brand Fam Areas (Enc)'!$D$6:$D$998,MATCH(UPPER(A1957)&amp;"|"&amp;UPPER(B1957),'Blackout Brand Fam Areas (Enc)'!$G$6:$G$998,0)),"No Match")</f>
        <v>No Match</v>
      </c>
      <c r="F1957" s="2" t="str">
        <f t="shared" si="60"/>
        <v>US</v>
      </c>
      <c r="G1957" s="2" t="str">
        <f t="shared" si="61"/>
        <v>Mackeson|UNION</v>
      </c>
    </row>
    <row r="1958" spans="1:7" x14ac:dyDescent="0.2">
      <c r="A1958" s="2" t="str" cm="1">
        <f t="array" ref="A1958">INDEX('[1]Brand Family Territory (Enc)'!$A$2:$A$296,INT((ROW()-2)/10)+1)</f>
        <v>Mackeson</v>
      </c>
      <c r="B1958" s="2" t="str" cm="1">
        <f t="array" ref="B1958">INDEX('Whitelist (Blackout Reverse)'!$B$1:$K$1,MOD(ROW()-2,10)+1)</f>
        <v>SUSSEX</v>
      </c>
      <c r="C1958" s="2" t="str">
        <f>VLOOKUP(A1958,'[1]Brand Family Territory (Enc)'!$A$2:$B$296,2,FALSE)</f>
        <v>All Counties</v>
      </c>
      <c r="D1958" s="2">
        <f>IF(COUNTIFS('[1]Brand Family Territories (Enc)'!$B$2:$B$62,C1958,'[1]Brand Family Territories (Enc)'!$C$2:$C$62,B1958)&gt;0,1,IF(AND(LEFT(B1958,6)="MORRIS",COUNTIFS('[1]Brand Family Territories (Enc)'!$B$2:$B$62,C1958,'[1]Brand Family Territories (Enc)'!$C$2:$C$62,"Morri")&gt;0),"Unk",0))</f>
        <v>1</v>
      </c>
      <c r="E1958" s="2" t="str">
        <f>IFERROR(INDEX('Blackout Brand Fam Areas (Enc)'!$D$6:$D$998,MATCH(UPPER(A1958)&amp;"|"&amp;UPPER(B1958),'Blackout Brand Fam Areas (Enc)'!$G$6:$G$998,0)),"No Match")</f>
        <v>No Match</v>
      </c>
      <c r="F1958" s="2" t="str">
        <f t="shared" si="60"/>
        <v>US</v>
      </c>
      <c r="G1958" s="2" t="str">
        <f t="shared" si="61"/>
        <v>Mackeson|SUSSEX</v>
      </c>
    </row>
    <row r="1959" spans="1:7" x14ac:dyDescent="0.2">
      <c r="A1959" s="2" t="str" cm="1">
        <f t="array" ref="A1959">INDEX('[1]Brand Family Territory (Enc)'!$A$2:$A$296,INT((ROW()-2)/10)+1)</f>
        <v>Mackeson</v>
      </c>
      <c r="B1959" s="2" t="str" cm="1">
        <f t="array" ref="B1959">INDEX('Whitelist (Blackout Reverse)'!$B$1:$K$1,MOD(ROW()-2,10)+1)</f>
        <v>MORRIS 1</v>
      </c>
      <c r="C1959" s="2" t="str">
        <f>VLOOKUP(A1959,'[1]Brand Family Territory (Enc)'!$A$2:$B$296,2,FALSE)</f>
        <v>All Counties</v>
      </c>
      <c r="D1959" s="2">
        <f>IF(COUNTIFS('[1]Brand Family Territories (Enc)'!$B$2:$B$62,C1959,'[1]Brand Family Territories (Enc)'!$C$2:$C$62,B1959)&gt;0,1,IF(AND(LEFT(B1959,6)="MORRIS",COUNTIFS('[1]Brand Family Territories (Enc)'!$B$2:$B$62,C1959,'[1]Brand Family Territories (Enc)'!$C$2:$C$62,"Morri")&gt;0),"Unk",0))</f>
        <v>1</v>
      </c>
      <c r="E1959" s="2" t="str">
        <f>IFERROR(INDEX('Blackout Brand Fam Areas (Enc)'!$D$6:$D$998,MATCH(UPPER(A1959)&amp;"|"&amp;UPPER(B1959),'Blackout Brand Fam Areas (Enc)'!$G$6:$G$998,0)),"No Match")</f>
        <v>No Match</v>
      </c>
      <c r="F1959" s="2" t="str">
        <f t="shared" si="60"/>
        <v>US</v>
      </c>
      <c r="G1959" s="2" t="str">
        <f t="shared" si="61"/>
        <v>Mackeson|MORRIS 1</v>
      </c>
    </row>
    <row r="1960" spans="1:7" x14ac:dyDescent="0.2">
      <c r="A1960" s="2" t="str" cm="1">
        <f t="array" ref="A1960">INDEX('[1]Brand Family Territory (Enc)'!$A$2:$A$296,INT((ROW()-2)/10)+1)</f>
        <v>Mackeson</v>
      </c>
      <c r="B1960" s="2" t="str" cm="1">
        <f t="array" ref="B1960">INDEX('Whitelist (Blackout Reverse)'!$B$1:$K$1,MOD(ROW()-2,10)+1)</f>
        <v>MORRIS 2</v>
      </c>
      <c r="C1960" s="2" t="str">
        <f>VLOOKUP(A1960,'[1]Brand Family Territory (Enc)'!$A$2:$B$296,2,FALSE)</f>
        <v>All Counties</v>
      </c>
      <c r="D1960" s="2">
        <f>IF(COUNTIFS('[1]Brand Family Territories (Enc)'!$B$2:$B$62,C1960,'[1]Brand Family Territories (Enc)'!$C$2:$C$62,B1960)&gt;0,1,IF(AND(LEFT(B1960,6)="MORRIS",COUNTIFS('[1]Brand Family Territories (Enc)'!$B$2:$B$62,C1960,'[1]Brand Family Territories (Enc)'!$C$2:$C$62,"Morri")&gt;0),"Unk",0))</f>
        <v>1</v>
      </c>
      <c r="E1960" s="2" t="str">
        <f>IFERROR(INDEX('Blackout Brand Fam Areas (Enc)'!$D$6:$D$998,MATCH(UPPER(A1960)&amp;"|"&amp;UPPER(B1960),'Blackout Brand Fam Areas (Enc)'!$G$6:$G$998,0)),"No Match")</f>
        <v>No Match</v>
      </c>
      <c r="F1960" s="2" t="str">
        <f t="shared" si="60"/>
        <v>US</v>
      </c>
      <c r="G1960" s="2" t="str">
        <f t="shared" si="61"/>
        <v>Mackeson|MORRIS 2</v>
      </c>
    </row>
    <row r="1961" spans="1:7" x14ac:dyDescent="0.2">
      <c r="A1961" s="2" t="str" cm="1">
        <f t="array" ref="A1961">INDEX('[1]Brand Family Territory (Enc)'!$A$2:$A$296,INT((ROW()-2)/10)+1)</f>
        <v>Mackeson</v>
      </c>
      <c r="B1961" s="2" t="str" cm="1">
        <f t="array" ref="B1961">INDEX('Whitelist (Blackout Reverse)'!$B$1:$K$1,MOD(ROW()-2,10)+1)</f>
        <v>MORRIS 3</v>
      </c>
      <c r="C1961" s="2" t="str">
        <f>VLOOKUP(A1961,'[1]Brand Family Territory (Enc)'!$A$2:$B$296,2,FALSE)</f>
        <v>All Counties</v>
      </c>
      <c r="D1961" s="2">
        <f>IF(COUNTIFS('[1]Brand Family Territories (Enc)'!$B$2:$B$62,C1961,'[1]Brand Family Territories (Enc)'!$C$2:$C$62,B1961)&gt;0,1,IF(AND(LEFT(B1961,6)="MORRIS",COUNTIFS('[1]Brand Family Territories (Enc)'!$B$2:$B$62,C1961,'[1]Brand Family Territories (Enc)'!$C$2:$C$62,"Morri")&gt;0),"Unk",0))</f>
        <v>1</v>
      </c>
      <c r="E1961" s="2" t="str">
        <f>IFERROR(INDEX('Blackout Brand Fam Areas (Enc)'!$D$6:$D$998,MATCH(UPPER(A1961)&amp;"|"&amp;UPPER(B1961),'Blackout Brand Fam Areas (Enc)'!$G$6:$G$998,0)),"No Match")</f>
        <v>No Match</v>
      </c>
      <c r="F1961" s="2" t="str">
        <f t="shared" si="60"/>
        <v>US</v>
      </c>
      <c r="G1961" s="2" t="str">
        <f t="shared" si="61"/>
        <v>Mackeson|MORRIS 3</v>
      </c>
    </row>
    <row r="1962" spans="1:7" x14ac:dyDescent="0.2">
      <c r="A1962" s="2" t="str" cm="1">
        <f t="array" ref="A1962">INDEX('[1]Brand Family Territory (Enc)'!$A$2:$A$296,INT((ROW()-2)/10)+1)</f>
        <v>Magners</v>
      </c>
      <c r="B1962" s="2" t="str" cm="1">
        <f t="array" ref="B1962">INDEX('Whitelist (Blackout Reverse)'!$B$1:$K$1,MOD(ROW()-2,10)+1)</f>
        <v>BERGEN</v>
      </c>
      <c r="C1962" s="2" t="str">
        <f>VLOOKUP(A1962,'[1]Brand Family Territory (Enc)'!$A$2:$B$296,2,FALSE)</f>
        <v>All Counties</v>
      </c>
      <c r="D1962" s="2">
        <f>IF(COUNTIFS('[1]Brand Family Territories (Enc)'!$B$2:$B$62,C1962,'[1]Brand Family Territories (Enc)'!$C$2:$C$62,B1962)&gt;0,1,IF(AND(LEFT(B1962,6)="MORRIS",COUNTIFS('[1]Brand Family Territories (Enc)'!$B$2:$B$62,C1962,'[1]Brand Family Territories (Enc)'!$C$2:$C$62,"Morri")&gt;0),"Unk",0))</f>
        <v>1</v>
      </c>
      <c r="E1962" s="2" t="str">
        <f>IFERROR(INDEX('Blackout Brand Fam Areas (Enc)'!$D$6:$D$998,MATCH(UPPER(A1962)&amp;"|"&amp;UPPER(B1962),'Blackout Brand Fam Areas (Enc)'!$G$6:$G$998,0)),"No Match")</f>
        <v>No Match</v>
      </c>
      <c r="F1962" s="2" t="str">
        <f t="shared" si="60"/>
        <v>US</v>
      </c>
      <c r="G1962" s="2" t="str">
        <f t="shared" si="61"/>
        <v>Magners|BERGEN</v>
      </c>
    </row>
    <row r="1963" spans="1:7" x14ac:dyDescent="0.2">
      <c r="A1963" s="2" t="str" cm="1">
        <f t="array" ref="A1963">INDEX('[1]Brand Family Territory (Enc)'!$A$2:$A$296,INT((ROW()-2)/10)+1)</f>
        <v>Magners</v>
      </c>
      <c r="B1963" s="2" t="str" cm="1">
        <f t="array" ref="B1963">INDEX('Whitelist (Blackout Reverse)'!$B$1:$K$1,MOD(ROW()-2,10)+1)</f>
        <v>PASSAIC</v>
      </c>
      <c r="C1963" s="2" t="str">
        <f>VLOOKUP(A1963,'[1]Brand Family Territory (Enc)'!$A$2:$B$296,2,FALSE)</f>
        <v>All Counties</v>
      </c>
      <c r="D1963" s="2">
        <f>IF(COUNTIFS('[1]Brand Family Territories (Enc)'!$B$2:$B$62,C1963,'[1]Brand Family Territories (Enc)'!$C$2:$C$62,B1963)&gt;0,1,IF(AND(LEFT(B1963,6)="MORRIS",COUNTIFS('[1]Brand Family Territories (Enc)'!$B$2:$B$62,C1963,'[1]Brand Family Territories (Enc)'!$C$2:$C$62,"Morri")&gt;0),"Unk",0))</f>
        <v>1</v>
      </c>
      <c r="E1963" s="2" t="str">
        <f>IFERROR(INDEX('Blackout Brand Fam Areas (Enc)'!$D$6:$D$998,MATCH(UPPER(A1963)&amp;"|"&amp;UPPER(B1963),'Blackout Brand Fam Areas (Enc)'!$G$6:$G$998,0)),"No Match")</f>
        <v>No Match</v>
      </c>
      <c r="F1963" s="2" t="str">
        <f t="shared" si="60"/>
        <v>US</v>
      </c>
      <c r="G1963" s="2" t="str">
        <f t="shared" si="61"/>
        <v>Magners|PASSAIC</v>
      </c>
    </row>
    <row r="1964" spans="1:7" x14ac:dyDescent="0.2">
      <c r="A1964" s="2" t="str" cm="1">
        <f t="array" ref="A1964">INDEX('[1]Brand Family Territory (Enc)'!$A$2:$A$296,INT((ROW()-2)/10)+1)</f>
        <v>Magners</v>
      </c>
      <c r="B1964" s="2" t="str" cm="1">
        <f t="array" ref="B1964">INDEX('Whitelist (Blackout Reverse)'!$B$1:$K$1,MOD(ROW()-2,10)+1)</f>
        <v>PASSAIC-FF</v>
      </c>
      <c r="C1964" s="2" t="str">
        <f>VLOOKUP(A1964,'[1]Brand Family Territory (Enc)'!$A$2:$B$296,2,FALSE)</f>
        <v>All Counties</v>
      </c>
      <c r="D1964" s="2">
        <f>IF(COUNTIFS('[1]Brand Family Territories (Enc)'!$B$2:$B$62,C1964,'[1]Brand Family Territories (Enc)'!$C$2:$C$62,B1964)&gt;0,1,IF(AND(LEFT(B1964,6)="MORRIS",COUNTIFS('[1]Brand Family Territories (Enc)'!$B$2:$B$62,C1964,'[1]Brand Family Territories (Enc)'!$C$2:$C$62,"Morri")&gt;0),"Unk",0))</f>
        <v>1</v>
      </c>
      <c r="E1964" s="2" t="str">
        <f>IFERROR(INDEX('Blackout Brand Fam Areas (Enc)'!$D$6:$D$998,MATCH(UPPER(A1964)&amp;"|"&amp;UPPER(B1964),'Blackout Brand Fam Areas (Enc)'!$G$6:$G$998,0)),"No Match")</f>
        <v>No Match</v>
      </c>
      <c r="F1964" s="2" t="str">
        <f t="shared" si="60"/>
        <v>US</v>
      </c>
      <c r="G1964" s="2" t="str">
        <f t="shared" si="61"/>
        <v>Magners|PASSAIC-FF</v>
      </c>
    </row>
    <row r="1965" spans="1:7" x14ac:dyDescent="0.2">
      <c r="A1965" s="2" t="str" cm="1">
        <f t="array" ref="A1965">INDEX('[1]Brand Family Territory (Enc)'!$A$2:$A$296,INT((ROW()-2)/10)+1)</f>
        <v>Magners</v>
      </c>
      <c r="B1965" s="2" t="str" cm="1">
        <f t="array" ref="B1965">INDEX('Whitelist (Blackout Reverse)'!$B$1:$K$1,MOD(ROW()-2,10)+1)</f>
        <v>ESSEX</v>
      </c>
      <c r="C1965" s="2" t="str">
        <f>VLOOKUP(A1965,'[1]Brand Family Territory (Enc)'!$A$2:$B$296,2,FALSE)</f>
        <v>All Counties</v>
      </c>
      <c r="D1965" s="2">
        <f>IF(COUNTIFS('[1]Brand Family Territories (Enc)'!$B$2:$B$62,C1965,'[1]Brand Family Territories (Enc)'!$C$2:$C$62,B1965)&gt;0,1,IF(AND(LEFT(B1965,6)="MORRIS",COUNTIFS('[1]Brand Family Territories (Enc)'!$B$2:$B$62,C1965,'[1]Brand Family Territories (Enc)'!$C$2:$C$62,"Morri")&gt;0),"Unk",0))</f>
        <v>1</v>
      </c>
      <c r="E1965" s="2" t="str">
        <f>IFERROR(INDEX('Blackout Brand Fam Areas (Enc)'!$D$6:$D$998,MATCH(UPPER(A1965)&amp;"|"&amp;UPPER(B1965),'Blackout Brand Fam Areas (Enc)'!$G$6:$G$998,0)),"No Match")</f>
        <v>No Match</v>
      </c>
      <c r="F1965" s="2" t="str">
        <f t="shared" si="60"/>
        <v>US</v>
      </c>
      <c r="G1965" s="2" t="str">
        <f t="shared" si="61"/>
        <v>Magners|ESSEX</v>
      </c>
    </row>
    <row r="1966" spans="1:7" x14ac:dyDescent="0.2">
      <c r="A1966" s="2" t="str" cm="1">
        <f t="array" ref="A1966">INDEX('[1]Brand Family Territory (Enc)'!$A$2:$A$296,INT((ROW()-2)/10)+1)</f>
        <v>Magners</v>
      </c>
      <c r="B1966" s="2" t="str" cm="1">
        <f t="array" ref="B1966">INDEX('Whitelist (Blackout Reverse)'!$B$1:$K$1,MOD(ROW()-2,10)+1)</f>
        <v>HUDSON</v>
      </c>
      <c r="C1966" s="2" t="str">
        <f>VLOOKUP(A1966,'[1]Brand Family Territory (Enc)'!$A$2:$B$296,2,FALSE)</f>
        <v>All Counties</v>
      </c>
      <c r="D1966" s="2">
        <f>IF(COUNTIFS('[1]Brand Family Territories (Enc)'!$B$2:$B$62,C1966,'[1]Brand Family Territories (Enc)'!$C$2:$C$62,B1966)&gt;0,1,IF(AND(LEFT(B1966,6)="MORRIS",COUNTIFS('[1]Brand Family Territories (Enc)'!$B$2:$B$62,C1966,'[1]Brand Family Territories (Enc)'!$C$2:$C$62,"Morri")&gt;0),"Unk",0))</f>
        <v>1</v>
      </c>
      <c r="E1966" s="2" t="str">
        <f>IFERROR(INDEX('Blackout Brand Fam Areas (Enc)'!$D$6:$D$998,MATCH(UPPER(A1966)&amp;"|"&amp;UPPER(B1966),'Blackout Brand Fam Areas (Enc)'!$G$6:$G$998,0)),"No Match")</f>
        <v>No Match</v>
      </c>
      <c r="F1966" s="2" t="str">
        <f t="shared" si="60"/>
        <v>US</v>
      </c>
      <c r="G1966" s="2" t="str">
        <f t="shared" si="61"/>
        <v>Magners|HUDSON</v>
      </c>
    </row>
    <row r="1967" spans="1:7" x14ac:dyDescent="0.2">
      <c r="A1967" s="2" t="str" cm="1">
        <f t="array" ref="A1967">INDEX('[1]Brand Family Territory (Enc)'!$A$2:$A$296,INT((ROW()-2)/10)+1)</f>
        <v>Magners</v>
      </c>
      <c r="B1967" s="2" t="str" cm="1">
        <f t="array" ref="B1967">INDEX('Whitelist (Blackout Reverse)'!$B$1:$K$1,MOD(ROW()-2,10)+1)</f>
        <v>UNION</v>
      </c>
      <c r="C1967" s="2" t="str">
        <f>VLOOKUP(A1967,'[1]Brand Family Territory (Enc)'!$A$2:$B$296,2,FALSE)</f>
        <v>All Counties</v>
      </c>
      <c r="D1967" s="2">
        <f>IF(COUNTIFS('[1]Brand Family Territories (Enc)'!$B$2:$B$62,C1967,'[1]Brand Family Territories (Enc)'!$C$2:$C$62,B1967)&gt;0,1,IF(AND(LEFT(B1967,6)="MORRIS",COUNTIFS('[1]Brand Family Territories (Enc)'!$B$2:$B$62,C1967,'[1]Brand Family Territories (Enc)'!$C$2:$C$62,"Morri")&gt;0),"Unk",0))</f>
        <v>1</v>
      </c>
      <c r="E1967" s="2" t="str">
        <f>IFERROR(INDEX('Blackout Brand Fam Areas (Enc)'!$D$6:$D$998,MATCH(UPPER(A1967)&amp;"|"&amp;UPPER(B1967),'Blackout Brand Fam Areas (Enc)'!$G$6:$G$998,0)),"No Match")</f>
        <v>No Match</v>
      </c>
      <c r="F1967" s="2" t="str">
        <f t="shared" si="60"/>
        <v>US</v>
      </c>
      <c r="G1967" s="2" t="str">
        <f t="shared" si="61"/>
        <v>Magners|UNION</v>
      </c>
    </row>
    <row r="1968" spans="1:7" x14ac:dyDescent="0.2">
      <c r="A1968" s="2" t="str" cm="1">
        <f t="array" ref="A1968">INDEX('[1]Brand Family Territory (Enc)'!$A$2:$A$296,INT((ROW()-2)/10)+1)</f>
        <v>Magners</v>
      </c>
      <c r="B1968" s="2" t="str" cm="1">
        <f t="array" ref="B1968">INDEX('Whitelist (Blackout Reverse)'!$B$1:$K$1,MOD(ROW()-2,10)+1)</f>
        <v>SUSSEX</v>
      </c>
      <c r="C1968" s="2" t="str">
        <f>VLOOKUP(A1968,'[1]Brand Family Territory (Enc)'!$A$2:$B$296,2,FALSE)</f>
        <v>All Counties</v>
      </c>
      <c r="D1968" s="2">
        <f>IF(COUNTIFS('[1]Brand Family Territories (Enc)'!$B$2:$B$62,C1968,'[1]Brand Family Territories (Enc)'!$C$2:$C$62,B1968)&gt;0,1,IF(AND(LEFT(B1968,6)="MORRIS",COUNTIFS('[1]Brand Family Territories (Enc)'!$B$2:$B$62,C1968,'[1]Brand Family Territories (Enc)'!$C$2:$C$62,"Morri")&gt;0),"Unk",0))</f>
        <v>1</v>
      </c>
      <c r="E1968" s="2" t="str">
        <f>IFERROR(INDEX('Blackout Brand Fam Areas (Enc)'!$D$6:$D$998,MATCH(UPPER(A1968)&amp;"|"&amp;UPPER(B1968),'Blackout Brand Fam Areas (Enc)'!$G$6:$G$998,0)),"No Match")</f>
        <v>No Match</v>
      </c>
      <c r="F1968" s="2" t="str">
        <f t="shared" si="60"/>
        <v>US</v>
      </c>
      <c r="G1968" s="2" t="str">
        <f t="shared" si="61"/>
        <v>Magners|SUSSEX</v>
      </c>
    </row>
    <row r="1969" spans="1:7" x14ac:dyDescent="0.2">
      <c r="A1969" s="2" t="str" cm="1">
        <f t="array" ref="A1969">INDEX('[1]Brand Family Territory (Enc)'!$A$2:$A$296,INT((ROW()-2)/10)+1)</f>
        <v>Magners</v>
      </c>
      <c r="B1969" s="2" t="str" cm="1">
        <f t="array" ref="B1969">INDEX('Whitelist (Blackout Reverse)'!$B$1:$K$1,MOD(ROW()-2,10)+1)</f>
        <v>MORRIS 1</v>
      </c>
      <c r="C1969" s="2" t="str">
        <f>VLOOKUP(A1969,'[1]Brand Family Territory (Enc)'!$A$2:$B$296,2,FALSE)</f>
        <v>All Counties</v>
      </c>
      <c r="D1969" s="2">
        <f>IF(COUNTIFS('[1]Brand Family Territories (Enc)'!$B$2:$B$62,C1969,'[1]Brand Family Territories (Enc)'!$C$2:$C$62,B1969)&gt;0,1,IF(AND(LEFT(B1969,6)="MORRIS",COUNTIFS('[1]Brand Family Territories (Enc)'!$B$2:$B$62,C1969,'[1]Brand Family Territories (Enc)'!$C$2:$C$62,"Morri")&gt;0),"Unk",0))</f>
        <v>1</v>
      </c>
      <c r="E1969" s="2" t="str">
        <f>IFERROR(INDEX('Blackout Brand Fam Areas (Enc)'!$D$6:$D$998,MATCH(UPPER(A1969)&amp;"|"&amp;UPPER(B1969),'Blackout Brand Fam Areas (Enc)'!$G$6:$G$998,0)),"No Match")</f>
        <v>No Match</v>
      </c>
      <c r="F1969" s="2" t="str">
        <f t="shared" si="60"/>
        <v>US</v>
      </c>
      <c r="G1969" s="2" t="str">
        <f t="shared" si="61"/>
        <v>Magners|MORRIS 1</v>
      </c>
    </row>
    <row r="1970" spans="1:7" x14ac:dyDescent="0.2">
      <c r="A1970" s="2" t="str" cm="1">
        <f t="array" ref="A1970">INDEX('[1]Brand Family Territory (Enc)'!$A$2:$A$296,INT((ROW()-2)/10)+1)</f>
        <v>Magners</v>
      </c>
      <c r="B1970" s="2" t="str" cm="1">
        <f t="array" ref="B1970">INDEX('Whitelist (Blackout Reverse)'!$B$1:$K$1,MOD(ROW()-2,10)+1)</f>
        <v>MORRIS 2</v>
      </c>
      <c r="C1970" s="2" t="str">
        <f>VLOOKUP(A1970,'[1]Brand Family Territory (Enc)'!$A$2:$B$296,2,FALSE)</f>
        <v>All Counties</v>
      </c>
      <c r="D1970" s="2">
        <f>IF(COUNTIFS('[1]Brand Family Territories (Enc)'!$B$2:$B$62,C1970,'[1]Brand Family Territories (Enc)'!$C$2:$C$62,B1970)&gt;0,1,IF(AND(LEFT(B1970,6)="MORRIS",COUNTIFS('[1]Brand Family Territories (Enc)'!$B$2:$B$62,C1970,'[1]Brand Family Territories (Enc)'!$C$2:$C$62,"Morri")&gt;0),"Unk",0))</f>
        <v>1</v>
      </c>
      <c r="E1970" s="2" t="str">
        <f>IFERROR(INDEX('Blackout Brand Fam Areas (Enc)'!$D$6:$D$998,MATCH(UPPER(A1970)&amp;"|"&amp;UPPER(B1970),'Blackout Brand Fam Areas (Enc)'!$G$6:$G$998,0)),"No Match")</f>
        <v>No Match</v>
      </c>
      <c r="F1970" s="2" t="str">
        <f t="shared" si="60"/>
        <v>US</v>
      </c>
      <c r="G1970" s="2" t="str">
        <f t="shared" si="61"/>
        <v>Magners|MORRIS 2</v>
      </c>
    </row>
    <row r="1971" spans="1:7" x14ac:dyDescent="0.2">
      <c r="A1971" s="2" t="str" cm="1">
        <f t="array" ref="A1971">INDEX('[1]Brand Family Territory (Enc)'!$A$2:$A$296,INT((ROW()-2)/10)+1)</f>
        <v>Magners</v>
      </c>
      <c r="B1971" s="2" t="str" cm="1">
        <f t="array" ref="B1971">INDEX('Whitelist (Blackout Reverse)'!$B$1:$K$1,MOD(ROW()-2,10)+1)</f>
        <v>MORRIS 3</v>
      </c>
      <c r="C1971" s="2" t="str">
        <f>VLOOKUP(A1971,'[1]Brand Family Territory (Enc)'!$A$2:$B$296,2,FALSE)</f>
        <v>All Counties</v>
      </c>
      <c r="D1971" s="2">
        <f>IF(COUNTIFS('[1]Brand Family Territories (Enc)'!$B$2:$B$62,C1971,'[1]Brand Family Territories (Enc)'!$C$2:$C$62,B1971)&gt;0,1,IF(AND(LEFT(B1971,6)="MORRIS",COUNTIFS('[1]Brand Family Territories (Enc)'!$B$2:$B$62,C1971,'[1]Brand Family Territories (Enc)'!$C$2:$C$62,"Morri")&gt;0),"Unk",0))</f>
        <v>1</v>
      </c>
      <c r="E1971" s="2" t="str">
        <f>IFERROR(INDEX('Blackout Brand Fam Areas (Enc)'!$D$6:$D$998,MATCH(UPPER(A1971)&amp;"|"&amp;UPPER(B1971),'Blackout Brand Fam Areas (Enc)'!$G$6:$G$998,0)),"No Match")</f>
        <v>No Match</v>
      </c>
      <c r="F1971" s="2" t="str">
        <f t="shared" si="60"/>
        <v>US</v>
      </c>
      <c r="G1971" s="2" t="str">
        <f t="shared" si="61"/>
        <v>Magners|MORRIS 3</v>
      </c>
    </row>
    <row r="1972" spans="1:7" x14ac:dyDescent="0.2">
      <c r="A1972" s="2" t="str" cm="1">
        <f t="array" ref="A1972">INDEX('[1]Brand Family Territory (Enc)'!$A$2:$A$296,INT((ROW()-2)/10)+1)</f>
        <v>Malibu Splash</v>
      </c>
      <c r="B1972" s="2" t="str" cm="1">
        <f t="array" ref="B1972">INDEX('Whitelist (Blackout Reverse)'!$B$1:$K$1,MOD(ROW()-2,10)+1)</f>
        <v>BERGEN</v>
      </c>
      <c r="C1972" s="2" t="str">
        <f>VLOOKUP(A1972,'[1]Brand Family Territory (Enc)'!$A$2:$B$296,2,FALSE)</f>
        <v>All Counties</v>
      </c>
      <c r="D1972" s="2">
        <f>IF(COUNTIFS('[1]Brand Family Territories (Enc)'!$B$2:$B$62,C1972,'[1]Brand Family Territories (Enc)'!$C$2:$C$62,B1972)&gt;0,1,IF(AND(LEFT(B1972,6)="MORRIS",COUNTIFS('[1]Brand Family Territories (Enc)'!$B$2:$B$62,C1972,'[1]Brand Family Territories (Enc)'!$C$2:$C$62,"Morri")&gt;0),"Unk",0))</f>
        <v>1</v>
      </c>
      <c r="E1972" s="2" t="str">
        <f>IFERROR(INDEX('Blackout Brand Fam Areas (Enc)'!$D$6:$D$998,MATCH(UPPER(A1972)&amp;"|"&amp;UPPER(B1972),'Blackout Brand Fam Areas (Enc)'!$G$6:$G$998,0)),"No Match")</f>
        <v>No Match</v>
      </c>
      <c r="F1972" s="2" t="str">
        <f t="shared" si="60"/>
        <v>US</v>
      </c>
      <c r="G1972" s="2" t="str">
        <f t="shared" si="61"/>
        <v>Malibu Splash|BERGEN</v>
      </c>
    </row>
    <row r="1973" spans="1:7" x14ac:dyDescent="0.2">
      <c r="A1973" s="2" t="str" cm="1">
        <f t="array" ref="A1973">INDEX('[1]Brand Family Territory (Enc)'!$A$2:$A$296,INT((ROW()-2)/10)+1)</f>
        <v>Malibu Splash</v>
      </c>
      <c r="B1973" s="2" t="str" cm="1">
        <f t="array" ref="B1973">INDEX('Whitelist (Blackout Reverse)'!$B$1:$K$1,MOD(ROW()-2,10)+1)</f>
        <v>PASSAIC</v>
      </c>
      <c r="C1973" s="2" t="str">
        <f>VLOOKUP(A1973,'[1]Brand Family Territory (Enc)'!$A$2:$B$296,2,FALSE)</f>
        <v>All Counties</v>
      </c>
      <c r="D1973" s="2">
        <f>IF(COUNTIFS('[1]Brand Family Territories (Enc)'!$B$2:$B$62,C1973,'[1]Brand Family Territories (Enc)'!$C$2:$C$62,B1973)&gt;0,1,IF(AND(LEFT(B1973,6)="MORRIS",COUNTIFS('[1]Brand Family Territories (Enc)'!$B$2:$B$62,C1973,'[1]Brand Family Territories (Enc)'!$C$2:$C$62,"Morri")&gt;0),"Unk",0))</f>
        <v>1</v>
      </c>
      <c r="E1973" s="2" t="str">
        <f>IFERROR(INDEX('Blackout Brand Fam Areas (Enc)'!$D$6:$D$998,MATCH(UPPER(A1973)&amp;"|"&amp;UPPER(B1973),'Blackout Brand Fam Areas (Enc)'!$G$6:$G$998,0)),"No Match")</f>
        <v>No Match</v>
      </c>
      <c r="F1973" s="2" t="str">
        <f t="shared" si="60"/>
        <v>US</v>
      </c>
      <c r="G1973" s="2" t="str">
        <f t="shared" si="61"/>
        <v>Malibu Splash|PASSAIC</v>
      </c>
    </row>
    <row r="1974" spans="1:7" x14ac:dyDescent="0.2">
      <c r="A1974" s="2" t="str" cm="1">
        <f t="array" ref="A1974">INDEX('[1]Brand Family Territory (Enc)'!$A$2:$A$296,INT((ROW()-2)/10)+1)</f>
        <v>Malibu Splash</v>
      </c>
      <c r="B1974" s="2" t="str" cm="1">
        <f t="array" ref="B1974">INDEX('Whitelist (Blackout Reverse)'!$B$1:$K$1,MOD(ROW()-2,10)+1)</f>
        <v>PASSAIC-FF</v>
      </c>
      <c r="C1974" s="2" t="str">
        <f>VLOOKUP(A1974,'[1]Brand Family Territory (Enc)'!$A$2:$B$296,2,FALSE)</f>
        <v>All Counties</v>
      </c>
      <c r="D1974" s="2">
        <f>IF(COUNTIFS('[1]Brand Family Territories (Enc)'!$B$2:$B$62,C1974,'[1]Brand Family Territories (Enc)'!$C$2:$C$62,B1974)&gt;0,1,IF(AND(LEFT(B1974,6)="MORRIS",COUNTIFS('[1]Brand Family Territories (Enc)'!$B$2:$B$62,C1974,'[1]Brand Family Territories (Enc)'!$C$2:$C$62,"Morri")&gt;0),"Unk",0))</f>
        <v>1</v>
      </c>
      <c r="E1974" s="2" t="str">
        <f>IFERROR(INDEX('Blackout Brand Fam Areas (Enc)'!$D$6:$D$998,MATCH(UPPER(A1974)&amp;"|"&amp;UPPER(B1974),'Blackout Brand Fam Areas (Enc)'!$G$6:$G$998,0)),"No Match")</f>
        <v>No Match</v>
      </c>
      <c r="F1974" s="2" t="str">
        <f t="shared" si="60"/>
        <v>US</v>
      </c>
      <c r="G1974" s="2" t="str">
        <f t="shared" si="61"/>
        <v>Malibu Splash|PASSAIC-FF</v>
      </c>
    </row>
    <row r="1975" spans="1:7" x14ac:dyDescent="0.2">
      <c r="A1975" s="2" t="str" cm="1">
        <f t="array" ref="A1975">INDEX('[1]Brand Family Territory (Enc)'!$A$2:$A$296,INT((ROW()-2)/10)+1)</f>
        <v>Malibu Splash</v>
      </c>
      <c r="B1975" s="2" t="str" cm="1">
        <f t="array" ref="B1975">INDEX('Whitelist (Blackout Reverse)'!$B$1:$K$1,MOD(ROW()-2,10)+1)</f>
        <v>ESSEX</v>
      </c>
      <c r="C1975" s="2" t="str">
        <f>VLOOKUP(A1975,'[1]Brand Family Territory (Enc)'!$A$2:$B$296,2,FALSE)</f>
        <v>All Counties</v>
      </c>
      <c r="D1975" s="2">
        <f>IF(COUNTIFS('[1]Brand Family Territories (Enc)'!$B$2:$B$62,C1975,'[1]Brand Family Territories (Enc)'!$C$2:$C$62,B1975)&gt;0,1,IF(AND(LEFT(B1975,6)="MORRIS",COUNTIFS('[1]Brand Family Territories (Enc)'!$B$2:$B$62,C1975,'[1]Brand Family Territories (Enc)'!$C$2:$C$62,"Morri")&gt;0),"Unk",0))</f>
        <v>1</v>
      </c>
      <c r="E1975" s="2" t="str">
        <f>IFERROR(INDEX('Blackout Brand Fam Areas (Enc)'!$D$6:$D$998,MATCH(UPPER(A1975)&amp;"|"&amp;UPPER(B1975),'Blackout Brand Fam Areas (Enc)'!$G$6:$G$998,0)),"No Match")</f>
        <v>No Match</v>
      </c>
      <c r="F1975" s="2" t="str">
        <f t="shared" si="60"/>
        <v>US</v>
      </c>
      <c r="G1975" s="2" t="str">
        <f t="shared" si="61"/>
        <v>Malibu Splash|ESSEX</v>
      </c>
    </row>
    <row r="1976" spans="1:7" x14ac:dyDescent="0.2">
      <c r="A1976" s="2" t="str" cm="1">
        <f t="array" ref="A1976">INDEX('[1]Brand Family Territory (Enc)'!$A$2:$A$296,INT((ROW()-2)/10)+1)</f>
        <v>Malibu Splash</v>
      </c>
      <c r="B1976" s="2" t="str" cm="1">
        <f t="array" ref="B1976">INDEX('Whitelist (Blackout Reverse)'!$B$1:$K$1,MOD(ROW()-2,10)+1)</f>
        <v>HUDSON</v>
      </c>
      <c r="C1976" s="2" t="str">
        <f>VLOOKUP(A1976,'[1]Brand Family Territory (Enc)'!$A$2:$B$296,2,FALSE)</f>
        <v>All Counties</v>
      </c>
      <c r="D1976" s="2">
        <f>IF(COUNTIFS('[1]Brand Family Territories (Enc)'!$B$2:$B$62,C1976,'[1]Brand Family Territories (Enc)'!$C$2:$C$62,B1976)&gt;0,1,IF(AND(LEFT(B1976,6)="MORRIS",COUNTIFS('[1]Brand Family Territories (Enc)'!$B$2:$B$62,C1976,'[1]Brand Family Territories (Enc)'!$C$2:$C$62,"Morri")&gt;0),"Unk",0))</f>
        <v>1</v>
      </c>
      <c r="E1976" s="2" t="str">
        <f>IFERROR(INDEX('Blackout Brand Fam Areas (Enc)'!$D$6:$D$998,MATCH(UPPER(A1976)&amp;"|"&amp;UPPER(B1976),'Blackout Brand Fam Areas (Enc)'!$G$6:$G$998,0)),"No Match")</f>
        <v>No Match</v>
      </c>
      <c r="F1976" s="2" t="str">
        <f t="shared" si="60"/>
        <v>US</v>
      </c>
      <c r="G1976" s="2" t="str">
        <f t="shared" si="61"/>
        <v>Malibu Splash|HUDSON</v>
      </c>
    </row>
    <row r="1977" spans="1:7" x14ac:dyDescent="0.2">
      <c r="A1977" s="2" t="str" cm="1">
        <f t="array" ref="A1977">INDEX('[1]Brand Family Territory (Enc)'!$A$2:$A$296,INT((ROW()-2)/10)+1)</f>
        <v>Malibu Splash</v>
      </c>
      <c r="B1977" s="2" t="str" cm="1">
        <f t="array" ref="B1977">INDEX('Whitelist (Blackout Reverse)'!$B$1:$K$1,MOD(ROW()-2,10)+1)</f>
        <v>UNION</v>
      </c>
      <c r="C1977" s="2" t="str">
        <f>VLOOKUP(A1977,'[1]Brand Family Territory (Enc)'!$A$2:$B$296,2,FALSE)</f>
        <v>All Counties</v>
      </c>
      <c r="D1977" s="2">
        <f>IF(COUNTIFS('[1]Brand Family Territories (Enc)'!$B$2:$B$62,C1977,'[1]Brand Family Territories (Enc)'!$C$2:$C$62,B1977)&gt;0,1,IF(AND(LEFT(B1977,6)="MORRIS",COUNTIFS('[1]Brand Family Territories (Enc)'!$B$2:$B$62,C1977,'[1]Brand Family Territories (Enc)'!$C$2:$C$62,"Morri")&gt;0),"Unk",0))</f>
        <v>1</v>
      </c>
      <c r="E1977" s="2" t="str">
        <f>IFERROR(INDEX('Blackout Brand Fam Areas (Enc)'!$D$6:$D$998,MATCH(UPPER(A1977)&amp;"|"&amp;UPPER(B1977),'Blackout Brand Fam Areas (Enc)'!$G$6:$G$998,0)),"No Match")</f>
        <v>No Match</v>
      </c>
      <c r="F1977" s="2" t="str">
        <f t="shared" si="60"/>
        <v>US</v>
      </c>
      <c r="G1977" s="2" t="str">
        <f t="shared" si="61"/>
        <v>Malibu Splash|UNION</v>
      </c>
    </row>
    <row r="1978" spans="1:7" x14ac:dyDescent="0.2">
      <c r="A1978" s="2" t="str" cm="1">
        <f t="array" ref="A1978">INDEX('[1]Brand Family Territory (Enc)'!$A$2:$A$296,INT((ROW()-2)/10)+1)</f>
        <v>Malibu Splash</v>
      </c>
      <c r="B1978" s="2" t="str" cm="1">
        <f t="array" ref="B1978">INDEX('Whitelist (Blackout Reverse)'!$B$1:$K$1,MOD(ROW()-2,10)+1)</f>
        <v>SUSSEX</v>
      </c>
      <c r="C1978" s="2" t="str">
        <f>VLOOKUP(A1978,'[1]Brand Family Territory (Enc)'!$A$2:$B$296,2,FALSE)</f>
        <v>All Counties</v>
      </c>
      <c r="D1978" s="2">
        <f>IF(COUNTIFS('[1]Brand Family Territories (Enc)'!$B$2:$B$62,C1978,'[1]Brand Family Territories (Enc)'!$C$2:$C$62,B1978)&gt;0,1,IF(AND(LEFT(B1978,6)="MORRIS",COUNTIFS('[1]Brand Family Territories (Enc)'!$B$2:$B$62,C1978,'[1]Brand Family Territories (Enc)'!$C$2:$C$62,"Morri")&gt;0),"Unk",0))</f>
        <v>1</v>
      </c>
      <c r="E1978" s="2" t="str">
        <f>IFERROR(INDEX('Blackout Brand Fam Areas (Enc)'!$D$6:$D$998,MATCH(UPPER(A1978)&amp;"|"&amp;UPPER(B1978),'Blackout Brand Fam Areas (Enc)'!$G$6:$G$998,0)),"No Match")</f>
        <v>No Match</v>
      </c>
      <c r="F1978" s="2" t="str">
        <f t="shared" si="60"/>
        <v>US</v>
      </c>
      <c r="G1978" s="2" t="str">
        <f t="shared" si="61"/>
        <v>Malibu Splash|SUSSEX</v>
      </c>
    </row>
    <row r="1979" spans="1:7" x14ac:dyDescent="0.2">
      <c r="A1979" s="2" t="str" cm="1">
        <f t="array" ref="A1979">INDEX('[1]Brand Family Territory (Enc)'!$A$2:$A$296,INT((ROW()-2)/10)+1)</f>
        <v>Malibu Splash</v>
      </c>
      <c r="B1979" s="2" t="str" cm="1">
        <f t="array" ref="B1979">INDEX('Whitelist (Blackout Reverse)'!$B$1:$K$1,MOD(ROW()-2,10)+1)</f>
        <v>MORRIS 1</v>
      </c>
      <c r="C1979" s="2" t="str">
        <f>VLOOKUP(A1979,'[1]Brand Family Territory (Enc)'!$A$2:$B$296,2,FALSE)</f>
        <v>All Counties</v>
      </c>
      <c r="D1979" s="2">
        <f>IF(COUNTIFS('[1]Brand Family Territories (Enc)'!$B$2:$B$62,C1979,'[1]Brand Family Territories (Enc)'!$C$2:$C$62,B1979)&gt;0,1,IF(AND(LEFT(B1979,6)="MORRIS",COUNTIFS('[1]Brand Family Territories (Enc)'!$B$2:$B$62,C1979,'[1]Brand Family Territories (Enc)'!$C$2:$C$62,"Morri")&gt;0),"Unk",0))</f>
        <v>1</v>
      </c>
      <c r="E1979" s="2" t="str">
        <f>IFERROR(INDEX('Blackout Brand Fam Areas (Enc)'!$D$6:$D$998,MATCH(UPPER(A1979)&amp;"|"&amp;UPPER(B1979),'Blackout Brand Fam Areas (Enc)'!$G$6:$G$998,0)),"No Match")</f>
        <v>No Match</v>
      </c>
      <c r="F1979" s="2" t="str">
        <f t="shared" si="60"/>
        <v>US</v>
      </c>
      <c r="G1979" s="2" t="str">
        <f t="shared" si="61"/>
        <v>Malibu Splash|MORRIS 1</v>
      </c>
    </row>
    <row r="1980" spans="1:7" x14ac:dyDescent="0.2">
      <c r="A1980" s="2" t="str" cm="1">
        <f t="array" ref="A1980">INDEX('[1]Brand Family Territory (Enc)'!$A$2:$A$296,INT((ROW()-2)/10)+1)</f>
        <v>Malibu Splash</v>
      </c>
      <c r="B1980" s="2" t="str" cm="1">
        <f t="array" ref="B1980">INDEX('Whitelist (Blackout Reverse)'!$B$1:$K$1,MOD(ROW()-2,10)+1)</f>
        <v>MORRIS 2</v>
      </c>
      <c r="C1980" s="2" t="str">
        <f>VLOOKUP(A1980,'[1]Brand Family Territory (Enc)'!$A$2:$B$296,2,FALSE)</f>
        <v>All Counties</v>
      </c>
      <c r="D1980" s="2">
        <f>IF(COUNTIFS('[1]Brand Family Territories (Enc)'!$B$2:$B$62,C1980,'[1]Brand Family Territories (Enc)'!$C$2:$C$62,B1980)&gt;0,1,IF(AND(LEFT(B1980,6)="MORRIS",COUNTIFS('[1]Brand Family Territories (Enc)'!$B$2:$B$62,C1980,'[1]Brand Family Territories (Enc)'!$C$2:$C$62,"Morri")&gt;0),"Unk",0))</f>
        <v>1</v>
      </c>
      <c r="E1980" s="2" t="str">
        <f>IFERROR(INDEX('Blackout Brand Fam Areas (Enc)'!$D$6:$D$998,MATCH(UPPER(A1980)&amp;"|"&amp;UPPER(B1980),'Blackout Brand Fam Areas (Enc)'!$G$6:$G$998,0)),"No Match")</f>
        <v>No Match</v>
      </c>
      <c r="F1980" s="2" t="str">
        <f t="shared" si="60"/>
        <v>US</v>
      </c>
      <c r="G1980" s="2" t="str">
        <f t="shared" si="61"/>
        <v>Malibu Splash|MORRIS 2</v>
      </c>
    </row>
    <row r="1981" spans="1:7" x14ac:dyDescent="0.2">
      <c r="A1981" s="2" t="str" cm="1">
        <f t="array" ref="A1981">INDEX('[1]Brand Family Territory (Enc)'!$A$2:$A$296,INT((ROW()-2)/10)+1)</f>
        <v>Malibu Splash</v>
      </c>
      <c r="B1981" s="2" t="str" cm="1">
        <f t="array" ref="B1981">INDEX('Whitelist (Blackout Reverse)'!$B$1:$K$1,MOD(ROW()-2,10)+1)</f>
        <v>MORRIS 3</v>
      </c>
      <c r="C1981" s="2" t="str">
        <f>VLOOKUP(A1981,'[1]Brand Family Territory (Enc)'!$A$2:$B$296,2,FALSE)</f>
        <v>All Counties</v>
      </c>
      <c r="D1981" s="2">
        <f>IF(COUNTIFS('[1]Brand Family Territories (Enc)'!$B$2:$B$62,C1981,'[1]Brand Family Territories (Enc)'!$C$2:$C$62,B1981)&gt;0,1,IF(AND(LEFT(B1981,6)="MORRIS",COUNTIFS('[1]Brand Family Territories (Enc)'!$B$2:$B$62,C1981,'[1]Brand Family Territories (Enc)'!$C$2:$C$62,"Morri")&gt;0),"Unk",0))</f>
        <v>1</v>
      </c>
      <c r="E1981" s="2" t="str">
        <f>IFERROR(INDEX('Blackout Brand Fam Areas (Enc)'!$D$6:$D$998,MATCH(UPPER(A1981)&amp;"|"&amp;UPPER(B1981),'Blackout Brand Fam Areas (Enc)'!$G$6:$G$998,0)),"No Match")</f>
        <v>No Match</v>
      </c>
      <c r="F1981" s="2" t="str">
        <f t="shared" si="60"/>
        <v>US</v>
      </c>
      <c r="G1981" s="2" t="str">
        <f t="shared" si="61"/>
        <v>Malibu Splash|MORRIS 3</v>
      </c>
    </row>
    <row r="1982" spans="1:7" x14ac:dyDescent="0.2">
      <c r="A1982" s="2" t="str" cm="1">
        <f t="array" ref="A1982">INDEX('[1]Brand Family Territory (Enc)'!$A$2:$A$296,INT((ROW()-2)/10)+1)</f>
        <v>Mckenzie's</v>
      </c>
      <c r="B1982" s="2" t="str" cm="1">
        <f t="array" ref="B1982">INDEX('Whitelist (Blackout Reverse)'!$B$1:$K$1,MOD(ROW()-2,10)+1)</f>
        <v>BERGEN</v>
      </c>
      <c r="C1982" s="2" t="str">
        <f>VLOOKUP(A1982,'[1]Brand Family Territory (Enc)'!$A$2:$B$296,2,FALSE)</f>
        <v>All Counties</v>
      </c>
      <c r="D1982" s="2">
        <f>IF(COUNTIFS('[1]Brand Family Territories (Enc)'!$B$2:$B$62,C1982,'[1]Brand Family Territories (Enc)'!$C$2:$C$62,B1982)&gt;0,1,IF(AND(LEFT(B1982,6)="MORRIS",COUNTIFS('[1]Brand Family Territories (Enc)'!$B$2:$B$62,C1982,'[1]Brand Family Territories (Enc)'!$C$2:$C$62,"Morri")&gt;0),"Unk",0))</f>
        <v>1</v>
      </c>
      <c r="E1982" s="2" t="str">
        <f>IFERROR(INDEX('Blackout Brand Fam Areas (Enc)'!$D$6:$D$998,MATCH(UPPER(A1982)&amp;"|"&amp;UPPER(B1982),'Blackout Brand Fam Areas (Enc)'!$G$6:$G$998,0)),"No Match")</f>
        <v>No Match</v>
      </c>
      <c r="F1982" s="2" t="str">
        <f t="shared" si="60"/>
        <v>US</v>
      </c>
      <c r="G1982" s="2" t="str">
        <f t="shared" si="61"/>
        <v>Mckenzie's|BERGEN</v>
      </c>
    </row>
    <row r="1983" spans="1:7" x14ac:dyDescent="0.2">
      <c r="A1983" s="2" t="str" cm="1">
        <f t="array" ref="A1983">INDEX('[1]Brand Family Territory (Enc)'!$A$2:$A$296,INT((ROW()-2)/10)+1)</f>
        <v>Mckenzie's</v>
      </c>
      <c r="B1983" s="2" t="str" cm="1">
        <f t="array" ref="B1983">INDEX('Whitelist (Blackout Reverse)'!$B$1:$K$1,MOD(ROW()-2,10)+1)</f>
        <v>PASSAIC</v>
      </c>
      <c r="C1983" s="2" t="str">
        <f>VLOOKUP(A1983,'[1]Brand Family Territory (Enc)'!$A$2:$B$296,2,FALSE)</f>
        <v>All Counties</v>
      </c>
      <c r="D1983" s="2">
        <f>IF(COUNTIFS('[1]Brand Family Territories (Enc)'!$B$2:$B$62,C1983,'[1]Brand Family Territories (Enc)'!$C$2:$C$62,B1983)&gt;0,1,IF(AND(LEFT(B1983,6)="MORRIS",COUNTIFS('[1]Brand Family Territories (Enc)'!$B$2:$B$62,C1983,'[1]Brand Family Territories (Enc)'!$C$2:$C$62,"Morri")&gt;0),"Unk",0))</f>
        <v>1</v>
      </c>
      <c r="E1983" s="2" t="str">
        <f>IFERROR(INDEX('Blackout Brand Fam Areas (Enc)'!$D$6:$D$998,MATCH(UPPER(A1983)&amp;"|"&amp;UPPER(B1983),'Blackout Brand Fam Areas (Enc)'!$G$6:$G$998,0)),"No Match")</f>
        <v>No Match</v>
      </c>
      <c r="F1983" s="2" t="str">
        <f t="shared" si="60"/>
        <v>US</v>
      </c>
      <c r="G1983" s="2" t="str">
        <f t="shared" si="61"/>
        <v>Mckenzie's|PASSAIC</v>
      </c>
    </row>
    <row r="1984" spans="1:7" x14ac:dyDescent="0.2">
      <c r="A1984" s="2" t="str" cm="1">
        <f t="array" ref="A1984">INDEX('[1]Brand Family Territory (Enc)'!$A$2:$A$296,INT((ROW()-2)/10)+1)</f>
        <v>Mckenzie's</v>
      </c>
      <c r="B1984" s="2" t="str" cm="1">
        <f t="array" ref="B1984">INDEX('Whitelist (Blackout Reverse)'!$B$1:$K$1,MOD(ROW()-2,10)+1)</f>
        <v>PASSAIC-FF</v>
      </c>
      <c r="C1984" s="2" t="str">
        <f>VLOOKUP(A1984,'[1]Brand Family Territory (Enc)'!$A$2:$B$296,2,FALSE)</f>
        <v>All Counties</v>
      </c>
      <c r="D1984" s="2">
        <f>IF(COUNTIFS('[1]Brand Family Territories (Enc)'!$B$2:$B$62,C1984,'[1]Brand Family Territories (Enc)'!$C$2:$C$62,B1984)&gt;0,1,IF(AND(LEFT(B1984,6)="MORRIS",COUNTIFS('[1]Brand Family Territories (Enc)'!$B$2:$B$62,C1984,'[1]Brand Family Territories (Enc)'!$C$2:$C$62,"Morri")&gt;0),"Unk",0))</f>
        <v>1</v>
      </c>
      <c r="E1984" s="2" t="str">
        <f>IFERROR(INDEX('Blackout Brand Fam Areas (Enc)'!$D$6:$D$998,MATCH(UPPER(A1984)&amp;"|"&amp;UPPER(B1984),'Blackout Brand Fam Areas (Enc)'!$G$6:$G$998,0)),"No Match")</f>
        <v>No Match</v>
      </c>
      <c r="F1984" s="2" t="str">
        <f t="shared" si="60"/>
        <v>US</v>
      </c>
      <c r="G1984" s="2" t="str">
        <f t="shared" si="61"/>
        <v>Mckenzie's|PASSAIC-FF</v>
      </c>
    </row>
    <row r="1985" spans="1:7" x14ac:dyDescent="0.2">
      <c r="A1985" s="2" t="str" cm="1">
        <f t="array" ref="A1985">INDEX('[1]Brand Family Territory (Enc)'!$A$2:$A$296,INT((ROW()-2)/10)+1)</f>
        <v>Mckenzie's</v>
      </c>
      <c r="B1985" s="2" t="str" cm="1">
        <f t="array" ref="B1985">INDEX('Whitelist (Blackout Reverse)'!$B$1:$K$1,MOD(ROW()-2,10)+1)</f>
        <v>ESSEX</v>
      </c>
      <c r="C1985" s="2" t="str">
        <f>VLOOKUP(A1985,'[1]Brand Family Territory (Enc)'!$A$2:$B$296,2,FALSE)</f>
        <v>All Counties</v>
      </c>
      <c r="D1985" s="2">
        <f>IF(COUNTIFS('[1]Brand Family Territories (Enc)'!$B$2:$B$62,C1985,'[1]Brand Family Territories (Enc)'!$C$2:$C$62,B1985)&gt;0,1,IF(AND(LEFT(B1985,6)="MORRIS",COUNTIFS('[1]Brand Family Territories (Enc)'!$B$2:$B$62,C1985,'[1]Brand Family Territories (Enc)'!$C$2:$C$62,"Morri")&gt;0),"Unk",0))</f>
        <v>1</v>
      </c>
      <c r="E1985" s="2" t="str">
        <f>IFERROR(INDEX('Blackout Brand Fam Areas (Enc)'!$D$6:$D$998,MATCH(UPPER(A1985)&amp;"|"&amp;UPPER(B1985),'Blackout Brand Fam Areas (Enc)'!$G$6:$G$998,0)),"No Match")</f>
        <v>No Match</v>
      </c>
      <c r="F1985" s="2" t="str">
        <f t="shared" si="60"/>
        <v>US</v>
      </c>
      <c r="G1985" s="2" t="str">
        <f t="shared" si="61"/>
        <v>Mckenzie's|ESSEX</v>
      </c>
    </row>
    <row r="1986" spans="1:7" x14ac:dyDescent="0.2">
      <c r="A1986" s="2" t="str" cm="1">
        <f t="array" ref="A1986">INDEX('[1]Brand Family Territory (Enc)'!$A$2:$A$296,INT((ROW()-2)/10)+1)</f>
        <v>Mckenzie's</v>
      </c>
      <c r="B1986" s="2" t="str" cm="1">
        <f t="array" ref="B1986">INDEX('Whitelist (Blackout Reverse)'!$B$1:$K$1,MOD(ROW()-2,10)+1)</f>
        <v>HUDSON</v>
      </c>
      <c r="C1986" s="2" t="str">
        <f>VLOOKUP(A1986,'[1]Brand Family Territory (Enc)'!$A$2:$B$296,2,FALSE)</f>
        <v>All Counties</v>
      </c>
      <c r="D1986" s="2">
        <f>IF(COUNTIFS('[1]Brand Family Territories (Enc)'!$B$2:$B$62,C1986,'[1]Brand Family Territories (Enc)'!$C$2:$C$62,B1986)&gt;0,1,IF(AND(LEFT(B1986,6)="MORRIS",COUNTIFS('[1]Brand Family Territories (Enc)'!$B$2:$B$62,C1986,'[1]Brand Family Territories (Enc)'!$C$2:$C$62,"Morri")&gt;0),"Unk",0))</f>
        <v>1</v>
      </c>
      <c r="E1986" s="2" t="str">
        <f>IFERROR(INDEX('Blackout Brand Fam Areas (Enc)'!$D$6:$D$998,MATCH(UPPER(A1986)&amp;"|"&amp;UPPER(B1986),'Blackout Brand Fam Areas (Enc)'!$G$6:$G$998,0)),"No Match")</f>
        <v>No Match</v>
      </c>
      <c r="F1986" s="2" t="str">
        <f t="shared" si="60"/>
        <v>US</v>
      </c>
      <c r="G1986" s="2" t="str">
        <f t="shared" si="61"/>
        <v>Mckenzie's|HUDSON</v>
      </c>
    </row>
    <row r="1987" spans="1:7" x14ac:dyDescent="0.2">
      <c r="A1987" s="2" t="str" cm="1">
        <f t="array" ref="A1987">INDEX('[1]Brand Family Territory (Enc)'!$A$2:$A$296,INT((ROW()-2)/10)+1)</f>
        <v>Mckenzie's</v>
      </c>
      <c r="B1987" s="2" t="str" cm="1">
        <f t="array" ref="B1987">INDEX('Whitelist (Blackout Reverse)'!$B$1:$K$1,MOD(ROW()-2,10)+1)</f>
        <v>UNION</v>
      </c>
      <c r="C1987" s="2" t="str">
        <f>VLOOKUP(A1987,'[1]Brand Family Territory (Enc)'!$A$2:$B$296,2,FALSE)</f>
        <v>All Counties</v>
      </c>
      <c r="D1987" s="2">
        <f>IF(COUNTIFS('[1]Brand Family Territories (Enc)'!$B$2:$B$62,C1987,'[1]Brand Family Territories (Enc)'!$C$2:$C$62,B1987)&gt;0,1,IF(AND(LEFT(B1987,6)="MORRIS",COUNTIFS('[1]Brand Family Territories (Enc)'!$B$2:$B$62,C1987,'[1]Brand Family Territories (Enc)'!$C$2:$C$62,"Morri")&gt;0),"Unk",0))</f>
        <v>1</v>
      </c>
      <c r="E1987" s="2" t="str">
        <f>IFERROR(INDEX('Blackout Brand Fam Areas (Enc)'!$D$6:$D$998,MATCH(UPPER(A1987)&amp;"|"&amp;UPPER(B1987),'Blackout Brand Fam Areas (Enc)'!$G$6:$G$998,0)),"No Match")</f>
        <v>Inactive</v>
      </c>
      <c r="F1987" s="2" t="str">
        <f t="shared" ref="F1987:F2050" si="62">IF(D1987="Unk","Ambiguous (Source Truncated)",IF(E1987="Inactive","THEM",IF(D1987=1,"US",IF(D1987="N/A","No Territory Data","THEM"))))</f>
        <v>THEM</v>
      </c>
      <c r="G1987" s="2" t="str">
        <f t="shared" ref="G1987:G2050" si="63">A1987&amp;"|"&amp;B1987</f>
        <v>Mckenzie's|UNION</v>
      </c>
    </row>
    <row r="1988" spans="1:7" x14ac:dyDescent="0.2">
      <c r="A1988" s="2" t="str" cm="1">
        <f t="array" ref="A1988">INDEX('[1]Brand Family Territory (Enc)'!$A$2:$A$296,INT((ROW()-2)/10)+1)</f>
        <v>Mckenzie's</v>
      </c>
      <c r="B1988" s="2" t="str" cm="1">
        <f t="array" ref="B1988">INDEX('Whitelist (Blackout Reverse)'!$B$1:$K$1,MOD(ROW()-2,10)+1)</f>
        <v>SUSSEX</v>
      </c>
      <c r="C1988" s="2" t="str">
        <f>VLOOKUP(A1988,'[1]Brand Family Territory (Enc)'!$A$2:$B$296,2,FALSE)</f>
        <v>All Counties</v>
      </c>
      <c r="D1988" s="2">
        <f>IF(COUNTIFS('[1]Brand Family Territories (Enc)'!$B$2:$B$62,C1988,'[1]Brand Family Territories (Enc)'!$C$2:$C$62,B1988)&gt;0,1,IF(AND(LEFT(B1988,6)="MORRIS",COUNTIFS('[1]Brand Family Territories (Enc)'!$B$2:$B$62,C1988,'[1]Brand Family Territories (Enc)'!$C$2:$C$62,"Morri")&gt;0),"Unk",0))</f>
        <v>1</v>
      </c>
      <c r="E1988" s="2" t="str">
        <f>IFERROR(INDEX('Blackout Brand Fam Areas (Enc)'!$D$6:$D$998,MATCH(UPPER(A1988)&amp;"|"&amp;UPPER(B1988),'Blackout Brand Fam Areas (Enc)'!$G$6:$G$998,0)),"No Match")</f>
        <v>Inactive</v>
      </c>
      <c r="F1988" s="2" t="str">
        <f t="shared" si="62"/>
        <v>THEM</v>
      </c>
      <c r="G1988" s="2" t="str">
        <f t="shared" si="63"/>
        <v>Mckenzie's|SUSSEX</v>
      </c>
    </row>
    <row r="1989" spans="1:7" x14ac:dyDescent="0.2">
      <c r="A1989" s="2" t="str" cm="1">
        <f t="array" ref="A1989">INDEX('[1]Brand Family Territory (Enc)'!$A$2:$A$296,INT((ROW()-2)/10)+1)</f>
        <v>Mckenzie's</v>
      </c>
      <c r="B1989" s="2" t="str" cm="1">
        <f t="array" ref="B1989">INDEX('Whitelist (Blackout Reverse)'!$B$1:$K$1,MOD(ROW()-2,10)+1)</f>
        <v>MORRIS 1</v>
      </c>
      <c r="C1989" s="2" t="str">
        <f>VLOOKUP(A1989,'[1]Brand Family Territory (Enc)'!$A$2:$B$296,2,FALSE)</f>
        <v>All Counties</v>
      </c>
      <c r="D1989" s="2">
        <f>IF(COUNTIFS('[1]Brand Family Territories (Enc)'!$B$2:$B$62,C1989,'[1]Brand Family Territories (Enc)'!$C$2:$C$62,B1989)&gt;0,1,IF(AND(LEFT(B1989,6)="MORRIS",COUNTIFS('[1]Brand Family Territories (Enc)'!$B$2:$B$62,C1989,'[1]Brand Family Territories (Enc)'!$C$2:$C$62,"Morri")&gt;0),"Unk",0))</f>
        <v>1</v>
      </c>
      <c r="E1989" s="2" t="str">
        <f>IFERROR(INDEX('Blackout Brand Fam Areas (Enc)'!$D$6:$D$998,MATCH(UPPER(A1989)&amp;"|"&amp;UPPER(B1989),'Blackout Brand Fam Areas (Enc)'!$G$6:$G$998,0)),"No Match")</f>
        <v>Inactive</v>
      </c>
      <c r="F1989" s="2" t="str">
        <f t="shared" si="62"/>
        <v>THEM</v>
      </c>
      <c r="G1989" s="2" t="str">
        <f t="shared" si="63"/>
        <v>Mckenzie's|MORRIS 1</v>
      </c>
    </row>
    <row r="1990" spans="1:7" x14ac:dyDescent="0.2">
      <c r="A1990" s="2" t="str" cm="1">
        <f t="array" ref="A1990">INDEX('[1]Brand Family Territory (Enc)'!$A$2:$A$296,INT((ROW()-2)/10)+1)</f>
        <v>Mckenzie's</v>
      </c>
      <c r="B1990" s="2" t="str" cm="1">
        <f t="array" ref="B1990">INDEX('Whitelist (Blackout Reverse)'!$B$1:$K$1,MOD(ROW()-2,10)+1)</f>
        <v>MORRIS 2</v>
      </c>
      <c r="C1990" s="2" t="str">
        <f>VLOOKUP(A1990,'[1]Brand Family Territory (Enc)'!$A$2:$B$296,2,FALSE)</f>
        <v>All Counties</v>
      </c>
      <c r="D1990" s="2">
        <f>IF(COUNTIFS('[1]Brand Family Territories (Enc)'!$B$2:$B$62,C1990,'[1]Brand Family Territories (Enc)'!$C$2:$C$62,B1990)&gt;0,1,IF(AND(LEFT(B1990,6)="MORRIS",COUNTIFS('[1]Brand Family Territories (Enc)'!$B$2:$B$62,C1990,'[1]Brand Family Territories (Enc)'!$C$2:$C$62,"Morri")&gt;0),"Unk",0))</f>
        <v>1</v>
      </c>
      <c r="E1990" s="2" t="str">
        <f>IFERROR(INDEX('Blackout Brand Fam Areas (Enc)'!$D$6:$D$998,MATCH(UPPER(A1990)&amp;"|"&amp;UPPER(B1990),'Blackout Brand Fam Areas (Enc)'!$G$6:$G$998,0)),"No Match")</f>
        <v>Inactive</v>
      </c>
      <c r="F1990" s="2" t="str">
        <f t="shared" si="62"/>
        <v>THEM</v>
      </c>
      <c r="G1990" s="2" t="str">
        <f t="shared" si="63"/>
        <v>Mckenzie's|MORRIS 2</v>
      </c>
    </row>
    <row r="1991" spans="1:7" x14ac:dyDescent="0.2">
      <c r="A1991" s="2" t="str" cm="1">
        <f t="array" ref="A1991">INDEX('[1]Brand Family Territory (Enc)'!$A$2:$A$296,INT((ROW()-2)/10)+1)</f>
        <v>Mckenzie's</v>
      </c>
      <c r="B1991" s="2" t="str" cm="1">
        <f t="array" ref="B1991">INDEX('Whitelist (Blackout Reverse)'!$B$1:$K$1,MOD(ROW()-2,10)+1)</f>
        <v>MORRIS 3</v>
      </c>
      <c r="C1991" s="2" t="str">
        <f>VLOOKUP(A1991,'[1]Brand Family Territory (Enc)'!$A$2:$B$296,2,FALSE)</f>
        <v>All Counties</v>
      </c>
      <c r="D1991" s="2">
        <f>IF(COUNTIFS('[1]Brand Family Territories (Enc)'!$B$2:$B$62,C1991,'[1]Brand Family Territories (Enc)'!$C$2:$C$62,B1991)&gt;0,1,IF(AND(LEFT(B1991,6)="MORRIS",COUNTIFS('[1]Brand Family Territories (Enc)'!$B$2:$B$62,C1991,'[1]Brand Family Territories (Enc)'!$C$2:$C$62,"Morri")&gt;0),"Unk",0))</f>
        <v>1</v>
      </c>
      <c r="E1991" s="2" t="str">
        <f>IFERROR(INDEX('Blackout Brand Fam Areas (Enc)'!$D$6:$D$998,MATCH(UPPER(A1991)&amp;"|"&amp;UPPER(B1991),'Blackout Brand Fam Areas (Enc)'!$G$6:$G$998,0)),"No Match")</f>
        <v>Inactive</v>
      </c>
      <c r="F1991" s="2" t="str">
        <f t="shared" si="62"/>
        <v>THEM</v>
      </c>
      <c r="G1991" s="2" t="str">
        <f t="shared" si="63"/>
        <v>Mckenzie's|MORRIS 3</v>
      </c>
    </row>
    <row r="1992" spans="1:7" x14ac:dyDescent="0.2">
      <c r="A1992" s="2" t="str" cm="1">
        <f t="array" ref="A1992">INDEX('[1]Brand Family Territory (Enc)'!$A$2:$A$296,INT((ROW()-2)/10)+1)</f>
        <v>Molly's</v>
      </c>
      <c r="B1992" s="2" t="str" cm="1">
        <f t="array" ref="B1992">INDEX('Whitelist (Blackout Reverse)'!$B$1:$K$1,MOD(ROW()-2,10)+1)</f>
        <v>BERGEN</v>
      </c>
      <c r="C1992" s="2" t="str">
        <f>VLOOKUP(A1992,'[1]Brand Family Territory (Enc)'!$A$2:$B$296,2,FALSE)</f>
        <v>All Counties</v>
      </c>
      <c r="D1992" s="2">
        <f>IF(COUNTIFS('[1]Brand Family Territories (Enc)'!$B$2:$B$62,C1992,'[1]Brand Family Territories (Enc)'!$C$2:$C$62,B1992)&gt;0,1,IF(AND(LEFT(B1992,6)="MORRIS",COUNTIFS('[1]Brand Family Territories (Enc)'!$B$2:$B$62,C1992,'[1]Brand Family Territories (Enc)'!$C$2:$C$62,"Morri")&gt;0),"Unk",0))</f>
        <v>1</v>
      </c>
      <c r="E1992" s="2" t="str">
        <f>IFERROR(INDEX('Blackout Brand Fam Areas (Enc)'!$D$6:$D$998,MATCH(UPPER(A1992)&amp;"|"&amp;UPPER(B1992),'Blackout Brand Fam Areas (Enc)'!$G$6:$G$998,0)),"No Match")</f>
        <v>No Match</v>
      </c>
      <c r="F1992" s="2" t="str">
        <f t="shared" si="62"/>
        <v>US</v>
      </c>
      <c r="G1992" s="2" t="str">
        <f t="shared" si="63"/>
        <v>Molly's|BERGEN</v>
      </c>
    </row>
    <row r="1993" spans="1:7" x14ac:dyDescent="0.2">
      <c r="A1993" s="2" t="str" cm="1">
        <f t="array" ref="A1993">INDEX('[1]Brand Family Territory (Enc)'!$A$2:$A$296,INT((ROW()-2)/10)+1)</f>
        <v>Molly's</v>
      </c>
      <c r="B1993" s="2" t="str" cm="1">
        <f t="array" ref="B1993">INDEX('Whitelist (Blackout Reverse)'!$B$1:$K$1,MOD(ROW()-2,10)+1)</f>
        <v>PASSAIC</v>
      </c>
      <c r="C1993" s="2" t="str">
        <f>VLOOKUP(A1993,'[1]Brand Family Territory (Enc)'!$A$2:$B$296,2,FALSE)</f>
        <v>All Counties</v>
      </c>
      <c r="D1993" s="2">
        <f>IF(COUNTIFS('[1]Brand Family Territories (Enc)'!$B$2:$B$62,C1993,'[1]Brand Family Territories (Enc)'!$C$2:$C$62,B1993)&gt;0,1,IF(AND(LEFT(B1993,6)="MORRIS",COUNTIFS('[1]Brand Family Territories (Enc)'!$B$2:$B$62,C1993,'[1]Brand Family Territories (Enc)'!$C$2:$C$62,"Morri")&gt;0),"Unk",0))</f>
        <v>1</v>
      </c>
      <c r="E1993" s="2" t="str">
        <f>IFERROR(INDEX('Blackout Brand Fam Areas (Enc)'!$D$6:$D$998,MATCH(UPPER(A1993)&amp;"|"&amp;UPPER(B1993),'Blackout Brand Fam Areas (Enc)'!$G$6:$G$998,0)),"No Match")</f>
        <v>No Match</v>
      </c>
      <c r="F1993" s="2" t="str">
        <f t="shared" si="62"/>
        <v>US</v>
      </c>
      <c r="G1993" s="2" t="str">
        <f t="shared" si="63"/>
        <v>Molly's|PASSAIC</v>
      </c>
    </row>
    <row r="1994" spans="1:7" x14ac:dyDescent="0.2">
      <c r="A1994" s="2" t="str" cm="1">
        <f t="array" ref="A1994">INDEX('[1]Brand Family Territory (Enc)'!$A$2:$A$296,INT((ROW()-2)/10)+1)</f>
        <v>Molly's</v>
      </c>
      <c r="B1994" s="2" t="str" cm="1">
        <f t="array" ref="B1994">INDEX('Whitelist (Blackout Reverse)'!$B$1:$K$1,MOD(ROW()-2,10)+1)</f>
        <v>PASSAIC-FF</v>
      </c>
      <c r="C1994" s="2" t="str">
        <f>VLOOKUP(A1994,'[1]Brand Family Territory (Enc)'!$A$2:$B$296,2,FALSE)</f>
        <v>All Counties</v>
      </c>
      <c r="D1994" s="2">
        <f>IF(COUNTIFS('[1]Brand Family Territories (Enc)'!$B$2:$B$62,C1994,'[1]Brand Family Territories (Enc)'!$C$2:$C$62,B1994)&gt;0,1,IF(AND(LEFT(B1994,6)="MORRIS",COUNTIFS('[1]Brand Family Territories (Enc)'!$B$2:$B$62,C1994,'[1]Brand Family Territories (Enc)'!$C$2:$C$62,"Morri")&gt;0),"Unk",0))</f>
        <v>1</v>
      </c>
      <c r="E1994" s="2" t="str">
        <f>IFERROR(INDEX('Blackout Brand Fam Areas (Enc)'!$D$6:$D$998,MATCH(UPPER(A1994)&amp;"|"&amp;UPPER(B1994),'Blackout Brand Fam Areas (Enc)'!$G$6:$G$998,0)),"No Match")</f>
        <v>No Match</v>
      </c>
      <c r="F1994" s="2" t="str">
        <f t="shared" si="62"/>
        <v>US</v>
      </c>
      <c r="G1994" s="2" t="str">
        <f t="shared" si="63"/>
        <v>Molly's|PASSAIC-FF</v>
      </c>
    </row>
    <row r="1995" spans="1:7" x14ac:dyDescent="0.2">
      <c r="A1995" s="2" t="str" cm="1">
        <f t="array" ref="A1995">INDEX('[1]Brand Family Territory (Enc)'!$A$2:$A$296,INT((ROW()-2)/10)+1)</f>
        <v>Molly's</v>
      </c>
      <c r="B1995" s="2" t="str" cm="1">
        <f t="array" ref="B1995">INDEX('Whitelist (Blackout Reverse)'!$B$1:$K$1,MOD(ROW()-2,10)+1)</f>
        <v>ESSEX</v>
      </c>
      <c r="C1995" s="2" t="str">
        <f>VLOOKUP(A1995,'[1]Brand Family Territory (Enc)'!$A$2:$B$296,2,FALSE)</f>
        <v>All Counties</v>
      </c>
      <c r="D1995" s="2">
        <f>IF(COUNTIFS('[1]Brand Family Territories (Enc)'!$B$2:$B$62,C1995,'[1]Brand Family Territories (Enc)'!$C$2:$C$62,B1995)&gt;0,1,IF(AND(LEFT(B1995,6)="MORRIS",COUNTIFS('[1]Brand Family Territories (Enc)'!$B$2:$B$62,C1995,'[1]Brand Family Territories (Enc)'!$C$2:$C$62,"Morri")&gt;0),"Unk",0))</f>
        <v>1</v>
      </c>
      <c r="E1995" s="2" t="str">
        <f>IFERROR(INDEX('Blackout Brand Fam Areas (Enc)'!$D$6:$D$998,MATCH(UPPER(A1995)&amp;"|"&amp;UPPER(B1995),'Blackout Brand Fam Areas (Enc)'!$G$6:$G$998,0)),"No Match")</f>
        <v>No Match</v>
      </c>
      <c r="F1995" s="2" t="str">
        <f t="shared" si="62"/>
        <v>US</v>
      </c>
      <c r="G1995" s="2" t="str">
        <f t="shared" si="63"/>
        <v>Molly's|ESSEX</v>
      </c>
    </row>
    <row r="1996" spans="1:7" x14ac:dyDescent="0.2">
      <c r="A1996" s="2" t="str" cm="1">
        <f t="array" ref="A1996">INDEX('[1]Brand Family Territory (Enc)'!$A$2:$A$296,INT((ROW()-2)/10)+1)</f>
        <v>Molly's</v>
      </c>
      <c r="B1996" s="2" t="str" cm="1">
        <f t="array" ref="B1996">INDEX('Whitelist (Blackout Reverse)'!$B$1:$K$1,MOD(ROW()-2,10)+1)</f>
        <v>HUDSON</v>
      </c>
      <c r="C1996" s="2" t="str">
        <f>VLOOKUP(A1996,'[1]Brand Family Territory (Enc)'!$A$2:$B$296,2,FALSE)</f>
        <v>All Counties</v>
      </c>
      <c r="D1996" s="2">
        <f>IF(COUNTIFS('[1]Brand Family Territories (Enc)'!$B$2:$B$62,C1996,'[1]Brand Family Territories (Enc)'!$C$2:$C$62,B1996)&gt;0,1,IF(AND(LEFT(B1996,6)="MORRIS",COUNTIFS('[1]Brand Family Territories (Enc)'!$B$2:$B$62,C1996,'[1]Brand Family Territories (Enc)'!$C$2:$C$62,"Morri")&gt;0),"Unk",0))</f>
        <v>1</v>
      </c>
      <c r="E1996" s="2" t="str">
        <f>IFERROR(INDEX('Blackout Brand Fam Areas (Enc)'!$D$6:$D$998,MATCH(UPPER(A1996)&amp;"|"&amp;UPPER(B1996),'Blackout Brand Fam Areas (Enc)'!$G$6:$G$998,0)),"No Match")</f>
        <v>No Match</v>
      </c>
      <c r="F1996" s="2" t="str">
        <f t="shared" si="62"/>
        <v>US</v>
      </c>
      <c r="G1996" s="2" t="str">
        <f t="shared" si="63"/>
        <v>Molly's|HUDSON</v>
      </c>
    </row>
    <row r="1997" spans="1:7" x14ac:dyDescent="0.2">
      <c r="A1997" s="2" t="str" cm="1">
        <f t="array" ref="A1997">INDEX('[1]Brand Family Territory (Enc)'!$A$2:$A$296,INT((ROW()-2)/10)+1)</f>
        <v>Molly's</v>
      </c>
      <c r="B1997" s="2" t="str" cm="1">
        <f t="array" ref="B1997">INDEX('Whitelist (Blackout Reverse)'!$B$1:$K$1,MOD(ROW()-2,10)+1)</f>
        <v>UNION</v>
      </c>
      <c r="C1997" s="2" t="str">
        <f>VLOOKUP(A1997,'[1]Brand Family Territory (Enc)'!$A$2:$B$296,2,FALSE)</f>
        <v>All Counties</v>
      </c>
      <c r="D1997" s="2">
        <f>IF(COUNTIFS('[1]Brand Family Territories (Enc)'!$B$2:$B$62,C1997,'[1]Brand Family Territories (Enc)'!$C$2:$C$62,B1997)&gt;0,1,IF(AND(LEFT(B1997,6)="MORRIS",COUNTIFS('[1]Brand Family Territories (Enc)'!$B$2:$B$62,C1997,'[1]Brand Family Territories (Enc)'!$C$2:$C$62,"Morri")&gt;0),"Unk",0))</f>
        <v>1</v>
      </c>
      <c r="E1997" s="2" t="str">
        <f>IFERROR(INDEX('Blackout Brand Fam Areas (Enc)'!$D$6:$D$998,MATCH(UPPER(A1997)&amp;"|"&amp;UPPER(B1997),'Blackout Brand Fam Areas (Enc)'!$G$6:$G$998,0)),"No Match")</f>
        <v>No Match</v>
      </c>
      <c r="F1997" s="2" t="str">
        <f t="shared" si="62"/>
        <v>US</v>
      </c>
      <c r="G1997" s="2" t="str">
        <f t="shared" si="63"/>
        <v>Molly's|UNION</v>
      </c>
    </row>
    <row r="1998" spans="1:7" x14ac:dyDescent="0.2">
      <c r="A1998" s="2" t="str" cm="1">
        <f t="array" ref="A1998">INDEX('[1]Brand Family Territory (Enc)'!$A$2:$A$296,INT((ROW()-2)/10)+1)</f>
        <v>Molly's</v>
      </c>
      <c r="B1998" s="2" t="str" cm="1">
        <f t="array" ref="B1998">INDEX('Whitelist (Blackout Reverse)'!$B$1:$K$1,MOD(ROW()-2,10)+1)</f>
        <v>SUSSEX</v>
      </c>
      <c r="C1998" s="2" t="str">
        <f>VLOOKUP(A1998,'[1]Brand Family Territory (Enc)'!$A$2:$B$296,2,FALSE)</f>
        <v>All Counties</v>
      </c>
      <c r="D1998" s="2">
        <f>IF(COUNTIFS('[1]Brand Family Territories (Enc)'!$B$2:$B$62,C1998,'[1]Brand Family Territories (Enc)'!$C$2:$C$62,B1998)&gt;0,1,IF(AND(LEFT(B1998,6)="MORRIS",COUNTIFS('[1]Brand Family Territories (Enc)'!$B$2:$B$62,C1998,'[1]Brand Family Territories (Enc)'!$C$2:$C$62,"Morri")&gt;0),"Unk",0))</f>
        <v>1</v>
      </c>
      <c r="E1998" s="2" t="str">
        <f>IFERROR(INDEX('Blackout Brand Fam Areas (Enc)'!$D$6:$D$998,MATCH(UPPER(A1998)&amp;"|"&amp;UPPER(B1998),'Blackout Brand Fam Areas (Enc)'!$G$6:$G$998,0)),"No Match")</f>
        <v>No Match</v>
      </c>
      <c r="F1998" s="2" t="str">
        <f t="shared" si="62"/>
        <v>US</v>
      </c>
      <c r="G1998" s="2" t="str">
        <f t="shared" si="63"/>
        <v>Molly's|SUSSEX</v>
      </c>
    </row>
    <row r="1999" spans="1:7" x14ac:dyDescent="0.2">
      <c r="A1999" s="2" t="str" cm="1">
        <f t="array" ref="A1999">INDEX('[1]Brand Family Territory (Enc)'!$A$2:$A$296,INT((ROW()-2)/10)+1)</f>
        <v>Molly's</v>
      </c>
      <c r="B1999" s="2" t="str" cm="1">
        <f t="array" ref="B1999">INDEX('Whitelist (Blackout Reverse)'!$B$1:$K$1,MOD(ROW()-2,10)+1)</f>
        <v>MORRIS 1</v>
      </c>
      <c r="C1999" s="2" t="str">
        <f>VLOOKUP(A1999,'[1]Brand Family Territory (Enc)'!$A$2:$B$296,2,FALSE)</f>
        <v>All Counties</v>
      </c>
      <c r="D1999" s="2">
        <f>IF(COUNTIFS('[1]Brand Family Territories (Enc)'!$B$2:$B$62,C1999,'[1]Brand Family Territories (Enc)'!$C$2:$C$62,B1999)&gt;0,1,IF(AND(LEFT(B1999,6)="MORRIS",COUNTIFS('[1]Brand Family Territories (Enc)'!$B$2:$B$62,C1999,'[1]Brand Family Territories (Enc)'!$C$2:$C$62,"Morri")&gt;0),"Unk",0))</f>
        <v>1</v>
      </c>
      <c r="E1999" s="2" t="str">
        <f>IFERROR(INDEX('Blackout Brand Fam Areas (Enc)'!$D$6:$D$998,MATCH(UPPER(A1999)&amp;"|"&amp;UPPER(B1999),'Blackout Brand Fam Areas (Enc)'!$G$6:$G$998,0)),"No Match")</f>
        <v>No Match</v>
      </c>
      <c r="F1999" s="2" t="str">
        <f t="shared" si="62"/>
        <v>US</v>
      </c>
      <c r="G1999" s="2" t="str">
        <f t="shared" si="63"/>
        <v>Molly's|MORRIS 1</v>
      </c>
    </row>
    <row r="2000" spans="1:7" x14ac:dyDescent="0.2">
      <c r="A2000" s="2" t="str" cm="1">
        <f t="array" ref="A2000">INDEX('[1]Brand Family Territory (Enc)'!$A$2:$A$296,INT((ROW()-2)/10)+1)</f>
        <v>Molly's</v>
      </c>
      <c r="B2000" s="2" t="str" cm="1">
        <f t="array" ref="B2000">INDEX('Whitelist (Blackout Reverse)'!$B$1:$K$1,MOD(ROW()-2,10)+1)</f>
        <v>MORRIS 2</v>
      </c>
      <c r="C2000" s="2" t="str">
        <f>VLOOKUP(A2000,'[1]Brand Family Territory (Enc)'!$A$2:$B$296,2,FALSE)</f>
        <v>All Counties</v>
      </c>
      <c r="D2000" s="2">
        <f>IF(COUNTIFS('[1]Brand Family Territories (Enc)'!$B$2:$B$62,C2000,'[1]Brand Family Territories (Enc)'!$C$2:$C$62,B2000)&gt;0,1,IF(AND(LEFT(B2000,6)="MORRIS",COUNTIFS('[1]Brand Family Territories (Enc)'!$B$2:$B$62,C2000,'[1]Brand Family Territories (Enc)'!$C$2:$C$62,"Morri")&gt;0),"Unk",0))</f>
        <v>1</v>
      </c>
      <c r="E2000" s="2" t="str">
        <f>IFERROR(INDEX('Blackout Brand Fam Areas (Enc)'!$D$6:$D$998,MATCH(UPPER(A2000)&amp;"|"&amp;UPPER(B2000),'Blackout Brand Fam Areas (Enc)'!$G$6:$G$998,0)),"No Match")</f>
        <v>No Match</v>
      </c>
      <c r="F2000" s="2" t="str">
        <f t="shared" si="62"/>
        <v>US</v>
      </c>
      <c r="G2000" s="2" t="str">
        <f t="shared" si="63"/>
        <v>Molly's|MORRIS 2</v>
      </c>
    </row>
    <row r="2001" spans="1:7" x14ac:dyDescent="0.2">
      <c r="A2001" s="2" t="str" cm="1">
        <f t="array" ref="A2001">INDEX('[1]Brand Family Territory (Enc)'!$A$2:$A$296,INT((ROW()-2)/10)+1)</f>
        <v>Molly's</v>
      </c>
      <c r="B2001" s="2" t="str" cm="1">
        <f t="array" ref="B2001">INDEX('Whitelist (Blackout Reverse)'!$B$1:$K$1,MOD(ROW()-2,10)+1)</f>
        <v>MORRIS 3</v>
      </c>
      <c r="C2001" s="2" t="str">
        <f>VLOOKUP(A2001,'[1]Brand Family Territory (Enc)'!$A$2:$B$296,2,FALSE)</f>
        <v>All Counties</v>
      </c>
      <c r="D2001" s="2">
        <f>IF(COUNTIFS('[1]Brand Family Territories (Enc)'!$B$2:$B$62,C2001,'[1]Brand Family Territories (Enc)'!$C$2:$C$62,B2001)&gt;0,1,IF(AND(LEFT(B2001,6)="MORRIS",COUNTIFS('[1]Brand Family Territories (Enc)'!$B$2:$B$62,C2001,'[1]Brand Family Territories (Enc)'!$C$2:$C$62,"Morri")&gt;0),"Unk",0))</f>
        <v>1</v>
      </c>
      <c r="E2001" s="2" t="str">
        <f>IFERROR(INDEX('Blackout Brand Fam Areas (Enc)'!$D$6:$D$998,MATCH(UPPER(A2001)&amp;"|"&amp;UPPER(B2001),'Blackout Brand Fam Areas (Enc)'!$G$6:$G$998,0)),"No Match")</f>
        <v>No Match</v>
      </c>
      <c r="F2001" s="2" t="str">
        <f t="shared" si="62"/>
        <v>US</v>
      </c>
      <c r="G2001" s="2" t="str">
        <f t="shared" si="63"/>
        <v>Molly's|MORRIS 3</v>
      </c>
    </row>
    <row r="2002" spans="1:7" x14ac:dyDescent="0.2">
      <c r="A2002" s="2" t="str" cm="1">
        <f t="array" ref="A2002">INDEX('[1]Brand Family Territory (Enc)'!$A$2:$A$296,INT((ROW()-2)/10)+1)</f>
        <v>Montauk</v>
      </c>
      <c r="B2002" s="2" t="str" cm="1">
        <f t="array" ref="B2002">INDEX('Whitelist (Blackout Reverse)'!$B$1:$K$1,MOD(ROW()-2,10)+1)</f>
        <v>BERGEN</v>
      </c>
      <c r="C2002" s="2" t="str">
        <f>VLOOKUP(A2002,'[1]Brand Family Territory (Enc)'!$A$2:$B$296,2,FALSE)</f>
        <v>All Counties</v>
      </c>
      <c r="D2002" s="2">
        <f>IF(COUNTIFS('[1]Brand Family Territories (Enc)'!$B$2:$B$62,C2002,'[1]Brand Family Territories (Enc)'!$C$2:$C$62,B2002)&gt;0,1,IF(AND(LEFT(B2002,6)="MORRIS",COUNTIFS('[1]Brand Family Territories (Enc)'!$B$2:$B$62,C2002,'[1]Brand Family Territories (Enc)'!$C$2:$C$62,"Morri")&gt;0),"Unk",0))</f>
        <v>1</v>
      </c>
      <c r="E2002" s="2" t="str">
        <f>IFERROR(INDEX('Blackout Brand Fam Areas (Enc)'!$D$6:$D$998,MATCH(UPPER(A2002)&amp;"|"&amp;UPPER(B2002),'Blackout Brand Fam Areas (Enc)'!$G$6:$G$998,0)),"No Match")</f>
        <v>No Match</v>
      </c>
      <c r="F2002" s="2" t="str">
        <f t="shared" si="62"/>
        <v>US</v>
      </c>
      <c r="G2002" s="2" t="str">
        <f t="shared" si="63"/>
        <v>Montauk|BERGEN</v>
      </c>
    </row>
    <row r="2003" spans="1:7" x14ac:dyDescent="0.2">
      <c r="A2003" s="2" t="str" cm="1">
        <f t="array" ref="A2003">INDEX('[1]Brand Family Territory (Enc)'!$A$2:$A$296,INT((ROW()-2)/10)+1)</f>
        <v>Montauk</v>
      </c>
      <c r="B2003" s="2" t="str" cm="1">
        <f t="array" ref="B2003">INDEX('Whitelist (Blackout Reverse)'!$B$1:$K$1,MOD(ROW()-2,10)+1)</f>
        <v>PASSAIC</v>
      </c>
      <c r="C2003" s="2" t="str">
        <f>VLOOKUP(A2003,'[1]Brand Family Territory (Enc)'!$A$2:$B$296,2,FALSE)</f>
        <v>All Counties</v>
      </c>
      <c r="D2003" s="2">
        <f>IF(COUNTIFS('[1]Brand Family Territories (Enc)'!$B$2:$B$62,C2003,'[1]Brand Family Territories (Enc)'!$C$2:$C$62,B2003)&gt;0,1,IF(AND(LEFT(B2003,6)="MORRIS",COUNTIFS('[1]Brand Family Territories (Enc)'!$B$2:$B$62,C2003,'[1]Brand Family Territories (Enc)'!$C$2:$C$62,"Morri")&gt;0),"Unk",0))</f>
        <v>1</v>
      </c>
      <c r="E2003" s="2" t="str">
        <f>IFERROR(INDEX('Blackout Brand Fam Areas (Enc)'!$D$6:$D$998,MATCH(UPPER(A2003)&amp;"|"&amp;UPPER(B2003),'Blackout Brand Fam Areas (Enc)'!$G$6:$G$998,0)),"No Match")</f>
        <v>No Match</v>
      </c>
      <c r="F2003" s="2" t="str">
        <f t="shared" si="62"/>
        <v>US</v>
      </c>
      <c r="G2003" s="2" t="str">
        <f t="shared" si="63"/>
        <v>Montauk|PASSAIC</v>
      </c>
    </row>
    <row r="2004" spans="1:7" x14ac:dyDescent="0.2">
      <c r="A2004" s="2" t="str" cm="1">
        <f t="array" ref="A2004">INDEX('[1]Brand Family Territory (Enc)'!$A$2:$A$296,INT((ROW()-2)/10)+1)</f>
        <v>Montauk</v>
      </c>
      <c r="B2004" s="2" t="str" cm="1">
        <f t="array" ref="B2004">INDEX('Whitelist (Blackout Reverse)'!$B$1:$K$1,MOD(ROW()-2,10)+1)</f>
        <v>PASSAIC-FF</v>
      </c>
      <c r="C2004" s="2" t="str">
        <f>VLOOKUP(A2004,'[1]Brand Family Territory (Enc)'!$A$2:$B$296,2,FALSE)</f>
        <v>All Counties</v>
      </c>
      <c r="D2004" s="2">
        <f>IF(COUNTIFS('[1]Brand Family Territories (Enc)'!$B$2:$B$62,C2004,'[1]Brand Family Territories (Enc)'!$C$2:$C$62,B2004)&gt;0,1,IF(AND(LEFT(B2004,6)="MORRIS",COUNTIFS('[1]Brand Family Territories (Enc)'!$B$2:$B$62,C2004,'[1]Brand Family Territories (Enc)'!$C$2:$C$62,"Morri")&gt;0),"Unk",0))</f>
        <v>1</v>
      </c>
      <c r="E2004" s="2" t="str">
        <f>IFERROR(INDEX('Blackout Brand Fam Areas (Enc)'!$D$6:$D$998,MATCH(UPPER(A2004)&amp;"|"&amp;UPPER(B2004),'Blackout Brand Fam Areas (Enc)'!$G$6:$G$998,0)),"No Match")</f>
        <v>No Match</v>
      </c>
      <c r="F2004" s="2" t="str">
        <f t="shared" si="62"/>
        <v>US</v>
      </c>
      <c r="G2004" s="2" t="str">
        <f t="shared" si="63"/>
        <v>Montauk|PASSAIC-FF</v>
      </c>
    </row>
    <row r="2005" spans="1:7" x14ac:dyDescent="0.2">
      <c r="A2005" s="2" t="str" cm="1">
        <f t="array" ref="A2005">INDEX('[1]Brand Family Territory (Enc)'!$A$2:$A$296,INT((ROW()-2)/10)+1)</f>
        <v>Montauk</v>
      </c>
      <c r="B2005" s="2" t="str" cm="1">
        <f t="array" ref="B2005">INDEX('Whitelist (Blackout Reverse)'!$B$1:$K$1,MOD(ROW()-2,10)+1)</f>
        <v>ESSEX</v>
      </c>
      <c r="C2005" s="2" t="str">
        <f>VLOOKUP(A2005,'[1]Brand Family Territory (Enc)'!$A$2:$B$296,2,FALSE)</f>
        <v>All Counties</v>
      </c>
      <c r="D2005" s="2">
        <f>IF(COUNTIFS('[1]Brand Family Territories (Enc)'!$B$2:$B$62,C2005,'[1]Brand Family Territories (Enc)'!$C$2:$C$62,B2005)&gt;0,1,IF(AND(LEFT(B2005,6)="MORRIS",COUNTIFS('[1]Brand Family Territories (Enc)'!$B$2:$B$62,C2005,'[1]Brand Family Territories (Enc)'!$C$2:$C$62,"Morri")&gt;0),"Unk",0))</f>
        <v>1</v>
      </c>
      <c r="E2005" s="2" t="str">
        <f>IFERROR(INDEX('Blackout Brand Fam Areas (Enc)'!$D$6:$D$998,MATCH(UPPER(A2005)&amp;"|"&amp;UPPER(B2005),'Blackout Brand Fam Areas (Enc)'!$G$6:$G$998,0)),"No Match")</f>
        <v>No Match</v>
      </c>
      <c r="F2005" s="2" t="str">
        <f t="shared" si="62"/>
        <v>US</v>
      </c>
      <c r="G2005" s="2" t="str">
        <f t="shared" si="63"/>
        <v>Montauk|ESSEX</v>
      </c>
    </row>
    <row r="2006" spans="1:7" x14ac:dyDescent="0.2">
      <c r="A2006" s="2" t="str" cm="1">
        <f t="array" ref="A2006">INDEX('[1]Brand Family Territory (Enc)'!$A$2:$A$296,INT((ROW()-2)/10)+1)</f>
        <v>Montauk</v>
      </c>
      <c r="B2006" s="2" t="str" cm="1">
        <f t="array" ref="B2006">INDEX('Whitelist (Blackout Reverse)'!$B$1:$K$1,MOD(ROW()-2,10)+1)</f>
        <v>HUDSON</v>
      </c>
      <c r="C2006" s="2" t="str">
        <f>VLOOKUP(A2006,'[1]Brand Family Territory (Enc)'!$A$2:$B$296,2,FALSE)</f>
        <v>All Counties</v>
      </c>
      <c r="D2006" s="2">
        <f>IF(COUNTIFS('[1]Brand Family Territories (Enc)'!$B$2:$B$62,C2006,'[1]Brand Family Territories (Enc)'!$C$2:$C$62,B2006)&gt;0,1,IF(AND(LEFT(B2006,6)="MORRIS",COUNTIFS('[1]Brand Family Territories (Enc)'!$B$2:$B$62,C2006,'[1]Brand Family Territories (Enc)'!$C$2:$C$62,"Morri")&gt;0),"Unk",0))</f>
        <v>1</v>
      </c>
      <c r="E2006" s="2" t="str">
        <f>IFERROR(INDEX('Blackout Brand Fam Areas (Enc)'!$D$6:$D$998,MATCH(UPPER(A2006)&amp;"|"&amp;UPPER(B2006),'Blackout Brand Fam Areas (Enc)'!$G$6:$G$998,0)),"No Match")</f>
        <v>No Match</v>
      </c>
      <c r="F2006" s="2" t="str">
        <f t="shared" si="62"/>
        <v>US</v>
      </c>
      <c r="G2006" s="2" t="str">
        <f t="shared" si="63"/>
        <v>Montauk|HUDSON</v>
      </c>
    </row>
    <row r="2007" spans="1:7" x14ac:dyDescent="0.2">
      <c r="A2007" s="2" t="str" cm="1">
        <f t="array" ref="A2007">INDEX('[1]Brand Family Territory (Enc)'!$A$2:$A$296,INT((ROW()-2)/10)+1)</f>
        <v>Montauk</v>
      </c>
      <c r="B2007" s="2" t="str" cm="1">
        <f t="array" ref="B2007">INDEX('Whitelist (Blackout Reverse)'!$B$1:$K$1,MOD(ROW()-2,10)+1)</f>
        <v>UNION</v>
      </c>
      <c r="C2007" s="2" t="str">
        <f>VLOOKUP(A2007,'[1]Brand Family Territory (Enc)'!$A$2:$B$296,2,FALSE)</f>
        <v>All Counties</v>
      </c>
      <c r="D2007" s="2">
        <f>IF(COUNTIFS('[1]Brand Family Territories (Enc)'!$B$2:$B$62,C2007,'[1]Brand Family Territories (Enc)'!$C$2:$C$62,B2007)&gt;0,1,IF(AND(LEFT(B2007,6)="MORRIS",COUNTIFS('[1]Brand Family Territories (Enc)'!$B$2:$B$62,C2007,'[1]Brand Family Territories (Enc)'!$C$2:$C$62,"Morri")&gt;0),"Unk",0))</f>
        <v>1</v>
      </c>
      <c r="E2007" s="2" t="str">
        <f>IFERROR(INDEX('Blackout Brand Fam Areas (Enc)'!$D$6:$D$998,MATCH(UPPER(A2007)&amp;"|"&amp;UPPER(B2007),'Blackout Brand Fam Areas (Enc)'!$G$6:$G$998,0)),"No Match")</f>
        <v>No Match</v>
      </c>
      <c r="F2007" s="2" t="str">
        <f t="shared" si="62"/>
        <v>US</v>
      </c>
      <c r="G2007" s="2" t="str">
        <f t="shared" si="63"/>
        <v>Montauk|UNION</v>
      </c>
    </row>
    <row r="2008" spans="1:7" x14ac:dyDescent="0.2">
      <c r="A2008" s="2" t="str" cm="1">
        <f t="array" ref="A2008">INDEX('[1]Brand Family Territory (Enc)'!$A$2:$A$296,INT((ROW()-2)/10)+1)</f>
        <v>Montauk</v>
      </c>
      <c r="B2008" s="2" t="str" cm="1">
        <f t="array" ref="B2008">INDEX('Whitelist (Blackout Reverse)'!$B$1:$K$1,MOD(ROW()-2,10)+1)</f>
        <v>SUSSEX</v>
      </c>
      <c r="C2008" s="2" t="str">
        <f>VLOOKUP(A2008,'[1]Brand Family Territory (Enc)'!$A$2:$B$296,2,FALSE)</f>
        <v>All Counties</v>
      </c>
      <c r="D2008" s="2">
        <f>IF(COUNTIFS('[1]Brand Family Territories (Enc)'!$B$2:$B$62,C2008,'[1]Brand Family Territories (Enc)'!$C$2:$C$62,B2008)&gt;0,1,IF(AND(LEFT(B2008,6)="MORRIS",COUNTIFS('[1]Brand Family Territories (Enc)'!$B$2:$B$62,C2008,'[1]Brand Family Territories (Enc)'!$C$2:$C$62,"Morri")&gt;0),"Unk",0))</f>
        <v>1</v>
      </c>
      <c r="E2008" s="2" t="str">
        <f>IFERROR(INDEX('Blackout Brand Fam Areas (Enc)'!$D$6:$D$998,MATCH(UPPER(A2008)&amp;"|"&amp;UPPER(B2008),'Blackout Brand Fam Areas (Enc)'!$G$6:$G$998,0)),"No Match")</f>
        <v>No Match</v>
      </c>
      <c r="F2008" s="2" t="str">
        <f t="shared" si="62"/>
        <v>US</v>
      </c>
      <c r="G2008" s="2" t="str">
        <f t="shared" si="63"/>
        <v>Montauk|SUSSEX</v>
      </c>
    </row>
    <row r="2009" spans="1:7" x14ac:dyDescent="0.2">
      <c r="A2009" s="2" t="str" cm="1">
        <f t="array" ref="A2009">INDEX('[1]Brand Family Territory (Enc)'!$A$2:$A$296,INT((ROW()-2)/10)+1)</f>
        <v>Montauk</v>
      </c>
      <c r="B2009" s="2" t="str" cm="1">
        <f t="array" ref="B2009">INDEX('Whitelist (Blackout Reverse)'!$B$1:$K$1,MOD(ROW()-2,10)+1)</f>
        <v>MORRIS 1</v>
      </c>
      <c r="C2009" s="2" t="str">
        <f>VLOOKUP(A2009,'[1]Brand Family Territory (Enc)'!$A$2:$B$296,2,FALSE)</f>
        <v>All Counties</v>
      </c>
      <c r="D2009" s="2">
        <f>IF(COUNTIFS('[1]Brand Family Territories (Enc)'!$B$2:$B$62,C2009,'[1]Brand Family Territories (Enc)'!$C$2:$C$62,B2009)&gt;0,1,IF(AND(LEFT(B2009,6)="MORRIS",COUNTIFS('[1]Brand Family Territories (Enc)'!$B$2:$B$62,C2009,'[1]Brand Family Territories (Enc)'!$C$2:$C$62,"Morri")&gt;0),"Unk",0))</f>
        <v>1</v>
      </c>
      <c r="E2009" s="2" t="str">
        <f>IFERROR(INDEX('Blackout Brand Fam Areas (Enc)'!$D$6:$D$998,MATCH(UPPER(A2009)&amp;"|"&amp;UPPER(B2009),'Blackout Brand Fam Areas (Enc)'!$G$6:$G$998,0)),"No Match")</f>
        <v>No Match</v>
      </c>
      <c r="F2009" s="2" t="str">
        <f t="shared" si="62"/>
        <v>US</v>
      </c>
      <c r="G2009" s="2" t="str">
        <f t="shared" si="63"/>
        <v>Montauk|MORRIS 1</v>
      </c>
    </row>
    <row r="2010" spans="1:7" x14ac:dyDescent="0.2">
      <c r="A2010" s="2" t="str" cm="1">
        <f t="array" ref="A2010">INDEX('[1]Brand Family Territory (Enc)'!$A$2:$A$296,INT((ROW()-2)/10)+1)</f>
        <v>Montauk</v>
      </c>
      <c r="B2010" s="2" t="str" cm="1">
        <f t="array" ref="B2010">INDEX('Whitelist (Blackout Reverse)'!$B$1:$K$1,MOD(ROW()-2,10)+1)</f>
        <v>MORRIS 2</v>
      </c>
      <c r="C2010" s="2" t="str">
        <f>VLOOKUP(A2010,'[1]Brand Family Territory (Enc)'!$A$2:$B$296,2,FALSE)</f>
        <v>All Counties</v>
      </c>
      <c r="D2010" s="2">
        <f>IF(COUNTIFS('[1]Brand Family Territories (Enc)'!$B$2:$B$62,C2010,'[1]Brand Family Territories (Enc)'!$C$2:$C$62,B2010)&gt;0,1,IF(AND(LEFT(B2010,6)="MORRIS",COUNTIFS('[1]Brand Family Territories (Enc)'!$B$2:$B$62,C2010,'[1]Brand Family Territories (Enc)'!$C$2:$C$62,"Morri")&gt;0),"Unk",0))</f>
        <v>1</v>
      </c>
      <c r="E2010" s="2" t="str">
        <f>IFERROR(INDEX('Blackout Brand Fam Areas (Enc)'!$D$6:$D$998,MATCH(UPPER(A2010)&amp;"|"&amp;UPPER(B2010),'Blackout Brand Fam Areas (Enc)'!$G$6:$G$998,0)),"No Match")</f>
        <v>No Match</v>
      </c>
      <c r="F2010" s="2" t="str">
        <f t="shared" si="62"/>
        <v>US</v>
      </c>
      <c r="G2010" s="2" t="str">
        <f t="shared" si="63"/>
        <v>Montauk|MORRIS 2</v>
      </c>
    </row>
    <row r="2011" spans="1:7" x14ac:dyDescent="0.2">
      <c r="A2011" s="2" t="str" cm="1">
        <f t="array" ref="A2011">INDEX('[1]Brand Family Territory (Enc)'!$A$2:$A$296,INT((ROW()-2)/10)+1)</f>
        <v>Montauk</v>
      </c>
      <c r="B2011" s="2" t="str" cm="1">
        <f t="array" ref="B2011">INDEX('Whitelist (Blackout Reverse)'!$B$1:$K$1,MOD(ROW()-2,10)+1)</f>
        <v>MORRIS 3</v>
      </c>
      <c r="C2011" s="2" t="str">
        <f>VLOOKUP(A2011,'[1]Brand Family Territory (Enc)'!$A$2:$B$296,2,FALSE)</f>
        <v>All Counties</v>
      </c>
      <c r="D2011" s="2">
        <f>IF(COUNTIFS('[1]Brand Family Territories (Enc)'!$B$2:$B$62,C2011,'[1]Brand Family Territories (Enc)'!$C$2:$C$62,B2011)&gt;0,1,IF(AND(LEFT(B2011,6)="MORRIS",COUNTIFS('[1]Brand Family Territories (Enc)'!$B$2:$B$62,C2011,'[1]Brand Family Territories (Enc)'!$C$2:$C$62,"Morri")&gt;0),"Unk",0))</f>
        <v>1</v>
      </c>
      <c r="E2011" s="2" t="str">
        <f>IFERROR(INDEX('Blackout Brand Fam Areas (Enc)'!$D$6:$D$998,MATCH(UPPER(A2011)&amp;"|"&amp;UPPER(B2011),'Blackout Brand Fam Areas (Enc)'!$G$6:$G$998,0)),"No Match")</f>
        <v>No Match</v>
      </c>
      <c r="F2011" s="2" t="str">
        <f t="shared" si="62"/>
        <v>US</v>
      </c>
      <c r="G2011" s="2" t="str">
        <f t="shared" si="63"/>
        <v>Montauk|MORRIS 3</v>
      </c>
    </row>
    <row r="2012" spans="1:7" x14ac:dyDescent="0.2">
      <c r="A2012" s="2" t="str" cm="1">
        <f t="array" ref="A2012">INDEX('[1]Brand Family Territory (Enc)'!$A$2:$A$296,INT((ROW()-2)/10)+1)</f>
        <v>Monte Xanic</v>
      </c>
      <c r="B2012" s="2" t="str" cm="1">
        <f t="array" ref="B2012">INDEX('Whitelist (Blackout Reverse)'!$B$1:$K$1,MOD(ROW()-2,10)+1)</f>
        <v>BERGEN</v>
      </c>
      <c r="C2012" s="2" t="str">
        <f>VLOOKUP(A2012,'[1]Brand Family Territory (Enc)'!$A$2:$B$296,2,FALSE)</f>
        <v>All Counties</v>
      </c>
      <c r="D2012" s="2">
        <f>IF(COUNTIFS('[1]Brand Family Territories (Enc)'!$B$2:$B$62,C2012,'[1]Brand Family Territories (Enc)'!$C$2:$C$62,B2012)&gt;0,1,IF(AND(LEFT(B2012,6)="MORRIS",COUNTIFS('[1]Brand Family Territories (Enc)'!$B$2:$B$62,C2012,'[1]Brand Family Territories (Enc)'!$C$2:$C$62,"Morri")&gt;0),"Unk",0))</f>
        <v>1</v>
      </c>
      <c r="E2012" s="2" t="str">
        <f>IFERROR(INDEX('Blackout Brand Fam Areas (Enc)'!$D$6:$D$998,MATCH(UPPER(A2012)&amp;"|"&amp;UPPER(B2012),'Blackout Brand Fam Areas (Enc)'!$G$6:$G$998,0)),"No Match")</f>
        <v>No Match</v>
      </c>
      <c r="F2012" s="2" t="str">
        <f t="shared" si="62"/>
        <v>US</v>
      </c>
      <c r="G2012" s="2" t="str">
        <f t="shared" si="63"/>
        <v>Monte Xanic|BERGEN</v>
      </c>
    </row>
    <row r="2013" spans="1:7" x14ac:dyDescent="0.2">
      <c r="A2013" s="2" t="str" cm="1">
        <f t="array" ref="A2013">INDEX('[1]Brand Family Territory (Enc)'!$A$2:$A$296,INT((ROW()-2)/10)+1)</f>
        <v>Monte Xanic</v>
      </c>
      <c r="B2013" s="2" t="str" cm="1">
        <f t="array" ref="B2013">INDEX('Whitelist (Blackout Reverse)'!$B$1:$K$1,MOD(ROW()-2,10)+1)</f>
        <v>PASSAIC</v>
      </c>
      <c r="C2013" s="2" t="str">
        <f>VLOOKUP(A2013,'[1]Brand Family Territory (Enc)'!$A$2:$B$296,2,FALSE)</f>
        <v>All Counties</v>
      </c>
      <c r="D2013" s="2">
        <f>IF(COUNTIFS('[1]Brand Family Territories (Enc)'!$B$2:$B$62,C2013,'[1]Brand Family Territories (Enc)'!$C$2:$C$62,B2013)&gt;0,1,IF(AND(LEFT(B2013,6)="MORRIS",COUNTIFS('[1]Brand Family Territories (Enc)'!$B$2:$B$62,C2013,'[1]Brand Family Territories (Enc)'!$C$2:$C$62,"Morri")&gt;0),"Unk",0))</f>
        <v>1</v>
      </c>
      <c r="E2013" s="2" t="str">
        <f>IFERROR(INDEX('Blackout Brand Fam Areas (Enc)'!$D$6:$D$998,MATCH(UPPER(A2013)&amp;"|"&amp;UPPER(B2013),'Blackout Brand Fam Areas (Enc)'!$G$6:$G$998,0)),"No Match")</f>
        <v>No Match</v>
      </c>
      <c r="F2013" s="2" t="str">
        <f t="shared" si="62"/>
        <v>US</v>
      </c>
      <c r="G2013" s="2" t="str">
        <f t="shared" si="63"/>
        <v>Monte Xanic|PASSAIC</v>
      </c>
    </row>
    <row r="2014" spans="1:7" x14ac:dyDescent="0.2">
      <c r="A2014" s="2" t="str" cm="1">
        <f t="array" ref="A2014">INDEX('[1]Brand Family Territory (Enc)'!$A$2:$A$296,INT((ROW()-2)/10)+1)</f>
        <v>Monte Xanic</v>
      </c>
      <c r="B2014" s="2" t="str" cm="1">
        <f t="array" ref="B2014">INDEX('Whitelist (Blackout Reverse)'!$B$1:$K$1,MOD(ROW()-2,10)+1)</f>
        <v>PASSAIC-FF</v>
      </c>
      <c r="C2014" s="2" t="str">
        <f>VLOOKUP(A2014,'[1]Brand Family Territory (Enc)'!$A$2:$B$296,2,FALSE)</f>
        <v>All Counties</v>
      </c>
      <c r="D2014" s="2">
        <f>IF(COUNTIFS('[1]Brand Family Territories (Enc)'!$B$2:$B$62,C2014,'[1]Brand Family Territories (Enc)'!$C$2:$C$62,B2014)&gt;0,1,IF(AND(LEFT(B2014,6)="MORRIS",COUNTIFS('[1]Brand Family Territories (Enc)'!$B$2:$B$62,C2014,'[1]Brand Family Territories (Enc)'!$C$2:$C$62,"Morri")&gt;0),"Unk",0))</f>
        <v>1</v>
      </c>
      <c r="E2014" s="2" t="str">
        <f>IFERROR(INDEX('Blackout Brand Fam Areas (Enc)'!$D$6:$D$998,MATCH(UPPER(A2014)&amp;"|"&amp;UPPER(B2014),'Blackout Brand Fam Areas (Enc)'!$G$6:$G$998,0)),"No Match")</f>
        <v>No Match</v>
      </c>
      <c r="F2014" s="2" t="str">
        <f t="shared" si="62"/>
        <v>US</v>
      </c>
      <c r="G2014" s="2" t="str">
        <f t="shared" si="63"/>
        <v>Monte Xanic|PASSAIC-FF</v>
      </c>
    </row>
    <row r="2015" spans="1:7" x14ac:dyDescent="0.2">
      <c r="A2015" s="2" t="str" cm="1">
        <f t="array" ref="A2015">INDEX('[1]Brand Family Territory (Enc)'!$A$2:$A$296,INT((ROW()-2)/10)+1)</f>
        <v>Monte Xanic</v>
      </c>
      <c r="B2015" s="2" t="str" cm="1">
        <f t="array" ref="B2015">INDEX('Whitelist (Blackout Reverse)'!$B$1:$K$1,MOD(ROW()-2,10)+1)</f>
        <v>ESSEX</v>
      </c>
      <c r="C2015" s="2" t="str">
        <f>VLOOKUP(A2015,'[1]Brand Family Territory (Enc)'!$A$2:$B$296,2,FALSE)</f>
        <v>All Counties</v>
      </c>
      <c r="D2015" s="2">
        <f>IF(COUNTIFS('[1]Brand Family Territories (Enc)'!$B$2:$B$62,C2015,'[1]Brand Family Territories (Enc)'!$C$2:$C$62,B2015)&gt;0,1,IF(AND(LEFT(B2015,6)="MORRIS",COUNTIFS('[1]Brand Family Territories (Enc)'!$B$2:$B$62,C2015,'[1]Brand Family Territories (Enc)'!$C$2:$C$62,"Morri")&gt;0),"Unk",0))</f>
        <v>1</v>
      </c>
      <c r="E2015" s="2" t="str">
        <f>IFERROR(INDEX('Blackout Brand Fam Areas (Enc)'!$D$6:$D$998,MATCH(UPPER(A2015)&amp;"|"&amp;UPPER(B2015),'Blackout Brand Fam Areas (Enc)'!$G$6:$G$998,0)),"No Match")</f>
        <v>No Match</v>
      </c>
      <c r="F2015" s="2" t="str">
        <f t="shared" si="62"/>
        <v>US</v>
      </c>
      <c r="G2015" s="2" t="str">
        <f t="shared" si="63"/>
        <v>Monte Xanic|ESSEX</v>
      </c>
    </row>
    <row r="2016" spans="1:7" x14ac:dyDescent="0.2">
      <c r="A2016" s="2" t="str" cm="1">
        <f t="array" ref="A2016">INDEX('[1]Brand Family Territory (Enc)'!$A$2:$A$296,INT((ROW()-2)/10)+1)</f>
        <v>Monte Xanic</v>
      </c>
      <c r="B2016" s="2" t="str" cm="1">
        <f t="array" ref="B2016">INDEX('Whitelist (Blackout Reverse)'!$B$1:$K$1,MOD(ROW()-2,10)+1)</f>
        <v>HUDSON</v>
      </c>
      <c r="C2016" s="2" t="str">
        <f>VLOOKUP(A2016,'[1]Brand Family Territory (Enc)'!$A$2:$B$296,2,FALSE)</f>
        <v>All Counties</v>
      </c>
      <c r="D2016" s="2">
        <f>IF(COUNTIFS('[1]Brand Family Territories (Enc)'!$B$2:$B$62,C2016,'[1]Brand Family Territories (Enc)'!$C$2:$C$62,B2016)&gt;0,1,IF(AND(LEFT(B2016,6)="MORRIS",COUNTIFS('[1]Brand Family Territories (Enc)'!$B$2:$B$62,C2016,'[1]Brand Family Territories (Enc)'!$C$2:$C$62,"Morri")&gt;0),"Unk",0))</f>
        <v>1</v>
      </c>
      <c r="E2016" s="2" t="str">
        <f>IFERROR(INDEX('Blackout Brand Fam Areas (Enc)'!$D$6:$D$998,MATCH(UPPER(A2016)&amp;"|"&amp;UPPER(B2016),'Blackout Brand Fam Areas (Enc)'!$G$6:$G$998,0)),"No Match")</f>
        <v>No Match</v>
      </c>
      <c r="F2016" s="2" t="str">
        <f t="shared" si="62"/>
        <v>US</v>
      </c>
      <c r="G2016" s="2" t="str">
        <f t="shared" si="63"/>
        <v>Monte Xanic|HUDSON</v>
      </c>
    </row>
    <row r="2017" spans="1:7" x14ac:dyDescent="0.2">
      <c r="A2017" s="2" t="str" cm="1">
        <f t="array" ref="A2017">INDEX('[1]Brand Family Territory (Enc)'!$A$2:$A$296,INT((ROW()-2)/10)+1)</f>
        <v>Monte Xanic</v>
      </c>
      <c r="B2017" s="2" t="str" cm="1">
        <f t="array" ref="B2017">INDEX('Whitelist (Blackout Reverse)'!$B$1:$K$1,MOD(ROW()-2,10)+1)</f>
        <v>UNION</v>
      </c>
      <c r="C2017" s="2" t="str">
        <f>VLOOKUP(A2017,'[1]Brand Family Territory (Enc)'!$A$2:$B$296,2,FALSE)</f>
        <v>All Counties</v>
      </c>
      <c r="D2017" s="2">
        <f>IF(COUNTIFS('[1]Brand Family Territories (Enc)'!$B$2:$B$62,C2017,'[1]Brand Family Territories (Enc)'!$C$2:$C$62,B2017)&gt;0,1,IF(AND(LEFT(B2017,6)="MORRIS",COUNTIFS('[1]Brand Family Territories (Enc)'!$B$2:$B$62,C2017,'[1]Brand Family Territories (Enc)'!$C$2:$C$62,"Morri")&gt;0),"Unk",0))</f>
        <v>1</v>
      </c>
      <c r="E2017" s="2" t="str">
        <f>IFERROR(INDEX('Blackout Brand Fam Areas (Enc)'!$D$6:$D$998,MATCH(UPPER(A2017)&amp;"|"&amp;UPPER(B2017),'Blackout Brand Fam Areas (Enc)'!$G$6:$G$998,0)),"No Match")</f>
        <v>No Match</v>
      </c>
      <c r="F2017" s="2" t="str">
        <f t="shared" si="62"/>
        <v>US</v>
      </c>
      <c r="G2017" s="2" t="str">
        <f t="shared" si="63"/>
        <v>Monte Xanic|UNION</v>
      </c>
    </row>
    <row r="2018" spans="1:7" x14ac:dyDescent="0.2">
      <c r="A2018" s="2" t="str" cm="1">
        <f t="array" ref="A2018">INDEX('[1]Brand Family Territory (Enc)'!$A$2:$A$296,INT((ROW()-2)/10)+1)</f>
        <v>Monte Xanic</v>
      </c>
      <c r="B2018" s="2" t="str" cm="1">
        <f t="array" ref="B2018">INDEX('Whitelist (Blackout Reverse)'!$B$1:$K$1,MOD(ROW()-2,10)+1)</f>
        <v>SUSSEX</v>
      </c>
      <c r="C2018" s="2" t="str">
        <f>VLOOKUP(A2018,'[1]Brand Family Territory (Enc)'!$A$2:$B$296,2,FALSE)</f>
        <v>All Counties</v>
      </c>
      <c r="D2018" s="2">
        <f>IF(COUNTIFS('[1]Brand Family Territories (Enc)'!$B$2:$B$62,C2018,'[1]Brand Family Territories (Enc)'!$C$2:$C$62,B2018)&gt;0,1,IF(AND(LEFT(B2018,6)="MORRIS",COUNTIFS('[1]Brand Family Territories (Enc)'!$B$2:$B$62,C2018,'[1]Brand Family Territories (Enc)'!$C$2:$C$62,"Morri")&gt;0),"Unk",0))</f>
        <v>1</v>
      </c>
      <c r="E2018" s="2" t="str">
        <f>IFERROR(INDEX('Blackout Brand Fam Areas (Enc)'!$D$6:$D$998,MATCH(UPPER(A2018)&amp;"|"&amp;UPPER(B2018),'Blackout Brand Fam Areas (Enc)'!$G$6:$G$998,0)),"No Match")</f>
        <v>No Match</v>
      </c>
      <c r="F2018" s="2" t="str">
        <f t="shared" si="62"/>
        <v>US</v>
      </c>
      <c r="G2018" s="2" t="str">
        <f t="shared" si="63"/>
        <v>Monte Xanic|SUSSEX</v>
      </c>
    </row>
    <row r="2019" spans="1:7" x14ac:dyDescent="0.2">
      <c r="A2019" s="2" t="str" cm="1">
        <f t="array" ref="A2019">INDEX('[1]Brand Family Territory (Enc)'!$A$2:$A$296,INT((ROW()-2)/10)+1)</f>
        <v>Monte Xanic</v>
      </c>
      <c r="B2019" s="2" t="str" cm="1">
        <f t="array" ref="B2019">INDEX('Whitelist (Blackout Reverse)'!$B$1:$K$1,MOD(ROW()-2,10)+1)</f>
        <v>MORRIS 1</v>
      </c>
      <c r="C2019" s="2" t="str">
        <f>VLOOKUP(A2019,'[1]Brand Family Territory (Enc)'!$A$2:$B$296,2,FALSE)</f>
        <v>All Counties</v>
      </c>
      <c r="D2019" s="2">
        <f>IF(COUNTIFS('[1]Brand Family Territories (Enc)'!$B$2:$B$62,C2019,'[1]Brand Family Territories (Enc)'!$C$2:$C$62,B2019)&gt;0,1,IF(AND(LEFT(B2019,6)="MORRIS",COUNTIFS('[1]Brand Family Territories (Enc)'!$B$2:$B$62,C2019,'[1]Brand Family Territories (Enc)'!$C$2:$C$62,"Morri")&gt;0),"Unk",0))</f>
        <v>1</v>
      </c>
      <c r="E2019" s="2" t="str">
        <f>IFERROR(INDEX('Blackout Brand Fam Areas (Enc)'!$D$6:$D$998,MATCH(UPPER(A2019)&amp;"|"&amp;UPPER(B2019),'Blackout Brand Fam Areas (Enc)'!$G$6:$G$998,0)),"No Match")</f>
        <v>No Match</v>
      </c>
      <c r="F2019" s="2" t="str">
        <f t="shared" si="62"/>
        <v>US</v>
      </c>
      <c r="G2019" s="2" t="str">
        <f t="shared" si="63"/>
        <v>Monte Xanic|MORRIS 1</v>
      </c>
    </row>
    <row r="2020" spans="1:7" x14ac:dyDescent="0.2">
      <c r="A2020" s="2" t="str" cm="1">
        <f t="array" ref="A2020">INDEX('[1]Brand Family Territory (Enc)'!$A$2:$A$296,INT((ROW()-2)/10)+1)</f>
        <v>Monte Xanic</v>
      </c>
      <c r="B2020" s="2" t="str" cm="1">
        <f t="array" ref="B2020">INDEX('Whitelist (Blackout Reverse)'!$B$1:$K$1,MOD(ROW()-2,10)+1)</f>
        <v>MORRIS 2</v>
      </c>
      <c r="C2020" s="2" t="str">
        <f>VLOOKUP(A2020,'[1]Brand Family Territory (Enc)'!$A$2:$B$296,2,FALSE)</f>
        <v>All Counties</v>
      </c>
      <c r="D2020" s="2">
        <f>IF(COUNTIFS('[1]Brand Family Territories (Enc)'!$B$2:$B$62,C2020,'[1]Brand Family Territories (Enc)'!$C$2:$C$62,B2020)&gt;0,1,IF(AND(LEFT(B2020,6)="MORRIS",COUNTIFS('[1]Brand Family Territories (Enc)'!$B$2:$B$62,C2020,'[1]Brand Family Territories (Enc)'!$C$2:$C$62,"Morri")&gt;0),"Unk",0))</f>
        <v>1</v>
      </c>
      <c r="E2020" s="2" t="str">
        <f>IFERROR(INDEX('Blackout Brand Fam Areas (Enc)'!$D$6:$D$998,MATCH(UPPER(A2020)&amp;"|"&amp;UPPER(B2020),'Blackout Brand Fam Areas (Enc)'!$G$6:$G$998,0)),"No Match")</f>
        <v>No Match</v>
      </c>
      <c r="F2020" s="2" t="str">
        <f t="shared" si="62"/>
        <v>US</v>
      </c>
      <c r="G2020" s="2" t="str">
        <f t="shared" si="63"/>
        <v>Monte Xanic|MORRIS 2</v>
      </c>
    </row>
    <row r="2021" spans="1:7" x14ac:dyDescent="0.2">
      <c r="A2021" s="2" t="str" cm="1">
        <f t="array" ref="A2021">INDEX('[1]Brand Family Territory (Enc)'!$A$2:$A$296,INT((ROW()-2)/10)+1)</f>
        <v>Monte Xanic</v>
      </c>
      <c r="B2021" s="2" t="str" cm="1">
        <f t="array" ref="B2021">INDEX('Whitelist (Blackout Reverse)'!$B$1:$K$1,MOD(ROW()-2,10)+1)</f>
        <v>MORRIS 3</v>
      </c>
      <c r="C2021" s="2" t="str">
        <f>VLOOKUP(A2021,'[1]Brand Family Territory (Enc)'!$A$2:$B$296,2,FALSE)</f>
        <v>All Counties</v>
      </c>
      <c r="D2021" s="2">
        <f>IF(COUNTIFS('[1]Brand Family Territories (Enc)'!$B$2:$B$62,C2021,'[1]Brand Family Territories (Enc)'!$C$2:$C$62,B2021)&gt;0,1,IF(AND(LEFT(B2021,6)="MORRIS",COUNTIFS('[1]Brand Family Territories (Enc)'!$B$2:$B$62,C2021,'[1]Brand Family Territories (Enc)'!$C$2:$C$62,"Morri")&gt;0),"Unk",0))</f>
        <v>1</v>
      </c>
      <c r="E2021" s="2" t="str">
        <f>IFERROR(INDEX('Blackout Brand Fam Areas (Enc)'!$D$6:$D$998,MATCH(UPPER(A2021)&amp;"|"&amp;UPPER(B2021),'Blackout Brand Fam Areas (Enc)'!$G$6:$G$998,0)),"No Match")</f>
        <v>No Match</v>
      </c>
      <c r="F2021" s="2" t="str">
        <f t="shared" si="62"/>
        <v>US</v>
      </c>
      <c r="G2021" s="2" t="str">
        <f t="shared" si="63"/>
        <v>Monte Xanic|MORRIS 3</v>
      </c>
    </row>
    <row r="2022" spans="1:7" x14ac:dyDescent="0.2">
      <c r="A2022" s="2" t="str" cm="1">
        <f t="array" ref="A2022">INDEX('[1]Brand Family Territory (Enc)'!$A$2:$A$296,INT((ROW()-2)/10)+1)</f>
        <v>Mythos</v>
      </c>
      <c r="B2022" s="2" t="str" cm="1">
        <f t="array" ref="B2022">INDEX('Whitelist (Blackout Reverse)'!$B$1:$K$1,MOD(ROW()-2,10)+1)</f>
        <v>BERGEN</v>
      </c>
      <c r="C2022" s="2" t="str">
        <f>VLOOKUP(A2022,'[1]Brand Family Territory (Enc)'!$A$2:$B$296,2,FALSE)</f>
        <v>All Counties</v>
      </c>
      <c r="D2022" s="2">
        <f>IF(COUNTIFS('[1]Brand Family Territories (Enc)'!$B$2:$B$62,C2022,'[1]Brand Family Territories (Enc)'!$C$2:$C$62,B2022)&gt;0,1,IF(AND(LEFT(B2022,6)="MORRIS",COUNTIFS('[1]Brand Family Territories (Enc)'!$B$2:$B$62,C2022,'[1]Brand Family Territories (Enc)'!$C$2:$C$62,"Morri")&gt;0),"Unk",0))</f>
        <v>1</v>
      </c>
      <c r="E2022" s="2" t="str">
        <f>IFERROR(INDEX('Blackout Brand Fam Areas (Enc)'!$D$6:$D$998,MATCH(UPPER(A2022)&amp;"|"&amp;UPPER(B2022),'Blackout Brand Fam Areas (Enc)'!$G$6:$G$998,0)),"No Match")</f>
        <v>No Match</v>
      </c>
      <c r="F2022" s="2" t="str">
        <f t="shared" si="62"/>
        <v>US</v>
      </c>
      <c r="G2022" s="2" t="str">
        <f t="shared" si="63"/>
        <v>Mythos|BERGEN</v>
      </c>
    </row>
    <row r="2023" spans="1:7" x14ac:dyDescent="0.2">
      <c r="A2023" s="2" t="str" cm="1">
        <f t="array" ref="A2023">INDEX('[1]Brand Family Territory (Enc)'!$A$2:$A$296,INT((ROW()-2)/10)+1)</f>
        <v>Mythos</v>
      </c>
      <c r="B2023" s="2" t="str" cm="1">
        <f t="array" ref="B2023">INDEX('Whitelist (Blackout Reverse)'!$B$1:$K$1,MOD(ROW()-2,10)+1)</f>
        <v>PASSAIC</v>
      </c>
      <c r="C2023" s="2" t="str">
        <f>VLOOKUP(A2023,'[1]Brand Family Territory (Enc)'!$A$2:$B$296,2,FALSE)</f>
        <v>All Counties</v>
      </c>
      <c r="D2023" s="2">
        <f>IF(COUNTIFS('[1]Brand Family Territories (Enc)'!$B$2:$B$62,C2023,'[1]Brand Family Territories (Enc)'!$C$2:$C$62,B2023)&gt;0,1,IF(AND(LEFT(B2023,6)="MORRIS",COUNTIFS('[1]Brand Family Territories (Enc)'!$B$2:$B$62,C2023,'[1]Brand Family Territories (Enc)'!$C$2:$C$62,"Morri")&gt;0),"Unk",0))</f>
        <v>1</v>
      </c>
      <c r="E2023" s="2" t="str">
        <f>IFERROR(INDEX('Blackout Brand Fam Areas (Enc)'!$D$6:$D$998,MATCH(UPPER(A2023)&amp;"|"&amp;UPPER(B2023),'Blackout Brand Fam Areas (Enc)'!$G$6:$G$998,0)),"No Match")</f>
        <v>No Match</v>
      </c>
      <c r="F2023" s="2" t="str">
        <f t="shared" si="62"/>
        <v>US</v>
      </c>
      <c r="G2023" s="2" t="str">
        <f t="shared" si="63"/>
        <v>Mythos|PASSAIC</v>
      </c>
    </row>
    <row r="2024" spans="1:7" x14ac:dyDescent="0.2">
      <c r="A2024" s="2" t="str" cm="1">
        <f t="array" ref="A2024">INDEX('[1]Brand Family Territory (Enc)'!$A$2:$A$296,INT((ROW()-2)/10)+1)</f>
        <v>Mythos</v>
      </c>
      <c r="B2024" s="2" t="str" cm="1">
        <f t="array" ref="B2024">INDEX('Whitelist (Blackout Reverse)'!$B$1:$K$1,MOD(ROW()-2,10)+1)</f>
        <v>PASSAIC-FF</v>
      </c>
      <c r="C2024" s="2" t="str">
        <f>VLOOKUP(A2024,'[1]Brand Family Territory (Enc)'!$A$2:$B$296,2,FALSE)</f>
        <v>All Counties</v>
      </c>
      <c r="D2024" s="2">
        <f>IF(COUNTIFS('[1]Brand Family Territories (Enc)'!$B$2:$B$62,C2024,'[1]Brand Family Territories (Enc)'!$C$2:$C$62,B2024)&gt;0,1,IF(AND(LEFT(B2024,6)="MORRIS",COUNTIFS('[1]Brand Family Territories (Enc)'!$B$2:$B$62,C2024,'[1]Brand Family Territories (Enc)'!$C$2:$C$62,"Morri")&gt;0),"Unk",0))</f>
        <v>1</v>
      </c>
      <c r="E2024" s="2" t="str">
        <f>IFERROR(INDEX('Blackout Brand Fam Areas (Enc)'!$D$6:$D$998,MATCH(UPPER(A2024)&amp;"|"&amp;UPPER(B2024),'Blackout Brand Fam Areas (Enc)'!$G$6:$G$998,0)),"No Match")</f>
        <v>No Match</v>
      </c>
      <c r="F2024" s="2" t="str">
        <f t="shared" si="62"/>
        <v>US</v>
      </c>
      <c r="G2024" s="2" t="str">
        <f t="shared" si="63"/>
        <v>Mythos|PASSAIC-FF</v>
      </c>
    </row>
    <row r="2025" spans="1:7" x14ac:dyDescent="0.2">
      <c r="A2025" s="2" t="str" cm="1">
        <f t="array" ref="A2025">INDEX('[1]Brand Family Territory (Enc)'!$A$2:$A$296,INT((ROW()-2)/10)+1)</f>
        <v>Mythos</v>
      </c>
      <c r="B2025" s="2" t="str" cm="1">
        <f t="array" ref="B2025">INDEX('Whitelist (Blackout Reverse)'!$B$1:$K$1,MOD(ROW()-2,10)+1)</f>
        <v>ESSEX</v>
      </c>
      <c r="C2025" s="2" t="str">
        <f>VLOOKUP(A2025,'[1]Brand Family Territory (Enc)'!$A$2:$B$296,2,FALSE)</f>
        <v>All Counties</v>
      </c>
      <c r="D2025" s="2">
        <f>IF(COUNTIFS('[1]Brand Family Territories (Enc)'!$B$2:$B$62,C2025,'[1]Brand Family Territories (Enc)'!$C$2:$C$62,B2025)&gt;0,1,IF(AND(LEFT(B2025,6)="MORRIS",COUNTIFS('[1]Brand Family Territories (Enc)'!$B$2:$B$62,C2025,'[1]Brand Family Territories (Enc)'!$C$2:$C$62,"Morri")&gt;0),"Unk",0))</f>
        <v>1</v>
      </c>
      <c r="E2025" s="2" t="str">
        <f>IFERROR(INDEX('Blackout Brand Fam Areas (Enc)'!$D$6:$D$998,MATCH(UPPER(A2025)&amp;"|"&amp;UPPER(B2025),'Blackout Brand Fam Areas (Enc)'!$G$6:$G$998,0)),"No Match")</f>
        <v>No Match</v>
      </c>
      <c r="F2025" s="2" t="str">
        <f t="shared" si="62"/>
        <v>US</v>
      </c>
      <c r="G2025" s="2" t="str">
        <f t="shared" si="63"/>
        <v>Mythos|ESSEX</v>
      </c>
    </row>
    <row r="2026" spans="1:7" x14ac:dyDescent="0.2">
      <c r="A2026" s="2" t="str" cm="1">
        <f t="array" ref="A2026">INDEX('[1]Brand Family Territory (Enc)'!$A$2:$A$296,INT((ROW()-2)/10)+1)</f>
        <v>Mythos</v>
      </c>
      <c r="B2026" s="2" t="str" cm="1">
        <f t="array" ref="B2026">INDEX('Whitelist (Blackout Reverse)'!$B$1:$K$1,MOD(ROW()-2,10)+1)</f>
        <v>HUDSON</v>
      </c>
      <c r="C2026" s="2" t="str">
        <f>VLOOKUP(A2026,'[1]Brand Family Territory (Enc)'!$A$2:$B$296,2,FALSE)</f>
        <v>All Counties</v>
      </c>
      <c r="D2026" s="2">
        <f>IF(COUNTIFS('[1]Brand Family Territories (Enc)'!$B$2:$B$62,C2026,'[1]Brand Family Territories (Enc)'!$C$2:$C$62,B2026)&gt;0,1,IF(AND(LEFT(B2026,6)="MORRIS",COUNTIFS('[1]Brand Family Territories (Enc)'!$B$2:$B$62,C2026,'[1]Brand Family Territories (Enc)'!$C$2:$C$62,"Morri")&gt;0),"Unk",0))</f>
        <v>1</v>
      </c>
      <c r="E2026" s="2" t="str">
        <f>IFERROR(INDEX('Blackout Brand Fam Areas (Enc)'!$D$6:$D$998,MATCH(UPPER(A2026)&amp;"|"&amp;UPPER(B2026),'Blackout Brand Fam Areas (Enc)'!$G$6:$G$998,0)),"No Match")</f>
        <v>No Match</v>
      </c>
      <c r="F2026" s="2" t="str">
        <f t="shared" si="62"/>
        <v>US</v>
      </c>
      <c r="G2026" s="2" t="str">
        <f t="shared" si="63"/>
        <v>Mythos|HUDSON</v>
      </c>
    </row>
    <row r="2027" spans="1:7" x14ac:dyDescent="0.2">
      <c r="A2027" s="2" t="str" cm="1">
        <f t="array" ref="A2027">INDEX('[1]Brand Family Territory (Enc)'!$A$2:$A$296,INT((ROW()-2)/10)+1)</f>
        <v>Mythos</v>
      </c>
      <c r="B2027" s="2" t="str" cm="1">
        <f t="array" ref="B2027">INDEX('Whitelist (Blackout Reverse)'!$B$1:$K$1,MOD(ROW()-2,10)+1)</f>
        <v>UNION</v>
      </c>
      <c r="C2027" s="2" t="str">
        <f>VLOOKUP(A2027,'[1]Brand Family Territory (Enc)'!$A$2:$B$296,2,FALSE)</f>
        <v>All Counties</v>
      </c>
      <c r="D2027" s="2">
        <f>IF(COUNTIFS('[1]Brand Family Territories (Enc)'!$B$2:$B$62,C2027,'[1]Brand Family Territories (Enc)'!$C$2:$C$62,B2027)&gt;0,1,IF(AND(LEFT(B2027,6)="MORRIS",COUNTIFS('[1]Brand Family Territories (Enc)'!$B$2:$B$62,C2027,'[1]Brand Family Territories (Enc)'!$C$2:$C$62,"Morri")&gt;0),"Unk",0))</f>
        <v>1</v>
      </c>
      <c r="E2027" s="2" t="str">
        <f>IFERROR(INDEX('Blackout Brand Fam Areas (Enc)'!$D$6:$D$998,MATCH(UPPER(A2027)&amp;"|"&amp;UPPER(B2027),'Blackout Brand Fam Areas (Enc)'!$G$6:$G$998,0)),"No Match")</f>
        <v>No Match</v>
      </c>
      <c r="F2027" s="2" t="str">
        <f t="shared" si="62"/>
        <v>US</v>
      </c>
      <c r="G2027" s="2" t="str">
        <f t="shared" si="63"/>
        <v>Mythos|UNION</v>
      </c>
    </row>
    <row r="2028" spans="1:7" x14ac:dyDescent="0.2">
      <c r="A2028" s="2" t="str" cm="1">
        <f t="array" ref="A2028">INDEX('[1]Brand Family Territory (Enc)'!$A$2:$A$296,INT((ROW()-2)/10)+1)</f>
        <v>Mythos</v>
      </c>
      <c r="B2028" s="2" t="str" cm="1">
        <f t="array" ref="B2028">INDEX('Whitelist (Blackout Reverse)'!$B$1:$K$1,MOD(ROW()-2,10)+1)</f>
        <v>SUSSEX</v>
      </c>
      <c r="C2028" s="2" t="str">
        <f>VLOOKUP(A2028,'[1]Brand Family Territory (Enc)'!$A$2:$B$296,2,FALSE)</f>
        <v>All Counties</v>
      </c>
      <c r="D2028" s="2">
        <f>IF(COUNTIFS('[1]Brand Family Territories (Enc)'!$B$2:$B$62,C2028,'[1]Brand Family Territories (Enc)'!$C$2:$C$62,B2028)&gt;0,1,IF(AND(LEFT(B2028,6)="MORRIS",COUNTIFS('[1]Brand Family Territories (Enc)'!$B$2:$B$62,C2028,'[1]Brand Family Territories (Enc)'!$C$2:$C$62,"Morri")&gt;0),"Unk",0))</f>
        <v>1</v>
      </c>
      <c r="E2028" s="2" t="str">
        <f>IFERROR(INDEX('Blackout Brand Fam Areas (Enc)'!$D$6:$D$998,MATCH(UPPER(A2028)&amp;"|"&amp;UPPER(B2028),'Blackout Brand Fam Areas (Enc)'!$G$6:$G$998,0)),"No Match")</f>
        <v>No Match</v>
      </c>
      <c r="F2028" s="2" t="str">
        <f t="shared" si="62"/>
        <v>US</v>
      </c>
      <c r="G2028" s="2" t="str">
        <f t="shared" si="63"/>
        <v>Mythos|SUSSEX</v>
      </c>
    </row>
    <row r="2029" spans="1:7" x14ac:dyDescent="0.2">
      <c r="A2029" s="2" t="str" cm="1">
        <f t="array" ref="A2029">INDEX('[1]Brand Family Territory (Enc)'!$A$2:$A$296,INT((ROW()-2)/10)+1)</f>
        <v>Mythos</v>
      </c>
      <c r="B2029" s="2" t="str" cm="1">
        <f t="array" ref="B2029">INDEX('Whitelist (Blackout Reverse)'!$B$1:$K$1,MOD(ROW()-2,10)+1)</f>
        <v>MORRIS 1</v>
      </c>
      <c r="C2029" s="2" t="str">
        <f>VLOOKUP(A2029,'[1]Brand Family Territory (Enc)'!$A$2:$B$296,2,FALSE)</f>
        <v>All Counties</v>
      </c>
      <c r="D2029" s="2">
        <f>IF(COUNTIFS('[1]Brand Family Territories (Enc)'!$B$2:$B$62,C2029,'[1]Brand Family Territories (Enc)'!$C$2:$C$62,B2029)&gt;0,1,IF(AND(LEFT(B2029,6)="MORRIS",COUNTIFS('[1]Brand Family Territories (Enc)'!$B$2:$B$62,C2029,'[1]Brand Family Territories (Enc)'!$C$2:$C$62,"Morri")&gt;0),"Unk",0))</f>
        <v>1</v>
      </c>
      <c r="E2029" s="2" t="str">
        <f>IFERROR(INDEX('Blackout Brand Fam Areas (Enc)'!$D$6:$D$998,MATCH(UPPER(A2029)&amp;"|"&amp;UPPER(B2029),'Blackout Brand Fam Areas (Enc)'!$G$6:$G$998,0)),"No Match")</f>
        <v>No Match</v>
      </c>
      <c r="F2029" s="2" t="str">
        <f t="shared" si="62"/>
        <v>US</v>
      </c>
      <c r="G2029" s="2" t="str">
        <f t="shared" si="63"/>
        <v>Mythos|MORRIS 1</v>
      </c>
    </row>
    <row r="2030" spans="1:7" x14ac:dyDescent="0.2">
      <c r="A2030" s="2" t="str" cm="1">
        <f t="array" ref="A2030">INDEX('[1]Brand Family Territory (Enc)'!$A$2:$A$296,INT((ROW()-2)/10)+1)</f>
        <v>Mythos</v>
      </c>
      <c r="B2030" s="2" t="str" cm="1">
        <f t="array" ref="B2030">INDEX('Whitelist (Blackout Reverse)'!$B$1:$K$1,MOD(ROW()-2,10)+1)</f>
        <v>MORRIS 2</v>
      </c>
      <c r="C2030" s="2" t="str">
        <f>VLOOKUP(A2030,'[1]Brand Family Territory (Enc)'!$A$2:$B$296,2,FALSE)</f>
        <v>All Counties</v>
      </c>
      <c r="D2030" s="2">
        <f>IF(COUNTIFS('[1]Brand Family Territories (Enc)'!$B$2:$B$62,C2030,'[1]Brand Family Territories (Enc)'!$C$2:$C$62,B2030)&gt;0,1,IF(AND(LEFT(B2030,6)="MORRIS",COUNTIFS('[1]Brand Family Territories (Enc)'!$B$2:$B$62,C2030,'[1]Brand Family Territories (Enc)'!$C$2:$C$62,"Morri")&gt;0),"Unk",0))</f>
        <v>1</v>
      </c>
      <c r="E2030" s="2" t="str">
        <f>IFERROR(INDEX('Blackout Brand Fam Areas (Enc)'!$D$6:$D$998,MATCH(UPPER(A2030)&amp;"|"&amp;UPPER(B2030),'Blackout Brand Fam Areas (Enc)'!$G$6:$G$998,0)),"No Match")</f>
        <v>No Match</v>
      </c>
      <c r="F2030" s="2" t="str">
        <f t="shared" si="62"/>
        <v>US</v>
      </c>
      <c r="G2030" s="2" t="str">
        <f t="shared" si="63"/>
        <v>Mythos|MORRIS 2</v>
      </c>
    </row>
    <row r="2031" spans="1:7" x14ac:dyDescent="0.2">
      <c r="A2031" s="2" t="str" cm="1">
        <f t="array" ref="A2031">INDEX('[1]Brand Family Territory (Enc)'!$A$2:$A$296,INT((ROW()-2)/10)+1)</f>
        <v>Mythos</v>
      </c>
      <c r="B2031" s="2" t="str" cm="1">
        <f t="array" ref="B2031">INDEX('Whitelist (Blackout Reverse)'!$B$1:$K$1,MOD(ROW()-2,10)+1)</f>
        <v>MORRIS 3</v>
      </c>
      <c r="C2031" s="2" t="str">
        <f>VLOOKUP(A2031,'[1]Brand Family Territory (Enc)'!$A$2:$B$296,2,FALSE)</f>
        <v>All Counties</v>
      </c>
      <c r="D2031" s="2">
        <f>IF(COUNTIFS('[1]Brand Family Territories (Enc)'!$B$2:$B$62,C2031,'[1]Brand Family Territories (Enc)'!$C$2:$C$62,B2031)&gt;0,1,IF(AND(LEFT(B2031,6)="MORRIS",COUNTIFS('[1]Brand Family Territories (Enc)'!$B$2:$B$62,C2031,'[1]Brand Family Territories (Enc)'!$C$2:$C$62,"Morri")&gt;0),"Unk",0))</f>
        <v>1</v>
      </c>
      <c r="E2031" s="2" t="str">
        <f>IFERROR(INDEX('Blackout Brand Fam Areas (Enc)'!$D$6:$D$998,MATCH(UPPER(A2031)&amp;"|"&amp;UPPER(B2031),'Blackout Brand Fam Areas (Enc)'!$G$6:$G$998,0)),"No Match")</f>
        <v>No Match</v>
      </c>
      <c r="F2031" s="2" t="str">
        <f t="shared" si="62"/>
        <v>US</v>
      </c>
      <c r="G2031" s="2" t="str">
        <f t="shared" si="63"/>
        <v>Mythos|MORRIS 3</v>
      </c>
    </row>
    <row r="2032" spans="1:7" x14ac:dyDescent="0.2">
      <c r="A2032" s="2" t="str" cm="1">
        <f t="array" ref="A2032">INDEX('[1]Brand Family Territory (Enc)'!$A$2:$A$296,INT((ROW()-2)/10)+1)</f>
        <v>New Holland Brewing Co</v>
      </c>
      <c r="B2032" s="2" t="str" cm="1">
        <f t="array" ref="B2032">INDEX('Whitelist (Blackout Reverse)'!$B$1:$K$1,MOD(ROW()-2,10)+1)</f>
        <v>BERGEN</v>
      </c>
      <c r="C2032" s="2" t="str">
        <f>VLOOKUP(A2032,'[1]Brand Family Territory (Enc)'!$A$2:$B$296,2,FALSE)</f>
        <v>All Counties</v>
      </c>
      <c r="D2032" s="2">
        <f>IF(COUNTIFS('[1]Brand Family Territories (Enc)'!$B$2:$B$62,C2032,'[1]Brand Family Territories (Enc)'!$C$2:$C$62,B2032)&gt;0,1,IF(AND(LEFT(B2032,6)="MORRIS",COUNTIFS('[1]Brand Family Territories (Enc)'!$B$2:$B$62,C2032,'[1]Brand Family Territories (Enc)'!$C$2:$C$62,"Morri")&gt;0),"Unk",0))</f>
        <v>1</v>
      </c>
      <c r="E2032" s="2" t="str">
        <f>IFERROR(INDEX('Blackout Brand Fam Areas (Enc)'!$D$6:$D$998,MATCH(UPPER(A2032)&amp;"|"&amp;UPPER(B2032),'Blackout Brand Fam Areas (Enc)'!$G$6:$G$998,0)),"No Match")</f>
        <v>No Match</v>
      </c>
      <c r="F2032" s="2" t="str">
        <f t="shared" si="62"/>
        <v>US</v>
      </c>
      <c r="G2032" s="2" t="str">
        <f t="shared" si="63"/>
        <v>New Holland Brewing Co|BERGEN</v>
      </c>
    </row>
    <row r="2033" spans="1:7" x14ac:dyDescent="0.2">
      <c r="A2033" s="2" t="str" cm="1">
        <f t="array" ref="A2033">INDEX('[1]Brand Family Territory (Enc)'!$A$2:$A$296,INT((ROW()-2)/10)+1)</f>
        <v>New Holland Brewing Co</v>
      </c>
      <c r="B2033" s="2" t="str" cm="1">
        <f t="array" ref="B2033">INDEX('Whitelist (Blackout Reverse)'!$B$1:$K$1,MOD(ROW()-2,10)+1)</f>
        <v>PASSAIC</v>
      </c>
      <c r="C2033" s="2" t="str">
        <f>VLOOKUP(A2033,'[1]Brand Family Territory (Enc)'!$A$2:$B$296,2,FALSE)</f>
        <v>All Counties</v>
      </c>
      <c r="D2033" s="2">
        <f>IF(COUNTIFS('[1]Brand Family Territories (Enc)'!$B$2:$B$62,C2033,'[1]Brand Family Territories (Enc)'!$C$2:$C$62,B2033)&gt;0,1,IF(AND(LEFT(B2033,6)="MORRIS",COUNTIFS('[1]Brand Family Territories (Enc)'!$B$2:$B$62,C2033,'[1]Brand Family Territories (Enc)'!$C$2:$C$62,"Morri")&gt;0),"Unk",0))</f>
        <v>1</v>
      </c>
      <c r="E2033" s="2" t="str">
        <f>IFERROR(INDEX('Blackout Brand Fam Areas (Enc)'!$D$6:$D$998,MATCH(UPPER(A2033)&amp;"|"&amp;UPPER(B2033),'Blackout Brand Fam Areas (Enc)'!$G$6:$G$998,0)),"No Match")</f>
        <v>No Match</v>
      </c>
      <c r="F2033" s="2" t="str">
        <f t="shared" si="62"/>
        <v>US</v>
      </c>
      <c r="G2033" s="2" t="str">
        <f t="shared" si="63"/>
        <v>New Holland Brewing Co|PASSAIC</v>
      </c>
    </row>
    <row r="2034" spans="1:7" x14ac:dyDescent="0.2">
      <c r="A2034" s="2" t="str" cm="1">
        <f t="array" ref="A2034">INDEX('[1]Brand Family Territory (Enc)'!$A$2:$A$296,INT((ROW()-2)/10)+1)</f>
        <v>New Holland Brewing Co</v>
      </c>
      <c r="B2034" s="2" t="str" cm="1">
        <f t="array" ref="B2034">INDEX('Whitelist (Blackout Reverse)'!$B$1:$K$1,MOD(ROW()-2,10)+1)</f>
        <v>PASSAIC-FF</v>
      </c>
      <c r="C2034" s="2" t="str">
        <f>VLOOKUP(A2034,'[1]Brand Family Territory (Enc)'!$A$2:$B$296,2,FALSE)</f>
        <v>All Counties</v>
      </c>
      <c r="D2034" s="2">
        <f>IF(COUNTIFS('[1]Brand Family Territories (Enc)'!$B$2:$B$62,C2034,'[1]Brand Family Territories (Enc)'!$C$2:$C$62,B2034)&gt;0,1,IF(AND(LEFT(B2034,6)="MORRIS",COUNTIFS('[1]Brand Family Territories (Enc)'!$B$2:$B$62,C2034,'[1]Brand Family Territories (Enc)'!$C$2:$C$62,"Morri")&gt;0),"Unk",0))</f>
        <v>1</v>
      </c>
      <c r="E2034" s="2" t="str">
        <f>IFERROR(INDEX('Blackout Brand Fam Areas (Enc)'!$D$6:$D$998,MATCH(UPPER(A2034)&amp;"|"&amp;UPPER(B2034),'Blackout Brand Fam Areas (Enc)'!$G$6:$G$998,0)),"No Match")</f>
        <v>No Match</v>
      </c>
      <c r="F2034" s="2" t="str">
        <f t="shared" si="62"/>
        <v>US</v>
      </c>
      <c r="G2034" s="2" t="str">
        <f t="shared" si="63"/>
        <v>New Holland Brewing Co|PASSAIC-FF</v>
      </c>
    </row>
    <row r="2035" spans="1:7" x14ac:dyDescent="0.2">
      <c r="A2035" s="2" t="str" cm="1">
        <f t="array" ref="A2035">INDEX('[1]Brand Family Territory (Enc)'!$A$2:$A$296,INT((ROW()-2)/10)+1)</f>
        <v>New Holland Brewing Co</v>
      </c>
      <c r="B2035" s="2" t="str" cm="1">
        <f t="array" ref="B2035">INDEX('Whitelist (Blackout Reverse)'!$B$1:$K$1,MOD(ROW()-2,10)+1)</f>
        <v>ESSEX</v>
      </c>
      <c r="C2035" s="2" t="str">
        <f>VLOOKUP(A2035,'[1]Brand Family Territory (Enc)'!$A$2:$B$296,2,FALSE)</f>
        <v>All Counties</v>
      </c>
      <c r="D2035" s="2">
        <f>IF(COUNTIFS('[1]Brand Family Territories (Enc)'!$B$2:$B$62,C2035,'[1]Brand Family Territories (Enc)'!$C$2:$C$62,B2035)&gt;0,1,IF(AND(LEFT(B2035,6)="MORRIS",COUNTIFS('[1]Brand Family Territories (Enc)'!$B$2:$B$62,C2035,'[1]Brand Family Territories (Enc)'!$C$2:$C$62,"Morri")&gt;0),"Unk",0))</f>
        <v>1</v>
      </c>
      <c r="E2035" s="2" t="str">
        <f>IFERROR(INDEX('Blackout Brand Fam Areas (Enc)'!$D$6:$D$998,MATCH(UPPER(A2035)&amp;"|"&amp;UPPER(B2035),'Blackout Brand Fam Areas (Enc)'!$G$6:$G$998,0)),"No Match")</f>
        <v>No Match</v>
      </c>
      <c r="F2035" s="2" t="str">
        <f t="shared" si="62"/>
        <v>US</v>
      </c>
      <c r="G2035" s="2" t="str">
        <f t="shared" si="63"/>
        <v>New Holland Brewing Co|ESSEX</v>
      </c>
    </row>
    <row r="2036" spans="1:7" x14ac:dyDescent="0.2">
      <c r="A2036" s="2" t="str" cm="1">
        <f t="array" ref="A2036">INDEX('[1]Brand Family Territory (Enc)'!$A$2:$A$296,INT((ROW()-2)/10)+1)</f>
        <v>New Holland Brewing Co</v>
      </c>
      <c r="B2036" s="2" t="str" cm="1">
        <f t="array" ref="B2036">INDEX('Whitelist (Blackout Reverse)'!$B$1:$K$1,MOD(ROW()-2,10)+1)</f>
        <v>HUDSON</v>
      </c>
      <c r="C2036" s="2" t="str">
        <f>VLOOKUP(A2036,'[1]Brand Family Territory (Enc)'!$A$2:$B$296,2,FALSE)</f>
        <v>All Counties</v>
      </c>
      <c r="D2036" s="2">
        <f>IF(COUNTIFS('[1]Brand Family Territories (Enc)'!$B$2:$B$62,C2036,'[1]Brand Family Territories (Enc)'!$C$2:$C$62,B2036)&gt;0,1,IF(AND(LEFT(B2036,6)="MORRIS",COUNTIFS('[1]Brand Family Territories (Enc)'!$B$2:$B$62,C2036,'[1]Brand Family Territories (Enc)'!$C$2:$C$62,"Morri")&gt;0),"Unk",0))</f>
        <v>1</v>
      </c>
      <c r="E2036" s="2" t="str">
        <f>IFERROR(INDEX('Blackout Brand Fam Areas (Enc)'!$D$6:$D$998,MATCH(UPPER(A2036)&amp;"|"&amp;UPPER(B2036),'Blackout Brand Fam Areas (Enc)'!$G$6:$G$998,0)),"No Match")</f>
        <v>No Match</v>
      </c>
      <c r="F2036" s="2" t="str">
        <f t="shared" si="62"/>
        <v>US</v>
      </c>
      <c r="G2036" s="2" t="str">
        <f t="shared" si="63"/>
        <v>New Holland Brewing Co|HUDSON</v>
      </c>
    </row>
    <row r="2037" spans="1:7" x14ac:dyDescent="0.2">
      <c r="A2037" s="2" t="str" cm="1">
        <f t="array" ref="A2037">INDEX('[1]Brand Family Territory (Enc)'!$A$2:$A$296,INT((ROW()-2)/10)+1)</f>
        <v>New Holland Brewing Co</v>
      </c>
      <c r="B2037" s="2" t="str" cm="1">
        <f t="array" ref="B2037">INDEX('Whitelist (Blackout Reverse)'!$B$1:$K$1,MOD(ROW()-2,10)+1)</f>
        <v>UNION</v>
      </c>
      <c r="C2037" s="2" t="str">
        <f>VLOOKUP(A2037,'[1]Brand Family Territory (Enc)'!$A$2:$B$296,2,FALSE)</f>
        <v>All Counties</v>
      </c>
      <c r="D2037" s="2">
        <f>IF(COUNTIFS('[1]Brand Family Territories (Enc)'!$B$2:$B$62,C2037,'[1]Brand Family Territories (Enc)'!$C$2:$C$62,B2037)&gt;0,1,IF(AND(LEFT(B2037,6)="MORRIS",COUNTIFS('[1]Brand Family Territories (Enc)'!$B$2:$B$62,C2037,'[1]Brand Family Territories (Enc)'!$C$2:$C$62,"Morri")&gt;0),"Unk",0))</f>
        <v>1</v>
      </c>
      <c r="E2037" s="2" t="str">
        <f>IFERROR(INDEX('Blackout Brand Fam Areas (Enc)'!$D$6:$D$998,MATCH(UPPER(A2037)&amp;"|"&amp;UPPER(B2037),'Blackout Brand Fam Areas (Enc)'!$G$6:$G$998,0)),"No Match")</f>
        <v>No Match</v>
      </c>
      <c r="F2037" s="2" t="str">
        <f t="shared" si="62"/>
        <v>US</v>
      </c>
      <c r="G2037" s="2" t="str">
        <f t="shared" si="63"/>
        <v>New Holland Brewing Co|UNION</v>
      </c>
    </row>
    <row r="2038" spans="1:7" x14ac:dyDescent="0.2">
      <c r="A2038" s="2" t="str" cm="1">
        <f t="array" ref="A2038">INDEX('[1]Brand Family Territory (Enc)'!$A$2:$A$296,INT((ROW()-2)/10)+1)</f>
        <v>New Holland Brewing Co</v>
      </c>
      <c r="B2038" s="2" t="str" cm="1">
        <f t="array" ref="B2038">INDEX('Whitelist (Blackout Reverse)'!$B$1:$K$1,MOD(ROW()-2,10)+1)</f>
        <v>SUSSEX</v>
      </c>
      <c r="C2038" s="2" t="str">
        <f>VLOOKUP(A2038,'[1]Brand Family Territory (Enc)'!$A$2:$B$296,2,FALSE)</f>
        <v>All Counties</v>
      </c>
      <c r="D2038" s="2">
        <f>IF(COUNTIFS('[1]Brand Family Territories (Enc)'!$B$2:$B$62,C2038,'[1]Brand Family Territories (Enc)'!$C$2:$C$62,B2038)&gt;0,1,IF(AND(LEFT(B2038,6)="MORRIS",COUNTIFS('[1]Brand Family Territories (Enc)'!$B$2:$B$62,C2038,'[1]Brand Family Territories (Enc)'!$C$2:$C$62,"Morri")&gt;0),"Unk",0))</f>
        <v>1</v>
      </c>
      <c r="E2038" s="2" t="str">
        <f>IFERROR(INDEX('Blackout Brand Fam Areas (Enc)'!$D$6:$D$998,MATCH(UPPER(A2038)&amp;"|"&amp;UPPER(B2038),'Blackout Brand Fam Areas (Enc)'!$G$6:$G$998,0)),"No Match")</f>
        <v>No Match</v>
      </c>
      <c r="F2038" s="2" t="str">
        <f t="shared" si="62"/>
        <v>US</v>
      </c>
      <c r="G2038" s="2" t="str">
        <f t="shared" si="63"/>
        <v>New Holland Brewing Co|SUSSEX</v>
      </c>
    </row>
    <row r="2039" spans="1:7" x14ac:dyDescent="0.2">
      <c r="A2039" s="2" t="str" cm="1">
        <f t="array" ref="A2039">INDEX('[1]Brand Family Territory (Enc)'!$A$2:$A$296,INT((ROW()-2)/10)+1)</f>
        <v>New Holland Brewing Co</v>
      </c>
      <c r="B2039" s="2" t="str" cm="1">
        <f t="array" ref="B2039">INDEX('Whitelist (Blackout Reverse)'!$B$1:$K$1,MOD(ROW()-2,10)+1)</f>
        <v>MORRIS 1</v>
      </c>
      <c r="C2039" s="2" t="str">
        <f>VLOOKUP(A2039,'[1]Brand Family Territory (Enc)'!$A$2:$B$296,2,FALSE)</f>
        <v>All Counties</v>
      </c>
      <c r="D2039" s="2">
        <f>IF(COUNTIFS('[1]Brand Family Territories (Enc)'!$B$2:$B$62,C2039,'[1]Brand Family Territories (Enc)'!$C$2:$C$62,B2039)&gt;0,1,IF(AND(LEFT(B2039,6)="MORRIS",COUNTIFS('[1]Brand Family Territories (Enc)'!$B$2:$B$62,C2039,'[1]Brand Family Territories (Enc)'!$C$2:$C$62,"Morri")&gt;0),"Unk",0))</f>
        <v>1</v>
      </c>
      <c r="E2039" s="2" t="str">
        <f>IFERROR(INDEX('Blackout Brand Fam Areas (Enc)'!$D$6:$D$998,MATCH(UPPER(A2039)&amp;"|"&amp;UPPER(B2039),'Blackout Brand Fam Areas (Enc)'!$G$6:$G$998,0)),"No Match")</f>
        <v>No Match</v>
      </c>
      <c r="F2039" s="2" t="str">
        <f t="shared" si="62"/>
        <v>US</v>
      </c>
      <c r="G2039" s="2" t="str">
        <f t="shared" si="63"/>
        <v>New Holland Brewing Co|MORRIS 1</v>
      </c>
    </row>
    <row r="2040" spans="1:7" x14ac:dyDescent="0.2">
      <c r="A2040" s="2" t="str" cm="1">
        <f t="array" ref="A2040">INDEX('[1]Brand Family Territory (Enc)'!$A$2:$A$296,INT((ROW()-2)/10)+1)</f>
        <v>New Holland Brewing Co</v>
      </c>
      <c r="B2040" s="2" t="str" cm="1">
        <f t="array" ref="B2040">INDEX('Whitelist (Blackout Reverse)'!$B$1:$K$1,MOD(ROW()-2,10)+1)</f>
        <v>MORRIS 2</v>
      </c>
      <c r="C2040" s="2" t="str">
        <f>VLOOKUP(A2040,'[1]Brand Family Territory (Enc)'!$A$2:$B$296,2,FALSE)</f>
        <v>All Counties</v>
      </c>
      <c r="D2040" s="2">
        <f>IF(COUNTIFS('[1]Brand Family Territories (Enc)'!$B$2:$B$62,C2040,'[1]Brand Family Territories (Enc)'!$C$2:$C$62,B2040)&gt;0,1,IF(AND(LEFT(B2040,6)="MORRIS",COUNTIFS('[1]Brand Family Territories (Enc)'!$B$2:$B$62,C2040,'[1]Brand Family Territories (Enc)'!$C$2:$C$62,"Morri")&gt;0),"Unk",0))</f>
        <v>1</v>
      </c>
      <c r="E2040" s="2" t="str">
        <f>IFERROR(INDEX('Blackout Brand Fam Areas (Enc)'!$D$6:$D$998,MATCH(UPPER(A2040)&amp;"|"&amp;UPPER(B2040),'Blackout Brand Fam Areas (Enc)'!$G$6:$G$998,0)),"No Match")</f>
        <v>No Match</v>
      </c>
      <c r="F2040" s="2" t="str">
        <f t="shared" si="62"/>
        <v>US</v>
      </c>
      <c r="G2040" s="2" t="str">
        <f t="shared" si="63"/>
        <v>New Holland Brewing Co|MORRIS 2</v>
      </c>
    </row>
    <row r="2041" spans="1:7" x14ac:dyDescent="0.2">
      <c r="A2041" s="2" t="str" cm="1">
        <f t="array" ref="A2041">INDEX('[1]Brand Family Territory (Enc)'!$A$2:$A$296,INT((ROW()-2)/10)+1)</f>
        <v>New Holland Brewing Co</v>
      </c>
      <c r="B2041" s="2" t="str" cm="1">
        <f t="array" ref="B2041">INDEX('Whitelist (Blackout Reverse)'!$B$1:$K$1,MOD(ROW()-2,10)+1)</f>
        <v>MORRIS 3</v>
      </c>
      <c r="C2041" s="2" t="str">
        <f>VLOOKUP(A2041,'[1]Brand Family Territory (Enc)'!$A$2:$B$296,2,FALSE)</f>
        <v>All Counties</v>
      </c>
      <c r="D2041" s="2">
        <f>IF(COUNTIFS('[1]Brand Family Territories (Enc)'!$B$2:$B$62,C2041,'[1]Brand Family Territories (Enc)'!$C$2:$C$62,B2041)&gt;0,1,IF(AND(LEFT(B2041,6)="MORRIS",COUNTIFS('[1]Brand Family Territories (Enc)'!$B$2:$B$62,C2041,'[1]Brand Family Territories (Enc)'!$C$2:$C$62,"Morri")&gt;0),"Unk",0))</f>
        <v>1</v>
      </c>
      <c r="E2041" s="2" t="str">
        <f>IFERROR(INDEX('Blackout Brand Fam Areas (Enc)'!$D$6:$D$998,MATCH(UPPER(A2041)&amp;"|"&amp;UPPER(B2041),'Blackout Brand Fam Areas (Enc)'!$G$6:$G$998,0)),"No Match")</f>
        <v>No Match</v>
      </c>
      <c r="F2041" s="2" t="str">
        <f t="shared" si="62"/>
        <v>US</v>
      </c>
      <c r="G2041" s="2" t="str">
        <f t="shared" si="63"/>
        <v>New Holland Brewing Co|MORRIS 3</v>
      </c>
    </row>
    <row r="2042" spans="1:7" x14ac:dyDescent="0.2">
      <c r="A2042" s="2" t="str" cm="1">
        <f t="array" ref="A2042">INDEX('[1]Brand Family Territory (Enc)'!$A$2:$A$296,INT((ROW()-2)/10)+1)</f>
        <v>Newburgh</v>
      </c>
      <c r="B2042" s="2" t="str" cm="1">
        <f t="array" ref="B2042">INDEX('Whitelist (Blackout Reverse)'!$B$1:$K$1,MOD(ROW()-2,10)+1)</f>
        <v>BERGEN</v>
      </c>
      <c r="C2042" s="2" t="str">
        <f>VLOOKUP(A2042,'[1]Brand Family Territory (Enc)'!$A$2:$B$296,2,FALSE)</f>
        <v>All Counties</v>
      </c>
      <c r="D2042" s="2">
        <f>IF(COUNTIFS('[1]Brand Family Territories (Enc)'!$B$2:$B$62,C2042,'[1]Brand Family Territories (Enc)'!$C$2:$C$62,B2042)&gt;0,1,IF(AND(LEFT(B2042,6)="MORRIS",COUNTIFS('[1]Brand Family Territories (Enc)'!$B$2:$B$62,C2042,'[1]Brand Family Territories (Enc)'!$C$2:$C$62,"Morri")&gt;0),"Unk",0))</f>
        <v>1</v>
      </c>
      <c r="E2042" s="2" t="str">
        <f>IFERROR(INDEX('Blackout Brand Fam Areas (Enc)'!$D$6:$D$998,MATCH(UPPER(A2042)&amp;"|"&amp;UPPER(B2042),'Blackout Brand Fam Areas (Enc)'!$G$6:$G$998,0)),"No Match")</f>
        <v>No Match</v>
      </c>
      <c r="F2042" s="2" t="str">
        <f t="shared" si="62"/>
        <v>US</v>
      </c>
      <c r="G2042" s="2" t="str">
        <f t="shared" si="63"/>
        <v>Newburgh|BERGEN</v>
      </c>
    </row>
    <row r="2043" spans="1:7" x14ac:dyDescent="0.2">
      <c r="A2043" s="2" t="str" cm="1">
        <f t="array" ref="A2043">INDEX('[1]Brand Family Territory (Enc)'!$A$2:$A$296,INT((ROW()-2)/10)+1)</f>
        <v>Newburgh</v>
      </c>
      <c r="B2043" s="2" t="str" cm="1">
        <f t="array" ref="B2043">INDEX('Whitelist (Blackout Reverse)'!$B$1:$K$1,MOD(ROW()-2,10)+1)</f>
        <v>PASSAIC</v>
      </c>
      <c r="C2043" s="2" t="str">
        <f>VLOOKUP(A2043,'[1]Brand Family Territory (Enc)'!$A$2:$B$296,2,FALSE)</f>
        <v>All Counties</v>
      </c>
      <c r="D2043" s="2">
        <f>IF(COUNTIFS('[1]Brand Family Territories (Enc)'!$B$2:$B$62,C2043,'[1]Brand Family Territories (Enc)'!$C$2:$C$62,B2043)&gt;0,1,IF(AND(LEFT(B2043,6)="MORRIS",COUNTIFS('[1]Brand Family Territories (Enc)'!$B$2:$B$62,C2043,'[1]Brand Family Territories (Enc)'!$C$2:$C$62,"Morri")&gt;0),"Unk",0))</f>
        <v>1</v>
      </c>
      <c r="E2043" s="2" t="str">
        <f>IFERROR(INDEX('Blackout Brand Fam Areas (Enc)'!$D$6:$D$998,MATCH(UPPER(A2043)&amp;"|"&amp;UPPER(B2043),'Blackout Brand Fam Areas (Enc)'!$G$6:$G$998,0)),"No Match")</f>
        <v>No Match</v>
      </c>
      <c r="F2043" s="2" t="str">
        <f t="shared" si="62"/>
        <v>US</v>
      </c>
      <c r="G2043" s="2" t="str">
        <f t="shared" si="63"/>
        <v>Newburgh|PASSAIC</v>
      </c>
    </row>
    <row r="2044" spans="1:7" x14ac:dyDescent="0.2">
      <c r="A2044" s="2" t="str" cm="1">
        <f t="array" ref="A2044">INDEX('[1]Brand Family Territory (Enc)'!$A$2:$A$296,INT((ROW()-2)/10)+1)</f>
        <v>Newburgh</v>
      </c>
      <c r="B2044" s="2" t="str" cm="1">
        <f t="array" ref="B2044">INDEX('Whitelist (Blackout Reverse)'!$B$1:$K$1,MOD(ROW()-2,10)+1)</f>
        <v>PASSAIC-FF</v>
      </c>
      <c r="C2044" s="2" t="str">
        <f>VLOOKUP(A2044,'[1]Brand Family Territory (Enc)'!$A$2:$B$296,2,FALSE)</f>
        <v>All Counties</v>
      </c>
      <c r="D2044" s="2">
        <f>IF(COUNTIFS('[1]Brand Family Territories (Enc)'!$B$2:$B$62,C2044,'[1]Brand Family Territories (Enc)'!$C$2:$C$62,B2044)&gt;0,1,IF(AND(LEFT(B2044,6)="MORRIS",COUNTIFS('[1]Brand Family Territories (Enc)'!$B$2:$B$62,C2044,'[1]Brand Family Territories (Enc)'!$C$2:$C$62,"Morri")&gt;0),"Unk",0))</f>
        <v>1</v>
      </c>
      <c r="E2044" s="2" t="str">
        <f>IFERROR(INDEX('Blackout Brand Fam Areas (Enc)'!$D$6:$D$998,MATCH(UPPER(A2044)&amp;"|"&amp;UPPER(B2044),'Blackout Brand Fam Areas (Enc)'!$G$6:$G$998,0)),"No Match")</f>
        <v>No Match</v>
      </c>
      <c r="F2044" s="2" t="str">
        <f t="shared" si="62"/>
        <v>US</v>
      </c>
      <c r="G2044" s="2" t="str">
        <f t="shared" si="63"/>
        <v>Newburgh|PASSAIC-FF</v>
      </c>
    </row>
    <row r="2045" spans="1:7" x14ac:dyDescent="0.2">
      <c r="A2045" s="2" t="str" cm="1">
        <f t="array" ref="A2045">INDEX('[1]Brand Family Territory (Enc)'!$A$2:$A$296,INT((ROW()-2)/10)+1)</f>
        <v>Newburgh</v>
      </c>
      <c r="B2045" s="2" t="str" cm="1">
        <f t="array" ref="B2045">INDEX('Whitelist (Blackout Reverse)'!$B$1:$K$1,MOD(ROW()-2,10)+1)</f>
        <v>ESSEX</v>
      </c>
      <c r="C2045" s="2" t="str">
        <f>VLOOKUP(A2045,'[1]Brand Family Territory (Enc)'!$A$2:$B$296,2,FALSE)</f>
        <v>All Counties</v>
      </c>
      <c r="D2045" s="2">
        <f>IF(COUNTIFS('[1]Brand Family Territories (Enc)'!$B$2:$B$62,C2045,'[1]Brand Family Territories (Enc)'!$C$2:$C$62,B2045)&gt;0,1,IF(AND(LEFT(B2045,6)="MORRIS",COUNTIFS('[1]Brand Family Territories (Enc)'!$B$2:$B$62,C2045,'[1]Brand Family Territories (Enc)'!$C$2:$C$62,"Morri")&gt;0),"Unk",0))</f>
        <v>1</v>
      </c>
      <c r="E2045" s="2" t="str">
        <f>IFERROR(INDEX('Blackout Brand Fam Areas (Enc)'!$D$6:$D$998,MATCH(UPPER(A2045)&amp;"|"&amp;UPPER(B2045),'Blackout Brand Fam Areas (Enc)'!$G$6:$G$998,0)),"No Match")</f>
        <v>No Match</v>
      </c>
      <c r="F2045" s="2" t="str">
        <f t="shared" si="62"/>
        <v>US</v>
      </c>
      <c r="G2045" s="2" t="str">
        <f t="shared" si="63"/>
        <v>Newburgh|ESSEX</v>
      </c>
    </row>
    <row r="2046" spans="1:7" x14ac:dyDescent="0.2">
      <c r="A2046" s="2" t="str" cm="1">
        <f t="array" ref="A2046">INDEX('[1]Brand Family Territory (Enc)'!$A$2:$A$296,INT((ROW()-2)/10)+1)</f>
        <v>Newburgh</v>
      </c>
      <c r="B2046" s="2" t="str" cm="1">
        <f t="array" ref="B2046">INDEX('Whitelist (Blackout Reverse)'!$B$1:$K$1,MOD(ROW()-2,10)+1)</f>
        <v>HUDSON</v>
      </c>
      <c r="C2046" s="2" t="str">
        <f>VLOOKUP(A2046,'[1]Brand Family Territory (Enc)'!$A$2:$B$296,2,FALSE)</f>
        <v>All Counties</v>
      </c>
      <c r="D2046" s="2">
        <f>IF(COUNTIFS('[1]Brand Family Territories (Enc)'!$B$2:$B$62,C2046,'[1]Brand Family Territories (Enc)'!$C$2:$C$62,B2046)&gt;0,1,IF(AND(LEFT(B2046,6)="MORRIS",COUNTIFS('[1]Brand Family Territories (Enc)'!$B$2:$B$62,C2046,'[1]Brand Family Territories (Enc)'!$C$2:$C$62,"Morri")&gt;0),"Unk",0))</f>
        <v>1</v>
      </c>
      <c r="E2046" s="2" t="str">
        <f>IFERROR(INDEX('Blackout Brand Fam Areas (Enc)'!$D$6:$D$998,MATCH(UPPER(A2046)&amp;"|"&amp;UPPER(B2046),'Blackout Brand Fam Areas (Enc)'!$G$6:$G$998,0)),"No Match")</f>
        <v>No Match</v>
      </c>
      <c r="F2046" s="2" t="str">
        <f t="shared" si="62"/>
        <v>US</v>
      </c>
      <c r="G2046" s="2" t="str">
        <f t="shared" si="63"/>
        <v>Newburgh|HUDSON</v>
      </c>
    </row>
    <row r="2047" spans="1:7" x14ac:dyDescent="0.2">
      <c r="A2047" s="2" t="str" cm="1">
        <f t="array" ref="A2047">INDEX('[1]Brand Family Territory (Enc)'!$A$2:$A$296,INT((ROW()-2)/10)+1)</f>
        <v>Newburgh</v>
      </c>
      <c r="B2047" s="2" t="str" cm="1">
        <f t="array" ref="B2047">INDEX('Whitelist (Blackout Reverse)'!$B$1:$K$1,MOD(ROW()-2,10)+1)</f>
        <v>UNION</v>
      </c>
      <c r="C2047" s="2" t="str">
        <f>VLOOKUP(A2047,'[1]Brand Family Territory (Enc)'!$A$2:$B$296,2,FALSE)</f>
        <v>All Counties</v>
      </c>
      <c r="D2047" s="2">
        <f>IF(COUNTIFS('[1]Brand Family Territories (Enc)'!$B$2:$B$62,C2047,'[1]Brand Family Territories (Enc)'!$C$2:$C$62,B2047)&gt;0,1,IF(AND(LEFT(B2047,6)="MORRIS",COUNTIFS('[1]Brand Family Territories (Enc)'!$B$2:$B$62,C2047,'[1]Brand Family Territories (Enc)'!$C$2:$C$62,"Morri")&gt;0),"Unk",0))</f>
        <v>1</v>
      </c>
      <c r="E2047" s="2" t="str">
        <f>IFERROR(INDEX('Blackout Brand Fam Areas (Enc)'!$D$6:$D$998,MATCH(UPPER(A2047)&amp;"|"&amp;UPPER(B2047),'Blackout Brand Fam Areas (Enc)'!$G$6:$G$998,0)),"No Match")</f>
        <v>No Match</v>
      </c>
      <c r="F2047" s="2" t="str">
        <f t="shared" si="62"/>
        <v>US</v>
      </c>
      <c r="G2047" s="2" t="str">
        <f t="shared" si="63"/>
        <v>Newburgh|UNION</v>
      </c>
    </row>
    <row r="2048" spans="1:7" x14ac:dyDescent="0.2">
      <c r="A2048" s="2" t="str" cm="1">
        <f t="array" ref="A2048">INDEX('[1]Brand Family Territory (Enc)'!$A$2:$A$296,INT((ROW()-2)/10)+1)</f>
        <v>Newburgh</v>
      </c>
      <c r="B2048" s="2" t="str" cm="1">
        <f t="array" ref="B2048">INDEX('Whitelist (Blackout Reverse)'!$B$1:$K$1,MOD(ROW()-2,10)+1)</f>
        <v>SUSSEX</v>
      </c>
      <c r="C2048" s="2" t="str">
        <f>VLOOKUP(A2048,'[1]Brand Family Territory (Enc)'!$A$2:$B$296,2,FALSE)</f>
        <v>All Counties</v>
      </c>
      <c r="D2048" s="2">
        <f>IF(COUNTIFS('[1]Brand Family Territories (Enc)'!$B$2:$B$62,C2048,'[1]Brand Family Territories (Enc)'!$C$2:$C$62,B2048)&gt;0,1,IF(AND(LEFT(B2048,6)="MORRIS",COUNTIFS('[1]Brand Family Territories (Enc)'!$B$2:$B$62,C2048,'[1]Brand Family Territories (Enc)'!$C$2:$C$62,"Morri")&gt;0),"Unk",0))</f>
        <v>1</v>
      </c>
      <c r="E2048" s="2" t="str">
        <f>IFERROR(INDEX('Blackout Brand Fam Areas (Enc)'!$D$6:$D$998,MATCH(UPPER(A2048)&amp;"|"&amp;UPPER(B2048),'Blackout Brand Fam Areas (Enc)'!$G$6:$G$998,0)),"No Match")</f>
        <v>No Match</v>
      </c>
      <c r="F2048" s="2" t="str">
        <f t="shared" si="62"/>
        <v>US</v>
      </c>
      <c r="G2048" s="2" t="str">
        <f t="shared" si="63"/>
        <v>Newburgh|SUSSEX</v>
      </c>
    </row>
    <row r="2049" spans="1:7" x14ac:dyDescent="0.2">
      <c r="A2049" s="2" t="str" cm="1">
        <f t="array" ref="A2049">INDEX('[1]Brand Family Territory (Enc)'!$A$2:$A$296,INT((ROW()-2)/10)+1)</f>
        <v>Newburgh</v>
      </c>
      <c r="B2049" s="2" t="str" cm="1">
        <f t="array" ref="B2049">INDEX('Whitelist (Blackout Reverse)'!$B$1:$K$1,MOD(ROW()-2,10)+1)</f>
        <v>MORRIS 1</v>
      </c>
      <c r="C2049" s="2" t="str">
        <f>VLOOKUP(A2049,'[1]Brand Family Territory (Enc)'!$A$2:$B$296,2,FALSE)</f>
        <v>All Counties</v>
      </c>
      <c r="D2049" s="2">
        <f>IF(COUNTIFS('[1]Brand Family Territories (Enc)'!$B$2:$B$62,C2049,'[1]Brand Family Territories (Enc)'!$C$2:$C$62,B2049)&gt;0,1,IF(AND(LEFT(B2049,6)="MORRIS",COUNTIFS('[1]Brand Family Territories (Enc)'!$B$2:$B$62,C2049,'[1]Brand Family Territories (Enc)'!$C$2:$C$62,"Morri")&gt;0),"Unk",0))</f>
        <v>1</v>
      </c>
      <c r="E2049" s="2" t="str">
        <f>IFERROR(INDEX('Blackout Brand Fam Areas (Enc)'!$D$6:$D$998,MATCH(UPPER(A2049)&amp;"|"&amp;UPPER(B2049),'Blackout Brand Fam Areas (Enc)'!$G$6:$G$998,0)),"No Match")</f>
        <v>No Match</v>
      </c>
      <c r="F2049" s="2" t="str">
        <f t="shared" si="62"/>
        <v>US</v>
      </c>
      <c r="G2049" s="2" t="str">
        <f t="shared" si="63"/>
        <v>Newburgh|MORRIS 1</v>
      </c>
    </row>
    <row r="2050" spans="1:7" x14ac:dyDescent="0.2">
      <c r="A2050" s="2" t="str" cm="1">
        <f t="array" ref="A2050">INDEX('[1]Brand Family Territory (Enc)'!$A$2:$A$296,INT((ROW()-2)/10)+1)</f>
        <v>Newburgh</v>
      </c>
      <c r="B2050" s="2" t="str" cm="1">
        <f t="array" ref="B2050">INDEX('Whitelist (Blackout Reverse)'!$B$1:$K$1,MOD(ROW()-2,10)+1)</f>
        <v>MORRIS 2</v>
      </c>
      <c r="C2050" s="2" t="str">
        <f>VLOOKUP(A2050,'[1]Brand Family Territory (Enc)'!$A$2:$B$296,2,FALSE)</f>
        <v>All Counties</v>
      </c>
      <c r="D2050" s="2">
        <f>IF(COUNTIFS('[1]Brand Family Territories (Enc)'!$B$2:$B$62,C2050,'[1]Brand Family Territories (Enc)'!$C$2:$C$62,B2050)&gt;0,1,IF(AND(LEFT(B2050,6)="MORRIS",COUNTIFS('[1]Brand Family Territories (Enc)'!$B$2:$B$62,C2050,'[1]Brand Family Territories (Enc)'!$C$2:$C$62,"Morri")&gt;0),"Unk",0))</f>
        <v>1</v>
      </c>
      <c r="E2050" s="2" t="str">
        <f>IFERROR(INDEX('Blackout Brand Fam Areas (Enc)'!$D$6:$D$998,MATCH(UPPER(A2050)&amp;"|"&amp;UPPER(B2050),'Blackout Brand Fam Areas (Enc)'!$G$6:$G$998,0)),"No Match")</f>
        <v>No Match</v>
      </c>
      <c r="F2050" s="2" t="str">
        <f t="shared" si="62"/>
        <v>US</v>
      </c>
      <c r="G2050" s="2" t="str">
        <f t="shared" si="63"/>
        <v>Newburgh|MORRIS 2</v>
      </c>
    </row>
    <row r="2051" spans="1:7" x14ac:dyDescent="0.2">
      <c r="A2051" s="2" t="str" cm="1">
        <f t="array" ref="A2051">INDEX('[1]Brand Family Territory (Enc)'!$A$2:$A$296,INT((ROW()-2)/10)+1)</f>
        <v>Newburgh</v>
      </c>
      <c r="B2051" s="2" t="str" cm="1">
        <f t="array" ref="B2051">INDEX('Whitelist (Blackout Reverse)'!$B$1:$K$1,MOD(ROW()-2,10)+1)</f>
        <v>MORRIS 3</v>
      </c>
      <c r="C2051" s="2" t="str">
        <f>VLOOKUP(A2051,'[1]Brand Family Territory (Enc)'!$A$2:$B$296,2,FALSE)</f>
        <v>All Counties</v>
      </c>
      <c r="D2051" s="2">
        <f>IF(COUNTIFS('[1]Brand Family Territories (Enc)'!$B$2:$B$62,C2051,'[1]Brand Family Territories (Enc)'!$C$2:$C$62,B2051)&gt;0,1,IF(AND(LEFT(B2051,6)="MORRIS",COUNTIFS('[1]Brand Family Territories (Enc)'!$B$2:$B$62,C2051,'[1]Brand Family Territories (Enc)'!$C$2:$C$62,"Morri")&gt;0),"Unk",0))</f>
        <v>1</v>
      </c>
      <c r="E2051" s="2" t="str">
        <f>IFERROR(INDEX('Blackout Brand Fam Areas (Enc)'!$D$6:$D$998,MATCH(UPPER(A2051)&amp;"|"&amp;UPPER(B2051),'Blackout Brand Fam Areas (Enc)'!$G$6:$G$998,0)),"No Match")</f>
        <v>No Match</v>
      </c>
      <c r="F2051" s="2" t="str">
        <f t="shared" ref="F2051:F2114" si="64">IF(D2051="Unk","Ambiguous (Source Truncated)",IF(E2051="Inactive","THEM",IF(D2051=1,"US",IF(D2051="N/A","No Territory Data","THEM"))))</f>
        <v>US</v>
      </c>
      <c r="G2051" s="2" t="str">
        <f t="shared" ref="G2051:G2114" si="65">A2051&amp;"|"&amp;B2051</f>
        <v>Newburgh|MORRIS 3</v>
      </c>
    </row>
    <row r="2052" spans="1:7" x14ac:dyDescent="0.2">
      <c r="A2052" s="2" t="str" cm="1">
        <f t="array" ref="A2052">INDEX('[1]Brand Family Territory (Enc)'!$A$2:$A$296,INT((ROW()-2)/10)+1)</f>
        <v>Small Town</v>
      </c>
      <c r="B2052" s="2" t="str" cm="1">
        <f t="array" ref="B2052">INDEX('Whitelist (Blackout Reverse)'!$B$1:$K$1,MOD(ROW()-2,10)+1)</f>
        <v>BERGEN</v>
      </c>
      <c r="C2052" s="2" t="str">
        <f>VLOOKUP(A2052,'[1]Brand Family Territory (Enc)'!$A$2:$B$296,2,FALSE)</f>
        <v>All Counties</v>
      </c>
      <c r="D2052" s="2">
        <f>IF(COUNTIFS('[1]Brand Family Territories (Enc)'!$B$2:$B$62,C2052,'[1]Brand Family Territories (Enc)'!$C$2:$C$62,B2052)&gt;0,1,IF(AND(LEFT(B2052,6)="MORRIS",COUNTIFS('[1]Brand Family Territories (Enc)'!$B$2:$B$62,C2052,'[1]Brand Family Territories (Enc)'!$C$2:$C$62,"Morri")&gt;0),"Unk",0))</f>
        <v>1</v>
      </c>
      <c r="E2052" s="2" t="str">
        <f>IFERROR(INDEX('Blackout Brand Fam Areas (Enc)'!$D$6:$D$998,MATCH(UPPER(A2052)&amp;"|"&amp;UPPER(B2052),'Blackout Brand Fam Areas (Enc)'!$G$6:$G$998,0)),"No Match")</f>
        <v>No Match</v>
      </c>
      <c r="F2052" s="2" t="str">
        <f t="shared" si="64"/>
        <v>US</v>
      </c>
      <c r="G2052" s="2" t="str">
        <f t="shared" si="65"/>
        <v>Small Town|BERGEN</v>
      </c>
    </row>
    <row r="2053" spans="1:7" x14ac:dyDescent="0.2">
      <c r="A2053" s="2" t="str" cm="1">
        <f t="array" ref="A2053">INDEX('[1]Brand Family Territory (Enc)'!$A$2:$A$296,INT((ROW()-2)/10)+1)</f>
        <v>Small Town</v>
      </c>
      <c r="B2053" s="2" t="str" cm="1">
        <f t="array" ref="B2053">INDEX('Whitelist (Blackout Reverse)'!$B$1:$K$1,MOD(ROW()-2,10)+1)</f>
        <v>PASSAIC</v>
      </c>
      <c r="C2053" s="2" t="str">
        <f>VLOOKUP(A2053,'[1]Brand Family Territory (Enc)'!$A$2:$B$296,2,FALSE)</f>
        <v>All Counties</v>
      </c>
      <c r="D2053" s="2">
        <f>IF(COUNTIFS('[1]Brand Family Territories (Enc)'!$B$2:$B$62,C2053,'[1]Brand Family Territories (Enc)'!$C$2:$C$62,B2053)&gt;0,1,IF(AND(LEFT(B2053,6)="MORRIS",COUNTIFS('[1]Brand Family Territories (Enc)'!$B$2:$B$62,C2053,'[1]Brand Family Territories (Enc)'!$C$2:$C$62,"Morri")&gt;0),"Unk",0))</f>
        <v>1</v>
      </c>
      <c r="E2053" s="2" t="str">
        <f>IFERROR(INDEX('Blackout Brand Fam Areas (Enc)'!$D$6:$D$998,MATCH(UPPER(A2053)&amp;"|"&amp;UPPER(B2053),'Blackout Brand Fam Areas (Enc)'!$G$6:$G$998,0)),"No Match")</f>
        <v>No Match</v>
      </c>
      <c r="F2053" s="2" t="str">
        <f t="shared" si="64"/>
        <v>US</v>
      </c>
      <c r="G2053" s="2" t="str">
        <f t="shared" si="65"/>
        <v>Small Town|PASSAIC</v>
      </c>
    </row>
    <row r="2054" spans="1:7" x14ac:dyDescent="0.2">
      <c r="A2054" s="2" t="str" cm="1">
        <f t="array" ref="A2054">INDEX('[1]Brand Family Territory (Enc)'!$A$2:$A$296,INT((ROW()-2)/10)+1)</f>
        <v>Small Town</v>
      </c>
      <c r="B2054" s="2" t="str" cm="1">
        <f t="array" ref="B2054">INDEX('Whitelist (Blackout Reverse)'!$B$1:$K$1,MOD(ROW()-2,10)+1)</f>
        <v>PASSAIC-FF</v>
      </c>
      <c r="C2054" s="2" t="str">
        <f>VLOOKUP(A2054,'[1]Brand Family Territory (Enc)'!$A$2:$B$296,2,FALSE)</f>
        <v>All Counties</v>
      </c>
      <c r="D2054" s="2">
        <f>IF(COUNTIFS('[1]Brand Family Territories (Enc)'!$B$2:$B$62,C2054,'[1]Brand Family Territories (Enc)'!$C$2:$C$62,B2054)&gt;0,1,IF(AND(LEFT(B2054,6)="MORRIS",COUNTIFS('[1]Brand Family Territories (Enc)'!$B$2:$B$62,C2054,'[1]Brand Family Territories (Enc)'!$C$2:$C$62,"Morri")&gt;0),"Unk",0))</f>
        <v>1</v>
      </c>
      <c r="E2054" s="2" t="str">
        <f>IFERROR(INDEX('Blackout Brand Fam Areas (Enc)'!$D$6:$D$998,MATCH(UPPER(A2054)&amp;"|"&amp;UPPER(B2054),'Blackout Brand Fam Areas (Enc)'!$G$6:$G$998,0)),"No Match")</f>
        <v>No Match</v>
      </c>
      <c r="F2054" s="2" t="str">
        <f t="shared" si="64"/>
        <v>US</v>
      </c>
      <c r="G2054" s="2" t="str">
        <f t="shared" si="65"/>
        <v>Small Town|PASSAIC-FF</v>
      </c>
    </row>
    <row r="2055" spans="1:7" x14ac:dyDescent="0.2">
      <c r="A2055" s="2" t="str" cm="1">
        <f t="array" ref="A2055">INDEX('[1]Brand Family Territory (Enc)'!$A$2:$A$296,INT((ROW()-2)/10)+1)</f>
        <v>Small Town</v>
      </c>
      <c r="B2055" s="2" t="str" cm="1">
        <f t="array" ref="B2055">INDEX('Whitelist (Blackout Reverse)'!$B$1:$K$1,MOD(ROW()-2,10)+1)</f>
        <v>ESSEX</v>
      </c>
      <c r="C2055" s="2" t="str">
        <f>VLOOKUP(A2055,'[1]Brand Family Territory (Enc)'!$A$2:$B$296,2,FALSE)</f>
        <v>All Counties</v>
      </c>
      <c r="D2055" s="2">
        <f>IF(COUNTIFS('[1]Brand Family Territories (Enc)'!$B$2:$B$62,C2055,'[1]Brand Family Territories (Enc)'!$C$2:$C$62,B2055)&gt;0,1,IF(AND(LEFT(B2055,6)="MORRIS",COUNTIFS('[1]Brand Family Territories (Enc)'!$B$2:$B$62,C2055,'[1]Brand Family Territories (Enc)'!$C$2:$C$62,"Morri")&gt;0),"Unk",0))</f>
        <v>1</v>
      </c>
      <c r="E2055" s="2" t="str">
        <f>IFERROR(INDEX('Blackout Brand Fam Areas (Enc)'!$D$6:$D$998,MATCH(UPPER(A2055)&amp;"|"&amp;UPPER(B2055),'Blackout Brand Fam Areas (Enc)'!$G$6:$G$998,0)),"No Match")</f>
        <v>No Match</v>
      </c>
      <c r="F2055" s="2" t="str">
        <f t="shared" si="64"/>
        <v>US</v>
      </c>
      <c r="G2055" s="2" t="str">
        <f t="shared" si="65"/>
        <v>Small Town|ESSEX</v>
      </c>
    </row>
    <row r="2056" spans="1:7" x14ac:dyDescent="0.2">
      <c r="A2056" s="2" t="str" cm="1">
        <f t="array" ref="A2056">INDEX('[1]Brand Family Territory (Enc)'!$A$2:$A$296,INT((ROW()-2)/10)+1)</f>
        <v>Small Town</v>
      </c>
      <c r="B2056" s="2" t="str" cm="1">
        <f t="array" ref="B2056">INDEX('Whitelist (Blackout Reverse)'!$B$1:$K$1,MOD(ROW()-2,10)+1)</f>
        <v>HUDSON</v>
      </c>
      <c r="C2056" s="2" t="str">
        <f>VLOOKUP(A2056,'[1]Brand Family Territory (Enc)'!$A$2:$B$296,2,FALSE)</f>
        <v>All Counties</v>
      </c>
      <c r="D2056" s="2">
        <f>IF(COUNTIFS('[1]Brand Family Territories (Enc)'!$B$2:$B$62,C2056,'[1]Brand Family Territories (Enc)'!$C$2:$C$62,B2056)&gt;0,1,IF(AND(LEFT(B2056,6)="MORRIS",COUNTIFS('[1]Brand Family Territories (Enc)'!$B$2:$B$62,C2056,'[1]Brand Family Territories (Enc)'!$C$2:$C$62,"Morri")&gt;0),"Unk",0))</f>
        <v>1</v>
      </c>
      <c r="E2056" s="2" t="str">
        <f>IFERROR(INDEX('Blackout Brand Fam Areas (Enc)'!$D$6:$D$998,MATCH(UPPER(A2056)&amp;"|"&amp;UPPER(B2056),'Blackout Brand Fam Areas (Enc)'!$G$6:$G$998,0)),"No Match")</f>
        <v>No Match</v>
      </c>
      <c r="F2056" s="2" t="str">
        <f t="shared" si="64"/>
        <v>US</v>
      </c>
      <c r="G2056" s="2" t="str">
        <f t="shared" si="65"/>
        <v>Small Town|HUDSON</v>
      </c>
    </row>
    <row r="2057" spans="1:7" x14ac:dyDescent="0.2">
      <c r="A2057" s="2" t="str" cm="1">
        <f t="array" ref="A2057">INDEX('[1]Brand Family Territory (Enc)'!$A$2:$A$296,INT((ROW()-2)/10)+1)</f>
        <v>Small Town</v>
      </c>
      <c r="B2057" s="2" t="str" cm="1">
        <f t="array" ref="B2057">INDEX('Whitelist (Blackout Reverse)'!$B$1:$K$1,MOD(ROW()-2,10)+1)</f>
        <v>UNION</v>
      </c>
      <c r="C2057" s="2" t="str">
        <f>VLOOKUP(A2057,'[1]Brand Family Territory (Enc)'!$A$2:$B$296,2,FALSE)</f>
        <v>All Counties</v>
      </c>
      <c r="D2057" s="2">
        <f>IF(COUNTIFS('[1]Brand Family Territories (Enc)'!$B$2:$B$62,C2057,'[1]Brand Family Territories (Enc)'!$C$2:$C$62,B2057)&gt;0,1,IF(AND(LEFT(B2057,6)="MORRIS",COUNTIFS('[1]Brand Family Territories (Enc)'!$B$2:$B$62,C2057,'[1]Brand Family Territories (Enc)'!$C$2:$C$62,"Morri")&gt;0),"Unk",0))</f>
        <v>1</v>
      </c>
      <c r="E2057" s="2" t="str">
        <f>IFERROR(INDEX('Blackout Brand Fam Areas (Enc)'!$D$6:$D$998,MATCH(UPPER(A2057)&amp;"|"&amp;UPPER(B2057),'Blackout Brand Fam Areas (Enc)'!$G$6:$G$998,0)),"No Match")</f>
        <v>No Match</v>
      </c>
      <c r="F2057" s="2" t="str">
        <f t="shared" si="64"/>
        <v>US</v>
      </c>
      <c r="G2057" s="2" t="str">
        <f t="shared" si="65"/>
        <v>Small Town|UNION</v>
      </c>
    </row>
    <row r="2058" spans="1:7" x14ac:dyDescent="0.2">
      <c r="A2058" s="2" t="str" cm="1">
        <f t="array" ref="A2058">INDEX('[1]Brand Family Territory (Enc)'!$A$2:$A$296,INT((ROW()-2)/10)+1)</f>
        <v>Small Town</v>
      </c>
      <c r="B2058" s="2" t="str" cm="1">
        <f t="array" ref="B2058">INDEX('Whitelist (Blackout Reverse)'!$B$1:$K$1,MOD(ROW()-2,10)+1)</f>
        <v>SUSSEX</v>
      </c>
      <c r="C2058" s="2" t="str">
        <f>VLOOKUP(A2058,'[1]Brand Family Territory (Enc)'!$A$2:$B$296,2,FALSE)</f>
        <v>All Counties</v>
      </c>
      <c r="D2058" s="2">
        <f>IF(COUNTIFS('[1]Brand Family Territories (Enc)'!$B$2:$B$62,C2058,'[1]Brand Family Territories (Enc)'!$C$2:$C$62,B2058)&gt;0,1,IF(AND(LEFT(B2058,6)="MORRIS",COUNTIFS('[1]Brand Family Territories (Enc)'!$B$2:$B$62,C2058,'[1]Brand Family Territories (Enc)'!$C$2:$C$62,"Morri")&gt;0),"Unk",0))</f>
        <v>1</v>
      </c>
      <c r="E2058" s="2" t="str">
        <f>IFERROR(INDEX('Blackout Brand Fam Areas (Enc)'!$D$6:$D$998,MATCH(UPPER(A2058)&amp;"|"&amp;UPPER(B2058),'Blackout Brand Fam Areas (Enc)'!$G$6:$G$998,0)),"No Match")</f>
        <v>No Match</v>
      </c>
      <c r="F2058" s="2" t="str">
        <f t="shared" si="64"/>
        <v>US</v>
      </c>
      <c r="G2058" s="2" t="str">
        <f t="shared" si="65"/>
        <v>Small Town|SUSSEX</v>
      </c>
    </row>
    <row r="2059" spans="1:7" x14ac:dyDescent="0.2">
      <c r="A2059" s="2" t="str" cm="1">
        <f t="array" ref="A2059">INDEX('[1]Brand Family Territory (Enc)'!$A$2:$A$296,INT((ROW()-2)/10)+1)</f>
        <v>Small Town</v>
      </c>
      <c r="B2059" s="2" t="str" cm="1">
        <f t="array" ref="B2059">INDEX('Whitelist (Blackout Reverse)'!$B$1:$K$1,MOD(ROW()-2,10)+1)</f>
        <v>MORRIS 1</v>
      </c>
      <c r="C2059" s="2" t="str">
        <f>VLOOKUP(A2059,'[1]Brand Family Territory (Enc)'!$A$2:$B$296,2,FALSE)</f>
        <v>All Counties</v>
      </c>
      <c r="D2059" s="2">
        <f>IF(COUNTIFS('[1]Brand Family Territories (Enc)'!$B$2:$B$62,C2059,'[1]Brand Family Territories (Enc)'!$C$2:$C$62,B2059)&gt;0,1,IF(AND(LEFT(B2059,6)="MORRIS",COUNTIFS('[1]Brand Family Territories (Enc)'!$B$2:$B$62,C2059,'[1]Brand Family Territories (Enc)'!$C$2:$C$62,"Morri")&gt;0),"Unk",0))</f>
        <v>1</v>
      </c>
      <c r="E2059" s="2" t="str">
        <f>IFERROR(INDEX('Blackout Brand Fam Areas (Enc)'!$D$6:$D$998,MATCH(UPPER(A2059)&amp;"|"&amp;UPPER(B2059),'Blackout Brand Fam Areas (Enc)'!$G$6:$G$998,0)),"No Match")</f>
        <v>No Match</v>
      </c>
      <c r="F2059" s="2" t="str">
        <f t="shared" si="64"/>
        <v>US</v>
      </c>
      <c r="G2059" s="2" t="str">
        <f t="shared" si="65"/>
        <v>Small Town|MORRIS 1</v>
      </c>
    </row>
    <row r="2060" spans="1:7" x14ac:dyDescent="0.2">
      <c r="A2060" s="2" t="str" cm="1">
        <f t="array" ref="A2060">INDEX('[1]Brand Family Territory (Enc)'!$A$2:$A$296,INT((ROW()-2)/10)+1)</f>
        <v>Small Town</v>
      </c>
      <c r="B2060" s="2" t="str" cm="1">
        <f t="array" ref="B2060">INDEX('Whitelist (Blackout Reverse)'!$B$1:$K$1,MOD(ROW()-2,10)+1)</f>
        <v>MORRIS 2</v>
      </c>
      <c r="C2060" s="2" t="str">
        <f>VLOOKUP(A2060,'[1]Brand Family Territory (Enc)'!$A$2:$B$296,2,FALSE)</f>
        <v>All Counties</v>
      </c>
      <c r="D2060" s="2">
        <f>IF(COUNTIFS('[1]Brand Family Territories (Enc)'!$B$2:$B$62,C2060,'[1]Brand Family Territories (Enc)'!$C$2:$C$62,B2060)&gt;0,1,IF(AND(LEFT(B2060,6)="MORRIS",COUNTIFS('[1]Brand Family Territories (Enc)'!$B$2:$B$62,C2060,'[1]Brand Family Territories (Enc)'!$C$2:$C$62,"Morri")&gt;0),"Unk",0))</f>
        <v>1</v>
      </c>
      <c r="E2060" s="2" t="str">
        <f>IFERROR(INDEX('Blackout Brand Fam Areas (Enc)'!$D$6:$D$998,MATCH(UPPER(A2060)&amp;"|"&amp;UPPER(B2060),'Blackout Brand Fam Areas (Enc)'!$G$6:$G$998,0)),"No Match")</f>
        <v>No Match</v>
      </c>
      <c r="F2060" s="2" t="str">
        <f t="shared" si="64"/>
        <v>US</v>
      </c>
      <c r="G2060" s="2" t="str">
        <f t="shared" si="65"/>
        <v>Small Town|MORRIS 2</v>
      </c>
    </row>
    <row r="2061" spans="1:7" x14ac:dyDescent="0.2">
      <c r="A2061" s="2" t="str" cm="1">
        <f t="array" ref="A2061">INDEX('[1]Brand Family Territory (Enc)'!$A$2:$A$296,INT((ROW()-2)/10)+1)</f>
        <v>Small Town</v>
      </c>
      <c r="B2061" s="2" t="str" cm="1">
        <f t="array" ref="B2061">INDEX('Whitelist (Blackout Reverse)'!$B$1:$K$1,MOD(ROW()-2,10)+1)</f>
        <v>MORRIS 3</v>
      </c>
      <c r="C2061" s="2" t="str">
        <f>VLOOKUP(A2061,'[1]Brand Family Territory (Enc)'!$A$2:$B$296,2,FALSE)</f>
        <v>All Counties</v>
      </c>
      <c r="D2061" s="2">
        <f>IF(COUNTIFS('[1]Brand Family Territories (Enc)'!$B$2:$B$62,C2061,'[1]Brand Family Territories (Enc)'!$C$2:$C$62,B2061)&gt;0,1,IF(AND(LEFT(B2061,6)="MORRIS",COUNTIFS('[1]Brand Family Territories (Enc)'!$B$2:$B$62,C2061,'[1]Brand Family Territories (Enc)'!$C$2:$C$62,"Morri")&gt;0),"Unk",0))</f>
        <v>1</v>
      </c>
      <c r="E2061" s="2" t="str">
        <f>IFERROR(INDEX('Blackout Brand Fam Areas (Enc)'!$D$6:$D$998,MATCH(UPPER(A2061)&amp;"|"&amp;UPPER(B2061),'Blackout Brand Fam Areas (Enc)'!$G$6:$G$998,0)),"No Match")</f>
        <v>No Match</v>
      </c>
      <c r="F2061" s="2" t="str">
        <f t="shared" si="64"/>
        <v>US</v>
      </c>
      <c r="G2061" s="2" t="str">
        <f t="shared" si="65"/>
        <v>Small Town|MORRIS 3</v>
      </c>
    </row>
    <row r="2062" spans="1:7" x14ac:dyDescent="0.2">
      <c r="A2062" s="2" t="str" cm="1">
        <f t="array" ref="A2062">INDEX('[1]Brand Family Territory (Enc)'!$A$2:$A$296,INT((ROW()-2)/10)+1)</f>
        <v>Old Milwaukee</v>
      </c>
      <c r="B2062" s="2" t="str" cm="1">
        <f t="array" ref="B2062">INDEX('Whitelist (Blackout Reverse)'!$B$1:$K$1,MOD(ROW()-2,10)+1)</f>
        <v>BERGEN</v>
      </c>
      <c r="C2062" s="2" t="str">
        <f>VLOOKUP(A2062,'[1]Brand Family Territory (Enc)'!$A$2:$B$296,2,FALSE)</f>
        <v>All Counties</v>
      </c>
      <c r="D2062" s="2">
        <f>IF(COUNTIFS('[1]Brand Family Territories (Enc)'!$B$2:$B$62,C2062,'[1]Brand Family Territories (Enc)'!$C$2:$C$62,B2062)&gt;0,1,IF(AND(LEFT(B2062,6)="MORRIS",COUNTIFS('[1]Brand Family Territories (Enc)'!$B$2:$B$62,C2062,'[1]Brand Family Territories (Enc)'!$C$2:$C$62,"Morri")&gt;0),"Unk",0))</f>
        <v>1</v>
      </c>
      <c r="E2062" s="2" t="str">
        <f>IFERROR(INDEX('Blackout Brand Fam Areas (Enc)'!$D$6:$D$998,MATCH(UPPER(A2062)&amp;"|"&amp;UPPER(B2062),'Blackout Brand Fam Areas (Enc)'!$G$6:$G$998,0)),"No Match")</f>
        <v>No Match</v>
      </c>
      <c r="F2062" s="2" t="str">
        <f t="shared" si="64"/>
        <v>US</v>
      </c>
      <c r="G2062" s="2" t="str">
        <f t="shared" si="65"/>
        <v>Old Milwaukee|BERGEN</v>
      </c>
    </row>
    <row r="2063" spans="1:7" x14ac:dyDescent="0.2">
      <c r="A2063" s="2" t="str" cm="1">
        <f t="array" ref="A2063">INDEX('[1]Brand Family Territory (Enc)'!$A$2:$A$296,INT((ROW()-2)/10)+1)</f>
        <v>Old Milwaukee</v>
      </c>
      <c r="B2063" s="2" t="str" cm="1">
        <f t="array" ref="B2063">INDEX('Whitelist (Blackout Reverse)'!$B$1:$K$1,MOD(ROW()-2,10)+1)</f>
        <v>PASSAIC</v>
      </c>
      <c r="C2063" s="2" t="str">
        <f>VLOOKUP(A2063,'[1]Brand Family Territory (Enc)'!$A$2:$B$296,2,FALSE)</f>
        <v>All Counties</v>
      </c>
      <c r="D2063" s="2">
        <f>IF(COUNTIFS('[1]Brand Family Territories (Enc)'!$B$2:$B$62,C2063,'[1]Brand Family Territories (Enc)'!$C$2:$C$62,B2063)&gt;0,1,IF(AND(LEFT(B2063,6)="MORRIS",COUNTIFS('[1]Brand Family Territories (Enc)'!$B$2:$B$62,C2063,'[1]Brand Family Territories (Enc)'!$C$2:$C$62,"Morri")&gt;0),"Unk",0))</f>
        <v>1</v>
      </c>
      <c r="E2063" s="2" t="str">
        <f>IFERROR(INDEX('Blackout Brand Fam Areas (Enc)'!$D$6:$D$998,MATCH(UPPER(A2063)&amp;"|"&amp;UPPER(B2063),'Blackout Brand Fam Areas (Enc)'!$G$6:$G$998,0)),"No Match")</f>
        <v>No Match</v>
      </c>
      <c r="F2063" s="2" t="str">
        <f t="shared" si="64"/>
        <v>US</v>
      </c>
      <c r="G2063" s="2" t="str">
        <f t="shared" si="65"/>
        <v>Old Milwaukee|PASSAIC</v>
      </c>
    </row>
    <row r="2064" spans="1:7" x14ac:dyDescent="0.2">
      <c r="A2064" s="2" t="str" cm="1">
        <f t="array" ref="A2064">INDEX('[1]Brand Family Territory (Enc)'!$A$2:$A$296,INT((ROW()-2)/10)+1)</f>
        <v>Old Milwaukee</v>
      </c>
      <c r="B2064" s="2" t="str" cm="1">
        <f t="array" ref="B2064">INDEX('Whitelist (Blackout Reverse)'!$B$1:$K$1,MOD(ROW()-2,10)+1)</f>
        <v>PASSAIC-FF</v>
      </c>
      <c r="C2064" s="2" t="str">
        <f>VLOOKUP(A2064,'[1]Brand Family Territory (Enc)'!$A$2:$B$296,2,FALSE)</f>
        <v>All Counties</v>
      </c>
      <c r="D2064" s="2">
        <f>IF(COUNTIFS('[1]Brand Family Territories (Enc)'!$B$2:$B$62,C2064,'[1]Brand Family Territories (Enc)'!$C$2:$C$62,B2064)&gt;0,1,IF(AND(LEFT(B2064,6)="MORRIS",COUNTIFS('[1]Brand Family Territories (Enc)'!$B$2:$B$62,C2064,'[1]Brand Family Territories (Enc)'!$C$2:$C$62,"Morri")&gt;0),"Unk",0))</f>
        <v>1</v>
      </c>
      <c r="E2064" s="2" t="str">
        <f>IFERROR(INDEX('Blackout Brand Fam Areas (Enc)'!$D$6:$D$998,MATCH(UPPER(A2064)&amp;"|"&amp;UPPER(B2064),'Blackout Brand Fam Areas (Enc)'!$G$6:$G$998,0)),"No Match")</f>
        <v>No Match</v>
      </c>
      <c r="F2064" s="2" t="str">
        <f t="shared" si="64"/>
        <v>US</v>
      </c>
      <c r="G2064" s="2" t="str">
        <f t="shared" si="65"/>
        <v>Old Milwaukee|PASSAIC-FF</v>
      </c>
    </row>
    <row r="2065" spans="1:7" x14ac:dyDescent="0.2">
      <c r="A2065" s="2" t="str" cm="1">
        <f t="array" ref="A2065">INDEX('[1]Brand Family Territory (Enc)'!$A$2:$A$296,INT((ROW()-2)/10)+1)</f>
        <v>Old Milwaukee</v>
      </c>
      <c r="B2065" s="2" t="str" cm="1">
        <f t="array" ref="B2065">INDEX('Whitelist (Blackout Reverse)'!$B$1:$K$1,MOD(ROW()-2,10)+1)</f>
        <v>ESSEX</v>
      </c>
      <c r="C2065" s="2" t="str">
        <f>VLOOKUP(A2065,'[1]Brand Family Territory (Enc)'!$A$2:$B$296,2,FALSE)</f>
        <v>All Counties</v>
      </c>
      <c r="D2065" s="2">
        <f>IF(COUNTIFS('[1]Brand Family Territories (Enc)'!$B$2:$B$62,C2065,'[1]Brand Family Territories (Enc)'!$C$2:$C$62,B2065)&gt;0,1,IF(AND(LEFT(B2065,6)="MORRIS",COUNTIFS('[1]Brand Family Territories (Enc)'!$B$2:$B$62,C2065,'[1]Brand Family Territories (Enc)'!$C$2:$C$62,"Morri")&gt;0),"Unk",0))</f>
        <v>1</v>
      </c>
      <c r="E2065" s="2" t="str">
        <f>IFERROR(INDEX('Blackout Brand Fam Areas (Enc)'!$D$6:$D$998,MATCH(UPPER(A2065)&amp;"|"&amp;UPPER(B2065),'Blackout Brand Fam Areas (Enc)'!$G$6:$G$998,0)),"No Match")</f>
        <v>No Match</v>
      </c>
      <c r="F2065" s="2" t="str">
        <f t="shared" si="64"/>
        <v>US</v>
      </c>
      <c r="G2065" s="2" t="str">
        <f t="shared" si="65"/>
        <v>Old Milwaukee|ESSEX</v>
      </c>
    </row>
    <row r="2066" spans="1:7" x14ac:dyDescent="0.2">
      <c r="A2066" s="2" t="str" cm="1">
        <f t="array" ref="A2066">INDEX('[1]Brand Family Territory (Enc)'!$A$2:$A$296,INT((ROW()-2)/10)+1)</f>
        <v>Old Milwaukee</v>
      </c>
      <c r="B2066" s="2" t="str" cm="1">
        <f t="array" ref="B2066">INDEX('Whitelist (Blackout Reverse)'!$B$1:$K$1,MOD(ROW()-2,10)+1)</f>
        <v>HUDSON</v>
      </c>
      <c r="C2066" s="2" t="str">
        <f>VLOOKUP(A2066,'[1]Brand Family Territory (Enc)'!$A$2:$B$296,2,FALSE)</f>
        <v>All Counties</v>
      </c>
      <c r="D2066" s="2">
        <f>IF(COUNTIFS('[1]Brand Family Territories (Enc)'!$B$2:$B$62,C2066,'[1]Brand Family Territories (Enc)'!$C$2:$C$62,B2066)&gt;0,1,IF(AND(LEFT(B2066,6)="MORRIS",COUNTIFS('[1]Brand Family Territories (Enc)'!$B$2:$B$62,C2066,'[1]Brand Family Territories (Enc)'!$C$2:$C$62,"Morri")&gt;0),"Unk",0))</f>
        <v>1</v>
      </c>
      <c r="E2066" s="2" t="str">
        <f>IFERROR(INDEX('Blackout Brand Fam Areas (Enc)'!$D$6:$D$998,MATCH(UPPER(A2066)&amp;"|"&amp;UPPER(B2066),'Blackout Brand Fam Areas (Enc)'!$G$6:$G$998,0)),"No Match")</f>
        <v>No Match</v>
      </c>
      <c r="F2066" s="2" t="str">
        <f t="shared" si="64"/>
        <v>US</v>
      </c>
      <c r="G2066" s="2" t="str">
        <f t="shared" si="65"/>
        <v>Old Milwaukee|HUDSON</v>
      </c>
    </row>
    <row r="2067" spans="1:7" x14ac:dyDescent="0.2">
      <c r="A2067" s="2" t="str" cm="1">
        <f t="array" ref="A2067">INDEX('[1]Brand Family Territory (Enc)'!$A$2:$A$296,INT((ROW()-2)/10)+1)</f>
        <v>Old Milwaukee</v>
      </c>
      <c r="B2067" s="2" t="str" cm="1">
        <f t="array" ref="B2067">INDEX('Whitelist (Blackout Reverse)'!$B$1:$K$1,MOD(ROW()-2,10)+1)</f>
        <v>UNION</v>
      </c>
      <c r="C2067" s="2" t="str">
        <f>VLOOKUP(A2067,'[1]Brand Family Territory (Enc)'!$A$2:$B$296,2,FALSE)</f>
        <v>All Counties</v>
      </c>
      <c r="D2067" s="2">
        <f>IF(COUNTIFS('[1]Brand Family Territories (Enc)'!$B$2:$B$62,C2067,'[1]Brand Family Territories (Enc)'!$C$2:$C$62,B2067)&gt;0,1,IF(AND(LEFT(B2067,6)="MORRIS",COUNTIFS('[1]Brand Family Territories (Enc)'!$B$2:$B$62,C2067,'[1]Brand Family Territories (Enc)'!$C$2:$C$62,"Morri")&gt;0),"Unk",0))</f>
        <v>1</v>
      </c>
      <c r="E2067" s="2" t="str">
        <f>IFERROR(INDEX('Blackout Brand Fam Areas (Enc)'!$D$6:$D$998,MATCH(UPPER(A2067)&amp;"|"&amp;UPPER(B2067),'Blackout Brand Fam Areas (Enc)'!$G$6:$G$998,0)),"No Match")</f>
        <v>No Match</v>
      </c>
      <c r="F2067" s="2" t="str">
        <f t="shared" si="64"/>
        <v>US</v>
      </c>
      <c r="G2067" s="2" t="str">
        <f t="shared" si="65"/>
        <v>Old Milwaukee|UNION</v>
      </c>
    </row>
    <row r="2068" spans="1:7" x14ac:dyDescent="0.2">
      <c r="A2068" s="2" t="str" cm="1">
        <f t="array" ref="A2068">INDEX('[1]Brand Family Territory (Enc)'!$A$2:$A$296,INT((ROW()-2)/10)+1)</f>
        <v>Old Milwaukee</v>
      </c>
      <c r="B2068" s="2" t="str" cm="1">
        <f t="array" ref="B2068">INDEX('Whitelist (Blackout Reverse)'!$B$1:$K$1,MOD(ROW()-2,10)+1)</f>
        <v>SUSSEX</v>
      </c>
      <c r="C2068" s="2" t="str">
        <f>VLOOKUP(A2068,'[1]Brand Family Territory (Enc)'!$A$2:$B$296,2,FALSE)</f>
        <v>All Counties</v>
      </c>
      <c r="D2068" s="2">
        <f>IF(COUNTIFS('[1]Brand Family Territories (Enc)'!$B$2:$B$62,C2068,'[1]Brand Family Territories (Enc)'!$C$2:$C$62,B2068)&gt;0,1,IF(AND(LEFT(B2068,6)="MORRIS",COUNTIFS('[1]Brand Family Territories (Enc)'!$B$2:$B$62,C2068,'[1]Brand Family Territories (Enc)'!$C$2:$C$62,"Morri")&gt;0),"Unk",0))</f>
        <v>1</v>
      </c>
      <c r="E2068" s="2" t="str">
        <f>IFERROR(INDEX('Blackout Brand Fam Areas (Enc)'!$D$6:$D$998,MATCH(UPPER(A2068)&amp;"|"&amp;UPPER(B2068),'Blackout Brand Fam Areas (Enc)'!$G$6:$G$998,0)),"No Match")</f>
        <v>No Match</v>
      </c>
      <c r="F2068" s="2" t="str">
        <f t="shared" si="64"/>
        <v>US</v>
      </c>
      <c r="G2068" s="2" t="str">
        <f t="shared" si="65"/>
        <v>Old Milwaukee|SUSSEX</v>
      </c>
    </row>
    <row r="2069" spans="1:7" x14ac:dyDescent="0.2">
      <c r="A2069" s="2" t="str" cm="1">
        <f t="array" ref="A2069">INDEX('[1]Brand Family Territory (Enc)'!$A$2:$A$296,INT((ROW()-2)/10)+1)</f>
        <v>Old Milwaukee</v>
      </c>
      <c r="B2069" s="2" t="str" cm="1">
        <f t="array" ref="B2069">INDEX('Whitelist (Blackout Reverse)'!$B$1:$K$1,MOD(ROW()-2,10)+1)</f>
        <v>MORRIS 1</v>
      </c>
      <c r="C2069" s="2" t="str">
        <f>VLOOKUP(A2069,'[1]Brand Family Territory (Enc)'!$A$2:$B$296,2,FALSE)</f>
        <v>All Counties</v>
      </c>
      <c r="D2069" s="2">
        <f>IF(COUNTIFS('[1]Brand Family Territories (Enc)'!$B$2:$B$62,C2069,'[1]Brand Family Territories (Enc)'!$C$2:$C$62,B2069)&gt;0,1,IF(AND(LEFT(B2069,6)="MORRIS",COUNTIFS('[1]Brand Family Territories (Enc)'!$B$2:$B$62,C2069,'[1]Brand Family Territories (Enc)'!$C$2:$C$62,"Morri")&gt;0),"Unk",0))</f>
        <v>1</v>
      </c>
      <c r="E2069" s="2" t="str">
        <f>IFERROR(INDEX('Blackout Brand Fam Areas (Enc)'!$D$6:$D$998,MATCH(UPPER(A2069)&amp;"|"&amp;UPPER(B2069),'Blackout Brand Fam Areas (Enc)'!$G$6:$G$998,0)),"No Match")</f>
        <v>No Match</v>
      </c>
      <c r="F2069" s="2" t="str">
        <f t="shared" si="64"/>
        <v>US</v>
      </c>
      <c r="G2069" s="2" t="str">
        <f t="shared" si="65"/>
        <v>Old Milwaukee|MORRIS 1</v>
      </c>
    </row>
    <row r="2070" spans="1:7" x14ac:dyDescent="0.2">
      <c r="A2070" s="2" t="str" cm="1">
        <f t="array" ref="A2070">INDEX('[1]Brand Family Territory (Enc)'!$A$2:$A$296,INT((ROW()-2)/10)+1)</f>
        <v>Old Milwaukee</v>
      </c>
      <c r="B2070" s="2" t="str" cm="1">
        <f t="array" ref="B2070">INDEX('Whitelist (Blackout Reverse)'!$B$1:$K$1,MOD(ROW()-2,10)+1)</f>
        <v>MORRIS 2</v>
      </c>
      <c r="C2070" s="2" t="str">
        <f>VLOOKUP(A2070,'[1]Brand Family Territory (Enc)'!$A$2:$B$296,2,FALSE)</f>
        <v>All Counties</v>
      </c>
      <c r="D2070" s="2">
        <f>IF(COUNTIFS('[1]Brand Family Territories (Enc)'!$B$2:$B$62,C2070,'[1]Brand Family Territories (Enc)'!$C$2:$C$62,B2070)&gt;0,1,IF(AND(LEFT(B2070,6)="MORRIS",COUNTIFS('[1]Brand Family Territories (Enc)'!$B$2:$B$62,C2070,'[1]Brand Family Territories (Enc)'!$C$2:$C$62,"Morri")&gt;0),"Unk",0))</f>
        <v>1</v>
      </c>
      <c r="E2070" s="2" t="str">
        <f>IFERROR(INDEX('Blackout Brand Fam Areas (Enc)'!$D$6:$D$998,MATCH(UPPER(A2070)&amp;"|"&amp;UPPER(B2070),'Blackout Brand Fam Areas (Enc)'!$G$6:$G$998,0)),"No Match")</f>
        <v>No Match</v>
      </c>
      <c r="F2070" s="2" t="str">
        <f t="shared" si="64"/>
        <v>US</v>
      </c>
      <c r="G2070" s="2" t="str">
        <f t="shared" si="65"/>
        <v>Old Milwaukee|MORRIS 2</v>
      </c>
    </row>
    <row r="2071" spans="1:7" x14ac:dyDescent="0.2">
      <c r="A2071" s="2" t="str" cm="1">
        <f t="array" ref="A2071">INDEX('[1]Brand Family Territory (Enc)'!$A$2:$A$296,INT((ROW()-2)/10)+1)</f>
        <v>Old Milwaukee</v>
      </c>
      <c r="B2071" s="2" t="str" cm="1">
        <f t="array" ref="B2071">INDEX('Whitelist (Blackout Reverse)'!$B$1:$K$1,MOD(ROW()-2,10)+1)</f>
        <v>MORRIS 3</v>
      </c>
      <c r="C2071" s="2" t="str">
        <f>VLOOKUP(A2071,'[1]Brand Family Territory (Enc)'!$A$2:$B$296,2,FALSE)</f>
        <v>All Counties</v>
      </c>
      <c r="D2071" s="2">
        <f>IF(COUNTIFS('[1]Brand Family Territories (Enc)'!$B$2:$B$62,C2071,'[1]Brand Family Territories (Enc)'!$C$2:$C$62,B2071)&gt;0,1,IF(AND(LEFT(B2071,6)="MORRIS",COUNTIFS('[1]Brand Family Territories (Enc)'!$B$2:$B$62,C2071,'[1]Brand Family Territories (Enc)'!$C$2:$C$62,"Morri")&gt;0),"Unk",0))</f>
        <v>1</v>
      </c>
      <c r="E2071" s="2" t="str">
        <f>IFERROR(INDEX('Blackout Brand Fam Areas (Enc)'!$D$6:$D$998,MATCH(UPPER(A2071)&amp;"|"&amp;UPPER(B2071),'Blackout Brand Fam Areas (Enc)'!$G$6:$G$998,0)),"No Match")</f>
        <v>No Match</v>
      </c>
      <c r="F2071" s="2" t="str">
        <f t="shared" si="64"/>
        <v>US</v>
      </c>
      <c r="G2071" s="2" t="str">
        <f t="shared" si="65"/>
        <v>Old Milwaukee|MORRIS 3</v>
      </c>
    </row>
    <row r="2072" spans="1:7" x14ac:dyDescent="0.2">
      <c r="A2072" s="2" t="str" cm="1">
        <f t="array" ref="A2072">INDEX('[1]Brand Family Territory (Enc)'!$A$2:$A$296,INT((ROW()-2)/10)+1)</f>
        <v>Otter Creek</v>
      </c>
      <c r="B2072" s="2" t="str" cm="1">
        <f t="array" ref="B2072">INDEX('Whitelist (Blackout Reverse)'!$B$1:$K$1,MOD(ROW()-2,10)+1)</f>
        <v>BERGEN</v>
      </c>
      <c r="C2072" s="2" t="str">
        <f>VLOOKUP(A2072,'[1]Brand Family Territory (Enc)'!$A$2:$B$296,2,FALSE)</f>
        <v>All Counties</v>
      </c>
      <c r="D2072" s="2">
        <f>IF(COUNTIFS('[1]Brand Family Territories (Enc)'!$B$2:$B$62,C2072,'[1]Brand Family Territories (Enc)'!$C$2:$C$62,B2072)&gt;0,1,IF(AND(LEFT(B2072,6)="MORRIS",COUNTIFS('[1]Brand Family Territories (Enc)'!$B$2:$B$62,C2072,'[1]Brand Family Territories (Enc)'!$C$2:$C$62,"Morri")&gt;0),"Unk",0))</f>
        <v>1</v>
      </c>
      <c r="E2072" s="2" t="str">
        <f>IFERROR(INDEX('Blackout Brand Fam Areas (Enc)'!$D$6:$D$998,MATCH(UPPER(A2072)&amp;"|"&amp;UPPER(B2072),'Blackout Brand Fam Areas (Enc)'!$G$6:$G$998,0)),"No Match")</f>
        <v>No Match</v>
      </c>
      <c r="F2072" s="2" t="str">
        <f t="shared" si="64"/>
        <v>US</v>
      </c>
      <c r="G2072" s="2" t="str">
        <f t="shared" si="65"/>
        <v>Otter Creek|BERGEN</v>
      </c>
    </row>
    <row r="2073" spans="1:7" x14ac:dyDescent="0.2">
      <c r="A2073" s="2" t="str" cm="1">
        <f t="array" ref="A2073">INDEX('[1]Brand Family Territory (Enc)'!$A$2:$A$296,INT((ROW()-2)/10)+1)</f>
        <v>Otter Creek</v>
      </c>
      <c r="B2073" s="2" t="str" cm="1">
        <f t="array" ref="B2073">INDEX('Whitelist (Blackout Reverse)'!$B$1:$K$1,MOD(ROW()-2,10)+1)</f>
        <v>PASSAIC</v>
      </c>
      <c r="C2073" s="2" t="str">
        <f>VLOOKUP(A2073,'[1]Brand Family Territory (Enc)'!$A$2:$B$296,2,FALSE)</f>
        <v>All Counties</v>
      </c>
      <c r="D2073" s="2">
        <f>IF(COUNTIFS('[1]Brand Family Territories (Enc)'!$B$2:$B$62,C2073,'[1]Brand Family Territories (Enc)'!$C$2:$C$62,B2073)&gt;0,1,IF(AND(LEFT(B2073,6)="MORRIS",COUNTIFS('[1]Brand Family Territories (Enc)'!$B$2:$B$62,C2073,'[1]Brand Family Territories (Enc)'!$C$2:$C$62,"Morri")&gt;0),"Unk",0))</f>
        <v>1</v>
      </c>
      <c r="E2073" s="2" t="str">
        <f>IFERROR(INDEX('Blackout Brand Fam Areas (Enc)'!$D$6:$D$998,MATCH(UPPER(A2073)&amp;"|"&amp;UPPER(B2073),'Blackout Brand Fam Areas (Enc)'!$G$6:$G$998,0)),"No Match")</f>
        <v>No Match</v>
      </c>
      <c r="F2073" s="2" t="str">
        <f t="shared" si="64"/>
        <v>US</v>
      </c>
      <c r="G2073" s="2" t="str">
        <f t="shared" si="65"/>
        <v>Otter Creek|PASSAIC</v>
      </c>
    </row>
    <row r="2074" spans="1:7" x14ac:dyDescent="0.2">
      <c r="A2074" s="2" t="str" cm="1">
        <f t="array" ref="A2074">INDEX('[1]Brand Family Territory (Enc)'!$A$2:$A$296,INT((ROW()-2)/10)+1)</f>
        <v>Otter Creek</v>
      </c>
      <c r="B2074" s="2" t="str" cm="1">
        <f t="array" ref="B2074">INDEX('Whitelist (Blackout Reverse)'!$B$1:$K$1,MOD(ROW()-2,10)+1)</f>
        <v>PASSAIC-FF</v>
      </c>
      <c r="C2074" s="2" t="str">
        <f>VLOOKUP(A2074,'[1]Brand Family Territory (Enc)'!$A$2:$B$296,2,FALSE)</f>
        <v>All Counties</v>
      </c>
      <c r="D2074" s="2">
        <f>IF(COUNTIFS('[1]Brand Family Territories (Enc)'!$B$2:$B$62,C2074,'[1]Brand Family Territories (Enc)'!$C$2:$C$62,B2074)&gt;0,1,IF(AND(LEFT(B2074,6)="MORRIS",COUNTIFS('[1]Brand Family Territories (Enc)'!$B$2:$B$62,C2074,'[1]Brand Family Territories (Enc)'!$C$2:$C$62,"Morri")&gt;0),"Unk",0))</f>
        <v>1</v>
      </c>
      <c r="E2074" s="2" t="str">
        <f>IFERROR(INDEX('Blackout Brand Fam Areas (Enc)'!$D$6:$D$998,MATCH(UPPER(A2074)&amp;"|"&amp;UPPER(B2074),'Blackout Brand Fam Areas (Enc)'!$G$6:$G$998,0)),"No Match")</f>
        <v>No Match</v>
      </c>
      <c r="F2074" s="2" t="str">
        <f t="shared" si="64"/>
        <v>US</v>
      </c>
      <c r="G2074" s="2" t="str">
        <f t="shared" si="65"/>
        <v>Otter Creek|PASSAIC-FF</v>
      </c>
    </row>
    <row r="2075" spans="1:7" x14ac:dyDescent="0.2">
      <c r="A2075" s="2" t="str" cm="1">
        <f t="array" ref="A2075">INDEX('[1]Brand Family Territory (Enc)'!$A$2:$A$296,INT((ROW()-2)/10)+1)</f>
        <v>Otter Creek</v>
      </c>
      <c r="B2075" s="2" t="str" cm="1">
        <f t="array" ref="B2075">INDEX('Whitelist (Blackout Reverse)'!$B$1:$K$1,MOD(ROW()-2,10)+1)</f>
        <v>ESSEX</v>
      </c>
      <c r="C2075" s="2" t="str">
        <f>VLOOKUP(A2075,'[1]Brand Family Territory (Enc)'!$A$2:$B$296,2,FALSE)</f>
        <v>All Counties</v>
      </c>
      <c r="D2075" s="2">
        <f>IF(COUNTIFS('[1]Brand Family Territories (Enc)'!$B$2:$B$62,C2075,'[1]Brand Family Territories (Enc)'!$C$2:$C$62,B2075)&gt;0,1,IF(AND(LEFT(B2075,6)="MORRIS",COUNTIFS('[1]Brand Family Territories (Enc)'!$B$2:$B$62,C2075,'[1]Brand Family Territories (Enc)'!$C$2:$C$62,"Morri")&gt;0),"Unk",0))</f>
        <v>1</v>
      </c>
      <c r="E2075" s="2" t="str">
        <f>IFERROR(INDEX('Blackout Brand Fam Areas (Enc)'!$D$6:$D$998,MATCH(UPPER(A2075)&amp;"|"&amp;UPPER(B2075),'Blackout Brand Fam Areas (Enc)'!$G$6:$G$998,0)),"No Match")</f>
        <v>No Match</v>
      </c>
      <c r="F2075" s="2" t="str">
        <f t="shared" si="64"/>
        <v>US</v>
      </c>
      <c r="G2075" s="2" t="str">
        <f t="shared" si="65"/>
        <v>Otter Creek|ESSEX</v>
      </c>
    </row>
    <row r="2076" spans="1:7" x14ac:dyDescent="0.2">
      <c r="A2076" s="2" t="str" cm="1">
        <f t="array" ref="A2076">INDEX('[1]Brand Family Territory (Enc)'!$A$2:$A$296,INT((ROW()-2)/10)+1)</f>
        <v>Otter Creek</v>
      </c>
      <c r="B2076" s="2" t="str" cm="1">
        <f t="array" ref="B2076">INDEX('Whitelist (Blackout Reverse)'!$B$1:$K$1,MOD(ROW()-2,10)+1)</f>
        <v>HUDSON</v>
      </c>
      <c r="C2076" s="2" t="str">
        <f>VLOOKUP(A2076,'[1]Brand Family Territory (Enc)'!$A$2:$B$296,2,FALSE)</f>
        <v>All Counties</v>
      </c>
      <c r="D2076" s="2">
        <f>IF(COUNTIFS('[1]Brand Family Territories (Enc)'!$B$2:$B$62,C2076,'[1]Brand Family Territories (Enc)'!$C$2:$C$62,B2076)&gt;0,1,IF(AND(LEFT(B2076,6)="MORRIS",COUNTIFS('[1]Brand Family Territories (Enc)'!$B$2:$B$62,C2076,'[1]Brand Family Territories (Enc)'!$C$2:$C$62,"Morri")&gt;0),"Unk",0))</f>
        <v>1</v>
      </c>
      <c r="E2076" s="2" t="str">
        <f>IFERROR(INDEX('Blackout Brand Fam Areas (Enc)'!$D$6:$D$998,MATCH(UPPER(A2076)&amp;"|"&amp;UPPER(B2076),'Blackout Brand Fam Areas (Enc)'!$G$6:$G$998,0)),"No Match")</f>
        <v>No Match</v>
      </c>
      <c r="F2076" s="2" t="str">
        <f t="shared" si="64"/>
        <v>US</v>
      </c>
      <c r="G2076" s="2" t="str">
        <f t="shared" si="65"/>
        <v>Otter Creek|HUDSON</v>
      </c>
    </row>
    <row r="2077" spans="1:7" x14ac:dyDescent="0.2">
      <c r="A2077" s="2" t="str" cm="1">
        <f t="array" ref="A2077">INDEX('[1]Brand Family Territory (Enc)'!$A$2:$A$296,INT((ROW()-2)/10)+1)</f>
        <v>Otter Creek</v>
      </c>
      <c r="B2077" s="2" t="str" cm="1">
        <f t="array" ref="B2077">INDEX('Whitelist (Blackout Reverse)'!$B$1:$K$1,MOD(ROW()-2,10)+1)</f>
        <v>UNION</v>
      </c>
      <c r="C2077" s="2" t="str">
        <f>VLOOKUP(A2077,'[1]Brand Family Territory (Enc)'!$A$2:$B$296,2,FALSE)</f>
        <v>All Counties</v>
      </c>
      <c r="D2077" s="2">
        <f>IF(COUNTIFS('[1]Brand Family Territories (Enc)'!$B$2:$B$62,C2077,'[1]Brand Family Territories (Enc)'!$C$2:$C$62,B2077)&gt;0,1,IF(AND(LEFT(B2077,6)="MORRIS",COUNTIFS('[1]Brand Family Territories (Enc)'!$B$2:$B$62,C2077,'[1]Brand Family Territories (Enc)'!$C$2:$C$62,"Morri")&gt;0),"Unk",0))</f>
        <v>1</v>
      </c>
      <c r="E2077" s="2" t="str">
        <f>IFERROR(INDEX('Blackout Brand Fam Areas (Enc)'!$D$6:$D$998,MATCH(UPPER(A2077)&amp;"|"&amp;UPPER(B2077),'Blackout Brand Fam Areas (Enc)'!$G$6:$G$998,0)),"No Match")</f>
        <v>Inactive</v>
      </c>
      <c r="F2077" s="2" t="str">
        <f t="shared" si="64"/>
        <v>THEM</v>
      </c>
      <c r="G2077" s="2" t="str">
        <f t="shared" si="65"/>
        <v>Otter Creek|UNION</v>
      </c>
    </row>
    <row r="2078" spans="1:7" x14ac:dyDescent="0.2">
      <c r="A2078" s="2" t="str" cm="1">
        <f t="array" ref="A2078">INDEX('[1]Brand Family Territory (Enc)'!$A$2:$A$296,INT((ROW()-2)/10)+1)</f>
        <v>Otter Creek</v>
      </c>
      <c r="B2078" s="2" t="str" cm="1">
        <f t="array" ref="B2078">INDEX('Whitelist (Blackout Reverse)'!$B$1:$K$1,MOD(ROW()-2,10)+1)</f>
        <v>SUSSEX</v>
      </c>
      <c r="C2078" s="2" t="str">
        <f>VLOOKUP(A2078,'[1]Brand Family Territory (Enc)'!$A$2:$B$296,2,FALSE)</f>
        <v>All Counties</v>
      </c>
      <c r="D2078" s="2">
        <f>IF(COUNTIFS('[1]Brand Family Territories (Enc)'!$B$2:$B$62,C2078,'[1]Brand Family Territories (Enc)'!$C$2:$C$62,B2078)&gt;0,1,IF(AND(LEFT(B2078,6)="MORRIS",COUNTIFS('[1]Brand Family Territories (Enc)'!$B$2:$B$62,C2078,'[1]Brand Family Territories (Enc)'!$C$2:$C$62,"Morri")&gt;0),"Unk",0))</f>
        <v>1</v>
      </c>
      <c r="E2078" s="2" t="str">
        <f>IFERROR(INDEX('Blackout Brand Fam Areas (Enc)'!$D$6:$D$998,MATCH(UPPER(A2078)&amp;"|"&amp;UPPER(B2078),'Blackout Brand Fam Areas (Enc)'!$G$6:$G$998,0)),"No Match")</f>
        <v>No Match</v>
      </c>
      <c r="F2078" s="2" t="str">
        <f t="shared" si="64"/>
        <v>US</v>
      </c>
      <c r="G2078" s="2" t="str">
        <f t="shared" si="65"/>
        <v>Otter Creek|SUSSEX</v>
      </c>
    </row>
    <row r="2079" spans="1:7" x14ac:dyDescent="0.2">
      <c r="A2079" s="2" t="str" cm="1">
        <f t="array" ref="A2079">INDEX('[1]Brand Family Territory (Enc)'!$A$2:$A$296,INT((ROW()-2)/10)+1)</f>
        <v>Otter Creek</v>
      </c>
      <c r="B2079" s="2" t="str" cm="1">
        <f t="array" ref="B2079">INDEX('Whitelist (Blackout Reverse)'!$B$1:$K$1,MOD(ROW()-2,10)+1)</f>
        <v>MORRIS 1</v>
      </c>
      <c r="C2079" s="2" t="str">
        <f>VLOOKUP(A2079,'[1]Brand Family Territory (Enc)'!$A$2:$B$296,2,FALSE)</f>
        <v>All Counties</v>
      </c>
      <c r="D2079" s="2">
        <f>IF(COUNTIFS('[1]Brand Family Territories (Enc)'!$B$2:$B$62,C2079,'[1]Brand Family Territories (Enc)'!$C$2:$C$62,B2079)&gt;0,1,IF(AND(LEFT(B2079,6)="MORRIS",COUNTIFS('[1]Brand Family Territories (Enc)'!$B$2:$B$62,C2079,'[1]Brand Family Territories (Enc)'!$C$2:$C$62,"Morri")&gt;0),"Unk",0))</f>
        <v>1</v>
      </c>
      <c r="E2079" s="2" t="str">
        <f>IFERROR(INDEX('Blackout Brand Fam Areas (Enc)'!$D$6:$D$998,MATCH(UPPER(A2079)&amp;"|"&amp;UPPER(B2079),'Blackout Brand Fam Areas (Enc)'!$G$6:$G$998,0)),"No Match")</f>
        <v>No Match</v>
      </c>
      <c r="F2079" s="2" t="str">
        <f t="shared" si="64"/>
        <v>US</v>
      </c>
      <c r="G2079" s="2" t="str">
        <f t="shared" si="65"/>
        <v>Otter Creek|MORRIS 1</v>
      </c>
    </row>
    <row r="2080" spans="1:7" x14ac:dyDescent="0.2">
      <c r="A2080" s="2" t="str" cm="1">
        <f t="array" ref="A2080">INDEX('[1]Brand Family Territory (Enc)'!$A$2:$A$296,INT((ROW()-2)/10)+1)</f>
        <v>Otter Creek</v>
      </c>
      <c r="B2080" s="2" t="str" cm="1">
        <f t="array" ref="B2080">INDEX('Whitelist (Blackout Reverse)'!$B$1:$K$1,MOD(ROW()-2,10)+1)</f>
        <v>MORRIS 2</v>
      </c>
      <c r="C2080" s="2" t="str">
        <f>VLOOKUP(A2080,'[1]Brand Family Territory (Enc)'!$A$2:$B$296,2,FALSE)</f>
        <v>All Counties</v>
      </c>
      <c r="D2080" s="2">
        <f>IF(COUNTIFS('[1]Brand Family Territories (Enc)'!$B$2:$B$62,C2080,'[1]Brand Family Territories (Enc)'!$C$2:$C$62,B2080)&gt;0,1,IF(AND(LEFT(B2080,6)="MORRIS",COUNTIFS('[1]Brand Family Territories (Enc)'!$B$2:$B$62,C2080,'[1]Brand Family Territories (Enc)'!$C$2:$C$62,"Morri")&gt;0),"Unk",0))</f>
        <v>1</v>
      </c>
      <c r="E2080" s="2" t="str">
        <f>IFERROR(INDEX('Blackout Brand Fam Areas (Enc)'!$D$6:$D$998,MATCH(UPPER(A2080)&amp;"|"&amp;UPPER(B2080),'Blackout Brand Fam Areas (Enc)'!$G$6:$G$998,0)),"No Match")</f>
        <v>Inactive</v>
      </c>
      <c r="F2080" s="2" t="str">
        <f t="shared" si="64"/>
        <v>THEM</v>
      </c>
      <c r="G2080" s="2" t="str">
        <f t="shared" si="65"/>
        <v>Otter Creek|MORRIS 2</v>
      </c>
    </row>
    <row r="2081" spans="1:7" x14ac:dyDescent="0.2">
      <c r="A2081" s="2" t="str" cm="1">
        <f t="array" ref="A2081">INDEX('[1]Brand Family Territory (Enc)'!$A$2:$A$296,INT((ROW()-2)/10)+1)</f>
        <v>Otter Creek</v>
      </c>
      <c r="B2081" s="2" t="str" cm="1">
        <f t="array" ref="B2081">INDEX('Whitelist (Blackout Reverse)'!$B$1:$K$1,MOD(ROW()-2,10)+1)</f>
        <v>MORRIS 3</v>
      </c>
      <c r="C2081" s="2" t="str">
        <f>VLOOKUP(A2081,'[1]Brand Family Territory (Enc)'!$A$2:$B$296,2,FALSE)</f>
        <v>All Counties</v>
      </c>
      <c r="D2081" s="2">
        <f>IF(COUNTIFS('[1]Brand Family Territories (Enc)'!$B$2:$B$62,C2081,'[1]Brand Family Territories (Enc)'!$C$2:$C$62,B2081)&gt;0,1,IF(AND(LEFT(B2081,6)="MORRIS",COUNTIFS('[1]Brand Family Territories (Enc)'!$B$2:$B$62,C2081,'[1]Brand Family Territories (Enc)'!$C$2:$C$62,"Morri")&gt;0),"Unk",0))</f>
        <v>1</v>
      </c>
      <c r="E2081" s="2" t="str">
        <f>IFERROR(INDEX('Blackout Brand Fam Areas (Enc)'!$D$6:$D$998,MATCH(UPPER(A2081)&amp;"|"&amp;UPPER(B2081),'Blackout Brand Fam Areas (Enc)'!$G$6:$G$998,0)),"No Match")</f>
        <v>Inactive</v>
      </c>
      <c r="F2081" s="2" t="str">
        <f t="shared" si="64"/>
        <v>THEM</v>
      </c>
      <c r="G2081" s="2" t="str">
        <f t="shared" si="65"/>
        <v>Otter Creek|MORRIS 3</v>
      </c>
    </row>
    <row r="2082" spans="1:7" x14ac:dyDescent="0.2">
      <c r="A2082" s="2" t="str" cm="1">
        <f t="array" ref="A2082">INDEX('[1]Brand Family Territory (Enc)'!$A$2:$A$296,INT((ROW()-2)/10)+1)</f>
        <v>OVO Vodka</v>
      </c>
      <c r="B2082" s="2" t="str" cm="1">
        <f t="array" ref="B2082">INDEX('Whitelist (Blackout Reverse)'!$B$1:$K$1,MOD(ROW()-2,10)+1)</f>
        <v>BERGEN</v>
      </c>
      <c r="C2082" s="2" t="str">
        <f>VLOOKUP(A2082,'[1]Brand Family Territory (Enc)'!$A$2:$B$296,2,FALSE)</f>
        <v>All Counties</v>
      </c>
      <c r="D2082" s="2">
        <f>IF(COUNTIFS('[1]Brand Family Territories (Enc)'!$B$2:$B$62,C2082,'[1]Brand Family Territories (Enc)'!$C$2:$C$62,B2082)&gt;0,1,IF(AND(LEFT(B2082,6)="MORRIS",COUNTIFS('[1]Brand Family Territories (Enc)'!$B$2:$B$62,C2082,'[1]Brand Family Territories (Enc)'!$C$2:$C$62,"Morri")&gt;0),"Unk",0))</f>
        <v>1</v>
      </c>
      <c r="E2082" s="2" t="str">
        <f>IFERROR(INDEX('Blackout Brand Fam Areas (Enc)'!$D$6:$D$998,MATCH(UPPER(A2082)&amp;"|"&amp;UPPER(B2082),'Blackout Brand Fam Areas (Enc)'!$G$6:$G$998,0)),"No Match")</f>
        <v>No Match</v>
      </c>
      <c r="F2082" s="2" t="str">
        <f t="shared" si="64"/>
        <v>US</v>
      </c>
      <c r="G2082" s="2" t="str">
        <f t="shared" si="65"/>
        <v>OVO Vodka|BERGEN</v>
      </c>
    </row>
    <row r="2083" spans="1:7" x14ac:dyDescent="0.2">
      <c r="A2083" s="2" t="str" cm="1">
        <f t="array" ref="A2083">INDEX('[1]Brand Family Territory (Enc)'!$A$2:$A$296,INT((ROW()-2)/10)+1)</f>
        <v>OVO Vodka</v>
      </c>
      <c r="B2083" s="2" t="str" cm="1">
        <f t="array" ref="B2083">INDEX('Whitelist (Blackout Reverse)'!$B$1:$K$1,MOD(ROW()-2,10)+1)</f>
        <v>PASSAIC</v>
      </c>
      <c r="C2083" s="2" t="str">
        <f>VLOOKUP(A2083,'[1]Brand Family Territory (Enc)'!$A$2:$B$296,2,FALSE)</f>
        <v>All Counties</v>
      </c>
      <c r="D2083" s="2">
        <f>IF(COUNTIFS('[1]Brand Family Territories (Enc)'!$B$2:$B$62,C2083,'[1]Brand Family Territories (Enc)'!$C$2:$C$62,B2083)&gt;0,1,IF(AND(LEFT(B2083,6)="MORRIS",COUNTIFS('[1]Brand Family Territories (Enc)'!$B$2:$B$62,C2083,'[1]Brand Family Territories (Enc)'!$C$2:$C$62,"Morri")&gt;0),"Unk",0))</f>
        <v>1</v>
      </c>
      <c r="E2083" s="2" t="str">
        <f>IFERROR(INDEX('Blackout Brand Fam Areas (Enc)'!$D$6:$D$998,MATCH(UPPER(A2083)&amp;"|"&amp;UPPER(B2083),'Blackout Brand Fam Areas (Enc)'!$G$6:$G$998,0)),"No Match")</f>
        <v>No Match</v>
      </c>
      <c r="F2083" s="2" t="str">
        <f t="shared" si="64"/>
        <v>US</v>
      </c>
      <c r="G2083" s="2" t="str">
        <f t="shared" si="65"/>
        <v>OVO Vodka|PASSAIC</v>
      </c>
    </row>
    <row r="2084" spans="1:7" x14ac:dyDescent="0.2">
      <c r="A2084" s="2" t="str" cm="1">
        <f t="array" ref="A2084">INDEX('[1]Brand Family Territory (Enc)'!$A$2:$A$296,INT((ROW()-2)/10)+1)</f>
        <v>OVO Vodka</v>
      </c>
      <c r="B2084" s="2" t="str" cm="1">
        <f t="array" ref="B2084">INDEX('Whitelist (Blackout Reverse)'!$B$1:$K$1,MOD(ROW()-2,10)+1)</f>
        <v>PASSAIC-FF</v>
      </c>
      <c r="C2084" s="2" t="str">
        <f>VLOOKUP(A2084,'[1]Brand Family Territory (Enc)'!$A$2:$B$296,2,FALSE)</f>
        <v>All Counties</v>
      </c>
      <c r="D2084" s="2">
        <f>IF(COUNTIFS('[1]Brand Family Territories (Enc)'!$B$2:$B$62,C2084,'[1]Brand Family Territories (Enc)'!$C$2:$C$62,B2084)&gt;0,1,IF(AND(LEFT(B2084,6)="MORRIS",COUNTIFS('[1]Brand Family Territories (Enc)'!$B$2:$B$62,C2084,'[1]Brand Family Territories (Enc)'!$C$2:$C$62,"Morri")&gt;0),"Unk",0))</f>
        <v>1</v>
      </c>
      <c r="E2084" s="2" t="str">
        <f>IFERROR(INDEX('Blackout Brand Fam Areas (Enc)'!$D$6:$D$998,MATCH(UPPER(A2084)&amp;"|"&amp;UPPER(B2084),'Blackout Brand Fam Areas (Enc)'!$G$6:$G$998,0)),"No Match")</f>
        <v>No Match</v>
      </c>
      <c r="F2084" s="2" t="str">
        <f t="shared" si="64"/>
        <v>US</v>
      </c>
      <c r="G2084" s="2" t="str">
        <f t="shared" si="65"/>
        <v>OVO Vodka|PASSAIC-FF</v>
      </c>
    </row>
    <row r="2085" spans="1:7" x14ac:dyDescent="0.2">
      <c r="A2085" s="2" t="str" cm="1">
        <f t="array" ref="A2085">INDEX('[1]Brand Family Territory (Enc)'!$A$2:$A$296,INT((ROW()-2)/10)+1)</f>
        <v>OVO Vodka</v>
      </c>
      <c r="B2085" s="2" t="str" cm="1">
        <f t="array" ref="B2085">INDEX('Whitelist (Blackout Reverse)'!$B$1:$K$1,MOD(ROW()-2,10)+1)</f>
        <v>ESSEX</v>
      </c>
      <c r="C2085" s="2" t="str">
        <f>VLOOKUP(A2085,'[1]Brand Family Territory (Enc)'!$A$2:$B$296,2,FALSE)</f>
        <v>All Counties</v>
      </c>
      <c r="D2085" s="2">
        <f>IF(COUNTIFS('[1]Brand Family Territories (Enc)'!$B$2:$B$62,C2085,'[1]Brand Family Territories (Enc)'!$C$2:$C$62,B2085)&gt;0,1,IF(AND(LEFT(B2085,6)="MORRIS",COUNTIFS('[1]Brand Family Territories (Enc)'!$B$2:$B$62,C2085,'[1]Brand Family Territories (Enc)'!$C$2:$C$62,"Morri")&gt;0),"Unk",0))</f>
        <v>1</v>
      </c>
      <c r="E2085" s="2" t="str">
        <f>IFERROR(INDEX('Blackout Brand Fam Areas (Enc)'!$D$6:$D$998,MATCH(UPPER(A2085)&amp;"|"&amp;UPPER(B2085),'Blackout Brand Fam Areas (Enc)'!$G$6:$G$998,0)),"No Match")</f>
        <v>No Match</v>
      </c>
      <c r="F2085" s="2" t="str">
        <f t="shared" si="64"/>
        <v>US</v>
      </c>
      <c r="G2085" s="2" t="str">
        <f t="shared" si="65"/>
        <v>OVO Vodka|ESSEX</v>
      </c>
    </row>
    <row r="2086" spans="1:7" x14ac:dyDescent="0.2">
      <c r="A2086" s="2" t="str" cm="1">
        <f t="array" ref="A2086">INDEX('[1]Brand Family Territory (Enc)'!$A$2:$A$296,INT((ROW()-2)/10)+1)</f>
        <v>OVO Vodka</v>
      </c>
      <c r="B2086" s="2" t="str" cm="1">
        <f t="array" ref="B2086">INDEX('Whitelist (Blackout Reverse)'!$B$1:$K$1,MOD(ROW()-2,10)+1)</f>
        <v>HUDSON</v>
      </c>
      <c r="C2086" s="2" t="str">
        <f>VLOOKUP(A2086,'[1]Brand Family Territory (Enc)'!$A$2:$B$296,2,FALSE)</f>
        <v>All Counties</v>
      </c>
      <c r="D2086" s="2">
        <f>IF(COUNTIFS('[1]Brand Family Territories (Enc)'!$B$2:$B$62,C2086,'[1]Brand Family Territories (Enc)'!$C$2:$C$62,B2086)&gt;0,1,IF(AND(LEFT(B2086,6)="MORRIS",COUNTIFS('[1]Brand Family Territories (Enc)'!$B$2:$B$62,C2086,'[1]Brand Family Territories (Enc)'!$C$2:$C$62,"Morri")&gt;0),"Unk",0))</f>
        <v>1</v>
      </c>
      <c r="E2086" s="2" t="str">
        <f>IFERROR(INDEX('Blackout Brand Fam Areas (Enc)'!$D$6:$D$998,MATCH(UPPER(A2086)&amp;"|"&amp;UPPER(B2086),'Blackout Brand Fam Areas (Enc)'!$G$6:$G$998,0)),"No Match")</f>
        <v>No Match</v>
      </c>
      <c r="F2086" s="2" t="str">
        <f t="shared" si="64"/>
        <v>US</v>
      </c>
      <c r="G2086" s="2" t="str">
        <f t="shared" si="65"/>
        <v>OVO Vodka|HUDSON</v>
      </c>
    </row>
    <row r="2087" spans="1:7" x14ac:dyDescent="0.2">
      <c r="A2087" s="2" t="str" cm="1">
        <f t="array" ref="A2087">INDEX('[1]Brand Family Territory (Enc)'!$A$2:$A$296,INT((ROW()-2)/10)+1)</f>
        <v>OVO Vodka</v>
      </c>
      <c r="B2087" s="2" t="str" cm="1">
        <f t="array" ref="B2087">INDEX('Whitelist (Blackout Reverse)'!$B$1:$K$1,MOD(ROW()-2,10)+1)</f>
        <v>UNION</v>
      </c>
      <c r="C2087" s="2" t="str">
        <f>VLOOKUP(A2087,'[1]Brand Family Territory (Enc)'!$A$2:$B$296,2,FALSE)</f>
        <v>All Counties</v>
      </c>
      <c r="D2087" s="2">
        <f>IF(COUNTIFS('[1]Brand Family Territories (Enc)'!$B$2:$B$62,C2087,'[1]Brand Family Territories (Enc)'!$C$2:$C$62,B2087)&gt;0,1,IF(AND(LEFT(B2087,6)="MORRIS",COUNTIFS('[1]Brand Family Territories (Enc)'!$B$2:$B$62,C2087,'[1]Brand Family Territories (Enc)'!$C$2:$C$62,"Morri")&gt;0),"Unk",0))</f>
        <v>1</v>
      </c>
      <c r="E2087" s="2" t="str">
        <f>IFERROR(INDEX('Blackout Brand Fam Areas (Enc)'!$D$6:$D$998,MATCH(UPPER(A2087)&amp;"|"&amp;UPPER(B2087),'Blackout Brand Fam Areas (Enc)'!$G$6:$G$998,0)),"No Match")</f>
        <v>No Match</v>
      </c>
      <c r="F2087" s="2" t="str">
        <f t="shared" si="64"/>
        <v>US</v>
      </c>
      <c r="G2087" s="2" t="str">
        <f t="shared" si="65"/>
        <v>OVO Vodka|UNION</v>
      </c>
    </row>
    <row r="2088" spans="1:7" x14ac:dyDescent="0.2">
      <c r="A2088" s="2" t="str" cm="1">
        <f t="array" ref="A2088">INDEX('[1]Brand Family Territory (Enc)'!$A$2:$A$296,INT((ROW()-2)/10)+1)</f>
        <v>OVO Vodka</v>
      </c>
      <c r="B2088" s="2" t="str" cm="1">
        <f t="array" ref="B2088">INDEX('Whitelist (Blackout Reverse)'!$B$1:$K$1,MOD(ROW()-2,10)+1)</f>
        <v>SUSSEX</v>
      </c>
      <c r="C2088" s="2" t="str">
        <f>VLOOKUP(A2088,'[1]Brand Family Territory (Enc)'!$A$2:$B$296,2,FALSE)</f>
        <v>All Counties</v>
      </c>
      <c r="D2088" s="2">
        <f>IF(COUNTIFS('[1]Brand Family Territories (Enc)'!$B$2:$B$62,C2088,'[1]Brand Family Territories (Enc)'!$C$2:$C$62,B2088)&gt;0,1,IF(AND(LEFT(B2088,6)="MORRIS",COUNTIFS('[1]Brand Family Territories (Enc)'!$B$2:$B$62,C2088,'[1]Brand Family Territories (Enc)'!$C$2:$C$62,"Morri")&gt;0),"Unk",0))</f>
        <v>1</v>
      </c>
      <c r="E2088" s="2" t="str">
        <f>IFERROR(INDEX('Blackout Brand Fam Areas (Enc)'!$D$6:$D$998,MATCH(UPPER(A2088)&amp;"|"&amp;UPPER(B2088),'Blackout Brand Fam Areas (Enc)'!$G$6:$G$998,0)),"No Match")</f>
        <v>No Match</v>
      </c>
      <c r="F2088" s="2" t="str">
        <f t="shared" si="64"/>
        <v>US</v>
      </c>
      <c r="G2088" s="2" t="str">
        <f t="shared" si="65"/>
        <v>OVO Vodka|SUSSEX</v>
      </c>
    </row>
    <row r="2089" spans="1:7" x14ac:dyDescent="0.2">
      <c r="A2089" s="2" t="str" cm="1">
        <f t="array" ref="A2089">INDEX('[1]Brand Family Territory (Enc)'!$A$2:$A$296,INT((ROW()-2)/10)+1)</f>
        <v>OVO Vodka</v>
      </c>
      <c r="B2089" s="2" t="str" cm="1">
        <f t="array" ref="B2089">INDEX('Whitelist (Blackout Reverse)'!$B$1:$K$1,MOD(ROW()-2,10)+1)</f>
        <v>MORRIS 1</v>
      </c>
      <c r="C2089" s="2" t="str">
        <f>VLOOKUP(A2089,'[1]Brand Family Territory (Enc)'!$A$2:$B$296,2,FALSE)</f>
        <v>All Counties</v>
      </c>
      <c r="D2089" s="2">
        <f>IF(COUNTIFS('[1]Brand Family Territories (Enc)'!$B$2:$B$62,C2089,'[1]Brand Family Territories (Enc)'!$C$2:$C$62,B2089)&gt;0,1,IF(AND(LEFT(B2089,6)="MORRIS",COUNTIFS('[1]Brand Family Territories (Enc)'!$B$2:$B$62,C2089,'[1]Brand Family Territories (Enc)'!$C$2:$C$62,"Morri")&gt;0),"Unk",0))</f>
        <v>1</v>
      </c>
      <c r="E2089" s="2" t="str">
        <f>IFERROR(INDEX('Blackout Brand Fam Areas (Enc)'!$D$6:$D$998,MATCH(UPPER(A2089)&amp;"|"&amp;UPPER(B2089),'Blackout Brand Fam Areas (Enc)'!$G$6:$G$998,0)),"No Match")</f>
        <v>No Match</v>
      </c>
      <c r="F2089" s="2" t="str">
        <f t="shared" si="64"/>
        <v>US</v>
      </c>
      <c r="G2089" s="2" t="str">
        <f t="shared" si="65"/>
        <v>OVO Vodka|MORRIS 1</v>
      </c>
    </row>
    <row r="2090" spans="1:7" x14ac:dyDescent="0.2">
      <c r="A2090" s="2" t="str" cm="1">
        <f t="array" ref="A2090">INDEX('[1]Brand Family Territory (Enc)'!$A$2:$A$296,INT((ROW()-2)/10)+1)</f>
        <v>OVO Vodka</v>
      </c>
      <c r="B2090" s="2" t="str" cm="1">
        <f t="array" ref="B2090">INDEX('Whitelist (Blackout Reverse)'!$B$1:$K$1,MOD(ROW()-2,10)+1)</f>
        <v>MORRIS 2</v>
      </c>
      <c r="C2090" s="2" t="str">
        <f>VLOOKUP(A2090,'[1]Brand Family Territory (Enc)'!$A$2:$B$296,2,FALSE)</f>
        <v>All Counties</v>
      </c>
      <c r="D2090" s="2">
        <f>IF(COUNTIFS('[1]Brand Family Territories (Enc)'!$B$2:$B$62,C2090,'[1]Brand Family Territories (Enc)'!$C$2:$C$62,B2090)&gt;0,1,IF(AND(LEFT(B2090,6)="MORRIS",COUNTIFS('[1]Brand Family Territories (Enc)'!$B$2:$B$62,C2090,'[1]Brand Family Territories (Enc)'!$C$2:$C$62,"Morri")&gt;0),"Unk",0))</f>
        <v>1</v>
      </c>
      <c r="E2090" s="2" t="str">
        <f>IFERROR(INDEX('Blackout Brand Fam Areas (Enc)'!$D$6:$D$998,MATCH(UPPER(A2090)&amp;"|"&amp;UPPER(B2090),'Blackout Brand Fam Areas (Enc)'!$G$6:$G$998,0)),"No Match")</f>
        <v>No Match</v>
      </c>
      <c r="F2090" s="2" t="str">
        <f t="shared" si="64"/>
        <v>US</v>
      </c>
      <c r="G2090" s="2" t="str">
        <f t="shared" si="65"/>
        <v>OVO Vodka|MORRIS 2</v>
      </c>
    </row>
    <row r="2091" spans="1:7" x14ac:dyDescent="0.2">
      <c r="A2091" s="2" t="str" cm="1">
        <f t="array" ref="A2091">INDEX('[1]Brand Family Territory (Enc)'!$A$2:$A$296,INT((ROW()-2)/10)+1)</f>
        <v>OVO Vodka</v>
      </c>
      <c r="B2091" s="2" t="str" cm="1">
        <f t="array" ref="B2091">INDEX('Whitelist (Blackout Reverse)'!$B$1:$K$1,MOD(ROW()-2,10)+1)</f>
        <v>MORRIS 3</v>
      </c>
      <c r="C2091" s="2" t="str">
        <f>VLOOKUP(A2091,'[1]Brand Family Territory (Enc)'!$A$2:$B$296,2,FALSE)</f>
        <v>All Counties</v>
      </c>
      <c r="D2091" s="2">
        <f>IF(COUNTIFS('[1]Brand Family Territories (Enc)'!$B$2:$B$62,C2091,'[1]Brand Family Territories (Enc)'!$C$2:$C$62,B2091)&gt;0,1,IF(AND(LEFT(B2091,6)="MORRIS",COUNTIFS('[1]Brand Family Territories (Enc)'!$B$2:$B$62,C2091,'[1]Brand Family Territories (Enc)'!$C$2:$C$62,"Morri")&gt;0),"Unk",0))</f>
        <v>1</v>
      </c>
      <c r="E2091" s="2" t="str">
        <f>IFERROR(INDEX('Blackout Brand Fam Areas (Enc)'!$D$6:$D$998,MATCH(UPPER(A2091)&amp;"|"&amp;UPPER(B2091),'Blackout Brand Fam Areas (Enc)'!$G$6:$G$998,0)),"No Match")</f>
        <v>No Match</v>
      </c>
      <c r="F2091" s="2" t="str">
        <f t="shared" si="64"/>
        <v>US</v>
      </c>
      <c r="G2091" s="2" t="str">
        <f t="shared" si="65"/>
        <v>OVO Vodka|MORRIS 3</v>
      </c>
    </row>
    <row r="2092" spans="1:7" x14ac:dyDescent="0.2">
      <c r="A2092" s="2" t="str" cm="1">
        <f t="array" ref="A2092">INDEX('[1]Brand Family Territory (Enc)'!$A$2:$A$296,INT((ROW()-2)/10)+1)</f>
        <v>Pabst Blue Ribbon</v>
      </c>
      <c r="B2092" s="2" t="str" cm="1">
        <f t="array" ref="B2092">INDEX('Whitelist (Blackout Reverse)'!$B$1:$K$1,MOD(ROW()-2,10)+1)</f>
        <v>BERGEN</v>
      </c>
      <c r="C2092" s="2" t="str">
        <f>VLOOKUP(A2092,'[1]Brand Family Territory (Enc)'!$A$2:$B$296,2,FALSE)</f>
        <v>All Counties</v>
      </c>
      <c r="D2092" s="2">
        <f>IF(COUNTIFS('[1]Brand Family Territories (Enc)'!$B$2:$B$62,C2092,'[1]Brand Family Territories (Enc)'!$C$2:$C$62,B2092)&gt;0,1,IF(AND(LEFT(B2092,6)="MORRIS",COUNTIFS('[1]Brand Family Territories (Enc)'!$B$2:$B$62,C2092,'[1]Brand Family Territories (Enc)'!$C$2:$C$62,"Morri")&gt;0),"Unk",0))</f>
        <v>1</v>
      </c>
      <c r="E2092" s="2" t="str">
        <f>IFERROR(INDEX('Blackout Brand Fam Areas (Enc)'!$D$6:$D$998,MATCH(UPPER(A2092)&amp;"|"&amp;UPPER(B2092),'Blackout Brand Fam Areas (Enc)'!$G$6:$G$998,0)),"No Match")</f>
        <v>No Match</v>
      </c>
      <c r="F2092" s="2" t="str">
        <f t="shared" si="64"/>
        <v>US</v>
      </c>
      <c r="G2092" s="2" t="str">
        <f t="shared" si="65"/>
        <v>Pabst Blue Ribbon|BERGEN</v>
      </c>
    </row>
    <row r="2093" spans="1:7" x14ac:dyDescent="0.2">
      <c r="A2093" s="2" t="str" cm="1">
        <f t="array" ref="A2093">INDEX('[1]Brand Family Territory (Enc)'!$A$2:$A$296,INT((ROW()-2)/10)+1)</f>
        <v>Pabst Blue Ribbon</v>
      </c>
      <c r="B2093" s="2" t="str" cm="1">
        <f t="array" ref="B2093">INDEX('Whitelist (Blackout Reverse)'!$B$1:$K$1,MOD(ROW()-2,10)+1)</f>
        <v>PASSAIC</v>
      </c>
      <c r="C2093" s="2" t="str">
        <f>VLOOKUP(A2093,'[1]Brand Family Territory (Enc)'!$A$2:$B$296,2,FALSE)</f>
        <v>All Counties</v>
      </c>
      <c r="D2093" s="2">
        <f>IF(COUNTIFS('[1]Brand Family Territories (Enc)'!$B$2:$B$62,C2093,'[1]Brand Family Territories (Enc)'!$C$2:$C$62,B2093)&gt;0,1,IF(AND(LEFT(B2093,6)="MORRIS",COUNTIFS('[1]Brand Family Territories (Enc)'!$B$2:$B$62,C2093,'[1]Brand Family Territories (Enc)'!$C$2:$C$62,"Morri")&gt;0),"Unk",0))</f>
        <v>1</v>
      </c>
      <c r="E2093" s="2" t="str">
        <f>IFERROR(INDEX('Blackout Brand Fam Areas (Enc)'!$D$6:$D$998,MATCH(UPPER(A2093)&amp;"|"&amp;UPPER(B2093),'Blackout Brand Fam Areas (Enc)'!$G$6:$G$998,0)),"No Match")</f>
        <v>No Match</v>
      </c>
      <c r="F2093" s="2" t="str">
        <f t="shared" si="64"/>
        <v>US</v>
      </c>
      <c r="G2093" s="2" t="str">
        <f t="shared" si="65"/>
        <v>Pabst Blue Ribbon|PASSAIC</v>
      </c>
    </row>
    <row r="2094" spans="1:7" x14ac:dyDescent="0.2">
      <c r="A2094" s="2" t="str" cm="1">
        <f t="array" ref="A2094">INDEX('[1]Brand Family Territory (Enc)'!$A$2:$A$296,INT((ROW()-2)/10)+1)</f>
        <v>Pabst Blue Ribbon</v>
      </c>
      <c r="B2094" s="2" t="str" cm="1">
        <f t="array" ref="B2094">INDEX('Whitelist (Blackout Reverse)'!$B$1:$K$1,MOD(ROW()-2,10)+1)</f>
        <v>PASSAIC-FF</v>
      </c>
      <c r="C2094" s="2" t="str">
        <f>VLOOKUP(A2094,'[1]Brand Family Territory (Enc)'!$A$2:$B$296,2,FALSE)</f>
        <v>All Counties</v>
      </c>
      <c r="D2094" s="2">
        <f>IF(COUNTIFS('[1]Brand Family Territories (Enc)'!$B$2:$B$62,C2094,'[1]Brand Family Territories (Enc)'!$C$2:$C$62,B2094)&gt;0,1,IF(AND(LEFT(B2094,6)="MORRIS",COUNTIFS('[1]Brand Family Territories (Enc)'!$B$2:$B$62,C2094,'[1]Brand Family Territories (Enc)'!$C$2:$C$62,"Morri")&gt;0),"Unk",0))</f>
        <v>1</v>
      </c>
      <c r="E2094" s="2" t="str">
        <f>IFERROR(INDEX('Blackout Brand Fam Areas (Enc)'!$D$6:$D$998,MATCH(UPPER(A2094)&amp;"|"&amp;UPPER(B2094),'Blackout Brand Fam Areas (Enc)'!$G$6:$G$998,0)),"No Match")</f>
        <v>No Match</v>
      </c>
      <c r="F2094" s="2" t="str">
        <f t="shared" si="64"/>
        <v>US</v>
      </c>
      <c r="G2094" s="2" t="str">
        <f t="shared" si="65"/>
        <v>Pabst Blue Ribbon|PASSAIC-FF</v>
      </c>
    </row>
    <row r="2095" spans="1:7" x14ac:dyDescent="0.2">
      <c r="A2095" s="2" t="str" cm="1">
        <f t="array" ref="A2095">INDEX('[1]Brand Family Territory (Enc)'!$A$2:$A$296,INT((ROW()-2)/10)+1)</f>
        <v>Pabst Blue Ribbon</v>
      </c>
      <c r="B2095" s="2" t="str" cm="1">
        <f t="array" ref="B2095">INDEX('Whitelist (Blackout Reverse)'!$B$1:$K$1,MOD(ROW()-2,10)+1)</f>
        <v>ESSEX</v>
      </c>
      <c r="C2095" s="2" t="str">
        <f>VLOOKUP(A2095,'[1]Brand Family Territory (Enc)'!$A$2:$B$296,2,FALSE)</f>
        <v>All Counties</v>
      </c>
      <c r="D2095" s="2">
        <f>IF(COUNTIFS('[1]Brand Family Territories (Enc)'!$B$2:$B$62,C2095,'[1]Brand Family Territories (Enc)'!$C$2:$C$62,B2095)&gt;0,1,IF(AND(LEFT(B2095,6)="MORRIS",COUNTIFS('[1]Brand Family Territories (Enc)'!$B$2:$B$62,C2095,'[1]Brand Family Territories (Enc)'!$C$2:$C$62,"Morri")&gt;0),"Unk",0))</f>
        <v>1</v>
      </c>
      <c r="E2095" s="2" t="str">
        <f>IFERROR(INDEX('Blackout Brand Fam Areas (Enc)'!$D$6:$D$998,MATCH(UPPER(A2095)&amp;"|"&amp;UPPER(B2095),'Blackout Brand Fam Areas (Enc)'!$G$6:$G$998,0)),"No Match")</f>
        <v>No Match</v>
      </c>
      <c r="F2095" s="2" t="str">
        <f t="shared" si="64"/>
        <v>US</v>
      </c>
      <c r="G2095" s="2" t="str">
        <f t="shared" si="65"/>
        <v>Pabst Blue Ribbon|ESSEX</v>
      </c>
    </row>
    <row r="2096" spans="1:7" x14ac:dyDescent="0.2">
      <c r="A2096" s="2" t="str" cm="1">
        <f t="array" ref="A2096">INDEX('[1]Brand Family Territory (Enc)'!$A$2:$A$296,INT((ROW()-2)/10)+1)</f>
        <v>Pabst Blue Ribbon</v>
      </c>
      <c r="B2096" s="2" t="str" cm="1">
        <f t="array" ref="B2096">INDEX('Whitelist (Blackout Reverse)'!$B$1:$K$1,MOD(ROW()-2,10)+1)</f>
        <v>HUDSON</v>
      </c>
      <c r="C2096" s="2" t="str">
        <f>VLOOKUP(A2096,'[1]Brand Family Territory (Enc)'!$A$2:$B$296,2,FALSE)</f>
        <v>All Counties</v>
      </c>
      <c r="D2096" s="2">
        <f>IF(COUNTIFS('[1]Brand Family Territories (Enc)'!$B$2:$B$62,C2096,'[1]Brand Family Territories (Enc)'!$C$2:$C$62,B2096)&gt;0,1,IF(AND(LEFT(B2096,6)="MORRIS",COUNTIFS('[1]Brand Family Territories (Enc)'!$B$2:$B$62,C2096,'[1]Brand Family Territories (Enc)'!$C$2:$C$62,"Morri")&gt;0),"Unk",0))</f>
        <v>1</v>
      </c>
      <c r="E2096" s="2" t="str">
        <f>IFERROR(INDEX('Blackout Brand Fam Areas (Enc)'!$D$6:$D$998,MATCH(UPPER(A2096)&amp;"|"&amp;UPPER(B2096),'Blackout Brand Fam Areas (Enc)'!$G$6:$G$998,0)),"No Match")</f>
        <v>No Match</v>
      </c>
      <c r="F2096" s="2" t="str">
        <f t="shared" si="64"/>
        <v>US</v>
      </c>
      <c r="G2096" s="2" t="str">
        <f t="shared" si="65"/>
        <v>Pabst Blue Ribbon|HUDSON</v>
      </c>
    </row>
    <row r="2097" spans="1:7" x14ac:dyDescent="0.2">
      <c r="A2097" s="2" t="str" cm="1">
        <f t="array" ref="A2097">INDEX('[1]Brand Family Territory (Enc)'!$A$2:$A$296,INT((ROW()-2)/10)+1)</f>
        <v>Pabst Blue Ribbon</v>
      </c>
      <c r="B2097" s="2" t="str" cm="1">
        <f t="array" ref="B2097">INDEX('Whitelist (Blackout Reverse)'!$B$1:$K$1,MOD(ROW()-2,10)+1)</f>
        <v>UNION</v>
      </c>
      <c r="C2097" s="2" t="str">
        <f>VLOOKUP(A2097,'[1]Brand Family Territory (Enc)'!$A$2:$B$296,2,FALSE)</f>
        <v>All Counties</v>
      </c>
      <c r="D2097" s="2">
        <f>IF(COUNTIFS('[1]Brand Family Territories (Enc)'!$B$2:$B$62,C2097,'[1]Brand Family Territories (Enc)'!$C$2:$C$62,B2097)&gt;0,1,IF(AND(LEFT(B2097,6)="MORRIS",COUNTIFS('[1]Brand Family Territories (Enc)'!$B$2:$B$62,C2097,'[1]Brand Family Territories (Enc)'!$C$2:$C$62,"Morri")&gt;0),"Unk",0))</f>
        <v>1</v>
      </c>
      <c r="E2097" s="2" t="str">
        <f>IFERROR(INDEX('Blackout Brand Fam Areas (Enc)'!$D$6:$D$998,MATCH(UPPER(A2097)&amp;"|"&amp;UPPER(B2097),'Blackout Brand Fam Areas (Enc)'!$G$6:$G$998,0)),"No Match")</f>
        <v>No Match</v>
      </c>
      <c r="F2097" s="2" t="str">
        <f t="shared" si="64"/>
        <v>US</v>
      </c>
      <c r="G2097" s="2" t="str">
        <f t="shared" si="65"/>
        <v>Pabst Blue Ribbon|UNION</v>
      </c>
    </row>
    <row r="2098" spans="1:7" x14ac:dyDescent="0.2">
      <c r="A2098" s="2" t="str" cm="1">
        <f t="array" ref="A2098">INDEX('[1]Brand Family Territory (Enc)'!$A$2:$A$296,INT((ROW()-2)/10)+1)</f>
        <v>Pabst Blue Ribbon</v>
      </c>
      <c r="B2098" s="2" t="str" cm="1">
        <f t="array" ref="B2098">INDEX('Whitelist (Blackout Reverse)'!$B$1:$K$1,MOD(ROW()-2,10)+1)</f>
        <v>SUSSEX</v>
      </c>
      <c r="C2098" s="2" t="str">
        <f>VLOOKUP(A2098,'[1]Brand Family Territory (Enc)'!$A$2:$B$296,2,FALSE)</f>
        <v>All Counties</v>
      </c>
      <c r="D2098" s="2">
        <f>IF(COUNTIFS('[1]Brand Family Territories (Enc)'!$B$2:$B$62,C2098,'[1]Brand Family Territories (Enc)'!$C$2:$C$62,B2098)&gt;0,1,IF(AND(LEFT(B2098,6)="MORRIS",COUNTIFS('[1]Brand Family Territories (Enc)'!$B$2:$B$62,C2098,'[1]Brand Family Territories (Enc)'!$C$2:$C$62,"Morri")&gt;0),"Unk",0))</f>
        <v>1</v>
      </c>
      <c r="E2098" s="2" t="str">
        <f>IFERROR(INDEX('Blackout Brand Fam Areas (Enc)'!$D$6:$D$998,MATCH(UPPER(A2098)&amp;"|"&amp;UPPER(B2098),'Blackout Brand Fam Areas (Enc)'!$G$6:$G$998,0)),"No Match")</f>
        <v>No Match</v>
      </c>
      <c r="F2098" s="2" t="str">
        <f t="shared" si="64"/>
        <v>US</v>
      </c>
      <c r="G2098" s="2" t="str">
        <f t="shared" si="65"/>
        <v>Pabst Blue Ribbon|SUSSEX</v>
      </c>
    </row>
    <row r="2099" spans="1:7" x14ac:dyDescent="0.2">
      <c r="A2099" s="2" t="str" cm="1">
        <f t="array" ref="A2099">INDEX('[1]Brand Family Territory (Enc)'!$A$2:$A$296,INT((ROW()-2)/10)+1)</f>
        <v>Pabst Blue Ribbon</v>
      </c>
      <c r="B2099" s="2" t="str" cm="1">
        <f t="array" ref="B2099">INDEX('Whitelist (Blackout Reverse)'!$B$1:$K$1,MOD(ROW()-2,10)+1)</f>
        <v>MORRIS 1</v>
      </c>
      <c r="C2099" s="2" t="str">
        <f>VLOOKUP(A2099,'[1]Brand Family Territory (Enc)'!$A$2:$B$296,2,FALSE)</f>
        <v>All Counties</v>
      </c>
      <c r="D2099" s="2">
        <f>IF(COUNTIFS('[1]Brand Family Territories (Enc)'!$B$2:$B$62,C2099,'[1]Brand Family Territories (Enc)'!$C$2:$C$62,B2099)&gt;0,1,IF(AND(LEFT(B2099,6)="MORRIS",COUNTIFS('[1]Brand Family Territories (Enc)'!$B$2:$B$62,C2099,'[1]Brand Family Territories (Enc)'!$C$2:$C$62,"Morri")&gt;0),"Unk",0))</f>
        <v>1</v>
      </c>
      <c r="E2099" s="2" t="str">
        <f>IFERROR(INDEX('Blackout Brand Fam Areas (Enc)'!$D$6:$D$998,MATCH(UPPER(A2099)&amp;"|"&amp;UPPER(B2099),'Blackout Brand Fam Areas (Enc)'!$G$6:$G$998,0)),"No Match")</f>
        <v>No Match</v>
      </c>
      <c r="F2099" s="2" t="str">
        <f t="shared" si="64"/>
        <v>US</v>
      </c>
      <c r="G2099" s="2" t="str">
        <f t="shared" si="65"/>
        <v>Pabst Blue Ribbon|MORRIS 1</v>
      </c>
    </row>
    <row r="2100" spans="1:7" x14ac:dyDescent="0.2">
      <c r="A2100" s="2" t="str" cm="1">
        <f t="array" ref="A2100">INDEX('[1]Brand Family Territory (Enc)'!$A$2:$A$296,INT((ROW()-2)/10)+1)</f>
        <v>Pabst Blue Ribbon</v>
      </c>
      <c r="B2100" s="2" t="str" cm="1">
        <f t="array" ref="B2100">INDEX('Whitelist (Blackout Reverse)'!$B$1:$K$1,MOD(ROW()-2,10)+1)</f>
        <v>MORRIS 2</v>
      </c>
      <c r="C2100" s="2" t="str">
        <f>VLOOKUP(A2100,'[1]Brand Family Territory (Enc)'!$A$2:$B$296,2,FALSE)</f>
        <v>All Counties</v>
      </c>
      <c r="D2100" s="2">
        <f>IF(COUNTIFS('[1]Brand Family Territories (Enc)'!$B$2:$B$62,C2100,'[1]Brand Family Territories (Enc)'!$C$2:$C$62,B2100)&gt;0,1,IF(AND(LEFT(B2100,6)="MORRIS",COUNTIFS('[1]Brand Family Territories (Enc)'!$B$2:$B$62,C2100,'[1]Brand Family Territories (Enc)'!$C$2:$C$62,"Morri")&gt;0),"Unk",0))</f>
        <v>1</v>
      </c>
      <c r="E2100" s="2" t="str">
        <f>IFERROR(INDEX('Blackout Brand Fam Areas (Enc)'!$D$6:$D$998,MATCH(UPPER(A2100)&amp;"|"&amp;UPPER(B2100),'Blackout Brand Fam Areas (Enc)'!$G$6:$G$998,0)),"No Match")</f>
        <v>No Match</v>
      </c>
      <c r="F2100" s="2" t="str">
        <f t="shared" si="64"/>
        <v>US</v>
      </c>
      <c r="G2100" s="2" t="str">
        <f t="shared" si="65"/>
        <v>Pabst Blue Ribbon|MORRIS 2</v>
      </c>
    </row>
    <row r="2101" spans="1:7" x14ac:dyDescent="0.2">
      <c r="A2101" s="2" t="str" cm="1">
        <f t="array" ref="A2101">INDEX('[1]Brand Family Territory (Enc)'!$A$2:$A$296,INT((ROW()-2)/10)+1)</f>
        <v>Pabst Blue Ribbon</v>
      </c>
      <c r="B2101" s="2" t="str" cm="1">
        <f t="array" ref="B2101">INDEX('Whitelist (Blackout Reverse)'!$B$1:$K$1,MOD(ROW()-2,10)+1)</f>
        <v>MORRIS 3</v>
      </c>
      <c r="C2101" s="2" t="str">
        <f>VLOOKUP(A2101,'[1]Brand Family Territory (Enc)'!$A$2:$B$296,2,FALSE)</f>
        <v>All Counties</v>
      </c>
      <c r="D2101" s="2">
        <f>IF(COUNTIFS('[1]Brand Family Territories (Enc)'!$B$2:$B$62,C2101,'[1]Brand Family Territories (Enc)'!$C$2:$C$62,B2101)&gt;0,1,IF(AND(LEFT(B2101,6)="MORRIS",COUNTIFS('[1]Brand Family Territories (Enc)'!$B$2:$B$62,C2101,'[1]Brand Family Territories (Enc)'!$C$2:$C$62,"Morri")&gt;0),"Unk",0))</f>
        <v>1</v>
      </c>
      <c r="E2101" s="2" t="str">
        <f>IFERROR(INDEX('Blackout Brand Fam Areas (Enc)'!$D$6:$D$998,MATCH(UPPER(A2101)&amp;"|"&amp;UPPER(B2101),'Blackout Brand Fam Areas (Enc)'!$G$6:$G$998,0)),"No Match")</f>
        <v>No Match</v>
      </c>
      <c r="F2101" s="2" t="str">
        <f t="shared" si="64"/>
        <v>US</v>
      </c>
      <c r="G2101" s="2" t="str">
        <f t="shared" si="65"/>
        <v>Pabst Blue Ribbon|MORRIS 3</v>
      </c>
    </row>
    <row r="2102" spans="1:7" x14ac:dyDescent="0.2">
      <c r="A2102" s="2" t="str" cm="1">
        <f t="array" ref="A2102">INDEX('[1]Brand Family Territory (Enc)'!$A$2:$A$296,INT((ROW()-2)/10)+1)</f>
        <v>Pabst Light</v>
      </c>
      <c r="B2102" s="2" t="str" cm="1">
        <f t="array" ref="B2102">INDEX('Whitelist (Blackout Reverse)'!$B$1:$K$1,MOD(ROW()-2,10)+1)</f>
        <v>BERGEN</v>
      </c>
      <c r="C2102" s="2" t="str">
        <f>VLOOKUP(A2102,'[1]Brand Family Territory (Enc)'!$A$2:$B$296,2,FALSE)</f>
        <v>All Counties</v>
      </c>
      <c r="D2102" s="2">
        <f>IF(COUNTIFS('[1]Brand Family Territories (Enc)'!$B$2:$B$62,C2102,'[1]Brand Family Territories (Enc)'!$C$2:$C$62,B2102)&gt;0,1,IF(AND(LEFT(B2102,6)="MORRIS",COUNTIFS('[1]Brand Family Territories (Enc)'!$B$2:$B$62,C2102,'[1]Brand Family Territories (Enc)'!$C$2:$C$62,"Morri")&gt;0),"Unk",0))</f>
        <v>1</v>
      </c>
      <c r="E2102" s="2" t="str">
        <f>IFERROR(INDEX('Blackout Brand Fam Areas (Enc)'!$D$6:$D$998,MATCH(UPPER(A2102)&amp;"|"&amp;UPPER(B2102),'Blackout Brand Fam Areas (Enc)'!$G$6:$G$998,0)),"No Match")</f>
        <v>No Match</v>
      </c>
      <c r="F2102" s="2" t="str">
        <f t="shared" si="64"/>
        <v>US</v>
      </c>
      <c r="G2102" s="2" t="str">
        <f t="shared" si="65"/>
        <v>Pabst Light|BERGEN</v>
      </c>
    </row>
    <row r="2103" spans="1:7" x14ac:dyDescent="0.2">
      <c r="A2103" s="2" t="str" cm="1">
        <f t="array" ref="A2103">INDEX('[1]Brand Family Territory (Enc)'!$A$2:$A$296,INT((ROW()-2)/10)+1)</f>
        <v>Pabst Light</v>
      </c>
      <c r="B2103" s="2" t="str" cm="1">
        <f t="array" ref="B2103">INDEX('Whitelist (Blackout Reverse)'!$B$1:$K$1,MOD(ROW()-2,10)+1)</f>
        <v>PASSAIC</v>
      </c>
      <c r="C2103" s="2" t="str">
        <f>VLOOKUP(A2103,'[1]Brand Family Territory (Enc)'!$A$2:$B$296,2,FALSE)</f>
        <v>All Counties</v>
      </c>
      <c r="D2103" s="2">
        <f>IF(COUNTIFS('[1]Brand Family Territories (Enc)'!$B$2:$B$62,C2103,'[1]Brand Family Territories (Enc)'!$C$2:$C$62,B2103)&gt;0,1,IF(AND(LEFT(B2103,6)="MORRIS",COUNTIFS('[1]Brand Family Territories (Enc)'!$B$2:$B$62,C2103,'[1]Brand Family Territories (Enc)'!$C$2:$C$62,"Morri")&gt;0),"Unk",0))</f>
        <v>1</v>
      </c>
      <c r="E2103" s="2" t="str">
        <f>IFERROR(INDEX('Blackout Brand Fam Areas (Enc)'!$D$6:$D$998,MATCH(UPPER(A2103)&amp;"|"&amp;UPPER(B2103),'Blackout Brand Fam Areas (Enc)'!$G$6:$G$998,0)),"No Match")</f>
        <v>No Match</v>
      </c>
      <c r="F2103" s="2" t="str">
        <f t="shared" si="64"/>
        <v>US</v>
      </c>
      <c r="G2103" s="2" t="str">
        <f t="shared" si="65"/>
        <v>Pabst Light|PASSAIC</v>
      </c>
    </row>
    <row r="2104" spans="1:7" x14ac:dyDescent="0.2">
      <c r="A2104" s="2" t="str" cm="1">
        <f t="array" ref="A2104">INDEX('[1]Brand Family Territory (Enc)'!$A$2:$A$296,INT((ROW()-2)/10)+1)</f>
        <v>Pabst Light</v>
      </c>
      <c r="B2104" s="2" t="str" cm="1">
        <f t="array" ref="B2104">INDEX('Whitelist (Blackout Reverse)'!$B$1:$K$1,MOD(ROW()-2,10)+1)</f>
        <v>PASSAIC-FF</v>
      </c>
      <c r="C2104" s="2" t="str">
        <f>VLOOKUP(A2104,'[1]Brand Family Territory (Enc)'!$A$2:$B$296,2,FALSE)</f>
        <v>All Counties</v>
      </c>
      <c r="D2104" s="2">
        <f>IF(COUNTIFS('[1]Brand Family Territories (Enc)'!$B$2:$B$62,C2104,'[1]Brand Family Territories (Enc)'!$C$2:$C$62,B2104)&gt;0,1,IF(AND(LEFT(B2104,6)="MORRIS",COUNTIFS('[1]Brand Family Territories (Enc)'!$B$2:$B$62,C2104,'[1]Brand Family Territories (Enc)'!$C$2:$C$62,"Morri")&gt;0),"Unk",0))</f>
        <v>1</v>
      </c>
      <c r="E2104" s="2" t="str">
        <f>IFERROR(INDEX('Blackout Brand Fam Areas (Enc)'!$D$6:$D$998,MATCH(UPPER(A2104)&amp;"|"&amp;UPPER(B2104),'Blackout Brand Fam Areas (Enc)'!$G$6:$G$998,0)),"No Match")</f>
        <v>No Match</v>
      </c>
      <c r="F2104" s="2" t="str">
        <f t="shared" si="64"/>
        <v>US</v>
      </c>
      <c r="G2104" s="2" t="str">
        <f t="shared" si="65"/>
        <v>Pabst Light|PASSAIC-FF</v>
      </c>
    </row>
    <row r="2105" spans="1:7" x14ac:dyDescent="0.2">
      <c r="A2105" s="2" t="str" cm="1">
        <f t="array" ref="A2105">INDEX('[1]Brand Family Territory (Enc)'!$A$2:$A$296,INT((ROW()-2)/10)+1)</f>
        <v>Pabst Light</v>
      </c>
      <c r="B2105" s="2" t="str" cm="1">
        <f t="array" ref="B2105">INDEX('Whitelist (Blackout Reverse)'!$B$1:$K$1,MOD(ROW()-2,10)+1)</f>
        <v>ESSEX</v>
      </c>
      <c r="C2105" s="2" t="str">
        <f>VLOOKUP(A2105,'[1]Brand Family Territory (Enc)'!$A$2:$B$296,2,FALSE)</f>
        <v>All Counties</v>
      </c>
      <c r="D2105" s="2">
        <f>IF(COUNTIFS('[1]Brand Family Territories (Enc)'!$B$2:$B$62,C2105,'[1]Brand Family Territories (Enc)'!$C$2:$C$62,B2105)&gt;0,1,IF(AND(LEFT(B2105,6)="MORRIS",COUNTIFS('[1]Brand Family Territories (Enc)'!$B$2:$B$62,C2105,'[1]Brand Family Territories (Enc)'!$C$2:$C$62,"Morri")&gt;0),"Unk",0))</f>
        <v>1</v>
      </c>
      <c r="E2105" s="2" t="str">
        <f>IFERROR(INDEX('Blackout Brand Fam Areas (Enc)'!$D$6:$D$998,MATCH(UPPER(A2105)&amp;"|"&amp;UPPER(B2105),'Blackout Brand Fam Areas (Enc)'!$G$6:$G$998,0)),"No Match")</f>
        <v>No Match</v>
      </c>
      <c r="F2105" s="2" t="str">
        <f t="shared" si="64"/>
        <v>US</v>
      </c>
      <c r="G2105" s="2" t="str">
        <f t="shared" si="65"/>
        <v>Pabst Light|ESSEX</v>
      </c>
    </row>
    <row r="2106" spans="1:7" x14ac:dyDescent="0.2">
      <c r="A2106" s="2" t="str" cm="1">
        <f t="array" ref="A2106">INDEX('[1]Brand Family Territory (Enc)'!$A$2:$A$296,INT((ROW()-2)/10)+1)</f>
        <v>Pabst Light</v>
      </c>
      <c r="B2106" s="2" t="str" cm="1">
        <f t="array" ref="B2106">INDEX('Whitelist (Blackout Reverse)'!$B$1:$K$1,MOD(ROW()-2,10)+1)</f>
        <v>HUDSON</v>
      </c>
      <c r="C2106" s="2" t="str">
        <f>VLOOKUP(A2106,'[1]Brand Family Territory (Enc)'!$A$2:$B$296,2,FALSE)</f>
        <v>All Counties</v>
      </c>
      <c r="D2106" s="2">
        <f>IF(COUNTIFS('[1]Brand Family Territories (Enc)'!$B$2:$B$62,C2106,'[1]Brand Family Territories (Enc)'!$C$2:$C$62,B2106)&gt;0,1,IF(AND(LEFT(B2106,6)="MORRIS",COUNTIFS('[1]Brand Family Territories (Enc)'!$B$2:$B$62,C2106,'[1]Brand Family Territories (Enc)'!$C$2:$C$62,"Morri")&gt;0),"Unk",0))</f>
        <v>1</v>
      </c>
      <c r="E2106" s="2" t="str">
        <f>IFERROR(INDEX('Blackout Brand Fam Areas (Enc)'!$D$6:$D$998,MATCH(UPPER(A2106)&amp;"|"&amp;UPPER(B2106),'Blackout Brand Fam Areas (Enc)'!$G$6:$G$998,0)),"No Match")</f>
        <v>No Match</v>
      </c>
      <c r="F2106" s="2" t="str">
        <f t="shared" si="64"/>
        <v>US</v>
      </c>
      <c r="G2106" s="2" t="str">
        <f t="shared" si="65"/>
        <v>Pabst Light|HUDSON</v>
      </c>
    </row>
    <row r="2107" spans="1:7" x14ac:dyDescent="0.2">
      <c r="A2107" s="2" t="str" cm="1">
        <f t="array" ref="A2107">INDEX('[1]Brand Family Territory (Enc)'!$A$2:$A$296,INT((ROW()-2)/10)+1)</f>
        <v>Pabst Light</v>
      </c>
      <c r="B2107" s="2" t="str" cm="1">
        <f t="array" ref="B2107">INDEX('Whitelist (Blackout Reverse)'!$B$1:$K$1,MOD(ROW()-2,10)+1)</f>
        <v>UNION</v>
      </c>
      <c r="C2107" s="2" t="str">
        <f>VLOOKUP(A2107,'[1]Brand Family Territory (Enc)'!$A$2:$B$296,2,FALSE)</f>
        <v>All Counties</v>
      </c>
      <c r="D2107" s="2">
        <f>IF(COUNTIFS('[1]Brand Family Territories (Enc)'!$B$2:$B$62,C2107,'[1]Brand Family Territories (Enc)'!$C$2:$C$62,B2107)&gt;0,1,IF(AND(LEFT(B2107,6)="MORRIS",COUNTIFS('[1]Brand Family Territories (Enc)'!$B$2:$B$62,C2107,'[1]Brand Family Territories (Enc)'!$C$2:$C$62,"Morri")&gt;0),"Unk",0))</f>
        <v>1</v>
      </c>
      <c r="E2107" s="2" t="str">
        <f>IFERROR(INDEX('Blackout Brand Fam Areas (Enc)'!$D$6:$D$998,MATCH(UPPER(A2107)&amp;"|"&amp;UPPER(B2107),'Blackout Brand Fam Areas (Enc)'!$G$6:$G$998,0)),"No Match")</f>
        <v>No Match</v>
      </c>
      <c r="F2107" s="2" t="str">
        <f t="shared" si="64"/>
        <v>US</v>
      </c>
      <c r="G2107" s="2" t="str">
        <f t="shared" si="65"/>
        <v>Pabst Light|UNION</v>
      </c>
    </row>
    <row r="2108" spans="1:7" x14ac:dyDescent="0.2">
      <c r="A2108" s="2" t="str" cm="1">
        <f t="array" ref="A2108">INDEX('[1]Brand Family Territory (Enc)'!$A$2:$A$296,INT((ROW()-2)/10)+1)</f>
        <v>Pabst Light</v>
      </c>
      <c r="B2108" s="2" t="str" cm="1">
        <f t="array" ref="B2108">INDEX('Whitelist (Blackout Reverse)'!$B$1:$K$1,MOD(ROW()-2,10)+1)</f>
        <v>SUSSEX</v>
      </c>
      <c r="C2108" s="2" t="str">
        <f>VLOOKUP(A2108,'[1]Brand Family Territory (Enc)'!$A$2:$B$296,2,FALSE)</f>
        <v>All Counties</v>
      </c>
      <c r="D2108" s="2">
        <f>IF(COUNTIFS('[1]Brand Family Territories (Enc)'!$B$2:$B$62,C2108,'[1]Brand Family Territories (Enc)'!$C$2:$C$62,B2108)&gt;0,1,IF(AND(LEFT(B2108,6)="MORRIS",COUNTIFS('[1]Brand Family Territories (Enc)'!$B$2:$B$62,C2108,'[1]Brand Family Territories (Enc)'!$C$2:$C$62,"Morri")&gt;0),"Unk",0))</f>
        <v>1</v>
      </c>
      <c r="E2108" s="2" t="str">
        <f>IFERROR(INDEX('Blackout Brand Fam Areas (Enc)'!$D$6:$D$998,MATCH(UPPER(A2108)&amp;"|"&amp;UPPER(B2108),'Blackout Brand Fam Areas (Enc)'!$G$6:$G$998,0)),"No Match")</f>
        <v>No Match</v>
      </c>
      <c r="F2108" s="2" t="str">
        <f t="shared" si="64"/>
        <v>US</v>
      </c>
      <c r="G2108" s="2" t="str">
        <f t="shared" si="65"/>
        <v>Pabst Light|SUSSEX</v>
      </c>
    </row>
    <row r="2109" spans="1:7" x14ac:dyDescent="0.2">
      <c r="A2109" s="2" t="str" cm="1">
        <f t="array" ref="A2109">INDEX('[1]Brand Family Territory (Enc)'!$A$2:$A$296,INT((ROW()-2)/10)+1)</f>
        <v>Pabst Light</v>
      </c>
      <c r="B2109" s="2" t="str" cm="1">
        <f t="array" ref="B2109">INDEX('Whitelist (Blackout Reverse)'!$B$1:$K$1,MOD(ROW()-2,10)+1)</f>
        <v>MORRIS 1</v>
      </c>
      <c r="C2109" s="2" t="str">
        <f>VLOOKUP(A2109,'[1]Brand Family Territory (Enc)'!$A$2:$B$296,2,FALSE)</f>
        <v>All Counties</v>
      </c>
      <c r="D2109" s="2">
        <f>IF(COUNTIFS('[1]Brand Family Territories (Enc)'!$B$2:$B$62,C2109,'[1]Brand Family Territories (Enc)'!$C$2:$C$62,B2109)&gt;0,1,IF(AND(LEFT(B2109,6)="MORRIS",COUNTIFS('[1]Brand Family Territories (Enc)'!$B$2:$B$62,C2109,'[1]Brand Family Territories (Enc)'!$C$2:$C$62,"Morri")&gt;0),"Unk",0))</f>
        <v>1</v>
      </c>
      <c r="E2109" s="2" t="str">
        <f>IFERROR(INDEX('Blackout Brand Fam Areas (Enc)'!$D$6:$D$998,MATCH(UPPER(A2109)&amp;"|"&amp;UPPER(B2109),'Blackout Brand Fam Areas (Enc)'!$G$6:$G$998,0)),"No Match")</f>
        <v>No Match</v>
      </c>
      <c r="F2109" s="2" t="str">
        <f t="shared" si="64"/>
        <v>US</v>
      </c>
      <c r="G2109" s="2" t="str">
        <f t="shared" si="65"/>
        <v>Pabst Light|MORRIS 1</v>
      </c>
    </row>
    <row r="2110" spans="1:7" x14ac:dyDescent="0.2">
      <c r="A2110" s="2" t="str" cm="1">
        <f t="array" ref="A2110">INDEX('[1]Brand Family Territory (Enc)'!$A$2:$A$296,INT((ROW()-2)/10)+1)</f>
        <v>Pabst Light</v>
      </c>
      <c r="B2110" s="2" t="str" cm="1">
        <f t="array" ref="B2110">INDEX('Whitelist (Blackout Reverse)'!$B$1:$K$1,MOD(ROW()-2,10)+1)</f>
        <v>MORRIS 2</v>
      </c>
      <c r="C2110" s="2" t="str">
        <f>VLOOKUP(A2110,'[1]Brand Family Territory (Enc)'!$A$2:$B$296,2,FALSE)</f>
        <v>All Counties</v>
      </c>
      <c r="D2110" s="2">
        <f>IF(COUNTIFS('[1]Brand Family Territories (Enc)'!$B$2:$B$62,C2110,'[1]Brand Family Territories (Enc)'!$C$2:$C$62,B2110)&gt;0,1,IF(AND(LEFT(B2110,6)="MORRIS",COUNTIFS('[1]Brand Family Territories (Enc)'!$B$2:$B$62,C2110,'[1]Brand Family Territories (Enc)'!$C$2:$C$62,"Morri")&gt;0),"Unk",0))</f>
        <v>1</v>
      </c>
      <c r="E2110" s="2" t="str">
        <f>IFERROR(INDEX('Blackout Brand Fam Areas (Enc)'!$D$6:$D$998,MATCH(UPPER(A2110)&amp;"|"&amp;UPPER(B2110),'Blackout Brand Fam Areas (Enc)'!$G$6:$G$998,0)),"No Match")</f>
        <v>No Match</v>
      </c>
      <c r="F2110" s="2" t="str">
        <f t="shared" si="64"/>
        <v>US</v>
      </c>
      <c r="G2110" s="2" t="str">
        <f t="shared" si="65"/>
        <v>Pabst Light|MORRIS 2</v>
      </c>
    </row>
    <row r="2111" spans="1:7" x14ac:dyDescent="0.2">
      <c r="A2111" s="2" t="str" cm="1">
        <f t="array" ref="A2111">INDEX('[1]Brand Family Territory (Enc)'!$A$2:$A$296,INT((ROW()-2)/10)+1)</f>
        <v>Pabst Light</v>
      </c>
      <c r="B2111" s="2" t="str" cm="1">
        <f t="array" ref="B2111">INDEX('Whitelist (Blackout Reverse)'!$B$1:$K$1,MOD(ROW()-2,10)+1)</f>
        <v>MORRIS 3</v>
      </c>
      <c r="C2111" s="2" t="str">
        <f>VLOOKUP(A2111,'[1]Brand Family Territory (Enc)'!$A$2:$B$296,2,FALSE)</f>
        <v>All Counties</v>
      </c>
      <c r="D2111" s="2">
        <f>IF(COUNTIFS('[1]Brand Family Territories (Enc)'!$B$2:$B$62,C2111,'[1]Brand Family Territories (Enc)'!$C$2:$C$62,B2111)&gt;0,1,IF(AND(LEFT(B2111,6)="MORRIS",COUNTIFS('[1]Brand Family Territories (Enc)'!$B$2:$B$62,C2111,'[1]Brand Family Territories (Enc)'!$C$2:$C$62,"Morri")&gt;0),"Unk",0))</f>
        <v>1</v>
      </c>
      <c r="E2111" s="2" t="str">
        <f>IFERROR(INDEX('Blackout Brand Fam Areas (Enc)'!$D$6:$D$998,MATCH(UPPER(A2111)&amp;"|"&amp;UPPER(B2111),'Blackout Brand Fam Areas (Enc)'!$G$6:$G$998,0)),"No Match")</f>
        <v>No Match</v>
      </c>
      <c r="F2111" s="2" t="str">
        <f t="shared" si="64"/>
        <v>US</v>
      </c>
      <c r="G2111" s="2" t="str">
        <f t="shared" si="65"/>
        <v>Pabst Light|MORRIS 3</v>
      </c>
    </row>
    <row r="2112" spans="1:7" x14ac:dyDescent="0.2">
      <c r="A2112" s="2" t="str" cm="1">
        <f t="array" ref="A2112">INDEX('[1]Brand Family Territory (Enc)'!$A$2:$A$296,INT((ROW()-2)/10)+1)</f>
        <v>Palma</v>
      </c>
      <c r="B2112" s="2" t="str" cm="1">
        <f t="array" ref="B2112">INDEX('Whitelist (Blackout Reverse)'!$B$1:$K$1,MOD(ROW()-2,10)+1)</f>
        <v>BERGEN</v>
      </c>
      <c r="C2112" s="2" t="str">
        <f>VLOOKUP(A2112,'[1]Brand Family Territory (Enc)'!$A$2:$B$296,2,FALSE)</f>
        <v>All Counties</v>
      </c>
      <c r="D2112" s="2">
        <f>IF(COUNTIFS('[1]Brand Family Territories (Enc)'!$B$2:$B$62,C2112,'[1]Brand Family Territories (Enc)'!$C$2:$C$62,B2112)&gt;0,1,IF(AND(LEFT(B2112,6)="MORRIS",COUNTIFS('[1]Brand Family Territories (Enc)'!$B$2:$B$62,C2112,'[1]Brand Family Territories (Enc)'!$C$2:$C$62,"Morri")&gt;0),"Unk",0))</f>
        <v>1</v>
      </c>
      <c r="E2112" s="2" t="str">
        <f>IFERROR(INDEX('Blackout Brand Fam Areas (Enc)'!$D$6:$D$998,MATCH(UPPER(A2112)&amp;"|"&amp;UPPER(B2112),'Blackout Brand Fam Areas (Enc)'!$G$6:$G$998,0)),"No Match")</f>
        <v>No Match</v>
      </c>
      <c r="F2112" s="2" t="str">
        <f t="shared" si="64"/>
        <v>US</v>
      </c>
      <c r="G2112" s="2" t="str">
        <f t="shared" si="65"/>
        <v>Palma|BERGEN</v>
      </c>
    </row>
    <row r="2113" spans="1:7" x14ac:dyDescent="0.2">
      <c r="A2113" s="2" t="str" cm="1">
        <f t="array" ref="A2113">INDEX('[1]Brand Family Territory (Enc)'!$A$2:$A$296,INT((ROW()-2)/10)+1)</f>
        <v>Palma</v>
      </c>
      <c r="B2113" s="2" t="str" cm="1">
        <f t="array" ref="B2113">INDEX('Whitelist (Blackout Reverse)'!$B$1:$K$1,MOD(ROW()-2,10)+1)</f>
        <v>PASSAIC</v>
      </c>
      <c r="C2113" s="2" t="str">
        <f>VLOOKUP(A2113,'[1]Brand Family Territory (Enc)'!$A$2:$B$296,2,FALSE)</f>
        <v>All Counties</v>
      </c>
      <c r="D2113" s="2">
        <f>IF(COUNTIFS('[1]Brand Family Territories (Enc)'!$B$2:$B$62,C2113,'[1]Brand Family Territories (Enc)'!$C$2:$C$62,B2113)&gt;0,1,IF(AND(LEFT(B2113,6)="MORRIS",COUNTIFS('[1]Brand Family Territories (Enc)'!$B$2:$B$62,C2113,'[1]Brand Family Territories (Enc)'!$C$2:$C$62,"Morri")&gt;0),"Unk",0))</f>
        <v>1</v>
      </c>
      <c r="E2113" s="2" t="str">
        <f>IFERROR(INDEX('Blackout Brand Fam Areas (Enc)'!$D$6:$D$998,MATCH(UPPER(A2113)&amp;"|"&amp;UPPER(B2113),'Blackout Brand Fam Areas (Enc)'!$G$6:$G$998,0)),"No Match")</f>
        <v>No Match</v>
      </c>
      <c r="F2113" s="2" t="str">
        <f t="shared" si="64"/>
        <v>US</v>
      </c>
      <c r="G2113" s="2" t="str">
        <f t="shared" si="65"/>
        <v>Palma|PASSAIC</v>
      </c>
    </row>
    <row r="2114" spans="1:7" x14ac:dyDescent="0.2">
      <c r="A2114" s="2" t="str" cm="1">
        <f t="array" ref="A2114">INDEX('[1]Brand Family Territory (Enc)'!$A$2:$A$296,INT((ROW()-2)/10)+1)</f>
        <v>Palma</v>
      </c>
      <c r="B2114" s="2" t="str" cm="1">
        <f t="array" ref="B2114">INDEX('Whitelist (Blackout Reverse)'!$B$1:$K$1,MOD(ROW()-2,10)+1)</f>
        <v>PASSAIC-FF</v>
      </c>
      <c r="C2114" s="2" t="str">
        <f>VLOOKUP(A2114,'[1]Brand Family Territory (Enc)'!$A$2:$B$296,2,FALSE)</f>
        <v>All Counties</v>
      </c>
      <c r="D2114" s="2">
        <f>IF(COUNTIFS('[1]Brand Family Territories (Enc)'!$B$2:$B$62,C2114,'[1]Brand Family Territories (Enc)'!$C$2:$C$62,B2114)&gt;0,1,IF(AND(LEFT(B2114,6)="MORRIS",COUNTIFS('[1]Brand Family Territories (Enc)'!$B$2:$B$62,C2114,'[1]Brand Family Territories (Enc)'!$C$2:$C$62,"Morri")&gt;0),"Unk",0))</f>
        <v>1</v>
      </c>
      <c r="E2114" s="2" t="str">
        <f>IFERROR(INDEX('Blackout Brand Fam Areas (Enc)'!$D$6:$D$998,MATCH(UPPER(A2114)&amp;"|"&amp;UPPER(B2114),'Blackout Brand Fam Areas (Enc)'!$G$6:$G$998,0)),"No Match")</f>
        <v>No Match</v>
      </c>
      <c r="F2114" s="2" t="str">
        <f t="shared" si="64"/>
        <v>US</v>
      </c>
      <c r="G2114" s="2" t="str">
        <f t="shared" si="65"/>
        <v>Palma|PASSAIC-FF</v>
      </c>
    </row>
    <row r="2115" spans="1:7" x14ac:dyDescent="0.2">
      <c r="A2115" s="2" t="str" cm="1">
        <f t="array" ref="A2115">INDEX('[1]Brand Family Territory (Enc)'!$A$2:$A$296,INT((ROW()-2)/10)+1)</f>
        <v>Palma</v>
      </c>
      <c r="B2115" s="2" t="str" cm="1">
        <f t="array" ref="B2115">INDEX('Whitelist (Blackout Reverse)'!$B$1:$K$1,MOD(ROW()-2,10)+1)</f>
        <v>ESSEX</v>
      </c>
      <c r="C2115" s="2" t="str">
        <f>VLOOKUP(A2115,'[1]Brand Family Territory (Enc)'!$A$2:$B$296,2,FALSE)</f>
        <v>All Counties</v>
      </c>
      <c r="D2115" s="2">
        <f>IF(COUNTIFS('[1]Brand Family Territories (Enc)'!$B$2:$B$62,C2115,'[1]Brand Family Territories (Enc)'!$C$2:$C$62,B2115)&gt;0,1,IF(AND(LEFT(B2115,6)="MORRIS",COUNTIFS('[1]Brand Family Territories (Enc)'!$B$2:$B$62,C2115,'[1]Brand Family Territories (Enc)'!$C$2:$C$62,"Morri")&gt;0),"Unk",0))</f>
        <v>1</v>
      </c>
      <c r="E2115" s="2" t="str">
        <f>IFERROR(INDEX('Blackout Brand Fam Areas (Enc)'!$D$6:$D$998,MATCH(UPPER(A2115)&amp;"|"&amp;UPPER(B2115),'Blackout Brand Fam Areas (Enc)'!$G$6:$G$998,0)),"No Match")</f>
        <v>No Match</v>
      </c>
      <c r="F2115" s="2" t="str">
        <f t="shared" ref="F2115:F2178" si="66">IF(D2115="Unk","Ambiguous (Source Truncated)",IF(E2115="Inactive","THEM",IF(D2115=1,"US",IF(D2115="N/A","No Territory Data","THEM"))))</f>
        <v>US</v>
      </c>
      <c r="G2115" s="2" t="str">
        <f t="shared" ref="G2115:G2178" si="67">A2115&amp;"|"&amp;B2115</f>
        <v>Palma|ESSEX</v>
      </c>
    </row>
    <row r="2116" spans="1:7" x14ac:dyDescent="0.2">
      <c r="A2116" s="2" t="str" cm="1">
        <f t="array" ref="A2116">INDEX('[1]Brand Family Territory (Enc)'!$A$2:$A$296,INT((ROW()-2)/10)+1)</f>
        <v>Palma</v>
      </c>
      <c r="B2116" s="2" t="str" cm="1">
        <f t="array" ref="B2116">INDEX('Whitelist (Blackout Reverse)'!$B$1:$K$1,MOD(ROW()-2,10)+1)</f>
        <v>HUDSON</v>
      </c>
      <c r="C2116" s="2" t="str">
        <f>VLOOKUP(A2116,'[1]Brand Family Territory (Enc)'!$A$2:$B$296,2,FALSE)</f>
        <v>All Counties</v>
      </c>
      <c r="D2116" s="2">
        <f>IF(COUNTIFS('[1]Brand Family Territories (Enc)'!$B$2:$B$62,C2116,'[1]Brand Family Territories (Enc)'!$C$2:$C$62,B2116)&gt;0,1,IF(AND(LEFT(B2116,6)="MORRIS",COUNTIFS('[1]Brand Family Territories (Enc)'!$B$2:$B$62,C2116,'[1]Brand Family Territories (Enc)'!$C$2:$C$62,"Morri")&gt;0),"Unk",0))</f>
        <v>1</v>
      </c>
      <c r="E2116" s="2" t="str">
        <f>IFERROR(INDEX('Blackout Brand Fam Areas (Enc)'!$D$6:$D$998,MATCH(UPPER(A2116)&amp;"|"&amp;UPPER(B2116),'Blackout Brand Fam Areas (Enc)'!$G$6:$G$998,0)),"No Match")</f>
        <v>No Match</v>
      </c>
      <c r="F2116" s="2" t="str">
        <f t="shared" si="66"/>
        <v>US</v>
      </c>
      <c r="G2116" s="2" t="str">
        <f t="shared" si="67"/>
        <v>Palma|HUDSON</v>
      </c>
    </row>
    <row r="2117" spans="1:7" x14ac:dyDescent="0.2">
      <c r="A2117" s="2" t="str" cm="1">
        <f t="array" ref="A2117">INDEX('[1]Brand Family Territory (Enc)'!$A$2:$A$296,INT((ROW()-2)/10)+1)</f>
        <v>Palma</v>
      </c>
      <c r="B2117" s="2" t="str" cm="1">
        <f t="array" ref="B2117">INDEX('Whitelist (Blackout Reverse)'!$B$1:$K$1,MOD(ROW()-2,10)+1)</f>
        <v>UNION</v>
      </c>
      <c r="C2117" s="2" t="str">
        <f>VLOOKUP(A2117,'[1]Brand Family Territory (Enc)'!$A$2:$B$296,2,FALSE)</f>
        <v>All Counties</v>
      </c>
      <c r="D2117" s="2">
        <f>IF(COUNTIFS('[1]Brand Family Territories (Enc)'!$B$2:$B$62,C2117,'[1]Brand Family Territories (Enc)'!$C$2:$C$62,B2117)&gt;0,1,IF(AND(LEFT(B2117,6)="MORRIS",COUNTIFS('[1]Brand Family Territories (Enc)'!$B$2:$B$62,C2117,'[1]Brand Family Territories (Enc)'!$C$2:$C$62,"Morri")&gt;0),"Unk",0))</f>
        <v>1</v>
      </c>
      <c r="E2117" s="2" t="str">
        <f>IFERROR(INDEX('Blackout Brand Fam Areas (Enc)'!$D$6:$D$998,MATCH(UPPER(A2117)&amp;"|"&amp;UPPER(B2117),'Blackout Brand Fam Areas (Enc)'!$G$6:$G$998,0)),"No Match")</f>
        <v>No Match</v>
      </c>
      <c r="F2117" s="2" t="str">
        <f t="shared" si="66"/>
        <v>US</v>
      </c>
      <c r="G2117" s="2" t="str">
        <f t="shared" si="67"/>
        <v>Palma|UNION</v>
      </c>
    </row>
    <row r="2118" spans="1:7" x14ac:dyDescent="0.2">
      <c r="A2118" s="2" t="str" cm="1">
        <f t="array" ref="A2118">INDEX('[1]Brand Family Territory (Enc)'!$A$2:$A$296,INT((ROW()-2)/10)+1)</f>
        <v>Palma</v>
      </c>
      <c r="B2118" s="2" t="str" cm="1">
        <f t="array" ref="B2118">INDEX('Whitelist (Blackout Reverse)'!$B$1:$K$1,MOD(ROW()-2,10)+1)</f>
        <v>SUSSEX</v>
      </c>
      <c r="C2118" s="2" t="str">
        <f>VLOOKUP(A2118,'[1]Brand Family Territory (Enc)'!$A$2:$B$296,2,FALSE)</f>
        <v>All Counties</v>
      </c>
      <c r="D2118" s="2">
        <f>IF(COUNTIFS('[1]Brand Family Territories (Enc)'!$B$2:$B$62,C2118,'[1]Brand Family Territories (Enc)'!$C$2:$C$62,B2118)&gt;0,1,IF(AND(LEFT(B2118,6)="MORRIS",COUNTIFS('[1]Brand Family Territories (Enc)'!$B$2:$B$62,C2118,'[1]Brand Family Territories (Enc)'!$C$2:$C$62,"Morri")&gt;0),"Unk",0))</f>
        <v>1</v>
      </c>
      <c r="E2118" s="2" t="str">
        <f>IFERROR(INDEX('Blackout Brand Fam Areas (Enc)'!$D$6:$D$998,MATCH(UPPER(A2118)&amp;"|"&amp;UPPER(B2118),'Blackout Brand Fam Areas (Enc)'!$G$6:$G$998,0)),"No Match")</f>
        <v>No Match</v>
      </c>
      <c r="F2118" s="2" t="str">
        <f t="shared" si="66"/>
        <v>US</v>
      </c>
      <c r="G2118" s="2" t="str">
        <f t="shared" si="67"/>
        <v>Palma|SUSSEX</v>
      </c>
    </row>
    <row r="2119" spans="1:7" x14ac:dyDescent="0.2">
      <c r="A2119" s="2" t="str" cm="1">
        <f t="array" ref="A2119">INDEX('[1]Brand Family Territory (Enc)'!$A$2:$A$296,INT((ROW()-2)/10)+1)</f>
        <v>Palma</v>
      </c>
      <c r="B2119" s="2" t="str" cm="1">
        <f t="array" ref="B2119">INDEX('Whitelist (Blackout Reverse)'!$B$1:$K$1,MOD(ROW()-2,10)+1)</f>
        <v>MORRIS 1</v>
      </c>
      <c r="C2119" s="2" t="str">
        <f>VLOOKUP(A2119,'[1]Brand Family Territory (Enc)'!$A$2:$B$296,2,FALSE)</f>
        <v>All Counties</v>
      </c>
      <c r="D2119" s="2">
        <f>IF(COUNTIFS('[1]Brand Family Territories (Enc)'!$B$2:$B$62,C2119,'[1]Brand Family Territories (Enc)'!$C$2:$C$62,B2119)&gt;0,1,IF(AND(LEFT(B2119,6)="MORRIS",COUNTIFS('[1]Brand Family Territories (Enc)'!$B$2:$B$62,C2119,'[1]Brand Family Territories (Enc)'!$C$2:$C$62,"Morri")&gt;0),"Unk",0))</f>
        <v>1</v>
      </c>
      <c r="E2119" s="2" t="str">
        <f>IFERROR(INDEX('Blackout Brand Fam Areas (Enc)'!$D$6:$D$998,MATCH(UPPER(A2119)&amp;"|"&amp;UPPER(B2119),'Blackout Brand Fam Areas (Enc)'!$G$6:$G$998,0)),"No Match")</f>
        <v>No Match</v>
      </c>
      <c r="F2119" s="2" t="str">
        <f t="shared" si="66"/>
        <v>US</v>
      </c>
      <c r="G2119" s="2" t="str">
        <f t="shared" si="67"/>
        <v>Palma|MORRIS 1</v>
      </c>
    </row>
    <row r="2120" spans="1:7" x14ac:dyDescent="0.2">
      <c r="A2120" s="2" t="str" cm="1">
        <f t="array" ref="A2120">INDEX('[1]Brand Family Territory (Enc)'!$A$2:$A$296,INT((ROW()-2)/10)+1)</f>
        <v>Palma</v>
      </c>
      <c r="B2120" s="2" t="str" cm="1">
        <f t="array" ref="B2120">INDEX('Whitelist (Blackout Reverse)'!$B$1:$K$1,MOD(ROW()-2,10)+1)</f>
        <v>MORRIS 2</v>
      </c>
      <c r="C2120" s="2" t="str">
        <f>VLOOKUP(A2120,'[1]Brand Family Territory (Enc)'!$A$2:$B$296,2,FALSE)</f>
        <v>All Counties</v>
      </c>
      <c r="D2120" s="2">
        <f>IF(COUNTIFS('[1]Brand Family Territories (Enc)'!$B$2:$B$62,C2120,'[1]Brand Family Territories (Enc)'!$C$2:$C$62,B2120)&gt;0,1,IF(AND(LEFT(B2120,6)="MORRIS",COUNTIFS('[1]Brand Family Territories (Enc)'!$B$2:$B$62,C2120,'[1]Brand Family Territories (Enc)'!$C$2:$C$62,"Morri")&gt;0),"Unk",0))</f>
        <v>1</v>
      </c>
      <c r="E2120" s="2" t="str">
        <f>IFERROR(INDEX('Blackout Brand Fam Areas (Enc)'!$D$6:$D$998,MATCH(UPPER(A2120)&amp;"|"&amp;UPPER(B2120),'Blackout Brand Fam Areas (Enc)'!$G$6:$G$998,0)),"No Match")</f>
        <v>No Match</v>
      </c>
      <c r="F2120" s="2" t="str">
        <f t="shared" si="66"/>
        <v>US</v>
      </c>
      <c r="G2120" s="2" t="str">
        <f t="shared" si="67"/>
        <v>Palma|MORRIS 2</v>
      </c>
    </row>
    <row r="2121" spans="1:7" x14ac:dyDescent="0.2">
      <c r="A2121" s="2" t="str" cm="1">
        <f t="array" ref="A2121">INDEX('[1]Brand Family Territory (Enc)'!$A$2:$A$296,INT((ROW()-2)/10)+1)</f>
        <v>Palma</v>
      </c>
      <c r="B2121" s="2" t="str" cm="1">
        <f t="array" ref="B2121">INDEX('Whitelist (Blackout Reverse)'!$B$1:$K$1,MOD(ROW()-2,10)+1)</f>
        <v>MORRIS 3</v>
      </c>
      <c r="C2121" s="2" t="str">
        <f>VLOOKUP(A2121,'[1]Brand Family Territory (Enc)'!$A$2:$B$296,2,FALSE)</f>
        <v>All Counties</v>
      </c>
      <c r="D2121" s="2">
        <f>IF(COUNTIFS('[1]Brand Family Territories (Enc)'!$B$2:$B$62,C2121,'[1]Brand Family Territories (Enc)'!$C$2:$C$62,B2121)&gt;0,1,IF(AND(LEFT(B2121,6)="MORRIS",COUNTIFS('[1]Brand Family Territories (Enc)'!$B$2:$B$62,C2121,'[1]Brand Family Territories (Enc)'!$C$2:$C$62,"Morri")&gt;0),"Unk",0))</f>
        <v>1</v>
      </c>
      <c r="E2121" s="2" t="str">
        <f>IFERROR(INDEX('Blackout Brand Fam Areas (Enc)'!$D$6:$D$998,MATCH(UPPER(A2121)&amp;"|"&amp;UPPER(B2121),'Blackout Brand Fam Areas (Enc)'!$G$6:$G$998,0)),"No Match")</f>
        <v>No Match</v>
      </c>
      <c r="F2121" s="2" t="str">
        <f t="shared" si="66"/>
        <v>US</v>
      </c>
      <c r="G2121" s="2" t="str">
        <f t="shared" si="67"/>
        <v>Palma|MORRIS 3</v>
      </c>
    </row>
    <row r="2122" spans="1:7" x14ac:dyDescent="0.2">
      <c r="A2122" s="2" t="str" cm="1">
        <f t="array" ref="A2122">INDEX('[1]Brand Family Territory (Enc)'!$A$2:$A$296,INT((ROW()-2)/10)+1)</f>
        <v>Paradisse</v>
      </c>
      <c r="B2122" s="2" t="str" cm="1">
        <f t="array" ref="B2122">INDEX('Whitelist (Blackout Reverse)'!$B$1:$K$1,MOD(ROW()-2,10)+1)</f>
        <v>BERGEN</v>
      </c>
      <c r="C2122" s="2" t="str">
        <f>VLOOKUP(A2122,'[1]Brand Family Territory (Enc)'!$A$2:$B$296,2,FALSE)</f>
        <v>All Counties</v>
      </c>
      <c r="D2122" s="2">
        <f>IF(COUNTIFS('[1]Brand Family Territories (Enc)'!$B$2:$B$62,C2122,'[1]Brand Family Territories (Enc)'!$C$2:$C$62,B2122)&gt;0,1,IF(AND(LEFT(B2122,6)="MORRIS",COUNTIFS('[1]Brand Family Territories (Enc)'!$B$2:$B$62,C2122,'[1]Brand Family Territories (Enc)'!$C$2:$C$62,"Morri")&gt;0),"Unk",0))</f>
        <v>1</v>
      </c>
      <c r="E2122" s="2" t="str">
        <f>IFERROR(INDEX('Blackout Brand Fam Areas (Enc)'!$D$6:$D$998,MATCH(UPPER(A2122)&amp;"|"&amp;UPPER(B2122),'Blackout Brand Fam Areas (Enc)'!$G$6:$G$998,0)),"No Match")</f>
        <v>No Match</v>
      </c>
      <c r="F2122" s="2" t="str">
        <f t="shared" si="66"/>
        <v>US</v>
      </c>
      <c r="G2122" s="2" t="str">
        <f t="shared" si="67"/>
        <v>Paradisse|BERGEN</v>
      </c>
    </row>
    <row r="2123" spans="1:7" x14ac:dyDescent="0.2">
      <c r="A2123" s="2" t="str" cm="1">
        <f t="array" ref="A2123">INDEX('[1]Brand Family Territory (Enc)'!$A$2:$A$296,INT((ROW()-2)/10)+1)</f>
        <v>Paradisse</v>
      </c>
      <c r="B2123" s="2" t="str" cm="1">
        <f t="array" ref="B2123">INDEX('Whitelist (Blackout Reverse)'!$B$1:$K$1,MOD(ROW()-2,10)+1)</f>
        <v>PASSAIC</v>
      </c>
      <c r="C2123" s="2" t="str">
        <f>VLOOKUP(A2123,'[1]Brand Family Territory (Enc)'!$A$2:$B$296,2,FALSE)</f>
        <v>All Counties</v>
      </c>
      <c r="D2123" s="2">
        <f>IF(COUNTIFS('[1]Brand Family Territories (Enc)'!$B$2:$B$62,C2123,'[1]Brand Family Territories (Enc)'!$C$2:$C$62,B2123)&gt;0,1,IF(AND(LEFT(B2123,6)="MORRIS",COUNTIFS('[1]Brand Family Territories (Enc)'!$B$2:$B$62,C2123,'[1]Brand Family Territories (Enc)'!$C$2:$C$62,"Morri")&gt;0),"Unk",0))</f>
        <v>1</v>
      </c>
      <c r="E2123" s="2" t="str">
        <f>IFERROR(INDEX('Blackout Brand Fam Areas (Enc)'!$D$6:$D$998,MATCH(UPPER(A2123)&amp;"|"&amp;UPPER(B2123),'Blackout Brand Fam Areas (Enc)'!$G$6:$G$998,0)),"No Match")</f>
        <v>No Match</v>
      </c>
      <c r="F2123" s="2" t="str">
        <f t="shared" si="66"/>
        <v>US</v>
      </c>
      <c r="G2123" s="2" t="str">
        <f t="shared" si="67"/>
        <v>Paradisse|PASSAIC</v>
      </c>
    </row>
    <row r="2124" spans="1:7" x14ac:dyDescent="0.2">
      <c r="A2124" s="2" t="str" cm="1">
        <f t="array" ref="A2124">INDEX('[1]Brand Family Territory (Enc)'!$A$2:$A$296,INT((ROW()-2)/10)+1)</f>
        <v>Paradisse</v>
      </c>
      <c r="B2124" s="2" t="str" cm="1">
        <f t="array" ref="B2124">INDEX('Whitelist (Blackout Reverse)'!$B$1:$K$1,MOD(ROW()-2,10)+1)</f>
        <v>PASSAIC-FF</v>
      </c>
      <c r="C2124" s="2" t="str">
        <f>VLOOKUP(A2124,'[1]Brand Family Territory (Enc)'!$A$2:$B$296,2,FALSE)</f>
        <v>All Counties</v>
      </c>
      <c r="D2124" s="2">
        <f>IF(COUNTIFS('[1]Brand Family Territories (Enc)'!$B$2:$B$62,C2124,'[1]Brand Family Territories (Enc)'!$C$2:$C$62,B2124)&gt;0,1,IF(AND(LEFT(B2124,6)="MORRIS",COUNTIFS('[1]Brand Family Territories (Enc)'!$B$2:$B$62,C2124,'[1]Brand Family Territories (Enc)'!$C$2:$C$62,"Morri")&gt;0),"Unk",0))</f>
        <v>1</v>
      </c>
      <c r="E2124" s="2" t="str">
        <f>IFERROR(INDEX('Blackout Brand Fam Areas (Enc)'!$D$6:$D$998,MATCH(UPPER(A2124)&amp;"|"&amp;UPPER(B2124),'Blackout Brand Fam Areas (Enc)'!$G$6:$G$998,0)),"No Match")</f>
        <v>No Match</v>
      </c>
      <c r="F2124" s="2" t="str">
        <f t="shared" si="66"/>
        <v>US</v>
      </c>
      <c r="G2124" s="2" t="str">
        <f t="shared" si="67"/>
        <v>Paradisse|PASSAIC-FF</v>
      </c>
    </row>
    <row r="2125" spans="1:7" x14ac:dyDescent="0.2">
      <c r="A2125" s="2" t="str" cm="1">
        <f t="array" ref="A2125">INDEX('[1]Brand Family Territory (Enc)'!$A$2:$A$296,INT((ROW()-2)/10)+1)</f>
        <v>Paradisse</v>
      </c>
      <c r="B2125" s="2" t="str" cm="1">
        <f t="array" ref="B2125">INDEX('Whitelist (Blackout Reverse)'!$B$1:$K$1,MOD(ROW()-2,10)+1)</f>
        <v>ESSEX</v>
      </c>
      <c r="C2125" s="2" t="str">
        <f>VLOOKUP(A2125,'[1]Brand Family Territory (Enc)'!$A$2:$B$296,2,FALSE)</f>
        <v>All Counties</v>
      </c>
      <c r="D2125" s="2">
        <f>IF(COUNTIFS('[1]Brand Family Territories (Enc)'!$B$2:$B$62,C2125,'[1]Brand Family Territories (Enc)'!$C$2:$C$62,B2125)&gt;0,1,IF(AND(LEFT(B2125,6)="MORRIS",COUNTIFS('[1]Brand Family Territories (Enc)'!$B$2:$B$62,C2125,'[1]Brand Family Territories (Enc)'!$C$2:$C$62,"Morri")&gt;0),"Unk",0))</f>
        <v>1</v>
      </c>
      <c r="E2125" s="2" t="str">
        <f>IFERROR(INDEX('Blackout Brand Fam Areas (Enc)'!$D$6:$D$998,MATCH(UPPER(A2125)&amp;"|"&amp;UPPER(B2125),'Blackout Brand Fam Areas (Enc)'!$G$6:$G$998,0)),"No Match")</f>
        <v>No Match</v>
      </c>
      <c r="F2125" s="2" t="str">
        <f t="shared" si="66"/>
        <v>US</v>
      </c>
      <c r="G2125" s="2" t="str">
        <f t="shared" si="67"/>
        <v>Paradisse|ESSEX</v>
      </c>
    </row>
    <row r="2126" spans="1:7" x14ac:dyDescent="0.2">
      <c r="A2126" s="2" t="str" cm="1">
        <f t="array" ref="A2126">INDEX('[1]Brand Family Territory (Enc)'!$A$2:$A$296,INT((ROW()-2)/10)+1)</f>
        <v>Paradisse</v>
      </c>
      <c r="B2126" s="2" t="str" cm="1">
        <f t="array" ref="B2126">INDEX('Whitelist (Blackout Reverse)'!$B$1:$K$1,MOD(ROW()-2,10)+1)</f>
        <v>HUDSON</v>
      </c>
      <c r="C2126" s="2" t="str">
        <f>VLOOKUP(A2126,'[1]Brand Family Territory (Enc)'!$A$2:$B$296,2,FALSE)</f>
        <v>All Counties</v>
      </c>
      <c r="D2126" s="2">
        <f>IF(COUNTIFS('[1]Brand Family Territories (Enc)'!$B$2:$B$62,C2126,'[1]Brand Family Territories (Enc)'!$C$2:$C$62,B2126)&gt;0,1,IF(AND(LEFT(B2126,6)="MORRIS",COUNTIFS('[1]Brand Family Territories (Enc)'!$B$2:$B$62,C2126,'[1]Brand Family Territories (Enc)'!$C$2:$C$62,"Morri")&gt;0),"Unk",0))</f>
        <v>1</v>
      </c>
      <c r="E2126" s="2" t="str">
        <f>IFERROR(INDEX('Blackout Brand Fam Areas (Enc)'!$D$6:$D$998,MATCH(UPPER(A2126)&amp;"|"&amp;UPPER(B2126),'Blackout Brand Fam Areas (Enc)'!$G$6:$G$998,0)),"No Match")</f>
        <v>No Match</v>
      </c>
      <c r="F2126" s="2" t="str">
        <f t="shared" si="66"/>
        <v>US</v>
      </c>
      <c r="G2126" s="2" t="str">
        <f t="shared" si="67"/>
        <v>Paradisse|HUDSON</v>
      </c>
    </row>
    <row r="2127" spans="1:7" x14ac:dyDescent="0.2">
      <c r="A2127" s="2" t="str" cm="1">
        <f t="array" ref="A2127">INDEX('[1]Brand Family Territory (Enc)'!$A$2:$A$296,INT((ROW()-2)/10)+1)</f>
        <v>Paradisse</v>
      </c>
      <c r="B2127" s="2" t="str" cm="1">
        <f t="array" ref="B2127">INDEX('Whitelist (Blackout Reverse)'!$B$1:$K$1,MOD(ROW()-2,10)+1)</f>
        <v>UNION</v>
      </c>
      <c r="C2127" s="2" t="str">
        <f>VLOOKUP(A2127,'[1]Brand Family Territory (Enc)'!$A$2:$B$296,2,FALSE)</f>
        <v>All Counties</v>
      </c>
      <c r="D2127" s="2">
        <f>IF(COUNTIFS('[1]Brand Family Territories (Enc)'!$B$2:$B$62,C2127,'[1]Brand Family Territories (Enc)'!$C$2:$C$62,B2127)&gt;0,1,IF(AND(LEFT(B2127,6)="MORRIS",COUNTIFS('[1]Brand Family Territories (Enc)'!$B$2:$B$62,C2127,'[1]Brand Family Territories (Enc)'!$C$2:$C$62,"Morri")&gt;0),"Unk",0))</f>
        <v>1</v>
      </c>
      <c r="E2127" s="2" t="str">
        <f>IFERROR(INDEX('Blackout Brand Fam Areas (Enc)'!$D$6:$D$998,MATCH(UPPER(A2127)&amp;"|"&amp;UPPER(B2127),'Blackout Brand Fam Areas (Enc)'!$G$6:$G$998,0)),"No Match")</f>
        <v>No Match</v>
      </c>
      <c r="F2127" s="2" t="str">
        <f t="shared" si="66"/>
        <v>US</v>
      </c>
      <c r="G2127" s="2" t="str">
        <f t="shared" si="67"/>
        <v>Paradisse|UNION</v>
      </c>
    </row>
    <row r="2128" spans="1:7" x14ac:dyDescent="0.2">
      <c r="A2128" s="2" t="str" cm="1">
        <f t="array" ref="A2128">INDEX('[1]Brand Family Territory (Enc)'!$A$2:$A$296,INT((ROW()-2)/10)+1)</f>
        <v>Paradisse</v>
      </c>
      <c r="B2128" s="2" t="str" cm="1">
        <f t="array" ref="B2128">INDEX('Whitelist (Blackout Reverse)'!$B$1:$K$1,MOD(ROW()-2,10)+1)</f>
        <v>SUSSEX</v>
      </c>
      <c r="C2128" s="2" t="str">
        <f>VLOOKUP(A2128,'[1]Brand Family Territory (Enc)'!$A$2:$B$296,2,FALSE)</f>
        <v>All Counties</v>
      </c>
      <c r="D2128" s="2">
        <f>IF(COUNTIFS('[1]Brand Family Territories (Enc)'!$B$2:$B$62,C2128,'[1]Brand Family Territories (Enc)'!$C$2:$C$62,B2128)&gt;0,1,IF(AND(LEFT(B2128,6)="MORRIS",COUNTIFS('[1]Brand Family Territories (Enc)'!$B$2:$B$62,C2128,'[1]Brand Family Territories (Enc)'!$C$2:$C$62,"Morri")&gt;0),"Unk",0))</f>
        <v>1</v>
      </c>
      <c r="E2128" s="2" t="str">
        <f>IFERROR(INDEX('Blackout Brand Fam Areas (Enc)'!$D$6:$D$998,MATCH(UPPER(A2128)&amp;"|"&amp;UPPER(B2128),'Blackout Brand Fam Areas (Enc)'!$G$6:$G$998,0)),"No Match")</f>
        <v>No Match</v>
      </c>
      <c r="F2128" s="2" t="str">
        <f t="shared" si="66"/>
        <v>US</v>
      </c>
      <c r="G2128" s="2" t="str">
        <f t="shared" si="67"/>
        <v>Paradisse|SUSSEX</v>
      </c>
    </row>
    <row r="2129" spans="1:7" x14ac:dyDescent="0.2">
      <c r="A2129" s="2" t="str" cm="1">
        <f t="array" ref="A2129">INDEX('[1]Brand Family Territory (Enc)'!$A$2:$A$296,INT((ROW()-2)/10)+1)</f>
        <v>Paradisse</v>
      </c>
      <c r="B2129" s="2" t="str" cm="1">
        <f t="array" ref="B2129">INDEX('Whitelist (Blackout Reverse)'!$B$1:$K$1,MOD(ROW()-2,10)+1)</f>
        <v>MORRIS 1</v>
      </c>
      <c r="C2129" s="2" t="str">
        <f>VLOOKUP(A2129,'[1]Brand Family Territory (Enc)'!$A$2:$B$296,2,FALSE)</f>
        <v>All Counties</v>
      </c>
      <c r="D2129" s="2">
        <f>IF(COUNTIFS('[1]Brand Family Territories (Enc)'!$B$2:$B$62,C2129,'[1]Brand Family Territories (Enc)'!$C$2:$C$62,B2129)&gt;0,1,IF(AND(LEFT(B2129,6)="MORRIS",COUNTIFS('[1]Brand Family Territories (Enc)'!$B$2:$B$62,C2129,'[1]Brand Family Territories (Enc)'!$C$2:$C$62,"Morri")&gt;0),"Unk",0))</f>
        <v>1</v>
      </c>
      <c r="E2129" s="2" t="str">
        <f>IFERROR(INDEX('Blackout Brand Fam Areas (Enc)'!$D$6:$D$998,MATCH(UPPER(A2129)&amp;"|"&amp;UPPER(B2129),'Blackout Brand Fam Areas (Enc)'!$G$6:$G$998,0)),"No Match")</f>
        <v>No Match</v>
      </c>
      <c r="F2129" s="2" t="str">
        <f t="shared" si="66"/>
        <v>US</v>
      </c>
      <c r="G2129" s="2" t="str">
        <f t="shared" si="67"/>
        <v>Paradisse|MORRIS 1</v>
      </c>
    </row>
    <row r="2130" spans="1:7" x14ac:dyDescent="0.2">
      <c r="A2130" s="2" t="str" cm="1">
        <f t="array" ref="A2130">INDEX('[1]Brand Family Territory (Enc)'!$A$2:$A$296,INT((ROW()-2)/10)+1)</f>
        <v>Paradisse</v>
      </c>
      <c r="B2130" s="2" t="str" cm="1">
        <f t="array" ref="B2130">INDEX('Whitelist (Blackout Reverse)'!$B$1:$K$1,MOD(ROW()-2,10)+1)</f>
        <v>MORRIS 2</v>
      </c>
      <c r="C2130" s="2" t="str">
        <f>VLOOKUP(A2130,'[1]Brand Family Territory (Enc)'!$A$2:$B$296,2,FALSE)</f>
        <v>All Counties</v>
      </c>
      <c r="D2130" s="2">
        <f>IF(COUNTIFS('[1]Brand Family Territories (Enc)'!$B$2:$B$62,C2130,'[1]Brand Family Territories (Enc)'!$C$2:$C$62,B2130)&gt;0,1,IF(AND(LEFT(B2130,6)="MORRIS",COUNTIFS('[1]Brand Family Territories (Enc)'!$B$2:$B$62,C2130,'[1]Brand Family Territories (Enc)'!$C$2:$C$62,"Morri")&gt;0),"Unk",0))</f>
        <v>1</v>
      </c>
      <c r="E2130" s="2" t="str">
        <f>IFERROR(INDEX('Blackout Brand Fam Areas (Enc)'!$D$6:$D$998,MATCH(UPPER(A2130)&amp;"|"&amp;UPPER(B2130),'Blackout Brand Fam Areas (Enc)'!$G$6:$G$998,0)),"No Match")</f>
        <v>No Match</v>
      </c>
      <c r="F2130" s="2" t="str">
        <f t="shared" si="66"/>
        <v>US</v>
      </c>
      <c r="G2130" s="2" t="str">
        <f t="shared" si="67"/>
        <v>Paradisse|MORRIS 2</v>
      </c>
    </row>
    <row r="2131" spans="1:7" x14ac:dyDescent="0.2">
      <c r="A2131" s="2" t="str" cm="1">
        <f t="array" ref="A2131">INDEX('[1]Brand Family Territory (Enc)'!$A$2:$A$296,INT((ROW()-2)/10)+1)</f>
        <v>Paradisse</v>
      </c>
      <c r="B2131" s="2" t="str" cm="1">
        <f t="array" ref="B2131">INDEX('Whitelist (Blackout Reverse)'!$B$1:$K$1,MOD(ROW()-2,10)+1)</f>
        <v>MORRIS 3</v>
      </c>
      <c r="C2131" s="2" t="str">
        <f>VLOOKUP(A2131,'[1]Brand Family Territory (Enc)'!$A$2:$B$296,2,FALSE)</f>
        <v>All Counties</v>
      </c>
      <c r="D2131" s="2">
        <f>IF(COUNTIFS('[1]Brand Family Territories (Enc)'!$B$2:$B$62,C2131,'[1]Brand Family Territories (Enc)'!$C$2:$C$62,B2131)&gt;0,1,IF(AND(LEFT(B2131,6)="MORRIS",COUNTIFS('[1]Brand Family Territories (Enc)'!$B$2:$B$62,C2131,'[1]Brand Family Territories (Enc)'!$C$2:$C$62,"Morri")&gt;0),"Unk",0))</f>
        <v>1</v>
      </c>
      <c r="E2131" s="2" t="str">
        <f>IFERROR(INDEX('Blackout Brand Fam Areas (Enc)'!$D$6:$D$998,MATCH(UPPER(A2131)&amp;"|"&amp;UPPER(B2131),'Blackout Brand Fam Areas (Enc)'!$G$6:$G$998,0)),"No Match")</f>
        <v>No Match</v>
      </c>
      <c r="F2131" s="2" t="str">
        <f t="shared" si="66"/>
        <v>US</v>
      </c>
      <c r="G2131" s="2" t="str">
        <f t="shared" si="67"/>
        <v>Paradisse|MORRIS 3</v>
      </c>
    </row>
    <row r="2132" spans="1:7" x14ac:dyDescent="0.2">
      <c r="A2132" s="2" t="str" cm="1">
        <f t="array" ref="A2132">INDEX('[1]Brand Family Territory (Enc)'!$A$2:$A$296,INT((ROW()-2)/10)+1)</f>
        <v>Petrus</v>
      </c>
      <c r="B2132" s="2" t="str" cm="1">
        <f t="array" ref="B2132">INDEX('Whitelist (Blackout Reverse)'!$B$1:$K$1,MOD(ROW()-2,10)+1)</f>
        <v>BERGEN</v>
      </c>
      <c r="C2132" s="2" t="str">
        <f>VLOOKUP(A2132,'[1]Brand Family Territory (Enc)'!$A$2:$B$296,2,FALSE)</f>
        <v>All Counties</v>
      </c>
      <c r="D2132" s="2">
        <f>IF(COUNTIFS('[1]Brand Family Territories (Enc)'!$B$2:$B$62,C2132,'[1]Brand Family Territories (Enc)'!$C$2:$C$62,B2132)&gt;0,1,IF(AND(LEFT(B2132,6)="MORRIS",COUNTIFS('[1]Brand Family Territories (Enc)'!$B$2:$B$62,C2132,'[1]Brand Family Territories (Enc)'!$C$2:$C$62,"Morri")&gt;0),"Unk",0))</f>
        <v>1</v>
      </c>
      <c r="E2132" s="2" t="str">
        <f>IFERROR(INDEX('Blackout Brand Fam Areas (Enc)'!$D$6:$D$998,MATCH(UPPER(A2132)&amp;"|"&amp;UPPER(B2132),'Blackout Brand Fam Areas (Enc)'!$G$6:$G$998,0)),"No Match")</f>
        <v>No Match</v>
      </c>
      <c r="F2132" s="2" t="str">
        <f t="shared" si="66"/>
        <v>US</v>
      </c>
      <c r="G2132" s="2" t="str">
        <f t="shared" si="67"/>
        <v>Petrus|BERGEN</v>
      </c>
    </row>
    <row r="2133" spans="1:7" x14ac:dyDescent="0.2">
      <c r="A2133" s="2" t="str" cm="1">
        <f t="array" ref="A2133">INDEX('[1]Brand Family Territory (Enc)'!$A$2:$A$296,INT((ROW()-2)/10)+1)</f>
        <v>Petrus</v>
      </c>
      <c r="B2133" s="2" t="str" cm="1">
        <f t="array" ref="B2133">INDEX('Whitelist (Blackout Reverse)'!$B$1:$K$1,MOD(ROW()-2,10)+1)</f>
        <v>PASSAIC</v>
      </c>
      <c r="C2133" s="2" t="str">
        <f>VLOOKUP(A2133,'[1]Brand Family Territory (Enc)'!$A$2:$B$296,2,FALSE)</f>
        <v>All Counties</v>
      </c>
      <c r="D2133" s="2">
        <f>IF(COUNTIFS('[1]Brand Family Territories (Enc)'!$B$2:$B$62,C2133,'[1]Brand Family Territories (Enc)'!$C$2:$C$62,B2133)&gt;0,1,IF(AND(LEFT(B2133,6)="MORRIS",COUNTIFS('[1]Brand Family Territories (Enc)'!$B$2:$B$62,C2133,'[1]Brand Family Territories (Enc)'!$C$2:$C$62,"Morri")&gt;0),"Unk",0))</f>
        <v>1</v>
      </c>
      <c r="E2133" s="2" t="str">
        <f>IFERROR(INDEX('Blackout Brand Fam Areas (Enc)'!$D$6:$D$998,MATCH(UPPER(A2133)&amp;"|"&amp;UPPER(B2133),'Blackout Brand Fam Areas (Enc)'!$G$6:$G$998,0)),"No Match")</f>
        <v>No Match</v>
      </c>
      <c r="F2133" s="2" t="str">
        <f t="shared" si="66"/>
        <v>US</v>
      </c>
      <c r="G2133" s="2" t="str">
        <f t="shared" si="67"/>
        <v>Petrus|PASSAIC</v>
      </c>
    </row>
    <row r="2134" spans="1:7" x14ac:dyDescent="0.2">
      <c r="A2134" s="2" t="str" cm="1">
        <f t="array" ref="A2134">INDEX('[1]Brand Family Territory (Enc)'!$A$2:$A$296,INT((ROW()-2)/10)+1)</f>
        <v>Petrus</v>
      </c>
      <c r="B2134" s="2" t="str" cm="1">
        <f t="array" ref="B2134">INDEX('Whitelist (Blackout Reverse)'!$B$1:$K$1,MOD(ROW()-2,10)+1)</f>
        <v>PASSAIC-FF</v>
      </c>
      <c r="C2134" s="2" t="str">
        <f>VLOOKUP(A2134,'[1]Brand Family Territory (Enc)'!$A$2:$B$296,2,FALSE)</f>
        <v>All Counties</v>
      </c>
      <c r="D2134" s="2">
        <f>IF(COUNTIFS('[1]Brand Family Territories (Enc)'!$B$2:$B$62,C2134,'[1]Brand Family Territories (Enc)'!$C$2:$C$62,B2134)&gt;0,1,IF(AND(LEFT(B2134,6)="MORRIS",COUNTIFS('[1]Brand Family Territories (Enc)'!$B$2:$B$62,C2134,'[1]Brand Family Territories (Enc)'!$C$2:$C$62,"Morri")&gt;0),"Unk",0))</f>
        <v>1</v>
      </c>
      <c r="E2134" s="2" t="str">
        <f>IFERROR(INDEX('Blackout Brand Fam Areas (Enc)'!$D$6:$D$998,MATCH(UPPER(A2134)&amp;"|"&amp;UPPER(B2134),'Blackout Brand Fam Areas (Enc)'!$G$6:$G$998,0)),"No Match")</f>
        <v>No Match</v>
      </c>
      <c r="F2134" s="2" t="str">
        <f t="shared" si="66"/>
        <v>US</v>
      </c>
      <c r="G2134" s="2" t="str">
        <f t="shared" si="67"/>
        <v>Petrus|PASSAIC-FF</v>
      </c>
    </row>
    <row r="2135" spans="1:7" x14ac:dyDescent="0.2">
      <c r="A2135" s="2" t="str" cm="1">
        <f t="array" ref="A2135">INDEX('[1]Brand Family Territory (Enc)'!$A$2:$A$296,INT((ROW()-2)/10)+1)</f>
        <v>Petrus</v>
      </c>
      <c r="B2135" s="2" t="str" cm="1">
        <f t="array" ref="B2135">INDEX('Whitelist (Blackout Reverse)'!$B$1:$K$1,MOD(ROW()-2,10)+1)</f>
        <v>ESSEX</v>
      </c>
      <c r="C2135" s="2" t="str">
        <f>VLOOKUP(A2135,'[1]Brand Family Territory (Enc)'!$A$2:$B$296,2,FALSE)</f>
        <v>All Counties</v>
      </c>
      <c r="D2135" s="2">
        <f>IF(COUNTIFS('[1]Brand Family Territories (Enc)'!$B$2:$B$62,C2135,'[1]Brand Family Territories (Enc)'!$C$2:$C$62,B2135)&gt;0,1,IF(AND(LEFT(B2135,6)="MORRIS",COUNTIFS('[1]Brand Family Territories (Enc)'!$B$2:$B$62,C2135,'[1]Brand Family Territories (Enc)'!$C$2:$C$62,"Morri")&gt;0),"Unk",0))</f>
        <v>1</v>
      </c>
      <c r="E2135" s="2" t="str">
        <f>IFERROR(INDEX('Blackout Brand Fam Areas (Enc)'!$D$6:$D$998,MATCH(UPPER(A2135)&amp;"|"&amp;UPPER(B2135),'Blackout Brand Fam Areas (Enc)'!$G$6:$G$998,0)),"No Match")</f>
        <v>No Match</v>
      </c>
      <c r="F2135" s="2" t="str">
        <f t="shared" si="66"/>
        <v>US</v>
      </c>
      <c r="G2135" s="2" t="str">
        <f t="shared" si="67"/>
        <v>Petrus|ESSEX</v>
      </c>
    </row>
    <row r="2136" spans="1:7" x14ac:dyDescent="0.2">
      <c r="A2136" s="2" t="str" cm="1">
        <f t="array" ref="A2136">INDEX('[1]Brand Family Territory (Enc)'!$A$2:$A$296,INT((ROW()-2)/10)+1)</f>
        <v>Petrus</v>
      </c>
      <c r="B2136" s="2" t="str" cm="1">
        <f t="array" ref="B2136">INDEX('Whitelist (Blackout Reverse)'!$B$1:$K$1,MOD(ROW()-2,10)+1)</f>
        <v>HUDSON</v>
      </c>
      <c r="C2136" s="2" t="str">
        <f>VLOOKUP(A2136,'[1]Brand Family Territory (Enc)'!$A$2:$B$296,2,FALSE)</f>
        <v>All Counties</v>
      </c>
      <c r="D2136" s="2">
        <f>IF(COUNTIFS('[1]Brand Family Territories (Enc)'!$B$2:$B$62,C2136,'[1]Brand Family Territories (Enc)'!$C$2:$C$62,B2136)&gt;0,1,IF(AND(LEFT(B2136,6)="MORRIS",COUNTIFS('[1]Brand Family Territories (Enc)'!$B$2:$B$62,C2136,'[1]Brand Family Territories (Enc)'!$C$2:$C$62,"Morri")&gt;0),"Unk",0))</f>
        <v>1</v>
      </c>
      <c r="E2136" s="2" t="str">
        <f>IFERROR(INDEX('Blackout Brand Fam Areas (Enc)'!$D$6:$D$998,MATCH(UPPER(A2136)&amp;"|"&amp;UPPER(B2136),'Blackout Brand Fam Areas (Enc)'!$G$6:$G$998,0)),"No Match")</f>
        <v>No Match</v>
      </c>
      <c r="F2136" s="2" t="str">
        <f t="shared" si="66"/>
        <v>US</v>
      </c>
      <c r="G2136" s="2" t="str">
        <f t="shared" si="67"/>
        <v>Petrus|HUDSON</v>
      </c>
    </row>
    <row r="2137" spans="1:7" x14ac:dyDescent="0.2">
      <c r="A2137" s="2" t="str" cm="1">
        <f t="array" ref="A2137">INDEX('[1]Brand Family Territory (Enc)'!$A$2:$A$296,INT((ROW()-2)/10)+1)</f>
        <v>Petrus</v>
      </c>
      <c r="B2137" s="2" t="str" cm="1">
        <f t="array" ref="B2137">INDEX('Whitelist (Blackout Reverse)'!$B$1:$K$1,MOD(ROW()-2,10)+1)</f>
        <v>UNION</v>
      </c>
      <c r="C2137" s="2" t="str">
        <f>VLOOKUP(A2137,'[1]Brand Family Territory (Enc)'!$A$2:$B$296,2,FALSE)</f>
        <v>All Counties</v>
      </c>
      <c r="D2137" s="2">
        <f>IF(COUNTIFS('[1]Brand Family Territories (Enc)'!$B$2:$B$62,C2137,'[1]Brand Family Territories (Enc)'!$C$2:$C$62,B2137)&gt;0,1,IF(AND(LEFT(B2137,6)="MORRIS",COUNTIFS('[1]Brand Family Territories (Enc)'!$B$2:$B$62,C2137,'[1]Brand Family Territories (Enc)'!$C$2:$C$62,"Morri")&gt;0),"Unk",0))</f>
        <v>1</v>
      </c>
      <c r="E2137" s="2" t="str">
        <f>IFERROR(INDEX('Blackout Brand Fam Areas (Enc)'!$D$6:$D$998,MATCH(UPPER(A2137)&amp;"|"&amp;UPPER(B2137),'Blackout Brand Fam Areas (Enc)'!$G$6:$G$998,0)),"No Match")</f>
        <v>No Match</v>
      </c>
      <c r="F2137" s="2" t="str">
        <f t="shared" si="66"/>
        <v>US</v>
      </c>
      <c r="G2137" s="2" t="str">
        <f t="shared" si="67"/>
        <v>Petrus|UNION</v>
      </c>
    </row>
    <row r="2138" spans="1:7" x14ac:dyDescent="0.2">
      <c r="A2138" s="2" t="str" cm="1">
        <f t="array" ref="A2138">INDEX('[1]Brand Family Territory (Enc)'!$A$2:$A$296,INT((ROW()-2)/10)+1)</f>
        <v>Petrus</v>
      </c>
      <c r="B2138" s="2" t="str" cm="1">
        <f t="array" ref="B2138">INDEX('Whitelist (Blackout Reverse)'!$B$1:$K$1,MOD(ROW()-2,10)+1)</f>
        <v>SUSSEX</v>
      </c>
      <c r="C2138" s="2" t="str">
        <f>VLOOKUP(A2138,'[1]Brand Family Territory (Enc)'!$A$2:$B$296,2,FALSE)</f>
        <v>All Counties</v>
      </c>
      <c r="D2138" s="2">
        <f>IF(COUNTIFS('[1]Brand Family Territories (Enc)'!$B$2:$B$62,C2138,'[1]Brand Family Territories (Enc)'!$C$2:$C$62,B2138)&gt;0,1,IF(AND(LEFT(B2138,6)="MORRIS",COUNTIFS('[1]Brand Family Territories (Enc)'!$B$2:$B$62,C2138,'[1]Brand Family Territories (Enc)'!$C$2:$C$62,"Morri")&gt;0),"Unk",0))</f>
        <v>1</v>
      </c>
      <c r="E2138" s="2" t="str">
        <f>IFERROR(INDEX('Blackout Brand Fam Areas (Enc)'!$D$6:$D$998,MATCH(UPPER(A2138)&amp;"|"&amp;UPPER(B2138),'Blackout Brand Fam Areas (Enc)'!$G$6:$G$998,0)),"No Match")</f>
        <v>No Match</v>
      </c>
      <c r="F2138" s="2" t="str">
        <f t="shared" si="66"/>
        <v>US</v>
      </c>
      <c r="G2138" s="2" t="str">
        <f t="shared" si="67"/>
        <v>Petrus|SUSSEX</v>
      </c>
    </row>
    <row r="2139" spans="1:7" x14ac:dyDescent="0.2">
      <c r="A2139" s="2" t="str" cm="1">
        <f t="array" ref="A2139">INDEX('[1]Brand Family Territory (Enc)'!$A$2:$A$296,INT((ROW()-2)/10)+1)</f>
        <v>Petrus</v>
      </c>
      <c r="B2139" s="2" t="str" cm="1">
        <f t="array" ref="B2139">INDEX('Whitelist (Blackout Reverse)'!$B$1:$K$1,MOD(ROW()-2,10)+1)</f>
        <v>MORRIS 1</v>
      </c>
      <c r="C2139" s="2" t="str">
        <f>VLOOKUP(A2139,'[1]Brand Family Territory (Enc)'!$A$2:$B$296,2,FALSE)</f>
        <v>All Counties</v>
      </c>
      <c r="D2139" s="2">
        <f>IF(COUNTIFS('[1]Brand Family Territories (Enc)'!$B$2:$B$62,C2139,'[1]Brand Family Territories (Enc)'!$C$2:$C$62,B2139)&gt;0,1,IF(AND(LEFT(B2139,6)="MORRIS",COUNTIFS('[1]Brand Family Territories (Enc)'!$B$2:$B$62,C2139,'[1]Brand Family Territories (Enc)'!$C$2:$C$62,"Morri")&gt;0),"Unk",0))</f>
        <v>1</v>
      </c>
      <c r="E2139" s="2" t="str">
        <f>IFERROR(INDEX('Blackout Brand Fam Areas (Enc)'!$D$6:$D$998,MATCH(UPPER(A2139)&amp;"|"&amp;UPPER(B2139),'Blackout Brand Fam Areas (Enc)'!$G$6:$G$998,0)),"No Match")</f>
        <v>No Match</v>
      </c>
      <c r="F2139" s="2" t="str">
        <f t="shared" si="66"/>
        <v>US</v>
      </c>
      <c r="G2139" s="2" t="str">
        <f t="shared" si="67"/>
        <v>Petrus|MORRIS 1</v>
      </c>
    </row>
    <row r="2140" spans="1:7" x14ac:dyDescent="0.2">
      <c r="A2140" s="2" t="str" cm="1">
        <f t="array" ref="A2140">INDEX('[1]Brand Family Territory (Enc)'!$A$2:$A$296,INT((ROW()-2)/10)+1)</f>
        <v>Petrus</v>
      </c>
      <c r="B2140" s="2" t="str" cm="1">
        <f t="array" ref="B2140">INDEX('Whitelist (Blackout Reverse)'!$B$1:$K$1,MOD(ROW()-2,10)+1)</f>
        <v>MORRIS 2</v>
      </c>
      <c r="C2140" s="2" t="str">
        <f>VLOOKUP(A2140,'[1]Brand Family Territory (Enc)'!$A$2:$B$296,2,FALSE)</f>
        <v>All Counties</v>
      </c>
      <c r="D2140" s="2">
        <f>IF(COUNTIFS('[1]Brand Family Territories (Enc)'!$B$2:$B$62,C2140,'[1]Brand Family Territories (Enc)'!$C$2:$C$62,B2140)&gt;0,1,IF(AND(LEFT(B2140,6)="MORRIS",COUNTIFS('[1]Brand Family Territories (Enc)'!$B$2:$B$62,C2140,'[1]Brand Family Territories (Enc)'!$C$2:$C$62,"Morri")&gt;0),"Unk",0))</f>
        <v>1</v>
      </c>
      <c r="E2140" s="2" t="str">
        <f>IFERROR(INDEX('Blackout Brand Fam Areas (Enc)'!$D$6:$D$998,MATCH(UPPER(A2140)&amp;"|"&amp;UPPER(B2140),'Blackout Brand Fam Areas (Enc)'!$G$6:$G$998,0)),"No Match")</f>
        <v>No Match</v>
      </c>
      <c r="F2140" s="2" t="str">
        <f t="shared" si="66"/>
        <v>US</v>
      </c>
      <c r="G2140" s="2" t="str">
        <f t="shared" si="67"/>
        <v>Petrus|MORRIS 2</v>
      </c>
    </row>
    <row r="2141" spans="1:7" x14ac:dyDescent="0.2">
      <c r="A2141" s="2" t="str" cm="1">
        <f t="array" ref="A2141">INDEX('[1]Brand Family Territory (Enc)'!$A$2:$A$296,INT((ROW()-2)/10)+1)</f>
        <v>Petrus</v>
      </c>
      <c r="B2141" s="2" t="str" cm="1">
        <f t="array" ref="B2141">INDEX('Whitelist (Blackout Reverse)'!$B$1:$K$1,MOD(ROW()-2,10)+1)</f>
        <v>MORRIS 3</v>
      </c>
      <c r="C2141" s="2" t="str">
        <f>VLOOKUP(A2141,'[1]Brand Family Territory (Enc)'!$A$2:$B$296,2,FALSE)</f>
        <v>All Counties</v>
      </c>
      <c r="D2141" s="2">
        <f>IF(COUNTIFS('[1]Brand Family Territories (Enc)'!$B$2:$B$62,C2141,'[1]Brand Family Territories (Enc)'!$C$2:$C$62,B2141)&gt;0,1,IF(AND(LEFT(B2141,6)="MORRIS",COUNTIFS('[1]Brand Family Territories (Enc)'!$B$2:$B$62,C2141,'[1]Brand Family Territories (Enc)'!$C$2:$C$62,"Morri")&gt;0),"Unk",0))</f>
        <v>1</v>
      </c>
      <c r="E2141" s="2" t="str">
        <f>IFERROR(INDEX('Blackout Brand Fam Areas (Enc)'!$D$6:$D$998,MATCH(UPPER(A2141)&amp;"|"&amp;UPPER(B2141),'Blackout Brand Fam Areas (Enc)'!$G$6:$G$998,0)),"No Match")</f>
        <v>No Match</v>
      </c>
      <c r="F2141" s="2" t="str">
        <f t="shared" si="66"/>
        <v>US</v>
      </c>
      <c r="G2141" s="2" t="str">
        <f t="shared" si="67"/>
        <v>Petrus|MORRIS 3</v>
      </c>
    </row>
    <row r="2142" spans="1:7" x14ac:dyDescent="0.2">
      <c r="A2142" s="2" t="str" cm="1">
        <f t="array" ref="A2142">INDEX('[1]Brand Family Territory (Enc)'!$A$2:$A$296,INT((ROW()-2)/10)+1)</f>
        <v>Piraat</v>
      </c>
      <c r="B2142" s="2" t="str" cm="1">
        <f t="array" ref="B2142">INDEX('Whitelist (Blackout Reverse)'!$B$1:$K$1,MOD(ROW()-2,10)+1)</f>
        <v>BERGEN</v>
      </c>
      <c r="C2142" s="2" t="str">
        <f>VLOOKUP(A2142,'[1]Brand Family Territory (Enc)'!$A$2:$B$296,2,FALSE)</f>
        <v>All Counties</v>
      </c>
      <c r="D2142" s="2">
        <f>IF(COUNTIFS('[1]Brand Family Territories (Enc)'!$B$2:$B$62,C2142,'[1]Brand Family Territories (Enc)'!$C$2:$C$62,B2142)&gt;0,1,IF(AND(LEFT(B2142,6)="MORRIS",COUNTIFS('[1]Brand Family Territories (Enc)'!$B$2:$B$62,C2142,'[1]Brand Family Territories (Enc)'!$C$2:$C$62,"Morri")&gt;0),"Unk",0))</f>
        <v>1</v>
      </c>
      <c r="E2142" s="2" t="str">
        <f>IFERROR(INDEX('Blackout Brand Fam Areas (Enc)'!$D$6:$D$998,MATCH(UPPER(A2142)&amp;"|"&amp;UPPER(B2142),'Blackout Brand Fam Areas (Enc)'!$G$6:$G$998,0)),"No Match")</f>
        <v>No Match</v>
      </c>
      <c r="F2142" s="2" t="str">
        <f t="shared" si="66"/>
        <v>US</v>
      </c>
      <c r="G2142" s="2" t="str">
        <f t="shared" si="67"/>
        <v>Piraat|BERGEN</v>
      </c>
    </row>
    <row r="2143" spans="1:7" x14ac:dyDescent="0.2">
      <c r="A2143" s="2" t="str" cm="1">
        <f t="array" ref="A2143">INDEX('[1]Brand Family Territory (Enc)'!$A$2:$A$296,INT((ROW()-2)/10)+1)</f>
        <v>Piraat</v>
      </c>
      <c r="B2143" s="2" t="str" cm="1">
        <f t="array" ref="B2143">INDEX('Whitelist (Blackout Reverse)'!$B$1:$K$1,MOD(ROW()-2,10)+1)</f>
        <v>PASSAIC</v>
      </c>
      <c r="C2143" s="2" t="str">
        <f>VLOOKUP(A2143,'[1]Brand Family Territory (Enc)'!$A$2:$B$296,2,FALSE)</f>
        <v>All Counties</v>
      </c>
      <c r="D2143" s="2">
        <f>IF(COUNTIFS('[1]Brand Family Territories (Enc)'!$B$2:$B$62,C2143,'[1]Brand Family Territories (Enc)'!$C$2:$C$62,B2143)&gt;0,1,IF(AND(LEFT(B2143,6)="MORRIS",COUNTIFS('[1]Brand Family Territories (Enc)'!$B$2:$B$62,C2143,'[1]Brand Family Territories (Enc)'!$C$2:$C$62,"Morri")&gt;0),"Unk",0))</f>
        <v>1</v>
      </c>
      <c r="E2143" s="2" t="str">
        <f>IFERROR(INDEX('Blackout Brand Fam Areas (Enc)'!$D$6:$D$998,MATCH(UPPER(A2143)&amp;"|"&amp;UPPER(B2143),'Blackout Brand Fam Areas (Enc)'!$G$6:$G$998,0)),"No Match")</f>
        <v>No Match</v>
      </c>
      <c r="F2143" s="2" t="str">
        <f t="shared" si="66"/>
        <v>US</v>
      </c>
      <c r="G2143" s="2" t="str">
        <f t="shared" si="67"/>
        <v>Piraat|PASSAIC</v>
      </c>
    </row>
    <row r="2144" spans="1:7" x14ac:dyDescent="0.2">
      <c r="A2144" s="2" t="str" cm="1">
        <f t="array" ref="A2144">INDEX('[1]Brand Family Territory (Enc)'!$A$2:$A$296,INT((ROW()-2)/10)+1)</f>
        <v>Piraat</v>
      </c>
      <c r="B2144" s="2" t="str" cm="1">
        <f t="array" ref="B2144">INDEX('Whitelist (Blackout Reverse)'!$B$1:$K$1,MOD(ROW()-2,10)+1)</f>
        <v>PASSAIC-FF</v>
      </c>
      <c r="C2144" s="2" t="str">
        <f>VLOOKUP(A2144,'[1]Brand Family Territory (Enc)'!$A$2:$B$296,2,FALSE)</f>
        <v>All Counties</v>
      </c>
      <c r="D2144" s="2">
        <f>IF(COUNTIFS('[1]Brand Family Territories (Enc)'!$B$2:$B$62,C2144,'[1]Brand Family Territories (Enc)'!$C$2:$C$62,B2144)&gt;0,1,IF(AND(LEFT(B2144,6)="MORRIS",COUNTIFS('[1]Brand Family Territories (Enc)'!$B$2:$B$62,C2144,'[1]Brand Family Territories (Enc)'!$C$2:$C$62,"Morri")&gt;0),"Unk",0))</f>
        <v>1</v>
      </c>
      <c r="E2144" s="2" t="str">
        <f>IFERROR(INDEX('Blackout Brand Fam Areas (Enc)'!$D$6:$D$998,MATCH(UPPER(A2144)&amp;"|"&amp;UPPER(B2144),'Blackout Brand Fam Areas (Enc)'!$G$6:$G$998,0)),"No Match")</f>
        <v>No Match</v>
      </c>
      <c r="F2144" s="2" t="str">
        <f t="shared" si="66"/>
        <v>US</v>
      </c>
      <c r="G2144" s="2" t="str">
        <f t="shared" si="67"/>
        <v>Piraat|PASSAIC-FF</v>
      </c>
    </row>
    <row r="2145" spans="1:7" x14ac:dyDescent="0.2">
      <c r="A2145" s="2" t="str" cm="1">
        <f t="array" ref="A2145">INDEX('[1]Brand Family Territory (Enc)'!$A$2:$A$296,INT((ROW()-2)/10)+1)</f>
        <v>Piraat</v>
      </c>
      <c r="B2145" s="2" t="str" cm="1">
        <f t="array" ref="B2145">INDEX('Whitelist (Blackout Reverse)'!$B$1:$K$1,MOD(ROW()-2,10)+1)</f>
        <v>ESSEX</v>
      </c>
      <c r="C2145" s="2" t="str">
        <f>VLOOKUP(A2145,'[1]Brand Family Territory (Enc)'!$A$2:$B$296,2,FALSE)</f>
        <v>All Counties</v>
      </c>
      <c r="D2145" s="2">
        <f>IF(COUNTIFS('[1]Brand Family Territories (Enc)'!$B$2:$B$62,C2145,'[1]Brand Family Territories (Enc)'!$C$2:$C$62,B2145)&gt;0,1,IF(AND(LEFT(B2145,6)="MORRIS",COUNTIFS('[1]Brand Family Territories (Enc)'!$B$2:$B$62,C2145,'[1]Brand Family Territories (Enc)'!$C$2:$C$62,"Morri")&gt;0),"Unk",0))</f>
        <v>1</v>
      </c>
      <c r="E2145" s="2" t="str">
        <f>IFERROR(INDEX('Blackout Brand Fam Areas (Enc)'!$D$6:$D$998,MATCH(UPPER(A2145)&amp;"|"&amp;UPPER(B2145),'Blackout Brand Fam Areas (Enc)'!$G$6:$G$998,0)),"No Match")</f>
        <v>No Match</v>
      </c>
      <c r="F2145" s="2" t="str">
        <f t="shared" si="66"/>
        <v>US</v>
      </c>
      <c r="G2145" s="2" t="str">
        <f t="shared" si="67"/>
        <v>Piraat|ESSEX</v>
      </c>
    </row>
    <row r="2146" spans="1:7" x14ac:dyDescent="0.2">
      <c r="A2146" s="2" t="str" cm="1">
        <f t="array" ref="A2146">INDEX('[1]Brand Family Territory (Enc)'!$A$2:$A$296,INT((ROW()-2)/10)+1)</f>
        <v>Piraat</v>
      </c>
      <c r="B2146" s="2" t="str" cm="1">
        <f t="array" ref="B2146">INDEX('Whitelist (Blackout Reverse)'!$B$1:$K$1,MOD(ROW()-2,10)+1)</f>
        <v>HUDSON</v>
      </c>
      <c r="C2146" s="2" t="str">
        <f>VLOOKUP(A2146,'[1]Brand Family Territory (Enc)'!$A$2:$B$296,2,FALSE)</f>
        <v>All Counties</v>
      </c>
      <c r="D2146" s="2">
        <f>IF(COUNTIFS('[1]Brand Family Territories (Enc)'!$B$2:$B$62,C2146,'[1]Brand Family Territories (Enc)'!$C$2:$C$62,B2146)&gt;0,1,IF(AND(LEFT(B2146,6)="MORRIS",COUNTIFS('[1]Brand Family Territories (Enc)'!$B$2:$B$62,C2146,'[1]Brand Family Territories (Enc)'!$C$2:$C$62,"Morri")&gt;0),"Unk",0))</f>
        <v>1</v>
      </c>
      <c r="E2146" s="2" t="str">
        <f>IFERROR(INDEX('Blackout Brand Fam Areas (Enc)'!$D$6:$D$998,MATCH(UPPER(A2146)&amp;"|"&amp;UPPER(B2146),'Blackout Brand Fam Areas (Enc)'!$G$6:$G$998,0)),"No Match")</f>
        <v>No Match</v>
      </c>
      <c r="F2146" s="2" t="str">
        <f t="shared" si="66"/>
        <v>US</v>
      </c>
      <c r="G2146" s="2" t="str">
        <f t="shared" si="67"/>
        <v>Piraat|HUDSON</v>
      </c>
    </row>
    <row r="2147" spans="1:7" x14ac:dyDescent="0.2">
      <c r="A2147" s="2" t="str" cm="1">
        <f t="array" ref="A2147">INDEX('[1]Brand Family Territory (Enc)'!$A$2:$A$296,INT((ROW()-2)/10)+1)</f>
        <v>Piraat</v>
      </c>
      <c r="B2147" s="2" t="str" cm="1">
        <f t="array" ref="B2147">INDEX('Whitelist (Blackout Reverse)'!$B$1:$K$1,MOD(ROW()-2,10)+1)</f>
        <v>UNION</v>
      </c>
      <c r="C2147" s="2" t="str">
        <f>VLOOKUP(A2147,'[1]Brand Family Territory (Enc)'!$A$2:$B$296,2,FALSE)</f>
        <v>All Counties</v>
      </c>
      <c r="D2147" s="2">
        <f>IF(COUNTIFS('[1]Brand Family Territories (Enc)'!$B$2:$B$62,C2147,'[1]Brand Family Territories (Enc)'!$C$2:$C$62,B2147)&gt;0,1,IF(AND(LEFT(B2147,6)="MORRIS",COUNTIFS('[1]Brand Family Territories (Enc)'!$B$2:$B$62,C2147,'[1]Brand Family Territories (Enc)'!$C$2:$C$62,"Morri")&gt;0),"Unk",0))</f>
        <v>1</v>
      </c>
      <c r="E2147" s="2" t="str">
        <f>IFERROR(INDEX('Blackout Brand Fam Areas (Enc)'!$D$6:$D$998,MATCH(UPPER(A2147)&amp;"|"&amp;UPPER(B2147),'Blackout Brand Fam Areas (Enc)'!$G$6:$G$998,0)),"No Match")</f>
        <v>No Match</v>
      </c>
      <c r="F2147" s="2" t="str">
        <f t="shared" si="66"/>
        <v>US</v>
      </c>
      <c r="G2147" s="2" t="str">
        <f t="shared" si="67"/>
        <v>Piraat|UNION</v>
      </c>
    </row>
    <row r="2148" spans="1:7" x14ac:dyDescent="0.2">
      <c r="A2148" s="2" t="str" cm="1">
        <f t="array" ref="A2148">INDEX('[1]Brand Family Territory (Enc)'!$A$2:$A$296,INT((ROW()-2)/10)+1)</f>
        <v>Piraat</v>
      </c>
      <c r="B2148" s="2" t="str" cm="1">
        <f t="array" ref="B2148">INDEX('Whitelist (Blackout Reverse)'!$B$1:$K$1,MOD(ROW()-2,10)+1)</f>
        <v>SUSSEX</v>
      </c>
      <c r="C2148" s="2" t="str">
        <f>VLOOKUP(A2148,'[1]Brand Family Territory (Enc)'!$A$2:$B$296,2,FALSE)</f>
        <v>All Counties</v>
      </c>
      <c r="D2148" s="2">
        <f>IF(COUNTIFS('[1]Brand Family Territories (Enc)'!$B$2:$B$62,C2148,'[1]Brand Family Territories (Enc)'!$C$2:$C$62,B2148)&gt;0,1,IF(AND(LEFT(B2148,6)="MORRIS",COUNTIFS('[1]Brand Family Territories (Enc)'!$B$2:$B$62,C2148,'[1]Brand Family Territories (Enc)'!$C$2:$C$62,"Morri")&gt;0),"Unk",0))</f>
        <v>1</v>
      </c>
      <c r="E2148" s="2" t="str">
        <f>IFERROR(INDEX('Blackout Brand Fam Areas (Enc)'!$D$6:$D$998,MATCH(UPPER(A2148)&amp;"|"&amp;UPPER(B2148),'Blackout Brand Fam Areas (Enc)'!$G$6:$G$998,0)),"No Match")</f>
        <v>No Match</v>
      </c>
      <c r="F2148" s="2" t="str">
        <f t="shared" si="66"/>
        <v>US</v>
      </c>
      <c r="G2148" s="2" t="str">
        <f t="shared" si="67"/>
        <v>Piraat|SUSSEX</v>
      </c>
    </row>
    <row r="2149" spans="1:7" x14ac:dyDescent="0.2">
      <c r="A2149" s="2" t="str" cm="1">
        <f t="array" ref="A2149">INDEX('[1]Brand Family Territory (Enc)'!$A$2:$A$296,INT((ROW()-2)/10)+1)</f>
        <v>Piraat</v>
      </c>
      <c r="B2149" s="2" t="str" cm="1">
        <f t="array" ref="B2149">INDEX('Whitelist (Blackout Reverse)'!$B$1:$K$1,MOD(ROW()-2,10)+1)</f>
        <v>MORRIS 1</v>
      </c>
      <c r="C2149" s="2" t="str">
        <f>VLOOKUP(A2149,'[1]Brand Family Territory (Enc)'!$A$2:$B$296,2,FALSE)</f>
        <v>All Counties</v>
      </c>
      <c r="D2149" s="2">
        <f>IF(COUNTIFS('[1]Brand Family Territories (Enc)'!$B$2:$B$62,C2149,'[1]Brand Family Territories (Enc)'!$C$2:$C$62,B2149)&gt;0,1,IF(AND(LEFT(B2149,6)="MORRIS",COUNTIFS('[1]Brand Family Territories (Enc)'!$B$2:$B$62,C2149,'[1]Brand Family Territories (Enc)'!$C$2:$C$62,"Morri")&gt;0),"Unk",0))</f>
        <v>1</v>
      </c>
      <c r="E2149" s="2" t="str">
        <f>IFERROR(INDEX('Blackout Brand Fam Areas (Enc)'!$D$6:$D$998,MATCH(UPPER(A2149)&amp;"|"&amp;UPPER(B2149),'Blackout Brand Fam Areas (Enc)'!$G$6:$G$998,0)),"No Match")</f>
        <v>No Match</v>
      </c>
      <c r="F2149" s="2" t="str">
        <f t="shared" si="66"/>
        <v>US</v>
      </c>
      <c r="G2149" s="2" t="str">
        <f t="shared" si="67"/>
        <v>Piraat|MORRIS 1</v>
      </c>
    </row>
    <row r="2150" spans="1:7" x14ac:dyDescent="0.2">
      <c r="A2150" s="2" t="str" cm="1">
        <f t="array" ref="A2150">INDEX('[1]Brand Family Territory (Enc)'!$A$2:$A$296,INT((ROW()-2)/10)+1)</f>
        <v>Piraat</v>
      </c>
      <c r="B2150" s="2" t="str" cm="1">
        <f t="array" ref="B2150">INDEX('Whitelist (Blackout Reverse)'!$B$1:$K$1,MOD(ROW()-2,10)+1)</f>
        <v>MORRIS 2</v>
      </c>
      <c r="C2150" s="2" t="str">
        <f>VLOOKUP(A2150,'[1]Brand Family Territory (Enc)'!$A$2:$B$296,2,FALSE)</f>
        <v>All Counties</v>
      </c>
      <c r="D2150" s="2">
        <f>IF(COUNTIFS('[1]Brand Family Territories (Enc)'!$B$2:$B$62,C2150,'[1]Brand Family Territories (Enc)'!$C$2:$C$62,B2150)&gt;0,1,IF(AND(LEFT(B2150,6)="MORRIS",COUNTIFS('[1]Brand Family Territories (Enc)'!$B$2:$B$62,C2150,'[1]Brand Family Territories (Enc)'!$C$2:$C$62,"Morri")&gt;0),"Unk",0))</f>
        <v>1</v>
      </c>
      <c r="E2150" s="2" t="str">
        <f>IFERROR(INDEX('Blackout Brand Fam Areas (Enc)'!$D$6:$D$998,MATCH(UPPER(A2150)&amp;"|"&amp;UPPER(B2150),'Blackout Brand Fam Areas (Enc)'!$G$6:$G$998,0)),"No Match")</f>
        <v>No Match</v>
      </c>
      <c r="F2150" s="2" t="str">
        <f t="shared" si="66"/>
        <v>US</v>
      </c>
      <c r="G2150" s="2" t="str">
        <f t="shared" si="67"/>
        <v>Piraat|MORRIS 2</v>
      </c>
    </row>
    <row r="2151" spans="1:7" x14ac:dyDescent="0.2">
      <c r="A2151" s="2" t="str" cm="1">
        <f t="array" ref="A2151">INDEX('[1]Brand Family Territory (Enc)'!$A$2:$A$296,INT((ROW()-2)/10)+1)</f>
        <v>Piraat</v>
      </c>
      <c r="B2151" s="2" t="str" cm="1">
        <f t="array" ref="B2151">INDEX('Whitelist (Blackout Reverse)'!$B$1:$K$1,MOD(ROW()-2,10)+1)</f>
        <v>MORRIS 3</v>
      </c>
      <c r="C2151" s="2" t="str">
        <f>VLOOKUP(A2151,'[1]Brand Family Territory (Enc)'!$A$2:$B$296,2,FALSE)</f>
        <v>All Counties</v>
      </c>
      <c r="D2151" s="2">
        <f>IF(COUNTIFS('[1]Brand Family Territories (Enc)'!$B$2:$B$62,C2151,'[1]Brand Family Territories (Enc)'!$C$2:$C$62,B2151)&gt;0,1,IF(AND(LEFT(B2151,6)="MORRIS",COUNTIFS('[1]Brand Family Territories (Enc)'!$B$2:$B$62,C2151,'[1]Brand Family Territories (Enc)'!$C$2:$C$62,"Morri")&gt;0),"Unk",0))</f>
        <v>1</v>
      </c>
      <c r="E2151" s="2" t="str">
        <f>IFERROR(INDEX('Blackout Brand Fam Areas (Enc)'!$D$6:$D$998,MATCH(UPPER(A2151)&amp;"|"&amp;UPPER(B2151),'Blackout Brand Fam Areas (Enc)'!$G$6:$G$998,0)),"No Match")</f>
        <v>No Match</v>
      </c>
      <c r="F2151" s="2" t="str">
        <f t="shared" si="66"/>
        <v>US</v>
      </c>
      <c r="G2151" s="2" t="str">
        <f t="shared" si="67"/>
        <v>Piraat|MORRIS 3</v>
      </c>
    </row>
    <row r="2152" spans="1:7" x14ac:dyDescent="0.2">
      <c r="A2152" s="2" t="str" cm="1">
        <f t="array" ref="A2152">INDEX('[1]Brand Family Territory (Enc)'!$A$2:$A$296,INT((ROW()-2)/10)+1)</f>
        <v>Whole Hog</v>
      </c>
      <c r="B2152" s="2" t="str" cm="1">
        <f t="array" ref="B2152">INDEX('Whitelist (Blackout Reverse)'!$B$1:$K$1,MOD(ROW()-2,10)+1)</f>
        <v>BERGEN</v>
      </c>
      <c r="C2152" s="2" t="str">
        <f>VLOOKUP(A2152,'[1]Brand Family Territory (Enc)'!$A$2:$B$296,2,FALSE)</f>
        <v>All Counties</v>
      </c>
      <c r="D2152" s="2">
        <f>IF(COUNTIFS('[1]Brand Family Territories (Enc)'!$B$2:$B$62,C2152,'[1]Brand Family Territories (Enc)'!$C$2:$C$62,B2152)&gt;0,1,IF(AND(LEFT(B2152,6)="MORRIS",COUNTIFS('[1]Brand Family Territories (Enc)'!$B$2:$B$62,C2152,'[1]Brand Family Territories (Enc)'!$C$2:$C$62,"Morri")&gt;0),"Unk",0))</f>
        <v>1</v>
      </c>
      <c r="E2152" s="2" t="str">
        <f>IFERROR(INDEX('Blackout Brand Fam Areas (Enc)'!$D$6:$D$998,MATCH(UPPER(A2152)&amp;"|"&amp;UPPER(B2152),'Blackout Brand Fam Areas (Enc)'!$G$6:$G$998,0)),"No Match")</f>
        <v>No Match</v>
      </c>
      <c r="F2152" s="2" t="str">
        <f t="shared" si="66"/>
        <v>US</v>
      </c>
      <c r="G2152" s="2" t="str">
        <f t="shared" si="67"/>
        <v>Whole Hog|BERGEN</v>
      </c>
    </row>
    <row r="2153" spans="1:7" x14ac:dyDescent="0.2">
      <c r="A2153" s="2" t="str" cm="1">
        <f t="array" ref="A2153">INDEX('[1]Brand Family Territory (Enc)'!$A$2:$A$296,INT((ROW()-2)/10)+1)</f>
        <v>Whole Hog</v>
      </c>
      <c r="B2153" s="2" t="str" cm="1">
        <f t="array" ref="B2153">INDEX('Whitelist (Blackout Reverse)'!$B$1:$K$1,MOD(ROW()-2,10)+1)</f>
        <v>PASSAIC</v>
      </c>
      <c r="C2153" s="2" t="str">
        <f>VLOOKUP(A2153,'[1]Brand Family Territory (Enc)'!$A$2:$B$296,2,FALSE)</f>
        <v>All Counties</v>
      </c>
      <c r="D2153" s="2">
        <f>IF(COUNTIFS('[1]Brand Family Territories (Enc)'!$B$2:$B$62,C2153,'[1]Brand Family Territories (Enc)'!$C$2:$C$62,B2153)&gt;0,1,IF(AND(LEFT(B2153,6)="MORRIS",COUNTIFS('[1]Brand Family Territories (Enc)'!$B$2:$B$62,C2153,'[1]Brand Family Territories (Enc)'!$C$2:$C$62,"Morri")&gt;0),"Unk",0))</f>
        <v>1</v>
      </c>
      <c r="E2153" s="2" t="str">
        <f>IFERROR(INDEX('Blackout Brand Fam Areas (Enc)'!$D$6:$D$998,MATCH(UPPER(A2153)&amp;"|"&amp;UPPER(B2153),'Blackout Brand Fam Areas (Enc)'!$G$6:$G$998,0)),"No Match")</f>
        <v>No Match</v>
      </c>
      <c r="F2153" s="2" t="str">
        <f t="shared" si="66"/>
        <v>US</v>
      </c>
      <c r="G2153" s="2" t="str">
        <f t="shared" si="67"/>
        <v>Whole Hog|PASSAIC</v>
      </c>
    </row>
    <row r="2154" spans="1:7" x14ac:dyDescent="0.2">
      <c r="A2154" s="2" t="str" cm="1">
        <f t="array" ref="A2154">INDEX('[1]Brand Family Territory (Enc)'!$A$2:$A$296,INT((ROW()-2)/10)+1)</f>
        <v>Whole Hog</v>
      </c>
      <c r="B2154" s="2" t="str" cm="1">
        <f t="array" ref="B2154">INDEX('Whitelist (Blackout Reverse)'!$B$1:$K$1,MOD(ROW()-2,10)+1)</f>
        <v>PASSAIC-FF</v>
      </c>
      <c r="C2154" s="2" t="str">
        <f>VLOOKUP(A2154,'[1]Brand Family Territory (Enc)'!$A$2:$B$296,2,FALSE)</f>
        <v>All Counties</v>
      </c>
      <c r="D2154" s="2">
        <f>IF(COUNTIFS('[1]Brand Family Territories (Enc)'!$B$2:$B$62,C2154,'[1]Brand Family Territories (Enc)'!$C$2:$C$62,B2154)&gt;0,1,IF(AND(LEFT(B2154,6)="MORRIS",COUNTIFS('[1]Brand Family Territories (Enc)'!$B$2:$B$62,C2154,'[1]Brand Family Territories (Enc)'!$C$2:$C$62,"Morri")&gt;0),"Unk",0))</f>
        <v>1</v>
      </c>
      <c r="E2154" s="2" t="str">
        <f>IFERROR(INDEX('Blackout Brand Fam Areas (Enc)'!$D$6:$D$998,MATCH(UPPER(A2154)&amp;"|"&amp;UPPER(B2154),'Blackout Brand Fam Areas (Enc)'!$G$6:$G$998,0)),"No Match")</f>
        <v>No Match</v>
      </c>
      <c r="F2154" s="2" t="str">
        <f t="shared" si="66"/>
        <v>US</v>
      </c>
      <c r="G2154" s="2" t="str">
        <f t="shared" si="67"/>
        <v>Whole Hog|PASSAIC-FF</v>
      </c>
    </row>
    <row r="2155" spans="1:7" x14ac:dyDescent="0.2">
      <c r="A2155" s="2" t="str" cm="1">
        <f t="array" ref="A2155">INDEX('[1]Brand Family Territory (Enc)'!$A$2:$A$296,INT((ROW()-2)/10)+1)</f>
        <v>Whole Hog</v>
      </c>
      <c r="B2155" s="2" t="str" cm="1">
        <f t="array" ref="B2155">INDEX('Whitelist (Blackout Reverse)'!$B$1:$K$1,MOD(ROW()-2,10)+1)</f>
        <v>ESSEX</v>
      </c>
      <c r="C2155" s="2" t="str">
        <f>VLOOKUP(A2155,'[1]Brand Family Territory (Enc)'!$A$2:$B$296,2,FALSE)</f>
        <v>All Counties</v>
      </c>
      <c r="D2155" s="2">
        <f>IF(COUNTIFS('[1]Brand Family Territories (Enc)'!$B$2:$B$62,C2155,'[1]Brand Family Territories (Enc)'!$C$2:$C$62,B2155)&gt;0,1,IF(AND(LEFT(B2155,6)="MORRIS",COUNTIFS('[1]Brand Family Territories (Enc)'!$B$2:$B$62,C2155,'[1]Brand Family Territories (Enc)'!$C$2:$C$62,"Morri")&gt;0),"Unk",0))</f>
        <v>1</v>
      </c>
      <c r="E2155" s="2" t="str">
        <f>IFERROR(INDEX('Blackout Brand Fam Areas (Enc)'!$D$6:$D$998,MATCH(UPPER(A2155)&amp;"|"&amp;UPPER(B2155),'Blackout Brand Fam Areas (Enc)'!$G$6:$G$998,0)),"No Match")</f>
        <v>No Match</v>
      </c>
      <c r="F2155" s="2" t="str">
        <f t="shared" si="66"/>
        <v>US</v>
      </c>
      <c r="G2155" s="2" t="str">
        <f t="shared" si="67"/>
        <v>Whole Hog|ESSEX</v>
      </c>
    </row>
    <row r="2156" spans="1:7" x14ac:dyDescent="0.2">
      <c r="A2156" s="2" t="str" cm="1">
        <f t="array" ref="A2156">INDEX('[1]Brand Family Territory (Enc)'!$A$2:$A$296,INT((ROW()-2)/10)+1)</f>
        <v>Whole Hog</v>
      </c>
      <c r="B2156" s="2" t="str" cm="1">
        <f t="array" ref="B2156">INDEX('Whitelist (Blackout Reverse)'!$B$1:$K$1,MOD(ROW()-2,10)+1)</f>
        <v>HUDSON</v>
      </c>
      <c r="C2156" s="2" t="str">
        <f>VLOOKUP(A2156,'[1]Brand Family Territory (Enc)'!$A$2:$B$296,2,FALSE)</f>
        <v>All Counties</v>
      </c>
      <c r="D2156" s="2">
        <f>IF(COUNTIFS('[1]Brand Family Territories (Enc)'!$B$2:$B$62,C2156,'[1]Brand Family Territories (Enc)'!$C$2:$C$62,B2156)&gt;0,1,IF(AND(LEFT(B2156,6)="MORRIS",COUNTIFS('[1]Brand Family Territories (Enc)'!$B$2:$B$62,C2156,'[1]Brand Family Territories (Enc)'!$C$2:$C$62,"Morri")&gt;0),"Unk",0))</f>
        <v>1</v>
      </c>
      <c r="E2156" s="2" t="str">
        <f>IFERROR(INDEX('Blackout Brand Fam Areas (Enc)'!$D$6:$D$998,MATCH(UPPER(A2156)&amp;"|"&amp;UPPER(B2156),'Blackout Brand Fam Areas (Enc)'!$G$6:$G$998,0)),"No Match")</f>
        <v>No Match</v>
      </c>
      <c r="F2156" s="2" t="str">
        <f t="shared" si="66"/>
        <v>US</v>
      </c>
      <c r="G2156" s="2" t="str">
        <f t="shared" si="67"/>
        <v>Whole Hog|HUDSON</v>
      </c>
    </row>
    <row r="2157" spans="1:7" x14ac:dyDescent="0.2">
      <c r="A2157" s="2" t="str" cm="1">
        <f t="array" ref="A2157">INDEX('[1]Brand Family Territory (Enc)'!$A$2:$A$296,INT((ROW()-2)/10)+1)</f>
        <v>Whole Hog</v>
      </c>
      <c r="B2157" s="2" t="str" cm="1">
        <f t="array" ref="B2157">INDEX('Whitelist (Blackout Reverse)'!$B$1:$K$1,MOD(ROW()-2,10)+1)</f>
        <v>UNION</v>
      </c>
      <c r="C2157" s="2" t="str">
        <f>VLOOKUP(A2157,'[1]Brand Family Territory (Enc)'!$A$2:$B$296,2,FALSE)</f>
        <v>All Counties</v>
      </c>
      <c r="D2157" s="2">
        <f>IF(COUNTIFS('[1]Brand Family Territories (Enc)'!$B$2:$B$62,C2157,'[1]Brand Family Territories (Enc)'!$C$2:$C$62,B2157)&gt;0,1,IF(AND(LEFT(B2157,6)="MORRIS",COUNTIFS('[1]Brand Family Territories (Enc)'!$B$2:$B$62,C2157,'[1]Brand Family Territories (Enc)'!$C$2:$C$62,"Morri")&gt;0),"Unk",0))</f>
        <v>1</v>
      </c>
      <c r="E2157" s="2" t="str">
        <f>IFERROR(INDEX('Blackout Brand Fam Areas (Enc)'!$D$6:$D$998,MATCH(UPPER(A2157)&amp;"|"&amp;UPPER(B2157),'Blackout Brand Fam Areas (Enc)'!$G$6:$G$998,0)),"No Match")</f>
        <v>No Match</v>
      </c>
      <c r="F2157" s="2" t="str">
        <f t="shared" si="66"/>
        <v>US</v>
      </c>
      <c r="G2157" s="2" t="str">
        <f t="shared" si="67"/>
        <v>Whole Hog|UNION</v>
      </c>
    </row>
    <row r="2158" spans="1:7" x14ac:dyDescent="0.2">
      <c r="A2158" s="2" t="str" cm="1">
        <f t="array" ref="A2158">INDEX('[1]Brand Family Territory (Enc)'!$A$2:$A$296,INT((ROW()-2)/10)+1)</f>
        <v>Whole Hog</v>
      </c>
      <c r="B2158" s="2" t="str" cm="1">
        <f t="array" ref="B2158">INDEX('Whitelist (Blackout Reverse)'!$B$1:$K$1,MOD(ROW()-2,10)+1)</f>
        <v>SUSSEX</v>
      </c>
      <c r="C2158" s="2" t="str">
        <f>VLOOKUP(A2158,'[1]Brand Family Territory (Enc)'!$A$2:$B$296,2,FALSE)</f>
        <v>All Counties</v>
      </c>
      <c r="D2158" s="2">
        <f>IF(COUNTIFS('[1]Brand Family Territories (Enc)'!$B$2:$B$62,C2158,'[1]Brand Family Territories (Enc)'!$C$2:$C$62,B2158)&gt;0,1,IF(AND(LEFT(B2158,6)="MORRIS",COUNTIFS('[1]Brand Family Territories (Enc)'!$B$2:$B$62,C2158,'[1]Brand Family Territories (Enc)'!$C$2:$C$62,"Morri")&gt;0),"Unk",0))</f>
        <v>1</v>
      </c>
      <c r="E2158" s="2" t="str">
        <f>IFERROR(INDEX('Blackout Brand Fam Areas (Enc)'!$D$6:$D$998,MATCH(UPPER(A2158)&amp;"|"&amp;UPPER(B2158),'Blackout Brand Fam Areas (Enc)'!$G$6:$G$998,0)),"No Match")</f>
        <v>No Match</v>
      </c>
      <c r="F2158" s="2" t="str">
        <f t="shared" si="66"/>
        <v>US</v>
      </c>
      <c r="G2158" s="2" t="str">
        <f t="shared" si="67"/>
        <v>Whole Hog|SUSSEX</v>
      </c>
    </row>
    <row r="2159" spans="1:7" x14ac:dyDescent="0.2">
      <c r="A2159" s="2" t="str" cm="1">
        <f t="array" ref="A2159">INDEX('[1]Brand Family Territory (Enc)'!$A$2:$A$296,INT((ROW()-2)/10)+1)</f>
        <v>Whole Hog</v>
      </c>
      <c r="B2159" s="2" t="str" cm="1">
        <f t="array" ref="B2159">INDEX('Whitelist (Blackout Reverse)'!$B$1:$K$1,MOD(ROW()-2,10)+1)</f>
        <v>MORRIS 1</v>
      </c>
      <c r="C2159" s="2" t="str">
        <f>VLOOKUP(A2159,'[1]Brand Family Territory (Enc)'!$A$2:$B$296,2,FALSE)</f>
        <v>All Counties</v>
      </c>
      <c r="D2159" s="2">
        <f>IF(COUNTIFS('[1]Brand Family Territories (Enc)'!$B$2:$B$62,C2159,'[1]Brand Family Territories (Enc)'!$C$2:$C$62,B2159)&gt;0,1,IF(AND(LEFT(B2159,6)="MORRIS",COUNTIFS('[1]Brand Family Territories (Enc)'!$B$2:$B$62,C2159,'[1]Brand Family Territories (Enc)'!$C$2:$C$62,"Morri")&gt;0),"Unk",0))</f>
        <v>1</v>
      </c>
      <c r="E2159" s="2" t="str">
        <f>IFERROR(INDEX('Blackout Brand Fam Areas (Enc)'!$D$6:$D$998,MATCH(UPPER(A2159)&amp;"|"&amp;UPPER(B2159),'Blackout Brand Fam Areas (Enc)'!$G$6:$G$998,0)),"No Match")</f>
        <v>No Match</v>
      </c>
      <c r="F2159" s="2" t="str">
        <f t="shared" si="66"/>
        <v>US</v>
      </c>
      <c r="G2159" s="2" t="str">
        <f t="shared" si="67"/>
        <v>Whole Hog|MORRIS 1</v>
      </c>
    </row>
    <row r="2160" spans="1:7" x14ac:dyDescent="0.2">
      <c r="A2160" s="2" t="str" cm="1">
        <f t="array" ref="A2160">INDEX('[1]Brand Family Territory (Enc)'!$A$2:$A$296,INT((ROW()-2)/10)+1)</f>
        <v>Whole Hog</v>
      </c>
      <c r="B2160" s="2" t="str" cm="1">
        <f t="array" ref="B2160">INDEX('Whitelist (Blackout Reverse)'!$B$1:$K$1,MOD(ROW()-2,10)+1)</f>
        <v>MORRIS 2</v>
      </c>
      <c r="C2160" s="2" t="str">
        <f>VLOOKUP(A2160,'[1]Brand Family Territory (Enc)'!$A$2:$B$296,2,FALSE)</f>
        <v>All Counties</v>
      </c>
      <c r="D2160" s="2">
        <f>IF(COUNTIFS('[1]Brand Family Territories (Enc)'!$B$2:$B$62,C2160,'[1]Brand Family Territories (Enc)'!$C$2:$C$62,B2160)&gt;0,1,IF(AND(LEFT(B2160,6)="MORRIS",COUNTIFS('[1]Brand Family Territories (Enc)'!$B$2:$B$62,C2160,'[1]Brand Family Territories (Enc)'!$C$2:$C$62,"Morri")&gt;0),"Unk",0))</f>
        <v>1</v>
      </c>
      <c r="E2160" s="2" t="str">
        <f>IFERROR(INDEX('Blackout Brand Fam Areas (Enc)'!$D$6:$D$998,MATCH(UPPER(A2160)&amp;"|"&amp;UPPER(B2160),'Blackout Brand Fam Areas (Enc)'!$G$6:$G$998,0)),"No Match")</f>
        <v>No Match</v>
      </c>
      <c r="F2160" s="2" t="str">
        <f t="shared" si="66"/>
        <v>US</v>
      </c>
      <c r="G2160" s="2" t="str">
        <f t="shared" si="67"/>
        <v>Whole Hog|MORRIS 2</v>
      </c>
    </row>
    <row r="2161" spans="1:7" x14ac:dyDescent="0.2">
      <c r="A2161" s="2" t="str" cm="1">
        <f t="array" ref="A2161">INDEX('[1]Brand Family Territory (Enc)'!$A$2:$A$296,INT((ROW()-2)/10)+1)</f>
        <v>Whole Hog</v>
      </c>
      <c r="B2161" s="2" t="str" cm="1">
        <f t="array" ref="B2161">INDEX('Whitelist (Blackout Reverse)'!$B$1:$K$1,MOD(ROW()-2,10)+1)</f>
        <v>MORRIS 3</v>
      </c>
      <c r="C2161" s="2" t="str">
        <f>VLOOKUP(A2161,'[1]Brand Family Territory (Enc)'!$A$2:$B$296,2,FALSE)</f>
        <v>All Counties</v>
      </c>
      <c r="D2161" s="2">
        <f>IF(COUNTIFS('[1]Brand Family Territories (Enc)'!$B$2:$B$62,C2161,'[1]Brand Family Territories (Enc)'!$C$2:$C$62,B2161)&gt;0,1,IF(AND(LEFT(B2161,6)="MORRIS",COUNTIFS('[1]Brand Family Territories (Enc)'!$B$2:$B$62,C2161,'[1]Brand Family Territories (Enc)'!$C$2:$C$62,"Morri")&gt;0),"Unk",0))</f>
        <v>1</v>
      </c>
      <c r="E2161" s="2" t="str">
        <f>IFERROR(INDEX('Blackout Brand Fam Areas (Enc)'!$D$6:$D$998,MATCH(UPPER(A2161)&amp;"|"&amp;UPPER(B2161),'Blackout Brand Fam Areas (Enc)'!$G$6:$G$998,0)),"No Match")</f>
        <v>No Match</v>
      </c>
      <c r="F2161" s="2" t="str">
        <f t="shared" si="66"/>
        <v>US</v>
      </c>
      <c r="G2161" s="2" t="str">
        <f t="shared" si="67"/>
        <v>Whole Hog|MORRIS 3</v>
      </c>
    </row>
    <row r="2162" spans="1:7" x14ac:dyDescent="0.2">
      <c r="A2162" s="2" t="str" cm="1">
        <f t="array" ref="A2162">INDEX('[1]Brand Family Territory (Enc)'!$A$2:$A$296,INT((ROW()-2)/10)+1)</f>
        <v>Poker Import</v>
      </c>
      <c r="B2162" s="2" t="str" cm="1">
        <f t="array" ref="B2162">INDEX('Whitelist (Blackout Reverse)'!$B$1:$K$1,MOD(ROW()-2,10)+1)</f>
        <v>BERGEN</v>
      </c>
      <c r="C2162" s="2" t="str">
        <f>VLOOKUP(A2162,'[1]Brand Family Territory (Enc)'!$A$2:$B$296,2,FALSE)</f>
        <v>All Counties</v>
      </c>
      <c r="D2162" s="2">
        <f>IF(COUNTIFS('[1]Brand Family Territories (Enc)'!$B$2:$B$62,C2162,'[1]Brand Family Territories (Enc)'!$C$2:$C$62,B2162)&gt;0,1,IF(AND(LEFT(B2162,6)="MORRIS",COUNTIFS('[1]Brand Family Territories (Enc)'!$B$2:$B$62,C2162,'[1]Brand Family Territories (Enc)'!$C$2:$C$62,"Morri")&gt;0),"Unk",0))</f>
        <v>1</v>
      </c>
      <c r="E2162" s="2" t="str">
        <f>IFERROR(INDEX('Blackout Brand Fam Areas (Enc)'!$D$6:$D$998,MATCH(UPPER(A2162)&amp;"|"&amp;UPPER(B2162),'Blackout Brand Fam Areas (Enc)'!$G$6:$G$998,0)),"No Match")</f>
        <v>No Match</v>
      </c>
      <c r="F2162" s="2" t="str">
        <f t="shared" si="66"/>
        <v>US</v>
      </c>
      <c r="G2162" s="2" t="str">
        <f t="shared" si="67"/>
        <v>Poker Import|BERGEN</v>
      </c>
    </row>
    <row r="2163" spans="1:7" x14ac:dyDescent="0.2">
      <c r="A2163" s="2" t="str" cm="1">
        <f t="array" ref="A2163">INDEX('[1]Brand Family Territory (Enc)'!$A$2:$A$296,INT((ROW()-2)/10)+1)</f>
        <v>Poker Import</v>
      </c>
      <c r="B2163" s="2" t="str" cm="1">
        <f t="array" ref="B2163">INDEX('Whitelist (Blackout Reverse)'!$B$1:$K$1,MOD(ROW()-2,10)+1)</f>
        <v>PASSAIC</v>
      </c>
      <c r="C2163" s="2" t="str">
        <f>VLOOKUP(A2163,'[1]Brand Family Territory (Enc)'!$A$2:$B$296,2,FALSE)</f>
        <v>All Counties</v>
      </c>
      <c r="D2163" s="2">
        <f>IF(COUNTIFS('[1]Brand Family Territories (Enc)'!$B$2:$B$62,C2163,'[1]Brand Family Territories (Enc)'!$C$2:$C$62,B2163)&gt;0,1,IF(AND(LEFT(B2163,6)="MORRIS",COUNTIFS('[1]Brand Family Territories (Enc)'!$B$2:$B$62,C2163,'[1]Brand Family Territories (Enc)'!$C$2:$C$62,"Morri")&gt;0),"Unk",0))</f>
        <v>1</v>
      </c>
      <c r="E2163" s="2" t="str">
        <f>IFERROR(INDEX('Blackout Brand Fam Areas (Enc)'!$D$6:$D$998,MATCH(UPPER(A2163)&amp;"|"&amp;UPPER(B2163),'Blackout Brand Fam Areas (Enc)'!$G$6:$G$998,0)),"No Match")</f>
        <v>No Match</v>
      </c>
      <c r="F2163" s="2" t="str">
        <f t="shared" si="66"/>
        <v>US</v>
      </c>
      <c r="G2163" s="2" t="str">
        <f t="shared" si="67"/>
        <v>Poker Import|PASSAIC</v>
      </c>
    </row>
    <row r="2164" spans="1:7" x14ac:dyDescent="0.2">
      <c r="A2164" s="2" t="str" cm="1">
        <f t="array" ref="A2164">INDEX('[1]Brand Family Territory (Enc)'!$A$2:$A$296,INT((ROW()-2)/10)+1)</f>
        <v>Poker Import</v>
      </c>
      <c r="B2164" s="2" t="str" cm="1">
        <f t="array" ref="B2164">INDEX('Whitelist (Blackout Reverse)'!$B$1:$K$1,MOD(ROW()-2,10)+1)</f>
        <v>PASSAIC-FF</v>
      </c>
      <c r="C2164" s="2" t="str">
        <f>VLOOKUP(A2164,'[1]Brand Family Territory (Enc)'!$A$2:$B$296,2,FALSE)</f>
        <v>All Counties</v>
      </c>
      <c r="D2164" s="2">
        <f>IF(COUNTIFS('[1]Brand Family Territories (Enc)'!$B$2:$B$62,C2164,'[1]Brand Family Territories (Enc)'!$C$2:$C$62,B2164)&gt;0,1,IF(AND(LEFT(B2164,6)="MORRIS",COUNTIFS('[1]Brand Family Territories (Enc)'!$B$2:$B$62,C2164,'[1]Brand Family Territories (Enc)'!$C$2:$C$62,"Morri")&gt;0),"Unk",0))</f>
        <v>1</v>
      </c>
      <c r="E2164" s="2" t="str">
        <f>IFERROR(INDEX('Blackout Brand Fam Areas (Enc)'!$D$6:$D$998,MATCH(UPPER(A2164)&amp;"|"&amp;UPPER(B2164),'Blackout Brand Fam Areas (Enc)'!$G$6:$G$998,0)),"No Match")</f>
        <v>No Match</v>
      </c>
      <c r="F2164" s="2" t="str">
        <f t="shared" si="66"/>
        <v>US</v>
      </c>
      <c r="G2164" s="2" t="str">
        <f t="shared" si="67"/>
        <v>Poker Import|PASSAIC-FF</v>
      </c>
    </row>
    <row r="2165" spans="1:7" x14ac:dyDescent="0.2">
      <c r="A2165" s="2" t="str" cm="1">
        <f t="array" ref="A2165">INDEX('[1]Brand Family Territory (Enc)'!$A$2:$A$296,INT((ROW()-2)/10)+1)</f>
        <v>Poker Import</v>
      </c>
      <c r="B2165" s="2" t="str" cm="1">
        <f t="array" ref="B2165">INDEX('Whitelist (Blackout Reverse)'!$B$1:$K$1,MOD(ROW()-2,10)+1)</f>
        <v>ESSEX</v>
      </c>
      <c r="C2165" s="2" t="str">
        <f>VLOOKUP(A2165,'[1]Brand Family Territory (Enc)'!$A$2:$B$296,2,FALSE)</f>
        <v>All Counties</v>
      </c>
      <c r="D2165" s="2">
        <f>IF(COUNTIFS('[1]Brand Family Territories (Enc)'!$B$2:$B$62,C2165,'[1]Brand Family Territories (Enc)'!$C$2:$C$62,B2165)&gt;0,1,IF(AND(LEFT(B2165,6)="MORRIS",COUNTIFS('[1]Brand Family Territories (Enc)'!$B$2:$B$62,C2165,'[1]Brand Family Territories (Enc)'!$C$2:$C$62,"Morri")&gt;0),"Unk",0))</f>
        <v>1</v>
      </c>
      <c r="E2165" s="2" t="str">
        <f>IFERROR(INDEX('Blackout Brand Fam Areas (Enc)'!$D$6:$D$998,MATCH(UPPER(A2165)&amp;"|"&amp;UPPER(B2165),'Blackout Brand Fam Areas (Enc)'!$G$6:$G$998,0)),"No Match")</f>
        <v>No Match</v>
      </c>
      <c r="F2165" s="2" t="str">
        <f t="shared" si="66"/>
        <v>US</v>
      </c>
      <c r="G2165" s="2" t="str">
        <f t="shared" si="67"/>
        <v>Poker Import|ESSEX</v>
      </c>
    </row>
    <row r="2166" spans="1:7" x14ac:dyDescent="0.2">
      <c r="A2166" s="2" t="str" cm="1">
        <f t="array" ref="A2166">INDEX('[1]Brand Family Territory (Enc)'!$A$2:$A$296,INT((ROW()-2)/10)+1)</f>
        <v>Poker Import</v>
      </c>
      <c r="B2166" s="2" t="str" cm="1">
        <f t="array" ref="B2166">INDEX('Whitelist (Blackout Reverse)'!$B$1:$K$1,MOD(ROW()-2,10)+1)</f>
        <v>HUDSON</v>
      </c>
      <c r="C2166" s="2" t="str">
        <f>VLOOKUP(A2166,'[1]Brand Family Territory (Enc)'!$A$2:$B$296,2,FALSE)</f>
        <v>All Counties</v>
      </c>
      <c r="D2166" s="2">
        <f>IF(COUNTIFS('[1]Brand Family Territories (Enc)'!$B$2:$B$62,C2166,'[1]Brand Family Territories (Enc)'!$C$2:$C$62,B2166)&gt;0,1,IF(AND(LEFT(B2166,6)="MORRIS",COUNTIFS('[1]Brand Family Territories (Enc)'!$B$2:$B$62,C2166,'[1]Brand Family Territories (Enc)'!$C$2:$C$62,"Morri")&gt;0),"Unk",0))</f>
        <v>1</v>
      </c>
      <c r="E2166" s="2" t="str">
        <f>IFERROR(INDEX('Blackout Brand Fam Areas (Enc)'!$D$6:$D$998,MATCH(UPPER(A2166)&amp;"|"&amp;UPPER(B2166),'Blackout Brand Fam Areas (Enc)'!$G$6:$G$998,0)),"No Match")</f>
        <v>No Match</v>
      </c>
      <c r="F2166" s="2" t="str">
        <f t="shared" si="66"/>
        <v>US</v>
      </c>
      <c r="G2166" s="2" t="str">
        <f t="shared" si="67"/>
        <v>Poker Import|HUDSON</v>
      </c>
    </row>
    <row r="2167" spans="1:7" x14ac:dyDescent="0.2">
      <c r="A2167" s="2" t="str" cm="1">
        <f t="array" ref="A2167">INDEX('[1]Brand Family Territory (Enc)'!$A$2:$A$296,INT((ROW()-2)/10)+1)</f>
        <v>Poker Import</v>
      </c>
      <c r="B2167" s="2" t="str" cm="1">
        <f t="array" ref="B2167">INDEX('Whitelist (Blackout Reverse)'!$B$1:$K$1,MOD(ROW()-2,10)+1)</f>
        <v>UNION</v>
      </c>
      <c r="C2167" s="2" t="str">
        <f>VLOOKUP(A2167,'[1]Brand Family Territory (Enc)'!$A$2:$B$296,2,FALSE)</f>
        <v>All Counties</v>
      </c>
      <c r="D2167" s="2">
        <f>IF(COUNTIFS('[1]Brand Family Territories (Enc)'!$B$2:$B$62,C2167,'[1]Brand Family Territories (Enc)'!$C$2:$C$62,B2167)&gt;0,1,IF(AND(LEFT(B2167,6)="MORRIS",COUNTIFS('[1]Brand Family Territories (Enc)'!$B$2:$B$62,C2167,'[1]Brand Family Territories (Enc)'!$C$2:$C$62,"Morri")&gt;0),"Unk",0))</f>
        <v>1</v>
      </c>
      <c r="E2167" s="2" t="str">
        <f>IFERROR(INDEX('Blackout Brand Fam Areas (Enc)'!$D$6:$D$998,MATCH(UPPER(A2167)&amp;"|"&amp;UPPER(B2167),'Blackout Brand Fam Areas (Enc)'!$G$6:$G$998,0)),"No Match")</f>
        <v>No Match</v>
      </c>
      <c r="F2167" s="2" t="str">
        <f t="shared" si="66"/>
        <v>US</v>
      </c>
      <c r="G2167" s="2" t="str">
        <f t="shared" si="67"/>
        <v>Poker Import|UNION</v>
      </c>
    </row>
    <row r="2168" spans="1:7" x14ac:dyDescent="0.2">
      <c r="A2168" s="2" t="str" cm="1">
        <f t="array" ref="A2168">INDEX('[1]Brand Family Territory (Enc)'!$A$2:$A$296,INT((ROW()-2)/10)+1)</f>
        <v>Poker Import</v>
      </c>
      <c r="B2168" s="2" t="str" cm="1">
        <f t="array" ref="B2168">INDEX('Whitelist (Blackout Reverse)'!$B$1:$K$1,MOD(ROW()-2,10)+1)</f>
        <v>SUSSEX</v>
      </c>
      <c r="C2168" s="2" t="str">
        <f>VLOOKUP(A2168,'[1]Brand Family Territory (Enc)'!$A$2:$B$296,2,FALSE)</f>
        <v>All Counties</v>
      </c>
      <c r="D2168" s="2">
        <f>IF(COUNTIFS('[1]Brand Family Territories (Enc)'!$B$2:$B$62,C2168,'[1]Brand Family Territories (Enc)'!$C$2:$C$62,B2168)&gt;0,1,IF(AND(LEFT(B2168,6)="MORRIS",COUNTIFS('[1]Brand Family Territories (Enc)'!$B$2:$B$62,C2168,'[1]Brand Family Territories (Enc)'!$C$2:$C$62,"Morri")&gt;0),"Unk",0))</f>
        <v>1</v>
      </c>
      <c r="E2168" s="2" t="str">
        <f>IFERROR(INDEX('Blackout Brand Fam Areas (Enc)'!$D$6:$D$998,MATCH(UPPER(A2168)&amp;"|"&amp;UPPER(B2168),'Blackout Brand Fam Areas (Enc)'!$G$6:$G$998,0)),"No Match")</f>
        <v>No Match</v>
      </c>
      <c r="F2168" s="2" t="str">
        <f t="shared" si="66"/>
        <v>US</v>
      </c>
      <c r="G2168" s="2" t="str">
        <f t="shared" si="67"/>
        <v>Poker Import|SUSSEX</v>
      </c>
    </row>
    <row r="2169" spans="1:7" x14ac:dyDescent="0.2">
      <c r="A2169" s="2" t="str" cm="1">
        <f t="array" ref="A2169">INDEX('[1]Brand Family Territory (Enc)'!$A$2:$A$296,INT((ROW()-2)/10)+1)</f>
        <v>Poker Import</v>
      </c>
      <c r="B2169" s="2" t="str" cm="1">
        <f t="array" ref="B2169">INDEX('Whitelist (Blackout Reverse)'!$B$1:$K$1,MOD(ROW()-2,10)+1)</f>
        <v>MORRIS 1</v>
      </c>
      <c r="C2169" s="2" t="str">
        <f>VLOOKUP(A2169,'[1]Brand Family Territory (Enc)'!$A$2:$B$296,2,FALSE)</f>
        <v>All Counties</v>
      </c>
      <c r="D2169" s="2">
        <f>IF(COUNTIFS('[1]Brand Family Territories (Enc)'!$B$2:$B$62,C2169,'[1]Brand Family Territories (Enc)'!$C$2:$C$62,B2169)&gt;0,1,IF(AND(LEFT(B2169,6)="MORRIS",COUNTIFS('[1]Brand Family Territories (Enc)'!$B$2:$B$62,C2169,'[1]Brand Family Territories (Enc)'!$C$2:$C$62,"Morri")&gt;0),"Unk",0))</f>
        <v>1</v>
      </c>
      <c r="E2169" s="2" t="str">
        <f>IFERROR(INDEX('Blackout Brand Fam Areas (Enc)'!$D$6:$D$998,MATCH(UPPER(A2169)&amp;"|"&amp;UPPER(B2169),'Blackout Brand Fam Areas (Enc)'!$G$6:$G$998,0)),"No Match")</f>
        <v>No Match</v>
      </c>
      <c r="F2169" s="2" t="str">
        <f t="shared" si="66"/>
        <v>US</v>
      </c>
      <c r="G2169" s="2" t="str">
        <f t="shared" si="67"/>
        <v>Poker Import|MORRIS 1</v>
      </c>
    </row>
    <row r="2170" spans="1:7" x14ac:dyDescent="0.2">
      <c r="A2170" s="2" t="str" cm="1">
        <f t="array" ref="A2170">INDEX('[1]Brand Family Territory (Enc)'!$A$2:$A$296,INT((ROW()-2)/10)+1)</f>
        <v>Poker Import</v>
      </c>
      <c r="B2170" s="2" t="str" cm="1">
        <f t="array" ref="B2170">INDEX('Whitelist (Blackout Reverse)'!$B$1:$K$1,MOD(ROW()-2,10)+1)</f>
        <v>MORRIS 2</v>
      </c>
      <c r="C2170" s="2" t="str">
        <f>VLOOKUP(A2170,'[1]Brand Family Territory (Enc)'!$A$2:$B$296,2,FALSE)</f>
        <v>All Counties</v>
      </c>
      <c r="D2170" s="2">
        <f>IF(COUNTIFS('[1]Brand Family Territories (Enc)'!$B$2:$B$62,C2170,'[1]Brand Family Territories (Enc)'!$C$2:$C$62,B2170)&gt;0,1,IF(AND(LEFT(B2170,6)="MORRIS",COUNTIFS('[1]Brand Family Territories (Enc)'!$B$2:$B$62,C2170,'[1]Brand Family Territories (Enc)'!$C$2:$C$62,"Morri")&gt;0),"Unk",0))</f>
        <v>1</v>
      </c>
      <c r="E2170" s="2" t="str">
        <f>IFERROR(INDEX('Blackout Brand Fam Areas (Enc)'!$D$6:$D$998,MATCH(UPPER(A2170)&amp;"|"&amp;UPPER(B2170),'Blackout Brand Fam Areas (Enc)'!$G$6:$G$998,0)),"No Match")</f>
        <v>No Match</v>
      </c>
      <c r="F2170" s="2" t="str">
        <f t="shared" si="66"/>
        <v>US</v>
      </c>
      <c r="G2170" s="2" t="str">
        <f t="shared" si="67"/>
        <v>Poker Import|MORRIS 2</v>
      </c>
    </row>
    <row r="2171" spans="1:7" x14ac:dyDescent="0.2">
      <c r="A2171" s="2" t="str" cm="1">
        <f t="array" ref="A2171">INDEX('[1]Brand Family Territory (Enc)'!$A$2:$A$296,INT((ROW()-2)/10)+1)</f>
        <v>Poker Import</v>
      </c>
      <c r="B2171" s="2" t="str" cm="1">
        <f t="array" ref="B2171">INDEX('Whitelist (Blackout Reverse)'!$B$1:$K$1,MOD(ROW()-2,10)+1)</f>
        <v>MORRIS 3</v>
      </c>
      <c r="C2171" s="2" t="str">
        <f>VLOOKUP(A2171,'[1]Brand Family Territory (Enc)'!$A$2:$B$296,2,FALSE)</f>
        <v>All Counties</v>
      </c>
      <c r="D2171" s="2">
        <f>IF(COUNTIFS('[1]Brand Family Territories (Enc)'!$B$2:$B$62,C2171,'[1]Brand Family Territories (Enc)'!$C$2:$C$62,B2171)&gt;0,1,IF(AND(LEFT(B2171,6)="MORRIS",COUNTIFS('[1]Brand Family Territories (Enc)'!$B$2:$B$62,C2171,'[1]Brand Family Territories (Enc)'!$C$2:$C$62,"Morri")&gt;0),"Unk",0))</f>
        <v>1</v>
      </c>
      <c r="E2171" s="2" t="str">
        <f>IFERROR(INDEX('Blackout Brand Fam Areas (Enc)'!$D$6:$D$998,MATCH(UPPER(A2171)&amp;"|"&amp;UPPER(B2171),'Blackout Brand Fam Areas (Enc)'!$G$6:$G$998,0)),"No Match")</f>
        <v>No Match</v>
      </c>
      <c r="F2171" s="2" t="str">
        <f t="shared" si="66"/>
        <v>US</v>
      </c>
      <c r="G2171" s="2" t="str">
        <f t="shared" si="67"/>
        <v>Poker Import|MORRIS 3</v>
      </c>
    </row>
    <row r="2172" spans="1:7" x14ac:dyDescent="0.2">
      <c r="A2172" s="2" t="str" cm="1">
        <f t="array" ref="A2172">INDEX('[1]Brand Family Territory (Enc)'!$A$2:$A$296,INT((ROW()-2)/10)+1)</f>
        <v>Pop Sips</v>
      </c>
      <c r="B2172" s="2" t="str" cm="1">
        <f t="array" ref="B2172">INDEX('Whitelist (Blackout Reverse)'!$B$1:$K$1,MOD(ROW()-2,10)+1)</f>
        <v>BERGEN</v>
      </c>
      <c r="C2172" s="2" t="str">
        <f>VLOOKUP(A2172,'[1]Brand Family Territory (Enc)'!$A$2:$B$296,2,FALSE)</f>
        <v>All Counties</v>
      </c>
      <c r="D2172" s="2">
        <f>IF(COUNTIFS('[1]Brand Family Territories (Enc)'!$B$2:$B$62,C2172,'[1]Brand Family Territories (Enc)'!$C$2:$C$62,B2172)&gt;0,1,IF(AND(LEFT(B2172,6)="MORRIS",COUNTIFS('[1]Brand Family Territories (Enc)'!$B$2:$B$62,C2172,'[1]Brand Family Territories (Enc)'!$C$2:$C$62,"Morri")&gt;0),"Unk",0))</f>
        <v>1</v>
      </c>
      <c r="E2172" s="2" t="str">
        <f>IFERROR(INDEX('Blackout Brand Fam Areas (Enc)'!$D$6:$D$998,MATCH(UPPER(A2172)&amp;"|"&amp;UPPER(B2172),'Blackout Brand Fam Areas (Enc)'!$G$6:$G$998,0)),"No Match")</f>
        <v>No Match</v>
      </c>
      <c r="F2172" s="2" t="str">
        <f t="shared" si="66"/>
        <v>US</v>
      </c>
      <c r="G2172" s="2" t="str">
        <f t="shared" si="67"/>
        <v>Pop Sips|BERGEN</v>
      </c>
    </row>
    <row r="2173" spans="1:7" x14ac:dyDescent="0.2">
      <c r="A2173" s="2" t="str" cm="1">
        <f t="array" ref="A2173">INDEX('[1]Brand Family Territory (Enc)'!$A$2:$A$296,INT((ROW()-2)/10)+1)</f>
        <v>Pop Sips</v>
      </c>
      <c r="B2173" s="2" t="str" cm="1">
        <f t="array" ref="B2173">INDEX('Whitelist (Blackout Reverse)'!$B$1:$K$1,MOD(ROW()-2,10)+1)</f>
        <v>PASSAIC</v>
      </c>
      <c r="C2173" s="2" t="str">
        <f>VLOOKUP(A2173,'[1]Brand Family Territory (Enc)'!$A$2:$B$296,2,FALSE)</f>
        <v>All Counties</v>
      </c>
      <c r="D2173" s="2">
        <f>IF(COUNTIFS('[1]Brand Family Territories (Enc)'!$B$2:$B$62,C2173,'[1]Brand Family Territories (Enc)'!$C$2:$C$62,B2173)&gt;0,1,IF(AND(LEFT(B2173,6)="MORRIS",COUNTIFS('[1]Brand Family Territories (Enc)'!$B$2:$B$62,C2173,'[1]Brand Family Territories (Enc)'!$C$2:$C$62,"Morri")&gt;0),"Unk",0))</f>
        <v>1</v>
      </c>
      <c r="E2173" s="2" t="str">
        <f>IFERROR(INDEX('Blackout Brand Fam Areas (Enc)'!$D$6:$D$998,MATCH(UPPER(A2173)&amp;"|"&amp;UPPER(B2173),'Blackout Brand Fam Areas (Enc)'!$G$6:$G$998,0)),"No Match")</f>
        <v>No Match</v>
      </c>
      <c r="F2173" s="2" t="str">
        <f t="shared" si="66"/>
        <v>US</v>
      </c>
      <c r="G2173" s="2" t="str">
        <f t="shared" si="67"/>
        <v>Pop Sips|PASSAIC</v>
      </c>
    </row>
    <row r="2174" spans="1:7" x14ac:dyDescent="0.2">
      <c r="A2174" s="2" t="str" cm="1">
        <f t="array" ref="A2174">INDEX('[1]Brand Family Territory (Enc)'!$A$2:$A$296,INT((ROW()-2)/10)+1)</f>
        <v>Pop Sips</v>
      </c>
      <c r="B2174" s="2" t="str" cm="1">
        <f t="array" ref="B2174">INDEX('Whitelist (Blackout Reverse)'!$B$1:$K$1,MOD(ROW()-2,10)+1)</f>
        <v>PASSAIC-FF</v>
      </c>
      <c r="C2174" s="2" t="str">
        <f>VLOOKUP(A2174,'[1]Brand Family Territory (Enc)'!$A$2:$B$296,2,FALSE)</f>
        <v>All Counties</v>
      </c>
      <c r="D2174" s="2">
        <f>IF(COUNTIFS('[1]Brand Family Territories (Enc)'!$B$2:$B$62,C2174,'[1]Brand Family Territories (Enc)'!$C$2:$C$62,B2174)&gt;0,1,IF(AND(LEFT(B2174,6)="MORRIS",COUNTIFS('[1]Brand Family Territories (Enc)'!$B$2:$B$62,C2174,'[1]Brand Family Territories (Enc)'!$C$2:$C$62,"Morri")&gt;0),"Unk",0))</f>
        <v>1</v>
      </c>
      <c r="E2174" s="2" t="str">
        <f>IFERROR(INDEX('Blackout Brand Fam Areas (Enc)'!$D$6:$D$998,MATCH(UPPER(A2174)&amp;"|"&amp;UPPER(B2174),'Blackout Brand Fam Areas (Enc)'!$G$6:$G$998,0)),"No Match")</f>
        <v>No Match</v>
      </c>
      <c r="F2174" s="2" t="str">
        <f t="shared" si="66"/>
        <v>US</v>
      </c>
      <c r="G2174" s="2" t="str">
        <f t="shared" si="67"/>
        <v>Pop Sips|PASSAIC-FF</v>
      </c>
    </row>
    <row r="2175" spans="1:7" x14ac:dyDescent="0.2">
      <c r="A2175" s="2" t="str" cm="1">
        <f t="array" ref="A2175">INDEX('[1]Brand Family Territory (Enc)'!$A$2:$A$296,INT((ROW()-2)/10)+1)</f>
        <v>Pop Sips</v>
      </c>
      <c r="B2175" s="2" t="str" cm="1">
        <f t="array" ref="B2175">INDEX('Whitelist (Blackout Reverse)'!$B$1:$K$1,MOD(ROW()-2,10)+1)</f>
        <v>ESSEX</v>
      </c>
      <c r="C2175" s="2" t="str">
        <f>VLOOKUP(A2175,'[1]Brand Family Territory (Enc)'!$A$2:$B$296,2,FALSE)</f>
        <v>All Counties</v>
      </c>
      <c r="D2175" s="2">
        <f>IF(COUNTIFS('[1]Brand Family Territories (Enc)'!$B$2:$B$62,C2175,'[1]Brand Family Territories (Enc)'!$C$2:$C$62,B2175)&gt;0,1,IF(AND(LEFT(B2175,6)="MORRIS",COUNTIFS('[1]Brand Family Territories (Enc)'!$B$2:$B$62,C2175,'[1]Brand Family Territories (Enc)'!$C$2:$C$62,"Morri")&gt;0),"Unk",0))</f>
        <v>1</v>
      </c>
      <c r="E2175" s="2" t="str">
        <f>IFERROR(INDEX('Blackout Brand Fam Areas (Enc)'!$D$6:$D$998,MATCH(UPPER(A2175)&amp;"|"&amp;UPPER(B2175),'Blackout Brand Fam Areas (Enc)'!$G$6:$G$998,0)),"No Match")</f>
        <v>No Match</v>
      </c>
      <c r="F2175" s="2" t="str">
        <f t="shared" si="66"/>
        <v>US</v>
      </c>
      <c r="G2175" s="2" t="str">
        <f t="shared" si="67"/>
        <v>Pop Sips|ESSEX</v>
      </c>
    </row>
    <row r="2176" spans="1:7" x14ac:dyDescent="0.2">
      <c r="A2176" s="2" t="str" cm="1">
        <f t="array" ref="A2176">INDEX('[1]Brand Family Territory (Enc)'!$A$2:$A$296,INT((ROW()-2)/10)+1)</f>
        <v>Pop Sips</v>
      </c>
      <c r="B2176" s="2" t="str" cm="1">
        <f t="array" ref="B2176">INDEX('Whitelist (Blackout Reverse)'!$B$1:$K$1,MOD(ROW()-2,10)+1)</f>
        <v>HUDSON</v>
      </c>
      <c r="C2176" s="2" t="str">
        <f>VLOOKUP(A2176,'[1]Brand Family Territory (Enc)'!$A$2:$B$296,2,FALSE)</f>
        <v>All Counties</v>
      </c>
      <c r="D2176" s="2">
        <f>IF(COUNTIFS('[1]Brand Family Territories (Enc)'!$B$2:$B$62,C2176,'[1]Brand Family Territories (Enc)'!$C$2:$C$62,B2176)&gt;0,1,IF(AND(LEFT(B2176,6)="MORRIS",COUNTIFS('[1]Brand Family Territories (Enc)'!$B$2:$B$62,C2176,'[1]Brand Family Territories (Enc)'!$C$2:$C$62,"Morri")&gt;0),"Unk",0))</f>
        <v>1</v>
      </c>
      <c r="E2176" s="2" t="str">
        <f>IFERROR(INDEX('Blackout Brand Fam Areas (Enc)'!$D$6:$D$998,MATCH(UPPER(A2176)&amp;"|"&amp;UPPER(B2176),'Blackout Brand Fam Areas (Enc)'!$G$6:$G$998,0)),"No Match")</f>
        <v>No Match</v>
      </c>
      <c r="F2176" s="2" t="str">
        <f t="shared" si="66"/>
        <v>US</v>
      </c>
      <c r="G2176" s="2" t="str">
        <f t="shared" si="67"/>
        <v>Pop Sips|HUDSON</v>
      </c>
    </row>
    <row r="2177" spans="1:7" x14ac:dyDescent="0.2">
      <c r="A2177" s="2" t="str" cm="1">
        <f t="array" ref="A2177">INDEX('[1]Brand Family Territory (Enc)'!$A$2:$A$296,INT((ROW()-2)/10)+1)</f>
        <v>Pop Sips</v>
      </c>
      <c r="B2177" s="2" t="str" cm="1">
        <f t="array" ref="B2177">INDEX('Whitelist (Blackout Reverse)'!$B$1:$K$1,MOD(ROW()-2,10)+1)</f>
        <v>UNION</v>
      </c>
      <c r="C2177" s="2" t="str">
        <f>VLOOKUP(A2177,'[1]Brand Family Territory (Enc)'!$A$2:$B$296,2,FALSE)</f>
        <v>All Counties</v>
      </c>
      <c r="D2177" s="2">
        <f>IF(COUNTIFS('[1]Brand Family Territories (Enc)'!$B$2:$B$62,C2177,'[1]Brand Family Territories (Enc)'!$C$2:$C$62,B2177)&gt;0,1,IF(AND(LEFT(B2177,6)="MORRIS",COUNTIFS('[1]Brand Family Territories (Enc)'!$B$2:$B$62,C2177,'[1]Brand Family Territories (Enc)'!$C$2:$C$62,"Morri")&gt;0),"Unk",0))</f>
        <v>1</v>
      </c>
      <c r="E2177" s="2" t="str">
        <f>IFERROR(INDEX('Blackout Brand Fam Areas (Enc)'!$D$6:$D$998,MATCH(UPPER(A2177)&amp;"|"&amp;UPPER(B2177),'Blackout Brand Fam Areas (Enc)'!$G$6:$G$998,0)),"No Match")</f>
        <v>No Match</v>
      </c>
      <c r="F2177" s="2" t="str">
        <f t="shared" si="66"/>
        <v>US</v>
      </c>
      <c r="G2177" s="2" t="str">
        <f t="shared" si="67"/>
        <v>Pop Sips|UNION</v>
      </c>
    </row>
    <row r="2178" spans="1:7" x14ac:dyDescent="0.2">
      <c r="A2178" s="2" t="str" cm="1">
        <f t="array" ref="A2178">INDEX('[1]Brand Family Territory (Enc)'!$A$2:$A$296,INT((ROW()-2)/10)+1)</f>
        <v>Pop Sips</v>
      </c>
      <c r="B2178" s="2" t="str" cm="1">
        <f t="array" ref="B2178">INDEX('Whitelist (Blackout Reverse)'!$B$1:$K$1,MOD(ROW()-2,10)+1)</f>
        <v>SUSSEX</v>
      </c>
      <c r="C2178" s="2" t="str">
        <f>VLOOKUP(A2178,'[1]Brand Family Territory (Enc)'!$A$2:$B$296,2,FALSE)</f>
        <v>All Counties</v>
      </c>
      <c r="D2178" s="2">
        <f>IF(COUNTIFS('[1]Brand Family Territories (Enc)'!$B$2:$B$62,C2178,'[1]Brand Family Territories (Enc)'!$C$2:$C$62,B2178)&gt;0,1,IF(AND(LEFT(B2178,6)="MORRIS",COUNTIFS('[1]Brand Family Territories (Enc)'!$B$2:$B$62,C2178,'[1]Brand Family Territories (Enc)'!$C$2:$C$62,"Morri")&gt;0),"Unk",0))</f>
        <v>1</v>
      </c>
      <c r="E2178" s="2" t="str">
        <f>IFERROR(INDEX('Blackout Brand Fam Areas (Enc)'!$D$6:$D$998,MATCH(UPPER(A2178)&amp;"|"&amp;UPPER(B2178),'Blackout Brand Fam Areas (Enc)'!$G$6:$G$998,0)),"No Match")</f>
        <v>No Match</v>
      </c>
      <c r="F2178" s="2" t="str">
        <f t="shared" si="66"/>
        <v>US</v>
      </c>
      <c r="G2178" s="2" t="str">
        <f t="shared" si="67"/>
        <v>Pop Sips|SUSSEX</v>
      </c>
    </row>
    <row r="2179" spans="1:7" x14ac:dyDescent="0.2">
      <c r="A2179" s="2" t="str" cm="1">
        <f t="array" ref="A2179">INDEX('[1]Brand Family Territory (Enc)'!$A$2:$A$296,INT((ROW()-2)/10)+1)</f>
        <v>Pop Sips</v>
      </c>
      <c r="B2179" s="2" t="str" cm="1">
        <f t="array" ref="B2179">INDEX('Whitelist (Blackout Reverse)'!$B$1:$K$1,MOD(ROW()-2,10)+1)</f>
        <v>MORRIS 1</v>
      </c>
      <c r="C2179" s="2" t="str">
        <f>VLOOKUP(A2179,'[1]Brand Family Territory (Enc)'!$A$2:$B$296,2,FALSE)</f>
        <v>All Counties</v>
      </c>
      <c r="D2179" s="2">
        <f>IF(COUNTIFS('[1]Brand Family Territories (Enc)'!$B$2:$B$62,C2179,'[1]Brand Family Territories (Enc)'!$C$2:$C$62,B2179)&gt;0,1,IF(AND(LEFT(B2179,6)="MORRIS",COUNTIFS('[1]Brand Family Territories (Enc)'!$B$2:$B$62,C2179,'[1]Brand Family Territories (Enc)'!$C$2:$C$62,"Morri")&gt;0),"Unk",0))</f>
        <v>1</v>
      </c>
      <c r="E2179" s="2" t="str">
        <f>IFERROR(INDEX('Blackout Brand Fam Areas (Enc)'!$D$6:$D$998,MATCH(UPPER(A2179)&amp;"|"&amp;UPPER(B2179),'Blackout Brand Fam Areas (Enc)'!$G$6:$G$998,0)),"No Match")</f>
        <v>No Match</v>
      </c>
      <c r="F2179" s="2" t="str">
        <f t="shared" ref="F2179:F2242" si="68">IF(D2179="Unk","Ambiguous (Source Truncated)",IF(E2179="Inactive","THEM",IF(D2179=1,"US",IF(D2179="N/A","No Territory Data","THEM"))))</f>
        <v>US</v>
      </c>
      <c r="G2179" s="2" t="str">
        <f t="shared" ref="G2179:G2242" si="69">A2179&amp;"|"&amp;B2179</f>
        <v>Pop Sips|MORRIS 1</v>
      </c>
    </row>
    <row r="2180" spans="1:7" x14ac:dyDescent="0.2">
      <c r="A2180" s="2" t="str" cm="1">
        <f t="array" ref="A2180">INDEX('[1]Brand Family Territory (Enc)'!$A$2:$A$296,INT((ROW()-2)/10)+1)</f>
        <v>Pop Sips</v>
      </c>
      <c r="B2180" s="2" t="str" cm="1">
        <f t="array" ref="B2180">INDEX('Whitelist (Blackout Reverse)'!$B$1:$K$1,MOD(ROW()-2,10)+1)</f>
        <v>MORRIS 2</v>
      </c>
      <c r="C2180" s="2" t="str">
        <f>VLOOKUP(A2180,'[1]Brand Family Territory (Enc)'!$A$2:$B$296,2,FALSE)</f>
        <v>All Counties</v>
      </c>
      <c r="D2180" s="2">
        <f>IF(COUNTIFS('[1]Brand Family Territories (Enc)'!$B$2:$B$62,C2180,'[1]Brand Family Territories (Enc)'!$C$2:$C$62,B2180)&gt;0,1,IF(AND(LEFT(B2180,6)="MORRIS",COUNTIFS('[1]Brand Family Territories (Enc)'!$B$2:$B$62,C2180,'[1]Brand Family Territories (Enc)'!$C$2:$C$62,"Morri")&gt;0),"Unk",0))</f>
        <v>1</v>
      </c>
      <c r="E2180" s="2" t="str">
        <f>IFERROR(INDEX('Blackout Brand Fam Areas (Enc)'!$D$6:$D$998,MATCH(UPPER(A2180)&amp;"|"&amp;UPPER(B2180),'Blackout Brand Fam Areas (Enc)'!$G$6:$G$998,0)),"No Match")</f>
        <v>No Match</v>
      </c>
      <c r="F2180" s="2" t="str">
        <f t="shared" si="68"/>
        <v>US</v>
      </c>
      <c r="G2180" s="2" t="str">
        <f t="shared" si="69"/>
        <v>Pop Sips|MORRIS 2</v>
      </c>
    </row>
    <row r="2181" spans="1:7" x14ac:dyDescent="0.2">
      <c r="A2181" s="2" t="str" cm="1">
        <f t="array" ref="A2181">INDEX('[1]Brand Family Territory (Enc)'!$A$2:$A$296,INT((ROW()-2)/10)+1)</f>
        <v>Pop Sips</v>
      </c>
      <c r="B2181" s="2" t="str" cm="1">
        <f t="array" ref="B2181">INDEX('Whitelist (Blackout Reverse)'!$B$1:$K$1,MOD(ROW()-2,10)+1)</f>
        <v>MORRIS 3</v>
      </c>
      <c r="C2181" s="2" t="str">
        <f>VLOOKUP(A2181,'[1]Brand Family Territory (Enc)'!$A$2:$B$296,2,FALSE)</f>
        <v>All Counties</v>
      </c>
      <c r="D2181" s="2">
        <f>IF(COUNTIFS('[1]Brand Family Territories (Enc)'!$B$2:$B$62,C2181,'[1]Brand Family Territories (Enc)'!$C$2:$C$62,B2181)&gt;0,1,IF(AND(LEFT(B2181,6)="MORRIS",COUNTIFS('[1]Brand Family Territories (Enc)'!$B$2:$B$62,C2181,'[1]Brand Family Territories (Enc)'!$C$2:$C$62,"Morri")&gt;0),"Unk",0))</f>
        <v>1</v>
      </c>
      <c r="E2181" s="2" t="str">
        <f>IFERROR(INDEX('Blackout Brand Fam Areas (Enc)'!$D$6:$D$998,MATCH(UPPER(A2181)&amp;"|"&amp;UPPER(B2181),'Blackout Brand Fam Areas (Enc)'!$G$6:$G$998,0)),"No Match")</f>
        <v>No Match</v>
      </c>
      <c r="F2181" s="2" t="str">
        <f t="shared" si="68"/>
        <v>US</v>
      </c>
      <c r="G2181" s="2" t="str">
        <f t="shared" si="69"/>
        <v>Pop Sips|MORRIS 3</v>
      </c>
    </row>
    <row r="2182" spans="1:7" x14ac:dyDescent="0.2">
      <c r="A2182" s="2" t="str" cm="1">
        <f t="array" ref="A2182">INDEX('[1]Brand Family Territory (Enc)'!$A$2:$A$296,INT((ROW()-2)/10)+1)</f>
        <v>Pride &amp; Clarke</v>
      </c>
      <c r="B2182" s="2" t="str" cm="1">
        <f t="array" ref="B2182">INDEX('Whitelist (Blackout Reverse)'!$B$1:$K$1,MOD(ROW()-2,10)+1)</f>
        <v>BERGEN</v>
      </c>
      <c r="C2182" s="2" t="str">
        <f>VLOOKUP(A2182,'[1]Brand Family Territory (Enc)'!$A$2:$B$296,2,FALSE)</f>
        <v>All Counties</v>
      </c>
      <c r="D2182" s="2">
        <f>IF(COUNTIFS('[1]Brand Family Territories (Enc)'!$B$2:$B$62,C2182,'[1]Brand Family Territories (Enc)'!$C$2:$C$62,B2182)&gt;0,1,IF(AND(LEFT(B2182,6)="MORRIS",COUNTIFS('[1]Brand Family Territories (Enc)'!$B$2:$B$62,C2182,'[1]Brand Family Territories (Enc)'!$C$2:$C$62,"Morri")&gt;0),"Unk",0))</f>
        <v>1</v>
      </c>
      <c r="E2182" s="2" t="str">
        <f>IFERROR(INDEX('Blackout Brand Fam Areas (Enc)'!$D$6:$D$998,MATCH(UPPER(A2182)&amp;"|"&amp;UPPER(B2182),'Blackout Brand Fam Areas (Enc)'!$G$6:$G$998,0)),"No Match")</f>
        <v>No Match</v>
      </c>
      <c r="F2182" s="2" t="str">
        <f t="shared" si="68"/>
        <v>US</v>
      </c>
      <c r="G2182" s="2" t="str">
        <f t="shared" si="69"/>
        <v>Pride &amp; Clarke|BERGEN</v>
      </c>
    </row>
    <row r="2183" spans="1:7" x14ac:dyDescent="0.2">
      <c r="A2183" s="2" t="str" cm="1">
        <f t="array" ref="A2183">INDEX('[1]Brand Family Territory (Enc)'!$A$2:$A$296,INT((ROW()-2)/10)+1)</f>
        <v>Pride &amp; Clarke</v>
      </c>
      <c r="B2183" s="2" t="str" cm="1">
        <f t="array" ref="B2183">INDEX('Whitelist (Blackout Reverse)'!$B$1:$K$1,MOD(ROW()-2,10)+1)</f>
        <v>PASSAIC</v>
      </c>
      <c r="C2183" s="2" t="str">
        <f>VLOOKUP(A2183,'[1]Brand Family Territory (Enc)'!$A$2:$B$296,2,FALSE)</f>
        <v>All Counties</v>
      </c>
      <c r="D2183" s="2">
        <f>IF(COUNTIFS('[1]Brand Family Territories (Enc)'!$B$2:$B$62,C2183,'[1]Brand Family Territories (Enc)'!$C$2:$C$62,B2183)&gt;0,1,IF(AND(LEFT(B2183,6)="MORRIS",COUNTIFS('[1]Brand Family Territories (Enc)'!$B$2:$B$62,C2183,'[1]Brand Family Territories (Enc)'!$C$2:$C$62,"Morri")&gt;0),"Unk",0))</f>
        <v>1</v>
      </c>
      <c r="E2183" s="2" t="str">
        <f>IFERROR(INDEX('Blackout Brand Fam Areas (Enc)'!$D$6:$D$998,MATCH(UPPER(A2183)&amp;"|"&amp;UPPER(B2183),'Blackout Brand Fam Areas (Enc)'!$G$6:$G$998,0)),"No Match")</f>
        <v>No Match</v>
      </c>
      <c r="F2183" s="2" t="str">
        <f t="shared" si="68"/>
        <v>US</v>
      </c>
      <c r="G2183" s="2" t="str">
        <f t="shared" si="69"/>
        <v>Pride &amp; Clarke|PASSAIC</v>
      </c>
    </row>
    <row r="2184" spans="1:7" x14ac:dyDescent="0.2">
      <c r="A2184" s="2" t="str" cm="1">
        <f t="array" ref="A2184">INDEX('[1]Brand Family Territory (Enc)'!$A$2:$A$296,INT((ROW()-2)/10)+1)</f>
        <v>Pride &amp; Clarke</v>
      </c>
      <c r="B2184" s="2" t="str" cm="1">
        <f t="array" ref="B2184">INDEX('Whitelist (Blackout Reverse)'!$B$1:$K$1,MOD(ROW()-2,10)+1)</f>
        <v>PASSAIC-FF</v>
      </c>
      <c r="C2184" s="2" t="str">
        <f>VLOOKUP(A2184,'[1]Brand Family Territory (Enc)'!$A$2:$B$296,2,FALSE)</f>
        <v>All Counties</v>
      </c>
      <c r="D2184" s="2">
        <f>IF(COUNTIFS('[1]Brand Family Territories (Enc)'!$B$2:$B$62,C2184,'[1]Brand Family Territories (Enc)'!$C$2:$C$62,B2184)&gt;0,1,IF(AND(LEFT(B2184,6)="MORRIS",COUNTIFS('[1]Brand Family Territories (Enc)'!$B$2:$B$62,C2184,'[1]Brand Family Territories (Enc)'!$C$2:$C$62,"Morri")&gt;0),"Unk",0))</f>
        <v>1</v>
      </c>
      <c r="E2184" s="2" t="str">
        <f>IFERROR(INDEX('Blackout Brand Fam Areas (Enc)'!$D$6:$D$998,MATCH(UPPER(A2184)&amp;"|"&amp;UPPER(B2184),'Blackout Brand Fam Areas (Enc)'!$G$6:$G$998,0)),"No Match")</f>
        <v>No Match</v>
      </c>
      <c r="F2184" s="2" t="str">
        <f t="shared" si="68"/>
        <v>US</v>
      </c>
      <c r="G2184" s="2" t="str">
        <f t="shared" si="69"/>
        <v>Pride &amp; Clarke|PASSAIC-FF</v>
      </c>
    </row>
    <row r="2185" spans="1:7" x14ac:dyDescent="0.2">
      <c r="A2185" s="2" t="str" cm="1">
        <f t="array" ref="A2185">INDEX('[1]Brand Family Territory (Enc)'!$A$2:$A$296,INT((ROW()-2)/10)+1)</f>
        <v>Pride &amp; Clarke</v>
      </c>
      <c r="B2185" s="2" t="str" cm="1">
        <f t="array" ref="B2185">INDEX('Whitelist (Blackout Reverse)'!$B$1:$K$1,MOD(ROW()-2,10)+1)</f>
        <v>ESSEX</v>
      </c>
      <c r="C2185" s="2" t="str">
        <f>VLOOKUP(A2185,'[1]Brand Family Territory (Enc)'!$A$2:$B$296,2,FALSE)</f>
        <v>All Counties</v>
      </c>
      <c r="D2185" s="2">
        <f>IF(COUNTIFS('[1]Brand Family Territories (Enc)'!$B$2:$B$62,C2185,'[1]Brand Family Territories (Enc)'!$C$2:$C$62,B2185)&gt;0,1,IF(AND(LEFT(B2185,6)="MORRIS",COUNTIFS('[1]Brand Family Territories (Enc)'!$B$2:$B$62,C2185,'[1]Brand Family Territories (Enc)'!$C$2:$C$62,"Morri")&gt;0),"Unk",0))</f>
        <v>1</v>
      </c>
      <c r="E2185" s="2" t="str">
        <f>IFERROR(INDEX('Blackout Brand Fam Areas (Enc)'!$D$6:$D$998,MATCH(UPPER(A2185)&amp;"|"&amp;UPPER(B2185),'Blackout Brand Fam Areas (Enc)'!$G$6:$G$998,0)),"No Match")</f>
        <v>No Match</v>
      </c>
      <c r="F2185" s="2" t="str">
        <f t="shared" si="68"/>
        <v>US</v>
      </c>
      <c r="G2185" s="2" t="str">
        <f t="shared" si="69"/>
        <v>Pride &amp; Clarke|ESSEX</v>
      </c>
    </row>
    <row r="2186" spans="1:7" x14ac:dyDescent="0.2">
      <c r="A2186" s="2" t="str" cm="1">
        <f t="array" ref="A2186">INDEX('[1]Brand Family Territory (Enc)'!$A$2:$A$296,INT((ROW()-2)/10)+1)</f>
        <v>Pride &amp; Clarke</v>
      </c>
      <c r="B2186" s="2" t="str" cm="1">
        <f t="array" ref="B2186">INDEX('Whitelist (Blackout Reverse)'!$B$1:$K$1,MOD(ROW()-2,10)+1)</f>
        <v>HUDSON</v>
      </c>
      <c r="C2186" s="2" t="str">
        <f>VLOOKUP(A2186,'[1]Brand Family Territory (Enc)'!$A$2:$B$296,2,FALSE)</f>
        <v>All Counties</v>
      </c>
      <c r="D2186" s="2">
        <f>IF(COUNTIFS('[1]Brand Family Territories (Enc)'!$B$2:$B$62,C2186,'[1]Brand Family Territories (Enc)'!$C$2:$C$62,B2186)&gt;0,1,IF(AND(LEFT(B2186,6)="MORRIS",COUNTIFS('[1]Brand Family Territories (Enc)'!$B$2:$B$62,C2186,'[1]Brand Family Territories (Enc)'!$C$2:$C$62,"Morri")&gt;0),"Unk",0))</f>
        <v>1</v>
      </c>
      <c r="E2186" s="2" t="str">
        <f>IFERROR(INDEX('Blackout Brand Fam Areas (Enc)'!$D$6:$D$998,MATCH(UPPER(A2186)&amp;"|"&amp;UPPER(B2186),'Blackout Brand Fam Areas (Enc)'!$G$6:$G$998,0)),"No Match")</f>
        <v>No Match</v>
      </c>
      <c r="F2186" s="2" t="str">
        <f t="shared" si="68"/>
        <v>US</v>
      </c>
      <c r="G2186" s="2" t="str">
        <f t="shared" si="69"/>
        <v>Pride &amp; Clarke|HUDSON</v>
      </c>
    </row>
    <row r="2187" spans="1:7" x14ac:dyDescent="0.2">
      <c r="A2187" s="2" t="str" cm="1">
        <f t="array" ref="A2187">INDEX('[1]Brand Family Territory (Enc)'!$A$2:$A$296,INT((ROW()-2)/10)+1)</f>
        <v>Pride &amp; Clarke</v>
      </c>
      <c r="B2187" s="2" t="str" cm="1">
        <f t="array" ref="B2187">INDEX('Whitelist (Blackout Reverse)'!$B$1:$K$1,MOD(ROW()-2,10)+1)</f>
        <v>UNION</v>
      </c>
      <c r="C2187" s="2" t="str">
        <f>VLOOKUP(A2187,'[1]Brand Family Territory (Enc)'!$A$2:$B$296,2,FALSE)</f>
        <v>All Counties</v>
      </c>
      <c r="D2187" s="2">
        <f>IF(COUNTIFS('[1]Brand Family Territories (Enc)'!$B$2:$B$62,C2187,'[1]Brand Family Territories (Enc)'!$C$2:$C$62,B2187)&gt;0,1,IF(AND(LEFT(B2187,6)="MORRIS",COUNTIFS('[1]Brand Family Territories (Enc)'!$B$2:$B$62,C2187,'[1]Brand Family Territories (Enc)'!$C$2:$C$62,"Morri")&gt;0),"Unk",0))</f>
        <v>1</v>
      </c>
      <c r="E2187" s="2" t="str">
        <f>IFERROR(INDEX('Blackout Brand Fam Areas (Enc)'!$D$6:$D$998,MATCH(UPPER(A2187)&amp;"|"&amp;UPPER(B2187),'Blackout Brand Fam Areas (Enc)'!$G$6:$G$998,0)),"No Match")</f>
        <v>No Match</v>
      </c>
      <c r="F2187" s="2" t="str">
        <f t="shared" si="68"/>
        <v>US</v>
      </c>
      <c r="G2187" s="2" t="str">
        <f t="shared" si="69"/>
        <v>Pride &amp; Clarke|UNION</v>
      </c>
    </row>
    <row r="2188" spans="1:7" x14ac:dyDescent="0.2">
      <c r="A2188" s="2" t="str" cm="1">
        <f t="array" ref="A2188">INDEX('[1]Brand Family Territory (Enc)'!$A$2:$A$296,INT((ROW()-2)/10)+1)</f>
        <v>Pride &amp; Clarke</v>
      </c>
      <c r="B2188" s="2" t="str" cm="1">
        <f t="array" ref="B2188">INDEX('Whitelist (Blackout Reverse)'!$B$1:$K$1,MOD(ROW()-2,10)+1)</f>
        <v>SUSSEX</v>
      </c>
      <c r="C2188" s="2" t="str">
        <f>VLOOKUP(A2188,'[1]Brand Family Territory (Enc)'!$A$2:$B$296,2,FALSE)</f>
        <v>All Counties</v>
      </c>
      <c r="D2188" s="2">
        <f>IF(COUNTIFS('[1]Brand Family Territories (Enc)'!$B$2:$B$62,C2188,'[1]Brand Family Territories (Enc)'!$C$2:$C$62,B2188)&gt;0,1,IF(AND(LEFT(B2188,6)="MORRIS",COUNTIFS('[1]Brand Family Territories (Enc)'!$B$2:$B$62,C2188,'[1]Brand Family Territories (Enc)'!$C$2:$C$62,"Morri")&gt;0),"Unk",0))</f>
        <v>1</v>
      </c>
      <c r="E2188" s="2" t="str">
        <f>IFERROR(INDEX('Blackout Brand Fam Areas (Enc)'!$D$6:$D$998,MATCH(UPPER(A2188)&amp;"|"&amp;UPPER(B2188),'Blackout Brand Fam Areas (Enc)'!$G$6:$G$998,0)),"No Match")</f>
        <v>No Match</v>
      </c>
      <c r="F2188" s="2" t="str">
        <f t="shared" si="68"/>
        <v>US</v>
      </c>
      <c r="G2188" s="2" t="str">
        <f t="shared" si="69"/>
        <v>Pride &amp; Clarke|SUSSEX</v>
      </c>
    </row>
    <row r="2189" spans="1:7" x14ac:dyDescent="0.2">
      <c r="A2189" s="2" t="str" cm="1">
        <f t="array" ref="A2189">INDEX('[1]Brand Family Territory (Enc)'!$A$2:$A$296,INT((ROW()-2)/10)+1)</f>
        <v>Pride &amp; Clarke</v>
      </c>
      <c r="B2189" s="2" t="str" cm="1">
        <f t="array" ref="B2189">INDEX('Whitelist (Blackout Reverse)'!$B$1:$K$1,MOD(ROW()-2,10)+1)</f>
        <v>MORRIS 1</v>
      </c>
      <c r="C2189" s="2" t="str">
        <f>VLOOKUP(A2189,'[1]Brand Family Territory (Enc)'!$A$2:$B$296,2,FALSE)</f>
        <v>All Counties</v>
      </c>
      <c r="D2189" s="2">
        <f>IF(COUNTIFS('[1]Brand Family Territories (Enc)'!$B$2:$B$62,C2189,'[1]Brand Family Territories (Enc)'!$C$2:$C$62,B2189)&gt;0,1,IF(AND(LEFT(B2189,6)="MORRIS",COUNTIFS('[1]Brand Family Territories (Enc)'!$B$2:$B$62,C2189,'[1]Brand Family Territories (Enc)'!$C$2:$C$62,"Morri")&gt;0),"Unk",0))</f>
        <v>1</v>
      </c>
      <c r="E2189" s="2" t="str">
        <f>IFERROR(INDEX('Blackout Brand Fam Areas (Enc)'!$D$6:$D$998,MATCH(UPPER(A2189)&amp;"|"&amp;UPPER(B2189),'Blackout Brand Fam Areas (Enc)'!$G$6:$G$998,0)),"No Match")</f>
        <v>No Match</v>
      </c>
      <c r="F2189" s="2" t="str">
        <f t="shared" si="68"/>
        <v>US</v>
      </c>
      <c r="G2189" s="2" t="str">
        <f t="shared" si="69"/>
        <v>Pride &amp; Clarke|MORRIS 1</v>
      </c>
    </row>
    <row r="2190" spans="1:7" x14ac:dyDescent="0.2">
      <c r="A2190" s="2" t="str" cm="1">
        <f t="array" ref="A2190">INDEX('[1]Brand Family Territory (Enc)'!$A$2:$A$296,INT((ROW()-2)/10)+1)</f>
        <v>Pride &amp; Clarke</v>
      </c>
      <c r="B2190" s="2" t="str" cm="1">
        <f t="array" ref="B2190">INDEX('Whitelist (Blackout Reverse)'!$B$1:$K$1,MOD(ROW()-2,10)+1)</f>
        <v>MORRIS 2</v>
      </c>
      <c r="C2190" s="2" t="str">
        <f>VLOOKUP(A2190,'[1]Brand Family Territory (Enc)'!$A$2:$B$296,2,FALSE)</f>
        <v>All Counties</v>
      </c>
      <c r="D2190" s="2">
        <f>IF(COUNTIFS('[1]Brand Family Territories (Enc)'!$B$2:$B$62,C2190,'[1]Brand Family Territories (Enc)'!$C$2:$C$62,B2190)&gt;0,1,IF(AND(LEFT(B2190,6)="MORRIS",COUNTIFS('[1]Brand Family Territories (Enc)'!$B$2:$B$62,C2190,'[1]Brand Family Territories (Enc)'!$C$2:$C$62,"Morri")&gt;0),"Unk",0))</f>
        <v>1</v>
      </c>
      <c r="E2190" s="2" t="str">
        <f>IFERROR(INDEX('Blackout Brand Fam Areas (Enc)'!$D$6:$D$998,MATCH(UPPER(A2190)&amp;"|"&amp;UPPER(B2190),'Blackout Brand Fam Areas (Enc)'!$G$6:$G$998,0)),"No Match")</f>
        <v>No Match</v>
      </c>
      <c r="F2190" s="2" t="str">
        <f t="shared" si="68"/>
        <v>US</v>
      </c>
      <c r="G2190" s="2" t="str">
        <f t="shared" si="69"/>
        <v>Pride &amp; Clarke|MORRIS 2</v>
      </c>
    </row>
    <row r="2191" spans="1:7" x14ac:dyDescent="0.2">
      <c r="A2191" s="2" t="str" cm="1">
        <f t="array" ref="A2191">INDEX('[1]Brand Family Territory (Enc)'!$A$2:$A$296,INT((ROW()-2)/10)+1)</f>
        <v>Pride &amp; Clarke</v>
      </c>
      <c r="B2191" s="2" t="str" cm="1">
        <f t="array" ref="B2191">INDEX('Whitelist (Blackout Reverse)'!$B$1:$K$1,MOD(ROW()-2,10)+1)</f>
        <v>MORRIS 3</v>
      </c>
      <c r="C2191" s="2" t="str">
        <f>VLOOKUP(A2191,'[1]Brand Family Territory (Enc)'!$A$2:$B$296,2,FALSE)</f>
        <v>All Counties</v>
      </c>
      <c r="D2191" s="2">
        <f>IF(COUNTIFS('[1]Brand Family Territories (Enc)'!$B$2:$B$62,C2191,'[1]Brand Family Territories (Enc)'!$C$2:$C$62,B2191)&gt;0,1,IF(AND(LEFT(B2191,6)="MORRIS",COUNTIFS('[1]Brand Family Territories (Enc)'!$B$2:$B$62,C2191,'[1]Brand Family Territories (Enc)'!$C$2:$C$62,"Morri")&gt;0),"Unk",0))</f>
        <v>1</v>
      </c>
      <c r="E2191" s="2" t="str">
        <f>IFERROR(INDEX('Blackout Brand Fam Areas (Enc)'!$D$6:$D$998,MATCH(UPPER(A2191)&amp;"|"&amp;UPPER(B2191),'Blackout Brand Fam Areas (Enc)'!$G$6:$G$998,0)),"No Match")</f>
        <v>No Match</v>
      </c>
      <c r="F2191" s="2" t="str">
        <f t="shared" si="68"/>
        <v>US</v>
      </c>
      <c r="G2191" s="2" t="str">
        <f t="shared" si="69"/>
        <v>Pride &amp; Clarke|MORRIS 3</v>
      </c>
    </row>
    <row r="2192" spans="1:7" x14ac:dyDescent="0.2">
      <c r="A2192" s="2" t="str" cm="1">
        <f t="array" ref="A2192">INDEX('[1]Brand Family Territory (Enc)'!$A$2:$A$296,INT((ROW()-2)/10)+1)</f>
        <v>Quilmes</v>
      </c>
      <c r="B2192" s="2" t="str" cm="1">
        <f t="array" ref="B2192">INDEX('Whitelist (Blackout Reverse)'!$B$1:$K$1,MOD(ROW()-2,10)+1)</f>
        <v>BERGEN</v>
      </c>
      <c r="C2192" s="2" t="str">
        <f>VLOOKUP(A2192,'[1]Brand Family Territory (Enc)'!$A$2:$B$296,2,FALSE)</f>
        <v>All Counties</v>
      </c>
      <c r="D2192" s="2">
        <f>IF(COUNTIFS('[1]Brand Family Territories (Enc)'!$B$2:$B$62,C2192,'[1]Brand Family Territories (Enc)'!$C$2:$C$62,B2192)&gt;0,1,IF(AND(LEFT(B2192,6)="MORRIS",COUNTIFS('[1]Brand Family Territories (Enc)'!$B$2:$B$62,C2192,'[1]Brand Family Territories (Enc)'!$C$2:$C$62,"Morri")&gt;0),"Unk",0))</f>
        <v>1</v>
      </c>
      <c r="E2192" s="2" t="str">
        <f>IFERROR(INDEX('Blackout Brand Fam Areas (Enc)'!$D$6:$D$998,MATCH(UPPER(A2192)&amp;"|"&amp;UPPER(B2192),'Blackout Brand Fam Areas (Enc)'!$G$6:$G$998,0)),"No Match")</f>
        <v>No Match</v>
      </c>
      <c r="F2192" s="2" t="str">
        <f t="shared" si="68"/>
        <v>US</v>
      </c>
      <c r="G2192" s="2" t="str">
        <f t="shared" si="69"/>
        <v>Quilmes|BERGEN</v>
      </c>
    </row>
    <row r="2193" spans="1:7" x14ac:dyDescent="0.2">
      <c r="A2193" s="2" t="str" cm="1">
        <f t="array" ref="A2193">INDEX('[1]Brand Family Territory (Enc)'!$A$2:$A$296,INT((ROW()-2)/10)+1)</f>
        <v>Quilmes</v>
      </c>
      <c r="B2193" s="2" t="str" cm="1">
        <f t="array" ref="B2193">INDEX('Whitelist (Blackout Reverse)'!$B$1:$K$1,MOD(ROW()-2,10)+1)</f>
        <v>PASSAIC</v>
      </c>
      <c r="C2193" s="2" t="str">
        <f>VLOOKUP(A2193,'[1]Brand Family Territory (Enc)'!$A$2:$B$296,2,FALSE)</f>
        <v>All Counties</v>
      </c>
      <c r="D2193" s="2">
        <f>IF(COUNTIFS('[1]Brand Family Territories (Enc)'!$B$2:$B$62,C2193,'[1]Brand Family Territories (Enc)'!$C$2:$C$62,B2193)&gt;0,1,IF(AND(LEFT(B2193,6)="MORRIS",COUNTIFS('[1]Brand Family Territories (Enc)'!$B$2:$B$62,C2193,'[1]Brand Family Territories (Enc)'!$C$2:$C$62,"Morri")&gt;0),"Unk",0))</f>
        <v>1</v>
      </c>
      <c r="E2193" s="2" t="str">
        <f>IFERROR(INDEX('Blackout Brand Fam Areas (Enc)'!$D$6:$D$998,MATCH(UPPER(A2193)&amp;"|"&amp;UPPER(B2193),'Blackout Brand Fam Areas (Enc)'!$G$6:$G$998,0)),"No Match")</f>
        <v>No Match</v>
      </c>
      <c r="F2193" s="2" t="str">
        <f t="shared" si="68"/>
        <v>US</v>
      </c>
      <c r="G2193" s="2" t="str">
        <f t="shared" si="69"/>
        <v>Quilmes|PASSAIC</v>
      </c>
    </row>
    <row r="2194" spans="1:7" x14ac:dyDescent="0.2">
      <c r="A2194" s="2" t="str" cm="1">
        <f t="array" ref="A2194">INDEX('[1]Brand Family Territory (Enc)'!$A$2:$A$296,INT((ROW()-2)/10)+1)</f>
        <v>Quilmes</v>
      </c>
      <c r="B2194" s="2" t="str" cm="1">
        <f t="array" ref="B2194">INDEX('Whitelist (Blackout Reverse)'!$B$1:$K$1,MOD(ROW()-2,10)+1)</f>
        <v>PASSAIC-FF</v>
      </c>
      <c r="C2194" s="2" t="str">
        <f>VLOOKUP(A2194,'[1]Brand Family Territory (Enc)'!$A$2:$B$296,2,FALSE)</f>
        <v>All Counties</v>
      </c>
      <c r="D2194" s="2">
        <f>IF(COUNTIFS('[1]Brand Family Territories (Enc)'!$B$2:$B$62,C2194,'[1]Brand Family Territories (Enc)'!$C$2:$C$62,B2194)&gt;0,1,IF(AND(LEFT(B2194,6)="MORRIS",COUNTIFS('[1]Brand Family Territories (Enc)'!$B$2:$B$62,C2194,'[1]Brand Family Territories (Enc)'!$C$2:$C$62,"Morri")&gt;0),"Unk",0))</f>
        <v>1</v>
      </c>
      <c r="E2194" s="2" t="str">
        <f>IFERROR(INDEX('Blackout Brand Fam Areas (Enc)'!$D$6:$D$998,MATCH(UPPER(A2194)&amp;"|"&amp;UPPER(B2194),'Blackout Brand Fam Areas (Enc)'!$G$6:$G$998,0)),"No Match")</f>
        <v>No Match</v>
      </c>
      <c r="F2194" s="2" t="str">
        <f t="shared" si="68"/>
        <v>US</v>
      </c>
      <c r="G2194" s="2" t="str">
        <f t="shared" si="69"/>
        <v>Quilmes|PASSAIC-FF</v>
      </c>
    </row>
    <row r="2195" spans="1:7" x14ac:dyDescent="0.2">
      <c r="A2195" s="2" t="str" cm="1">
        <f t="array" ref="A2195">INDEX('[1]Brand Family Territory (Enc)'!$A$2:$A$296,INT((ROW()-2)/10)+1)</f>
        <v>Quilmes</v>
      </c>
      <c r="B2195" s="2" t="str" cm="1">
        <f t="array" ref="B2195">INDEX('Whitelist (Blackout Reverse)'!$B$1:$K$1,MOD(ROW()-2,10)+1)</f>
        <v>ESSEX</v>
      </c>
      <c r="C2195" s="2" t="str">
        <f>VLOOKUP(A2195,'[1]Brand Family Territory (Enc)'!$A$2:$B$296,2,FALSE)</f>
        <v>All Counties</v>
      </c>
      <c r="D2195" s="2">
        <f>IF(COUNTIFS('[1]Brand Family Territories (Enc)'!$B$2:$B$62,C2195,'[1]Brand Family Territories (Enc)'!$C$2:$C$62,B2195)&gt;0,1,IF(AND(LEFT(B2195,6)="MORRIS",COUNTIFS('[1]Brand Family Territories (Enc)'!$B$2:$B$62,C2195,'[1]Brand Family Territories (Enc)'!$C$2:$C$62,"Morri")&gt;0),"Unk",0))</f>
        <v>1</v>
      </c>
      <c r="E2195" s="2" t="str">
        <f>IFERROR(INDEX('Blackout Brand Fam Areas (Enc)'!$D$6:$D$998,MATCH(UPPER(A2195)&amp;"|"&amp;UPPER(B2195),'Blackout Brand Fam Areas (Enc)'!$G$6:$G$998,0)),"No Match")</f>
        <v>No Match</v>
      </c>
      <c r="F2195" s="2" t="str">
        <f t="shared" si="68"/>
        <v>US</v>
      </c>
      <c r="G2195" s="2" t="str">
        <f t="shared" si="69"/>
        <v>Quilmes|ESSEX</v>
      </c>
    </row>
    <row r="2196" spans="1:7" x14ac:dyDescent="0.2">
      <c r="A2196" s="2" t="str" cm="1">
        <f t="array" ref="A2196">INDEX('[1]Brand Family Territory (Enc)'!$A$2:$A$296,INT((ROW()-2)/10)+1)</f>
        <v>Quilmes</v>
      </c>
      <c r="B2196" s="2" t="str" cm="1">
        <f t="array" ref="B2196">INDEX('Whitelist (Blackout Reverse)'!$B$1:$K$1,MOD(ROW()-2,10)+1)</f>
        <v>HUDSON</v>
      </c>
      <c r="C2196" s="2" t="str">
        <f>VLOOKUP(A2196,'[1]Brand Family Territory (Enc)'!$A$2:$B$296,2,FALSE)</f>
        <v>All Counties</v>
      </c>
      <c r="D2196" s="2">
        <f>IF(COUNTIFS('[1]Brand Family Territories (Enc)'!$B$2:$B$62,C2196,'[1]Brand Family Territories (Enc)'!$C$2:$C$62,B2196)&gt;0,1,IF(AND(LEFT(B2196,6)="MORRIS",COUNTIFS('[1]Brand Family Territories (Enc)'!$B$2:$B$62,C2196,'[1]Brand Family Territories (Enc)'!$C$2:$C$62,"Morri")&gt;0),"Unk",0))</f>
        <v>1</v>
      </c>
      <c r="E2196" s="2" t="str">
        <f>IFERROR(INDEX('Blackout Brand Fam Areas (Enc)'!$D$6:$D$998,MATCH(UPPER(A2196)&amp;"|"&amp;UPPER(B2196),'Blackout Brand Fam Areas (Enc)'!$G$6:$G$998,0)),"No Match")</f>
        <v>No Match</v>
      </c>
      <c r="F2196" s="2" t="str">
        <f t="shared" si="68"/>
        <v>US</v>
      </c>
      <c r="G2196" s="2" t="str">
        <f t="shared" si="69"/>
        <v>Quilmes|HUDSON</v>
      </c>
    </row>
    <row r="2197" spans="1:7" x14ac:dyDescent="0.2">
      <c r="A2197" s="2" t="str" cm="1">
        <f t="array" ref="A2197">INDEX('[1]Brand Family Territory (Enc)'!$A$2:$A$296,INT((ROW()-2)/10)+1)</f>
        <v>Quilmes</v>
      </c>
      <c r="B2197" s="2" t="str" cm="1">
        <f t="array" ref="B2197">INDEX('Whitelist (Blackout Reverse)'!$B$1:$K$1,MOD(ROW()-2,10)+1)</f>
        <v>UNION</v>
      </c>
      <c r="C2197" s="2" t="str">
        <f>VLOOKUP(A2197,'[1]Brand Family Territory (Enc)'!$A$2:$B$296,2,FALSE)</f>
        <v>All Counties</v>
      </c>
      <c r="D2197" s="2">
        <f>IF(COUNTIFS('[1]Brand Family Territories (Enc)'!$B$2:$B$62,C2197,'[1]Brand Family Territories (Enc)'!$C$2:$C$62,B2197)&gt;0,1,IF(AND(LEFT(B2197,6)="MORRIS",COUNTIFS('[1]Brand Family Territories (Enc)'!$B$2:$B$62,C2197,'[1]Brand Family Territories (Enc)'!$C$2:$C$62,"Morri")&gt;0),"Unk",0))</f>
        <v>1</v>
      </c>
      <c r="E2197" s="2" t="str">
        <f>IFERROR(INDEX('Blackout Brand Fam Areas (Enc)'!$D$6:$D$998,MATCH(UPPER(A2197)&amp;"|"&amp;UPPER(B2197),'Blackout Brand Fam Areas (Enc)'!$G$6:$G$998,0)),"No Match")</f>
        <v>No Match</v>
      </c>
      <c r="F2197" s="2" t="str">
        <f t="shared" si="68"/>
        <v>US</v>
      </c>
      <c r="G2197" s="2" t="str">
        <f t="shared" si="69"/>
        <v>Quilmes|UNION</v>
      </c>
    </row>
    <row r="2198" spans="1:7" x14ac:dyDescent="0.2">
      <c r="A2198" s="2" t="str" cm="1">
        <f t="array" ref="A2198">INDEX('[1]Brand Family Territory (Enc)'!$A$2:$A$296,INT((ROW()-2)/10)+1)</f>
        <v>Quilmes</v>
      </c>
      <c r="B2198" s="2" t="str" cm="1">
        <f t="array" ref="B2198">INDEX('Whitelist (Blackout Reverse)'!$B$1:$K$1,MOD(ROW()-2,10)+1)</f>
        <v>SUSSEX</v>
      </c>
      <c r="C2198" s="2" t="str">
        <f>VLOOKUP(A2198,'[1]Brand Family Territory (Enc)'!$A$2:$B$296,2,FALSE)</f>
        <v>All Counties</v>
      </c>
      <c r="D2198" s="2">
        <f>IF(COUNTIFS('[1]Brand Family Territories (Enc)'!$B$2:$B$62,C2198,'[1]Brand Family Territories (Enc)'!$C$2:$C$62,B2198)&gt;0,1,IF(AND(LEFT(B2198,6)="MORRIS",COUNTIFS('[1]Brand Family Territories (Enc)'!$B$2:$B$62,C2198,'[1]Brand Family Territories (Enc)'!$C$2:$C$62,"Morri")&gt;0),"Unk",0))</f>
        <v>1</v>
      </c>
      <c r="E2198" s="2" t="str">
        <f>IFERROR(INDEX('Blackout Brand Fam Areas (Enc)'!$D$6:$D$998,MATCH(UPPER(A2198)&amp;"|"&amp;UPPER(B2198),'Blackout Brand Fam Areas (Enc)'!$G$6:$G$998,0)),"No Match")</f>
        <v>No Match</v>
      </c>
      <c r="F2198" s="2" t="str">
        <f t="shared" si="68"/>
        <v>US</v>
      </c>
      <c r="G2198" s="2" t="str">
        <f t="shared" si="69"/>
        <v>Quilmes|SUSSEX</v>
      </c>
    </row>
    <row r="2199" spans="1:7" x14ac:dyDescent="0.2">
      <c r="A2199" s="2" t="str" cm="1">
        <f t="array" ref="A2199">INDEX('[1]Brand Family Territory (Enc)'!$A$2:$A$296,INT((ROW()-2)/10)+1)</f>
        <v>Quilmes</v>
      </c>
      <c r="B2199" s="2" t="str" cm="1">
        <f t="array" ref="B2199">INDEX('Whitelist (Blackout Reverse)'!$B$1:$K$1,MOD(ROW()-2,10)+1)</f>
        <v>MORRIS 1</v>
      </c>
      <c r="C2199" s="2" t="str">
        <f>VLOOKUP(A2199,'[1]Brand Family Territory (Enc)'!$A$2:$B$296,2,FALSE)</f>
        <v>All Counties</v>
      </c>
      <c r="D2199" s="2">
        <f>IF(COUNTIFS('[1]Brand Family Territories (Enc)'!$B$2:$B$62,C2199,'[1]Brand Family Territories (Enc)'!$C$2:$C$62,B2199)&gt;0,1,IF(AND(LEFT(B2199,6)="MORRIS",COUNTIFS('[1]Brand Family Territories (Enc)'!$B$2:$B$62,C2199,'[1]Brand Family Territories (Enc)'!$C$2:$C$62,"Morri")&gt;0),"Unk",0))</f>
        <v>1</v>
      </c>
      <c r="E2199" s="2" t="str">
        <f>IFERROR(INDEX('Blackout Brand Fam Areas (Enc)'!$D$6:$D$998,MATCH(UPPER(A2199)&amp;"|"&amp;UPPER(B2199),'Blackout Brand Fam Areas (Enc)'!$G$6:$G$998,0)),"No Match")</f>
        <v>No Match</v>
      </c>
      <c r="F2199" s="2" t="str">
        <f t="shared" si="68"/>
        <v>US</v>
      </c>
      <c r="G2199" s="2" t="str">
        <f t="shared" si="69"/>
        <v>Quilmes|MORRIS 1</v>
      </c>
    </row>
    <row r="2200" spans="1:7" x14ac:dyDescent="0.2">
      <c r="A2200" s="2" t="str" cm="1">
        <f t="array" ref="A2200">INDEX('[1]Brand Family Territory (Enc)'!$A$2:$A$296,INT((ROW()-2)/10)+1)</f>
        <v>Quilmes</v>
      </c>
      <c r="B2200" s="2" t="str" cm="1">
        <f t="array" ref="B2200">INDEX('Whitelist (Blackout Reverse)'!$B$1:$K$1,MOD(ROW()-2,10)+1)</f>
        <v>MORRIS 2</v>
      </c>
      <c r="C2200" s="2" t="str">
        <f>VLOOKUP(A2200,'[1]Brand Family Territory (Enc)'!$A$2:$B$296,2,FALSE)</f>
        <v>All Counties</v>
      </c>
      <c r="D2200" s="2">
        <f>IF(COUNTIFS('[1]Brand Family Territories (Enc)'!$B$2:$B$62,C2200,'[1]Brand Family Territories (Enc)'!$C$2:$C$62,B2200)&gt;0,1,IF(AND(LEFT(B2200,6)="MORRIS",COUNTIFS('[1]Brand Family Territories (Enc)'!$B$2:$B$62,C2200,'[1]Brand Family Territories (Enc)'!$C$2:$C$62,"Morri")&gt;0),"Unk",0))</f>
        <v>1</v>
      </c>
      <c r="E2200" s="2" t="str">
        <f>IFERROR(INDEX('Blackout Brand Fam Areas (Enc)'!$D$6:$D$998,MATCH(UPPER(A2200)&amp;"|"&amp;UPPER(B2200),'Blackout Brand Fam Areas (Enc)'!$G$6:$G$998,0)),"No Match")</f>
        <v>No Match</v>
      </c>
      <c r="F2200" s="2" t="str">
        <f t="shared" si="68"/>
        <v>US</v>
      </c>
      <c r="G2200" s="2" t="str">
        <f t="shared" si="69"/>
        <v>Quilmes|MORRIS 2</v>
      </c>
    </row>
    <row r="2201" spans="1:7" x14ac:dyDescent="0.2">
      <c r="A2201" s="2" t="str" cm="1">
        <f t="array" ref="A2201">INDEX('[1]Brand Family Territory (Enc)'!$A$2:$A$296,INT((ROW()-2)/10)+1)</f>
        <v>Quilmes</v>
      </c>
      <c r="B2201" s="2" t="str" cm="1">
        <f t="array" ref="B2201">INDEX('Whitelist (Blackout Reverse)'!$B$1:$K$1,MOD(ROW()-2,10)+1)</f>
        <v>MORRIS 3</v>
      </c>
      <c r="C2201" s="2" t="str">
        <f>VLOOKUP(A2201,'[1]Brand Family Territory (Enc)'!$A$2:$B$296,2,FALSE)</f>
        <v>All Counties</v>
      </c>
      <c r="D2201" s="2">
        <f>IF(COUNTIFS('[1]Brand Family Territories (Enc)'!$B$2:$B$62,C2201,'[1]Brand Family Territories (Enc)'!$C$2:$C$62,B2201)&gt;0,1,IF(AND(LEFT(B2201,6)="MORRIS",COUNTIFS('[1]Brand Family Territories (Enc)'!$B$2:$B$62,C2201,'[1]Brand Family Territories (Enc)'!$C$2:$C$62,"Morri")&gt;0),"Unk",0))</f>
        <v>1</v>
      </c>
      <c r="E2201" s="2" t="str">
        <f>IFERROR(INDEX('Blackout Brand Fam Areas (Enc)'!$D$6:$D$998,MATCH(UPPER(A2201)&amp;"|"&amp;UPPER(B2201),'Blackout Brand Fam Areas (Enc)'!$G$6:$G$998,0)),"No Match")</f>
        <v>No Match</v>
      </c>
      <c r="F2201" s="2" t="str">
        <f t="shared" si="68"/>
        <v>US</v>
      </c>
      <c r="G2201" s="2" t="str">
        <f t="shared" si="69"/>
        <v>Quilmes|MORRIS 3</v>
      </c>
    </row>
    <row r="2202" spans="1:7" x14ac:dyDescent="0.2">
      <c r="A2202" s="2" t="str" cm="1">
        <f t="array" ref="A2202">INDEX('[1]Brand Family Territory (Enc)'!$A$2:$A$296,INT((ROW()-2)/10)+1)</f>
        <v>Radeberger</v>
      </c>
      <c r="B2202" s="2" t="str" cm="1">
        <f t="array" ref="B2202">INDEX('Whitelist (Blackout Reverse)'!$B$1:$K$1,MOD(ROW()-2,10)+1)</f>
        <v>BERGEN</v>
      </c>
      <c r="C2202" s="2" t="str">
        <f>VLOOKUP(A2202,'[1]Brand Family Territory (Enc)'!$A$2:$B$296,2,FALSE)</f>
        <v>All Counties</v>
      </c>
      <c r="D2202" s="2">
        <f>IF(COUNTIFS('[1]Brand Family Territories (Enc)'!$B$2:$B$62,C2202,'[1]Brand Family Territories (Enc)'!$C$2:$C$62,B2202)&gt;0,1,IF(AND(LEFT(B2202,6)="MORRIS",COUNTIFS('[1]Brand Family Territories (Enc)'!$B$2:$B$62,C2202,'[1]Brand Family Territories (Enc)'!$C$2:$C$62,"Morri")&gt;0),"Unk",0))</f>
        <v>1</v>
      </c>
      <c r="E2202" s="2" t="str">
        <f>IFERROR(INDEX('Blackout Brand Fam Areas (Enc)'!$D$6:$D$998,MATCH(UPPER(A2202)&amp;"|"&amp;UPPER(B2202),'Blackout Brand Fam Areas (Enc)'!$G$6:$G$998,0)),"No Match")</f>
        <v>No Match</v>
      </c>
      <c r="F2202" s="2" t="str">
        <f t="shared" si="68"/>
        <v>US</v>
      </c>
      <c r="G2202" s="2" t="str">
        <f t="shared" si="69"/>
        <v>Radeberger|BERGEN</v>
      </c>
    </row>
    <row r="2203" spans="1:7" x14ac:dyDescent="0.2">
      <c r="A2203" s="2" t="str" cm="1">
        <f t="array" ref="A2203">INDEX('[1]Brand Family Territory (Enc)'!$A$2:$A$296,INT((ROW()-2)/10)+1)</f>
        <v>Radeberger</v>
      </c>
      <c r="B2203" s="2" t="str" cm="1">
        <f t="array" ref="B2203">INDEX('Whitelist (Blackout Reverse)'!$B$1:$K$1,MOD(ROW()-2,10)+1)</f>
        <v>PASSAIC</v>
      </c>
      <c r="C2203" s="2" t="str">
        <f>VLOOKUP(A2203,'[1]Brand Family Territory (Enc)'!$A$2:$B$296,2,FALSE)</f>
        <v>All Counties</v>
      </c>
      <c r="D2203" s="2">
        <f>IF(COUNTIFS('[1]Brand Family Territories (Enc)'!$B$2:$B$62,C2203,'[1]Brand Family Territories (Enc)'!$C$2:$C$62,B2203)&gt;0,1,IF(AND(LEFT(B2203,6)="MORRIS",COUNTIFS('[1]Brand Family Territories (Enc)'!$B$2:$B$62,C2203,'[1]Brand Family Territories (Enc)'!$C$2:$C$62,"Morri")&gt;0),"Unk",0))</f>
        <v>1</v>
      </c>
      <c r="E2203" s="2" t="str">
        <f>IFERROR(INDEX('Blackout Brand Fam Areas (Enc)'!$D$6:$D$998,MATCH(UPPER(A2203)&amp;"|"&amp;UPPER(B2203),'Blackout Brand Fam Areas (Enc)'!$G$6:$G$998,0)),"No Match")</f>
        <v>No Match</v>
      </c>
      <c r="F2203" s="2" t="str">
        <f t="shared" si="68"/>
        <v>US</v>
      </c>
      <c r="G2203" s="2" t="str">
        <f t="shared" si="69"/>
        <v>Radeberger|PASSAIC</v>
      </c>
    </row>
    <row r="2204" spans="1:7" x14ac:dyDescent="0.2">
      <c r="A2204" s="2" t="str" cm="1">
        <f t="array" ref="A2204">INDEX('[1]Brand Family Territory (Enc)'!$A$2:$A$296,INT((ROW()-2)/10)+1)</f>
        <v>Radeberger</v>
      </c>
      <c r="B2204" s="2" t="str" cm="1">
        <f t="array" ref="B2204">INDEX('Whitelist (Blackout Reverse)'!$B$1:$K$1,MOD(ROW()-2,10)+1)</f>
        <v>PASSAIC-FF</v>
      </c>
      <c r="C2204" s="2" t="str">
        <f>VLOOKUP(A2204,'[1]Brand Family Territory (Enc)'!$A$2:$B$296,2,FALSE)</f>
        <v>All Counties</v>
      </c>
      <c r="D2204" s="2">
        <f>IF(COUNTIFS('[1]Brand Family Territories (Enc)'!$B$2:$B$62,C2204,'[1]Brand Family Territories (Enc)'!$C$2:$C$62,B2204)&gt;0,1,IF(AND(LEFT(B2204,6)="MORRIS",COUNTIFS('[1]Brand Family Territories (Enc)'!$B$2:$B$62,C2204,'[1]Brand Family Territories (Enc)'!$C$2:$C$62,"Morri")&gt;0),"Unk",0))</f>
        <v>1</v>
      </c>
      <c r="E2204" s="2" t="str">
        <f>IFERROR(INDEX('Blackout Brand Fam Areas (Enc)'!$D$6:$D$998,MATCH(UPPER(A2204)&amp;"|"&amp;UPPER(B2204),'Blackout Brand Fam Areas (Enc)'!$G$6:$G$998,0)),"No Match")</f>
        <v>No Match</v>
      </c>
      <c r="F2204" s="2" t="str">
        <f t="shared" si="68"/>
        <v>US</v>
      </c>
      <c r="G2204" s="2" t="str">
        <f t="shared" si="69"/>
        <v>Radeberger|PASSAIC-FF</v>
      </c>
    </row>
    <row r="2205" spans="1:7" x14ac:dyDescent="0.2">
      <c r="A2205" s="2" t="str" cm="1">
        <f t="array" ref="A2205">INDEX('[1]Brand Family Territory (Enc)'!$A$2:$A$296,INT((ROW()-2)/10)+1)</f>
        <v>Radeberger</v>
      </c>
      <c r="B2205" s="2" t="str" cm="1">
        <f t="array" ref="B2205">INDEX('Whitelist (Blackout Reverse)'!$B$1:$K$1,MOD(ROW()-2,10)+1)</f>
        <v>ESSEX</v>
      </c>
      <c r="C2205" s="2" t="str">
        <f>VLOOKUP(A2205,'[1]Brand Family Territory (Enc)'!$A$2:$B$296,2,FALSE)</f>
        <v>All Counties</v>
      </c>
      <c r="D2205" s="2">
        <f>IF(COUNTIFS('[1]Brand Family Territories (Enc)'!$B$2:$B$62,C2205,'[1]Brand Family Territories (Enc)'!$C$2:$C$62,B2205)&gt;0,1,IF(AND(LEFT(B2205,6)="MORRIS",COUNTIFS('[1]Brand Family Territories (Enc)'!$B$2:$B$62,C2205,'[1]Brand Family Territories (Enc)'!$C$2:$C$62,"Morri")&gt;0),"Unk",0))</f>
        <v>1</v>
      </c>
      <c r="E2205" s="2" t="str">
        <f>IFERROR(INDEX('Blackout Brand Fam Areas (Enc)'!$D$6:$D$998,MATCH(UPPER(A2205)&amp;"|"&amp;UPPER(B2205),'Blackout Brand Fam Areas (Enc)'!$G$6:$G$998,0)),"No Match")</f>
        <v>No Match</v>
      </c>
      <c r="F2205" s="2" t="str">
        <f t="shared" si="68"/>
        <v>US</v>
      </c>
      <c r="G2205" s="2" t="str">
        <f t="shared" si="69"/>
        <v>Radeberger|ESSEX</v>
      </c>
    </row>
    <row r="2206" spans="1:7" x14ac:dyDescent="0.2">
      <c r="A2206" s="2" t="str" cm="1">
        <f t="array" ref="A2206">INDEX('[1]Brand Family Territory (Enc)'!$A$2:$A$296,INT((ROW()-2)/10)+1)</f>
        <v>Radeberger</v>
      </c>
      <c r="B2206" s="2" t="str" cm="1">
        <f t="array" ref="B2206">INDEX('Whitelist (Blackout Reverse)'!$B$1:$K$1,MOD(ROW()-2,10)+1)</f>
        <v>HUDSON</v>
      </c>
      <c r="C2206" s="2" t="str">
        <f>VLOOKUP(A2206,'[1]Brand Family Territory (Enc)'!$A$2:$B$296,2,FALSE)</f>
        <v>All Counties</v>
      </c>
      <c r="D2206" s="2">
        <f>IF(COUNTIFS('[1]Brand Family Territories (Enc)'!$B$2:$B$62,C2206,'[1]Brand Family Territories (Enc)'!$C$2:$C$62,B2206)&gt;0,1,IF(AND(LEFT(B2206,6)="MORRIS",COUNTIFS('[1]Brand Family Territories (Enc)'!$B$2:$B$62,C2206,'[1]Brand Family Territories (Enc)'!$C$2:$C$62,"Morri")&gt;0),"Unk",0))</f>
        <v>1</v>
      </c>
      <c r="E2206" s="2" t="str">
        <f>IFERROR(INDEX('Blackout Brand Fam Areas (Enc)'!$D$6:$D$998,MATCH(UPPER(A2206)&amp;"|"&amp;UPPER(B2206),'Blackout Brand Fam Areas (Enc)'!$G$6:$G$998,0)),"No Match")</f>
        <v>No Match</v>
      </c>
      <c r="F2206" s="2" t="str">
        <f t="shared" si="68"/>
        <v>US</v>
      </c>
      <c r="G2206" s="2" t="str">
        <f t="shared" si="69"/>
        <v>Radeberger|HUDSON</v>
      </c>
    </row>
    <row r="2207" spans="1:7" x14ac:dyDescent="0.2">
      <c r="A2207" s="2" t="str" cm="1">
        <f t="array" ref="A2207">INDEX('[1]Brand Family Territory (Enc)'!$A$2:$A$296,INT((ROW()-2)/10)+1)</f>
        <v>Radeberger</v>
      </c>
      <c r="B2207" s="2" t="str" cm="1">
        <f t="array" ref="B2207">INDEX('Whitelist (Blackout Reverse)'!$B$1:$K$1,MOD(ROW()-2,10)+1)</f>
        <v>UNION</v>
      </c>
      <c r="C2207" s="2" t="str">
        <f>VLOOKUP(A2207,'[1]Brand Family Territory (Enc)'!$A$2:$B$296,2,FALSE)</f>
        <v>All Counties</v>
      </c>
      <c r="D2207" s="2">
        <f>IF(COUNTIFS('[1]Brand Family Territories (Enc)'!$B$2:$B$62,C2207,'[1]Brand Family Territories (Enc)'!$C$2:$C$62,B2207)&gt;0,1,IF(AND(LEFT(B2207,6)="MORRIS",COUNTIFS('[1]Brand Family Territories (Enc)'!$B$2:$B$62,C2207,'[1]Brand Family Territories (Enc)'!$C$2:$C$62,"Morri")&gt;0),"Unk",0))</f>
        <v>1</v>
      </c>
      <c r="E2207" s="2" t="str">
        <f>IFERROR(INDEX('Blackout Brand Fam Areas (Enc)'!$D$6:$D$998,MATCH(UPPER(A2207)&amp;"|"&amp;UPPER(B2207),'Blackout Brand Fam Areas (Enc)'!$G$6:$G$998,0)),"No Match")</f>
        <v>No Match</v>
      </c>
      <c r="F2207" s="2" t="str">
        <f t="shared" si="68"/>
        <v>US</v>
      </c>
      <c r="G2207" s="2" t="str">
        <f t="shared" si="69"/>
        <v>Radeberger|UNION</v>
      </c>
    </row>
    <row r="2208" spans="1:7" x14ac:dyDescent="0.2">
      <c r="A2208" s="2" t="str" cm="1">
        <f t="array" ref="A2208">INDEX('[1]Brand Family Territory (Enc)'!$A$2:$A$296,INT((ROW()-2)/10)+1)</f>
        <v>Radeberger</v>
      </c>
      <c r="B2208" s="2" t="str" cm="1">
        <f t="array" ref="B2208">INDEX('Whitelist (Blackout Reverse)'!$B$1:$K$1,MOD(ROW()-2,10)+1)</f>
        <v>SUSSEX</v>
      </c>
      <c r="C2208" s="2" t="str">
        <f>VLOOKUP(A2208,'[1]Brand Family Territory (Enc)'!$A$2:$B$296,2,FALSE)</f>
        <v>All Counties</v>
      </c>
      <c r="D2208" s="2">
        <f>IF(COUNTIFS('[1]Brand Family Territories (Enc)'!$B$2:$B$62,C2208,'[1]Brand Family Territories (Enc)'!$C$2:$C$62,B2208)&gt;0,1,IF(AND(LEFT(B2208,6)="MORRIS",COUNTIFS('[1]Brand Family Territories (Enc)'!$B$2:$B$62,C2208,'[1]Brand Family Territories (Enc)'!$C$2:$C$62,"Morri")&gt;0),"Unk",0))</f>
        <v>1</v>
      </c>
      <c r="E2208" s="2" t="str">
        <f>IFERROR(INDEX('Blackout Brand Fam Areas (Enc)'!$D$6:$D$998,MATCH(UPPER(A2208)&amp;"|"&amp;UPPER(B2208),'Blackout Brand Fam Areas (Enc)'!$G$6:$G$998,0)),"No Match")</f>
        <v>No Match</v>
      </c>
      <c r="F2208" s="2" t="str">
        <f t="shared" si="68"/>
        <v>US</v>
      </c>
      <c r="G2208" s="2" t="str">
        <f t="shared" si="69"/>
        <v>Radeberger|SUSSEX</v>
      </c>
    </row>
    <row r="2209" spans="1:7" x14ac:dyDescent="0.2">
      <c r="A2209" s="2" t="str" cm="1">
        <f t="array" ref="A2209">INDEX('[1]Brand Family Territory (Enc)'!$A$2:$A$296,INT((ROW()-2)/10)+1)</f>
        <v>Radeberger</v>
      </c>
      <c r="B2209" s="2" t="str" cm="1">
        <f t="array" ref="B2209">INDEX('Whitelist (Blackout Reverse)'!$B$1:$K$1,MOD(ROW()-2,10)+1)</f>
        <v>MORRIS 1</v>
      </c>
      <c r="C2209" s="2" t="str">
        <f>VLOOKUP(A2209,'[1]Brand Family Territory (Enc)'!$A$2:$B$296,2,FALSE)</f>
        <v>All Counties</v>
      </c>
      <c r="D2209" s="2">
        <f>IF(COUNTIFS('[1]Brand Family Territories (Enc)'!$B$2:$B$62,C2209,'[1]Brand Family Territories (Enc)'!$C$2:$C$62,B2209)&gt;0,1,IF(AND(LEFT(B2209,6)="MORRIS",COUNTIFS('[1]Brand Family Territories (Enc)'!$B$2:$B$62,C2209,'[1]Brand Family Territories (Enc)'!$C$2:$C$62,"Morri")&gt;0),"Unk",0))</f>
        <v>1</v>
      </c>
      <c r="E2209" s="2" t="str">
        <f>IFERROR(INDEX('Blackout Brand Fam Areas (Enc)'!$D$6:$D$998,MATCH(UPPER(A2209)&amp;"|"&amp;UPPER(B2209),'Blackout Brand Fam Areas (Enc)'!$G$6:$G$998,0)),"No Match")</f>
        <v>No Match</v>
      </c>
      <c r="F2209" s="2" t="str">
        <f t="shared" si="68"/>
        <v>US</v>
      </c>
      <c r="G2209" s="2" t="str">
        <f t="shared" si="69"/>
        <v>Radeberger|MORRIS 1</v>
      </c>
    </row>
    <row r="2210" spans="1:7" x14ac:dyDescent="0.2">
      <c r="A2210" s="2" t="str" cm="1">
        <f t="array" ref="A2210">INDEX('[1]Brand Family Territory (Enc)'!$A$2:$A$296,INT((ROW()-2)/10)+1)</f>
        <v>Radeberger</v>
      </c>
      <c r="B2210" s="2" t="str" cm="1">
        <f t="array" ref="B2210">INDEX('Whitelist (Blackout Reverse)'!$B$1:$K$1,MOD(ROW()-2,10)+1)</f>
        <v>MORRIS 2</v>
      </c>
      <c r="C2210" s="2" t="str">
        <f>VLOOKUP(A2210,'[1]Brand Family Territory (Enc)'!$A$2:$B$296,2,FALSE)</f>
        <v>All Counties</v>
      </c>
      <c r="D2210" s="2">
        <f>IF(COUNTIFS('[1]Brand Family Territories (Enc)'!$B$2:$B$62,C2210,'[1]Brand Family Territories (Enc)'!$C$2:$C$62,B2210)&gt;0,1,IF(AND(LEFT(B2210,6)="MORRIS",COUNTIFS('[1]Brand Family Territories (Enc)'!$B$2:$B$62,C2210,'[1]Brand Family Territories (Enc)'!$C$2:$C$62,"Morri")&gt;0),"Unk",0))</f>
        <v>1</v>
      </c>
      <c r="E2210" s="2" t="str">
        <f>IFERROR(INDEX('Blackout Brand Fam Areas (Enc)'!$D$6:$D$998,MATCH(UPPER(A2210)&amp;"|"&amp;UPPER(B2210),'Blackout Brand Fam Areas (Enc)'!$G$6:$G$998,0)),"No Match")</f>
        <v>No Match</v>
      </c>
      <c r="F2210" s="2" t="str">
        <f t="shared" si="68"/>
        <v>US</v>
      </c>
      <c r="G2210" s="2" t="str">
        <f t="shared" si="69"/>
        <v>Radeberger|MORRIS 2</v>
      </c>
    </row>
    <row r="2211" spans="1:7" x14ac:dyDescent="0.2">
      <c r="A2211" s="2" t="str" cm="1">
        <f t="array" ref="A2211">INDEX('[1]Brand Family Territory (Enc)'!$A$2:$A$296,INT((ROW()-2)/10)+1)</f>
        <v>Radeberger</v>
      </c>
      <c r="B2211" s="2" t="str" cm="1">
        <f t="array" ref="B2211">INDEX('Whitelist (Blackout Reverse)'!$B$1:$K$1,MOD(ROW()-2,10)+1)</f>
        <v>MORRIS 3</v>
      </c>
      <c r="C2211" s="2" t="str">
        <f>VLOOKUP(A2211,'[1]Brand Family Territory (Enc)'!$A$2:$B$296,2,FALSE)</f>
        <v>All Counties</v>
      </c>
      <c r="D2211" s="2">
        <f>IF(COUNTIFS('[1]Brand Family Territories (Enc)'!$B$2:$B$62,C2211,'[1]Brand Family Territories (Enc)'!$C$2:$C$62,B2211)&gt;0,1,IF(AND(LEFT(B2211,6)="MORRIS",COUNTIFS('[1]Brand Family Territories (Enc)'!$B$2:$B$62,C2211,'[1]Brand Family Territories (Enc)'!$C$2:$C$62,"Morri")&gt;0),"Unk",0))</f>
        <v>1</v>
      </c>
      <c r="E2211" s="2" t="str">
        <f>IFERROR(INDEX('Blackout Brand Fam Areas (Enc)'!$D$6:$D$998,MATCH(UPPER(A2211)&amp;"|"&amp;UPPER(B2211),'Blackout Brand Fam Areas (Enc)'!$G$6:$G$998,0)),"No Match")</f>
        <v>No Match</v>
      </c>
      <c r="F2211" s="2" t="str">
        <f t="shared" si="68"/>
        <v>US</v>
      </c>
      <c r="G2211" s="2" t="str">
        <f t="shared" si="69"/>
        <v>Radeberger|MORRIS 3</v>
      </c>
    </row>
    <row r="2212" spans="1:7" x14ac:dyDescent="0.2">
      <c r="A2212" s="2" t="str" cm="1">
        <f t="array" ref="A2212">INDEX('[1]Brand Family Territory (Enc)'!$A$2:$A$296,INT((ROW()-2)/10)+1)</f>
        <v>Right Coast</v>
      </c>
      <c r="B2212" s="2" t="str" cm="1">
        <f t="array" ref="B2212">INDEX('Whitelist (Blackout Reverse)'!$B$1:$K$1,MOD(ROW()-2,10)+1)</f>
        <v>BERGEN</v>
      </c>
      <c r="C2212" s="2" t="str">
        <f>VLOOKUP(A2212,'[1]Brand Family Territory (Enc)'!$A$2:$B$296,2,FALSE)</f>
        <v>All Counties</v>
      </c>
      <c r="D2212" s="2">
        <f>IF(COUNTIFS('[1]Brand Family Territories (Enc)'!$B$2:$B$62,C2212,'[1]Brand Family Territories (Enc)'!$C$2:$C$62,B2212)&gt;0,1,IF(AND(LEFT(B2212,6)="MORRIS",COUNTIFS('[1]Brand Family Territories (Enc)'!$B$2:$B$62,C2212,'[1]Brand Family Territories (Enc)'!$C$2:$C$62,"Morri")&gt;0),"Unk",0))</f>
        <v>1</v>
      </c>
      <c r="E2212" s="2" t="str">
        <f>IFERROR(INDEX('Blackout Brand Fam Areas (Enc)'!$D$6:$D$998,MATCH(UPPER(A2212)&amp;"|"&amp;UPPER(B2212),'Blackout Brand Fam Areas (Enc)'!$G$6:$G$998,0)),"No Match")</f>
        <v>No Match</v>
      </c>
      <c r="F2212" s="2" t="str">
        <f t="shared" si="68"/>
        <v>US</v>
      </c>
      <c r="G2212" s="2" t="str">
        <f t="shared" si="69"/>
        <v>Right Coast|BERGEN</v>
      </c>
    </row>
    <row r="2213" spans="1:7" x14ac:dyDescent="0.2">
      <c r="A2213" s="2" t="str" cm="1">
        <f t="array" ref="A2213">INDEX('[1]Brand Family Territory (Enc)'!$A$2:$A$296,INT((ROW()-2)/10)+1)</f>
        <v>Right Coast</v>
      </c>
      <c r="B2213" s="2" t="str" cm="1">
        <f t="array" ref="B2213">INDEX('Whitelist (Blackout Reverse)'!$B$1:$K$1,MOD(ROW()-2,10)+1)</f>
        <v>PASSAIC</v>
      </c>
      <c r="C2213" s="2" t="str">
        <f>VLOOKUP(A2213,'[1]Brand Family Territory (Enc)'!$A$2:$B$296,2,FALSE)</f>
        <v>All Counties</v>
      </c>
      <c r="D2213" s="2">
        <f>IF(COUNTIFS('[1]Brand Family Territories (Enc)'!$B$2:$B$62,C2213,'[1]Brand Family Territories (Enc)'!$C$2:$C$62,B2213)&gt;0,1,IF(AND(LEFT(B2213,6)="MORRIS",COUNTIFS('[1]Brand Family Territories (Enc)'!$B$2:$B$62,C2213,'[1]Brand Family Territories (Enc)'!$C$2:$C$62,"Morri")&gt;0),"Unk",0))</f>
        <v>1</v>
      </c>
      <c r="E2213" s="2" t="str">
        <f>IFERROR(INDEX('Blackout Brand Fam Areas (Enc)'!$D$6:$D$998,MATCH(UPPER(A2213)&amp;"|"&amp;UPPER(B2213),'Blackout Brand Fam Areas (Enc)'!$G$6:$G$998,0)),"No Match")</f>
        <v>No Match</v>
      </c>
      <c r="F2213" s="2" t="str">
        <f t="shared" si="68"/>
        <v>US</v>
      </c>
      <c r="G2213" s="2" t="str">
        <f t="shared" si="69"/>
        <v>Right Coast|PASSAIC</v>
      </c>
    </row>
    <row r="2214" spans="1:7" x14ac:dyDescent="0.2">
      <c r="A2214" s="2" t="str" cm="1">
        <f t="array" ref="A2214">INDEX('[1]Brand Family Territory (Enc)'!$A$2:$A$296,INT((ROW()-2)/10)+1)</f>
        <v>Right Coast</v>
      </c>
      <c r="B2214" s="2" t="str" cm="1">
        <f t="array" ref="B2214">INDEX('Whitelist (Blackout Reverse)'!$B$1:$K$1,MOD(ROW()-2,10)+1)</f>
        <v>PASSAIC-FF</v>
      </c>
      <c r="C2214" s="2" t="str">
        <f>VLOOKUP(A2214,'[1]Brand Family Territory (Enc)'!$A$2:$B$296,2,FALSE)</f>
        <v>All Counties</v>
      </c>
      <c r="D2214" s="2">
        <f>IF(COUNTIFS('[1]Brand Family Territories (Enc)'!$B$2:$B$62,C2214,'[1]Brand Family Territories (Enc)'!$C$2:$C$62,B2214)&gt;0,1,IF(AND(LEFT(B2214,6)="MORRIS",COUNTIFS('[1]Brand Family Territories (Enc)'!$B$2:$B$62,C2214,'[1]Brand Family Territories (Enc)'!$C$2:$C$62,"Morri")&gt;0),"Unk",0))</f>
        <v>1</v>
      </c>
      <c r="E2214" s="2" t="str">
        <f>IFERROR(INDEX('Blackout Brand Fam Areas (Enc)'!$D$6:$D$998,MATCH(UPPER(A2214)&amp;"|"&amp;UPPER(B2214),'Blackout Brand Fam Areas (Enc)'!$G$6:$G$998,0)),"No Match")</f>
        <v>No Match</v>
      </c>
      <c r="F2214" s="2" t="str">
        <f t="shared" si="68"/>
        <v>US</v>
      </c>
      <c r="G2214" s="2" t="str">
        <f t="shared" si="69"/>
        <v>Right Coast|PASSAIC-FF</v>
      </c>
    </row>
    <row r="2215" spans="1:7" x14ac:dyDescent="0.2">
      <c r="A2215" s="2" t="str" cm="1">
        <f t="array" ref="A2215">INDEX('[1]Brand Family Territory (Enc)'!$A$2:$A$296,INT((ROW()-2)/10)+1)</f>
        <v>Right Coast</v>
      </c>
      <c r="B2215" s="2" t="str" cm="1">
        <f t="array" ref="B2215">INDEX('Whitelist (Blackout Reverse)'!$B$1:$K$1,MOD(ROW()-2,10)+1)</f>
        <v>ESSEX</v>
      </c>
      <c r="C2215" s="2" t="str">
        <f>VLOOKUP(A2215,'[1]Brand Family Territory (Enc)'!$A$2:$B$296,2,FALSE)</f>
        <v>All Counties</v>
      </c>
      <c r="D2215" s="2">
        <f>IF(COUNTIFS('[1]Brand Family Territories (Enc)'!$B$2:$B$62,C2215,'[1]Brand Family Territories (Enc)'!$C$2:$C$62,B2215)&gt;0,1,IF(AND(LEFT(B2215,6)="MORRIS",COUNTIFS('[1]Brand Family Territories (Enc)'!$B$2:$B$62,C2215,'[1]Brand Family Territories (Enc)'!$C$2:$C$62,"Morri")&gt;0),"Unk",0))</f>
        <v>1</v>
      </c>
      <c r="E2215" s="2" t="str">
        <f>IFERROR(INDEX('Blackout Brand Fam Areas (Enc)'!$D$6:$D$998,MATCH(UPPER(A2215)&amp;"|"&amp;UPPER(B2215),'Blackout Brand Fam Areas (Enc)'!$G$6:$G$998,0)),"No Match")</f>
        <v>No Match</v>
      </c>
      <c r="F2215" s="2" t="str">
        <f t="shared" si="68"/>
        <v>US</v>
      </c>
      <c r="G2215" s="2" t="str">
        <f t="shared" si="69"/>
        <v>Right Coast|ESSEX</v>
      </c>
    </row>
    <row r="2216" spans="1:7" x14ac:dyDescent="0.2">
      <c r="A2216" s="2" t="str" cm="1">
        <f t="array" ref="A2216">INDEX('[1]Brand Family Territory (Enc)'!$A$2:$A$296,INT((ROW()-2)/10)+1)</f>
        <v>Right Coast</v>
      </c>
      <c r="B2216" s="2" t="str" cm="1">
        <f t="array" ref="B2216">INDEX('Whitelist (Blackout Reverse)'!$B$1:$K$1,MOD(ROW()-2,10)+1)</f>
        <v>HUDSON</v>
      </c>
      <c r="C2216" s="2" t="str">
        <f>VLOOKUP(A2216,'[1]Brand Family Territory (Enc)'!$A$2:$B$296,2,FALSE)</f>
        <v>All Counties</v>
      </c>
      <c r="D2216" s="2">
        <f>IF(COUNTIFS('[1]Brand Family Territories (Enc)'!$B$2:$B$62,C2216,'[1]Brand Family Territories (Enc)'!$C$2:$C$62,B2216)&gt;0,1,IF(AND(LEFT(B2216,6)="MORRIS",COUNTIFS('[1]Brand Family Territories (Enc)'!$B$2:$B$62,C2216,'[1]Brand Family Territories (Enc)'!$C$2:$C$62,"Morri")&gt;0),"Unk",0))</f>
        <v>1</v>
      </c>
      <c r="E2216" s="2" t="str">
        <f>IFERROR(INDEX('Blackout Brand Fam Areas (Enc)'!$D$6:$D$998,MATCH(UPPER(A2216)&amp;"|"&amp;UPPER(B2216),'Blackout Brand Fam Areas (Enc)'!$G$6:$G$998,0)),"No Match")</f>
        <v>No Match</v>
      </c>
      <c r="F2216" s="2" t="str">
        <f t="shared" si="68"/>
        <v>US</v>
      </c>
      <c r="G2216" s="2" t="str">
        <f t="shared" si="69"/>
        <v>Right Coast|HUDSON</v>
      </c>
    </row>
    <row r="2217" spans="1:7" x14ac:dyDescent="0.2">
      <c r="A2217" s="2" t="str" cm="1">
        <f t="array" ref="A2217">INDEX('[1]Brand Family Territory (Enc)'!$A$2:$A$296,INT((ROW()-2)/10)+1)</f>
        <v>Right Coast</v>
      </c>
      <c r="B2217" s="2" t="str" cm="1">
        <f t="array" ref="B2217">INDEX('Whitelist (Blackout Reverse)'!$B$1:$K$1,MOD(ROW()-2,10)+1)</f>
        <v>UNION</v>
      </c>
      <c r="C2217" s="2" t="str">
        <f>VLOOKUP(A2217,'[1]Brand Family Territory (Enc)'!$A$2:$B$296,2,FALSE)</f>
        <v>All Counties</v>
      </c>
      <c r="D2217" s="2">
        <f>IF(COUNTIFS('[1]Brand Family Territories (Enc)'!$B$2:$B$62,C2217,'[1]Brand Family Territories (Enc)'!$C$2:$C$62,B2217)&gt;0,1,IF(AND(LEFT(B2217,6)="MORRIS",COUNTIFS('[1]Brand Family Territories (Enc)'!$B$2:$B$62,C2217,'[1]Brand Family Territories (Enc)'!$C$2:$C$62,"Morri")&gt;0),"Unk",0))</f>
        <v>1</v>
      </c>
      <c r="E2217" s="2" t="str">
        <f>IFERROR(INDEX('Blackout Brand Fam Areas (Enc)'!$D$6:$D$998,MATCH(UPPER(A2217)&amp;"|"&amp;UPPER(B2217),'Blackout Brand Fam Areas (Enc)'!$G$6:$G$998,0)),"No Match")</f>
        <v>No Match</v>
      </c>
      <c r="F2217" s="2" t="str">
        <f t="shared" si="68"/>
        <v>US</v>
      </c>
      <c r="G2217" s="2" t="str">
        <f t="shared" si="69"/>
        <v>Right Coast|UNION</v>
      </c>
    </row>
    <row r="2218" spans="1:7" x14ac:dyDescent="0.2">
      <c r="A2218" s="2" t="str" cm="1">
        <f t="array" ref="A2218">INDEX('[1]Brand Family Territory (Enc)'!$A$2:$A$296,INT((ROW()-2)/10)+1)</f>
        <v>Right Coast</v>
      </c>
      <c r="B2218" s="2" t="str" cm="1">
        <f t="array" ref="B2218">INDEX('Whitelist (Blackout Reverse)'!$B$1:$K$1,MOD(ROW()-2,10)+1)</f>
        <v>SUSSEX</v>
      </c>
      <c r="C2218" s="2" t="str">
        <f>VLOOKUP(A2218,'[1]Brand Family Territory (Enc)'!$A$2:$B$296,2,FALSE)</f>
        <v>All Counties</v>
      </c>
      <c r="D2218" s="2">
        <f>IF(COUNTIFS('[1]Brand Family Territories (Enc)'!$B$2:$B$62,C2218,'[1]Brand Family Territories (Enc)'!$C$2:$C$62,B2218)&gt;0,1,IF(AND(LEFT(B2218,6)="MORRIS",COUNTIFS('[1]Brand Family Territories (Enc)'!$B$2:$B$62,C2218,'[1]Brand Family Territories (Enc)'!$C$2:$C$62,"Morri")&gt;0),"Unk",0))</f>
        <v>1</v>
      </c>
      <c r="E2218" s="2" t="str">
        <f>IFERROR(INDEX('Blackout Brand Fam Areas (Enc)'!$D$6:$D$998,MATCH(UPPER(A2218)&amp;"|"&amp;UPPER(B2218),'Blackout Brand Fam Areas (Enc)'!$G$6:$G$998,0)),"No Match")</f>
        <v>No Match</v>
      </c>
      <c r="F2218" s="2" t="str">
        <f t="shared" si="68"/>
        <v>US</v>
      </c>
      <c r="G2218" s="2" t="str">
        <f t="shared" si="69"/>
        <v>Right Coast|SUSSEX</v>
      </c>
    </row>
    <row r="2219" spans="1:7" x14ac:dyDescent="0.2">
      <c r="A2219" s="2" t="str" cm="1">
        <f t="array" ref="A2219">INDEX('[1]Brand Family Territory (Enc)'!$A$2:$A$296,INT((ROW()-2)/10)+1)</f>
        <v>Right Coast</v>
      </c>
      <c r="B2219" s="2" t="str" cm="1">
        <f t="array" ref="B2219">INDEX('Whitelist (Blackout Reverse)'!$B$1:$K$1,MOD(ROW()-2,10)+1)</f>
        <v>MORRIS 1</v>
      </c>
      <c r="C2219" s="2" t="str">
        <f>VLOOKUP(A2219,'[1]Brand Family Territory (Enc)'!$A$2:$B$296,2,FALSE)</f>
        <v>All Counties</v>
      </c>
      <c r="D2219" s="2">
        <f>IF(COUNTIFS('[1]Brand Family Territories (Enc)'!$B$2:$B$62,C2219,'[1]Brand Family Territories (Enc)'!$C$2:$C$62,B2219)&gt;0,1,IF(AND(LEFT(B2219,6)="MORRIS",COUNTIFS('[1]Brand Family Territories (Enc)'!$B$2:$B$62,C2219,'[1]Brand Family Territories (Enc)'!$C$2:$C$62,"Morri")&gt;0),"Unk",0))</f>
        <v>1</v>
      </c>
      <c r="E2219" s="2" t="str">
        <f>IFERROR(INDEX('Blackout Brand Fam Areas (Enc)'!$D$6:$D$998,MATCH(UPPER(A2219)&amp;"|"&amp;UPPER(B2219),'Blackout Brand Fam Areas (Enc)'!$G$6:$G$998,0)),"No Match")</f>
        <v>No Match</v>
      </c>
      <c r="F2219" s="2" t="str">
        <f t="shared" si="68"/>
        <v>US</v>
      </c>
      <c r="G2219" s="2" t="str">
        <f t="shared" si="69"/>
        <v>Right Coast|MORRIS 1</v>
      </c>
    </row>
    <row r="2220" spans="1:7" x14ac:dyDescent="0.2">
      <c r="A2220" s="2" t="str" cm="1">
        <f t="array" ref="A2220">INDEX('[1]Brand Family Territory (Enc)'!$A$2:$A$296,INT((ROW()-2)/10)+1)</f>
        <v>Right Coast</v>
      </c>
      <c r="B2220" s="2" t="str" cm="1">
        <f t="array" ref="B2220">INDEX('Whitelist (Blackout Reverse)'!$B$1:$K$1,MOD(ROW()-2,10)+1)</f>
        <v>MORRIS 2</v>
      </c>
      <c r="C2220" s="2" t="str">
        <f>VLOOKUP(A2220,'[1]Brand Family Territory (Enc)'!$A$2:$B$296,2,FALSE)</f>
        <v>All Counties</v>
      </c>
      <c r="D2220" s="2">
        <f>IF(COUNTIFS('[1]Brand Family Territories (Enc)'!$B$2:$B$62,C2220,'[1]Brand Family Territories (Enc)'!$C$2:$C$62,B2220)&gt;0,1,IF(AND(LEFT(B2220,6)="MORRIS",COUNTIFS('[1]Brand Family Territories (Enc)'!$B$2:$B$62,C2220,'[1]Brand Family Territories (Enc)'!$C$2:$C$62,"Morri")&gt;0),"Unk",0))</f>
        <v>1</v>
      </c>
      <c r="E2220" s="2" t="str">
        <f>IFERROR(INDEX('Blackout Brand Fam Areas (Enc)'!$D$6:$D$998,MATCH(UPPER(A2220)&amp;"|"&amp;UPPER(B2220),'Blackout Brand Fam Areas (Enc)'!$G$6:$G$998,0)),"No Match")</f>
        <v>No Match</v>
      </c>
      <c r="F2220" s="2" t="str">
        <f t="shared" si="68"/>
        <v>US</v>
      </c>
      <c r="G2220" s="2" t="str">
        <f t="shared" si="69"/>
        <v>Right Coast|MORRIS 2</v>
      </c>
    </row>
    <row r="2221" spans="1:7" x14ac:dyDescent="0.2">
      <c r="A2221" s="2" t="str" cm="1">
        <f t="array" ref="A2221">INDEX('[1]Brand Family Territory (Enc)'!$A$2:$A$296,INT((ROW()-2)/10)+1)</f>
        <v>Right Coast</v>
      </c>
      <c r="B2221" s="2" t="str" cm="1">
        <f t="array" ref="B2221">INDEX('Whitelist (Blackout Reverse)'!$B$1:$K$1,MOD(ROW()-2,10)+1)</f>
        <v>MORRIS 3</v>
      </c>
      <c r="C2221" s="2" t="str">
        <f>VLOOKUP(A2221,'[1]Brand Family Territory (Enc)'!$A$2:$B$296,2,FALSE)</f>
        <v>All Counties</v>
      </c>
      <c r="D2221" s="2">
        <f>IF(COUNTIFS('[1]Brand Family Territories (Enc)'!$B$2:$B$62,C2221,'[1]Brand Family Territories (Enc)'!$C$2:$C$62,B2221)&gt;0,1,IF(AND(LEFT(B2221,6)="MORRIS",COUNTIFS('[1]Brand Family Territories (Enc)'!$B$2:$B$62,C2221,'[1]Brand Family Territories (Enc)'!$C$2:$C$62,"Morri")&gt;0),"Unk",0))</f>
        <v>1</v>
      </c>
      <c r="E2221" s="2" t="str">
        <f>IFERROR(INDEX('Blackout Brand Fam Areas (Enc)'!$D$6:$D$998,MATCH(UPPER(A2221)&amp;"|"&amp;UPPER(B2221),'Blackout Brand Fam Areas (Enc)'!$G$6:$G$998,0)),"No Match")</f>
        <v>No Match</v>
      </c>
      <c r="F2221" s="2" t="str">
        <f t="shared" si="68"/>
        <v>US</v>
      </c>
      <c r="G2221" s="2" t="str">
        <f t="shared" si="69"/>
        <v>Right Coast|MORRIS 3</v>
      </c>
    </row>
    <row r="2222" spans="1:7" x14ac:dyDescent="0.2">
      <c r="A2222" s="2" t="str" cm="1">
        <f t="array" ref="A2222">INDEX('[1]Brand Family Territory (Enc)'!$A$2:$A$296,INT((ROW()-2)/10)+1)</f>
        <v>River Horse Brewing Co</v>
      </c>
      <c r="B2222" s="2" t="str" cm="1">
        <f t="array" ref="B2222">INDEX('Whitelist (Blackout Reverse)'!$B$1:$K$1,MOD(ROW()-2,10)+1)</f>
        <v>BERGEN</v>
      </c>
      <c r="C2222" s="2" t="str">
        <f>VLOOKUP(A2222,'[1]Brand Family Territory (Enc)'!$A$2:$B$296,2,FALSE)</f>
        <v>All Counties</v>
      </c>
      <c r="D2222" s="2">
        <f>IF(COUNTIFS('[1]Brand Family Territories (Enc)'!$B$2:$B$62,C2222,'[1]Brand Family Territories (Enc)'!$C$2:$C$62,B2222)&gt;0,1,IF(AND(LEFT(B2222,6)="MORRIS",COUNTIFS('[1]Brand Family Territories (Enc)'!$B$2:$B$62,C2222,'[1]Brand Family Territories (Enc)'!$C$2:$C$62,"Morri")&gt;0),"Unk",0))</f>
        <v>1</v>
      </c>
      <c r="E2222" s="2" t="str">
        <f>IFERROR(INDEX('Blackout Brand Fam Areas (Enc)'!$D$6:$D$998,MATCH(UPPER(A2222)&amp;"|"&amp;UPPER(B2222),'Blackout Brand Fam Areas (Enc)'!$G$6:$G$998,0)),"No Match")</f>
        <v>No Match</v>
      </c>
      <c r="F2222" s="2" t="str">
        <f t="shared" si="68"/>
        <v>US</v>
      </c>
      <c r="G2222" s="2" t="str">
        <f t="shared" si="69"/>
        <v>River Horse Brewing Co|BERGEN</v>
      </c>
    </row>
    <row r="2223" spans="1:7" x14ac:dyDescent="0.2">
      <c r="A2223" s="2" t="str" cm="1">
        <f t="array" ref="A2223">INDEX('[1]Brand Family Territory (Enc)'!$A$2:$A$296,INT((ROW()-2)/10)+1)</f>
        <v>River Horse Brewing Co</v>
      </c>
      <c r="B2223" s="2" t="str" cm="1">
        <f t="array" ref="B2223">INDEX('Whitelist (Blackout Reverse)'!$B$1:$K$1,MOD(ROW()-2,10)+1)</f>
        <v>PASSAIC</v>
      </c>
      <c r="C2223" s="2" t="str">
        <f>VLOOKUP(A2223,'[1]Brand Family Territory (Enc)'!$A$2:$B$296,2,FALSE)</f>
        <v>All Counties</v>
      </c>
      <c r="D2223" s="2">
        <f>IF(COUNTIFS('[1]Brand Family Territories (Enc)'!$B$2:$B$62,C2223,'[1]Brand Family Territories (Enc)'!$C$2:$C$62,B2223)&gt;0,1,IF(AND(LEFT(B2223,6)="MORRIS",COUNTIFS('[1]Brand Family Territories (Enc)'!$B$2:$B$62,C2223,'[1]Brand Family Territories (Enc)'!$C$2:$C$62,"Morri")&gt;0),"Unk",0))</f>
        <v>1</v>
      </c>
      <c r="E2223" s="2" t="str">
        <f>IFERROR(INDEX('Blackout Brand Fam Areas (Enc)'!$D$6:$D$998,MATCH(UPPER(A2223)&amp;"|"&amp;UPPER(B2223),'Blackout Brand Fam Areas (Enc)'!$G$6:$G$998,0)),"No Match")</f>
        <v>No Match</v>
      </c>
      <c r="F2223" s="2" t="str">
        <f t="shared" si="68"/>
        <v>US</v>
      </c>
      <c r="G2223" s="2" t="str">
        <f t="shared" si="69"/>
        <v>River Horse Brewing Co|PASSAIC</v>
      </c>
    </row>
    <row r="2224" spans="1:7" x14ac:dyDescent="0.2">
      <c r="A2224" s="2" t="str" cm="1">
        <f t="array" ref="A2224">INDEX('[1]Brand Family Territory (Enc)'!$A$2:$A$296,INT((ROW()-2)/10)+1)</f>
        <v>River Horse Brewing Co</v>
      </c>
      <c r="B2224" s="2" t="str" cm="1">
        <f t="array" ref="B2224">INDEX('Whitelist (Blackout Reverse)'!$B$1:$K$1,MOD(ROW()-2,10)+1)</f>
        <v>PASSAIC-FF</v>
      </c>
      <c r="C2224" s="2" t="str">
        <f>VLOOKUP(A2224,'[1]Brand Family Territory (Enc)'!$A$2:$B$296,2,FALSE)</f>
        <v>All Counties</v>
      </c>
      <c r="D2224" s="2">
        <f>IF(COUNTIFS('[1]Brand Family Territories (Enc)'!$B$2:$B$62,C2224,'[1]Brand Family Territories (Enc)'!$C$2:$C$62,B2224)&gt;0,1,IF(AND(LEFT(B2224,6)="MORRIS",COUNTIFS('[1]Brand Family Territories (Enc)'!$B$2:$B$62,C2224,'[1]Brand Family Territories (Enc)'!$C$2:$C$62,"Morri")&gt;0),"Unk",0))</f>
        <v>1</v>
      </c>
      <c r="E2224" s="2" t="str">
        <f>IFERROR(INDEX('Blackout Brand Fam Areas (Enc)'!$D$6:$D$998,MATCH(UPPER(A2224)&amp;"|"&amp;UPPER(B2224),'Blackout Brand Fam Areas (Enc)'!$G$6:$G$998,0)),"No Match")</f>
        <v>No Match</v>
      </c>
      <c r="F2224" s="2" t="str">
        <f t="shared" si="68"/>
        <v>US</v>
      </c>
      <c r="G2224" s="2" t="str">
        <f t="shared" si="69"/>
        <v>River Horse Brewing Co|PASSAIC-FF</v>
      </c>
    </row>
    <row r="2225" spans="1:7" x14ac:dyDescent="0.2">
      <c r="A2225" s="2" t="str" cm="1">
        <f t="array" ref="A2225">INDEX('[1]Brand Family Territory (Enc)'!$A$2:$A$296,INT((ROW()-2)/10)+1)</f>
        <v>River Horse Brewing Co</v>
      </c>
      <c r="B2225" s="2" t="str" cm="1">
        <f t="array" ref="B2225">INDEX('Whitelist (Blackout Reverse)'!$B$1:$K$1,MOD(ROW()-2,10)+1)</f>
        <v>ESSEX</v>
      </c>
      <c r="C2225" s="2" t="str">
        <f>VLOOKUP(A2225,'[1]Brand Family Territory (Enc)'!$A$2:$B$296,2,FALSE)</f>
        <v>All Counties</v>
      </c>
      <c r="D2225" s="2">
        <f>IF(COUNTIFS('[1]Brand Family Territories (Enc)'!$B$2:$B$62,C2225,'[1]Brand Family Territories (Enc)'!$C$2:$C$62,B2225)&gt;0,1,IF(AND(LEFT(B2225,6)="MORRIS",COUNTIFS('[1]Brand Family Territories (Enc)'!$B$2:$B$62,C2225,'[1]Brand Family Territories (Enc)'!$C$2:$C$62,"Morri")&gt;0),"Unk",0))</f>
        <v>1</v>
      </c>
      <c r="E2225" s="2" t="str">
        <f>IFERROR(INDEX('Blackout Brand Fam Areas (Enc)'!$D$6:$D$998,MATCH(UPPER(A2225)&amp;"|"&amp;UPPER(B2225),'Blackout Brand Fam Areas (Enc)'!$G$6:$G$998,0)),"No Match")</f>
        <v>No Match</v>
      </c>
      <c r="F2225" s="2" t="str">
        <f t="shared" si="68"/>
        <v>US</v>
      </c>
      <c r="G2225" s="2" t="str">
        <f t="shared" si="69"/>
        <v>River Horse Brewing Co|ESSEX</v>
      </c>
    </row>
    <row r="2226" spans="1:7" x14ac:dyDescent="0.2">
      <c r="A2226" s="2" t="str" cm="1">
        <f t="array" ref="A2226">INDEX('[1]Brand Family Territory (Enc)'!$A$2:$A$296,INT((ROW()-2)/10)+1)</f>
        <v>River Horse Brewing Co</v>
      </c>
      <c r="B2226" s="2" t="str" cm="1">
        <f t="array" ref="B2226">INDEX('Whitelist (Blackout Reverse)'!$B$1:$K$1,MOD(ROW()-2,10)+1)</f>
        <v>HUDSON</v>
      </c>
      <c r="C2226" s="2" t="str">
        <f>VLOOKUP(A2226,'[1]Brand Family Territory (Enc)'!$A$2:$B$296,2,FALSE)</f>
        <v>All Counties</v>
      </c>
      <c r="D2226" s="2">
        <f>IF(COUNTIFS('[1]Brand Family Territories (Enc)'!$B$2:$B$62,C2226,'[1]Brand Family Territories (Enc)'!$C$2:$C$62,B2226)&gt;0,1,IF(AND(LEFT(B2226,6)="MORRIS",COUNTIFS('[1]Brand Family Territories (Enc)'!$B$2:$B$62,C2226,'[1]Brand Family Territories (Enc)'!$C$2:$C$62,"Morri")&gt;0),"Unk",0))</f>
        <v>1</v>
      </c>
      <c r="E2226" s="2" t="str">
        <f>IFERROR(INDEX('Blackout Brand Fam Areas (Enc)'!$D$6:$D$998,MATCH(UPPER(A2226)&amp;"|"&amp;UPPER(B2226),'Blackout Brand Fam Areas (Enc)'!$G$6:$G$998,0)),"No Match")</f>
        <v>No Match</v>
      </c>
      <c r="F2226" s="2" t="str">
        <f t="shared" si="68"/>
        <v>US</v>
      </c>
      <c r="G2226" s="2" t="str">
        <f t="shared" si="69"/>
        <v>River Horse Brewing Co|HUDSON</v>
      </c>
    </row>
    <row r="2227" spans="1:7" x14ac:dyDescent="0.2">
      <c r="A2227" s="2" t="str" cm="1">
        <f t="array" ref="A2227">INDEX('[1]Brand Family Territory (Enc)'!$A$2:$A$296,INT((ROW()-2)/10)+1)</f>
        <v>River Horse Brewing Co</v>
      </c>
      <c r="B2227" s="2" t="str" cm="1">
        <f t="array" ref="B2227">INDEX('Whitelist (Blackout Reverse)'!$B$1:$K$1,MOD(ROW()-2,10)+1)</f>
        <v>UNION</v>
      </c>
      <c r="C2227" s="2" t="str">
        <f>VLOOKUP(A2227,'[1]Brand Family Territory (Enc)'!$A$2:$B$296,2,FALSE)</f>
        <v>All Counties</v>
      </c>
      <c r="D2227" s="2">
        <f>IF(COUNTIFS('[1]Brand Family Territories (Enc)'!$B$2:$B$62,C2227,'[1]Brand Family Territories (Enc)'!$C$2:$C$62,B2227)&gt;0,1,IF(AND(LEFT(B2227,6)="MORRIS",COUNTIFS('[1]Brand Family Territories (Enc)'!$B$2:$B$62,C2227,'[1]Brand Family Territories (Enc)'!$C$2:$C$62,"Morri")&gt;0),"Unk",0))</f>
        <v>1</v>
      </c>
      <c r="E2227" s="2" t="str">
        <f>IFERROR(INDEX('Blackout Brand Fam Areas (Enc)'!$D$6:$D$998,MATCH(UPPER(A2227)&amp;"|"&amp;UPPER(B2227),'Blackout Brand Fam Areas (Enc)'!$G$6:$G$998,0)),"No Match")</f>
        <v>No Match</v>
      </c>
      <c r="F2227" s="2" t="str">
        <f t="shared" si="68"/>
        <v>US</v>
      </c>
      <c r="G2227" s="2" t="str">
        <f t="shared" si="69"/>
        <v>River Horse Brewing Co|UNION</v>
      </c>
    </row>
    <row r="2228" spans="1:7" x14ac:dyDescent="0.2">
      <c r="A2228" s="2" t="str" cm="1">
        <f t="array" ref="A2228">INDEX('[1]Brand Family Territory (Enc)'!$A$2:$A$296,INT((ROW()-2)/10)+1)</f>
        <v>River Horse Brewing Co</v>
      </c>
      <c r="B2228" s="2" t="str" cm="1">
        <f t="array" ref="B2228">INDEX('Whitelist (Blackout Reverse)'!$B$1:$K$1,MOD(ROW()-2,10)+1)</f>
        <v>SUSSEX</v>
      </c>
      <c r="C2228" s="2" t="str">
        <f>VLOOKUP(A2228,'[1]Brand Family Territory (Enc)'!$A$2:$B$296,2,FALSE)</f>
        <v>All Counties</v>
      </c>
      <c r="D2228" s="2">
        <f>IF(COUNTIFS('[1]Brand Family Territories (Enc)'!$B$2:$B$62,C2228,'[1]Brand Family Territories (Enc)'!$C$2:$C$62,B2228)&gt;0,1,IF(AND(LEFT(B2228,6)="MORRIS",COUNTIFS('[1]Brand Family Territories (Enc)'!$B$2:$B$62,C2228,'[1]Brand Family Territories (Enc)'!$C$2:$C$62,"Morri")&gt;0),"Unk",0))</f>
        <v>1</v>
      </c>
      <c r="E2228" s="2" t="str">
        <f>IFERROR(INDEX('Blackout Brand Fam Areas (Enc)'!$D$6:$D$998,MATCH(UPPER(A2228)&amp;"|"&amp;UPPER(B2228),'Blackout Brand Fam Areas (Enc)'!$G$6:$G$998,0)),"No Match")</f>
        <v>No Match</v>
      </c>
      <c r="F2228" s="2" t="str">
        <f t="shared" si="68"/>
        <v>US</v>
      </c>
      <c r="G2228" s="2" t="str">
        <f t="shared" si="69"/>
        <v>River Horse Brewing Co|SUSSEX</v>
      </c>
    </row>
    <row r="2229" spans="1:7" x14ac:dyDescent="0.2">
      <c r="A2229" s="2" t="str" cm="1">
        <f t="array" ref="A2229">INDEX('[1]Brand Family Territory (Enc)'!$A$2:$A$296,INT((ROW()-2)/10)+1)</f>
        <v>River Horse Brewing Co</v>
      </c>
      <c r="B2229" s="2" t="str" cm="1">
        <f t="array" ref="B2229">INDEX('Whitelist (Blackout Reverse)'!$B$1:$K$1,MOD(ROW()-2,10)+1)</f>
        <v>MORRIS 1</v>
      </c>
      <c r="C2229" s="2" t="str">
        <f>VLOOKUP(A2229,'[1]Brand Family Territory (Enc)'!$A$2:$B$296,2,FALSE)</f>
        <v>All Counties</v>
      </c>
      <c r="D2229" s="2">
        <f>IF(COUNTIFS('[1]Brand Family Territories (Enc)'!$B$2:$B$62,C2229,'[1]Brand Family Territories (Enc)'!$C$2:$C$62,B2229)&gt;0,1,IF(AND(LEFT(B2229,6)="MORRIS",COUNTIFS('[1]Brand Family Territories (Enc)'!$B$2:$B$62,C2229,'[1]Brand Family Territories (Enc)'!$C$2:$C$62,"Morri")&gt;0),"Unk",0))</f>
        <v>1</v>
      </c>
      <c r="E2229" s="2" t="str">
        <f>IFERROR(INDEX('Blackout Brand Fam Areas (Enc)'!$D$6:$D$998,MATCH(UPPER(A2229)&amp;"|"&amp;UPPER(B2229),'Blackout Brand Fam Areas (Enc)'!$G$6:$G$998,0)),"No Match")</f>
        <v>No Match</v>
      </c>
      <c r="F2229" s="2" t="str">
        <f t="shared" si="68"/>
        <v>US</v>
      </c>
      <c r="G2229" s="2" t="str">
        <f t="shared" si="69"/>
        <v>River Horse Brewing Co|MORRIS 1</v>
      </c>
    </row>
    <row r="2230" spans="1:7" x14ac:dyDescent="0.2">
      <c r="A2230" s="2" t="str" cm="1">
        <f t="array" ref="A2230">INDEX('[1]Brand Family Territory (Enc)'!$A$2:$A$296,INT((ROW()-2)/10)+1)</f>
        <v>River Horse Brewing Co</v>
      </c>
      <c r="B2230" s="2" t="str" cm="1">
        <f t="array" ref="B2230">INDEX('Whitelist (Blackout Reverse)'!$B$1:$K$1,MOD(ROW()-2,10)+1)</f>
        <v>MORRIS 2</v>
      </c>
      <c r="C2230" s="2" t="str">
        <f>VLOOKUP(A2230,'[1]Brand Family Territory (Enc)'!$A$2:$B$296,2,FALSE)</f>
        <v>All Counties</v>
      </c>
      <c r="D2230" s="2">
        <f>IF(COUNTIFS('[1]Brand Family Territories (Enc)'!$B$2:$B$62,C2230,'[1]Brand Family Territories (Enc)'!$C$2:$C$62,B2230)&gt;0,1,IF(AND(LEFT(B2230,6)="MORRIS",COUNTIFS('[1]Brand Family Territories (Enc)'!$B$2:$B$62,C2230,'[1]Brand Family Territories (Enc)'!$C$2:$C$62,"Morri")&gt;0),"Unk",0))</f>
        <v>1</v>
      </c>
      <c r="E2230" s="2" t="str">
        <f>IFERROR(INDEX('Blackout Brand Fam Areas (Enc)'!$D$6:$D$998,MATCH(UPPER(A2230)&amp;"|"&amp;UPPER(B2230),'Blackout Brand Fam Areas (Enc)'!$G$6:$G$998,0)),"No Match")</f>
        <v>No Match</v>
      </c>
      <c r="F2230" s="2" t="str">
        <f t="shared" si="68"/>
        <v>US</v>
      </c>
      <c r="G2230" s="2" t="str">
        <f t="shared" si="69"/>
        <v>River Horse Brewing Co|MORRIS 2</v>
      </c>
    </row>
    <row r="2231" spans="1:7" x14ac:dyDescent="0.2">
      <c r="A2231" s="2" t="str" cm="1">
        <f t="array" ref="A2231">INDEX('[1]Brand Family Territory (Enc)'!$A$2:$A$296,INT((ROW()-2)/10)+1)</f>
        <v>River Horse Brewing Co</v>
      </c>
      <c r="B2231" s="2" t="str" cm="1">
        <f t="array" ref="B2231">INDEX('Whitelist (Blackout Reverse)'!$B$1:$K$1,MOD(ROW()-2,10)+1)</f>
        <v>MORRIS 3</v>
      </c>
      <c r="C2231" s="2" t="str">
        <f>VLOOKUP(A2231,'[1]Brand Family Territory (Enc)'!$A$2:$B$296,2,FALSE)</f>
        <v>All Counties</v>
      </c>
      <c r="D2231" s="2">
        <f>IF(COUNTIFS('[1]Brand Family Territories (Enc)'!$B$2:$B$62,C2231,'[1]Brand Family Territories (Enc)'!$C$2:$C$62,B2231)&gt;0,1,IF(AND(LEFT(B2231,6)="MORRIS",COUNTIFS('[1]Brand Family Territories (Enc)'!$B$2:$B$62,C2231,'[1]Brand Family Territories (Enc)'!$C$2:$C$62,"Morri")&gt;0),"Unk",0))</f>
        <v>1</v>
      </c>
      <c r="E2231" s="2" t="str">
        <f>IFERROR(INDEX('Blackout Brand Fam Areas (Enc)'!$D$6:$D$998,MATCH(UPPER(A2231)&amp;"|"&amp;UPPER(B2231),'Blackout Brand Fam Areas (Enc)'!$G$6:$G$998,0)),"No Match")</f>
        <v>No Match</v>
      </c>
      <c r="F2231" s="2" t="str">
        <f t="shared" si="68"/>
        <v>US</v>
      </c>
      <c r="G2231" s="2" t="str">
        <f t="shared" si="69"/>
        <v>River Horse Brewing Co|MORRIS 3</v>
      </c>
    </row>
    <row r="2232" spans="1:7" x14ac:dyDescent="0.2">
      <c r="A2232" s="2" t="str" cm="1">
        <f t="array" ref="A2232">INDEX('[1]Brand Family Territory (Enc)'!$A$2:$A$296,INT((ROW()-2)/10)+1)</f>
        <v>Rusted Revolver</v>
      </c>
      <c r="B2232" s="2" t="str" cm="1">
        <f t="array" ref="B2232">INDEX('Whitelist (Blackout Reverse)'!$B$1:$K$1,MOD(ROW()-2,10)+1)</f>
        <v>BERGEN</v>
      </c>
      <c r="C2232" s="2" t="str">
        <f>VLOOKUP(A2232,'[1]Brand Family Territory (Enc)'!$A$2:$B$296,2,FALSE)</f>
        <v>All Counties</v>
      </c>
      <c r="D2232" s="2">
        <f>IF(COUNTIFS('[1]Brand Family Territories (Enc)'!$B$2:$B$62,C2232,'[1]Brand Family Territories (Enc)'!$C$2:$C$62,B2232)&gt;0,1,IF(AND(LEFT(B2232,6)="MORRIS",COUNTIFS('[1]Brand Family Territories (Enc)'!$B$2:$B$62,C2232,'[1]Brand Family Territories (Enc)'!$C$2:$C$62,"Morri")&gt;0),"Unk",0))</f>
        <v>1</v>
      </c>
      <c r="E2232" s="2" t="str">
        <f>IFERROR(INDEX('Blackout Brand Fam Areas (Enc)'!$D$6:$D$998,MATCH(UPPER(A2232)&amp;"|"&amp;UPPER(B2232),'Blackout Brand Fam Areas (Enc)'!$G$6:$G$998,0)),"No Match")</f>
        <v>No Match</v>
      </c>
      <c r="F2232" s="2" t="str">
        <f t="shared" si="68"/>
        <v>US</v>
      </c>
      <c r="G2232" s="2" t="str">
        <f t="shared" si="69"/>
        <v>Rusted Revolver|BERGEN</v>
      </c>
    </row>
    <row r="2233" spans="1:7" x14ac:dyDescent="0.2">
      <c r="A2233" s="2" t="str" cm="1">
        <f t="array" ref="A2233">INDEX('[1]Brand Family Territory (Enc)'!$A$2:$A$296,INT((ROW()-2)/10)+1)</f>
        <v>Rusted Revolver</v>
      </c>
      <c r="B2233" s="2" t="str" cm="1">
        <f t="array" ref="B2233">INDEX('Whitelist (Blackout Reverse)'!$B$1:$K$1,MOD(ROW()-2,10)+1)</f>
        <v>PASSAIC</v>
      </c>
      <c r="C2233" s="2" t="str">
        <f>VLOOKUP(A2233,'[1]Brand Family Territory (Enc)'!$A$2:$B$296,2,FALSE)</f>
        <v>All Counties</v>
      </c>
      <c r="D2233" s="2">
        <f>IF(COUNTIFS('[1]Brand Family Territories (Enc)'!$B$2:$B$62,C2233,'[1]Brand Family Territories (Enc)'!$C$2:$C$62,B2233)&gt;0,1,IF(AND(LEFT(B2233,6)="MORRIS",COUNTIFS('[1]Brand Family Territories (Enc)'!$B$2:$B$62,C2233,'[1]Brand Family Territories (Enc)'!$C$2:$C$62,"Morri")&gt;0),"Unk",0))</f>
        <v>1</v>
      </c>
      <c r="E2233" s="2" t="str">
        <f>IFERROR(INDEX('Blackout Brand Fam Areas (Enc)'!$D$6:$D$998,MATCH(UPPER(A2233)&amp;"|"&amp;UPPER(B2233),'Blackout Brand Fam Areas (Enc)'!$G$6:$G$998,0)),"No Match")</f>
        <v>No Match</v>
      </c>
      <c r="F2233" s="2" t="str">
        <f t="shared" si="68"/>
        <v>US</v>
      </c>
      <c r="G2233" s="2" t="str">
        <f t="shared" si="69"/>
        <v>Rusted Revolver|PASSAIC</v>
      </c>
    </row>
    <row r="2234" spans="1:7" x14ac:dyDescent="0.2">
      <c r="A2234" s="2" t="str" cm="1">
        <f t="array" ref="A2234">INDEX('[1]Brand Family Territory (Enc)'!$A$2:$A$296,INT((ROW()-2)/10)+1)</f>
        <v>Rusted Revolver</v>
      </c>
      <c r="B2234" s="2" t="str" cm="1">
        <f t="array" ref="B2234">INDEX('Whitelist (Blackout Reverse)'!$B$1:$K$1,MOD(ROW()-2,10)+1)</f>
        <v>PASSAIC-FF</v>
      </c>
      <c r="C2234" s="2" t="str">
        <f>VLOOKUP(A2234,'[1]Brand Family Territory (Enc)'!$A$2:$B$296,2,FALSE)</f>
        <v>All Counties</v>
      </c>
      <c r="D2234" s="2">
        <f>IF(COUNTIFS('[1]Brand Family Territories (Enc)'!$B$2:$B$62,C2234,'[1]Brand Family Territories (Enc)'!$C$2:$C$62,B2234)&gt;0,1,IF(AND(LEFT(B2234,6)="MORRIS",COUNTIFS('[1]Brand Family Territories (Enc)'!$B$2:$B$62,C2234,'[1]Brand Family Territories (Enc)'!$C$2:$C$62,"Morri")&gt;0),"Unk",0))</f>
        <v>1</v>
      </c>
      <c r="E2234" s="2" t="str">
        <f>IFERROR(INDEX('Blackout Brand Fam Areas (Enc)'!$D$6:$D$998,MATCH(UPPER(A2234)&amp;"|"&amp;UPPER(B2234),'Blackout Brand Fam Areas (Enc)'!$G$6:$G$998,0)),"No Match")</f>
        <v>No Match</v>
      </c>
      <c r="F2234" s="2" t="str">
        <f t="shared" si="68"/>
        <v>US</v>
      </c>
      <c r="G2234" s="2" t="str">
        <f t="shared" si="69"/>
        <v>Rusted Revolver|PASSAIC-FF</v>
      </c>
    </row>
    <row r="2235" spans="1:7" x14ac:dyDescent="0.2">
      <c r="A2235" s="2" t="str" cm="1">
        <f t="array" ref="A2235">INDEX('[1]Brand Family Territory (Enc)'!$A$2:$A$296,INT((ROW()-2)/10)+1)</f>
        <v>Rusted Revolver</v>
      </c>
      <c r="B2235" s="2" t="str" cm="1">
        <f t="array" ref="B2235">INDEX('Whitelist (Blackout Reverse)'!$B$1:$K$1,MOD(ROW()-2,10)+1)</f>
        <v>ESSEX</v>
      </c>
      <c r="C2235" s="2" t="str">
        <f>VLOOKUP(A2235,'[1]Brand Family Territory (Enc)'!$A$2:$B$296,2,FALSE)</f>
        <v>All Counties</v>
      </c>
      <c r="D2235" s="2">
        <f>IF(COUNTIFS('[1]Brand Family Territories (Enc)'!$B$2:$B$62,C2235,'[1]Brand Family Territories (Enc)'!$C$2:$C$62,B2235)&gt;0,1,IF(AND(LEFT(B2235,6)="MORRIS",COUNTIFS('[1]Brand Family Territories (Enc)'!$B$2:$B$62,C2235,'[1]Brand Family Territories (Enc)'!$C$2:$C$62,"Morri")&gt;0),"Unk",0))</f>
        <v>1</v>
      </c>
      <c r="E2235" s="2" t="str">
        <f>IFERROR(INDEX('Blackout Brand Fam Areas (Enc)'!$D$6:$D$998,MATCH(UPPER(A2235)&amp;"|"&amp;UPPER(B2235),'Blackout Brand Fam Areas (Enc)'!$G$6:$G$998,0)),"No Match")</f>
        <v>No Match</v>
      </c>
      <c r="F2235" s="2" t="str">
        <f t="shared" si="68"/>
        <v>US</v>
      </c>
      <c r="G2235" s="2" t="str">
        <f t="shared" si="69"/>
        <v>Rusted Revolver|ESSEX</v>
      </c>
    </row>
    <row r="2236" spans="1:7" x14ac:dyDescent="0.2">
      <c r="A2236" s="2" t="str" cm="1">
        <f t="array" ref="A2236">INDEX('[1]Brand Family Territory (Enc)'!$A$2:$A$296,INT((ROW()-2)/10)+1)</f>
        <v>Rusted Revolver</v>
      </c>
      <c r="B2236" s="2" t="str" cm="1">
        <f t="array" ref="B2236">INDEX('Whitelist (Blackout Reverse)'!$B$1:$K$1,MOD(ROW()-2,10)+1)</f>
        <v>HUDSON</v>
      </c>
      <c r="C2236" s="2" t="str">
        <f>VLOOKUP(A2236,'[1]Brand Family Territory (Enc)'!$A$2:$B$296,2,FALSE)</f>
        <v>All Counties</v>
      </c>
      <c r="D2236" s="2">
        <f>IF(COUNTIFS('[1]Brand Family Territories (Enc)'!$B$2:$B$62,C2236,'[1]Brand Family Territories (Enc)'!$C$2:$C$62,B2236)&gt;0,1,IF(AND(LEFT(B2236,6)="MORRIS",COUNTIFS('[1]Brand Family Territories (Enc)'!$B$2:$B$62,C2236,'[1]Brand Family Territories (Enc)'!$C$2:$C$62,"Morri")&gt;0),"Unk",0))</f>
        <v>1</v>
      </c>
      <c r="E2236" s="2" t="str">
        <f>IFERROR(INDEX('Blackout Brand Fam Areas (Enc)'!$D$6:$D$998,MATCH(UPPER(A2236)&amp;"|"&amp;UPPER(B2236),'Blackout Brand Fam Areas (Enc)'!$G$6:$G$998,0)),"No Match")</f>
        <v>No Match</v>
      </c>
      <c r="F2236" s="2" t="str">
        <f t="shared" si="68"/>
        <v>US</v>
      </c>
      <c r="G2236" s="2" t="str">
        <f t="shared" si="69"/>
        <v>Rusted Revolver|HUDSON</v>
      </c>
    </row>
    <row r="2237" spans="1:7" x14ac:dyDescent="0.2">
      <c r="A2237" s="2" t="str" cm="1">
        <f t="array" ref="A2237">INDEX('[1]Brand Family Territory (Enc)'!$A$2:$A$296,INT((ROW()-2)/10)+1)</f>
        <v>Rusted Revolver</v>
      </c>
      <c r="B2237" s="2" t="str" cm="1">
        <f t="array" ref="B2237">INDEX('Whitelist (Blackout Reverse)'!$B$1:$K$1,MOD(ROW()-2,10)+1)</f>
        <v>UNION</v>
      </c>
      <c r="C2237" s="2" t="str">
        <f>VLOOKUP(A2237,'[1]Brand Family Territory (Enc)'!$A$2:$B$296,2,FALSE)</f>
        <v>All Counties</v>
      </c>
      <c r="D2237" s="2">
        <f>IF(COUNTIFS('[1]Brand Family Territories (Enc)'!$B$2:$B$62,C2237,'[1]Brand Family Territories (Enc)'!$C$2:$C$62,B2237)&gt;0,1,IF(AND(LEFT(B2237,6)="MORRIS",COUNTIFS('[1]Brand Family Territories (Enc)'!$B$2:$B$62,C2237,'[1]Brand Family Territories (Enc)'!$C$2:$C$62,"Morri")&gt;0),"Unk",0))</f>
        <v>1</v>
      </c>
      <c r="E2237" s="2" t="str">
        <f>IFERROR(INDEX('Blackout Brand Fam Areas (Enc)'!$D$6:$D$998,MATCH(UPPER(A2237)&amp;"|"&amp;UPPER(B2237),'Blackout Brand Fam Areas (Enc)'!$G$6:$G$998,0)),"No Match")</f>
        <v>No Match</v>
      </c>
      <c r="F2237" s="2" t="str">
        <f t="shared" si="68"/>
        <v>US</v>
      </c>
      <c r="G2237" s="2" t="str">
        <f t="shared" si="69"/>
        <v>Rusted Revolver|UNION</v>
      </c>
    </row>
    <row r="2238" spans="1:7" x14ac:dyDescent="0.2">
      <c r="A2238" s="2" t="str" cm="1">
        <f t="array" ref="A2238">INDEX('[1]Brand Family Territory (Enc)'!$A$2:$A$296,INT((ROW()-2)/10)+1)</f>
        <v>Rusted Revolver</v>
      </c>
      <c r="B2238" s="2" t="str" cm="1">
        <f t="array" ref="B2238">INDEX('Whitelist (Blackout Reverse)'!$B$1:$K$1,MOD(ROW()-2,10)+1)</f>
        <v>SUSSEX</v>
      </c>
      <c r="C2238" s="2" t="str">
        <f>VLOOKUP(A2238,'[1]Brand Family Territory (Enc)'!$A$2:$B$296,2,FALSE)</f>
        <v>All Counties</v>
      </c>
      <c r="D2238" s="2">
        <f>IF(COUNTIFS('[1]Brand Family Territories (Enc)'!$B$2:$B$62,C2238,'[1]Brand Family Territories (Enc)'!$C$2:$C$62,B2238)&gt;0,1,IF(AND(LEFT(B2238,6)="MORRIS",COUNTIFS('[1]Brand Family Territories (Enc)'!$B$2:$B$62,C2238,'[1]Brand Family Territories (Enc)'!$C$2:$C$62,"Morri")&gt;0),"Unk",0))</f>
        <v>1</v>
      </c>
      <c r="E2238" s="2" t="str">
        <f>IFERROR(INDEX('Blackout Brand Fam Areas (Enc)'!$D$6:$D$998,MATCH(UPPER(A2238)&amp;"|"&amp;UPPER(B2238),'Blackout Brand Fam Areas (Enc)'!$G$6:$G$998,0)),"No Match")</f>
        <v>No Match</v>
      </c>
      <c r="F2238" s="2" t="str">
        <f t="shared" si="68"/>
        <v>US</v>
      </c>
      <c r="G2238" s="2" t="str">
        <f t="shared" si="69"/>
        <v>Rusted Revolver|SUSSEX</v>
      </c>
    </row>
    <row r="2239" spans="1:7" x14ac:dyDescent="0.2">
      <c r="A2239" s="2" t="str" cm="1">
        <f t="array" ref="A2239">INDEX('[1]Brand Family Territory (Enc)'!$A$2:$A$296,INT((ROW()-2)/10)+1)</f>
        <v>Rusted Revolver</v>
      </c>
      <c r="B2239" s="2" t="str" cm="1">
        <f t="array" ref="B2239">INDEX('Whitelist (Blackout Reverse)'!$B$1:$K$1,MOD(ROW()-2,10)+1)</f>
        <v>MORRIS 1</v>
      </c>
      <c r="C2239" s="2" t="str">
        <f>VLOOKUP(A2239,'[1]Brand Family Territory (Enc)'!$A$2:$B$296,2,FALSE)</f>
        <v>All Counties</v>
      </c>
      <c r="D2239" s="2">
        <f>IF(COUNTIFS('[1]Brand Family Territories (Enc)'!$B$2:$B$62,C2239,'[1]Brand Family Territories (Enc)'!$C$2:$C$62,B2239)&gt;0,1,IF(AND(LEFT(B2239,6)="MORRIS",COUNTIFS('[1]Brand Family Territories (Enc)'!$B$2:$B$62,C2239,'[1]Brand Family Territories (Enc)'!$C$2:$C$62,"Morri")&gt;0),"Unk",0))</f>
        <v>1</v>
      </c>
      <c r="E2239" s="2" t="str">
        <f>IFERROR(INDEX('Blackout Brand Fam Areas (Enc)'!$D$6:$D$998,MATCH(UPPER(A2239)&amp;"|"&amp;UPPER(B2239),'Blackout Brand Fam Areas (Enc)'!$G$6:$G$998,0)),"No Match")</f>
        <v>No Match</v>
      </c>
      <c r="F2239" s="2" t="str">
        <f t="shared" si="68"/>
        <v>US</v>
      </c>
      <c r="G2239" s="2" t="str">
        <f t="shared" si="69"/>
        <v>Rusted Revolver|MORRIS 1</v>
      </c>
    </row>
    <row r="2240" spans="1:7" x14ac:dyDescent="0.2">
      <c r="A2240" s="2" t="str" cm="1">
        <f t="array" ref="A2240">INDEX('[1]Brand Family Territory (Enc)'!$A$2:$A$296,INT((ROW()-2)/10)+1)</f>
        <v>Rusted Revolver</v>
      </c>
      <c r="B2240" s="2" t="str" cm="1">
        <f t="array" ref="B2240">INDEX('Whitelist (Blackout Reverse)'!$B$1:$K$1,MOD(ROW()-2,10)+1)</f>
        <v>MORRIS 2</v>
      </c>
      <c r="C2240" s="2" t="str">
        <f>VLOOKUP(A2240,'[1]Brand Family Territory (Enc)'!$A$2:$B$296,2,FALSE)</f>
        <v>All Counties</v>
      </c>
      <c r="D2240" s="2">
        <f>IF(COUNTIFS('[1]Brand Family Territories (Enc)'!$B$2:$B$62,C2240,'[1]Brand Family Territories (Enc)'!$C$2:$C$62,B2240)&gt;0,1,IF(AND(LEFT(B2240,6)="MORRIS",COUNTIFS('[1]Brand Family Territories (Enc)'!$B$2:$B$62,C2240,'[1]Brand Family Territories (Enc)'!$C$2:$C$62,"Morri")&gt;0),"Unk",0))</f>
        <v>1</v>
      </c>
      <c r="E2240" s="2" t="str">
        <f>IFERROR(INDEX('Blackout Brand Fam Areas (Enc)'!$D$6:$D$998,MATCH(UPPER(A2240)&amp;"|"&amp;UPPER(B2240),'Blackout Brand Fam Areas (Enc)'!$G$6:$G$998,0)),"No Match")</f>
        <v>No Match</v>
      </c>
      <c r="F2240" s="2" t="str">
        <f t="shared" si="68"/>
        <v>US</v>
      </c>
      <c r="G2240" s="2" t="str">
        <f t="shared" si="69"/>
        <v>Rusted Revolver|MORRIS 2</v>
      </c>
    </row>
    <row r="2241" spans="1:7" x14ac:dyDescent="0.2">
      <c r="A2241" s="2" t="str" cm="1">
        <f t="array" ref="A2241">INDEX('[1]Brand Family Territory (Enc)'!$A$2:$A$296,INT((ROW()-2)/10)+1)</f>
        <v>Rusted Revolver</v>
      </c>
      <c r="B2241" s="2" t="str" cm="1">
        <f t="array" ref="B2241">INDEX('Whitelist (Blackout Reverse)'!$B$1:$K$1,MOD(ROW()-2,10)+1)</f>
        <v>MORRIS 3</v>
      </c>
      <c r="C2241" s="2" t="str">
        <f>VLOOKUP(A2241,'[1]Brand Family Territory (Enc)'!$A$2:$B$296,2,FALSE)</f>
        <v>All Counties</v>
      </c>
      <c r="D2241" s="2">
        <f>IF(COUNTIFS('[1]Brand Family Territories (Enc)'!$B$2:$B$62,C2241,'[1]Brand Family Territories (Enc)'!$C$2:$C$62,B2241)&gt;0,1,IF(AND(LEFT(B2241,6)="MORRIS",COUNTIFS('[1]Brand Family Territories (Enc)'!$B$2:$B$62,C2241,'[1]Brand Family Territories (Enc)'!$C$2:$C$62,"Morri")&gt;0),"Unk",0))</f>
        <v>1</v>
      </c>
      <c r="E2241" s="2" t="str">
        <f>IFERROR(INDEX('Blackout Brand Fam Areas (Enc)'!$D$6:$D$998,MATCH(UPPER(A2241)&amp;"|"&amp;UPPER(B2241),'Blackout Brand Fam Areas (Enc)'!$G$6:$G$998,0)),"No Match")</f>
        <v>No Match</v>
      </c>
      <c r="F2241" s="2" t="str">
        <f t="shared" si="68"/>
        <v>US</v>
      </c>
      <c r="G2241" s="2" t="str">
        <f t="shared" si="69"/>
        <v>Rusted Revolver|MORRIS 3</v>
      </c>
    </row>
    <row r="2242" spans="1:7" x14ac:dyDescent="0.2">
      <c r="A2242" s="2" t="str" cm="1">
        <f t="array" ref="A2242">INDEX('[1]Brand Family Territory (Enc)'!$A$2:$A$296,INT((ROW()-2)/10)+1)</f>
        <v>Sapporo</v>
      </c>
      <c r="B2242" s="2" t="str" cm="1">
        <f t="array" ref="B2242">INDEX('Whitelist (Blackout Reverse)'!$B$1:$K$1,MOD(ROW()-2,10)+1)</f>
        <v>BERGEN</v>
      </c>
      <c r="C2242" s="2" t="str">
        <f>VLOOKUP(A2242,'[1]Brand Family Territory (Enc)'!$A$2:$B$296,2,FALSE)</f>
        <v>All Counties</v>
      </c>
      <c r="D2242" s="2">
        <f>IF(COUNTIFS('[1]Brand Family Territories (Enc)'!$B$2:$B$62,C2242,'[1]Brand Family Territories (Enc)'!$C$2:$C$62,B2242)&gt;0,1,IF(AND(LEFT(B2242,6)="MORRIS",COUNTIFS('[1]Brand Family Territories (Enc)'!$B$2:$B$62,C2242,'[1]Brand Family Territories (Enc)'!$C$2:$C$62,"Morri")&gt;0),"Unk",0))</f>
        <v>1</v>
      </c>
      <c r="E2242" s="2" t="str">
        <f>IFERROR(INDEX('Blackout Brand Fam Areas (Enc)'!$D$6:$D$998,MATCH(UPPER(A2242)&amp;"|"&amp;UPPER(B2242),'Blackout Brand Fam Areas (Enc)'!$G$6:$G$998,0)),"No Match")</f>
        <v>No Match</v>
      </c>
      <c r="F2242" s="2" t="str">
        <f t="shared" si="68"/>
        <v>US</v>
      </c>
      <c r="G2242" s="2" t="str">
        <f t="shared" si="69"/>
        <v>Sapporo|BERGEN</v>
      </c>
    </row>
    <row r="2243" spans="1:7" x14ac:dyDescent="0.2">
      <c r="A2243" s="2" t="str" cm="1">
        <f t="array" ref="A2243">INDEX('[1]Brand Family Territory (Enc)'!$A$2:$A$296,INT((ROW()-2)/10)+1)</f>
        <v>Sapporo</v>
      </c>
      <c r="B2243" s="2" t="str" cm="1">
        <f t="array" ref="B2243">INDEX('Whitelist (Blackout Reverse)'!$B$1:$K$1,MOD(ROW()-2,10)+1)</f>
        <v>PASSAIC</v>
      </c>
      <c r="C2243" s="2" t="str">
        <f>VLOOKUP(A2243,'[1]Brand Family Territory (Enc)'!$A$2:$B$296,2,FALSE)</f>
        <v>All Counties</v>
      </c>
      <c r="D2243" s="2">
        <f>IF(COUNTIFS('[1]Brand Family Territories (Enc)'!$B$2:$B$62,C2243,'[1]Brand Family Territories (Enc)'!$C$2:$C$62,B2243)&gt;0,1,IF(AND(LEFT(B2243,6)="MORRIS",COUNTIFS('[1]Brand Family Territories (Enc)'!$B$2:$B$62,C2243,'[1]Brand Family Territories (Enc)'!$C$2:$C$62,"Morri")&gt;0),"Unk",0))</f>
        <v>1</v>
      </c>
      <c r="E2243" s="2" t="str">
        <f>IFERROR(INDEX('Blackout Brand Fam Areas (Enc)'!$D$6:$D$998,MATCH(UPPER(A2243)&amp;"|"&amp;UPPER(B2243),'Blackout Brand Fam Areas (Enc)'!$G$6:$G$998,0)),"No Match")</f>
        <v>No Match</v>
      </c>
      <c r="F2243" s="2" t="str">
        <f t="shared" ref="F2243:F2306" si="70">IF(D2243="Unk","Ambiguous (Source Truncated)",IF(E2243="Inactive","THEM",IF(D2243=1,"US",IF(D2243="N/A","No Territory Data","THEM"))))</f>
        <v>US</v>
      </c>
      <c r="G2243" s="2" t="str">
        <f t="shared" ref="G2243:G2306" si="71">A2243&amp;"|"&amp;B2243</f>
        <v>Sapporo|PASSAIC</v>
      </c>
    </row>
    <row r="2244" spans="1:7" x14ac:dyDescent="0.2">
      <c r="A2244" s="2" t="str" cm="1">
        <f t="array" ref="A2244">INDEX('[1]Brand Family Territory (Enc)'!$A$2:$A$296,INT((ROW()-2)/10)+1)</f>
        <v>Sapporo</v>
      </c>
      <c r="B2244" s="2" t="str" cm="1">
        <f t="array" ref="B2244">INDEX('Whitelist (Blackout Reverse)'!$B$1:$K$1,MOD(ROW()-2,10)+1)</f>
        <v>PASSAIC-FF</v>
      </c>
      <c r="C2244" s="2" t="str">
        <f>VLOOKUP(A2244,'[1]Brand Family Territory (Enc)'!$A$2:$B$296,2,FALSE)</f>
        <v>All Counties</v>
      </c>
      <c r="D2244" s="2">
        <f>IF(COUNTIFS('[1]Brand Family Territories (Enc)'!$B$2:$B$62,C2244,'[1]Brand Family Territories (Enc)'!$C$2:$C$62,B2244)&gt;0,1,IF(AND(LEFT(B2244,6)="MORRIS",COUNTIFS('[1]Brand Family Territories (Enc)'!$B$2:$B$62,C2244,'[1]Brand Family Territories (Enc)'!$C$2:$C$62,"Morri")&gt;0),"Unk",0))</f>
        <v>1</v>
      </c>
      <c r="E2244" s="2" t="str">
        <f>IFERROR(INDEX('Blackout Brand Fam Areas (Enc)'!$D$6:$D$998,MATCH(UPPER(A2244)&amp;"|"&amp;UPPER(B2244),'Blackout Brand Fam Areas (Enc)'!$G$6:$G$998,0)),"No Match")</f>
        <v>No Match</v>
      </c>
      <c r="F2244" s="2" t="str">
        <f t="shared" si="70"/>
        <v>US</v>
      </c>
      <c r="G2244" s="2" t="str">
        <f t="shared" si="71"/>
        <v>Sapporo|PASSAIC-FF</v>
      </c>
    </row>
    <row r="2245" spans="1:7" x14ac:dyDescent="0.2">
      <c r="A2245" s="2" t="str" cm="1">
        <f t="array" ref="A2245">INDEX('[1]Brand Family Territory (Enc)'!$A$2:$A$296,INT((ROW()-2)/10)+1)</f>
        <v>Sapporo</v>
      </c>
      <c r="B2245" s="2" t="str" cm="1">
        <f t="array" ref="B2245">INDEX('Whitelist (Blackout Reverse)'!$B$1:$K$1,MOD(ROW()-2,10)+1)</f>
        <v>ESSEX</v>
      </c>
      <c r="C2245" s="2" t="str">
        <f>VLOOKUP(A2245,'[1]Brand Family Territory (Enc)'!$A$2:$B$296,2,FALSE)</f>
        <v>All Counties</v>
      </c>
      <c r="D2245" s="2">
        <f>IF(COUNTIFS('[1]Brand Family Territories (Enc)'!$B$2:$B$62,C2245,'[1]Brand Family Territories (Enc)'!$C$2:$C$62,B2245)&gt;0,1,IF(AND(LEFT(B2245,6)="MORRIS",COUNTIFS('[1]Brand Family Territories (Enc)'!$B$2:$B$62,C2245,'[1]Brand Family Territories (Enc)'!$C$2:$C$62,"Morri")&gt;0),"Unk",0))</f>
        <v>1</v>
      </c>
      <c r="E2245" s="2" t="str">
        <f>IFERROR(INDEX('Blackout Brand Fam Areas (Enc)'!$D$6:$D$998,MATCH(UPPER(A2245)&amp;"|"&amp;UPPER(B2245),'Blackout Brand Fam Areas (Enc)'!$G$6:$G$998,0)),"No Match")</f>
        <v>No Match</v>
      </c>
      <c r="F2245" s="2" t="str">
        <f t="shared" si="70"/>
        <v>US</v>
      </c>
      <c r="G2245" s="2" t="str">
        <f t="shared" si="71"/>
        <v>Sapporo|ESSEX</v>
      </c>
    </row>
    <row r="2246" spans="1:7" x14ac:dyDescent="0.2">
      <c r="A2246" s="2" t="str" cm="1">
        <f t="array" ref="A2246">INDEX('[1]Brand Family Territory (Enc)'!$A$2:$A$296,INT((ROW()-2)/10)+1)</f>
        <v>Sapporo</v>
      </c>
      <c r="B2246" s="2" t="str" cm="1">
        <f t="array" ref="B2246">INDEX('Whitelist (Blackout Reverse)'!$B$1:$K$1,MOD(ROW()-2,10)+1)</f>
        <v>HUDSON</v>
      </c>
      <c r="C2246" s="2" t="str">
        <f>VLOOKUP(A2246,'[1]Brand Family Territory (Enc)'!$A$2:$B$296,2,FALSE)</f>
        <v>All Counties</v>
      </c>
      <c r="D2246" s="2">
        <f>IF(COUNTIFS('[1]Brand Family Territories (Enc)'!$B$2:$B$62,C2246,'[1]Brand Family Territories (Enc)'!$C$2:$C$62,B2246)&gt;0,1,IF(AND(LEFT(B2246,6)="MORRIS",COUNTIFS('[1]Brand Family Territories (Enc)'!$B$2:$B$62,C2246,'[1]Brand Family Territories (Enc)'!$C$2:$C$62,"Morri")&gt;0),"Unk",0))</f>
        <v>1</v>
      </c>
      <c r="E2246" s="2" t="str">
        <f>IFERROR(INDEX('Blackout Brand Fam Areas (Enc)'!$D$6:$D$998,MATCH(UPPER(A2246)&amp;"|"&amp;UPPER(B2246),'Blackout Brand Fam Areas (Enc)'!$G$6:$G$998,0)),"No Match")</f>
        <v>No Match</v>
      </c>
      <c r="F2246" s="2" t="str">
        <f t="shared" si="70"/>
        <v>US</v>
      </c>
      <c r="G2246" s="2" t="str">
        <f t="shared" si="71"/>
        <v>Sapporo|HUDSON</v>
      </c>
    </row>
    <row r="2247" spans="1:7" x14ac:dyDescent="0.2">
      <c r="A2247" s="2" t="str" cm="1">
        <f t="array" ref="A2247">INDEX('[1]Brand Family Territory (Enc)'!$A$2:$A$296,INT((ROW()-2)/10)+1)</f>
        <v>Sapporo</v>
      </c>
      <c r="B2247" s="2" t="str" cm="1">
        <f t="array" ref="B2247">INDEX('Whitelist (Blackout Reverse)'!$B$1:$K$1,MOD(ROW()-2,10)+1)</f>
        <v>UNION</v>
      </c>
      <c r="C2247" s="2" t="str">
        <f>VLOOKUP(A2247,'[1]Brand Family Territory (Enc)'!$A$2:$B$296,2,FALSE)</f>
        <v>All Counties</v>
      </c>
      <c r="D2247" s="2">
        <f>IF(COUNTIFS('[1]Brand Family Territories (Enc)'!$B$2:$B$62,C2247,'[1]Brand Family Territories (Enc)'!$C$2:$C$62,B2247)&gt;0,1,IF(AND(LEFT(B2247,6)="MORRIS",COUNTIFS('[1]Brand Family Territories (Enc)'!$B$2:$B$62,C2247,'[1]Brand Family Territories (Enc)'!$C$2:$C$62,"Morri")&gt;0),"Unk",0))</f>
        <v>1</v>
      </c>
      <c r="E2247" s="2" t="str">
        <f>IFERROR(INDEX('Blackout Brand Fam Areas (Enc)'!$D$6:$D$998,MATCH(UPPER(A2247)&amp;"|"&amp;UPPER(B2247),'Blackout Brand Fam Areas (Enc)'!$G$6:$G$998,0)),"No Match")</f>
        <v>No Match</v>
      </c>
      <c r="F2247" s="2" t="str">
        <f t="shared" si="70"/>
        <v>US</v>
      </c>
      <c r="G2247" s="2" t="str">
        <f t="shared" si="71"/>
        <v>Sapporo|UNION</v>
      </c>
    </row>
    <row r="2248" spans="1:7" x14ac:dyDescent="0.2">
      <c r="A2248" s="2" t="str" cm="1">
        <f t="array" ref="A2248">INDEX('[1]Brand Family Territory (Enc)'!$A$2:$A$296,INT((ROW()-2)/10)+1)</f>
        <v>Sapporo</v>
      </c>
      <c r="B2248" s="2" t="str" cm="1">
        <f t="array" ref="B2248">INDEX('Whitelist (Blackout Reverse)'!$B$1:$K$1,MOD(ROW()-2,10)+1)</f>
        <v>SUSSEX</v>
      </c>
      <c r="C2248" s="2" t="str">
        <f>VLOOKUP(A2248,'[1]Brand Family Territory (Enc)'!$A$2:$B$296,2,FALSE)</f>
        <v>All Counties</v>
      </c>
      <c r="D2248" s="2">
        <f>IF(COUNTIFS('[1]Brand Family Territories (Enc)'!$B$2:$B$62,C2248,'[1]Brand Family Territories (Enc)'!$C$2:$C$62,B2248)&gt;0,1,IF(AND(LEFT(B2248,6)="MORRIS",COUNTIFS('[1]Brand Family Territories (Enc)'!$B$2:$B$62,C2248,'[1]Brand Family Territories (Enc)'!$C$2:$C$62,"Morri")&gt;0),"Unk",0))</f>
        <v>1</v>
      </c>
      <c r="E2248" s="2" t="str">
        <f>IFERROR(INDEX('Blackout Brand Fam Areas (Enc)'!$D$6:$D$998,MATCH(UPPER(A2248)&amp;"|"&amp;UPPER(B2248),'Blackout Brand Fam Areas (Enc)'!$G$6:$G$998,0)),"No Match")</f>
        <v>No Match</v>
      </c>
      <c r="F2248" s="2" t="str">
        <f t="shared" si="70"/>
        <v>US</v>
      </c>
      <c r="G2248" s="2" t="str">
        <f t="shared" si="71"/>
        <v>Sapporo|SUSSEX</v>
      </c>
    </row>
    <row r="2249" spans="1:7" x14ac:dyDescent="0.2">
      <c r="A2249" s="2" t="str" cm="1">
        <f t="array" ref="A2249">INDEX('[1]Brand Family Territory (Enc)'!$A$2:$A$296,INT((ROW()-2)/10)+1)</f>
        <v>Sapporo</v>
      </c>
      <c r="B2249" s="2" t="str" cm="1">
        <f t="array" ref="B2249">INDEX('Whitelist (Blackout Reverse)'!$B$1:$K$1,MOD(ROW()-2,10)+1)</f>
        <v>MORRIS 1</v>
      </c>
      <c r="C2249" s="2" t="str">
        <f>VLOOKUP(A2249,'[1]Brand Family Territory (Enc)'!$A$2:$B$296,2,FALSE)</f>
        <v>All Counties</v>
      </c>
      <c r="D2249" s="2">
        <f>IF(COUNTIFS('[1]Brand Family Territories (Enc)'!$B$2:$B$62,C2249,'[1]Brand Family Territories (Enc)'!$C$2:$C$62,B2249)&gt;0,1,IF(AND(LEFT(B2249,6)="MORRIS",COUNTIFS('[1]Brand Family Territories (Enc)'!$B$2:$B$62,C2249,'[1]Brand Family Territories (Enc)'!$C$2:$C$62,"Morri")&gt;0),"Unk",0))</f>
        <v>1</v>
      </c>
      <c r="E2249" s="2" t="str">
        <f>IFERROR(INDEX('Blackout Brand Fam Areas (Enc)'!$D$6:$D$998,MATCH(UPPER(A2249)&amp;"|"&amp;UPPER(B2249),'Blackout Brand Fam Areas (Enc)'!$G$6:$G$998,0)),"No Match")</f>
        <v>No Match</v>
      </c>
      <c r="F2249" s="2" t="str">
        <f t="shared" si="70"/>
        <v>US</v>
      </c>
      <c r="G2249" s="2" t="str">
        <f t="shared" si="71"/>
        <v>Sapporo|MORRIS 1</v>
      </c>
    </row>
    <row r="2250" spans="1:7" x14ac:dyDescent="0.2">
      <c r="A2250" s="2" t="str" cm="1">
        <f t="array" ref="A2250">INDEX('[1]Brand Family Territory (Enc)'!$A$2:$A$296,INT((ROW()-2)/10)+1)</f>
        <v>Sapporo</v>
      </c>
      <c r="B2250" s="2" t="str" cm="1">
        <f t="array" ref="B2250">INDEX('Whitelist (Blackout Reverse)'!$B$1:$K$1,MOD(ROW()-2,10)+1)</f>
        <v>MORRIS 2</v>
      </c>
      <c r="C2250" s="2" t="str">
        <f>VLOOKUP(A2250,'[1]Brand Family Territory (Enc)'!$A$2:$B$296,2,FALSE)</f>
        <v>All Counties</v>
      </c>
      <c r="D2250" s="2">
        <f>IF(COUNTIFS('[1]Brand Family Territories (Enc)'!$B$2:$B$62,C2250,'[1]Brand Family Territories (Enc)'!$C$2:$C$62,B2250)&gt;0,1,IF(AND(LEFT(B2250,6)="MORRIS",COUNTIFS('[1]Brand Family Territories (Enc)'!$B$2:$B$62,C2250,'[1]Brand Family Territories (Enc)'!$C$2:$C$62,"Morri")&gt;0),"Unk",0))</f>
        <v>1</v>
      </c>
      <c r="E2250" s="2" t="str">
        <f>IFERROR(INDEX('Blackout Brand Fam Areas (Enc)'!$D$6:$D$998,MATCH(UPPER(A2250)&amp;"|"&amp;UPPER(B2250),'Blackout Brand Fam Areas (Enc)'!$G$6:$G$998,0)),"No Match")</f>
        <v>No Match</v>
      </c>
      <c r="F2250" s="2" t="str">
        <f t="shared" si="70"/>
        <v>US</v>
      </c>
      <c r="G2250" s="2" t="str">
        <f t="shared" si="71"/>
        <v>Sapporo|MORRIS 2</v>
      </c>
    </row>
    <row r="2251" spans="1:7" x14ac:dyDescent="0.2">
      <c r="A2251" s="2" t="str" cm="1">
        <f t="array" ref="A2251">INDEX('[1]Brand Family Territory (Enc)'!$A$2:$A$296,INT((ROW()-2)/10)+1)</f>
        <v>Sapporo</v>
      </c>
      <c r="B2251" s="2" t="str" cm="1">
        <f t="array" ref="B2251">INDEX('Whitelist (Blackout Reverse)'!$B$1:$K$1,MOD(ROW()-2,10)+1)</f>
        <v>MORRIS 3</v>
      </c>
      <c r="C2251" s="2" t="str">
        <f>VLOOKUP(A2251,'[1]Brand Family Territory (Enc)'!$A$2:$B$296,2,FALSE)</f>
        <v>All Counties</v>
      </c>
      <c r="D2251" s="2">
        <f>IF(COUNTIFS('[1]Brand Family Territories (Enc)'!$B$2:$B$62,C2251,'[1]Brand Family Territories (Enc)'!$C$2:$C$62,B2251)&gt;0,1,IF(AND(LEFT(B2251,6)="MORRIS",COUNTIFS('[1]Brand Family Territories (Enc)'!$B$2:$B$62,C2251,'[1]Brand Family Territories (Enc)'!$C$2:$C$62,"Morri")&gt;0),"Unk",0))</f>
        <v>1</v>
      </c>
      <c r="E2251" s="2" t="str">
        <f>IFERROR(INDEX('Blackout Brand Fam Areas (Enc)'!$D$6:$D$998,MATCH(UPPER(A2251)&amp;"|"&amp;UPPER(B2251),'Blackout Brand Fam Areas (Enc)'!$G$6:$G$998,0)),"No Match")</f>
        <v>No Match</v>
      </c>
      <c r="F2251" s="2" t="str">
        <f t="shared" si="70"/>
        <v>US</v>
      </c>
      <c r="G2251" s="2" t="str">
        <f t="shared" si="71"/>
        <v>Sapporo|MORRIS 3</v>
      </c>
    </row>
    <row r="2252" spans="1:7" x14ac:dyDescent="0.2">
      <c r="A2252" s="2" t="str" cm="1">
        <f t="array" ref="A2252">INDEX('[1]Brand Family Territory (Enc)'!$A$2:$A$296,INT((ROW()-2)/10)+1)</f>
        <v>Saranac</v>
      </c>
      <c r="B2252" s="2" t="str" cm="1">
        <f t="array" ref="B2252">INDEX('Whitelist (Blackout Reverse)'!$B$1:$K$1,MOD(ROW()-2,10)+1)</f>
        <v>BERGEN</v>
      </c>
      <c r="C2252" s="2" t="str">
        <f>VLOOKUP(A2252,'[1]Brand Family Territory (Enc)'!$A$2:$B$296,2,FALSE)</f>
        <v>All Counties</v>
      </c>
      <c r="D2252" s="2">
        <f>IF(COUNTIFS('[1]Brand Family Territories (Enc)'!$B$2:$B$62,C2252,'[1]Brand Family Territories (Enc)'!$C$2:$C$62,B2252)&gt;0,1,IF(AND(LEFT(B2252,6)="MORRIS",COUNTIFS('[1]Brand Family Territories (Enc)'!$B$2:$B$62,C2252,'[1]Brand Family Territories (Enc)'!$C$2:$C$62,"Morri")&gt;0),"Unk",0))</f>
        <v>1</v>
      </c>
      <c r="E2252" s="2" t="str">
        <f>IFERROR(INDEX('Blackout Brand Fam Areas (Enc)'!$D$6:$D$998,MATCH(UPPER(A2252)&amp;"|"&amp;UPPER(B2252),'Blackout Brand Fam Areas (Enc)'!$G$6:$G$998,0)),"No Match")</f>
        <v>No Match</v>
      </c>
      <c r="F2252" s="2" t="str">
        <f t="shared" si="70"/>
        <v>US</v>
      </c>
      <c r="G2252" s="2" t="str">
        <f t="shared" si="71"/>
        <v>Saranac|BERGEN</v>
      </c>
    </row>
    <row r="2253" spans="1:7" x14ac:dyDescent="0.2">
      <c r="A2253" s="2" t="str" cm="1">
        <f t="array" ref="A2253">INDEX('[1]Brand Family Territory (Enc)'!$A$2:$A$296,INT((ROW()-2)/10)+1)</f>
        <v>Saranac</v>
      </c>
      <c r="B2253" s="2" t="str" cm="1">
        <f t="array" ref="B2253">INDEX('Whitelist (Blackout Reverse)'!$B$1:$K$1,MOD(ROW()-2,10)+1)</f>
        <v>PASSAIC</v>
      </c>
      <c r="C2253" s="2" t="str">
        <f>VLOOKUP(A2253,'[1]Brand Family Territory (Enc)'!$A$2:$B$296,2,FALSE)</f>
        <v>All Counties</v>
      </c>
      <c r="D2253" s="2">
        <f>IF(COUNTIFS('[1]Brand Family Territories (Enc)'!$B$2:$B$62,C2253,'[1]Brand Family Territories (Enc)'!$C$2:$C$62,B2253)&gt;0,1,IF(AND(LEFT(B2253,6)="MORRIS",COUNTIFS('[1]Brand Family Territories (Enc)'!$B$2:$B$62,C2253,'[1]Brand Family Territories (Enc)'!$C$2:$C$62,"Morri")&gt;0),"Unk",0))</f>
        <v>1</v>
      </c>
      <c r="E2253" s="2" t="str">
        <f>IFERROR(INDEX('Blackout Brand Fam Areas (Enc)'!$D$6:$D$998,MATCH(UPPER(A2253)&amp;"|"&amp;UPPER(B2253),'Blackout Brand Fam Areas (Enc)'!$G$6:$G$998,0)),"No Match")</f>
        <v>No Match</v>
      </c>
      <c r="F2253" s="2" t="str">
        <f t="shared" si="70"/>
        <v>US</v>
      </c>
      <c r="G2253" s="2" t="str">
        <f t="shared" si="71"/>
        <v>Saranac|PASSAIC</v>
      </c>
    </row>
    <row r="2254" spans="1:7" x14ac:dyDescent="0.2">
      <c r="A2254" s="2" t="str" cm="1">
        <f t="array" ref="A2254">INDEX('[1]Brand Family Territory (Enc)'!$A$2:$A$296,INT((ROW()-2)/10)+1)</f>
        <v>Saranac</v>
      </c>
      <c r="B2254" s="2" t="str" cm="1">
        <f t="array" ref="B2254">INDEX('Whitelist (Blackout Reverse)'!$B$1:$K$1,MOD(ROW()-2,10)+1)</f>
        <v>PASSAIC-FF</v>
      </c>
      <c r="C2254" s="2" t="str">
        <f>VLOOKUP(A2254,'[1]Brand Family Territory (Enc)'!$A$2:$B$296,2,FALSE)</f>
        <v>All Counties</v>
      </c>
      <c r="D2254" s="2">
        <f>IF(COUNTIFS('[1]Brand Family Territories (Enc)'!$B$2:$B$62,C2254,'[1]Brand Family Territories (Enc)'!$C$2:$C$62,B2254)&gt;0,1,IF(AND(LEFT(B2254,6)="MORRIS",COUNTIFS('[1]Brand Family Territories (Enc)'!$B$2:$B$62,C2254,'[1]Brand Family Territories (Enc)'!$C$2:$C$62,"Morri")&gt;0),"Unk",0))</f>
        <v>1</v>
      </c>
      <c r="E2254" s="2" t="str">
        <f>IFERROR(INDEX('Blackout Brand Fam Areas (Enc)'!$D$6:$D$998,MATCH(UPPER(A2254)&amp;"|"&amp;UPPER(B2254),'Blackout Brand Fam Areas (Enc)'!$G$6:$G$998,0)),"No Match")</f>
        <v>No Match</v>
      </c>
      <c r="F2254" s="2" t="str">
        <f t="shared" si="70"/>
        <v>US</v>
      </c>
      <c r="G2254" s="2" t="str">
        <f t="shared" si="71"/>
        <v>Saranac|PASSAIC-FF</v>
      </c>
    </row>
    <row r="2255" spans="1:7" x14ac:dyDescent="0.2">
      <c r="A2255" s="2" t="str" cm="1">
        <f t="array" ref="A2255">INDEX('[1]Brand Family Territory (Enc)'!$A$2:$A$296,INT((ROW()-2)/10)+1)</f>
        <v>Saranac</v>
      </c>
      <c r="B2255" s="2" t="str" cm="1">
        <f t="array" ref="B2255">INDEX('Whitelist (Blackout Reverse)'!$B$1:$K$1,MOD(ROW()-2,10)+1)</f>
        <v>ESSEX</v>
      </c>
      <c r="C2255" s="2" t="str">
        <f>VLOOKUP(A2255,'[1]Brand Family Territory (Enc)'!$A$2:$B$296,2,FALSE)</f>
        <v>All Counties</v>
      </c>
      <c r="D2255" s="2">
        <f>IF(COUNTIFS('[1]Brand Family Territories (Enc)'!$B$2:$B$62,C2255,'[1]Brand Family Territories (Enc)'!$C$2:$C$62,B2255)&gt;0,1,IF(AND(LEFT(B2255,6)="MORRIS",COUNTIFS('[1]Brand Family Territories (Enc)'!$B$2:$B$62,C2255,'[1]Brand Family Territories (Enc)'!$C$2:$C$62,"Morri")&gt;0),"Unk",0))</f>
        <v>1</v>
      </c>
      <c r="E2255" s="2" t="str">
        <f>IFERROR(INDEX('Blackout Brand Fam Areas (Enc)'!$D$6:$D$998,MATCH(UPPER(A2255)&amp;"|"&amp;UPPER(B2255),'Blackout Brand Fam Areas (Enc)'!$G$6:$G$998,0)),"No Match")</f>
        <v>No Match</v>
      </c>
      <c r="F2255" s="2" t="str">
        <f t="shared" si="70"/>
        <v>US</v>
      </c>
      <c r="G2255" s="2" t="str">
        <f t="shared" si="71"/>
        <v>Saranac|ESSEX</v>
      </c>
    </row>
    <row r="2256" spans="1:7" x14ac:dyDescent="0.2">
      <c r="A2256" s="2" t="str" cm="1">
        <f t="array" ref="A2256">INDEX('[1]Brand Family Territory (Enc)'!$A$2:$A$296,INT((ROW()-2)/10)+1)</f>
        <v>Saranac</v>
      </c>
      <c r="B2256" s="2" t="str" cm="1">
        <f t="array" ref="B2256">INDEX('Whitelist (Blackout Reverse)'!$B$1:$K$1,MOD(ROW()-2,10)+1)</f>
        <v>HUDSON</v>
      </c>
      <c r="C2256" s="2" t="str">
        <f>VLOOKUP(A2256,'[1]Brand Family Territory (Enc)'!$A$2:$B$296,2,FALSE)</f>
        <v>All Counties</v>
      </c>
      <c r="D2256" s="2">
        <f>IF(COUNTIFS('[1]Brand Family Territories (Enc)'!$B$2:$B$62,C2256,'[1]Brand Family Territories (Enc)'!$C$2:$C$62,B2256)&gt;0,1,IF(AND(LEFT(B2256,6)="MORRIS",COUNTIFS('[1]Brand Family Territories (Enc)'!$B$2:$B$62,C2256,'[1]Brand Family Territories (Enc)'!$C$2:$C$62,"Morri")&gt;0),"Unk",0))</f>
        <v>1</v>
      </c>
      <c r="E2256" s="2" t="str">
        <f>IFERROR(INDEX('Blackout Brand Fam Areas (Enc)'!$D$6:$D$998,MATCH(UPPER(A2256)&amp;"|"&amp;UPPER(B2256),'Blackout Brand Fam Areas (Enc)'!$G$6:$G$998,0)),"No Match")</f>
        <v>No Match</v>
      </c>
      <c r="F2256" s="2" t="str">
        <f t="shared" si="70"/>
        <v>US</v>
      </c>
      <c r="G2256" s="2" t="str">
        <f t="shared" si="71"/>
        <v>Saranac|HUDSON</v>
      </c>
    </row>
    <row r="2257" spans="1:7" x14ac:dyDescent="0.2">
      <c r="A2257" s="2" t="str" cm="1">
        <f t="array" ref="A2257">INDEX('[1]Brand Family Territory (Enc)'!$A$2:$A$296,INT((ROW()-2)/10)+1)</f>
        <v>Saranac</v>
      </c>
      <c r="B2257" s="2" t="str" cm="1">
        <f t="array" ref="B2257">INDEX('Whitelist (Blackout Reverse)'!$B$1:$K$1,MOD(ROW()-2,10)+1)</f>
        <v>UNION</v>
      </c>
      <c r="C2257" s="2" t="str">
        <f>VLOOKUP(A2257,'[1]Brand Family Territory (Enc)'!$A$2:$B$296,2,FALSE)</f>
        <v>All Counties</v>
      </c>
      <c r="D2257" s="2">
        <f>IF(COUNTIFS('[1]Brand Family Territories (Enc)'!$B$2:$B$62,C2257,'[1]Brand Family Territories (Enc)'!$C$2:$C$62,B2257)&gt;0,1,IF(AND(LEFT(B2257,6)="MORRIS",COUNTIFS('[1]Brand Family Territories (Enc)'!$B$2:$B$62,C2257,'[1]Brand Family Territories (Enc)'!$C$2:$C$62,"Morri")&gt;0),"Unk",0))</f>
        <v>1</v>
      </c>
      <c r="E2257" s="2" t="str">
        <f>IFERROR(INDEX('Blackout Brand Fam Areas (Enc)'!$D$6:$D$998,MATCH(UPPER(A2257)&amp;"|"&amp;UPPER(B2257),'Blackout Brand Fam Areas (Enc)'!$G$6:$G$998,0)),"No Match")</f>
        <v>No Match</v>
      </c>
      <c r="F2257" s="2" t="str">
        <f t="shared" si="70"/>
        <v>US</v>
      </c>
      <c r="G2257" s="2" t="str">
        <f t="shared" si="71"/>
        <v>Saranac|UNION</v>
      </c>
    </row>
    <row r="2258" spans="1:7" x14ac:dyDescent="0.2">
      <c r="A2258" s="2" t="str" cm="1">
        <f t="array" ref="A2258">INDEX('[1]Brand Family Territory (Enc)'!$A$2:$A$296,INT((ROW()-2)/10)+1)</f>
        <v>Saranac</v>
      </c>
      <c r="B2258" s="2" t="str" cm="1">
        <f t="array" ref="B2258">INDEX('Whitelist (Blackout Reverse)'!$B$1:$K$1,MOD(ROW()-2,10)+1)</f>
        <v>SUSSEX</v>
      </c>
      <c r="C2258" s="2" t="str">
        <f>VLOOKUP(A2258,'[1]Brand Family Territory (Enc)'!$A$2:$B$296,2,FALSE)</f>
        <v>All Counties</v>
      </c>
      <c r="D2258" s="2">
        <f>IF(COUNTIFS('[1]Brand Family Territories (Enc)'!$B$2:$B$62,C2258,'[1]Brand Family Territories (Enc)'!$C$2:$C$62,B2258)&gt;0,1,IF(AND(LEFT(B2258,6)="MORRIS",COUNTIFS('[1]Brand Family Territories (Enc)'!$B$2:$B$62,C2258,'[1]Brand Family Territories (Enc)'!$C$2:$C$62,"Morri")&gt;0),"Unk",0))</f>
        <v>1</v>
      </c>
      <c r="E2258" s="2" t="str">
        <f>IFERROR(INDEX('Blackout Brand Fam Areas (Enc)'!$D$6:$D$998,MATCH(UPPER(A2258)&amp;"|"&amp;UPPER(B2258),'Blackout Brand Fam Areas (Enc)'!$G$6:$G$998,0)),"No Match")</f>
        <v>No Match</v>
      </c>
      <c r="F2258" s="2" t="str">
        <f t="shared" si="70"/>
        <v>US</v>
      </c>
      <c r="G2258" s="2" t="str">
        <f t="shared" si="71"/>
        <v>Saranac|SUSSEX</v>
      </c>
    </row>
    <row r="2259" spans="1:7" x14ac:dyDescent="0.2">
      <c r="A2259" s="2" t="str" cm="1">
        <f t="array" ref="A2259">INDEX('[1]Brand Family Territory (Enc)'!$A$2:$A$296,INT((ROW()-2)/10)+1)</f>
        <v>Saranac</v>
      </c>
      <c r="B2259" s="2" t="str" cm="1">
        <f t="array" ref="B2259">INDEX('Whitelist (Blackout Reverse)'!$B$1:$K$1,MOD(ROW()-2,10)+1)</f>
        <v>MORRIS 1</v>
      </c>
      <c r="C2259" s="2" t="str">
        <f>VLOOKUP(A2259,'[1]Brand Family Territory (Enc)'!$A$2:$B$296,2,FALSE)</f>
        <v>All Counties</v>
      </c>
      <c r="D2259" s="2">
        <f>IF(COUNTIFS('[1]Brand Family Territories (Enc)'!$B$2:$B$62,C2259,'[1]Brand Family Territories (Enc)'!$C$2:$C$62,B2259)&gt;0,1,IF(AND(LEFT(B2259,6)="MORRIS",COUNTIFS('[1]Brand Family Territories (Enc)'!$B$2:$B$62,C2259,'[1]Brand Family Territories (Enc)'!$C$2:$C$62,"Morri")&gt;0),"Unk",0))</f>
        <v>1</v>
      </c>
      <c r="E2259" s="2" t="str">
        <f>IFERROR(INDEX('Blackout Brand Fam Areas (Enc)'!$D$6:$D$998,MATCH(UPPER(A2259)&amp;"|"&amp;UPPER(B2259),'Blackout Brand Fam Areas (Enc)'!$G$6:$G$998,0)),"No Match")</f>
        <v>No Match</v>
      </c>
      <c r="F2259" s="2" t="str">
        <f t="shared" si="70"/>
        <v>US</v>
      </c>
      <c r="G2259" s="2" t="str">
        <f t="shared" si="71"/>
        <v>Saranac|MORRIS 1</v>
      </c>
    </row>
    <row r="2260" spans="1:7" x14ac:dyDescent="0.2">
      <c r="A2260" s="2" t="str" cm="1">
        <f t="array" ref="A2260">INDEX('[1]Brand Family Territory (Enc)'!$A$2:$A$296,INT((ROW()-2)/10)+1)</f>
        <v>Saranac</v>
      </c>
      <c r="B2260" s="2" t="str" cm="1">
        <f t="array" ref="B2260">INDEX('Whitelist (Blackout Reverse)'!$B$1:$K$1,MOD(ROW()-2,10)+1)</f>
        <v>MORRIS 2</v>
      </c>
      <c r="C2260" s="2" t="str">
        <f>VLOOKUP(A2260,'[1]Brand Family Territory (Enc)'!$A$2:$B$296,2,FALSE)</f>
        <v>All Counties</v>
      </c>
      <c r="D2260" s="2">
        <f>IF(COUNTIFS('[1]Brand Family Territories (Enc)'!$B$2:$B$62,C2260,'[1]Brand Family Territories (Enc)'!$C$2:$C$62,B2260)&gt;0,1,IF(AND(LEFT(B2260,6)="MORRIS",COUNTIFS('[1]Brand Family Territories (Enc)'!$B$2:$B$62,C2260,'[1]Brand Family Territories (Enc)'!$C$2:$C$62,"Morri")&gt;0),"Unk",0))</f>
        <v>1</v>
      </c>
      <c r="E2260" s="2" t="str">
        <f>IFERROR(INDEX('Blackout Brand Fam Areas (Enc)'!$D$6:$D$998,MATCH(UPPER(A2260)&amp;"|"&amp;UPPER(B2260),'Blackout Brand Fam Areas (Enc)'!$G$6:$G$998,0)),"No Match")</f>
        <v>No Match</v>
      </c>
      <c r="F2260" s="2" t="str">
        <f t="shared" si="70"/>
        <v>US</v>
      </c>
      <c r="G2260" s="2" t="str">
        <f t="shared" si="71"/>
        <v>Saranac|MORRIS 2</v>
      </c>
    </row>
    <row r="2261" spans="1:7" x14ac:dyDescent="0.2">
      <c r="A2261" s="2" t="str" cm="1">
        <f t="array" ref="A2261">INDEX('[1]Brand Family Territory (Enc)'!$A$2:$A$296,INT((ROW()-2)/10)+1)</f>
        <v>Saranac</v>
      </c>
      <c r="B2261" s="2" t="str" cm="1">
        <f t="array" ref="B2261">INDEX('Whitelist (Blackout Reverse)'!$B$1:$K$1,MOD(ROW()-2,10)+1)</f>
        <v>MORRIS 3</v>
      </c>
      <c r="C2261" s="2" t="str">
        <f>VLOOKUP(A2261,'[1]Brand Family Territory (Enc)'!$A$2:$B$296,2,FALSE)</f>
        <v>All Counties</v>
      </c>
      <c r="D2261" s="2">
        <f>IF(COUNTIFS('[1]Brand Family Territories (Enc)'!$B$2:$B$62,C2261,'[1]Brand Family Territories (Enc)'!$C$2:$C$62,B2261)&gt;0,1,IF(AND(LEFT(B2261,6)="MORRIS",COUNTIFS('[1]Brand Family Territories (Enc)'!$B$2:$B$62,C2261,'[1]Brand Family Territories (Enc)'!$C$2:$C$62,"Morri")&gt;0),"Unk",0))</f>
        <v>1</v>
      </c>
      <c r="E2261" s="2" t="str">
        <f>IFERROR(INDEX('Blackout Brand Fam Areas (Enc)'!$D$6:$D$998,MATCH(UPPER(A2261)&amp;"|"&amp;UPPER(B2261),'Blackout Brand Fam Areas (Enc)'!$G$6:$G$998,0)),"No Match")</f>
        <v>No Match</v>
      </c>
      <c r="F2261" s="2" t="str">
        <f t="shared" si="70"/>
        <v>US</v>
      </c>
      <c r="G2261" s="2" t="str">
        <f t="shared" si="71"/>
        <v>Saranac|MORRIS 3</v>
      </c>
    </row>
    <row r="2262" spans="1:7" x14ac:dyDescent="0.2">
      <c r="A2262" s="2" t="str" cm="1">
        <f t="array" ref="A2262">INDEX('[1]Brand Family Territory (Enc)'!$A$2:$A$296,INT((ROW()-2)/10)+1)</f>
        <v>Saratoga</v>
      </c>
      <c r="B2262" s="2" t="str" cm="1">
        <f t="array" ref="B2262">INDEX('Whitelist (Blackout Reverse)'!$B$1:$K$1,MOD(ROW()-2,10)+1)</f>
        <v>BERGEN</v>
      </c>
      <c r="C2262" s="2" t="str">
        <f>VLOOKUP(A2262,'[1]Brand Family Territory (Enc)'!$A$2:$B$296,2,FALSE)</f>
        <v>All Counties</v>
      </c>
      <c r="D2262" s="2">
        <f>IF(COUNTIFS('[1]Brand Family Territories (Enc)'!$B$2:$B$62,C2262,'[1]Brand Family Territories (Enc)'!$C$2:$C$62,B2262)&gt;0,1,IF(AND(LEFT(B2262,6)="MORRIS",COUNTIFS('[1]Brand Family Territories (Enc)'!$B$2:$B$62,C2262,'[1]Brand Family Territories (Enc)'!$C$2:$C$62,"Morri")&gt;0),"Unk",0))</f>
        <v>1</v>
      </c>
      <c r="E2262" s="2" t="str">
        <f>IFERROR(INDEX('Blackout Brand Fam Areas (Enc)'!$D$6:$D$998,MATCH(UPPER(A2262)&amp;"|"&amp;UPPER(B2262),'Blackout Brand Fam Areas (Enc)'!$G$6:$G$998,0)),"No Match")</f>
        <v>No Match</v>
      </c>
      <c r="F2262" s="2" t="str">
        <f t="shared" si="70"/>
        <v>US</v>
      </c>
      <c r="G2262" s="2" t="str">
        <f t="shared" si="71"/>
        <v>Saratoga|BERGEN</v>
      </c>
    </row>
    <row r="2263" spans="1:7" x14ac:dyDescent="0.2">
      <c r="A2263" s="2" t="str" cm="1">
        <f t="array" ref="A2263">INDEX('[1]Brand Family Territory (Enc)'!$A$2:$A$296,INT((ROW()-2)/10)+1)</f>
        <v>Saratoga</v>
      </c>
      <c r="B2263" s="2" t="str" cm="1">
        <f t="array" ref="B2263">INDEX('Whitelist (Blackout Reverse)'!$B$1:$K$1,MOD(ROW()-2,10)+1)</f>
        <v>PASSAIC</v>
      </c>
      <c r="C2263" s="2" t="str">
        <f>VLOOKUP(A2263,'[1]Brand Family Territory (Enc)'!$A$2:$B$296,2,FALSE)</f>
        <v>All Counties</v>
      </c>
      <c r="D2263" s="2">
        <f>IF(COUNTIFS('[1]Brand Family Territories (Enc)'!$B$2:$B$62,C2263,'[1]Brand Family Territories (Enc)'!$C$2:$C$62,B2263)&gt;0,1,IF(AND(LEFT(B2263,6)="MORRIS",COUNTIFS('[1]Brand Family Territories (Enc)'!$B$2:$B$62,C2263,'[1]Brand Family Territories (Enc)'!$C$2:$C$62,"Morri")&gt;0),"Unk",0))</f>
        <v>1</v>
      </c>
      <c r="E2263" s="2" t="str">
        <f>IFERROR(INDEX('Blackout Brand Fam Areas (Enc)'!$D$6:$D$998,MATCH(UPPER(A2263)&amp;"|"&amp;UPPER(B2263),'Blackout Brand Fam Areas (Enc)'!$G$6:$G$998,0)),"No Match")</f>
        <v>No Match</v>
      </c>
      <c r="F2263" s="2" t="str">
        <f t="shared" si="70"/>
        <v>US</v>
      </c>
      <c r="G2263" s="2" t="str">
        <f t="shared" si="71"/>
        <v>Saratoga|PASSAIC</v>
      </c>
    </row>
    <row r="2264" spans="1:7" x14ac:dyDescent="0.2">
      <c r="A2264" s="2" t="str" cm="1">
        <f t="array" ref="A2264">INDEX('[1]Brand Family Territory (Enc)'!$A$2:$A$296,INT((ROW()-2)/10)+1)</f>
        <v>Saratoga</v>
      </c>
      <c r="B2264" s="2" t="str" cm="1">
        <f t="array" ref="B2264">INDEX('Whitelist (Blackout Reverse)'!$B$1:$K$1,MOD(ROW()-2,10)+1)</f>
        <v>PASSAIC-FF</v>
      </c>
      <c r="C2264" s="2" t="str">
        <f>VLOOKUP(A2264,'[1]Brand Family Territory (Enc)'!$A$2:$B$296,2,FALSE)</f>
        <v>All Counties</v>
      </c>
      <c r="D2264" s="2">
        <f>IF(COUNTIFS('[1]Brand Family Territories (Enc)'!$B$2:$B$62,C2264,'[1]Brand Family Territories (Enc)'!$C$2:$C$62,B2264)&gt;0,1,IF(AND(LEFT(B2264,6)="MORRIS",COUNTIFS('[1]Brand Family Territories (Enc)'!$B$2:$B$62,C2264,'[1]Brand Family Territories (Enc)'!$C$2:$C$62,"Morri")&gt;0),"Unk",0))</f>
        <v>1</v>
      </c>
      <c r="E2264" s="2" t="str">
        <f>IFERROR(INDEX('Blackout Brand Fam Areas (Enc)'!$D$6:$D$998,MATCH(UPPER(A2264)&amp;"|"&amp;UPPER(B2264),'Blackout Brand Fam Areas (Enc)'!$G$6:$G$998,0)),"No Match")</f>
        <v>No Match</v>
      </c>
      <c r="F2264" s="2" t="str">
        <f t="shared" si="70"/>
        <v>US</v>
      </c>
      <c r="G2264" s="2" t="str">
        <f t="shared" si="71"/>
        <v>Saratoga|PASSAIC-FF</v>
      </c>
    </row>
    <row r="2265" spans="1:7" x14ac:dyDescent="0.2">
      <c r="A2265" s="2" t="str" cm="1">
        <f t="array" ref="A2265">INDEX('[1]Brand Family Territory (Enc)'!$A$2:$A$296,INT((ROW()-2)/10)+1)</f>
        <v>Saratoga</v>
      </c>
      <c r="B2265" s="2" t="str" cm="1">
        <f t="array" ref="B2265">INDEX('Whitelist (Blackout Reverse)'!$B$1:$K$1,MOD(ROW()-2,10)+1)</f>
        <v>ESSEX</v>
      </c>
      <c r="C2265" s="2" t="str">
        <f>VLOOKUP(A2265,'[1]Brand Family Territory (Enc)'!$A$2:$B$296,2,FALSE)</f>
        <v>All Counties</v>
      </c>
      <c r="D2265" s="2">
        <f>IF(COUNTIFS('[1]Brand Family Territories (Enc)'!$B$2:$B$62,C2265,'[1]Brand Family Territories (Enc)'!$C$2:$C$62,B2265)&gt;0,1,IF(AND(LEFT(B2265,6)="MORRIS",COUNTIFS('[1]Brand Family Territories (Enc)'!$B$2:$B$62,C2265,'[1]Brand Family Territories (Enc)'!$C$2:$C$62,"Morri")&gt;0),"Unk",0))</f>
        <v>1</v>
      </c>
      <c r="E2265" s="2" t="str">
        <f>IFERROR(INDEX('Blackout Brand Fam Areas (Enc)'!$D$6:$D$998,MATCH(UPPER(A2265)&amp;"|"&amp;UPPER(B2265),'Blackout Brand Fam Areas (Enc)'!$G$6:$G$998,0)),"No Match")</f>
        <v>No Match</v>
      </c>
      <c r="F2265" s="2" t="str">
        <f t="shared" si="70"/>
        <v>US</v>
      </c>
      <c r="G2265" s="2" t="str">
        <f t="shared" si="71"/>
        <v>Saratoga|ESSEX</v>
      </c>
    </row>
    <row r="2266" spans="1:7" x14ac:dyDescent="0.2">
      <c r="A2266" s="2" t="str" cm="1">
        <f t="array" ref="A2266">INDEX('[1]Brand Family Territory (Enc)'!$A$2:$A$296,INT((ROW()-2)/10)+1)</f>
        <v>Saratoga</v>
      </c>
      <c r="B2266" s="2" t="str" cm="1">
        <f t="array" ref="B2266">INDEX('Whitelist (Blackout Reverse)'!$B$1:$K$1,MOD(ROW()-2,10)+1)</f>
        <v>HUDSON</v>
      </c>
      <c r="C2266" s="2" t="str">
        <f>VLOOKUP(A2266,'[1]Brand Family Territory (Enc)'!$A$2:$B$296,2,FALSE)</f>
        <v>All Counties</v>
      </c>
      <c r="D2266" s="2">
        <f>IF(COUNTIFS('[1]Brand Family Territories (Enc)'!$B$2:$B$62,C2266,'[1]Brand Family Territories (Enc)'!$C$2:$C$62,B2266)&gt;0,1,IF(AND(LEFT(B2266,6)="MORRIS",COUNTIFS('[1]Brand Family Territories (Enc)'!$B$2:$B$62,C2266,'[1]Brand Family Territories (Enc)'!$C$2:$C$62,"Morri")&gt;0),"Unk",0))</f>
        <v>1</v>
      </c>
      <c r="E2266" s="2" t="str">
        <f>IFERROR(INDEX('Blackout Brand Fam Areas (Enc)'!$D$6:$D$998,MATCH(UPPER(A2266)&amp;"|"&amp;UPPER(B2266),'Blackout Brand Fam Areas (Enc)'!$G$6:$G$998,0)),"No Match")</f>
        <v>No Match</v>
      </c>
      <c r="F2266" s="2" t="str">
        <f t="shared" si="70"/>
        <v>US</v>
      </c>
      <c r="G2266" s="2" t="str">
        <f t="shared" si="71"/>
        <v>Saratoga|HUDSON</v>
      </c>
    </row>
    <row r="2267" spans="1:7" x14ac:dyDescent="0.2">
      <c r="A2267" s="2" t="str" cm="1">
        <f t="array" ref="A2267">INDEX('[1]Brand Family Territory (Enc)'!$A$2:$A$296,INT((ROW()-2)/10)+1)</f>
        <v>Saratoga</v>
      </c>
      <c r="B2267" s="2" t="str" cm="1">
        <f t="array" ref="B2267">INDEX('Whitelist (Blackout Reverse)'!$B$1:$K$1,MOD(ROW()-2,10)+1)</f>
        <v>UNION</v>
      </c>
      <c r="C2267" s="2" t="str">
        <f>VLOOKUP(A2267,'[1]Brand Family Territory (Enc)'!$A$2:$B$296,2,FALSE)</f>
        <v>All Counties</v>
      </c>
      <c r="D2267" s="2">
        <f>IF(COUNTIFS('[1]Brand Family Territories (Enc)'!$B$2:$B$62,C2267,'[1]Brand Family Territories (Enc)'!$C$2:$C$62,B2267)&gt;0,1,IF(AND(LEFT(B2267,6)="MORRIS",COUNTIFS('[1]Brand Family Territories (Enc)'!$B$2:$B$62,C2267,'[1]Brand Family Territories (Enc)'!$C$2:$C$62,"Morri")&gt;0),"Unk",0))</f>
        <v>1</v>
      </c>
      <c r="E2267" s="2" t="str">
        <f>IFERROR(INDEX('Blackout Brand Fam Areas (Enc)'!$D$6:$D$998,MATCH(UPPER(A2267)&amp;"|"&amp;UPPER(B2267),'Blackout Brand Fam Areas (Enc)'!$G$6:$G$998,0)),"No Match")</f>
        <v>No Match</v>
      </c>
      <c r="F2267" s="2" t="str">
        <f t="shared" si="70"/>
        <v>US</v>
      </c>
      <c r="G2267" s="2" t="str">
        <f t="shared" si="71"/>
        <v>Saratoga|UNION</v>
      </c>
    </row>
    <row r="2268" spans="1:7" x14ac:dyDescent="0.2">
      <c r="A2268" s="2" t="str" cm="1">
        <f t="array" ref="A2268">INDEX('[1]Brand Family Territory (Enc)'!$A$2:$A$296,INT((ROW()-2)/10)+1)</f>
        <v>Saratoga</v>
      </c>
      <c r="B2268" s="2" t="str" cm="1">
        <f t="array" ref="B2268">INDEX('Whitelist (Blackout Reverse)'!$B$1:$K$1,MOD(ROW()-2,10)+1)</f>
        <v>SUSSEX</v>
      </c>
      <c r="C2268" s="2" t="str">
        <f>VLOOKUP(A2268,'[1]Brand Family Territory (Enc)'!$A$2:$B$296,2,FALSE)</f>
        <v>All Counties</v>
      </c>
      <c r="D2268" s="2">
        <f>IF(COUNTIFS('[1]Brand Family Territories (Enc)'!$B$2:$B$62,C2268,'[1]Brand Family Territories (Enc)'!$C$2:$C$62,B2268)&gt;0,1,IF(AND(LEFT(B2268,6)="MORRIS",COUNTIFS('[1]Brand Family Territories (Enc)'!$B$2:$B$62,C2268,'[1]Brand Family Territories (Enc)'!$C$2:$C$62,"Morri")&gt;0),"Unk",0))</f>
        <v>1</v>
      </c>
      <c r="E2268" s="2" t="str">
        <f>IFERROR(INDEX('Blackout Brand Fam Areas (Enc)'!$D$6:$D$998,MATCH(UPPER(A2268)&amp;"|"&amp;UPPER(B2268),'Blackout Brand Fam Areas (Enc)'!$G$6:$G$998,0)),"No Match")</f>
        <v>No Match</v>
      </c>
      <c r="F2268" s="2" t="str">
        <f t="shared" si="70"/>
        <v>US</v>
      </c>
      <c r="G2268" s="2" t="str">
        <f t="shared" si="71"/>
        <v>Saratoga|SUSSEX</v>
      </c>
    </row>
    <row r="2269" spans="1:7" x14ac:dyDescent="0.2">
      <c r="A2269" s="2" t="str" cm="1">
        <f t="array" ref="A2269">INDEX('[1]Brand Family Territory (Enc)'!$A$2:$A$296,INT((ROW()-2)/10)+1)</f>
        <v>Saratoga</v>
      </c>
      <c r="B2269" s="2" t="str" cm="1">
        <f t="array" ref="B2269">INDEX('Whitelist (Blackout Reverse)'!$B$1:$K$1,MOD(ROW()-2,10)+1)</f>
        <v>MORRIS 1</v>
      </c>
      <c r="C2269" s="2" t="str">
        <f>VLOOKUP(A2269,'[1]Brand Family Territory (Enc)'!$A$2:$B$296,2,FALSE)</f>
        <v>All Counties</v>
      </c>
      <c r="D2269" s="2">
        <f>IF(COUNTIFS('[1]Brand Family Territories (Enc)'!$B$2:$B$62,C2269,'[1]Brand Family Territories (Enc)'!$C$2:$C$62,B2269)&gt;0,1,IF(AND(LEFT(B2269,6)="MORRIS",COUNTIFS('[1]Brand Family Territories (Enc)'!$B$2:$B$62,C2269,'[1]Brand Family Territories (Enc)'!$C$2:$C$62,"Morri")&gt;0),"Unk",0))</f>
        <v>1</v>
      </c>
      <c r="E2269" s="2" t="str">
        <f>IFERROR(INDEX('Blackout Brand Fam Areas (Enc)'!$D$6:$D$998,MATCH(UPPER(A2269)&amp;"|"&amp;UPPER(B2269),'Blackout Brand Fam Areas (Enc)'!$G$6:$G$998,0)),"No Match")</f>
        <v>No Match</v>
      </c>
      <c r="F2269" s="2" t="str">
        <f t="shared" si="70"/>
        <v>US</v>
      </c>
      <c r="G2269" s="2" t="str">
        <f t="shared" si="71"/>
        <v>Saratoga|MORRIS 1</v>
      </c>
    </row>
    <row r="2270" spans="1:7" x14ac:dyDescent="0.2">
      <c r="A2270" s="2" t="str" cm="1">
        <f t="array" ref="A2270">INDEX('[1]Brand Family Territory (Enc)'!$A$2:$A$296,INT((ROW()-2)/10)+1)</f>
        <v>Saratoga</v>
      </c>
      <c r="B2270" s="2" t="str" cm="1">
        <f t="array" ref="B2270">INDEX('Whitelist (Blackout Reverse)'!$B$1:$K$1,MOD(ROW()-2,10)+1)</f>
        <v>MORRIS 2</v>
      </c>
      <c r="C2270" s="2" t="str">
        <f>VLOOKUP(A2270,'[1]Brand Family Territory (Enc)'!$A$2:$B$296,2,FALSE)</f>
        <v>All Counties</v>
      </c>
      <c r="D2270" s="2">
        <f>IF(COUNTIFS('[1]Brand Family Territories (Enc)'!$B$2:$B$62,C2270,'[1]Brand Family Territories (Enc)'!$C$2:$C$62,B2270)&gt;0,1,IF(AND(LEFT(B2270,6)="MORRIS",COUNTIFS('[1]Brand Family Territories (Enc)'!$B$2:$B$62,C2270,'[1]Brand Family Territories (Enc)'!$C$2:$C$62,"Morri")&gt;0),"Unk",0))</f>
        <v>1</v>
      </c>
      <c r="E2270" s="2" t="str">
        <f>IFERROR(INDEX('Blackout Brand Fam Areas (Enc)'!$D$6:$D$998,MATCH(UPPER(A2270)&amp;"|"&amp;UPPER(B2270),'Blackout Brand Fam Areas (Enc)'!$G$6:$G$998,0)),"No Match")</f>
        <v>No Match</v>
      </c>
      <c r="F2270" s="2" t="str">
        <f t="shared" si="70"/>
        <v>US</v>
      </c>
      <c r="G2270" s="2" t="str">
        <f t="shared" si="71"/>
        <v>Saratoga|MORRIS 2</v>
      </c>
    </row>
    <row r="2271" spans="1:7" x14ac:dyDescent="0.2">
      <c r="A2271" s="2" t="str" cm="1">
        <f t="array" ref="A2271">INDEX('[1]Brand Family Territory (Enc)'!$A$2:$A$296,INT((ROW()-2)/10)+1)</f>
        <v>Saratoga</v>
      </c>
      <c r="B2271" s="2" t="str" cm="1">
        <f t="array" ref="B2271">INDEX('Whitelist (Blackout Reverse)'!$B$1:$K$1,MOD(ROW()-2,10)+1)</f>
        <v>MORRIS 3</v>
      </c>
      <c r="C2271" s="2" t="str">
        <f>VLOOKUP(A2271,'[1]Brand Family Territory (Enc)'!$A$2:$B$296,2,FALSE)</f>
        <v>All Counties</v>
      </c>
      <c r="D2271" s="2">
        <f>IF(COUNTIFS('[1]Brand Family Territories (Enc)'!$B$2:$B$62,C2271,'[1]Brand Family Territories (Enc)'!$C$2:$C$62,B2271)&gt;0,1,IF(AND(LEFT(B2271,6)="MORRIS",COUNTIFS('[1]Brand Family Territories (Enc)'!$B$2:$B$62,C2271,'[1]Brand Family Territories (Enc)'!$C$2:$C$62,"Morri")&gt;0),"Unk",0))</f>
        <v>1</v>
      </c>
      <c r="E2271" s="2" t="str">
        <f>IFERROR(INDEX('Blackout Brand Fam Areas (Enc)'!$D$6:$D$998,MATCH(UPPER(A2271)&amp;"|"&amp;UPPER(B2271),'Blackout Brand Fam Areas (Enc)'!$G$6:$G$998,0)),"No Match")</f>
        <v>No Match</v>
      </c>
      <c r="F2271" s="2" t="str">
        <f t="shared" si="70"/>
        <v>US</v>
      </c>
      <c r="G2271" s="2" t="str">
        <f t="shared" si="71"/>
        <v>Saratoga|MORRIS 3</v>
      </c>
    </row>
    <row r="2272" spans="1:7" x14ac:dyDescent="0.2">
      <c r="A2272" s="2" t="str" cm="1">
        <f t="array" ref="A2272">INDEX('[1]Brand Family Territory (Enc)'!$A$2:$A$296,INT((ROW()-2)/10)+1)</f>
        <v>Schaefer</v>
      </c>
      <c r="B2272" s="2" t="str" cm="1">
        <f t="array" ref="B2272">INDEX('Whitelist (Blackout Reverse)'!$B$1:$K$1,MOD(ROW()-2,10)+1)</f>
        <v>BERGEN</v>
      </c>
      <c r="C2272" s="2" t="str">
        <f>VLOOKUP(A2272,'[1]Brand Family Territory (Enc)'!$A$2:$B$296,2,FALSE)</f>
        <v>All Counties</v>
      </c>
      <c r="D2272" s="2">
        <f>IF(COUNTIFS('[1]Brand Family Territories (Enc)'!$B$2:$B$62,C2272,'[1]Brand Family Territories (Enc)'!$C$2:$C$62,B2272)&gt;0,1,IF(AND(LEFT(B2272,6)="MORRIS",COUNTIFS('[1]Brand Family Territories (Enc)'!$B$2:$B$62,C2272,'[1]Brand Family Territories (Enc)'!$C$2:$C$62,"Morri")&gt;0),"Unk",0))</f>
        <v>1</v>
      </c>
      <c r="E2272" s="2" t="str">
        <f>IFERROR(INDEX('Blackout Brand Fam Areas (Enc)'!$D$6:$D$998,MATCH(UPPER(A2272)&amp;"|"&amp;UPPER(B2272),'Blackout Brand Fam Areas (Enc)'!$G$6:$G$998,0)),"No Match")</f>
        <v>No Match</v>
      </c>
      <c r="F2272" s="2" t="str">
        <f t="shared" si="70"/>
        <v>US</v>
      </c>
      <c r="G2272" s="2" t="str">
        <f t="shared" si="71"/>
        <v>Schaefer|BERGEN</v>
      </c>
    </row>
    <row r="2273" spans="1:7" x14ac:dyDescent="0.2">
      <c r="A2273" s="2" t="str" cm="1">
        <f t="array" ref="A2273">INDEX('[1]Brand Family Territory (Enc)'!$A$2:$A$296,INT((ROW()-2)/10)+1)</f>
        <v>Schaefer</v>
      </c>
      <c r="B2273" s="2" t="str" cm="1">
        <f t="array" ref="B2273">INDEX('Whitelist (Blackout Reverse)'!$B$1:$K$1,MOD(ROW()-2,10)+1)</f>
        <v>PASSAIC</v>
      </c>
      <c r="C2273" s="2" t="str">
        <f>VLOOKUP(A2273,'[1]Brand Family Territory (Enc)'!$A$2:$B$296,2,FALSE)</f>
        <v>All Counties</v>
      </c>
      <c r="D2273" s="2">
        <f>IF(COUNTIFS('[1]Brand Family Territories (Enc)'!$B$2:$B$62,C2273,'[1]Brand Family Territories (Enc)'!$C$2:$C$62,B2273)&gt;0,1,IF(AND(LEFT(B2273,6)="MORRIS",COUNTIFS('[1]Brand Family Territories (Enc)'!$B$2:$B$62,C2273,'[1]Brand Family Territories (Enc)'!$C$2:$C$62,"Morri")&gt;0),"Unk",0))</f>
        <v>1</v>
      </c>
      <c r="E2273" s="2" t="str">
        <f>IFERROR(INDEX('Blackout Brand Fam Areas (Enc)'!$D$6:$D$998,MATCH(UPPER(A2273)&amp;"|"&amp;UPPER(B2273),'Blackout Brand Fam Areas (Enc)'!$G$6:$G$998,0)),"No Match")</f>
        <v>No Match</v>
      </c>
      <c r="F2273" s="2" t="str">
        <f t="shared" si="70"/>
        <v>US</v>
      </c>
      <c r="G2273" s="2" t="str">
        <f t="shared" si="71"/>
        <v>Schaefer|PASSAIC</v>
      </c>
    </row>
    <row r="2274" spans="1:7" x14ac:dyDescent="0.2">
      <c r="A2274" s="2" t="str" cm="1">
        <f t="array" ref="A2274">INDEX('[1]Brand Family Territory (Enc)'!$A$2:$A$296,INT((ROW()-2)/10)+1)</f>
        <v>Schaefer</v>
      </c>
      <c r="B2274" s="2" t="str" cm="1">
        <f t="array" ref="B2274">INDEX('Whitelist (Blackout Reverse)'!$B$1:$K$1,MOD(ROW()-2,10)+1)</f>
        <v>PASSAIC-FF</v>
      </c>
      <c r="C2274" s="2" t="str">
        <f>VLOOKUP(A2274,'[1]Brand Family Territory (Enc)'!$A$2:$B$296,2,FALSE)</f>
        <v>All Counties</v>
      </c>
      <c r="D2274" s="2">
        <f>IF(COUNTIFS('[1]Brand Family Territories (Enc)'!$B$2:$B$62,C2274,'[1]Brand Family Territories (Enc)'!$C$2:$C$62,B2274)&gt;0,1,IF(AND(LEFT(B2274,6)="MORRIS",COUNTIFS('[1]Brand Family Territories (Enc)'!$B$2:$B$62,C2274,'[1]Brand Family Territories (Enc)'!$C$2:$C$62,"Morri")&gt;0),"Unk",0))</f>
        <v>1</v>
      </c>
      <c r="E2274" s="2" t="str">
        <f>IFERROR(INDEX('Blackout Brand Fam Areas (Enc)'!$D$6:$D$998,MATCH(UPPER(A2274)&amp;"|"&amp;UPPER(B2274),'Blackout Brand Fam Areas (Enc)'!$G$6:$G$998,0)),"No Match")</f>
        <v>No Match</v>
      </c>
      <c r="F2274" s="2" t="str">
        <f t="shared" si="70"/>
        <v>US</v>
      </c>
      <c r="G2274" s="2" t="str">
        <f t="shared" si="71"/>
        <v>Schaefer|PASSAIC-FF</v>
      </c>
    </row>
    <row r="2275" spans="1:7" x14ac:dyDescent="0.2">
      <c r="A2275" s="2" t="str" cm="1">
        <f t="array" ref="A2275">INDEX('[1]Brand Family Territory (Enc)'!$A$2:$A$296,INT((ROW()-2)/10)+1)</f>
        <v>Schaefer</v>
      </c>
      <c r="B2275" s="2" t="str" cm="1">
        <f t="array" ref="B2275">INDEX('Whitelist (Blackout Reverse)'!$B$1:$K$1,MOD(ROW()-2,10)+1)</f>
        <v>ESSEX</v>
      </c>
      <c r="C2275" s="2" t="str">
        <f>VLOOKUP(A2275,'[1]Brand Family Territory (Enc)'!$A$2:$B$296,2,FALSE)</f>
        <v>All Counties</v>
      </c>
      <c r="D2275" s="2">
        <f>IF(COUNTIFS('[1]Brand Family Territories (Enc)'!$B$2:$B$62,C2275,'[1]Brand Family Territories (Enc)'!$C$2:$C$62,B2275)&gt;0,1,IF(AND(LEFT(B2275,6)="MORRIS",COUNTIFS('[1]Brand Family Territories (Enc)'!$B$2:$B$62,C2275,'[1]Brand Family Territories (Enc)'!$C$2:$C$62,"Morri")&gt;0),"Unk",0))</f>
        <v>1</v>
      </c>
      <c r="E2275" s="2" t="str">
        <f>IFERROR(INDEX('Blackout Brand Fam Areas (Enc)'!$D$6:$D$998,MATCH(UPPER(A2275)&amp;"|"&amp;UPPER(B2275),'Blackout Brand Fam Areas (Enc)'!$G$6:$G$998,0)),"No Match")</f>
        <v>No Match</v>
      </c>
      <c r="F2275" s="2" t="str">
        <f t="shared" si="70"/>
        <v>US</v>
      </c>
      <c r="G2275" s="2" t="str">
        <f t="shared" si="71"/>
        <v>Schaefer|ESSEX</v>
      </c>
    </row>
    <row r="2276" spans="1:7" x14ac:dyDescent="0.2">
      <c r="A2276" s="2" t="str" cm="1">
        <f t="array" ref="A2276">INDEX('[1]Brand Family Territory (Enc)'!$A$2:$A$296,INT((ROW()-2)/10)+1)</f>
        <v>Schaefer</v>
      </c>
      <c r="B2276" s="2" t="str" cm="1">
        <f t="array" ref="B2276">INDEX('Whitelist (Blackout Reverse)'!$B$1:$K$1,MOD(ROW()-2,10)+1)</f>
        <v>HUDSON</v>
      </c>
      <c r="C2276" s="2" t="str">
        <f>VLOOKUP(A2276,'[1]Brand Family Territory (Enc)'!$A$2:$B$296,2,FALSE)</f>
        <v>All Counties</v>
      </c>
      <c r="D2276" s="2">
        <f>IF(COUNTIFS('[1]Brand Family Territories (Enc)'!$B$2:$B$62,C2276,'[1]Brand Family Territories (Enc)'!$C$2:$C$62,B2276)&gt;0,1,IF(AND(LEFT(B2276,6)="MORRIS",COUNTIFS('[1]Brand Family Territories (Enc)'!$B$2:$B$62,C2276,'[1]Brand Family Territories (Enc)'!$C$2:$C$62,"Morri")&gt;0),"Unk",0))</f>
        <v>1</v>
      </c>
      <c r="E2276" s="2" t="str">
        <f>IFERROR(INDEX('Blackout Brand Fam Areas (Enc)'!$D$6:$D$998,MATCH(UPPER(A2276)&amp;"|"&amp;UPPER(B2276),'Blackout Brand Fam Areas (Enc)'!$G$6:$G$998,0)),"No Match")</f>
        <v>No Match</v>
      </c>
      <c r="F2276" s="2" t="str">
        <f t="shared" si="70"/>
        <v>US</v>
      </c>
      <c r="G2276" s="2" t="str">
        <f t="shared" si="71"/>
        <v>Schaefer|HUDSON</v>
      </c>
    </row>
    <row r="2277" spans="1:7" x14ac:dyDescent="0.2">
      <c r="A2277" s="2" t="str" cm="1">
        <f t="array" ref="A2277">INDEX('[1]Brand Family Territory (Enc)'!$A$2:$A$296,INT((ROW()-2)/10)+1)</f>
        <v>Schaefer</v>
      </c>
      <c r="B2277" s="2" t="str" cm="1">
        <f t="array" ref="B2277">INDEX('Whitelist (Blackout Reverse)'!$B$1:$K$1,MOD(ROW()-2,10)+1)</f>
        <v>UNION</v>
      </c>
      <c r="C2277" s="2" t="str">
        <f>VLOOKUP(A2277,'[1]Brand Family Territory (Enc)'!$A$2:$B$296,2,FALSE)</f>
        <v>All Counties</v>
      </c>
      <c r="D2277" s="2">
        <f>IF(COUNTIFS('[1]Brand Family Territories (Enc)'!$B$2:$B$62,C2277,'[1]Brand Family Territories (Enc)'!$C$2:$C$62,B2277)&gt;0,1,IF(AND(LEFT(B2277,6)="MORRIS",COUNTIFS('[1]Brand Family Territories (Enc)'!$B$2:$B$62,C2277,'[1]Brand Family Territories (Enc)'!$C$2:$C$62,"Morri")&gt;0),"Unk",0))</f>
        <v>1</v>
      </c>
      <c r="E2277" s="2" t="str">
        <f>IFERROR(INDEX('Blackout Brand Fam Areas (Enc)'!$D$6:$D$998,MATCH(UPPER(A2277)&amp;"|"&amp;UPPER(B2277),'Blackout Brand Fam Areas (Enc)'!$G$6:$G$998,0)),"No Match")</f>
        <v>No Match</v>
      </c>
      <c r="F2277" s="2" t="str">
        <f t="shared" si="70"/>
        <v>US</v>
      </c>
      <c r="G2277" s="2" t="str">
        <f t="shared" si="71"/>
        <v>Schaefer|UNION</v>
      </c>
    </row>
    <row r="2278" spans="1:7" x14ac:dyDescent="0.2">
      <c r="A2278" s="2" t="str" cm="1">
        <f t="array" ref="A2278">INDEX('[1]Brand Family Territory (Enc)'!$A$2:$A$296,INT((ROW()-2)/10)+1)</f>
        <v>Schaefer</v>
      </c>
      <c r="B2278" s="2" t="str" cm="1">
        <f t="array" ref="B2278">INDEX('Whitelist (Blackout Reverse)'!$B$1:$K$1,MOD(ROW()-2,10)+1)</f>
        <v>SUSSEX</v>
      </c>
      <c r="C2278" s="2" t="str">
        <f>VLOOKUP(A2278,'[1]Brand Family Territory (Enc)'!$A$2:$B$296,2,FALSE)</f>
        <v>All Counties</v>
      </c>
      <c r="D2278" s="2">
        <f>IF(COUNTIFS('[1]Brand Family Territories (Enc)'!$B$2:$B$62,C2278,'[1]Brand Family Territories (Enc)'!$C$2:$C$62,B2278)&gt;0,1,IF(AND(LEFT(B2278,6)="MORRIS",COUNTIFS('[1]Brand Family Territories (Enc)'!$B$2:$B$62,C2278,'[1]Brand Family Territories (Enc)'!$C$2:$C$62,"Morri")&gt;0),"Unk",0))</f>
        <v>1</v>
      </c>
      <c r="E2278" s="2" t="str">
        <f>IFERROR(INDEX('Blackout Brand Fam Areas (Enc)'!$D$6:$D$998,MATCH(UPPER(A2278)&amp;"|"&amp;UPPER(B2278),'Blackout Brand Fam Areas (Enc)'!$G$6:$G$998,0)),"No Match")</f>
        <v>No Match</v>
      </c>
      <c r="F2278" s="2" t="str">
        <f t="shared" si="70"/>
        <v>US</v>
      </c>
      <c r="G2278" s="2" t="str">
        <f t="shared" si="71"/>
        <v>Schaefer|SUSSEX</v>
      </c>
    </row>
    <row r="2279" spans="1:7" x14ac:dyDescent="0.2">
      <c r="A2279" s="2" t="str" cm="1">
        <f t="array" ref="A2279">INDEX('[1]Brand Family Territory (Enc)'!$A$2:$A$296,INT((ROW()-2)/10)+1)</f>
        <v>Schaefer</v>
      </c>
      <c r="B2279" s="2" t="str" cm="1">
        <f t="array" ref="B2279">INDEX('Whitelist (Blackout Reverse)'!$B$1:$K$1,MOD(ROW()-2,10)+1)</f>
        <v>MORRIS 1</v>
      </c>
      <c r="C2279" s="2" t="str">
        <f>VLOOKUP(A2279,'[1]Brand Family Territory (Enc)'!$A$2:$B$296,2,FALSE)</f>
        <v>All Counties</v>
      </c>
      <c r="D2279" s="2">
        <f>IF(COUNTIFS('[1]Brand Family Territories (Enc)'!$B$2:$B$62,C2279,'[1]Brand Family Territories (Enc)'!$C$2:$C$62,B2279)&gt;0,1,IF(AND(LEFT(B2279,6)="MORRIS",COUNTIFS('[1]Brand Family Territories (Enc)'!$B$2:$B$62,C2279,'[1]Brand Family Territories (Enc)'!$C$2:$C$62,"Morri")&gt;0),"Unk",0))</f>
        <v>1</v>
      </c>
      <c r="E2279" s="2" t="str">
        <f>IFERROR(INDEX('Blackout Brand Fam Areas (Enc)'!$D$6:$D$998,MATCH(UPPER(A2279)&amp;"|"&amp;UPPER(B2279),'Blackout Brand Fam Areas (Enc)'!$G$6:$G$998,0)),"No Match")</f>
        <v>No Match</v>
      </c>
      <c r="F2279" s="2" t="str">
        <f t="shared" si="70"/>
        <v>US</v>
      </c>
      <c r="G2279" s="2" t="str">
        <f t="shared" si="71"/>
        <v>Schaefer|MORRIS 1</v>
      </c>
    </row>
    <row r="2280" spans="1:7" x14ac:dyDescent="0.2">
      <c r="A2280" s="2" t="str" cm="1">
        <f t="array" ref="A2280">INDEX('[1]Brand Family Territory (Enc)'!$A$2:$A$296,INT((ROW()-2)/10)+1)</f>
        <v>Schaefer</v>
      </c>
      <c r="B2280" s="2" t="str" cm="1">
        <f t="array" ref="B2280">INDEX('Whitelist (Blackout Reverse)'!$B$1:$K$1,MOD(ROW()-2,10)+1)</f>
        <v>MORRIS 2</v>
      </c>
      <c r="C2280" s="2" t="str">
        <f>VLOOKUP(A2280,'[1]Brand Family Territory (Enc)'!$A$2:$B$296,2,FALSE)</f>
        <v>All Counties</v>
      </c>
      <c r="D2280" s="2">
        <f>IF(COUNTIFS('[1]Brand Family Territories (Enc)'!$B$2:$B$62,C2280,'[1]Brand Family Territories (Enc)'!$C$2:$C$62,B2280)&gt;0,1,IF(AND(LEFT(B2280,6)="MORRIS",COUNTIFS('[1]Brand Family Territories (Enc)'!$B$2:$B$62,C2280,'[1]Brand Family Territories (Enc)'!$C$2:$C$62,"Morri")&gt;0),"Unk",0))</f>
        <v>1</v>
      </c>
      <c r="E2280" s="2" t="str">
        <f>IFERROR(INDEX('Blackout Brand Fam Areas (Enc)'!$D$6:$D$998,MATCH(UPPER(A2280)&amp;"|"&amp;UPPER(B2280),'Blackout Brand Fam Areas (Enc)'!$G$6:$G$998,0)),"No Match")</f>
        <v>No Match</v>
      </c>
      <c r="F2280" s="2" t="str">
        <f t="shared" si="70"/>
        <v>US</v>
      </c>
      <c r="G2280" s="2" t="str">
        <f t="shared" si="71"/>
        <v>Schaefer|MORRIS 2</v>
      </c>
    </row>
    <row r="2281" spans="1:7" x14ac:dyDescent="0.2">
      <c r="A2281" s="2" t="str" cm="1">
        <f t="array" ref="A2281">INDEX('[1]Brand Family Territory (Enc)'!$A$2:$A$296,INT((ROW()-2)/10)+1)</f>
        <v>Schaefer</v>
      </c>
      <c r="B2281" s="2" t="str" cm="1">
        <f t="array" ref="B2281">INDEX('Whitelist (Blackout Reverse)'!$B$1:$K$1,MOD(ROW()-2,10)+1)</f>
        <v>MORRIS 3</v>
      </c>
      <c r="C2281" s="2" t="str">
        <f>VLOOKUP(A2281,'[1]Brand Family Territory (Enc)'!$A$2:$B$296,2,FALSE)</f>
        <v>All Counties</v>
      </c>
      <c r="D2281" s="2">
        <f>IF(COUNTIFS('[1]Brand Family Territories (Enc)'!$B$2:$B$62,C2281,'[1]Brand Family Territories (Enc)'!$C$2:$C$62,B2281)&gt;0,1,IF(AND(LEFT(B2281,6)="MORRIS",COUNTIFS('[1]Brand Family Territories (Enc)'!$B$2:$B$62,C2281,'[1]Brand Family Territories (Enc)'!$C$2:$C$62,"Morri")&gt;0),"Unk",0))</f>
        <v>1</v>
      </c>
      <c r="E2281" s="2" t="str">
        <f>IFERROR(INDEX('Blackout Brand Fam Areas (Enc)'!$D$6:$D$998,MATCH(UPPER(A2281)&amp;"|"&amp;UPPER(B2281),'Blackout Brand Fam Areas (Enc)'!$G$6:$G$998,0)),"No Match")</f>
        <v>No Match</v>
      </c>
      <c r="F2281" s="2" t="str">
        <f t="shared" si="70"/>
        <v>US</v>
      </c>
      <c r="G2281" s="2" t="str">
        <f t="shared" si="71"/>
        <v>Schaefer|MORRIS 3</v>
      </c>
    </row>
    <row r="2282" spans="1:7" x14ac:dyDescent="0.2">
      <c r="A2282" s="2" t="str" cm="1">
        <f t="array" ref="A2282">INDEX('[1]Brand Family Territory (Enc)'!$A$2:$A$296,INT((ROW()-2)/10)+1)</f>
        <v>Schlitz Malt</v>
      </c>
      <c r="B2282" s="2" t="str" cm="1">
        <f t="array" ref="B2282">INDEX('Whitelist (Blackout Reverse)'!$B$1:$K$1,MOD(ROW()-2,10)+1)</f>
        <v>BERGEN</v>
      </c>
      <c r="C2282" s="2" t="str">
        <f>VLOOKUP(A2282,'[1]Brand Family Territory (Enc)'!$A$2:$B$296,2,FALSE)</f>
        <v>All Counties</v>
      </c>
      <c r="D2282" s="2">
        <f>IF(COUNTIFS('[1]Brand Family Territories (Enc)'!$B$2:$B$62,C2282,'[1]Brand Family Territories (Enc)'!$C$2:$C$62,B2282)&gt;0,1,IF(AND(LEFT(B2282,6)="MORRIS",COUNTIFS('[1]Brand Family Territories (Enc)'!$B$2:$B$62,C2282,'[1]Brand Family Territories (Enc)'!$C$2:$C$62,"Morri")&gt;0),"Unk",0))</f>
        <v>1</v>
      </c>
      <c r="E2282" s="2" t="str">
        <f>IFERROR(INDEX('Blackout Brand Fam Areas (Enc)'!$D$6:$D$998,MATCH(UPPER(A2282)&amp;"|"&amp;UPPER(B2282),'Blackout Brand Fam Areas (Enc)'!$G$6:$G$998,0)),"No Match")</f>
        <v>No Match</v>
      </c>
      <c r="F2282" s="2" t="str">
        <f t="shared" si="70"/>
        <v>US</v>
      </c>
      <c r="G2282" s="2" t="str">
        <f t="shared" si="71"/>
        <v>Schlitz Malt|BERGEN</v>
      </c>
    </row>
    <row r="2283" spans="1:7" x14ac:dyDescent="0.2">
      <c r="A2283" s="2" t="str" cm="1">
        <f t="array" ref="A2283">INDEX('[1]Brand Family Territory (Enc)'!$A$2:$A$296,INT((ROW()-2)/10)+1)</f>
        <v>Schlitz Malt</v>
      </c>
      <c r="B2283" s="2" t="str" cm="1">
        <f t="array" ref="B2283">INDEX('Whitelist (Blackout Reverse)'!$B$1:$K$1,MOD(ROW()-2,10)+1)</f>
        <v>PASSAIC</v>
      </c>
      <c r="C2283" s="2" t="str">
        <f>VLOOKUP(A2283,'[1]Brand Family Territory (Enc)'!$A$2:$B$296,2,FALSE)</f>
        <v>All Counties</v>
      </c>
      <c r="D2283" s="2">
        <f>IF(COUNTIFS('[1]Brand Family Territories (Enc)'!$B$2:$B$62,C2283,'[1]Brand Family Territories (Enc)'!$C$2:$C$62,B2283)&gt;0,1,IF(AND(LEFT(B2283,6)="MORRIS",COUNTIFS('[1]Brand Family Territories (Enc)'!$B$2:$B$62,C2283,'[1]Brand Family Territories (Enc)'!$C$2:$C$62,"Morri")&gt;0),"Unk",0))</f>
        <v>1</v>
      </c>
      <c r="E2283" s="2" t="str">
        <f>IFERROR(INDEX('Blackout Brand Fam Areas (Enc)'!$D$6:$D$998,MATCH(UPPER(A2283)&amp;"|"&amp;UPPER(B2283),'Blackout Brand Fam Areas (Enc)'!$G$6:$G$998,0)),"No Match")</f>
        <v>No Match</v>
      </c>
      <c r="F2283" s="2" t="str">
        <f t="shared" si="70"/>
        <v>US</v>
      </c>
      <c r="G2283" s="2" t="str">
        <f t="shared" si="71"/>
        <v>Schlitz Malt|PASSAIC</v>
      </c>
    </row>
    <row r="2284" spans="1:7" x14ac:dyDescent="0.2">
      <c r="A2284" s="2" t="str" cm="1">
        <f t="array" ref="A2284">INDEX('[1]Brand Family Territory (Enc)'!$A$2:$A$296,INT((ROW()-2)/10)+1)</f>
        <v>Schlitz Malt</v>
      </c>
      <c r="B2284" s="2" t="str" cm="1">
        <f t="array" ref="B2284">INDEX('Whitelist (Blackout Reverse)'!$B$1:$K$1,MOD(ROW()-2,10)+1)</f>
        <v>PASSAIC-FF</v>
      </c>
      <c r="C2284" s="2" t="str">
        <f>VLOOKUP(A2284,'[1]Brand Family Territory (Enc)'!$A$2:$B$296,2,FALSE)</f>
        <v>All Counties</v>
      </c>
      <c r="D2284" s="2">
        <f>IF(COUNTIFS('[1]Brand Family Territories (Enc)'!$B$2:$B$62,C2284,'[1]Brand Family Territories (Enc)'!$C$2:$C$62,B2284)&gt;0,1,IF(AND(LEFT(B2284,6)="MORRIS",COUNTIFS('[1]Brand Family Territories (Enc)'!$B$2:$B$62,C2284,'[1]Brand Family Territories (Enc)'!$C$2:$C$62,"Morri")&gt;0),"Unk",0))</f>
        <v>1</v>
      </c>
      <c r="E2284" s="2" t="str">
        <f>IFERROR(INDEX('Blackout Brand Fam Areas (Enc)'!$D$6:$D$998,MATCH(UPPER(A2284)&amp;"|"&amp;UPPER(B2284),'Blackout Brand Fam Areas (Enc)'!$G$6:$G$998,0)),"No Match")</f>
        <v>No Match</v>
      </c>
      <c r="F2284" s="2" t="str">
        <f t="shared" si="70"/>
        <v>US</v>
      </c>
      <c r="G2284" s="2" t="str">
        <f t="shared" si="71"/>
        <v>Schlitz Malt|PASSAIC-FF</v>
      </c>
    </row>
    <row r="2285" spans="1:7" x14ac:dyDescent="0.2">
      <c r="A2285" s="2" t="str" cm="1">
        <f t="array" ref="A2285">INDEX('[1]Brand Family Territory (Enc)'!$A$2:$A$296,INT((ROW()-2)/10)+1)</f>
        <v>Schlitz Malt</v>
      </c>
      <c r="B2285" s="2" t="str" cm="1">
        <f t="array" ref="B2285">INDEX('Whitelist (Blackout Reverse)'!$B$1:$K$1,MOD(ROW()-2,10)+1)</f>
        <v>ESSEX</v>
      </c>
      <c r="C2285" s="2" t="str">
        <f>VLOOKUP(A2285,'[1]Brand Family Territory (Enc)'!$A$2:$B$296,2,FALSE)</f>
        <v>All Counties</v>
      </c>
      <c r="D2285" s="2">
        <f>IF(COUNTIFS('[1]Brand Family Territories (Enc)'!$B$2:$B$62,C2285,'[1]Brand Family Territories (Enc)'!$C$2:$C$62,B2285)&gt;0,1,IF(AND(LEFT(B2285,6)="MORRIS",COUNTIFS('[1]Brand Family Territories (Enc)'!$B$2:$B$62,C2285,'[1]Brand Family Territories (Enc)'!$C$2:$C$62,"Morri")&gt;0),"Unk",0))</f>
        <v>1</v>
      </c>
      <c r="E2285" s="2" t="str">
        <f>IFERROR(INDEX('Blackout Brand Fam Areas (Enc)'!$D$6:$D$998,MATCH(UPPER(A2285)&amp;"|"&amp;UPPER(B2285),'Blackout Brand Fam Areas (Enc)'!$G$6:$G$998,0)),"No Match")</f>
        <v>No Match</v>
      </c>
      <c r="F2285" s="2" t="str">
        <f t="shared" si="70"/>
        <v>US</v>
      </c>
      <c r="G2285" s="2" t="str">
        <f t="shared" si="71"/>
        <v>Schlitz Malt|ESSEX</v>
      </c>
    </row>
    <row r="2286" spans="1:7" x14ac:dyDescent="0.2">
      <c r="A2286" s="2" t="str" cm="1">
        <f t="array" ref="A2286">INDEX('[1]Brand Family Territory (Enc)'!$A$2:$A$296,INT((ROW()-2)/10)+1)</f>
        <v>Schlitz Malt</v>
      </c>
      <c r="B2286" s="2" t="str" cm="1">
        <f t="array" ref="B2286">INDEX('Whitelist (Blackout Reverse)'!$B$1:$K$1,MOD(ROW()-2,10)+1)</f>
        <v>HUDSON</v>
      </c>
      <c r="C2286" s="2" t="str">
        <f>VLOOKUP(A2286,'[1]Brand Family Territory (Enc)'!$A$2:$B$296,2,FALSE)</f>
        <v>All Counties</v>
      </c>
      <c r="D2286" s="2">
        <f>IF(COUNTIFS('[1]Brand Family Territories (Enc)'!$B$2:$B$62,C2286,'[1]Brand Family Territories (Enc)'!$C$2:$C$62,B2286)&gt;0,1,IF(AND(LEFT(B2286,6)="MORRIS",COUNTIFS('[1]Brand Family Territories (Enc)'!$B$2:$B$62,C2286,'[1]Brand Family Territories (Enc)'!$C$2:$C$62,"Morri")&gt;0),"Unk",0))</f>
        <v>1</v>
      </c>
      <c r="E2286" s="2" t="str">
        <f>IFERROR(INDEX('Blackout Brand Fam Areas (Enc)'!$D$6:$D$998,MATCH(UPPER(A2286)&amp;"|"&amp;UPPER(B2286),'Blackout Brand Fam Areas (Enc)'!$G$6:$G$998,0)),"No Match")</f>
        <v>No Match</v>
      </c>
      <c r="F2286" s="2" t="str">
        <f t="shared" si="70"/>
        <v>US</v>
      </c>
      <c r="G2286" s="2" t="str">
        <f t="shared" si="71"/>
        <v>Schlitz Malt|HUDSON</v>
      </c>
    </row>
    <row r="2287" spans="1:7" x14ac:dyDescent="0.2">
      <c r="A2287" s="2" t="str" cm="1">
        <f t="array" ref="A2287">INDEX('[1]Brand Family Territory (Enc)'!$A$2:$A$296,INT((ROW()-2)/10)+1)</f>
        <v>Schlitz Malt</v>
      </c>
      <c r="B2287" s="2" t="str" cm="1">
        <f t="array" ref="B2287">INDEX('Whitelist (Blackout Reverse)'!$B$1:$K$1,MOD(ROW()-2,10)+1)</f>
        <v>UNION</v>
      </c>
      <c r="C2287" s="2" t="str">
        <f>VLOOKUP(A2287,'[1]Brand Family Territory (Enc)'!$A$2:$B$296,2,FALSE)</f>
        <v>All Counties</v>
      </c>
      <c r="D2287" s="2">
        <f>IF(COUNTIFS('[1]Brand Family Territories (Enc)'!$B$2:$B$62,C2287,'[1]Brand Family Territories (Enc)'!$C$2:$C$62,B2287)&gt;0,1,IF(AND(LEFT(B2287,6)="MORRIS",COUNTIFS('[1]Brand Family Territories (Enc)'!$B$2:$B$62,C2287,'[1]Brand Family Territories (Enc)'!$C$2:$C$62,"Morri")&gt;0),"Unk",0))</f>
        <v>1</v>
      </c>
      <c r="E2287" s="2" t="str">
        <f>IFERROR(INDEX('Blackout Brand Fam Areas (Enc)'!$D$6:$D$998,MATCH(UPPER(A2287)&amp;"|"&amp;UPPER(B2287),'Blackout Brand Fam Areas (Enc)'!$G$6:$G$998,0)),"No Match")</f>
        <v>No Match</v>
      </c>
      <c r="F2287" s="2" t="str">
        <f t="shared" si="70"/>
        <v>US</v>
      </c>
      <c r="G2287" s="2" t="str">
        <f t="shared" si="71"/>
        <v>Schlitz Malt|UNION</v>
      </c>
    </row>
    <row r="2288" spans="1:7" x14ac:dyDescent="0.2">
      <c r="A2288" s="2" t="str" cm="1">
        <f t="array" ref="A2288">INDEX('[1]Brand Family Territory (Enc)'!$A$2:$A$296,INT((ROW()-2)/10)+1)</f>
        <v>Schlitz Malt</v>
      </c>
      <c r="B2288" s="2" t="str" cm="1">
        <f t="array" ref="B2288">INDEX('Whitelist (Blackout Reverse)'!$B$1:$K$1,MOD(ROW()-2,10)+1)</f>
        <v>SUSSEX</v>
      </c>
      <c r="C2288" s="2" t="str">
        <f>VLOOKUP(A2288,'[1]Brand Family Territory (Enc)'!$A$2:$B$296,2,FALSE)</f>
        <v>All Counties</v>
      </c>
      <c r="D2288" s="2">
        <f>IF(COUNTIFS('[1]Brand Family Territories (Enc)'!$B$2:$B$62,C2288,'[1]Brand Family Territories (Enc)'!$C$2:$C$62,B2288)&gt;0,1,IF(AND(LEFT(B2288,6)="MORRIS",COUNTIFS('[1]Brand Family Territories (Enc)'!$B$2:$B$62,C2288,'[1]Brand Family Territories (Enc)'!$C$2:$C$62,"Morri")&gt;0),"Unk",0))</f>
        <v>1</v>
      </c>
      <c r="E2288" s="2" t="str">
        <f>IFERROR(INDEX('Blackout Brand Fam Areas (Enc)'!$D$6:$D$998,MATCH(UPPER(A2288)&amp;"|"&amp;UPPER(B2288),'Blackout Brand Fam Areas (Enc)'!$G$6:$G$998,0)),"No Match")</f>
        <v>No Match</v>
      </c>
      <c r="F2288" s="2" t="str">
        <f t="shared" si="70"/>
        <v>US</v>
      </c>
      <c r="G2288" s="2" t="str">
        <f t="shared" si="71"/>
        <v>Schlitz Malt|SUSSEX</v>
      </c>
    </row>
    <row r="2289" spans="1:7" x14ac:dyDescent="0.2">
      <c r="A2289" s="2" t="str" cm="1">
        <f t="array" ref="A2289">INDEX('[1]Brand Family Territory (Enc)'!$A$2:$A$296,INT((ROW()-2)/10)+1)</f>
        <v>Schlitz Malt</v>
      </c>
      <c r="B2289" s="2" t="str" cm="1">
        <f t="array" ref="B2289">INDEX('Whitelist (Blackout Reverse)'!$B$1:$K$1,MOD(ROW()-2,10)+1)</f>
        <v>MORRIS 1</v>
      </c>
      <c r="C2289" s="2" t="str">
        <f>VLOOKUP(A2289,'[1]Brand Family Territory (Enc)'!$A$2:$B$296,2,FALSE)</f>
        <v>All Counties</v>
      </c>
      <c r="D2289" s="2">
        <f>IF(COUNTIFS('[1]Brand Family Territories (Enc)'!$B$2:$B$62,C2289,'[1]Brand Family Territories (Enc)'!$C$2:$C$62,B2289)&gt;0,1,IF(AND(LEFT(B2289,6)="MORRIS",COUNTIFS('[1]Brand Family Territories (Enc)'!$B$2:$B$62,C2289,'[1]Brand Family Territories (Enc)'!$C$2:$C$62,"Morri")&gt;0),"Unk",0))</f>
        <v>1</v>
      </c>
      <c r="E2289" s="2" t="str">
        <f>IFERROR(INDEX('Blackout Brand Fam Areas (Enc)'!$D$6:$D$998,MATCH(UPPER(A2289)&amp;"|"&amp;UPPER(B2289),'Blackout Brand Fam Areas (Enc)'!$G$6:$G$998,0)),"No Match")</f>
        <v>No Match</v>
      </c>
      <c r="F2289" s="2" t="str">
        <f t="shared" si="70"/>
        <v>US</v>
      </c>
      <c r="G2289" s="2" t="str">
        <f t="shared" si="71"/>
        <v>Schlitz Malt|MORRIS 1</v>
      </c>
    </row>
    <row r="2290" spans="1:7" x14ac:dyDescent="0.2">
      <c r="A2290" s="2" t="str" cm="1">
        <f t="array" ref="A2290">INDEX('[1]Brand Family Territory (Enc)'!$A$2:$A$296,INT((ROW()-2)/10)+1)</f>
        <v>Schlitz Malt</v>
      </c>
      <c r="B2290" s="2" t="str" cm="1">
        <f t="array" ref="B2290">INDEX('Whitelist (Blackout Reverse)'!$B$1:$K$1,MOD(ROW()-2,10)+1)</f>
        <v>MORRIS 2</v>
      </c>
      <c r="C2290" s="2" t="str">
        <f>VLOOKUP(A2290,'[1]Brand Family Territory (Enc)'!$A$2:$B$296,2,FALSE)</f>
        <v>All Counties</v>
      </c>
      <c r="D2290" s="2">
        <f>IF(COUNTIFS('[1]Brand Family Territories (Enc)'!$B$2:$B$62,C2290,'[1]Brand Family Territories (Enc)'!$C$2:$C$62,B2290)&gt;0,1,IF(AND(LEFT(B2290,6)="MORRIS",COUNTIFS('[1]Brand Family Territories (Enc)'!$B$2:$B$62,C2290,'[1]Brand Family Territories (Enc)'!$C$2:$C$62,"Morri")&gt;0),"Unk",0))</f>
        <v>1</v>
      </c>
      <c r="E2290" s="2" t="str">
        <f>IFERROR(INDEX('Blackout Brand Fam Areas (Enc)'!$D$6:$D$998,MATCH(UPPER(A2290)&amp;"|"&amp;UPPER(B2290),'Blackout Brand Fam Areas (Enc)'!$G$6:$G$998,0)),"No Match")</f>
        <v>No Match</v>
      </c>
      <c r="F2290" s="2" t="str">
        <f t="shared" si="70"/>
        <v>US</v>
      </c>
      <c r="G2290" s="2" t="str">
        <f t="shared" si="71"/>
        <v>Schlitz Malt|MORRIS 2</v>
      </c>
    </row>
    <row r="2291" spans="1:7" x14ac:dyDescent="0.2">
      <c r="A2291" s="2" t="str" cm="1">
        <f t="array" ref="A2291">INDEX('[1]Brand Family Territory (Enc)'!$A$2:$A$296,INT((ROW()-2)/10)+1)</f>
        <v>Schlitz Malt</v>
      </c>
      <c r="B2291" s="2" t="str" cm="1">
        <f t="array" ref="B2291">INDEX('Whitelist (Blackout Reverse)'!$B$1:$K$1,MOD(ROW()-2,10)+1)</f>
        <v>MORRIS 3</v>
      </c>
      <c r="C2291" s="2" t="str">
        <f>VLOOKUP(A2291,'[1]Brand Family Territory (Enc)'!$A$2:$B$296,2,FALSE)</f>
        <v>All Counties</v>
      </c>
      <c r="D2291" s="2">
        <f>IF(COUNTIFS('[1]Brand Family Territories (Enc)'!$B$2:$B$62,C2291,'[1]Brand Family Territories (Enc)'!$C$2:$C$62,B2291)&gt;0,1,IF(AND(LEFT(B2291,6)="MORRIS",COUNTIFS('[1]Brand Family Territories (Enc)'!$B$2:$B$62,C2291,'[1]Brand Family Territories (Enc)'!$C$2:$C$62,"Morri")&gt;0),"Unk",0))</f>
        <v>1</v>
      </c>
      <c r="E2291" s="2" t="str">
        <f>IFERROR(INDEX('Blackout Brand Fam Areas (Enc)'!$D$6:$D$998,MATCH(UPPER(A2291)&amp;"|"&amp;UPPER(B2291),'Blackout Brand Fam Areas (Enc)'!$G$6:$G$998,0)),"No Match")</f>
        <v>No Match</v>
      </c>
      <c r="F2291" s="2" t="str">
        <f t="shared" si="70"/>
        <v>US</v>
      </c>
      <c r="G2291" s="2" t="str">
        <f t="shared" si="71"/>
        <v>Schlitz Malt|MORRIS 3</v>
      </c>
    </row>
    <row r="2292" spans="1:7" x14ac:dyDescent="0.2">
      <c r="A2292" s="2" t="str" cm="1">
        <f t="array" ref="A2292">INDEX('[1]Brand Family Territory (Enc)'!$A$2:$A$296,INT((ROW()-2)/10)+1)</f>
        <v>Schofferhofer</v>
      </c>
      <c r="B2292" s="2" t="str" cm="1">
        <f t="array" ref="B2292">INDEX('Whitelist (Blackout Reverse)'!$B$1:$K$1,MOD(ROW()-2,10)+1)</f>
        <v>BERGEN</v>
      </c>
      <c r="C2292" s="2" t="str">
        <f>VLOOKUP(A2292,'[1]Brand Family Territory (Enc)'!$A$2:$B$296,2,FALSE)</f>
        <v>All Counties</v>
      </c>
      <c r="D2292" s="2">
        <f>IF(COUNTIFS('[1]Brand Family Territories (Enc)'!$B$2:$B$62,C2292,'[1]Brand Family Territories (Enc)'!$C$2:$C$62,B2292)&gt;0,1,IF(AND(LEFT(B2292,6)="MORRIS",COUNTIFS('[1]Brand Family Territories (Enc)'!$B$2:$B$62,C2292,'[1]Brand Family Territories (Enc)'!$C$2:$C$62,"Morri")&gt;0),"Unk",0))</f>
        <v>1</v>
      </c>
      <c r="E2292" s="2" t="str">
        <f>IFERROR(INDEX('Blackout Brand Fam Areas (Enc)'!$D$6:$D$998,MATCH(UPPER(A2292)&amp;"|"&amp;UPPER(B2292),'Blackout Brand Fam Areas (Enc)'!$G$6:$G$998,0)),"No Match")</f>
        <v>No Match</v>
      </c>
      <c r="F2292" s="2" t="str">
        <f t="shared" si="70"/>
        <v>US</v>
      </c>
      <c r="G2292" s="2" t="str">
        <f t="shared" si="71"/>
        <v>Schofferhofer|BERGEN</v>
      </c>
    </row>
    <row r="2293" spans="1:7" x14ac:dyDescent="0.2">
      <c r="A2293" s="2" t="str" cm="1">
        <f t="array" ref="A2293">INDEX('[1]Brand Family Territory (Enc)'!$A$2:$A$296,INT((ROW()-2)/10)+1)</f>
        <v>Schofferhofer</v>
      </c>
      <c r="B2293" s="2" t="str" cm="1">
        <f t="array" ref="B2293">INDEX('Whitelist (Blackout Reverse)'!$B$1:$K$1,MOD(ROW()-2,10)+1)</f>
        <v>PASSAIC</v>
      </c>
      <c r="C2293" s="2" t="str">
        <f>VLOOKUP(A2293,'[1]Brand Family Territory (Enc)'!$A$2:$B$296,2,FALSE)</f>
        <v>All Counties</v>
      </c>
      <c r="D2293" s="2">
        <f>IF(COUNTIFS('[1]Brand Family Territories (Enc)'!$B$2:$B$62,C2293,'[1]Brand Family Territories (Enc)'!$C$2:$C$62,B2293)&gt;0,1,IF(AND(LEFT(B2293,6)="MORRIS",COUNTIFS('[1]Brand Family Territories (Enc)'!$B$2:$B$62,C2293,'[1]Brand Family Territories (Enc)'!$C$2:$C$62,"Morri")&gt;0),"Unk",0))</f>
        <v>1</v>
      </c>
      <c r="E2293" s="2" t="str">
        <f>IFERROR(INDEX('Blackout Brand Fam Areas (Enc)'!$D$6:$D$998,MATCH(UPPER(A2293)&amp;"|"&amp;UPPER(B2293),'Blackout Brand Fam Areas (Enc)'!$G$6:$G$998,0)),"No Match")</f>
        <v>No Match</v>
      </c>
      <c r="F2293" s="2" t="str">
        <f t="shared" si="70"/>
        <v>US</v>
      </c>
      <c r="G2293" s="2" t="str">
        <f t="shared" si="71"/>
        <v>Schofferhofer|PASSAIC</v>
      </c>
    </row>
    <row r="2294" spans="1:7" x14ac:dyDescent="0.2">
      <c r="A2294" s="2" t="str" cm="1">
        <f t="array" ref="A2294">INDEX('[1]Brand Family Territory (Enc)'!$A$2:$A$296,INT((ROW()-2)/10)+1)</f>
        <v>Schofferhofer</v>
      </c>
      <c r="B2294" s="2" t="str" cm="1">
        <f t="array" ref="B2294">INDEX('Whitelist (Blackout Reverse)'!$B$1:$K$1,MOD(ROW()-2,10)+1)</f>
        <v>PASSAIC-FF</v>
      </c>
      <c r="C2294" s="2" t="str">
        <f>VLOOKUP(A2294,'[1]Brand Family Territory (Enc)'!$A$2:$B$296,2,FALSE)</f>
        <v>All Counties</v>
      </c>
      <c r="D2294" s="2">
        <f>IF(COUNTIFS('[1]Brand Family Territories (Enc)'!$B$2:$B$62,C2294,'[1]Brand Family Territories (Enc)'!$C$2:$C$62,B2294)&gt;0,1,IF(AND(LEFT(B2294,6)="MORRIS",COUNTIFS('[1]Brand Family Territories (Enc)'!$B$2:$B$62,C2294,'[1]Brand Family Territories (Enc)'!$C$2:$C$62,"Morri")&gt;0),"Unk",0))</f>
        <v>1</v>
      </c>
      <c r="E2294" s="2" t="str">
        <f>IFERROR(INDEX('Blackout Brand Fam Areas (Enc)'!$D$6:$D$998,MATCH(UPPER(A2294)&amp;"|"&amp;UPPER(B2294),'Blackout Brand Fam Areas (Enc)'!$G$6:$G$998,0)),"No Match")</f>
        <v>No Match</v>
      </c>
      <c r="F2294" s="2" t="str">
        <f t="shared" si="70"/>
        <v>US</v>
      </c>
      <c r="G2294" s="2" t="str">
        <f t="shared" si="71"/>
        <v>Schofferhofer|PASSAIC-FF</v>
      </c>
    </row>
    <row r="2295" spans="1:7" x14ac:dyDescent="0.2">
      <c r="A2295" s="2" t="str" cm="1">
        <f t="array" ref="A2295">INDEX('[1]Brand Family Territory (Enc)'!$A$2:$A$296,INT((ROW()-2)/10)+1)</f>
        <v>Schofferhofer</v>
      </c>
      <c r="B2295" s="2" t="str" cm="1">
        <f t="array" ref="B2295">INDEX('Whitelist (Blackout Reverse)'!$B$1:$K$1,MOD(ROW()-2,10)+1)</f>
        <v>ESSEX</v>
      </c>
      <c r="C2295" s="2" t="str">
        <f>VLOOKUP(A2295,'[1]Brand Family Territory (Enc)'!$A$2:$B$296,2,FALSE)</f>
        <v>All Counties</v>
      </c>
      <c r="D2295" s="2">
        <f>IF(COUNTIFS('[1]Brand Family Territories (Enc)'!$B$2:$B$62,C2295,'[1]Brand Family Territories (Enc)'!$C$2:$C$62,B2295)&gt;0,1,IF(AND(LEFT(B2295,6)="MORRIS",COUNTIFS('[1]Brand Family Territories (Enc)'!$B$2:$B$62,C2295,'[1]Brand Family Territories (Enc)'!$C$2:$C$62,"Morri")&gt;0),"Unk",0))</f>
        <v>1</v>
      </c>
      <c r="E2295" s="2" t="str">
        <f>IFERROR(INDEX('Blackout Brand Fam Areas (Enc)'!$D$6:$D$998,MATCH(UPPER(A2295)&amp;"|"&amp;UPPER(B2295),'Blackout Brand Fam Areas (Enc)'!$G$6:$G$998,0)),"No Match")</f>
        <v>No Match</v>
      </c>
      <c r="F2295" s="2" t="str">
        <f t="shared" si="70"/>
        <v>US</v>
      </c>
      <c r="G2295" s="2" t="str">
        <f t="shared" si="71"/>
        <v>Schofferhofer|ESSEX</v>
      </c>
    </row>
    <row r="2296" spans="1:7" x14ac:dyDescent="0.2">
      <c r="A2296" s="2" t="str" cm="1">
        <f t="array" ref="A2296">INDEX('[1]Brand Family Territory (Enc)'!$A$2:$A$296,INT((ROW()-2)/10)+1)</f>
        <v>Schofferhofer</v>
      </c>
      <c r="B2296" s="2" t="str" cm="1">
        <f t="array" ref="B2296">INDEX('Whitelist (Blackout Reverse)'!$B$1:$K$1,MOD(ROW()-2,10)+1)</f>
        <v>HUDSON</v>
      </c>
      <c r="C2296" s="2" t="str">
        <f>VLOOKUP(A2296,'[1]Brand Family Territory (Enc)'!$A$2:$B$296,2,FALSE)</f>
        <v>All Counties</v>
      </c>
      <c r="D2296" s="2">
        <f>IF(COUNTIFS('[1]Brand Family Territories (Enc)'!$B$2:$B$62,C2296,'[1]Brand Family Territories (Enc)'!$C$2:$C$62,B2296)&gt;0,1,IF(AND(LEFT(B2296,6)="MORRIS",COUNTIFS('[1]Brand Family Territories (Enc)'!$B$2:$B$62,C2296,'[1]Brand Family Territories (Enc)'!$C$2:$C$62,"Morri")&gt;0),"Unk",0))</f>
        <v>1</v>
      </c>
      <c r="E2296" s="2" t="str">
        <f>IFERROR(INDEX('Blackout Brand Fam Areas (Enc)'!$D$6:$D$998,MATCH(UPPER(A2296)&amp;"|"&amp;UPPER(B2296),'Blackout Brand Fam Areas (Enc)'!$G$6:$G$998,0)),"No Match")</f>
        <v>No Match</v>
      </c>
      <c r="F2296" s="2" t="str">
        <f t="shared" si="70"/>
        <v>US</v>
      </c>
      <c r="G2296" s="2" t="str">
        <f t="shared" si="71"/>
        <v>Schofferhofer|HUDSON</v>
      </c>
    </row>
    <row r="2297" spans="1:7" x14ac:dyDescent="0.2">
      <c r="A2297" s="2" t="str" cm="1">
        <f t="array" ref="A2297">INDEX('[1]Brand Family Territory (Enc)'!$A$2:$A$296,INT((ROW()-2)/10)+1)</f>
        <v>Schofferhofer</v>
      </c>
      <c r="B2297" s="2" t="str" cm="1">
        <f t="array" ref="B2297">INDEX('Whitelist (Blackout Reverse)'!$B$1:$K$1,MOD(ROW()-2,10)+1)</f>
        <v>UNION</v>
      </c>
      <c r="C2297" s="2" t="str">
        <f>VLOOKUP(A2297,'[1]Brand Family Territory (Enc)'!$A$2:$B$296,2,FALSE)</f>
        <v>All Counties</v>
      </c>
      <c r="D2297" s="2">
        <f>IF(COUNTIFS('[1]Brand Family Territories (Enc)'!$B$2:$B$62,C2297,'[1]Brand Family Territories (Enc)'!$C$2:$C$62,B2297)&gt;0,1,IF(AND(LEFT(B2297,6)="MORRIS",COUNTIFS('[1]Brand Family Territories (Enc)'!$B$2:$B$62,C2297,'[1]Brand Family Territories (Enc)'!$C$2:$C$62,"Morri")&gt;0),"Unk",0))</f>
        <v>1</v>
      </c>
      <c r="E2297" s="2" t="str">
        <f>IFERROR(INDEX('Blackout Brand Fam Areas (Enc)'!$D$6:$D$998,MATCH(UPPER(A2297)&amp;"|"&amp;UPPER(B2297),'Blackout Brand Fam Areas (Enc)'!$G$6:$G$998,0)),"No Match")</f>
        <v>No Match</v>
      </c>
      <c r="F2297" s="2" t="str">
        <f t="shared" si="70"/>
        <v>US</v>
      </c>
      <c r="G2297" s="2" t="str">
        <f t="shared" si="71"/>
        <v>Schofferhofer|UNION</v>
      </c>
    </row>
    <row r="2298" spans="1:7" x14ac:dyDescent="0.2">
      <c r="A2298" s="2" t="str" cm="1">
        <f t="array" ref="A2298">INDEX('[1]Brand Family Territory (Enc)'!$A$2:$A$296,INT((ROW()-2)/10)+1)</f>
        <v>Schofferhofer</v>
      </c>
      <c r="B2298" s="2" t="str" cm="1">
        <f t="array" ref="B2298">INDEX('Whitelist (Blackout Reverse)'!$B$1:$K$1,MOD(ROW()-2,10)+1)</f>
        <v>SUSSEX</v>
      </c>
      <c r="C2298" s="2" t="str">
        <f>VLOOKUP(A2298,'[1]Brand Family Territory (Enc)'!$A$2:$B$296,2,FALSE)</f>
        <v>All Counties</v>
      </c>
      <c r="D2298" s="2">
        <f>IF(COUNTIFS('[1]Brand Family Territories (Enc)'!$B$2:$B$62,C2298,'[1]Brand Family Territories (Enc)'!$C$2:$C$62,B2298)&gt;0,1,IF(AND(LEFT(B2298,6)="MORRIS",COUNTIFS('[1]Brand Family Territories (Enc)'!$B$2:$B$62,C2298,'[1]Brand Family Territories (Enc)'!$C$2:$C$62,"Morri")&gt;0),"Unk",0))</f>
        <v>1</v>
      </c>
      <c r="E2298" s="2" t="str">
        <f>IFERROR(INDEX('Blackout Brand Fam Areas (Enc)'!$D$6:$D$998,MATCH(UPPER(A2298)&amp;"|"&amp;UPPER(B2298),'Blackout Brand Fam Areas (Enc)'!$G$6:$G$998,0)),"No Match")</f>
        <v>No Match</v>
      </c>
      <c r="F2298" s="2" t="str">
        <f t="shared" si="70"/>
        <v>US</v>
      </c>
      <c r="G2298" s="2" t="str">
        <f t="shared" si="71"/>
        <v>Schofferhofer|SUSSEX</v>
      </c>
    </row>
    <row r="2299" spans="1:7" x14ac:dyDescent="0.2">
      <c r="A2299" s="2" t="str" cm="1">
        <f t="array" ref="A2299">INDEX('[1]Brand Family Territory (Enc)'!$A$2:$A$296,INT((ROW()-2)/10)+1)</f>
        <v>Schofferhofer</v>
      </c>
      <c r="B2299" s="2" t="str" cm="1">
        <f t="array" ref="B2299">INDEX('Whitelist (Blackout Reverse)'!$B$1:$K$1,MOD(ROW()-2,10)+1)</f>
        <v>MORRIS 1</v>
      </c>
      <c r="C2299" s="2" t="str">
        <f>VLOOKUP(A2299,'[1]Brand Family Territory (Enc)'!$A$2:$B$296,2,FALSE)</f>
        <v>All Counties</v>
      </c>
      <c r="D2299" s="2">
        <f>IF(COUNTIFS('[1]Brand Family Territories (Enc)'!$B$2:$B$62,C2299,'[1]Brand Family Territories (Enc)'!$C$2:$C$62,B2299)&gt;0,1,IF(AND(LEFT(B2299,6)="MORRIS",COUNTIFS('[1]Brand Family Territories (Enc)'!$B$2:$B$62,C2299,'[1]Brand Family Territories (Enc)'!$C$2:$C$62,"Morri")&gt;0),"Unk",0))</f>
        <v>1</v>
      </c>
      <c r="E2299" s="2" t="str">
        <f>IFERROR(INDEX('Blackout Brand Fam Areas (Enc)'!$D$6:$D$998,MATCH(UPPER(A2299)&amp;"|"&amp;UPPER(B2299),'Blackout Brand Fam Areas (Enc)'!$G$6:$G$998,0)),"No Match")</f>
        <v>No Match</v>
      </c>
      <c r="F2299" s="2" t="str">
        <f t="shared" si="70"/>
        <v>US</v>
      </c>
      <c r="G2299" s="2" t="str">
        <f t="shared" si="71"/>
        <v>Schofferhofer|MORRIS 1</v>
      </c>
    </row>
    <row r="2300" spans="1:7" x14ac:dyDescent="0.2">
      <c r="A2300" s="2" t="str" cm="1">
        <f t="array" ref="A2300">INDEX('[1]Brand Family Territory (Enc)'!$A$2:$A$296,INT((ROW()-2)/10)+1)</f>
        <v>Schofferhofer</v>
      </c>
      <c r="B2300" s="2" t="str" cm="1">
        <f t="array" ref="B2300">INDEX('Whitelist (Blackout Reverse)'!$B$1:$K$1,MOD(ROW()-2,10)+1)</f>
        <v>MORRIS 2</v>
      </c>
      <c r="C2300" s="2" t="str">
        <f>VLOOKUP(A2300,'[1]Brand Family Territory (Enc)'!$A$2:$B$296,2,FALSE)</f>
        <v>All Counties</v>
      </c>
      <c r="D2300" s="2">
        <f>IF(COUNTIFS('[1]Brand Family Territories (Enc)'!$B$2:$B$62,C2300,'[1]Brand Family Territories (Enc)'!$C$2:$C$62,B2300)&gt;0,1,IF(AND(LEFT(B2300,6)="MORRIS",COUNTIFS('[1]Brand Family Territories (Enc)'!$B$2:$B$62,C2300,'[1]Brand Family Territories (Enc)'!$C$2:$C$62,"Morri")&gt;0),"Unk",0))</f>
        <v>1</v>
      </c>
      <c r="E2300" s="2" t="str">
        <f>IFERROR(INDEX('Blackout Brand Fam Areas (Enc)'!$D$6:$D$998,MATCH(UPPER(A2300)&amp;"|"&amp;UPPER(B2300),'Blackout Brand Fam Areas (Enc)'!$G$6:$G$998,0)),"No Match")</f>
        <v>No Match</v>
      </c>
      <c r="F2300" s="2" t="str">
        <f t="shared" si="70"/>
        <v>US</v>
      </c>
      <c r="G2300" s="2" t="str">
        <f t="shared" si="71"/>
        <v>Schofferhofer|MORRIS 2</v>
      </c>
    </row>
    <row r="2301" spans="1:7" x14ac:dyDescent="0.2">
      <c r="A2301" s="2" t="str" cm="1">
        <f t="array" ref="A2301">INDEX('[1]Brand Family Territory (Enc)'!$A$2:$A$296,INT((ROW()-2)/10)+1)</f>
        <v>Schofferhofer</v>
      </c>
      <c r="B2301" s="2" t="str" cm="1">
        <f t="array" ref="B2301">INDEX('Whitelist (Blackout Reverse)'!$B$1:$K$1,MOD(ROW()-2,10)+1)</f>
        <v>MORRIS 3</v>
      </c>
      <c r="C2301" s="2" t="str">
        <f>VLOOKUP(A2301,'[1]Brand Family Territory (Enc)'!$A$2:$B$296,2,FALSE)</f>
        <v>All Counties</v>
      </c>
      <c r="D2301" s="2">
        <f>IF(COUNTIFS('[1]Brand Family Territories (Enc)'!$B$2:$B$62,C2301,'[1]Brand Family Territories (Enc)'!$C$2:$C$62,B2301)&gt;0,1,IF(AND(LEFT(B2301,6)="MORRIS",COUNTIFS('[1]Brand Family Territories (Enc)'!$B$2:$B$62,C2301,'[1]Brand Family Territories (Enc)'!$C$2:$C$62,"Morri")&gt;0),"Unk",0))</f>
        <v>1</v>
      </c>
      <c r="E2301" s="2" t="str">
        <f>IFERROR(INDEX('Blackout Brand Fam Areas (Enc)'!$D$6:$D$998,MATCH(UPPER(A2301)&amp;"|"&amp;UPPER(B2301),'Blackout Brand Fam Areas (Enc)'!$G$6:$G$998,0)),"No Match")</f>
        <v>No Match</v>
      </c>
      <c r="F2301" s="2" t="str">
        <f t="shared" si="70"/>
        <v>US</v>
      </c>
      <c r="G2301" s="2" t="str">
        <f t="shared" si="71"/>
        <v>Schofferhofer|MORRIS 3</v>
      </c>
    </row>
    <row r="2302" spans="1:7" x14ac:dyDescent="0.2">
      <c r="A2302" s="2" t="str" cm="1">
        <f t="array" ref="A2302">INDEX('[1]Brand Family Territory (Enc)'!$A$2:$A$296,INT((ROW()-2)/10)+1)</f>
        <v>Source Brewing</v>
      </c>
      <c r="B2302" s="2" t="str" cm="1">
        <f t="array" ref="B2302">INDEX('Whitelist (Blackout Reverse)'!$B$1:$K$1,MOD(ROW()-2,10)+1)</f>
        <v>BERGEN</v>
      </c>
      <c r="C2302" s="2" t="str">
        <f>VLOOKUP(A2302,'[1]Brand Family Territory (Enc)'!$A$2:$B$296,2,FALSE)</f>
        <v>All Counties</v>
      </c>
      <c r="D2302" s="2">
        <f>IF(COUNTIFS('[1]Brand Family Territories (Enc)'!$B$2:$B$62,C2302,'[1]Brand Family Territories (Enc)'!$C$2:$C$62,B2302)&gt;0,1,IF(AND(LEFT(B2302,6)="MORRIS",COUNTIFS('[1]Brand Family Territories (Enc)'!$B$2:$B$62,C2302,'[1]Brand Family Territories (Enc)'!$C$2:$C$62,"Morri")&gt;0),"Unk",0))</f>
        <v>1</v>
      </c>
      <c r="E2302" s="2" t="str">
        <f>IFERROR(INDEX('Blackout Brand Fam Areas (Enc)'!$D$6:$D$998,MATCH(UPPER(A2302)&amp;"|"&amp;UPPER(B2302),'Blackout Brand Fam Areas (Enc)'!$G$6:$G$998,0)),"No Match")</f>
        <v>No Match</v>
      </c>
      <c r="F2302" s="2" t="str">
        <f t="shared" si="70"/>
        <v>US</v>
      </c>
      <c r="G2302" s="2" t="str">
        <f t="shared" si="71"/>
        <v>Source Brewing|BERGEN</v>
      </c>
    </row>
    <row r="2303" spans="1:7" x14ac:dyDescent="0.2">
      <c r="A2303" s="2" t="str" cm="1">
        <f t="array" ref="A2303">INDEX('[1]Brand Family Territory (Enc)'!$A$2:$A$296,INT((ROW()-2)/10)+1)</f>
        <v>Source Brewing</v>
      </c>
      <c r="B2303" s="2" t="str" cm="1">
        <f t="array" ref="B2303">INDEX('Whitelist (Blackout Reverse)'!$B$1:$K$1,MOD(ROW()-2,10)+1)</f>
        <v>PASSAIC</v>
      </c>
      <c r="C2303" s="2" t="str">
        <f>VLOOKUP(A2303,'[1]Brand Family Territory (Enc)'!$A$2:$B$296,2,FALSE)</f>
        <v>All Counties</v>
      </c>
      <c r="D2303" s="2">
        <f>IF(COUNTIFS('[1]Brand Family Territories (Enc)'!$B$2:$B$62,C2303,'[1]Brand Family Territories (Enc)'!$C$2:$C$62,B2303)&gt;0,1,IF(AND(LEFT(B2303,6)="MORRIS",COUNTIFS('[1]Brand Family Territories (Enc)'!$B$2:$B$62,C2303,'[1]Brand Family Territories (Enc)'!$C$2:$C$62,"Morri")&gt;0),"Unk",0))</f>
        <v>1</v>
      </c>
      <c r="E2303" s="2" t="str">
        <f>IFERROR(INDEX('Blackout Brand Fam Areas (Enc)'!$D$6:$D$998,MATCH(UPPER(A2303)&amp;"|"&amp;UPPER(B2303),'Blackout Brand Fam Areas (Enc)'!$G$6:$G$998,0)),"No Match")</f>
        <v>No Match</v>
      </c>
      <c r="F2303" s="2" t="str">
        <f t="shared" si="70"/>
        <v>US</v>
      </c>
      <c r="G2303" s="2" t="str">
        <f t="shared" si="71"/>
        <v>Source Brewing|PASSAIC</v>
      </c>
    </row>
    <row r="2304" spans="1:7" x14ac:dyDescent="0.2">
      <c r="A2304" s="2" t="str" cm="1">
        <f t="array" ref="A2304">INDEX('[1]Brand Family Territory (Enc)'!$A$2:$A$296,INT((ROW()-2)/10)+1)</f>
        <v>Source Brewing</v>
      </c>
      <c r="B2304" s="2" t="str" cm="1">
        <f t="array" ref="B2304">INDEX('Whitelist (Blackout Reverse)'!$B$1:$K$1,MOD(ROW()-2,10)+1)</f>
        <v>PASSAIC-FF</v>
      </c>
      <c r="C2304" s="2" t="str">
        <f>VLOOKUP(A2304,'[1]Brand Family Territory (Enc)'!$A$2:$B$296,2,FALSE)</f>
        <v>All Counties</v>
      </c>
      <c r="D2304" s="2">
        <f>IF(COUNTIFS('[1]Brand Family Territories (Enc)'!$B$2:$B$62,C2304,'[1]Brand Family Territories (Enc)'!$C$2:$C$62,B2304)&gt;0,1,IF(AND(LEFT(B2304,6)="MORRIS",COUNTIFS('[1]Brand Family Territories (Enc)'!$B$2:$B$62,C2304,'[1]Brand Family Territories (Enc)'!$C$2:$C$62,"Morri")&gt;0),"Unk",0))</f>
        <v>1</v>
      </c>
      <c r="E2304" s="2" t="str">
        <f>IFERROR(INDEX('Blackout Brand Fam Areas (Enc)'!$D$6:$D$998,MATCH(UPPER(A2304)&amp;"|"&amp;UPPER(B2304),'Blackout Brand Fam Areas (Enc)'!$G$6:$G$998,0)),"No Match")</f>
        <v>No Match</v>
      </c>
      <c r="F2304" s="2" t="str">
        <f t="shared" si="70"/>
        <v>US</v>
      </c>
      <c r="G2304" s="2" t="str">
        <f t="shared" si="71"/>
        <v>Source Brewing|PASSAIC-FF</v>
      </c>
    </row>
    <row r="2305" spans="1:7" x14ac:dyDescent="0.2">
      <c r="A2305" s="2" t="str" cm="1">
        <f t="array" ref="A2305">INDEX('[1]Brand Family Territory (Enc)'!$A$2:$A$296,INT((ROW()-2)/10)+1)</f>
        <v>Source Brewing</v>
      </c>
      <c r="B2305" s="2" t="str" cm="1">
        <f t="array" ref="B2305">INDEX('Whitelist (Blackout Reverse)'!$B$1:$K$1,MOD(ROW()-2,10)+1)</f>
        <v>ESSEX</v>
      </c>
      <c r="C2305" s="2" t="str">
        <f>VLOOKUP(A2305,'[1]Brand Family Territory (Enc)'!$A$2:$B$296,2,FALSE)</f>
        <v>All Counties</v>
      </c>
      <c r="D2305" s="2">
        <f>IF(COUNTIFS('[1]Brand Family Territories (Enc)'!$B$2:$B$62,C2305,'[1]Brand Family Territories (Enc)'!$C$2:$C$62,B2305)&gt;0,1,IF(AND(LEFT(B2305,6)="MORRIS",COUNTIFS('[1]Brand Family Territories (Enc)'!$B$2:$B$62,C2305,'[1]Brand Family Territories (Enc)'!$C$2:$C$62,"Morri")&gt;0),"Unk",0))</f>
        <v>1</v>
      </c>
      <c r="E2305" s="2" t="str">
        <f>IFERROR(INDEX('Blackout Brand Fam Areas (Enc)'!$D$6:$D$998,MATCH(UPPER(A2305)&amp;"|"&amp;UPPER(B2305),'Blackout Brand Fam Areas (Enc)'!$G$6:$G$998,0)),"No Match")</f>
        <v>No Match</v>
      </c>
      <c r="F2305" s="2" t="str">
        <f t="shared" si="70"/>
        <v>US</v>
      </c>
      <c r="G2305" s="2" t="str">
        <f t="shared" si="71"/>
        <v>Source Brewing|ESSEX</v>
      </c>
    </row>
    <row r="2306" spans="1:7" x14ac:dyDescent="0.2">
      <c r="A2306" s="2" t="str" cm="1">
        <f t="array" ref="A2306">INDEX('[1]Brand Family Territory (Enc)'!$A$2:$A$296,INT((ROW()-2)/10)+1)</f>
        <v>Source Brewing</v>
      </c>
      <c r="B2306" s="2" t="str" cm="1">
        <f t="array" ref="B2306">INDEX('Whitelist (Blackout Reverse)'!$B$1:$K$1,MOD(ROW()-2,10)+1)</f>
        <v>HUDSON</v>
      </c>
      <c r="C2306" s="2" t="str">
        <f>VLOOKUP(A2306,'[1]Brand Family Territory (Enc)'!$A$2:$B$296,2,FALSE)</f>
        <v>All Counties</v>
      </c>
      <c r="D2306" s="2">
        <f>IF(COUNTIFS('[1]Brand Family Territories (Enc)'!$B$2:$B$62,C2306,'[1]Brand Family Territories (Enc)'!$C$2:$C$62,B2306)&gt;0,1,IF(AND(LEFT(B2306,6)="MORRIS",COUNTIFS('[1]Brand Family Territories (Enc)'!$B$2:$B$62,C2306,'[1]Brand Family Territories (Enc)'!$C$2:$C$62,"Morri")&gt;0),"Unk",0))</f>
        <v>1</v>
      </c>
      <c r="E2306" s="2" t="str">
        <f>IFERROR(INDEX('Blackout Brand Fam Areas (Enc)'!$D$6:$D$998,MATCH(UPPER(A2306)&amp;"|"&amp;UPPER(B2306),'Blackout Brand Fam Areas (Enc)'!$G$6:$G$998,0)),"No Match")</f>
        <v>No Match</v>
      </c>
      <c r="F2306" s="2" t="str">
        <f t="shared" si="70"/>
        <v>US</v>
      </c>
      <c r="G2306" s="2" t="str">
        <f t="shared" si="71"/>
        <v>Source Brewing|HUDSON</v>
      </c>
    </row>
    <row r="2307" spans="1:7" x14ac:dyDescent="0.2">
      <c r="A2307" s="2" t="str" cm="1">
        <f t="array" ref="A2307">INDEX('[1]Brand Family Territory (Enc)'!$A$2:$A$296,INT((ROW()-2)/10)+1)</f>
        <v>Source Brewing</v>
      </c>
      <c r="B2307" s="2" t="str" cm="1">
        <f t="array" ref="B2307">INDEX('Whitelist (Blackout Reverse)'!$B$1:$K$1,MOD(ROW()-2,10)+1)</f>
        <v>UNION</v>
      </c>
      <c r="C2307" s="2" t="str">
        <f>VLOOKUP(A2307,'[1]Brand Family Territory (Enc)'!$A$2:$B$296,2,FALSE)</f>
        <v>All Counties</v>
      </c>
      <c r="D2307" s="2">
        <f>IF(COUNTIFS('[1]Brand Family Territories (Enc)'!$B$2:$B$62,C2307,'[1]Brand Family Territories (Enc)'!$C$2:$C$62,B2307)&gt;0,1,IF(AND(LEFT(B2307,6)="MORRIS",COUNTIFS('[1]Brand Family Territories (Enc)'!$B$2:$B$62,C2307,'[1]Brand Family Territories (Enc)'!$C$2:$C$62,"Morri")&gt;0),"Unk",0))</f>
        <v>1</v>
      </c>
      <c r="E2307" s="2" t="str">
        <f>IFERROR(INDEX('Blackout Brand Fam Areas (Enc)'!$D$6:$D$998,MATCH(UPPER(A2307)&amp;"|"&amp;UPPER(B2307),'Blackout Brand Fam Areas (Enc)'!$G$6:$G$998,0)),"No Match")</f>
        <v>No Match</v>
      </c>
      <c r="F2307" s="2" t="str">
        <f t="shared" ref="F2307:F2370" si="72">IF(D2307="Unk","Ambiguous (Source Truncated)",IF(E2307="Inactive","THEM",IF(D2307=1,"US",IF(D2307="N/A","No Territory Data","THEM"))))</f>
        <v>US</v>
      </c>
      <c r="G2307" s="2" t="str">
        <f t="shared" ref="G2307:G2370" si="73">A2307&amp;"|"&amp;B2307</f>
        <v>Source Brewing|UNION</v>
      </c>
    </row>
    <row r="2308" spans="1:7" x14ac:dyDescent="0.2">
      <c r="A2308" s="2" t="str" cm="1">
        <f t="array" ref="A2308">INDEX('[1]Brand Family Territory (Enc)'!$A$2:$A$296,INT((ROW()-2)/10)+1)</f>
        <v>Source Brewing</v>
      </c>
      <c r="B2308" s="2" t="str" cm="1">
        <f t="array" ref="B2308">INDEX('Whitelist (Blackout Reverse)'!$B$1:$K$1,MOD(ROW()-2,10)+1)</f>
        <v>SUSSEX</v>
      </c>
      <c r="C2308" s="2" t="str">
        <f>VLOOKUP(A2308,'[1]Brand Family Territory (Enc)'!$A$2:$B$296,2,FALSE)</f>
        <v>All Counties</v>
      </c>
      <c r="D2308" s="2">
        <f>IF(COUNTIFS('[1]Brand Family Territories (Enc)'!$B$2:$B$62,C2308,'[1]Brand Family Territories (Enc)'!$C$2:$C$62,B2308)&gt;0,1,IF(AND(LEFT(B2308,6)="MORRIS",COUNTIFS('[1]Brand Family Territories (Enc)'!$B$2:$B$62,C2308,'[1]Brand Family Territories (Enc)'!$C$2:$C$62,"Morri")&gt;0),"Unk",0))</f>
        <v>1</v>
      </c>
      <c r="E2308" s="2" t="str">
        <f>IFERROR(INDEX('Blackout Brand Fam Areas (Enc)'!$D$6:$D$998,MATCH(UPPER(A2308)&amp;"|"&amp;UPPER(B2308),'Blackout Brand Fam Areas (Enc)'!$G$6:$G$998,0)),"No Match")</f>
        <v>No Match</v>
      </c>
      <c r="F2308" s="2" t="str">
        <f t="shared" si="72"/>
        <v>US</v>
      </c>
      <c r="G2308" s="2" t="str">
        <f t="shared" si="73"/>
        <v>Source Brewing|SUSSEX</v>
      </c>
    </row>
    <row r="2309" spans="1:7" x14ac:dyDescent="0.2">
      <c r="A2309" s="2" t="str" cm="1">
        <f t="array" ref="A2309">INDEX('[1]Brand Family Territory (Enc)'!$A$2:$A$296,INT((ROW()-2)/10)+1)</f>
        <v>Source Brewing</v>
      </c>
      <c r="B2309" s="2" t="str" cm="1">
        <f t="array" ref="B2309">INDEX('Whitelist (Blackout Reverse)'!$B$1:$K$1,MOD(ROW()-2,10)+1)</f>
        <v>MORRIS 1</v>
      </c>
      <c r="C2309" s="2" t="str">
        <f>VLOOKUP(A2309,'[1]Brand Family Territory (Enc)'!$A$2:$B$296,2,FALSE)</f>
        <v>All Counties</v>
      </c>
      <c r="D2309" s="2">
        <f>IF(COUNTIFS('[1]Brand Family Territories (Enc)'!$B$2:$B$62,C2309,'[1]Brand Family Territories (Enc)'!$C$2:$C$62,B2309)&gt;0,1,IF(AND(LEFT(B2309,6)="MORRIS",COUNTIFS('[1]Brand Family Territories (Enc)'!$B$2:$B$62,C2309,'[1]Brand Family Territories (Enc)'!$C$2:$C$62,"Morri")&gt;0),"Unk",0))</f>
        <v>1</v>
      </c>
      <c r="E2309" s="2" t="str">
        <f>IFERROR(INDEX('Blackout Brand Fam Areas (Enc)'!$D$6:$D$998,MATCH(UPPER(A2309)&amp;"|"&amp;UPPER(B2309),'Blackout Brand Fam Areas (Enc)'!$G$6:$G$998,0)),"No Match")</f>
        <v>No Match</v>
      </c>
      <c r="F2309" s="2" t="str">
        <f t="shared" si="72"/>
        <v>US</v>
      </c>
      <c r="G2309" s="2" t="str">
        <f t="shared" si="73"/>
        <v>Source Brewing|MORRIS 1</v>
      </c>
    </row>
    <row r="2310" spans="1:7" x14ac:dyDescent="0.2">
      <c r="A2310" s="2" t="str" cm="1">
        <f t="array" ref="A2310">INDEX('[1]Brand Family Territory (Enc)'!$A$2:$A$296,INT((ROW()-2)/10)+1)</f>
        <v>Source Brewing</v>
      </c>
      <c r="B2310" s="2" t="str" cm="1">
        <f t="array" ref="B2310">INDEX('Whitelist (Blackout Reverse)'!$B$1:$K$1,MOD(ROW()-2,10)+1)</f>
        <v>MORRIS 2</v>
      </c>
      <c r="C2310" s="2" t="str">
        <f>VLOOKUP(A2310,'[1]Brand Family Territory (Enc)'!$A$2:$B$296,2,FALSE)</f>
        <v>All Counties</v>
      </c>
      <c r="D2310" s="2">
        <f>IF(COUNTIFS('[1]Brand Family Territories (Enc)'!$B$2:$B$62,C2310,'[1]Brand Family Territories (Enc)'!$C$2:$C$62,B2310)&gt;0,1,IF(AND(LEFT(B2310,6)="MORRIS",COUNTIFS('[1]Brand Family Territories (Enc)'!$B$2:$B$62,C2310,'[1]Brand Family Territories (Enc)'!$C$2:$C$62,"Morri")&gt;0),"Unk",0))</f>
        <v>1</v>
      </c>
      <c r="E2310" s="2" t="str">
        <f>IFERROR(INDEX('Blackout Brand Fam Areas (Enc)'!$D$6:$D$998,MATCH(UPPER(A2310)&amp;"|"&amp;UPPER(B2310),'Blackout Brand Fam Areas (Enc)'!$G$6:$G$998,0)),"No Match")</f>
        <v>No Match</v>
      </c>
      <c r="F2310" s="2" t="str">
        <f t="shared" si="72"/>
        <v>US</v>
      </c>
      <c r="G2310" s="2" t="str">
        <f t="shared" si="73"/>
        <v>Source Brewing|MORRIS 2</v>
      </c>
    </row>
    <row r="2311" spans="1:7" x14ac:dyDescent="0.2">
      <c r="A2311" s="2" t="str" cm="1">
        <f t="array" ref="A2311">INDEX('[1]Brand Family Territory (Enc)'!$A$2:$A$296,INT((ROW()-2)/10)+1)</f>
        <v>Source Brewing</v>
      </c>
      <c r="B2311" s="2" t="str" cm="1">
        <f t="array" ref="B2311">INDEX('Whitelist (Blackout Reverse)'!$B$1:$K$1,MOD(ROW()-2,10)+1)</f>
        <v>MORRIS 3</v>
      </c>
      <c r="C2311" s="2" t="str">
        <f>VLOOKUP(A2311,'[1]Brand Family Territory (Enc)'!$A$2:$B$296,2,FALSE)</f>
        <v>All Counties</v>
      </c>
      <c r="D2311" s="2">
        <f>IF(COUNTIFS('[1]Brand Family Territories (Enc)'!$B$2:$B$62,C2311,'[1]Brand Family Territories (Enc)'!$C$2:$C$62,B2311)&gt;0,1,IF(AND(LEFT(B2311,6)="MORRIS",COUNTIFS('[1]Brand Family Territories (Enc)'!$B$2:$B$62,C2311,'[1]Brand Family Territories (Enc)'!$C$2:$C$62,"Morri")&gt;0),"Unk",0))</f>
        <v>1</v>
      </c>
      <c r="E2311" s="2" t="str">
        <f>IFERROR(INDEX('Blackout Brand Fam Areas (Enc)'!$D$6:$D$998,MATCH(UPPER(A2311)&amp;"|"&amp;UPPER(B2311),'Blackout Brand Fam Areas (Enc)'!$G$6:$G$998,0)),"No Match")</f>
        <v>No Match</v>
      </c>
      <c r="F2311" s="2" t="str">
        <f t="shared" si="72"/>
        <v>US</v>
      </c>
      <c r="G2311" s="2" t="str">
        <f t="shared" si="73"/>
        <v>Source Brewing|MORRIS 3</v>
      </c>
    </row>
    <row r="2312" spans="1:7" x14ac:dyDescent="0.2">
      <c r="A2312" s="2" t="str" cm="1">
        <f t="array" ref="A2312">INDEX('[1]Brand Family Territory (Enc)'!$A$2:$A$296,INT((ROW()-2)/10)+1)</f>
        <v>St Ides</v>
      </c>
      <c r="B2312" s="2" t="str" cm="1">
        <f t="array" ref="B2312">INDEX('Whitelist (Blackout Reverse)'!$B$1:$K$1,MOD(ROW()-2,10)+1)</f>
        <v>BERGEN</v>
      </c>
      <c r="C2312" s="2" t="str">
        <f>VLOOKUP(A2312,'[1]Brand Family Territory (Enc)'!$A$2:$B$296,2,FALSE)</f>
        <v>All Counties</v>
      </c>
      <c r="D2312" s="2">
        <f>IF(COUNTIFS('[1]Brand Family Territories (Enc)'!$B$2:$B$62,C2312,'[1]Brand Family Territories (Enc)'!$C$2:$C$62,B2312)&gt;0,1,IF(AND(LEFT(B2312,6)="MORRIS",COUNTIFS('[1]Brand Family Territories (Enc)'!$B$2:$B$62,C2312,'[1]Brand Family Territories (Enc)'!$C$2:$C$62,"Morri")&gt;0),"Unk",0))</f>
        <v>1</v>
      </c>
      <c r="E2312" s="2" t="str">
        <f>IFERROR(INDEX('Blackout Brand Fam Areas (Enc)'!$D$6:$D$998,MATCH(UPPER(A2312)&amp;"|"&amp;UPPER(B2312),'Blackout Brand Fam Areas (Enc)'!$G$6:$G$998,0)),"No Match")</f>
        <v>No Match</v>
      </c>
      <c r="F2312" s="2" t="str">
        <f t="shared" si="72"/>
        <v>US</v>
      </c>
      <c r="G2312" s="2" t="str">
        <f t="shared" si="73"/>
        <v>St Ides|BERGEN</v>
      </c>
    </row>
    <row r="2313" spans="1:7" x14ac:dyDescent="0.2">
      <c r="A2313" s="2" t="str" cm="1">
        <f t="array" ref="A2313">INDEX('[1]Brand Family Territory (Enc)'!$A$2:$A$296,INT((ROW()-2)/10)+1)</f>
        <v>St Ides</v>
      </c>
      <c r="B2313" s="2" t="str" cm="1">
        <f t="array" ref="B2313">INDEX('Whitelist (Blackout Reverse)'!$B$1:$K$1,MOD(ROW()-2,10)+1)</f>
        <v>PASSAIC</v>
      </c>
      <c r="C2313" s="2" t="str">
        <f>VLOOKUP(A2313,'[1]Brand Family Territory (Enc)'!$A$2:$B$296,2,FALSE)</f>
        <v>All Counties</v>
      </c>
      <c r="D2313" s="2">
        <f>IF(COUNTIFS('[1]Brand Family Territories (Enc)'!$B$2:$B$62,C2313,'[1]Brand Family Territories (Enc)'!$C$2:$C$62,B2313)&gt;0,1,IF(AND(LEFT(B2313,6)="MORRIS",COUNTIFS('[1]Brand Family Territories (Enc)'!$B$2:$B$62,C2313,'[1]Brand Family Territories (Enc)'!$C$2:$C$62,"Morri")&gt;0),"Unk",0))</f>
        <v>1</v>
      </c>
      <c r="E2313" s="2" t="str">
        <f>IFERROR(INDEX('Blackout Brand Fam Areas (Enc)'!$D$6:$D$998,MATCH(UPPER(A2313)&amp;"|"&amp;UPPER(B2313),'Blackout Brand Fam Areas (Enc)'!$G$6:$G$998,0)),"No Match")</f>
        <v>No Match</v>
      </c>
      <c r="F2313" s="2" t="str">
        <f t="shared" si="72"/>
        <v>US</v>
      </c>
      <c r="G2313" s="2" t="str">
        <f t="shared" si="73"/>
        <v>St Ides|PASSAIC</v>
      </c>
    </row>
    <row r="2314" spans="1:7" x14ac:dyDescent="0.2">
      <c r="A2314" s="2" t="str" cm="1">
        <f t="array" ref="A2314">INDEX('[1]Brand Family Territory (Enc)'!$A$2:$A$296,INT((ROW()-2)/10)+1)</f>
        <v>St Ides</v>
      </c>
      <c r="B2314" s="2" t="str" cm="1">
        <f t="array" ref="B2314">INDEX('Whitelist (Blackout Reverse)'!$B$1:$K$1,MOD(ROW()-2,10)+1)</f>
        <v>PASSAIC-FF</v>
      </c>
      <c r="C2314" s="2" t="str">
        <f>VLOOKUP(A2314,'[1]Brand Family Territory (Enc)'!$A$2:$B$296,2,FALSE)</f>
        <v>All Counties</v>
      </c>
      <c r="D2314" s="2">
        <f>IF(COUNTIFS('[1]Brand Family Territories (Enc)'!$B$2:$B$62,C2314,'[1]Brand Family Territories (Enc)'!$C$2:$C$62,B2314)&gt;0,1,IF(AND(LEFT(B2314,6)="MORRIS",COUNTIFS('[1]Brand Family Territories (Enc)'!$B$2:$B$62,C2314,'[1]Brand Family Territories (Enc)'!$C$2:$C$62,"Morri")&gt;0),"Unk",0))</f>
        <v>1</v>
      </c>
      <c r="E2314" s="2" t="str">
        <f>IFERROR(INDEX('Blackout Brand Fam Areas (Enc)'!$D$6:$D$998,MATCH(UPPER(A2314)&amp;"|"&amp;UPPER(B2314),'Blackout Brand Fam Areas (Enc)'!$G$6:$G$998,0)),"No Match")</f>
        <v>No Match</v>
      </c>
      <c r="F2314" s="2" t="str">
        <f t="shared" si="72"/>
        <v>US</v>
      </c>
      <c r="G2314" s="2" t="str">
        <f t="shared" si="73"/>
        <v>St Ides|PASSAIC-FF</v>
      </c>
    </row>
    <row r="2315" spans="1:7" x14ac:dyDescent="0.2">
      <c r="A2315" s="2" t="str" cm="1">
        <f t="array" ref="A2315">INDEX('[1]Brand Family Territory (Enc)'!$A$2:$A$296,INT((ROW()-2)/10)+1)</f>
        <v>St Ides</v>
      </c>
      <c r="B2315" s="2" t="str" cm="1">
        <f t="array" ref="B2315">INDEX('Whitelist (Blackout Reverse)'!$B$1:$K$1,MOD(ROW()-2,10)+1)</f>
        <v>ESSEX</v>
      </c>
      <c r="C2315" s="2" t="str">
        <f>VLOOKUP(A2315,'[1]Brand Family Territory (Enc)'!$A$2:$B$296,2,FALSE)</f>
        <v>All Counties</v>
      </c>
      <c r="D2315" s="2">
        <f>IF(COUNTIFS('[1]Brand Family Territories (Enc)'!$B$2:$B$62,C2315,'[1]Brand Family Territories (Enc)'!$C$2:$C$62,B2315)&gt;0,1,IF(AND(LEFT(B2315,6)="MORRIS",COUNTIFS('[1]Brand Family Territories (Enc)'!$B$2:$B$62,C2315,'[1]Brand Family Territories (Enc)'!$C$2:$C$62,"Morri")&gt;0),"Unk",0))</f>
        <v>1</v>
      </c>
      <c r="E2315" s="2" t="str">
        <f>IFERROR(INDEX('Blackout Brand Fam Areas (Enc)'!$D$6:$D$998,MATCH(UPPER(A2315)&amp;"|"&amp;UPPER(B2315),'Blackout Brand Fam Areas (Enc)'!$G$6:$G$998,0)),"No Match")</f>
        <v>No Match</v>
      </c>
      <c r="F2315" s="2" t="str">
        <f t="shared" si="72"/>
        <v>US</v>
      </c>
      <c r="G2315" s="2" t="str">
        <f t="shared" si="73"/>
        <v>St Ides|ESSEX</v>
      </c>
    </row>
    <row r="2316" spans="1:7" x14ac:dyDescent="0.2">
      <c r="A2316" s="2" t="str" cm="1">
        <f t="array" ref="A2316">INDEX('[1]Brand Family Territory (Enc)'!$A$2:$A$296,INT((ROW()-2)/10)+1)</f>
        <v>St Ides</v>
      </c>
      <c r="B2316" s="2" t="str" cm="1">
        <f t="array" ref="B2316">INDEX('Whitelist (Blackout Reverse)'!$B$1:$K$1,MOD(ROW()-2,10)+1)</f>
        <v>HUDSON</v>
      </c>
      <c r="C2316" s="2" t="str">
        <f>VLOOKUP(A2316,'[1]Brand Family Territory (Enc)'!$A$2:$B$296,2,FALSE)</f>
        <v>All Counties</v>
      </c>
      <c r="D2316" s="2">
        <f>IF(COUNTIFS('[1]Brand Family Territories (Enc)'!$B$2:$B$62,C2316,'[1]Brand Family Territories (Enc)'!$C$2:$C$62,B2316)&gt;0,1,IF(AND(LEFT(B2316,6)="MORRIS",COUNTIFS('[1]Brand Family Territories (Enc)'!$B$2:$B$62,C2316,'[1]Brand Family Territories (Enc)'!$C$2:$C$62,"Morri")&gt;0),"Unk",0))</f>
        <v>1</v>
      </c>
      <c r="E2316" s="2" t="str">
        <f>IFERROR(INDEX('Blackout Brand Fam Areas (Enc)'!$D$6:$D$998,MATCH(UPPER(A2316)&amp;"|"&amp;UPPER(B2316),'Blackout Brand Fam Areas (Enc)'!$G$6:$G$998,0)),"No Match")</f>
        <v>No Match</v>
      </c>
      <c r="F2316" s="2" t="str">
        <f t="shared" si="72"/>
        <v>US</v>
      </c>
      <c r="G2316" s="2" t="str">
        <f t="shared" si="73"/>
        <v>St Ides|HUDSON</v>
      </c>
    </row>
    <row r="2317" spans="1:7" x14ac:dyDescent="0.2">
      <c r="A2317" s="2" t="str" cm="1">
        <f t="array" ref="A2317">INDEX('[1]Brand Family Territory (Enc)'!$A$2:$A$296,INT((ROW()-2)/10)+1)</f>
        <v>St Ides</v>
      </c>
      <c r="B2317" s="2" t="str" cm="1">
        <f t="array" ref="B2317">INDEX('Whitelist (Blackout Reverse)'!$B$1:$K$1,MOD(ROW()-2,10)+1)</f>
        <v>UNION</v>
      </c>
      <c r="C2317" s="2" t="str">
        <f>VLOOKUP(A2317,'[1]Brand Family Territory (Enc)'!$A$2:$B$296,2,FALSE)</f>
        <v>All Counties</v>
      </c>
      <c r="D2317" s="2">
        <f>IF(COUNTIFS('[1]Brand Family Territories (Enc)'!$B$2:$B$62,C2317,'[1]Brand Family Territories (Enc)'!$C$2:$C$62,B2317)&gt;0,1,IF(AND(LEFT(B2317,6)="MORRIS",COUNTIFS('[1]Brand Family Territories (Enc)'!$B$2:$B$62,C2317,'[1]Brand Family Territories (Enc)'!$C$2:$C$62,"Morri")&gt;0),"Unk",0))</f>
        <v>1</v>
      </c>
      <c r="E2317" s="2" t="str">
        <f>IFERROR(INDEX('Blackout Brand Fam Areas (Enc)'!$D$6:$D$998,MATCH(UPPER(A2317)&amp;"|"&amp;UPPER(B2317),'Blackout Brand Fam Areas (Enc)'!$G$6:$G$998,0)),"No Match")</f>
        <v>No Match</v>
      </c>
      <c r="F2317" s="2" t="str">
        <f t="shared" si="72"/>
        <v>US</v>
      </c>
      <c r="G2317" s="2" t="str">
        <f t="shared" si="73"/>
        <v>St Ides|UNION</v>
      </c>
    </row>
    <row r="2318" spans="1:7" x14ac:dyDescent="0.2">
      <c r="A2318" s="2" t="str" cm="1">
        <f t="array" ref="A2318">INDEX('[1]Brand Family Territory (Enc)'!$A$2:$A$296,INT((ROW()-2)/10)+1)</f>
        <v>St Ides</v>
      </c>
      <c r="B2318" s="2" t="str" cm="1">
        <f t="array" ref="B2318">INDEX('Whitelist (Blackout Reverse)'!$B$1:$K$1,MOD(ROW()-2,10)+1)</f>
        <v>SUSSEX</v>
      </c>
      <c r="C2318" s="2" t="str">
        <f>VLOOKUP(A2318,'[1]Brand Family Territory (Enc)'!$A$2:$B$296,2,FALSE)</f>
        <v>All Counties</v>
      </c>
      <c r="D2318" s="2">
        <f>IF(COUNTIFS('[1]Brand Family Territories (Enc)'!$B$2:$B$62,C2318,'[1]Brand Family Territories (Enc)'!$C$2:$C$62,B2318)&gt;0,1,IF(AND(LEFT(B2318,6)="MORRIS",COUNTIFS('[1]Brand Family Territories (Enc)'!$B$2:$B$62,C2318,'[1]Brand Family Territories (Enc)'!$C$2:$C$62,"Morri")&gt;0),"Unk",0))</f>
        <v>1</v>
      </c>
      <c r="E2318" s="2" t="str">
        <f>IFERROR(INDEX('Blackout Brand Fam Areas (Enc)'!$D$6:$D$998,MATCH(UPPER(A2318)&amp;"|"&amp;UPPER(B2318),'Blackout Brand Fam Areas (Enc)'!$G$6:$G$998,0)),"No Match")</f>
        <v>No Match</v>
      </c>
      <c r="F2318" s="2" t="str">
        <f t="shared" si="72"/>
        <v>US</v>
      </c>
      <c r="G2318" s="2" t="str">
        <f t="shared" si="73"/>
        <v>St Ides|SUSSEX</v>
      </c>
    </row>
    <row r="2319" spans="1:7" x14ac:dyDescent="0.2">
      <c r="A2319" s="2" t="str" cm="1">
        <f t="array" ref="A2319">INDEX('[1]Brand Family Territory (Enc)'!$A$2:$A$296,INT((ROW()-2)/10)+1)</f>
        <v>St Ides</v>
      </c>
      <c r="B2319" s="2" t="str" cm="1">
        <f t="array" ref="B2319">INDEX('Whitelist (Blackout Reverse)'!$B$1:$K$1,MOD(ROW()-2,10)+1)</f>
        <v>MORRIS 1</v>
      </c>
      <c r="C2319" s="2" t="str">
        <f>VLOOKUP(A2319,'[1]Brand Family Territory (Enc)'!$A$2:$B$296,2,FALSE)</f>
        <v>All Counties</v>
      </c>
      <c r="D2319" s="2">
        <f>IF(COUNTIFS('[1]Brand Family Territories (Enc)'!$B$2:$B$62,C2319,'[1]Brand Family Territories (Enc)'!$C$2:$C$62,B2319)&gt;0,1,IF(AND(LEFT(B2319,6)="MORRIS",COUNTIFS('[1]Brand Family Territories (Enc)'!$B$2:$B$62,C2319,'[1]Brand Family Territories (Enc)'!$C$2:$C$62,"Morri")&gt;0),"Unk",0))</f>
        <v>1</v>
      </c>
      <c r="E2319" s="2" t="str">
        <f>IFERROR(INDEX('Blackout Brand Fam Areas (Enc)'!$D$6:$D$998,MATCH(UPPER(A2319)&amp;"|"&amp;UPPER(B2319),'Blackout Brand Fam Areas (Enc)'!$G$6:$G$998,0)),"No Match")</f>
        <v>No Match</v>
      </c>
      <c r="F2319" s="2" t="str">
        <f t="shared" si="72"/>
        <v>US</v>
      </c>
      <c r="G2319" s="2" t="str">
        <f t="shared" si="73"/>
        <v>St Ides|MORRIS 1</v>
      </c>
    </row>
    <row r="2320" spans="1:7" x14ac:dyDescent="0.2">
      <c r="A2320" s="2" t="str" cm="1">
        <f t="array" ref="A2320">INDEX('[1]Brand Family Territory (Enc)'!$A$2:$A$296,INT((ROW()-2)/10)+1)</f>
        <v>St Ides</v>
      </c>
      <c r="B2320" s="2" t="str" cm="1">
        <f t="array" ref="B2320">INDEX('Whitelist (Blackout Reverse)'!$B$1:$K$1,MOD(ROW()-2,10)+1)</f>
        <v>MORRIS 2</v>
      </c>
      <c r="C2320" s="2" t="str">
        <f>VLOOKUP(A2320,'[1]Brand Family Territory (Enc)'!$A$2:$B$296,2,FALSE)</f>
        <v>All Counties</v>
      </c>
      <c r="D2320" s="2">
        <f>IF(COUNTIFS('[1]Brand Family Territories (Enc)'!$B$2:$B$62,C2320,'[1]Brand Family Territories (Enc)'!$C$2:$C$62,B2320)&gt;0,1,IF(AND(LEFT(B2320,6)="MORRIS",COUNTIFS('[1]Brand Family Territories (Enc)'!$B$2:$B$62,C2320,'[1]Brand Family Territories (Enc)'!$C$2:$C$62,"Morri")&gt;0),"Unk",0))</f>
        <v>1</v>
      </c>
      <c r="E2320" s="2" t="str">
        <f>IFERROR(INDEX('Blackout Brand Fam Areas (Enc)'!$D$6:$D$998,MATCH(UPPER(A2320)&amp;"|"&amp;UPPER(B2320),'Blackout Brand Fam Areas (Enc)'!$G$6:$G$998,0)),"No Match")</f>
        <v>No Match</v>
      </c>
      <c r="F2320" s="2" t="str">
        <f t="shared" si="72"/>
        <v>US</v>
      </c>
      <c r="G2320" s="2" t="str">
        <f t="shared" si="73"/>
        <v>St Ides|MORRIS 2</v>
      </c>
    </row>
    <row r="2321" spans="1:7" x14ac:dyDescent="0.2">
      <c r="A2321" s="2" t="str" cm="1">
        <f t="array" ref="A2321">INDEX('[1]Brand Family Territory (Enc)'!$A$2:$A$296,INT((ROW()-2)/10)+1)</f>
        <v>St Ides</v>
      </c>
      <c r="B2321" s="2" t="str" cm="1">
        <f t="array" ref="B2321">INDEX('Whitelist (Blackout Reverse)'!$B$1:$K$1,MOD(ROW()-2,10)+1)</f>
        <v>MORRIS 3</v>
      </c>
      <c r="C2321" s="2" t="str">
        <f>VLOOKUP(A2321,'[1]Brand Family Territory (Enc)'!$A$2:$B$296,2,FALSE)</f>
        <v>All Counties</v>
      </c>
      <c r="D2321" s="2">
        <f>IF(COUNTIFS('[1]Brand Family Territories (Enc)'!$B$2:$B$62,C2321,'[1]Brand Family Territories (Enc)'!$C$2:$C$62,B2321)&gt;0,1,IF(AND(LEFT(B2321,6)="MORRIS",COUNTIFS('[1]Brand Family Territories (Enc)'!$B$2:$B$62,C2321,'[1]Brand Family Territories (Enc)'!$C$2:$C$62,"Morri")&gt;0),"Unk",0))</f>
        <v>1</v>
      </c>
      <c r="E2321" s="2" t="str">
        <f>IFERROR(INDEX('Blackout Brand Fam Areas (Enc)'!$D$6:$D$998,MATCH(UPPER(A2321)&amp;"|"&amp;UPPER(B2321),'Blackout Brand Fam Areas (Enc)'!$G$6:$G$998,0)),"No Match")</f>
        <v>No Match</v>
      </c>
      <c r="F2321" s="2" t="str">
        <f t="shared" si="72"/>
        <v>US</v>
      </c>
      <c r="G2321" s="2" t="str">
        <f t="shared" si="73"/>
        <v>St Ides|MORRIS 3</v>
      </c>
    </row>
    <row r="2322" spans="1:7" x14ac:dyDescent="0.2">
      <c r="A2322" s="2" t="str" cm="1">
        <f t="array" ref="A2322">INDEX('[1]Brand Family Territory (Enc)'!$A$2:$A$296,INT((ROW()-2)/10)+1)</f>
        <v>Stiegl</v>
      </c>
      <c r="B2322" s="2" t="str" cm="1">
        <f t="array" ref="B2322">INDEX('Whitelist (Blackout Reverse)'!$B$1:$K$1,MOD(ROW()-2,10)+1)</f>
        <v>BERGEN</v>
      </c>
      <c r="C2322" s="2" t="str">
        <f>VLOOKUP(A2322,'[1]Brand Family Territory (Enc)'!$A$2:$B$296,2,FALSE)</f>
        <v>All Counties</v>
      </c>
      <c r="D2322" s="2">
        <f>IF(COUNTIFS('[1]Brand Family Territories (Enc)'!$B$2:$B$62,C2322,'[1]Brand Family Territories (Enc)'!$C$2:$C$62,B2322)&gt;0,1,IF(AND(LEFT(B2322,6)="MORRIS",COUNTIFS('[1]Brand Family Territories (Enc)'!$B$2:$B$62,C2322,'[1]Brand Family Territories (Enc)'!$C$2:$C$62,"Morri")&gt;0),"Unk",0))</f>
        <v>1</v>
      </c>
      <c r="E2322" s="2" t="str">
        <f>IFERROR(INDEX('Blackout Brand Fam Areas (Enc)'!$D$6:$D$998,MATCH(UPPER(A2322)&amp;"|"&amp;UPPER(B2322),'Blackout Brand Fam Areas (Enc)'!$G$6:$G$998,0)),"No Match")</f>
        <v>No Match</v>
      </c>
      <c r="F2322" s="2" t="str">
        <f t="shared" si="72"/>
        <v>US</v>
      </c>
      <c r="G2322" s="2" t="str">
        <f t="shared" si="73"/>
        <v>Stiegl|BERGEN</v>
      </c>
    </row>
    <row r="2323" spans="1:7" x14ac:dyDescent="0.2">
      <c r="A2323" s="2" t="str" cm="1">
        <f t="array" ref="A2323">INDEX('[1]Brand Family Territory (Enc)'!$A$2:$A$296,INT((ROW()-2)/10)+1)</f>
        <v>Stiegl</v>
      </c>
      <c r="B2323" s="2" t="str" cm="1">
        <f t="array" ref="B2323">INDEX('Whitelist (Blackout Reverse)'!$B$1:$K$1,MOD(ROW()-2,10)+1)</f>
        <v>PASSAIC</v>
      </c>
      <c r="C2323" s="2" t="str">
        <f>VLOOKUP(A2323,'[1]Brand Family Territory (Enc)'!$A$2:$B$296,2,FALSE)</f>
        <v>All Counties</v>
      </c>
      <c r="D2323" s="2">
        <f>IF(COUNTIFS('[1]Brand Family Territories (Enc)'!$B$2:$B$62,C2323,'[1]Brand Family Territories (Enc)'!$C$2:$C$62,B2323)&gt;0,1,IF(AND(LEFT(B2323,6)="MORRIS",COUNTIFS('[1]Brand Family Territories (Enc)'!$B$2:$B$62,C2323,'[1]Brand Family Territories (Enc)'!$C$2:$C$62,"Morri")&gt;0),"Unk",0))</f>
        <v>1</v>
      </c>
      <c r="E2323" s="2" t="str">
        <f>IFERROR(INDEX('Blackout Brand Fam Areas (Enc)'!$D$6:$D$998,MATCH(UPPER(A2323)&amp;"|"&amp;UPPER(B2323),'Blackout Brand Fam Areas (Enc)'!$G$6:$G$998,0)),"No Match")</f>
        <v>No Match</v>
      </c>
      <c r="F2323" s="2" t="str">
        <f t="shared" si="72"/>
        <v>US</v>
      </c>
      <c r="G2323" s="2" t="str">
        <f t="shared" si="73"/>
        <v>Stiegl|PASSAIC</v>
      </c>
    </row>
    <row r="2324" spans="1:7" x14ac:dyDescent="0.2">
      <c r="A2324" s="2" t="str" cm="1">
        <f t="array" ref="A2324">INDEX('[1]Brand Family Territory (Enc)'!$A$2:$A$296,INT((ROW()-2)/10)+1)</f>
        <v>Stiegl</v>
      </c>
      <c r="B2324" s="2" t="str" cm="1">
        <f t="array" ref="B2324">INDEX('Whitelist (Blackout Reverse)'!$B$1:$K$1,MOD(ROW()-2,10)+1)</f>
        <v>PASSAIC-FF</v>
      </c>
      <c r="C2324" s="2" t="str">
        <f>VLOOKUP(A2324,'[1]Brand Family Territory (Enc)'!$A$2:$B$296,2,FALSE)</f>
        <v>All Counties</v>
      </c>
      <c r="D2324" s="2">
        <f>IF(COUNTIFS('[1]Brand Family Territories (Enc)'!$B$2:$B$62,C2324,'[1]Brand Family Territories (Enc)'!$C$2:$C$62,B2324)&gt;0,1,IF(AND(LEFT(B2324,6)="MORRIS",COUNTIFS('[1]Brand Family Territories (Enc)'!$B$2:$B$62,C2324,'[1]Brand Family Territories (Enc)'!$C$2:$C$62,"Morri")&gt;0),"Unk",0))</f>
        <v>1</v>
      </c>
      <c r="E2324" s="2" t="str">
        <f>IFERROR(INDEX('Blackout Brand Fam Areas (Enc)'!$D$6:$D$998,MATCH(UPPER(A2324)&amp;"|"&amp;UPPER(B2324),'Blackout Brand Fam Areas (Enc)'!$G$6:$G$998,0)),"No Match")</f>
        <v>No Match</v>
      </c>
      <c r="F2324" s="2" t="str">
        <f t="shared" si="72"/>
        <v>US</v>
      </c>
      <c r="G2324" s="2" t="str">
        <f t="shared" si="73"/>
        <v>Stiegl|PASSAIC-FF</v>
      </c>
    </row>
    <row r="2325" spans="1:7" x14ac:dyDescent="0.2">
      <c r="A2325" s="2" t="str" cm="1">
        <f t="array" ref="A2325">INDEX('[1]Brand Family Territory (Enc)'!$A$2:$A$296,INT((ROW()-2)/10)+1)</f>
        <v>Stiegl</v>
      </c>
      <c r="B2325" s="2" t="str" cm="1">
        <f t="array" ref="B2325">INDEX('Whitelist (Blackout Reverse)'!$B$1:$K$1,MOD(ROW()-2,10)+1)</f>
        <v>ESSEX</v>
      </c>
      <c r="C2325" s="2" t="str">
        <f>VLOOKUP(A2325,'[1]Brand Family Territory (Enc)'!$A$2:$B$296,2,FALSE)</f>
        <v>All Counties</v>
      </c>
      <c r="D2325" s="2">
        <f>IF(COUNTIFS('[1]Brand Family Territories (Enc)'!$B$2:$B$62,C2325,'[1]Brand Family Territories (Enc)'!$C$2:$C$62,B2325)&gt;0,1,IF(AND(LEFT(B2325,6)="MORRIS",COUNTIFS('[1]Brand Family Territories (Enc)'!$B$2:$B$62,C2325,'[1]Brand Family Territories (Enc)'!$C$2:$C$62,"Morri")&gt;0),"Unk",0))</f>
        <v>1</v>
      </c>
      <c r="E2325" s="2" t="str">
        <f>IFERROR(INDEX('Blackout Brand Fam Areas (Enc)'!$D$6:$D$998,MATCH(UPPER(A2325)&amp;"|"&amp;UPPER(B2325),'Blackout Brand Fam Areas (Enc)'!$G$6:$G$998,0)),"No Match")</f>
        <v>No Match</v>
      </c>
      <c r="F2325" s="2" t="str">
        <f t="shared" si="72"/>
        <v>US</v>
      </c>
      <c r="G2325" s="2" t="str">
        <f t="shared" si="73"/>
        <v>Stiegl|ESSEX</v>
      </c>
    </row>
    <row r="2326" spans="1:7" x14ac:dyDescent="0.2">
      <c r="A2326" s="2" t="str" cm="1">
        <f t="array" ref="A2326">INDEX('[1]Brand Family Territory (Enc)'!$A$2:$A$296,INT((ROW()-2)/10)+1)</f>
        <v>Stiegl</v>
      </c>
      <c r="B2326" s="2" t="str" cm="1">
        <f t="array" ref="B2326">INDEX('Whitelist (Blackout Reverse)'!$B$1:$K$1,MOD(ROW()-2,10)+1)</f>
        <v>HUDSON</v>
      </c>
      <c r="C2326" s="2" t="str">
        <f>VLOOKUP(A2326,'[1]Brand Family Territory (Enc)'!$A$2:$B$296,2,FALSE)</f>
        <v>All Counties</v>
      </c>
      <c r="D2326" s="2">
        <f>IF(COUNTIFS('[1]Brand Family Territories (Enc)'!$B$2:$B$62,C2326,'[1]Brand Family Territories (Enc)'!$C$2:$C$62,B2326)&gt;0,1,IF(AND(LEFT(B2326,6)="MORRIS",COUNTIFS('[1]Brand Family Territories (Enc)'!$B$2:$B$62,C2326,'[1]Brand Family Territories (Enc)'!$C$2:$C$62,"Morri")&gt;0),"Unk",0))</f>
        <v>1</v>
      </c>
      <c r="E2326" s="2" t="str">
        <f>IFERROR(INDEX('Blackout Brand Fam Areas (Enc)'!$D$6:$D$998,MATCH(UPPER(A2326)&amp;"|"&amp;UPPER(B2326),'Blackout Brand Fam Areas (Enc)'!$G$6:$G$998,0)),"No Match")</f>
        <v>No Match</v>
      </c>
      <c r="F2326" s="2" t="str">
        <f t="shared" si="72"/>
        <v>US</v>
      </c>
      <c r="G2326" s="2" t="str">
        <f t="shared" si="73"/>
        <v>Stiegl|HUDSON</v>
      </c>
    </row>
    <row r="2327" spans="1:7" x14ac:dyDescent="0.2">
      <c r="A2327" s="2" t="str" cm="1">
        <f t="array" ref="A2327">INDEX('[1]Brand Family Territory (Enc)'!$A$2:$A$296,INT((ROW()-2)/10)+1)</f>
        <v>Stiegl</v>
      </c>
      <c r="B2327" s="2" t="str" cm="1">
        <f t="array" ref="B2327">INDEX('Whitelist (Blackout Reverse)'!$B$1:$K$1,MOD(ROW()-2,10)+1)</f>
        <v>UNION</v>
      </c>
      <c r="C2327" s="2" t="str">
        <f>VLOOKUP(A2327,'[1]Brand Family Territory (Enc)'!$A$2:$B$296,2,FALSE)</f>
        <v>All Counties</v>
      </c>
      <c r="D2327" s="2">
        <f>IF(COUNTIFS('[1]Brand Family Territories (Enc)'!$B$2:$B$62,C2327,'[1]Brand Family Territories (Enc)'!$C$2:$C$62,B2327)&gt;0,1,IF(AND(LEFT(B2327,6)="MORRIS",COUNTIFS('[1]Brand Family Territories (Enc)'!$B$2:$B$62,C2327,'[1]Brand Family Territories (Enc)'!$C$2:$C$62,"Morri")&gt;0),"Unk",0))</f>
        <v>1</v>
      </c>
      <c r="E2327" s="2" t="str">
        <f>IFERROR(INDEX('Blackout Brand Fam Areas (Enc)'!$D$6:$D$998,MATCH(UPPER(A2327)&amp;"|"&amp;UPPER(B2327),'Blackout Brand Fam Areas (Enc)'!$G$6:$G$998,0)),"No Match")</f>
        <v>No Match</v>
      </c>
      <c r="F2327" s="2" t="str">
        <f t="shared" si="72"/>
        <v>US</v>
      </c>
      <c r="G2327" s="2" t="str">
        <f t="shared" si="73"/>
        <v>Stiegl|UNION</v>
      </c>
    </row>
    <row r="2328" spans="1:7" x14ac:dyDescent="0.2">
      <c r="A2328" s="2" t="str" cm="1">
        <f t="array" ref="A2328">INDEX('[1]Brand Family Territory (Enc)'!$A$2:$A$296,INT((ROW()-2)/10)+1)</f>
        <v>Stiegl</v>
      </c>
      <c r="B2328" s="2" t="str" cm="1">
        <f t="array" ref="B2328">INDEX('Whitelist (Blackout Reverse)'!$B$1:$K$1,MOD(ROW()-2,10)+1)</f>
        <v>SUSSEX</v>
      </c>
      <c r="C2328" s="2" t="str">
        <f>VLOOKUP(A2328,'[1]Brand Family Territory (Enc)'!$A$2:$B$296,2,FALSE)</f>
        <v>All Counties</v>
      </c>
      <c r="D2328" s="2">
        <f>IF(COUNTIFS('[1]Brand Family Territories (Enc)'!$B$2:$B$62,C2328,'[1]Brand Family Territories (Enc)'!$C$2:$C$62,B2328)&gt;0,1,IF(AND(LEFT(B2328,6)="MORRIS",COUNTIFS('[1]Brand Family Territories (Enc)'!$B$2:$B$62,C2328,'[1]Brand Family Territories (Enc)'!$C$2:$C$62,"Morri")&gt;0),"Unk",0))</f>
        <v>1</v>
      </c>
      <c r="E2328" s="2" t="str">
        <f>IFERROR(INDEX('Blackout Brand Fam Areas (Enc)'!$D$6:$D$998,MATCH(UPPER(A2328)&amp;"|"&amp;UPPER(B2328),'Blackout Brand Fam Areas (Enc)'!$G$6:$G$998,0)),"No Match")</f>
        <v>No Match</v>
      </c>
      <c r="F2328" s="2" t="str">
        <f t="shared" si="72"/>
        <v>US</v>
      </c>
      <c r="G2328" s="2" t="str">
        <f t="shared" si="73"/>
        <v>Stiegl|SUSSEX</v>
      </c>
    </row>
    <row r="2329" spans="1:7" x14ac:dyDescent="0.2">
      <c r="A2329" s="2" t="str" cm="1">
        <f t="array" ref="A2329">INDEX('[1]Brand Family Territory (Enc)'!$A$2:$A$296,INT((ROW()-2)/10)+1)</f>
        <v>Stiegl</v>
      </c>
      <c r="B2329" s="2" t="str" cm="1">
        <f t="array" ref="B2329">INDEX('Whitelist (Blackout Reverse)'!$B$1:$K$1,MOD(ROW()-2,10)+1)</f>
        <v>MORRIS 1</v>
      </c>
      <c r="C2329" s="2" t="str">
        <f>VLOOKUP(A2329,'[1]Brand Family Territory (Enc)'!$A$2:$B$296,2,FALSE)</f>
        <v>All Counties</v>
      </c>
      <c r="D2329" s="2">
        <f>IF(COUNTIFS('[1]Brand Family Territories (Enc)'!$B$2:$B$62,C2329,'[1]Brand Family Territories (Enc)'!$C$2:$C$62,B2329)&gt;0,1,IF(AND(LEFT(B2329,6)="MORRIS",COUNTIFS('[1]Brand Family Territories (Enc)'!$B$2:$B$62,C2329,'[1]Brand Family Territories (Enc)'!$C$2:$C$62,"Morri")&gt;0),"Unk",0))</f>
        <v>1</v>
      </c>
      <c r="E2329" s="2" t="str">
        <f>IFERROR(INDEX('Blackout Brand Fam Areas (Enc)'!$D$6:$D$998,MATCH(UPPER(A2329)&amp;"|"&amp;UPPER(B2329),'Blackout Brand Fam Areas (Enc)'!$G$6:$G$998,0)),"No Match")</f>
        <v>No Match</v>
      </c>
      <c r="F2329" s="2" t="str">
        <f t="shared" si="72"/>
        <v>US</v>
      </c>
      <c r="G2329" s="2" t="str">
        <f t="shared" si="73"/>
        <v>Stiegl|MORRIS 1</v>
      </c>
    </row>
    <row r="2330" spans="1:7" x14ac:dyDescent="0.2">
      <c r="A2330" s="2" t="str" cm="1">
        <f t="array" ref="A2330">INDEX('[1]Brand Family Territory (Enc)'!$A$2:$A$296,INT((ROW()-2)/10)+1)</f>
        <v>Stiegl</v>
      </c>
      <c r="B2330" s="2" t="str" cm="1">
        <f t="array" ref="B2330">INDEX('Whitelist (Blackout Reverse)'!$B$1:$K$1,MOD(ROW()-2,10)+1)</f>
        <v>MORRIS 2</v>
      </c>
      <c r="C2330" s="2" t="str">
        <f>VLOOKUP(A2330,'[1]Brand Family Territory (Enc)'!$A$2:$B$296,2,FALSE)</f>
        <v>All Counties</v>
      </c>
      <c r="D2330" s="2">
        <f>IF(COUNTIFS('[1]Brand Family Territories (Enc)'!$B$2:$B$62,C2330,'[1]Brand Family Territories (Enc)'!$C$2:$C$62,B2330)&gt;0,1,IF(AND(LEFT(B2330,6)="MORRIS",COUNTIFS('[1]Brand Family Territories (Enc)'!$B$2:$B$62,C2330,'[1]Brand Family Territories (Enc)'!$C$2:$C$62,"Morri")&gt;0),"Unk",0))</f>
        <v>1</v>
      </c>
      <c r="E2330" s="2" t="str">
        <f>IFERROR(INDEX('Blackout Brand Fam Areas (Enc)'!$D$6:$D$998,MATCH(UPPER(A2330)&amp;"|"&amp;UPPER(B2330),'Blackout Brand Fam Areas (Enc)'!$G$6:$G$998,0)),"No Match")</f>
        <v>No Match</v>
      </c>
      <c r="F2330" s="2" t="str">
        <f t="shared" si="72"/>
        <v>US</v>
      </c>
      <c r="G2330" s="2" t="str">
        <f t="shared" si="73"/>
        <v>Stiegl|MORRIS 2</v>
      </c>
    </row>
    <row r="2331" spans="1:7" x14ac:dyDescent="0.2">
      <c r="A2331" s="2" t="str" cm="1">
        <f t="array" ref="A2331">INDEX('[1]Brand Family Territory (Enc)'!$A$2:$A$296,INT((ROW()-2)/10)+1)</f>
        <v>Stiegl</v>
      </c>
      <c r="B2331" s="2" t="str" cm="1">
        <f t="array" ref="B2331">INDEX('Whitelist (Blackout Reverse)'!$B$1:$K$1,MOD(ROW()-2,10)+1)</f>
        <v>MORRIS 3</v>
      </c>
      <c r="C2331" s="2" t="str">
        <f>VLOOKUP(A2331,'[1]Brand Family Territory (Enc)'!$A$2:$B$296,2,FALSE)</f>
        <v>All Counties</v>
      </c>
      <c r="D2331" s="2">
        <f>IF(COUNTIFS('[1]Brand Family Territories (Enc)'!$B$2:$B$62,C2331,'[1]Brand Family Territories (Enc)'!$C$2:$C$62,B2331)&gt;0,1,IF(AND(LEFT(B2331,6)="MORRIS",COUNTIFS('[1]Brand Family Territories (Enc)'!$B$2:$B$62,C2331,'[1]Brand Family Territories (Enc)'!$C$2:$C$62,"Morri")&gt;0),"Unk",0))</f>
        <v>1</v>
      </c>
      <c r="E2331" s="2" t="str">
        <f>IFERROR(INDEX('Blackout Brand Fam Areas (Enc)'!$D$6:$D$998,MATCH(UPPER(A2331)&amp;"|"&amp;UPPER(B2331),'Blackout Brand Fam Areas (Enc)'!$G$6:$G$998,0)),"No Match")</f>
        <v>No Match</v>
      </c>
      <c r="F2331" s="2" t="str">
        <f t="shared" si="72"/>
        <v>US</v>
      </c>
      <c r="G2331" s="2" t="str">
        <f t="shared" si="73"/>
        <v>Stiegl|MORRIS 3</v>
      </c>
    </row>
    <row r="2332" spans="1:7" x14ac:dyDescent="0.2">
      <c r="A2332" s="2" t="str" cm="1">
        <f t="array" ref="A2332">INDEX('[1]Brand Family Territory (Enc)'!$A$2:$A$296,INT((ROW()-2)/10)+1)</f>
        <v>Striped Pig</v>
      </c>
      <c r="B2332" s="2" t="str" cm="1">
        <f t="array" ref="B2332">INDEX('Whitelist (Blackout Reverse)'!$B$1:$K$1,MOD(ROW()-2,10)+1)</f>
        <v>BERGEN</v>
      </c>
      <c r="C2332" s="2" t="str">
        <f>VLOOKUP(A2332,'[1]Brand Family Territory (Enc)'!$A$2:$B$296,2,FALSE)</f>
        <v>All Counties</v>
      </c>
      <c r="D2332" s="2">
        <f>IF(COUNTIFS('[1]Brand Family Territories (Enc)'!$B$2:$B$62,C2332,'[1]Brand Family Territories (Enc)'!$C$2:$C$62,B2332)&gt;0,1,IF(AND(LEFT(B2332,6)="MORRIS",COUNTIFS('[1]Brand Family Territories (Enc)'!$B$2:$B$62,C2332,'[1]Brand Family Territories (Enc)'!$C$2:$C$62,"Morri")&gt;0),"Unk",0))</f>
        <v>1</v>
      </c>
      <c r="E2332" s="2" t="str">
        <f>IFERROR(INDEX('Blackout Brand Fam Areas (Enc)'!$D$6:$D$998,MATCH(UPPER(A2332)&amp;"|"&amp;UPPER(B2332),'Blackout Brand Fam Areas (Enc)'!$G$6:$G$998,0)),"No Match")</f>
        <v>No Match</v>
      </c>
      <c r="F2332" s="2" t="str">
        <f t="shared" si="72"/>
        <v>US</v>
      </c>
      <c r="G2332" s="2" t="str">
        <f t="shared" si="73"/>
        <v>Striped Pig|BERGEN</v>
      </c>
    </row>
    <row r="2333" spans="1:7" x14ac:dyDescent="0.2">
      <c r="A2333" s="2" t="str" cm="1">
        <f t="array" ref="A2333">INDEX('[1]Brand Family Territory (Enc)'!$A$2:$A$296,INT((ROW()-2)/10)+1)</f>
        <v>Striped Pig</v>
      </c>
      <c r="B2333" s="2" t="str" cm="1">
        <f t="array" ref="B2333">INDEX('Whitelist (Blackout Reverse)'!$B$1:$K$1,MOD(ROW()-2,10)+1)</f>
        <v>PASSAIC</v>
      </c>
      <c r="C2333" s="2" t="str">
        <f>VLOOKUP(A2333,'[1]Brand Family Territory (Enc)'!$A$2:$B$296,2,FALSE)</f>
        <v>All Counties</v>
      </c>
      <c r="D2333" s="2">
        <f>IF(COUNTIFS('[1]Brand Family Territories (Enc)'!$B$2:$B$62,C2333,'[1]Brand Family Territories (Enc)'!$C$2:$C$62,B2333)&gt;0,1,IF(AND(LEFT(B2333,6)="MORRIS",COUNTIFS('[1]Brand Family Territories (Enc)'!$B$2:$B$62,C2333,'[1]Brand Family Territories (Enc)'!$C$2:$C$62,"Morri")&gt;0),"Unk",0))</f>
        <v>1</v>
      </c>
      <c r="E2333" s="2" t="str">
        <f>IFERROR(INDEX('Blackout Brand Fam Areas (Enc)'!$D$6:$D$998,MATCH(UPPER(A2333)&amp;"|"&amp;UPPER(B2333),'Blackout Brand Fam Areas (Enc)'!$G$6:$G$998,0)),"No Match")</f>
        <v>No Match</v>
      </c>
      <c r="F2333" s="2" t="str">
        <f t="shared" si="72"/>
        <v>US</v>
      </c>
      <c r="G2333" s="2" t="str">
        <f t="shared" si="73"/>
        <v>Striped Pig|PASSAIC</v>
      </c>
    </row>
    <row r="2334" spans="1:7" x14ac:dyDescent="0.2">
      <c r="A2334" s="2" t="str" cm="1">
        <f t="array" ref="A2334">INDEX('[1]Brand Family Territory (Enc)'!$A$2:$A$296,INT((ROW()-2)/10)+1)</f>
        <v>Striped Pig</v>
      </c>
      <c r="B2334" s="2" t="str" cm="1">
        <f t="array" ref="B2334">INDEX('Whitelist (Blackout Reverse)'!$B$1:$K$1,MOD(ROW()-2,10)+1)</f>
        <v>PASSAIC-FF</v>
      </c>
      <c r="C2334" s="2" t="str">
        <f>VLOOKUP(A2334,'[1]Brand Family Territory (Enc)'!$A$2:$B$296,2,FALSE)</f>
        <v>All Counties</v>
      </c>
      <c r="D2334" s="2">
        <f>IF(COUNTIFS('[1]Brand Family Territories (Enc)'!$B$2:$B$62,C2334,'[1]Brand Family Territories (Enc)'!$C$2:$C$62,B2334)&gt;0,1,IF(AND(LEFT(B2334,6)="MORRIS",COUNTIFS('[1]Brand Family Territories (Enc)'!$B$2:$B$62,C2334,'[1]Brand Family Territories (Enc)'!$C$2:$C$62,"Morri")&gt;0),"Unk",0))</f>
        <v>1</v>
      </c>
      <c r="E2334" s="2" t="str">
        <f>IFERROR(INDEX('Blackout Brand Fam Areas (Enc)'!$D$6:$D$998,MATCH(UPPER(A2334)&amp;"|"&amp;UPPER(B2334),'Blackout Brand Fam Areas (Enc)'!$G$6:$G$998,0)),"No Match")</f>
        <v>No Match</v>
      </c>
      <c r="F2334" s="2" t="str">
        <f t="shared" si="72"/>
        <v>US</v>
      </c>
      <c r="G2334" s="2" t="str">
        <f t="shared" si="73"/>
        <v>Striped Pig|PASSAIC-FF</v>
      </c>
    </row>
    <row r="2335" spans="1:7" x14ac:dyDescent="0.2">
      <c r="A2335" s="2" t="str" cm="1">
        <f t="array" ref="A2335">INDEX('[1]Brand Family Territory (Enc)'!$A$2:$A$296,INT((ROW()-2)/10)+1)</f>
        <v>Striped Pig</v>
      </c>
      <c r="B2335" s="2" t="str" cm="1">
        <f t="array" ref="B2335">INDEX('Whitelist (Blackout Reverse)'!$B$1:$K$1,MOD(ROW()-2,10)+1)</f>
        <v>ESSEX</v>
      </c>
      <c r="C2335" s="2" t="str">
        <f>VLOOKUP(A2335,'[1]Brand Family Territory (Enc)'!$A$2:$B$296,2,FALSE)</f>
        <v>All Counties</v>
      </c>
      <c r="D2335" s="2">
        <f>IF(COUNTIFS('[1]Brand Family Territories (Enc)'!$B$2:$B$62,C2335,'[1]Brand Family Territories (Enc)'!$C$2:$C$62,B2335)&gt;0,1,IF(AND(LEFT(B2335,6)="MORRIS",COUNTIFS('[1]Brand Family Territories (Enc)'!$B$2:$B$62,C2335,'[1]Brand Family Territories (Enc)'!$C$2:$C$62,"Morri")&gt;0),"Unk",0))</f>
        <v>1</v>
      </c>
      <c r="E2335" s="2" t="str">
        <f>IFERROR(INDEX('Blackout Brand Fam Areas (Enc)'!$D$6:$D$998,MATCH(UPPER(A2335)&amp;"|"&amp;UPPER(B2335),'Blackout Brand Fam Areas (Enc)'!$G$6:$G$998,0)),"No Match")</f>
        <v>No Match</v>
      </c>
      <c r="F2335" s="2" t="str">
        <f t="shared" si="72"/>
        <v>US</v>
      </c>
      <c r="G2335" s="2" t="str">
        <f t="shared" si="73"/>
        <v>Striped Pig|ESSEX</v>
      </c>
    </row>
    <row r="2336" spans="1:7" x14ac:dyDescent="0.2">
      <c r="A2336" s="2" t="str" cm="1">
        <f t="array" ref="A2336">INDEX('[1]Brand Family Territory (Enc)'!$A$2:$A$296,INT((ROW()-2)/10)+1)</f>
        <v>Striped Pig</v>
      </c>
      <c r="B2336" s="2" t="str" cm="1">
        <f t="array" ref="B2336">INDEX('Whitelist (Blackout Reverse)'!$B$1:$K$1,MOD(ROW()-2,10)+1)</f>
        <v>HUDSON</v>
      </c>
      <c r="C2336" s="2" t="str">
        <f>VLOOKUP(A2336,'[1]Brand Family Territory (Enc)'!$A$2:$B$296,2,FALSE)</f>
        <v>All Counties</v>
      </c>
      <c r="D2336" s="2">
        <f>IF(COUNTIFS('[1]Brand Family Territories (Enc)'!$B$2:$B$62,C2336,'[1]Brand Family Territories (Enc)'!$C$2:$C$62,B2336)&gt;0,1,IF(AND(LEFT(B2336,6)="MORRIS",COUNTIFS('[1]Brand Family Territories (Enc)'!$B$2:$B$62,C2336,'[1]Brand Family Territories (Enc)'!$C$2:$C$62,"Morri")&gt;0),"Unk",0))</f>
        <v>1</v>
      </c>
      <c r="E2336" s="2" t="str">
        <f>IFERROR(INDEX('Blackout Brand Fam Areas (Enc)'!$D$6:$D$998,MATCH(UPPER(A2336)&amp;"|"&amp;UPPER(B2336),'Blackout Brand Fam Areas (Enc)'!$G$6:$G$998,0)),"No Match")</f>
        <v>No Match</v>
      </c>
      <c r="F2336" s="2" t="str">
        <f t="shared" si="72"/>
        <v>US</v>
      </c>
      <c r="G2336" s="2" t="str">
        <f t="shared" si="73"/>
        <v>Striped Pig|HUDSON</v>
      </c>
    </row>
    <row r="2337" spans="1:7" x14ac:dyDescent="0.2">
      <c r="A2337" s="2" t="str" cm="1">
        <f t="array" ref="A2337">INDEX('[1]Brand Family Territory (Enc)'!$A$2:$A$296,INT((ROW()-2)/10)+1)</f>
        <v>Striped Pig</v>
      </c>
      <c r="B2337" s="2" t="str" cm="1">
        <f t="array" ref="B2337">INDEX('Whitelist (Blackout Reverse)'!$B$1:$K$1,MOD(ROW()-2,10)+1)</f>
        <v>UNION</v>
      </c>
      <c r="C2337" s="2" t="str">
        <f>VLOOKUP(A2337,'[1]Brand Family Territory (Enc)'!$A$2:$B$296,2,FALSE)</f>
        <v>All Counties</v>
      </c>
      <c r="D2337" s="2">
        <f>IF(COUNTIFS('[1]Brand Family Territories (Enc)'!$B$2:$B$62,C2337,'[1]Brand Family Territories (Enc)'!$C$2:$C$62,B2337)&gt;0,1,IF(AND(LEFT(B2337,6)="MORRIS",COUNTIFS('[1]Brand Family Territories (Enc)'!$B$2:$B$62,C2337,'[1]Brand Family Territories (Enc)'!$C$2:$C$62,"Morri")&gt;0),"Unk",0))</f>
        <v>1</v>
      </c>
      <c r="E2337" s="2" t="str">
        <f>IFERROR(INDEX('Blackout Brand Fam Areas (Enc)'!$D$6:$D$998,MATCH(UPPER(A2337)&amp;"|"&amp;UPPER(B2337),'Blackout Brand Fam Areas (Enc)'!$G$6:$G$998,0)),"No Match")</f>
        <v>No Match</v>
      </c>
      <c r="F2337" s="2" t="str">
        <f t="shared" si="72"/>
        <v>US</v>
      </c>
      <c r="G2337" s="2" t="str">
        <f t="shared" si="73"/>
        <v>Striped Pig|UNION</v>
      </c>
    </row>
    <row r="2338" spans="1:7" x14ac:dyDescent="0.2">
      <c r="A2338" s="2" t="str" cm="1">
        <f t="array" ref="A2338">INDEX('[1]Brand Family Territory (Enc)'!$A$2:$A$296,INT((ROW()-2)/10)+1)</f>
        <v>Striped Pig</v>
      </c>
      <c r="B2338" s="2" t="str" cm="1">
        <f t="array" ref="B2338">INDEX('Whitelist (Blackout Reverse)'!$B$1:$K$1,MOD(ROW()-2,10)+1)</f>
        <v>SUSSEX</v>
      </c>
      <c r="C2338" s="2" t="str">
        <f>VLOOKUP(A2338,'[1]Brand Family Territory (Enc)'!$A$2:$B$296,2,FALSE)</f>
        <v>All Counties</v>
      </c>
      <c r="D2338" s="2">
        <f>IF(COUNTIFS('[1]Brand Family Territories (Enc)'!$B$2:$B$62,C2338,'[1]Brand Family Territories (Enc)'!$C$2:$C$62,B2338)&gt;0,1,IF(AND(LEFT(B2338,6)="MORRIS",COUNTIFS('[1]Brand Family Territories (Enc)'!$B$2:$B$62,C2338,'[1]Brand Family Territories (Enc)'!$C$2:$C$62,"Morri")&gt;0),"Unk",0))</f>
        <v>1</v>
      </c>
      <c r="E2338" s="2" t="str">
        <f>IFERROR(INDEX('Blackout Brand Fam Areas (Enc)'!$D$6:$D$998,MATCH(UPPER(A2338)&amp;"|"&amp;UPPER(B2338),'Blackout Brand Fam Areas (Enc)'!$G$6:$G$998,0)),"No Match")</f>
        <v>No Match</v>
      </c>
      <c r="F2338" s="2" t="str">
        <f t="shared" si="72"/>
        <v>US</v>
      </c>
      <c r="G2338" s="2" t="str">
        <f t="shared" si="73"/>
        <v>Striped Pig|SUSSEX</v>
      </c>
    </row>
    <row r="2339" spans="1:7" x14ac:dyDescent="0.2">
      <c r="A2339" s="2" t="str" cm="1">
        <f t="array" ref="A2339">INDEX('[1]Brand Family Territory (Enc)'!$A$2:$A$296,INT((ROW()-2)/10)+1)</f>
        <v>Striped Pig</v>
      </c>
      <c r="B2339" s="2" t="str" cm="1">
        <f t="array" ref="B2339">INDEX('Whitelist (Blackout Reverse)'!$B$1:$K$1,MOD(ROW()-2,10)+1)</f>
        <v>MORRIS 1</v>
      </c>
      <c r="C2339" s="2" t="str">
        <f>VLOOKUP(A2339,'[1]Brand Family Territory (Enc)'!$A$2:$B$296,2,FALSE)</f>
        <v>All Counties</v>
      </c>
      <c r="D2339" s="2">
        <f>IF(COUNTIFS('[1]Brand Family Territories (Enc)'!$B$2:$B$62,C2339,'[1]Brand Family Territories (Enc)'!$C$2:$C$62,B2339)&gt;0,1,IF(AND(LEFT(B2339,6)="MORRIS",COUNTIFS('[1]Brand Family Territories (Enc)'!$B$2:$B$62,C2339,'[1]Brand Family Territories (Enc)'!$C$2:$C$62,"Morri")&gt;0),"Unk",0))</f>
        <v>1</v>
      </c>
      <c r="E2339" s="2" t="str">
        <f>IFERROR(INDEX('Blackout Brand Fam Areas (Enc)'!$D$6:$D$998,MATCH(UPPER(A2339)&amp;"|"&amp;UPPER(B2339),'Blackout Brand Fam Areas (Enc)'!$G$6:$G$998,0)),"No Match")</f>
        <v>No Match</v>
      </c>
      <c r="F2339" s="2" t="str">
        <f t="shared" si="72"/>
        <v>US</v>
      </c>
      <c r="G2339" s="2" t="str">
        <f t="shared" si="73"/>
        <v>Striped Pig|MORRIS 1</v>
      </c>
    </row>
    <row r="2340" spans="1:7" x14ac:dyDescent="0.2">
      <c r="A2340" s="2" t="str" cm="1">
        <f t="array" ref="A2340">INDEX('[1]Brand Family Territory (Enc)'!$A$2:$A$296,INT((ROW()-2)/10)+1)</f>
        <v>Striped Pig</v>
      </c>
      <c r="B2340" s="2" t="str" cm="1">
        <f t="array" ref="B2340">INDEX('Whitelist (Blackout Reverse)'!$B$1:$K$1,MOD(ROW()-2,10)+1)</f>
        <v>MORRIS 2</v>
      </c>
      <c r="C2340" s="2" t="str">
        <f>VLOOKUP(A2340,'[1]Brand Family Territory (Enc)'!$A$2:$B$296,2,FALSE)</f>
        <v>All Counties</v>
      </c>
      <c r="D2340" s="2">
        <f>IF(COUNTIFS('[1]Brand Family Territories (Enc)'!$B$2:$B$62,C2340,'[1]Brand Family Territories (Enc)'!$C$2:$C$62,B2340)&gt;0,1,IF(AND(LEFT(B2340,6)="MORRIS",COUNTIFS('[1]Brand Family Territories (Enc)'!$B$2:$B$62,C2340,'[1]Brand Family Territories (Enc)'!$C$2:$C$62,"Morri")&gt;0),"Unk",0))</f>
        <v>1</v>
      </c>
      <c r="E2340" s="2" t="str">
        <f>IFERROR(INDEX('Blackout Brand Fam Areas (Enc)'!$D$6:$D$998,MATCH(UPPER(A2340)&amp;"|"&amp;UPPER(B2340),'Blackout Brand Fam Areas (Enc)'!$G$6:$G$998,0)),"No Match")</f>
        <v>No Match</v>
      </c>
      <c r="F2340" s="2" t="str">
        <f t="shared" si="72"/>
        <v>US</v>
      </c>
      <c r="G2340" s="2" t="str">
        <f t="shared" si="73"/>
        <v>Striped Pig|MORRIS 2</v>
      </c>
    </row>
    <row r="2341" spans="1:7" x14ac:dyDescent="0.2">
      <c r="A2341" s="2" t="str" cm="1">
        <f t="array" ref="A2341">INDEX('[1]Brand Family Territory (Enc)'!$A$2:$A$296,INT((ROW()-2)/10)+1)</f>
        <v>Striped Pig</v>
      </c>
      <c r="B2341" s="2" t="str" cm="1">
        <f t="array" ref="B2341">INDEX('Whitelist (Blackout Reverse)'!$B$1:$K$1,MOD(ROW()-2,10)+1)</f>
        <v>MORRIS 3</v>
      </c>
      <c r="C2341" s="2" t="str">
        <f>VLOOKUP(A2341,'[1]Brand Family Territory (Enc)'!$A$2:$B$296,2,FALSE)</f>
        <v>All Counties</v>
      </c>
      <c r="D2341" s="2">
        <f>IF(COUNTIFS('[1]Brand Family Territories (Enc)'!$B$2:$B$62,C2341,'[1]Brand Family Territories (Enc)'!$C$2:$C$62,B2341)&gt;0,1,IF(AND(LEFT(B2341,6)="MORRIS",COUNTIFS('[1]Brand Family Territories (Enc)'!$B$2:$B$62,C2341,'[1]Brand Family Territories (Enc)'!$C$2:$C$62,"Morri")&gt;0),"Unk",0))</f>
        <v>1</v>
      </c>
      <c r="E2341" s="2" t="str">
        <f>IFERROR(INDEX('Blackout Brand Fam Areas (Enc)'!$D$6:$D$998,MATCH(UPPER(A2341)&amp;"|"&amp;UPPER(B2341),'Blackout Brand Fam Areas (Enc)'!$G$6:$G$998,0)),"No Match")</f>
        <v>No Match</v>
      </c>
      <c r="F2341" s="2" t="str">
        <f t="shared" si="72"/>
        <v>US</v>
      </c>
      <c r="G2341" s="2" t="str">
        <f t="shared" si="73"/>
        <v>Striped Pig|MORRIS 3</v>
      </c>
    </row>
    <row r="2342" spans="1:7" x14ac:dyDescent="0.2">
      <c r="A2342" s="2" t="str" cm="1">
        <f t="array" ref="A2342">INDEX('[1]Brand Family Territory (Enc)'!$A$2:$A$296,INT((ROW()-2)/10)+1)</f>
        <v>Sullivan's</v>
      </c>
      <c r="B2342" s="2" t="str" cm="1">
        <f t="array" ref="B2342">INDEX('Whitelist (Blackout Reverse)'!$B$1:$K$1,MOD(ROW()-2,10)+1)</f>
        <v>BERGEN</v>
      </c>
      <c r="C2342" s="2" t="str">
        <f>VLOOKUP(A2342,'[1]Brand Family Territory (Enc)'!$A$2:$B$296,2,FALSE)</f>
        <v>All Counties</v>
      </c>
      <c r="D2342" s="2">
        <f>IF(COUNTIFS('[1]Brand Family Territories (Enc)'!$B$2:$B$62,C2342,'[1]Brand Family Territories (Enc)'!$C$2:$C$62,B2342)&gt;0,1,IF(AND(LEFT(B2342,6)="MORRIS",COUNTIFS('[1]Brand Family Territories (Enc)'!$B$2:$B$62,C2342,'[1]Brand Family Territories (Enc)'!$C$2:$C$62,"Morri")&gt;0),"Unk",0))</f>
        <v>1</v>
      </c>
      <c r="E2342" s="2" t="str">
        <f>IFERROR(INDEX('Blackout Brand Fam Areas (Enc)'!$D$6:$D$998,MATCH(UPPER(A2342)&amp;"|"&amp;UPPER(B2342),'Blackout Brand Fam Areas (Enc)'!$G$6:$G$998,0)),"No Match")</f>
        <v>No Match</v>
      </c>
      <c r="F2342" s="2" t="str">
        <f t="shared" si="72"/>
        <v>US</v>
      </c>
      <c r="G2342" s="2" t="str">
        <f t="shared" si="73"/>
        <v>Sullivan's|BERGEN</v>
      </c>
    </row>
    <row r="2343" spans="1:7" x14ac:dyDescent="0.2">
      <c r="A2343" s="2" t="str" cm="1">
        <f t="array" ref="A2343">INDEX('[1]Brand Family Territory (Enc)'!$A$2:$A$296,INT((ROW()-2)/10)+1)</f>
        <v>Sullivan's</v>
      </c>
      <c r="B2343" s="2" t="str" cm="1">
        <f t="array" ref="B2343">INDEX('Whitelist (Blackout Reverse)'!$B$1:$K$1,MOD(ROW()-2,10)+1)</f>
        <v>PASSAIC</v>
      </c>
      <c r="C2343" s="2" t="str">
        <f>VLOOKUP(A2343,'[1]Brand Family Territory (Enc)'!$A$2:$B$296,2,FALSE)</f>
        <v>All Counties</v>
      </c>
      <c r="D2343" s="2">
        <f>IF(COUNTIFS('[1]Brand Family Territories (Enc)'!$B$2:$B$62,C2343,'[1]Brand Family Territories (Enc)'!$C$2:$C$62,B2343)&gt;0,1,IF(AND(LEFT(B2343,6)="MORRIS",COUNTIFS('[1]Brand Family Territories (Enc)'!$B$2:$B$62,C2343,'[1]Brand Family Territories (Enc)'!$C$2:$C$62,"Morri")&gt;0),"Unk",0))</f>
        <v>1</v>
      </c>
      <c r="E2343" s="2" t="str">
        <f>IFERROR(INDEX('Blackout Brand Fam Areas (Enc)'!$D$6:$D$998,MATCH(UPPER(A2343)&amp;"|"&amp;UPPER(B2343),'Blackout Brand Fam Areas (Enc)'!$G$6:$G$998,0)),"No Match")</f>
        <v>No Match</v>
      </c>
      <c r="F2343" s="2" t="str">
        <f t="shared" si="72"/>
        <v>US</v>
      </c>
      <c r="G2343" s="2" t="str">
        <f t="shared" si="73"/>
        <v>Sullivan's|PASSAIC</v>
      </c>
    </row>
    <row r="2344" spans="1:7" x14ac:dyDescent="0.2">
      <c r="A2344" s="2" t="str" cm="1">
        <f t="array" ref="A2344">INDEX('[1]Brand Family Territory (Enc)'!$A$2:$A$296,INT((ROW()-2)/10)+1)</f>
        <v>Sullivan's</v>
      </c>
      <c r="B2344" s="2" t="str" cm="1">
        <f t="array" ref="B2344">INDEX('Whitelist (Blackout Reverse)'!$B$1:$K$1,MOD(ROW()-2,10)+1)</f>
        <v>PASSAIC-FF</v>
      </c>
      <c r="C2344" s="2" t="str">
        <f>VLOOKUP(A2344,'[1]Brand Family Territory (Enc)'!$A$2:$B$296,2,FALSE)</f>
        <v>All Counties</v>
      </c>
      <c r="D2344" s="2">
        <f>IF(COUNTIFS('[1]Brand Family Territories (Enc)'!$B$2:$B$62,C2344,'[1]Brand Family Territories (Enc)'!$C$2:$C$62,B2344)&gt;0,1,IF(AND(LEFT(B2344,6)="MORRIS",COUNTIFS('[1]Brand Family Territories (Enc)'!$B$2:$B$62,C2344,'[1]Brand Family Territories (Enc)'!$C$2:$C$62,"Morri")&gt;0),"Unk",0))</f>
        <v>1</v>
      </c>
      <c r="E2344" s="2" t="str">
        <f>IFERROR(INDEX('Blackout Brand Fam Areas (Enc)'!$D$6:$D$998,MATCH(UPPER(A2344)&amp;"|"&amp;UPPER(B2344),'Blackout Brand Fam Areas (Enc)'!$G$6:$G$998,0)),"No Match")</f>
        <v>No Match</v>
      </c>
      <c r="F2344" s="2" t="str">
        <f t="shared" si="72"/>
        <v>US</v>
      </c>
      <c r="G2344" s="2" t="str">
        <f t="shared" si="73"/>
        <v>Sullivan's|PASSAIC-FF</v>
      </c>
    </row>
    <row r="2345" spans="1:7" x14ac:dyDescent="0.2">
      <c r="A2345" s="2" t="str" cm="1">
        <f t="array" ref="A2345">INDEX('[1]Brand Family Territory (Enc)'!$A$2:$A$296,INT((ROW()-2)/10)+1)</f>
        <v>Sullivan's</v>
      </c>
      <c r="B2345" s="2" t="str" cm="1">
        <f t="array" ref="B2345">INDEX('Whitelist (Blackout Reverse)'!$B$1:$K$1,MOD(ROW()-2,10)+1)</f>
        <v>ESSEX</v>
      </c>
      <c r="C2345" s="2" t="str">
        <f>VLOOKUP(A2345,'[1]Brand Family Territory (Enc)'!$A$2:$B$296,2,FALSE)</f>
        <v>All Counties</v>
      </c>
      <c r="D2345" s="2">
        <f>IF(COUNTIFS('[1]Brand Family Territories (Enc)'!$B$2:$B$62,C2345,'[1]Brand Family Territories (Enc)'!$C$2:$C$62,B2345)&gt;0,1,IF(AND(LEFT(B2345,6)="MORRIS",COUNTIFS('[1]Brand Family Territories (Enc)'!$B$2:$B$62,C2345,'[1]Brand Family Territories (Enc)'!$C$2:$C$62,"Morri")&gt;0),"Unk",0))</f>
        <v>1</v>
      </c>
      <c r="E2345" s="2" t="str">
        <f>IFERROR(INDEX('Blackout Brand Fam Areas (Enc)'!$D$6:$D$998,MATCH(UPPER(A2345)&amp;"|"&amp;UPPER(B2345),'Blackout Brand Fam Areas (Enc)'!$G$6:$G$998,0)),"No Match")</f>
        <v>No Match</v>
      </c>
      <c r="F2345" s="2" t="str">
        <f t="shared" si="72"/>
        <v>US</v>
      </c>
      <c r="G2345" s="2" t="str">
        <f t="shared" si="73"/>
        <v>Sullivan's|ESSEX</v>
      </c>
    </row>
    <row r="2346" spans="1:7" x14ac:dyDescent="0.2">
      <c r="A2346" s="2" t="str" cm="1">
        <f t="array" ref="A2346">INDEX('[1]Brand Family Territory (Enc)'!$A$2:$A$296,INT((ROW()-2)/10)+1)</f>
        <v>Sullivan's</v>
      </c>
      <c r="B2346" s="2" t="str" cm="1">
        <f t="array" ref="B2346">INDEX('Whitelist (Blackout Reverse)'!$B$1:$K$1,MOD(ROW()-2,10)+1)</f>
        <v>HUDSON</v>
      </c>
      <c r="C2346" s="2" t="str">
        <f>VLOOKUP(A2346,'[1]Brand Family Territory (Enc)'!$A$2:$B$296,2,FALSE)</f>
        <v>All Counties</v>
      </c>
      <c r="D2346" s="2">
        <f>IF(COUNTIFS('[1]Brand Family Territories (Enc)'!$B$2:$B$62,C2346,'[1]Brand Family Territories (Enc)'!$C$2:$C$62,B2346)&gt;0,1,IF(AND(LEFT(B2346,6)="MORRIS",COUNTIFS('[1]Brand Family Territories (Enc)'!$B$2:$B$62,C2346,'[1]Brand Family Territories (Enc)'!$C$2:$C$62,"Morri")&gt;0),"Unk",0))</f>
        <v>1</v>
      </c>
      <c r="E2346" s="2" t="str">
        <f>IFERROR(INDEX('Blackout Brand Fam Areas (Enc)'!$D$6:$D$998,MATCH(UPPER(A2346)&amp;"|"&amp;UPPER(B2346),'Blackout Brand Fam Areas (Enc)'!$G$6:$G$998,0)),"No Match")</f>
        <v>No Match</v>
      </c>
      <c r="F2346" s="2" t="str">
        <f t="shared" si="72"/>
        <v>US</v>
      </c>
      <c r="G2346" s="2" t="str">
        <f t="shared" si="73"/>
        <v>Sullivan's|HUDSON</v>
      </c>
    </row>
    <row r="2347" spans="1:7" x14ac:dyDescent="0.2">
      <c r="A2347" s="2" t="str" cm="1">
        <f t="array" ref="A2347">INDEX('[1]Brand Family Territory (Enc)'!$A$2:$A$296,INT((ROW()-2)/10)+1)</f>
        <v>Sullivan's</v>
      </c>
      <c r="B2347" s="2" t="str" cm="1">
        <f t="array" ref="B2347">INDEX('Whitelist (Blackout Reverse)'!$B$1:$K$1,MOD(ROW()-2,10)+1)</f>
        <v>UNION</v>
      </c>
      <c r="C2347" s="2" t="str">
        <f>VLOOKUP(A2347,'[1]Brand Family Territory (Enc)'!$A$2:$B$296,2,FALSE)</f>
        <v>All Counties</v>
      </c>
      <c r="D2347" s="2">
        <f>IF(COUNTIFS('[1]Brand Family Territories (Enc)'!$B$2:$B$62,C2347,'[1]Brand Family Territories (Enc)'!$C$2:$C$62,B2347)&gt;0,1,IF(AND(LEFT(B2347,6)="MORRIS",COUNTIFS('[1]Brand Family Territories (Enc)'!$B$2:$B$62,C2347,'[1]Brand Family Territories (Enc)'!$C$2:$C$62,"Morri")&gt;0),"Unk",0))</f>
        <v>1</v>
      </c>
      <c r="E2347" s="2" t="str">
        <f>IFERROR(INDEX('Blackout Brand Fam Areas (Enc)'!$D$6:$D$998,MATCH(UPPER(A2347)&amp;"|"&amp;UPPER(B2347),'Blackout Brand Fam Areas (Enc)'!$G$6:$G$998,0)),"No Match")</f>
        <v>No Match</v>
      </c>
      <c r="F2347" s="2" t="str">
        <f t="shared" si="72"/>
        <v>US</v>
      </c>
      <c r="G2347" s="2" t="str">
        <f t="shared" si="73"/>
        <v>Sullivan's|UNION</v>
      </c>
    </row>
    <row r="2348" spans="1:7" x14ac:dyDescent="0.2">
      <c r="A2348" s="2" t="str" cm="1">
        <f t="array" ref="A2348">INDEX('[1]Brand Family Territory (Enc)'!$A$2:$A$296,INT((ROW()-2)/10)+1)</f>
        <v>Sullivan's</v>
      </c>
      <c r="B2348" s="2" t="str" cm="1">
        <f t="array" ref="B2348">INDEX('Whitelist (Blackout Reverse)'!$B$1:$K$1,MOD(ROW()-2,10)+1)</f>
        <v>SUSSEX</v>
      </c>
      <c r="C2348" s="2" t="str">
        <f>VLOOKUP(A2348,'[1]Brand Family Territory (Enc)'!$A$2:$B$296,2,FALSE)</f>
        <v>All Counties</v>
      </c>
      <c r="D2348" s="2">
        <f>IF(COUNTIFS('[1]Brand Family Territories (Enc)'!$B$2:$B$62,C2348,'[1]Brand Family Territories (Enc)'!$C$2:$C$62,B2348)&gt;0,1,IF(AND(LEFT(B2348,6)="MORRIS",COUNTIFS('[1]Brand Family Territories (Enc)'!$B$2:$B$62,C2348,'[1]Brand Family Territories (Enc)'!$C$2:$C$62,"Morri")&gt;0),"Unk",0))</f>
        <v>1</v>
      </c>
      <c r="E2348" s="2" t="str">
        <f>IFERROR(INDEX('Blackout Brand Fam Areas (Enc)'!$D$6:$D$998,MATCH(UPPER(A2348)&amp;"|"&amp;UPPER(B2348),'Blackout Brand Fam Areas (Enc)'!$G$6:$G$998,0)),"No Match")</f>
        <v>No Match</v>
      </c>
      <c r="F2348" s="2" t="str">
        <f t="shared" si="72"/>
        <v>US</v>
      </c>
      <c r="G2348" s="2" t="str">
        <f t="shared" si="73"/>
        <v>Sullivan's|SUSSEX</v>
      </c>
    </row>
    <row r="2349" spans="1:7" x14ac:dyDescent="0.2">
      <c r="A2349" s="2" t="str" cm="1">
        <f t="array" ref="A2349">INDEX('[1]Brand Family Territory (Enc)'!$A$2:$A$296,INT((ROW()-2)/10)+1)</f>
        <v>Sullivan's</v>
      </c>
      <c r="B2349" s="2" t="str" cm="1">
        <f t="array" ref="B2349">INDEX('Whitelist (Blackout Reverse)'!$B$1:$K$1,MOD(ROW()-2,10)+1)</f>
        <v>MORRIS 1</v>
      </c>
      <c r="C2349" s="2" t="str">
        <f>VLOOKUP(A2349,'[1]Brand Family Territory (Enc)'!$A$2:$B$296,2,FALSE)</f>
        <v>All Counties</v>
      </c>
      <c r="D2349" s="2">
        <f>IF(COUNTIFS('[1]Brand Family Territories (Enc)'!$B$2:$B$62,C2349,'[1]Brand Family Territories (Enc)'!$C$2:$C$62,B2349)&gt;0,1,IF(AND(LEFT(B2349,6)="MORRIS",COUNTIFS('[1]Brand Family Territories (Enc)'!$B$2:$B$62,C2349,'[1]Brand Family Territories (Enc)'!$C$2:$C$62,"Morri")&gt;0),"Unk",0))</f>
        <v>1</v>
      </c>
      <c r="E2349" s="2" t="str">
        <f>IFERROR(INDEX('Blackout Brand Fam Areas (Enc)'!$D$6:$D$998,MATCH(UPPER(A2349)&amp;"|"&amp;UPPER(B2349),'Blackout Brand Fam Areas (Enc)'!$G$6:$G$998,0)),"No Match")</f>
        <v>No Match</v>
      </c>
      <c r="F2349" s="2" t="str">
        <f t="shared" si="72"/>
        <v>US</v>
      </c>
      <c r="G2349" s="2" t="str">
        <f t="shared" si="73"/>
        <v>Sullivan's|MORRIS 1</v>
      </c>
    </row>
    <row r="2350" spans="1:7" x14ac:dyDescent="0.2">
      <c r="A2350" s="2" t="str" cm="1">
        <f t="array" ref="A2350">INDEX('[1]Brand Family Territory (Enc)'!$A$2:$A$296,INT((ROW()-2)/10)+1)</f>
        <v>Sullivan's</v>
      </c>
      <c r="B2350" s="2" t="str" cm="1">
        <f t="array" ref="B2350">INDEX('Whitelist (Blackout Reverse)'!$B$1:$K$1,MOD(ROW()-2,10)+1)</f>
        <v>MORRIS 2</v>
      </c>
      <c r="C2350" s="2" t="str">
        <f>VLOOKUP(A2350,'[1]Brand Family Territory (Enc)'!$A$2:$B$296,2,FALSE)</f>
        <v>All Counties</v>
      </c>
      <c r="D2350" s="2">
        <f>IF(COUNTIFS('[1]Brand Family Territories (Enc)'!$B$2:$B$62,C2350,'[1]Brand Family Territories (Enc)'!$C$2:$C$62,B2350)&gt;0,1,IF(AND(LEFT(B2350,6)="MORRIS",COUNTIFS('[1]Brand Family Territories (Enc)'!$B$2:$B$62,C2350,'[1]Brand Family Territories (Enc)'!$C$2:$C$62,"Morri")&gt;0),"Unk",0))</f>
        <v>1</v>
      </c>
      <c r="E2350" s="2" t="str">
        <f>IFERROR(INDEX('Blackout Brand Fam Areas (Enc)'!$D$6:$D$998,MATCH(UPPER(A2350)&amp;"|"&amp;UPPER(B2350),'Blackout Brand Fam Areas (Enc)'!$G$6:$G$998,0)),"No Match")</f>
        <v>No Match</v>
      </c>
      <c r="F2350" s="2" t="str">
        <f t="shared" si="72"/>
        <v>US</v>
      </c>
      <c r="G2350" s="2" t="str">
        <f t="shared" si="73"/>
        <v>Sullivan's|MORRIS 2</v>
      </c>
    </row>
    <row r="2351" spans="1:7" x14ac:dyDescent="0.2">
      <c r="A2351" s="2" t="str" cm="1">
        <f t="array" ref="A2351">INDEX('[1]Brand Family Territory (Enc)'!$A$2:$A$296,INT((ROW()-2)/10)+1)</f>
        <v>Sullivan's</v>
      </c>
      <c r="B2351" s="2" t="str" cm="1">
        <f t="array" ref="B2351">INDEX('Whitelist (Blackout Reverse)'!$B$1:$K$1,MOD(ROW()-2,10)+1)</f>
        <v>MORRIS 3</v>
      </c>
      <c r="C2351" s="2" t="str">
        <f>VLOOKUP(A2351,'[1]Brand Family Territory (Enc)'!$A$2:$B$296,2,FALSE)</f>
        <v>All Counties</v>
      </c>
      <c r="D2351" s="2">
        <f>IF(COUNTIFS('[1]Brand Family Territories (Enc)'!$B$2:$B$62,C2351,'[1]Brand Family Territories (Enc)'!$C$2:$C$62,B2351)&gt;0,1,IF(AND(LEFT(B2351,6)="MORRIS",COUNTIFS('[1]Brand Family Territories (Enc)'!$B$2:$B$62,C2351,'[1]Brand Family Territories (Enc)'!$C$2:$C$62,"Morri")&gt;0),"Unk",0))</f>
        <v>1</v>
      </c>
      <c r="E2351" s="2" t="str">
        <f>IFERROR(INDEX('Blackout Brand Fam Areas (Enc)'!$D$6:$D$998,MATCH(UPPER(A2351)&amp;"|"&amp;UPPER(B2351),'Blackout Brand Fam Areas (Enc)'!$G$6:$G$998,0)),"No Match")</f>
        <v>No Match</v>
      </c>
      <c r="F2351" s="2" t="str">
        <f t="shared" si="72"/>
        <v>US</v>
      </c>
      <c r="G2351" s="2" t="str">
        <f t="shared" si="73"/>
        <v>Sullivan's|MORRIS 3</v>
      </c>
    </row>
    <row r="2352" spans="1:7" x14ac:dyDescent="0.2">
      <c r="A2352" s="2" t="str" cm="1">
        <f t="array" ref="A2352">INDEX('[1]Brand Family Territory (Enc)'!$A$2:$A$296,INT((ROW()-2)/10)+1)</f>
        <v>Talkhouse Encore</v>
      </c>
      <c r="B2352" s="2" t="str" cm="1">
        <f t="array" ref="B2352">INDEX('Whitelist (Blackout Reverse)'!$B$1:$K$1,MOD(ROW()-2,10)+1)</f>
        <v>BERGEN</v>
      </c>
      <c r="C2352" s="2" t="str">
        <f>VLOOKUP(A2352,'[1]Brand Family Territory (Enc)'!$A$2:$B$296,2,FALSE)</f>
        <v>All Counties</v>
      </c>
      <c r="D2352" s="2">
        <f>IF(COUNTIFS('[1]Brand Family Territories (Enc)'!$B$2:$B$62,C2352,'[1]Brand Family Territories (Enc)'!$C$2:$C$62,B2352)&gt;0,1,IF(AND(LEFT(B2352,6)="MORRIS",COUNTIFS('[1]Brand Family Territories (Enc)'!$B$2:$B$62,C2352,'[1]Brand Family Territories (Enc)'!$C$2:$C$62,"Morri")&gt;0),"Unk",0))</f>
        <v>1</v>
      </c>
      <c r="E2352" s="2" t="str">
        <f>IFERROR(INDEX('Blackout Brand Fam Areas (Enc)'!$D$6:$D$998,MATCH(UPPER(A2352)&amp;"|"&amp;UPPER(B2352),'Blackout Brand Fam Areas (Enc)'!$G$6:$G$998,0)),"No Match")</f>
        <v>No Match</v>
      </c>
      <c r="F2352" s="2" t="str">
        <f t="shared" si="72"/>
        <v>US</v>
      </c>
      <c r="G2352" s="2" t="str">
        <f t="shared" si="73"/>
        <v>Talkhouse Encore|BERGEN</v>
      </c>
    </row>
    <row r="2353" spans="1:7" x14ac:dyDescent="0.2">
      <c r="A2353" s="2" t="str" cm="1">
        <f t="array" ref="A2353">INDEX('[1]Brand Family Territory (Enc)'!$A$2:$A$296,INT((ROW()-2)/10)+1)</f>
        <v>Talkhouse Encore</v>
      </c>
      <c r="B2353" s="2" t="str" cm="1">
        <f t="array" ref="B2353">INDEX('Whitelist (Blackout Reverse)'!$B$1:$K$1,MOD(ROW()-2,10)+1)</f>
        <v>PASSAIC</v>
      </c>
      <c r="C2353" s="2" t="str">
        <f>VLOOKUP(A2353,'[1]Brand Family Territory (Enc)'!$A$2:$B$296,2,FALSE)</f>
        <v>All Counties</v>
      </c>
      <c r="D2353" s="2">
        <f>IF(COUNTIFS('[1]Brand Family Territories (Enc)'!$B$2:$B$62,C2353,'[1]Brand Family Territories (Enc)'!$C$2:$C$62,B2353)&gt;0,1,IF(AND(LEFT(B2353,6)="MORRIS",COUNTIFS('[1]Brand Family Territories (Enc)'!$B$2:$B$62,C2353,'[1]Brand Family Territories (Enc)'!$C$2:$C$62,"Morri")&gt;0),"Unk",0))</f>
        <v>1</v>
      </c>
      <c r="E2353" s="2" t="str">
        <f>IFERROR(INDEX('Blackout Brand Fam Areas (Enc)'!$D$6:$D$998,MATCH(UPPER(A2353)&amp;"|"&amp;UPPER(B2353),'Blackout Brand Fam Areas (Enc)'!$G$6:$G$998,0)),"No Match")</f>
        <v>No Match</v>
      </c>
      <c r="F2353" s="2" t="str">
        <f t="shared" si="72"/>
        <v>US</v>
      </c>
      <c r="G2353" s="2" t="str">
        <f t="shared" si="73"/>
        <v>Talkhouse Encore|PASSAIC</v>
      </c>
    </row>
    <row r="2354" spans="1:7" x14ac:dyDescent="0.2">
      <c r="A2354" s="2" t="str" cm="1">
        <f t="array" ref="A2354">INDEX('[1]Brand Family Territory (Enc)'!$A$2:$A$296,INT((ROW()-2)/10)+1)</f>
        <v>Talkhouse Encore</v>
      </c>
      <c r="B2354" s="2" t="str" cm="1">
        <f t="array" ref="B2354">INDEX('Whitelist (Blackout Reverse)'!$B$1:$K$1,MOD(ROW()-2,10)+1)</f>
        <v>PASSAIC-FF</v>
      </c>
      <c r="C2354" s="2" t="str">
        <f>VLOOKUP(A2354,'[1]Brand Family Territory (Enc)'!$A$2:$B$296,2,FALSE)</f>
        <v>All Counties</v>
      </c>
      <c r="D2354" s="2">
        <f>IF(COUNTIFS('[1]Brand Family Territories (Enc)'!$B$2:$B$62,C2354,'[1]Brand Family Territories (Enc)'!$C$2:$C$62,B2354)&gt;0,1,IF(AND(LEFT(B2354,6)="MORRIS",COUNTIFS('[1]Brand Family Territories (Enc)'!$B$2:$B$62,C2354,'[1]Brand Family Territories (Enc)'!$C$2:$C$62,"Morri")&gt;0),"Unk",0))</f>
        <v>1</v>
      </c>
      <c r="E2354" s="2" t="str">
        <f>IFERROR(INDEX('Blackout Brand Fam Areas (Enc)'!$D$6:$D$998,MATCH(UPPER(A2354)&amp;"|"&amp;UPPER(B2354),'Blackout Brand Fam Areas (Enc)'!$G$6:$G$998,0)),"No Match")</f>
        <v>No Match</v>
      </c>
      <c r="F2354" s="2" t="str">
        <f t="shared" si="72"/>
        <v>US</v>
      </c>
      <c r="G2354" s="2" t="str">
        <f t="shared" si="73"/>
        <v>Talkhouse Encore|PASSAIC-FF</v>
      </c>
    </row>
    <row r="2355" spans="1:7" x14ac:dyDescent="0.2">
      <c r="A2355" s="2" t="str" cm="1">
        <f t="array" ref="A2355">INDEX('[1]Brand Family Territory (Enc)'!$A$2:$A$296,INT((ROW()-2)/10)+1)</f>
        <v>Talkhouse Encore</v>
      </c>
      <c r="B2355" s="2" t="str" cm="1">
        <f t="array" ref="B2355">INDEX('Whitelist (Blackout Reverse)'!$B$1:$K$1,MOD(ROW()-2,10)+1)</f>
        <v>ESSEX</v>
      </c>
      <c r="C2355" s="2" t="str">
        <f>VLOOKUP(A2355,'[1]Brand Family Territory (Enc)'!$A$2:$B$296,2,FALSE)</f>
        <v>All Counties</v>
      </c>
      <c r="D2355" s="2">
        <f>IF(COUNTIFS('[1]Brand Family Territories (Enc)'!$B$2:$B$62,C2355,'[1]Brand Family Territories (Enc)'!$C$2:$C$62,B2355)&gt;0,1,IF(AND(LEFT(B2355,6)="MORRIS",COUNTIFS('[1]Brand Family Territories (Enc)'!$B$2:$B$62,C2355,'[1]Brand Family Territories (Enc)'!$C$2:$C$62,"Morri")&gt;0),"Unk",0))</f>
        <v>1</v>
      </c>
      <c r="E2355" s="2" t="str">
        <f>IFERROR(INDEX('Blackout Brand Fam Areas (Enc)'!$D$6:$D$998,MATCH(UPPER(A2355)&amp;"|"&amp;UPPER(B2355),'Blackout Brand Fam Areas (Enc)'!$G$6:$G$998,0)),"No Match")</f>
        <v>No Match</v>
      </c>
      <c r="F2355" s="2" t="str">
        <f t="shared" si="72"/>
        <v>US</v>
      </c>
      <c r="G2355" s="2" t="str">
        <f t="shared" si="73"/>
        <v>Talkhouse Encore|ESSEX</v>
      </c>
    </row>
    <row r="2356" spans="1:7" x14ac:dyDescent="0.2">
      <c r="A2356" s="2" t="str" cm="1">
        <f t="array" ref="A2356">INDEX('[1]Brand Family Territory (Enc)'!$A$2:$A$296,INT((ROW()-2)/10)+1)</f>
        <v>Talkhouse Encore</v>
      </c>
      <c r="B2356" s="2" t="str" cm="1">
        <f t="array" ref="B2356">INDEX('Whitelist (Blackout Reverse)'!$B$1:$K$1,MOD(ROW()-2,10)+1)</f>
        <v>HUDSON</v>
      </c>
      <c r="C2356" s="2" t="str">
        <f>VLOOKUP(A2356,'[1]Brand Family Territory (Enc)'!$A$2:$B$296,2,FALSE)</f>
        <v>All Counties</v>
      </c>
      <c r="D2356" s="2">
        <f>IF(COUNTIFS('[1]Brand Family Territories (Enc)'!$B$2:$B$62,C2356,'[1]Brand Family Territories (Enc)'!$C$2:$C$62,B2356)&gt;0,1,IF(AND(LEFT(B2356,6)="MORRIS",COUNTIFS('[1]Brand Family Territories (Enc)'!$B$2:$B$62,C2356,'[1]Brand Family Territories (Enc)'!$C$2:$C$62,"Morri")&gt;0),"Unk",0))</f>
        <v>1</v>
      </c>
      <c r="E2356" s="2" t="str">
        <f>IFERROR(INDEX('Blackout Brand Fam Areas (Enc)'!$D$6:$D$998,MATCH(UPPER(A2356)&amp;"|"&amp;UPPER(B2356),'Blackout Brand Fam Areas (Enc)'!$G$6:$G$998,0)),"No Match")</f>
        <v>No Match</v>
      </c>
      <c r="F2356" s="2" t="str">
        <f t="shared" si="72"/>
        <v>US</v>
      </c>
      <c r="G2356" s="2" t="str">
        <f t="shared" si="73"/>
        <v>Talkhouse Encore|HUDSON</v>
      </c>
    </row>
    <row r="2357" spans="1:7" x14ac:dyDescent="0.2">
      <c r="A2357" s="2" t="str" cm="1">
        <f t="array" ref="A2357">INDEX('[1]Brand Family Territory (Enc)'!$A$2:$A$296,INT((ROW()-2)/10)+1)</f>
        <v>Talkhouse Encore</v>
      </c>
      <c r="B2357" s="2" t="str" cm="1">
        <f t="array" ref="B2357">INDEX('Whitelist (Blackout Reverse)'!$B$1:$K$1,MOD(ROW()-2,10)+1)</f>
        <v>UNION</v>
      </c>
      <c r="C2357" s="2" t="str">
        <f>VLOOKUP(A2357,'[1]Brand Family Territory (Enc)'!$A$2:$B$296,2,FALSE)</f>
        <v>All Counties</v>
      </c>
      <c r="D2357" s="2">
        <f>IF(COUNTIFS('[1]Brand Family Territories (Enc)'!$B$2:$B$62,C2357,'[1]Brand Family Territories (Enc)'!$C$2:$C$62,B2357)&gt;0,1,IF(AND(LEFT(B2357,6)="MORRIS",COUNTIFS('[1]Brand Family Territories (Enc)'!$B$2:$B$62,C2357,'[1]Brand Family Territories (Enc)'!$C$2:$C$62,"Morri")&gt;0),"Unk",0))</f>
        <v>1</v>
      </c>
      <c r="E2357" s="2" t="str">
        <f>IFERROR(INDEX('Blackout Brand Fam Areas (Enc)'!$D$6:$D$998,MATCH(UPPER(A2357)&amp;"|"&amp;UPPER(B2357),'Blackout Brand Fam Areas (Enc)'!$G$6:$G$998,0)),"No Match")</f>
        <v>No Match</v>
      </c>
      <c r="F2357" s="2" t="str">
        <f t="shared" si="72"/>
        <v>US</v>
      </c>
      <c r="G2357" s="2" t="str">
        <f t="shared" si="73"/>
        <v>Talkhouse Encore|UNION</v>
      </c>
    </row>
    <row r="2358" spans="1:7" x14ac:dyDescent="0.2">
      <c r="A2358" s="2" t="str" cm="1">
        <f t="array" ref="A2358">INDEX('[1]Brand Family Territory (Enc)'!$A$2:$A$296,INT((ROW()-2)/10)+1)</f>
        <v>Talkhouse Encore</v>
      </c>
      <c r="B2358" s="2" t="str" cm="1">
        <f t="array" ref="B2358">INDEX('Whitelist (Blackout Reverse)'!$B$1:$K$1,MOD(ROW()-2,10)+1)</f>
        <v>SUSSEX</v>
      </c>
      <c r="C2358" s="2" t="str">
        <f>VLOOKUP(A2358,'[1]Brand Family Territory (Enc)'!$A$2:$B$296,2,FALSE)</f>
        <v>All Counties</v>
      </c>
      <c r="D2358" s="2">
        <f>IF(COUNTIFS('[1]Brand Family Territories (Enc)'!$B$2:$B$62,C2358,'[1]Brand Family Territories (Enc)'!$C$2:$C$62,B2358)&gt;0,1,IF(AND(LEFT(B2358,6)="MORRIS",COUNTIFS('[1]Brand Family Territories (Enc)'!$B$2:$B$62,C2358,'[1]Brand Family Territories (Enc)'!$C$2:$C$62,"Morri")&gt;0),"Unk",0))</f>
        <v>1</v>
      </c>
      <c r="E2358" s="2" t="str">
        <f>IFERROR(INDEX('Blackout Brand Fam Areas (Enc)'!$D$6:$D$998,MATCH(UPPER(A2358)&amp;"|"&amp;UPPER(B2358),'Blackout Brand Fam Areas (Enc)'!$G$6:$G$998,0)),"No Match")</f>
        <v>No Match</v>
      </c>
      <c r="F2358" s="2" t="str">
        <f t="shared" si="72"/>
        <v>US</v>
      </c>
      <c r="G2358" s="2" t="str">
        <f t="shared" si="73"/>
        <v>Talkhouse Encore|SUSSEX</v>
      </c>
    </row>
    <row r="2359" spans="1:7" x14ac:dyDescent="0.2">
      <c r="A2359" s="2" t="str" cm="1">
        <f t="array" ref="A2359">INDEX('[1]Brand Family Territory (Enc)'!$A$2:$A$296,INT((ROW()-2)/10)+1)</f>
        <v>Talkhouse Encore</v>
      </c>
      <c r="B2359" s="2" t="str" cm="1">
        <f t="array" ref="B2359">INDEX('Whitelist (Blackout Reverse)'!$B$1:$K$1,MOD(ROW()-2,10)+1)</f>
        <v>MORRIS 1</v>
      </c>
      <c r="C2359" s="2" t="str">
        <f>VLOOKUP(A2359,'[1]Brand Family Territory (Enc)'!$A$2:$B$296,2,FALSE)</f>
        <v>All Counties</v>
      </c>
      <c r="D2359" s="2">
        <f>IF(COUNTIFS('[1]Brand Family Territories (Enc)'!$B$2:$B$62,C2359,'[1]Brand Family Territories (Enc)'!$C$2:$C$62,B2359)&gt;0,1,IF(AND(LEFT(B2359,6)="MORRIS",COUNTIFS('[1]Brand Family Territories (Enc)'!$B$2:$B$62,C2359,'[1]Brand Family Territories (Enc)'!$C$2:$C$62,"Morri")&gt;0),"Unk",0))</f>
        <v>1</v>
      </c>
      <c r="E2359" s="2" t="str">
        <f>IFERROR(INDEX('Blackout Brand Fam Areas (Enc)'!$D$6:$D$998,MATCH(UPPER(A2359)&amp;"|"&amp;UPPER(B2359),'Blackout Brand Fam Areas (Enc)'!$G$6:$G$998,0)),"No Match")</f>
        <v>No Match</v>
      </c>
      <c r="F2359" s="2" t="str">
        <f t="shared" si="72"/>
        <v>US</v>
      </c>
      <c r="G2359" s="2" t="str">
        <f t="shared" si="73"/>
        <v>Talkhouse Encore|MORRIS 1</v>
      </c>
    </row>
    <row r="2360" spans="1:7" x14ac:dyDescent="0.2">
      <c r="A2360" s="2" t="str" cm="1">
        <f t="array" ref="A2360">INDEX('[1]Brand Family Territory (Enc)'!$A$2:$A$296,INT((ROW()-2)/10)+1)</f>
        <v>Talkhouse Encore</v>
      </c>
      <c r="B2360" s="2" t="str" cm="1">
        <f t="array" ref="B2360">INDEX('Whitelist (Blackout Reverse)'!$B$1:$K$1,MOD(ROW()-2,10)+1)</f>
        <v>MORRIS 2</v>
      </c>
      <c r="C2360" s="2" t="str">
        <f>VLOOKUP(A2360,'[1]Brand Family Territory (Enc)'!$A$2:$B$296,2,FALSE)</f>
        <v>All Counties</v>
      </c>
      <c r="D2360" s="2">
        <f>IF(COUNTIFS('[1]Brand Family Territories (Enc)'!$B$2:$B$62,C2360,'[1]Brand Family Territories (Enc)'!$C$2:$C$62,B2360)&gt;0,1,IF(AND(LEFT(B2360,6)="MORRIS",COUNTIFS('[1]Brand Family Territories (Enc)'!$B$2:$B$62,C2360,'[1]Brand Family Territories (Enc)'!$C$2:$C$62,"Morri")&gt;0),"Unk",0))</f>
        <v>1</v>
      </c>
      <c r="E2360" s="2" t="str">
        <f>IFERROR(INDEX('Blackout Brand Fam Areas (Enc)'!$D$6:$D$998,MATCH(UPPER(A2360)&amp;"|"&amp;UPPER(B2360),'Blackout Brand Fam Areas (Enc)'!$G$6:$G$998,0)),"No Match")</f>
        <v>No Match</v>
      </c>
      <c r="F2360" s="2" t="str">
        <f t="shared" si="72"/>
        <v>US</v>
      </c>
      <c r="G2360" s="2" t="str">
        <f t="shared" si="73"/>
        <v>Talkhouse Encore|MORRIS 2</v>
      </c>
    </row>
    <row r="2361" spans="1:7" x14ac:dyDescent="0.2">
      <c r="A2361" s="2" t="str" cm="1">
        <f t="array" ref="A2361">INDEX('[1]Brand Family Territory (Enc)'!$A$2:$A$296,INT((ROW()-2)/10)+1)</f>
        <v>Talkhouse Encore</v>
      </c>
      <c r="B2361" s="2" t="str" cm="1">
        <f t="array" ref="B2361">INDEX('Whitelist (Blackout Reverse)'!$B$1:$K$1,MOD(ROW()-2,10)+1)</f>
        <v>MORRIS 3</v>
      </c>
      <c r="C2361" s="2" t="str">
        <f>VLOOKUP(A2361,'[1]Brand Family Territory (Enc)'!$A$2:$B$296,2,FALSE)</f>
        <v>All Counties</v>
      </c>
      <c r="D2361" s="2">
        <f>IF(COUNTIFS('[1]Brand Family Territories (Enc)'!$B$2:$B$62,C2361,'[1]Brand Family Territories (Enc)'!$C$2:$C$62,B2361)&gt;0,1,IF(AND(LEFT(B2361,6)="MORRIS",COUNTIFS('[1]Brand Family Territories (Enc)'!$B$2:$B$62,C2361,'[1]Brand Family Territories (Enc)'!$C$2:$C$62,"Morri")&gt;0),"Unk",0))</f>
        <v>1</v>
      </c>
      <c r="E2361" s="2" t="str">
        <f>IFERROR(INDEX('Blackout Brand Fam Areas (Enc)'!$D$6:$D$998,MATCH(UPPER(A2361)&amp;"|"&amp;UPPER(B2361),'Blackout Brand Fam Areas (Enc)'!$G$6:$G$998,0)),"No Match")</f>
        <v>No Match</v>
      </c>
      <c r="F2361" s="2" t="str">
        <f t="shared" si="72"/>
        <v>US</v>
      </c>
      <c r="G2361" s="2" t="str">
        <f t="shared" si="73"/>
        <v>Talkhouse Encore|MORRIS 3</v>
      </c>
    </row>
    <row r="2362" spans="1:7" x14ac:dyDescent="0.2">
      <c r="A2362" s="2" t="str" cm="1">
        <f t="array" ref="A2362">INDEX('[1]Brand Family Territory (Enc)'!$A$2:$A$296,INT((ROW()-2)/10)+1)</f>
        <v>The Garden State Experience</v>
      </c>
      <c r="B2362" s="2" t="str" cm="1">
        <f t="array" ref="B2362">INDEX('Whitelist (Blackout Reverse)'!$B$1:$K$1,MOD(ROW()-2,10)+1)</f>
        <v>BERGEN</v>
      </c>
      <c r="C2362" s="2" t="str">
        <f>VLOOKUP(A2362,'[1]Brand Family Territory (Enc)'!$A$2:$B$296,2,FALSE)</f>
        <v>All Counties</v>
      </c>
      <c r="D2362" s="2">
        <f>IF(COUNTIFS('[1]Brand Family Territories (Enc)'!$B$2:$B$62,C2362,'[1]Brand Family Territories (Enc)'!$C$2:$C$62,B2362)&gt;0,1,IF(AND(LEFT(B2362,6)="MORRIS",COUNTIFS('[1]Brand Family Territories (Enc)'!$B$2:$B$62,C2362,'[1]Brand Family Territories (Enc)'!$C$2:$C$62,"Morri")&gt;0),"Unk",0))</f>
        <v>1</v>
      </c>
      <c r="E2362" s="2" t="str">
        <f>IFERROR(INDEX('Blackout Brand Fam Areas (Enc)'!$D$6:$D$998,MATCH(UPPER(A2362)&amp;"|"&amp;UPPER(B2362),'Blackout Brand Fam Areas (Enc)'!$G$6:$G$998,0)),"No Match")</f>
        <v>No Match</v>
      </c>
      <c r="F2362" s="2" t="str">
        <f t="shared" si="72"/>
        <v>US</v>
      </c>
      <c r="G2362" s="2" t="str">
        <f t="shared" si="73"/>
        <v>The Garden State Experience|BERGEN</v>
      </c>
    </row>
    <row r="2363" spans="1:7" x14ac:dyDescent="0.2">
      <c r="A2363" s="2" t="str" cm="1">
        <f t="array" ref="A2363">INDEX('[1]Brand Family Territory (Enc)'!$A$2:$A$296,INT((ROW()-2)/10)+1)</f>
        <v>The Garden State Experience</v>
      </c>
      <c r="B2363" s="2" t="str" cm="1">
        <f t="array" ref="B2363">INDEX('Whitelist (Blackout Reverse)'!$B$1:$K$1,MOD(ROW()-2,10)+1)</f>
        <v>PASSAIC</v>
      </c>
      <c r="C2363" s="2" t="str">
        <f>VLOOKUP(A2363,'[1]Brand Family Territory (Enc)'!$A$2:$B$296,2,FALSE)</f>
        <v>All Counties</v>
      </c>
      <c r="D2363" s="2">
        <f>IF(COUNTIFS('[1]Brand Family Territories (Enc)'!$B$2:$B$62,C2363,'[1]Brand Family Territories (Enc)'!$C$2:$C$62,B2363)&gt;0,1,IF(AND(LEFT(B2363,6)="MORRIS",COUNTIFS('[1]Brand Family Territories (Enc)'!$B$2:$B$62,C2363,'[1]Brand Family Territories (Enc)'!$C$2:$C$62,"Morri")&gt;0),"Unk",0))</f>
        <v>1</v>
      </c>
      <c r="E2363" s="2" t="str">
        <f>IFERROR(INDEX('Blackout Brand Fam Areas (Enc)'!$D$6:$D$998,MATCH(UPPER(A2363)&amp;"|"&amp;UPPER(B2363),'Blackout Brand Fam Areas (Enc)'!$G$6:$G$998,0)),"No Match")</f>
        <v>No Match</v>
      </c>
      <c r="F2363" s="2" t="str">
        <f t="shared" si="72"/>
        <v>US</v>
      </c>
      <c r="G2363" s="2" t="str">
        <f t="shared" si="73"/>
        <v>The Garden State Experience|PASSAIC</v>
      </c>
    </row>
    <row r="2364" spans="1:7" x14ac:dyDescent="0.2">
      <c r="A2364" s="2" t="str" cm="1">
        <f t="array" ref="A2364">INDEX('[1]Brand Family Territory (Enc)'!$A$2:$A$296,INT((ROW()-2)/10)+1)</f>
        <v>The Garden State Experience</v>
      </c>
      <c r="B2364" s="2" t="str" cm="1">
        <f t="array" ref="B2364">INDEX('Whitelist (Blackout Reverse)'!$B$1:$K$1,MOD(ROW()-2,10)+1)</f>
        <v>PASSAIC-FF</v>
      </c>
      <c r="C2364" s="2" t="str">
        <f>VLOOKUP(A2364,'[1]Brand Family Territory (Enc)'!$A$2:$B$296,2,FALSE)</f>
        <v>All Counties</v>
      </c>
      <c r="D2364" s="2">
        <f>IF(COUNTIFS('[1]Brand Family Territories (Enc)'!$B$2:$B$62,C2364,'[1]Brand Family Territories (Enc)'!$C$2:$C$62,B2364)&gt;0,1,IF(AND(LEFT(B2364,6)="MORRIS",COUNTIFS('[1]Brand Family Territories (Enc)'!$B$2:$B$62,C2364,'[1]Brand Family Territories (Enc)'!$C$2:$C$62,"Morri")&gt;0),"Unk",0))</f>
        <v>1</v>
      </c>
      <c r="E2364" s="2" t="str">
        <f>IFERROR(INDEX('Blackout Brand Fam Areas (Enc)'!$D$6:$D$998,MATCH(UPPER(A2364)&amp;"|"&amp;UPPER(B2364),'Blackout Brand Fam Areas (Enc)'!$G$6:$G$998,0)),"No Match")</f>
        <v>No Match</v>
      </c>
      <c r="F2364" s="2" t="str">
        <f t="shared" si="72"/>
        <v>US</v>
      </c>
      <c r="G2364" s="2" t="str">
        <f t="shared" si="73"/>
        <v>The Garden State Experience|PASSAIC-FF</v>
      </c>
    </row>
    <row r="2365" spans="1:7" x14ac:dyDescent="0.2">
      <c r="A2365" s="2" t="str" cm="1">
        <f t="array" ref="A2365">INDEX('[1]Brand Family Territory (Enc)'!$A$2:$A$296,INT((ROW()-2)/10)+1)</f>
        <v>The Garden State Experience</v>
      </c>
      <c r="B2365" s="2" t="str" cm="1">
        <f t="array" ref="B2365">INDEX('Whitelist (Blackout Reverse)'!$B$1:$K$1,MOD(ROW()-2,10)+1)</f>
        <v>ESSEX</v>
      </c>
      <c r="C2365" s="2" t="str">
        <f>VLOOKUP(A2365,'[1]Brand Family Territory (Enc)'!$A$2:$B$296,2,FALSE)</f>
        <v>All Counties</v>
      </c>
      <c r="D2365" s="2">
        <f>IF(COUNTIFS('[1]Brand Family Territories (Enc)'!$B$2:$B$62,C2365,'[1]Brand Family Territories (Enc)'!$C$2:$C$62,B2365)&gt;0,1,IF(AND(LEFT(B2365,6)="MORRIS",COUNTIFS('[1]Brand Family Territories (Enc)'!$B$2:$B$62,C2365,'[1]Brand Family Territories (Enc)'!$C$2:$C$62,"Morri")&gt;0),"Unk",0))</f>
        <v>1</v>
      </c>
      <c r="E2365" s="2" t="str">
        <f>IFERROR(INDEX('Blackout Brand Fam Areas (Enc)'!$D$6:$D$998,MATCH(UPPER(A2365)&amp;"|"&amp;UPPER(B2365),'Blackout Brand Fam Areas (Enc)'!$G$6:$G$998,0)),"No Match")</f>
        <v>No Match</v>
      </c>
      <c r="F2365" s="2" t="str">
        <f t="shared" si="72"/>
        <v>US</v>
      </c>
      <c r="G2365" s="2" t="str">
        <f t="shared" si="73"/>
        <v>The Garden State Experience|ESSEX</v>
      </c>
    </row>
    <row r="2366" spans="1:7" x14ac:dyDescent="0.2">
      <c r="A2366" s="2" t="str" cm="1">
        <f t="array" ref="A2366">INDEX('[1]Brand Family Territory (Enc)'!$A$2:$A$296,INT((ROW()-2)/10)+1)</f>
        <v>The Garden State Experience</v>
      </c>
      <c r="B2366" s="2" t="str" cm="1">
        <f t="array" ref="B2366">INDEX('Whitelist (Blackout Reverse)'!$B$1:$K$1,MOD(ROW()-2,10)+1)</f>
        <v>HUDSON</v>
      </c>
      <c r="C2366" s="2" t="str">
        <f>VLOOKUP(A2366,'[1]Brand Family Territory (Enc)'!$A$2:$B$296,2,FALSE)</f>
        <v>All Counties</v>
      </c>
      <c r="D2366" s="2">
        <f>IF(COUNTIFS('[1]Brand Family Territories (Enc)'!$B$2:$B$62,C2366,'[1]Brand Family Territories (Enc)'!$C$2:$C$62,B2366)&gt;0,1,IF(AND(LEFT(B2366,6)="MORRIS",COUNTIFS('[1]Brand Family Territories (Enc)'!$B$2:$B$62,C2366,'[1]Brand Family Territories (Enc)'!$C$2:$C$62,"Morri")&gt;0),"Unk",0))</f>
        <v>1</v>
      </c>
      <c r="E2366" s="2" t="str">
        <f>IFERROR(INDEX('Blackout Brand Fam Areas (Enc)'!$D$6:$D$998,MATCH(UPPER(A2366)&amp;"|"&amp;UPPER(B2366),'Blackout Brand Fam Areas (Enc)'!$G$6:$G$998,0)),"No Match")</f>
        <v>No Match</v>
      </c>
      <c r="F2366" s="2" t="str">
        <f t="shared" si="72"/>
        <v>US</v>
      </c>
      <c r="G2366" s="2" t="str">
        <f t="shared" si="73"/>
        <v>The Garden State Experience|HUDSON</v>
      </c>
    </row>
    <row r="2367" spans="1:7" x14ac:dyDescent="0.2">
      <c r="A2367" s="2" t="str" cm="1">
        <f t="array" ref="A2367">INDEX('[1]Brand Family Territory (Enc)'!$A$2:$A$296,INT((ROW()-2)/10)+1)</f>
        <v>The Garden State Experience</v>
      </c>
      <c r="B2367" s="2" t="str" cm="1">
        <f t="array" ref="B2367">INDEX('Whitelist (Blackout Reverse)'!$B$1:$K$1,MOD(ROW()-2,10)+1)</f>
        <v>UNION</v>
      </c>
      <c r="C2367" s="2" t="str">
        <f>VLOOKUP(A2367,'[1]Brand Family Territory (Enc)'!$A$2:$B$296,2,FALSE)</f>
        <v>All Counties</v>
      </c>
      <c r="D2367" s="2">
        <f>IF(COUNTIFS('[1]Brand Family Territories (Enc)'!$B$2:$B$62,C2367,'[1]Brand Family Territories (Enc)'!$C$2:$C$62,B2367)&gt;0,1,IF(AND(LEFT(B2367,6)="MORRIS",COUNTIFS('[1]Brand Family Territories (Enc)'!$B$2:$B$62,C2367,'[1]Brand Family Territories (Enc)'!$C$2:$C$62,"Morri")&gt;0),"Unk",0))</f>
        <v>1</v>
      </c>
      <c r="E2367" s="2" t="str">
        <f>IFERROR(INDEX('Blackout Brand Fam Areas (Enc)'!$D$6:$D$998,MATCH(UPPER(A2367)&amp;"|"&amp;UPPER(B2367),'Blackout Brand Fam Areas (Enc)'!$G$6:$G$998,0)),"No Match")</f>
        <v>No Match</v>
      </c>
      <c r="F2367" s="2" t="str">
        <f t="shared" si="72"/>
        <v>US</v>
      </c>
      <c r="G2367" s="2" t="str">
        <f t="shared" si="73"/>
        <v>The Garden State Experience|UNION</v>
      </c>
    </row>
    <row r="2368" spans="1:7" x14ac:dyDescent="0.2">
      <c r="A2368" s="2" t="str" cm="1">
        <f t="array" ref="A2368">INDEX('[1]Brand Family Territory (Enc)'!$A$2:$A$296,INT((ROW()-2)/10)+1)</f>
        <v>The Garden State Experience</v>
      </c>
      <c r="B2368" s="2" t="str" cm="1">
        <f t="array" ref="B2368">INDEX('Whitelist (Blackout Reverse)'!$B$1:$K$1,MOD(ROW()-2,10)+1)</f>
        <v>SUSSEX</v>
      </c>
      <c r="C2368" s="2" t="str">
        <f>VLOOKUP(A2368,'[1]Brand Family Territory (Enc)'!$A$2:$B$296,2,FALSE)</f>
        <v>All Counties</v>
      </c>
      <c r="D2368" s="2">
        <f>IF(COUNTIFS('[1]Brand Family Territories (Enc)'!$B$2:$B$62,C2368,'[1]Brand Family Territories (Enc)'!$C$2:$C$62,B2368)&gt;0,1,IF(AND(LEFT(B2368,6)="MORRIS",COUNTIFS('[1]Brand Family Territories (Enc)'!$B$2:$B$62,C2368,'[1]Brand Family Territories (Enc)'!$C$2:$C$62,"Morri")&gt;0),"Unk",0))</f>
        <v>1</v>
      </c>
      <c r="E2368" s="2" t="str">
        <f>IFERROR(INDEX('Blackout Brand Fam Areas (Enc)'!$D$6:$D$998,MATCH(UPPER(A2368)&amp;"|"&amp;UPPER(B2368),'Blackout Brand Fam Areas (Enc)'!$G$6:$G$998,0)),"No Match")</f>
        <v>No Match</v>
      </c>
      <c r="F2368" s="2" t="str">
        <f t="shared" si="72"/>
        <v>US</v>
      </c>
      <c r="G2368" s="2" t="str">
        <f t="shared" si="73"/>
        <v>The Garden State Experience|SUSSEX</v>
      </c>
    </row>
    <row r="2369" spans="1:7" x14ac:dyDescent="0.2">
      <c r="A2369" s="2" t="str" cm="1">
        <f t="array" ref="A2369">INDEX('[1]Brand Family Territory (Enc)'!$A$2:$A$296,INT((ROW()-2)/10)+1)</f>
        <v>The Garden State Experience</v>
      </c>
      <c r="B2369" s="2" t="str" cm="1">
        <f t="array" ref="B2369">INDEX('Whitelist (Blackout Reverse)'!$B$1:$K$1,MOD(ROW()-2,10)+1)</f>
        <v>MORRIS 1</v>
      </c>
      <c r="C2369" s="2" t="str">
        <f>VLOOKUP(A2369,'[1]Brand Family Territory (Enc)'!$A$2:$B$296,2,FALSE)</f>
        <v>All Counties</v>
      </c>
      <c r="D2369" s="2">
        <f>IF(COUNTIFS('[1]Brand Family Territories (Enc)'!$B$2:$B$62,C2369,'[1]Brand Family Territories (Enc)'!$C$2:$C$62,B2369)&gt;0,1,IF(AND(LEFT(B2369,6)="MORRIS",COUNTIFS('[1]Brand Family Territories (Enc)'!$B$2:$B$62,C2369,'[1]Brand Family Territories (Enc)'!$C$2:$C$62,"Morri")&gt;0),"Unk",0))</f>
        <v>1</v>
      </c>
      <c r="E2369" s="2" t="str">
        <f>IFERROR(INDEX('Blackout Brand Fam Areas (Enc)'!$D$6:$D$998,MATCH(UPPER(A2369)&amp;"|"&amp;UPPER(B2369),'Blackout Brand Fam Areas (Enc)'!$G$6:$G$998,0)),"No Match")</f>
        <v>No Match</v>
      </c>
      <c r="F2369" s="2" t="str">
        <f t="shared" si="72"/>
        <v>US</v>
      </c>
      <c r="G2369" s="2" t="str">
        <f t="shared" si="73"/>
        <v>The Garden State Experience|MORRIS 1</v>
      </c>
    </row>
    <row r="2370" spans="1:7" x14ac:dyDescent="0.2">
      <c r="A2370" s="2" t="str" cm="1">
        <f t="array" ref="A2370">INDEX('[1]Brand Family Territory (Enc)'!$A$2:$A$296,INT((ROW()-2)/10)+1)</f>
        <v>The Garden State Experience</v>
      </c>
      <c r="B2370" s="2" t="str" cm="1">
        <f t="array" ref="B2370">INDEX('Whitelist (Blackout Reverse)'!$B$1:$K$1,MOD(ROW()-2,10)+1)</f>
        <v>MORRIS 2</v>
      </c>
      <c r="C2370" s="2" t="str">
        <f>VLOOKUP(A2370,'[1]Brand Family Territory (Enc)'!$A$2:$B$296,2,FALSE)</f>
        <v>All Counties</v>
      </c>
      <c r="D2370" s="2">
        <f>IF(COUNTIFS('[1]Brand Family Territories (Enc)'!$B$2:$B$62,C2370,'[1]Brand Family Territories (Enc)'!$C$2:$C$62,B2370)&gt;0,1,IF(AND(LEFT(B2370,6)="MORRIS",COUNTIFS('[1]Brand Family Territories (Enc)'!$B$2:$B$62,C2370,'[1]Brand Family Territories (Enc)'!$C$2:$C$62,"Morri")&gt;0),"Unk",0))</f>
        <v>1</v>
      </c>
      <c r="E2370" s="2" t="str">
        <f>IFERROR(INDEX('Blackout Brand Fam Areas (Enc)'!$D$6:$D$998,MATCH(UPPER(A2370)&amp;"|"&amp;UPPER(B2370),'Blackout Brand Fam Areas (Enc)'!$G$6:$G$998,0)),"No Match")</f>
        <v>No Match</v>
      </c>
      <c r="F2370" s="2" t="str">
        <f t="shared" si="72"/>
        <v>US</v>
      </c>
      <c r="G2370" s="2" t="str">
        <f t="shared" si="73"/>
        <v>The Garden State Experience|MORRIS 2</v>
      </c>
    </row>
    <row r="2371" spans="1:7" x14ac:dyDescent="0.2">
      <c r="A2371" s="2" t="str" cm="1">
        <f t="array" ref="A2371">INDEX('[1]Brand Family Territory (Enc)'!$A$2:$A$296,INT((ROW()-2)/10)+1)</f>
        <v>The Garden State Experience</v>
      </c>
      <c r="B2371" s="2" t="str" cm="1">
        <f t="array" ref="B2371">INDEX('Whitelist (Blackout Reverse)'!$B$1:$K$1,MOD(ROW()-2,10)+1)</f>
        <v>MORRIS 3</v>
      </c>
      <c r="C2371" s="2" t="str">
        <f>VLOOKUP(A2371,'[1]Brand Family Territory (Enc)'!$A$2:$B$296,2,FALSE)</f>
        <v>All Counties</v>
      </c>
      <c r="D2371" s="2">
        <f>IF(COUNTIFS('[1]Brand Family Territories (Enc)'!$B$2:$B$62,C2371,'[1]Brand Family Territories (Enc)'!$C$2:$C$62,B2371)&gt;0,1,IF(AND(LEFT(B2371,6)="MORRIS",COUNTIFS('[1]Brand Family Territories (Enc)'!$B$2:$B$62,C2371,'[1]Brand Family Territories (Enc)'!$C$2:$C$62,"Morri")&gt;0),"Unk",0))</f>
        <v>1</v>
      </c>
      <c r="E2371" s="2" t="str">
        <f>IFERROR(INDEX('Blackout Brand Fam Areas (Enc)'!$D$6:$D$998,MATCH(UPPER(A2371)&amp;"|"&amp;UPPER(B2371),'Blackout Brand Fam Areas (Enc)'!$G$6:$G$998,0)),"No Match")</f>
        <v>No Match</v>
      </c>
      <c r="F2371" s="2" t="str">
        <f t="shared" ref="F2371:F2434" si="74">IF(D2371="Unk","Ambiguous (Source Truncated)",IF(E2371="Inactive","THEM",IF(D2371=1,"US",IF(D2371="N/A","No Territory Data","THEM"))))</f>
        <v>US</v>
      </c>
      <c r="G2371" s="2" t="str">
        <f t="shared" ref="G2371:G2434" si="75">A2371&amp;"|"&amp;B2371</f>
        <v>The Garden State Experience|MORRIS 3</v>
      </c>
    </row>
    <row r="2372" spans="1:7" x14ac:dyDescent="0.2">
      <c r="A2372" s="2" t="str" cm="1">
        <f t="array" ref="A2372">INDEX('[1]Brand Family Territory (Enc)'!$A$2:$A$296,INT((ROW()-2)/10)+1)</f>
        <v>The Old G</v>
      </c>
      <c r="B2372" s="2" t="str" cm="1">
        <f t="array" ref="B2372">INDEX('Whitelist (Blackout Reverse)'!$B$1:$K$1,MOD(ROW()-2,10)+1)</f>
        <v>BERGEN</v>
      </c>
      <c r="C2372" s="2" t="str">
        <f>VLOOKUP(A2372,'[1]Brand Family Territory (Enc)'!$A$2:$B$296,2,FALSE)</f>
        <v>All Counties</v>
      </c>
      <c r="D2372" s="2">
        <f>IF(COUNTIFS('[1]Brand Family Territories (Enc)'!$B$2:$B$62,C2372,'[1]Brand Family Territories (Enc)'!$C$2:$C$62,B2372)&gt;0,1,IF(AND(LEFT(B2372,6)="MORRIS",COUNTIFS('[1]Brand Family Territories (Enc)'!$B$2:$B$62,C2372,'[1]Brand Family Territories (Enc)'!$C$2:$C$62,"Morri")&gt;0),"Unk",0))</f>
        <v>1</v>
      </c>
      <c r="E2372" s="2" t="str">
        <f>IFERROR(INDEX('Blackout Brand Fam Areas (Enc)'!$D$6:$D$998,MATCH(UPPER(A2372)&amp;"|"&amp;UPPER(B2372),'Blackout Brand Fam Areas (Enc)'!$G$6:$G$998,0)),"No Match")</f>
        <v>No Match</v>
      </c>
      <c r="F2372" s="2" t="str">
        <f t="shared" si="74"/>
        <v>US</v>
      </c>
      <c r="G2372" s="2" t="str">
        <f t="shared" si="75"/>
        <v>The Old G|BERGEN</v>
      </c>
    </row>
    <row r="2373" spans="1:7" x14ac:dyDescent="0.2">
      <c r="A2373" s="2" t="str" cm="1">
        <f t="array" ref="A2373">INDEX('[1]Brand Family Territory (Enc)'!$A$2:$A$296,INT((ROW()-2)/10)+1)</f>
        <v>The Old G</v>
      </c>
      <c r="B2373" s="2" t="str" cm="1">
        <f t="array" ref="B2373">INDEX('Whitelist (Blackout Reverse)'!$B$1:$K$1,MOD(ROW()-2,10)+1)</f>
        <v>PASSAIC</v>
      </c>
      <c r="C2373" s="2" t="str">
        <f>VLOOKUP(A2373,'[1]Brand Family Territory (Enc)'!$A$2:$B$296,2,FALSE)</f>
        <v>All Counties</v>
      </c>
      <c r="D2373" s="2">
        <f>IF(COUNTIFS('[1]Brand Family Territories (Enc)'!$B$2:$B$62,C2373,'[1]Brand Family Territories (Enc)'!$C$2:$C$62,B2373)&gt;0,1,IF(AND(LEFT(B2373,6)="MORRIS",COUNTIFS('[1]Brand Family Territories (Enc)'!$B$2:$B$62,C2373,'[1]Brand Family Territories (Enc)'!$C$2:$C$62,"Morri")&gt;0),"Unk",0))</f>
        <v>1</v>
      </c>
      <c r="E2373" s="2" t="str">
        <f>IFERROR(INDEX('Blackout Brand Fam Areas (Enc)'!$D$6:$D$998,MATCH(UPPER(A2373)&amp;"|"&amp;UPPER(B2373),'Blackout Brand Fam Areas (Enc)'!$G$6:$G$998,0)),"No Match")</f>
        <v>No Match</v>
      </c>
      <c r="F2373" s="2" t="str">
        <f t="shared" si="74"/>
        <v>US</v>
      </c>
      <c r="G2373" s="2" t="str">
        <f t="shared" si="75"/>
        <v>The Old G|PASSAIC</v>
      </c>
    </row>
    <row r="2374" spans="1:7" x14ac:dyDescent="0.2">
      <c r="A2374" s="2" t="str" cm="1">
        <f t="array" ref="A2374">INDEX('[1]Brand Family Territory (Enc)'!$A$2:$A$296,INT((ROW()-2)/10)+1)</f>
        <v>The Old G</v>
      </c>
      <c r="B2374" s="2" t="str" cm="1">
        <f t="array" ref="B2374">INDEX('Whitelist (Blackout Reverse)'!$B$1:$K$1,MOD(ROW()-2,10)+1)</f>
        <v>PASSAIC-FF</v>
      </c>
      <c r="C2374" s="2" t="str">
        <f>VLOOKUP(A2374,'[1]Brand Family Territory (Enc)'!$A$2:$B$296,2,FALSE)</f>
        <v>All Counties</v>
      </c>
      <c r="D2374" s="2">
        <f>IF(COUNTIFS('[1]Brand Family Territories (Enc)'!$B$2:$B$62,C2374,'[1]Brand Family Territories (Enc)'!$C$2:$C$62,B2374)&gt;0,1,IF(AND(LEFT(B2374,6)="MORRIS",COUNTIFS('[1]Brand Family Territories (Enc)'!$B$2:$B$62,C2374,'[1]Brand Family Territories (Enc)'!$C$2:$C$62,"Morri")&gt;0),"Unk",0))</f>
        <v>1</v>
      </c>
      <c r="E2374" s="2" t="str">
        <f>IFERROR(INDEX('Blackout Brand Fam Areas (Enc)'!$D$6:$D$998,MATCH(UPPER(A2374)&amp;"|"&amp;UPPER(B2374),'Blackout Brand Fam Areas (Enc)'!$G$6:$G$998,0)),"No Match")</f>
        <v>No Match</v>
      </c>
      <c r="F2374" s="2" t="str">
        <f t="shared" si="74"/>
        <v>US</v>
      </c>
      <c r="G2374" s="2" t="str">
        <f t="shared" si="75"/>
        <v>The Old G|PASSAIC-FF</v>
      </c>
    </row>
    <row r="2375" spans="1:7" x14ac:dyDescent="0.2">
      <c r="A2375" s="2" t="str" cm="1">
        <f t="array" ref="A2375">INDEX('[1]Brand Family Territory (Enc)'!$A$2:$A$296,INT((ROW()-2)/10)+1)</f>
        <v>The Old G</v>
      </c>
      <c r="B2375" s="2" t="str" cm="1">
        <f t="array" ref="B2375">INDEX('Whitelist (Blackout Reverse)'!$B$1:$K$1,MOD(ROW()-2,10)+1)</f>
        <v>ESSEX</v>
      </c>
      <c r="C2375" s="2" t="str">
        <f>VLOOKUP(A2375,'[1]Brand Family Territory (Enc)'!$A$2:$B$296,2,FALSE)</f>
        <v>All Counties</v>
      </c>
      <c r="D2375" s="2">
        <f>IF(COUNTIFS('[1]Brand Family Territories (Enc)'!$B$2:$B$62,C2375,'[1]Brand Family Territories (Enc)'!$C$2:$C$62,B2375)&gt;0,1,IF(AND(LEFT(B2375,6)="MORRIS",COUNTIFS('[1]Brand Family Territories (Enc)'!$B$2:$B$62,C2375,'[1]Brand Family Territories (Enc)'!$C$2:$C$62,"Morri")&gt;0),"Unk",0))</f>
        <v>1</v>
      </c>
      <c r="E2375" s="2" t="str">
        <f>IFERROR(INDEX('Blackout Brand Fam Areas (Enc)'!$D$6:$D$998,MATCH(UPPER(A2375)&amp;"|"&amp;UPPER(B2375),'Blackout Brand Fam Areas (Enc)'!$G$6:$G$998,0)),"No Match")</f>
        <v>No Match</v>
      </c>
      <c r="F2375" s="2" t="str">
        <f t="shared" si="74"/>
        <v>US</v>
      </c>
      <c r="G2375" s="2" t="str">
        <f t="shared" si="75"/>
        <v>The Old G|ESSEX</v>
      </c>
    </row>
    <row r="2376" spans="1:7" x14ac:dyDescent="0.2">
      <c r="A2376" s="2" t="str" cm="1">
        <f t="array" ref="A2376">INDEX('[1]Brand Family Territory (Enc)'!$A$2:$A$296,INT((ROW()-2)/10)+1)</f>
        <v>The Old G</v>
      </c>
      <c r="B2376" s="2" t="str" cm="1">
        <f t="array" ref="B2376">INDEX('Whitelist (Blackout Reverse)'!$B$1:$K$1,MOD(ROW()-2,10)+1)</f>
        <v>HUDSON</v>
      </c>
      <c r="C2376" s="2" t="str">
        <f>VLOOKUP(A2376,'[1]Brand Family Territory (Enc)'!$A$2:$B$296,2,FALSE)</f>
        <v>All Counties</v>
      </c>
      <c r="D2376" s="2">
        <f>IF(COUNTIFS('[1]Brand Family Territories (Enc)'!$B$2:$B$62,C2376,'[1]Brand Family Territories (Enc)'!$C$2:$C$62,B2376)&gt;0,1,IF(AND(LEFT(B2376,6)="MORRIS",COUNTIFS('[1]Brand Family Territories (Enc)'!$B$2:$B$62,C2376,'[1]Brand Family Territories (Enc)'!$C$2:$C$62,"Morri")&gt;0),"Unk",0))</f>
        <v>1</v>
      </c>
      <c r="E2376" s="2" t="str">
        <f>IFERROR(INDEX('Blackout Brand Fam Areas (Enc)'!$D$6:$D$998,MATCH(UPPER(A2376)&amp;"|"&amp;UPPER(B2376),'Blackout Brand Fam Areas (Enc)'!$G$6:$G$998,0)),"No Match")</f>
        <v>No Match</v>
      </c>
      <c r="F2376" s="2" t="str">
        <f t="shared" si="74"/>
        <v>US</v>
      </c>
      <c r="G2376" s="2" t="str">
        <f t="shared" si="75"/>
        <v>The Old G|HUDSON</v>
      </c>
    </row>
    <row r="2377" spans="1:7" x14ac:dyDescent="0.2">
      <c r="A2377" s="2" t="str" cm="1">
        <f t="array" ref="A2377">INDEX('[1]Brand Family Territory (Enc)'!$A$2:$A$296,INT((ROW()-2)/10)+1)</f>
        <v>The Old G</v>
      </c>
      <c r="B2377" s="2" t="str" cm="1">
        <f t="array" ref="B2377">INDEX('Whitelist (Blackout Reverse)'!$B$1:$K$1,MOD(ROW()-2,10)+1)</f>
        <v>UNION</v>
      </c>
      <c r="C2377" s="2" t="str">
        <f>VLOOKUP(A2377,'[1]Brand Family Territory (Enc)'!$A$2:$B$296,2,FALSE)</f>
        <v>All Counties</v>
      </c>
      <c r="D2377" s="2">
        <f>IF(COUNTIFS('[1]Brand Family Territories (Enc)'!$B$2:$B$62,C2377,'[1]Brand Family Territories (Enc)'!$C$2:$C$62,B2377)&gt;0,1,IF(AND(LEFT(B2377,6)="MORRIS",COUNTIFS('[1]Brand Family Territories (Enc)'!$B$2:$B$62,C2377,'[1]Brand Family Territories (Enc)'!$C$2:$C$62,"Morri")&gt;0),"Unk",0))</f>
        <v>1</v>
      </c>
      <c r="E2377" s="2" t="str">
        <f>IFERROR(INDEX('Blackout Brand Fam Areas (Enc)'!$D$6:$D$998,MATCH(UPPER(A2377)&amp;"|"&amp;UPPER(B2377),'Blackout Brand Fam Areas (Enc)'!$G$6:$G$998,0)),"No Match")</f>
        <v>No Match</v>
      </c>
      <c r="F2377" s="2" t="str">
        <f t="shared" si="74"/>
        <v>US</v>
      </c>
      <c r="G2377" s="2" t="str">
        <f t="shared" si="75"/>
        <v>The Old G|UNION</v>
      </c>
    </row>
    <row r="2378" spans="1:7" x14ac:dyDescent="0.2">
      <c r="A2378" s="2" t="str" cm="1">
        <f t="array" ref="A2378">INDEX('[1]Brand Family Territory (Enc)'!$A$2:$A$296,INT((ROW()-2)/10)+1)</f>
        <v>The Old G</v>
      </c>
      <c r="B2378" s="2" t="str" cm="1">
        <f t="array" ref="B2378">INDEX('Whitelist (Blackout Reverse)'!$B$1:$K$1,MOD(ROW()-2,10)+1)</f>
        <v>SUSSEX</v>
      </c>
      <c r="C2378" s="2" t="str">
        <f>VLOOKUP(A2378,'[1]Brand Family Territory (Enc)'!$A$2:$B$296,2,FALSE)</f>
        <v>All Counties</v>
      </c>
      <c r="D2378" s="2">
        <f>IF(COUNTIFS('[1]Brand Family Territories (Enc)'!$B$2:$B$62,C2378,'[1]Brand Family Territories (Enc)'!$C$2:$C$62,B2378)&gt;0,1,IF(AND(LEFT(B2378,6)="MORRIS",COUNTIFS('[1]Brand Family Territories (Enc)'!$B$2:$B$62,C2378,'[1]Brand Family Territories (Enc)'!$C$2:$C$62,"Morri")&gt;0),"Unk",0))</f>
        <v>1</v>
      </c>
      <c r="E2378" s="2" t="str">
        <f>IFERROR(INDEX('Blackout Brand Fam Areas (Enc)'!$D$6:$D$998,MATCH(UPPER(A2378)&amp;"|"&amp;UPPER(B2378),'Blackout Brand Fam Areas (Enc)'!$G$6:$G$998,0)),"No Match")</f>
        <v>No Match</v>
      </c>
      <c r="F2378" s="2" t="str">
        <f t="shared" si="74"/>
        <v>US</v>
      </c>
      <c r="G2378" s="2" t="str">
        <f t="shared" si="75"/>
        <v>The Old G|SUSSEX</v>
      </c>
    </row>
    <row r="2379" spans="1:7" x14ac:dyDescent="0.2">
      <c r="A2379" s="2" t="str" cm="1">
        <f t="array" ref="A2379">INDEX('[1]Brand Family Territory (Enc)'!$A$2:$A$296,INT((ROW()-2)/10)+1)</f>
        <v>The Old G</v>
      </c>
      <c r="B2379" s="2" t="str" cm="1">
        <f t="array" ref="B2379">INDEX('Whitelist (Blackout Reverse)'!$B$1:$K$1,MOD(ROW()-2,10)+1)</f>
        <v>MORRIS 1</v>
      </c>
      <c r="C2379" s="2" t="str">
        <f>VLOOKUP(A2379,'[1]Brand Family Territory (Enc)'!$A$2:$B$296,2,FALSE)</f>
        <v>All Counties</v>
      </c>
      <c r="D2379" s="2">
        <f>IF(COUNTIFS('[1]Brand Family Territories (Enc)'!$B$2:$B$62,C2379,'[1]Brand Family Territories (Enc)'!$C$2:$C$62,B2379)&gt;0,1,IF(AND(LEFT(B2379,6)="MORRIS",COUNTIFS('[1]Brand Family Territories (Enc)'!$B$2:$B$62,C2379,'[1]Brand Family Territories (Enc)'!$C$2:$C$62,"Morri")&gt;0),"Unk",0))</f>
        <v>1</v>
      </c>
      <c r="E2379" s="2" t="str">
        <f>IFERROR(INDEX('Blackout Brand Fam Areas (Enc)'!$D$6:$D$998,MATCH(UPPER(A2379)&amp;"|"&amp;UPPER(B2379),'Blackout Brand Fam Areas (Enc)'!$G$6:$G$998,0)),"No Match")</f>
        <v>No Match</v>
      </c>
      <c r="F2379" s="2" t="str">
        <f t="shared" si="74"/>
        <v>US</v>
      </c>
      <c r="G2379" s="2" t="str">
        <f t="shared" si="75"/>
        <v>The Old G|MORRIS 1</v>
      </c>
    </row>
    <row r="2380" spans="1:7" x14ac:dyDescent="0.2">
      <c r="A2380" s="2" t="str" cm="1">
        <f t="array" ref="A2380">INDEX('[1]Brand Family Territory (Enc)'!$A$2:$A$296,INT((ROW()-2)/10)+1)</f>
        <v>The Old G</v>
      </c>
      <c r="B2380" s="2" t="str" cm="1">
        <f t="array" ref="B2380">INDEX('Whitelist (Blackout Reverse)'!$B$1:$K$1,MOD(ROW()-2,10)+1)</f>
        <v>MORRIS 2</v>
      </c>
      <c r="C2380" s="2" t="str">
        <f>VLOOKUP(A2380,'[1]Brand Family Territory (Enc)'!$A$2:$B$296,2,FALSE)</f>
        <v>All Counties</v>
      </c>
      <c r="D2380" s="2">
        <f>IF(COUNTIFS('[1]Brand Family Territories (Enc)'!$B$2:$B$62,C2380,'[1]Brand Family Territories (Enc)'!$C$2:$C$62,B2380)&gt;0,1,IF(AND(LEFT(B2380,6)="MORRIS",COUNTIFS('[1]Brand Family Territories (Enc)'!$B$2:$B$62,C2380,'[1]Brand Family Territories (Enc)'!$C$2:$C$62,"Morri")&gt;0),"Unk",0))</f>
        <v>1</v>
      </c>
      <c r="E2380" s="2" t="str">
        <f>IFERROR(INDEX('Blackout Brand Fam Areas (Enc)'!$D$6:$D$998,MATCH(UPPER(A2380)&amp;"|"&amp;UPPER(B2380),'Blackout Brand Fam Areas (Enc)'!$G$6:$G$998,0)),"No Match")</f>
        <v>No Match</v>
      </c>
      <c r="F2380" s="2" t="str">
        <f t="shared" si="74"/>
        <v>US</v>
      </c>
      <c r="G2380" s="2" t="str">
        <f t="shared" si="75"/>
        <v>The Old G|MORRIS 2</v>
      </c>
    </row>
    <row r="2381" spans="1:7" x14ac:dyDescent="0.2">
      <c r="A2381" s="2" t="str" cm="1">
        <f t="array" ref="A2381">INDEX('[1]Brand Family Territory (Enc)'!$A$2:$A$296,INT((ROW()-2)/10)+1)</f>
        <v>The Old G</v>
      </c>
      <c r="B2381" s="2" t="str" cm="1">
        <f t="array" ref="B2381">INDEX('Whitelist (Blackout Reverse)'!$B$1:$K$1,MOD(ROW()-2,10)+1)</f>
        <v>MORRIS 3</v>
      </c>
      <c r="C2381" s="2" t="str">
        <f>VLOOKUP(A2381,'[1]Brand Family Territory (Enc)'!$A$2:$B$296,2,FALSE)</f>
        <v>All Counties</v>
      </c>
      <c r="D2381" s="2">
        <f>IF(COUNTIFS('[1]Brand Family Territories (Enc)'!$B$2:$B$62,C2381,'[1]Brand Family Territories (Enc)'!$C$2:$C$62,B2381)&gt;0,1,IF(AND(LEFT(B2381,6)="MORRIS",COUNTIFS('[1]Brand Family Territories (Enc)'!$B$2:$B$62,C2381,'[1]Brand Family Territories (Enc)'!$C$2:$C$62,"Morri")&gt;0),"Unk",0))</f>
        <v>1</v>
      </c>
      <c r="E2381" s="2" t="str">
        <f>IFERROR(INDEX('Blackout Brand Fam Areas (Enc)'!$D$6:$D$998,MATCH(UPPER(A2381)&amp;"|"&amp;UPPER(B2381),'Blackout Brand Fam Areas (Enc)'!$G$6:$G$998,0)),"No Match")</f>
        <v>No Match</v>
      </c>
      <c r="F2381" s="2" t="str">
        <f t="shared" si="74"/>
        <v>US</v>
      </c>
      <c r="G2381" s="2" t="str">
        <f t="shared" si="75"/>
        <v>The Old G|MORRIS 3</v>
      </c>
    </row>
    <row r="2382" spans="1:7" x14ac:dyDescent="0.2">
      <c r="A2382" s="2" t="str" cm="1">
        <f t="array" ref="A2382">INDEX('[1]Brand Family Territory (Enc)'!$A$2:$A$296,INT((ROW()-2)/10)+1)</f>
        <v>Van Steenberge</v>
      </c>
      <c r="B2382" s="2" t="str" cm="1">
        <f t="array" ref="B2382">INDEX('Whitelist (Blackout Reverse)'!$B$1:$K$1,MOD(ROW()-2,10)+1)</f>
        <v>BERGEN</v>
      </c>
      <c r="C2382" s="2" t="str">
        <f>VLOOKUP(A2382,'[1]Brand Family Territory (Enc)'!$A$2:$B$296,2,FALSE)</f>
        <v>All Counties</v>
      </c>
      <c r="D2382" s="2">
        <f>IF(COUNTIFS('[1]Brand Family Territories (Enc)'!$B$2:$B$62,C2382,'[1]Brand Family Territories (Enc)'!$C$2:$C$62,B2382)&gt;0,1,IF(AND(LEFT(B2382,6)="MORRIS",COUNTIFS('[1]Brand Family Territories (Enc)'!$B$2:$B$62,C2382,'[1]Brand Family Territories (Enc)'!$C$2:$C$62,"Morri")&gt;0),"Unk",0))</f>
        <v>1</v>
      </c>
      <c r="E2382" s="2" t="str">
        <f>IFERROR(INDEX('Blackout Brand Fam Areas (Enc)'!$D$6:$D$998,MATCH(UPPER(A2382)&amp;"|"&amp;UPPER(B2382),'Blackout Brand Fam Areas (Enc)'!$G$6:$G$998,0)),"No Match")</f>
        <v>No Match</v>
      </c>
      <c r="F2382" s="2" t="str">
        <f t="shared" si="74"/>
        <v>US</v>
      </c>
      <c r="G2382" s="2" t="str">
        <f t="shared" si="75"/>
        <v>Van Steenberge|BERGEN</v>
      </c>
    </row>
    <row r="2383" spans="1:7" x14ac:dyDescent="0.2">
      <c r="A2383" s="2" t="str" cm="1">
        <f t="array" ref="A2383">INDEX('[1]Brand Family Territory (Enc)'!$A$2:$A$296,INT((ROW()-2)/10)+1)</f>
        <v>Van Steenberge</v>
      </c>
      <c r="B2383" s="2" t="str" cm="1">
        <f t="array" ref="B2383">INDEX('Whitelist (Blackout Reverse)'!$B$1:$K$1,MOD(ROW()-2,10)+1)</f>
        <v>PASSAIC</v>
      </c>
      <c r="C2383" s="2" t="str">
        <f>VLOOKUP(A2383,'[1]Brand Family Territory (Enc)'!$A$2:$B$296,2,FALSE)</f>
        <v>All Counties</v>
      </c>
      <c r="D2383" s="2">
        <f>IF(COUNTIFS('[1]Brand Family Territories (Enc)'!$B$2:$B$62,C2383,'[1]Brand Family Territories (Enc)'!$C$2:$C$62,B2383)&gt;0,1,IF(AND(LEFT(B2383,6)="MORRIS",COUNTIFS('[1]Brand Family Territories (Enc)'!$B$2:$B$62,C2383,'[1]Brand Family Territories (Enc)'!$C$2:$C$62,"Morri")&gt;0),"Unk",0))</f>
        <v>1</v>
      </c>
      <c r="E2383" s="2" t="str">
        <f>IFERROR(INDEX('Blackout Brand Fam Areas (Enc)'!$D$6:$D$998,MATCH(UPPER(A2383)&amp;"|"&amp;UPPER(B2383),'Blackout Brand Fam Areas (Enc)'!$G$6:$G$998,0)),"No Match")</f>
        <v>No Match</v>
      </c>
      <c r="F2383" s="2" t="str">
        <f t="shared" si="74"/>
        <v>US</v>
      </c>
      <c r="G2383" s="2" t="str">
        <f t="shared" si="75"/>
        <v>Van Steenberge|PASSAIC</v>
      </c>
    </row>
    <row r="2384" spans="1:7" x14ac:dyDescent="0.2">
      <c r="A2384" s="2" t="str" cm="1">
        <f t="array" ref="A2384">INDEX('[1]Brand Family Territory (Enc)'!$A$2:$A$296,INT((ROW()-2)/10)+1)</f>
        <v>Van Steenberge</v>
      </c>
      <c r="B2384" s="2" t="str" cm="1">
        <f t="array" ref="B2384">INDEX('Whitelist (Blackout Reverse)'!$B$1:$K$1,MOD(ROW()-2,10)+1)</f>
        <v>PASSAIC-FF</v>
      </c>
      <c r="C2384" s="2" t="str">
        <f>VLOOKUP(A2384,'[1]Brand Family Territory (Enc)'!$A$2:$B$296,2,FALSE)</f>
        <v>All Counties</v>
      </c>
      <c r="D2384" s="2">
        <f>IF(COUNTIFS('[1]Brand Family Territories (Enc)'!$B$2:$B$62,C2384,'[1]Brand Family Territories (Enc)'!$C$2:$C$62,B2384)&gt;0,1,IF(AND(LEFT(B2384,6)="MORRIS",COUNTIFS('[1]Brand Family Territories (Enc)'!$B$2:$B$62,C2384,'[1]Brand Family Territories (Enc)'!$C$2:$C$62,"Morri")&gt;0),"Unk",0))</f>
        <v>1</v>
      </c>
      <c r="E2384" s="2" t="str">
        <f>IFERROR(INDEX('Blackout Brand Fam Areas (Enc)'!$D$6:$D$998,MATCH(UPPER(A2384)&amp;"|"&amp;UPPER(B2384),'Blackout Brand Fam Areas (Enc)'!$G$6:$G$998,0)),"No Match")</f>
        <v>No Match</v>
      </c>
      <c r="F2384" s="2" t="str">
        <f t="shared" si="74"/>
        <v>US</v>
      </c>
      <c r="G2384" s="2" t="str">
        <f t="shared" si="75"/>
        <v>Van Steenberge|PASSAIC-FF</v>
      </c>
    </row>
    <row r="2385" spans="1:7" x14ac:dyDescent="0.2">
      <c r="A2385" s="2" t="str" cm="1">
        <f t="array" ref="A2385">INDEX('[1]Brand Family Territory (Enc)'!$A$2:$A$296,INT((ROW()-2)/10)+1)</f>
        <v>Van Steenberge</v>
      </c>
      <c r="B2385" s="2" t="str" cm="1">
        <f t="array" ref="B2385">INDEX('Whitelist (Blackout Reverse)'!$B$1:$K$1,MOD(ROW()-2,10)+1)</f>
        <v>ESSEX</v>
      </c>
      <c r="C2385" s="2" t="str">
        <f>VLOOKUP(A2385,'[1]Brand Family Territory (Enc)'!$A$2:$B$296,2,FALSE)</f>
        <v>All Counties</v>
      </c>
      <c r="D2385" s="2">
        <f>IF(COUNTIFS('[1]Brand Family Territories (Enc)'!$B$2:$B$62,C2385,'[1]Brand Family Territories (Enc)'!$C$2:$C$62,B2385)&gt;0,1,IF(AND(LEFT(B2385,6)="MORRIS",COUNTIFS('[1]Brand Family Territories (Enc)'!$B$2:$B$62,C2385,'[1]Brand Family Territories (Enc)'!$C$2:$C$62,"Morri")&gt;0),"Unk",0))</f>
        <v>1</v>
      </c>
      <c r="E2385" s="2" t="str">
        <f>IFERROR(INDEX('Blackout Brand Fam Areas (Enc)'!$D$6:$D$998,MATCH(UPPER(A2385)&amp;"|"&amp;UPPER(B2385),'Blackout Brand Fam Areas (Enc)'!$G$6:$G$998,0)),"No Match")</f>
        <v>No Match</v>
      </c>
      <c r="F2385" s="2" t="str">
        <f t="shared" si="74"/>
        <v>US</v>
      </c>
      <c r="G2385" s="2" t="str">
        <f t="shared" si="75"/>
        <v>Van Steenberge|ESSEX</v>
      </c>
    </row>
    <row r="2386" spans="1:7" x14ac:dyDescent="0.2">
      <c r="A2386" s="2" t="str" cm="1">
        <f t="array" ref="A2386">INDEX('[1]Brand Family Territory (Enc)'!$A$2:$A$296,INT((ROW()-2)/10)+1)</f>
        <v>Van Steenberge</v>
      </c>
      <c r="B2386" s="2" t="str" cm="1">
        <f t="array" ref="B2386">INDEX('Whitelist (Blackout Reverse)'!$B$1:$K$1,MOD(ROW()-2,10)+1)</f>
        <v>HUDSON</v>
      </c>
      <c r="C2386" s="2" t="str">
        <f>VLOOKUP(A2386,'[1]Brand Family Territory (Enc)'!$A$2:$B$296,2,FALSE)</f>
        <v>All Counties</v>
      </c>
      <c r="D2386" s="2">
        <f>IF(COUNTIFS('[1]Brand Family Territories (Enc)'!$B$2:$B$62,C2386,'[1]Brand Family Territories (Enc)'!$C$2:$C$62,B2386)&gt;0,1,IF(AND(LEFT(B2386,6)="MORRIS",COUNTIFS('[1]Brand Family Territories (Enc)'!$B$2:$B$62,C2386,'[1]Brand Family Territories (Enc)'!$C$2:$C$62,"Morri")&gt;0),"Unk",0))</f>
        <v>1</v>
      </c>
      <c r="E2386" s="2" t="str">
        <f>IFERROR(INDEX('Blackout Brand Fam Areas (Enc)'!$D$6:$D$998,MATCH(UPPER(A2386)&amp;"|"&amp;UPPER(B2386),'Blackout Brand Fam Areas (Enc)'!$G$6:$G$998,0)),"No Match")</f>
        <v>No Match</v>
      </c>
      <c r="F2386" s="2" t="str">
        <f t="shared" si="74"/>
        <v>US</v>
      </c>
      <c r="G2386" s="2" t="str">
        <f t="shared" si="75"/>
        <v>Van Steenberge|HUDSON</v>
      </c>
    </row>
    <row r="2387" spans="1:7" x14ac:dyDescent="0.2">
      <c r="A2387" s="2" t="str" cm="1">
        <f t="array" ref="A2387">INDEX('[1]Brand Family Territory (Enc)'!$A$2:$A$296,INT((ROW()-2)/10)+1)</f>
        <v>Van Steenberge</v>
      </c>
      <c r="B2387" s="2" t="str" cm="1">
        <f t="array" ref="B2387">INDEX('Whitelist (Blackout Reverse)'!$B$1:$K$1,MOD(ROW()-2,10)+1)</f>
        <v>UNION</v>
      </c>
      <c r="C2387" s="2" t="str">
        <f>VLOOKUP(A2387,'[1]Brand Family Territory (Enc)'!$A$2:$B$296,2,FALSE)</f>
        <v>All Counties</v>
      </c>
      <c r="D2387" s="2">
        <f>IF(COUNTIFS('[1]Brand Family Territories (Enc)'!$B$2:$B$62,C2387,'[1]Brand Family Territories (Enc)'!$C$2:$C$62,B2387)&gt;0,1,IF(AND(LEFT(B2387,6)="MORRIS",COUNTIFS('[1]Brand Family Territories (Enc)'!$B$2:$B$62,C2387,'[1]Brand Family Territories (Enc)'!$C$2:$C$62,"Morri")&gt;0),"Unk",0))</f>
        <v>1</v>
      </c>
      <c r="E2387" s="2" t="str">
        <f>IFERROR(INDEX('Blackout Brand Fam Areas (Enc)'!$D$6:$D$998,MATCH(UPPER(A2387)&amp;"|"&amp;UPPER(B2387),'Blackout Brand Fam Areas (Enc)'!$G$6:$G$998,0)),"No Match")</f>
        <v>No Match</v>
      </c>
      <c r="F2387" s="2" t="str">
        <f t="shared" si="74"/>
        <v>US</v>
      </c>
      <c r="G2387" s="2" t="str">
        <f t="shared" si="75"/>
        <v>Van Steenberge|UNION</v>
      </c>
    </row>
    <row r="2388" spans="1:7" x14ac:dyDescent="0.2">
      <c r="A2388" s="2" t="str" cm="1">
        <f t="array" ref="A2388">INDEX('[1]Brand Family Territory (Enc)'!$A$2:$A$296,INT((ROW()-2)/10)+1)</f>
        <v>Van Steenberge</v>
      </c>
      <c r="B2388" s="2" t="str" cm="1">
        <f t="array" ref="B2388">INDEX('Whitelist (Blackout Reverse)'!$B$1:$K$1,MOD(ROW()-2,10)+1)</f>
        <v>SUSSEX</v>
      </c>
      <c r="C2388" s="2" t="str">
        <f>VLOOKUP(A2388,'[1]Brand Family Territory (Enc)'!$A$2:$B$296,2,FALSE)</f>
        <v>All Counties</v>
      </c>
      <c r="D2388" s="2">
        <f>IF(COUNTIFS('[1]Brand Family Territories (Enc)'!$B$2:$B$62,C2388,'[1]Brand Family Territories (Enc)'!$C$2:$C$62,B2388)&gt;0,1,IF(AND(LEFT(B2388,6)="MORRIS",COUNTIFS('[1]Brand Family Territories (Enc)'!$B$2:$B$62,C2388,'[1]Brand Family Territories (Enc)'!$C$2:$C$62,"Morri")&gt;0),"Unk",0))</f>
        <v>1</v>
      </c>
      <c r="E2388" s="2" t="str">
        <f>IFERROR(INDEX('Blackout Brand Fam Areas (Enc)'!$D$6:$D$998,MATCH(UPPER(A2388)&amp;"|"&amp;UPPER(B2388),'Blackout Brand Fam Areas (Enc)'!$G$6:$G$998,0)),"No Match")</f>
        <v>No Match</v>
      </c>
      <c r="F2388" s="2" t="str">
        <f t="shared" si="74"/>
        <v>US</v>
      </c>
      <c r="G2388" s="2" t="str">
        <f t="shared" si="75"/>
        <v>Van Steenberge|SUSSEX</v>
      </c>
    </row>
    <row r="2389" spans="1:7" x14ac:dyDescent="0.2">
      <c r="A2389" s="2" t="str" cm="1">
        <f t="array" ref="A2389">INDEX('[1]Brand Family Territory (Enc)'!$A$2:$A$296,INT((ROW()-2)/10)+1)</f>
        <v>Van Steenberge</v>
      </c>
      <c r="B2389" s="2" t="str" cm="1">
        <f t="array" ref="B2389">INDEX('Whitelist (Blackout Reverse)'!$B$1:$K$1,MOD(ROW()-2,10)+1)</f>
        <v>MORRIS 1</v>
      </c>
      <c r="C2389" s="2" t="str">
        <f>VLOOKUP(A2389,'[1]Brand Family Territory (Enc)'!$A$2:$B$296,2,FALSE)</f>
        <v>All Counties</v>
      </c>
      <c r="D2389" s="2">
        <f>IF(COUNTIFS('[1]Brand Family Territories (Enc)'!$B$2:$B$62,C2389,'[1]Brand Family Territories (Enc)'!$C$2:$C$62,B2389)&gt;0,1,IF(AND(LEFT(B2389,6)="MORRIS",COUNTIFS('[1]Brand Family Territories (Enc)'!$B$2:$B$62,C2389,'[1]Brand Family Territories (Enc)'!$C$2:$C$62,"Morri")&gt;0),"Unk",0))</f>
        <v>1</v>
      </c>
      <c r="E2389" s="2" t="str">
        <f>IFERROR(INDEX('Blackout Brand Fam Areas (Enc)'!$D$6:$D$998,MATCH(UPPER(A2389)&amp;"|"&amp;UPPER(B2389),'Blackout Brand Fam Areas (Enc)'!$G$6:$G$998,0)),"No Match")</f>
        <v>No Match</v>
      </c>
      <c r="F2389" s="2" t="str">
        <f t="shared" si="74"/>
        <v>US</v>
      </c>
      <c r="G2389" s="2" t="str">
        <f t="shared" si="75"/>
        <v>Van Steenberge|MORRIS 1</v>
      </c>
    </row>
    <row r="2390" spans="1:7" x14ac:dyDescent="0.2">
      <c r="A2390" s="2" t="str" cm="1">
        <f t="array" ref="A2390">INDEX('[1]Brand Family Territory (Enc)'!$A$2:$A$296,INT((ROW()-2)/10)+1)</f>
        <v>Van Steenberge</v>
      </c>
      <c r="B2390" s="2" t="str" cm="1">
        <f t="array" ref="B2390">INDEX('Whitelist (Blackout Reverse)'!$B$1:$K$1,MOD(ROW()-2,10)+1)</f>
        <v>MORRIS 2</v>
      </c>
      <c r="C2390" s="2" t="str">
        <f>VLOOKUP(A2390,'[1]Brand Family Territory (Enc)'!$A$2:$B$296,2,FALSE)</f>
        <v>All Counties</v>
      </c>
      <c r="D2390" s="2">
        <f>IF(COUNTIFS('[1]Brand Family Territories (Enc)'!$B$2:$B$62,C2390,'[1]Brand Family Territories (Enc)'!$C$2:$C$62,B2390)&gt;0,1,IF(AND(LEFT(B2390,6)="MORRIS",COUNTIFS('[1]Brand Family Territories (Enc)'!$B$2:$B$62,C2390,'[1]Brand Family Territories (Enc)'!$C$2:$C$62,"Morri")&gt;0),"Unk",0))</f>
        <v>1</v>
      </c>
      <c r="E2390" s="2" t="str">
        <f>IFERROR(INDEX('Blackout Brand Fam Areas (Enc)'!$D$6:$D$998,MATCH(UPPER(A2390)&amp;"|"&amp;UPPER(B2390),'Blackout Brand Fam Areas (Enc)'!$G$6:$G$998,0)),"No Match")</f>
        <v>No Match</v>
      </c>
      <c r="F2390" s="2" t="str">
        <f t="shared" si="74"/>
        <v>US</v>
      </c>
      <c r="G2390" s="2" t="str">
        <f t="shared" si="75"/>
        <v>Van Steenberge|MORRIS 2</v>
      </c>
    </row>
    <row r="2391" spans="1:7" x14ac:dyDescent="0.2">
      <c r="A2391" s="2" t="str" cm="1">
        <f t="array" ref="A2391">INDEX('[1]Brand Family Territory (Enc)'!$A$2:$A$296,INT((ROW()-2)/10)+1)</f>
        <v>Van Steenberge</v>
      </c>
      <c r="B2391" s="2" t="str" cm="1">
        <f t="array" ref="B2391">INDEX('Whitelist (Blackout Reverse)'!$B$1:$K$1,MOD(ROW()-2,10)+1)</f>
        <v>MORRIS 3</v>
      </c>
      <c r="C2391" s="2" t="str">
        <f>VLOOKUP(A2391,'[1]Brand Family Territory (Enc)'!$A$2:$B$296,2,FALSE)</f>
        <v>All Counties</v>
      </c>
      <c r="D2391" s="2">
        <f>IF(COUNTIFS('[1]Brand Family Territories (Enc)'!$B$2:$B$62,C2391,'[1]Brand Family Territories (Enc)'!$C$2:$C$62,B2391)&gt;0,1,IF(AND(LEFT(B2391,6)="MORRIS",COUNTIFS('[1]Brand Family Territories (Enc)'!$B$2:$B$62,C2391,'[1]Brand Family Territories (Enc)'!$C$2:$C$62,"Morri")&gt;0),"Unk",0))</f>
        <v>1</v>
      </c>
      <c r="E2391" s="2" t="str">
        <f>IFERROR(INDEX('Blackout Brand Fam Areas (Enc)'!$D$6:$D$998,MATCH(UPPER(A2391)&amp;"|"&amp;UPPER(B2391),'Blackout Brand Fam Areas (Enc)'!$G$6:$G$998,0)),"No Match")</f>
        <v>No Match</v>
      </c>
      <c r="F2391" s="2" t="str">
        <f t="shared" si="74"/>
        <v>US</v>
      </c>
      <c r="G2391" s="2" t="str">
        <f t="shared" si="75"/>
        <v>Van Steenberge|MORRIS 3</v>
      </c>
    </row>
    <row r="2392" spans="1:7" x14ac:dyDescent="0.2">
      <c r="A2392" s="2" t="str" cm="1">
        <f t="array" ref="A2392">INDEX('[1]Brand Family Territory (Enc)'!$A$2:$A$296,INT((ROW()-2)/10)+1)</f>
        <v>Tsingtao</v>
      </c>
      <c r="B2392" s="2" t="str" cm="1">
        <f t="array" ref="B2392">INDEX('Whitelist (Blackout Reverse)'!$B$1:$K$1,MOD(ROW()-2,10)+1)</f>
        <v>BERGEN</v>
      </c>
      <c r="C2392" s="2" t="str">
        <f>VLOOKUP(A2392,'[1]Brand Family Territory (Enc)'!$A$2:$B$296,2,FALSE)</f>
        <v>All Counties</v>
      </c>
      <c r="D2392" s="2">
        <f>IF(COUNTIFS('[1]Brand Family Territories (Enc)'!$B$2:$B$62,C2392,'[1]Brand Family Territories (Enc)'!$C$2:$C$62,B2392)&gt;0,1,IF(AND(LEFT(B2392,6)="MORRIS",COUNTIFS('[1]Brand Family Territories (Enc)'!$B$2:$B$62,C2392,'[1]Brand Family Territories (Enc)'!$C$2:$C$62,"Morri")&gt;0),"Unk",0))</f>
        <v>1</v>
      </c>
      <c r="E2392" s="2" t="str">
        <f>IFERROR(INDEX('Blackout Brand Fam Areas (Enc)'!$D$6:$D$998,MATCH(UPPER(A2392)&amp;"|"&amp;UPPER(B2392),'Blackout Brand Fam Areas (Enc)'!$G$6:$G$998,0)),"No Match")</f>
        <v>No Match</v>
      </c>
      <c r="F2392" s="2" t="str">
        <f t="shared" si="74"/>
        <v>US</v>
      </c>
      <c r="G2392" s="2" t="str">
        <f t="shared" si="75"/>
        <v>Tsingtao|BERGEN</v>
      </c>
    </row>
    <row r="2393" spans="1:7" x14ac:dyDescent="0.2">
      <c r="A2393" s="2" t="str" cm="1">
        <f t="array" ref="A2393">INDEX('[1]Brand Family Territory (Enc)'!$A$2:$A$296,INT((ROW()-2)/10)+1)</f>
        <v>Tsingtao</v>
      </c>
      <c r="B2393" s="2" t="str" cm="1">
        <f t="array" ref="B2393">INDEX('Whitelist (Blackout Reverse)'!$B$1:$K$1,MOD(ROW()-2,10)+1)</f>
        <v>PASSAIC</v>
      </c>
      <c r="C2393" s="2" t="str">
        <f>VLOOKUP(A2393,'[1]Brand Family Territory (Enc)'!$A$2:$B$296,2,FALSE)</f>
        <v>All Counties</v>
      </c>
      <c r="D2393" s="2">
        <f>IF(COUNTIFS('[1]Brand Family Territories (Enc)'!$B$2:$B$62,C2393,'[1]Brand Family Territories (Enc)'!$C$2:$C$62,B2393)&gt;0,1,IF(AND(LEFT(B2393,6)="MORRIS",COUNTIFS('[1]Brand Family Territories (Enc)'!$B$2:$B$62,C2393,'[1]Brand Family Territories (Enc)'!$C$2:$C$62,"Morri")&gt;0),"Unk",0))</f>
        <v>1</v>
      </c>
      <c r="E2393" s="2" t="str">
        <f>IFERROR(INDEX('Blackout Brand Fam Areas (Enc)'!$D$6:$D$998,MATCH(UPPER(A2393)&amp;"|"&amp;UPPER(B2393),'Blackout Brand Fam Areas (Enc)'!$G$6:$G$998,0)),"No Match")</f>
        <v>No Match</v>
      </c>
      <c r="F2393" s="2" t="str">
        <f t="shared" si="74"/>
        <v>US</v>
      </c>
      <c r="G2393" s="2" t="str">
        <f t="shared" si="75"/>
        <v>Tsingtao|PASSAIC</v>
      </c>
    </row>
    <row r="2394" spans="1:7" x14ac:dyDescent="0.2">
      <c r="A2394" s="2" t="str" cm="1">
        <f t="array" ref="A2394">INDEX('[1]Brand Family Territory (Enc)'!$A$2:$A$296,INT((ROW()-2)/10)+1)</f>
        <v>Tsingtao</v>
      </c>
      <c r="B2394" s="2" t="str" cm="1">
        <f t="array" ref="B2394">INDEX('Whitelist (Blackout Reverse)'!$B$1:$K$1,MOD(ROW()-2,10)+1)</f>
        <v>PASSAIC-FF</v>
      </c>
      <c r="C2394" s="2" t="str">
        <f>VLOOKUP(A2394,'[1]Brand Family Territory (Enc)'!$A$2:$B$296,2,FALSE)</f>
        <v>All Counties</v>
      </c>
      <c r="D2394" s="2">
        <f>IF(COUNTIFS('[1]Brand Family Territories (Enc)'!$B$2:$B$62,C2394,'[1]Brand Family Territories (Enc)'!$C$2:$C$62,B2394)&gt;0,1,IF(AND(LEFT(B2394,6)="MORRIS",COUNTIFS('[1]Brand Family Territories (Enc)'!$B$2:$B$62,C2394,'[1]Brand Family Territories (Enc)'!$C$2:$C$62,"Morri")&gt;0),"Unk",0))</f>
        <v>1</v>
      </c>
      <c r="E2394" s="2" t="str">
        <f>IFERROR(INDEX('Blackout Brand Fam Areas (Enc)'!$D$6:$D$998,MATCH(UPPER(A2394)&amp;"|"&amp;UPPER(B2394),'Blackout Brand Fam Areas (Enc)'!$G$6:$G$998,0)),"No Match")</f>
        <v>No Match</v>
      </c>
      <c r="F2394" s="2" t="str">
        <f t="shared" si="74"/>
        <v>US</v>
      </c>
      <c r="G2394" s="2" t="str">
        <f t="shared" si="75"/>
        <v>Tsingtao|PASSAIC-FF</v>
      </c>
    </row>
    <row r="2395" spans="1:7" x14ac:dyDescent="0.2">
      <c r="A2395" s="2" t="str" cm="1">
        <f t="array" ref="A2395">INDEX('[1]Brand Family Territory (Enc)'!$A$2:$A$296,INT((ROW()-2)/10)+1)</f>
        <v>Tsingtao</v>
      </c>
      <c r="B2395" s="2" t="str" cm="1">
        <f t="array" ref="B2395">INDEX('Whitelist (Blackout Reverse)'!$B$1:$K$1,MOD(ROW()-2,10)+1)</f>
        <v>ESSEX</v>
      </c>
      <c r="C2395" s="2" t="str">
        <f>VLOOKUP(A2395,'[1]Brand Family Territory (Enc)'!$A$2:$B$296,2,FALSE)</f>
        <v>All Counties</v>
      </c>
      <c r="D2395" s="2">
        <f>IF(COUNTIFS('[1]Brand Family Territories (Enc)'!$B$2:$B$62,C2395,'[1]Brand Family Territories (Enc)'!$C$2:$C$62,B2395)&gt;0,1,IF(AND(LEFT(B2395,6)="MORRIS",COUNTIFS('[1]Brand Family Territories (Enc)'!$B$2:$B$62,C2395,'[1]Brand Family Territories (Enc)'!$C$2:$C$62,"Morri")&gt;0),"Unk",0))</f>
        <v>1</v>
      </c>
      <c r="E2395" s="2" t="str">
        <f>IFERROR(INDEX('Blackout Brand Fam Areas (Enc)'!$D$6:$D$998,MATCH(UPPER(A2395)&amp;"|"&amp;UPPER(B2395),'Blackout Brand Fam Areas (Enc)'!$G$6:$G$998,0)),"No Match")</f>
        <v>No Match</v>
      </c>
      <c r="F2395" s="2" t="str">
        <f t="shared" si="74"/>
        <v>US</v>
      </c>
      <c r="G2395" s="2" t="str">
        <f t="shared" si="75"/>
        <v>Tsingtao|ESSEX</v>
      </c>
    </row>
    <row r="2396" spans="1:7" x14ac:dyDescent="0.2">
      <c r="A2396" s="2" t="str" cm="1">
        <f t="array" ref="A2396">INDEX('[1]Brand Family Territory (Enc)'!$A$2:$A$296,INT((ROW()-2)/10)+1)</f>
        <v>Tsingtao</v>
      </c>
      <c r="B2396" s="2" t="str" cm="1">
        <f t="array" ref="B2396">INDEX('Whitelist (Blackout Reverse)'!$B$1:$K$1,MOD(ROW()-2,10)+1)</f>
        <v>HUDSON</v>
      </c>
      <c r="C2396" s="2" t="str">
        <f>VLOOKUP(A2396,'[1]Brand Family Territory (Enc)'!$A$2:$B$296,2,FALSE)</f>
        <v>All Counties</v>
      </c>
      <c r="D2396" s="2">
        <f>IF(COUNTIFS('[1]Brand Family Territories (Enc)'!$B$2:$B$62,C2396,'[1]Brand Family Territories (Enc)'!$C$2:$C$62,B2396)&gt;0,1,IF(AND(LEFT(B2396,6)="MORRIS",COUNTIFS('[1]Brand Family Territories (Enc)'!$B$2:$B$62,C2396,'[1]Brand Family Territories (Enc)'!$C$2:$C$62,"Morri")&gt;0),"Unk",0))</f>
        <v>1</v>
      </c>
      <c r="E2396" s="2" t="str">
        <f>IFERROR(INDEX('Blackout Brand Fam Areas (Enc)'!$D$6:$D$998,MATCH(UPPER(A2396)&amp;"|"&amp;UPPER(B2396),'Blackout Brand Fam Areas (Enc)'!$G$6:$G$998,0)),"No Match")</f>
        <v>No Match</v>
      </c>
      <c r="F2396" s="2" t="str">
        <f t="shared" si="74"/>
        <v>US</v>
      </c>
      <c r="G2396" s="2" t="str">
        <f t="shared" si="75"/>
        <v>Tsingtao|HUDSON</v>
      </c>
    </row>
    <row r="2397" spans="1:7" x14ac:dyDescent="0.2">
      <c r="A2397" s="2" t="str" cm="1">
        <f t="array" ref="A2397">INDEX('[1]Brand Family Territory (Enc)'!$A$2:$A$296,INT((ROW()-2)/10)+1)</f>
        <v>Tsingtao</v>
      </c>
      <c r="B2397" s="2" t="str" cm="1">
        <f t="array" ref="B2397">INDEX('Whitelist (Blackout Reverse)'!$B$1:$K$1,MOD(ROW()-2,10)+1)</f>
        <v>UNION</v>
      </c>
      <c r="C2397" s="2" t="str">
        <f>VLOOKUP(A2397,'[1]Brand Family Territory (Enc)'!$A$2:$B$296,2,FALSE)</f>
        <v>All Counties</v>
      </c>
      <c r="D2397" s="2">
        <f>IF(COUNTIFS('[1]Brand Family Territories (Enc)'!$B$2:$B$62,C2397,'[1]Brand Family Territories (Enc)'!$C$2:$C$62,B2397)&gt;0,1,IF(AND(LEFT(B2397,6)="MORRIS",COUNTIFS('[1]Brand Family Territories (Enc)'!$B$2:$B$62,C2397,'[1]Brand Family Territories (Enc)'!$C$2:$C$62,"Morri")&gt;0),"Unk",0))</f>
        <v>1</v>
      </c>
      <c r="E2397" s="2" t="str">
        <f>IFERROR(INDEX('Blackout Brand Fam Areas (Enc)'!$D$6:$D$998,MATCH(UPPER(A2397)&amp;"|"&amp;UPPER(B2397),'Blackout Brand Fam Areas (Enc)'!$G$6:$G$998,0)),"No Match")</f>
        <v>No Match</v>
      </c>
      <c r="F2397" s="2" t="str">
        <f t="shared" si="74"/>
        <v>US</v>
      </c>
      <c r="G2397" s="2" t="str">
        <f t="shared" si="75"/>
        <v>Tsingtao|UNION</v>
      </c>
    </row>
    <row r="2398" spans="1:7" x14ac:dyDescent="0.2">
      <c r="A2398" s="2" t="str" cm="1">
        <f t="array" ref="A2398">INDEX('[1]Brand Family Territory (Enc)'!$A$2:$A$296,INT((ROW()-2)/10)+1)</f>
        <v>Tsingtao</v>
      </c>
      <c r="B2398" s="2" t="str" cm="1">
        <f t="array" ref="B2398">INDEX('Whitelist (Blackout Reverse)'!$B$1:$K$1,MOD(ROW()-2,10)+1)</f>
        <v>SUSSEX</v>
      </c>
      <c r="C2398" s="2" t="str">
        <f>VLOOKUP(A2398,'[1]Brand Family Territory (Enc)'!$A$2:$B$296,2,FALSE)</f>
        <v>All Counties</v>
      </c>
      <c r="D2398" s="2">
        <f>IF(COUNTIFS('[1]Brand Family Territories (Enc)'!$B$2:$B$62,C2398,'[1]Brand Family Territories (Enc)'!$C$2:$C$62,B2398)&gt;0,1,IF(AND(LEFT(B2398,6)="MORRIS",COUNTIFS('[1]Brand Family Territories (Enc)'!$B$2:$B$62,C2398,'[1]Brand Family Territories (Enc)'!$C$2:$C$62,"Morri")&gt;0),"Unk",0))</f>
        <v>1</v>
      </c>
      <c r="E2398" s="2" t="str">
        <f>IFERROR(INDEX('Blackout Brand Fam Areas (Enc)'!$D$6:$D$998,MATCH(UPPER(A2398)&amp;"|"&amp;UPPER(B2398),'Blackout Brand Fam Areas (Enc)'!$G$6:$G$998,0)),"No Match")</f>
        <v>No Match</v>
      </c>
      <c r="F2398" s="2" t="str">
        <f t="shared" si="74"/>
        <v>US</v>
      </c>
      <c r="G2398" s="2" t="str">
        <f t="shared" si="75"/>
        <v>Tsingtao|SUSSEX</v>
      </c>
    </row>
    <row r="2399" spans="1:7" x14ac:dyDescent="0.2">
      <c r="A2399" s="2" t="str" cm="1">
        <f t="array" ref="A2399">INDEX('[1]Brand Family Territory (Enc)'!$A$2:$A$296,INT((ROW()-2)/10)+1)</f>
        <v>Tsingtao</v>
      </c>
      <c r="B2399" s="2" t="str" cm="1">
        <f t="array" ref="B2399">INDEX('Whitelist (Blackout Reverse)'!$B$1:$K$1,MOD(ROW()-2,10)+1)</f>
        <v>MORRIS 1</v>
      </c>
      <c r="C2399" s="2" t="str">
        <f>VLOOKUP(A2399,'[1]Brand Family Territory (Enc)'!$A$2:$B$296,2,FALSE)</f>
        <v>All Counties</v>
      </c>
      <c r="D2399" s="2">
        <f>IF(COUNTIFS('[1]Brand Family Territories (Enc)'!$B$2:$B$62,C2399,'[1]Brand Family Territories (Enc)'!$C$2:$C$62,B2399)&gt;0,1,IF(AND(LEFT(B2399,6)="MORRIS",COUNTIFS('[1]Brand Family Territories (Enc)'!$B$2:$B$62,C2399,'[1]Brand Family Territories (Enc)'!$C$2:$C$62,"Morri")&gt;0),"Unk",0))</f>
        <v>1</v>
      </c>
      <c r="E2399" s="2" t="str">
        <f>IFERROR(INDEX('Blackout Brand Fam Areas (Enc)'!$D$6:$D$998,MATCH(UPPER(A2399)&amp;"|"&amp;UPPER(B2399),'Blackout Brand Fam Areas (Enc)'!$G$6:$G$998,0)),"No Match")</f>
        <v>No Match</v>
      </c>
      <c r="F2399" s="2" t="str">
        <f t="shared" si="74"/>
        <v>US</v>
      </c>
      <c r="G2399" s="2" t="str">
        <f t="shared" si="75"/>
        <v>Tsingtao|MORRIS 1</v>
      </c>
    </row>
    <row r="2400" spans="1:7" x14ac:dyDescent="0.2">
      <c r="A2400" s="2" t="str" cm="1">
        <f t="array" ref="A2400">INDEX('[1]Brand Family Territory (Enc)'!$A$2:$A$296,INT((ROW()-2)/10)+1)</f>
        <v>Tsingtao</v>
      </c>
      <c r="B2400" s="2" t="str" cm="1">
        <f t="array" ref="B2400">INDEX('Whitelist (Blackout Reverse)'!$B$1:$K$1,MOD(ROW()-2,10)+1)</f>
        <v>MORRIS 2</v>
      </c>
      <c r="C2400" s="2" t="str">
        <f>VLOOKUP(A2400,'[1]Brand Family Territory (Enc)'!$A$2:$B$296,2,FALSE)</f>
        <v>All Counties</v>
      </c>
      <c r="D2400" s="2">
        <f>IF(COUNTIFS('[1]Brand Family Territories (Enc)'!$B$2:$B$62,C2400,'[1]Brand Family Territories (Enc)'!$C$2:$C$62,B2400)&gt;0,1,IF(AND(LEFT(B2400,6)="MORRIS",COUNTIFS('[1]Brand Family Territories (Enc)'!$B$2:$B$62,C2400,'[1]Brand Family Territories (Enc)'!$C$2:$C$62,"Morri")&gt;0),"Unk",0))</f>
        <v>1</v>
      </c>
      <c r="E2400" s="2" t="str">
        <f>IFERROR(INDEX('Blackout Brand Fam Areas (Enc)'!$D$6:$D$998,MATCH(UPPER(A2400)&amp;"|"&amp;UPPER(B2400),'Blackout Brand Fam Areas (Enc)'!$G$6:$G$998,0)),"No Match")</f>
        <v>No Match</v>
      </c>
      <c r="F2400" s="2" t="str">
        <f t="shared" si="74"/>
        <v>US</v>
      </c>
      <c r="G2400" s="2" t="str">
        <f t="shared" si="75"/>
        <v>Tsingtao|MORRIS 2</v>
      </c>
    </row>
    <row r="2401" spans="1:7" x14ac:dyDescent="0.2">
      <c r="A2401" s="2" t="str" cm="1">
        <f t="array" ref="A2401">INDEX('[1]Brand Family Territory (Enc)'!$A$2:$A$296,INT((ROW()-2)/10)+1)</f>
        <v>Tsingtao</v>
      </c>
      <c r="B2401" s="2" t="str" cm="1">
        <f t="array" ref="B2401">INDEX('Whitelist (Blackout Reverse)'!$B$1:$K$1,MOD(ROW()-2,10)+1)</f>
        <v>MORRIS 3</v>
      </c>
      <c r="C2401" s="2" t="str">
        <f>VLOOKUP(A2401,'[1]Brand Family Territory (Enc)'!$A$2:$B$296,2,FALSE)</f>
        <v>All Counties</v>
      </c>
      <c r="D2401" s="2">
        <f>IF(COUNTIFS('[1]Brand Family Territories (Enc)'!$B$2:$B$62,C2401,'[1]Brand Family Territories (Enc)'!$C$2:$C$62,B2401)&gt;0,1,IF(AND(LEFT(B2401,6)="MORRIS",COUNTIFS('[1]Brand Family Territories (Enc)'!$B$2:$B$62,C2401,'[1]Brand Family Territories (Enc)'!$C$2:$C$62,"Morri")&gt;0),"Unk",0))</f>
        <v>1</v>
      </c>
      <c r="E2401" s="2" t="str">
        <f>IFERROR(INDEX('Blackout Brand Fam Areas (Enc)'!$D$6:$D$998,MATCH(UPPER(A2401)&amp;"|"&amp;UPPER(B2401),'Blackout Brand Fam Areas (Enc)'!$G$6:$G$998,0)),"No Match")</f>
        <v>No Match</v>
      </c>
      <c r="F2401" s="2" t="str">
        <f t="shared" si="74"/>
        <v>US</v>
      </c>
      <c r="G2401" s="2" t="str">
        <f t="shared" si="75"/>
        <v>Tsingtao|MORRIS 3</v>
      </c>
    </row>
    <row r="2402" spans="1:7" x14ac:dyDescent="0.2">
      <c r="A2402" s="2" t="str" cm="1">
        <f t="array" ref="A2402">INDEX('[1]Brand Family Territory (Enc)'!$A$2:$A$296,INT((ROW()-2)/10)+1)</f>
        <v>Viva Tequila Seltzer</v>
      </c>
      <c r="B2402" s="2" t="str" cm="1">
        <f t="array" ref="B2402">INDEX('Whitelist (Blackout Reverse)'!$B$1:$K$1,MOD(ROW()-2,10)+1)</f>
        <v>BERGEN</v>
      </c>
      <c r="C2402" s="2" t="str">
        <f>VLOOKUP(A2402,'[1]Brand Family Territory (Enc)'!$A$2:$B$296,2,FALSE)</f>
        <v>All Counties</v>
      </c>
      <c r="D2402" s="2">
        <f>IF(COUNTIFS('[1]Brand Family Territories (Enc)'!$B$2:$B$62,C2402,'[1]Brand Family Territories (Enc)'!$C$2:$C$62,B2402)&gt;0,1,IF(AND(LEFT(B2402,6)="MORRIS",COUNTIFS('[1]Brand Family Territories (Enc)'!$B$2:$B$62,C2402,'[1]Brand Family Territories (Enc)'!$C$2:$C$62,"Morri")&gt;0),"Unk",0))</f>
        <v>1</v>
      </c>
      <c r="E2402" s="2" t="str">
        <f>IFERROR(INDEX('Blackout Brand Fam Areas (Enc)'!$D$6:$D$998,MATCH(UPPER(A2402)&amp;"|"&amp;UPPER(B2402),'Blackout Brand Fam Areas (Enc)'!$G$6:$G$998,0)),"No Match")</f>
        <v>No Match</v>
      </c>
      <c r="F2402" s="2" t="str">
        <f t="shared" si="74"/>
        <v>US</v>
      </c>
      <c r="G2402" s="2" t="str">
        <f t="shared" si="75"/>
        <v>Viva Tequila Seltzer|BERGEN</v>
      </c>
    </row>
    <row r="2403" spans="1:7" x14ac:dyDescent="0.2">
      <c r="A2403" s="2" t="str" cm="1">
        <f t="array" ref="A2403">INDEX('[1]Brand Family Territory (Enc)'!$A$2:$A$296,INT((ROW()-2)/10)+1)</f>
        <v>Viva Tequila Seltzer</v>
      </c>
      <c r="B2403" s="2" t="str" cm="1">
        <f t="array" ref="B2403">INDEX('Whitelist (Blackout Reverse)'!$B$1:$K$1,MOD(ROW()-2,10)+1)</f>
        <v>PASSAIC</v>
      </c>
      <c r="C2403" s="2" t="str">
        <f>VLOOKUP(A2403,'[1]Brand Family Territory (Enc)'!$A$2:$B$296,2,FALSE)</f>
        <v>All Counties</v>
      </c>
      <c r="D2403" s="2">
        <f>IF(COUNTIFS('[1]Brand Family Territories (Enc)'!$B$2:$B$62,C2403,'[1]Brand Family Territories (Enc)'!$C$2:$C$62,B2403)&gt;0,1,IF(AND(LEFT(B2403,6)="MORRIS",COUNTIFS('[1]Brand Family Territories (Enc)'!$B$2:$B$62,C2403,'[1]Brand Family Territories (Enc)'!$C$2:$C$62,"Morri")&gt;0),"Unk",0))</f>
        <v>1</v>
      </c>
      <c r="E2403" s="2" t="str">
        <f>IFERROR(INDEX('Blackout Brand Fam Areas (Enc)'!$D$6:$D$998,MATCH(UPPER(A2403)&amp;"|"&amp;UPPER(B2403),'Blackout Brand Fam Areas (Enc)'!$G$6:$G$998,0)),"No Match")</f>
        <v>No Match</v>
      </c>
      <c r="F2403" s="2" t="str">
        <f t="shared" si="74"/>
        <v>US</v>
      </c>
      <c r="G2403" s="2" t="str">
        <f t="shared" si="75"/>
        <v>Viva Tequila Seltzer|PASSAIC</v>
      </c>
    </row>
    <row r="2404" spans="1:7" x14ac:dyDescent="0.2">
      <c r="A2404" s="2" t="str" cm="1">
        <f t="array" ref="A2404">INDEX('[1]Brand Family Territory (Enc)'!$A$2:$A$296,INT((ROW()-2)/10)+1)</f>
        <v>Viva Tequila Seltzer</v>
      </c>
      <c r="B2404" s="2" t="str" cm="1">
        <f t="array" ref="B2404">INDEX('Whitelist (Blackout Reverse)'!$B$1:$K$1,MOD(ROW()-2,10)+1)</f>
        <v>PASSAIC-FF</v>
      </c>
      <c r="C2404" s="2" t="str">
        <f>VLOOKUP(A2404,'[1]Brand Family Territory (Enc)'!$A$2:$B$296,2,FALSE)</f>
        <v>All Counties</v>
      </c>
      <c r="D2404" s="2">
        <f>IF(COUNTIFS('[1]Brand Family Territories (Enc)'!$B$2:$B$62,C2404,'[1]Brand Family Territories (Enc)'!$C$2:$C$62,B2404)&gt;0,1,IF(AND(LEFT(B2404,6)="MORRIS",COUNTIFS('[1]Brand Family Territories (Enc)'!$B$2:$B$62,C2404,'[1]Brand Family Territories (Enc)'!$C$2:$C$62,"Morri")&gt;0),"Unk",0))</f>
        <v>1</v>
      </c>
      <c r="E2404" s="2" t="str">
        <f>IFERROR(INDEX('Blackout Brand Fam Areas (Enc)'!$D$6:$D$998,MATCH(UPPER(A2404)&amp;"|"&amp;UPPER(B2404),'Blackout Brand Fam Areas (Enc)'!$G$6:$G$998,0)),"No Match")</f>
        <v>No Match</v>
      </c>
      <c r="F2404" s="2" t="str">
        <f t="shared" si="74"/>
        <v>US</v>
      </c>
      <c r="G2404" s="2" t="str">
        <f t="shared" si="75"/>
        <v>Viva Tequila Seltzer|PASSAIC-FF</v>
      </c>
    </row>
    <row r="2405" spans="1:7" x14ac:dyDescent="0.2">
      <c r="A2405" s="2" t="str" cm="1">
        <f t="array" ref="A2405">INDEX('[1]Brand Family Territory (Enc)'!$A$2:$A$296,INT((ROW()-2)/10)+1)</f>
        <v>Viva Tequila Seltzer</v>
      </c>
      <c r="B2405" s="2" t="str" cm="1">
        <f t="array" ref="B2405">INDEX('Whitelist (Blackout Reverse)'!$B$1:$K$1,MOD(ROW()-2,10)+1)</f>
        <v>ESSEX</v>
      </c>
      <c r="C2405" s="2" t="str">
        <f>VLOOKUP(A2405,'[1]Brand Family Territory (Enc)'!$A$2:$B$296,2,FALSE)</f>
        <v>All Counties</v>
      </c>
      <c r="D2405" s="2">
        <f>IF(COUNTIFS('[1]Brand Family Territories (Enc)'!$B$2:$B$62,C2405,'[1]Brand Family Territories (Enc)'!$C$2:$C$62,B2405)&gt;0,1,IF(AND(LEFT(B2405,6)="MORRIS",COUNTIFS('[1]Brand Family Territories (Enc)'!$B$2:$B$62,C2405,'[1]Brand Family Territories (Enc)'!$C$2:$C$62,"Morri")&gt;0),"Unk",0))</f>
        <v>1</v>
      </c>
      <c r="E2405" s="2" t="str">
        <f>IFERROR(INDEX('Blackout Brand Fam Areas (Enc)'!$D$6:$D$998,MATCH(UPPER(A2405)&amp;"|"&amp;UPPER(B2405),'Blackout Brand Fam Areas (Enc)'!$G$6:$G$998,0)),"No Match")</f>
        <v>No Match</v>
      </c>
      <c r="F2405" s="2" t="str">
        <f t="shared" si="74"/>
        <v>US</v>
      </c>
      <c r="G2405" s="2" t="str">
        <f t="shared" si="75"/>
        <v>Viva Tequila Seltzer|ESSEX</v>
      </c>
    </row>
    <row r="2406" spans="1:7" x14ac:dyDescent="0.2">
      <c r="A2406" s="2" t="str" cm="1">
        <f t="array" ref="A2406">INDEX('[1]Brand Family Territory (Enc)'!$A$2:$A$296,INT((ROW()-2)/10)+1)</f>
        <v>Viva Tequila Seltzer</v>
      </c>
      <c r="B2406" s="2" t="str" cm="1">
        <f t="array" ref="B2406">INDEX('Whitelist (Blackout Reverse)'!$B$1:$K$1,MOD(ROW()-2,10)+1)</f>
        <v>HUDSON</v>
      </c>
      <c r="C2406" s="2" t="str">
        <f>VLOOKUP(A2406,'[1]Brand Family Territory (Enc)'!$A$2:$B$296,2,FALSE)</f>
        <v>All Counties</v>
      </c>
      <c r="D2406" s="2">
        <f>IF(COUNTIFS('[1]Brand Family Territories (Enc)'!$B$2:$B$62,C2406,'[1]Brand Family Territories (Enc)'!$C$2:$C$62,B2406)&gt;0,1,IF(AND(LEFT(B2406,6)="MORRIS",COUNTIFS('[1]Brand Family Territories (Enc)'!$B$2:$B$62,C2406,'[1]Brand Family Territories (Enc)'!$C$2:$C$62,"Morri")&gt;0),"Unk",0))</f>
        <v>1</v>
      </c>
      <c r="E2406" s="2" t="str">
        <f>IFERROR(INDEX('Blackout Brand Fam Areas (Enc)'!$D$6:$D$998,MATCH(UPPER(A2406)&amp;"|"&amp;UPPER(B2406),'Blackout Brand Fam Areas (Enc)'!$G$6:$G$998,0)),"No Match")</f>
        <v>No Match</v>
      </c>
      <c r="F2406" s="2" t="str">
        <f t="shared" si="74"/>
        <v>US</v>
      </c>
      <c r="G2406" s="2" t="str">
        <f t="shared" si="75"/>
        <v>Viva Tequila Seltzer|HUDSON</v>
      </c>
    </row>
    <row r="2407" spans="1:7" x14ac:dyDescent="0.2">
      <c r="A2407" s="2" t="str" cm="1">
        <f t="array" ref="A2407">INDEX('[1]Brand Family Territory (Enc)'!$A$2:$A$296,INT((ROW()-2)/10)+1)</f>
        <v>Viva Tequila Seltzer</v>
      </c>
      <c r="B2407" s="2" t="str" cm="1">
        <f t="array" ref="B2407">INDEX('Whitelist (Blackout Reverse)'!$B$1:$K$1,MOD(ROW()-2,10)+1)</f>
        <v>UNION</v>
      </c>
      <c r="C2407" s="2" t="str">
        <f>VLOOKUP(A2407,'[1]Brand Family Territory (Enc)'!$A$2:$B$296,2,FALSE)</f>
        <v>All Counties</v>
      </c>
      <c r="D2407" s="2">
        <f>IF(COUNTIFS('[1]Brand Family Territories (Enc)'!$B$2:$B$62,C2407,'[1]Brand Family Territories (Enc)'!$C$2:$C$62,B2407)&gt;0,1,IF(AND(LEFT(B2407,6)="MORRIS",COUNTIFS('[1]Brand Family Territories (Enc)'!$B$2:$B$62,C2407,'[1]Brand Family Territories (Enc)'!$C$2:$C$62,"Morri")&gt;0),"Unk",0))</f>
        <v>1</v>
      </c>
      <c r="E2407" s="2" t="str">
        <f>IFERROR(INDEX('Blackout Brand Fam Areas (Enc)'!$D$6:$D$998,MATCH(UPPER(A2407)&amp;"|"&amp;UPPER(B2407),'Blackout Brand Fam Areas (Enc)'!$G$6:$G$998,0)),"No Match")</f>
        <v>No Match</v>
      </c>
      <c r="F2407" s="2" t="str">
        <f t="shared" si="74"/>
        <v>US</v>
      </c>
      <c r="G2407" s="2" t="str">
        <f t="shared" si="75"/>
        <v>Viva Tequila Seltzer|UNION</v>
      </c>
    </row>
    <row r="2408" spans="1:7" x14ac:dyDescent="0.2">
      <c r="A2408" s="2" t="str" cm="1">
        <f t="array" ref="A2408">INDEX('[1]Brand Family Territory (Enc)'!$A$2:$A$296,INT((ROW()-2)/10)+1)</f>
        <v>Viva Tequila Seltzer</v>
      </c>
      <c r="B2408" s="2" t="str" cm="1">
        <f t="array" ref="B2408">INDEX('Whitelist (Blackout Reverse)'!$B$1:$K$1,MOD(ROW()-2,10)+1)</f>
        <v>SUSSEX</v>
      </c>
      <c r="C2408" s="2" t="str">
        <f>VLOOKUP(A2408,'[1]Brand Family Territory (Enc)'!$A$2:$B$296,2,FALSE)</f>
        <v>All Counties</v>
      </c>
      <c r="D2408" s="2">
        <f>IF(COUNTIFS('[1]Brand Family Territories (Enc)'!$B$2:$B$62,C2408,'[1]Brand Family Territories (Enc)'!$C$2:$C$62,B2408)&gt;0,1,IF(AND(LEFT(B2408,6)="MORRIS",COUNTIFS('[1]Brand Family Territories (Enc)'!$B$2:$B$62,C2408,'[1]Brand Family Territories (Enc)'!$C$2:$C$62,"Morri")&gt;0),"Unk",0))</f>
        <v>1</v>
      </c>
      <c r="E2408" s="2" t="str">
        <f>IFERROR(INDEX('Blackout Brand Fam Areas (Enc)'!$D$6:$D$998,MATCH(UPPER(A2408)&amp;"|"&amp;UPPER(B2408),'Blackout Brand Fam Areas (Enc)'!$G$6:$G$998,0)),"No Match")</f>
        <v>No Match</v>
      </c>
      <c r="F2408" s="2" t="str">
        <f t="shared" si="74"/>
        <v>US</v>
      </c>
      <c r="G2408" s="2" t="str">
        <f t="shared" si="75"/>
        <v>Viva Tequila Seltzer|SUSSEX</v>
      </c>
    </row>
    <row r="2409" spans="1:7" x14ac:dyDescent="0.2">
      <c r="A2409" s="2" t="str" cm="1">
        <f t="array" ref="A2409">INDEX('[1]Brand Family Territory (Enc)'!$A$2:$A$296,INT((ROW()-2)/10)+1)</f>
        <v>Viva Tequila Seltzer</v>
      </c>
      <c r="B2409" s="2" t="str" cm="1">
        <f t="array" ref="B2409">INDEX('Whitelist (Blackout Reverse)'!$B$1:$K$1,MOD(ROW()-2,10)+1)</f>
        <v>MORRIS 1</v>
      </c>
      <c r="C2409" s="2" t="str">
        <f>VLOOKUP(A2409,'[1]Brand Family Territory (Enc)'!$A$2:$B$296,2,FALSE)</f>
        <v>All Counties</v>
      </c>
      <c r="D2409" s="2">
        <f>IF(COUNTIFS('[1]Brand Family Territories (Enc)'!$B$2:$B$62,C2409,'[1]Brand Family Territories (Enc)'!$C$2:$C$62,B2409)&gt;0,1,IF(AND(LEFT(B2409,6)="MORRIS",COUNTIFS('[1]Brand Family Territories (Enc)'!$B$2:$B$62,C2409,'[1]Brand Family Territories (Enc)'!$C$2:$C$62,"Morri")&gt;0),"Unk",0))</f>
        <v>1</v>
      </c>
      <c r="E2409" s="2" t="str">
        <f>IFERROR(INDEX('Blackout Brand Fam Areas (Enc)'!$D$6:$D$998,MATCH(UPPER(A2409)&amp;"|"&amp;UPPER(B2409),'Blackout Brand Fam Areas (Enc)'!$G$6:$G$998,0)),"No Match")</f>
        <v>No Match</v>
      </c>
      <c r="F2409" s="2" t="str">
        <f t="shared" si="74"/>
        <v>US</v>
      </c>
      <c r="G2409" s="2" t="str">
        <f t="shared" si="75"/>
        <v>Viva Tequila Seltzer|MORRIS 1</v>
      </c>
    </row>
    <row r="2410" spans="1:7" x14ac:dyDescent="0.2">
      <c r="A2410" s="2" t="str" cm="1">
        <f t="array" ref="A2410">INDEX('[1]Brand Family Territory (Enc)'!$A$2:$A$296,INT((ROW()-2)/10)+1)</f>
        <v>Viva Tequila Seltzer</v>
      </c>
      <c r="B2410" s="2" t="str" cm="1">
        <f t="array" ref="B2410">INDEX('Whitelist (Blackout Reverse)'!$B$1:$K$1,MOD(ROW()-2,10)+1)</f>
        <v>MORRIS 2</v>
      </c>
      <c r="C2410" s="2" t="str">
        <f>VLOOKUP(A2410,'[1]Brand Family Territory (Enc)'!$A$2:$B$296,2,FALSE)</f>
        <v>All Counties</v>
      </c>
      <c r="D2410" s="2">
        <f>IF(COUNTIFS('[1]Brand Family Territories (Enc)'!$B$2:$B$62,C2410,'[1]Brand Family Territories (Enc)'!$C$2:$C$62,B2410)&gt;0,1,IF(AND(LEFT(B2410,6)="MORRIS",COUNTIFS('[1]Brand Family Territories (Enc)'!$B$2:$B$62,C2410,'[1]Brand Family Territories (Enc)'!$C$2:$C$62,"Morri")&gt;0),"Unk",0))</f>
        <v>1</v>
      </c>
      <c r="E2410" s="2" t="str">
        <f>IFERROR(INDEX('Blackout Brand Fam Areas (Enc)'!$D$6:$D$998,MATCH(UPPER(A2410)&amp;"|"&amp;UPPER(B2410),'Blackout Brand Fam Areas (Enc)'!$G$6:$G$998,0)),"No Match")</f>
        <v>No Match</v>
      </c>
      <c r="F2410" s="2" t="str">
        <f t="shared" si="74"/>
        <v>US</v>
      </c>
      <c r="G2410" s="2" t="str">
        <f t="shared" si="75"/>
        <v>Viva Tequila Seltzer|MORRIS 2</v>
      </c>
    </row>
    <row r="2411" spans="1:7" x14ac:dyDescent="0.2">
      <c r="A2411" s="2" t="str" cm="1">
        <f t="array" ref="A2411">INDEX('[1]Brand Family Territory (Enc)'!$A$2:$A$296,INT((ROW()-2)/10)+1)</f>
        <v>Viva Tequila Seltzer</v>
      </c>
      <c r="B2411" s="2" t="str" cm="1">
        <f t="array" ref="B2411">INDEX('Whitelist (Blackout Reverse)'!$B$1:$K$1,MOD(ROW()-2,10)+1)</f>
        <v>MORRIS 3</v>
      </c>
      <c r="C2411" s="2" t="str">
        <f>VLOOKUP(A2411,'[1]Brand Family Territory (Enc)'!$A$2:$B$296,2,FALSE)</f>
        <v>All Counties</v>
      </c>
      <c r="D2411" s="2">
        <f>IF(COUNTIFS('[1]Brand Family Territories (Enc)'!$B$2:$B$62,C2411,'[1]Brand Family Territories (Enc)'!$C$2:$C$62,B2411)&gt;0,1,IF(AND(LEFT(B2411,6)="MORRIS",COUNTIFS('[1]Brand Family Territories (Enc)'!$B$2:$B$62,C2411,'[1]Brand Family Territories (Enc)'!$C$2:$C$62,"Morri")&gt;0),"Unk",0))</f>
        <v>1</v>
      </c>
      <c r="E2411" s="2" t="str">
        <f>IFERROR(INDEX('Blackout Brand Fam Areas (Enc)'!$D$6:$D$998,MATCH(UPPER(A2411)&amp;"|"&amp;UPPER(B2411),'Blackout Brand Fam Areas (Enc)'!$G$6:$G$998,0)),"No Match")</f>
        <v>No Match</v>
      </c>
      <c r="F2411" s="2" t="str">
        <f t="shared" si="74"/>
        <v>US</v>
      </c>
      <c r="G2411" s="2" t="str">
        <f t="shared" si="75"/>
        <v>Viva Tequila Seltzer|MORRIS 3</v>
      </c>
    </row>
    <row r="2412" spans="1:7" x14ac:dyDescent="0.2">
      <c r="A2412" s="2" t="str" cm="1">
        <f t="array" ref="A2412">INDEX('[1]Brand Family Territory (Enc)'!$A$2:$A$296,INT((ROW()-2)/10)+1)</f>
        <v>Vodka Hog</v>
      </c>
      <c r="B2412" s="2" t="str" cm="1">
        <f t="array" ref="B2412">INDEX('Whitelist (Blackout Reverse)'!$B$1:$K$1,MOD(ROW()-2,10)+1)</f>
        <v>BERGEN</v>
      </c>
      <c r="C2412" s="2" t="str">
        <f>VLOOKUP(A2412,'[1]Brand Family Territory (Enc)'!$A$2:$B$296,2,FALSE)</f>
        <v>All Counties</v>
      </c>
      <c r="D2412" s="2">
        <f>IF(COUNTIFS('[1]Brand Family Territories (Enc)'!$B$2:$B$62,C2412,'[1]Brand Family Territories (Enc)'!$C$2:$C$62,B2412)&gt;0,1,IF(AND(LEFT(B2412,6)="MORRIS",COUNTIFS('[1]Brand Family Territories (Enc)'!$B$2:$B$62,C2412,'[1]Brand Family Territories (Enc)'!$C$2:$C$62,"Morri")&gt;0),"Unk",0))</f>
        <v>1</v>
      </c>
      <c r="E2412" s="2" t="str">
        <f>IFERROR(INDEX('Blackout Brand Fam Areas (Enc)'!$D$6:$D$998,MATCH(UPPER(A2412)&amp;"|"&amp;UPPER(B2412),'Blackout Brand Fam Areas (Enc)'!$G$6:$G$998,0)),"No Match")</f>
        <v>No Match</v>
      </c>
      <c r="F2412" s="2" t="str">
        <f t="shared" si="74"/>
        <v>US</v>
      </c>
      <c r="G2412" s="2" t="str">
        <f t="shared" si="75"/>
        <v>Vodka Hog|BERGEN</v>
      </c>
    </row>
    <row r="2413" spans="1:7" x14ac:dyDescent="0.2">
      <c r="A2413" s="2" t="str" cm="1">
        <f t="array" ref="A2413">INDEX('[1]Brand Family Territory (Enc)'!$A$2:$A$296,INT((ROW()-2)/10)+1)</f>
        <v>Vodka Hog</v>
      </c>
      <c r="B2413" s="2" t="str" cm="1">
        <f t="array" ref="B2413">INDEX('Whitelist (Blackout Reverse)'!$B$1:$K$1,MOD(ROW()-2,10)+1)</f>
        <v>PASSAIC</v>
      </c>
      <c r="C2413" s="2" t="str">
        <f>VLOOKUP(A2413,'[1]Brand Family Territory (Enc)'!$A$2:$B$296,2,FALSE)</f>
        <v>All Counties</v>
      </c>
      <c r="D2413" s="2">
        <f>IF(COUNTIFS('[1]Brand Family Territories (Enc)'!$B$2:$B$62,C2413,'[1]Brand Family Territories (Enc)'!$C$2:$C$62,B2413)&gt;0,1,IF(AND(LEFT(B2413,6)="MORRIS",COUNTIFS('[1]Brand Family Territories (Enc)'!$B$2:$B$62,C2413,'[1]Brand Family Territories (Enc)'!$C$2:$C$62,"Morri")&gt;0),"Unk",0))</f>
        <v>1</v>
      </c>
      <c r="E2413" s="2" t="str">
        <f>IFERROR(INDEX('Blackout Brand Fam Areas (Enc)'!$D$6:$D$998,MATCH(UPPER(A2413)&amp;"|"&amp;UPPER(B2413),'Blackout Brand Fam Areas (Enc)'!$G$6:$G$998,0)),"No Match")</f>
        <v>No Match</v>
      </c>
      <c r="F2413" s="2" t="str">
        <f t="shared" si="74"/>
        <v>US</v>
      </c>
      <c r="G2413" s="2" t="str">
        <f t="shared" si="75"/>
        <v>Vodka Hog|PASSAIC</v>
      </c>
    </row>
    <row r="2414" spans="1:7" x14ac:dyDescent="0.2">
      <c r="A2414" s="2" t="str" cm="1">
        <f t="array" ref="A2414">INDEX('[1]Brand Family Territory (Enc)'!$A$2:$A$296,INT((ROW()-2)/10)+1)</f>
        <v>Vodka Hog</v>
      </c>
      <c r="B2414" s="2" t="str" cm="1">
        <f t="array" ref="B2414">INDEX('Whitelist (Blackout Reverse)'!$B$1:$K$1,MOD(ROW()-2,10)+1)</f>
        <v>PASSAIC-FF</v>
      </c>
      <c r="C2414" s="2" t="str">
        <f>VLOOKUP(A2414,'[1]Brand Family Territory (Enc)'!$A$2:$B$296,2,FALSE)</f>
        <v>All Counties</v>
      </c>
      <c r="D2414" s="2">
        <f>IF(COUNTIFS('[1]Brand Family Territories (Enc)'!$B$2:$B$62,C2414,'[1]Brand Family Territories (Enc)'!$C$2:$C$62,B2414)&gt;0,1,IF(AND(LEFT(B2414,6)="MORRIS",COUNTIFS('[1]Brand Family Territories (Enc)'!$B$2:$B$62,C2414,'[1]Brand Family Territories (Enc)'!$C$2:$C$62,"Morri")&gt;0),"Unk",0))</f>
        <v>1</v>
      </c>
      <c r="E2414" s="2" t="str">
        <f>IFERROR(INDEX('Blackout Brand Fam Areas (Enc)'!$D$6:$D$998,MATCH(UPPER(A2414)&amp;"|"&amp;UPPER(B2414),'Blackout Brand Fam Areas (Enc)'!$G$6:$G$998,0)),"No Match")</f>
        <v>No Match</v>
      </c>
      <c r="F2414" s="2" t="str">
        <f t="shared" si="74"/>
        <v>US</v>
      </c>
      <c r="G2414" s="2" t="str">
        <f t="shared" si="75"/>
        <v>Vodka Hog|PASSAIC-FF</v>
      </c>
    </row>
    <row r="2415" spans="1:7" x14ac:dyDescent="0.2">
      <c r="A2415" s="2" t="str" cm="1">
        <f t="array" ref="A2415">INDEX('[1]Brand Family Territory (Enc)'!$A$2:$A$296,INT((ROW()-2)/10)+1)</f>
        <v>Vodka Hog</v>
      </c>
      <c r="B2415" s="2" t="str" cm="1">
        <f t="array" ref="B2415">INDEX('Whitelist (Blackout Reverse)'!$B$1:$K$1,MOD(ROW()-2,10)+1)</f>
        <v>ESSEX</v>
      </c>
      <c r="C2415" s="2" t="str">
        <f>VLOOKUP(A2415,'[1]Brand Family Territory (Enc)'!$A$2:$B$296,2,FALSE)</f>
        <v>All Counties</v>
      </c>
      <c r="D2415" s="2">
        <f>IF(COUNTIFS('[1]Brand Family Territories (Enc)'!$B$2:$B$62,C2415,'[1]Brand Family Territories (Enc)'!$C$2:$C$62,B2415)&gt;0,1,IF(AND(LEFT(B2415,6)="MORRIS",COUNTIFS('[1]Brand Family Territories (Enc)'!$B$2:$B$62,C2415,'[1]Brand Family Territories (Enc)'!$C$2:$C$62,"Morri")&gt;0),"Unk",0))</f>
        <v>1</v>
      </c>
      <c r="E2415" s="2" t="str">
        <f>IFERROR(INDEX('Blackout Brand Fam Areas (Enc)'!$D$6:$D$998,MATCH(UPPER(A2415)&amp;"|"&amp;UPPER(B2415),'Blackout Brand Fam Areas (Enc)'!$G$6:$G$998,0)),"No Match")</f>
        <v>No Match</v>
      </c>
      <c r="F2415" s="2" t="str">
        <f t="shared" si="74"/>
        <v>US</v>
      </c>
      <c r="G2415" s="2" t="str">
        <f t="shared" si="75"/>
        <v>Vodka Hog|ESSEX</v>
      </c>
    </row>
    <row r="2416" spans="1:7" x14ac:dyDescent="0.2">
      <c r="A2416" s="2" t="str" cm="1">
        <f t="array" ref="A2416">INDEX('[1]Brand Family Territory (Enc)'!$A$2:$A$296,INT((ROW()-2)/10)+1)</f>
        <v>Vodka Hog</v>
      </c>
      <c r="B2416" s="2" t="str" cm="1">
        <f t="array" ref="B2416">INDEX('Whitelist (Blackout Reverse)'!$B$1:$K$1,MOD(ROW()-2,10)+1)</f>
        <v>HUDSON</v>
      </c>
      <c r="C2416" s="2" t="str">
        <f>VLOOKUP(A2416,'[1]Brand Family Territory (Enc)'!$A$2:$B$296,2,FALSE)</f>
        <v>All Counties</v>
      </c>
      <c r="D2416" s="2">
        <f>IF(COUNTIFS('[1]Brand Family Territories (Enc)'!$B$2:$B$62,C2416,'[1]Brand Family Territories (Enc)'!$C$2:$C$62,B2416)&gt;0,1,IF(AND(LEFT(B2416,6)="MORRIS",COUNTIFS('[1]Brand Family Territories (Enc)'!$B$2:$B$62,C2416,'[1]Brand Family Territories (Enc)'!$C$2:$C$62,"Morri")&gt;0),"Unk",0))</f>
        <v>1</v>
      </c>
      <c r="E2416" s="2" t="str">
        <f>IFERROR(INDEX('Blackout Brand Fam Areas (Enc)'!$D$6:$D$998,MATCH(UPPER(A2416)&amp;"|"&amp;UPPER(B2416),'Blackout Brand Fam Areas (Enc)'!$G$6:$G$998,0)),"No Match")</f>
        <v>No Match</v>
      </c>
      <c r="F2416" s="2" t="str">
        <f t="shared" si="74"/>
        <v>US</v>
      </c>
      <c r="G2416" s="2" t="str">
        <f t="shared" si="75"/>
        <v>Vodka Hog|HUDSON</v>
      </c>
    </row>
    <row r="2417" spans="1:7" x14ac:dyDescent="0.2">
      <c r="A2417" s="2" t="str" cm="1">
        <f t="array" ref="A2417">INDEX('[1]Brand Family Territory (Enc)'!$A$2:$A$296,INT((ROW()-2)/10)+1)</f>
        <v>Vodka Hog</v>
      </c>
      <c r="B2417" s="2" t="str" cm="1">
        <f t="array" ref="B2417">INDEX('Whitelist (Blackout Reverse)'!$B$1:$K$1,MOD(ROW()-2,10)+1)</f>
        <v>UNION</v>
      </c>
      <c r="C2417" s="2" t="str">
        <f>VLOOKUP(A2417,'[1]Brand Family Territory (Enc)'!$A$2:$B$296,2,FALSE)</f>
        <v>All Counties</v>
      </c>
      <c r="D2417" s="2">
        <f>IF(COUNTIFS('[1]Brand Family Territories (Enc)'!$B$2:$B$62,C2417,'[1]Brand Family Territories (Enc)'!$C$2:$C$62,B2417)&gt;0,1,IF(AND(LEFT(B2417,6)="MORRIS",COUNTIFS('[1]Brand Family Territories (Enc)'!$B$2:$B$62,C2417,'[1]Brand Family Territories (Enc)'!$C$2:$C$62,"Morri")&gt;0),"Unk",0))</f>
        <v>1</v>
      </c>
      <c r="E2417" s="2" t="str">
        <f>IFERROR(INDEX('Blackout Brand Fam Areas (Enc)'!$D$6:$D$998,MATCH(UPPER(A2417)&amp;"|"&amp;UPPER(B2417),'Blackout Brand Fam Areas (Enc)'!$G$6:$G$998,0)),"No Match")</f>
        <v>No Match</v>
      </c>
      <c r="F2417" s="2" t="str">
        <f t="shared" si="74"/>
        <v>US</v>
      </c>
      <c r="G2417" s="2" t="str">
        <f t="shared" si="75"/>
        <v>Vodka Hog|UNION</v>
      </c>
    </row>
    <row r="2418" spans="1:7" x14ac:dyDescent="0.2">
      <c r="A2418" s="2" t="str" cm="1">
        <f t="array" ref="A2418">INDEX('[1]Brand Family Territory (Enc)'!$A$2:$A$296,INT((ROW()-2)/10)+1)</f>
        <v>Vodka Hog</v>
      </c>
      <c r="B2418" s="2" t="str" cm="1">
        <f t="array" ref="B2418">INDEX('Whitelist (Blackout Reverse)'!$B$1:$K$1,MOD(ROW()-2,10)+1)</f>
        <v>SUSSEX</v>
      </c>
      <c r="C2418" s="2" t="str">
        <f>VLOOKUP(A2418,'[1]Brand Family Territory (Enc)'!$A$2:$B$296,2,FALSE)</f>
        <v>All Counties</v>
      </c>
      <c r="D2418" s="2">
        <f>IF(COUNTIFS('[1]Brand Family Territories (Enc)'!$B$2:$B$62,C2418,'[1]Brand Family Territories (Enc)'!$C$2:$C$62,B2418)&gt;0,1,IF(AND(LEFT(B2418,6)="MORRIS",COUNTIFS('[1]Brand Family Territories (Enc)'!$B$2:$B$62,C2418,'[1]Brand Family Territories (Enc)'!$C$2:$C$62,"Morri")&gt;0),"Unk",0))</f>
        <v>1</v>
      </c>
      <c r="E2418" s="2" t="str">
        <f>IFERROR(INDEX('Blackout Brand Fam Areas (Enc)'!$D$6:$D$998,MATCH(UPPER(A2418)&amp;"|"&amp;UPPER(B2418),'Blackout Brand Fam Areas (Enc)'!$G$6:$G$998,0)),"No Match")</f>
        <v>No Match</v>
      </c>
      <c r="F2418" s="2" t="str">
        <f t="shared" si="74"/>
        <v>US</v>
      </c>
      <c r="G2418" s="2" t="str">
        <f t="shared" si="75"/>
        <v>Vodka Hog|SUSSEX</v>
      </c>
    </row>
    <row r="2419" spans="1:7" x14ac:dyDescent="0.2">
      <c r="A2419" s="2" t="str" cm="1">
        <f t="array" ref="A2419">INDEX('[1]Brand Family Territory (Enc)'!$A$2:$A$296,INT((ROW()-2)/10)+1)</f>
        <v>Vodka Hog</v>
      </c>
      <c r="B2419" s="2" t="str" cm="1">
        <f t="array" ref="B2419">INDEX('Whitelist (Blackout Reverse)'!$B$1:$K$1,MOD(ROW()-2,10)+1)</f>
        <v>MORRIS 1</v>
      </c>
      <c r="C2419" s="2" t="str">
        <f>VLOOKUP(A2419,'[1]Brand Family Territory (Enc)'!$A$2:$B$296,2,FALSE)</f>
        <v>All Counties</v>
      </c>
      <c r="D2419" s="2">
        <f>IF(COUNTIFS('[1]Brand Family Territories (Enc)'!$B$2:$B$62,C2419,'[1]Brand Family Territories (Enc)'!$C$2:$C$62,B2419)&gt;0,1,IF(AND(LEFT(B2419,6)="MORRIS",COUNTIFS('[1]Brand Family Territories (Enc)'!$B$2:$B$62,C2419,'[1]Brand Family Territories (Enc)'!$C$2:$C$62,"Morri")&gt;0),"Unk",0))</f>
        <v>1</v>
      </c>
      <c r="E2419" s="2" t="str">
        <f>IFERROR(INDEX('Blackout Brand Fam Areas (Enc)'!$D$6:$D$998,MATCH(UPPER(A2419)&amp;"|"&amp;UPPER(B2419),'Blackout Brand Fam Areas (Enc)'!$G$6:$G$998,0)),"No Match")</f>
        <v>No Match</v>
      </c>
      <c r="F2419" s="2" t="str">
        <f t="shared" si="74"/>
        <v>US</v>
      </c>
      <c r="G2419" s="2" t="str">
        <f t="shared" si="75"/>
        <v>Vodka Hog|MORRIS 1</v>
      </c>
    </row>
    <row r="2420" spans="1:7" x14ac:dyDescent="0.2">
      <c r="A2420" s="2" t="str" cm="1">
        <f t="array" ref="A2420">INDEX('[1]Brand Family Territory (Enc)'!$A$2:$A$296,INT((ROW()-2)/10)+1)</f>
        <v>Vodka Hog</v>
      </c>
      <c r="B2420" s="2" t="str" cm="1">
        <f t="array" ref="B2420">INDEX('Whitelist (Blackout Reverse)'!$B$1:$K$1,MOD(ROW()-2,10)+1)</f>
        <v>MORRIS 2</v>
      </c>
      <c r="C2420" s="2" t="str">
        <f>VLOOKUP(A2420,'[1]Brand Family Territory (Enc)'!$A$2:$B$296,2,FALSE)</f>
        <v>All Counties</v>
      </c>
      <c r="D2420" s="2">
        <f>IF(COUNTIFS('[1]Brand Family Territories (Enc)'!$B$2:$B$62,C2420,'[1]Brand Family Territories (Enc)'!$C$2:$C$62,B2420)&gt;0,1,IF(AND(LEFT(B2420,6)="MORRIS",COUNTIFS('[1]Brand Family Territories (Enc)'!$B$2:$B$62,C2420,'[1]Brand Family Territories (Enc)'!$C$2:$C$62,"Morri")&gt;0),"Unk",0))</f>
        <v>1</v>
      </c>
      <c r="E2420" s="2" t="str">
        <f>IFERROR(INDEX('Blackout Brand Fam Areas (Enc)'!$D$6:$D$998,MATCH(UPPER(A2420)&amp;"|"&amp;UPPER(B2420),'Blackout Brand Fam Areas (Enc)'!$G$6:$G$998,0)),"No Match")</f>
        <v>No Match</v>
      </c>
      <c r="F2420" s="2" t="str">
        <f t="shared" si="74"/>
        <v>US</v>
      </c>
      <c r="G2420" s="2" t="str">
        <f t="shared" si="75"/>
        <v>Vodka Hog|MORRIS 2</v>
      </c>
    </row>
    <row r="2421" spans="1:7" x14ac:dyDescent="0.2">
      <c r="A2421" s="2" t="str" cm="1">
        <f t="array" ref="A2421">INDEX('[1]Brand Family Territory (Enc)'!$A$2:$A$296,INT((ROW()-2)/10)+1)</f>
        <v>Vodka Hog</v>
      </c>
      <c r="B2421" s="2" t="str" cm="1">
        <f t="array" ref="B2421">INDEX('Whitelist (Blackout Reverse)'!$B$1:$K$1,MOD(ROW()-2,10)+1)</f>
        <v>MORRIS 3</v>
      </c>
      <c r="C2421" s="2" t="str">
        <f>VLOOKUP(A2421,'[1]Brand Family Territory (Enc)'!$A$2:$B$296,2,FALSE)</f>
        <v>All Counties</v>
      </c>
      <c r="D2421" s="2">
        <f>IF(COUNTIFS('[1]Brand Family Territories (Enc)'!$B$2:$B$62,C2421,'[1]Brand Family Territories (Enc)'!$C$2:$C$62,B2421)&gt;0,1,IF(AND(LEFT(B2421,6)="MORRIS",COUNTIFS('[1]Brand Family Territories (Enc)'!$B$2:$B$62,C2421,'[1]Brand Family Territories (Enc)'!$C$2:$C$62,"Morri")&gt;0),"Unk",0))</f>
        <v>1</v>
      </c>
      <c r="E2421" s="2" t="str">
        <f>IFERROR(INDEX('Blackout Brand Fam Areas (Enc)'!$D$6:$D$998,MATCH(UPPER(A2421)&amp;"|"&amp;UPPER(B2421),'Blackout Brand Fam Areas (Enc)'!$G$6:$G$998,0)),"No Match")</f>
        <v>No Match</v>
      </c>
      <c r="F2421" s="2" t="str">
        <f t="shared" si="74"/>
        <v>US</v>
      </c>
      <c r="G2421" s="2" t="str">
        <f t="shared" si="75"/>
        <v>Vodka Hog|MORRIS 3</v>
      </c>
    </row>
    <row r="2422" spans="1:7" x14ac:dyDescent="0.2">
      <c r="A2422" s="2" t="str" cm="1">
        <f t="array" ref="A2422">INDEX('[1]Brand Family Territory (Enc)'!$A$2:$A$296,INT((ROW()-2)/10)+1)</f>
        <v>Warwick Gin</v>
      </c>
      <c r="B2422" s="2" t="str" cm="1">
        <f t="array" ref="B2422">INDEX('Whitelist (Blackout Reverse)'!$B$1:$K$1,MOD(ROW()-2,10)+1)</f>
        <v>BERGEN</v>
      </c>
      <c r="C2422" s="2" t="str">
        <f>VLOOKUP(A2422,'[1]Brand Family Territory (Enc)'!$A$2:$B$296,2,FALSE)</f>
        <v>All Counties</v>
      </c>
      <c r="D2422" s="2">
        <f>IF(COUNTIFS('[1]Brand Family Territories (Enc)'!$B$2:$B$62,C2422,'[1]Brand Family Territories (Enc)'!$C$2:$C$62,B2422)&gt;0,1,IF(AND(LEFT(B2422,6)="MORRIS",COUNTIFS('[1]Brand Family Territories (Enc)'!$B$2:$B$62,C2422,'[1]Brand Family Territories (Enc)'!$C$2:$C$62,"Morri")&gt;0),"Unk",0))</f>
        <v>1</v>
      </c>
      <c r="E2422" s="2" t="str">
        <f>IFERROR(INDEX('Blackout Brand Fam Areas (Enc)'!$D$6:$D$998,MATCH(UPPER(A2422)&amp;"|"&amp;UPPER(B2422),'Blackout Brand Fam Areas (Enc)'!$G$6:$G$998,0)),"No Match")</f>
        <v>No Match</v>
      </c>
      <c r="F2422" s="2" t="str">
        <f t="shared" si="74"/>
        <v>US</v>
      </c>
      <c r="G2422" s="2" t="str">
        <f t="shared" si="75"/>
        <v>Warwick Gin|BERGEN</v>
      </c>
    </row>
    <row r="2423" spans="1:7" x14ac:dyDescent="0.2">
      <c r="A2423" s="2" t="str" cm="1">
        <f t="array" ref="A2423">INDEX('[1]Brand Family Territory (Enc)'!$A$2:$A$296,INT((ROW()-2)/10)+1)</f>
        <v>Warwick Gin</v>
      </c>
      <c r="B2423" s="2" t="str" cm="1">
        <f t="array" ref="B2423">INDEX('Whitelist (Blackout Reverse)'!$B$1:$K$1,MOD(ROW()-2,10)+1)</f>
        <v>PASSAIC</v>
      </c>
      <c r="C2423" s="2" t="str">
        <f>VLOOKUP(A2423,'[1]Brand Family Territory (Enc)'!$A$2:$B$296,2,FALSE)</f>
        <v>All Counties</v>
      </c>
      <c r="D2423" s="2">
        <f>IF(COUNTIFS('[1]Brand Family Territories (Enc)'!$B$2:$B$62,C2423,'[1]Brand Family Territories (Enc)'!$C$2:$C$62,B2423)&gt;0,1,IF(AND(LEFT(B2423,6)="MORRIS",COUNTIFS('[1]Brand Family Territories (Enc)'!$B$2:$B$62,C2423,'[1]Brand Family Territories (Enc)'!$C$2:$C$62,"Morri")&gt;0),"Unk",0))</f>
        <v>1</v>
      </c>
      <c r="E2423" s="2" t="str">
        <f>IFERROR(INDEX('Blackout Brand Fam Areas (Enc)'!$D$6:$D$998,MATCH(UPPER(A2423)&amp;"|"&amp;UPPER(B2423),'Blackout Brand Fam Areas (Enc)'!$G$6:$G$998,0)),"No Match")</f>
        <v>No Match</v>
      </c>
      <c r="F2423" s="2" t="str">
        <f t="shared" si="74"/>
        <v>US</v>
      </c>
      <c r="G2423" s="2" t="str">
        <f t="shared" si="75"/>
        <v>Warwick Gin|PASSAIC</v>
      </c>
    </row>
    <row r="2424" spans="1:7" x14ac:dyDescent="0.2">
      <c r="A2424" s="2" t="str" cm="1">
        <f t="array" ref="A2424">INDEX('[1]Brand Family Territory (Enc)'!$A$2:$A$296,INT((ROW()-2)/10)+1)</f>
        <v>Warwick Gin</v>
      </c>
      <c r="B2424" s="2" t="str" cm="1">
        <f t="array" ref="B2424">INDEX('Whitelist (Blackout Reverse)'!$B$1:$K$1,MOD(ROW()-2,10)+1)</f>
        <v>PASSAIC-FF</v>
      </c>
      <c r="C2424" s="2" t="str">
        <f>VLOOKUP(A2424,'[1]Brand Family Territory (Enc)'!$A$2:$B$296,2,FALSE)</f>
        <v>All Counties</v>
      </c>
      <c r="D2424" s="2">
        <f>IF(COUNTIFS('[1]Brand Family Territories (Enc)'!$B$2:$B$62,C2424,'[1]Brand Family Territories (Enc)'!$C$2:$C$62,B2424)&gt;0,1,IF(AND(LEFT(B2424,6)="MORRIS",COUNTIFS('[1]Brand Family Territories (Enc)'!$B$2:$B$62,C2424,'[1]Brand Family Territories (Enc)'!$C$2:$C$62,"Morri")&gt;0),"Unk",0))</f>
        <v>1</v>
      </c>
      <c r="E2424" s="2" t="str">
        <f>IFERROR(INDEX('Blackout Brand Fam Areas (Enc)'!$D$6:$D$998,MATCH(UPPER(A2424)&amp;"|"&amp;UPPER(B2424),'Blackout Brand Fam Areas (Enc)'!$G$6:$G$998,0)),"No Match")</f>
        <v>No Match</v>
      </c>
      <c r="F2424" s="2" t="str">
        <f t="shared" si="74"/>
        <v>US</v>
      </c>
      <c r="G2424" s="2" t="str">
        <f t="shared" si="75"/>
        <v>Warwick Gin|PASSAIC-FF</v>
      </c>
    </row>
    <row r="2425" spans="1:7" x14ac:dyDescent="0.2">
      <c r="A2425" s="2" t="str" cm="1">
        <f t="array" ref="A2425">INDEX('[1]Brand Family Territory (Enc)'!$A$2:$A$296,INT((ROW()-2)/10)+1)</f>
        <v>Warwick Gin</v>
      </c>
      <c r="B2425" s="2" t="str" cm="1">
        <f t="array" ref="B2425">INDEX('Whitelist (Blackout Reverse)'!$B$1:$K$1,MOD(ROW()-2,10)+1)</f>
        <v>ESSEX</v>
      </c>
      <c r="C2425" s="2" t="str">
        <f>VLOOKUP(A2425,'[1]Brand Family Territory (Enc)'!$A$2:$B$296,2,FALSE)</f>
        <v>All Counties</v>
      </c>
      <c r="D2425" s="2">
        <f>IF(COUNTIFS('[1]Brand Family Territories (Enc)'!$B$2:$B$62,C2425,'[1]Brand Family Territories (Enc)'!$C$2:$C$62,B2425)&gt;0,1,IF(AND(LEFT(B2425,6)="MORRIS",COUNTIFS('[1]Brand Family Territories (Enc)'!$B$2:$B$62,C2425,'[1]Brand Family Territories (Enc)'!$C$2:$C$62,"Morri")&gt;0),"Unk",0))</f>
        <v>1</v>
      </c>
      <c r="E2425" s="2" t="str">
        <f>IFERROR(INDEX('Blackout Brand Fam Areas (Enc)'!$D$6:$D$998,MATCH(UPPER(A2425)&amp;"|"&amp;UPPER(B2425),'Blackout Brand Fam Areas (Enc)'!$G$6:$G$998,0)),"No Match")</f>
        <v>No Match</v>
      </c>
      <c r="F2425" s="2" t="str">
        <f t="shared" si="74"/>
        <v>US</v>
      </c>
      <c r="G2425" s="2" t="str">
        <f t="shared" si="75"/>
        <v>Warwick Gin|ESSEX</v>
      </c>
    </row>
    <row r="2426" spans="1:7" x14ac:dyDescent="0.2">
      <c r="A2426" s="2" t="str" cm="1">
        <f t="array" ref="A2426">INDEX('[1]Brand Family Territory (Enc)'!$A$2:$A$296,INT((ROW()-2)/10)+1)</f>
        <v>Warwick Gin</v>
      </c>
      <c r="B2426" s="2" t="str" cm="1">
        <f t="array" ref="B2426">INDEX('Whitelist (Blackout Reverse)'!$B$1:$K$1,MOD(ROW()-2,10)+1)</f>
        <v>HUDSON</v>
      </c>
      <c r="C2426" s="2" t="str">
        <f>VLOOKUP(A2426,'[1]Brand Family Territory (Enc)'!$A$2:$B$296,2,FALSE)</f>
        <v>All Counties</v>
      </c>
      <c r="D2426" s="2">
        <f>IF(COUNTIFS('[1]Brand Family Territories (Enc)'!$B$2:$B$62,C2426,'[1]Brand Family Territories (Enc)'!$C$2:$C$62,B2426)&gt;0,1,IF(AND(LEFT(B2426,6)="MORRIS",COUNTIFS('[1]Brand Family Territories (Enc)'!$B$2:$B$62,C2426,'[1]Brand Family Territories (Enc)'!$C$2:$C$62,"Morri")&gt;0),"Unk",0))</f>
        <v>1</v>
      </c>
      <c r="E2426" s="2" t="str">
        <f>IFERROR(INDEX('Blackout Brand Fam Areas (Enc)'!$D$6:$D$998,MATCH(UPPER(A2426)&amp;"|"&amp;UPPER(B2426),'Blackout Brand Fam Areas (Enc)'!$G$6:$G$998,0)),"No Match")</f>
        <v>No Match</v>
      </c>
      <c r="F2426" s="2" t="str">
        <f t="shared" si="74"/>
        <v>US</v>
      </c>
      <c r="G2426" s="2" t="str">
        <f t="shared" si="75"/>
        <v>Warwick Gin|HUDSON</v>
      </c>
    </row>
    <row r="2427" spans="1:7" x14ac:dyDescent="0.2">
      <c r="A2427" s="2" t="str" cm="1">
        <f t="array" ref="A2427">INDEX('[1]Brand Family Territory (Enc)'!$A$2:$A$296,INT((ROW()-2)/10)+1)</f>
        <v>Warwick Gin</v>
      </c>
      <c r="B2427" s="2" t="str" cm="1">
        <f t="array" ref="B2427">INDEX('Whitelist (Blackout Reverse)'!$B$1:$K$1,MOD(ROW()-2,10)+1)</f>
        <v>UNION</v>
      </c>
      <c r="C2427" s="2" t="str">
        <f>VLOOKUP(A2427,'[1]Brand Family Territory (Enc)'!$A$2:$B$296,2,FALSE)</f>
        <v>All Counties</v>
      </c>
      <c r="D2427" s="2">
        <f>IF(COUNTIFS('[1]Brand Family Territories (Enc)'!$B$2:$B$62,C2427,'[1]Brand Family Territories (Enc)'!$C$2:$C$62,B2427)&gt;0,1,IF(AND(LEFT(B2427,6)="MORRIS",COUNTIFS('[1]Brand Family Territories (Enc)'!$B$2:$B$62,C2427,'[1]Brand Family Territories (Enc)'!$C$2:$C$62,"Morri")&gt;0),"Unk",0))</f>
        <v>1</v>
      </c>
      <c r="E2427" s="2" t="str">
        <f>IFERROR(INDEX('Blackout Brand Fam Areas (Enc)'!$D$6:$D$998,MATCH(UPPER(A2427)&amp;"|"&amp;UPPER(B2427),'Blackout Brand Fam Areas (Enc)'!$G$6:$G$998,0)),"No Match")</f>
        <v>No Match</v>
      </c>
      <c r="F2427" s="2" t="str">
        <f t="shared" si="74"/>
        <v>US</v>
      </c>
      <c r="G2427" s="2" t="str">
        <f t="shared" si="75"/>
        <v>Warwick Gin|UNION</v>
      </c>
    </row>
    <row r="2428" spans="1:7" x14ac:dyDescent="0.2">
      <c r="A2428" s="2" t="str" cm="1">
        <f t="array" ref="A2428">INDEX('[1]Brand Family Territory (Enc)'!$A$2:$A$296,INT((ROW()-2)/10)+1)</f>
        <v>Warwick Gin</v>
      </c>
      <c r="B2428" s="2" t="str" cm="1">
        <f t="array" ref="B2428">INDEX('Whitelist (Blackout Reverse)'!$B$1:$K$1,MOD(ROW()-2,10)+1)</f>
        <v>SUSSEX</v>
      </c>
      <c r="C2428" s="2" t="str">
        <f>VLOOKUP(A2428,'[1]Brand Family Territory (Enc)'!$A$2:$B$296,2,FALSE)</f>
        <v>All Counties</v>
      </c>
      <c r="D2428" s="2">
        <f>IF(COUNTIFS('[1]Brand Family Territories (Enc)'!$B$2:$B$62,C2428,'[1]Brand Family Territories (Enc)'!$C$2:$C$62,B2428)&gt;0,1,IF(AND(LEFT(B2428,6)="MORRIS",COUNTIFS('[1]Brand Family Territories (Enc)'!$B$2:$B$62,C2428,'[1]Brand Family Territories (Enc)'!$C$2:$C$62,"Morri")&gt;0),"Unk",0))</f>
        <v>1</v>
      </c>
      <c r="E2428" s="2" t="str">
        <f>IFERROR(INDEX('Blackout Brand Fam Areas (Enc)'!$D$6:$D$998,MATCH(UPPER(A2428)&amp;"|"&amp;UPPER(B2428),'Blackout Brand Fam Areas (Enc)'!$G$6:$G$998,0)),"No Match")</f>
        <v>No Match</v>
      </c>
      <c r="F2428" s="2" t="str">
        <f t="shared" si="74"/>
        <v>US</v>
      </c>
      <c r="G2428" s="2" t="str">
        <f t="shared" si="75"/>
        <v>Warwick Gin|SUSSEX</v>
      </c>
    </row>
    <row r="2429" spans="1:7" x14ac:dyDescent="0.2">
      <c r="A2429" s="2" t="str" cm="1">
        <f t="array" ref="A2429">INDEX('[1]Brand Family Territory (Enc)'!$A$2:$A$296,INT((ROW()-2)/10)+1)</f>
        <v>Warwick Gin</v>
      </c>
      <c r="B2429" s="2" t="str" cm="1">
        <f t="array" ref="B2429">INDEX('Whitelist (Blackout Reverse)'!$B$1:$K$1,MOD(ROW()-2,10)+1)</f>
        <v>MORRIS 1</v>
      </c>
      <c r="C2429" s="2" t="str">
        <f>VLOOKUP(A2429,'[1]Brand Family Territory (Enc)'!$A$2:$B$296,2,FALSE)</f>
        <v>All Counties</v>
      </c>
      <c r="D2429" s="2">
        <f>IF(COUNTIFS('[1]Brand Family Territories (Enc)'!$B$2:$B$62,C2429,'[1]Brand Family Territories (Enc)'!$C$2:$C$62,B2429)&gt;0,1,IF(AND(LEFT(B2429,6)="MORRIS",COUNTIFS('[1]Brand Family Territories (Enc)'!$B$2:$B$62,C2429,'[1]Brand Family Territories (Enc)'!$C$2:$C$62,"Morri")&gt;0),"Unk",0))</f>
        <v>1</v>
      </c>
      <c r="E2429" s="2" t="str">
        <f>IFERROR(INDEX('Blackout Brand Fam Areas (Enc)'!$D$6:$D$998,MATCH(UPPER(A2429)&amp;"|"&amp;UPPER(B2429),'Blackout Brand Fam Areas (Enc)'!$G$6:$G$998,0)),"No Match")</f>
        <v>No Match</v>
      </c>
      <c r="F2429" s="2" t="str">
        <f t="shared" si="74"/>
        <v>US</v>
      </c>
      <c r="G2429" s="2" t="str">
        <f t="shared" si="75"/>
        <v>Warwick Gin|MORRIS 1</v>
      </c>
    </row>
    <row r="2430" spans="1:7" x14ac:dyDescent="0.2">
      <c r="A2430" s="2" t="str" cm="1">
        <f t="array" ref="A2430">INDEX('[1]Brand Family Territory (Enc)'!$A$2:$A$296,INT((ROW()-2)/10)+1)</f>
        <v>Warwick Gin</v>
      </c>
      <c r="B2430" s="2" t="str" cm="1">
        <f t="array" ref="B2430">INDEX('Whitelist (Blackout Reverse)'!$B$1:$K$1,MOD(ROW()-2,10)+1)</f>
        <v>MORRIS 2</v>
      </c>
      <c r="C2430" s="2" t="str">
        <f>VLOOKUP(A2430,'[1]Brand Family Territory (Enc)'!$A$2:$B$296,2,FALSE)</f>
        <v>All Counties</v>
      </c>
      <c r="D2430" s="2">
        <f>IF(COUNTIFS('[1]Brand Family Territories (Enc)'!$B$2:$B$62,C2430,'[1]Brand Family Territories (Enc)'!$C$2:$C$62,B2430)&gt;0,1,IF(AND(LEFT(B2430,6)="MORRIS",COUNTIFS('[1]Brand Family Territories (Enc)'!$B$2:$B$62,C2430,'[1]Brand Family Territories (Enc)'!$C$2:$C$62,"Morri")&gt;0),"Unk",0))</f>
        <v>1</v>
      </c>
      <c r="E2430" s="2" t="str">
        <f>IFERROR(INDEX('Blackout Brand Fam Areas (Enc)'!$D$6:$D$998,MATCH(UPPER(A2430)&amp;"|"&amp;UPPER(B2430),'Blackout Brand Fam Areas (Enc)'!$G$6:$G$998,0)),"No Match")</f>
        <v>No Match</v>
      </c>
      <c r="F2430" s="2" t="str">
        <f t="shared" si="74"/>
        <v>US</v>
      </c>
      <c r="G2430" s="2" t="str">
        <f t="shared" si="75"/>
        <v>Warwick Gin|MORRIS 2</v>
      </c>
    </row>
    <row r="2431" spans="1:7" x14ac:dyDescent="0.2">
      <c r="A2431" s="2" t="str" cm="1">
        <f t="array" ref="A2431">INDEX('[1]Brand Family Territory (Enc)'!$A$2:$A$296,INT((ROW()-2)/10)+1)</f>
        <v>Warwick Gin</v>
      </c>
      <c r="B2431" s="2" t="str" cm="1">
        <f t="array" ref="B2431">INDEX('Whitelist (Blackout Reverse)'!$B$1:$K$1,MOD(ROW()-2,10)+1)</f>
        <v>MORRIS 3</v>
      </c>
      <c r="C2431" s="2" t="str">
        <f>VLOOKUP(A2431,'[1]Brand Family Territory (Enc)'!$A$2:$B$296,2,FALSE)</f>
        <v>All Counties</v>
      </c>
      <c r="D2431" s="2">
        <f>IF(COUNTIFS('[1]Brand Family Territories (Enc)'!$B$2:$B$62,C2431,'[1]Brand Family Territories (Enc)'!$C$2:$C$62,B2431)&gt;0,1,IF(AND(LEFT(B2431,6)="MORRIS",COUNTIFS('[1]Brand Family Territories (Enc)'!$B$2:$B$62,C2431,'[1]Brand Family Territories (Enc)'!$C$2:$C$62,"Morri")&gt;0),"Unk",0))</f>
        <v>1</v>
      </c>
      <c r="E2431" s="2" t="str">
        <f>IFERROR(INDEX('Blackout Brand Fam Areas (Enc)'!$D$6:$D$998,MATCH(UPPER(A2431)&amp;"|"&amp;UPPER(B2431),'Blackout Brand Fam Areas (Enc)'!$G$6:$G$998,0)),"No Match")</f>
        <v>No Match</v>
      </c>
      <c r="F2431" s="2" t="str">
        <f t="shared" si="74"/>
        <v>US</v>
      </c>
      <c r="G2431" s="2" t="str">
        <f t="shared" si="75"/>
        <v>Warwick Gin|MORRIS 3</v>
      </c>
    </row>
    <row r="2432" spans="1:7" x14ac:dyDescent="0.2">
      <c r="A2432" s="2" t="str" cm="1">
        <f t="array" ref="A2432">INDEX('[1]Brand Family Territory (Enc)'!$A$2:$A$296,INT((ROW()-2)/10)+1)</f>
        <v>Waterloo Gin</v>
      </c>
      <c r="B2432" s="2" t="str" cm="1">
        <f t="array" ref="B2432">INDEX('Whitelist (Blackout Reverse)'!$B$1:$K$1,MOD(ROW()-2,10)+1)</f>
        <v>BERGEN</v>
      </c>
      <c r="C2432" s="2" t="str">
        <f>VLOOKUP(A2432,'[1]Brand Family Territory (Enc)'!$A$2:$B$296,2,FALSE)</f>
        <v>All Counties</v>
      </c>
      <c r="D2432" s="2">
        <f>IF(COUNTIFS('[1]Brand Family Territories (Enc)'!$B$2:$B$62,C2432,'[1]Brand Family Territories (Enc)'!$C$2:$C$62,B2432)&gt;0,1,IF(AND(LEFT(B2432,6)="MORRIS",COUNTIFS('[1]Brand Family Territories (Enc)'!$B$2:$B$62,C2432,'[1]Brand Family Territories (Enc)'!$C$2:$C$62,"Morri")&gt;0),"Unk",0))</f>
        <v>1</v>
      </c>
      <c r="E2432" s="2" t="str">
        <f>IFERROR(INDEX('Blackout Brand Fam Areas (Enc)'!$D$6:$D$998,MATCH(UPPER(A2432)&amp;"|"&amp;UPPER(B2432),'Blackout Brand Fam Areas (Enc)'!$G$6:$G$998,0)),"No Match")</f>
        <v>No Match</v>
      </c>
      <c r="F2432" s="2" t="str">
        <f t="shared" si="74"/>
        <v>US</v>
      </c>
      <c r="G2432" s="2" t="str">
        <f t="shared" si="75"/>
        <v>Waterloo Gin|BERGEN</v>
      </c>
    </row>
    <row r="2433" spans="1:7" x14ac:dyDescent="0.2">
      <c r="A2433" s="2" t="str" cm="1">
        <f t="array" ref="A2433">INDEX('[1]Brand Family Territory (Enc)'!$A$2:$A$296,INT((ROW()-2)/10)+1)</f>
        <v>Waterloo Gin</v>
      </c>
      <c r="B2433" s="2" t="str" cm="1">
        <f t="array" ref="B2433">INDEX('Whitelist (Blackout Reverse)'!$B$1:$K$1,MOD(ROW()-2,10)+1)</f>
        <v>PASSAIC</v>
      </c>
      <c r="C2433" s="2" t="str">
        <f>VLOOKUP(A2433,'[1]Brand Family Territory (Enc)'!$A$2:$B$296,2,FALSE)</f>
        <v>All Counties</v>
      </c>
      <c r="D2433" s="2">
        <f>IF(COUNTIFS('[1]Brand Family Territories (Enc)'!$B$2:$B$62,C2433,'[1]Brand Family Territories (Enc)'!$C$2:$C$62,B2433)&gt;0,1,IF(AND(LEFT(B2433,6)="MORRIS",COUNTIFS('[1]Brand Family Territories (Enc)'!$B$2:$B$62,C2433,'[1]Brand Family Territories (Enc)'!$C$2:$C$62,"Morri")&gt;0),"Unk",0))</f>
        <v>1</v>
      </c>
      <c r="E2433" s="2" t="str">
        <f>IFERROR(INDEX('Blackout Brand Fam Areas (Enc)'!$D$6:$D$998,MATCH(UPPER(A2433)&amp;"|"&amp;UPPER(B2433),'Blackout Brand Fam Areas (Enc)'!$G$6:$G$998,0)),"No Match")</f>
        <v>No Match</v>
      </c>
      <c r="F2433" s="2" t="str">
        <f t="shared" si="74"/>
        <v>US</v>
      </c>
      <c r="G2433" s="2" t="str">
        <f t="shared" si="75"/>
        <v>Waterloo Gin|PASSAIC</v>
      </c>
    </row>
    <row r="2434" spans="1:7" x14ac:dyDescent="0.2">
      <c r="A2434" s="2" t="str" cm="1">
        <f t="array" ref="A2434">INDEX('[1]Brand Family Territory (Enc)'!$A$2:$A$296,INT((ROW()-2)/10)+1)</f>
        <v>Waterloo Gin</v>
      </c>
      <c r="B2434" s="2" t="str" cm="1">
        <f t="array" ref="B2434">INDEX('Whitelist (Blackout Reverse)'!$B$1:$K$1,MOD(ROW()-2,10)+1)</f>
        <v>PASSAIC-FF</v>
      </c>
      <c r="C2434" s="2" t="str">
        <f>VLOOKUP(A2434,'[1]Brand Family Territory (Enc)'!$A$2:$B$296,2,FALSE)</f>
        <v>All Counties</v>
      </c>
      <c r="D2434" s="2">
        <f>IF(COUNTIFS('[1]Brand Family Territories (Enc)'!$B$2:$B$62,C2434,'[1]Brand Family Territories (Enc)'!$C$2:$C$62,B2434)&gt;0,1,IF(AND(LEFT(B2434,6)="MORRIS",COUNTIFS('[1]Brand Family Territories (Enc)'!$B$2:$B$62,C2434,'[1]Brand Family Territories (Enc)'!$C$2:$C$62,"Morri")&gt;0),"Unk",0))</f>
        <v>1</v>
      </c>
      <c r="E2434" s="2" t="str">
        <f>IFERROR(INDEX('Blackout Brand Fam Areas (Enc)'!$D$6:$D$998,MATCH(UPPER(A2434)&amp;"|"&amp;UPPER(B2434),'Blackout Brand Fam Areas (Enc)'!$G$6:$G$998,0)),"No Match")</f>
        <v>No Match</v>
      </c>
      <c r="F2434" s="2" t="str">
        <f t="shared" si="74"/>
        <v>US</v>
      </c>
      <c r="G2434" s="2" t="str">
        <f t="shared" si="75"/>
        <v>Waterloo Gin|PASSAIC-FF</v>
      </c>
    </row>
    <row r="2435" spans="1:7" x14ac:dyDescent="0.2">
      <c r="A2435" s="2" t="str" cm="1">
        <f t="array" ref="A2435">INDEX('[1]Brand Family Territory (Enc)'!$A$2:$A$296,INT((ROW()-2)/10)+1)</f>
        <v>Waterloo Gin</v>
      </c>
      <c r="B2435" s="2" t="str" cm="1">
        <f t="array" ref="B2435">INDEX('Whitelist (Blackout Reverse)'!$B$1:$K$1,MOD(ROW()-2,10)+1)</f>
        <v>ESSEX</v>
      </c>
      <c r="C2435" s="2" t="str">
        <f>VLOOKUP(A2435,'[1]Brand Family Territory (Enc)'!$A$2:$B$296,2,FALSE)</f>
        <v>All Counties</v>
      </c>
      <c r="D2435" s="2">
        <f>IF(COUNTIFS('[1]Brand Family Territories (Enc)'!$B$2:$B$62,C2435,'[1]Brand Family Territories (Enc)'!$C$2:$C$62,B2435)&gt;0,1,IF(AND(LEFT(B2435,6)="MORRIS",COUNTIFS('[1]Brand Family Territories (Enc)'!$B$2:$B$62,C2435,'[1]Brand Family Territories (Enc)'!$C$2:$C$62,"Morri")&gt;0),"Unk",0))</f>
        <v>1</v>
      </c>
      <c r="E2435" s="2" t="str">
        <f>IFERROR(INDEX('Blackout Brand Fam Areas (Enc)'!$D$6:$D$998,MATCH(UPPER(A2435)&amp;"|"&amp;UPPER(B2435),'Blackout Brand Fam Areas (Enc)'!$G$6:$G$998,0)),"No Match")</f>
        <v>No Match</v>
      </c>
      <c r="F2435" s="2" t="str">
        <f t="shared" ref="F2435:F2498" si="76">IF(D2435="Unk","Ambiguous (Source Truncated)",IF(E2435="Inactive","THEM",IF(D2435=1,"US",IF(D2435="N/A","No Territory Data","THEM"))))</f>
        <v>US</v>
      </c>
      <c r="G2435" s="2" t="str">
        <f t="shared" ref="G2435:G2498" si="77">A2435&amp;"|"&amp;B2435</f>
        <v>Waterloo Gin|ESSEX</v>
      </c>
    </row>
    <row r="2436" spans="1:7" x14ac:dyDescent="0.2">
      <c r="A2436" s="2" t="str" cm="1">
        <f t="array" ref="A2436">INDEX('[1]Brand Family Territory (Enc)'!$A$2:$A$296,INT((ROW()-2)/10)+1)</f>
        <v>Waterloo Gin</v>
      </c>
      <c r="B2436" s="2" t="str" cm="1">
        <f t="array" ref="B2436">INDEX('Whitelist (Blackout Reverse)'!$B$1:$K$1,MOD(ROW()-2,10)+1)</f>
        <v>HUDSON</v>
      </c>
      <c r="C2436" s="2" t="str">
        <f>VLOOKUP(A2436,'[1]Brand Family Territory (Enc)'!$A$2:$B$296,2,FALSE)</f>
        <v>All Counties</v>
      </c>
      <c r="D2436" s="2">
        <f>IF(COUNTIFS('[1]Brand Family Territories (Enc)'!$B$2:$B$62,C2436,'[1]Brand Family Territories (Enc)'!$C$2:$C$62,B2436)&gt;0,1,IF(AND(LEFT(B2436,6)="MORRIS",COUNTIFS('[1]Brand Family Territories (Enc)'!$B$2:$B$62,C2436,'[1]Brand Family Territories (Enc)'!$C$2:$C$62,"Morri")&gt;0),"Unk",0))</f>
        <v>1</v>
      </c>
      <c r="E2436" s="2" t="str">
        <f>IFERROR(INDEX('Blackout Brand Fam Areas (Enc)'!$D$6:$D$998,MATCH(UPPER(A2436)&amp;"|"&amp;UPPER(B2436),'Blackout Brand Fam Areas (Enc)'!$G$6:$G$998,0)),"No Match")</f>
        <v>No Match</v>
      </c>
      <c r="F2436" s="2" t="str">
        <f t="shared" si="76"/>
        <v>US</v>
      </c>
      <c r="G2436" s="2" t="str">
        <f t="shared" si="77"/>
        <v>Waterloo Gin|HUDSON</v>
      </c>
    </row>
    <row r="2437" spans="1:7" x14ac:dyDescent="0.2">
      <c r="A2437" s="2" t="str" cm="1">
        <f t="array" ref="A2437">INDEX('[1]Brand Family Territory (Enc)'!$A$2:$A$296,INT((ROW()-2)/10)+1)</f>
        <v>Waterloo Gin</v>
      </c>
      <c r="B2437" s="2" t="str" cm="1">
        <f t="array" ref="B2437">INDEX('Whitelist (Blackout Reverse)'!$B$1:$K$1,MOD(ROW()-2,10)+1)</f>
        <v>UNION</v>
      </c>
      <c r="C2437" s="2" t="str">
        <f>VLOOKUP(A2437,'[1]Brand Family Territory (Enc)'!$A$2:$B$296,2,FALSE)</f>
        <v>All Counties</v>
      </c>
      <c r="D2437" s="2">
        <f>IF(COUNTIFS('[1]Brand Family Territories (Enc)'!$B$2:$B$62,C2437,'[1]Brand Family Territories (Enc)'!$C$2:$C$62,B2437)&gt;0,1,IF(AND(LEFT(B2437,6)="MORRIS",COUNTIFS('[1]Brand Family Territories (Enc)'!$B$2:$B$62,C2437,'[1]Brand Family Territories (Enc)'!$C$2:$C$62,"Morri")&gt;0),"Unk",0))</f>
        <v>1</v>
      </c>
      <c r="E2437" s="2" t="str">
        <f>IFERROR(INDEX('Blackout Brand Fam Areas (Enc)'!$D$6:$D$998,MATCH(UPPER(A2437)&amp;"|"&amp;UPPER(B2437),'Blackout Brand Fam Areas (Enc)'!$G$6:$G$998,0)),"No Match")</f>
        <v>No Match</v>
      </c>
      <c r="F2437" s="2" t="str">
        <f t="shared" si="76"/>
        <v>US</v>
      </c>
      <c r="G2437" s="2" t="str">
        <f t="shared" si="77"/>
        <v>Waterloo Gin|UNION</v>
      </c>
    </row>
    <row r="2438" spans="1:7" x14ac:dyDescent="0.2">
      <c r="A2438" s="2" t="str" cm="1">
        <f t="array" ref="A2438">INDEX('[1]Brand Family Territory (Enc)'!$A$2:$A$296,INT((ROW()-2)/10)+1)</f>
        <v>Waterloo Gin</v>
      </c>
      <c r="B2438" s="2" t="str" cm="1">
        <f t="array" ref="B2438">INDEX('Whitelist (Blackout Reverse)'!$B$1:$K$1,MOD(ROW()-2,10)+1)</f>
        <v>SUSSEX</v>
      </c>
      <c r="C2438" s="2" t="str">
        <f>VLOOKUP(A2438,'[1]Brand Family Territory (Enc)'!$A$2:$B$296,2,FALSE)</f>
        <v>All Counties</v>
      </c>
      <c r="D2438" s="2">
        <f>IF(COUNTIFS('[1]Brand Family Territories (Enc)'!$B$2:$B$62,C2438,'[1]Brand Family Territories (Enc)'!$C$2:$C$62,B2438)&gt;0,1,IF(AND(LEFT(B2438,6)="MORRIS",COUNTIFS('[1]Brand Family Territories (Enc)'!$B$2:$B$62,C2438,'[1]Brand Family Territories (Enc)'!$C$2:$C$62,"Morri")&gt;0),"Unk",0))</f>
        <v>1</v>
      </c>
      <c r="E2438" s="2" t="str">
        <f>IFERROR(INDEX('Blackout Brand Fam Areas (Enc)'!$D$6:$D$998,MATCH(UPPER(A2438)&amp;"|"&amp;UPPER(B2438),'Blackout Brand Fam Areas (Enc)'!$G$6:$G$998,0)),"No Match")</f>
        <v>No Match</v>
      </c>
      <c r="F2438" s="2" t="str">
        <f t="shared" si="76"/>
        <v>US</v>
      </c>
      <c r="G2438" s="2" t="str">
        <f t="shared" si="77"/>
        <v>Waterloo Gin|SUSSEX</v>
      </c>
    </row>
    <row r="2439" spans="1:7" x14ac:dyDescent="0.2">
      <c r="A2439" s="2" t="str" cm="1">
        <f t="array" ref="A2439">INDEX('[1]Brand Family Territory (Enc)'!$A$2:$A$296,INT((ROW()-2)/10)+1)</f>
        <v>Waterloo Gin</v>
      </c>
      <c r="B2439" s="2" t="str" cm="1">
        <f t="array" ref="B2439">INDEX('Whitelist (Blackout Reverse)'!$B$1:$K$1,MOD(ROW()-2,10)+1)</f>
        <v>MORRIS 1</v>
      </c>
      <c r="C2439" s="2" t="str">
        <f>VLOOKUP(A2439,'[1]Brand Family Territory (Enc)'!$A$2:$B$296,2,FALSE)</f>
        <v>All Counties</v>
      </c>
      <c r="D2439" s="2">
        <f>IF(COUNTIFS('[1]Brand Family Territories (Enc)'!$B$2:$B$62,C2439,'[1]Brand Family Territories (Enc)'!$C$2:$C$62,B2439)&gt;0,1,IF(AND(LEFT(B2439,6)="MORRIS",COUNTIFS('[1]Brand Family Territories (Enc)'!$B$2:$B$62,C2439,'[1]Brand Family Territories (Enc)'!$C$2:$C$62,"Morri")&gt;0),"Unk",0))</f>
        <v>1</v>
      </c>
      <c r="E2439" s="2" t="str">
        <f>IFERROR(INDEX('Blackout Brand Fam Areas (Enc)'!$D$6:$D$998,MATCH(UPPER(A2439)&amp;"|"&amp;UPPER(B2439),'Blackout Brand Fam Areas (Enc)'!$G$6:$G$998,0)),"No Match")</f>
        <v>No Match</v>
      </c>
      <c r="F2439" s="2" t="str">
        <f t="shared" si="76"/>
        <v>US</v>
      </c>
      <c r="G2439" s="2" t="str">
        <f t="shared" si="77"/>
        <v>Waterloo Gin|MORRIS 1</v>
      </c>
    </row>
    <row r="2440" spans="1:7" x14ac:dyDescent="0.2">
      <c r="A2440" s="2" t="str" cm="1">
        <f t="array" ref="A2440">INDEX('[1]Brand Family Territory (Enc)'!$A$2:$A$296,INT((ROW()-2)/10)+1)</f>
        <v>Waterloo Gin</v>
      </c>
      <c r="B2440" s="2" t="str" cm="1">
        <f t="array" ref="B2440">INDEX('Whitelist (Blackout Reverse)'!$B$1:$K$1,MOD(ROW()-2,10)+1)</f>
        <v>MORRIS 2</v>
      </c>
      <c r="C2440" s="2" t="str">
        <f>VLOOKUP(A2440,'[1]Brand Family Territory (Enc)'!$A$2:$B$296,2,FALSE)</f>
        <v>All Counties</v>
      </c>
      <c r="D2440" s="2">
        <f>IF(COUNTIFS('[1]Brand Family Territories (Enc)'!$B$2:$B$62,C2440,'[1]Brand Family Territories (Enc)'!$C$2:$C$62,B2440)&gt;0,1,IF(AND(LEFT(B2440,6)="MORRIS",COUNTIFS('[1]Brand Family Territories (Enc)'!$B$2:$B$62,C2440,'[1]Brand Family Territories (Enc)'!$C$2:$C$62,"Morri")&gt;0),"Unk",0))</f>
        <v>1</v>
      </c>
      <c r="E2440" s="2" t="str">
        <f>IFERROR(INDEX('Blackout Brand Fam Areas (Enc)'!$D$6:$D$998,MATCH(UPPER(A2440)&amp;"|"&amp;UPPER(B2440),'Blackout Brand Fam Areas (Enc)'!$G$6:$G$998,0)),"No Match")</f>
        <v>No Match</v>
      </c>
      <c r="F2440" s="2" t="str">
        <f t="shared" si="76"/>
        <v>US</v>
      </c>
      <c r="G2440" s="2" t="str">
        <f t="shared" si="77"/>
        <v>Waterloo Gin|MORRIS 2</v>
      </c>
    </row>
    <row r="2441" spans="1:7" x14ac:dyDescent="0.2">
      <c r="A2441" s="2" t="str" cm="1">
        <f t="array" ref="A2441">INDEX('[1]Brand Family Territory (Enc)'!$A$2:$A$296,INT((ROW()-2)/10)+1)</f>
        <v>Waterloo Gin</v>
      </c>
      <c r="B2441" s="2" t="str" cm="1">
        <f t="array" ref="B2441">INDEX('Whitelist (Blackout Reverse)'!$B$1:$K$1,MOD(ROW()-2,10)+1)</f>
        <v>MORRIS 3</v>
      </c>
      <c r="C2441" s="2" t="str">
        <f>VLOOKUP(A2441,'[1]Brand Family Territory (Enc)'!$A$2:$B$296,2,FALSE)</f>
        <v>All Counties</v>
      </c>
      <c r="D2441" s="2">
        <f>IF(COUNTIFS('[1]Brand Family Territories (Enc)'!$B$2:$B$62,C2441,'[1]Brand Family Territories (Enc)'!$C$2:$C$62,B2441)&gt;0,1,IF(AND(LEFT(B2441,6)="MORRIS",COUNTIFS('[1]Brand Family Territories (Enc)'!$B$2:$B$62,C2441,'[1]Brand Family Territories (Enc)'!$C$2:$C$62,"Morri")&gt;0),"Unk",0))</f>
        <v>1</v>
      </c>
      <c r="E2441" s="2" t="str">
        <f>IFERROR(INDEX('Blackout Brand Fam Areas (Enc)'!$D$6:$D$998,MATCH(UPPER(A2441)&amp;"|"&amp;UPPER(B2441),'Blackout Brand Fam Areas (Enc)'!$G$6:$G$998,0)),"No Match")</f>
        <v>No Match</v>
      </c>
      <c r="F2441" s="2" t="str">
        <f t="shared" si="76"/>
        <v>US</v>
      </c>
      <c r="G2441" s="2" t="str">
        <f t="shared" si="77"/>
        <v>Waterloo Gin|MORRIS 3</v>
      </c>
    </row>
    <row r="2442" spans="1:7" x14ac:dyDescent="0.2">
      <c r="A2442" s="2" t="str" cm="1">
        <f t="array" ref="A2442">INDEX('[1]Brand Family Territory (Enc)'!$A$2:$A$296,INT((ROW()-2)/10)+1)</f>
        <v>Woodchuck</v>
      </c>
      <c r="B2442" s="2" t="str" cm="1">
        <f t="array" ref="B2442">INDEX('Whitelist (Blackout Reverse)'!$B$1:$K$1,MOD(ROW()-2,10)+1)</f>
        <v>BERGEN</v>
      </c>
      <c r="C2442" s="2" t="str">
        <f>VLOOKUP(A2442,'[1]Brand Family Territory (Enc)'!$A$2:$B$296,2,FALSE)</f>
        <v>All Counties</v>
      </c>
      <c r="D2442" s="2">
        <f>IF(COUNTIFS('[1]Brand Family Territories (Enc)'!$B$2:$B$62,C2442,'[1]Brand Family Territories (Enc)'!$C$2:$C$62,B2442)&gt;0,1,IF(AND(LEFT(B2442,6)="MORRIS",COUNTIFS('[1]Brand Family Territories (Enc)'!$B$2:$B$62,C2442,'[1]Brand Family Territories (Enc)'!$C$2:$C$62,"Morri")&gt;0),"Unk",0))</f>
        <v>1</v>
      </c>
      <c r="E2442" s="2" t="str">
        <f>IFERROR(INDEX('Blackout Brand Fam Areas (Enc)'!$D$6:$D$998,MATCH(UPPER(A2442)&amp;"|"&amp;UPPER(B2442),'Blackout Brand Fam Areas (Enc)'!$G$6:$G$998,0)),"No Match")</f>
        <v>No Match</v>
      </c>
      <c r="F2442" s="2" t="str">
        <f t="shared" si="76"/>
        <v>US</v>
      </c>
      <c r="G2442" s="2" t="str">
        <f t="shared" si="77"/>
        <v>Woodchuck|BERGEN</v>
      </c>
    </row>
    <row r="2443" spans="1:7" x14ac:dyDescent="0.2">
      <c r="A2443" s="2" t="str" cm="1">
        <f t="array" ref="A2443">INDEX('[1]Brand Family Territory (Enc)'!$A$2:$A$296,INT((ROW()-2)/10)+1)</f>
        <v>Woodchuck</v>
      </c>
      <c r="B2443" s="2" t="str" cm="1">
        <f t="array" ref="B2443">INDEX('Whitelist (Blackout Reverse)'!$B$1:$K$1,MOD(ROW()-2,10)+1)</f>
        <v>PASSAIC</v>
      </c>
      <c r="C2443" s="2" t="str">
        <f>VLOOKUP(A2443,'[1]Brand Family Territory (Enc)'!$A$2:$B$296,2,FALSE)</f>
        <v>All Counties</v>
      </c>
      <c r="D2443" s="2">
        <f>IF(COUNTIFS('[1]Brand Family Territories (Enc)'!$B$2:$B$62,C2443,'[1]Brand Family Territories (Enc)'!$C$2:$C$62,B2443)&gt;0,1,IF(AND(LEFT(B2443,6)="MORRIS",COUNTIFS('[1]Brand Family Territories (Enc)'!$B$2:$B$62,C2443,'[1]Brand Family Territories (Enc)'!$C$2:$C$62,"Morri")&gt;0),"Unk",0))</f>
        <v>1</v>
      </c>
      <c r="E2443" s="2" t="str">
        <f>IFERROR(INDEX('Blackout Brand Fam Areas (Enc)'!$D$6:$D$998,MATCH(UPPER(A2443)&amp;"|"&amp;UPPER(B2443),'Blackout Brand Fam Areas (Enc)'!$G$6:$G$998,0)),"No Match")</f>
        <v>No Match</v>
      </c>
      <c r="F2443" s="2" t="str">
        <f t="shared" si="76"/>
        <v>US</v>
      </c>
      <c r="G2443" s="2" t="str">
        <f t="shared" si="77"/>
        <v>Woodchuck|PASSAIC</v>
      </c>
    </row>
    <row r="2444" spans="1:7" x14ac:dyDescent="0.2">
      <c r="A2444" s="2" t="str" cm="1">
        <f t="array" ref="A2444">INDEX('[1]Brand Family Territory (Enc)'!$A$2:$A$296,INT((ROW()-2)/10)+1)</f>
        <v>Woodchuck</v>
      </c>
      <c r="B2444" s="2" t="str" cm="1">
        <f t="array" ref="B2444">INDEX('Whitelist (Blackout Reverse)'!$B$1:$K$1,MOD(ROW()-2,10)+1)</f>
        <v>PASSAIC-FF</v>
      </c>
      <c r="C2444" s="2" t="str">
        <f>VLOOKUP(A2444,'[1]Brand Family Territory (Enc)'!$A$2:$B$296,2,FALSE)</f>
        <v>All Counties</v>
      </c>
      <c r="D2444" s="2">
        <f>IF(COUNTIFS('[1]Brand Family Territories (Enc)'!$B$2:$B$62,C2444,'[1]Brand Family Territories (Enc)'!$C$2:$C$62,B2444)&gt;0,1,IF(AND(LEFT(B2444,6)="MORRIS",COUNTIFS('[1]Brand Family Territories (Enc)'!$B$2:$B$62,C2444,'[1]Brand Family Territories (Enc)'!$C$2:$C$62,"Morri")&gt;0),"Unk",0))</f>
        <v>1</v>
      </c>
      <c r="E2444" s="2" t="str">
        <f>IFERROR(INDEX('Blackout Brand Fam Areas (Enc)'!$D$6:$D$998,MATCH(UPPER(A2444)&amp;"|"&amp;UPPER(B2444),'Blackout Brand Fam Areas (Enc)'!$G$6:$G$998,0)),"No Match")</f>
        <v>No Match</v>
      </c>
      <c r="F2444" s="2" t="str">
        <f t="shared" si="76"/>
        <v>US</v>
      </c>
      <c r="G2444" s="2" t="str">
        <f t="shared" si="77"/>
        <v>Woodchuck|PASSAIC-FF</v>
      </c>
    </row>
    <row r="2445" spans="1:7" x14ac:dyDescent="0.2">
      <c r="A2445" s="2" t="str" cm="1">
        <f t="array" ref="A2445">INDEX('[1]Brand Family Territory (Enc)'!$A$2:$A$296,INT((ROW()-2)/10)+1)</f>
        <v>Woodchuck</v>
      </c>
      <c r="B2445" s="2" t="str" cm="1">
        <f t="array" ref="B2445">INDEX('Whitelist (Blackout Reverse)'!$B$1:$K$1,MOD(ROW()-2,10)+1)</f>
        <v>ESSEX</v>
      </c>
      <c r="C2445" s="2" t="str">
        <f>VLOOKUP(A2445,'[1]Brand Family Territory (Enc)'!$A$2:$B$296,2,FALSE)</f>
        <v>All Counties</v>
      </c>
      <c r="D2445" s="2">
        <f>IF(COUNTIFS('[1]Brand Family Territories (Enc)'!$B$2:$B$62,C2445,'[1]Brand Family Territories (Enc)'!$C$2:$C$62,B2445)&gt;0,1,IF(AND(LEFT(B2445,6)="MORRIS",COUNTIFS('[1]Brand Family Territories (Enc)'!$B$2:$B$62,C2445,'[1]Brand Family Territories (Enc)'!$C$2:$C$62,"Morri")&gt;0),"Unk",0))</f>
        <v>1</v>
      </c>
      <c r="E2445" s="2" t="str">
        <f>IFERROR(INDEX('Blackout Brand Fam Areas (Enc)'!$D$6:$D$998,MATCH(UPPER(A2445)&amp;"|"&amp;UPPER(B2445),'Blackout Brand Fam Areas (Enc)'!$G$6:$G$998,0)),"No Match")</f>
        <v>No Match</v>
      </c>
      <c r="F2445" s="2" t="str">
        <f t="shared" si="76"/>
        <v>US</v>
      </c>
      <c r="G2445" s="2" t="str">
        <f t="shared" si="77"/>
        <v>Woodchuck|ESSEX</v>
      </c>
    </row>
    <row r="2446" spans="1:7" x14ac:dyDescent="0.2">
      <c r="A2446" s="2" t="str" cm="1">
        <f t="array" ref="A2446">INDEX('[1]Brand Family Territory (Enc)'!$A$2:$A$296,INT((ROW()-2)/10)+1)</f>
        <v>Woodchuck</v>
      </c>
      <c r="B2446" s="2" t="str" cm="1">
        <f t="array" ref="B2446">INDEX('Whitelist (Blackout Reverse)'!$B$1:$K$1,MOD(ROW()-2,10)+1)</f>
        <v>HUDSON</v>
      </c>
      <c r="C2446" s="2" t="str">
        <f>VLOOKUP(A2446,'[1]Brand Family Territory (Enc)'!$A$2:$B$296,2,FALSE)</f>
        <v>All Counties</v>
      </c>
      <c r="D2446" s="2">
        <f>IF(COUNTIFS('[1]Brand Family Territories (Enc)'!$B$2:$B$62,C2446,'[1]Brand Family Territories (Enc)'!$C$2:$C$62,B2446)&gt;0,1,IF(AND(LEFT(B2446,6)="MORRIS",COUNTIFS('[1]Brand Family Territories (Enc)'!$B$2:$B$62,C2446,'[1]Brand Family Territories (Enc)'!$C$2:$C$62,"Morri")&gt;0),"Unk",0))</f>
        <v>1</v>
      </c>
      <c r="E2446" s="2" t="str">
        <f>IFERROR(INDEX('Blackout Brand Fam Areas (Enc)'!$D$6:$D$998,MATCH(UPPER(A2446)&amp;"|"&amp;UPPER(B2446),'Blackout Brand Fam Areas (Enc)'!$G$6:$G$998,0)),"No Match")</f>
        <v>No Match</v>
      </c>
      <c r="F2446" s="2" t="str">
        <f t="shared" si="76"/>
        <v>US</v>
      </c>
      <c r="G2446" s="2" t="str">
        <f t="shared" si="77"/>
        <v>Woodchuck|HUDSON</v>
      </c>
    </row>
    <row r="2447" spans="1:7" x14ac:dyDescent="0.2">
      <c r="A2447" s="2" t="str" cm="1">
        <f t="array" ref="A2447">INDEX('[1]Brand Family Territory (Enc)'!$A$2:$A$296,INT((ROW()-2)/10)+1)</f>
        <v>Woodchuck</v>
      </c>
      <c r="B2447" s="2" t="str" cm="1">
        <f t="array" ref="B2447">INDEX('Whitelist (Blackout Reverse)'!$B$1:$K$1,MOD(ROW()-2,10)+1)</f>
        <v>UNION</v>
      </c>
      <c r="C2447" s="2" t="str">
        <f>VLOOKUP(A2447,'[1]Brand Family Territory (Enc)'!$A$2:$B$296,2,FALSE)</f>
        <v>All Counties</v>
      </c>
      <c r="D2447" s="2">
        <f>IF(COUNTIFS('[1]Brand Family Territories (Enc)'!$B$2:$B$62,C2447,'[1]Brand Family Territories (Enc)'!$C$2:$C$62,B2447)&gt;0,1,IF(AND(LEFT(B2447,6)="MORRIS",COUNTIFS('[1]Brand Family Territories (Enc)'!$B$2:$B$62,C2447,'[1]Brand Family Territories (Enc)'!$C$2:$C$62,"Morri")&gt;0),"Unk",0))</f>
        <v>1</v>
      </c>
      <c r="E2447" s="2" t="str">
        <f>IFERROR(INDEX('Blackout Brand Fam Areas (Enc)'!$D$6:$D$998,MATCH(UPPER(A2447)&amp;"|"&amp;UPPER(B2447),'Blackout Brand Fam Areas (Enc)'!$G$6:$G$998,0)),"No Match")</f>
        <v>No Match</v>
      </c>
      <c r="F2447" s="2" t="str">
        <f t="shared" si="76"/>
        <v>US</v>
      </c>
      <c r="G2447" s="2" t="str">
        <f t="shared" si="77"/>
        <v>Woodchuck|UNION</v>
      </c>
    </row>
    <row r="2448" spans="1:7" x14ac:dyDescent="0.2">
      <c r="A2448" s="2" t="str" cm="1">
        <f t="array" ref="A2448">INDEX('[1]Brand Family Territory (Enc)'!$A$2:$A$296,INT((ROW()-2)/10)+1)</f>
        <v>Woodchuck</v>
      </c>
      <c r="B2448" s="2" t="str" cm="1">
        <f t="array" ref="B2448">INDEX('Whitelist (Blackout Reverse)'!$B$1:$K$1,MOD(ROW()-2,10)+1)</f>
        <v>SUSSEX</v>
      </c>
      <c r="C2448" s="2" t="str">
        <f>VLOOKUP(A2448,'[1]Brand Family Territory (Enc)'!$A$2:$B$296,2,FALSE)</f>
        <v>All Counties</v>
      </c>
      <c r="D2448" s="2">
        <f>IF(COUNTIFS('[1]Brand Family Territories (Enc)'!$B$2:$B$62,C2448,'[1]Brand Family Territories (Enc)'!$C$2:$C$62,B2448)&gt;0,1,IF(AND(LEFT(B2448,6)="MORRIS",COUNTIFS('[1]Brand Family Territories (Enc)'!$B$2:$B$62,C2448,'[1]Brand Family Territories (Enc)'!$C$2:$C$62,"Morri")&gt;0),"Unk",0))</f>
        <v>1</v>
      </c>
      <c r="E2448" s="2" t="str">
        <f>IFERROR(INDEX('Blackout Brand Fam Areas (Enc)'!$D$6:$D$998,MATCH(UPPER(A2448)&amp;"|"&amp;UPPER(B2448),'Blackout Brand Fam Areas (Enc)'!$G$6:$G$998,0)),"No Match")</f>
        <v>No Match</v>
      </c>
      <c r="F2448" s="2" t="str">
        <f t="shared" si="76"/>
        <v>US</v>
      </c>
      <c r="G2448" s="2" t="str">
        <f t="shared" si="77"/>
        <v>Woodchuck|SUSSEX</v>
      </c>
    </row>
    <row r="2449" spans="1:7" x14ac:dyDescent="0.2">
      <c r="A2449" s="2" t="str" cm="1">
        <f t="array" ref="A2449">INDEX('[1]Brand Family Territory (Enc)'!$A$2:$A$296,INT((ROW()-2)/10)+1)</f>
        <v>Woodchuck</v>
      </c>
      <c r="B2449" s="2" t="str" cm="1">
        <f t="array" ref="B2449">INDEX('Whitelist (Blackout Reverse)'!$B$1:$K$1,MOD(ROW()-2,10)+1)</f>
        <v>MORRIS 1</v>
      </c>
      <c r="C2449" s="2" t="str">
        <f>VLOOKUP(A2449,'[1]Brand Family Territory (Enc)'!$A$2:$B$296,2,FALSE)</f>
        <v>All Counties</v>
      </c>
      <c r="D2449" s="2">
        <f>IF(COUNTIFS('[1]Brand Family Territories (Enc)'!$B$2:$B$62,C2449,'[1]Brand Family Territories (Enc)'!$C$2:$C$62,B2449)&gt;0,1,IF(AND(LEFT(B2449,6)="MORRIS",COUNTIFS('[1]Brand Family Territories (Enc)'!$B$2:$B$62,C2449,'[1]Brand Family Territories (Enc)'!$C$2:$C$62,"Morri")&gt;0),"Unk",0))</f>
        <v>1</v>
      </c>
      <c r="E2449" s="2" t="str">
        <f>IFERROR(INDEX('Blackout Brand Fam Areas (Enc)'!$D$6:$D$998,MATCH(UPPER(A2449)&amp;"|"&amp;UPPER(B2449),'Blackout Brand Fam Areas (Enc)'!$G$6:$G$998,0)),"No Match")</f>
        <v>No Match</v>
      </c>
      <c r="F2449" s="2" t="str">
        <f t="shared" si="76"/>
        <v>US</v>
      </c>
      <c r="G2449" s="2" t="str">
        <f t="shared" si="77"/>
        <v>Woodchuck|MORRIS 1</v>
      </c>
    </row>
    <row r="2450" spans="1:7" x14ac:dyDescent="0.2">
      <c r="A2450" s="2" t="str" cm="1">
        <f t="array" ref="A2450">INDEX('[1]Brand Family Territory (Enc)'!$A$2:$A$296,INT((ROW()-2)/10)+1)</f>
        <v>Woodchuck</v>
      </c>
      <c r="B2450" s="2" t="str" cm="1">
        <f t="array" ref="B2450">INDEX('Whitelist (Blackout Reverse)'!$B$1:$K$1,MOD(ROW()-2,10)+1)</f>
        <v>MORRIS 2</v>
      </c>
      <c r="C2450" s="2" t="str">
        <f>VLOOKUP(A2450,'[1]Brand Family Territory (Enc)'!$A$2:$B$296,2,FALSE)</f>
        <v>All Counties</v>
      </c>
      <c r="D2450" s="2">
        <f>IF(COUNTIFS('[1]Brand Family Territories (Enc)'!$B$2:$B$62,C2450,'[1]Brand Family Territories (Enc)'!$C$2:$C$62,B2450)&gt;0,1,IF(AND(LEFT(B2450,6)="MORRIS",COUNTIFS('[1]Brand Family Territories (Enc)'!$B$2:$B$62,C2450,'[1]Brand Family Territories (Enc)'!$C$2:$C$62,"Morri")&gt;0),"Unk",0))</f>
        <v>1</v>
      </c>
      <c r="E2450" s="2" t="str">
        <f>IFERROR(INDEX('Blackout Brand Fam Areas (Enc)'!$D$6:$D$998,MATCH(UPPER(A2450)&amp;"|"&amp;UPPER(B2450),'Blackout Brand Fam Areas (Enc)'!$G$6:$G$998,0)),"No Match")</f>
        <v>No Match</v>
      </c>
      <c r="F2450" s="2" t="str">
        <f t="shared" si="76"/>
        <v>US</v>
      </c>
      <c r="G2450" s="2" t="str">
        <f t="shared" si="77"/>
        <v>Woodchuck|MORRIS 2</v>
      </c>
    </row>
    <row r="2451" spans="1:7" x14ac:dyDescent="0.2">
      <c r="A2451" s="2" t="str" cm="1">
        <f t="array" ref="A2451">INDEX('[1]Brand Family Territory (Enc)'!$A$2:$A$296,INT((ROW()-2)/10)+1)</f>
        <v>Woodchuck</v>
      </c>
      <c r="B2451" s="2" t="str" cm="1">
        <f t="array" ref="B2451">INDEX('Whitelist (Blackout Reverse)'!$B$1:$K$1,MOD(ROW()-2,10)+1)</f>
        <v>MORRIS 3</v>
      </c>
      <c r="C2451" s="2" t="str">
        <f>VLOOKUP(A2451,'[1]Brand Family Territory (Enc)'!$A$2:$B$296,2,FALSE)</f>
        <v>All Counties</v>
      </c>
      <c r="D2451" s="2">
        <f>IF(COUNTIFS('[1]Brand Family Territories (Enc)'!$B$2:$B$62,C2451,'[1]Brand Family Territories (Enc)'!$C$2:$C$62,B2451)&gt;0,1,IF(AND(LEFT(B2451,6)="MORRIS",COUNTIFS('[1]Brand Family Territories (Enc)'!$B$2:$B$62,C2451,'[1]Brand Family Territories (Enc)'!$C$2:$C$62,"Morri")&gt;0),"Unk",0))</f>
        <v>1</v>
      </c>
      <c r="E2451" s="2" t="str">
        <f>IFERROR(INDEX('Blackout Brand Fam Areas (Enc)'!$D$6:$D$998,MATCH(UPPER(A2451)&amp;"|"&amp;UPPER(B2451),'Blackout Brand Fam Areas (Enc)'!$G$6:$G$998,0)),"No Match")</f>
        <v>No Match</v>
      </c>
      <c r="F2451" s="2" t="str">
        <f t="shared" si="76"/>
        <v>US</v>
      </c>
      <c r="G2451" s="2" t="str">
        <f t="shared" si="77"/>
        <v>Woodchuck|MORRIS 3</v>
      </c>
    </row>
    <row r="2452" spans="1:7" x14ac:dyDescent="0.2">
      <c r="A2452" s="2" t="str" cm="1">
        <f t="array" ref="A2452">INDEX('[1]Brand Family Territory (Enc)'!$A$2:$A$296,INT((ROW()-2)/10)+1)</f>
        <v>Cerveza Republica LA Tuya</v>
      </c>
      <c r="B2452" s="2" t="str" cm="1">
        <f t="array" ref="B2452">INDEX('Whitelist (Blackout Reverse)'!$B$1:$K$1,MOD(ROW()-2,10)+1)</f>
        <v>BERGEN</v>
      </c>
      <c r="C2452" s="2" t="str">
        <f>VLOOKUP(A2452,'[1]Brand Family Territory (Enc)'!$A$2:$B$296,2,FALSE)</f>
        <v>All Counties + Middlesex</v>
      </c>
      <c r="D2452" s="2">
        <f>IF(COUNTIFS('[1]Brand Family Territories (Enc)'!$B$2:$B$62,C2452,'[1]Brand Family Territories (Enc)'!$C$2:$C$62,B2452)&gt;0,1,IF(AND(LEFT(B2452,6)="MORRIS",COUNTIFS('[1]Brand Family Territories (Enc)'!$B$2:$B$62,C2452,'[1]Brand Family Territories (Enc)'!$C$2:$C$62,"Morri")&gt;0),"Unk",0))</f>
        <v>1</v>
      </c>
      <c r="E2452" s="2" t="str">
        <f>IFERROR(INDEX('Blackout Brand Fam Areas (Enc)'!$D$6:$D$998,MATCH(UPPER(A2452)&amp;"|"&amp;UPPER(B2452),'Blackout Brand Fam Areas (Enc)'!$G$6:$G$998,0)),"No Match")</f>
        <v>No Match</v>
      </c>
      <c r="F2452" s="2" t="str">
        <f t="shared" si="76"/>
        <v>US</v>
      </c>
      <c r="G2452" s="2" t="str">
        <f t="shared" si="77"/>
        <v>Cerveza Republica LA Tuya|BERGEN</v>
      </c>
    </row>
    <row r="2453" spans="1:7" x14ac:dyDescent="0.2">
      <c r="A2453" s="2" t="str" cm="1">
        <f t="array" ref="A2453">INDEX('[1]Brand Family Territory (Enc)'!$A$2:$A$296,INT((ROW()-2)/10)+1)</f>
        <v>Cerveza Republica LA Tuya</v>
      </c>
      <c r="B2453" s="2" t="str" cm="1">
        <f t="array" ref="B2453">INDEX('Whitelist (Blackout Reverse)'!$B$1:$K$1,MOD(ROW()-2,10)+1)</f>
        <v>PASSAIC</v>
      </c>
      <c r="C2453" s="2" t="str">
        <f>VLOOKUP(A2453,'[1]Brand Family Territory (Enc)'!$A$2:$B$296,2,FALSE)</f>
        <v>All Counties + Middlesex</v>
      </c>
      <c r="D2453" s="2">
        <f>IF(COUNTIFS('[1]Brand Family Territories (Enc)'!$B$2:$B$62,C2453,'[1]Brand Family Territories (Enc)'!$C$2:$C$62,B2453)&gt;0,1,IF(AND(LEFT(B2453,6)="MORRIS",COUNTIFS('[1]Brand Family Territories (Enc)'!$B$2:$B$62,C2453,'[1]Brand Family Territories (Enc)'!$C$2:$C$62,"Morri")&gt;0),"Unk",0))</f>
        <v>1</v>
      </c>
      <c r="E2453" s="2" t="str">
        <f>IFERROR(INDEX('Blackout Brand Fam Areas (Enc)'!$D$6:$D$998,MATCH(UPPER(A2453)&amp;"|"&amp;UPPER(B2453),'Blackout Brand Fam Areas (Enc)'!$G$6:$G$998,0)),"No Match")</f>
        <v>No Match</v>
      </c>
      <c r="F2453" s="2" t="str">
        <f t="shared" si="76"/>
        <v>US</v>
      </c>
      <c r="G2453" s="2" t="str">
        <f t="shared" si="77"/>
        <v>Cerveza Republica LA Tuya|PASSAIC</v>
      </c>
    </row>
    <row r="2454" spans="1:7" x14ac:dyDescent="0.2">
      <c r="A2454" s="2" t="str" cm="1">
        <f t="array" ref="A2454">INDEX('[1]Brand Family Territory (Enc)'!$A$2:$A$296,INT((ROW()-2)/10)+1)</f>
        <v>Cerveza Republica LA Tuya</v>
      </c>
      <c r="B2454" s="2" t="str" cm="1">
        <f t="array" ref="B2454">INDEX('Whitelist (Blackout Reverse)'!$B$1:$K$1,MOD(ROW()-2,10)+1)</f>
        <v>PASSAIC-FF</v>
      </c>
      <c r="C2454" s="2" t="str">
        <f>VLOOKUP(A2454,'[1]Brand Family Territory (Enc)'!$A$2:$B$296,2,FALSE)</f>
        <v>All Counties + Middlesex</v>
      </c>
      <c r="D2454" s="2">
        <f>IF(COUNTIFS('[1]Brand Family Territories (Enc)'!$B$2:$B$62,C2454,'[1]Brand Family Territories (Enc)'!$C$2:$C$62,B2454)&gt;0,1,IF(AND(LEFT(B2454,6)="MORRIS",COUNTIFS('[1]Brand Family Territories (Enc)'!$B$2:$B$62,C2454,'[1]Brand Family Territories (Enc)'!$C$2:$C$62,"Morri")&gt;0),"Unk",0))</f>
        <v>1</v>
      </c>
      <c r="E2454" s="2" t="str">
        <f>IFERROR(INDEX('Blackout Brand Fam Areas (Enc)'!$D$6:$D$998,MATCH(UPPER(A2454)&amp;"|"&amp;UPPER(B2454),'Blackout Brand Fam Areas (Enc)'!$G$6:$G$998,0)),"No Match")</f>
        <v>No Match</v>
      </c>
      <c r="F2454" s="2" t="str">
        <f t="shared" si="76"/>
        <v>US</v>
      </c>
      <c r="G2454" s="2" t="str">
        <f t="shared" si="77"/>
        <v>Cerveza Republica LA Tuya|PASSAIC-FF</v>
      </c>
    </row>
    <row r="2455" spans="1:7" x14ac:dyDescent="0.2">
      <c r="A2455" s="2" t="str" cm="1">
        <f t="array" ref="A2455">INDEX('[1]Brand Family Territory (Enc)'!$A$2:$A$296,INT((ROW()-2)/10)+1)</f>
        <v>Cerveza Republica LA Tuya</v>
      </c>
      <c r="B2455" s="2" t="str" cm="1">
        <f t="array" ref="B2455">INDEX('Whitelist (Blackout Reverse)'!$B$1:$K$1,MOD(ROW()-2,10)+1)</f>
        <v>ESSEX</v>
      </c>
      <c r="C2455" s="2" t="str">
        <f>VLOOKUP(A2455,'[1]Brand Family Territory (Enc)'!$A$2:$B$296,2,FALSE)</f>
        <v>All Counties + Middlesex</v>
      </c>
      <c r="D2455" s="2">
        <f>IF(COUNTIFS('[1]Brand Family Territories (Enc)'!$B$2:$B$62,C2455,'[1]Brand Family Territories (Enc)'!$C$2:$C$62,B2455)&gt;0,1,IF(AND(LEFT(B2455,6)="MORRIS",COUNTIFS('[1]Brand Family Territories (Enc)'!$B$2:$B$62,C2455,'[1]Brand Family Territories (Enc)'!$C$2:$C$62,"Morri")&gt;0),"Unk",0))</f>
        <v>1</v>
      </c>
      <c r="E2455" s="2" t="str">
        <f>IFERROR(INDEX('Blackout Brand Fam Areas (Enc)'!$D$6:$D$998,MATCH(UPPER(A2455)&amp;"|"&amp;UPPER(B2455),'Blackout Brand Fam Areas (Enc)'!$G$6:$G$998,0)),"No Match")</f>
        <v>No Match</v>
      </c>
      <c r="F2455" s="2" t="str">
        <f t="shared" si="76"/>
        <v>US</v>
      </c>
      <c r="G2455" s="2" t="str">
        <f t="shared" si="77"/>
        <v>Cerveza Republica LA Tuya|ESSEX</v>
      </c>
    </row>
    <row r="2456" spans="1:7" x14ac:dyDescent="0.2">
      <c r="A2456" s="2" t="str" cm="1">
        <f t="array" ref="A2456">INDEX('[1]Brand Family Territory (Enc)'!$A$2:$A$296,INT((ROW()-2)/10)+1)</f>
        <v>Cerveza Republica LA Tuya</v>
      </c>
      <c r="B2456" s="2" t="str" cm="1">
        <f t="array" ref="B2456">INDEX('Whitelist (Blackout Reverse)'!$B$1:$K$1,MOD(ROW()-2,10)+1)</f>
        <v>HUDSON</v>
      </c>
      <c r="C2456" s="2" t="str">
        <f>VLOOKUP(A2456,'[1]Brand Family Territory (Enc)'!$A$2:$B$296,2,FALSE)</f>
        <v>All Counties + Middlesex</v>
      </c>
      <c r="D2456" s="2">
        <f>IF(COUNTIFS('[1]Brand Family Territories (Enc)'!$B$2:$B$62,C2456,'[1]Brand Family Territories (Enc)'!$C$2:$C$62,B2456)&gt;0,1,IF(AND(LEFT(B2456,6)="MORRIS",COUNTIFS('[1]Brand Family Territories (Enc)'!$B$2:$B$62,C2456,'[1]Brand Family Territories (Enc)'!$C$2:$C$62,"Morri")&gt;0),"Unk",0))</f>
        <v>1</v>
      </c>
      <c r="E2456" s="2" t="str">
        <f>IFERROR(INDEX('Blackout Brand Fam Areas (Enc)'!$D$6:$D$998,MATCH(UPPER(A2456)&amp;"|"&amp;UPPER(B2456),'Blackout Brand Fam Areas (Enc)'!$G$6:$G$998,0)),"No Match")</f>
        <v>No Match</v>
      </c>
      <c r="F2456" s="2" t="str">
        <f t="shared" si="76"/>
        <v>US</v>
      </c>
      <c r="G2456" s="2" t="str">
        <f t="shared" si="77"/>
        <v>Cerveza Republica LA Tuya|HUDSON</v>
      </c>
    </row>
    <row r="2457" spans="1:7" x14ac:dyDescent="0.2">
      <c r="A2457" s="2" t="str" cm="1">
        <f t="array" ref="A2457">INDEX('[1]Brand Family Territory (Enc)'!$A$2:$A$296,INT((ROW()-2)/10)+1)</f>
        <v>Cerveza Republica LA Tuya</v>
      </c>
      <c r="B2457" s="2" t="str" cm="1">
        <f t="array" ref="B2457">INDEX('Whitelist (Blackout Reverse)'!$B$1:$K$1,MOD(ROW()-2,10)+1)</f>
        <v>UNION</v>
      </c>
      <c r="C2457" s="2" t="str">
        <f>VLOOKUP(A2457,'[1]Brand Family Territory (Enc)'!$A$2:$B$296,2,FALSE)</f>
        <v>All Counties + Middlesex</v>
      </c>
      <c r="D2457" s="2">
        <f>IF(COUNTIFS('[1]Brand Family Territories (Enc)'!$B$2:$B$62,C2457,'[1]Brand Family Territories (Enc)'!$C$2:$C$62,B2457)&gt;0,1,IF(AND(LEFT(B2457,6)="MORRIS",COUNTIFS('[1]Brand Family Territories (Enc)'!$B$2:$B$62,C2457,'[1]Brand Family Territories (Enc)'!$C$2:$C$62,"Morri")&gt;0),"Unk",0))</f>
        <v>1</v>
      </c>
      <c r="E2457" s="2" t="str">
        <f>IFERROR(INDEX('Blackout Brand Fam Areas (Enc)'!$D$6:$D$998,MATCH(UPPER(A2457)&amp;"|"&amp;UPPER(B2457),'Blackout Brand Fam Areas (Enc)'!$G$6:$G$998,0)),"No Match")</f>
        <v>No Match</v>
      </c>
      <c r="F2457" s="2" t="str">
        <f t="shared" si="76"/>
        <v>US</v>
      </c>
      <c r="G2457" s="2" t="str">
        <f t="shared" si="77"/>
        <v>Cerveza Republica LA Tuya|UNION</v>
      </c>
    </row>
    <row r="2458" spans="1:7" x14ac:dyDescent="0.2">
      <c r="A2458" s="2" t="str" cm="1">
        <f t="array" ref="A2458">INDEX('[1]Brand Family Territory (Enc)'!$A$2:$A$296,INT((ROW()-2)/10)+1)</f>
        <v>Cerveza Republica LA Tuya</v>
      </c>
      <c r="B2458" s="2" t="str" cm="1">
        <f t="array" ref="B2458">INDEX('Whitelist (Blackout Reverse)'!$B$1:$K$1,MOD(ROW()-2,10)+1)</f>
        <v>SUSSEX</v>
      </c>
      <c r="C2458" s="2" t="str">
        <f>VLOOKUP(A2458,'[1]Brand Family Territory (Enc)'!$A$2:$B$296,2,FALSE)</f>
        <v>All Counties + Middlesex</v>
      </c>
      <c r="D2458" s="2">
        <f>IF(COUNTIFS('[1]Brand Family Territories (Enc)'!$B$2:$B$62,C2458,'[1]Brand Family Territories (Enc)'!$C$2:$C$62,B2458)&gt;0,1,IF(AND(LEFT(B2458,6)="MORRIS",COUNTIFS('[1]Brand Family Territories (Enc)'!$B$2:$B$62,C2458,'[1]Brand Family Territories (Enc)'!$C$2:$C$62,"Morri")&gt;0),"Unk",0))</f>
        <v>1</v>
      </c>
      <c r="E2458" s="2" t="str">
        <f>IFERROR(INDEX('Blackout Brand Fam Areas (Enc)'!$D$6:$D$998,MATCH(UPPER(A2458)&amp;"|"&amp;UPPER(B2458),'Blackout Brand Fam Areas (Enc)'!$G$6:$G$998,0)),"No Match")</f>
        <v>No Match</v>
      </c>
      <c r="F2458" s="2" t="str">
        <f t="shared" si="76"/>
        <v>US</v>
      </c>
      <c r="G2458" s="2" t="str">
        <f t="shared" si="77"/>
        <v>Cerveza Republica LA Tuya|SUSSEX</v>
      </c>
    </row>
    <row r="2459" spans="1:7" x14ac:dyDescent="0.2">
      <c r="A2459" s="2" t="str" cm="1">
        <f t="array" ref="A2459">INDEX('[1]Brand Family Territory (Enc)'!$A$2:$A$296,INT((ROW()-2)/10)+1)</f>
        <v>Cerveza Republica LA Tuya</v>
      </c>
      <c r="B2459" s="2" t="str" cm="1">
        <f t="array" ref="B2459">INDEX('Whitelist (Blackout Reverse)'!$B$1:$K$1,MOD(ROW()-2,10)+1)</f>
        <v>MORRIS 1</v>
      </c>
      <c r="C2459" s="2" t="str">
        <f>VLOOKUP(A2459,'[1]Brand Family Territory (Enc)'!$A$2:$B$296,2,FALSE)</f>
        <v>All Counties + Middlesex</v>
      </c>
      <c r="D2459" s="2">
        <f>IF(COUNTIFS('[1]Brand Family Territories (Enc)'!$B$2:$B$62,C2459,'[1]Brand Family Territories (Enc)'!$C$2:$C$62,B2459)&gt;0,1,IF(AND(LEFT(B2459,6)="MORRIS",COUNTIFS('[1]Brand Family Territories (Enc)'!$B$2:$B$62,C2459,'[1]Brand Family Territories (Enc)'!$C$2:$C$62,"Morri")&gt;0),"Unk",0))</f>
        <v>1</v>
      </c>
      <c r="E2459" s="2" t="str">
        <f>IFERROR(INDEX('Blackout Brand Fam Areas (Enc)'!$D$6:$D$998,MATCH(UPPER(A2459)&amp;"|"&amp;UPPER(B2459),'Blackout Brand Fam Areas (Enc)'!$G$6:$G$998,0)),"No Match")</f>
        <v>No Match</v>
      </c>
      <c r="F2459" s="2" t="str">
        <f t="shared" si="76"/>
        <v>US</v>
      </c>
      <c r="G2459" s="2" t="str">
        <f t="shared" si="77"/>
        <v>Cerveza Republica LA Tuya|MORRIS 1</v>
      </c>
    </row>
    <row r="2460" spans="1:7" x14ac:dyDescent="0.2">
      <c r="A2460" s="2" t="str" cm="1">
        <f t="array" ref="A2460">INDEX('[1]Brand Family Territory (Enc)'!$A$2:$A$296,INT((ROW()-2)/10)+1)</f>
        <v>Cerveza Republica LA Tuya</v>
      </c>
      <c r="B2460" s="2" t="str" cm="1">
        <f t="array" ref="B2460">INDEX('Whitelist (Blackout Reverse)'!$B$1:$K$1,MOD(ROW()-2,10)+1)</f>
        <v>MORRIS 2</v>
      </c>
      <c r="C2460" s="2" t="str">
        <f>VLOOKUP(A2460,'[1]Brand Family Territory (Enc)'!$A$2:$B$296,2,FALSE)</f>
        <v>All Counties + Middlesex</v>
      </c>
      <c r="D2460" s="2">
        <f>IF(COUNTIFS('[1]Brand Family Territories (Enc)'!$B$2:$B$62,C2460,'[1]Brand Family Territories (Enc)'!$C$2:$C$62,B2460)&gt;0,1,IF(AND(LEFT(B2460,6)="MORRIS",COUNTIFS('[1]Brand Family Territories (Enc)'!$B$2:$B$62,C2460,'[1]Brand Family Territories (Enc)'!$C$2:$C$62,"Morri")&gt;0),"Unk",0))</f>
        <v>1</v>
      </c>
      <c r="E2460" s="2" t="str">
        <f>IFERROR(INDEX('Blackout Brand Fam Areas (Enc)'!$D$6:$D$998,MATCH(UPPER(A2460)&amp;"|"&amp;UPPER(B2460),'Blackout Brand Fam Areas (Enc)'!$G$6:$G$998,0)),"No Match")</f>
        <v>No Match</v>
      </c>
      <c r="F2460" s="2" t="str">
        <f t="shared" si="76"/>
        <v>US</v>
      </c>
      <c r="G2460" s="2" t="str">
        <f t="shared" si="77"/>
        <v>Cerveza Republica LA Tuya|MORRIS 2</v>
      </c>
    </row>
    <row r="2461" spans="1:7" x14ac:dyDescent="0.2">
      <c r="A2461" s="2" t="str" cm="1">
        <f t="array" ref="A2461">INDEX('[1]Brand Family Territory (Enc)'!$A$2:$A$296,INT((ROW()-2)/10)+1)</f>
        <v>Cerveza Republica LA Tuya</v>
      </c>
      <c r="B2461" s="2" t="str" cm="1">
        <f t="array" ref="B2461">INDEX('Whitelist (Blackout Reverse)'!$B$1:$K$1,MOD(ROW()-2,10)+1)</f>
        <v>MORRIS 3</v>
      </c>
      <c r="C2461" s="2" t="str">
        <f>VLOOKUP(A2461,'[1]Brand Family Territory (Enc)'!$A$2:$B$296,2,FALSE)</f>
        <v>All Counties + Middlesex</v>
      </c>
      <c r="D2461" s="2">
        <f>IF(COUNTIFS('[1]Brand Family Territories (Enc)'!$B$2:$B$62,C2461,'[1]Brand Family Territories (Enc)'!$C$2:$C$62,B2461)&gt;0,1,IF(AND(LEFT(B2461,6)="MORRIS",COUNTIFS('[1]Brand Family Territories (Enc)'!$B$2:$B$62,C2461,'[1]Brand Family Territories (Enc)'!$C$2:$C$62,"Morri")&gt;0),"Unk",0))</f>
        <v>1</v>
      </c>
      <c r="E2461" s="2" t="str">
        <f>IFERROR(INDEX('Blackout Brand Fam Areas (Enc)'!$D$6:$D$998,MATCH(UPPER(A2461)&amp;"|"&amp;UPPER(B2461),'Blackout Brand Fam Areas (Enc)'!$G$6:$G$998,0)),"No Match")</f>
        <v>No Match</v>
      </c>
      <c r="F2461" s="2" t="str">
        <f t="shared" si="76"/>
        <v>US</v>
      </c>
      <c r="G2461" s="2" t="str">
        <f t="shared" si="77"/>
        <v>Cerveza Republica LA Tuya|MORRIS 3</v>
      </c>
    </row>
    <row r="2462" spans="1:7" x14ac:dyDescent="0.2">
      <c r="A2462" s="2" t="str" cm="1">
        <f t="array" ref="A2462">INDEX('[1]Brand Family Territory (Enc)'!$A$2:$A$296,INT((ROW()-2)/10)+1)</f>
        <v>Cerveza Republica La Tuya 5.0 La Dura</v>
      </c>
      <c r="B2462" s="2" t="str" cm="1">
        <f t="array" ref="B2462">INDEX('Whitelist (Blackout Reverse)'!$B$1:$K$1,MOD(ROW()-2,10)+1)</f>
        <v>BERGEN</v>
      </c>
      <c r="C2462" s="2" t="str">
        <f>VLOOKUP(A2462,'[1]Brand Family Territory (Enc)'!$A$2:$B$296,2,FALSE)</f>
        <v>All Counties + Middlesex</v>
      </c>
      <c r="D2462" s="2">
        <f>IF(COUNTIFS('[1]Brand Family Territories (Enc)'!$B$2:$B$62,C2462,'[1]Brand Family Territories (Enc)'!$C$2:$C$62,B2462)&gt;0,1,IF(AND(LEFT(B2462,6)="MORRIS",COUNTIFS('[1]Brand Family Territories (Enc)'!$B$2:$B$62,C2462,'[1]Brand Family Territories (Enc)'!$C$2:$C$62,"Morri")&gt;0),"Unk",0))</f>
        <v>1</v>
      </c>
      <c r="E2462" s="2" t="str">
        <f>IFERROR(INDEX('Blackout Brand Fam Areas (Enc)'!$D$6:$D$998,MATCH(UPPER(A2462)&amp;"|"&amp;UPPER(B2462),'Blackout Brand Fam Areas (Enc)'!$G$6:$G$998,0)),"No Match")</f>
        <v>No Match</v>
      </c>
      <c r="F2462" s="2" t="str">
        <f t="shared" si="76"/>
        <v>US</v>
      </c>
      <c r="G2462" s="2" t="str">
        <f t="shared" si="77"/>
        <v>Cerveza Republica La Tuya 5.0 La Dura|BERGEN</v>
      </c>
    </row>
    <row r="2463" spans="1:7" x14ac:dyDescent="0.2">
      <c r="A2463" s="2" t="str" cm="1">
        <f t="array" ref="A2463">INDEX('[1]Brand Family Territory (Enc)'!$A$2:$A$296,INT((ROW()-2)/10)+1)</f>
        <v>Cerveza Republica La Tuya 5.0 La Dura</v>
      </c>
      <c r="B2463" s="2" t="str" cm="1">
        <f t="array" ref="B2463">INDEX('Whitelist (Blackout Reverse)'!$B$1:$K$1,MOD(ROW()-2,10)+1)</f>
        <v>PASSAIC</v>
      </c>
      <c r="C2463" s="2" t="str">
        <f>VLOOKUP(A2463,'[1]Brand Family Territory (Enc)'!$A$2:$B$296,2,FALSE)</f>
        <v>All Counties + Middlesex</v>
      </c>
      <c r="D2463" s="2">
        <f>IF(COUNTIFS('[1]Brand Family Territories (Enc)'!$B$2:$B$62,C2463,'[1]Brand Family Territories (Enc)'!$C$2:$C$62,B2463)&gt;0,1,IF(AND(LEFT(B2463,6)="MORRIS",COUNTIFS('[1]Brand Family Territories (Enc)'!$B$2:$B$62,C2463,'[1]Brand Family Territories (Enc)'!$C$2:$C$62,"Morri")&gt;0),"Unk",0))</f>
        <v>1</v>
      </c>
      <c r="E2463" s="2" t="str">
        <f>IFERROR(INDEX('Blackout Brand Fam Areas (Enc)'!$D$6:$D$998,MATCH(UPPER(A2463)&amp;"|"&amp;UPPER(B2463),'Blackout Brand Fam Areas (Enc)'!$G$6:$G$998,0)),"No Match")</f>
        <v>No Match</v>
      </c>
      <c r="F2463" s="2" t="str">
        <f t="shared" si="76"/>
        <v>US</v>
      </c>
      <c r="G2463" s="2" t="str">
        <f t="shared" si="77"/>
        <v>Cerveza Republica La Tuya 5.0 La Dura|PASSAIC</v>
      </c>
    </row>
    <row r="2464" spans="1:7" x14ac:dyDescent="0.2">
      <c r="A2464" s="2" t="str" cm="1">
        <f t="array" ref="A2464">INDEX('[1]Brand Family Territory (Enc)'!$A$2:$A$296,INT((ROW()-2)/10)+1)</f>
        <v>Cerveza Republica La Tuya 5.0 La Dura</v>
      </c>
      <c r="B2464" s="2" t="str" cm="1">
        <f t="array" ref="B2464">INDEX('Whitelist (Blackout Reverse)'!$B$1:$K$1,MOD(ROW()-2,10)+1)</f>
        <v>PASSAIC-FF</v>
      </c>
      <c r="C2464" s="2" t="str">
        <f>VLOOKUP(A2464,'[1]Brand Family Territory (Enc)'!$A$2:$B$296,2,FALSE)</f>
        <v>All Counties + Middlesex</v>
      </c>
      <c r="D2464" s="2">
        <f>IF(COUNTIFS('[1]Brand Family Territories (Enc)'!$B$2:$B$62,C2464,'[1]Brand Family Territories (Enc)'!$C$2:$C$62,B2464)&gt;0,1,IF(AND(LEFT(B2464,6)="MORRIS",COUNTIFS('[1]Brand Family Territories (Enc)'!$B$2:$B$62,C2464,'[1]Brand Family Territories (Enc)'!$C$2:$C$62,"Morri")&gt;0),"Unk",0))</f>
        <v>1</v>
      </c>
      <c r="E2464" s="2" t="str">
        <f>IFERROR(INDEX('Blackout Brand Fam Areas (Enc)'!$D$6:$D$998,MATCH(UPPER(A2464)&amp;"|"&amp;UPPER(B2464),'Blackout Brand Fam Areas (Enc)'!$G$6:$G$998,0)),"No Match")</f>
        <v>No Match</v>
      </c>
      <c r="F2464" s="2" t="str">
        <f t="shared" si="76"/>
        <v>US</v>
      </c>
      <c r="G2464" s="2" t="str">
        <f t="shared" si="77"/>
        <v>Cerveza Republica La Tuya 5.0 La Dura|PASSAIC-FF</v>
      </c>
    </row>
    <row r="2465" spans="1:7" x14ac:dyDescent="0.2">
      <c r="A2465" s="2" t="str" cm="1">
        <f t="array" ref="A2465">INDEX('[1]Brand Family Territory (Enc)'!$A$2:$A$296,INT((ROW()-2)/10)+1)</f>
        <v>Cerveza Republica La Tuya 5.0 La Dura</v>
      </c>
      <c r="B2465" s="2" t="str" cm="1">
        <f t="array" ref="B2465">INDEX('Whitelist (Blackout Reverse)'!$B$1:$K$1,MOD(ROW()-2,10)+1)</f>
        <v>ESSEX</v>
      </c>
      <c r="C2465" s="2" t="str">
        <f>VLOOKUP(A2465,'[1]Brand Family Territory (Enc)'!$A$2:$B$296,2,FALSE)</f>
        <v>All Counties + Middlesex</v>
      </c>
      <c r="D2465" s="2">
        <f>IF(COUNTIFS('[1]Brand Family Territories (Enc)'!$B$2:$B$62,C2465,'[1]Brand Family Territories (Enc)'!$C$2:$C$62,B2465)&gt;0,1,IF(AND(LEFT(B2465,6)="MORRIS",COUNTIFS('[1]Brand Family Territories (Enc)'!$B$2:$B$62,C2465,'[1]Brand Family Territories (Enc)'!$C$2:$C$62,"Morri")&gt;0),"Unk",0))</f>
        <v>1</v>
      </c>
      <c r="E2465" s="2" t="str">
        <f>IFERROR(INDEX('Blackout Brand Fam Areas (Enc)'!$D$6:$D$998,MATCH(UPPER(A2465)&amp;"|"&amp;UPPER(B2465),'Blackout Brand Fam Areas (Enc)'!$G$6:$G$998,0)),"No Match")</f>
        <v>No Match</v>
      </c>
      <c r="F2465" s="2" t="str">
        <f t="shared" si="76"/>
        <v>US</v>
      </c>
      <c r="G2465" s="2" t="str">
        <f t="shared" si="77"/>
        <v>Cerveza Republica La Tuya 5.0 La Dura|ESSEX</v>
      </c>
    </row>
    <row r="2466" spans="1:7" x14ac:dyDescent="0.2">
      <c r="A2466" s="2" t="str" cm="1">
        <f t="array" ref="A2466">INDEX('[1]Brand Family Territory (Enc)'!$A$2:$A$296,INT((ROW()-2)/10)+1)</f>
        <v>Cerveza Republica La Tuya 5.0 La Dura</v>
      </c>
      <c r="B2466" s="2" t="str" cm="1">
        <f t="array" ref="B2466">INDEX('Whitelist (Blackout Reverse)'!$B$1:$K$1,MOD(ROW()-2,10)+1)</f>
        <v>HUDSON</v>
      </c>
      <c r="C2466" s="2" t="str">
        <f>VLOOKUP(A2466,'[1]Brand Family Territory (Enc)'!$A$2:$B$296,2,FALSE)</f>
        <v>All Counties + Middlesex</v>
      </c>
      <c r="D2466" s="2">
        <f>IF(COUNTIFS('[1]Brand Family Territories (Enc)'!$B$2:$B$62,C2466,'[1]Brand Family Territories (Enc)'!$C$2:$C$62,B2466)&gt;0,1,IF(AND(LEFT(B2466,6)="MORRIS",COUNTIFS('[1]Brand Family Territories (Enc)'!$B$2:$B$62,C2466,'[1]Brand Family Territories (Enc)'!$C$2:$C$62,"Morri")&gt;0),"Unk",0))</f>
        <v>1</v>
      </c>
      <c r="E2466" s="2" t="str">
        <f>IFERROR(INDEX('Blackout Brand Fam Areas (Enc)'!$D$6:$D$998,MATCH(UPPER(A2466)&amp;"|"&amp;UPPER(B2466),'Blackout Brand Fam Areas (Enc)'!$G$6:$G$998,0)),"No Match")</f>
        <v>No Match</v>
      </c>
      <c r="F2466" s="2" t="str">
        <f t="shared" si="76"/>
        <v>US</v>
      </c>
      <c r="G2466" s="2" t="str">
        <f t="shared" si="77"/>
        <v>Cerveza Republica La Tuya 5.0 La Dura|HUDSON</v>
      </c>
    </row>
    <row r="2467" spans="1:7" x14ac:dyDescent="0.2">
      <c r="A2467" s="2" t="str" cm="1">
        <f t="array" ref="A2467">INDEX('[1]Brand Family Territory (Enc)'!$A$2:$A$296,INT((ROW()-2)/10)+1)</f>
        <v>Cerveza Republica La Tuya 5.0 La Dura</v>
      </c>
      <c r="B2467" s="2" t="str" cm="1">
        <f t="array" ref="B2467">INDEX('Whitelist (Blackout Reverse)'!$B$1:$K$1,MOD(ROW()-2,10)+1)</f>
        <v>UNION</v>
      </c>
      <c r="C2467" s="2" t="str">
        <f>VLOOKUP(A2467,'[1]Brand Family Territory (Enc)'!$A$2:$B$296,2,FALSE)</f>
        <v>All Counties + Middlesex</v>
      </c>
      <c r="D2467" s="2">
        <f>IF(COUNTIFS('[1]Brand Family Territories (Enc)'!$B$2:$B$62,C2467,'[1]Brand Family Territories (Enc)'!$C$2:$C$62,B2467)&gt;0,1,IF(AND(LEFT(B2467,6)="MORRIS",COUNTIFS('[1]Brand Family Territories (Enc)'!$B$2:$B$62,C2467,'[1]Brand Family Territories (Enc)'!$C$2:$C$62,"Morri")&gt;0),"Unk",0))</f>
        <v>1</v>
      </c>
      <c r="E2467" s="2" t="str">
        <f>IFERROR(INDEX('Blackout Brand Fam Areas (Enc)'!$D$6:$D$998,MATCH(UPPER(A2467)&amp;"|"&amp;UPPER(B2467),'Blackout Brand Fam Areas (Enc)'!$G$6:$G$998,0)),"No Match")</f>
        <v>No Match</v>
      </c>
      <c r="F2467" s="2" t="str">
        <f t="shared" si="76"/>
        <v>US</v>
      </c>
      <c r="G2467" s="2" t="str">
        <f t="shared" si="77"/>
        <v>Cerveza Republica La Tuya 5.0 La Dura|UNION</v>
      </c>
    </row>
    <row r="2468" spans="1:7" x14ac:dyDescent="0.2">
      <c r="A2468" s="2" t="str" cm="1">
        <f t="array" ref="A2468">INDEX('[1]Brand Family Territory (Enc)'!$A$2:$A$296,INT((ROW()-2)/10)+1)</f>
        <v>Cerveza Republica La Tuya 5.0 La Dura</v>
      </c>
      <c r="B2468" s="2" t="str" cm="1">
        <f t="array" ref="B2468">INDEX('Whitelist (Blackout Reverse)'!$B$1:$K$1,MOD(ROW()-2,10)+1)</f>
        <v>SUSSEX</v>
      </c>
      <c r="C2468" s="2" t="str">
        <f>VLOOKUP(A2468,'[1]Brand Family Territory (Enc)'!$A$2:$B$296,2,FALSE)</f>
        <v>All Counties + Middlesex</v>
      </c>
      <c r="D2468" s="2">
        <f>IF(COUNTIFS('[1]Brand Family Territories (Enc)'!$B$2:$B$62,C2468,'[1]Brand Family Territories (Enc)'!$C$2:$C$62,B2468)&gt;0,1,IF(AND(LEFT(B2468,6)="MORRIS",COUNTIFS('[1]Brand Family Territories (Enc)'!$B$2:$B$62,C2468,'[1]Brand Family Territories (Enc)'!$C$2:$C$62,"Morri")&gt;0),"Unk",0))</f>
        <v>1</v>
      </c>
      <c r="E2468" s="2" t="str">
        <f>IFERROR(INDEX('Blackout Brand Fam Areas (Enc)'!$D$6:$D$998,MATCH(UPPER(A2468)&amp;"|"&amp;UPPER(B2468),'Blackout Brand Fam Areas (Enc)'!$G$6:$G$998,0)),"No Match")</f>
        <v>No Match</v>
      </c>
      <c r="F2468" s="2" t="str">
        <f t="shared" si="76"/>
        <v>US</v>
      </c>
      <c r="G2468" s="2" t="str">
        <f t="shared" si="77"/>
        <v>Cerveza Republica La Tuya 5.0 La Dura|SUSSEX</v>
      </c>
    </row>
    <row r="2469" spans="1:7" x14ac:dyDescent="0.2">
      <c r="A2469" s="2" t="str" cm="1">
        <f t="array" ref="A2469">INDEX('[1]Brand Family Territory (Enc)'!$A$2:$A$296,INT((ROW()-2)/10)+1)</f>
        <v>Cerveza Republica La Tuya 5.0 La Dura</v>
      </c>
      <c r="B2469" s="2" t="str" cm="1">
        <f t="array" ref="B2469">INDEX('Whitelist (Blackout Reverse)'!$B$1:$K$1,MOD(ROW()-2,10)+1)</f>
        <v>MORRIS 1</v>
      </c>
      <c r="C2469" s="2" t="str">
        <f>VLOOKUP(A2469,'[1]Brand Family Territory (Enc)'!$A$2:$B$296,2,FALSE)</f>
        <v>All Counties + Middlesex</v>
      </c>
      <c r="D2469" s="2">
        <f>IF(COUNTIFS('[1]Brand Family Territories (Enc)'!$B$2:$B$62,C2469,'[1]Brand Family Territories (Enc)'!$C$2:$C$62,B2469)&gt;0,1,IF(AND(LEFT(B2469,6)="MORRIS",COUNTIFS('[1]Brand Family Territories (Enc)'!$B$2:$B$62,C2469,'[1]Brand Family Territories (Enc)'!$C$2:$C$62,"Morri")&gt;0),"Unk",0))</f>
        <v>1</v>
      </c>
      <c r="E2469" s="2" t="str">
        <f>IFERROR(INDEX('Blackout Brand Fam Areas (Enc)'!$D$6:$D$998,MATCH(UPPER(A2469)&amp;"|"&amp;UPPER(B2469),'Blackout Brand Fam Areas (Enc)'!$G$6:$G$998,0)),"No Match")</f>
        <v>No Match</v>
      </c>
      <c r="F2469" s="2" t="str">
        <f t="shared" si="76"/>
        <v>US</v>
      </c>
      <c r="G2469" s="2" t="str">
        <f t="shared" si="77"/>
        <v>Cerveza Republica La Tuya 5.0 La Dura|MORRIS 1</v>
      </c>
    </row>
    <row r="2470" spans="1:7" x14ac:dyDescent="0.2">
      <c r="A2470" s="2" t="str" cm="1">
        <f t="array" ref="A2470">INDEX('[1]Brand Family Territory (Enc)'!$A$2:$A$296,INT((ROW()-2)/10)+1)</f>
        <v>Cerveza Republica La Tuya 5.0 La Dura</v>
      </c>
      <c r="B2470" s="2" t="str" cm="1">
        <f t="array" ref="B2470">INDEX('Whitelist (Blackout Reverse)'!$B$1:$K$1,MOD(ROW()-2,10)+1)</f>
        <v>MORRIS 2</v>
      </c>
      <c r="C2470" s="2" t="str">
        <f>VLOOKUP(A2470,'[1]Brand Family Territory (Enc)'!$A$2:$B$296,2,FALSE)</f>
        <v>All Counties + Middlesex</v>
      </c>
      <c r="D2470" s="2">
        <f>IF(COUNTIFS('[1]Brand Family Territories (Enc)'!$B$2:$B$62,C2470,'[1]Brand Family Territories (Enc)'!$C$2:$C$62,B2470)&gt;0,1,IF(AND(LEFT(B2470,6)="MORRIS",COUNTIFS('[1]Brand Family Territories (Enc)'!$B$2:$B$62,C2470,'[1]Brand Family Territories (Enc)'!$C$2:$C$62,"Morri")&gt;0),"Unk",0))</f>
        <v>1</v>
      </c>
      <c r="E2470" s="2" t="str">
        <f>IFERROR(INDEX('Blackout Brand Fam Areas (Enc)'!$D$6:$D$998,MATCH(UPPER(A2470)&amp;"|"&amp;UPPER(B2470),'Blackout Brand Fam Areas (Enc)'!$G$6:$G$998,0)),"No Match")</f>
        <v>No Match</v>
      </c>
      <c r="F2470" s="2" t="str">
        <f t="shared" si="76"/>
        <v>US</v>
      </c>
      <c r="G2470" s="2" t="str">
        <f t="shared" si="77"/>
        <v>Cerveza Republica La Tuya 5.0 La Dura|MORRIS 2</v>
      </c>
    </row>
    <row r="2471" spans="1:7" x14ac:dyDescent="0.2">
      <c r="A2471" s="2" t="str" cm="1">
        <f t="array" ref="A2471">INDEX('[1]Brand Family Territory (Enc)'!$A$2:$A$296,INT((ROW()-2)/10)+1)</f>
        <v>Cerveza Republica La Tuya 5.0 La Dura</v>
      </c>
      <c r="B2471" s="2" t="str" cm="1">
        <f t="array" ref="B2471">INDEX('Whitelist (Blackout Reverse)'!$B$1:$K$1,MOD(ROW()-2,10)+1)</f>
        <v>MORRIS 3</v>
      </c>
      <c r="C2471" s="2" t="str">
        <f>VLOOKUP(A2471,'[1]Brand Family Territory (Enc)'!$A$2:$B$296,2,FALSE)</f>
        <v>All Counties + Middlesex</v>
      </c>
      <c r="D2471" s="2">
        <f>IF(COUNTIFS('[1]Brand Family Territories (Enc)'!$B$2:$B$62,C2471,'[1]Brand Family Territories (Enc)'!$C$2:$C$62,B2471)&gt;0,1,IF(AND(LEFT(B2471,6)="MORRIS",COUNTIFS('[1]Brand Family Territories (Enc)'!$B$2:$B$62,C2471,'[1]Brand Family Territories (Enc)'!$C$2:$C$62,"Morri")&gt;0),"Unk",0))</f>
        <v>1</v>
      </c>
      <c r="E2471" s="2" t="str">
        <f>IFERROR(INDEX('Blackout Brand Fam Areas (Enc)'!$D$6:$D$998,MATCH(UPPER(A2471)&amp;"|"&amp;UPPER(B2471),'Blackout Brand Fam Areas (Enc)'!$G$6:$G$998,0)),"No Match")</f>
        <v>No Match</v>
      </c>
      <c r="F2471" s="2" t="str">
        <f t="shared" si="76"/>
        <v>US</v>
      </c>
      <c r="G2471" s="2" t="str">
        <f t="shared" si="77"/>
        <v>Cerveza Republica La Tuya 5.0 La Dura|MORRIS 3</v>
      </c>
    </row>
    <row r="2472" spans="1:7" x14ac:dyDescent="0.2">
      <c r="A2472" s="2" t="str" cm="1">
        <f t="array" ref="A2472">INDEX('[1]Brand Family Territory (Enc)'!$A$2:$A$296,INT((ROW()-2)/10)+1)</f>
        <v>Czechvar</v>
      </c>
      <c r="B2472" s="2" t="str" cm="1">
        <f t="array" ref="B2472">INDEX('Whitelist (Blackout Reverse)'!$B$1:$K$1,MOD(ROW()-2,10)+1)</f>
        <v>BERGEN</v>
      </c>
      <c r="C2472" s="2" t="str">
        <f>VLOOKUP(A2472,'[1]Brand Family Territory (Enc)'!$A$2:$B$296,2,FALSE)</f>
        <v>Metro Five County</v>
      </c>
      <c r="D2472" s="2">
        <f>IF(COUNTIFS('[1]Brand Family Territories (Enc)'!$B$2:$B$62,C2472,'[1]Brand Family Territories (Enc)'!$C$2:$C$62,B2472)&gt;0,1,IF(AND(LEFT(B2472,6)="MORRIS",COUNTIFS('[1]Brand Family Territories (Enc)'!$B$2:$B$62,C2472,'[1]Brand Family Territories (Enc)'!$C$2:$C$62,"Morri")&gt;0),"Unk",0))</f>
        <v>1</v>
      </c>
      <c r="E2472" s="2" t="str">
        <f>IFERROR(INDEX('Blackout Brand Fam Areas (Enc)'!$D$6:$D$998,MATCH(UPPER(A2472)&amp;"|"&amp;UPPER(B2472),'Blackout Brand Fam Areas (Enc)'!$G$6:$G$998,0)),"No Match")</f>
        <v>No Match</v>
      </c>
      <c r="F2472" s="2" t="str">
        <f t="shared" si="76"/>
        <v>US</v>
      </c>
      <c r="G2472" s="2" t="str">
        <f t="shared" si="77"/>
        <v>Czechvar|BERGEN</v>
      </c>
    </row>
    <row r="2473" spans="1:7" x14ac:dyDescent="0.2">
      <c r="A2473" s="2" t="str" cm="1">
        <f t="array" ref="A2473">INDEX('[1]Brand Family Territory (Enc)'!$A$2:$A$296,INT((ROW()-2)/10)+1)</f>
        <v>Czechvar</v>
      </c>
      <c r="B2473" s="2" t="str" cm="1">
        <f t="array" ref="B2473">INDEX('Whitelist (Blackout Reverse)'!$B$1:$K$1,MOD(ROW()-2,10)+1)</f>
        <v>PASSAIC</v>
      </c>
      <c r="C2473" s="2" t="str">
        <f>VLOOKUP(A2473,'[1]Brand Family Territory (Enc)'!$A$2:$B$296,2,FALSE)</f>
        <v>Metro Five County</v>
      </c>
      <c r="D2473" s="2">
        <f>IF(COUNTIFS('[1]Brand Family Territories (Enc)'!$B$2:$B$62,C2473,'[1]Brand Family Territories (Enc)'!$C$2:$C$62,B2473)&gt;0,1,IF(AND(LEFT(B2473,6)="MORRIS",COUNTIFS('[1]Brand Family Territories (Enc)'!$B$2:$B$62,C2473,'[1]Brand Family Territories (Enc)'!$C$2:$C$62,"Morri")&gt;0),"Unk",0))</f>
        <v>1</v>
      </c>
      <c r="E2473" s="2" t="str">
        <f>IFERROR(INDEX('Blackout Brand Fam Areas (Enc)'!$D$6:$D$998,MATCH(UPPER(A2473)&amp;"|"&amp;UPPER(B2473),'Blackout Brand Fam Areas (Enc)'!$G$6:$G$998,0)),"No Match")</f>
        <v>No Match</v>
      </c>
      <c r="F2473" s="2" t="str">
        <f t="shared" si="76"/>
        <v>US</v>
      </c>
      <c r="G2473" s="2" t="str">
        <f t="shared" si="77"/>
        <v>Czechvar|PASSAIC</v>
      </c>
    </row>
    <row r="2474" spans="1:7" x14ac:dyDescent="0.2">
      <c r="A2474" s="2" t="str" cm="1">
        <f t="array" ref="A2474">INDEX('[1]Brand Family Territory (Enc)'!$A$2:$A$296,INT((ROW()-2)/10)+1)</f>
        <v>Czechvar</v>
      </c>
      <c r="B2474" s="2" t="str" cm="1">
        <f t="array" ref="B2474">INDEX('Whitelist (Blackout Reverse)'!$B$1:$K$1,MOD(ROW()-2,10)+1)</f>
        <v>PASSAIC-FF</v>
      </c>
      <c r="C2474" s="2" t="str">
        <f>VLOOKUP(A2474,'[1]Brand Family Territory (Enc)'!$A$2:$B$296,2,FALSE)</f>
        <v>Metro Five County</v>
      </c>
      <c r="D2474" s="2">
        <f>IF(COUNTIFS('[1]Brand Family Territories (Enc)'!$B$2:$B$62,C2474,'[1]Brand Family Territories (Enc)'!$C$2:$C$62,B2474)&gt;0,1,IF(AND(LEFT(B2474,6)="MORRIS",COUNTIFS('[1]Brand Family Territories (Enc)'!$B$2:$B$62,C2474,'[1]Brand Family Territories (Enc)'!$C$2:$C$62,"Morri")&gt;0),"Unk",0))</f>
        <v>1</v>
      </c>
      <c r="E2474" s="2" t="str">
        <f>IFERROR(INDEX('Blackout Brand Fam Areas (Enc)'!$D$6:$D$998,MATCH(UPPER(A2474)&amp;"|"&amp;UPPER(B2474),'Blackout Brand Fam Areas (Enc)'!$G$6:$G$998,0)),"No Match")</f>
        <v>No Match</v>
      </c>
      <c r="F2474" s="2" t="str">
        <f t="shared" si="76"/>
        <v>US</v>
      </c>
      <c r="G2474" s="2" t="str">
        <f t="shared" si="77"/>
        <v>Czechvar|PASSAIC-FF</v>
      </c>
    </row>
    <row r="2475" spans="1:7" x14ac:dyDescent="0.2">
      <c r="A2475" s="2" t="str" cm="1">
        <f t="array" ref="A2475">INDEX('[1]Brand Family Territory (Enc)'!$A$2:$A$296,INT((ROW()-2)/10)+1)</f>
        <v>Czechvar</v>
      </c>
      <c r="B2475" s="2" t="str" cm="1">
        <f t="array" ref="B2475">INDEX('Whitelist (Blackout Reverse)'!$B$1:$K$1,MOD(ROW()-2,10)+1)</f>
        <v>ESSEX</v>
      </c>
      <c r="C2475" s="2" t="str">
        <f>VLOOKUP(A2475,'[1]Brand Family Territory (Enc)'!$A$2:$B$296,2,FALSE)</f>
        <v>Metro Five County</v>
      </c>
      <c r="D2475" s="2">
        <f>IF(COUNTIFS('[1]Brand Family Territories (Enc)'!$B$2:$B$62,C2475,'[1]Brand Family Territories (Enc)'!$C$2:$C$62,B2475)&gt;0,1,IF(AND(LEFT(B2475,6)="MORRIS",COUNTIFS('[1]Brand Family Territories (Enc)'!$B$2:$B$62,C2475,'[1]Brand Family Territories (Enc)'!$C$2:$C$62,"Morri")&gt;0),"Unk",0))</f>
        <v>1</v>
      </c>
      <c r="E2475" s="2" t="str">
        <f>IFERROR(INDEX('Blackout Brand Fam Areas (Enc)'!$D$6:$D$998,MATCH(UPPER(A2475)&amp;"|"&amp;UPPER(B2475),'Blackout Brand Fam Areas (Enc)'!$G$6:$G$998,0)),"No Match")</f>
        <v>No Match</v>
      </c>
      <c r="F2475" s="2" t="str">
        <f t="shared" si="76"/>
        <v>US</v>
      </c>
      <c r="G2475" s="2" t="str">
        <f t="shared" si="77"/>
        <v>Czechvar|ESSEX</v>
      </c>
    </row>
    <row r="2476" spans="1:7" x14ac:dyDescent="0.2">
      <c r="A2476" s="2" t="str" cm="1">
        <f t="array" ref="A2476">INDEX('[1]Brand Family Territory (Enc)'!$A$2:$A$296,INT((ROW()-2)/10)+1)</f>
        <v>Czechvar</v>
      </c>
      <c r="B2476" s="2" t="str" cm="1">
        <f t="array" ref="B2476">INDEX('Whitelist (Blackout Reverse)'!$B$1:$K$1,MOD(ROW()-2,10)+1)</f>
        <v>HUDSON</v>
      </c>
      <c r="C2476" s="2" t="str">
        <f>VLOOKUP(A2476,'[1]Brand Family Territory (Enc)'!$A$2:$B$296,2,FALSE)</f>
        <v>Metro Five County</v>
      </c>
      <c r="D2476" s="2">
        <f>IF(COUNTIFS('[1]Brand Family Territories (Enc)'!$B$2:$B$62,C2476,'[1]Brand Family Territories (Enc)'!$C$2:$C$62,B2476)&gt;0,1,IF(AND(LEFT(B2476,6)="MORRIS",COUNTIFS('[1]Brand Family Territories (Enc)'!$B$2:$B$62,C2476,'[1]Brand Family Territories (Enc)'!$C$2:$C$62,"Morri")&gt;0),"Unk",0))</f>
        <v>1</v>
      </c>
      <c r="E2476" s="2" t="str">
        <f>IFERROR(INDEX('Blackout Brand Fam Areas (Enc)'!$D$6:$D$998,MATCH(UPPER(A2476)&amp;"|"&amp;UPPER(B2476),'Blackout Brand Fam Areas (Enc)'!$G$6:$G$998,0)),"No Match")</f>
        <v>No Match</v>
      </c>
      <c r="F2476" s="2" t="str">
        <f t="shared" si="76"/>
        <v>US</v>
      </c>
      <c r="G2476" s="2" t="str">
        <f t="shared" si="77"/>
        <v>Czechvar|HUDSON</v>
      </c>
    </row>
    <row r="2477" spans="1:7" x14ac:dyDescent="0.2">
      <c r="A2477" s="2" t="str" cm="1">
        <f t="array" ref="A2477">INDEX('[1]Brand Family Territory (Enc)'!$A$2:$A$296,INT((ROW()-2)/10)+1)</f>
        <v>Czechvar</v>
      </c>
      <c r="B2477" s="2" t="str" cm="1">
        <f t="array" ref="B2477">INDEX('Whitelist (Blackout Reverse)'!$B$1:$K$1,MOD(ROW()-2,10)+1)</f>
        <v>UNION</v>
      </c>
      <c r="C2477" s="2" t="str">
        <f>VLOOKUP(A2477,'[1]Brand Family Territory (Enc)'!$A$2:$B$296,2,FALSE)</f>
        <v>Metro Five County</v>
      </c>
      <c r="D2477" s="2">
        <f>IF(COUNTIFS('[1]Brand Family Territories (Enc)'!$B$2:$B$62,C2477,'[1]Brand Family Territories (Enc)'!$C$2:$C$62,B2477)&gt;0,1,IF(AND(LEFT(B2477,6)="MORRIS",COUNTIFS('[1]Brand Family Territories (Enc)'!$B$2:$B$62,C2477,'[1]Brand Family Territories (Enc)'!$C$2:$C$62,"Morri")&gt;0),"Unk",0))</f>
        <v>1</v>
      </c>
      <c r="E2477" s="2" t="str">
        <f>IFERROR(INDEX('Blackout Brand Fam Areas (Enc)'!$D$6:$D$998,MATCH(UPPER(A2477)&amp;"|"&amp;UPPER(B2477),'Blackout Brand Fam Areas (Enc)'!$G$6:$G$998,0)),"No Match")</f>
        <v>No Match</v>
      </c>
      <c r="F2477" s="2" t="str">
        <f t="shared" si="76"/>
        <v>US</v>
      </c>
      <c r="G2477" s="2" t="str">
        <f t="shared" si="77"/>
        <v>Czechvar|UNION</v>
      </c>
    </row>
    <row r="2478" spans="1:7" x14ac:dyDescent="0.2">
      <c r="A2478" s="2" t="str" cm="1">
        <f t="array" ref="A2478">INDEX('[1]Brand Family Territory (Enc)'!$A$2:$A$296,INT((ROW()-2)/10)+1)</f>
        <v>Czechvar</v>
      </c>
      <c r="B2478" s="2" t="str" cm="1">
        <f t="array" ref="B2478">INDEX('Whitelist (Blackout Reverse)'!$B$1:$K$1,MOD(ROW()-2,10)+1)</f>
        <v>SUSSEX</v>
      </c>
      <c r="C2478" s="2" t="str">
        <f>VLOOKUP(A2478,'[1]Brand Family Territory (Enc)'!$A$2:$B$296,2,FALSE)</f>
        <v>Metro Five County</v>
      </c>
      <c r="D2478" s="2">
        <f>IF(COUNTIFS('[1]Brand Family Territories (Enc)'!$B$2:$B$62,C2478,'[1]Brand Family Territories (Enc)'!$C$2:$C$62,B2478)&gt;0,1,IF(AND(LEFT(B2478,6)="MORRIS",COUNTIFS('[1]Brand Family Territories (Enc)'!$B$2:$B$62,C2478,'[1]Brand Family Territories (Enc)'!$C$2:$C$62,"Morri")&gt;0),"Unk",0))</f>
        <v>0</v>
      </c>
      <c r="E2478" s="2" t="str">
        <f>IFERROR(INDEX('Blackout Brand Fam Areas (Enc)'!$D$6:$D$998,MATCH(UPPER(A2478)&amp;"|"&amp;UPPER(B2478),'Blackout Brand Fam Areas (Enc)'!$G$6:$G$998,0)),"No Match")</f>
        <v>Inactive</v>
      </c>
      <c r="F2478" s="2" t="str">
        <f t="shared" si="76"/>
        <v>THEM</v>
      </c>
      <c r="G2478" s="2" t="str">
        <f t="shared" si="77"/>
        <v>Czechvar|SUSSEX</v>
      </c>
    </row>
    <row r="2479" spans="1:7" x14ac:dyDescent="0.2">
      <c r="A2479" s="2" t="str" cm="1">
        <f t="array" ref="A2479">INDEX('[1]Brand Family Territory (Enc)'!$A$2:$A$296,INT((ROW()-2)/10)+1)</f>
        <v>Czechvar</v>
      </c>
      <c r="B2479" s="2" t="str" cm="1">
        <f t="array" ref="B2479">INDEX('Whitelist (Blackout Reverse)'!$B$1:$K$1,MOD(ROW()-2,10)+1)</f>
        <v>MORRIS 1</v>
      </c>
      <c r="C2479" s="2" t="str">
        <f>VLOOKUP(A2479,'[1]Brand Family Territory (Enc)'!$A$2:$B$296,2,FALSE)</f>
        <v>Metro Five County</v>
      </c>
      <c r="D2479" s="2">
        <f>IF(COUNTIFS('[1]Brand Family Territories (Enc)'!$B$2:$B$62,C2479,'[1]Brand Family Territories (Enc)'!$C$2:$C$62,B2479)&gt;0,1,IF(AND(LEFT(B2479,6)="MORRIS",COUNTIFS('[1]Brand Family Territories (Enc)'!$B$2:$B$62,C2479,'[1]Brand Family Territories (Enc)'!$C$2:$C$62,"Morri")&gt;0),"Unk",0))</f>
        <v>0</v>
      </c>
      <c r="E2479" s="2" t="str">
        <f>IFERROR(INDEX('Blackout Brand Fam Areas (Enc)'!$D$6:$D$998,MATCH(UPPER(A2479)&amp;"|"&amp;UPPER(B2479),'Blackout Brand Fam Areas (Enc)'!$G$6:$G$998,0)),"No Match")</f>
        <v>Inactive</v>
      </c>
      <c r="F2479" s="2" t="str">
        <f t="shared" si="76"/>
        <v>THEM</v>
      </c>
      <c r="G2479" s="2" t="str">
        <f t="shared" si="77"/>
        <v>Czechvar|MORRIS 1</v>
      </c>
    </row>
    <row r="2480" spans="1:7" x14ac:dyDescent="0.2">
      <c r="A2480" s="2" t="str" cm="1">
        <f t="array" ref="A2480">INDEX('[1]Brand Family Territory (Enc)'!$A$2:$A$296,INT((ROW()-2)/10)+1)</f>
        <v>Czechvar</v>
      </c>
      <c r="B2480" s="2" t="str" cm="1">
        <f t="array" ref="B2480">INDEX('Whitelist (Blackout Reverse)'!$B$1:$K$1,MOD(ROW()-2,10)+1)</f>
        <v>MORRIS 2</v>
      </c>
      <c r="C2480" s="2" t="str">
        <f>VLOOKUP(A2480,'[1]Brand Family Territory (Enc)'!$A$2:$B$296,2,FALSE)</f>
        <v>Metro Five County</v>
      </c>
      <c r="D2480" s="2">
        <f>IF(COUNTIFS('[1]Brand Family Territories (Enc)'!$B$2:$B$62,C2480,'[1]Brand Family Territories (Enc)'!$C$2:$C$62,B2480)&gt;0,1,IF(AND(LEFT(B2480,6)="MORRIS",COUNTIFS('[1]Brand Family Territories (Enc)'!$B$2:$B$62,C2480,'[1]Brand Family Territories (Enc)'!$C$2:$C$62,"Morri")&gt;0),"Unk",0))</f>
        <v>0</v>
      </c>
      <c r="E2480" s="2" t="str">
        <f>IFERROR(INDEX('Blackout Brand Fam Areas (Enc)'!$D$6:$D$998,MATCH(UPPER(A2480)&amp;"|"&amp;UPPER(B2480),'Blackout Brand Fam Areas (Enc)'!$G$6:$G$998,0)),"No Match")</f>
        <v>Inactive</v>
      </c>
      <c r="F2480" s="2" t="str">
        <f t="shared" si="76"/>
        <v>THEM</v>
      </c>
      <c r="G2480" s="2" t="str">
        <f t="shared" si="77"/>
        <v>Czechvar|MORRIS 2</v>
      </c>
    </row>
    <row r="2481" spans="1:7" x14ac:dyDescent="0.2">
      <c r="A2481" s="2" t="str" cm="1">
        <f t="array" ref="A2481">INDEX('[1]Brand Family Territory (Enc)'!$A$2:$A$296,INT((ROW()-2)/10)+1)</f>
        <v>Czechvar</v>
      </c>
      <c r="B2481" s="2" t="str" cm="1">
        <f t="array" ref="B2481">INDEX('Whitelist (Blackout Reverse)'!$B$1:$K$1,MOD(ROW()-2,10)+1)</f>
        <v>MORRIS 3</v>
      </c>
      <c r="C2481" s="2" t="str">
        <f>VLOOKUP(A2481,'[1]Brand Family Territory (Enc)'!$A$2:$B$296,2,FALSE)</f>
        <v>Metro Five County</v>
      </c>
      <c r="D2481" s="2">
        <f>IF(COUNTIFS('[1]Brand Family Territories (Enc)'!$B$2:$B$62,C2481,'[1]Brand Family Territories (Enc)'!$C$2:$C$62,B2481)&gt;0,1,IF(AND(LEFT(B2481,6)="MORRIS",COUNTIFS('[1]Brand Family Territories (Enc)'!$B$2:$B$62,C2481,'[1]Brand Family Territories (Enc)'!$C$2:$C$62,"Morri")&gt;0),"Unk",0))</f>
        <v>0</v>
      </c>
      <c r="E2481" s="2" t="str">
        <f>IFERROR(INDEX('Blackout Brand Fam Areas (Enc)'!$D$6:$D$998,MATCH(UPPER(A2481)&amp;"|"&amp;UPPER(B2481),'Blackout Brand Fam Areas (Enc)'!$G$6:$G$998,0)),"No Match")</f>
        <v>Inactive</v>
      </c>
      <c r="F2481" s="2" t="str">
        <f t="shared" si="76"/>
        <v>THEM</v>
      </c>
      <c r="G2481" s="2" t="str">
        <f t="shared" si="77"/>
        <v>Czechvar|MORRIS 3</v>
      </c>
    </row>
    <row r="2482" spans="1:7" x14ac:dyDescent="0.2">
      <c r="A2482" s="2" t="str" cm="1">
        <f t="array" ref="A2482">INDEX('[1]Brand Family Territory (Enc)'!$A$2:$A$296,INT((ROW()-2)/10)+1)</f>
        <v>Daura</v>
      </c>
      <c r="B2482" s="2" t="str" cm="1">
        <f t="array" ref="B2482">INDEX('Whitelist (Blackout Reverse)'!$B$1:$K$1,MOD(ROW()-2,10)+1)</f>
        <v>BERGEN</v>
      </c>
      <c r="C2482" s="2" t="str">
        <f>VLOOKUP(A2482,'[1]Brand Family Territory (Enc)'!$A$2:$B$296,2,FALSE)</f>
        <v>Core + Morris Communities</v>
      </c>
      <c r="D2482" s="2">
        <f>IF(COUNTIFS('[1]Brand Family Territories (Enc)'!$B$2:$B$62,C2482,'[1]Brand Family Territories (Enc)'!$C$2:$C$62,B2482)&gt;0,1,IF(AND(LEFT(B2482,6)="MORRIS",COUNTIFS('[1]Brand Family Territories (Enc)'!$B$2:$B$62,C2482,'[1]Brand Family Territories (Enc)'!$C$2:$C$62,"Morri")&gt;0),"Unk",0))</f>
        <v>1</v>
      </c>
      <c r="E2482" s="2" t="str">
        <f>IFERROR(INDEX('Blackout Brand Fam Areas (Enc)'!$D$6:$D$998,MATCH(UPPER(A2482)&amp;"|"&amp;UPPER(B2482),'Blackout Brand Fam Areas (Enc)'!$G$6:$G$998,0)),"No Match")</f>
        <v>No Match</v>
      </c>
      <c r="F2482" s="2" t="str">
        <f t="shared" si="76"/>
        <v>US</v>
      </c>
      <c r="G2482" s="2" t="str">
        <f t="shared" si="77"/>
        <v>Daura|BERGEN</v>
      </c>
    </row>
    <row r="2483" spans="1:7" x14ac:dyDescent="0.2">
      <c r="A2483" s="2" t="str" cm="1">
        <f t="array" ref="A2483">INDEX('[1]Brand Family Territory (Enc)'!$A$2:$A$296,INT((ROW()-2)/10)+1)</f>
        <v>Daura</v>
      </c>
      <c r="B2483" s="2" t="str" cm="1">
        <f t="array" ref="B2483">INDEX('Whitelist (Blackout Reverse)'!$B$1:$K$1,MOD(ROW()-2,10)+1)</f>
        <v>PASSAIC</v>
      </c>
      <c r="C2483" s="2" t="str">
        <f>VLOOKUP(A2483,'[1]Brand Family Territory (Enc)'!$A$2:$B$296,2,FALSE)</f>
        <v>Core + Morris Communities</v>
      </c>
      <c r="D2483" s="2">
        <f>IF(COUNTIFS('[1]Brand Family Territories (Enc)'!$B$2:$B$62,C2483,'[1]Brand Family Territories (Enc)'!$C$2:$C$62,B2483)&gt;0,1,IF(AND(LEFT(B2483,6)="MORRIS",COUNTIFS('[1]Brand Family Territories (Enc)'!$B$2:$B$62,C2483,'[1]Brand Family Territories (Enc)'!$C$2:$C$62,"Morri")&gt;0),"Unk",0))</f>
        <v>1</v>
      </c>
      <c r="E2483" s="2" t="str">
        <f>IFERROR(INDEX('Blackout Brand Fam Areas (Enc)'!$D$6:$D$998,MATCH(UPPER(A2483)&amp;"|"&amp;UPPER(B2483),'Blackout Brand Fam Areas (Enc)'!$G$6:$G$998,0)),"No Match")</f>
        <v>No Match</v>
      </c>
      <c r="F2483" s="2" t="str">
        <f t="shared" si="76"/>
        <v>US</v>
      </c>
      <c r="G2483" s="2" t="str">
        <f t="shared" si="77"/>
        <v>Daura|PASSAIC</v>
      </c>
    </row>
    <row r="2484" spans="1:7" x14ac:dyDescent="0.2">
      <c r="A2484" s="2" t="str" cm="1">
        <f t="array" ref="A2484">INDEX('[1]Brand Family Territory (Enc)'!$A$2:$A$296,INT((ROW()-2)/10)+1)</f>
        <v>Daura</v>
      </c>
      <c r="B2484" s="2" t="str" cm="1">
        <f t="array" ref="B2484">INDEX('Whitelist (Blackout Reverse)'!$B$1:$K$1,MOD(ROW()-2,10)+1)</f>
        <v>PASSAIC-FF</v>
      </c>
      <c r="C2484" s="2" t="str">
        <f>VLOOKUP(A2484,'[1]Brand Family Territory (Enc)'!$A$2:$B$296,2,FALSE)</f>
        <v>Core + Morris Communities</v>
      </c>
      <c r="D2484" s="2">
        <f>IF(COUNTIFS('[1]Brand Family Territories (Enc)'!$B$2:$B$62,C2484,'[1]Brand Family Territories (Enc)'!$C$2:$C$62,B2484)&gt;0,1,IF(AND(LEFT(B2484,6)="MORRIS",COUNTIFS('[1]Brand Family Territories (Enc)'!$B$2:$B$62,C2484,'[1]Brand Family Territories (Enc)'!$C$2:$C$62,"Morri")&gt;0),"Unk",0))</f>
        <v>1</v>
      </c>
      <c r="E2484" s="2" t="str">
        <f>IFERROR(INDEX('Blackout Brand Fam Areas (Enc)'!$D$6:$D$998,MATCH(UPPER(A2484)&amp;"|"&amp;UPPER(B2484),'Blackout Brand Fam Areas (Enc)'!$G$6:$G$998,0)),"No Match")</f>
        <v>No Match</v>
      </c>
      <c r="F2484" s="2" t="str">
        <f t="shared" si="76"/>
        <v>US</v>
      </c>
      <c r="G2484" s="2" t="str">
        <f t="shared" si="77"/>
        <v>Daura|PASSAIC-FF</v>
      </c>
    </row>
    <row r="2485" spans="1:7" x14ac:dyDescent="0.2">
      <c r="A2485" s="2" t="str" cm="1">
        <f t="array" ref="A2485">INDEX('[1]Brand Family Territory (Enc)'!$A$2:$A$296,INT((ROW()-2)/10)+1)</f>
        <v>Daura</v>
      </c>
      <c r="B2485" s="2" t="str" cm="1">
        <f t="array" ref="B2485">INDEX('Whitelist (Blackout Reverse)'!$B$1:$K$1,MOD(ROW()-2,10)+1)</f>
        <v>ESSEX</v>
      </c>
      <c r="C2485" s="2" t="str">
        <f>VLOOKUP(A2485,'[1]Brand Family Territory (Enc)'!$A$2:$B$296,2,FALSE)</f>
        <v>Core + Morris Communities</v>
      </c>
      <c r="D2485" s="2">
        <f>IF(COUNTIFS('[1]Brand Family Territories (Enc)'!$B$2:$B$62,C2485,'[1]Brand Family Territories (Enc)'!$C$2:$C$62,B2485)&gt;0,1,IF(AND(LEFT(B2485,6)="MORRIS",COUNTIFS('[1]Brand Family Territories (Enc)'!$B$2:$B$62,C2485,'[1]Brand Family Territories (Enc)'!$C$2:$C$62,"Morri")&gt;0),"Unk",0))</f>
        <v>0</v>
      </c>
      <c r="E2485" s="2" t="str">
        <f>IFERROR(INDEX('Blackout Brand Fam Areas (Enc)'!$D$6:$D$998,MATCH(UPPER(A2485)&amp;"|"&amp;UPPER(B2485),'Blackout Brand Fam Areas (Enc)'!$G$6:$G$998,0)),"No Match")</f>
        <v>No Match</v>
      </c>
      <c r="F2485" s="2" t="str">
        <f t="shared" si="76"/>
        <v>THEM</v>
      </c>
      <c r="G2485" s="2" t="str">
        <f t="shared" si="77"/>
        <v>Daura|ESSEX</v>
      </c>
    </row>
    <row r="2486" spans="1:7" x14ac:dyDescent="0.2">
      <c r="A2486" s="2" t="str" cm="1">
        <f t="array" ref="A2486">INDEX('[1]Brand Family Territory (Enc)'!$A$2:$A$296,INT((ROW()-2)/10)+1)</f>
        <v>Daura</v>
      </c>
      <c r="B2486" s="2" t="str" cm="1">
        <f t="array" ref="B2486">INDEX('Whitelist (Blackout Reverse)'!$B$1:$K$1,MOD(ROW()-2,10)+1)</f>
        <v>HUDSON</v>
      </c>
      <c r="C2486" s="2" t="str">
        <f>VLOOKUP(A2486,'[1]Brand Family Territory (Enc)'!$A$2:$B$296,2,FALSE)</f>
        <v>Core + Morris Communities</v>
      </c>
      <c r="D2486" s="2">
        <f>IF(COUNTIFS('[1]Brand Family Territories (Enc)'!$B$2:$B$62,C2486,'[1]Brand Family Territories (Enc)'!$C$2:$C$62,B2486)&gt;0,1,IF(AND(LEFT(B2486,6)="MORRIS",COUNTIFS('[1]Brand Family Territories (Enc)'!$B$2:$B$62,C2486,'[1]Brand Family Territories (Enc)'!$C$2:$C$62,"Morri")&gt;0),"Unk",0))</f>
        <v>0</v>
      </c>
      <c r="E2486" s="2" t="str">
        <f>IFERROR(INDEX('Blackout Brand Fam Areas (Enc)'!$D$6:$D$998,MATCH(UPPER(A2486)&amp;"|"&amp;UPPER(B2486),'Blackout Brand Fam Areas (Enc)'!$G$6:$G$998,0)),"No Match")</f>
        <v>No Match</v>
      </c>
      <c r="F2486" s="2" t="str">
        <f t="shared" si="76"/>
        <v>THEM</v>
      </c>
      <c r="G2486" s="2" t="str">
        <f t="shared" si="77"/>
        <v>Daura|HUDSON</v>
      </c>
    </row>
    <row r="2487" spans="1:7" x14ac:dyDescent="0.2">
      <c r="A2487" s="2" t="str" cm="1">
        <f t="array" ref="A2487">INDEX('[1]Brand Family Territory (Enc)'!$A$2:$A$296,INT((ROW()-2)/10)+1)</f>
        <v>Daura</v>
      </c>
      <c r="B2487" s="2" t="str" cm="1">
        <f t="array" ref="B2487">INDEX('Whitelist (Blackout Reverse)'!$B$1:$K$1,MOD(ROW()-2,10)+1)</f>
        <v>UNION</v>
      </c>
      <c r="C2487" s="2" t="str">
        <f>VLOOKUP(A2487,'[1]Brand Family Territory (Enc)'!$A$2:$B$296,2,FALSE)</f>
        <v>Core + Morris Communities</v>
      </c>
      <c r="D2487" s="2">
        <f>IF(COUNTIFS('[1]Brand Family Territories (Enc)'!$B$2:$B$62,C2487,'[1]Brand Family Territories (Enc)'!$C$2:$C$62,B2487)&gt;0,1,IF(AND(LEFT(B2487,6)="MORRIS",COUNTIFS('[1]Brand Family Territories (Enc)'!$B$2:$B$62,C2487,'[1]Brand Family Territories (Enc)'!$C$2:$C$62,"Morri")&gt;0),"Unk",0))</f>
        <v>0</v>
      </c>
      <c r="E2487" s="2" t="str">
        <f>IFERROR(INDEX('Blackout Brand Fam Areas (Enc)'!$D$6:$D$998,MATCH(UPPER(A2487)&amp;"|"&amp;UPPER(B2487),'Blackout Brand Fam Areas (Enc)'!$G$6:$G$998,0)),"No Match")</f>
        <v>No Match</v>
      </c>
      <c r="F2487" s="2" t="str">
        <f t="shared" si="76"/>
        <v>THEM</v>
      </c>
      <c r="G2487" s="2" t="str">
        <f t="shared" si="77"/>
        <v>Daura|UNION</v>
      </c>
    </row>
    <row r="2488" spans="1:7" x14ac:dyDescent="0.2">
      <c r="A2488" s="2" t="str" cm="1">
        <f t="array" ref="A2488">INDEX('[1]Brand Family Territory (Enc)'!$A$2:$A$296,INT((ROW()-2)/10)+1)</f>
        <v>Daura</v>
      </c>
      <c r="B2488" s="2" t="str" cm="1">
        <f t="array" ref="B2488">INDEX('Whitelist (Blackout Reverse)'!$B$1:$K$1,MOD(ROW()-2,10)+1)</f>
        <v>SUSSEX</v>
      </c>
      <c r="C2488" s="2" t="str">
        <f>VLOOKUP(A2488,'[1]Brand Family Territory (Enc)'!$A$2:$B$296,2,FALSE)</f>
        <v>Core + Morris Communities</v>
      </c>
      <c r="D2488" s="2">
        <f>IF(COUNTIFS('[1]Brand Family Territories (Enc)'!$B$2:$B$62,C2488,'[1]Brand Family Territories (Enc)'!$C$2:$C$62,B2488)&gt;0,1,IF(AND(LEFT(B2488,6)="MORRIS",COUNTIFS('[1]Brand Family Territories (Enc)'!$B$2:$B$62,C2488,'[1]Brand Family Territories (Enc)'!$C$2:$C$62,"Morri")&gt;0),"Unk",0))</f>
        <v>0</v>
      </c>
      <c r="E2488" s="2" t="str">
        <f>IFERROR(INDEX('Blackout Brand Fam Areas (Enc)'!$D$6:$D$998,MATCH(UPPER(A2488)&amp;"|"&amp;UPPER(B2488),'Blackout Brand Fam Areas (Enc)'!$G$6:$G$998,0)),"No Match")</f>
        <v>Inactive</v>
      </c>
      <c r="F2488" s="2" t="str">
        <f t="shared" si="76"/>
        <v>THEM</v>
      </c>
      <c r="G2488" s="2" t="str">
        <f t="shared" si="77"/>
        <v>Daura|SUSSEX</v>
      </c>
    </row>
    <row r="2489" spans="1:7" x14ac:dyDescent="0.2">
      <c r="A2489" s="2" t="str" cm="1">
        <f t="array" ref="A2489">INDEX('[1]Brand Family Territory (Enc)'!$A$2:$A$296,INT((ROW()-2)/10)+1)</f>
        <v>Daura</v>
      </c>
      <c r="B2489" s="2" t="str" cm="1">
        <f t="array" ref="B2489">INDEX('Whitelist (Blackout Reverse)'!$B$1:$K$1,MOD(ROW()-2,10)+1)</f>
        <v>MORRIS 1</v>
      </c>
      <c r="C2489" s="2" t="str">
        <f>VLOOKUP(A2489,'[1]Brand Family Territory (Enc)'!$A$2:$B$296,2,FALSE)</f>
        <v>Core + Morris Communities</v>
      </c>
      <c r="D2489" s="2">
        <f>IF(COUNTIFS('[1]Brand Family Territories (Enc)'!$B$2:$B$62,C2489,'[1]Brand Family Territories (Enc)'!$C$2:$C$62,B2489)&gt;0,1,IF(AND(LEFT(B2489,6)="MORRIS",COUNTIFS('[1]Brand Family Territories (Enc)'!$B$2:$B$62,C2489,'[1]Brand Family Territories (Enc)'!$C$2:$C$62,"Morri")&gt;0),"Unk",0))</f>
        <v>1</v>
      </c>
      <c r="E2489" s="2" t="str">
        <f>IFERROR(INDEX('Blackout Brand Fam Areas (Enc)'!$D$6:$D$998,MATCH(UPPER(A2489)&amp;"|"&amp;UPPER(B2489),'Blackout Brand Fam Areas (Enc)'!$G$6:$G$998,0)),"No Match")</f>
        <v>Inactive</v>
      </c>
      <c r="F2489" s="2" t="str">
        <f t="shared" si="76"/>
        <v>THEM</v>
      </c>
      <c r="G2489" s="2" t="str">
        <f t="shared" si="77"/>
        <v>Daura|MORRIS 1</v>
      </c>
    </row>
    <row r="2490" spans="1:7" x14ac:dyDescent="0.2">
      <c r="A2490" s="2" t="str" cm="1">
        <f t="array" ref="A2490">INDEX('[1]Brand Family Territory (Enc)'!$A$2:$A$296,INT((ROW()-2)/10)+1)</f>
        <v>Daura</v>
      </c>
      <c r="B2490" s="2" t="str" cm="1">
        <f t="array" ref="B2490">INDEX('Whitelist (Blackout Reverse)'!$B$1:$K$1,MOD(ROW()-2,10)+1)</f>
        <v>MORRIS 2</v>
      </c>
      <c r="C2490" s="2" t="str">
        <f>VLOOKUP(A2490,'[1]Brand Family Territory (Enc)'!$A$2:$B$296,2,FALSE)</f>
        <v>Core + Morris Communities</v>
      </c>
      <c r="D2490" s="2">
        <f>IF(COUNTIFS('[1]Brand Family Territories (Enc)'!$B$2:$B$62,C2490,'[1]Brand Family Territories (Enc)'!$C$2:$C$62,B2490)&gt;0,1,IF(AND(LEFT(B2490,6)="MORRIS",COUNTIFS('[1]Brand Family Territories (Enc)'!$B$2:$B$62,C2490,'[1]Brand Family Territories (Enc)'!$C$2:$C$62,"Morri")&gt;0),"Unk",0))</f>
        <v>0</v>
      </c>
      <c r="E2490" s="2" t="str">
        <f>IFERROR(INDEX('Blackout Brand Fam Areas (Enc)'!$D$6:$D$998,MATCH(UPPER(A2490)&amp;"|"&amp;UPPER(B2490),'Blackout Brand Fam Areas (Enc)'!$G$6:$G$998,0)),"No Match")</f>
        <v>Inactive</v>
      </c>
      <c r="F2490" s="2" t="str">
        <f t="shared" si="76"/>
        <v>THEM</v>
      </c>
      <c r="G2490" s="2" t="str">
        <f t="shared" si="77"/>
        <v>Daura|MORRIS 2</v>
      </c>
    </row>
    <row r="2491" spans="1:7" x14ac:dyDescent="0.2">
      <c r="A2491" s="2" t="str" cm="1">
        <f t="array" ref="A2491">INDEX('[1]Brand Family Territory (Enc)'!$A$2:$A$296,INT((ROW()-2)/10)+1)</f>
        <v>Daura</v>
      </c>
      <c r="B2491" s="2" t="str" cm="1">
        <f t="array" ref="B2491">INDEX('Whitelist (Blackout Reverse)'!$B$1:$K$1,MOD(ROW()-2,10)+1)</f>
        <v>MORRIS 3</v>
      </c>
      <c r="C2491" s="2" t="str">
        <f>VLOOKUP(A2491,'[1]Brand Family Territory (Enc)'!$A$2:$B$296,2,FALSE)</f>
        <v>Core + Morris Communities</v>
      </c>
      <c r="D2491" s="2">
        <f>IF(COUNTIFS('[1]Brand Family Territories (Enc)'!$B$2:$B$62,C2491,'[1]Brand Family Territories (Enc)'!$C$2:$C$62,B2491)&gt;0,1,IF(AND(LEFT(B2491,6)="MORRIS",COUNTIFS('[1]Brand Family Territories (Enc)'!$B$2:$B$62,C2491,'[1]Brand Family Territories (Enc)'!$C$2:$C$62,"Morri")&gt;0),"Unk",0))</f>
        <v>1</v>
      </c>
      <c r="E2491" s="2" t="str">
        <f>IFERROR(INDEX('Blackout Brand Fam Areas (Enc)'!$D$6:$D$998,MATCH(UPPER(A2491)&amp;"|"&amp;UPPER(B2491),'Blackout Brand Fam Areas (Enc)'!$G$6:$G$998,0)),"No Match")</f>
        <v>Inactive</v>
      </c>
      <c r="F2491" s="2" t="str">
        <f t="shared" si="76"/>
        <v>THEM</v>
      </c>
      <c r="G2491" s="2" t="str">
        <f t="shared" si="77"/>
        <v>Daura|MORRIS 3</v>
      </c>
    </row>
    <row r="2492" spans="1:7" x14ac:dyDescent="0.2">
      <c r="A2492" s="2" t="str" cm="1">
        <f t="array" ref="A2492">INDEX('[1]Brand Family Territory (Enc)'!$A$2:$A$296,INT((ROW()-2)/10)+1)</f>
        <v>Estrella</v>
      </c>
      <c r="B2492" s="2" t="str" cm="1">
        <f t="array" ref="B2492">INDEX('Whitelist (Blackout Reverse)'!$B$1:$K$1,MOD(ROW()-2,10)+1)</f>
        <v>BERGEN</v>
      </c>
      <c r="C2492" s="2" t="str">
        <f>VLOOKUP(A2492,'[1]Brand Family Territory (Enc)'!$A$2:$B$296,2,FALSE)</f>
        <v>Metro Five County</v>
      </c>
      <c r="D2492" s="2">
        <f>IF(COUNTIFS('[1]Brand Family Territories (Enc)'!$B$2:$B$62,C2492,'[1]Brand Family Territories (Enc)'!$C$2:$C$62,B2492)&gt;0,1,IF(AND(LEFT(B2492,6)="MORRIS",COUNTIFS('[1]Brand Family Territories (Enc)'!$B$2:$B$62,C2492,'[1]Brand Family Territories (Enc)'!$C$2:$C$62,"Morri")&gt;0),"Unk",0))</f>
        <v>1</v>
      </c>
      <c r="E2492" s="2" t="str">
        <f>IFERROR(INDEX('Blackout Brand Fam Areas (Enc)'!$D$6:$D$998,MATCH(UPPER(A2492)&amp;"|"&amp;UPPER(B2492),'Blackout Brand Fam Areas (Enc)'!$G$6:$G$998,0)),"No Match")</f>
        <v>No Match</v>
      </c>
      <c r="F2492" s="2" t="str">
        <f t="shared" si="76"/>
        <v>US</v>
      </c>
      <c r="G2492" s="2" t="str">
        <f t="shared" si="77"/>
        <v>Estrella|BERGEN</v>
      </c>
    </row>
    <row r="2493" spans="1:7" x14ac:dyDescent="0.2">
      <c r="A2493" s="2" t="str" cm="1">
        <f t="array" ref="A2493">INDEX('[1]Brand Family Territory (Enc)'!$A$2:$A$296,INT((ROW()-2)/10)+1)</f>
        <v>Estrella</v>
      </c>
      <c r="B2493" s="2" t="str" cm="1">
        <f t="array" ref="B2493">INDEX('Whitelist (Blackout Reverse)'!$B$1:$K$1,MOD(ROW()-2,10)+1)</f>
        <v>PASSAIC</v>
      </c>
      <c r="C2493" s="2" t="str">
        <f>VLOOKUP(A2493,'[1]Brand Family Territory (Enc)'!$A$2:$B$296,2,FALSE)</f>
        <v>Metro Five County</v>
      </c>
      <c r="D2493" s="2">
        <f>IF(COUNTIFS('[1]Brand Family Territories (Enc)'!$B$2:$B$62,C2493,'[1]Brand Family Territories (Enc)'!$C$2:$C$62,B2493)&gt;0,1,IF(AND(LEFT(B2493,6)="MORRIS",COUNTIFS('[1]Brand Family Territories (Enc)'!$B$2:$B$62,C2493,'[1]Brand Family Territories (Enc)'!$C$2:$C$62,"Morri")&gt;0),"Unk",0))</f>
        <v>1</v>
      </c>
      <c r="E2493" s="2" t="str">
        <f>IFERROR(INDEX('Blackout Brand Fam Areas (Enc)'!$D$6:$D$998,MATCH(UPPER(A2493)&amp;"|"&amp;UPPER(B2493),'Blackout Brand Fam Areas (Enc)'!$G$6:$G$998,0)),"No Match")</f>
        <v>No Match</v>
      </c>
      <c r="F2493" s="2" t="str">
        <f t="shared" si="76"/>
        <v>US</v>
      </c>
      <c r="G2493" s="2" t="str">
        <f t="shared" si="77"/>
        <v>Estrella|PASSAIC</v>
      </c>
    </row>
    <row r="2494" spans="1:7" x14ac:dyDescent="0.2">
      <c r="A2494" s="2" t="str" cm="1">
        <f t="array" ref="A2494">INDEX('[1]Brand Family Territory (Enc)'!$A$2:$A$296,INT((ROW()-2)/10)+1)</f>
        <v>Estrella</v>
      </c>
      <c r="B2494" s="2" t="str" cm="1">
        <f t="array" ref="B2494">INDEX('Whitelist (Blackout Reverse)'!$B$1:$K$1,MOD(ROW()-2,10)+1)</f>
        <v>PASSAIC-FF</v>
      </c>
      <c r="C2494" s="2" t="str">
        <f>VLOOKUP(A2494,'[1]Brand Family Territory (Enc)'!$A$2:$B$296,2,FALSE)</f>
        <v>Metro Five County</v>
      </c>
      <c r="D2494" s="2">
        <f>IF(COUNTIFS('[1]Brand Family Territories (Enc)'!$B$2:$B$62,C2494,'[1]Brand Family Territories (Enc)'!$C$2:$C$62,B2494)&gt;0,1,IF(AND(LEFT(B2494,6)="MORRIS",COUNTIFS('[1]Brand Family Territories (Enc)'!$B$2:$B$62,C2494,'[1]Brand Family Territories (Enc)'!$C$2:$C$62,"Morri")&gt;0),"Unk",0))</f>
        <v>1</v>
      </c>
      <c r="E2494" s="2" t="str">
        <f>IFERROR(INDEX('Blackout Brand Fam Areas (Enc)'!$D$6:$D$998,MATCH(UPPER(A2494)&amp;"|"&amp;UPPER(B2494),'Blackout Brand Fam Areas (Enc)'!$G$6:$G$998,0)),"No Match")</f>
        <v>No Match</v>
      </c>
      <c r="F2494" s="2" t="str">
        <f t="shared" si="76"/>
        <v>US</v>
      </c>
      <c r="G2494" s="2" t="str">
        <f t="shared" si="77"/>
        <v>Estrella|PASSAIC-FF</v>
      </c>
    </row>
    <row r="2495" spans="1:7" x14ac:dyDescent="0.2">
      <c r="A2495" s="2" t="str" cm="1">
        <f t="array" ref="A2495">INDEX('[1]Brand Family Territory (Enc)'!$A$2:$A$296,INT((ROW()-2)/10)+1)</f>
        <v>Estrella</v>
      </c>
      <c r="B2495" s="2" t="str" cm="1">
        <f t="array" ref="B2495">INDEX('Whitelist (Blackout Reverse)'!$B$1:$K$1,MOD(ROW()-2,10)+1)</f>
        <v>ESSEX</v>
      </c>
      <c r="C2495" s="2" t="str">
        <f>VLOOKUP(A2495,'[1]Brand Family Territory (Enc)'!$A$2:$B$296,2,FALSE)</f>
        <v>Metro Five County</v>
      </c>
      <c r="D2495" s="2">
        <f>IF(COUNTIFS('[1]Brand Family Territories (Enc)'!$B$2:$B$62,C2495,'[1]Brand Family Territories (Enc)'!$C$2:$C$62,B2495)&gt;0,1,IF(AND(LEFT(B2495,6)="MORRIS",COUNTIFS('[1]Brand Family Territories (Enc)'!$B$2:$B$62,C2495,'[1]Brand Family Territories (Enc)'!$C$2:$C$62,"Morri")&gt;0),"Unk",0))</f>
        <v>1</v>
      </c>
      <c r="E2495" s="2" t="str">
        <f>IFERROR(INDEX('Blackout Brand Fam Areas (Enc)'!$D$6:$D$998,MATCH(UPPER(A2495)&amp;"|"&amp;UPPER(B2495),'Blackout Brand Fam Areas (Enc)'!$G$6:$G$998,0)),"No Match")</f>
        <v>No Match</v>
      </c>
      <c r="F2495" s="2" t="str">
        <f t="shared" si="76"/>
        <v>US</v>
      </c>
      <c r="G2495" s="2" t="str">
        <f t="shared" si="77"/>
        <v>Estrella|ESSEX</v>
      </c>
    </row>
    <row r="2496" spans="1:7" x14ac:dyDescent="0.2">
      <c r="A2496" s="2" t="str" cm="1">
        <f t="array" ref="A2496">INDEX('[1]Brand Family Territory (Enc)'!$A$2:$A$296,INT((ROW()-2)/10)+1)</f>
        <v>Estrella</v>
      </c>
      <c r="B2496" s="2" t="str" cm="1">
        <f t="array" ref="B2496">INDEX('Whitelist (Blackout Reverse)'!$B$1:$K$1,MOD(ROW()-2,10)+1)</f>
        <v>HUDSON</v>
      </c>
      <c r="C2496" s="2" t="str">
        <f>VLOOKUP(A2496,'[1]Brand Family Territory (Enc)'!$A$2:$B$296,2,FALSE)</f>
        <v>Metro Five County</v>
      </c>
      <c r="D2496" s="2">
        <f>IF(COUNTIFS('[1]Brand Family Territories (Enc)'!$B$2:$B$62,C2496,'[1]Brand Family Territories (Enc)'!$C$2:$C$62,B2496)&gt;0,1,IF(AND(LEFT(B2496,6)="MORRIS",COUNTIFS('[1]Brand Family Territories (Enc)'!$B$2:$B$62,C2496,'[1]Brand Family Territories (Enc)'!$C$2:$C$62,"Morri")&gt;0),"Unk",0))</f>
        <v>1</v>
      </c>
      <c r="E2496" s="2" t="str">
        <f>IFERROR(INDEX('Blackout Brand Fam Areas (Enc)'!$D$6:$D$998,MATCH(UPPER(A2496)&amp;"|"&amp;UPPER(B2496),'Blackout Brand Fam Areas (Enc)'!$G$6:$G$998,0)),"No Match")</f>
        <v>No Match</v>
      </c>
      <c r="F2496" s="2" t="str">
        <f t="shared" si="76"/>
        <v>US</v>
      </c>
      <c r="G2496" s="2" t="str">
        <f t="shared" si="77"/>
        <v>Estrella|HUDSON</v>
      </c>
    </row>
    <row r="2497" spans="1:7" x14ac:dyDescent="0.2">
      <c r="A2497" s="2" t="str" cm="1">
        <f t="array" ref="A2497">INDEX('[1]Brand Family Territory (Enc)'!$A$2:$A$296,INT((ROW()-2)/10)+1)</f>
        <v>Estrella</v>
      </c>
      <c r="B2497" s="2" t="str" cm="1">
        <f t="array" ref="B2497">INDEX('Whitelist (Blackout Reverse)'!$B$1:$K$1,MOD(ROW()-2,10)+1)</f>
        <v>UNION</v>
      </c>
      <c r="C2497" s="2" t="str">
        <f>VLOOKUP(A2497,'[1]Brand Family Territory (Enc)'!$A$2:$B$296,2,FALSE)</f>
        <v>Metro Five County</v>
      </c>
      <c r="D2497" s="2">
        <f>IF(COUNTIFS('[1]Brand Family Territories (Enc)'!$B$2:$B$62,C2497,'[1]Brand Family Territories (Enc)'!$C$2:$C$62,B2497)&gt;0,1,IF(AND(LEFT(B2497,6)="MORRIS",COUNTIFS('[1]Brand Family Territories (Enc)'!$B$2:$B$62,C2497,'[1]Brand Family Territories (Enc)'!$C$2:$C$62,"Morri")&gt;0),"Unk",0))</f>
        <v>1</v>
      </c>
      <c r="E2497" s="2" t="str">
        <f>IFERROR(INDEX('Blackout Brand Fam Areas (Enc)'!$D$6:$D$998,MATCH(UPPER(A2497)&amp;"|"&amp;UPPER(B2497),'Blackout Brand Fam Areas (Enc)'!$G$6:$G$998,0)),"No Match")</f>
        <v>No Match</v>
      </c>
      <c r="F2497" s="2" t="str">
        <f t="shared" si="76"/>
        <v>US</v>
      </c>
      <c r="G2497" s="2" t="str">
        <f t="shared" si="77"/>
        <v>Estrella|UNION</v>
      </c>
    </row>
    <row r="2498" spans="1:7" x14ac:dyDescent="0.2">
      <c r="A2498" s="2" t="str" cm="1">
        <f t="array" ref="A2498">INDEX('[1]Brand Family Territory (Enc)'!$A$2:$A$296,INT((ROW()-2)/10)+1)</f>
        <v>Estrella</v>
      </c>
      <c r="B2498" s="2" t="str" cm="1">
        <f t="array" ref="B2498">INDEX('Whitelist (Blackout Reverse)'!$B$1:$K$1,MOD(ROW()-2,10)+1)</f>
        <v>SUSSEX</v>
      </c>
      <c r="C2498" s="2" t="str">
        <f>VLOOKUP(A2498,'[1]Brand Family Territory (Enc)'!$A$2:$B$296,2,FALSE)</f>
        <v>Metro Five County</v>
      </c>
      <c r="D2498" s="2">
        <f>IF(COUNTIFS('[1]Brand Family Territories (Enc)'!$B$2:$B$62,C2498,'[1]Brand Family Territories (Enc)'!$C$2:$C$62,B2498)&gt;0,1,IF(AND(LEFT(B2498,6)="MORRIS",COUNTIFS('[1]Brand Family Territories (Enc)'!$B$2:$B$62,C2498,'[1]Brand Family Territories (Enc)'!$C$2:$C$62,"Morri")&gt;0),"Unk",0))</f>
        <v>0</v>
      </c>
      <c r="E2498" s="2" t="str">
        <f>IFERROR(INDEX('Blackout Brand Fam Areas (Enc)'!$D$6:$D$998,MATCH(UPPER(A2498)&amp;"|"&amp;UPPER(B2498),'Blackout Brand Fam Areas (Enc)'!$G$6:$G$998,0)),"No Match")</f>
        <v>Inactive</v>
      </c>
      <c r="F2498" s="2" t="str">
        <f t="shared" si="76"/>
        <v>THEM</v>
      </c>
      <c r="G2498" s="2" t="str">
        <f t="shared" si="77"/>
        <v>Estrella|SUSSEX</v>
      </c>
    </row>
    <row r="2499" spans="1:7" x14ac:dyDescent="0.2">
      <c r="A2499" s="2" t="str" cm="1">
        <f t="array" ref="A2499">INDEX('[1]Brand Family Territory (Enc)'!$A$2:$A$296,INT((ROW()-2)/10)+1)</f>
        <v>Estrella</v>
      </c>
      <c r="B2499" s="2" t="str" cm="1">
        <f t="array" ref="B2499">INDEX('Whitelist (Blackout Reverse)'!$B$1:$K$1,MOD(ROW()-2,10)+1)</f>
        <v>MORRIS 1</v>
      </c>
      <c r="C2499" s="2" t="str">
        <f>VLOOKUP(A2499,'[1]Brand Family Territory (Enc)'!$A$2:$B$296,2,FALSE)</f>
        <v>Metro Five County</v>
      </c>
      <c r="D2499" s="2">
        <f>IF(COUNTIFS('[1]Brand Family Territories (Enc)'!$B$2:$B$62,C2499,'[1]Brand Family Territories (Enc)'!$C$2:$C$62,B2499)&gt;0,1,IF(AND(LEFT(B2499,6)="MORRIS",COUNTIFS('[1]Brand Family Territories (Enc)'!$B$2:$B$62,C2499,'[1]Brand Family Territories (Enc)'!$C$2:$C$62,"Morri")&gt;0),"Unk",0))</f>
        <v>0</v>
      </c>
      <c r="E2499" s="2" t="str">
        <f>IFERROR(INDEX('Blackout Brand Fam Areas (Enc)'!$D$6:$D$998,MATCH(UPPER(A2499)&amp;"|"&amp;UPPER(B2499),'Blackout Brand Fam Areas (Enc)'!$G$6:$G$998,0)),"No Match")</f>
        <v>Inactive</v>
      </c>
      <c r="F2499" s="2" t="str">
        <f t="shared" ref="F2499:F2562" si="78">IF(D2499="Unk","Ambiguous (Source Truncated)",IF(E2499="Inactive","THEM",IF(D2499=1,"US",IF(D2499="N/A","No Territory Data","THEM"))))</f>
        <v>THEM</v>
      </c>
      <c r="G2499" s="2" t="str">
        <f t="shared" ref="G2499:G2562" si="79">A2499&amp;"|"&amp;B2499</f>
        <v>Estrella|MORRIS 1</v>
      </c>
    </row>
    <row r="2500" spans="1:7" x14ac:dyDescent="0.2">
      <c r="A2500" s="2" t="str" cm="1">
        <f t="array" ref="A2500">INDEX('[1]Brand Family Territory (Enc)'!$A$2:$A$296,INT((ROW()-2)/10)+1)</f>
        <v>Estrella</v>
      </c>
      <c r="B2500" s="2" t="str" cm="1">
        <f t="array" ref="B2500">INDEX('Whitelist (Blackout Reverse)'!$B$1:$K$1,MOD(ROW()-2,10)+1)</f>
        <v>MORRIS 2</v>
      </c>
      <c r="C2500" s="2" t="str">
        <f>VLOOKUP(A2500,'[1]Brand Family Territory (Enc)'!$A$2:$B$296,2,FALSE)</f>
        <v>Metro Five County</v>
      </c>
      <c r="D2500" s="2">
        <f>IF(COUNTIFS('[1]Brand Family Territories (Enc)'!$B$2:$B$62,C2500,'[1]Brand Family Territories (Enc)'!$C$2:$C$62,B2500)&gt;0,1,IF(AND(LEFT(B2500,6)="MORRIS",COUNTIFS('[1]Brand Family Territories (Enc)'!$B$2:$B$62,C2500,'[1]Brand Family Territories (Enc)'!$C$2:$C$62,"Morri")&gt;0),"Unk",0))</f>
        <v>0</v>
      </c>
      <c r="E2500" s="2" t="str">
        <f>IFERROR(INDEX('Blackout Brand Fam Areas (Enc)'!$D$6:$D$998,MATCH(UPPER(A2500)&amp;"|"&amp;UPPER(B2500),'Blackout Brand Fam Areas (Enc)'!$G$6:$G$998,0)),"No Match")</f>
        <v>Inactive</v>
      </c>
      <c r="F2500" s="2" t="str">
        <f t="shared" si="78"/>
        <v>THEM</v>
      </c>
      <c r="G2500" s="2" t="str">
        <f t="shared" si="79"/>
        <v>Estrella|MORRIS 2</v>
      </c>
    </row>
    <row r="2501" spans="1:7" x14ac:dyDescent="0.2">
      <c r="A2501" s="2" t="str" cm="1">
        <f t="array" ref="A2501">INDEX('[1]Brand Family Territory (Enc)'!$A$2:$A$296,INT((ROW()-2)/10)+1)</f>
        <v>Estrella</v>
      </c>
      <c r="B2501" s="2" t="str" cm="1">
        <f t="array" ref="B2501">INDEX('Whitelist (Blackout Reverse)'!$B$1:$K$1,MOD(ROW()-2,10)+1)</f>
        <v>MORRIS 3</v>
      </c>
      <c r="C2501" s="2" t="str">
        <f>VLOOKUP(A2501,'[1]Brand Family Territory (Enc)'!$A$2:$B$296,2,FALSE)</f>
        <v>Metro Five County</v>
      </c>
      <c r="D2501" s="2">
        <f>IF(COUNTIFS('[1]Brand Family Territories (Enc)'!$B$2:$B$62,C2501,'[1]Brand Family Territories (Enc)'!$C$2:$C$62,B2501)&gt;0,1,IF(AND(LEFT(B2501,6)="MORRIS",COUNTIFS('[1]Brand Family Territories (Enc)'!$B$2:$B$62,C2501,'[1]Brand Family Territories (Enc)'!$C$2:$C$62,"Morri")&gt;0),"Unk",0))</f>
        <v>0</v>
      </c>
      <c r="E2501" s="2" t="str">
        <f>IFERROR(INDEX('Blackout Brand Fam Areas (Enc)'!$D$6:$D$998,MATCH(UPPER(A2501)&amp;"|"&amp;UPPER(B2501),'Blackout Brand Fam Areas (Enc)'!$G$6:$G$998,0)),"No Match")</f>
        <v>Inactive</v>
      </c>
      <c r="F2501" s="2" t="str">
        <f t="shared" si="78"/>
        <v>THEM</v>
      </c>
      <c r="G2501" s="2" t="str">
        <f t="shared" si="79"/>
        <v>Estrella|MORRIS 3</v>
      </c>
    </row>
    <row r="2502" spans="1:7" x14ac:dyDescent="0.2">
      <c r="A2502" s="2" t="str" cm="1">
        <f t="array" ref="A2502">INDEX('[1]Brand Family Territory (Enc)'!$A$2:$A$296,INT((ROW()-2)/10)+1)</f>
        <v>Famosa</v>
      </c>
      <c r="B2502" s="2" t="str" cm="1">
        <f t="array" ref="B2502">INDEX('Whitelist (Blackout Reverse)'!$B$1:$K$1,MOD(ROW()-2,10)+1)</f>
        <v>BERGEN</v>
      </c>
      <c r="C2502" s="2" t="str">
        <f>VLOOKUP(A2502,'[1]Brand Family Territory (Enc)'!$A$2:$B$296,2,FALSE)</f>
        <v>Metro Five County</v>
      </c>
      <c r="D2502" s="2">
        <f>IF(COUNTIFS('[1]Brand Family Territories (Enc)'!$B$2:$B$62,C2502,'[1]Brand Family Territories (Enc)'!$C$2:$C$62,B2502)&gt;0,1,IF(AND(LEFT(B2502,6)="MORRIS",COUNTIFS('[1]Brand Family Territories (Enc)'!$B$2:$B$62,C2502,'[1]Brand Family Territories (Enc)'!$C$2:$C$62,"Morri")&gt;0),"Unk",0))</f>
        <v>1</v>
      </c>
      <c r="E2502" s="2" t="str">
        <f>IFERROR(INDEX('Blackout Brand Fam Areas (Enc)'!$D$6:$D$998,MATCH(UPPER(A2502)&amp;"|"&amp;UPPER(B2502),'Blackout Brand Fam Areas (Enc)'!$G$6:$G$998,0)),"No Match")</f>
        <v>No Match</v>
      </c>
      <c r="F2502" s="2" t="str">
        <f t="shared" si="78"/>
        <v>US</v>
      </c>
      <c r="G2502" s="2" t="str">
        <f t="shared" si="79"/>
        <v>Famosa|BERGEN</v>
      </c>
    </row>
    <row r="2503" spans="1:7" x14ac:dyDescent="0.2">
      <c r="A2503" s="2" t="str" cm="1">
        <f t="array" ref="A2503">INDEX('[1]Brand Family Territory (Enc)'!$A$2:$A$296,INT((ROW()-2)/10)+1)</f>
        <v>Famosa</v>
      </c>
      <c r="B2503" s="2" t="str" cm="1">
        <f t="array" ref="B2503">INDEX('Whitelist (Blackout Reverse)'!$B$1:$K$1,MOD(ROW()-2,10)+1)</f>
        <v>PASSAIC</v>
      </c>
      <c r="C2503" s="2" t="str">
        <f>VLOOKUP(A2503,'[1]Brand Family Territory (Enc)'!$A$2:$B$296,2,FALSE)</f>
        <v>Metro Five County</v>
      </c>
      <c r="D2503" s="2">
        <f>IF(COUNTIFS('[1]Brand Family Territories (Enc)'!$B$2:$B$62,C2503,'[1]Brand Family Territories (Enc)'!$C$2:$C$62,B2503)&gt;0,1,IF(AND(LEFT(B2503,6)="MORRIS",COUNTIFS('[1]Brand Family Territories (Enc)'!$B$2:$B$62,C2503,'[1]Brand Family Territories (Enc)'!$C$2:$C$62,"Morri")&gt;0),"Unk",0))</f>
        <v>1</v>
      </c>
      <c r="E2503" s="2" t="str">
        <f>IFERROR(INDEX('Blackout Brand Fam Areas (Enc)'!$D$6:$D$998,MATCH(UPPER(A2503)&amp;"|"&amp;UPPER(B2503),'Blackout Brand Fam Areas (Enc)'!$G$6:$G$998,0)),"No Match")</f>
        <v>No Match</v>
      </c>
      <c r="F2503" s="2" t="str">
        <f t="shared" si="78"/>
        <v>US</v>
      </c>
      <c r="G2503" s="2" t="str">
        <f t="shared" si="79"/>
        <v>Famosa|PASSAIC</v>
      </c>
    </row>
    <row r="2504" spans="1:7" x14ac:dyDescent="0.2">
      <c r="A2504" s="2" t="str" cm="1">
        <f t="array" ref="A2504">INDEX('[1]Brand Family Territory (Enc)'!$A$2:$A$296,INT((ROW()-2)/10)+1)</f>
        <v>Famosa</v>
      </c>
      <c r="B2504" s="2" t="str" cm="1">
        <f t="array" ref="B2504">INDEX('Whitelist (Blackout Reverse)'!$B$1:$K$1,MOD(ROW()-2,10)+1)</f>
        <v>PASSAIC-FF</v>
      </c>
      <c r="C2504" s="2" t="str">
        <f>VLOOKUP(A2504,'[1]Brand Family Territory (Enc)'!$A$2:$B$296,2,FALSE)</f>
        <v>Metro Five County</v>
      </c>
      <c r="D2504" s="2">
        <f>IF(COUNTIFS('[1]Brand Family Territories (Enc)'!$B$2:$B$62,C2504,'[1]Brand Family Territories (Enc)'!$C$2:$C$62,B2504)&gt;0,1,IF(AND(LEFT(B2504,6)="MORRIS",COUNTIFS('[1]Brand Family Territories (Enc)'!$B$2:$B$62,C2504,'[1]Brand Family Territories (Enc)'!$C$2:$C$62,"Morri")&gt;0),"Unk",0))</f>
        <v>1</v>
      </c>
      <c r="E2504" s="2" t="str">
        <f>IFERROR(INDEX('Blackout Brand Fam Areas (Enc)'!$D$6:$D$998,MATCH(UPPER(A2504)&amp;"|"&amp;UPPER(B2504),'Blackout Brand Fam Areas (Enc)'!$G$6:$G$998,0)),"No Match")</f>
        <v>No Match</v>
      </c>
      <c r="F2504" s="2" t="str">
        <f t="shared" si="78"/>
        <v>US</v>
      </c>
      <c r="G2504" s="2" t="str">
        <f t="shared" si="79"/>
        <v>Famosa|PASSAIC-FF</v>
      </c>
    </row>
    <row r="2505" spans="1:7" x14ac:dyDescent="0.2">
      <c r="A2505" s="2" t="str" cm="1">
        <f t="array" ref="A2505">INDEX('[1]Brand Family Territory (Enc)'!$A$2:$A$296,INT((ROW()-2)/10)+1)</f>
        <v>Famosa</v>
      </c>
      <c r="B2505" s="2" t="str" cm="1">
        <f t="array" ref="B2505">INDEX('Whitelist (Blackout Reverse)'!$B$1:$K$1,MOD(ROW()-2,10)+1)</f>
        <v>ESSEX</v>
      </c>
      <c r="C2505" s="2" t="str">
        <f>VLOOKUP(A2505,'[1]Brand Family Territory (Enc)'!$A$2:$B$296,2,FALSE)</f>
        <v>Metro Five County</v>
      </c>
      <c r="D2505" s="2">
        <f>IF(COUNTIFS('[1]Brand Family Territories (Enc)'!$B$2:$B$62,C2505,'[1]Brand Family Territories (Enc)'!$C$2:$C$62,B2505)&gt;0,1,IF(AND(LEFT(B2505,6)="MORRIS",COUNTIFS('[1]Brand Family Territories (Enc)'!$B$2:$B$62,C2505,'[1]Brand Family Territories (Enc)'!$C$2:$C$62,"Morri")&gt;0),"Unk",0))</f>
        <v>1</v>
      </c>
      <c r="E2505" s="2" t="str">
        <f>IFERROR(INDEX('Blackout Brand Fam Areas (Enc)'!$D$6:$D$998,MATCH(UPPER(A2505)&amp;"|"&amp;UPPER(B2505),'Blackout Brand Fam Areas (Enc)'!$G$6:$G$998,0)),"No Match")</f>
        <v>No Match</v>
      </c>
      <c r="F2505" s="2" t="str">
        <f t="shared" si="78"/>
        <v>US</v>
      </c>
      <c r="G2505" s="2" t="str">
        <f t="shared" si="79"/>
        <v>Famosa|ESSEX</v>
      </c>
    </row>
    <row r="2506" spans="1:7" x14ac:dyDescent="0.2">
      <c r="A2506" s="2" t="str" cm="1">
        <f t="array" ref="A2506">INDEX('[1]Brand Family Territory (Enc)'!$A$2:$A$296,INT((ROW()-2)/10)+1)</f>
        <v>Famosa</v>
      </c>
      <c r="B2506" s="2" t="str" cm="1">
        <f t="array" ref="B2506">INDEX('Whitelist (Blackout Reverse)'!$B$1:$K$1,MOD(ROW()-2,10)+1)</f>
        <v>HUDSON</v>
      </c>
      <c r="C2506" s="2" t="str">
        <f>VLOOKUP(A2506,'[1]Brand Family Territory (Enc)'!$A$2:$B$296,2,FALSE)</f>
        <v>Metro Five County</v>
      </c>
      <c r="D2506" s="2">
        <f>IF(COUNTIFS('[1]Brand Family Territories (Enc)'!$B$2:$B$62,C2506,'[1]Brand Family Territories (Enc)'!$C$2:$C$62,B2506)&gt;0,1,IF(AND(LEFT(B2506,6)="MORRIS",COUNTIFS('[1]Brand Family Territories (Enc)'!$B$2:$B$62,C2506,'[1]Brand Family Territories (Enc)'!$C$2:$C$62,"Morri")&gt;0),"Unk",0))</f>
        <v>1</v>
      </c>
      <c r="E2506" s="2" t="str">
        <f>IFERROR(INDEX('Blackout Brand Fam Areas (Enc)'!$D$6:$D$998,MATCH(UPPER(A2506)&amp;"|"&amp;UPPER(B2506),'Blackout Brand Fam Areas (Enc)'!$G$6:$G$998,0)),"No Match")</f>
        <v>No Match</v>
      </c>
      <c r="F2506" s="2" t="str">
        <f t="shared" si="78"/>
        <v>US</v>
      </c>
      <c r="G2506" s="2" t="str">
        <f t="shared" si="79"/>
        <v>Famosa|HUDSON</v>
      </c>
    </row>
    <row r="2507" spans="1:7" x14ac:dyDescent="0.2">
      <c r="A2507" s="2" t="str" cm="1">
        <f t="array" ref="A2507">INDEX('[1]Brand Family Territory (Enc)'!$A$2:$A$296,INT((ROW()-2)/10)+1)</f>
        <v>Famosa</v>
      </c>
      <c r="B2507" s="2" t="str" cm="1">
        <f t="array" ref="B2507">INDEX('Whitelist (Blackout Reverse)'!$B$1:$K$1,MOD(ROW()-2,10)+1)</f>
        <v>UNION</v>
      </c>
      <c r="C2507" s="2" t="str">
        <f>VLOOKUP(A2507,'[1]Brand Family Territory (Enc)'!$A$2:$B$296,2,FALSE)</f>
        <v>Metro Five County</v>
      </c>
      <c r="D2507" s="2">
        <f>IF(COUNTIFS('[1]Brand Family Territories (Enc)'!$B$2:$B$62,C2507,'[1]Brand Family Territories (Enc)'!$C$2:$C$62,B2507)&gt;0,1,IF(AND(LEFT(B2507,6)="MORRIS",COUNTIFS('[1]Brand Family Territories (Enc)'!$B$2:$B$62,C2507,'[1]Brand Family Territories (Enc)'!$C$2:$C$62,"Morri")&gt;0),"Unk",0))</f>
        <v>1</v>
      </c>
      <c r="E2507" s="2" t="str">
        <f>IFERROR(INDEX('Blackout Brand Fam Areas (Enc)'!$D$6:$D$998,MATCH(UPPER(A2507)&amp;"|"&amp;UPPER(B2507),'Blackout Brand Fam Areas (Enc)'!$G$6:$G$998,0)),"No Match")</f>
        <v>No Match</v>
      </c>
      <c r="F2507" s="2" t="str">
        <f t="shared" si="78"/>
        <v>US</v>
      </c>
      <c r="G2507" s="2" t="str">
        <f t="shared" si="79"/>
        <v>Famosa|UNION</v>
      </c>
    </row>
    <row r="2508" spans="1:7" x14ac:dyDescent="0.2">
      <c r="A2508" s="2" t="str" cm="1">
        <f t="array" ref="A2508">INDEX('[1]Brand Family Territory (Enc)'!$A$2:$A$296,INT((ROW()-2)/10)+1)</f>
        <v>Famosa</v>
      </c>
      <c r="B2508" s="2" t="str" cm="1">
        <f t="array" ref="B2508">INDEX('Whitelist (Blackout Reverse)'!$B$1:$K$1,MOD(ROW()-2,10)+1)</f>
        <v>SUSSEX</v>
      </c>
      <c r="C2508" s="2" t="str">
        <f>VLOOKUP(A2508,'[1]Brand Family Territory (Enc)'!$A$2:$B$296,2,FALSE)</f>
        <v>Metro Five County</v>
      </c>
      <c r="D2508" s="2">
        <f>IF(COUNTIFS('[1]Brand Family Territories (Enc)'!$B$2:$B$62,C2508,'[1]Brand Family Territories (Enc)'!$C$2:$C$62,B2508)&gt;0,1,IF(AND(LEFT(B2508,6)="MORRIS",COUNTIFS('[1]Brand Family Territories (Enc)'!$B$2:$B$62,C2508,'[1]Brand Family Territories (Enc)'!$C$2:$C$62,"Morri")&gt;0),"Unk",0))</f>
        <v>0</v>
      </c>
      <c r="E2508" s="2" t="str">
        <f>IFERROR(INDEX('Blackout Brand Fam Areas (Enc)'!$D$6:$D$998,MATCH(UPPER(A2508)&amp;"|"&amp;UPPER(B2508),'Blackout Brand Fam Areas (Enc)'!$G$6:$G$998,0)),"No Match")</f>
        <v>Inactive</v>
      </c>
      <c r="F2508" s="2" t="str">
        <f t="shared" si="78"/>
        <v>THEM</v>
      </c>
      <c r="G2508" s="2" t="str">
        <f t="shared" si="79"/>
        <v>Famosa|SUSSEX</v>
      </c>
    </row>
    <row r="2509" spans="1:7" x14ac:dyDescent="0.2">
      <c r="A2509" s="2" t="str" cm="1">
        <f t="array" ref="A2509">INDEX('[1]Brand Family Territory (Enc)'!$A$2:$A$296,INT((ROW()-2)/10)+1)</f>
        <v>Famosa</v>
      </c>
      <c r="B2509" s="2" t="str" cm="1">
        <f t="array" ref="B2509">INDEX('Whitelist (Blackout Reverse)'!$B$1:$K$1,MOD(ROW()-2,10)+1)</f>
        <v>MORRIS 1</v>
      </c>
      <c r="C2509" s="2" t="str">
        <f>VLOOKUP(A2509,'[1]Brand Family Territory (Enc)'!$A$2:$B$296,2,FALSE)</f>
        <v>Metro Five County</v>
      </c>
      <c r="D2509" s="2">
        <f>IF(COUNTIFS('[1]Brand Family Territories (Enc)'!$B$2:$B$62,C2509,'[1]Brand Family Territories (Enc)'!$C$2:$C$62,B2509)&gt;0,1,IF(AND(LEFT(B2509,6)="MORRIS",COUNTIFS('[1]Brand Family Territories (Enc)'!$B$2:$B$62,C2509,'[1]Brand Family Territories (Enc)'!$C$2:$C$62,"Morri")&gt;0),"Unk",0))</f>
        <v>0</v>
      </c>
      <c r="E2509" s="2" t="str">
        <f>IFERROR(INDEX('Blackout Brand Fam Areas (Enc)'!$D$6:$D$998,MATCH(UPPER(A2509)&amp;"|"&amp;UPPER(B2509),'Blackout Brand Fam Areas (Enc)'!$G$6:$G$998,0)),"No Match")</f>
        <v>Inactive</v>
      </c>
      <c r="F2509" s="2" t="str">
        <f t="shared" si="78"/>
        <v>THEM</v>
      </c>
      <c r="G2509" s="2" t="str">
        <f t="shared" si="79"/>
        <v>Famosa|MORRIS 1</v>
      </c>
    </row>
    <row r="2510" spans="1:7" x14ac:dyDescent="0.2">
      <c r="A2510" s="2" t="str" cm="1">
        <f t="array" ref="A2510">INDEX('[1]Brand Family Territory (Enc)'!$A$2:$A$296,INT((ROW()-2)/10)+1)</f>
        <v>Famosa</v>
      </c>
      <c r="B2510" s="2" t="str" cm="1">
        <f t="array" ref="B2510">INDEX('Whitelist (Blackout Reverse)'!$B$1:$K$1,MOD(ROW()-2,10)+1)</f>
        <v>MORRIS 2</v>
      </c>
      <c r="C2510" s="2" t="str">
        <f>VLOOKUP(A2510,'[1]Brand Family Territory (Enc)'!$A$2:$B$296,2,FALSE)</f>
        <v>Metro Five County</v>
      </c>
      <c r="D2510" s="2">
        <f>IF(COUNTIFS('[1]Brand Family Territories (Enc)'!$B$2:$B$62,C2510,'[1]Brand Family Territories (Enc)'!$C$2:$C$62,B2510)&gt;0,1,IF(AND(LEFT(B2510,6)="MORRIS",COUNTIFS('[1]Brand Family Territories (Enc)'!$B$2:$B$62,C2510,'[1]Brand Family Territories (Enc)'!$C$2:$C$62,"Morri")&gt;0),"Unk",0))</f>
        <v>0</v>
      </c>
      <c r="E2510" s="2" t="str">
        <f>IFERROR(INDEX('Blackout Brand Fam Areas (Enc)'!$D$6:$D$998,MATCH(UPPER(A2510)&amp;"|"&amp;UPPER(B2510),'Blackout Brand Fam Areas (Enc)'!$G$6:$G$998,0)),"No Match")</f>
        <v>Inactive</v>
      </c>
      <c r="F2510" s="2" t="str">
        <f t="shared" si="78"/>
        <v>THEM</v>
      </c>
      <c r="G2510" s="2" t="str">
        <f t="shared" si="79"/>
        <v>Famosa|MORRIS 2</v>
      </c>
    </row>
    <row r="2511" spans="1:7" x14ac:dyDescent="0.2">
      <c r="A2511" s="2" t="str" cm="1">
        <f t="array" ref="A2511">INDEX('[1]Brand Family Territory (Enc)'!$A$2:$A$296,INT((ROW()-2)/10)+1)</f>
        <v>Famosa</v>
      </c>
      <c r="B2511" s="2" t="str" cm="1">
        <f t="array" ref="B2511">INDEX('Whitelist (Blackout Reverse)'!$B$1:$K$1,MOD(ROW()-2,10)+1)</f>
        <v>MORRIS 3</v>
      </c>
      <c r="C2511" s="2" t="str">
        <f>VLOOKUP(A2511,'[1]Brand Family Territory (Enc)'!$A$2:$B$296,2,FALSE)</f>
        <v>Metro Five County</v>
      </c>
      <c r="D2511" s="2">
        <f>IF(COUNTIFS('[1]Brand Family Territories (Enc)'!$B$2:$B$62,C2511,'[1]Brand Family Territories (Enc)'!$C$2:$C$62,B2511)&gt;0,1,IF(AND(LEFT(B2511,6)="MORRIS",COUNTIFS('[1]Brand Family Territories (Enc)'!$B$2:$B$62,C2511,'[1]Brand Family Territories (Enc)'!$C$2:$C$62,"Morri")&gt;0),"Unk",0))</f>
        <v>0</v>
      </c>
      <c r="E2511" s="2" t="str">
        <f>IFERROR(INDEX('Blackout Brand Fam Areas (Enc)'!$D$6:$D$998,MATCH(UPPER(A2511)&amp;"|"&amp;UPPER(B2511),'Blackout Brand Fam Areas (Enc)'!$G$6:$G$998,0)),"No Match")</f>
        <v>Inactive</v>
      </c>
      <c r="F2511" s="2" t="str">
        <f t="shared" si="78"/>
        <v>THEM</v>
      </c>
      <c r="G2511" s="2" t="str">
        <f t="shared" si="79"/>
        <v>Famosa|MORRIS 3</v>
      </c>
    </row>
    <row r="2512" spans="1:7" x14ac:dyDescent="0.2">
      <c r="A2512" s="2" t="str" cm="1">
        <f t="array" ref="A2512">INDEX('[1]Brand Family Territory (Enc)'!$A$2:$A$296,INT((ROW()-2)/10)+1)</f>
        <v>Genesee</v>
      </c>
      <c r="B2512" s="2" t="str" cm="1">
        <f t="array" ref="B2512">INDEX('Whitelist (Blackout Reverse)'!$B$1:$K$1,MOD(ROW()-2,10)+1)</f>
        <v>BERGEN</v>
      </c>
      <c r="C2512" s="2" t="str">
        <f>VLOOKUP(A2512,'[1]Brand Family Territory (Enc)'!$A$2:$B$296,2,FALSE)</f>
        <v>Metro Five County</v>
      </c>
      <c r="D2512" s="2">
        <f>IF(COUNTIFS('[1]Brand Family Territories (Enc)'!$B$2:$B$62,C2512,'[1]Brand Family Territories (Enc)'!$C$2:$C$62,B2512)&gt;0,1,IF(AND(LEFT(B2512,6)="MORRIS",COUNTIFS('[1]Brand Family Territories (Enc)'!$B$2:$B$62,C2512,'[1]Brand Family Territories (Enc)'!$C$2:$C$62,"Morri")&gt;0),"Unk",0))</f>
        <v>1</v>
      </c>
      <c r="E2512" s="2" t="str">
        <f>IFERROR(INDEX('Blackout Brand Fam Areas (Enc)'!$D$6:$D$998,MATCH(UPPER(A2512)&amp;"|"&amp;UPPER(B2512),'Blackout Brand Fam Areas (Enc)'!$G$6:$G$998,0)),"No Match")</f>
        <v>No Match</v>
      </c>
      <c r="F2512" s="2" t="str">
        <f t="shared" si="78"/>
        <v>US</v>
      </c>
      <c r="G2512" s="2" t="str">
        <f t="shared" si="79"/>
        <v>Genesee|BERGEN</v>
      </c>
    </row>
    <row r="2513" spans="1:7" x14ac:dyDescent="0.2">
      <c r="A2513" s="2" t="str" cm="1">
        <f t="array" ref="A2513">INDEX('[1]Brand Family Territory (Enc)'!$A$2:$A$296,INT((ROW()-2)/10)+1)</f>
        <v>Genesee</v>
      </c>
      <c r="B2513" s="2" t="str" cm="1">
        <f t="array" ref="B2513">INDEX('Whitelist (Blackout Reverse)'!$B$1:$K$1,MOD(ROW()-2,10)+1)</f>
        <v>PASSAIC</v>
      </c>
      <c r="C2513" s="2" t="str">
        <f>VLOOKUP(A2513,'[1]Brand Family Territory (Enc)'!$A$2:$B$296,2,FALSE)</f>
        <v>Metro Five County</v>
      </c>
      <c r="D2513" s="2">
        <f>IF(COUNTIFS('[1]Brand Family Territories (Enc)'!$B$2:$B$62,C2513,'[1]Brand Family Territories (Enc)'!$C$2:$C$62,B2513)&gt;0,1,IF(AND(LEFT(B2513,6)="MORRIS",COUNTIFS('[1]Brand Family Territories (Enc)'!$B$2:$B$62,C2513,'[1]Brand Family Territories (Enc)'!$C$2:$C$62,"Morri")&gt;0),"Unk",0))</f>
        <v>1</v>
      </c>
      <c r="E2513" s="2" t="str">
        <f>IFERROR(INDEX('Blackout Brand Fam Areas (Enc)'!$D$6:$D$998,MATCH(UPPER(A2513)&amp;"|"&amp;UPPER(B2513),'Blackout Brand Fam Areas (Enc)'!$G$6:$G$998,0)),"No Match")</f>
        <v>No Match</v>
      </c>
      <c r="F2513" s="2" t="str">
        <f t="shared" si="78"/>
        <v>US</v>
      </c>
      <c r="G2513" s="2" t="str">
        <f t="shared" si="79"/>
        <v>Genesee|PASSAIC</v>
      </c>
    </row>
    <row r="2514" spans="1:7" x14ac:dyDescent="0.2">
      <c r="A2514" s="2" t="str" cm="1">
        <f t="array" ref="A2514">INDEX('[1]Brand Family Territory (Enc)'!$A$2:$A$296,INT((ROW()-2)/10)+1)</f>
        <v>Genesee</v>
      </c>
      <c r="B2514" s="2" t="str" cm="1">
        <f t="array" ref="B2514">INDEX('Whitelist (Blackout Reverse)'!$B$1:$K$1,MOD(ROW()-2,10)+1)</f>
        <v>PASSAIC-FF</v>
      </c>
      <c r="C2514" s="2" t="str">
        <f>VLOOKUP(A2514,'[1]Brand Family Territory (Enc)'!$A$2:$B$296,2,FALSE)</f>
        <v>Metro Five County</v>
      </c>
      <c r="D2514" s="2">
        <f>IF(COUNTIFS('[1]Brand Family Territories (Enc)'!$B$2:$B$62,C2514,'[1]Brand Family Territories (Enc)'!$C$2:$C$62,B2514)&gt;0,1,IF(AND(LEFT(B2514,6)="MORRIS",COUNTIFS('[1]Brand Family Territories (Enc)'!$B$2:$B$62,C2514,'[1]Brand Family Territories (Enc)'!$C$2:$C$62,"Morri")&gt;0),"Unk",0))</f>
        <v>1</v>
      </c>
      <c r="E2514" s="2" t="str">
        <f>IFERROR(INDEX('Blackout Brand Fam Areas (Enc)'!$D$6:$D$998,MATCH(UPPER(A2514)&amp;"|"&amp;UPPER(B2514),'Blackout Brand Fam Areas (Enc)'!$G$6:$G$998,0)),"No Match")</f>
        <v>No Match</v>
      </c>
      <c r="F2514" s="2" t="str">
        <f t="shared" si="78"/>
        <v>US</v>
      </c>
      <c r="G2514" s="2" t="str">
        <f t="shared" si="79"/>
        <v>Genesee|PASSAIC-FF</v>
      </c>
    </row>
    <row r="2515" spans="1:7" x14ac:dyDescent="0.2">
      <c r="A2515" s="2" t="str" cm="1">
        <f t="array" ref="A2515">INDEX('[1]Brand Family Territory (Enc)'!$A$2:$A$296,INT((ROW()-2)/10)+1)</f>
        <v>Genesee</v>
      </c>
      <c r="B2515" s="2" t="str" cm="1">
        <f t="array" ref="B2515">INDEX('Whitelist (Blackout Reverse)'!$B$1:$K$1,MOD(ROW()-2,10)+1)</f>
        <v>ESSEX</v>
      </c>
      <c r="C2515" s="2" t="str">
        <f>VLOOKUP(A2515,'[1]Brand Family Territory (Enc)'!$A$2:$B$296,2,FALSE)</f>
        <v>Metro Five County</v>
      </c>
      <c r="D2515" s="2">
        <f>IF(COUNTIFS('[1]Brand Family Territories (Enc)'!$B$2:$B$62,C2515,'[1]Brand Family Territories (Enc)'!$C$2:$C$62,B2515)&gt;0,1,IF(AND(LEFT(B2515,6)="MORRIS",COUNTIFS('[1]Brand Family Territories (Enc)'!$B$2:$B$62,C2515,'[1]Brand Family Territories (Enc)'!$C$2:$C$62,"Morri")&gt;0),"Unk",0))</f>
        <v>1</v>
      </c>
      <c r="E2515" s="2" t="str">
        <f>IFERROR(INDEX('Blackout Brand Fam Areas (Enc)'!$D$6:$D$998,MATCH(UPPER(A2515)&amp;"|"&amp;UPPER(B2515),'Blackout Brand Fam Areas (Enc)'!$G$6:$G$998,0)),"No Match")</f>
        <v>No Match</v>
      </c>
      <c r="F2515" s="2" t="str">
        <f t="shared" si="78"/>
        <v>US</v>
      </c>
      <c r="G2515" s="2" t="str">
        <f t="shared" si="79"/>
        <v>Genesee|ESSEX</v>
      </c>
    </row>
    <row r="2516" spans="1:7" x14ac:dyDescent="0.2">
      <c r="A2516" s="2" t="str" cm="1">
        <f t="array" ref="A2516">INDEX('[1]Brand Family Territory (Enc)'!$A$2:$A$296,INT((ROW()-2)/10)+1)</f>
        <v>Genesee</v>
      </c>
      <c r="B2516" s="2" t="str" cm="1">
        <f t="array" ref="B2516">INDEX('Whitelist (Blackout Reverse)'!$B$1:$K$1,MOD(ROW()-2,10)+1)</f>
        <v>HUDSON</v>
      </c>
      <c r="C2516" s="2" t="str">
        <f>VLOOKUP(A2516,'[1]Brand Family Territory (Enc)'!$A$2:$B$296,2,FALSE)</f>
        <v>Metro Five County</v>
      </c>
      <c r="D2516" s="2">
        <f>IF(COUNTIFS('[1]Brand Family Territories (Enc)'!$B$2:$B$62,C2516,'[1]Brand Family Territories (Enc)'!$C$2:$C$62,B2516)&gt;0,1,IF(AND(LEFT(B2516,6)="MORRIS",COUNTIFS('[1]Brand Family Territories (Enc)'!$B$2:$B$62,C2516,'[1]Brand Family Territories (Enc)'!$C$2:$C$62,"Morri")&gt;0),"Unk",0))</f>
        <v>1</v>
      </c>
      <c r="E2516" s="2" t="str">
        <f>IFERROR(INDEX('Blackout Brand Fam Areas (Enc)'!$D$6:$D$998,MATCH(UPPER(A2516)&amp;"|"&amp;UPPER(B2516),'Blackout Brand Fam Areas (Enc)'!$G$6:$G$998,0)),"No Match")</f>
        <v>No Match</v>
      </c>
      <c r="F2516" s="2" t="str">
        <f t="shared" si="78"/>
        <v>US</v>
      </c>
      <c r="G2516" s="2" t="str">
        <f t="shared" si="79"/>
        <v>Genesee|HUDSON</v>
      </c>
    </row>
    <row r="2517" spans="1:7" x14ac:dyDescent="0.2">
      <c r="A2517" s="2" t="str" cm="1">
        <f t="array" ref="A2517">INDEX('[1]Brand Family Territory (Enc)'!$A$2:$A$296,INT((ROW()-2)/10)+1)</f>
        <v>Genesee</v>
      </c>
      <c r="B2517" s="2" t="str" cm="1">
        <f t="array" ref="B2517">INDEX('Whitelist (Blackout Reverse)'!$B$1:$K$1,MOD(ROW()-2,10)+1)</f>
        <v>UNION</v>
      </c>
      <c r="C2517" s="2" t="str">
        <f>VLOOKUP(A2517,'[1]Brand Family Territory (Enc)'!$A$2:$B$296,2,FALSE)</f>
        <v>Metro Five County</v>
      </c>
      <c r="D2517" s="2">
        <f>IF(COUNTIFS('[1]Brand Family Territories (Enc)'!$B$2:$B$62,C2517,'[1]Brand Family Territories (Enc)'!$C$2:$C$62,B2517)&gt;0,1,IF(AND(LEFT(B2517,6)="MORRIS",COUNTIFS('[1]Brand Family Territories (Enc)'!$B$2:$B$62,C2517,'[1]Brand Family Territories (Enc)'!$C$2:$C$62,"Morri")&gt;0),"Unk",0))</f>
        <v>1</v>
      </c>
      <c r="E2517" s="2" t="str">
        <f>IFERROR(INDEX('Blackout Brand Fam Areas (Enc)'!$D$6:$D$998,MATCH(UPPER(A2517)&amp;"|"&amp;UPPER(B2517),'Blackout Brand Fam Areas (Enc)'!$G$6:$G$998,0)),"No Match")</f>
        <v>No Match</v>
      </c>
      <c r="F2517" s="2" t="str">
        <f t="shared" si="78"/>
        <v>US</v>
      </c>
      <c r="G2517" s="2" t="str">
        <f t="shared" si="79"/>
        <v>Genesee|UNION</v>
      </c>
    </row>
    <row r="2518" spans="1:7" x14ac:dyDescent="0.2">
      <c r="A2518" s="2" t="str" cm="1">
        <f t="array" ref="A2518">INDEX('[1]Brand Family Territory (Enc)'!$A$2:$A$296,INT((ROW()-2)/10)+1)</f>
        <v>Genesee</v>
      </c>
      <c r="B2518" s="2" t="str" cm="1">
        <f t="array" ref="B2518">INDEX('Whitelist (Blackout Reverse)'!$B$1:$K$1,MOD(ROW()-2,10)+1)</f>
        <v>SUSSEX</v>
      </c>
      <c r="C2518" s="2" t="str">
        <f>VLOOKUP(A2518,'[1]Brand Family Territory (Enc)'!$A$2:$B$296,2,FALSE)</f>
        <v>Metro Five County</v>
      </c>
      <c r="D2518" s="2">
        <f>IF(COUNTIFS('[1]Brand Family Territories (Enc)'!$B$2:$B$62,C2518,'[1]Brand Family Territories (Enc)'!$C$2:$C$62,B2518)&gt;0,1,IF(AND(LEFT(B2518,6)="MORRIS",COUNTIFS('[1]Brand Family Territories (Enc)'!$B$2:$B$62,C2518,'[1]Brand Family Territories (Enc)'!$C$2:$C$62,"Morri")&gt;0),"Unk",0))</f>
        <v>0</v>
      </c>
      <c r="E2518" s="2" t="str">
        <f>IFERROR(INDEX('Blackout Brand Fam Areas (Enc)'!$D$6:$D$998,MATCH(UPPER(A2518)&amp;"|"&amp;UPPER(B2518),'Blackout Brand Fam Areas (Enc)'!$G$6:$G$998,0)),"No Match")</f>
        <v>Inactive</v>
      </c>
      <c r="F2518" s="2" t="str">
        <f t="shared" si="78"/>
        <v>THEM</v>
      </c>
      <c r="G2518" s="2" t="str">
        <f t="shared" si="79"/>
        <v>Genesee|SUSSEX</v>
      </c>
    </row>
    <row r="2519" spans="1:7" x14ac:dyDescent="0.2">
      <c r="A2519" s="2" t="str" cm="1">
        <f t="array" ref="A2519">INDEX('[1]Brand Family Territory (Enc)'!$A$2:$A$296,INT((ROW()-2)/10)+1)</f>
        <v>Genesee</v>
      </c>
      <c r="B2519" s="2" t="str" cm="1">
        <f t="array" ref="B2519">INDEX('Whitelist (Blackout Reverse)'!$B$1:$K$1,MOD(ROW()-2,10)+1)</f>
        <v>MORRIS 1</v>
      </c>
      <c r="C2519" s="2" t="str">
        <f>VLOOKUP(A2519,'[1]Brand Family Territory (Enc)'!$A$2:$B$296,2,FALSE)</f>
        <v>Metro Five County</v>
      </c>
      <c r="D2519" s="2">
        <f>IF(COUNTIFS('[1]Brand Family Territories (Enc)'!$B$2:$B$62,C2519,'[1]Brand Family Territories (Enc)'!$C$2:$C$62,B2519)&gt;0,1,IF(AND(LEFT(B2519,6)="MORRIS",COUNTIFS('[1]Brand Family Territories (Enc)'!$B$2:$B$62,C2519,'[1]Brand Family Territories (Enc)'!$C$2:$C$62,"Morri")&gt;0),"Unk",0))</f>
        <v>0</v>
      </c>
      <c r="E2519" s="2" t="str">
        <f>IFERROR(INDEX('Blackout Brand Fam Areas (Enc)'!$D$6:$D$998,MATCH(UPPER(A2519)&amp;"|"&amp;UPPER(B2519),'Blackout Brand Fam Areas (Enc)'!$G$6:$G$998,0)),"No Match")</f>
        <v>Inactive</v>
      </c>
      <c r="F2519" s="2" t="str">
        <f t="shared" si="78"/>
        <v>THEM</v>
      </c>
      <c r="G2519" s="2" t="str">
        <f t="shared" si="79"/>
        <v>Genesee|MORRIS 1</v>
      </c>
    </row>
    <row r="2520" spans="1:7" x14ac:dyDescent="0.2">
      <c r="A2520" s="2" t="str" cm="1">
        <f t="array" ref="A2520">INDEX('[1]Brand Family Territory (Enc)'!$A$2:$A$296,INT((ROW()-2)/10)+1)</f>
        <v>Genesee</v>
      </c>
      <c r="B2520" s="2" t="str" cm="1">
        <f t="array" ref="B2520">INDEX('Whitelist (Blackout Reverse)'!$B$1:$K$1,MOD(ROW()-2,10)+1)</f>
        <v>MORRIS 2</v>
      </c>
      <c r="C2520" s="2" t="str">
        <f>VLOOKUP(A2520,'[1]Brand Family Territory (Enc)'!$A$2:$B$296,2,FALSE)</f>
        <v>Metro Five County</v>
      </c>
      <c r="D2520" s="2">
        <f>IF(COUNTIFS('[1]Brand Family Territories (Enc)'!$B$2:$B$62,C2520,'[1]Brand Family Territories (Enc)'!$C$2:$C$62,B2520)&gt;0,1,IF(AND(LEFT(B2520,6)="MORRIS",COUNTIFS('[1]Brand Family Territories (Enc)'!$B$2:$B$62,C2520,'[1]Brand Family Territories (Enc)'!$C$2:$C$62,"Morri")&gt;0),"Unk",0))</f>
        <v>0</v>
      </c>
      <c r="E2520" s="2" t="str">
        <f>IFERROR(INDEX('Blackout Brand Fam Areas (Enc)'!$D$6:$D$998,MATCH(UPPER(A2520)&amp;"|"&amp;UPPER(B2520),'Blackout Brand Fam Areas (Enc)'!$G$6:$G$998,0)),"No Match")</f>
        <v>Inactive</v>
      </c>
      <c r="F2520" s="2" t="str">
        <f t="shared" si="78"/>
        <v>THEM</v>
      </c>
      <c r="G2520" s="2" t="str">
        <f t="shared" si="79"/>
        <v>Genesee|MORRIS 2</v>
      </c>
    </row>
    <row r="2521" spans="1:7" x14ac:dyDescent="0.2">
      <c r="A2521" s="2" t="str" cm="1">
        <f t="array" ref="A2521">INDEX('[1]Brand Family Territory (Enc)'!$A$2:$A$296,INT((ROW()-2)/10)+1)</f>
        <v>Genesee</v>
      </c>
      <c r="B2521" s="2" t="str" cm="1">
        <f t="array" ref="B2521">INDEX('Whitelist (Blackout Reverse)'!$B$1:$K$1,MOD(ROW()-2,10)+1)</f>
        <v>MORRIS 3</v>
      </c>
      <c r="C2521" s="2" t="str">
        <f>VLOOKUP(A2521,'[1]Brand Family Territory (Enc)'!$A$2:$B$296,2,FALSE)</f>
        <v>Metro Five County</v>
      </c>
      <c r="D2521" s="2">
        <f>IF(COUNTIFS('[1]Brand Family Territories (Enc)'!$B$2:$B$62,C2521,'[1]Brand Family Territories (Enc)'!$C$2:$C$62,B2521)&gt;0,1,IF(AND(LEFT(B2521,6)="MORRIS",COUNTIFS('[1]Brand Family Territories (Enc)'!$B$2:$B$62,C2521,'[1]Brand Family Territories (Enc)'!$C$2:$C$62,"Morri")&gt;0),"Unk",0))</f>
        <v>0</v>
      </c>
      <c r="E2521" s="2" t="str">
        <f>IFERROR(INDEX('Blackout Brand Fam Areas (Enc)'!$D$6:$D$998,MATCH(UPPER(A2521)&amp;"|"&amp;UPPER(B2521),'Blackout Brand Fam Areas (Enc)'!$G$6:$G$998,0)),"No Match")</f>
        <v>Inactive</v>
      </c>
      <c r="F2521" s="2" t="str">
        <f t="shared" si="78"/>
        <v>THEM</v>
      </c>
      <c r="G2521" s="2" t="str">
        <f t="shared" si="79"/>
        <v>Genesee|MORRIS 3</v>
      </c>
    </row>
    <row r="2522" spans="1:7" x14ac:dyDescent="0.2">
      <c r="A2522" s="2" t="str" cm="1">
        <f t="array" ref="A2522">INDEX('[1]Brand Family Territory (Enc)'!$A$2:$A$296,INT((ROW()-2)/10)+1)</f>
        <v>Imperial</v>
      </c>
      <c r="B2522" s="2" t="str" cm="1">
        <f t="array" ref="B2522">INDEX('Whitelist (Blackout Reverse)'!$B$1:$K$1,MOD(ROW()-2,10)+1)</f>
        <v>BERGEN</v>
      </c>
      <c r="C2522" s="2" t="str">
        <f>VLOOKUP(A2522,'[1]Brand Family Territory (Enc)'!$A$2:$B$296,2,FALSE)</f>
        <v>Metro Five County</v>
      </c>
      <c r="D2522" s="2">
        <f>IF(COUNTIFS('[1]Brand Family Territories (Enc)'!$B$2:$B$62,C2522,'[1]Brand Family Territories (Enc)'!$C$2:$C$62,B2522)&gt;0,1,IF(AND(LEFT(B2522,6)="MORRIS",COUNTIFS('[1]Brand Family Territories (Enc)'!$B$2:$B$62,C2522,'[1]Brand Family Territories (Enc)'!$C$2:$C$62,"Morri")&gt;0),"Unk",0))</f>
        <v>1</v>
      </c>
      <c r="E2522" s="2" t="str">
        <f>IFERROR(INDEX('Blackout Brand Fam Areas (Enc)'!$D$6:$D$998,MATCH(UPPER(A2522)&amp;"|"&amp;UPPER(B2522),'Blackout Brand Fam Areas (Enc)'!$G$6:$G$998,0)),"No Match")</f>
        <v>No Match</v>
      </c>
      <c r="F2522" s="2" t="str">
        <f t="shared" si="78"/>
        <v>US</v>
      </c>
      <c r="G2522" s="2" t="str">
        <f t="shared" si="79"/>
        <v>Imperial|BERGEN</v>
      </c>
    </row>
    <row r="2523" spans="1:7" x14ac:dyDescent="0.2">
      <c r="A2523" s="2" t="str" cm="1">
        <f t="array" ref="A2523">INDEX('[1]Brand Family Territory (Enc)'!$A$2:$A$296,INT((ROW()-2)/10)+1)</f>
        <v>Imperial</v>
      </c>
      <c r="B2523" s="2" t="str" cm="1">
        <f t="array" ref="B2523">INDEX('Whitelist (Blackout Reverse)'!$B$1:$K$1,MOD(ROW()-2,10)+1)</f>
        <v>PASSAIC</v>
      </c>
      <c r="C2523" s="2" t="str">
        <f>VLOOKUP(A2523,'[1]Brand Family Territory (Enc)'!$A$2:$B$296,2,FALSE)</f>
        <v>Metro Five County</v>
      </c>
      <c r="D2523" s="2">
        <f>IF(COUNTIFS('[1]Brand Family Territories (Enc)'!$B$2:$B$62,C2523,'[1]Brand Family Territories (Enc)'!$C$2:$C$62,B2523)&gt;0,1,IF(AND(LEFT(B2523,6)="MORRIS",COUNTIFS('[1]Brand Family Territories (Enc)'!$B$2:$B$62,C2523,'[1]Brand Family Territories (Enc)'!$C$2:$C$62,"Morri")&gt;0),"Unk",0))</f>
        <v>1</v>
      </c>
      <c r="E2523" s="2" t="str">
        <f>IFERROR(INDEX('Blackout Brand Fam Areas (Enc)'!$D$6:$D$998,MATCH(UPPER(A2523)&amp;"|"&amp;UPPER(B2523),'Blackout Brand Fam Areas (Enc)'!$G$6:$G$998,0)),"No Match")</f>
        <v>No Match</v>
      </c>
      <c r="F2523" s="2" t="str">
        <f t="shared" si="78"/>
        <v>US</v>
      </c>
      <c r="G2523" s="2" t="str">
        <f t="shared" si="79"/>
        <v>Imperial|PASSAIC</v>
      </c>
    </row>
    <row r="2524" spans="1:7" x14ac:dyDescent="0.2">
      <c r="A2524" s="2" t="str" cm="1">
        <f t="array" ref="A2524">INDEX('[1]Brand Family Territory (Enc)'!$A$2:$A$296,INT((ROW()-2)/10)+1)</f>
        <v>Imperial</v>
      </c>
      <c r="B2524" s="2" t="str" cm="1">
        <f t="array" ref="B2524">INDEX('Whitelist (Blackout Reverse)'!$B$1:$K$1,MOD(ROW()-2,10)+1)</f>
        <v>PASSAIC-FF</v>
      </c>
      <c r="C2524" s="2" t="str">
        <f>VLOOKUP(A2524,'[1]Brand Family Territory (Enc)'!$A$2:$B$296,2,FALSE)</f>
        <v>Metro Five County</v>
      </c>
      <c r="D2524" s="2">
        <f>IF(COUNTIFS('[1]Brand Family Territories (Enc)'!$B$2:$B$62,C2524,'[1]Brand Family Territories (Enc)'!$C$2:$C$62,B2524)&gt;0,1,IF(AND(LEFT(B2524,6)="MORRIS",COUNTIFS('[1]Brand Family Territories (Enc)'!$B$2:$B$62,C2524,'[1]Brand Family Territories (Enc)'!$C$2:$C$62,"Morri")&gt;0),"Unk",0))</f>
        <v>1</v>
      </c>
      <c r="E2524" s="2" t="str">
        <f>IFERROR(INDEX('Blackout Brand Fam Areas (Enc)'!$D$6:$D$998,MATCH(UPPER(A2524)&amp;"|"&amp;UPPER(B2524),'Blackout Brand Fam Areas (Enc)'!$G$6:$G$998,0)),"No Match")</f>
        <v>No Match</v>
      </c>
      <c r="F2524" s="2" t="str">
        <f t="shared" si="78"/>
        <v>US</v>
      </c>
      <c r="G2524" s="2" t="str">
        <f t="shared" si="79"/>
        <v>Imperial|PASSAIC-FF</v>
      </c>
    </row>
    <row r="2525" spans="1:7" x14ac:dyDescent="0.2">
      <c r="A2525" s="2" t="str" cm="1">
        <f t="array" ref="A2525">INDEX('[1]Brand Family Territory (Enc)'!$A$2:$A$296,INT((ROW()-2)/10)+1)</f>
        <v>Imperial</v>
      </c>
      <c r="B2525" s="2" t="str" cm="1">
        <f t="array" ref="B2525">INDEX('Whitelist (Blackout Reverse)'!$B$1:$K$1,MOD(ROW()-2,10)+1)</f>
        <v>ESSEX</v>
      </c>
      <c r="C2525" s="2" t="str">
        <f>VLOOKUP(A2525,'[1]Brand Family Territory (Enc)'!$A$2:$B$296,2,FALSE)</f>
        <v>Metro Five County</v>
      </c>
      <c r="D2525" s="2">
        <f>IF(COUNTIFS('[1]Brand Family Territories (Enc)'!$B$2:$B$62,C2525,'[1]Brand Family Territories (Enc)'!$C$2:$C$62,B2525)&gt;0,1,IF(AND(LEFT(B2525,6)="MORRIS",COUNTIFS('[1]Brand Family Territories (Enc)'!$B$2:$B$62,C2525,'[1]Brand Family Territories (Enc)'!$C$2:$C$62,"Morri")&gt;0),"Unk",0))</f>
        <v>1</v>
      </c>
      <c r="E2525" s="2" t="str">
        <f>IFERROR(INDEX('Blackout Brand Fam Areas (Enc)'!$D$6:$D$998,MATCH(UPPER(A2525)&amp;"|"&amp;UPPER(B2525),'Blackout Brand Fam Areas (Enc)'!$G$6:$G$998,0)),"No Match")</f>
        <v>No Match</v>
      </c>
      <c r="F2525" s="2" t="str">
        <f t="shared" si="78"/>
        <v>US</v>
      </c>
      <c r="G2525" s="2" t="str">
        <f t="shared" si="79"/>
        <v>Imperial|ESSEX</v>
      </c>
    </row>
    <row r="2526" spans="1:7" x14ac:dyDescent="0.2">
      <c r="A2526" s="2" t="str" cm="1">
        <f t="array" ref="A2526">INDEX('[1]Brand Family Territory (Enc)'!$A$2:$A$296,INT((ROW()-2)/10)+1)</f>
        <v>Imperial</v>
      </c>
      <c r="B2526" s="2" t="str" cm="1">
        <f t="array" ref="B2526">INDEX('Whitelist (Blackout Reverse)'!$B$1:$K$1,MOD(ROW()-2,10)+1)</f>
        <v>HUDSON</v>
      </c>
      <c r="C2526" s="2" t="str">
        <f>VLOOKUP(A2526,'[1]Brand Family Territory (Enc)'!$A$2:$B$296,2,FALSE)</f>
        <v>Metro Five County</v>
      </c>
      <c r="D2526" s="2">
        <f>IF(COUNTIFS('[1]Brand Family Territories (Enc)'!$B$2:$B$62,C2526,'[1]Brand Family Territories (Enc)'!$C$2:$C$62,B2526)&gt;0,1,IF(AND(LEFT(B2526,6)="MORRIS",COUNTIFS('[1]Brand Family Territories (Enc)'!$B$2:$B$62,C2526,'[1]Brand Family Territories (Enc)'!$C$2:$C$62,"Morri")&gt;0),"Unk",0))</f>
        <v>1</v>
      </c>
      <c r="E2526" s="2" t="str">
        <f>IFERROR(INDEX('Blackout Brand Fam Areas (Enc)'!$D$6:$D$998,MATCH(UPPER(A2526)&amp;"|"&amp;UPPER(B2526),'Blackout Brand Fam Areas (Enc)'!$G$6:$G$998,0)),"No Match")</f>
        <v>No Match</v>
      </c>
      <c r="F2526" s="2" t="str">
        <f t="shared" si="78"/>
        <v>US</v>
      </c>
      <c r="G2526" s="2" t="str">
        <f t="shared" si="79"/>
        <v>Imperial|HUDSON</v>
      </c>
    </row>
    <row r="2527" spans="1:7" x14ac:dyDescent="0.2">
      <c r="A2527" s="2" t="str" cm="1">
        <f t="array" ref="A2527">INDEX('[1]Brand Family Territory (Enc)'!$A$2:$A$296,INT((ROW()-2)/10)+1)</f>
        <v>Imperial</v>
      </c>
      <c r="B2527" s="2" t="str" cm="1">
        <f t="array" ref="B2527">INDEX('Whitelist (Blackout Reverse)'!$B$1:$K$1,MOD(ROW()-2,10)+1)</f>
        <v>UNION</v>
      </c>
      <c r="C2527" s="2" t="str">
        <f>VLOOKUP(A2527,'[1]Brand Family Territory (Enc)'!$A$2:$B$296,2,FALSE)</f>
        <v>Metro Five County</v>
      </c>
      <c r="D2527" s="2">
        <f>IF(COUNTIFS('[1]Brand Family Territories (Enc)'!$B$2:$B$62,C2527,'[1]Brand Family Territories (Enc)'!$C$2:$C$62,B2527)&gt;0,1,IF(AND(LEFT(B2527,6)="MORRIS",COUNTIFS('[1]Brand Family Territories (Enc)'!$B$2:$B$62,C2527,'[1]Brand Family Territories (Enc)'!$C$2:$C$62,"Morri")&gt;0),"Unk",0))</f>
        <v>1</v>
      </c>
      <c r="E2527" s="2" t="str">
        <f>IFERROR(INDEX('Blackout Brand Fam Areas (Enc)'!$D$6:$D$998,MATCH(UPPER(A2527)&amp;"|"&amp;UPPER(B2527),'Blackout Brand Fam Areas (Enc)'!$G$6:$G$998,0)),"No Match")</f>
        <v>No Match</v>
      </c>
      <c r="F2527" s="2" t="str">
        <f t="shared" si="78"/>
        <v>US</v>
      </c>
      <c r="G2527" s="2" t="str">
        <f t="shared" si="79"/>
        <v>Imperial|UNION</v>
      </c>
    </row>
    <row r="2528" spans="1:7" x14ac:dyDescent="0.2">
      <c r="A2528" s="2" t="str" cm="1">
        <f t="array" ref="A2528">INDEX('[1]Brand Family Territory (Enc)'!$A$2:$A$296,INT((ROW()-2)/10)+1)</f>
        <v>Imperial</v>
      </c>
      <c r="B2528" s="2" t="str" cm="1">
        <f t="array" ref="B2528">INDEX('Whitelist (Blackout Reverse)'!$B$1:$K$1,MOD(ROW()-2,10)+1)</f>
        <v>SUSSEX</v>
      </c>
      <c r="C2528" s="2" t="str">
        <f>VLOOKUP(A2528,'[1]Brand Family Territory (Enc)'!$A$2:$B$296,2,FALSE)</f>
        <v>Metro Five County</v>
      </c>
      <c r="D2528" s="2">
        <f>IF(COUNTIFS('[1]Brand Family Territories (Enc)'!$B$2:$B$62,C2528,'[1]Brand Family Territories (Enc)'!$C$2:$C$62,B2528)&gt;0,1,IF(AND(LEFT(B2528,6)="MORRIS",COUNTIFS('[1]Brand Family Territories (Enc)'!$B$2:$B$62,C2528,'[1]Brand Family Territories (Enc)'!$C$2:$C$62,"Morri")&gt;0),"Unk",0))</f>
        <v>0</v>
      </c>
      <c r="E2528" s="2" t="str">
        <f>IFERROR(INDEX('Blackout Brand Fam Areas (Enc)'!$D$6:$D$998,MATCH(UPPER(A2528)&amp;"|"&amp;UPPER(B2528),'Blackout Brand Fam Areas (Enc)'!$G$6:$G$998,0)),"No Match")</f>
        <v>Inactive</v>
      </c>
      <c r="F2528" s="2" t="str">
        <f t="shared" si="78"/>
        <v>THEM</v>
      </c>
      <c r="G2528" s="2" t="str">
        <f t="shared" si="79"/>
        <v>Imperial|SUSSEX</v>
      </c>
    </row>
    <row r="2529" spans="1:7" x14ac:dyDescent="0.2">
      <c r="A2529" s="2" t="str" cm="1">
        <f t="array" ref="A2529">INDEX('[1]Brand Family Territory (Enc)'!$A$2:$A$296,INT((ROW()-2)/10)+1)</f>
        <v>Imperial</v>
      </c>
      <c r="B2529" s="2" t="str" cm="1">
        <f t="array" ref="B2529">INDEX('Whitelist (Blackout Reverse)'!$B$1:$K$1,MOD(ROW()-2,10)+1)</f>
        <v>MORRIS 1</v>
      </c>
      <c r="C2529" s="2" t="str">
        <f>VLOOKUP(A2529,'[1]Brand Family Territory (Enc)'!$A$2:$B$296,2,FALSE)</f>
        <v>Metro Five County</v>
      </c>
      <c r="D2529" s="2">
        <f>IF(COUNTIFS('[1]Brand Family Territories (Enc)'!$B$2:$B$62,C2529,'[1]Brand Family Territories (Enc)'!$C$2:$C$62,B2529)&gt;0,1,IF(AND(LEFT(B2529,6)="MORRIS",COUNTIFS('[1]Brand Family Territories (Enc)'!$B$2:$B$62,C2529,'[1]Brand Family Territories (Enc)'!$C$2:$C$62,"Morri")&gt;0),"Unk",0))</f>
        <v>0</v>
      </c>
      <c r="E2529" s="2" t="str">
        <f>IFERROR(INDEX('Blackout Brand Fam Areas (Enc)'!$D$6:$D$998,MATCH(UPPER(A2529)&amp;"|"&amp;UPPER(B2529),'Blackout Brand Fam Areas (Enc)'!$G$6:$G$998,0)),"No Match")</f>
        <v>Inactive</v>
      </c>
      <c r="F2529" s="2" t="str">
        <f t="shared" si="78"/>
        <v>THEM</v>
      </c>
      <c r="G2529" s="2" t="str">
        <f t="shared" si="79"/>
        <v>Imperial|MORRIS 1</v>
      </c>
    </row>
    <row r="2530" spans="1:7" x14ac:dyDescent="0.2">
      <c r="A2530" s="2" t="str" cm="1">
        <f t="array" ref="A2530">INDEX('[1]Brand Family Territory (Enc)'!$A$2:$A$296,INT((ROW()-2)/10)+1)</f>
        <v>Imperial</v>
      </c>
      <c r="B2530" s="2" t="str" cm="1">
        <f t="array" ref="B2530">INDEX('Whitelist (Blackout Reverse)'!$B$1:$K$1,MOD(ROW()-2,10)+1)</f>
        <v>MORRIS 2</v>
      </c>
      <c r="C2530" s="2" t="str">
        <f>VLOOKUP(A2530,'[1]Brand Family Territory (Enc)'!$A$2:$B$296,2,FALSE)</f>
        <v>Metro Five County</v>
      </c>
      <c r="D2530" s="2">
        <f>IF(COUNTIFS('[1]Brand Family Territories (Enc)'!$B$2:$B$62,C2530,'[1]Brand Family Territories (Enc)'!$C$2:$C$62,B2530)&gt;0,1,IF(AND(LEFT(B2530,6)="MORRIS",COUNTIFS('[1]Brand Family Territories (Enc)'!$B$2:$B$62,C2530,'[1]Brand Family Territories (Enc)'!$C$2:$C$62,"Morri")&gt;0),"Unk",0))</f>
        <v>0</v>
      </c>
      <c r="E2530" s="2" t="str">
        <f>IFERROR(INDEX('Blackout Brand Fam Areas (Enc)'!$D$6:$D$998,MATCH(UPPER(A2530)&amp;"|"&amp;UPPER(B2530),'Blackout Brand Fam Areas (Enc)'!$G$6:$G$998,0)),"No Match")</f>
        <v>Inactive</v>
      </c>
      <c r="F2530" s="2" t="str">
        <f t="shared" si="78"/>
        <v>THEM</v>
      </c>
      <c r="G2530" s="2" t="str">
        <f t="shared" si="79"/>
        <v>Imperial|MORRIS 2</v>
      </c>
    </row>
    <row r="2531" spans="1:7" x14ac:dyDescent="0.2">
      <c r="A2531" s="2" t="str" cm="1">
        <f t="array" ref="A2531">INDEX('[1]Brand Family Territory (Enc)'!$A$2:$A$296,INT((ROW()-2)/10)+1)</f>
        <v>Imperial</v>
      </c>
      <c r="B2531" s="2" t="str" cm="1">
        <f t="array" ref="B2531">INDEX('Whitelist (Blackout Reverse)'!$B$1:$K$1,MOD(ROW()-2,10)+1)</f>
        <v>MORRIS 3</v>
      </c>
      <c r="C2531" s="2" t="str">
        <f>VLOOKUP(A2531,'[1]Brand Family Territory (Enc)'!$A$2:$B$296,2,FALSE)</f>
        <v>Metro Five County</v>
      </c>
      <c r="D2531" s="2">
        <f>IF(COUNTIFS('[1]Brand Family Territories (Enc)'!$B$2:$B$62,C2531,'[1]Brand Family Territories (Enc)'!$C$2:$C$62,B2531)&gt;0,1,IF(AND(LEFT(B2531,6)="MORRIS",COUNTIFS('[1]Brand Family Territories (Enc)'!$B$2:$B$62,C2531,'[1]Brand Family Territories (Enc)'!$C$2:$C$62,"Morri")&gt;0),"Unk",0))</f>
        <v>0</v>
      </c>
      <c r="E2531" s="2" t="str">
        <f>IFERROR(INDEX('Blackout Brand Fam Areas (Enc)'!$D$6:$D$998,MATCH(UPPER(A2531)&amp;"|"&amp;UPPER(B2531),'Blackout Brand Fam Areas (Enc)'!$G$6:$G$998,0)),"No Match")</f>
        <v>Inactive</v>
      </c>
      <c r="F2531" s="2" t="str">
        <f t="shared" si="78"/>
        <v>THEM</v>
      </c>
      <c r="G2531" s="2" t="str">
        <f t="shared" si="79"/>
        <v>Imperial|MORRIS 3</v>
      </c>
    </row>
    <row r="2532" spans="1:7" x14ac:dyDescent="0.2">
      <c r="A2532" s="2" t="str" cm="1">
        <f t="array" ref="A2532">INDEX('[1]Brand Family Territory (Enc)'!$A$2:$A$296,INT((ROW()-2)/10)+1)</f>
        <v>La Tropical</v>
      </c>
      <c r="B2532" s="2" t="str" cm="1">
        <f t="array" ref="B2532">INDEX('Whitelist (Blackout Reverse)'!$B$1:$K$1,MOD(ROW()-2,10)+1)</f>
        <v>BERGEN</v>
      </c>
      <c r="C2532" s="2" t="str">
        <f>VLOOKUP(A2532,'[1]Brand Family Territory (Enc)'!$A$2:$B$296,2,FALSE)</f>
        <v>Metro Five County</v>
      </c>
      <c r="D2532" s="2">
        <f>IF(COUNTIFS('[1]Brand Family Territories (Enc)'!$B$2:$B$62,C2532,'[1]Brand Family Territories (Enc)'!$C$2:$C$62,B2532)&gt;0,1,IF(AND(LEFT(B2532,6)="MORRIS",COUNTIFS('[1]Brand Family Territories (Enc)'!$B$2:$B$62,C2532,'[1]Brand Family Territories (Enc)'!$C$2:$C$62,"Morri")&gt;0),"Unk",0))</f>
        <v>1</v>
      </c>
      <c r="E2532" s="2" t="str">
        <f>IFERROR(INDEX('Blackout Brand Fam Areas (Enc)'!$D$6:$D$998,MATCH(UPPER(A2532)&amp;"|"&amp;UPPER(B2532),'Blackout Brand Fam Areas (Enc)'!$G$6:$G$998,0)),"No Match")</f>
        <v>No Match</v>
      </c>
      <c r="F2532" s="2" t="str">
        <f t="shared" si="78"/>
        <v>US</v>
      </c>
      <c r="G2532" s="2" t="str">
        <f t="shared" si="79"/>
        <v>La Tropical|BERGEN</v>
      </c>
    </row>
    <row r="2533" spans="1:7" x14ac:dyDescent="0.2">
      <c r="A2533" s="2" t="str" cm="1">
        <f t="array" ref="A2533">INDEX('[1]Brand Family Territory (Enc)'!$A$2:$A$296,INT((ROW()-2)/10)+1)</f>
        <v>La Tropical</v>
      </c>
      <c r="B2533" s="2" t="str" cm="1">
        <f t="array" ref="B2533">INDEX('Whitelist (Blackout Reverse)'!$B$1:$K$1,MOD(ROW()-2,10)+1)</f>
        <v>PASSAIC</v>
      </c>
      <c r="C2533" s="2" t="str">
        <f>VLOOKUP(A2533,'[1]Brand Family Territory (Enc)'!$A$2:$B$296,2,FALSE)</f>
        <v>Metro Five County</v>
      </c>
      <c r="D2533" s="2">
        <f>IF(COUNTIFS('[1]Brand Family Territories (Enc)'!$B$2:$B$62,C2533,'[1]Brand Family Territories (Enc)'!$C$2:$C$62,B2533)&gt;0,1,IF(AND(LEFT(B2533,6)="MORRIS",COUNTIFS('[1]Brand Family Territories (Enc)'!$B$2:$B$62,C2533,'[1]Brand Family Territories (Enc)'!$C$2:$C$62,"Morri")&gt;0),"Unk",0))</f>
        <v>1</v>
      </c>
      <c r="E2533" s="2" t="str">
        <f>IFERROR(INDEX('Blackout Brand Fam Areas (Enc)'!$D$6:$D$998,MATCH(UPPER(A2533)&amp;"|"&amp;UPPER(B2533),'Blackout Brand Fam Areas (Enc)'!$G$6:$G$998,0)),"No Match")</f>
        <v>No Match</v>
      </c>
      <c r="F2533" s="2" t="str">
        <f t="shared" si="78"/>
        <v>US</v>
      </c>
      <c r="G2533" s="2" t="str">
        <f t="shared" si="79"/>
        <v>La Tropical|PASSAIC</v>
      </c>
    </row>
    <row r="2534" spans="1:7" x14ac:dyDescent="0.2">
      <c r="A2534" s="2" t="str" cm="1">
        <f t="array" ref="A2534">INDEX('[1]Brand Family Territory (Enc)'!$A$2:$A$296,INT((ROW()-2)/10)+1)</f>
        <v>La Tropical</v>
      </c>
      <c r="B2534" s="2" t="str" cm="1">
        <f t="array" ref="B2534">INDEX('Whitelist (Blackout Reverse)'!$B$1:$K$1,MOD(ROW()-2,10)+1)</f>
        <v>PASSAIC-FF</v>
      </c>
      <c r="C2534" s="2" t="str">
        <f>VLOOKUP(A2534,'[1]Brand Family Territory (Enc)'!$A$2:$B$296,2,FALSE)</f>
        <v>Metro Five County</v>
      </c>
      <c r="D2534" s="2">
        <f>IF(COUNTIFS('[1]Brand Family Territories (Enc)'!$B$2:$B$62,C2534,'[1]Brand Family Territories (Enc)'!$C$2:$C$62,B2534)&gt;0,1,IF(AND(LEFT(B2534,6)="MORRIS",COUNTIFS('[1]Brand Family Territories (Enc)'!$B$2:$B$62,C2534,'[1]Brand Family Territories (Enc)'!$C$2:$C$62,"Morri")&gt;0),"Unk",0))</f>
        <v>1</v>
      </c>
      <c r="E2534" s="2" t="str">
        <f>IFERROR(INDEX('Blackout Brand Fam Areas (Enc)'!$D$6:$D$998,MATCH(UPPER(A2534)&amp;"|"&amp;UPPER(B2534),'Blackout Brand Fam Areas (Enc)'!$G$6:$G$998,0)),"No Match")</f>
        <v>No Match</v>
      </c>
      <c r="F2534" s="2" t="str">
        <f t="shared" si="78"/>
        <v>US</v>
      </c>
      <c r="G2534" s="2" t="str">
        <f t="shared" si="79"/>
        <v>La Tropical|PASSAIC-FF</v>
      </c>
    </row>
    <row r="2535" spans="1:7" x14ac:dyDescent="0.2">
      <c r="A2535" s="2" t="str" cm="1">
        <f t="array" ref="A2535">INDEX('[1]Brand Family Territory (Enc)'!$A$2:$A$296,INT((ROW()-2)/10)+1)</f>
        <v>La Tropical</v>
      </c>
      <c r="B2535" s="2" t="str" cm="1">
        <f t="array" ref="B2535">INDEX('Whitelist (Blackout Reverse)'!$B$1:$K$1,MOD(ROW()-2,10)+1)</f>
        <v>ESSEX</v>
      </c>
      <c r="C2535" s="2" t="str">
        <f>VLOOKUP(A2535,'[1]Brand Family Territory (Enc)'!$A$2:$B$296,2,FALSE)</f>
        <v>Metro Five County</v>
      </c>
      <c r="D2535" s="2">
        <f>IF(COUNTIFS('[1]Brand Family Territories (Enc)'!$B$2:$B$62,C2535,'[1]Brand Family Territories (Enc)'!$C$2:$C$62,B2535)&gt;0,1,IF(AND(LEFT(B2535,6)="MORRIS",COUNTIFS('[1]Brand Family Territories (Enc)'!$B$2:$B$62,C2535,'[1]Brand Family Territories (Enc)'!$C$2:$C$62,"Morri")&gt;0),"Unk",0))</f>
        <v>1</v>
      </c>
      <c r="E2535" s="2" t="str">
        <f>IFERROR(INDEX('Blackout Brand Fam Areas (Enc)'!$D$6:$D$998,MATCH(UPPER(A2535)&amp;"|"&amp;UPPER(B2535),'Blackout Brand Fam Areas (Enc)'!$G$6:$G$998,0)),"No Match")</f>
        <v>No Match</v>
      </c>
      <c r="F2535" s="2" t="str">
        <f t="shared" si="78"/>
        <v>US</v>
      </c>
      <c r="G2535" s="2" t="str">
        <f t="shared" si="79"/>
        <v>La Tropical|ESSEX</v>
      </c>
    </row>
    <row r="2536" spans="1:7" x14ac:dyDescent="0.2">
      <c r="A2536" s="2" t="str" cm="1">
        <f t="array" ref="A2536">INDEX('[1]Brand Family Territory (Enc)'!$A$2:$A$296,INT((ROW()-2)/10)+1)</f>
        <v>La Tropical</v>
      </c>
      <c r="B2536" s="2" t="str" cm="1">
        <f t="array" ref="B2536">INDEX('Whitelist (Blackout Reverse)'!$B$1:$K$1,MOD(ROW()-2,10)+1)</f>
        <v>HUDSON</v>
      </c>
      <c r="C2536" s="2" t="str">
        <f>VLOOKUP(A2536,'[1]Brand Family Territory (Enc)'!$A$2:$B$296,2,FALSE)</f>
        <v>Metro Five County</v>
      </c>
      <c r="D2536" s="2">
        <f>IF(COUNTIFS('[1]Brand Family Territories (Enc)'!$B$2:$B$62,C2536,'[1]Brand Family Territories (Enc)'!$C$2:$C$62,B2536)&gt;0,1,IF(AND(LEFT(B2536,6)="MORRIS",COUNTIFS('[1]Brand Family Territories (Enc)'!$B$2:$B$62,C2536,'[1]Brand Family Territories (Enc)'!$C$2:$C$62,"Morri")&gt;0),"Unk",0))</f>
        <v>1</v>
      </c>
      <c r="E2536" s="2" t="str">
        <f>IFERROR(INDEX('Blackout Brand Fam Areas (Enc)'!$D$6:$D$998,MATCH(UPPER(A2536)&amp;"|"&amp;UPPER(B2536),'Blackout Brand Fam Areas (Enc)'!$G$6:$G$998,0)),"No Match")</f>
        <v>No Match</v>
      </c>
      <c r="F2536" s="2" t="str">
        <f t="shared" si="78"/>
        <v>US</v>
      </c>
      <c r="G2536" s="2" t="str">
        <f t="shared" si="79"/>
        <v>La Tropical|HUDSON</v>
      </c>
    </row>
    <row r="2537" spans="1:7" x14ac:dyDescent="0.2">
      <c r="A2537" s="2" t="str" cm="1">
        <f t="array" ref="A2537">INDEX('[1]Brand Family Territory (Enc)'!$A$2:$A$296,INT((ROW()-2)/10)+1)</f>
        <v>La Tropical</v>
      </c>
      <c r="B2537" s="2" t="str" cm="1">
        <f t="array" ref="B2537">INDEX('Whitelist (Blackout Reverse)'!$B$1:$K$1,MOD(ROW()-2,10)+1)</f>
        <v>UNION</v>
      </c>
      <c r="C2537" s="2" t="str">
        <f>VLOOKUP(A2537,'[1]Brand Family Territory (Enc)'!$A$2:$B$296,2,FALSE)</f>
        <v>Metro Five County</v>
      </c>
      <c r="D2537" s="2">
        <f>IF(COUNTIFS('[1]Brand Family Territories (Enc)'!$B$2:$B$62,C2537,'[1]Brand Family Territories (Enc)'!$C$2:$C$62,B2537)&gt;0,1,IF(AND(LEFT(B2537,6)="MORRIS",COUNTIFS('[1]Brand Family Territories (Enc)'!$B$2:$B$62,C2537,'[1]Brand Family Territories (Enc)'!$C$2:$C$62,"Morri")&gt;0),"Unk",0))</f>
        <v>1</v>
      </c>
      <c r="E2537" s="2" t="str">
        <f>IFERROR(INDEX('Blackout Brand Fam Areas (Enc)'!$D$6:$D$998,MATCH(UPPER(A2537)&amp;"|"&amp;UPPER(B2537),'Blackout Brand Fam Areas (Enc)'!$G$6:$G$998,0)),"No Match")</f>
        <v>No Match</v>
      </c>
      <c r="F2537" s="2" t="str">
        <f t="shared" si="78"/>
        <v>US</v>
      </c>
      <c r="G2537" s="2" t="str">
        <f t="shared" si="79"/>
        <v>La Tropical|UNION</v>
      </c>
    </row>
    <row r="2538" spans="1:7" x14ac:dyDescent="0.2">
      <c r="A2538" s="2" t="str" cm="1">
        <f t="array" ref="A2538">INDEX('[1]Brand Family Territory (Enc)'!$A$2:$A$296,INT((ROW()-2)/10)+1)</f>
        <v>La Tropical</v>
      </c>
      <c r="B2538" s="2" t="str" cm="1">
        <f t="array" ref="B2538">INDEX('Whitelist (Blackout Reverse)'!$B$1:$K$1,MOD(ROW()-2,10)+1)</f>
        <v>SUSSEX</v>
      </c>
      <c r="C2538" s="2" t="str">
        <f>VLOOKUP(A2538,'[1]Brand Family Territory (Enc)'!$A$2:$B$296,2,FALSE)</f>
        <v>Metro Five County</v>
      </c>
      <c r="D2538" s="2">
        <f>IF(COUNTIFS('[1]Brand Family Territories (Enc)'!$B$2:$B$62,C2538,'[1]Brand Family Territories (Enc)'!$C$2:$C$62,B2538)&gt;0,1,IF(AND(LEFT(B2538,6)="MORRIS",COUNTIFS('[1]Brand Family Territories (Enc)'!$B$2:$B$62,C2538,'[1]Brand Family Territories (Enc)'!$C$2:$C$62,"Morri")&gt;0),"Unk",0))</f>
        <v>0</v>
      </c>
      <c r="E2538" s="2" t="str">
        <f>IFERROR(INDEX('Blackout Brand Fam Areas (Enc)'!$D$6:$D$998,MATCH(UPPER(A2538)&amp;"|"&amp;UPPER(B2538),'Blackout Brand Fam Areas (Enc)'!$G$6:$G$998,0)),"No Match")</f>
        <v>Inactive</v>
      </c>
      <c r="F2538" s="2" t="str">
        <f t="shared" si="78"/>
        <v>THEM</v>
      </c>
      <c r="G2538" s="2" t="str">
        <f t="shared" si="79"/>
        <v>La Tropical|SUSSEX</v>
      </c>
    </row>
    <row r="2539" spans="1:7" x14ac:dyDescent="0.2">
      <c r="A2539" s="2" t="str" cm="1">
        <f t="array" ref="A2539">INDEX('[1]Brand Family Territory (Enc)'!$A$2:$A$296,INT((ROW()-2)/10)+1)</f>
        <v>La Tropical</v>
      </c>
      <c r="B2539" s="2" t="str" cm="1">
        <f t="array" ref="B2539">INDEX('Whitelist (Blackout Reverse)'!$B$1:$K$1,MOD(ROW()-2,10)+1)</f>
        <v>MORRIS 1</v>
      </c>
      <c r="C2539" s="2" t="str">
        <f>VLOOKUP(A2539,'[1]Brand Family Territory (Enc)'!$A$2:$B$296,2,FALSE)</f>
        <v>Metro Five County</v>
      </c>
      <c r="D2539" s="2">
        <f>IF(COUNTIFS('[1]Brand Family Territories (Enc)'!$B$2:$B$62,C2539,'[1]Brand Family Territories (Enc)'!$C$2:$C$62,B2539)&gt;0,1,IF(AND(LEFT(B2539,6)="MORRIS",COUNTIFS('[1]Brand Family Territories (Enc)'!$B$2:$B$62,C2539,'[1]Brand Family Territories (Enc)'!$C$2:$C$62,"Morri")&gt;0),"Unk",0))</f>
        <v>0</v>
      </c>
      <c r="E2539" s="2" t="str">
        <f>IFERROR(INDEX('Blackout Brand Fam Areas (Enc)'!$D$6:$D$998,MATCH(UPPER(A2539)&amp;"|"&amp;UPPER(B2539),'Blackout Brand Fam Areas (Enc)'!$G$6:$G$998,0)),"No Match")</f>
        <v>Inactive</v>
      </c>
      <c r="F2539" s="2" t="str">
        <f t="shared" si="78"/>
        <v>THEM</v>
      </c>
      <c r="G2539" s="2" t="str">
        <f t="shared" si="79"/>
        <v>La Tropical|MORRIS 1</v>
      </c>
    </row>
    <row r="2540" spans="1:7" x14ac:dyDescent="0.2">
      <c r="A2540" s="2" t="str" cm="1">
        <f t="array" ref="A2540">INDEX('[1]Brand Family Territory (Enc)'!$A$2:$A$296,INT((ROW()-2)/10)+1)</f>
        <v>La Tropical</v>
      </c>
      <c r="B2540" s="2" t="str" cm="1">
        <f t="array" ref="B2540">INDEX('Whitelist (Blackout Reverse)'!$B$1:$K$1,MOD(ROW()-2,10)+1)</f>
        <v>MORRIS 2</v>
      </c>
      <c r="C2540" s="2" t="str">
        <f>VLOOKUP(A2540,'[1]Brand Family Territory (Enc)'!$A$2:$B$296,2,FALSE)</f>
        <v>Metro Five County</v>
      </c>
      <c r="D2540" s="2">
        <f>IF(COUNTIFS('[1]Brand Family Territories (Enc)'!$B$2:$B$62,C2540,'[1]Brand Family Territories (Enc)'!$C$2:$C$62,B2540)&gt;0,1,IF(AND(LEFT(B2540,6)="MORRIS",COUNTIFS('[1]Brand Family Territories (Enc)'!$B$2:$B$62,C2540,'[1]Brand Family Territories (Enc)'!$C$2:$C$62,"Morri")&gt;0),"Unk",0))</f>
        <v>0</v>
      </c>
      <c r="E2540" s="2" t="str">
        <f>IFERROR(INDEX('Blackout Brand Fam Areas (Enc)'!$D$6:$D$998,MATCH(UPPER(A2540)&amp;"|"&amp;UPPER(B2540),'Blackout Brand Fam Areas (Enc)'!$G$6:$G$998,0)),"No Match")</f>
        <v>Inactive</v>
      </c>
      <c r="F2540" s="2" t="str">
        <f t="shared" si="78"/>
        <v>THEM</v>
      </c>
      <c r="G2540" s="2" t="str">
        <f t="shared" si="79"/>
        <v>La Tropical|MORRIS 2</v>
      </c>
    </row>
    <row r="2541" spans="1:7" x14ac:dyDescent="0.2">
      <c r="A2541" s="2" t="str" cm="1">
        <f t="array" ref="A2541">INDEX('[1]Brand Family Territory (Enc)'!$A$2:$A$296,INT((ROW()-2)/10)+1)</f>
        <v>La Tropical</v>
      </c>
      <c r="B2541" s="2" t="str" cm="1">
        <f t="array" ref="B2541">INDEX('Whitelist (Blackout Reverse)'!$B$1:$K$1,MOD(ROW()-2,10)+1)</f>
        <v>MORRIS 3</v>
      </c>
      <c r="C2541" s="2" t="str">
        <f>VLOOKUP(A2541,'[1]Brand Family Territory (Enc)'!$A$2:$B$296,2,FALSE)</f>
        <v>Metro Five County</v>
      </c>
      <c r="D2541" s="2">
        <f>IF(COUNTIFS('[1]Brand Family Territories (Enc)'!$B$2:$B$62,C2541,'[1]Brand Family Territories (Enc)'!$C$2:$C$62,B2541)&gt;0,1,IF(AND(LEFT(B2541,6)="MORRIS",COUNTIFS('[1]Brand Family Territories (Enc)'!$B$2:$B$62,C2541,'[1]Brand Family Territories (Enc)'!$C$2:$C$62,"Morri")&gt;0),"Unk",0))</f>
        <v>0</v>
      </c>
      <c r="E2541" s="2" t="str">
        <f>IFERROR(INDEX('Blackout Brand Fam Areas (Enc)'!$D$6:$D$998,MATCH(UPPER(A2541)&amp;"|"&amp;UPPER(B2541),'Blackout Brand Fam Areas (Enc)'!$G$6:$G$998,0)),"No Match")</f>
        <v>Inactive</v>
      </c>
      <c r="F2541" s="2" t="str">
        <f t="shared" si="78"/>
        <v>THEM</v>
      </c>
      <c r="G2541" s="2" t="str">
        <f t="shared" si="79"/>
        <v>La Tropical|MORRIS 3</v>
      </c>
    </row>
    <row r="2542" spans="1:7" x14ac:dyDescent="0.2">
      <c r="A2542" s="2" t="str" cm="1">
        <f t="array" ref="A2542">INDEX('[1]Brand Family Territory (Enc)'!$A$2:$A$296,INT((ROW()-2)/10)+1)</f>
        <v>Flying Fish</v>
      </c>
      <c r="B2542" s="2" t="str" cm="1">
        <f t="array" ref="B2542">INDEX('Whitelist (Blackout Reverse)'!$B$1:$K$1,MOD(ROW()-2,10)+1)</f>
        <v>BERGEN</v>
      </c>
      <c r="C2542" s="2" t="str">
        <f>VLOOKUP(A2542,'[1]Brand Family Territory (Enc)'!$A$2:$B$296,2,FALSE)</f>
        <v>Metro Less West Milford Area</v>
      </c>
      <c r="D2542" s="2">
        <f>IF(COUNTIFS('[1]Brand Family Territories (Enc)'!$B$2:$B$62,C2542,'[1]Brand Family Territories (Enc)'!$C$2:$C$62,B2542)&gt;0,1,IF(AND(LEFT(B2542,6)="MORRIS",COUNTIFS('[1]Brand Family Territories (Enc)'!$B$2:$B$62,C2542,'[1]Brand Family Territories (Enc)'!$C$2:$C$62,"Morri")&gt;0),"Unk",0))</f>
        <v>1</v>
      </c>
      <c r="E2542" s="2" t="str">
        <f>IFERROR(INDEX('Blackout Brand Fam Areas (Enc)'!$D$6:$D$998,MATCH(UPPER(A2542)&amp;"|"&amp;UPPER(B2542),'Blackout Brand Fam Areas (Enc)'!$G$6:$G$998,0)),"No Match")</f>
        <v>No Match</v>
      </c>
      <c r="F2542" s="2" t="str">
        <f t="shared" si="78"/>
        <v>US</v>
      </c>
      <c r="G2542" s="2" t="str">
        <f t="shared" si="79"/>
        <v>Flying Fish|BERGEN</v>
      </c>
    </row>
    <row r="2543" spans="1:7" x14ac:dyDescent="0.2">
      <c r="A2543" s="2" t="str" cm="1">
        <f t="array" ref="A2543">INDEX('[1]Brand Family Territory (Enc)'!$A$2:$A$296,INT((ROW()-2)/10)+1)</f>
        <v>Flying Fish</v>
      </c>
      <c r="B2543" s="2" t="str" cm="1">
        <f t="array" ref="B2543">INDEX('Whitelist (Blackout Reverse)'!$B$1:$K$1,MOD(ROW()-2,10)+1)</f>
        <v>PASSAIC</v>
      </c>
      <c r="C2543" s="2" t="str">
        <f>VLOOKUP(A2543,'[1]Brand Family Territory (Enc)'!$A$2:$B$296,2,FALSE)</f>
        <v>Metro Less West Milford Area</v>
      </c>
      <c r="D2543" s="2">
        <f>IF(COUNTIFS('[1]Brand Family Territories (Enc)'!$B$2:$B$62,C2543,'[1]Brand Family Territories (Enc)'!$C$2:$C$62,B2543)&gt;0,1,IF(AND(LEFT(B2543,6)="MORRIS",COUNTIFS('[1]Brand Family Territories (Enc)'!$B$2:$B$62,C2543,'[1]Brand Family Territories (Enc)'!$C$2:$C$62,"Morri")&gt;0),"Unk",0))</f>
        <v>1</v>
      </c>
      <c r="E2543" s="2" t="str">
        <f>IFERROR(INDEX('Blackout Brand Fam Areas (Enc)'!$D$6:$D$998,MATCH(UPPER(A2543)&amp;"|"&amp;UPPER(B2543),'Blackout Brand Fam Areas (Enc)'!$G$6:$G$998,0)),"No Match")</f>
        <v>No Match</v>
      </c>
      <c r="F2543" s="2" t="str">
        <f t="shared" si="78"/>
        <v>US</v>
      </c>
      <c r="G2543" s="2" t="str">
        <f t="shared" si="79"/>
        <v>Flying Fish|PASSAIC</v>
      </c>
    </row>
    <row r="2544" spans="1:7" x14ac:dyDescent="0.2">
      <c r="A2544" s="2" t="str" cm="1">
        <f t="array" ref="A2544">INDEX('[1]Brand Family Territory (Enc)'!$A$2:$A$296,INT((ROW()-2)/10)+1)</f>
        <v>Flying Fish</v>
      </c>
      <c r="B2544" s="2" t="str" cm="1">
        <f t="array" ref="B2544">INDEX('Whitelist (Blackout Reverse)'!$B$1:$K$1,MOD(ROW()-2,10)+1)</f>
        <v>PASSAIC-FF</v>
      </c>
      <c r="C2544" s="2" t="str">
        <f>VLOOKUP(A2544,'[1]Brand Family Territory (Enc)'!$A$2:$B$296,2,FALSE)</f>
        <v>Metro Less West Milford Area</v>
      </c>
      <c r="D2544" s="2">
        <f>IF(COUNTIFS('[1]Brand Family Territories (Enc)'!$B$2:$B$62,C2544,'[1]Brand Family Territories (Enc)'!$C$2:$C$62,B2544)&gt;0,1,IF(AND(LEFT(B2544,6)="MORRIS",COUNTIFS('[1]Brand Family Territories (Enc)'!$B$2:$B$62,C2544,'[1]Brand Family Territories (Enc)'!$C$2:$C$62,"Morri")&gt;0),"Unk",0))</f>
        <v>1</v>
      </c>
      <c r="E2544" s="2" t="str">
        <f>IFERROR(INDEX('Blackout Brand Fam Areas (Enc)'!$D$6:$D$998,MATCH(UPPER(A2544)&amp;"|"&amp;UPPER(B2544),'Blackout Brand Fam Areas (Enc)'!$G$6:$G$998,0)),"No Match")</f>
        <v>Inactive</v>
      </c>
      <c r="F2544" s="2" t="str">
        <f t="shared" si="78"/>
        <v>THEM</v>
      </c>
      <c r="G2544" s="2" t="str">
        <f t="shared" si="79"/>
        <v>Flying Fish|PASSAIC-FF</v>
      </c>
    </row>
    <row r="2545" spans="1:7" x14ac:dyDescent="0.2">
      <c r="A2545" s="2" t="str" cm="1">
        <f t="array" ref="A2545">INDEX('[1]Brand Family Territory (Enc)'!$A$2:$A$296,INT((ROW()-2)/10)+1)</f>
        <v>Flying Fish</v>
      </c>
      <c r="B2545" s="2" t="str" cm="1">
        <f t="array" ref="B2545">INDEX('Whitelist (Blackout Reverse)'!$B$1:$K$1,MOD(ROW()-2,10)+1)</f>
        <v>ESSEX</v>
      </c>
      <c r="C2545" s="2" t="str">
        <f>VLOOKUP(A2545,'[1]Brand Family Territory (Enc)'!$A$2:$B$296,2,FALSE)</f>
        <v>Metro Less West Milford Area</v>
      </c>
      <c r="D2545" s="2">
        <f>IF(COUNTIFS('[1]Brand Family Territories (Enc)'!$B$2:$B$62,C2545,'[1]Brand Family Territories (Enc)'!$C$2:$C$62,B2545)&gt;0,1,IF(AND(LEFT(B2545,6)="MORRIS",COUNTIFS('[1]Brand Family Territories (Enc)'!$B$2:$B$62,C2545,'[1]Brand Family Territories (Enc)'!$C$2:$C$62,"Morri")&gt;0),"Unk",0))</f>
        <v>1</v>
      </c>
      <c r="E2545" s="2" t="str">
        <f>IFERROR(INDEX('Blackout Brand Fam Areas (Enc)'!$D$6:$D$998,MATCH(UPPER(A2545)&amp;"|"&amp;UPPER(B2545),'Blackout Brand Fam Areas (Enc)'!$G$6:$G$998,0)),"No Match")</f>
        <v>No Match</v>
      </c>
      <c r="F2545" s="2" t="str">
        <f t="shared" si="78"/>
        <v>US</v>
      </c>
      <c r="G2545" s="2" t="str">
        <f t="shared" si="79"/>
        <v>Flying Fish|ESSEX</v>
      </c>
    </row>
    <row r="2546" spans="1:7" x14ac:dyDescent="0.2">
      <c r="A2546" s="2" t="str" cm="1">
        <f t="array" ref="A2546">INDEX('[1]Brand Family Territory (Enc)'!$A$2:$A$296,INT((ROW()-2)/10)+1)</f>
        <v>Flying Fish</v>
      </c>
      <c r="B2546" s="2" t="str" cm="1">
        <f t="array" ref="B2546">INDEX('Whitelist (Blackout Reverse)'!$B$1:$K$1,MOD(ROW()-2,10)+1)</f>
        <v>HUDSON</v>
      </c>
      <c r="C2546" s="2" t="str">
        <f>VLOOKUP(A2546,'[1]Brand Family Territory (Enc)'!$A$2:$B$296,2,FALSE)</f>
        <v>Metro Less West Milford Area</v>
      </c>
      <c r="D2546" s="2">
        <f>IF(COUNTIFS('[1]Brand Family Territories (Enc)'!$B$2:$B$62,C2546,'[1]Brand Family Territories (Enc)'!$C$2:$C$62,B2546)&gt;0,1,IF(AND(LEFT(B2546,6)="MORRIS",COUNTIFS('[1]Brand Family Territories (Enc)'!$B$2:$B$62,C2546,'[1]Brand Family Territories (Enc)'!$C$2:$C$62,"Morri")&gt;0),"Unk",0))</f>
        <v>1</v>
      </c>
      <c r="E2546" s="2" t="str">
        <f>IFERROR(INDEX('Blackout Brand Fam Areas (Enc)'!$D$6:$D$998,MATCH(UPPER(A2546)&amp;"|"&amp;UPPER(B2546),'Blackout Brand Fam Areas (Enc)'!$G$6:$G$998,0)),"No Match")</f>
        <v>No Match</v>
      </c>
      <c r="F2546" s="2" t="str">
        <f t="shared" si="78"/>
        <v>US</v>
      </c>
      <c r="G2546" s="2" t="str">
        <f t="shared" si="79"/>
        <v>Flying Fish|HUDSON</v>
      </c>
    </row>
    <row r="2547" spans="1:7" x14ac:dyDescent="0.2">
      <c r="A2547" s="2" t="str" cm="1">
        <f t="array" ref="A2547">INDEX('[1]Brand Family Territory (Enc)'!$A$2:$A$296,INT((ROW()-2)/10)+1)</f>
        <v>Flying Fish</v>
      </c>
      <c r="B2547" s="2" t="str" cm="1">
        <f t="array" ref="B2547">INDEX('Whitelist (Blackout Reverse)'!$B$1:$K$1,MOD(ROW()-2,10)+1)</f>
        <v>UNION</v>
      </c>
      <c r="C2547" s="2" t="str">
        <f>VLOOKUP(A2547,'[1]Brand Family Territory (Enc)'!$A$2:$B$296,2,FALSE)</f>
        <v>Metro Less West Milford Area</v>
      </c>
      <c r="D2547" s="2">
        <f>IF(COUNTIFS('[1]Brand Family Territories (Enc)'!$B$2:$B$62,C2547,'[1]Brand Family Territories (Enc)'!$C$2:$C$62,B2547)&gt;0,1,IF(AND(LEFT(B2547,6)="MORRIS",COUNTIFS('[1]Brand Family Territories (Enc)'!$B$2:$B$62,C2547,'[1]Brand Family Territories (Enc)'!$C$2:$C$62,"Morri")&gt;0),"Unk",0))</f>
        <v>0</v>
      </c>
      <c r="E2547" s="2" t="str">
        <f>IFERROR(INDEX('Blackout Brand Fam Areas (Enc)'!$D$6:$D$998,MATCH(UPPER(A2547)&amp;"|"&amp;UPPER(B2547),'Blackout Brand Fam Areas (Enc)'!$G$6:$G$998,0)),"No Match")</f>
        <v>Inactive</v>
      </c>
      <c r="F2547" s="2" t="str">
        <f t="shared" si="78"/>
        <v>THEM</v>
      </c>
      <c r="G2547" s="2" t="str">
        <f t="shared" si="79"/>
        <v>Flying Fish|UNION</v>
      </c>
    </row>
    <row r="2548" spans="1:7" x14ac:dyDescent="0.2">
      <c r="A2548" s="2" t="str" cm="1">
        <f t="array" ref="A2548">INDEX('[1]Brand Family Territory (Enc)'!$A$2:$A$296,INT((ROW()-2)/10)+1)</f>
        <v>Flying Fish</v>
      </c>
      <c r="B2548" s="2" t="str" cm="1">
        <f t="array" ref="B2548">INDEX('Whitelist (Blackout Reverse)'!$B$1:$K$1,MOD(ROW()-2,10)+1)</f>
        <v>SUSSEX</v>
      </c>
      <c r="C2548" s="2" t="str">
        <f>VLOOKUP(A2548,'[1]Brand Family Territory (Enc)'!$A$2:$B$296,2,FALSE)</f>
        <v>Metro Less West Milford Area</v>
      </c>
      <c r="D2548" s="2">
        <f>IF(COUNTIFS('[1]Brand Family Territories (Enc)'!$B$2:$B$62,C2548,'[1]Brand Family Territories (Enc)'!$C$2:$C$62,B2548)&gt;0,1,IF(AND(LEFT(B2548,6)="MORRIS",COUNTIFS('[1]Brand Family Territories (Enc)'!$B$2:$B$62,C2548,'[1]Brand Family Territories (Enc)'!$C$2:$C$62,"Morri")&gt;0),"Unk",0))</f>
        <v>0</v>
      </c>
      <c r="E2548" s="2" t="str">
        <f>IFERROR(INDEX('Blackout Brand Fam Areas (Enc)'!$D$6:$D$998,MATCH(UPPER(A2548)&amp;"|"&amp;UPPER(B2548),'Blackout Brand Fam Areas (Enc)'!$G$6:$G$998,0)),"No Match")</f>
        <v>Inactive</v>
      </c>
      <c r="F2548" s="2" t="str">
        <f t="shared" si="78"/>
        <v>THEM</v>
      </c>
      <c r="G2548" s="2" t="str">
        <f t="shared" si="79"/>
        <v>Flying Fish|SUSSEX</v>
      </c>
    </row>
    <row r="2549" spans="1:7" x14ac:dyDescent="0.2">
      <c r="A2549" s="2" t="str" cm="1">
        <f t="array" ref="A2549">INDEX('[1]Brand Family Territory (Enc)'!$A$2:$A$296,INT((ROW()-2)/10)+1)</f>
        <v>Flying Fish</v>
      </c>
      <c r="B2549" s="2" t="str" cm="1">
        <f t="array" ref="B2549">INDEX('Whitelist (Blackout Reverse)'!$B$1:$K$1,MOD(ROW()-2,10)+1)</f>
        <v>MORRIS 1</v>
      </c>
      <c r="C2549" s="2" t="str">
        <f>VLOOKUP(A2549,'[1]Brand Family Territory (Enc)'!$A$2:$B$296,2,FALSE)</f>
        <v>Metro Less West Milford Area</v>
      </c>
      <c r="D2549" s="2">
        <f>IF(COUNTIFS('[1]Brand Family Territories (Enc)'!$B$2:$B$62,C2549,'[1]Brand Family Territories (Enc)'!$C$2:$C$62,B2549)&gt;0,1,IF(AND(LEFT(B2549,6)="MORRIS",COUNTIFS('[1]Brand Family Territories (Enc)'!$B$2:$B$62,C2549,'[1]Brand Family Territories (Enc)'!$C$2:$C$62,"Morri")&gt;0),"Unk",0))</f>
        <v>0</v>
      </c>
      <c r="E2549" s="2" t="str">
        <f>IFERROR(INDEX('Blackout Brand Fam Areas (Enc)'!$D$6:$D$998,MATCH(UPPER(A2549)&amp;"|"&amp;UPPER(B2549),'Blackout Brand Fam Areas (Enc)'!$G$6:$G$998,0)),"No Match")</f>
        <v>Inactive</v>
      </c>
      <c r="F2549" s="2" t="str">
        <f t="shared" si="78"/>
        <v>THEM</v>
      </c>
      <c r="G2549" s="2" t="str">
        <f t="shared" si="79"/>
        <v>Flying Fish|MORRIS 1</v>
      </c>
    </row>
    <row r="2550" spans="1:7" x14ac:dyDescent="0.2">
      <c r="A2550" s="2" t="str" cm="1">
        <f t="array" ref="A2550">INDEX('[1]Brand Family Territory (Enc)'!$A$2:$A$296,INT((ROW()-2)/10)+1)</f>
        <v>Flying Fish</v>
      </c>
      <c r="B2550" s="2" t="str" cm="1">
        <f t="array" ref="B2550">INDEX('Whitelist (Blackout Reverse)'!$B$1:$K$1,MOD(ROW()-2,10)+1)</f>
        <v>MORRIS 2</v>
      </c>
      <c r="C2550" s="2" t="str">
        <f>VLOOKUP(A2550,'[1]Brand Family Territory (Enc)'!$A$2:$B$296,2,FALSE)</f>
        <v>Metro Less West Milford Area</v>
      </c>
      <c r="D2550" s="2">
        <f>IF(COUNTIFS('[1]Brand Family Territories (Enc)'!$B$2:$B$62,C2550,'[1]Brand Family Territories (Enc)'!$C$2:$C$62,B2550)&gt;0,1,IF(AND(LEFT(B2550,6)="MORRIS",COUNTIFS('[1]Brand Family Territories (Enc)'!$B$2:$B$62,C2550,'[1]Brand Family Territories (Enc)'!$C$2:$C$62,"Morri")&gt;0),"Unk",0))</f>
        <v>0</v>
      </c>
      <c r="E2550" s="2" t="str">
        <f>IFERROR(INDEX('Blackout Brand Fam Areas (Enc)'!$D$6:$D$998,MATCH(UPPER(A2550)&amp;"|"&amp;UPPER(B2550),'Blackout Brand Fam Areas (Enc)'!$G$6:$G$998,0)),"No Match")</f>
        <v>Inactive</v>
      </c>
      <c r="F2550" s="2" t="str">
        <f t="shared" si="78"/>
        <v>THEM</v>
      </c>
      <c r="G2550" s="2" t="str">
        <f t="shared" si="79"/>
        <v>Flying Fish|MORRIS 2</v>
      </c>
    </row>
    <row r="2551" spans="1:7" x14ac:dyDescent="0.2">
      <c r="A2551" s="2" t="str" cm="1">
        <f t="array" ref="A2551">INDEX('[1]Brand Family Territory (Enc)'!$A$2:$A$296,INT((ROW()-2)/10)+1)</f>
        <v>Flying Fish</v>
      </c>
      <c r="B2551" s="2" t="str" cm="1">
        <f t="array" ref="B2551">INDEX('Whitelist (Blackout Reverse)'!$B$1:$K$1,MOD(ROW()-2,10)+1)</f>
        <v>MORRIS 3</v>
      </c>
      <c r="C2551" s="2" t="str">
        <f>VLOOKUP(A2551,'[1]Brand Family Territory (Enc)'!$A$2:$B$296,2,FALSE)</f>
        <v>Metro Less West Milford Area</v>
      </c>
      <c r="D2551" s="2">
        <f>IF(COUNTIFS('[1]Brand Family Territories (Enc)'!$B$2:$B$62,C2551,'[1]Brand Family Territories (Enc)'!$C$2:$C$62,B2551)&gt;0,1,IF(AND(LEFT(B2551,6)="MORRIS",COUNTIFS('[1]Brand Family Territories (Enc)'!$B$2:$B$62,C2551,'[1]Brand Family Territories (Enc)'!$C$2:$C$62,"Morri")&gt;0),"Unk",0))</f>
        <v>0</v>
      </c>
      <c r="E2551" s="2" t="str">
        <f>IFERROR(INDEX('Blackout Brand Fam Areas (Enc)'!$D$6:$D$998,MATCH(UPPER(A2551)&amp;"|"&amp;UPPER(B2551),'Blackout Brand Fam Areas (Enc)'!$G$6:$G$998,0)),"No Match")</f>
        <v>Inactive</v>
      </c>
      <c r="F2551" s="2" t="str">
        <f t="shared" si="78"/>
        <v>THEM</v>
      </c>
      <c r="G2551" s="2" t="str">
        <f t="shared" si="79"/>
        <v>Flying Fish|MORRIS 3</v>
      </c>
    </row>
    <row r="2552" spans="1:7" x14ac:dyDescent="0.2">
      <c r="A2552" s="2" t="str" cm="1">
        <f t="array" ref="A2552">INDEX('[1]Brand Family Territory (Enc)'!$A$2:$A$296,INT((ROW()-2)/10)+1)</f>
        <v>Travelers Club</v>
      </c>
      <c r="B2552" s="2" t="str" cm="1">
        <f t="array" ref="B2552">INDEX('Whitelist (Blackout Reverse)'!$B$1:$K$1,MOD(ROW()-2,10)+1)</f>
        <v>BERGEN</v>
      </c>
      <c r="C2552" s="2" t="str">
        <f>VLOOKUP(A2552,'[1]Brand Family Territory (Enc)'!$A$2:$B$296,2,FALSE)</f>
        <v>Metro Less West Milford Area</v>
      </c>
      <c r="D2552" s="2">
        <f>IF(COUNTIFS('[1]Brand Family Territories (Enc)'!$B$2:$B$62,C2552,'[1]Brand Family Territories (Enc)'!$C$2:$C$62,B2552)&gt;0,1,IF(AND(LEFT(B2552,6)="MORRIS",COUNTIFS('[1]Brand Family Territories (Enc)'!$B$2:$B$62,C2552,'[1]Brand Family Territories (Enc)'!$C$2:$C$62,"Morri")&gt;0),"Unk",0))</f>
        <v>1</v>
      </c>
      <c r="E2552" s="2" t="str">
        <f>IFERROR(INDEX('Blackout Brand Fam Areas (Enc)'!$D$6:$D$998,MATCH(UPPER(A2552)&amp;"|"&amp;UPPER(B2552),'Blackout Brand Fam Areas (Enc)'!$G$6:$G$998,0)),"No Match")</f>
        <v>No Match</v>
      </c>
      <c r="F2552" s="2" t="str">
        <f t="shared" si="78"/>
        <v>US</v>
      </c>
      <c r="G2552" s="2" t="str">
        <f t="shared" si="79"/>
        <v>Travelers Club|BERGEN</v>
      </c>
    </row>
    <row r="2553" spans="1:7" x14ac:dyDescent="0.2">
      <c r="A2553" s="2" t="str" cm="1">
        <f t="array" ref="A2553">INDEX('[1]Brand Family Territory (Enc)'!$A$2:$A$296,INT((ROW()-2)/10)+1)</f>
        <v>Travelers Club</v>
      </c>
      <c r="B2553" s="2" t="str" cm="1">
        <f t="array" ref="B2553">INDEX('Whitelist (Blackout Reverse)'!$B$1:$K$1,MOD(ROW()-2,10)+1)</f>
        <v>PASSAIC</v>
      </c>
      <c r="C2553" s="2" t="str">
        <f>VLOOKUP(A2553,'[1]Brand Family Territory (Enc)'!$A$2:$B$296,2,FALSE)</f>
        <v>Metro Less West Milford Area</v>
      </c>
      <c r="D2553" s="2">
        <f>IF(COUNTIFS('[1]Brand Family Territories (Enc)'!$B$2:$B$62,C2553,'[1]Brand Family Territories (Enc)'!$C$2:$C$62,B2553)&gt;0,1,IF(AND(LEFT(B2553,6)="MORRIS",COUNTIFS('[1]Brand Family Territories (Enc)'!$B$2:$B$62,C2553,'[1]Brand Family Territories (Enc)'!$C$2:$C$62,"Morri")&gt;0),"Unk",0))</f>
        <v>1</v>
      </c>
      <c r="E2553" s="2" t="str">
        <f>IFERROR(INDEX('Blackout Brand Fam Areas (Enc)'!$D$6:$D$998,MATCH(UPPER(A2553)&amp;"|"&amp;UPPER(B2553),'Blackout Brand Fam Areas (Enc)'!$G$6:$G$998,0)),"No Match")</f>
        <v>No Match</v>
      </c>
      <c r="F2553" s="2" t="str">
        <f t="shared" si="78"/>
        <v>US</v>
      </c>
      <c r="G2553" s="2" t="str">
        <f t="shared" si="79"/>
        <v>Travelers Club|PASSAIC</v>
      </c>
    </row>
    <row r="2554" spans="1:7" x14ac:dyDescent="0.2">
      <c r="A2554" s="2" t="str" cm="1">
        <f t="array" ref="A2554">INDEX('[1]Brand Family Territory (Enc)'!$A$2:$A$296,INT((ROW()-2)/10)+1)</f>
        <v>Travelers Club</v>
      </c>
      <c r="B2554" s="2" t="str" cm="1">
        <f t="array" ref="B2554">INDEX('Whitelist (Blackout Reverse)'!$B$1:$K$1,MOD(ROW()-2,10)+1)</f>
        <v>PASSAIC-FF</v>
      </c>
      <c r="C2554" s="2" t="str">
        <f>VLOOKUP(A2554,'[1]Brand Family Territory (Enc)'!$A$2:$B$296,2,FALSE)</f>
        <v>Metro Less West Milford Area</v>
      </c>
      <c r="D2554" s="2">
        <f>IF(COUNTIFS('[1]Brand Family Territories (Enc)'!$B$2:$B$62,C2554,'[1]Brand Family Territories (Enc)'!$C$2:$C$62,B2554)&gt;0,1,IF(AND(LEFT(B2554,6)="MORRIS",COUNTIFS('[1]Brand Family Territories (Enc)'!$B$2:$B$62,C2554,'[1]Brand Family Territories (Enc)'!$C$2:$C$62,"Morri")&gt;0),"Unk",0))</f>
        <v>1</v>
      </c>
      <c r="E2554" s="2" t="str">
        <f>IFERROR(INDEX('Blackout Brand Fam Areas (Enc)'!$D$6:$D$998,MATCH(UPPER(A2554)&amp;"|"&amp;UPPER(B2554),'Blackout Brand Fam Areas (Enc)'!$G$6:$G$998,0)),"No Match")</f>
        <v>No Match</v>
      </c>
      <c r="F2554" s="2" t="str">
        <f t="shared" si="78"/>
        <v>US</v>
      </c>
      <c r="G2554" s="2" t="str">
        <f t="shared" si="79"/>
        <v>Travelers Club|PASSAIC-FF</v>
      </c>
    </row>
    <row r="2555" spans="1:7" x14ac:dyDescent="0.2">
      <c r="A2555" s="2" t="str" cm="1">
        <f t="array" ref="A2555">INDEX('[1]Brand Family Territory (Enc)'!$A$2:$A$296,INT((ROW()-2)/10)+1)</f>
        <v>Travelers Club</v>
      </c>
      <c r="B2555" s="2" t="str" cm="1">
        <f t="array" ref="B2555">INDEX('Whitelist (Blackout Reverse)'!$B$1:$K$1,MOD(ROW()-2,10)+1)</f>
        <v>ESSEX</v>
      </c>
      <c r="C2555" s="2" t="str">
        <f>VLOOKUP(A2555,'[1]Brand Family Territory (Enc)'!$A$2:$B$296,2,FALSE)</f>
        <v>Metro Less West Milford Area</v>
      </c>
      <c r="D2555" s="2">
        <f>IF(COUNTIFS('[1]Brand Family Territories (Enc)'!$B$2:$B$62,C2555,'[1]Brand Family Territories (Enc)'!$C$2:$C$62,B2555)&gt;0,1,IF(AND(LEFT(B2555,6)="MORRIS",COUNTIFS('[1]Brand Family Territories (Enc)'!$B$2:$B$62,C2555,'[1]Brand Family Territories (Enc)'!$C$2:$C$62,"Morri")&gt;0),"Unk",0))</f>
        <v>1</v>
      </c>
      <c r="E2555" s="2" t="str">
        <f>IFERROR(INDEX('Blackout Brand Fam Areas (Enc)'!$D$6:$D$998,MATCH(UPPER(A2555)&amp;"|"&amp;UPPER(B2555),'Blackout Brand Fam Areas (Enc)'!$G$6:$G$998,0)),"No Match")</f>
        <v>No Match</v>
      </c>
      <c r="F2555" s="2" t="str">
        <f t="shared" si="78"/>
        <v>US</v>
      </c>
      <c r="G2555" s="2" t="str">
        <f t="shared" si="79"/>
        <v>Travelers Club|ESSEX</v>
      </c>
    </row>
    <row r="2556" spans="1:7" x14ac:dyDescent="0.2">
      <c r="A2556" s="2" t="str" cm="1">
        <f t="array" ref="A2556">INDEX('[1]Brand Family Territory (Enc)'!$A$2:$A$296,INT((ROW()-2)/10)+1)</f>
        <v>Travelers Club</v>
      </c>
      <c r="B2556" s="2" t="str" cm="1">
        <f t="array" ref="B2556">INDEX('Whitelist (Blackout Reverse)'!$B$1:$K$1,MOD(ROW()-2,10)+1)</f>
        <v>HUDSON</v>
      </c>
      <c r="C2556" s="2" t="str">
        <f>VLOOKUP(A2556,'[1]Brand Family Territory (Enc)'!$A$2:$B$296,2,FALSE)</f>
        <v>Metro Less West Milford Area</v>
      </c>
      <c r="D2556" s="2">
        <f>IF(COUNTIFS('[1]Brand Family Territories (Enc)'!$B$2:$B$62,C2556,'[1]Brand Family Territories (Enc)'!$C$2:$C$62,B2556)&gt;0,1,IF(AND(LEFT(B2556,6)="MORRIS",COUNTIFS('[1]Brand Family Territories (Enc)'!$B$2:$B$62,C2556,'[1]Brand Family Territories (Enc)'!$C$2:$C$62,"Morri")&gt;0),"Unk",0))</f>
        <v>1</v>
      </c>
      <c r="E2556" s="2" t="str">
        <f>IFERROR(INDEX('Blackout Brand Fam Areas (Enc)'!$D$6:$D$998,MATCH(UPPER(A2556)&amp;"|"&amp;UPPER(B2556),'Blackout Brand Fam Areas (Enc)'!$G$6:$G$998,0)),"No Match")</f>
        <v>No Match</v>
      </c>
      <c r="F2556" s="2" t="str">
        <f t="shared" si="78"/>
        <v>US</v>
      </c>
      <c r="G2556" s="2" t="str">
        <f t="shared" si="79"/>
        <v>Travelers Club|HUDSON</v>
      </c>
    </row>
    <row r="2557" spans="1:7" x14ac:dyDescent="0.2">
      <c r="A2557" s="2" t="str" cm="1">
        <f t="array" ref="A2557">INDEX('[1]Brand Family Territory (Enc)'!$A$2:$A$296,INT((ROW()-2)/10)+1)</f>
        <v>Travelers Club</v>
      </c>
      <c r="B2557" s="2" t="str" cm="1">
        <f t="array" ref="B2557">INDEX('Whitelist (Blackout Reverse)'!$B$1:$K$1,MOD(ROW()-2,10)+1)</f>
        <v>UNION</v>
      </c>
      <c r="C2557" s="2" t="str">
        <f>VLOOKUP(A2557,'[1]Brand Family Territory (Enc)'!$A$2:$B$296,2,FALSE)</f>
        <v>Metro Less West Milford Area</v>
      </c>
      <c r="D2557" s="2">
        <f>IF(COUNTIFS('[1]Brand Family Territories (Enc)'!$B$2:$B$62,C2557,'[1]Brand Family Territories (Enc)'!$C$2:$C$62,B2557)&gt;0,1,IF(AND(LEFT(B2557,6)="MORRIS",COUNTIFS('[1]Brand Family Territories (Enc)'!$B$2:$B$62,C2557,'[1]Brand Family Territories (Enc)'!$C$2:$C$62,"Morri")&gt;0),"Unk",0))</f>
        <v>0</v>
      </c>
      <c r="E2557" s="2" t="str">
        <f>IFERROR(INDEX('Blackout Brand Fam Areas (Enc)'!$D$6:$D$998,MATCH(UPPER(A2557)&amp;"|"&amp;UPPER(B2557),'Blackout Brand Fam Areas (Enc)'!$G$6:$G$998,0)),"No Match")</f>
        <v>No Match</v>
      </c>
      <c r="F2557" s="2" t="str">
        <f t="shared" si="78"/>
        <v>THEM</v>
      </c>
      <c r="G2557" s="2" t="str">
        <f t="shared" si="79"/>
        <v>Travelers Club|UNION</v>
      </c>
    </row>
    <row r="2558" spans="1:7" x14ac:dyDescent="0.2">
      <c r="A2558" s="2" t="str" cm="1">
        <f t="array" ref="A2558">INDEX('[1]Brand Family Territory (Enc)'!$A$2:$A$296,INT((ROW()-2)/10)+1)</f>
        <v>Travelers Club</v>
      </c>
      <c r="B2558" s="2" t="str" cm="1">
        <f t="array" ref="B2558">INDEX('Whitelist (Blackout Reverse)'!$B$1:$K$1,MOD(ROW()-2,10)+1)</f>
        <v>SUSSEX</v>
      </c>
      <c r="C2558" s="2" t="str">
        <f>VLOOKUP(A2558,'[1]Brand Family Territory (Enc)'!$A$2:$B$296,2,FALSE)</f>
        <v>Metro Less West Milford Area</v>
      </c>
      <c r="D2558" s="2">
        <f>IF(COUNTIFS('[1]Brand Family Territories (Enc)'!$B$2:$B$62,C2558,'[1]Brand Family Territories (Enc)'!$C$2:$C$62,B2558)&gt;0,1,IF(AND(LEFT(B2558,6)="MORRIS",COUNTIFS('[1]Brand Family Territories (Enc)'!$B$2:$B$62,C2558,'[1]Brand Family Territories (Enc)'!$C$2:$C$62,"Morri")&gt;0),"Unk",0))</f>
        <v>0</v>
      </c>
      <c r="E2558" s="2" t="str">
        <f>IFERROR(INDEX('Blackout Brand Fam Areas (Enc)'!$D$6:$D$998,MATCH(UPPER(A2558)&amp;"|"&amp;UPPER(B2558),'Blackout Brand Fam Areas (Enc)'!$G$6:$G$998,0)),"No Match")</f>
        <v>Inactive</v>
      </c>
      <c r="F2558" s="2" t="str">
        <f t="shared" si="78"/>
        <v>THEM</v>
      </c>
      <c r="G2558" s="2" t="str">
        <f t="shared" si="79"/>
        <v>Travelers Club|SUSSEX</v>
      </c>
    </row>
    <row r="2559" spans="1:7" x14ac:dyDescent="0.2">
      <c r="A2559" s="2" t="str" cm="1">
        <f t="array" ref="A2559">INDEX('[1]Brand Family Territory (Enc)'!$A$2:$A$296,INT((ROW()-2)/10)+1)</f>
        <v>Travelers Club</v>
      </c>
      <c r="B2559" s="2" t="str" cm="1">
        <f t="array" ref="B2559">INDEX('Whitelist (Blackout Reverse)'!$B$1:$K$1,MOD(ROW()-2,10)+1)</f>
        <v>MORRIS 1</v>
      </c>
      <c r="C2559" s="2" t="str">
        <f>VLOOKUP(A2559,'[1]Brand Family Territory (Enc)'!$A$2:$B$296,2,FALSE)</f>
        <v>Metro Less West Milford Area</v>
      </c>
      <c r="D2559" s="2">
        <f>IF(COUNTIFS('[1]Brand Family Territories (Enc)'!$B$2:$B$62,C2559,'[1]Brand Family Territories (Enc)'!$C$2:$C$62,B2559)&gt;0,1,IF(AND(LEFT(B2559,6)="MORRIS",COUNTIFS('[1]Brand Family Territories (Enc)'!$B$2:$B$62,C2559,'[1]Brand Family Territories (Enc)'!$C$2:$C$62,"Morri")&gt;0),"Unk",0))</f>
        <v>0</v>
      </c>
      <c r="E2559" s="2" t="str">
        <f>IFERROR(INDEX('Blackout Brand Fam Areas (Enc)'!$D$6:$D$998,MATCH(UPPER(A2559)&amp;"|"&amp;UPPER(B2559),'Blackout Brand Fam Areas (Enc)'!$G$6:$G$998,0)),"No Match")</f>
        <v>No Match</v>
      </c>
      <c r="F2559" s="2" t="str">
        <f t="shared" si="78"/>
        <v>THEM</v>
      </c>
      <c r="G2559" s="2" t="str">
        <f t="shared" si="79"/>
        <v>Travelers Club|MORRIS 1</v>
      </c>
    </row>
    <row r="2560" spans="1:7" x14ac:dyDescent="0.2">
      <c r="A2560" s="2" t="str" cm="1">
        <f t="array" ref="A2560">INDEX('[1]Brand Family Territory (Enc)'!$A$2:$A$296,INT((ROW()-2)/10)+1)</f>
        <v>Travelers Club</v>
      </c>
      <c r="B2560" s="2" t="str" cm="1">
        <f t="array" ref="B2560">INDEX('Whitelist (Blackout Reverse)'!$B$1:$K$1,MOD(ROW()-2,10)+1)</f>
        <v>MORRIS 2</v>
      </c>
      <c r="C2560" s="2" t="str">
        <f>VLOOKUP(A2560,'[1]Brand Family Territory (Enc)'!$A$2:$B$296,2,FALSE)</f>
        <v>Metro Less West Milford Area</v>
      </c>
      <c r="D2560" s="2">
        <f>IF(COUNTIFS('[1]Brand Family Territories (Enc)'!$B$2:$B$62,C2560,'[1]Brand Family Territories (Enc)'!$C$2:$C$62,B2560)&gt;0,1,IF(AND(LEFT(B2560,6)="MORRIS",COUNTIFS('[1]Brand Family Territories (Enc)'!$B$2:$B$62,C2560,'[1]Brand Family Territories (Enc)'!$C$2:$C$62,"Morri")&gt;0),"Unk",0))</f>
        <v>0</v>
      </c>
      <c r="E2560" s="2" t="str">
        <f>IFERROR(INDEX('Blackout Brand Fam Areas (Enc)'!$D$6:$D$998,MATCH(UPPER(A2560)&amp;"|"&amp;UPPER(B2560),'Blackout Brand Fam Areas (Enc)'!$G$6:$G$998,0)),"No Match")</f>
        <v>No Match</v>
      </c>
      <c r="F2560" s="2" t="str">
        <f t="shared" si="78"/>
        <v>THEM</v>
      </c>
      <c r="G2560" s="2" t="str">
        <f t="shared" si="79"/>
        <v>Travelers Club|MORRIS 2</v>
      </c>
    </row>
    <row r="2561" spans="1:7" x14ac:dyDescent="0.2">
      <c r="A2561" s="2" t="str" cm="1">
        <f t="array" ref="A2561">INDEX('[1]Brand Family Territory (Enc)'!$A$2:$A$296,INT((ROW()-2)/10)+1)</f>
        <v>Travelers Club</v>
      </c>
      <c r="B2561" s="2" t="str" cm="1">
        <f t="array" ref="B2561">INDEX('Whitelist (Blackout Reverse)'!$B$1:$K$1,MOD(ROW()-2,10)+1)</f>
        <v>MORRIS 3</v>
      </c>
      <c r="C2561" s="2" t="str">
        <f>VLOOKUP(A2561,'[1]Brand Family Territory (Enc)'!$A$2:$B$296,2,FALSE)</f>
        <v>Metro Less West Milford Area</v>
      </c>
      <c r="D2561" s="2">
        <f>IF(COUNTIFS('[1]Brand Family Territories (Enc)'!$B$2:$B$62,C2561,'[1]Brand Family Territories (Enc)'!$C$2:$C$62,B2561)&gt;0,1,IF(AND(LEFT(B2561,6)="MORRIS",COUNTIFS('[1]Brand Family Territories (Enc)'!$B$2:$B$62,C2561,'[1]Brand Family Territories (Enc)'!$C$2:$C$62,"Morri")&gt;0),"Unk",0))</f>
        <v>0</v>
      </c>
      <c r="E2561" s="2" t="str">
        <f>IFERROR(INDEX('Blackout Brand Fam Areas (Enc)'!$D$6:$D$998,MATCH(UPPER(A2561)&amp;"|"&amp;UPPER(B2561),'Blackout Brand Fam Areas (Enc)'!$G$6:$G$998,0)),"No Match")</f>
        <v>No Match</v>
      </c>
      <c r="F2561" s="2" t="str">
        <f t="shared" si="78"/>
        <v>THEM</v>
      </c>
      <c r="G2561" s="2" t="str">
        <f t="shared" si="79"/>
        <v>Travelers Club|MORRIS 3</v>
      </c>
    </row>
    <row r="2562" spans="1:7" x14ac:dyDescent="0.2">
      <c r="A2562" s="2" t="str" cm="1">
        <f t="array" ref="A2562">INDEX('[1]Brand Family Territory (Enc)'!$A$2:$A$296,INT((ROW()-2)/10)+1)</f>
        <v>Earthquake</v>
      </c>
      <c r="B2562" s="2" t="str" cm="1">
        <f t="array" ref="B2562">INDEX('Whitelist (Blackout Reverse)'!$B$1:$K$1,MOD(ROW()-2,10)+1)</f>
        <v>BERGEN</v>
      </c>
      <c r="C2562" s="2" t="str">
        <f>VLOOKUP(A2562,'[1]Brand Family Territory (Enc)'!$A$2:$B$296,2,FALSE)</f>
        <v>Core Less Essex (Alt)</v>
      </c>
      <c r="D2562" s="2">
        <f>IF(COUNTIFS('[1]Brand Family Territories (Enc)'!$B$2:$B$62,C2562,'[1]Brand Family Territories (Enc)'!$C$2:$C$62,B2562)&gt;0,1,IF(AND(LEFT(B2562,6)="MORRIS",COUNTIFS('[1]Brand Family Territories (Enc)'!$B$2:$B$62,C2562,'[1]Brand Family Territories (Enc)'!$C$2:$C$62,"Morri")&gt;0),"Unk",0))</f>
        <v>1</v>
      </c>
      <c r="E2562" s="2" t="str">
        <f>IFERROR(INDEX('Blackout Brand Fam Areas (Enc)'!$D$6:$D$998,MATCH(UPPER(A2562)&amp;"|"&amp;UPPER(B2562),'Blackout Brand Fam Areas (Enc)'!$G$6:$G$998,0)),"No Match")</f>
        <v>No Match</v>
      </c>
      <c r="F2562" s="2" t="str">
        <f t="shared" si="78"/>
        <v>US</v>
      </c>
      <c r="G2562" s="2" t="str">
        <f t="shared" si="79"/>
        <v>Earthquake|BERGEN</v>
      </c>
    </row>
    <row r="2563" spans="1:7" x14ac:dyDescent="0.2">
      <c r="A2563" s="2" t="str" cm="1">
        <f t="array" ref="A2563">INDEX('[1]Brand Family Territory (Enc)'!$A$2:$A$296,INT((ROW()-2)/10)+1)</f>
        <v>Earthquake</v>
      </c>
      <c r="B2563" s="2" t="str" cm="1">
        <f t="array" ref="B2563">INDEX('Whitelist (Blackout Reverse)'!$B$1:$K$1,MOD(ROW()-2,10)+1)</f>
        <v>PASSAIC</v>
      </c>
      <c r="C2563" s="2" t="str">
        <f>VLOOKUP(A2563,'[1]Brand Family Territory (Enc)'!$A$2:$B$296,2,FALSE)</f>
        <v>Core Less Essex (Alt)</v>
      </c>
      <c r="D2563" s="2">
        <f>IF(COUNTIFS('[1]Brand Family Territories (Enc)'!$B$2:$B$62,C2563,'[1]Brand Family Territories (Enc)'!$C$2:$C$62,B2563)&gt;0,1,IF(AND(LEFT(B2563,6)="MORRIS",COUNTIFS('[1]Brand Family Territories (Enc)'!$B$2:$B$62,C2563,'[1]Brand Family Territories (Enc)'!$C$2:$C$62,"Morri")&gt;0),"Unk",0))</f>
        <v>1</v>
      </c>
      <c r="E2563" s="2" t="str">
        <f>IFERROR(INDEX('Blackout Brand Fam Areas (Enc)'!$D$6:$D$998,MATCH(UPPER(A2563)&amp;"|"&amp;UPPER(B2563),'Blackout Brand Fam Areas (Enc)'!$G$6:$G$998,0)),"No Match")</f>
        <v>No Match</v>
      </c>
      <c r="F2563" s="2" t="str">
        <f t="shared" ref="F2563:F2626" si="80">IF(D2563="Unk","Ambiguous (Source Truncated)",IF(E2563="Inactive","THEM",IF(D2563=1,"US",IF(D2563="N/A","No Territory Data","THEM"))))</f>
        <v>US</v>
      </c>
      <c r="G2563" s="2" t="str">
        <f t="shared" ref="G2563:G2626" si="81">A2563&amp;"|"&amp;B2563</f>
        <v>Earthquake|PASSAIC</v>
      </c>
    </row>
    <row r="2564" spans="1:7" x14ac:dyDescent="0.2">
      <c r="A2564" s="2" t="str" cm="1">
        <f t="array" ref="A2564">INDEX('[1]Brand Family Territory (Enc)'!$A$2:$A$296,INT((ROW()-2)/10)+1)</f>
        <v>Earthquake</v>
      </c>
      <c r="B2564" s="2" t="str" cm="1">
        <f t="array" ref="B2564">INDEX('Whitelist (Blackout Reverse)'!$B$1:$K$1,MOD(ROW()-2,10)+1)</f>
        <v>PASSAIC-FF</v>
      </c>
      <c r="C2564" s="2" t="str">
        <f>VLOOKUP(A2564,'[1]Brand Family Territory (Enc)'!$A$2:$B$296,2,FALSE)</f>
        <v>Core Less Essex (Alt)</v>
      </c>
      <c r="D2564" s="2">
        <f>IF(COUNTIFS('[1]Brand Family Territories (Enc)'!$B$2:$B$62,C2564,'[1]Brand Family Territories (Enc)'!$C$2:$C$62,B2564)&gt;0,1,IF(AND(LEFT(B2564,6)="MORRIS",COUNTIFS('[1]Brand Family Territories (Enc)'!$B$2:$B$62,C2564,'[1]Brand Family Territories (Enc)'!$C$2:$C$62,"Morri")&gt;0),"Unk",0))</f>
        <v>1</v>
      </c>
      <c r="E2564" s="2" t="str">
        <f>IFERROR(INDEX('Blackout Brand Fam Areas (Enc)'!$D$6:$D$998,MATCH(UPPER(A2564)&amp;"|"&amp;UPPER(B2564),'Blackout Brand Fam Areas (Enc)'!$G$6:$G$998,0)),"No Match")</f>
        <v>No Match</v>
      </c>
      <c r="F2564" s="2" t="str">
        <f t="shared" si="80"/>
        <v>US</v>
      </c>
      <c r="G2564" s="2" t="str">
        <f t="shared" si="81"/>
        <v>Earthquake|PASSAIC-FF</v>
      </c>
    </row>
    <row r="2565" spans="1:7" x14ac:dyDescent="0.2">
      <c r="A2565" s="2" t="str" cm="1">
        <f t="array" ref="A2565">INDEX('[1]Brand Family Territory (Enc)'!$A$2:$A$296,INT((ROW()-2)/10)+1)</f>
        <v>Earthquake</v>
      </c>
      <c r="B2565" s="2" t="str" cm="1">
        <f t="array" ref="B2565">INDEX('Whitelist (Blackout Reverse)'!$B$1:$K$1,MOD(ROW()-2,10)+1)</f>
        <v>ESSEX</v>
      </c>
      <c r="C2565" s="2" t="str">
        <f>VLOOKUP(A2565,'[1]Brand Family Territory (Enc)'!$A$2:$B$296,2,FALSE)</f>
        <v>Core Less Essex (Alt)</v>
      </c>
      <c r="D2565" s="2">
        <f>IF(COUNTIFS('[1]Brand Family Territories (Enc)'!$B$2:$B$62,C2565,'[1]Brand Family Territories (Enc)'!$C$2:$C$62,B2565)&gt;0,1,IF(AND(LEFT(B2565,6)="MORRIS",COUNTIFS('[1]Brand Family Territories (Enc)'!$B$2:$B$62,C2565,'[1]Brand Family Territories (Enc)'!$C$2:$C$62,"Morri")&gt;0),"Unk",0))</f>
        <v>0</v>
      </c>
      <c r="E2565" s="2" t="str">
        <f>IFERROR(INDEX('Blackout Brand Fam Areas (Enc)'!$D$6:$D$998,MATCH(UPPER(A2565)&amp;"|"&amp;UPPER(B2565),'Blackout Brand Fam Areas (Enc)'!$G$6:$G$998,0)),"No Match")</f>
        <v>Inactive</v>
      </c>
      <c r="F2565" s="2" t="str">
        <f t="shared" si="80"/>
        <v>THEM</v>
      </c>
      <c r="G2565" s="2" t="str">
        <f t="shared" si="81"/>
        <v>Earthquake|ESSEX</v>
      </c>
    </row>
    <row r="2566" spans="1:7" x14ac:dyDescent="0.2">
      <c r="A2566" s="2" t="str" cm="1">
        <f t="array" ref="A2566">INDEX('[1]Brand Family Territory (Enc)'!$A$2:$A$296,INT((ROW()-2)/10)+1)</f>
        <v>Earthquake</v>
      </c>
      <c r="B2566" s="2" t="str" cm="1">
        <f t="array" ref="B2566">INDEX('Whitelist (Blackout Reverse)'!$B$1:$K$1,MOD(ROW()-2,10)+1)</f>
        <v>HUDSON</v>
      </c>
      <c r="C2566" s="2" t="str">
        <f>VLOOKUP(A2566,'[1]Brand Family Territory (Enc)'!$A$2:$B$296,2,FALSE)</f>
        <v>Core Less Essex (Alt)</v>
      </c>
      <c r="D2566" s="2">
        <f>IF(COUNTIFS('[1]Brand Family Territories (Enc)'!$B$2:$B$62,C2566,'[1]Brand Family Territories (Enc)'!$C$2:$C$62,B2566)&gt;0,1,IF(AND(LEFT(B2566,6)="MORRIS",COUNTIFS('[1]Brand Family Territories (Enc)'!$B$2:$B$62,C2566,'[1]Brand Family Territories (Enc)'!$C$2:$C$62,"Morri")&gt;0),"Unk",0))</f>
        <v>1</v>
      </c>
      <c r="E2566" s="2" t="str">
        <f>IFERROR(INDEX('Blackout Brand Fam Areas (Enc)'!$D$6:$D$998,MATCH(UPPER(A2566)&amp;"|"&amp;UPPER(B2566),'Blackout Brand Fam Areas (Enc)'!$G$6:$G$998,0)),"No Match")</f>
        <v>No Match</v>
      </c>
      <c r="F2566" s="2" t="str">
        <f t="shared" si="80"/>
        <v>US</v>
      </c>
      <c r="G2566" s="2" t="str">
        <f t="shared" si="81"/>
        <v>Earthquake|HUDSON</v>
      </c>
    </row>
    <row r="2567" spans="1:7" x14ac:dyDescent="0.2">
      <c r="A2567" s="2" t="str" cm="1">
        <f t="array" ref="A2567">INDEX('[1]Brand Family Territory (Enc)'!$A$2:$A$296,INT((ROW()-2)/10)+1)</f>
        <v>Earthquake</v>
      </c>
      <c r="B2567" s="2" t="str" cm="1">
        <f t="array" ref="B2567">INDEX('Whitelist (Blackout Reverse)'!$B$1:$K$1,MOD(ROW()-2,10)+1)</f>
        <v>UNION</v>
      </c>
      <c r="C2567" s="2" t="str">
        <f>VLOOKUP(A2567,'[1]Brand Family Territory (Enc)'!$A$2:$B$296,2,FALSE)</f>
        <v>Core Less Essex (Alt)</v>
      </c>
      <c r="D2567" s="2">
        <f>IF(COUNTIFS('[1]Brand Family Territories (Enc)'!$B$2:$B$62,C2567,'[1]Brand Family Territories (Enc)'!$C$2:$C$62,B2567)&gt;0,1,IF(AND(LEFT(B2567,6)="MORRIS",COUNTIFS('[1]Brand Family Territories (Enc)'!$B$2:$B$62,C2567,'[1]Brand Family Territories (Enc)'!$C$2:$C$62,"Morri")&gt;0),"Unk",0))</f>
        <v>0</v>
      </c>
      <c r="E2567" s="2" t="str">
        <f>IFERROR(INDEX('Blackout Brand Fam Areas (Enc)'!$D$6:$D$998,MATCH(UPPER(A2567)&amp;"|"&amp;UPPER(B2567),'Blackout Brand Fam Areas (Enc)'!$G$6:$G$998,0)),"No Match")</f>
        <v>Inactive</v>
      </c>
      <c r="F2567" s="2" t="str">
        <f t="shared" si="80"/>
        <v>THEM</v>
      </c>
      <c r="G2567" s="2" t="str">
        <f t="shared" si="81"/>
        <v>Earthquake|UNION</v>
      </c>
    </row>
    <row r="2568" spans="1:7" x14ac:dyDescent="0.2">
      <c r="A2568" s="2" t="str" cm="1">
        <f t="array" ref="A2568">INDEX('[1]Brand Family Territory (Enc)'!$A$2:$A$296,INT((ROW()-2)/10)+1)</f>
        <v>Earthquake</v>
      </c>
      <c r="B2568" s="2" t="str" cm="1">
        <f t="array" ref="B2568">INDEX('Whitelist (Blackout Reverse)'!$B$1:$K$1,MOD(ROW()-2,10)+1)</f>
        <v>SUSSEX</v>
      </c>
      <c r="C2568" s="2" t="str">
        <f>VLOOKUP(A2568,'[1]Brand Family Territory (Enc)'!$A$2:$B$296,2,FALSE)</f>
        <v>Core Less Essex (Alt)</v>
      </c>
      <c r="D2568" s="2">
        <f>IF(COUNTIFS('[1]Brand Family Territories (Enc)'!$B$2:$B$62,C2568,'[1]Brand Family Territories (Enc)'!$C$2:$C$62,B2568)&gt;0,1,IF(AND(LEFT(B2568,6)="MORRIS",COUNTIFS('[1]Brand Family Territories (Enc)'!$B$2:$B$62,C2568,'[1]Brand Family Territories (Enc)'!$C$2:$C$62,"Morri")&gt;0),"Unk",0))</f>
        <v>1</v>
      </c>
      <c r="E2568" s="2" t="str">
        <f>IFERROR(INDEX('Blackout Brand Fam Areas (Enc)'!$D$6:$D$998,MATCH(UPPER(A2568)&amp;"|"&amp;UPPER(B2568),'Blackout Brand Fam Areas (Enc)'!$G$6:$G$998,0)),"No Match")</f>
        <v>No Match</v>
      </c>
      <c r="F2568" s="2" t="str">
        <f t="shared" si="80"/>
        <v>US</v>
      </c>
      <c r="G2568" s="2" t="str">
        <f t="shared" si="81"/>
        <v>Earthquake|SUSSEX</v>
      </c>
    </row>
    <row r="2569" spans="1:7" x14ac:dyDescent="0.2">
      <c r="A2569" s="2" t="str" cm="1">
        <f t="array" ref="A2569">INDEX('[1]Brand Family Territory (Enc)'!$A$2:$A$296,INT((ROW()-2)/10)+1)</f>
        <v>Earthquake</v>
      </c>
      <c r="B2569" s="2" t="str" cm="1">
        <f t="array" ref="B2569">INDEX('Whitelist (Blackout Reverse)'!$B$1:$K$1,MOD(ROW()-2,10)+1)</f>
        <v>MORRIS 1</v>
      </c>
      <c r="C2569" s="2" t="str">
        <f>VLOOKUP(A2569,'[1]Brand Family Territory (Enc)'!$A$2:$B$296,2,FALSE)</f>
        <v>Core Less Essex (Alt)</v>
      </c>
      <c r="D2569" s="2">
        <f>IF(COUNTIFS('[1]Brand Family Territories (Enc)'!$B$2:$B$62,C2569,'[1]Brand Family Territories (Enc)'!$C$2:$C$62,B2569)&gt;0,1,IF(AND(LEFT(B2569,6)="MORRIS",COUNTIFS('[1]Brand Family Territories (Enc)'!$B$2:$B$62,C2569,'[1]Brand Family Territories (Enc)'!$C$2:$C$62,"Morri")&gt;0),"Unk",0))</f>
        <v>1</v>
      </c>
      <c r="E2569" s="2" t="str">
        <f>IFERROR(INDEX('Blackout Brand Fam Areas (Enc)'!$D$6:$D$998,MATCH(UPPER(A2569)&amp;"|"&amp;UPPER(B2569),'Blackout Brand Fam Areas (Enc)'!$G$6:$G$998,0)),"No Match")</f>
        <v>No Match</v>
      </c>
      <c r="F2569" s="2" t="str">
        <f t="shared" si="80"/>
        <v>US</v>
      </c>
      <c r="G2569" s="2" t="str">
        <f t="shared" si="81"/>
        <v>Earthquake|MORRIS 1</v>
      </c>
    </row>
    <row r="2570" spans="1:7" x14ac:dyDescent="0.2">
      <c r="A2570" s="2" t="str" cm="1">
        <f t="array" ref="A2570">INDEX('[1]Brand Family Territory (Enc)'!$A$2:$A$296,INT((ROW()-2)/10)+1)</f>
        <v>Earthquake</v>
      </c>
      <c r="B2570" s="2" t="str" cm="1">
        <f t="array" ref="B2570">INDEX('Whitelist (Blackout Reverse)'!$B$1:$K$1,MOD(ROW()-2,10)+1)</f>
        <v>MORRIS 2</v>
      </c>
      <c r="C2570" s="2" t="str">
        <f>VLOOKUP(A2570,'[1]Brand Family Territory (Enc)'!$A$2:$B$296,2,FALSE)</f>
        <v>Core Less Essex (Alt)</v>
      </c>
      <c r="D2570" s="2">
        <f>IF(COUNTIFS('[1]Brand Family Territories (Enc)'!$B$2:$B$62,C2570,'[1]Brand Family Territories (Enc)'!$C$2:$C$62,B2570)&gt;0,1,IF(AND(LEFT(B2570,6)="MORRIS",COUNTIFS('[1]Brand Family Territories (Enc)'!$B$2:$B$62,C2570,'[1]Brand Family Territories (Enc)'!$C$2:$C$62,"Morri")&gt;0),"Unk",0))</f>
        <v>0</v>
      </c>
      <c r="E2570" s="2" t="str">
        <f>IFERROR(INDEX('Blackout Brand Fam Areas (Enc)'!$D$6:$D$998,MATCH(UPPER(A2570)&amp;"|"&amp;UPPER(B2570),'Blackout Brand Fam Areas (Enc)'!$G$6:$G$998,0)),"No Match")</f>
        <v>Inactive</v>
      </c>
      <c r="F2570" s="2" t="str">
        <f t="shared" si="80"/>
        <v>THEM</v>
      </c>
      <c r="G2570" s="2" t="str">
        <f t="shared" si="81"/>
        <v>Earthquake|MORRIS 2</v>
      </c>
    </row>
    <row r="2571" spans="1:7" x14ac:dyDescent="0.2">
      <c r="A2571" s="2" t="str" cm="1">
        <f t="array" ref="A2571">INDEX('[1]Brand Family Territory (Enc)'!$A$2:$A$296,INT((ROW()-2)/10)+1)</f>
        <v>Earthquake</v>
      </c>
      <c r="B2571" s="2" t="str" cm="1">
        <f t="array" ref="B2571">INDEX('Whitelist (Blackout Reverse)'!$B$1:$K$1,MOD(ROW()-2,10)+1)</f>
        <v>MORRIS 3</v>
      </c>
      <c r="C2571" s="2" t="str">
        <f>VLOOKUP(A2571,'[1]Brand Family Territory (Enc)'!$A$2:$B$296,2,FALSE)</f>
        <v>Core Less Essex (Alt)</v>
      </c>
      <c r="D2571" s="2">
        <f>IF(COUNTIFS('[1]Brand Family Territories (Enc)'!$B$2:$B$62,C2571,'[1]Brand Family Territories (Enc)'!$C$2:$C$62,B2571)&gt;0,1,IF(AND(LEFT(B2571,6)="MORRIS",COUNTIFS('[1]Brand Family Territories (Enc)'!$B$2:$B$62,C2571,'[1]Brand Family Territories (Enc)'!$C$2:$C$62,"Morri")&gt;0),"Unk",0))</f>
        <v>1</v>
      </c>
      <c r="E2571" s="2" t="str">
        <f>IFERROR(INDEX('Blackout Brand Fam Areas (Enc)'!$D$6:$D$998,MATCH(UPPER(A2571)&amp;"|"&amp;UPPER(B2571),'Blackout Brand Fam Areas (Enc)'!$G$6:$G$998,0)),"No Match")</f>
        <v>No Match</v>
      </c>
      <c r="F2571" s="2" t="str">
        <f t="shared" si="80"/>
        <v>US</v>
      </c>
      <c r="G2571" s="2" t="str">
        <f t="shared" si="81"/>
        <v>Earthquake|MORRIS 3</v>
      </c>
    </row>
    <row r="2572" spans="1:7" x14ac:dyDescent="0.2">
      <c r="A2572" s="2" t="str" cm="1">
        <f t="array" ref="A2572">INDEX('[1]Brand Family Territory (Enc)'!$A$2:$A$296,INT((ROW()-2)/10)+1)</f>
        <v>Four Loko</v>
      </c>
      <c r="B2572" s="2" t="str" cm="1">
        <f t="array" ref="B2572">INDEX('Whitelist (Blackout Reverse)'!$B$1:$K$1,MOD(ROW()-2,10)+1)</f>
        <v>BERGEN</v>
      </c>
      <c r="C2572" s="2" t="str">
        <f>VLOOKUP(A2572,'[1]Brand Family Territory (Enc)'!$A$2:$B$296,2,FALSE)</f>
        <v>Core Less Essex (Alt)</v>
      </c>
      <c r="D2572" s="2">
        <f>IF(COUNTIFS('[1]Brand Family Territories (Enc)'!$B$2:$B$62,C2572,'[1]Brand Family Territories (Enc)'!$C$2:$C$62,B2572)&gt;0,1,IF(AND(LEFT(B2572,6)="MORRIS",COUNTIFS('[1]Brand Family Territories (Enc)'!$B$2:$B$62,C2572,'[1]Brand Family Territories (Enc)'!$C$2:$C$62,"Morri")&gt;0),"Unk",0))</f>
        <v>1</v>
      </c>
      <c r="E2572" s="2" t="str">
        <f>IFERROR(INDEX('Blackout Brand Fam Areas (Enc)'!$D$6:$D$998,MATCH(UPPER(A2572)&amp;"|"&amp;UPPER(B2572),'Blackout Brand Fam Areas (Enc)'!$G$6:$G$998,0)),"No Match")</f>
        <v>No Match</v>
      </c>
      <c r="F2572" s="2" t="str">
        <f t="shared" si="80"/>
        <v>US</v>
      </c>
      <c r="G2572" s="2" t="str">
        <f t="shared" si="81"/>
        <v>Four Loko|BERGEN</v>
      </c>
    </row>
    <row r="2573" spans="1:7" x14ac:dyDescent="0.2">
      <c r="A2573" s="2" t="str" cm="1">
        <f t="array" ref="A2573">INDEX('[1]Brand Family Territory (Enc)'!$A$2:$A$296,INT((ROW()-2)/10)+1)</f>
        <v>Four Loko</v>
      </c>
      <c r="B2573" s="2" t="str" cm="1">
        <f t="array" ref="B2573">INDEX('Whitelist (Blackout Reverse)'!$B$1:$K$1,MOD(ROW()-2,10)+1)</f>
        <v>PASSAIC</v>
      </c>
      <c r="C2573" s="2" t="str">
        <f>VLOOKUP(A2573,'[1]Brand Family Territory (Enc)'!$A$2:$B$296,2,FALSE)</f>
        <v>Core Less Essex (Alt)</v>
      </c>
      <c r="D2573" s="2">
        <f>IF(COUNTIFS('[1]Brand Family Territories (Enc)'!$B$2:$B$62,C2573,'[1]Brand Family Territories (Enc)'!$C$2:$C$62,B2573)&gt;0,1,IF(AND(LEFT(B2573,6)="MORRIS",COUNTIFS('[1]Brand Family Territories (Enc)'!$B$2:$B$62,C2573,'[1]Brand Family Territories (Enc)'!$C$2:$C$62,"Morri")&gt;0),"Unk",0))</f>
        <v>1</v>
      </c>
      <c r="E2573" s="2" t="str">
        <f>IFERROR(INDEX('Blackout Brand Fam Areas (Enc)'!$D$6:$D$998,MATCH(UPPER(A2573)&amp;"|"&amp;UPPER(B2573),'Blackout Brand Fam Areas (Enc)'!$G$6:$G$998,0)),"No Match")</f>
        <v>No Match</v>
      </c>
      <c r="F2573" s="2" t="str">
        <f t="shared" si="80"/>
        <v>US</v>
      </c>
      <c r="G2573" s="2" t="str">
        <f t="shared" si="81"/>
        <v>Four Loko|PASSAIC</v>
      </c>
    </row>
    <row r="2574" spans="1:7" x14ac:dyDescent="0.2">
      <c r="A2574" s="2" t="str" cm="1">
        <f t="array" ref="A2574">INDEX('[1]Brand Family Territory (Enc)'!$A$2:$A$296,INT((ROW()-2)/10)+1)</f>
        <v>Four Loko</v>
      </c>
      <c r="B2574" s="2" t="str" cm="1">
        <f t="array" ref="B2574">INDEX('Whitelist (Blackout Reverse)'!$B$1:$K$1,MOD(ROW()-2,10)+1)</f>
        <v>PASSAIC-FF</v>
      </c>
      <c r="C2574" s="2" t="str">
        <f>VLOOKUP(A2574,'[1]Brand Family Territory (Enc)'!$A$2:$B$296,2,FALSE)</f>
        <v>Core Less Essex (Alt)</v>
      </c>
      <c r="D2574" s="2">
        <f>IF(COUNTIFS('[1]Brand Family Territories (Enc)'!$B$2:$B$62,C2574,'[1]Brand Family Territories (Enc)'!$C$2:$C$62,B2574)&gt;0,1,IF(AND(LEFT(B2574,6)="MORRIS",COUNTIFS('[1]Brand Family Territories (Enc)'!$B$2:$B$62,C2574,'[1]Brand Family Territories (Enc)'!$C$2:$C$62,"Morri")&gt;0),"Unk",0))</f>
        <v>1</v>
      </c>
      <c r="E2574" s="2" t="str">
        <f>IFERROR(INDEX('Blackout Brand Fam Areas (Enc)'!$D$6:$D$998,MATCH(UPPER(A2574)&amp;"|"&amp;UPPER(B2574),'Blackout Brand Fam Areas (Enc)'!$G$6:$G$998,0)),"No Match")</f>
        <v>No Match</v>
      </c>
      <c r="F2574" s="2" t="str">
        <f t="shared" si="80"/>
        <v>US</v>
      </c>
      <c r="G2574" s="2" t="str">
        <f t="shared" si="81"/>
        <v>Four Loko|PASSAIC-FF</v>
      </c>
    </row>
    <row r="2575" spans="1:7" x14ac:dyDescent="0.2">
      <c r="A2575" s="2" t="str" cm="1">
        <f t="array" ref="A2575">INDEX('[1]Brand Family Territory (Enc)'!$A$2:$A$296,INT((ROW()-2)/10)+1)</f>
        <v>Four Loko</v>
      </c>
      <c r="B2575" s="2" t="str" cm="1">
        <f t="array" ref="B2575">INDEX('Whitelist (Blackout Reverse)'!$B$1:$K$1,MOD(ROW()-2,10)+1)</f>
        <v>ESSEX</v>
      </c>
      <c r="C2575" s="2" t="str">
        <f>VLOOKUP(A2575,'[1]Brand Family Territory (Enc)'!$A$2:$B$296,2,FALSE)</f>
        <v>Core Less Essex (Alt)</v>
      </c>
      <c r="D2575" s="2">
        <f>IF(COUNTIFS('[1]Brand Family Territories (Enc)'!$B$2:$B$62,C2575,'[1]Brand Family Territories (Enc)'!$C$2:$C$62,B2575)&gt;0,1,IF(AND(LEFT(B2575,6)="MORRIS",COUNTIFS('[1]Brand Family Territories (Enc)'!$B$2:$B$62,C2575,'[1]Brand Family Territories (Enc)'!$C$2:$C$62,"Morri")&gt;0),"Unk",0))</f>
        <v>0</v>
      </c>
      <c r="E2575" s="2" t="str">
        <f>IFERROR(INDEX('Blackout Brand Fam Areas (Enc)'!$D$6:$D$998,MATCH(UPPER(A2575)&amp;"|"&amp;UPPER(B2575),'Blackout Brand Fam Areas (Enc)'!$G$6:$G$998,0)),"No Match")</f>
        <v>Inactive</v>
      </c>
      <c r="F2575" s="2" t="str">
        <f t="shared" si="80"/>
        <v>THEM</v>
      </c>
      <c r="G2575" s="2" t="str">
        <f t="shared" si="81"/>
        <v>Four Loko|ESSEX</v>
      </c>
    </row>
    <row r="2576" spans="1:7" x14ac:dyDescent="0.2">
      <c r="A2576" s="2" t="str" cm="1">
        <f t="array" ref="A2576">INDEX('[1]Brand Family Territory (Enc)'!$A$2:$A$296,INT((ROW()-2)/10)+1)</f>
        <v>Four Loko</v>
      </c>
      <c r="B2576" s="2" t="str" cm="1">
        <f t="array" ref="B2576">INDEX('Whitelist (Blackout Reverse)'!$B$1:$K$1,MOD(ROW()-2,10)+1)</f>
        <v>HUDSON</v>
      </c>
      <c r="C2576" s="2" t="str">
        <f>VLOOKUP(A2576,'[1]Brand Family Territory (Enc)'!$A$2:$B$296,2,FALSE)</f>
        <v>Core Less Essex (Alt)</v>
      </c>
      <c r="D2576" s="2">
        <f>IF(COUNTIFS('[1]Brand Family Territories (Enc)'!$B$2:$B$62,C2576,'[1]Brand Family Territories (Enc)'!$C$2:$C$62,B2576)&gt;0,1,IF(AND(LEFT(B2576,6)="MORRIS",COUNTIFS('[1]Brand Family Territories (Enc)'!$B$2:$B$62,C2576,'[1]Brand Family Territories (Enc)'!$C$2:$C$62,"Morri")&gt;0),"Unk",0))</f>
        <v>1</v>
      </c>
      <c r="E2576" s="2" t="str">
        <f>IFERROR(INDEX('Blackout Brand Fam Areas (Enc)'!$D$6:$D$998,MATCH(UPPER(A2576)&amp;"|"&amp;UPPER(B2576),'Blackout Brand Fam Areas (Enc)'!$G$6:$G$998,0)),"No Match")</f>
        <v>No Match</v>
      </c>
      <c r="F2576" s="2" t="str">
        <f t="shared" si="80"/>
        <v>US</v>
      </c>
      <c r="G2576" s="2" t="str">
        <f t="shared" si="81"/>
        <v>Four Loko|HUDSON</v>
      </c>
    </row>
    <row r="2577" spans="1:7" x14ac:dyDescent="0.2">
      <c r="A2577" s="2" t="str" cm="1">
        <f t="array" ref="A2577">INDEX('[1]Brand Family Territory (Enc)'!$A$2:$A$296,INT((ROW()-2)/10)+1)</f>
        <v>Four Loko</v>
      </c>
      <c r="B2577" s="2" t="str" cm="1">
        <f t="array" ref="B2577">INDEX('Whitelist (Blackout Reverse)'!$B$1:$K$1,MOD(ROW()-2,10)+1)</f>
        <v>UNION</v>
      </c>
      <c r="C2577" s="2" t="str">
        <f>VLOOKUP(A2577,'[1]Brand Family Territory (Enc)'!$A$2:$B$296,2,FALSE)</f>
        <v>Core Less Essex (Alt)</v>
      </c>
      <c r="D2577" s="2">
        <f>IF(COUNTIFS('[1]Brand Family Territories (Enc)'!$B$2:$B$62,C2577,'[1]Brand Family Territories (Enc)'!$C$2:$C$62,B2577)&gt;0,1,IF(AND(LEFT(B2577,6)="MORRIS",COUNTIFS('[1]Brand Family Territories (Enc)'!$B$2:$B$62,C2577,'[1]Brand Family Territories (Enc)'!$C$2:$C$62,"Morri")&gt;0),"Unk",0))</f>
        <v>0</v>
      </c>
      <c r="E2577" s="2" t="str">
        <f>IFERROR(INDEX('Blackout Brand Fam Areas (Enc)'!$D$6:$D$998,MATCH(UPPER(A2577)&amp;"|"&amp;UPPER(B2577),'Blackout Brand Fam Areas (Enc)'!$G$6:$G$998,0)),"No Match")</f>
        <v>Inactive</v>
      </c>
      <c r="F2577" s="2" t="str">
        <f t="shared" si="80"/>
        <v>THEM</v>
      </c>
      <c r="G2577" s="2" t="str">
        <f t="shared" si="81"/>
        <v>Four Loko|UNION</v>
      </c>
    </row>
    <row r="2578" spans="1:7" x14ac:dyDescent="0.2">
      <c r="A2578" s="2" t="str" cm="1">
        <f t="array" ref="A2578">INDEX('[1]Brand Family Territory (Enc)'!$A$2:$A$296,INT((ROW()-2)/10)+1)</f>
        <v>Four Loko</v>
      </c>
      <c r="B2578" s="2" t="str" cm="1">
        <f t="array" ref="B2578">INDEX('Whitelist (Blackout Reverse)'!$B$1:$K$1,MOD(ROW()-2,10)+1)</f>
        <v>SUSSEX</v>
      </c>
      <c r="C2578" s="2" t="str">
        <f>VLOOKUP(A2578,'[1]Brand Family Territory (Enc)'!$A$2:$B$296,2,FALSE)</f>
        <v>Core Less Essex (Alt)</v>
      </c>
      <c r="D2578" s="2">
        <f>IF(COUNTIFS('[1]Brand Family Territories (Enc)'!$B$2:$B$62,C2578,'[1]Brand Family Territories (Enc)'!$C$2:$C$62,B2578)&gt;0,1,IF(AND(LEFT(B2578,6)="MORRIS",COUNTIFS('[1]Brand Family Territories (Enc)'!$B$2:$B$62,C2578,'[1]Brand Family Territories (Enc)'!$C$2:$C$62,"Morri")&gt;0),"Unk",0))</f>
        <v>1</v>
      </c>
      <c r="E2578" s="2" t="str">
        <f>IFERROR(INDEX('Blackout Brand Fam Areas (Enc)'!$D$6:$D$998,MATCH(UPPER(A2578)&amp;"|"&amp;UPPER(B2578),'Blackout Brand Fam Areas (Enc)'!$G$6:$G$998,0)),"No Match")</f>
        <v>No Match</v>
      </c>
      <c r="F2578" s="2" t="str">
        <f t="shared" si="80"/>
        <v>US</v>
      </c>
      <c r="G2578" s="2" t="str">
        <f t="shared" si="81"/>
        <v>Four Loko|SUSSEX</v>
      </c>
    </row>
    <row r="2579" spans="1:7" x14ac:dyDescent="0.2">
      <c r="A2579" s="2" t="str" cm="1">
        <f t="array" ref="A2579">INDEX('[1]Brand Family Territory (Enc)'!$A$2:$A$296,INT((ROW()-2)/10)+1)</f>
        <v>Four Loko</v>
      </c>
      <c r="B2579" s="2" t="str" cm="1">
        <f t="array" ref="B2579">INDEX('Whitelist (Blackout Reverse)'!$B$1:$K$1,MOD(ROW()-2,10)+1)</f>
        <v>MORRIS 1</v>
      </c>
      <c r="C2579" s="2" t="str">
        <f>VLOOKUP(A2579,'[1]Brand Family Territory (Enc)'!$A$2:$B$296,2,FALSE)</f>
        <v>Core Less Essex (Alt)</v>
      </c>
      <c r="D2579" s="2">
        <f>IF(COUNTIFS('[1]Brand Family Territories (Enc)'!$B$2:$B$62,C2579,'[1]Brand Family Territories (Enc)'!$C$2:$C$62,B2579)&gt;0,1,IF(AND(LEFT(B2579,6)="MORRIS",COUNTIFS('[1]Brand Family Territories (Enc)'!$B$2:$B$62,C2579,'[1]Brand Family Territories (Enc)'!$C$2:$C$62,"Morri")&gt;0),"Unk",0))</f>
        <v>1</v>
      </c>
      <c r="E2579" s="2" t="str">
        <f>IFERROR(INDEX('Blackout Brand Fam Areas (Enc)'!$D$6:$D$998,MATCH(UPPER(A2579)&amp;"|"&amp;UPPER(B2579),'Blackout Brand Fam Areas (Enc)'!$G$6:$G$998,0)),"No Match")</f>
        <v>No Match</v>
      </c>
      <c r="F2579" s="2" t="str">
        <f t="shared" si="80"/>
        <v>US</v>
      </c>
      <c r="G2579" s="2" t="str">
        <f t="shared" si="81"/>
        <v>Four Loko|MORRIS 1</v>
      </c>
    </row>
    <row r="2580" spans="1:7" x14ac:dyDescent="0.2">
      <c r="A2580" s="2" t="str" cm="1">
        <f t="array" ref="A2580">INDEX('[1]Brand Family Territory (Enc)'!$A$2:$A$296,INT((ROW()-2)/10)+1)</f>
        <v>Four Loko</v>
      </c>
      <c r="B2580" s="2" t="str" cm="1">
        <f t="array" ref="B2580">INDEX('Whitelist (Blackout Reverse)'!$B$1:$K$1,MOD(ROW()-2,10)+1)</f>
        <v>MORRIS 2</v>
      </c>
      <c r="C2580" s="2" t="str">
        <f>VLOOKUP(A2580,'[1]Brand Family Territory (Enc)'!$A$2:$B$296,2,FALSE)</f>
        <v>Core Less Essex (Alt)</v>
      </c>
      <c r="D2580" s="2">
        <f>IF(COUNTIFS('[1]Brand Family Territories (Enc)'!$B$2:$B$62,C2580,'[1]Brand Family Territories (Enc)'!$C$2:$C$62,B2580)&gt;0,1,IF(AND(LEFT(B2580,6)="MORRIS",COUNTIFS('[1]Brand Family Territories (Enc)'!$B$2:$B$62,C2580,'[1]Brand Family Territories (Enc)'!$C$2:$C$62,"Morri")&gt;0),"Unk",0))</f>
        <v>0</v>
      </c>
      <c r="E2580" s="2" t="str">
        <f>IFERROR(INDEX('Blackout Brand Fam Areas (Enc)'!$D$6:$D$998,MATCH(UPPER(A2580)&amp;"|"&amp;UPPER(B2580),'Blackout Brand Fam Areas (Enc)'!$G$6:$G$998,0)),"No Match")</f>
        <v>Inactive</v>
      </c>
      <c r="F2580" s="2" t="str">
        <f t="shared" si="80"/>
        <v>THEM</v>
      </c>
      <c r="G2580" s="2" t="str">
        <f t="shared" si="81"/>
        <v>Four Loko|MORRIS 2</v>
      </c>
    </row>
    <row r="2581" spans="1:7" x14ac:dyDescent="0.2">
      <c r="A2581" s="2" t="str" cm="1">
        <f t="array" ref="A2581">INDEX('[1]Brand Family Territory (Enc)'!$A$2:$A$296,INT((ROW()-2)/10)+1)</f>
        <v>Four Loko</v>
      </c>
      <c r="B2581" s="2" t="str" cm="1">
        <f t="array" ref="B2581">INDEX('Whitelist (Blackout Reverse)'!$B$1:$K$1,MOD(ROW()-2,10)+1)</f>
        <v>MORRIS 3</v>
      </c>
      <c r="C2581" s="2" t="str">
        <f>VLOOKUP(A2581,'[1]Brand Family Territory (Enc)'!$A$2:$B$296,2,FALSE)</f>
        <v>Core Less Essex (Alt)</v>
      </c>
      <c r="D2581" s="2">
        <f>IF(COUNTIFS('[1]Brand Family Territories (Enc)'!$B$2:$B$62,C2581,'[1]Brand Family Territories (Enc)'!$C$2:$C$62,B2581)&gt;0,1,IF(AND(LEFT(B2581,6)="MORRIS",COUNTIFS('[1]Brand Family Territories (Enc)'!$B$2:$B$62,C2581,'[1]Brand Family Territories (Enc)'!$C$2:$C$62,"Morri")&gt;0),"Unk",0))</f>
        <v>1</v>
      </c>
      <c r="E2581" s="2" t="str">
        <f>IFERROR(INDEX('Blackout Brand Fam Areas (Enc)'!$D$6:$D$998,MATCH(UPPER(A2581)&amp;"|"&amp;UPPER(B2581),'Blackout Brand Fam Areas (Enc)'!$G$6:$G$998,0)),"No Match")</f>
        <v>No Match</v>
      </c>
      <c r="F2581" s="2" t="str">
        <f t="shared" si="80"/>
        <v>US</v>
      </c>
      <c r="G2581" s="2" t="str">
        <f t="shared" si="81"/>
        <v>Four Loko|MORRIS 3</v>
      </c>
    </row>
    <row r="2582" spans="1:7" x14ac:dyDescent="0.2">
      <c r="A2582" s="2" t="str" cm="1">
        <f t="array" ref="A2582">INDEX('[1]Brand Family Territory (Enc)'!$A$2:$A$296,INT((ROW()-2)/10)+1)</f>
        <v>Mamita's</v>
      </c>
      <c r="B2582" s="2" t="str" cm="1">
        <f t="array" ref="B2582">INDEX('Whitelist (Blackout Reverse)'!$B$1:$K$1,MOD(ROW()-2,10)+1)</f>
        <v>BERGEN</v>
      </c>
      <c r="C2582" s="2" t="str">
        <f>VLOOKUP(A2582,'[1]Brand Family Territory (Enc)'!$A$2:$B$296,2,FALSE)</f>
        <v>Core Less Essex (Alt)</v>
      </c>
      <c r="D2582" s="2">
        <f>IF(COUNTIFS('[1]Brand Family Territories (Enc)'!$B$2:$B$62,C2582,'[1]Brand Family Territories (Enc)'!$C$2:$C$62,B2582)&gt;0,1,IF(AND(LEFT(B2582,6)="MORRIS",COUNTIFS('[1]Brand Family Territories (Enc)'!$B$2:$B$62,C2582,'[1]Brand Family Territories (Enc)'!$C$2:$C$62,"Morri")&gt;0),"Unk",0))</f>
        <v>1</v>
      </c>
      <c r="E2582" s="2" t="str">
        <f>IFERROR(INDEX('Blackout Brand Fam Areas (Enc)'!$D$6:$D$998,MATCH(UPPER(A2582)&amp;"|"&amp;UPPER(B2582),'Blackout Brand Fam Areas (Enc)'!$G$6:$G$998,0)),"No Match")</f>
        <v>No Match</v>
      </c>
      <c r="F2582" s="2" t="str">
        <f t="shared" si="80"/>
        <v>US</v>
      </c>
      <c r="G2582" s="2" t="str">
        <f t="shared" si="81"/>
        <v>Mamita's|BERGEN</v>
      </c>
    </row>
    <row r="2583" spans="1:7" x14ac:dyDescent="0.2">
      <c r="A2583" s="2" t="str" cm="1">
        <f t="array" ref="A2583">INDEX('[1]Brand Family Territory (Enc)'!$A$2:$A$296,INT((ROW()-2)/10)+1)</f>
        <v>Mamita's</v>
      </c>
      <c r="B2583" s="2" t="str" cm="1">
        <f t="array" ref="B2583">INDEX('Whitelist (Blackout Reverse)'!$B$1:$K$1,MOD(ROW()-2,10)+1)</f>
        <v>PASSAIC</v>
      </c>
      <c r="C2583" s="2" t="str">
        <f>VLOOKUP(A2583,'[1]Brand Family Territory (Enc)'!$A$2:$B$296,2,FALSE)</f>
        <v>Core Less Essex (Alt)</v>
      </c>
      <c r="D2583" s="2">
        <f>IF(COUNTIFS('[1]Brand Family Territories (Enc)'!$B$2:$B$62,C2583,'[1]Brand Family Territories (Enc)'!$C$2:$C$62,B2583)&gt;0,1,IF(AND(LEFT(B2583,6)="MORRIS",COUNTIFS('[1]Brand Family Territories (Enc)'!$B$2:$B$62,C2583,'[1]Brand Family Territories (Enc)'!$C$2:$C$62,"Morri")&gt;0),"Unk",0))</f>
        <v>1</v>
      </c>
      <c r="E2583" s="2" t="str">
        <f>IFERROR(INDEX('Blackout Brand Fam Areas (Enc)'!$D$6:$D$998,MATCH(UPPER(A2583)&amp;"|"&amp;UPPER(B2583),'Blackout Brand Fam Areas (Enc)'!$G$6:$G$998,0)),"No Match")</f>
        <v>No Match</v>
      </c>
      <c r="F2583" s="2" t="str">
        <f t="shared" si="80"/>
        <v>US</v>
      </c>
      <c r="G2583" s="2" t="str">
        <f t="shared" si="81"/>
        <v>Mamita's|PASSAIC</v>
      </c>
    </row>
    <row r="2584" spans="1:7" x14ac:dyDescent="0.2">
      <c r="A2584" s="2" t="str" cm="1">
        <f t="array" ref="A2584">INDEX('[1]Brand Family Territory (Enc)'!$A$2:$A$296,INT((ROW()-2)/10)+1)</f>
        <v>Mamita's</v>
      </c>
      <c r="B2584" s="2" t="str" cm="1">
        <f t="array" ref="B2584">INDEX('Whitelist (Blackout Reverse)'!$B$1:$K$1,MOD(ROW()-2,10)+1)</f>
        <v>PASSAIC-FF</v>
      </c>
      <c r="C2584" s="2" t="str">
        <f>VLOOKUP(A2584,'[1]Brand Family Territory (Enc)'!$A$2:$B$296,2,FALSE)</f>
        <v>Core Less Essex (Alt)</v>
      </c>
      <c r="D2584" s="2">
        <f>IF(COUNTIFS('[1]Brand Family Territories (Enc)'!$B$2:$B$62,C2584,'[1]Brand Family Territories (Enc)'!$C$2:$C$62,B2584)&gt;0,1,IF(AND(LEFT(B2584,6)="MORRIS",COUNTIFS('[1]Brand Family Territories (Enc)'!$B$2:$B$62,C2584,'[1]Brand Family Territories (Enc)'!$C$2:$C$62,"Morri")&gt;0),"Unk",0))</f>
        <v>1</v>
      </c>
      <c r="E2584" s="2" t="str">
        <f>IFERROR(INDEX('Blackout Brand Fam Areas (Enc)'!$D$6:$D$998,MATCH(UPPER(A2584)&amp;"|"&amp;UPPER(B2584),'Blackout Brand Fam Areas (Enc)'!$G$6:$G$998,0)),"No Match")</f>
        <v>No Match</v>
      </c>
      <c r="F2584" s="2" t="str">
        <f t="shared" si="80"/>
        <v>US</v>
      </c>
      <c r="G2584" s="2" t="str">
        <f t="shared" si="81"/>
        <v>Mamita's|PASSAIC-FF</v>
      </c>
    </row>
    <row r="2585" spans="1:7" x14ac:dyDescent="0.2">
      <c r="A2585" s="2" t="str" cm="1">
        <f t="array" ref="A2585">INDEX('[1]Brand Family Territory (Enc)'!$A$2:$A$296,INT((ROW()-2)/10)+1)</f>
        <v>Mamita's</v>
      </c>
      <c r="B2585" s="2" t="str" cm="1">
        <f t="array" ref="B2585">INDEX('Whitelist (Blackout Reverse)'!$B$1:$K$1,MOD(ROW()-2,10)+1)</f>
        <v>ESSEX</v>
      </c>
      <c r="C2585" s="2" t="str">
        <f>VLOOKUP(A2585,'[1]Brand Family Territory (Enc)'!$A$2:$B$296,2,FALSE)</f>
        <v>Core Less Essex (Alt)</v>
      </c>
      <c r="D2585" s="2">
        <f>IF(COUNTIFS('[1]Brand Family Territories (Enc)'!$B$2:$B$62,C2585,'[1]Brand Family Territories (Enc)'!$C$2:$C$62,B2585)&gt;0,1,IF(AND(LEFT(B2585,6)="MORRIS",COUNTIFS('[1]Brand Family Territories (Enc)'!$B$2:$B$62,C2585,'[1]Brand Family Territories (Enc)'!$C$2:$C$62,"Morri")&gt;0),"Unk",0))</f>
        <v>0</v>
      </c>
      <c r="E2585" s="2" t="str">
        <f>IFERROR(INDEX('Blackout Brand Fam Areas (Enc)'!$D$6:$D$998,MATCH(UPPER(A2585)&amp;"|"&amp;UPPER(B2585),'Blackout Brand Fam Areas (Enc)'!$G$6:$G$998,0)),"No Match")</f>
        <v>Inactive</v>
      </c>
      <c r="F2585" s="2" t="str">
        <f t="shared" si="80"/>
        <v>THEM</v>
      </c>
      <c r="G2585" s="2" t="str">
        <f t="shared" si="81"/>
        <v>Mamita's|ESSEX</v>
      </c>
    </row>
    <row r="2586" spans="1:7" x14ac:dyDescent="0.2">
      <c r="A2586" s="2" t="str" cm="1">
        <f t="array" ref="A2586">INDEX('[1]Brand Family Territory (Enc)'!$A$2:$A$296,INT((ROW()-2)/10)+1)</f>
        <v>Mamita's</v>
      </c>
      <c r="B2586" s="2" t="str" cm="1">
        <f t="array" ref="B2586">INDEX('Whitelist (Blackout Reverse)'!$B$1:$K$1,MOD(ROW()-2,10)+1)</f>
        <v>HUDSON</v>
      </c>
      <c r="C2586" s="2" t="str">
        <f>VLOOKUP(A2586,'[1]Brand Family Territory (Enc)'!$A$2:$B$296,2,FALSE)</f>
        <v>Core Less Essex (Alt)</v>
      </c>
      <c r="D2586" s="2">
        <f>IF(COUNTIFS('[1]Brand Family Territories (Enc)'!$B$2:$B$62,C2586,'[1]Brand Family Territories (Enc)'!$C$2:$C$62,B2586)&gt;0,1,IF(AND(LEFT(B2586,6)="MORRIS",COUNTIFS('[1]Brand Family Territories (Enc)'!$B$2:$B$62,C2586,'[1]Brand Family Territories (Enc)'!$C$2:$C$62,"Morri")&gt;0),"Unk",0))</f>
        <v>1</v>
      </c>
      <c r="E2586" s="2" t="str">
        <f>IFERROR(INDEX('Blackout Brand Fam Areas (Enc)'!$D$6:$D$998,MATCH(UPPER(A2586)&amp;"|"&amp;UPPER(B2586),'Blackout Brand Fam Areas (Enc)'!$G$6:$G$998,0)),"No Match")</f>
        <v>No Match</v>
      </c>
      <c r="F2586" s="2" t="str">
        <f t="shared" si="80"/>
        <v>US</v>
      </c>
      <c r="G2586" s="2" t="str">
        <f t="shared" si="81"/>
        <v>Mamita's|HUDSON</v>
      </c>
    </row>
    <row r="2587" spans="1:7" x14ac:dyDescent="0.2">
      <c r="A2587" s="2" t="str" cm="1">
        <f t="array" ref="A2587">INDEX('[1]Brand Family Territory (Enc)'!$A$2:$A$296,INT((ROW()-2)/10)+1)</f>
        <v>Mamita's</v>
      </c>
      <c r="B2587" s="2" t="str" cm="1">
        <f t="array" ref="B2587">INDEX('Whitelist (Blackout Reverse)'!$B$1:$K$1,MOD(ROW()-2,10)+1)</f>
        <v>UNION</v>
      </c>
      <c r="C2587" s="2" t="str">
        <f>VLOOKUP(A2587,'[1]Brand Family Territory (Enc)'!$A$2:$B$296,2,FALSE)</f>
        <v>Core Less Essex (Alt)</v>
      </c>
      <c r="D2587" s="2">
        <f>IF(COUNTIFS('[1]Brand Family Territories (Enc)'!$B$2:$B$62,C2587,'[1]Brand Family Territories (Enc)'!$C$2:$C$62,B2587)&gt;0,1,IF(AND(LEFT(B2587,6)="MORRIS",COUNTIFS('[1]Brand Family Territories (Enc)'!$B$2:$B$62,C2587,'[1]Brand Family Territories (Enc)'!$C$2:$C$62,"Morri")&gt;0),"Unk",0))</f>
        <v>0</v>
      </c>
      <c r="E2587" s="2" t="str">
        <f>IFERROR(INDEX('Blackout Brand Fam Areas (Enc)'!$D$6:$D$998,MATCH(UPPER(A2587)&amp;"|"&amp;UPPER(B2587),'Blackout Brand Fam Areas (Enc)'!$G$6:$G$998,0)),"No Match")</f>
        <v>Inactive</v>
      </c>
      <c r="F2587" s="2" t="str">
        <f t="shared" si="80"/>
        <v>THEM</v>
      </c>
      <c r="G2587" s="2" t="str">
        <f t="shared" si="81"/>
        <v>Mamita's|UNION</v>
      </c>
    </row>
    <row r="2588" spans="1:7" x14ac:dyDescent="0.2">
      <c r="A2588" s="2" t="str" cm="1">
        <f t="array" ref="A2588">INDEX('[1]Brand Family Territory (Enc)'!$A$2:$A$296,INT((ROW()-2)/10)+1)</f>
        <v>Mamita's</v>
      </c>
      <c r="B2588" s="2" t="str" cm="1">
        <f t="array" ref="B2588">INDEX('Whitelist (Blackout Reverse)'!$B$1:$K$1,MOD(ROW()-2,10)+1)</f>
        <v>SUSSEX</v>
      </c>
      <c r="C2588" s="2" t="str">
        <f>VLOOKUP(A2588,'[1]Brand Family Territory (Enc)'!$A$2:$B$296,2,FALSE)</f>
        <v>Core Less Essex (Alt)</v>
      </c>
      <c r="D2588" s="2">
        <f>IF(COUNTIFS('[1]Brand Family Territories (Enc)'!$B$2:$B$62,C2588,'[1]Brand Family Territories (Enc)'!$C$2:$C$62,B2588)&gt;0,1,IF(AND(LEFT(B2588,6)="MORRIS",COUNTIFS('[1]Brand Family Territories (Enc)'!$B$2:$B$62,C2588,'[1]Brand Family Territories (Enc)'!$C$2:$C$62,"Morri")&gt;0),"Unk",0))</f>
        <v>1</v>
      </c>
      <c r="E2588" s="2" t="str">
        <f>IFERROR(INDEX('Blackout Brand Fam Areas (Enc)'!$D$6:$D$998,MATCH(UPPER(A2588)&amp;"|"&amp;UPPER(B2588),'Blackout Brand Fam Areas (Enc)'!$G$6:$G$998,0)),"No Match")</f>
        <v>No Match</v>
      </c>
      <c r="F2588" s="2" t="str">
        <f t="shared" si="80"/>
        <v>US</v>
      </c>
      <c r="G2588" s="2" t="str">
        <f t="shared" si="81"/>
        <v>Mamita's|SUSSEX</v>
      </c>
    </row>
    <row r="2589" spans="1:7" x14ac:dyDescent="0.2">
      <c r="A2589" s="2" t="str" cm="1">
        <f t="array" ref="A2589">INDEX('[1]Brand Family Territory (Enc)'!$A$2:$A$296,INT((ROW()-2)/10)+1)</f>
        <v>Mamita's</v>
      </c>
      <c r="B2589" s="2" t="str" cm="1">
        <f t="array" ref="B2589">INDEX('Whitelist (Blackout Reverse)'!$B$1:$K$1,MOD(ROW()-2,10)+1)</f>
        <v>MORRIS 1</v>
      </c>
      <c r="C2589" s="2" t="str">
        <f>VLOOKUP(A2589,'[1]Brand Family Territory (Enc)'!$A$2:$B$296,2,FALSE)</f>
        <v>Core Less Essex (Alt)</v>
      </c>
      <c r="D2589" s="2">
        <f>IF(COUNTIFS('[1]Brand Family Territories (Enc)'!$B$2:$B$62,C2589,'[1]Brand Family Territories (Enc)'!$C$2:$C$62,B2589)&gt;0,1,IF(AND(LEFT(B2589,6)="MORRIS",COUNTIFS('[1]Brand Family Territories (Enc)'!$B$2:$B$62,C2589,'[1]Brand Family Territories (Enc)'!$C$2:$C$62,"Morri")&gt;0),"Unk",0))</f>
        <v>1</v>
      </c>
      <c r="E2589" s="2" t="str">
        <f>IFERROR(INDEX('Blackout Brand Fam Areas (Enc)'!$D$6:$D$998,MATCH(UPPER(A2589)&amp;"|"&amp;UPPER(B2589),'Blackout Brand Fam Areas (Enc)'!$G$6:$G$998,0)),"No Match")</f>
        <v>No Match</v>
      </c>
      <c r="F2589" s="2" t="str">
        <f t="shared" si="80"/>
        <v>US</v>
      </c>
      <c r="G2589" s="2" t="str">
        <f t="shared" si="81"/>
        <v>Mamita's|MORRIS 1</v>
      </c>
    </row>
    <row r="2590" spans="1:7" x14ac:dyDescent="0.2">
      <c r="A2590" s="2" t="str" cm="1">
        <f t="array" ref="A2590">INDEX('[1]Brand Family Territory (Enc)'!$A$2:$A$296,INT((ROW()-2)/10)+1)</f>
        <v>Mamita's</v>
      </c>
      <c r="B2590" s="2" t="str" cm="1">
        <f t="array" ref="B2590">INDEX('Whitelist (Blackout Reverse)'!$B$1:$K$1,MOD(ROW()-2,10)+1)</f>
        <v>MORRIS 2</v>
      </c>
      <c r="C2590" s="2" t="str">
        <f>VLOOKUP(A2590,'[1]Brand Family Territory (Enc)'!$A$2:$B$296,2,FALSE)</f>
        <v>Core Less Essex (Alt)</v>
      </c>
      <c r="D2590" s="2">
        <f>IF(COUNTIFS('[1]Brand Family Territories (Enc)'!$B$2:$B$62,C2590,'[1]Brand Family Territories (Enc)'!$C$2:$C$62,B2590)&gt;0,1,IF(AND(LEFT(B2590,6)="MORRIS",COUNTIFS('[1]Brand Family Territories (Enc)'!$B$2:$B$62,C2590,'[1]Brand Family Territories (Enc)'!$C$2:$C$62,"Morri")&gt;0),"Unk",0))</f>
        <v>0</v>
      </c>
      <c r="E2590" s="2" t="str">
        <f>IFERROR(INDEX('Blackout Brand Fam Areas (Enc)'!$D$6:$D$998,MATCH(UPPER(A2590)&amp;"|"&amp;UPPER(B2590),'Blackout Brand Fam Areas (Enc)'!$G$6:$G$998,0)),"No Match")</f>
        <v>Inactive</v>
      </c>
      <c r="F2590" s="2" t="str">
        <f t="shared" si="80"/>
        <v>THEM</v>
      </c>
      <c r="G2590" s="2" t="str">
        <f t="shared" si="81"/>
        <v>Mamita's|MORRIS 2</v>
      </c>
    </row>
    <row r="2591" spans="1:7" x14ac:dyDescent="0.2">
      <c r="A2591" s="2" t="str" cm="1">
        <f t="array" ref="A2591">INDEX('[1]Brand Family Territory (Enc)'!$A$2:$A$296,INT((ROW()-2)/10)+1)</f>
        <v>Mamita's</v>
      </c>
      <c r="B2591" s="2" t="str" cm="1">
        <f t="array" ref="B2591">INDEX('Whitelist (Blackout Reverse)'!$B$1:$K$1,MOD(ROW()-2,10)+1)</f>
        <v>MORRIS 3</v>
      </c>
      <c r="C2591" s="2" t="str">
        <f>VLOOKUP(A2591,'[1]Brand Family Territory (Enc)'!$A$2:$B$296,2,FALSE)</f>
        <v>Core Less Essex (Alt)</v>
      </c>
      <c r="D2591" s="2">
        <f>IF(COUNTIFS('[1]Brand Family Territories (Enc)'!$B$2:$B$62,C2591,'[1]Brand Family Territories (Enc)'!$C$2:$C$62,B2591)&gt;0,1,IF(AND(LEFT(B2591,6)="MORRIS",COUNTIFS('[1]Brand Family Territories (Enc)'!$B$2:$B$62,C2591,'[1]Brand Family Territories (Enc)'!$C$2:$C$62,"Morri")&gt;0),"Unk",0))</f>
        <v>1</v>
      </c>
      <c r="E2591" s="2" t="str">
        <f>IFERROR(INDEX('Blackout Brand Fam Areas (Enc)'!$D$6:$D$998,MATCH(UPPER(A2591)&amp;"|"&amp;UPPER(B2591),'Blackout Brand Fam Areas (Enc)'!$G$6:$G$998,0)),"No Match")</f>
        <v>No Match</v>
      </c>
      <c r="F2591" s="2" t="str">
        <f t="shared" si="80"/>
        <v>US</v>
      </c>
      <c r="G2591" s="2" t="str">
        <f t="shared" si="81"/>
        <v>Mamita's|MORRIS 3</v>
      </c>
    </row>
    <row r="2592" spans="1:7" x14ac:dyDescent="0.2">
      <c r="A2592" s="2" t="str" cm="1">
        <f t="array" ref="A2592">INDEX('[1]Brand Family Territory (Enc)'!$A$2:$A$296,INT((ROW()-2)/10)+1)</f>
        <v>Banks</v>
      </c>
      <c r="B2592" s="2" t="str" cm="1">
        <f t="array" ref="B2592">INDEX('Whitelist (Blackout Reverse)'!$B$1:$K$1,MOD(ROW()-2,10)+1)</f>
        <v>BERGEN</v>
      </c>
      <c r="C2592" s="2" t="str">
        <f>VLOOKUP(A2592,'[1]Brand Family Territory (Enc)'!$A$2:$B$296,2,FALSE)</f>
        <v>Bergen/Passaic/Hudson/Essex</v>
      </c>
      <c r="D2592" s="2">
        <f>IF(COUNTIFS('[1]Brand Family Territories (Enc)'!$B$2:$B$62,C2592,'[1]Brand Family Territories (Enc)'!$C$2:$C$62,B2592)&gt;0,1,IF(AND(LEFT(B2592,6)="MORRIS",COUNTIFS('[1]Brand Family Territories (Enc)'!$B$2:$B$62,C2592,'[1]Brand Family Territories (Enc)'!$C$2:$C$62,"Morri")&gt;0),"Unk",0))</f>
        <v>1</v>
      </c>
      <c r="E2592" s="2" t="str">
        <f>IFERROR(INDEX('Blackout Brand Fam Areas (Enc)'!$D$6:$D$998,MATCH(UPPER(A2592)&amp;"|"&amp;UPPER(B2592),'Blackout Brand Fam Areas (Enc)'!$G$6:$G$998,0)),"No Match")</f>
        <v>No Match</v>
      </c>
      <c r="F2592" s="2" t="str">
        <f t="shared" si="80"/>
        <v>US</v>
      </c>
      <c r="G2592" s="2" t="str">
        <f t="shared" si="81"/>
        <v>Banks|BERGEN</v>
      </c>
    </row>
    <row r="2593" spans="1:7" x14ac:dyDescent="0.2">
      <c r="A2593" s="2" t="str" cm="1">
        <f t="array" ref="A2593">INDEX('[1]Brand Family Territory (Enc)'!$A$2:$A$296,INT((ROW()-2)/10)+1)</f>
        <v>Banks</v>
      </c>
      <c r="B2593" s="2" t="str" cm="1">
        <f t="array" ref="B2593">INDEX('Whitelist (Blackout Reverse)'!$B$1:$K$1,MOD(ROW()-2,10)+1)</f>
        <v>PASSAIC</v>
      </c>
      <c r="C2593" s="2" t="str">
        <f>VLOOKUP(A2593,'[1]Brand Family Territory (Enc)'!$A$2:$B$296,2,FALSE)</f>
        <v>Bergen/Passaic/Hudson/Essex</v>
      </c>
      <c r="D2593" s="2">
        <f>IF(COUNTIFS('[1]Brand Family Territories (Enc)'!$B$2:$B$62,C2593,'[1]Brand Family Territories (Enc)'!$C$2:$C$62,B2593)&gt;0,1,IF(AND(LEFT(B2593,6)="MORRIS",COUNTIFS('[1]Brand Family Territories (Enc)'!$B$2:$B$62,C2593,'[1]Brand Family Territories (Enc)'!$C$2:$C$62,"Morri")&gt;0),"Unk",0))</f>
        <v>1</v>
      </c>
      <c r="E2593" s="2" t="str">
        <f>IFERROR(INDEX('Blackout Brand Fam Areas (Enc)'!$D$6:$D$998,MATCH(UPPER(A2593)&amp;"|"&amp;UPPER(B2593),'Blackout Brand Fam Areas (Enc)'!$G$6:$G$998,0)),"No Match")</f>
        <v>No Match</v>
      </c>
      <c r="F2593" s="2" t="str">
        <f t="shared" si="80"/>
        <v>US</v>
      </c>
      <c r="G2593" s="2" t="str">
        <f t="shared" si="81"/>
        <v>Banks|PASSAIC</v>
      </c>
    </row>
    <row r="2594" spans="1:7" x14ac:dyDescent="0.2">
      <c r="A2594" s="2" t="str" cm="1">
        <f t="array" ref="A2594">INDEX('[1]Brand Family Territory (Enc)'!$A$2:$A$296,INT((ROW()-2)/10)+1)</f>
        <v>Banks</v>
      </c>
      <c r="B2594" s="2" t="str" cm="1">
        <f t="array" ref="B2594">INDEX('Whitelist (Blackout Reverse)'!$B$1:$K$1,MOD(ROW()-2,10)+1)</f>
        <v>PASSAIC-FF</v>
      </c>
      <c r="C2594" s="2" t="str">
        <f>VLOOKUP(A2594,'[1]Brand Family Territory (Enc)'!$A$2:$B$296,2,FALSE)</f>
        <v>Bergen/Passaic/Hudson/Essex</v>
      </c>
      <c r="D2594" s="2">
        <f>IF(COUNTIFS('[1]Brand Family Territories (Enc)'!$B$2:$B$62,C2594,'[1]Brand Family Territories (Enc)'!$C$2:$C$62,B2594)&gt;0,1,IF(AND(LEFT(B2594,6)="MORRIS",COUNTIFS('[1]Brand Family Territories (Enc)'!$B$2:$B$62,C2594,'[1]Brand Family Territories (Enc)'!$C$2:$C$62,"Morri")&gt;0),"Unk",0))</f>
        <v>1</v>
      </c>
      <c r="E2594" s="2" t="str">
        <f>IFERROR(INDEX('Blackout Brand Fam Areas (Enc)'!$D$6:$D$998,MATCH(UPPER(A2594)&amp;"|"&amp;UPPER(B2594),'Blackout Brand Fam Areas (Enc)'!$G$6:$G$998,0)),"No Match")</f>
        <v>No Match</v>
      </c>
      <c r="F2594" s="2" t="str">
        <f t="shared" si="80"/>
        <v>US</v>
      </c>
      <c r="G2594" s="2" t="str">
        <f t="shared" si="81"/>
        <v>Banks|PASSAIC-FF</v>
      </c>
    </row>
    <row r="2595" spans="1:7" x14ac:dyDescent="0.2">
      <c r="A2595" s="2" t="str" cm="1">
        <f t="array" ref="A2595">INDEX('[1]Brand Family Territory (Enc)'!$A$2:$A$296,INT((ROW()-2)/10)+1)</f>
        <v>Banks</v>
      </c>
      <c r="B2595" s="2" t="str" cm="1">
        <f t="array" ref="B2595">INDEX('Whitelist (Blackout Reverse)'!$B$1:$K$1,MOD(ROW()-2,10)+1)</f>
        <v>ESSEX</v>
      </c>
      <c r="C2595" s="2" t="str">
        <f>VLOOKUP(A2595,'[1]Brand Family Territory (Enc)'!$A$2:$B$296,2,FALSE)</f>
        <v>Bergen/Passaic/Hudson/Essex</v>
      </c>
      <c r="D2595" s="2">
        <f>IF(COUNTIFS('[1]Brand Family Territories (Enc)'!$B$2:$B$62,C2595,'[1]Brand Family Territories (Enc)'!$C$2:$C$62,B2595)&gt;0,1,IF(AND(LEFT(B2595,6)="MORRIS",COUNTIFS('[1]Brand Family Territories (Enc)'!$B$2:$B$62,C2595,'[1]Brand Family Territories (Enc)'!$C$2:$C$62,"Morri")&gt;0),"Unk",0))</f>
        <v>1</v>
      </c>
      <c r="E2595" s="2" t="str">
        <f>IFERROR(INDEX('Blackout Brand Fam Areas (Enc)'!$D$6:$D$998,MATCH(UPPER(A2595)&amp;"|"&amp;UPPER(B2595),'Blackout Brand Fam Areas (Enc)'!$G$6:$G$998,0)),"No Match")</f>
        <v>No Match</v>
      </c>
      <c r="F2595" s="2" t="str">
        <f t="shared" si="80"/>
        <v>US</v>
      </c>
      <c r="G2595" s="2" t="str">
        <f t="shared" si="81"/>
        <v>Banks|ESSEX</v>
      </c>
    </row>
    <row r="2596" spans="1:7" x14ac:dyDescent="0.2">
      <c r="A2596" s="2" t="str" cm="1">
        <f t="array" ref="A2596">INDEX('[1]Brand Family Territory (Enc)'!$A$2:$A$296,INT((ROW()-2)/10)+1)</f>
        <v>Banks</v>
      </c>
      <c r="B2596" s="2" t="str" cm="1">
        <f t="array" ref="B2596">INDEX('Whitelist (Blackout Reverse)'!$B$1:$K$1,MOD(ROW()-2,10)+1)</f>
        <v>HUDSON</v>
      </c>
      <c r="C2596" s="2" t="str">
        <f>VLOOKUP(A2596,'[1]Brand Family Territory (Enc)'!$A$2:$B$296,2,FALSE)</f>
        <v>Bergen/Passaic/Hudson/Essex</v>
      </c>
      <c r="D2596" s="2">
        <f>IF(COUNTIFS('[1]Brand Family Territories (Enc)'!$B$2:$B$62,C2596,'[1]Brand Family Territories (Enc)'!$C$2:$C$62,B2596)&gt;0,1,IF(AND(LEFT(B2596,6)="MORRIS",COUNTIFS('[1]Brand Family Territories (Enc)'!$B$2:$B$62,C2596,'[1]Brand Family Territories (Enc)'!$C$2:$C$62,"Morri")&gt;0),"Unk",0))</f>
        <v>1</v>
      </c>
      <c r="E2596" s="2" t="str">
        <f>IFERROR(INDEX('Blackout Brand Fam Areas (Enc)'!$D$6:$D$998,MATCH(UPPER(A2596)&amp;"|"&amp;UPPER(B2596),'Blackout Brand Fam Areas (Enc)'!$G$6:$G$998,0)),"No Match")</f>
        <v>No Match</v>
      </c>
      <c r="F2596" s="2" t="str">
        <f t="shared" si="80"/>
        <v>US</v>
      </c>
      <c r="G2596" s="2" t="str">
        <f t="shared" si="81"/>
        <v>Banks|HUDSON</v>
      </c>
    </row>
    <row r="2597" spans="1:7" x14ac:dyDescent="0.2">
      <c r="A2597" s="2" t="str" cm="1">
        <f t="array" ref="A2597">INDEX('[1]Brand Family Territory (Enc)'!$A$2:$A$296,INT((ROW()-2)/10)+1)</f>
        <v>Banks</v>
      </c>
      <c r="B2597" s="2" t="str" cm="1">
        <f t="array" ref="B2597">INDEX('Whitelist (Blackout Reverse)'!$B$1:$K$1,MOD(ROW()-2,10)+1)</f>
        <v>UNION</v>
      </c>
      <c r="C2597" s="2" t="str">
        <f>VLOOKUP(A2597,'[1]Brand Family Territory (Enc)'!$A$2:$B$296,2,FALSE)</f>
        <v>Bergen/Passaic/Hudson/Essex</v>
      </c>
      <c r="D2597" s="2">
        <f>IF(COUNTIFS('[1]Brand Family Territories (Enc)'!$B$2:$B$62,C2597,'[1]Brand Family Territories (Enc)'!$C$2:$C$62,B2597)&gt;0,1,IF(AND(LEFT(B2597,6)="MORRIS",COUNTIFS('[1]Brand Family Territories (Enc)'!$B$2:$B$62,C2597,'[1]Brand Family Territories (Enc)'!$C$2:$C$62,"Morri")&gt;0),"Unk",0))</f>
        <v>0</v>
      </c>
      <c r="E2597" s="2" t="str">
        <f>IFERROR(INDEX('Blackout Brand Fam Areas (Enc)'!$D$6:$D$998,MATCH(UPPER(A2597)&amp;"|"&amp;UPPER(B2597),'Blackout Brand Fam Areas (Enc)'!$G$6:$G$998,0)),"No Match")</f>
        <v>Inactive</v>
      </c>
      <c r="F2597" s="2" t="str">
        <f t="shared" si="80"/>
        <v>THEM</v>
      </c>
      <c r="G2597" s="2" t="str">
        <f t="shared" si="81"/>
        <v>Banks|UNION</v>
      </c>
    </row>
    <row r="2598" spans="1:7" x14ac:dyDescent="0.2">
      <c r="A2598" s="2" t="str" cm="1">
        <f t="array" ref="A2598">INDEX('[1]Brand Family Territory (Enc)'!$A$2:$A$296,INT((ROW()-2)/10)+1)</f>
        <v>Banks</v>
      </c>
      <c r="B2598" s="2" t="str" cm="1">
        <f t="array" ref="B2598">INDEX('Whitelist (Blackout Reverse)'!$B$1:$K$1,MOD(ROW()-2,10)+1)</f>
        <v>SUSSEX</v>
      </c>
      <c r="C2598" s="2" t="str">
        <f>VLOOKUP(A2598,'[1]Brand Family Territory (Enc)'!$A$2:$B$296,2,FALSE)</f>
        <v>Bergen/Passaic/Hudson/Essex</v>
      </c>
      <c r="D2598" s="2">
        <f>IF(COUNTIFS('[1]Brand Family Territories (Enc)'!$B$2:$B$62,C2598,'[1]Brand Family Territories (Enc)'!$C$2:$C$62,B2598)&gt;0,1,IF(AND(LEFT(B2598,6)="MORRIS",COUNTIFS('[1]Brand Family Territories (Enc)'!$B$2:$B$62,C2598,'[1]Brand Family Territories (Enc)'!$C$2:$C$62,"Morri")&gt;0),"Unk",0))</f>
        <v>0</v>
      </c>
      <c r="E2598" s="2" t="str">
        <f>IFERROR(INDEX('Blackout Brand Fam Areas (Enc)'!$D$6:$D$998,MATCH(UPPER(A2598)&amp;"|"&amp;UPPER(B2598),'Blackout Brand Fam Areas (Enc)'!$G$6:$G$998,0)),"No Match")</f>
        <v>Inactive</v>
      </c>
      <c r="F2598" s="2" t="str">
        <f t="shared" si="80"/>
        <v>THEM</v>
      </c>
      <c r="G2598" s="2" t="str">
        <f t="shared" si="81"/>
        <v>Banks|SUSSEX</v>
      </c>
    </row>
    <row r="2599" spans="1:7" x14ac:dyDescent="0.2">
      <c r="A2599" s="2" t="str" cm="1">
        <f t="array" ref="A2599">INDEX('[1]Brand Family Territory (Enc)'!$A$2:$A$296,INT((ROW()-2)/10)+1)</f>
        <v>Banks</v>
      </c>
      <c r="B2599" s="2" t="str" cm="1">
        <f t="array" ref="B2599">INDEX('Whitelist (Blackout Reverse)'!$B$1:$K$1,MOD(ROW()-2,10)+1)</f>
        <v>MORRIS 1</v>
      </c>
      <c r="C2599" s="2" t="str">
        <f>VLOOKUP(A2599,'[1]Brand Family Territory (Enc)'!$A$2:$B$296,2,FALSE)</f>
        <v>Bergen/Passaic/Hudson/Essex</v>
      </c>
      <c r="D2599" s="2">
        <f>IF(COUNTIFS('[1]Brand Family Territories (Enc)'!$B$2:$B$62,C2599,'[1]Brand Family Territories (Enc)'!$C$2:$C$62,B2599)&gt;0,1,IF(AND(LEFT(B2599,6)="MORRIS",COUNTIFS('[1]Brand Family Territories (Enc)'!$B$2:$B$62,C2599,'[1]Brand Family Territories (Enc)'!$C$2:$C$62,"Morri")&gt;0),"Unk",0))</f>
        <v>0</v>
      </c>
      <c r="E2599" s="2" t="str">
        <f>IFERROR(INDEX('Blackout Brand Fam Areas (Enc)'!$D$6:$D$998,MATCH(UPPER(A2599)&amp;"|"&amp;UPPER(B2599),'Blackout Brand Fam Areas (Enc)'!$G$6:$G$998,0)),"No Match")</f>
        <v>Inactive</v>
      </c>
      <c r="F2599" s="2" t="str">
        <f t="shared" si="80"/>
        <v>THEM</v>
      </c>
      <c r="G2599" s="2" t="str">
        <f t="shared" si="81"/>
        <v>Banks|MORRIS 1</v>
      </c>
    </row>
    <row r="2600" spans="1:7" x14ac:dyDescent="0.2">
      <c r="A2600" s="2" t="str" cm="1">
        <f t="array" ref="A2600">INDEX('[1]Brand Family Territory (Enc)'!$A$2:$A$296,INT((ROW()-2)/10)+1)</f>
        <v>Banks</v>
      </c>
      <c r="B2600" s="2" t="str" cm="1">
        <f t="array" ref="B2600">INDEX('Whitelist (Blackout Reverse)'!$B$1:$K$1,MOD(ROW()-2,10)+1)</f>
        <v>MORRIS 2</v>
      </c>
      <c r="C2600" s="2" t="str">
        <f>VLOOKUP(A2600,'[1]Brand Family Territory (Enc)'!$A$2:$B$296,2,FALSE)</f>
        <v>Bergen/Passaic/Hudson/Essex</v>
      </c>
      <c r="D2600" s="2">
        <f>IF(COUNTIFS('[1]Brand Family Territories (Enc)'!$B$2:$B$62,C2600,'[1]Brand Family Territories (Enc)'!$C$2:$C$62,B2600)&gt;0,1,IF(AND(LEFT(B2600,6)="MORRIS",COUNTIFS('[1]Brand Family Territories (Enc)'!$B$2:$B$62,C2600,'[1]Brand Family Territories (Enc)'!$C$2:$C$62,"Morri")&gt;0),"Unk",0))</f>
        <v>0</v>
      </c>
      <c r="E2600" s="2" t="str">
        <f>IFERROR(INDEX('Blackout Brand Fam Areas (Enc)'!$D$6:$D$998,MATCH(UPPER(A2600)&amp;"|"&amp;UPPER(B2600),'Blackout Brand Fam Areas (Enc)'!$G$6:$G$998,0)),"No Match")</f>
        <v>Inactive</v>
      </c>
      <c r="F2600" s="2" t="str">
        <f t="shared" si="80"/>
        <v>THEM</v>
      </c>
      <c r="G2600" s="2" t="str">
        <f t="shared" si="81"/>
        <v>Banks|MORRIS 2</v>
      </c>
    </row>
    <row r="2601" spans="1:7" x14ac:dyDescent="0.2">
      <c r="A2601" s="2" t="str" cm="1">
        <f t="array" ref="A2601">INDEX('[1]Brand Family Territory (Enc)'!$A$2:$A$296,INT((ROW()-2)/10)+1)</f>
        <v>Banks</v>
      </c>
      <c r="B2601" s="2" t="str" cm="1">
        <f t="array" ref="B2601">INDEX('Whitelist (Blackout Reverse)'!$B$1:$K$1,MOD(ROW()-2,10)+1)</f>
        <v>MORRIS 3</v>
      </c>
      <c r="C2601" s="2" t="str">
        <f>VLOOKUP(A2601,'[1]Brand Family Territory (Enc)'!$A$2:$B$296,2,FALSE)</f>
        <v>Bergen/Passaic/Hudson/Essex</v>
      </c>
      <c r="D2601" s="2">
        <f>IF(COUNTIFS('[1]Brand Family Territories (Enc)'!$B$2:$B$62,C2601,'[1]Brand Family Territories (Enc)'!$C$2:$C$62,B2601)&gt;0,1,IF(AND(LEFT(B2601,6)="MORRIS",COUNTIFS('[1]Brand Family Territories (Enc)'!$B$2:$B$62,C2601,'[1]Brand Family Territories (Enc)'!$C$2:$C$62,"Morri")&gt;0),"Unk",0))</f>
        <v>0</v>
      </c>
      <c r="E2601" s="2" t="str">
        <f>IFERROR(INDEX('Blackout Brand Fam Areas (Enc)'!$D$6:$D$998,MATCH(UPPER(A2601)&amp;"|"&amp;UPPER(B2601),'Blackout Brand Fam Areas (Enc)'!$G$6:$G$998,0)),"No Match")</f>
        <v>Inactive</v>
      </c>
      <c r="F2601" s="2" t="str">
        <f t="shared" si="80"/>
        <v>THEM</v>
      </c>
      <c r="G2601" s="2" t="str">
        <f t="shared" si="81"/>
        <v>Banks|MORRIS 3</v>
      </c>
    </row>
    <row r="2602" spans="1:7" x14ac:dyDescent="0.2">
      <c r="A2602" s="2" t="str" cm="1">
        <f t="array" ref="A2602">INDEX('[1]Brand Family Territory (Enc)'!$A$2:$A$296,INT((ROW()-2)/10)+1)</f>
        <v>Bold Rock</v>
      </c>
      <c r="B2602" s="2" t="str" cm="1">
        <f t="array" ref="B2602">INDEX('Whitelist (Blackout Reverse)'!$B$1:$K$1,MOD(ROW()-2,10)+1)</f>
        <v>BERGEN</v>
      </c>
      <c r="C2602" s="2" t="str">
        <f>VLOOKUP(A2602,'[1]Brand Family Territory (Enc)'!$A$2:$B$296,2,FALSE)</f>
        <v>Bergen/Passaic/Hudson/Essex</v>
      </c>
      <c r="D2602" s="2">
        <f>IF(COUNTIFS('[1]Brand Family Territories (Enc)'!$B$2:$B$62,C2602,'[1]Brand Family Territories (Enc)'!$C$2:$C$62,B2602)&gt;0,1,IF(AND(LEFT(B2602,6)="MORRIS",COUNTIFS('[1]Brand Family Territories (Enc)'!$B$2:$B$62,C2602,'[1]Brand Family Territories (Enc)'!$C$2:$C$62,"Morri")&gt;0),"Unk",0))</f>
        <v>1</v>
      </c>
      <c r="E2602" s="2" t="str">
        <f>IFERROR(INDEX('Blackout Brand Fam Areas (Enc)'!$D$6:$D$998,MATCH(UPPER(A2602)&amp;"|"&amp;UPPER(B2602),'Blackout Brand Fam Areas (Enc)'!$G$6:$G$998,0)),"No Match")</f>
        <v>No Match</v>
      </c>
      <c r="F2602" s="2" t="str">
        <f t="shared" si="80"/>
        <v>US</v>
      </c>
      <c r="G2602" s="2" t="str">
        <f t="shared" si="81"/>
        <v>Bold Rock|BERGEN</v>
      </c>
    </row>
    <row r="2603" spans="1:7" x14ac:dyDescent="0.2">
      <c r="A2603" s="2" t="str" cm="1">
        <f t="array" ref="A2603">INDEX('[1]Brand Family Territory (Enc)'!$A$2:$A$296,INT((ROW()-2)/10)+1)</f>
        <v>Bold Rock</v>
      </c>
      <c r="B2603" s="2" t="str" cm="1">
        <f t="array" ref="B2603">INDEX('Whitelist (Blackout Reverse)'!$B$1:$K$1,MOD(ROW()-2,10)+1)</f>
        <v>PASSAIC</v>
      </c>
      <c r="C2603" s="2" t="str">
        <f>VLOOKUP(A2603,'[1]Brand Family Territory (Enc)'!$A$2:$B$296,2,FALSE)</f>
        <v>Bergen/Passaic/Hudson/Essex</v>
      </c>
      <c r="D2603" s="2">
        <f>IF(COUNTIFS('[1]Brand Family Territories (Enc)'!$B$2:$B$62,C2603,'[1]Brand Family Territories (Enc)'!$C$2:$C$62,B2603)&gt;0,1,IF(AND(LEFT(B2603,6)="MORRIS",COUNTIFS('[1]Brand Family Territories (Enc)'!$B$2:$B$62,C2603,'[1]Brand Family Territories (Enc)'!$C$2:$C$62,"Morri")&gt;0),"Unk",0))</f>
        <v>1</v>
      </c>
      <c r="E2603" s="2" t="str">
        <f>IFERROR(INDEX('Blackout Brand Fam Areas (Enc)'!$D$6:$D$998,MATCH(UPPER(A2603)&amp;"|"&amp;UPPER(B2603),'Blackout Brand Fam Areas (Enc)'!$G$6:$G$998,0)),"No Match")</f>
        <v>No Match</v>
      </c>
      <c r="F2603" s="2" t="str">
        <f t="shared" si="80"/>
        <v>US</v>
      </c>
      <c r="G2603" s="2" t="str">
        <f t="shared" si="81"/>
        <v>Bold Rock|PASSAIC</v>
      </c>
    </row>
    <row r="2604" spans="1:7" x14ac:dyDescent="0.2">
      <c r="A2604" s="2" t="str" cm="1">
        <f t="array" ref="A2604">INDEX('[1]Brand Family Territory (Enc)'!$A$2:$A$296,INT((ROW()-2)/10)+1)</f>
        <v>Bold Rock</v>
      </c>
      <c r="B2604" s="2" t="str" cm="1">
        <f t="array" ref="B2604">INDEX('Whitelist (Blackout Reverse)'!$B$1:$K$1,MOD(ROW()-2,10)+1)</f>
        <v>PASSAIC-FF</v>
      </c>
      <c r="C2604" s="2" t="str">
        <f>VLOOKUP(A2604,'[1]Brand Family Territory (Enc)'!$A$2:$B$296,2,FALSE)</f>
        <v>Bergen/Passaic/Hudson/Essex</v>
      </c>
      <c r="D2604" s="2">
        <f>IF(COUNTIFS('[1]Brand Family Territories (Enc)'!$B$2:$B$62,C2604,'[1]Brand Family Territories (Enc)'!$C$2:$C$62,B2604)&gt;0,1,IF(AND(LEFT(B2604,6)="MORRIS",COUNTIFS('[1]Brand Family Territories (Enc)'!$B$2:$B$62,C2604,'[1]Brand Family Territories (Enc)'!$C$2:$C$62,"Morri")&gt;0),"Unk",0))</f>
        <v>1</v>
      </c>
      <c r="E2604" s="2" t="str">
        <f>IFERROR(INDEX('Blackout Brand Fam Areas (Enc)'!$D$6:$D$998,MATCH(UPPER(A2604)&amp;"|"&amp;UPPER(B2604),'Blackout Brand Fam Areas (Enc)'!$G$6:$G$998,0)),"No Match")</f>
        <v>No Match</v>
      </c>
      <c r="F2604" s="2" t="str">
        <f t="shared" si="80"/>
        <v>US</v>
      </c>
      <c r="G2604" s="2" t="str">
        <f t="shared" si="81"/>
        <v>Bold Rock|PASSAIC-FF</v>
      </c>
    </row>
    <row r="2605" spans="1:7" x14ac:dyDescent="0.2">
      <c r="A2605" s="2" t="str" cm="1">
        <f t="array" ref="A2605">INDEX('[1]Brand Family Territory (Enc)'!$A$2:$A$296,INT((ROW()-2)/10)+1)</f>
        <v>Bold Rock</v>
      </c>
      <c r="B2605" s="2" t="str" cm="1">
        <f t="array" ref="B2605">INDEX('Whitelist (Blackout Reverse)'!$B$1:$K$1,MOD(ROW()-2,10)+1)</f>
        <v>ESSEX</v>
      </c>
      <c r="C2605" s="2" t="str">
        <f>VLOOKUP(A2605,'[1]Brand Family Territory (Enc)'!$A$2:$B$296,2,FALSE)</f>
        <v>Bergen/Passaic/Hudson/Essex</v>
      </c>
      <c r="D2605" s="2">
        <f>IF(COUNTIFS('[1]Brand Family Territories (Enc)'!$B$2:$B$62,C2605,'[1]Brand Family Territories (Enc)'!$C$2:$C$62,B2605)&gt;0,1,IF(AND(LEFT(B2605,6)="MORRIS",COUNTIFS('[1]Brand Family Territories (Enc)'!$B$2:$B$62,C2605,'[1]Brand Family Territories (Enc)'!$C$2:$C$62,"Morri")&gt;0),"Unk",0))</f>
        <v>1</v>
      </c>
      <c r="E2605" s="2" t="str">
        <f>IFERROR(INDEX('Blackout Brand Fam Areas (Enc)'!$D$6:$D$998,MATCH(UPPER(A2605)&amp;"|"&amp;UPPER(B2605),'Blackout Brand Fam Areas (Enc)'!$G$6:$G$998,0)),"No Match")</f>
        <v>No Match</v>
      </c>
      <c r="F2605" s="2" t="str">
        <f t="shared" si="80"/>
        <v>US</v>
      </c>
      <c r="G2605" s="2" t="str">
        <f t="shared" si="81"/>
        <v>Bold Rock|ESSEX</v>
      </c>
    </row>
    <row r="2606" spans="1:7" x14ac:dyDescent="0.2">
      <c r="A2606" s="2" t="str" cm="1">
        <f t="array" ref="A2606">INDEX('[1]Brand Family Territory (Enc)'!$A$2:$A$296,INT((ROW()-2)/10)+1)</f>
        <v>Bold Rock</v>
      </c>
      <c r="B2606" s="2" t="str" cm="1">
        <f t="array" ref="B2606">INDEX('Whitelist (Blackout Reverse)'!$B$1:$K$1,MOD(ROW()-2,10)+1)</f>
        <v>HUDSON</v>
      </c>
      <c r="C2606" s="2" t="str">
        <f>VLOOKUP(A2606,'[1]Brand Family Territory (Enc)'!$A$2:$B$296,2,FALSE)</f>
        <v>Bergen/Passaic/Hudson/Essex</v>
      </c>
      <c r="D2606" s="2">
        <f>IF(COUNTIFS('[1]Brand Family Territories (Enc)'!$B$2:$B$62,C2606,'[1]Brand Family Territories (Enc)'!$C$2:$C$62,B2606)&gt;0,1,IF(AND(LEFT(B2606,6)="MORRIS",COUNTIFS('[1]Brand Family Territories (Enc)'!$B$2:$B$62,C2606,'[1]Brand Family Territories (Enc)'!$C$2:$C$62,"Morri")&gt;0),"Unk",0))</f>
        <v>1</v>
      </c>
      <c r="E2606" s="2" t="str">
        <f>IFERROR(INDEX('Blackout Brand Fam Areas (Enc)'!$D$6:$D$998,MATCH(UPPER(A2606)&amp;"|"&amp;UPPER(B2606),'Blackout Brand Fam Areas (Enc)'!$G$6:$G$998,0)),"No Match")</f>
        <v>No Match</v>
      </c>
      <c r="F2606" s="2" t="str">
        <f t="shared" si="80"/>
        <v>US</v>
      </c>
      <c r="G2606" s="2" t="str">
        <f t="shared" si="81"/>
        <v>Bold Rock|HUDSON</v>
      </c>
    </row>
    <row r="2607" spans="1:7" x14ac:dyDescent="0.2">
      <c r="A2607" s="2" t="str" cm="1">
        <f t="array" ref="A2607">INDEX('[1]Brand Family Territory (Enc)'!$A$2:$A$296,INT((ROW()-2)/10)+1)</f>
        <v>Bold Rock</v>
      </c>
      <c r="B2607" s="2" t="str" cm="1">
        <f t="array" ref="B2607">INDEX('Whitelist (Blackout Reverse)'!$B$1:$K$1,MOD(ROW()-2,10)+1)</f>
        <v>UNION</v>
      </c>
      <c r="C2607" s="2" t="str">
        <f>VLOOKUP(A2607,'[1]Brand Family Territory (Enc)'!$A$2:$B$296,2,FALSE)</f>
        <v>Bergen/Passaic/Hudson/Essex</v>
      </c>
      <c r="D2607" s="2">
        <f>IF(COUNTIFS('[1]Brand Family Territories (Enc)'!$B$2:$B$62,C2607,'[1]Brand Family Territories (Enc)'!$C$2:$C$62,B2607)&gt;0,1,IF(AND(LEFT(B2607,6)="MORRIS",COUNTIFS('[1]Brand Family Territories (Enc)'!$B$2:$B$62,C2607,'[1]Brand Family Territories (Enc)'!$C$2:$C$62,"Morri")&gt;0),"Unk",0))</f>
        <v>0</v>
      </c>
      <c r="E2607" s="2" t="str">
        <f>IFERROR(INDEX('Blackout Brand Fam Areas (Enc)'!$D$6:$D$998,MATCH(UPPER(A2607)&amp;"|"&amp;UPPER(B2607),'Blackout Brand Fam Areas (Enc)'!$G$6:$G$998,0)),"No Match")</f>
        <v>Inactive</v>
      </c>
      <c r="F2607" s="2" t="str">
        <f t="shared" si="80"/>
        <v>THEM</v>
      </c>
      <c r="G2607" s="2" t="str">
        <f t="shared" si="81"/>
        <v>Bold Rock|UNION</v>
      </c>
    </row>
    <row r="2608" spans="1:7" x14ac:dyDescent="0.2">
      <c r="A2608" s="2" t="str" cm="1">
        <f t="array" ref="A2608">INDEX('[1]Brand Family Territory (Enc)'!$A$2:$A$296,INT((ROW()-2)/10)+1)</f>
        <v>Bold Rock</v>
      </c>
      <c r="B2608" s="2" t="str" cm="1">
        <f t="array" ref="B2608">INDEX('Whitelist (Blackout Reverse)'!$B$1:$K$1,MOD(ROW()-2,10)+1)</f>
        <v>SUSSEX</v>
      </c>
      <c r="C2608" s="2" t="str">
        <f>VLOOKUP(A2608,'[1]Brand Family Territory (Enc)'!$A$2:$B$296,2,FALSE)</f>
        <v>Bergen/Passaic/Hudson/Essex</v>
      </c>
      <c r="D2608" s="2">
        <f>IF(COUNTIFS('[1]Brand Family Territories (Enc)'!$B$2:$B$62,C2608,'[1]Brand Family Territories (Enc)'!$C$2:$C$62,B2608)&gt;0,1,IF(AND(LEFT(B2608,6)="MORRIS",COUNTIFS('[1]Brand Family Territories (Enc)'!$B$2:$B$62,C2608,'[1]Brand Family Territories (Enc)'!$C$2:$C$62,"Morri")&gt;0),"Unk",0))</f>
        <v>0</v>
      </c>
      <c r="E2608" s="2" t="str">
        <f>IFERROR(INDEX('Blackout Brand Fam Areas (Enc)'!$D$6:$D$998,MATCH(UPPER(A2608)&amp;"|"&amp;UPPER(B2608),'Blackout Brand Fam Areas (Enc)'!$G$6:$G$998,0)),"No Match")</f>
        <v>Inactive</v>
      </c>
      <c r="F2608" s="2" t="str">
        <f t="shared" si="80"/>
        <v>THEM</v>
      </c>
      <c r="G2608" s="2" t="str">
        <f t="shared" si="81"/>
        <v>Bold Rock|SUSSEX</v>
      </c>
    </row>
    <row r="2609" spans="1:7" x14ac:dyDescent="0.2">
      <c r="A2609" s="2" t="str" cm="1">
        <f t="array" ref="A2609">INDEX('[1]Brand Family Territory (Enc)'!$A$2:$A$296,INT((ROW()-2)/10)+1)</f>
        <v>Bold Rock</v>
      </c>
      <c r="B2609" s="2" t="str" cm="1">
        <f t="array" ref="B2609">INDEX('Whitelist (Blackout Reverse)'!$B$1:$K$1,MOD(ROW()-2,10)+1)</f>
        <v>MORRIS 1</v>
      </c>
      <c r="C2609" s="2" t="str">
        <f>VLOOKUP(A2609,'[1]Brand Family Territory (Enc)'!$A$2:$B$296,2,FALSE)</f>
        <v>Bergen/Passaic/Hudson/Essex</v>
      </c>
      <c r="D2609" s="2">
        <f>IF(COUNTIFS('[1]Brand Family Territories (Enc)'!$B$2:$B$62,C2609,'[1]Brand Family Territories (Enc)'!$C$2:$C$62,B2609)&gt;0,1,IF(AND(LEFT(B2609,6)="MORRIS",COUNTIFS('[1]Brand Family Territories (Enc)'!$B$2:$B$62,C2609,'[1]Brand Family Territories (Enc)'!$C$2:$C$62,"Morri")&gt;0),"Unk",0))</f>
        <v>0</v>
      </c>
      <c r="E2609" s="2" t="str">
        <f>IFERROR(INDEX('Blackout Brand Fam Areas (Enc)'!$D$6:$D$998,MATCH(UPPER(A2609)&amp;"|"&amp;UPPER(B2609),'Blackout Brand Fam Areas (Enc)'!$G$6:$G$998,0)),"No Match")</f>
        <v>Inactive</v>
      </c>
      <c r="F2609" s="2" t="str">
        <f t="shared" si="80"/>
        <v>THEM</v>
      </c>
      <c r="G2609" s="2" t="str">
        <f t="shared" si="81"/>
        <v>Bold Rock|MORRIS 1</v>
      </c>
    </row>
    <row r="2610" spans="1:7" x14ac:dyDescent="0.2">
      <c r="A2610" s="2" t="str" cm="1">
        <f t="array" ref="A2610">INDEX('[1]Brand Family Territory (Enc)'!$A$2:$A$296,INT((ROW()-2)/10)+1)</f>
        <v>Bold Rock</v>
      </c>
      <c r="B2610" s="2" t="str" cm="1">
        <f t="array" ref="B2610">INDEX('Whitelist (Blackout Reverse)'!$B$1:$K$1,MOD(ROW()-2,10)+1)</f>
        <v>MORRIS 2</v>
      </c>
      <c r="C2610" s="2" t="str">
        <f>VLOOKUP(A2610,'[1]Brand Family Territory (Enc)'!$A$2:$B$296,2,FALSE)</f>
        <v>Bergen/Passaic/Hudson/Essex</v>
      </c>
      <c r="D2610" s="2">
        <f>IF(COUNTIFS('[1]Brand Family Territories (Enc)'!$B$2:$B$62,C2610,'[1]Brand Family Territories (Enc)'!$C$2:$C$62,B2610)&gt;0,1,IF(AND(LEFT(B2610,6)="MORRIS",COUNTIFS('[1]Brand Family Territories (Enc)'!$B$2:$B$62,C2610,'[1]Brand Family Territories (Enc)'!$C$2:$C$62,"Morri")&gt;0),"Unk",0))</f>
        <v>0</v>
      </c>
      <c r="E2610" s="2" t="str">
        <f>IFERROR(INDEX('Blackout Brand Fam Areas (Enc)'!$D$6:$D$998,MATCH(UPPER(A2610)&amp;"|"&amp;UPPER(B2610),'Blackout Brand Fam Areas (Enc)'!$G$6:$G$998,0)),"No Match")</f>
        <v>Inactive</v>
      </c>
      <c r="F2610" s="2" t="str">
        <f t="shared" si="80"/>
        <v>THEM</v>
      </c>
      <c r="G2610" s="2" t="str">
        <f t="shared" si="81"/>
        <v>Bold Rock|MORRIS 2</v>
      </c>
    </row>
    <row r="2611" spans="1:7" x14ac:dyDescent="0.2">
      <c r="A2611" s="2" t="str" cm="1">
        <f t="array" ref="A2611">INDEX('[1]Brand Family Territory (Enc)'!$A$2:$A$296,INT((ROW()-2)/10)+1)</f>
        <v>Bold Rock</v>
      </c>
      <c r="B2611" s="2" t="str" cm="1">
        <f t="array" ref="B2611">INDEX('Whitelist (Blackout Reverse)'!$B$1:$K$1,MOD(ROW()-2,10)+1)</f>
        <v>MORRIS 3</v>
      </c>
      <c r="C2611" s="2" t="str">
        <f>VLOOKUP(A2611,'[1]Brand Family Territory (Enc)'!$A$2:$B$296,2,FALSE)</f>
        <v>Bergen/Passaic/Hudson/Essex</v>
      </c>
      <c r="D2611" s="2">
        <f>IF(COUNTIFS('[1]Brand Family Territories (Enc)'!$B$2:$B$62,C2611,'[1]Brand Family Territories (Enc)'!$C$2:$C$62,B2611)&gt;0,1,IF(AND(LEFT(B2611,6)="MORRIS",COUNTIFS('[1]Brand Family Territories (Enc)'!$B$2:$B$62,C2611,'[1]Brand Family Territories (Enc)'!$C$2:$C$62,"Morri")&gt;0),"Unk",0))</f>
        <v>0</v>
      </c>
      <c r="E2611" s="2" t="str">
        <f>IFERROR(INDEX('Blackout Brand Fam Areas (Enc)'!$D$6:$D$998,MATCH(UPPER(A2611)&amp;"|"&amp;UPPER(B2611),'Blackout Brand Fam Areas (Enc)'!$G$6:$G$998,0)),"No Match")</f>
        <v>Inactive</v>
      </c>
      <c r="F2611" s="2" t="str">
        <f t="shared" si="80"/>
        <v>THEM</v>
      </c>
      <c r="G2611" s="2" t="str">
        <f t="shared" si="81"/>
        <v>Bold Rock|MORRIS 3</v>
      </c>
    </row>
    <row r="2612" spans="1:7" x14ac:dyDescent="0.2">
      <c r="A2612" s="2" t="str" cm="1">
        <f t="array" ref="A2612">INDEX('[1]Brand Family Territory (Enc)'!$A$2:$A$296,INT((ROW()-2)/10)+1)</f>
        <v>Citizen Cider</v>
      </c>
      <c r="B2612" s="2" t="str" cm="1">
        <f t="array" ref="B2612">INDEX('Whitelist (Blackout Reverse)'!$B$1:$K$1,MOD(ROW()-2,10)+1)</f>
        <v>BERGEN</v>
      </c>
      <c r="C2612" s="2" t="str">
        <f>VLOOKUP(A2612,'[1]Brand Family Territory (Enc)'!$A$2:$B$296,2,FALSE)</f>
        <v>Bergen/Passaic/Hudson/Essex</v>
      </c>
      <c r="D2612" s="2">
        <f>IF(COUNTIFS('[1]Brand Family Territories (Enc)'!$B$2:$B$62,C2612,'[1]Brand Family Territories (Enc)'!$C$2:$C$62,B2612)&gt;0,1,IF(AND(LEFT(B2612,6)="MORRIS",COUNTIFS('[1]Brand Family Territories (Enc)'!$B$2:$B$62,C2612,'[1]Brand Family Territories (Enc)'!$C$2:$C$62,"Morri")&gt;0),"Unk",0))</f>
        <v>1</v>
      </c>
      <c r="E2612" s="2" t="str">
        <f>IFERROR(INDEX('Blackout Brand Fam Areas (Enc)'!$D$6:$D$998,MATCH(UPPER(A2612)&amp;"|"&amp;UPPER(B2612),'Blackout Brand Fam Areas (Enc)'!$G$6:$G$998,0)),"No Match")</f>
        <v>No Match</v>
      </c>
      <c r="F2612" s="2" t="str">
        <f t="shared" si="80"/>
        <v>US</v>
      </c>
      <c r="G2612" s="2" t="str">
        <f t="shared" si="81"/>
        <v>Citizen Cider|BERGEN</v>
      </c>
    </row>
    <row r="2613" spans="1:7" x14ac:dyDescent="0.2">
      <c r="A2613" s="2" t="str" cm="1">
        <f t="array" ref="A2613">INDEX('[1]Brand Family Territory (Enc)'!$A$2:$A$296,INT((ROW()-2)/10)+1)</f>
        <v>Citizen Cider</v>
      </c>
      <c r="B2613" s="2" t="str" cm="1">
        <f t="array" ref="B2613">INDEX('Whitelist (Blackout Reverse)'!$B$1:$K$1,MOD(ROW()-2,10)+1)</f>
        <v>PASSAIC</v>
      </c>
      <c r="C2613" s="2" t="str">
        <f>VLOOKUP(A2613,'[1]Brand Family Territory (Enc)'!$A$2:$B$296,2,FALSE)</f>
        <v>Bergen/Passaic/Hudson/Essex</v>
      </c>
      <c r="D2613" s="2">
        <f>IF(COUNTIFS('[1]Brand Family Territories (Enc)'!$B$2:$B$62,C2613,'[1]Brand Family Territories (Enc)'!$C$2:$C$62,B2613)&gt;0,1,IF(AND(LEFT(B2613,6)="MORRIS",COUNTIFS('[1]Brand Family Territories (Enc)'!$B$2:$B$62,C2613,'[1]Brand Family Territories (Enc)'!$C$2:$C$62,"Morri")&gt;0),"Unk",0))</f>
        <v>1</v>
      </c>
      <c r="E2613" s="2" t="str">
        <f>IFERROR(INDEX('Blackout Brand Fam Areas (Enc)'!$D$6:$D$998,MATCH(UPPER(A2613)&amp;"|"&amp;UPPER(B2613),'Blackout Brand Fam Areas (Enc)'!$G$6:$G$998,0)),"No Match")</f>
        <v>No Match</v>
      </c>
      <c r="F2613" s="2" t="str">
        <f t="shared" si="80"/>
        <v>US</v>
      </c>
      <c r="G2613" s="2" t="str">
        <f t="shared" si="81"/>
        <v>Citizen Cider|PASSAIC</v>
      </c>
    </row>
    <row r="2614" spans="1:7" x14ac:dyDescent="0.2">
      <c r="A2614" s="2" t="str" cm="1">
        <f t="array" ref="A2614">INDEX('[1]Brand Family Territory (Enc)'!$A$2:$A$296,INT((ROW()-2)/10)+1)</f>
        <v>Citizen Cider</v>
      </c>
      <c r="B2614" s="2" t="str" cm="1">
        <f t="array" ref="B2614">INDEX('Whitelist (Blackout Reverse)'!$B$1:$K$1,MOD(ROW()-2,10)+1)</f>
        <v>PASSAIC-FF</v>
      </c>
      <c r="C2614" s="2" t="str">
        <f>VLOOKUP(A2614,'[1]Brand Family Territory (Enc)'!$A$2:$B$296,2,FALSE)</f>
        <v>Bergen/Passaic/Hudson/Essex</v>
      </c>
      <c r="D2614" s="2">
        <f>IF(COUNTIFS('[1]Brand Family Territories (Enc)'!$B$2:$B$62,C2614,'[1]Brand Family Territories (Enc)'!$C$2:$C$62,B2614)&gt;0,1,IF(AND(LEFT(B2614,6)="MORRIS",COUNTIFS('[1]Brand Family Territories (Enc)'!$B$2:$B$62,C2614,'[1]Brand Family Territories (Enc)'!$C$2:$C$62,"Morri")&gt;0),"Unk",0))</f>
        <v>1</v>
      </c>
      <c r="E2614" s="2" t="str">
        <f>IFERROR(INDEX('Blackout Brand Fam Areas (Enc)'!$D$6:$D$998,MATCH(UPPER(A2614)&amp;"|"&amp;UPPER(B2614),'Blackout Brand Fam Areas (Enc)'!$G$6:$G$998,0)),"No Match")</f>
        <v>No Match</v>
      </c>
      <c r="F2614" s="2" t="str">
        <f t="shared" si="80"/>
        <v>US</v>
      </c>
      <c r="G2614" s="2" t="str">
        <f t="shared" si="81"/>
        <v>Citizen Cider|PASSAIC-FF</v>
      </c>
    </row>
    <row r="2615" spans="1:7" x14ac:dyDescent="0.2">
      <c r="A2615" s="2" t="str" cm="1">
        <f t="array" ref="A2615">INDEX('[1]Brand Family Territory (Enc)'!$A$2:$A$296,INT((ROW()-2)/10)+1)</f>
        <v>Citizen Cider</v>
      </c>
      <c r="B2615" s="2" t="str" cm="1">
        <f t="array" ref="B2615">INDEX('Whitelist (Blackout Reverse)'!$B$1:$K$1,MOD(ROW()-2,10)+1)</f>
        <v>ESSEX</v>
      </c>
      <c r="C2615" s="2" t="str">
        <f>VLOOKUP(A2615,'[1]Brand Family Territory (Enc)'!$A$2:$B$296,2,FALSE)</f>
        <v>Bergen/Passaic/Hudson/Essex</v>
      </c>
      <c r="D2615" s="2">
        <f>IF(COUNTIFS('[1]Brand Family Territories (Enc)'!$B$2:$B$62,C2615,'[1]Brand Family Territories (Enc)'!$C$2:$C$62,B2615)&gt;0,1,IF(AND(LEFT(B2615,6)="MORRIS",COUNTIFS('[1]Brand Family Territories (Enc)'!$B$2:$B$62,C2615,'[1]Brand Family Territories (Enc)'!$C$2:$C$62,"Morri")&gt;0),"Unk",0))</f>
        <v>1</v>
      </c>
      <c r="E2615" s="2" t="str">
        <f>IFERROR(INDEX('Blackout Brand Fam Areas (Enc)'!$D$6:$D$998,MATCH(UPPER(A2615)&amp;"|"&amp;UPPER(B2615),'Blackout Brand Fam Areas (Enc)'!$G$6:$G$998,0)),"No Match")</f>
        <v>No Match</v>
      </c>
      <c r="F2615" s="2" t="str">
        <f t="shared" si="80"/>
        <v>US</v>
      </c>
      <c r="G2615" s="2" t="str">
        <f t="shared" si="81"/>
        <v>Citizen Cider|ESSEX</v>
      </c>
    </row>
    <row r="2616" spans="1:7" x14ac:dyDescent="0.2">
      <c r="A2616" s="2" t="str" cm="1">
        <f t="array" ref="A2616">INDEX('[1]Brand Family Territory (Enc)'!$A$2:$A$296,INT((ROW()-2)/10)+1)</f>
        <v>Citizen Cider</v>
      </c>
      <c r="B2616" s="2" t="str" cm="1">
        <f t="array" ref="B2616">INDEX('Whitelist (Blackout Reverse)'!$B$1:$K$1,MOD(ROW()-2,10)+1)</f>
        <v>HUDSON</v>
      </c>
      <c r="C2616" s="2" t="str">
        <f>VLOOKUP(A2616,'[1]Brand Family Territory (Enc)'!$A$2:$B$296,2,FALSE)</f>
        <v>Bergen/Passaic/Hudson/Essex</v>
      </c>
      <c r="D2616" s="2">
        <f>IF(COUNTIFS('[1]Brand Family Territories (Enc)'!$B$2:$B$62,C2616,'[1]Brand Family Territories (Enc)'!$C$2:$C$62,B2616)&gt;0,1,IF(AND(LEFT(B2616,6)="MORRIS",COUNTIFS('[1]Brand Family Territories (Enc)'!$B$2:$B$62,C2616,'[1]Brand Family Territories (Enc)'!$C$2:$C$62,"Morri")&gt;0),"Unk",0))</f>
        <v>1</v>
      </c>
      <c r="E2616" s="2" t="str">
        <f>IFERROR(INDEX('Blackout Brand Fam Areas (Enc)'!$D$6:$D$998,MATCH(UPPER(A2616)&amp;"|"&amp;UPPER(B2616),'Blackout Brand Fam Areas (Enc)'!$G$6:$G$998,0)),"No Match")</f>
        <v>No Match</v>
      </c>
      <c r="F2616" s="2" t="str">
        <f t="shared" si="80"/>
        <v>US</v>
      </c>
      <c r="G2616" s="2" t="str">
        <f t="shared" si="81"/>
        <v>Citizen Cider|HUDSON</v>
      </c>
    </row>
    <row r="2617" spans="1:7" x14ac:dyDescent="0.2">
      <c r="A2617" s="2" t="str" cm="1">
        <f t="array" ref="A2617">INDEX('[1]Brand Family Territory (Enc)'!$A$2:$A$296,INT((ROW()-2)/10)+1)</f>
        <v>Citizen Cider</v>
      </c>
      <c r="B2617" s="2" t="str" cm="1">
        <f t="array" ref="B2617">INDEX('Whitelist (Blackout Reverse)'!$B$1:$K$1,MOD(ROW()-2,10)+1)</f>
        <v>UNION</v>
      </c>
      <c r="C2617" s="2" t="str">
        <f>VLOOKUP(A2617,'[1]Brand Family Territory (Enc)'!$A$2:$B$296,2,FALSE)</f>
        <v>Bergen/Passaic/Hudson/Essex</v>
      </c>
      <c r="D2617" s="2">
        <f>IF(COUNTIFS('[1]Brand Family Territories (Enc)'!$B$2:$B$62,C2617,'[1]Brand Family Territories (Enc)'!$C$2:$C$62,B2617)&gt;0,1,IF(AND(LEFT(B2617,6)="MORRIS",COUNTIFS('[1]Brand Family Territories (Enc)'!$B$2:$B$62,C2617,'[1]Brand Family Territories (Enc)'!$C$2:$C$62,"Morri")&gt;0),"Unk",0))</f>
        <v>0</v>
      </c>
      <c r="E2617" s="2" t="str">
        <f>IFERROR(INDEX('Blackout Brand Fam Areas (Enc)'!$D$6:$D$998,MATCH(UPPER(A2617)&amp;"|"&amp;UPPER(B2617),'Blackout Brand Fam Areas (Enc)'!$G$6:$G$998,0)),"No Match")</f>
        <v>Inactive</v>
      </c>
      <c r="F2617" s="2" t="str">
        <f t="shared" si="80"/>
        <v>THEM</v>
      </c>
      <c r="G2617" s="2" t="str">
        <f t="shared" si="81"/>
        <v>Citizen Cider|UNION</v>
      </c>
    </row>
    <row r="2618" spans="1:7" x14ac:dyDescent="0.2">
      <c r="A2618" s="2" t="str" cm="1">
        <f t="array" ref="A2618">INDEX('[1]Brand Family Territory (Enc)'!$A$2:$A$296,INT((ROW()-2)/10)+1)</f>
        <v>Citizen Cider</v>
      </c>
      <c r="B2618" s="2" t="str" cm="1">
        <f t="array" ref="B2618">INDEX('Whitelist (Blackout Reverse)'!$B$1:$K$1,MOD(ROW()-2,10)+1)</f>
        <v>SUSSEX</v>
      </c>
      <c r="C2618" s="2" t="str">
        <f>VLOOKUP(A2618,'[1]Brand Family Territory (Enc)'!$A$2:$B$296,2,FALSE)</f>
        <v>Bergen/Passaic/Hudson/Essex</v>
      </c>
      <c r="D2618" s="2">
        <f>IF(COUNTIFS('[1]Brand Family Territories (Enc)'!$B$2:$B$62,C2618,'[1]Brand Family Territories (Enc)'!$C$2:$C$62,B2618)&gt;0,1,IF(AND(LEFT(B2618,6)="MORRIS",COUNTIFS('[1]Brand Family Territories (Enc)'!$B$2:$B$62,C2618,'[1]Brand Family Territories (Enc)'!$C$2:$C$62,"Morri")&gt;0),"Unk",0))</f>
        <v>0</v>
      </c>
      <c r="E2618" s="2" t="str">
        <f>IFERROR(INDEX('Blackout Brand Fam Areas (Enc)'!$D$6:$D$998,MATCH(UPPER(A2618)&amp;"|"&amp;UPPER(B2618),'Blackout Brand Fam Areas (Enc)'!$G$6:$G$998,0)),"No Match")</f>
        <v>Inactive</v>
      </c>
      <c r="F2618" s="2" t="str">
        <f t="shared" si="80"/>
        <v>THEM</v>
      </c>
      <c r="G2618" s="2" t="str">
        <f t="shared" si="81"/>
        <v>Citizen Cider|SUSSEX</v>
      </c>
    </row>
    <row r="2619" spans="1:7" x14ac:dyDescent="0.2">
      <c r="A2619" s="2" t="str" cm="1">
        <f t="array" ref="A2619">INDEX('[1]Brand Family Territory (Enc)'!$A$2:$A$296,INT((ROW()-2)/10)+1)</f>
        <v>Citizen Cider</v>
      </c>
      <c r="B2619" s="2" t="str" cm="1">
        <f t="array" ref="B2619">INDEX('Whitelist (Blackout Reverse)'!$B$1:$K$1,MOD(ROW()-2,10)+1)</f>
        <v>MORRIS 1</v>
      </c>
      <c r="C2619" s="2" t="str">
        <f>VLOOKUP(A2619,'[1]Brand Family Territory (Enc)'!$A$2:$B$296,2,FALSE)</f>
        <v>Bergen/Passaic/Hudson/Essex</v>
      </c>
      <c r="D2619" s="2">
        <f>IF(COUNTIFS('[1]Brand Family Territories (Enc)'!$B$2:$B$62,C2619,'[1]Brand Family Territories (Enc)'!$C$2:$C$62,B2619)&gt;0,1,IF(AND(LEFT(B2619,6)="MORRIS",COUNTIFS('[1]Brand Family Territories (Enc)'!$B$2:$B$62,C2619,'[1]Brand Family Territories (Enc)'!$C$2:$C$62,"Morri")&gt;0),"Unk",0))</f>
        <v>0</v>
      </c>
      <c r="E2619" s="2" t="str">
        <f>IFERROR(INDEX('Blackout Brand Fam Areas (Enc)'!$D$6:$D$998,MATCH(UPPER(A2619)&amp;"|"&amp;UPPER(B2619),'Blackout Brand Fam Areas (Enc)'!$G$6:$G$998,0)),"No Match")</f>
        <v>No Match</v>
      </c>
      <c r="F2619" s="2" t="str">
        <f t="shared" si="80"/>
        <v>THEM</v>
      </c>
      <c r="G2619" s="2" t="str">
        <f t="shared" si="81"/>
        <v>Citizen Cider|MORRIS 1</v>
      </c>
    </row>
    <row r="2620" spans="1:7" x14ac:dyDescent="0.2">
      <c r="A2620" s="2" t="str" cm="1">
        <f t="array" ref="A2620">INDEX('[1]Brand Family Territory (Enc)'!$A$2:$A$296,INT((ROW()-2)/10)+1)</f>
        <v>Citizen Cider</v>
      </c>
      <c r="B2620" s="2" t="str" cm="1">
        <f t="array" ref="B2620">INDEX('Whitelist (Blackout Reverse)'!$B$1:$K$1,MOD(ROW()-2,10)+1)</f>
        <v>MORRIS 2</v>
      </c>
      <c r="C2620" s="2" t="str">
        <f>VLOOKUP(A2620,'[1]Brand Family Territory (Enc)'!$A$2:$B$296,2,FALSE)</f>
        <v>Bergen/Passaic/Hudson/Essex</v>
      </c>
      <c r="D2620" s="2">
        <f>IF(COUNTIFS('[1]Brand Family Territories (Enc)'!$B$2:$B$62,C2620,'[1]Brand Family Territories (Enc)'!$C$2:$C$62,B2620)&gt;0,1,IF(AND(LEFT(B2620,6)="MORRIS",COUNTIFS('[1]Brand Family Territories (Enc)'!$B$2:$B$62,C2620,'[1]Brand Family Territories (Enc)'!$C$2:$C$62,"Morri")&gt;0),"Unk",0))</f>
        <v>0</v>
      </c>
      <c r="E2620" s="2" t="str">
        <f>IFERROR(INDEX('Blackout Brand Fam Areas (Enc)'!$D$6:$D$998,MATCH(UPPER(A2620)&amp;"|"&amp;UPPER(B2620),'Blackout Brand Fam Areas (Enc)'!$G$6:$G$998,0)),"No Match")</f>
        <v>Inactive</v>
      </c>
      <c r="F2620" s="2" t="str">
        <f t="shared" si="80"/>
        <v>THEM</v>
      </c>
      <c r="G2620" s="2" t="str">
        <f t="shared" si="81"/>
        <v>Citizen Cider|MORRIS 2</v>
      </c>
    </row>
    <row r="2621" spans="1:7" x14ac:dyDescent="0.2">
      <c r="A2621" s="2" t="str" cm="1">
        <f t="array" ref="A2621">INDEX('[1]Brand Family Territory (Enc)'!$A$2:$A$296,INT((ROW()-2)/10)+1)</f>
        <v>Citizen Cider</v>
      </c>
      <c r="B2621" s="2" t="str" cm="1">
        <f t="array" ref="B2621">INDEX('Whitelist (Blackout Reverse)'!$B$1:$K$1,MOD(ROW()-2,10)+1)</f>
        <v>MORRIS 3</v>
      </c>
      <c r="C2621" s="2" t="str">
        <f>VLOOKUP(A2621,'[1]Brand Family Territory (Enc)'!$A$2:$B$296,2,FALSE)</f>
        <v>Bergen/Passaic/Hudson/Essex</v>
      </c>
      <c r="D2621" s="2">
        <f>IF(COUNTIFS('[1]Brand Family Territories (Enc)'!$B$2:$B$62,C2621,'[1]Brand Family Territories (Enc)'!$C$2:$C$62,B2621)&gt;0,1,IF(AND(LEFT(B2621,6)="MORRIS",COUNTIFS('[1]Brand Family Territories (Enc)'!$B$2:$B$62,C2621,'[1]Brand Family Territories (Enc)'!$C$2:$C$62,"Morri")&gt;0),"Unk",0))</f>
        <v>0</v>
      </c>
      <c r="E2621" s="2" t="str">
        <f>IFERROR(INDEX('Blackout Brand Fam Areas (Enc)'!$D$6:$D$998,MATCH(UPPER(A2621)&amp;"|"&amp;UPPER(B2621),'Blackout Brand Fam Areas (Enc)'!$G$6:$G$998,0)),"No Match")</f>
        <v>Inactive</v>
      </c>
      <c r="F2621" s="2" t="str">
        <f t="shared" si="80"/>
        <v>THEM</v>
      </c>
      <c r="G2621" s="2" t="str">
        <f t="shared" si="81"/>
        <v>Citizen Cider|MORRIS 3</v>
      </c>
    </row>
    <row r="2622" spans="1:7" x14ac:dyDescent="0.2">
      <c r="A2622" s="2" t="str" cm="1">
        <f t="array" ref="A2622">INDEX('[1]Brand Family Territory (Enc)'!$A$2:$A$296,INT((ROW()-2)/10)+1)</f>
        <v>Fuller's</v>
      </c>
      <c r="B2622" s="2" t="str" cm="1">
        <f t="array" ref="B2622">INDEX('Whitelist (Blackout Reverse)'!$B$1:$K$1,MOD(ROW()-2,10)+1)</f>
        <v>BERGEN</v>
      </c>
      <c r="C2622" s="2" t="str">
        <f>VLOOKUP(A2622,'[1]Brand Family Territory (Enc)'!$A$2:$B$296,2,FALSE)</f>
        <v>Bergen/Passaic/Hudson/Essex</v>
      </c>
      <c r="D2622" s="2">
        <f>IF(COUNTIFS('[1]Brand Family Territories (Enc)'!$B$2:$B$62,C2622,'[1]Brand Family Territories (Enc)'!$C$2:$C$62,B2622)&gt;0,1,IF(AND(LEFT(B2622,6)="MORRIS",COUNTIFS('[1]Brand Family Territories (Enc)'!$B$2:$B$62,C2622,'[1]Brand Family Territories (Enc)'!$C$2:$C$62,"Morri")&gt;0),"Unk",0))</f>
        <v>1</v>
      </c>
      <c r="E2622" s="2" t="str">
        <f>IFERROR(INDEX('Blackout Brand Fam Areas (Enc)'!$D$6:$D$998,MATCH(UPPER(A2622)&amp;"|"&amp;UPPER(B2622),'Blackout Brand Fam Areas (Enc)'!$G$6:$G$998,0)),"No Match")</f>
        <v>No Match</v>
      </c>
      <c r="F2622" s="2" t="str">
        <f t="shared" si="80"/>
        <v>US</v>
      </c>
      <c r="G2622" s="2" t="str">
        <f t="shared" si="81"/>
        <v>Fuller's|BERGEN</v>
      </c>
    </row>
    <row r="2623" spans="1:7" x14ac:dyDescent="0.2">
      <c r="A2623" s="2" t="str" cm="1">
        <f t="array" ref="A2623">INDEX('[1]Brand Family Territory (Enc)'!$A$2:$A$296,INT((ROW()-2)/10)+1)</f>
        <v>Fuller's</v>
      </c>
      <c r="B2623" s="2" t="str" cm="1">
        <f t="array" ref="B2623">INDEX('Whitelist (Blackout Reverse)'!$B$1:$K$1,MOD(ROW()-2,10)+1)</f>
        <v>PASSAIC</v>
      </c>
      <c r="C2623" s="2" t="str">
        <f>VLOOKUP(A2623,'[1]Brand Family Territory (Enc)'!$A$2:$B$296,2,FALSE)</f>
        <v>Bergen/Passaic/Hudson/Essex</v>
      </c>
      <c r="D2623" s="2">
        <f>IF(COUNTIFS('[1]Brand Family Territories (Enc)'!$B$2:$B$62,C2623,'[1]Brand Family Territories (Enc)'!$C$2:$C$62,B2623)&gt;0,1,IF(AND(LEFT(B2623,6)="MORRIS",COUNTIFS('[1]Brand Family Territories (Enc)'!$B$2:$B$62,C2623,'[1]Brand Family Territories (Enc)'!$C$2:$C$62,"Morri")&gt;0),"Unk",0))</f>
        <v>1</v>
      </c>
      <c r="E2623" s="2" t="str">
        <f>IFERROR(INDEX('Blackout Brand Fam Areas (Enc)'!$D$6:$D$998,MATCH(UPPER(A2623)&amp;"|"&amp;UPPER(B2623),'Blackout Brand Fam Areas (Enc)'!$G$6:$G$998,0)),"No Match")</f>
        <v>No Match</v>
      </c>
      <c r="F2623" s="2" t="str">
        <f t="shared" si="80"/>
        <v>US</v>
      </c>
      <c r="G2623" s="2" t="str">
        <f t="shared" si="81"/>
        <v>Fuller's|PASSAIC</v>
      </c>
    </row>
    <row r="2624" spans="1:7" x14ac:dyDescent="0.2">
      <c r="A2624" s="2" t="str" cm="1">
        <f t="array" ref="A2624">INDEX('[1]Brand Family Territory (Enc)'!$A$2:$A$296,INT((ROW()-2)/10)+1)</f>
        <v>Fuller's</v>
      </c>
      <c r="B2624" s="2" t="str" cm="1">
        <f t="array" ref="B2624">INDEX('Whitelist (Blackout Reverse)'!$B$1:$K$1,MOD(ROW()-2,10)+1)</f>
        <v>PASSAIC-FF</v>
      </c>
      <c r="C2624" s="2" t="str">
        <f>VLOOKUP(A2624,'[1]Brand Family Territory (Enc)'!$A$2:$B$296,2,FALSE)</f>
        <v>Bergen/Passaic/Hudson/Essex</v>
      </c>
      <c r="D2624" s="2">
        <f>IF(COUNTIFS('[1]Brand Family Territories (Enc)'!$B$2:$B$62,C2624,'[1]Brand Family Territories (Enc)'!$C$2:$C$62,B2624)&gt;0,1,IF(AND(LEFT(B2624,6)="MORRIS",COUNTIFS('[1]Brand Family Territories (Enc)'!$B$2:$B$62,C2624,'[1]Brand Family Territories (Enc)'!$C$2:$C$62,"Morri")&gt;0),"Unk",0))</f>
        <v>1</v>
      </c>
      <c r="E2624" s="2" t="str">
        <f>IFERROR(INDEX('Blackout Brand Fam Areas (Enc)'!$D$6:$D$998,MATCH(UPPER(A2624)&amp;"|"&amp;UPPER(B2624),'Blackout Brand Fam Areas (Enc)'!$G$6:$G$998,0)),"No Match")</f>
        <v>No Match</v>
      </c>
      <c r="F2624" s="2" t="str">
        <f t="shared" si="80"/>
        <v>US</v>
      </c>
      <c r="G2624" s="2" t="str">
        <f t="shared" si="81"/>
        <v>Fuller's|PASSAIC-FF</v>
      </c>
    </row>
    <row r="2625" spans="1:7" x14ac:dyDescent="0.2">
      <c r="A2625" s="2" t="str" cm="1">
        <f t="array" ref="A2625">INDEX('[1]Brand Family Territory (Enc)'!$A$2:$A$296,INT((ROW()-2)/10)+1)</f>
        <v>Fuller's</v>
      </c>
      <c r="B2625" s="2" t="str" cm="1">
        <f t="array" ref="B2625">INDEX('Whitelist (Blackout Reverse)'!$B$1:$K$1,MOD(ROW()-2,10)+1)</f>
        <v>ESSEX</v>
      </c>
      <c r="C2625" s="2" t="str">
        <f>VLOOKUP(A2625,'[1]Brand Family Territory (Enc)'!$A$2:$B$296,2,FALSE)</f>
        <v>Bergen/Passaic/Hudson/Essex</v>
      </c>
      <c r="D2625" s="2">
        <f>IF(COUNTIFS('[1]Brand Family Territories (Enc)'!$B$2:$B$62,C2625,'[1]Brand Family Territories (Enc)'!$C$2:$C$62,B2625)&gt;0,1,IF(AND(LEFT(B2625,6)="MORRIS",COUNTIFS('[1]Brand Family Territories (Enc)'!$B$2:$B$62,C2625,'[1]Brand Family Territories (Enc)'!$C$2:$C$62,"Morri")&gt;0),"Unk",0))</f>
        <v>1</v>
      </c>
      <c r="E2625" s="2" t="str">
        <f>IFERROR(INDEX('Blackout Brand Fam Areas (Enc)'!$D$6:$D$998,MATCH(UPPER(A2625)&amp;"|"&amp;UPPER(B2625),'Blackout Brand Fam Areas (Enc)'!$G$6:$G$998,0)),"No Match")</f>
        <v>No Match</v>
      </c>
      <c r="F2625" s="2" t="str">
        <f t="shared" si="80"/>
        <v>US</v>
      </c>
      <c r="G2625" s="2" t="str">
        <f t="shared" si="81"/>
        <v>Fuller's|ESSEX</v>
      </c>
    </row>
    <row r="2626" spans="1:7" x14ac:dyDescent="0.2">
      <c r="A2626" s="2" t="str" cm="1">
        <f t="array" ref="A2626">INDEX('[1]Brand Family Territory (Enc)'!$A$2:$A$296,INT((ROW()-2)/10)+1)</f>
        <v>Fuller's</v>
      </c>
      <c r="B2626" s="2" t="str" cm="1">
        <f t="array" ref="B2626">INDEX('Whitelist (Blackout Reverse)'!$B$1:$K$1,MOD(ROW()-2,10)+1)</f>
        <v>HUDSON</v>
      </c>
      <c r="C2626" s="2" t="str">
        <f>VLOOKUP(A2626,'[1]Brand Family Territory (Enc)'!$A$2:$B$296,2,FALSE)</f>
        <v>Bergen/Passaic/Hudson/Essex</v>
      </c>
      <c r="D2626" s="2">
        <f>IF(COUNTIFS('[1]Brand Family Territories (Enc)'!$B$2:$B$62,C2626,'[1]Brand Family Territories (Enc)'!$C$2:$C$62,B2626)&gt;0,1,IF(AND(LEFT(B2626,6)="MORRIS",COUNTIFS('[1]Brand Family Territories (Enc)'!$B$2:$B$62,C2626,'[1]Brand Family Territories (Enc)'!$C$2:$C$62,"Morri")&gt;0),"Unk",0))</f>
        <v>1</v>
      </c>
      <c r="E2626" s="2" t="str">
        <f>IFERROR(INDEX('Blackout Brand Fam Areas (Enc)'!$D$6:$D$998,MATCH(UPPER(A2626)&amp;"|"&amp;UPPER(B2626),'Blackout Brand Fam Areas (Enc)'!$G$6:$G$998,0)),"No Match")</f>
        <v>No Match</v>
      </c>
      <c r="F2626" s="2" t="str">
        <f t="shared" si="80"/>
        <v>US</v>
      </c>
      <c r="G2626" s="2" t="str">
        <f t="shared" si="81"/>
        <v>Fuller's|HUDSON</v>
      </c>
    </row>
    <row r="2627" spans="1:7" x14ac:dyDescent="0.2">
      <c r="A2627" s="2" t="str" cm="1">
        <f t="array" ref="A2627">INDEX('[1]Brand Family Territory (Enc)'!$A$2:$A$296,INT((ROW()-2)/10)+1)</f>
        <v>Fuller's</v>
      </c>
      <c r="B2627" s="2" t="str" cm="1">
        <f t="array" ref="B2627">INDEX('Whitelist (Blackout Reverse)'!$B$1:$K$1,MOD(ROW()-2,10)+1)</f>
        <v>UNION</v>
      </c>
      <c r="C2627" s="2" t="str">
        <f>VLOOKUP(A2627,'[1]Brand Family Territory (Enc)'!$A$2:$B$296,2,FALSE)</f>
        <v>Bergen/Passaic/Hudson/Essex</v>
      </c>
      <c r="D2627" s="2">
        <f>IF(COUNTIFS('[1]Brand Family Territories (Enc)'!$B$2:$B$62,C2627,'[1]Brand Family Territories (Enc)'!$C$2:$C$62,B2627)&gt;0,1,IF(AND(LEFT(B2627,6)="MORRIS",COUNTIFS('[1]Brand Family Territories (Enc)'!$B$2:$B$62,C2627,'[1]Brand Family Territories (Enc)'!$C$2:$C$62,"Morri")&gt;0),"Unk",0))</f>
        <v>0</v>
      </c>
      <c r="E2627" s="2" t="str">
        <f>IFERROR(INDEX('Blackout Brand Fam Areas (Enc)'!$D$6:$D$998,MATCH(UPPER(A2627)&amp;"|"&amp;UPPER(B2627),'Blackout Brand Fam Areas (Enc)'!$G$6:$G$998,0)),"No Match")</f>
        <v>No Match</v>
      </c>
      <c r="F2627" s="2" t="str">
        <f t="shared" ref="F2627:F2690" si="82">IF(D2627="Unk","Ambiguous (Source Truncated)",IF(E2627="Inactive","THEM",IF(D2627=1,"US",IF(D2627="N/A","No Territory Data","THEM"))))</f>
        <v>THEM</v>
      </c>
      <c r="G2627" s="2" t="str">
        <f t="shared" ref="G2627:G2690" si="83">A2627&amp;"|"&amp;B2627</f>
        <v>Fuller's|UNION</v>
      </c>
    </row>
    <row r="2628" spans="1:7" x14ac:dyDescent="0.2">
      <c r="A2628" s="2" t="str" cm="1">
        <f t="array" ref="A2628">INDEX('[1]Brand Family Territory (Enc)'!$A$2:$A$296,INT((ROW()-2)/10)+1)</f>
        <v>Fuller's</v>
      </c>
      <c r="B2628" s="2" t="str" cm="1">
        <f t="array" ref="B2628">INDEX('Whitelist (Blackout Reverse)'!$B$1:$K$1,MOD(ROW()-2,10)+1)</f>
        <v>SUSSEX</v>
      </c>
      <c r="C2628" s="2" t="str">
        <f>VLOOKUP(A2628,'[1]Brand Family Territory (Enc)'!$A$2:$B$296,2,FALSE)</f>
        <v>Bergen/Passaic/Hudson/Essex</v>
      </c>
      <c r="D2628" s="2">
        <f>IF(COUNTIFS('[1]Brand Family Territories (Enc)'!$B$2:$B$62,C2628,'[1]Brand Family Territories (Enc)'!$C$2:$C$62,B2628)&gt;0,1,IF(AND(LEFT(B2628,6)="MORRIS",COUNTIFS('[1]Brand Family Territories (Enc)'!$B$2:$B$62,C2628,'[1]Brand Family Territories (Enc)'!$C$2:$C$62,"Morri")&gt;0),"Unk",0))</f>
        <v>0</v>
      </c>
      <c r="E2628" s="2" t="str">
        <f>IFERROR(INDEX('Blackout Brand Fam Areas (Enc)'!$D$6:$D$998,MATCH(UPPER(A2628)&amp;"|"&amp;UPPER(B2628),'Blackout Brand Fam Areas (Enc)'!$G$6:$G$998,0)),"No Match")</f>
        <v>No Match</v>
      </c>
      <c r="F2628" s="2" t="str">
        <f t="shared" si="82"/>
        <v>THEM</v>
      </c>
      <c r="G2628" s="2" t="str">
        <f t="shared" si="83"/>
        <v>Fuller's|SUSSEX</v>
      </c>
    </row>
    <row r="2629" spans="1:7" x14ac:dyDescent="0.2">
      <c r="A2629" s="2" t="str" cm="1">
        <f t="array" ref="A2629">INDEX('[1]Brand Family Territory (Enc)'!$A$2:$A$296,INT((ROW()-2)/10)+1)</f>
        <v>Fuller's</v>
      </c>
      <c r="B2629" s="2" t="str" cm="1">
        <f t="array" ref="B2629">INDEX('Whitelist (Blackout Reverse)'!$B$1:$K$1,MOD(ROW()-2,10)+1)</f>
        <v>MORRIS 1</v>
      </c>
      <c r="C2629" s="2" t="str">
        <f>VLOOKUP(A2629,'[1]Brand Family Territory (Enc)'!$A$2:$B$296,2,FALSE)</f>
        <v>Bergen/Passaic/Hudson/Essex</v>
      </c>
      <c r="D2629" s="2">
        <f>IF(COUNTIFS('[1]Brand Family Territories (Enc)'!$B$2:$B$62,C2629,'[1]Brand Family Territories (Enc)'!$C$2:$C$62,B2629)&gt;0,1,IF(AND(LEFT(B2629,6)="MORRIS",COUNTIFS('[1]Brand Family Territories (Enc)'!$B$2:$B$62,C2629,'[1]Brand Family Territories (Enc)'!$C$2:$C$62,"Morri")&gt;0),"Unk",0))</f>
        <v>0</v>
      </c>
      <c r="E2629" s="2" t="str">
        <f>IFERROR(INDEX('Blackout Brand Fam Areas (Enc)'!$D$6:$D$998,MATCH(UPPER(A2629)&amp;"|"&amp;UPPER(B2629),'Blackout Brand Fam Areas (Enc)'!$G$6:$G$998,0)),"No Match")</f>
        <v>No Match</v>
      </c>
      <c r="F2629" s="2" t="str">
        <f t="shared" si="82"/>
        <v>THEM</v>
      </c>
      <c r="G2629" s="2" t="str">
        <f t="shared" si="83"/>
        <v>Fuller's|MORRIS 1</v>
      </c>
    </row>
    <row r="2630" spans="1:7" x14ac:dyDescent="0.2">
      <c r="A2630" s="2" t="str" cm="1">
        <f t="array" ref="A2630">INDEX('[1]Brand Family Territory (Enc)'!$A$2:$A$296,INT((ROW()-2)/10)+1)</f>
        <v>Fuller's</v>
      </c>
      <c r="B2630" s="2" t="str" cm="1">
        <f t="array" ref="B2630">INDEX('Whitelist (Blackout Reverse)'!$B$1:$K$1,MOD(ROW()-2,10)+1)</f>
        <v>MORRIS 2</v>
      </c>
      <c r="C2630" s="2" t="str">
        <f>VLOOKUP(A2630,'[1]Brand Family Territory (Enc)'!$A$2:$B$296,2,FALSE)</f>
        <v>Bergen/Passaic/Hudson/Essex</v>
      </c>
      <c r="D2630" s="2">
        <f>IF(COUNTIFS('[1]Brand Family Territories (Enc)'!$B$2:$B$62,C2630,'[1]Brand Family Territories (Enc)'!$C$2:$C$62,B2630)&gt;0,1,IF(AND(LEFT(B2630,6)="MORRIS",COUNTIFS('[1]Brand Family Territories (Enc)'!$B$2:$B$62,C2630,'[1]Brand Family Territories (Enc)'!$C$2:$C$62,"Morri")&gt;0),"Unk",0))</f>
        <v>0</v>
      </c>
      <c r="E2630" s="2" t="str">
        <f>IFERROR(INDEX('Blackout Brand Fam Areas (Enc)'!$D$6:$D$998,MATCH(UPPER(A2630)&amp;"|"&amp;UPPER(B2630),'Blackout Brand Fam Areas (Enc)'!$G$6:$G$998,0)),"No Match")</f>
        <v>No Match</v>
      </c>
      <c r="F2630" s="2" t="str">
        <f t="shared" si="82"/>
        <v>THEM</v>
      </c>
      <c r="G2630" s="2" t="str">
        <f t="shared" si="83"/>
        <v>Fuller's|MORRIS 2</v>
      </c>
    </row>
    <row r="2631" spans="1:7" x14ac:dyDescent="0.2">
      <c r="A2631" s="2" t="str" cm="1">
        <f t="array" ref="A2631">INDEX('[1]Brand Family Territory (Enc)'!$A$2:$A$296,INT((ROW()-2)/10)+1)</f>
        <v>Fuller's</v>
      </c>
      <c r="B2631" s="2" t="str" cm="1">
        <f t="array" ref="B2631">INDEX('Whitelist (Blackout Reverse)'!$B$1:$K$1,MOD(ROW()-2,10)+1)</f>
        <v>MORRIS 3</v>
      </c>
      <c r="C2631" s="2" t="str">
        <f>VLOOKUP(A2631,'[1]Brand Family Territory (Enc)'!$A$2:$B$296,2,FALSE)</f>
        <v>Bergen/Passaic/Hudson/Essex</v>
      </c>
      <c r="D2631" s="2">
        <f>IF(COUNTIFS('[1]Brand Family Territories (Enc)'!$B$2:$B$62,C2631,'[1]Brand Family Territories (Enc)'!$C$2:$C$62,B2631)&gt;0,1,IF(AND(LEFT(B2631,6)="MORRIS",COUNTIFS('[1]Brand Family Territories (Enc)'!$B$2:$B$62,C2631,'[1]Brand Family Territories (Enc)'!$C$2:$C$62,"Morri")&gt;0),"Unk",0))</f>
        <v>0</v>
      </c>
      <c r="E2631" s="2" t="str">
        <f>IFERROR(INDEX('Blackout Brand Fam Areas (Enc)'!$D$6:$D$998,MATCH(UPPER(A2631)&amp;"|"&amp;UPPER(B2631),'Blackout Brand Fam Areas (Enc)'!$G$6:$G$998,0)),"No Match")</f>
        <v>No Match</v>
      </c>
      <c r="F2631" s="2" t="str">
        <f t="shared" si="82"/>
        <v>THEM</v>
      </c>
      <c r="G2631" s="2" t="str">
        <f t="shared" si="83"/>
        <v>Fuller's|MORRIS 3</v>
      </c>
    </row>
    <row r="2632" spans="1:7" x14ac:dyDescent="0.2">
      <c r="A2632" s="2" t="str" cm="1">
        <f t="array" ref="A2632">INDEX('[1]Brand Family Territory (Enc)'!$A$2:$A$296,INT((ROW()-2)/10)+1)</f>
        <v>Hacker-Pschorr</v>
      </c>
      <c r="B2632" s="2" t="str" cm="1">
        <f t="array" ref="B2632">INDEX('Whitelist (Blackout Reverse)'!$B$1:$K$1,MOD(ROW()-2,10)+1)</f>
        <v>BERGEN</v>
      </c>
      <c r="C2632" s="2" t="str">
        <f>VLOOKUP(A2632,'[1]Brand Family Territory (Enc)'!$A$2:$B$296,2,FALSE)</f>
        <v>Bergen/Passaic/Hudson/Essex</v>
      </c>
      <c r="D2632" s="2">
        <f>IF(COUNTIFS('[1]Brand Family Territories (Enc)'!$B$2:$B$62,C2632,'[1]Brand Family Territories (Enc)'!$C$2:$C$62,B2632)&gt;0,1,IF(AND(LEFT(B2632,6)="MORRIS",COUNTIFS('[1]Brand Family Territories (Enc)'!$B$2:$B$62,C2632,'[1]Brand Family Territories (Enc)'!$C$2:$C$62,"Morri")&gt;0),"Unk",0))</f>
        <v>1</v>
      </c>
      <c r="E2632" s="2" t="str">
        <f>IFERROR(INDEX('Blackout Brand Fam Areas (Enc)'!$D$6:$D$998,MATCH(UPPER(A2632)&amp;"|"&amp;UPPER(B2632),'Blackout Brand Fam Areas (Enc)'!$G$6:$G$998,0)),"No Match")</f>
        <v>No Match</v>
      </c>
      <c r="F2632" s="2" t="str">
        <f t="shared" si="82"/>
        <v>US</v>
      </c>
      <c r="G2632" s="2" t="str">
        <f t="shared" si="83"/>
        <v>Hacker-Pschorr|BERGEN</v>
      </c>
    </row>
    <row r="2633" spans="1:7" x14ac:dyDescent="0.2">
      <c r="A2633" s="2" t="str" cm="1">
        <f t="array" ref="A2633">INDEX('[1]Brand Family Territory (Enc)'!$A$2:$A$296,INT((ROW()-2)/10)+1)</f>
        <v>Hacker-Pschorr</v>
      </c>
      <c r="B2633" s="2" t="str" cm="1">
        <f t="array" ref="B2633">INDEX('Whitelist (Blackout Reverse)'!$B$1:$K$1,MOD(ROW()-2,10)+1)</f>
        <v>PASSAIC</v>
      </c>
      <c r="C2633" s="2" t="str">
        <f>VLOOKUP(A2633,'[1]Brand Family Territory (Enc)'!$A$2:$B$296,2,FALSE)</f>
        <v>Bergen/Passaic/Hudson/Essex</v>
      </c>
      <c r="D2633" s="2">
        <f>IF(COUNTIFS('[1]Brand Family Territories (Enc)'!$B$2:$B$62,C2633,'[1]Brand Family Territories (Enc)'!$C$2:$C$62,B2633)&gt;0,1,IF(AND(LEFT(B2633,6)="MORRIS",COUNTIFS('[1]Brand Family Territories (Enc)'!$B$2:$B$62,C2633,'[1]Brand Family Territories (Enc)'!$C$2:$C$62,"Morri")&gt;0),"Unk",0))</f>
        <v>1</v>
      </c>
      <c r="E2633" s="2" t="str">
        <f>IFERROR(INDEX('Blackout Brand Fam Areas (Enc)'!$D$6:$D$998,MATCH(UPPER(A2633)&amp;"|"&amp;UPPER(B2633),'Blackout Brand Fam Areas (Enc)'!$G$6:$G$998,0)),"No Match")</f>
        <v>No Match</v>
      </c>
      <c r="F2633" s="2" t="str">
        <f t="shared" si="82"/>
        <v>US</v>
      </c>
      <c r="G2633" s="2" t="str">
        <f t="shared" si="83"/>
        <v>Hacker-Pschorr|PASSAIC</v>
      </c>
    </row>
    <row r="2634" spans="1:7" x14ac:dyDescent="0.2">
      <c r="A2634" s="2" t="str" cm="1">
        <f t="array" ref="A2634">INDEX('[1]Brand Family Territory (Enc)'!$A$2:$A$296,INT((ROW()-2)/10)+1)</f>
        <v>Hacker-Pschorr</v>
      </c>
      <c r="B2634" s="2" t="str" cm="1">
        <f t="array" ref="B2634">INDEX('Whitelist (Blackout Reverse)'!$B$1:$K$1,MOD(ROW()-2,10)+1)</f>
        <v>PASSAIC-FF</v>
      </c>
      <c r="C2634" s="2" t="str">
        <f>VLOOKUP(A2634,'[1]Brand Family Territory (Enc)'!$A$2:$B$296,2,FALSE)</f>
        <v>Bergen/Passaic/Hudson/Essex</v>
      </c>
      <c r="D2634" s="2">
        <f>IF(COUNTIFS('[1]Brand Family Territories (Enc)'!$B$2:$B$62,C2634,'[1]Brand Family Territories (Enc)'!$C$2:$C$62,B2634)&gt;0,1,IF(AND(LEFT(B2634,6)="MORRIS",COUNTIFS('[1]Brand Family Territories (Enc)'!$B$2:$B$62,C2634,'[1]Brand Family Territories (Enc)'!$C$2:$C$62,"Morri")&gt;0),"Unk",0))</f>
        <v>1</v>
      </c>
      <c r="E2634" s="2" t="str">
        <f>IFERROR(INDEX('Blackout Brand Fam Areas (Enc)'!$D$6:$D$998,MATCH(UPPER(A2634)&amp;"|"&amp;UPPER(B2634),'Blackout Brand Fam Areas (Enc)'!$G$6:$G$998,0)),"No Match")</f>
        <v>No Match</v>
      </c>
      <c r="F2634" s="2" t="str">
        <f t="shared" si="82"/>
        <v>US</v>
      </c>
      <c r="G2634" s="2" t="str">
        <f t="shared" si="83"/>
        <v>Hacker-Pschorr|PASSAIC-FF</v>
      </c>
    </row>
    <row r="2635" spans="1:7" x14ac:dyDescent="0.2">
      <c r="A2635" s="2" t="str" cm="1">
        <f t="array" ref="A2635">INDEX('[1]Brand Family Territory (Enc)'!$A$2:$A$296,INT((ROW()-2)/10)+1)</f>
        <v>Hacker-Pschorr</v>
      </c>
      <c r="B2635" s="2" t="str" cm="1">
        <f t="array" ref="B2635">INDEX('Whitelist (Blackout Reverse)'!$B$1:$K$1,MOD(ROW()-2,10)+1)</f>
        <v>ESSEX</v>
      </c>
      <c r="C2635" s="2" t="str">
        <f>VLOOKUP(A2635,'[1]Brand Family Territory (Enc)'!$A$2:$B$296,2,FALSE)</f>
        <v>Bergen/Passaic/Hudson/Essex</v>
      </c>
      <c r="D2635" s="2">
        <f>IF(COUNTIFS('[1]Brand Family Territories (Enc)'!$B$2:$B$62,C2635,'[1]Brand Family Territories (Enc)'!$C$2:$C$62,B2635)&gt;0,1,IF(AND(LEFT(B2635,6)="MORRIS",COUNTIFS('[1]Brand Family Territories (Enc)'!$B$2:$B$62,C2635,'[1]Brand Family Territories (Enc)'!$C$2:$C$62,"Morri")&gt;0),"Unk",0))</f>
        <v>1</v>
      </c>
      <c r="E2635" s="2" t="str">
        <f>IFERROR(INDEX('Blackout Brand Fam Areas (Enc)'!$D$6:$D$998,MATCH(UPPER(A2635)&amp;"|"&amp;UPPER(B2635),'Blackout Brand Fam Areas (Enc)'!$G$6:$G$998,0)),"No Match")</f>
        <v>No Match</v>
      </c>
      <c r="F2635" s="2" t="str">
        <f t="shared" si="82"/>
        <v>US</v>
      </c>
      <c r="G2635" s="2" t="str">
        <f t="shared" si="83"/>
        <v>Hacker-Pschorr|ESSEX</v>
      </c>
    </row>
    <row r="2636" spans="1:7" x14ac:dyDescent="0.2">
      <c r="A2636" s="2" t="str" cm="1">
        <f t="array" ref="A2636">INDEX('[1]Brand Family Territory (Enc)'!$A$2:$A$296,INT((ROW()-2)/10)+1)</f>
        <v>Hacker-Pschorr</v>
      </c>
      <c r="B2636" s="2" t="str" cm="1">
        <f t="array" ref="B2636">INDEX('Whitelist (Blackout Reverse)'!$B$1:$K$1,MOD(ROW()-2,10)+1)</f>
        <v>HUDSON</v>
      </c>
      <c r="C2636" s="2" t="str">
        <f>VLOOKUP(A2636,'[1]Brand Family Territory (Enc)'!$A$2:$B$296,2,FALSE)</f>
        <v>Bergen/Passaic/Hudson/Essex</v>
      </c>
      <c r="D2636" s="2">
        <f>IF(COUNTIFS('[1]Brand Family Territories (Enc)'!$B$2:$B$62,C2636,'[1]Brand Family Territories (Enc)'!$C$2:$C$62,B2636)&gt;0,1,IF(AND(LEFT(B2636,6)="MORRIS",COUNTIFS('[1]Brand Family Territories (Enc)'!$B$2:$B$62,C2636,'[1]Brand Family Territories (Enc)'!$C$2:$C$62,"Morri")&gt;0),"Unk",0))</f>
        <v>1</v>
      </c>
      <c r="E2636" s="2" t="str">
        <f>IFERROR(INDEX('Blackout Brand Fam Areas (Enc)'!$D$6:$D$998,MATCH(UPPER(A2636)&amp;"|"&amp;UPPER(B2636),'Blackout Brand Fam Areas (Enc)'!$G$6:$G$998,0)),"No Match")</f>
        <v>No Match</v>
      </c>
      <c r="F2636" s="2" t="str">
        <f t="shared" si="82"/>
        <v>US</v>
      </c>
      <c r="G2636" s="2" t="str">
        <f t="shared" si="83"/>
        <v>Hacker-Pschorr|HUDSON</v>
      </c>
    </row>
    <row r="2637" spans="1:7" x14ac:dyDescent="0.2">
      <c r="A2637" s="2" t="str" cm="1">
        <f t="array" ref="A2637">INDEX('[1]Brand Family Territory (Enc)'!$A$2:$A$296,INT((ROW()-2)/10)+1)</f>
        <v>Hacker-Pschorr</v>
      </c>
      <c r="B2637" s="2" t="str" cm="1">
        <f t="array" ref="B2637">INDEX('Whitelist (Blackout Reverse)'!$B$1:$K$1,MOD(ROW()-2,10)+1)</f>
        <v>UNION</v>
      </c>
      <c r="C2637" s="2" t="str">
        <f>VLOOKUP(A2637,'[1]Brand Family Territory (Enc)'!$A$2:$B$296,2,FALSE)</f>
        <v>Bergen/Passaic/Hudson/Essex</v>
      </c>
      <c r="D2637" s="2">
        <f>IF(COUNTIFS('[1]Brand Family Territories (Enc)'!$B$2:$B$62,C2637,'[1]Brand Family Territories (Enc)'!$C$2:$C$62,B2637)&gt;0,1,IF(AND(LEFT(B2637,6)="MORRIS",COUNTIFS('[1]Brand Family Territories (Enc)'!$B$2:$B$62,C2637,'[1]Brand Family Territories (Enc)'!$C$2:$C$62,"Morri")&gt;0),"Unk",0))</f>
        <v>0</v>
      </c>
      <c r="E2637" s="2" t="str">
        <f>IFERROR(INDEX('Blackout Brand Fam Areas (Enc)'!$D$6:$D$998,MATCH(UPPER(A2637)&amp;"|"&amp;UPPER(B2637),'Blackout Brand Fam Areas (Enc)'!$G$6:$G$998,0)),"No Match")</f>
        <v>Inactive</v>
      </c>
      <c r="F2637" s="2" t="str">
        <f t="shared" si="82"/>
        <v>THEM</v>
      </c>
      <c r="G2637" s="2" t="str">
        <f t="shared" si="83"/>
        <v>Hacker-Pschorr|UNION</v>
      </c>
    </row>
    <row r="2638" spans="1:7" x14ac:dyDescent="0.2">
      <c r="A2638" s="2" t="str" cm="1">
        <f t="array" ref="A2638">INDEX('[1]Brand Family Territory (Enc)'!$A$2:$A$296,INT((ROW()-2)/10)+1)</f>
        <v>Hacker-Pschorr</v>
      </c>
      <c r="B2638" s="2" t="str" cm="1">
        <f t="array" ref="B2638">INDEX('Whitelist (Blackout Reverse)'!$B$1:$K$1,MOD(ROW()-2,10)+1)</f>
        <v>SUSSEX</v>
      </c>
      <c r="C2638" s="2" t="str">
        <f>VLOOKUP(A2638,'[1]Brand Family Territory (Enc)'!$A$2:$B$296,2,FALSE)</f>
        <v>Bergen/Passaic/Hudson/Essex</v>
      </c>
      <c r="D2638" s="2">
        <f>IF(COUNTIFS('[1]Brand Family Territories (Enc)'!$B$2:$B$62,C2638,'[1]Brand Family Territories (Enc)'!$C$2:$C$62,B2638)&gt;0,1,IF(AND(LEFT(B2638,6)="MORRIS",COUNTIFS('[1]Brand Family Territories (Enc)'!$B$2:$B$62,C2638,'[1]Brand Family Territories (Enc)'!$C$2:$C$62,"Morri")&gt;0),"Unk",0))</f>
        <v>0</v>
      </c>
      <c r="E2638" s="2" t="str">
        <f>IFERROR(INDEX('Blackout Brand Fam Areas (Enc)'!$D$6:$D$998,MATCH(UPPER(A2638)&amp;"|"&amp;UPPER(B2638),'Blackout Brand Fam Areas (Enc)'!$G$6:$G$998,0)),"No Match")</f>
        <v>Inactive</v>
      </c>
      <c r="F2638" s="2" t="str">
        <f t="shared" si="82"/>
        <v>THEM</v>
      </c>
      <c r="G2638" s="2" t="str">
        <f t="shared" si="83"/>
        <v>Hacker-Pschorr|SUSSEX</v>
      </c>
    </row>
    <row r="2639" spans="1:7" x14ac:dyDescent="0.2">
      <c r="A2639" s="2" t="str" cm="1">
        <f t="array" ref="A2639">INDEX('[1]Brand Family Territory (Enc)'!$A$2:$A$296,INT((ROW()-2)/10)+1)</f>
        <v>Hacker-Pschorr</v>
      </c>
      <c r="B2639" s="2" t="str" cm="1">
        <f t="array" ref="B2639">INDEX('Whitelist (Blackout Reverse)'!$B$1:$K$1,MOD(ROW()-2,10)+1)</f>
        <v>MORRIS 1</v>
      </c>
      <c r="C2639" s="2" t="str">
        <f>VLOOKUP(A2639,'[1]Brand Family Territory (Enc)'!$A$2:$B$296,2,FALSE)</f>
        <v>Bergen/Passaic/Hudson/Essex</v>
      </c>
      <c r="D2639" s="2">
        <f>IF(COUNTIFS('[1]Brand Family Territories (Enc)'!$B$2:$B$62,C2639,'[1]Brand Family Territories (Enc)'!$C$2:$C$62,B2639)&gt;0,1,IF(AND(LEFT(B2639,6)="MORRIS",COUNTIFS('[1]Brand Family Territories (Enc)'!$B$2:$B$62,C2639,'[1]Brand Family Territories (Enc)'!$C$2:$C$62,"Morri")&gt;0),"Unk",0))</f>
        <v>0</v>
      </c>
      <c r="E2639" s="2" t="str">
        <f>IFERROR(INDEX('Blackout Brand Fam Areas (Enc)'!$D$6:$D$998,MATCH(UPPER(A2639)&amp;"|"&amp;UPPER(B2639),'Blackout Brand Fam Areas (Enc)'!$G$6:$G$998,0)),"No Match")</f>
        <v>Inactive</v>
      </c>
      <c r="F2639" s="2" t="str">
        <f t="shared" si="82"/>
        <v>THEM</v>
      </c>
      <c r="G2639" s="2" t="str">
        <f t="shared" si="83"/>
        <v>Hacker-Pschorr|MORRIS 1</v>
      </c>
    </row>
    <row r="2640" spans="1:7" x14ac:dyDescent="0.2">
      <c r="A2640" s="2" t="str" cm="1">
        <f t="array" ref="A2640">INDEX('[1]Brand Family Territory (Enc)'!$A$2:$A$296,INT((ROW()-2)/10)+1)</f>
        <v>Hacker-Pschorr</v>
      </c>
      <c r="B2640" s="2" t="str" cm="1">
        <f t="array" ref="B2640">INDEX('Whitelist (Blackout Reverse)'!$B$1:$K$1,MOD(ROW()-2,10)+1)</f>
        <v>MORRIS 2</v>
      </c>
      <c r="C2640" s="2" t="str">
        <f>VLOOKUP(A2640,'[1]Brand Family Territory (Enc)'!$A$2:$B$296,2,FALSE)</f>
        <v>Bergen/Passaic/Hudson/Essex</v>
      </c>
      <c r="D2640" s="2">
        <f>IF(COUNTIFS('[1]Brand Family Territories (Enc)'!$B$2:$B$62,C2640,'[1]Brand Family Territories (Enc)'!$C$2:$C$62,B2640)&gt;0,1,IF(AND(LEFT(B2640,6)="MORRIS",COUNTIFS('[1]Brand Family Territories (Enc)'!$B$2:$B$62,C2640,'[1]Brand Family Territories (Enc)'!$C$2:$C$62,"Morri")&gt;0),"Unk",0))</f>
        <v>0</v>
      </c>
      <c r="E2640" s="2" t="str">
        <f>IFERROR(INDEX('Blackout Brand Fam Areas (Enc)'!$D$6:$D$998,MATCH(UPPER(A2640)&amp;"|"&amp;UPPER(B2640),'Blackout Brand Fam Areas (Enc)'!$G$6:$G$998,0)),"No Match")</f>
        <v>Inactive</v>
      </c>
      <c r="F2640" s="2" t="str">
        <f t="shared" si="82"/>
        <v>THEM</v>
      </c>
      <c r="G2640" s="2" t="str">
        <f t="shared" si="83"/>
        <v>Hacker-Pschorr|MORRIS 2</v>
      </c>
    </row>
    <row r="2641" spans="1:7" x14ac:dyDescent="0.2">
      <c r="A2641" s="2" t="str" cm="1">
        <f t="array" ref="A2641">INDEX('[1]Brand Family Territory (Enc)'!$A$2:$A$296,INT((ROW()-2)/10)+1)</f>
        <v>Hacker-Pschorr</v>
      </c>
      <c r="B2641" s="2" t="str" cm="1">
        <f t="array" ref="B2641">INDEX('Whitelist (Blackout Reverse)'!$B$1:$K$1,MOD(ROW()-2,10)+1)</f>
        <v>MORRIS 3</v>
      </c>
      <c r="C2641" s="2" t="str">
        <f>VLOOKUP(A2641,'[1]Brand Family Territory (Enc)'!$A$2:$B$296,2,FALSE)</f>
        <v>Bergen/Passaic/Hudson/Essex</v>
      </c>
      <c r="D2641" s="2">
        <f>IF(COUNTIFS('[1]Brand Family Territories (Enc)'!$B$2:$B$62,C2641,'[1]Brand Family Territories (Enc)'!$C$2:$C$62,B2641)&gt;0,1,IF(AND(LEFT(B2641,6)="MORRIS",COUNTIFS('[1]Brand Family Territories (Enc)'!$B$2:$B$62,C2641,'[1]Brand Family Territories (Enc)'!$C$2:$C$62,"Morri")&gt;0),"Unk",0))</f>
        <v>0</v>
      </c>
      <c r="E2641" s="2" t="str">
        <f>IFERROR(INDEX('Blackout Brand Fam Areas (Enc)'!$D$6:$D$998,MATCH(UPPER(A2641)&amp;"|"&amp;UPPER(B2641),'Blackout Brand Fam Areas (Enc)'!$G$6:$G$998,0)),"No Match")</f>
        <v>Inactive</v>
      </c>
      <c r="F2641" s="2" t="str">
        <f t="shared" si="82"/>
        <v>THEM</v>
      </c>
      <c r="G2641" s="2" t="str">
        <f t="shared" si="83"/>
        <v>Hacker-Pschorr|MORRIS 3</v>
      </c>
    </row>
    <row r="2642" spans="1:7" x14ac:dyDescent="0.2">
      <c r="A2642" s="2" t="str" cm="1">
        <f t="array" ref="A2642">INDEX('[1]Brand Family Territory (Enc)'!$A$2:$A$296,INT((ROW()-2)/10)+1)</f>
        <v>Ithaca</v>
      </c>
      <c r="B2642" s="2" t="str" cm="1">
        <f t="array" ref="B2642">INDEX('Whitelist (Blackout Reverse)'!$B$1:$K$1,MOD(ROW()-2,10)+1)</f>
        <v>BERGEN</v>
      </c>
      <c r="C2642" s="2" t="str">
        <f>VLOOKUP(A2642,'[1]Brand Family Territory (Enc)'!$A$2:$B$296,2,FALSE)</f>
        <v>Bergen/Passaic/Hudson/Essex</v>
      </c>
      <c r="D2642" s="2">
        <f>IF(COUNTIFS('[1]Brand Family Territories (Enc)'!$B$2:$B$62,C2642,'[1]Brand Family Territories (Enc)'!$C$2:$C$62,B2642)&gt;0,1,IF(AND(LEFT(B2642,6)="MORRIS",COUNTIFS('[1]Brand Family Territories (Enc)'!$B$2:$B$62,C2642,'[1]Brand Family Territories (Enc)'!$C$2:$C$62,"Morri")&gt;0),"Unk",0))</f>
        <v>1</v>
      </c>
      <c r="E2642" s="2" t="str">
        <f>IFERROR(INDEX('Blackout Brand Fam Areas (Enc)'!$D$6:$D$998,MATCH(UPPER(A2642)&amp;"|"&amp;UPPER(B2642),'Blackout Brand Fam Areas (Enc)'!$G$6:$G$998,0)),"No Match")</f>
        <v>No Match</v>
      </c>
      <c r="F2642" s="2" t="str">
        <f t="shared" si="82"/>
        <v>US</v>
      </c>
      <c r="G2642" s="2" t="str">
        <f t="shared" si="83"/>
        <v>Ithaca|BERGEN</v>
      </c>
    </row>
    <row r="2643" spans="1:7" x14ac:dyDescent="0.2">
      <c r="A2643" s="2" t="str" cm="1">
        <f t="array" ref="A2643">INDEX('[1]Brand Family Territory (Enc)'!$A$2:$A$296,INT((ROW()-2)/10)+1)</f>
        <v>Ithaca</v>
      </c>
      <c r="B2643" s="2" t="str" cm="1">
        <f t="array" ref="B2643">INDEX('Whitelist (Blackout Reverse)'!$B$1:$K$1,MOD(ROW()-2,10)+1)</f>
        <v>PASSAIC</v>
      </c>
      <c r="C2643" s="2" t="str">
        <f>VLOOKUP(A2643,'[1]Brand Family Territory (Enc)'!$A$2:$B$296,2,FALSE)</f>
        <v>Bergen/Passaic/Hudson/Essex</v>
      </c>
      <c r="D2643" s="2">
        <f>IF(COUNTIFS('[1]Brand Family Territories (Enc)'!$B$2:$B$62,C2643,'[1]Brand Family Territories (Enc)'!$C$2:$C$62,B2643)&gt;0,1,IF(AND(LEFT(B2643,6)="MORRIS",COUNTIFS('[1]Brand Family Territories (Enc)'!$B$2:$B$62,C2643,'[1]Brand Family Territories (Enc)'!$C$2:$C$62,"Morri")&gt;0),"Unk",0))</f>
        <v>1</v>
      </c>
      <c r="E2643" s="2" t="str">
        <f>IFERROR(INDEX('Blackout Brand Fam Areas (Enc)'!$D$6:$D$998,MATCH(UPPER(A2643)&amp;"|"&amp;UPPER(B2643),'Blackout Brand Fam Areas (Enc)'!$G$6:$G$998,0)),"No Match")</f>
        <v>No Match</v>
      </c>
      <c r="F2643" s="2" t="str">
        <f t="shared" si="82"/>
        <v>US</v>
      </c>
      <c r="G2643" s="2" t="str">
        <f t="shared" si="83"/>
        <v>Ithaca|PASSAIC</v>
      </c>
    </row>
    <row r="2644" spans="1:7" x14ac:dyDescent="0.2">
      <c r="A2644" s="2" t="str" cm="1">
        <f t="array" ref="A2644">INDEX('[1]Brand Family Territory (Enc)'!$A$2:$A$296,INT((ROW()-2)/10)+1)</f>
        <v>Ithaca</v>
      </c>
      <c r="B2644" s="2" t="str" cm="1">
        <f t="array" ref="B2644">INDEX('Whitelist (Blackout Reverse)'!$B$1:$K$1,MOD(ROW()-2,10)+1)</f>
        <v>PASSAIC-FF</v>
      </c>
      <c r="C2644" s="2" t="str">
        <f>VLOOKUP(A2644,'[1]Brand Family Territory (Enc)'!$A$2:$B$296,2,FALSE)</f>
        <v>Bergen/Passaic/Hudson/Essex</v>
      </c>
      <c r="D2644" s="2">
        <f>IF(COUNTIFS('[1]Brand Family Territories (Enc)'!$B$2:$B$62,C2644,'[1]Brand Family Territories (Enc)'!$C$2:$C$62,B2644)&gt;0,1,IF(AND(LEFT(B2644,6)="MORRIS",COUNTIFS('[1]Brand Family Territories (Enc)'!$B$2:$B$62,C2644,'[1]Brand Family Territories (Enc)'!$C$2:$C$62,"Morri")&gt;0),"Unk",0))</f>
        <v>1</v>
      </c>
      <c r="E2644" s="2" t="str">
        <f>IFERROR(INDEX('Blackout Brand Fam Areas (Enc)'!$D$6:$D$998,MATCH(UPPER(A2644)&amp;"|"&amp;UPPER(B2644),'Blackout Brand Fam Areas (Enc)'!$G$6:$G$998,0)),"No Match")</f>
        <v>No Match</v>
      </c>
      <c r="F2644" s="2" t="str">
        <f t="shared" si="82"/>
        <v>US</v>
      </c>
      <c r="G2644" s="2" t="str">
        <f t="shared" si="83"/>
        <v>Ithaca|PASSAIC-FF</v>
      </c>
    </row>
    <row r="2645" spans="1:7" x14ac:dyDescent="0.2">
      <c r="A2645" s="2" t="str" cm="1">
        <f t="array" ref="A2645">INDEX('[1]Brand Family Territory (Enc)'!$A$2:$A$296,INT((ROW()-2)/10)+1)</f>
        <v>Ithaca</v>
      </c>
      <c r="B2645" s="2" t="str" cm="1">
        <f t="array" ref="B2645">INDEX('Whitelist (Blackout Reverse)'!$B$1:$K$1,MOD(ROW()-2,10)+1)</f>
        <v>ESSEX</v>
      </c>
      <c r="C2645" s="2" t="str">
        <f>VLOOKUP(A2645,'[1]Brand Family Territory (Enc)'!$A$2:$B$296,2,FALSE)</f>
        <v>Bergen/Passaic/Hudson/Essex</v>
      </c>
      <c r="D2645" s="2">
        <f>IF(COUNTIFS('[1]Brand Family Territories (Enc)'!$B$2:$B$62,C2645,'[1]Brand Family Territories (Enc)'!$C$2:$C$62,B2645)&gt;0,1,IF(AND(LEFT(B2645,6)="MORRIS",COUNTIFS('[1]Brand Family Territories (Enc)'!$B$2:$B$62,C2645,'[1]Brand Family Territories (Enc)'!$C$2:$C$62,"Morri")&gt;0),"Unk",0))</f>
        <v>1</v>
      </c>
      <c r="E2645" s="2" t="str">
        <f>IFERROR(INDEX('Blackout Brand Fam Areas (Enc)'!$D$6:$D$998,MATCH(UPPER(A2645)&amp;"|"&amp;UPPER(B2645),'Blackout Brand Fam Areas (Enc)'!$G$6:$G$998,0)),"No Match")</f>
        <v>No Match</v>
      </c>
      <c r="F2645" s="2" t="str">
        <f t="shared" si="82"/>
        <v>US</v>
      </c>
      <c r="G2645" s="2" t="str">
        <f t="shared" si="83"/>
        <v>Ithaca|ESSEX</v>
      </c>
    </row>
    <row r="2646" spans="1:7" x14ac:dyDescent="0.2">
      <c r="A2646" s="2" t="str" cm="1">
        <f t="array" ref="A2646">INDEX('[1]Brand Family Territory (Enc)'!$A$2:$A$296,INT((ROW()-2)/10)+1)</f>
        <v>Ithaca</v>
      </c>
      <c r="B2646" s="2" t="str" cm="1">
        <f t="array" ref="B2646">INDEX('Whitelist (Blackout Reverse)'!$B$1:$K$1,MOD(ROW()-2,10)+1)</f>
        <v>HUDSON</v>
      </c>
      <c r="C2646" s="2" t="str">
        <f>VLOOKUP(A2646,'[1]Brand Family Territory (Enc)'!$A$2:$B$296,2,FALSE)</f>
        <v>Bergen/Passaic/Hudson/Essex</v>
      </c>
      <c r="D2646" s="2">
        <f>IF(COUNTIFS('[1]Brand Family Territories (Enc)'!$B$2:$B$62,C2646,'[1]Brand Family Territories (Enc)'!$C$2:$C$62,B2646)&gt;0,1,IF(AND(LEFT(B2646,6)="MORRIS",COUNTIFS('[1]Brand Family Territories (Enc)'!$B$2:$B$62,C2646,'[1]Brand Family Territories (Enc)'!$C$2:$C$62,"Morri")&gt;0),"Unk",0))</f>
        <v>1</v>
      </c>
      <c r="E2646" s="2" t="str">
        <f>IFERROR(INDEX('Blackout Brand Fam Areas (Enc)'!$D$6:$D$998,MATCH(UPPER(A2646)&amp;"|"&amp;UPPER(B2646),'Blackout Brand Fam Areas (Enc)'!$G$6:$G$998,0)),"No Match")</f>
        <v>No Match</v>
      </c>
      <c r="F2646" s="2" t="str">
        <f t="shared" si="82"/>
        <v>US</v>
      </c>
      <c r="G2646" s="2" t="str">
        <f t="shared" si="83"/>
        <v>Ithaca|HUDSON</v>
      </c>
    </row>
    <row r="2647" spans="1:7" x14ac:dyDescent="0.2">
      <c r="A2647" s="2" t="str" cm="1">
        <f t="array" ref="A2647">INDEX('[1]Brand Family Territory (Enc)'!$A$2:$A$296,INT((ROW()-2)/10)+1)</f>
        <v>Ithaca</v>
      </c>
      <c r="B2647" s="2" t="str" cm="1">
        <f t="array" ref="B2647">INDEX('Whitelist (Blackout Reverse)'!$B$1:$K$1,MOD(ROW()-2,10)+1)</f>
        <v>UNION</v>
      </c>
      <c r="C2647" s="2" t="str">
        <f>VLOOKUP(A2647,'[1]Brand Family Territory (Enc)'!$A$2:$B$296,2,FALSE)</f>
        <v>Bergen/Passaic/Hudson/Essex</v>
      </c>
      <c r="D2647" s="2">
        <f>IF(COUNTIFS('[1]Brand Family Territories (Enc)'!$B$2:$B$62,C2647,'[1]Brand Family Territories (Enc)'!$C$2:$C$62,B2647)&gt;0,1,IF(AND(LEFT(B2647,6)="MORRIS",COUNTIFS('[1]Brand Family Territories (Enc)'!$B$2:$B$62,C2647,'[1]Brand Family Territories (Enc)'!$C$2:$C$62,"Morri")&gt;0),"Unk",0))</f>
        <v>0</v>
      </c>
      <c r="E2647" s="2" t="str">
        <f>IFERROR(INDEX('Blackout Brand Fam Areas (Enc)'!$D$6:$D$998,MATCH(UPPER(A2647)&amp;"|"&amp;UPPER(B2647),'Blackout Brand Fam Areas (Enc)'!$G$6:$G$998,0)),"No Match")</f>
        <v>Inactive</v>
      </c>
      <c r="F2647" s="2" t="str">
        <f t="shared" si="82"/>
        <v>THEM</v>
      </c>
      <c r="G2647" s="2" t="str">
        <f t="shared" si="83"/>
        <v>Ithaca|UNION</v>
      </c>
    </row>
    <row r="2648" spans="1:7" x14ac:dyDescent="0.2">
      <c r="A2648" s="2" t="str" cm="1">
        <f t="array" ref="A2648">INDEX('[1]Brand Family Territory (Enc)'!$A$2:$A$296,INT((ROW()-2)/10)+1)</f>
        <v>Ithaca</v>
      </c>
      <c r="B2648" s="2" t="str" cm="1">
        <f t="array" ref="B2648">INDEX('Whitelist (Blackout Reverse)'!$B$1:$K$1,MOD(ROW()-2,10)+1)</f>
        <v>SUSSEX</v>
      </c>
      <c r="C2648" s="2" t="str">
        <f>VLOOKUP(A2648,'[1]Brand Family Territory (Enc)'!$A$2:$B$296,2,FALSE)</f>
        <v>Bergen/Passaic/Hudson/Essex</v>
      </c>
      <c r="D2648" s="2">
        <f>IF(COUNTIFS('[1]Brand Family Territories (Enc)'!$B$2:$B$62,C2648,'[1]Brand Family Territories (Enc)'!$C$2:$C$62,B2648)&gt;0,1,IF(AND(LEFT(B2648,6)="MORRIS",COUNTIFS('[1]Brand Family Territories (Enc)'!$B$2:$B$62,C2648,'[1]Brand Family Territories (Enc)'!$C$2:$C$62,"Morri")&gt;0),"Unk",0))</f>
        <v>0</v>
      </c>
      <c r="E2648" s="2" t="str">
        <f>IFERROR(INDEX('Blackout Brand Fam Areas (Enc)'!$D$6:$D$998,MATCH(UPPER(A2648)&amp;"|"&amp;UPPER(B2648),'Blackout Brand Fam Areas (Enc)'!$G$6:$G$998,0)),"No Match")</f>
        <v>Inactive</v>
      </c>
      <c r="F2648" s="2" t="str">
        <f t="shared" si="82"/>
        <v>THEM</v>
      </c>
      <c r="G2648" s="2" t="str">
        <f t="shared" si="83"/>
        <v>Ithaca|SUSSEX</v>
      </c>
    </row>
    <row r="2649" spans="1:7" x14ac:dyDescent="0.2">
      <c r="A2649" s="2" t="str" cm="1">
        <f t="array" ref="A2649">INDEX('[1]Brand Family Territory (Enc)'!$A$2:$A$296,INT((ROW()-2)/10)+1)</f>
        <v>Ithaca</v>
      </c>
      <c r="B2649" s="2" t="str" cm="1">
        <f t="array" ref="B2649">INDEX('Whitelist (Blackout Reverse)'!$B$1:$K$1,MOD(ROW()-2,10)+1)</f>
        <v>MORRIS 1</v>
      </c>
      <c r="C2649" s="2" t="str">
        <f>VLOOKUP(A2649,'[1]Brand Family Territory (Enc)'!$A$2:$B$296,2,FALSE)</f>
        <v>Bergen/Passaic/Hudson/Essex</v>
      </c>
      <c r="D2649" s="2">
        <f>IF(COUNTIFS('[1]Brand Family Territories (Enc)'!$B$2:$B$62,C2649,'[1]Brand Family Territories (Enc)'!$C$2:$C$62,B2649)&gt;0,1,IF(AND(LEFT(B2649,6)="MORRIS",COUNTIFS('[1]Brand Family Territories (Enc)'!$B$2:$B$62,C2649,'[1]Brand Family Territories (Enc)'!$C$2:$C$62,"Morri")&gt;0),"Unk",0))</f>
        <v>0</v>
      </c>
      <c r="E2649" s="2" t="str">
        <f>IFERROR(INDEX('Blackout Brand Fam Areas (Enc)'!$D$6:$D$998,MATCH(UPPER(A2649)&amp;"|"&amp;UPPER(B2649),'Blackout Brand Fam Areas (Enc)'!$G$6:$G$998,0)),"No Match")</f>
        <v>Inactive</v>
      </c>
      <c r="F2649" s="2" t="str">
        <f t="shared" si="82"/>
        <v>THEM</v>
      </c>
      <c r="G2649" s="2" t="str">
        <f t="shared" si="83"/>
        <v>Ithaca|MORRIS 1</v>
      </c>
    </row>
    <row r="2650" spans="1:7" x14ac:dyDescent="0.2">
      <c r="A2650" s="2" t="str" cm="1">
        <f t="array" ref="A2650">INDEX('[1]Brand Family Territory (Enc)'!$A$2:$A$296,INT((ROW()-2)/10)+1)</f>
        <v>Ithaca</v>
      </c>
      <c r="B2650" s="2" t="str" cm="1">
        <f t="array" ref="B2650">INDEX('Whitelist (Blackout Reverse)'!$B$1:$K$1,MOD(ROW()-2,10)+1)</f>
        <v>MORRIS 2</v>
      </c>
      <c r="C2650" s="2" t="str">
        <f>VLOOKUP(A2650,'[1]Brand Family Territory (Enc)'!$A$2:$B$296,2,FALSE)</f>
        <v>Bergen/Passaic/Hudson/Essex</v>
      </c>
      <c r="D2650" s="2">
        <f>IF(COUNTIFS('[1]Brand Family Territories (Enc)'!$B$2:$B$62,C2650,'[1]Brand Family Territories (Enc)'!$C$2:$C$62,B2650)&gt;0,1,IF(AND(LEFT(B2650,6)="MORRIS",COUNTIFS('[1]Brand Family Territories (Enc)'!$B$2:$B$62,C2650,'[1]Brand Family Territories (Enc)'!$C$2:$C$62,"Morri")&gt;0),"Unk",0))</f>
        <v>0</v>
      </c>
      <c r="E2650" s="2" t="str">
        <f>IFERROR(INDEX('Blackout Brand Fam Areas (Enc)'!$D$6:$D$998,MATCH(UPPER(A2650)&amp;"|"&amp;UPPER(B2650),'Blackout Brand Fam Areas (Enc)'!$G$6:$G$998,0)),"No Match")</f>
        <v>Inactive</v>
      </c>
      <c r="F2650" s="2" t="str">
        <f t="shared" si="82"/>
        <v>THEM</v>
      </c>
      <c r="G2650" s="2" t="str">
        <f t="shared" si="83"/>
        <v>Ithaca|MORRIS 2</v>
      </c>
    </row>
    <row r="2651" spans="1:7" x14ac:dyDescent="0.2">
      <c r="A2651" s="2" t="str" cm="1">
        <f t="array" ref="A2651">INDEX('[1]Brand Family Territory (Enc)'!$A$2:$A$296,INT((ROW()-2)/10)+1)</f>
        <v>Ithaca</v>
      </c>
      <c r="B2651" s="2" t="str" cm="1">
        <f t="array" ref="B2651">INDEX('Whitelist (Blackout Reverse)'!$B$1:$K$1,MOD(ROW()-2,10)+1)</f>
        <v>MORRIS 3</v>
      </c>
      <c r="C2651" s="2" t="str">
        <f>VLOOKUP(A2651,'[1]Brand Family Territory (Enc)'!$A$2:$B$296,2,FALSE)</f>
        <v>Bergen/Passaic/Hudson/Essex</v>
      </c>
      <c r="D2651" s="2">
        <f>IF(COUNTIFS('[1]Brand Family Territories (Enc)'!$B$2:$B$62,C2651,'[1]Brand Family Territories (Enc)'!$C$2:$C$62,B2651)&gt;0,1,IF(AND(LEFT(B2651,6)="MORRIS",COUNTIFS('[1]Brand Family Territories (Enc)'!$B$2:$B$62,C2651,'[1]Brand Family Territories (Enc)'!$C$2:$C$62,"Morri")&gt;0),"Unk",0))</f>
        <v>0</v>
      </c>
      <c r="E2651" s="2" t="str">
        <f>IFERROR(INDEX('Blackout Brand Fam Areas (Enc)'!$D$6:$D$998,MATCH(UPPER(A2651)&amp;"|"&amp;UPPER(B2651),'Blackout Brand Fam Areas (Enc)'!$G$6:$G$998,0)),"No Match")</f>
        <v>Inactive</v>
      </c>
      <c r="F2651" s="2" t="str">
        <f t="shared" si="82"/>
        <v>THEM</v>
      </c>
      <c r="G2651" s="2" t="str">
        <f t="shared" si="83"/>
        <v>Ithaca|MORRIS 3</v>
      </c>
    </row>
    <row r="2652" spans="1:7" x14ac:dyDescent="0.2">
      <c r="A2652" s="2" t="str" cm="1">
        <f t="array" ref="A2652">INDEX('[1]Brand Family Territory (Enc)'!$A$2:$A$296,INT((ROW()-2)/10)+1)</f>
        <v>Mckenzie's</v>
      </c>
      <c r="B2652" s="2" t="str" cm="1">
        <f t="array" ref="B2652">INDEX('Whitelist (Blackout Reverse)'!$B$1:$K$1,MOD(ROW()-2,10)+1)</f>
        <v>BERGEN</v>
      </c>
      <c r="C2652" s="2" t="str">
        <f>VLOOKUP(A2652,'[1]Brand Family Territory (Enc)'!$A$2:$B$296,2,FALSE)</f>
        <v>All Counties</v>
      </c>
      <c r="D2652" s="2">
        <f>IF(COUNTIFS('[1]Brand Family Territories (Enc)'!$B$2:$B$62,C2652,'[1]Brand Family Territories (Enc)'!$C$2:$C$62,B2652)&gt;0,1,IF(AND(LEFT(B2652,6)="MORRIS",COUNTIFS('[1]Brand Family Territories (Enc)'!$B$2:$B$62,C2652,'[1]Brand Family Territories (Enc)'!$C$2:$C$62,"Morri")&gt;0),"Unk",0))</f>
        <v>1</v>
      </c>
      <c r="E2652" s="2" t="str">
        <f>IFERROR(INDEX('Blackout Brand Fam Areas (Enc)'!$D$6:$D$998,MATCH(UPPER(A2652)&amp;"|"&amp;UPPER(B2652),'Blackout Brand Fam Areas (Enc)'!$G$6:$G$998,0)),"No Match")</f>
        <v>No Match</v>
      </c>
      <c r="F2652" s="2" t="str">
        <f t="shared" si="82"/>
        <v>US</v>
      </c>
      <c r="G2652" s="2" t="str">
        <f t="shared" si="83"/>
        <v>Mckenzie's|BERGEN</v>
      </c>
    </row>
    <row r="2653" spans="1:7" x14ac:dyDescent="0.2">
      <c r="A2653" s="2" t="str" cm="1">
        <f t="array" ref="A2653">INDEX('[1]Brand Family Territory (Enc)'!$A$2:$A$296,INT((ROW()-2)/10)+1)</f>
        <v>Mckenzie's</v>
      </c>
      <c r="B2653" s="2" t="str" cm="1">
        <f t="array" ref="B2653">INDEX('Whitelist (Blackout Reverse)'!$B$1:$K$1,MOD(ROW()-2,10)+1)</f>
        <v>PASSAIC</v>
      </c>
      <c r="C2653" s="2" t="str">
        <f>VLOOKUP(A2653,'[1]Brand Family Territory (Enc)'!$A$2:$B$296,2,FALSE)</f>
        <v>All Counties</v>
      </c>
      <c r="D2653" s="2">
        <f>IF(COUNTIFS('[1]Brand Family Territories (Enc)'!$B$2:$B$62,C2653,'[1]Brand Family Territories (Enc)'!$C$2:$C$62,B2653)&gt;0,1,IF(AND(LEFT(B2653,6)="MORRIS",COUNTIFS('[1]Brand Family Territories (Enc)'!$B$2:$B$62,C2653,'[1]Brand Family Territories (Enc)'!$C$2:$C$62,"Morri")&gt;0),"Unk",0))</f>
        <v>1</v>
      </c>
      <c r="E2653" s="2" t="str">
        <f>IFERROR(INDEX('Blackout Brand Fam Areas (Enc)'!$D$6:$D$998,MATCH(UPPER(A2653)&amp;"|"&amp;UPPER(B2653),'Blackout Brand Fam Areas (Enc)'!$G$6:$G$998,0)),"No Match")</f>
        <v>No Match</v>
      </c>
      <c r="F2653" s="2" t="str">
        <f t="shared" si="82"/>
        <v>US</v>
      </c>
      <c r="G2653" s="2" t="str">
        <f t="shared" si="83"/>
        <v>Mckenzie's|PASSAIC</v>
      </c>
    </row>
    <row r="2654" spans="1:7" x14ac:dyDescent="0.2">
      <c r="A2654" s="2" t="str" cm="1">
        <f t="array" ref="A2654">INDEX('[1]Brand Family Territory (Enc)'!$A$2:$A$296,INT((ROW()-2)/10)+1)</f>
        <v>Mckenzie's</v>
      </c>
      <c r="B2654" s="2" t="str" cm="1">
        <f t="array" ref="B2654">INDEX('Whitelist (Blackout Reverse)'!$B$1:$K$1,MOD(ROW()-2,10)+1)</f>
        <v>PASSAIC-FF</v>
      </c>
      <c r="C2654" s="2" t="str">
        <f>VLOOKUP(A2654,'[1]Brand Family Territory (Enc)'!$A$2:$B$296,2,FALSE)</f>
        <v>All Counties</v>
      </c>
      <c r="D2654" s="2">
        <f>IF(COUNTIFS('[1]Brand Family Territories (Enc)'!$B$2:$B$62,C2654,'[1]Brand Family Territories (Enc)'!$C$2:$C$62,B2654)&gt;0,1,IF(AND(LEFT(B2654,6)="MORRIS",COUNTIFS('[1]Brand Family Territories (Enc)'!$B$2:$B$62,C2654,'[1]Brand Family Territories (Enc)'!$C$2:$C$62,"Morri")&gt;0),"Unk",0))</f>
        <v>1</v>
      </c>
      <c r="E2654" s="2" t="str">
        <f>IFERROR(INDEX('Blackout Brand Fam Areas (Enc)'!$D$6:$D$998,MATCH(UPPER(A2654)&amp;"|"&amp;UPPER(B2654),'Blackout Brand Fam Areas (Enc)'!$G$6:$G$998,0)),"No Match")</f>
        <v>No Match</v>
      </c>
      <c r="F2654" s="2" t="str">
        <f t="shared" si="82"/>
        <v>US</v>
      </c>
      <c r="G2654" s="2" t="str">
        <f t="shared" si="83"/>
        <v>Mckenzie's|PASSAIC-FF</v>
      </c>
    </row>
    <row r="2655" spans="1:7" x14ac:dyDescent="0.2">
      <c r="A2655" s="2" t="str" cm="1">
        <f t="array" ref="A2655">INDEX('[1]Brand Family Territory (Enc)'!$A$2:$A$296,INT((ROW()-2)/10)+1)</f>
        <v>Mckenzie's</v>
      </c>
      <c r="B2655" s="2" t="str" cm="1">
        <f t="array" ref="B2655">INDEX('Whitelist (Blackout Reverse)'!$B$1:$K$1,MOD(ROW()-2,10)+1)</f>
        <v>ESSEX</v>
      </c>
      <c r="C2655" s="2" t="str">
        <f>VLOOKUP(A2655,'[1]Brand Family Territory (Enc)'!$A$2:$B$296,2,FALSE)</f>
        <v>All Counties</v>
      </c>
      <c r="D2655" s="2">
        <f>IF(COUNTIFS('[1]Brand Family Territories (Enc)'!$B$2:$B$62,C2655,'[1]Brand Family Territories (Enc)'!$C$2:$C$62,B2655)&gt;0,1,IF(AND(LEFT(B2655,6)="MORRIS",COUNTIFS('[1]Brand Family Territories (Enc)'!$B$2:$B$62,C2655,'[1]Brand Family Territories (Enc)'!$C$2:$C$62,"Morri")&gt;0),"Unk",0))</f>
        <v>1</v>
      </c>
      <c r="E2655" s="2" t="str">
        <f>IFERROR(INDEX('Blackout Brand Fam Areas (Enc)'!$D$6:$D$998,MATCH(UPPER(A2655)&amp;"|"&amp;UPPER(B2655),'Blackout Brand Fam Areas (Enc)'!$G$6:$G$998,0)),"No Match")</f>
        <v>No Match</v>
      </c>
      <c r="F2655" s="2" t="str">
        <f t="shared" si="82"/>
        <v>US</v>
      </c>
      <c r="G2655" s="2" t="str">
        <f t="shared" si="83"/>
        <v>Mckenzie's|ESSEX</v>
      </c>
    </row>
    <row r="2656" spans="1:7" x14ac:dyDescent="0.2">
      <c r="A2656" s="2" t="str" cm="1">
        <f t="array" ref="A2656">INDEX('[1]Brand Family Territory (Enc)'!$A$2:$A$296,INT((ROW()-2)/10)+1)</f>
        <v>Mckenzie's</v>
      </c>
      <c r="B2656" s="2" t="str" cm="1">
        <f t="array" ref="B2656">INDEX('Whitelist (Blackout Reverse)'!$B$1:$K$1,MOD(ROW()-2,10)+1)</f>
        <v>HUDSON</v>
      </c>
      <c r="C2656" s="2" t="str">
        <f>VLOOKUP(A2656,'[1]Brand Family Territory (Enc)'!$A$2:$B$296,2,FALSE)</f>
        <v>All Counties</v>
      </c>
      <c r="D2656" s="2">
        <f>IF(COUNTIFS('[1]Brand Family Territories (Enc)'!$B$2:$B$62,C2656,'[1]Brand Family Territories (Enc)'!$C$2:$C$62,B2656)&gt;0,1,IF(AND(LEFT(B2656,6)="MORRIS",COUNTIFS('[1]Brand Family Territories (Enc)'!$B$2:$B$62,C2656,'[1]Brand Family Territories (Enc)'!$C$2:$C$62,"Morri")&gt;0),"Unk",0))</f>
        <v>1</v>
      </c>
      <c r="E2656" s="2" t="str">
        <f>IFERROR(INDEX('Blackout Brand Fam Areas (Enc)'!$D$6:$D$998,MATCH(UPPER(A2656)&amp;"|"&amp;UPPER(B2656),'Blackout Brand Fam Areas (Enc)'!$G$6:$G$998,0)),"No Match")</f>
        <v>No Match</v>
      </c>
      <c r="F2656" s="2" t="str">
        <f t="shared" si="82"/>
        <v>US</v>
      </c>
      <c r="G2656" s="2" t="str">
        <f t="shared" si="83"/>
        <v>Mckenzie's|HUDSON</v>
      </c>
    </row>
    <row r="2657" spans="1:7" x14ac:dyDescent="0.2">
      <c r="A2657" s="2" t="str" cm="1">
        <f t="array" ref="A2657">INDEX('[1]Brand Family Territory (Enc)'!$A$2:$A$296,INT((ROW()-2)/10)+1)</f>
        <v>Mckenzie's</v>
      </c>
      <c r="B2657" s="2" t="str" cm="1">
        <f t="array" ref="B2657">INDEX('Whitelist (Blackout Reverse)'!$B$1:$K$1,MOD(ROW()-2,10)+1)</f>
        <v>UNION</v>
      </c>
      <c r="C2657" s="2" t="str">
        <f>VLOOKUP(A2657,'[1]Brand Family Territory (Enc)'!$A$2:$B$296,2,FALSE)</f>
        <v>All Counties</v>
      </c>
      <c r="D2657" s="2">
        <f>IF(COUNTIFS('[1]Brand Family Territories (Enc)'!$B$2:$B$62,C2657,'[1]Brand Family Territories (Enc)'!$C$2:$C$62,B2657)&gt;0,1,IF(AND(LEFT(B2657,6)="MORRIS",COUNTIFS('[1]Brand Family Territories (Enc)'!$B$2:$B$62,C2657,'[1]Brand Family Territories (Enc)'!$C$2:$C$62,"Morri")&gt;0),"Unk",0))</f>
        <v>1</v>
      </c>
      <c r="E2657" s="2" t="str">
        <f>IFERROR(INDEX('Blackout Brand Fam Areas (Enc)'!$D$6:$D$998,MATCH(UPPER(A2657)&amp;"|"&amp;UPPER(B2657),'Blackout Brand Fam Areas (Enc)'!$G$6:$G$998,0)),"No Match")</f>
        <v>Inactive</v>
      </c>
      <c r="F2657" s="2" t="str">
        <f t="shared" si="82"/>
        <v>THEM</v>
      </c>
      <c r="G2657" s="2" t="str">
        <f t="shared" si="83"/>
        <v>Mckenzie's|UNION</v>
      </c>
    </row>
    <row r="2658" spans="1:7" x14ac:dyDescent="0.2">
      <c r="A2658" s="2" t="str" cm="1">
        <f t="array" ref="A2658">INDEX('[1]Brand Family Territory (Enc)'!$A$2:$A$296,INT((ROW()-2)/10)+1)</f>
        <v>Mckenzie's</v>
      </c>
      <c r="B2658" s="2" t="str" cm="1">
        <f t="array" ref="B2658">INDEX('Whitelist (Blackout Reverse)'!$B$1:$K$1,MOD(ROW()-2,10)+1)</f>
        <v>SUSSEX</v>
      </c>
      <c r="C2658" s="2" t="str">
        <f>VLOOKUP(A2658,'[1]Brand Family Territory (Enc)'!$A$2:$B$296,2,FALSE)</f>
        <v>All Counties</v>
      </c>
      <c r="D2658" s="2">
        <f>IF(COUNTIFS('[1]Brand Family Territories (Enc)'!$B$2:$B$62,C2658,'[1]Brand Family Territories (Enc)'!$C$2:$C$62,B2658)&gt;0,1,IF(AND(LEFT(B2658,6)="MORRIS",COUNTIFS('[1]Brand Family Territories (Enc)'!$B$2:$B$62,C2658,'[1]Brand Family Territories (Enc)'!$C$2:$C$62,"Morri")&gt;0),"Unk",0))</f>
        <v>1</v>
      </c>
      <c r="E2658" s="2" t="str">
        <f>IFERROR(INDEX('Blackout Brand Fam Areas (Enc)'!$D$6:$D$998,MATCH(UPPER(A2658)&amp;"|"&amp;UPPER(B2658),'Blackout Brand Fam Areas (Enc)'!$G$6:$G$998,0)),"No Match")</f>
        <v>Inactive</v>
      </c>
      <c r="F2658" s="2" t="str">
        <f t="shared" si="82"/>
        <v>THEM</v>
      </c>
      <c r="G2658" s="2" t="str">
        <f t="shared" si="83"/>
        <v>Mckenzie's|SUSSEX</v>
      </c>
    </row>
    <row r="2659" spans="1:7" x14ac:dyDescent="0.2">
      <c r="A2659" s="2" t="str" cm="1">
        <f t="array" ref="A2659">INDEX('[1]Brand Family Territory (Enc)'!$A$2:$A$296,INT((ROW()-2)/10)+1)</f>
        <v>Mckenzie's</v>
      </c>
      <c r="B2659" s="2" t="str" cm="1">
        <f t="array" ref="B2659">INDEX('Whitelist (Blackout Reverse)'!$B$1:$K$1,MOD(ROW()-2,10)+1)</f>
        <v>MORRIS 1</v>
      </c>
      <c r="C2659" s="2" t="str">
        <f>VLOOKUP(A2659,'[1]Brand Family Territory (Enc)'!$A$2:$B$296,2,FALSE)</f>
        <v>All Counties</v>
      </c>
      <c r="D2659" s="2">
        <f>IF(COUNTIFS('[1]Brand Family Territories (Enc)'!$B$2:$B$62,C2659,'[1]Brand Family Territories (Enc)'!$C$2:$C$62,B2659)&gt;0,1,IF(AND(LEFT(B2659,6)="MORRIS",COUNTIFS('[1]Brand Family Territories (Enc)'!$B$2:$B$62,C2659,'[1]Brand Family Territories (Enc)'!$C$2:$C$62,"Morri")&gt;0),"Unk",0))</f>
        <v>1</v>
      </c>
      <c r="E2659" s="2" t="str">
        <f>IFERROR(INDEX('Blackout Brand Fam Areas (Enc)'!$D$6:$D$998,MATCH(UPPER(A2659)&amp;"|"&amp;UPPER(B2659),'Blackout Brand Fam Areas (Enc)'!$G$6:$G$998,0)),"No Match")</f>
        <v>Inactive</v>
      </c>
      <c r="F2659" s="2" t="str">
        <f t="shared" si="82"/>
        <v>THEM</v>
      </c>
      <c r="G2659" s="2" t="str">
        <f t="shared" si="83"/>
        <v>Mckenzie's|MORRIS 1</v>
      </c>
    </row>
    <row r="2660" spans="1:7" x14ac:dyDescent="0.2">
      <c r="A2660" s="2" t="str" cm="1">
        <f t="array" ref="A2660">INDEX('[1]Brand Family Territory (Enc)'!$A$2:$A$296,INT((ROW()-2)/10)+1)</f>
        <v>Mckenzie's</v>
      </c>
      <c r="B2660" s="2" t="str" cm="1">
        <f t="array" ref="B2660">INDEX('Whitelist (Blackout Reverse)'!$B$1:$K$1,MOD(ROW()-2,10)+1)</f>
        <v>MORRIS 2</v>
      </c>
      <c r="C2660" s="2" t="str">
        <f>VLOOKUP(A2660,'[1]Brand Family Territory (Enc)'!$A$2:$B$296,2,FALSE)</f>
        <v>All Counties</v>
      </c>
      <c r="D2660" s="2">
        <f>IF(COUNTIFS('[1]Brand Family Territories (Enc)'!$B$2:$B$62,C2660,'[1]Brand Family Territories (Enc)'!$C$2:$C$62,B2660)&gt;0,1,IF(AND(LEFT(B2660,6)="MORRIS",COUNTIFS('[1]Brand Family Territories (Enc)'!$B$2:$B$62,C2660,'[1]Brand Family Territories (Enc)'!$C$2:$C$62,"Morri")&gt;0),"Unk",0))</f>
        <v>1</v>
      </c>
      <c r="E2660" s="2" t="str">
        <f>IFERROR(INDEX('Blackout Brand Fam Areas (Enc)'!$D$6:$D$998,MATCH(UPPER(A2660)&amp;"|"&amp;UPPER(B2660),'Blackout Brand Fam Areas (Enc)'!$G$6:$G$998,0)),"No Match")</f>
        <v>Inactive</v>
      </c>
      <c r="F2660" s="2" t="str">
        <f t="shared" si="82"/>
        <v>THEM</v>
      </c>
      <c r="G2660" s="2" t="str">
        <f t="shared" si="83"/>
        <v>Mckenzie's|MORRIS 2</v>
      </c>
    </row>
    <row r="2661" spans="1:7" x14ac:dyDescent="0.2">
      <c r="A2661" s="2" t="str" cm="1">
        <f t="array" ref="A2661">INDEX('[1]Brand Family Territory (Enc)'!$A$2:$A$296,INT((ROW()-2)/10)+1)</f>
        <v>Mckenzie's</v>
      </c>
      <c r="B2661" s="2" t="str" cm="1">
        <f t="array" ref="B2661">INDEX('Whitelist (Blackout Reverse)'!$B$1:$K$1,MOD(ROW()-2,10)+1)</f>
        <v>MORRIS 3</v>
      </c>
      <c r="C2661" s="2" t="str">
        <f>VLOOKUP(A2661,'[1]Brand Family Territory (Enc)'!$A$2:$B$296,2,FALSE)</f>
        <v>All Counties</v>
      </c>
      <c r="D2661" s="2">
        <f>IF(COUNTIFS('[1]Brand Family Territories (Enc)'!$B$2:$B$62,C2661,'[1]Brand Family Territories (Enc)'!$C$2:$C$62,B2661)&gt;0,1,IF(AND(LEFT(B2661,6)="MORRIS",COUNTIFS('[1]Brand Family Territories (Enc)'!$B$2:$B$62,C2661,'[1]Brand Family Territories (Enc)'!$C$2:$C$62,"Morri")&gt;0),"Unk",0))</f>
        <v>1</v>
      </c>
      <c r="E2661" s="2" t="str">
        <f>IFERROR(INDEX('Blackout Brand Fam Areas (Enc)'!$D$6:$D$998,MATCH(UPPER(A2661)&amp;"|"&amp;UPPER(B2661),'Blackout Brand Fam Areas (Enc)'!$G$6:$G$998,0)),"No Match")</f>
        <v>Inactive</v>
      </c>
      <c r="F2661" s="2" t="str">
        <f t="shared" si="82"/>
        <v>THEM</v>
      </c>
      <c r="G2661" s="2" t="str">
        <f t="shared" si="83"/>
        <v>Mckenzie's|MORRIS 3</v>
      </c>
    </row>
    <row r="2662" spans="1:7" x14ac:dyDescent="0.2">
      <c r="A2662" s="2" t="str" cm="1">
        <f t="array" ref="A2662">INDEX('[1]Brand Family Territory (Enc)'!$A$2:$A$296,INT((ROW()-2)/10)+1)</f>
        <v>Paulaner</v>
      </c>
      <c r="B2662" s="2" t="str" cm="1">
        <f t="array" ref="B2662">INDEX('Whitelist (Blackout Reverse)'!$B$1:$K$1,MOD(ROW()-2,10)+1)</f>
        <v>BERGEN</v>
      </c>
      <c r="C2662" s="2" t="str">
        <f>VLOOKUP(A2662,'[1]Brand Family Territory (Enc)'!$A$2:$B$296,2,FALSE)</f>
        <v>Bergen/Passaic/Hudson/Essex</v>
      </c>
      <c r="D2662" s="2">
        <f>IF(COUNTIFS('[1]Brand Family Territories (Enc)'!$B$2:$B$62,C2662,'[1]Brand Family Territories (Enc)'!$C$2:$C$62,B2662)&gt;0,1,IF(AND(LEFT(B2662,6)="MORRIS",COUNTIFS('[1]Brand Family Territories (Enc)'!$B$2:$B$62,C2662,'[1]Brand Family Territories (Enc)'!$C$2:$C$62,"Morri")&gt;0),"Unk",0))</f>
        <v>1</v>
      </c>
      <c r="E2662" s="2" t="str">
        <f>IFERROR(INDEX('Blackout Brand Fam Areas (Enc)'!$D$6:$D$998,MATCH(UPPER(A2662)&amp;"|"&amp;UPPER(B2662),'Blackout Brand Fam Areas (Enc)'!$G$6:$G$998,0)),"No Match")</f>
        <v>No Match</v>
      </c>
      <c r="F2662" s="2" t="str">
        <f t="shared" si="82"/>
        <v>US</v>
      </c>
      <c r="G2662" s="2" t="str">
        <f t="shared" si="83"/>
        <v>Paulaner|BERGEN</v>
      </c>
    </row>
    <row r="2663" spans="1:7" x14ac:dyDescent="0.2">
      <c r="A2663" s="2" t="str" cm="1">
        <f t="array" ref="A2663">INDEX('[1]Brand Family Territory (Enc)'!$A$2:$A$296,INT((ROW()-2)/10)+1)</f>
        <v>Paulaner</v>
      </c>
      <c r="B2663" s="2" t="str" cm="1">
        <f t="array" ref="B2663">INDEX('Whitelist (Blackout Reverse)'!$B$1:$K$1,MOD(ROW()-2,10)+1)</f>
        <v>PASSAIC</v>
      </c>
      <c r="C2663" s="2" t="str">
        <f>VLOOKUP(A2663,'[1]Brand Family Territory (Enc)'!$A$2:$B$296,2,FALSE)</f>
        <v>Bergen/Passaic/Hudson/Essex</v>
      </c>
      <c r="D2663" s="2">
        <f>IF(COUNTIFS('[1]Brand Family Territories (Enc)'!$B$2:$B$62,C2663,'[1]Brand Family Territories (Enc)'!$C$2:$C$62,B2663)&gt;0,1,IF(AND(LEFT(B2663,6)="MORRIS",COUNTIFS('[1]Brand Family Territories (Enc)'!$B$2:$B$62,C2663,'[1]Brand Family Territories (Enc)'!$C$2:$C$62,"Morri")&gt;0),"Unk",0))</f>
        <v>1</v>
      </c>
      <c r="E2663" s="2" t="str">
        <f>IFERROR(INDEX('Blackout Brand Fam Areas (Enc)'!$D$6:$D$998,MATCH(UPPER(A2663)&amp;"|"&amp;UPPER(B2663),'Blackout Brand Fam Areas (Enc)'!$G$6:$G$998,0)),"No Match")</f>
        <v>No Match</v>
      </c>
      <c r="F2663" s="2" t="str">
        <f t="shared" si="82"/>
        <v>US</v>
      </c>
      <c r="G2663" s="2" t="str">
        <f t="shared" si="83"/>
        <v>Paulaner|PASSAIC</v>
      </c>
    </row>
    <row r="2664" spans="1:7" x14ac:dyDescent="0.2">
      <c r="A2664" s="2" t="str" cm="1">
        <f t="array" ref="A2664">INDEX('[1]Brand Family Territory (Enc)'!$A$2:$A$296,INT((ROW()-2)/10)+1)</f>
        <v>Paulaner</v>
      </c>
      <c r="B2664" s="2" t="str" cm="1">
        <f t="array" ref="B2664">INDEX('Whitelist (Blackout Reverse)'!$B$1:$K$1,MOD(ROW()-2,10)+1)</f>
        <v>PASSAIC-FF</v>
      </c>
      <c r="C2664" s="2" t="str">
        <f>VLOOKUP(A2664,'[1]Brand Family Territory (Enc)'!$A$2:$B$296,2,FALSE)</f>
        <v>Bergen/Passaic/Hudson/Essex</v>
      </c>
      <c r="D2664" s="2">
        <f>IF(COUNTIFS('[1]Brand Family Territories (Enc)'!$B$2:$B$62,C2664,'[1]Brand Family Territories (Enc)'!$C$2:$C$62,B2664)&gt;0,1,IF(AND(LEFT(B2664,6)="MORRIS",COUNTIFS('[1]Brand Family Territories (Enc)'!$B$2:$B$62,C2664,'[1]Brand Family Territories (Enc)'!$C$2:$C$62,"Morri")&gt;0),"Unk",0))</f>
        <v>1</v>
      </c>
      <c r="E2664" s="2" t="str">
        <f>IFERROR(INDEX('Blackout Brand Fam Areas (Enc)'!$D$6:$D$998,MATCH(UPPER(A2664)&amp;"|"&amp;UPPER(B2664),'Blackout Brand Fam Areas (Enc)'!$G$6:$G$998,0)),"No Match")</f>
        <v>No Match</v>
      </c>
      <c r="F2664" s="2" t="str">
        <f t="shared" si="82"/>
        <v>US</v>
      </c>
      <c r="G2664" s="2" t="str">
        <f t="shared" si="83"/>
        <v>Paulaner|PASSAIC-FF</v>
      </c>
    </row>
    <row r="2665" spans="1:7" x14ac:dyDescent="0.2">
      <c r="A2665" s="2" t="str" cm="1">
        <f t="array" ref="A2665">INDEX('[1]Brand Family Territory (Enc)'!$A$2:$A$296,INT((ROW()-2)/10)+1)</f>
        <v>Paulaner</v>
      </c>
      <c r="B2665" s="2" t="str" cm="1">
        <f t="array" ref="B2665">INDEX('Whitelist (Blackout Reverse)'!$B$1:$K$1,MOD(ROW()-2,10)+1)</f>
        <v>ESSEX</v>
      </c>
      <c r="C2665" s="2" t="str">
        <f>VLOOKUP(A2665,'[1]Brand Family Territory (Enc)'!$A$2:$B$296,2,FALSE)</f>
        <v>Bergen/Passaic/Hudson/Essex</v>
      </c>
      <c r="D2665" s="2">
        <f>IF(COUNTIFS('[1]Brand Family Territories (Enc)'!$B$2:$B$62,C2665,'[1]Brand Family Territories (Enc)'!$C$2:$C$62,B2665)&gt;0,1,IF(AND(LEFT(B2665,6)="MORRIS",COUNTIFS('[1]Brand Family Territories (Enc)'!$B$2:$B$62,C2665,'[1]Brand Family Territories (Enc)'!$C$2:$C$62,"Morri")&gt;0),"Unk",0))</f>
        <v>1</v>
      </c>
      <c r="E2665" s="2" t="str">
        <f>IFERROR(INDEX('Blackout Brand Fam Areas (Enc)'!$D$6:$D$998,MATCH(UPPER(A2665)&amp;"|"&amp;UPPER(B2665),'Blackout Brand Fam Areas (Enc)'!$G$6:$G$998,0)),"No Match")</f>
        <v>No Match</v>
      </c>
      <c r="F2665" s="2" t="str">
        <f t="shared" si="82"/>
        <v>US</v>
      </c>
      <c r="G2665" s="2" t="str">
        <f t="shared" si="83"/>
        <v>Paulaner|ESSEX</v>
      </c>
    </row>
    <row r="2666" spans="1:7" x14ac:dyDescent="0.2">
      <c r="A2666" s="2" t="str" cm="1">
        <f t="array" ref="A2666">INDEX('[1]Brand Family Territory (Enc)'!$A$2:$A$296,INT((ROW()-2)/10)+1)</f>
        <v>Paulaner</v>
      </c>
      <c r="B2666" s="2" t="str" cm="1">
        <f t="array" ref="B2666">INDEX('Whitelist (Blackout Reverse)'!$B$1:$K$1,MOD(ROW()-2,10)+1)</f>
        <v>HUDSON</v>
      </c>
      <c r="C2666" s="2" t="str">
        <f>VLOOKUP(A2666,'[1]Brand Family Territory (Enc)'!$A$2:$B$296,2,FALSE)</f>
        <v>Bergen/Passaic/Hudson/Essex</v>
      </c>
      <c r="D2666" s="2">
        <f>IF(COUNTIFS('[1]Brand Family Territories (Enc)'!$B$2:$B$62,C2666,'[1]Brand Family Territories (Enc)'!$C$2:$C$62,B2666)&gt;0,1,IF(AND(LEFT(B2666,6)="MORRIS",COUNTIFS('[1]Brand Family Territories (Enc)'!$B$2:$B$62,C2666,'[1]Brand Family Territories (Enc)'!$C$2:$C$62,"Morri")&gt;0),"Unk",0))</f>
        <v>1</v>
      </c>
      <c r="E2666" s="2" t="str">
        <f>IFERROR(INDEX('Blackout Brand Fam Areas (Enc)'!$D$6:$D$998,MATCH(UPPER(A2666)&amp;"|"&amp;UPPER(B2666),'Blackout Brand Fam Areas (Enc)'!$G$6:$G$998,0)),"No Match")</f>
        <v>No Match</v>
      </c>
      <c r="F2666" s="2" t="str">
        <f t="shared" si="82"/>
        <v>US</v>
      </c>
      <c r="G2666" s="2" t="str">
        <f t="shared" si="83"/>
        <v>Paulaner|HUDSON</v>
      </c>
    </row>
    <row r="2667" spans="1:7" x14ac:dyDescent="0.2">
      <c r="A2667" s="2" t="str" cm="1">
        <f t="array" ref="A2667">INDEX('[1]Brand Family Territory (Enc)'!$A$2:$A$296,INT((ROW()-2)/10)+1)</f>
        <v>Paulaner</v>
      </c>
      <c r="B2667" s="2" t="str" cm="1">
        <f t="array" ref="B2667">INDEX('Whitelist (Blackout Reverse)'!$B$1:$K$1,MOD(ROW()-2,10)+1)</f>
        <v>UNION</v>
      </c>
      <c r="C2667" s="2" t="str">
        <f>VLOOKUP(A2667,'[1]Brand Family Territory (Enc)'!$A$2:$B$296,2,FALSE)</f>
        <v>Bergen/Passaic/Hudson/Essex</v>
      </c>
      <c r="D2667" s="2">
        <f>IF(COUNTIFS('[1]Brand Family Territories (Enc)'!$B$2:$B$62,C2667,'[1]Brand Family Territories (Enc)'!$C$2:$C$62,B2667)&gt;0,1,IF(AND(LEFT(B2667,6)="MORRIS",COUNTIFS('[1]Brand Family Territories (Enc)'!$B$2:$B$62,C2667,'[1]Brand Family Territories (Enc)'!$C$2:$C$62,"Morri")&gt;0),"Unk",0))</f>
        <v>0</v>
      </c>
      <c r="E2667" s="2" t="str">
        <f>IFERROR(INDEX('Blackout Brand Fam Areas (Enc)'!$D$6:$D$998,MATCH(UPPER(A2667)&amp;"|"&amp;UPPER(B2667),'Blackout Brand Fam Areas (Enc)'!$G$6:$G$998,0)),"No Match")</f>
        <v>Inactive</v>
      </c>
      <c r="F2667" s="2" t="str">
        <f t="shared" si="82"/>
        <v>THEM</v>
      </c>
      <c r="G2667" s="2" t="str">
        <f t="shared" si="83"/>
        <v>Paulaner|UNION</v>
      </c>
    </row>
    <row r="2668" spans="1:7" x14ac:dyDescent="0.2">
      <c r="A2668" s="2" t="str" cm="1">
        <f t="array" ref="A2668">INDEX('[1]Brand Family Territory (Enc)'!$A$2:$A$296,INT((ROW()-2)/10)+1)</f>
        <v>Paulaner</v>
      </c>
      <c r="B2668" s="2" t="str" cm="1">
        <f t="array" ref="B2668">INDEX('Whitelist (Blackout Reverse)'!$B$1:$K$1,MOD(ROW()-2,10)+1)</f>
        <v>SUSSEX</v>
      </c>
      <c r="C2668" s="2" t="str">
        <f>VLOOKUP(A2668,'[1]Brand Family Territory (Enc)'!$A$2:$B$296,2,FALSE)</f>
        <v>Bergen/Passaic/Hudson/Essex</v>
      </c>
      <c r="D2668" s="2">
        <f>IF(COUNTIFS('[1]Brand Family Territories (Enc)'!$B$2:$B$62,C2668,'[1]Brand Family Territories (Enc)'!$C$2:$C$62,B2668)&gt;0,1,IF(AND(LEFT(B2668,6)="MORRIS",COUNTIFS('[1]Brand Family Territories (Enc)'!$B$2:$B$62,C2668,'[1]Brand Family Territories (Enc)'!$C$2:$C$62,"Morri")&gt;0),"Unk",0))</f>
        <v>0</v>
      </c>
      <c r="E2668" s="2" t="str">
        <f>IFERROR(INDEX('Blackout Brand Fam Areas (Enc)'!$D$6:$D$998,MATCH(UPPER(A2668)&amp;"|"&amp;UPPER(B2668),'Blackout Brand Fam Areas (Enc)'!$G$6:$G$998,0)),"No Match")</f>
        <v>Inactive</v>
      </c>
      <c r="F2668" s="2" t="str">
        <f t="shared" si="82"/>
        <v>THEM</v>
      </c>
      <c r="G2668" s="2" t="str">
        <f t="shared" si="83"/>
        <v>Paulaner|SUSSEX</v>
      </c>
    </row>
    <row r="2669" spans="1:7" x14ac:dyDescent="0.2">
      <c r="A2669" s="2" t="str" cm="1">
        <f t="array" ref="A2669">INDEX('[1]Brand Family Territory (Enc)'!$A$2:$A$296,INT((ROW()-2)/10)+1)</f>
        <v>Paulaner</v>
      </c>
      <c r="B2669" s="2" t="str" cm="1">
        <f t="array" ref="B2669">INDEX('Whitelist (Blackout Reverse)'!$B$1:$K$1,MOD(ROW()-2,10)+1)</f>
        <v>MORRIS 1</v>
      </c>
      <c r="C2669" s="2" t="str">
        <f>VLOOKUP(A2669,'[1]Brand Family Territory (Enc)'!$A$2:$B$296,2,FALSE)</f>
        <v>Bergen/Passaic/Hudson/Essex</v>
      </c>
      <c r="D2669" s="2">
        <f>IF(COUNTIFS('[1]Brand Family Territories (Enc)'!$B$2:$B$62,C2669,'[1]Brand Family Territories (Enc)'!$C$2:$C$62,B2669)&gt;0,1,IF(AND(LEFT(B2669,6)="MORRIS",COUNTIFS('[1]Brand Family Territories (Enc)'!$B$2:$B$62,C2669,'[1]Brand Family Territories (Enc)'!$C$2:$C$62,"Morri")&gt;0),"Unk",0))</f>
        <v>0</v>
      </c>
      <c r="E2669" s="2" t="str">
        <f>IFERROR(INDEX('Blackout Brand Fam Areas (Enc)'!$D$6:$D$998,MATCH(UPPER(A2669)&amp;"|"&amp;UPPER(B2669),'Blackout Brand Fam Areas (Enc)'!$G$6:$G$998,0)),"No Match")</f>
        <v>Inactive</v>
      </c>
      <c r="F2669" s="2" t="str">
        <f t="shared" si="82"/>
        <v>THEM</v>
      </c>
      <c r="G2669" s="2" t="str">
        <f t="shared" si="83"/>
        <v>Paulaner|MORRIS 1</v>
      </c>
    </row>
    <row r="2670" spans="1:7" x14ac:dyDescent="0.2">
      <c r="A2670" s="2" t="str" cm="1">
        <f t="array" ref="A2670">INDEX('[1]Brand Family Territory (Enc)'!$A$2:$A$296,INT((ROW()-2)/10)+1)</f>
        <v>Paulaner</v>
      </c>
      <c r="B2670" s="2" t="str" cm="1">
        <f t="array" ref="B2670">INDEX('Whitelist (Blackout Reverse)'!$B$1:$K$1,MOD(ROW()-2,10)+1)</f>
        <v>MORRIS 2</v>
      </c>
      <c r="C2670" s="2" t="str">
        <f>VLOOKUP(A2670,'[1]Brand Family Territory (Enc)'!$A$2:$B$296,2,FALSE)</f>
        <v>Bergen/Passaic/Hudson/Essex</v>
      </c>
      <c r="D2670" s="2">
        <f>IF(COUNTIFS('[1]Brand Family Territories (Enc)'!$B$2:$B$62,C2670,'[1]Brand Family Territories (Enc)'!$C$2:$C$62,B2670)&gt;0,1,IF(AND(LEFT(B2670,6)="MORRIS",COUNTIFS('[1]Brand Family Territories (Enc)'!$B$2:$B$62,C2670,'[1]Brand Family Territories (Enc)'!$C$2:$C$62,"Morri")&gt;0),"Unk",0))</f>
        <v>0</v>
      </c>
      <c r="E2670" s="2" t="str">
        <f>IFERROR(INDEX('Blackout Brand Fam Areas (Enc)'!$D$6:$D$998,MATCH(UPPER(A2670)&amp;"|"&amp;UPPER(B2670),'Blackout Brand Fam Areas (Enc)'!$G$6:$G$998,0)),"No Match")</f>
        <v>Inactive</v>
      </c>
      <c r="F2670" s="2" t="str">
        <f t="shared" si="82"/>
        <v>THEM</v>
      </c>
      <c r="G2670" s="2" t="str">
        <f t="shared" si="83"/>
        <v>Paulaner|MORRIS 2</v>
      </c>
    </row>
    <row r="2671" spans="1:7" x14ac:dyDescent="0.2">
      <c r="A2671" s="2" t="str" cm="1">
        <f t="array" ref="A2671">INDEX('[1]Brand Family Territory (Enc)'!$A$2:$A$296,INT((ROW()-2)/10)+1)</f>
        <v>Paulaner</v>
      </c>
      <c r="B2671" s="2" t="str" cm="1">
        <f t="array" ref="B2671">INDEX('Whitelist (Blackout Reverse)'!$B$1:$K$1,MOD(ROW()-2,10)+1)</f>
        <v>MORRIS 3</v>
      </c>
      <c r="C2671" s="2" t="str">
        <f>VLOOKUP(A2671,'[1]Brand Family Territory (Enc)'!$A$2:$B$296,2,FALSE)</f>
        <v>Bergen/Passaic/Hudson/Essex</v>
      </c>
      <c r="D2671" s="2">
        <f>IF(COUNTIFS('[1]Brand Family Territories (Enc)'!$B$2:$B$62,C2671,'[1]Brand Family Territories (Enc)'!$C$2:$C$62,B2671)&gt;0,1,IF(AND(LEFT(B2671,6)="MORRIS",COUNTIFS('[1]Brand Family Territories (Enc)'!$B$2:$B$62,C2671,'[1]Brand Family Territories (Enc)'!$C$2:$C$62,"Morri")&gt;0),"Unk",0))</f>
        <v>0</v>
      </c>
      <c r="E2671" s="2" t="str">
        <f>IFERROR(INDEX('Blackout Brand Fam Areas (Enc)'!$D$6:$D$998,MATCH(UPPER(A2671)&amp;"|"&amp;UPPER(B2671),'Blackout Brand Fam Areas (Enc)'!$G$6:$G$998,0)),"No Match")</f>
        <v>Inactive</v>
      </c>
      <c r="F2671" s="2" t="str">
        <f t="shared" si="82"/>
        <v>THEM</v>
      </c>
      <c r="G2671" s="2" t="str">
        <f t="shared" si="83"/>
        <v>Paulaner|MORRIS 3</v>
      </c>
    </row>
    <row r="2672" spans="1:7" x14ac:dyDescent="0.2">
      <c r="A2672" s="2" t="str" cm="1">
        <f t="array" ref="A2672">INDEX('[1]Brand Family Territory (Enc)'!$A$2:$A$296,INT((ROW()-2)/10)+1)</f>
        <v>Rekorderlig</v>
      </c>
      <c r="B2672" s="2" t="str" cm="1">
        <f t="array" ref="B2672">INDEX('Whitelist (Blackout Reverse)'!$B$1:$K$1,MOD(ROW()-2,10)+1)</f>
        <v>BERGEN</v>
      </c>
      <c r="C2672" s="2" t="str">
        <f>VLOOKUP(A2672,'[1]Brand Family Territory (Enc)'!$A$2:$B$296,2,FALSE)</f>
        <v>Bergen/Passaic/Hudson/Essex</v>
      </c>
      <c r="D2672" s="2">
        <f>IF(COUNTIFS('[1]Brand Family Territories (Enc)'!$B$2:$B$62,C2672,'[1]Brand Family Territories (Enc)'!$C$2:$C$62,B2672)&gt;0,1,IF(AND(LEFT(B2672,6)="MORRIS",COUNTIFS('[1]Brand Family Territories (Enc)'!$B$2:$B$62,C2672,'[1]Brand Family Territories (Enc)'!$C$2:$C$62,"Morri")&gt;0),"Unk",0))</f>
        <v>1</v>
      </c>
      <c r="E2672" s="2" t="str">
        <f>IFERROR(INDEX('Blackout Brand Fam Areas (Enc)'!$D$6:$D$998,MATCH(UPPER(A2672)&amp;"|"&amp;UPPER(B2672),'Blackout Brand Fam Areas (Enc)'!$G$6:$G$998,0)),"No Match")</f>
        <v>No Match</v>
      </c>
      <c r="F2672" s="2" t="str">
        <f t="shared" si="82"/>
        <v>US</v>
      </c>
      <c r="G2672" s="2" t="str">
        <f t="shared" si="83"/>
        <v>Rekorderlig|BERGEN</v>
      </c>
    </row>
    <row r="2673" spans="1:7" x14ac:dyDescent="0.2">
      <c r="A2673" s="2" t="str" cm="1">
        <f t="array" ref="A2673">INDEX('[1]Brand Family Territory (Enc)'!$A$2:$A$296,INT((ROW()-2)/10)+1)</f>
        <v>Rekorderlig</v>
      </c>
      <c r="B2673" s="2" t="str" cm="1">
        <f t="array" ref="B2673">INDEX('Whitelist (Blackout Reverse)'!$B$1:$K$1,MOD(ROW()-2,10)+1)</f>
        <v>PASSAIC</v>
      </c>
      <c r="C2673" s="2" t="str">
        <f>VLOOKUP(A2673,'[1]Brand Family Territory (Enc)'!$A$2:$B$296,2,FALSE)</f>
        <v>Bergen/Passaic/Hudson/Essex</v>
      </c>
      <c r="D2673" s="2">
        <f>IF(COUNTIFS('[1]Brand Family Territories (Enc)'!$B$2:$B$62,C2673,'[1]Brand Family Territories (Enc)'!$C$2:$C$62,B2673)&gt;0,1,IF(AND(LEFT(B2673,6)="MORRIS",COUNTIFS('[1]Brand Family Territories (Enc)'!$B$2:$B$62,C2673,'[1]Brand Family Territories (Enc)'!$C$2:$C$62,"Morri")&gt;0),"Unk",0))</f>
        <v>1</v>
      </c>
      <c r="E2673" s="2" t="str">
        <f>IFERROR(INDEX('Blackout Brand Fam Areas (Enc)'!$D$6:$D$998,MATCH(UPPER(A2673)&amp;"|"&amp;UPPER(B2673),'Blackout Brand Fam Areas (Enc)'!$G$6:$G$998,0)),"No Match")</f>
        <v>No Match</v>
      </c>
      <c r="F2673" s="2" t="str">
        <f t="shared" si="82"/>
        <v>US</v>
      </c>
      <c r="G2673" s="2" t="str">
        <f t="shared" si="83"/>
        <v>Rekorderlig|PASSAIC</v>
      </c>
    </row>
    <row r="2674" spans="1:7" x14ac:dyDescent="0.2">
      <c r="A2674" s="2" t="str" cm="1">
        <f t="array" ref="A2674">INDEX('[1]Brand Family Territory (Enc)'!$A$2:$A$296,INT((ROW()-2)/10)+1)</f>
        <v>Rekorderlig</v>
      </c>
      <c r="B2674" s="2" t="str" cm="1">
        <f t="array" ref="B2674">INDEX('Whitelist (Blackout Reverse)'!$B$1:$K$1,MOD(ROW()-2,10)+1)</f>
        <v>PASSAIC-FF</v>
      </c>
      <c r="C2674" s="2" t="str">
        <f>VLOOKUP(A2674,'[1]Brand Family Territory (Enc)'!$A$2:$B$296,2,FALSE)</f>
        <v>Bergen/Passaic/Hudson/Essex</v>
      </c>
      <c r="D2674" s="2">
        <f>IF(COUNTIFS('[1]Brand Family Territories (Enc)'!$B$2:$B$62,C2674,'[1]Brand Family Territories (Enc)'!$C$2:$C$62,B2674)&gt;0,1,IF(AND(LEFT(B2674,6)="MORRIS",COUNTIFS('[1]Brand Family Territories (Enc)'!$B$2:$B$62,C2674,'[1]Brand Family Territories (Enc)'!$C$2:$C$62,"Morri")&gt;0),"Unk",0))</f>
        <v>1</v>
      </c>
      <c r="E2674" s="2" t="str">
        <f>IFERROR(INDEX('Blackout Brand Fam Areas (Enc)'!$D$6:$D$998,MATCH(UPPER(A2674)&amp;"|"&amp;UPPER(B2674),'Blackout Brand Fam Areas (Enc)'!$G$6:$G$998,0)),"No Match")</f>
        <v>No Match</v>
      </c>
      <c r="F2674" s="2" t="str">
        <f t="shared" si="82"/>
        <v>US</v>
      </c>
      <c r="G2674" s="2" t="str">
        <f t="shared" si="83"/>
        <v>Rekorderlig|PASSAIC-FF</v>
      </c>
    </row>
    <row r="2675" spans="1:7" x14ac:dyDescent="0.2">
      <c r="A2675" s="2" t="str" cm="1">
        <f t="array" ref="A2675">INDEX('[1]Brand Family Territory (Enc)'!$A$2:$A$296,INT((ROW()-2)/10)+1)</f>
        <v>Rekorderlig</v>
      </c>
      <c r="B2675" s="2" t="str" cm="1">
        <f t="array" ref="B2675">INDEX('Whitelist (Blackout Reverse)'!$B$1:$K$1,MOD(ROW()-2,10)+1)</f>
        <v>ESSEX</v>
      </c>
      <c r="C2675" s="2" t="str">
        <f>VLOOKUP(A2675,'[1]Brand Family Territory (Enc)'!$A$2:$B$296,2,FALSE)</f>
        <v>Bergen/Passaic/Hudson/Essex</v>
      </c>
      <c r="D2675" s="2">
        <f>IF(COUNTIFS('[1]Brand Family Territories (Enc)'!$B$2:$B$62,C2675,'[1]Brand Family Territories (Enc)'!$C$2:$C$62,B2675)&gt;0,1,IF(AND(LEFT(B2675,6)="MORRIS",COUNTIFS('[1]Brand Family Territories (Enc)'!$B$2:$B$62,C2675,'[1]Brand Family Territories (Enc)'!$C$2:$C$62,"Morri")&gt;0),"Unk",0))</f>
        <v>1</v>
      </c>
      <c r="E2675" s="2" t="str">
        <f>IFERROR(INDEX('Blackout Brand Fam Areas (Enc)'!$D$6:$D$998,MATCH(UPPER(A2675)&amp;"|"&amp;UPPER(B2675),'Blackout Brand Fam Areas (Enc)'!$G$6:$G$998,0)),"No Match")</f>
        <v>No Match</v>
      </c>
      <c r="F2675" s="2" t="str">
        <f t="shared" si="82"/>
        <v>US</v>
      </c>
      <c r="G2675" s="2" t="str">
        <f t="shared" si="83"/>
        <v>Rekorderlig|ESSEX</v>
      </c>
    </row>
    <row r="2676" spans="1:7" x14ac:dyDescent="0.2">
      <c r="A2676" s="2" t="str" cm="1">
        <f t="array" ref="A2676">INDEX('[1]Brand Family Territory (Enc)'!$A$2:$A$296,INT((ROW()-2)/10)+1)</f>
        <v>Rekorderlig</v>
      </c>
      <c r="B2676" s="2" t="str" cm="1">
        <f t="array" ref="B2676">INDEX('Whitelist (Blackout Reverse)'!$B$1:$K$1,MOD(ROW()-2,10)+1)</f>
        <v>HUDSON</v>
      </c>
      <c r="C2676" s="2" t="str">
        <f>VLOOKUP(A2676,'[1]Brand Family Territory (Enc)'!$A$2:$B$296,2,FALSE)</f>
        <v>Bergen/Passaic/Hudson/Essex</v>
      </c>
      <c r="D2676" s="2">
        <f>IF(COUNTIFS('[1]Brand Family Territories (Enc)'!$B$2:$B$62,C2676,'[1]Brand Family Territories (Enc)'!$C$2:$C$62,B2676)&gt;0,1,IF(AND(LEFT(B2676,6)="MORRIS",COUNTIFS('[1]Brand Family Territories (Enc)'!$B$2:$B$62,C2676,'[1]Brand Family Territories (Enc)'!$C$2:$C$62,"Morri")&gt;0),"Unk",0))</f>
        <v>1</v>
      </c>
      <c r="E2676" s="2" t="str">
        <f>IFERROR(INDEX('Blackout Brand Fam Areas (Enc)'!$D$6:$D$998,MATCH(UPPER(A2676)&amp;"|"&amp;UPPER(B2676),'Blackout Brand Fam Areas (Enc)'!$G$6:$G$998,0)),"No Match")</f>
        <v>No Match</v>
      </c>
      <c r="F2676" s="2" t="str">
        <f t="shared" si="82"/>
        <v>US</v>
      </c>
      <c r="G2676" s="2" t="str">
        <f t="shared" si="83"/>
        <v>Rekorderlig|HUDSON</v>
      </c>
    </row>
    <row r="2677" spans="1:7" x14ac:dyDescent="0.2">
      <c r="A2677" s="2" t="str" cm="1">
        <f t="array" ref="A2677">INDEX('[1]Brand Family Territory (Enc)'!$A$2:$A$296,INT((ROW()-2)/10)+1)</f>
        <v>Rekorderlig</v>
      </c>
      <c r="B2677" s="2" t="str" cm="1">
        <f t="array" ref="B2677">INDEX('Whitelist (Blackout Reverse)'!$B$1:$K$1,MOD(ROW()-2,10)+1)</f>
        <v>UNION</v>
      </c>
      <c r="C2677" s="2" t="str">
        <f>VLOOKUP(A2677,'[1]Brand Family Territory (Enc)'!$A$2:$B$296,2,FALSE)</f>
        <v>Bergen/Passaic/Hudson/Essex</v>
      </c>
      <c r="D2677" s="2">
        <f>IF(COUNTIFS('[1]Brand Family Territories (Enc)'!$B$2:$B$62,C2677,'[1]Brand Family Territories (Enc)'!$C$2:$C$62,B2677)&gt;0,1,IF(AND(LEFT(B2677,6)="MORRIS",COUNTIFS('[1]Brand Family Territories (Enc)'!$B$2:$B$62,C2677,'[1]Brand Family Territories (Enc)'!$C$2:$C$62,"Morri")&gt;0),"Unk",0))</f>
        <v>0</v>
      </c>
      <c r="E2677" s="2" t="str">
        <f>IFERROR(INDEX('Blackout Brand Fam Areas (Enc)'!$D$6:$D$998,MATCH(UPPER(A2677)&amp;"|"&amp;UPPER(B2677),'Blackout Brand Fam Areas (Enc)'!$G$6:$G$998,0)),"No Match")</f>
        <v>Inactive</v>
      </c>
      <c r="F2677" s="2" t="str">
        <f t="shared" si="82"/>
        <v>THEM</v>
      </c>
      <c r="G2677" s="2" t="str">
        <f t="shared" si="83"/>
        <v>Rekorderlig|UNION</v>
      </c>
    </row>
    <row r="2678" spans="1:7" x14ac:dyDescent="0.2">
      <c r="A2678" s="2" t="str" cm="1">
        <f t="array" ref="A2678">INDEX('[1]Brand Family Territory (Enc)'!$A$2:$A$296,INT((ROW()-2)/10)+1)</f>
        <v>Rekorderlig</v>
      </c>
      <c r="B2678" s="2" t="str" cm="1">
        <f t="array" ref="B2678">INDEX('Whitelist (Blackout Reverse)'!$B$1:$K$1,MOD(ROW()-2,10)+1)</f>
        <v>SUSSEX</v>
      </c>
      <c r="C2678" s="2" t="str">
        <f>VLOOKUP(A2678,'[1]Brand Family Territory (Enc)'!$A$2:$B$296,2,FALSE)</f>
        <v>Bergen/Passaic/Hudson/Essex</v>
      </c>
      <c r="D2678" s="2">
        <f>IF(COUNTIFS('[1]Brand Family Territories (Enc)'!$B$2:$B$62,C2678,'[1]Brand Family Territories (Enc)'!$C$2:$C$62,B2678)&gt;0,1,IF(AND(LEFT(B2678,6)="MORRIS",COUNTIFS('[1]Brand Family Territories (Enc)'!$B$2:$B$62,C2678,'[1]Brand Family Territories (Enc)'!$C$2:$C$62,"Morri")&gt;0),"Unk",0))</f>
        <v>0</v>
      </c>
      <c r="E2678" s="2" t="str">
        <f>IFERROR(INDEX('Blackout Brand Fam Areas (Enc)'!$D$6:$D$998,MATCH(UPPER(A2678)&amp;"|"&amp;UPPER(B2678),'Blackout Brand Fam Areas (Enc)'!$G$6:$G$998,0)),"No Match")</f>
        <v>Inactive</v>
      </c>
      <c r="F2678" s="2" t="str">
        <f t="shared" si="82"/>
        <v>THEM</v>
      </c>
      <c r="G2678" s="2" t="str">
        <f t="shared" si="83"/>
        <v>Rekorderlig|SUSSEX</v>
      </c>
    </row>
    <row r="2679" spans="1:7" x14ac:dyDescent="0.2">
      <c r="A2679" s="2" t="str" cm="1">
        <f t="array" ref="A2679">INDEX('[1]Brand Family Territory (Enc)'!$A$2:$A$296,INT((ROW()-2)/10)+1)</f>
        <v>Rekorderlig</v>
      </c>
      <c r="B2679" s="2" t="str" cm="1">
        <f t="array" ref="B2679">INDEX('Whitelist (Blackout Reverse)'!$B$1:$K$1,MOD(ROW()-2,10)+1)</f>
        <v>MORRIS 1</v>
      </c>
      <c r="C2679" s="2" t="str">
        <f>VLOOKUP(A2679,'[1]Brand Family Territory (Enc)'!$A$2:$B$296,2,FALSE)</f>
        <v>Bergen/Passaic/Hudson/Essex</v>
      </c>
      <c r="D2679" s="2">
        <f>IF(COUNTIFS('[1]Brand Family Territories (Enc)'!$B$2:$B$62,C2679,'[1]Brand Family Territories (Enc)'!$C$2:$C$62,B2679)&gt;0,1,IF(AND(LEFT(B2679,6)="MORRIS",COUNTIFS('[1]Brand Family Territories (Enc)'!$B$2:$B$62,C2679,'[1]Brand Family Territories (Enc)'!$C$2:$C$62,"Morri")&gt;0),"Unk",0))</f>
        <v>0</v>
      </c>
      <c r="E2679" s="2" t="str">
        <f>IFERROR(INDEX('Blackout Brand Fam Areas (Enc)'!$D$6:$D$998,MATCH(UPPER(A2679)&amp;"|"&amp;UPPER(B2679),'Blackout Brand Fam Areas (Enc)'!$G$6:$G$998,0)),"No Match")</f>
        <v>Inactive</v>
      </c>
      <c r="F2679" s="2" t="str">
        <f t="shared" si="82"/>
        <v>THEM</v>
      </c>
      <c r="G2679" s="2" t="str">
        <f t="shared" si="83"/>
        <v>Rekorderlig|MORRIS 1</v>
      </c>
    </row>
    <row r="2680" spans="1:7" x14ac:dyDescent="0.2">
      <c r="A2680" s="2" t="str" cm="1">
        <f t="array" ref="A2680">INDEX('[1]Brand Family Territory (Enc)'!$A$2:$A$296,INT((ROW()-2)/10)+1)</f>
        <v>Rekorderlig</v>
      </c>
      <c r="B2680" s="2" t="str" cm="1">
        <f t="array" ref="B2680">INDEX('Whitelist (Blackout Reverse)'!$B$1:$K$1,MOD(ROW()-2,10)+1)</f>
        <v>MORRIS 2</v>
      </c>
      <c r="C2680" s="2" t="str">
        <f>VLOOKUP(A2680,'[1]Brand Family Territory (Enc)'!$A$2:$B$296,2,FALSE)</f>
        <v>Bergen/Passaic/Hudson/Essex</v>
      </c>
      <c r="D2680" s="2">
        <f>IF(COUNTIFS('[1]Brand Family Territories (Enc)'!$B$2:$B$62,C2680,'[1]Brand Family Territories (Enc)'!$C$2:$C$62,B2680)&gt;0,1,IF(AND(LEFT(B2680,6)="MORRIS",COUNTIFS('[1]Brand Family Territories (Enc)'!$B$2:$B$62,C2680,'[1]Brand Family Territories (Enc)'!$C$2:$C$62,"Morri")&gt;0),"Unk",0))</f>
        <v>0</v>
      </c>
      <c r="E2680" s="2" t="str">
        <f>IFERROR(INDEX('Blackout Brand Fam Areas (Enc)'!$D$6:$D$998,MATCH(UPPER(A2680)&amp;"|"&amp;UPPER(B2680),'Blackout Brand Fam Areas (Enc)'!$G$6:$G$998,0)),"No Match")</f>
        <v>Inactive</v>
      </c>
      <c r="F2680" s="2" t="str">
        <f t="shared" si="82"/>
        <v>THEM</v>
      </c>
      <c r="G2680" s="2" t="str">
        <f t="shared" si="83"/>
        <v>Rekorderlig|MORRIS 2</v>
      </c>
    </row>
    <row r="2681" spans="1:7" x14ac:dyDescent="0.2">
      <c r="A2681" s="2" t="str" cm="1">
        <f t="array" ref="A2681">INDEX('[1]Brand Family Territory (Enc)'!$A$2:$A$296,INT((ROW()-2)/10)+1)</f>
        <v>Rekorderlig</v>
      </c>
      <c r="B2681" s="2" t="str" cm="1">
        <f t="array" ref="B2681">INDEX('Whitelist (Blackout Reverse)'!$B$1:$K$1,MOD(ROW()-2,10)+1)</f>
        <v>MORRIS 3</v>
      </c>
      <c r="C2681" s="2" t="str">
        <f>VLOOKUP(A2681,'[1]Brand Family Territory (Enc)'!$A$2:$B$296,2,FALSE)</f>
        <v>Bergen/Passaic/Hudson/Essex</v>
      </c>
      <c r="D2681" s="2">
        <f>IF(COUNTIFS('[1]Brand Family Territories (Enc)'!$B$2:$B$62,C2681,'[1]Brand Family Territories (Enc)'!$C$2:$C$62,B2681)&gt;0,1,IF(AND(LEFT(B2681,6)="MORRIS",COUNTIFS('[1]Brand Family Territories (Enc)'!$B$2:$B$62,C2681,'[1]Brand Family Territories (Enc)'!$C$2:$C$62,"Morri")&gt;0),"Unk",0))</f>
        <v>0</v>
      </c>
      <c r="E2681" s="2" t="str">
        <f>IFERROR(INDEX('Blackout Brand Fam Areas (Enc)'!$D$6:$D$998,MATCH(UPPER(A2681)&amp;"|"&amp;UPPER(B2681),'Blackout Brand Fam Areas (Enc)'!$G$6:$G$998,0)),"No Match")</f>
        <v>Inactive</v>
      </c>
      <c r="F2681" s="2" t="str">
        <f t="shared" si="82"/>
        <v>THEM</v>
      </c>
      <c r="G2681" s="2" t="str">
        <f t="shared" si="83"/>
        <v>Rekorderlig|MORRIS 3</v>
      </c>
    </row>
    <row r="2682" spans="1:7" x14ac:dyDescent="0.2">
      <c r="A2682" s="2" t="str" cm="1">
        <f t="array" ref="A2682">INDEX('[1]Brand Family Territory (Enc)'!$A$2:$A$296,INT((ROW()-2)/10)+1)</f>
        <v>Shipyard</v>
      </c>
      <c r="B2682" s="2" t="str" cm="1">
        <f t="array" ref="B2682">INDEX('Whitelist (Blackout Reverse)'!$B$1:$K$1,MOD(ROW()-2,10)+1)</f>
        <v>BERGEN</v>
      </c>
      <c r="C2682" s="2" t="str">
        <f>VLOOKUP(A2682,'[1]Brand Family Territory (Enc)'!$A$2:$B$296,2,FALSE)</f>
        <v>Bergen/Passaic/Hudson/Essex</v>
      </c>
      <c r="D2682" s="2">
        <f>IF(COUNTIFS('[1]Brand Family Territories (Enc)'!$B$2:$B$62,C2682,'[1]Brand Family Territories (Enc)'!$C$2:$C$62,B2682)&gt;0,1,IF(AND(LEFT(B2682,6)="MORRIS",COUNTIFS('[1]Brand Family Territories (Enc)'!$B$2:$B$62,C2682,'[1]Brand Family Territories (Enc)'!$C$2:$C$62,"Morri")&gt;0),"Unk",0))</f>
        <v>1</v>
      </c>
      <c r="E2682" s="2" t="str">
        <f>IFERROR(INDEX('Blackout Brand Fam Areas (Enc)'!$D$6:$D$998,MATCH(UPPER(A2682)&amp;"|"&amp;UPPER(B2682),'Blackout Brand Fam Areas (Enc)'!$G$6:$G$998,0)),"No Match")</f>
        <v>No Match</v>
      </c>
      <c r="F2682" s="2" t="str">
        <f t="shared" si="82"/>
        <v>US</v>
      </c>
      <c r="G2682" s="2" t="str">
        <f t="shared" si="83"/>
        <v>Shipyard|BERGEN</v>
      </c>
    </row>
    <row r="2683" spans="1:7" x14ac:dyDescent="0.2">
      <c r="A2683" s="2" t="str" cm="1">
        <f t="array" ref="A2683">INDEX('[1]Brand Family Territory (Enc)'!$A$2:$A$296,INT((ROW()-2)/10)+1)</f>
        <v>Shipyard</v>
      </c>
      <c r="B2683" s="2" t="str" cm="1">
        <f t="array" ref="B2683">INDEX('Whitelist (Blackout Reverse)'!$B$1:$K$1,MOD(ROW()-2,10)+1)</f>
        <v>PASSAIC</v>
      </c>
      <c r="C2683" s="2" t="str">
        <f>VLOOKUP(A2683,'[1]Brand Family Territory (Enc)'!$A$2:$B$296,2,FALSE)</f>
        <v>Bergen/Passaic/Hudson/Essex</v>
      </c>
      <c r="D2683" s="2">
        <f>IF(COUNTIFS('[1]Brand Family Territories (Enc)'!$B$2:$B$62,C2683,'[1]Brand Family Territories (Enc)'!$C$2:$C$62,B2683)&gt;0,1,IF(AND(LEFT(B2683,6)="MORRIS",COUNTIFS('[1]Brand Family Territories (Enc)'!$B$2:$B$62,C2683,'[1]Brand Family Territories (Enc)'!$C$2:$C$62,"Morri")&gt;0),"Unk",0))</f>
        <v>1</v>
      </c>
      <c r="E2683" s="2" t="str">
        <f>IFERROR(INDEX('Blackout Brand Fam Areas (Enc)'!$D$6:$D$998,MATCH(UPPER(A2683)&amp;"|"&amp;UPPER(B2683),'Blackout Brand Fam Areas (Enc)'!$G$6:$G$998,0)),"No Match")</f>
        <v>No Match</v>
      </c>
      <c r="F2683" s="2" t="str">
        <f t="shared" si="82"/>
        <v>US</v>
      </c>
      <c r="G2683" s="2" t="str">
        <f t="shared" si="83"/>
        <v>Shipyard|PASSAIC</v>
      </c>
    </row>
    <row r="2684" spans="1:7" x14ac:dyDescent="0.2">
      <c r="A2684" s="2" t="str" cm="1">
        <f t="array" ref="A2684">INDEX('[1]Brand Family Territory (Enc)'!$A$2:$A$296,INT((ROW()-2)/10)+1)</f>
        <v>Shipyard</v>
      </c>
      <c r="B2684" s="2" t="str" cm="1">
        <f t="array" ref="B2684">INDEX('Whitelist (Blackout Reverse)'!$B$1:$K$1,MOD(ROW()-2,10)+1)</f>
        <v>PASSAIC-FF</v>
      </c>
      <c r="C2684" s="2" t="str">
        <f>VLOOKUP(A2684,'[1]Brand Family Territory (Enc)'!$A$2:$B$296,2,FALSE)</f>
        <v>Bergen/Passaic/Hudson/Essex</v>
      </c>
      <c r="D2684" s="2">
        <f>IF(COUNTIFS('[1]Brand Family Territories (Enc)'!$B$2:$B$62,C2684,'[1]Brand Family Territories (Enc)'!$C$2:$C$62,B2684)&gt;0,1,IF(AND(LEFT(B2684,6)="MORRIS",COUNTIFS('[1]Brand Family Territories (Enc)'!$B$2:$B$62,C2684,'[1]Brand Family Territories (Enc)'!$C$2:$C$62,"Morri")&gt;0),"Unk",0))</f>
        <v>1</v>
      </c>
      <c r="E2684" s="2" t="str">
        <f>IFERROR(INDEX('Blackout Brand Fam Areas (Enc)'!$D$6:$D$998,MATCH(UPPER(A2684)&amp;"|"&amp;UPPER(B2684),'Blackout Brand Fam Areas (Enc)'!$G$6:$G$998,0)),"No Match")</f>
        <v>No Match</v>
      </c>
      <c r="F2684" s="2" t="str">
        <f t="shared" si="82"/>
        <v>US</v>
      </c>
      <c r="G2684" s="2" t="str">
        <f t="shared" si="83"/>
        <v>Shipyard|PASSAIC-FF</v>
      </c>
    </row>
    <row r="2685" spans="1:7" x14ac:dyDescent="0.2">
      <c r="A2685" s="2" t="str" cm="1">
        <f t="array" ref="A2685">INDEX('[1]Brand Family Territory (Enc)'!$A$2:$A$296,INT((ROW()-2)/10)+1)</f>
        <v>Shipyard</v>
      </c>
      <c r="B2685" s="2" t="str" cm="1">
        <f t="array" ref="B2685">INDEX('Whitelist (Blackout Reverse)'!$B$1:$K$1,MOD(ROW()-2,10)+1)</f>
        <v>ESSEX</v>
      </c>
      <c r="C2685" s="2" t="str">
        <f>VLOOKUP(A2685,'[1]Brand Family Territory (Enc)'!$A$2:$B$296,2,FALSE)</f>
        <v>Bergen/Passaic/Hudson/Essex</v>
      </c>
      <c r="D2685" s="2">
        <f>IF(COUNTIFS('[1]Brand Family Territories (Enc)'!$B$2:$B$62,C2685,'[1]Brand Family Territories (Enc)'!$C$2:$C$62,B2685)&gt;0,1,IF(AND(LEFT(B2685,6)="MORRIS",COUNTIFS('[1]Brand Family Territories (Enc)'!$B$2:$B$62,C2685,'[1]Brand Family Territories (Enc)'!$C$2:$C$62,"Morri")&gt;0),"Unk",0))</f>
        <v>1</v>
      </c>
      <c r="E2685" s="2" t="str">
        <f>IFERROR(INDEX('Blackout Brand Fam Areas (Enc)'!$D$6:$D$998,MATCH(UPPER(A2685)&amp;"|"&amp;UPPER(B2685),'Blackout Brand Fam Areas (Enc)'!$G$6:$G$998,0)),"No Match")</f>
        <v>No Match</v>
      </c>
      <c r="F2685" s="2" t="str">
        <f t="shared" si="82"/>
        <v>US</v>
      </c>
      <c r="G2685" s="2" t="str">
        <f t="shared" si="83"/>
        <v>Shipyard|ESSEX</v>
      </c>
    </row>
    <row r="2686" spans="1:7" x14ac:dyDescent="0.2">
      <c r="A2686" s="2" t="str" cm="1">
        <f t="array" ref="A2686">INDEX('[1]Brand Family Territory (Enc)'!$A$2:$A$296,INT((ROW()-2)/10)+1)</f>
        <v>Shipyard</v>
      </c>
      <c r="B2686" s="2" t="str" cm="1">
        <f t="array" ref="B2686">INDEX('Whitelist (Blackout Reverse)'!$B$1:$K$1,MOD(ROW()-2,10)+1)</f>
        <v>HUDSON</v>
      </c>
      <c r="C2686" s="2" t="str">
        <f>VLOOKUP(A2686,'[1]Brand Family Territory (Enc)'!$A$2:$B$296,2,FALSE)</f>
        <v>Bergen/Passaic/Hudson/Essex</v>
      </c>
      <c r="D2686" s="2">
        <f>IF(COUNTIFS('[1]Brand Family Territories (Enc)'!$B$2:$B$62,C2686,'[1]Brand Family Territories (Enc)'!$C$2:$C$62,B2686)&gt;0,1,IF(AND(LEFT(B2686,6)="MORRIS",COUNTIFS('[1]Brand Family Territories (Enc)'!$B$2:$B$62,C2686,'[1]Brand Family Territories (Enc)'!$C$2:$C$62,"Morri")&gt;0),"Unk",0))</f>
        <v>1</v>
      </c>
      <c r="E2686" s="2" t="str">
        <f>IFERROR(INDEX('Blackout Brand Fam Areas (Enc)'!$D$6:$D$998,MATCH(UPPER(A2686)&amp;"|"&amp;UPPER(B2686),'Blackout Brand Fam Areas (Enc)'!$G$6:$G$998,0)),"No Match")</f>
        <v>No Match</v>
      </c>
      <c r="F2686" s="2" t="str">
        <f t="shared" si="82"/>
        <v>US</v>
      </c>
      <c r="G2686" s="2" t="str">
        <f t="shared" si="83"/>
        <v>Shipyard|HUDSON</v>
      </c>
    </row>
    <row r="2687" spans="1:7" x14ac:dyDescent="0.2">
      <c r="A2687" s="2" t="str" cm="1">
        <f t="array" ref="A2687">INDEX('[1]Brand Family Territory (Enc)'!$A$2:$A$296,INT((ROW()-2)/10)+1)</f>
        <v>Shipyard</v>
      </c>
      <c r="B2687" s="2" t="str" cm="1">
        <f t="array" ref="B2687">INDEX('Whitelist (Blackout Reverse)'!$B$1:$K$1,MOD(ROW()-2,10)+1)</f>
        <v>UNION</v>
      </c>
      <c r="C2687" s="2" t="str">
        <f>VLOOKUP(A2687,'[1]Brand Family Territory (Enc)'!$A$2:$B$296,2,FALSE)</f>
        <v>Bergen/Passaic/Hudson/Essex</v>
      </c>
      <c r="D2687" s="2">
        <f>IF(COUNTIFS('[1]Brand Family Territories (Enc)'!$B$2:$B$62,C2687,'[1]Brand Family Territories (Enc)'!$C$2:$C$62,B2687)&gt;0,1,IF(AND(LEFT(B2687,6)="MORRIS",COUNTIFS('[1]Brand Family Territories (Enc)'!$B$2:$B$62,C2687,'[1]Brand Family Territories (Enc)'!$C$2:$C$62,"Morri")&gt;0),"Unk",0))</f>
        <v>0</v>
      </c>
      <c r="E2687" s="2" t="str">
        <f>IFERROR(INDEX('Blackout Brand Fam Areas (Enc)'!$D$6:$D$998,MATCH(UPPER(A2687)&amp;"|"&amp;UPPER(B2687),'Blackout Brand Fam Areas (Enc)'!$G$6:$G$998,0)),"No Match")</f>
        <v>Inactive</v>
      </c>
      <c r="F2687" s="2" t="str">
        <f t="shared" si="82"/>
        <v>THEM</v>
      </c>
      <c r="G2687" s="2" t="str">
        <f t="shared" si="83"/>
        <v>Shipyard|UNION</v>
      </c>
    </row>
    <row r="2688" spans="1:7" x14ac:dyDescent="0.2">
      <c r="A2688" s="2" t="str" cm="1">
        <f t="array" ref="A2688">INDEX('[1]Brand Family Territory (Enc)'!$A$2:$A$296,INT((ROW()-2)/10)+1)</f>
        <v>Shipyard</v>
      </c>
      <c r="B2688" s="2" t="str" cm="1">
        <f t="array" ref="B2688">INDEX('Whitelist (Blackout Reverse)'!$B$1:$K$1,MOD(ROW()-2,10)+1)</f>
        <v>SUSSEX</v>
      </c>
      <c r="C2688" s="2" t="str">
        <f>VLOOKUP(A2688,'[1]Brand Family Territory (Enc)'!$A$2:$B$296,2,FALSE)</f>
        <v>Bergen/Passaic/Hudson/Essex</v>
      </c>
      <c r="D2688" s="2">
        <f>IF(COUNTIFS('[1]Brand Family Territories (Enc)'!$B$2:$B$62,C2688,'[1]Brand Family Territories (Enc)'!$C$2:$C$62,B2688)&gt;0,1,IF(AND(LEFT(B2688,6)="MORRIS",COUNTIFS('[1]Brand Family Territories (Enc)'!$B$2:$B$62,C2688,'[1]Brand Family Territories (Enc)'!$C$2:$C$62,"Morri")&gt;0),"Unk",0))</f>
        <v>0</v>
      </c>
      <c r="E2688" s="2" t="str">
        <f>IFERROR(INDEX('Blackout Brand Fam Areas (Enc)'!$D$6:$D$998,MATCH(UPPER(A2688)&amp;"|"&amp;UPPER(B2688),'Blackout Brand Fam Areas (Enc)'!$G$6:$G$998,0)),"No Match")</f>
        <v>Inactive</v>
      </c>
      <c r="F2688" s="2" t="str">
        <f t="shared" si="82"/>
        <v>THEM</v>
      </c>
      <c r="G2688" s="2" t="str">
        <f t="shared" si="83"/>
        <v>Shipyard|SUSSEX</v>
      </c>
    </row>
    <row r="2689" spans="1:7" x14ac:dyDescent="0.2">
      <c r="A2689" s="2" t="str" cm="1">
        <f t="array" ref="A2689">INDEX('[1]Brand Family Territory (Enc)'!$A$2:$A$296,INT((ROW()-2)/10)+1)</f>
        <v>Shipyard</v>
      </c>
      <c r="B2689" s="2" t="str" cm="1">
        <f t="array" ref="B2689">INDEX('Whitelist (Blackout Reverse)'!$B$1:$K$1,MOD(ROW()-2,10)+1)</f>
        <v>MORRIS 1</v>
      </c>
      <c r="C2689" s="2" t="str">
        <f>VLOOKUP(A2689,'[1]Brand Family Territory (Enc)'!$A$2:$B$296,2,FALSE)</f>
        <v>Bergen/Passaic/Hudson/Essex</v>
      </c>
      <c r="D2689" s="2">
        <f>IF(COUNTIFS('[1]Brand Family Territories (Enc)'!$B$2:$B$62,C2689,'[1]Brand Family Territories (Enc)'!$C$2:$C$62,B2689)&gt;0,1,IF(AND(LEFT(B2689,6)="MORRIS",COUNTIFS('[1]Brand Family Territories (Enc)'!$B$2:$B$62,C2689,'[1]Brand Family Territories (Enc)'!$C$2:$C$62,"Morri")&gt;0),"Unk",0))</f>
        <v>0</v>
      </c>
      <c r="E2689" s="2" t="str">
        <f>IFERROR(INDEX('Blackout Brand Fam Areas (Enc)'!$D$6:$D$998,MATCH(UPPER(A2689)&amp;"|"&amp;UPPER(B2689),'Blackout Brand Fam Areas (Enc)'!$G$6:$G$998,0)),"No Match")</f>
        <v>Inactive</v>
      </c>
      <c r="F2689" s="2" t="str">
        <f t="shared" si="82"/>
        <v>THEM</v>
      </c>
      <c r="G2689" s="2" t="str">
        <f t="shared" si="83"/>
        <v>Shipyard|MORRIS 1</v>
      </c>
    </row>
    <row r="2690" spans="1:7" x14ac:dyDescent="0.2">
      <c r="A2690" s="2" t="str" cm="1">
        <f t="array" ref="A2690">INDEX('[1]Brand Family Territory (Enc)'!$A$2:$A$296,INT((ROW()-2)/10)+1)</f>
        <v>Shipyard</v>
      </c>
      <c r="B2690" s="2" t="str" cm="1">
        <f t="array" ref="B2690">INDEX('Whitelist (Blackout Reverse)'!$B$1:$K$1,MOD(ROW()-2,10)+1)</f>
        <v>MORRIS 2</v>
      </c>
      <c r="C2690" s="2" t="str">
        <f>VLOOKUP(A2690,'[1]Brand Family Territory (Enc)'!$A$2:$B$296,2,FALSE)</f>
        <v>Bergen/Passaic/Hudson/Essex</v>
      </c>
      <c r="D2690" s="2">
        <f>IF(COUNTIFS('[1]Brand Family Territories (Enc)'!$B$2:$B$62,C2690,'[1]Brand Family Territories (Enc)'!$C$2:$C$62,B2690)&gt;0,1,IF(AND(LEFT(B2690,6)="MORRIS",COUNTIFS('[1]Brand Family Territories (Enc)'!$B$2:$B$62,C2690,'[1]Brand Family Territories (Enc)'!$C$2:$C$62,"Morri")&gt;0),"Unk",0))</f>
        <v>0</v>
      </c>
      <c r="E2690" s="2" t="str">
        <f>IFERROR(INDEX('Blackout Brand Fam Areas (Enc)'!$D$6:$D$998,MATCH(UPPER(A2690)&amp;"|"&amp;UPPER(B2690),'Blackout Brand Fam Areas (Enc)'!$G$6:$G$998,0)),"No Match")</f>
        <v>Inactive</v>
      </c>
      <c r="F2690" s="2" t="str">
        <f t="shared" si="82"/>
        <v>THEM</v>
      </c>
      <c r="G2690" s="2" t="str">
        <f t="shared" si="83"/>
        <v>Shipyard|MORRIS 2</v>
      </c>
    </row>
    <row r="2691" spans="1:7" x14ac:dyDescent="0.2">
      <c r="A2691" s="2" t="str" cm="1">
        <f t="array" ref="A2691">INDEX('[1]Brand Family Territory (Enc)'!$A$2:$A$296,INT((ROW()-2)/10)+1)</f>
        <v>Shipyard</v>
      </c>
      <c r="B2691" s="2" t="str" cm="1">
        <f t="array" ref="B2691">INDEX('Whitelist (Blackout Reverse)'!$B$1:$K$1,MOD(ROW()-2,10)+1)</f>
        <v>MORRIS 3</v>
      </c>
      <c r="C2691" s="2" t="str">
        <f>VLOOKUP(A2691,'[1]Brand Family Territory (Enc)'!$A$2:$B$296,2,FALSE)</f>
        <v>Bergen/Passaic/Hudson/Essex</v>
      </c>
      <c r="D2691" s="2">
        <f>IF(COUNTIFS('[1]Brand Family Territories (Enc)'!$B$2:$B$62,C2691,'[1]Brand Family Territories (Enc)'!$C$2:$C$62,B2691)&gt;0,1,IF(AND(LEFT(B2691,6)="MORRIS",COUNTIFS('[1]Brand Family Territories (Enc)'!$B$2:$B$62,C2691,'[1]Brand Family Territories (Enc)'!$C$2:$C$62,"Morri")&gt;0),"Unk",0))</f>
        <v>0</v>
      </c>
      <c r="E2691" s="2" t="str">
        <f>IFERROR(INDEX('Blackout Brand Fam Areas (Enc)'!$D$6:$D$998,MATCH(UPPER(A2691)&amp;"|"&amp;UPPER(B2691),'Blackout Brand Fam Areas (Enc)'!$G$6:$G$998,0)),"No Match")</f>
        <v>Inactive</v>
      </c>
      <c r="F2691" s="2" t="str">
        <f t="shared" ref="F2691:F2754" si="84">IF(D2691="Unk","Ambiguous (Source Truncated)",IF(E2691="Inactive","THEM",IF(D2691=1,"US",IF(D2691="N/A","No Territory Data","THEM"))))</f>
        <v>THEM</v>
      </c>
      <c r="G2691" s="2" t="str">
        <f t="shared" ref="G2691:G2754" si="85">A2691&amp;"|"&amp;B2691</f>
        <v>Shipyard|MORRIS 3</v>
      </c>
    </row>
    <row r="2692" spans="1:7" x14ac:dyDescent="0.2">
      <c r="A2692" s="2" t="str" cm="1">
        <f t="array" ref="A2692">INDEX('[1]Brand Family Territory (Enc)'!$A$2:$A$296,INT((ROW()-2)/10)+1)</f>
        <v>Sixpoint</v>
      </c>
      <c r="B2692" s="2" t="str" cm="1">
        <f t="array" ref="B2692">INDEX('Whitelist (Blackout Reverse)'!$B$1:$K$1,MOD(ROW()-2,10)+1)</f>
        <v>BERGEN</v>
      </c>
      <c r="C2692" s="2" t="str">
        <f>VLOOKUP(A2692,'[1]Brand Family Territory (Enc)'!$A$2:$B$296,2,FALSE)</f>
        <v>Bergen/Passaic/Hudson/Essex</v>
      </c>
      <c r="D2692" s="2">
        <f>IF(COUNTIFS('[1]Brand Family Territories (Enc)'!$B$2:$B$62,C2692,'[1]Brand Family Territories (Enc)'!$C$2:$C$62,B2692)&gt;0,1,IF(AND(LEFT(B2692,6)="MORRIS",COUNTIFS('[1]Brand Family Territories (Enc)'!$B$2:$B$62,C2692,'[1]Brand Family Territories (Enc)'!$C$2:$C$62,"Morri")&gt;0),"Unk",0))</f>
        <v>1</v>
      </c>
      <c r="E2692" s="2" t="str">
        <f>IFERROR(INDEX('Blackout Brand Fam Areas (Enc)'!$D$6:$D$998,MATCH(UPPER(A2692)&amp;"|"&amp;UPPER(B2692),'Blackout Brand Fam Areas (Enc)'!$G$6:$G$998,0)),"No Match")</f>
        <v>No Match</v>
      </c>
      <c r="F2692" s="2" t="str">
        <f t="shared" si="84"/>
        <v>US</v>
      </c>
      <c r="G2692" s="2" t="str">
        <f t="shared" si="85"/>
        <v>Sixpoint|BERGEN</v>
      </c>
    </row>
    <row r="2693" spans="1:7" x14ac:dyDescent="0.2">
      <c r="A2693" s="2" t="str" cm="1">
        <f t="array" ref="A2693">INDEX('[1]Brand Family Territory (Enc)'!$A$2:$A$296,INT((ROW()-2)/10)+1)</f>
        <v>Sixpoint</v>
      </c>
      <c r="B2693" s="2" t="str" cm="1">
        <f t="array" ref="B2693">INDEX('Whitelist (Blackout Reverse)'!$B$1:$K$1,MOD(ROW()-2,10)+1)</f>
        <v>PASSAIC</v>
      </c>
      <c r="C2693" s="2" t="str">
        <f>VLOOKUP(A2693,'[1]Brand Family Territory (Enc)'!$A$2:$B$296,2,FALSE)</f>
        <v>Bergen/Passaic/Hudson/Essex</v>
      </c>
      <c r="D2693" s="2">
        <f>IF(COUNTIFS('[1]Brand Family Territories (Enc)'!$B$2:$B$62,C2693,'[1]Brand Family Territories (Enc)'!$C$2:$C$62,B2693)&gt;0,1,IF(AND(LEFT(B2693,6)="MORRIS",COUNTIFS('[1]Brand Family Territories (Enc)'!$B$2:$B$62,C2693,'[1]Brand Family Territories (Enc)'!$C$2:$C$62,"Morri")&gt;0),"Unk",0))</f>
        <v>1</v>
      </c>
      <c r="E2693" s="2" t="str">
        <f>IFERROR(INDEX('Blackout Brand Fam Areas (Enc)'!$D$6:$D$998,MATCH(UPPER(A2693)&amp;"|"&amp;UPPER(B2693),'Blackout Brand Fam Areas (Enc)'!$G$6:$G$998,0)),"No Match")</f>
        <v>No Match</v>
      </c>
      <c r="F2693" s="2" t="str">
        <f t="shared" si="84"/>
        <v>US</v>
      </c>
      <c r="G2693" s="2" t="str">
        <f t="shared" si="85"/>
        <v>Sixpoint|PASSAIC</v>
      </c>
    </row>
    <row r="2694" spans="1:7" x14ac:dyDescent="0.2">
      <c r="A2694" s="2" t="str" cm="1">
        <f t="array" ref="A2694">INDEX('[1]Brand Family Territory (Enc)'!$A$2:$A$296,INT((ROW()-2)/10)+1)</f>
        <v>Sixpoint</v>
      </c>
      <c r="B2694" s="2" t="str" cm="1">
        <f t="array" ref="B2694">INDEX('Whitelist (Blackout Reverse)'!$B$1:$K$1,MOD(ROW()-2,10)+1)</f>
        <v>PASSAIC-FF</v>
      </c>
      <c r="C2694" s="2" t="str">
        <f>VLOOKUP(A2694,'[1]Brand Family Territory (Enc)'!$A$2:$B$296,2,FALSE)</f>
        <v>Bergen/Passaic/Hudson/Essex</v>
      </c>
      <c r="D2694" s="2">
        <f>IF(COUNTIFS('[1]Brand Family Territories (Enc)'!$B$2:$B$62,C2694,'[1]Brand Family Territories (Enc)'!$C$2:$C$62,B2694)&gt;0,1,IF(AND(LEFT(B2694,6)="MORRIS",COUNTIFS('[1]Brand Family Territories (Enc)'!$B$2:$B$62,C2694,'[1]Brand Family Territories (Enc)'!$C$2:$C$62,"Morri")&gt;0),"Unk",0))</f>
        <v>1</v>
      </c>
      <c r="E2694" s="2" t="str">
        <f>IFERROR(INDEX('Blackout Brand Fam Areas (Enc)'!$D$6:$D$998,MATCH(UPPER(A2694)&amp;"|"&amp;UPPER(B2694),'Blackout Brand Fam Areas (Enc)'!$G$6:$G$998,0)),"No Match")</f>
        <v>No Match</v>
      </c>
      <c r="F2694" s="2" t="str">
        <f t="shared" si="84"/>
        <v>US</v>
      </c>
      <c r="G2694" s="2" t="str">
        <f t="shared" si="85"/>
        <v>Sixpoint|PASSAIC-FF</v>
      </c>
    </row>
    <row r="2695" spans="1:7" x14ac:dyDescent="0.2">
      <c r="A2695" s="2" t="str" cm="1">
        <f t="array" ref="A2695">INDEX('[1]Brand Family Territory (Enc)'!$A$2:$A$296,INT((ROW()-2)/10)+1)</f>
        <v>Sixpoint</v>
      </c>
      <c r="B2695" s="2" t="str" cm="1">
        <f t="array" ref="B2695">INDEX('Whitelist (Blackout Reverse)'!$B$1:$K$1,MOD(ROW()-2,10)+1)</f>
        <v>ESSEX</v>
      </c>
      <c r="C2695" s="2" t="str">
        <f>VLOOKUP(A2695,'[1]Brand Family Territory (Enc)'!$A$2:$B$296,2,FALSE)</f>
        <v>Bergen/Passaic/Hudson/Essex</v>
      </c>
      <c r="D2695" s="2">
        <f>IF(COUNTIFS('[1]Brand Family Territories (Enc)'!$B$2:$B$62,C2695,'[1]Brand Family Territories (Enc)'!$C$2:$C$62,B2695)&gt;0,1,IF(AND(LEFT(B2695,6)="MORRIS",COUNTIFS('[1]Brand Family Territories (Enc)'!$B$2:$B$62,C2695,'[1]Brand Family Territories (Enc)'!$C$2:$C$62,"Morri")&gt;0),"Unk",0))</f>
        <v>1</v>
      </c>
      <c r="E2695" s="2" t="str">
        <f>IFERROR(INDEX('Blackout Brand Fam Areas (Enc)'!$D$6:$D$998,MATCH(UPPER(A2695)&amp;"|"&amp;UPPER(B2695),'Blackout Brand Fam Areas (Enc)'!$G$6:$G$998,0)),"No Match")</f>
        <v>No Match</v>
      </c>
      <c r="F2695" s="2" t="str">
        <f t="shared" si="84"/>
        <v>US</v>
      </c>
      <c r="G2695" s="2" t="str">
        <f t="shared" si="85"/>
        <v>Sixpoint|ESSEX</v>
      </c>
    </row>
    <row r="2696" spans="1:7" x14ac:dyDescent="0.2">
      <c r="A2696" s="2" t="str" cm="1">
        <f t="array" ref="A2696">INDEX('[1]Brand Family Territory (Enc)'!$A$2:$A$296,INT((ROW()-2)/10)+1)</f>
        <v>Sixpoint</v>
      </c>
      <c r="B2696" s="2" t="str" cm="1">
        <f t="array" ref="B2696">INDEX('Whitelist (Blackout Reverse)'!$B$1:$K$1,MOD(ROW()-2,10)+1)</f>
        <v>HUDSON</v>
      </c>
      <c r="C2696" s="2" t="str">
        <f>VLOOKUP(A2696,'[1]Brand Family Territory (Enc)'!$A$2:$B$296,2,FALSE)</f>
        <v>Bergen/Passaic/Hudson/Essex</v>
      </c>
      <c r="D2696" s="2">
        <f>IF(COUNTIFS('[1]Brand Family Territories (Enc)'!$B$2:$B$62,C2696,'[1]Brand Family Territories (Enc)'!$C$2:$C$62,B2696)&gt;0,1,IF(AND(LEFT(B2696,6)="MORRIS",COUNTIFS('[1]Brand Family Territories (Enc)'!$B$2:$B$62,C2696,'[1]Brand Family Territories (Enc)'!$C$2:$C$62,"Morri")&gt;0),"Unk",0))</f>
        <v>1</v>
      </c>
      <c r="E2696" s="2" t="str">
        <f>IFERROR(INDEX('Blackout Brand Fam Areas (Enc)'!$D$6:$D$998,MATCH(UPPER(A2696)&amp;"|"&amp;UPPER(B2696),'Blackout Brand Fam Areas (Enc)'!$G$6:$G$998,0)),"No Match")</f>
        <v>No Match</v>
      </c>
      <c r="F2696" s="2" t="str">
        <f t="shared" si="84"/>
        <v>US</v>
      </c>
      <c r="G2696" s="2" t="str">
        <f t="shared" si="85"/>
        <v>Sixpoint|HUDSON</v>
      </c>
    </row>
    <row r="2697" spans="1:7" x14ac:dyDescent="0.2">
      <c r="A2697" s="2" t="str" cm="1">
        <f t="array" ref="A2697">INDEX('[1]Brand Family Territory (Enc)'!$A$2:$A$296,INT((ROW()-2)/10)+1)</f>
        <v>Sixpoint</v>
      </c>
      <c r="B2697" s="2" t="str" cm="1">
        <f t="array" ref="B2697">INDEX('Whitelist (Blackout Reverse)'!$B$1:$K$1,MOD(ROW()-2,10)+1)</f>
        <v>UNION</v>
      </c>
      <c r="C2697" s="2" t="str">
        <f>VLOOKUP(A2697,'[1]Brand Family Territory (Enc)'!$A$2:$B$296,2,FALSE)</f>
        <v>Bergen/Passaic/Hudson/Essex</v>
      </c>
      <c r="D2697" s="2">
        <f>IF(COUNTIFS('[1]Brand Family Territories (Enc)'!$B$2:$B$62,C2697,'[1]Brand Family Territories (Enc)'!$C$2:$C$62,B2697)&gt;0,1,IF(AND(LEFT(B2697,6)="MORRIS",COUNTIFS('[1]Brand Family Territories (Enc)'!$B$2:$B$62,C2697,'[1]Brand Family Territories (Enc)'!$C$2:$C$62,"Morri")&gt;0),"Unk",0))</f>
        <v>0</v>
      </c>
      <c r="E2697" s="2" t="str">
        <f>IFERROR(INDEX('Blackout Brand Fam Areas (Enc)'!$D$6:$D$998,MATCH(UPPER(A2697)&amp;"|"&amp;UPPER(B2697),'Blackout Brand Fam Areas (Enc)'!$G$6:$G$998,0)),"No Match")</f>
        <v>Inactive</v>
      </c>
      <c r="F2697" s="2" t="str">
        <f t="shared" si="84"/>
        <v>THEM</v>
      </c>
      <c r="G2697" s="2" t="str">
        <f t="shared" si="85"/>
        <v>Sixpoint|UNION</v>
      </c>
    </row>
    <row r="2698" spans="1:7" x14ac:dyDescent="0.2">
      <c r="A2698" s="2" t="str" cm="1">
        <f t="array" ref="A2698">INDEX('[1]Brand Family Territory (Enc)'!$A$2:$A$296,INT((ROW()-2)/10)+1)</f>
        <v>Sixpoint</v>
      </c>
      <c r="B2698" s="2" t="str" cm="1">
        <f t="array" ref="B2698">INDEX('Whitelist (Blackout Reverse)'!$B$1:$K$1,MOD(ROW()-2,10)+1)</f>
        <v>SUSSEX</v>
      </c>
      <c r="C2698" s="2" t="str">
        <f>VLOOKUP(A2698,'[1]Brand Family Territory (Enc)'!$A$2:$B$296,2,FALSE)</f>
        <v>Bergen/Passaic/Hudson/Essex</v>
      </c>
      <c r="D2698" s="2">
        <f>IF(COUNTIFS('[1]Brand Family Territories (Enc)'!$B$2:$B$62,C2698,'[1]Brand Family Territories (Enc)'!$C$2:$C$62,B2698)&gt;0,1,IF(AND(LEFT(B2698,6)="MORRIS",COUNTIFS('[1]Brand Family Territories (Enc)'!$B$2:$B$62,C2698,'[1]Brand Family Territories (Enc)'!$C$2:$C$62,"Morri")&gt;0),"Unk",0))</f>
        <v>0</v>
      </c>
      <c r="E2698" s="2" t="str">
        <f>IFERROR(INDEX('Blackout Brand Fam Areas (Enc)'!$D$6:$D$998,MATCH(UPPER(A2698)&amp;"|"&amp;UPPER(B2698),'Blackout Brand Fam Areas (Enc)'!$G$6:$G$998,0)),"No Match")</f>
        <v>Inactive</v>
      </c>
      <c r="F2698" s="2" t="str">
        <f t="shared" si="84"/>
        <v>THEM</v>
      </c>
      <c r="G2698" s="2" t="str">
        <f t="shared" si="85"/>
        <v>Sixpoint|SUSSEX</v>
      </c>
    </row>
    <row r="2699" spans="1:7" x14ac:dyDescent="0.2">
      <c r="A2699" s="2" t="str" cm="1">
        <f t="array" ref="A2699">INDEX('[1]Brand Family Territory (Enc)'!$A$2:$A$296,INT((ROW()-2)/10)+1)</f>
        <v>Sixpoint</v>
      </c>
      <c r="B2699" s="2" t="str" cm="1">
        <f t="array" ref="B2699">INDEX('Whitelist (Blackout Reverse)'!$B$1:$K$1,MOD(ROW()-2,10)+1)</f>
        <v>MORRIS 1</v>
      </c>
      <c r="C2699" s="2" t="str">
        <f>VLOOKUP(A2699,'[1]Brand Family Territory (Enc)'!$A$2:$B$296,2,FALSE)</f>
        <v>Bergen/Passaic/Hudson/Essex</v>
      </c>
      <c r="D2699" s="2">
        <f>IF(COUNTIFS('[1]Brand Family Territories (Enc)'!$B$2:$B$62,C2699,'[1]Brand Family Territories (Enc)'!$C$2:$C$62,B2699)&gt;0,1,IF(AND(LEFT(B2699,6)="MORRIS",COUNTIFS('[1]Brand Family Territories (Enc)'!$B$2:$B$62,C2699,'[1]Brand Family Territories (Enc)'!$C$2:$C$62,"Morri")&gt;0),"Unk",0))</f>
        <v>0</v>
      </c>
      <c r="E2699" s="2" t="str">
        <f>IFERROR(INDEX('Blackout Brand Fam Areas (Enc)'!$D$6:$D$998,MATCH(UPPER(A2699)&amp;"|"&amp;UPPER(B2699),'Blackout Brand Fam Areas (Enc)'!$G$6:$G$998,0)),"No Match")</f>
        <v>Inactive</v>
      </c>
      <c r="F2699" s="2" t="str">
        <f t="shared" si="84"/>
        <v>THEM</v>
      </c>
      <c r="G2699" s="2" t="str">
        <f t="shared" si="85"/>
        <v>Sixpoint|MORRIS 1</v>
      </c>
    </row>
    <row r="2700" spans="1:7" x14ac:dyDescent="0.2">
      <c r="A2700" s="2" t="str" cm="1">
        <f t="array" ref="A2700">INDEX('[1]Brand Family Territory (Enc)'!$A$2:$A$296,INT((ROW()-2)/10)+1)</f>
        <v>Sixpoint</v>
      </c>
      <c r="B2700" s="2" t="str" cm="1">
        <f t="array" ref="B2700">INDEX('Whitelist (Blackout Reverse)'!$B$1:$K$1,MOD(ROW()-2,10)+1)</f>
        <v>MORRIS 2</v>
      </c>
      <c r="C2700" s="2" t="str">
        <f>VLOOKUP(A2700,'[1]Brand Family Territory (Enc)'!$A$2:$B$296,2,FALSE)</f>
        <v>Bergen/Passaic/Hudson/Essex</v>
      </c>
      <c r="D2700" s="2">
        <f>IF(COUNTIFS('[1]Brand Family Territories (Enc)'!$B$2:$B$62,C2700,'[1]Brand Family Territories (Enc)'!$C$2:$C$62,B2700)&gt;0,1,IF(AND(LEFT(B2700,6)="MORRIS",COUNTIFS('[1]Brand Family Territories (Enc)'!$B$2:$B$62,C2700,'[1]Brand Family Territories (Enc)'!$C$2:$C$62,"Morri")&gt;0),"Unk",0))</f>
        <v>0</v>
      </c>
      <c r="E2700" s="2" t="str">
        <f>IFERROR(INDEX('Blackout Brand Fam Areas (Enc)'!$D$6:$D$998,MATCH(UPPER(A2700)&amp;"|"&amp;UPPER(B2700),'Blackout Brand Fam Areas (Enc)'!$G$6:$G$998,0)),"No Match")</f>
        <v>Inactive</v>
      </c>
      <c r="F2700" s="2" t="str">
        <f t="shared" si="84"/>
        <v>THEM</v>
      </c>
      <c r="G2700" s="2" t="str">
        <f t="shared" si="85"/>
        <v>Sixpoint|MORRIS 2</v>
      </c>
    </row>
    <row r="2701" spans="1:7" x14ac:dyDescent="0.2">
      <c r="A2701" s="2" t="str" cm="1">
        <f t="array" ref="A2701">INDEX('[1]Brand Family Territory (Enc)'!$A$2:$A$296,INT((ROW()-2)/10)+1)</f>
        <v>Sixpoint</v>
      </c>
      <c r="B2701" s="2" t="str" cm="1">
        <f t="array" ref="B2701">INDEX('Whitelist (Blackout Reverse)'!$B$1:$K$1,MOD(ROW()-2,10)+1)</f>
        <v>MORRIS 3</v>
      </c>
      <c r="C2701" s="2" t="str">
        <f>VLOOKUP(A2701,'[1]Brand Family Territory (Enc)'!$A$2:$B$296,2,FALSE)</f>
        <v>Bergen/Passaic/Hudson/Essex</v>
      </c>
      <c r="D2701" s="2">
        <f>IF(COUNTIFS('[1]Brand Family Territories (Enc)'!$B$2:$B$62,C2701,'[1]Brand Family Territories (Enc)'!$C$2:$C$62,B2701)&gt;0,1,IF(AND(LEFT(B2701,6)="MORRIS",COUNTIFS('[1]Brand Family Territories (Enc)'!$B$2:$B$62,C2701,'[1]Brand Family Territories (Enc)'!$C$2:$C$62,"Morri")&gt;0),"Unk",0))</f>
        <v>0</v>
      </c>
      <c r="E2701" s="2" t="str">
        <f>IFERROR(INDEX('Blackout Brand Fam Areas (Enc)'!$D$6:$D$998,MATCH(UPPER(A2701)&amp;"|"&amp;UPPER(B2701),'Blackout Brand Fam Areas (Enc)'!$G$6:$G$998,0)),"No Match")</f>
        <v>Inactive</v>
      </c>
      <c r="F2701" s="2" t="str">
        <f t="shared" si="84"/>
        <v>THEM</v>
      </c>
      <c r="G2701" s="2" t="str">
        <f t="shared" si="85"/>
        <v>Sixpoint|MORRIS 3</v>
      </c>
    </row>
    <row r="2702" spans="1:7" x14ac:dyDescent="0.2">
      <c r="A2702" s="2" t="str" cm="1">
        <f t="array" ref="A2702">INDEX('[1]Brand Family Territory (Enc)'!$A$2:$A$296,INT((ROW()-2)/10)+1)</f>
        <v>Southern Tier</v>
      </c>
      <c r="B2702" s="2" t="str" cm="1">
        <f t="array" ref="B2702">INDEX('Whitelist (Blackout Reverse)'!$B$1:$K$1,MOD(ROW()-2,10)+1)</f>
        <v>BERGEN</v>
      </c>
      <c r="C2702" s="2" t="str">
        <f>VLOOKUP(A2702,'[1]Brand Family Territory (Enc)'!$A$2:$B$296,2,FALSE)</f>
        <v>Bergen/Passaic/Hudson/Essex</v>
      </c>
      <c r="D2702" s="2">
        <f>IF(COUNTIFS('[1]Brand Family Territories (Enc)'!$B$2:$B$62,C2702,'[1]Brand Family Territories (Enc)'!$C$2:$C$62,B2702)&gt;0,1,IF(AND(LEFT(B2702,6)="MORRIS",COUNTIFS('[1]Brand Family Territories (Enc)'!$B$2:$B$62,C2702,'[1]Brand Family Territories (Enc)'!$C$2:$C$62,"Morri")&gt;0),"Unk",0))</f>
        <v>1</v>
      </c>
      <c r="E2702" s="2" t="str">
        <f>IFERROR(INDEX('Blackout Brand Fam Areas (Enc)'!$D$6:$D$998,MATCH(UPPER(A2702)&amp;"|"&amp;UPPER(B2702),'Blackout Brand Fam Areas (Enc)'!$G$6:$G$998,0)),"No Match")</f>
        <v>No Match</v>
      </c>
      <c r="F2702" s="2" t="str">
        <f t="shared" si="84"/>
        <v>US</v>
      </c>
      <c r="G2702" s="2" t="str">
        <f t="shared" si="85"/>
        <v>Southern Tier|BERGEN</v>
      </c>
    </row>
    <row r="2703" spans="1:7" x14ac:dyDescent="0.2">
      <c r="A2703" s="2" t="str" cm="1">
        <f t="array" ref="A2703">INDEX('[1]Brand Family Territory (Enc)'!$A$2:$A$296,INT((ROW()-2)/10)+1)</f>
        <v>Southern Tier</v>
      </c>
      <c r="B2703" s="2" t="str" cm="1">
        <f t="array" ref="B2703">INDEX('Whitelist (Blackout Reverse)'!$B$1:$K$1,MOD(ROW()-2,10)+1)</f>
        <v>PASSAIC</v>
      </c>
      <c r="C2703" s="2" t="str">
        <f>VLOOKUP(A2703,'[1]Brand Family Territory (Enc)'!$A$2:$B$296,2,FALSE)</f>
        <v>Bergen/Passaic/Hudson/Essex</v>
      </c>
      <c r="D2703" s="2">
        <f>IF(COUNTIFS('[1]Brand Family Territories (Enc)'!$B$2:$B$62,C2703,'[1]Brand Family Territories (Enc)'!$C$2:$C$62,B2703)&gt;0,1,IF(AND(LEFT(B2703,6)="MORRIS",COUNTIFS('[1]Brand Family Territories (Enc)'!$B$2:$B$62,C2703,'[1]Brand Family Territories (Enc)'!$C$2:$C$62,"Morri")&gt;0),"Unk",0))</f>
        <v>1</v>
      </c>
      <c r="E2703" s="2" t="str">
        <f>IFERROR(INDEX('Blackout Brand Fam Areas (Enc)'!$D$6:$D$998,MATCH(UPPER(A2703)&amp;"|"&amp;UPPER(B2703),'Blackout Brand Fam Areas (Enc)'!$G$6:$G$998,0)),"No Match")</f>
        <v>No Match</v>
      </c>
      <c r="F2703" s="2" t="str">
        <f t="shared" si="84"/>
        <v>US</v>
      </c>
      <c r="G2703" s="2" t="str">
        <f t="shared" si="85"/>
        <v>Southern Tier|PASSAIC</v>
      </c>
    </row>
    <row r="2704" spans="1:7" x14ac:dyDescent="0.2">
      <c r="A2704" s="2" t="str" cm="1">
        <f t="array" ref="A2704">INDEX('[1]Brand Family Territory (Enc)'!$A$2:$A$296,INT((ROW()-2)/10)+1)</f>
        <v>Southern Tier</v>
      </c>
      <c r="B2704" s="2" t="str" cm="1">
        <f t="array" ref="B2704">INDEX('Whitelist (Blackout Reverse)'!$B$1:$K$1,MOD(ROW()-2,10)+1)</f>
        <v>PASSAIC-FF</v>
      </c>
      <c r="C2704" s="2" t="str">
        <f>VLOOKUP(A2704,'[1]Brand Family Territory (Enc)'!$A$2:$B$296,2,FALSE)</f>
        <v>Bergen/Passaic/Hudson/Essex</v>
      </c>
      <c r="D2704" s="2">
        <f>IF(COUNTIFS('[1]Brand Family Territories (Enc)'!$B$2:$B$62,C2704,'[1]Brand Family Territories (Enc)'!$C$2:$C$62,B2704)&gt;0,1,IF(AND(LEFT(B2704,6)="MORRIS",COUNTIFS('[1]Brand Family Territories (Enc)'!$B$2:$B$62,C2704,'[1]Brand Family Territories (Enc)'!$C$2:$C$62,"Morri")&gt;0),"Unk",0))</f>
        <v>1</v>
      </c>
      <c r="E2704" s="2" t="str">
        <f>IFERROR(INDEX('Blackout Brand Fam Areas (Enc)'!$D$6:$D$998,MATCH(UPPER(A2704)&amp;"|"&amp;UPPER(B2704),'Blackout Brand Fam Areas (Enc)'!$G$6:$G$998,0)),"No Match")</f>
        <v>No Match</v>
      </c>
      <c r="F2704" s="2" t="str">
        <f t="shared" si="84"/>
        <v>US</v>
      </c>
      <c r="G2704" s="2" t="str">
        <f t="shared" si="85"/>
        <v>Southern Tier|PASSAIC-FF</v>
      </c>
    </row>
    <row r="2705" spans="1:7" x14ac:dyDescent="0.2">
      <c r="A2705" s="2" t="str" cm="1">
        <f t="array" ref="A2705">INDEX('[1]Brand Family Territory (Enc)'!$A$2:$A$296,INT((ROW()-2)/10)+1)</f>
        <v>Southern Tier</v>
      </c>
      <c r="B2705" s="2" t="str" cm="1">
        <f t="array" ref="B2705">INDEX('Whitelist (Blackout Reverse)'!$B$1:$K$1,MOD(ROW()-2,10)+1)</f>
        <v>ESSEX</v>
      </c>
      <c r="C2705" s="2" t="str">
        <f>VLOOKUP(A2705,'[1]Brand Family Territory (Enc)'!$A$2:$B$296,2,FALSE)</f>
        <v>Bergen/Passaic/Hudson/Essex</v>
      </c>
      <c r="D2705" s="2">
        <f>IF(COUNTIFS('[1]Brand Family Territories (Enc)'!$B$2:$B$62,C2705,'[1]Brand Family Territories (Enc)'!$C$2:$C$62,B2705)&gt;0,1,IF(AND(LEFT(B2705,6)="MORRIS",COUNTIFS('[1]Brand Family Territories (Enc)'!$B$2:$B$62,C2705,'[1]Brand Family Territories (Enc)'!$C$2:$C$62,"Morri")&gt;0),"Unk",0))</f>
        <v>1</v>
      </c>
      <c r="E2705" s="2" t="str">
        <f>IFERROR(INDEX('Blackout Brand Fam Areas (Enc)'!$D$6:$D$998,MATCH(UPPER(A2705)&amp;"|"&amp;UPPER(B2705),'Blackout Brand Fam Areas (Enc)'!$G$6:$G$998,0)),"No Match")</f>
        <v>No Match</v>
      </c>
      <c r="F2705" s="2" t="str">
        <f t="shared" si="84"/>
        <v>US</v>
      </c>
      <c r="G2705" s="2" t="str">
        <f t="shared" si="85"/>
        <v>Southern Tier|ESSEX</v>
      </c>
    </row>
    <row r="2706" spans="1:7" x14ac:dyDescent="0.2">
      <c r="A2706" s="2" t="str" cm="1">
        <f t="array" ref="A2706">INDEX('[1]Brand Family Territory (Enc)'!$A$2:$A$296,INT((ROW()-2)/10)+1)</f>
        <v>Southern Tier</v>
      </c>
      <c r="B2706" s="2" t="str" cm="1">
        <f t="array" ref="B2706">INDEX('Whitelist (Blackout Reverse)'!$B$1:$K$1,MOD(ROW()-2,10)+1)</f>
        <v>HUDSON</v>
      </c>
      <c r="C2706" s="2" t="str">
        <f>VLOOKUP(A2706,'[1]Brand Family Territory (Enc)'!$A$2:$B$296,2,FALSE)</f>
        <v>Bergen/Passaic/Hudson/Essex</v>
      </c>
      <c r="D2706" s="2">
        <f>IF(COUNTIFS('[1]Brand Family Territories (Enc)'!$B$2:$B$62,C2706,'[1]Brand Family Territories (Enc)'!$C$2:$C$62,B2706)&gt;0,1,IF(AND(LEFT(B2706,6)="MORRIS",COUNTIFS('[1]Brand Family Territories (Enc)'!$B$2:$B$62,C2706,'[1]Brand Family Territories (Enc)'!$C$2:$C$62,"Morri")&gt;0),"Unk",0))</f>
        <v>1</v>
      </c>
      <c r="E2706" s="2" t="str">
        <f>IFERROR(INDEX('Blackout Brand Fam Areas (Enc)'!$D$6:$D$998,MATCH(UPPER(A2706)&amp;"|"&amp;UPPER(B2706),'Blackout Brand Fam Areas (Enc)'!$G$6:$G$998,0)),"No Match")</f>
        <v>No Match</v>
      </c>
      <c r="F2706" s="2" t="str">
        <f t="shared" si="84"/>
        <v>US</v>
      </c>
      <c r="G2706" s="2" t="str">
        <f t="shared" si="85"/>
        <v>Southern Tier|HUDSON</v>
      </c>
    </row>
    <row r="2707" spans="1:7" x14ac:dyDescent="0.2">
      <c r="A2707" s="2" t="str" cm="1">
        <f t="array" ref="A2707">INDEX('[1]Brand Family Territory (Enc)'!$A$2:$A$296,INT((ROW()-2)/10)+1)</f>
        <v>Southern Tier</v>
      </c>
      <c r="B2707" s="2" t="str" cm="1">
        <f t="array" ref="B2707">INDEX('Whitelist (Blackout Reverse)'!$B$1:$K$1,MOD(ROW()-2,10)+1)</f>
        <v>UNION</v>
      </c>
      <c r="C2707" s="2" t="str">
        <f>VLOOKUP(A2707,'[1]Brand Family Territory (Enc)'!$A$2:$B$296,2,FALSE)</f>
        <v>Bergen/Passaic/Hudson/Essex</v>
      </c>
      <c r="D2707" s="2">
        <f>IF(COUNTIFS('[1]Brand Family Territories (Enc)'!$B$2:$B$62,C2707,'[1]Brand Family Territories (Enc)'!$C$2:$C$62,B2707)&gt;0,1,IF(AND(LEFT(B2707,6)="MORRIS",COUNTIFS('[1]Brand Family Territories (Enc)'!$B$2:$B$62,C2707,'[1]Brand Family Territories (Enc)'!$C$2:$C$62,"Morri")&gt;0),"Unk",0))</f>
        <v>0</v>
      </c>
      <c r="E2707" s="2" t="str">
        <f>IFERROR(INDEX('Blackout Brand Fam Areas (Enc)'!$D$6:$D$998,MATCH(UPPER(A2707)&amp;"|"&amp;UPPER(B2707),'Blackout Brand Fam Areas (Enc)'!$G$6:$G$998,0)),"No Match")</f>
        <v>Inactive</v>
      </c>
      <c r="F2707" s="2" t="str">
        <f t="shared" si="84"/>
        <v>THEM</v>
      </c>
      <c r="G2707" s="2" t="str">
        <f t="shared" si="85"/>
        <v>Southern Tier|UNION</v>
      </c>
    </row>
    <row r="2708" spans="1:7" x14ac:dyDescent="0.2">
      <c r="A2708" s="2" t="str" cm="1">
        <f t="array" ref="A2708">INDEX('[1]Brand Family Territory (Enc)'!$A$2:$A$296,INT((ROW()-2)/10)+1)</f>
        <v>Southern Tier</v>
      </c>
      <c r="B2708" s="2" t="str" cm="1">
        <f t="array" ref="B2708">INDEX('Whitelist (Blackout Reverse)'!$B$1:$K$1,MOD(ROW()-2,10)+1)</f>
        <v>SUSSEX</v>
      </c>
      <c r="C2708" s="2" t="str">
        <f>VLOOKUP(A2708,'[1]Brand Family Territory (Enc)'!$A$2:$B$296,2,FALSE)</f>
        <v>Bergen/Passaic/Hudson/Essex</v>
      </c>
      <c r="D2708" s="2">
        <f>IF(COUNTIFS('[1]Brand Family Territories (Enc)'!$B$2:$B$62,C2708,'[1]Brand Family Territories (Enc)'!$C$2:$C$62,B2708)&gt;0,1,IF(AND(LEFT(B2708,6)="MORRIS",COUNTIFS('[1]Brand Family Territories (Enc)'!$B$2:$B$62,C2708,'[1]Brand Family Territories (Enc)'!$C$2:$C$62,"Morri")&gt;0),"Unk",0))</f>
        <v>0</v>
      </c>
      <c r="E2708" s="2" t="str">
        <f>IFERROR(INDEX('Blackout Brand Fam Areas (Enc)'!$D$6:$D$998,MATCH(UPPER(A2708)&amp;"|"&amp;UPPER(B2708),'Blackout Brand Fam Areas (Enc)'!$G$6:$G$998,0)),"No Match")</f>
        <v>Inactive</v>
      </c>
      <c r="F2708" s="2" t="str">
        <f t="shared" si="84"/>
        <v>THEM</v>
      </c>
      <c r="G2708" s="2" t="str">
        <f t="shared" si="85"/>
        <v>Southern Tier|SUSSEX</v>
      </c>
    </row>
    <row r="2709" spans="1:7" x14ac:dyDescent="0.2">
      <c r="A2709" s="2" t="str" cm="1">
        <f t="array" ref="A2709">INDEX('[1]Brand Family Territory (Enc)'!$A$2:$A$296,INT((ROW()-2)/10)+1)</f>
        <v>Southern Tier</v>
      </c>
      <c r="B2709" s="2" t="str" cm="1">
        <f t="array" ref="B2709">INDEX('Whitelist (Blackout Reverse)'!$B$1:$K$1,MOD(ROW()-2,10)+1)</f>
        <v>MORRIS 1</v>
      </c>
      <c r="C2709" s="2" t="str">
        <f>VLOOKUP(A2709,'[1]Brand Family Territory (Enc)'!$A$2:$B$296,2,FALSE)</f>
        <v>Bergen/Passaic/Hudson/Essex</v>
      </c>
      <c r="D2709" s="2">
        <f>IF(COUNTIFS('[1]Brand Family Territories (Enc)'!$B$2:$B$62,C2709,'[1]Brand Family Territories (Enc)'!$C$2:$C$62,B2709)&gt;0,1,IF(AND(LEFT(B2709,6)="MORRIS",COUNTIFS('[1]Brand Family Territories (Enc)'!$B$2:$B$62,C2709,'[1]Brand Family Territories (Enc)'!$C$2:$C$62,"Morri")&gt;0),"Unk",0))</f>
        <v>0</v>
      </c>
      <c r="E2709" s="2" t="str">
        <f>IFERROR(INDEX('Blackout Brand Fam Areas (Enc)'!$D$6:$D$998,MATCH(UPPER(A2709)&amp;"|"&amp;UPPER(B2709),'Blackout Brand Fam Areas (Enc)'!$G$6:$G$998,0)),"No Match")</f>
        <v>Inactive</v>
      </c>
      <c r="F2709" s="2" t="str">
        <f t="shared" si="84"/>
        <v>THEM</v>
      </c>
      <c r="G2709" s="2" t="str">
        <f t="shared" si="85"/>
        <v>Southern Tier|MORRIS 1</v>
      </c>
    </row>
    <row r="2710" spans="1:7" x14ac:dyDescent="0.2">
      <c r="A2710" s="2" t="str" cm="1">
        <f t="array" ref="A2710">INDEX('[1]Brand Family Territory (Enc)'!$A$2:$A$296,INT((ROW()-2)/10)+1)</f>
        <v>Southern Tier</v>
      </c>
      <c r="B2710" s="2" t="str" cm="1">
        <f t="array" ref="B2710">INDEX('Whitelist (Blackout Reverse)'!$B$1:$K$1,MOD(ROW()-2,10)+1)</f>
        <v>MORRIS 2</v>
      </c>
      <c r="C2710" s="2" t="str">
        <f>VLOOKUP(A2710,'[1]Brand Family Territory (Enc)'!$A$2:$B$296,2,FALSE)</f>
        <v>Bergen/Passaic/Hudson/Essex</v>
      </c>
      <c r="D2710" s="2">
        <f>IF(COUNTIFS('[1]Brand Family Territories (Enc)'!$B$2:$B$62,C2710,'[1]Brand Family Territories (Enc)'!$C$2:$C$62,B2710)&gt;0,1,IF(AND(LEFT(B2710,6)="MORRIS",COUNTIFS('[1]Brand Family Territories (Enc)'!$B$2:$B$62,C2710,'[1]Brand Family Territories (Enc)'!$C$2:$C$62,"Morri")&gt;0),"Unk",0))</f>
        <v>0</v>
      </c>
      <c r="E2710" s="2" t="str">
        <f>IFERROR(INDEX('Blackout Brand Fam Areas (Enc)'!$D$6:$D$998,MATCH(UPPER(A2710)&amp;"|"&amp;UPPER(B2710),'Blackout Brand Fam Areas (Enc)'!$G$6:$G$998,0)),"No Match")</f>
        <v>Inactive</v>
      </c>
      <c r="F2710" s="2" t="str">
        <f t="shared" si="84"/>
        <v>THEM</v>
      </c>
      <c r="G2710" s="2" t="str">
        <f t="shared" si="85"/>
        <v>Southern Tier|MORRIS 2</v>
      </c>
    </row>
    <row r="2711" spans="1:7" x14ac:dyDescent="0.2">
      <c r="A2711" s="2" t="str" cm="1">
        <f t="array" ref="A2711">INDEX('[1]Brand Family Territory (Enc)'!$A$2:$A$296,INT((ROW()-2)/10)+1)</f>
        <v>Southern Tier</v>
      </c>
      <c r="B2711" s="2" t="str" cm="1">
        <f t="array" ref="B2711">INDEX('Whitelist (Blackout Reverse)'!$B$1:$K$1,MOD(ROW()-2,10)+1)</f>
        <v>MORRIS 3</v>
      </c>
      <c r="C2711" s="2" t="str">
        <f>VLOOKUP(A2711,'[1]Brand Family Territory (Enc)'!$A$2:$B$296,2,FALSE)</f>
        <v>Bergen/Passaic/Hudson/Essex</v>
      </c>
      <c r="D2711" s="2">
        <f>IF(COUNTIFS('[1]Brand Family Territories (Enc)'!$B$2:$B$62,C2711,'[1]Brand Family Territories (Enc)'!$C$2:$C$62,B2711)&gt;0,1,IF(AND(LEFT(B2711,6)="MORRIS",COUNTIFS('[1]Brand Family Territories (Enc)'!$B$2:$B$62,C2711,'[1]Brand Family Territories (Enc)'!$C$2:$C$62,"Morri")&gt;0),"Unk",0))</f>
        <v>0</v>
      </c>
      <c r="E2711" s="2" t="str">
        <f>IFERROR(INDEX('Blackout Brand Fam Areas (Enc)'!$D$6:$D$998,MATCH(UPPER(A2711)&amp;"|"&amp;UPPER(B2711),'Blackout Brand Fam Areas (Enc)'!$G$6:$G$998,0)),"No Match")</f>
        <v>Inactive</v>
      </c>
      <c r="F2711" s="2" t="str">
        <f t="shared" si="84"/>
        <v>THEM</v>
      </c>
      <c r="G2711" s="2" t="str">
        <f t="shared" si="85"/>
        <v>Southern Tier|MORRIS 3</v>
      </c>
    </row>
    <row r="2712" spans="1:7" x14ac:dyDescent="0.2">
      <c r="A2712" s="2" t="str" cm="1">
        <f t="array" ref="A2712">INDEX('[1]Brand Family Territory (Enc)'!$A$2:$A$296,INT((ROW()-2)/10)+1)</f>
        <v>Southern Tier Distilling</v>
      </c>
      <c r="B2712" s="2" t="str" cm="1">
        <f t="array" ref="B2712">INDEX('Whitelist (Blackout Reverse)'!$B$1:$K$1,MOD(ROW()-2,10)+1)</f>
        <v>BERGEN</v>
      </c>
      <c r="C2712" s="2" t="str">
        <f>VLOOKUP(A2712,'[1]Brand Family Territory (Enc)'!$A$2:$B$296,2,FALSE)</f>
        <v>Bergen/Passaic/Hudson/Essex</v>
      </c>
      <c r="D2712" s="2">
        <f>IF(COUNTIFS('[1]Brand Family Territories (Enc)'!$B$2:$B$62,C2712,'[1]Brand Family Territories (Enc)'!$C$2:$C$62,B2712)&gt;0,1,IF(AND(LEFT(B2712,6)="MORRIS",COUNTIFS('[1]Brand Family Territories (Enc)'!$B$2:$B$62,C2712,'[1]Brand Family Territories (Enc)'!$C$2:$C$62,"Morri")&gt;0),"Unk",0))</f>
        <v>1</v>
      </c>
      <c r="E2712" s="2" t="str">
        <f>IFERROR(INDEX('Blackout Brand Fam Areas (Enc)'!$D$6:$D$998,MATCH(UPPER(A2712)&amp;"|"&amp;UPPER(B2712),'Blackout Brand Fam Areas (Enc)'!$G$6:$G$998,0)),"No Match")</f>
        <v>No Match</v>
      </c>
      <c r="F2712" s="2" t="str">
        <f t="shared" si="84"/>
        <v>US</v>
      </c>
      <c r="G2712" s="2" t="str">
        <f t="shared" si="85"/>
        <v>Southern Tier Distilling|BERGEN</v>
      </c>
    </row>
    <row r="2713" spans="1:7" x14ac:dyDescent="0.2">
      <c r="A2713" s="2" t="str" cm="1">
        <f t="array" ref="A2713">INDEX('[1]Brand Family Territory (Enc)'!$A$2:$A$296,INT((ROW()-2)/10)+1)</f>
        <v>Southern Tier Distilling</v>
      </c>
      <c r="B2713" s="2" t="str" cm="1">
        <f t="array" ref="B2713">INDEX('Whitelist (Blackout Reverse)'!$B$1:$K$1,MOD(ROW()-2,10)+1)</f>
        <v>PASSAIC</v>
      </c>
      <c r="C2713" s="2" t="str">
        <f>VLOOKUP(A2713,'[1]Brand Family Territory (Enc)'!$A$2:$B$296,2,FALSE)</f>
        <v>Bergen/Passaic/Hudson/Essex</v>
      </c>
      <c r="D2713" s="2">
        <f>IF(COUNTIFS('[1]Brand Family Territories (Enc)'!$B$2:$B$62,C2713,'[1]Brand Family Territories (Enc)'!$C$2:$C$62,B2713)&gt;0,1,IF(AND(LEFT(B2713,6)="MORRIS",COUNTIFS('[1]Brand Family Territories (Enc)'!$B$2:$B$62,C2713,'[1]Brand Family Territories (Enc)'!$C$2:$C$62,"Morri")&gt;0),"Unk",0))</f>
        <v>1</v>
      </c>
      <c r="E2713" s="2" t="str">
        <f>IFERROR(INDEX('Blackout Brand Fam Areas (Enc)'!$D$6:$D$998,MATCH(UPPER(A2713)&amp;"|"&amp;UPPER(B2713),'Blackout Brand Fam Areas (Enc)'!$G$6:$G$998,0)),"No Match")</f>
        <v>No Match</v>
      </c>
      <c r="F2713" s="2" t="str">
        <f t="shared" si="84"/>
        <v>US</v>
      </c>
      <c r="G2713" s="2" t="str">
        <f t="shared" si="85"/>
        <v>Southern Tier Distilling|PASSAIC</v>
      </c>
    </row>
    <row r="2714" spans="1:7" x14ac:dyDescent="0.2">
      <c r="A2714" s="2" t="str" cm="1">
        <f t="array" ref="A2714">INDEX('[1]Brand Family Territory (Enc)'!$A$2:$A$296,INT((ROW()-2)/10)+1)</f>
        <v>Southern Tier Distilling</v>
      </c>
      <c r="B2714" s="2" t="str" cm="1">
        <f t="array" ref="B2714">INDEX('Whitelist (Blackout Reverse)'!$B$1:$K$1,MOD(ROW()-2,10)+1)</f>
        <v>PASSAIC-FF</v>
      </c>
      <c r="C2714" s="2" t="str">
        <f>VLOOKUP(A2714,'[1]Brand Family Territory (Enc)'!$A$2:$B$296,2,FALSE)</f>
        <v>Bergen/Passaic/Hudson/Essex</v>
      </c>
      <c r="D2714" s="2">
        <f>IF(COUNTIFS('[1]Brand Family Territories (Enc)'!$B$2:$B$62,C2714,'[1]Brand Family Territories (Enc)'!$C$2:$C$62,B2714)&gt;0,1,IF(AND(LEFT(B2714,6)="MORRIS",COUNTIFS('[1]Brand Family Territories (Enc)'!$B$2:$B$62,C2714,'[1]Brand Family Territories (Enc)'!$C$2:$C$62,"Morri")&gt;0),"Unk",0))</f>
        <v>1</v>
      </c>
      <c r="E2714" s="2" t="str">
        <f>IFERROR(INDEX('Blackout Brand Fam Areas (Enc)'!$D$6:$D$998,MATCH(UPPER(A2714)&amp;"|"&amp;UPPER(B2714),'Blackout Brand Fam Areas (Enc)'!$G$6:$G$998,0)),"No Match")</f>
        <v>No Match</v>
      </c>
      <c r="F2714" s="2" t="str">
        <f t="shared" si="84"/>
        <v>US</v>
      </c>
      <c r="G2714" s="2" t="str">
        <f t="shared" si="85"/>
        <v>Southern Tier Distilling|PASSAIC-FF</v>
      </c>
    </row>
    <row r="2715" spans="1:7" x14ac:dyDescent="0.2">
      <c r="A2715" s="2" t="str" cm="1">
        <f t="array" ref="A2715">INDEX('[1]Brand Family Territory (Enc)'!$A$2:$A$296,INT((ROW()-2)/10)+1)</f>
        <v>Southern Tier Distilling</v>
      </c>
      <c r="B2715" s="2" t="str" cm="1">
        <f t="array" ref="B2715">INDEX('Whitelist (Blackout Reverse)'!$B$1:$K$1,MOD(ROW()-2,10)+1)</f>
        <v>ESSEX</v>
      </c>
      <c r="C2715" s="2" t="str">
        <f>VLOOKUP(A2715,'[1]Brand Family Territory (Enc)'!$A$2:$B$296,2,FALSE)</f>
        <v>Bergen/Passaic/Hudson/Essex</v>
      </c>
      <c r="D2715" s="2">
        <f>IF(COUNTIFS('[1]Brand Family Territories (Enc)'!$B$2:$B$62,C2715,'[1]Brand Family Territories (Enc)'!$C$2:$C$62,B2715)&gt;0,1,IF(AND(LEFT(B2715,6)="MORRIS",COUNTIFS('[1]Brand Family Territories (Enc)'!$B$2:$B$62,C2715,'[1]Brand Family Territories (Enc)'!$C$2:$C$62,"Morri")&gt;0),"Unk",0))</f>
        <v>1</v>
      </c>
      <c r="E2715" s="2" t="str">
        <f>IFERROR(INDEX('Blackout Brand Fam Areas (Enc)'!$D$6:$D$998,MATCH(UPPER(A2715)&amp;"|"&amp;UPPER(B2715),'Blackout Brand Fam Areas (Enc)'!$G$6:$G$998,0)),"No Match")</f>
        <v>No Match</v>
      </c>
      <c r="F2715" s="2" t="str">
        <f t="shared" si="84"/>
        <v>US</v>
      </c>
      <c r="G2715" s="2" t="str">
        <f t="shared" si="85"/>
        <v>Southern Tier Distilling|ESSEX</v>
      </c>
    </row>
    <row r="2716" spans="1:7" x14ac:dyDescent="0.2">
      <c r="A2716" s="2" t="str" cm="1">
        <f t="array" ref="A2716">INDEX('[1]Brand Family Territory (Enc)'!$A$2:$A$296,INT((ROW()-2)/10)+1)</f>
        <v>Southern Tier Distilling</v>
      </c>
      <c r="B2716" s="2" t="str" cm="1">
        <f t="array" ref="B2716">INDEX('Whitelist (Blackout Reverse)'!$B$1:$K$1,MOD(ROW()-2,10)+1)</f>
        <v>HUDSON</v>
      </c>
      <c r="C2716" s="2" t="str">
        <f>VLOOKUP(A2716,'[1]Brand Family Territory (Enc)'!$A$2:$B$296,2,FALSE)</f>
        <v>Bergen/Passaic/Hudson/Essex</v>
      </c>
      <c r="D2716" s="2">
        <f>IF(COUNTIFS('[1]Brand Family Territories (Enc)'!$B$2:$B$62,C2716,'[1]Brand Family Territories (Enc)'!$C$2:$C$62,B2716)&gt;0,1,IF(AND(LEFT(B2716,6)="MORRIS",COUNTIFS('[1]Brand Family Territories (Enc)'!$B$2:$B$62,C2716,'[1]Brand Family Territories (Enc)'!$C$2:$C$62,"Morri")&gt;0),"Unk",0))</f>
        <v>1</v>
      </c>
      <c r="E2716" s="2" t="str">
        <f>IFERROR(INDEX('Blackout Brand Fam Areas (Enc)'!$D$6:$D$998,MATCH(UPPER(A2716)&amp;"|"&amp;UPPER(B2716),'Blackout Brand Fam Areas (Enc)'!$G$6:$G$998,0)),"No Match")</f>
        <v>No Match</v>
      </c>
      <c r="F2716" s="2" t="str">
        <f t="shared" si="84"/>
        <v>US</v>
      </c>
      <c r="G2716" s="2" t="str">
        <f t="shared" si="85"/>
        <v>Southern Tier Distilling|HUDSON</v>
      </c>
    </row>
    <row r="2717" spans="1:7" x14ac:dyDescent="0.2">
      <c r="A2717" s="2" t="str" cm="1">
        <f t="array" ref="A2717">INDEX('[1]Brand Family Territory (Enc)'!$A$2:$A$296,INT((ROW()-2)/10)+1)</f>
        <v>Southern Tier Distilling</v>
      </c>
      <c r="B2717" s="2" t="str" cm="1">
        <f t="array" ref="B2717">INDEX('Whitelist (Blackout Reverse)'!$B$1:$K$1,MOD(ROW()-2,10)+1)</f>
        <v>UNION</v>
      </c>
      <c r="C2717" s="2" t="str">
        <f>VLOOKUP(A2717,'[1]Brand Family Territory (Enc)'!$A$2:$B$296,2,FALSE)</f>
        <v>Bergen/Passaic/Hudson/Essex</v>
      </c>
      <c r="D2717" s="2">
        <f>IF(COUNTIFS('[1]Brand Family Territories (Enc)'!$B$2:$B$62,C2717,'[1]Brand Family Territories (Enc)'!$C$2:$C$62,B2717)&gt;0,1,IF(AND(LEFT(B2717,6)="MORRIS",COUNTIFS('[1]Brand Family Territories (Enc)'!$B$2:$B$62,C2717,'[1]Brand Family Territories (Enc)'!$C$2:$C$62,"Morri")&gt;0),"Unk",0))</f>
        <v>0</v>
      </c>
      <c r="E2717" s="2" t="str">
        <f>IFERROR(INDEX('Blackout Brand Fam Areas (Enc)'!$D$6:$D$998,MATCH(UPPER(A2717)&amp;"|"&amp;UPPER(B2717),'Blackout Brand Fam Areas (Enc)'!$G$6:$G$998,0)),"No Match")</f>
        <v>Inactive</v>
      </c>
      <c r="F2717" s="2" t="str">
        <f t="shared" si="84"/>
        <v>THEM</v>
      </c>
      <c r="G2717" s="2" t="str">
        <f t="shared" si="85"/>
        <v>Southern Tier Distilling|UNION</v>
      </c>
    </row>
    <row r="2718" spans="1:7" x14ac:dyDescent="0.2">
      <c r="A2718" s="2" t="str" cm="1">
        <f t="array" ref="A2718">INDEX('[1]Brand Family Territory (Enc)'!$A$2:$A$296,INT((ROW()-2)/10)+1)</f>
        <v>Southern Tier Distilling</v>
      </c>
      <c r="B2718" s="2" t="str" cm="1">
        <f t="array" ref="B2718">INDEX('Whitelist (Blackout Reverse)'!$B$1:$K$1,MOD(ROW()-2,10)+1)</f>
        <v>SUSSEX</v>
      </c>
      <c r="C2718" s="2" t="str">
        <f>VLOOKUP(A2718,'[1]Brand Family Territory (Enc)'!$A$2:$B$296,2,FALSE)</f>
        <v>Bergen/Passaic/Hudson/Essex</v>
      </c>
      <c r="D2718" s="2">
        <f>IF(COUNTIFS('[1]Brand Family Territories (Enc)'!$B$2:$B$62,C2718,'[1]Brand Family Territories (Enc)'!$C$2:$C$62,B2718)&gt;0,1,IF(AND(LEFT(B2718,6)="MORRIS",COUNTIFS('[1]Brand Family Territories (Enc)'!$B$2:$B$62,C2718,'[1]Brand Family Territories (Enc)'!$C$2:$C$62,"Morri")&gt;0),"Unk",0))</f>
        <v>0</v>
      </c>
      <c r="E2718" s="2" t="str">
        <f>IFERROR(INDEX('Blackout Brand Fam Areas (Enc)'!$D$6:$D$998,MATCH(UPPER(A2718)&amp;"|"&amp;UPPER(B2718),'Blackout Brand Fam Areas (Enc)'!$G$6:$G$998,0)),"No Match")</f>
        <v>Inactive</v>
      </c>
      <c r="F2718" s="2" t="str">
        <f t="shared" si="84"/>
        <v>THEM</v>
      </c>
      <c r="G2718" s="2" t="str">
        <f t="shared" si="85"/>
        <v>Southern Tier Distilling|SUSSEX</v>
      </c>
    </row>
    <row r="2719" spans="1:7" x14ac:dyDescent="0.2">
      <c r="A2719" s="2" t="str" cm="1">
        <f t="array" ref="A2719">INDEX('[1]Brand Family Territory (Enc)'!$A$2:$A$296,INT((ROW()-2)/10)+1)</f>
        <v>Southern Tier Distilling</v>
      </c>
      <c r="B2719" s="2" t="str" cm="1">
        <f t="array" ref="B2719">INDEX('Whitelist (Blackout Reverse)'!$B$1:$K$1,MOD(ROW()-2,10)+1)</f>
        <v>MORRIS 1</v>
      </c>
      <c r="C2719" s="2" t="str">
        <f>VLOOKUP(A2719,'[1]Brand Family Territory (Enc)'!$A$2:$B$296,2,FALSE)</f>
        <v>Bergen/Passaic/Hudson/Essex</v>
      </c>
      <c r="D2719" s="2">
        <f>IF(COUNTIFS('[1]Brand Family Territories (Enc)'!$B$2:$B$62,C2719,'[1]Brand Family Territories (Enc)'!$C$2:$C$62,B2719)&gt;0,1,IF(AND(LEFT(B2719,6)="MORRIS",COUNTIFS('[1]Brand Family Territories (Enc)'!$B$2:$B$62,C2719,'[1]Brand Family Territories (Enc)'!$C$2:$C$62,"Morri")&gt;0),"Unk",0))</f>
        <v>0</v>
      </c>
      <c r="E2719" s="2" t="str">
        <f>IFERROR(INDEX('Blackout Brand Fam Areas (Enc)'!$D$6:$D$998,MATCH(UPPER(A2719)&amp;"|"&amp;UPPER(B2719),'Blackout Brand Fam Areas (Enc)'!$G$6:$G$998,0)),"No Match")</f>
        <v>Inactive</v>
      </c>
      <c r="F2719" s="2" t="str">
        <f t="shared" si="84"/>
        <v>THEM</v>
      </c>
      <c r="G2719" s="2" t="str">
        <f t="shared" si="85"/>
        <v>Southern Tier Distilling|MORRIS 1</v>
      </c>
    </row>
    <row r="2720" spans="1:7" x14ac:dyDescent="0.2">
      <c r="A2720" s="2" t="str" cm="1">
        <f t="array" ref="A2720">INDEX('[1]Brand Family Territory (Enc)'!$A$2:$A$296,INT((ROW()-2)/10)+1)</f>
        <v>Southern Tier Distilling</v>
      </c>
      <c r="B2720" s="2" t="str" cm="1">
        <f t="array" ref="B2720">INDEX('Whitelist (Blackout Reverse)'!$B$1:$K$1,MOD(ROW()-2,10)+1)</f>
        <v>MORRIS 2</v>
      </c>
      <c r="C2720" s="2" t="str">
        <f>VLOOKUP(A2720,'[1]Brand Family Territory (Enc)'!$A$2:$B$296,2,FALSE)</f>
        <v>Bergen/Passaic/Hudson/Essex</v>
      </c>
      <c r="D2720" s="2">
        <f>IF(COUNTIFS('[1]Brand Family Territories (Enc)'!$B$2:$B$62,C2720,'[1]Brand Family Territories (Enc)'!$C$2:$C$62,B2720)&gt;0,1,IF(AND(LEFT(B2720,6)="MORRIS",COUNTIFS('[1]Brand Family Territories (Enc)'!$B$2:$B$62,C2720,'[1]Brand Family Territories (Enc)'!$C$2:$C$62,"Morri")&gt;0),"Unk",0))</f>
        <v>0</v>
      </c>
      <c r="E2720" s="2" t="str">
        <f>IFERROR(INDEX('Blackout Brand Fam Areas (Enc)'!$D$6:$D$998,MATCH(UPPER(A2720)&amp;"|"&amp;UPPER(B2720),'Blackout Brand Fam Areas (Enc)'!$G$6:$G$998,0)),"No Match")</f>
        <v>Inactive</v>
      </c>
      <c r="F2720" s="2" t="str">
        <f t="shared" si="84"/>
        <v>THEM</v>
      </c>
      <c r="G2720" s="2" t="str">
        <f t="shared" si="85"/>
        <v>Southern Tier Distilling|MORRIS 2</v>
      </c>
    </row>
    <row r="2721" spans="1:7" x14ac:dyDescent="0.2">
      <c r="A2721" s="2" t="str" cm="1">
        <f t="array" ref="A2721">INDEX('[1]Brand Family Territory (Enc)'!$A$2:$A$296,INT((ROW()-2)/10)+1)</f>
        <v>Southern Tier Distilling</v>
      </c>
      <c r="B2721" s="2" t="str" cm="1">
        <f t="array" ref="B2721">INDEX('Whitelist (Blackout Reverse)'!$B$1:$K$1,MOD(ROW()-2,10)+1)</f>
        <v>MORRIS 3</v>
      </c>
      <c r="C2721" s="2" t="str">
        <f>VLOOKUP(A2721,'[1]Brand Family Territory (Enc)'!$A$2:$B$296,2,FALSE)</f>
        <v>Bergen/Passaic/Hudson/Essex</v>
      </c>
      <c r="D2721" s="2">
        <f>IF(COUNTIFS('[1]Brand Family Territories (Enc)'!$B$2:$B$62,C2721,'[1]Brand Family Territories (Enc)'!$C$2:$C$62,B2721)&gt;0,1,IF(AND(LEFT(B2721,6)="MORRIS",COUNTIFS('[1]Brand Family Territories (Enc)'!$B$2:$B$62,C2721,'[1]Brand Family Territories (Enc)'!$C$2:$C$62,"Morri")&gt;0),"Unk",0))</f>
        <v>0</v>
      </c>
      <c r="E2721" s="2" t="str">
        <f>IFERROR(INDEX('Blackout Brand Fam Areas (Enc)'!$D$6:$D$998,MATCH(UPPER(A2721)&amp;"|"&amp;UPPER(B2721),'Blackout Brand Fam Areas (Enc)'!$G$6:$G$998,0)),"No Match")</f>
        <v>Inactive</v>
      </c>
      <c r="F2721" s="2" t="str">
        <f t="shared" si="84"/>
        <v>THEM</v>
      </c>
      <c r="G2721" s="2" t="str">
        <f t="shared" si="85"/>
        <v>Southern Tier Distilling|MORRIS 3</v>
      </c>
    </row>
    <row r="2722" spans="1:7" x14ac:dyDescent="0.2">
      <c r="A2722" s="2" t="str" cm="1">
        <f t="array" ref="A2722">INDEX('[1]Brand Family Territory (Enc)'!$A$2:$A$296,INT((ROW()-2)/10)+1)</f>
        <v>Stone Brewing</v>
      </c>
      <c r="B2722" s="2" t="str" cm="1">
        <f t="array" ref="B2722">INDEX('Whitelist (Blackout Reverse)'!$B$1:$K$1,MOD(ROW()-2,10)+1)</f>
        <v>BERGEN</v>
      </c>
      <c r="C2722" s="2" t="str">
        <f>VLOOKUP(A2722,'[1]Brand Family Territory (Enc)'!$A$2:$B$296,2,FALSE)</f>
        <v>Bergen/Passaic/Hudson/Essex</v>
      </c>
      <c r="D2722" s="2">
        <f>IF(COUNTIFS('[1]Brand Family Territories (Enc)'!$B$2:$B$62,C2722,'[1]Brand Family Territories (Enc)'!$C$2:$C$62,B2722)&gt;0,1,IF(AND(LEFT(B2722,6)="MORRIS",COUNTIFS('[1]Brand Family Territories (Enc)'!$B$2:$B$62,C2722,'[1]Brand Family Territories (Enc)'!$C$2:$C$62,"Morri")&gt;0),"Unk",0))</f>
        <v>1</v>
      </c>
      <c r="E2722" s="2" t="str">
        <f>IFERROR(INDEX('Blackout Brand Fam Areas (Enc)'!$D$6:$D$998,MATCH(UPPER(A2722)&amp;"|"&amp;UPPER(B2722),'Blackout Brand Fam Areas (Enc)'!$G$6:$G$998,0)),"No Match")</f>
        <v>No Match</v>
      </c>
      <c r="F2722" s="2" t="str">
        <f t="shared" si="84"/>
        <v>US</v>
      </c>
      <c r="G2722" s="2" t="str">
        <f t="shared" si="85"/>
        <v>Stone Brewing|BERGEN</v>
      </c>
    </row>
    <row r="2723" spans="1:7" x14ac:dyDescent="0.2">
      <c r="A2723" s="2" t="str" cm="1">
        <f t="array" ref="A2723">INDEX('[1]Brand Family Territory (Enc)'!$A$2:$A$296,INT((ROW()-2)/10)+1)</f>
        <v>Stone Brewing</v>
      </c>
      <c r="B2723" s="2" t="str" cm="1">
        <f t="array" ref="B2723">INDEX('Whitelist (Blackout Reverse)'!$B$1:$K$1,MOD(ROW()-2,10)+1)</f>
        <v>PASSAIC</v>
      </c>
      <c r="C2723" s="2" t="str">
        <f>VLOOKUP(A2723,'[1]Brand Family Territory (Enc)'!$A$2:$B$296,2,FALSE)</f>
        <v>Bergen/Passaic/Hudson/Essex</v>
      </c>
      <c r="D2723" s="2">
        <f>IF(COUNTIFS('[1]Brand Family Territories (Enc)'!$B$2:$B$62,C2723,'[1]Brand Family Territories (Enc)'!$C$2:$C$62,B2723)&gt;0,1,IF(AND(LEFT(B2723,6)="MORRIS",COUNTIFS('[1]Brand Family Territories (Enc)'!$B$2:$B$62,C2723,'[1]Brand Family Territories (Enc)'!$C$2:$C$62,"Morri")&gt;0),"Unk",0))</f>
        <v>1</v>
      </c>
      <c r="E2723" s="2" t="str">
        <f>IFERROR(INDEX('Blackout Brand Fam Areas (Enc)'!$D$6:$D$998,MATCH(UPPER(A2723)&amp;"|"&amp;UPPER(B2723),'Blackout Brand Fam Areas (Enc)'!$G$6:$G$998,0)),"No Match")</f>
        <v>No Match</v>
      </c>
      <c r="F2723" s="2" t="str">
        <f t="shared" si="84"/>
        <v>US</v>
      </c>
      <c r="G2723" s="2" t="str">
        <f t="shared" si="85"/>
        <v>Stone Brewing|PASSAIC</v>
      </c>
    </row>
    <row r="2724" spans="1:7" x14ac:dyDescent="0.2">
      <c r="A2724" s="2" t="str" cm="1">
        <f t="array" ref="A2724">INDEX('[1]Brand Family Territory (Enc)'!$A$2:$A$296,INT((ROW()-2)/10)+1)</f>
        <v>Stone Brewing</v>
      </c>
      <c r="B2724" s="2" t="str" cm="1">
        <f t="array" ref="B2724">INDEX('Whitelist (Blackout Reverse)'!$B$1:$K$1,MOD(ROW()-2,10)+1)</f>
        <v>PASSAIC-FF</v>
      </c>
      <c r="C2724" s="2" t="str">
        <f>VLOOKUP(A2724,'[1]Brand Family Territory (Enc)'!$A$2:$B$296,2,FALSE)</f>
        <v>Bergen/Passaic/Hudson/Essex</v>
      </c>
      <c r="D2724" s="2">
        <f>IF(COUNTIFS('[1]Brand Family Territories (Enc)'!$B$2:$B$62,C2724,'[1]Brand Family Territories (Enc)'!$C$2:$C$62,B2724)&gt;0,1,IF(AND(LEFT(B2724,6)="MORRIS",COUNTIFS('[1]Brand Family Territories (Enc)'!$B$2:$B$62,C2724,'[1]Brand Family Territories (Enc)'!$C$2:$C$62,"Morri")&gt;0),"Unk",0))</f>
        <v>1</v>
      </c>
      <c r="E2724" s="2" t="str">
        <f>IFERROR(INDEX('Blackout Brand Fam Areas (Enc)'!$D$6:$D$998,MATCH(UPPER(A2724)&amp;"|"&amp;UPPER(B2724),'Blackout Brand Fam Areas (Enc)'!$G$6:$G$998,0)),"No Match")</f>
        <v>No Match</v>
      </c>
      <c r="F2724" s="2" t="str">
        <f t="shared" si="84"/>
        <v>US</v>
      </c>
      <c r="G2724" s="2" t="str">
        <f t="shared" si="85"/>
        <v>Stone Brewing|PASSAIC-FF</v>
      </c>
    </row>
    <row r="2725" spans="1:7" x14ac:dyDescent="0.2">
      <c r="A2725" s="2" t="str" cm="1">
        <f t="array" ref="A2725">INDEX('[1]Brand Family Territory (Enc)'!$A$2:$A$296,INT((ROW()-2)/10)+1)</f>
        <v>Stone Brewing</v>
      </c>
      <c r="B2725" s="2" t="str" cm="1">
        <f t="array" ref="B2725">INDEX('Whitelist (Blackout Reverse)'!$B$1:$K$1,MOD(ROW()-2,10)+1)</f>
        <v>ESSEX</v>
      </c>
      <c r="C2725" s="2" t="str">
        <f>VLOOKUP(A2725,'[1]Brand Family Territory (Enc)'!$A$2:$B$296,2,FALSE)</f>
        <v>Bergen/Passaic/Hudson/Essex</v>
      </c>
      <c r="D2725" s="2">
        <f>IF(COUNTIFS('[1]Brand Family Territories (Enc)'!$B$2:$B$62,C2725,'[1]Brand Family Territories (Enc)'!$C$2:$C$62,B2725)&gt;0,1,IF(AND(LEFT(B2725,6)="MORRIS",COUNTIFS('[1]Brand Family Territories (Enc)'!$B$2:$B$62,C2725,'[1]Brand Family Territories (Enc)'!$C$2:$C$62,"Morri")&gt;0),"Unk",0))</f>
        <v>1</v>
      </c>
      <c r="E2725" s="2" t="str">
        <f>IFERROR(INDEX('Blackout Brand Fam Areas (Enc)'!$D$6:$D$998,MATCH(UPPER(A2725)&amp;"|"&amp;UPPER(B2725),'Blackout Brand Fam Areas (Enc)'!$G$6:$G$998,0)),"No Match")</f>
        <v>No Match</v>
      </c>
      <c r="F2725" s="2" t="str">
        <f t="shared" si="84"/>
        <v>US</v>
      </c>
      <c r="G2725" s="2" t="str">
        <f t="shared" si="85"/>
        <v>Stone Brewing|ESSEX</v>
      </c>
    </row>
    <row r="2726" spans="1:7" x14ac:dyDescent="0.2">
      <c r="A2726" s="2" t="str" cm="1">
        <f t="array" ref="A2726">INDEX('[1]Brand Family Territory (Enc)'!$A$2:$A$296,INT((ROW()-2)/10)+1)</f>
        <v>Stone Brewing</v>
      </c>
      <c r="B2726" s="2" t="str" cm="1">
        <f t="array" ref="B2726">INDEX('Whitelist (Blackout Reverse)'!$B$1:$K$1,MOD(ROW()-2,10)+1)</f>
        <v>HUDSON</v>
      </c>
      <c r="C2726" s="2" t="str">
        <f>VLOOKUP(A2726,'[1]Brand Family Territory (Enc)'!$A$2:$B$296,2,FALSE)</f>
        <v>Bergen/Passaic/Hudson/Essex</v>
      </c>
      <c r="D2726" s="2">
        <f>IF(COUNTIFS('[1]Brand Family Territories (Enc)'!$B$2:$B$62,C2726,'[1]Brand Family Territories (Enc)'!$C$2:$C$62,B2726)&gt;0,1,IF(AND(LEFT(B2726,6)="MORRIS",COUNTIFS('[1]Brand Family Territories (Enc)'!$B$2:$B$62,C2726,'[1]Brand Family Territories (Enc)'!$C$2:$C$62,"Morri")&gt;0),"Unk",0))</f>
        <v>1</v>
      </c>
      <c r="E2726" s="2" t="str">
        <f>IFERROR(INDEX('Blackout Brand Fam Areas (Enc)'!$D$6:$D$998,MATCH(UPPER(A2726)&amp;"|"&amp;UPPER(B2726),'Blackout Brand Fam Areas (Enc)'!$G$6:$G$998,0)),"No Match")</f>
        <v>No Match</v>
      </c>
      <c r="F2726" s="2" t="str">
        <f t="shared" si="84"/>
        <v>US</v>
      </c>
      <c r="G2726" s="2" t="str">
        <f t="shared" si="85"/>
        <v>Stone Brewing|HUDSON</v>
      </c>
    </row>
    <row r="2727" spans="1:7" x14ac:dyDescent="0.2">
      <c r="A2727" s="2" t="str" cm="1">
        <f t="array" ref="A2727">INDEX('[1]Brand Family Territory (Enc)'!$A$2:$A$296,INT((ROW()-2)/10)+1)</f>
        <v>Stone Brewing</v>
      </c>
      <c r="B2727" s="2" t="str" cm="1">
        <f t="array" ref="B2727">INDEX('Whitelist (Blackout Reverse)'!$B$1:$K$1,MOD(ROW()-2,10)+1)</f>
        <v>UNION</v>
      </c>
      <c r="C2727" s="2" t="str">
        <f>VLOOKUP(A2727,'[1]Brand Family Territory (Enc)'!$A$2:$B$296,2,FALSE)</f>
        <v>Bergen/Passaic/Hudson/Essex</v>
      </c>
      <c r="D2727" s="2">
        <f>IF(COUNTIFS('[1]Brand Family Territories (Enc)'!$B$2:$B$62,C2727,'[1]Brand Family Territories (Enc)'!$C$2:$C$62,B2727)&gt;0,1,IF(AND(LEFT(B2727,6)="MORRIS",COUNTIFS('[1]Brand Family Territories (Enc)'!$B$2:$B$62,C2727,'[1]Brand Family Territories (Enc)'!$C$2:$C$62,"Morri")&gt;0),"Unk",0))</f>
        <v>0</v>
      </c>
      <c r="E2727" s="2" t="str">
        <f>IFERROR(INDEX('Blackout Brand Fam Areas (Enc)'!$D$6:$D$998,MATCH(UPPER(A2727)&amp;"|"&amp;UPPER(B2727),'Blackout Brand Fam Areas (Enc)'!$G$6:$G$998,0)),"No Match")</f>
        <v>Inactive</v>
      </c>
      <c r="F2727" s="2" t="str">
        <f t="shared" si="84"/>
        <v>THEM</v>
      </c>
      <c r="G2727" s="2" t="str">
        <f t="shared" si="85"/>
        <v>Stone Brewing|UNION</v>
      </c>
    </row>
    <row r="2728" spans="1:7" x14ac:dyDescent="0.2">
      <c r="A2728" s="2" t="str" cm="1">
        <f t="array" ref="A2728">INDEX('[1]Brand Family Territory (Enc)'!$A$2:$A$296,INT((ROW()-2)/10)+1)</f>
        <v>Stone Brewing</v>
      </c>
      <c r="B2728" s="2" t="str" cm="1">
        <f t="array" ref="B2728">INDEX('Whitelist (Blackout Reverse)'!$B$1:$K$1,MOD(ROW()-2,10)+1)</f>
        <v>SUSSEX</v>
      </c>
      <c r="C2728" s="2" t="str">
        <f>VLOOKUP(A2728,'[1]Brand Family Territory (Enc)'!$A$2:$B$296,2,FALSE)</f>
        <v>Bergen/Passaic/Hudson/Essex</v>
      </c>
      <c r="D2728" s="2">
        <f>IF(COUNTIFS('[1]Brand Family Territories (Enc)'!$B$2:$B$62,C2728,'[1]Brand Family Territories (Enc)'!$C$2:$C$62,B2728)&gt;0,1,IF(AND(LEFT(B2728,6)="MORRIS",COUNTIFS('[1]Brand Family Territories (Enc)'!$B$2:$B$62,C2728,'[1]Brand Family Territories (Enc)'!$C$2:$C$62,"Morri")&gt;0),"Unk",0))</f>
        <v>0</v>
      </c>
      <c r="E2728" s="2" t="str">
        <f>IFERROR(INDEX('Blackout Brand Fam Areas (Enc)'!$D$6:$D$998,MATCH(UPPER(A2728)&amp;"|"&amp;UPPER(B2728),'Blackout Brand Fam Areas (Enc)'!$G$6:$G$998,0)),"No Match")</f>
        <v>Inactive</v>
      </c>
      <c r="F2728" s="2" t="str">
        <f t="shared" si="84"/>
        <v>THEM</v>
      </c>
      <c r="G2728" s="2" t="str">
        <f t="shared" si="85"/>
        <v>Stone Brewing|SUSSEX</v>
      </c>
    </row>
    <row r="2729" spans="1:7" x14ac:dyDescent="0.2">
      <c r="A2729" s="2" t="str" cm="1">
        <f t="array" ref="A2729">INDEX('[1]Brand Family Territory (Enc)'!$A$2:$A$296,INT((ROW()-2)/10)+1)</f>
        <v>Stone Brewing</v>
      </c>
      <c r="B2729" s="2" t="str" cm="1">
        <f t="array" ref="B2729">INDEX('Whitelist (Blackout Reverse)'!$B$1:$K$1,MOD(ROW()-2,10)+1)</f>
        <v>MORRIS 1</v>
      </c>
      <c r="C2729" s="2" t="str">
        <f>VLOOKUP(A2729,'[1]Brand Family Territory (Enc)'!$A$2:$B$296,2,FALSE)</f>
        <v>Bergen/Passaic/Hudson/Essex</v>
      </c>
      <c r="D2729" s="2">
        <f>IF(COUNTIFS('[1]Brand Family Territories (Enc)'!$B$2:$B$62,C2729,'[1]Brand Family Territories (Enc)'!$C$2:$C$62,B2729)&gt;0,1,IF(AND(LEFT(B2729,6)="MORRIS",COUNTIFS('[1]Brand Family Territories (Enc)'!$B$2:$B$62,C2729,'[1]Brand Family Territories (Enc)'!$C$2:$C$62,"Morri")&gt;0),"Unk",0))</f>
        <v>0</v>
      </c>
      <c r="E2729" s="2" t="str">
        <f>IFERROR(INDEX('Blackout Brand Fam Areas (Enc)'!$D$6:$D$998,MATCH(UPPER(A2729)&amp;"|"&amp;UPPER(B2729),'Blackout Brand Fam Areas (Enc)'!$G$6:$G$998,0)),"No Match")</f>
        <v>Inactive</v>
      </c>
      <c r="F2729" s="2" t="str">
        <f t="shared" si="84"/>
        <v>THEM</v>
      </c>
      <c r="G2729" s="2" t="str">
        <f t="shared" si="85"/>
        <v>Stone Brewing|MORRIS 1</v>
      </c>
    </row>
    <row r="2730" spans="1:7" x14ac:dyDescent="0.2">
      <c r="A2730" s="2" t="str" cm="1">
        <f t="array" ref="A2730">INDEX('[1]Brand Family Territory (Enc)'!$A$2:$A$296,INT((ROW()-2)/10)+1)</f>
        <v>Stone Brewing</v>
      </c>
      <c r="B2730" s="2" t="str" cm="1">
        <f t="array" ref="B2730">INDEX('Whitelist (Blackout Reverse)'!$B$1:$K$1,MOD(ROW()-2,10)+1)</f>
        <v>MORRIS 2</v>
      </c>
      <c r="C2730" s="2" t="str">
        <f>VLOOKUP(A2730,'[1]Brand Family Territory (Enc)'!$A$2:$B$296,2,FALSE)</f>
        <v>Bergen/Passaic/Hudson/Essex</v>
      </c>
      <c r="D2730" s="2">
        <f>IF(COUNTIFS('[1]Brand Family Territories (Enc)'!$B$2:$B$62,C2730,'[1]Brand Family Territories (Enc)'!$C$2:$C$62,B2730)&gt;0,1,IF(AND(LEFT(B2730,6)="MORRIS",COUNTIFS('[1]Brand Family Territories (Enc)'!$B$2:$B$62,C2730,'[1]Brand Family Territories (Enc)'!$C$2:$C$62,"Morri")&gt;0),"Unk",0))</f>
        <v>0</v>
      </c>
      <c r="E2730" s="2" t="str">
        <f>IFERROR(INDEX('Blackout Brand Fam Areas (Enc)'!$D$6:$D$998,MATCH(UPPER(A2730)&amp;"|"&amp;UPPER(B2730),'Blackout Brand Fam Areas (Enc)'!$G$6:$G$998,0)),"No Match")</f>
        <v>Inactive</v>
      </c>
      <c r="F2730" s="2" t="str">
        <f t="shared" si="84"/>
        <v>THEM</v>
      </c>
      <c r="G2730" s="2" t="str">
        <f t="shared" si="85"/>
        <v>Stone Brewing|MORRIS 2</v>
      </c>
    </row>
    <row r="2731" spans="1:7" x14ac:dyDescent="0.2">
      <c r="A2731" s="2" t="str" cm="1">
        <f t="array" ref="A2731">INDEX('[1]Brand Family Territory (Enc)'!$A$2:$A$296,INT((ROW()-2)/10)+1)</f>
        <v>Stone Brewing</v>
      </c>
      <c r="B2731" s="2" t="str" cm="1">
        <f t="array" ref="B2731">INDEX('Whitelist (Blackout Reverse)'!$B$1:$K$1,MOD(ROW()-2,10)+1)</f>
        <v>MORRIS 3</v>
      </c>
      <c r="C2731" s="2" t="str">
        <f>VLOOKUP(A2731,'[1]Brand Family Territory (Enc)'!$A$2:$B$296,2,FALSE)</f>
        <v>Bergen/Passaic/Hudson/Essex</v>
      </c>
      <c r="D2731" s="2">
        <f>IF(COUNTIFS('[1]Brand Family Territories (Enc)'!$B$2:$B$62,C2731,'[1]Brand Family Territories (Enc)'!$C$2:$C$62,B2731)&gt;0,1,IF(AND(LEFT(B2731,6)="MORRIS",COUNTIFS('[1]Brand Family Territories (Enc)'!$B$2:$B$62,C2731,'[1]Brand Family Territories (Enc)'!$C$2:$C$62,"Morri")&gt;0),"Unk",0))</f>
        <v>0</v>
      </c>
      <c r="E2731" s="2" t="str">
        <f>IFERROR(INDEX('Blackout Brand Fam Areas (Enc)'!$D$6:$D$998,MATCH(UPPER(A2731)&amp;"|"&amp;UPPER(B2731),'Blackout Brand Fam Areas (Enc)'!$G$6:$G$998,0)),"No Match")</f>
        <v>Inactive</v>
      </c>
      <c r="F2731" s="2" t="str">
        <f t="shared" si="84"/>
        <v>THEM</v>
      </c>
      <c r="G2731" s="2" t="str">
        <f t="shared" si="85"/>
        <v>Stone Brewing|MORRIS 3</v>
      </c>
    </row>
    <row r="2732" spans="1:7" x14ac:dyDescent="0.2">
      <c r="A2732" s="2" t="str" cm="1">
        <f t="array" ref="A2732">INDEX('[1]Brand Family Territory (Enc)'!$A$2:$A$296,INT((ROW()-2)/10)+1)</f>
        <v>Unibroue</v>
      </c>
      <c r="B2732" s="2" t="str" cm="1">
        <f t="array" ref="B2732">INDEX('Whitelist (Blackout Reverse)'!$B$1:$K$1,MOD(ROW()-2,10)+1)</f>
        <v>BERGEN</v>
      </c>
      <c r="C2732" s="2" t="str">
        <f>VLOOKUP(A2732,'[1]Brand Family Territory (Enc)'!$A$2:$B$296,2,FALSE)</f>
        <v>Bergen/Passaic/Hudson/Essex</v>
      </c>
      <c r="D2732" s="2">
        <f>IF(COUNTIFS('[1]Brand Family Territories (Enc)'!$B$2:$B$62,C2732,'[1]Brand Family Territories (Enc)'!$C$2:$C$62,B2732)&gt;0,1,IF(AND(LEFT(B2732,6)="MORRIS",COUNTIFS('[1]Brand Family Territories (Enc)'!$B$2:$B$62,C2732,'[1]Brand Family Territories (Enc)'!$C$2:$C$62,"Morri")&gt;0),"Unk",0))</f>
        <v>1</v>
      </c>
      <c r="E2732" s="2" t="str">
        <f>IFERROR(INDEX('Blackout Brand Fam Areas (Enc)'!$D$6:$D$998,MATCH(UPPER(A2732)&amp;"|"&amp;UPPER(B2732),'Blackout Brand Fam Areas (Enc)'!$G$6:$G$998,0)),"No Match")</f>
        <v>No Match</v>
      </c>
      <c r="F2732" s="2" t="str">
        <f t="shared" si="84"/>
        <v>US</v>
      </c>
      <c r="G2732" s="2" t="str">
        <f t="shared" si="85"/>
        <v>Unibroue|BERGEN</v>
      </c>
    </row>
    <row r="2733" spans="1:7" x14ac:dyDescent="0.2">
      <c r="A2733" s="2" t="str" cm="1">
        <f t="array" ref="A2733">INDEX('[1]Brand Family Territory (Enc)'!$A$2:$A$296,INT((ROW()-2)/10)+1)</f>
        <v>Unibroue</v>
      </c>
      <c r="B2733" s="2" t="str" cm="1">
        <f t="array" ref="B2733">INDEX('Whitelist (Blackout Reverse)'!$B$1:$K$1,MOD(ROW()-2,10)+1)</f>
        <v>PASSAIC</v>
      </c>
      <c r="C2733" s="2" t="str">
        <f>VLOOKUP(A2733,'[1]Brand Family Territory (Enc)'!$A$2:$B$296,2,FALSE)</f>
        <v>Bergen/Passaic/Hudson/Essex</v>
      </c>
      <c r="D2733" s="2">
        <f>IF(COUNTIFS('[1]Brand Family Territories (Enc)'!$B$2:$B$62,C2733,'[1]Brand Family Territories (Enc)'!$C$2:$C$62,B2733)&gt;0,1,IF(AND(LEFT(B2733,6)="MORRIS",COUNTIFS('[1]Brand Family Territories (Enc)'!$B$2:$B$62,C2733,'[1]Brand Family Territories (Enc)'!$C$2:$C$62,"Morri")&gt;0),"Unk",0))</f>
        <v>1</v>
      </c>
      <c r="E2733" s="2" t="str">
        <f>IFERROR(INDEX('Blackout Brand Fam Areas (Enc)'!$D$6:$D$998,MATCH(UPPER(A2733)&amp;"|"&amp;UPPER(B2733),'Blackout Brand Fam Areas (Enc)'!$G$6:$G$998,0)),"No Match")</f>
        <v>No Match</v>
      </c>
      <c r="F2733" s="2" t="str">
        <f t="shared" si="84"/>
        <v>US</v>
      </c>
      <c r="G2733" s="2" t="str">
        <f t="shared" si="85"/>
        <v>Unibroue|PASSAIC</v>
      </c>
    </row>
    <row r="2734" spans="1:7" x14ac:dyDescent="0.2">
      <c r="A2734" s="2" t="str" cm="1">
        <f t="array" ref="A2734">INDEX('[1]Brand Family Territory (Enc)'!$A$2:$A$296,INT((ROW()-2)/10)+1)</f>
        <v>Unibroue</v>
      </c>
      <c r="B2734" s="2" t="str" cm="1">
        <f t="array" ref="B2734">INDEX('Whitelist (Blackout Reverse)'!$B$1:$K$1,MOD(ROW()-2,10)+1)</f>
        <v>PASSAIC-FF</v>
      </c>
      <c r="C2734" s="2" t="str">
        <f>VLOOKUP(A2734,'[1]Brand Family Territory (Enc)'!$A$2:$B$296,2,FALSE)</f>
        <v>Bergen/Passaic/Hudson/Essex</v>
      </c>
      <c r="D2734" s="2">
        <f>IF(COUNTIFS('[1]Brand Family Territories (Enc)'!$B$2:$B$62,C2734,'[1]Brand Family Territories (Enc)'!$C$2:$C$62,B2734)&gt;0,1,IF(AND(LEFT(B2734,6)="MORRIS",COUNTIFS('[1]Brand Family Territories (Enc)'!$B$2:$B$62,C2734,'[1]Brand Family Territories (Enc)'!$C$2:$C$62,"Morri")&gt;0),"Unk",0))</f>
        <v>1</v>
      </c>
      <c r="E2734" s="2" t="str">
        <f>IFERROR(INDEX('Blackout Brand Fam Areas (Enc)'!$D$6:$D$998,MATCH(UPPER(A2734)&amp;"|"&amp;UPPER(B2734),'Blackout Brand Fam Areas (Enc)'!$G$6:$G$998,0)),"No Match")</f>
        <v>No Match</v>
      </c>
      <c r="F2734" s="2" t="str">
        <f t="shared" si="84"/>
        <v>US</v>
      </c>
      <c r="G2734" s="2" t="str">
        <f t="shared" si="85"/>
        <v>Unibroue|PASSAIC-FF</v>
      </c>
    </row>
    <row r="2735" spans="1:7" x14ac:dyDescent="0.2">
      <c r="A2735" s="2" t="str" cm="1">
        <f t="array" ref="A2735">INDEX('[1]Brand Family Territory (Enc)'!$A$2:$A$296,INT((ROW()-2)/10)+1)</f>
        <v>Unibroue</v>
      </c>
      <c r="B2735" s="2" t="str" cm="1">
        <f t="array" ref="B2735">INDEX('Whitelist (Blackout Reverse)'!$B$1:$K$1,MOD(ROW()-2,10)+1)</f>
        <v>ESSEX</v>
      </c>
      <c r="C2735" s="2" t="str">
        <f>VLOOKUP(A2735,'[1]Brand Family Territory (Enc)'!$A$2:$B$296,2,FALSE)</f>
        <v>Bergen/Passaic/Hudson/Essex</v>
      </c>
      <c r="D2735" s="2">
        <f>IF(COUNTIFS('[1]Brand Family Territories (Enc)'!$B$2:$B$62,C2735,'[1]Brand Family Territories (Enc)'!$C$2:$C$62,B2735)&gt;0,1,IF(AND(LEFT(B2735,6)="MORRIS",COUNTIFS('[1]Brand Family Territories (Enc)'!$B$2:$B$62,C2735,'[1]Brand Family Territories (Enc)'!$C$2:$C$62,"Morri")&gt;0),"Unk",0))</f>
        <v>1</v>
      </c>
      <c r="E2735" s="2" t="str">
        <f>IFERROR(INDEX('Blackout Brand Fam Areas (Enc)'!$D$6:$D$998,MATCH(UPPER(A2735)&amp;"|"&amp;UPPER(B2735),'Blackout Brand Fam Areas (Enc)'!$G$6:$G$998,0)),"No Match")</f>
        <v>No Match</v>
      </c>
      <c r="F2735" s="2" t="str">
        <f t="shared" si="84"/>
        <v>US</v>
      </c>
      <c r="G2735" s="2" t="str">
        <f t="shared" si="85"/>
        <v>Unibroue|ESSEX</v>
      </c>
    </row>
    <row r="2736" spans="1:7" x14ac:dyDescent="0.2">
      <c r="A2736" s="2" t="str" cm="1">
        <f t="array" ref="A2736">INDEX('[1]Brand Family Territory (Enc)'!$A$2:$A$296,INT((ROW()-2)/10)+1)</f>
        <v>Unibroue</v>
      </c>
      <c r="B2736" s="2" t="str" cm="1">
        <f t="array" ref="B2736">INDEX('Whitelist (Blackout Reverse)'!$B$1:$K$1,MOD(ROW()-2,10)+1)</f>
        <v>HUDSON</v>
      </c>
      <c r="C2736" s="2" t="str">
        <f>VLOOKUP(A2736,'[1]Brand Family Territory (Enc)'!$A$2:$B$296,2,FALSE)</f>
        <v>Bergen/Passaic/Hudson/Essex</v>
      </c>
      <c r="D2736" s="2">
        <f>IF(COUNTIFS('[1]Brand Family Territories (Enc)'!$B$2:$B$62,C2736,'[1]Brand Family Territories (Enc)'!$C$2:$C$62,B2736)&gt;0,1,IF(AND(LEFT(B2736,6)="MORRIS",COUNTIFS('[1]Brand Family Territories (Enc)'!$B$2:$B$62,C2736,'[1]Brand Family Territories (Enc)'!$C$2:$C$62,"Morri")&gt;0),"Unk",0))</f>
        <v>1</v>
      </c>
      <c r="E2736" s="2" t="str">
        <f>IFERROR(INDEX('Blackout Brand Fam Areas (Enc)'!$D$6:$D$998,MATCH(UPPER(A2736)&amp;"|"&amp;UPPER(B2736),'Blackout Brand Fam Areas (Enc)'!$G$6:$G$998,0)),"No Match")</f>
        <v>No Match</v>
      </c>
      <c r="F2736" s="2" t="str">
        <f t="shared" si="84"/>
        <v>US</v>
      </c>
      <c r="G2736" s="2" t="str">
        <f t="shared" si="85"/>
        <v>Unibroue|HUDSON</v>
      </c>
    </row>
    <row r="2737" spans="1:7" x14ac:dyDescent="0.2">
      <c r="A2737" s="2" t="str" cm="1">
        <f t="array" ref="A2737">INDEX('[1]Brand Family Territory (Enc)'!$A$2:$A$296,INT((ROW()-2)/10)+1)</f>
        <v>Unibroue</v>
      </c>
      <c r="B2737" s="2" t="str" cm="1">
        <f t="array" ref="B2737">INDEX('Whitelist (Blackout Reverse)'!$B$1:$K$1,MOD(ROW()-2,10)+1)</f>
        <v>UNION</v>
      </c>
      <c r="C2737" s="2" t="str">
        <f>VLOOKUP(A2737,'[1]Brand Family Territory (Enc)'!$A$2:$B$296,2,FALSE)</f>
        <v>Bergen/Passaic/Hudson/Essex</v>
      </c>
      <c r="D2737" s="2">
        <f>IF(COUNTIFS('[1]Brand Family Territories (Enc)'!$B$2:$B$62,C2737,'[1]Brand Family Territories (Enc)'!$C$2:$C$62,B2737)&gt;0,1,IF(AND(LEFT(B2737,6)="MORRIS",COUNTIFS('[1]Brand Family Territories (Enc)'!$B$2:$B$62,C2737,'[1]Brand Family Territories (Enc)'!$C$2:$C$62,"Morri")&gt;0),"Unk",0))</f>
        <v>0</v>
      </c>
      <c r="E2737" s="2" t="str">
        <f>IFERROR(INDEX('Blackout Brand Fam Areas (Enc)'!$D$6:$D$998,MATCH(UPPER(A2737)&amp;"|"&amp;UPPER(B2737),'Blackout Brand Fam Areas (Enc)'!$G$6:$G$998,0)),"No Match")</f>
        <v>Inactive</v>
      </c>
      <c r="F2737" s="2" t="str">
        <f t="shared" si="84"/>
        <v>THEM</v>
      </c>
      <c r="G2737" s="2" t="str">
        <f t="shared" si="85"/>
        <v>Unibroue|UNION</v>
      </c>
    </row>
    <row r="2738" spans="1:7" x14ac:dyDescent="0.2">
      <c r="A2738" s="2" t="str" cm="1">
        <f t="array" ref="A2738">INDEX('[1]Brand Family Territory (Enc)'!$A$2:$A$296,INT((ROW()-2)/10)+1)</f>
        <v>Unibroue</v>
      </c>
      <c r="B2738" s="2" t="str" cm="1">
        <f t="array" ref="B2738">INDEX('Whitelist (Blackout Reverse)'!$B$1:$K$1,MOD(ROW()-2,10)+1)</f>
        <v>SUSSEX</v>
      </c>
      <c r="C2738" s="2" t="str">
        <f>VLOOKUP(A2738,'[1]Brand Family Territory (Enc)'!$A$2:$B$296,2,FALSE)</f>
        <v>Bergen/Passaic/Hudson/Essex</v>
      </c>
      <c r="D2738" s="2">
        <f>IF(COUNTIFS('[1]Brand Family Territories (Enc)'!$B$2:$B$62,C2738,'[1]Brand Family Territories (Enc)'!$C$2:$C$62,B2738)&gt;0,1,IF(AND(LEFT(B2738,6)="MORRIS",COUNTIFS('[1]Brand Family Territories (Enc)'!$B$2:$B$62,C2738,'[1]Brand Family Territories (Enc)'!$C$2:$C$62,"Morri")&gt;0),"Unk",0))</f>
        <v>0</v>
      </c>
      <c r="E2738" s="2" t="str">
        <f>IFERROR(INDEX('Blackout Brand Fam Areas (Enc)'!$D$6:$D$998,MATCH(UPPER(A2738)&amp;"|"&amp;UPPER(B2738),'Blackout Brand Fam Areas (Enc)'!$G$6:$G$998,0)),"No Match")</f>
        <v>Inactive</v>
      </c>
      <c r="F2738" s="2" t="str">
        <f t="shared" si="84"/>
        <v>THEM</v>
      </c>
      <c r="G2738" s="2" t="str">
        <f t="shared" si="85"/>
        <v>Unibroue|SUSSEX</v>
      </c>
    </row>
    <row r="2739" spans="1:7" x14ac:dyDescent="0.2">
      <c r="A2739" s="2" t="str" cm="1">
        <f t="array" ref="A2739">INDEX('[1]Brand Family Territory (Enc)'!$A$2:$A$296,INT((ROW()-2)/10)+1)</f>
        <v>Unibroue</v>
      </c>
      <c r="B2739" s="2" t="str" cm="1">
        <f t="array" ref="B2739">INDEX('Whitelist (Blackout Reverse)'!$B$1:$K$1,MOD(ROW()-2,10)+1)</f>
        <v>MORRIS 1</v>
      </c>
      <c r="C2739" s="2" t="str">
        <f>VLOOKUP(A2739,'[1]Brand Family Territory (Enc)'!$A$2:$B$296,2,FALSE)</f>
        <v>Bergen/Passaic/Hudson/Essex</v>
      </c>
      <c r="D2739" s="2">
        <f>IF(COUNTIFS('[1]Brand Family Territories (Enc)'!$B$2:$B$62,C2739,'[1]Brand Family Territories (Enc)'!$C$2:$C$62,B2739)&gt;0,1,IF(AND(LEFT(B2739,6)="MORRIS",COUNTIFS('[1]Brand Family Territories (Enc)'!$B$2:$B$62,C2739,'[1]Brand Family Territories (Enc)'!$C$2:$C$62,"Morri")&gt;0),"Unk",0))</f>
        <v>0</v>
      </c>
      <c r="E2739" s="2" t="str">
        <f>IFERROR(INDEX('Blackout Brand Fam Areas (Enc)'!$D$6:$D$998,MATCH(UPPER(A2739)&amp;"|"&amp;UPPER(B2739),'Blackout Brand Fam Areas (Enc)'!$G$6:$G$998,0)),"No Match")</f>
        <v>Inactive</v>
      </c>
      <c r="F2739" s="2" t="str">
        <f t="shared" si="84"/>
        <v>THEM</v>
      </c>
      <c r="G2739" s="2" t="str">
        <f t="shared" si="85"/>
        <v>Unibroue|MORRIS 1</v>
      </c>
    </row>
    <row r="2740" spans="1:7" x14ac:dyDescent="0.2">
      <c r="A2740" s="2" t="str" cm="1">
        <f t="array" ref="A2740">INDEX('[1]Brand Family Territory (Enc)'!$A$2:$A$296,INT((ROW()-2)/10)+1)</f>
        <v>Unibroue</v>
      </c>
      <c r="B2740" s="2" t="str" cm="1">
        <f t="array" ref="B2740">INDEX('Whitelist (Blackout Reverse)'!$B$1:$K$1,MOD(ROW()-2,10)+1)</f>
        <v>MORRIS 2</v>
      </c>
      <c r="C2740" s="2" t="str">
        <f>VLOOKUP(A2740,'[1]Brand Family Territory (Enc)'!$A$2:$B$296,2,FALSE)</f>
        <v>Bergen/Passaic/Hudson/Essex</v>
      </c>
      <c r="D2740" s="2">
        <f>IF(COUNTIFS('[1]Brand Family Territories (Enc)'!$B$2:$B$62,C2740,'[1]Brand Family Territories (Enc)'!$C$2:$C$62,B2740)&gt;0,1,IF(AND(LEFT(B2740,6)="MORRIS",COUNTIFS('[1]Brand Family Territories (Enc)'!$B$2:$B$62,C2740,'[1]Brand Family Territories (Enc)'!$C$2:$C$62,"Morri")&gt;0),"Unk",0))</f>
        <v>0</v>
      </c>
      <c r="E2740" s="2" t="str">
        <f>IFERROR(INDEX('Blackout Brand Fam Areas (Enc)'!$D$6:$D$998,MATCH(UPPER(A2740)&amp;"|"&amp;UPPER(B2740),'Blackout Brand Fam Areas (Enc)'!$G$6:$G$998,0)),"No Match")</f>
        <v>Inactive</v>
      </c>
      <c r="F2740" s="2" t="str">
        <f t="shared" si="84"/>
        <v>THEM</v>
      </c>
      <c r="G2740" s="2" t="str">
        <f t="shared" si="85"/>
        <v>Unibroue|MORRIS 2</v>
      </c>
    </row>
    <row r="2741" spans="1:7" x14ac:dyDescent="0.2">
      <c r="A2741" s="2" t="str" cm="1">
        <f t="array" ref="A2741">INDEX('[1]Brand Family Territory (Enc)'!$A$2:$A$296,INT((ROW()-2)/10)+1)</f>
        <v>Unibroue</v>
      </c>
      <c r="B2741" s="2" t="str" cm="1">
        <f t="array" ref="B2741">INDEX('Whitelist (Blackout Reverse)'!$B$1:$K$1,MOD(ROW()-2,10)+1)</f>
        <v>MORRIS 3</v>
      </c>
      <c r="C2741" s="2" t="str">
        <f>VLOOKUP(A2741,'[1]Brand Family Territory (Enc)'!$A$2:$B$296,2,FALSE)</f>
        <v>Bergen/Passaic/Hudson/Essex</v>
      </c>
      <c r="D2741" s="2">
        <f>IF(COUNTIFS('[1]Brand Family Territories (Enc)'!$B$2:$B$62,C2741,'[1]Brand Family Territories (Enc)'!$C$2:$C$62,B2741)&gt;0,1,IF(AND(LEFT(B2741,6)="MORRIS",COUNTIFS('[1]Brand Family Territories (Enc)'!$B$2:$B$62,C2741,'[1]Brand Family Territories (Enc)'!$C$2:$C$62,"Morri")&gt;0),"Unk",0))</f>
        <v>0</v>
      </c>
      <c r="E2741" s="2" t="str">
        <f>IFERROR(INDEX('Blackout Brand Fam Areas (Enc)'!$D$6:$D$998,MATCH(UPPER(A2741)&amp;"|"&amp;UPPER(B2741),'Blackout Brand Fam Areas (Enc)'!$G$6:$G$998,0)),"No Match")</f>
        <v>Inactive</v>
      </c>
      <c r="F2741" s="2" t="str">
        <f t="shared" si="84"/>
        <v>THEM</v>
      </c>
      <c r="G2741" s="2" t="str">
        <f t="shared" si="85"/>
        <v>Unibroue|MORRIS 3</v>
      </c>
    </row>
    <row r="2742" spans="1:7" x14ac:dyDescent="0.2">
      <c r="A2742" s="2" t="str" cm="1">
        <f t="array" ref="A2742">INDEX('[1]Brand Family Territory (Enc)'!$A$2:$A$296,INT((ROW()-2)/10)+1)</f>
        <v>Monkey Family</v>
      </c>
      <c r="B2742" s="2" t="str" cm="1">
        <f t="array" ref="B2742">INDEX('Whitelist (Blackout Reverse)'!$B$1:$K$1,MOD(ROW()-2,10)+1)</f>
        <v>BERGEN</v>
      </c>
      <c r="C2742" s="2" t="str">
        <f>VLOOKUP(A2742,'[1]Brand Family Territory (Enc)'!$A$2:$B$296,2,FALSE)</f>
        <v>Bergen/Passaic/Hudson/Essex</v>
      </c>
      <c r="D2742" s="2">
        <f>IF(COUNTIFS('[1]Brand Family Territories (Enc)'!$B$2:$B$62,C2742,'[1]Brand Family Territories (Enc)'!$C$2:$C$62,B2742)&gt;0,1,IF(AND(LEFT(B2742,6)="MORRIS",COUNTIFS('[1]Brand Family Territories (Enc)'!$B$2:$B$62,C2742,'[1]Brand Family Territories (Enc)'!$C$2:$C$62,"Morri")&gt;0),"Unk",0))</f>
        <v>1</v>
      </c>
      <c r="E2742" s="2" t="str">
        <f>IFERROR(INDEX('Blackout Brand Fam Areas (Enc)'!$D$6:$D$998,MATCH(UPPER(A2742)&amp;"|"&amp;UPPER(B2742),'Blackout Brand Fam Areas (Enc)'!$G$6:$G$998,0)),"No Match")</f>
        <v>No Match</v>
      </c>
      <c r="F2742" s="2" t="str">
        <f t="shared" si="84"/>
        <v>US</v>
      </c>
      <c r="G2742" s="2" t="str">
        <f t="shared" si="85"/>
        <v>Monkey Family|BERGEN</v>
      </c>
    </row>
    <row r="2743" spans="1:7" x14ac:dyDescent="0.2">
      <c r="A2743" s="2" t="str" cm="1">
        <f t="array" ref="A2743">INDEX('[1]Brand Family Territory (Enc)'!$A$2:$A$296,INT((ROW()-2)/10)+1)</f>
        <v>Monkey Family</v>
      </c>
      <c r="B2743" s="2" t="str" cm="1">
        <f t="array" ref="B2743">INDEX('Whitelist (Blackout Reverse)'!$B$1:$K$1,MOD(ROW()-2,10)+1)</f>
        <v>PASSAIC</v>
      </c>
      <c r="C2743" s="2" t="str">
        <f>VLOOKUP(A2743,'[1]Brand Family Territory (Enc)'!$A$2:$B$296,2,FALSE)</f>
        <v>Bergen/Passaic/Hudson/Essex</v>
      </c>
      <c r="D2743" s="2">
        <f>IF(COUNTIFS('[1]Brand Family Territories (Enc)'!$B$2:$B$62,C2743,'[1]Brand Family Territories (Enc)'!$C$2:$C$62,B2743)&gt;0,1,IF(AND(LEFT(B2743,6)="MORRIS",COUNTIFS('[1]Brand Family Territories (Enc)'!$B$2:$B$62,C2743,'[1]Brand Family Territories (Enc)'!$C$2:$C$62,"Morri")&gt;0),"Unk",0))</f>
        <v>1</v>
      </c>
      <c r="E2743" s="2" t="str">
        <f>IFERROR(INDEX('Blackout Brand Fam Areas (Enc)'!$D$6:$D$998,MATCH(UPPER(A2743)&amp;"|"&amp;UPPER(B2743),'Blackout Brand Fam Areas (Enc)'!$G$6:$G$998,0)),"No Match")</f>
        <v>No Match</v>
      </c>
      <c r="F2743" s="2" t="str">
        <f t="shared" si="84"/>
        <v>US</v>
      </c>
      <c r="G2743" s="2" t="str">
        <f t="shared" si="85"/>
        <v>Monkey Family|PASSAIC</v>
      </c>
    </row>
    <row r="2744" spans="1:7" x14ac:dyDescent="0.2">
      <c r="A2744" s="2" t="str" cm="1">
        <f t="array" ref="A2744">INDEX('[1]Brand Family Territory (Enc)'!$A$2:$A$296,INT((ROW()-2)/10)+1)</f>
        <v>Monkey Family</v>
      </c>
      <c r="B2744" s="2" t="str" cm="1">
        <f t="array" ref="B2744">INDEX('Whitelist (Blackout Reverse)'!$B$1:$K$1,MOD(ROW()-2,10)+1)</f>
        <v>PASSAIC-FF</v>
      </c>
      <c r="C2744" s="2" t="str">
        <f>VLOOKUP(A2744,'[1]Brand Family Territory (Enc)'!$A$2:$B$296,2,FALSE)</f>
        <v>Bergen/Passaic/Hudson/Essex</v>
      </c>
      <c r="D2744" s="2">
        <f>IF(COUNTIFS('[1]Brand Family Territories (Enc)'!$B$2:$B$62,C2744,'[1]Brand Family Territories (Enc)'!$C$2:$C$62,B2744)&gt;0,1,IF(AND(LEFT(B2744,6)="MORRIS",COUNTIFS('[1]Brand Family Territories (Enc)'!$B$2:$B$62,C2744,'[1]Brand Family Territories (Enc)'!$C$2:$C$62,"Morri")&gt;0),"Unk",0))</f>
        <v>1</v>
      </c>
      <c r="E2744" s="2" t="str">
        <f>IFERROR(INDEX('Blackout Brand Fam Areas (Enc)'!$D$6:$D$998,MATCH(UPPER(A2744)&amp;"|"&amp;UPPER(B2744),'Blackout Brand Fam Areas (Enc)'!$G$6:$G$998,0)),"No Match")</f>
        <v>No Match</v>
      </c>
      <c r="F2744" s="2" t="str">
        <f t="shared" si="84"/>
        <v>US</v>
      </c>
      <c r="G2744" s="2" t="str">
        <f t="shared" si="85"/>
        <v>Monkey Family|PASSAIC-FF</v>
      </c>
    </row>
    <row r="2745" spans="1:7" x14ac:dyDescent="0.2">
      <c r="A2745" s="2" t="str" cm="1">
        <f t="array" ref="A2745">INDEX('[1]Brand Family Territory (Enc)'!$A$2:$A$296,INT((ROW()-2)/10)+1)</f>
        <v>Monkey Family</v>
      </c>
      <c r="B2745" s="2" t="str" cm="1">
        <f t="array" ref="B2745">INDEX('Whitelist (Blackout Reverse)'!$B$1:$K$1,MOD(ROW()-2,10)+1)</f>
        <v>ESSEX</v>
      </c>
      <c r="C2745" s="2" t="str">
        <f>VLOOKUP(A2745,'[1]Brand Family Territory (Enc)'!$A$2:$B$296,2,FALSE)</f>
        <v>Bergen/Passaic/Hudson/Essex</v>
      </c>
      <c r="D2745" s="2">
        <f>IF(COUNTIFS('[1]Brand Family Territories (Enc)'!$B$2:$B$62,C2745,'[1]Brand Family Territories (Enc)'!$C$2:$C$62,B2745)&gt;0,1,IF(AND(LEFT(B2745,6)="MORRIS",COUNTIFS('[1]Brand Family Territories (Enc)'!$B$2:$B$62,C2745,'[1]Brand Family Territories (Enc)'!$C$2:$C$62,"Morri")&gt;0),"Unk",0))</f>
        <v>1</v>
      </c>
      <c r="E2745" s="2" t="str">
        <f>IFERROR(INDEX('Blackout Brand Fam Areas (Enc)'!$D$6:$D$998,MATCH(UPPER(A2745)&amp;"|"&amp;UPPER(B2745),'Blackout Brand Fam Areas (Enc)'!$G$6:$G$998,0)),"No Match")</f>
        <v>No Match</v>
      </c>
      <c r="F2745" s="2" t="str">
        <f t="shared" si="84"/>
        <v>US</v>
      </c>
      <c r="G2745" s="2" t="str">
        <f t="shared" si="85"/>
        <v>Monkey Family|ESSEX</v>
      </c>
    </row>
    <row r="2746" spans="1:7" x14ac:dyDescent="0.2">
      <c r="A2746" s="2" t="str" cm="1">
        <f t="array" ref="A2746">INDEX('[1]Brand Family Territory (Enc)'!$A$2:$A$296,INT((ROW()-2)/10)+1)</f>
        <v>Monkey Family</v>
      </c>
      <c r="B2746" s="2" t="str" cm="1">
        <f t="array" ref="B2746">INDEX('Whitelist (Blackout Reverse)'!$B$1:$K$1,MOD(ROW()-2,10)+1)</f>
        <v>HUDSON</v>
      </c>
      <c r="C2746" s="2" t="str">
        <f>VLOOKUP(A2746,'[1]Brand Family Territory (Enc)'!$A$2:$B$296,2,FALSE)</f>
        <v>Bergen/Passaic/Hudson/Essex</v>
      </c>
      <c r="D2746" s="2">
        <f>IF(COUNTIFS('[1]Brand Family Territories (Enc)'!$B$2:$B$62,C2746,'[1]Brand Family Territories (Enc)'!$C$2:$C$62,B2746)&gt;0,1,IF(AND(LEFT(B2746,6)="MORRIS",COUNTIFS('[1]Brand Family Territories (Enc)'!$B$2:$B$62,C2746,'[1]Brand Family Territories (Enc)'!$C$2:$C$62,"Morri")&gt;0),"Unk",0))</f>
        <v>1</v>
      </c>
      <c r="E2746" s="2" t="str">
        <f>IFERROR(INDEX('Blackout Brand Fam Areas (Enc)'!$D$6:$D$998,MATCH(UPPER(A2746)&amp;"|"&amp;UPPER(B2746),'Blackout Brand Fam Areas (Enc)'!$G$6:$G$998,0)),"No Match")</f>
        <v>No Match</v>
      </c>
      <c r="F2746" s="2" t="str">
        <f t="shared" si="84"/>
        <v>US</v>
      </c>
      <c r="G2746" s="2" t="str">
        <f t="shared" si="85"/>
        <v>Monkey Family|HUDSON</v>
      </c>
    </row>
    <row r="2747" spans="1:7" x14ac:dyDescent="0.2">
      <c r="A2747" s="2" t="str" cm="1">
        <f t="array" ref="A2747">INDEX('[1]Brand Family Territory (Enc)'!$A$2:$A$296,INT((ROW()-2)/10)+1)</f>
        <v>Monkey Family</v>
      </c>
      <c r="B2747" s="2" t="str" cm="1">
        <f t="array" ref="B2747">INDEX('Whitelist (Blackout Reverse)'!$B$1:$K$1,MOD(ROW()-2,10)+1)</f>
        <v>UNION</v>
      </c>
      <c r="C2747" s="2" t="str">
        <f>VLOOKUP(A2747,'[1]Brand Family Territory (Enc)'!$A$2:$B$296,2,FALSE)</f>
        <v>Bergen/Passaic/Hudson/Essex</v>
      </c>
      <c r="D2747" s="2">
        <f>IF(COUNTIFS('[1]Brand Family Territories (Enc)'!$B$2:$B$62,C2747,'[1]Brand Family Territories (Enc)'!$C$2:$C$62,B2747)&gt;0,1,IF(AND(LEFT(B2747,6)="MORRIS",COUNTIFS('[1]Brand Family Territories (Enc)'!$B$2:$B$62,C2747,'[1]Brand Family Territories (Enc)'!$C$2:$C$62,"Morri")&gt;0),"Unk",0))</f>
        <v>0</v>
      </c>
      <c r="E2747" s="2" t="str">
        <f>IFERROR(INDEX('Blackout Brand Fam Areas (Enc)'!$D$6:$D$998,MATCH(UPPER(A2747)&amp;"|"&amp;UPPER(B2747),'Blackout Brand Fam Areas (Enc)'!$G$6:$G$998,0)),"No Match")</f>
        <v>Inactive</v>
      </c>
      <c r="F2747" s="2" t="str">
        <f t="shared" si="84"/>
        <v>THEM</v>
      </c>
      <c r="G2747" s="2" t="str">
        <f t="shared" si="85"/>
        <v>Monkey Family|UNION</v>
      </c>
    </row>
    <row r="2748" spans="1:7" x14ac:dyDescent="0.2">
      <c r="A2748" s="2" t="str" cm="1">
        <f t="array" ref="A2748">INDEX('[1]Brand Family Territory (Enc)'!$A$2:$A$296,INT((ROW()-2)/10)+1)</f>
        <v>Monkey Family</v>
      </c>
      <c r="B2748" s="2" t="str" cm="1">
        <f t="array" ref="B2748">INDEX('Whitelist (Blackout Reverse)'!$B$1:$K$1,MOD(ROW()-2,10)+1)</f>
        <v>SUSSEX</v>
      </c>
      <c r="C2748" s="2" t="str">
        <f>VLOOKUP(A2748,'[1]Brand Family Territory (Enc)'!$A$2:$B$296,2,FALSE)</f>
        <v>Bergen/Passaic/Hudson/Essex</v>
      </c>
      <c r="D2748" s="2">
        <f>IF(COUNTIFS('[1]Brand Family Territories (Enc)'!$B$2:$B$62,C2748,'[1]Brand Family Territories (Enc)'!$C$2:$C$62,B2748)&gt;0,1,IF(AND(LEFT(B2748,6)="MORRIS",COUNTIFS('[1]Brand Family Territories (Enc)'!$B$2:$B$62,C2748,'[1]Brand Family Territories (Enc)'!$C$2:$C$62,"Morri")&gt;0),"Unk",0))</f>
        <v>0</v>
      </c>
      <c r="E2748" s="2" t="str">
        <f>IFERROR(INDEX('Blackout Brand Fam Areas (Enc)'!$D$6:$D$998,MATCH(UPPER(A2748)&amp;"|"&amp;UPPER(B2748),'Blackout Brand Fam Areas (Enc)'!$G$6:$G$998,0)),"No Match")</f>
        <v>Inactive</v>
      </c>
      <c r="F2748" s="2" t="str">
        <f t="shared" si="84"/>
        <v>THEM</v>
      </c>
      <c r="G2748" s="2" t="str">
        <f t="shared" si="85"/>
        <v>Monkey Family|SUSSEX</v>
      </c>
    </row>
    <row r="2749" spans="1:7" x14ac:dyDescent="0.2">
      <c r="A2749" s="2" t="str" cm="1">
        <f t="array" ref="A2749">INDEX('[1]Brand Family Territory (Enc)'!$A$2:$A$296,INT((ROW()-2)/10)+1)</f>
        <v>Monkey Family</v>
      </c>
      <c r="B2749" s="2" t="str" cm="1">
        <f t="array" ref="B2749">INDEX('Whitelist (Blackout Reverse)'!$B$1:$K$1,MOD(ROW()-2,10)+1)</f>
        <v>MORRIS 1</v>
      </c>
      <c r="C2749" s="2" t="str">
        <f>VLOOKUP(A2749,'[1]Brand Family Territory (Enc)'!$A$2:$B$296,2,FALSE)</f>
        <v>Bergen/Passaic/Hudson/Essex</v>
      </c>
      <c r="D2749" s="2">
        <f>IF(COUNTIFS('[1]Brand Family Territories (Enc)'!$B$2:$B$62,C2749,'[1]Brand Family Territories (Enc)'!$C$2:$C$62,B2749)&gt;0,1,IF(AND(LEFT(B2749,6)="MORRIS",COUNTIFS('[1]Brand Family Territories (Enc)'!$B$2:$B$62,C2749,'[1]Brand Family Territories (Enc)'!$C$2:$C$62,"Morri")&gt;0),"Unk",0))</f>
        <v>0</v>
      </c>
      <c r="E2749" s="2" t="str">
        <f>IFERROR(INDEX('Blackout Brand Fam Areas (Enc)'!$D$6:$D$998,MATCH(UPPER(A2749)&amp;"|"&amp;UPPER(B2749),'Blackout Brand Fam Areas (Enc)'!$G$6:$G$998,0)),"No Match")</f>
        <v>No Match</v>
      </c>
      <c r="F2749" s="2" t="str">
        <f t="shared" si="84"/>
        <v>THEM</v>
      </c>
      <c r="G2749" s="2" t="str">
        <f t="shared" si="85"/>
        <v>Monkey Family|MORRIS 1</v>
      </c>
    </row>
    <row r="2750" spans="1:7" x14ac:dyDescent="0.2">
      <c r="A2750" s="2" t="str" cm="1">
        <f t="array" ref="A2750">INDEX('[1]Brand Family Territory (Enc)'!$A$2:$A$296,INT((ROW()-2)/10)+1)</f>
        <v>Monkey Family</v>
      </c>
      <c r="B2750" s="2" t="str" cm="1">
        <f t="array" ref="B2750">INDEX('Whitelist (Blackout Reverse)'!$B$1:$K$1,MOD(ROW()-2,10)+1)</f>
        <v>MORRIS 2</v>
      </c>
      <c r="C2750" s="2" t="str">
        <f>VLOOKUP(A2750,'[1]Brand Family Territory (Enc)'!$A$2:$B$296,2,FALSE)</f>
        <v>Bergen/Passaic/Hudson/Essex</v>
      </c>
      <c r="D2750" s="2">
        <f>IF(COUNTIFS('[1]Brand Family Territories (Enc)'!$B$2:$B$62,C2750,'[1]Brand Family Territories (Enc)'!$C$2:$C$62,B2750)&gt;0,1,IF(AND(LEFT(B2750,6)="MORRIS",COUNTIFS('[1]Brand Family Territories (Enc)'!$B$2:$B$62,C2750,'[1]Brand Family Territories (Enc)'!$C$2:$C$62,"Morri")&gt;0),"Unk",0))</f>
        <v>0</v>
      </c>
      <c r="E2750" s="2" t="str">
        <f>IFERROR(INDEX('Blackout Brand Fam Areas (Enc)'!$D$6:$D$998,MATCH(UPPER(A2750)&amp;"|"&amp;UPPER(B2750),'Blackout Brand Fam Areas (Enc)'!$G$6:$G$998,0)),"No Match")</f>
        <v>Inactive</v>
      </c>
      <c r="F2750" s="2" t="str">
        <f t="shared" si="84"/>
        <v>THEM</v>
      </c>
      <c r="G2750" s="2" t="str">
        <f t="shared" si="85"/>
        <v>Monkey Family|MORRIS 2</v>
      </c>
    </row>
    <row r="2751" spans="1:7" x14ac:dyDescent="0.2">
      <c r="A2751" s="2" t="str" cm="1">
        <f t="array" ref="A2751">INDEX('[1]Brand Family Territory (Enc)'!$A$2:$A$296,INT((ROW()-2)/10)+1)</f>
        <v>Monkey Family</v>
      </c>
      <c r="B2751" s="2" t="str" cm="1">
        <f t="array" ref="B2751">INDEX('Whitelist (Blackout Reverse)'!$B$1:$K$1,MOD(ROW()-2,10)+1)</f>
        <v>MORRIS 3</v>
      </c>
      <c r="C2751" s="2" t="str">
        <f>VLOOKUP(A2751,'[1]Brand Family Territory (Enc)'!$A$2:$B$296,2,FALSE)</f>
        <v>Bergen/Passaic/Hudson/Essex</v>
      </c>
      <c r="D2751" s="2">
        <f>IF(COUNTIFS('[1]Brand Family Territories (Enc)'!$B$2:$B$62,C2751,'[1]Brand Family Territories (Enc)'!$C$2:$C$62,B2751)&gt;0,1,IF(AND(LEFT(B2751,6)="MORRIS",COUNTIFS('[1]Brand Family Territories (Enc)'!$B$2:$B$62,C2751,'[1]Brand Family Territories (Enc)'!$C$2:$C$62,"Morri")&gt;0),"Unk",0))</f>
        <v>0</v>
      </c>
      <c r="E2751" s="2" t="str">
        <f>IFERROR(INDEX('Blackout Brand Fam Areas (Enc)'!$D$6:$D$998,MATCH(UPPER(A2751)&amp;"|"&amp;UPPER(B2751),'Blackout Brand Fam Areas (Enc)'!$G$6:$G$998,0)),"No Match")</f>
        <v>Inactive</v>
      </c>
      <c r="F2751" s="2" t="str">
        <f t="shared" si="84"/>
        <v>THEM</v>
      </c>
      <c r="G2751" s="2" t="str">
        <f t="shared" si="85"/>
        <v>Monkey Family|MORRIS 3</v>
      </c>
    </row>
    <row r="2752" spans="1:7" x14ac:dyDescent="0.2">
      <c r="A2752" s="2" t="str" cm="1">
        <f t="array" ref="A2752">INDEX('[1]Brand Family Territory (Enc)'!$A$2:$A$296,INT((ROW()-2)/10)+1)</f>
        <v>Victory</v>
      </c>
      <c r="B2752" s="2" t="str" cm="1">
        <f t="array" ref="B2752">INDEX('Whitelist (Blackout Reverse)'!$B$1:$K$1,MOD(ROW()-2,10)+1)</f>
        <v>BERGEN</v>
      </c>
      <c r="C2752" s="2" t="str">
        <f>VLOOKUP(A2752,'[1]Brand Family Territory (Enc)'!$A$2:$B$296,2,FALSE)</f>
        <v>Bergen/Passaic/Hudson/Essex</v>
      </c>
      <c r="D2752" s="2">
        <f>IF(COUNTIFS('[1]Brand Family Territories (Enc)'!$B$2:$B$62,C2752,'[1]Brand Family Territories (Enc)'!$C$2:$C$62,B2752)&gt;0,1,IF(AND(LEFT(B2752,6)="MORRIS",COUNTIFS('[1]Brand Family Territories (Enc)'!$B$2:$B$62,C2752,'[1]Brand Family Territories (Enc)'!$C$2:$C$62,"Morri")&gt;0),"Unk",0))</f>
        <v>1</v>
      </c>
      <c r="E2752" s="2" t="str">
        <f>IFERROR(INDEX('Blackout Brand Fam Areas (Enc)'!$D$6:$D$998,MATCH(UPPER(A2752)&amp;"|"&amp;UPPER(B2752),'Blackout Brand Fam Areas (Enc)'!$G$6:$G$998,0)),"No Match")</f>
        <v>No Match</v>
      </c>
      <c r="F2752" s="2" t="str">
        <f t="shared" si="84"/>
        <v>US</v>
      </c>
      <c r="G2752" s="2" t="str">
        <f t="shared" si="85"/>
        <v>Victory|BERGEN</v>
      </c>
    </row>
    <row r="2753" spans="1:7" x14ac:dyDescent="0.2">
      <c r="A2753" s="2" t="str" cm="1">
        <f t="array" ref="A2753">INDEX('[1]Brand Family Territory (Enc)'!$A$2:$A$296,INT((ROW()-2)/10)+1)</f>
        <v>Victory</v>
      </c>
      <c r="B2753" s="2" t="str" cm="1">
        <f t="array" ref="B2753">INDEX('Whitelist (Blackout Reverse)'!$B$1:$K$1,MOD(ROW()-2,10)+1)</f>
        <v>PASSAIC</v>
      </c>
      <c r="C2753" s="2" t="str">
        <f>VLOOKUP(A2753,'[1]Brand Family Territory (Enc)'!$A$2:$B$296,2,FALSE)</f>
        <v>Bergen/Passaic/Hudson/Essex</v>
      </c>
      <c r="D2753" s="2">
        <f>IF(COUNTIFS('[1]Brand Family Territories (Enc)'!$B$2:$B$62,C2753,'[1]Brand Family Territories (Enc)'!$C$2:$C$62,B2753)&gt;0,1,IF(AND(LEFT(B2753,6)="MORRIS",COUNTIFS('[1]Brand Family Territories (Enc)'!$B$2:$B$62,C2753,'[1]Brand Family Territories (Enc)'!$C$2:$C$62,"Morri")&gt;0),"Unk",0))</f>
        <v>1</v>
      </c>
      <c r="E2753" s="2" t="str">
        <f>IFERROR(INDEX('Blackout Brand Fam Areas (Enc)'!$D$6:$D$998,MATCH(UPPER(A2753)&amp;"|"&amp;UPPER(B2753),'Blackout Brand Fam Areas (Enc)'!$G$6:$G$998,0)),"No Match")</f>
        <v>No Match</v>
      </c>
      <c r="F2753" s="2" t="str">
        <f t="shared" si="84"/>
        <v>US</v>
      </c>
      <c r="G2753" s="2" t="str">
        <f t="shared" si="85"/>
        <v>Victory|PASSAIC</v>
      </c>
    </row>
    <row r="2754" spans="1:7" x14ac:dyDescent="0.2">
      <c r="A2754" s="2" t="str" cm="1">
        <f t="array" ref="A2754">INDEX('[1]Brand Family Territory (Enc)'!$A$2:$A$296,INT((ROW()-2)/10)+1)</f>
        <v>Victory</v>
      </c>
      <c r="B2754" s="2" t="str" cm="1">
        <f t="array" ref="B2754">INDEX('Whitelist (Blackout Reverse)'!$B$1:$K$1,MOD(ROW()-2,10)+1)</f>
        <v>PASSAIC-FF</v>
      </c>
      <c r="C2754" s="2" t="str">
        <f>VLOOKUP(A2754,'[1]Brand Family Territory (Enc)'!$A$2:$B$296,2,FALSE)</f>
        <v>Bergen/Passaic/Hudson/Essex</v>
      </c>
      <c r="D2754" s="2">
        <f>IF(COUNTIFS('[1]Brand Family Territories (Enc)'!$B$2:$B$62,C2754,'[1]Brand Family Territories (Enc)'!$C$2:$C$62,B2754)&gt;0,1,IF(AND(LEFT(B2754,6)="MORRIS",COUNTIFS('[1]Brand Family Territories (Enc)'!$B$2:$B$62,C2754,'[1]Brand Family Territories (Enc)'!$C$2:$C$62,"Morri")&gt;0),"Unk",0))</f>
        <v>1</v>
      </c>
      <c r="E2754" s="2" t="str">
        <f>IFERROR(INDEX('Blackout Brand Fam Areas (Enc)'!$D$6:$D$998,MATCH(UPPER(A2754)&amp;"|"&amp;UPPER(B2754),'Blackout Brand Fam Areas (Enc)'!$G$6:$G$998,0)),"No Match")</f>
        <v>No Match</v>
      </c>
      <c r="F2754" s="2" t="str">
        <f t="shared" si="84"/>
        <v>US</v>
      </c>
      <c r="G2754" s="2" t="str">
        <f t="shared" si="85"/>
        <v>Victory|PASSAIC-FF</v>
      </c>
    </row>
    <row r="2755" spans="1:7" x14ac:dyDescent="0.2">
      <c r="A2755" s="2" t="str" cm="1">
        <f t="array" ref="A2755">INDEX('[1]Brand Family Territory (Enc)'!$A$2:$A$296,INT((ROW()-2)/10)+1)</f>
        <v>Victory</v>
      </c>
      <c r="B2755" s="2" t="str" cm="1">
        <f t="array" ref="B2755">INDEX('Whitelist (Blackout Reverse)'!$B$1:$K$1,MOD(ROW()-2,10)+1)</f>
        <v>ESSEX</v>
      </c>
      <c r="C2755" s="2" t="str">
        <f>VLOOKUP(A2755,'[1]Brand Family Territory (Enc)'!$A$2:$B$296,2,FALSE)</f>
        <v>Bergen/Passaic/Hudson/Essex</v>
      </c>
      <c r="D2755" s="2">
        <f>IF(COUNTIFS('[1]Brand Family Territories (Enc)'!$B$2:$B$62,C2755,'[1]Brand Family Territories (Enc)'!$C$2:$C$62,B2755)&gt;0,1,IF(AND(LEFT(B2755,6)="MORRIS",COUNTIFS('[1]Brand Family Territories (Enc)'!$B$2:$B$62,C2755,'[1]Brand Family Territories (Enc)'!$C$2:$C$62,"Morri")&gt;0),"Unk",0))</f>
        <v>1</v>
      </c>
      <c r="E2755" s="2" t="str">
        <f>IFERROR(INDEX('Blackout Brand Fam Areas (Enc)'!$D$6:$D$998,MATCH(UPPER(A2755)&amp;"|"&amp;UPPER(B2755),'Blackout Brand Fam Areas (Enc)'!$G$6:$G$998,0)),"No Match")</f>
        <v>No Match</v>
      </c>
      <c r="F2755" s="2" t="str">
        <f t="shared" ref="F2755:F2818" si="86">IF(D2755="Unk","Ambiguous (Source Truncated)",IF(E2755="Inactive","THEM",IF(D2755=1,"US",IF(D2755="N/A","No Territory Data","THEM"))))</f>
        <v>US</v>
      </c>
      <c r="G2755" s="2" t="str">
        <f t="shared" ref="G2755:G2818" si="87">A2755&amp;"|"&amp;B2755</f>
        <v>Victory|ESSEX</v>
      </c>
    </row>
    <row r="2756" spans="1:7" x14ac:dyDescent="0.2">
      <c r="A2756" s="2" t="str" cm="1">
        <f t="array" ref="A2756">INDEX('[1]Brand Family Territory (Enc)'!$A$2:$A$296,INT((ROW()-2)/10)+1)</f>
        <v>Victory</v>
      </c>
      <c r="B2756" s="2" t="str" cm="1">
        <f t="array" ref="B2756">INDEX('Whitelist (Blackout Reverse)'!$B$1:$K$1,MOD(ROW()-2,10)+1)</f>
        <v>HUDSON</v>
      </c>
      <c r="C2756" s="2" t="str">
        <f>VLOOKUP(A2756,'[1]Brand Family Territory (Enc)'!$A$2:$B$296,2,FALSE)</f>
        <v>Bergen/Passaic/Hudson/Essex</v>
      </c>
      <c r="D2756" s="2">
        <f>IF(COUNTIFS('[1]Brand Family Territories (Enc)'!$B$2:$B$62,C2756,'[1]Brand Family Territories (Enc)'!$C$2:$C$62,B2756)&gt;0,1,IF(AND(LEFT(B2756,6)="MORRIS",COUNTIFS('[1]Brand Family Territories (Enc)'!$B$2:$B$62,C2756,'[1]Brand Family Territories (Enc)'!$C$2:$C$62,"Morri")&gt;0),"Unk",0))</f>
        <v>1</v>
      </c>
      <c r="E2756" s="2" t="str">
        <f>IFERROR(INDEX('Blackout Brand Fam Areas (Enc)'!$D$6:$D$998,MATCH(UPPER(A2756)&amp;"|"&amp;UPPER(B2756),'Blackout Brand Fam Areas (Enc)'!$G$6:$G$998,0)),"No Match")</f>
        <v>No Match</v>
      </c>
      <c r="F2756" s="2" t="str">
        <f t="shared" si="86"/>
        <v>US</v>
      </c>
      <c r="G2756" s="2" t="str">
        <f t="shared" si="87"/>
        <v>Victory|HUDSON</v>
      </c>
    </row>
    <row r="2757" spans="1:7" x14ac:dyDescent="0.2">
      <c r="A2757" s="2" t="str" cm="1">
        <f t="array" ref="A2757">INDEX('[1]Brand Family Territory (Enc)'!$A$2:$A$296,INT((ROW()-2)/10)+1)</f>
        <v>Victory</v>
      </c>
      <c r="B2757" s="2" t="str" cm="1">
        <f t="array" ref="B2757">INDEX('Whitelist (Blackout Reverse)'!$B$1:$K$1,MOD(ROW()-2,10)+1)</f>
        <v>UNION</v>
      </c>
      <c r="C2757" s="2" t="str">
        <f>VLOOKUP(A2757,'[1]Brand Family Territory (Enc)'!$A$2:$B$296,2,FALSE)</f>
        <v>Bergen/Passaic/Hudson/Essex</v>
      </c>
      <c r="D2757" s="2">
        <f>IF(COUNTIFS('[1]Brand Family Territories (Enc)'!$B$2:$B$62,C2757,'[1]Brand Family Territories (Enc)'!$C$2:$C$62,B2757)&gt;0,1,IF(AND(LEFT(B2757,6)="MORRIS",COUNTIFS('[1]Brand Family Territories (Enc)'!$B$2:$B$62,C2757,'[1]Brand Family Territories (Enc)'!$C$2:$C$62,"Morri")&gt;0),"Unk",0))</f>
        <v>0</v>
      </c>
      <c r="E2757" s="2" t="str">
        <f>IFERROR(INDEX('Blackout Brand Fam Areas (Enc)'!$D$6:$D$998,MATCH(UPPER(A2757)&amp;"|"&amp;UPPER(B2757),'Blackout Brand Fam Areas (Enc)'!$G$6:$G$998,0)),"No Match")</f>
        <v>Inactive</v>
      </c>
      <c r="F2757" s="2" t="str">
        <f t="shared" si="86"/>
        <v>THEM</v>
      </c>
      <c r="G2757" s="2" t="str">
        <f t="shared" si="87"/>
        <v>Victory|UNION</v>
      </c>
    </row>
    <row r="2758" spans="1:7" x14ac:dyDescent="0.2">
      <c r="A2758" s="2" t="str" cm="1">
        <f t="array" ref="A2758">INDEX('[1]Brand Family Territory (Enc)'!$A$2:$A$296,INT((ROW()-2)/10)+1)</f>
        <v>Victory</v>
      </c>
      <c r="B2758" s="2" t="str" cm="1">
        <f t="array" ref="B2758">INDEX('Whitelist (Blackout Reverse)'!$B$1:$K$1,MOD(ROW()-2,10)+1)</f>
        <v>SUSSEX</v>
      </c>
      <c r="C2758" s="2" t="str">
        <f>VLOOKUP(A2758,'[1]Brand Family Territory (Enc)'!$A$2:$B$296,2,FALSE)</f>
        <v>Bergen/Passaic/Hudson/Essex</v>
      </c>
      <c r="D2758" s="2">
        <f>IF(COUNTIFS('[1]Brand Family Territories (Enc)'!$B$2:$B$62,C2758,'[1]Brand Family Territories (Enc)'!$C$2:$C$62,B2758)&gt;0,1,IF(AND(LEFT(B2758,6)="MORRIS",COUNTIFS('[1]Brand Family Territories (Enc)'!$B$2:$B$62,C2758,'[1]Brand Family Territories (Enc)'!$C$2:$C$62,"Morri")&gt;0),"Unk",0))</f>
        <v>0</v>
      </c>
      <c r="E2758" s="2" t="str">
        <f>IFERROR(INDEX('Blackout Brand Fam Areas (Enc)'!$D$6:$D$998,MATCH(UPPER(A2758)&amp;"|"&amp;UPPER(B2758),'Blackout Brand Fam Areas (Enc)'!$G$6:$G$998,0)),"No Match")</f>
        <v>Inactive</v>
      </c>
      <c r="F2758" s="2" t="str">
        <f t="shared" si="86"/>
        <v>THEM</v>
      </c>
      <c r="G2758" s="2" t="str">
        <f t="shared" si="87"/>
        <v>Victory|SUSSEX</v>
      </c>
    </row>
    <row r="2759" spans="1:7" x14ac:dyDescent="0.2">
      <c r="A2759" s="2" t="str" cm="1">
        <f t="array" ref="A2759">INDEX('[1]Brand Family Territory (Enc)'!$A$2:$A$296,INT((ROW()-2)/10)+1)</f>
        <v>Victory</v>
      </c>
      <c r="B2759" s="2" t="str" cm="1">
        <f t="array" ref="B2759">INDEX('Whitelist (Blackout Reverse)'!$B$1:$K$1,MOD(ROW()-2,10)+1)</f>
        <v>MORRIS 1</v>
      </c>
      <c r="C2759" s="2" t="str">
        <f>VLOOKUP(A2759,'[1]Brand Family Territory (Enc)'!$A$2:$B$296,2,FALSE)</f>
        <v>Bergen/Passaic/Hudson/Essex</v>
      </c>
      <c r="D2759" s="2">
        <f>IF(COUNTIFS('[1]Brand Family Territories (Enc)'!$B$2:$B$62,C2759,'[1]Brand Family Territories (Enc)'!$C$2:$C$62,B2759)&gt;0,1,IF(AND(LEFT(B2759,6)="MORRIS",COUNTIFS('[1]Brand Family Territories (Enc)'!$B$2:$B$62,C2759,'[1]Brand Family Territories (Enc)'!$C$2:$C$62,"Morri")&gt;0),"Unk",0))</f>
        <v>0</v>
      </c>
      <c r="E2759" s="2" t="str">
        <f>IFERROR(INDEX('Blackout Brand Fam Areas (Enc)'!$D$6:$D$998,MATCH(UPPER(A2759)&amp;"|"&amp;UPPER(B2759),'Blackout Brand Fam Areas (Enc)'!$G$6:$G$998,0)),"No Match")</f>
        <v>Inactive</v>
      </c>
      <c r="F2759" s="2" t="str">
        <f t="shared" si="86"/>
        <v>THEM</v>
      </c>
      <c r="G2759" s="2" t="str">
        <f t="shared" si="87"/>
        <v>Victory|MORRIS 1</v>
      </c>
    </row>
    <row r="2760" spans="1:7" x14ac:dyDescent="0.2">
      <c r="A2760" s="2" t="str" cm="1">
        <f t="array" ref="A2760">INDEX('[1]Brand Family Territory (Enc)'!$A$2:$A$296,INT((ROW()-2)/10)+1)</f>
        <v>Victory</v>
      </c>
      <c r="B2760" s="2" t="str" cm="1">
        <f t="array" ref="B2760">INDEX('Whitelist (Blackout Reverse)'!$B$1:$K$1,MOD(ROW()-2,10)+1)</f>
        <v>MORRIS 2</v>
      </c>
      <c r="C2760" s="2" t="str">
        <f>VLOOKUP(A2760,'[1]Brand Family Territory (Enc)'!$A$2:$B$296,2,FALSE)</f>
        <v>Bergen/Passaic/Hudson/Essex</v>
      </c>
      <c r="D2760" s="2">
        <f>IF(COUNTIFS('[1]Brand Family Territories (Enc)'!$B$2:$B$62,C2760,'[1]Brand Family Territories (Enc)'!$C$2:$C$62,B2760)&gt;0,1,IF(AND(LEFT(B2760,6)="MORRIS",COUNTIFS('[1]Brand Family Territories (Enc)'!$B$2:$B$62,C2760,'[1]Brand Family Territories (Enc)'!$C$2:$C$62,"Morri")&gt;0),"Unk",0))</f>
        <v>0</v>
      </c>
      <c r="E2760" s="2" t="str">
        <f>IFERROR(INDEX('Blackout Brand Fam Areas (Enc)'!$D$6:$D$998,MATCH(UPPER(A2760)&amp;"|"&amp;UPPER(B2760),'Blackout Brand Fam Areas (Enc)'!$G$6:$G$998,0)),"No Match")</f>
        <v>Inactive</v>
      </c>
      <c r="F2760" s="2" t="str">
        <f t="shared" si="86"/>
        <v>THEM</v>
      </c>
      <c r="G2760" s="2" t="str">
        <f t="shared" si="87"/>
        <v>Victory|MORRIS 2</v>
      </c>
    </row>
    <row r="2761" spans="1:7" x14ac:dyDescent="0.2">
      <c r="A2761" s="2" t="str" cm="1">
        <f t="array" ref="A2761">INDEX('[1]Brand Family Territory (Enc)'!$A$2:$A$296,INT((ROW()-2)/10)+1)</f>
        <v>Victory</v>
      </c>
      <c r="B2761" s="2" t="str" cm="1">
        <f t="array" ref="B2761">INDEX('Whitelist (Blackout Reverse)'!$B$1:$K$1,MOD(ROW()-2,10)+1)</f>
        <v>MORRIS 3</v>
      </c>
      <c r="C2761" s="2" t="str">
        <f>VLOOKUP(A2761,'[1]Brand Family Territory (Enc)'!$A$2:$B$296,2,FALSE)</f>
        <v>Bergen/Passaic/Hudson/Essex</v>
      </c>
      <c r="D2761" s="2">
        <f>IF(COUNTIFS('[1]Brand Family Territories (Enc)'!$B$2:$B$62,C2761,'[1]Brand Family Territories (Enc)'!$C$2:$C$62,B2761)&gt;0,1,IF(AND(LEFT(B2761,6)="MORRIS",COUNTIFS('[1]Brand Family Territories (Enc)'!$B$2:$B$62,C2761,'[1]Brand Family Territories (Enc)'!$C$2:$C$62,"Morri")&gt;0),"Unk",0))</f>
        <v>0</v>
      </c>
      <c r="E2761" s="2" t="str">
        <f>IFERROR(INDEX('Blackout Brand Fam Areas (Enc)'!$D$6:$D$998,MATCH(UPPER(A2761)&amp;"|"&amp;UPPER(B2761),'Blackout Brand Fam Areas (Enc)'!$G$6:$G$998,0)),"No Match")</f>
        <v>Inactive</v>
      </c>
      <c r="F2761" s="2" t="str">
        <f t="shared" si="86"/>
        <v>THEM</v>
      </c>
      <c r="G2761" s="2" t="str">
        <f t="shared" si="87"/>
        <v>Victory|MORRIS 3</v>
      </c>
    </row>
    <row r="2762" spans="1:7" x14ac:dyDescent="0.2">
      <c r="A2762" s="2" t="str" cm="1">
        <f t="array" ref="A2762">INDEX('[1]Brand Family Territory (Enc)'!$A$2:$A$296,INT((ROW()-2)/10)+1)</f>
        <v>Weihenstephaner</v>
      </c>
      <c r="B2762" s="2" t="str" cm="1">
        <f t="array" ref="B2762">INDEX('Whitelist (Blackout Reverse)'!$B$1:$K$1,MOD(ROW()-2,10)+1)</f>
        <v>BERGEN</v>
      </c>
      <c r="C2762" s="2" t="str">
        <f>VLOOKUP(A2762,'[1]Brand Family Territory (Enc)'!$A$2:$B$296,2,FALSE)</f>
        <v>Bergen/Passaic/Hudson/Essex</v>
      </c>
      <c r="D2762" s="2">
        <f>IF(COUNTIFS('[1]Brand Family Territories (Enc)'!$B$2:$B$62,C2762,'[1]Brand Family Territories (Enc)'!$C$2:$C$62,B2762)&gt;0,1,IF(AND(LEFT(B2762,6)="MORRIS",COUNTIFS('[1]Brand Family Territories (Enc)'!$B$2:$B$62,C2762,'[1]Brand Family Territories (Enc)'!$C$2:$C$62,"Morri")&gt;0),"Unk",0))</f>
        <v>1</v>
      </c>
      <c r="E2762" s="2" t="str">
        <f>IFERROR(INDEX('Blackout Brand Fam Areas (Enc)'!$D$6:$D$998,MATCH(UPPER(A2762)&amp;"|"&amp;UPPER(B2762),'Blackout Brand Fam Areas (Enc)'!$G$6:$G$998,0)),"No Match")</f>
        <v>No Match</v>
      </c>
      <c r="F2762" s="2" t="str">
        <f t="shared" si="86"/>
        <v>US</v>
      </c>
      <c r="G2762" s="2" t="str">
        <f t="shared" si="87"/>
        <v>Weihenstephaner|BERGEN</v>
      </c>
    </row>
    <row r="2763" spans="1:7" x14ac:dyDescent="0.2">
      <c r="A2763" s="2" t="str" cm="1">
        <f t="array" ref="A2763">INDEX('[1]Brand Family Territory (Enc)'!$A$2:$A$296,INT((ROW()-2)/10)+1)</f>
        <v>Weihenstephaner</v>
      </c>
      <c r="B2763" s="2" t="str" cm="1">
        <f t="array" ref="B2763">INDEX('Whitelist (Blackout Reverse)'!$B$1:$K$1,MOD(ROW()-2,10)+1)</f>
        <v>PASSAIC</v>
      </c>
      <c r="C2763" s="2" t="str">
        <f>VLOOKUP(A2763,'[1]Brand Family Territory (Enc)'!$A$2:$B$296,2,FALSE)</f>
        <v>Bergen/Passaic/Hudson/Essex</v>
      </c>
      <c r="D2763" s="2">
        <f>IF(COUNTIFS('[1]Brand Family Territories (Enc)'!$B$2:$B$62,C2763,'[1]Brand Family Territories (Enc)'!$C$2:$C$62,B2763)&gt;0,1,IF(AND(LEFT(B2763,6)="MORRIS",COUNTIFS('[1]Brand Family Territories (Enc)'!$B$2:$B$62,C2763,'[1]Brand Family Territories (Enc)'!$C$2:$C$62,"Morri")&gt;0),"Unk",0))</f>
        <v>1</v>
      </c>
      <c r="E2763" s="2" t="str">
        <f>IFERROR(INDEX('Blackout Brand Fam Areas (Enc)'!$D$6:$D$998,MATCH(UPPER(A2763)&amp;"|"&amp;UPPER(B2763),'Blackout Brand Fam Areas (Enc)'!$G$6:$G$998,0)),"No Match")</f>
        <v>No Match</v>
      </c>
      <c r="F2763" s="2" t="str">
        <f t="shared" si="86"/>
        <v>US</v>
      </c>
      <c r="G2763" s="2" t="str">
        <f t="shared" si="87"/>
        <v>Weihenstephaner|PASSAIC</v>
      </c>
    </row>
    <row r="2764" spans="1:7" x14ac:dyDescent="0.2">
      <c r="A2764" s="2" t="str" cm="1">
        <f t="array" ref="A2764">INDEX('[1]Brand Family Territory (Enc)'!$A$2:$A$296,INT((ROW()-2)/10)+1)</f>
        <v>Weihenstephaner</v>
      </c>
      <c r="B2764" s="2" t="str" cm="1">
        <f t="array" ref="B2764">INDEX('Whitelist (Blackout Reverse)'!$B$1:$K$1,MOD(ROW()-2,10)+1)</f>
        <v>PASSAIC-FF</v>
      </c>
      <c r="C2764" s="2" t="str">
        <f>VLOOKUP(A2764,'[1]Brand Family Territory (Enc)'!$A$2:$B$296,2,FALSE)</f>
        <v>Bergen/Passaic/Hudson/Essex</v>
      </c>
      <c r="D2764" s="2">
        <f>IF(COUNTIFS('[1]Brand Family Territories (Enc)'!$B$2:$B$62,C2764,'[1]Brand Family Territories (Enc)'!$C$2:$C$62,B2764)&gt;0,1,IF(AND(LEFT(B2764,6)="MORRIS",COUNTIFS('[1]Brand Family Territories (Enc)'!$B$2:$B$62,C2764,'[1]Brand Family Territories (Enc)'!$C$2:$C$62,"Morri")&gt;0),"Unk",0))</f>
        <v>1</v>
      </c>
      <c r="E2764" s="2" t="str">
        <f>IFERROR(INDEX('Blackout Brand Fam Areas (Enc)'!$D$6:$D$998,MATCH(UPPER(A2764)&amp;"|"&amp;UPPER(B2764),'Blackout Brand Fam Areas (Enc)'!$G$6:$G$998,0)),"No Match")</f>
        <v>No Match</v>
      </c>
      <c r="F2764" s="2" t="str">
        <f t="shared" si="86"/>
        <v>US</v>
      </c>
      <c r="G2764" s="2" t="str">
        <f t="shared" si="87"/>
        <v>Weihenstephaner|PASSAIC-FF</v>
      </c>
    </row>
    <row r="2765" spans="1:7" x14ac:dyDescent="0.2">
      <c r="A2765" s="2" t="str" cm="1">
        <f t="array" ref="A2765">INDEX('[1]Brand Family Territory (Enc)'!$A$2:$A$296,INT((ROW()-2)/10)+1)</f>
        <v>Weihenstephaner</v>
      </c>
      <c r="B2765" s="2" t="str" cm="1">
        <f t="array" ref="B2765">INDEX('Whitelist (Blackout Reverse)'!$B$1:$K$1,MOD(ROW()-2,10)+1)</f>
        <v>ESSEX</v>
      </c>
      <c r="C2765" s="2" t="str">
        <f>VLOOKUP(A2765,'[1]Brand Family Territory (Enc)'!$A$2:$B$296,2,FALSE)</f>
        <v>Bergen/Passaic/Hudson/Essex</v>
      </c>
      <c r="D2765" s="2">
        <f>IF(COUNTIFS('[1]Brand Family Territories (Enc)'!$B$2:$B$62,C2765,'[1]Brand Family Territories (Enc)'!$C$2:$C$62,B2765)&gt;0,1,IF(AND(LEFT(B2765,6)="MORRIS",COUNTIFS('[1]Brand Family Territories (Enc)'!$B$2:$B$62,C2765,'[1]Brand Family Territories (Enc)'!$C$2:$C$62,"Morri")&gt;0),"Unk",0))</f>
        <v>1</v>
      </c>
      <c r="E2765" s="2" t="str">
        <f>IFERROR(INDEX('Blackout Brand Fam Areas (Enc)'!$D$6:$D$998,MATCH(UPPER(A2765)&amp;"|"&amp;UPPER(B2765),'Blackout Brand Fam Areas (Enc)'!$G$6:$G$998,0)),"No Match")</f>
        <v>No Match</v>
      </c>
      <c r="F2765" s="2" t="str">
        <f t="shared" si="86"/>
        <v>US</v>
      </c>
      <c r="G2765" s="2" t="str">
        <f t="shared" si="87"/>
        <v>Weihenstephaner|ESSEX</v>
      </c>
    </row>
    <row r="2766" spans="1:7" x14ac:dyDescent="0.2">
      <c r="A2766" s="2" t="str" cm="1">
        <f t="array" ref="A2766">INDEX('[1]Brand Family Territory (Enc)'!$A$2:$A$296,INT((ROW()-2)/10)+1)</f>
        <v>Weihenstephaner</v>
      </c>
      <c r="B2766" s="2" t="str" cm="1">
        <f t="array" ref="B2766">INDEX('Whitelist (Blackout Reverse)'!$B$1:$K$1,MOD(ROW()-2,10)+1)</f>
        <v>HUDSON</v>
      </c>
      <c r="C2766" s="2" t="str">
        <f>VLOOKUP(A2766,'[1]Brand Family Territory (Enc)'!$A$2:$B$296,2,FALSE)</f>
        <v>Bergen/Passaic/Hudson/Essex</v>
      </c>
      <c r="D2766" s="2">
        <f>IF(COUNTIFS('[1]Brand Family Territories (Enc)'!$B$2:$B$62,C2766,'[1]Brand Family Territories (Enc)'!$C$2:$C$62,B2766)&gt;0,1,IF(AND(LEFT(B2766,6)="MORRIS",COUNTIFS('[1]Brand Family Territories (Enc)'!$B$2:$B$62,C2766,'[1]Brand Family Territories (Enc)'!$C$2:$C$62,"Morri")&gt;0),"Unk",0))</f>
        <v>1</v>
      </c>
      <c r="E2766" s="2" t="str">
        <f>IFERROR(INDEX('Blackout Brand Fam Areas (Enc)'!$D$6:$D$998,MATCH(UPPER(A2766)&amp;"|"&amp;UPPER(B2766),'Blackout Brand Fam Areas (Enc)'!$G$6:$G$998,0)),"No Match")</f>
        <v>No Match</v>
      </c>
      <c r="F2766" s="2" t="str">
        <f t="shared" si="86"/>
        <v>US</v>
      </c>
      <c r="G2766" s="2" t="str">
        <f t="shared" si="87"/>
        <v>Weihenstephaner|HUDSON</v>
      </c>
    </row>
    <row r="2767" spans="1:7" x14ac:dyDescent="0.2">
      <c r="A2767" s="2" t="str" cm="1">
        <f t="array" ref="A2767">INDEX('[1]Brand Family Territory (Enc)'!$A$2:$A$296,INT((ROW()-2)/10)+1)</f>
        <v>Weihenstephaner</v>
      </c>
      <c r="B2767" s="2" t="str" cm="1">
        <f t="array" ref="B2767">INDEX('Whitelist (Blackout Reverse)'!$B$1:$K$1,MOD(ROW()-2,10)+1)</f>
        <v>UNION</v>
      </c>
      <c r="C2767" s="2" t="str">
        <f>VLOOKUP(A2767,'[1]Brand Family Territory (Enc)'!$A$2:$B$296,2,FALSE)</f>
        <v>Bergen/Passaic/Hudson/Essex</v>
      </c>
      <c r="D2767" s="2">
        <f>IF(COUNTIFS('[1]Brand Family Territories (Enc)'!$B$2:$B$62,C2767,'[1]Brand Family Territories (Enc)'!$C$2:$C$62,B2767)&gt;0,1,IF(AND(LEFT(B2767,6)="MORRIS",COUNTIFS('[1]Brand Family Territories (Enc)'!$B$2:$B$62,C2767,'[1]Brand Family Territories (Enc)'!$C$2:$C$62,"Morri")&gt;0),"Unk",0))</f>
        <v>0</v>
      </c>
      <c r="E2767" s="2" t="str">
        <f>IFERROR(INDEX('Blackout Brand Fam Areas (Enc)'!$D$6:$D$998,MATCH(UPPER(A2767)&amp;"|"&amp;UPPER(B2767),'Blackout Brand Fam Areas (Enc)'!$G$6:$G$998,0)),"No Match")</f>
        <v>Inactive</v>
      </c>
      <c r="F2767" s="2" t="str">
        <f t="shared" si="86"/>
        <v>THEM</v>
      </c>
      <c r="G2767" s="2" t="str">
        <f t="shared" si="87"/>
        <v>Weihenstephaner|UNION</v>
      </c>
    </row>
    <row r="2768" spans="1:7" x14ac:dyDescent="0.2">
      <c r="A2768" s="2" t="str" cm="1">
        <f t="array" ref="A2768">INDEX('[1]Brand Family Territory (Enc)'!$A$2:$A$296,INT((ROW()-2)/10)+1)</f>
        <v>Weihenstephaner</v>
      </c>
      <c r="B2768" s="2" t="str" cm="1">
        <f t="array" ref="B2768">INDEX('Whitelist (Blackout Reverse)'!$B$1:$K$1,MOD(ROW()-2,10)+1)</f>
        <v>SUSSEX</v>
      </c>
      <c r="C2768" s="2" t="str">
        <f>VLOOKUP(A2768,'[1]Brand Family Territory (Enc)'!$A$2:$B$296,2,FALSE)</f>
        <v>Bergen/Passaic/Hudson/Essex</v>
      </c>
      <c r="D2768" s="2">
        <f>IF(COUNTIFS('[1]Brand Family Territories (Enc)'!$B$2:$B$62,C2768,'[1]Brand Family Territories (Enc)'!$C$2:$C$62,B2768)&gt;0,1,IF(AND(LEFT(B2768,6)="MORRIS",COUNTIFS('[1]Brand Family Territories (Enc)'!$B$2:$B$62,C2768,'[1]Brand Family Territories (Enc)'!$C$2:$C$62,"Morri")&gt;0),"Unk",0))</f>
        <v>0</v>
      </c>
      <c r="E2768" s="2" t="str">
        <f>IFERROR(INDEX('Blackout Brand Fam Areas (Enc)'!$D$6:$D$998,MATCH(UPPER(A2768)&amp;"|"&amp;UPPER(B2768),'Blackout Brand Fam Areas (Enc)'!$G$6:$G$998,0)),"No Match")</f>
        <v>Inactive</v>
      </c>
      <c r="F2768" s="2" t="str">
        <f t="shared" si="86"/>
        <v>THEM</v>
      </c>
      <c r="G2768" s="2" t="str">
        <f t="shared" si="87"/>
        <v>Weihenstephaner|SUSSEX</v>
      </c>
    </row>
    <row r="2769" spans="1:7" x14ac:dyDescent="0.2">
      <c r="A2769" s="2" t="str" cm="1">
        <f t="array" ref="A2769">INDEX('[1]Brand Family Territory (Enc)'!$A$2:$A$296,INT((ROW()-2)/10)+1)</f>
        <v>Weihenstephaner</v>
      </c>
      <c r="B2769" s="2" t="str" cm="1">
        <f t="array" ref="B2769">INDEX('Whitelist (Blackout Reverse)'!$B$1:$K$1,MOD(ROW()-2,10)+1)</f>
        <v>MORRIS 1</v>
      </c>
      <c r="C2769" s="2" t="str">
        <f>VLOOKUP(A2769,'[1]Brand Family Territory (Enc)'!$A$2:$B$296,2,FALSE)</f>
        <v>Bergen/Passaic/Hudson/Essex</v>
      </c>
      <c r="D2769" s="2">
        <f>IF(COUNTIFS('[1]Brand Family Territories (Enc)'!$B$2:$B$62,C2769,'[1]Brand Family Territories (Enc)'!$C$2:$C$62,B2769)&gt;0,1,IF(AND(LEFT(B2769,6)="MORRIS",COUNTIFS('[1]Brand Family Territories (Enc)'!$B$2:$B$62,C2769,'[1]Brand Family Territories (Enc)'!$C$2:$C$62,"Morri")&gt;0),"Unk",0))</f>
        <v>0</v>
      </c>
      <c r="E2769" s="2" t="str">
        <f>IFERROR(INDEX('Blackout Brand Fam Areas (Enc)'!$D$6:$D$998,MATCH(UPPER(A2769)&amp;"|"&amp;UPPER(B2769),'Blackout Brand Fam Areas (Enc)'!$G$6:$G$998,0)),"No Match")</f>
        <v>Inactive</v>
      </c>
      <c r="F2769" s="2" t="str">
        <f t="shared" si="86"/>
        <v>THEM</v>
      </c>
      <c r="G2769" s="2" t="str">
        <f t="shared" si="87"/>
        <v>Weihenstephaner|MORRIS 1</v>
      </c>
    </row>
    <row r="2770" spans="1:7" x14ac:dyDescent="0.2">
      <c r="A2770" s="2" t="str" cm="1">
        <f t="array" ref="A2770">INDEX('[1]Brand Family Territory (Enc)'!$A$2:$A$296,INT((ROW()-2)/10)+1)</f>
        <v>Weihenstephaner</v>
      </c>
      <c r="B2770" s="2" t="str" cm="1">
        <f t="array" ref="B2770">INDEX('Whitelist (Blackout Reverse)'!$B$1:$K$1,MOD(ROW()-2,10)+1)</f>
        <v>MORRIS 2</v>
      </c>
      <c r="C2770" s="2" t="str">
        <f>VLOOKUP(A2770,'[1]Brand Family Territory (Enc)'!$A$2:$B$296,2,FALSE)</f>
        <v>Bergen/Passaic/Hudson/Essex</v>
      </c>
      <c r="D2770" s="2">
        <f>IF(COUNTIFS('[1]Brand Family Territories (Enc)'!$B$2:$B$62,C2770,'[1]Brand Family Territories (Enc)'!$C$2:$C$62,B2770)&gt;0,1,IF(AND(LEFT(B2770,6)="MORRIS",COUNTIFS('[1]Brand Family Territories (Enc)'!$B$2:$B$62,C2770,'[1]Brand Family Territories (Enc)'!$C$2:$C$62,"Morri")&gt;0),"Unk",0))</f>
        <v>0</v>
      </c>
      <c r="E2770" s="2" t="str">
        <f>IFERROR(INDEX('Blackout Brand Fam Areas (Enc)'!$D$6:$D$998,MATCH(UPPER(A2770)&amp;"|"&amp;UPPER(B2770),'Blackout Brand Fam Areas (Enc)'!$G$6:$G$998,0)),"No Match")</f>
        <v>Inactive</v>
      </c>
      <c r="F2770" s="2" t="str">
        <f t="shared" si="86"/>
        <v>THEM</v>
      </c>
      <c r="G2770" s="2" t="str">
        <f t="shared" si="87"/>
        <v>Weihenstephaner|MORRIS 2</v>
      </c>
    </row>
    <row r="2771" spans="1:7" x14ac:dyDescent="0.2">
      <c r="A2771" s="2" t="str" cm="1">
        <f t="array" ref="A2771">INDEX('[1]Brand Family Territory (Enc)'!$A$2:$A$296,INT((ROW()-2)/10)+1)</f>
        <v>Weihenstephaner</v>
      </c>
      <c r="B2771" s="2" t="str" cm="1">
        <f t="array" ref="B2771">INDEX('Whitelist (Blackout Reverse)'!$B$1:$K$1,MOD(ROW()-2,10)+1)</f>
        <v>MORRIS 3</v>
      </c>
      <c r="C2771" s="2" t="str">
        <f>VLOOKUP(A2771,'[1]Brand Family Territory (Enc)'!$A$2:$B$296,2,FALSE)</f>
        <v>Bergen/Passaic/Hudson/Essex</v>
      </c>
      <c r="D2771" s="2">
        <f>IF(COUNTIFS('[1]Brand Family Territories (Enc)'!$B$2:$B$62,C2771,'[1]Brand Family Territories (Enc)'!$C$2:$C$62,B2771)&gt;0,1,IF(AND(LEFT(B2771,6)="MORRIS",COUNTIFS('[1]Brand Family Territories (Enc)'!$B$2:$B$62,C2771,'[1]Brand Family Territories (Enc)'!$C$2:$C$62,"Morri")&gt;0),"Unk",0))</f>
        <v>0</v>
      </c>
      <c r="E2771" s="2" t="str">
        <f>IFERROR(INDEX('Blackout Brand Fam Areas (Enc)'!$D$6:$D$998,MATCH(UPPER(A2771)&amp;"|"&amp;UPPER(B2771),'Blackout Brand Fam Areas (Enc)'!$G$6:$G$998,0)),"No Match")</f>
        <v>Inactive</v>
      </c>
      <c r="F2771" s="2" t="str">
        <f t="shared" si="86"/>
        <v>THEM</v>
      </c>
      <c r="G2771" s="2" t="str">
        <f t="shared" si="87"/>
        <v>Weihenstephaner|MORRIS 3</v>
      </c>
    </row>
    <row r="2772" spans="1:7" x14ac:dyDescent="0.2">
      <c r="A2772" s="2" t="str" cm="1">
        <f t="array" ref="A2772">INDEX('[1]Brand Family Territory (Enc)'!$A$2:$A$296,INT((ROW()-2)/10)+1)</f>
        <v>Popsicle Hard</v>
      </c>
      <c r="B2772" s="2" t="str" cm="1">
        <f t="array" ref="B2772">INDEX('Whitelist (Blackout Reverse)'!$B$1:$K$1,MOD(ROW()-2,10)+1)</f>
        <v>BERGEN</v>
      </c>
      <c r="C2772" s="2" t="str">
        <f>VLOOKUP(A2772,'[1]Brand Family Territory (Enc)'!$A$2:$B$296,2,FALSE)</f>
        <v>Core Market</v>
      </c>
      <c r="D2772" s="2">
        <f>IF(COUNTIFS('[1]Brand Family Territories (Enc)'!$B$2:$B$62,C2772,'[1]Brand Family Territories (Enc)'!$C$2:$C$62,B2772)&gt;0,1,IF(AND(LEFT(B2772,6)="MORRIS",COUNTIFS('[1]Brand Family Territories (Enc)'!$B$2:$B$62,C2772,'[1]Brand Family Territories (Enc)'!$C$2:$C$62,"Morri")&gt;0),"Unk",0))</f>
        <v>1</v>
      </c>
      <c r="E2772" s="2" t="str">
        <f>IFERROR(INDEX('Blackout Brand Fam Areas (Enc)'!$D$6:$D$998,MATCH(UPPER(A2772)&amp;"|"&amp;UPPER(B2772),'Blackout Brand Fam Areas (Enc)'!$G$6:$G$998,0)),"No Match")</f>
        <v>No Match</v>
      </c>
      <c r="F2772" s="2" t="str">
        <f t="shared" si="86"/>
        <v>US</v>
      </c>
      <c r="G2772" s="2" t="str">
        <f t="shared" si="87"/>
        <v>Popsicle Hard|BERGEN</v>
      </c>
    </row>
    <row r="2773" spans="1:7" x14ac:dyDescent="0.2">
      <c r="A2773" s="2" t="str" cm="1">
        <f t="array" ref="A2773">INDEX('[1]Brand Family Territory (Enc)'!$A$2:$A$296,INT((ROW()-2)/10)+1)</f>
        <v>Popsicle Hard</v>
      </c>
      <c r="B2773" s="2" t="str" cm="1">
        <f t="array" ref="B2773">INDEX('Whitelist (Blackout Reverse)'!$B$1:$K$1,MOD(ROW()-2,10)+1)</f>
        <v>PASSAIC</v>
      </c>
      <c r="C2773" s="2" t="str">
        <f>VLOOKUP(A2773,'[1]Brand Family Territory (Enc)'!$A$2:$B$296,2,FALSE)</f>
        <v>Core Market</v>
      </c>
      <c r="D2773" s="2">
        <f>IF(COUNTIFS('[1]Brand Family Territories (Enc)'!$B$2:$B$62,C2773,'[1]Brand Family Territories (Enc)'!$C$2:$C$62,B2773)&gt;0,1,IF(AND(LEFT(B2773,6)="MORRIS",COUNTIFS('[1]Brand Family Territories (Enc)'!$B$2:$B$62,C2773,'[1]Brand Family Territories (Enc)'!$C$2:$C$62,"Morri")&gt;0),"Unk",0))</f>
        <v>1</v>
      </c>
      <c r="E2773" s="2" t="str">
        <f>IFERROR(INDEX('Blackout Brand Fam Areas (Enc)'!$D$6:$D$998,MATCH(UPPER(A2773)&amp;"|"&amp;UPPER(B2773),'Blackout Brand Fam Areas (Enc)'!$G$6:$G$998,0)),"No Match")</f>
        <v>No Match</v>
      </c>
      <c r="F2773" s="2" t="str">
        <f t="shared" si="86"/>
        <v>US</v>
      </c>
      <c r="G2773" s="2" t="str">
        <f t="shared" si="87"/>
        <v>Popsicle Hard|PASSAIC</v>
      </c>
    </row>
    <row r="2774" spans="1:7" x14ac:dyDescent="0.2">
      <c r="A2774" s="2" t="str" cm="1">
        <f t="array" ref="A2774">INDEX('[1]Brand Family Territory (Enc)'!$A$2:$A$296,INT((ROW()-2)/10)+1)</f>
        <v>Popsicle Hard</v>
      </c>
      <c r="B2774" s="2" t="str" cm="1">
        <f t="array" ref="B2774">INDEX('Whitelist (Blackout Reverse)'!$B$1:$K$1,MOD(ROW()-2,10)+1)</f>
        <v>PASSAIC-FF</v>
      </c>
      <c r="C2774" s="2" t="str">
        <f>VLOOKUP(A2774,'[1]Brand Family Territory (Enc)'!$A$2:$B$296,2,FALSE)</f>
        <v>Core Market</v>
      </c>
      <c r="D2774" s="2">
        <f>IF(COUNTIFS('[1]Brand Family Territories (Enc)'!$B$2:$B$62,C2774,'[1]Brand Family Territories (Enc)'!$C$2:$C$62,B2774)&gt;0,1,IF(AND(LEFT(B2774,6)="MORRIS",COUNTIFS('[1]Brand Family Territories (Enc)'!$B$2:$B$62,C2774,'[1]Brand Family Territories (Enc)'!$C$2:$C$62,"Morri")&gt;0),"Unk",0))</f>
        <v>1</v>
      </c>
      <c r="E2774" s="2" t="str">
        <f>IFERROR(INDEX('Blackout Brand Fam Areas (Enc)'!$D$6:$D$998,MATCH(UPPER(A2774)&amp;"|"&amp;UPPER(B2774),'Blackout Brand Fam Areas (Enc)'!$G$6:$G$998,0)),"No Match")</f>
        <v>No Match</v>
      </c>
      <c r="F2774" s="2" t="str">
        <f t="shared" si="86"/>
        <v>US</v>
      </c>
      <c r="G2774" s="2" t="str">
        <f t="shared" si="87"/>
        <v>Popsicle Hard|PASSAIC-FF</v>
      </c>
    </row>
    <row r="2775" spans="1:7" x14ac:dyDescent="0.2">
      <c r="A2775" s="2" t="str" cm="1">
        <f t="array" ref="A2775">INDEX('[1]Brand Family Territory (Enc)'!$A$2:$A$296,INT((ROW()-2)/10)+1)</f>
        <v>Popsicle Hard</v>
      </c>
      <c r="B2775" s="2" t="str" cm="1">
        <f t="array" ref="B2775">INDEX('Whitelist (Blackout Reverse)'!$B$1:$K$1,MOD(ROW()-2,10)+1)</f>
        <v>ESSEX</v>
      </c>
      <c r="C2775" s="2" t="str">
        <f>VLOOKUP(A2775,'[1]Brand Family Territory (Enc)'!$A$2:$B$296,2,FALSE)</f>
        <v>Core Market</v>
      </c>
      <c r="D2775" s="2">
        <f>IF(COUNTIFS('[1]Brand Family Territories (Enc)'!$B$2:$B$62,C2775,'[1]Brand Family Territories (Enc)'!$C$2:$C$62,B2775)&gt;0,1,IF(AND(LEFT(B2775,6)="MORRIS",COUNTIFS('[1]Brand Family Territories (Enc)'!$B$2:$B$62,C2775,'[1]Brand Family Territories (Enc)'!$C$2:$C$62,"Morri")&gt;0),"Unk",0))</f>
        <v>0</v>
      </c>
      <c r="E2775" s="2" t="str">
        <f>IFERROR(INDEX('Blackout Brand Fam Areas (Enc)'!$D$6:$D$998,MATCH(UPPER(A2775)&amp;"|"&amp;UPPER(B2775),'Blackout Brand Fam Areas (Enc)'!$G$6:$G$998,0)),"No Match")</f>
        <v>No Match</v>
      </c>
      <c r="F2775" s="2" t="str">
        <f t="shared" si="86"/>
        <v>THEM</v>
      </c>
      <c r="G2775" s="2" t="str">
        <f t="shared" si="87"/>
        <v>Popsicle Hard|ESSEX</v>
      </c>
    </row>
    <row r="2776" spans="1:7" x14ac:dyDescent="0.2">
      <c r="A2776" s="2" t="str" cm="1">
        <f t="array" ref="A2776">INDEX('[1]Brand Family Territory (Enc)'!$A$2:$A$296,INT((ROW()-2)/10)+1)</f>
        <v>Popsicle Hard</v>
      </c>
      <c r="B2776" s="2" t="str" cm="1">
        <f t="array" ref="B2776">INDEX('Whitelist (Blackout Reverse)'!$B$1:$K$1,MOD(ROW()-2,10)+1)</f>
        <v>HUDSON</v>
      </c>
      <c r="C2776" s="2" t="str">
        <f>VLOOKUP(A2776,'[1]Brand Family Territory (Enc)'!$A$2:$B$296,2,FALSE)</f>
        <v>Core Market</v>
      </c>
      <c r="D2776" s="2">
        <f>IF(COUNTIFS('[1]Brand Family Territories (Enc)'!$B$2:$B$62,C2776,'[1]Brand Family Territories (Enc)'!$C$2:$C$62,B2776)&gt;0,1,IF(AND(LEFT(B2776,6)="MORRIS",COUNTIFS('[1]Brand Family Territories (Enc)'!$B$2:$B$62,C2776,'[1]Brand Family Territories (Enc)'!$C$2:$C$62,"Morri")&gt;0),"Unk",0))</f>
        <v>0</v>
      </c>
      <c r="E2776" s="2" t="str">
        <f>IFERROR(INDEX('Blackout Brand Fam Areas (Enc)'!$D$6:$D$998,MATCH(UPPER(A2776)&amp;"|"&amp;UPPER(B2776),'Blackout Brand Fam Areas (Enc)'!$G$6:$G$998,0)),"No Match")</f>
        <v>No Match</v>
      </c>
      <c r="F2776" s="2" t="str">
        <f t="shared" si="86"/>
        <v>THEM</v>
      </c>
      <c r="G2776" s="2" t="str">
        <f t="shared" si="87"/>
        <v>Popsicle Hard|HUDSON</v>
      </c>
    </row>
    <row r="2777" spans="1:7" x14ac:dyDescent="0.2">
      <c r="A2777" s="2" t="str" cm="1">
        <f t="array" ref="A2777">INDEX('[1]Brand Family Territory (Enc)'!$A$2:$A$296,INT((ROW()-2)/10)+1)</f>
        <v>Popsicle Hard</v>
      </c>
      <c r="B2777" s="2" t="str" cm="1">
        <f t="array" ref="B2777">INDEX('Whitelist (Blackout Reverse)'!$B$1:$K$1,MOD(ROW()-2,10)+1)</f>
        <v>UNION</v>
      </c>
      <c r="C2777" s="2" t="str">
        <f>VLOOKUP(A2777,'[1]Brand Family Territory (Enc)'!$A$2:$B$296,2,FALSE)</f>
        <v>Core Market</v>
      </c>
      <c r="D2777" s="2">
        <f>IF(COUNTIFS('[1]Brand Family Territories (Enc)'!$B$2:$B$62,C2777,'[1]Brand Family Territories (Enc)'!$C$2:$C$62,B2777)&gt;0,1,IF(AND(LEFT(B2777,6)="MORRIS",COUNTIFS('[1]Brand Family Territories (Enc)'!$B$2:$B$62,C2777,'[1]Brand Family Territories (Enc)'!$C$2:$C$62,"Morri")&gt;0),"Unk",0))</f>
        <v>0</v>
      </c>
      <c r="E2777" s="2" t="str">
        <f>IFERROR(INDEX('Blackout Brand Fam Areas (Enc)'!$D$6:$D$998,MATCH(UPPER(A2777)&amp;"|"&amp;UPPER(B2777),'Blackout Brand Fam Areas (Enc)'!$G$6:$G$998,0)),"No Match")</f>
        <v>No Match</v>
      </c>
      <c r="F2777" s="2" t="str">
        <f t="shared" si="86"/>
        <v>THEM</v>
      </c>
      <c r="G2777" s="2" t="str">
        <f t="shared" si="87"/>
        <v>Popsicle Hard|UNION</v>
      </c>
    </row>
    <row r="2778" spans="1:7" x14ac:dyDescent="0.2">
      <c r="A2778" s="2" t="str" cm="1">
        <f t="array" ref="A2778">INDEX('[1]Brand Family Territory (Enc)'!$A$2:$A$296,INT((ROW()-2)/10)+1)</f>
        <v>Popsicle Hard</v>
      </c>
      <c r="B2778" s="2" t="str" cm="1">
        <f t="array" ref="B2778">INDEX('Whitelist (Blackout Reverse)'!$B$1:$K$1,MOD(ROW()-2,10)+1)</f>
        <v>SUSSEX</v>
      </c>
      <c r="C2778" s="2" t="str">
        <f>VLOOKUP(A2778,'[1]Brand Family Territory (Enc)'!$A$2:$B$296,2,FALSE)</f>
        <v>Core Market</v>
      </c>
      <c r="D2778" s="2">
        <f>IF(COUNTIFS('[1]Brand Family Territories (Enc)'!$B$2:$B$62,C2778,'[1]Brand Family Territories (Enc)'!$C$2:$C$62,B2778)&gt;0,1,IF(AND(LEFT(B2778,6)="MORRIS",COUNTIFS('[1]Brand Family Territories (Enc)'!$B$2:$B$62,C2778,'[1]Brand Family Territories (Enc)'!$C$2:$C$62,"Morri")&gt;0),"Unk",0))</f>
        <v>1</v>
      </c>
      <c r="E2778" s="2" t="str">
        <f>IFERROR(INDEX('Blackout Brand Fam Areas (Enc)'!$D$6:$D$998,MATCH(UPPER(A2778)&amp;"|"&amp;UPPER(B2778),'Blackout Brand Fam Areas (Enc)'!$G$6:$G$998,0)),"No Match")</f>
        <v>No Match</v>
      </c>
      <c r="F2778" s="2" t="str">
        <f t="shared" si="86"/>
        <v>US</v>
      </c>
      <c r="G2778" s="2" t="str">
        <f t="shared" si="87"/>
        <v>Popsicle Hard|SUSSEX</v>
      </c>
    </row>
    <row r="2779" spans="1:7" x14ac:dyDescent="0.2">
      <c r="A2779" s="2" t="str" cm="1">
        <f t="array" ref="A2779">INDEX('[1]Brand Family Territory (Enc)'!$A$2:$A$296,INT((ROW()-2)/10)+1)</f>
        <v>Popsicle Hard</v>
      </c>
      <c r="B2779" s="2" t="str" cm="1">
        <f t="array" ref="B2779">INDEX('Whitelist (Blackout Reverse)'!$B$1:$K$1,MOD(ROW()-2,10)+1)</f>
        <v>MORRIS 1</v>
      </c>
      <c r="C2779" s="2" t="str">
        <f>VLOOKUP(A2779,'[1]Brand Family Territory (Enc)'!$A$2:$B$296,2,FALSE)</f>
        <v>Core Market</v>
      </c>
      <c r="D2779" s="2">
        <f>IF(COUNTIFS('[1]Brand Family Territories (Enc)'!$B$2:$B$62,C2779,'[1]Brand Family Territories (Enc)'!$C$2:$C$62,B2779)&gt;0,1,IF(AND(LEFT(B2779,6)="MORRIS",COUNTIFS('[1]Brand Family Territories (Enc)'!$B$2:$B$62,C2779,'[1]Brand Family Territories (Enc)'!$C$2:$C$62,"Morri")&gt;0),"Unk",0))</f>
        <v>1</v>
      </c>
      <c r="E2779" s="2" t="str">
        <f>IFERROR(INDEX('Blackout Brand Fam Areas (Enc)'!$D$6:$D$998,MATCH(UPPER(A2779)&amp;"|"&amp;UPPER(B2779),'Blackout Brand Fam Areas (Enc)'!$G$6:$G$998,0)),"No Match")</f>
        <v>No Match</v>
      </c>
      <c r="F2779" s="2" t="str">
        <f t="shared" si="86"/>
        <v>US</v>
      </c>
      <c r="G2779" s="2" t="str">
        <f t="shared" si="87"/>
        <v>Popsicle Hard|MORRIS 1</v>
      </c>
    </row>
    <row r="2780" spans="1:7" x14ac:dyDescent="0.2">
      <c r="A2780" s="2" t="str" cm="1">
        <f t="array" ref="A2780">INDEX('[1]Brand Family Territory (Enc)'!$A$2:$A$296,INT((ROW()-2)/10)+1)</f>
        <v>Popsicle Hard</v>
      </c>
      <c r="B2780" s="2" t="str" cm="1">
        <f t="array" ref="B2780">INDEX('Whitelist (Blackout Reverse)'!$B$1:$K$1,MOD(ROW()-2,10)+1)</f>
        <v>MORRIS 2</v>
      </c>
      <c r="C2780" s="2" t="str">
        <f>VLOOKUP(A2780,'[1]Brand Family Territory (Enc)'!$A$2:$B$296,2,FALSE)</f>
        <v>Core Market</v>
      </c>
      <c r="D2780" s="2">
        <f>IF(COUNTIFS('[1]Brand Family Territories (Enc)'!$B$2:$B$62,C2780,'[1]Brand Family Territories (Enc)'!$C$2:$C$62,B2780)&gt;0,1,IF(AND(LEFT(B2780,6)="MORRIS",COUNTIFS('[1]Brand Family Territories (Enc)'!$B$2:$B$62,C2780,'[1]Brand Family Territories (Enc)'!$C$2:$C$62,"Morri")&gt;0),"Unk",0))</f>
        <v>0</v>
      </c>
      <c r="E2780" s="2" t="str">
        <f>IFERROR(INDEX('Blackout Brand Fam Areas (Enc)'!$D$6:$D$998,MATCH(UPPER(A2780)&amp;"|"&amp;UPPER(B2780),'Blackout Brand Fam Areas (Enc)'!$G$6:$G$998,0)),"No Match")</f>
        <v>No Match</v>
      </c>
      <c r="F2780" s="2" t="str">
        <f t="shared" si="86"/>
        <v>THEM</v>
      </c>
      <c r="G2780" s="2" t="str">
        <f t="shared" si="87"/>
        <v>Popsicle Hard|MORRIS 2</v>
      </c>
    </row>
    <row r="2781" spans="1:7" x14ac:dyDescent="0.2">
      <c r="A2781" s="2" t="str" cm="1">
        <f t="array" ref="A2781">INDEX('[1]Brand Family Territory (Enc)'!$A$2:$A$296,INT((ROW()-2)/10)+1)</f>
        <v>Popsicle Hard</v>
      </c>
      <c r="B2781" s="2" t="str" cm="1">
        <f t="array" ref="B2781">INDEX('Whitelist (Blackout Reverse)'!$B$1:$K$1,MOD(ROW()-2,10)+1)</f>
        <v>MORRIS 3</v>
      </c>
      <c r="C2781" s="2" t="str">
        <f>VLOOKUP(A2781,'[1]Brand Family Territory (Enc)'!$A$2:$B$296,2,FALSE)</f>
        <v>Core Market</v>
      </c>
      <c r="D2781" s="2">
        <f>IF(COUNTIFS('[1]Brand Family Territories (Enc)'!$B$2:$B$62,C2781,'[1]Brand Family Territories (Enc)'!$C$2:$C$62,B2781)&gt;0,1,IF(AND(LEFT(B2781,6)="MORRIS",COUNTIFS('[1]Brand Family Territories (Enc)'!$B$2:$B$62,C2781,'[1]Brand Family Territories (Enc)'!$C$2:$C$62,"Morri")&gt;0),"Unk",0))</f>
        <v>1</v>
      </c>
      <c r="E2781" s="2" t="str">
        <f>IFERROR(INDEX('Blackout Brand Fam Areas (Enc)'!$D$6:$D$998,MATCH(UPPER(A2781)&amp;"|"&amp;UPPER(B2781),'Blackout Brand Fam Areas (Enc)'!$G$6:$G$998,0)),"No Match")</f>
        <v>No Match</v>
      </c>
      <c r="F2781" s="2" t="str">
        <f t="shared" si="86"/>
        <v>US</v>
      </c>
      <c r="G2781" s="2" t="str">
        <f t="shared" si="87"/>
        <v>Popsicle Hard|MORRIS 3</v>
      </c>
    </row>
    <row r="2782" spans="1:7" x14ac:dyDescent="0.2">
      <c r="A2782" s="2" t="str" cm="1">
        <f t="array" ref="A2782">INDEX('[1]Brand Family Territory (Enc)'!$A$2:$A$296,INT((ROW()-2)/10)+1)</f>
        <v>Slow &amp; Low</v>
      </c>
      <c r="B2782" s="2" t="str" cm="1">
        <f t="array" ref="B2782">INDEX('Whitelist (Blackout Reverse)'!$B$1:$K$1,MOD(ROW()-2,10)+1)</f>
        <v>BERGEN</v>
      </c>
      <c r="C2782" s="2" t="str">
        <f>VLOOKUP(A2782,'[1]Brand Family Territory (Enc)'!$A$2:$B$296,2,FALSE)</f>
        <v>Core Market</v>
      </c>
      <c r="D2782" s="2">
        <f>IF(COUNTIFS('[1]Brand Family Territories (Enc)'!$B$2:$B$62,C2782,'[1]Brand Family Territories (Enc)'!$C$2:$C$62,B2782)&gt;0,1,IF(AND(LEFT(B2782,6)="MORRIS",COUNTIFS('[1]Brand Family Territories (Enc)'!$B$2:$B$62,C2782,'[1]Brand Family Territories (Enc)'!$C$2:$C$62,"Morri")&gt;0),"Unk",0))</f>
        <v>1</v>
      </c>
      <c r="E2782" s="2" t="str">
        <f>IFERROR(INDEX('Blackout Brand Fam Areas (Enc)'!$D$6:$D$998,MATCH(UPPER(A2782)&amp;"|"&amp;UPPER(B2782),'Blackout Brand Fam Areas (Enc)'!$G$6:$G$998,0)),"No Match")</f>
        <v>No Match</v>
      </c>
      <c r="F2782" s="2" t="str">
        <f t="shared" si="86"/>
        <v>US</v>
      </c>
      <c r="G2782" s="2" t="str">
        <f t="shared" si="87"/>
        <v>Slow &amp; Low|BERGEN</v>
      </c>
    </row>
    <row r="2783" spans="1:7" x14ac:dyDescent="0.2">
      <c r="A2783" s="2" t="str" cm="1">
        <f t="array" ref="A2783">INDEX('[1]Brand Family Territory (Enc)'!$A$2:$A$296,INT((ROW()-2)/10)+1)</f>
        <v>Slow &amp; Low</v>
      </c>
      <c r="B2783" s="2" t="str" cm="1">
        <f t="array" ref="B2783">INDEX('Whitelist (Blackout Reverse)'!$B$1:$K$1,MOD(ROW()-2,10)+1)</f>
        <v>PASSAIC</v>
      </c>
      <c r="C2783" s="2" t="str">
        <f>VLOOKUP(A2783,'[1]Brand Family Territory (Enc)'!$A$2:$B$296,2,FALSE)</f>
        <v>Core Market</v>
      </c>
      <c r="D2783" s="2">
        <f>IF(COUNTIFS('[1]Brand Family Territories (Enc)'!$B$2:$B$62,C2783,'[1]Brand Family Territories (Enc)'!$C$2:$C$62,B2783)&gt;0,1,IF(AND(LEFT(B2783,6)="MORRIS",COUNTIFS('[1]Brand Family Territories (Enc)'!$B$2:$B$62,C2783,'[1]Brand Family Territories (Enc)'!$C$2:$C$62,"Morri")&gt;0),"Unk",0))</f>
        <v>1</v>
      </c>
      <c r="E2783" s="2" t="str">
        <f>IFERROR(INDEX('Blackout Brand Fam Areas (Enc)'!$D$6:$D$998,MATCH(UPPER(A2783)&amp;"|"&amp;UPPER(B2783),'Blackout Brand Fam Areas (Enc)'!$G$6:$G$998,0)),"No Match")</f>
        <v>No Match</v>
      </c>
      <c r="F2783" s="2" t="str">
        <f t="shared" si="86"/>
        <v>US</v>
      </c>
      <c r="G2783" s="2" t="str">
        <f t="shared" si="87"/>
        <v>Slow &amp; Low|PASSAIC</v>
      </c>
    </row>
    <row r="2784" spans="1:7" x14ac:dyDescent="0.2">
      <c r="A2784" s="2" t="str" cm="1">
        <f t="array" ref="A2784">INDEX('[1]Brand Family Territory (Enc)'!$A$2:$A$296,INT((ROW()-2)/10)+1)</f>
        <v>Slow &amp; Low</v>
      </c>
      <c r="B2784" s="2" t="str" cm="1">
        <f t="array" ref="B2784">INDEX('Whitelist (Blackout Reverse)'!$B$1:$K$1,MOD(ROW()-2,10)+1)</f>
        <v>PASSAIC-FF</v>
      </c>
      <c r="C2784" s="2" t="str">
        <f>VLOOKUP(A2784,'[1]Brand Family Territory (Enc)'!$A$2:$B$296,2,FALSE)</f>
        <v>Core Market</v>
      </c>
      <c r="D2784" s="2">
        <f>IF(COUNTIFS('[1]Brand Family Territories (Enc)'!$B$2:$B$62,C2784,'[1]Brand Family Territories (Enc)'!$C$2:$C$62,B2784)&gt;0,1,IF(AND(LEFT(B2784,6)="MORRIS",COUNTIFS('[1]Brand Family Territories (Enc)'!$B$2:$B$62,C2784,'[1]Brand Family Territories (Enc)'!$C$2:$C$62,"Morri")&gt;0),"Unk",0))</f>
        <v>1</v>
      </c>
      <c r="E2784" s="2" t="str">
        <f>IFERROR(INDEX('Blackout Brand Fam Areas (Enc)'!$D$6:$D$998,MATCH(UPPER(A2784)&amp;"|"&amp;UPPER(B2784),'Blackout Brand Fam Areas (Enc)'!$G$6:$G$998,0)),"No Match")</f>
        <v>No Match</v>
      </c>
      <c r="F2784" s="2" t="str">
        <f t="shared" si="86"/>
        <v>US</v>
      </c>
      <c r="G2784" s="2" t="str">
        <f t="shared" si="87"/>
        <v>Slow &amp; Low|PASSAIC-FF</v>
      </c>
    </row>
    <row r="2785" spans="1:7" x14ac:dyDescent="0.2">
      <c r="A2785" s="2" t="str" cm="1">
        <f t="array" ref="A2785">INDEX('[1]Brand Family Territory (Enc)'!$A$2:$A$296,INT((ROW()-2)/10)+1)</f>
        <v>Slow &amp; Low</v>
      </c>
      <c r="B2785" s="2" t="str" cm="1">
        <f t="array" ref="B2785">INDEX('Whitelist (Blackout Reverse)'!$B$1:$K$1,MOD(ROW()-2,10)+1)</f>
        <v>ESSEX</v>
      </c>
      <c r="C2785" s="2" t="str">
        <f>VLOOKUP(A2785,'[1]Brand Family Territory (Enc)'!$A$2:$B$296,2,FALSE)</f>
        <v>Core Market</v>
      </c>
      <c r="D2785" s="2">
        <f>IF(COUNTIFS('[1]Brand Family Territories (Enc)'!$B$2:$B$62,C2785,'[1]Brand Family Territories (Enc)'!$C$2:$C$62,B2785)&gt;0,1,IF(AND(LEFT(B2785,6)="MORRIS",COUNTIFS('[1]Brand Family Territories (Enc)'!$B$2:$B$62,C2785,'[1]Brand Family Territories (Enc)'!$C$2:$C$62,"Morri")&gt;0),"Unk",0))</f>
        <v>0</v>
      </c>
      <c r="E2785" s="2" t="str">
        <f>IFERROR(INDEX('Blackout Brand Fam Areas (Enc)'!$D$6:$D$998,MATCH(UPPER(A2785)&amp;"|"&amp;UPPER(B2785),'Blackout Brand Fam Areas (Enc)'!$G$6:$G$998,0)),"No Match")</f>
        <v>No Match</v>
      </c>
      <c r="F2785" s="2" t="str">
        <f t="shared" si="86"/>
        <v>THEM</v>
      </c>
      <c r="G2785" s="2" t="str">
        <f t="shared" si="87"/>
        <v>Slow &amp; Low|ESSEX</v>
      </c>
    </row>
    <row r="2786" spans="1:7" x14ac:dyDescent="0.2">
      <c r="A2786" s="2" t="str" cm="1">
        <f t="array" ref="A2786">INDEX('[1]Brand Family Territory (Enc)'!$A$2:$A$296,INT((ROW()-2)/10)+1)</f>
        <v>Slow &amp; Low</v>
      </c>
      <c r="B2786" s="2" t="str" cm="1">
        <f t="array" ref="B2786">INDEX('Whitelist (Blackout Reverse)'!$B$1:$K$1,MOD(ROW()-2,10)+1)</f>
        <v>HUDSON</v>
      </c>
      <c r="C2786" s="2" t="str">
        <f>VLOOKUP(A2786,'[1]Brand Family Territory (Enc)'!$A$2:$B$296,2,FALSE)</f>
        <v>Core Market</v>
      </c>
      <c r="D2786" s="2">
        <f>IF(COUNTIFS('[1]Brand Family Territories (Enc)'!$B$2:$B$62,C2786,'[1]Brand Family Territories (Enc)'!$C$2:$C$62,B2786)&gt;0,1,IF(AND(LEFT(B2786,6)="MORRIS",COUNTIFS('[1]Brand Family Territories (Enc)'!$B$2:$B$62,C2786,'[1]Brand Family Territories (Enc)'!$C$2:$C$62,"Morri")&gt;0),"Unk",0))</f>
        <v>0</v>
      </c>
      <c r="E2786" s="2" t="str">
        <f>IFERROR(INDEX('Blackout Brand Fam Areas (Enc)'!$D$6:$D$998,MATCH(UPPER(A2786)&amp;"|"&amp;UPPER(B2786),'Blackout Brand Fam Areas (Enc)'!$G$6:$G$998,0)),"No Match")</f>
        <v>No Match</v>
      </c>
      <c r="F2786" s="2" t="str">
        <f t="shared" si="86"/>
        <v>THEM</v>
      </c>
      <c r="G2786" s="2" t="str">
        <f t="shared" si="87"/>
        <v>Slow &amp; Low|HUDSON</v>
      </c>
    </row>
    <row r="2787" spans="1:7" x14ac:dyDescent="0.2">
      <c r="A2787" s="2" t="str" cm="1">
        <f t="array" ref="A2787">INDEX('[1]Brand Family Territory (Enc)'!$A$2:$A$296,INT((ROW()-2)/10)+1)</f>
        <v>Slow &amp; Low</v>
      </c>
      <c r="B2787" s="2" t="str" cm="1">
        <f t="array" ref="B2787">INDEX('Whitelist (Blackout Reverse)'!$B$1:$K$1,MOD(ROW()-2,10)+1)</f>
        <v>UNION</v>
      </c>
      <c r="C2787" s="2" t="str">
        <f>VLOOKUP(A2787,'[1]Brand Family Territory (Enc)'!$A$2:$B$296,2,FALSE)</f>
        <v>Core Market</v>
      </c>
      <c r="D2787" s="2">
        <f>IF(COUNTIFS('[1]Brand Family Territories (Enc)'!$B$2:$B$62,C2787,'[1]Brand Family Territories (Enc)'!$C$2:$C$62,B2787)&gt;0,1,IF(AND(LEFT(B2787,6)="MORRIS",COUNTIFS('[1]Brand Family Territories (Enc)'!$B$2:$B$62,C2787,'[1]Brand Family Territories (Enc)'!$C$2:$C$62,"Morri")&gt;0),"Unk",0))</f>
        <v>0</v>
      </c>
      <c r="E2787" s="2" t="str">
        <f>IFERROR(INDEX('Blackout Brand Fam Areas (Enc)'!$D$6:$D$998,MATCH(UPPER(A2787)&amp;"|"&amp;UPPER(B2787),'Blackout Brand Fam Areas (Enc)'!$G$6:$G$998,0)),"No Match")</f>
        <v>No Match</v>
      </c>
      <c r="F2787" s="2" t="str">
        <f t="shared" si="86"/>
        <v>THEM</v>
      </c>
      <c r="G2787" s="2" t="str">
        <f t="shared" si="87"/>
        <v>Slow &amp; Low|UNION</v>
      </c>
    </row>
    <row r="2788" spans="1:7" x14ac:dyDescent="0.2">
      <c r="A2788" s="2" t="str" cm="1">
        <f t="array" ref="A2788">INDEX('[1]Brand Family Territory (Enc)'!$A$2:$A$296,INT((ROW()-2)/10)+1)</f>
        <v>Slow &amp; Low</v>
      </c>
      <c r="B2788" s="2" t="str" cm="1">
        <f t="array" ref="B2788">INDEX('Whitelist (Blackout Reverse)'!$B$1:$K$1,MOD(ROW()-2,10)+1)</f>
        <v>SUSSEX</v>
      </c>
      <c r="C2788" s="2" t="str">
        <f>VLOOKUP(A2788,'[1]Brand Family Territory (Enc)'!$A$2:$B$296,2,FALSE)</f>
        <v>Core Market</v>
      </c>
      <c r="D2788" s="2">
        <f>IF(COUNTIFS('[1]Brand Family Territories (Enc)'!$B$2:$B$62,C2788,'[1]Brand Family Territories (Enc)'!$C$2:$C$62,B2788)&gt;0,1,IF(AND(LEFT(B2788,6)="MORRIS",COUNTIFS('[1]Brand Family Territories (Enc)'!$B$2:$B$62,C2788,'[1]Brand Family Territories (Enc)'!$C$2:$C$62,"Morri")&gt;0),"Unk",0))</f>
        <v>1</v>
      </c>
      <c r="E2788" s="2" t="str">
        <f>IFERROR(INDEX('Blackout Brand Fam Areas (Enc)'!$D$6:$D$998,MATCH(UPPER(A2788)&amp;"|"&amp;UPPER(B2788),'Blackout Brand Fam Areas (Enc)'!$G$6:$G$998,0)),"No Match")</f>
        <v>No Match</v>
      </c>
      <c r="F2788" s="2" t="str">
        <f t="shared" si="86"/>
        <v>US</v>
      </c>
      <c r="G2788" s="2" t="str">
        <f t="shared" si="87"/>
        <v>Slow &amp; Low|SUSSEX</v>
      </c>
    </row>
    <row r="2789" spans="1:7" x14ac:dyDescent="0.2">
      <c r="A2789" s="2" t="str" cm="1">
        <f t="array" ref="A2789">INDEX('[1]Brand Family Territory (Enc)'!$A$2:$A$296,INT((ROW()-2)/10)+1)</f>
        <v>Slow &amp; Low</v>
      </c>
      <c r="B2789" s="2" t="str" cm="1">
        <f t="array" ref="B2789">INDEX('Whitelist (Blackout Reverse)'!$B$1:$K$1,MOD(ROW()-2,10)+1)</f>
        <v>MORRIS 1</v>
      </c>
      <c r="C2789" s="2" t="str">
        <f>VLOOKUP(A2789,'[1]Brand Family Territory (Enc)'!$A$2:$B$296,2,FALSE)</f>
        <v>Core Market</v>
      </c>
      <c r="D2789" s="2">
        <f>IF(COUNTIFS('[1]Brand Family Territories (Enc)'!$B$2:$B$62,C2789,'[1]Brand Family Territories (Enc)'!$C$2:$C$62,B2789)&gt;0,1,IF(AND(LEFT(B2789,6)="MORRIS",COUNTIFS('[1]Brand Family Territories (Enc)'!$B$2:$B$62,C2789,'[1]Brand Family Territories (Enc)'!$C$2:$C$62,"Morri")&gt;0),"Unk",0))</f>
        <v>1</v>
      </c>
      <c r="E2789" s="2" t="str">
        <f>IFERROR(INDEX('Blackout Brand Fam Areas (Enc)'!$D$6:$D$998,MATCH(UPPER(A2789)&amp;"|"&amp;UPPER(B2789),'Blackout Brand Fam Areas (Enc)'!$G$6:$G$998,0)),"No Match")</f>
        <v>No Match</v>
      </c>
      <c r="F2789" s="2" t="str">
        <f t="shared" si="86"/>
        <v>US</v>
      </c>
      <c r="G2789" s="2" t="str">
        <f t="shared" si="87"/>
        <v>Slow &amp; Low|MORRIS 1</v>
      </c>
    </row>
    <row r="2790" spans="1:7" x14ac:dyDescent="0.2">
      <c r="A2790" s="2" t="str" cm="1">
        <f t="array" ref="A2790">INDEX('[1]Brand Family Territory (Enc)'!$A$2:$A$296,INT((ROW()-2)/10)+1)</f>
        <v>Slow &amp; Low</v>
      </c>
      <c r="B2790" s="2" t="str" cm="1">
        <f t="array" ref="B2790">INDEX('Whitelist (Blackout Reverse)'!$B$1:$K$1,MOD(ROW()-2,10)+1)</f>
        <v>MORRIS 2</v>
      </c>
      <c r="C2790" s="2" t="str">
        <f>VLOOKUP(A2790,'[1]Brand Family Territory (Enc)'!$A$2:$B$296,2,FALSE)</f>
        <v>Core Market</v>
      </c>
      <c r="D2790" s="2">
        <f>IF(COUNTIFS('[1]Brand Family Territories (Enc)'!$B$2:$B$62,C2790,'[1]Brand Family Territories (Enc)'!$C$2:$C$62,B2790)&gt;0,1,IF(AND(LEFT(B2790,6)="MORRIS",COUNTIFS('[1]Brand Family Territories (Enc)'!$B$2:$B$62,C2790,'[1]Brand Family Territories (Enc)'!$C$2:$C$62,"Morri")&gt;0),"Unk",0))</f>
        <v>0</v>
      </c>
      <c r="E2790" s="2" t="str">
        <f>IFERROR(INDEX('Blackout Brand Fam Areas (Enc)'!$D$6:$D$998,MATCH(UPPER(A2790)&amp;"|"&amp;UPPER(B2790),'Blackout Brand Fam Areas (Enc)'!$G$6:$G$998,0)),"No Match")</f>
        <v>No Match</v>
      </c>
      <c r="F2790" s="2" t="str">
        <f t="shared" si="86"/>
        <v>THEM</v>
      </c>
      <c r="G2790" s="2" t="str">
        <f t="shared" si="87"/>
        <v>Slow &amp; Low|MORRIS 2</v>
      </c>
    </row>
    <row r="2791" spans="1:7" x14ac:dyDescent="0.2">
      <c r="A2791" s="2" t="str" cm="1">
        <f t="array" ref="A2791">INDEX('[1]Brand Family Territory (Enc)'!$A$2:$A$296,INT((ROW()-2)/10)+1)</f>
        <v>Slow &amp; Low</v>
      </c>
      <c r="B2791" s="2" t="str" cm="1">
        <f t="array" ref="B2791">INDEX('Whitelist (Blackout Reverse)'!$B$1:$K$1,MOD(ROW()-2,10)+1)</f>
        <v>MORRIS 3</v>
      </c>
      <c r="C2791" s="2" t="str">
        <f>VLOOKUP(A2791,'[1]Brand Family Territory (Enc)'!$A$2:$B$296,2,FALSE)</f>
        <v>Core Market</v>
      </c>
      <c r="D2791" s="2">
        <f>IF(COUNTIFS('[1]Brand Family Territories (Enc)'!$B$2:$B$62,C2791,'[1]Brand Family Territories (Enc)'!$C$2:$C$62,B2791)&gt;0,1,IF(AND(LEFT(B2791,6)="MORRIS",COUNTIFS('[1]Brand Family Territories (Enc)'!$B$2:$B$62,C2791,'[1]Brand Family Territories (Enc)'!$C$2:$C$62,"Morri")&gt;0),"Unk",0))</f>
        <v>1</v>
      </c>
      <c r="E2791" s="2" t="str">
        <f>IFERROR(INDEX('Blackout Brand Fam Areas (Enc)'!$D$6:$D$998,MATCH(UPPER(A2791)&amp;"|"&amp;UPPER(B2791),'Blackout Brand Fam Areas (Enc)'!$G$6:$G$998,0)),"No Match")</f>
        <v>No Match</v>
      </c>
      <c r="F2791" s="2" t="str">
        <f t="shared" si="86"/>
        <v>US</v>
      </c>
      <c r="G2791" s="2" t="str">
        <f t="shared" si="87"/>
        <v>Slow &amp; Low|MORRIS 3</v>
      </c>
    </row>
    <row r="2792" spans="1:7" x14ac:dyDescent="0.2">
      <c r="A2792" s="2" t="str" cm="1">
        <f t="array" ref="A2792">INDEX('[1]Brand Family Territory (Enc)'!$A$2:$A$296,INT((ROW()-2)/10)+1)</f>
        <v>2XO</v>
      </c>
      <c r="B2792" s="2" t="str" cm="1">
        <f t="array" ref="B2792">INDEX('Whitelist (Blackout Reverse)'!$B$1:$K$1,MOD(ROW()-2,10)+1)</f>
        <v>BERGEN</v>
      </c>
      <c r="C2792" s="2" t="str">
        <f>VLOOKUP(A2792,'[1]Brand Family Territory (Enc)'!$A$2:$B$296,2,FALSE)</f>
        <v>All Counties</v>
      </c>
      <c r="D2792" s="2">
        <f>IF(COUNTIFS('[1]Brand Family Territories (Enc)'!$B$2:$B$62,C2792,'[1]Brand Family Territories (Enc)'!$C$2:$C$62,B2792)&gt;0,1,IF(AND(LEFT(B2792,6)="MORRIS",COUNTIFS('[1]Brand Family Territories (Enc)'!$B$2:$B$62,C2792,'[1]Brand Family Territories (Enc)'!$C$2:$C$62,"Morri")&gt;0),"Unk",0))</f>
        <v>1</v>
      </c>
      <c r="E2792" s="2" t="str">
        <f>IFERROR(INDEX('Blackout Brand Fam Areas (Enc)'!$D$6:$D$998,MATCH(UPPER(A2792)&amp;"|"&amp;UPPER(B2792),'Blackout Brand Fam Areas (Enc)'!$G$6:$G$998,0)),"No Match")</f>
        <v>No Match</v>
      </c>
      <c r="F2792" s="2" t="str">
        <f t="shared" si="86"/>
        <v>US</v>
      </c>
      <c r="G2792" s="2" t="str">
        <f t="shared" si="87"/>
        <v>2XO|BERGEN</v>
      </c>
    </row>
    <row r="2793" spans="1:7" x14ac:dyDescent="0.2">
      <c r="A2793" s="2" t="str" cm="1">
        <f t="array" ref="A2793">INDEX('[1]Brand Family Territory (Enc)'!$A$2:$A$296,INT((ROW()-2)/10)+1)</f>
        <v>2XO</v>
      </c>
      <c r="B2793" s="2" t="str" cm="1">
        <f t="array" ref="B2793">INDEX('Whitelist (Blackout Reverse)'!$B$1:$K$1,MOD(ROW()-2,10)+1)</f>
        <v>PASSAIC</v>
      </c>
      <c r="C2793" s="2" t="str">
        <f>VLOOKUP(A2793,'[1]Brand Family Territory (Enc)'!$A$2:$B$296,2,FALSE)</f>
        <v>All Counties</v>
      </c>
      <c r="D2793" s="2">
        <f>IF(COUNTIFS('[1]Brand Family Territories (Enc)'!$B$2:$B$62,C2793,'[1]Brand Family Territories (Enc)'!$C$2:$C$62,B2793)&gt;0,1,IF(AND(LEFT(B2793,6)="MORRIS",COUNTIFS('[1]Brand Family Territories (Enc)'!$B$2:$B$62,C2793,'[1]Brand Family Territories (Enc)'!$C$2:$C$62,"Morri")&gt;0),"Unk",0))</f>
        <v>1</v>
      </c>
      <c r="E2793" s="2" t="str">
        <f>IFERROR(INDEX('Blackout Brand Fam Areas (Enc)'!$D$6:$D$998,MATCH(UPPER(A2793)&amp;"|"&amp;UPPER(B2793),'Blackout Brand Fam Areas (Enc)'!$G$6:$G$998,0)),"No Match")</f>
        <v>No Match</v>
      </c>
      <c r="F2793" s="2" t="str">
        <f t="shared" si="86"/>
        <v>US</v>
      </c>
      <c r="G2793" s="2" t="str">
        <f t="shared" si="87"/>
        <v>2XO|PASSAIC</v>
      </c>
    </row>
    <row r="2794" spans="1:7" x14ac:dyDescent="0.2">
      <c r="A2794" s="2" t="str" cm="1">
        <f t="array" ref="A2794">INDEX('[1]Brand Family Territory (Enc)'!$A$2:$A$296,INT((ROW()-2)/10)+1)</f>
        <v>2XO</v>
      </c>
      <c r="B2794" s="2" t="str" cm="1">
        <f t="array" ref="B2794">INDEX('Whitelist (Blackout Reverse)'!$B$1:$K$1,MOD(ROW()-2,10)+1)</f>
        <v>PASSAIC-FF</v>
      </c>
      <c r="C2794" s="2" t="str">
        <f>VLOOKUP(A2794,'[1]Brand Family Territory (Enc)'!$A$2:$B$296,2,FALSE)</f>
        <v>All Counties</v>
      </c>
      <c r="D2794" s="2">
        <f>IF(COUNTIFS('[1]Brand Family Territories (Enc)'!$B$2:$B$62,C2794,'[1]Brand Family Territories (Enc)'!$C$2:$C$62,B2794)&gt;0,1,IF(AND(LEFT(B2794,6)="MORRIS",COUNTIFS('[1]Brand Family Territories (Enc)'!$B$2:$B$62,C2794,'[1]Brand Family Territories (Enc)'!$C$2:$C$62,"Morri")&gt;0),"Unk",0))</f>
        <v>1</v>
      </c>
      <c r="E2794" s="2" t="str">
        <f>IFERROR(INDEX('Blackout Brand Fam Areas (Enc)'!$D$6:$D$998,MATCH(UPPER(A2794)&amp;"|"&amp;UPPER(B2794),'Blackout Brand Fam Areas (Enc)'!$G$6:$G$998,0)),"No Match")</f>
        <v>No Match</v>
      </c>
      <c r="F2794" s="2" t="str">
        <f t="shared" si="86"/>
        <v>US</v>
      </c>
      <c r="G2794" s="2" t="str">
        <f t="shared" si="87"/>
        <v>2XO|PASSAIC-FF</v>
      </c>
    </row>
    <row r="2795" spans="1:7" x14ac:dyDescent="0.2">
      <c r="A2795" s="2" t="str" cm="1">
        <f t="array" ref="A2795">INDEX('[1]Brand Family Territory (Enc)'!$A$2:$A$296,INT((ROW()-2)/10)+1)</f>
        <v>2XO</v>
      </c>
      <c r="B2795" s="2" t="str" cm="1">
        <f t="array" ref="B2795">INDEX('Whitelist (Blackout Reverse)'!$B$1:$K$1,MOD(ROW()-2,10)+1)</f>
        <v>ESSEX</v>
      </c>
      <c r="C2795" s="2" t="str">
        <f>VLOOKUP(A2795,'[1]Brand Family Territory (Enc)'!$A$2:$B$296,2,FALSE)</f>
        <v>All Counties</v>
      </c>
      <c r="D2795" s="2">
        <f>IF(COUNTIFS('[1]Brand Family Territories (Enc)'!$B$2:$B$62,C2795,'[1]Brand Family Territories (Enc)'!$C$2:$C$62,B2795)&gt;0,1,IF(AND(LEFT(B2795,6)="MORRIS",COUNTIFS('[1]Brand Family Territories (Enc)'!$B$2:$B$62,C2795,'[1]Brand Family Territories (Enc)'!$C$2:$C$62,"Morri")&gt;0),"Unk",0))</f>
        <v>1</v>
      </c>
      <c r="E2795" s="2" t="str">
        <f>IFERROR(INDEX('Blackout Brand Fam Areas (Enc)'!$D$6:$D$998,MATCH(UPPER(A2795)&amp;"|"&amp;UPPER(B2795),'Blackout Brand Fam Areas (Enc)'!$G$6:$G$998,0)),"No Match")</f>
        <v>No Match</v>
      </c>
      <c r="F2795" s="2" t="str">
        <f t="shared" si="86"/>
        <v>US</v>
      </c>
      <c r="G2795" s="2" t="str">
        <f t="shared" si="87"/>
        <v>2XO|ESSEX</v>
      </c>
    </row>
    <row r="2796" spans="1:7" x14ac:dyDescent="0.2">
      <c r="A2796" s="2" t="str" cm="1">
        <f t="array" ref="A2796">INDEX('[1]Brand Family Territory (Enc)'!$A$2:$A$296,INT((ROW()-2)/10)+1)</f>
        <v>2XO</v>
      </c>
      <c r="B2796" s="2" t="str" cm="1">
        <f t="array" ref="B2796">INDEX('Whitelist (Blackout Reverse)'!$B$1:$K$1,MOD(ROW()-2,10)+1)</f>
        <v>HUDSON</v>
      </c>
      <c r="C2796" s="2" t="str">
        <f>VLOOKUP(A2796,'[1]Brand Family Territory (Enc)'!$A$2:$B$296,2,FALSE)</f>
        <v>All Counties</v>
      </c>
      <c r="D2796" s="2">
        <f>IF(COUNTIFS('[1]Brand Family Territories (Enc)'!$B$2:$B$62,C2796,'[1]Brand Family Territories (Enc)'!$C$2:$C$62,B2796)&gt;0,1,IF(AND(LEFT(B2796,6)="MORRIS",COUNTIFS('[1]Brand Family Territories (Enc)'!$B$2:$B$62,C2796,'[1]Brand Family Territories (Enc)'!$C$2:$C$62,"Morri")&gt;0),"Unk",0))</f>
        <v>1</v>
      </c>
      <c r="E2796" s="2" t="str">
        <f>IFERROR(INDEX('Blackout Brand Fam Areas (Enc)'!$D$6:$D$998,MATCH(UPPER(A2796)&amp;"|"&amp;UPPER(B2796),'Blackout Brand Fam Areas (Enc)'!$G$6:$G$998,0)),"No Match")</f>
        <v>No Match</v>
      </c>
      <c r="F2796" s="2" t="str">
        <f t="shared" si="86"/>
        <v>US</v>
      </c>
      <c r="G2796" s="2" t="str">
        <f t="shared" si="87"/>
        <v>2XO|HUDSON</v>
      </c>
    </row>
    <row r="2797" spans="1:7" x14ac:dyDescent="0.2">
      <c r="A2797" s="2" t="str" cm="1">
        <f t="array" ref="A2797">INDEX('[1]Brand Family Territory (Enc)'!$A$2:$A$296,INT((ROW()-2)/10)+1)</f>
        <v>2XO</v>
      </c>
      <c r="B2797" s="2" t="str" cm="1">
        <f t="array" ref="B2797">INDEX('Whitelist (Blackout Reverse)'!$B$1:$K$1,MOD(ROW()-2,10)+1)</f>
        <v>UNION</v>
      </c>
      <c r="C2797" s="2" t="str">
        <f>VLOOKUP(A2797,'[1]Brand Family Territory (Enc)'!$A$2:$B$296,2,FALSE)</f>
        <v>All Counties</v>
      </c>
      <c r="D2797" s="2">
        <f>IF(COUNTIFS('[1]Brand Family Territories (Enc)'!$B$2:$B$62,C2797,'[1]Brand Family Territories (Enc)'!$C$2:$C$62,B2797)&gt;0,1,IF(AND(LEFT(B2797,6)="MORRIS",COUNTIFS('[1]Brand Family Territories (Enc)'!$B$2:$B$62,C2797,'[1]Brand Family Territories (Enc)'!$C$2:$C$62,"Morri")&gt;0),"Unk",0))</f>
        <v>1</v>
      </c>
      <c r="E2797" s="2" t="str">
        <f>IFERROR(INDEX('Blackout Brand Fam Areas (Enc)'!$D$6:$D$998,MATCH(UPPER(A2797)&amp;"|"&amp;UPPER(B2797),'Blackout Brand Fam Areas (Enc)'!$G$6:$G$998,0)),"No Match")</f>
        <v>No Match</v>
      </c>
      <c r="F2797" s="2" t="str">
        <f t="shared" si="86"/>
        <v>US</v>
      </c>
      <c r="G2797" s="2" t="str">
        <f t="shared" si="87"/>
        <v>2XO|UNION</v>
      </c>
    </row>
    <row r="2798" spans="1:7" x14ac:dyDescent="0.2">
      <c r="A2798" s="2" t="str" cm="1">
        <f t="array" ref="A2798">INDEX('[1]Brand Family Territory (Enc)'!$A$2:$A$296,INT((ROW()-2)/10)+1)</f>
        <v>2XO</v>
      </c>
      <c r="B2798" s="2" t="str" cm="1">
        <f t="array" ref="B2798">INDEX('Whitelist (Blackout Reverse)'!$B$1:$K$1,MOD(ROW()-2,10)+1)</f>
        <v>SUSSEX</v>
      </c>
      <c r="C2798" s="2" t="str">
        <f>VLOOKUP(A2798,'[1]Brand Family Territory (Enc)'!$A$2:$B$296,2,FALSE)</f>
        <v>All Counties</v>
      </c>
      <c r="D2798" s="2">
        <f>IF(COUNTIFS('[1]Brand Family Territories (Enc)'!$B$2:$B$62,C2798,'[1]Brand Family Territories (Enc)'!$C$2:$C$62,B2798)&gt;0,1,IF(AND(LEFT(B2798,6)="MORRIS",COUNTIFS('[1]Brand Family Territories (Enc)'!$B$2:$B$62,C2798,'[1]Brand Family Territories (Enc)'!$C$2:$C$62,"Morri")&gt;0),"Unk",0))</f>
        <v>1</v>
      </c>
      <c r="E2798" s="2" t="str">
        <f>IFERROR(INDEX('Blackout Brand Fam Areas (Enc)'!$D$6:$D$998,MATCH(UPPER(A2798)&amp;"|"&amp;UPPER(B2798),'Blackout Brand Fam Areas (Enc)'!$G$6:$G$998,0)),"No Match")</f>
        <v>No Match</v>
      </c>
      <c r="F2798" s="2" t="str">
        <f t="shared" si="86"/>
        <v>US</v>
      </c>
      <c r="G2798" s="2" t="str">
        <f t="shared" si="87"/>
        <v>2XO|SUSSEX</v>
      </c>
    </row>
    <row r="2799" spans="1:7" x14ac:dyDescent="0.2">
      <c r="A2799" s="2" t="str" cm="1">
        <f t="array" ref="A2799">INDEX('[1]Brand Family Territory (Enc)'!$A$2:$A$296,INT((ROW()-2)/10)+1)</f>
        <v>2XO</v>
      </c>
      <c r="B2799" s="2" t="str" cm="1">
        <f t="array" ref="B2799">INDEX('Whitelist (Blackout Reverse)'!$B$1:$K$1,MOD(ROW()-2,10)+1)</f>
        <v>MORRIS 1</v>
      </c>
      <c r="C2799" s="2" t="str">
        <f>VLOOKUP(A2799,'[1]Brand Family Territory (Enc)'!$A$2:$B$296,2,FALSE)</f>
        <v>All Counties</v>
      </c>
      <c r="D2799" s="2">
        <f>IF(COUNTIFS('[1]Brand Family Territories (Enc)'!$B$2:$B$62,C2799,'[1]Brand Family Territories (Enc)'!$C$2:$C$62,B2799)&gt;0,1,IF(AND(LEFT(B2799,6)="MORRIS",COUNTIFS('[1]Brand Family Territories (Enc)'!$B$2:$B$62,C2799,'[1]Brand Family Territories (Enc)'!$C$2:$C$62,"Morri")&gt;0),"Unk",0))</f>
        <v>1</v>
      </c>
      <c r="E2799" s="2" t="str">
        <f>IFERROR(INDEX('Blackout Brand Fam Areas (Enc)'!$D$6:$D$998,MATCH(UPPER(A2799)&amp;"|"&amp;UPPER(B2799),'Blackout Brand Fam Areas (Enc)'!$G$6:$G$998,0)),"No Match")</f>
        <v>No Match</v>
      </c>
      <c r="F2799" s="2" t="str">
        <f t="shared" si="86"/>
        <v>US</v>
      </c>
      <c r="G2799" s="2" t="str">
        <f t="shared" si="87"/>
        <v>2XO|MORRIS 1</v>
      </c>
    </row>
    <row r="2800" spans="1:7" x14ac:dyDescent="0.2">
      <c r="A2800" s="2" t="str" cm="1">
        <f t="array" ref="A2800">INDEX('[1]Brand Family Territory (Enc)'!$A$2:$A$296,INT((ROW()-2)/10)+1)</f>
        <v>2XO</v>
      </c>
      <c r="B2800" s="2" t="str" cm="1">
        <f t="array" ref="B2800">INDEX('Whitelist (Blackout Reverse)'!$B$1:$K$1,MOD(ROW()-2,10)+1)</f>
        <v>MORRIS 2</v>
      </c>
      <c r="C2800" s="2" t="str">
        <f>VLOOKUP(A2800,'[1]Brand Family Territory (Enc)'!$A$2:$B$296,2,FALSE)</f>
        <v>All Counties</v>
      </c>
      <c r="D2800" s="2">
        <f>IF(COUNTIFS('[1]Brand Family Territories (Enc)'!$B$2:$B$62,C2800,'[1]Brand Family Territories (Enc)'!$C$2:$C$62,B2800)&gt;0,1,IF(AND(LEFT(B2800,6)="MORRIS",COUNTIFS('[1]Brand Family Territories (Enc)'!$B$2:$B$62,C2800,'[1]Brand Family Territories (Enc)'!$C$2:$C$62,"Morri")&gt;0),"Unk",0))</f>
        <v>1</v>
      </c>
      <c r="E2800" s="2" t="str">
        <f>IFERROR(INDEX('Blackout Brand Fam Areas (Enc)'!$D$6:$D$998,MATCH(UPPER(A2800)&amp;"|"&amp;UPPER(B2800),'Blackout Brand Fam Areas (Enc)'!$G$6:$G$998,0)),"No Match")</f>
        <v>No Match</v>
      </c>
      <c r="F2800" s="2" t="str">
        <f t="shared" si="86"/>
        <v>US</v>
      </c>
      <c r="G2800" s="2" t="str">
        <f t="shared" si="87"/>
        <v>2XO|MORRIS 2</v>
      </c>
    </row>
    <row r="2801" spans="1:7" x14ac:dyDescent="0.2">
      <c r="A2801" s="2" t="str" cm="1">
        <f t="array" ref="A2801">INDEX('[1]Brand Family Territory (Enc)'!$A$2:$A$296,INT((ROW()-2)/10)+1)</f>
        <v>2XO</v>
      </c>
      <c r="B2801" s="2" t="str" cm="1">
        <f t="array" ref="B2801">INDEX('Whitelist (Blackout Reverse)'!$B$1:$K$1,MOD(ROW()-2,10)+1)</f>
        <v>MORRIS 3</v>
      </c>
      <c r="C2801" s="2" t="str">
        <f>VLOOKUP(A2801,'[1]Brand Family Territory (Enc)'!$A$2:$B$296,2,FALSE)</f>
        <v>All Counties</v>
      </c>
      <c r="D2801" s="2">
        <f>IF(COUNTIFS('[1]Brand Family Territories (Enc)'!$B$2:$B$62,C2801,'[1]Brand Family Territories (Enc)'!$C$2:$C$62,B2801)&gt;0,1,IF(AND(LEFT(B2801,6)="MORRIS",COUNTIFS('[1]Brand Family Territories (Enc)'!$B$2:$B$62,C2801,'[1]Brand Family Territories (Enc)'!$C$2:$C$62,"Morri")&gt;0),"Unk",0))</f>
        <v>1</v>
      </c>
      <c r="E2801" s="2" t="str">
        <f>IFERROR(INDEX('Blackout Brand Fam Areas (Enc)'!$D$6:$D$998,MATCH(UPPER(A2801)&amp;"|"&amp;UPPER(B2801),'Blackout Brand Fam Areas (Enc)'!$G$6:$G$998,0)),"No Match")</f>
        <v>No Match</v>
      </c>
      <c r="F2801" s="2" t="str">
        <f t="shared" si="86"/>
        <v>US</v>
      </c>
      <c r="G2801" s="2" t="str">
        <f t="shared" si="87"/>
        <v>2XO|MORRIS 3</v>
      </c>
    </row>
    <row r="2802" spans="1:7" x14ac:dyDescent="0.2">
      <c r="A2802" s="2" t="str" cm="1">
        <f t="array" ref="A2802">INDEX('[1]Brand Family Territory (Enc)'!$A$2:$A$296,INT((ROW()-2)/10)+1)</f>
        <v>Beviamo</v>
      </c>
      <c r="B2802" s="2" t="str" cm="1">
        <f t="array" ref="B2802">INDEX('Whitelist (Blackout Reverse)'!$B$1:$K$1,MOD(ROW()-2,10)+1)</f>
        <v>BERGEN</v>
      </c>
      <c r="C2802" s="2" t="str">
        <f>VLOOKUP(A2802,'[1]Brand Family Territory (Enc)'!$A$2:$B$296,2,FALSE)</f>
        <v>Core Market</v>
      </c>
      <c r="D2802" s="2">
        <f>IF(COUNTIFS('[1]Brand Family Territories (Enc)'!$B$2:$B$62,C2802,'[1]Brand Family Territories (Enc)'!$C$2:$C$62,B2802)&gt;0,1,IF(AND(LEFT(B2802,6)="MORRIS",COUNTIFS('[1]Brand Family Territories (Enc)'!$B$2:$B$62,C2802,'[1]Brand Family Territories (Enc)'!$C$2:$C$62,"Morri")&gt;0),"Unk",0))</f>
        <v>1</v>
      </c>
      <c r="E2802" s="2" t="str">
        <f>IFERROR(INDEX('Blackout Brand Fam Areas (Enc)'!$D$6:$D$998,MATCH(UPPER(A2802)&amp;"|"&amp;UPPER(B2802),'Blackout Brand Fam Areas (Enc)'!$G$6:$G$998,0)),"No Match")</f>
        <v>No Match</v>
      </c>
      <c r="F2802" s="2" t="str">
        <f t="shared" si="86"/>
        <v>US</v>
      </c>
      <c r="G2802" s="2" t="str">
        <f t="shared" si="87"/>
        <v>Beviamo|BERGEN</v>
      </c>
    </row>
    <row r="2803" spans="1:7" x14ac:dyDescent="0.2">
      <c r="A2803" s="2" t="str" cm="1">
        <f t="array" ref="A2803">INDEX('[1]Brand Family Territory (Enc)'!$A$2:$A$296,INT((ROW()-2)/10)+1)</f>
        <v>Beviamo</v>
      </c>
      <c r="B2803" s="2" t="str" cm="1">
        <f t="array" ref="B2803">INDEX('Whitelist (Blackout Reverse)'!$B$1:$K$1,MOD(ROW()-2,10)+1)</f>
        <v>PASSAIC</v>
      </c>
      <c r="C2803" s="2" t="str">
        <f>VLOOKUP(A2803,'[1]Brand Family Territory (Enc)'!$A$2:$B$296,2,FALSE)</f>
        <v>Core Market</v>
      </c>
      <c r="D2803" s="2">
        <f>IF(COUNTIFS('[1]Brand Family Territories (Enc)'!$B$2:$B$62,C2803,'[1]Brand Family Territories (Enc)'!$C$2:$C$62,B2803)&gt;0,1,IF(AND(LEFT(B2803,6)="MORRIS",COUNTIFS('[1]Brand Family Territories (Enc)'!$B$2:$B$62,C2803,'[1]Brand Family Territories (Enc)'!$C$2:$C$62,"Morri")&gt;0),"Unk",0))</f>
        <v>1</v>
      </c>
      <c r="E2803" s="2" t="str">
        <f>IFERROR(INDEX('Blackout Brand Fam Areas (Enc)'!$D$6:$D$998,MATCH(UPPER(A2803)&amp;"|"&amp;UPPER(B2803),'Blackout Brand Fam Areas (Enc)'!$G$6:$G$998,0)),"No Match")</f>
        <v>No Match</v>
      </c>
      <c r="F2803" s="2" t="str">
        <f t="shared" si="86"/>
        <v>US</v>
      </c>
      <c r="G2803" s="2" t="str">
        <f t="shared" si="87"/>
        <v>Beviamo|PASSAIC</v>
      </c>
    </row>
    <row r="2804" spans="1:7" x14ac:dyDescent="0.2">
      <c r="A2804" s="2" t="str" cm="1">
        <f t="array" ref="A2804">INDEX('[1]Brand Family Territory (Enc)'!$A$2:$A$296,INT((ROW()-2)/10)+1)</f>
        <v>Beviamo</v>
      </c>
      <c r="B2804" s="2" t="str" cm="1">
        <f t="array" ref="B2804">INDEX('Whitelist (Blackout Reverse)'!$B$1:$K$1,MOD(ROW()-2,10)+1)</f>
        <v>PASSAIC-FF</v>
      </c>
      <c r="C2804" s="2" t="str">
        <f>VLOOKUP(A2804,'[1]Brand Family Territory (Enc)'!$A$2:$B$296,2,FALSE)</f>
        <v>Core Market</v>
      </c>
      <c r="D2804" s="2">
        <f>IF(COUNTIFS('[1]Brand Family Territories (Enc)'!$B$2:$B$62,C2804,'[1]Brand Family Territories (Enc)'!$C$2:$C$62,B2804)&gt;0,1,IF(AND(LEFT(B2804,6)="MORRIS",COUNTIFS('[1]Brand Family Territories (Enc)'!$B$2:$B$62,C2804,'[1]Brand Family Territories (Enc)'!$C$2:$C$62,"Morri")&gt;0),"Unk",0))</f>
        <v>1</v>
      </c>
      <c r="E2804" s="2" t="str">
        <f>IFERROR(INDEX('Blackout Brand Fam Areas (Enc)'!$D$6:$D$998,MATCH(UPPER(A2804)&amp;"|"&amp;UPPER(B2804),'Blackout Brand Fam Areas (Enc)'!$G$6:$G$998,0)),"No Match")</f>
        <v>No Match</v>
      </c>
      <c r="F2804" s="2" t="str">
        <f t="shared" si="86"/>
        <v>US</v>
      </c>
      <c r="G2804" s="2" t="str">
        <f t="shared" si="87"/>
        <v>Beviamo|PASSAIC-FF</v>
      </c>
    </row>
    <row r="2805" spans="1:7" x14ac:dyDescent="0.2">
      <c r="A2805" s="2" t="str" cm="1">
        <f t="array" ref="A2805">INDEX('[1]Brand Family Territory (Enc)'!$A$2:$A$296,INT((ROW()-2)/10)+1)</f>
        <v>Beviamo</v>
      </c>
      <c r="B2805" s="2" t="str" cm="1">
        <f t="array" ref="B2805">INDEX('Whitelist (Blackout Reverse)'!$B$1:$K$1,MOD(ROW()-2,10)+1)</f>
        <v>ESSEX</v>
      </c>
      <c r="C2805" s="2" t="str">
        <f>VLOOKUP(A2805,'[1]Brand Family Territory (Enc)'!$A$2:$B$296,2,FALSE)</f>
        <v>Core Market</v>
      </c>
      <c r="D2805" s="2">
        <f>IF(COUNTIFS('[1]Brand Family Territories (Enc)'!$B$2:$B$62,C2805,'[1]Brand Family Territories (Enc)'!$C$2:$C$62,B2805)&gt;0,1,IF(AND(LEFT(B2805,6)="MORRIS",COUNTIFS('[1]Brand Family Territories (Enc)'!$B$2:$B$62,C2805,'[1]Brand Family Territories (Enc)'!$C$2:$C$62,"Morri")&gt;0),"Unk",0))</f>
        <v>0</v>
      </c>
      <c r="E2805" s="2" t="str">
        <f>IFERROR(INDEX('Blackout Brand Fam Areas (Enc)'!$D$6:$D$998,MATCH(UPPER(A2805)&amp;"|"&amp;UPPER(B2805),'Blackout Brand Fam Areas (Enc)'!$G$6:$G$998,0)),"No Match")</f>
        <v>Inactive</v>
      </c>
      <c r="F2805" s="2" t="str">
        <f t="shared" si="86"/>
        <v>THEM</v>
      </c>
      <c r="G2805" s="2" t="str">
        <f t="shared" si="87"/>
        <v>Beviamo|ESSEX</v>
      </c>
    </row>
    <row r="2806" spans="1:7" x14ac:dyDescent="0.2">
      <c r="A2806" s="2" t="str" cm="1">
        <f t="array" ref="A2806">INDEX('[1]Brand Family Territory (Enc)'!$A$2:$A$296,INT((ROW()-2)/10)+1)</f>
        <v>Beviamo</v>
      </c>
      <c r="B2806" s="2" t="str" cm="1">
        <f t="array" ref="B2806">INDEX('Whitelist (Blackout Reverse)'!$B$1:$K$1,MOD(ROW()-2,10)+1)</f>
        <v>HUDSON</v>
      </c>
      <c r="C2806" s="2" t="str">
        <f>VLOOKUP(A2806,'[1]Brand Family Territory (Enc)'!$A$2:$B$296,2,FALSE)</f>
        <v>Core Market</v>
      </c>
      <c r="D2806" s="2">
        <f>IF(COUNTIFS('[1]Brand Family Territories (Enc)'!$B$2:$B$62,C2806,'[1]Brand Family Territories (Enc)'!$C$2:$C$62,B2806)&gt;0,1,IF(AND(LEFT(B2806,6)="MORRIS",COUNTIFS('[1]Brand Family Territories (Enc)'!$B$2:$B$62,C2806,'[1]Brand Family Territories (Enc)'!$C$2:$C$62,"Morri")&gt;0),"Unk",0))</f>
        <v>0</v>
      </c>
      <c r="E2806" s="2" t="str">
        <f>IFERROR(INDEX('Blackout Brand Fam Areas (Enc)'!$D$6:$D$998,MATCH(UPPER(A2806)&amp;"|"&amp;UPPER(B2806),'Blackout Brand Fam Areas (Enc)'!$G$6:$G$998,0)),"No Match")</f>
        <v>Inactive</v>
      </c>
      <c r="F2806" s="2" t="str">
        <f t="shared" si="86"/>
        <v>THEM</v>
      </c>
      <c r="G2806" s="2" t="str">
        <f t="shared" si="87"/>
        <v>Beviamo|HUDSON</v>
      </c>
    </row>
    <row r="2807" spans="1:7" x14ac:dyDescent="0.2">
      <c r="A2807" s="2" t="str" cm="1">
        <f t="array" ref="A2807">INDEX('[1]Brand Family Territory (Enc)'!$A$2:$A$296,INT((ROW()-2)/10)+1)</f>
        <v>Beviamo</v>
      </c>
      <c r="B2807" s="2" t="str" cm="1">
        <f t="array" ref="B2807">INDEX('Whitelist (Blackout Reverse)'!$B$1:$K$1,MOD(ROW()-2,10)+1)</f>
        <v>UNION</v>
      </c>
      <c r="C2807" s="2" t="str">
        <f>VLOOKUP(A2807,'[1]Brand Family Territory (Enc)'!$A$2:$B$296,2,FALSE)</f>
        <v>Core Market</v>
      </c>
      <c r="D2807" s="2">
        <f>IF(COUNTIFS('[1]Brand Family Territories (Enc)'!$B$2:$B$62,C2807,'[1]Brand Family Territories (Enc)'!$C$2:$C$62,B2807)&gt;0,1,IF(AND(LEFT(B2807,6)="MORRIS",COUNTIFS('[1]Brand Family Territories (Enc)'!$B$2:$B$62,C2807,'[1]Brand Family Territories (Enc)'!$C$2:$C$62,"Morri")&gt;0),"Unk",0))</f>
        <v>0</v>
      </c>
      <c r="E2807" s="2" t="str">
        <f>IFERROR(INDEX('Blackout Brand Fam Areas (Enc)'!$D$6:$D$998,MATCH(UPPER(A2807)&amp;"|"&amp;UPPER(B2807),'Blackout Brand Fam Areas (Enc)'!$G$6:$G$998,0)),"No Match")</f>
        <v>Inactive</v>
      </c>
      <c r="F2807" s="2" t="str">
        <f t="shared" si="86"/>
        <v>THEM</v>
      </c>
      <c r="G2807" s="2" t="str">
        <f t="shared" si="87"/>
        <v>Beviamo|UNION</v>
      </c>
    </row>
    <row r="2808" spans="1:7" x14ac:dyDescent="0.2">
      <c r="A2808" s="2" t="str" cm="1">
        <f t="array" ref="A2808">INDEX('[1]Brand Family Territory (Enc)'!$A$2:$A$296,INT((ROW()-2)/10)+1)</f>
        <v>Beviamo</v>
      </c>
      <c r="B2808" s="2" t="str" cm="1">
        <f t="array" ref="B2808">INDEX('Whitelist (Blackout Reverse)'!$B$1:$K$1,MOD(ROW()-2,10)+1)</f>
        <v>SUSSEX</v>
      </c>
      <c r="C2808" s="2" t="str">
        <f>VLOOKUP(A2808,'[1]Brand Family Territory (Enc)'!$A$2:$B$296,2,FALSE)</f>
        <v>Core Market</v>
      </c>
      <c r="D2808" s="2">
        <f>IF(COUNTIFS('[1]Brand Family Territories (Enc)'!$B$2:$B$62,C2808,'[1]Brand Family Territories (Enc)'!$C$2:$C$62,B2808)&gt;0,1,IF(AND(LEFT(B2808,6)="MORRIS",COUNTIFS('[1]Brand Family Territories (Enc)'!$B$2:$B$62,C2808,'[1]Brand Family Territories (Enc)'!$C$2:$C$62,"Morri")&gt;0),"Unk",0))</f>
        <v>1</v>
      </c>
      <c r="E2808" s="2" t="str">
        <f>IFERROR(INDEX('Blackout Brand Fam Areas (Enc)'!$D$6:$D$998,MATCH(UPPER(A2808)&amp;"|"&amp;UPPER(B2808),'Blackout Brand Fam Areas (Enc)'!$G$6:$G$998,0)),"No Match")</f>
        <v>No Match</v>
      </c>
      <c r="F2808" s="2" t="str">
        <f t="shared" si="86"/>
        <v>US</v>
      </c>
      <c r="G2808" s="2" t="str">
        <f t="shared" si="87"/>
        <v>Beviamo|SUSSEX</v>
      </c>
    </row>
    <row r="2809" spans="1:7" x14ac:dyDescent="0.2">
      <c r="A2809" s="2" t="str" cm="1">
        <f t="array" ref="A2809">INDEX('[1]Brand Family Territory (Enc)'!$A$2:$A$296,INT((ROW()-2)/10)+1)</f>
        <v>Beviamo</v>
      </c>
      <c r="B2809" s="2" t="str" cm="1">
        <f t="array" ref="B2809">INDEX('Whitelist (Blackout Reverse)'!$B$1:$K$1,MOD(ROW()-2,10)+1)</f>
        <v>MORRIS 1</v>
      </c>
      <c r="C2809" s="2" t="str">
        <f>VLOOKUP(A2809,'[1]Brand Family Territory (Enc)'!$A$2:$B$296,2,FALSE)</f>
        <v>Core Market</v>
      </c>
      <c r="D2809" s="2">
        <f>IF(COUNTIFS('[1]Brand Family Territories (Enc)'!$B$2:$B$62,C2809,'[1]Brand Family Territories (Enc)'!$C$2:$C$62,B2809)&gt;0,1,IF(AND(LEFT(B2809,6)="MORRIS",COUNTIFS('[1]Brand Family Territories (Enc)'!$B$2:$B$62,C2809,'[1]Brand Family Territories (Enc)'!$C$2:$C$62,"Morri")&gt;0),"Unk",0))</f>
        <v>1</v>
      </c>
      <c r="E2809" s="2" t="str">
        <f>IFERROR(INDEX('Blackout Brand Fam Areas (Enc)'!$D$6:$D$998,MATCH(UPPER(A2809)&amp;"|"&amp;UPPER(B2809),'Blackout Brand Fam Areas (Enc)'!$G$6:$G$998,0)),"No Match")</f>
        <v>No Match</v>
      </c>
      <c r="F2809" s="2" t="str">
        <f t="shared" si="86"/>
        <v>US</v>
      </c>
      <c r="G2809" s="2" t="str">
        <f t="shared" si="87"/>
        <v>Beviamo|MORRIS 1</v>
      </c>
    </row>
    <row r="2810" spans="1:7" x14ac:dyDescent="0.2">
      <c r="A2810" s="2" t="str" cm="1">
        <f t="array" ref="A2810">INDEX('[1]Brand Family Territory (Enc)'!$A$2:$A$296,INT((ROW()-2)/10)+1)</f>
        <v>Beviamo</v>
      </c>
      <c r="B2810" s="2" t="str" cm="1">
        <f t="array" ref="B2810">INDEX('Whitelist (Blackout Reverse)'!$B$1:$K$1,MOD(ROW()-2,10)+1)</f>
        <v>MORRIS 2</v>
      </c>
      <c r="C2810" s="2" t="str">
        <f>VLOOKUP(A2810,'[1]Brand Family Territory (Enc)'!$A$2:$B$296,2,FALSE)</f>
        <v>Core Market</v>
      </c>
      <c r="D2810" s="2">
        <f>IF(COUNTIFS('[1]Brand Family Territories (Enc)'!$B$2:$B$62,C2810,'[1]Brand Family Territories (Enc)'!$C$2:$C$62,B2810)&gt;0,1,IF(AND(LEFT(B2810,6)="MORRIS",COUNTIFS('[1]Brand Family Territories (Enc)'!$B$2:$B$62,C2810,'[1]Brand Family Territories (Enc)'!$C$2:$C$62,"Morri")&gt;0),"Unk",0))</f>
        <v>0</v>
      </c>
      <c r="E2810" s="2" t="str">
        <f>IFERROR(INDEX('Blackout Brand Fam Areas (Enc)'!$D$6:$D$998,MATCH(UPPER(A2810)&amp;"|"&amp;UPPER(B2810),'Blackout Brand Fam Areas (Enc)'!$G$6:$G$998,0)),"No Match")</f>
        <v>Inactive</v>
      </c>
      <c r="F2810" s="2" t="str">
        <f t="shared" si="86"/>
        <v>THEM</v>
      </c>
      <c r="G2810" s="2" t="str">
        <f t="shared" si="87"/>
        <v>Beviamo|MORRIS 2</v>
      </c>
    </row>
    <row r="2811" spans="1:7" x14ac:dyDescent="0.2">
      <c r="A2811" s="2" t="str" cm="1">
        <f t="array" ref="A2811">INDEX('[1]Brand Family Territory (Enc)'!$A$2:$A$296,INT((ROW()-2)/10)+1)</f>
        <v>Beviamo</v>
      </c>
      <c r="B2811" s="2" t="str" cm="1">
        <f t="array" ref="B2811">INDEX('Whitelist (Blackout Reverse)'!$B$1:$K$1,MOD(ROW()-2,10)+1)</f>
        <v>MORRIS 3</v>
      </c>
      <c r="C2811" s="2" t="str">
        <f>VLOOKUP(A2811,'[1]Brand Family Territory (Enc)'!$A$2:$B$296,2,FALSE)</f>
        <v>Core Market</v>
      </c>
      <c r="D2811" s="2">
        <f>IF(COUNTIFS('[1]Brand Family Territories (Enc)'!$B$2:$B$62,C2811,'[1]Brand Family Territories (Enc)'!$C$2:$C$62,B2811)&gt;0,1,IF(AND(LEFT(B2811,6)="MORRIS",COUNTIFS('[1]Brand Family Territories (Enc)'!$B$2:$B$62,C2811,'[1]Brand Family Territories (Enc)'!$C$2:$C$62,"Morri")&gt;0),"Unk",0))</f>
        <v>1</v>
      </c>
      <c r="E2811" s="2" t="str">
        <f>IFERROR(INDEX('Blackout Brand Fam Areas (Enc)'!$D$6:$D$998,MATCH(UPPER(A2811)&amp;"|"&amp;UPPER(B2811),'Blackout Brand Fam Areas (Enc)'!$G$6:$G$998,0)),"No Match")</f>
        <v>No Match</v>
      </c>
      <c r="F2811" s="2" t="str">
        <f t="shared" si="86"/>
        <v>US</v>
      </c>
      <c r="G2811" s="2" t="str">
        <f t="shared" si="87"/>
        <v>Beviamo|MORRIS 3</v>
      </c>
    </row>
    <row r="2812" spans="1:7" x14ac:dyDescent="0.2">
      <c r="A2812" s="2" t="str" cm="1">
        <f t="array" ref="A2812">INDEX('[1]Brand Family Territory (Enc)'!$A$2:$A$296,INT((ROW()-2)/10)+1)</f>
        <v>Gionelli</v>
      </c>
      <c r="B2812" s="2" t="str" cm="1">
        <f t="array" ref="B2812">INDEX('Whitelist (Blackout Reverse)'!$B$1:$K$1,MOD(ROW()-2,10)+1)</f>
        <v>BERGEN</v>
      </c>
      <c r="C2812" s="2" t="str">
        <f>VLOOKUP(A2812,'[1]Brand Family Territory (Enc)'!$A$2:$B$296,2,FALSE)</f>
        <v>Core Market</v>
      </c>
      <c r="D2812" s="2">
        <f>IF(COUNTIFS('[1]Brand Family Territories (Enc)'!$B$2:$B$62,C2812,'[1]Brand Family Territories (Enc)'!$C$2:$C$62,B2812)&gt;0,1,IF(AND(LEFT(B2812,6)="MORRIS",COUNTIFS('[1]Brand Family Territories (Enc)'!$B$2:$B$62,C2812,'[1]Brand Family Territories (Enc)'!$C$2:$C$62,"Morri")&gt;0),"Unk",0))</f>
        <v>1</v>
      </c>
      <c r="E2812" s="2" t="str">
        <f>IFERROR(INDEX('Blackout Brand Fam Areas (Enc)'!$D$6:$D$998,MATCH(UPPER(A2812)&amp;"|"&amp;UPPER(B2812),'Blackout Brand Fam Areas (Enc)'!$G$6:$G$998,0)),"No Match")</f>
        <v>No Match</v>
      </c>
      <c r="F2812" s="2" t="str">
        <f t="shared" si="86"/>
        <v>US</v>
      </c>
      <c r="G2812" s="2" t="str">
        <f t="shared" si="87"/>
        <v>Gionelli|BERGEN</v>
      </c>
    </row>
    <row r="2813" spans="1:7" x14ac:dyDescent="0.2">
      <c r="A2813" s="2" t="str" cm="1">
        <f t="array" ref="A2813">INDEX('[1]Brand Family Territory (Enc)'!$A$2:$A$296,INT((ROW()-2)/10)+1)</f>
        <v>Gionelli</v>
      </c>
      <c r="B2813" s="2" t="str" cm="1">
        <f t="array" ref="B2813">INDEX('Whitelist (Blackout Reverse)'!$B$1:$K$1,MOD(ROW()-2,10)+1)</f>
        <v>PASSAIC</v>
      </c>
      <c r="C2813" s="2" t="str">
        <f>VLOOKUP(A2813,'[1]Brand Family Territory (Enc)'!$A$2:$B$296,2,FALSE)</f>
        <v>Core Market</v>
      </c>
      <c r="D2813" s="2">
        <f>IF(COUNTIFS('[1]Brand Family Territories (Enc)'!$B$2:$B$62,C2813,'[1]Brand Family Territories (Enc)'!$C$2:$C$62,B2813)&gt;0,1,IF(AND(LEFT(B2813,6)="MORRIS",COUNTIFS('[1]Brand Family Territories (Enc)'!$B$2:$B$62,C2813,'[1]Brand Family Territories (Enc)'!$C$2:$C$62,"Morri")&gt;0),"Unk",0))</f>
        <v>1</v>
      </c>
      <c r="E2813" s="2" t="str">
        <f>IFERROR(INDEX('Blackout Brand Fam Areas (Enc)'!$D$6:$D$998,MATCH(UPPER(A2813)&amp;"|"&amp;UPPER(B2813),'Blackout Brand Fam Areas (Enc)'!$G$6:$G$998,0)),"No Match")</f>
        <v>No Match</v>
      </c>
      <c r="F2813" s="2" t="str">
        <f t="shared" si="86"/>
        <v>US</v>
      </c>
      <c r="G2813" s="2" t="str">
        <f t="shared" si="87"/>
        <v>Gionelli|PASSAIC</v>
      </c>
    </row>
    <row r="2814" spans="1:7" x14ac:dyDescent="0.2">
      <c r="A2814" s="2" t="str" cm="1">
        <f t="array" ref="A2814">INDEX('[1]Brand Family Territory (Enc)'!$A$2:$A$296,INT((ROW()-2)/10)+1)</f>
        <v>Gionelli</v>
      </c>
      <c r="B2814" s="2" t="str" cm="1">
        <f t="array" ref="B2814">INDEX('Whitelist (Blackout Reverse)'!$B$1:$K$1,MOD(ROW()-2,10)+1)</f>
        <v>PASSAIC-FF</v>
      </c>
      <c r="C2814" s="2" t="str">
        <f>VLOOKUP(A2814,'[1]Brand Family Territory (Enc)'!$A$2:$B$296,2,FALSE)</f>
        <v>Core Market</v>
      </c>
      <c r="D2814" s="2">
        <f>IF(COUNTIFS('[1]Brand Family Territories (Enc)'!$B$2:$B$62,C2814,'[1]Brand Family Territories (Enc)'!$C$2:$C$62,B2814)&gt;0,1,IF(AND(LEFT(B2814,6)="MORRIS",COUNTIFS('[1]Brand Family Territories (Enc)'!$B$2:$B$62,C2814,'[1]Brand Family Territories (Enc)'!$C$2:$C$62,"Morri")&gt;0),"Unk",0))</f>
        <v>1</v>
      </c>
      <c r="E2814" s="2" t="str">
        <f>IFERROR(INDEX('Blackout Brand Fam Areas (Enc)'!$D$6:$D$998,MATCH(UPPER(A2814)&amp;"|"&amp;UPPER(B2814),'Blackout Brand Fam Areas (Enc)'!$G$6:$G$998,0)),"No Match")</f>
        <v>No Match</v>
      </c>
      <c r="F2814" s="2" t="str">
        <f t="shared" si="86"/>
        <v>US</v>
      </c>
      <c r="G2814" s="2" t="str">
        <f t="shared" si="87"/>
        <v>Gionelli|PASSAIC-FF</v>
      </c>
    </row>
    <row r="2815" spans="1:7" x14ac:dyDescent="0.2">
      <c r="A2815" s="2" t="str" cm="1">
        <f t="array" ref="A2815">INDEX('[1]Brand Family Territory (Enc)'!$A$2:$A$296,INT((ROW()-2)/10)+1)</f>
        <v>Gionelli</v>
      </c>
      <c r="B2815" s="2" t="str" cm="1">
        <f t="array" ref="B2815">INDEX('Whitelist (Blackout Reverse)'!$B$1:$K$1,MOD(ROW()-2,10)+1)</f>
        <v>ESSEX</v>
      </c>
      <c r="C2815" s="2" t="str">
        <f>VLOOKUP(A2815,'[1]Brand Family Territory (Enc)'!$A$2:$B$296,2,FALSE)</f>
        <v>Core Market</v>
      </c>
      <c r="D2815" s="2">
        <f>IF(COUNTIFS('[1]Brand Family Territories (Enc)'!$B$2:$B$62,C2815,'[1]Brand Family Territories (Enc)'!$C$2:$C$62,B2815)&gt;0,1,IF(AND(LEFT(B2815,6)="MORRIS",COUNTIFS('[1]Brand Family Territories (Enc)'!$B$2:$B$62,C2815,'[1]Brand Family Territories (Enc)'!$C$2:$C$62,"Morri")&gt;0),"Unk",0))</f>
        <v>0</v>
      </c>
      <c r="E2815" s="2" t="str">
        <f>IFERROR(INDEX('Blackout Brand Fam Areas (Enc)'!$D$6:$D$998,MATCH(UPPER(A2815)&amp;"|"&amp;UPPER(B2815),'Blackout Brand Fam Areas (Enc)'!$G$6:$G$998,0)),"No Match")</f>
        <v>Inactive</v>
      </c>
      <c r="F2815" s="2" t="str">
        <f t="shared" si="86"/>
        <v>THEM</v>
      </c>
      <c r="G2815" s="2" t="str">
        <f t="shared" si="87"/>
        <v>Gionelli|ESSEX</v>
      </c>
    </row>
    <row r="2816" spans="1:7" x14ac:dyDescent="0.2">
      <c r="A2816" s="2" t="str" cm="1">
        <f t="array" ref="A2816">INDEX('[1]Brand Family Territory (Enc)'!$A$2:$A$296,INT((ROW()-2)/10)+1)</f>
        <v>Gionelli</v>
      </c>
      <c r="B2816" s="2" t="str" cm="1">
        <f t="array" ref="B2816">INDEX('Whitelist (Blackout Reverse)'!$B$1:$K$1,MOD(ROW()-2,10)+1)</f>
        <v>HUDSON</v>
      </c>
      <c r="C2816" s="2" t="str">
        <f>VLOOKUP(A2816,'[1]Brand Family Territory (Enc)'!$A$2:$B$296,2,FALSE)</f>
        <v>Core Market</v>
      </c>
      <c r="D2816" s="2">
        <f>IF(COUNTIFS('[1]Brand Family Territories (Enc)'!$B$2:$B$62,C2816,'[1]Brand Family Territories (Enc)'!$C$2:$C$62,B2816)&gt;0,1,IF(AND(LEFT(B2816,6)="MORRIS",COUNTIFS('[1]Brand Family Territories (Enc)'!$B$2:$B$62,C2816,'[1]Brand Family Territories (Enc)'!$C$2:$C$62,"Morri")&gt;0),"Unk",0))</f>
        <v>0</v>
      </c>
      <c r="E2816" s="2" t="str">
        <f>IFERROR(INDEX('Blackout Brand Fam Areas (Enc)'!$D$6:$D$998,MATCH(UPPER(A2816)&amp;"|"&amp;UPPER(B2816),'Blackout Brand Fam Areas (Enc)'!$G$6:$G$998,0)),"No Match")</f>
        <v>Inactive</v>
      </c>
      <c r="F2816" s="2" t="str">
        <f t="shared" si="86"/>
        <v>THEM</v>
      </c>
      <c r="G2816" s="2" t="str">
        <f t="shared" si="87"/>
        <v>Gionelli|HUDSON</v>
      </c>
    </row>
    <row r="2817" spans="1:7" x14ac:dyDescent="0.2">
      <c r="A2817" s="2" t="str" cm="1">
        <f t="array" ref="A2817">INDEX('[1]Brand Family Territory (Enc)'!$A$2:$A$296,INT((ROW()-2)/10)+1)</f>
        <v>Gionelli</v>
      </c>
      <c r="B2817" s="2" t="str" cm="1">
        <f t="array" ref="B2817">INDEX('Whitelist (Blackout Reverse)'!$B$1:$K$1,MOD(ROW()-2,10)+1)</f>
        <v>UNION</v>
      </c>
      <c r="C2817" s="2" t="str">
        <f>VLOOKUP(A2817,'[1]Brand Family Territory (Enc)'!$A$2:$B$296,2,FALSE)</f>
        <v>Core Market</v>
      </c>
      <c r="D2817" s="2">
        <f>IF(COUNTIFS('[1]Brand Family Territories (Enc)'!$B$2:$B$62,C2817,'[1]Brand Family Territories (Enc)'!$C$2:$C$62,B2817)&gt;0,1,IF(AND(LEFT(B2817,6)="MORRIS",COUNTIFS('[1]Brand Family Territories (Enc)'!$B$2:$B$62,C2817,'[1]Brand Family Territories (Enc)'!$C$2:$C$62,"Morri")&gt;0),"Unk",0))</f>
        <v>0</v>
      </c>
      <c r="E2817" s="2" t="str">
        <f>IFERROR(INDEX('Blackout Brand Fam Areas (Enc)'!$D$6:$D$998,MATCH(UPPER(A2817)&amp;"|"&amp;UPPER(B2817),'Blackout Brand Fam Areas (Enc)'!$G$6:$G$998,0)),"No Match")</f>
        <v>Inactive</v>
      </c>
      <c r="F2817" s="2" t="str">
        <f t="shared" si="86"/>
        <v>THEM</v>
      </c>
      <c r="G2817" s="2" t="str">
        <f t="shared" si="87"/>
        <v>Gionelli|UNION</v>
      </c>
    </row>
    <row r="2818" spans="1:7" x14ac:dyDescent="0.2">
      <c r="A2818" s="2" t="str" cm="1">
        <f t="array" ref="A2818">INDEX('[1]Brand Family Territory (Enc)'!$A$2:$A$296,INT((ROW()-2)/10)+1)</f>
        <v>Gionelli</v>
      </c>
      <c r="B2818" s="2" t="str" cm="1">
        <f t="array" ref="B2818">INDEX('Whitelist (Blackout Reverse)'!$B$1:$K$1,MOD(ROW()-2,10)+1)</f>
        <v>SUSSEX</v>
      </c>
      <c r="C2818" s="2" t="str">
        <f>VLOOKUP(A2818,'[1]Brand Family Territory (Enc)'!$A$2:$B$296,2,FALSE)</f>
        <v>Core Market</v>
      </c>
      <c r="D2818" s="2">
        <f>IF(COUNTIFS('[1]Brand Family Territories (Enc)'!$B$2:$B$62,C2818,'[1]Brand Family Territories (Enc)'!$C$2:$C$62,B2818)&gt;0,1,IF(AND(LEFT(B2818,6)="MORRIS",COUNTIFS('[1]Brand Family Territories (Enc)'!$B$2:$B$62,C2818,'[1]Brand Family Territories (Enc)'!$C$2:$C$62,"Morri")&gt;0),"Unk",0))</f>
        <v>1</v>
      </c>
      <c r="E2818" s="2" t="str">
        <f>IFERROR(INDEX('Blackout Brand Fam Areas (Enc)'!$D$6:$D$998,MATCH(UPPER(A2818)&amp;"|"&amp;UPPER(B2818),'Blackout Brand Fam Areas (Enc)'!$G$6:$G$998,0)),"No Match")</f>
        <v>No Match</v>
      </c>
      <c r="F2818" s="2" t="str">
        <f t="shared" si="86"/>
        <v>US</v>
      </c>
      <c r="G2818" s="2" t="str">
        <f t="shared" si="87"/>
        <v>Gionelli|SUSSEX</v>
      </c>
    </row>
    <row r="2819" spans="1:7" x14ac:dyDescent="0.2">
      <c r="A2819" s="2" t="str" cm="1">
        <f t="array" ref="A2819">INDEX('[1]Brand Family Territory (Enc)'!$A$2:$A$296,INT((ROW()-2)/10)+1)</f>
        <v>Gionelli</v>
      </c>
      <c r="B2819" s="2" t="str" cm="1">
        <f t="array" ref="B2819">INDEX('Whitelist (Blackout Reverse)'!$B$1:$K$1,MOD(ROW()-2,10)+1)</f>
        <v>MORRIS 1</v>
      </c>
      <c r="C2819" s="2" t="str">
        <f>VLOOKUP(A2819,'[1]Brand Family Territory (Enc)'!$A$2:$B$296,2,FALSE)</f>
        <v>Core Market</v>
      </c>
      <c r="D2819" s="2">
        <f>IF(COUNTIFS('[1]Brand Family Territories (Enc)'!$B$2:$B$62,C2819,'[1]Brand Family Territories (Enc)'!$C$2:$C$62,B2819)&gt;0,1,IF(AND(LEFT(B2819,6)="MORRIS",COUNTIFS('[1]Brand Family Territories (Enc)'!$B$2:$B$62,C2819,'[1]Brand Family Territories (Enc)'!$C$2:$C$62,"Morri")&gt;0),"Unk",0))</f>
        <v>1</v>
      </c>
      <c r="E2819" s="2" t="str">
        <f>IFERROR(INDEX('Blackout Brand Fam Areas (Enc)'!$D$6:$D$998,MATCH(UPPER(A2819)&amp;"|"&amp;UPPER(B2819),'Blackout Brand Fam Areas (Enc)'!$G$6:$G$998,0)),"No Match")</f>
        <v>No Match</v>
      </c>
      <c r="F2819" s="2" t="str">
        <f t="shared" ref="F2819:F2882" si="88">IF(D2819="Unk","Ambiguous (Source Truncated)",IF(E2819="Inactive","THEM",IF(D2819=1,"US",IF(D2819="N/A","No Territory Data","THEM"))))</f>
        <v>US</v>
      </c>
      <c r="G2819" s="2" t="str">
        <f t="shared" ref="G2819:G2882" si="89">A2819&amp;"|"&amp;B2819</f>
        <v>Gionelli|MORRIS 1</v>
      </c>
    </row>
    <row r="2820" spans="1:7" x14ac:dyDescent="0.2">
      <c r="A2820" s="2" t="str" cm="1">
        <f t="array" ref="A2820">INDEX('[1]Brand Family Territory (Enc)'!$A$2:$A$296,INT((ROW()-2)/10)+1)</f>
        <v>Gionelli</v>
      </c>
      <c r="B2820" s="2" t="str" cm="1">
        <f t="array" ref="B2820">INDEX('Whitelist (Blackout Reverse)'!$B$1:$K$1,MOD(ROW()-2,10)+1)</f>
        <v>MORRIS 2</v>
      </c>
      <c r="C2820" s="2" t="str">
        <f>VLOOKUP(A2820,'[1]Brand Family Territory (Enc)'!$A$2:$B$296,2,FALSE)</f>
        <v>Core Market</v>
      </c>
      <c r="D2820" s="2">
        <f>IF(COUNTIFS('[1]Brand Family Territories (Enc)'!$B$2:$B$62,C2820,'[1]Brand Family Territories (Enc)'!$C$2:$C$62,B2820)&gt;0,1,IF(AND(LEFT(B2820,6)="MORRIS",COUNTIFS('[1]Brand Family Territories (Enc)'!$B$2:$B$62,C2820,'[1]Brand Family Territories (Enc)'!$C$2:$C$62,"Morri")&gt;0),"Unk",0))</f>
        <v>0</v>
      </c>
      <c r="E2820" s="2" t="str">
        <f>IFERROR(INDEX('Blackout Brand Fam Areas (Enc)'!$D$6:$D$998,MATCH(UPPER(A2820)&amp;"|"&amp;UPPER(B2820),'Blackout Brand Fam Areas (Enc)'!$G$6:$G$998,0)),"No Match")</f>
        <v>Inactive</v>
      </c>
      <c r="F2820" s="2" t="str">
        <f t="shared" si="88"/>
        <v>THEM</v>
      </c>
      <c r="G2820" s="2" t="str">
        <f t="shared" si="89"/>
        <v>Gionelli|MORRIS 2</v>
      </c>
    </row>
    <row r="2821" spans="1:7" x14ac:dyDescent="0.2">
      <c r="A2821" s="2" t="str" cm="1">
        <f t="array" ref="A2821">INDEX('[1]Brand Family Territory (Enc)'!$A$2:$A$296,INT((ROW()-2)/10)+1)</f>
        <v>Gionelli</v>
      </c>
      <c r="B2821" s="2" t="str" cm="1">
        <f t="array" ref="B2821">INDEX('Whitelist (Blackout Reverse)'!$B$1:$K$1,MOD(ROW()-2,10)+1)</f>
        <v>MORRIS 3</v>
      </c>
      <c r="C2821" s="2" t="str">
        <f>VLOOKUP(A2821,'[1]Brand Family Territory (Enc)'!$A$2:$B$296,2,FALSE)</f>
        <v>Core Market</v>
      </c>
      <c r="D2821" s="2">
        <f>IF(COUNTIFS('[1]Brand Family Territories (Enc)'!$B$2:$B$62,C2821,'[1]Brand Family Territories (Enc)'!$C$2:$C$62,B2821)&gt;0,1,IF(AND(LEFT(B2821,6)="MORRIS",COUNTIFS('[1]Brand Family Territories (Enc)'!$B$2:$B$62,C2821,'[1]Brand Family Territories (Enc)'!$C$2:$C$62,"Morri")&gt;0),"Unk",0))</f>
        <v>1</v>
      </c>
      <c r="E2821" s="2" t="str">
        <f>IFERROR(INDEX('Blackout Brand Fam Areas (Enc)'!$D$6:$D$998,MATCH(UPPER(A2821)&amp;"|"&amp;UPPER(B2821),'Blackout Brand Fam Areas (Enc)'!$G$6:$G$998,0)),"No Match")</f>
        <v>No Match</v>
      </c>
      <c r="F2821" s="2" t="str">
        <f t="shared" si="88"/>
        <v>US</v>
      </c>
      <c r="G2821" s="2" t="str">
        <f t="shared" si="89"/>
        <v>Gionelli|MORRIS 3</v>
      </c>
    </row>
    <row r="2822" spans="1:7" x14ac:dyDescent="0.2">
      <c r="A2822" s="2" t="str" cm="1">
        <f t="array" ref="A2822">INDEX('[1]Brand Family Territory (Enc)'!$A$2:$A$296,INT((ROW()-2)/10)+1)</f>
        <v>Carinoso</v>
      </c>
      <c r="B2822" s="2" t="str" cm="1">
        <f t="array" ref="B2822">INDEX('Whitelist (Blackout Reverse)'!$B$1:$K$1,MOD(ROW()-2,10)+1)</f>
        <v>BERGEN</v>
      </c>
      <c r="C2822" s="2" t="str">
        <f>VLOOKUP(A2822,'[1]Brand Family Territory (Enc)'!$A$2:$B$296,2,FALSE)</f>
        <v>All Counties + Middlesex</v>
      </c>
      <c r="D2822" s="2">
        <f>IF(COUNTIFS('[1]Brand Family Territories (Enc)'!$B$2:$B$62,C2822,'[1]Brand Family Territories (Enc)'!$C$2:$C$62,B2822)&gt;0,1,IF(AND(LEFT(B2822,6)="MORRIS",COUNTIFS('[1]Brand Family Territories (Enc)'!$B$2:$B$62,C2822,'[1]Brand Family Territories (Enc)'!$C$2:$C$62,"Morri")&gt;0),"Unk",0))</f>
        <v>1</v>
      </c>
      <c r="E2822" s="2" t="str">
        <f>IFERROR(INDEX('Blackout Brand Fam Areas (Enc)'!$D$6:$D$998,MATCH(UPPER(A2822)&amp;"|"&amp;UPPER(B2822),'Blackout Brand Fam Areas (Enc)'!$G$6:$G$998,0)),"No Match")</f>
        <v>No Match</v>
      </c>
      <c r="F2822" s="2" t="str">
        <f t="shared" si="88"/>
        <v>US</v>
      </c>
      <c r="G2822" s="2" t="str">
        <f t="shared" si="89"/>
        <v>Carinoso|BERGEN</v>
      </c>
    </row>
    <row r="2823" spans="1:7" x14ac:dyDescent="0.2">
      <c r="A2823" s="2" t="str" cm="1">
        <f t="array" ref="A2823">INDEX('[1]Brand Family Territory (Enc)'!$A$2:$A$296,INT((ROW()-2)/10)+1)</f>
        <v>Carinoso</v>
      </c>
      <c r="B2823" s="2" t="str" cm="1">
        <f t="array" ref="B2823">INDEX('Whitelist (Blackout Reverse)'!$B$1:$K$1,MOD(ROW()-2,10)+1)</f>
        <v>PASSAIC</v>
      </c>
      <c r="C2823" s="2" t="str">
        <f>VLOOKUP(A2823,'[1]Brand Family Territory (Enc)'!$A$2:$B$296,2,FALSE)</f>
        <v>All Counties + Middlesex</v>
      </c>
      <c r="D2823" s="2">
        <f>IF(COUNTIFS('[1]Brand Family Territories (Enc)'!$B$2:$B$62,C2823,'[1]Brand Family Territories (Enc)'!$C$2:$C$62,B2823)&gt;0,1,IF(AND(LEFT(B2823,6)="MORRIS",COUNTIFS('[1]Brand Family Territories (Enc)'!$B$2:$B$62,C2823,'[1]Brand Family Territories (Enc)'!$C$2:$C$62,"Morri")&gt;0),"Unk",0))</f>
        <v>1</v>
      </c>
      <c r="E2823" s="2" t="str">
        <f>IFERROR(INDEX('Blackout Brand Fam Areas (Enc)'!$D$6:$D$998,MATCH(UPPER(A2823)&amp;"|"&amp;UPPER(B2823),'Blackout Brand Fam Areas (Enc)'!$G$6:$G$998,0)),"No Match")</f>
        <v>No Match</v>
      </c>
      <c r="F2823" s="2" t="str">
        <f t="shared" si="88"/>
        <v>US</v>
      </c>
      <c r="G2823" s="2" t="str">
        <f t="shared" si="89"/>
        <v>Carinoso|PASSAIC</v>
      </c>
    </row>
    <row r="2824" spans="1:7" x14ac:dyDescent="0.2">
      <c r="A2824" s="2" t="str" cm="1">
        <f t="array" ref="A2824">INDEX('[1]Brand Family Territory (Enc)'!$A$2:$A$296,INT((ROW()-2)/10)+1)</f>
        <v>Carinoso</v>
      </c>
      <c r="B2824" s="2" t="str" cm="1">
        <f t="array" ref="B2824">INDEX('Whitelist (Blackout Reverse)'!$B$1:$K$1,MOD(ROW()-2,10)+1)</f>
        <v>PASSAIC-FF</v>
      </c>
      <c r="C2824" s="2" t="str">
        <f>VLOOKUP(A2824,'[1]Brand Family Territory (Enc)'!$A$2:$B$296,2,FALSE)</f>
        <v>All Counties + Middlesex</v>
      </c>
      <c r="D2824" s="2">
        <f>IF(COUNTIFS('[1]Brand Family Territories (Enc)'!$B$2:$B$62,C2824,'[1]Brand Family Territories (Enc)'!$C$2:$C$62,B2824)&gt;0,1,IF(AND(LEFT(B2824,6)="MORRIS",COUNTIFS('[1]Brand Family Territories (Enc)'!$B$2:$B$62,C2824,'[1]Brand Family Territories (Enc)'!$C$2:$C$62,"Morri")&gt;0),"Unk",0))</f>
        <v>1</v>
      </c>
      <c r="E2824" s="2" t="str">
        <f>IFERROR(INDEX('Blackout Brand Fam Areas (Enc)'!$D$6:$D$998,MATCH(UPPER(A2824)&amp;"|"&amp;UPPER(B2824),'Blackout Brand Fam Areas (Enc)'!$G$6:$G$998,0)),"No Match")</f>
        <v>No Match</v>
      </c>
      <c r="F2824" s="2" t="str">
        <f t="shared" si="88"/>
        <v>US</v>
      </c>
      <c r="G2824" s="2" t="str">
        <f t="shared" si="89"/>
        <v>Carinoso|PASSAIC-FF</v>
      </c>
    </row>
    <row r="2825" spans="1:7" x14ac:dyDescent="0.2">
      <c r="A2825" s="2" t="str" cm="1">
        <f t="array" ref="A2825">INDEX('[1]Brand Family Territory (Enc)'!$A$2:$A$296,INT((ROW()-2)/10)+1)</f>
        <v>Carinoso</v>
      </c>
      <c r="B2825" s="2" t="str" cm="1">
        <f t="array" ref="B2825">INDEX('Whitelist (Blackout Reverse)'!$B$1:$K$1,MOD(ROW()-2,10)+1)</f>
        <v>ESSEX</v>
      </c>
      <c r="C2825" s="2" t="str">
        <f>VLOOKUP(A2825,'[1]Brand Family Territory (Enc)'!$A$2:$B$296,2,FALSE)</f>
        <v>All Counties + Middlesex</v>
      </c>
      <c r="D2825" s="2">
        <f>IF(COUNTIFS('[1]Brand Family Territories (Enc)'!$B$2:$B$62,C2825,'[1]Brand Family Territories (Enc)'!$C$2:$C$62,B2825)&gt;0,1,IF(AND(LEFT(B2825,6)="MORRIS",COUNTIFS('[1]Brand Family Territories (Enc)'!$B$2:$B$62,C2825,'[1]Brand Family Territories (Enc)'!$C$2:$C$62,"Morri")&gt;0),"Unk",0))</f>
        <v>1</v>
      </c>
      <c r="E2825" s="2" t="str">
        <f>IFERROR(INDEX('Blackout Brand Fam Areas (Enc)'!$D$6:$D$998,MATCH(UPPER(A2825)&amp;"|"&amp;UPPER(B2825),'Blackout Brand Fam Areas (Enc)'!$G$6:$G$998,0)),"No Match")</f>
        <v>No Match</v>
      </c>
      <c r="F2825" s="2" t="str">
        <f t="shared" si="88"/>
        <v>US</v>
      </c>
      <c r="G2825" s="2" t="str">
        <f t="shared" si="89"/>
        <v>Carinoso|ESSEX</v>
      </c>
    </row>
    <row r="2826" spans="1:7" x14ac:dyDescent="0.2">
      <c r="A2826" s="2" t="str" cm="1">
        <f t="array" ref="A2826">INDEX('[1]Brand Family Territory (Enc)'!$A$2:$A$296,INT((ROW()-2)/10)+1)</f>
        <v>Carinoso</v>
      </c>
      <c r="B2826" s="2" t="str" cm="1">
        <f t="array" ref="B2826">INDEX('Whitelist (Blackout Reverse)'!$B$1:$K$1,MOD(ROW()-2,10)+1)</f>
        <v>HUDSON</v>
      </c>
      <c r="C2826" s="2" t="str">
        <f>VLOOKUP(A2826,'[1]Brand Family Territory (Enc)'!$A$2:$B$296,2,FALSE)</f>
        <v>All Counties + Middlesex</v>
      </c>
      <c r="D2826" s="2">
        <f>IF(COUNTIFS('[1]Brand Family Territories (Enc)'!$B$2:$B$62,C2826,'[1]Brand Family Territories (Enc)'!$C$2:$C$62,B2826)&gt;0,1,IF(AND(LEFT(B2826,6)="MORRIS",COUNTIFS('[1]Brand Family Territories (Enc)'!$B$2:$B$62,C2826,'[1]Brand Family Territories (Enc)'!$C$2:$C$62,"Morri")&gt;0),"Unk",0))</f>
        <v>1</v>
      </c>
      <c r="E2826" s="2" t="str">
        <f>IFERROR(INDEX('Blackout Brand Fam Areas (Enc)'!$D$6:$D$998,MATCH(UPPER(A2826)&amp;"|"&amp;UPPER(B2826),'Blackout Brand Fam Areas (Enc)'!$G$6:$G$998,0)),"No Match")</f>
        <v>No Match</v>
      </c>
      <c r="F2826" s="2" t="str">
        <f t="shared" si="88"/>
        <v>US</v>
      </c>
      <c r="G2826" s="2" t="str">
        <f t="shared" si="89"/>
        <v>Carinoso|HUDSON</v>
      </c>
    </row>
    <row r="2827" spans="1:7" x14ac:dyDescent="0.2">
      <c r="A2827" s="2" t="str" cm="1">
        <f t="array" ref="A2827">INDEX('[1]Brand Family Territory (Enc)'!$A$2:$A$296,INT((ROW()-2)/10)+1)</f>
        <v>Carinoso</v>
      </c>
      <c r="B2827" s="2" t="str" cm="1">
        <f t="array" ref="B2827">INDEX('Whitelist (Blackout Reverse)'!$B$1:$K$1,MOD(ROW()-2,10)+1)</f>
        <v>UNION</v>
      </c>
      <c r="C2827" s="2" t="str">
        <f>VLOOKUP(A2827,'[1]Brand Family Territory (Enc)'!$A$2:$B$296,2,FALSE)</f>
        <v>All Counties + Middlesex</v>
      </c>
      <c r="D2827" s="2">
        <f>IF(COUNTIFS('[1]Brand Family Territories (Enc)'!$B$2:$B$62,C2827,'[1]Brand Family Territories (Enc)'!$C$2:$C$62,B2827)&gt;0,1,IF(AND(LEFT(B2827,6)="MORRIS",COUNTIFS('[1]Brand Family Territories (Enc)'!$B$2:$B$62,C2827,'[1]Brand Family Territories (Enc)'!$C$2:$C$62,"Morri")&gt;0),"Unk",0))</f>
        <v>1</v>
      </c>
      <c r="E2827" s="2" t="str">
        <f>IFERROR(INDEX('Blackout Brand Fam Areas (Enc)'!$D$6:$D$998,MATCH(UPPER(A2827)&amp;"|"&amp;UPPER(B2827),'Blackout Brand Fam Areas (Enc)'!$G$6:$G$998,0)),"No Match")</f>
        <v>No Match</v>
      </c>
      <c r="F2827" s="2" t="str">
        <f t="shared" si="88"/>
        <v>US</v>
      </c>
      <c r="G2827" s="2" t="str">
        <f t="shared" si="89"/>
        <v>Carinoso|UNION</v>
      </c>
    </row>
    <row r="2828" spans="1:7" x14ac:dyDescent="0.2">
      <c r="A2828" s="2" t="str" cm="1">
        <f t="array" ref="A2828">INDEX('[1]Brand Family Territory (Enc)'!$A$2:$A$296,INT((ROW()-2)/10)+1)</f>
        <v>Carinoso</v>
      </c>
      <c r="B2828" s="2" t="str" cm="1">
        <f t="array" ref="B2828">INDEX('Whitelist (Blackout Reverse)'!$B$1:$K$1,MOD(ROW()-2,10)+1)</f>
        <v>SUSSEX</v>
      </c>
      <c r="C2828" s="2" t="str">
        <f>VLOOKUP(A2828,'[1]Brand Family Territory (Enc)'!$A$2:$B$296,2,FALSE)</f>
        <v>All Counties + Middlesex</v>
      </c>
      <c r="D2828" s="2">
        <f>IF(COUNTIFS('[1]Brand Family Territories (Enc)'!$B$2:$B$62,C2828,'[1]Brand Family Territories (Enc)'!$C$2:$C$62,B2828)&gt;0,1,IF(AND(LEFT(B2828,6)="MORRIS",COUNTIFS('[1]Brand Family Territories (Enc)'!$B$2:$B$62,C2828,'[1]Brand Family Territories (Enc)'!$C$2:$C$62,"Morri")&gt;0),"Unk",0))</f>
        <v>1</v>
      </c>
      <c r="E2828" s="2" t="str">
        <f>IFERROR(INDEX('Blackout Brand Fam Areas (Enc)'!$D$6:$D$998,MATCH(UPPER(A2828)&amp;"|"&amp;UPPER(B2828),'Blackout Brand Fam Areas (Enc)'!$G$6:$G$998,0)),"No Match")</f>
        <v>No Match</v>
      </c>
      <c r="F2828" s="2" t="str">
        <f t="shared" si="88"/>
        <v>US</v>
      </c>
      <c r="G2828" s="2" t="str">
        <f t="shared" si="89"/>
        <v>Carinoso|SUSSEX</v>
      </c>
    </row>
    <row r="2829" spans="1:7" x14ac:dyDescent="0.2">
      <c r="A2829" s="2" t="str" cm="1">
        <f t="array" ref="A2829">INDEX('[1]Brand Family Territory (Enc)'!$A$2:$A$296,INT((ROW()-2)/10)+1)</f>
        <v>Carinoso</v>
      </c>
      <c r="B2829" s="2" t="str" cm="1">
        <f t="array" ref="B2829">INDEX('Whitelist (Blackout Reverse)'!$B$1:$K$1,MOD(ROW()-2,10)+1)</f>
        <v>MORRIS 1</v>
      </c>
      <c r="C2829" s="2" t="str">
        <f>VLOOKUP(A2829,'[1]Brand Family Territory (Enc)'!$A$2:$B$296,2,FALSE)</f>
        <v>All Counties + Middlesex</v>
      </c>
      <c r="D2829" s="2">
        <f>IF(COUNTIFS('[1]Brand Family Territories (Enc)'!$B$2:$B$62,C2829,'[1]Brand Family Territories (Enc)'!$C$2:$C$62,B2829)&gt;0,1,IF(AND(LEFT(B2829,6)="MORRIS",COUNTIFS('[1]Brand Family Territories (Enc)'!$B$2:$B$62,C2829,'[1]Brand Family Territories (Enc)'!$C$2:$C$62,"Morri")&gt;0),"Unk",0))</f>
        <v>1</v>
      </c>
      <c r="E2829" s="2" t="str">
        <f>IFERROR(INDEX('Blackout Brand Fam Areas (Enc)'!$D$6:$D$998,MATCH(UPPER(A2829)&amp;"|"&amp;UPPER(B2829),'Blackout Brand Fam Areas (Enc)'!$G$6:$G$998,0)),"No Match")</f>
        <v>No Match</v>
      </c>
      <c r="F2829" s="2" t="str">
        <f t="shared" si="88"/>
        <v>US</v>
      </c>
      <c r="G2829" s="2" t="str">
        <f t="shared" si="89"/>
        <v>Carinoso|MORRIS 1</v>
      </c>
    </row>
    <row r="2830" spans="1:7" x14ac:dyDescent="0.2">
      <c r="A2830" s="2" t="str" cm="1">
        <f t="array" ref="A2830">INDEX('[1]Brand Family Territory (Enc)'!$A$2:$A$296,INT((ROW()-2)/10)+1)</f>
        <v>Carinoso</v>
      </c>
      <c r="B2830" s="2" t="str" cm="1">
        <f t="array" ref="B2830">INDEX('Whitelist (Blackout Reverse)'!$B$1:$K$1,MOD(ROW()-2,10)+1)</f>
        <v>MORRIS 2</v>
      </c>
      <c r="C2830" s="2" t="str">
        <f>VLOOKUP(A2830,'[1]Brand Family Territory (Enc)'!$A$2:$B$296,2,FALSE)</f>
        <v>All Counties + Middlesex</v>
      </c>
      <c r="D2830" s="2">
        <f>IF(COUNTIFS('[1]Brand Family Territories (Enc)'!$B$2:$B$62,C2830,'[1]Brand Family Territories (Enc)'!$C$2:$C$62,B2830)&gt;0,1,IF(AND(LEFT(B2830,6)="MORRIS",COUNTIFS('[1]Brand Family Territories (Enc)'!$B$2:$B$62,C2830,'[1]Brand Family Territories (Enc)'!$C$2:$C$62,"Morri")&gt;0),"Unk",0))</f>
        <v>1</v>
      </c>
      <c r="E2830" s="2" t="str">
        <f>IFERROR(INDEX('Blackout Brand Fam Areas (Enc)'!$D$6:$D$998,MATCH(UPPER(A2830)&amp;"|"&amp;UPPER(B2830),'Blackout Brand Fam Areas (Enc)'!$G$6:$G$998,0)),"No Match")</f>
        <v>No Match</v>
      </c>
      <c r="F2830" s="2" t="str">
        <f t="shared" si="88"/>
        <v>US</v>
      </c>
      <c r="G2830" s="2" t="str">
        <f t="shared" si="89"/>
        <v>Carinoso|MORRIS 2</v>
      </c>
    </row>
    <row r="2831" spans="1:7" x14ac:dyDescent="0.2">
      <c r="A2831" s="2" t="str" cm="1">
        <f t="array" ref="A2831">INDEX('[1]Brand Family Territory (Enc)'!$A$2:$A$296,INT((ROW()-2)/10)+1)</f>
        <v>Carinoso</v>
      </c>
      <c r="B2831" s="2" t="str" cm="1">
        <f t="array" ref="B2831">INDEX('Whitelist (Blackout Reverse)'!$B$1:$K$1,MOD(ROW()-2,10)+1)</f>
        <v>MORRIS 3</v>
      </c>
      <c r="C2831" s="2" t="str">
        <f>VLOOKUP(A2831,'[1]Brand Family Territory (Enc)'!$A$2:$B$296,2,FALSE)</f>
        <v>All Counties + Middlesex</v>
      </c>
      <c r="D2831" s="2">
        <f>IF(COUNTIFS('[1]Brand Family Territories (Enc)'!$B$2:$B$62,C2831,'[1]Brand Family Territories (Enc)'!$C$2:$C$62,B2831)&gt;0,1,IF(AND(LEFT(B2831,6)="MORRIS",COUNTIFS('[1]Brand Family Territories (Enc)'!$B$2:$B$62,C2831,'[1]Brand Family Territories (Enc)'!$C$2:$C$62,"Morri")&gt;0),"Unk",0))</f>
        <v>1</v>
      </c>
      <c r="E2831" s="2" t="str">
        <f>IFERROR(INDEX('Blackout Brand Fam Areas (Enc)'!$D$6:$D$998,MATCH(UPPER(A2831)&amp;"|"&amp;UPPER(B2831),'Blackout Brand Fam Areas (Enc)'!$G$6:$G$998,0)),"No Match")</f>
        <v>No Match</v>
      </c>
      <c r="F2831" s="2" t="str">
        <f t="shared" si="88"/>
        <v>US</v>
      </c>
      <c r="G2831" s="2" t="str">
        <f t="shared" si="89"/>
        <v>Carinoso|MORRIS 3</v>
      </c>
    </row>
    <row r="2832" spans="1:7" x14ac:dyDescent="0.2">
      <c r="A2832" s="2" t="str" cm="1">
        <f t="array" ref="A2832">INDEX('[1]Brand Family Territory (Enc)'!$A$2:$A$296,INT((ROW()-2)/10)+1)</f>
        <v>Lock Stock &amp; Barrel</v>
      </c>
      <c r="B2832" s="2" t="str" cm="1">
        <f t="array" ref="B2832">INDEX('Whitelist (Blackout Reverse)'!$B$1:$K$1,MOD(ROW()-2,10)+1)</f>
        <v>BERGEN</v>
      </c>
      <c r="C2832" s="2" t="str">
        <f>VLOOKUP(A2832,'[1]Brand Family Territory (Enc)'!$A$2:$B$296,2,FALSE)</f>
        <v>Core Market</v>
      </c>
      <c r="D2832" s="2">
        <f>IF(COUNTIFS('[1]Brand Family Territories (Enc)'!$B$2:$B$62,C2832,'[1]Brand Family Territories (Enc)'!$C$2:$C$62,B2832)&gt;0,1,IF(AND(LEFT(B2832,6)="MORRIS",COUNTIFS('[1]Brand Family Territories (Enc)'!$B$2:$B$62,C2832,'[1]Brand Family Territories (Enc)'!$C$2:$C$62,"Morri")&gt;0),"Unk",0))</f>
        <v>1</v>
      </c>
      <c r="E2832" s="2" t="str">
        <f>IFERROR(INDEX('Blackout Brand Fam Areas (Enc)'!$D$6:$D$998,MATCH(UPPER(A2832)&amp;"|"&amp;UPPER(B2832),'Blackout Brand Fam Areas (Enc)'!$G$6:$G$998,0)),"No Match")</f>
        <v>No Match</v>
      </c>
      <c r="F2832" s="2" t="str">
        <f t="shared" si="88"/>
        <v>US</v>
      </c>
      <c r="G2832" s="2" t="str">
        <f t="shared" si="89"/>
        <v>Lock Stock &amp; Barrel|BERGEN</v>
      </c>
    </row>
    <row r="2833" spans="1:7" x14ac:dyDescent="0.2">
      <c r="A2833" s="2" t="str" cm="1">
        <f t="array" ref="A2833">INDEX('[1]Brand Family Territory (Enc)'!$A$2:$A$296,INT((ROW()-2)/10)+1)</f>
        <v>Lock Stock &amp; Barrel</v>
      </c>
      <c r="B2833" s="2" t="str" cm="1">
        <f t="array" ref="B2833">INDEX('Whitelist (Blackout Reverse)'!$B$1:$K$1,MOD(ROW()-2,10)+1)</f>
        <v>PASSAIC</v>
      </c>
      <c r="C2833" s="2" t="str">
        <f>VLOOKUP(A2833,'[1]Brand Family Territory (Enc)'!$A$2:$B$296,2,FALSE)</f>
        <v>Core Market</v>
      </c>
      <c r="D2833" s="2">
        <f>IF(COUNTIFS('[1]Brand Family Territories (Enc)'!$B$2:$B$62,C2833,'[1]Brand Family Territories (Enc)'!$C$2:$C$62,B2833)&gt;0,1,IF(AND(LEFT(B2833,6)="MORRIS",COUNTIFS('[1]Brand Family Territories (Enc)'!$B$2:$B$62,C2833,'[1]Brand Family Territories (Enc)'!$C$2:$C$62,"Morri")&gt;0),"Unk",0))</f>
        <v>1</v>
      </c>
      <c r="E2833" s="2" t="str">
        <f>IFERROR(INDEX('Blackout Brand Fam Areas (Enc)'!$D$6:$D$998,MATCH(UPPER(A2833)&amp;"|"&amp;UPPER(B2833),'Blackout Brand Fam Areas (Enc)'!$G$6:$G$998,0)),"No Match")</f>
        <v>No Match</v>
      </c>
      <c r="F2833" s="2" t="str">
        <f t="shared" si="88"/>
        <v>US</v>
      </c>
      <c r="G2833" s="2" t="str">
        <f t="shared" si="89"/>
        <v>Lock Stock &amp; Barrel|PASSAIC</v>
      </c>
    </row>
    <row r="2834" spans="1:7" x14ac:dyDescent="0.2">
      <c r="A2834" s="2" t="str" cm="1">
        <f t="array" ref="A2834">INDEX('[1]Brand Family Territory (Enc)'!$A$2:$A$296,INT((ROW()-2)/10)+1)</f>
        <v>Lock Stock &amp; Barrel</v>
      </c>
      <c r="B2834" s="2" t="str" cm="1">
        <f t="array" ref="B2834">INDEX('Whitelist (Blackout Reverse)'!$B$1:$K$1,MOD(ROW()-2,10)+1)</f>
        <v>PASSAIC-FF</v>
      </c>
      <c r="C2834" s="2" t="str">
        <f>VLOOKUP(A2834,'[1]Brand Family Territory (Enc)'!$A$2:$B$296,2,FALSE)</f>
        <v>Core Market</v>
      </c>
      <c r="D2834" s="2">
        <f>IF(COUNTIFS('[1]Brand Family Territories (Enc)'!$B$2:$B$62,C2834,'[1]Brand Family Territories (Enc)'!$C$2:$C$62,B2834)&gt;0,1,IF(AND(LEFT(B2834,6)="MORRIS",COUNTIFS('[1]Brand Family Territories (Enc)'!$B$2:$B$62,C2834,'[1]Brand Family Territories (Enc)'!$C$2:$C$62,"Morri")&gt;0),"Unk",0))</f>
        <v>1</v>
      </c>
      <c r="E2834" s="2" t="str">
        <f>IFERROR(INDEX('Blackout Brand Fam Areas (Enc)'!$D$6:$D$998,MATCH(UPPER(A2834)&amp;"|"&amp;UPPER(B2834),'Blackout Brand Fam Areas (Enc)'!$G$6:$G$998,0)),"No Match")</f>
        <v>No Match</v>
      </c>
      <c r="F2834" s="2" t="str">
        <f t="shared" si="88"/>
        <v>US</v>
      </c>
      <c r="G2834" s="2" t="str">
        <f t="shared" si="89"/>
        <v>Lock Stock &amp; Barrel|PASSAIC-FF</v>
      </c>
    </row>
    <row r="2835" spans="1:7" x14ac:dyDescent="0.2">
      <c r="A2835" s="2" t="str" cm="1">
        <f t="array" ref="A2835">INDEX('[1]Brand Family Territory (Enc)'!$A$2:$A$296,INT((ROW()-2)/10)+1)</f>
        <v>Lock Stock &amp; Barrel</v>
      </c>
      <c r="B2835" s="2" t="str" cm="1">
        <f t="array" ref="B2835">INDEX('Whitelist (Blackout Reverse)'!$B$1:$K$1,MOD(ROW()-2,10)+1)</f>
        <v>ESSEX</v>
      </c>
      <c r="C2835" s="2" t="str">
        <f>VLOOKUP(A2835,'[1]Brand Family Territory (Enc)'!$A$2:$B$296,2,FALSE)</f>
        <v>Core Market</v>
      </c>
      <c r="D2835" s="2">
        <f>IF(COUNTIFS('[1]Brand Family Territories (Enc)'!$B$2:$B$62,C2835,'[1]Brand Family Territories (Enc)'!$C$2:$C$62,B2835)&gt;0,1,IF(AND(LEFT(B2835,6)="MORRIS",COUNTIFS('[1]Brand Family Territories (Enc)'!$B$2:$B$62,C2835,'[1]Brand Family Territories (Enc)'!$C$2:$C$62,"Morri")&gt;0),"Unk",0))</f>
        <v>0</v>
      </c>
      <c r="E2835" s="2" t="str">
        <f>IFERROR(INDEX('Blackout Brand Fam Areas (Enc)'!$D$6:$D$998,MATCH(UPPER(A2835)&amp;"|"&amp;UPPER(B2835),'Blackout Brand Fam Areas (Enc)'!$G$6:$G$998,0)),"No Match")</f>
        <v>No Match</v>
      </c>
      <c r="F2835" s="2" t="str">
        <f t="shared" si="88"/>
        <v>THEM</v>
      </c>
      <c r="G2835" s="2" t="str">
        <f t="shared" si="89"/>
        <v>Lock Stock &amp; Barrel|ESSEX</v>
      </c>
    </row>
    <row r="2836" spans="1:7" x14ac:dyDescent="0.2">
      <c r="A2836" s="2" t="str" cm="1">
        <f t="array" ref="A2836">INDEX('[1]Brand Family Territory (Enc)'!$A$2:$A$296,INT((ROW()-2)/10)+1)</f>
        <v>Lock Stock &amp; Barrel</v>
      </c>
      <c r="B2836" s="2" t="str" cm="1">
        <f t="array" ref="B2836">INDEX('Whitelist (Blackout Reverse)'!$B$1:$K$1,MOD(ROW()-2,10)+1)</f>
        <v>HUDSON</v>
      </c>
      <c r="C2836" s="2" t="str">
        <f>VLOOKUP(A2836,'[1]Brand Family Territory (Enc)'!$A$2:$B$296,2,FALSE)</f>
        <v>Core Market</v>
      </c>
      <c r="D2836" s="2">
        <f>IF(COUNTIFS('[1]Brand Family Territories (Enc)'!$B$2:$B$62,C2836,'[1]Brand Family Territories (Enc)'!$C$2:$C$62,B2836)&gt;0,1,IF(AND(LEFT(B2836,6)="MORRIS",COUNTIFS('[1]Brand Family Territories (Enc)'!$B$2:$B$62,C2836,'[1]Brand Family Territories (Enc)'!$C$2:$C$62,"Morri")&gt;0),"Unk",0))</f>
        <v>0</v>
      </c>
      <c r="E2836" s="2" t="str">
        <f>IFERROR(INDEX('Blackout Brand Fam Areas (Enc)'!$D$6:$D$998,MATCH(UPPER(A2836)&amp;"|"&amp;UPPER(B2836),'Blackout Brand Fam Areas (Enc)'!$G$6:$G$998,0)),"No Match")</f>
        <v>No Match</v>
      </c>
      <c r="F2836" s="2" t="str">
        <f t="shared" si="88"/>
        <v>THEM</v>
      </c>
      <c r="G2836" s="2" t="str">
        <f t="shared" si="89"/>
        <v>Lock Stock &amp; Barrel|HUDSON</v>
      </c>
    </row>
    <row r="2837" spans="1:7" x14ac:dyDescent="0.2">
      <c r="A2837" s="2" t="str" cm="1">
        <f t="array" ref="A2837">INDEX('[1]Brand Family Territory (Enc)'!$A$2:$A$296,INT((ROW()-2)/10)+1)</f>
        <v>Lock Stock &amp; Barrel</v>
      </c>
      <c r="B2837" s="2" t="str" cm="1">
        <f t="array" ref="B2837">INDEX('Whitelist (Blackout Reverse)'!$B$1:$K$1,MOD(ROW()-2,10)+1)</f>
        <v>UNION</v>
      </c>
      <c r="C2837" s="2" t="str">
        <f>VLOOKUP(A2837,'[1]Brand Family Territory (Enc)'!$A$2:$B$296,2,FALSE)</f>
        <v>Core Market</v>
      </c>
      <c r="D2837" s="2">
        <f>IF(COUNTIFS('[1]Brand Family Territories (Enc)'!$B$2:$B$62,C2837,'[1]Brand Family Territories (Enc)'!$C$2:$C$62,B2837)&gt;0,1,IF(AND(LEFT(B2837,6)="MORRIS",COUNTIFS('[1]Brand Family Territories (Enc)'!$B$2:$B$62,C2837,'[1]Brand Family Territories (Enc)'!$C$2:$C$62,"Morri")&gt;0),"Unk",0))</f>
        <v>0</v>
      </c>
      <c r="E2837" s="2" t="str">
        <f>IFERROR(INDEX('Blackout Brand Fam Areas (Enc)'!$D$6:$D$998,MATCH(UPPER(A2837)&amp;"|"&amp;UPPER(B2837),'Blackout Brand Fam Areas (Enc)'!$G$6:$G$998,0)),"No Match")</f>
        <v>No Match</v>
      </c>
      <c r="F2837" s="2" t="str">
        <f t="shared" si="88"/>
        <v>THEM</v>
      </c>
      <c r="G2837" s="2" t="str">
        <f t="shared" si="89"/>
        <v>Lock Stock &amp; Barrel|UNION</v>
      </c>
    </row>
    <row r="2838" spans="1:7" x14ac:dyDescent="0.2">
      <c r="A2838" s="2" t="str" cm="1">
        <f t="array" ref="A2838">INDEX('[1]Brand Family Territory (Enc)'!$A$2:$A$296,INT((ROW()-2)/10)+1)</f>
        <v>Lock Stock &amp; Barrel</v>
      </c>
      <c r="B2838" s="2" t="str" cm="1">
        <f t="array" ref="B2838">INDEX('Whitelist (Blackout Reverse)'!$B$1:$K$1,MOD(ROW()-2,10)+1)</f>
        <v>SUSSEX</v>
      </c>
      <c r="C2838" s="2" t="str">
        <f>VLOOKUP(A2838,'[1]Brand Family Territory (Enc)'!$A$2:$B$296,2,FALSE)</f>
        <v>Core Market</v>
      </c>
      <c r="D2838" s="2">
        <f>IF(COUNTIFS('[1]Brand Family Territories (Enc)'!$B$2:$B$62,C2838,'[1]Brand Family Territories (Enc)'!$C$2:$C$62,B2838)&gt;0,1,IF(AND(LEFT(B2838,6)="MORRIS",COUNTIFS('[1]Brand Family Territories (Enc)'!$B$2:$B$62,C2838,'[1]Brand Family Territories (Enc)'!$C$2:$C$62,"Morri")&gt;0),"Unk",0))</f>
        <v>1</v>
      </c>
      <c r="E2838" s="2" t="str">
        <f>IFERROR(INDEX('Blackout Brand Fam Areas (Enc)'!$D$6:$D$998,MATCH(UPPER(A2838)&amp;"|"&amp;UPPER(B2838),'Blackout Brand Fam Areas (Enc)'!$G$6:$G$998,0)),"No Match")</f>
        <v>No Match</v>
      </c>
      <c r="F2838" s="2" t="str">
        <f t="shared" si="88"/>
        <v>US</v>
      </c>
      <c r="G2838" s="2" t="str">
        <f t="shared" si="89"/>
        <v>Lock Stock &amp; Barrel|SUSSEX</v>
      </c>
    </row>
    <row r="2839" spans="1:7" x14ac:dyDescent="0.2">
      <c r="A2839" s="2" t="str" cm="1">
        <f t="array" ref="A2839">INDEX('[1]Brand Family Territory (Enc)'!$A$2:$A$296,INT((ROW()-2)/10)+1)</f>
        <v>Lock Stock &amp; Barrel</v>
      </c>
      <c r="B2839" s="2" t="str" cm="1">
        <f t="array" ref="B2839">INDEX('Whitelist (Blackout Reverse)'!$B$1:$K$1,MOD(ROW()-2,10)+1)</f>
        <v>MORRIS 1</v>
      </c>
      <c r="C2839" s="2" t="str">
        <f>VLOOKUP(A2839,'[1]Brand Family Territory (Enc)'!$A$2:$B$296,2,FALSE)</f>
        <v>Core Market</v>
      </c>
      <c r="D2839" s="2">
        <f>IF(COUNTIFS('[1]Brand Family Territories (Enc)'!$B$2:$B$62,C2839,'[1]Brand Family Territories (Enc)'!$C$2:$C$62,B2839)&gt;0,1,IF(AND(LEFT(B2839,6)="MORRIS",COUNTIFS('[1]Brand Family Territories (Enc)'!$B$2:$B$62,C2839,'[1]Brand Family Territories (Enc)'!$C$2:$C$62,"Morri")&gt;0),"Unk",0))</f>
        <v>1</v>
      </c>
      <c r="E2839" s="2" t="str">
        <f>IFERROR(INDEX('Blackout Brand Fam Areas (Enc)'!$D$6:$D$998,MATCH(UPPER(A2839)&amp;"|"&amp;UPPER(B2839),'Blackout Brand Fam Areas (Enc)'!$G$6:$G$998,0)),"No Match")</f>
        <v>No Match</v>
      </c>
      <c r="F2839" s="2" t="str">
        <f t="shared" si="88"/>
        <v>US</v>
      </c>
      <c r="G2839" s="2" t="str">
        <f t="shared" si="89"/>
        <v>Lock Stock &amp; Barrel|MORRIS 1</v>
      </c>
    </row>
    <row r="2840" spans="1:7" x14ac:dyDescent="0.2">
      <c r="A2840" s="2" t="str" cm="1">
        <f t="array" ref="A2840">INDEX('[1]Brand Family Territory (Enc)'!$A$2:$A$296,INT((ROW()-2)/10)+1)</f>
        <v>Lock Stock &amp; Barrel</v>
      </c>
      <c r="B2840" s="2" t="str" cm="1">
        <f t="array" ref="B2840">INDEX('Whitelist (Blackout Reverse)'!$B$1:$K$1,MOD(ROW()-2,10)+1)</f>
        <v>MORRIS 2</v>
      </c>
      <c r="C2840" s="2" t="str">
        <f>VLOOKUP(A2840,'[1]Brand Family Territory (Enc)'!$A$2:$B$296,2,FALSE)</f>
        <v>Core Market</v>
      </c>
      <c r="D2840" s="2">
        <f>IF(COUNTIFS('[1]Brand Family Territories (Enc)'!$B$2:$B$62,C2840,'[1]Brand Family Territories (Enc)'!$C$2:$C$62,B2840)&gt;0,1,IF(AND(LEFT(B2840,6)="MORRIS",COUNTIFS('[1]Brand Family Territories (Enc)'!$B$2:$B$62,C2840,'[1]Brand Family Territories (Enc)'!$C$2:$C$62,"Morri")&gt;0),"Unk",0))</f>
        <v>0</v>
      </c>
      <c r="E2840" s="2" t="str">
        <f>IFERROR(INDEX('Blackout Brand Fam Areas (Enc)'!$D$6:$D$998,MATCH(UPPER(A2840)&amp;"|"&amp;UPPER(B2840),'Blackout Brand Fam Areas (Enc)'!$G$6:$G$998,0)),"No Match")</f>
        <v>No Match</v>
      </c>
      <c r="F2840" s="2" t="str">
        <f t="shared" si="88"/>
        <v>THEM</v>
      </c>
      <c r="G2840" s="2" t="str">
        <f t="shared" si="89"/>
        <v>Lock Stock &amp; Barrel|MORRIS 2</v>
      </c>
    </row>
    <row r="2841" spans="1:7" x14ac:dyDescent="0.2">
      <c r="A2841" s="2" t="str" cm="1">
        <f t="array" ref="A2841">INDEX('[1]Brand Family Territory (Enc)'!$A$2:$A$296,INT((ROW()-2)/10)+1)</f>
        <v>Lock Stock &amp; Barrel</v>
      </c>
      <c r="B2841" s="2" t="str" cm="1">
        <f t="array" ref="B2841">INDEX('Whitelist (Blackout Reverse)'!$B$1:$K$1,MOD(ROW()-2,10)+1)</f>
        <v>MORRIS 3</v>
      </c>
      <c r="C2841" s="2" t="str">
        <f>VLOOKUP(A2841,'[1]Brand Family Territory (Enc)'!$A$2:$B$296,2,FALSE)</f>
        <v>Core Market</v>
      </c>
      <c r="D2841" s="2">
        <f>IF(COUNTIFS('[1]Brand Family Territories (Enc)'!$B$2:$B$62,C2841,'[1]Brand Family Territories (Enc)'!$C$2:$C$62,B2841)&gt;0,1,IF(AND(LEFT(B2841,6)="MORRIS",COUNTIFS('[1]Brand Family Territories (Enc)'!$B$2:$B$62,C2841,'[1]Brand Family Territories (Enc)'!$C$2:$C$62,"Morri")&gt;0),"Unk",0))</f>
        <v>1</v>
      </c>
      <c r="E2841" s="2" t="str">
        <f>IFERROR(INDEX('Blackout Brand Fam Areas (Enc)'!$D$6:$D$998,MATCH(UPPER(A2841)&amp;"|"&amp;UPPER(B2841),'Blackout Brand Fam Areas (Enc)'!$G$6:$G$998,0)),"No Match")</f>
        <v>No Match</v>
      </c>
      <c r="F2841" s="2" t="str">
        <f t="shared" si="88"/>
        <v>US</v>
      </c>
      <c r="G2841" s="2" t="str">
        <f t="shared" si="89"/>
        <v>Lock Stock &amp; Barrel|MORRIS 3</v>
      </c>
    </row>
    <row r="2842" spans="1:7" x14ac:dyDescent="0.2">
      <c r="A2842" s="2" t="str" cm="1">
        <f t="array" ref="A2842">INDEX('[1]Brand Family Territory (Enc)'!$A$2:$A$296,INT((ROW()-2)/10)+1)</f>
        <v>Shabo Wine</v>
      </c>
      <c r="B2842" s="2" t="str" cm="1">
        <f t="array" ref="B2842">INDEX('Whitelist (Blackout Reverse)'!$B$1:$K$1,MOD(ROW()-2,10)+1)</f>
        <v>BERGEN</v>
      </c>
      <c r="C2842" s="2" t="str">
        <f>VLOOKUP(A2842,'[1]Brand Family Territory (Enc)'!$A$2:$B$296,2,FALSE)</f>
        <v>Core Market</v>
      </c>
      <c r="D2842" s="2">
        <f>IF(COUNTIFS('[1]Brand Family Territories (Enc)'!$B$2:$B$62,C2842,'[1]Brand Family Territories (Enc)'!$C$2:$C$62,B2842)&gt;0,1,IF(AND(LEFT(B2842,6)="MORRIS",COUNTIFS('[1]Brand Family Territories (Enc)'!$B$2:$B$62,C2842,'[1]Brand Family Territories (Enc)'!$C$2:$C$62,"Morri")&gt;0),"Unk",0))</f>
        <v>1</v>
      </c>
      <c r="E2842" s="2" t="str">
        <f>IFERROR(INDEX('Blackout Brand Fam Areas (Enc)'!$D$6:$D$998,MATCH(UPPER(A2842)&amp;"|"&amp;UPPER(B2842),'Blackout Brand Fam Areas (Enc)'!$G$6:$G$998,0)),"No Match")</f>
        <v>No Match</v>
      </c>
      <c r="F2842" s="2" t="str">
        <f t="shared" si="88"/>
        <v>US</v>
      </c>
      <c r="G2842" s="2" t="str">
        <f t="shared" si="89"/>
        <v>Shabo Wine|BERGEN</v>
      </c>
    </row>
    <row r="2843" spans="1:7" x14ac:dyDescent="0.2">
      <c r="A2843" s="2" t="str" cm="1">
        <f t="array" ref="A2843">INDEX('[1]Brand Family Territory (Enc)'!$A$2:$A$296,INT((ROW()-2)/10)+1)</f>
        <v>Shabo Wine</v>
      </c>
      <c r="B2843" s="2" t="str" cm="1">
        <f t="array" ref="B2843">INDEX('Whitelist (Blackout Reverse)'!$B$1:$K$1,MOD(ROW()-2,10)+1)</f>
        <v>PASSAIC</v>
      </c>
      <c r="C2843" s="2" t="str">
        <f>VLOOKUP(A2843,'[1]Brand Family Territory (Enc)'!$A$2:$B$296,2,FALSE)</f>
        <v>Core Market</v>
      </c>
      <c r="D2843" s="2">
        <f>IF(COUNTIFS('[1]Brand Family Territories (Enc)'!$B$2:$B$62,C2843,'[1]Brand Family Territories (Enc)'!$C$2:$C$62,B2843)&gt;0,1,IF(AND(LEFT(B2843,6)="MORRIS",COUNTIFS('[1]Brand Family Territories (Enc)'!$B$2:$B$62,C2843,'[1]Brand Family Territories (Enc)'!$C$2:$C$62,"Morri")&gt;0),"Unk",0))</f>
        <v>1</v>
      </c>
      <c r="E2843" s="2" t="str">
        <f>IFERROR(INDEX('Blackout Brand Fam Areas (Enc)'!$D$6:$D$998,MATCH(UPPER(A2843)&amp;"|"&amp;UPPER(B2843),'Blackout Brand Fam Areas (Enc)'!$G$6:$G$998,0)),"No Match")</f>
        <v>No Match</v>
      </c>
      <c r="F2843" s="2" t="str">
        <f t="shared" si="88"/>
        <v>US</v>
      </c>
      <c r="G2843" s="2" t="str">
        <f t="shared" si="89"/>
        <v>Shabo Wine|PASSAIC</v>
      </c>
    </row>
    <row r="2844" spans="1:7" x14ac:dyDescent="0.2">
      <c r="A2844" s="2" t="str" cm="1">
        <f t="array" ref="A2844">INDEX('[1]Brand Family Territory (Enc)'!$A$2:$A$296,INT((ROW()-2)/10)+1)</f>
        <v>Shabo Wine</v>
      </c>
      <c r="B2844" s="2" t="str" cm="1">
        <f t="array" ref="B2844">INDEX('Whitelist (Blackout Reverse)'!$B$1:$K$1,MOD(ROW()-2,10)+1)</f>
        <v>PASSAIC-FF</v>
      </c>
      <c r="C2844" s="2" t="str">
        <f>VLOOKUP(A2844,'[1]Brand Family Territory (Enc)'!$A$2:$B$296,2,FALSE)</f>
        <v>Core Market</v>
      </c>
      <c r="D2844" s="2">
        <f>IF(COUNTIFS('[1]Brand Family Territories (Enc)'!$B$2:$B$62,C2844,'[1]Brand Family Territories (Enc)'!$C$2:$C$62,B2844)&gt;0,1,IF(AND(LEFT(B2844,6)="MORRIS",COUNTIFS('[1]Brand Family Territories (Enc)'!$B$2:$B$62,C2844,'[1]Brand Family Territories (Enc)'!$C$2:$C$62,"Morri")&gt;0),"Unk",0))</f>
        <v>1</v>
      </c>
      <c r="E2844" s="2" t="str">
        <f>IFERROR(INDEX('Blackout Brand Fam Areas (Enc)'!$D$6:$D$998,MATCH(UPPER(A2844)&amp;"|"&amp;UPPER(B2844),'Blackout Brand Fam Areas (Enc)'!$G$6:$G$998,0)),"No Match")</f>
        <v>No Match</v>
      </c>
      <c r="F2844" s="2" t="str">
        <f t="shared" si="88"/>
        <v>US</v>
      </c>
      <c r="G2844" s="2" t="str">
        <f t="shared" si="89"/>
        <v>Shabo Wine|PASSAIC-FF</v>
      </c>
    </row>
    <row r="2845" spans="1:7" x14ac:dyDescent="0.2">
      <c r="A2845" s="2" t="str" cm="1">
        <f t="array" ref="A2845">INDEX('[1]Brand Family Territory (Enc)'!$A$2:$A$296,INT((ROW()-2)/10)+1)</f>
        <v>Shabo Wine</v>
      </c>
      <c r="B2845" s="2" t="str" cm="1">
        <f t="array" ref="B2845">INDEX('Whitelist (Blackout Reverse)'!$B$1:$K$1,MOD(ROW()-2,10)+1)</f>
        <v>ESSEX</v>
      </c>
      <c r="C2845" s="2" t="str">
        <f>VLOOKUP(A2845,'[1]Brand Family Territory (Enc)'!$A$2:$B$296,2,FALSE)</f>
        <v>Core Market</v>
      </c>
      <c r="D2845" s="2">
        <f>IF(COUNTIFS('[1]Brand Family Territories (Enc)'!$B$2:$B$62,C2845,'[1]Brand Family Territories (Enc)'!$C$2:$C$62,B2845)&gt;0,1,IF(AND(LEFT(B2845,6)="MORRIS",COUNTIFS('[1]Brand Family Territories (Enc)'!$B$2:$B$62,C2845,'[1]Brand Family Territories (Enc)'!$C$2:$C$62,"Morri")&gt;0),"Unk",0))</f>
        <v>0</v>
      </c>
      <c r="E2845" s="2" t="str">
        <f>IFERROR(INDEX('Blackout Brand Fam Areas (Enc)'!$D$6:$D$998,MATCH(UPPER(A2845)&amp;"|"&amp;UPPER(B2845),'Blackout Brand Fam Areas (Enc)'!$G$6:$G$998,0)),"No Match")</f>
        <v>No Match</v>
      </c>
      <c r="F2845" s="2" t="str">
        <f t="shared" si="88"/>
        <v>THEM</v>
      </c>
      <c r="G2845" s="2" t="str">
        <f t="shared" si="89"/>
        <v>Shabo Wine|ESSEX</v>
      </c>
    </row>
    <row r="2846" spans="1:7" x14ac:dyDescent="0.2">
      <c r="A2846" s="2" t="str" cm="1">
        <f t="array" ref="A2846">INDEX('[1]Brand Family Territory (Enc)'!$A$2:$A$296,INT((ROW()-2)/10)+1)</f>
        <v>Shabo Wine</v>
      </c>
      <c r="B2846" s="2" t="str" cm="1">
        <f t="array" ref="B2846">INDEX('Whitelist (Blackout Reverse)'!$B$1:$K$1,MOD(ROW()-2,10)+1)</f>
        <v>HUDSON</v>
      </c>
      <c r="C2846" s="2" t="str">
        <f>VLOOKUP(A2846,'[1]Brand Family Territory (Enc)'!$A$2:$B$296,2,FALSE)</f>
        <v>Core Market</v>
      </c>
      <c r="D2846" s="2">
        <f>IF(COUNTIFS('[1]Brand Family Territories (Enc)'!$B$2:$B$62,C2846,'[1]Brand Family Territories (Enc)'!$C$2:$C$62,B2846)&gt;0,1,IF(AND(LEFT(B2846,6)="MORRIS",COUNTIFS('[1]Brand Family Territories (Enc)'!$B$2:$B$62,C2846,'[1]Brand Family Territories (Enc)'!$C$2:$C$62,"Morri")&gt;0),"Unk",0))</f>
        <v>0</v>
      </c>
      <c r="E2846" s="2" t="str">
        <f>IFERROR(INDEX('Blackout Brand Fam Areas (Enc)'!$D$6:$D$998,MATCH(UPPER(A2846)&amp;"|"&amp;UPPER(B2846),'Blackout Brand Fam Areas (Enc)'!$G$6:$G$998,0)),"No Match")</f>
        <v>No Match</v>
      </c>
      <c r="F2846" s="2" t="str">
        <f t="shared" si="88"/>
        <v>THEM</v>
      </c>
      <c r="G2846" s="2" t="str">
        <f t="shared" si="89"/>
        <v>Shabo Wine|HUDSON</v>
      </c>
    </row>
    <row r="2847" spans="1:7" x14ac:dyDescent="0.2">
      <c r="A2847" s="2" t="str" cm="1">
        <f t="array" ref="A2847">INDEX('[1]Brand Family Territory (Enc)'!$A$2:$A$296,INT((ROW()-2)/10)+1)</f>
        <v>Shabo Wine</v>
      </c>
      <c r="B2847" s="2" t="str" cm="1">
        <f t="array" ref="B2847">INDEX('Whitelist (Blackout Reverse)'!$B$1:$K$1,MOD(ROW()-2,10)+1)</f>
        <v>UNION</v>
      </c>
      <c r="C2847" s="2" t="str">
        <f>VLOOKUP(A2847,'[1]Brand Family Territory (Enc)'!$A$2:$B$296,2,FALSE)</f>
        <v>Core Market</v>
      </c>
      <c r="D2847" s="2">
        <f>IF(COUNTIFS('[1]Brand Family Territories (Enc)'!$B$2:$B$62,C2847,'[1]Brand Family Territories (Enc)'!$C$2:$C$62,B2847)&gt;0,1,IF(AND(LEFT(B2847,6)="MORRIS",COUNTIFS('[1]Brand Family Territories (Enc)'!$B$2:$B$62,C2847,'[1]Brand Family Territories (Enc)'!$C$2:$C$62,"Morri")&gt;0),"Unk",0))</f>
        <v>0</v>
      </c>
      <c r="E2847" s="2" t="str">
        <f>IFERROR(INDEX('Blackout Brand Fam Areas (Enc)'!$D$6:$D$998,MATCH(UPPER(A2847)&amp;"|"&amp;UPPER(B2847),'Blackout Brand Fam Areas (Enc)'!$G$6:$G$998,0)),"No Match")</f>
        <v>No Match</v>
      </c>
      <c r="F2847" s="2" t="str">
        <f t="shared" si="88"/>
        <v>THEM</v>
      </c>
      <c r="G2847" s="2" t="str">
        <f t="shared" si="89"/>
        <v>Shabo Wine|UNION</v>
      </c>
    </row>
    <row r="2848" spans="1:7" x14ac:dyDescent="0.2">
      <c r="A2848" s="2" t="str" cm="1">
        <f t="array" ref="A2848">INDEX('[1]Brand Family Territory (Enc)'!$A$2:$A$296,INT((ROW()-2)/10)+1)</f>
        <v>Shabo Wine</v>
      </c>
      <c r="B2848" s="2" t="str" cm="1">
        <f t="array" ref="B2848">INDEX('Whitelist (Blackout Reverse)'!$B$1:$K$1,MOD(ROW()-2,10)+1)</f>
        <v>SUSSEX</v>
      </c>
      <c r="C2848" s="2" t="str">
        <f>VLOOKUP(A2848,'[1]Brand Family Territory (Enc)'!$A$2:$B$296,2,FALSE)</f>
        <v>Core Market</v>
      </c>
      <c r="D2848" s="2">
        <f>IF(COUNTIFS('[1]Brand Family Territories (Enc)'!$B$2:$B$62,C2848,'[1]Brand Family Territories (Enc)'!$C$2:$C$62,B2848)&gt;0,1,IF(AND(LEFT(B2848,6)="MORRIS",COUNTIFS('[1]Brand Family Territories (Enc)'!$B$2:$B$62,C2848,'[1]Brand Family Territories (Enc)'!$C$2:$C$62,"Morri")&gt;0),"Unk",0))</f>
        <v>1</v>
      </c>
      <c r="E2848" s="2" t="str">
        <f>IFERROR(INDEX('Blackout Brand Fam Areas (Enc)'!$D$6:$D$998,MATCH(UPPER(A2848)&amp;"|"&amp;UPPER(B2848),'Blackout Brand Fam Areas (Enc)'!$G$6:$G$998,0)),"No Match")</f>
        <v>No Match</v>
      </c>
      <c r="F2848" s="2" t="str">
        <f t="shared" si="88"/>
        <v>US</v>
      </c>
      <c r="G2848" s="2" t="str">
        <f t="shared" si="89"/>
        <v>Shabo Wine|SUSSEX</v>
      </c>
    </row>
    <row r="2849" spans="1:7" x14ac:dyDescent="0.2">
      <c r="A2849" s="2" t="str" cm="1">
        <f t="array" ref="A2849">INDEX('[1]Brand Family Territory (Enc)'!$A$2:$A$296,INT((ROW()-2)/10)+1)</f>
        <v>Shabo Wine</v>
      </c>
      <c r="B2849" s="2" t="str" cm="1">
        <f t="array" ref="B2849">INDEX('Whitelist (Blackout Reverse)'!$B$1:$K$1,MOD(ROW()-2,10)+1)</f>
        <v>MORRIS 1</v>
      </c>
      <c r="C2849" s="2" t="str">
        <f>VLOOKUP(A2849,'[1]Brand Family Territory (Enc)'!$A$2:$B$296,2,FALSE)</f>
        <v>Core Market</v>
      </c>
      <c r="D2849" s="2">
        <f>IF(COUNTIFS('[1]Brand Family Territories (Enc)'!$B$2:$B$62,C2849,'[1]Brand Family Territories (Enc)'!$C$2:$C$62,B2849)&gt;0,1,IF(AND(LEFT(B2849,6)="MORRIS",COUNTIFS('[1]Brand Family Territories (Enc)'!$B$2:$B$62,C2849,'[1]Brand Family Territories (Enc)'!$C$2:$C$62,"Morri")&gt;0),"Unk",0))</f>
        <v>1</v>
      </c>
      <c r="E2849" s="2" t="str">
        <f>IFERROR(INDEX('Blackout Brand Fam Areas (Enc)'!$D$6:$D$998,MATCH(UPPER(A2849)&amp;"|"&amp;UPPER(B2849),'Blackout Brand Fam Areas (Enc)'!$G$6:$G$998,0)),"No Match")</f>
        <v>No Match</v>
      </c>
      <c r="F2849" s="2" t="str">
        <f t="shared" si="88"/>
        <v>US</v>
      </c>
      <c r="G2849" s="2" t="str">
        <f t="shared" si="89"/>
        <v>Shabo Wine|MORRIS 1</v>
      </c>
    </row>
    <row r="2850" spans="1:7" x14ac:dyDescent="0.2">
      <c r="A2850" s="2" t="str" cm="1">
        <f t="array" ref="A2850">INDEX('[1]Brand Family Territory (Enc)'!$A$2:$A$296,INT((ROW()-2)/10)+1)</f>
        <v>Shabo Wine</v>
      </c>
      <c r="B2850" s="2" t="str" cm="1">
        <f t="array" ref="B2850">INDEX('Whitelist (Blackout Reverse)'!$B$1:$K$1,MOD(ROW()-2,10)+1)</f>
        <v>MORRIS 2</v>
      </c>
      <c r="C2850" s="2" t="str">
        <f>VLOOKUP(A2850,'[1]Brand Family Territory (Enc)'!$A$2:$B$296,2,FALSE)</f>
        <v>Core Market</v>
      </c>
      <c r="D2850" s="2">
        <f>IF(COUNTIFS('[1]Brand Family Territories (Enc)'!$B$2:$B$62,C2850,'[1]Brand Family Territories (Enc)'!$C$2:$C$62,B2850)&gt;0,1,IF(AND(LEFT(B2850,6)="MORRIS",COUNTIFS('[1]Brand Family Territories (Enc)'!$B$2:$B$62,C2850,'[1]Brand Family Territories (Enc)'!$C$2:$C$62,"Morri")&gt;0),"Unk",0))</f>
        <v>0</v>
      </c>
      <c r="E2850" s="2" t="str">
        <f>IFERROR(INDEX('Blackout Brand Fam Areas (Enc)'!$D$6:$D$998,MATCH(UPPER(A2850)&amp;"|"&amp;UPPER(B2850),'Blackout Brand Fam Areas (Enc)'!$G$6:$G$998,0)),"No Match")</f>
        <v>No Match</v>
      </c>
      <c r="F2850" s="2" t="str">
        <f t="shared" si="88"/>
        <v>THEM</v>
      </c>
      <c r="G2850" s="2" t="str">
        <f t="shared" si="89"/>
        <v>Shabo Wine|MORRIS 2</v>
      </c>
    </row>
    <row r="2851" spans="1:7" x14ac:dyDescent="0.2">
      <c r="A2851" s="2" t="str" cm="1">
        <f t="array" ref="A2851">INDEX('[1]Brand Family Territory (Enc)'!$A$2:$A$296,INT((ROW()-2)/10)+1)</f>
        <v>Shabo Wine</v>
      </c>
      <c r="B2851" s="2" t="str" cm="1">
        <f t="array" ref="B2851">INDEX('Whitelist (Blackout Reverse)'!$B$1:$K$1,MOD(ROW()-2,10)+1)</f>
        <v>MORRIS 3</v>
      </c>
      <c r="C2851" s="2" t="str">
        <f>VLOOKUP(A2851,'[1]Brand Family Territory (Enc)'!$A$2:$B$296,2,FALSE)</f>
        <v>Core Market</v>
      </c>
      <c r="D2851" s="2">
        <f>IF(COUNTIFS('[1]Brand Family Territories (Enc)'!$B$2:$B$62,C2851,'[1]Brand Family Territories (Enc)'!$C$2:$C$62,B2851)&gt;0,1,IF(AND(LEFT(B2851,6)="MORRIS",COUNTIFS('[1]Brand Family Territories (Enc)'!$B$2:$B$62,C2851,'[1]Brand Family Territories (Enc)'!$C$2:$C$62,"Morri")&gt;0),"Unk",0))</f>
        <v>1</v>
      </c>
      <c r="E2851" s="2" t="str">
        <f>IFERROR(INDEX('Blackout Brand Fam Areas (Enc)'!$D$6:$D$998,MATCH(UPPER(A2851)&amp;"|"&amp;UPPER(B2851),'Blackout Brand Fam Areas (Enc)'!$G$6:$G$998,0)),"No Match")</f>
        <v>No Match</v>
      </c>
      <c r="F2851" s="2" t="str">
        <f t="shared" si="88"/>
        <v>US</v>
      </c>
      <c r="G2851" s="2" t="str">
        <f t="shared" si="89"/>
        <v>Shabo Wine|MORRIS 3</v>
      </c>
    </row>
    <row r="2852" spans="1:7" x14ac:dyDescent="0.2">
      <c r="A2852" s="2" t="str" cm="1">
        <f t="array" ref="A2852">INDEX('[1]Brand Family Territory (Enc)'!$A$2:$A$296,INT((ROW()-2)/10)+1)</f>
        <v>Hetman Vodka</v>
      </c>
      <c r="B2852" s="2" t="str" cm="1">
        <f t="array" ref="B2852">INDEX('Whitelist (Blackout Reverse)'!$B$1:$K$1,MOD(ROW()-2,10)+1)</f>
        <v>BERGEN</v>
      </c>
      <c r="C2852" s="2" t="str">
        <f>VLOOKUP(A2852,'[1]Brand Family Territory (Enc)'!$A$2:$B$296,2,FALSE)</f>
        <v>Core Market</v>
      </c>
      <c r="D2852" s="2">
        <f>IF(COUNTIFS('[1]Brand Family Territories (Enc)'!$B$2:$B$62,C2852,'[1]Brand Family Territories (Enc)'!$C$2:$C$62,B2852)&gt;0,1,IF(AND(LEFT(B2852,6)="MORRIS",COUNTIFS('[1]Brand Family Territories (Enc)'!$B$2:$B$62,C2852,'[1]Brand Family Territories (Enc)'!$C$2:$C$62,"Morri")&gt;0),"Unk",0))</f>
        <v>1</v>
      </c>
      <c r="E2852" s="2" t="str">
        <f>IFERROR(INDEX('Blackout Brand Fam Areas (Enc)'!$D$6:$D$998,MATCH(UPPER(A2852)&amp;"|"&amp;UPPER(B2852),'Blackout Brand Fam Areas (Enc)'!$G$6:$G$998,0)),"No Match")</f>
        <v>No Match</v>
      </c>
      <c r="F2852" s="2" t="str">
        <f t="shared" si="88"/>
        <v>US</v>
      </c>
      <c r="G2852" s="2" t="str">
        <f t="shared" si="89"/>
        <v>Hetman Vodka|BERGEN</v>
      </c>
    </row>
    <row r="2853" spans="1:7" x14ac:dyDescent="0.2">
      <c r="A2853" s="2" t="str" cm="1">
        <f t="array" ref="A2853">INDEX('[1]Brand Family Territory (Enc)'!$A$2:$A$296,INT((ROW()-2)/10)+1)</f>
        <v>Hetman Vodka</v>
      </c>
      <c r="B2853" s="2" t="str" cm="1">
        <f t="array" ref="B2853">INDEX('Whitelist (Blackout Reverse)'!$B$1:$K$1,MOD(ROW()-2,10)+1)</f>
        <v>PASSAIC</v>
      </c>
      <c r="C2853" s="2" t="str">
        <f>VLOOKUP(A2853,'[1]Brand Family Territory (Enc)'!$A$2:$B$296,2,FALSE)</f>
        <v>Core Market</v>
      </c>
      <c r="D2853" s="2">
        <f>IF(COUNTIFS('[1]Brand Family Territories (Enc)'!$B$2:$B$62,C2853,'[1]Brand Family Territories (Enc)'!$C$2:$C$62,B2853)&gt;0,1,IF(AND(LEFT(B2853,6)="MORRIS",COUNTIFS('[1]Brand Family Territories (Enc)'!$B$2:$B$62,C2853,'[1]Brand Family Territories (Enc)'!$C$2:$C$62,"Morri")&gt;0),"Unk",0))</f>
        <v>1</v>
      </c>
      <c r="E2853" s="2" t="str">
        <f>IFERROR(INDEX('Blackout Brand Fam Areas (Enc)'!$D$6:$D$998,MATCH(UPPER(A2853)&amp;"|"&amp;UPPER(B2853),'Blackout Brand Fam Areas (Enc)'!$G$6:$G$998,0)),"No Match")</f>
        <v>No Match</v>
      </c>
      <c r="F2853" s="2" t="str">
        <f t="shared" si="88"/>
        <v>US</v>
      </c>
      <c r="G2853" s="2" t="str">
        <f t="shared" si="89"/>
        <v>Hetman Vodka|PASSAIC</v>
      </c>
    </row>
    <row r="2854" spans="1:7" x14ac:dyDescent="0.2">
      <c r="A2854" s="2" t="str" cm="1">
        <f t="array" ref="A2854">INDEX('[1]Brand Family Territory (Enc)'!$A$2:$A$296,INT((ROW()-2)/10)+1)</f>
        <v>Hetman Vodka</v>
      </c>
      <c r="B2854" s="2" t="str" cm="1">
        <f t="array" ref="B2854">INDEX('Whitelist (Blackout Reverse)'!$B$1:$K$1,MOD(ROW()-2,10)+1)</f>
        <v>PASSAIC-FF</v>
      </c>
      <c r="C2854" s="2" t="str">
        <f>VLOOKUP(A2854,'[1]Brand Family Territory (Enc)'!$A$2:$B$296,2,FALSE)</f>
        <v>Core Market</v>
      </c>
      <c r="D2854" s="2">
        <f>IF(COUNTIFS('[1]Brand Family Territories (Enc)'!$B$2:$B$62,C2854,'[1]Brand Family Territories (Enc)'!$C$2:$C$62,B2854)&gt;0,1,IF(AND(LEFT(B2854,6)="MORRIS",COUNTIFS('[1]Brand Family Territories (Enc)'!$B$2:$B$62,C2854,'[1]Brand Family Territories (Enc)'!$C$2:$C$62,"Morri")&gt;0),"Unk",0))</f>
        <v>1</v>
      </c>
      <c r="E2854" s="2" t="str">
        <f>IFERROR(INDEX('Blackout Brand Fam Areas (Enc)'!$D$6:$D$998,MATCH(UPPER(A2854)&amp;"|"&amp;UPPER(B2854),'Blackout Brand Fam Areas (Enc)'!$G$6:$G$998,0)),"No Match")</f>
        <v>No Match</v>
      </c>
      <c r="F2854" s="2" t="str">
        <f t="shared" si="88"/>
        <v>US</v>
      </c>
      <c r="G2854" s="2" t="str">
        <f t="shared" si="89"/>
        <v>Hetman Vodka|PASSAIC-FF</v>
      </c>
    </row>
    <row r="2855" spans="1:7" x14ac:dyDescent="0.2">
      <c r="A2855" s="2" t="str" cm="1">
        <f t="array" ref="A2855">INDEX('[1]Brand Family Territory (Enc)'!$A$2:$A$296,INT((ROW()-2)/10)+1)</f>
        <v>Hetman Vodka</v>
      </c>
      <c r="B2855" s="2" t="str" cm="1">
        <f t="array" ref="B2855">INDEX('Whitelist (Blackout Reverse)'!$B$1:$K$1,MOD(ROW()-2,10)+1)</f>
        <v>ESSEX</v>
      </c>
      <c r="C2855" s="2" t="str">
        <f>VLOOKUP(A2855,'[1]Brand Family Territory (Enc)'!$A$2:$B$296,2,FALSE)</f>
        <v>Core Market</v>
      </c>
      <c r="D2855" s="2">
        <f>IF(COUNTIFS('[1]Brand Family Territories (Enc)'!$B$2:$B$62,C2855,'[1]Brand Family Territories (Enc)'!$C$2:$C$62,B2855)&gt;0,1,IF(AND(LEFT(B2855,6)="MORRIS",COUNTIFS('[1]Brand Family Territories (Enc)'!$B$2:$B$62,C2855,'[1]Brand Family Territories (Enc)'!$C$2:$C$62,"Morri")&gt;0),"Unk",0))</f>
        <v>0</v>
      </c>
      <c r="E2855" s="2" t="str">
        <f>IFERROR(INDEX('Blackout Brand Fam Areas (Enc)'!$D$6:$D$998,MATCH(UPPER(A2855)&amp;"|"&amp;UPPER(B2855),'Blackout Brand Fam Areas (Enc)'!$G$6:$G$998,0)),"No Match")</f>
        <v>No Match</v>
      </c>
      <c r="F2855" s="2" t="str">
        <f t="shared" si="88"/>
        <v>THEM</v>
      </c>
      <c r="G2855" s="2" t="str">
        <f t="shared" si="89"/>
        <v>Hetman Vodka|ESSEX</v>
      </c>
    </row>
    <row r="2856" spans="1:7" x14ac:dyDescent="0.2">
      <c r="A2856" s="2" t="str" cm="1">
        <f t="array" ref="A2856">INDEX('[1]Brand Family Territory (Enc)'!$A$2:$A$296,INT((ROW()-2)/10)+1)</f>
        <v>Hetman Vodka</v>
      </c>
      <c r="B2856" s="2" t="str" cm="1">
        <f t="array" ref="B2856">INDEX('Whitelist (Blackout Reverse)'!$B$1:$K$1,MOD(ROW()-2,10)+1)</f>
        <v>HUDSON</v>
      </c>
      <c r="C2856" s="2" t="str">
        <f>VLOOKUP(A2856,'[1]Brand Family Territory (Enc)'!$A$2:$B$296,2,FALSE)</f>
        <v>Core Market</v>
      </c>
      <c r="D2856" s="2">
        <f>IF(COUNTIFS('[1]Brand Family Territories (Enc)'!$B$2:$B$62,C2856,'[1]Brand Family Territories (Enc)'!$C$2:$C$62,B2856)&gt;0,1,IF(AND(LEFT(B2856,6)="MORRIS",COUNTIFS('[1]Brand Family Territories (Enc)'!$B$2:$B$62,C2856,'[1]Brand Family Territories (Enc)'!$C$2:$C$62,"Morri")&gt;0),"Unk",0))</f>
        <v>0</v>
      </c>
      <c r="E2856" s="2" t="str">
        <f>IFERROR(INDEX('Blackout Brand Fam Areas (Enc)'!$D$6:$D$998,MATCH(UPPER(A2856)&amp;"|"&amp;UPPER(B2856),'Blackout Brand Fam Areas (Enc)'!$G$6:$G$998,0)),"No Match")</f>
        <v>No Match</v>
      </c>
      <c r="F2856" s="2" t="str">
        <f t="shared" si="88"/>
        <v>THEM</v>
      </c>
      <c r="G2856" s="2" t="str">
        <f t="shared" si="89"/>
        <v>Hetman Vodka|HUDSON</v>
      </c>
    </row>
    <row r="2857" spans="1:7" x14ac:dyDescent="0.2">
      <c r="A2857" s="2" t="str" cm="1">
        <f t="array" ref="A2857">INDEX('[1]Brand Family Territory (Enc)'!$A$2:$A$296,INT((ROW()-2)/10)+1)</f>
        <v>Hetman Vodka</v>
      </c>
      <c r="B2857" s="2" t="str" cm="1">
        <f t="array" ref="B2857">INDEX('Whitelist (Blackout Reverse)'!$B$1:$K$1,MOD(ROW()-2,10)+1)</f>
        <v>UNION</v>
      </c>
      <c r="C2857" s="2" t="str">
        <f>VLOOKUP(A2857,'[1]Brand Family Territory (Enc)'!$A$2:$B$296,2,FALSE)</f>
        <v>Core Market</v>
      </c>
      <c r="D2857" s="2">
        <f>IF(COUNTIFS('[1]Brand Family Territories (Enc)'!$B$2:$B$62,C2857,'[1]Brand Family Territories (Enc)'!$C$2:$C$62,B2857)&gt;0,1,IF(AND(LEFT(B2857,6)="MORRIS",COUNTIFS('[1]Brand Family Territories (Enc)'!$B$2:$B$62,C2857,'[1]Brand Family Territories (Enc)'!$C$2:$C$62,"Morri")&gt;0),"Unk",0))</f>
        <v>0</v>
      </c>
      <c r="E2857" s="2" t="str">
        <f>IFERROR(INDEX('Blackout Brand Fam Areas (Enc)'!$D$6:$D$998,MATCH(UPPER(A2857)&amp;"|"&amp;UPPER(B2857),'Blackout Brand Fam Areas (Enc)'!$G$6:$G$998,0)),"No Match")</f>
        <v>No Match</v>
      </c>
      <c r="F2857" s="2" t="str">
        <f t="shared" si="88"/>
        <v>THEM</v>
      </c>
      <c r="G2857" s="2" t="str">
        <f t="shared" si="89"/>
        <v>Hetman Vodka|UNION</v>
      </c>
    </row>
    <row r="2858" spans="1:7" x14ac:dyDescent="0.2">
      <c r="A2858" s="2" t="str" cm="1">
        <f t="array" ref="A2858">INDEX('[1]Brand Family Territory (Enc)'!$A$2:$A$296,INT((ROW()-2)/10)+1)</f>
        <v>Hetman Vodka</v>
      </c>
      <c r="B2858" s="2" t="str" cm="1">
        <f t="array" ref="B2858">INDEX('Whitelist (Blackout Reverse)'!$B$1:$K$1,MOD(ROW()-2,10)+1)</f>
        <v>SUSSEX</v>
      </c>
      <c r="C2858" s="2" t="str">
        <f>VLOOKUP(A2858,'[1]Brand Family Territory (Enc)'!$A$2:$B$296,2,FALSE)</f>
        <v>Core Market</v>
      </c>
      <c r="D2858" s="2">
        <f>IF(COUNTIFS('[1]Brand Family Territories (Enc)'!$B$2:$B$62,C2858,'[1]Brand Family Territories (Enc)'!$C$2:$C$62,B2858)&gt;0,1,IF(AND(LEFT(B2858,6)="MORRIS",COUNTIFS('[1]Brand Family Territories (Enc)'!$B$2:$B$62,C2858,'[1]Brand Family Territories (Enc)'!$C$2:$C$62,"Morri")&gt;0),"Unk",0))</f>
        <v>1</v>
      </c>
      <c r="E2858" s="2" t="str">
        <f>IFERROR(INDEX('Blackout Brand Fam Areas (Enc)'!$D$6:$D$998,MATCH(UPPER(A2858)&amp;"|"&amp;UPPER(B2858),'Blackout Brand Fam Areas (Enc)'!$G$6:$G$998,0)),"No Match")</f>
        <v>No Match</v>
      </c>
      <c r="F2858" s="2" t="str">
        <f t="shared" si="88"/>
        <v>US</v>
      </c>
      <c r="G2858" s="2" t="str">
        <f t="shared" si="89"/>
        <v>Hetman Vodka|SUSSEX</v>
      </c>
    </row>
    <row r="2859" spans="1:7" x14ac:dyDescent="0.2">
      <c r="A2859" s="2" t="str" cm="1">
        <f t="array" ref="A2859">INDEX('[1]Brand Family Territory (Enc)'!$A$2:$A$296,INT((ROW()-2)/10)+1)</f>
        <v>Hetman Vodka</v>
      </c>
      <c r="B2859" s="2" t="str" cm="1">
        <f t="array" ref="B2859">INDEX('Whitelist (Blackout Reverse)'!$B$1:$K$1,MOD(ROW()-2,10)+1)</f>
        <v>MORRIS 1</v>
      </c>
      <c r="C2859" s="2" t="str">
        <f>VLOOKUP(A2859,'[1]Brand Family Territory (Enc)'!$A$2:$B$296,2,FALSE)</f>
        <v>Core Market</v>
      </c>
      <c r="D2859" s="2">
        <f>IF(COUNTIFS('[1]Brand Family Territories (Enc)'!$B$2:$B$62,C2859,'[1]Brand Family Territories (Enc)'!$C$2:$C$62,B2859)&gt;0,1,IF(AND(LEFT(B2859,6)="MORRIS",COUNTIFS('[1]Brand Family Territories (Enc)'!$B$2:$B$62,C2859,'[1]Brand Family Territories (Enc)'!$C$2:$C$62,"Morri")&gt;0),"Unk",0))</f>
        <v>1</v>
      </c>
      <c r="E2859" s="2" t="str">
        <f>IFERROR(INDEX('Blackout Brand Fam Areas (Enc)'!$D$6:$D$998,MATCH(UPPER(A2859)&amp;"|"&amp;UPPER(B2859),'Blackout Brand Fam Areas (Enc)'!$G$6:$G$998,0)),"No Match")</f>
        <v>No Match</v>
      </c>
      <c r="F2859" s="2" t="str">
        <f t="shared" si="88"/>
        <v>US</v>
      </c>
      <c r="G2859" s="2" t="str">
        <f t="shared" si="89"/>
        <v>Hetman Vodka|MORRIS 1</v>
      </c>
    </row>
    <row r="2860" spans="1:7" x14ac:dyDescent="0.2">
      <c r="A2860" s="2" t="str" cm="1">
        <f t="array" ref="A2860">INDEX('[1]Brand Family Territory (Enc)'!$A$2:$A$296,INT((ROW()-2)/10)+1)</f>
        <v>Hetman Vodka</v>
      </c>
      <c r="B2860" s="2" t="str" cm="1">
        <f t="array" ref="B2860">INDEX('Whitelist (Blackout Reverse)'!$B$1:$K$1,MOD(ROW()-2,10)+1)</f>
        <v>MORRIS 2</v>
      </c>
      <c r="C2860" s="2" t="str">
        <f>VLOOKUP(A2860,'[1]Brand Family Territory (Enc)'!$A$2:$B$296,2,FALSE)</f>
        <v>Core Market</v>
      </c>
      <c r="D2860" s="2">
        <f>IF(COUNTIFS('[1]Brand Family Territories (Enc)'!$B$2:$B$62,C2860,'[1]Brand Family Territories (Enc)'!$C$2:$C$62,B2860)&gt;0,1,IF(AND(LEFT(B2860,6)="MORRIS",COUNTIFS('[1]Brand Family Territories (Enc)'!$B$2:$B$62,C2860,'[1]Brand Family Territories (Enc)'!$C$2:$C$62,"Morri")&gt;0),"Unk",0))</f>
        <v>0</v>
      </c>
      <c r="E2860" s="2" t="str">
        <f>IFERROR(INDEX('Blackout Brand Fam Areas (Enc)'!$D$6:$D$998,MATCH(UPPER(A2860)&amp;"|"&amp;UPPER(B2860),'Blackout Brand Fam Areas (Enc)'!$G$6:$G$998,0)),"No Match")</f>
        <v>No Match</v>
      </c>
      <c r="F2860" s="2" t="str">
        <f t="shared" si="88"/>
        <v>THEM</v>
      </c>
      <c r="G2860" s="2" t="str">
        <f t="shared" si="89"/>
        <v>Hetman Vodka|MORRIS 2</v>
      </c>
    </row>
    <row r="2861" spans="1:7" x14ac:dyDescent="0.2">
      <c r="A2861" s="2" t="str" cm="1">
        <f t="array" ref="A2861">INDEX('[1]Brand Family Territory (Enc)'!$A$2:$A$296,INT((ROW()-2)/10)+1)</f>
        <v>Hetman Vodka</v>
      </c>
      <c r="B2861" s="2" t="str" cm="1">
        <f t="array" ref="B2861">INDEX('Whitelist (Blackout Reverse)'!$B$1:$K$1,MOD(ROW()-2,10)+1)</f>
        <v>MORRIS 3</v>
      </c>
      <c r="C2861" s="2" t="str">
        <f>VLOOKUP(A2861,'[1]Brand Family Territory (Enc)'!$A$2:$B$296,2,FALSE)</f>
        <v>Core Market</v>
      </c>
      <c r="D2861" s="2">
        <f>IF(COUNTIFS('[1]Brand Family Territories (Enc)'!$B$2:$B$62,C2861,'[1]Brand Family Territories (Enc)'!$C$2:$C$62,B2861)&gt;0,1,IF(AND(LEFT(B2861,6)="MORRIS",COUNTIFS('[1]Brand Family Territories (Enc)'!$B$2:$B$62,C2861,'[1]Brand Family Territories (Enc)'!$C$2:$C$62,"Morri")&gt;0),"Unk",0))</f>
        <v>1</v>
      </c>
      <c r="E2861" s="2" t="str">
        <f>IFERROR(INDEX('Blackout Brand Fam Areas (Enc)'!$D$6:$D$998,MATCH(UPPER(A2861)&amp;"|"&amp;UPPER(B2861),'Blackout Brand Fam Areas (Enc)'!$G$6:$G$998,0)),"No Match")</f>
        <v>No Match</v>
      </c>
      <c r="F2861" s="2" t="str">
        <f t="shared" si="88"/>
        <v>US</v>
      </c>
      <c r="G2861" s="2" t="str">
        <f t="shared" si="89"/>
        <v>Hetman Vodka|MORRIS 3</v>
      </c>
    </row>
    <row r="2862" spans="1:7" x14ac:dyDescent="0.2">
      <c r="A2862" s="2" t="str" cm="1">
        <f t="array" ref="A2862">INDEX('[1]Brand Family Territory (Enc)'!$A$2:$A$296,INT((ROW()-2)/10)+1)</f>
        <v>Ukrainian Spirit</v>
      </c>
      <c r="B2862" s="2" t="str" cm="1">
        <f t="array" ref="B2862">INDEX('Whitelist (Blackout Reverse)'!$B$1:$K$1,MOD(ROW()-2,10)+1)</f>
        <v>BERGEN</v>
      </c>
      <c r="C2862" s="2" t="str">
        <f>VLOOKUP(A2862,'[1]Brand Family Territory (Enc)'!$A$2:$B$296,2,FALSE)</f>
        <v>Core Market</v>
      </c>
      <c r="D2862" s="2">
        <f>IF(COUNTIFS('[1]Brand Family Territories (Enc)'!$B$2:$B$62,C2862,'[1]Brand Family Territories (Enc)'!$C$2:$C$62,B2862)&gt;0,1,IF(AND(LEFT(B2862,6)="MORRIS",COUNTIFS('[1]Brand Family Territories (Enc)'!$B$2:$B$62,C2862,'[1]Brand Family Territories (Enc)'!$C$2:$C$62,"Morri")&gt;0),"Unk",0))</f>
        <v>1</v>
      </c>
      <c r="E2862" s="2" t="str">
        <f>IFERROR(INDEX('Blackout Brand Fam Areas (Enc)'!$D$6:$D$998,MATCH(UPPER(A2862)&amp;"|"&amp;UPPER(B2862),'Blackout Brand Fam Areas (Enc)'!$G$6:$G$998,0)),"No Match")</f>
        <v>No Match</v>
      </c>
      <c r="F2862" s="2" t="str">
        <f t="shared" si="88"/>
        <v>US</v>
      </c>
      <c r="G2862" s="2" t="str">
        <f t="shared" si="89"/>
        <v>Ukrainian Spirit|BERGEN</v>
      </c>
    </row>
    <row r="2863" spans="1:7" x14ac:dyDescent="0.2">
      <c r="A2863" s="2" t="str" cm="1">
        <f t="array" ref="A2863">INDEX('[1]Brand Family Territory (Enc)'!$A$2:$A$296,INT((ROW()-2)/10)+1)</f>
        <v>Ukrainian Spirit</v>
      </c>
      <c r="B2863" s="2" t="str" cm="1">
        <f t="array" ref="B2863">INDEX('Whitelist (Blackout Reverse)'!$B$1:$K$1,MOD(ROW()-2,10)+1)</f>
        <v>PASSAIC</v>
      </c>
      <c r="C2863" s="2" t="str">
        <f>VLOOKUP(A2863,'[1]Brand Family Territory (Enc)'!$A$2:$B$296,2,FALSE)</f>
        <v>Core Market</v>
      </c>
      <c r="D2863" s="2">
        <f>IF(COUNTIFS('[1]Brand Family Territories (Enc)'!$B$2:$B$62,C2863,'[1]Brand Family Territories (Enc)'!$C$2:$C$62,B2863)&gt;0,1,IF(AND(LEFT(B2863,6)="MORRIS",COUNTIFS('[1]Brand Family Territories (Enc)'!$B$2:$B$62,C2863,'[1]Brand Family Territories (Enc)'!$C$2:$C$62,"Morri")&gt;0),"Unk",0))</f>
        <v>1</v>
      </c>
      <c r="E2863" s="2" t="str">
        <f>IFERROR(INDEX('Blackout Brand Fam Areas (Enc)'!$D$6:$D$998,MATCH(UPPER(A2863)&amp;"|"&amp;UPPER(B2863),'Blackout Brand Fam Areas (Enc)'!$G$6:$G$998,0)),"No Match")</f>
        <v>No Match</v>
      </c>
      <c r="F2863" s="2" t="str">
        <f t="shared" si="88"/>
        <v>US</v>
      </c>
      <c r="G2863" s="2" t="str">
        <f t="shared" si="89"/>
        <v>Ukrainian Spirit|PASSAIC</v>
      </c>
    </row>
    <row r="2864" spans="1:7" x14ac:dyDescent="0.2">
      <c r="A2864" s="2" t="str" cm="1">
        <f t="array" ref="A2864">INDEX('[1]Brand Family Territory (Enc)'!$A$2:$A$296,INT((ROW()-2)/10)+1)</f>
        <v>Ukrainian Spirit</v>
      </c>
      <c r="B2864" s="2" t="str" cm="1">
        <f t="array" ref="B2864">INDEX('Whitelist (Blackout Reverse)'!$B$1:$K$1,MOD(ROW()-2,10)+1)</f>
        <v>PASSAIC-FF</v>
      </c>
      <c r="C2864" s="2" t="str">
        <f>VLOOKUP(A2864,'[1]Brand Family Territory (Enc)'!$A$2:$B$296,2,FALSE)</f>
        <v>Core Market</v>
      </c>
      <c r="D2864" s="2">
        <f>IF(COUNTIFS('[1]Brand Family Territories (Enc)'!$B$2:$B$62,C2864,'[1]Brand Family Territories (Enc)'!$C$2:$C$62,B2864)&gt;0,1,IF(AND(LEFT(B2864,6)="MORRIS",COUNTIFS('[1]Brand Family Territories (Enc)'!$B$2:$B$62,C2864,'[1]Brand Family Territories (Enc)'!$C$2:$C$62,"Morri")&gt;0),"Unk",0))</f>
        <v>1</v>
      </c>
      <c r="E2864" s="2" t="str">
        <f>IFERROR(INDEX('Blackout Brand Fam Areas (Enc)'!$D$6:$D$998,MATCH(UPPER(A2864)&amp;"|"&amp;UPPER(B2864),'Blackout Brand Fam Areas (Enc)'!$G$6:$G$998,0)),"No Match")</f>
        <v>No Match</v>
      </c>
      <c r="F2864" s="2" t="str">
        <f t="shared" si="88"/>
        <v>US</v>
      </c>
      <c r="G2864" s="2" t="str">
        <f t="shared" si="89"/>
        <v>Ukrainian Spirit|PASSAIC-FF</v>
      </c>
    </row>
    <row r="2865" spans="1:7" x14ac:dyDescent="0.2">
      <c r="A2865" s="2" t="str" cm="1">
        <f t="array" ref="A2865">INDEX('[1]Brand Family Territory (Enc)'!$A$2:$A$296,INT((ROW()-2)/10)+1)</f>
        <v>Ukrainian Spirit</v>
      </c>
      <c r="B2865" s="2" t="str" cm="1">
        <f t="array" ref="B2865">INDEX('Whitelist (Blackout Reverse)'!$B$1:$K$1,MOD(ROW()-2,10)+1)</f>
        <v>ESSEX</v>
      </c>
      <c r="C2865" s="2" t="str">
        <f>VLOOKUP(A2865,'[1]Brand Family Territory (Enc)'!$A$2:$B$296,2,FALSE)</f>
        <v>Core Market</v>
      </c>
      <c r="D2865" s="2">
        <f>IF(COUNTIFS('[1]Brand Family Territories (Enc)'!$B$2:$B$62,C2865,'[1]Brand Family Territories (Enc)'!$C$2:$C$62,B2865)&gt;0,1,IF(AND(LEFT(B2865,6)="MORRIS",COUNTIFS('[1]Brand Family Territories (Enc)'!$B$2:$B$62,C2865,'[1]Brand Family Territories (Enc)'!$C$2:$C$62,"Morri")&gt;0),"Unk",0))</f>
        <v>0</v>
      </c>
      <c r="E2865" s="2" t="str">
        <f>IFERROR(INDEX('Blackout Brand Fam Areas (Enc)'!$D$6:$D$998,MATCH(UPPER(A2865)&amp;"|"&amp;UPPER(B2865),'Blackout Brand Fam Areas (Enc)'!$G$6:$G$998,0)),"No Match")</f>
        <v>No Match</v>
      </c>
      <c r="F2865" s="2" t="str">
        <f t="shared" si="88"/>
        <v>THEM</v>
      </c>
      <c r="G2865" s="2" t="str">
        <f t="shared" si="89"/>
        <v>Ukrainian Spirit|ESSEX</v>
      </c>
    </row>
    <row r="2866" spans="1:7" x14ac:dyDescent="0.2">
      <c r="A2866" s="2" t="str" cm="1">
        <f t="array" ref="A2866">INDEX('[1]Brand Family Territory (Enc)'!$A$2:$A$296,INT((ROW()-2)/10)+1)</f>
        <v>Ukrainian Spirit</v>
      </c>
      <c r="B2866" s="2" t="str" cm="1">
        <f t="array" ref="B2866">INDEX('Whitelist (Blackout Reverse)'!$B$1:$K$1,MOD(ROW()-2,10)+1)</f>
        <v>HUDSON</v>
      </c>
      <c r="C2866" s="2" t="str">
        <f>VLOOKUP(A2866,'[1]Brand Family Territory (Enc)'!$A$2:$B$296,2,FALSE)</f>
        <v>Core Market</v>
      </c>
      <c r="D2866" s="2">
        <f>IF(COUNTIFS('[1]Brand Family Territories (Enc)'!$B$2:$B$62,C2866,'[1]Brand Family Territories (Enc)'!$C$2:$C$62,B2866)&gt;0,1,IF(AND(LEFT(B2866,6)="MORRIS",COUNTIFS('[1]Brand Family Territories (Enc)'!$B$2:$B$62,C2866,'[1]Brand Family Territories (Enc)'!$C$2:$C$62,"Morri")&gt;0),"Unk",0))</f>
        <v>0</v>
      </c>
      <c r="E2866" s="2" t="str">
        <f>IFERROR(INDEX('Blackout Brand Fam Areas (Enc)'!$D$6:$D$998,MATCH(UPPER(A2866)&amp;"|"&amp;UPPER(B2866),'Blackout Brand Fam Areas (Enc)'!$G$6:$G$998,0)),"No Match")</f>
        <v>No Match</v>
      </c>
      <c r="F2866" s="2" t="str">
        <f t="shared" si="88"/>
        <v>THEM</v>
      </c>
      <c r="G2866" s="2" t="str">
        <f t="shared" si="89"/>
        <v>Ukrainian Spirit|HUDSON</v>
      </c>
    </row>
    <row r="2867" spans="1:7" x14ac:dyDescent="0.2">
      <c r="A2867" s="2" t="str" cm="1">
        <f t="array" ref="A2867">INDEX('[1]Brand Family Territory (Enc)'!$A$2:$A$296,INT((ROW()-2)/10)+1)</f>
        <v>Ukrainian Spirit</v>
      </c>
      <c r="B2867" s="2" t="str" cm="1">
        <f t="array" ref="B2867">INDEX('Whitelist (Blackout Reverse)'!$B$1:$K$1,MOD(ROW()-2,10)+1)</f>
        <v>UNION</v>
      </c>
      <c r="C2867" s="2" t="str">
        <f>VLOOKUP(A2867,'[1]Brand Family Territory (Enc)'!$A$2:$B$296,2,FALSE)</f>
        <v>Core Market</v>
      </c>
      <c r="D2867" s="2">
        <f>IF(COUNTIFS('[1]Brand Family Territories (Enc)'!$B$2:$B$62,C2867,'[1]Brand Family Territories (Enc)'!$C$2:$C$62,B2867)&gt;0,1,IF(AND(LEFT(B2867,6)="MORRIS",COUNTIFS('[1]Brand Family Territories (Enc)'!$B$2:$B$62,C2867,'[1]Brand Family Territories (Enc)'!$C$2:$C$62,"Morri")&gt;0),"Unk",0))</f>
        <v>0</v>
      </c>
      <c r="E2867" s="2" t="str">
        <f>IFERROR(INDEX('Blackout Brand Fam Areas (Enc)'!$D$6:$D$998,MATCH(UPPER(A2867)&amp;"|"&amp;UPPER(B2867),'Blackout Brand Fam Areas (Enc)'!$G$6:$G$998,0)),"No Match")</f>
        <v>No Match</v>
      </c>
      <c r="F2867" s="2" t="str">
        <f t="shared" si="88"/>
        <v>THEM</v>
      </c>
      <c r="G2867" s="2" t="str">
        <f t="shared" si="89"/>
        <v>Ukrainian Spirit|UNION</v>
      </c>
    </row>
    <row r="2868" spans="1:7" x14ac:dyDescent="0.2">
      <c r="A2868" s="2" t="str" cm="1">
        <f t="array" ref="A2868">INDEX('[1]Brand Family Territory (Enc)'!$A$2:$A$296,INT((ROW()-2)/10)+1)</f>
        <v>Ukrainian Spirit</v>
      </c>
      <c r="B2868" s="2" t="str" cm="1">
        <f t="array" ref="B2868">INDEX('Whitelist (Blackout Reverse)'!$B$1:$K$1,MOD(ROW()-2,10)+1)</f>
        <v>SUSSEX</v>
      </c>
      <c r="C2868" s="2" t="str">
        <f>VLOOKUP(A2868,'[1]Brand Family Territory (Enc)'!$A$2:$B$296,2,FALSE)</f>
        <v>Core Market</v>
      </c>
      <c r="D2868" s="2">
        <f>IF(COUNTIFS('[1]Brand Family Territories (Enc)'!$B$2:$B$62,C2868,'[1]Brand Family Territories (Enc)'!$C$2:$C$62,B2868)&gt;0,1,IF(AND(LEFT(B2868,6)="MORRIS",COUNTIFS('[1]Brand Family Territories (Enc)'!$B$2:$B$62,C2868,'[1]Brand Family Territories (Enc)'!$C$2:$C$62,"Morri")&gt;0),"Unk",0))</f>
        <v>1</v>
      </c>
      <c r="E2868" s="2" t="str">
        <f>IFERROR(INDEX('Blackout Brand Fam Areas (Enc)'!$D$6:$D$998,MATCH(UPPER(A2868)&amp;"|"&amp;UPPER(B2868),'Blackout Brand Fam Areas (Enc)'!$G$6:$G$998,0)),"No Match")</f>
        <v>No Match</v>
      </c>
      <c r="F2868" s="2" t="str">
        <f t="shared" si="88"/>
        <v>US</v>
      </c>
      <c r="G2868" s="2" t="str">
        <f t="shared" si="89"/>
        <v>Ukrainian Spirit|SUSSEX</v>
      </c>
    </row>
    <row r="2869" spans="1:7" x14ac:dyDescent="0.2">
      <c r="A2869" s="2" t="str" cm="1">
        <f t="array" ref="A2869">INDEX('[1]Brand Family Territory (Enc)'!$A$2:$A$296,INT((ROW()-2)/10)+1)</f>
        <v>Ukrainian Spirit</v>
      </c>
      <c r="B2869" s="2" t="str" cm="1">
        <f t="array" ref="B2869">INDEX('Whitelist (Blackout Reverse)'!$B$1:$K$1,MOD(ROW()-2,10)+1)</f>
        <v>MORRIS 1</v>
      </c>
      <c r="C2869" s="2" t="str">
        <f>VLOOKUP(A2869,'[1]Brand Family Territory (Enc)'!$A$2:$B$296,2,FALSE)</f>
        <v>Core Market</v>
      </c>
      <c r="D2869" s="2">
        <f>IF(COUNTIFS('[1]Brand Family Territories (Enc)'!$B$2:$B$62,C2869,'[1]Brand Family Territories (Enc)'!$C$2:$C$62,B2869)&gt;0,1,IF(AND(LEFT(B2869,6)="MORRIS",COUNTIFS('[1]Brand Family Territories (Enc)'!$B$2:$B$62,C2869,'[1]Brand Family Territories (Enc)'!$C$2:$C$62,"Morri")&gt;0),"Unk",0))</f>
        <v>1</v>
      </c>
      <c r="E2869" s="2" t="str">
        <f>IFERROR(INDEX('Blackout Brand Fam Areas (Enc)'!$D$6:$D$998,MATCH(UPPER(A2869)&amp;"|"&amp;UPPER(B2869),'Blackout Brand Fam Areas (Enc)'!$G$6:$G$998,0)),"No Match")</f>
        <v>No Match</v>
      </c>
      <c r="F2869" s="2" t="str">
        <f t="shared" si="88"/>
        <v>US</v>
      </c>
      <c r="G2869" s="2" t="str">
        <f t="shared" si="89"/>
        <v>Ukrainian Spirit|MORRIS 1</v>
      </c>
    </row>
    <row r="2870" spans="1:7" x14ac:dyDescent="0.2">
      <c r="A2870" s="2" t="str" cm="1">
        <f t="array" ref="A2870">INDEX('[1]Brand Family Territory (Enc)'!$A$2:$A$296,INT((ROW()-2)/10)+1)</f>
        <v>Ukrainian Spirit</v>
      </c>
      <c r="B2870" s="2" t="str" cm="1">
        <f t="array" ref="B2870">INDEX('Whitelist (Blackout Reverse)'!$B$1:$K$1,MOD(ROW()-2,10)+1)</f>
        <v>MORRIS 2</v>
      </c>
      <c r="C2870" s="2" t="str">
        <f>VLOOKUP(A2870,'[1]Brand Family Territory (Enc)'!$A$2:$B$296,2,FALSE)</f>
        <v>Core Market</v>
      </c>
      <c r="D2870" s="2">
        <f>IF(COUNTIFS('[1]Brand Family Territories (Enc)'!$B$2:$B$62,C2870,'[1]Brand Family Territories (Enc)'!$C$2:$C$62,B2870)&gt;0,1,IF(AND(LEFT(B2870,6)="MORRIS",COUNTIFS('[1]Brand Family Territories (Enc)'!$B$2:$B$62,C2870,'[1]Brand Family Territories (Enc)'!$C$2:$C$62,"Morri")&gt;0),"Unk",0))</f>
        <v>0</v>
      </c>
      <c r="E2870" s="2" t="str">
        <f>IFERROR(INDEX('Blackout Brand Fam Areas (Enc)'!$D$6:$D$998,MATCH(UPPER(A2870)&amp;"|"&amp;UPPER(B2870),'Blackout Brand Fam Areas (Enc)'!$G$6:$G$998,0)),"No Match")</f>
        <v>No Match</v>
      </c>
      <c r="F2870" s="2" t="str">
        <f t="shared" si="88"/>
        <v>THEM</v>
      </c>
      <c r="G2870" s="2" t="str">
        <f t="shared" si="89"/>
        <v>Ukrainian Spirit|MORRIS 2</v>
      </c>
    </row>
    <row r="2871" spans="1:7" x14ac:dyDescent="0.2">
      <c r="A2871" s="2" t="str" cm="1">
        <f t="array" ref="A2871">INDEX('[1]Brand Family Territory (Enc)'!$A$2:$A$296,INT((ROW()-2)/10)+1)</f>
        <v>Ukrainian Spirit</v>
      </c>
      <c r="B2871" s="2" t="str" cm="1">
        <f t="array" ref="B2871">INDEX('Whitelist (Blackout Reverse)'!$B$1:$K$1,MOD(ROW()-2,10)+1)</f>
        <v>MORRIS 3</v>
      </c>
      <c r="C2871" s="2" t="str">
        <f>VLOOKUP(A2871,'[1]Brand Family Territory (Enc)'!$A$2:$B$296,2,FALSE)</f>
        <v>Core Market</v>
      </c>
      <c r="D2871" s="2">
        <f>IF(COUNTIFS('[1]Brand Family Territories (Enc)'!$B$2:$B$62,C2871,'[1]Brand Family Territories (Enc)'!$C$2:$C$62,B2871)&gt;0,1,IF(AND(LEFT(B2871,6)="MORRIS",COUNTIFS('[1]Brand Family Territories (Enc)'!$B$2:$B$62,C2871,'[1]Brand Family Territories (Enc)'!$C$2:$C$62,"Morri")&gt;0),"Unk",0))</f>
        <v>1</v>
      </c>
      <c r="E2871" s="2" t="str">
        <f>IFERROR(INDEX('Blackout Brand Fam Areas (Enc)'!$D$6:$D$998,MATCH(UPPER(A2871)&amp;"|"&amp;UPPER(B2871),'Blackout Brand Fam Areas (Enc)'!$G$6:$G$998,0)),"No Match")</f>
        <v>No Match</v>
      </c>
      <c r="F2871" s="2" t="str">
        <f t="shared" si="88"/>
        <v>US</v>
      </c>
      <c r="G2871" s="2" t="str">
        <f t="shared" si="89"/>
        <v>Ukrainian Spirit|MORRIS 3</v>
      </c>
    </row>
    <row r="2872" spans="1:7" x14ac:dyDescent="0.2">
      <c r="A2872" s="2" t="str" cm="1">
        <f t="array" ref="A2872">INDEX('[1]Brand Family Territory (Enc)'!$A$2:$A$296,INT((ROW()-2)/10)+1)</f>
        <v>Source It's A Me</v>
      </c>
      <c r="B2872" s="2" t="str" cm="1">
        <f t="array" ref="B2872">INDEX('Whitelist (Blackout Reverse)'!$B$1:$K$1,MOD(ROW()-2,10)+1)</f>
        <v>BERGEN</v>
      </c>
      <c r="C2872" s="2" t="str">
        <f>VLOOKUP(A2872,'[1]Brand Family Territory (Enc)'!$A$2:$B$296,2,FALSE)</f>
        <v>All Counties</v>
      </c>
      <c r="D2872" s="2">
        <f>IF(COUNTIFS('[1]Brand Family Territories (Enc)'!$B$2:$B$62,C2872,'[1]Brand Family Territories (Enc)'!$C$2:$C$62,B2872)&gt;0,1,IF(AND(LEFT(B2872,6)="MORRIS",COUNTIFS('[1]Brand Family Territories (Enc)'!$B$2:$B$62,C2872,'[1]Brand Family Territories (Enc)'!$C$2:$C$62,"Morri")&gt;0),"Unk",0))</f>
        <v>1</v>
      </c>
      <c r="E2872" s="2" t="str">
        <f>IFERROR(INDEX('Blackout Brand Fam Areas (Enc)'!$D$6:$D$998,MATCH(UPPER(A2872)&amp;"|"&amp;UPPER(B2872),'Blackout Brand Fam Areas (Enc)'!$G$6:$G$998,0)),"No Match")</f>
        <v>No Match</v>
      </c>
      <c r="F2872" s="2" t="str">
        <f t="shared" si="88"/>
        <v>US</v>
      </c>
      <c r="G2872" s="2" t="str">
        <f t="shared" si="89"/>
        <v>Source It's A Me|BERGEN</v>
      </c>
    </row>
    <row r="2873" spans="1:7" x14ac:dyDescent="0.2">
      <c r="A2873" s="2" t="str" cm="1">
        <f t="array" ref="A2873">INDEX('[1]Brand Family Territory (Enc)'!$A$2:$A$296,INT((ROW()-2)/10)+1)</f>
        <v>Source It's A Me</v>
      </c>
      <c r="B2873" s="2" t="str" cm="1">
        <f t="array" ref="B2873">INDEX('Whitelist (Blackout Reverse)'!$B$1:$K$1,MOD(ROW()-2,10)+1)</f>
        <v>PASSAIC</v>
      </c>
      <c r="C2873" s="2" t="str">
        <f>VLOOKUP(A2873,'[1]Brand Family Territory (Enc)'!$A$2:$B$296,2,FALSE)</f>
        <v>All Counties</v>
      </c>
      <c r="D2873" s="2">
        <f>IF(COUNTIFS('[1]Brand Family Territories (Enc)'!$B$2:$B$62,C2873,'[1]Brand Family Territories (Enc)'!$C$2:$C$62,B2873)&gt;0,1,IF(AND(LEFT(B2873,6)="MORRIS",COUNTIFS('[1]Brand Family Territories (Enc)'!$B$2:$B$62,C2873,'[1]Brand Family Territories (Enc)'!$C$2:$C$62,"Morri")&gt;0),"Unk",0))</f>
        <v>1</v>
      </c>
      <c r="E2873" s="2" t="str">
        <f>IFERROR(INDEX('Blackout Brand Fam Areas (Enc)'!$D$6:$D$998,MATCH(UPPER(A2873)&amp;"|"&amp;UPPER(B2873),'Blackout Brand Fam Areas (Enc)'!$G$6:$G$998,0)),"No Match")</f>
        <v>No Match</v>
      </c>
      <c r="F2873" s="2" t="str">
        <f t="shared" si="88"/>
        <v>US</v>
      </c>
      <c r="G2873" s="2" t="str">
        <f t="shared" si="89"/>
        <v>Source It's A Me|PASSAIC</v>
      </c>
    </row>
    <row r="2874" spans="1:7" x14ac:dyDescent="0.2">
      <c r="A2874" s="2" t="str" cm="1">
        <f t="array" ref="A2874">INDEX('[1]Brand Family Territory (Enc)'!$A$2:$A$296,INT((ROW()-2)/10)+1)</f>
        <v>Source It's A Me</v>
      </c>
      <c r="B2874" s="2" t="str" cm="1">
        <f t="array" ref="B2874">INDEX('Whitelist (Blackout Reverse)'!$B$1:$K$1,MOD(ROW()-2,10)+1)</f>
        <v>PASSAIC-FF</v>
      </c>
      <c r="C2874" s="2" t="str">
        <f>VLOOKUP(A2874,'[1]Brand Family Territory (Enc)'!$A$2:$B$296,2,FALSE)</f>
        <v>All Counties</v>
      </c>
      <c r="D2874" s="2">
        <f>IF(COUNTIFS('[1]Brand Family Territories (Enc)'!$B$2:$B$62,C2874,'[1]Brand Family Territories (Enc)'!$C$2:$C$62,B2874)&gt;0,1,IF(AND(LEFT(B2874,6)="MORRIS",COUNTIFS('[1]Brand Family Territories (Enc)'!$B$2:$B$62,C2874,'[1]Brand Family Territories (Enc)'!$C$2:$C$62,"Morri")&gt;0),"Unk",0))</f>
        <v>1</v>
      </c>
      <c r="E2874" s="2" t="str">
        <f>IFERROR(INDEX('Blackout Brand Fam Areas (Enc)'!$D$6:$D$998,MATCH(UPPER(A2874)&amp;"|"&amp;UPPER(B2874),'Blackout Brand Fam Areas (Enc)'!$G$6:$G$998,0)),"No Match")</f>
        <v>No Match</v>
      </c>
      <c r="F2874" s="2" t="str">
        <f t="shared" si="88"/>
        <v>US</v>
      </c>
      <c r="G2874" s="2" t="str">
        <f t="shared" si="89"/>
        <v>Source It's A Me|PASSAIC-FF</v>
      </c>
    </row>
    <row r="2875" spans="1:7" x14ac:dyDescent="0.2">
      <c r="A2875" s="2" t="str" cm="1">
        <f t="array" ref="A2875">INDEX('[1]Brand Family Territory (Enc)'!$A$2:$A$296,INT((ROW()-2)/10)+1)</f>
        <v>Source It's A Me</v>
      </c>
      <c r="B2875" s="2" t="str" cm="1">
        <f t="array" ref="B2875">INDEX('Whitelist (Blackout Reverse)'!$B$1:$K$1,MOD(ROW()-2,10)+1)</f>
        <v>ESSEX</v>
      </c>
      <c r="C2875" s="2" t="str">
        <f>VLOOKUP(A2875,'[1]Brand Family Territory (Enc)'!$A$2:$B$296,2,FALSE)</f>
        <v>All Counties</v>
      </c>
      <c r="D2875" s="2">
        <f>IF(COUNTIFS('[1]Brand Family Territories (Enc)'!$B$2:$B$62,C2875,'[1]Brand Family Territories (Enc)'!$C$2:$C$62,B2875)&gt;0,1,IF(AND(LEFT(B2875,6)="MORRIS",COUNTIFS('[1]Brand Family Territories (Enc)'!$B$2:$B$62,C2875,'[1]Brand Family Territories (Enc)'!$C$2:$C$62,"Morri")&gt;0),"Unk",0))</f>
        <v>1</v>
      </c>
      <c r="E2875" s="2" t="str">
        <f>IFERROR(INDEX('Blackout Brand Fam Areas (Enc)'!$D$6:$D$998,MATCH(UPPER(A2875)&amp;"|"&amp;UPPER(B2875),'Blackout Brand Fam Areas (Enc)'!$G$6:$G$998,0)),"No Match")</f>
        <v>No Match</v>
      </c>
      <c r="F2875" s="2" t="str">
        <f t="shared" si="88"/>
        <v>US</v>
      </c>
      <c r="G2875" s="2" t="str">
        <f t="shared" si="89"/>
        <v>Source It's A Me|ESSEX</v>
      </c>
    </row>
    <row r="2876" spans="1:7" x14ac:dyDescent="0.2">
      <c r="A2876" s="2" t="str" cm="1">
        <f t="array" ref="A2876">INDEX('[1]Brand Family Territory (Enc)'!$A$2:$A$296,INT((ROW()-2)/10)+1)</f>
        <v>Source It's A Me</v>
      </c>
      <c r="B2876" s="2" t="str" cm="1">
        <f t="array" ref="B2876">INDEX('Whitelist (Blackout Reverse)'!$B$1:$K$1,MOD(ROW()-2,10)+1)</f>
        <v>HUDSON</v>
      </c>
      <c r="C2876" s="2" t="str">
        <f>VLOOKUP(A2876,'[1]Brand Family Territory (Enc)'!$A$2:$B$296,2,FALSE)</f>
        <v>All Counties</v>
      </c>
      <c r="D2876" s="2">
        <f>IF(COUNTIFS('[1]Brand Family Territories (Enc)'!$B$2:$B$62,C2876,'[1]Brand Family Territories (Enc)'!$C$2:$C$62,B2876)&gt;0,1,IF(AND(LEFT(B2876,6)="MORRIS",COUNTIFS('[1]Brand Family Territories (Enc)'!$B$2:$B$62,C2876,'[1]Brand Family Territories (Enc)'!$C$2:$C$62,"Morri")&gt;0),"Unk",0))</f>
        <v>1</v>
      </c>
      <c r="E2876" s="2" t="str">
        <f>IFERROR(INDEX('Blackout Brand Fam Areas (Enc)'!$D$6:$D$998,MATCH(UPPER(A2876)&amp;"|"&amp;UPPER(B2876),'Blackout Brand Fam Areas (Enc)'!$G$6:$G$998,0)),"No Match")</f>
        <v>No Match</v>
      </c>
      <c r="F2876" s="2" t="str">
        <f t="shared" si="88"/>
        <v>US</v>
      </c>
      <c r="G2876" s="2" t="str">
        <f t="shared" si="89"/>
        <v>Source It's A Me|HUDSON</v>
      </c>
    </row>
    <row r="2877" spans="1:7" x14ac:dyDescent="0.2">
      <c r="A2877" s="2" t="str" cm="1">
        <f t="array" ref="A2877">INDEX('[1]Brand Family Territory (Enc)'!$A$2:$A$296,INT((ROW()-2)/10)+1)</f>
        <v>Source It's A Me</v>
      </c>
      <c r="B2877" s="2" t="str" cm="1">
        <f t="array" ref="B2877">INDEX('Whitelist (Blackout Reverse)'!$B$1:$K$1,MOD(ROW()-2,10)+1)</f>
        <v>UNION</v>
      </c>
      <c r="C2877" s="2" t="str">
        <f>VLOOKUP(A2877,'[1]Brand Family Territory (Enc)'!$A$2:$B$296,2,FALSE)</f>
        <v>All Counties</v>
      </c>
      <c r="D2877" s="2">
        <f>IF(COUNTIFS('[1]Brand Family Territories (Enc)'!$B$2:$B$62,C2877,'[1]Brand Family Territories (Enc)'!$C$2:$C$62,B2877)&gt;0,1,IF(AND(LEFT(B2877,6)="MORRIS",COUNTIFS('[1]Brand Family Territories (Enc)'!$B$2:$B$62,C2877,'[1]Brand Family Territories (Enc)'!$C$2:$C$62,"Morri")&gt;0),"Unk",0))</f>
        <v>1</v>
      </c>
      <c r="E2877" s="2" t="str">
        <f>IFERROR(INDEX('Blackout Brand Fam Areas (Enc)'!$D$6:$D$998,MATCH(UPPER(A2877)&amp;"|"&amp;UPPER(B2877),'Blackout Brand Fam Areas (Enc)'!$G$6:$G$998,0)),"No Match")</f>
        <v>No Match</v>
      </c>
      <c r="F2877" s="2" t="str">
        <f t="shared" si="88"/>
        <v>US</v>
      </c>
      <c r="G2877" s="2" t="str">
        <f t="shared" si="89"/>
        <v>Source It's A Me|UNION</v>
      </c>
    </row>
    <row r="2878" spans="1:7" x14ac:dyDescent="0.2">
      <c r="A2878" s="2" t="str" cm="1">
        <f t="array" ref="A2878">INDEX('[1]Brand Family Territory (Enc)'!$A$2:$A$296,INT((ROW()-2)/10)+1)</f>
        <v>Source It's A Me</v>
      </c>
      <c r="B2878" s="2" t="str" cm="1">
        <f t="array" ref="B2878">INDEX('Whitelist (Blackout Reverse)'!$B$1:$K$1,MOD(ROW()-2,10)+1)</f>
        <v>SUSSEX</v>
      </c>
      <c r="C2878" s="2" t="str">
        <f>VLOOKUP(A2878,'[1]Brand Family Territory (Enc)'!$A$2:$B$296,2,FALSE)</f>
        <v>All Counties</v>
      </c>
      <c r="D2878" s="2">
        <f>IF(COUNTIFS('[1]Brand Family Territories (Enc)'!$B$2:$B$62,C2878,'[1]Brand Family Territories (Enc)'!$C$2:$C$62,B2878)&gt;0,1,IF(AND(LEFT(B2878,6)="MORRIS",COUNTIFS('[1]Brand Family Territories (Enc)'!$B$2:$B$62,C2878,'[1]Brand Family Territories (Enc)'!$C$2:$C$62,"Morri")&gt;0),"Unk",0))</f>
        <v>1</v>
      </c>
      <c r="E2878" s="2" t="str">
        <f>IFERROR(INDEX('Blackout Brand Fam Areas (Enc)'!$D$6:$D$998,MATCH(UPPER(A2878)&amp;"|"&amp;UPPER(B2878),'Blackout Brand Fam Areas (Enc)'!$G$6:$G$998,0)),"No Match")</f>
        <v>No Match</v>
      </c>
      <c r="F2878" s="2" t="str">
        <f t="shared" si="88"/>
        <v>US</v>
      </c>
      <c r="G2878" s="2" t="str">
        <f t="shared" si="89"/>
        <v>Source It's A Me|SUSSEX</v>
      </c>
    </row>
    <row r="2879" spans="1:7" x14ac:dyDescent="0.2">
      <c r="A2879" s="2" t="str" cm="1">
        <f t="array" ref="A2879">INDEX('[1]Brand Family Territory (Enc)'!$A$2:$A$296,INT((ROW()-2)/10)+1)</f>
        <v>Source It's A Me</v>
      </c>
      <c r="B2879" s="2" t="str" cm="1">
        <f t="array" ref="B2879">INDEX('Whitelist (Blackout Reverse)'!$B$1:$K$1,MOD(ROW()-2,10)+1)</f>
        <v>MORRIS 1</v>
      </c>
      <c r="C2879" s="2" t="str">
        <f>VLOOKUP(A2879,'[1]Brand Family Territory (Enc)'!$A$2:$B$296,2,FALSE)</f>
        <v>All Counties</v>
      </c>
      <c r="D2879" s="2">
        <f>IF(COUNTIFS('[1]Brand Family Territories (Enc)'!$B$2:$B$62,C2879,'[1]Brand Family Territories (Enc)'!$C$2:$C$62,B2879)&gt;0,1,IF(AND(LEFT(B2879,6)="MORRIS",COUNTIFS('[1]Brand Family Territories (Enc)'!$B$2:$B$62,C2879,'[1]Brand Family Territories (Enc)'!$C$2:$C$62,"Morri")&gt;0),"Unk",0))</f>
        <v>1</v>
      </c>
      <c r="E2879" s="2" t="str">
        <f>IFERROR(INDEX('Blackout Brand Fam Areas (Enc)'!$D$6:$D$998,MATCH(UPPER(A2879)&amp;"|"&amp;UPPER(B2879),'Blackout Brand Fam Areas (Enc)'!$G$6:$G$998,0)),"No Match")</f>
        <v>No Match</v>
      </c>
      <c r="F2879" s="2" t="str">
        <f t="shared" si="88"/>
        <v>US</v>
      </c>
      <c r="G2879" s="2" t="str">
        <f t="shared" si="89"/>
        <v>Source It's A Me|MORRIS 1</v>
      </c>
    </row>
    <row r="2880" spans="1:7" x14ac:dyDescent="0.2">
      <c r="A2880" s="2" t="str" cm="1">
        <f t="array" ref="A2880">INDEX('[1]Brand Family Territory (Enc)'!$A$2:$A$296,INT((ROW()-2)/10)+1)</f>
        <v>Source It's A Me</v>
      </c>
      <c r="B2880" s="2" t="str" cm="1">
        <f t="array" ref="B2880">INDEX('Whitelist (Blackout Reverse)'!$B$1:$K$1,MOD(ROW()-2,10)+1)</f>
        <v>MORRIS 2</v>
      </c>
      <c r="C2880" s="2" t="str">
        <f>VLOOKUP(A2880,'[1]Brand Family Territory (Enc)'!$A$2:$B$296,2,FALSE)</f>
        <v>All Counties</v>
      </c>
      <c r="D2880" s="2">
        <f>IF(COUNTIFS('[1]Brand Family Territories (Enc)'!$B$2:$B$62,C2880,'[1]Brand Family Territories (Enc)'!$C$2:$C$62,B2880)&gt;0,1,IF(AND(LEFT(B2880,6)="MORRIS",COUNTIFS('[1]Brand Family Territories (Enc)'!$B$2:$B$62,C2880,'[1]Brand Family Territories (Enc)'!$C$2:$C$62,"Morri")&gt;0),"Unk",0))</f>
        <v>1</v>
      </c>
      <c r="E2880" s="2" t="str">
        <f>IFERROR(INDEX('Blackout Brand Fam Areas (Enc)'!$D$6:$D$998,MATCH(UPPER(A2880)&amp;"|"&amp;UPPER(B2880),'Blackout Brand Fam Areas (Enc)'!$G$6:$G$998,0)),"No Match")</f>
        <v>No Match</v>
      </c>
      <c r="F2880" s="2" t="str">
        <f t="shared" si="88"/>
        <v>US</v>
      </c>
      <c r="G2880" s="2" t="str">
        <f t="shared" si="89"/>
        <v>Source It's A Me|MORRIS 2</v>
      </c>
    </row>
    <row r="2881" spans="1:7" x14ac:dyDescent="0.2">
      <c r="A2881" s="2" t="str" cm="1">
        <f t="array" ref="A2881">INDEX('[1]Brand Family Territory (Enc)'!$A$2:$A$296,INT((ROW()-2)/10)+1)</f>
        <v>Source It's A Me</v>
      </c>
      <c r="B2881" s="2" t="str" cm="1">
        <f t="array" ref="B2881">INDEX('Whitelist (Blackout Reverse)'!$B$1:$K$1,MOD(ROW()-2,10)+1)</f>
        <v>MORRIS 3</v>
      </c>
      <c r="C2881" s="2" t="str">
        <f>VLOOKUP(A2881,'[1]Brand Family Territory (Enc)'!$A$2:$B$296,2,FALSE)</f>
        <v>All Counties</v>
      </c>
      <c r="D2881" s="2">
        <f>IF(COUNTIFS('[1]Brand Family Territories (Enc)'!$B$2:$B$62,C2881,'[1]Brand Family Territories (Enc)'!$C$2:$C$62,B2881)&gt;0,1,IF(AND(LEFT(B2881,6)="MORRIS",COUNTIFS('[1]Brand Family Territories (Enc)'!$B$2:$B$62,C2881,'[1]Brand Family Territories (Enc)'!$C$2:$C$62,"Morri")&gt;0),"Unk",0))</f>
        <v>1</v>
      </c>
      <c r="E2881" s="2" t="str">
        <f>IFERROR(INDEX('Blackout Brand Fam Areas (Enc)'!$D$6:$D$998,MATCH(UPPER(A2881)&amp;"|"&amp;UPPER(B2881),'Blackout Brand Fam Areas (Enc)'!$G$6:$G$998,0)),"No Match")</f>
        <v>No Match</v>
      </c>
      <c r="F2881" s="2" t="str">
        <f t="shared" si="88"/>
        <v>US</v>
      </c>
      <c r="G2881" s="2" t="str">
        <f t="shared" si="89"/>
        <v>Source It's A Me|MORRIS 3</v>
      </c>
    </row>
    <row r="2882" spans="1:7" x14ac:dyDescent="0.2">
      <c r="A2882" s="2" t="str" cm="1">
        <f t="array" ref="A2882">INDEX('[1]Brand Family Territory (Enc)'!$A$2:$A$296,INT((ROW()-2)/10)+1)</f>
        <v>Source Ultra Citra</v>
      </c>
      <c r="B2882" s="2" t="str" cm="1">
        <f t="array" ref="B2882">INDEX('Whitelist (Blackout Reverse)'!$B$1:$K$1,MOD(ROW()-2,10)+1)</f>
        <v>BERGEN</v>
      </c>
      <c r="C2882" s="2" t="str">
        <f>VLOOKUP(A2882,'[1]Brand Family Territory (Enc)'!$A$2:$B$296,2,FALSE)</f>
        <v>All Counties</v>
      </c>
      <c r="D2882" s="2">
        <f>IF(COUNTIFS('[1]Brand Family Territories (Enc)'!$B$2:$B$62,C2882,'[1]Brand Family Territories (Enc)'!$C$2:$C$62,B2882)&gt;0,1,IF(AND(LEFT(B2882,6)="MORRIS",COUNTIFS('[1]Brand Family Territories (Enc)'!$B$2:$B$62,C2882,'[1]Brand Family Territories (Enc)'!$C$2:$C$62,"Morri")&gt;0),"Unk",0))</f>
        <v>1</v>
      </c>
      <c r="E2882" s="2" t="str">
        <f>IFERROR(INDEX('Blackout Brand Fam Areas (Enc)'!$D$6:$D$998,MATCH(UPPER(A2882)&amp;"|"&amp;UPPER(B2882),'Blackout Brand Fam Areas (Enc)'!$G$6:$G$998,0)),"No Match")</f>
        <v>No Match</v>
      </c>
      <c r="F2882" s="2" t="str">
        <f t="shared" si="88"/>
        <v>US</v>
      </c>
      <c r="G2882" s="2" t="str">
        <f t="shared" si="89"/>
        <v>Source Ultra Citra|BERGEN</v>
      </c>
    </row>
    <row r="2883" spans="1:7" x14ac:dyDescent="0.2">
      <c r="A2883" s="2" t="str" cm="1">
        <f t="array" ref="A2883">INDEX('[1]Brand Family Territory (Enc)'!$A$2:$A$296,INT((ROW()-2)/10)+1)</f>
        <v>Source Ultra Citra</v>
      </c>
      <c r="B2883" s="2" t="str" cm="1">
        <f t="array" ref="B2883">INDEX('Whitelist (Blackout Reverse)'!$B$1:$K$1,MOD(ROW()-2,10)+1)</f>
        <v>PASSAIC</v>
      </c>
      <c r="C2883" s="2" t="str">
        <f>VLOOKUP(A2883,'[1]Brand Family Territory (Enc)'!$A$2:$B$296,2,FALSE)</f>
        <v>All Counties</v>
      </c>
      <c r="D2883" s="2">
        <f>IF(COUNTIFS('[1]Brand Family Territories (Enc)'!$B$2:$B$62,C2883,'[1]Brand Family Territories (Enc)'!$C$2:$C$62,B2883)&gt;0,1,IF(AND(LEFT(B2883,6)="MORRIS",COUNTIFS('[1]Brand Family Territories (Enc)'!$B$2:$B$62,C2883,'[1]Brand Family Territories (Enc)'!$C$2:$C$62,"Morri")&gt;0),"Unk",0))</f>
        <v>1</v>
      </c>
      <c r="E2883" s="2" t="str">
        <f>IFERROR(INDEX('Blackout Brand Fam Areas (Enc)'!$D$6:$D$998,MATCH(UPPER(A2883)&amp;"|"&amp;UPPER(B2883),'Blackout Brand Fam Areas (Enc)'!$G$6:$G$998,0)),"No Match")</f>
        <v>No Match</v>
      </c>
      <c r="F2883" s="2" t="str">
        <f t="shared" ref="F2883:F2946" si="90">IF(D2883="Unk","Ambiguous (Source Truncated)",IF(E2883="Inactive","THEM",IF(D2883=1,"US",IF(D2883="N/A","No Territory Data","THEM"))))</f>
        <v>US</v>
      </c>
      <c r="G2883" s="2" t="str">
        <f t="shared" ref="G2883:G2946" si="91">A2883&amp;"|"&amp;B2883</f>
        <v>Source Ultra Citra|PASSAIC</v>
      </c>
    </row>
    <row r="2884" spans="1:7" x14ac:dyDescent="0.2">
      <c r="A2884" s="2" t="str" cm="1">
        <f t="array" ref="A2884">INDEX('[1]Brand Family Territory (Enc)'!$A$2:$A$296,INT((ROW()-2)/10)+1)</f>
        <v>Source Ultra Citra</v>
      </c>
      <c r="B2884" s="2" t="str" cm="1">
        <f t="array" ref="B2884">INDEX('Whitelist (Blackout Reverse)'!$B$1:$K$1,MOD(ROW()-2,10)+1)</f>
        <v>PASSAIC-FF</v>
      </c>
      <c r="C2884" s="2" t="str">
        <f>VLOOKUP(A2884,'[1]Brand Family Territory (Enc)'!$A$2:$B$296,2,FALSE)</f>
        <v>All Counties</v>
      </c>
      <c r="D2884" s="2">
        <f>IF(COUNTIFS('[1]Brand Family Territories (Enc)'!$B$2:$B$62,C2884,'[1]Brand Family Territories (Enc)'!$C$2:$C$62,B2884)&gt;0,1,IF(AND(LEFT(B2884,6)="MORRIS",COUNTIFS('[1]Brand Family Territories (Enc)'!$B$2:$B$62,C2884,'[1]Brand Family Territories (Enc)'!$C$2:$C$62,"Morri")&gt;0),"Unk",0))</f>
        <v>1</v>
      </c>
      <c r="E2884" s="2" t="str">
        <f>IFERROR(INDEX('Blackout Brand Fam Areas (Enc)'!$D$6:$D$998,MATCH(UPPER(A2884)&amp;"|"&amp;UPPER(B2884),'Blackout Brand Fam Areas (Enc)'!$G$6:$G$998,0)),"No Match")</f>
        <v>No Match</v>
      </c>
      <c r="F2884" s="2" t="str">
        <f t="shared" si="90"/>
        <v>US</v>
      </c>
      <c r="G2884" s="2" t="str">
        <f t="shared" si="91"/>
        <v>Source Ultra Citra|PASSAIC-FF</v>
      </c>
    </row>
    <row r="2885" spans="1:7" x14ac:dyDescent="0.2">
      <c r="A2885" s="2" t="str" cm="1">
        <f t="array" ref="A2885">INDEX('[1]Brand Family Territory (Enc)'!$A$2:$A$296,INT((ROW()-2)/10)+1)</f>
        <v>Source Ultra Citra</v>
      </c>
      <c r="B2885" s="2" t="str" cm="1">
        <f t="array" ref="B2885">INDEX('Whitelist (Blackout Reverse)'!$B$1:$K$1,MOD(ROW()-2,10)+1)</f>
        <v>ESSEX</v>
      </c>
      <c r="C2885" s="2" t="str">
        <f>VLOOKUP(A2885,'[1]Brand Family Territory (Enc)'!$A$2:$B$296,2,FALSE)</f>
        <v>All Counties</v>
      </c>
      <c r="D2885" s="2">
        <f>IF(COUNTIFS('[1]Brand Family Territories (Enc)'!$B$2:$B$62,C2885,'[1]Brand Family Territories (Enc)'!$C$2:$C$62,B2885)&gt;0,1,IF(AND(LEFT(B2885,6)="MORRIS",COUNTIFS('[1]Brand Family Territories (Enc)'!$B$2:$B$62,C2885,'[1]Brand Family Territories (Enc)'!$C$2:$C$62,"Morri")&gt;0),"Unk",0))</f>
        <v>1</v>
      </c>
      <c r="E2885" s="2" t="str">
        <f>IFERROR(INDEX('Blackout Brand Fam Areas (Enc)'!$D$6:$D$998,MATCH(UPPER(A2885)&amp;"|"&amp;UPPER(B2885),'Blackout Brand Fam Areas (Enc)'!$G$6:$G$998,0)),"No Match")</f>
        <v>No Match</v>
      </c>
      <c r="F2885" s="2" t="str">
        <f t="shared" si="90"/>
        <v>US</v>
      </c>
      <c r="G2885" s="2" t="str">
        <f t="shared" si="91"/>
        <v>Source Ultra Citra|ESSEX</v>
      </c>
    </row>
    <row r="2886" spans="1:7" x14ac:dyDescent="0.2">
      <c r="A2886" s="2" t="str" cm="1">
        <f t="array" ref="A2886">INDEX('[1]Brand Family Territory (Enc)'!$A$2:$A$296,INT((ROW()-2)/10)+1)</f>
        <v>Source Ultra Citra</v>
      </c>
      <c r="B2886" s="2" t="str" cm="1">
        <f t="array" ref="B2886">INDEX('Whitelist (Blackout Reverse)'!$B$1:$K$1,MOD(ROW()-2,10)+1)</f>
        <v>HUDSON</v>
      </c>
      <c r="C2886" s="2" t="str">
        <f>VLOOKUP(A2886,'[1]Brand Family Territory (Enc)'!$A$2:$B$296,2,FALSE)</f>
        <v>All Counties</v>
      </c>
      <c r="D2886" s="2">
        <f>IF(COUNTIFS('[1]Brand Family Territories (Enc)'!$B$2:$B$62,C2886,'[1]Brand Family Territories (Enc)'!$C$2:$C$62,B2886)&gt;0,1,IF(AND(LEFT(B2886,6)="MORRIS",COUNTIFS('[1]Brand Family Territories (Enc)'!$B$2:$B$62,C2886,'[1]Brand Family Territories (Enc)'!$C$2:$C$62,"Morri")&gt;0),"Unk",0))</f>
        <v>1</v>
      </c>
      <c r="E2886" s="2" t="str">
        <f>IFERROR(INDEX('Blackout Brand Fam Areas (Enc)'!$D$6:$D$998,MATCH(UPPER(A2886)&amp;"|"&amp;UPPER(B2886),'Blackout Brand Fam Areas (Enc)'!$G$6:$G$998,0)),"No Match")</f>
        <v>No Match</v>
      </c>
      <c r="F2886" s="2" t="str">
        <f t="shared" si="90"/>
        <v>US</v>
      </c>
      <c r="G2886" s="2" t="str">
        <f t="shared" si="91"/>
        <v>Source Ultra Citra|HUDSON</v>
      </c>
    </row>
    <row r="2887" spans="1:7" x14ac:dyDescent="0.2">
      <c r="A2887" s="2" t="str" cm="1">
        <f t="array" ref="A2887">INDEX('[1]Brand Family Territory (Enc)'!$A$2:$A$296,INT((ROW()-2)/10)+1)</f>
        <v>Source Ultra Citra</v>
      </c>
      <c r="B2887" s="2" t="str" cm="1">
        <f t="array" ref="B2887">INDEX('Whitelist (Blackout Reverse)'!$B$1:$K$1,MOD(ROW()-2,10)+1)</f>
        <v>UNION</v>
      </c>
      <c r="C2887" s="2" t="str">
        <f>VLOOKUP(A2887,'[1]Brand Family Territory (Enc)'!$A$2:$B$296,2,FALSE)</f>
        <v>All Counties</v>
      </c>
      <c r="D2887" s="2">
        <f>IF(COUNTIFS('[1]Brand Family Territories (Enc)'!$B$2:$B$62,C2887,'[1]Brand Family Territories (Enc)'!$C$2:$C$62,B2887)&gt;0,1,IF(AND(LEFT(B2887,6)="MORRIS",COUNTIFS('[1]Brand Family Territories (Enc)'!$B$2:$B$62,C2887,'[1]Brand Family Territories (Enc)'!$C$2:$C$62,"Morri")&gt;0),"Unk",0))</f>
        <v>1</v>
      </c>
      <c r="E2887" s="2" t="str">
        <f>IFERROR(INDEX('Blackout Brand Fam Areas (Enc)'!$D$6:$D$998,MATCH(UPPER(A2887)&amp;"|"&amp;UPPER(B2887),'Blackout Brand Fam Areas (Enc)'!$G$6:$G$998,0)),"No Match")</f>
        <v>No Match</v>
      </c>
      <c r="F2887" s="2" t="str">
        <f t="shared" si="90"/>
        <v>US</v>
      </c>
      <c r="G2887" s="2" t="str">
        <f t="shared" si="91"/>
        <v>Source Ultra Citra|UNION</v>
      </c>
    </row>
    <row r="2888" spans="1:7" x14ac:dyDescent="0.2">
      <c r="A2888" s="2" t="str" cm="1">
        <f t="array" ref="A2888">INDEX('[1]Brand Family Territory (Enc)'!$A$2:$A$296,INT((ROW()-2)/10)+1)</f>
        <v>Source Ultra Citra</v>
      </c>
      <c r="B2888" s="2" t="str" cm="1">
        <f t="array" ref="B2888">INDEX('Whitelist (Blackout Reverse)'!$B$1:$K$1,MOD(ROW()-2,10)+1)</f>
        <v>SUSSEX</v>
      </c>
      <c r="C2888" s="2" t="str">
        <f>VLOOKUP(A2888,'[1]Brand Family Territory (Enc)'!$A$2:$B$296,2,FALSE)</f>
        <v>All Counties</v>
      </c>
      <c r="D2888" s="2">
        <f>IF(COUNTIFS('[1]Brand Family Territories (Enc)'!$B$2:$B$62,C2888,'[1]Brand Family Territories (Enc)'!$C$2:$C$62,B2888)&gt;0,1,IF(AND(LEFT(B2888,6)="MORRIS",COUNTIFS('[1]Brand Family Territories (Enc)'!$B$2:$B$62,C2888,'[1]Brand Family Territories (Enc)'!$C$2:$C$62,"Morri")&gt;0),"Unk",0))</f>
        <v>1</v>
      </c>
      <c r="E2888" s="2" t="str">
        <f>IFERROR(INDEX('Blackout Brand Fam Areas (Enc)'!$D$6:$D$998,MATCH(UPPER(A2888)&amp;"|"&amp;UPPER(B2888),'Blackout Brand Fam Areas (Enc)'!$G$6:$G$998,0)),"No Match")</f>
        <v>No Match</v>
      </c>
      <c r="F2888" s="2" t="str">
        <f t="shared" si="90"/>
        <v>US</v>
      </c>
      <c r="G2888" s="2" t="str">
        <f t="shared" si="91"/>
        <v>Source Ultra Citra|SUSSEX</v>
      </c>
    </row>
    <row r="2889" spans="1:7" x14ac:dyDescent="0.2">
      <c r="A2889" s="2" t="str" cm="1">
        <f t="array" ref="A2889">INDEX('[1]Brand Family Territory (Enc)'!$A$2:$A$296,INT((ROW()-2)/10)+1)</f>
        <v>Source Ultra Citra</v>
      </c>
      <c r="B2889" s="2" t="str" cm="1">
        <f t="array" ref="B2889">INDEX('Whitelist (Blackout Reverse)'!$B$1:$K$1,MOD(ROW()-2,10)+1)</f>
        <v>MORRIS 1</v>
      </c>
      <c r="C2889" s="2" t="str">
        <f>VLOOKUP(A2889,'[1]Brand Family Territory (Enc)'!$A$2:$B$296,2,FALSE)</f>
        <v>All Counties</v>
      </c>
      <c r="D2889" s="2">
        <f>IF(COUNTIFS('[1]Brand Family Territories (Enc)'!$B$2:$B$62,C2889,'[1]Brand Family Territories (Enc)'!$C$2:$C$62,B2889)&gt;0,1,IF(AND(LEFT(B2889,6)="MORRIS",COUNTIFS('[1]Brand Family Territories (Enc)'!$B$2:$B$62,C2889,'[1]Brand Family Territories (Enc)'!$C$2:$C$62,"Morri")&gt;0),"Unk",0))</f>
        <v>1</v>
      </c>
      <c r="E2889" s="2" t="str">
        <f>IFERROR(INDEX('Blackout Brand Fam Areas (Enc)'!$D$6:$D$998,MATCH(UPPER(A2889)&amp;"|"&amp;UPPER(B2889),'Blackout Brand Fam Areas (Enc)'!$G$6:$G$998,0)),"No Match")</f>
        <v>No Match</v>
      </c>
      <c r="F2889" s="2" t="str">
        <f t="shared" si="90"/>
        <v>US</v>
      </c>
      <c r="G2889" s="2" t="str">
        <f t="shared" si="91"/>
        <v>Source Ultra Citra|MORRIS 1</v>
      </c>
    </row>
    <row r="2890" spans="1:7" x14ac:dyDescent="0.2">
      <c r="A2890" s="2" t="str" cm="1">
        <f t="array" ref="A2890">INDEX('[1]Brand Family Territory (Enc)'!$A$2:$A$296,INT((ROW()-2)/10)+1)</f>
        <v>Source Ultra Citra</v>
      </c>
      <c r="B2890" s="2" t="str" cm="1">
        <f t="array" ref="B2890">INDEX('Whitelist (Blackout Reverse)'!$B$1:$K$1,MOD(ROW()-2,10)+1)</f>
        <v>MORRIS 2</v>
      </c>
      <c r="C2890" s="2" t="str">
        <f>VLOOKUP(A2890,'[1]Brand Family Territory (Enc)'!$A$2:$B$296,2,FALSE)</f>
        <v>All Counties</v>
      </c>
      <c r="D2890" s="2">
        <f>IF(COUNTIFS('[1]Brand Family Territories (Enc)'!$B$2:$B$62,C2890,'[1]Brand Family Territories (Enc)'!$C$2:$C$62,B2890)&gt;0,1,IF(AND(LEFT(B2890,6)="MORRIS",COUNTIFS('[1]Brand Family Territories (Enc)'!$B$2:$B$62,C2890,'[1]Brand Family Territories (Enc)'!$C$2:$C$62,"Morri")&gt;0),"Unk",0))</f>
        <v>1</v>
      </c>
      <c r="E2890" s="2" t="str">
        <f>IFERROR(INDEX('Blackout Brand Fam Areas (Enc)'!$D$6:$D$998,MATCH(UPPER(A2890)&amp;"|"&amp;UPPER(B2890),'Blackout Brand Fam Areas (Enc)'!$G$6:$G$998,0)),"No Match")</f>
        <v>No Match</v>
      </c>
      <c r="F2890" s="2" t="str">
        <f t="shared" si="90"/>
        <v>US</v>
      </c>
      <c r="G2890" s="2" t="str">
        <f t="shared" si="91"/>
        <v>Source Ultra Citra|MORRIS 2</v>
      </c>
    </row>
    <row r="2891" spans="1:7" x14ac:dyDescent="0.2">
      <c r="A2891" s="2" t="str" cm="1">
        <f t="array" ref="A2891">INDEX('[1]Brand Family Territory (Enc)'!$A$2:$A$296,INT((ROW()-2)/10)+1)</f>
        <v>Source Ultra Citra</v>
      </c>
      <c r="B2891" s="2" t="str" cm="1">
        <f t="array" ref="B2891">INDEX('Whitelist (Blackout Reverse)'!$B$1:$K$1,MOD(ROW()-2,10)+1)</f>
        <v>MORRIS 3</v>
      </c>
      <c r="C2891" s="2" t="str">
        <f>VLOOKUP(A2891,'[1]Brand Family Territory (Enc)'!$A$2:$B$296,2,FALSE)</f>
        <v>All Counties</v>
      </c>
      <c r="D2891" s="2">
        <f>IF(COUNTIFS('[1]Brand Family Territories (Enc)'!$B$2:$B$62,C2891,'[1]Brand Family Territories (Enc)'!$C$2:$C$62,B2891)&gt;0,1,IF(AND(LEFT(B2891,6)="MORRIS",COUNTIFS('[1]Brand Family Territories (Enc)'!$B$2:$B$62,C2891,'[1]Brand Family Territories (Enc)'!$C$2:$C$62,"Morri")&gt;0),"Unk",0))</f>
        <v>1</v>
      </c>
      <c r="E2891" s="2" t="str">
        <f>IFERROR(INDEX('Blackout Brand Fam Areas (Enc)'!$D$6:$D$998,MATCH(UPPER(A2891)&amp;"|"&amp;UPPER(B2891),'Blackout Brand Fam Areas (Enc)'!$G$6:$G$998,0)),"No Match")</f>
        <v>No Match</v>
      </c>
      <c r="F2891" s="2" t="str">
        <f t="shared" si="90"/>
        <v>US</v>
      </c>
      <c r="G2891" s="2" t="str">
        <f t="shared" si="91"/>
        <v>Source Ultra Citra|MORRIS 3</v>
      </c>
    </row>
    <row r="2892" spans="1:7" x14ac:dyDescent="0.2">
      <c r="A2892" s="2" t="str" cm="1">
        <f t="array" ref="A2892">INDEX('[1]Brand Family Territory (Enc)'!$A$2:$A$296,INT((ROW()-2)/10)+1)</f>
        <v>Source Jersey Lager</v>
      </c>
      <c r="B2892" s="2" t="str" cm="1">
        <f t="array" ref="B2892">INDEX('Whitelist (Blackout Reverse)'!$B$1:$K$1,MOD(ROW()-2,10)+1)</f>
        <v>BERGEN</v>
      </c>
      <c r="C2892" s="2" t="str">
        <f>VLOOKUP(A2892,'[1]Brand Family Territory (Enc)'!$A$2:$B$296,2,FALSE)</f>
        <v>All Counties</v>
      </c>
      <c r="D2892" s="2">
        <f>IF(COUNTIFS('[1]Brand Family Territories (Enc)'!$B$2:$B$62,C2892,'[1]Brand Family Territories (Enc)'!$C$2:$C$62,B2892)&gt;0,1,IF(AND(LEFT(B2892,6)="MORRIS",COUNTIFS('[1]Brand Family Territories (Enc)'!$B$2:$B$62,C2892,'[1]Brand Family Territories (Enc)'!$C$2:$C$62,"Morri")&gt;0),"Unk",0))</f>
        <v>1</v>
      </c>
      <c r="E2892" s="2" t="str">
        <f>IFERROR(INDEX('Blackout Brand Fam Areas (Enc)'!$D$6:$D$998,MATCH(UPPER(A2892)&amp;"|"&amp;UPPER(B2892),'Blackout Brand Fam Areas (Enc)'!$G$6:$G$998,0)),"No Match")</f>
        <v>No Match</v>
      </c>
      <c r="F2892" s="2" t="str">
        <f t="shared" si="90"/>
        <v>US</v>
      </c>
      <c r="G2892" s="2" t="str">
        <f t="shared" si="91"/>
        <v>Source Jersey Lager|BERGEN</v>
      </c>
    </row>
    <row r="2893" spans="1:7" x14ac:dyDescent="0.2">
      <c r="A2893" s="2" t="str" cm="1">
        <f t="array" ref="A2893">INDEX('[1]Brand Family Territory (Enc)'!$A$2:$A$296,INT((ROW()-2)/10)+1)</f>
        <v>Source Jersey Lager</v>
      </c>
      <c r="B2893" s="2" t="str" cm="1">
        <f t="array" ref="B2893">INDEX('Whitelist (Blackout Reverse)'!$B$1:$K$1,MOD(ROW()-2,10)+1)</f>
        <v>PASSAIC</v>
      </c>
      <c r="C2893" s="2" t="str">
        <f>VLOOKUP(A2893,'[1]Brand Family Territory (Enc)'!$A$2:$B$296,2,FALSE)</f>
        <v>All Counties</v>
      </c>
      <c r="D2893" s="2">
        <f>IF(COUNTIFS('[1]Brand Family Territories (Enc)'!$B$2:$B$62,C2893,'[1]Brand Family Territories (Enc)'!$C$2:$C$62,B2893)&gt;0,1,IF(AND(LEFT(B2893,6)="MORRIS",COUNTIFS('[1]Brand Family Territories (Enc)'!$B$2:$B$62,C2893,'[1]Brand Family Territories (Enc)'!$C$2:$C$62,"Morri")&gt;0),"Unk",0))</f>
        <v>1</v>
      </c>
      <c r="E2893" s="2" t="str">
        <f>IFERROR(INDEX('Blackout Brand Fam Areas (Enc)'!$D$6:$D$998,MATCH(UPPER(A2893)&amp;"|"&amp;UPPER(B2893),'Blackout Brand Fam Areas (Enc)'!$G$6:$G$998,0)),"No Match")</f>
        <v>No Match</v>
      </c>
      <c r="F2893" s="2" t="str">
        <f t="shared" si="90"/>
        <v>US</v>
      </c>
      <c r="G2893" s="2" t="str">
        <f t="shared" si="91"/>
        <v>Source Jersey Lager|PASSAIC</v>
      </c>
    </row>
    <row r="2894" spans="1:7" x14ac:dyDescent="0.2">
      <c r="A2894" s="2" t="str" cm="1">
        <f t="array" ref="A2894">INDEX('[1]Brand Family Territory (Enc)'!$A$2:$A$296,INT((ROW()-2)/10)+1)</f>
        <v>Source Jersey Lager</v>
      </c>
      <c r="B2894" s="2" t="str" cm="1">
        <f t="array" ref="B2894">INDEX('Whitelist (Blackout Reverse)'!$B$1:$K$1,MOD(ROW()-2,10)+1)</f>
        <v>PASSAIC-FF</v>
      </c>
      <c r="C2894" s="2" t="str">
        <f>VLOOKUP(A2894,'[1]Brand Family Territory (Enc)'!$A$2:$B$296,2,FALSE)</f>
        <v>All Counties</v>
      </c>
      <c r="D2894" s="2">
        <f>IF(COUNTIFS('[1]Brand Family Territories (Enc)'!$B$2:$B$62,C2894,'[1]Brand Family Territories (Enc)'!$C$2:$C$62,B2894)&gt;0,1,IF(AND(LEFT(B2894,6)="MORRIS",COUNTIFS('[1]Brand Family Territories (Enc)'!$B$2:$B$62,C2894,'[1]Brand Family Territories (Enc)'!$C$2:$C$62,"Morri")&gt;0),"Unk",0))</f>
        <v>1</v>
      </c>
      <c r="E2894" s="2" t="str">
        <f>IFERROR(INDEX('Blackout Brand Fam Areas (Enc)'!$D$6:$D$998,MATCH(UPPER(A2894)&amp;"|"&amp;UPPER(B2894),'Blackout Brand Fam Areas (Enc)'!$G$6:$G$998,0)),"No Match")</f>
        <v>No Match</v>
      </c>
      <c r="F2894" s="2" t="str">
        <f t="shared" si="90"/>
        <v>US</v>
      </c>
      <c r="G2894" s="2" t="str">
        <f t="shared" si="91"/>
        <v>Source Jersey Lager|PASSAIC-FF</v>
      </c>
    </row>
    <row r="2895" spans="1:7" x14ac:dyDescent="0.2">
      <c r="A2895" s="2" t="str" cm="1">
        <f t="array" ref="A2895">INDEX('[1]Brand Family Territory (Enc)'!$A$2:$A$296,INT((ROW()-2)/10)+1)</f>
        <v>Source Jersey Lager</v>
      </c>
      <c r="B2895" s="2" t="str" cm="1">
        <f t="array" ref="B2895">INDEX('Whitelist (Blackout Reverse)'!$B$1:$K$1,MOD(ROW()-2,10)+1)</f>
        <v>ESSEX</v>
      </c>
      <c r="C2895" s="2" t="str">
        <f>VLOOKUP(A2895,'[1]Brand Family Territory (Enc)'!$A$2:$B$296,2,FALSE)</f>
        <v>All Counties</v>
      </c>
      <c r="D2895" s="2">
        <f>IF(COUNTIFS('[1]Brand Family Territories (Enc)'!$B$2:$B$62,C2895,'[1]Brand Family Territories (Enc)'!$C$2:$C$62,B2895)&gt;0,1,IF(AND(LEFT(B2895,6)="MORRIS",COUNTIFS('[1]Brand Family Territories (Enc)'!$B$2:$B$62,C2895,'[1]Brand Family Territories (Enc)'!$C$2:$C$62,"Morri")&gt;0),"Unk",0))</f>
        <v>1</v>
      </c>
      <c r="E2895" s="2" t="str">
        <f>IFERROR(INDEX('Blackout Brand Fam Areas (Enc)'!$D$6:$D$998,MATCH(UPPER(A2895)&amp;"|"&amp;UPPER(B2895),'Blackout Brand Fam Areas (Enc)'!$G$6:$G$998,0)),"No Match")</f>
        <v>No Match</v>
      </c>
      <c r="F2895" s="2" t="str">
        <f t="shared" si="90"/>
        <v>US</v>
      </c>
      <c r="G2895" s="2" t="str">
        <f t="shared" si="91"/>
        <v>Source Jersey Lager|ESSEX</v>
      </c>
    </row>
    <row r="2896" spans="1:7" x14ac:dyDescent="0.2">
      <c r="A2896" s="2" t="str" cm="1">
        <f t="array" ref="A2896">INDEX('[1]Brand Family Territory (Enc)'!$A$2:$A$296,INT((ROW()-2)/10)+1)</f>
        <v>Source Jersey Lager</v>
      </c>
      <c r="B2896" s="2" t="str" cm="1">
        <f t="array" ref="B2896">INDEX('Whitelist (Blackout Reverse)'!$B$1:$K$1,MOD(ROW()-2,10)+1)</f>
        <v>HUDSON</v>
      </c>
      <c r="C2896" s="2" t="str">
        <f>VLOOKUP(A2896,'[1]Brand Family Territory (Enc)'!$A$2:$B$296,2,FALSE)</f>
        <v>All Counties</v>
      </c>
      <c r="D2896" s="2">
        <f>IF(COUNTIFS('[1]Brand Family Territories (Enc)'!$B$2:$B$62,C2896,'[1]Brand Family Territories (Enc)'!$C$2:$C$62,B2896)&gt;0,1,IF(AND(LEFT(B2896,6)="MORRIS",COUNTIFS('[1]Brand Family Territories (Enc)'!$B$2:$B$62,C2896,'[1]Brand Family Territories (Enc)'!$C$2:$C$62,"Morri")&gt;0),"Unk",0))</f>
        <v>1</v>
      </c>
      <c r="E2896" s="2" t="str">
        <f>IFERROR(INDEX('Blackout Brand Fam Areas (Enc)'!$D$6:$D$998,MATCH(UPPER(A2896)&amp;"|"&amp;UPPER(B2896),'Blackout Brand Fam Areas (Enc)'!$G$6:$G$998,0)),"No Match")</f>
        <v>No Match</v>
      </c>
      <c r="F2896" s="2" t="str">
        <f t="shared" si="90"/>
        <v>US</v>
      </c>
      <c r="G2896" s="2" t="str">
        <f t="shared" si="91"/>
        <v>Source Jersey Lager|HUDSON</v>
      </c>
    </row>
    <row r="2897" spans="1:7" x14ac:dyDescent="0.2">
      <c r="A2897" s="2" t="str" cm="1">
        <f t="array" ref="A2897">INDEX('[1]Brand Family Territory (Enc)'!$A$2:$A$296,INT((ROW()-2)/10)+1)</f>
        <v>Source Jersey Lager</v>
      </c>
      <c r="B2897" s="2" t="str" cm="1">
        <f t="array" ref="B2897">INDEX('Whitelist (Blackout Reverse)'!$B$1:$K$1,MOD(ROW()-2,10)+1)</f>
        <v>UNION</v>
      </c>
      <c r="C2897" s="2" t="str">
        <f>VLOOKUP(A2897,'[1]Brand Family Territory (Enc)'!$A$2:$B$296,2,FALSE)</f>
        <v>All Counties</v>
      </c>
      <c r="D2897" s="2">
        <f>IF(COUNTIFS('[1]Brand Family Territories (Enc)'!$B$2:$B$62,C2897,'[1]Brand Family Territories (Enc)'!$C$2:$C$62,B2897)&gt;0,1,IF(AND(LEFT(B2897,6)="MORRIS",COUNTIFS('[1]Brand Family Territories (Enc)'!$B$2:$B$62,C2897,'[1]Brand Family Territories (Enc)'!$C$2:$C$62,"Morri")&gt;0),"Unk",0))</f>
        <v>1</v>
      </c>
      <c r="E2897" s="2" t="str">
        <f>IFERROR(INDEX('Blackout Brand Fam Areas (Enc)'!$D$6:$D$998,MATCH(UPPER(A2897)&amp;"|"&amp;UPPER(B2897),'Blackout Brand Fam Areas (Enc)'!$G$6:$G$998,0)),"No Match")</f>
        <v>No Match</v>
      </c>
      <c r="F2897" s="2" t="str">
        <f t="shared" si="90"/>
        <v>US</v>
      </c>
      <c r="G2897" s="2" t="str">
        <f t="shared" si="91"/>
        <v>Source Jersey Lager|UNION</v>
      </c>
    </row>
    <row r="2898" spans="1:7" x14ac:dyDescent="0.2">
      <c r="A2898" s="2" t="str" cm="1">
        <f t="array" ref="A2898">INDEX('[1]Brand Family Territory (Enc)'!$A$2:$A$296,INT((ROW()-2)/10)+1)</f>
        <v>Source Jersey Lager</v>
      </c>
      <c r="B2898" s="2" t="str" cm="1">
        <f t="array" ref="B2898">INDEX('Whitelist (Blackout Reverse)'!$B$1:$K$1,MOD(ROW()-2,10)+1)</f>
        <v>SUSSEX</v>
      </c>
      <c r="C2898" s="2" t="str">
        <f>VLOOKUP(A2898,'[1]Brand Family Territory (Enc)'!$A$2:$B$296,2,FALSE)</f>
        <v>All Counties</v>
      </c>
      <c r="D2898" s="2">
        <f>IF(COUNTIFS('[1]Brand Family Territories (Enc)'!$B$2:$B$62,C2898,'[1]Brand Family Territories (Enc)'!$C$2:$C$62,B2898)&gt;0,1,IF(AND(LEFT(B2898,6)="MORRIS",COUNTIFS('[1]Brand Family Territories (Enc)'!$B$2:$B$62,C2898,'[1]Brand Family Territories (Enc)'!$C$2:$C$62,"Morri")&gt;0),"Unk",0))</f>
        <v>1</v>
      </c>
      <c r="E2898" s="2" t="str">
        <f>IFERROR(INDEX('Blackout Brand Fam Areas (Enc)'!$D$6:$D$998,MATCH(UPPER(A2898)&amp;"|"&amp;UPPER(B2898),'Blackout Brand Fam Areas (Enc)'!$G$6:$G$998,0)),"No Match")</f>
        <v>No Match</v>
      </c>
      <c r="F2898" s="2" t="str">
        <f t="shared" si="90"/>
        <v>US</v>
      </c>
      <c r="G2898" s="2" t="str">
        <f t="shared" si="91"/>
        <v>Source Jersey Lager|SUSSEX</v>
      </c>
    </row>
    <row r="2899" spans="1:7" x14ac:dyDescent="0.2">
      <c r="A2899" s="2" t="str" cm="1">
        <f t="array" ref="A2899">INDEX('[1]Brand Family Territory (Enc)'!$A$2:$A$296,INT((ROW()-2)/10)+1)</f>
        <v>Source Jersey Lager</v>
      </c>
      <c r="B2899" s="2" t="str" cm="1">
        <f t="array" ref="B2899">INDEX('Whitelist (Blackout Reverse)'!$B$1:$K$1,MOD(ROW()-2,10)+1)</f>
        <v>MORRIS 1</v>
      </c>
      <c r="C2899" s="2" t="str">
        <f>VLOOKUP(A2899,'[1]Brand Family Territory (Enc)'!$A$2:$B$296,2,FALSE)</f>
        <v>All Counties</v>
      </c>
      <c r="D2899" s="2">
        <f>IF(COUNTIFS('[1]Brand Family Territories (Enc)'!$B$2:$B$62,C2899,'[1]Brand Family Territories (Enc)'!$C$2:$C$62,B2899)&gt;0,1,IF(AND(LEFT(B2899,6)="MORRIS",COUNTIFS('[1]Brand Family Territories (Enc)'!$B$2:$B$62,C2899,'[1]Brand Family Territories (Enc)'!$C$2:$C$62,"Morri")&gt;0),"Unk",0))</f>
        <v>1</v>
      </c>
      <c r="E2899" s="2" t="str">
        <f>IFERROR(INDEX('Blackout Brand Fam Areas (Enc)'!$D$6:$D$998,MATCH(UPPER(A2899)&amp;"|"&amp;UPPER(B2899),'Blackout Brand Fam Areas (Enc)'!$G$6:$G$998,0)),"No Match")</f>
        <v>No Match</v>
      </c>
      <c r="F2899" s="2" t="str">
        <f t="shared" si="90"/>
        <v>US</v>
      </c>
      <c r="G2899" s="2" t="str">
        <f t="shared" si="91"/>
        <v>Source Jersey Lager|MORRIS 1</v>
      </c>
    </row>
    <row r="2900" spans="1:7" x14ac:dyDescent="0.2">
      <c r="A2900" s="2" t="str" cm="1">
        <f t="array" ref="A2900">INDEX('[1]Brand Family Territory (Enc)'!$A$2:$A$296,INT((ROW()-2)/10)+1)</f>
        <v>Source Jersey Lager</v>
      </c>
      <c r="B2900" s="2" t="str" cm="1">
        <f t="array" ref="B2900">INDEX('Whitelist (Blackout Reverse)'!$B$1:$K$1,MOD(ROW()-2,10)+1)</f>
        <v>MORRIS 2</v>
      </c>
      <c r="C2900" s="2" t="str">
        <f>VLOOKUP(A2900,'[1]Brand Family Territory (Enc)'!$A$2:$B$296,2,FALSE)</f>
        <v>All Counties</v>
      </c>
      <c r="D2900" s="2">
        <f>IF(COUNTIFS('[1]Brand Family Territories (Enc)'!$B$2:$B$62,C2900,'[1]Brand Family Territories (Enc)'!$C$2:$C$62,B2900)&gt;0,1,IF(AND(LEFT(B2900,6)="MORRIS",COUNTIFS('[1]Brand Family Territories (Enc)'!$B$2:$B$62,C2900,'[1]Brand Family Territories (Enc)'!$C$2:$C$62,"Morri")&gt;0),"Unk",0))</f>
        <v>1</v>
      </c>
      <c r="E2900" s="2" t="str">
        <f>IFERROR(INDEX('Blackout Brand Fam Areas (Enc)'!$D$6:$D$998,MATCH(UPPER(A2900)&amp;"|"&amp;UPPER(B2900),'Blackout Brand Fam Areas (Enc)'!$G$6:$G$998,0)),"No Match")</f>
        <v>No Match</v>
      </c>
      <c r="F2900" s="2" t="str">
        <f t="shared" si="90"/>
        <v>US</v>
      </c>
      <c r="G2900" s="2" t="str">
        <f t="shared" si="91"/>
        <v>Source Jersey Lager|MORRIS 2</v>
      </c>
    </row>
    <row r="2901" spans="1:7" x14ac:dyDescent="0.2">
      <c r="A2901" s="2" t="str" cm="1">
        <f t="array" ref="A2901">INDEX('[1]Brand Family Territory (Enc)'!$A$2:$A$296,INT((ROW()-2)/10)+1)</f>
        <v>Source Jersey Lager</v>
      </c>
      <c r="B2901" s="2" t="str" cm="1">
        <f t="array" ref="B2901">INDEX('Whitelist (Blackout Reverse)'!$B$1:$K$1,MOD(ROW()-2,10)+1)</f>
        <v>MORRIS 3</v>
      </c>
      <c r="C2901" s="2" t="str">
        <f>VLOOKUP(A2901,'[1]Brand Family Territory (Enc)'!$A$2:$B$296,2,FALSE)</f>
        <v>All Counties</v>
      </c>
      <c r="D2901" s="2">
        <f>IF(COUNTIFS('[1]Brand Family Territories (Enc)'!$B$2:$B$62,C2901,'[1]Brand Family Territories (Enc)'!$C$2:$C$62,B2901)&gt;0,1,IF(AND(LEFT(B2901,6)="MORRIS",COUNTIFS('[1]Brand Family Territories (Enc)'!$B$2:$B$62,C2901,'[1]Brand Family Territories (Enc)'!$C$2:$C$62,"Morri")&gt;0),"Unk",0))</f>
        <v>1</v>
      </c>
      <c r="E2901" s="2" t="str">
        <f>IFERROR(INDEX('Blackout Brand Fam Areas (Enc)'!$D$6:$D$998,MATCH(UPPER(A2901)&amp;"|"&amp;UPPER(B2901),'Blackout Brand Fam Areas (Enc)'!$G$6:$G$998,0)),"No Match")</f>
        <v>No Match</v>
      </c>
      <c r="F2901" s="2" t="str">
        <f t="shared" si="90"/>
        <v>US</v>
      </c>
      <c r="G2901" s="2" t="str">
        <f t="shared" si="91"/>
        <v>Source Jersey Lager|MORRIS 3</v>
      </c>
    </row>
    <row r="2902" spans="1:7" x14ac:dyDescent="0.2">
      <c r="A2902" s="2" t="str" cm="1">
        <f t="array" ref="A2902">INDEX('[1]Brand Family Territory (Enc)'!$A$2:$A$296,INT((ROW()-2)/10)+1)</f>
        <v>Flying Fish Box of Bones Variety</v>
      </c>
      <c r="B2902" s="2" t="str" cm="1">
        <f t="array" ref="B2902">INDEX('Whitelist (Blackout Reverse)'!$B$1:$K$1,MOD(ROW()-2,10)+1)</f>
        <v>BERGEN</v>
      </c>
      <c r="C2902" s="2" t="str">
        <f>VLOOKUP(A2902,'[1]Brand Family Territory (Enc)'!$A$2:$B$296,2,FALSE)</f>
        <v>Metro Less West Milford Area</v>
      </c>
      <c r="D2902" s="2">
        <f>IF(COUNTIFS('[1]Brand Family Territories (Enc)'!$B$2:$B$62,C2902,'[1]Brand Family Territories (Enc)'!$C$2:$C$62,B2902)&gt;0,1,IF(AND(LEFT(B2902,6)="MORRIS",COUNTIFS('[1]Brand Family Territories (Enc)'!$B$2:$B$62,C2902,'[1]Brand Family Territories (Enc)'!$C$2:$C$62,"Morri")&gt;0),"Unk",0))</f>
        <v>1</v>
      </c>
      <c r="E2902" s="2" t="str">
        <f>IFERROR(INDEX('Blackout Brand Fam Areas (Enc)'!$D$6:$D$998,MATCH(UPPER(A2902)&amp;"|"&amp;UPPER(B2902),'Blackout Brand Fam Areas (Enc)'!$G$6:$G$998,0)),"No Match")</f>
        <v>No Match</v>
      </c>
      <c r="F2902" s="2" t="str">
        <f t="shared" si="90"/>
        <v>US</v>
      </c>
      <c r="G2902" s="2" t="str">
        <f t="shared" si="91"/>
        <v>Flying Fish Box of Bones Variety|BERGEN</v>
      </c>
    </row>
    <row r="2903" spans="1:7" x14ac:dyDescent="0.2">
      <c r="A2903" s="2" t="str" cm="1">
        <f t="array" ref="A2903">INDEX('[1]Brand Family Territory (Enc)'!$A$2:$A$296,INT((ROW()-2)/10)+1)</f>
        <v>Flying Fish Box of Bones Variety</v>
      </c>
      <c r="B2903" s="2" t="str" cm="1">
        <f t="array" ref="B2903">INDEX('Whitelist (Blackout Reverse)'!$B$1:$K$1,MOD(ROW()-2,10)+1)</f>
        <v>PASSAIC</v>
      </c>
      <c r="C2903" s="2" t="str">
        <f>VLOOKUP(A2903,'[1]Brand Family Territory (Enc)'!$A$2:$B$296,2,FALSE)</f>
        <v>Metro Less West Milford Area</v>
      </c>
      <c r="D2903" s="2">
        <f>IF(COUNTIFS('[1]Brand Family Territories (Enc)'!$B$2:$B$62,C2903,'[1]Brand Family Territories (Enc)'!$C$2:$C$62,B2903)&gt;0,1,IF(AND(LEFT(B2903,6)="MORRIS",COUNTIFS('[1]Brand Family Territories (Enc)'!$B$2:$B$62,C2903,'[1]Brand Family Territories (Enc)'!$C$2:$C$62,"Morri")&gt;0),"Unk",0))</f>
        <v>1</v>
      </c>
      <c r="E2903" s="2" t="str">
        <f>IFERROR(INDEX('Blackout Brand Fam Areas (Enc)'!$D$6:$D$998,MATCH(UPPER(A2903)&amp;"|"&amp;UPPER(B2903),'Blackout Brand Fam Areas (Enc)'!$G$6:$G$998,0)),"No Match")</f>
        <v>No Match</v>
      </c>
      <c r="F2903" s="2" t="str">
        <f t="shared" si="90"/>
        <v>US</v>
      </c>
      <c r="G2903" s="2" t="str">
        <f t="shared" si="91"/>
        <v>Flying Fish Box of Bones Variety|PASSAIC</v>
      </c>
    </row>
    <row r="2904" spans="1:7" x14ac:dyDescent="0.2">
      <c r="A2904" s="2" t="str" cm="1">
        <f t="array" ref="A2904">INDEX('[1]Brand Family Territory (Enc)'!$A$2:$A$296,INT((ROW()-2)/10)+1)</f>
        <v>Flying Fish Box of Bones Variety</v>
      </c>
      <c r="B2904" s="2" t="str" cm="1">
        <f t="array" ref="B2904">INDEX('Whitelist (Blackout Reverse)'!$B$1:$K$1,MOD(ROW()-2,10)+1)</f>
        <v>PASSAIC-FF</v>
      </c>
      <c r="C2904" s="2" t="str">
        <f>VLOOKUP(A2904,'[1]Brand Family Territory (Enc)'!$A$2:$B$296,2,FALSE)</f>
        <v>Metro Less West Milford Area</v>
      </c>
      <c r="D2904" s="2">
        <f>IF(COUNTIFS('[1]Brand Family Territories (Enc)'!$B$2:$B$62,C2904,'[1]Brand Family Territories (Enc)'!$C$2:$C$62,B2904)&gt;0,1,IF(AND(LEFT(B2904,6)="MORRIS",COUNTIFS('[1]Brand Family Territories (Enc)'!$B$2:$B$62,C2904,'[1]Brand Family Territories (Enc)'!$C$2:$C$62,"Morri")&gt;0),"Unk",0))</f>
        <v>1</v>
      </c>
      <c r="E2904" s="2" t="str">
        <f>IFERROR(INDEX('Blackout Brand Fam Areas (Enc)'!$D$6:$D$998,MATCH(UPPER(A2904)&amp;"|"&amp;UPPER(B2904),'Blackout Brand Fam Areas (Enc)'!$G$6:$G$998,0)),"No Match")</f>
        <v>Inactive</v>
      </c>
      <c r="F2904" s="2" t="str">
        <f t="shared" si="90"/>
        <v>THEM</v>
      </c>
      <c r="G2904" s="2" t="str">
        <f t="shared" si="91"/>
        <v>Flying Fish Box of Bones Variety|PASSAIC-FF</v>
      </c>
    </row>
    <row r="2905" spans="1:7" x14ac:dyDescent="0.2">
      <c r="A2905" s="2" t="str" cm="1">
        <f t="array" ref="A2905">INDEX('[1]Brand Family Territory (Enc)'!$A$2:$A$296,INT((ROW()-2)/10)+1)</f>
        <v>Flying Fish Box of Bones Variety</v>
      </c>
      <c r="B2905" s="2" t="str" cm="1">
        <f t="array" ref="B2905">INDEX('Whitelist (Blackout Reverse)'!$B$1:$K$1,MOD(ROW()-2,10)+1)</f>
        <v>ESSEX</v>
      </c>
      <c r="C2905" s="2" t="str">
        <f>VLOOKUP(A2905,'[1]Brand Family Territory (Enc)'!$A$2:$B$296,2,FALSE)</f>
        <v>Metro Less West Milford Area</v>
      </c>
      <c r="D2905" s="2">
        <f>IF(COUNTIFS('[1]Brand Family Territories (Enc)'!$B$2:$B$62,C2905,'[1]Brand Family Territories (Enc)'!$C$2:$C$62,B2905)&gt;0,1,IF(AND(LEFT(B2905,6)="MORRIS",COUNTIFS('[1]Brand Family Territories (Enc)'!$B$2:$B$62,C2905,'[1]Brand Family Territories (Enc)'!$C$2:$C$62,"Morri")&gt;0),"Unk",0))</f>
        <v>1</v>
      </c>
      <c r="E2905" s="2" t="str">
        <f>IFERROR(INDEX('Blackout Brand Fam Areas (Enc)'!$D$6:$D$998,MATCH(UPPER(A2905)&amp;"|"&amp;UPPER(B2905),'Blackout Brand Fam Areas (Enc)'!$G$6:$G$998,0)),"No Match")</f>
        <v>No Match</v>
      </c>
      <c r="F2905" s="2" t="str">
        <f t="shared" si="90"/>
        <v>US</v>
      </c>
      <c r="G2905" s="2" t="str">
        <f t="shared" si="91"/>
        <v>Flying Fish Box of Bones Variety|ESSEX</v>
      </c>
    </row>
    <row r="2906" spans="1:7" x14ac:dyDescent="0.2">
      <c r="A2906" s="2" t="str" cm="1">
        <f t="array" ref="A2906">INDEX('[1]Brand Family Territory (Enc)'!$A$2:$A$296,INT((ROW()-2)/10)+1)</f>
        <v>Flying Fish Box of Bones Variety</v>
      </c>
      <c r="B2906" s="2" t="str" cm="1">
        <f t="array" ref="B2906">INDEX('Whitelist (Blackout Reverse)'!$B$1:$K$1,MOD(ROW()-2,10)+1)</f>
        <v>HUDSON</v>
      </c>
      <c r="C2906" s="2" t="str">
        <f>VLOOKUP(A2906,'[1]Brand Family Territory (Enc)'!$A$2:$B$296,2,FALSE)</f>
        <v>Metro Less West Milford Area</v>
      </c>
      <c r="D2906" s="2">
        <f>IF(COUNTIFS('[1]Brand Family Territories (Enc)'!$B$2:$B$62,C2906,'[1]Brand Family Territories (Enc)'!$C$2:$C$62,B2906)&gt;0,1,IF(AND(LEFT(B2906,6)="MORRIS",COUNTIFS('[1]Brand Family Territories (Enc)'!$B$2:$B$62,C2906,'[1]Brand Family Territories (Enc)'!$C$2:$C$62,"Morri")&gt;0),"Unk",0))</f>
        <v>1</v>
      </c>
      <c r="E2906" s="2" t="str">
        <f>IFERROR(INDEX('Blackout Brand Fam Areas (Enc)'!$D$6:$D$998,MATCH(UPPER(A2906)&amp;"|"&amp;UPPER(B2906),'Blackout Brand Fam Areas (Enc)'!$G$6:$G$998,0)),"No Match")</f>
        <v>No Match</v>
      </c>
      <c r="F2906" s="2" t="str">
        <f t="shared" si="90"/>
        <v>US</v>
      </c>
      <c r="G2906" s="2" t="str">
        <f t="shared" si="91"/>
        <v>Flying Fish Box of Bones Variety|HUDSON</v>
      </c>
    </row>
    <row r="2907" spans="1:7" x14ac:dyDescent="0.2">
      <c r="A2907" s="2" t="str" cm="1">
        <f t="array" ref="A2907">INDEX('[1]Brand Family Territory (Enc)'!$A$2:$A$296,INT((ROW()-2)/10)+1)</f>
        <v>Flying Fish Box of Bones Variety</v>
      </c>
      <c r="B2907" s="2" t="str" cm="1">
        <f t="array" ref="B2907">INDEX('Whitelist (Blackout Reverse)'!$B$1:$K$1,MOD(ROW()-2,10)+1)</f>
        <v>UNION</v>
      </c>
      <c r="C2907" s="2" t="str">
        <f>VLOOKUP(A2907,'[1]Brand Family Territory (Enc)'!$A$2:$B$296,2,FALSE)</f>
        <v>Metro Less West Milford Area</v>
      </c>
      <c r="D2907" s="2">
        <f>IF(COUNTIFS('[1]Brand Family Territories (Enc)'!$B$2:$B$62,C2907,'[1]Brand Family Territories (Enc)'!$C$2:$C$62,B2907)&gt;0,1,IF(AND(LEFT(B2907,6)="MORRIS",COUNTIFS('[1]Brand Family Territories (Enc)'!$B$2:$B$62,C2907,'[1]Brand Family Territories (Enc)'!$C$2:$C$62,"Morri")&gt;0),"Unk",0))</f>
        <v>0</v>
      </c>
      <c r="E2907" s="2" t="str">
        <f>IFERROR(INDEX('Blackout Brand Fam Areas (Enc)'!$D$6:$D$998,MATCH(UPPER(A2907)&amp;"|"&amp;UPPER(B2907),'Blackout Brand Fam Areas (Enc)'!$G$6:$G$998,0)),"No Match")</f>
        <v>Inactive</v>
      </c>
      <c r="F2907" s="2" t="str">
        <f t="shared" si="90"/>
        <v>THEM</v>
      </c>
      <c r="G2907" s="2" t="str">
        <f t="shared" si="91"/>
        <v>Flying Fish Box of Bones Variety|UNION</v>
      </c>
    </row>
    <row r="2908" spans="1:7" x14ac:dyDescent="0.2">
      <c r="A2908" s="2" t="str" cm="1">
        <f t="array" ref="A2908">INDEX('[1]Brand Family Territory (Enc)'!$A$2:$A$296,INT((ROW()-2)/10)+1)</f>
        <v>Flying Fish Box of Bones Variety</v>
      </c>
      <c r="B2908" s="2" t="str" cm="1">
        <f t="array" ref="B2908">INDEX('Whitelist (Blackout Reverse)'!$B$1:$K$1,MOD(ROW()-2,10)+1)</f>
        <v>SUSSEX</v>
      </c>
      <c r="C2908" s="2" t="str">
        <f>VLOOKUP(A2908,'[1]Brand Family Territory (Enc)'!$A$2:$B$296,2,FALSE)</f>
        <v>Metro Less West Milford Area</v>
      </c>
      <c r="D2908" s="2">
        <f>IF(COUNTIFS('[1]Brand Family Territories (Enc)'!$B$2:$B$62,C2908,'[1]Brand Family Territories (Enc)'!$C$2:$C$62,B2908)&gt;0,1,IF(AND(LEFT(B2908,6)="MORRIS",COUNTIFS('[1]Brand Family Territories (Enc)'!$B$2:$B$62,C2908,'[1]Brand Family Territories (Enc)'!$C$2:$C$62,"Morri")&gt;0),"Unk",0))</f>
        <v>0</v>
      </c>
      <c r="E2908" s="2" t="str">
        <f>IFERROR(INDEX('Blackout Brand Fam Areas (Enc)'!$D$6:$D$998,MATCH(UPPER(A2908)&amp;"|"&amp;UPPER(B2908),'Blackout Brand Fam Areas (Enc)'!$G$6:$G$998,0)),"No Match")</f>
        <v>Inactive</v>
      </c>
      <c r="F2908" s="2" t="str">
        <f t="shared" si="90"/>
        <v>THEM</v>
      </c>
      <c r="G2908" s="2" t="str">
        <f t="shared" si="91"/>
        <v>Flying Fish Box of Bones Variety|SUSSEX</v>
      </c>
    </row>
    <row r="2909" spans="1:7" x14ac:dyDescent="0.2">
      <c r="A2909" s="2" t="str" cm="1">
        <f t="array" ref="A2909">INDEX('[1]Brand Family Territory (Enc)'!$A$2:$A$296,INT((ROW()-2)/10)+1)</f>
        <v>Flying Fish Box of Bones Variety</v>
      </c>
      <c r="B2909" s="2" t="str" cm="1">
        <f t="array" ref="B2909">INDEX('Whitelist (Blackout Reverse)'!$B$1:$K$1,MOD(ROW()-2,10)+1)</f>
        <v>MORRIS 1</v>
      </c>
      <c r="C2909" s="2" t="str">
        <f>VLOOKUP(A2909,'[1]Brand Family Territory (Enc)'!$A$2:$B$296,2,FALSE)</f>
        <v>Metro Less West Milford Area</v>
      </c>
      <c r="D2909" s="2">
        <f>IF(COUNTIFS('[1]Brand Family Territories (Enc)'!$B$2:$B$62,C2909,'[1]Brand Family Territories (Enc)'!$C$2:$C$62,B2909)&gt;0,1,IF(AND(LEFT(B2909,6)="MORRIS",COUNTIFS('[1]Brand Family Territories (Enc)'!$B$2:$B$62,C2909,'[1]Brand Family Territories (Enc)'!$C$2:$C$62,"Morri")&gt;0),"Unk",0))</f>
        <v>0</v>
      </c>
      <c r="E2909" s="2" t="str">
        <f>IFERROR(INDEX('Blackout Brand Fam Areas (Enc)'!$D$6:$D$998,MATCH(UPPER(A2909)&amp;"|"&amp;UPPER(B2909),'Blackout Brand Fam Areas (Enc)'!$G$6:$G$998,0)),"No Match")</f>
        <v>Inactive</v>
      </c>
      <c r="F2909" s="2" t="str">
        <f t="shared" si="90"/>
        <v>THEM</v>
      </c>
      <c r="G2909" s="2" t="str">
        <f t="shared" si="91"/>
        <v>Flying Fish Box of Bones Variety|MORRIS 1</v>
      </c>
    </row>
    <row r="2910" spans="1:7" x14ac:dyDescent="0.2">
      <c r="A2910" s="2" t="str" cm="1">
        <f t="array" ref="A2910">INDEX('[1]Brand Family Territory (Enc)'!$A$2:$A$296,INT((ROW()-2)/10)+1)</f>
        <v>Flying Fish Box of Bones Variety</v>
      </c>
      <c r="B2910" s="2" t="str" cm="1">
        <f t="array" ref="B2910">INDEX('Whitelist (Blackout Reverse)'!$B$1:$K$1,MOD(ROW()-2,10)+1)</f>
        <v>MORRIS 2</v>
      </c>
      <c r="C2910" s="2" t="str">
        <f>VLOOKUP(A2910,'[1]Brand Family Territory (Enc)'!$A$2:$B$296,2,FALSE)</f>
        <v>Metro Less West Milford Area</v>
      </c>
      <c r="D2910" s="2">
        <f>IF(COUNTIFS('[1]Brand Family Territories (Enc)'!$B$2:$B$62,C2910,'[1]Brand Family Territories (Enc)'!$C$2:$C$62,B2910)&gt;0,1,IF(AND(LEFT(B2910,6)="MORRIS",COUNTIFS('[1]Brand Family Territories (Enc)'!$B$2:$B$62,C2910,'[1]Brand Family Territories (Enc)'!$C$2:$C$62,"Morri")&gt;0),"Unk",0))</f>
        <v>0</v>
      </c>
      <c r="E2910" s="2" t="str">
        <f>IFERROR(INDEX('Blackout Brand Fam Areas (Enc)'!$D$6:$D$998,MATCH(UPPER(A2910)&amp;"|"&amp;UPPER(B2910),'Blackout Brand Fam Areas (Enc)'!$G$6:$G$998,0)),"No Match")</f>
        <v>Inactive</v>
      </c>
      <c r="F2910" s="2" t="str">
        <f t="shared" si="90"/>
        <v>THEM</v>
      </c>
      <c r="G2910" s="2" t="str">
        <f t="shared" si="91"/>
        <v>Flying Fish Box of Bones Variety|MORRIS 2</v>
      </c>
    </row>
    <row r="2911" spans="1:7" x14ac:dyDescent="0.2">
      <c r="A2911" s="2" t="str" cm="1">
        <f t="array" ref="A2911">INDEX('[1]Brand Family Territory (Enc)'!$A$2:$A$296,INT((ROW()-2)/10)+1)</f>
        <v>Flying Fish Box of Bones Variety</v>
      </c>
      <c r="B2911" s="2" t="str" cm="1">
        <f t="array" ref="B2911">INDEX('Whitelist (Blackout Reverse)'!$B$1:$K$1,MOD(ROW()-2,10)+1)</f>
        <v>MORRIS 3</v>
      </c>
      <c r="C2911" s="2" t="str">
        <f>VLOOKUP(A2911,'[1]Brand Family Territory (Enc)'!$A$2:$B$296,2,FALSE)</f>
        <v>Metro Less West Milford Area</v>
      </c>
      <c r="D2911" s="2">
        <f>IF(COUNTIFS('[1]Brand Family Territories (Enc)'!$B$2:$B$62,C2911,'[1]Brand Family Territories (Enc)'!$C$2:$C$62,B2911)&gt;0,1,IF(AND(LEFT(B2911,6)="MORRIS",COUNTIFS('[1]Brand Family Territories (Enc)'!$B$2:$B$62,C2911,'[1]Brand Family Territories (Enc)'!$C$2:$C$62,"Morri")&gt;0),"Unk",0))</f>
        <v>0</v>
      </c>
      <c r="E2911" s="2" t="str">
        <f>IFERROR(INDEX('Blackout Brand Fam Areas (Enc)'!$D$6:$D$998,MATCH(UPPER(A2911)&amp;"|"&amp;UPPER(B2911),'Blackout Brand Fam Areas (Enc)'!$G$6:$G$998,0)),"No Match")</f>
        <v>Inactive</v>
      </c>
      <c r="F2911" s="2" t="str">
        <f t="shared" si="90"/>
        <v>THEM</v>
      </c>
      <c r="G2911" s="2" t="str">
        <f t="shared" si="91"/>
        <v>Flying Fish Box of Bones Variety|MORRIS 3</v>
      </c>
    </row>
    <row r="2912" spans="1:7" x14ac:dyDescent="0.2">
      <c r="A2912" s="2" t="str" cm="1">
        <f t="array" ref="A2912">INDEX('[1]Brand Family Territory (Enc)'!$A$2:$A$296,INT((ROW()-2)/10)+1)</f>
        <v>Sixpoint Summer Sesh</v>
      </c>
      <c r="B2912" s="2" t="str" cm="1">
        <f t="array" ref="B2912">INDEX('Whitelist (Blackout Reverse)'!$B$1:$K$1,MOD(ROW()-2,10)+1)</f>
        <v>BERGEN</v>
      </c>
      <c r="C2912" s="2" t="str">
        <f>VLOOKUP(A2912,'[1]Brand Family Territory (Enc)'!$A$2:$B$296,2,FALSE)</f>
        <v>Bergen/Passaic/Hudson/Essex</v>
      </c>
      <c r="D2912" s="2">
        <f>IF(COUNTIFS('[1]Brand Family Territories (Enc)'!$B$2:$B$62,C2912,'[1]Brand Family Territories (Enc)'!$C$2:$C$62,B2912)&gt;0,1,IF(AND(LEFT(B2912,6)="MORRIS",COUNTIFS('[1]Brand Family Territories (Enc)'!$B$2:$B$62,C2912,'[1]Brand Family Territories (Enc)'!$C$2:$C$62,"Morri")&gt;0),"Unk",0))</f>
        <v>1</v>
      </c>
      <c r="E2912" s="2" t="str">
        <f>IFERROR(INDEX('Blackout Brand Fam Areas (Enc)'!$D$6:$D$998,MATCH(UPPER(A2912)&amp;"|"&amp;UPPER(B2912),'Blackout Brand Fam Areas (Enc)'!$G$6:$G$998,0)),"No Match")</f>
        <v>No Match</v>
      </c>
      <c r="F2912" s="2" t="str">
        <f t="shared" si="90"/>
        <v>US</v>
      </c>
      <c r="G2912" s="2" t="str">
        <f t="shared" si="91"/>
        <v>Sixpoint Summer Sesh|BERGEN</v>
      </c>
    </row>
    <row r="2913" spans="1:7" x14ac:dyDescent="0.2">
      <c r="A2913" s="2" t="str" cm="1">
        <f t="array" ref="A2913">INDEX('[1]Brand Family Territory (Enc)'!$A$2:$A$296,INT((ROW()-2)/10)+1)</f>
        <v>Sixpoint Summer Sesh</v>
      </c>
      <c r="B2913" s="2" t="str" cm="1">
        <f t="array" ref="B2913">INDEX('Whitelist (Blackout Reverse)'!$B$1:$K$1,MOD(ROW()-2,10)+1)</f>
        <v>PASSAIC</v>
      </c>
      <c r="C2913" s="2" t="str">
        <f>VLOOKUP(A2913,'[1]Brand Family Territory (Enc)'!$A$2:$B$296,2,FALSE)</f>
        <v>Bergen/Passaic/Hudson/Essex</v>
      </c>
      <c r="D2913" s="2">
        <f>IF(COUNTIFS('[1]Brand Family Territories (Enc)'!$B$2:$B$62,C2913,'[1]Brand Family Territories (Enc)'!$C$2:$C$62,B2913)&gt;0,1,IF(AND(LEFT(B2913,6)="MORRIS",COUNTIFS('[1]Brand Family Territories (Enc)'!$B$2:$B$62,C2913,'[1]Brand Family Territories (Enc)'!$C$2:$C$62,"Morri")&gt;0),"Unk",0))</f>
        <v>1</v>
      </c>
      <c r="E2913" s="2" t="str">
        <f>IFERROR(INDEX('Blackout Brand Fam Areas (Enc)'!$D$6:$D$998,MATCH(UPPER(A2913)&amp;"|"&amp;UPPER(B2913),'Blackout Brand Fam Areas (Enc)'!$G$6:$G$998,0)),"No Match")</f>
        <v>No Match</v>
      </c>
      <c r="F2913" s="2" t="str">
        <f t="shared" si="90"/>
        <v>US</v>
      </c>
      <c r="G2913" s="2" t="str">
        <f t="shared" si="91"/>
        <v>Sixpoint Summer Sesh|PASSAIC</v>
      </c>
    </row>
    <row r="2914" spans="1:7" x14ac:dyDescent="0.2">
      <c r="A2914" s="2" t="str" cm="1">
        <f t="array" ref="A2914">INDEX('[1]Brand Family Territory (Enc)'!$A$2:$A$296,INT((ROW()-2)/10)+1)</f>
        <v>Sixpoint Summer Sesh</v>
      </c>
      <c r="B2914" s="2" t="str" cm="1">
        <f t="array" ref="B2914">INDEX('Whitelist (Blackout Reverse)'!$B$1:$K$1,MOD(ROW()-2,10)+1)</f>
        <v>PASSAIC-FF</v>
      </c>
      <c r="C2914" s="2" t="str">
        <f>VLOOKUP(A2914,'[1]Brand Family Territory (Enc)'!$A$2:$B$296,2,FALSE)</f>
        <v>Bergen/Passaic/Hudson/Essex</v>
      </c>
      <c r="D2914" s="2">
        <f>IF(COUNTIFS('[1]Brand Family Territories (Enc)'!$B$2:$B$62,C2914,'[1]Brand Family Territories (Enc)'!$C$2:$C$62,B2914)&gt;0,1,IF(AND(LEFT(B2914,6)="MORRIS",COUNTIFS('[1]Brand Family Territories (Enc)'!$B$2:$B$62,C2914,'[1]Brand Family Territories (Enc)'!$C$2:$C$62,"Morri")&gt;0),"Unk",0))</f>
        <v>1</v>
      </c>
      <c r="E2914" s="2" t="str">
        <f>IFERROR(INDEX('Blackout Brand Fam Areas (Enc)'!$D$6:$D$998,MATCH(UPPER(A2914)&amp;"|"&amp;UPPER(B2914),'Blackout Brand Fam Areas (Enc)'!$G$6:$G$998,0)),"No Match")</f>
        <v>No Match</v>
      </c>
      <c r="F2914" s="2" t="str">
        <f t="shared" si="90"/>
        <v>US</v>
      </c>
      <c r="G2914" s="2" t="str">
        <f t="shared" si="91"/>
        <v>Sixpoint Summer Sesh|PASSAIC-FF</v>
      </c>
    </row>
    <row r="2915" spans="1:7" x14ac:dyDescent="0.2">
      <c r="A2915" s="2" t="str" cm="1">
        <f t="array" ref="A2915">INDEX('[1]Brand Family Territory (Enc)'!$A$2:$A$296,INT((ROW()-2)/10)+1)</f>
        <v>Sixpoint Summer Sesh</v>
      </c>
      <c r="B2915" s="2" t="str" cm="1">
        <f t="array" ref="B2915">INDEX('Whitelist (Blackout Reverse)'!$B$1:$K$1,MOD(ROW()-2,10)+1)</f>
        <v>ESSEX</v>
      </c>
      <c r="C2915" s="2" t="str">
        <f>VLOOKUP(A2915,'[1]Brand Family Territory (Enc)'!$A$2:$B$296,2,FALSE)</f>
        <v>Bergen/Passaic/Hudson/Essex</v>
      </c>
      <c r="D2915" s="2">
        <f>IF(COUNTIFS('[1]Brand Family Territories (Enc)'!$B$2:$B$62,C2915,'[1]Brand Family Territories (Enc)'!$C$2:$C$62,B2915)&gt;0,1,IF(AND(LEFT(B2915,6)="MORRIS",COUNTIFS('[1]Brand Family Territories (Enc)'!$B$2:$B$62,C2915,'[1]Brand Family Territories (Enc)'!$C$2:$C$62,"Morri")&gt;0),"Unk",0))</f>
        <v>1</v>
      </c>
      <c r="E2915" s="2" t="str">
        <f>IFERROR(INDEX('Blackout Brand Fam Areas (Enc)'!$D$6:$D$998,MATCH(UPPER(A2915)&amp;"|"&amp;UPPER(B2915),'Blackout Brand Fam Areas (Enc)'!$G$6:$G$998,0)),"No Match")</f>
        <v>No Match</v>
      </c>
      <c r="F2915" s="2" t="str">
        <f t="shared" si="90"/>
        <v>US</v>
      </c>
      <c r="G2915" s="2" t="str">
        <f t="shared" si="91"/>
        <v>Sixpoint Summer Sesh|ESSEX</v>
      </c>
    </row>
    <row r="2916" spans="1:7" x14ac:dyDescent="0.2">
      <c r="A2916" s="2" t="str" cm="1">
        <f t="array" ref="A2916">INDEX('[1]Brand Family Territory (Enc)'!$A$2:$A$296,INT((ROW()-2)/10)+1)</f>
        <v>Sixpoint Summer Sesh</v>
      </c>
      <c r="B2916" s="2" t="str" cm="1">
        <f t="array" ref="B2916">INDEX('Whitelist (Blackout Reverse)'!$B$1:$K$1,MOD(ROW()-2,10)+1)</f>
        <v>HUDSON</v>
      </c>
      <c r="C2916" s="2" t="str">
        <f>VLOOKUP(A2916,'[1]Brand Family Territory (Enc)'!$A$2:$B$296,2,FALSE)</f>
        <v>Bergen/Passaic/Hudson/Essex</v>
      </c>
      <c r="D2916" s="2">
        <f>IF(COUNTIFS('[1]Brand Family Territories (Enc)'!$B$2:$B$62,C2916,'[1]Brand Family Territories (Enc)'!$C$2:$C$62,B2916)&gt;0,1,IF(AND(LEFT(B2916,6)="MORRIS",COUNTIFS('[1]Brand Family Territories (Enc)'!$B$2:$B$62,C2916,'[1]Brand Family Territories (Enc)'!$C$2:$C$62,"Morri")&gt;0),"Unk",0))</f>
        <v>1</v>
      </c>
      <c r="E2916" s="2" t="str">
        <f>IFERROR(INDEX('Blackout Brand Fam Areas (Enc)'!$D$6:$D$998,MATCH(UPPER(A2916)&amp;"|"&amp;UPPER(B2916),'Blackout Brand Fam Areas (Enc)'!$G$6:$G$998,0)),"No Match")</f>
        <v>No Match</v>
      </c>
      <c r="F2916" s="2" t="str">
        <f t="shared" si="90"/>
        <v>US</v>
      </c>
      <c r="G2916" s="2" t="str">
        <f t="shared" si="91"/>
        <v>Sixpoint Summer Sesh|HUDSON</v>
      </c>
    </row>
    <row r="2917" spans="1:7" x14ac:dyDescent="0.2">
      <c r="A2917" s="2" t="str" cm="1">
        <f t="array" ref="A2917">INDEX('[1]Brand Family Territory (Enc)'!$A$2:$A$296,INT((ROW()-2)/10)+1)</f>
        <v>Sixpoint Summer Sesh</v>
      </c>
      <c r="B2917" s="2" t="str" cm="1">
        <f t="array" ref="B2917">INDEX('Whitelist (Blackout Reverse)'!$B$1:$K$1,MOD(ROW()-2,10)+1)</f>
        <v>UNION</v>
      </c>
      <c r="C2917" s="2" t="str">
        <f>VLOOKUP(A2917,'[1]Brand Family Territory (Enc)'!$A$2:$B$296,2,FALSE)</f>
        <v>Bergen/Passaic/Hudson/Essex</v>
      </c>
      <c r="D2917" s="2">
        <f>IF(COUNTIFS('[1]Brand Family Territories (Enc)'!$B$2:$B$62,C2917,'[1]Brand Family Territories (Enc)'!$C$2:$C$62,B2917)&gt;0,1,IF(AND(LEFT(B2917,6)="MORRIS",COUNTIFS('[1]Brand Family Territories (Enc)'!$B$2:$B$62,C2917,'[1]Brand Family Territories (Enc)'!$C$2:$C$62,"Morri")&gt;0),"Unk",0))</f>
        <v>0</v>
      </c>
      <c r="E2917" s="2" t="str">
        <f>IFERROR(INDEX('Blackout Brand Fam Areas (Enc)'!$D$6:$D$998,MATCH(UPPER(A2917)&amp;"|"&amp;UPPER(B2917),'Blackout Brand Fam Areas (Enc)'!$G$6:$G$998,0)),"No Match")</f>
        <v>Inactive</v>
      </c>
      <c r="F2917" s="2" t="str">
        <f t="shared" si="90"/>
        <v>THEM</v>
      </c>
      <c r="G2917" s="2" t="str">
        <f t="shared" si="91"/>
        <v>Sixpoint Summer Sesh|UNION</v>
      </c>
    </row>
    <row r="2918" spans="1:7" x14ac:dyDescent="0.2">
      <c r="A2918" s="2" t="str" cm="1">
        <f t="array" ref="A2918">INDEX('[1]Brand Family Territory (Enc)'!$A$2:$A$296,INT((ROW()-2)/10)+1)</f>
        <v>Sixpoint Summer Sesh</v>
      </c>
      <c r="B2918" s="2" t="str" cm="1">
        <f t="array" ref="B2918">INDEX('Whitelist (Blackout Reverse)'!$B$1:$K$1,MOD(ROW()-2,10)+1)</f>
        <v>SUSSEX</v>
      </c>
      <c r="C2918" s="2" t="str">
        <f>VLOOKUP(A2918,'[1]Brand Family Territory (Enc)'!$A$2:$B$296,2,FALSE)</f>
        <v>Bergen/Passaic/Hudson/Essex</v>
      </c>
      <c r="D2918" s="2">
        <f>IF(COUNTIFS('[1]Brand Family Territories (Enc)'!$B$2:$B$62,C2918,'[1]Brand Family Territories (Enc)'!$C$2:$C$62,B2918)&gt;0,1,IF(AND(LEFT(B2918,6)="MORRIS",COUNTIFS('[1]Brand Family Territories (Enc)'!$B$2:$B$62,C2918,'[1]Brand Family Territories (Enc)'!$C$2:$C$62,"Morri")&gt;0),"Unk",0))</f>
        <v>0</v>
      </c>
      <c r="E2918" s="2" t="str">
        <f>IFERROR(INDEX('Blackout Brand Fam Areas (Enc)'!$D$6:$D$998,MATCH(UPPER(A2918)&amp;"|"&amp;UPPER(B2918),'Blackout Brand Fam Areas (Enc)'!$G$6:$G$998,0)),"No Match")</f>
        <v>Inactive</v>
      </c>
      <c r="F2918" s="2" t="str">
        <f t="shared" si="90"/>
        <v>THEM</v>
      </c>
      <c r="G2918" s="2" t="str">
        <f t="shared" si="91"/>
        <v>Sixpoint Summer Sesh|SUSSEX</v>
      </c>
    </row>
    <row r="2919" spans="1:7" x14ac:dyDescent="0.2">
      <c r="A2919" s="2" t="str" cm="1">
        <f t="array" ref="A2919">INDEX('[1]Brand Family Territory (Enc)'!$A$2:$A$296,INT((ROW()-2)/10)+1)</f>
        <v>Sixpoint Summer Sesh</v>
      </c>
      <c r="B2919" s="2" t="str" cm="1">
        <f t="array" ref="B2919">INDEX('Whitelist (Blackout Reverse)'!$B$1:$K$1,MOD(ROW()-2,10)+1)</f>
        <v>MORRIS 1</v>
      </c>
      <c r="C2919" s="2" t="str">
        <f>VLOOKUP(A2919,'[1]Brand Family Territory (Enc)'!$A$2:$B$296,2,FALSE)</f>
        <v>Bergen/Passaic/Hudson/Essex</v>
      </c>
      <c r="D2919" s="2">
        <f>IF(COUNTIFS('[1]Brand Family Territories (Enc)'!$B$2:$B$62,C2919,'[1]Brand Family Territories (Enc)'!$C$2:$C$62,B2919)&gt;0,1,IF(AND(LEFT(B2919,6)="MORRIS",COUNTIFS('[1]Brand Family Territories (Enc)'!$B$2:$B$62,C2919,'[1]Brand Family Territories (Enc)'!$C$2:$C$62,"Morri")&gt;0),"Unk",0))</f>
        <v>0</v>
      </c>
      <c r="E2919" s="2" t="str">
        <f>IFERROR(INDEX('Blackout Brand Fam Areas (Enc)'!$D$6:$D$998,MATCH(UPPER(A2919)&amp;"|"&amp;UPPER(B2919),'Blackout Brand Fam Areas (Enc)'!$G$6:$G$998,0)),"No Match")</f>
        <v>Inactive</v>
      </c>
      <c r="F2919" s="2" t="str">
        <f t="shared" si="90"/>
        <v>THEM</v>
      </c>
      <c r="G2919" s="2" t="str">
        <f t="shared" si="91"/>
        <v>Sixpoint Summer Sesh|MORRIS 1</v>
      </c>
    </row>
    <row r="2920" spans="1:7" x14ac:dyDescent="0.2">
      <c r="A2920" s="2" t="str" cm="1">
        <f t="array" ref="A2920">INDEX('[1]Brand Family Territory (Enc)'!$A$2:$A$296,INT((ROW()-2)/10)+1)</f>
        <v>Sixpoint Summer Sesh</v>
      </c>
      <c r="B2920" s="2" t="str" cm="1">
        <f t="array" ref="B2920">INDEX('Whitelist (Blackout Reverse)'!$B$1:$K$1,MOD(ROW()-2,10)+1)</f>
        <v>MORRIS 2</v>
      </c>
      <c r="C2920" s="2" t="str">
        <f>VLOOKUP(A2920,'[1]Brand Family Territory (Enc)'!$A$2:$B$296,2,FALSE)</f>
        <v>Bergen/Passaic/Hudson/Essex</v>
      </c>
      <c r="D2920" s="2">
        <f>IF(COUNTIFS('[1]Brand Family Territories (Enc)'!$B$2:$B$62,C2920,'[1]Brand Family Territories (Enc)'!$C$2:$C$62,B2920)&gt;0,1,IF(AND(LEFT(B2920,6)="MORRIS",COUNTIFS('[1]Brand Family Territories (Enc)'!$B$2:$B$62,C2920,'[1]Brand Family Territories (Enc)'!$C$2:$C$62,"Morri")&gt;0),"Unk",0))</f>
        <v>0</v>
      </c>
      <c r="E2920" s="2" t="str">
        <f>IFERROR(INDEX('Blackout Brand Fam Areas (Enc)'!$D$6:$D$998,MATCH(UPPER(A2920)&amp;"|"&amp;UPPER(B2920),'Blackout Brand Fam Areas (Enc)'!$G$6:$G$998,0)),"No Match")</f>
        <v>Inactive</v>
      </c>
      <c r="F2920" s="2" t="str">
        <f t="shared" si="90"/>
        <v>THEM</v>
      </c>
      <c r="G2920" s="2" t="str">
        <f t="shared" si="91"/>
        <v>Sixpoint Summer Sesh|MORRIS 2</v>
      </c>
    </row>
    <row r="2921" spans="1:7" x14ac:dyDescent="0.2">
      <c r="A2921" s="2" t="str" cm="1">
        <f t="array" ref="A2921">INDEX('[1]Brand Family Territory (Enc)'!$A$2:$A$296,INT((ROW()-2)/10)+1)</f>
        <v>Sixpoint Summer Sesh</v>
      </c>
      <c r="B2921" s="2" t="str" cm="1">
        <f t="array" ref="B2921">INDEX('Whitelist (Blackout Reverse)'!$B$1:$K$1,MOD(ROW()-2,10)+1)</f>
        <v>MORRIS 3</v>
      </c>
      <c r="C2921" s="2" t="str">
        <f>VLOOKUP(A2921,'[1]Brand Family Territory (Enc)'!$A$2:$B$296,2,FALSE)</f>
        <v>Bergen/Passaic/Hudson/Essex</v>
      </c>
      <c r="D2921" s="2">
        <f>IF(COUNTIFS('[1]Brand Family Territories (Enc)'!$B$2:$B$62,C2921,'[1]Brand Family Territories (Enc)'!$C$2:$C$62,B2921)&gt;0,1,IF(AND(LEFT(B2921,6)="MORRIS",COUNTIFS('[1]Brand Family Territories (Enc)'!$B$2:$B$62,C2921,'[1]Brand Family Territories (Enc)'!$C$2:$C$62,"Morri")&gt;0),"Unk",0))</f>
        <v>0</v>
      </c>
      <c r="E2921" s="2" t="str">
        <f>IFERROR(INDEX('Blackout Brand Fam Areas (Enc)'!$D$6:$D$998,MATCH(UPPER(A2921)&amp;"|"&amp;UPPER(B2921),'Blackout Brand Fam Areas (Enc)'!$G$6:$G$998,0)),"No Match")</f>
        <v>Inactive</v>
      </c>
      <c r="F2921" s="2" t="str">
        <f t="shared" si="90"/>
        <v>THEM</v>
      </c>
      <c r="G2921" s="2" t="str">
        <f t="shared" si="91"/>
        <v>Sixpoint Summer Sesh|MORRIS 3</v>
      </c>
    </row>
    <row r="2922" spans="1:7" x14ac:dyDescent="0.2">
      <c r="A2922" s="2" t="str" cm="1">
        <f t="array" ref="A2922">INDEX('[1]Brand Family Territory (Enc)'!$A$2:$A$296,INT((ROW()-2)/10)+1)</f>
        <v>Bloom Bubbles</v>
      </c>
      <c r="B2922" s="2" t="str" cm="1">
        <f t="array" ref="B2922">INDEX('Whitelist (Blackout Reverse)'!$B$1:$K$1,MOD(ROW()-2,10)+1)</f>
        <v>BERGEN</v>
      </c>
      <c r="C2922" s="2" t="str">
        <f>VLOOKUP(A2922,'[1]Brand Family Territory (Enc)'!$A$2:$B$296,2,FALSE)</f>
        <v>All Counties</v>
      </c>
      <c r="D2922" s="2">
        <f>IF(COUNTIFS('[1]Brand Family Territories (Enc)'!$B$2:$B$62,C2922,'[1]Brand Family Territories (Enc)'!$C$2:$C$62,B2922)&gt;0,1,IF(AND(LEFT(B2922,6)="MORRIS",COUNTIFS('[1]Brand Family Territories (Enc)'!$B$2:$B$62,C2922,'[1]Brand Family Territories (Enc)'!$C$2:$C$62,"Morri")&gt;0),"Unk",0))</f>
        <v>1</v>
      </c>
      <c r="E2922" s="2" t="str">
        <f>IFERROR(INDEX('Blackout Brand Fam Areas (Enc)'!$D$6:$D$998,MATCH(UPPER(A2922)&amp;"|"&amp;UPPER(B2922),'Blackout Brand Fam Areas (Enc)'!$G$6:$G$998,0)),"No Match")</f>
        <v>No Match</v>
      </c>
      <c r="F2922" s="2" t="str">
        <f t="shared" si="90"/>
        <v>US</v>
      </c>
      <c r="G2922" s="2" t="str">
        <f t="shared" si="91"/>
        <v>Bloom Bubbles|BERGEN</v>
      </c>
    </row>
    <row r="2923" spans="1:7" x14ac:dyDescent="0.2">
      <c r="A2923" s="2" t="str" cm="1">
        <f t="array" ref="A2923">INDEX('[1]Brand Family Territory (Enc)'!$A$2:$A$296,INT((ROW()-2)/10)+1)</f>
        <v>Bloom Bubbles</v>
      </c>
      <c r="B2923" s="2" t="str" cm="1">
        <f t="array" ref="B2923">INDEX('Whitelist (Blackout Reverse)'!$B$1:$K$1,MOD(ROW()-2,10)+1)</f>
        <v>PASSAIC</v>
      </c>
      <c r="C2923" s="2" t="str">
        <f>VLOOKUP(A2923,'[1]Brand Family Territory (Enc)'!$A$2:$B$296,2,FALSE)</f>
        <v>All Counties</v>
      </c>
      <c r="D2923" s="2">
        <f>IF(COUNTIFS('[1]Brand Family Territories (Enc)'!$B$2:$B$62,C2923,'[1]Brand Family Territories (Enc)'!$C$2:$C$62,B2923)&gt;0,1,IF(AND(LEFT(B2923,6)="MORRIS",COUNTIFS('[1]Brand Family Territories (Enc)'!$B$2:$B$62,C2923,'[1]Brand Family Territories (Enc)'!$C$2:$C$62,"Morri")&gt;0),"Unk",0))</f>
        <v>1</v>
      </c>
      <c r="E2923" s="2" t="str">
        <f>IFERROR(INDEX('Blackout Brand Fam Areas (Enc)'!$D$6:$D$998,MATCH(UPPER(A2923)&amp;"|"&amp;UPPER(B2923),'Blackout Brand Fam Areas (Enc)'!$G$6:$G$998,0)),"No Match")</f>
        <v>No Match</v>
      </c>
      <c r="F2923" s="2" t="str">
        <f t="shared" si="90"/>
        <v>US</v>
      </c>
      <c r="G2923" s="2" t="str">
        <f t="shared" si="91"/>
        <v>Bloom Bubbles|PASSAIC</v>
      </c>
    </row>
    <row r="2924" spans="1:7" x14ac:dyDescent="0.2">
      <c r="A2924" s="2" t="str" cm="1">
        <f t="array" ref="A2924">INDEX('[1]Brand Family Territory (Enc)'!$A$2:$A$296,INT((ROW()-2)/10)+1)</f>
        <v>Bloom Bubbles</v>
      </c>
      <c r="B2924" s="2" t="str" cm="1">
        <f t="array" ref="B2924">INDEX('Whitelist (Blackout Reverse)'!$B$1:$K$1,MOD(ROW()-2,10)+1)</f>
        <v>PASSAIC-FF</v>
      </c>
      <c r="C2924" s="2" t="str">
        <f>VLOOKUP(A2924,'[1]Brand Family Territory (Enc)'!$A$2:$B$296,2,FALSE)</f>
        <v>All Counties</v>
      </c>
      <c r="D2924" s="2">
        <f>IF(COUNTIFS('[1]Brand Family Territories (Enc)'!$B$2:$B$62,C2924,'[1]Brand Family Territories (Enc)'!$C$2:$C$62,B2924)&gt;0,1,IF(AND(LEFT(B2924,6)="MORRIS",COUNTIFS('[1]Brand Family Territories (Enc)'!$B$2:$B$62,C2924,'[1]Brand Family Territories (Enc)'!$C$2:$C$62,"Morri")&gt;0),"Unk",0))</f>
        <v>1</v>
      </c>
      <c r="E2924" s="2" t="str">
        <f>IFERROR(INDEX('Blackout Brand Fam Areas (Enc)'!$D$6:$D$998,MATCH(UPPER(A2924)&amp;"|"&amp;UPPER(B2924),'Blackout Brand Fam Areas (Enc)'!$G$6:$G$998,0)),"No Match")</f>
        <v>No Match</v>
      </c>
      <c r="F2924" s="2" t="str">
        <f t="shared" si="90"/>
        <v>US</v>
      </c>
      <c r="G2924" s="2" t="str">
        <f t="shared" si="91"/>
        <v>Bloom Bubbles|PASSAIC-FF</v>
      </c>
    </row>
    <row r="2925" spans="1:7" x14ac:dyDescent="0.2">
      <c r="A2925" s="2" t="str" cm="1">
        <f t="array" ref="A2925">INDEX('[1]Brand Family Territory (Enc)'!$A$2:$A$296,INT((ROW()-2)/10)+1)</f>
        <v>Bloom Bubbles</v>
      </c>
      <c r="B2925" s="2" t="str" cm="1">
        <f t="array" ref="B2925">INDEX('Whitelist (Blackout Reverse)'!$B$1:$K$1,MOD(ROW()-2,10)+1)</f>
        <v>ESSEX</v>
      </c>
      <c r="C2925" s="2" t="str">
        <f>VLOOKUP(A2925,'[1]Brand Family Territory (Enc)'!$A$2:$B$296,2,FALSE)</f>
        <v>All Counties</v>
      </c>
      <c r="D2925" s="2">
        <f>IF(COUNTIFS('[1]Brand Family Territories (Enc)'!$B$2:$B$62,C2925,'[1]Brand Family Territories (Enc)'!$C$2:$C$62,B2925)&gt;0,1,IF(AND(LEFT(B2925,6)="MORRIS",COUNTIFS('[1]Brand Family Territories (Enc)'!$B$2:$B$62,C2925,'[1]Brand Family Territories (Enc)'!$C$2:$C$62,"Morri")&gt;0),"Unk",0))</f>
        <v>1</v>
      </c>
      <c r="E2925" s="2" t="str">
        <f>IFERROR(INDEX('Blackout Brand Fam Areas (Enc)'!$D$6:$D$998,MATCH(UPPER(A2925)&amp;"|"&amp;UPPER(B2925),'Blackout Brand Fam Areas (Enc)'!$G$6:$G$998,0)),"No Match")</f>
        <v>No Match</v>
      </c>
      <c r="F2925" s="2" t="str">
        <f t="shared" si="90"/>
        <v>US</v>
      </c>
      <c r="G2925" s="2" t="str">
        <f t="shared" si="91"/>
        <v>Bloom Bubbles|ESSEX</v>
      </c>
    </row>
    <row r="2926" spans="1:7" x14ac:dyDescent="0.2">
      <c r="A2926" s="2" t="str" cm="1">
        <f t="array" ref="A2926">INDEX('[1]Brand Family Territory (Enc)'!$A$2:$A$296,INT((ROW()-2)/10)+1)</f>
        <v>Bloom Bubbles</v>
      </c>
      <c r="B2926" s="2" t="str" cm="1">
        <f t="array" ref="B2926">INDEX('Whitelist (Blackout Reverse)'!$B$1:$K$1,MOD(ROW()-2,10)+1)</f>
        <v>HUDSON</v>
      </c>
      <c r="C2926" s="2" t="str">
        <f>VLOOKUP(A2926,'[1]Brand Family Territory (Enc)'!$A$2:$B$296,2,FALSE)</f>
        <v>All Counties</v>
      </c>
      <c r="D2926" s="2">
        <f>IF(COUNTIFS('[1]Brand Family Territories (Enc)'!$B$2:$B$62,C2926,'[1]Brand Family Territories (Enc)'!$C$2:$C$62,B2926)&gt;0,1,IF(AND(LEFT(B2926,6)="MORRIS",COUNTIFS('[1]Brand Family Territories (Enc)'!$B$2:$B$62,C2926,'[1]Brand Family Territories (Enc)'!$C$2:$C$62,"Morri")&gt;0),"Unk",0))</f>
        <v>1</v>
      </c>
      <c r="E2926" s="2" t="str">
        <f>IFERROR(INDEX('Blackout Brand Fam Areas (Enc)'!$D$6:$D$998,MATCH(UPPER(A2926)&amp;"|"&amp;UPPER(B2926),'Blackout Brand Fam Areas (Enc)'!$G$6:$G$998,0)),"No Match")</f>
        <v>No Match</v>
      </c>
      <c r="F2926" s="2" t="str">
        <f t="shared" si="90"/>
        <v>US</v>
      </c>
      <c r="G2926" s="2" t="str">
        <f t="shared" si="91"/>
        <v>Bloom Bubbles|HUDSON</v>
      </c>
    </row>
    <row r="2927" spans="1:7" x14ac:dyDescent="0.2">
      <c r="A2927" s="2" t="str" cm="1">
        <f t="array" ref="A2927">INDEX('[1]Brand Family Territory (Enc)'!$A$2:$A$296,INT((ROW()-2)/10)+1)</f>
        <v>Bloom Bubbles</v>
      </c>
      <c r="B2927" s="2" t="str" cm="1">
        <f t="array" ref="B2927">INDEX('Whitelist (Blackout Reverse)'!$B$1:$K$1,MOD(ROW()-2,10)+1)</f>
        <v>UNION</v>
      </c>
      <c r="C2927" s="2" t="str">
        <f>VLOOKUP(A2927,'[1]Brand Family Territory (Enc)'!$A$2:$B$296,2,FALSE)</f>
        <v>All Counties</v>
      </c>
      <c r="D2927" s="2">
        <f>IF(COUNTIFS('[1]Brand Family Territories (Enc)'!$B$2:$B$62,C2927,'[1]Brand Family Territories (Enc)'!$C$2:$C$62,B2927)&gt;0,1,IF(AND(LEFT(B2927,6)="MORRIS",COUNTIFS('[1]Brand Family Territories (Enc)'!$B$2:$B$62,C2927,'[1]Brand Family Territories (Enc)'!$C$2:$C$62,"Morri")&gt;0),"Unk",0))</f>
        <v>1</v>
      </c>
      <c r="E2927" s="2" t="str">
        <f>IFERROR(INDEX('Blackout Brand Fam Areas (Enc)'!$D$6:$D$998,MATCH(UPPER(A2927)&amp;"|"&amp;UPPER(B2927),'Blackout Brand Fam Areas (Enc)'!$G$6:$G$998,0)),"No Match")</f>
        <v>No Match</v>
      </c>
      <c r="F2927" s="2" t="str">
        <f t="shared" si="90"/>
        <v>US</v>
      </c>
      <c r="G2927" s="2" t="str">
        <f t="shared" si="91"/>
        <v>Bloom Bubbles|UNION</v>
      </c>
    </row>
    <row r="2928" spans="1:7" x14ac:dyDescent="0.2">
      <c r="A2928" s="2" t="str" cm="1">
        <f t="array" ref="A2928">INDEX('[1]Brand Family Territory (Enc)'!$A$2:$A$296,INT((ROW()-2)/10)+1)</f>
        <v>Bloom Bubbles</v>
      </c>
      <c r="B2928" s="2" t="str" cm="1">
        <f t="array" ref="B2928">INDEX('Whitelist (Blackout Reverse)'!$B$1:$K$1,MOD(ROW()-2,10)+1)</f>
        <v>SUSSEX</v>
      </c>
      <c r="C2928" s="2" t="str">
        <f>VLOOKUP(A2928,'[1]Brand Family Territory (Enc)'!$A$2:$B$296,2,FALSE)</f>
        <v>All Counties</v>
      </c>
      <c r="D2928" s="2">
        <f>IF(COUNTIFS('[1]Brand Family Territories (Enc)'!$B$2:$B$62,C2928,'[1]Brand Family Territories (Enc)'!$C$2:$C$62,B2928)&gt;0,1,IF(AND(LEFT(B2928,6)="MORRIS",COUNTIFS('[1]Brand Family Territories (Enc)'!$B$2:$B$62,C2928,'[1]Brand Family Territories (Enc)'!$C$2:$C$62,"Morri")&gt;0),"Unk",0))</f>
        <v>1</v>
      </c>
      <c r="E2928" s="2" t="str">
        <f>IFERROR(INDEX('Blackout Brand Fam Areas (Enc)'!$D$6:$D$998,MATCH(UPPER(A2928)&amp;"|"&amp;UPPER(B2928),'Blackout Brand Fam Areas (Enc)'!$G$6:$G$998,0)),"No Match")</f>
        <v>No Match</v>
      </c>
      <c r="F2928" s="2" t="str">
        <f t="shared" si="90"/>
        <v>US</v>
      </c>
      <c r="G2928" s="2" t="str">
        <f t="shared" si="91"/>
        <v>Bloom Bubbles|SUSSEX</v>
      </c>
    </row>
    <row r="2929" spans="1:7" x14ac:dyDescent="0.2">
      <c r="A2929" s="2" t="str" cm="1">
        <f t="array" ref="A2929">INDEX('[1]Brand Family Territory (Enc)'!$A$2:$A$296,INT((ROW()-2)/10)+1)</f>
        <v>Bloom Bubbles</v>
      </c>
      <c r="B2929" s="2" t="str" cm="1">
        <f t="array" ref="B2929">INDEX('Whitelist (Blackout Reverse)'!$B$1:$K$1,MOD(ROW()-2,10)+1)</f>
        <v>MORRIS 1</v>
      </c>
      <c r="C2929" s="2" t="str">
        <f>VLOOKUP(A2929,'[1]Brand Family Territory (Enc)'!$A$2:$B$296,2,FALSE)</f>
        <v>All Counties</v>
      </c>
      <c r="D2929" s="2">
        <f>IF(COUNTIFS('[1]Brand Family Territories (Enc)'!$B$2:$B$62,C2929,'[1]Brand Family Territories (Enc)'!$C$2:$C$62,B2929)&gt;0,1,IF(AND(LEFT(B2929,6)="MORRIS",COUNTIFS('[1]Brand Family Territories (Enc)'!$B$2:$B$62,C2929,'[1]Brand Family Territories (Enc)'!$C$2:$C$62,"Morri")&gt;0),"Unk",0))</f>
        <v>1</v>
      </c>
      <c r="E2929" s="2" t="str">
        <f>IFERROR(INDEX('Blackout Brand Fam Areas (Enc)'!$D$6:$D$998,MATCH(UPPER(A2929)&amp;"|"&amp;UPPER(B2929),'Blackout Brand Fam Areas (Enc)'!$G$6:$G$998,0)),"No Match")</f>
        <v>No Match</v>
      </c>
      <c r="F2929" s="2" t="str">
        <f t="shared" si="90"/>
        <v>US</v>
      </c>
      <c r="G2929" s="2" t="str">
        <f t="shared" si="91"/>
        <v>Bloom Bubbles|MORRIS 1</v>
      </c>
    </row>
    <row r="2930" spans="1:7" x14ac:dyDescent="0.2">
      <c r="A2930" s="2" t="str" cm="1">
        <f t="array" ref="A2930">INDEX('[1]Brand Family Territory (Enc)'!$A$2:$A$296,INT((ROW()-2)/10)+1)</f>
        <v>Bloom Bubbles</v>
      </c>
      <c r="B2930" s="2" t="str" cm="1">
        <f t="array" ref="B2930">INDEX('Whitelist (Blackout Reverse)'!$B$1:$K$1,MOD(ROW()-2,10)+1)</f>
        <v>MORRIS 2</v>
      </c>
      <c r="C2930" s="2" t="str">
        <f>VLOOKUP(A2930,'[1]Brand Family Territory (Enc)'!$A$2:$B$296,2,FALSE)</f>
        <v>All Counties</v>
      </c>
      <c r="D2930" s="2">
        <f>IF(COUNTIFS('[1]Brand Family Territories (Enc)'!$B$2:$B$62,C2930,'[1]Brand Family Territories (Enc)'!$C$2:$C$62,B2930)&gt;0,1,IF(AND(LEFT(B2930,6)="MORRIS",COUNTIFS('[1]Brand Family Territories (Enc)'!$B$2:$B$62,C2930,'[1]Brand Family Territories (Enc)'!$C$2:$C$62,"Morri")&gt;0),"Unk",0))</f>
        <v>1</v>
      </c>
      <c r="E2930" s="2" t="str">
        <f>IFERROR(INDEX('Blackout Brand Fam Areas (Enc)'!$D$6:$D$998,MATCH(UPPER(A2930)&amp;"|"&amp;UPPER(B2930),'Blackout Brand Fam Areas (Enc)'!$G$6:$G$998,0)),"No Match")</f>
        <v>No Match</v>
      </c>
      <c r="F2930" s="2" t="str">
        <f t="shared" si="90"/>
        <v>US</v>
      </c>
      <c r="G2930" s="2" t="str">
        <f t="shared" si="91"/>
        <v>Bloom Bubbles|MORRIS 2</v>
      </c>
    </row>
    <row r="2931" spans="1:7" x14ac:dyDescent="0.2">
      <c r="A2931" s="2" t="str" cm="1">
        <f t="array" ref="A2931">INDEX('[1]Brand Family Territory (Enc)'!$A$2:$A$296,INT((ROW()-2)/10)+1)</f>
        <v>Bloom Bubbles</v>
      </c>
      <c r="B2931" s="2" t="str" cm="1">
        <f t="array" ref="B2931">INDEX('Whitelist (Blackout Reverse)'!$B$1:$K$1,MOD(ROW()-2,10)+1)</f>
        <v>MORRIS 3</v>
      </c>
      <c r="C2931" s="2" t="str">
        <f>VLOOKUP(A2931,'[1]Brand Family Territory (Enc)'!$A$2:$B$296,2,FALSE)</f>
        <v>All Counties</v>
      </c>
      <c r="D2931" s="2">
        <f>IF(COUNTIFS('[1]Brand Family Territories (Enc)'!$B$2:$B$62,C2931,'[1]Brand Family Territories (Enc)'!$C$2:$C$62,B2931)&gt;0,1,IF(AND(LEFT(B2931,6)="MORRIS",COUNTIFS('[1]Brand Family Territories (Enc)'!$B$2:$B$62,C2931,'[1]Brand Family Territories (Enc)'!$C$2:$C$62,"Morri")&gt;0),"Unk",0))</f>
        <v>1</v>
      </c>
      <c r="E2931" s="2" t="str">
        <f>IFERROR(INDEX('Blackout Brand Fam Areas (Enc)'!$D$6:$D$998,MATCH(UPPER(A2931)&amp;"|"&amp;UPPER(B2931),'Blackout Brand Fam Areas (Enc)'!$G$6:$G$998,0)),"No Match")</f>
        <v>No Match</v>
      </c>
      <c r="F2931" s="2" t="str">
        <f t="shared" si="90"/>
        <v>US</v>
      </c>
      <c r="G2931" s="2" t="str">
        <f t="shared" si="91"/>
        <v>Bloom Bubbles|MORRIS 3</v>
      </c>
    </row>
    <row r="2932" spans="1:7" x14ac:dyDescent="0.2">
      <c r="A2932" s="2" t="str" cm="1">
        <f t="array" ref="A2932">INDEX('[1]Brand Family Territory (Enc)'!$A$2:$A$296,INT((ROW()-2)/10)+1)</f>
        <v>Poca Loca</v>
      </c>
      <c r="B2932" s="2" t="str" cm="1">
        <f t="array" ref="B2932">INDEX('Whitelist (Blackout Reverse)'!$B$1:$K$1,MOD(ROW()-2,10)+1)</f>
        <v>BERGEN</v>
      </c>
      <c r="C2932" s="2" t="str">
        <f>VLOOKUP(A2932,'[1]Brand Family Territory (Enc)'!$A$2:$B$296,2,FALSE)</f>
        <v>All Counties</v>
      </c>
      <c r="D2932" s="2">
        <f>IF(COUNTIFS('[1]Brand Family Territories (Enc)'!$B$2:$B$62,C2932,'[1]Brand Family Territories (Enc)'!$C$2:$C$62,B2932)&gt;0,1,IF(AND(LEFT(B2932,6)="MORRIS",COUNTIFS('[1]Brand Family Territories (Enc)'!$B$2:$B$62,C2932,'[1]Brand Family Territories (Enc)'!$C$2:$C$62,"Morri")&gt;0),"Unk",0))</f>
        <v>1</v>
      </c>
      <c r="E2932" s="2" t="str">
        <f>IFERROR(INDEX('Blackout Brand Fam Areas (Enc)'!$D$6:$D$998,MATCH(UPPER(A2932)&amp;"|"&amp;UPPER(B2932),'Blackout Brand Fam Areas (Enc)'!$G$6:$G$998,0)),"No Match")</f>
        <v>No Match</v>
      </c>
      <c r="F2932" s="2" t="str">
        <f t="shared" si="90"/>
        <v>US</v>
      </c>
      <c r="G2932" s="2" t="str">
        <f t="shared" si="91"/>
        <v>Poca Loca|BERGEN</v>
      </c>
    </row>
    <row r="2933" spans="1:7" x14ac:dyDescent="0.2">
      <c r="A2933" s="2" t="str" cm="1">
        <f t="array" ref="A2933">INDEX('[1]Brand Family Territory (Enc)'!$A$2:$A$296,INT((ROW()-2)/10)+1)</f>
        <v>Poca Loca</v>
      </c>
      <c r="B2933" s="2" t="str" cm="1">
        <f t="array" ref="B2933">INDEX('Whitelist (Blackout Reverse)'!$B$1:$K$1,MOD(ROW()-2,10)+1)</f>
        <v>PASSAIC</v>
      </c>
      <c r="C2933" s="2" t="str">
        <f>VLOOKUP(A2933,'[1]Brand Family Territory (Enc)'!$A$2:$B$296,2,FALSE)</f>
        <v>All Counties</v>
      </c>
      <c r="D2933" s="2">
        <f>IF(COUNTIFS('[1]Brand Family Territories (Enc)'!$B$2:$B$62,C2933,'[1]Brand Family Territories (Enc)'!$C$2:$C$62,B2933)&gt;0,1,IF(AND(LEFT(B2933,6)="MORRIS",COUNTIFS('[1]Brand Family Territories (Enc)'!$B$2:$B$62,C2933,'[1]Brand Family Territories (Enc)'!$C$2:$C$62,"Morri")&gt;0),"Unk",0))</f>
        <v>1</v>
      </c>
      <c r="E2933" s="2" t="str">
        <f>IFERROR(INDEX('Blackout Brand Fam Areas (Enc)'!$D$6:$D$998,MATCH(UPPER(A2933)&amp;"|"&amp;UPPER(B2933),'Blackout Brand Fam Areas (Enc)'!$G$6:$G$998,0)),"No Match")</f>
        <v>No Match</v>
      </c>
      <c r="F2933" s="2" t="str">
        <f t="shared" si="90"/>
        <v>US</v>
      </c>
      <c r="G2933" s="2" t="str">
        <f t="shared" si="91"/>
        <v>Poca Loca|PASSAIC</v>
      </c>
    </row>
    <row r="2934" spans="1:7" x14ac:dyDescent="0.2">
      <c r="A2934" s="2" t="str" cm="1">
        <f t="array" ref="A2934">INDEX('[1]Brand Family Territory (Enc)'!$A$2:$A$296,INT((ROW()-2)/10)+1)</f>
        <v>Poca Loca</v>
      </c>
      <c r="B2934" s="2" t="str" cm="1">
        <f t="array" ref="B2934">INDEX('Whitelist (Blackout Reverse)'!$B$1:$K$1,MOD(ROW()-2,10)+1)</f>
        <v>PASSAIC-FF</v>
      </c>
      <c r="C2934" s="2" t="str">
        <f>VLOOKUP(A2934,'[1]Brand Family Territory (Enc)'!$A$2:$B$296,2,FALSE)</f>
        <v>All Counties</v>
      </c>
      <c r="D2934" s="2">
        <f>IF(COUNTIFS('[1]Brand Family Territories (Enc)'!$B$2:$B$62,C2934,'[1]Brand Family Territories (Enc)'!$C$2:$C$62,B2934)&gt;0,1,IF(AND(LEFT(B2934,6)="MORRIS",COUNTIFS('[1]Brand Family Territories (Enc)'!$B$2:$B$62,C2934,'[1]Brand Family Territories (Enc)'!$C$2:$C$62,"Morri")&gt;0),"Unk",0))</f>
        <v>1</v>
      </c>
      <c r="E2934" s="2" t="str">
        <f>IFERROR(INDEX('Blackout Brand Fam Areas (Enc)'!$D$6:$D$998,MATCH(UPPER(A2934)&amp;"|"&amp;UPPER(B2934),'Blackout Brand Fam Areas (Enc)'!$G$6:$G$998,0)),"No Match")</f>
        <v>No Match</v>
      </c>
      <c r="F2934" s="2" t="str">
        <f t="shared" si="90"/>
        <v>US</v>
      </c>
      <c r="G2934" s="2" t="str">
        <f t="shared" si="91"/>
        <v>Poca Loca|PASSAIC-FF</v>
      </c>
    </row>
    <row r="2935" spans="1:7" x14ac:dyDescent="0.2">
      <c r="A2935" s="2" t="str" cm="1">
        <f t="array" ref="A2935">INDEX('[1]Brand Family Territory (Enc)'!$A$2:$A$296,INT((ROW()-2)/10)+1)</f>
        <v>Poca Loca</v>
      </c>
      <c r="B2935" s="2" t="str" cm="1">
        <f t="array" ref="B2935">INDEX('Whitelist (Blackout Reverse)'!$B$1:$K$1,MOD(ROW()-2,10)+1)</f>
        <v>ESSEX</v>
      </c>
      <c r="C2935" s="2" t="str">
        <f>VLOOKUP(A2935,'[1]Brand Family Territory (Enc)'!$A$2:$B$296,2,FALSE)</f>
        <v>All Counties</v>
      </c>
      <c r="D2935" s="2">
        <f>IF(COUNTIFS('[1]Brand Family Territories (Enc)'!$B$2:$B$62,C2935,'[1]Brand Family Territories (Enc)'!$C$2:$C$62,B2935)&gt;0,1,IF(AND(LEFT(B2935,6)="MORRIS",COUNTIFS('[1]Brand Family Territories (Enc)'!$B$2:$B$62,C2935,'[1]Brand Family Territories (Enc)'!$C$2:$C$62,"Morri")&gt;0),"Unk",0))</f>
        <v>1</v>
      </c>
      <c r="E2935" s="2" t="str">
        <f>IFERROR(INDEX('Blackout Brand Fam Areas (Enc)'!$D$6:$D$998,MATCH(UPPER(A2935)&amp;"|"&amp;UPPER(B2935),'Blackout Brand Fam Areas (Enc)'!$G$6:$G$998,0)),"No Match")</f>
        <v>No Match</v>
      </c>
      <c r="F2935" s="2" t="str">
        <f t="shared" si="90"/>
        <v>US</v>
      </c>
      <c r="G2935" s="2" t="str">
        <f t="shared" si="91"/>
        <v>Poca Loca|ESSEX</v>
      </c>
    </row>
    <row r="2936" spans="1:7" x14ac:dyDescent="0.2">
      <c r="A2936" s="2" t="str" cm="1">
        <f t="array" ref="A2936">INDEX('[1]Brand Family Territory (Enc)'!$A$2:$A$296,INT((ROW()-2)/10)+1)</f>
        <v>Poca Loca</v>
      </c>
      <c r="B2936" s="2" t="str" cm="1">
        <f t="array" ref="B2936">INDEX('Whitelist (Blackout Reverse)'!$B$1:$K$1,MOD(ROW()-2,10)+1)</f>
        <v>HUDSON</v>
      </c>
      <c r="C2936" s="2" t="str">
        <f>VLOOKUP(A2936,'[1]Brand Family Territory (Enc)'!$A$2:$B$296,2,FALSE)</f>
        <v>All Counties</v>
      </c>
      <c r="D2936" s="2">
        <f>IF(COUNTIFS('[1]Brand Family Territories (Enc)'!$B$2:$B$62,C2936,'[1]Brand Family Territories (Enc)'!$C$2:$C$62,B2936)&gt;0,1,IF(AND(LEFT(B2936,6)="MORRIS",COUNTIFS('[1]Brand Family Territories (Enc)'!$B$2:$B$62,C2936,'[1]Brand Family Territories (Enc)'!$C$2:$C$62,"Morri")&gt;0),"Unk",0))</f>
        <v>1</v>
      </c>
      <c r="E2936" s="2" t="str">
        <f>IFERROR(INDEX('Blackout Brand Fam Areas (Enc)'!$D$6:$D$998,MATCH(UPPER(A2936)&amp;"|"&amp;UPPER(B2936),'Blackout Brand Fam Areas (Enc)'!$G$6:$G$998,0)),"No Match")</f>
        <v>No Match</v>
      </c>
      <c r="F2936" s="2" t="str">
        <f t="shared" si="90"/>
        <v>US</v>
      </c>
      <c r="G2936" s="2" t="str">
        <f t="shared" si="91"/>
        <v>Poca Loca|HUDSON</v>
      </c>
    </row>
    <row r="2937" spans="1:7" x14ac:dyDescent="0.2">
      <c r="A2937" s="2" t="str" cm="1">
        <f t="array" ref="A2937">INDEX('[1]Brand Family Territory (Enc)'!$A$2:$A$296,INT((ROW()-2)/10)+1)</f>
        <v>Poca Loca</v>
      </c>
      <c r="B2937" s="2" t="str" cm="1">
        <f t="array" ref="B2937">INDEX('Whitelist (Blackout Reverse)'!$B$1:$K$1,MOD(ROW()-2,10)+1)</f>
        <v>UNION</v>
      </c>
      <c r="C2937" s="2" t="str">
        <f>VLOOKUP(A2937,'[1]Brand Family Territory (Enc)'!$A$2:$B$296,2,FALSE)</f>
        <v>All Counties</v>
      </c>
      <c r="D2937" s="2">
        <f>IF(COUNTIFS('[1]Brand Family Territories (Enc)'!$B$2:$B$62,C2937,'[1]Brand Family Territories (Enc)'!$C$2:$C$62,B2937)&gt;0,1,IF(AND(LEFT(B2937,6)="MORRIS",COUNTIFS('[1]Brand Family Territories (Enc)'!$B$2:$B$62,C2937,'[1]Brand Family Territories (Enc)'!$C$2:$C$62,"Morri")&gt;0),"Unk",0))</f>
        <v>1</v>
      </c>
      <c r="E2937" s="2" t="str">
        <f>IFERROR(INDEX('Blackout Brand Fam Areas (Enc)'!$D$6:$D$998,MATCH(UPPER(A2937)&amp;"|"&amp;UPPER(B2937),'Blackout Brand Fam Areas (Enc)'!$G$6:$G$998,0)),"No Match")</f>
        <v>No Match</v>
      </c>
      <c r="F2937" s="2" t="str">
        <f t="shared" si="90"/>
        <v>US</v>
      </c>
      <c r="G2937" s="2" t="str">
        <f t="shared" si="91"/>
        <v>Poca Loca|UNION</v>
      </c>
    </row>
    <row r="2938" spans="1:7" x14ac:dyDescent="0.2">
      <c r="A2938" s="2" t="str" cm="1">
        <f t="array" ref="A2938">INDEX('[1]Brand Family Territory (Enc)'!$A$2:$A$296,INT((ROW()-2)/10)+1)</f>
        <v>Poca Loca</v>
      </c>
      <c r="B2938" s="2" t="str" cm="1">
        <f t="array" ref="B2938">INDEX('Whitelist (Blackout Reverse)'!$B$1:$K$1,MOD(ROW()-2,10)+1)</f>
        <v>SUSSEX</v>
      </c>
      <c r="C2938" s="2" t="str">
        <f>VLOOKUP(A2938,'[1]Brand Family Territory (Enc)'!$A$2:$B$296,2,FALSE)</f>
        <v>All Counties</v>
      </c>
      <c r="D2938" s="2">
        <f>IF(COUNTIFS('[1]Brand Family Territories (Enc)'!$B$2:$B$62,C2938,'[1]Brand Family Territories (Enc)'!$C$2:$C$62,B2938)&gt;0,1,IF(AND(LEFT(B2938,6)="MORRIS",COUNTIFS('[1]Brand Family Territories (Enc)'!$B$2:$B$62,C2938,'[1]Brand Family Territories (Enc)'!$C$2:$C$62,"Morri")&gt;0),"Unk",0))</f>
        <v>1</v>
      </c>
      <c r="E2938" s="2" t="str">
        <f>IFERROR(INDEX('Blackout Brand Fam Areas (Enc)'!$D$6:$D$998,MATCH(UPPER(A2938)&amp;"|"&amp;UPPER(B2938),'Blackout Brand Fam Areas (Enc)'!$G$6:$G$998,0)),"No Match")</f>
        <v>No Match</v>
      </c>
      <c r="F2938" s="2" t="str">
        <f t="shared" si="90"/>
        <v>US</v>
      </c>
      <c r="G2938" s="2" t="str">
        <f t="shared" si="91"/>
        <v>Poca Loca|SUSSEX</v>
      </c>
    </row>
    <row r="2939" spans="1:7" x14ac:dyDescent="0.2">
      <c r="A2939" s="2" t="str" cm="1">
        <f t="array" ref="A2939">INDEX('[1]Brand Family Territory (Enc)'!$A$2:$A$296,INT((ROW()-2)/10)+1)</f>
        <v>Poca Loca</v>
      </c>
      <c r="B2939" s="2" t="str" cm="1">
        <f t="array" ref="B2939">INDEX('Whitelist (Blackout Reverse)'!$B$1:$K$1,MOD(ROW()-2,10)+1)</f>
        <v>MORRIS 1</v>
      </c>
      <c r="C2939" s="2" t="str">
        <f>VLOOKUP(A2939,'[1]Brand Family Territory (Enc)'!$A$2:$B$296,2,FALSE)</f>
        <v>All Counties</v>
      </c>
      <c r="D2939" s="2">
        <f>IF(COUNTIFS('[1]Brand Family Territories (Enc)'!$B$2:$B$62,C2939,'[1]Brand Family Territories (Enc)'!$C$2:$C$62,B2939)&gt;0,1,IF(AND(LEFT(B2939,6)="MORRIS",COUNTIFS('[1]Brand Family Territories (Enc)'!$B$2:$B$62,C2939,'[1]Brand Family Territories (Enc)'!$C$2:$C$62,"Morri")&gt;0),"Unk",0))</f>
        <v>1</v>
      </c>
      <c r="E2939" s="2" t="str">
        <f>IFERROR(INDEX('Blackout Brand Fam Areas (Enc)'!$D$6:$D$998,MATCH(UPPER(A2939)&amp;"|"&amp;UPPER(B2939),'Blackout Brand Fam Areas (Enc)'!$G$6:$G$998,0)),"No Match")</f>
        <v>No Match</v>
      </c>
      <c r="F2939" s="2" t="str">
        <f t="shared" si="90"/>
        <v>US</v>
      </c>
      <c r="G2939" s="2" t="str">
        <f t="shared" si="91"/>
        <v>Poca Loca|MORRIS 1</v>
      </c>
    </row>
    <row r="2940" spans="1:7" x14ac:dyDescent="0.2">
      <c r="A2940" s="2" t="str" cm="1">
        <f t="array" ref="A2940">INDEX('[1]Brand Family Territory (Enc)'!$A$2:$A$296,INT((ROW()-2)/10)+1)</f>
        <v>Poca Loca</v>
      </c>
      <c r="B2940" s="2" t="str" cm="1">
        <f t="array" ref="B2940">INDEX('Whitelist (Blackout Reverse)'!$B$1:$K$1,MOD(ROW()-2,10)+1)</f>
        <v>MORRIS 2</v>
      </c>
      <c r="C2940" s="2" t="str">
        <f>VLOOKUP(A2940,'[1]Brand Family Territory (Enc)'!$A$2:$B$296,2,FALSE)</f>
        <v>All Counties</v>
      </c>
      <c r="D2940" s="2">
        <f>IF(COUNTIFS('[1]Brand Family Territories (Enc)'!$B$2:$B$62,C2940,'[1]Brand Family Territories (Enc)'!$C$2:$C$62,B2940)&gt;0,1,IF(AND(LEFT(B2940,6)="MORRIS",COUNTIFS('[1]Brand Family Territories (Enc)'!$B$2:$B$62,C2940,'[1]Brand Family Territories (Enc)'!$C$2:$C$62,"Morri")&gt;0),"Unk",0))</f>
        <v>1</v>
      </c>
      <c r="E2940" s="2" t="str">
        <f>IFERROR(INDEX('Blackout Brand Fam Areas (Enc)'!$D$6:$D$998,MATCH(UPPER(A2940)&amp;"|"&amp;UPPER(B2940),'Blackout Brand Fam Areas (Enc)'!$G$6:$G$998,0)),"No Match")</f>
        <v>No Match</v>
      </c>
      <c r="F2940" s="2" t="str">
        <f t="shared" si="90"/>
        <v>US</v>
      </c>
      <c r="G2940" s="2" t="str">
        <f t="shared" si="91"/>
        <v>Poca Loca|MORRIS 2</v>
      </c>
    </row>
    <row r="2941" spans="1:7" x14ac:dyDescent="0.2">
      <c r="A2941" s="2" t="str" cm="1">
        <f t="array" ref="A2941">INDEX('[1]Brand Family Territory (Enc)'!$A$2:$A$296,INT((ROW()-2)/10)+1)</f>
        <v>Poca Loca</v>
      </c>
      <c r="B2941" s="2" t="str" cm="1">
        <f t="array" ref="B2941">INDEX('Whitelist (Blackout Reverse)'!$B$1:$K$1,MOD(ROW()-2,10)+1)</f>
        <v>MORRIS 3</v>
      </c>
      <c r="C2941" s="2" t="str">
        <f>VLOOKUP(A2941,'[1]Brand Family Territory (Enc)'!$A$2:$B$296,2,FALSE)</f>
        <v>All Counties</v>
      </c>
      <c r="D2941" s="2">
        <f>IF(COUNTIFS('[1]Brand Family Territories (Enc)'!$B$2:$B$62,C2941,'[1]Brand Family Territories (Enc)'!$C$2:$C$62,B2941)&gt;0,1,IF(AND(LEFT(B2941,6)="MORRIS",COUNTIFS('[1]Brand Family Territories (Enc)'!$B$2:$B$62,C2941,'[1]Brand Family Territories (Enc)'!$C$2:$C$62,"Morri")&gt;0),"Unk",0))</f>
        <v>1</v>
      </c>
      <c r="E2941" s="2" t="str">
        <f>IFERROR(INDEX('Blackout Brand Fam Areas (Enc)'!$D$6:$D$998,MATCH(UPPER(A2941)&amp;"|"&amp;UPPER(B2941),'Blackout Brand Fam Areas (Enc)'!$G$6:$G$998,0)),"No Match")</f>
        <v>No Match</v>
      </c>
      <c r="F2941" s="2" t="str">
        <f t="shared" si="90"/>
        <v>US</v>
      </c>
      <c r="G2941" s="2" t="str">
        <f t="shared" si="91"/>
        <v>Poca Loca|MORRIS 3</v>
      </c>
    </row>
    <row r="2942" spans="1:7" x14ac:dyDescent="0.2">
      <c r="A2942" s="2" t="str" cm="1">
        <f t="array" ref="A2942">INDEX('[1]Brand Family Territory (Enc)'!$A$2:$A$296,INT((ROW()-2)/10)+1)</f>
        <v>2 Canos</v>
      </c>
      <c r="B2942" s="2" t="str" cm="1">
        <f t="array" ref="B2942">INDEX('Whitelist (Blackout Reverse)'!$B$1:$K$1,MOD(ROW()-2,10)+1)</f>
        <v>BERGEN</v>
      </c>
      <c r="C2942" s="2" t="str">
        <f>VLOOKUP(A2942,'[1]Brand Family Territory (Enc)'!$A$2:$B$296,2,FALSE)</f>
        <v>All Counties</v>
      </c>
      <c r="D2942" s="2">
        <f>IF(COUNTIFS('[1]Brand Family Territories (Enc)'!$B$2:$B$62,C2942,'[1]Brand Family Territories (Enc)'!$C$2:$C$62,B2942)&gt;0,1,IF(AND(LEFT(B2942,6)="MORRIS",COUNTIFS('[1]Brand Family Territories (Enc)'!$B$2:$B$62,C2942,'[1]Brand Family Territories (Enc)'!$C$2:$C$62,"Morri")&gt;0),"Unk",0))</f>
        <v>1</v>
      </c>
      <c r="E2942" s="2" t="str">
        <f>IFERROR(INDEX('Blackout Brand Fam Areas (Enc)'!$D$6:$D$998,MATCH(UPPER(A2942)&amp;"|"&amp;UPPER(B2942),'Blackout Brand Fam Areas (Enc)'!$G$6:$G$998,0)),"No Match")</f>
        <v>No Match</v>
      </c>
      <c r="F2942" s="2" t="str">
        <f t="shared" si="90"/>
        <v>US</v>
      </c>
      <c r="G2942" s="2" t="str">
        <f t="shared" si="91"/>
        <v>2 Canos|BERGEN</v>
      </c>
    </row>
    <row r="2943" spans="1:7" x14ac:dyDescent="0.2">
      <c r="A2943" s="2" t="str" cm="1">
        <f t="array" ref="A2943">INDEX('[1]Brand Family Territory (Enc)'!$A$2:$A$296,INT((ROW()-2)/10)+1)</f>
        <v>2 Canos</v>
      </c>
      <c r="B2943" s="2" t="str" cm="1">
        <f t="array" ref="B2943">INDEX('Whitelist (Blackout Reverse)'!$B$1:$K$1,MOD(ROW()-2,10)+1)</f>
        <v>PASSAIC</v>
      </c>
      <c r="C2943" s="2" t="str">
        <f>VLOOKUP(A2943,'[1]Brand Family Territory (Enc)'!$A$2:$B$296,2,FALSE)</f>
        <v>All Counties</v>
      </c>
      <c r="D2943" s="2">
        <f>IF(COUNTIFS('[1]Brand Family Territories (Enc)'!$B$2:$B$62,C2943,'[1]Brand Family Territories (Enc)'!$C$2:$C$62,B2943)&gt;0,1,IF(AND(LEFT(B2943,6)="MORRIS",COUNTIFS('[1]Brand Family Territories (Enc)'!$B$2:$B$62,C2943,'[1]Brand Family Territories (Enc)'!$C$2:$C$62,"Morri")&gt;0),"Unk",0))</f>
        <v>1</v>
      </c>
      <c r="E2943" s="2" t="str">
        <f>IFERROR(INDEX('Blackout Brand Fam Areas (Enc)'!$D$6:$D$998,MATCH(UPPER(A2943)&amp;"|"&amp;UPPER(B2943),'Blackout Brand Fam Areas (Enc)'!$G$6:$G$998,0)),"No Match")</f>
        <v>No Match</v>
      </c>
      <c r="F2943" s="2" t="str">
        <f t="shared" si="90"/>
        <v>US</v>
      </c>
      <c r="G2943" s="2" t="str">
        <f t="shared" si="91"/>
        <v>2 Canos|PASSAIC</v>
      </c>
    </row>
    <row r="2944" spans="1:7" x14ac:dyDescent="0.2">
      <c r="A2944" s="2" t="str" cm="1">
        <f t="array" ref="A2944">INDEX('[1]Brand Family Territory (Enc)'!$A$2:$A$296,INT((ROW()-2)/10)+1)</f>
        <v>2 Canos</v>
      </c>
      <c r="B2944" s="2" t="str" cm="1">
        <f t="array" ref="B2944">INDEX('Whitelist (Blackout Reverse)'!$B$1:$K$1,MOD(ROW()-2,10)+1)</f>
        <v>PASSAIC-FF</v>
      </c>
      <c r="C2944" s="2" t="str">
        <f>VLOOKUP(A2944,'[1]Brand Family Territory (Enc)'!$A$2:$B$296,2,FALSE)</f>
        <v>All Counties</v>
      </c>
      <c r="D2944" s="2">
        <f>IF(COUNTIFS('[1]Brand Family Territories (Enc)'!$B$2:$B$62,C2944,'[1]Brand Family Territories (Enc)'!$C$2:$C$62,B2944)&gt;0,1,IF(AND(LEFT(B2944,6)="MORRIS",COUNTIFS('[1]Brand Family Territories (Enc)'!$B$2:$B$62,C2944,'[1]Brand Family Territories (Enc)'!$C$2:$C$62,"Morri")&gt;0),"Unk",0))</f>
        <v>1</v>
      </c>
      <c r="E2944" s="2" t="str">
        <f>IFERROR(INDEX('Blackout Brand Fam Areas (Enc)'!$D$6:$D$998,MATCH(UPPER(A2944)&amp;"|"&amp;UPPER(B2944),'Blackout Brand Fam Areas (Enc)'!$G$6:$G$998,0)),"No Match")</f>
        <v>No Match</v>
      </c>
      <c r="F2944" s="2" t="str">
        <f t="shared" si="90"/>
        <v>US</v>
      </c>
      <c r="G2944" s="2" t="str">
        <f t="shared" si="91"/>
        <v>2 Canos|PASSAIC-FF</v>
      </c>
    </row>
    <row r="2945" spans="1:7" x14ac:dyDescent="0.2">
      <c r="A2945" s="2" t="str" cm="1">
        <f t="array" ref="A2945">INDEX('[1]Brand Family Territory (Enc)'!$A$2:$A$296,INT((ROW()-2)/10)+1)</f>
        <v>2 Canos</v>
      </c>
      <c r="B2945" s="2" t="str" cm="1">
        <f t="array" ref="B2945">INDEX('Whitelist (Blackout Reverse)'!$B$1:$K$1,MOD(ROW()-2,10)+1)</f>
        <v>ESSEX</v>
      </c>
      <c r="C2945" s="2" t="str">
        <f>VLOOKUP(A2945,'[1]Brand Family Territory (Enc)'!$A$2:$B$296,2,FALSE)</f>
        <v>All Counties</v>
      </c>
      <c r="D2945" s="2">
        <f>IF(COUNTIFS('[1]Brand Family Territories (Enc)'!$B$2:$B$62,C2945,'[1]Brand Family Territories (Enc)'!$C$2:$C$62,B2945)&gt;0,1,IF(AND(LEFT(B2945,6)="MORRIS",COUNTIFS('[1]Brand Family Territories (Enc)'!$B$2:$B$62,C2945,'[1]Brand Family Territories (Enc)'!$C$2:$C$62,"Morri")&gt;0),"Unk",0))</f>
        <v>1</v>
      </c>
      <c r="E2945" s="2" t="str">
        <f>IFERROR(INDEX('Blackout Brand Fam Areas (Enc)'!$D$6:$D$998,MATCH(UPPER(A2945)&amp;"|"&amp;UPPER(B2945),'Blackout Brand Fam Areas (Enc)'!$G$6:$G$998,0)),"No Match")</f>
        <v>No Match</v>
      </c>
      <c r="F2945" s="2" t="str">
        <f t="shared" si="90"/>
        <v>US</v>
      </c>
      <c r="G2945" s="2" t="str">
        <f t="shared" si="91"/>
        <v>2 Canos|ESSEX</v>
      </c>
    </row>
    <row r="2946" spans="1:7" x14ac:dyDescent="0.2">
      <c r="A2946" s="2" t="str" cm="1">
        <f t="array" ref="A2946">INDEX('[1]Brand Family Territory (Enc)'!$A$2:$A$296,INT((ROW()-2)/10)+1)</f>
        <v>2 Canos</v>
      </c>
      <c r="B2946" s="2" t="str" cm="1">
        <f t="array" ref="B2946">INDEX('Whitelist (Blackout Reverse)'!$B$1:$K$1,MOD(ROW()-2,10)+1)</f>
        <v>HUDSON</v>
      </c>
      <c r="C2946" s="2" t="str">
        <f>VLOOKUP(A2946,'[1]Brand Family Territory (Enc)'!$A$2:$B$296,2,FALSE)</f>
        <v>All Counties</v>
      </c>
      <c r="D2946" s="2">
        <f>IF(COUNTIFS('[1]Brand Family Territories (Enc)'!$B$2:$B$62,C2946,'[1]Brand Family Territories (Enc)'!$C$2:$C$62,B2946)&gt;0,1,IF(AND(LEFT(B2946,6)="MORRIS",COUNTIFS('[1]Brand Family Territories (Enc)'!$B$2:$B$62,C2946,'[1]Brand Family Territories (Enc)'!$C$2:$C$62,"Morri")&gt;0),"Unk",0))</f>
        <v>1</v>
      </c>
      <c r="E2946" s="2" t="str">
        <f>IFERROR(INDEX('Blackout Brand Fam Areas (Enc)'!$D$6:$D$998,MATCH(UPPER(A2946)&amp;"|"&amp;UPPER(B2946),'Blackout Brand Fam Areas (Enc)'!$G$6:$G$998,0)),"No Match")</f>
        <v>No Match</v>
      </c>
      <c r="F2946" s="2" t="str">
        <f t="shared" si="90"/>
        <v>US</v>
      </c>
      <c r="G2946" s="2" t="str">
        <f t="shared" si="91"/>
        <v>2 Canos|HUDSON</v>
      </c>
    </row>
    <row r="2947" spans="1:7" x14ac:dyDescent="0.2">
      <c r="A2947" s="2" t="str" cm="1">
        <f t="array" ref="A2947">INDEX('[1]Brand Family Territory (Enc)'!$A$2:$A$296,INT((ROW()-2)/10)+1)</f>
        <v>2 Canos</v>
      </c>
      <c r="B2947" s="2" t="str" cm="1">
        <f t="array" ref="B2947">INDEX('Whitelist (Blackout Reverse)'!$B$1:$K$1,MOD(ROW()-2,10)+1)</f>
        <v>UNION</v>
      </c>
      <c r="C2947" s="2" t="str">
        <f>VLOOKUP(A2947,'[1]Brand Family Territory (Enc)'!$A$2:$B$296,2,FALSE)</f>
        <v>All Counties</v>
      </c>
      <c r="D2947" s="2">
        <f>IF(COUNTIFS('[1]Brand Family Territories (Enc)'!$B$2:$B$62,C2947,'[1]Brand Family Territories (Enc)'!$C$2:$C$62,B2947)&gt;0,1,IF(AND(LEFT(B2947,6)="MORRIS",COUNTIFS('[1]Brand Family Territories (Enc)'!$B$2:$B$62,C2947,'[1]Brand Family Territories (Enc)'!$C$2:$C$62,"Morri")&gt;0),"Unk",0))</f>
        <v>1</v>
      </c>
      <c r="E2947" s="2" t="str">
        <f>IFERROR(INDEX('Blackout Brand Fam Areas (Enc)'!$D$6:$D$998,MATCH(UPPER(A2947)&amp;"|"&amp;UPPER(B2947),'Blackout Brand Fam Areas (Enc)'!$G$6:$G$998,0)),"No Match")</f>
        <v>No Match</v>
      </c>
      <c r="F2947" s="2" t="str">
        <f>IF(D2947="Unk","Ambiguous (Source Truncated)",IF(E2947="Inactive","THEM",IF(D2947=1,"US",IF(D2947="N/A","No Territory Data","THEM"))))</f>
        <v>US</v>
      </c>
      <c r="G2947" s="2" t="str">
        <f t="shared" ref="G2947:G2961" si="92">A2947&amp;"|"&amp;B2947</f>
        <v>2 Canos|UNION</v>
      </c>
    </row>
    <row r="2948" spans="1:7" x14ac:dyDescent="0.2">
      <c r="A2948" s="2" t="str" cm="1">
        <f t="array" ref="A2948">INDEX('[1]Brand Family Territory (Enc)'!$A$2:$A$296,INT((ROW()-2)/10)+1)</f>
        <v>2 Canos</v>
      </c>
      <c r="B2948" s="2" t="str" cm="1">
        <f t="array" ref="B2948">INDEX('Whitelist (Blackout Reverse)'!$B$1:$K$1,MOD(ROW()-2,10)+1)</f>
        <v>SUSSEX</v>
      </c>
      <c r="C2948" s="2" t="str">
        <f>VLOOKUP(A2948,'[1]Brand Family Territory (Enc)'!$A$2:$B$296,2,FALSE)</f>
        <v>All Counties</v>
      </c>
      <c r="D2948" s="2">
        <f>IF(COUNTIFS('[1]Brand Family Territories (Enc)'!$B$2:$B$62,C2948,'[1]Brand Family Territories (Enc)'!$C$2:$C$62,B2948)&gt;0,1,IF(AND(LEFT(B2948,6)="MORRIS",COUNTIFS('[1]Brand Family Territories (Enc)'!$B$2:$B$62,C2948,'[1]Brand Family Territories (Enc)'!$C$2:$C$62,"Morri")&gt;0),"Unk",0))</f>
        <v>1</v>
      </c>
      <c r="E2948" s="2" t="str">
        <f>IFERROR(INDEX('Blackout Brand Fam Areas (Enc)'!$D$6:$D$998,MATCH(UPPER(A2948)&amp;"|"&amp;UPPER(B2948),'Blackout Brand Fam Areas (Enc)'!$G$6:$G$998,0)),"No Match")</f>
        <v>No Match</v>
      </c>
      <c r="F2948" s="2" t="str">
        <f>IF(D2948="Unk","Ambiguous (Source Truncated)",IF(E2948="Inactive","THEM",IF(D2948=1,"US",IF(D2948="N/A","No Territory Data","THEM"))))</f>
        <v>US</v>
      </c>
      <c r="G2948" s="2" t="str">
        <f t="shared" si="92"/>
        <v>2 Canos|SUSSEX</v>
      </c>
    </row>
    <row r="2949" spans="1:7" x14ac:dyDescent="0.2">
      <c r="A2949" s="2" t="str" cm="1">
        <f t="array" ref="A2949">INDEX('[1]Brand Family Territory (Enc)'!$A$2:$A$296,INT((ROW()-2)/10)+1)</f>
        <v>2 Canos</v>
      </c>
      <c r="B2949" s="2" t="str" cm="1">
        <f t="array" ref="B2949">INDEX('Whitelist (Blackout Reverse)'!$B$1:$K$1,MOD(ROW()-2,10)+1)</f>
        <v>MORRIS 1</v>
      </c>
      <c r="C2949" s="2" t="str">
        <f>VLOOKUP(A2949,'[1]Brand Family Territory (Enc)'!$A$2:$B$296,2,FALSE)</f>
        <v>All Counties</v>
      </c>
      <c r="D2949" s="2">
        <f>IF(COUNTIFS('[1]Brand Family Territories (Enc)'!$B$2:$B$62,C2949,'[1]Brand Family Territories (Enc)'!$C$2:$C$62,B2949)&gt;0,1,IF(AND(LEFT(B2949,6)="MORRIS",COUNTIFS('[1]Brand Family Territories (Enc)'!$B$2:$B$62,C2949,'[1]Brand Family Territories (Enc)'!$C$2:$C$62,"Morri")&gt;0),"Unk",0))</f>
        <v>1</v>
      </c>
      <c r="E2949" s="2" t="str">
        <f>IFERROR(INDEX('Blackout Brand Fam Areas (Enc)'!$D$6:$D$998,MATCH(UPPER(A2949)&amp;"|"&amp;UPPER(B2949),'Blackout Brand Fam Areas (Enc)'!$G$6:$G$998,0)),"No Match")</f>
        <v>No Match</v>
      </c>
      <c r="F2949" s="2" t="str">
        <f>IF(D2949="Unk","Ambiguous (Source Truncated)",IF(E2949="Inactive","THEM",IF(D2949=1,"US",IF(D2949="N/A","No Territory Data","THEM"))))</f>
        <v>US</v>
      </c>
      <c r="G2949" s="2" t="str">
        <f t="shared" si="92"/>
        <v>2 Canos|MORRIS 1</v>
      </c>
    </row>
    <row r="2950" spans="1:7" x14ac:dyDescent="0.2">
      <c r="A2950" s="2" t="str" cm="1">
        <f t="array" ref="A2950">INDEX('[1]Brand Family Territory (Enc)'!$A$2:$A$296,INT((ROW()-2)/10)+1)</f>
        <v>2 Canos</v>
      </c>
      <c r="B2950" s="2" t="str" cm="1">
        <f t="array" ref="B2950">INDEX('Whitelist (Blackout Reverse)'!$B$1:$K$1,MOD(ROW()-2,10)+1)</f>
        <v>MORRIS 2</v>
      </c>
      <c r="C2950" s="2" t="str">
        <f>VLOOKUP(A2950,'[1]Brand Family Territory (Enc)'!$A$2:$B$296,2,FALSE)</f>
        <v>All Counties</v>
      </c>
      <c r="D2950" s="2">
        <f>IF(COUNTIFS('[1]Brand Family Territories (Enc)'!$B$2:$B$62,C2950,'[1]Brand Family Territories (Enc)'!$C$2:$C$62,B2950)&gt;0,1,IF(AND(LEFT(B2950,6)="MORRIS",COUNTIFS('[1]Brand Family Territories (Enc)'!$B$2:$B$62,C2950,'[1]Brand Family Territories (Enc)'!$C$2:$C$62,"Morri")&gt;0),"Unk",0))</f>
        <v>1</v>
      </c>
      <c r="E2950" s="2" t="str">
        <f>IFERROR(INDEX('Blackout Brand Fam Areas (Enc)'!$D$6:$D$998,MATCH(UPPER(A2950)&amp;"|"&amp;UPPER(B2950),'Blackout Brand Fam Areas (Enc)'!$G$6:$G$998,0)),"No Match")</f>
        <v>No Match</v>
      </c>
      <c r="F2950" s="2" t="str">
        <f>IF(D2950="Unk","Ambiguous (Source Truncated)",IF(E2950="Inactive","THEM",IF(D2950=1,"US",IF(D2950="N/A","No Territory Data","THEM"))))</f>
        <v>US</v>
      </c>
      <c r="G2950" s="2" t="str">
        <f t="shared" si="92"/>
        <v>2 Canos|MORRIS 2</v>
      </c>
    </row>
    <row r="2951" spans="1:7" x14ac:dyDescent="0.2">
      <c r="A2951" s="2" t="str" cm="1">
        <f t="array" ref="A2951">INDEX('[1]Brand Family Territory (Enc)'!$A$2:$A$296,INT((ROW()-2)/10)+1)</f>
        <v>2 Canos</v>
      </c>
      <c r="B2951" s="2" t="str" cm="1">
        <f t="array" ref="B2951">INDEX('Whitelist (Blackout Reverse)'!$B$1:$K$1,MOD(ROW()-2,10)+1)</f>
        <v>MORRIS 3</v>
      </c>
      <c r="C2951" s="2" t="str">
        <f>VLOOKUP(A2951,'[1]Brand Family Territory (Enc)'!$A$2:$B$296,2,FALSE)</f>
        <v>All Counties</v>
      </c>
      <c r="D2951" s="2">
        <f>IF(COUNTIFS('[1]Brand Family Territories (Enc)'!$B$2:$B$62,C2951,'[1]Brand Family Territories (Enc)'!$C$2:$C$62,B2951)&gt;0,1,IF(AND(LEFT(B2951,6)="MORRIS",COUNTIFS('[1]Brand Family Territories (Enc)'!$B$2:$B$62,C2951,'[1]Brand Family Territories (Enc)'!$C$2:$C$62,"Morri")&gt;0),"Unk",0))</f>
        <v>1</v>
      </c>
      <c r="E2951" s="2" t="str">
        <f>IFERROR(INDEX('Blackout Brand Fam Areas (Enc)'!$D$6:$D$998,MATCH(UPPER(A2951)&amp;"|"&amp;UPPER(B2951),'Blackout Brand Fam Areas (Enc)'!$G$6:$G$998,0)),"No Match")</f>
        <v>No Match</v>
      </c>
      <c r="F2951" s="2" t="str">
        <f>IF(D2951="Unk","Ambiguous (Source Truncated)",IF(E2951="Inactive","THEM",IF(D2951=1,"US",IF(D2951="N/A","No Territory Data","THEM"))))</f>
        <v>US</v>
      </c>
      <c r="G2951" s="2" t="str">
        <f t="shared" si="92"/>
        <v>2 Canos|MORRIS 3</v>
      </c>
    </row>
    <row r="2952" spans="1:7" x14ac:dyDescent="0.2">
      <c r="A2952" s="2" t="s">
        <v>7</v>
      </c>
      <c r="B2952" s="2" t="str" cm="1">
        <f t="array" ref="B2952">INDEX('Whitelist (Blackout Reverse)'!$B$1:$K$1,MOD(ROW()-2952,10)+1)</f>
        <v>BERGEN</v>
      </c>
      <c r="C2952" s="2" t="s">
        <v>8</v>
      </c>
      <c r="D2952" s="2">
        <f>IF(INDEX('Whitelist (Blackout Reverse)'!$B$2:$K$300,MATCH($A2952,'Whitelist (Blackout Reverse)'!$A$2:$A$300,0),MATCH($B2952,'Whitelist (Blackout Reverse)'!$B$1:$K$1,0))="CAN SELL",1,0)</f>
        <v>1</v>
      </c>
      <c r="E2952" s="2" t="str">
        <f>IF(D2952=0,"Inactive","No Match")</f>
        <v>No Match</v>
      </c>
      <c r="F2952" s="2" t="str">
        <f>IF(D2952=1,"US","THEM")</f>
        <v>US</v>
      </c>
      <c r="G2952" s="2" t="str">
        <f t="shared" si="92"/>
        <v>Miller High Life|BERGEN</v>
      </c>
    </row>
    <row r="2953" spans="1:7" x14ac:dyDescent="0.2">
      <c r="A2953" s="2" t="s">
        <v>7</v>
      </c>
      <c r="B2953" s="2" t="str" cm="1">
        <f t="array" ref="B2953">INDEX('Whitelist (Blackout Reverse)'!$B$1:$K$1,MOD(ROW()-2952,10)+1)</f>
        <v>PASSAIC</v>
      </c>
      <c r="C2953" s="2" t="s">
        <v>8</v>
      </c>
      <c r="D2953" s="2">
        <f>IF(INDEX('Whitelist (Blackout Reverse)'!$B$2:$K$300,MATCH($A2953,'Whitelist (Blackout Reverse)'!$A$2:$A$300,0),MATCH($B2953,'Whitelist (Blackout Reverse)'!$B$1:$K$1,0))="CAN SELL",1,0)</f>
        <v>1</v>
      </c>
      <c r="E2953" s="2" t="str">
        <f t="shared" ref="E2953:E2961" si="93">IF(D2953=0,"Inactive","No Match")</f>
        <v>No Match</v>
      </c>
      <c r="F2953" s="2" t="str">
        <f t="shared" ref="F2953:F2961" si="94">IF(D2953=1,"US","THEM")</f>
        <v>US</v>
      </c>
      <c r="G2953" s="2" t="str">
        <f t="shared" si="92"/>
        <v>Miller High Life|PASSAIC</v>
      </c>
    </row>
    <row r="2954" spans="1:7" x14ac:dyDescent="0.2">
      <c r="A2954" s="2" t="s">
        <v>7</v>
      </c>
      <c r="B2954" s="2" t="str" cm="1">
        <f t="array" ref="B2954">INDEX('Whitelist (Blackout Reverse)'!$B$1:$K$1,MOD(ROW()-2952,10)+1)</f>
        <v>PASSAIC-FF</v>
      </c>
      <c r="C2954" s="2" t="s">
        <v>8</v>
      </c>
      <c r="D2954" s="2">
        <f>IF(INDEX('Whitelist (Blackout Reverse)'!$B$2:$K$300,MATCH($A2954,'Whitelist (Blackout Reverse)'!$A$2:$A$300,0),MATCH($B2954,'Whitelist (Blackout Reverse)'!$B$1:$K$1,0))="CAN SELL",1,0)</f>
        <v>1</v>
      </c>
      <c r="E2954" s="2" t="str">
        <f t="shared" si="93"/>
        <v>No Match</v>
      </c>
      <c r="F2954" s="2" t="str">
        <f t="shared" si="94"/>
        <v>US</v>
      </c>
      <c r="G2954" s="2" t="str">
        <f t="shared" si="92"/>
        <v>Miller High Life|PASSAIC-FF</v>
      </c>
    </row>
    <row r="2955" spans="1:7" x14ac:dyDescent="0.2">
      <c r="A2955" s="2" t="s">
        <v>7</v>
      </c>
      <c r="B2955" s="2" t="str" cm="1">
        <f t="array" ref="B2955">INDEX('Whitelist (Blackout Reverse)'!$B$1:$K$1,MOD(ROW()-2952,10)+1)</f>
        <v>ESSEX</v>
      </c>
      <c r="C2955" s="2" t="s">
        <v>8</v>
      </c>
      <c r="D2955" s="2">
        <f>IF(INDEX('Whitelist (Blackout Reverse)'!$B$2:$K$300,MATCH($A2955,'Whitelist (Blackout Reverse)'!$A$2:$A$300,0),MATCH($B2955,'Whitelist (Blackout Reverse)'!$B$1:$K$1,0))="CAN SELL",1,0)</f>
        <v>0</v>
      </c>
      <c r="E2955" s="2" t="str">
        <f t="shared" si="93"/>
        <v>Inactive</v>
      </c>
      <c r="F2955" s="2" t="str">
        <f t="shared" si="94"/>
        <v>THEM</v>
      </c>
      <c r="G2955" s="2" t="str">
        <f t="shared" si="92"/>
        <v>Miller High Life|ESSEX</v>
      </c>
    </row>
    <row r="2956" spans="1:7" x14ac:dyDescent="0.2">
      <c r="A2956" s="2" t="s">
        <v>7</v>
      </c>
      <c r="B2956" s="2" t="str" cm="1">
        <f t="array" ref="B2956">INDEX('Whitelist (Blackout Reverse)'!$B$1:$K$1,MOD(ROW()-2952,10)+1)</f>
        <v>HUDSON</v>
      </c>
      <c r="C2956" s="2" t="s">
        <v>8</v>
      </c>
      <c r="D2956" s="2">
        <f>IF(INDEX('Whitelist (Blackout Reverse)'!$B$2:$K$300,MATCH($A2956,'Whitelist (Blackout Reverse)'!$A$2:$A$300,0),MATCH($B2956,'Whitelist (Blackout Reverse)'!$B$1:$K$1,0))="CAN SELL",1,0)</f>
        <v>0</v>
      </c>
      <c r="E2956" s="2" t="str">
        <f t="shared" si="93"/>
        <v>Inactive</v>
      </c>
      <c r="F2956" s="2" t="str">
        <f t="shared" si="94"/>
        <v>THEM</v>
      </c>
      <c r="G2956" s="2" t="str">
        <f t="shared" si="92"/>
        <v>Miller High Life|HUDSON</v>
      </c>
    </row>
    <row r="2957" spans="1:7" x14ac:dyDescent="0.2">
      <c r="A2957" s="2" t="s">
        <v>7</v>
      </c>
      <c r="B2957" s="2" t="str" cm="1">
        <f t="array" ref="B2957">INDEX('Whitelist (Blackout Reverse)'!$B$1:$K$1,MOD(ROW()-2952,10)+1)</f>
        <v>UNION</v>
      </c>
      <c r="C2957" s="2" t="s">
        <v>8</v>
      </c>
      <c r="D2957" s="2">
        <f>IF(INDEX('Whitelist (Blackout Reverse)'!$B$2:$K$300,MATCH($A2957,'Whitelist (Blackout Reverse)'!$A$2:$A$300,0),MATCH($B2957,'Whitelist (Blackout Reverse)'!$B$1:$K$1,0))="CAN SELL",1,0)</f>
        <v>0</v>
      </c>
      <c r="E2957" s="2" t="str">
        <f t="shared" si="93"/>
        <v>Inactive</v>
      </c>
      <c r="F2957" s="2" t="str">
        <f t="shared" si="94"/>
        <v>THEM</v>
      </c>
      <c r="G2957" s="2" t="str">
        <f t="shared" si="92"/>
        <v>Miller High Life|UNION</v>
      </c>
    </row>
    <row r="2958" spans="1:7" x14ac:dyDescent="0.2">
      <c r="A2958" s="2" t="s">
        <v>7</v>
      </c>
      <c r="B2958" s="2" t="str" cm="1">
        <f t="array" ref="B2958">INDEX('Whitelist (Blackout Reverse)'!$B$1:$K$1,MOD(ROW()-2952,10)+1)</f>
        <v>SUSSEX</v>
      </c>
      <c r="C2958" s="2" t="s">
        <v>8</v>
      </c>
      <c r="D2958" s="2">
        <f>IF(INDEX('Whitelist (Blackout Reverse)'!$B$2:$K$300,MATCH($A2958,'Whitelist (Blackout Reverse)'!$A$2:$A$300,0),MATCH($B2958,'Whitelist (Blackout Reverse)'!$B$1:$K$1,0))="CAN SELL",1,0)</f>
        <v>1</v>
      </c>
      <c r="E2958" s="2" t="str">
        <f t="shared" si="93"/>
        <v>No Match</v>
      </c>
      <c r="F2958" s="2" t="str">
        <f t="shared" si="94"/>
        <v>US</v>
      </c>
      <c r="G2958" s="2" t="str">
        <f t="shared" si="92"/>
        <v>Miller High Life|SUSSEX</v>
      </c>
    </row>
    <row r="2959" spans="1:7" x14ac:dyDescent="0.2">
      <c r="A2959" s="2" t="s">
        <v>7</v>
      </c>
      <c r="B2959" s="2" t="str" cm="1">
        <f t="array" ref="B2959">INDEX('Whitelist (Blackout Reverse)'!$B$1:$K$1,MOD(ROW()-2952,10)+1)</f>
        <v>MORRIS 1</v>
      </c>
      <c r="C2959" s="2" t="s">
        <v>8</v>
      </c>
      <c r="D2959" s="2">
        <f>IF(INDEX('Whitelist (Blackout Reverse)'!$B$2:$K$300,MATCH($A2959,'Whitelist (Blackout Reverse)'!$A$2:$A$300,0),MATCH($B2959,'Whitelist (Blackout Reverse)'!$B$1:$K$1,0))="CAN SELL",1,0)</f>
        <v>1</v>
      </c>
      <c r="E2959" s="2" t="str">
        <f t="shared" si="93"/>
        <v>No Match</v>
      </c>
      <c r="F2959" s="2" t="str">
        <f t="shared" si="94"/>
        <v>US</v>
      </c>
      <c r="G2959" s="2" t="str">
        <f t="shared" si="92"/>
        <v>Miller High Life|MORRIS 1</v>
      </c>
    </row>
    <row r="2960" spans="1:7" x14ac:dyDescent="0.2">
      <c r="A2960" s="2" t="s">
        <v>7</v>
      </c>
      <c r="B2960" s="2" t="str" cm="1">
        <f t="array" ref="B2960">INDEX('Whitelist (Blackout Reverse)'!$B$1:$K$1,MOD(ROW()-2952,10)+1)</f>
        <v>MORRIS 2</v>
      </c>
      <c r="C2960" s="2" t="s">
        <v>8</v>
      </c>
      <c r="D2960" s="2">
        <f>IF(INDEX('Whitelist (Blackout Reverse)'!$B$2:$K$300,MATCH($A2960,'Whitelist (Blackout Reverse)'!$A$2:$A$300,0),MATCH($B2960,'Whitelist (Blackout Reverse)'!$B$1:$K$1,0))="CAN SELL",1,0)</f>
        <v>0</v>
      </c>
      <c r="E2960" s="2" t="str">
        <f t="shared" si="93"/>
        <v>Inactive</v>
      </c>
      <c r="F2960" s="2" t="str">
        <f t="shared" si="94"/>
        <v>THEM</v>
      </c>
      <c r="G2960" s="2" t="str">
        <f t="shared" si="92"/>
        <v>Miller High Life|MORRIS 2</v>
      </c>
    </row>
    <row r="2961" spans="1:7" x14ac:dyDescent="0.2">
      <c r="A2961" s="2" t="s">
        <v>7</v>
      </c>
      <c r="B2961" s="2" t="str" cm="1">
        <f t="array" ref="B2961">INDEX('Whitelist (Blackout Reverse)'!$B$1:$K$1,MOD(ROW()-2952,10)+1)</f>
        <v>MORRIS 3</v>
      </c>
      <c r="C2961" s="2" t="s">
        <v>8</v>
      </c>
      <c r="D2961" s="2">
        <f>IF(INDEX('Whitelist (Blackout Reverse)'!$B$2:$K$300,MATCH($A2961,'Whitelist (Blackout Reverse)'!$A$2:$A$300,0),MATCH($B2961,'Whitelist (Blackout Reverse)'!$B$1:$K$1,0))="CAN SELL",1,0)</f>
        <v>1</v>
      </c>
      <c r="E2961" s="2" t="str">
        <f t="shared" si="93"/>
        <v>No Match</v>
      </c>
      <c r="F2961" s="2" t="str">
        <f t="shared" si="94"/>
        <v>US</v>
      </c>
      <c r="G2961" s="2" t="str">
        <f t="shared" si="92"/>
        <v>Miller High Life|MORRIS 3</v>
      </c>
    </row>
    <row r="2962" spans="1:7" x14ac:dyDescent="0.2">
      <c r="A2962" s="2" t="s">
        <v>9</v>
      </c>
      <c r="B2962" s="2" t="str" cm="1">
        <f t="array" ref="B2962">INDEX('Whitelist (Blackout Reverse)'!$B$1:$K$1,MOD(ROW()-2952,10)+1)</f>
        <v>BERGEN</v>
      </c>
      <c r="C2962" s="2" t="s">
        <v>8</v>
      </c>
      <c r="D2962" s="2">
        <f>IF(INDEX('Whitelist (Blackout Reverse)'!$B$2:$K$300,MATCH($A2962,'Whitelist (Blackout Reverse)'!$A$2:$A$300,0),MATCH($B2962,'Whitelist (Blackout Reverse)'!$B$1:$K$1,0))="CAN SELL",1,0)</f>
        <v>1</v>
      </c>
      <c r="E2962" s="2" t="str">
        <f>IF(D2962=0,"Inactive","No Match")</f>
        <v>No Match</v>
      </c>
      <c r="F2962" s="2" t="str">
        <f>IF(D2962=1,"US","THEM")</f>
        <v>US</v>
      </c>
      <c r="G2962" s="2" t="str">
        <f>A2962&amp;"|"&amp;B2962</f>
        <v>Sea Dog|BERGEN</v>
      </c>
    </row>
    <row r="2963" spans="1:7" x14ac:dyDescent="0.2">
      <c r="A2963" s="2" t="s">
        <v>9</v>
      </c>
      <c r="B2963" s="2" t="str" cm="1">
        <f t="array" ref="B2963">INDEX('Whitelist (Blackout Reverse)'!$B$1:$K$1,MOD(ROW()-2952,10)+1)</f>
        <v>PASSAIC</v>
      </c>
      <c r="C2963" s="2" t="s">
        <v>8</v>
      </c>
      <c r="D2963" s="2">
        <f>IF(INDEX('Whitelist (Blackout Reverse)'!$B$2:$K$300,MATCH($A2963,'Whitelist (Blackout Reverse)'!$A$2:$A$300,0),MATCH($B2963,'Whitelist (Blackout Reverse)'!$B$1:$K$1,0))="CAN SELL",1,0)</f>
        <v>1</v>
      </c>
      <c r="E2963" s="2" t="str">
        <f t="shared" ref="E2963:E2991" si="95">IF(D2963=0,"Inactive","No Match")</f>
        <v>No Match</v>
      </c>
      <c r="F2963" s="2" t="str">
        <f t="shared" ref="F2963:F2991" si="96">IF(D2963=1,"US","THEM")</f>
        <v>US</v>
      </c>
      <c r="G2963" s="2" t="str">
        <f t="shared" ref="G2963:G2991" si="97">A2963&amp;"|"&amp;B2963</f>
        <v>Sea Dog|PASSAIC</v>
      </c>
    </row>
    <row r="2964" spans="1:7" x14ac:dyDescent="0.2">
      <c r="A2964" s="2" t="s">
        <v>9</v>
      </c>
      <c r="B2964" s="2" t="str" cm="1">
        <f t="array" ref="B2964">INDEX('Whitelist (Blackout Reverse)'!$B$1:$K$1,MOD(ROW()-2952,10)+1)</f>
        <v>PASSAIC-FF</v>
      </c>
      <c r="C2964" s="2" t="s">
        <v>8</v>
      </c>
      <c r="D2964" s="2">
        <f>IF(INDEX('Whitelist (Blackout Reverse)'!$B$2:$K$300,MATCH($A2964,'Whitelist (Blackout Reverse)'!$A$2:$A$300,0),MATCH($B2964,'Whitelist (Blackout Reverse)'!$B$1:$K$1,0))="CAN SELL",1,0)</f>
        <v>1</v>
      </c>
      <c r="E2964" s="2" t="str">
        <f t="shared" si="95"/>
        <v>No Match</v>
      </c>
      <c r="F2964" s="2" t="str">
        <f t="shared" si="96"/>
        <v>US</v>
      </c>
      <c r="G2964" s="2" t="str">
        <f t="shared" si="97"/>
        <v>Sea Dog|PASSAIC-FF</v>
      </c>
    </row>
    <row r="2965" spans="1:7" x14ac:dyDescent="0.2">
      <c r="A2965" s="2" t="s">
        <v>9</v>
      </c>
      <c r="B2965" s="2" t="str" cm="1">
        <f t="array" ref="B2965">INDEX('Whitelist (Blackout Reverse)'!$B$1:$K$1,MOD(ROW()-2952,10)+1)</f>
        <v>ESSEX</v>
      </c>
      <c r="C2965" s="2" t="s">
        <v>8</v>
      </c>
      <c r="D2965" s="2">
        <f>IF(INDEX('Whitelist (Blackout Reverse)'!$B$2:$K$300,MATCH($A2965,'Whitelist (Blackout Reverse)'!$A$2:$A$300,0),MATCH($B2965,'Whitelist (Blackout Reverse)'!$B$1:$K$1,0))="CAN SELL",1,0)</f>
        <v>1</v>
      </c>
      <c r="E2965" s="2" t="str">
        <f t="shared" si="95"/>
        <v>No Match</v>
      </c>
      <c r="F2965" s="2" t="str">
        <f t="shared" si="96"/>
        <v>US</v>
      </c>
      <c r="G2965" s="2" t="str">
        <f t="shared" si="97"/>
        <v>Sea Dog|ESSEX</v>
      </c>
    </row>
    <row r="2966" spans="1:7" x14ac:dyDescent="0.2">
      <c r="A2966" s="2" t="s">
        <v>9</v>
      </c>
      <c r="B2966" s="2" t="str" cm="1">
        <f t="array" ref="B2966">INDEX('Whitelist (Blackout Reverse)'!$B$1:$K$1,MOD(ROW()-2952,10)+1)</f>
        <v>HUDSON</v>
      </c>
      <c r="C2966" s="2" t="s">
        <v>8</v>
      </c>
      <c r="D2966" s="2">
        <f>IF(INDEX('Whitelist (Blackout Reverse)'!$B$2:$K$300,MATCH($A2966,'Whitelist (Blackout Reverse)'!$A$2:$A$300,0),MATCH($B2966,'Whitelist (Blackout Reverse)'!$B$1:$K$1,0))="CAN SELL",1,0)</f>
        <v>1</v>
      </c>
      <c r="E2966" s="2" t="str">
        <f t="shared" si="95"/>
        <v>No Match</v>
      </c>
      <c r="F2966" s="2" t="str">
        <f t="shared" si="96"/>
        <v>US</v>
      </c>
      <c r="G2966" s="2" t="str">
        <f t="shared" si="97"/>
        <v>Sea Dog|HUDSON</v>
      </c>
    </row>
    <row r="2967" spans="1:7" x14ac:dyDescent="0.2">
      <c r="A2967" s="2" t="s">
        <v>9</v>
      </c>
      <c r="B2967" s="2" t="str" cm="1">
        <f t="array" ref="B2967">INDEX('Whitelist (Blackout Reverse)'!$B$1:$K$1,MOD(ROW()-2952,10)+1)</f>
        <v>UNION</v>
      </c>
      <c r="C2967" s="2" t="s">
        <v>8</v>
      </c>
      <c r="D2967" s="2">
        <f>IF(INDEX('Whitelist (Blackout Reverse)'!$B$2:$K$300,MATCH($A2967,'Whitelist (Blackout Reverse)'!$A$2:$A$300,0),MATCH($B2967,'Whitelist (Blackout Reverse)'!$B$1:$K$1,0))="CAN SELL",1,0)</f>
        <v>0</v>
      </c>
      <c r="E2967" s="2" t="str">
        <f t="shared" si="95"/>
        <v>Inactive</v>
      </c>
      <c r="F2967" s="2" t="str">
        <f t="shared" si="96"/>
        <v>THEM</v>
      </c>
      <c r="G2967" s="2" t="str">
        <f t="shared" si="97"/>
        <v>Sea Dog|UNION</v>
      </c>
    </row>
    <row r="2968" spans="1:7" x14ac:dyDescent="0.2">
      <c r="A2968" s="2" t="s">
        <v>9</v>
      </c>
      <c r="B2968" s="2" t="str" cm="1">
        <f t="array" ref="B2968">INDEX('Whitelist (Blackout Reverse)'!$B$1:$K$1,MOD(ROW()-2952,10)+1)</f>
        <v>SUSSEX</v>
      </c>
      <c r="C2968" s="2" t="s">
        <v>8</v>
      </c>
      <c r="D2968" s="2">
        <f>IF(INDEX('Whitelist (Blackout Reverse)'!$B$2:$K$300,MATCH($A2968,'Whitelist (Blackout Reverse)'!$A$2:$A$300,0),MATCH($B2968,'Whitelist (Blackout Reverse)'!$B$1:$K$1,0))="CAN SELL",1,0)</f>
        <v>0</v>
      </c>
      <c r="E2968" s="2" t="str">
        <f t="shared" si="95"/>
        <v>Inactive</v>
      </c>
      <c r="F2968" s="2" t="str">
        <f t="shared" si="96"/>
        <v>THEM</v>
      </c>
      <c r="G2968" s="2" t="str">
        <f t="shared" si="97"/>
        <v>Sea Dog|SUSSEX</v>
      </c>
    </row>
    <row r="2969" spans="1:7" x14ac:dyDescent="0.2">
      <c r="A2969" s="2" t="s">
        <v>9</v>
      </c>
      <c r="B2969" s="2" t="str" cm="1">
        <f t="array" ref="B2969">INDEX('Whitelist (Blackout Reverse)'!$B$1:$K$1,MOD(ROW()-2952,10)+1)</f>
        <v>MORRIS 1</v>
      </c>
      <c r="C2969" s="2" t="s">
        <v>8</v>
      </c>
      <c r="D2969" s="2">
        <f>IF(INDEX('Whitelist (Blackout Reverse)'!$B$2:$K$300,MATCH($A2969,'Whitelist (Blackout Reverse)'!$A$2:$A$300,0),MATCH($B2969,'Whitelist (Blackout Reverse)'!$B$1:$K$1,0))="CAN SELL",1,0)</f>
        <v>1</v>
      </c>
      <c r="E2969" s="2" t="str">
        <f t="shared" si="95"/>
        <v>No Match</v>
      </c>
      <c r="F2969" s="2" t="str">
        <f t="shared" si="96"/>
        <v>US</v>
      </c>
      <c r="G2969" s="2" t="str">
        <f t="shared" si="97"/>
        <v>Sea Dog|MORRIS 1</v>
      </c>
    </row>
    <row r="2970" spans="1:7" x14ac:dyDescent="0.2">
      <c r="A2970" s="2" t="s">
        <v>9</v>
      </c>
      <c r="B2970" s="2" t="str" cm="1">
        <f t="array" ref="B2970">INDEX('Whitelist (Blackout Reverse)'!$B$1:$K$1,MOD(ROW()-2952,10)+1)</f>
        <v>MORRIS 2</v>
      </c>
      <c r="C2970" s="2" t="s">
        <v>8</v>
      </c>
      <c r="D2970" s="2">
        <f>IF(INDEX('Whitelist (Blackout Reverse)'!$B$2:$K$300,MATCH($A2970,'Whitelist (Blackout Reverse)'!$A$2:$A$300,0),MATCH($B2970,'Whitelist (Blackout Reverse)'!$B$1:$K$1,0))="CAN SELL",1,0)</f>
        <v>0</v>
      </c>
      <c r="E2970" s="2" t="str">
        <f t="shared" si="95"/>
        <v>Inactive</v>
      </c>
      <c r="F2970" s="2" t="str">
        <f t="shared" si="96"/>
        <v>THEM</v>
      </c>
      <c r="G2970" s="2" t="str">
        <f t="shared" si="97"/>
        <v>Sea Dog|MORRIS 2</v>
      </c>
    </row>
    <row r="2971" spans="1:7" x14ac:dyDescent="0.2">
      <c r="A2971" s="2" t="s">
        <v>9</v>
      </c>
      <c r="B2971" s="2" t="str" cm="1">
        <f t="array" ref="B2971">INDEX('Whitelist (Blackout Reverse)'!$B$1:$K$1,MOD(ROW()-2952,10)+1)</f>
        <v>MORRIS 3</v>
      </c>
      <c r="C2971" s="2" t="s">
        <v>8</v>
      </c>
      <c r="D2971" s="2">
        <f>IF(INDEX('Whitelist (Blackout Reverse)'!$B$2:$K$300,MATCH($A2971,'Whitelist (Blackout Reverse)'!$A$2:$A$300,0),MATCH($B2971,'Whitelist (Blackout Reverse)'!$B$1:$K$1,0))="CAN SELL",1,0)</f>
        <v>0</v>
      </c>
      <c r="E2971" s="2" t="str">
        <f t="shared" si="95"/>
        <v>Inactive</v>
      </c>
      <c r="F2971" s="2" t="str">
        <f t="shared" si="96"/>
        <v>THEM</v>
      </c>
      <c r="G2971" s="2" t="str">
        <f t="shared" si="97"/>
        <v>Sea Dog|MORRIS 3</v>
      </c>
    </row>
    <row r="2972" spans="1:7" x14ac:dyDescent="0.2">
      <c r="A2972" s="2" t="s">
        <v>10</v>
      </c>
      <c r="B2972" s="2" t="s">
        <v>11</v>
      </c>
      <c r="C2972" s="2" t="s">
        <v>12</v>
      </c>
      <c r="D2972" s="2">
        <f>IF(COUNTIFS('Blackout Brand Fam Areas (Enc)'!$B$6:$B$998,A2972,'Blackout Brand Fam Areas (Enc)'!$C$6:$C$998,B2972,'Blackout Brand Fam Areas (Enc)'!$D$6:$D$998,"Inactive")&gt;0,0,1)</f>
        <v>1</v>
      </c>
      <c r="E2972" s="2" t="str">
        <f t="shared" si="95"/>
        <v>No Match</v>
      </c>
      <c r="F2972" s="2" t="str">
        <f t="shared" si="96"/>
        <v>US</v>
      </c>
      <c r="G2972" s="2" t="str">
        <f t="shared" si="97"/>
        <v>Industrial Arts|BERGEN</v>
      </c>
    </row>
    <row r="2973" spans="1:7" x14ac:dyDescent="0.2">
      <c r="A2973" s="2" t="s">
        <v>10</v>
      </c>
      <c r="B2973" s="2" t="s">
        <v>13</v>
      </c>
      <c r="C2973" s="2" t="s">
        <v>12</v>
      </c>
      <c r="D2973" s="2">
        <f>IF(COUNTIFS('Blackout Brand Fam Areas (Enc)'!$B$6:$B$998,A2973,'Blackout Brand Fam Areas (Enc)'!$C$6:$C$998,B2973,'Blackout Brand Fam Areas (Enc)'!$D$6:$D$998,"Inactive")&gt;0,0,1)</f>
        <v>1</v>
      </c>
      <c r="E2973" s="2" t="str">
        <f t="shared" si="95"/>
        <v>No Match</v>
      </c>
      <c r="F2973" s="2" t="str">
        <f t="shared" si="96"/>
        <v>US</v>
      </c>
      <c r="G2973" s="2" t="str">
        <f t="shared" si="97"/>
        <v>Industrial Arts|PASSAIC</v>
      </c>
    </row>
    <row r="2974" spans="1:7" x14ac:dyDescent="0.2">
      <c r="A2974" s="2" t="s">
        <v>10</v>
      </c>
      <c r="B2974" s="2" t="s">
        <v>14</v>
      </c>
      <c r="C2974" s="2" t="s">
        <v>12</v>
      </c>
      <c r="D2974" s="2">
        <f>IF(COUNTIFS('Blackout Brand Fam Areas (Enc)'!$B$6:$B$998,A2974,'Blackout Brand Fam Areas (Enc)'!$C$6:$C$998,B2974,'Blackout Brand Fam Areas (Enc)'!$D$6:$D$998,"Inactive")&gt;0,0,1)</f>
        <v>1</v>
      </c>
      <c r="E2974" s="2" t="str">
        <f t="shared" si="95"/>
        <v>No Match</v>
      </c>
      <c r="F2974" s="2" t="str">
        <f t="shared" si="96"/>
        <v>US</v>
      </c>
      <c r="G2974" s="2" t="str">
        <f t="shared" si="97"/>
        <v>Industrial Arts|PASSAIC-FF</v>
      </c>
    </row>
    <row r="2975" spans="1:7" x14ac:dyDescent="0.2">
      <c r="A2975" s="2" t="s">
        <v>10</v>
      </c>
      <c r="B2975" s="2" t="s">
        <v>15</v>
      </c>
      <c r="C2975" s="2" t="s">
        <v>12</v>
      </c>
      <c r="D2975" s="2">
        <f>IF(COUNTIFS('Blackout Brand Fam Areas (Enc)'!$B$6:$B$998,A2975,'Blackout Brand Fam Areas (Enc)'!$C$6:$C$998,B2975,'Blackout Brand Fam Areas (Enc)'!$D$6:$D$998,"Inactive")&gt;0,0,1)</f>
        <v>1</v>
      </c>
      <c r="E2975" s="2" t="str">
        <f t="shared" si="95"/>
        <v>No Match</v>
      </c>
      <c r="F2975" s="2" t="str">
        <f t="shared" si="96"/>
        <v>US</v>
      </c>
      <c r="G2975" s="2" t="str">
        <f t="shared" si="97"/>
        <v>Industrial Arts|ESSEX</v>
      </c>
    </row>
    <row r="2976" spans="1:7" x14ac:dyDescent="0.2">
      <c r="A2976" s="2" t="s">
        <v>10</v>
      </c>
      <c r="B2976" s="2" t="s">
        <v>16</v>
      </c>
      <c r="C2976" s="2" t="s">
        <v>12</v>
      </c>
      <c r="D2976" s="2">
        <f>IF(COUNTIFS('Blackout Brand Fam Areas (Enc)'!$B$6:$B$998,A2976,'Blackout Brand Fam Areas (Enc)'!$C$6:$C$998,B2976,'Blackout Brand Fam Areas (Enc)'!$D$6:$D$998,"Inactive")&gt;0,0,1)</f>
        <v>1</v>
      </c>
      <c r="E2976" s="2" t="str">
        <f t="shared" si="95"/>
        <v>No Match</v>
      </c>
      <c r="F2976" s="2" t="str">
        <f t="shared" si="96"/>
        <v>US</v>
      </c>
      <c r="G2976" s="2" t="str">
        <f t="shared" si="97"/>
        <v>Industrial Arts|HUDSON</v>
      </c>
    </row>
    <row r="2977" spans="1:7" x14ac:dyDescent="0.2">
      <c r="A2977" s="2" t="s">
        <v>10</v>
      </c>
      <c r="B2977" s="2" t="s">
        <v>17</v>
      </c>
      <c r="C2977" s="2" t="s">
        <v>12</v>
      </c>
      <c r="D2977" s="2">
        <f>IF(COUNTIFS('Blackout Brand Fam Areas (Enc)'!$B$6:$B$998,A2977,'Blackout Brand Fam Areas (Enc)'!$C$6:$C$998,B2977,'Blackout Brand Fam Areas (Enc)'!$D$6:$D$998,"Inactive")&gt;0,0,1)</f>
        <v>1</v>
      </c>
      <c r="E2977" s="2" t="str">
        <f t="shared" si="95"/>
        <v>No Match</v>
      </c>
      <c r="F2977" s="2" t="str">
        <f t="shared" si="96"/>
        <v>US</v>
      </c>
      <c r="G2977" s="2" t="str">
        <f t="shared" si="97"/>
        <v>Industrial Arts|UNION</v>
      </c>
    </row>
    <row r="2978" spans="1:7" x14ac:dyDescent="0.2">
      <c r="A2978" s="2" t="s">
        <v>10</v>
      </c>
      <c r="B2978" s="2" t="s">
        <v>18</v>
      </c>
      <c r="C2978" s="2" t="s">
        <v>12</v>
      </c>
      <c r="D2978" s="2">
        <f>IF(COUNTIFS('Blackout Brand Fam Areas (Enc)'!$B$6:$B$998,A2978,'Blackout Brand Fam Areas (Enc)'!$C$6:$C$998,B2978,'Blackout Brand Fam Areas (Enc)'!$D$6:$D$998,"Inactive")&gt;0,0,1)</f>
        <v>1</v>
      </c>
      <c r="E2978" s="2" t="str">
        <f t="shared" si="95"/>
        <v>No Match</v>
      </c>
      <c r="F2978" s="2" t="str">
        <f t="shared" si="96"/>
        <v>US</v>
      </c>
      <c r="G2978" s="2" t="str">
        <f t="shared" si="97"/>
        <v>Industrial Arts|SUSSEX</v>
      </c>
    </row>
    <row r="2979" spans="1:7" x14ac:dyDescent="0.2">
      <c r="A2979" s="2" t="s">
        <v>10</v>
      </c>
      <c r="B2979" s="2" t="s">
        <v>19</v>
      </c>
      <c r="C2979" s="2" t="s">
        <v>12</v>
      </c>
      <c r="D2979" s="2">
        <f>IF(COUNTIFS('Blackout Brand Fam Areas (Enc)'!$B$6:$B$998,A2979,'Blackout Brand Fam Areas (Enc)'!$C$6:$C$998,B2979,'Blackout Brand Fam Areas (Enc)'!$D$6:$D$998,"Inactive")&gt;0,0,1)</f>
        <v>1</v>
      </c>
      <c r="E2979" s="2" t="str">
        <f t="shared" si="95"/>
        <v>No Match</v>
      </c>
      <c r="F2979" s="2" t="str">
        <f t="shared" si="96"/>
        <v>US</v>
      </c>
      <c r="G2979" s="2" t="str">
        <f t="shared" si="97"/>
        <v>Industrial Arts|MORRIS 1</v>
      </c>
    </row>
    <row r="2980" spans="1:7" x14ac:dyDescent="0.2">
      <c r="A2980" s="2" t="s">
        <v>10</v>
      </c>
      <c r="B2980" s="2" t="s">
        <v>20</v>
      </c>
      <c r="C2980" s="2" t="s">
        <v>12</v>
      </c>
      <c r="D2980" s="2">
        <f>IF(COUNTIFS('Blackout Brand Fam Areas (Enc)'!$B$6:$B$998,A2980,'Blackout Brand Fam Areas (Enc)'!$C$6:$C$998,B2980,'Blackout Brand Fam Areas (Enc)'!$D$6:$D$998,"Inactive")&gt;0,0,1)</f>
        <v>1</v>
      </c>
      <c r="E2980" s="2" t="str">
        <f t="shared" si="95"/>
        <v>No Match</v>
      </c>
      <c r="F2980" s="2" t="str">
        <f t="shared" si="96"/>
        <v>US</v>
      </c>
      <c r="G2980" s="2" t="str">
        <f t="shared" si="97"/>
        <v>Industrial Arts|MORRIS 2</v>
      </c>
    </row>
    <row r="2981" spans="1:7" x14ac:dyDescent="0.2">
      <c r="A2981" s="2" t="s">
        <v>10</v>
      </c>
      <c r="B2981" s="2" t="s">
        <v>21</v>
      </c>
      <c r="C2981" s="2" t="s">
        <v>12</v>
      </c>
      <c r="D2981" s="2">
        <f>IF(COUNTIFS('Blackout Brand Fam Areas (Enc)'!$B$6:$B$998,A2981,'Blackout Brand Fam Areas (Enc)'!$C$6:$C$998,B2981,'Blackout Brand Fam Areas (Enc)'!$D$6:$D$998,"Inactive")&gt;0,0,1)</f>
        <v>1</v>
      </c>
      <c r="E2981" s="2" t="str">
        <f t="shared" si="95"/>
        <v>No Match</v>
      </c>
      <c r="F2981" s="2" t="str">
        <f t="shared" si="96"/>
        <v>US</v>
      </c>
      <c r="G2981" s="2" t="str">
        <f t="shared" si="97"/>
        <v>Industrial Arts|MORRIS 3</v>
      </c>
    </row>
    <row r="2982" spans="1:7" x14ac:dyDescent="0.2">
      <c r="A2982" s="2" t="s">
        <v>22</v>
      </c>
      <c r="B2982" s="2" t="s">
        <v>11</v>
      </c>
      <c r="C2982" s="2" t="s">
        <v>12</v>
      </c>
      <c r="D2982" s="2">
        <f>IF(COUNTIFS('Blackout Brand Fam Areas (Enc)'!$B$6:$B$998,A2982,'Blackout Brand Fam Areas (Enc)'!$C$6:$C$998,B2982,'Blackout Brand Fam Areas (Enc)'!$D$6:$D$998,"Inactive")&gt;0,0,1)</f>
        <v>1</v>
      </c>
      <c r="E2982" s="2" t="str">
        <f t="shared" si="95"/>
        <v>No Match</v>
      </c>
      <c r="F2982" s="2" t="str">
        <f t="shared" si="96"/>
        <v>US</v>
      </c>
      <c r="G2982" s="2" t="str">
        <f t="shared" si="97"/>
        <v>Other Half|BERGEN</v>
      </c>
    </row>
    <row r="2983" spans="1:7" x14ac:dyDescent="0.2">
      <c r="A2983" s="2" t="s">
        <v>22</v>
      </c>
      <c r="B2983" s="2" t="s">
        <v>13</v>
      </c>
      <c r="C2983" s="2" t="s">
        <v>12</v>
      </c>
      <c r="D2983" s="2">
        <f>IF(COUNTIFS('Blackout Brand Fam Areas (Enc)'!$B$6:$B$998,A2983,'Blackout Brand Fam Areas (Enc)'!$C$6:$C$998,B2983,'Blackout Brand Fam Areas (Enc)'!$D$6:$D$998,"Inactive")&gt;0,0,1)</f>
        <v>1</v>
      </c>
      <c r="E2983" s="2" t="str">
        <f t="shared" si="95"/>
        <v>No Match</v>
      </c>
      <c r="F2983" s="2" t="str">
        <f t="shared" si="96"/>
        <v>US</v>
      </c>
      <c r="G2983" s="2" t="str">
        <f t="shared" si="97"/>
        <v>Other Half|PASSAIC</v>
      </c>
    </row>
    <row r="2984" spans="1:7" x14ac:dyDescent="0.2">
      <c r="A2984" s="2" t="s">
        <v>22</v>
      </c>
      <c r="B2984" s="2" t="s">
        <v>14</v>
      </c>
      <c r="C2984" s="2" t="s">
        <v>12</v>
      </c>
      <c r="D2984" s="2">
        <f>IF(COUNTIFS('Blackout Brand Fam Areas (Enc)'!$B$6:$B$998,A2984,'Blackout Brand Fam Areas (Enc)'!$C$6:$C$998,B2984,'Blackout Brand Fam Areas (Enc)'!$D$6:$D$998,"Inactive")&gt;0,0,1)</f>
        <v>1</v>
      </c>
      <c r="E2984" s="2" t="str">
        <f t="shared" si="95"/>
        <v>No Match</v>
      </c>
      <c r="F2984" s="2" t="str">
        <f t="shared" si="96"/>
        <v>US</v>
      </c>
      <c r="G2984" s="2" t="str">
        <f t="shared" si="97"/>
        <v>Other Half|PASSAIC-FF</v>
      </c>
    </row>
    <row r="2985" spans="1:7" x14ac:dyDescent="0.2">
      <c r="A2985" s="2" t="s">
        <v>22</v>
      </c>
      <c r="B2985" s="2" t="s">
        <v>15</v>
      </c>
      <c r="C2985" s="2" t="s">
        <v>12</v>
      </c>
      <c r="D2985" s="2">
        <f>IF(COUNTIFS('Blackout Brand Fam Areas (Enc)'!$B$6:$B$998,A2985,'Blackout Brand Fam Areas (Enc)'!$C$6:$C$998,B2985,'Blackout Brand Fam Areas (Enc)'!$D$6:$D$998,"Inactive")&gt;0,0,1)</f>
        <v>1</v>
      </c>
      <c r="E2985" s="2" t="str">
        <f t="shared" si="95"/>
        <v>No Match</v>
      </c>
      <c r="F2985" s="2" t="str">
        <f t="shared" si="96"/>
        <v>US</v>
      </c>
      <c r="G2985" s="2" t="str">
        <f t="shared" si="97"/>
        <v>Other Half|ESSEX</v>
      </c>
    </row>
    <row r="2986" spans="1:7" x14ac:dyDescent="0.2">
      <c r="A2986" s="2" t="s">
        <v>22</v>
      </c>
      <c r="B2986" s="2" t="s">
        <v>16</v>
      </c>
      <c r="C2986" s="2" t="s">
        <v>12</v>
      </c>
      <c r="D2986" s="2">
        <f>IF(COUNTIFS('Blackout Brand Fam Areas (Enc)'!$B$6:$B$998,A2986,'Blackout Brand Fam Areas (Enc)'!$C$6:$C$998,B2986,'Blackout Brand Fam Areas (Enc)'!$D$6:$D$998,"Inactive")&gt;0,0,1)</f>
        <v>1</v>
      </c>
      <c r="E2986" s="2" t="str">
        <f t="shared" si="95"/>
        <v>No Match</v>
      </c>
      <c r="F2986" s="2" t="str">
        <f t="shared" si="96"/>
        <v>US</v>
      </c>
      <c r="G2986" s="2" t="str">
        <f t="shared" si="97"/>
        <v>Other Half|HUDSON</v>
      </c>
    </row>
    <row r="2987" spans="1:7" x14ac:dyDescent="0.2">
      <c r="A2987" s="2" t="s">
        <v>22</v>
      </c>
      <c r="B2987" s="2" t="s">
        <v>17</v>
      </c>
      <c r="C2987" s="2" t="s">
        <v>12</v>
      </c>
      <c r="D2987" s="2">
        <f>IF(COUNTIFS('Blackout Brand Fam Areas (Enc)'!$B$6:$B$998,A2987,'Blackout Brand Fam Areas (Enc)'!$C$6:$C$998,B2987,'Blackout Brand Fam Areas (Enc)'!$D$6:$D$998,"Inactive")&gt;0,0,1)</f>
        <v>1</v>
      </c>
      <c r="E2987" s="2" t="str">
        <f t="shared" si="95"/>
        <v>No Match</v>
      </c>
      <c r="F2987" s="2" t="str">
        <f t="shared" si="96"/>
        <v>US</v>
      </c>
      <c r="G2987" s="2" t="str">
        <f t="shared" si="97"/>
        <v>Other Half|UNION</v>
      </c>
    </row>
    <row r="2988" spans="1:7" x14ac:dyDescent="0.2">
      <c r="A2988" s="2" t="s">
        <v>22</v>
      </c>
      <c r="B2988" s="2" t="s">
        <v>18</v>
      </c>
      <c r="C2988" s="2" t="s">
        <v>12</v>
      </c>
      <c r="D2988" s="2">
        <f>IF(COUNTIFS('Blackout Brand Fam Areas (Enc)'!$B$6:$B$998,A2988,'Blackout Brand Fam Areas (Enc)'!$C$6:$C$998,B2988,'Blackout Brand Fam Areas (Enc)'!$D$6:$D$998,"Inactive")&gt;0,0,1)</f>
        <v>1</v>
      </c>
      <c r="E2988" s="2" t="str">
        <f t="shared" si="95"/>
        <v>No Match</v>
      </c>
      <c r="F2988" s="2" t="str">
        <f t="shared" si="96"/>
        <v>US</v>
      </c>
      <c r="G2988" s="2" t="str">
        <f t="shared" si="97"/>
        <v>Other Half|SUSSEX</v>
      </c>
    </row>
    <row r="2989" spans="1:7" x14ac:dyDescent="0.2">
      <c r="A2989" s="2" t="s">
        <v>22</v>
      </c>
      <c r="B2989" s="2" t="s">
        <v>19</v>
      </c>
      <c r="C2989" s="2" t="s">
        <v>12</v>
      </c>
      <c r="D2989" s="2">
        <f>IF(COUNTIFS('Blackout Brand Fam Areas (Enc)'!$B$6:$B$998,A2989,'Blackout Brand Fam Areas (Enc)'!$C$6:$C$998,B2989,'Blackout Brand Fam Areas (Enc)'!$D$6:$D$998,"Inactive")&gt;0,0,1)</f>
        <v>1</v>
      </c>
      <c r="E2989" s="2" t="str">
        <f t="shared" si="95"/>
        <v>No Match</v>
      </c>
      <c r="F2989" s="2" t="str">
        <f t="shared" si="96"/>
        <v>US</v>
      </c>
      <c r="G2989" s="2" t="str">
        <f t="shared" si="97"/>
        <v>Other Half|MORRIS 1</v>
      </c>
    </row>
    <row r="2990" spans="1:7" x14ac:dyDescent="0.2">
      <c r="A2990" s="2" t="s">
        <v>22</v>
      </c>
      <c r="B2990" s="2" t="s">
        <v>20</v>
      </c>
      <c r="C2990" s="2" t="s">
        <v>12</v>
      </c>
      <c r="D2990" s="2">
        <f>IF(COUNTIFS('Blackout Brand Fam Areas (Enc)'!$B$6:$B$998,A2990,'Blackout Brand Fam Areas (Enc)'!$C$6:$C$998,B2990,'Blackout Brand Fam Areas (Enc)'!$D$6:$D$998,"Inactive")&gt;0,0,1)</f>
        <v>1</v>
      </c>
      <c r="E2990" s="2" t="str">
        <f t="shared" si="95"/>
        <v>No Match</v>
      </c>
      <c r="F2990" s="2" t="str">
        <f t="shared" si="96"/>
        <v>US</v>
      </c>
      <c r="G2990" s="2" t="str">
        <f t="shared" si="97"/>
        <v>Other Half|MORRIS 2</v>
      </c>
    </row>
    <row r="2991" spans="1:7" x14ac:dyDescent="0.2">
      <c r="A2991" s="2" t="s">
        <v>22</v>
      </c>
      <c r="B2991" s="2" t="s">
        <v>21</v>
      </c>
      <c r="C2991" s="2" t="s">
        <v>12</v>
      </c>
      <c r="D2991" s="2">
        <f>IF(COUNTIFS('Blackout Brand Fam Areas (Enc)'!$B$6:$B$998,A2991,'Blackout Brand Fam Areas (Enc)'!$C$6:$C$998,B2991,'Blackout Brand Fam Areas (Enc)'!$D$6:$D$998,"Inactive")&gt;0,0,1)</f>
        <v>1</v>
      </c>
      <c r="E2991" s="2" t="str">
        <f t="shared" si="95"/>
        <v>No Match</v>
      </c>
      <c r="F2991" s="2" t="str">
        <f t="shared" si="96"/>
        <v>US</v>
      </c>
      <c r="G2991" s="2" t="str">
        <f t="shared" si="97"/>
        <v>Other Half|MORRIS 3</v>
      </c>
    </row>
  </sheetData>
  <autoFilter ref="A1:G2991" xr:uid="{996D5E7C-F053-4756-AE11-11107E7D49AA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2CFA2-FB3B-46D3-8BDC-609EAF2E08A8}">
  <sheetPr>
    <tabColor rgb="FFFFFF00"/>
  </sheetPr>
  <dimension ref="A1:K297"/>
  <sheetViews>
    <sheetView workbookViewId="0">
      <selection activeCell="C8" sqref="C8"/>
    </sheetView>
  </sheetViews>
  <sheetFormatPr defaultRowHeight="12.75" x14ac:dyDescent="0.2"/>
  <cols>
    <col min="1" max="16384" width="9.140625" style="2"/>
  </cols>
  <sheetData>
    <row r="1" spans="1:11" x14ac:dyDescent="0.2">
      <c r="A1" s="1" t="s">
        <v>0</v>
      </c>
      <c r="B1" s="1" t="str">
        <f>'Whitelist (Blackout Reverse)'!B1</f>
        <v>BERGEN</v>
      </c>
      <c r="C1" s="1" t="str">
        <f>'Whitelist (Blackout Reverse)'!C1</f>
        <v>PASSAIC</v>
      </c>
      <c r="D1" s="1" t="str">
        <f>'Whitelist (Blackout Reverse)'!D1</f>
        <v>PASSAIC-FF</v>
      </c>
      <c r="E1" s="1" t="str">
        <f>'Whitelist (Blackout Reverse)'!E1</f>
        <v>ESSEX</v>
      </c>
      <c r="F1" s="1" t="str">
        <f>'Whitelist (Blackout Reverse)'!F1</f>
        <v>HUDSON</v>
      </c>
      <c r="G1" s="1" t="str">
        <f>'Whitelist (Blackout Reverse)'!G1</f>
        <v>UNION</v>
      </c>
      <c r="H1" s="1" t="str">
        <f>'Whitelist (Blackout Reverse)'!H1</f>
        <v>SUSSEX</v>
      </c>
      <c r="I1" s="1" t="str">
        <f>'Whitelist (Blackout Reverse)'!I1</f>
        <v>MORRIS 1</v>
      </c>
      <c r="J1" s="1" t="str">
        <f>'Whitelist (Blackout Reverse)'!J1</f>
        <v>MORRIS 2</v>
      </c>
      <c r="K1" s="1" t="str">
        <f>'Whitelist (Blackout Reverse)'!K1</f>
        <v>MORRIS 3</v>
      </c>
    </row>
    <row r="2" spans="1:11" x14ac:dyDescent="0.2">
      <c r="A2" s="2" t="str">
        <f>'[1]Brand Family Territory (Enc)'!A2</f>
        <v>Angry Orchard</v>
      </c>
      <c r="B2" s="2" t="str">
        <f>IFERROR(INDEX('Master - US vs THEM'!$F$2:$F$2951,MATCH($A2&amp;"|"&amp;B$1,'Master - US vs THEM'!$G$2:$G$2951,0)),"")</f>
        <v>US</v>
      </c>
      <c r="C2" s="2" t="str">
        <f>IFERROR(INDEX('Master - US vs THEM'!$F$2:$F$2951,MATCH($A2&amp;"|"&amp;C$1,'Master - US vs THEM'!$G$2:$G$2951,0)),"")</f>
        <v>US</v>
      </c>
      <c r="D2" s="2" t="str">
        <f>IFERROR(INDEX('Master - US vs THEM'!$F$2:$F$2951,MATCH($A2&amp;"|"&amp;D$1,'Master - US vs THEM'!$G$2:$G$2951,0)),"")</f>
        <v>US</v>
      </c>
      <c r="E2" s="2" t="str">
        <f>IFERROR(INDEX('Master - US vs THEM'!$F$2:$F$2951,MATCH($A2&amp;"|"&amp;E$1,'Master - US vs THEM'!$G$2:$G$2951,0)),"")</f>
        <v>THEM</v>
      </c>
      <c r="F2" s="2" t="str">
        <f>IFERROR(INDEX('Master - US vs THEM'!$F$2:$F$2951,MATCH($A2&amp;"|"&amp;F$1,'Master - US vs THEM'!$G$2:$G$2951,0)),"")</f>
        <v>THEM</v>
      </c>
      <c r="G2" s="2" t="str">
        <f>IFERROR(INDEX('Master - US vs THEM'!$F$2:$F$2951,MATCH($A2&amp;"|"&amp;G$1,'Master - US vs THEM'!$G$2:$G$2951,0)),"")</f>
        <v>THEM</v>
      </c>
      <c r="H2" s="2" t="str">
        <f>IFERROR(INDEX('Master - US vs THEM'!$F$2:$F$2951,MATCH($A2&amp;"|"&amp;H$1,'Master - US vs THEM'!$G$2:$G$2951,0)),"")</f>
        <v>US</v>
      </c>
      <c r="I2" s="2" t="str">
        <f>IFERROR(INDEX('Master - US vs THEM'!$F$2:$F$2951,MATCH($A2&amp;"|"&amp;I$1,'Master - US vs THEM'!$G$2:$G$2951,0)),"")</f>
        <v>US</v>
      </c>
      <c r="J2" s="2" t="str">
        <f>IFERROR(INDEX('Master - US vs THEM'!$F$2:$F$2951,MATCH($A2&amp;"|"&amp;J$1,'Master - US vs THEM'!$G$2:$G$2951,0)),"")</f>
        <v>THEM</v>
      </c>
      <c r="K2" s="2" t="str">
        <f>IFERROR(INDEX('Master - US vs THEM'!$F$2:$F$2951,MATCH($A2&amp;"|"&amp;K$1,'Master - US vs THEM'!$G$2:$G$2951,0)),"")</f>
        <v>US</v>
      </c>
    </row>
    <row r="3" spans="1:11" x14ac:dyDescent="0.2">
      <c r="A3" s="2" t="str">
        <f>'[1]Brand Family Territory (Enc)'!A3</f>
        <v>Aguila</v>
      </c>
      <c r="B3" s="2" t="str">
        <f>IFERROR(INDEX('Master - US vs THEM'!$F$2:$F$2951,MATCH($A3&amp;"|"&amp;B$1,'Master - US vs THEM'!$G$2:$G$2951,0)),"")</f>
        <v>US</v>
      </c>
      <c r="C3" s="2" t="str">
        <f>IFERROR(INDEX('Master - US vs THEM'!$F$2:$F$2951,MATCH($A3&amp;"|"&amp;C$1,'Master - US vs THEM'!$G$2:$G$2951,0)),"")</f>
        <v>US</v>
      </c>
      <c r="D3" s="2" t="str">
        <f>IFERROR(INDEX('Master - US vs THEM'!$F$2:$F$2951,MATCH($A3&amp;"|"&amp;D$1,'Master - US vs THEM'!$G$2:$G$2951,0)),"")</f>
        <v>US</v>
      </c>
      <c r="E3" s="2" t="str">
        <f>IFERROR(INDEX('Master - US vs THEM'!$F$2:$F$2951,MATCH($A3&amp;"|"&amp;E$1,'Master - US vs THEM'!$G$2:$G$2951,0)),"")</f>
        <v>THEM</v>
      </c>
      <c r="F3" s="2" t="str">
        <f>IFERROR(INDEX('Master - US vs THEM'!$F$2:$F$2951,MATCH($A3&amp;"|"&amp;F$1,'Master - US vs THEM'!$G$2:$G$2951,0)),"")</f>
        <v>THEM</v>
      </c>
      <c r="G3" s="2" t="str">
        <f>IFERROR(INDEX('Master - US vs THEM'!$F$2:$F$2951,MATCH($A3&amp;"|"&amp;G$1,'Master - US vs THEM'!$G$2:$G$2951,0)),"")</f>
        <v>THEM</v>
      </c>
      <c r="H3" s="2" t="str">
        <f>IFERROR(INDEX('Master - US vs THEM'!$F$2:$F$2951,MATCH($A3&amp;"|"&amp;H$1,'Master - US vs THEM'!$G$2:$G$2951,0)),"")</f>
        <v>US</v>
      </c>
      <c r="I3" s="2" t="str">
        <f>IFERROR(INDEX('Master - US vs THEM'!$F$2:$F$2951,MATCH($A3&amp;"|"&amp;I$1,'Master - US vs THEM'!$G$2:$G$2951,0)),"")</f>
        <v>US</v>
      </c>
      <c r="J3" s="2" t="str">
        <f>IFERROR(INDEX('Master - US vs THEM'!$F$2:$F$2951,MATCH($A3&amp;"|"&amp;J$1,'Master - US vs THEM'!$G$2:$G$2951,0)),"")</f>
        <v>THEM</v>
      </c>
      <c r="K3" s="2" t="str">
        <f>IFERROR(INDEX('Master - US vs THEM'!$F$2:$F$2951,MATCH($A3&amp;"|"&amp;K$1,'Master - US vs THEM'!$G$2:$G$2951,0)),"")</f>
        <v>US</v>
      </c>
    </row>
    <row r="4" spans="1:11" x14ac:dyDescent="0.2">
      <c r="A4" s="2" t="str">
        <f>'[1]Brand Family Territory (Enc)'!A4</f>
        <v>Arnold Palmer</v>
      </c>
      <c r="B4" s="2" t="str">
        <f>IFERROR(INDEX('Master - US vs THEM'!$F$2:$F$2951,MATCH($A4&amp;"|"&amp;B$1,'Master - US vs THEM'!$G$2:$G$2951,0)),"")</f>
        <v>US</v>
      </c>
      <c r="C4" s="2" t="str">
        <f>IFERROR(INDEX('Master - US vs THEM'!$F$2:$F$2951,MATCH($A4&amp;"|"&amp;C$1,'Master - US vs THEM'!$G$2:$G$2951,0)),"")</f>
        <v>US</v>
      </c>
      <c r="D4" s="2" t="str">
        <f>IFERROR(INDEX('Master - US vs THEM'!$F$2:$F$2951,MATCH($A4&amp;"|"&amp;D$1,'Master - US vs THEM'!$G$2:$G$2951,0)),"")</f>
        <v>US</v>
      </c>
      <c r="E4" s="2" t="str">
        <f>IFERROR(INDEX('Master - US vs THEM'!$F$2:$F$2951,MATCH($A4&amp;"|"&amp;E$1,'Master - US vs THEM'!$G$2:$G$2951,0)),"")</f>
        <v>THEM</v>
      </c>
      <c r="F4" s="2" t="str">
        <f>IFERROR(INDEX('Master - US vs THEM'!$F$2:$F$2951,MATCH($A4&amp;"|"&amp;F$1,'Master - US vs THEM'!$G$2:$G$2951,0)),"")</f>
        <v>THEM</v>
      </c>
      <c r="G4" s="2" t="str">
        <f>IFERROR(INDEX('Master - US vs THEM'!$F$2:$F$2951,MATCH($A4&amp;"|"&amp;G$1,'Master - US vs THEM'!$G$2:$G$2951,0)),"")</f>
        <v>THEM</v>
      </c>
      <c r="H4" s="2" t="str">
        <f>IFERROR(INDEX('Master - US vs THEM'!$F$2:$F$2951,MATCH($A4&amp;"|"&amp;H$1,'Master - US vs THEM'!$G$2:$G$2951,0)),"")</f>
        <v>US</v>
      </c>
      <c r="I4" s="2" t="str">
        <f>IFERROR(INDEX('Master - US vs THEM'!$F$2:$F$2951,MATCH($A4&amp;"|"&amp;I$1,'Master - US vs THEM'!$G$2:$G$2951,0)),"")</f>
        <v>US</v>
      </c>
      <c r="J4" s="2" t="str">
        <f>IFERROR(INDEX('Master - US vs THEM'!$F$2:$F$2951,MATCH($A4&amp;"|"&amp;J$1,'Master - US vs THEM'!$G$2:$G$2951,0)),"")</f>
        <v>THEM</v>
      </c>
      <c r="K4" s="2" t="str">
        <f>IFERROR(INDEX('Master - US vs THEM'!$F$2:$F$2951,MATCH($A4&amp;"|"&amp;K$1,'Master - US vs THEM'!$G$2:$G$2951,0)),"")</f>
        <v>US</v>
      </c>
    </row>
    <row r="5" spans="1:11" x14ac:dyDescent="0.2">
      <c r="A5" s="2" t="str">
        <f>'[1]Brand Family Territory (Enc)'!A5</f>
        <v>Athletic</v>
      </c>
      <c r="B5" s="2" t="str">
        <f>IFERROR(INDEX('Master - US vs THEM'!$F$2:$F$2951,MATCH($A5&amp;"|"&amp;B$1,'Master - US vs THEM'!$G$2:$G$2951,0)),"")</f>
        <v>US</v>
      </c>
      <c r="C5" s="2" t="str">
        <f>IFERROR(INDEX('Master - US vs THEM'!$F$2:$F$2951,MATCH($A5&amp;"|"&amp;C$1,'Master - US vs THEM'!$G$2:$G$2951,0)),"")</f>
        <v>US</v>
      </c>
      <c r="D5" s="2" t="str">
        <f>IFERROR(INDEX('Master - US vs THEM'!$F$2:$F$2951,MATCH($A5&amp;"|"&amp;D$1,'Master - US vs THEM'!$G$2:$G$2951,0)),"")</f>
        <v>US</v>
      </c>
      <c r="E5" s="2" t="str">
        <f>IFERROR(INDEX('Master - US vs THEM'!$F$2:$F$2951,MATCH($A5&amp;"|"&amp;E$1,'Master - US vs THEM'!$G$2:$G$2951,0)),"")</f>
        <v>THEM</v>
      </c>
      <c r="F5" s="2" t="str">
        <f>IFERROR(INDEX('Master - US vs THEM'!$F$2:$F$2951,MATCH($A5&amp;"|"&amp;F$1,'Master - US vs THEM'!$G$2:$G$2951,0)),"")</f>
        <v>THEM</v>
      </c>
      <c r="G5" s="2" t="str">
        <f>IFERROR(INDEX('Master - US vs THEM'!$F$2:$F$2951,MATCH($A5&amp;"|"&amp;G$1,'Master - US vs THEM'!$G$2:$G$2951,0)),"")</f>
        <v>THEM</v>
      </c>
      <c r="H5" s="2" t="str">
        <f>IFERROR(INDEX('Master - US vs THEM'!$F$2:$F$2951,MATCH($A5&amp;"|"&amp;H$1,'Master - US vs THEM'!$G$2:$G$2951,0)),"")</f>
        <v>US</v>
      </c>
      <c r="I5" s="2" t="str">
        <f>IFERROR(INDEX('Master - US vs THEM'!$F$2:$F$2951,MATCH($A5&amp;"|"&amp;I$1,'Master - US vs THEM'!$G$2:$G$2951,0)),"")</f>
        <v>US</v>
      </c>
      <c r="J5" s="2" t="str">
        <f>IFERROR(INDEX('Master - US vs THEM'!$F$2:$F$2951,MATCH($A5&amp;"|"&amp;J$1,'Master - US vs THEM'!$G$2:$G$2951,0)),"")</f>
        <v>THEM</v>
      </c>
      <c r="K5" s="2" t="str">
        <f>IFERROR(INDEX('Master - US vs THEM'!$F$2:$F$2951,MATCH($A5&amp;"|"&amp;K$1,'Master - US vs THEM'!$G$2:$G$2951,0)),"")</f>
        <v>US</v>
      </c>
    </row>
    <row r="6" spans="1:11" x14ac:dyDescent="0.2">
      <c r="A6" s="2" t="str">
        <f>'[1]Brand Family Territory (Enc)'!A6</f>
        <v>Bardstown Bourbon</v>
      </c>
      <c r="B6" s="2" t="str">
        <f>IFERROR(INDEX('Master - US vs THEM'!$F$2:$F$2951,MATCH($A6&amp;"|"&amp;B$1,'Master - US vs THEM'!$G$2:$G$2951,0)),"")</f>
        <v>US</v>
      </c>
      <c r="C6" s="2" t="str">
        <f>IFERROR(INDEX('Master - US vs THEM'!$F$2:$F$2951,MATCH($A6&amp;"|"&amp;C$1,'Master - US vs THEM'!$G$2:$G$2951,0)),"")</f>
        <v>US</v>
      </c>
      <c r="D6" s="2" t="str">
        <f>IFERROR(INDEX('Master - US vs THEM'!$F$2:$F$2951,MATCH($A6&amp;"|"&amp;D$1,'Master - US vs THEM'!$G$2:$G$2951,0)),"")</f>
        <v>US</v>
      </c>
      <c r="E6" s="2" t="str">
        <f>IFERROR(INDEX('Master - US vs THEM'!$F$2:$F$2951,MATCH($A6&amp;"|"&amp;E$1,'Master - US vs THEM'!$G$2:$G$2951,0)),"")</f>
        <v>THEM</v>
      </c>
      <c r="F6" s="2" t="str">
        <f>IFERROR(INDEX('Master - US vs THEM'!$F$2:$F$2951,MATCH($A6&amp;"|"&amp;F$1,'Master - US vs THEM'!$G$2:$G$2951,0)),"")</f>
        <v>THEM</v>
      </c>
      <c r="G6" s="2" t="str">
        <f>IFERROR(INDEX('Master - US vs THEM'!$F$2:$F$2951,MATCH($A6&amp;"|"&amp;G$1,'Master - US vs THEM'!$G$2:$G$2951,0)),"")</f>
        <v>THEM</v>
      </c>
      <c r="H6" s="2" t="str">
        <f>IFERROR(INDEX('Master - US vs THEM'!$F$2:$F$2951,MATCH($A6&amp;"|"&amp;H$1,'Master - US vs THEM'!$G$2:$G$2951,0)),"")</f>
        <v>US</v>
      </c>
      <c r="I6" s="2" t="str">
        <f>IFERROR(INDEX('Master - US vs THEM'!$F$2:$F$2951,MATCH($A6&amp;"|"&amp;I$1,'Master - US vs THEM'!$G$2:$G$2951,0)),"")</f>
        <v>US</v>
      </c>
      <c r="J6" s="2" t="str">
        <f>IFERROR(INDEX('Master - US vs THEM'!$F$2:$F$2951,MATCH($A6&amp;"|"&amp;J$1,'Master - US vs THEM'!$G$2:$G$2951,0)),"")</f>
        <v>THEM</v>
      </c>
      <c r="K6" s="2" t="str">
        <f>IFERROR(INDEX('Master - US vs THEM'!$F$2:$F$2951,MATCH($A6&amp;"|"&amp;K$1,'Master - US vs THEM'!$G$2:$G$2951,0)),"")</f>
        <v>US</v>
      </c>
    </row>
    <row r="7" spans="1:11" x14ac:dyDescent="0.2">
      <c r="A7" s="2" t="str">
        <f>'[1]Brand Family Territory (Enc)'!A7</f>
        <v>Bell's</v>
      </c>
      <c r="B7" s="2" t="str">
        <f>IFERROR(INDEX('Master - US vs THEM'!$F$2:$F$2951,MATCH($A7&amp;"|"&amp;B$1,'Master - US vs THEM'!$G$2:$G$2951,0)),"")</f>
        <v>US</v>
      </c>
      <c r="C7" s="2" t="str">
        <f>IFERROR(INDEX('Master - US vs THEM'!$F$2:$F$2951,MATCH($A7&amp;"|"&amp;C$1,'Master - US vs THEM'!$G$2:$G$2951,0)),"")</f>
        <v>US</v>
      </c>
      <c r="D7" s="2" t="str">
        <f>IFERROR(INDEX('Master - US vs THEM'!$F$2:$F$2951,MATCH($A7&amp;"|"&amp;D$1,'Master - US vs THEM'!$G$2:$G$2951,0)),"")</f>
        <v>US</v>
      </c>
      <c r="E7" s="2" t="str">
        <f>IFERROR(INDEX('Master - US vs THEM'!$F$2:$F$2951,MATCH($A7&amp;"|"&amp;E$1,'Master - US vs THEM'!$G$2:$G$2951,0)),"")</f>
        <v>THEM</v>
      </c>
      <c r="F7" s="2" t="str">
        <f>IFERROR(INDEX('Master - US vs THEM'!$F$2:$F$2951,MATCH($A7&amp;"|"&amp;F$1,'Master - US vs THEM'!$G$2:$G$2951,0)),"")</f>
        <v>THEM</v>
      </c>
      <c r="G7" s="2" t="str">
        <f>IFERROR(INDEX('Master - US vs THEM'!$F$2:$F$2951,MATCH($A7&amp;"|"&amp;G$1,'Master - US vs THEM'!$G$2:$G$2951,0)),"")</f>
        <v>THEM</v>
      </c>
      <c r="H7" s="2" t="str">
        <f>IFERROR(INDEX('Master - US vs THEM'!$F$2:$F$2951,MATCH($A7&amp;"|"&amp;H$1,'Master - US vs THEM'!$G$2:$G$2951,0)),"")</f>
        <v>US</v>
      </c>
      <c r="I7" s="2" t="str">
        <f>IFERROR(INDEX('Master - US vs THEM'!$F$2:$F$2951,MATCH($A7&amp;"|"&amp;I$1,'Master - US vs THEM'!$G$2:$G$2951,0)),"")</f>
        <v>US</v>
      </c>
      <c r="J7" s="2" t="str">
        <f>IFERROR(INDEX('Master - US vs THEM'!$F$2:$F$2951,MATCH($A7&amp;"|"&amp;J$1,'Master - US vs THEM'!$G$2:$G$2951,0)),"")</f>
        <v>THEM</v>
      </c>
      <c r="K7" s="2" t="str">
        <f>IFERROR(INDEX('Master - US vs THEM'!$F$2:$F$2951,MATCH($A7&amp;"|"&amp;K$1,'Master - US vs THEM'!$G$2:$G$2951,0)),"")</f>
        <v>US</v>
      </c>
    </row>
    <row r="8" spans="1:11" x14ac:dyDescent="0.2">
      <c r="A8" s="2" t="str">
        <f>'[1]Brand Family Territory (Enc)'!A8</f>
        <v>Bell's Hearted Family</v>
      </c>
      <c r="B8" s="2" t="str">
        <f>IFERROR(INDEX('Master - US vs THEM'!$F$2:$F$2951,MATCH($A8&amp;"|"&amp;B$1,'Master - US vs THEM'!$G$2:$G$2951,0)),"")</f>
        <v>US</v>
      </c>
      <c r="C8" s="2" t="str">
        <f>IFERROR(INDEX('Master - US vs THEM'!$F$2:$F$2951,MATCH($A8&amp;"|"&amp;C$1,'Master - US vs THEM'!$G$2:$G$2951,0)),"")</f>
        <v>US</v>
      </c>
      <c r="D8" s="2" t="str">
        <f>IFERROR(INDEX('Master - US vs THEM'!$F$2:$F$2951,MATCH($A8&amp;"|"&amp;D$1,'Master - US vs THEM'!$G$2:$G$2951,0)),"")</f>
        <v>US</v>
      </c>
      <c r="E8" s="2" t="str">
        <f>IFERROR(INDEX('Master - US vs THEM'!$F$2:$F$2951,MATCH($A8&amp;"|"&amp;E$1,'Master - US vs THEM'!$G$2:$G$2951,0)),"")</f>
        <v>THEM</v>
      </c>
      <c r="F8" s="2" t="str">
        <f>IFERROR(INDEX('Master - US vs THEM'!$F$2:$F$2951,MATCH($A8&amp;"|"&amp;F$1,'Master - US vs THEM'!$G$2:$G$2951,0)),"")</f>
        <v>THEM</v>
      </c>
      <c r="G8" s="2" t="str">
        <f>IFERROR(INDEX('Master - US vs THEM'!$F$2:$F$2951,MATCH($A8&amp;"|"&amp;G$1,'Master - US vs THEM'!$G$2:$G$2951,0)),"")</f>
        <v>THEM</v>
      </c>
      <c r="H8" s="2" t="str">
        <f>IFERROR(INDEX('Master - US vs THEM'!$F$2:$F$2951,MATCH($A8&amp;"|"&amp;H$1,'Master - US vs THEM'!$G$2:$G$2951,0)),"")</f>
        <v>US</v>
      </c>
      <c r="I8" s="2" t="str">
        <f>IFERROR(INDEX('Master - US vs THEM'!$F$2:$F$2951,MATCH($A8&amp;"|"&amp;I$1,'Master - US vs THEM'!$G$2:$G$2951,0)),"")</f>
        <v>US</v>
      </c>
      <c r="J8" s="2" t="str">
        <f>IFERROR(INDEX('Master - US vs THEM'!$F$2:$F$2951,MATCH($A8&amp;"|"&amp;J$1,'Master - US vs THEM'!$G$2:$G$2951,0)),"")</f>
        <v>THEM</v>
      </c>
      <c r="K8" s="2" t="str">
        <f>IFERROR(INDEX('Master - US vs THEM'!$F$2:$F$2951,MATCH($A8&amp;"|"&amp;K$1,'Master - US vs THEM'!$G$2:$G$2951,0)),"")</f>
        <v>US</v>
      </c>
    </row>
    <row r="9" spans="1:11" x14ac:dyDescent="0.2">
      <c r="A9" s="2" t="str">
        <f>'[1]Brand Family Territory (Enc)'!A9</f>
        <v>Blue Moon</v>
      </c>
      <c r="B9" s="2" t="str">
        <f>IFERROR(INDEX('Master - US vs THEM'!$F$2:$F$2951,MATCH($A9&amp;"|"&amp;B$1,'Master - US vs THEM'!$G$2:$G$2951,0)),"")</f>
        <v>US</v>
      </c>
      <c r="C9" s="2" t="str">
        <f>IFERROR(INDEX('Master - US vs THEM'!$F$2:$F$2951,MATCH($A9&amp;"|"&amp;C$1,'Master - US vs THEM'!$G$2:$G$2951,0)),"")</f>
        <v>US</v>
      </c>
      <c r="D9" s="2" t="str">
        <f>IFERROR(INDEX('Master - US vs THEM'!$F$2:$F$2951,MATCH($A9&amp;"|"&amp;D$1,'Master - US vs THEM'!$G$2:$G$2951,0)),"")</f>
        <v>US</v>
      </c>
      <c r="E9" s="2" t="str">
        <f>IFERROR(INDEX('Master - US vs THEM'!$F$2:$F$2951,MATCH($A9&amp;"|"&amp;E$1,'Master - US vs THEM'!$G$2:$G$2951,0)),"")</f>
        <v>THEM</v>
      </c>
      <c r="F9" s="2" t="str">
        <f>IFERROR(INDEX('Master - US vs THEM'!$F$2:$F$2951,MATCH($A9&amp;"|"&amp;F$1,'Master - US vs THEM'!$G$2:$G$2951,0)),"")</f>
        <v>THEM</v>
      </c>
      <c r="G9" s="2" t="str">
        <f>IFERROR(INDEX('Master - US vs THEM'!$F$2:$F$2951,MATCH($A9&amp;"|"&amp;G$1,'Master - US vs THEM'!$G$2:$G$2951,0)),"")</f>
        <v>THEM</v>
      </c>
      <c r="H9" s="2" t="str">
        <f>IFERROR(INDEX('Master - US vs THEM'!$F$2:$F$2951,MATCH($A9&amp;"|"&amp;H$1,'Master - US vs THEM'!$G$2:$G$2951,0)),"")</f>
        <v>US</v>
      </c>
      <c r="I9" s="2" t="str">
        <f>IFERROR(INDEX('Master - US vs THEM'!$F$2:$F$2951,MATCH($A9&amp;"|"&amp;I$1,'Master - US vs THEM'!$G$2:$G$2951,0)),"")</f>
        <v>US</v>
      </c>
      <c r="J9" s="2" t="str">
        <f>IFERROR(INDEX('Master - US vs THEM'!$F$2:$F$2951,MATCH($A9&amp;"|"&amp;J$1,'Master - US vs THEM'!$G$2:$G$2951,0)),"")</f>
        <v>THEM</v>
      </c>
      <c r="K9" s="2" t="str">
        <f>IFERROR(INDEX('Master - US vs THEM'!$F$2:$F$2951,MATCH($A9&amp;"|"&amp;K$1,'Master - US vs THEM'!$G$2:$G$2951,0)),"")</f>
        <v>US</v>
      </c>
    </row>
    <row r="10" spans="1:11" x14ac:dyDescent="0.2">
      <c r="A10" s="2" t="str">
        <f>'[1]Brand Family Territory (Enc)'!A10</f>
        <v>Cape May</v>
      </c>
      <c r="B10" s="2" t="str">
        <f>IFERROR(INDEX('Master - US vs THEM'!$F$2:$F$2951,MATCH($A10&amp;"|"&amp;B$1,'Master - US vs THEM'!$G$2:$G$2951,0)),"")</f>
        <v>US</v>
      </c>
      <c r="C10" s="2" t="str">
        <f>IFERROR(INDEX('Master - US vs THEM'!$F$2:$F$2951,MATCH($A10&amp;"|"&amp;C$1,'Master - US vs THEM'!$G$2:$G$2951,0)),"")</f>
        <v>US</v>
      </c>
      <c r="D10" s="2" t="str">
        <f>IFERROR(INDEX('Master - US vs THEM'!$F$2:$F$2951,MATCH($A10&amp;"|"&amp;D$1,'Master - US vs THEM'!$G$2:$G$2951,0)),"")</f>
        <v>US</v>
      </c>
      <c r="E10" s="2" t="str">
        <f>IFERROR(INDEX('Master - US vs THEM'!$F$2:$F$2951,MATCH($A10&amp;"|"&amp;E$1,'Master - US vs THEM'!$G$2:$G$2951,0)),"")</f>
        <v>THEM</v>
      </c>
      <c r="F10" s="2" t="str">
        <f>IFERROR(INDEX('Master - US vs THEM'!$F$2:$F$2951,MATCH($A10&amp;"|"&amp;F$1,'Master - US vs THEM'!$G$2:$G$2951,0)),"")</f>
        <v>THEM</v>
      </c>
      <c r="G10" s="2" t="str">
        <f>IFERROR(INDEX('Master - US vs THEM'!$F$2:$F$2951,MATCH($A10&amp;"|"&amp;G$1,'Master - US vs THEM'!$G$2:$G$2951,0)),"")</f>
        <v>THEM</v>
      </c>
      <c r="H10" s="2" t="str">
        <f>IFERROR(INDEX('Master - US vs THEM'!$F$2:$F$2951,MATCH($A10&amp;"|"&amp;H$1,'Master - US vs THEM'!$G$2:$G$2951,0)),"")</f>
        <v>US</v>
      </c>
      <c r="I10" s="2" t="str">
        <f>IFERROR(INDEX('Master - US vs THEM'!$F$2:$F$2951,MATCH($A10&amp;"|"&amp;I$1,'Master - US vs THEM'!$G$2:$G$2951,0)),"")</f>
        <v>US</v>
      </c>
      <c r="J10" s="2" t="str">
        <f>IFERROR(INDEX('Master - US vs THEM'!$F$2:$F$2951,MATCH($A10&amp;"|"&amp;J$1,'Master - US vs THEM'!$G$2:$G$2951,0)),"")</f>
        <v>THEM</v>
      </c>
      <c r="K10" s="2" t="str">
        <f>IFERROR(INDEX('Master - US vs THEM'!$F$2:$F$2951,MATCH($A10&amp;"|"&amp;K$1,'Master - US vs THEM'!$G$2:$G$2951,0)),"")</f>
        <v>US</v>
      </c>
    </row>
    <row r="11" spans="1:11" x14ac:dyDescent="0.2">
      <c r="A11" s="2" t="str">
        <f>'[1]Brand Family Territory (Enc)'!A11</f>
        <v>Cayman Jack</v>
      </c>
      <c r="B11" s="2" t="str">
        <f>IFERROR(INDEX('Master - US vs THEM'!$F$2:$F$2951,MATCH($A11&amp;"|"&amp;B$1,'Master - US vs THEM'!$G$2:$G$2951,0)),"")</f>
        <v>US</v>
      </c>
      <c r="C11" s="2" t="str">
        <f>IFERROR(INDEX('Master - US vs THEM'!$F$2:$F$2951,MATCH($A11&amp;"|"&amp;C$1,'Master - US vs THEM'!$G$2:$G$2951,0)),"")</f>
        <v>US</v>
      </c>
      <c r="D11" s="2" t="str">
        <f>IFERROR(INDEX('Master - US vs THEM'!$F$2:$F$2951,MATCH($A11&amp;"|"&amp;D$1,'Master - US vs THEM'!$G$2:$G$2951,0)),"")</f>
        <v>US</v>
      </c>
      <c r="E11" s="2" t="str">
        <f>IFERROR(INDEX('Master - US vs THEM'!$F$2:$F$2951,MATCH($A11&amp;"|"&amp;E$1,'Master - US vs THEM'!$G$2:$G$2951,0)),"")</f>
        <v>THEM</v>
      </c>
      <c r="F11" s="2" t="str">
        <f>IFERROR(INDEX('Master - US vs THEM'!$F$2:$F$2951,MATCH($A11&amp;"|"&amp;F$1,'Master - US vs THEM'!$G$2:$G$2951,0)),"")</f>
        <v>THEM</v>
      </c>
      <c r="G11" s="2" t="str">
        <f>IFERROR(INDEX('Master - US vs THEM'!$F$2:$F$2951,MATCH($A11&amp;"|"&amp;G$1,'Master - US vs THEM'!$G$2:$G$2951,0)),"")</f>
        <v>THEM</v>
      </c>
      <c r="H11" s="2" t="str">
        <f>IFERROR(INDEX('Master - US vs THEM'!$F$2:$F$2951,MATCH($A11&amp;"|"&amp;H$1,'Master - US vs THEM'!$G$2:$G$2951,0)),"")</f>
        <v>US</v>
      </c>
      <c r="I11" s="2" t="str">
        <f>IFERROR(INDEX('Master - US vs THEM'!$F$2:$F$2951,MATCH($A11&amp;"|"&amp;I$1,'Master - US vs THEM'!$G$2:$G$2951,0)),"")</f>
        <v>US</v>
      </c>
      <c r="J11" s="2" t="str">
        <f>IFERROR(INDEX('Master - US vs THEM'!$F$2:$F$2951,MATCH($A11&amp;"|"&amp;J$1,'Master - US vs THEM'!$G$2:$G$2951,0)),"")</f>
        <v>THEM</v>
      </c>
      <c r="K11" s="2" t="str">
        <f>IFERROR(INDEX('Master - US vs THEM'!$F$2:$F$2951,MATCH($A11&amp;"|"&amp;K$1,'Master - US vs THEM'!$G$2:$G$2951,0)),"")</f>
        <v>US</v>
      </c>
    </row>
    <row r="12" spans="1:11" x14ac:dyDescent="0.2">
      <c r="A12" s="2" t="str">
        <f>'[1]Brand Family Territory (Enc)'!A12</f>
        <v>Coors</v>
      </c>
      <c r="B12" s="2" t="str">
        <f>IFERROR(INDEX('Master - US vs THEM'!$F$2:$F$2951,MATCH($A12&amp;"|"&amp;B$1,'Master - US vs THEM'!$G$2:$G$2951,0)),"")</f>
        <v>US</v>
      </c>
      <c r="C12" s="2" t="str">
        <f>IFERROR(INDEX('Master - US vs THEM'!$F$2:$F$2951,MATCH($A12&amp;"|"&amp;C$1,'Master - US vs THEM'!$G$2:$G$2951,0)),"")</f>
        <v>US</v>
      </c>
      <c r="D12" s="2" t="str">
        <f>IFERROR(INDEX('Master - US vs THEM'!$F$2:$F$2951,MATCH($A12&amp;"|"&amp;D$1,'Master - US vs THEM'!$G$2:$G$2951,0)),"")</f>
        <v>US</v>
      </c>
      <c r="E12" s="2" t="str">
        <f>IFERROR(INDEX('Master - US vs THEM'!$F$2:$F$2951,MATCH($A12&amp;"|"&amp;E$1,'Master - US vs THEM'!$G$2:$G$2951,0)),"")</f>
        <v>THEM</v>
      </c>
      <c r="F12" s="2" t="str">
        <f>IFERROR(INDEX('Master - US vs THEM'!$F$2:$F$2951,MATCH($A12&amp;"|"&amp;F$1,'Master - US vs THEM'!$G$2:$G$2951,0)),"")</f>
        <v>THEM</v>
      </c>
      <c r="G12" s="2" t="str">
        <f>IFERROR(INDEX('Master - US vs THEM'!$F$2:$F$2951,MATCH($A12&amp;"|"&amp;G$1,'Master - US vs THEM'!$G$2:$G$2951,0)),"")</f>
        <v>THEM</v>
      </c>
      <c r="H12" s="2" t="str">
        <f>IFERROR(INDEX('Master - US vs THEM'!$F$2:$F$2951,MATCH($A12&amp;"|"&amp;H$1,'Master - US vs THEM'!$G$2:$G$2951,0)),"")</f>
        <v>US</v>
      </c>
      <c r="I12" s="2" t="str">
        <f>IFERROR(INDEX('Master - US vs THEM'!$F$2:$F$2951,MATCH($A12&amp;"|"&amp;I$1,'Master - US vs THEM'!$G$2:$G$2951,0)),"")</f>
        <v>US</v>
      </c>
      <c r="J12" s="2" t="str">
        <f>IFERROR(INDEX('Master - US vs THEM'!$F$2:$F$2951,MATCH($A12&amp;"|"&amp;J$1,'Master - US vs THEM'!$G$2:$G$2951,0)),"")</f>
        <v>THEM</v>
      </c>
      <c r="K12" s="2" t="str">
        <f>IFERROR(INDEX('Master - US vs THEM'!$F$2:$F$2951,MATCH($A12&amp;"|"&amp;K$1,'Master - US vs THEM'!$G$2:$G$2951,0)),"")</f>
        <v>US</v>
      </c>
    </row>
    <row r="13" spans="1:11" x14ac:dyDescent="0.2">
      <c r="A13" s="2" t="str">
        <f>'[1]Brand Family Territory (Enc)'!A13</f>
        <v>Coors Edge</v>
      </c>
      <c r="B13" s="2" t="str">
        <f>IFERROR(INDEX('Master - US vs THEM'!$F$2:$F$2951,MATCH($A13&amp;"|"&amp;B$1,'Master - US vs THEM'!$G$2:$G$2951,0)),"")</f>
        <v>US</v>
      </c>
      <c r="C13" s="2" t="str">
        <f>IFERROR(INDEX('Master - US vs THEM'!$F$2:$F$2951,MATCH($A13&amp;"|"&amp;C$1,'Master - US vs THEM'!$G$2:$G$2951,0)),"")</f>
        <v>US</v>
      </c>
      <c r="D13" s="2" t="str">
        <f>IFERROR(INDEX('Master - US vs THEM'!$F$2:$F$2951,MATCH($A13&amp;"|"&amp;D$1,'Master - US vs THEM'!$G$2:$G$2951,0)),"")</f>
        <v>US</v>
      </c>
      <c r="E13" s="2" t="str">
        <f>IFERROR(INDEX('Master - US vs THEM'!$F$2:$F$2951,MATCH($A13&amp;"|"&amp;E$1,'Master - US vs THEM'!$G$2:$G$2951,0)),"")</f>
        <v>THEM</v>
      </c>
      <c r="F13" s="2" t="str">
        <f>IFERROR(INDEX('Master - US vs THEM'!$F$2:$F$2951,MATCH($A13&amp;"|"&amp;F$1,'Master - US vs THEM'!$G$2:$G$2951,0)),"")</f>
        <v>THEM</v>
      </c>
      <c r="G13" s="2" t="str">
        <f>IFERROR(INDEX('Master - US vs THEM'!$F$2:$F$2951,MATCH($A13&amp;"|"&amp;G$1,'Master - US vs THEM'!$G$2:$G$2951,0)),"")</f>
        <v>THEM</v>
      </c>
      <c r="H13" s="2" t="str">
        <f>IFERROR(INDEX('Master - US vs THEM'!$F$2:$F$2951,MATCH($A13&amp;"|"&amp;H$1,'Master - US vs THEM'!$G$2:$G$2951,0)),"")</f>
        <v>US</v>
      </c>
      <c r="I13" s="2" t="str">
        <f>IFERROR(INDEX('Master - US vs THEM'!$F$2:$F$2951,MATCH($A13&amp;"|"&amp;I$1,'Master - US vs THEM'!$G$2:$G$2951,0)),"")</f>
        <v>US</v>
      </c>
      <c r="J13" s="2" t="str">
        <f>IFERROR(INDEX('Master - US vs THEM'!$F$2:$F$2951,MATCH($A13&amp;"|"&amp;J$1,'Master - US vs THEM'!$G$2:$G$2951,0)),"")</f>
        <v>THEM</v>
      </c>
      <c r="K13" s="2" t="str">
        <f>IFERROR(INDEX('Master - US vs THEM'!$F$2:$F$2951,MATCH($A13&amp;"|"&amp;K$1,'Master - US vs THEM'!$G$2:$G$2951,0)),"")</f>
        <v>US</v>
      </c>
    </row>
    <row r="14" spans="1:11" x14ac:dyDescent="0.2">
      <c r="A14" s="2" t="str">
        <f>'[1]Brand Family Territory (Enc)'!A14</f>
        <v>Coors Light</v>
      </c>
      <c r="B14" s="2" t="str">
        <f>IFERROR(INDEX('Master - US vs THEM'!$F$2:$F$2951,MATCH($A14&amp;"|"&amp;B$1,'Master - US vs THEM'!$G$2:$G$2951,0)),"")</f>
        <v>US</v>
      </c>
      <c r="C14" s="2" t="str">
        <f>IFERROR(INDEX('Master - US vs THEM'!$F$2:$F$2951,MATCH($A14&amp;"|"&amp;C$1,'Master - US vs THEM'!$G$2:$G$2951,0)),"")</f>
        <v>US</v>
      </c>
      <c r="D14" s="2" t="str">
        <f>IFERROR(INDEX('Master - US vs THEM'!$F$2:$F$2951,MATCH($A14&amp;"|"&amp;D$1,'Master - US vs THEM'!$G$2:$G$2951,0)),"")</f>
        <v>US</v>
      </c>
      <c r="E14" s="2" t="str">
        <f>IFERROR(INDEX('Master - US vs THEM'!$F$2:$F$2951,MATCH($A14&amp;"|"&amp;E$1,'Master - US vs THEM'!$G$2:$G$2951,0)),"")</f>
        <v>THEM</v>
      </c>
      <c r="F14" s="2" t="str">
        <f>IFERROR(INDEX('Master - US vs THEM'!$F$2:$F$2951,MATCH($A14&amp;"|"&amp;F$1,'Master - US vs THEM'!$G$2:$G$2951,0)),"")</f>
        <v>THEM</v>
      </c>
      <c r="G14" s="2" t="str">
        <f>IFERROR(INDEX('Master - US vs THEM'!$F$2:$F$2951,MATCH($A14&amp;"|"&amp;G$1,'Master - US vs THEM'!$G$2:$G$2951,0)),"")</f>
        <v>THEM</v>
      </c>
      <c r="H14" s="2" t="str">
        <f>IFERROR(INDEX('Master - US vs THEM'!$F$2:$F$2951,MATCH($A14&amp;"|"&amp;H$1,'Master - US vs THEM'!$G$2:$G$2951,0)),"")</f>
        <v>US</v>
      </c>
      <c r="I14" s="2" t="str">
        <f>IFERROR(INDEX('Master - US vs THEM'!$F$2:$F$2951,MATCH($A14&amp;"|"&amp;I$1,'Master - US vs THEM'!$G$2:$G$2951,0)),"")</f>
        <v>US</v>
      </c>
      <c r="J14" s="2" t="str">
        <f>IFERROR(INDEX('Master - US vs THEM'!$F$2:$F$2951,MATCH($A14&amp;"|"&amp;J$1,'Master - US vs THEM'!$G$2:$G$2951,0)),"")</f>
        <v>THEM</v>
      </c>
      <c r="K14" s="2" t="str">
        <f>IFERROR(INDEX('Master - US vs THEM'!$F$2:$F$2951,MATCH($A14&amp;"|"&amp;K$1,'Master - US vs THEM'!$G$2:$G$2951,0)),"")</f>
        <v>US</v>
      </c>
    </row>
    <row r="15" spans="1:11" x14ac:dyDescent="0.2">
      <c r="A15" s="2" t="str">
        <f>'[1]Brand Family Territory (Enc)'!A15</f>
        <v>Corona Extra</v>
      </c>
      <c r="B15" s="2" t="str">
        <f>IFERROR(INDEX('Master - US vs THEM'!$F$2:$F$2951,MATCH($A15&amp;"|"&amp;B$1,'Master - US vs THEM'!$G$2:$G$2951,0)),"")</f>
        <v>US</v>
      </c>
      <c r="C15" s="2" t="str">
        <f>IFERROR(INDEX('Master - US vs THEM'!$F$2:$F$2951,MATCH($A15&amp;"|"&amp;C$1,'Master - US vs THEM'!$G$2:$G$2951,0)),"")</f>
        <v>US</v>
      </c>
      <c r="D15" s="2" t="str">
        <f>IFERROR(INDEX('Master - US vs THEM'!$F$2:$F$2951,MATCH($A15&amp;"|"&amp;D$1,'Master - US vs THEM'!$G$2:$G$2951,0)),"")</f>
        <v>US</v>
      </c>
      <c r="E15" s="2" t="str">
        <f>IFERROR(INDEX('Master - US vs THEM'!$F$2:$F$2951,MATCH($A15&amp;"|"&amp;E$1,'Master - US vs THEM'!$G$2:$G$2951,0)),"")</f>
        <v>THEM</v>
      </c>
      <c r="F15" s="2" t="str">
        <f>IFERROR(INDEX('Master - US vs THEM'!$F$2:$F$2951,MATCH($A15&amp;"|"&amp;F$1,'Master - US vs THEM'!$G$2:$G$2951,0)),"")</f>
        <v>THEM</v>
      </c>
      <c r="G15" s="2" t="str">
        <f>IFERROR(INDEX('Master - US vs THEM'!$F$2:$F$2951,MATCH($A15&amp;"|"&amp;G$1,'Master - US vs THEM'!$G$2:$G$2951,0)),"")</f>
        <v>THEM</v>
      </c>
      <c r="H15" s="2" t="str">
        <f>IFERROR(INDEX('Master - US vs THEM'!$F$2:$F$2951,MATCH($A15&amp;"|"&amp;H$1,'Master - US vs THEM'!$G$2:$G$2951,0)),"")</f>
        <v>US</v>
      </c>
      <c r="I15" s="2" t="str">
        <f>IFERROR(INDEX('Master - US vs THEM'!$F$2:$F$2951,MATCH($A15&amp;"|"&amp;I$1,'Master - US vs THEM'!$G$2:$G$2951,0)),"")</f>
        <v>US</v>
      </c>
      <c r="J15" s="2" t="str">
        <f>IFERROR(INDEX('Master - US vs THEM'!$F$2:$F$2951,MATCH($A15&amp;"|"&amp;J$1,'Master - US vs THEM'!$G$2:$G$2951,0)),"")</f>
        <v>THEM</v>
      </c>
      <c r="K15" s="2" t="str">
        <f>IFERROR(INDEX('Master - US vs THEM'!$F$2:$F$2951,MATCH($A15&amp;"|"&amp;K$1,'Master - US vs THEM'!$G$2:$G$2951,0)),"")</f>
        <v>US</v>
      </c>
    </row>
    <row r="16" spans="1:11" x14ac:dyDescent="0.2">
      <c r="A16" s="2" t="str">
        <f>'[1]Brand Family Territory (Enc)'!A16</f>
        <v>Corona Familiar</v>
      </c>
      <c r="B16" s="2" t="str">
        <f>IFERROR(INDEX('Master - US vs THEM'!$F$2:$F$2951,MATCH($A16&amp;"|"&amp;B$1,'Master - US vs THEM'!$G$2:$G$2951,0)),"")</f>
        <v>US</v>
      </c>
      <c r="C16" s="2" t="str">
        <f>IFERROR(INDEX('Master - US vs THEM'!$F$2:$F$2951,MATCH($A16&amp;"|"&amp;C$1,'Master - US vs THEM'!$G$2:$G$2951,0)),"")</f>
        <v>US</v>
      </c>
      <c r="D16" s="2" t="str">
        <f>IFERROR(INDEX('Master - US vs THEM'!$F$2:$F$2951,MATCH($A16&amp;"|"&amp;D$1,'Master - US vs THEM'!$G$2:$G$2951,0)),"")</f>
        <v>US</v>
      </c>
      <c r="E16" s="2" t="str">
        <f>IFERROR(INDEX('Master - US vs THEM'!$F$2:$F$2951,MATCH($A16&amp;"|"&amp;E$1,'Master - US vs THEM'!$G$2:$G$2951,0)),"")</f>
        <v>THEM</v>
      </c>
      <c r="F16" s="2" t="str">
        <f>IFERROR(INDEX('Master - US vs THEM'!$F$2:$F$2951,MATCH($A16&amp;"|"&amp;F$1,'Master - US vs THEM'!$G$2:$G$2951,0)),"")</f>
        <v>THEM</v>
      </c>
      <c r="G16" s="2" t="str">
        <f>IFERROR(INDEX('Master - US vs THEM'!$F$2:$F$2951,MATCH($A16&amp;"|"&amp;G$1,'Master - US vs THEM'!$G$2:$G$2951,0)),"")</f>
        <v>THEM</v>
      </c>
      <c r="H16" s="2" t="str">
        <f>IFERROR(INDEX('Master - US vs THEM'!$F$2:$F$2951,MATCH($A16&amp;"|"&amp;H$1,'Master - US vs THEM'!$G$2:$G$2951,0)),"")</f>
        <v>US</v>
      </c>
      <c r="I16" s="2" t="str">
        <f>IFERROR(INDEX('Master - US vs THEM'!$F$2:$F$2951,MATCH($A16&amp;"|"&amp;I$1,'Master - US vs THEM'!$G$2:$G$2951,0)),"")</f>
        <v>US</v>
      </c>
      <c r="J16" s="2" t="str">
        <f>IFERROR(INDEX('Master - US vs THEM'!$F$2:$F$2951,MATCH($A16&amp;"|"&amp;J$1,'Master - US vs THEM'!$G$2:$G$2951,0)),"")</f>
        <v>THEM</v>
      </c>
      <c r="K16" s="2" t="str">
        <f>IFERROR(INDEX('Master - US vs THEM'!$F$2:$F$2951,MATCH($A16&amp;"|"&amp;K$1,'Master - US vs THEM'!$G$2:$G$2951,0)),"")</f>
        <v>US</v>
      </c>
    </row>
    <row r="17" spans="1:11" x14ac:dyDescent="0.2">
      <c r="A17" s="2" t="str">
        <f>'[1]Brand Family Territory (Enc)'!A17</f>
        <v>Corona Light</v>
      </c>
      <c r="B17" s="2" t="str">
        <f>IFERROR(INDEX('Master - US vs THEM'!$F$2:$F$2951,MATCH($A17&amp;"|"&amp;B$1,'Master - US vs THEM'!$G$2:$G$2951,0)),"")</f>
        <v>US</v>
      </c>
      <c r="C17" s="2" t="str">
        <f>IFERROR(INDEX('Master - US vs THEM'!$F$2:$F$2951,MATCH($A17&amp;"|"&amp;C$1,'Master - US vs THEM'!$G$2:$G$2951,0)),"")</f>
        <v>US</v>
      </c>
      <c r="D17" s="2" t="str">
        <f>IFERROR(INDEX('Master - US vs THEM'!$F$2:$F$2951,MATCH($A17&amp;"|"&amp;D$1,'Master - US vs THEM'!$G$2:$G$2951,0)),"")</f>
        <v>US</v>
      </c>
      <c r="E17" s="2" t="str">
        <f>IFERROR(INDEX('Master - US vs THEM'!$F$2:$F$2951,MATCH($A17&amp;"|"&amp;E$1,'Master - US vs THEM'!$G$2:$G$2951,0)),"")</f>
        <v>THEM</v>
      </c>
      <c r="F17" s="2" t="str">
        <f>IFERROR(INDEX('Master - US vs THEM'!$F$2:$F$2951,MATCH($A17&amp;"|"&amp;F$1,'Master - US vs THEM'!$G$2:$G$2951,0)),"")</f>
        <v>THEM</v>
      </c>
      <c r="G17" s="2" t="str">
        <f>IFERROR(INDEX('Master - US vs THEM'!$F$2:$F$2951,MATCH($A17&amp;"|"&amp;G$1,'Master - US vs THEM'!$G$2:$G$2951,0)),"")</f>
        <v>THEM</v>
      </c>
      <c r="H17" s="2" t="str">
        <f>IFERROR(INDEX('Master - US vs THEM'!$F$2:$F$2951,MATCH($A17&amp;"|"&amp;H$1,'Master - US vs THEM'!$G$2:$G$2951,0)),"")</f>
        <v>US</v>
      </c>
      <c r="I17" s="2" t="str">
        <f>IFERROR(INDEX('Master - US vs THEM'!$F$2:$F$2951,MATCH($A17&amp;"|"&amp;I$1,'Master - US vs THEM'!$G$2:$G$2951,0)),"")</f>
        <v>US</v>
      </c>
      <c r="J17" s="2" t="str">
        <f>IFERROR(INDEX('Master - US vs THEM'!$F$2:$F$2951,MATCH($A17&amp;"|"&amp;J$1,'Master - US vs THEM'!$G$2:$G$2951,0)),"")</f>
        <v>THEM</v>
      </c>
      <c r="K17" s="2" t="str">
        <f>IFERROR(INDEX('Master - US vs THEM'!$F$2:$F$2951,MATCH($A17&amp;"|"&amp;K$1,'Master - US vs THEM'!$G$2:$G$2951,0)),"")</f>
        <v>US</v>
      </c>
    </row>
    <row r="18" spans="1:11" x14ac:dyDescent="0.2">
      <c r="A18" s="2" t="str">
        <f>'[1]Brand Family Territory (Enc)'!A18</f>
        <v>Corona NA</v>
      </c>
      <c r="B18" s="2" t="str">
        <f>IFERROR(INDEX('Master - US vs THEM'!$F$2:$F$2951,MATCH($A18&amp;"|"&amp;B$1,'Master - US vs THEM'!$G$2:$G$2951,0)),"")</f>
        <v>US</v>
      </c>
      <c r="C18" s="2" t="str">
        <f>IFERROR(INDEX('Master - US vs THEM'!$F$2:$F$2951,MATCH($A18&amp;"|"&amp;C$1,'Master - US vs THEM'!$G$2:$G$2951,0)),"")</f>
        <v>US</v>
      </c>
      <c r="D18" s="2" t="str">
        <f>IFERROR(INDEX('Master - US vs THEM'!$F$2:$F$2951,MATCH($A18&amp;"|"&amp;D$1,'Master - US vs THEM'!$G$2:$G$2951,0)),"")</f>
        <v>US</v>
      </c>
      <c r="E18" s="2" t="str">
        <f>IFERROR(INDEX('Master - US vs THEM'!$F$2:$F$2951,MATCH($A18&amp;"|"&amp;E$1,'Master - US vs THEM'!$G$2:$G$2951,0)),"")</f>
        <v>THEM</v>
      </c>
      <c r="F18" s="2" t="str">
        <f>IFERROR(INDEX('Master - US vs THEM'!$F$2:$F$2951,MATCH($A18&amp;"|"&amp;F$1,'Master - US vs THEM'!$G$2:$G$2951,0)),"")</f>
        <v>THEM</v>
      </c>
      <c r="G18" s="2" t="str">
        <f>IFERROR(INDEX('Master - US vs THEM'!$F$2:$F$2951,MATCH($A18&amp;"|"&amp;G$1,'Master - US vs THEM'!$G$2:$G$2951,0)),"")</f>
        <v>THEM</v>
      </c>
      <c r="H18" s="2" t="str">
        <f>IFERROR(INDEX('Master - US vs THEM'!$F$2:$F$2951,MATCH($A18&amp;"|"&amp;H$1,'Master - US vs THEM'!$G$2:$G$2951,0)),"")</f>
        <v>US</v>
      </c>
      <c r="I18" s="2" t="str">
        <f>IFERROR(INDEX('Master - US vs THEM'!$F$2:$F$2951,MATCH($A18&amp;"|"&amp;I$1,'Master - US vs THEM'!$G$2:$G$2951,0)),"")</f>
        <v>US</v>
      </c>
      <c r="J18" s="2" t="str">
        <f>IFERROR(INDEX('Master - US vs THEM'!$F$2:$F$2951,MATCH($A18&amp;"|"&amp;J$1,'Master - US vs THEM'!$G$2:$G$2951,0)),"")</f>
        <v>THEM</v>
      </c>
      <c r="K18" s="2" t="str">
        <f>IFERROR(INDEX('Master - US vs THEM'!$F$2:$F$2951,MATCH($A18&amp;"|"&amp;K$1,'Master - US vs THEM'!$G$2:$G$2951,0)),"")</f>
        <v>US</v>
      </c>
    </row>
    <row r="19" spans="1:11" x14ac:dyDescent="0.2">
      <c r="A19" s="2" t="str">
        <f>'[1]Brand Family Territory (Enc)'!A19</f>
        <v>Corona Premier</v>
      </c>
      <c r="B19" s="2" t="str">
        <f>IFERROR(INDEX('Master - US vs THEM'!$F$2:$F$2951,MATCH($A19&amp;"|"&amp;B$1,'Master - US vs THEM'!$G$2:$G$2951,0)),"")</f>
        <v>US</v>
      </c>
      <c r="C19" s="2" t="str">
        <f>IFERROR(INDEX('Master - US vs THEM'!$F$2:$F$2951,MATCH($A19&amp;"|"&amp;C$1,'Master - US vs THEM'!$G$2:$G$2951,0)),"")</f>
        <v>US</v>
      </c>
      <c r="D19" s="2" t="str">
        <f>IFERROR(INDEX('Master - US vs THEM'!$F$2:$F$2951,MATCH($A19&amp;"|"&amp;D$1,'Master - US vs THEM'!$G$2:$G$2951,0)),"")</f>
        <v>US</v>
      </c>
      <c r="E19" s="2" t="str">
        <f>IFERROR(INDEX('Master - US vs THEM'!$F$2:$F$2951,MATCH($A19&amp;"|"&amp;E$1,'Master - US vs THEM'!$G$2:$G$2951,0)),"")</f>
        <v>THEM</v>
      </c>
      <c r="F19" s="2" t="str">
        <f>IFERROR(INDEX('Master - US vs THEM'!$F$2:$F$2951,MATCH($A19&amp;"|"&amp;F$1,'Master - US vs THEM'!$G$2:$G$2951,0)),"")</f>
        <v>THEM</v>
      </c>
      <c r="G19" s="2" t="str">
        <f>IFERROR(INDEX('Master - US vs THEM'!$F$2:$F$2951,MATCH($A19&amp;"|"&amp;G$1,'Master - US vs THEM'!$G$2:$G$2951,0)),"")</f>
        <v>THEM</v>
      </c>
      <c r="H19" s="2" t="str">
        <f>IFERROR(INDEX('Master - US vs THEM'!$F$2:$F$2951,MATCH($A19&amp;"|"&amp;H$1,'Master - US vs THEM'!$G$2:$G$2951,0)),"")</f>
        <v>US</v>
      </c>
      <c r="I19" s="2" t="str">
        <f>IFERROR(INDEX('Master - US vs THEM'!$F$2:$F$2951,MATCH($A19&amp;"|"&amp;I$1,'Master - US vs THEM'!$G$2:$G$2951,0)),"")</f>
        <v>US</v>
      </c>
      <c r="J19" s="2" t="str">
        <f>IFERROR(INDEX('Master - US vs THEM'!$F$2:$F$2951,MATCH($A19&amp;"|"&amp;J$1,'Master - US vs THEM'!$G$2:$G$2951,0)),"")</f>
        <v>THEM</v>
      </c>
      <c r="K19" s="2" t="str">
        <f>IFERROR(INDEX('Master - US vs THEM'!$F$2:$F$2951,MATCH($A19&amp;"|"&amp;K$1,'Master - US vs THEM'!$G$2:$G$2951,0)),"")</f>
        <v>US</v>
      </c>
    </row>
    <row r="20" spans="1:11" x14ac:dyDescent="0.2">
      <c r="A20" s="2" t="str">
        <f>'[1]Brand Family Territory (Enc)'!A20</f>
        <v>Corona Refresca</v>
      </c>
      <c r="B20" s="2" t="str">
        <f>IFERROR(INDEX('Master - US vs THEM'!$F$2:$F$2951,MATCH($A20&amp;"|"&amp;B$1,'Master - US vs THEM'!$G$2:$G$2951,0)),"")</f>
        <v>US</v>
      </c>
      <c r="C20" s="2" t="str">
        <f>IFERROR(INDEX('Master - US vs THEM'!$F$2:$F$2951,MATCH($A20&amp;"|"&amp;C$1,'Master - US vs THEM'!$G$2:$G$2951,0)),"")</f>
        <v>US</v>
      </c>
      <c r="D20" s="2" t="str">
        <f>IFERROR(INDEX('Master - US vs THEM'!$F$2:$F$2951,MATCH($A20&amp;"|"&amp;D$1,'Master - US vs THEM'!$G$2:$G$2951,0)),"")</f>
        <v>US</v>
      </c>
      <c r="E20" s="2" t="str">
        <f>IFERROR(INDEX('Master - US vs THEM'!$F$2:$F$2951,MATCH($A20&amp;"|"&amp;E$1,'Master - US vs THEM'!$G$2:$G$2951,0)),"")</f>
        <v>THEM</v>
      </c>
      <c r="F20" s="2" t="str">
        <f>IFERROR(INDEX('Master - US vs THEM'!$F$2:$F$2951,MATCH($A20&amp;"|"&amp;F$1,'Master - US vs THEM'!$G$2:$G$2951,0)),"")</f>
        <v>THEM</v>
      </c>
      <c r="G20" s="2" t="str">
        <f>IFERROR(INDEX('Master - US vs THEM'!$F$2:$F$2951,MATCH($A20&amp;"|"&amp;G$1,'Master - US vs THEM'!$G$2:$G$2951,0)),"")</f>
        <v>THEM</v>
      </c>
      <c r="H20" s="2" t="str">
        <f>IFERROR(INDEX('Master - US vs THEM'!$F$2:$F$2951,MATCH($A20&amp;"|"&amp;H$1,'Master - US vs THEM'!$G$2:$G$2951,0)),"")</f>
        <v>US</v>
      </c>
      <c r="I20" s="2" t="str">
        <f>IFERROR(INDEX('Master - US vs THEM'!$F$2:$F$2951,MATCH($A20&amp;"|"&amp;I$1,'Master - US vs THEM'!$G$2:$G$2951,0)),"")</f>
        <v>US</v>
      </c>
      <c r="J20" s="2" t="str">
        <f>IFERROR(INDEX('Master - US vs THEM'!$F$2:$F$2951,MATCH($A20&amp;"|"&amp;J$1,'Master - US vs THEM'!$G$2:$G$2951,0)),"")</f>
        <v>THEM</v>
      </c>
      <c r="K20" s="2" t="str">
        <f>IFERROR(INDEX('Master - US vs THEM'!$F$2:$F$2951,MATCH($A20&amp;"|"&amp;K$1,'Master - US vs THEM'!$G$2:$G$2951,0)),"")</f>
        <v>US</v>
      </c>
    </row>
    <row r="21" spans="1:11" x14ac:dyDescent="0.2">
      <c r="A21" s="2" t="str">
        <f>'[1]Brand Family Territory (Enc)'!A21</f>
        <v>Corona Sunbrew</v>
      </c>
      <c r="B21" s="2" t="str">
        <f>IFERROR(INDEX('Master - US vs THEM'!$F$2:$F$2951,MATCH($A21&amp;"|"&amp;B$1,'Master - US vs THEM'!$G$2:$G$2951,0)),"")</f>
        <v>US</v>
      </c>
      <c r="C21" s="2" t="str">
        <f>IFERROR(INDEX('Master - US vs THEM'!$F$2:$F$2951,MATCH($A21&amp;"|"&amp;C$1,'Master - US vs THEM'!$G$2:$G$2951,0)),"")</f>
        <v>US</v>
      </c>
      <c r="D21" s="2" t="str">
        <f>IFERROR(INDEX('Master - US vs THEM'!$F$2:$F$2951,MATCH($A21&amp;"|"&amp;D$1,'Master - US vs THEM'!$G$2:$G$2951,0)),"")</f>
        <v>US</v>
      </c>
      <c r="E21" s="2" t="str">
        <f>IFERROR(INDEX('Master - US vs THEM'!$F$2:$F$2951,MATCH($A21&amp;"|"&amp;E$1,'Master - US vs THEM'!$G$2:$G$2951,0)),"")</f>
        <v>THEM</v>
      </c>
      <c r="F21" s="2" t="str">
        <f>IFERROR(INDEX('Master - US vs THEM'!$F$2:$F$2951,MATCH($A21&amp;"|"&amp;F$1,'Master - US vs THEM'!$G$2:$G$2951,0)),"")</f>
        <v>THEM</v>
      </c>
      <c r="G21" s="2" t="str">
        <f>IFERROR(INDEX('Master - US vs THEM'!$F$2:$F$2951,MATCH($A21&amp;"|"&amp;G$1,'Master - US vs THEM'!$G$2:$G$2951,0)),"")</f>
        <v>THEM</v>
      </c>
      <c r="H21" s="2" t="str">
        <f>IFERROR(INDEX('Master - US vs THEM'!$F$2:$F$2951,MATCH($A21&amp;"|"&amp;H$1,'Master - US vs THEM'!$G$2:$G$2951,0)),"")</f>
        <v>US</v>
      </c>
      <c r="I21" s="2" t="str">
        <f>IFERROR(INDEX('Master - US vs THEM'!$F$2:$F$2951,MATCH($A21&amp;"|"&amp;I$1,'Master - US vs THEM'!$G$2:$G$2951,0)),"")</f>
        <v>US</v>
      </c>
      <c r="J21" s="2" t="str">
        <f>IFERROR(INDEX('Master - US vs THEM'!$F$2:$F$2951,MATCH($A21&amp;"|"&amp;J$1,'Master - US vs THEM'!$G$2:$G$2951,0)),"")</f>
        <v>THEM</v>
      </c>
      <c r="K21" s="2" t="str">
        <f>IFERROR(INDEX('Master - US vs THEM'!$F$2:$F$2951,MATCH($A21&amp;"|"&amp;K$1,'Master - US vs THEM'!$G$2:$G$2951,0)),"")</f>
        <v>US</v>
      </c>
    </row>
    <row r="22" spans="1:11" x14ac:dyDescent="0.2">
      <c r="A22" s="2" t="str">
        <f>'[1]Brand Family Territory (Enc)'!A22</f>
        <v>Craftwell</v>
      </c>
      <c r="B22" s="2" t="str">
        <f>IFERROR(INDEX('Master - US vs THEM'!$F$2:$F$2951,MATCH($A22&amp;"|"&amp;B$1,'Master - US vs THEM'!$G$2:$G$2951,0)),"")</f>
        <v>US</v>
      </c>
      <c r="C22" s="2" t="str">
        <f>IFERROR(INDEX('Master - US vs THEM'!$F$2:$F$2951,MATCH($A22&amp;"|"&amp;C$1,'Master - US vs THEM'!$G$2:$G$2951,0)),"")</f>
        <v>US</v>
      </c>
      <c r="D22" s="2" t="str">
        <f>IFERROR(INDEX('Master - US vs THEM'!$F$2:$F$2951,MATCH($A22&amp;"|"&amp;D$1,'Master - US vs THEM'!$G$2:$G$2951,0)),"")</f>
        <v>US</v>
      </c>
      <c r="E22" s="2" t="str">
        <f>IFERROR(INDEX('Master - US vs THEM'!$F$2:$F$2951,MATCH($A22&amp;"|"&amp;E$1,'Master - US vs THEM'!$G$2:$G$2951,0)),"")</f>
        <v>THEM</v>
      </c>
      <c r="F22" s="2" t="str">
        <f>IFERROR(INDEX('Master - US vs THEM'!$F$2:$F$2951,MATCH($A22&amp;"|"&amp;F$1,'Master - US vs THEM'!$G$2:$G$2951,0)),"")</f>
        <v>THEM</v>
      </c>
      <c r="G22" s="2" t="str">
        <f>IFERROR(INDEX('Master - US vs THEM'!$F$2:$F$2951,MATCH($A22&amp;"|"&amp;G$1,'Master - US vs THEM'!$G$2:$G$2951,0)),"")</f>
        <v>THEM</v>
      </c>
      <c r="H22" s="2" t="str">
        <f>IFERROR(INDEX('Master - US vs THEM'!$F$2:$F$2951,MATCH($A22&amp;"|"&amp;H$1,'Master - US vs THEM'!$G$2:$G$2951,0)),"")</f>
        <v>US</v>
      </c>
      <c r="I22" s="2" t="str">
        <f>IFERROR(INDEX('Master - US vs THEM'!$F$2:$F$2951,MATCH($A22&amp;"|"&amp;I$1,'Master - US vs THEM'!$G$2:$G$2951,0)),"")</f>
        <v>US</v>
      </c>
      <c r="J22" s="2" t="str">
        <f>IFERROR(INDEX('Master - US vs THEM'!$F$2:$F$2951,MATCH($A22&amp;"|"&amp;J$1,'Master - US vs THEM'!$G$2:$G$2951,0)),"")</f>
        <v>THEM</v>
      </c>
      <c r="K22" s="2" t="str">
        <f>IFERROR(INDEX('Master - US vs THEM'!$F$2:$F$2951,MATCH($A22&amp;"|"&amp;K$1,'Master - US vs THEM'!$G$2:$G$2951,0)),"")</f>
        <v>US</v>
      </c>
    </row>
    <row r="23" spans="1:11" x14ac:dyDescent="0.2">
      <c r="A23" s="2" t="str">
        <f>'[1]Brand Family Territory (Enc)'!A23</f>
        <v>Cusquena</v>
      </c>
      <c r="B23" s="2" t="str">
        <f>IFERROR(INDEX('Master - US vs THEM'!$F$2:$F$2951,MATCH($A23&amp;"|"&amp;B$1,'Master - US vs THEM'!$G$2:$G$2951,0)),"")</f>
        <v>US</v>
      </c>
      <c r="C23" s="2" t="str">
        <f>IFERROR(INDEX('Master - US vs THEM'!$F$2:$F$2951,MATCH($A23&amp;"|"&amp;C$1,'Master - US vs THEM'!$G$2:$G$2951,0)),"")</f>
        <v>US</v>
      </c>
      <c r="D23" s="2" t="str">
        <f>IFERROR(INDEX('Master - US vs THEM'!$F$2:$F$2951,MATCH($A23&amp;"|"&amp;D$1,'Master - US vs THEM'!$G$2:$G$2951,0)),"")</f>
        <v>US</v>
      </c>
      <c r="E23" s="2" t="str">
        <f>IFERROR(INDEX('Master - US vs THEM'!$F$2:$F$2951,MATCH($A23&amp;"|"&amp;E$1,'Master - US vs THEM'!$G$2:$G$2951,0)),"")</f>
        <v>THEM</v>
      </c>
      <c r="F23" s="2" t="str">
        <f>IFERROR(INDEX('Master - US vs THEM'!$F$2:$F$2951,MATCH($A23&amp;"|"&amp;F$1,'Master - US vs THEM'!$G$2:$G$2951,0)),"")</f>
        <v>THEM</v>
      </c>
      <c r="G23" s="2" t="str">
        <f>IFERROR(INDEX('Master - US vs THEM'!$F$2:$F$2951,MATCH($A23&amp;"|"&amp;G$1,'Master - US vs THEM'!$G$2:$G$2951,0)),"")</f>
        <v>THEM</v>
      </c>
      <c r="H23" s="2" t="str">
        <f>IFERROR(INDEX('Master - US vs THEM'!$F$2:$F$2951,MATCH($A23&amp;"|"&amp;H$1,'Master - US vs THEM'!$G$2:$G$2951,0)),"")</f>
        <v>US</v>
      </c>
      <c r="I23" s="2" t="str">
        <f>IFERROR(INDEX('Master - US vs THEM'!$F$2:$F$2951,MATCH($A23&amp;"|"&amp;I$1,'Master - US vs THEM'!$G$2:$G$2951,0)),"")</f>
        <v>US</v>
      </c>
      <c r="J23" s="2" t="str">
        <f>IFERROR(INDEX('Master - US vs THEM'!$F$2:$F$2951,MATCH($A23&amp;"|"&amp;J$1,'Master - US vs THEM'!$G$2:$G$2951,0)),"")</f>
        <v>THEM</v>
      </c>
      <c r="K23" s="2" t="str">
        <f>IFERROR(INDEX('Master - US vs THEM'!$F$2:$F$2951,MATCH($A23&amp;"|"&amp;K$1,'Master - US vs THEM'!$G$2:$G$2951,0)),"")</f>
        <v>US</v>
      </c>
    </row>
    <row r="24" spans="1:11" x14ac:dyDescent="0.2">
      <c r="A24" s="2" t="str">
        <f>'[1]Brand Family Territory (Enc)'!A24</f>
        <v>Dad Grass</v>
      </c>
      <c r="B24" s="2" t="str">
        <f>IFERROR(INDEX('Master - US vs THEM'!$F$2:$F$2951,MATCH($A24&amp;"|"&amp;B$1,'Master - US vs THEM'!$G$2:$G$2951,0)),"")</f>
        <v>US</v>
      </c>
      <c r="C24" s="2" t="str">
        <f>IFERROR(INDEX('Master - US vs THEM'!$F$2:$F$2951,MATCH($A24&amp;"|"&amp;C$1,'Master - US vs THEM'!$G$2:$G$2951,0)),"")</f>
        <v>US</v>
      </c>
      <c r="D24" s="2" t="str">
        <f>IFERROR(INDEX('Master - US vs THEM'!$F$2:$F$2951,MATCH($A24&amp;"|"&amp;D$1,'Master - US vs THEM'!$G$2:$G$2951,0)),"")</f>
        <v>US</v>
      </c>
      <c r="E24" s="2" t="str">
        <f>IFERROR(INDEX('Master - US vs THEM'!$F$2:$F$2951,MATCH($A24&amp;"|"&amp;E$1,'Master - US vs THEM'!$G$2:$G$2951,0)),"")</f>
        <v>THEM</v>
      </c>
      <c r="F24" s="2" t="str">
        <f>IFERROR(INDEX('Master - US vs THEM'!$F$2:$F$2951,MATCH($A24&amp;"|"&amp;F$1,'Master - US vs THEM'!$G$2:$G$2951,0)),"")</f>
        <v>THEM</v>
      </c>
      <c r="G24" s="2" t="str">
        <f>IFERROR(INDEX('Master - US vs THEM'!$F$2:$F$2951,MATCH($A24&amp;"|"&amp;G$1,'Master - US vs THEM'!$G$2:$G$2951,0)),"")</f>
        <v>THEM</v>
      </c>
      <c r="H24" s="2" t="str">
        <f>IFERROR(INDEX('Master - US vs THEM'!$F$2:$F$2951,MATCH($A24&amp;"|"&amp;H$1,'Master - US vs THEM'!$G$2:$G$2951,0)),"")</f>
        <v>US</v>
      </c>
      <c r="I24" s="2" t="str">
        <f>IFERROR(INDEX('Master - US vs THEM'!$F$2:$F$2951,MATCH($A24&amp;"|"&amp;I$1,'Master - US vs THEM'!$G$2:$G$2951,0)),"")</f>
        <v>US</v>
      </c>
      <c r="J24" s="2" t="str">
        <f>IFERROR(INDEX('Master - US vs THEM'!$F$2:$F$2951,MATCH($A24&amp;"|"&amp;J$1,'Master - US vs THEM'!$G$2:$G$2951,0)),"")</f>
        <v>THEM</v>
      </c>
      <c r="K24" s="2" t="str">
        <f>IFERROR(INDEX('Master - US vs THEM'!$F$2:$F$2951,MATCH($A24&amp;"|"&amp;K$1,'Master - US vs THEM'!$G$2:$G$2951,0)),"")</f>
        <v>US</v>
      </c>
    </row>
    <row r="25" spans="1:11" x14ac:dyDescent="0.2">
      <c r="A25" s="2" t="str">
        <f>'[1]Brand Family Territory (Enc)'!A25</f>
        <v>Dillon's Cocktails</v>
      </c>
      <c r="B25" s="2" t="str">
        <f>IFERROR(INDEX('Master - US vs THEM'!$F$2:$F$2951,MATCH($A25&amp;"|"&amp;B$1,'Master - US vs THEM'!$G$2:$G$2951,0)),"")</f>
        <v>US</v>
      </c>
      <c r="C25" s="2" t="str">
        <f>IFERROR(INDEX('Master - US vs THEM'!$F$2:$F$2951,MATCH($A25&amp;"|"&amp;C$1,'Master - US vs THEM'!$G$2:$G$2951,0)),"")</f>
        <v>US</v>
      </c>
      <c r="D25" s="2" t="str">
        <f>IFERROR(INDEX('Master - US vs THEM'!$F$2:$F$2951,MATCH($A25&amp;"|"&amp;D$1,'Master - US vs THEM'!$G$2:$G$2951,0)),"")</f>
        <v>US</v>
      </c>
      <c r="E25" s="2" t="str">
        <f>IFERROR(INDEX('Master - US vs THEM'!$F$2:$F$2951,MATCH($A25&amp;"|"&amp;E$1,'Master - US vs THEM'!$G$2:$G$2951,0)),"")</f>
        <v>THEM</v>
      </c>
      <c r="F25" s="2" t="str">
        <f>IFERROR(INDEX('Master - US vs THEM'!$F$2:$F$2951,MATCH($A25&amp;"|"&amp;F$1,'Master - US vs THEM'!$G$2:$G$2951,0)),"")</f>
        <v>THEM</v>
      </c>
      <c r="G25" s="2" t="str">
        <f>IFERROR(INDEX('Master - US vs THEM'!$F$2:$F$2951,MATCH($A25&amp;"|"&amp;G$1,'Master - US vs THEM'!$G$2:$G$2951,0)),"")</f>
        <v>THEM</v>
      </c>
      <c r="H25" s="2" t="str">
        <f>IFERROR(INDEX('Master - US vs THEM'!$F$2:$F$2951,MATCH($A25&amp;"|"&amp;H$1,'Master - US vs THEM'!$G$2:$G$2951,0)),"")</f>
        <v>US</v>
      </c>
      <c r="I25" s="2" t="str">
        <f>IFERROR(INDEX('Master - US vs THEM'!$F$2:$F$2951,MATCH($A25&amp;"|"&amp;I$1,'Master - US vs THEM'!$G$2:$G$2951,0)),"")</f>
        <v>US</v>
      </c>
      <c r="J25" s="2" t="str">
        <f>IFERROR(INDEX('Master - US vs THEM'!$F$2:$F$2951,MATCH($A25&amp;"|"&amp;J$1,'Master - US vs THEM'!$G$2:$G$2951,0)),"")</f>
        <v>THEM</v>
      </c>
      <c r="K25" s="2" t="str">
        <f>IFERROR(INDEX('Master - US vs THEM'!$F$2:$F$2951,MATCH($A25&amp;"|"&amp;K$1,'Master - US vs THEM'!$G$2:$G$2951,0)),"")</f>
        <v>US</v>
      </c>
    </row>
    <row r="26" spans="1:11" x14ac:dyDescent="0.2">
      <c r="A26" s="2" t="str">
        <f>'[1]Brand Family Territory (Enc)'!A26</f>
        <v>Dogfish Head Beer</v>
      </c>
      <c r="B26" s="2" t="str">
        <f>IFERROR(INDEX('Master - US vs THEM'!$F$2:$F$2951,MATCH($A26&amp;"|"&amp;B$1,'Master - US vs THEM'!$G$2:$G$2951,0)),"")</f>
        <v>US</v>
      </c>
      <c r="C26" s="2" t="str">
        <f>IFERROR(INDEX('Master - US vs THEM'!$F$2:$F$2951,MATCH($A26&amp;"|"&amp;C$1,'Master - US vs THEM'!$G$2:$G$2951,0)),"")</f>
        <v>US</v>
      </c>
      <c r="D26" s="2" t="str">
        <f>IFERROR(INDEX('Master - US vs THEM'!$F$2:$F$2951,MATCH($A26&amp;"|"&amp;D$1,'Master - US vs THEM'!$G$2:$G$2951,0)),"")</f>
        <v>US</v>
      </c>
      <c r="E26" s="2" t="str">
        <f>IFERROR(INDEX('Master - US vs THEM'!$F$2:$F$2951,MATCH($A26&amp;"|"&amp;E$1,'Master - US vs THEM'!$G$2:$G$2951,0)),"")</f>
        <v>THEM</v>
      </c>
      <c r="F26" s="2" t="str">
        <f>IFERROR(INDEX('Master - US vs THEM'!$F$2:$F$2951,MATCH($A26&amp;"|"&amp;F$1,'Master - US vs THEM'!$G$2:$G$2951,0)),"")</f>
        <v>THEM</v>
      </c>
      <c r="G26" s="2" t="str">
        <f>IFERROR(INDEX('Master - US vs THEM'!$F$2:$F$2951,MATCH($A26&amp;"|"&amp;G$1,'Master - US vs THEM'!$G$2:$G$2951,0)),"")</f>
        <v>THEM</v>
      </c>
      <c r="H26" s="2" t="str">
        <f>IFERROR(INDEX('Master - US vs THEM'!$F$2:$F$2951,MATCH($A26&amp;"|"&amp;H$1,'Master - US vs THEM'!$G$2:$G$2951,0)),"")</f>
        <v>US</v>
      </c>
      <c r="I26" s="2" t="str">
        <f>IFERROR(INDEX('Master - US vs THEM'!$F$2:$F$2951,MATCH($A26&amp;"|"&amp;I$1,'Master - US vs THEM'!$G$2:$G$2951,0)),"")</f>
        <v>US</v>
      </c>
      <c r="J26" s="2" t="str">
        <f>IFERROR(INDEX('Master - US vs THEM'!$F$2:$F$2951,MATCH($A26&amp;"|"&amp;J$1,'Master - US vs THEM'!$G$2:$G$2951,0)),"")</f>
        <v>THEM</v>
      </c>
      <c r="K26" s="2" t="str">
        <f>IFERROR(INDEX('Master - US vs THEM'!$F$2:$F$2951,MATCH($A26&amp;"|"&amp;K$1,'Master - US vs THEM'!$G$2:$G$2951,0)),"")</f>
        <v>US</v>
      </c>
    </row>
    <row r="27" spans="1:11" x14ac:dyDescent="0.2">
      <c r="A27" s="2" t="str">
        <f>'[1]Brand Family Territory (Enc)'!A27</f>
        <v>Dogfish Head Spirits</v>
      </c>
      <c r="B27" s="2" t="str">
        <f>IFERROR(INDEX('Master - US vs THEM'!$F$2:$F$2951,MATCH($A27&amp;"|"&amp;B$1,'Master - US vs THEM'!$G$2:$G$2951,0)),"")</f>
        <v>US</v>
      </c>
      <c r="C27" s="2" t="str">
        <f>IFERROR(INDEX('Master - US vs THEM'!$F$2:$F$2951,MATCH($A27&amp;"|"&amp;C$1,'Master - US vs THEM'!$G$2:$G$2951,0)),"")</f>
        <v>US</v>
      </c>
      <c r="D27" s="2" t="str">
        <f>IFERROR(INDEX('Master - US vs THEM'!$F$2:$F$2951,MATCH($A27&amp;"|"&amp;D$1,'Master - US vs THEM'!$G$2:$G$2951,0)),"")</f>
        <v>US</v>
      </c>
      <c r="E27" s="2" t="str">
        <f>IFERROR(INDEX('Master - US vs THEM'!$F$2:$F$2951,MATCH($A27&amp;"|"&amp;E$1,'Master - US vs THEM'!$G$2:$G$2951,0)),"")</f>
        <v>THEM</v>
      </c>
      <c r="F27" s="2" t="str">
        <f>IFERROR(INDEX('Master - US vs THEM'!$F$2:$F$2951,MATCH($A27&amp;"|"&amp;F$1,'Master - US vs THEM'!$G$2:$G$2951,0)),"")</f>
        <v>THEM</v>
      </c>
      <c r="G27" s="2" t="str">
        <f>IFERROR(INDEX('Master - US vs THEM'!$F$2:$F$2951,MATCH($A27&amp;"|"&amp;G$1,'Master - US vs THEM'!$G$2:$G$2951,0)),"")</f>
        <v>THEM</v>
      </c>
      <c r="H27" s="2" t="str">
        <f>IFERROR(INDEX('Master - US vs THEM'!$F$2:$F$2951,MATCH($A27&amp;"|"&amp;H$1,'Master - US vs THEM'!$G$2:$G$2951,0)),"")</f>
        <v>US</v>
      </c>
      <c r="I27" s="2" t="str">
        <f>IFERROR(INDEX('Master - US vs THEM'!$F$2:$F$2951,MATCH($A27&amp;"|"&amp;I$1,'Master - US vs THEM'!$G$2:$G$2951,0)),"")</f>
        <v>US</v>
      </c>
      <c r="J27" s="2" t="str">
        <f>IFERROR(INDEX('Master - US vs THEM'!$F$2:$F$2951,MATCH($A27&amp;"|"&amp;J$1,'Master - US vs THEM'!$G$2:$G$2951,0)),"")</f>
        <v>THEM</v>
      </c>
      <c r="K27" s="2" t="str">
        <f>IFERROR(INDEX('Master - US vs THEM'!$F$2:$F$2951,MATCH($A27&amp;"|"&amp;K$1,'Master - US vs THEM'!$G$2:$G$2951,0)),"")</f>
        <v>US</v>
      </c>
    </row>
    <row r="28" spans="1:11" x14ac:dyDescent="0.2">
      <c r="A28" s="2" t="str">
        <f>'[1]Brand Family Territory (Enc)'!A28</f>
        <v>Fever Tree</v>
      </c>
      <c r="B28" s="2" t="str">
        <f>IFERROR(INDEX('Master - US vs THEM'!$F$2:$F$2951,MATCH($A28&amp;"|"&amp;B$1,'Master - US vs THEM'!$G$2:$G$2951,0)),"")</f>
        <v>US</v>
      </c>
      <c r="C28" s="2" t="str">
        <f>IFERROR(INDEX('Master - US vs THEM'!$F$2:$F$2951,MATCH($A28&amp;"|"&amp;C$1,'Master - US vs THEM'!$G$2:$G$2951,0)),"")</f>
        <v>US</v>
      </c>
      <c r="D28" s="2" t="str">
        <f>IFERROR(INDEX('Master - US vs THEM'!$F$2:$F$2951,MATCH($A28&amp;"|"&amp;D$1,'Master - US vs THEM'!$G$2:$G$2951,0)),"")</f>
        <v>US</v>
      </c>
      <c r="E28" s="2" t="str">
        <f>IFERROR(INDEX('Master - US vs THEM'!$F$2:$F$2951,MATCH($A28&amp;"|"&amp;E$1,'Master - US vs THEM'!$G$2:$G$2951,0)),"")</f>
        <v>THEM</v>
      </c>
      <c r="F28" s="2" t="str">
        <f>IFERROR(INDEX('Master - US vs THEM'!$F$2:$F$2951,MATCH($A28&amp;"|"&amp;F$1,'Master - US vs THEM'!$G$2:$G$2951,0)),"")</f>
        <v>THEM</v>
      </c>
      <c r="G28" s="2" t="str">
        <f>IFERROR(INDEX('Master - US vs THEM'!$F$2:$F$2951,MATCH($A28&amp;"|"&amp;G$1,'Master - US vs THEM'!$G$2:$G$2951,0)),"")</f>
        <v>THEM</v>
      </c>
      <c r="H28" s="2" t="str">
        <f>IFERROR(INDEX('Master - US vs THEM'!$F$2:$F$2951,MATCH($A28&amp;"|"&amp;H$1,'Master - US vs THEM'!$G$2:$G$2951,0)),"")</f>
        <v>US</v>
      </c>
      <c r="I28" s="2" t="str">
        <f>IFERROR(INDEX('Master - US vs THEM'!$F$2:$F$2951,MATCH($A28&amp;"|"&amp;I$1,'Master - US vs THEM'!$G$2:$G$2951,0)),"")</f>
        <v>US</v>
      </c>
      <c r="J28" s="2" t="str">
        <f>IFERROR(INDEX('Master - US vs THEM'!$F$2:$F$2951,MATCH($A28&amp;"|"&amp;J$1,'Master - US vs THEM'!$G$2:$G$2951,0)),"")</f>
        <v>THEM</v>
      </c>
      <c r="K28" s="2" t="str">
        <f>IFERROR(INDEX('Master - US vs THEM'!$F$2:$F$2951,MATCH($A28&amp;"|"&amp;K$1,'Master - US vs THEM'!$G$2:$G$2951,0)),"")</f>
        <v>US</v>
      </c>
    </row>
    <row r="29" spans="1:11" x14ac:dyDescent="0.2">
      <c r="A29" s="2" t="str">
        <f>'[1]Brand Family Territory (Enc)'!A29</f>
        <v>Fiveislands</v>
      </c>
      <c r="B29" s="2" t="str">
        <f>IFERROR(INDEX('Master - US vs THEM'!$F$2:$F$2951,MATCH($A29&amp;"|"&amp;B$1,'Master - US vs THEM'!$G$2:$G$2951,0)),"")</f>
        <v>US</v>
      </c>
      <c r="C29" s="2" t="str">
        <f>IFERROR(INDEX('Master - US vs THEM'!$F$2:$F$2951,MATCH($A29&amp;"|"&amp;C$1,'Master - US vs THEM'!$G$2:$G$2951,0)),"")</f>
        <v>US</v>
      </c>
      <c r="D29" s="2" t="str">
        <f>IFERROR(INDEX('Master - US vs THEM'!$F$2:$F$2951,MATCH($A29&amp;"|"&amp;D$1,'Master - US vs THEM'!$G$2:$G$2951,0)),"")</f>
        <v>US</v>
      </c>
      <c r="E29" s="2" t="str">
        <f>IFERROR(INDEX('Master - US vs THEM'!$F$2:$F$2951,MATCH($A29&amp;"|"&amp;E$1,'Master - US vs THEM'!$G$2:$G$2951,0)),"")</f>
        <v>THEM</v>
      </c>
      <c r="F29" s="2" t="str">
        <f>IFERROR(INDEX('Master - US vs THEM'!$F$2:$F$2951,MATCH($A29&amp;"|"&amp;F$1,'Master - US vs THEM'!$G$2:$G$2951,0)),"")</f>
        <v>THEM</v>
      </c>
      <c r="G29" s="2" t="str">
        <f>IFERROR(INDEX('Master - US vs THEM'!$F$2:$F$2951,MATCH($A29&amp;"|"&amp;G$1,'Master - US vs THEM'!$G$2:$G$2951,0)),"")</f>
        <v>THEM</v>
      </c>
      <c r="H29" s="2" t="str">
        <f>IFERROR(INDEX('Master - US vs THEM'!$F$2:$F$2951,MATCH($A29&amp;"|"&amp;H$1,'Master - US vs THEM'!$G$2:$G$2951,0)),"")</f>
        <v>US</v>
      </c>
      <c r="I29" s="2" t="str">
        <f>IFERROR(INDEX('Master - US vs THEM'!$F$2:$F$2951,MATCH($A29&amp;"|"&amp;I$1,'Master - US vs THEM'!$G$2:$G$2951,0)),"")</f>
        <v>US</v>
      </c>
      <c r="J29" s="2" t="str">
        <f>IFERROR(INDEX('Master - US vs THEM'!$F$2:$F$2951,MATCH($A29&amp;"|"&amp;J$1,'Master - US vs THEM'!$G$2:$G$2951,0)),"")</f>
        <v>THEM</v>
      </c>
      <c r="K29" s="2" t="str">
        <f>IFERROR(INDEX('Master - US vs THEM'!$F$2:$F$2951,MATCH($A29&amp;"|"&amp;K$1,'Master - US vs THEM'!$G$2:$G$2951,0)),"")</f>
        <v>US</v>
      </c>
    </row>
    <row r="30" spans="1:11" x14ac:dyDescent="0.2">
      <c r="A30" s="2" t="str">
        <f>'[1]Brand Family Territory (Enc)'!A30</f>
        <v>Fosters</v>
      </c>
      <c r="B30" s="2" t="str">
        <f>IFERROR(INDEX('Master - US vs THEM'!$F$2:$F$2951,MATCH($A30&amp;"|"&amp;B$1,'Master - US vs THEM'!$G$2:$G$2951,0)),"")</f>
        <v>US</v>
      </c>
      <c r="C30" s="2" t="str">
        <f>IFERROR(INDEX('Master - US vs THEM'!$F$2:$F$2951,MATCH($A30&amp;"|"&amp;C$1,'Master - US vs THEM'!$G$2:$G$2951,0)),"")</f>
        <v>US</v>
      </c>
      <c r="D30" s="2" t="str">
        <f>IFERROR(INDEX('Master - US vs THEM'!$F$2:$F$2951,MATCH($A30&amp;"|"&amp;D$1,'Master - US vs THEM'!$G$2:$G$2951,0)),"")</f>
        <v>US</v>
      </c>
      <c r="E30" s="2" t="str">
        <f>IFERROR(INDEX('Master - US vs THEM'!$F$2:$F$2951,MATCH($A30&amp;"|"&amp;E$1,'Master - US vs THEM'!$G$2:$G$2951,0)),"")</f>
        <v>THEM</v>
      </c>
      <c r="F30" s="2" t="str">
        <f>IFERROR(INDEX('Master - US vs THEM'!$F$2:$F$2951,MATCH($A30&amp;"|"&amp;F$1,'Master - US vs THEM'!$G$2:$G$2951,0)),"")</f>
        <v>THEM</v>
      </c>
      <c r="G30" s="2" t="str">
        <f>IFERROR(INDEX('Master - US vs THEM'!$F$2:$F$2951,MATCH($A30&amp;"|"&amp;G$1,'Master - US vs THEM'!$G$2:$G$2951,0)),"")</f>
        <v>THEM</v>
      </c>
      <c r="H30" s="2" t="str">
        <f>IFERROR(INDEX('Master - US vs THEM'!$F$2:$F$2951,MATCH($A30&amp;"|"&amp;H$1,'Master - US vs THEM'!$G$2:$G$2951,0)),"")</f>
        <v>US</v>
      </c>
      <c r="I30" s="2" t="str">
        <f>IFERROR(INDEX('Master - US vs THEM'!$F$2:$F$2951,MATCH($A30&amp;"|"&amp;I$1,'Master - US vs THEM'!$G$2:$G$2951,0)),"")</f>
        <v>US</v>
      </c>
      <c r="J30" s="2" t="str">
        <f>IFERROR(INDEX('Master - US vs THEM'!$F$2:$F$2951,MATCH($A30&amp;"|"&amp;J$1,'Master - US vs THEM'!$G$2:$G$2951,0)),"")</f>
        <v>THEM</v>
      </c>
      <c r="K30" s="2" t="str">
        <f>IFERROR(INDEX('Master - US vs THEM'!$F$2:$F$2951,MATCH($A30&amp;"|"&amp;K$1,'Master - US vs THEM'!$G$2:$G$2951,0)),"")</f>
        <v>US</v>
      </c>
    </row>
    <row r="31" spans="1:11" x14ac:dyDescent="0.2">
      <c r="A31" s="2" t="str">
        <f>'[1]Brand Family Territory (Enc)'!A31</f>
        <v>Fresca Mixed</v>
      </c>
      <c r="B31" s="2" t="str">
        <f>IFERROR(INDEX('Master - US vs THEM'!$F$2:$F$2951,MATCH($A31&amp;"|"&amp;B$1,'Master - US vs THEM'!$G$2:$G$2951,0)),"")</f>
        <v>US</v>
      </c>
      <c r="C31" s="2" t="str">
        <f>IFERROR(INDEX('Master - US vs THEM'!$F$2:$F$2951,MATCH($A31&amp;"|"&amp;C$1,'Master - US vs THEM'!$G$2:$G$2951,0)),"")</f>
        <v>US</v>
      </c>
      <c r="D31" s="2" t="str">
        <f>IFERROR(INDEX('Master - US vs THEM'!$F$2:$F$2951,MATCH($A31&amp;"|"&amp;D$1,'Master - US vs THEM'!$G$2:$G$2951,0)),"")</f>
        <v>US</v>
      </c>
      <c r="E31" s="2" t="str">
        <f>IFERROR(INDEX('Master - US vs THEM'!$F$2:$F$2951,MATCH($A31&amp;"|"&amp;E$1,'Master - US vs THEM'!$G$2:$G$2951,0)),"")</f>
        <v>THEM</v>
      </c>
      <c r="F31" s="2" t="str">
        <f>IFERROR(INDEX('Master - US vs THEM'!$F$2:$F$2951,MATCH($A31&amp;"|"&amp;F$1,'Master - US vs THEM'!$G$2:$G$2951,0)),"")</f>
        <v>THEM</v>
      </c>
      <c r="G31" s="2" t="str">
        <f>IFERROR(INDEX('Master - US vs THEM'!$F$2:$F$2951,MATCH($A31&amp;"|"&amp;G$1,'Master - US vs THEM'!$G$2:$G$2951,0)),"")</f>
        <v>THEM</v>
      </c>
      <c r="H31" s="2" t="str">
        <f>IFERROR(INDEX('Master - US vs THEM'!$F$2:$F$2951,MATCH($A31&amp;"|"&amp;H$1,'Master - US vs THEM'!$G$2:$G$2951,0)),"")</f>
        <v>US</v>
      </c>
      <c r="I31" s="2" t="str">
        <f>IFERROR(INDEX('Master - US vs THEM'!$F$2:$F$2951,MATCH($A31&amp;"|"&amp;I$1,'Master - US vs THEM'!$G$2:$G$2951,0)),"")</f>
        <v>US</v>
      </c>
      <c r="J31" s="2" t="str">
        <f>IFERROR(INDEX('Master - US vs THEM'!$F$2:$F$2951,MATCH($A31&amp;"|"&amp;J$1,'Master - US vs THEM'!$G$2:$G$2951,0)),"")</f>
        <v>THEM</v>
      </c>
      <c r="K31" s="2" t="str">
        <f>IFERROR(INDEX('Master - US vs THEM'!$F$2:$F$2951,MATCH($A31&amp;"|"&amp;K$1,'Master - US vs THEM'!$G$2:$G$2951,0)),"")</f>
        <v>US</v>
      </c>
    </row>
    <row r="32" spans="1:11" x14ac:dyDescent="0.2">
      <c r="A32" s="2" t="str">
        <f>'[1]Brand Family Territory (Enc)'!A32</f>
        <v>Bardstown Green River</v>
      </c>
      <c r="B32" s="2" t="str">
        <f>IFERROR(INDEX('Master - US vs THEM'!$F$2:$F$2951,MATCH($A32&amp;"|"&amp;B$1,'Master - US vs THEM'!$G$2:$G$2951,0)),"")</f>
        <v>US</v>
      </c>
      <c r="C32" s="2" t="str">
        <f>IFERROR(INDEX('Master - US vs THEM'!$F$2:$F$2951,MATCH($A32&amp;"|"&amp;C$1,'Master - US vs THEM'!$G$2:$G$2951,0)),"")</f>
        <v>US</v>
      </c>
      <c r="D32" s="2" t="str">
        <f>IFERROR(INDEX('Master - US vs THEM'!$F$2:$F$2951,MATCH($A32&amp;"|"&amp;D$1,'Master - US vs THEM'!$G$2:$G$2951,0)),"")</f>
        <v>US</v>
      </c>
      <c r="E32" s="2" t="str">
        <f>IFERROR(INDEX('Master - US vs THEM'!$F$2:$F$2951,MATCH($A32&amp;"|"&amp;E$1,'Master - US vs THEM'!$G$2:$G$2951,0)),"")</f>
        <v>THEM</v>
      </c>
      <c r="F32" s="2" t="str">
        <f>IFERROR(INDEX('Master - US vs THEM'!$F$2:$F$2951,MATCH($A32&amp;"|"&amp;F$1,'Master - US vs THEM'!$G$2:$G$2951,0)),"")</f>
        <v>THEM</v>
      </c>
      <c r="G32" s="2" t="str">
        <f>IFERROR(INDEX('Master - US vs THEM'!$F$2:$F$2951,MATCH($A32&amp;"|"&amp;G$1,'Master - US vs THEM'!$G$2:$G$2951,0)),"")</f>
        <v>THEM</v>
      </c>
      <c r="H32" s="2" t="str">
        <f>IFERROR(INDEX('Master - US vs THEM'!$F$2:$F$2951,MATCH($A32&amp;"|"&amp;H$1,'Master - US vs THEM'!$G$2:$G$2951,0)),"")</f>
        <v>US</v>
      </c>
      <c r="I32" s="2" t="str">
        <f>IFERROR(INDEX('Master - US vs THEM'!$F$2:$F$2951,MATCH($A32&amp;"|"&amp;I$1,'Master - US vs THEM'!$G$2:$G$2951,0)),"")</f>
        <v>US</v>
      </c>
      <c r="J32" s="2" t="str">
        <f>IFERROR(INDEX('Master - US vs THEM'!$F$2:$F$2951,MATCH($A32&amp;"|"&amp;J$1,'Master - US vs THEM'!$G$2:$G$2951,0)),"")</f>
        <v>THEM</v>
      </c>
      <c r="K32" s="2" t="str">
        <f>IFERROR(INDEX('Master - US vs THEM'!$F$2:$F$2951,MATCH($A32&amp;"|"&amp;K$1,'Master - US vs THEM'!$G$2:$G$2951,0)),"")</f>
        <v>US</v>
      </c>
    </row>
    <row r="33" spans="1:11" x14ac:dyDescent="0.2">
      <c r="A33" s="2" t="str">
        <f>'[1]Brand Family Territory (Enc)'!A33</f>
        <v>Grolsch</v>
      </c>
      <c r="B33" s="2" t="str">
        <f>IFERROR(INDEX('Master - US vs THEM'!$F$2:$F$2951,MATCH($A33&amp;"|"&amp;B$1,'Master - US vs THEM'!$G$2:$G$2951,0)),"")</f>
        <v>US</v>
      </c>
      <c r="C33" s="2" t="str">
        <f>IFERROR(INDEX('Master - US vs THEM'!$F$2:$F$2951,MATCH($A33&amp;"|"&amp;C$1,'Master - US vs THEM'!$G$2:$G$2951,0)),"")</f>
        <v>US</v>
      </c>
      <c r="D33" s="2" t="str">
        <f>IFERROR(INDEX('Master - US vs THEM'!$F$2:$F$2951,MATCH($A33&amp;"|"&amp;D$1,'Master - US vs THEM'!$G$2:$G$2951,0)),"")</f>
        <v>US</v>
      </c>
      <c r="E33" s="2" t="str">
        <f>IFERROR(INDEX('Master - US vs THEM'!$F$2:$F$2951,MATCH($A33&amp;"|"&amp;E$1,'Master - US vs THEM'!$G$2:$G$2951,0)),"")</f>
        <v>THEM</v>
      </c>
      <c r="F33" s="2" t="str">
        <f>IFERROR(INDEX('Master - US vs THEM'!$F$2:$F$2951,MATCH($A33&amp;"|"&amp;F$1,'Master - US vs THEM'!$G$2:$G$2951,0)),"")</f>
        <v>THEM</v>
      </c>
      <c r="G33" s="2" t="str">
        <f>IFERROR(INDEX('Master - US vs THEM'!$F$2:$F$2951,MATCH($A33&amp;"|"&amp;G$1,'Master - US vs THEM'!$G$2:$G$2951,0)),"")</f>
        <v>THEM</v>
      </c>
      <c r="H33" s="2" t="str">
        <f>IFERROR(INDEX('Master - US vs THEM'!$F$2:$F$2951,MATCH($A33&amp;"|"&amp;H$1,'Master - US vs THEM'!$G$2:$G$2951,0)),"")</f>
        <v>US</v>
      </c>
      <c r="I33" s="2" t="str">
        <f>IFERROR(INDEX('Master - US vs THEM'!$F$2:$F$2951,MATCH($A33&amp;"|"&amp;I$1,'Master - US vs THEM'!$G$2:$G$2951,0)),"")</f>
        <v>US</v>
      </c>
      <c r="J33" s="2" t="str">
        <f>IFERROR(INDEX('Master - US vs THEM'!$F$2:$F$2951,MATCH($A33&amp;"|"&amp;J$1,'Master - US vs THEM'!$G$2:$G$2951,0)),"")</f>
        <v>THEM</v>
      </c>
      <c r="K33" s="2" t="str">
        <f>IFERROR(INDEX('Master - US vs THEM'!$F$2:$F$2951,MATCH($A33&amp;"|"&amp;K$1,'Master - US vs THEM'!$G$2:$G$2951,0)),"")</f>
        <v>US</v>
      </c>
    </row>
    <row r="34" spans="1:11" x14ac:dyDescent="0.2">
      <c r="A34" s="2" t="str">
        <f>'[1]Brand Family Territory (Enc)'!A34</f>
        <v>Hamm's</v>
      </c>
      <c r="B34" s="2" t="str">
        <f>IFERROR(INDEX('Master - US vs THEM'!$F$2:$F$2951,MATCH($A34&amp;"|"&amp;B$1,'Master - US vs THEM'!$G$2:$G$2951,0)),"")</f>
        <v>US</v>
      </c>
      <c r="C34" s="2" t="str">
        <f>IFERROR(INDEX('Master - US vs THEM'!$F$2:$F$2951,MATCH($A34&amp;"|"&amp;C$1,'Master - US vs THEM'!$G$2:$G$2951,0)),"")</f>
        <v>US</v>
      </c>
      <c r="D34" s="2" t="str">
        <f>IFERROR(INDEX('Master - US vs THEM'!$F$2:$F$2951,MATCH($A34&amp;"|"&amp;D$1,'Master - US vs THEM'!$G$2:$G$2951,0)),"")</f>
        <v>US</v>
      </c>
      <c r="E34" s="2" t="str">
        <f>IFERROR(INDEX('Master - US vs THEM'!$F$2:$F$2951,MATCH($A34&amp;"|"&amp;E$1,'Master - US vs THEM'!$G$2:$G$2951,0)),"")</f>
        <v>THEM</v>
      </c>
      <c r="F34" s="2" t="str">
        <f>IFERROR(INDEX('Master - US vs THEM'!$F$2:$F$2951,MATCH($A34&amp;"|"&amp;F$1,'Master - US vs THEM'!$G$2:$G$2951,0)),"")</f>
        <v>THEM</v>
      </c>
      <c r="G34" s="2" t="str">
        <f>IFERROR(INDEX('Master - US vs THEM'!$F$2:$F$2951,MATCH($A34&amp;"|"&amp;G$1,'Master - US vs THEM'!$G$2:$G$2951,0)),"")</f>
        <v>THEM</v>
      </c>
      <c r="H34" s="2" t="str">
        <f>IFERROR(INDEX('Master - US vs THEM'!$F$2:$F$2951,MATCH($A34&amp;"|"&amp;H$1,'Master - US vs THEM'!$G$2:$G$2951,0)),"")</f>
        <v>US</v>
      </c>
      <c r="I34" s="2" t="str">
        <f>IFERROR(INDEX('Master - US vs THEM'!$F$2:$F$2951,MATCH($A34&amp;"|"&amp;I$1,'Master - US vs THEM'!$G$2:$G$2951,0)),"")</f>
        <v>US</v>
      </c>
      <c r="J34" s="2" t="str">
        <f>IFERROR(INDEX('Master - US vs THEM'!$F$2:$F$2951,MATCH($A34&amp;"|"&amp;J$1,'Master - US vs THEM'!$G$2:$G$2951,0)),"")</f>
        <v>THEM</v>
      </c>
      <c r="K34" s="2" t="str">
        <f>IFERROR(INDEX('Master - US vs THEM'!$F$2:$F$2951,MATCH($A34&amp;"|"&amp;K$1,'Master - US vs THEM'!$G$2:$G$2951,0)),"")</f>
        <v>US</v>
      </c>
    </row>
    <row r="35" spans="1:11" x14ac:dyDescent="0.2">
      <c r="A35" s="2" t="str">
        <f>'[1]Brand Family Territory (Enc)'!A35</f>
        <v>Happy Thursday Spiked Refresher</v>
      </c>
      <c r="B35" s="2" t="str">
        <f>IFERROR(INDEX('Master - US vs THEM'!$F$2:$F$2951,MATCH($A35&amp;"|"&amp;B$1,'Master - US vs THEM'!$G$2:$G$2951,0)),"")</f>
        <v>US</v>
      </c>
      <c r="C35" s="2" t="str">
        <f>IFERROR(INDEX('Master - US vs THEM'!$F$2:$F$2951,MATCH($A35&amp;"|"&amp;C$1,'Master - US vs THEM'!$G$2:$G$2951,0)),"")</f>
        <v>US</v>
      </c>
      <c r="D35" s="2" t="str">
        <f>IFERROR(INDEX('Master - US vs THEM'!$F$2:$F$2951,MATCH($A35&amp;"|"&amp;D$1,'Master - US vs THEM'!$G$2:$G$2951,0)),"")</f>
        <v>US</v>
      </c>
      <c r="E35" s="2" t="str">
        <f>IFERROR(INDEX('Master - US vs THEM'!$F$2:$F$2951,MATCH($A35&amp;"|"&amp;E$1,'Master - US vs THEM'!$G$2:$G$2951,0)),"")</f>
        <v>THEM</v>
      </c>
      <c r="F35" s="2" t="str">
        <f>IFERROR(INDEX('Master - US vs THEM'!$F$2:$F$2951,MATCH($A35&amp;"|"&amp;F$1,'Master - US vs THEM'!$G$2:$G$2951,0)),"")</f>
        <v>THEM</v>
      </c>
      <c r="G35" s="2" t="str">
        <f>IFERROR(INDEX('Master - US vs THEM'!$F$2:$F$2951,MATCH($A35&amp;"|"&amp;G$1,'Master - US vs THEM'!$G$2:$G$2951,0)),"")</f>
        <v>THEM</v>
      </c>
      <c r="H35" s="2" t="str">
        <f>IFERROR(INDEX('Master - US vs THEM'!$F$2:$F$2951,MATCH($A35&amp;"|"&amp;H$1,'Master - US vs THEM'!$G$2:$G$2951,0)),"")</f>
        <v>US</v>
      </c>
      <c r="I35" s="2" t="str">
        <f>IFERROR(INDEX('Master - US vs THEM'!$F$2:$F$2951,MATCH($A35&amp;"|"&amp;I$1,'Master - US vs THEM'!$G$2:$G$2951,0)),"")</f>
        <v>US</v>
      </c>
      <c r="J35" s="2" t="str">
        <f>IFERROR(INDEX('Master - US vs THEM'!$F$2:$F$2951,MATCH($A35&amp;"|"&amp;J$1,'Master - US vs THEM'!$G$2:$G$2951,0)),"")</f>
        <v>THEM</v>
      </c>
      <c r="K35" s="2" t="str">
        <f>IFERROR(INDEX('Master - US vs THEM'!$F$2:$F$2951,MATCH($A35&amp;"|"&amp;K$1,'Master - US vs THEM'!$G$2:$G$2951,0)),"")</f>
        <v>US</v>
      </c>
    </row>
    <row r="36" spans="1:11" x14ac:dyDescent="0.2">
      <c r="A36" s="2" t="str">
        <f>'[1]Brand Family Territory (Enc)'!A36</f>
        <v>Hard Mountain Dew</v>
      </c>
      <c r="B36" s="2" t="str">
        <f>IFERROR(INDEX('Master - US vs THEM'!$F$2:$F$2951,MATCH($A36&amp;"|"&amp;B$1,'Master - US vs THEM'!$G$2:$G$2951,0)),"")</f>
        <v>US</v>
      </c>
      <c r="C36" s="2" t="str">
        <f>IFERROR(INDEX('Master - US vs THEM'!$F$2:$F$2951,MATCH($A36&amp;"|"&amp;C$1,'Master - US vs THEM'!$G$2:$G$2951,0)),"")</f>
        <v>US</v>
      </c>
      <c r="D36" s="2" t="str">
        <f>IFERROR(INDEX('Master - US vs THEM'!$F$2:$F$2951,MATCH($A36&amp;"|"&amp;D$1,'Master - US vs THEM'!$G$2:$G$2951,0)),"")</f>
        <v>US</v>
      </c>
      <c r="E36" s="2" t="str">
        <f>IFERROR(INDEX('Master - US vs THEM'!$F$2:$F$2951,MATCH($A36&amp;"|"&amp;E$1,'Master - US vs THEM'!$G$2:$G$2951,0)),"")</f>
        <v>THEM</v>
      </c>
      <c r="F36" s="2" t="str">
        <f>IFERROR(INDEX('Master - US vs THEM'!$F$2:$F$2951,MATCH($A36&amp;"|"&amp;F$1,'Master - US vs THEM'!$G$2:$G$2951,0)),"")</f>
        <v>THEM</v>
      </c>
      <c r="G36" s="2" t="str">
        <f>IFERROR(INDEX('Master - US vs THEM'!$F$2:$F$2951,MATCH($A36&amp;"|"&amp;G$1,'Master - US vs THEM'!$G$2:$G$2951,0)),"")</f>
        <v>THEM</v>
      </c>
      <c r="H36" s="2" t="str">
        <f>IFERROR(INDEX('Master - US vs THEM'!$F$2:$F$2951,MATCH($A36&amp;"|"&amp;H$1,'Master - US vs THEM'!$G$2:$G$2951,0)),"")</f>
        <v>US</v>
      </c>
      <c r="I36" s="2" t="str">
        <f>IFERROR(INDEX('Master - US vs THEM'!$F$2:$F$2951,MATCH($A36&amp;"|"&amp;I$1,'Master - US vs THEM'!$G$2:$G$2951,0)),"")</f>
        <v>US</v>
      </c>
      <c r="J36" s="2" t="str">
        <f>IFERROR(INDEX('Master - US vs THEM'!$F$2:$F$2951,MATCH($A36&amp;"|"&amp;J$1,'Master - US vs THEM'!$G$2:$G$2951,0)),"")</f>
        <v>THEM</v>
      </c>
      <c r="K36" s="2" t="str">
        <f>IFERROR(INDEX('Master - US vs THEM'!$F$2:$F$2951,MATCH($A36&amp;"|"&amp;K$1,'Master - US vs THEM'!$G$2:$G$2951,0)),"")</f>
        <v>US</v>
      </c>
    </row>
    <row r="37" spans="1:11" x14ac:dyDescent="0.2">
      <c r="A37" s="2" t="str">
        <f>'[1]Brand Family Territory (Enc)'!A37</f>
        <v>Hi5</v>
      </c>
      <c r="B37" s="2" t="str">
        <f>IFERROR(INDEX('Master - US vs THEM'!$F$2:$F$2951,MATCH($A37&amp;"|"&amp;B$1,'Master - US vs THEM'!$G$2:$G$2951,0)),"")</f>
        <v>US</v>
      </c>
      <c r="C37" s="2" t="str">
        <f>IFERROR(INDEX('Master - US vs THEM'!$F$2:$F$2951,MATCH($A37&amp;"|"&amp;C$1,'Master - US vs THEM'!$G$2:$G$2951,0)),"")</f>
        <v>US</v>
      </c>
      <c r="D37" s="2" t="str">
        <f>IFERROR(INDEX('Master - US vs THEM'!$F$2:$F$2951,MATCH($A37&amp;"|"&amp;D$1,'Master - US vs THEM'!$G$2:$G$2951,0)),"")</f>
        <v>US</v>
      </c>
      <c r="E37" s="2" t="str">
        <f>IFERROR(INDEX('Master - US vs THEM'!$F$2:$F$2951,MATCH($A37&amp;"|"&amp;E$1,'Master - US vs THEM'!$G$2:$G$2951,0)),"")</f>
        <v>THEM</v>
      </c>
      <c r="F37" s="2" t="str">
        <f>IFERROR(INDEX('Master - US vs THEM'!$F$2:$F$2951,MATCH($A37&amp;"|"&amp;F$1,'Master - US vs THEM'!$G$2:$G$2951,0)),"")</f>
        <v>THEM</v>
      </c>
      <c r="G37" s="2" t="str">
        <f>IFERROR(INDEX('Master - US vs THEM'!$F$2:$F$2951,MATCH($A37&amp;"|"&amp;G$1,'Master - US vs THEM'!$G$2:$G$2951,0)),"")</f>
        <v>THEM</v>
      </c>
      <c r="H37" s="2" t="str">
        <f>IFERROR(INDEX('Master - US vs THEM'!$F$2:$F$2951,MATCH($A37&amp;"|"&amp;H$1,'Master - US vs THEM'!$G$2:$G$2951,0)),"")</f>
        <v>US</v>
      </c>
      <c r="I37" s="2" t="str">
        <f>IFERROR(INDEX('Master - US vs THEM'!$F$2:$F$2951,MATCH($A37&amp;"|"&amp;I$1,'Master - US vs THEM'!$G$2:$G$2951,0)),"")</f>
        <v>US</v>
      </c>
      <c r="J37" s="2" t="str">
        <f>IFERROR(INDEX('Master - US vs THEM'!$F$2:$F$2951,MATCH($A37&amp;"|"&amp;J$1,'Master - US vs THEM'!$G$2:$G$2951,0)),"")</f>
        <v>THEM</v>
      </c>
      <c r="K37" s="2" t="str">
        <f>IFERROR(INDEX('Master - US vs THEM'!$F$2:$F$2951,MATCH($A37&amp;"|"&amp;K$1,'Master - US vs THEM'!$G$2:$G$2951,0)),"")</f>
        <v>US</v>
      </c>
    </row>
    <row r="38" spans="1:11" x14ac:dyDescent="0.2">
      <c r="A38" s="2" t="str">
        <f>'[1]Brand Family Territory (Enc)'!A38</f>
        <v>HOP WTR</v>
      </c>
      <c r="B38" s="2" t="str">
        <f>IFERROR(INDEX('Master - US vs THEM'!$F$2:$F$2951,MATCH($A38&amp;"|"&amp;B$1,'Master - US vs THEM'!$G$2:$G$2951,0)),"")</f>
        <v>US</v>
      </c>
      <c r="C38" s="2" t="str">
        <f>IFERROR(INDEX('Master - US vs THEM'!$F$2:$F$2951,MATCH($A38&amp;"|"&amp;C$1,'Master - US vs THEM'!$G$2:$G$2951,0)),"")</f>
        <v>US</v>
      </c>
      <c r="D38" s="2" t="str">
        <f>IFERROR(INDEX('Master - US vs THEM'!$F$2:$F$2951,MATCH($A38&amp;"|"&amp;D$1,'Master - US vs THEM'!$G$2:$G$2951,0)),"")</f>
        <v>US</v>
      </c>
      <c r="E38" s="2" t="str">
        <f>IFERROR(INDEX('Master - US vs THEM'!$F$2:$F$2951,MATCH($A38&amp;"|"&amp;E$1,'Master - US vs THEM'!$G$2:$G$2951,0)),"")</f>
        <v>THEM</v>
      </c>
      <c r="F38" s="2" t="str">
        <f>IFERROR(INDEX('Master - US vs THEM'!$F$2:$F$2951,MATCH($A38&amp;"|"&amp;F$1,'Master - US vs THEM'!$G$2:$G$2951,0)),"")</f>
        <v>THEM</v>
      </c>
      <c r="G38" s="2" t="str">
        <f>IFERROR(INDEX('Master - US vs THEM'!$F$2:$F$2951,MATCH($A38&amp;"|"&amp;G$1,'Master - US vs THEM'!$G$2:$G$2951,0)),"")</f>
        <v>THEM</v>
      </c>
      <c r="H38" s="2" t="str">
        <f>IFERROR(INDEX('Master - US vs THEM'!$F$2:$F$2951,MATCH($A38&amp;"|"&amp;H$1,'Master - US vs THEM'!$G$2:$G$2951,0)),"")</f>
        <v>US</v>
      </c>
      <c r="I38" s="2" t="str">
        <f>IFERROR(INDEX('Master - US vs THEM'!$F$2:$F$2951,MATCH($A38&amp;"|"&amp;I$1,'Master - US vs THEM'!$G$2:$G$2951,0)),"")</f>
        <v>US</v>
      </c>
      <c r="J38" s="2" t="str">
        <f>IFERROR(INDEX('Master - US vs THEM'!$F$2:$F$2951,MATCH($A38&amp;"|"&amp;J$1,'Master - US vs THEM'!$G$2:$G$2951,0)),"")</f>
        <v>THEM</v>
      </c>
      <c r="K38" s="2" t="str">
        <f>IFERROR(INDEX('Master - US vs THEM'!$F$2:$F$2951,MATCH($A38&amp;"|"&amp;K$1,'Master - US vs THEM'!$G$2:$G$2951,0)),"")</f>
        <v>US</v>
      </c>
    </row>
    <row r="39" spans="1:11" x14ac:dyDescent="0.2">
      <c r="A39" s="2" t="str">
        <f>'[1]Brand Family Territory (Enc)'!A39</f>
        <v>Jim Beam Kentucky</v>
      </c>
      <c r="B39" s="2" t="str">
        <f>IFERROR(INDEX('Master - US vs THEM'!$F$2:$F$2951,MATCH($A39&amp;"|"&amp;B$1,'Master - US vs THEM'!$G$2:$G$2951,0)),"")</f>
        <v>US</v>
      </c>
      <c r="C39" s="2" t="str">
        <f>IFERROR(INDEX('Master - US vs THEM'!$F$2:$F$2951,MATCH($A39&amp;"|"&amp;C$1,'Master - US vs THEM'!$G$2:$G$2951,0)),"")</f>
        <v>US</v>
      </c>
      <c r="D39" s="2" t="str">
        <f>IFERROR(INDEX('Master - US vs THEM'!$F$2:$F$2951,MATCH($A39&amp;"|"&amp;D$1,'Master - US vs THEM'!$G$2:$G$2951,0)),"")</f>
        <v>US</v>
      </c>
      <c r="E39" s="2" t="str">
        <f>IFERROR(INDEX('Master - US vs THEM'!$F$2:$F$2951,MATCH($A39&amp;"|"&amp;E$1,'Master - US vs THEM'!$G$2:$G$2951,0)),"")</f>
        <v>THEM</v>
      </c>
      <c r="F39" s="2" t="str">
        <f>IFERROR(INDEX('Master - US vs THEM'!$F$2:$F$2951,MATCH($A39&amp;"|"&amp;F$1,'Master - US vs THEM'!$G$2:$G$2951,0)),"")</f>
        <v>THEM</v>
      </c>
      <c r="G39" s="2" t="str">
        <f>IFERROR(INDEX('Master - US vs THEM'!$F$2:$F$2951,MATCH($A39&amp;"|"&amp;G$1,'Master - US vs THEM'!$G$2:$G$2951,0)),"")</f>
        <v>THEM</v>
      </c>
      <c r="H39" s="2" t="str">
        <f>IFERROR(INDEX('Master - US vs THEM'!$F$2:$F$2951,MATCH($A39&amp;"|"&amp;H$1,'Master - US vs THEM'!$G$2:$G$2951,0)),"")</f>
        <v>US</v>
      </c>
      <c r="I39" s="2" t="str">
        <f>IFERROR(INDEX('Master - US vs THEM'!$F$2:$F$2951,MATCH($A39&amp;"|"&amp;I$1,'Master - US vs THEM'!$G$2:$G$2951,0)),"")</f>
        <v>US</v>
      </c>
      <c r="J39" s="2" t="str">
        <f>IFERROR(INDEX('Master - US vs THEM'!$F$2:$F$2951,MATCH($A39&amp;"|"&amp;J$1,'Master - US vs THEM'!$G$2:$G$2951,0)),"")</f>
        <v>THEM</v>
      </c>
      <c r="K39" s="2" t="str">
        <f>IFERROR(INDEX('Master - US vs THEM'!$F$2:$F$2951,MATCH($A39&amp;"|"&amp;K$1,'Master - US vs THEM'!$G$2:$G$2951,0)),"")</f>
        <v>US</v>
      </c>
    </row>
    <row r="40" spans="1:11" x14ac:dyDescent="0.2">
      <c r="A40" s="2" t="str">
        <f>'[1]Brand Family Territory (Enc)'!A40</f>
        <v>Keystone</v>
      </c>
      <c r="B40" s="2" t="str">
        <f>IFERROR(INDEX('Master - US vs THEM'!$F$2:$F$2951,MATCH($A40&amp;"|"&amp;B$1,'Master - US vs THEM'!$G$2:$G$2951,0)),"")</f>
        <v>US</v>
      </c>
      <c r="C40" s="2" t="str">
        <f>IFERROR(INDEX('Master - US vs THEM'!$F$2:$F$2951,MATCH($A40&amp;"|"&amp;C$1,'Master - US vs THEM'!$G$2:$G$2951,0)),"")</f>
        <v>US</v>
      </c>
      <c r="D40" s="2" t="str">
        <f>IFERROR(INDEX('Master - US vs THEM'!$F$2:$F$2951,MATCH($A40&amp;"|"&amp;D$1,'Master - US vs THEM'!$G$2:$G$2951,0)),"")</f>
        <v>US</v>
      </c>
      <c r="E40" s="2" t="str">
        <f>IFERROR(INDEX('Master - US vs THEM'!$F$2:$F$2951,MATCH($A40&amp;"|"&amp;E$1,'Master - US vs THEM'!$G$2:$G$2951,0)),"")</f>
        <v>THEM</v>
      </c>
      <c r="F40" s="2" t="str">
        <f>IFERROR(INDEX('Master - US vs THEM'!$F$2:$F$2951,MATCH($A40&amp;"|"&amp;F$1,'Master - US vs THEM'!$G$2:$G$2951,0)),"")</f>
        <v>THEM</v>
      </c>
      <c r="G40" s="2" t="str">
        <f>IFERROR(INDEX('Master - US vs THEM'!$F$2:$F$2951,MATCH($A40&amp;"|"&amp;G$1,'Master - US vs THEM'!$G$2:$G$2951,0)),"")</f>
        <v>THEM</v>
      </c>
      <c r="H40" s="2" t="str">
        <f>IFERROR(INDEX('Master - US vs THEM'!$F$2:$F$2951,MATCH($A40&amp;"|"&amp;H$1,'Master - US vs THEM'!$G$2:$G$2951,0)),"")</f>
        <v>US</v>
      </c>
      <c r="I40" s="2" t="str">
        <f>IFERROR(INDEX('Master - US vs THEM'!$F$2:$F$2951,MATCH($A40&amp;"|"&amp;I$1,'Master - US vs THEM'!$G$2:$G$2951,0)),"")</f>
        <v>US</v>
      </c>
      <c r="J40" s="2" t="str">
        <f>IFERROR(INDEX('Master - US vs THEM'!$F$2:$F$2951,MATCH($A40&amp;"|"&amp;J$1,'Master - US vs THEM'!$G$2:$G$2951,0)),"")</f>
        <v>THEM</v>
      </c>
      <c r="K40" s="2" t="str">
        <f>IFERROR(INDEX('Master - US vs THEM'!$F$2:$F$2951,MATCH($A40&amp;"|"&amp;K$1,'Master - US vs THEM'!$G$2:$G$2951,0)),"")</f>
        <v>US</v>
      </c>
    </row>
    <row r="41" spans="1:11" x14ac:dyDescent="0.2">
      <c r="A41" s="2" t="str">
        <f>'[1]Brand Family Territory (Enc)'!A41</f>
        <v>George Killian's</v>
      </c>
      <c r="B41" s="2" t="str">
        <f>IFERROR(INDEX('Master - US vs THEM'!$F$2:$F$2951,MATCH($A41&amp;"|"&amp;B$1,'Master - US vs THEM'!$G$2:$G$2951,0)),"")</f>
        <v>US</v>
      </c>
      <c r="C41" s="2" t="str">
        <f>IFERROR(INDEX('Master - US vs THEM'!$F$2:$F$2951,MATCH($A41&amp;"|"&amp;C$1,'Master - US vs THEM'!$G$2:$G$2951,0)),"")</f>
        <v>US</v>
      </c>
      <c r="D41" s="2" t="str">
        <f>IFERROR(INDEX('Master - US vs THEM'!$F$2:$F$2951,MATCH($A41&amp;"|"&amp;D$1,'Master - US vs THEM'!$G$2:$G$2951,0)),"")</f>
        <v>US</v>
      </c>
      <c r="E41" s="2" t="str">
        <f>IFERROR(INDEX('Master - US vs THEM'!$F$2:$F$2951,MATCH($A41&amp;"|"&amp;E$1,'Master - US vs THEM'!$G$2:$G$2951,0)),"")</f>
        <v>THEM</v>
      </c>
      <c r="F41" s="2" t="str">
        <f>IFERROR(INDEX('Master - US vs THEM'!$F$2:$F$2951,MATCH($A41&amp;"|"&amp;F$1,'Master - US vs THEM'!$G$2:$G$2951,0)),"")</f>
        <v>THEM</v>
      </c>
      <c r="G41" s="2" t="str">
        <f>IFERROR(INDEX('Master - US vs THEM'!$F$2:$F$2951,MATCH($A41&amp;"|"&amp;G$1,'Master - US vs THEM'!$G$2:$G$2951,0)),"")</f>
        <v>THEM</v>
      </c>
      <c r="H41" s="2" t="str">
        <f>IFERROR(INDEX('Master - US vs THEM'!$F$2:$F$2951,MATCH($A41&amp;"|"&amp;H$1,'Master - US vs THEM'!$G$2:$G$2951,0)),"")</f>
        <v>US</v>
      </c>
      <c r="I41" s="2" t="str">
        <f>IFERROR(INDEX('Master - US vs THEM'!$F$2:$F$2951,MATCH($A41&amp;"|"&amp;I$1,'Master - US vs THEM'!$G$2:$G$2951,0)),"")</f>
        <v>US</v>
      </c>
      <c r="J41" s="2" t="str">
        <f>IFERROR(INDEX('Master - US vs THEM'!$F$2:$F$2951,MATCH($A41&amp;"|"&amp;J$1,'Master - US vs THEM'!$G$2:$G$2951,0)),"")</f>
        <v>THEM</v>
      </c>
      <c r="K41" s="2" t="str">
        <f>IFERROR(INDEX('Master - US vs THEM'!$F$2:$F$2951,MATCH($A41&amp;"|"&amp;K$1,'Master - US vs THEM'!$G$2:$G$2951,0)),"")</f>
        <v>US</v>
      </c>
    </row>
    <row r="42" spans="1:11" x14ac:dyDescent="0.2">
      <c r="A42" s="2" t="str">
        <f>'[1]Brand Family Territory (Enc)'!A42</f>
        <v>Kirin Ichiban</v>
      </c>
      <c r="B42" s="2" t="str">
        <f>IFERROR(INDEX('Master - US vs THEM'!$F$2:$F$2951,MATCH($A42&amp;"|"&amp;B$1,'Master - US vs THEM'!$G$2:$G$2951,0)),"")</f>
        <v>US</v>
      </c>
      <c r="C42" s="2" t="str">
        <f>IFERROR(INDEX('Master - US vs THEM'!$F$2:$F$2951,MATCH($A42&amp;"|"&amp;C$1,'Master - US vs THEM'!$G$2:$G$2951,0)),"")</f>
        <v>US</v>
      </c>
      <c r="D42" s="2" t="str">
        <f>IFERROR(INDEX('Master - US vs THEM'!$F$2:$F$2951,MATCH($A42&amp;"|"&amp;D$1,'Master - US vs THEM'!$G$2:$G$2951,0)),"")</f>
        <v>US</v>
      </c>
      <c r="E42" s="2" t="str">
        <f>IFERROR(INDEX('Master - US vs THEM'!$F$2:$F$2951,MATCH($A42&amp;"|"&amp;E$1,'Master - US vs THEM'!$G$2:$G$2951,0)),"")</f>
        <v>THEM</v>
      </c>
      <c r="F42" s="2" t="str">
        <f>IFERROR(INDEX('Master - US vs THEM'!$F$2:$F$2951,MATCH($A42&amp;"|"&amp;F$1,'Master - US vs THEM'!$G$2:$G$2951,0)),"")</f>
        <v>THEM</v>
      </c>
      <c r="G42" s="2" t="str">
        <f>IFERROR(INDEX('Master - US vs THEM'!$F$2:$F$2951,MATCH($A42&amp;"|"&amp;G$1,'Master - US vs THEM'!$G$2:$G$2951,0)),"")</f>
        <v>THEM</v>
      </c>
      <c r="H42" s="2" t="str">
        <f>IFERROR(INDEX('Master - US vs THEM'!$F$2:$F$2951,MATCH($A42&amp;"|"&amp;H$1,'Master - US vs THEM'!$G$2:$G$2951,0)),"")</f>
        <v>US</v>
      </c>
      <c r="I42" s="2" t="str">
        <f>IFERROR(INDEX('Master - US vs THEM'!$F$2:$F$2951,MATCH($A42&amp;"|"&amp;I$1,'Master - US vs THEM'!$G$2:$G$2951,0)),"")</f>
        <v>US</v>
      </c>
      <c r="J42" s="2" t="str">
        <f>IFERROR(INDEX('Master - US vs THEM'!$F$2:$F$2951,MATCH($A42&amp;"|"&amp;J$1,'Master - US vs THEM'!$G$2:$G$2951,0)),"")</f>
        <v>THEM</v>
      </c>
      <c r="K42" s="2" t="str">
        <f>IFERROR(INDEX('Master - US vs THEM'!$F$2:$F$2951,MATCH($A42&amp;"|"&amp;K$1,'Master - US vs THEM'!$G$2:$G$2951,0)),"")</f>
        <v>US</v>
      </c>
    </row>
    <row r="43" spans="1:11" x14ac:dyDescent="0.2">
      <c r="A43" s="2" t="str">
        <f>'[1]Brand Family Territory (Enc)'!A43</f>
        <v>Kirin Light</v>
      </c>
      <c r="B43" s="2" t="str">
        <f>IFERROR(INDEX('Master - US vs THEM'!$F$2:$F$2951,MATCH($A43&amp;"|"&amp;B$1,'Master - US vs THEM'!$G$2:$G$2951,0)),"")</f>
        <v>US</v>
      </c>
      <c r="C43" s="2" t="str">
        <f>IFERROR(INDEX('Master - US vs THEM'!$F$2:$F$2951,MATCH($A43&amp;"|"&amp;C$1,'Master - US vs THEM'!$G$2:$G$2951,0)),"")</f>
        <v>US</v>
      </c>
      <c r="D43" s="2" t="str">
        <f>IFERROR(INDEX('Master - US vs THEM'!$F$2:$F$2951,MATCH($A43&amp;"|"&amp;D$1,'Master - US vs THEM'!$G$2:$G$2951,0)),"")</f>
        <v>US</v>
      </c>
      <c r="E43" s="2" t="str">
        <f>IFERROR(INDEX('Master - US vs THEM'!$F$2:$F$2951,MATCH($A43&amp;"|"&amp;E$1,'Master - US vs THEM'!$G$2:$G$2951,0)),"")</f>
        <v>THEM</v>
      </c>
      <c r="F43" s="2" t="str">
        <f>IFERROR(INDEX('Master - US vs THEM'!$F$2:$F$2951,MATCH($A43&amp;"|"&amp;F$1,'Master - US vs THEM'!$G$2:$G$2951,0)),"")</f>
        <v>THEM</v>
      </c>
      <c r="G43" s="2" t="str">
        <f>IFERROR(INDEX('Master - US vs THEM'!$F$2:$F$2951,MATCH($A43&amp;"|"&amp;G$1,'Master - US vs THEM'!$G$2:$G$2951,0)),"")</f>
        <v>THEM</v>
      </c>
      <c r="H43" s="2" t="str">
        <f>IFERROR(INDEX('Master - US vs THEM'!$F$2:$F$2951,MATCH($A43&amp;"|"&amp;H$1,'Master - US vs THEM'!$G$2:$G$2951,0)),"")</f>
        <v>US</v>
      </c>
      <c r="I43" s="2" t="str">
        <f>IFERROR(INDEX('Master - US vs THEM'!$F$2:$F$2951,MATCH($A43&amp;"|"&amp;I$1,'Master - US vs THEM'!$G$2:$G$2951,0)),"")</f>
        <v>US</v>
      </c>
      <c r="J43" s="2" t="str">
        <f>IFERROR(INDEX('Master - US vs THEM'!$F$2:$F$2951,MATCH($A43&amp;"|"&amp;J$1,'Master - US vs THEM'!$G$2:$G$2951,0)),"")</f>
        <v>THEM</v>
      </c>
      <c r="K43" s="2" t="str">
        <f>IFERROR(INDEX('Master - US vs THEM'!$F$2:$F$2951,MATCH($A43&amp;"|"&amp;K$1,'Master - US vs THEM'!$G$2:$G$2951,0)),"")</f>
        <v>US</v>
      </c>
    </row>
    <row r="44" spans="1:11" x14ac:dyDescent="0.2">
      <c r="A44" s="2" t="str">
        <f>'[1]Brand Family Territory (Enc)'!A44</f>
        <v>Leinenkugel</v>
      </c>
      <c r="B44" s="2" t="str">
        <f>IFERROR(INDEX('Master - US vs THEM'!$F$2:$F$2951,MATCH($A44&amp;"|"&amp;B$1,'Master - US vs THEM'!$G$2:$G$2951,0)),"")</f>
        <v>US</v>
      </c>
      <c r="C44" s="2" t="str">
        <f>IFERROR(INDEX('Master - US vs THEM'!$F$2:$F$2951,MATCH($A44&amp;"|"&amp;C$1,'Master - US vs THEM'!$G$2:$G$2951,0)),"")</f>
        <v>US</v>
      </c>
      <c r="D44" s="2" t="str">
        <f>IFERROR(INDEX('Master - US vs THEM'!$F$2:$F$2951,MATCH($A44&amp;"|"&amp;D$1,'Master - US vs THEM'!$G$2:$G$2951,0)),"")</f>
        <v>US</v>
      </c>
      <c r="E44" s="2" t="str">
        <f>IFERROR(INDEX('Master - US vs THEM'!$F$2:$F$2951,MATCH($A44&amp;"|"&amp;E$1,'Master - US vs THEM'!$G$2:$G$2951,0)),"")</f>
        <v>THEM</v>
      </c>
      <c r="F44" s="2" t="str">
        <f>IFERROR(INDEX('Master - US vs THEM'!$F$2:$F$2951,MATCH($A44&amp;"|"&amp;F$1,'Master - US vs THEM'!$G$2:$G$2951,0)),"")</f>
        <v>THEM</v>
      </c>
      <c r="G44" s="2" t="str">
        <f>IFERROR(INDEX('Master - US vs THEM'!$F$2:$F$2951,MATCH($A44&amp;"|"&amp;G$1,'Master - US vs THEM'!$G$2:$G$2951,0)),"")</f>
        <v>THEM</v>
      </c>
      <c r="H44" s="2" t="str">
        <f>IFERROR(INDEX('Master - US vs THEM'!$F$2:$F$2951,MATCH($A44&amp;"|"&amp;H$1,'Master - US vs THEM'!$G$2:$G$2951,0)),"")</f>
        <v>US</v>
      </c>
      <c r="I44" s="2" t="str">
        <f>IFERROR(INDEX('Master - US vs THEM'!$F$2:$F$2951,MATCH($A44&amp;"|"&amp;I$1,'Master - US vs THEM'!$G$2:$G$2951,0)),"")</f>
        <v>US</v>
      </c>
      <c r="J44" s="2" t="str">
        <f>IFERROR(INDEX('Master - US vs THEM'!$F$2:$F$2951,MATCH($A44&amp;"|"&amp;J$1,'Master - US vs THEM'!$G$2:$G$2951,0)),"")</f>
        <v>THEM</v>
      </c>
      <c r="K44" s="2" t="str">
        <f>IFERROR(INDEX('Master - US vs THEM'!$F$2:$F$2951,MATCH($A44&amp;"|"&amp;K$1,'Master - US vs THEM'!$G$2:$G$2951,0)),"")</f>
        <v>US</v>
      </c>
    </row>
    <row r="45" spans="1:11" x14ac:dyDescent="0.2">
      <c r="A45" s="2" t="str">
        <f>'[1]Brand Family Territory (Enc)'!A45</f>
        <v>Lightstrike</v>
      </c>
      <c r="B45" s="2" t="str">
        <f>IFERROR(INDEX('Master - US vs THEM'!$F$2:$F$2951,MATCH($A45&amp;"|"&amp;B$1,'Master - US vs THEM'!$G$2:$G$2951,0)),"")</f>
        <v>US</v>
      </c>
      <c r="C45" s="2" t="str">
        <f>IFERROR(INDEX('Master - US vs THEM'!$F$2:$F$2951,MATCH($A45&amp;"|"&amp;C$1,'Master - US vs THEM'!$G$2:$G$2951,0)),"")</f>
        <v>US</v>
      </c>
      <c r="D45" s="2" t="str">
        <f>IFERROR(INDEX('Master - US vs THEM'!$F$2:$F$2951,MATCH($A45&amp;"|"&amp;D$1,'Master - US vs THEM'!$G$2:$G$2951,0)),"")</f>
        <v>US</v>
      </c>
      <c r="E45" s="2" t="str">
        <f>IFERROR(INDEX('Master - US vs THEM'!$F$2:$F$2951,MATCH($A45&amp;"|"&amp;E$1,'Master - US vs THEM'!$G$2:$G$2951,0)),"")</f>
        <v>THEM</v>
      </c>
      <c r="F45" s="2" t="str">
        <f>IFERROR(INDEX('Master - US vs THEM'!$F$2:$F$2951,MATCH($A45&amp;"|"&amp;F$1,'Master - US vs THEM'!$G$2:$G$2951,0)),"")</f>
        <v>THEM</v>
      </c>
      <c r="G45" s="2" t="str">
        <f>IFERROR(INDEX('Master - US vs THEM'!$F$2:$F$2951,MATCH($A45&amp;"|"&amp;G$1,'Master - US vs THEM'!$G$2:$G$2951,0)),"")</f>
        <v>THEM</v>
      </c>
      <c r="H45" s="2" t="str">
        <f>IFERROR(INDEX('Master - US vs THEM'!$F$2:$F$2951,MATCH($A45&amp;"|"&amp;H$1,'Master - US vs THEM'!$G$2:$G$2951,0)),"")</f>
        <v>US</v>
      </c>
      <c r="I45" s="2" t="str">
        <f>IFERROR(INDEX('Master - US vs THEM'!$F$2:$F$2951,MATCH($A45&amp;"|"&amp;I$1,'Master - US vs THEM'!$G$2:$G$2951,0)),"")</f>
        <v>US</v>
      </c>
      <c r="J45" s="2" t="str">
        <f>IFERROR(INDEX('Master - US vs THEM'!$F$2:$F$2951,MATCH($A45&amp;"|"&amp;J$1,'Master - US vs THEM'!$G$2:$G$2951,0)),"")</f>
        <v>THEM</v>
      </c>
      <c r="K45" s="2" t="str">
        <f>IFERROR(INDEX('Master - US vs THEM'!$F$2:$F$2951,MATCH($A45&amp;"|"&amp;K$1,'Master - US vs THEM'!$G$2:$G$2951,0)),"")</f>
        <v>US</v>
      </c>
    </row>
    <row r="46" spans="1:11" x14ac:dyDescent="0.2">
      <c r="A46" s="2" t="str">
        <f>'[1]Brand Family Territory (Enc)'!A46</f>
        <v>Mike's Hard Lemonade</v>
      </c>
      <c r="B46" s="2" t="str">
        <f>IFERROR(INDEX('Master - US vs THEM'!$F$2:$F$2951,MATCH($A46&amp;"|"&amp;B$1,'Master - US vs THEM'!$G$2:$G$2951,0)),"")</f>
        <v>US</v>
      </c>
      <c r="C46" s="2" t="str">
        <f>IFERROR(INDEX('Master - US vs THEM'!$F$2:$F$2951,MATCH($A46&amp;"|"&amp;C$1,'Master - US vs THEM'!$G$2:$G$2951,0)),"")</f>
        <v>US</v>
      </c>
      <c r="D46" s="2" t="str">
        <f>IFERROR(INDEX('Master - US vs THEM'!$F$2:$F$2951,MATCH($A46&amp;"|"&amp;D$1,'Master - US vs THEM'!$G$2:$G$2951,0)),"")</f>
        <v>US</v>
      </c>
      <c r="E46" s="2" t="str">
        <f>IFERROR(INDEX('Master - US vs THEM'!$F$2:$F$2951,MATCH($A46&amp;"|"&amp;E$1,'Master - US vs THEM'!$G$2:$G$2951,0)),"")</f>
        <v>THEM</v>
      </c>
      <c r="F46" s="2" t="str">
        <f>IFERROR(INDEX('Master - US vs THEM'!$F$2:$F$2951,MATCH($A46&amp;"|"&amp;F$1,'Master - US vs THEM'!$G$2:$G$2951,0)),"")</f>
        <v>THEM</v>
      </c>
      <c r="G46" s="2" t="str">
        <f>IFERROR(INDEX('Master - US vs THEM'!$F$2:$F$2951,MATCH($A46&amp;"|"&amp;G$1,'Master - US vs THEM'!$G$2:$G$2951,0)),"")</f>
        <v>THEM</v>
      </c>
      <c r="H46" s="2" t="str">
        <f>IFERROR(INDEX('Master - US vs THEM'!$F$2:$F$2951,MATCH($A46&amp;"|"&amp;H$1,'Master - US vs THEM'!$G$2:$G$2951,0)),"")</f>
        <v>US</v>
      </c>
      <c r="I46" s="2" t="str">
        <f>IFERROR(INDEX('Master - US vs THEM'!$F$2:$F$2951,MATCH($A46&amp;"|"&amp;I$1,'Master - US vs THEM'!$G$2:$G$2951,0)),"")</f>
        <v>US</v>
      </c>
      <c r="J46" s="2" t="str">
        <f>IFERROR(INDEX('Master - US vs THEM'!$F$2:$F$2951,MATCH($A46&amp;"|"&amp;J$1,'Master - US vs THEM'!$G$2:$G$2951,0)),"")</f>
        <v>THEM</v>
      </c>
      <c r="K46" s="2" t="str">
        <f>IFERROR(INDEX('Master - US vs THEM'!$F$2:$F$2951,MATCH($A46&amp;"|"&amp;K$1,'Master - US vs THEM'!$G$2:$G$2951,0)),"")</f>
        <v>US</v>
      </c>
    </row>
    <row r="47" spans="1:11" x14ac:dyDescent="0.2">
      <c r="A47" s="2" t="str">
        <f>'[1]Brand Family Territory (Enc)'!A47</f>
        <v>Mike's Hard Dirty Lemonade</v>
      </c>
      <c r="B47" s="2" t="str">
        <f>IFERROR(INDEX('Master - US vs THEM'!$F$2:$F$2951,MATCH($A47&amp;"|"&amp;B$1,'Master - US vs THEM'!$G$2:$G$2951,0)),"")</f>
        <v>US</v>
      </c>
      <c r="C47" s="2" t="str">
        <f>IFERROR(INDEX('Master - US vs THEM'!$F$2:$F$2951,MATCH($A47&amp;"|"&amp;C$1,'Master - US vs THEM'!$G$2:$G$2951,0)),"")</f>
        <v>US</v>
      </c>
      <c r="D47" s="2" t="str">
        <f>IFERROR(INDEX('Master - US vs THEM'!$F$2:$F$2951,MATCH($A47&amp;"|"&amp;D$1,'Master - US vs THEM'!$G$2:$G$2951,0)),"")</f>
        <v>US</v>
      </c>
      <c r="E47" s="2" t="str">
        <f>IFERROR(INDEX('Master - US vs THEM'!$F$2:$F$2951,MATCH($A47&amp;"|"&amp;E$1,'Master - US vs THEM'!$G$2:$G$2951,0)),"")</f>
        <v>THEM</v>
      </c>
      <c r="F47" s="2" t="str">
        <f>IFERROR(INDEX('Master - US vs THEM'!$F$2:$F$2951,MATCH($A47&amp;"|"&amp;F$1,'Master - US vs THEM'!$G$2:$G$2951,0)),"")</f>
        <v>THEM</v>
      </c>
      <c r="G47" s="2" t="str">
        <f>IFERROR(INDEX('Master - US vs THEM'!$F$2:$F$2951,MATCH($A47&amp;"|"&amp;G$1,'Master - US vs THEM'!$G$2:$G$2951,0)),"")</f>
        <v>THEM</v>
      </c>
      <c r="H47" s="2" t="str">
        <f>IFERROR(INDEX('Master - US vs THEM'!$F$2:$F$2951,MATCH($A47&amp;"|"&amp;H$1,'Master - US vs THEM'!$G$2:$G$2951,0)),"")</f>
        <v>US</v>
      </c>
      <c r="I47" s="2" t="str">
        <f>IFERROR(INDEX('Master - US vs THEM'!$F$2:$F$2951,MATCH($A47&amp;"|"&amp;I$1,'Master - US vs THEM'!$G$2:$G$2951,0)),"")</f>
        <v>US</v>
      </c>
      <c r="J47" s="2" t="str">
        <f>IFERROR(INDEX('Master - US vs THEM'!$F$2:$F$2951,MATCH($A47&amp;"|"&amp;J$1,'Master - US vs THEM'!$G$2:$G$2951,0)),"")</f>
        <v>THEM</v>
      </c>
      <c r="K47" s="2" t="str">
        <f>IFERROR(INDEX('Master - US vs THEM'!$F$2:$F$2951,MATCH($A47&amp;"|"&amp;K$1,'Master - US vs THEM'!$G$2:$G$2951,0)),"")</f>
        <v>US</v>
      </c>
    </row>
    <row r="48" spans="1:11" x14ac:dyDescent="0.2">
      <c r="A48" s="2" t="str">
        <f>'[1]Brand Family Territory (Enc)'!A48</f>
        <v>Mike's Harder</v>
      </c>
      <c r="B48" s="2" t="str">
        <f>IFERROR(INDEX('Master - US vs THEM'!$F$2:$F$2951,MATCH($A48&amp;"|"&amp;B$1,'Master - US vs THEM'!$G$2:$G$2951,0)),"")</f>
        <v>US</v>
      </c>
      <c r="C48" s="2" t="str">
        <f>IFERROR(INDEX('Master - US vs THEM'!$F$2:$F$2951,MATCH($A48&amp;"|"&amp;C$1,'Master - US vs THEM'!$G$2:$G$2951,0)),"")</f>
        <v>US</v>
      </c>
      <c r="D48" s="2" t="str">
        <f>IFERROR(INDEX('Master - US vs THEM'!$F$2:$F$2951,MATCH($A48&amp;"|"&amp;D$1,'Master - US vs THEM'!$G$2:$G$2951,0)),"")</f>
        <v>US</v>
      </c>
      <c r="E48" s="2" t="str">
        <f>IFERROR(INDEX('Master - US vs THEM'!$F$2:$F$2951,MATCH($A48&amp;"|"&amp;E$1,'Master - US vs THEM'!$G$2:$G$2951,0)),"")</f>
        <v>THEM</v>
      </c>
      <c r="F48" s="2" t="str">
        <f>IFERROR(INDEX('Master - US vs THEM'!$F$2:$F$2951,MATCH($A48&amp;"|"&amp;F$1,'Master - US vs THEM'!$G$2:$G$2951,0)),"")</f>
        <v>THEM</v>
      </c>
      <c r="G48" s="2" t="str">
        <f>IFERROR(INDEX('Master - US vs THEM'!$F$2:$F$2951,MATCH($A48&amp;"|"&amp;G$1,'Master - US vs THEM'!$G$2:$G$2951,0)),"")</f>
        <v>THEM</v>
      </c>
      <c r="H48" s="2" t="str">
        <f>IFERROR(INDEX('Master - US vs THEM'!$F$2:$F$2951,MATCH($A48&amp;"|"&amp;H$1,'Master - US vs THEM'!$G$2:$G$2951,0)),"")</f>
        <v>US</v>
      </c>
      <c r="I48" s="2" t="str">
        <f>IFERROR(INDEX('Master - US vs THEM'!$F$2:$F$2951,MATCH($A48&amp;"|"&amp;I$1,'Master - US vs THEM'!$G$2:$G$2951,0)),"")</f>
        <v>US</v>
      </c>
      <c r="J48" s="2" t="str">
        <f>IFERROR(INDEX('Master - US vs THEM'!$F$2:$F$2951,MATCH($A48&amp;"|"&amp;J$1,'Master - US vs THEM'!$G$2:$G$2951,0)),"")</f>
        <v>THEM</v>
      </c>
      <c r="K48" s="2" t="str">
        <f>IFERROR(INDEX('Master - US vs THEM'!$F$2:$F$2951,MATCH($A48&amp;"|"&amp;K$1,'Master - US vs THEM'!$G$2:$G$2951,0)),"")</f>
        <v>US</v>
      </c>
    </row>
    <row r="49" spans="1:11" x14ac:dyDescent="0.2">
      <c r="A49" s="2" t="str">
        <f>'[1]Brand Family Territory (Enc)'!A49</f>
        <v>Miller Extra Light</v>
      </c>
      <c r="B49" s="2" t="str">
        <f>IFERROR(INDEX('Master - US vs THEM'!$F$2:$F$2951,MATCH($A49&amp;"|"&amp;B$1,'Master - US vs THEM'!$G$2:$G$2951,0)),"")</f>
        <v>US</v>
      </c>
      <c r="C49" s="2" t="str">
        <f>IFERROR(INDEX('Master - US vs THEM'!$F$2:$F$2951,MATCH($A49&amp;"|"&amp;C$1,'Master - US vs THEM'!$G$2:$G$2951,0)),"")</f>
        <v>US</v>
      </c>
      <c r="D49" s="2" t="str">
        <f>IFERROR(INDEX('Master - US vs THEM'!$F$2:$F$2951,MATCH($A49&amp;"|"&amp;D$1,'Master - US vs THEM'!$G$2:$G$2951,0)),"")</f>
        <v>US</v>
      </c>
      <c r="E49" s="2" t="str">
        <f>IFERROR(INDEX('Master - US vs THEM'!$F$2:$F$2951,MATCH($A49&amp;"|"&amp;E$1,'Master - US vs THEM'!$G$2:$G$2951,0)),"")</f>
        <v>THEM</v>
      </c>
      <c r="F49" s="2" t="str">
        <f>IFERROR(INDEX('Master - US vs THEM'!$F$2:$F$2951,MATCH($A49&amp;"|"&amp;F$1,'Master - US vs THEM'!$G$2:$G$2951,0)),"")</f>
        <v>THEM</v>
      </c>
      <c r="G49" s="2" t="str">
        <f>IFERROR(INDEX('Master - US vs THEM'!$F$2:$F$2951,MATCH($A49&amp;"|"&amp;G$1,'Master - US vs THEM'!$G$2:$G$2951,0)),"")</f>
        <v>THEM</v>
      </c>
      <c r="H49" s="2" t="str">
        <f>IFERROR(INDEX('Master - US vs THEM'!$F$2:$F$2951,MATCH($A49&amp;"|"&amp;H$1,'Master - US vs THEM'!$G$2:$G$2951,0)),"")</f>
        <v>US</v>
      </c>
      <c r="I49" s="2" t="str">
        <f>IFERROR(INDEX('Master - US vs THEM'!$F$2:$F$2951,MATCH($A49&amp;"|"&amp;I$1,'Master - US vs THEM'!$G$2:$G$2951,0)),"")</f>
        <v>US</v>
      </c>
      <c r="J49" s="2" t="str">
        <f>IFERROR(INDEX('Master - US vs THEM'!$F$2:$F$2951,MATCH($A49&amp;"|"&amp;J$1,'Master - US vs THEM'!$G$2:$G$2951,0)),"")</f>
        <v>THEM</v>
      </c>
      <c r="K49" s="2" t="str">
        <f>IFERROR(INDEX('Master - US vs THEM'!$F$2:$F$2951,MATCH($A49&amp;"|"&amp;K$1,'Master - US vs THEM'!$G$2:$G$2951,0)),"")</f>
        <v>US</v>
      </c>
    </row>
    <row r="50" spans="1:11" x14ac:dyDescent="0.2">
      <c r="A50" s="2" t="str">
        <f>'[1]Brand Family Territory (Enc)'!A50</f>
        <v>Miller Genuine Draft</v>
      </c>
      <c r="B50" s="2" t="str">
        <f>IFERROR(INDEX('Master - US vs THEM'!$F$2:$F$2951,MATCH($A50&amp;"|"&amp;B$1,'Master - US vs THEM'!$G$2:$G$2951,0)),"")</f>
        <v>US</v>
      </c>
      <c r="C50" s="2" t="str">
        <f>IFERROR(INDEX('Master - US vs THEM'!$F$2:$F$2951,MATCH($A50&amp;"|"&amp;C$1,'Master - US vs THEM'!$G$2:$G$2951,0)),"")</f>
        <v>US</v>
      </c>
      <c r="D50" s="2" t="str">
        <f>IFERROR(INDEX('Master - US vs THEM'!$F$2:$F$2951,MATCH($A50&amp;"|"&amp;D$1,'Master - US vs THEM'!$G$2:$G$2951,0)),"")</f>
        <v>US</v>
      </c>
      <c r="E50" s="2" t="str">
        <f>IFERROR(INDEX('Master - US vs THEM'!$F$2:$F$2951,MATCH($A50&amp;"|"&amp;E$1,'Master - US vs THEM'!$G$2:$G$2951,0)),"")</f>
        <v>THEM</v>
      </c>
      <c r="F50" s="2" t="str">
        <f>IFERROR(INDEX('Master - US vs THEM'!$F$2:$F$2951,MATCH($A50&amp;"|"&amp;F$1,'Master - US vs THEM'!$G$2:$G$2951,0)),"")</f>
        <v>THEM</v>
      </c>
      <c r="G50" s="2" t="str">
        <f>IFERROR(INDEX('Master - US vs THEM'!$F$2:$F$2951,MATCH($A50&amp;"|"&amp;G$1,'Master - US vs THEM'!$G$2:$G$2951,0)),"")</f>
        <v>THEM</v>
      </c>
      <c r="H50" s="2" t="str">
        <f>IFERROR(INDEX('Master - US vs THEM'!$F$2:$F$2951,MATCH($A50&amp;"|"&amp;H$1,'Master - US vs THEM'!$G$2:$G$2951,0)),"")</f>
        <v>US</v>
      </c>
      <c r="I50" s="2" t="str">
        <f>IFERROR(INDEX('Master - US vs THEM'!$F$2:$F$2951,MATCH($A50&amp;"|"&amp;I$1,'Master - US vs THEM'!$G$2:$G$2951,0)),"")</f>
        <v>US</v>
      </c>
      <c r="J50" s="2" t="str">
        <f>IFERROR(INDEX('Master - US vs THEM'!$F$2:$F$2951,MATCH($A50&amp;"|"&amp;J$1,'Master - US vs THEM'!$G$2:$G$2951,0)),"")</f>
        <v>THEM</v>
      </c>
      <c r="K50" s="2" t="str">
        <f>IFERROR(INDEX('Master - US vs THEM'!$F$2:$F$2951,MATCH($A50&amp;"|"&amp;K$1,'Master - US vs THEM'!$G$2:$G$2951,0)),"")</f>
        <v>US</v>
      </c>
    </row>
    <row r="51" spans="1:11" x14ac:dyDescent="0.2">
      <c r="A51" s="2" t="str">
        <f>'[1]Brand Family Territory (Enc)'!A51</f>
        <v>Lite</v>
      </c>
      <c r="B51" s="2" t="str">
        <f>IFERROR(INDEX('Master - US vs THEM'!$F$2:$F$2951,MATCH($A51&amp;"|"&amp;B$1,'Master - US vs THEM'!$G$2:$G$2951,0)),"")</f>
        <v>US</v>
      </c>
      <c r="C51" s="2" t="str">
        <f>IFERROR(INDEX('Master - US vs THEM'!$F$2:$F$2951,MATCH($A51&amp;"|"&amp;C$1,'Master - US vs THEM'!$G$2:$G$2951,0)),"")</f>
        <v>US</v>
      </c>
      <c r="D51" s="2" t="str">
        <f>IFERROR(INDEX('Master - US vs THEM'!$F$2:$F$2951,MATCH($A51&amp;"|"&amp;D$1,'Master - US vs THEM'!$G$2:$G$2951,0)),"")</f>
        <v>US</v>
      </c>
      <c r="E51" s="2" t="str">
        <f>IFERROR(INDEX('Master - US vs THEM'!$F$2:$F$2951,MATCH($A51&amp;"|"&amp;E$1,'Master - US vs THEM'!$G$2:$G$2951,0)),"")</f>
        <v>THEM</v>
      </c>
      <c r="F51" s="2" t="str">
        <f>IFERROR(INDEX('Master - US vs THEM'!$F$2:$F$2951,MATCH($A51&amp;"|"&amp;F$1,'Master - US vs THEM'!$G$2:$G$2951,0)),"")</f>
        <v>THEM</v>
      </c>
      <c r="G51" s="2" t="str">
        <f>IFERROR(INDEX('Master - US vs THEM'!$F$2:$F$2951,MATCH($A51&amp;"|"&amp;G$1,'Master - US vs THEM'!$G$2:$G$2951,0)),"")</f>
        <v>THEM</v>
      </c>
      <c r="H51" s="2" t="str">
        <f>IFERROR(INDEX('Master - US vs THEM'!$F$2:$F$2951,MATCH($A51&amp;"|"&amp;H$1,'Master - US vs THEM'!$G$2:$G$2951,0)),"")</f>
        <v>US</v>
      </c>
      <c r="I51" s="2" t="str">
        <f>IFERROR(INDEX('Master - US vs THEM'!$F$2:$F$2951,MATCH($A51&amp;"|"&amp;I$1,'Master - US vs THEM'!$G$2:$G$2951,0)),"")</f>
        <v>US</v>
      </c>
      <c r="J51" s="2" t="str">
        <f>IFERROR(INDEX('Master - US vs THEM'!$F$2:$F$2951,MATCH($A51&amp;"|"&amp;J$1,'Master - US vs THEM'!$G$2:$G$2951,0)),"")</f>
        <v>THEM</v>
      </c>
      <c r="K51" s="2" t="str">
        <f>IFERROR(INDEX('Master - US vs THEM'!$F$2:$F$2951,MATCH($A51&amp;"|"&amp;K$1,'Master - US vs THEM'!$G$2:$G$2951,0)),"")</f>
        <v>US</v>
      </c>
    </row>
    <row r="52" spans="1:11" x14ac:dyDescent="0.2">
      <c r="A52" s="2" t="str">
        <f>'[1]Brand Family Territory (Enc)'!A52</f>
        <v>Milwaukee's Best Ice</v>
      </c>
      <c r="B52" s="2" t="str">
        <f>IFERROR(INDEX('Master - US vs THEM'!$F$2:$F$2951,MATCH($A52&amp;"|"&amp;B$1,'Master - US vs THEM'!$G$2:$G$2951,0)),"")</f>
        <v>US</v>
      </c>
      <c r="C52" s="2" t="str">
        <f>IFERROR(INDEX('Master - US vs THEM'!$F$2:$F$2951,MATCH($A52&amp;"|"&amp;C$1,'Master - US vs THEM'!$G$2:$G$2951,0)),"")</f>
        <v>US</v>
      </c>
      <c r="D52" s="2" t="str">
        <f>IFERROR(INDEX('Master - US vs THEM'!$F$2:$F$2951,MATCH($A52&amp;"|"&amp;D$1,'Master - US vs THEM'!$G$2:$G$2951,0)),"")</f>
        <v>US</v>
      </c>
      <c r="E52" s="2" t="str">
        <f>IFERROR(INDEX('Master - US vs THEM'!$F$2:$F$2951,MATCH($A52&amp;"|"&amp;E$1,'Master - US vs THEM'!$G$2:$G$2951,0)),"")</f>
        <v>THEM</v>
      </c>
      <c r="F52" s="2" t="str">
        <f>IFERROR(INDEX('Master - US vs THEM'!$F$2:$F$2951,MATCH($A52&amp;"|"&amp;F$1,'Master - US vs THEM'!$G$2:$G$2951,0)),"")</f>
        <v>THEM</v>
      </c>
      <c r="G52" s="2" t="str">
        <f>IFERROR(INDEX('Master - US vs THEM'!$F$2:$F$2951,MATCH($A52&amp;"|"&amp;G$1,'Master - US vs THEM'!$G$2:$G$2951,0)),"")</f>
        <v>THEM</v>
      </c>
      <c r="H52" s="2" t="str">
        <f>IFERROR(INDEX('Master - US vs THEM'!$F$2:$F$2951,MATCH($A52&amp;"|"&amp;H$1,'Master - US vs THEM'!$G$2:$G$2951,0)),"")</f>
        <v>US</v>
      </c>
      <c r="I52" s="2" t="str">
        <f>IFERROR(INDEX('Master - US vs THEM'!$F$2:$F$2951,MATCH($A52&amp;"|"&amp;I$1,'Master - US vs THEM'!$G$2:$G$2951,0)),"")</f>
        <v>US</v>
      </c>
      <c r="J52" s="2" t="str">
        <f>IFERROR(INDEX('Master - US vs THEM'!$F$2:$F$2951,MATCH($A52&amp;"|"&amp;J$1,'Master - US vs THEM'!$G$2:$G$2951,0)),"")</f>
        <v>THEM</v>
      </c>
      <c r="K52" s="2" t="str">
        <f>IFERROR(INDEX('Master - US vs THEM'!$F$2:$F$2951,MATCH($A52&amp;"|"&amp;K$1,'Master - US vs THEM'!$G$2:$G$2951,0)),"")</f>
        <v>US</v>
      </c>
    </row>
    <row r="53" spans="1:11" x14ac:dyDescent="0.2">
      <c r="A53" s="2" t="str">
        <f>'[1]Brand Family Territory (Enc)'!A53</f>
        <v>Milwaukee's Best Light</v>
      </c>
      <c r="B53" s="2" t="str">
        <f>IFERROR(INDEX('Master - US vs THEM'!$F$2:$F$2951,MATCH($A53&amp;"|"&amp;B$1,'Master - US vs THEM'!$G$2:$G$2951,0)),"")</f>
        <v>US</v>
      </c>
      <c r="C53" s="2" t="str">
        <f>IFERROR(INDEX('Master - US vs THEM'!$F$2:$F$2951,MATCH($A53&amp;"|"&amp;C$1,'Master - US vs THEM'!$G$2:$G$2951,0)),"")</f>
        <v>US</v>
      </c>
      <c r="D53" s="2" t="str">
        <f>IFERROR(INDEX('Master - US vs THEM'!$F$2:$F$2951,MATCH($A53&amp;"|"&amp;D$1,'Master - US vs THEM'!$G$2:$G$2951,0)),"")</f>
        <v>US</v>
      </c>
      <c r="E53" s="2" t="str">
        <f>IFERROR(INDEX('Master - US vs THEM'!$F$2:$F$2951,MATCH($A53&amp;"|"&amp;E$1,'Master - US vs THEM'!$G$2:$G$2951,0)),"")</f>
        <v>THEM</v>
      </c>
      <c r="F53" s="2" t="str">
        <f>IFERROR(INDEX('Master - US vs THEM'!$F$2:$F$2951,MATCH($A53&amp;"|"&amp;F$1,'Master - US vs THEM'!$G$2:$G$2951,0)),"")</f>
        <v>THEM</v>
      </c>
      <c r="G53" s="2" t="str">
        <f>IFERROR(INDEX('Master - US vs THEM'!$F$2:$F$2951,MATCH($A53&amp;"|"&amp;G$1,'Master - US vs THEM'!$G$2:$G$2951,0)),"")</f>
        <v>THEM</v>
      </c>
      <c r="H53" s="2" t="str">
        <f>IFERROR(INDEX('Master - US vs THEM'!$F$2:$F$2951,MATCH($A53&amp;"|"&amp;H$1,'Master - US vs THEM'!$G$2:$G$2951,0)),"")</f>
        <v>US</v>
      </c>
      <c r="I53" s="2" t="str">
        <f>IFERROR(INDEX('Master - US vs THEM'!$F$2:$F$2951,MATCH($A53&amp;"|"&amp;I$1,'Master - US vs THEM'!$G$2:$G$2951,0)),"")</f>
        <v>US</v>
      </c>
      <c r="J53" s="2" t="str">
        <f>IFERROR(INDEX('Master - US vs THEM'!$F$2:$F$2951,MATCH($A53&amp;"|"&amp;J$1,'Master - US vs THEM'!$G$2:$G$2951,0)),"")</f>
        <v>THEM</v>
      </c>
      <c r="K53" s="2" t="str">
        <f>IFERROR(INDEX('Master - US vs THEM'!$F$2:$F$2951,MATCH($A53&amp;"|"&amp;K$1,'Master - US vs THEM'!$G$2:$G$2951,0)),"")</f>
        <v>US</v>
      </c>
    </row>
    <row r="54" spans="1:11" x14ac:dyDescent="0.2">
      <c r="A54" s="2" t="str">
        <f>'[1]Brand Family Territory (Enc)'!A54</f>
        <v>Modelo Aquas Frescas</v>
      </c>
      <c r="B54" s="2" t="str">
        <f>IFERROR(INDEX('Master - US vs THEM'!$F$2:$F$2951,MATCH($A54&amp;"|"&amp;B$1,'Master - US vs THEM'!$G$2:$G$2951,0)),"")</f>
        <v>US</v>
      </c>
      <c r="C54" s="2" t="str">
        <f>IFERROR(INDEX('Master - US vs THEM'!$F$2:$F$2951,MATCH($A54&amp;"|"&amp;C$1,'Master - US vs THEM'!$G$2:$G$2951,0)),"")</f>
        <v>US</v>
      </c>
      <c r="D54" s="2" t="str">
        <f>IFERROR(INDEX('Master - US vs THEM'!$F$2:$F$2951,MATCH($A54&amp;"|"&amp;D$1,'Master - US vs THEM'!$G$2:$G$2951,0)),"")</f>
        <v>US</v>
      </c>
      <c r="E54" s="2" t="str">
        <f>IFERROR(INDEX('Master - US vs THEM'!$F$2:$F$2951,MATCH($A54&amp;"|"&amp;E$1,'Master - US vs THEM'!$G$2:$G$2951,0)),"")</f>
        <v>THEM</v>
      </c>
      <c r="F54" s="2" t="str">
        <f>IFERROR(INDEX('Master - US vs THEM'!$F$2:$F$2951,MATCH($A54&amp;"|"&amp;F$1,'Master - US vs THEM'!$G$2:$G$2951,0)),"")</f>
        <v>THEM</v>
      </c>
      <c r="G54" s="2" t="str">
        <f>IFERROR(INDEX('Master - US vs THEM'!$F$2:$F$2951,MATCH($A54&amp;"|"&amp;G$1,'Master - US vs THEM'!$G$2:$G$2951,0)),"")</f>
        <v>THEM</v>
      </c>
      <c r="H54" s="2" t="str">
        <f>IFERROR(INDEX('Master - US vs THEM'!$F$2:$F$2951,MATCH($A54&amp;"|"&amp;H$1,'Master - US vs THEM'!$G$2:$G$2951,0)),"")</f>
        <v>US</v>
      </c>
      <c r="I54" s="2" t="str">
        <f>IFERROR(INDEX('Master - US vs THEM'!$F$2:$F$2951,MATCH($A54&amp;"|"&amp;I$1,'Master - US vs THEM'!$G$2:$G$2951,0)),"")</f>
        <v>US</v>
      </c>
      <c r="J54" s="2" t="str">
        <f>IFERROR(INDEX('Master - US vs THEM'!$F$2:$F$2951,MATCH($A54&amp;"|"&amp;J$1,'Master - US vs THEM'!$G$2:$G$2951,0)),"")</f>
        <v>THEM</v>
      </c>
      <c r="K54" s="2" t="str">
        <f>IFERROR(INDEX('Master - US vs THEM'!$F$2:$F$2951,MATCH($A54&amp;"|"&amp;K$1,'Master - US vs THEM'!$G$2:$G$2951,0)),"")</f>
        <v>US</v>
      </c>
    </row>
    <row r="55" spans="1:11" x14ac:dyDescent="0.2">
      <c r="A55" s="2" t="str">
        <f>'[1]Brand Family Territory (Enc)'!A55</f>
        <v>Modelo Chelada</v>
      </c>
      <c r="B55" s="2" t="str">
        <f>IFERROR(INDEX('Master - US vs THEM'!$F$2:$F$2951,MATCH($A55&amp;"|"&amp;B$1,'Master - US vs THEM'!$G$2:$G$2951,0)),"")</f>
        <v>US</v>
      </c>
      <c r="C55" s="2" t="str">
        <f>IFERROR(INDEX('Master - US vs THEM'!$F$2:$F$2951,MATCH($A55&amp;"|"&amp;C$1,'Master - US vs THEM'!$G$2:$G$2951,0)),"")</f>
        <v>US</v>
      </c>
      <c r="D55" s="2" t="str">
        <f>IFERROR(INDEX('Master - US vs THEM'!$F$2:$F$2951,MATCH($A55&amp;"|"&amp;D$1,'Master - US vs THEM'!$G$2:$G$2951,0)),"")</f>
        <v>US</v>
      </c>
      <c r="E55" s="2" t="str">
        <f>IFERROR(INDEX('Master - US vs THEM'!$F$2:$F$2951,MATCH($A55&amp;"|"&amp;E$1,'Master - US vs THEM'!$G$2:$G$2951,0)),"")</f>
        <v>THEM</v>
      </c>
      <c r="F55" s="2" t="str">
        <f>IFERROR(INDEX('Master - US vs THEM'!$F$2:$F$2951,MATCH($A55&amp;"|"&amp;F$1,'Master - US vs THEM'!$G$2:$G$2951,0)),"")</f>
        <v>THEM</v>
      </c>
      <c r="G55" s="2" t="str">
        <f>IFERROR(INDEX('Master - US vs THEM'!$F$2:$F$2951,MATCH($A55&amp;"|"&amp;G$1,'Master - US vs THEM'!$G$2:$G$2951,0)),"")</f>
        <v>THEM</v>
      </c>
      <c r="H55" s="2" t="str">
        <f>IFERROR(INDEX('Master - US vs THEM'!$F$2:$F$2951,MATCH($A55&amp;"|"&amp;H$1,'Master - US vs THEM'!$G$2:$G$2951,0)),"")</f>
        <v>US</v>
      </c>
      <c r="I55" s="2" t="str">
        <f>IFERROR(INDEX('Master - US vs THEM'!$F$2:$F$2951,MATCH($A55&amp;"|"&amp;I$1,'Master - US vs THEM'!$G$2:$G$2951,0)),"")</f>
        <v>US</v>
      </c>
      <c r="J55" s="2" t="str">
        <f>IFERROR(INDEX('Master - US vs THEM'!$F$2:$F$2951,MATCH($A55&amp;"|"&amp;J$1,'Master - US vs THEM'!$G$2:$G$2951,0)),"")</f>
        <v>THEM</v>
      </c>
      <c r="K55" s="2" t="str">
        <f>IFERROR(INDEX('Master - US vs THEM'!$F$2:$F$2951,MATCH($A55&amp;"|"&amp;K$1,'Master - US vs THEM'!$G$2:$G$2951,0)),"")</f>
        <v>US</v>
      </c>
    </row>
    <row r="56" spans="1:11" x14ac:dyDescent="0.2">
      <c r="A56" s="2" t="str">
        <f>'[1]Brand Family Territory (Enc)'!A56</f>
        <v>Modelo Especial</v>
      </c>
      <c r="B56" s="2" t="str">
        <f>IFERROR(INDEX('Master - US vs THEM'!$F$2:$F$2951,MATCH($A56&amp;"|"&amp;B$1,'Master - US vs THEM'!$G$2:$G$2951,0)),"")</f>
        <v>US</v>
      </c>
      <c r="C56" s="2" t="str">
        <f>IFERROR(INDEX('Master - US vs THEM'!$F$2:$F$2951,MATCH($A56&amp;"|"&amp;C$1,'Master - US vs THEM'!$G$2:$G$2951,0)),"")</f>
        <v>US</v>
      </c>
      <c r="D56" s="2" t="str">
        <f>IFERROR(INDEX('Master - US vs THEM'!$F$2:$F$2951,MATCH($A56&amp;"|"&amp;D$1,'Master - US vs THEM'!$G$2:$G$2951,0)),"")</f>
        <v>US</v>
      </c>
      <c r="E56" s="2" t="str">
        <f>IFERROR(INDEX('Master - US vs THEM'!$F$2:$F$2951,MATCH($A56&amp;"|"&amp;E$1,'Master - US vs THEM'!$G$2:$G$2951,0)),"")</f>
        <v>THEM</v>
      </c>
      <c r="F56" s="2" t="str">
        <f>IFERROR(INDEX('Master - US vs THEM'!$F$2:$F$2951,MATCH($A56&amp;"|"&amp;F$1,'Master - US vs THEM'!$G$2:$G$2951,0)),"")</f>
        <v>THEM</v>
      </c>
      <c r="G56" s="2" t="str">
        <f>IFERROR(INDEX('Master - US vs THEM'!$F$2:$F$2951,MATCH($A56&amp;"|"&amp;G$1,'Master - US vs THEM'!$G$2:$G$2951,0)),"")</f>
        <v>THEM</v>
      </c>
      <c r="H56" s="2" t="str">
        <f>IFERROR(INDEX('Master - US vs THEM'!$F$2:$F$2951,MATCH($A56&amp;"|"&amp;H$1,'Master - US vs THEM'!$G$2:$G$2951,0)),"")</f>
        <v>US</v>
      </c>
      <c r="I56" s="2" t="str">
        <f>IFERROR(INDEX('Master - US vs THEM'!$F$2:$F$2951,MATCH($A56&amp;"|"&amp;I$1,'Master - US vs THEM'!$G$2:$G$2951,0)),"")</f>
        <v>US</v>
      </c>
      <c r="J56" s="2" t="str">
        <f>IFERROR(INDEX('Master - US vs THEM'!$F$2:$F$2951,MATCH($A56&amp;"|"&amp;J$1,'Master - US vs THEM'!$G$2:$G$2951,0)),"")</f>
        <v>THEM</v>
      </c>
      <c r="K56" s="2" t="str">
        <f>IFERROR(INDEX('Master - US vs THEM'!$F$2:$F$2951,MATCH($A56&amp;"|"&amp;K$1,'Master - US vs THEM'!$G$2:$G$2951,0)),"")</f>
        <v>US</v>
      </c>
    </row>
    <row r="57" spans="1:11" x14ac:dyDescent="0.2">
      <c r="A57" s="2" t="str">
        <f>'[1]Brand Family Territory (Enc)'!A57</f>
        <v>Modelo Negra</v>
      </c>
      <c r="B57" s="2" t="str">
        <f>IFERROR(INDEX('Master - US vs THEM'!$F$2:$F$2951,MATCH($A57&amp;"|"&amp;B$1,'Master - US vs THEM'!$G$2:$G$2951,0)),"")</f>
        <v>US</v>
      </c>
      <c r="C57" s="2" t="str">
        <f>IFERROR(INDEX('Master - US vs THEM'!$F$2:$F$2951,MATCH($A57&amp;"|"&amp;C$1,'Master - US vs THEM'!$G$2:$G$2951,0)),"")</f>
        <v>US</v>
      </c>
      <c r="D57" s="2" t="str">
        <f>IFERROR(INDEX('Master - US vs THEM'!$F$2:$F$2951,MATCH($A57&amp;"|"&amp;D$1,'Master - US vs THEM'!$G$2:$G$2951,0)),"")</f>
        <v>US</v>
      </c>
      <c r="E57" s="2" t="str">
        <f>IFERROR(INDEX('Master - US vs THEM'!$F$2:$F$2951,MATCH($A57&amp;"|"&amp;E$1,'Master - US vs THEM'!$G$2:$G$2951,0)),"")</f>
        <v>THEM</v>
      </c>
      <c r="F57" s="2" t="str">
        <f>IFERROR(INDEX('Master - US vs THEM'!$F$2:$F$2951,MATCH($A57&amp;"|"&amp;F$1,'Master - US vs THEM'!$G$2:$G$2951,0)),"")</f>
        <v>THEM</v>
      </c>
      <c r="G57" s="2" t="str">
        <f>IFERROR(INDEX('Master - US vs THEM'!$F$2:$F$2951,MATCH($A57&amp;"|"&amp;G$1,'Master - US vs THEM'!$G$2:$G$2951,0)),"")</f>
        <v>THEM</v>
      </c>
      <c r="H57" s="2" t="str">
        <f>IFERROR(INDEX('Master - US vs THEM'!$F$2:$F$2951,MATCH($A57&amp;"|"&amp;H$1,'Master - US vs THEM'!$G$2:$G$2951,0)),"")</f>
        <v>US</v>
      </c>
      <c r="I57" s="2" t="str">
        <f>IFERROR(INDEX('Master - US vs THEM'!$F$2:$F$2951,MATCH($A57&amp;"|"&amp;I$1,'Master - US vs THEM'!$G$2:$G$2951,0)),"")</f>
        <v>US</v>
      </c>
      <c r="J57" s="2" t="str">
        <f>IFERROR(INDEX('Master - US vs THEM'!$F$2:$F$2951,MATCH($A57&amp;"|"&amp;J$1,'Master - US vs THEM'!$G$2:$G$2951,0)),"")</f>
        <v>THEM</v>
      </c>
      <c r="K57" s="2" t="str">
        <f>IFERROR(INDEX('Master - US vs THEM'!$F$2:$F$2951,MATCH($A57&amp;"|"&amp;K$1,'Master - US vs THEM'!$G$2:$G$2951,0)),"")</f>
        <v>US</v>
      </c>
    </row>
    <row r="58" spans="1:11" x14ac:dyDescent="0.2">
      <c r="A58" s="2" t="str">
        <f>'[1]Brand Family Territory (Enc)'!A58</f>
        <v>Modelo Oro</v>
      </c>
      <c r="B58" s="2" t="str">
        <f>IFERROR(INDEX('Master - US vs THEM'!$F$2:$F$2951,MATCH($A58&amp;"|"&amp;B$1,'Master - US vs THEM'!$G$2:$G$2951,0)),"")</f>
        <v>US</v>
      </c>
      <c r="C58" s="2" t="str">
        <f>IFERROR(INDEX('Master - US vs THEM'!$F$2:$F$2951,MATCH($A58&amp;"|"&amp;C$1,'Master - US vs THEM'!$G$2:$G$2951,0)),"")</f>
        <v>US</v>
      </c>
      <c r="D58" s="2" t="str">
        <f>IFERROR(INDEX('Master - US vs THEM'!$F$2:$F$2951,MATCH($A58&amp;"|"&amp;D$1,'Master - US vs THEM'!$G$2:$G$2951,0)),"")</f>
        <v>US</v>
      </c>
      <c r="E58" s="2" t="str">
        <f>IFERROR(INDEX('Master - US vs THEM'!$F$2:$F$2951,MATCH($A58&amp;"|"&amp;E$1,'Master - US vs THEM'!$G$2:$G$2951,0)),"")</f>
        <v>THEM</v>
      </c>
      <c r="F58" s="2" t="str">
        <f>IFERROR(INDEX('Master - US vs THEM'!$F$2:$F$2951,MATCH($A58&amp;"|"&amp;F$1,'Master - US vs THEM'!$G$2:$G$2951,0)),"")</f>
        <v>THEM</v>
      </c>
      <c r="G58" s="2" t="str">
        <f>IFERROR(INDEX('Master - US vs THEM'!$F$2:$F$2951,MATCH($A58&amp;"|"&amp;G$1,'Master - US vs THEM'!$G$2:$G$2951,0)),"")</f>
        <v>THEM</v>
      </c>
      <c r="H58" s="2" t="str">
        <f>IFERROR(INDEX('Master - US vs THEM'!$F$2:$F$2951,MATCH($A58&amp;"|"&amp;H$1,'Master - US vs THEM'!$G$2:$G$2951,0)),"")</f>
        <v>US</v>
      </c>
      <c r="I58" s="2" t="str">
        <f>IFERROR(INDEX('Master - US vs THEM'!$F$2:$F$2951,MATCH($A58&amp;"|"&amp;I$1,'Master - US vs THEM'!$G$2:$G$2951,0)),"")</f>
        <v>US</v>
      </c>
      <c r="J58" s="2" t="str">
        <f>IFERROR(INDEX('Master - US vs THEM'!$F$2:$F$2951,MATCH($A58&amp;"|"&amp;J$1,'Master - US vs THEM'!$G$2:$G$2951,0)),"")</f>
        <v>THEM</v>
      </c>
      <c r="K58" s="2" t="str">
        <f>IFERROR(INDEX('Master - US vs THEM'!$F$2:$F$2951,MATCH($A58&amp;"|"&amp;K$1,'Master - US vs THEM'!$G$2:$G$2951,0)),"")</f>
        <v>US</v>
      </c>
    </row>
    <row r="59" spans="1:11" x14ac:dyDescent="0.2">
      <c r="A59" s="2" t="str">
        <f>'[1]Brand Family Territory (Enc)'!A59</f>
        <v>Molson</v>
      </c>
      <c r="B59" s="2" t="str">
        <f>IFERROR(INDEX('Master - US vs THEM'!$F$2:$F$2951,MATCH($A59&amp;"|"&amp;B$1,'Master - US vs THEM'!$G$2:$G$2951,0)),"")</f>
        <v>US</v>
      </c>
      <c r="C59" s="2" t="str">
        <f>IFERROR(INDEX('Master - US vs THEM'!$F$2:$F$2951,MATCH($A59&amp;"|"&amp;C$1,'Master - US vs THEM'!$G$2:$G$2951,0)),"")</f>
        <v>US</v>
      </c>
      <c r="D59" s="2" t="str">
        <f>IFERROR(INDEX('Master - US vs THEM'!$F$2:$F$2951,MATCH($A59&amp;"|"&amp;D$1,'Master - US vs THEM'!$G$2:$G$2951,0)),"")</f>
        <v>US</v>
      </c>
      <c r="E59" s="2" t="str">
        <f>IFERROR(INDEX('Master - US vs THEM'!$F$2:$F$2951,MATCH($A59&amp;"|"&amp;E$1,'Master - US vs THEM'!$G$2:$G$2951,0)),"")</f>
        <v>THEM</v>
      </c>
      <c r="F59" s="2" t="str">
        <f>IFERROR(INDEX('Master - US vs THEM'!$F$2:$F$2951,MATCH($A59&amp;"|"&amp;F$1,'Master - US vs THEM'!$G$2:$G$2951,0)),"")</f>
        <v>THEM</v>
      </c>
      <c r="G59" s="2" t="str">
        <f>IFERROR(INDEX('Master - US vs THEM'!$F$2:$F$2951,MATCH($A59&amp;"|"&amp;G$1,'Master - US vs THEM'!$G$2:$G$2951,0)),"")</f>
        <v>THEM</v>
      </c>
      <c r="H59" s="2" t="str">
        <f>IFERROR(INDEX('Master - US vs THEM'!$F$2:$F$2951,MATCH($A59&amp;"|"&amp;H$1,'Master - US vs THEM'!$G$2:$G$2951,0)),"")</f>
        <v>US</v>
      </c>
      <c r="I59" s="2" t="str">
        <f>IFERROR(INDEX('Master - US vs THEM'!$F$2:$F$2951,MATCH($A59&amp;"|"&amp;I$1,'Master - US vs THEM'!$G$2:$G$2951,0)),"")</f>
        <v>US</v>
      </c>
      <c r="J59" s="2" t="str">
        <f>IFERROR(INDEX('Master - US vs THEM'!$F$2:$F$2951,MATCH($A59&amp;"|"&amp;J$1,'Master - US vs THEM'!$G$2:$G$2951,0)),"")</f>
        <v>THEM</v>
      </c>
      <c r="K59" s="2" t="str">
        <f>IFERROR(INDEX('Master - US vs THEM'!$F$2:$F$2951,MATCH($A59&amp;"|"&amp;K$1,'Master - US vs THEM'!$G$2:$G$2951,0)),"")</f>
        <v>US</v>
      </c>
    </row>
    <row r="60" spans="1:11" x14ac:dyDescent="0.2">
      <c r="A60" s="2" t="str">
        <f>'[1]Brand Family Territory (Enc)'!A60</f>
        <v>Moosehead</v>
      </c>
      <c r="B60" s="2" t="str">
        <f>IFERROR(INDEX('Master - US vs THEM'!$F$2:$F$2951,MATCH($A60&amp;"|"&amp;B$1,'Master - US vs THEM'!$G$2:$G$2951,0)),"")</f>
        <v>US</v>
      </c>
      <c r="C60" s="2" t="str">
        <f>IFERROR(INDEX('Master - US vs THEM'!$F$2:$F$2951,MATCH($A60&amp;"|"&amp;C$1,'Master - US vs THEM'!$G$2:$G$2951,0)),"")</f>
        <v>US</v>
      </c>
      <c r="D60" s="2" t="str">
        <f>IFERROR(INDEX('Master - US vs THEM'!$F$2:$F$2951,MATCH($A60&amp;"|"&amp;D$1,'Master - US vs THEM'!$G$2:$G$2951,0)),"")</f>
        <v>US</v>
      </c>
      <c r="E60" s="2" t="str">
        <f>IFERROR(INDEX('Master - US vs THEM'!$F$2:$F$2951,MATCH($A60&amp;"|"&amp;E$1,'Master - US vs THEM'!$G$2:$G$2951,0)),"")</f>
        <v>THEM</v>
      </c>
      <c r="F60" s="2" t="str">
        <f>IFERROR(INDEX('Master - US vs THEM'!$F$2:$F$2951,MATCH($A60&amp;"|"&amp;F$1,'Master - US vs THEM'!$G$2:$G$2951,0)),"")</f>
        <v>THEM</v>
      </c>
      <c r="G60" s="2" t="str">
        <f>IFERROR(INDEX('Master - US vs THEM'!$F$2:$F$2951,MATCH($A60&amp;"|"&amp;G$1,'Master - US vs THEM'!$G$2:$G$2951,0)),"")</f>
        <v>THEM</v>
      </c>
      <c r="H60" s="2" t="str">
        <f>IFERROR(INDEX('Master - US vs THEM'!$F$2:$F$2951,MATCH($A60&amp;"|"&amp;H$1,'Master - US vs THEM'!$G$2:$G$2951,0)),"")</f>
        <v>US</v>
      </c>
      <c r="I60" s="2" t="str">
        <f>IFERROR(INDEX('Master - US vs THEM'!$F$2:$F$2951,MATCH($A60&amp;"|"&amp;I$1,'Master - US vs THEM'!$G$2:$G$2951,0)),"")</f>
        <v>US</v>
      </c>
      <c r="J60" s="2" t="str">
        <f>IFERROR(INDEX('Master - US vs THEM'!$F$2:$F$2951,MATCH($A60&amp;"|"&amp;J$1,'Master - US vs THEM'!$G$2:$G$2951,0)),"")</f>
        <v>THEM</v>
      </c>
      <c r="K60" s="2" t="str">
        <f>IFERROR(INDEX('Master - US vs THEM'!$F$2:$F$2951,MATCH($A60&amp;"|"&amp;K$1,'Master - US vs THEM'!$G$2:$G$2951,0)),"")</f>
        <v>US</v>
      </c>
    </row>
    <row r="61" spans="1:11" x14ac:dyDescent="0.2">
      <c r="A61" s="2" t="str">
        <f>'[1]Brand Family Territory (Enc)'!A61</f>
        <v>Mxd Cocktails</v>
      </c>
      <c r="B61" s="2" t="str">
        <f>IFERROR(INDEX('Master - US vs THEM'!$F$2:$F$2951,MATCH($A61&amp;"|"&amp;B$1,'Master - US vs THEM'!$G$2:$G$2951,0)),"")</f>
        <v>US</v>
      </c>
      <c r="C61" s="2" t="str">
        <f>IFERROR(INDEX('Master - US vs THEM'!$F$2:$F$2951,MATCH($A61&amp;"|"&amp;C$1,'Master - US vs THEM'!$G$2:$G$2951,0)),"")</f>
        <v>US</v>
      </c>
      <c r="D61" s="2" t="str">
        <f>IFERROR(INDEX('Master - US vs THEM'!$F$2:$F$2951,MATCH($A61&amp;"|"&amp;D$1,'Master - US vs THEM'!$G$2:$G$2951,0)),"")</f>
        <v>US</v>
      </c>
      <c r="E61" s="2" t="str">
        <f>IFERROR(INDEX('Master - US vs THEM'!$F$2:$F$2951,MATCH($A61&amp;"|"&amp;E$1,'Master - US vs THEM'!$G$2:$G$2951,0)),"")</f>
        <v>THEM</v>
      </c>
      <c r="F61" s="2" t="str">
        <f>IFERROR(INDEX('Master - US vs THEM'!$F$2:$F$2951,MATCH($A61&amp;"|"&amp;F$1,'Master - US vs THEM'!$G$2:$G$2951,0)),"")</f>
        <v>THEM</v>
      </c>
      <c r="G61" s="2" t="str">
        <f>IFERROR(INDEX('Master - US vs THEM'!$F$2:$F$2951,MATCH($A61&amp;"|"&amp;G$1,'Master - US vs THEM'!$G$2:$G$2951,0)),"")</f>
        <v>THEM</v>
      </c>
      <c r="H61" s="2" t="str">
        <f>IFERROR(INDEX('Master - US vs THEM'!$F$2:$F$2951,MATCH($A61&amp;"|"&amp;H$1,'Master - US vs THEM'!$G$2:$G$2951,0)),"")</f>
        <v>US</v>
      </c>
      <c r="I61" s="2" t="str">
        <f>IFERROR(INDEX('Master - US vs THEM'!$F$2:$F$2951,MATCH($A61&amp;"|"&amp;I$1,'Master - US vs THEM'!$G$2:$G$2951,0)),"")</f>
        <v>US</v>
      </c>
      <c r="J61" s="2" t="str">
        <f>IFERROR(INDEX('Master - US vs THEM'!$F$2:$F$2951,MATCH($A61&amp;"|"&amp;J$1,'Master - US vs THEM'!$G$2:$G$2951,0)),"")</f>
        <v>THEM</v>
      </c>
      <c r="K61" s="2" t="str">
        <f>IFERROR(INDEX('Master - US vs THEM'!$F$2:$F$2951,MATCH($A61&amp;"|"&amp;K$1,'Master - US vs THEM'!$G$2:$G$2951,0)),"")</f>
        <v>US</v>
      </c>
    </row>
    <row r="62" spans="1:11" x14ac:dyDescent="0.2">
      <c r="A62" s="2" t="str">
        <f>'[1]Brand Family Territory (Enc)'!A62</f>
        <v>Del's Shandy</v>
      </c>
      <c r="B62" s="2" t="str">
        <f>IFERROR(INDEX('Master - US vs THEM'!$F$2:$F$2951,MATCH($A62&amp;"|"&amp;B$1,'Master - US vs THEM'!$G$2:$G$2951,0)),"")</f>
        <v>US</v>
      </c>
      <c r="C62" s="2" t="str">
        <f>IFERROR(INDEX('Master - US vs THEM'!$F$2:$F$2951,MATCH($A62&amp;"|"&amp;C$1,'Master - US vs THEM'!$G$2:$G$2951,0)),"")</f>
        <v>US</v>
      </c>
      <c r="D62" s="2" t="str">
        <f>IFERROR(INDEX('Master - US vs THEM'!$F$2:$F$2951,MATCH($A62&amp;"|"&amp;D$1,'Master - US vs THEM'!$G$2:$G$2951,0)),"")</f>
        <v>US</v>
      </c>
      <c r="E62" s="2" t="str">
        <f>IFERROR(INDEX('Master - US vs THEM'!$F$2:$F$2951,MATCH($A62&amp;"|"&amp;E$1,'Master - US vs THEM'!$G$2:$G$2951,0)),"")</f>
        <v>THEM</v>
      </c>
      <c r="F62" s="2" t="str">
        <f>IFERROR(INDEX('Master - US vs THEM'!$F$2:$F$2951,MATCH($A62&amp;"|"&amp;F$1,'Master - US vs THEM'!$G$2:$G$2951,0)),"")</f>
        <v>THEM</v>
      </c>
      <c r="G62" s="2" t="str">
        <f>IFERROR(INDEX('Master - US vs THEM'!$F$2:$F$2951,MATCH($A62&amp;"|"&amp;G$1,'Master - US vs THEM'!$G$2:$G$2951,0)),"")</f>
        <v>THEM</v>
      </c>
      <c r="H62" s="2" t="str">
        <f>IFERROR(INDEX('Master - US vs THEM'!$F$2:$F$2951,MATCH($A62&amp;"|"&amp;H$1,'Master - US vs THEM'!$G$2:$G$2951,0)),"")</f>
        <v>US</v>
      </c>
      <c r="I62" s="2" t="str">
        <f>IFERROR(INDEX('Master - US vs THEM'!$F$2:$F$2951,MATCH($A62&amp;"|"&amp;I$1,'Master - US vs THEM'!$G$2:$G$2951,0)),"")</f>
        <v>US</v>
      </c>
      <c r="J62" s="2" t="str">
        <f>IFERROR(INDEX('Master - US vs THEM'!$F$2:$F$2951,MATCH($A62&amp;"|"&amp;J$1,'Master - US vs THEM'!$G$2:$G$2951,0)),"")</f>
        <v>THEM</v>
      </c>
      <c r="K62" s="2" t="str">
        <f>IFERROR(INDEX('Master - US vs THEM'!$F$2:$F$2951,MATCH($A62&amp;"|"&amp;K$1,'Master - US vs THEM'!$G$2:$G$2951,0)),"")</f>
        <v>US</v>
      </c>
    </row>
    <row r="63" spans="1:11" x14ac:dyDescent="0.2">
      <c r="A63" s="2" t="str">
        <f>'[1]Brand Family Territory (Enc)'!A63</f>
        <v>Narragansett</v>
      </c>
      <c r="B63" s="2" t="str">
        <f>IFERROR(INDEX('Master - US vs THEM'!$F$2:$F$2951,MATCH($A63&amp;"|"&amp;B$1,'Master - US vs THEM'!$G$2:$G$2951,0)),"")</f>
        <v>US</v>
      </c>
      <c r="C63" s="2" t="str">
        <f>IFERROR(INDEX('Master - US vs THEM'!$F$2:$F$2951,MATCH($A63&amp;"|"&amp;C$1,'Master - US vs THEM'!$G$2:$G$2951,0)),"")</f>
        <v>US</v>
      </c>
      <c r="D63" s="2" t="str">
        <f>IFERROR(INDEX('Master - US vs THEM'!$F$2:$F$2951,MATCH($A63&amp;"|"&amp;D$1,'Master - US vs THEM'!$G$2:$G$2951,0)),"")</f>
        <v>US</v>
      </c>
      <c r="E63" s="2" t="str">
        <f>IFERROR(INDEX('Master - US vs THEM'!$F$2:$F$2951,MATCH($A63&amp;"|"&amp;E$1,'Master - US vs THEM'!$G$2:$G$2951,0)),"")</f>
        <v>THEM</v>
      </c>
      <c r="F63" s="2" t="str">
        <f>IFERROR(INDEX('Master - US vs THEM'!$F$2:$F$2951,MATCH($A63&amp;"|"&amp;F$1,'Master - US vs THEM'!$G$2:$G$2951,0)),"")</f>
        <v>THEM</v>
      </c>
      <c r="G63" s="2" t="str">
        <f>IFERROR(INDEX('Master - US vs THEM'!$F$2:$F$2951,MATCH($A63&amp;"|"&amp;G$1,'Master - US vs THEM'!$G$2:$G$2951,0)),"")</f>
        <v>THEM</v>
      </c>
      <c r="H63" s="2" t="str">
        <f>IFERROR(INDEX('Master - US vs THEM'!$F$2:$F$2951,MATCH($A63&amp;"|"&amp;H$1,'Master - US vs THEM'!$G$2:$G$2951,0)),"")</f>
        <v>US</v>
      </c>
      <c r="I63" s="2" t="str">
        <f>IFERROR(INDEX('Master - US vs THEM'!$F$2:$F$2951,MATCH($A63&amp;"|"&amp;I$1,'Master - US vs THEM'!$G$2:$G$2951,0)),"")</f>
        <v>US</v>
      </c>
      <c r="J63" s="2" t="str">
        <f>IFERROR(INDEX('Master - US vs THEM'!$F$2:$F$2951,MATCH($A63&amp;"|"&amp;J$1,'Master - US vs THEM'!$G$2:$G$2951,0)),"")</f>
        <v>THEM</v>
      </c>
      <c r="K63" s="2" t="str">
        <f>IFERROR(INDEX('Master - US vs THEM'!$F$2:$F$2951,MATCH($A63&amp;"|"&amp;K$1,'Master - US vs THEM'!$G$2:$G$2951,0)),"")</f>
        <v>US</v>
      </c>
    </row>
    <row r="64" spans="1:11" x14ac:dyDescent="0.2">
      <c r="A64" s="2" t="str">
        <f>'[1]Brand Family Territory (Enc)'!A64</f>
        <v>New Belgium Brewing Company</v>
      </c>
      <c r="B64" s="2" t="str">
        <f>IFERROR(INDEX('Master - US vs THEM'!$F$2:$F$2951,MATCH($A64&amp;"|"&amp;B$1,'Master - US vs THEM'!$G$2:$G$2951,0)),"")</f>
        <v>US</v>
      </c>
      <c r="C64" s="2" t="str">
        <f>IFERROR(INDEX('Master - US vs THEM'!$F$2:$F$2951,MATCH($A64&amp;"|"&amp;C$1,'Master - US vs THEM'!$G$2:$G$2951,0)),"")</f>
        <v>US</v>
      </c>
      <c r="D64" s="2" t="str">
        <f>IFERROR(INDEX('Master - US vs THEM'!$F$2:$F$2951,MATCH($A64&amp;"|"&amp;D$1,'Master - US vs THEM'!$G$2:$G$2951,0)),"")</f>
        <v>US</v>
      </c>
      <c r="E64" s="2" t="str">
        <f>IFERROR(INDEX('Master - US vs THEM'!$F$2:$F$2951,MATCH($A64&amp;"|"&amp;E$1,'Master - US vs THEM'!$G$2:$G$2951,0)),"")</f>
        <v>THEM</v>
      </c>
      <c r="F64" s="2" t="str">
        <f>IFERROR(INDEX('Master - US vs THEM'!$F$2:$F$2951,MATCH($A64&amp;"|"&amp;F$1,'Master - US vs THEM'!$G$2:$G$2951,0)),"")</f>
        <v>THEM</v>
      </c>
      <c r="G64" s="2" t="str">
        <f>IFERROR(INDEX('Master - US vs THEM'!$F$2:$F$2951,MATCH($A64&amp;"|"&amp;G$1,'Master - US vs THEM'!$G$2:$G$2951,0)),"")</f>
        <v>THEM</v>
      </c>
      <c r="H64" s="2" t="str">
        <f>IFERROR(INDEX('Master - US vs THEM'!$F$2:$F$2951,MATCH($A64&amp;"|"&amp;H$1,'Master - US vs THEM'!$G$2:$G$2951,0)),"")</f>
        <v>US</v>
      </c>
      <c r="I64" s="2" t="str">
        <f>IFERROR(INDEX('Master - US vs THEM'!$F$2:$F$2951,MATCH($A64&amp;"|"&amp;I$1,'Master - US vs THEM'!$G$2:$G$2951,0)),"")</f>
        <v>US</v>
      </c>
      <c r="J64" s="2" t="str">
        <f>IFERROR(INDEX('Master - US vs THEM'!$F$2:$F$2951,MATCH($A64&amp;"|"&amp;J$1,'Master - US vs THEM'!$G$2:$G$2951,0)),"")</f>
        <v>THEM</v>
      </c>
      <c r="K64" s="2" t="str">
        <f>IFERROR(INDEX('Master - US vs THEM'!$F$2:$F$2951,MATCH($A64&amp;"|"&amp;K$1,'Master - US vs THEM'!$G$2:$G$2951,0)),"")</f>
        <v>US</v>
      </c>
    </row>
    <row r="65" spans="1:11" x14ac:dyDescent="0.2">
      <c r="A65" s="2" t="str">
        <f>'[1]Brand Family Territory (Enc)'!A65</f>
        <v>Voodoo Family</v>
      </c>
      <c r="B65" s="2" t="str">
        <f>IFERROR(INDEX('Master - US vs THEM'!$F$2:$F$2951,MATCH($A65&amp;"|"&amp;B$1,'Master - US vs THEM'!$G$2:$G$2951,0)),"")</f>
        <v>US</v>
      </c>
      <c r="C65" s="2" t="str">
        <f>IFERROR(INDEX('Master - US vs THEM'!$F$2:$F$2951,MATCH($A65&amp;"|"&amp;C$1,'Master - US vs THEM'!$G$2:$G$2951,0)),"")</f>
        <v>US</v>
      </c>
      <c r="D65" s="2" t="str">
        <f>IFERROR(INDEX('Master - US vs THEM'!$F$2:$F$2951,MATCH($A65&amp;"|"&amp;D$1,'Master - US vs THEM'!$G$2:$G$2951,0)),"")</f>
        <v>US</v>
      </c>
      <c r="E65" s="2" t="str">
        <f>IFERROR(INDEX('Master - US vs THEM'!$F$2:$F$2951,MATCH($A65&amp;"|"&amp;E$1,'Master - US vs THEM'!$G$2:$G$2951,0)),"")</f>
        <v>THEM</v>
      </c>
      <c r="F65" s="2" t="str">
        <f>IFERROR(INDEX('Master - US vs THEM'!$F$2:$F$2951,MATCH($A65&amp;"|"&amp;F$1,'Master - US vs THEM'!$G$2:$G$2951,0)),"")</f>
        <v>THEM</v>
      </c>
      <c r="G65" s="2" t="str">
        <f>IFERROR(INDEX('Master - US vs THEM'!$F$2:$F$2951,MATCH($A65&amp;"|"&amp;G$1,'Master - US vs THEM'!$G$2:$G$2951,0)),"")</f>
        <v>THEM</v>
      </c>
      <c r="H65" s="2" t="str">
        <f>IFERROR(INDEX('Master - US vs THEM'!$F$2:$F$2951,MATCH($A65&amp;"|"&amp;H$1,'Master - US vs THEM'!$G$2:$G$2951,0)),"")</f>
        <v>US</v>
      </c>
      <c r="I65" s="2" t="str">
        <f>IFERROR(INDEX('Master - US vs THEM'!$F$2:$F$2951,MATCH($A65&amp;"|"&amp;I$1,'Master - US vs THEM'!$G$2:$G$2951,0)),"")</f>
        <v>US</v>
      </c>
      <c r="J65" s="2" t="str">
        <f>IFERROR(INDEX('Master - US vs THEM'!$F$2:$F$2951,MATCH($A65&amp;"|"&amp;J$1,'Master - US vs THEM'!$G$2:$G$2951,0)),"")</f>
        <v>THEM</v>
      </c>
      <c r="K65" s="2" t="str">
        <f>IFERROR(INDEX('Master - US vs THEM'!$F$2:$F$2951,MATCH($A65&amp;"|"&amp;K$1,'Master - US vs THEM'!$G$2:$G$2951,0)),"")</f>
        <v>US</v>
      </c>
    </row>
    <row r="66" spans="1:11" x14ac:dyDescent="0.2">
      <c r="A66" s="2" t="str">
        <f>'[1]Brand Family Territory (Enc)'!A66</f>
        <v>Fat Tire Family</v>
      </c>
      <c r="B66" s="2" t="str">
        <f>IFERROR(INDEX('Master - US vs THEM'!$F$2:$F$2951,MATCH($A66&amp;"|"&amp;B$1,'Master - US vs THEM'!$G$2:$G$2951,0)),"")</f>
        <v>US</v>
      </c>
      <c r="C66" s="2" t="str">
        <f>IFERROR(INDEX('Master - US vs THEM'!$F$2:$F$2951,MATCH($A66&amp;"|"&amp;C$1,'Master - US vs THEM'!$G$2:$G$2951,0)),"")</f>
        <v>US</v>
      </c>
      <c r="D66" s="2" t="str">
        <f>IFERROR(INDEX('Master - US vs THEM'!$F$2:$F$2951,MATCH($A66&amp;"|"&amp;D$1,'Master - US vs THEM'!$G$2:$G$2951,0)),"")</f>
        <v>US</v>
      </c>
      <c r="E66" s="2" t="str">
        <f>IFERROR(INDEX('Master - US vs THEM'!$F$2:$F$2951,MATCH($A66&amp;"|"&amp;E$1,'Master - US vs THEM'!$G$2:$G$2951,0)),"")</f>
        <v>THEM</v>
      </c>
      <c r="F66" s="2" t="str">
        <f>IFERROR(INDEX('Master - US vs THEM'!$F$2:$F$2951,MATCH($A66&amp;"|"&amp;F$1,'Master - US vs THEM'!$G$2:$G$2951,0)),"")</f>
        <v>THEM</v>
      </c>
      <c r="G66" s="2" t="str">
        <f>IFERROR(INDEX('Master - US vs THEM'!$F$2:$F$2951,MATCH($A66&amp;"|"&amp;G$1,'Master - US vs THEM'!$G$2:$G$2951,0)),"")</f>
        <v>THEM</v>
      </c>
      <c r="H66" s="2" t="str">
        <f>IFERROR(INDEX('Master - US vs THEM'!$F$2:$F$2951,MATCH($A66&amp;"|"&amp;H$1,'Master - US vs THEM'!$G$2:$G$2951,0)),"")</f>
        <v>US</v>
      </c>
      <c r="I66" s="2" t="str">
        <f>IFERROR(INDEX('Master - US vs THEM'!$F$2:$F$2951,MATCH($A66&amp;"|"&amp;I$1,'Master - US vs THEM'!$G$2:$G$2951,0)),"")</f>
        <v>US</v>
      </c>
      <c r="J66" s="2" t="str">
        <f>IFERROR(INDEX('Master - US vs THEM'!$F$2:$F$2951,MATCH($A66&amp;"|"&amp;J$1,'Master - US vs THEM'!$G$2:$G$2951,0)),"")</f>
        <v>THEM</v>
      </c>
      <c r="K66" s="2" t="str">
        <f>IFERROR(INDEX('Master - US vs THEM'!$F$2:$F$2951,MATCH($A66&amp;"|"&amp;K$1,'Master - US vs THEM'!$G$2:$G$2951,0)),"")</f>
        <v>US</v>
      </c>
    </row>
    <row r="67" spans="1:11" x14ac:dyDescent="0.2">
      <c r="A67" s="2" t="str">
        <f>'[1]Brand Family Territory (Enc)'!A67</f>
        <v>Voodoo Hardcharged</v>
      </c>
      <c r="B67" s="2" t="str">
        <f>IFERROR(INDEX('Master - US vs THEM'!$F$2:$F$2951,MATCH($A67&amp;"|"&amp;B$1,'Master - US vs THEM'!$G$2:$G$2951,0)),"")</f>
        <v>US</v>
      </c>
      <c r="C67" s="2" t="str">
        <f>IFERROR(INDEX('Master - US vs THEM'!$F$2:$F$2951,MATCH($A67&amp;"|"&amp;C$1,'Master - US vs THEM'!$G$2:$G$2951,0)),"")</f>
        <v>US</v>
      </c>
      <c r="D67" s="2" t="str">
        <f>IFERROR(INDEX('Master - US vs THEM'!$F$2:$F$2951,MATCH($A67&amp;"|"&amp;D$1,'Master - US vs THEM'!$G$2:$G$2951,0)),"")</f>
        <v>US</v>
      </c>
      <c r="E67" s="2" t="str">
        <f>IFERROR(INDEX('Master - US vs THEM'!$F$2:$F$2951,MATCH($A67&amp;"|"&amp;E$1,'Master - US vs THEM'!$G$2:$G$2951,0)),"")</f>
        <v>THEM</v>
      </c>
      <c r="F67" s="2" t="str">
        <f>IFERROR(INDEX('Master - US vs THEM'!$F$2:$F$2951,MATCH($A67&amp;"|"&amp;F$1,'Master - US vs THEM'!$G$2:$G$2951,0)),"")</f>
        <v>THEM</v>
      </c>
      <c r="G67" s="2" t="str">
        <f>IFERROR(INDEX('Master - US vs THEM'!$F$2:$F$2951,MATCH($A67&amp;"|"&amp;G$1,'Master - US vs THEM'!$G$2:$G$2951,0)),"")</f>
        <v>THEM</v>
      </c>
      <c r="H67" s="2" t="str">
        <f>IFERROR(INDEX('Master - US vs THEM'!$F$2:$F$2951,MATCH($A67&amp;"|"&amp;H$1,'Master - US vs THEM'!$G$2:$G$2951,0)),"")</f>
        <v>US</v>
      </c>
      <c r="I67" s="2" t="str">
        <f>IFERROR(INDEX('Master - US vs THEM'!$F$2:$F$2951,MATCH($A67&amp;"|"&amp;I$1,'Master - US vs THEM'!$G$2:$G$2951,0)),"")</f>
        <v>US</v>
      </c>
      <c r="J67" s="2" t="str">
        <f>IFERROR(INDEX('Master - US vs THEM'!$F$2:$F$2951,MATCH($A67&amp;"|"&amp;J$1,'Master - US vs THEM'!$G$2:$G$2951,0)),"")</f>
        <v>THEM</v>
      </c>
      <c r="K67" s="2" t="str">
        <f>IFERROR(INDEX('Master - US vs THEM'!$F$2:$F$2951,MATCH($A67&amp;"|"&amp;K$1,'Master - US vs THEM'!$G$2:$G$2951,0)),"")</f>
        <v>US</v>
      </c>
    </row>
    <row r="68" spans="1:11" x14ac:dyDescent="0.2">
      <c r="A68" s="2" t="str">
        <f>'[1]Brand Family Territory (Enc)'!A68</f>
        <v>Old English</v>
      </c>
      <c r="B68" s="2" t="str">
        <f>IFERROR(INDEX('Master - US vs THEM'!$F$2:$F$2951,MATCH($A68&amp;"|"&amp;B$1,'Master - US vs THEM'!$G$2:$G$2951,0)),"")</f>
        <v>US</v>
      </c>
      <c r="C68" s="2" t="str">
        <f>IFERROR(INDEX('Master - US vs THEM'!$F$2:$F$2951,MATCH($A68&amp;"|"&amp;C$1,'Master - US vs THEM'!$G$2:$G$2951,0)),"")</f>
        <v>US</v>
      </c>
      <c r="D68" s="2" t="str">
        <f>IFERROR(INDEX('Master - US vs THEM'!$F$2:$F$2951,MATCH($A68&amp;"|"&amp;D$1,'Master - US vs THEM'!$G$2:$G$2951,0)),"")</f>
        <v>US</v>
      </c>
      <c r="E68" s="2" t="str">
        <f>IFERROR(INDEX('Master - US vs THEM'!$F$2:$F$2951,MATCH($A68&amp;"|"&amp;E$1,'Master - US vs THEM'!$G$2:$G$2951,0)),"")</f>
        <v>THEM</v>
      </c>
      <c r="F68" s="2" t="str">
        <f>IFERROR(INDEX('Master - US vs THEM'!$F$2:$F$2951,MATCH($A68&amp;"|"&amp;F$1,'Master - US vs THEM'!$G$2:$G$2951,0)),"")</f>
        <v>THEM</v>
      </c>
      <c r="G68" s="2" t="str">
        <f>IFERROR(INDEX('Master - US vs THEM'!$F$2:$F$2951,MATCH($A68&amp;"|"&amp;G$1,'Master - US vs THEM'!$G$2:$G$2951,0)),"")</f>
        <v>THEM</v>
      </c>
      <c r="H68" s="2" t="str">
        <f>IFERROR(INDEX('Master - US vs THEM'!$F$2:$F$2951,MATCH($A68&amp;"|"&amp;H$1,'Master - US vs THEM'!$G$2:$G$2951,0)),"")</f>
        <v>US</v>
      </c>
      <c r="I68" s="2" t="str">
        <f>IFERROR(INDEX('Master - US vs THEM'!$F$2:$F$2951,MATCH($A68&amp;"|"&amp;I$1,'Master - US vs THEM'!$G$2:$G$2951,0)),"")</f>
        <v>US</v>
      </c>
      <c r="J68" s="2" t="str">
        <f>IFERROR(INDEX('Master - US vs THEM'!$F$2:$F$2951,MATCH($A68&amp;"|"&amp;J$1,'Master - US vs THEM'!$G$2:$G$2951,0)),"")</f>
        <v>THEM</v>
      </c>
      <c r="K68" s="2" t="str">
        <f>IFERROR(INDEX('Master - US vs THEM'!$F$2:$F$2951,MATCH($A68&amp;"|"&amp;K$1,'Master - US vs THEM'!$G$2:$G$2951,0)),"")</f>
        <v>US</v>
      </c>
    </row>
    <row r="69" spans="1:11" x14ac:dyDescent="0.2">
      <c r="A69" s="2" t="str">
        <f>'[1]Brand Family Territory (Enc)'!A69</f>
        <v>Ole</v>
      </c>
      <c r="B69" s="2" t="str">
        <f>IFERROR(INDEX('Master - US vs THEM'!$F$2:$F$2951,MATCH($A69&amp;"|"&amp;B$1,'Master - US vs THEM'!$G$2:$G$2951,0)),"")</f>
        <v>US</v>
      </c>
      <c r="C69" s="2" t="str">
        <f>IFERROR(INDEX('Master - US vs THEM'!$F$2:$F$2951,MATCH($A69&amp;"|"&amp;C$1,'Master - US vs THEM'!$G$2:$G$2951,0)),"")</f>
        <v>US</v>
      </c>
      <c r="D69" s="2" t="str">
        <f>IFERROR(INDEX('Master - US vs THEM'!$F$2:$F$2951,MATCH($A69&amp;"|"&amp;D$1,'Master - US vs THEM'!$G$2:$G$2951,0)),"")</f>
        <v>US</v>
      </c>
      <c r="E69" s="2" t="str">
        <f>IFERROR(INDEX('Master - US vs THEM'!$F$2:$F$2951,MATCH($A69&amp;"|"&amp;E$1,'Master - US vs THEM'!$G$2:$G$2951,0)),"")</f>
        <v>THEM</v>
      </c>
      <c r="F69" s="2" t="str">
        <f>IFERROR(INDEX('Master - US vs THEM'!$F$2:$F$2951,MATCH($A69&amp;"|"&amp;F$1,'Master - US vs THEM'!$G$2:$G$2951,0)),"")</f>
        <v>THEM</v>
      </c>
      <c r="G69" s="2" t="str">
        <f>IFERROR(INDEX('Master - US vs THEM'!$F$2:$F$2951,MATCH($A69&amp;"|"&amp;G$1,'Master - US vs THEM'!$G$2:$G$2951,0)),"")</f>
        <v>THEM</v>
      </c>
      <c r="H69" s="2" t="str">
        <f>IFERROR(INDEX('Master - US vs THEM'!$F$2:$F$2951,MATCH($A69&amp;"|"&amp;H$1,'Master - US vs THEM'!$G$2:$G$2951,0)),"")</f>
        <v>US</v>
      </c>
      <c r="I69" s="2" t="str">
        <f>IFERROR(INDEX('Master - US vs THEM'!$F$2:$F$2951,MATCH($A69&amp;"|"&amp;I$1,'Master - US vs THEM'!$G$2:$G$2951,0)),"")</f>
        <v>US</v>
      </c>
      <c r="J69" s="2" t="str">
        <f>IFERROR(INDEX('Master - US vs THEM'!$F$2:$F$2951,MATCH($A69&amp;"|"&amp;J$1,'Master - US vs THEM'!$G$2:$G$2951,0)),"")</f>
        <v>THEM</v>
      </c>
      <c r="K69" s="2" t="str">
        <f>IFERROR(INDEX('Master - US vs THEM'!$F$2:$F$2951,MATCH($A69&amp;"|"&amp;K$1,'Master - US vs THEM'!$G$2:$G$2951,0)),"")</f>
        <v>US</v>
      </c>
    </row>
    <row r="70" spans="1:11" x14ac:dyDescent="0.2">
      <c r="A70" s="2" t="str">
        <f>'[1]Brand Family Territory (Enc)'!A70</f>
        <v>Pacifico</v>
      </c>
      <c r="B70" s="2" t="str">
        <f>IFERROR(INDEX('Master - US vs THEM'!$F$2:$F$2951,MATCH($A70&amp;"|"&amp;B$1,'Master - US vs THEM'!$G$2:$G$2951,0)),"")</f>
        <v>US</v>
      </c>
      <c r="C70" s="2" t="str">
        <f>IFERROR(INDEX('Master - US vs THEM'!$F$2:$F$2951,MATCH($A70&amp;"|"&amp;C$1,'Master - US vs THEM'!$G$2:$G$2951,0)),"")</f>
        <v>US</v>
      </c>
      <c r="D70" s="2" t="str">
        <f>IFERROR(INDEX('Master - US vs THEM'!$F$2:$F$2951,MATCH($A70&amp;"|"&amp;D$1,'Master - US vs THEM'!$G$2:$G$2951,0)),"")</f>
        <v>US</v>
      </c>
      <c r="E70" s="2" t="str">
        <f>IFERROR(INDEX('Master - US vs THEM'!$F$2:$F$2951,MATCH($A70&amp;"|"&amp;E$1,'Master - US vs THEM'!$G$2:$G$2951,0)),"")</f>
        <v>THEM</v>
      </c>
      <c r="F70" s="2" t="str">
        <f>IFERROR(INDEX('Master - US vs THEM'!$F$2:$F$2951,MATCH($A70&amp;"|"&amp;F$1,'Master - US vs THEM'!$G$2:$G$2951,0)),"")</f>
        <v>THEM</v>
      </c>
      <c r="G70" s="2" t="str">
        <f>IFERROR(INDEX('Master - US vs THEM'!$F$2:$F$2951,MATCH($A70&amp;"|"&amp;G$1,'Master - US vs THEM'!$G$2:$G$2951,0)),"")</f>
        <v>THEM</v>
      </c>
      <c r="H70" s="2" t="str">
        <f>IFERROR(INDEX('Master - US vs THEM'!$F$2:$F$2951,MATCH($A70&amp;"|"&amp;H$1,'Master - US vs THEM'!$G$2:$G$2951,0)),"")</f>
        <v>US</v>
      </c>
      <c r="I70" s="2" t="str">
        <f>IFERROR(INDEX('Master - US vs THEM'!$F$2:$F$2951,MATCH($A70&amp;"|"&amp;I$1,'Master - US vs THEM'!$G$2:$G$2951,0)),"")</f>
        <v>US</v>
      </c>
      <c r="J70" s="2" t="str">
        <f>IFERROR(INDEX('Master - US vs THEM'!$F$2:$F$2951,MATCH($A70&amp;"|"&amp;J$1,'Master - US vs THEM'!$G$2:$G$2951,0)),"")</f>
        <v>THEM</v>
      </c>
      <c r="K70" s="2" t="str">
        <f>IFERROR(INDEX('Master - US vs THEM'!$F$2:$F$2951,MATCH($A70&amp;"|"&amp;K$1,'Master - US vs THEM'!$G$2:$G$2951,0)),"")</f>
        <v>US</v>
      </c>
    </row>
    <row r="71" spans="1:11" x14ac:dyDescent="0.2">
      <c r="A71" s="2" t="str">
        <f>'[1]Brand Family Territory (Enc)'!A71</f>
        <v>Peroni</v>
      </c>
      <c r="B71" s="2" t="str">
        <f>IFERROR(INDEX('Master - US vs THEM'!$F$2:$F$2951,MATCH($A71&amp;"|"&amp;B$1,'Master - US vs THEM'!$G$2:$G$2951,0)),"")</f>
        <v>US</v>
      </c>
      <c r="C71" s="2" t="str">
        <f>IFERROR(INDEX('Master - US vs THEM'!$F$2:$F$2951,MATCH($A71&amp;"|"&amp;C$1,'Master - US vs THEM'!$G$2:$G$2951,0)),"")</f>
        <v>US</v>
      </c>
      <c r="D71" s="2" t="str">
        <f>IFERROR(INDEX('Master - US vs THEM'!$F$2:$F$2951,MATCH($A71&amp;"|"&amp;D$1,'Master - US vs THEM'!$G$2:$G$2951,0)),"")</f>
        <v>US</v>
      </c>
      <c r="E71" s="2" t="str">
        <f>IFERROR(INDEX('Master - US vs THEM'!$F$2:$F$2951,MATCH($A71&amp;"|"&amp;E$1,'Master - US vs THEM'!$G$2:$G$2951,0)),"")</f>
        <v>THEM</v>
      </c>
      <c r="F71" s="2" t="str">
        <f>IFERROR(INDEX('Master - US vs THEM'!$F$2:$F$2951,MATCH($A71&amp;"|"&amp;F$1,'Master - US vs THEM'!$G$2:$G$2951,0)),"")</f>
        <v>THEM</v>
      </c>
      <c r="G71" s="2" t="str">
        <f>IFERROR(INDEX('Master - US vs THEM'!$F$2:$F$2951,MATCH($A71&amp;"|"&amp;G$1,'Master - US vs THEM'!$G$2:$G$2951,0)),"")</f>
        <v>THEM</v>
      </c>
      <c r="H71" s="2" t="str">
        <f>IFERROR(INDEX('Master - US vs THEM'!$F$2:$F$2951,MATCH($A71&amp;"|"&amp;H$1,'Master - US vs THEM'!$G$2:$G$2951,0)),"")</f>
        <v>US</v>
      </c>
      <c r="I71" s="2" t="str">
        <f>IFERROR(INDEX('Master - US vs THEM'!$F$2:$F$2951,MATCH($A71&amp;"|"&amp;I$1,'Master - US vs THEM'!$G$2:$G$2951,0)),"")</f>
        <v>US</v>
      </c>
      <c r="J71" s="2" t="str">
        <f>IFERROR(INDEX('Master - US vs THEM'!$F$2:$F$2951,MATCH($A71&amp;"|"&amp;J$1,'Master - US vs THEM'!$G$2:$G$2951,0)),"")</f>
        <v>THEM</v>
      </c>
      <c r="K71" s="2" t="str">
        <f>IFERROR(INDEX('Master - US vs THEM'!$F$2:$F$2951,MATCH($A71&amp;"|"&amp;K$1,'Master - US vs THEM'!$G$2:$G$2951,0)),"")</f>
        <v>US</v>
      </c>
    </row>
    <row r="72" spans="1:11" x14ac:dyDescent="0.2">
      <c r="A72" s="2" t="str">
        <f>'[1]Brand Family Territory (Enc)'!A72</f>
        <v>Pilsner Urquell</v>
      </c>
      <c r="B72" s="2" t="str">
        <f>IFERROR(INDEX('Master - US vs THEM'!$F$2:$F$2951,MATCH($A72&amp;"|"&amp;B$1,'Master - US vs THEM'!$G$2:$G$2951,0)),"")</f>
        <v>US</v>
      </c>
      <c r="C72" s="2" t="str">
        <f>IFERROR(INDEX('Master - US vs THEM'!$F$2:$F$2951,MATCH($A72&amp;"|"&amp;C$1,'Master - US vs THEM'!$G$2:$G$2951,0)),"")</f>
        <v>US</v>
      </c>
      <c r="D72" s="2" t="str">
        <f>IFERROR(INDEX('Master - US vs THEM'!$F$2:$F$2951,MATCH($A72&amp;"|"&amp;D$1,'Master - US vs THEM'!$G$2:$G$2951,0)),"")</f>
        <v>US</v>
      </c>
      <c r="E72" s="2" t="str">
        <f>IFERROR(INDEX('Master - US vs THEM'!$F$2:$F$2951,MATCH($A72&amp;"|"&amp;E$1,'Master - US vs THEM'!$G$2:$G$2951,0)),"")</f>
        <v>THEM</v>
      </c>
      <c r="F72" s="2" t="str">
        <f>IFERROR(INDEX('Master - US vs THEM'!$F$2:$F$2951,MATCH($A72&amp;"|"&amp;F$1,'Master - US vs THEM'!$G$2:$G$2951,0)),"")</f>
        <v>THEM</v>
      </c>
      <c r="G72" s="2" t="str">
        <f>IFERROR(INDEX('Master - US vs THEM'!$F$2:$F$2951,MATCH($A72&amp;"|"&amp;G$1,'Master - US vs THEM'!$G$2:$G$2951,0)),"")</f>
        <v>THEM</v>
      </c>
      <c r="H72" s="2" t="str">
        <f>IFERROR(INDEX('Master - US vs THEM'!$F$2:$F$2951,MATCH($A72&amp;"|"&amp;H$1,'Master - US vs THEM'!$G$2:$G$2951,0)),"")</f>
        <v>US</v>
      </c>
      <c r="I72" s="2" t="str">
        <f>IFERROR(INDEX('Master - US vs THEM'!$F$2:$F$2951,MATCH($A72&amp;"|"&amp;I$1,'Master - US vs THEM'!$G$2:$G$2951,0)),"")</f>
        <v>US</v>
      </c>
      <c r="J72" s="2" t="str">
        <f>IFERROR(INDEX('Master - US vs THEM'!$F$2:$F$2951,MATCH($A72&amp;"|"&amp;J$1,'Master - US vs THEM'!$G$2:$G$2951,0)),"")</f>
        <v>THEM</v>
      </c>
      <c r="K72" s="2" t="str">
        <f>IFERROR(INDEX('Master - US vs THEM'!$F$2:$F$2951,MATCH($A72&amp;"|"&amp;K$1,'Master - US vs THEM'!$G$2:$G$2951,0)),"")</f>
        <v>US</v>
      </c>
    </row>
    <row r="73" spans="1:11" x14ac:dyDescent="0.2">
      <c r="A73" s="2" t="str">
        <f>'[1]Brand Family Territory (Enc)'!A73</f>
        <v>Poggio Torselli</v>
      </c>
      <c r="B73" s="2" t="str">
        <f>IFERROR(INDEX('Master - US vs THEM'!$F$2:$F$2951,MATCH($A73&amp;"|"&amp;B$1,'Master - US vs THEM'!$G$2:$G$2951,0)),"")</f>
        <v>US</v>
      </c>
      <c r="C73" s="2" t="str">
        <f>IFERROR(INDEX('Master - US vs THEM'!$F$2:$F$2951,MATCH($A73&amp;"|"&amp;C$1,'Master - US vs THEM'!$G$2:$G$2951,0)),"")</f>
        <v>US</v>
      </c>
      <c r="D73" s="2" t="str">
        <f>IFERROR(INDEX('Master - US vs THEM'!$F$2:$F$2951,MATCH($A73&amp;"|"&amp;D$1,'Master - US vs THEM'!$G$2:$G$2951,0)),"")</f>
        <v>US</v>
      </c>
      <c r="E73" s="2" t="str">
        <f>IFERROR(INDEX('Master - US vs THEM'!$F$2:$F$2951,MATCH($A73&amp;"|"&amp;E$1,'Master - US vs THEM'!$G$2:$G$2951,0)),"")</f>
        <v>THEM</v>
      </c>
      <c r="F73" s="2" t="str">
        <f>IFERROR(INDEX('Master - US vs THEM'!$F$2:$F$2951,MATCH($A73&amp;"|"&amp;F$1,'Master - US vs THEM'!$G$2:$G$2951,0)),"")</f>
        <v>THEM</v>
      </c>
      <c r="G73" s="2" t="str">
        <f>IFERROR(INDEX('Master - US vs THEM'!$F$2:$F$2951,MATCH($A73&amp;"|"&amp;G$1,'Master - US vs THEM'!$G$2:$G$2951,0)),"")</f>
        <v>THEM</v>
      </c>
      <c r="H73" s="2" t="str">
        <f>IFERROR(INDEX('Master - US vs THEM'!$F$2:$F$2951,MATCH($A73&amp;"|"&amp;H$1,'Master - US vs THEM'!$G$2:$G$2951,0)),"")</f>
        <v>US</v>
      </c>
      <c r="I73" s="2" t="str">
        <f>IFERROR(INDEX('Master - US vs THEM'!$F$2:$F$2951,MATCH($A73&amp;"|"&amp;I$1,'Master - US vs THEM'!$G$2:$G$2951,0)),"")</f>
        <v>US</v>
      </c>
      <c r="J73" s="2" t="str">
        <f>IFERROR(INDEX('Master - US vs THEM'!$F$2:$F$2951,MATCH($A73&amp;"|"&amp;J$1,'Master - US vs THEM'!$G$2:$G$2951,0)),"")</f>
        <v>THEM</v>
      </c>
      <c r="K73" s="2" t="str">
        <f>IFERROR(INDEX('Master - US vs THEM'!$F$2:$F$2951,MATCH($A73&amp;"|"&amp;K$1,'Master - US vs THEM'!$G$2:$G$2951,0)),"")</f>
        <v>US</v>
      </c>
    </row>
    <row r="74" spans="1:11" x14ac:dyDescent="0.2">
      <c r="A74" s="2" t="str">
        <f>'[1]Brand Family Territory (Enc)'!A74</f>
        <v>Press</v>
      </c>
      <c r="B74" s="2" t="str">
        <f>IFERROR(INDEX('Master - US vs THEM'!$F$2:$F$2951,MATCH($A74&amp;"|"&amp;B$1,'Master - US vs THEM'!$G$2:$G$2951,0)),"")</f>
        <v>US</v>
      </c>
      <c r="C74" s="2" t="str">
        <f>IFERROR(INDEX('Master - US vs THEM'!$F$2:$F$2951,MATCH($A74&amp;"|"&amp;C$1,'Master - US vs THEM'!$G$2:$G$2951,0)),"")</f>
        <v>US</v>
      </c>
      <c r="D74" s="2" t="str">
        <f>IFERROR(INDEX('Master - US vs THEM'!$F$2:$F$2951,MATCH($A74&amp;"|"&amp;D$1,'Master - US vs THEM'!$G$2:$G$2951,0)),"")</f>
        <v>US</v>
      </c>
      <c r="E74" s="2" t="str">
        <f>IFERROR(INDEX('Master - US vs THEM'!$F$2:$F$2951,MATCH($A74&amp;"|"&amp;E$1,'Master - US vs THEM'!$G$2:$G$2951,0)),"")</f>
        <v>THEM</v>
      </c>
      <c r="F74" s="2" t="str">
        <f>IFERROR(INDEX('Master - US vs THEM'!$F$2:$F$2951,MATCH($A74&amp;"|"&amp;F$1,'Master - US vs THEM'!$G$2:$G$2951,0)),"")</f>
        <v>THEM</v>
      </c>
      <c r="G74" s="2" t="str">
        <f>IFERROR(INDEX('Master - US vs THEM'!$F$2:$F$2951,MATCH($A74&amp;"|"&amp;G$1,'Master - US vs THEM'!$G$2:$G$2951,0)),"")</f>
        <v>THEM</v>
      </c>
      <c r="H74" s="2" t="str">
        <f>IFERROR(INDEX('Master - US vs THEM'!$F$2:$F$2951,MATCH($A74&amp;"|"&amp;H$1,'Master - US vs THEM'!$G$2:$G$2951,0)),"")</f>
        <v>US</v>
      </c>
      <c r="I74" s="2" t="str">
        <f>IFERROR(INDEX('Master - US vs THEM'!$F$2:$F$2951,MATCH($A74&amp;"|"&amp;I$1,'Master - US vs THEM'!$G$2:$G$2951,0)),"")</f>
        <v>US</v>
      </c>
      <c r="J74" s="2" t="str">
        <f>IFERROR(INDEX('Master - US vs THEM'!$F$2:$F$2951,MATCH($A74&amp;"|"&amp;J$1,'Master - US vs THEM'!$G$2:$G$2951,0)),"")</f>
        <v>THEM</v>
      </c>
      <c r="K74" s="2" t="str">
        <f>IFERROR(INDEX('Master - US vs THEM'!$F$2:$F$2951,MATCH($A74&amp;"|"&amp;K$1,'Master - US vs THEM'!$G$2:$G$2951,0)),"")</f>
        <v>US</v>
      </c>
    </row>
    <row r="75" spans="1:11" x14ac:dyDescent="0.2">
      <c r="A75" s="2" t="str">
        <f>'[1]Brand Family Territory (Enc)'!A75</f>
        <v>Red Bull</v>
      </c>
      <c r="B75" s="2" t="str">
        <f>IFERROR(INDEX('Master - US vs THEM'!$F$2:$F$2951,MATCH($A75&amp;"|"&amp;B$1,'Master - US vs THEM'!$G$2:$G$2951,0)),"")</f>
        <v>US</v>
      </c>
      <c r="C75" s="2" t="str">
        <f>IFERROR(INDEX('Master - US vs THEM'!$F$2:$F$2951,MATCH($A75&amp;"|"&amp;C$1,'Master - US vs THEM'!$G$2:$G$2951,0)),"")</f>
        <v>US</v>
      </c>
      <c r="D75" s="2" t="str">
        <f>IFERROR(INDEX('Master - US vs THEM'!$F$2:$F$2951,MATCH($A75&amp;"|"&amp;D$1,'Master - US vs THEM'!$G$2:$G$2951,0)),"")</f>
        <v>US</v>
      </c>
      <c r="E75" s="2" t="str">
        <f>IFERROR(INDEX('Master - US vs THEM'!$F$2:$F$2951,MATCH($A75&amp;"|"&amp;E$1,'Master - US vs THEM'!$G$2:$G$2951,0)),"")</f>
        <v>THEM</v>
      </c>
      <c r="F75" s="2" t="str">
        <f>IFERROR(INDEX('Master - US vs THEM'!$F$2:$F$2951,MATCH($A75&amp;"|"&amp;F$1,'Master - US vs THEM'!$G$2:$G$2951,0)),"")</f>
        <v>THEM</v>
      </c>
      <c r="G75" s="2" t="str">
        <f>IFERROR(INDEX('Master - US vs THEM'!$F$2:$F$2951,MATCH($A75&amp;"|"&amp;G$1,'Master - US vs THEM'!$G$2:$G$2951,0)),"")</f>
        <v>THEM</v>
      </c>
      <c r="H75" s="2" t="str">
        <f>IFERROR(INDEX('Master - US vs THEM'!$F$2:$F$2951,MATCH($A75&amp;"|"&amp;H$1,'Master - US vs THEM'!$G$2:$G$2951,0)),"")</f>
        <v>US</v>
      </c>
      <c r="I75" s="2" t="str">
        <f>IFERROR(INDEX('Master - US vs THEM'!$F$2:$F$2951,MATCH($A75&amp;"|"&amp;I$1,'Master - US vs THEM'!$G$2:$G$2951,0)),"")</f>
        <v>US</v>
      </c>
      <c r="J75" s="2" t="str">
        <f>IFERROR(INDEX('Master - US vs THEM'!$F$2:$F$2951,MATCH($A75&amp;"|"&amp;J$1,'Master - US vs THEM'!$G$2:$G$2951,0)),"")</f>
        <v>THEM</v>
      </c>
      <c r="K75" s="2" t="str">
        <f>IFERROR(INDEX('Master - US vs THEM'!$F$2:$F$2951,MATCH($A75&amp;"|"&amp;K$1,'Master - US vs THEM'!$G$2:$G$2951,0)),"")</f>
        <v>US</v>
      </c>
    </row>
    <row r="76" spans="1:11" x14ac:dyDescent="0.2">
      <c r="A76" s="2" t="str">
        <f>'[1]Brand Family Territory (Enc)'!A76</f>
        <v>Redd's</v>
      </c>
      <c r="B76" s="2" t="str">
        <f>IFERROR(INDEX('Master - US vs THEM'!$F$2:$F$2951,MATCH($A76&amp;"|"&amp;B$1,'Master - US vs THEM'!$G$2:$G$2951,0)),"")</f>
        <v>US</v>
      </c>
      <c r="C76" s="2" t="str">
        <f>IFERROR(INDEX('Master - US vs THEM'!$F$2:$F$2951,MATCH($A76&amp;"|"&amp;C$1,'Master - US vs THEM'!$G$2:$G$2951,0)),"")</f>
        <v>US</v>
      </c>
      <c r="D76" s="2" t="str">
        <f>IFERROR(INDEX('Master - US vs THEM'!$F$2:$F$2951,MATCH($A76&amp;"|"&amp;D$1,'Master - US vs THEM'!$G$2:$G$2951,0)),"")</f>
        <v>US</v>
      </c>
      <c r="E76" s="2" t="str">
        <f>IFERROR(INDEX('Master - US vs THEM'!$F$2:$F$2951,MATCH($A76&amp;"|"&amp;E$1,'Master - US vs THEM'!$G$2:$G$2951,0)),"")</f>
        <v>THEM</v>
      </c>
      <c r="F76" s="2" t="str">
        <f>IFERROR(INDEX('Master - US vs THEM'!$F$2:$F$2951,MATCH($A76&amp;"|"&amp;F$1,'Master - US vs THEM'!$G$2:$G$2951,0)),"")</f>
        <v>THEM</v>
      </c>
      <c r="G76" s="2" t="str">
        <f>IFERROR(INDEX('Master - US vs THEM'!$F$2:$F$2951,MATCH($A76&amp;"|"&amp;G$1,'Master - US vs THEM'!$G$2:$G$2951,0)),"")</f>
        <v>THEM</v>
      </c>
      <c r="H76" s="2" t="str">
        <f>IFERROR(INDEX('Master - US vs THEM'!$F$2:$F$2951,MATCH($A76&amp;"|"&amp;H$1,'Master - US vs THEM'!$G$2:$G$2951,0)),"")</f>
        <v>US</v>
      </c>
      <c r="I76" s="2" t="str">
        <f>IFERROR(INDEX('Master - US vs THEM'!$F$2:$F$2951,MATCH($A76&amp;"|"&amp;I$1,'Master - US vs THEM'!$G$2:$G$2951,0)),"")</f>
        <v>US</v>
      </c>
      <c r="J76" s="2" t="str">
        <f>IFERROR(INDEX('Master - US vs THEM'!$F$2:$F$2951,MATCH($A76&amp;"|"&amp;J$1,'Master - US vs THEM'!$G$2:$G$2951,0)),"")</f>
        <v>THEM</v>
      </c>
      <c r="K76" s="2" t="str">
        <f>IFERROR(INDEX('Master - US vs THEM'!$F$2:$F$2951,MATCH($A76&amp;"|"&amp;K$1,'Master - US vs THEM'!$G$2:$G$2951,0)),"")</f>
        <v>US</v>
      </c>
    </row>
    <row r="77" spans="1:11" x14ac:dyDescent="0.2">
      <c r="A77" s="2" t="str">
        <f>'[1]Brand Family Territory (Enc)'!A77</f>
        <v>Redd's Wicked</v>
      </c>
      <c r="B77" s="2" t="str">
        <f>IFERROR(INDEX('Master - US vs THEM'!$F$2:$F$2951,MATCH($A77&amp;"|"&amp;B$1,'Master - US vs THEM'!$G$2:$G$2951,0)),"")</f>
        <v>US</v>
      </c>
      <c r="C77" s="2" t="str">
        <f>IFERROR(INDEX('Master - US vs THEM'!$F$2:$F$2951,MATCH($A77&amp;"|"&amp;C$1,'Master - US vs THEM'!$G$2:$G$2951,0)),"")</f>
        <v>US</v>
      </c>
      <c r="D77" s="2" t="str">
        <f>IFERROR(INDEX('Master - US vs THEM'!$F$2:$F$2951,MATCH($A77&amp;"|"&amp;D$1,'Master - US vs THEM'!$G$2:$G$2951,0)),"")</f>
        <v>US</v>
      </c>
      <c r="E77" s="2" t="str">
        <f>IFERROR(INDEX('Master - US vs THEM'!$F$2:$F$2951,MATCH($A77&amp;"|"&amp;E$1,'Master - US vs THEM'!$G$2:$G$2951,0)),"")</f>
        <v>THEM</v>
      </c>
      <c r="F77" s="2" t="str">
        <f>IFERROR(INDEX('Master - US vs THEM'!$F$2:$F$2951,MATCH($A77&amp;"|"&amp;F$1,'Master - US vs THEM'!$G$2:$G$2951,0)),"")</f>
        <v>THEM</v>
      </c>
      <c r="G77" s="2" t="str">
        <f>IFERROR(INDEX('Master - US vs THEM'!$F$2:$F$2951,MATCH($A77&amp;"|"&amp;G$1,'Master - US vs THEM'!$G$2:$G$2951,0)),"")</f>
        <v>THEM</v>
      </c>
      <c r="H77" s="2" t="str">
        <f>IFERROR(INDEX('Master - US vs THEM'!$F$2:$F$2951,MATCH($A77&amp;"|"&amp;H$1,'Master - US vs THEM'!$G$2:$G$2951,0)),"")</f>
        <v>US</v>
      </c>
      <c r="I77" s="2" t="str">
        <f>IFERROR(INDEX('Master - US vs THEM'!$F$2:$F$2951,MATCH($A77&amp;"|"&amp;I$1,'Master - US vs THEM'!$G$2:$G$2951,0)),"")</f>
        <v>US</v>
      </c>
      <c r="J77" s="2" t="str">
        <f>IFERROR(INDEX('Master - US vs THEM'!$F$2:$F$2951,MATCH($A77&amp;"|"&amp;J$1,'Master - US vs THEM'!$G$2:$G$2951,0)),"")</f>
        <v>THEM</v>
      </c>
      <c r="K77" s="2" t="str">
        <f>IFERROR(INDEX('Master - US vs THEM'!$F$2:$F$2951,MATCH($A77&amp;"|"&amp;K$1,'Master - US vs THEM'!$G$2:$G$2951,0)),"")</f>
        <v>US</v>
      </c>
    </row>
    <row r="78" spans="1:11" x14ac:dyDescent="0.2">
      <c r="A78" s="2" t="str">
        <f>'[1]Brand Family Territory (Enc)'!A78</f>
        <v>Samuel Adams</v>
      </c>
      <c r="B78" s="2" t="str">
        <f>IFERROR(INDEX('Master - US vs THEM'!$F$2:$F$2951,MATCH($A78&amp;"|"&amp;B$1,'Master - US vs THEM'!$G$2:$G$2951,0)),"")</f>
        <v>US</v>
      </c>
      <c r="C78" s="2" t="str">
        <f>IFERROR(INDEX('Master - US vs THEM'!$F$2:$F$2951,MATCH($A78&amp;"|"&amp;C$1,'Master - US vs THEM'!$G$2:$G$2951,0)),"")</f>
        <v>US</v>
      </c>
      <c r="D78" s="2" t="str">
        <f>IFERROR(INDEX('Master - US vs THEM'!$F$2:$F$2951,MATCH($A78&amp;"|"&amp;D$1,'Master - US vs THEM'!$G$2:$G$2951,0)),"")</f>
        <v>US</v>
      </c>
      <c r="E78" s="2" t="str">
        <f>IFERROR(INDEX('Master - US vs THEM'!$F$2:$F$2951,MATCH($A78&amp;"|"&amp;E$1,'Master - US vs THEM'!$G$2:$G$2951,0)),"")</f>
        <v>THEM</v>
      </c>
      <c r="F78" s="2" t="str">
        <f>IFERROR(INDEX('Master - US vs THEM'!$F$2:$F$2951,MATCH($A78&amp;"|"&amp;F$1,'Master - US vs THEM'!$G$2:$G$2951,0)),"")</f>
        <v>THEM</v>
      </c>
      <c r="G78" s="2" t="str">
        <f>IFERROR(INDEX('Master - US vs THEM'!$F$2:$F$2951,MATCH($A78&amp;"|"&amp;G$1,'Master - US vs THEM'!$G$2:$G$2951,0)),"")</f>
        <v>THEM</v>
      </c>
      <c r="H78" s="2" t="str">
        <f>IFERROR(INDEX('Master - US vs THEM'!$F$2:$F$2951,MATCH($A78&amp;"|"&amp;H$1,'Master - US vs THEM'!$G$2:$G$2951,0)),"")</f>
        <v>US</v>
      </c>
      <c r="I78" s="2" t="str">
        <f>IFERROR(INDEX('Master - US vs THEM'!$F$2:$F$2951,MATCH($A78&amp;"|"&amp;I$1,'Master - US vs THEM'!$G$2:$G$2951,0)),"")</f>
        <v>US</v>
      </c>
      <c r="J78" s="2" t="str">
        <f>IFERROR(INDEX('Master - US vs THEM'!$F$2:$F$2951,MATCH($A78&amp;"|"&amp;J$1,'Master - US vs THEM'!$G$2:$G$2951,0)),"")</f>
        <v>THEM</v>
      </c>
      <c r="K78" s="2" t="str">
        <f>IFERROR(INDEX('Master - US vs THEM'!$F$2:$F$2951,MATCH($A78&amp;"|"&amp;K$1,'Master - US vs THEM'!$G$2:$G$2951,0)),"")</f>
        <v>US</v>
      </c>
    </row>
    <row r="79" spans="1:11" x14ac:dyDescent="0.2">
      <c r="A79" s="2" t="str">
        <f>'[1]Brand Family Territory (Enc)'!A79</f>
        <v>Sauza</v>
      </c>
      <c r="B79" s="2" t="str">
        <f>IFERROR(INDEX('Master - US vs THEM'!$F$2:$F$2951,MATCH($A79&amp;"|"&amp;B$1,'Master - US vs THEM'!$G$2:$G$2951,0)),"")</f>
        <v>US</v>
      </c>
      <c r="C79" s="2" t="str">
        <f>IFERROR(INDEX('Master - US vs THEM'!$F$2:$F$2951,MATCH($A79&amp;"|"&amp;C$1,'Master - US vs THEM'!$G$2:$G$2951,0)),"")</f>
        <v>US</v>
      </c>
      <c r="D79" s="2" t="str">
        <f>IFERROR(INDEX('Master - US vs THEM'!$F$2:$F$2951,MATCH($A79&amp;"|"&amp;D$1,'Master - US vs THEM'!$G$2:$G$2951,0)),"")</f>
        <v>US</v>
      </c>
      <c r="E79" s="2" t="str">
        <f>IFERROR(INDEX('Master - US vs THEM'!$F$2:$F$2951,MATCH($A79&amp;"|"&amp;E$1,'Master - US vs THEM'!$G$2:$G$2951,0)),"")</f>
        <v>THEM</v>
      </c>
      <c r="F79" s="2" t="str">
        <f>IFERROR(INDEX('Master - US vs THEM'!$F$2:$F$2951,MATCH($A79&amp;"|"&amp;F$1,'Master - US vs THEM'!$G$2:$G$2951,0)),"")</f>
        <v>THEM</v>
      </c>
      <c r="G79" s="2" t="str">
        <f>IFERROR(INDEX('Master - US vs THEM'!$F$2:$F$2951,MATCH($A79&amp;"|"&amp;G$1,'Master - US vs THEM'!$G$2:$G$2951,0)),"")</f>
        <v>THEM</v>
      </c>
      <c r="H79" s="2" t="str">
        <f>IFERROR(INDEX('Master - US vs THEM'!$F$2:$F$2951,MATCH($A79&amp;"|"&amp;H$1,'Master - US vs THEM'!$G$2:$G$2951,0)),"")</f>
        <v>US</v>
      </c>
      <c r="I79" s="2" t="str">
        <f>IFERROR(INDEX('Master - US vs THEM'!$F$2:$F$2951,MATCH($A79&amp;"|"&amp;I$1,'Master - US vs THEM'!$G$2:$G$2951,0)),"")</f>
        <v>US</v>
      </c>
      <c r="J79" s="2" t="str">
        <f>IFERROR(INDEX('Master - US vs THEM'!$F$2:$F$2951,MATCH($A79&amp;"|"&amp;J$1,'Master - US vs THEM'!$G$2:$G$2951,0)),"")</f>
        <v>THEM</v>
      </c>
      <c r="K79" s="2" t="str">
        <f>IFERROR(INDEX('Master - US vs THEM'!$F$2:$F$2951,MATCH($A79&amp;"|"&amp;K$1,'Master - US vs THEM'!$G$2:$G$2951,0)),"")</f>
        <v>US</v>
      </c>
    </row>
    <row r="80" spans="1:11" x14ac:dyDescent="0.2">
      <c r="A80" s="2" t="str">
        <f>'[1]Brand Family Territory (Enc)'!A80</f>
        <v>Shiner</v>
      </c>
      <c r="B80" s="2" t="str">
        <f>IFERROR(INDEX('Master - US vs THEM'!$F$2:$F$2951,MATCH($A80&amp;"|"&amp;B$1,'Master - US vs THEM'!$G$2:$G$2951,0)),"")</f>
        <v>US</v>
      </c>
      <c r="C80" s="2" t="str">
        <f>IFERROR(INDEX('Master - US vs THEM'!$F$2:$F$2951,MATCH($A80&amp;"|"&amp;C$1,'Master - US vs THEM'!$G$2:$G$2951,0)),"")</f>
        <v>US</v>
      </c>
      <c r="D80" s="2" t="str">
        <f>IFERROR(INDEX('Master - US vs THEM'!$F$2:$F$2951,MATCH($A80&amp;"|"&amp;D$1,'Master - US vs THEM'!$G$2:$G$2951,0)),"")</f>
        <v>US</v>
      </c>
      <c r="E80" s="2" t="str">
        <f>IFERROR(INDEX('Master - US vs THEM'!$F$2:$F$2951,MATCH($A80&amp;"|"&amp;E$1,'Master - US vs THEM'!$G$2:$G$2951,0)),"")</f>
        <v>THEM</v>
      </c>
      <c r="F80" s="2" t="str">
        <f>IFERROR(INDEX('Master - US vs THEM'!$F$2:$F$2951,MATCH($A80&amp;"|"&amp;F$1,'Master - US vs THEM'!$G$2:$G$2951,0)),"")</f>
        <v>THEM</v>
      </c>
      <c r="G80" s="2" t="str">
        <f>IFERROR(INDEX('Master - US vs THEM'!$F$2:$F$2951,MATCH($A80&amp;"|"&amp;G$1,'Master - US vs THEM'!$G$2:$G$2951,0)),"")</f>
        <v>THEM</v>
      </c>
      <c r="H80" s="2" t="str">
        <f>IFERROR(INDEX('Master - US vs THEM'!$F$2:$F$2951,MATCH($A80&amp;"|"&amp;H$1,'Master - US vs THEM'!$G$2:$G$2951,0)),"")</f>
        <v>US</v>
      </c>
      <c r="I80" s="2" t="str">
        <f>IFERROR(INDEX('Master - US vs THEM'!$F$2:$F$2951,MATCH($A80&amp;"|"&amp;I$1,'Master - US vs THEM'!$G$2:$G$2951,0)),"")</f>
        <v>US</v>
      </c>
      <c r="J80" s="2" t="str">
        <f>IFERROR(INDEX('Master - US vs THEM'!$F$2:$F$2951,MATCH($A80&amp;"|"&amp;J$1,'Master - US vs THEM'!$G$2:$G$2951,0)),"")</f>
        <v>THEM</v>
      </c>
      <c r="K80" s="2" t="str">
        <f>IFERROR(INDEX('Master - US vs THEM'!$F$2:$F$2951,MATCH($A80&amp;"|"&amp;K$1,'Master - US vs THEM'!$G$2:$G$2951,0)),"")</f>
        <v>US</v>
      </c>
    </row>
    <row r="81" spans="1:11" x14ac:dyDescent="0.2">
      <c r="A81" s="2" t="str">
        <f>'[1]Brand Family Territory (Enc)'!A81</f>
        <v>Sierra Nevada</v>
      </c>
      <c r="B81" s="2" t="str">
        <f>IFERROR(INDEX('Master - US vs THEM'!$F$2:$F$2951,MATCH($A81&amp;"|"&amp;B$1,'Master - US vs THEM'!$G$2:$G$2951,0)),"")</f>
        <v>US</v>
      </c>
      <c r="C81" s="2" t="str">
        <f>IFERROR(INDEX('Master - US vs THEM'!$F$2:$F$2951,MATCH($A81&amp;"|"&amp;C$1,'Master - US vs THEM'!$G$2:$G$2951,0)),"")</f>
        <v>US</v>
      </c>
      <c r="D81" s="2" t="str">
        <f>IFERROR(INDEX('Master - US vs THEM'!$F$2:$F$2951,MATCH($A81&amp;"|"&amp;D$1,'Master - US vs THEM'!$G$2:$G$2951,0)),"")</f>
        <v>US</v>
      </c>
      <c r="E81" s="2" t="str">
        <f>IFERROR(INDEX('Master - US vs THEM'!$F$2:$F$2951,MATCH($A81&amp;"|"&amp;E$1,'Master - US vs THEM'!$G$2:$G$2951,0)),"")</f>
        <v>THEM</v>
      </c>
      <c r="F81" s="2" t="str">
        <f>IFERROR(INDEX('Master - US vs THEM'!$F$2:$F$2951,MATCH($A81&amp;"|"&amp;F$1,'Master - US vs THEM'!$G$2:$G$2951,0)),"")</f>
        <v>THEM</v>
      </c>
      <c r="G81" s="2" t="str">
        <f>IFERROR(INDEX('Master - US vs THEM'!$F$2:$F$2951,MATCH($A81&amp;"|"&amp;G$1,'Master - US vs THEM'!$G$2:$G$2951,0)),"")</f>
        <v>THEM</v>
      </c>
      <c r="H81" s="2" t="str">
        <f>IFERROR(INDEX('Master - US vs THEM'!$F$2:$F$2951,MATCH($A81&amp;"|"&amp;H$1,'Master - US vs THEM'!$G$2:$G$2951,0)),"")</f>
        <v>US</v>
      </c>
      <c r="I81" s="2" t="str">
        <f>IFERROR(INDEX('Master - US vs THEM'!$F$2:$F$2951,MATCH($A81&amp;"|"&amp;I$1,'Master - US vs THEM'!$G$2:$G$2951,0)),"")</f>
        <v>US</v>
      </c>
      <c r="J81" s="2" t="str">
        <f>IFERROR(INDEX('Master - US vs THEM'!$F$2:$F$2951,MATCH($A81&amp;"|"&amp;J$1,'Master - US vs THEM'!$G$2:$G$2951,0)),"")</f>
        <v>THEM</v>
      </c>
      <c r="K81" s="2" t="str">
        <f>IFERROR(INDEX('Master - US vs THEM'!$F$2:$F$2951,MATCH($A81&amp;"|"&amp;K$1,'Master - US vs THEM'!$G$2:$G$2951,0)),"")</f>
        <v>US</v>
      </c>
    </row>
    <row r="82" spans="1:11" x14ac:dyDescent="0.2">
      <c r="A82" s="2" t="str">
        <f>'[1]Brand Family Territory (Enc)'!A82</f>
        <v>Simply Spiked</v>
      </c>
      <c r="B82" s="2" t="str">
        <f>IFERROR(INDEX('Master - US vs THEM'!$F$2:$F$2951,MATCH($A82&amp;"|"&amp;B$1,'Master - US vs THEM'!$G$2:$G$2951,0)),"")</f>
        <v>US</v>
      </c>
      <c r="C82" s="2" t="str">
        <f>IFERROR(INDEX('Master - US vs THEM'!$F$2:$F$2951,MATCH($A82&amp;"|"&amp;C$1,'Master - US vs THEM'!$G$2:$G$2951,0)),"")</f>
        <v>US</v>
      </c>
      <c r="D82" s="2" t="str">
        <f>IFERROR(INDEX('Master - US vs THEM'!$F$2:$F$2951,MATCH($A82&amp;"|"&amp;D$1,'Master - US vs THEM'!$G$2:$G$2951,0)),"")</f>
        <v>US</v>
      </c>
      <c r="E82" s="2" t="str">
        <f>IFERROR(INDEX('Master - US vs THEM'!$F$2:$F$2951,MATCH($A82&amp;"|"&amp;E$1,'Master - US vs THEM'!$G$2:$G$2951,0)),"")</f>
        <v>THEM</v>
      </c>
      <c r="F82" s="2" t="str">
        <f>IFERROR(INDEX('Master - US vs THEM'!$F$2:$F$2951,MATCH($A82&amp;"|"&amp;F$1,'Master - US vs THEM'!$G$2:$G$2951,0)),"")</f>
        <v>THEM</v>
      </c>
      <c r="G82" s="2" t="str">
        <f>IFERROR(INDEX('Master - US vs THEM'!$F$2:$F$2951,MATCH($A82&amp;"|"&amp;G$1,'Master - US vs THEM'!$G$2:$G$2951,0)),"")</f>
        <v>THEM</v>
      </c>
      <c r="H82" s="2" t="str">
        <f>IFERROR(INDEX('Master - US vs THEM'!$F$2:$F$2951,MATCH($A82&amp;"|"&amp;H$1,'Master - US vs THEM'!$G$2:$G$2951,0)),"")</f>
        <v>US</v>
      </c>
      <c r="I82" s="2" t="str">
        <f>IFERROR(INDEX('Master - US vs THEM'!$F$2:$F$2951,MATCH($A82&amp;"|"&amp;I$1,'Master - US vs THEM'!$G$2:$G$2951,0)),"")</f>
        <v>US</v>
      </c>
      <c r="J82" s="2" t="str">
        <f>IFERROR(INDEX('Master - US vs THEM'!$F$2:$F$2951,MATCH($A82&amp;"|"&amp;J$1,'Master - US vs THEM'!$G$2:$G$2951,0)),"")</f>
        <v>THEM</v>
      </c>
      <c r="K82" s="2" t="str">
        <f>IFERROR(INDEX('Master - US vs THEM'!$F$2:$F$2951,MATCH($A82&amp;"|"&amp;K$1,'Master - US vs THEM'!$G$2:$G$2951,0)),"")</f>
        <v>US</v>
      </c>
    </row>
    <row r="83" spans="1:11" x14ac:dyDescent="0.2">
      <c r="A83" s="2" t="str">
        <f>'[1]Brand Family Territory (Enc)'!A83</f>
        <v>Sinless Vodka Cocktail</v>
      </c>
      <c r="B83" s="2" t="str">
        <f>IFERROR(INDEX('Master - US vs THEM'!$F$2:$F$2951,MATCH($A83&amp;"|"&amp;B$1,'Master - US vs THEM'!$G$2:$G$2951,0)),"")</f>
        <v>US</v>
      </c>
      <c r="C83" s="2" t="str">
        <f>IFERROR(INDEX('Master - US vs THEM'!$F$2:$F$2951,MATCH($A83&amp;"|"&amp;C$1,'Master - US vs THEM'!$G$2:$G$2951,0)),"")</f>
        <v>US</v>
      </c>
      <c r="D83" s="2" t="str">
        <f>IFERROR(INDEX('Master - US vs THEM'!$F$2:$F$2951,MATCH($A83&amp;"|"&amp;D$1,'Master - US vs THEM'!$G$2:$G$2951,0)),"")</f>
        <v>US</v>
      </c>
      <c r="E83" s="2" t="str">
        <f>IFERROR(INDEX('Master - US vs THEM'!$F$2:$F$2951,MATCH($A83&amp;"|"&amp;E$1,'Master - US vs THEM'!$G$2:$G$2951,0)),"")</f>
        <v>THEM</v>
      </c>
      <c r="F83" s="2" t="str">
        <f>IFERROR(INDEX('Master - US vs THEM'!$F$2:$F$2951,MATCH($A83&amp;"|"&amp;F$1,'Master - US vs THEM'!$G$2:$G$2951,0)),"")</f>
        <v>THEM</v>
      </c>
      <c r="G83" s="2" t="str">
        <f>IFERROR(INDEX('Master - US vs THEM'!$F$2:$F$2951,MATCH($A83&amp;"|"&amp;G$1,'Master - US vs THEM'!$G$2:$G$2951,0)),"")</f>
        <v>THEM</v>
      </c>
      <c r="H83" s="2" t="str">
        <f>IFERROR(INDEX('Master - US vs THEM'!$F$2:$F$2951,MATCH($A83&amp;"|"&amp;H$1,'Master - US vs THEM'!$G$2:$G$2951,0)),"")</f>
        <v>US</v>
      </c>
      <c r="I83" s="2" t="str">
        <f>IFERROR(INDEX('Master - US vs THEM'!$F$2:$F$2951,MATCH($A83&amp;"|"&amp;I$1,'Master - US vs THEM'!$G$2:$G$2951,0)),"")</f>
        <v>US</v>
      </c>
      <c r="J83" s="2" t="str">
        <f>IFERROR(INDEX('Master - US vs THEM'!$F$2:$F$2951,MATCH($A83&amp;"|"&amp;J$1,'Master - US vs THEM'!$G$2:$G$2951,0)),"")</f>
        <v>THEM</v>
      </c>
      <c r="K83" s="2" t="str">
        <f>IFERROR(INDEX('Master - US vs THEM'!$F$2:$F$2951,MATCH($A83&amp;"|"&amp;K$1,'Master - US vs THEM'!$G$2:$G$2951,0)),"")</f>
        <v>US</v>
      </c>
    </row>
    <row r="84" spans="1:11" x14ac:dyDescent="0.2">
      <c r="A84" s="2" t="str">
        <f>'[1]Brand Family Territory (Enc)'!A84</f>
        <v>Snow Beer</v>
      </c>
      <c r="B84" s="2" t="str">
        <f>IFERROR(INDEX('Master - US vs THEM'!$F$2:$F$2951,MATCH($A84&amp;"|"&amp;B$1,'Master - US vs THEM'!$G$2:$G$2951,0)),"")</f>
        <v>US</v>
      </c>
      <c r="C84" s="2" t="str">
        <f>IFERROR(INDEX('Master - US vs THEM'!$F$2:$F$2951,MATCH($A84&amp;"|"&amp;C$1,'Master - US vs THEM'!$G$2:$G$2951,0)),"")</f>
        <v>US</v>
      </c>
      <c r="D84" s="2" t="str">
        <f>IFERROR(INDEX('Master - US vs THEM'!$F$2:$F$2951,MATCH($A84&amp;"|"&amp;D$1,'Master - US vs THEM'!$G$2:$G$2951,0)),"")</f>
        <v>US</v>
      </c>
      <c r="E84" s="2" t="str">
        <f>IFERROR(INDEX('Master - US vs THEM'!$F$2:$F$2951,MATCH($A84&amp;"|"&amp;E$1,'Master - US vs THEM'!$G$2:$G$2951,0)),"")</f>
        <v>THEM</v>
      </c>
      <c r="F84" s="2" t="str">
        <f>IFERROR(INDEX('Master - US vs THEM'!$F$2:$F$2951,MATCH($A84&amp;"|"&amp;F$1,'Master - US vs THEM'!$G$2:$G$2951,0)),"")</f>
        <v>THEM</v>
      </c>
      <c r="G84" s="2" t="str">
        <f>IFERROR(INDEX('Master - US vs THEM'!$F$2:$F$2951,MATCH($A84&amp;"|"&amp;G$1,'Master - US vs THEM'!$G$2:$G$2951,0)),"")</f>
        <v>THEM</v>
      </c>
      <c r="H84" s="2" t="str">
        <f>IFERROR(INDEX('Master - US vs THEM'!$F$2:$F$2951,MATCH($A84&amp;"|"&amp;H$1,'Master - US vs THEM'!$G$2:$G$2951,0)),"")</f>
        <v>US</v>
      </c>
      <c r="I84" s="2" t="str">
        <f>IFERROR(INDEX('Master - US vs THEM'!$F$2:$F$2951,MATCH($A84&amp;"|"&amp;I$1,'Master - US vs THEM'!$G$2:$G$2951,0)),"")</f>
        <v>US</v>
      </c>
      <c r="J84" s="2" t="str">
        <f>IFERROR(INDEX('Master - US vs THEM'!$F$2:$F$2951,MATCH($A84&amp;"|"&amp;J$1,'Master - US vs THEM'!$G$2:$G$2951,0)),"")</f>
        <v>THEM</v>
      </c>
      <c r="K84" s="2" t="str">
        <f>IFERROR(INDEX('Master - US vs THEM'!$F$2:$F$2951,MATCH($A84&amp;"|"&amp;K$1,'Master - US vs THEM'!$G$2:$G$2951,0)),"")</f>
        <v>US</v>
      </c>
    </row>
    <row r="85" spans="1:11" x14ac:dyDescent="0.2">
      <c r="A85" s="2" t="str">
        <f>'[1]Brand Family Territory (Enc)'!A85</f>
        <v>Sol</v>
      </c>
      <c r="B85" s="2" t="str">
        <f>IFERROR(INDEX('Master - US vs THEM'!$F$2:$F$2951,MATCH($A85&amp;"|"&amp;B$1,'Master - US vs THEM'!$G$2:$G$2951,0)),"")</f>
        <v>US</v>
      </c>
      <c r="C85" s="2" t="str">
        <f>IFERROR(INDEX('Master - US vs THEM'!$F$2:$F$2951,MATCH($A85&amp;"|"&amp;C$1,'Master - US vs THEM'!$G$2:$G$2951,0)),"")</f>
        <v>US</v>
      </c>
      <c r="D85" s="2" t="str">
        <f>IFERROR(INDEX('Master - US vs THEM'!$F$2:$F$2951,MATCH($A85&amp;"|"&amp;D$1,'Master - US vs THEM'!$G$2:$G$2951,0)),"")</f>
        <v>US</v>
      </c>
      <c r="E85" s="2" t="str">
        <f>IFERROR(INDEX('Master - US vs THEM'!$F$2:$F$2951,MATCH($A85&amp;"|"&amp;E$1,'Master - US vs THEM'!$G$2:$G$2951,0)),"")</f>
        <v>THEM</v>
      </c>
      <c r="F85" s="2" t="str">
        <f>IFERROR(INDEX('Master - US vs THEM'!$F$2:$F$2951,MATCH($A85&amp;"|"&amp;F$1,'Master - US vs THEM'!$G$2:$G$2951,0)),"")</f>
        <v>THEM</v>
      </c>
      <c r="G85" s="2" t="str">
        <f>IFERROR(INDEX('Master - US vs THEM'!$F$2:$F$2951,MATCH($A85&amp;"|"&amp;G$1,'Master - US vs THEM'!$G$2:$G$2951,0)),"")</f>
        <v>THEM</v>
      </c>
      <c r="H85" s="2" t="str">
        <f>IFERROR(INDEX('Master - US vs THEM'!$F$2:$F$2951,MATCH($A85&amp;"|"&amp;H$1,'Master - US vs THEM'!$G$2:$G$2951,0)),"")</f>
        <v>US</v>
      </c>
      <c r="I85" s="2" t="str">
        <f>IFERROR(INDEX('Master - US vs THEM'!$F$2:$F$2951,MATCH($A85&amp;"|"&amp;I$1,'Master - US vs THEM'!$G$2:$G$2951,0)),"")</f>
        <v>US</v>
      </c>
      <c r="J85" s="2" t="str">
        <f>IFERROR(INDEX('Master - US vs THEM'!$F$2:$F$2951,MATCH($A85&amp;"|"&amp;J$1,'Master - US vs THEM'!$G$2:$G$2951,0)),"")</f>
        <v>THEM</v>
      </c>
      <c r="K85" s="2" t="str">
        <f>IFERROR(INDEX('Master - US vs THEM'!$F$2:$F$2951,MATCH($A85&amp;"|"&amp;K$1,'Master - US vs THEM'!$G$2:$G$2951,0)),"")</f>
        <v>US</v>
      </c>
    </row>
    <row r="86" spans="1:11" x14ac:dyDescent="0.2">
      <c r="A86" s="2" t="str">
        <f>'[1]Brand Family Territory (Enc)'!A86</f>
        <v>Steel Reserve</v>
      </c>
      <c r="B86" s="2" t="str">
        <f>IFERROR(INDEX('Master - US vs THEM'!$F$2:$F$2951,MATCH($A86&amp;"|"&amp;B$1,'Master - US vs THEM'!$G$2:$G$2951,0)),"")</f>
        <v>US</v>
      </c>
      <c r="C86" s="2" t="str">
        <f>IFERROR(INDEX('Master - US vs THEM'!$F$2:$F$2951,MATCH($A86&amp;"|"&amp;C$1,'Master - US vs THEM'!$G$2:$G$2951,0)),"")</f>
        <v>US</v>
      </c>
      <c r="D86" s="2" t="str">
        <f>IFERROR(INDEX('Master - US vs THEM'!$F$2:$F$2951,MATCH($A86&amp;"|"&amp;D$1,'Master - US vs THEM'!$G$2:$G$2951,0)),"")</f>
        <v>US</v>
      </c>
      <c r="E86" s="2" t="str">
        <f>IFERROR(INDEX('Master - US vs THEM'!$F$2:$F$2951,MATCH($A86&amp;"|"&amp;E$1,'Master - US vs THEM'!$G$2:$G$2951,0)),"")</f>
        <v>THEM</v>
      </c>
      <c r="F86" s="2" t="str">
        <f>IFERROR(INDEX('Master - US vs THEM'!$F$2:$F$2951,MATCH($A86&amp;"|"&amp;F$1,'Master - US vs THEM'!$G$2:$G$2951,0)),"")</f>
        <v>THEM</v>
      </c>
      <c r="G86" s="2" t="str">
        <f>IFERROR(INDEX('Master - US vs THEM'!$F$2:$F$2951,MATCH($A86&amp;"|"&amp;G$1,'Master - US vs THEM'!$G$2:$G$2951,0)),"")</f>
        <v>THEM</v>
      </c>
      <c r="H86" s="2" t="str">
        <f>IFERROR(INDEX('Master - US vs THEM'!$F$2:$F$2951,MATCH($A86&amp;"|"&amp;H$1,'Master - US vs THEM'!$G$2:$G$2951,0)),"")</f>
        <v>US</v>
      </c>
      <c r="I86" s="2" t="str">
        <f>IFERROR(INDEX('Master - US vs THEM'!$F$2:$F$2951,MATCH($A86&amp;"|"&amp;I$1,'Master - US vs THEM'!$G$2:$G$2951,0)),"")</f>
        <v>US</v>
      </c>
      <c r="J86" s="2" t="str">
        <f>IFERROR(INDEX('Master - US vs THEM'!$F$2:$F$2951,MATCH($A86&amp;"|"&amp;J$1,'Master - US vs THEM'!$G$2:$G$2951,0)),"")</f>
        <v>THEM</v>
      </c>
      <c r="K86" s="2" t="str">
        <f>IFERROR(INDEX('Master - US vs THEM'!$F$2:$F$2951,MATCH($A86&amp;"|"&amp;K$1,'Master - US vs THEM'!$G$2:$G$2951,0)),"")</f>
        <v>US</v>
      </c>
    </row>
    <row r="87" spans="1:11" x14ac:dyDescent="0.2">
      <c r="A87" s="2" t="str">
        <f>'[1]Brand Family Territory (Enc)'!A87</f>
        <v>Steel Reserve Alloy Series</v>
      </c>
      <c r="B87" s="2" t="str">
        <f>IFERROR(INDEX('Master - US vs THEM'!$F$2:$F$2951,MATCH($A87&amp;"|"&amp;B$1,'Master - US vs THEM'!$G$2:$G$2951,0)),"")</f>
        <v>US</v>
      </c>
      <c r="C87" s="2" t="str">
        <f>IFERROR(INDEX('Master - US vs THEM'!$F$2:$F$2951,MATCH($A87&amp;"|"&amp;C$1,'Master - US vs THEM'!$G$2:$G$2951,0)),"")</f>
        <v>US</v>
      </c>
      <c r="D87" s="2" t="str">
        <f>IFERROR(INDEX('Master - US vs THEM'!$F$2:$F$2951,MATCH($A87&amp;"|"&amp;D$1,'Master - US vs THEM'!$G$2:$G$2951,0)),"")</f>
        <v>US</v>
      </c>
      <c r="E87" s="2" t="str">
        <f>IFERROR(INDEX('Master - US vs THEM'!$F$2:$F$2951,MATCH($A87&amp;"|"&amp;E$1,'Master - US vs THEM'!$G$2:$G$2951,0)),"")</f>
        <v>THEM</v>
      </c>
      <c r="F87" s="2" t="str">
        <f>IFERROR(INDEX('Master - US vs THEM'!$F$2:$F$2951,MATCH($A87&amp;"|"&amp;F$1,'Master - US vs THEM'!$G$2:$G$2951,0)),"")</f>
        <v>THEM</v>
      </c>
      <c r="G87" s="2" t="str">
        <f>IFERROR(INDEX('Master - US vs THEM'!$F$2:$F$2951,MATCH($A87&amp;"|"&amp;G$1,'Master - US vs THEM'!$G$2:$G$2951,0)),"")</f>
        <v>THEM</v>
      </c>
      <c r="H87" s="2" t="str">
        <f>IFERROR(INDEX('Master - US vs THEM'!$F$2:$F$2951,MATCH($A87&amp;"|"&amp;H$1,'Master - US vs THEM'!$G$2:$G$2951,0)),"")</f>
        <v>US</v>
      </c>
      <c r="I87" s="2" t="str">
        <f>IFERROR(INDEX('Master - US vs THEM'!$F$2:$F$2951,MATCH($A87&amp;"|"&amp;I$1,'Master - US vs THEM'!$G$2:$G$2951,0)),"")</f>
        <v>US</v>
      </c>
      <c r="J87" s="2" t="str">
        <f>IFERROR(INDEX('Master - US vs THEM'!$F$2:$F$2951,MATCH($A87&amp;"|"&amp;J$1,'Master - US vs THEM'!$G$2:$G$2951,0)),"")</f>
        <v>THEM</v>
      </c>
      <c r="K87" s="2" t="str">
        <f>IFERROR(INDEX('Master - US vs THEM'!$F$2:$F$2951,MATCH($A87&amp;"|"&amp;K$1,'Master - US vs THEM'!$G$2:$G$2951,0)),"")</f>
        <v>US</v>
      </c>
    </row>
    <row r="88" spans="1:11" x14ac:dyDescent="0.2">
      <c r="A88" s="2" t="str">
        <f>'[1]Brand Family Territory (Enc)'!A88</f>
        <v>Sun Cruiser</v>
      </c>
      <c r="B88" s="2" t="str">
        <f>IFERROR(INDEX('Master - US vs THEM'!$F$2:$F$2951,MATCH($A88&amp;"|"&amp;B$1,'Master - US vs THEM'!$G$2:$G$2951,0)),"")</f>
        <v>US</v>
      </c>
      <c r="C88" s="2" t="str">
        <f>IFERROR(INDEX('Master - US vs THEM'!$F$2:$F$2951,MATCH($A88&amp;"|"&amp;C$1,'Master - US vs THEM'!$G$2:$G$2951,0)),"")</f>
        <v>US</v>
      </c>
      <c r="D88" s="2" t="str">
        <f>IFERROR(INDEX('Master - US vs THEM'!$F$2:$F$2951,MATCH($A88&amp;"|"&amp;D$1,'Master - US vs THEM'!$G$2:$G$2951,0)),"")</f>
        <v>US</v>
      </c>
      <c r="E88" s="2" t="str">
        <f>IFERROR(INDEX('Master - US vs THEM'!$F$2:$F$2951,MATCH($A88&amp;"|"&amp;E$1,'Master - US vs THEM'!$G$2:$G$2951,0)),"")</f>
        <v>THEM</v>
      </c>
      <c r="F88" s="2" t="str">
        <f>IFERROR(INDEX('Master - US vs THEM'!$F$2:$F$2951,MATCH($A88&amp;"|"&amp;F$1,'Master - US vs THEM'!$G$2:$G$2951,0)),"")</f>
        <v>THEM</v>
      </c>
      <c r="G88" s="2" t="str">
        <f>IFERROR(INDEX('Master - US vs THEM'!$F$2:$F$2951,MATCH($A88&amp;"|"&amp;G$1,'Master - US vs THEM'!$G$2:$G$2951,0)),"")</f>
        <v>THEM</v>
      </c>
      <c r="H88" s="2" t="str">
        <f>IFERROR(INDEX('Master - US vs THEM'!$F$2:$F$2951,MATCH($A88&amp;"|"&amp;H$1,'Master - US vs THEM'!$G$2:$G$2951,0)),"")</f>
        <v>US</v>
      </c>
      <c r="I88" s="2" t="str">
        <f>IFERROR(INDEX('Master - US vs THEM'!$F$2:$F$2951,MATCH($A88&amp;"|"&amp;I$1,'Master - US vs THEM'!$G$2:$G$2951,0)),"")</f>
        <v>US</v>
      </c>
      <c r="J88" s="2" t="str">
        <f>IFERROR(INDEX('Master - US vs THEM'!$F$2:$F$2951,MATCH($A88&amp;"|"&amp;J$1,'Master - US vs THEM'!$G$2:$G$2951,0)),"")</f>
        <v>THEM</v>
      </c>
      <c r="K88" s="2" t="str">
        <f>IFERROR(INDEX('Master - US vs THEM'!$F$2:$F$2951,MATCH($A88&amp;"|"&amp;K$1,'Master - US vs THEM'!$G$2:$G$2951,0)),"")</f>
        <v>US</v>
      </c>
    </row>
    <row r="89" spans="1:11" x14ac:dyDescent="0.2">
      <c r="A89" s="2" t="str">
        <f>'[1]Brand Family Territory (Enc)'!A89</f>
        <v>The Drop</v>
      </c>
      <c r="B89" s="2" t="str">
        <f>IFERROR(INDEX('Master - US vs THEM'!$F$2:$F$2951,MATCH($A89&amp;"|"&amp;B$1,'Master - US vs THEM'!$G$2:$G$2951,0)),"")</f>
        <v>US</v>
      </c>
      <c r="C89" s="2" t="str">
        <f>IFERROR(INDEX('Master - US vs THEM'!$F$2:$F$2951,MATCH($A89&amp;"|"&amp;C$1,'Master - US vs THEM'!$G$2:$G$2951,0)),"")</f>
        <v>US</v>
      </c>
      <c r="D89" s="2" t="str">
        <f>IFERROR(INDEX('Master - US vs THEM'!$F$2:$F$2951,MATCH($A89&amp;"|"&amp;D$1,'Master - US vs THEM'!$G$2:$G$2951,0)),"")</f>
        <v>US</v>
      </c>
      <c r="E89" s="2" t="str">
        <f>IFERROR(INDEX('Master - US vs THEM'!$F$2:$F$2951,MATCH($A89&amp;"|"&amp;E$1,'Master - US vs THEM'!$G$2:$G$2951,0)),"")</f>
        <v>THEM</v>
      </c>
      <c r="F89" s="2" t="str">
        <f>IFERROR(INDEX('Master - US vs THEM'!$F$2:$F$2951,MATCH($A89&amp;"|"&amp;F$1,'Master - US vs THEM'!$G$2:$G$2951,0)),"")</f>
        <v>THEM</v>
      </c>
      <c r="G89" s="2" t="str">
        <f>IFERROR(INDEX('Master - US vs THEM'!$F$2:$F$2951,MATCH($A89&amp;"|"&amp;G$1,'Master - US vs THEM'!$G$2:$G$2951,0)),"")</f>
        <v>THEM</v>
      </c>
      <c r="H89" s="2" t="str">
        <f>IFERROR(INDEX('Master - US vs THEM'!$F$2:$F$2951,MATCH($A89&amp;"|"&amp;H$1,'Master - US vs THEM'!$G$2:$G$2951,0)),"")</f>
        <v>US</v>
      </c>
      <c r="I89" s="2" t="str">
        <f>IFERROR(INDEX('Master - US vs THEM'!$F$2:$F$2951,MATCH($A89&amp;"|"&amp;I$1,'Master - US vs THEM'!$G$2:$G$2951,0)),"")</f>
        <v>US</v>
      </c>
      <c r="J89" s="2" t="str">
        <f>IFERROR(INDEX('Master - US vs THEM'!$F$2:$F$2951,MATCH($A89&amp;"|"&amp;J$1,'Master - US vs THEM'!$G$2:$G$2951,0)),"")</f>
        <v>THEM</v>
      </c>
      <c r="K89" s="2" t="str">
        <f>IFERROR(INDEX('Master - US vs THEM'!$F$2:$F$2951,MATCH($A89&amp;"|"&amp;K$1,'Master - US vs THEM'!$G$2:$G$2951,0)),"")</f>
        <v>US</v>
      </c>
    </row>
    <row r="90" spans="1:11" x14ac:dyDescent="0.2">
      <c r="A90" s="2" t="str">
        <f>'[1]Brand Family Territory (Enc)'!A90</f>
        <v>Topo Chico</v>
      </c>
      <c r="B90" s="2" t="str">
        <f>IFERROR(INDEX('Master - US vs THEM'!$F$2:$F$2951,MATCH($A90&amp;"|"&amp;B$1,'Master - US vs THEM'!$G$2:$G$2951,0)),"")</f>
        <v>US</v>
      </c>
      <c r="C90" s="2" t="str">
        <f>IFERROR(INDEX('Master - US vs THEM'!$F$2:$F$2951,MATCH($A90&amp;"|"&amp;C$1,'Master - US vs THEM'!$G$2:$G$2951,0)),"")</f>
        <v>US</v>
      </c>
      <c r="D90" s="2" t="str">
        <f>IFERROR(INDEX('Master - US vs THEM'!$F$2:$F$2951,MATCH($A90&amp;"|"&amp;D$1,'Master - US vs THEM'!$G$2:$G$2951,0)),"")</f>
        <v>US</v>
      </c>
      <c r="E90" s="2" t="str">
        <f>IFERROR(INDEX('Master - US vs THEM'!$F$2:$F$2951,MATCH($A90&amp;"|"&amp;E$1,'Master - US vs THEM'!$G$2:$G$2951,0)),"")</f>
        <v>THEM</v>
      </c>
      <c r="F90" s="2" t="str">
        <f>IFERROR(INDEX('Master - US vs THEM'!$F$2:$F$2951,MATCH($A90&amp;"|"&amp;F$1,'Master - US vs THEM'!$G$2:$G$2951,0)),"")</f>
        <v>THEM</v>
      </c>
      <c r="G90" s="2" t="str">
        <f>IFERROR(INDEX('Master - US vs THEM'!$F$2:$F$2951,MATCH($A90&amp;"|"&amp;G$1,'Master - US vs THEM'!$G$2:$G$2951,0)),"")</f>
        <v>THEM</v>
      </c>
      <c r="H90" s="2" t="str">
        <f>IFERROR(INDEX('Master - US vs THEM'!$F$2:$F$2951,MATCH($A90&amp;"|"&amp;H$1,'Master - US vs THEM'!$G$2:$G$2951,0)),"")</f>
        <v>US</v>
      </c>
      <c r="I90" s="2" t="str">
        <f>IFERROR(INDEX('Master - US vs THEM'!$F$2:$F$2951,MATCH($A90&amp;"|"&amp;I$1,'Master - US vs THEM'!$G$2:$G$2951,0)),"")</f>
        <v>US</v>
      </c>
      <c r="J90" s="2" t="str">
        <f>IFERROR(INDEX('Master - US vs THEM'!$F$2:$F$2951,MATCH($A90&amp;"|"&amp;J$1,'Master - US vs THEM'!$G$2:$G$2951,0)),"")</f>
        <v>THEM</v>
      </c>
      <c r="K90" s="2" t="str">
        <f>IFERROR(INDEX('Master - US vs THEM'!$F$2:$F$2951,MATCH($A90&amp;"|"&amp;K$1,'Master - US vs THEM'!$G$2:$G$2951,0)),"")</f>
        <v>US</v>
      </c>
    </row>
    <row r="91" spans="1:11" x14ac:dyDescent="0.2">
      <c r="A91" s="2" t="str">
        <f>'[1]Brand Family Territory (Enc)'!A91</f>
        <v>Truly</v>
      </c>
      <c r="B91" s="2" t="str">
        <f>IFERROR(INDEX('Master - US vs THEM'!$F$2:$F$2951,MATCH($A91&amp;"|"&amp;B$1,'Master - US vs THEM'!$G$2:$G$2951,0)),"")</f>
        <v>US</v>
      </c>
      <c r="C91" s="2" t="str">
        <f>IFERROR(INDEX('Master - US vs THEM'!$F$2:$F$2951,MATCH($A91&amp;"|"&amp;C$1,'Master - US vs THEM'!$G$2:$G$2951,0)),"")</f>
        <v>US</v>
      </c>
      <c r="D91" s="2" t="str">
        <f>IFERROR(INDEX('Master - US vs THEM'!$F$2:$F$2951,MATCH($A91&amp;"|"&amp;D$1,'Master - US vs THEM'!$G$2:$G$2951,0)),"")</f>
        <v>US</v>
      </c>
      <c r="E91" s="2" t="str">
        <f>IFERROR(INDEX('Master - US vs THEM'!$F$2:$F$2951,MATCH($A91&amp;"|"&amp;E$1,'Master - US vs THEM'!$G$2:$G$2951,0)),"")</f>
        <v>THEM</v>
      </c>
      <c r="F91" s="2" t="str">
        <f>IFERROR(INDEX('Master - US vs THEM'!$F$2:$F$2951,MATCH($A91&amp;"|"&amp;F$1,'Master - US vs THEM'!$G$2:$G$2951,0)),"")</f>
        <v>THEM</v>
      </c>
      <c r="G91" s="2" t="str">
        <f>IFERROR(INDEX('Master - US vs THEM'!$F$2:$F$2951,MATCH($A91&amp;"|"&amp;G$1,'Master - US vs THEM'!$G$2:$G$2951,0)),"")</f>
        <v>THEM</v>
      </c>
      <c r="H91" s="2" t="str">
        <f>IFERROR(INDEX('Master - US vs THEM'!$F$2:$F$2951,MATCH($A91&amp;"|"&amp;H$1,'Master - US vs THEM'!$G$2:$G$2951,0)),"")</f>
        <v>US</v>
      </c>
      <c r="I91" s="2" t="str">
        <f>IFERROR(INDEX('Master - US vs THEM'!$F$2:$F$2951,MATCH($A91&amp;"|"&amp;I$1,'Master - US vs THEM'!$G$2:$G$2951,0)),"")</f>
        <v>US</v>
      </c>
      <c r="J91" s="2" t="str">
        <f>IFERROR(INDEX('Master - US vs THEM'!$F$2:$F$2951,MATCH($A91&amp;"|"&amp;J$1,'Master - US vs THEM'!$G$2:$G$2951,0)),"")</f>
        <v>THEM</v>
      </c>
      <c r="K91" s="2" t="str">
        <f>IFERROR(INDEX('Master - US vs THEM'!$F$2:$F$2951,MATCH($A91&amp;"|"&amp;K$1,'Master - US vs THEM'!$G$2:$G$2951,0)),"")</f>
        <v>US</v>
      </c>
    </row>
    <row r="92" spans="1:11" x14ac:dyDescent="0.2">
      <c r="A92" s="2" t="str">
        <f>'[1]Brand Family Territory (Enc)'!A92</f>
        <v>Twisted Tea</v>
      </c>
      <c r="B92" s="2" t="str">
        <f>IFERROR(INDEX('Master - US vs THEM'!$F$2:$F$2951,MATCH($A92&amp;"|"&amp;B$1,'Master - US vs THEM'!$G$2:$G$2951,0)),"")</f>
        <v>US</v>
      </c>
      <c r="C92" s="2" t="str">
        <f>IFERROR(INDEX('Master - US vs THEM'!$F$2:$F$2951,MATCH($A92&amp;"|"&amp;C$1,'Master - US vs THEM'!$G$2:$G$2951,0)),"")</f>
        <v>US</v>
      </c>
      <c r="D92" s="2" t="str">
        <f>IFERROR(INDEX('Master - US vs THEM'!$F$2:$F$2951,MATCH($A92&amp;"|"&amp;D$1,'Master - US vs THEM'!$G$2:$G$2951,0)),"")</f>
        <v>US</v>
      </c>
      <c r="E92" s="2" t="str">
        <f>IFERROR(INDEX('Master - US vs THEM'!$F$2:$F$2951,MATCH($A92&amp;"|"&amp;E$1,'Master - US vs THEM'!$G$2:$G$2951,0)),"")</f>
        <v>THEM</v>
      </c>
      <c r="F92" s="2" t="str">
        <f>IFERROR(INDEX('Master - US vs THEM'!$F$2:$F$2951,MATCH($A92&amp;"|"&amp;F$1,'Master - US vs THEM'!$G$2:$G$2951,0)),"")</f>
        <v>THEM</v>
      </c>
      <c r="G92" s="2" t="str">
        <f>IFERROR(INDEX('Master - US vs THEM'!$F$2:$F$2951,MATCH($A92&amp;"|"&amp;G$1,'Master - US vs THEM'!$G$2:$G$2951,0)),"")</f>
        <v>THEM</v>
      </c>
      <c r="H92" s="2" t="str">
        <f>IFERROR(INDEX('Master - US vs THEM'!$F$2:$F$2951,MATCH($A92&amp;"|"&amp;H$1,'Master - US vs THEM'!$G$2:$G$2951,0)),"")</f>
        <v>US</v>
      </c>
      <c r="I92" s="2" t="str">
        <f>IFERROR(INDEX('Master - US vs THEM'!$F$2:$F$2951,MATCH($A92&amp;"|"&amp;I$1,'Master - US vs THEM'!$G$2:$G$2951,0)),"")</f>
        <v>US</v>
      </c>
      <c r="J92" s="2" t="str">
        <f>IFERROR(INDEX('Master - US vs THEM'!$F$2:$F$2951,MATCH($A92&amp;"|"&amp;J$1,'Master - US vs THEM'!$G$2:$G$2951,0)),"")</f>
        <v>THEM</v>
      </c>
      <c r="K92" s="2" t="str">
        <f>IFERROR(INDEX('Master - US vs THEM'!$F$2:$F$2951,MATCH($A92&amp;"|"&amp;K$1,'Master - US vs THEM'!$G$2:$G$2951,0)),"")</f>
        <v>US</v>
      </c>
    </row>
    <row r="93" spans="1:11" x14ac:dyDescent="0.2">
      <c r="A93" s="2" t="str">
        <f>'[1]Brand Family Territory (Enc)'!A93</f>
        <v>Tyskie Gronie</v>
      </c>
      <c r="B93" s="2" t="str">
        <f>IFERROR(INDEX('Master - US vs THEM'!$F$2:$F$2951,MATCH($A93&amp;"|"&amp;B$1,'Master - US vs THEM'!$G$2:$G$2951,0)),"")</f>
        <v>US</v>
      </c>
      <c r="C93" s="2" t="str">
        <f>IFERROR(INDEX('Master - US vs THEM'!$F$2:$F$2951,MATCH($A93&amp;"|"&amp;C$1,'Master - US vs THEM'!$G$2:$G$2951,0)),"")</f>
        <v>US</v>
      </c>
      <c r="D93" s="2" t="str">
        <f>IFERROR(INDEX('Master - US vs THEM'!$F$2:$F$2951,MATCH($A93&amp;"|"&amp;D$1,'Master - US vs THEM'!$G$2:$G$2951,0)),"")</f>
        <v>US</v>
      </c>
      <c r="E93" s="2" t="str">
        <f>IFERROR(INDEX('Master - US vs THEM'!$F$2:$F$2951,MATCH($A93&amp;"|"&amp;E$1,'Master - US vs THEM'!$G$2:$G$2951,0)),"")</f>
        <v>THEM</v>
      </c>
      <c r="F93" s="2" t="str">
        <f>IFERROR(INDEX('Master - US vs THEM'!$F$2:$F$2951,MATCH($A93&amp;"|"&amp;F$1,'Master - US vs THEM'!$G$2:$G$2951,0)),"")</f>
        <v>THEM</v>
      </c>
      <c r="G93" s="2" t="str">
        <f>IFERROR(INDEX('Master - US vs THEM'!$F$2:$F$2951,MATCH($A93&amp;"|"&amp;G$1,'Master - US vs THEM'!$G$2:$G$2951,0)),"")</f>
        <v>THEM</v>
      </c>
      <c r="H93" s="2" t="str">
        <f>IFERROR(INDEX('Master - US vs THEM'!$F$2:$F$2951,MATCH($A93&amp;"|"&amp;H$1,'Master - US vs THEM'!$G$2:$G$2951,0)),"")</f>
        <v>US</v>
      </c>
      <c r="I93" s="2" t="str">
        <f>IFERROR(INDEX('Master - US vs THEM'!$F$2:$F$2951,MATCH($A93&amp;"|"&amp;I$1,'Master - US vs THEM'!$G$2:$G$2951,0)),"")</f>
        <v>US</v>
      </c>
      <c r="J93" s="2" t="str">
        <f>IFERROR(INDEX('Master - US vs THEM'!$F$2:$F$2951,MATCH($A93&amp;"|"&amp;J$1,'Master - US vs THEM'!$G$2:$G$2951,0)),"")</f>
        <v>THEM</v>
      </c>
      <c r="K93" s="2" t="str">
        <f>IFERROR(INDEX('Master - US vs THEM'!$F$2:$F$2951,MATCH($A93&amp;"|"&amp;K$1,'Master - US vs THEM'!$G$2:$G$2951,0)),"")</f>
        <v>US</v>
      </c>
    </row>
    <row r="94" spans="1:11" x14ac:dyDescent="0.2">
      <c r="A94" s="2" t="str">
        <f>'[1]Brand Family Territory (Enc)'!A94</f>
        <v>Victoria</v>
      </c>
      <c r="B94" s="2" t="str">
        <f>IFERROR(INDEX('Master - US vs THEM'!$F$2:$F$2951,MATCH($A94&amp;"|"&amp;B$1,'Master - US vs THEM'!$G$2:$G$2951,0)),"")</f>
        <v>US</v>
      </c>
      <c r="C94" s="2" t="str">
        <f>IFERROR(INDEX('Master - US vs THEM'!$F$2:$F$2951,MATCH($A94&amp;"|"&amp;C$1,'Master - US vs THEM'!$G$2:$G$2951,0)),"")</f>
        <v>US</v>
      </c>
      <c r="D94" s="2" t="str">
        <f>IFERROR(INDEX('Master - US vs THEM'!$F$2:$F$2951,MATCH($A94&amp;"|"&amp;D$1,'Master - US vs THEM'!$G$2:$G$2951,0)),"")</f>
        <v>US</v>
      </c>
      <c r="E94" s="2" t="str">
        <f>IFERROR(INDEX('Master - US vs THEM'!$F$2:$F$2951,MATCH($A94&amp;"|"&amp;E$1,'Master - US vs THEM'!$G$2:$G$2951,0)),"")</f>
        <v>THEM</v>
      </c>
      <c r="F94" s="2" t="str">
        <f>IFERROR(INDEX('Master - US vs THEM'!$F$2:$F$2951,MATCH($A94&amp;"|"&amp;F$1,'Master - US vs THEM'!$G$2:$G$2951,0)),"")</f>
        <v>THEM</v>
      </c>
      <c r="G94" s="2" t="str">
        <f>IFERROR(INDEX('Master - US vs THEM'!$F$2:$F$2951,MATCH($A94&amp;"|"&amp;G$1,'Master - US vs THEM'!$G$2:$G$2951,0)),"")</f>
        <v>THEM</v>
      </c>
      <c r="H94" s="2" t="str">
        <f>IFERROR(INDEX('Master - US vs THEM'!$F$2:$F$2951,MATCH($A94&amp;"|"&amp;H$1,'Master - US vs THEM'!$G$2:$G$2951,0)),"")</f>
        <v>US</v>
      </c>
      <c r="I94" s="2" t="str">
        <f>IFERROR(INDEX('Master - US vs THEM'!$F$2:$F$2951,MATCH($A94&amp;"|"&amp;I$1,'Master - US vs THEM'!$G$2:$G$2951,0)),"")</f>
        <v>US</v>
      </c>
      <c r="J94" s="2" t="str">
        <f>IFERROR(INDEX('Master - US vs THEM'!$F$2:$F$2951,MATCH($A94&amp;"|"&amp;J$1,'Master - US vs THEM'!$G$2:$G$2951,0)),"")</f>
        <v>THEM</v>
      </c>
      <c r="K94" s="2" t="str">
        <f>IFERROR(INDEX('Master - US vs THEM'!$F$2:$F$2951,MATCH($A94&amp;"|"&amp;K$1,'Master - US vs THEM'!$G$2:$G$2951,0)),"")</f>
        <v>US</v>
      </c>
    </row>
    <row r="95" spans="1:11" x14ac:dyDescent="0.2">
      <c r="A95" s="2" t="str">
        <f>'[1]Brand Family Territory (Enc)'!A95</f>
        <v>Vizzy</v>
      </c>
      <c r="B95" s="2" t="str">
        <f>IFERROR(INDEX('Master - US vs THEM'!$F$2:$F$2951,MATCH($A95&amp;"|"&amp;B$1,'Master - US vs THEM'!$G$2:$G$2951,0)),"")</f>
        <v>US</v>
      </c>
      <c r="C95" s="2" t="str">
        <f>IFERROR(INDEX('Master - US vs THEM'!$F$2:$F$2951,MATCH($A95&amp;"|"&amp;C$1,'Master - US vs THEM'!$G$2:$G$2951,0)),"")</f>
        <v>US</v>
      </c>
      <c r="D95" s="2" t="str">
        <f>IFERROR(INDEX('Master - US vs THEM'!$F$2:$F$2951,MATCH($A95&amp;"|"&amp;D$1,'Master - US vs THEM'!$G$2:$G$2951,0)),"")</f>
        <v>US</v>
      </c>
      <c r="E95" s="2" t="str">
        <f>IFERROR(INDEX('Master - US vs THEM'!$F$2:$F$2951,MATCH($A95&amp;"|"&amp;E$1,'Master - US vs THEM'!$G$2:$G$2951,0)),"")</f>
        <v>THEM</v>
      </c>
      <c r="F95" s="2" t="str">
        <f>IFERROR(INDEX('Master - US vs THEM'!$F$2:$F$2951,MATCH($A95&amp;"|"&amp;F$1,'Master - US vs THEM'!$G$2:$G$2951,0)),"")</f>
        <v>THEM</v>
      </c>
      <c r="G95" s="2" t="str">
        <f>IFERROR(INDEX('Master - US vs THEM'!$F$2:$F$2951,MATCH($A95&amp;"|"&amp;G$1,'Master - US vs THEM'!$G$2:$G$2951,0)),"")</f>
        <v>THEM</v>
      </c>
      <c r="H95" s="2" t="str">
        <f>IFERROR(INDEX('Master - US vs THEM'!$F$2:$F$2951,MATCH($A95&amp;"|"&amp;H$1,'Master - US vs THEM'!$G$2:$G$2951,0)),"")</f>
        <v>US</v>
      </c>
      <c r="I95" s="2" t="str">
        <f>IFERROR(INDEX('Master - US vs THEM'!$F$2:$F$2951,MATCH($A95&amp;"|"&amp;I$1,'Master - US vs THEM'!$G$2:$G$2951,0)),"")</f>
        <v>US</v>
      </c>
      <c r="J95" s="2" t="str">
        <f>IFERROR(INDEX('Master - US vs THEM'!$F$2:$F$2951,MATCH($A95&amp;"|"&amp;J$1,'Master - US vs THEM'!$G$2:$G$2951,0)),"")</f>
        <v>THEM</v>
      </c>
      <c r="K95" s="2" t="str">
        <f>IFERROR(INDEX('Master - US vs THEM'!$F$2:$F$2951,MATCH($A95&amp;"|"&amp;K$1,'Master - US vs THEM'!$G$2:$G$2951,0)),"")</f>
        <v>US</v>
      </c>
    </row>
    <row r="96" spans="1:11" x14ac:dyDescent="0.2">
      <c r="A96" s="2" t="str">
        <f>'[1]Brand Family Territory (Enc)'!A96</f>
        <v>White Claw</v>
      </c>
      <c r="B96" s="2" t="str">
        <f>IFERROR(INDEX('Master - US vs THEM'!$F$2:$F$2951,MATCH($A96&amp;"|"&amp;B$1,'Master - US vs THEM'!$G$2:$G$2951,0)),"")</f>
        <v>US</v>
      </c>
      <c r="C96" s="2" t="str">
        <f>IFERROR(INDEX('Master - US vs THEM'!$F$2:$F$2951,MATCH($A96&amp;"|"&amp;C$1,'Master - US vs THEM'!$G$2:$G$2951,0)),"")</f>
        <v>US</v>
      </c>
      <c r="D96" s="2" t="str">
        <f>IFERROR(INDEX('Master - US vs THEM'!$F$2:$F$2951,MATCH($A96&amp;"|"&amp;D$1,'Master - US vs THEM'!$G$2:$G$2951,0)),"")</f>
        <v>US</v>
      </c>
      <c r="E96" s="2" t="str">
        <f>IFERROR(INDEX('Master - US vs THEM'!$F$2:$F$2951,MATCH($A96&amp;"|"&amp;E$1,'Master - US vs THEM'!$G$2:$G$2951,0)),"")</f>
        <v>THEM</v>
      </c>
      <c r="F96" s="2" t="str">
        <f>IFERROR(INDEX('Master - US vs THEM'!$F$2:$F$2951,MATCH($A96&amp;"|"&amp;F$1,'Master - US vs THEM'!$G$2:$G$2951,0)),"")</f>
        <v>THEM</v>
      </c>
      <c r="G96" s="2" t="str">
        <f>IFERROR(INDEX('Master - US vs THEM'!$F$2:$F$2951,MATCH($A96&amp;"|"&amp;G$1,'Master - US vs THEM'!$G$2:$G$2951,0)),"")</f>
        <v>THEM</v>
      </c>
      <c r="H96" s="2" t="str">
        <f>IFERROR(INDEX('Master - US vs THEM'!$F$2:$F$2951,MATCH($A96&amp;"|"&amp;H$1,'Master - US vs THEM'!$G$2:$G$2951,0)),"")</f>
        <v>US</v>
      </c>
      <c r="I96" s="2" t="str">
        <f>IFERROR(INDEX('Master - US vs THEM'!$F$2:$F$2951,MATCH($A96&amp;"|"&amp;I$1,'Master - US vs THEM'!$G$2:$G$2951,0)),"")</f>
        <v>US</v>
      </c>
      <c r="J96" s="2" t="str">
        <f>IFERROR(INDEX('Master - US vs THEM'!$F$2:$F$2951,MATCH($A96&amp;"|"&amp;J$1,'Master - US vs THEM'!$G$2:$G$2951,0)),"")</f>
        <v>THEM</v>
      </c>
      <c r="K96" s="2" t="str">
        <f>IFERROR(INDEX('Master - US vs THEM'!$F$2:$F$2951,MATCH($A96&amp;"|"&amp;K$1,'Master - US vs THEM'!$G$2:$G$2951,0)),"")</f>
        <v>US</v>
      </c>
    </row>
    <row r="97" spans="1:11" x14ac:dyDescent="0.2">
      <c r="A97" s="2" t="str">
        <f>'[1]Brand Family Territory (Enc)'!A97</f>
        <v>Yuengling Black &amp; Tan</v>
      </c>
      <c r="B97" s="2" t="str">
        <f>IFERROR(INDEX('Master - US vs THEM'!$F$2:$F$2951,MATCH($A97&amp;"|"&amp;B$1,'Master - US vs THEM'!$G$2:$G$2951,0)),"")</f>
        <v>US</v>
      </c>
      <c r="C97" s="2" t="str">
        <f>IFERROR(INDEX('Master - US vs THEM'!$F$2:$F$2951,MATCH($A97&amp;"|"&amp;C$1,'Master - US vs THEM'!$G$2:$G$2951,0)),"")</f>
        <v>US</v>
      </c>
      <c r="D97" s="2" t="str">
        <f>IFERROR(INDEX('Master - US vs THEM'!$F$2:$F$2951,MATCH($A97&amp;"|"&amp;D$1,'Master - US vs THEM'!$G$2:$G$2951,0)),"")</f>
        <v>US</v>
      </c>
      <c r="E97" s="2" t="str">
        <f>IFERROR(INDEX('Master - US vs THEM'!$F$2:$F$2951,MATCH($A97&amp;"|"&amp;E$1,'Master - US vs THEM'!$G$2:$G$2951,0)),"")</f>
        <v>THEM</v>
      </c>
      <c r="F97" s="2" t="str">
        <f>IFERROR(INDEX('Master - US vs THEM'!$F$2:$F$2951,MATCH($A97&amp;"|"&amp;F$1,'Master - US vs THEM'!$G$2:$G$2951,0)),"")</f>
        <v>THEM</v>
      </c>
      <c r="G97" s="2" t="str">
        <f>IFERROR(INDEX('Master - US vs THEM'!$F$2:$F$2951,MATCH($A97&amp;"|"&amp;G$1,'Master - US vs THEM'!$G$2:$G$2951,0)),"")</f>
        <v>THEM</v>
      </c>
      <c r="H97" s="2" t="str">
        <f>IFERROR(INDEX('Master - US vs THEM'!$F$2:$F$2951,MATCH($A97&amp;"|"&amp;H$1,'Master - US vs THEM'!$G$2:$G$2951,0)),"")</f>
        <v>US</v>
      </c>
      <c r="I97" s="2" t="str">
        <f>IFERROR(INDEX('Master - US vs THEM'!$F$2:$F$2951,MATCH($A97&amp;"|"&amp;I$1,'Master - US vs THEM'!$G$2:$G$2951,0)),"")</f>
        <v>US</v>
      </c>
      <c r="J97" s="2" t="str">
        <f>IFERROR(INDEX('Master - US vs THEM'!$F$2:$F$2951,MATCH($A97&amp;"|"&amp;J$1,'Master - US vs THEM'!$G$2:$G$2951,0)),"")</f>
        <v>THEM</v>
      </c>
      <c r="K97" s="2" t="str">
        <f>IFERROR(INDEX('Master - US vs THEM'!$F$2:$F$2951,MATCH($A97&amp;"|"&amp;K$1,'Master - US vs THEM'!$G$2:$G$2951,0)),"")</f>
        <v>US</v>
      </c>
    </row>
    <row r="98" spans="1:11" x14ac:dyDescent="0.2">
      <c r="A98" s="2" t="str">
        <f>'[1]Brand Family Territory (Enc)'!A98</f>
        <v>Dg Yuengling Inc</v>
      </c>
      <c r="B98" s="2" t="str">
        <f>IFERROR(INDEX('Master - US vs THEM'!$F$2:$F$2951,MATCH($A98&amp;"|"&amp;B$1,'Master - US vs THEM'!$G$2:$G$2951,0)),"")</f>
        <v>US</v>
      </c>
      <c r="C98" s="2" t="str">
        <f>IFERROR(INDEX('Master - US vs THEM'!$F$2:$F$2951,MATCH($A98&amp;"|"&amp;C$1,'Master - US vs THEM'!$G$2:$G$2951,0)),"")</f>
        <v>US</v>
      </c>
      <c r="D98" s="2" t="str">
        <f>IFERROR(INDEX('Master - US vs THEM'!$F$2:$F$2951,MATCH($A98&amp;"|"&amp;D$1,'Master - US vs THEM'!$G$2:$G$2951,0)),"")</f>
        <v>US</v>
      </c>
      <c r="E98" s="2" t="str">
        <f>IFERROR(INDEX('Master - US vs THEM'!$F$2:$F$2951,MATCH($A98&amp;"|"&amp;E$1,'Master - US vs THEM'!$G$2:$G$2951,0)),"")</f>
        <v>THEM</v>
      </c>
      <c r="F98" s="2" t="str">
        <f>IFERROR(INDEX('Master - US vs THEM'!$F$2:$F$2951,MATCH($A98&amp;"|"&amp;F$1,'Master - US vs THEM'!$G$2:$G$2951,0)),"")</f>
        <v>THEM</v>
      </c>
      <c r="G98" s="2" t="str">
        <f>IFERROR(INDEX('Master - US vs THEM'!$F$2:$F$2951,MATCH($A98&amp;"|"&amp;G$1,'Master - US vs THEM'!$G$2:$G$2951,0)),"")</f>
        <v>THEM</v>
      </c>
      <c r="H98" s="2" t="str">
        <f>IFERROR(INDEX('Master - US vs THEM'!$F$2:$F$2951,MATCH($A98&amp;"|"&amp;H$1,'Master - US vs THEM'!$G$2:$G$2951,0)),"")</f>
        <v>US</v>
      </c>
      <c r="I98" s="2" t="str">
        <f>IFERROR(INDEX('Master - US vs THEM'!$F$2:$F$2951,MATCH($A98&amp;"|"&amp;I$1,'Master - US vs THEM'!$G$2:$G$2951,0)),"")</f>
        <v>US</v>
      </c>
      <c r="J98" s="2" t="str">
        <f>IFERROR(INDEX('Master - US vs THEM'!$F$2:$F$2951,MATCH($A98&amp;"|"&amp;J$1,'Master - US vs THEM'!$G$2:$G$2951,0)),"")</f>
        <v>THEM</v>
      </c>
      <c r="K98" s="2" t="str">
        <f>IFERROR(INDEX('Master - US vs THEM'!$F$2:$F$2951,MATCH($A98&amp;"|"&amp;K$1,'Master - US vs THEM'!$G$2:$G$2951,0)),"")</f>
        <v>US</v>
      </c>
    </row>
    <row r="99" spans="1:11" x14ac:dyDescent="0.2">
      <c r="A99" s="2" t="str">
        <f>'[1]Brand Family Territory (Enc)'!A99</f>
        <v>Yuengling Flight</v>
      </c>
      <c r="B99" s="2" t="str">
        <f>IFERROR(INDEX('Master - US vs THEM'!$F$2:$F$2951,MATCH($A99&amp;"|"&amp;B$1,'Master - US vs THEM'!$G$2:$G$2951,0)),"")</f>
        <v>US</v>
      </c>
      <c r="C99" s="2" t="str">
        <f>IFERROR(INDEX('Master - US vs THEM'!$F$2:$F$2951,MATCH($A99&amp;"|"&amp;C$1,'Master - US vs THEM'!$G$2:$G$2951,0)),"")</f>
        <v>US</v>
      </c>
      <c r="D99" s="2" t="str">
        <f>IFERROR(INDEX('Master - US vs THEM'!$F$2:$F$2951,MATCH($A99&amp;"|"&amp;D$1,'Master - US vs THEM'!$G$2:$G$2951,0)),"")</f>
        <v>US</v>
      </c>
      <c r="E99" s="2" t="str">
        <f>IFERROR(INDEX('Master - US vs THEM'!$F$2:$F$2951,MATCH($A99&amp;"|"&amp;E$1,'Master - US vs THEM'!$G$2:$G$2951,0)),"")</f>
        <v>THEM</v>
      </c>
      <c r="F99" s="2" t="str">
        <f>IFERROR(INDEX('Master - US vs THEM'!$F$2:$F$2951,MATCH($A99&amp;"|"&amp;F$1,'Master - US vs THEM'!$G$2:$G$2951,0)),"")</f>
        <v>THEM</v>
      </c>
      <c r="G99" s="2" t="str">
        <f>IFERROR(INDEX('Master - US vs THEM'!$F$2:$F$2951,MATCH($A99&amp;"|"&amp;G$1,'Master - US vs THEM'!$G$2:$G$2951,0)),"")</f>
        <v>THEM</v>
      </c>
      <c r="H99" s="2" t="str">
        <f>IFERROR(INDEX('Master - US vs THEM'!$F$2:$F$2951,MATCH($A99&amp;"|"&amp;H$1,'Master - US vs THEM'!$G$2:$G$2951,0)),"")</f>
        <v>US</v>
      </c>
      <c r="I99" s="2" t="str">
        <f>IFERROR(INDEX('Master - US vs THEM'!$F$2:$F$2951,MATCH($A99&amp;"|"&amp;I$1,'Master - US vs THEM'!$G$2:$G$2951,0)),"")</f>
        <v>US</v>
      </c>
      <c r="J99" s="2" t="str">
        <f>IFERROR(INDEX('Master - US vs THEM'!$F$2:$F$2951,MATCH($A99&amp;"|"&amp;J$1,'Master - US vs THEM'!$G$2:$G$2951,0)),"")</f>
        <v>THEM</v>
      </c>
      <c r="K99" s="2" t="str">
        <f>IFERROR(INDEX('Master - US vs THEM'!$F$2:$F$2951,MATCH($A99&amp;"|"&amp;K$1,'Master - US vs THEM'!$G$2:$G$2951,0)),"")</f>
        <v>US</v>
      </c>
    </row>
    <row r="100" spans="1:11" x14ac:dyDescent="0.2">
      <c r="A100" s="2" t="str">
        <f>'[1]Brand Family Territory (Enc)'!A100</f>
        <v>Yuengling Golden Pilsner</v>
      </c>
      <c r="B100" s="2" t="str">
        <f>IFERROR(INDEX('Master - US vs THEM'!$F$2:$F$2951,MATCH($A100&amp;"|"&amp;B$1,'Master - US vs THEM'!$G$2:$G$2951,0)),"")</f>
        <v>US</v>
      </c>
      <c r="C100" s="2" t="str">
        <f>IFERROR(INDEX('Master - US vs THEM'!$F$2:$F$2951,MATCH($A100&amp;"|"&amp;C$1,'Master - US vs THEM'!$G$2:$G$2951,0)),"")</f>
        <v>US</v>
      </c>
      <c r="D100" s="2" t="str">
        <f>IFERROR(INDEX('Master - US vs THEM'!$F$2:$F$2951,MATCH($A100&amp;"|"&amp;D$1,'Master - US vs THEM'!$G$2:$G$2951,0)),"")</f>
        <v>US</v>
      </c>
      <c r="E100" s="2" t="str">
        <f>IFERROR(INDEX('Master - US vs THEM'!$F$2:$F$2951,MATCH($A100&amp;"|"&amp;E$1,'Master - US vs THEM'!$G$2:$G$2951,0)),"")</f>
        <v>THEM</v>
      </c>
      <c r="F100" s="2" t="str">
        <f>IFERROR(INDEX('Master - US vs THEM'!$F$2:$F$2951,MATCH($A100&amp;"|"&amp;F$1,'Master - US vs THEM'!$G$2:$G$2951,0)),"")</f>
        <v>THEM</v>
      </c>
      <c r="G100" s="2" t="str">
        <f>IFERROR(INDEX('Master - US vs THEM'!$F$2:$F$2951,MATCH($A100&amp;"|"&amp;G$1,'Master - US vs THEM'!$G$2:$G$2951,0)),"")</f>
        <v>THEM</v>
      </c>
      <c r="H100" s="2" t="str">
        <f>IFERROR(INDEX('Master - US vs THEM'!$F$2:$F$2951,MATCH($A100&amp;"|"&amp;H$1,'Master - US vs THEM'!$G$2:$G$2951,0)),"")</f>
        <v>US</v>
      </c>
      <c r="I100" s="2" t="str">
        <f>IFERROR(INDEX('Master - US vs THEM'!$F$2:$F$2951,MATCH($A100&amp;"|"&amp;I$1,'Master - US vs THEM'!$G$2:$G$2951,0)),"")</f>
        <v>US</v>
      </c>
      <c r="J100" s="2" t="str">
        <f>IFERROR(INDEX('Master - US vs THEM'!$F$2:$F$2951,MATCH($A100&amp;"|"&amp;J$1,'Master - US vs THEM'!$G$2:$G$2951,0)),"")</f>
        <v>THEM</v>
      </c>
      <c r="K100" s="2" t="str">
        <f>IFERROR(INDEX('Master - US vs THEM'!$F$2:$F$2951,MATCH($A100&amp;"|"&amp;K$1,'Master - US vs THEM'!$G$2:$G$2951,0)),"")</f>
        <v>US</v>
      </c>
    </row>
    <row r="101" spans="1:11" x14ac:dyDescent="0.2">
      <c r="A101" s="2" t="str">
        <f>'[1]Brand Family Territory (Enc)'!A101</f>
        <v>Yuengling Lager</v>
      </c>
      <c r="B101" s="2" t="str">
        <f>IFERROR(INDEX('Master - US vs THEM'!$F$2:$F$2951,MATCH($A101&amp;"|"&amp;B$1,'Master - US vs THEM'!$G$2:$G$2951,0)),"")</f>
        <v>US</v>
      </c>
      <c r="C101" s="2" t="str">
        <f>IFERROR(INDEX('Master - US vs THEM'!$F$2:$F$2951,MATCH($A101&amp;"|"&amp;C$1,'Master - US vs THEM'!$G$2:$G$2951,0)),"")</f>
        <v>US</v>
      </c>
      <c r="D101" s="2" t="str">
        <f>IFERROR(INDEX('Master - US vs THEM'!$F$2:$F$2951,MATCH($A101&amp;"|"&amp;D$1,'Master - US vs THEM'!$G$2:$G$2951,0)),"")</f>
        <v>US</v>
      </c>
      <c r="E101" s="2" t="str">
        <f>IFERROR(INDEX('Master - US vs THEM'!$F$2:$F$2951,MATCH($A101&amp;"|"&amp;E$1,'Master - US vs THEM'!$G$2:$G$2951,0)),"")</f>
        <v>THEM</v>
      </c>
      <c r="F101" s="2" t="str">
        <f>IFERROR(INDEX('Master - US vs THEM'!$F$2:$F$2951,MATCH($A101&amp;"|"&amp;F$1,'Master - US vs THEM'!$G$2:$G$2951,0)),"")</f>
        <v>THEM</v>
      </c>
      <c r="G101" s="2" t="str">
        <f>IFERROR(INDEX('Master - US vs THEM'!$F$2:$F$2951,MATCH($A101&amp;"|"&amp;G$1,'Master - US vs THEM'!$G$2:$G$2951,0)),"")</f>
        <v>THEM</v>
      </c>
      <c r="H101" s="2" t="str">
        <f>IFERROR(INDEX('Master - US vs THEM'!$F$2:$F$2951,MATCH($A101&amp;"|"&amp;H$1,'Master - US vs THEM'!$G$2:$G$2951,0)),"")</f>
        <v>US</v>
      </c>
      <c r="I101" s="2" t="str">
        <f>IFERROR(INDEX('Master - US vs THEM'!$F$2:$F$2951,MATCH($A101&amp;"|"&amp;I$1,'Master - US vs THEM'!$G$2:$G$2951,0)),"")</f>
        <v>US</v>
      </c>
      <c r="J101" s="2" t="str">
        <f>IFERROR(INDEX('Master - US vs THEM'!$F$2:$F$2951,MATCH($A101&amp;"|"&amp;J$1,'Master - US vs THEM'!$G$2:$G$2951,0)),"")</f>
        <v>THEM</v>
      </c>
      <c r="K101" s="2" t="str">
        <f>IFERROR(INDEX('Master - US vs THEM'!$F$2:$F$2951,MATCH($A101&amp;"|"&amp;K$1,'Master - US vs THEM'!$G$2:$G$2951,0)),"")</f>
        <v>US</v>
      </c>
    </row>
    <row r="102" spans="1:11" x14ac:dyDescent="0.2">
      <c r="A102" s="2" t="str">
        <f>'[1]Brand Family Territory (Enc)'!A102</f>
        <v>Yuengling Light Lager</v>
      </c>
      <c r="B102" s="2" t="str">
        <f>IFERROR(INDEX('Master - US vs THEM'!$F$2:$F$2951,MATCH($A102&amp;"|"&amp;B$1,'Master - US vs THEM'!$G$2:$G$2951,0)),"")</f>
        <v>US</v>
      </c>
      <c r="C102" s="2" t="str">
        <f>IFERROR(INDEX('Master - US vs THEM'!$F$2:$F$2951,MATCH($A102&amp;"|"&amp;C$1,'Master - US vs THEM'!$G$2:$G$2951,0)),"")</f>
        <v>US</v>
      </c>
      <c r="D102" s="2" t="str">
        <f>IFERROR(INDEX('Master - US vs THEM'!$F$2:$F$2951,MATCH($A102&amp;"|"&amp;D$1,'Master - US vs THEM'!$G$2:$G$2951,0)),"")</f>
        <v>US</v>
      </c>
      <c r="E102" s="2" t="str">
        <f>IFERROR(INDEX('Master - US vs THEM'!$F$2:$F$2951,MATCH($A102&amp;"|"&amp;E$1,'Master - US vs THEM'!$G$2:$G$2951,0)),"")</f>
        <v>THEM</v>
      </c>
      <c r="F102" s="2" t="str">
        <f>IFERROR(INDEX('Master - US vs THEM'!$F$2:$F$2951,MATCH($A102&amp;"|"&amp;F$1,'Master - US vs THEM'!$G$2:$G$2951,0)),"")</f>
        <v>THEM</v>
      </c>
      <c r="G102" s="2" t="str">
        <f>IFERROR(INDEX('Master - US vs THEM'!$F$2:$F$2951,MATCH($A102&amp;"|"&amp;G$1,'Master - US vs THEM'!$G$2:$G$2951,0)),"")</f>
        <v>THEM</v>
      </c>
      <c r="H102" s="2" t="str">
        <f>IFERROR(INDEX('Master - US vs THEM'!$F$2:$F$2951,MATCH($A102&amp;"|"&amp;H$1,'Master - US vs THEM'!$G$2:$G$2951,0)),"")</f>
        <v>US</v>
      </c>
      <c r="I102" s="2" t="str">
        <f>IFERROR(INDEX('Master - US vs THEM'!$F$2:$F$2951,MATCH($A102&amp;"|"&amp;I$1,'Master - US vs THEM'!$G$2:$G$2951,0)),"")</f>
        <v>US</v>
      </c>
      <c r="J102" s="2" t="str">
        <f>IFERROR(INDEX('Master - US vs THEM'!$F$2:$F$2951,MATCH($A102&amp;"|"&amp;J$1,'Master - US vs THEM'!$G$2:$G$2951,0)),"")</f>
        <v>THEM</v>
      </c>
      <c r="K102" s="2" t="str">
        <f>IFERROR(INDEX('Master - US vs THEM'!$F$2:$F$2951,MATCH($A102&amp;"|"&amp;K$1,'Master - US vs THEM'!$G$2:$G$2951,0)),"")</f>
        <v>US</v>
      </c>
    </row>
    <row r="103" spans="1:11" x14ac:dyDescent="0.2">
      <c r="A103" s="2" t="str">
        <f>'[1]Brand Family Territory (Enc)'!A103</f>
        <v>Yuengling Oktoberfest</v>
      </c>
      <c r="B103" s="2" t="str">
        <f>IFERROR(INDEX('Master - US vs THEM'!$F$2:$F$2951,MATCH($A103&amp;"|"&amp;B$1,'Master - US vs THEM'!$G$2:$G$2951,0)),"")</f>
        <v>US</v>
      </c>
      <c r="C103" s="2" t="str">
        <f>IFERROR(INDEX('Master - US vs THEM'!$F$2:$F$2951,MATCH($A103&amp;"|"&amp;C$1,'Master - US vs THEM'!$G$2:$G$2951,0)),"")</f>
        <v>US</v>
      </c>
      <c r="D103" s="2" t="str">
        <f>IFERROR(INDEX('Master - US vs THEM'!$F$2:$F$2951,MATCH($A103&amp;"|"&amp;D$1,'Master - US vs THEM'!$G$2:$G$2951,0)),"")</f>
        <v>US</v>
      </c>
      <c r="E103" s="2" t="str">
        <f>IFERROR(INDEX('Master - US vs THEM'!$F$2:$F$2951,MATCH($A103&amp;"|"&amp;E$1,'Master - US vs THEM'!$G$2:$G$2951,0)),"")</f>
        <v>THEM</v>
      </c>
      <c r="F103" s="2" t="str">
        <f>IFERROR(INDEX('Master - US vs THEM'!$F$2:$F$2951,MATCH($A103&amp;"|"&amp;F$1,'Master - US vs THEM'!$G$2:$G$2951,0)),"")</f>
        <v>THEM</v>
      </c>
      <c r="G103" s="2" t="str">
        <f>IFERROR(INDEX('Master - US vs THEM'!$F$2:$F$2951,MATCH($A103&amp;"|"&amp;G$1,'Master - US vs THEM'!$G$2:$G$2951,0)),"")</f>
        <v>THEM</v>
      </c>
      <c r="H103" s="2" t="str">
        <f>IFERROR(INDEX('Master - US vs THEM'!$F$2:$F$2951,MATCH($A103&amp;"|"&amp;H$1,'Master - US vs THEM'!$G$2:$G$2951,0)),"")</f>
        <v>US</v>
      </c>
      <c r="I103" s="2" t="str">
        <f>IFERROR(INDEX('Master - US vs THEM'!$F$2:$F$2951,MATCH($A103&amp;"|"&amp;I$1,'Master - US vs THEM'!$G$2:$G$2951,0)),"")</f>
        <v>US</v>
      </c>
      <c r="J103" s="2" t="str">
        <f>IFERROR(INDEX('Master - US vs THEM'!$F$2:$F$2951,MATCH($A103&amp;"|"&amp;J$1,'Master - US vs THEM'!$G$2:$G$2951,0)),"")</f>
        <v>THEM</v>
      </c>
      <c r="K103" s="2" t="str">
        <f>IFERROR(INDEX('Master - US vs THEM'!$F$2:$F$2951,MATCH($A103&amp;"|"&amp;K$1,'Master - US vs THEM'!$G$2:$G$2951,0)),"")</f>
        <v>US</v>
      </c>
    </row>
    <row r="104" spans="1:11" x14ac:dyDescent="0.2">
      <c r="A104" s="2" t="str">
        <f>'[1]Brand Family Territory (Enc)'!A104</f>
        <v>Carta Blanca</v>
      </c>
      <c r="B104" s="2" t="str">
        <f>IFERROR(INDEX('Master - US vs THEM'!$F$2:$F$2951,MATCH($A104&amp;"|"&amp;B$1,'Master - US vs THEM'!$G$2:$G$2951,0)),"")</f>
        <v>US</v>
      </c>
      <c r="C104" s="2" t="str">
        <f>IFERROR(INDEX('Master - US vs THEM'!$F$2:$F$2951,MATCH($A104&amp;"|"&amp;C$1,'Master - US vs THEM'!$G$2:$G$2951,0)),"")</f>
        <v>US</v>
      </c>
      <c r="D104" s="2" t="str">
        <f>IFERROR(INDEX('Master - US vs THEM'!$F$2:$F$2951,MATCH($A104&amp;"|"&amp;D$1,'Master - US vs THEM'!$G$2:$G$2951,0)),"")</f>
        <v>US</v>
      </c>
      <c r="E104" s="2" t="str">
        <f>IFERROR(INDEX('Master - US vs THEM'!$F$2:$F$2951,MATCH($A104&amp;"|"&amp;E$1,'Master - US vs THEM'!$G$2:$G$2951,0)),"")</f>
        <v>THEM</v>
      </c>
      <c r="F104" s="2" t="str">
        <f>IFERROR(INDEX('Master - US vs THEM'!$F$2:$F$2951,MATCH($A104&amp;"|"&amp;F$1,'Master - US vs THEM'!$G$2:$G$2951,0)),"")</f>
        <v>THEM</v>
      </c>
      <c r="G104" s="2" t="str">
        <f>IFERROR(INDEX('Master - US vs THEM'!$F$2:$F$2951,MATCH($A104&amp;"|"&amp;G$1,'Master - US vs THEM'!$G$2:$G$2951,0)),"")</f>
        <v>THEM</v>
      </c>
      <c r="H104" s="2" t="str">
        <f>IFERROR(INDEX('Master - US vs THEM'!$F$2:$F$2951,MATCH($A104&amp;"|"&amp;H$1,'Master - US vs THEM'!$G$2:$G$2951,0)),"")</f>
        <v>THEM</v>
      </c>
      <c r="I104" s="2" t="str">
        <f>IFERROR(INDEX('Master - US vs THEM'!$F$2:$F$2951,MATCH($A104&amp;"|"&amp;I$1,'Master - US vs THEM'!$G$2:$G$2951,0)),"")</f>
        <v>THEM</v>
      </c>
      <c r="J104" s="2" t="str">
        <f>IFERROR(INDEX('Master - US vs THEM'!$F$2:$F$2951,MATCH($A104&amp;"|"&amp;J$1,'Master - US vs THEM'!$G$2:$G$2951,0)),"")</f>
        <v>THEM</v>
      </c>
      <c r="K104" s="2" t="str">
        <f>IFERROR(INDEX('Master - US vs THEM'!$F$2:$F$2951,MATCH($A104&amp;"|"&amp;K$1,'Master - US vs THEM'!$G$2:$G$2951,0)),"")</f>
        <v>THEM</v>
      </c>
    </row>
    <row r="105" spans="1:11" x14ac:dyDescent="0.2">
      <c r="A105" s="2" t="str">
        <f>'[1]Brand Family Territory (Enc)'!A105</f>
        <v>Dos Equis</v>
      </c>
      <c r="B105" s="2" t="str">
        <f>IFERROR(INDEX('Master - US vs THEM'!$F$2:$F$2951,MATCH($A105&amp;"|"&amp;B$1,'Master - US vs THEM'!$G$2:$G$2951,0)),"")</f>
        <v>US</v>
      </c>
      <c r="C105" s="2" t="str">
        <f>IFERROR(INDEX('Master - US vs THEM'!$F$2:$F$2951,MATCH($A105&amp;"|"&amp;C$1,'Master - US vs THEM'!$G$2:$G$2951,0)),"")</f>
        <v>US</v>
      </c>
      <c r="D105" s="2" t="str">
        <f>IFERROR(INDEX('Master - US vs THEM'!$F$2:$F$2951,MATCH($A105&amp;"|"&amp;D$1,'Master - US vs THEM'!$G$2:$G$2951,0)),"")</f>
        <v>US</v>
      </c>
      <c r="E105" s="2" t="str">
        <f>IFERROR(INDEX('Master - US vs THEM'!$F$2:$F$2951,MATCH($A105&amp;"|"&amp;E$1,'Master - US vs THEM'!$G$2:$G$2951,0)),"")</f>
        <v>THEM</v>
      </c>
      <c r="F105" s="2" t="str">
        <f>IFERROR(INDEX('Master - US vs THEM'!$F$2:$F$2951,MATCH($A105&amp;"|"&amp;F$1,'Master - US vs THEM'!$G$2:$G$2951,0)),"")</f>
        <v>THEM</v>
      </c>
      <c r="G105" s="2" t="str">
        <f>IFERROR(INDEX('Master - US vs THEM'!$F$2:$F$2951,MATCH($A105&amp;"|"&amp;G$1,'Master - US vs THEM'!$G$2:$G$2951,0)),"")</f>
        <v>THEM</v>
      </c>
      <c r="H105" s="2" t="str">
        <f>IFERROR(INDEX('Master - US vs THEM'!$F$2:$F$2951,MATCH($A105&amp;"|"&amp;H$1,'Master - US vs THEM'!$G$2:$G$2951,0)),"")</f>
        <v>THEM</v>
      </c>
      <c r="I105" s="2" t="str">
        <f>IFERROR(INDEX('Master - US vs THEM'!$F$2:$F$2951,MATCH($A105&amp;"|"&amp;I$1,'Master - US vs THEM'!$G$2:$G$2951,0)),"")</f>
        <v>THEM</v>
      </c>
      <c r="J105" s="2" t="str">
        <f>IFERROR(INDEX('Master - US vs THEM'!$F$2:$F$2951,MATCH($A105&amp;"|"&amp;J$1,'Master - US vs THEM'!$G$2:$G$2951,0)),"")</f>
        <v>THEM</v>
      </c>
      <c r="K105" s="2" t="str">
        <f>IFERROR(INDEX('Master - US vs THEM'!$F$2:$F$2951,MATCH($A105&amp;"|"&amp;K$1,'Master - US vs THEM'!$G$2:$G$2951,0)),"")</f>
        <v>THEM</v>
      </c>
    </row>
    <row r="106" spans="1:11" x14ac:dyDescent="0.2">
      <c r="A106" s="2" t="str">
        <f>'[1]Brand Family Territory (Enc)'!A106</f>
        <v>Prestige Lager</v>
      </c>
      <c r="B106" s="2" t="str">
        <f>IFERROR(INDEX('Master - US vs THEM'!$F$2:$F$2951,MATCH($A106&amp;"|"&amp;B$1,'Master - US vs THEM'!$G$2:$G$2951,0)),"")</f>
        <v>US</v>
      </c>
      <c r="C106" s="2" t="str">
        <f>IFERROR(INDEX('Master - US vs THEM'!$F$2:$F$2951,MATCH($A106&amp;"|"&amp;C$1,'Master - US vs THEM'!$G$2:$G$2951,0)),"")</f>
        <v>US</v>
      </c>
      <c r="D106" s="2" t="str">
        <f>IFERROR(INDEX('Master - US vs THEM'!$F$2:$F$2951,MATCH($A106&amp;"|"&amp;D$1,'Master - US vs THEM'!$G$2:$G$2951,0)),"")</f>
        <v>US</v>
      </c>
      <c r="E106" s="2" t="str">
        <f>IFERROR(INDEX('Master - US vs THEM'!$F$2:$F$2951,MATCH($A106&amp;"|"&amp;E$1,'Master - US vs THEM'!$G$2:$G$2951,0)),"")</f>
        <v>THEM</v>
      </c>
      <c r="F106" s="2" t="str">
        <f>IFERROR(INDEX('Master - US vs THEM'!$F$2:$F$2951,MATCH($A106&amp;"|"&amp;F$1,'Master - US vs THEM'!$G$2:$G$2951,0)),"")</f>
        <v>THEM</v>
      </c>
      <c r="G106" s="2" t="str">
        <f>IFERROR(INDEX('Master - US vs THEM'!$F$2:$F$2951,MATCH($A106&amp;"|"&amp;G$1,'Master - US vs THEM'!$G$2:$G$2951,0)),"")</f>
        <v>THEM</v>
      </c>
      <c r="H106" s="2" t="str">
        <f>IFERROR(INDEX('Master - US vs THEM'!$F$2:$F$2951,MATCH($A106&amp;"|"&amp;H$1,'Master - US vs THEM'!$G$2:$G$2951,0)),"")</f>
        <v>THEM</v>
      </c>
      <c r="I106" s="2" t="str">
        <f>IFERROR(INDEX('Master - US vs THEM'!$F$2:$F$2951,MATCH($A106&amp;"|"&amp;I$1,'Master - US vs THEM'!$G$2:$G$2951,0)),"")</f>
        <v>THEM</v>
      </c>
      <c r="J106" s="2" t="str">
        <f>IFERROR(INDEX('Master - US vs THEM'!$F$2:$F$2951,MATCH($A106&amp;"|"&amp;J$1,'Master - US vs THEM'!$G$2:$G$2951,0)),"")</f>
        <v>THEM</v>
      </c>
      <c r="K106" s="2" t="str">
        <f>IFERROR(INDEX('Master - US vs THEM'!$F$2:$F$2951,MATCH($A106&amp;"|"&amp;K$1,'Master - US vs THEM'!$G$2:$G$2951,0)),"")</f>
        <v>THEM</v>
      </c>
    </row>
    <row r="107" spans="1:11" x14ac:dyDescent="0.2">
      <c r="A107" s="2" t="str">
        <f>'[1]Brand Family Territory (Enc)'!A107</f>
        <v>Tecate</v>
      </c>
      <c r="B107" s="2" t="str">
        <f>IFERROR(INDEX('Master - US vs THEM'!$F$2:$F$2951,MATCH($A107&amp;"|"&amp;B$1,'Master - US vs THEM'!$G$2:$G$2951,0)),"")</f>
        <v>US</v>
      </c>
      <c r="C107" s="2" t="str">
        <f>IFERROR(INDEX('Master - US vs THEM'!$F$2:$F$2951,MATCH($A107&amp;"|"&amp;C$1,'Master - US vs THEM'!$G$2:$G$2951,0)),"")</f>
        <v>US</v>
      </c>
      <c r="D107" s="2" t="str">
        <f>IFERROR(INDEX('Master - US vs THEM'!$F$2:$F$2951,MATCH($A107&amp;"|"&amp;D$1,'Master - US vs THEM'!$G$2:$G$2951,0)),"")</f>
        <v>US</v>
      </c>
      <c r="E107" s="2" t="str">
        <f>IFERROR(INDEX('Master - US vs THEM'!$F$2:$F$2951,MATCH($A107&amp;"|"&amp;E$1,'Master - US vs THEM'!$G$2:$G$2951,0)),"")</f>
        <v>THEM</v>
      </c>
      <c r="F107" s="2" t="str">
        <f>IFERROR(INDEX('Master - US vs THEM'!$F$2:$F$2951,MATCH($A107&amp;"|"&amp;F$1,'Master - US vs THEM'!$G$2:$G$2951,0)),"")</f>
        <v>THEM</v>
      </c>
      <c r="G107" s="2" t="str">
        <f>IFERROR(INDEX('Master - US vs THEM'!$F$2:$F$2951,MATCH($A107&amp;"|"&amp;G$1,'Master - US vs THEM'!$G$2:$G$2951,0)),"")</f>
        <v>THEM</v>
      </c>
      <c r="H107" s="2" t="str">
        <f>IFERROR(INDEX('Master - US vs THEM'!$F$2:$F$2951,MATCH($A107&amp;"|"&amp;H$1,'Master - US vs THEM'!$G$2:$G$2951,0)),"")</f>
        <v>THEM</v>
      </c>
      <c r="I107" s="2" t="str">
        <f>IFERROR(INDEX('Master - US vs THEM'!$F$2:$F$2951,MATCH($A107&amp;"|"&amp;I$1,'Master - US vs THEM'!$G$2:$G$2951,0)),"")</f>
        <v>THEM</v>
      </c>
      <c r="J107" s="2" t="str">
        <f>IFERROR(INDEX('Master - US vs THEM'!$F$2:$F$2951,MATCH($A107&amp;"|"&amp;J$1,'Master - US vs THEM'!$G$2:$G$2951,0)),"")</f>
        <v>THEM</v>
      </c>
      <c r="K107" s="2" t="str">
        <f>IFERROR(INDEX('Master - US vs THEM'!$F$2:$F$2951,MATCH($A107&amp;"|"&amp;K$1,'Master - US vs THEM'!$G$2:$G$2951,0)),"")</f>
        <v>THEM</v>
      </c>
    </row>
    <row r="108" spans="1:11" x14ac:dyDescent="0.2">
      <c r="A108" s="2" t="str">
        <f>'[1]Brand Family Territory (Enc)'!A108</f>
        <v>Tecate Light</v>
      </c>
      <c r="B108" s="2" t="str">
        <f>IFERROR(INDEX('Master - US vs THEM'!$F$2:$F$2951,MATCH($A108&amp;"|"&amp;B$1,'Master - US vs THEM'!$G$2:$G$2951,0)),"")</f>
        <v>US</v>
      </c>
      <c r="C108" s="2" t="str">
        <f>IFERROR(INDEX('Master - US vs THEM'!$F$2:$F$2951,MATCH($A108&amp;"|"&amp;C$1,'Master - US vs THEM'!$G$2:$G$2951,0)),"")</f>
        <v>US</v>
      </c>
      <c r="D108" s="2" t="str">
        <f>IFERROR(INDEX('Master - US vs THEM'!$F$2:$F$2951,MATCH($A108&amp;"|"&amp;D$1,'Master - US vs THEM'!$G$2:$G$2951,0)),"")</f>
        <v>US</v>
      </c>
      <c r="E108" s="2" t="str">
        <f>IFERROR(INDEX('Master - US vs THEM'!$F$2:$F$2951,MATCH($A108&amp;"|"&amp;E$1,'Master - US vs THEM'!$G$2:$G$2951,0)),"")</f>
        <v>THEM</v>
      </c>
      <c r="F108" s="2" t="str">
        <f>IFERROR(INDEX('Master - US vs THEM'!$F$2:$F$2951,MATCH($A108&amp;"|"&amp;F$1,'Master - US vs THEM'!$G$2:$G$2951,0)),"")</f>
        <v>THEM</v>
      </c>
      <c r="G108" s="2" t="str">
        <f>IFERROR(INDEX('Master - US vs THEM'!$F$2:$F$2951,MATCH($A108&amp;"|"&amp;G$1,'Master - US vs THEM'!$G$2:$G$2951,0)),"")</f>
        <v>THEM</v>
      </c>
      <c r="H108" s="2" t="str">
        <f>IFERROR(INDEX('Master - US vs THEM'!$F$2:$F$2951,MATCH($A108&amp;"|"&amp;H$1,'Master - US vs THEM'!$G$2:$G$2951,0)),"")</f>
        <v>THEM</v>
      </c>
      <c r="I108" s="2" t="str">
        <f>IFERROR(INDEX('Master - US vs THEM'!$F$2:$F$2951,MATCH($A108&amp;"|"&amp;I$1,'Master - US vs THEM'!$G$2:$G$2951,0)),"")</f>
        <v>THEM</v>
      </c>
      <c r="J108" s="2" t="str">
        <f>IFERROR(INDEX('Master - US vs THEM'!$F$2:$F$2951,MATCH($A108&amp;"|"&amp;J$1,'Master - US vs THEM'!$G$2:$G$2951,0)),"")</f>
        <v>THEM</v>
      </c>
      <c r="K108" s="2" t="str">
        <f>IFERROR(INDEX('Master - US vs THEM'!$F$2:$F$2951,MATCH($A108&amp;"|"&amp;K$1,'Master - US vs THEM'!$G$2:$G$2951,0)),"")</f>
        <v>THEM</v>
      </c>
    </row>
    <row r="109" spans="1:11" x14ac:dyDescent="0.2">
      <c r="A109" s="2" t="str">
        <f>'[1]Brand Family Territory (Enc)'!A109</f>
        <v>Amstel</v>
      </c>
      <c r="B109" s="2" t="str">
        <f>IFERROR(INDEX('Master - US vs THEM'!$F$2:$F$2951,MATCH($A109&amp;"|"&amp;B$1,'Master - US vs THEM'!$G$2:$G$2951,0)),"")</f>
        <v>US</v>
      </c>
      <c r="C109" s="2" t="str">
        <f>IFERROR(INDEX('Master - US vs THEM'!$F$2:$F$2951,MATCH($A109&amp;"|"&amp;C$1,'Master - US vs THEM'!$G$2:$G$2951,0)),"")</f>
        <v>US</v>
      </c>
      <c r="D109" s="2" t="str">
        <f>IFERROR(INDEX('Master - US vs THEM'!$F$2:$F$2951,MATCH($A109&amp;"|"&amp;D$1,'Master - US vs THEM'!$G$2:$G$2951,0)),"")</f>
        <v>US</v>
      </c>
      <c r="E109" s="2" t="str">
        <f>IFERROR(INDEX('Master - US vs THEM'!$F$2:$F$2951,MATCH($A109&amp;"|"&amp;E$1,'Master - US vs THEM'!$G$2:$G$2951,0)),"")</f>
        <v>THEM</v>
      </c>
      <c r="F109" s="2" t="str">
        <f>IFERROR(INDEX('Master - US vs THEM'!$F$2:$F$2951,MATCH($A109&amp;"|"&amp;F$1,'Master - US vs THEM'!$G$2:$G$2951,0)),"")</f>
        <v>THEM</v>
      </c>
      <c r="G109" s="2" t="str">
        <f>IFERROR(INDEX('Master - US vs THEM'!$F$2:$F$2951,MATCH($A109&amp;"|"&amp;G$1,'Master - US vs THEM'!$G$2:$G$2951,0)),"")</f>
        <v>THEM</v>
      </c>
      <c r="H109" s="2" t="str">
        <f>IFERROR(INDEX('Master - US vs THEM'!$F$2:$F$2951,MATCH($A109&amp;"|"&amp;H$1,'Master - US vs THEM'!$G$2:$G$2951,0)),"")</f>
        <v>THEM</v>
      </c>
      <c r="I109" s="2" t="str">
        <f>IFERROR(INDEX('Master - US vs THEM'!$F$2:$F$2951,MATCH($A109&amp;"|"&amp;I$1,'Master - US vs THEM'!$G$2:$G$2951,0)),"")</f>
        <v>THEM</v>
      </c>
      <c r="J109" s="2" t="str">
        <f>IFERROR(INDEX('Master - US vs THEM'!$F$2:$F$2951,MATCH($A109&amp;"|"&amp;J$1,'Master - US vs THEM'!$G$2:$G$2951,0)),"")</f>
        <v>THEM</v>
      </c>
      <c r="K109" s="2" t="str">
        <f>IFERROR(INDEX('Master - US vs THEM'!$F$2:$F$2951,MATCH($A109&amp;"|"&amp;K$1,'Master - US vs THEM'!$G$2:$G$2951,0)),"")</f>
        <v>US</v>
      </c>
    </row>
    <row r="110" spans="1:11" x14ac:dyDescent="0.2">
      <c r="A110" s="2" t="str">
        <f>'[1]Brand Family Territory (Enc)'!A110</f>
        <v>Daura</v>
      </c>
      <c r="B110" s="2" t="str">
        <f>IFERROR(INDEX('Master - US vs THEM'!$F$2:$F$2951,MATCH($A110&amp;"|"&amp;B$1,'Master - US vs THEM'!$G$2:$G$2951,0)),"")</f>
        <v>US</v>
      </c>
      <c r="C110" s="2" t="str">
        <f>IFERROR(INDEX('Master - US vs THEM'!$F$2:$F$2951,MATCH($A110&amp;"|"&amp;C$1,'Master - US vs THEM'!$G$2:$G$2951,0)),"")</f>
        <v>US</v>
      </c>
      <c r="D110" s="2" t="str">
        <f>IFERROR(INDEX('Master - US vs THEM'!$F$2:$F$2951,MATCH($A110&amp;"|"&amp;D$1,'Master - US vs THEM'!$G$2:$G$2951,0)),"")</f>
        <v>US</v>
      </c>
      <c r="E110" s="2" t="str">
        <f>IFERROR(INDEX('Master - US vs THEM'!$F$2:$F$2951,MATCH($A110&amp;"|"&amp;E$1,'Master - US vs THEM'!$G$2:$G$2951,0)),"")</f>
        <v>THEM</v>
      </c>
      <c r="F110" s="2" t="str">
        <f>IFERROR(INDEX('Master - US vs THEM'!$F$2:$F$2951,MATCH($A110&amp;"|"&amp;F$1,'Master - US vs THEM'!$G$2:$G$2951,0)),"")</f>
        <v>THEM</v>
      </c>
      <c r="G110" s="2" t="str">
        <f>IFERROR(INDEX('Master - US vs THEM'!$F$2:$F$2951,MATCH($A110&amp;"|"&amp;G$1,'Master - US vs THEM'!$G$2:$G$2951,0)),"")</f>
        <v>THEM</v>
      </c>
      <c r="H110" s="2" t="str">
        <f>IFERROR(INDEX('Master - US vs THEM'!$F$2:$F$2951,MATCH($A110&amp;"|"&amp;H$1,'Master - US vs THEM'!$G$2:$G$2951,0)),"")</f>
        <v>THEM</v>
      </c>
      <c r="I110" s="2" t="str">
        <f>IFERROR(INDEX('Master - US vs THEM'!$F$2:$F$2951,MATCH($A110&amp;"|"&amp;I$1,'Master - US vs THEM'!$G$2:$G$2951,0)),"")</f>
        <v>THEM</v>
      </c>
      <c r="J110" s="2" t="str">
        <f>IFERROR(INDEX('Master - US vs THEM'!$F$2:$F$2951,MATCH($A110&amp;"|"&amp;J$1,'Master - US vs THEM'!$G$2:$G$2951,0)),"")</f>
        <v>THEM</v>
      </c>
      <c r="K110" s="2" t="str">
        <f>IFERROR(INDEX('Master - US vs THEM'!$F$2:$F$2951,MATCH($A110&amp;"|"&amp;K$1,'Master - US vs THEM'!$G$2:$G$2951,0)),"")</f>
        <v>THEM</v>
      </c>
    </row>
    <row r="111" spans="1:11" x14ac:dyDescent="0.2">
      <c r="A111" s="2" t="str">
        <f>'[1]Brand Family Territory (Enc)'!A111</f>
        <v>Heineken 0.0</v>
      </c>
      <c r="B111" s="2" t="str">
        <f>IFERROR(INDEX('Master - US vs THEM'!$F$2:$F$2951,MATCH($A111&amp;"|"&amp;B$1,'Master - US vs THEM'!$G$2:$G$2951,0)),"")</f>
        <v>US</v>
      </c>
      <c r="C111" s="2" t="str">
        <f>IFERROR(INDEX('Master - US vs THEM'!$F$2:$F$2951,MATCH($A111&amp;"|"&amp;C$1,'Master - US vs THEM'!$G$2:$G$2951,0)),"")</f>
        <v>US</v>
      </c>
      <c r="D111" s="2" t="str">
        <f>IFERROR(INDEX('Master - US vs THEM'!$F$2:$F$2951,MATCH($A111&amp;"|"&amp;D$1,'Master - US vs THEM'!$G$2:$G$2951,0)),"")</f>
        <v>US</v>
      </c>
      <c r="E111" s="2" t="str">
        <f>IFERROR(INDEX('Master - US vs THEM'!$F$2:$F$2951,MATCH($A111&amp;"|"&amp;E$1,'Master - US vs THEM'!$G$2:$G$2951,0)),"")</f>
        <v>THEM</v>
      </c>
      <c r="F111" s="2" t="str">
        <f>IFERROR(INDEX('Master - US vs THEM'!$F$2:$F$2951,MATCH($A111&amp;"|"&amp;F$1,'Master - US vs THEM'!$G$2:$G$2951,0)),"")</f>
        <v>THEM</v>
      </c>
      <c r="G111" s="2" t="str">
        <f>IFERROR(INDEX('Master - US vs THEM'!$F$2:$F$2951,MATCH($A111&amp;"|"&amp;G$1,'Master - US vs THEM'!$G$2:$G$2951,0)),"")</f>
        <v>THEM</v>
      </c>
      <c r="H111" s="2" t="str">
        <f>IFERROR(INDEX('Master - US vs THEM'!$F$2:$F$2951,MATCH($A111&amp;"|"&amp;H$1,'Master - US vs THEM'!$G$2:$G$2951,0)),"")</f>
        <v>THEM</v>
      </c>
      <c r="I111" s="2" t="str">
        <f>IFERROR(INDEX('Master - US vs THEM'!$F$2:$F$2951,MATCH($A111&amp;"|"&amp;I$1,'Master - US vs THEM'!$G$2:$G$2951,0)),"")</f>
        <v>THEM</v>
      </c>
      <c r="J111" s="2" t="str">
        <f>IFERROR(INDEX('Master - US vs THEM'!$F$2:$F$2951,MATCH($A111&amp;"|"&amp;J$1,'Master - US vs THEM'!$G$2:$G$2951,0)),"")</f>
        <v>THEM</v>
      </c>
      <c r="K111" s="2" t="str">
        <f>IFERROR(INDEX('Master - US vs THEM'!$F$2:$F$2951,MATCH($A111&amp;"|"&amp;K$1,'Master - US vs THEM'!$G$2:$G$2951,0)),"")</f>
        <v>US</v>
      </c>
    </row>
    <row r="112" spans="1:11" x14ac:dyDescent="0.2">
      <c r="A112" s="2" t="str">
        <f>'[1]Brand Family Territory (Enc)'!A112</f>
        <v>Heineken 0.0 Ultimate</v>
      </c>
      <c r="B112" s="2" t="str">
        <f>IFERROR(INDEX('Master - US vs THEM'!$F$2:$F$2951,MATCH($A112&amp;"|"&amp;B$1,'Master - US vs THEM'!$G$2:$G$2951,0)),"")</f>
        <v>US</v>
      </c>
      <c r="C112" s="2" t="str">
        <f>IFERROR(INDEX('Master - US vs THEM'!$F$2:$F$2951,MATCH($A112&amp;"|"&amp;C$1,'Master - US vs THEM'!$G$2:$G$2951,0)),"")</f>
        <v>US</v>
      </c>
      <c r="D112" s="2" t="str">
        <f>IFERROR(INDEX('Master - US vs THEM'!$F$2:$F$2951,MATCH($A112&amp;"|"&amp;D$1,'Master - US vs THEM'!$G$2:$G$2951,0)),"")</f>
        <v>US</v>
      </c>
      <c r="E112" s="2" t="str">
        <f>IFERROR(INDEX('Master - US vs THEM'!$F$2:$F$2951,MATCH($A112&amp;"|"&amp;E$1,'Master - US vs THEM'!$G$2:$G$2951,0)),"")</f>
        <v>THEM</v>
      </c>
      <c r="F112" s="2" t="str">
        <f>IFERROR(INDEX('Master - US vs THEM'!$F$2:$F$2951,MATCH($A112&amp;"|"&amp;F$1,'Master - US vs THEM'!$G$2:$G$2951,0)),"")</f>
        <v>THEM</v>
      </c>
      <c r="G112" s="2" t="str">
        <f>IFERROR(INDEX('Master - US vs THEM'!$F$2:$F$2951,MATCH($A112&amp;"|"&amp;G$1,'Master - US vs THEM'!$G$2:$G$2951,0)),"")</f>
        <v>THEM</v>
      </c>
      <c r="H112" s="2" t="str">
        <f>IFERROR(INDEX('Master - US vs THEM'!$F$2:$F$2951,MATCH($A112&amp;"|"&amp;H$1,'Master - US vs THEM'!$G$2:$G$2951,0)),"")</f>
        <v>THEM</v>
      </c>
      <c r="I112" s="2" t="str">
        <f>IFERROR(INDEX('Master - US vs THEM'!$F$2:$F$2951,MATCH($A112&amp;"|"&amp;I$1,'Master - US vs THEM'!$G$2:$G$2951,0)),"")</f>
        <v>THEM</v>
      </c>
      <c r="J112" s="2" t="str">
        <f>IFERROR(INDEX('Master - US vs THEM'!$F$2:$F$2951,MATCH($A112&amp;"|"&amp;J$1,'Master - US vs THEM'!$G$2:$G$2951,0)),"")</f>
        <v>THEM</v>
      </c>
      <c r="K112" s="2" t="str">
        <f>IFERROR(INDEX('Master - US vs THEM'!$F$2:$F$2951,MATCH($A112&amp;"|"&amp;K$1,'Master - US vs THEM'!$G$2:$G$2951,0)),"")</f>
        <v>US</v>
      </c>
    </row>
    <row r="113" spans="1:11" x14ac:dyDescent="0.2">
      <c r="A113" s="2" t="str">
        <f>'[1]Brand Family Territory (Enc)'!A113</f>
        <v>Heineken USA</v>
      </c>
      <c r="B113" s="2" t="str">
        <f>IFERROR(INDEX('Master - US vs THEM'!$F$2:$F$2951,MATCH($A113&amp;"|"&amp;B$1,'Master - US vs THEM'!$G$2:$G$2951,0)),"")</f>
        <v>US</v>
      </c>
      <c r="C113" s="2" t="str">
        <f>IFERROR(INDEX('Master - US vs THEM'!$F$2:$F$2951,MATCH($A113&amp;"|"&amp;C$1,'Master - US vs THEM'!$G$2:$G$2951,0)),"")</f>
        <v>US</v>
      </c>
      <c r="D113" s="2" t="str">
        <f>IFERROR(INDEX('Master - US vs THEM'!$F$2:$F$2951,MATCH($A113&amp;"|"&amp;D$1,'Master - US vs THEM'!$G$2:$G$2951,0)),"")</f>
        <v>US</v>
      </c>
      <c r="E113" s="2" t="str">
        <f>IFERROR(INDEX('Master - US vs THEM'!$F$2:$F$2951,MATCH($A113&amp;"|"&amp;E$1,'Master - US vs THEM'!$G$2:$G$2951,0)),"")</f>
        <v>THEM</v>
      </c>
      <c r="F113" s="2" t="str">
        <f>IFERROR(INDEX('Master - US vs THEM'!$F$2:$F$2951,MATCH($A113&amp;"|"&amp;F$1,'Master - US vs THEM'!$G$2:$G$2951,0)),"")</f>
        <v>THEM</v>
      </c>
      <c r="G113" s="2" t="str">
        <f>IFERROR(INDEX('Master - US vs THEM'!$F$2:$F$2951,MATCH($A113&amp;"|"&amp;G$1,'Master - US vs THEM'!$G$2:$G$2951,0)),"")</f>
        <v>THEM</v>
      </c>
      <c r="H113" s="2" t="str">
        <f>IFERROR(INDEX('Master - US vs THEM'!$F$2:$F$2951,MATCH($A113&amp;"|"&amp;H$1,'Master - US vs THEM'!$G$2:$G$2951,0)),"")</f>
        <v>THEM</v>
      </c>
      <c r="I113" s="2" t="str">
        <f>IFERROR(INDEX('Master - US vs THEM'!$F$2:$F$2951,MATCH($A113&amp;"|"&amp;I$1,'Master - US vs THEM'!$G$2:$G$2951,0)),"")</f>
        <v>THEM</v>
      </c>
      <c r="J113" s="2" t="str">
        <f>IFERROR(INDEX('Master - US vs THEM'!$F$2:$F$2951,MATCH($A113&amp;"|"&amp;J$1,'Master - US vs THEM'!$G$2:$G$2951,0)),"")</f>
        <v>THEM</v>
      </c>
      <c r="K113" s="2" t="str">
        <f>IFERROR(INDEX('Master - US vs THEM'!$F$2:$F$2951,MATCH($A113&amp;"|"&amp;K$1,'Master - US vs THEM'!$G$2:$G$2951,0)),"")</f>
        <v>US</v>
      </c>
    </row>
    <row r="114" spans="1:11" x14ac:dyDescent="0.2">
      <c r="A114" s="2" t="str">
        <f>'[1]Brand Family Territory (Enc)'!A114</f>
        <v>Heineken Light</v>
      </c>
      <c r="B114" s="2" t="str">
        <f>IFERROR(INDEX('Master - US vs THEM'!$F$2:$F$2951,MATCH($A114&amp;"|"&amp;B$1,'Master - US vs THEM'!$G$2:$G$2951,0)),"")</f>
        <v>US</v>
      </c>
      <c r="C114" s="2" t="str">
        <f>IFERROR(INDEX('Master - US vs THEM'!$F$2:$F$2951,MATCH($A114&amp;"|"&amp;C$1,'Master - US vs THEM'!$G$2:$G$2951,0)),"")</f>
        <v>US</v>
      </c>
      <c r="D114" s="2" t="str">
        <f>IFERROR(INDEX('Master - US vs THEM'!$F$2:$F$2951,MATCH($A114&amp;"|"&amp;D$1,'Master - US vs THEM'!$G$2:$G$2951,0)),"")</f>
        <v>US</v>
      </c>
      <c r="E114" s="2" t="str">
        <f>IFERROR(INDEX('Master - US vs THEM'!$F$2:$F$2951,MATCH($A114&amp;"|"&amp;E$1,'Master - US vs THEM'!$G$2:$G$2951,0)),"")</f>
        <v>THEM</v>
      </c>
      <c r="F114" s="2" t="str">
        <f>IFERROR(INDEX('Master - US vs THEM'!$F$2:$F$2951,MATCH($A114&amp;"|"&amp;F$1,'Master - US vs THEM'!$G$2:$G$2951,0)),"")</f>
        <v>THEM</v>
      </c>
      <c r="G114" s="2" t="str">
        <f>IFERROR(INDEX('Master - US vs THEM'!$F$2:$F$2951,MATCH($A114&amp;"|"&amp;G$1,'Master - US vs THEM'!$G$2:$G$2951,0)),"")</f>
        <v>THEM</v>
      </c>
      <c r="H114" s="2" t="str">
        <f>IFERROR(INDEX('Master - US vs THEM'!$F$2:$F$2951,MATCH($A114&amp;"|"&amp;H$1,'Master - US vs THEM'!$G$2:$G$2951,0)),"")</f>
        <v>THEM</v>
      </c>
      <c r="I114" s="2" t="str">
        <f>IFERROR(INDEX('Master - US vs THEM'!$F$2:$F$2951,MATCH($A114&amp;"|"&amp;I$1,'Master - US vs THEM'!$G$2:$G$2951,0)),"")</f>
        <v>THEM</v>
      </c>
      <c r="J114" s="2" t="str">
        <f>IFERROR(INDEX('Master - US vs THEM'!$F$2:$F$2951,MATCH($A114&amp;"|"&amp;J$1,'Master - US vs THEM'!$G$2:$G$2951,0)),"")</f>
        <v>THEM</v>
      </c>
      <c r="K114" s="2" t="str">
        <f>IFERROR(INDEX('Master - US vs THEM'!$F$2:$F$2951,MATCH($A114&amp;"|"&amp;K$1,'Master - US vs THEM'!$G$2:$G$2951,0)),"")</f>
        <v>US</v>
      </c>
    </row>
    <row r="115" spans="1:11" x14ac:dyDescent="0.2">
      <c r="A115" s="2" t="str">
        <f>'[1]Brand Family Territory (Enc)'!A115</f>
        <v>Heineken Silver</v>
      </c>
      <c r="B115" s="2" t="str">
        <f>IFERROR(INDEX('Master - US vs THEM'!$F$2:$F$2951,MATCH($A115&amp;"|"&amp;B$1,'Master - US vs THEM'!$G$2:$G$2951,0)),"")</f>
        <v>US</v>
      </c>
      <c r="C115" s="2" t="str">
        <f>IFERROR(INDEX('Master - US vs THEM'!$F$2:$F$2951,MATCH($A115&amp;"|"&amp;C$1,'Master - US vs THEM'!$G$2:$G$2951,0)),"")</f>
        <v>US</v>
      </c>
      <c r="D115" s="2" t="str">
        <f>IFERROR(INDEX('Master - US vs THEM'!$F$2:$F$2951,MATCH($A115&amp;"|"&amp;D$1,'Master - US vs THEM'!$G$2:$G$2951,0)),"")</f>
        <v>US</v>
      </c>
      <c r="E115" s="2" t="str">
        <f>IFERROR(INDEX('Master - US vs THEM'!$F$2:$F$2951,MATCH($A115&amp;"|"&amp;E$1,'Master - US vs THEM'!$G$2:$G$2951,0)),"")</f>
        <v>THEM</v>
      </c>
      <c r="F115" s="2" t="str">
        <f>IFERROR(INDEX('Master - US vs THEM'!$F$2:$F$2951,MATCH($A115&amp;"|"&amp;F$1,'Master - US vs THEM'!$G$2:$G$2951,0)),"")</f>
        <v>THEM</v>
      </c>
      <c r="G115" s="2" t="str">
        <f>IFERROR(INDEX('Master - US vs THEM'!$F$2:$F$2951,MATCH($A115&amp;"|"&amp;G$1,'Master - US vs THEM'!$G$2:$G$2951,0)),"")</f>
        <v>THEM</v>
      </c>
      <c r="H115" s="2" t="str">
        <f>IFERROR(INDEX('Master - US vs THEM'!$F$2:$F$2951,MATCH($A115&amp;"|"&amp;H$1,'Master - US vs THEM'!$G$2:$G$2951,0)),"")</f>
        <v>THEM</v>
      </c>
      <c r="I115" s="2" t="str">
        <f>IFERROR(INDEX('Master - US vs THEM'!$F$2:$F$2951,MATCH($A115&amp;"|"&amp;I$1,'Master - US vs THEM'!$G$2:$G$2951,0)),"")</f>
        <v>THEM</v>
      </c>
      <c r="J115" s="2" t="str">
        <f>IFERROR(INDEX('Master - US vs THEM'!$F$2:$F$2951,MATCH($A115&amp;"|"&amp;J$1,'Master - US vs THEM'!$G$2:$G$2951,0)),"")</f>
        <v>THEM</v>
      </c>
      <c r="K115" s="2" t="str">
        <f>IFERROR(INDEX('Master - US vs THEM'!$F$2:$F$2951,MATCH($A115&amp;"|"&amp;K$1,'Master - US vs THEM'!$G$2:$G$2951,0)),"")</f>
        <v>US</v>
      </c>
    </row>
    <row r="116" spans="1:11" x14ac:dyDescent="0.2">
      <c r="A116" s="2" t="str">
        <f>'[1]Brand Family Territory (Enc)'!A116</f>
        <v>Lagunitas</v>
      </c>
      <c r="B116" s="2" t="str">
        <f>IFERROR(INDEX('Master - US vs THEM'!$F$2:$F$2951,MATCH($A116&amp;"|"&amp;B$1,'Master - US vs THEM'!$G$2:$G$2951,0)),"")</f>
        <v>US</v>
      </c>
      <c r="C116" s="2" t="str">
        <f>IFERROR(INDEX('Master - US vs THEM'!$F$2:$F$2951,MATCH($A116&amp;"|"&amp;C$1,'Master - US vs THEM'!$G$2:$G$2951,0)),"")</f>
        <v>US</v>
      </c>
      <c r="D116" s="2" t="str">
        <f>IFERROR(INDEX('Master - US vs THEM'!$F$2:$F$2951,MATCH($A116&amp;"|"&amp;D$1,'Master - US vs THEM'!$G$2:$G$2951,0)),"")</f>
        <v>US</v>
      </c>
      <c r="E116" s="2" t="str">
        <f>IFERROR(INDEX('Master - US vs THEM'!$F$2:$F$2951,MATCH($A116&amp;"|"&amp;E$1,'Master - US vs THEM'!$G$2:$G$2951,0)),"")</f>
        <v>THEM</v>
      </c>
      <c r="F116" s="2" t="str">
        <f>IFERROR(INDEX('Master - US vs THEM'!$F$2:$F$2951,MATCH($A116&amp;"|"&amp;F$1,'Master - US vs THEM'!$G$2:$G$2951,0)),"")</f>
        <v>THEM</v>
      </c>
      <c r="G116" s="2" t="str">
        <f>IFERROR(INDEX('Master - US vs THEM'!$F$2:$F$2951,MATCH($A116&amp;"|"&amp;G$1,'Master - US vs THEM'!$G$2:$G$2951,0)),"")</f>
        <v>THEM</v>
      </c>
      <c r="H116" s="2" t="str">
        <f>IFERROR(INDEX('Master - US vs THEM'!$F$2:$F$2951,MATCH($A116&amp;"|"&amp;H$1,'Master - US vs THEM'!$G$2:$G$2951,0)),"")</f>
        <v>THEM</v>
      </c>
      <c r="I116" s="2" t="str">
        <f>IFERROR(INDEX('Master - US vs THEM'!$F$2:$F$2951,MATCH($A116&amp;"|"&amp;I$1,'Master - US vs THEM'!$G$2:$G$2951,0)),"")</f>
        <v>THEM</v>
      </c>
      <c r="J116" s="2" t="str">
        <f>IFERROR(INDEX('Master - US vs THEM'!$F$2:$F$2951,MATCH($A116&amp;"|"&amp;J$1,'Master - US vs THEM'!$G$2:$G$2951,0)),"")</f>
        <v>THEM</v>
      </c>
      <c r="K116" s="2" t="str">
        <f>IFERROR(INDEX('Master - US vs THEM'!$F$2:$F$2951,MATCH($A116&amp;"|"&amp;K$1,'Master - US vs THEM'!$G$2:$G$2951,0)),"")</f>
        <v>US</v>
      </c>
    </row>
    <row r="117" spans="1:11" x14ac:dyDescent="0.2">
      <c r="A117" s="2" t="str">
        <f>'[1]Brand Family Territory (Enc)'!A117</f>
        <v>Lagunitas NA</v>
      </c>
      <c r="B117" s="2" t="str">
        <f>IFERROR(INDEX('Master - US vs THEM'!$F$2:$F$2951,MATCH($A117&amp;"|"&amp;B$1,'Master - US vs THEM'!$G$2:$G$2951,0)),"")</f>
        <v>US</v>
      </c>
      <c r="C117" s="2" t="str">
        <f>IFERROR(INDEX('Master - US vs THEM'!$F$2:$F$2951,MATCH($A117&amp;"|"&amp;C$1,'Master - US vs THEM'!$G$2:$G$2951,0)),"")</f>
        <v>US</v>
      </c>
      <c r="D117" s="2" t="str">
        <f>IFERROR(INDEX('Master - US vs THEM'!$F$2:$F$2951,MATCH($A117&amp;"|"&amp;D$1,'Master - US vs THEM'!$G$2:$G$2951,0)),"")</f>
        <v>US</v>
      </c>
      <c r="E117" s="2" t="str">
        <f>IFERROR(INDEX('Master - US vs THEM'!$F$2:$F$2951,MATCH($A117&amp;"|"&amp;E$1,'Master - US vs THEM'!$G$2:$G$2951,0)),"")</f>
        <v>THEM</v>
      </c>
      <c r="F117" s="2" t="str">
        <f>IFERROR(INDEX('Master - US vs THEM'!$F$2:$F$2951,MATCH($A117&amp;"|"&amp;F$1,'Master - US vs THEM'!$G$2:$G$2951,0)),"")</f>
        <v>THEM</v>
      </c>
      <c r="G117" s="2" t="str">
        <f>IFERROR(INDEX('Master - US vs THEM'!$F$2:$F$2951,MATCH($A117&amp;"|"&amp;G$1,'Master - US vs THEM'!$G$2:$G$2951,0)),"")</f>
        <v>THEM</v>
      </c>
      <c r="H117" s="2" t="str">
        <f>IFERROR(INDEX('Master - US vs THEM'!$F$2:$F$2951,MATCH($A117&amp;"|"&amp;H$1,'Master - US vs THEM'!$G$2:$G$2951,0)),"")</f>
        <v>THEM</v>
      </c>
      <c r="I117" s="2" t="str">
        <f>IFERROR(INDEX('Master - US vs THEM'!$F$2:$F$2951,MATCH($A117&amp;"|"&amp;I$1,'Master - US vs THEM'!$G$2:$G$2951,0)),"")</f>
        <v>THEM</v>
      </c>
      <c r="J117" s="2" t="str">
        <f>IFERROR(INDEX('Master - US vs THEM'!$F$2:$F$2951,MATCH($A117&amp;"|"&amp;J$1,'Master - US vs THEM'!$G$2:$G$2951,0)),"")</f>
        <v>THEM</v>
      </c>
      <c r="K117" s="2" t="str">
        <f>IFERROR(INDEX('Master - US vs THEM'!$F$2:$F$2951,MATCH($A117&amp;"|"&amp;K$1,'Master - US vs THEM'!$G$2:$G$2951,0)),"")</f>
        <v>US</v>
      </c>
    </row>
    <row r="118" spans="1:11" x14ac:dyDescent="0.2">
      <c r="A118" s="2" t="str">
        <f>'[1]Brand Family Territory (Enc)'!A118</f>
        <v>Birra Moretti</v>
      </c>
      <c r="B118" s="2" t="str">
        <f>IFERROR(INDEX('Master - US vs THEM'!$F$2:$F$2951,MATCH($A118&amp;"|"&amp;B$1,'Master - US vs THEM'!$G$2:$G$2951,0)),"")</f>
        <v>US</v>
      </c>
      <c r="C118" s="2" t="str">
        <f>IFERROR(INDEX('Master - US vs THEM'!$F$2:$F$2951,MATCH($A118&amp;"|"&amp;C$1,'Master - US vs THEM'!$G$2:$G$2951,0)),"")</f>
        <v>US</v>
      </c>
      <c r="D118" s="2" t="str">
        <f>IFERROR(INDEX('Master - US vs THEM'!$F$2:$F$2951,MATCH($A118&amp;"|"&amp;D$1,'Master - US vs THEM'!$G$2:$G$2951,0)),"")</f>
        <v>US</v>
      </c>
      <c r="E118" s="2" t="str">
        <f>IFERROR(INDEX('Master - US vs THEM'!$F$2:$F$2951,MATCH($A118&amp;"|"&amp;E$1,'Master - US vs THEM'!$G$2:$G$2951,0)),"")</f>
        <v>THEM</v>
      </c>
      <c r="F118" s="2" t="str">
        <f>IFERROR(INDEX('Master - US vs THEM'!$F$2:$F$2951,MATCH($A118&amp;"|"&amp;F$1,'Master - US vs THEM'!$G$2:$G$2951,0)),"")</f>
        <v>THEM</v>
      </c>
      <c r="G118" s="2" t="str">
        <f>IFERROR(INDEX('Master - US vs THEM'!$F$2:$F$2951,MATCH($A118&amp;"|"&amp;G$1,'Master - US vs THEM'!$G$2:$G$2951,0)),"")</f>
        <v>THEM</v>
      </c>
      <c r="H118" s="2" t="str">
        <f>IFERROR(INDEX('Master - US vs THEM'!$F$2:$F$2951,MATCH($A118&amp;"|"&amp;H$1,'Master - US vs THEM'!$G$2:$G$2951,0)),"")</f>
        <v>THEM</v>
      </c>
      <c r="I118" s="2" t="str">
        <f>IFERROR(INDEX('Master - US vs THEM'!$F$2:$F$2951,MATCH($A118&amp;"|"&amp;I$1,'Master - US vs THEM'!$G$2:$G$2951,0)),"")</f>
        <v>THEM</v>
      </c>
      <c r="J118" s="2" t="str">
        <f>IFERROR(INDEX('Master - US vs THEM'!$F$2:$F$2951,MATCH($A118&amp;"|"&amp;J$1,'Master - US vs THEM'!$G$2:$G$2951,0)),"")</f>
        <v>THEM</v>
      </c>
      <c r="K118" s="2" t="str">
        <f>IFERROR(INDEX('Master - US vs THEM'!$F$2:$F$2951,MATCH($A118&amp;"|"&amp;K$1,'Master - US vs THEM'!$G$2:$G$2951,0)),"")</f>
        <v>US</v>
      </c>
    </row>
    <row r="119" spans="1:11" x14ac:dyDescent="0.2">
      <c r="A119" s="2" t="str">
        <f>'[1]Brand Family Territory (Enc)'!A119</f>
        <v>Murphy's</v>
      </c>
      <c r="B119" s="2" t="str">
        <f>IFERROR(INDEX('Master - US vs THEM'!$F$2:$F$2951,MATCH($A119&amp;"|"&amp;B$1,'Master - US vs THEM'!$G$2:$G$2951,0)),"")</f>
        <v>US</v>
      </c>
      <c r="C119" s="2" t="str">
        <f>IFERROR(INDEX('Master - US vs THEM'!$F$2:$F$2951,MATCH($A119&amp;"|"&amp;C$1,'Master - US vs THEM'!$G$2:$G$2951,0)),"")</f>
        <v>US</v>
      </c>
      <c r="D119" s="2" t="str">
        <f>IFERROR(INDEX('Master - US vs THEM'!$F$2:$F$2951,MATCH($A119&amp;"|"&amp;D$1,'Master - US vs THEM'!$G$2:$G$2951,0)),"")</f>
        <v>US</v>
      </c>
      <c r="E119" s="2" t="str">
        <f>IFERROR(INDEX('Master - US vs THEM'!$F$2:$F$2951,MATCH($A119&amp;"|"&amp;E$1,'Master - US vs THEM'!$G$2:$G$2951,0)),"")</f>
        <v>THEM</v>
      </c>
      <c r="F119" s="2" t="str">
        <f>IFERROR(INDEX('Master - US vs THEM'!$F$2:$F$2951,MATCH($A119&amp;"|"&amp;F$1,'Master - US vs THEM'!$G$2:$G$2951,0)),"")</f>
        <v>THEM</v>
      </c>
      <c r="G119" s="2" t="str">
        <f>IFERROR(INDEX('Master - US vs THEM'!$F$2:$F$2951,MATCH($A119&amp;"|"&amp;G$1,'Master - US vs THEM'!$G$2:$G$2951,0)),"")</f>
        <v>THEM</v>
      </c>
      <c r="H119" s="2" t="str">
        <f>IFERROR(INDEX('Master - US vs THEM'!$F$2:$F$2951,MATCH($A119&amp;"|"&amp;H$1,'Master - US vs THEM'!$G$2:$G$2951,0)),"")</f>
        <v>THEM</v>
      </c>
      <c r="I119" s="2" t="str">
        <f>IFERROR(INDEX('Master - US vs THEM'!$F$2:$F$2951,MATCH($A119&amp;"|"&amp;I$1,'Master - US vs THEM'!$G$2:$G$2951,0)),"")</f>
        <v>THEM</v>
      </c>
      <c r="J119" s="2" t="str">
        <f>IFERROR(INDEX('Master - US vs THEM'!$F$2:$F$2951,MATCH($A119&amp;"|"&amp;J$1,'Master - US vs THEM'!$G$2:$G$2951,0)),"")</f>
        <v>THEM</v>
      </c>
      <c r="K119" s="2" t="str">
        <f>IFERROR(INDEX('Master - US vs THEM'!$F$2:$F$2951,MATCH($A119&amp;"|"&amp;K$1,'Master - US vs THEM'!$G$2:$G$2951,0)),"")</f>
        <v>US</v>
      </c>
    </row>
    <row r="120" spans="1:11" x14ac:dyDescent="0.2">
      <c r="A120" s="2" t="str">
        <f>'[1]Brand Family Territory (Enc)'!A120</f>
        <v>Red Stripe</v>
      </c>
      <c r="B120" s="2" t="str">
        <f>IFERROR(INDEX('Master - US vs THEM'!$F$2:$F$2951,MATCH($A120&amp;"|"&amp;B$1,'Master - US vs THEM'!$G$2:$G$2951,0)),"")</f>
        <v>US</v>
      </c>
      <c r="C120" s="2" t="str">
        <f>IFERROR(INDEX('Master - US vs THEM'!$F$2:$F$2951,MATCH($A120&amp;"|"&amp;C$1,'Master - US vs THEM'!$G$2:$G$2951,0)),"")</f>
        <v>US</v>
      </c>
      <c r="D120" s="2" t="str">
        <f>IFERROR(INDEX('Master - US vs THEM'!$F$2:$F$2951,MATCH($A120&amp;"|"&amp;D$1,'Master - US vs THEM'!$G$2:$G$2951,0)),"")</f>
        <v>US</v>
      </c>
      <c r="E120" s="2" t="str">
        <f>IFERROR(INDEX('Master - US vs THEM'!$F$2:$F$2951,MATCH($A120&amp;"|"&amp;E$1,'Master - US vs THEM'!$G$2:$G$2951,0)),"")</f>
        <v>THEM</v>
      </c>
      <c r="F120" s="2" t="str">
        <f>IFERROR(INDEX('Master - US vs THEM'!$F$2:$F$2951,MATCH($A120&amp;"|"&amp;F$1,'Master - US vs THEM'!$G$2:$G$2951,0)),"")</f>
        <v>THEM</v>
      </c>
      <c r="G120" s="2" t="str">
        <f>IFERROR(INDEX('Master - US vs THEM'!$F$2:$F$2951,MATCH($A120&amp;"|"&amp;G$1,'Master - US vs THEM'!$G$2:$G$2951,0)),"")</f>
        <v>THEM</v>
      </c>
      <c r="H120" s="2" t="str">
        <f>IFERROR(INDEX('Master - US vs THEM'!$F$2:$F$2951,MATCH($A120&amp;"|"&amp;H$1,'Master - US vs THEM'!$G$2:$G$2951,0)),"")</f>
        <v>THEM</v>
      </c>
      <c r="I120" s="2" t="str">
        <f>IFERROR(INDEX('Master - US vs THEM'!$F$2:$F$2951,MATCH($A120&amp;"|"&amp;I$1,'Master - US vs THEM'!$G$2:$G$2951,0)),"")</f>
        <v>THEM</v>
      </c>
      <c r="J120" s="2" t="str">
        <f>IFERROR(INDEX('Master - US vs THEM'!$F$2:$F$2951,MATCH($A120&amp;"|"&amp;J$1,'Master - US vs THEM'!$G$2:$G$2951,0)),"")</f>
        <v>THEM</v>
      </c>
      <c r="K120" s="2" t="str">
        <f>IFERROR(INDEX('Master - US vs THEM'!$F$2:$F$2951,MATCH($A120&amp;"|"&amp;K$1,'Master - US vs THEM'!$G$2:$G$2951,0)),"")</f>
        <v>US</v>
      </c>
    </row>
    <row r="121" spans="1:11" x14ac:dyDescent="0.2">
      <c r="A121" s="2" t="str">
        <f>'[1]Brand Family Territory (Enc)'!A121</f>
        <v>Sagres Cerveja</v>
      </c>
      <c r="B121" s="2" t="str">
        <f>IFERROR(INDEX('Master - US vs THEM'!$F$2:$F$2951,MATCH($A121&amp;"|"&amp;B$1,'Master - US vs THEM'!$G$2:$G$2951,0)),"")</f>
        <v>US</v>
      </c>
      <c r="C121" s="2" t="str">
        <f>IFERROR(INDEX('Master - US vs THEM'!$F$2:$F$2951,MATCH($A121&amp;"|"&amp;C$1,'Master - US vs THEM'!$G$2:$G$2951,0)),"")</f>
        <v>US</v>
      </c>
      <c r="D121" s="2" t="str">
        <f>IFERROR(INDEX('Master - US vs THEM'!$F$2:$F$2951,MATCH($A121&amp;"|"&amp;D$1,'Master - US vs THEM'!$G$2:$G$2951,0)),"")</f>
        <v>US</v>
      </c>
      <c r="E121" s="2" t="str">
        <f>IFERROR(INDEX('Master - US vs THEM'!$F$2:$F$2951,MATCH($A121&amp;"|"&amp;E$1,'Master - US vs THEM'!$G$2:$G$2951,0)),"")</f>
        <v>THEM</v>
      </c>
      <c r="F121" s="2" t="str">
        <f>IFERROR(INDEX('Master - US vs THEM'!$F$2:$F$2951,MATCH($A121&amp;"|"&amp;F$1,'Master - US vs THEM'!$G$2:$G$2951,0)),"")</f>
        <v>THEM</v>
      </c>
      <c r="G121" s="2" t="str">
        <f>IFERROR(INDEX('Master - US vs THEM'!$F$2:$F$2951,MATCH($A121&amp;"|"&amp;G$1,'Master - US vs THEM'!$G$2:$G$2951,0)),"")</f>
        <v>THEM</v>
      </c>
      <c r="H121" s="2" t="str">
        <f>IFERROR(INDEX('Master - US vs THEM'!$F$2:$F$2951,MATCH($A121&amp;"|"&amp;H$1,'Master - US vs THEM'!$G$2:$G$2951,0)),"")</f>
        <v>THEM</v>
      </c>
      <c r="I121" s="2" t="str">
        <f>IFERROR(INDEX('Master - US vs THEM'!$F$2:$F$2951,MATCH($A121&amp;"|"&amp;I$1,'Master - US vs THEM'!$G$2:$G$2951,0)),"")</f>
        <v>THEM</v>
      </c>
      <c r="J121" s="2" t="str">
        <f>IFERROR(INDEX('Master - US vs THEM'!$F$2:$F$2951,MATCH($A121&amp;"|"&amp;J$1,'Master - US vs THEM'!$G$2:$G$2951,0)),"")</f>
        <v>THEM</v>
      </c>
      <c r="K121" s="2" t="str">
        <f>IFERROR(INDEX('Master - US vs THEM'!$F$2:$F$2951,MATCH($A121&amp;"|"&amp;K$1,'Master - US vs THEM'!$G$2:$G$2951,0)),"")</f>
        <v>US</v>
      </c>
    </row>
    <row r="122" spans="1:11" x14ac:dyDescent="0.2">
      <c r="A122" s="2" t="str">
        <f>'[1]Brand Family Territory (Enc)'!A122</f>
        <v>Strongbow</v>
      </c>
      <c r="B122" s="2" t="str">
        <f>IFERROR(INDEX('Master - US vs THEM'!$F$2:$F$2951,MATCH($A122&amp;"|"&amp;B$1,'Master - US vs THEM'!$G$2:$G$2951,0)),"")</f>
        <v>US</v>
      </c>
      <c r="C122" s="2" t="str">
        <f>IFERROR(INDEX('Master - US vs THEM'!$F$2:$F$2951,MATCH($A122&amp;"|"&amp;C$1,'Master - US vs THEM'!$G$2:$G$2951,0)),"")</f>
        <v>US</v>
      </c>
      <c r="D122" s="2" t="str">
        <f>IFERROR(INDEX('Master - US vs THEM'!$F$2:$F$2951,MATCH($A122&amp;"|"&amp;D$1,'Master - US vs THEM'!$G$2:$G$2951,0)),"")</f>
        <v>US</v>
      </c>
      <c r="E122" s="2" t="str">
        <f>IFERROR(INDEX('Master - US vs THEM'!$F$2:$F$2951,MATCH($A122&amp;"|"&amp;E$1,'Master - US vs THEM'!$G$2:$G$2951,0)),"")</f>
        <v>THEM</v>
      </c>
      <c r="F122" s="2" t="str">
        <f>IFERROR(INDEX('Master - US vs THEM'!$F$2:$F$2951,MATCH($A122&amp;"|"&amp;F$1,'Master - US vs THEM'!$G$2:$G$2951,0)),"")</f>
        <v>THEM</v>
      </c>
      <c r="G122" s="2" t="str">
        <f>IFERROR(INDEX('Master - US vs THEM'!$F$2:$F$2951,MATCH($A122&amp;"|"&amp;G$1,'Master - US vs THEM'!$G$2:$G$2951,0)),"")</f>
        <v>THEM</v>
      </c>
      <c r="H122" s="2" t="str">
        <f>IFERROR(INDEX('Master - US vs THEM'!$F$2:$F$2951,MATCH($A122&amp;"|"&amp;H$1,'Master - US vs THEM'!$G$2:$G$2951,0)),"")</f>
        <v>THEM</v>
      </c>
      <c r="I122" s="2" t="str">
        <f>IFERROR(INDEX('Master - US vs THEM'!$F$2:$F$2951,MATCH($A122&amp;"|"&amp;I$1,'Master - US vs THEM'!$G$2:$G$2951,0)),"")</f>
        <v>THEM</v>
      </c>
      <c r="J122" s="2" t="str">
        <f>IFERROR(INDEX('Master - US vs THEM'!$F$2:$F$2951,MATCH($A122&amp;"|"&amp;J$1,'Master - US vs THEM'!$G$2:$G$2951,0)),"")</f>
        <v>THEM</v>
      </c>
      <c r="K122" s="2" t="str">
        <f>IFERROR(INDEX('Master - US vs THEM'!$F$2:$F$2951,MATCH($A122&amp;"|"&amp;K$1,'Master - US vs THEM'!$G$2:$G$2951,0)),"")</f>
        <v>US</v>
      </c>
    </row>
    <row r="123" spans="1:11" x14ac:dyDescent="0.2">
      <c r="A123" s="2" t="str">
        <f>'[1]Brand Family Territory (Enc)'!A123</f>
        <v>1911 Hard Cider</v>
      </c>
      <c r="B123" s="2" t="str">
        <f>IFERROR(INDEX('Master - US vs THEM'!$F$2:$F$2951,MATCH($A123&amp;"|"&amp;B$1,'Master - US vs THEM'!$G$2:$G$2951,0)),"")</f>
        <v>US</v>
      </c>
      <c r="C123" s="2" t="str">
        <f>IFERROR(INDEX('Master - US vs THEM'!$F$2:$F$2951,MATCH($A123&amp;"|"&amp;C$1,'Master - US vs THEM'!$G$2:$G$2951,0)),"")</f>
        <v>US</v>
      </c>
      <c r="D123" s="2" t="str">
        <f>IFERROR(INDEX('Master - US vs THEM'!$F$2:$F$2951,MATCH($A123&amp;"|"&amp;D$1,'Master - US vs THEM'!$G$2:$G$2951,0)),"")</f>
        <v>US</v>
      </c>
      <c r="E123" s="2" t="str">
        <f>IFERROR(INDEX('Master - US vs THEM'!$F$2:$F$2951,MATCH($A123&amp;"|"&amp;E$1,'Master - US vs THEM'!$G$2:$G$2951,0)),"")</f>
        <v>US</v>
      </c>
      <c r="F123" s="2" t="str">
        <f>IFERROR(INDEX('Master - US vs THEM'!$F$2:$F$2951,MATCH($A123&amp;"|"&amp;F$1,'Master - US vs THEM'!$G$2:$G$2951,0)),"")</f>
        <v>US</v>
      </c>
      <c r="G123" s="2" t="str">
        <f>IFERROR(INDEX('Master - US vs THEM'!$F$2:$F$2951,MATCH($A123&amp;"|"&amp;G$1,'Master - US vs THEM'!$G$2:$G$2951,0)),"")</f>
        <v>US</v>
      </c>
      <c r="H123" s="2" t="str">
        <f>IFERROR(INDEX('Master - US vs THEM'!$F$2:$F$2951,MATCH($A123&amp;"|"&amp;H$1,'Master - US vs THEM'!$G$2:$G$2951,0)),"")</f>
        <v>US</v>
      </c>
      <c r="I123" s="2" t="str">
        <f>IFERROR(INDEX('Master - US vs THEM'!$F$2:$F$2951,MATCH($A123&amp;"|"&amp;I$1,'Master - US vs THEM'!$G$2:$G$2951,0)),"")</f>
        <v>US</v>
      </c>
      <c r="J123" s="2" t="str">
        <f>IFERROR(INDEX('Master - US vs THEM'!$F$2:$F$2951,MATCH($A123&amp;"|"&amp;J$1,'Master - US vs THEM'!$G$2:$G$2951,0)),"")</f>
        <v>US</v>
      </c>
      <c r="K123" s="2" t="str">
        <f>IFERROR(INDEX('Master - US vs THEM'!$F$2:$F$2951,MATCH($A123&amp;"|"&amp;K$1,'Master - US vs THEM'!$G$2:$G$2951,0)),"")</f>
        <v>US</v>
      </c>
    </row>
    <row r="124" spans="1:11" x14ac:dyDescent="0.2">
      <c r="A124" s="2" t="str">
        <f>'[1]Brand Family Territory (Enc)'!A124</f>
        <v>Aguila Import</v>
      </c>
      <c r="B124" s="2" t="str">
        <f>IFERROR(INDEX('Master - US vs THEM'!$F$2:$F$2951,MATCH($A124&amp;"|"&amp;B$1,'Master - US vs THEM'!$G$2:$G$2951,0)),"")</f>
        <v>US</v>
      </c>
      <c r="C124" s="2" t="str">
        <f>IFERROR(INDEX('Master - US vs THEM'!$F$2:$F$2951,MATCH($A124&amp;"|"&amp;C$1,'Master - US vs THEM'!$G$2:$G$2951,0)),"")</f>
        <v>US</v>
      </c>
      <c r="D124" s="2" t="str">
        <f>IFERROR(INDEX('Master - US vs THEM'!$F$2:$F$2951,MATCH($A124&amp;"|"&amp;D$1,'Master - US vs THEM'!$G$2:$G$2951,0)),"")</f>
        <v>US</v>
      </c>
      <c r="E124" s="2" t="str">
        <f>IFERROR(INDEX('Master - US vs THEM'!$F$2:$F$2951,MATCH($A124&amp;"|"&amp;E$1,'Master - US vs THEM'!$G$2:$G$2951,0)),"")</f>
        <v>US</v>
      </c>
      <c r="F124" s="2" t="str">
        <f>IFERROR(INDEX('Master - US vs THEM'!$F$2:$F$2951,MATCH($A124&amp;"|"&amp;F$1,'Master - US vs THEM'!$G$2:$G$2951,0)),"")</f>
        <v>US</v>
      </c>
      <c r="G124" s="2" t="str">
        <f>IFERROR(INDEX('Master - US vs THEM'!$F$2:$F$2951,MATCH($A124&amp;"|"&amp;G$1,'Master - US vs THEM'!$G$2:$G$2951,0)),"")</f>
        <v>US</v>
      </c>
      <c r="H124" s="2" t="str">
        <f>IFERROR(INDEX('Master - US vs THEM'!$F$2:$F$2951,MATCH($A124&amp;"|"&amp;H$1,'Master - US vs THEM'!$G$2:$G$2951,0)),"")</f>
        <v>US</v>
      </c>
      <c r="I124" s="2" t="str">
        <f>IFERROR(INDEX('Master - US vs THEM'!$F$2:$F$2951,MATCH($A124&amp;"|"&amp;I$1,'Master - US vs THEM'!$G$2:$G$2951,0)),"")</f>
        <v>US</v>
      </c>
      <c r="J124" s="2" t="str">
        <f>IFERROR(INDEX('Master - US vs THEM'!$F$2:$F$2951,MATCH($A124&amp;"|"&amp;J$1,'Master - US vs THEM'!$G$2:$G$2951,0)),"")</f>
        <v>US</v>
      </c>
      <c r="K124" s="2" t="str">
        <f>IFERROR(INDEX('Master - US vs THEM'!$F$2:$F$2951,MATCH($A124&amp;"|"&amp;K$1,'Master - US vs THEM'!$G$2:$G$2951,0)),"")</f>
        <v>US</v>
      </c>
    </row>
    <row r="125" spans="1:11" x14ac:dyDescent="0.2">
      <c r="A125" s="2" t="str">
        <f>'[1]Brand Family Territory (Enc)'!A125</f>
        <v>Alias Brew Works</v>
      </c>
      <c r="B125" s="2" t="str">
        <f>IFERROR(INDEX('Master - US vs THEM'!$F$2:$F$2951,MATCH($A125&amp;"|"&amp;B$1,'Master - US vs THEM'!$G$2:$G$2951,0)),"")</f>
        <v>US</v>
      </c>
      <c r="C125" s="2" t="str">
        <f>IFERROR(INDEX('Master - US vs THEM'!$F$2:$F$2951,MATCH($A125&amp;"|"&amp;C$1,'Master - US vs THEM'!$G$2:$G$2951,0)),"")</f>
        <v>US</v>
      </c>
      <c r="D125" s="2" t="str">
        <f>IFERROR(INDEX('Master - US vs THEM'!$F$2:$F$2951,MATCH($A125&amp;"|"&amp;D$1,'Master - US vs THEM'!$G$2:$G$2951,0)),"")</f>
        <v>US</v>
      </c>
      <c r="E125" s="2" t="str">
        <f>IFERROR(INDEX('Master - US vs THEM'!$F$2:$F$2951,MATCH($A125&amp;"|"&amp;E$1,'Master - US vs THEM'!$G$2:$G$2951,0)),"")</f>
        <v>US</v>
      </c>
      <c r="F125" s="2" t="str">
        <f>IFERROR(INDEX('Master - US vs THEM'!$F$2:$F$2951,MATCH($A125&amp;"|"&amp;F$1,'Master - US vs THEM'!$G$2:$G$2951,0)),"")</f>
        <v>US</v>
      </c>
      <c r="G125" s="2" t="str">
        <f>IFERROR(INDEX('Master - US vs THEM'!$F$2:$F$2951,MATCH($A125&amp;"|"&amp;G$1,'Master - US vs THEM'!$G$2:$G$2951,0)),"")</f>
        <v>US</v>
      </c>
      <c r="H125" s="2" t="str">
        <f>IFERROR(INDEX('Master - US vs THEM'!$F$2:$F$2951,MATCH($A125&amp;"|"&amp;H$1,'Master - US vs THEM'!$G$2:$G$2951,0)),"")</f>
        <v>US</v>
      </c>
      <c r="I125" s="2" t="str">
        <f>IFERROR(INDEX('Master - US vs THEM'!$F$2:$F$2951,MATCH($A125&amp;"|"&amp;I$1,'Master - US vs THEM'!$G$2:$G$2951,0)),"")</f>
        <v>US</v>
      </c>
      <c r="J125" s="2" t="str">
        <f>IFERROR(INDEX('Master - US vs THEM'!$F$2:$F$2951,MATCH($A125&amp;"|"&amp;J$1,'Master - US vs THEM'!$G$2:$G$2951,0)),"")</f>
        <v>US</v>
      </c>
      <c r="K125" s="2" t="str">
        <f>IFERROR(INDEX('Master - US vs THEM'!$F$2:$F$2951,MATCH($A125&amp;"|"&amp;K$1,'Master - US vs THEM'!$G$2:$G$2951,0)),"")</f>
        <v>US</v>
      </c>
    </row>
    <row r="126" spans="1:11" x14ac:dyDescent="0.2">
      <c r="A126" s="2" t="str">
        <f>'[1]Brand Family Territory (Enc)'!A126</f>
        <v>Alte Beverage</v>
      </c>
      <c r="B126" s="2" t="str">
        <f>IFERROR(INDEX('Master - US vs THEM'!$F$2:$F$2951,MATCH($A126&amp;"|"&amp;B$1,'Master - US vs THEM'!$G$2:$G$2951,0)),"")</f>
        <v>US</v>
      </c>
      <c r="C126" s="2" t="str">
        <f>IFERROR(INDEX('Master - US vs THEM'!$F$2:$F$2951,MATCH($A126&amp;"|"&amp;C$1,'Master - US vs THEM'!$G$2:$G$2951,0)),"")</f>
        <v>US</v>
      </c>
      <c r="D126" s="2" t="str">
        <f>IFERROR(INDEX('Master - US vs THEM'!$F$2:$F$2951,MATCH($A126&amp;"|"&amp;D$1,'Master - US vs THEM'!$G$2:$G$2951,0)),"")</f>
        <v>US</v>
      </c>
      <c r="E126" s="2" t="str">
        <f>IFERROR(INDEX('Master - US vs THEM'!$F$2:$F$2951,MATCH($A126&amp;"|"&amp;E$1,'Master - US vs THEM'!$G$2:$G$2951,0)),"")</f>
        <v>US</v>
      </c>
      <c r="F126" s="2" t="str">
        <f>IFERROR(INDEX('Master - US vs THEM'!$F$2:$F$2951,MATCH($A126&amp;"|"&amp;F$1,'Master - US vs THEM'!$G$2:$G$2951,0)),"")</f>
        <v>US</v>
      </c>
      <c r="G126" s="2" t="str">
        <f>IFERROR(INDEX('Master - US vs THEM'!$F$2:$F$2951,MATCH($A126&amp;"|"&amp;G$1,'Master - US vs THEM'!$G$2:$G$2951,0)),"")</f>
        <v>US</v>
      </c>
      <c r="H126" s="2" t="str">
        <f>IFERROR(INDEX('Master - US vs THEM'!$F$2:$F$2951,MATCH($A126&amp;"|"&amp;H$1,'Master - US vs THEM'!$G$2:$G$2951,0)),"")</f>
        <v>US</v>
      </c>
      <c r="I126" s="2" t="str">
        <f>IFERROR(INDEX('Master - US vs THEM'!$F$2:$F$2951,MATCH($A126&amp;"|"&amp;I$1,'Master - US vs THEM'!$G$2:$G$2951,0)),"")</f>
        <v>US</v>
      </c>
      <c r="J126" s="2" t="str">
        <f>IFERROR(INDEX('Master - US vs THEM'!$F$2:$F$2951,MATCH($A126&amp;"|"&amp;J$1,'Master - US vs THEM'!$G$2:$G$2951,0)),"")</f>
        <v>US</v>
      </c>
      <c r="K126" s="2" t="str">
        <f>IFERROR(INDEX('Master - US vs THEM'!$F$2:$F$2951,MATCH($A126&amp;"|"&amp;K$1,'Master - US vs THEM'!$G$2:$G$2951,0)),"")</f>
        <v>US</v>
      </c>
    </row>
    <row r="127" spans="1:11" x14ac:dyDescent="0.2">
      <c r="A127" s="2" t="str">
        <f>'[1]Brand Family Territory (Enc)'!A127</f>
        <v>Arizona Hard</v>
      </c>
      <c r="B127" s="2" t="str">
        <f>IFERROR(INDEX('Master - US vs THEM'!$F$2:$F$2951,MATCH($A127&amp;"|"&amp;B$1,'Master - US vs THEM'!$G$2:$G$2951,0)),"")</f>
        <v>US</v>
      </c>
      <c r="C127" s="2" t="str">
        <f>IFERROR(INDEX('Master - US vs THEM'!$F$2:$F$2951,MATCH($A127&amp;"|"&amp;C$1,'Master - US vs THEM'!$G$2:$G$2951,0)),"")</f>
        <v>US</v>
      </c>
      <c r="D127" s="2" t="str">
        <f>IFERROR(INDEX('Master - US vs THEM'!$F$2:$F$2951,MATCH($A127&amp;"|"&amp;D$1,'Master - US vs THEM'!$G$2:$G$2951,0)),"")</f>
        <v>US</v>
      </c>
      <c r="E127" s="2" t="str">
        <f>IFERROR(INDEX('Master - US vs THEM'!$F$2:$F$2951,MATCH($A127&amp;"|"&amp;E$1,'Master - US vs THEM'!$G$2:$G$2951,0)),"")</f>
        <v>US</v>
      </c>
      <c r="F127" s="2" t="str">
        <f>IFERROR(INDEX('Master - US vs THEM'!$F$2:$F$2951,MATCH($A127&amp;"|"&amp;F$1,'Master - US vs THEM'!$G$2:$G$2951,0)),"")</f>
        <v>US</v>
      </c>
      <c r="G127" s="2" t="str">
        <f>IFERROR(INDEX('Master - US vs THEM'!$F$2:$F$2951,MATCH($A127&amp;"|"&amp;G$1,'Master - US vs THEM'!$G$2:$G$2951,0)),"")</f>
        <v>US</v>
      </c>
      <c r="H127" s="2" t="str">
        <f>IFERROR(INDEX('Master - US vs THEM'!$F$2:$F$2951,MATCH($A127&amp;"|"&amp;H$1,'Master - US vs THEM'!$G$2:$G$2951,0)),"")</f>
        <v>US</v>
      </c>
      <c r="I127" s="2" t="str">
        <f>IFERROR(INDEX('Master - US vs THEM'!$F$2:$F$2951,MATCH($A127&amp;"|"&amp;I$1,'Master - US vs THEM'!$G$2:$G$2951,0)),"")</f>
        <v>US</v>
      </c>
      <c r="J127" s="2" t="str">
        <f>IFERROR(INDEX('Master - US vs THEM'!$F$2:$F$2951,MATCH($A127&amp;"|"&amp;J$1,'Master - US vs THEM'!$G$2:$G$2951,0)),"")</f>
        <v>US</v>
      </c>
      <c r="K127" s="2" t="str">
        <f>IFERROR(INDEX('Master - US vs THEM'!$F$2:$F$2951,MATCH($A127&amp;"|"&amp;K$1,'Master - US vs THEM'!$G$2:$G$2951,0)),"")</f>
        <v>US</v>
      </c>
    </row>
    <row r="128" spans="1:11" x14ac:dyDescent="0.2">
      <c r="A128" s="2" t="str">
        <f>'[1]Brand Family Territory (Enc)'!A128</f>
        <v>Augustiner</v>
      </c>
      <c r="B128" s="2" t="str">
        <f>IFERROR(INDEX('Master - US vs THEM'!$F$2:$F$2951,MATCH($A128&amp;"|"&amp;B$1,'Master - US vs THEM'!$G$2:$G$2951,0)),"")</f>
        <v>US</v>
      </c>
      <c r="C128" s="2" t="str">
        <f>IFERROR(INDEX('Master - US vs THEM'!$F$2:$F$2951,MATCH($A128&amp;"|"&amp;C$1,'Master - US vs THEM'!$G$2:$G$2951,0)),"")</f>
        <v>US</v>
      </c>
      <c r="D128" s="2" t="str">
        <f>IFERROR(INDEX('Master - US vs THEM'!$F$2:$F$2951,MATCH($A128&amp;"|"&amp;D$1,'Master - US vs THEM'!$G$2:$G$2951,0)),"")</f>
        <v>US</v>
      </c>
      <c r="E128" s="2" t="str">
        <f>IFERROR(INDEX('Master - US vs THEM'!$F$2:$F$2951,MATCH($A128&amp;"|"&amp;E$1,'Master - US vs THEM'!$G$2:$G$2951,0)),"")</f>
        <v>US</v>
      </c>
      <c r="F128" s="2" t="str">
        <f>IFERROR(INDEX('Master - US vs THEM'!$F$2:$F$2951,MATCH($A128&amp;"|"&amp;F$1,'Master - US vs THEM'!$G$2:$G$2951,0)),"")</f>
        <v>US</v>
      </c>
      <c r="G128" s="2" t="str">
        <f>IFERROR(INDEX('Master - US vs THEM'!$F$2:$F$2951,MATCH($A128&amp;"|"&amp;G$1,'Master - US vs THEM'!$G$2:$G$2951,0)),"")</f>
        <v>US</v>
      </c>
      <c r="H128" s="2" t="str">
        <f>IFERROR(INDEX('Master - US vs THEM'!$F$2:$F$2951,MATCH($A128&amp;"|"&amp;H$1,'Master - US vs THEM'!$G$2:$G$2951,0)),"")</f>
        <v>US</v>
      </c>
      <c r="I128" s="2" t="str">
        <f>IFERROR(INDEX('Master - US vs THEM'!$F$2:$F$2951,MATCH($A128&amp;"|"&amp;I$1,'Master - US vs THEM'!$G$2:$G$2951,0)),"")</f>
        <v>US</v>
      </c>
      <c r="J128" s="2" t="str">
        <f>IFERROR(INDEX('Master - US vs THEM'!$F$2:$F$2951,MATCH($A128&amp;"|"&amp;J$1,'Master - US vs THEM'!$G$2:$G$2951,0)),"")</f>
        <v>US</v>
      </c>
      <c r="K128" s="2" t="str">
        <f>IFERROR(INDEX('Master - US vs THEM'!$F$2:$F$2951,MATCH($A128&amp;"|"&amp;K$1,'Master - US vs THEM'!$G$2:$G$2951,0)),"")</f>
        <v>US</v>
      </c>
    </row>
    <row r="129" spans="1:11" x14ac:dyDescent="0.2">
      <c r="A129" s="2" t="str">
        <f>'[1]Brand Family Territory (Enc)'!A129</f>
        <v>Baptist Wit</v>
      </c>
      <c r="B129" s="2" t="str">
        <f>IFERROR(INDEX('Master - US vs THEM'!$F$2:$F$2951,MATCH($A129&amp;"|"&amp;B$1,'Master - US vs THEM'!$G$2:$G$2951,0)),"")</f>
        <v>US</v>
      </c>
      <c r="C129" s="2" t="str">
        <f>IFERROR(INDEX('Master - US vs THEM'!$F$2:$F$2951,MATCH($A129&amp;"|"&amp;C$1,'Master - US vs THEM'!$G$2:$G$2951,0)),"")</f>
        <v>US</v>
      </c>
      <c r="D129" s="2" t="str">
        <f>IFERROR(INDEX('Master - US vs THEM'!$F$2:$F$2951,MATCH($A129&amp;"|"&amp;D$1,'Master - US vs THEM'!$G$2:$G$2951,0)),"")</f>
        <v>US</v>
      </c>
      <c r="E129" s="2" t="str">
        <f>IFERROR(INDEX('Master - US vs THEM'!$F$2:$F$2951,MATCH($A129&amp;"|"&amp;E$1,'Master - US vs THEM'!$G$2:$G$2951,0)),"")</f>
        <v>US</v>
      </c>
      <c r="F129" s="2" t="str">
        <f>IFERROR(INDEX('Master - US vs THEM'!$F$2:$F$2951,MATCH($A129&amp;"|"&amp;F$1,'Master - US vs THEM'!$G$2:$G$2951,0)),"")</f>
        <v>US</v>
      </c>
      <c r="G129" s="2" t="str">
        <f>IFERROR(INDEX('Master - US vs THEM'!$F$2:$F$2951,MATCH($A129&amp;"|"&amp;G$1,'Master - US vs THEM'!$G$2:$G$2951,0)),"")</f>
        <v>US</v>
      </c>
      <c r="H129" s="2" t="str">
        <f>IFERROR(INDEX('Master - US vs THEM'!$F$2:$F$2951,MATCH($A129&amp;"|"&amp;H$1,'Master - US vs THEM'!$G$2:$G$2951,0)),"")</f>
        <v>US</v>
      </c>
      <c r="I129" s="2" t="str">
        <f>IFERROR(INDEX('Master - US vs THEM'!$F$2:$F$2951,MATCH($A129&amp;"|"&amp;I$1,'Master - US vs THEM'!$G$2:$G$2951,0)),"")</f>
        <v>US</v>
      </c>
      <c r="J129" s="2" t="str">
        <f>IFERROR(INDEX('Master - US vs THEM'!$F$2:$F$2951,MATCH($A129&amp;"|"&amp;J$1,'Master - US vs THEM'!$G$2:$G$2951,0)),"")</f>
        <v>US</v>
      </c>
      <c r="K129" s="2" t="str">
        <f>IFERROR(INDEX('Master - US vs THEM'!$F$2:$F$2951,MATCH($A129&amp;"|"&amp;K$1,'Master - US vs THEM'!$G$2:$G$2951,0)),"")</f>
        <v>US</v>
      </c>
    </row>
    <row r="130" spans="1:11" x14ac:dyDescent="0.2">
      <c r="A130" s="2" t="str">
        <f>'[1]Brand Family Territory (Enc)'!A130</f>
        <v>Barn Brew</v>
      </c>
      <c r="B130" s="2" t="str">
        <f>IFERROR(INDEX('Master - US vs THEM'!$F$2:$F$2951,MATCH($A130&amp;"|"&amp;B$1,'Master - US vs THEM'!$G$2:$G$2951,0)),"")</f>
        <v>US</v>
      </c>
      <c r="C130" s="2" t="str">
        <f>IFERROR(INDEX('Master - US vs THEM'!$F$2:$F$2951,MATCH($A130&amp;"|"&amp;C$1,'Master - US vs THEM'!$G$2:$G$2951,0)),"")</f>
        <v>US</v>
      </c>
      <c r="D130" s="2" t="str">
        <f>IFERROR(INDEX('Master - US vs THEM'!$F$2:$F$2951,MATCH($A130&amp;"|"&amp;D$1,'Master - US vs THEM'!$G$2:$G$2951,0)),"")</f>
        <v>US</v>
      </c>
      <c r="E130" s="2" t="str">
        <f>IFERROR(INDEX('Master - US vs THEM'!$F$2:$F$2951,MATCH($A130&amp;"|"&amp;E$1,'Master - US vs THEM'!$G$2:$G$2951,0)),"")</f>
        <v>US</v>
      </c>
      <c r="F130" s="2" t="str">
        <f>IFERROR(INDEX('Master - US vs THEM'!$F$2:$F$2951,MATCH($A130&amp;"|"&amp;F$1,'Master - US vs THEM'!$G$2:$G$2951,0)),"")</f>
        <v>US</v>
      </c>
      <c r="G130" s="2" t="str">
        <f>IFERROR(INDEX('Master - US vs THEM'!$F$2:$F$2951,MATCH($A130&amp;"|"&amp;G$1,'Master - US vs THEM'!$G$2:$G$2951,0)),"")</f>
        <v>US</v>
      </c>
      <c r="H130" s="2" t="str">
        <f>IFERROR(INDEX('Master - US vs THEM'!$F$2:$F$2951,MATCH($A130&amp;"|"&amp;H$1,'Master - US vs THEM'!$G$2:$G$2951,0)),"")</f>
        <v>US</v>
      </c>
      <c r="I130" s="2" t="str">
        <f>IFERROR(INDEX('Master - US vs THEM'!$F$2:$F$2951,MATCH($A130&amp;"|"&amp;I$1,'Master - US vs THEM'!$G$2:$G$2951,0)),"")</f>
        <v>US</v>
      </c>
      <c r="J130" s="2" t="str">
        <f>IFERROR(INDEX('Master - US vs THEM'!$F$2:$F$2951,MATCH($A130&amp;"|"&amp;J$1,'Master - US vs THEM'!$G$2:$G$2951,0)),"")</f>
        <v>US</v>
      </c>
      <c r="K130" s="2" t="str">
        <f>IFERROR(INDEX('Master - US vs THEM'!$F$2:$F$2951,MATCH($A130&amp;"|"&amp;K$1,'Master - US vs THEM'!$G$2:$G$2951,0)),"")</f>
        <v>US</v>
      </c>
    </row>
    <row r="131" spans="1:11" x14ac:dyDescent="0.2">
      <c r="A131" s="2" t="str">
        <f>'[1]Brand Family Territory (Enc)'!A131</f>
        <v>Bavik</v>
      </c>
      <c r="B131" s="2" t="str">
        <f>IFERROR(INDEX('Master - US vs THEM'!$F$2:$F$2951,MATCH($A131&amp;"|"&amp;B$1,'Master - US vs THEM'!$G$2:$G$2951,0)),"")</f>
        <v>US</v>
      </c>
      <c r="C131" s="2" t="str">
        <f>IFERROR(INDEX('Master - US vs THEM'!$F$2:$F$2951,MATCH($A131&amp;"|"&amp;C$1,'Master - US vs THEM'!$G$2:$G$2951,0)),"")</f>
        <v>US</v>
      </c>
      <c r="D131" s="2" t="str">
        <f>IFERROR(INDEX('Master - US vs THEM'!$F$2:$F$2951,MATCH($A131&amp;"|"&amp;D$1,'Master - US vs THEM'!$G$2:$G$2951,0)),"")</f>
        <v>US</v>
      </c>
      <c r="E131" s="2" t="str">
        <f>IFERROR(INDEX('Master - US vs THEM'!$F$2:$F$2951,MATCH($A131&amp;"|"&amp;E$1,'Master - US vs THEM'!$G$2:$G$2951,0)),"")</f>
        <v>US</v>
      </c>
      <c r="F131" s="2" t="str">
        <f>IFERROR(INDEX('Master - US vs THEM'!$F$2:$F$2951,MATCH($A131&amp;"|"&amp;F$1,'Master - US vs THEM'!$G$2:$G$2951,0)),"")</f>
        <v>US</v>
      </c>
      <c r="G131" s="2" t="str">
        <f>IFERROR(INDEX('Master - US vs THEM'!$F$2:$F$2951,MATCH($A131&amp;"|"&amp;G$1,'Master - US vs THEM'!$G$2:$G$2951,0)),"")</f>
        <v>US</v>
      </c>
      <c r="H131" s="2" t="str">
        <f>IFERROR(INDEX('Master - US vs THEM'!$F$2:$F$2951,MATCH($A131&amp;"|"&amp;H$1,'Master - US vs THEM'!$G$2:$G$2951,0)),"")</f>
        <v>US</v>
      </c>
      <c r="I131" s="2" t="str">
        <f>IFERROR(INDEX('Master - US vs THEM'!$F$2:$F$2951,MATCH($A131&amp;"|"&amp;I$1,'Master - US vs THEM'!$G$2:$G$2951,0)),"")</f>
        <v>US</v>
      </c>
      <c r="J131" s="2" t="str">
        <f>IFERROR(INDEX('Master - US vs THEM'!$F$2:$F$2951,MATCH($A131&amp;"|"&amp;J$1,'Master - US vs THEM'!$G$2:$G$2951,0)),"")</f>
        <v>US</v>
      </c>
      <c r="K131" s="2" t="str">
        <f>IFERROR(INDEX('Master - US vs THEM'!$F$2:$F$2951,MATCH($A131&amp;"|"&amp;K$1,'Master - US vs THEM'!$G$2:$G$2951,0)),"")</f>
        <v>US</v>
      </c>
    </row>
    <row r="132" spans="1:11" x14ac:dyDescent="0.2">
      <c r="A132" s="2" t="str">
        <f>'[1]Brand Family Territory (Enc)'!A132</f>
        <v>Beckett's D9</v>
      </c>
      <c r="B132" s="2" t="str">
        <f>IFERROR(INDEX('Master - US vs THEM'!$F$2:$F$2951,MATCH($A132&amp;"|"&amp;B$1,'Master - US vs THEM'!$G$2:$G$2951,0)),"")</f>
        <v>US</v>
      </c>
      <c r="C132" s="2" t="str">
        <f>IFERROR(INDEX('Master - US vs THEM'!$F$2:$F$2951,MATCH($A132&amp;"|"&amp;C$1,'Master - US vs THEM'!$G$2:$G$2951,0)),"")</f>
        <v>US</v>
      </c>
      <c r="D132" s="2" t="str">
        <f>IFERROR(INDEX('Master - US vs THEM'!$F$2:$F$2951,MATCH($A132&amp;"|"&amp;D$1,'Master - US vs THEM'!$G$2:$G$2951,0)),"")</f>
        <v>US</v>
      </c>
      <c r="E132" s="2" t="str">
        <f>IFERROR(INDEX('Master - US vs THEM'!$F$2:$F$2951,MATCH($A132&amp;"|"&amp;E$1,'Master - US vs THEM'!$G$2:$G$2951,0)),"")</f>
        <v>US</v>
      </c>
      <c r="F132" s="2" t="str">
        <f>IFERROR(INDEX('Master - US vs THEM'!$F$2:$F$2951,MATCH($A132&amp;"|"&amp;F$1,'Master - US vs THEM'!$G$2:$G$2951,0)),"")</f>
        <v>US</v>
      </c>
      <c r="G132" s="2" t="str">
        <f>IFERROR(INDEX('Master - US vs THEM'!$F$2:$F$2951,MATCH($A132&amp;"|"&amp;G$1,'Master - US vs THEM'!$G$2:$G$2951,0)),"")</f>
        <v>US</v>
      </c>
      <c r="H132" s="2" t="str">
        <f>IFERROR(INDEX('Master - US vs THEM'!$F$2:$F$2951,MATCH($A132&amp;"|"&amp;H$1,'Master - US vs THEM'!$G$2:$G$2951,0)),"")</f>
        <v>US</v>
      </c>
      <c r="I132" s="2" t="str">
        <f>IFERROR(INDEX('Master - US vs THEM'!$F$2:$F$2951,MATCH($A132&amp;"|"&amp;I$1,'Master - US vs THEM'!$G$2:$G$2951,0)),"")</f>
        <v>US</v>
      </c>
      <c r="J132" s="2" t="str">
        <f>IFERROR(INDEX('Master - US vs THEM'!$F$2:$F$2951,MATCH($A132&amp;"|"&amp;J$1,'Master - US vs THEM'!$G$2:$G$2951,0)),"")</f>
        <v>US</v>
      </c>
      <c r="K132" s="2" t="str">
        <f>IFERROR(INDEX('Master - US vs THEM'!$F$2:$F$2951,MATCH($A132&amp;"|"&amp;K$1,'Master - US vs THEM'!$G$2:$G$2951,0)),"")</f>
        <v>US</v>
      </c>
    </row>
    <row r="133" spans="1:11" x14ac:dyDescent="0.2">
      <c r="A133" s="2" t="str">
        <f>'[1]Brand Family Territory (Enc)'!A133</f>
        <v>Belize Breeze</v>
      </c>
      <c r="B133" s="2" t="str">
        <f>IFERROR(INDEX('Master - US vs THEM'!$F$2:$F$2951,MATCH($A133&amp;"|"&amp;B$1,'Master - US vs THEM'!$G$2:$G$2951,0)),"")</f>
        <v>US</v>
      </c>
      <c r="C133" s="2" t="str">
        <f>IFERROR(INDEX('Master - US vs THEM'!$F$2:$F$2951,MATCH($A133&amp;"|"&amp;C$1,'Master - US vs THEM'!$G$2:$G$2951,0)),"")</f>
        <v>US</v>
      </c>
      <c r="D133" s="2" t="str">
        <f>IFERROR(INDEX('Master - US vs THEM'!$F$2:$F$2951,MATCH($A133&amp;"|"&amp;D$1,'Master - US vs THEM'!$G$2:$G$2951,0)),"")</f>
        <v>US</v>
      </c>
      <c r="E133" s="2" t="str">
        <f>IFERROR(INDEX('Master - US vs THEM'!$F$2:$F$2951,MATCH($A133&amp;"|"&amp;E$1,'Master - US vs THEM'!$G$2:$G$2951,0)),"")</f>
        <v>US</v>
      </c>
      <c r="F133" s="2" t="str">
        <f>IFERROR(INDEX('Master - US vs THEM'!$F$2:$F$2951,MATCH($A133&amp;"|"&amp;F$1,'Master - US vs THEM'!$G$2:$G$2951,0)),"")</f>
        <v>US</v>
      </c>
      <c r="G133" s="2" t="str">
        <f>IFERROR(INDEX('Master - US vs THEM'!$F$2:$F$2951,MATCH($A133&amp;"|"&amp;G$1,'Master - US vs THEM'!$G$2:$G$2951,0)),"")</f>
        <v>US</v>
      </c>
      <c r="H133" s="2" t="str">
        <f>IFERROR(INDEX('Master - US vs THEM'!$F$2:$F$2951,MATCH($A133&amp;"|"&amp;H$1,'Master - US vs THEM'!$G$2:$G$2951,0)),"")</f>
        <v>US</v>
      </c>
      <c r="I133" s="2" t="str">
        <f>IFERROR(INDEX('Master - US vs THEM'!$F$2:$F$2951,MATCH($A133&amp;"|"&amp;I$1,'Master - US vs THEM'!$G$2:$G$2951,0)),"")</f>
        <v>US</v>
      </c>
      <c r="J133" s="2" t="str">
        <f>IFERROR(INDEX('Master - US vs THEM'!$F$2:$F$2951,MATCH($A133&amp;"|"&amp;J$1,'Master - US vs THEM'!$G$2:$G$2951,0)),"")</f>
        <v>US</v>
      </c>
      <c r="K133" s="2" t="str">
        <f>IFERROR(INDEX('Master - US vs THEM'!$F$2:$F$2951,MATCH($A133&amp;"|"&amp;K$1,'Master - US vs THEM'!$G$2:$G$2951,0)),"")</f>
        <v>US</v>
      </c>
    </row>
    <row r="134" spans="1:11" x14ac:dyDescent="0.2">
      <c r="A134" s="2" t="str">
        <f>'[1]Brand Family Territory (Enc)'!A134</f>
        <v>Bella Ray</v>
      </c>
      <c r="B134" s="2" t="str">
        <f>IFERROR(INDEX('Master - US vs THEM'!$F$2:$F$2951,MATCH($A134&amp;"|"&amp;B$1,'Master - US vs THEM'!$G$2:$G$2951,0)),"")</f>
        <v>US</v>
      </c>
      <c r="C134" s="2" t="str">
        <f>IFERROR(INDEX('Master - US vs THEM'!$F$2:$F$2951,MATCH($A134&amp;"|"&amp;C$1,'Master - US vs THEM'!$G$2:$G$2951,0)),"")</f>
        <v>US</v>
      </c>
      <c r="D134" s="2" t="str">
        <f>IFERROR(INDEX('Master - US vs THEM'!$F$2:$F$2951,MATCH($A134&amp;"|"&amp;D$1,'Master - US vs THEM'!$G$2:$G$2951,0)),"")</f>
        <v>US</v>
      </c>
      <c r="E134" s="2" t="str">
        <f>IFERROR(INDEX('Master - US vs THEM'!$F$2:$F$2951,MATCH($A134&amp;"|"&amp;E$1,'Master - US vs THEM'!$G$2:$G$2951,0)),"")</f>
        <v>US</v>
      </c>
      <c r="F134" s="2" t="str">
        <f>IFERROR(INDEX('Master - US vs THEM'!$F$2:$F$2951,MATCH($A134&amp;"|"&amp;F$1,'Master - US vs THEM'!$G$2:$G$2951,0)),"")</f>
        <v>US</v>
      </c>
      <c r="G134" s="2" t="str">
        <f>IFERROR(INDEX('Master - US vs THEM'!$F$2:$F$2951,MATCH($A134&amp;"|"&amp;G$1,'Master - US vs THEM'!$G$2:$G$2951,0)),"")</f>
        <v>US</v>
      </c>
      <c r="H134" s="2" t="str">
        <f>IFERROR(INDEX('Master - US vs THEM'!$F$2:$F$2951,MATCH($A134&amp;"|"&amp;H$1,'Master - US vs THEM'!$G$2:$G$2951,0)),"")</f>
        <v>US</v>
      </c>
      <c r="I134" s="2" t="str">
        <f>IFERROR(INDEX('Master - US vs THEM'!$F$2:$F$2951,MATCH($A134&amp;"|"&amp;I$1,'Master - US vs THEM'!$G$2:$G$2951,0)),"")</f>
        <v>US</v>
      </c>
      <c r="J134" s="2" t="str">
        <f>IFERROR(INDEX('Master - US vs THEM'!$F$2:$F$2951,MATCH($A134&amp;"|"&amp;J$1,'Master - US vs THEM'!$G$2:$G$2951,0)),"")</f>
        <v>US</v>
      </c>
      <c r="K134" s="2" t="str">
        <f>IFERROR(INDEX('Master - US vs THEM'!$F$2:$F$2951,MATCH($A134&amp;"|"&amp;K$1,'Master - US vs THEM'!$G$2:$G$2951,0)),"")</f>
        <v>US</v>
      </c>
    </row>
    <row r="135" spans="1:11" x14ac:dyDescent="0.2">
      <c r="A135" s="2" t="str">
        <f>'[1]Brand Family Territory (Enc)'!A135</f>
        <v>Big Mans Brew</v>
      </c>
      <c r="B135" s="2" t="str">
        <f>IFERROR(INDEX('Master - US vs THEM'!$F$2:$F$2951,MATCH($A135&amp;"|"&amp;B$1,'Master - US vs THEM'!$G$2:$G$2951,0)),"")</f>
        <v>US</v>
      </c>
      <c r="C135" s="2" t="str">
        <f>IFERROR(INDEX('Master - US vs THEM'!$F$2:$F$2951,MATCH($A135&amp;"|"&amp;C$1,'Master - US vs THEM'!$G$2:$G$2951,0)),"")</f>
        <v>US</v>
      </c>
      <c r="D135" s="2" t="str">
        <f>IFERROR(INDEX('Master - US vs THEM'!$F$2:$F$2951,MATCH($A135&amp;"|"&amp;D$1,'Master - US vs THEM'!$G$2:$G$2951,0)),"")</f>
        <v>US</v>
      </c>
      <c r="E135" s="2" t="str">
        <f>IFERROR(INDEX('Master - US vs THEM'!$F$2:$F$2951,MATCH($A135&amp;"|"&amp;E$1,'Master - US vs THEM'!$G$2:$G$2951,0)),"")</f>
        <v>US</v>
      </c>
      <c r="F135" s="2" t="str">
        <f>IFERROR(INDEX('Master - US vs THEM'!$F$2:$F$2951,MATCH($A135&amp;"|"&amp;F$1,'Master - US vs THEM'!$G$2:$G$2951,0)),"")</f>
        <v>US</v>
      </c>
      <c r="G135" s="2" t="str">
        <f>IFERROR(INDEX('Master - US vs THEM'!$F$2:$F$2951,MATCH($A135&amp;"|"&amp;G$1,'Master - US vs THEM'!$G$2:$G$2951,0)),"")</f>
        <v>US</v>
      </c>
      <c r="H135" s="2" t="str">
        <f>IFERROR(INDEX('Master - US vs THEM'!$F$2:$F$2951,MATCH($A135&amp;"|"&amp;H$1,'Master - US vs THEM'!$G$2:$G$2951,0)),"")</f>
        <v>US</v>
      </c>
      <c r="I135" s="2" t="str">
        <f>IFERROR(INDEX('Master - US vs THEM'!$F$2:$F$2951,MATCH($A135&amp;"|"&amp;I$1,'Master - US vs THEM'!$G$2:$G$2951,0)),"")</f>
        <v>US</v>
      </c>
      <c r="J135" s="2" t="str">
        <f>IFERROR(INDEX('Master - US vs THEM'!$F$2:$F$2951,MATCH($A135&amp;"|"&amp;J$1,'Master - US vs THEM'!$G$2:$G$2951,0)),"")</f>
        <v>US</v>
      </c>
      <c r="K135" s="2" t="str">
        <f>IFERROR(INDEX('Master - US vs THEM'!$F$2:$F$2951,MATCH($A135&amp;"|"&amp;K$1,'Master - US vs THEM'!$G$2:$G$2951,0)),"")</f>
        <v>US</v>
      </c>
    </row>
    <row r="136" spans="1:11" x14ac:dyDescent="0.2">
      <c r="A136" s="2" t="str">
        <f>'[1]Brand Family Territory (Enc)'!A136</f>
        <v>BJ'S Private Label Brewa</v>
      </c>
      <c r="B136" s="2" t="str">
        <f>IFERROR(INDEX('Master - US vs THEM'!$F$2:$F$2951,MATCH($A136&amp;"|"&amp;B$1,'Master - US vs THEM'!$G$2:$G$2951,0)),"")</f>
        <v>US</v>
      </c>
      <c r="C136" s="2" t="str">
        <f>IFERROR(INDEX('Master - US vs THEM'!$F$2:$F$2951,MATCH($A136&amp;"|"&amp;C$1,'Master - US vs THEM'!$G$2:$G$2951,0)),"")</f>
        <v>US</v>
      </c>
      <c r="D136" s="2" t="str">
        <f>IFERROR(INDEX('Master - US vs THEM'!$F$2:$F$2951,MATCH($A136&amp;"|"&amp;D$1,'Master - US vs THEM'!$G$2:$G$2951,0)),"")</f>
        <v>US</v>
      </c>
      <c r="E136" s="2" t="str">
        <f>IFERROR(INDEX('Master - US vs THEM'!$F$2:$F$2951,MATCH($A136&amp;"|"&amp;E$1,'Master - US vs THEM'!$G$2:$G$2951,0)),"")</f>
        <v>THEM</v>
      </c>
      <c r="F136" s="2" t="str">
        <f>IFERROR(INDEX('Master - US vs THEM'!$F$2:$F$2951,MATCH($A136&amp;"|"&amp;F$1,'Master - US vs THEM'!$G$2:$G$2951,0)),"")</f>
        <v>THEM</v>
      </c>
      <c r="G136" s="2" t="str">
        <f>IFERROR(INDEX('Master - US vs THEM'!$F$2:$F$2951,MATCH($A136&amp;"|"&amp;G$1,'Master - US vs THEM'!$G$2:$G$2951,0)),"")</f>
        <v>THEM</v>
      </c>
      <c r="H136" s="2" t="str">
        <f>IFERROR(INDEX('Master - US vs THEM'!$F$2:$F$2951,MATCH($A136&amp;"|"&amp;H$1,'Master - US vs THEM'!$G$2:$G$2951,0)),"")</f>
        <v>US</v>
      </c>
      <c r="I136" s="2" t="str">
        <f>IFERROR(INDEX('Master - US vs THEM'!$F$2:$F$2951,MATCH($A136&amp;"|"&amp;I$1,'Master - US vs THEM'!$G$2:$G$2951,0)),"")</f>
        <v>US</v>
      </c>
      <c r="J136" s="2" t="str">
        <f>IFERROR(INDEX('Master - US vs THEM'!$F$2:$F$2951,MATCH($A136&amp;"|"&amp;J$1,'Master - US vs THEM'!$G$2:$G$2951,0)),"")</f>
        <v>THEM</v>
      </c>
      <c r="K136" s="2" t="str">
        <f>IFERROR(INDEX('Master - US vs THEM'!$F$2:$F$2951,MATCH($A136&amp;"|"&amp;K$1,'Master - US vs THEM'!$G$2:$G$2951,0)),"")</f>
        <v>US</v>
      </c>
    </row>
    <row r="137" spans="1:11" x14ac:dyDescent="0.2">
      <c r="A137" s="2" t="str">
        <f>'[1]Brand Family Territory (Enc)'!A137</f>
        <v>Bodega Chiller</v>
      </c>
      <c r="B137" s="2" t="str">
        <f>IFERROR(INDEX('Master - US vs THEM'!$F$2:$F$2951,MATCH($A137&amp;"|"&amp;B$1,'Master - US vs THEM'!$G$2:$G$2951,0)),"")</f>
        <v>US</v>
      </c>
      <c r="C137" s="2" t="str">
        <f>IFERROR(INDEX('Master - US vs THEM'!$F$2:$F$2951,MATCH($A137&amp;"|"&amp;C$1,'Master - US vs THEM'!$G$2:$G$2951,0)),"")</f>
        <v>US</v>
      </c>
      <c r="D137" s="2" t="str">
        <f>IFERROR(INDEX('Master - US vs THEM'!$F$2:$F$2951,MATCH($A137&amp;"|"&amp;D$1,'Master - US vs THEM'!$G$2:$G$2951,0)),"")</f>
        <v>US</v>
      </c>
      <c r="E137" s="2" t="str">
        <f>IFERROR(INDEX('Master - US vs THEM'!$F$2:$F$2951,MATCH($A137&amp;"|"&amp;E$1,'Master - US vs THEM'!$G$2:$G$2951,0)),"")</f>
        <v>US</v>
      </c>
      <c r="F137" s="2" t="str">
        <f>IFERROR(INDEX('Master - US vs THEM'!$F$2:$F$2951,MATCH($A137&amp;"|"&amp;F$1,'Master - US vs THEM'!$G$2:$G$2951,0)),"")</f>
        <v>US</v>
      </c>
      <c r="G137" s="2" t="str">
        <f>IFERROR(INDEX('Master - US vs THEM'!$F$2:$F$2951,MATCH($A137&amp;"|"&amp;G$1,'Master - US vs THEM'!$G$2:$G$2951,0)),"")</f>
        <v>US</v>
      </c>
      <c r="H137" s="2" t="str">
        <f>IFERROR(INDEX('Master - US vs THEM'!$F$2:$F$2951,MATCH($A137&amp;"|"&amp;H$1,'Master - US vs THEM'!$G$2:$G$2951,0)),"")</f>
        <v>US</v>
      </c>
      <c r="I137" s="2" t="str">
        <f>IFERROR(INDEX('Master - US vs THEM'!$F$2:$F$2951,MATCH($A137&amp;"|"&amp;I$1,'Master - US vs THEM'!$G$2:$G$2951,0)),"")</f>
        <v>US</v>
      </c>
      <c r="J137" s="2" t="str">
        <f>IFERROR(INDEX('Master - US vs THEM'!$F$2:$F$2951,MATCH($A137&amp;"|"&amp;J$1,'Master - US vs THEM'!$G$2:$G$2951,0)),"")</f>
        <v>US</v>
      </c>
      <c r="K137" s="2" t="str">
        <f>IFERROR(INDEX('Master - US vs THEM'!$F$2:$F$2951,MATCH($A137&amp;"|"&amp;K$1,'Master - US vs THEM'!$G$2:$G$2951,0)),"")</f>
        <v>US</v>
      </c>
    </row>
    <row r="138" spans="1:11" x14ac:dyDescent="0.2">
      <c r="A138" s="2" t="str">
        <f>'[1]Brand Family Territory (Enc)'!A138</f>
        <v>Bodega Quarters</v>
      </c>
      <c r="B138" s="2" t="str">
        <f>IFERROR(INDEX('Master - US vs THEM'!$F$2:$F$2951,MATCH($A138&amp;"|"&amp;B$1,'Master - US vs THEM'!$G$2:$G$2951,0)),"")</f>
        <v>US</v>
      </c>
      <c r="C138" s="2" t="str">
        <f>IFERROR(INDEX('Master - US vs THEM'!$F$2:$F$2951,MATCH($A138&amp;"|"&amp;C$1,'Master - US vs THEM'!$G$2:$G$2951,0)),"")</f>
        <v>US</v>
      </c>
      <c r="D138" s="2" t="str">
        <f>IFERROR(INDEX('Master - US vs THEM'!$F$2:$F$2951,MATCH($A138&amp;"|"&amp;D$1,'Master - US vs THEM'!$G$2:$G$2951,0)),"")</f>
        <v>US</v>
      </c>
      <c r="E138" s="2" t="str">
        <f>IFERROR(INDEX('Master - US vs THEM'!$F$2:$F$2951,MATCH($A138&amp;"|"&amp;E$1,'Master - US vs THEM'!$G$2:$G$2951,0)),"")</f>
        <v>US</v>
      </c>
      <c r="F138" s="2" t="str">
        <f>IFERROR(INDEX('Master - US vs THEM'!$F$2:$F$2951,MATCH($A138&amp;"|"&amp;F$1,'Master - US vs THEM'!$G$2:$G$2951,0)),"")</f>
        <v>US</v>
      </c>
      <c r="G138" s="2" t="str">
        <f>IFERROR(INDEX('Master - US vs THEM'!$F$2:$F$2951,MATCH($A138&amp;"|"&amp;G$1,'Master - US vs THEM'!$G$2:$G$2951,0)),"")</f>
        <v>US</v>
      </c>
      <c r="H138" s="2" t="str">
        <f>IFERROR(INDEX('Master - US vs THEM'!$F$2:$F$2951,MATCH($A138&amp;"|"&amp;H$1,'Master - US vs THEM'!$G$2:$G$2951,0)),"")</f>
        <v>US</v>
      </c>
      <c r="I138" s="2" t="str">
        <f>IFERROR(INDEX('Master - US vs THEM'!$F$2:$F$2951,MATCH($A138&amp;"|"&amp;I$1,'Master - US vs THEM'!$G$2:$G$2951,0)),"")</f>
        <v>US</v>
      </c>
      <c r="J138" s="2" t="str">
        <f>IFERROR(INDEX('Master - US vs THEM'!$F$2:$F$2951,MATCH($A138&amp;"|"&amp;J$1,'Master - US vs THEM'!$G$2:$G$2951,0)),"")</f>
        <v>US</v>
      </c>
      <c r="K138" s="2" t="str">
        <f>IFERROR(INDEX('Master - US vs THEM'!$F$2:$F$2951,MATCH($A138&amp;"|"&amp;K$1,'Master - US vs THEM'!$G$2:$G$2951,0)),"")</f>
        <v>US</v>
      </c>
    </row>
    <row r="139" spans="1:11" x14ac:dyDescent="0.2">
      <c r="A139" s="2" t="str">
        <f>'[1]Brand Family Territory (Enc)'!A139</f>
        <v>Boldt Infused D9</v>
      </c>
      <c r="B139" s="2" t="str">
        <f>IFERROR(INDEX('Master - US vs THEM'!$F$2:$F$2951,MATCH($A139&amp;"|"&amp;B$1,'Master - US vs THEM'!$G$2:$G$2951,0)),"")</f>
        <v>US</v>
      </c>
      <c r="C139" s="2" t="str">
        <f>IFERROR(INDEX('Master - US vs THEM'!$F$2:$F$2951,MATCH($A139&amp;"|"&amp;C$1,'Master - US vs THEM'!$G$2:$G$2951,0)),"")</f>
        <v>US</v>
      </c>
      <c r="D139" s="2" t="str">
        <f>IFERROR(INDEX('Master - US vs THEM'!$F$2:$F$2951,MATCH($A139&amp;"|"&amp;D$1,'Master - US vs THEM'!$G$2:$G$2951,0)),"")</f>
        <v>US</v>
      </c>
      <c r="E139" s="2" t="str">
        <f>IFERROR(INDEX('Master - US vs THEM'!$F$2:$F$2951,MATCH($A139&amp;"|"&amp;E$1,'Master - US vs THEM'!$G$2:$G$2951,0)),"")</f>
        <v>US</v>
      </c>
      <c r="F139" s="2" t="str">
        <f>IFERROR(INDEX('Master - US vs THEM'!$F$2:$F$2951,MATCH($A139&amp;"|"&amp;F$1,'Master - US vs THEM'!$G$2:$G$2951,0)),"")</f>
        <v>US</v>
      </c>
      <c r="G139" s="2" t="str">
        <f>IFERROR(INDEX('Master - US vs THEM'!$F$2:$F$2951,MATCH($A139&amp;"|"&amp;G$1,'Master - US vs THEM'!$G$2:$G$2951,0)),"")</f>
        <v>US</v>
      </c>
      <c r="H139" s="2" t="str">
        <f>IFERROR(INDEX('Master - US vs THEM'!$F$2:$F$2951,MATCH($A139&amp;"|"&amp;H$1,'Master - US vs THEM'!$G$2:$G$2951,0)),"")</f>
        <v>US</v>
      </c>
      <c r="I139" s="2" t="str">
        <f>IFERROR(INDEX('Master - US vs THEM'!$F$2:$F$2951,MATCH($A139&amp;"|"&amp;I$1,'Master - US vs THEM'!$G$2:$G$2951,0)),"")</f>
        <v>US</v>
      </c>
      <c r="J139" s="2" t="str">
        <f>IFERROR(INDEX('Master - US vs THEM'!$F$2:$F$2951,MATCH($A139&amp;"|"&amp;J$1,'Master - US vs THEM'!$G$2:$G$2951,0)),"")</f>
        <v>US</v>
      </c>
      <c r="K139" s="2" t="str">
        <f>IFERROR(INDEX('Master - US vs THEM'!$F$2:$F$2951,MATCH($A139&amp;"|"&amp;K$1,'Master - US vs THEM'!$G$2:$G$2951,0)),"")</f>
        <v>US</v>
      </c>
    </row>
    <row r="140" spans="1:11" x14ac:dyDescent="0.2">
      <c r="A140" s="2" t="str">
        <f>'[1]Brand Family Territory (Enc)'!A140</f>
        <v>Brewt's</v>
      </c>
      <c r="B140" s="2" t="str">
        <f>IFERROR(INDEX('Master - US vs THEM'!$F$2:$F$2951,MATCH($A140&amp;"|"&amp;B$1,'Master - US vs THEM'!$G$2:$G$2951,0)),"")</f>
        <v>US</v>
      </c>
      <c r="C140" s="2" t="str">
        <f>IFERROR(INDEX('Master - US vs THEM'!$F$2:$F$2951,MATCH($A140&amp;"|"&amp;C$1,'Master - US vs THEM'!$G$2:$G$2951,0)),"")</f>
        <v>US</v>
      </c>
      <c r="D140" s="2" t="str">
        <f>IFERROR(INDEX('Master - US vs THEM'!$F$2:$F$2951,MATCH($A140&amp;"|"&amp;D$1,'Master - US vs THEM'!$G$2:$G$2951,0)),"")</f>
        <v>US</v>
      </c>
      <c r="E140" s="2" t="str">
        <f>IFERROR(INDEX('Master - US vs THEM'!$F$2:$F$2951,MATCH($A140&amp;"|"&amp;E$1,'Master - US vs THEM'!$G$2:$G$2951,0)),"")</f>
        <v>US</v>
      </c>
      <c r="F140" s="2" t="str">
        <f>IFERROR(INDEX('Master - US vs THEM'!$F$2:$F$2951,MATCH($A140&amp;"|"&amp;F$1,'Master - US vs THEM'!$G$2:$G$2951,0)),"")</f>
        <v>US</v>
      </c>
      <c r="G140" s="2" t="str">
        <f>IFERROR(INDEX('Master - US vs THEM'!$F$2:$F$2951,MATCH($A140&amp;"|"&amp;G$1,'Master - US vs THEM'!$G$2:$G$2951,0)),"")</f>
        <v>US</v>
      </c>
      <c r="H140" s="2" t="str">
        <f>IFERROR(INDEX('Master - US vs THEM'!$F$2:$F$2951,MATCH($A140&amp;"|"&amp;H$1,'Master - US vs THEM'!$G$2:$G$2951,0)),"")</f>
        <v>US</v>
      </c>
      <c r="I140" s="2" t="str">
        <f>IFERROR(INDEX('Master - US vs THEM'!$F$2:$F$2951,MATCH($A140&amp;"|"&amp;I$1,'Master - US vs THEM'!$G$2:$G$2951,0)),"")</f>
        <v>US</v>
      </c>
      <c r="J140" s="2" t="str">
        <f>IFERROR(INDEX('Master - US vs THEM'!$F$2:$F$2951,MATCH($A140&amp;"|"&amp;J$1,'Master - US vs THEM'!$G$2:$G$2951,0)),"")</f>
        <v>US</v>
      </c>
      <c r="K140" s="2" t="str">
        <f>IFERROR(INDEX('Master - US vs THEM'!$F$2:$F$2951,MATCH($A140&amp;"|"&amp;K$1,'Master - US vs THEM'!$G$2:$G$2951,0)),"")</f>
        <v>US</v>
      </c>
    </row>
    <row r="141" spans="1:11" x14ac:dyDescent="0.2">
      <c r="A141" s="2" t="str">
        <f>'[1]Brand Family Territory (Enc)'!A141</f>
        <v>Brio</v>
      </c>
      <c r="B141" s="2" t="str">
        <f>IFERROR(INDEX('Master - US vs THEM'!$F$2:$F$2951,MATCH($A141&amp;"|"&amp;B$1,'Master - US vs THEM'!$G$2:$G$2951,0)),"")</f>
        <v>US</v>
      </c>
      <c r="C141" s="2" t="str">
        <f>IFERROR(INDEX('Master - US vs THEM'!$F$2:$F$2951,MATCH($A141&amp;"|"&amp;C$1,'Master - US vs THEM'!$G$2:$G$2951,0)),"")</f>
        <v>US</v>
      </c>
      <c r="D141" s="2" t="str">
        <f>IFERROR(INDEX('Master - US vs THEM'!$F$2:$F$2951,MATCH($A141&amp;"|"&amp;D$1,'Master - US vs THEM'!$G$2:$G$2951,0)),"")</f>
        <v>US</v>
      </c>
      <c r="E141" s="2" t="str">
        <f>IFERROR(INDEX('Master - US vs THEM'!$F$2:$F$2951,MATCH($A141&amp;"|"&amp;E$1,'Master - US vs THEM'!$G$2:$G$2951,0)),"")</f>
        <v>US</v>
      </c>
      <c r="F141" s="2" t="str">
        <f>IFERROR(INDEX('Master - US vs THEM'!$F$2:$F$2951,MATCH($A141&amp;"|"&amp;F$1,'Master - US vs THEM'!$G$2:$G$2951,0)),"")</f>
        <v>US</v>
      </c>
      <c r="G141" s="2" t="str">
        <f>IFERROR(INDEX('Master - US vs THEM'!$F$2:$F$2951,MATCH($A141&amp;"|"&amp;G$1,'Master - US vs THEM'!$G$2:$G$2951,0)),"")</f>
        <v>US</v>
      </c>
      <c r="H141" s="2" t="str">
        <f>IFERROR(INDEX('Master - US vs THEM'!$F$2:$F$2951,MATCH($A141&amp;"|"&amp;H$1,'Master - US vs THEM'!$G$2:$G$2951,0)),"")</f>
        <v>US</v>
      </c>
      <c r="I141" s="2" t="str">
        <f>IFERROR(INDEX('Master - US vs THEM'!$F$2:$F$2951,MATCH($A141&amp;"|"&amp;I$1,'Master - US vs THEM'!$G$2:$G$2951,0)),"")</f>
        <v>US</v>
      </c>
      <c r="J141" s="2" t="str">
        <f>IFERROR(INDEX('Master - US vs THEM'!$F$2:$F$2951,MATCH($A141&amp;"|"&amp;J$1,'Master - US vs THEM'!$G$2:$G$2951,0)),"")</f>
        <v>US</v>
      </c>
      <c r="K141" s="2" t="str">
        <f>IFERROR(INDEX('Master - US vs THEM'!$F$2:$F$2951,MATCH($A141&amp;"|"&amp;K$1,'Master - US vs THEM'!$G$2:$G$2951,0)),"")</f>
        <v>US</v>
      </c>
    </row>
    <row r="142" spans="1:11" x14ac:dyDescent="0.2">
      <c r="A142" s="2" t="str">
        <f>'[1]Brand Family Territory (Enc)'!A142</f>
        <v>Buzbee's</v>
      </c>
      <c r="B142" s="2" t="str">
        <f>IFERROR(INDEX('Master - US vs THEM'!$F$2:$F$2951,MATCH($A142&amp;"|"&amp;B$1,'Master - US vs THEM'!$G$2:$G$2951,0)),"")</f>
        <v>US</v>
      </c>
      <c r="C142" s="2" t="str">
        <f>IFERROR(INDEX('Master - US vs THEM'!$F$2:$F$2951,MATCH($A142&amp;"|"&amp;C$1,'Master - US vs THEM'!$G$2:$G$2951,0)),"")</f>
        <v>US</v>
      </c>
      <c r="D142" s="2" t="str">
        <f>IFERROR(INDEX('Master - US vs THEM'!$F$2:$F$2951,MATCH($A142&amp;"|"&amp;D$1,'Master - US vs THEM'!$G$2:$G$2951,0)),"")</f>
        <v>US</v>
      </c>
      <c r="E142" s="2" t="str">
        <f>IFERROR(INDEX('Master - US vs THEM'!$F$2:$F$2951,MATCH($A142&amp;"|"&amp;E$1,'Master - US vs THEM'!$G$2:$G$2951,0)),"")</f>
        <v>US</v>
      </c>
      <c r="F142" s="2" t="str">
        <f>IFERROR(INDEX('Master - US vs THEM'!$F$2:$F$2951,MATCH($A142&amp;"|"&amp;F$1,'Master - US vs THEM'!$G$2:$G$2951,0)),"")</f>
        <v>US</v>
      </c>
      <c r="G142" s="2" t="str">
        <f>IFERROR(INDEX('Master - US vs THEM'!$F$2:$F$2951,MATCH($A142&amp;"|"&amp;G$1,'Master - US vs THEM'!$G$2:$G$2951,0)),"")</f>
        <v>US</v>
      </c>
      <c r="H142" s="2" t="str">
        <f>IFERROR(INDEX('Master - US vs THEM'!$F$2:$F$2951,MATCH($A142&amp;"|"&amp;H$1,'Master - US vs THEM'!$G$2:$G$2951,0)),"")</f>
        <v>US</v>
      </c>
      <c r="I142" s="2" t="str">
        <f>IFERROR(INDEX('Master - US vs THEM'!$F$2:$F$2951,MATCH($A142&amp;"|"&amp;I$1,'Master - US vs THEM'!$G$2:$G$2951,0)),"")</f>
        <v>US</v>
      </c>
      <c r="J142" s="2" t="str">
        <f>IFERROR(INDEX('Master - US vs THEM'!$F$2:$F$2951,MATCH($A142&amp;"|"&amp;J$1,'Master - US vs THEM'!$G$2:$G$2951,0)),"")</f>
        <v>US</v>
      </c>
      <c r="K142" s="2" t="str">
        <f>IFERROR(INDEX('Master - US vs THEM'!$F$2:$F$2951,MATCH($A142&amp;"|"&amp;K$1,'Master - US vs THEM'!$G$2:$G$2951,0)),"")</f>
        <v>US</v>
      </c>
    </row>
    <row r="143" spans="1:11" x14ac:dyDescent="0.2">
      <c r="A143" s="2" t="str">
        <f>'[1]Brand Family Territory (Enc)'!A143</f>
        <v>Calise</v>
      </c>
      <c r="B143" s="2" t="str">
        <f>IFERROR(INDEX('Master - US vs THEM'!$F$2:$F$2951,MATCH($A143&amp;"|"&amp;B$1,'Master - US vs THEM'!$G$2:$G$2951,0)),"")</f>
        <v>US</v>
      </c>
      <c r="C143" s="2" t="str">
        <f>IFERROR(INDEX('Master - US vs THEM'!$F$2:$F$2951,MATCH($A143&amp;"|"&amp;C$1,'Master - US vs THEM'!$G$2:$G$2951,0)),"")</f>
        <v>US</v>
      </c>
      <c r="D143" s="2" t="str">
        <f>IFERROR(INDEX('Master - US vs THEM'!$F$2:$F$2951,MATCH($A143&amp;"|"&amp;D$1,'Master - US vs THEM'!$G$2:$G$2951,0)),"")</f>
        <v>US</v>
      </c>
      <c r="E143" s="2" t="str">
        <f>IFERROR(INDEX('Master - US vs THEM'!$F$2:$F$2951,MATCH($A143&amp;"|"&amp;E$1,'Master - US vs THEM'!$G$2:$G$2951,0)),"")</f>
        <v>US</v>
      </c>
      <c r="F143" s="2" t="str">
        <f>IFERROR(INDEX('Master - US vs THEM'!$F$2:$F$2951,MATCH($A143&amp;"|"&amp;F$1,'Master - US vs THEM'!$G$2:$G$2951,0)),"")</f>
        <v>US</v>
      </c>
      <c r="G143" s="2" t="str">
        <f>IFERROR(INDEX('Master - US vs THEM'!$F$2:$F$2951,MATCH($A143&amp;"|"&amp;G$1,'Master - US vs THEM'!$G$2:$G$2951,0)),"")</f>
        <v>US</v>
      </c>
      <c r="H143" s="2" t="str">
        <f>IFERROR(INDEX('Master - US vs THEM'!$F$2:$F$2951,MATCH($A143&amp;"|"&amp;H$1,'Master - US vs THEM'!$G$2:$G$2951,0)),"")</f>
        <v>US</v>
      </c>
      <c r="I143" s="2" t="str">
        <f>IFERROR(INDEX('Master - US vs THEM'!$F$2:$F$2951,MATCH($A143&amp;"|"&amp;I$1,'Master - US vs THEM'!$G$2:$G$2951,0)),"")</f>
        <v>US</v>
      </c>
      <c r="J143" s="2" t="str">
        <f>IFERROR(INDEX('Master - US vs THEM'!$F$2:$F$2951,MATCH($A143&amp;"|"&amp;J$1,'Master - US vs THEM'!$G$2:$G$2951,0)),"")</f>
        <v>US</v>
      </c>
      <c r="K143" s="2" t="str">
        <f>IFERROR(INDEX('Master - US vs THEM'!$F$2:$F$2951,MATCH($A143&amp;"|"&amp;K$1,'Master - US vs THEM'!$G$2:$G$2951,0)),"")</f>
        <v>US</v>
      </c>
    </row>
    <row r="144" spans="1:11" x14ac:dyDescent="0.2">
      <c r="A144" s="2" t="str">
        <f>'[1]Brand Family Territory (Enc)'!A144</f>
        <v>Carib</v>
      </c>
      <c r="B144" s="2" t="str">
        <f>IFERROR(INDEX('Master - US vs THEM'!$F$2:$F$2951,MATCH($A144&amp;"|"&amp;B$1,'Master - US vs THEM'!$G$2:$G$2951,0)),"")</f>
        <v>US</v>
      </c>
      <c r="C144" s="2" t="str">
        <f>IFERROR(INDEX('Master - US vs THEM'!$F$2:$F$2951,MATCH($A144&amp;"|"&amp;C$1,'Master - US vs THEM'!$G$2:$G$2951,0)),"")</f>
        <v>US</v>
      </c>
      <c r="D144" s="2" t="str">
        <f>IFERROR(INDEX('Master - US vs THEM'!$F$2:$F$2951,MATCH($A144&amp;"|"&amp;D$1,'Master - US vs THEM'!$G$2:$G$2951,0)),"")</f>
        <v>US</v>
      </c>
      <c r="E144" s="2" t="str">
        <f>IFERROR(INDEX('Master - US vs THEM'!$F$2:$F$2951,MATCH($A144&amp;"|"&amp;E$1,'Master - US vs THEM'!$G$2:$G$2951,0)),"")</f>
        <v>US</v>
      </c>
      <c r="F144" s="2" t="str">
        <f>IFERROR(INDEX('Master - US vs THEM'!$F$2:$F$2951,MATCH($A144&amp;"|"&amp;F$1,'Master - US vs THEM'!$G$2:$G$2951,0)),"")</f>
        <v>US</v>
      </c>
      <c r="G144" s="2" t="str">
        <f>IFERROR(INDEX('Master - US vs THEM'!$F$2:$F$2951,MATCH($A144&amp;"|"&amp;G$1,'Master - US vs THEM'!$G$2:$G$2951,0)),"")</f>
        <v>US</v>
      </c>
      <c r="H144" s="2" t="str">
        <f>IFERROR(INDEX('Master - US vs THEM'!$F$2:$F$2951,MATCH($A144&amp;"|"&amp;H$1,'Master - US vs THEM'!$G$2:$G$2951,0)),"")</f>
        <v>US</v>
      </c>
      <c r="I144" s="2" t="str">
        <f>IFERROR(INDEX('Master - US vs THEM'!$F$2:$F$2951,MATCH($A144&amp;"|"&amp;I$1,'Master - US vs THEM'!$G$2:$G$2951,0)),"")</f>
        <v>US</v>
      </c>
      <c r="J144" s="2" t="str">
        <f>IFERROR(INDEX('Master - US vs THEM'!$F$2:$F$2951,MATCH($A144&amp;"|"&amp;J$1,'Master - US vs THEM'!$G$2:$G$2951,0)),"")</f>
        <v>US</v>
      </c>
      <c r="K144" s="2" t="str">
        <f>IFERROR(INDEX('Master - US vs THEM'!$F$2:$F$2951,MATCH($A144&amp;"|"&amp;K$1,'Master - US vs THEM'!$G$2:$G$2951,0)),"")</f>
        <v>US</v>
      </c>
    </row>
    <row r="145" spans="1:11" x14ac:dyDescent="0.2">
      <c r="A145" s="2" t="str">
        <f>'[1]Brand Family Territory (Enc)'!A145</f>
        <v>Charro</v>
      </c>
      <c r="B145" s="2" t="str">
        <f>IFERROR(INDEX('Master - US vs THEM'!$F$2:$F$2951,MATCH($A145&amp;"|"&amp;B$1,'Master - US vs THEM'!$G$2:$G$2951,0)),"")</f>
        <v>US</v>
      </c>
      <c r="C145" s="2" t="str">
        <f>IFERROR(INDEX('Master - US vs THEM'!$F$2:$F$2951,MATCH($A145&amp;"|"&amp;C$1,'Master - US vs THEM'!$G$2:$G$2951,0)),"")</f>
        <v>US</v>
      </c>
      <c r="D145" s="2" t="str">
        <f>IFERROR(INDEX('Master - US vs THEM'!$F$2:$F$2951,MATCH($A145&amp;"|"&amp;D$1,'Master - US vs THEM'!$G$2:$G$2951,0)),"")</f>
        <v>US</v>
      </c>
      <c r="E145" s="2" t="str">
        <f>IFERROR(INDEX('Master - US vs THEM'!$F$2:$F$2951,MATCH($A145&amp;"|"&amp;E$1,'Master - US vs THEM'!$G$2:$G$2951,0)),"")</f>
        <v>US</v>
      </c>
      <c r="F145" s="2" t="str">
        <f>IFERROR(INDEX('Master - US vs THEM'!$F$2:$F$2951,MATCH($A145&amp;"|"&amp;F$1,'Master - US vs THEM'!$G$2:$G$2951,0)),"")</f>
        <v>US</v>
      </c>
      <c r="G145" s="2" t="str">
        <f>IFERROR(INDEX('Master - US vs THEM'!$F$2:$F$2951,MATCH($A145&amp;"|"&amp;G$1,'Master - US vs THEM'!$G$2:$G$2951,0)),"")</f>
        <v>US</v>
      </c>
      <c r="H145" s="2" t="str">
        <f>IFERROR(INDEX('Master - US vs THEM'!$F$2:$F$2951,MATCH($A145&amp;"|"&amp;H$1,'Master - US vs THEM'!$G$2:$G$2951,0)),"")</f>
        <v>US</v>
      </c>
      <c r="I145" s="2" t="str">
        <f>IFERROR(INDEX('Master - US vs THEM'!$F$2:$F$2951,MATCH($A145&amp;"|"&amp;I$1,'Master - US vs THEM'!$G$2:$G$2951,0)),"")</f>
        <v>US</v>
      </c>
      <c r="J145" s="2" t="str">
        <f>IFERROR(INDEX('Master - US vs THEM'!$F$2:$F$2951,MATCH($A145&amp;"|"&amp;J$1,'Master - US vs THEM'!$G$2:$G$2951,0)),"")</f>
        <v>US</v>
      </c>
      <c r="K145" s="2" t="str">
        <f>IFERROR(INDEX('Master - US vs THEM'!$F$2:$F$2951,MATCH($A145&amp;"|"&amp;K$1,'Master - US vs THEM'!$G$2:$G$2951,0)),"")</f>
        <v>US</v>
      </c>
    </row>
    <row r="146" spans="1:11" x14ac:dyDescent="0.2">
      <c r="A146" s="2" t="str">
        <f>'[1]Brand Family Territory (Enc)'!A146</f>
        <v>Chateau Diana</v>
      </c>
      <c r="B146" s="2" t="str">
        <f>IFERROR(INDEX('Master - US vs THEM'!$F$2:$F$2951,MATCH($A146&amp;"|"&amp;B$1,'Master - US vs THEM'!$G$2:$G$2951,0)),"")</f>
        <v>US</v>
      </c>
      <c r="C146" s="2" t="str">
        <f>IFERROR(INDEX('Master - US vs THEM'!$F$2:$F$2951,MATCH($A146&amp;"|"&amp;C$1,'Master - US vs THEM'!$G$2:$G$2951,0)),"")</f>
        <v>US</v>
      </c>
      <c r="D146" s="2" t="str">
        <f>IFERROR(INDEX('Master - US vs THEM'!$F$2:$F$2951,MATCH($A146&amp;"|"&amp;D$1,'Master - US vs THEM'!$G$2:$G$2951,0)),"")</f>
        <v>US</v>
      </c>
      <c r="E146" s="2" t="str">
        <f>IFERROR(INDEX('Master - US vs THEM'!$F$2:$F$2951,MATCH($A146&amp;"|"&amp;E$1,'Master - US vs THEM'!$G$2:$G$2951,0)),"")</f>
        <v>US</v>
      </c>
      <c r="F146" s="2" t="str">
        <f>IFERROR(INDEX('Master - US vs THEM'!$F$2:$F$2951,MATCH($A146&amp;"|"&amp;F$1,'Master - US vs THEM'!$G$2:$G$2951,0)),"")</f>
        <v>US</v>
      </c>
      <c r="G146" s="2" t="str">
        <f>IFERROR(INDEX('Master - US vs THEM'!$F$2:$F$2951,MATCH($A146&amp;"|"&amp;G$1,'Master - US vs THEM'!$G$2:$G$2951,0)),"")</f>
        <v>US</v>
      </c>
      <c r="H146" s="2" t="str">
        <f>IFERROR(INDEX('Master - US vs THEM'!$F$2:$F$2951,MATCH($A146&amp;"|"&amp;H$1,'Master - US vs THEM'!$G$2:$G$2951,0)),"")</f>
        <v>US</v>
      </c>
      <c r="I146" s="2" t="str">
        <f>IFERROR(INDEX('Master - US vs THEM'!$F$2:$F$2951,MATCH($A146&amp;"|"&amp;I$1,'Master - US vs THEM'!$G$2:$G$2951,0)),"")</f>
        <v>US</v>
      </c>
      <c r="J146" s="2" t="str">
        <f>IFERROR(INDEX('Master - US vs THEM'!$F$2:$F$2951,MATCH($A146&amp;"|"&amp;J$1,'Master - US vs THEM'!$G$2:$G$2951,0)),"")</f>
        <v>US</v>
      </c>
      <c r="K146" s="2" t="str">
        <f>IFERROR(INDEX('Master - US vs THEM'!$F$2:$F$2951,MATCH($A146&amp;"|"&amp;K$1,'Master - US vs THEM'!$G$2:$G$2951,0)),"")</f>
        <v>US</v>
      </c>
    </row>
    <row r="147" spans="1:11" x14ac:dyDescent="0.2">
      <c r="A147" s="2" t="str">
        <f>'[1]Brand Family Territory (Enc)'!A147</f>
        <v>Clausthaler</v>
      </c>
      <c r="B147" s="2" t="str">
        <f>IFERROR(INDEX('Master - US vs THEM'!$F$2:$F$2951,MATCH($A147&amp;"|"&amp;B$1,'Master - US vs THEM'!$G$2:$G$2951,0)),"")</f>
        <v>US</v>
      </c>
      <c r="C147" s="2" t="str">
        <f>IFERROR(INDEX('Master - US vs THEM'!$F$2:$F$2951,MATCH($A147&amp;"|"&amp;C$1,'Master - US vs THEM'!$G$2:$G$2951,0)),"")</f>
        <v>US</v>
      </c>
      <c r="D147" s="2" t="str">
        <f>IFERROR(INDEX('Master - US vs THEM'!$F$2:$F$2951,MATCH($A147&amp;"|"&amp;D$1,'Master - US vs THEM'!$G$2:$G$2951,0)),"")</f>
        <v>US</v>
      </c>
      <c r="E147" s="2" t="str">
        <f>IFERROR(INDEX('Master - US vs THEM'!$F$2:$F$2951,MATCH($A147&amp;"|"&amp;E$1,'Master - US vs THEM'!$G$2:$G$2951,0)),"")</f>
        <v>US</v>
      </c>
      <c r="F147" s="2" t="str">
        <f>IFERROR(INDEX('Master - US vs THEM'!$F$2:$F$2951,MATCH($A147&amp;"|"&amp;F$1,'Master - US vs THEM'!$G$2:$G$2951,0)),"")</f>
        <v>US</v>
      </c>
      <c r="G147" s="2" t="str">
        <f>IFERROR(INDEX('Master - US vs THEM'!$F$2:$F$2951,MATCH($A147&amp;"|"&amp;G$1,'Master - US vs THEM'!$G$2:$G$2951,0)),"")</f>
        <v>US</v>
      </c>
      <c r="H147" s="2" t="str">
        <f>IFERROR(INDEX('Master - US vs THEM'!$F$2:$F$2951,MATCH($A147&amp;"|"&amp;H$1,'Master - US vs THEM'!$G$2:$G$2951,0)),"")</f>
        <v>US</v>
      </c>
      <c r="I147" s="2" t="str">
        <f>IFERROR(INDEX('Master - US vs THEM'!$F$2:$F$2951,MATCH($A147&amp;"|"&amp;I$1,'Master - US vs THEM'!$G$2:$G$2951,0)),"")</f>
        <v>US</v>
      </c>
      <c r="J147" s="2" t="str">
        <f>IFERROR(INDEX('Master - US vs THEM'!$F$2:$F$2951,MATCH($A147&amp;"|"&amp;J$1,'Master - US vs THEM'!$G$2:$G$2951,0)),"")</f>
        <v>US</v>
      </c>
      <c r="K147" s="2" t="str">
        <f>IFERROR(INDEX('Master - US vs THEM'!$F$2:$F$2951,MATCH($A147&amp;"|"&amp;K$1,'Master - US vs THEM'!$G$2:$G$2951,0)),"")</f>
        <v>US</v>
      </c>
    </row>
    <row r="148" spans="1:11" x14ac:dyDescent="0.2">
      <c r="A148" s="2" t="str">
        <f>'[1]Brand Family Territory (Enc)'!A148</f>
        <v>Food &amp; Bev</v>
      </c>
      <c r="B148" s="2" t="str">
        <f>IFERROR(INDEX('Master - US vs THEM'!$F$2:$F$2951,MATCH($A148&amp;"|"&amp;B$1,'Master - US vs THEM'!$G$2:$G$2951,0)),"")</f>
        <v>US</v>
      </c>
      <c r="C148" s="2" t="str">
        <f>IFERROR(INDEX('Master - US vs THEM'!$F$2:$F$2951,MATCH($A148&amp;"|"&amp;C$1,'Master - US vs THEM'!$G$2:$G$2951,0)),"")</f>
        <v>US</v>
      </c>
      <c r="D148" s="2" t="str">
        <f>IFERROR(INDEX('Master - US vs THEM'!$F$2:$F$2951,MATCH($A148&amp;"|"&amp;D$1,'Master - US vs THEM'!$G$2:$G$2951,0)),"")</f>
        <v>US</v>
      </c>
      <c r="E148" s="2" t="str">
        <f>IFERROR(INDEX('Master - US vs THEM'!$F$2:$F$2951,MATCH($A148&amp;"|"&amp;E$1,'Master - US vs THEM'!$G$2:$G$2951,0)),"")</f>
        <v>US</v>
      </c>
      <c r="F148" s="2" t="str">
        <f>IFERROR(INDEX('Master - US vs THEM'!$F$2:$F$2951,MATCH($A148&amp;"|"&amp;F$1,'Master - US vs THEM'!$G$2:$G$2951,0)),"")</f>
        <v>US</v>
      </c>
      <c r="G148" s="2" t="str">
        <f>IFERROR(INDEX('Master - US vs THEM'!$F$2:$F$2951,MATCH($A148&amp;"|"&amp;G$1,'Master - US vs THEM'!$G$2:$G$2951,0)),"")</f>
        <v>US</v>
      </c>
      <c r="H148" s="2" t="str">
        <f>IFERROR(INDEX('Master - US vs THEM'!$F$2:$F$2951,MATCH($A148&amp;"|"&amp;H$1,'Master - US vs THEM'!$G$2:$G$2951,0)),"")</f>
        <v>US</v>
      </c>
      <c r="I148" s="2" t="str">
        <f>IFERROR(INDEX('Master - US vs THEM'!$F$2:$F$2951,MATCH($A148&amp;"|"&amp;I$1,'Master - US vs THEM'!$G$2:$G$2951,0)),"")</f>
        <v>US</v>
      </c>
      <c r="J148" s="2" t="str">
        <f>IFERROR(INDEX('Master - US vs THEM'!$F$2:$F$2951,MATCH($A148&amp;"|"&amp;J$1,'Master - US vs THEM'!$G$2:$G$2951,0)),"")</f>
        <v>US</v>
      </c>
      <c r="K148" s="2" t="str">
        <f>IFERROR(INDEX('Master - US vs THEM'!$F$2:$F$2951,MATCH($A148&amp;"|"&amp;K$1,'Master - US vs THEM'!$G$2:$G$2951,0)),"")</f>
        <v>US</v>
      </c>
    </row>
    <row r="149" spans="1:11" x14ac:dyDescent="0.2">
      <c r="A149" s="2" t="str">
        <f>'[1]Brand Family Territory (Enc)'!A149</f>
        <v>Coastal Cocktails</v>
      </c>
      <c r="B149" s="2" t="str">
        <f>IFERROR(INDEX('Master - US vs THEM'!$F$2:$F$2951,MATCH($A149&amp;"|"&amp;B$1,'Master - US vs THEM'!$G$2:$G$2951,0)),"")</f>
        <v>US</v>
      </c>
      <c r="C149" s="2" t="str">
        <f>IFERROR(INDEX('Master - US vs THEM'!$F$2:$F$2951,MATCH($A149&amp;"|"&amp;C$1,'Master - US vs THEM'!$G$2:$G$2951,0)),"")</f>
        <v>US</v>
      </c>
      <c r="D149" s="2" t="str">
        <f>IFERROR(INDEX('Master - US vs THEM'!$F$2:$F$2951,MATCH($A149&amp;"|"&amp;D$1,'Master - US vs THEM'!$G$2:$G$2951,0)),"")</f>
        <v>US</v>
      </c>
      <c r="E149" s="2" t="str">
        <f>IFERROR(INDEX('Master - US vs THEM'!$F$2:$F$2951,MATCH($A149&amp;"|"&amp;E$1,'Master - US vs THEM'!$G$2:$G$2951,0)),"")</f>
        <v>US</v>
      </c>
      <c r="F149" s="2" t="str">
        <f>IFERROR(INDEX('Master - US vs THEM'!$F$2:$F$2951,MATCH($A149&amp;"|"&amp;F$1,'Master - US vs THEM'!$G$2:$G$2951,0)),"")</f>
        <v>US</v>
      </c>
      <c r="G149" s="2" t="str">
        <f>IFERROR(INDEX('Master - US vs THEM'!$F$2:$F$2951,MATCH($A149&amp;"|"&amp;G$1,'Master - US vs THEM'!$G$2:$G$2951,0)),"")</f>
        <v>US</v>
      </c>
      <c r="H149" s="2" t="str">
        <f>IFERROR(INDEX('Master - US vs THEM'!$F$2:$F$2951,MATCH($A149&amp;"|"&amp;H$1,'Master - US vs THEM'!$G$2:$G$2951,0)),"")</f>
        <v>US</v>
      </c>
      <c r="I149" s="2" t="str">
        <f>IFERROR(INDEX('Master - US vs THEM'!$F$2:$F$2951,MATCH($A149&amp;"|"&amp;I$1,'Master - US vs THEM'!$G$2:$G$2951,0)),"")</f>
        <v>US</v>
      </c>
      <c r="J149" s="2" t="str">
        <f>IFERROR(INDEX('Master - US vs THEM'!$F$2:$F$2951,MATCH($A149&amp;"|"&amp;J$1,'Master - US vs THEM'!$G$2:$G$2951,0)),"")</f>
        <v>US</v>
      </c>
      <c r="K149" s="2" t="str">
        <f>IFERROR(INDEX('Master - US vs THEM'!$F$2:$F$2951,MATCH($A149&amp;"|"&amp;K$1,'Master - US vs THEM'!$G$2:$G$2951,0)),"")</f>
        <v>US</v>
      </c>
    </row>
    <row r="150" spans="1:11" x14ac:dyDescent="0.2">
      <c r="A150" s="2" t="str">
        <f>'[1]Brand Family Territory (Enc)'!A150</f>
        <v>Colt 45</v>
      </c>
      <c r="B150" s="2" t="str">
        <f>IFERROR(INDEX('Master - US vs THEM'!$F$2:$F$2951,MATCH($A150&amp;"|"&amp;B$1,'Master - US vs THEM'!$G$2:$G$2951,0)),"")</f>
        <v>US</v>
      </c>
      <c r="C150" s="2" t="str">
        <f>IFERROR(INDEX('Master - US vs THEM'!$F$2:$F$2951,MATCH($A150&amp;"|"&amp;C$1,'Master - US vs THEM'!$G$2:$G$2951,0)),"")</f>
        <v>US</v>
      </c>
      <c r="D150" s="2" t="str">
        <f>IFERROR(INDEX('Master - US vs THEM'!$F$2:$F$2951,MATCH($A150&amp;"|"&amp;D$1,'Master - US vs THEM'!$G$2:$G$2951,0)),"")</f>
        <v>US</v>
      </c>
      <c r="E150" s="2" t="str">
        <f>IFERROR(INDEX('Master - US vs THEM'!$F$2:$F$2951,MATCH($A150&amp;"|"&amp;E$1,'Master - US vs THEM'!$G$2:$G$2951,0)),"")</f>
        <v>US</v>
      </c>
      <c r="F150" s="2" t="str">
        <f>IFERROR(INDEX('Master - US vs THEM'!$F$2:$F$2951,MATCH($A150&amp;"|"&amp;F$1,'Master - US vs THEM'!$G$2:$G$2951,0)),"")</f>
        <v>US</v>
      </c>
      <c r="G150" s="2" t="str">
        <f>IFERROR(INDEX('Master - US vs THEM'!$F$2:$F$2951,MATCH($A150&amp;"|"&amp;G$1,'Master - US vs THEM'!$G$2:$G$2951,0)),"")</f>
        <v>US</v>
      </c>
      <c r="H150" s="2" t="str">
        <f>IFERROR(INDEX('Master - US vs THEM'!$F$2:$F$2951,MATCH($A150&amp;"|"&amp;H$1,'Master - US vs THEM'!$G$2:$G$2951,0)),"")</f>
        <v>US</v>
      </c>
      <c r="I150" s="2" t="str">
        <f>IFERROR(INDEX('Master - US vs THEM'!$F$2:$F$2951,MATCH($A150&amp;"|"&amp;I$1,'Master - US vs THEM'!$G$2:$G$2951,0)),"")</f>
        <v>US</v>
      </c>
      <c r="J150" s="2" t="str">
        <f>IFERROR(INDEX('Master - US vs THEM'!$F$2:$F$2951,MATCH($A150&amp;"|"&amp;J$1,'Master - US vs THEM'!$G$2:$G$2951,0)),"")</f>
        <v>US</v>
      </c>
      <c r="K150" s="2" t="str">
        <f>IFERROR(INDEX('Master - US vs THEM'!$F$2:$F$2951,MATCH($A150&amp;"|"&amp;K$1,'Master - US vs THEM'!$G$2:$G$2951,0)),"")</f>
        <v>US</v>
      </c>
    </row>
    <row r="151" spans="1:11" x14ac:dyDescent="0.2">
      <c r="A151" s="2" t="str">
        <f>'[1]Brand Family Territory (Enc)'!A151</f>
        <v>Costenita</v>
      </c>
      <c r="B151" s="2" t="str">
        <f>IFERROR(INDEX('Master - US vs THEM'!$F$2:$F$2951,MATCH($A151&amp;"|"&amp;B$1,'Master - US vs THEM'!$G$2:$G$2951,0)),"")</f>
        <v>US</v>
      </c>
      <c r="C151" s="2" t="str">
        <f>IFERROR(INDEX('Master - US vs THEM'!$F$2:$F$2951,MATCH($A151&amp;"|"&amp;C$1,'Master - US vs THEM'!$G$2:$G$2951,0)),"")</f>
        <v>US</v>
      </c>
      <c r="D151" s="2" t="str">
        <f>IFERROR(INDEX('Master - US vs THEM'!$F$2:$F$2951,MATCH($A151&amp;"|"&amp;D$1,'Master - US vs THEM'!$G$2:$G$2951,0)),"")</f>
        <v>US</v>
      </c>
      <c r="E151" s="2" t="str">
        <f>IFERROR(INDEX('Master - US vs THEM'!$F$2:$F$2951,MATCH($A151&amp;"|"&amp;E$1,'Master - US vs THEM'!$G$2:$G$2951,0)),"")</f>
        <v>US</v>
      </c>
      <c r="F151" s="2" t="str">
        <f>IFERROR(INDEX('Master - US vs THEM'!$F$2:$F$2951,MATCH($A151&amp;"|"&amp;F$1,'Master - US vs THEM'!$G$2:$G$2951,0)),"")</f>
        <v>US</v>
      </c>
      <c r="G151" s="2" t="str">
        <f>IFERROR(INDEX('Master - US vs THEM'!$F$2:$F$2951,MATCH($A151&amp;"|"&amp;G$1,'Master - US vs THEM'!$G$2:$G$2951,0)),"")</f>
        <v>US</v>
      </c>
      <c r="H151" s="2" t="str">
        <f>IFERROR(INDEX('Master - US vs THEM'!$F$2:$F$2951,MATCH($A151&amp;"|"&amp;H$1,'Master - US vs THEM'!$G$2:$G$2951,0)),"")</f>
        <v>US</v>
      </c>
      <c r="I151" s="2" t="str">
        <f>IFERROR(INDEX('Master - US vs THEM'!$F$2:$F$2951,MATCH($A151&amp;"|"&amp;I$1,'Master - US vs THEM'!$G$2:$G$2951,0)),"")</f>
        <v>US</v>
      </c>
      <c r="J151" s="2" t="str">
        <f>IFERROR(INDEX('Master - US vs THEM'!$F$2:$F$2951,MATCH($A151&amp;"|"&amp;J$1,'Master - US vs THEM'!$G$2:$G$2951,0)),"")</f>
        <v>US</v>
      </c>
      <c r="K151" s="2" t="str">
        <f>IFERROR(INDEX('Master - US vs THEM'!$F$2:$F$2951,MATCH($A151&amp;"|"&amp;K$1,'Master - US vs THEM'!$G$2:$G$2951,0)),"")</f>
        <v>US</v>
      </c>
    </row>
    <row r="152" spans="1:11" x14ac:dyDescent="0.2">
      <c r="A152" s="2" t="str">
        <f>'[1]Brand Family Territory (Enc)'!A152</f>
        <v>Country Club</v>
      </c>
      <c r="B152" s="2" t="str">
        <f>IFERROR(INDEX('Master - US vs THEM'!$F$2:$F$2951,MATCH($A152&amp;"|"&amp;B$1,'Master - US vs THEM'!$G$2:$G$2951,0)),"")</f>
        <v>US</v>
      </c>
      <c r="C152" s="2" t="str">
        <f>IFERROR(INDEX('Master - US vs THEM'!$F$2:$F$2951,MATCH($A152&amp;"|"&amp;C$1,'Master - US vs THEM'!$G$2:$G$2951,0)),"")</f>
        <v>US</v>
      </c>
      <c r="D152" s="2" t="str">
        <f>IFERROR(INDEX('Master - US vs THEM'!$F$2:$F$2951,MATCH($A152&amp;"|"&amp;D$1,'Master - US vs THEM'!$G$2:$G$2951,0)),"")</f>
        <v>US</v>
      </c>
      <c r="E152" s="2" t="str">
        <f>IFERROR(INDEX('Master - US vs THEM'!$F$2:$F$2951,MATCH($A152&amp;"|"&amp;E$1,'Master - US vs THEM'!$G$2:$G$2951,0)),"")</f>
        <v>US</v>
      </c>
      <c r="F152" s="2" t="str">
        <f>IFERROR(INDEX('Master - US vs THEM'!$F$2:$F$2951,MATCH($A152&amp;"|"&amp;F$1,'Master - US vs THEM'!$G$2:$G$2951,0)),"")</f>
        <v>US</v>
      </c>
      <c r="G152" s="2" t="str">
        <f>IFERROR(INDEX('Master - US vs THEM'!$F$2:$F$2951,MATCH($A152&amp;"|"&amp;G$1,'Master - US vs THEM'!$G$2:$G$2951,0)),"")</f>
        <v>US</v>
      </c>
      <c r="H152" s="2" t="str">
        <f>IFERROR(INDEX('Master - US vs THEM'!$F$2:$F$2951,MATCH($A152&amp;"|"&amp;H$1,'Master - US vs THEM'!$G$2:$G$2951,0)),"")</f>
        <v>US</v>
      </c>
      <c r="I152" s="2" t="str">
        <f>IFERROR(INDEX('Master - US vs THEM'!$F$2:$F$2951,MATCH($A152&amp;"|"&amp;I$1,'Master - US vs THEM'!$G$2:$G$2951,0)),"")</f>
        <v>US</v>
      </c>
      <c r="J152" s="2" t="str">
        <f>IFERROR(INDEX('Master - US vs THEM'!$F$2:$F$2951,MATCH($A152&amp;"|"&amp;J$1,'Master - US vs THEM'!$G$2:$G$2951,0)),"")</f>
        <v>US</v>
      </c>
      <c r="K152" s="2" t="str">
        <f>IFERROR(INDEX('Master - US vs THEM'!$F$2:$F$2951,MATCH($A152&amp;"|"&amp;K$1,'Master - US vs THEM'!$G$2:$G$2951,0)),"")</f>
        <v>US</v>
      </c>
    </row>
    <row r="153" spans="1:11" x14ac:dyDescent="0.2">
      <c r="A153" s="2" t="str">
        <f>'[1]Brand Family Territory (Enc)'!A153</f>
        <v>Crescent 9</v>
      </c>
      <c r="B153" s="2" t="str">
        <f>IFERROR(INDEX('Master - US vs THEM'!$F$2:$F$2951,MATCH($A153&amp;"|"&amp;B$1,'Master - US vs THEM'!$G$2:$G$2951,0)),"")</f>
        <v>US</v>
      </c>
      <c r="C153" s="2" t="str">
        <f>IFERROR(INDEX('Master - US vs THEM'!$F$2:$F$2951,MATCH($A153&amp;"|"&amp;C$1,'Master - US vs THEM'!$G$2:$G$2951,0)),"")</f>
        <v>US</v>
      </c>
      <c r="D153" s="2" t="str">
        <f>IFERROR(INDEX('Master - US vs THEM'!$F$2:$F$2951,MATCH($A153&amp;"|"&amp;D$1,'Master - US vs THEM'!$G$2:$G$2951,0)),"")</f>
        <v>US</v>
      </c>
      <c r="E153" s="2" t="str">
        <f>IFERROR(INDEX('Master - US vs THEM'!$F$2:$F$2951,MATCH($A153&amp;"|"&amp;E$1,'Master - US vs THEM'!$G$2:$G$2951,0)),"")</f>
        <v>US</v>
      </c>
      <c r="F153" s="2" t="str">
        <f>IFERROR(INDEX('Master - US vs THEM'!$F$2:$F$2951,MATCH($A153&amp;"|"&amp;F$1,'Master - US vs THEM'!$G$2:$G$2951,0)),"")</f>
        <v>US</v>
      </c>
      <c r="G153" s="2" t="str">
        <f>IFERROR(INDEX('Master - US vs THEM'!$F$2:$F$2951,MATCH($A153&amp;"|"&amp;G$1,'Master - US vs THEM'!$G$2:$G$2951,0)),"")</f>
        <v>US</v>
      </c>
      <c r="H153" s="2" t="str">
        <f>IFERROR(INDEX('Master - US vs THEM'!$F$2:$F$2951,MATCH($A153&amp;"|"&amp;H$1,'Master - US vs THEM'!$G$2:$G$2951,0)),"")</f>
        <v>US</v>
      </c>
      <c r="I153" s="2" t="str">
        <f>IFERROR(INDEX('Master - US vs THEM'!$F$2:$F$2951,MATCH($A153&amp;"|"&amp;I$1,'Master - US vs THEM'!$G$2:$G$2951,0)),"")</f>
        <v>US</v>
      </c>
      <c r="J153" s="2" t="str">
        <f>IFERROR(INDEX('Master - US vs THEM'!$F$2:$F$2951,MATCH($A153&amp;"|"&amp;J$1,'Master - US vs THEM'!$G$2:$G$2951,0)),"")</f>
        <v>US</v>
      </c>
      <c r="K153" s="2" t="str">
        <f>IFERROR(INDEX('Master - US vs THEM'!$F$2:$F$2951,MATCH($A153&amp;"|"&amp;K$1,'Master - US vs THEM'!$G$2:$G$2951,0)),"")</f>
        <v>US</v>
      </c>
    </row>
    <row r="154" spans="1:11" x14ac:dyDescent="0.2">
      <c r="A154" s="2" t="str">
        <f>'[1]Brand Family Territory (Enc)'!A154</f>
        <v>Cricket Hill</v>
      </c>
      <c r="B154" s="2" t="str">
        <f>IFERROR(INDEX('Master - US vs THEM'!$F$2:$F$2951,MATCH($A154&amp;"|"&amp;B$1,'Master - US vs THEM'!$G$2:$G$2951,0)),"")</f>
        <v>US</v>
      </c>
      <c r="C154" s="2" t="str">
        <f>IFERROR(INDEX('Master - US vs THEM'!$F$2:$F$2951,MATCH($A154&amp;"|"&amp;C$1,'Master - US vs THEM'!$G$2:$G$2951,0)),"")</f>
        <v>US</v>
      </c>
      <c r="D154" s="2" t="str">
        <f>IFERROR(INDEX('Master - US vs THEM'!$F$2:$F$2951,MATCH($A154&amp;"|"&amp;D$1,'Master - US vs THEM'!$G$2:$G$2951,0)),"")</f>
        <v>US</v>
      </c>
      <c r="E154" s="2" t="str">
        <f>IFERROR(INDEX('Master - US vs THEM'!$F$2:$F$2951,MATCH($A154&amp;"|"&amp;E$1,'Master - US vs THEM'!$G$2:$G$2951,0)),"")</f>
        <v>US</v>
      </c>
      <c r="F154" s="2" t="str">
        <f>IFERROR(INDEX('Master - US vs THEM'!$F$2:$F$2951,MATCH($A154&amp;"|"&amp;F$1,'Master - US vs THEM'!$G$2:$G$2951,0)),"")</f>
        <v>US</v>
      </c>
      <c r="G154" s="2" t="str">
        <f>IFERROR(INDEX('Master - US vs THEM'!$F$2:$F$2951,MATCH($A154&amp;"|"&amp;G$1,'Master - US vs THEM'!$G$2:$G$2951,0)),"")</f>
        <v>US</v>
      </c>
      <c r="H154" s="2" t="str">
        <f>IFERROR(INDEX('Master - US vs THEM'!$F$2:$F$2951,MATCH($A154&amp;"|"&amp;H$1,'Master - US vs THEM'!$G$2:$G$2951,0)),"")</f>
        <v>US</v>
      </c>
      <c r="I154" s="2" t="str">
        <f>IFERROR(INDEX('Master - US vs THEM'!$F$2:$F$2951,MATCH($A154&amp;"|"&amp;I$1,'Master - US vs THEM'!$G$2:$G$2951,0)),"")</f>
        <v>US</v>
      </c>
      <c r="J154" s="2" t="str">
        <f>IFERROR(INDEX('Master - US vs THEM'!$F$2:$F$2951,MATCH($A154&amp;"|"&amp;J$1,'Master - US vs THEM'!$G$2:$G$2951,0)),"")</f>
        <v>US</v>
      </c>
      <c r="K154" s="2" t="str">
        <f>IFERROR(INDEX('Master - US vs THEM'!$F$2:$F$2951,MATCH($A154&amp;"|"&amp;K$1,'Master - US vs THEM'!$G$2:$G$2951,0)),"")</f>
        <v>US</v>
      </c>
    </row>
    <row r="155" spans="1:11" x14ac:dyDescent="0.2">
      <c r="A155" s="2" t="str">
        <f>'[1]Brand Family Territory (Enc)'!A155</f>
        <v>Crook&amp;Marker</v>
      </c>
      <c r="B155" s="2" t="str">
        <f>IFERROR(INDEX('Master - US vs THEM'!$F$2:$F$2951,MATCH($A155&amp;"|"&amp;B$1,'Master - US vs THEM'!$G$2:$G$2951,0)),"")</f>
        <v>US</v>
      </c>
      <c r="C155" s="2" t="str">
        <f>IFERROR(INDEX('Master - US vs THEM'!$F$2:$F$2951,MATCH($A155&amp;"|"&amp;C$1,'Master - US vs THEM'!$G$2:$G$2951,0)),"")</f>
        <v>US</v>
      </c>
      <c r="D155" s="2" t="str">
        <f>IFERROR(INDEX('Master - US vs THEM'!$F$2:$F$2951,MATCH($A155&amp;"|"&amp;D$1,'Master - US vs THEM'!$G$2:$G$2951,0)),"")</f>
        <v>US</v>
      </c>
      <c r="E155" s="2" t="str">
        <f>IFERROR(INDEX('Master - US vs THEM'!$F$2:$F$2951,MATCH($A155&amp;"|"&amp;E$1,'Master - US vs THEM'!$G$2:$G$2951,0)),"")</f>
        <v>US</v>
      </c>
      <c r="F155" s="2" t="str">
        <f>IFERROR(INDEX('Master - US vs THEM'!$F$2:$F$2951,MATCH($A155&amp;"|"&amp;F$1,'Master - US vs THEM'!$G$2:$G$2951,0)),"")</f>
        <v>US</v>
      </c>
      <c r="G155" s="2" t="str">
        <f>IFERROR(INDEX('Master - US vs THEM'!$F$2:$F$2951,MATCH($A155&amp;"|"&amp;G$1,'Master - US vs THEM'!$G$2:$G$2951,0)),"")</f>
        <v>US</v>
      </c>
      <c r="H155" s="2" t="str">
        <f>IFERROR(INDEX('Master - US vs THEM'!$F$2:$F$2951,MATCH($A155&amp;"|"&amp;H$1,'Master - US vs THEM'!$G$2:$G$2951,0)),"")</f>
        <v>US</v>
      </c>
      <c r="I155" s="2" t="str">
        <f>IFERROR(INDEX('Master - US vs THEM'!$F$2:$F$2951,MATCH($A155&amp;"|"&amp;I$1,'Master - US vs THEM'!$G$2:$G$2951,0)),"")</f>
        <v>US</v>
      </c>
      <c r="J155" s="2" t="str">
        <f>IFERROR(INDEX('Master - US vs THEM'!$F$2:$F$2951,MATCH($A155&amp;"|"&amp;J$1,'Master - US vs THEM'!$G$2:$G$2951,0)),"")</f>
        <v>US</v>
      </c>
      <c r="K155" s="2" t="str">
        <f>IFERROR(INDEX('Master - US vs THEM'!$F$2:$F$2951,MATCH($A155&amp;"|"&amp;K$1,'Master - US vs THEM'!$G$2:$G$2951,0)),"")</f>
        <v>US</v>
      </c>
    </row>
    <row r="156" spans="1:11" x14ac:dyDescent="0.2">
      <c r="A156" s="2" t="str">
        <f>'[1]Brand Family Territory (Enc)'!A156</f>
        <v>Crooked Tea</v>
      </c>
      <c r="B156" s="2" t="str">
        <f>IFERROR(INDEX('Master - US vs THEM'!$F$2:$F$2951,MATCH($A156&amp;"|"&amp;B$1,'Master - US vs THEM'!$G$2:$G$2951,0)),"")</f>
        <v>US</v>
      </c>
      <c r="C156" s="2" t="str">
        <f>IFERROR(INDEX('Master - US vs THEM'!$F$2:$F$2951,MATCH($A156&amp;"|"&amp;C$1,'Master - US vs THEM'!$G$2:$G$2951,0)),"")</f>
        <v>US</v>
      </c>
      <c r="D156" s="2" t="str">
        <f>IFERROR(INDEX('Master - US vs THEM'!$F$2:$F$2951,MATCH($A156&amp;"|"&amp;D$1,'Master - US vs THEM'!$G$2:$G$2951,0)),"")</f>
        <v>US</v>
      </c>
      <c r="E156" s="2" t="str">
        <f>IFERROR(INDEX('Master - US vs THEM'!$F$2:$F$2951,MATCH($A156&amp;"|"&amp;E$1,'Master - US vs THEM'!$G$2:$G$2951,0)),"")</f>
        <v>US</v>
      </c>
      <c r="F156" s="2" t="str">
        <f>IFERROR(INDEX('Master - US vs THEM'!$F$2:$F$2951,MATCH($A156&amp;"|"&amp;F$1,'Master - US vs THEM'!$G$2:$G$2951,0)),"")</f>
        <v>US</v>
      </c>
      <c r="G156" s="2" t="str">
        <f>IFERROR(INDEX('Master - US vs THEM'!$F$2:$F$2951,MATCH($A156&amp;"|"&amp;G$1,'Master - US vs THEM'!$G$2:$G$2951,0)),"")</f>
        <v>US</v>
      </c>
      <c r="H156" s="2" t="str">
        <f>IFERROR(INDEX('Master - US vs THEM'!$F$2:$F$2951,MATCH($A156&amp;"|"&amp;H$1,'Master - US vs THEM'!$G$2:$G$2951,0)),"")</f>
        <v>US</v>
      </c>
      <c r="I156" s="2" t="str">
        <f>IFERROR(INDEX('Master - US vs THEM'!$F$2:$F$2951,MATCH($A156&amp;"|"&amp;I$1,'Master - US vs THEM'!$G$2:$G$2951,0)),"")</f>
        <v>US</v>
      </c>
      <c r="J156" s="2" t="str">
        <f>IFERROR(INDEX('Master - US vs THEM'!$F$2:$F$2951,MATCH($A156&amp;"|"&amp;J$1,'Master - US vs THEM'!$G$2:$G$2951,0)),"")</f>
        <v>US</v>
      </c>
      <c r="K156" s="2" t="str">
        <f>IFERROR(INDEX('Master - US vs THEM'!$F$2:$F$2951,MATCH($A156&amp;"|"&amp;K$1,'Master - US vs THEM'!$G$2:$G$2951,0)),"")</f>
        <v>US</v>
      </c>
    </row>
    <row r="157" spans="1:11" x14ac:dyDescent="0.2">
      <c r="A157" s="2" t="str">
        <f>'[1]Brand Family Territory (Enc)'!A157</f>
        <v>Crooked Beverage</v>
      </c>
      <c r="B157" s="2" t="str">
        <f>IFERROR(INDEX('Master - US vs THEM'!$F$2:$F$2951,MATCH($A157&amp;"|"&amp;B$1,'Master - US vs THEM'!$G$2:$G$2951,0)),"")</f>
        <v>US</v>
      </c>
      <c r="C157" s="2" t="str">
        <f>IFERROR(INDEX('Master - US vs THEM'!$F$2:$F$2951,MATCH($A157&amp;"|"&amp;C$1,'Master - US vs THEM'!$G$2:$G$2951,0)),"")</f>
        <v>US</v>
      </c>
      <c r="D157" s="2" t="str">
        <f>IFERROR(INDEX('Master - US vs THEM'!$F$2:$F$2951,MATCH($A157&amp;"|"&amp;D$1,'Master - US vs THEM'!$G$2:$G$2951,0)),"")</f>
        <v>US</v>
      </c>
      <c r="E157" s="2" t="str">
        <f>IFERROR(INDEX('Master - US vs THEM'!$F$2:$F$2951,MATCH($A157&amp;"|"&amp;E$1,'Master - US vs THEM'!$G$2:$G$2951,0)),"")</f>
        <v>US</v>
      </c>
      <c r="F157" s="2" t="str">
        <f>IFERROR(INDEX('Master - US vs THEM'!$F$2:$F$2951,MATCH($A157&amp;"|"&amp;F$1,'Master - US vs THEM'!$G$2:$G$2951,0)),"")</f>
        <v>US</v>
      </c>
      <c r="G157" s="2" t="str">
        <f>IFERROR(INDEX('Master - US vs THEM'!$F$2:$F$2951,MATCH($A157&amp;"|"&amp;G$1,'Master - US vs THEM'!$G$2:$G$2951,0)),"")</f>
        <v>US</v>
      </c>
      <c r="H157" s="2" t="str">
        <f>IFERROR(INDEX('Master - US vs THEM'!$F$2:$F$2951,MATCH($A157&amp;"|"&amp;H$1,'Master - US vs THEM'!$G$2:$G$2951,0)),"")</f>
        <v>US</v>
      </c>
      <c r="I157" s="2" t="str">
        <f>IFERROR(INDEX('Master - US vs THEM'!$F$2:$F$2951,MATCH($A157&amp;"|"&amp;I$1,'Master - US vs THEM'!$G$2:$G$2951,0)),"")</f>
        <v>US</v>
      </c>
      <c r="J157" s="2" t="str">
        <f>IFERROR(INDEX('Master - US vs THEM'!$F$2:$F$2951,MATCH($A157&amp;"|"&amp;J$1,'Master - US vs THEM'!$G$2:$G$2951,0)),"")</f>
        <v>US</v>
      </c>
      <c r="K157" s="2" t="str">
        <f>IFERROR(INDEX('Master - US vs THEM'!$F$2:$F$2951,MATCH($A157&amp;"|"&amp;K$1,'Master - US vs THEM'!$G$2:$G$2951,0)),"")</f>
        <v>US</v>
      </c>
    </row>
    <row r="158" spans="1:11" x14ac:dyDescent="0.2">
      <c r="A158" s="2" t="str">
        <f>'[1]Brand Family Territory (Enc)'!A158</f>
        <v>Dab</v>
      </c>
      <c r="B158" s="2" t="str">
        <f>IFERROR(INDEX('Master - US vs THEM'!$F$2:$F$2951,MATCH($A158&amp;"|"&amp;B$1,'Master - US vs THEM'!$G$2:$G$2951,0)),"")</f>
        <v>US</v>
      </c>
      <c r="C158" s="2" t="str">
        <f>IFERROR(INDEX('Master - US vs THEM'!$F$2:$F$2951,MATCH($A158&amp;"|"&amp;C$1,'Master - US vs THEM'!$G$2:$G$2951,0)),"")</f>
        <v>US</v>
      </c>
      <c r="D158" s="2" t="str">
        <f>IFERROR(INDEX('Master - US vs THEM'!$F$2:$F$2951,MATCH($A158&amp;"|"&amp;D$1,'Master - US vs THEM'!$G$2:$G$2951,0)),"")</f>
        <v>US</v>
      </c>
      <c r="E158" s="2" t="str">
        <f>IFERROR(INDEX('Master - US vs THEM'!$F$2:$F$2951,MATCH($A158&amp;"|"&amp;E$1,'Master - US vs THEM'!$G$2:$G$2951,0)),"")</f>
        <v>US</v>
      </c>
      <c r="F158" s="2" t="str">
        <f>IFERROR(INDEX('Master - US vs THEM'!$F$2:$F$2951,MATCH($A158&amp;"|"&amp;F$1,'Master - US vs THEM'!$G$2:$G$2951,0)),"")</f>
        <v>US</v>
      </c>
      <c r="G158" s="2" t="str">
        <f>IFERROR(INDEX('Master - US vs THEM'!$F$2:$F$2951,MATCH($A158&amp;"|"&amp;G$1,'Master - US vs THEM'!$G$2:$G$2951,0)),"")</f>
        <v>US</v>
      </c>
      <c r="H158" s="2" t="str">
        <f>IFERROR(INDEX('Master - US vs THEM'!$F$2:$F$2951,MATCH($A158&amp;"|"&amp;H$1,'Master - US vs THEM'!$G$2:$G$2951,0)),"")</f>
        <v>US</v>
      </c>
      <c r="I158" s="2" t="str">
        <f>IFERROR(INDEX('Master - US vs THEM'!$F$2:$F$2951,MATCH($A158&amp;"|"&amp;I$1,'Master - US vs THEM'!$G$2:$G$2951,0)),"")</f>
        <v>US</v>
      </c>
      <c r="J158" s="2" t="str">
        <f>IFERROR(INDEX('Master - US vs THEM'!$F$2:$F$2951,MATCH($A158&amp;"|"&amp;J$1,'Master - US vs THEM'!$G$2:$G$2951,0)),"")</f>
        <v>US</v>
      </c>
      <c r="K158" s="2" t="str">
        <f>IFERROR(INDEX('Master - US vs THEM'!$F$2:$F$2951,MATCH($A158&amp;"|"&amp;K$1,'Master - US vs THEM'!$G$2:$G$2951,0)),"")</f>
        <v>US</v>
      </c>
    </row>
    <row r="159" spans="1:11" x14ac:dyDescent="0.2">
      <c r="A159" s="2" t="str">
        <f>'[1]Brand Family Territory (Enc)'!A159</f>
        <v>Day Chaser</v>
      </c>
      <c r="B159" s="2" t="str">
        <f>IFERROR(INDEX('Master - US vs THEM'!$F$2:$F$2951,MATCH($A159&amp;"|"&amp;B$1,'Master - US vs THEM'!$G$2:$G$2951,0)),"")</f>
        <v>US</v>
      </c>
      <c r="C159" s="2" t="str">
        <f>IFERROR(INDEX('Master - US vs THEM'!$F$2:$F$2951,MATCH($A159&amp;"|"&amp;C$1,'Master - US vs THEM'!$G$2:$G$2951,0)),"")</f>
        <v>US</v>
      </c>
      <c r="D159" s="2" t="str">
        <f>IFERROR(INDEX('Master - US vs THEM'!$F$2:$F$2951,MATCH($A159&amp;"|"&amp;D$1,'Master - US vs THEM'!$G$2:$G$2951,0)),"")</f>
        <v>US</v>
      </c>
      <c r="E159" s="2" t="str">
        <f>IFERROR(INDEX('Master - US vs THEM'!$F$2:$F$2951,MATCH($A159&amp;"|"&amp;E$1,'Master - US vs THEM'!$G$2:$G$2951,0)),"")</f>
        <v>US</v>
      </c>
      <c r="F159" s="2" t="str">
        <f>IFERROR(INDEX('Master - US vs THEM'!$F$2:$F$2951,MATCH($A159&amp;"|"&amp;F$1,'Master - US vs THEM'!$G$2:$G$2951,0)),"")</f>
        <v>US</v>
      </c>
      <c r="G159" s="2" t="str">
        <f>IFERROR(INDEX('Master - US vs THEM'!$F$2:$F$2951,MATCH($A159&amp;"|"&amp;G$1,'Master - US vs THEM'!$G$2:$G$2951,0)),"")</f>
        <v>US</v>
      </c>
      <c r="H159" s="2" t="str">
        <f>IFERROR(INDEX('Master - US vs THEM'!$F$2:$F$2951,MATCH($A159&amp;"|"&amp;H$1,'Master - US vs THEM'!$G$2:$G$2951,0)),"")</f>
        <v>US</v>
      </c>
      <c r="I159" s="2" t="str">
        <f>IFERROR(INDEX('Master - US vs THEM'!$F$2:$F$2951,MATCH($A159&amp;"|"&amp;I$1,'Master - US vs THEM'!$G$2:$G$2951,0)),"")</f>
        <v>US</v>
      </c>
      <c r="J159" s="2" t="str">
        <f>IFERROR(INDEX('Master - US vs THEM'!$F$2:$F$2951,MATCH($A159&amp;"|"&amp;J$1,'Master - US vs THEM'!$G$2:$G$2951,0)),"")</f>
        <v>US</v>
      </c>
      <c r="K159" s="2" t="str">
        <f>IFERROR(INDEX('Master - US vs THEM'!$F$2:$F$2951,MATCH($A159&amp;"|"&amp;K$1,'Master - US vs THEM'!$G$2:$G$2951,0)),"")</f>
        <v>US</v>
      </c>
    </row>
    <row r="160" spans="1:11" x14ac:dyDescent="0.2">
      <c r="A160" s="2" t="str">
        <f>'[1]Brand Family Territory (Enc)'!A160</f>
        <v>Defiant</v>
      </c>
      <c r="B160" s="2" t="str">
        <f>IFERROR(INDEX('Master - US vs THEM'!$F$2:$F$2951,MATCH($A160&amp;"|"&amp;B$1,'Master - US vs THEM'!$G$2:$G$2951,0)),"")</f>
        <v>US</v>
      </c>
      <c r="C160" s="2" t="str">
        <f>IFERROR(INDEX('Master - US vs THEM'!$F$2:$F$2951,MATCH($A160&amp;"|"&amp;C$1,'Master - US vs THEM'!$G$2:$G$2951,0)),"")</f>
        <v>US</v>
      </c>
      <c r="D160" s="2" t="str">
        <f>IFERROR(INDEX('Master - US vs THEM'!$F$2:$F$2951,MATCH($A160&amp;"|"&amp;D$1,'Master - US vs THEM'!$G$2:$G$2951,0)),"")</f>
        <v>US</v>
      </c>
      <c r="E160" s="2" t="str">
        <f>IFERROR(INDEX('Master - US vs THEM'!$F$2:$F$2951,MATCH($A160&amp;"|"&amp;E$1,'Master - US vs THEM'!$G$2:$G$2951,0)),"")</f>
        <v>US</v>
      </c>
      <c r="F160" s="2" t="str">
        <f>IFERROR(INDEX('Master - US vs THEM'!$F$2:$F$2951,MATCH($A160&amp;"|"&amp;F$1,'Master - US vs THEM'!$G$2:$G$2951,0)),"")</f>
        <v>US</v>
      </c>
      <c r="G160" s="2" t="str">
        <f>IFERROR(INDEX('Master - US vs THEM'!$F$2:$F$2951,MATCH($A160&amp;"|"&amp;G$1,'Master - US vs THEM'!$G$2:$G$2951,0)),"")</f>
        <v>US</v>
      </c>
      <c r="H160" s="2" t="str">
        <f>IFERROR(INDEX('Master - US vs THEM'!$F$2:$F$2951,MATCH($A160&amp;"|"&amp;H$1,'Master - US vs THEM'!$G$2:$G$2951,0)),"")</f>
        <v>US</v>
      </c>
      <c r="I160" s="2" t="str">
        <f>IFERROR(INDEX('Master - US vs THEM'!$F$2:$F$2951,MATCH($A160&amp;"|"&amp;I$1,'Master - US vs THEM'!$G$2:$G$2951,0)),"")</f>
        <v>US</v>
      </c>
      <c r="J160" s="2" t="str">
        <f>IFERROR(INDEX('Master - US vs THEM'!$F$2:$F$2951,MATCH($A160&amp;"|"&amp;J$1,'Master - US vs THEM'!$G$2:$G$2951,0)),"")</f>
        <v>US</v>
      </c>
      <c r="K160" s="2" t="str">
        <f>IFERROR(INDEX('Master - US vs THEM'!$F$2:$F$2951,MATCH($A160&amp;"|"&amp;K$1,'Master - US vs THEM'!$G$2:$G$2951,0)),"")</f>
        <v>US</v>
      </c>
    </row>
    <row r="161" spans="1:11" x14ac:dyDescent="0.2">
      <c r="A161" s="2" t="str">
        <f>'[1]Brand Family Territory (Enc)'!A161</f>
        <v>Delta</v>
      </c>
      <c r="B161" s="2" t="str">
        <f>IFERROR(INDEX('Master - US vs THEM'!$F$2:$F$2951,MATCH($A161&amp;"|"&amp;B$1,'Master - US vs THEM'!$G$2:$G$2951,0)),"")</f>
        <v>US</v>
      </c>
      <c r="C161" s="2" t="str">
        <f>IFERROR(INDEX('Master - US vs THEM'!$F$2:$F$2951,MATCH($A161&amp;"|"&amp;C$1,'Master - US vs THEM'!$G$2:$G$2951,0)),"")</f>
        <v>US</v>
      </c>
      <c r="D161" s="2" t="str">
        <f>IFERROR(INDEX('Master - US vs THEM'!$F$2:$F$2951,MATCH($A161&amp;"|"&amp;D$1,'Master - US vs THEM'!$G$2:$G$2951,0)),"")</f>
        <v>US</v>
      </c>
      <c r="E161" s="2" t="str">
        <f>IFERROR(INDEX('Master - US vs THEM'!$F$2:$F$2951,MATCH($A161&amp;"|"&amp;E$1,'Master - US vs THEM'!$G$2:$G$2951,0)),"")</f>
        <v>US</v>
      </c>
      <c r="F161" s="2" t="str">
        <f>IFERROR(INDEX('Master - US vs THEM'!$F$2:$F$2951,MATCH($A161&amp;"|"&amp;F$1,'Master - US vs THEM'!$G$2:$G$2951,0)),"")</f>
        <v>US</v>
      </c>
      <c r="G161" s="2" t="str">
        <f>IFERROR(INDEX('Master - US vs THEM'!$F$2:$F$2951,MATCH($A161&amp;"|"&amp;G$1,'Master - US vs THEM'!$G$2:$G$2951,0)),"")</f>
        <v>US</v>
      </c>
      <c r="H161" s="2" t="str">
        <f>IFERROR(INDEX('Master - US vs THEM'!$F$2:$F$2951,MATCH($A161&amp;"|"&amp;H$1,'Master - US vs THEM'!$G$2:$G$2951,0)),"")</f>
        <v>US</v>
      </c>
      <c r="I161" s="2" t="str">
        <f>IFERROR(INDEX('Master - US vs THEM'!$F$2:$F$2951,MATCH($A161&amp;"|"&amp;I$1,'Master - US vs THEM'!$G$2:$G$2951,0)),"")</f>
        <v>US</v>
      </c>
      <c r="J161" s="2" t="str">
        <f>IFERROR(INDEX('Master - US vs THEM'!$F$2:$F$2951,MATCH($A161&amp;"|"&amp;J$1,'Master - US vs THEM'!$G$2:$G$2951,0)),"")</f>
        <v>US</v>
      </c>
      <c r="K161" s="2" t="str">
        <f>IFERROR(INDEX('Master - US vs THEM'!$F$2:$F$2951,MATCH($A161&amp;"|"&amp;K$1,'Master - US vs THEM'!$G$2:$G$2951,0)),"")</f>
        <v>US</v>
      </c>
    </row>
    <row r="162" spans="1:11" x14ac:dyDescent="0.2">
      <c r="A162" s="2" t="str">
        <f>'[1]Brand Family Territory (Enc)'!A162</f>
        <v>Desquite</v>
      </c>
      <c r="B162" s="2" t="str">
        <f>IFERROR(INDEX('Master - US vs THEM'!$F$2:$F$2951,MATCH($A162&amp;"|"&amp;B$1,'Master - US vs THEM'!$G$2:$G$2951,0)),"")</f>
        <v>US</v>
      </c>
      <c r="C162" s="2" t="str">
        <f>IFERROR(INDEX('Master - US vs THEM'!$F$2:$F$2951,MATCH($A162&amp;"|"&amp;C$1,'Master - US vs THEM'!$G$2:$G$2951,0)),"")</f>
        <v>US</v>
      </c>
      <c r="D162" s="2" t="str">
        <f>IFERROR(INDEX('Master - US vs THEM'!$F$2:$F$2951,MATCH($A162&amp;"|"&amp;D$1,'Master - US vs THEM'!$G$2:$G$2951,0)),"")</f>
        <v>US</v>
      </c>
      <c r="E162" s="2" t="str">
        <f>IFERROR(INDEX('Master - US vs THEM'!$F$2:$F$2951,MATCH($A162&amp;"|"&amp;E$1,'Master - US vs THEM'!$G$2:$G$2951,0)),"")</f>
        <v>US</v>
      </c>
      <c r="F162" s="2" t="str">
        <f>IFERROR(INDEX('Master - US vs THEM'!$F$2:$F$2951,MATCH($A162&amp;"|"&amp;F$1,'Master - US vs THEM'!$G$2:$G$2951,0)),"")</f>
        <v>US</v>
      </c>
      <c r="G162" s="2" t="str">
        <f>IFERROR(INDEX('Master - US vs THEM'!$F$2:$F$2951,MATCH($A162&amp;"|"&amp;G$1,'Master - US vs THEM'!$G$2:$G$2951,0)),"")</f>
        <v>US</v>
      </c>
      <c r="H162" s="2" t="str">
        <f>IFERROR(INDEX('Master - US vs THEM'!$F$2:$F$2951,MATCH($A162&amp;"|"&amp;H$1,'Master - US vs THEM'!$G$2:$G$2951,0)),"")</f>
        <v>US</v>
      </c>
      <c r="I162" s="2" t="str">
        <f>IFERROR(INDEX('Master - US vs THEM'!$F$2:$F$2951,MATCH($A162&amp;"|"&amp;I$1,'Master - US vs THEM'!$G$2:$G$2951,0)),"")</f>
        <v>US</v>
      </c>
      <c r="J162" s="2" t="str">
        <f>IFERROR(INDEX('Master - US vs THEM'!$F$2:$F$2951,MATCH($A162&amp;"|"&amp;J$1,'Master - US vs THEM'!$G$2:$G$2951,0)),"")</f>
        <v>US</v>
      </c>
      <c r="K162" s="2" t="str">
        <f>IFERROR(INDEX('Master - US vs THEM'!$F$2:$F$2951,MATCH($A162&amp;"|"&amp;K$1,'Master - US vs THEM'!$G$2:$G$2951,0)),"")</f>
        <v>US</v>
      </c>
    </row>
    <row r="163" spans="1:11" x14ac:dyDescent="0.2">
      <c r="A163" s="2" t="str">
        <f>'[1]Brand Family Territory (Enc)'!A163</f>
        <v>Dewey Crush</v>
      </c>
      <c r="B163" s="2" t="str">
        <f>IFERROR(INDEX('Master - US vs THEM'!$F$2:$F$2951,MATCH($A163&amp;"|"&amp;B$1,'Master - US vs THEM'!$G$2:$G$2951,0)),"")</f>
        <v>US</v>
      </c>
      <c r="C163" s="2" t="str">
        <f>IFERROR(INDEX('Master - US vs THEM'!$F$2:$F$2951,MATCH($A163&amp;"|"&amp;C$1,'Master - US vs THEM'!$G$2:$G$2951,0)),"")</f>
        <v>US</v>
      </c>
      <c r="D163" s="2" t="str">
        <f>IFERROR(INDEX('Master - US vs THEM'!$F$2:$F$2951,MATCH($A163&amp;"|"&amp;D$1,'Master - US vs THEM'!$G$2:$G$2951,0)),"")</f>
        <v>US</v>
      </c>
      <c r="E163" s="2" t="str">
        <f>IFERROR(INDEX('Master - US vs THEM'!$F$2:$F$2951,MATCH($A163&amp;"|"&amp;E$1,'Master - US vs THEM'!$G$2:$G$2951,0)),"")</f>
        <v>US</v>
      </c>
      <c r="F163" s="2" t="str">
        <f>IFERROR(INDEX('Master - US vs THEM'!$F$2:$F$2951,MATCH($A163&amp;"|"&amp;F$1,'Master - US vs THEM'!$G$2:$G$2951,0)),"")</f>
        <v>US</v>
      </c>
      <c r="G163" s="2" t="str">
        <f>IFERROR(INDEX('Master - US vs THEM'!$F$2:$F$2951,MATCH($A163&amp;"|"&amp;G$1,'Master - US vs THEM'!$G$2:$G$2951,0)),"")</f>
        <v>US</v>
      </c>
      <c r="H163" s="2" t="str">
        <f>IFERROR(INDEX('Master - US vs THEM'!$F$2:$F$2951,MATCH($A163&amp;"|"&amp;H$1,'Master - US vs THEM'!$G$2:$G$2951,0)),"")</f>
        <v>US</v>
      </c>
      <c r="I163" s="2" t="str">
        <f>IFERROR(INDEX('Master - US vs THEM'!$F$2:$F$2951,MATCH($A163&amp;"|"&amp;I$1,'Master - US vs THEM'!$G$2:$G$2951,0)),"")</f>
        <v>US</v>
      </c>
      <c r="J163" s="2" t="str">
        <f>IFERROR(INDEX('Master - US vs THEM'!$F$2:$F$2951,MATCH($A163&amp;"|"&amp;J$1,'Master - US vs THEM'!$G$2:$G$2951,0)),"")</f>
        <v>US</v>
      </c>
      <c r="K163" s="2" t="str">
        <f>IFERROR(INDEX('Master - US vs THEM'!$F$2:$F$2951,MATCH($A163&amp;"|"&amp;K$1,'Master - US vs THEM'!$G$2:$G$2951,0)),"")</f>
        <v>US</v>
      </c>
    </row>
    <row r="164" spans="1:11" x14ac:dyDescent="0.2">
      <c r="A164" s="2" t="str">
        <f>'[1]Brand Family Territory (Enc)'!A164</f>
        <v>Doc's</v>
      </c>
      <c r="B164" s="2" t="str">
        <f>IFERROR(INDEX('Master - US vs THEM'!$F$2:$F$2951,MATCH($A164&amp;"|"&amp;B$1,'Master - US vs THEM'!$G$2:$G$2951,0)),"")</f>
        <v>US</v>
      </c>
      <c r="C164" s="2" t="str">
        <f>IFERROR(INDEX('Master - US vs THEM'!$F$2:$F$2951,MATCH($A164&amp;"|"&amp;C$1,'Master - US vs THEM'!$G$2:$G$2951,0)),"")</f>
        <v>US</v>
      </c>
      <c r="D164" s="2" t="str">
        <f>IFERROR(INDEX('Master - US vs THEM'!$F$2:$F$2951,MATCH($A164&amp;"|"&amp;D$1,'Master - US vs THEM'!$G$2:$G$2951,0)),"")</f>
        <v>US</v>
      </c>
      <c r="E164" s="2" t="str">
        <f>IFERROR(INDEX('Master - US vs THEM'!$F$2:$F$2951,MATCH($A164&amp;"|"&amp;E$1,'Master - US vs THEM'!$G$2:$G$2951,0)),"")</f>
        <v>US</v>
      </c>
      <c r="F164" s="2" t="str">
        <f>IFERROR(INDEX('Master - US vs THEM'!$F$2:$F$2951,MATCH($A164&amp;"|"&amp;F$1,'Master - US vs THEM'!$G$2:$G$2951,0)),"")</f>
        <v>US</v>
      </c>
      <c r="G164" s="2" t="str">
        <f>IFERROR(INDEX('Master - US vs THEM'!$F$2:$F$2951,MATCH($A164&amp;"|"&amp;G$1,'Master - US vs THEM'!$G$2:$G$2951,0)),"")</f>
        <v>US</v>
      </c>
      <c r="H164" s="2" t="str">
        <f>IFERROR(INDEX('Master - US vs THEM'!$F$2:$F$2951,MATCH($A164&amp;"|"&amp;H$1,'Master - US vs THEM'!$G$2:$G$2951,0)),"")</f>
        <v>US</v>
      </c>
      <c r="I164" s="2" t="str">
        <f>IFERROR(INDEX('Master - US vs THEM'!$F$2:$F$2951,MATCH($A164&amp;"|"&amp;I$1,'Master - US vs THEM'!$G$2:$G$2951,0)),"")</f>
        <v>US</v>
      </c>
      <c r="J164" s="2" t="str">
        <f>IFERROR(INDEX('Master - US vs THEM'!$F$2:$F$2951,MATCH($A164&amp;"|"&amp;J$1,'Master - US vs THEM'!$G$2:$G$2951,0)),"")</f>
        <v>US</v>
      </c>
      <c r="K164" s="2" t="str">
        <f>IFERROR(INDEX('Master - US vs THEM'!$F$2:$F$2951,MATCH($A164&amp;"|"&amp;K$1,'Master - US vs THEM'!$G$2:$G$2951,0)),"")</f>
        <v>US</v>
      </c>
    </row>
    <row r="165" spans="1:11" x14ac:dyDescent="0.2">
      <c r="A165" s="2" t="str">
        <f>'[1]Brand Family Territory (Enc)'!A165</f>
        <v>Dragon Stout</v>
      </c>
      <c r="B165" s="2" t="str">
        <f>IFERROR(INDEX('Master - US vs THEM'!$F$2:$F$2951,MATCH($A165&amp;"|"&amp;B$1,'Master - US vs THEM'!$G$2:$G$2951,0)),"")</f>
        <v>US</v>
      </c>
      <c r="C165" s="2" t="str">
        <f>IFERROR(INDEX('Master - US vs THEM'!$F$2:$F$2951,MATCH($A165&amp;"|"&amp;C$1,'Master - US vs THEM'!$G$2:$G$2951,0)),"")</f>
        <v>US</v>
      </c>
      <c r="D165" s="2" t="str">
        <f>IFERROR(INDEX('Master - US vs THEM'!$F$2:$F$2951,MATCH($A165&amp;"|"&amp;D$1,'Master - US vs THEM'!$G$2:$G$2951,0)),"")</f>
        <v>US</v>
      </c>
      <c r="E165" s="2" t="str">
        <f>IFERROR(INDEX('Master - US vs THEM'!$F$2:$F$2951,MATCH($A165&amp;"|"&amp;E$1,'Master - US vs THEM'!$G$2:$G$2951,0)),"")</f>
        <v>US</v>
      </c>
      <c r="F165" s="2" t="str">
        <f>IFERROR(INDEX('Master - US vs THEM'!$F$2:$F$2951,MATCH($A165&amp;"|"&amp;F$1,'Master - US vs THEM'!$G$2:$G$2951,0)),"")</f>
        <v>US</v>
      </c>
      <c r="G165" s="2" t="str">
        <f>IFERROR(INDEX('Master - US vs THEM'!$F$2:$F$2951,MATCH($A165&amp;"|"&amp;G$1,'Master - US vs THEM'!$G$2:$G$2951,0)),"")</f>
        <v>US</v>
      </c>
      <c r="H165" s="2" t="str">
        <f>IFERROR(INDEX('Master - US vs THEM'!$F$2:$F$2951,MATCH($A165&amp;"|"&amp;H$1,'Master - US vs THEM'!$G$2:$G$2951,0)),"")</f>
        <v>US</v>
      </c>
      <c r="I165" s="2" t="str">
        <f>IFERROR(INDEX('Master - US vs THEM'!$F$2:$F$2951,MATCH($A165&amp;"|"&amp;I$1,'Master - US vs THEM'!$G$2:$G$2951,0)),"")</f>
        <v>US</v>
      </c>
      <c r="J165" s="2" t="str">
        <f>IFERROR(INDEX('Master - US vs THEM'!$F$2:$F$2951,MATCH($A165&amp;"|"&amp;J$1,'Master - US vs THEM'!$G$2:$G$2951,0)),"")</f>
        <v>US</v>
      </c>
      <c r="K165" s="2" t="str">
        <f>IFERROR(INDEX('Master - US vs THEM'!$F$2:$F$2951,MATCH($A165&amp;"|"&amp;K$1,'Master - US vs THEM'!$G$2:$G$2951,0)),"")</f>
        <v>US</v>
      </c>
    </row>
    <row r="166" spans="1:11" x14ac:dyDescent="0.2">
      <c r="A166" s="2" t="str">
        <f>'[1]Brand Family Territory (Enc)'!A166</f>
        <v>Duclaw</v>
      </c>
      <c r="B166" s="2" t="str">
        <f>IFERROR(INDEX('Master - US vs THEM'!$F$2:$F$2951,MATCH($A166&amp;"|"&amp;B$1,'Master - US vs THEM'!$G$2:$G$2951,0)),"")</f>
        <v>US</v>
      </c>
      <c r="C166" s="2" t="str">
        <f>IFERROR(INDEX('Master - US vs THEM'!$F$2:$F$2951,MATCH($A166&amp;"|"&amp;C$1,'Master - US vs THEM'!$G$2:$G$2951,0)),"")</f>
        <v>US</v>
      </c>
      <c r="D166" s="2" t="str">
        <f>IFERROR(INDEX('Master - US vs THEM'!$F$2:$F$2951,MATCH($A166&amp;"|"&amp;D$1,'Master - US vs THEM'!$G$2:$G$2951,0)),"")</f>
        <v>US</v>
      </c>
      <c r="E166" s="2" t="str">
        <f>IFERROR(INDEX('Master - US vs THEM'!$F$2:$F$2951,MATCH($A166&amp;"|"&amp;E$1,'Master - US vs THEM'!$G$2:$G$2951,0)),"")</f>
        <v>US</v>
      </c>
      <c r="F166" s="2" t="str">
        <f>IFERROR(INDEX('Master - US vs THEM'!$F$2:$F$2951,MATCH($A166&amp;"|"&amp;F$1,'Master - US vs THEM'!$G$2:$G$2951,0)),"")</f>
        <v>US</v>
      </c>
      <c r="G166" s="2" t="str">
        <f>IFERROR(INDEX('Master - US vs THEM'!$F$2:$F$2951,MATCH($A166&amp;"|"&amp;G$1,'Master - US vs THEM'!$G$2:$G$2951,0)),"")</f>
        <v>US</v>
      </c>
      <c r="H166" s="2" t="str">
        <f>IFERROR(INDEX('Master - US vs THEM'!$F$2:$F$2951,MATCH($A166&amp;"|"&amp;H$1,'Master - US vs THEM'!$G$2:$G$2951,0)),"")</f>
        <v>US</v>
      </c>
      <c r="I166" s="2" t="str">
        <f>IFERROR(INDEX('Master - US vs THEM'!$F$2:$F$2951,MATCH($A166&amp;"|"&amp;I$1,'Master - US vs THEM'!$G$2:$G$2951,0)),"")</f>
        <v>US</v>
      </c>
      <c r="J166" s="2" t="str">
        <f>IFERROR(INDEX('Master - US vs THEM'!$F$2:$F$2951,MATCH($A166&amp;"|"&amp;J$1,'Master - US vs THEM'!$G$2:$G$2951,0)),"")</f>
        <v>US</v>
      </c>
      <c r="K166" s="2" t="str">
        <f>IFERROR(INDEX('Master - US vs THEM'!$F$2:$F$2951,MATCH($A166&amp;"|"&amp;K$1,'Master - US vs THEM'!$G$2:$G$2951,0)),"")</f>
        <v>US</v>
      </c>
    </row>
    <row r="167" spans="1:11" x14ac:dyDescent="0.2">
      <c r="A167" s="2" t="str">
        <f>'[1]Brand Family Territory (Enc)'!A167</f>
        <v>Ecaana</v>
      </c>
      <c r="B167" s="2" t="str">
        <f>IFERROR(INDEX('Master - US vs THEM'!$F$2:$F$2951,MATCH($A167&amp;"|"&amp;B$1,'Master - US vs THEM'!$G$2:$G$2951,0)),"")</f>
        <v>US</v>
      </c>
      <c r="C167" s="2" t="str">
        <f>IFERROR(INDEX('Master - US vs THEM'!$F$2:$F$2951,MATCH($A167&amp;"|"&amp;C$1,'Master - US vs THEM'!$G$2:$G$2951,0)),"")</f>
        <v>US</v>
      </c>
      <c r="D167" s="2" t="str">
        <f>IFERROR(INDEX('Master - US vs THEM'!$F$2:$F$2951,MATCH($A167&amp;"|"&amp;D$1,'Master - US vs THEM'!$G$2:$G$2951,0)),"")</f>
        <v>US</v>
      </c>
      <c r="E167" s="2" t="str">
        <f>IFERROR(INDEX('Master - US vs THEM'!$F$2:$F$2951,MATCH($A167&amp;"|"&amp;E$1,'Master - US vs THEM'!$G$2:$G$2951,0)),"")</f>
        <v>US</v>
      </c>
      <c r="F167" s="2" t="str">
        <f>IFERROR(INDEX('Master - US vs THEM'!$F$2:$F$2951,MATCH($A167&amp;"|"&amp;F$1,'Master - US vs THEM'!$G$2:$G$2951,0)),"")</f>
        <v>US</v>
      </c>
      <c r="G167" s="2" t="str">
        <f>IFERROR(INDEX('Master - US vs THEM'!$F$2:$F$2951,MATCH($A167&amp;"|"&amp;G$1,'Master - US vs THEM'!$G$2:$G$2951,0)),"")</f>
        <v>US</v>
      </c>
      <c r="H167" s="2" t="str">
        <f>IFERROR(INDEX('Master - US vs THEM'!$F$2:$F$2951,MATCH($A167&amp;"|"&amp;H$1,'Master - US vs THEM'!$G$2:$G$2951,0)),"")</f>
        <v>US</v>
      </c>
      <c r="I167" s="2" t="str">
        <f>IFERROR(INDEX('Master - US vs THEM'!$F$2:$F$2951,MATCH($A167&amp;"|"&amp;I$1,'Master - US vs THEM'!$G$2:$G$2951,0)),"")</f>
        <v>US</v>
      </c>
      <c r="J167" s="2" t="str">
        <f>IFERROR(INDEX('Master - US vs THEM'!$F$2:$F$2951,MATCH($A167&amp;"|"&amp;J$1,'Master - US vs THEM'!$G$2:$G$2951,0)),"")</f>
        <v>US</v>
      </c>
      <c r="K167" s="2" t="str">
        <f>IFERROR(INDEX('Master - US vs THEM'!$F$2:$F$2951,MATCH($A167&amp;"|"&amp;K$1,'Master - US vs THEM'!$G$2:$G$2951,0)),"")</f>
        <v>US</v>
      </c>
    </row>
    <row r="168" spans="1:11" x14ac:dyDescent="0.2">
      <c r="A168" s="2" t="str">
        <f>'[1]Brand Family Territory (Enc)'!A168</f>
        <v>Efes</v>
      </c>
      <c r="B168" s="2" t="str">
        <f>IFERROR(INDEX('Master - US vs THEM'!$F$2:$F$2951,MATCH($A168&amp;"|"&amp;B$1,'Master - US vs THEM'!$G$2:$G$2951,0)),"")</f>
        <v>US</v>
      </c>
      <c r="C168" s="2" t="str">
        <f>IFERROR(INDEX('Master - US vs THEM'!$F$2:$F$2951,MATCH($A168&amp;"|"&amp;C$1,'Master - US vs THEM'!$G$2:$G$2951,0)),"")</f>
        <v>US</v>
      </c>
      <c r="D168" s="2" t="str">
        <f>IFERROR(INDEX('Master - US vs THEM'!$F$2:$F$2951,MATCH($A168&amp;"|"&amp;D$1,'Master - US vs THEM'!$G$2:$G$2951,0)),"")</f>
        <v>US</v>
      </c>
      <c r="E168" s="2" t="str">
        <f>IFERROR(INDEX('Master - US vs THEM'!$F$2:$F$2951,MATCH($A168&amp;"|"&amp;E$1,'Master - US vs THEM'!$G$2:$G$2951,0)),"")</f>
        <v>US</v>
      </c>
      <c r="F168" s="2" t="str">
        <f>IFERROR(INDEX('Master - US vs THEM'!$F$2:$F$2951,MATCH($A168&amp;"|"&amp;F$1,'Master - US vs THEM'!$G$2:$G$2951,0)),"")</f>
        <v>US</v>
      </c>
      <c r="G168" s="2" t="str">
        <f>IFERROR(INDEX('Master - US vs THEM'!$F$2:$F$2951,MATCH($A168&amp;"|"&amp;G$1,'Master - US vs THEM'!$G$2:$G$2951,0)),"")</f>
        <v>US</v>
      </c>
      <c r="H168" s="2" t="str">
        <f>IFERROR(INDEX('Master - US vs THEM'!$F$2:$F$2951,MATCH($A168&amp;"|"&amp;H$1,'Master - US vs THEM'!$G$2:$G$2951,0)),"")</f>
        <v>US</v>
      </c>
      <c r="I168" s="2" t="str">
        <f>IFERROR(INDEX('Master - US vs THEM'!$F$2:$F$2951,MATCH($A168&amp;"|"&amp;I$1,'Master - US vs THEM'!$G$2:$G$2951,0)),"")</f>
        <v>US</v>
      </c>
      <c r="J168" s="2" t="str">
        <f>IFERROR(INDEX('Master - US vs THEM'!$F$2:$F$2951,MATCH($A168&amp;"|"&amp;J$1,'Master - US vs THEM'!$G$2:$G$2951,0)),"")</f>
        <v>US</v>
      </c>
      <c r="K168" s="2" t="str">
        <f>IFERROR(INDEX('Master - US vs THEM'!$F$2:$F$2951,MATCH($A168&amp;"|"&amp;K$1,'Master - US vs THEM'!$G$2:$G$2951,0)),"")</f>
        <v>US</v>
      </c>
    </row>
    <row r="169" spans="1:11" x14ac:dyDescent="0.2">
      <c r="A169" s="2" t="str">
        <f>'[1]Brand Family Territory (Enc)'!A169</f>
        <v>EL Jimador</v>
      </c>
      <c r="B169" s="2" t="str">
        <f>IFERROR(INDEX('Master - US vs THEM'!$F$2:$F$2951,MATCH($A169&amp;"|"&amp;B$1,'Master - US vs THEM'!$G$2:$G$2951,0)),"")</f>
        <v>US</v>
      </c>
      <c r="C169" s="2" t="str">
        <f>IFERROR(INDEX('Master - US vs THEM'!$F$2:$F$2951,MATCH($A169&amp;"|"&amp;C$1,'Master - US vs THEM'!$G$2:$G$2951,0)),"")</f>
        <v>US</v>
      </c>
      <c r="D169" s="2" t="str">
        <f>IFERROR(INDEX('Master - US vs THEM'!$F$2:$F$2951,MATCH($A169&amp;"|"&amp;D$1,'Master - US vs THEM'!$G$2:$G$2951,0)),"")</f>
        <v>US</v>
      </c>
      <c r="E169" s="2" t="str">
        <f>IFERROR(INDEX('Master - US vs THEM'!$F$2:$F$2951,MATCH($A169&amp;"|"&amp;E$1,'Master - US vs THEM'!$G$2:$G$2951,0)),"")</f>
        <v>US</v>
      </c>
      <c r="F169" s="2" t="str">
        <f>IFERROR(INDEX('Master - US vs THEM'!$F$2:$F$2951,MATCH($A169&amp;"|"&amp;F$1,'Master - US vs THEM'!$G$2:$G$2951,0)),"")</f>
        <v>US</v>
      </c>
      <c r="G169" s="2" t="str">
        <f>IFERROR(INDEX('Master - US vs THEM'!$F$2:$F$2951,MATCH($A169&amp;"|"&amp;G$1,'Master - US vs THEM'!$G$2:$G$2951,0)),"")</f>
        <v>US</v>
      </c>
      <c r="H169" s="2" t="str">
        <f>IFERROR(INDEX('Master - US vs THEM'!$F$2:$F$2951,MATCH($A169&amp;"|"&amp;H$1,'Master - US vs THEM'!$G$2:$G$2951,0)),"")</f>
        <v>US</v>
      </c>
      <c r="I169" s="2" t="str">
        <f>IFERROR(INDEX('Master - US vs THEM'!$F$2:$F$2951,MATCH($A169&amp;"|"&amp;I$1,'Master - US vs THEM'!$G$2:$G$2951,0)),"")</f>
        <v>US</v>
      </c>
      <c r="J169" s="2" t="str">
        <f>IFERROR(INDEX('Master - US vs THEM'!$F$2:$F$2951,MATCH($A169&amp;"|"&amp;J$1,'Master - US vs THEM'!$G$2:$G$2951,0)),"")</f>
        <v>US</v>
      </c>
      <c r="K169" s="2" t="str">
        <f>IFERROR(INDEX('Master - US vs THEM'!$F$2:$F$2951,MATCH($A169&amp;"|"&amp;K$1,'Master - US vs THEM'!$G$2:$G$2951,0)),"")</f>
        <v>US</v>
      </c>
    </row>
    <row r="170" spans="1:11" x14ac:dyDescent="0.2">
      <c r="A170" s="2" t="str">
        <f>'[1]Brand Family Territory (Enc)'!A170</f>
        <v>Eleven20 Tequila</v>
      </c>
      <c r="B170" s="2" t="str">
        <f>IFERROR(INDEX('Master - US vs THEM'!$F$2:$F$2951,MATCH($A170&amp;"|"&amp;B$1,'Master - US vs THEM'!$G$2:$G$2951,0)),"")</f>
        <v>US</v>
      </c>
      <c r="C170" s="2" t="str">
        <f>IFERROR(INDEX('Master - US vs THEM'!$F$2:$F$2951,MATCH($A170&amp;"|"&amp;C$1,'Master - US vs THEM'!$G$2:$G$2951,0)),"")</f>
        <v>US</v>
      </c>
      <c r="D170" s="2" t="str">
        <f>IFERROR(INDEX('Master - US vs THEM'!$F$2:$F$2951,MATCH($A170&amp;"|"&amp;D$1,'Master - US vs THEM'!$G$2:$G$2951,0)),"")</f>
        <v>US</v>
      </c>
      <c r="E170" s="2" t="str">
        <f>IFERROR(INDEX('Master - US vs THEM'!$F$2:$F$2951,MATCH($A170&amp;"|"&amp;E$1,'Master - US vs THEM'!$G$2:$G$2951,0)),"")</f>
        <v>US</v>
      </c>
      <c r="F170" s="2" t="str">
        <f>IFERROR(INDEX('Master - US vs THEM'!$F$2:$F$2951,MATCH($A170&amp;"|"&amp;F$1,'Master - US vs THEM'!$G$2:$G$2951,0)),"")</f>
        <v>US</v>
      </c>
      <c r="G170" s="2" t="str">
        <f>IFERROR(INDEX('Master - US vs THEM'!$F$2:$F$2951,MATCH($A170&amp;"|"&amp;G$1,'Master - US vs THEM'!$G$2:$G$2951,0)),"")</f>
        <v>US</v>
      </c>
      <c r="H170" s="2" t="str">
        <f>IFERROR(INDEX('Master - US vs THEM'!$F$2:$F$2951,MATCH($A170&amp;"|"&amp;H$1,'Master - US vs THEM'!$G$2:$G$2951,0)),"")</f>
        <v>US</v>
      </c>
      <c r="I170" s="2" t="str">
        <f>IFERROR(INDEX('Master - US vs THEM'!$F$2:$F$2951,MATCH($A170&amp;"|"&amp;I$1,'Master - US vs THEM'!$G$2:$G$2951,0)),"")</f>
        <v>US</v>
      </c>
      <c r="J170" s="2" t="str">
        <f>IFERROR(INDEX('Master - US vs THEM'!$F$2:$F$2951,MATCH($A170&amp;"|"&amp;J$1,'Master - US vs THEM'!$G$2:$G$2951,0)),"")</f>
        <v>US</v>
      </c>
      <c r="K170" s="2" t="str">
        <f>IFERROR(INDEX('Master - US vs THEM'!$F$2:$F$2951,MATCH($A170&amp;"|"&amp;K$1,'Master - US vs THEM'!$G$2:$G$2951,0)),"")</f>
        <v>US</v>
      </c>
    </row>
    <row r="171" spans="1:11" x14ac:dyDescent="0.2">
      <c r="A171" s="2" t="str">
        <f>'[1]Brand Family Territory (Enc)'!A171</f>
        <v>Evil Genius</v>
      </c>
      <c r="B171" s="2" t="str">
        <f>IFERROR(INDEX('Master - US vs THEM'!$F$2:$F$2951,MATCH($A171&amp;"|"&amp;B$1,'Master - US vs THEM'!$G$2:$G$2951,0)),"")</f>
        <v>US</v>
      </c>
      <c r="C171" s="2" t="str">
        <f>IFERROR(INDEX('Master - US vs THEM'!$F$2:$F$2951,MATCH($A171&amp;"|"&amp;C$1,'Master - US vs THEM'!$G$2:$G$2951,0)),"")</f>
        <v>US</v>
      </c>
      <c r="D171" s="2" t="str">
        <f>IFERROR(INDEX('Master - US vs THEM'!$F$2:$F$2951,MATCH($A171&amp;"|"&amp;D$1,'Master - US vs THEM'!$G$2:$G$2951,0)),"")</f>
        <v>US</v>
      </c>
      <c r="E171" s="2" t="str">
        <f>IFERROR(INDEX('Master - US vs THEM'!$F$2:$F$2951,MATCH($A171&amp;"|"&amp;E$1,'Master - US vs THEM'!$G$2:$G$2951,0)),"")</f>
        <v>US</v>
      </c>
      <c r="F171" s="2" t="str">
        <f>IFERROR(INDEX('Master - US vs THEM'!$F$2:$F$2951,MATCH($A171&amp;"|"&amp;F$1,'Master - US vs THEM'!$G$2:$G$2951,0)),"")</f>
        <v>US</v>
      </c>
      <c r="G171" s="2" t="str">
        <f>IFERROR(INDEX('Master - US vs THEM'!$F$2:$F$2951,MATCH($A171&amp;"|"&amp;G$1,'Master - US vs THEM'!$G$2:$G$2951,0)),"")</f>
        <v>US</v>
      </c>
      <c r="H171" s="2" t="str">
        <f>IFERROR(INDEX('Master - US vs THEM'!$F$2:$F$2951,MATCH($A171&amp;"|"&amp;H$1,'Master - US vs THEM'!$G$2:$G$2951,0)),"")</f>
        <v>US</v>
      </c>
      <c r="I171" s="2" t="str">
        <f>IFERROR(INDEX('Master - US vs THEM'!$F$2:$F$2951,MATCH($A171&amp;"|"&amp;I$1,'Master - US vs THEM'!$G$2:$G$2951,0)),"")</f>
        <v>US</v>
      </c>
      <c r="J171" s="2" t="str">
        <f>IFERROR(INDEX('Master - US vs THEM'!$F$2:$F$2951,MATCH($A171&amp;"|"&amp;J$1,'Master - US vs THEM'!$G$2:$G$2951,0)),"")</f>
        <v>US</v>
      </c>
      <c r="K171" s="2" t="str">
        <f>IFERROR(INDEX('Master - US vs THEM'!$F$2:$F$2951,MATCH($A171&amp;"|"&amp;K$1,'Master - US vs THEM'!$G$2:$G$2951,0)),"")</f>
        <v>US</v>
      </c>
    </row>
    <row r="172" spans="1:11" x14ac:dyDescent="0.2">
      <c r="A172" s="2" t="str">
        <f>'[1]Brand Family Territory (Enc)'!A172</f>
        <v>Five O'Clock</v>
      </c>
      <c r="B172" s="2" t="str">
        <f>IFERROR(INDEX('Master - US vs THEM'!$F$2:$F$2951,MATCH($A172&amp;"|"&amp;B$1,'Master - US vs THEM'!$G$2:$G$2951,0)),"")</f>
        <v>US</v>
      </c>
      <c r="C172" s="2" t="str">
        <f>IFERROR(INDEX('Master - US vs THEM'!$F$2:$F$2951,MATCH($A172&amp;"|"&amp;C$1,'Master - US vs THEM'!$G$2:$G$2951,0)),"")</f>
        <v>US</v>
      </c>
      <c r="D172" s="2" t="str">
        <f>IFERROR(INDEX('Master - US vs THEM'!$F$2:$F$2951,MATCH($A172&amp;"|"&amp;D$1,'Master - US vs THEM'!$G$2:$G$2951,0)),"")</f>
        <v>US</v>
      </c>
      <c r="E172" s="2" t="str">
        <f>IFERROR(INDEX('Master - US vs THEM'!$F$2:$F$2951,MATCH($A172&amp;"|"&amp;E$1,'Master - US vs THEM'!$G$2:$G$2951,0)),"")</f>
        <v>US</v>
      </c>
      <c r="F172" s="2" t="str">
        <f>IFERROR(INDEX('Master - US vs THEM'!$F$2:$F$2951,MATCH($A172&amp;"|"&amp;F$1,'Master - US vs THEM'!$G$2:$G$2951,0)),"")</f>
        <v>US</v>
      </c>
      <c r="G172" s="2" t="str">
        <f>IFERROR(INDEX('Master - US vs THEM'!$F$2:$F$2951,MATCH($A172&amp;"|"&amp;G$1,'Master - US vs THEM'!$G$2:$G$2951,0)),"")</f>
        <v>US</v>
      </c>
      <c r="H172" s="2" t="str">
        <f>IFERROR(INDEX('Master - US vs THEM'!$F$2:$F$2951,MATCH($A172&amp;"|"&amp;H$1,'Master - US vs THEM'!$G$2:$G$2951,0)),"")</f>
        <v>US</v>
      </c>
      <c r="I172" s="2" t="str">
        <f>IFERROR(INDEX('Master - US vs THEM'!$F$2:$F$2951,MATCH($A172&amp;"|"&amp;I$1,'Master - US vs THEM'!$G$2:$G$2951,0)),"")</f>
        <v>US</v>
      </c>
      <c r="J172" s="2" t="str">
        <f>IFERROR(INDEX('Master - US vs THEM'!$F$2:$F$2951,MATCH($A172&amp;"|"&amp;J$1,'Master - US vs THEM'!$G$2:$G$2951,0)),"")</f>
        <v>US</v>
      </c>
      <c r="K172" s="2" t="str">
        <f>IFERROR(INDEX('Master - US vs THEM'!$F$2:$F$2951,MATCH($A172&amp;"|"&amp;K$1,'Master - US vs THEM'!$G$2:$G$2951,0)),"")</f>
        <v>US</v>
      </c>
    </row>
    <row r="173" spans="1:11" x14ac:dyDescent="0.2">
      <c r="A173" s="2" t="str">
        <f>'[1]Brand Family Territory (Enc)'!A173</f>
        <v>Fizzy Jane</v>
      </c>
      <c r="B173" s="2" t="str">
        <f>IFERROR(INDEX('Master - US vs THEM'!$F$2:$F$2951,MATCH($A173&amp;"|"&amp;B$1,'Master - US vs THEM'!$G$2:$G$2951,0)),"")</f>
        <v>US</v>
      </c>
      <c r="C173" s="2" t="str">
        <f>IFERROR(INDEX('Master - US vs THEM'!$F$2:$F$2951,MATCH($A173&amp;"|"&amp;C$1,'Master - US vs THEM'!$G$2:$G$2951,0)),"")</f>
        <v>US</v>
      </c>
      <c r="D173" s="2" t="str">
        <f>IFERROR(INDEX('Master - US vs THEM'!$F$2:$F$2951,MATCH($A173&amp;"|"&amp;D$1,'Master - US vs THEM'!$G$2:$G$2951,0)),"")</f>
        <v>US</v>
      </c>
      <c r="E173" s="2" t="str">
        <f>IFERROR(INDEX('Master - US vs THEM'!$F$2:$F$2951,MATCH($A173&amp;"|"&amp;E$1,'Master - US vs THEM'!$G$2:$G$2951,0)),"")</f>
        <v>US</v>
      </c>
      <c r="F173" s="2" t="str">
        <f>IFERROR(INDEX('Master - US vs THEM'!$F$2:$F$2951,MATCH($A173&amp;"|"&amp;F$1,'Master - US vs THEM'!$G$2:$G$2951,0)),"")</f>
        <v>US</v>
      </c>
      <c r="G173" s="2" t="str">
        <f>IFERROR(INDEX('Master - US vs THEM'!$F$2:$F$2951,MATCH($A173&amp;"|"&amp;G$1,'Master - US vs THEM'!$G$2:$G$2951,0)),"")</f>
        <v>US</v>
      </c>
      <c r="H173" s="2" t="str">
        <f>IFERROR(INDEX('Master - US vs THEM'!$F$2:$F$2951,MATCH($A173&amp;"|"&amp;H$1,'Master - US vs THEM'!$G$2:$G$2951,0)),"")</f>
        <v>US</v>
      </c>
      <c r="I173" s="2" t="str">
        <f>IFERROR(INDEX('Master - US vs THEM'!$F$2:$F$2951,MATCH($A173&amp;"|"&amp;I$1,'Master - US vs THEM'!$G$2:$G$2951,0)),"")</f>
        <v>US</v>
      </c>
      <c r="J173" s="2" t="str">
        <f>IFERROR(INDEX('Master - US vs THEM'!$F$2:$F$2951,MATCH($A173&amp;"|"&amp;J$1,'Master - US vs THEM'!$G$2:$G$2951,0)),"")</f>
        <v>US</v>
      </c>
      <c r="K173" s="2" t="str">
        <f>IFERROR(INDEX('Master - US vs THEM'!$F$2:$F$2951,MATCH($A173&amp;"|"&amp;K$1,'Master - US vs THEM'!$G$2:$G$2951,0)),"")</f>
        <v>US</v>
      </c>
    </row>
    <row r="174" spans="1:11" x14ac:dyDescent="0.2">
      <c r="A174" s="2" t="str">
        <f>'[1]Brand Family Territory (Enc)'!A174</f>
        <v>Flying Dog Brewing Co</v>
      </c>
      <c r="B174" s="2" t="str">
        <f>IFERROR(INDEX('Master - US vs THEM'!$F$2:$F$2951,MATCH($A174&amp;"|"&amp;B$1,'Master - US vs THEM'!$G$2:$G$2951,0)),"")</f>
        <v>US</v>
      </c>
      <c r="C174" s="2" t="str">
        <f>IFERROR(INDEX('Master - US vs THEM'!$F$2:$F$2951,MATCH($A174&amp;"|"&amp;C$1,'Master - US vs THEM'!$G$2:$G$2951,0)),"")</f>
        <v>US</v>
      </c>
      <c r="D174" s="2" t="str">
        <f>IFERROR(INDEX('Master - US vs THEM'!$F$2:$F$2951,MATCH($A174&amp;"|"&amp;D$1,'Master - US vs THEM'!$G$2:$G$2951,0)),"")</f>
        <v>US</v>
      </c>
      <c r="E174" s="2" t="str">
        <f>IFERROR(INDEX('Master - US vs THEM'!$F$2:$F$2951,MATCH($A174&amp;"|"&amp;E$1,'Master - US vs THEM'!$G$2:$G$2951,0)),"")</f>
        <v>US</v>
      </c>
      <c r="F174" s="2" t="str">
        <f>IFERROR(INDEX('Master - US vs THEM'!$F$2:$F$2951,MATCH($A174&amp;"|"&amp;F$1,'Master - US vs THEM'!$G$2:$G$2951,0)),"")</f>
        <v>US</v>
      </c>
      <c r="G174" s="2" t="str">
        <f>IFERROR(INDEX('Master - US vs THEM'!$F$2:$F$2951,MATCH($A174&amp;"|"&amp;G$1,'Master - US vs THEM'!$G$2:$G$2951,0)),"")</f>
        <v>US</v>
      </c>
      <c r="H174" s="2" t="str">
        <f>IFERROR(INDEX('Master - US vs THEM'!$F$2:$F$2951,MATCH($A174&amp;"|"&amp;H$1,'Master - US vs THEM'!$G$2:$G$2951,0)),"")</f>
        <v>US</v>
      </c>
      <c r="I174" s="2" t="str">
        <f>IFERROR(INDEX('Master - US vs THEM'!$F$2:$F$2951,MATCH($A174&amp;"|"&amp;I$1,'Master - US vs THEM'!$G$2:$G$2951,0)),"")</f>
        <v>US</v>
      </c>
      <c r="J174" s="2" t="str">
        <f>IFERROR(INDEX('Master - US vs THEM'!$F$2:$F$2951,MATCH($A174&amp;"|"&amp;J$1,'Master - US vs THEM'!$G$2:$G$2951,0)),"")</f>
        <v>US</v>
      </c>
      <c r="K174" s="2" t="str">
        <f>IFERROR(INDEX('Master - US vs THEM'!$F$2:$F$2951,MATCH($A174&amp;"|"&amp;K$1,'Master - US vs THEM'!$G$2:$G$2951,0)),"")</f>
        <v>US</v>
      </c>
    </row>
    <row r="175" spans="1:11" x14ac:dyDescent="0.2">
      <c r="A175" s="2" t="str">
        <f>'[1]Brand Family Territory (Enc)'!A175</f>
        <v>Forged Irish Stout</v>
      </c>
      <c r="B175" s="2" t="str">
        <f>IFERROR(INDEX('Master - US vs THEM'!$F$2:$F$2951,MATCH($A175&amp;"|"&amp;B$1,'Master - US vs THEM'!$G$2:$G$2951,0)),"")</f>
        <v>US</v>
      </c>
      <c r="C175" s="2" t="str">
        <f>IFERROR(INDEX('Master - US vs THEM'!$F$2:$F$2951,MATCH($A175&amp;"|"&amp;C$1,'Master - US vs THEM'!$G$2:$G$2951,0)),"")</f>
        <v>US</v>
      </c>
      <c r="D175" s="2" t="str">
        <f>IFERROR(INDEX('Master - US vs THEM'!$F$2:$F$2951,MATCH($A175&amp;"|"&amp;D$1,'Master - US vs THEM'!$G$2:$G$2951,0)),"")</f>
        <v>US</v>
      </c>
      <c r="E175" s="2" t="str">
        <f>IFERROR(INDEX('Master - US vs THEM'!$F$2:$F$2951,MATCH($A175&amp;"|"&amp;E$1,'Master - US vs THEM'!$G$2:$G$2951,0)),"")</f>
        <v>US</v>
      </c>
      <c r="F175" s="2" t="str">
        <f>IFERROR(INDEX('Master - US vs THEM'!$F$2:$F$2951,MATCH($A175&amp;"|"&amp;F$1,'Master - US vs THEM'!$G$2:$G$2951,0)),"")</f>
        <v>US</v>
      </c>
      <c r="G175" s="2" t="str">
        <f>IFERROR(INDEX('Master - US vs THEM'!$F$2:$F$2951,MATCH($A175&amp;"|"&amp;G$1,'Master - US vs THEM'!$G$2:$G$2951,0)),"")</f>
        <v>US</v>
      </c>
      <c r="H175" s="2" t="str">
        <f>IFERROR(INDEX('Master - US vs THEM'!$F$2:$F$2951,MATCH($A175&amp;"|"&amp;H$1,'Master - US vs THEM'!$G$2:$G$2951,0)),"")</f>
        <v>US</v>
      </c>
      <c r="I175" s="2" t="str">
        <f>IFERROR(INDEX('Master - US vs THEM'!$F$2:$F$2951,MATCH($A175&amp;"|"&amp;I$1,'Master - US vs THEM'!$G$2:$G$2951,0)),"")</f>
        <v>US</v>
      </c>
      <c r="J175" s="2" t="str">
        <f>IFERROR(INDEX('Master - US vs THEM'!$F$2:$F$2951,MATCH($A175&amp;"|"&amp;J$1,'Master - US vs THEM'!$G$2:$G$2951,0)),"")</f>
        <v>US</v>
      </c>
      <c r="K175" s="2" t="str">
        <f>IFERROR(INDEX('Master - US vs THEM'!$F$2:$F$2951,MATCH($A175&amp;"|"&amp;K$1,'Master - US vs THEM'!$G$2:$G$2951,0)),"")</f>
        <v>US</v>
      </c>
    </row>
    <row r="176" spans="1:11" x14ac:dyDescent="0.2">
      <c r="A176" s="2" t="str">
        <f>'[1]Brand Family Territory (Enc)'!A176</f>
        <v>Friday Beers</v>
      </c>
      <c r="B176" s="2" t="str">
        <f>IFERROR(INDEX('Master - US vs THEM'!$F$2:$F$2951,MATCH($A176&amp;"|"&amp;B$1,'Master - US vs THEM'!$G$2:$G$2951,0)),"")</f>
        <v>US</v>
      </c>
      <c r="C176" s="2" t="str">
        <f>IFERROR(INDEX('Master - US vs THEM'!$F$2:$F$2951,MATCH($A176&amp;"|"&amp;C$1,'Master - US vs THEM'!$G$2:$G$2951,0)),"")</f>
        <v>US</v>
      </c>
      <c r="D176" s="2" t="str">
        <f>IFERROR(INDEX('Master - US vs THEM'!$F$2:$F$2951,MATCH($A176&amp;"|"&amp;D$1,'Master - US vs THEM'!$G$2:$G$2951,0)),"")</f>
        <v>US</v>
      </c>
      <c r="E176" s="2" t="str">
        <f>IFERROR(INDEX('Master - US vs THEM'!$F$2:$F$2951,MATCH($A176&amp;"|"&amp;E$1,'Master - US vs THEM'!$G$2:$G$2951,0)),"")</f>
        <v>US</v>
      </c>
      <c r="F176" s="2" t="str">
        <f>IFERROR(INDEX('Master - US vs THEM'!$F$2:$F$2951,MATCH($A176&amp;"|"&amp;F$1,'Master - US vs THEM'!$G$2:$G$2951,0)),"")</f>
        <v>US</v>
      </c>
      <c r="G176" s="2" t="str">
        <f>IFERROR(INDEX('Master - US vs THEM'!$F$2:$F$2951,MATCH($A176&amp;"|"&amp;G$1,'Master - US vs THEM'!$G$2:$G$2951,0)),"")</f>
        <v>US</v>
      </c>
      <c r="H176" s="2" t="str">
        <f>IFERROR(INDEX('Master - US vs THEM'!$F$2:$F$2951,MATCH($A176&amp;"|"&amp;H$1,'Master - US vs THEM'!$G$2:$G$2951,0)),"")</f>
        <v>US</v>
      </c>
      <c r="I176" s="2" t="str">
        <f>IFERROR(INDEX('Master - US vs THEM'!$F$2:$F$2951,MATCH($A176&amp;"|"&amp;I$1,'Master - US vs THEM'!$G$2:$G$2951,0)),"")</f>
        <v>US</v>
      </c>
      <c r="J176" s="2" t="str">
        <f>IFERROR(INDEX('Master - US vs THEM'!$F$2:$F$2951,MATCH($A176&amp;"|"&amp;J$1,'Master - US vs THEM'!$G$2:$G$2951,0)),"")</f>
        <v>US</v>
      </c>
      <c r="K176" s="2" t="str">
        <f>IFERROR(INDEX('Master - US vs THEM'!$F$2:$F$2951,MATCH($A176&amp;"|"&amp;K$1,'Master - US vs THEM'!$G$2:$G$2951,0)),"")</f>
        <v>US</v>
      </c>
    </row>
    <row r="177" spans="1:11" x14ac:dyDescent="0.2">
      <c r="A177" s="2" t="str">
        <f>'[1]Brand Family Territory (Enc)'!A177</f>
        <v>Garage Beer</v>
      </c>
      <c r="B177" s="2" t="str">
        <f>IFERROR(INDEX('Master - US vs THEM'!$F$2:$F$2951,MATCH($A177&amp;"|"&amp;B$1,'Master - US vs THEM'!$G$2:$G$2951,0)),"")</f>
        <v>US</v>
      </c>
      <c r="C177" s="2" t="str">
        <f>IFERROR(INDEX('Master - US vs THEM'!$F$2:$F$2951,MATCH($A177&amp;"|"&amp;C$1,'Master - US vs THEM'!$G$2:$G$2951,0)),"")</f>
        <v>US</v>
      </c>
      <c r="D177" s="2" t="str">
        <f>IFERROR(INDEX('Master - US vs THEM'!$F$2:$F$2951,MATCH($A177&amp;"|"&amp;D$1,'Master - US vs THEM'!$G$2:$G$2951,0)),"")</f>
        <v>US</v>
      </c>
      <c r="E177" s="2" t="str">
        <f>IFERROR(INDEX('Master - US vs THEM'!$F$2:$F$2951,MATCH($A177&amp;"|"&amp;E$1,'Master - US vs THEM'!$G$2:$G$2951,0)),"")</f>
        <v>US</v>
      </c>
      <c r="F177" s="2" t="str">
        <f>IFERROR(INDEX('Master - US vs THEM'!$F$2:$F$2951,MATCH($A177&amp;"|"&amp;F$1,'Master - US vs THEM'!$G$2:$G$2951,0)),"")</f>
        <v>US</v>
      </c>
      <c r="G177" s="2" t="str">
        <f>IFERROR(INDEX('Master - US vs THEM'!$F$2:$F$2951,MATCH($A177&amp;"|"&amp;G$1,'Master - US vs THEM'!$G$2:$G$2951,0)),"")</f>
        <v>US</v>
      </c>
      <c r="H177" s="2" t="str">
        <f>IFERROR(INDEX('Master - US vs THEM'!$F$2:$F$2951,MATCH($A177&amp;"|"&amp;H$1,'Master - US vs THEM'!$G$2:$G$2951,0)),"")</f>
        <v>US</v>
      </c>
      <c r="I177" s="2" t="str">
        <f>IFERROR(INDEX('Master - US vs THEM'!$F$2:$F$2951,MATCH($A177&amp;"|"&amp;I$1,'Master - US vs THEM'!$G$2:$G$2951,0)),"")</f>
        <v>US</v>
      </c>
      <c r="J177" s="2" t="str">
        <f>IFERROR(INDEX('Master - US vs THEM'!$F$2:$F$2951,MATCH($A177&amp;"|"&amp;J$1,'Master - US vs THEM'!$G$2:$G$2951,0)),"")</f>
        <v>US</v>
      </c>
      <c r="K177" s="2" t="str">
        <f>IFERROR(INDEX('Master - US vs THEM'!$F$2:$F$2951,MATCH($A177&amp;"|"&amp;K$1,'Master - US vs THEM'!$G$2:$G$2951,0)),"")</f>
        <v>US</v>
      </c>
    </row>
    <row r="178" spans="1:11" x14ac:dyDescent="0.2">
      <c r="A178" s="2" t="str">
        <f>'[1]Brand Family Territory (Enc)'!A178</f>
        <v>Gin Pig</v>
      </c>
      <c r="B178" s="2" t="str">
        <f>IFERROR(INDEX('Master - US vs THEM'!$F$2:$F$2951,MATCH($A178&amp;"|"&amp;B$1,'Master - US vs THEM'!$G$2:$G$2951,0)),"")</f>
        <v>US</v>
      </c>
      <c r="C178" s="2" t="str">
        <f>IFERROR(INDEX('Master - US vs THEM'!$F$2:$F$2951,MATCH($A178&amp;"|"&amp;C$1,'Master - US vs THEM'!$G$2:$G$2951,0)),"")</f>
        <v>US</v>
      </c>
      <c r="D178" s="2" t="str">
        <f>IFERROR(INDEX('Master - US vs THEM'!$F$2:$F$2951,MATCH($A178&amp;"|"&amp;D$1,'Master - US vs THEM'!$G$2:$G$2951,0)),"")</f>
        <v>US</v>
      </c>
      <c r="E178" s="2" t="str">
        <f>IFERROR(INDEX('Master - US vs THEM'!$F$2:$F$2951,MATCH($A178&amp;"|"&amp;E$1,'Master - US vs THEM'!$G$2:$G$2951,0)),"")</f>
        <v>US</v>
      </c>
      <c r="F178" s="2" t="str">
        <f>IFERROR(INDEX('Master - US vs THEM'!$F$2:$F$2951,MATCH($A178&amp;"|"&amp;F$1,'Master - US vs THEM'!$G$2:$G$2951,0)),"")</f>
        <v>US</v>
      </c>
      <c r="G178" s="2" t="str">
        <f>IFERROR(INDEX('Master - US vs THEM'!$F$2:$F$2951,MATCH($A178&amp;"|"&amp;G$1,'Master - US vs THEM'!$G$2:$G$2951,0)),"")</f>
        <v>US</v>
      </c>
      <c r="H178" s="2" t="str">
        <f>IFERROR(INDEX('Master - US vs THEM'!$F$2:$F$2951,MATCH($A178&amp;"|"&amp;H$1,'Master - US vs THEM'!$G$2:$G$2951,0)),"")</f>
        <v>US</v>
      </c>
      <c r="I178" s="2" t="str">
        <f>IFERROR(INDEX('Master - US vs THEM'!$F$2:$F$2951,MATCH($A178&amp;"|"&amp;I$1,'Master - US vs THEM'!$G$2:$G$2951,0)),"")</f>
        <v>US</v>
      </c>
      <c r="J178" s="2" t="str">
        <f>IFERROR(INDEX('Master - US vs THEM'!$F$2:$F$2951,MATCH($A178&amp;"|"&amp;J$1,'Master - US vs THEM'!$G$2:$G$2951,0)),"")</f>
        <v>US</v>
      </c>
      <c r="K178" s="2" t="str">
        <f>IFERROR(INDEX('Master - US vs THEM'!$F$2:$F$2951,MATCH($A178&amp;"|"&amp;K$1,'Master - US vs THEM'!$G$2:$G$2951,0)),"")</f>
        <v>US</v>
      </c>
    </row>
    <row r="179" spans="1:11" x14ac:dyDescent="0.2">
      <c r="A179" s="2" t="str">
        <f>'[1]Brand Family Territory (Enc)'!A179</f>
        <v>Good Supply</v>
      </c>
      <c r="B179" s="2" t="str">
        <f>IFERROR(INDEX('Master - US vs THEM'!$F$2:$F$2951,MATCH($A179&amp;"|"&amp;B$1,'Master - US vs THEM'!$G$2:$G$2951,0)),"")</f>
        <v>US</v>
      </c>
      <c r="C179" s="2" t="str">
        <f>IFERROR(INDEX('Master - US vs THEM'!$F$2:$F$2951,MATCH($A179&amp;"|"&amp;C$1,'Master - US vs THEM'!$G$2:$G$2951,0)),"")</f>
        <v>US</v>
      </c>
      <c r="D179" s="2" t="str">
        <f>IFERROR(INDEX('Master - US vs THEM'!$F$2:$F$2951,MATCH($A179&amp;"|"&amp;D$1,'Master - US vs THEM'!$G$2:$G$2951,0)),"")</f>
        <v>US</v>
      </c>
      <c r="E179" s="2" t="str">
        <f>IFERROR(INDEX('Master - US vs THEM'!$F$2:$F$2951,MATCH($A179&amp;"|"&amp;E$1,'Master - US vs THEM'!$G$2:$G$2951,0)),"")</f>
        <v>US</v>
      </c>
      <c r="F179" s="2" t="str">
        <f>IFERROR(INDEX('Master - US vs THEM'!$F$2:$F$2951,MATCH($A179&amp;"|"&amp;F$1,'Master - US vs THEM'!$G$2:$G$2951,0)),"")</f>
        <v>US</v>
      </c>
      <c r="G179" s="2" t="str">
        <f>IFERROR(INDEX('Master - US vs THEM'!$F$2:$F$2951,MATCH($A179&amp;"|"&amp;G$1,'Master - US vs THEM'!$G$2:$G$2951,0)),"")</f>
        <v>US</v>
      </c>
      <c r="H179" s="2" t="str">
        <f>IFERROR(INDEX('Master - US vs THEM'!$F$2:$F$2951,MATCH($A179&amp;"|"&amp;H$1,'Master - US vs THEM'!$G$2:$G$2951,0)),"")</f>
        <v>US</v>
      </c>
      <c r="I179" s="2" t="str">
        <f>IFERROR(INDEX('Master - US vs THEM'!$F$2:$F$2951,MATCH($A179&amp;"|"&amp;I$1,'Master - US vs THEM'!$G$2:$G$2951,0)),"")</f>
        <v>US</v>
      </c>
      <c r="J179" s="2" t="str">
        <f>IFERROR(INDEX('Master - US vs THEM'!$F$2:$F$2951,MATCH($A179&amp;"|"&amp;J$1,'Master - US vs THEM'!$G$2:$G$2951,0)),"")</f>
        <v>US</v>
      </c>
      <c r="K179" s="2" t="str">
        <f>IFERROR(INDEX('Master - US vs THEM'!$F$2:$F$2951,MATCH($A179&amp;"|"&amp;K$1,'Master - US vs THEM'!$G$2:$G$2951,0)),"")</f>
        <v>US</v>
      </c>
    </row>
    <row r="180" spans="1:11" x14ac:dyDescent="0.2">
      <c r="A180" s="2" t="str">
        <f>'[1]Brand Family Territory (Enc)'!A180</f>
        <v>Great Lakes</v>
      </c>
      <c r="B180" s="2" t="str">
        <f>IFERROR(INDEX('Master - US vs THEM'!$F$2:$F$2951,MATCH($A180&amp;"|"&amp;B$1,'Master - US vs THEM'!$G$2:$G$2951,0)),"")</f>
        <v>US</v>
      </c>
      <c r="C180" s="2" t="str">
        <f>IFERROR(INDEX('Master - US vs THEM'!$F$2:$F$2951,MATCH($A180&amp;"|"&amp;C$1,'Master - US vs THEM'!$G$2:$G$2951,0)),"")</f>
        <v>US</v>
      </c>
      <c r="D180" s="2" t="str">
        <f>IFERROR(INDEX('Master - US vs THEM'!$F$2:$F$2951,MATCH($A180&amp;"|"&amp;D$1,'Master - US vs THEM'!$G$2:$G$2951,0)),"")</f>
        <v>US</v>
      </c>
      <c r="E180" s="2" t="str">
        <f>IFERROR(INDEX('Master - US vs THEM'!$F$2:$F$2951,MATCH($A180&amp;"|"&amp;E$1,'Master - US vs THEM'!$G$2:$G$2951,0)),"")</f>
        <v>US</v>
      </c>
      <c r="F180" s="2" t="str">
        <f>IFERROR(INDEX('Master - US vs THEM'!$F$2:$F$2951,MATCH($A180&amp;"|"&amp;F$1,'Master - US vs THEM'!$G$2:$G$2951,0)),"")</f>
        <v>US</v>
      </c>
      <c r="G180" s="2" t="str">
        <f>IFERROR(INDEX('Master - US vs THEM'!$F$2:$F$2951,MATCH($A180&amp;"|"&amp;G$1,'Master - US vs THEM'!$G$2:$G$2951,0)),"")</f>
        <v>US</v>
      </c>
      <c r="H180" s="2" t="str">
        <f>IFERROR(INDEX('Master - US vs THEM'!$F$2:$F$2951,MATCH($A180&amp;"|"&amp;H$1,'Master - US vs THEM'!$G$2:$G$2951,0)),"")</f>
        <v>US</v>
      </c>
      <c r="I180" s="2" t="str">
        <f>IFERROR(INDEX('Master - US vs THEM'!$F$2:$F$2951,MATCH($A180&amp;"|"&amp;I$1,'Master - US vs THEM'!$G$2:$G$2951,0)),"")</f>
        <v>US</v>
      </c>
      <c r="J180" s="2" t="str">
        <f>IFERROR(INDEX('Master - US vs THEM'!$F$2:$F$2951,MATCH($A180&amp;"|"&amp;J$1,'Master - US vs THEM'!$G$2:$G$2951,0)),"")</f>
        <v>US</v>
      </c>
      <c r="K180" s="2" t="str">
        <f>IFERROR(INDEX('Master - US vs THEM'!$F$2:$F$2951,MATCH($A180&amp;"|"&amp;K$1,'Master - US vs THEM'!$G$2:$G$2951,0)),"")</f>
        <v>US</v>
      </c>
    </row>
    <row r="181" spans="1:11" x14ac:dyDescent="0.2">
      <c r="A181" s="2" t="str">
        <f>'[1]Brand Family Territory (Enc)'!A181</f>
        <v>Guaname Rompope</v>
      </c>
      <c r="B181" s="2" t="str">
        <f>IFERROR(INDEX('Master - US vs THEM'!$F$2:$F$2951,MATCH($A181&amp;"|"&amp;B$1,'Master - US vs THEM'!$G$2:$G$2951,0)),"")</f>
        <v>US</v>
      </c>
      <c r="C181" s="2" t="str">
        <f>IFERROR(INDEX('Master - US vs THEM'!$F$2:$F$2951,MATCH($A181&amp;"|"&amp;C$1,'Master - US vs THEM'!$G$2:$G$2951,0)),"")</f>
        <v>US</v>
      </c>
      <c r="D181" s="2" t="str">
        <f>IFERROR(INDEX('Master - US vs THEM'!$F$2:$F$2951,MATCH($A181&amp;"|"&amp;D$1,'Master - US vs THEM'!$G$2:$G$2951,0)),"")</f>
        <v>US</v>
      </c>
      <c r="E181" s="2" t="str">
        <f>IFERROR(INDEX('Master - US vs THEM'!$F$2:$F$2951,MATCH($A181&amp;"|"&amp;E$1,'Master - US vs THEM'!$G$2:$G$2951,0)),"")</f>
        <v>US</v>
      </c>
      <c r="F181" s="2" t="str">
        <f>IFERROR(INDEX('Master - US vs THEM'!$F$2:$F$2951,MATCH($A181&amp;"|"&amp;F$1,'Master - US vs THEM'!$G$2:$G$2951,0)),"")</f>
        <v>US</v>
      </c>
      <c r="G181" s="2" t="str">
        <f>IFERROR(INDEX('Master - US vs THEM'!$F$2:$F$2951,MATCH($A181&amp;"|"&amp;G$1,'Master - US vs THEM'!$G$2:$G$2951,0)),"")</f>
        <v>US</v>
      </c>
      <c r="H181" s="2" t="str">
        <f>IFERROR(INDEX('Master - US vs THEM'!$F$2:$F$2951,MATCH($A181&amp;"|"&amp;H$1,'Master - US vs THEM'!$G$2:$G$2951,0)),"")</f>
        <v>US</v>
      </c>
      <c r="I181" s="2" t="str">
        <f>IFERROR(INDEX('Master - US vs THEM'!$F$2:$F$2951,MATCH($A181&amp;"|"&amp;I$1,'Master - US vs THEM'!$G$2:$G$2951,0)),"")</f>
        <v>US</v>
      </c>
      <c r="J181" s="2" t="str">
        <f>IFERROR(INDEX('Master - US vs THEM'!$F$2:$F$2951,MATCH($A181&amp;"|"&amp;J$1,'Master - US vs THEM'!$G$2:$G$2951,0)),"")</f>
        <v>US</v>
      </c>
      <c r="K181" s="2" t="str">
        <f>IFERROR(INDEX('Master - US vs THEM'!$F$2:$F$2951,MATCH($A181&amp;"|"&amp;K$1,'Master - US vs THEM'!$G$2:$G$2951,0)),"")</f>
        <v>US</v>
      </c>
    </row>
    <row r="182" spans="1:11" x14ac:dyDescent="0.2">
      <c r="A182" s="2" t="str">
        <f>'[1]Brand Family Territory (Enc)'!A182</f>
        <v>Gulden Draak</v>
      </c>
      <c r="B182" s="2" t="str">
        <f>IFERROR(INDEX('Master - US vs THEM'!$F$2:$F$2951,MATCH($A182&amp;"|"&amp;B$1,'Master - US vs THEM'!$G$2:$G$2951,0)),"")</f>
        <v>US</v>
      </c>
      <c r="C182" s="2" t="str">
        <f>IFERROR(INDEX('Master - US vs THEM'!$F$2:$F$2951,MATCH($A182&amp;"|"&amp;C$1,'Master - US vs THEM'!$G$2:$G$2951,0)),"")</f>
        <v>US</v>
      </c>
      <c r="D182" s="2" t="str">
        <f>IFERROR(INDEX('Master - US vs THEM'!$F$2:$F$2951,MATCH($A182&amp;"|"&amp;D$1,'Master - US vs THEM'!$G$2:$G$2951,0)),"")</f>
        <v>US</v>
      </c>
      <c r="E182" s="2" t="str">
        <f>IFERROR(INDEX('Master - US vs THEM'!$F$2:$F$2951,MATCH($A182&amp;"|"&amp;E$1,'Master - US vs THEM'!$G$2:$G$2951,0)),"")</f>
        <v>US</v>
      </c>
      <c r="F182" s="2" t="str">
        <f>IFERROR(INDEX('Master - US vs THEM'!$F$2:$F$2951,MATCH($A182&amp;"|"&amp;F$1,'Master - US vs THEM'!$G$2:$G$2951,0)),"")</f>
        <v>US</v>
      </c>
      <c r="G182" s="2" t="str">
        <f>IFERROR(INDEX('Master - US vs THEM'!$F$2:$F$2951,MATCH($A182&amp;"|"&amp;G$1,'Master - US vs THEM'!$G$2:$G$2951,0)),"")</f>
        <v>US</v>
      </c>
      <c r="H182" s="2" t="str">
        <f>IFERROR(INDEX('Master - US vs THEM'!$F$2:$F$2951,MATCH($A182&amp;"|"&amp;H$1,'Master - US vs THEM'!$G$2:$G$2951,0)),"")</f>
        <v>US</v>
      </c>
      <c r="I182" s="2" t="str">
        <f>IFERROR(INDEX('Master - US vs THEM'!$F$2:$F$2951,MATCH($A182&amp;"|"&amp;I$1,'Master - US vs THEM'!$G$2:$G$2951,0)),"")</f>
        <v>US</v>
      </c>
      <c r="J182" s="2" t="str">
        <f>IFERROR(INDEX('Master - US vs THEM'!$F$2:$F$2951,MATCH($A182&amp;"|"&amp;J$1,'Master - US vs THEM'!$G$2:$G$2951,0)),"")</f>
        <v>US</v>
      </c>
      <c r="K182" s="2" t="str">
        <f>IFERROR(INDEX('Master - US vs THEM'!$F$2:$F$2951,MATCH($A182&amp;"|"&amp;K$1,'Master - US vs THEM'!$G$2:$G$2951,0)),"")</f>
        <v>US</v>
      </c>
    </row>
    <row r="183" spans="1:11" x14ac:dyDescent="0.2">
      <c r="A183" s="2" t="str">
        <f>'[1]Brand Family Territory (Enc)'!A183</f>
        <v>Happy Flower</v>
      </c>
      <c r="B183" s="2" t="str">
        <f>IFERROR(INDEX('Master - US vs THEM'!$F$2:$F$2951,MATCH($A183&amp;"|"&amp;B$1,'Master - US vs THEM'!$G$2:$G$2951,0)),"")</f>
        <v>US</v>
      </c>
      <c r="C183" s="2" t="str">
        <f>IFERROR(INDEX('Master - US vs THEM'!$F$2:$F$2951,MATCH($A183&amp;"|"&amp;C$1,'Master - US vs THEM'!$G$2:$G$2951,0)),"")</f>
        <v>US</v>
      </c>
      <c r="D183" s="2" t="str">
        <f>IFERROR(INDEX('Master - US vs THEM'!$F$2:$F$2951,MATCH($A183&amp;"|"&amp;D$1,'Master - US vs THEM'!$G$2:$G$2951,0)),"")</f>
        <v>US</v>
      </c>
      <c r="E183" s="2" t="str">
        <f>IFERROR(INDEX('Master - US vs THEM'!$F$2:$F$2951,MATCH($A183&amp;"|"&amp;E$1,'Master - US vs THEM'!$G$2:$G$2951,0)),"")</f>
        <v>US</v>
      </c>
      <c r="F183" s="2" t="str">
        <f>IFERROR(INDEX('Master - US vs THEM'!$F$2:$F$2951,MATCH($A183&amp;"|"&amp;F$1,'Master - US vs THEM'!$G$2:$G$2951,0)),"")</f>
        <v>US</v>
      </c>
      <c r="G183" s="2" t="str">
        <f>IFERROR(INDEX('Master - US vs THEM'!$F$2:$F$2951,MATCH($A183&amp;"|"&amp;G$1,'Master - US vs THEM'!$G$2:$G$2951,0)),"")</f>
        <v>US</v>
      </c>
      <c r="H183" s="2" t="str">
        <f>IFERROR(INDEX('Master - US vs THEM'!$F$2:$F$2951,MATCH($A183&amp;"|"&amp;H$1,'Master - US vs THEM'!$G$2:$G$2951,0)),"")</f>
        <v>US</v>
      </c>
      <c r="I183" s="2" t="str">
        <f>IFERROR(INDEX('Master - US vs THEM'!$F$2:$F$2951,MATCH($A183&amp;"|"&amp;I$1,'Master - US vs THEM'!$G$2:$G$2951,0)),"")</f>
        <v>US</v>
      </c>
      <c r="J183" s="2" t="str">
        <f>IFERROR(INDEX('Master - US vs THEM'!$F$2:$F$2951,MATCH($A183&amp;"|"&amp;J$1,'Master - US vs THEM'!$G$2:$G$2951,0)),"")</f>
        <v>US</v>
      </c>
      <c r="K183" s="2" t="str">
        <f>IFERROR(INDEX('Master - US vs THEM'!$F$2:$F$2951,MATCH($A183&amp;"|"&amp;K$1,'Master - US vs THEM'!$G$2:$G$2951,0)),"")</f>
        <v>US</v>
      </c>
    </row>
    <row r="184" spans="1:11" x14ac:dyDescent="0.2">
      <c r="A184" s="2" t="str">
        <f>'[1]Brand Family Territory (Enc)'!A184</f>
        <v>Hectare's</v>
      </c>
      <c r="B184" s="2" t="str">
        <f>IFERROR(INDEX('Master - US vs THEM'!$F$2:$F$2951,MATCH($A184&amp;"|"&amp;B$1,'Master - US vs THEM'!$G$2:$G$2951,0)),"")</f>
        <v>US</v>
      </c>
      <c r="C184" s="2" t="str">
        <f>IFERROR(INDEX('Master - US vs THEM'!$F$2:$F$2951,MATCH($A184&amp;"|"&amp;C$1,'Master - US vs THEM'!$G$2:$G$2951,0)),"")</f>
        <v>US</v>
      </c>
      <c r="D184" s="2" t="str">
        <f>IFERROR(INDEX('Master - US vs THEM'!$F$2:$F$2951,MATCH($A184&amp;"|"&amp;D$1,'Master - US vs THEM'!$G$2:$G$2951,0)),"")</f>
        <v>US</v>
      </c>
      <c r="E184" s="2" t="str">
        <f>IFERROR(INDEX('Master - US vs THEM'!$F$2:$F$2951,MATCH($A184&amp;"|"&amp;E$1,'Master - US vs THEM'!$G$2:$G$2951,0)),"")</f>
        <v>US</v>
      </c>
      <c r="F184" s="2" t="str">
        <f>IFERROR(INDEX('Master - US vs THEM'!$F$2:$F$2951,MATCH($A184&amp;"|"&amp;F$1,'Master - US vs THEM'!$G$2:$G$2951,0)),"")</f>
        <v>US</v>
      </c>
      <c r="G184" s="2" t="str">
        <f>IFERROR(INDEX('Master - US vs THEM'!$F$2:$F$2951,MATCH($A184&amp;"|"&amp;G$1,'Master - US vs THEM'!$G$2:$G$2951,0)),"")</f>
        <v>US</v>
      </c>
      <c r="H184" s="2" t="str">
        <f>IFERROR(INDEX('Master - US vs THEM'!$F$2:$F$2951,MATCH($A184&amp;"|"&amp;H$1,'Master - US vs THEM'!$G$2:$G$2951,0)),"")</f>
        <v>US</v>
      </c>
      <c r="I184" s="2" t="str">
        <f>IFERROR(INDEX('Master - US vs THEM'!$F$2:$F$2951,MATCH($A184&amp;"|"&amp;I$1,'Master - US vs THEM'!$G$2:$G$2951,0)),"")</f>
        <v>US</v>
      </c>
      <c r="J184" s="2" t="str">
        <f>IFERROR(INDEX('Master - US vs THEM'!$F$2:$F$2951,MATCH($A184&amp;"|"&amp;J$1,'Master - US vs THEM'!$G$2:$G$2951,0)),"")</f>
        <v>US</v>
      </c>
      <c r="K184" s="2" t="str">
        <f>IFERROR(INDEX('Master - US vs THEM'!$F$2:$F$2951,MATCH($A184&amp;"|"&amp;K$1,'Master - US vs THEM'!$G$2:$G$2951,0)),"")</f>
        <v>US</v>
      </c>
    </row>
    <row r="185" spans="1:11" x14ac:dyDescent="0.2">
      <c r="A185" s="2" t="str">
        <f>'[1]Brand Family Territory (Enc)'!A185</f>
        <v>Herb &amp; Bloom</v>
      </c>
      <c r="B185" s="2" t="str">
        <f>IFERROR(INDEX('Master - US vs THEM'!$F$2:$F$2951,MATCH($A185&amp;"|"&amp;B$1,'Master - US vs THEM'!$G$2:$G$2951,0)),"")</f>
        <v>US</v>
      </c>
      <c r="C185" s="2" t="str">
        <f>IFERROR(INDEX('Master - US vs THEM'!$F$2:$F$2951,MATCH($A185&amp;"|"&amp;C$1,'Master - US vs THEM'!$G$2:$G$2951,0)),"")</f>
        <v>US</v>
      </c>
      <c r="D185" s="2" t="str">
        <f>IFERROR(INDEX('Master - US vs THEM'!$F$2:$F$2951,MATCH($A185&amp;"|"&amp;D$1,'Master - US vs THEM'!$G$2:$G$2951,0)),"")</f>
        <v>US</v>
      </c>
      <c r="E185" s="2" t="str">
        <f>IFERROR(INDEX('Master - US vs THEM'!$F$2:$F$2951,MATCH($A185&amp;"|"&amp;E$1,'Master - US vs THEM'!$G$2:$G$2951,0)),"")</f>
        <v>US</v>
      </c>
      <c r="F185" s="2" t="str">
        <f>IFERROR(INDEX('Master - US vs THEM'!$F$2:$F$2951,MATCH($A185&amp;"|"&amp;F$1,'Master - US vs THEM'!$G$2:$G$2951,0)),"")</f>
        <v>US</v>
      </c>
      <c r="G185" s="2" t="str">
        <f>IFERROR(INDEX('Master - US vs THEM'!$F$2:$F$2951,MATCH($A185&amp;"|"&amp;G$1,'Master - US vs THEM'!$G$2:$G$2951,0)),"")</f>
        <v>US</v>
      </c>
      <c r="H185" s="2" t="str">
        <f>IFERROR(INDEX('Master - US vs THEM'!$F$2:$F$2951,MATCH($A185&amp;"|"&amp;H$1,'Master - US vs THEM'!$G$2:$G$2951,0)),"")</f>
        <v>US</v>
      </c>
      <c r="I185" s="2" t="str">
        <f>IFERROR(INDEX('Master - US vs THEM'!$F$2:$F$2951,MATCH($A185&amp;"|"&amp;I$1,'Master - US vs THEM'!$G$2:$G$2951,0)),"")</f>
        <v>US</v>
      </c>
      <c r="J185" s="2" t="str">
        <f>IFERROR(INDEX('Master - US vs THEM'!$F$2:$F$2951,MATCH($A185&amp;"|"&amp;J$1,'Master - US vs THEM'!$G$2:$G$2951,0)),"")</f>
        <v>US</v>
      </c>
      <c r="K185" s="2" t="str">
        <f>IFERROR(INDEX('Master - US vs THEM'!$F$2:$F$2951,MATCH($A185&amp;"|"&amp;K$1,'Master - US vs THEM'!$G$2:$G$2951,0)),"")</f>
        <v>US</v>
      </c>
    </row>
    <row r="186" spans="1:11" x14ac:dyDescent="0.2">
      <c r="A186" s="2" t="str">
        <f>'[1]Brand Family Territory (Enc)'!A186</f>
        <v>Hofbrau Usa</v>
      </c>
      <c r="B186" s="2" t="str">
        <f>IFERROR(INDEX('Master - US vs THEM'!$F$2:$F$2951,MATCH($A186&amp;"|"&amp;B$1,'Master - US vs THEM'!$G$2:$G$2951,0)),"")</f>
        <v>US</v>
      </c>
      <c r="C186" s="2" t="str">
        <f>IFERROR(INDEX('Master - US vs THEM'!$F$2:$F$2951,MATCH($A186&amp;"|"&amp;C$1,'Master - US vs THEM'!$G$2:$G$2951,0)),"")</f>
        <v>US</v>
      </c>
      <c r="D186" s="2" t="str">
        <f>IFERROR(INDEX('Master - US vs THEM'!$F$2:$F$2951,MATCH($A186&amp;"|"&amp;D$1,'Master - US vs THEM'!$G$2:$G$2951,0)),"")</f>
        <v>US</v>
      </c>
      <c r="E186" s="2" t="str">
        <f>IFERROR(INDEX('Master - US vs THEM'!$F$2:$F$2951,MATCH($A186&amp;"|"&amp;E$1,'Master - US vs THEM'!$G$2:$G$2951,0)),"")</f>
        <v>US</v>
      </c>
      <c r="F186" s="2" t="str">
        <f>IFERROR(INDEX('Master - US vs THEM'!$F$2:$F$2951,MATCH($A186&amp;"|"&amp;F$1,'Master - US vs THEM'!$G$2:$G$2951,0)),"")</f>
        <v>US</v>
      </c>
      <c r="G186" s="2" t="str">
        <f>IFERROR(INDEX('Master - US vs THEM'!$F$2:$F$2951,MATCH($A186&amp;"|"&amp;G$1,'Master - US vs THEM'!$G$2:$G$2951,0)),"")</f>
        <v>US</v>
      </c>
      <c r="H186" s="2" t="str">
        <f>IFERROR(INDEX('Master - US vs THEM'!$F$2:$F$2951,MATCH($A186&amp;"|"&amp;H$1,'Master - US vs THEM'!$G$2:$G$2951,0)),"")</f>
        <v>US</v>
      </c>
      <c r="I186" s="2" t="str">
        <f>IFERROR(INDEX('Master - US vs THEM'!$F$2:$F$2951,MATCH($A186&amp;"|"&amp;I$1,'Master - US vs THEM'!$G$2:$G$2951,0)),"")</f>
        <v>US</v>
      </c>
      <c r="J186" s="2" t="str">
        <f>IFERROR(INDEX('Master - US vs THEM'!$F$2:$F$2951,MATCH($A186&amp;"|"&amp;J$1,'Master - US vs THEM'!$G$2:$G$2951,0)),"")</f>
        <v>US</v>
      </c>
      <c r="K186" s="2" t="str">
        <f>IFERROR(INDEX('Master - US vs THEM'!$F$2:$F$2951,MATCH($A186&amp;"|"&amp;K$1,'Master - US vs THEM'!$G$2:$G$2951,0)),"")</f>
        <v>US</v>
      </c>
    </row>
    <row r="187" spans="1:11" x14ac:dyDescent="0.2">
      <c r="A187" s="2" t="str">
        <f>'[1]Brand Family Territory (Enc)'!A187</f>
        <v>Greek Spirits</v>
      </c>
      <c r="B187" s="2" t="str">
        <f>IFERROR(INDEX('Master - US vs THEM'!$F$2:$F$2951,MATCH($A187&amp;"|"&amp;B$1,'Master - US vs THEM'!$G$2:$G$2951,0)),"")</f>
        <v>US</v>
      </c>
      <c r="C187" s="2" t="str">
        <f>IFERROR(INDEX('Master - US vs THEM'!$F$2:$F$2951,MATCH($A187&amp;"|"&amp;C$1,'Master - US vs THEM'!$G$2:$G$2951,0)),"")</f>
        <v>US</v>
      </c>
      <c r="D187" s="2" t="str">
        <f>IFERROR(INDEX('Master - US vs THEM'!$F$2:$F$2951,MATCH($A187&amp;"|"&amp;D$1,'Master - US vs THEM'!$G$2:$G$2951,0)),"")</f>
        <v>US</v>
      </c>
      <c r="E187" s="2" t="str">
        <f>IFERROR(INDEX('Master - US vs THEM'!$F$2:$F$2951,MATCH($A187&amp;"|"&amp;E$1,'Master - US vs THEM'!$G$2:$G$2951,0)),"")</f>
        <v>US</v>
      </c>
      <c r="F187" s="2" t="str">
        <f>IFERROR(INDEX('Master - US vs THEM'!$F$2:$F$2951,MATCH($A187&amp;"|"&amp;F$1,'Master - US vs THEM'!$G$2:$G$2951,0)),"")</f>
        <v>US</v>
      </c>
      <c r="G187" s="2" t="str">
        <f>IFERROR(INDEX('Master - US vs THEM'!$F$2:$F$2951,MATCH($A187&amp;"|"&amp;G$1,'Master - US vs THEM'!$G$2:$G$2951,0)),"")</f>
        <v>US</v>
      </c>
      <c r="H187" s="2" t="str">
        <f>IFERROR(INDEX('Master - US vs THEM'!$F$2:$F$2951,MATCH($A187&amp;"|"&amp;H$1,'Master - US vs THEM'!$G$2:$G$2951,0)),"")</f>
        <v>US</v>
      </c>
      <c r="I187" s="2" t="str">
        <f>IFERROR(INDEX('Master - US vs THEM'!$F$2:$F$2951,MATCH($A187&amp;"|"&amp;I$1,'Master - US vs THEM'!$G$2:$G$2951,0)),"")</f>
        <v>US</v>
      </c>
      <c r="J187" s="2" t="str">
        <f>IFERROR(INDEX('Master - US vs THEM'!$F$2:$F$2951,MATCH($A187&amp;"|"&amp;J$1,'Master - US vs THEM'!$G$2:$G$2951,0)),"")</f>
        <v>US</v>
      </c>
      <c r="K187" s="2" t="str">
        <f>IFERROR(INDEX('Master - US vs THEM'!$F$2:$F$2951,MATCH($A187&amp;"|"&amp;K$1,'Master - US vs THEM'!$G$2:$G$2951,0)),"")</f>
        <v>US</v>
      </c>
    </row>
    <row r="188" spans="1:11" x14ac:dyDescent="0.2">
      <c r="A188" s="2" t="str">
        <f>'[1]Brand Family Territory (Enc)'!A188</f>
        <v>Jack Daniels Country Cocktails</v>
      </c>
      <c r="B188" s="2" t="str">
        <f>IFERROR(INDEX('Master - US vs THEM'!$F$2:$F$2951,MATCH($A188&amp;"|"&amp;B$1,'Master - US vs THEM'!$G$2:$G$2951,0)),"")</f>
        <v>US</v>
      </c>
      <c r="C188" s="2" t="str">
        <f>IFERROR(INDEX('Master - US vs THEM'!$F$2:$F$2951,MATCH($A188&amp;"|"&amp;C$1,'Master - US vs THEM'!$G$2:$G$2951,0)),"")</f>
        <v>US</v>
      </c>
      <c r="D188" s="2" t="str">
        <f>IFERROR(INDEX('Master - US vs THEM'!$F$2:$F$2951,MATCH($A188&amp;"|"&amp;D$1,'Master - US vs THEM'!$G$2:$G$2951,0)),"")</f>
        <v>US</v>
      </c>
      <c r="E188" s="2" t="str">
        <f>IFERROR(INDEX('Master - US vs THEM'!$F$2:$F$2951,MATCH($A188&amp;"|"&amp;E$1,'Master - US vs THEM'!$G$2:$G$2951,0)),"")</f>
        <v>US</v>
      </c>
      <c r="F188" s="2" t="str">
        <f>IFERROR(INDEX('Master - US vs THEM'!$F$2:$F$2951,MATCH($A188&amp;"|"&amp;F$1,'Master - US vs THEM'!$G$2:$G$2951,0)),"")</f>
        <v>US</v>
      </c>
      <c r="G188" s="2" t="str">
        <f>IFERROR(INDEX('Master - US vs THEM'!$F$2:$F$2951,MATCH($A188&amp;"|"&amp;G$1,'Master - US vs THEM'!$G$2:$G$2951,0)),"")</f>
        <v>US</v>
      </c>
      <c r="H188" s="2" t="str">
        <f>IFERROR(INDEX('Master - US vs THEM'!$F$2:$F$2951,MATCH($A188&amp;"|"&amp;H$1,'Master - US vs THEM'!$G$2:$G$2951,0)),"")</f>
        <v>US</v>
      </c>
      <c r="I188" s="2" t="str">
        <f>IFERROR(INDEX('Master - US vs THEM'!$F$2:$F$2951,MATCH($A188&amp;"|"&amp;I$1,'Master - US vs THEM'!$G$2:$G$2951,0)),"")</f>
        <v>US</v>
      </c>
      <c r="J188" s="2" t="str">
        <f>IFERROR(INDEX('Master - US vs THEM'!$F$2:$F$2951,MATCH($A188&amp;"|"&amp;J$1,'Master - US vs THEM'!$G$2:$G$2951,0)),"")</f>
        <v>US</v>
      </c>
      <c r="K188" s="2" t="str">
        <f>IFERROR(INDEX('Master - US vs THEM'!$F$2:$F$2951,MATCH($A188&amp;"|"&amp;K$1,'Master - US vs THEM'!$G$2:$G$2951,0)),"")</f>
        <v>US</v>
      </c>
    </row>
    <row r="189" spans="1:11" x14ac:dyDescent="0.2">
      <c r="A189" s="2" t="str">
        <f>'[1]Brand Family Territory (Enc)'!A189</f>
        <v>Jerzey Jungle</v>
      </c>
      <c r="B189" s="2" t="str">
        <f>IFERROR(INDEX('Master - US vs THEM'!$F$2:$F$2951,MATCH($A189&amp;"|"&amp;B$1,'Master - US vs THEM'!$G$2:$G$2951,0)),"")</f>
        <v>US</v>
      </c>
      <c r="C189" s="2" t="str">
        <f>IFERROR(INDEX('Master - US vs THEM'!$F$2:$F$2951,MATCH($A189&amp;"|"&amp;C$1,'Master - US vs THEM'!$G$2:$G$2951,0)),"")</f>
        <v>US</v>
      </c>
      <c r="D189" s="2" t="str">
        <f>IFERROR(INDEX('Master - US vs THEM'!$F$2:$F$2951,MATCH($A189&amp;"|"&amp;D$1,'Master - US vs THEM'!$G$2:$G$2951,0)),"")</f>
        <v>US</v>
      </c>
      <c r="E189" s="2" t="str">
        <f>IFERROR(INDEX('Master - US vs THEM'!$F$2:$F$2951,MATCH($A189&amp;"|"&amp;E$1,'Master - US vs THEM'!$G$2:$G$2951,0)),"")</f>
        <v>US</v>
      </c>
      <c r="F189" s="2" t="str">
        <f>IFERROR(INDEX('Master - US vs THEM'!$F$2:$F$2951,MATCH($A189&amp;"|"&amp;F$1,'Master - US vs THEM'!$G$2:$G$2951,0)),"")</f>
        <v>US</v>
      </c>
      <c r="G189" s="2" t="str">
        <f>IFERROR(INDEX('Master - US vs THEM'!$F$2:$F$2951,MATCH($A189&amp;"|"&amp;G$1,'Master - US vs THEM'!$G$2:$G$2951,0)),"")</f>
        <v>US</v>
      </c>
      <c r="H189" s="2" t="str">
        <f>IFERROR(INDEX('Master - US vs THEM'!$F$2:$F$2951,MATCH($A189&amp;"|"&amp;H$1,'Master - US vs THEM'!$G$2:$G$2951,0)),"")</f>
        <v>US</v>
      </c>
      <c r="I189" s="2" t="str">
        <f>IFERROR(INDEX('Master - US vs THEM'!$F$2:$F$2951,MATCH($A189&amp;"|"&amp;I$1,'Master - US vs THEM'!$G$2:$G$2951,0)),"")</f>
        <v>US</v>
      </c>
      <c r="J189" s="2" t="str">
        <f>IFERROR(INDEX('Master - US vs THEM'!$F$2:$F$2951,MATCH($A189&amp;"|"&amp;J$1,'Master - US vs THEM'!$G$2:$G$2951,0)),"")</f>
        <v>US</v>
      </c>
      <c r="K189" s="2" t="str">
        <f>IFERROR(INDEX('Master - US vs THEM'!$F$2:$F$2951,MATCH($A189&amp;"|"&amp;K$1,'Master - US vs THEM'!$G$2:$G$2951,0)),"")</f>
        <v>US</v>
      </c>
    </row>
    <row r="190" spans="1:11" x14ac:dyDescent="0.2">
      <c r="A190" s="2" t="str">
        <f>'[1]Brand Family Territory (Enc)'!A190</f>
        <v>Kingfisher Premium</v>
      </c>
      <c r="B190" s="2" t="str">
        <f>IFERROR(INDEX('Master - US vs THEM'!$F$2:$F$2951,MATCH($A190&amp;"|"&amp;B$1,'Master - US vs THEM'!$G$2:$G$2951,0)),"")</f>
        <v>US</v>
      </c>
      <c r="C190" s="2" t="str">
        <f>IFERROR(INDEX('Master - US vs THEM'!$F$2:$F$2951,MATCH($A190&amp;"|"&amp;C$1,'Master - US vs THEM'!$G$2:$G$2951,0)),"")</f>
        <v>US</v>
      </c>
      <c r="D190" s="2" t="str">
        <f>IFERROR(INDEX('Master - US vs THEM'!$F$2:$F$2951,MATCH($A190&amp;"|"&amp;D$1,'Master - US vs THEM'!$G$2:$G$2951,0)),"")</f>
        <v>US</v>
      </c>
      <c r="E190" s="2" t="str">
        <f>IFERROR(INDEX('Master - US vs THEM'!$F$2:$F$2951,MATCH($A190&amp;"|"&amp;E$1,'Master - US vs THEM'!$G$2:$G$2951,0)),"")</f>
        <v>US</v>
      </c>
      <c r="F190" s="2" t="str">
        <f>IFERROR(INDEX('Master - US vs THEM'!$F$2:$F$2951,MATCH($A190&amp;"|"&amp;F$1,'Master - US vs THEM'!$G$2:$G$2951,0)),"")</f>
        <v>US</v>
      </c>
      <c r="G190" s="2" t="str">
        <f>IFERROR(INDEX('Master - US vs THEM'!$F$2:$F$2951,MATCH($A190&amp;"|"&amp;G$1,'Master - US vs THEM'!$G$2:$G$2951,0)),"")</f>
        <v>US</v>
      </c>
      <c r="H190" s="2" t="str">
        <f>IFERROR(INDEX('Master - US vs THEM'!$F$2:$F$2951,MATCH($A190&amp;"|"&amp;H$1,'Master - US vs THEM'!$G$2:$G$2951,0)),"")</f>
        <v>US</v>
      </c>
      <c r="I190" s="2" t="str">
        <f>IFERROR(INDEX('Master - US vs THEM'!$F$2:$F$2951,MATCH($A190&amp;"|"&amp;I$1,'Master - US vs THEM'!$G$2:$G$2951,0)),"")</f>
        <v>US</v>
      </c>
      <c r="J190" s="2" t="str">
        <f>IFERROR(INDEX('Master - US vs THEM'!$F$2:$F$2951,MATCH($A190&amp;"|"&amp;J$1,'Master - US vs THEM'!$G$2:$G$2951,0)),"")</f>
        <v>US</v>
      </c>
      <c r="K190" s="2" t="str">
        <f>IFERROR(INDEX('Master - US vs THEM'!$F$2:$F$2951,MATCH($A190&amp;"|"&amp;K$1,'Master - US vs THEM'!$G$2:$G$2951,0)),"")</f>
        <v>US</v>
      </c>
    </row>
    <row r="191" spans="1:11" x14ac:dyDescent="0.2">
      <c r="A191" s="2" t="str">
        <f>'[1]Brand Family Territory (Enc)'!A191</f>
        <v>Krusovice</v>
      </c>
      <c r="B191" s="2" t="str">
        <f>IFERROR(INDEX('Master - US vs THEM'!$F$2:$F$2951,MATCH($A191&amp;"|"&amp;B$1,'Master - US vs THEM'!$G$2:$G$2951,0)),"")</f>
        <v>US</v>
      </c>
      <c r="C191" s="2" t="str">
        <f>IFERROR(INDEX('Master - US vs THEM'!$F$2:$F$2951,MATCH($A191&amp;"|"&amp;C$1,'Master - US vs THEM'!$G$2:$G$2951,0)),"")</f>
        <v>US</v>
      </c>
      <c r="D191" s="2" t="str">
        <f>IFERROR(INDEX('Master - US vs THEM'!$F$2:$F$2951,MATCH($A191&amp;"|"&amp;D$1,'Master - US vs THEM'!$G$2:$G$2951,0)),"")</f>
        <v>US</v>
      </c>
      <c r="E191" s="2" t="str">
        <f>IFERROR(INDEX('Master - US vs THEM'!$F$2:$F$2951,MATCH($A191&amp;"|"&amp;E$1,'Master - US vs THEM'!$G$2:$G$2951,0)),"")</f>
        <v>US</v>
      </c>
      <c r="F191" s="2" t="str">
        <f>IFERROR(INDEX('Master - US vs THEM'!$F$2:$F$2951,MATCH($A191&amp;"|"&amp;F$1,'Master - US vs THEM'!$G$2:$G$2951,0)),"")</f>
        <v>US</v>
      </c>
      <c r="G191" s="2" t="str">
        <f>IFERROR(INDEX('Master - US vs THEM'!$F$2:$F$2951,MATCH($A191&amp;"|"&amp;G$1,'Master - US vs THEM'!$G$2:$G$2951,0)),"")</f>
        <v>US</v>
      </c>
      <c r="H191" s="2" t="str">
        <f>IFERROR(INDEX('Master - US vs THEM'!$F$2:$F$2951,MATCH($A191&amp;"|"&amp;H$1,'Master - US vs THEM'!$G$2:$G$2951,0)),"")</f>
        <v>US</v>
      </c>
      <c r="I191" s="2" t="str">
        <f>IFERROR(INDEX('Master - US vs THEM'!$F$2:$F$2951,MATCH($A191&amp;"|"&amp;I$1,'Master - US vs THEM'!$G$2:$G$2951,0)),"")</f>
        <v>US</v>
      </c>
      <c r="J191" s="2" t="str">
        <f>IFERROR(INDEX('Master - US vs THEM'!$F$2:$F$2951,MATCH($A191&amp;"|"&amp;J$1,'Master - US vs THEM'!$G$2:$G$2951,0)),"")</f>
        <v>US</v>
      </c>
      <c r="K191" s="2" t="str">
        <f>IFERROR(INDEX('Master - US vs THEM'!$F$2:$F$2951,MATCH($A191&amp;"|"&amp;K$1,'Master - US vs THEM'!$G$2:$G$2951,0)),"")</f>
        <v>US</v>
      </c>
    </row>
    <row r="192" spans="1:11" x14ac:dyDescent="0.2">
      <c r="A192" s="2" t="str">
        <f>'[1]Brand Family Territory (Enc)'!A192</f>
        <v>Lark Infused D9</v>
      </c>
      <c r="B192" s="2" t="str">
        <f>IFERROR(INDEX('Master - US vs THEM'!$F$2:$F$2951,MATCH($A192&amp;"|"&amp;B$1,'Master - US vs THEM'!$G$2:$G$2951,0)),"")</f>
        <v>US</v>
      </c>
      <c r="C192" s="2" t="str">
        <f>IFERROR(INDEX('Master - US vs THEM'!$F$2:$F$2951,MATCH($A192&amp;"|"&amp;C$1,'Master - US vs THEM'!$G$2:$G$2951,0)),"")</f>
        <v>US</v>
      </c>
      <c r="D192" s="2" t="str">
        <f>IFERROR(INDEX('Master - US vs THEM'!$F$2:$F$2951,MATCH($A192&amp;"|"&amp;D$1,'Master - US vs THEM'!$G$2:$G$2951,0)),"")</f>
        <v>US</v>
      </c>
      <c r="E192" s="2" t="str">
        <f>IFERROR(INDEX('Master - US vs THEM'!$F$2:$F$2951,MATCH($A192&amp;"|"&amp;E$1,'Master - US vs THEM'!$G$2:$G$2951,0)),"")</f>
        <v>US</v>
      </c>
      <c r="F192" s="2" t="str">
        <f>IFERROR(INDEX('Master - US vs THEM'!$F$2:$F$2951,MATCH($A192&amp;"|"&amp;F$1,'Master - US vs THEM'!$G$2:$G$2951,0)),"")</f>
        <v>US</v>
      </c>
      <c r="G192" s="2" t="str">
        <f>IFERROR(INDEX('Master - US vs THEM'!$F$2:$F$2951,MATCH($A192&amp;"|"&amp;G$1,'Master - US vs THEM'!$G$2:$G$2951,0)),"")</f>
        <v>US</v>
      </c>
      <c r="H192" s="2" t="str">
        <f>IFERROR(INDEX('Master - US vs THEM'!$F$2:$F$2951,MATCH($A192&amp;"|"&amp;H$1,'Master - US vs THEM'!$G$2:$G$2951,0)),"")</f>
        <v>US</v>
      </c>
      <c r="I192" s="2" t="str">
        <f>IFERROR(INDEX('Master - US vs THEM'!$F$2:$F$2951,MATCH($A192&amp;"|"&amp;I$1,'Master - US vs THEM'!$G$2:$G$2951,0)),"")</f>
        <v>US</v>
      </c>
      <c r="J192" s="2" t="str">
        <f>IFERROR(INDEX('Master - US vs THEM'!$F$2:$F$2951,MATCH($A192&amp;"|"&amp;J$1,'Master - US vs THEM'!$G$2:$G$2951,0)),"")</f>
        <v>US</v>
      </c>
      <c r="K192" s="2" t="str">
        <f>IFERROR(INDEX('Master - US vs THEM'!$F$2:$F$2951,MATCH($A192&amp;"|"&amp;K$1,'Master - US vs THEM'!$G$2:$G$2951,0)),"")</f>
        <v>US</v>
      </c>
    </row>
    <row r="193" spans="1:11" x14ac:dyDescent="0.2">
      <c r="A193" s="2" t="str">
        <f>'[1]Brand Family Territory (Enc)'!A193</f>
        <v>Whitecap</v>
      </c>
      <c r="B193" s="2" t="str">
        <f>IFERROR(INDEX('Master - US vs THEM'!$F$2:$F$2951,MATCH($A193&amp;"|"&amp;B$1,'Master - US vs THEM'!$G$2:$G$2951,0)),"")</f>
        <v>US</v>
      </c>
      <c r="C193" s="2" t="str">
        <f>IFERROR(INDEX('Master - US vs THEM'!$F$2:$F$2951,MATCH($A193&amp;"|"&amp;C$1,'Master - US vs THEM'!$G$2:$G$2951,0)),"")</f>
        <v>US</v>
      </c>
      <c r="D193" s="2" t="str">
        <f>IFERROR(INDEX('Master - US vs THEM'!$F$2:$F$2951,MATCH($A193&amp;"|"&amp;D$1,'Master - US vs THEM'!$G$2:$G$2951,0)),"")</f>
        <v>US</v>
      </c>
      <c r="E193" s="2" t="str">
        <f>IFERROR(INDEX('Master - US vs THEM'!$F$2:$F$2951,MATCH($A193&amp;"|"&amp;E$1,'Master - US vs THEM'!$G$2:$G$2951,0)),"")</f>
        <v>US</v>
      </c>
      <c r="F193" s="2" t="str">
        <f>IFERROR(INDEX('Master - US vs THEM'!$F$2:$F$2951,MATCH($A193&amp;"|"&amp;F$1,'Master - US vs THEM'!$G$2:$G$2951,0)),"")</f>
        <v>US</v>
      </c>
      <c r="G193" s="2" t="str">
        <f>IFERROR(INDEX('Master - US vs THEM'!$F$2:$F$2951,MATCH($A193&amp;"|"&amp;G$1,'Master - US vs THEM'!$G$2:$G$2951,0)),"")</f>
        <v>US</v>
      </c>
      <c r="H193" s="2" t="str">
        <f>IFERROR(INDEX('Master - US vs THEM'!$F$2:$F$2951,MATCH($A193&amp;"|"&amp;H$1,'Master - US vs THEM'!$G$2:$G$2951,0)),"")</f>
        <v>US</v>
      </c>
      <c r="I193" s="2" t="str">
        <f>IFERROR(INDEX('Master - US vs THEM'!$F$2:$F$2951,MATCH($A193&amp;"|"&amp;I$1,'Master - US vs THEM'!$G$2:$G$2951,0)),"")</f>
        <v>US</v>
      </c>
      <c r="J193" s="2" t="str">
        <f>IFERROR(INDEX('Master - US vs THEM'!$F$2:$F$2951,MATCH($A193&amp;"|"&amp;J$1,'Master - US vs THEM'!$G$2:$G$2951,0)),"")</f>
        <v>US</v>
      </c>
      <c r="K193" s="2" t="str">
        <f>IFERROR(INDEX('Master - US vs THEM'!$F$2:$F$2951,MATCH($A193&amp;"|"&amp;K$1,'Master - US vs THEM'!$G$2:$G$2951,0)),"")</f>
        <v>US</v>
      </c>
    </row>
    <row r="194" spans="1:11" x14ac:dyDescent="0.2">
      <c r="A194" s="2" t="str">
        <f>'[1]Brand Family Territory (Enc)'!A194</f>
        <v>Lone Star</v>
      </c>
      <c r="B194" s="2" t="str">
        <f>IFERROR(INDEX('Master - US vs THEM'!$F$2:$F$2951,MATCH($A194&amp;"|"&amp;B$1,'Master - US vs THEM'!$G$2:$G$2951,0)),"")</f>
        <v>US</v>
      </c>
      <c r="C194" s="2" t="str">
        <f>IFERROR(INDEX('Master - US vs THEM'!$F$2:$F$2951,MATCH($A194&amp;"|"&amp;C$1,'Master - US vs THEM'!$G$2:$G$2951,0)),"")</f>
        <v>US</v>
      </c>
      <c r="D194" s="2" t="str">
        <f>IFERROR(INDEX('Master - US vs THEM'!$F$2:$F$2951,MATCH($A194&amp;"|"&amp;D$1,'Master - US vs THEM'!$G$2:$G$2951,0)),"")</f>
        <v>US</v>
      </c>
      <c r="E194" s="2" t="str">
        <f>IFERROR(INDEX('Master - US vs THEM'!$F$2:$F$2951,MATCH($A194&amp;"|"&amp;E$1,'Master - US vs THEM'!$G$2:$G$2951,0)),"")</f>
        <v>US</v>
      </c>
      <c r="F194" s="2" t="str">
        <f>IFERROR(INDEX('Master - US vs THEM'!$F$2:$F$2951,MATCH($A194&amp;"|"&amp;F$1,'Master - US vs THEM'!$G$2:$G$2951,0)),"")</f>
        <v>US</v>
      </c>
      <c r="G194" s="2" t="str">
        <f>IFERROR(INDEX('Master - US vs THEM'!$F$2:$F$2951,MATCH($A194&amp;"|"&amp;G$1,'Master - US vs THEM'!$G$2:$G$2951,0)),"")</f>
        <v>US</v>
      </c>
      <c r="H194" s="2" t="str">
        <f>IFERROR(INDEX('Master - US vs THEM'!$F$2:$F$2951,MATCH($A194&amp;"|"&amp;H$1,'Master - US vs THEM'!$G$2:$G$2951,0)),"")</f>
        <v>US</v>
      </c>
      <c r="I194" s="2" t="str">
        <f>IFERROR(INDEX('Master - US vs THEM'!$F$2:$F$2951,MATCH($A194&amp;"|"&amp;I$1,'Master - US vs THEM'!$G$2:$G$2951,0)),"")</f>
        <v>US</v>
      </c>
      <c r="J194" s="2" t="str">
        <f>IFERROR(INDEX('Master - US vs THEM'!$F$2:$F$2951,MATCH($A194&amp;"|"&amp;J$1,'Master - US vs THEM'!$G$2:$G$2951,0)),"")</f>
        <v>US</v>
      </c>
      <c r="K194" s="2" t="str">
        <f>IFERROR(INDEX('Master - US vs THEM'!$F$2:$F$2951,MATCH($A194&amp;"|"&amp;K$1,'Master - US vs THEM'!$G$2:$G$2951,0)),"")</f>
        <v>US</v>
      </c>
    </row>
    <row r="195" spans="1:11" x14ac:dyDescent="0.2">
      <c r="A195" s="2" t="str">
        <f>'[1]Brand Family Territory (Enc)'!A195</f>
        <v>Long Trail</v>
      </c>
      <c r="B195" s="2" t="str">
        <f>IFERROR(INDEX('Master - US vs THEM'!$F$2:$F$2951,MATCH($A195&amp;"|"&amp;B$1,'Master - US vs THEM'!$G$2:$G$2951,0)),"")</f>
        <v>US</v>
      </c>
      <c r="C195" s="2" t="str">
        <f>IFERROR(INDEX('Master - US vs THEM'!$F$2:$F$2951,MATCH($A195&amp;"|"&amp;C$1,'Master - US vs THEM'!$G$2:$G$2951,0)),"")</f>
        <v>US</v>
      </c>
      <c r="D195" s="2" t="str">
        <f>IFERROR(INDEX('Master - US vs THEM'!$F$2:$F$2951,MATCH($A195&amp;"|"&amp;D$1,'Master - US vs THEM'!$G$2:$G$2951,0)),"")</f>
        <v>US</v>
      </c>
      <c r="E195" s="2" t="str">
        <f>IFERROR(INDEX('Master - US vs THEM'!$F$2:$F$2951,MATCH($A195&amp;"|"&amp;E$1,'Master - US vs THEM'!$G$2:$G$2951,0)),"")</f>
        <v>US</v>
      </c>
      <c r="F195" s="2" t="str">
        <f>IFERROR(INDEX('Master - US vs THEM'!$F$2:$F$2951,MATCH($A195&amp;"|"&amp;F$1,'Master - US vs THEM'!$G$2:$G$2951,0)),"")</f>
        <v>US</v>
      </c>
      <c r="G195" s="2" t="str">
        <f>IFERROR(INDEX('Master - US vs THEM'!$F$2:$F$2951,MATCH($A195&amp;"|"&amp;G$1,'Master - US vs THEM'!$G$2:$G$2951,0)),"")</f>
        <v>US</v>
      </c>
      <c r="H195" s="2" t="str">
        <f>IFERROR(INDEX('Master - US vs THEM'!$F$2:$F$2951,MATCH($A195&amp;"|"&amp;H$1,'Master - US vs THEM'!$G$2:$G$2951,0)),"")</f>
        <v>US</v>
      </c>
      <c r="I195" s="2" t="str">
        <f>IFERROR(INDEX('Master - US vs THEM'!$F$2:$F$2951,MATCH($A195&amp;"|"&amp;I$1,'Master - US vs THEM'!$G$2:$G$2951,0)),"")</f>
        <v>US</v>
      </c>
      <c r="J195" s="2" t="str">
        <f>IFERROR(INDEX('Master - US vs THEM'!$F$2:$F$2951,MATCH($A195&amp;"|"&amp;J$1,'Master - US vs THEM'!$G$2:$G$2951,0)),"")</f>
        <v>US</v>
      </c>
      <c r="K195" s="2" t="str">
        <f>IFERROR(INDEX('Master - US vs THEM'!$F$2:$F$2951,MATCH($A195&amp;"|"&amp;K$1,'Master - US vs THEM'!$G$2:$G$2951,0)),"")</f>
        <v>US</v>
      </c>
    </row>
    <row r="196" spans="1:11" x14ac:dyDescent="0.2">
      <c r="A196" s="2" t="str">
        <f>'[1]Brand Family Territory (Enc)'!A196</f>
        <v>Caravella</v>
      </c>
      <c r="B196" s="2" t="str">
        <f>IFERROR(INDEX('Master - US vs THEM'!$F$2:$F$2951,MATCH($A196&amp;"|"&amp;B$1,'Master - US vs THEM'!$G$2:$G$2951,0)),"")</f>
        <v>US</v>
      </c>
      <c r="C196" s="2" t="str">
        <f>IFERROR(INDEX('Master - US vs THEM'!$F$2:$F$2951,MATCH($A196&amp;"|"&amp;C$1,'Master - US vs THEM'!$G$2:$G$2951,0)),"")</f>
        <v>US</v>
      </c>
      <c r="D196" s="2" t="str">
        <f>IFERROR(INDEX('Master - US vs THEM'!$F$2:$F$2951,MATCH($A196&amp;"|"&amp;D$1,'Master - US vs THEM'!$G$2:$G$2951,0)),"")</f>
        <v>US</v>
      </c>
      <c r="E196" s="2" t="str">
        <f>IFERROR(INDEX('Master - US vs THEM'!$F$2:$F$2951,MATCH($A196&amp;"|"&amp;E$1,'Master - US vs THEM'!$G$2:$G$2951,0)),"")</f>
        <v>US</v>
      </c>
      <c r="F196" s="2" t="str">
        <f>IFERROR(INDEX('Master - US vs THEM'!$F$2:$F$2951,MATCH($A196&amp;"|"&amp;F$1,'Master - US vs THEM'!$G$2:$G$2951,0)),"")</f>
        <v>US</v>
      </c>
      <c r="G196" s="2" t="str">
        <f>IFERROR(INDEX('Master - US vs THEM'!$F$2:$F$2951,MATCH($A196&amp;"|"&amp;G$1,'Master - US vs THEM'!$G$2:$G$2951,0)),"")</f>
        <v>US</v>
      </c>
      <c r="H196" s="2" t="str">
        <f>IFERROR(INDEX('Master - US vs THEM'!$F$2:$F$2951,MATCH($A196&amp;"|"&amp;H$1,'Master - US vs THEM'!$G$2:$G$2951,0)),"")</f>
        <v>US</v>
      </c>
      <c r="I196" s="2" t="str">
        <f>IFERROR(INDEX('Master - US vs THEM'!$F$2:$F$2951,MATCH($A196&amp;"|"&amp;I$1,'Master - US vs THEM'!$G$2:$G$2951,0)),"")</f>
        <v>US</v>
      </c>
      <c r="J196" s="2" t="str">
        <f>IFERROR(INDEX('Master - US vs THEM'!$F$2:$F$2951,MATCH($A196&amp;"|"&amp;J$1,'Master - US vs THEM'!$G$2:$G$2951,0)),"")</f>
        <v>US</v>
      </c>
      <c r="K196" s="2" t="str">
        <f>IFERROR(INDEX('Master - US vs THEM'!$F$2:$F$2951,MATCH($A196&amp;"|"&amp;K$1,'Master - US vs THEM'!$G$2:$G$2951,0)),"")</f>
        <v>US</v>
      </c>
    </row>
    <row r="197" spans="1:11" x14ac:dyDescent="0.2">
      <c r="A197" s="2" t="str">
        <f>'[1]Brand Family Territory (Enc)'!A197</f>
        <v>Mackeson</v>
      </c>
      <c r="B197" s="2" t="str">
        <f>IFERROR(INDEX('Master - US vs THEM'!$F$2:$F$2951,MATCH($A197&amp;"|"&amp;B$1,'Master - US vs THEM'!$G$2:$G$2951,0)),"")</f>
        <v>US</v>
      </c>
      <c r="C197" s="2" t="str">
        <f>IFERROR(INDEX('Master - US vs THEM'!$F$2:$F$2951,MATCH($A197&amp;"|"&amp;C$1,'Master - US vs THEM'!$G$2:$G$2951,0)),"")</f>
        <v>US</v>
      </c>
      <c r="D197" s="2" t="str">
        <f>IFERROR(INDEX('Master - US vs THEM'!$F$2:$F$2951,MATCH($A197&amp;"|"&amp;D$1,'Master - US vs THEM'!$G$2:$G$2951,0)),"")</f>
        <v>US</v>
      </c>
      <c r="E197" s="2" t="str">
        <f>IFERROR(INDEX('Master - US vs THEM'!$F$2:$F$2951,MATCH($A197&amp;"|"&amp;E$1,'Master - US vs THEM'!$G$2:$G$2951,0)),"")</f>
        <v>US</v>
      </c>
      <c r="F197" s="2" t="str">
        <f>IFERROR(INDEX('Master - US vs THEM'!$F$2:$F$2951,MATCH($A197&amp;"|"&amp;F$1,'Master - US vs THEM'!$G$2:$G$2951,0)),"")</f>
        <v>US</v>
      </c>
      <c r="G197" s="2" t="str">
        <f>IFERROR(INDEX('Master - US vs THEM'!$F$2:$F$2951,MATCH($A197&amp;"|"&amp;G$1,'Master - US vs THEM'!$G$2:$G$2951,0)),"")</f>
        <v>US</v>
      </c>
      <c r="H197" s="2" t="str">
        <f>IFERROR(INDEX('Master - US vs THEM'!$F$2:$F$2951,MATCH($A197&amp;"|"&amp;H$1,'Master - US vs THEM'!$G$2:$G$2951,0)),"")</f>
        <v>US</v>
      </c>
      <c r="I197" s="2" t="str">
        <f>IFERROR(INDEX('Master - US vs THEM'!$F$2:$F$2951,MATCH($A197&amp;"|"&amp;I$1,'Master - US vs THEM'!$G$2:$G$2951,0)),"")</f>
        <v>US</v>
      </c>
      <c r="J197" s="2" t="str">
        <f>IFERROR(INDEX('Master - US vs THEM'!$F$2:$F$2951,MATCH($A197&amp;"|"&amp;J$1,'Master - US vs THEM'!$G$2:$G$2951,0)),"")</f>
        <v>US</v>
      </c>
      <c r="K197" s="2" t="str">
        <f>IFERROR(INDEX('Master - US vs THEM'!$F$2:$F$2951,MATCH($A197&amp;"|"&amp;K$1,'Master - US vs THEM'!$G$2:$G$2951,0)),"")</f>
        <v>US</v>
      </c>
    </row>
    <row r="198" spans="1:11" x14ac:dyDescent="0.2">
      <c r="A198" s="2" t="str">
        <f>'[1]Brand Family Territory (Enc)'!A198</f>
        <v>Magners</v>
      </c>
      <c r="B198" s="2" t="str">
        <f>IFERROR(INDEX('Master - US vs THEM'!$F$2:$F$2951,MATCH($A198&amp;"|"&amp;B$1,'Master - US vs THEM'!$G$2:$G$2951,0)),"")</f>
        <v>US</v>
      </c>
      <c r="C198" s="2" t="str">
        <f>IFERROR(INDEX('Master - US vs THEM'!$F$2:$F$2951,MATCH($A198&amp;"|"&amp;C$1,'Master - US vs THEM'!$G$2:$G$2951,0)),"")</f>
        <v>US</v>
      </c>
      <c r="D198" s="2" t="str">
        <f>IFERROR(INDEX('Master - US vs THEM'!$F$2:$F$2951,MATCH($A198&amp;"|"&amp;D$1,'Master - US vs THEM'!$G$2:$G$2951,0)),"")</f>
        <v>US</v>
      </c>
      <c r="E198" s="2" t="str">
        <f>IFERROR(INDEX('Master - US vs THEM'!$F$2:$F$2951,MATCH($A198&amp;"|"&amp;E$1,'Master - US vs THEM'!$G$2:$G$2951,0)),"")</f>
        <v>US</v>
      </c>
      <c r="F198" s="2" t="str">
        <f>IFERROR(INDEX('Master - US vs THEM'!$F$2:$F$2951,MATCH($A198&amp;"|"&amp;F$1,'Master - US vs THEM'!$G$2:$G$2951,0)),"")</f>
        <v>US</v>
      </c>
      <c r="G198" s="2" t="str">
        <f>IFERROR(INDEX('Master - US vs THEM'!$F$2:$F$2951,MATCH($A198&amp;"|"&amp;G$1,'Master - US vs THEM'!$G$2:$G$2951,0)),"")</f>
        <v>US</v>
      </c>
      <c r="H198" s="2" t="str">
        <f>IFERROR(INDEX('Master - US vs THEM'!$F$2:$F$2951,MATCH($A198&amp;"|"&amp;H$1,'Master - US vs THEM'!$G$2:$G$2951,0)),"")</f>
        <v>US</v>
      </c>
      <c r="I198" s="2" t="str">
        <f>IFERROR(INDEX('Master - US vs THEM'!$F$2:$F$2951,MATCH($A198&amp;"|"&amp;I$1,'Master - US vs THEM'!$G$2:$G$2951,0)),"")</f>
        <v>US</v>
      </c>
      <c r="J198" s="2" t="str">
        <f>IFERROR(INDEX('Master - US vs THEM'!$F$2:$F$2951,MATCH($A198&amp;"|"&amp;J$1,'Master - US vs THEM'!$G$2:$G$2951,0)),"")</f>
        <v>US</v>
      </c>
      <c r="K198" s="2" t="str">
        <f>IFERROR(INDEX('Master - US vs THEM'!$F$2:$F$2951,MATCH($A198&amp;"|"&amp;K$1,'Master - US vs THEM'!$G$2:$G$2951,0)),"")</f>
        <v>US</v>
      </c>
    </row>
    <row r="199" spans="1:11" x14ac:dyDescent="0.2">
      <c r="A199" s="2" t="str">
        <f>'[1]Brand Family Territory (Enc)'!A199</f>
        <v>Malibu Splash</v>
      </c>
      <c r="B199" s="2" t="str">
        <f>IFERROR(INDEX('Master - US vs THEM'!$F$2:$F$2951,MATCH($A199&amp;"|"&amp;B$1,'Master - US vs THEM'!$G$2:$G$2951,0)),"")</f>
        <v>US</v>
      </c>
      <c r="C199" s="2" t="str">
        <f>IFERROR(INDEX('Master - US vs THEM'!$F$2:$F$2951,MATCH($A199&amp;"|"&amp;C$1,'Master - US vs THEM'!$G$2:$G$2951,0)),"")</f>
        <v>US</v>
      </c>
      <c r="D199" s="2" t="str">
        <f>IFERROR(INDEX('Master - US vs THEM'!$F$2:$F$2951,MATCH($A199&amp;"|"&amp;D$1,'Master - US vs THEM'!$G$2:$G$2951,0)),"")</f>
        <v>US</v>
      </c>
      <c r="E199" s="2" t="str">
        <f>IFERROR(INDEX('Master - US vs THEM'!$F$2:$F$2951,MATCH($A199&amp;"|"&amp;E$1,'Master - US vs THEM'!$G$2:$G$2951,0)),"")</f>
        <v>US</v>
      </c>
      <c r="F199" s="2" t="str">
        <f>IFERROR(INDEX('Master - US vs THEM'!$F$2:$F$2951,MATCH($A199&amp;"|"&amp;F$1,'Master - US vs THEM'!$G$2:$G$2951,0)),"")</f>
        <v>US</v>
      </c>
      <c r="G199" s="2" t="str">
        <f>IFERROR(INDEX('Master - US vs THEM'!$F$2:$F$2951,MATCH($A199&amp;"|"&amp;G$1,'Master - US vs THEM'!$G$2:$G$2951,0)),"")</f>
        <v>US</v>
      </c>
      <c r="H199" s="2" t="str">
        <f>IFERROR(INDEX('Master - US vs THEM'!$F$2:$F$2951,MATCH($A199&amp;"|"&amp;H$1,'Master - US vs THEM'!$G$2:$G$2951,0)),"")</f>
        <v>US</v>
      </c>
      <c r="I199" s="2" t="str">
        <f>IFERROR(INDEX('Master - US vs THEM'!$F$2:$F$2951,MATCH($A199&amp;"|"&amp;I$1,'Master - US vs THEM'!$G$2:$G$2951,0)),"")</f>
        <v>US</v>
      </c>
      <c r="J199" s="2" t="str">
        <f>IFERROR(INDEX('Master - US vs THEM'!$F$2:$F$2951,MATCH($A199&amp;"|"&amp;J$1,'Master - US vs THEM'!$G$2:$G$2951,0)),"")</f>
        <v>US</v>
      </c>
      <c r="K199" s="2" t="str">
        <f>IFERROR(INDEX('Master - US vs THEM'!$F$2:$F$2951,MATCH($A199&amp;"|"&amp;K$1,'Master - US vs THEM'!$G$2:$G$2951,0)),"")</f>
        <v>US</v>
      </c>
    </row>
    <row r="200" spans="1:11" x14ac:dyDescent="0.2">
      <c r="A200" s="2" t="str">
        <f>'[1]Brand Family Territory (Enc)'!A200</f>
        <v>Mckenzie's</v>
      </c>
      <c r="B200" s="2" t="str">
        <f>IFERROR(INDEX('Master - US vs THEM'!$F$2:$F$2951,MATCH($A200&amp;"|"&amp;B$1,'Master - US vs THEM'!$G$2:$G$2951,0)),"")</f>
        <v>US</v>
      </c>
      <c r="C200" s="2" t="str">
        <f>IFERROR(INDEX('Master - US vs THEM'!$F$2:$F$2951,MATCH($A200&amp;"|"&amp;C$1,'Master - US vs THEM'!$G$2:$G$2951,0)),"")</f>
        <v>US</v>
      </c>
      <c r="D200" s="2" t="str">
        <f>IFERROR(INDEX('Master - US vs THEM'!$F$2:$F$2951,MATCH($A200&amp;"|"&amp;D$1,'Master - US vs THEM'!$G$2:$G$2951,0)),"")</f>
        <v>US</v>
      </c>
      <c r="E200" s="2" t="str">
        <f>IFERROR(INDEX('Master - US vs THEM'!$F$2:$F$2951,MATCH($A200&amp;"|"&amp;E$1,'Master - US vs THEM'!$G$2:$G$2951,0)),"")</f>
        <v>US</v>
      </c>
      <c r="F200" s="2" t="str">
        <f>IFERROR(INDEX('Master - US vs THEM'!$F$2:$F$2951,MATCH($A200&amp;"|"&amp;F$1,'Master - US vs THEM'!$G$2:$G$2951,0)),"")</f>
        <v>US</v>
      </c>
      <c r="G200" s="2" t="str">
        <f>IFERROR(INDEX('Master - US vs THEM'!$F$2:$F$2951,MATCH($A200&amp;"|"&amp;G$1,'Master - US vs THEM'!$G$2:$G$2951,0)),"")</f>
        <v>THEM</v>
      </c>
      <c r="H200" s="2" t="str">
        <f>IFERROR(INDEX('Master - US vs THEM'!$F$2:$F$2951,MATCH($A200&amp;"|"&amp;H$1,'Master - US vs THEM'!$G$2:$G$2951,0)),"")</f>
        <v>THEM</v>
      </c>
      <c r="I200" s="2" t="str">
        <f>IFERROR(INDEX('Master - US vs THEM'!$F$2:$F$2951,MATCH($A200&amp;"|"&amp;I$1,'Master - US vs THEM'!$G$2:$G$2951,0)),"")</f>
        <v>THEM</v>
      </c>
      <c r="J200" s="2" t="str">
        <f>IFERROR(INDEX('Master - US vs THEM'!$F$2:$F$2951,MATCH($A200&amp;"|"&amp;J$1,'Master - US vs THEM'!$G$2:$G$2951,0)),"")</f>
        <v>THEM</v>
      </c>
      <c r="K200" s="2" t="str">
        <f>IFERROR(INDEX('Master - US vs THEM'!$F$2:$F$2951,MATCH($A200&amp;"|"&amp;K$1,'Master - US vs THEM'!$G$2:$G$2951,0)),"")</f>
        <v>THEM</v>
      </c>
    </row>
    <row r="201" spans="1:11" x14ac:dyDescent="0.2">
      <c r="A201" s="2" t="str">
        <f>'[1]Brand Family Territory (Enc)'!A201</f>
        <v>Molly's</v>
      </c>
      <c r="B201" s="2" t="str">
        <f>IFERROR(INDEX('Master - US vs THEM'!$F$2:$F$2951,MATCH($A201&amp;"|"&amp;B$1,'Master - US vs THEM'!$G$2:$G$2951,0)),"")</f>
        <v>US</v>
      </c>
      <c r="C201" s="2" t="str">
        <f>IFERROR(INDEX('Master - US vs THEM'!$F$2:$F$2951,MATCH($A201&amp;"|"&amp;C$1,'Master - US vs THEM'!$G$2:$G$2951,0)),"")</f>
        <v>US</v>
      </c>
      <c r="D201" s="2" t="str">
        <f>IFERROR(INDEX('Master - US vs THEM'!$F$2:$F$2951,MATCH($A201&amp;"|"&amp;D$1,'Master - US vs THEM'!$G$2:$G$2951,0)),"")</f>
        <v>US</v>
      </c>
      <c r="E201" s="2" t="str">
        <f>IFERROR(INDEX('Master - US vs THEM'!$F$2:$F$2951,MATCH($A201&amp;"|"&amp;E$1,'Master - US vs THEM'!$G$2:$G$2951,0)),"")</f>
        <v>US</v>
      </c>
      <c r="F201" s="2" t="str">
        <f>IFERROR(INDEX('Master - US vs THEM'!$F$2:$F$2951,MATCH($A201&amp;"|"&amp;F$1,'Master - US vs THEM'!$G$2:$G$2951,0)),"")</f>
        <v>US</v>
      </c>
      <c r="G201" s="2" t="str">
        <f>IFERROR(INDEX('Master - US vs THEM'!$F$2:$F$2951,MATCH($A201&amp;"|"&amp;G$1,'Master - US vs THEM'!$G$2:$G$2951,0)),"")</f>
        <v>US</v>
      </c>
      <c r="H201" s="2" t="str">
        <f>IFERROR(INDEX('Master - US vs THEM'!$F$2:$F$2951,MATCH($A201&amp;"|"&amp;H$1,'Master - US vs THEM'!$G$2:$G$2951,0)),"")</f>
        <v>US</v>
      </c>
      <c r="I201" s="2" t="str">
        <f>IFERROR(INDEX('Master - US vs THEM'!$F$2:$F$2951,MATCH($A201&amp;"|"&amp;I$1,'Master - US vs THEM'!$G$2:$G$2951,0)),"")</f>
        <v>US</v>
      </c>
      <c r="J201" s="2" t="str">
        <f>IFERROR(INDEX('Master - US vs THEM'!$F$2:$F$2951,MATCH($A201&amp;"|"&amp;J$1,'Master - US vs THEM'!$G$2:$G$2951,0)),"")</f>
        <v>US</v>
      </c>
      <c r="K201" s="2" t="str">
        <f>IFERROR(INDEX('Master - US vs THEM'!$F$2:$F$2951,MATCH($A201&amp;"|"&amp;K$1,'Master - US vs THEM'!$G$2:$G$2951,0)),"")</f>
        <v>US</v>
      </c>
    </row>
    <row r="202" spans="1:11" x14ac:dyDescent="0.2">
      <c r="A202" s="2" t="str">
        <f>'[1]Brand Family Territory (Enc)'!A202</f>
        <v>Montauk</v>
      </c>
      <c r="B202" s="2" t="str">
        <f>IFERROR(INDEX('Master - US vs THEM'!$F$2:$F$2951,MATCH($A202&amp;"|"&amp;B$1,'Master - US vs THEM'!$G$2:$G$2951,0)),"")</f>
        <v>US</v>
      </c>
      <c r="C202" s="2" t="str">
        <f>IFERROR(INDEX('Master - US vs THEM'!$F$2:$F$2951,MATCH($A202&amp;"|"&amp;C$1,'Master - US vs THEM'!$G$2:$G$2951,0)),"")</f>
        <v>US</v>
      </c>
      <c r="D202" s="2" t="str">
        <f>IFERROR(INDEX('Master - US vs THEM'!$F$2:$F$2951,MATCH($A202&amp;"|"&amp;D$1,'Master - US vs THEM'!$G$2:$G$2951,0)),"")</f>
        <v>US</v>
      </c>
      <c r="E202" s="2" t="str">
        <f>IFERROR(INDEX('Master - US vs THEM'!$F$2:$F$2951,MATCH($A202&amp;"|"&amp;E$1,'Master - US vs THEM'!$G$2:$G$2951,0)),"")</f>
        <v>US</v>
      </c>
      <c r="F202" s="2" t="str">
        <f>IFERROR(INDEX('Master - US vs THEM'!$F$2:$F$2951,MATCH($A202&amp;"|"&amp;F$1,'Master - US vs THEM'!$G$2:$G$2951,0)),"")</f>
        <v>US</v>
      </c>
      <c r="G202" s="2" t="str">
        <f>IFERROR(INDEX('Master - US vs THEM'!$F$2:$F$2951,MATCH($A202&amp;"|"&amp;G$1,'Master - US vs THEM'!$G$2:$G$2951,0)),"")</f>
        <v>US</v>
      </c>
      <c r="H202" s="2" t="str">
        <f>IFERROR(INDEX('Master - US vs THEM'!$F$2:$F$2951,MATCH($A202&amp;"|"&amp;H$1,'Master - US vs THEM'!$G$2:$G$2951,0)),"")</f>
        <v>US</v>
      </c>
      <c r="I202" s="2" t="str">
        <f>IFERROR(INDEX('Master - US vs THEM'!$F$2:$F$2951,MATCH($A202&amp;"|"&amp;I$1,'Master - US vs THEM'!$G$2:$G$2951,0)),"")</f>
        <v>US</v>
      </c>
      <c r="J202" s="2" t="str">
        <f>IFERROR(INDEX('Master - US vs THEM'!$F$2:$F$2951,MATCH($A202&amp;"|"&amp;J$1,'Master - US vs THEM'!$G$2:$G$2951,0)),"")</f>
        <v>US</v>
      </c>
      <c r="K202" s="2" t="str">
        <f>IFERROR(INDEX('Master - US vs THEM'!$F$2:$F$2951,MATCH($A202&amp;"|"&amp;K$1,'Master - US vs THEM'!$G$2:$G$2951,0)),"")</f>
        <v>US</v>
      </c>
    </row>
    <row r="203" spans="1:11" x14ac:dyDescent="0.2">
      <c r="A203" s="2" t="str">
        <f>'[1]Brand Family Territory (Enc)'!A203</f>
        <v>Monte Xanic</v>
      </c>
      <c r="B203" s="2" t="str">
        <f>IFERROR(INDEX('Master - US vs THEM'!$F$2:$F$2951,MATCH($A203&amp;"|"&amp;B$1,'Master - US vs THEM'!$G$2:$G$2951,0)),"")</f>
        <v>US</v>
      </c>
      <c r="C203" s="2" t="str">
        <f>IFERROR(INDEX('Master - US vs THEM'!$F$2:$F$2951,MATCH($A203&amp;"|"&amp;C$1,'Master - US vs THEM'!$G$2:$G$2951,0)),"")</f>
        <v>US</v>
      </c>
      <c r="D203" s="2" t="str">
        <f>IFERROR(INDEX('Master - US vs THEM'!$F$2:$F$2951,MATCH($A203&amp;"|"&amp;D$1,'Master - US vs THEM'!$G$2:$G$2951,0)),"")</f>
        <v>US</v>
      </c>
      <c r="E203" s="2" t="str">
        <f>IFERROR(INDEX('Master - US vs THEM'!$F$2:$F$2951,MATCH($A203&amp;"|"&amp;E$1,'Master - US vs THEM'!$G$2:$G$2951,0)),"")</f>
        <v>US</v>
      </c>
      <c r="F203" s="2" t="str">
        <f>IFERROR(INDEX('Master - US vs THEM'!$F$2:$F$2951,MATCH($A203&amp;"|"&amp;F$1,'Master - US vs THEM'!$G$2:$G$2951,0)),"")</f>
        <v>US</v>
      </c>
      <c r="G203" s="2" t="str">
        <f>IFERROR(INDEX('Master - US vs THEM'!$F$2:$F$2951,MATCH($A203&amp;"|"&amp;G$1,'Master - US vs THEM'!$G$2:$G$2951,0)),"")</f>
        <v>US</v>
      </c>
      <c r="H203" s="2" t="str">
        <f>IFERROR(INDEX('Master - US vs THEM'!$F$2:$F$2951,MATCH($A203&amp;"|"&amp;H$1,'Master - US vs THEM'!$G$2:$G$2951,0)),"")</f>
        <v>US</v>
      </c>
      <c r="I203" s="2" t="str">
        <f>IFERROR(INDEX('Master - US vs THEM'!$F$2:$F$2951,MATCH($A203&amp;"|"&amp;I$1,'Master - US vs THEM'!$G$2:$G$2951,0)),"")</f>
        <v>US</v>
      </c>
      <c r="J203" s="2" t="str">
        <f>IFERROR(INDEX('Master - US vs THEM'!$F$2:$F$2951,MATCH($A203&amp;"|"&amp;J$1,'Master - US vs THEM'!$G$2:$G$2951,0)),"")</f>
        <v>US</v>
      </c>
      <c r="K203" s="2" t="str">
        <f>IFERROR(INDEX('Master - US vs THEM'!$F$2:$F$2951,MATCH($A203&amp;"|"&amp;K$1,'Master - US vs THEM'!$G$2:$G$2951,0)),"")</f>
        <v>US</v>
      </c>
    </row>
    <row r="204" spans="1:11" x14ac:dyDescent="0.2">
      <c r="A204" s="2" t="str">
        <f>'[1]Brand Family Territory (Enc)'!A204</f>
        <v>Mythos</v>
      </c>
      <c r="B204" s="2" t="str">
        <f>IFERROR(INDEX('Master - US vs THEM'!$F$2:$F$2951,MATCH($A204&amp;"|"&amp;B$1,'Master - US vs THEM'!$G$2:$G$2951,0)),"")</f>
        <v>US</v>
      </c>
      <c r="C204" s="2" t="str">
        <f>IFERROR(INDEX('Master - US vs THEM'!$F$2:$F$2951,MATCH($A204&amp;"|"&amp;C$1,'Master - US vs THEM'!$G$2:$G$2951,0)),"")</f>
        <v>US</v>
      </c>
      <c r="D204" s="2" t="str">
        <f>IFERROR(INDEX('Master - US vs THEM'!$F$2:$F$2951,MATCH($A204&amp;"|"&amp;D$1,'Master - US vs THEM'!$G$2:$G$2951,0)),"")</f>
        <v>US</v>
      </c>
      <c r="E204" s="2" t="str">
        <f>IFERROR(INDEX('Master - US vs THEM'!$F$2:$F$2951,MATCH($A204&amp;"|"&amp;E$1,'Master - US vs THEM'!$G$2:$G$2951,0)),"")</f>
        <v>US</v>
      </c>
      <c r="F204" s="2" t="str">
        <f>IFERROR(INDEX('Master - US vs THEM'!$F$2:$F$2951,MATCH($A204&amp;"|"&amp;F$1,'Master - US vs THEM'!$G$2:$G$2951,0)),"")</f>
        <v>US</v>
      </c>
      <c r="G204" s="2" t="str">
        <f>IFERROR(INDEX('Master - US vs THEM'!$F$2:$F$2951,MATCH($A204&amp;"|"&amp;G$1,'Master - US vs THEM'!$G$2:$G$2951,0)),"")</f>
        <v>US</v>
      </c>
      <c r="H204" s="2" t="str">
        <f>IFERROR(INDEX('Master - US vs THEM'!$F$2:$F$2951,MATCH($A204&amp;"|"&amp;H$1,'Master - US vs THEM'!$G$2:$G$2951,0)),"")</f>
        <v>US</v>
      </c>
      <c r="I204" s="2" t="str">
        <f>IFERROR(INDEX('Master - US vs THEM'!$F$2:$F$2951,MATCH($A204&amp;"|"&amp;I$1,'Master - US vs THEM'!$G$2:$G$2951,0)),"")</f>
        <v>US</v>
      </c>
      <c r="J204" s="2" t="str">
        <f>IFERROR(INDEX('Master - US vs THEM'!$F$2:$F$2951,MATCH($A204&amp;"|"&amp;J$1,'Master - US vs THEM'!$G$2:$G$2951,0)),"")</f>
        <v>US</v>
      </c>
      <c r="K204" s="2" t="str">
        <f>IFERROR(INDEX('Master - US vs THEM'!$F$2:$F$2951,MATCH($A204&amp;"|"&amp;K$1,'Master - US vs THEM'!$G$2:$G$2951,0)),"")</f>
        <v>US</v>
      </c>
    </row>
    <row r="205" spans="1:11" x14ac:dyDescent="0.2">
      <c r="A205" s="2" t="str">
        <f>'[1]Brand Family Territory (Enc)'!A205</f>
        <v>New Holland Brewing Co</v>
      </c>
      <c r="B205" s="2" t="str">
        <f>IFERROR(INDEX('Master - US vs THEM'!$F$2:$F$2951,MATCH($A205&amp;"|"&amp;B$1,'Master - US vs THEM'!$G$2:$G$2951,0)),"")</f>
        <v>US</v>
      </c>
      <c r="C205" s="2" t="str">
        <f>IFERROR(INDEX('Master - US vs THEM'!$F$2:$F$2951,MATCH($A205&amp;"|"&amp;C$1,'Master - US vs THEM'!$G$2:$G$2951,0)),"")</f>
        <v>US</v>
      </c>
      <c r="D205" s="2" t="str">
        <f>IFERROR(INDEX('Master - US vs THEM'!$F$2:$F$2951,MATCH($A205&amp;"|"&amp;D$1,'Master - US vs THEM'!$G$2:$G$2951,0)),"")</f>
        <v>US</v>
      </c>
      <c r="E205" s="2" t="str">
        <f>IFERROR(INDEX('Master - US vs THEM'!$F$2:$F$2951,MATCH($A205&amp;"|"&amp;E$1,'Master - US vs THEM'!$G$2:$G$2951,0)),"")</f>
        <v>US</v>
      </c>
      <c r="F205" s="2" t="str">
        <f>IFERROR(INDEX('Master - US vs THEM'!$F$2:$F$2951,MATCH($A205&amp;"|"&amp;F$1,'Master - US vs THEM'!$G$2:$G$2951,0)),"")</f>
        <v>US</v>
      </c>
      <c r="G205" s="2" t="str">
        <f>IFERROR(INDEX('Master - US vs THEM'!$F$2:$F$2951,MATCH($A205&amp;"|"&amp;G$1,'Master - US vs THEM'!$G$2:$G$2951,0)),"")</f>
        <v>US</v>
      </c>
      <c r="H205" s="2" t="str">
        <f>IFERROR(INDEX('Master - US vs THEM'!$F$2:$F$2951,MATCH($A205&amp;"|"&amp;H$1,'Master - US vs THEM'!$G$2:$G$2951,0)),"")</f>
        <v>US</v>
      </c>
      <c r="I205" s="2" t="str">
        <f>IFERROR(INDEX('Master - US vs THEM'!$F$2:$F$2951,MATCH($A205&amp;"|"&amp;I$1,'Master - US vs THEM'!$G$2:$G$2951,0)),"")</f>
        <v>US</v>
      </c>
      <c r="J205" s="2" t="str">
        <f>IFERROR(INDEX('Master - US vs THEM'!$F$2:$F$2951,MATCH($A205&amp;"|"&amp;J$1,'Master - US vs THEM'!$G$2:$G$2951,0)),"")</f>
        <v>US</v>
      </c>
      <c r="K205" s="2" t="str">
        <f>IFERROR(INDEX('Master - US vs THEM'!$F$2:$F$2951,MATCH($A205&amp;"|"&amp;K$1,'Master - US vs THEM'!$G$2:$G$2951,0)),"")</f>
        <v>US</v>
      </c>
    </row>
    <row r="206" spans="1:11" x14ac:dyDescent="0.2">
      <c r="A206" s="2" t="str">
        <f>'[1]Brand Family Territory (Enc)'!A206</f>
        <v>Newburgh</v>
      </c>
      <c r="B206" s="2" t="str">
        <f>IFERROR(INDEX('Master - US vs THEM'!$F$2:$F$2951,MATCH($A206&amp;"|"&amp;B$1,'Master - US vs THEM'!$G$2:$G$2951,0)),"")</f>
        <v>US</v>
      </c>
      <c r="C206" s="2" t="str">
        <f>IFERROR(INDEX('Master - US vs THEM'!$F$2:$F$2951,MATCH($A206&amp;"|"&amp;C$1,'Master - US vs THEM'!$G$2:$G$2951,0)),"")</f>
        <v>US</v>
      </c>
      <c r="D206" s="2" t="str">
        <f>IFERROR(INDEX('Master - US vs THEM'!$F$2:$F$2951,MATCH($A206&amp;"|"&amp;D$1,'Master - US vs THEM'!$G$2:$G$2951,0)),"")</f>
        <v>US</v>
      </c>
      <c r="E206" s="2" t="str">
        <f>IFERROR(INDEX('Master - US vs THEM'!$F$2:$F$2951,MATCH($A206&amp;"|"&amp;E$1,'Master - US vs THEM'!$G$2:$G$2951,0)),"")</f>
        <v>US</v>
      </c>
      <c r="F206" s="2" t="str">
        <f>IFERROR(INDEX('Master - US vs THEM'!$F$2:$F$2951,MATCH($A206&amp;"|"&amp;F$1,'Master - US vs THEM'!$G$2:$G$2951,0)),"")</f>
        <v>US</v>
      </c>
      <c r="G206" s="2" t="str">
        <f>IFERROR(INDEX('Master - US vs THEM'!$F$2:$F$2951,MATCH($A206&amp;"|"&amp;G$1,'Master - US vs THEM'!$G$2:$G$2951,0)),"")</f>
        <v>US</v>
      </c>
      <c r="H206" s="2" t="str">
        <f>IFERROR(INDEX('Master - US vs THEM'!$F$2:$F$2951,MATCH($A206&amp;"|"&amp;H$1,'Master - US vs THEM'!$G$2:$G$2951,0)),"")</f>
        <v>US</v>
      </c>
      <c r="I206" s="2" t="str">
        <f>IFERROR(INDEX('Master - US vs THEM'!$F$2:$F$2951,MATCH($A206&amp;"|"&amp;I$1,'Master - US vs THEM'!$G$2:$G$2951,0)),"")</f>
        <v>US</v>
      </c>
      <c r="J206" s="2" t="str">
        <f>IFERROR(INDEX('Master - US vs THEM'!$F$2:$F$2951,MATCH($A206&amp;"|"&amp;J$1,'Master - US vs THEM'!$G$2:$G$2951,0)),"")</f>
        <v>US</v>
      </c>
      <c r="K206" s="2" t="str">
        <f>IFERROR(INDEX('Master - US vs THEM'!$F$2:$F$2951,MATCH($A206&amp;"|"&amp;K$1,'Master - US vs THEM'!$G$2:$G$2951,0)),"")</f>
        <v>US</v>
      </c>
    </row>
    <row r="207" spans="1:11" x14ac:dyDescent="0.2">
      <c r="A207" s="2" t="str">
        <f>'[1]Brand Family Territory (Enc)'!A207</f>
        <v>Small Town</v>
      </c>
      <c r="B207" s="2" t="str">
        <f>IFERROR(INDEX('Master - US vs THEM'!$F$2:$F$2951,MATCH($A207&amp;"|"&amp;B$1,'Master - US vs THEM'!$G$2:$G$2951,0)),"")</f>
        <v>US</v>
      </c>
      <c r="C207" s="2" t="str">
        <f>IFERROR(INDEX('Master - US vs THEM'!$F$2:$F$2951,MATCH($A207&amp;"|"&amp;C$1,'Master - US vs THEM'!$G$2:$G$2951,0)),"")</f>
        <v>US</v>
      </c>
      <c r="D207" s="2" t="str">
        <f>IFERROR(INDEX('Master - US vs THEM'!$F$2:$F$2951,MATCH($A207&amp;"|"&amp;D$1,'Master - US vs THEM'!$G$2:$G$2951,0)),"")</f>
        <v>US</v>
      </c>
      <c r="E207" s="2" t="str">
        <f>IFERROR(INDEX('Master - US vs THEM'!$F$2:$F$2951,MATCH($A207&amp;"|"&amp;E$1,'Master - US vs THEM'!$G$2:$G$2951,0)),"")</f>
        <v>US</v>
      </c>
      <c r="F207" s="2" t="str">
        <f>IFERROR(INDEX('Master - US vs THEM'!$F$2:$F$2951,MATCH($A207&amp;"|"&amp;F$1,'Master - US vs THEM'!$G$2:$G$2951,0)),"")</f>
        <v>US</v>
      </c>
      <c r="G207" s="2" t="str">
        <f>IFERROR(INDEX('Master - US vs THEM'!$F$2:$F$2951,MATCH($A207&amp;"|"&amp;G$1,'Master - US vs THEM'!$G$2:$G$2951,0)),"")</f>
        <v>US</v>
      </c>
      <c r="H207" s="2" t="str">
        <f>IFERROR(INDEX('Master - US vs THEM'!$F$2:$F$2951,MATCH($A207&amp;"|"&amp;H$1,'Master - US vs THEM'!$G$2:$G$2951,0)),"")</f>
        <v>US</v>
      </c>
      <c r="I207" s="2" t="str">
        <f>IFERROR(INDEX('Master - US vs THEM'!$F$2:$F$2951,MATCH($A207&amp;"|"&amp;I$1,'Master - US vs THEM'!$G$2:$G$2951,0)),"")</f>
        <v>US</v>
      </c>
      <c r="J207" s="2" t="str">
        <f>IFERROR(INDEX('Master - US vs THEM'!$F$2:$F$2951,MATCH($A207&amp;"|"&amp;J$1,'Master - US vs THEM'!$G$2:$G$2951,0)),"")</f>
        <v>US</v>
      </c>
      <c r="K207" s="2" t="str">
        <f>IFERROR(INDEX('Master - US vs THEM'!$F$2:$F$2951,MATCH($A207&amp;"|"&amp;K$1,'Master - US vs THEM'!$G$2:$G$2951,0)),"")</f>
        <v>US</v>
      </c>
    </row>
    <row r="208" spans="1:11" x14ac:dyDescent="0.2">
      <c r="A208" s="2" t="str">
        <f>'[1]Brand Family Territory (Enc)'!A208</f>
        <v>Old Milwaukee</v>
      </c>
      <c r="B208" s="2" t="str">
        <f>IFERROR(INDEX('Master - US vs THEM'!$F$2:$F$2951,MATCH($A208&amp;"|"&amp;B$1,'Master - US vs THEM'!$G$2:$G$2951,0)),"")</f>
        <v>US</v>
      </c>
      <c r="C208" s="2" t="str">
        <f>IFERROR(INDEX('Master - US vs THEM'!$F$2:$F$2951,MATCH($A208&amp;"|"&amp;C$1,'Master - US vs THEM'!$G$2:$G$2951,0)),"")</f>
        <v>US</v>
      </c>
      <c r="D208" s="2" t="str">
        <f>IFERROR(INDEX('Master - US vs THEM'!$F$2:$F$2951,MATCH($A208&amp;"|"&amp;D$1,'Master - US vs THEM'!$G$2:$G$2951,0)),"")</f>
        <v>US</v>
      </c>
      <c r="E208" s="2" t="str">
        <f>IFERROR(INDEX('Master - US vs THEM'!$F$2:$F$2951,MATCH($A208&amp;"|"&amp;E$1,'Master - US vs THEM'!$G$2:$G$2951,0)),"")</f>
        <v>US</v>
      </c>
      <c r="F208" s="2" t="str">
        <f>IFERROR(INDEX('Master - US vs THEM'!$F$2:$F$2951,MATCH($A208&amp;"|"&amp;F$1,'Master - US vs THEM'!$G$2:$G$2951,0)),"")</f>
        <v>US</v>
      </c>
      <c r="G208" s="2" t="str">
        <f>IFERROR(INDEX('Master - US vs THEM'!$F$2:$F$2951,MATCH($A208&amp;"|"&amp;G$1,'Master - US vs THEM'!$G$2:$G$2951,0)),"")</f>
        <v>US</v>
      </c>
      <c r="H208" s="2" t="str">
        <f>IFERROR(INDEX('Master - US vs THEM'!$F$2:$F$2951,MATCH($A208&amp;"|"&amp;H$1,'Master - US vs THEM'!$G$2:$G$2951,0)),"")</f>
        <v>US</v>
      </c>
      <c r="I208" s="2" t="str">
        <f>IFERROR(INDEX('Master - US vs THEM'!$F$2:$F$2951,MATCH($A208&amp;"|"&amp;I$1,'Master - US vs THEM'!$G$2:$G$2951,0)),"")</f>
        <v>US</v>
      </c>
      <c r="J208" s="2" t="str">
        <f>IFERROR(INDEX('Master - US vs THEM'!$F$2:$F$2951,MATCH($A208&amp;"|"&amp;J$1,'Master - US vs THEM'!$G$2:$G$2951,0)),"")</f>
        <v>US</v>
      </c>
      <c r="K208" s="2" t="str">
        <f>IFERROR(INDEX('Master - US vs THEM'!$F$2:$F$2951,MATCH($A208&amp;"|"&amp;K$1,'Master - US vs THEM'!$G$2:$G$2951,0)),"")</f>
        <v>US</v>
      </c>
    </row>
    <row r="209" spans="1:11" x14ac:dyDescent="0.2">
      <c r="A209" s="2" t="str">
        <f>'[1]Brand Family Territory (Enc)'!A209</f>
        <v>Otter Creek</v>
      </c>
      <c r="B209" s="2" t="str">
        <f>IFERROR(INDEX('Master - US vs THEM'!$F$2:$F$2951,MATCH($A209&amp;"|"&amp;B$1,'Master - US vs THEM'!$G$2:$G$2951,0)),"")</f>
        <v>US</v>
      </c>
      <c r="C209" s="2" t="str">
        <f>IFERROR(INDEX('Master - US vs THEM'!$F$2:$F$2951,MATCH($A209&amp;"|"&amp;C$1,'Master - US vs THEM'!$G$2:$G$2951,0)),"")</f>
        <v>US</v>
      </c>
      <c r="D209" s="2" t="str">
        <f>IFERROR(INDEX('Master - US vs THEM'!$F$2:$F$2951,MATCH($A209&amp;"|"&amp;D$1,'Master - US vs THEM'!$G$2:$G$2951,0)),"")</f>
        <v>US</v>
      </c>
      <c r="E209" s="2" t="str">
        <f>IFERROR(INDEX('Master - US vs THEM'!$F$2:$F$2951,MATCH($A209&amp;"|"&amp;E$1,'Master - US vs THEM'!$G$2:$G$2951,0)),"")</f>
        <v>US</v>
      </c>
      <c r="F209" s="2" t="str">
        <f>IFERROR(INDEX('Master - US vs THEM'!$F$2:$F$2951,MATCH($A209&amp;"|"&amp;F$1,'Master - US vs THEM'!$G$2:$G$2951,0)),"")</f>
        <v>US</v>
      </c>
      <c r="G209" s="2" t="str">
        <f>IFERROR(INDEX('Master - US vs THEM'!$F$2:$F$2951,MATCH($A209&amp;"|"&amp;G$1,'Master - US vs THEM'!$G$2:$G$2951,0)),"")</f>
        <v>THEM</v>
      </c>
      <c r="H209" s="2" t="str">
        <f>IFERROR(INDEX('Master - US vs THEM'!$F$2:$F$2951,MATCH($A209&amp;"|"&amp;H$1,'Master - US vs THEM'!$G$2:$G$2951,0)),"")</f>
        <v>US</v>
      </c>
      <c r="I209" s="2" t="str">
        <f>IFERROR(INDEX('Master - US vs THEM'!$F$2:$F$2951,MATCH($A209&amp;"|"&amp;I$1,'Master - US vs THEM'!$G$2:$G$2951,0)),"")</f>
        <v>US</v>
      </c>
      <c r="J209" s="2" t="str">
        <f>IFERROR(INDEX('Master - US vs THEM'!$F$2:$F$2951,MATCH($A209&amp;"|"&amp;J$1,'Master - US vs THEM'!$G$2:$G$2951,0)),"")</f>
        <v>THEM</v>
      </c>
      <c r="K209" s="2" t="str">
        <f>IFERROR(INDEX('Master - US vs THEM'!$F$2:$F$2951,MATCH($A209&amp;"|"&amp;K$1,'Master - US vs THEM'!$G$2:$G$2951,0)),"")</f>
        <v>THEM</v>
      </c>
    </row>
    <row r="210" spans="1:11" x14ac:dyDescent="0.2">
      <c r="A210" s="2" t="str">
        <f>'[1]Brand Family Territory (Enc)'!A210</f>
        <v>OVO Vodka</v>
      </c>
      <c r="B210" s="2" t="str">
        <f>IFERROR(INDEX('Master - US vs THEM'!$F$2:$F$2951,MATCH($A210&amp;"|"&amp;B$1,'Master - US vs THEM'!$G$2:$G$2951,0)),"")</f>
        <v>US</v>
      </c>
      <c r="C210" s="2" t="str">
        <f>IFERROR(INDEX('Master - US vs THEM'!$F$2:$F$2951,MATCH($A210&amp;"|"&amp;C$1,'Master - US vs THEM'!$G$2:$G$2951,0)),"")</f>
        <v>US</v>
      </c>
      <c r="D210" s="2" t="str">
        <f>IFERROR(INDEX('Master - US vs THEM'!$F$2:$F$2951,MATCH($A210&amp;"|"&amp;D$1,'Master - US vs THEM'!$G$2:$G$2951,0)),"")</f>
        <v>US</v>
      </c>
      <c r="E210" s="2" t="str">
        <f>IFERROR(INDEX('Master - US vs THEM'!$F$2:$F$2951,MATCH($A210&amp;"|"&amp;E$1,'Master - US vs THEM'!$G$2:$G$2951,0)),"")</f>
        <v>US</v>
      </c>
      <c r="F210" s="2" t="str">
        <f>IFERROR(INDEX('Master - US vs THEM'!$F$2:$F$2951,MATCH($A210&amp;"|"&amp;F$1,'Master - US vs THEM'!$G$2:$G$2951,0)),"")</f>
        <v>US</v>
      </c>
      <c r="G210" s="2" t="str">
        <f>IFERROR(INDEX('Master - US vs THEM'!$F$2:$F$2951,MATCH($A210&amp;"|"&amp;G$1,'Master - US vs THEM'!$G$2:$G$2951,0)),"")</f>
        <v>US</v>
      </c>
      <c r="H210" s="2" t="str">
        <f>IFERROR(INDEX('Master - US vs THEM'!$F$2:$F$2951,MATCH($A210&amp;"|"&amp;H$1,'Master - US vs THEM'!$G$2:$G$2951,0)),"")</f>
        <v>US</v>
      </c>
      <c r="I210" s="2" t="str">
        <f>IFERROR(INDEX('Master - US vs THEM'!$F$2:$F$2951,MATCH($A210&amp;"|"&amp;I$1,'Master - US vs THEM'!$G$2:$G$2951,0)),"")</f>
        <v>US</v>
      </c>
      <c r="J210" s="2" t="str">
        <f>IFERROR(INDEX('Master - US vs THEM'!$F$2:$F$2951,MATCH($A210&amp;"|"&amp;J$1,'Master - US vs THEM'!$G$2:$G$2951,0)),"")</f>
        <v>US</v>
      </c>
      <c r="K210" s="2" t="str">
        <f>IFERROR(INDEX('Master - US vs THEM'!$F$2:$F$2951,MATCH($A210&amp;"|"&amp;K$1,'Master - US vs THEM'!$G$2:$G$2951,0)),"")</f>
        <v>US</v>
      </c>
    </row>
    <row r="211" spans="1:11" x14ac:dyDescent="0.2">
      <c r="A211" s="2" t="str">
        <f>'[1]Brand Family Territory (Enc)'!A211</f>
        <v>Pabst Blue Ribbon</v>
      </c>
      <c r="B211" s="2" t="str">
        <f>IFERROR(INDEX('Master - US vs THEM'!$F$2:$F$2951,MATCH($A211&amp;"|"&amp;B$1,'Master - US vs THEM'!$G$2:$G$2951,0)),"")</f>
        <v>US</v>
      </c>
      <c r="C211" s="2" t="str">
        <f>IFERROR(INDEX('Master - US vs THEM'!$F$2:$F$2951,MATCH($A211&amp;"|"&amp;C$1,'Master - US vs THEM'!$G$2:$G$2951,0)),"")</f>
        <v>US</v>
      </c>
      <c r="D211" s="2" t="str">
        <f>IFERROR(INDEX('Master - US vs THEM'!$F$2:$F$2951,MATCH($A211&amp;"|"&amp;D$1,'Master - US vs THEM'!$G$2:$G$2951,0)),"")</f>
        <v>US</v>
      </c>
      <c r="E211" s="2" t="str">
        <f>IFERROR(INDEX('Master - US vs THEM'!$F$2:$F$2951,MATCH($A211&amp;"|"&amp;E$1,'Master - US vs THEM'!$G$2:$G$2951,0)),"")</f>
        <v>US</v>
      </c>
      <c r="F211" s="2" t="str">
        <f>IFERROR(INDEX('Master - US vs THEM'!$F$2:$F$2951,MATCH($A211&amp;"|"&amp;F$1,'Master - US vs THEM'!$G$2:$G$2951,0)),"")</f>
        <v>US</v>
      </c>
      <c r="G211" s="2" t="str">
        <f>IFERROR(INDEX('Master - US vs THEM'!$F$2:$F$2951,MATCH($A211&amp;"|"&amp;G$1,'Master - US vs THEM'!$G$2:$G$2951,0)),"")</f>
        <v>US</v>
      </c>
      <c r="H211" s="2" t="str">
        <f>IFERROR(INDEX('Master - US vs THEM'!$F$2:$F$2951,MATCH($A211&amp;"|"&amp;H$1,'Master - US vs THEM'!$G$2:$G$2951,0)),"")</f>
        <v>US</v>
      </c>
      <c r="I211" s="2" t="str">
        <f>IFERROR(INDEX('Master - US vs THEM'!$F$2:$F$2951,MATCH($A211&amp;"|"&amp;I$1,'Master - US vs THEM'!$G$2:$G$2951,0)),"")</f>
        <v>US</v>
      </c>
      <c r="J211" s="2" t="str">
        <f>IFERROR(INDEX('Master - US vs THEM'!$F$2:$F$2951,MATCH($A211&amp;"|"&amp;J$1,'Master - US vs THEM'!$G$2:$G$2951,0)),"")</f>
        <v>US</v>
      </c>
      <c r="K211" s="2" t="str">
        <f>IFERROR(INDEX('Master - US vs THEM'!$F$2:$F$2951,MATCH($A211&amp;"|"&amp;K$1,'Master - US vs THEM'!$G$2:$G$2951,0)),"")</f>
        <v>US</v>
      </c>
    </row>
    <row r="212" spans="1:11" x14ac:dyDescent="0.2">
      <c r="A212" s="2" t="str">
        <f>'[1]Brand Family Territory (Enc)'!A212</f>
        <v>Pabst Light</v>
      </c>
      <c r="B212" s="2" t="str">
        <f>IFERROR(INDEX('Master - US vs THEM'!$F$2:$F$2951,MATCH($A212&amp;"|"&amp;B$1,'Master - US vs THEM'!$G$2:$G$2951,0)),"")</f>
        <v>US</v>
      </c>
      <c r="C212" s="2" t="str">
        <f>IFERROR(INDEX('Master - US vs THEM'!$F$2:$F$2951,MATCH($A212&amp;"|"&amp;C$1,'Master - US vs THEM'!$G$2:$G$2951,0)),"")</f>
        <v>US</v>
      </c>
      <c r="D212" s="2" t="str">
        <f>IFERROR(INDEX('Master - US vs THEM'!$F$2:$F$2951,MATCH($A212&amp;"|"&amp;D$1,'Master - US vs THEM'!$G$2:$G$2951,0)),"")</f>
        <v>US</v>
      </c>
      <c r="E212" s="2" t="str">
        <f>IFERROR(INDEX('Master - US vs THEM'!$F$2:$F$2951,MATCH($A212&amp;"|"&amp;E$1,'Master - US vs THEM'!$G$2:$G$2951,0)),"")</f>
        <v>US</v>
      </c>
      <c r="F212" s="2" t="str">
        <f>IFERROR(INDEX('Master - US vs THEM'!$F$2:$F$2951,MATCH($A212&amp;"|"&amp;F$1,'Master - US vs THEM'!$G$2:$G$2951,0)),"")</f>
        <v>US</v>
      </c>
      <c r="G212" s="2" t="str">
        <f>IFERROR(INDEX('Master - US vs THEM'!$F$2:$F$2951,MATCH($A212&amp;"|"&amp;G$1,'Master - US vs THEM'!$G$2:$G$2951,0)),"")</f>
        <v>US</v>
      </c>
      <c r="H212" s="2" t="str">
        <f>IFERROR(INDEX('Master - US vs THEM'!$F$2:$F$2951,MATCH($A212&amp;"|"&amp;H$1,'Master - US vs THEM'!$G$2:$G$2951,0)),"")</f>
        <v>US</v>
      </c>
      <c r="I212" s="2" t="str">
        <f>IFERROR(INDEX('Master - US vs THEM'!$F$2:$F$2951,MATCH($A212&amp;"|"&amp;I$1,'Master - US vs THEM'!$G$2:$G$2951,0)),"")</f>
        <v>US</v>
      </c>
      <c r="J212" s="2" t="str">
        <f>IFERROR(INDEX('Master - US vs THEM'!$F$2:$F$2951,MATCH($A212&amp;"|"&amp;J$1,'Master - US vs THEM'!$G$2:$G$2951,0)),"")</f>
        <v>US</v>
      </c>
      <c r="K212" s="2" t="str">
        <f>IFERROR(INDEX('Master - US vs THEM'!$F$2:$F$2951,MATCH($A212&amp;"|"&amp;K$1,'Master - US vs THEM'!$G$2:$G$2951,0)),"")</f>
        <v>US</v>
      </c>
    </row>
    <row r="213" spans="1:11" x14ac:dyDescent="0.2">
      <c r="A213" s="2" t="str">
        <f>'[1]Brand Family Territory (Enc)'!A213</f>
        <v>Palma</v>
      </c>
      <c r="B213" s="2" t="str">
        <f>IFERROR(INDEX('Master - US vs THEM'!$F$2:$F$2951,MATCH($A213&amp;"|"&amp;B$1,'Master - US vs THEM'!$G$2:$G$2951,0)),"")</f>
        <v>US</v>
      </c>
      <c r="C213" s="2" t="str">
        <f>IFERROR(INDEX('Master - US vs THEM'!$F$2:$F$2951,MATCH($A213&amp;"|"&amp;C$1,'Master - US vs THEM'!$G$2:$G$2951,0)),"")</f>
        <v>US</v>
      </c>
      <c r="D213" s="2" t="str">
        <f>IFERROR(INDEX('Master - US vs THEM'!$F$2:$F$2951,MATCH($A213&amp;"|"&amp;D$1,'Master - US vs THEM'!$G$2:$G$2951,0)),"")</f>
        <v>US</v>
      </c>
      <c r="E213" s="2" t="str">
        <f>IFERROR(INDEX('Master - US vs THEM'!$F$2:$F$2951,MATCH($A213&amp;"|"&amp;E$1,'Master - US vs THEM'!$G$2:$G$2951,0)),"")</f>
        <v>US</v>
      </c>
      <c r="F213" s="2" t="str">
        <f>IFERROR(INDEX('Master - US vs THEM'!$F$2:$F$2951,MATCH($A213&amp;"|"&amp;F$1,'Master - US vs THEM'!$G$2:$G$2951,0)),"")</f>
        <v>US</v>
      </c>
      <c r="G213" s="2" t="str">
        <f>IFERROR(INDEX('Master - US vs THEM'!$F$2:$F$2951,MATCH($A213&amp;"|"&amp;G$1,'Master - US vs THEM'!$G$2:$G$2951,0)),"")</f>
        <v>US</v>
      </c>
      <c r="H213" s="2" t="str">
        <f>IFERROR(INDEX('Master - US vs THEM'!$F$2:$F$2951,MATCH($A213&amp;"|"&amp;H$1,'Master - US vs THEM'!$G$2:$G$2951,0)),"")</f>
        <v>US</v>
      </c>
      <c r="I213" s="2" t="str">
        <f>IFERROR(INDEX('Master - US vs THEM'!$F$2:$F$2951,MATCH($A213&amp;"|"&amp;I$1,'Master - US vs THEM'!$G$2:$G$2951,0)),"")</f>
        <v>US</v>
      </c>
      <c r="J213" s="2" t="str">
        <f>IFERROR(INDEX('Master - US vs THEM'!$F$2:$F$2951,MATCH($A213&amp;"|"&amp;J$1,'Master - US vs THEM'!$G$2:$G$2951,0)),"")</f>
        <v>US</v>
      </c>
      <c r="K213" s="2" t="str">
        <f>IFERROR(INDEX('Master - US vs THEM'!$F$2:$F$2951,MATCH($A213&amp;"|"&amp;K$1,'Master - US vs THEM'!$G$2:$G$2951,0)),"")</f>
        <v>US</v>
      </c>
    </row>
    <row r="214" spans="1:11" x14ac:dyDescent="0.2">
      <c r="A214" s="2" t="str">
        <f>'[1]Brand Family Territory (Enc)'!A214</f>
        <v>Paradisse</v>
      </c>
      <c r="B214" s="2" t="str">
        <f>IFERROR(INDEX('Master - US vs THEM'!$F$2:$F$2951,MATCH($A214&amp;"|"&amp;B$1,'Master - US vs THEM'!$G$2:$G$2951,0)),"")</f>
        <v>US</v>
      </c>
      <c r="C214" s="2" t="str">
        <f>IFERROR(INDEX('Master - US vs THEM'!$F$2:$F$2951,MATCH($A214&amp;"|"&amp;C$1,'Master - US vs THEM'!$G$2:$G$2951,0)),"")</f>
        <v>US</v>
      </c>
      <c r="D214" s="2" t="str">
        <f>IFERROR(INDEX('Master - US vs THEM'!$F$2:$F$2951,MATCH($A214&amp;"|"&amp;D$1,'Master - US vs THEM'!$G$2:$G$2951,0)),"")</f>
        <v>US</v>
      </c>
      <c r="E214" s="2" t="str">
        <f>IFERROR(INDEX('Master - US vs THEM'!$F$2:$F$2951,MATCH($A214&amp;"|"&amp;E$1,'Master - US vs THEM'!$G$2:$G$2951,0)),"")</f>
        <v>US</v>
      </c>
      <c r="F214" s="2" t="str">
        <f>IFERROR(INDEX('Master - US vs THEM'!$F$2:$F$2951,MATCH($A214&amp;"|"&amp;F$1,'Master - US vs THEM'!$G$2:$G$2951,0)),"")</f>
        <v>US</v>
      </c>
      <c r="G214" s="2" t="str">
        <f>IFERROR(INDEX('Master - US vs THEM'!$F$2:$F$2951,MATCH($A214&amp;"|"&amp;G$1,'Master - US vs THEM'!$G$2:$G$2951,0)),"")</f>
        <v>US</v>
      </c>
      <c r="H214" s="2" t="str">
        <f>IFERROR(INDEX('Master - US vs THEM'!$F$2:$F$2951,MATCH($A214&amp;"|"&amp;H$1,'Master - US vs THEM'!$G$2:$G$2951,0)),"")</f>
        <v>US</v>
      </c>
      <c r="I214" s="2" t="str">
        <f>IFERROR(INDEX('Master - US vs THEM'!$F$2:$F$2951,MATCH($A214&amp;"|"&amp;I$1,'Master - US vs THEM'!$G$2:$G$2951,0)),"")</f>
        <v>US</v>
      </c>
      <c r="J214" s="2" t="str">
        <f>IFERROR(INDEX('Master - US vs THEM'!$F$2:$F$2951,MATCH($A214&amp;"|"&amp;J$1,'Master - US vs THEM'!$G$2:$G$2951,0)),"")</f>
        <v>US</v>
      </c>
      <c r="K214" s="2" t="str">
        <f>IFERROR(INDEX('Master - US vs THEM'!$F$2:$F$2951,MATCH($A214&amp;"|"&amp;K$1,'Master - US vs THEM'!$G$2:$G$2951,0)),"")</f>
        <v>US</v>
      </c>
    </row>
    <row r="215" spans="1:11" x14ac:dyDescent="0.2">
      <c r="A215" s="2" t="str">
        <f>'[1]Brand Family Territory (Enc)'!A215</f>
        <v>Petrus</v>
      </c>
      <c r="B215" s="2" t="str">
        <f>IFERROR(INDEX('Master - US vs THEM'!$F$2:$F$2951,MATCH($A215&amp;"|"&amp;B$1,'Master - US vs THEM'!$G$2:$G$2951,0)),"")</f>
        <v>US</v>
      </c>
      <c r="C215" s="2" t="str">
        <f>IFERROR(INDEX('Master - US vs THEM'!$F$2:$F$2951,MATCH($A215&amp;"|"&amp;C$1,'Master - US vs THEM'!$G$2:$G$2951,0)),"")</f>
        <v>US</v>
      </c>
      <c r="D215" s="2" t="str">
        <f>IFERROR(INDEX('Master - US vs THEM'!$F$2:$F$2951,MATCH($A215&amp;"|"&amp;D$1,'Master - US vs THEM'!$G$2:$G$2951,0)),"")</f>
        <v>US</v>
      </c>
      <c r="E215" s="2" t="str">
        <f>IFERROR(INDEX('Master - US vs THEM'!$F$2:$F$2951,MATCH($A215&amp;"|"&amp;E$1,'Master - US vs THEM'!$G$2:$G$2951,0)),"")</f>
        <v>US</v>
      </c>
      <c r="F215" s="2" t="str">
        <f>IFERROR(INDEX('Master - US vs THEM'!$F$2:$F$2951,MATCH($A215&amp;"|"&amp;F$1,'Master - US vs THEM'!$G$2:$G$2951,0)),"")</f>
        <v>US</v>
      </c>
      <c r="G215" s="2" t="str">
        <f>IFERROR(INDEX('Master - US vs THEM'!$F$2:$F$2951,MATCH($A215&amp;"|"&amp;G$1,'Master - US vs THEM'!$G$2:$G$2951,0)),"")</f>
        <v>US</v>
      </c>
      <c r="H215" s="2" t="str">
        <f>IFERROR(INDEX('Master - US vs THEM'!$F$2:$F$2951,MATCH($A215&amp;"|"&amp;H$1,'Master - US vs THEM'!$G$2:$G$2951,0)),"")</f>
        <v>US</v>
      </c>
      <c r="I215" s="2" t="str">
        <f>IFERROR(INDEX('Master - US vs THEM'!$F$2:$F$2951,MATCH($A215&amp;"|"&amp;I$1,'Master - US vs THEM'!$G$2:$G$2951,0)),"")</f>
        <v>US</v>
      </c>
      <c r="J215" s="2" t="str">
        <f>IFERROR(INDEX('Master - US vs THEM'!$F$2:$F$2951,MATCH($A215&amp;"|"&amp;J$1,'Master - US vs THEM'!$G$2:$G$2951,0)),"")</f>
        <v>US</v>
      </c>
      <c r="K215" s="2" t="str">
        <f>IFERROR(INDEX('Master - US vs THEM'!$F$2:$F$2951,MATCH($A215&amp;"|"&amp;K$1,'Master - US vs THEM'!$G$2:$G$2951,0)),"")</f>
        <v>US</v>
      </c>
    </row>
    <row r="216" spans="1:11" x14ac:dyDescent="0.2">
      <c r="A216" s="2" t="str">
        <f>'[1]Brand Family Territory (Enc)'!A216</f>
        <v>Piraat</v>
      </c>
      <c r="B216" s="2" t="str">
        <f>IFERROR(INDEX('Master - US vs THEM'!$F$2:$F$2951,MATCH($A216&amp;"|"&amp;B$1,'Master - US vs THEM'!$G$2:$G$2951,0)),"")</f>
        <v>US</v>
      </c>
      <c r="C216" s="2" t="str">
        <f>IFERROR(INDEX('Master - US vs THEM'!$F$2:$F$2951,MATCH($A216&amp;"|"&amp;C$1,'Master - US vs THEM'!$G$2:$G$2951,0)),"")</f>
        <v>US</v>
      </c>
      <c r="D216" s="2" t="str">
        <f>IFERROR(INDEX('Master - US vs THEM'!$F$2:$F$2951,MATCH($A216&amp;"|"&amp;D$1,'Master - US vs THEM'!$G$2:$G$2951,0)),"")</f>
        <v>US</v>
      </c>
      <c r="E216" s="2" t="str">
        <f>IFERROR(INDEX('Master - US vs THEM'!$F$2:$F$2951,MATCH($A216&amp;"|"&amp;E$1,'Master - US vs THEM'!$G$2:$G$2951,0)),"")</f>
        <v>US</v>
      </c>
      <c r="F216" s="2" t="str">
        <f>IFERROR(INDEX('Master - US vs THEM'!$F$2:$F$2951,MATCH($A216&amp;"|"&amp;F$1,'Master - US vs THEM'!$G$2:$G$2951,0)),"")</f>
        <v>US</v>
      </c>
      <c r="G216" s="2" t="str">
        <f>IFERROR(INDEX('Master - US vs THEM'!$F$2:$F$2951,MATCH($A216&amp;"|"&amp;G$1,'Master - US vs THEM'!$G$2:$G$2951,0)),"")</f>
        <v>US</v>
      </c>
      <c r="H216" s="2" t="str">
        <f>IFERROR(INDEX('Master - US vs THEM'!$F$2:$F$2951,MATCH($A216&amp;"|"&amp;H$1,'Master - US vs THEM'!$G$2:$G$2951,0)),"")</f>
        <v>US</v>
      </c>
      <c r="I216" s="2" t="str">
        <f>IFERROR(INDEX('Master - US vs THEM'!$F$2:$F$2951,MATCH($A216&amp;"|"&amp;I$1,'Master - US vs THEM'!$G$2:$G$2951,0)),"")</f>
        <v>US</v>
      </c>
      <c r="J216" s="2" t="str">
        <f>IFERROR(INDEX('Master - US vs THEM'!$F$2:$F$2951,MATCH($A216&amp;"|"&amp;J$1,'Master - US vs THEM'!$G$2:$G$2951,0)),"")</f>
        <v>US</v>
      </c>
      <c r="K216" s="2" t="str">
        <f>IFERROR(INDEX('Master - US vs THEM'!$F$2:$F$2951,MATCH($A216&amp;"|"&amp;K$1,'Master - US vs THEM'!$G$2:$G$2951,0)),"")</f>
        <v>US</v>
      </c>
    </row>
    <row r="217" spans="1:11" x14ac:dyDescent="0.2">
      <c r="A217" s="2" t="str">
        <f>'[1]Brand Family Territory (Enc)'!A217</f>
        <v>Whole Hog</v>
      </c>
      <c r="B217" s="2" t="str">
        <f>IFERROR(INDEX('Master - US vs THEM'!$F$2:$F$2951,MATCH($A217&amp;"|"&amp;B$1,'Master - US vs THEM'!$G$2:$G$2951,0)),"")</f>
        <v>US</v>
      </c>
      <c r="C217" s="2" t="str">
        <f>IFERROR(INDEX('Master - US vs THEM'!$F$2:$F$2951,MATCH($A217&amp;"|"&amp;C$1,'Master - US vs THEM'!$G$2:$G$2951,0)),"")</f>
        <v>US</v>
      </c>
      <c r="D217" s="2" t="str">
        <f>IFERROR(INDEX('Master - US vs THEM'!$F$2:$F$2951,MATCH($A217&amp;"|"&amp;D$1,'Master - US vs THEM'!$G$2:$G$2951,0)),"")</f>
        <v>US</v>
      </c>
      <c r="E217" s="2" t="str">
        <f>IFERROR(INDEX('Master - US vs THEM'!$F$2:$F$2951,MATCH($A217&amp;"|"&amp;E$1,'Master - US vs THEM'!$G$2:$G$2951,0)),"")</f>
        <v>US</v>
      </c>
      <c r="F217" s="2" t="str">
        <f>IFERROR(INDEX('Master - US vs THEM'!$F$2:$F$2951,MATCH($A217&amp;"|"&amp;F$1,'Master - US vs THEM'!$G$2:$G$2951,0)),"")</f>
        <v>US</v>
      </c>
      <c r="G217" s="2" t="str">
        <f>IFERROR(INDEX('Master - US vs THEM'!$F$2:$F$2951,MATCH($A217&amp;"|"&amp;G$1,'Master - US vs THEM'!$G$2:$G$2951,0)),"")</f>
        <v>US</v>
      </c>
      <c r="H217" s="2" t="str">
        <f>IFERROR(INDEX('Master - US vs THEM'!$F$2:$F$2951,MATCH($A217&amp;"|"&amp;H$1,'Master - US vs THEM'!$G$2:$G$2951,0)),"")</f>
        <v>US</v>
      </c>
      <c r="I217" s="2" t="str">
        <f>IFERROR(INDEX('Master - US vs THEM'!$F$2:$F$2951,MATCH($A217&amp;"|"&amp;I$1,'Master - US vs THEM'!$G$2:$G$2951,0)),"")</f>
        <v>US</v>
      </c>
      <c r="J217" s="2" t="str">
        <f>IFERROR(INDEX('Master - US vs THEM'!$F$2:$F$2951,MATCH($A217&amp;"|"&amp;J$1,'Master - US vs THEM'!$G$2:$G$2951,0)),"")</f>
        <v>US</v>
      </c>
      <c r="K217" s="2" t="str">
        <f>IFERROR(INDEX('Master - US vs THEM'!$F$2:$F$2951,MATCH($A217&amp;"|"&amp;K$1,'Master - US vs THEM'!$G$2:$G$2951,0)),"")</f>
        <v>US</v>
      </c>
    </row>
    <row r="218" spans="1:11" x14ac:dyDescent="0.2">
      <c r="A218" s="2" t="str">
        <f>'[1]Brand Family Territory (Enc)'!A218</f>
        <v>Poker Import</v>
      </c>
      <c r="B218" s="2" t="str">
        <f>IFERROR(INDEX('Master - US vs THEM'!$F$2:$F$2951,MATCH($A218&amp;"|"&amp;B$1,'Master - US vs THEM'!$G$2:$G$2951,0)),"")</f>
        <v>US</v>
      </c>
      <c r="C218" s="2" t="str">
        <f>IFERROR(INDEX('Master - US vs THEM'!$F$2:$F$2951,MATCH($A218&amp;"|"&amp;C$1,'Master - US vs THEM'!$G$2:$G$2951,0)),"")</f>
        <v>US</v>
      </c>
      <c r="D218" s="2" t="str">
        <f>IFERROR(INDEX('Master - US vs THEM'!$F$2:$F$2951,MATCH($A218&amp;"|"&amp;D$1,'Master - US vs THEM'!$G$2:$G$2951,0)),"")</f>
        <v>US</v>
      </c>
      <c r="E218" s="2" t="str">
        <f>IFERROR(INDEX('Master - US vs THEM'!$F$2:$F$2951,MATCH($A218&amp;"|"&amp;E$1,'Master - US vs THEM'!$G$2:$G$2951,0)),"")</f>
        <v>US</v>
      </c>
      <c r="F218" s="2" t="str">
        <f>IFERROR(INDEX('Master - US vs THEM'!$F$2:$F$2951,MATCH($A218&amp;"|"&amp;F$1,'Master - US vs THEM'!$G$2:$G$2951,0)),"")</f>
        <v>US</v>
      </c>
      <c r="G218" s="2" t="str">
        <f>IFERROR(INDEX('Master - US vs THEM'!$F$2:$F$2951,MATCH($A218&amp;"|"&amp;G$1,'Master - US vs THEM'!$G$2:$G$2951,0)),"")</f>
        <v>US</v>
      </c>
      <c r="H218" s="2" t="str">
        <f>IFERROR(INDEX('Master - US vs THEM'!$F$2:$F$2951,MATCH($A218&amp;"|"&amp;H$1,'Master - US vs THEM'!$G$2:$G$2951,0)),"")</f>
        <v>US</v>
      </c>
      <c r="I218" s="2" t="str">
        <f>IFERROR(INDEX('Master - US vs THEM'!$F$2:$F$2951,MATCH($A218&amp;"|"&amp;I$1,'Master - US vs THEM'!$G$2:$G$2951,0)),"")</f>
        <v>US</v>
      </c>
      <c r="J218" s="2" t="str">
        <f>IFERROR(INDEX('Master - US vs THEM'!$F$2:$F$2951,MATCH($A218&amp;"|"&amp;J$1,'Master - US vs THEM'!$G$2:$G$2951,0)),"")</f>
        <v>US</v>
      </c>
      <c r="K218" s="2" t="str">
        <f>IFERROR(INDEX('Master - US vs THEM'!$F$2:$F$2951,MATCH($A218&amp;"|"&amp;K$1,'Master - US vs THEM'!$G$2:$G$2951,0)),"")</f>
        <v>US</v>
      </c>
    </row>
    <row r="219" spans="1:11" x14ac:dyDescent="0.2">
      <c r="A219" s="2" t="str">
        <f>'[1]Brand Family Territory (Enc)'!A219</f>
        <v>Pop Sips</v>
      </c>
      <c r="B219" s="2" t="str">
        <f>IFERROR(INDEX('Master - US vs THEM'!$F$2:$F$2951,MATCH($A219&amp;"|"&amp;B$1,'Master - US vs THEM'!$G$2:$G$2951,0)),"")</f>
        <v>US</v>
      </c>
      <c r="C219" s="2" t="str">
        <f>IFERROR(INDEX('Master - US vs THEM'!$F$2:$F$2951,MATCH($A219&amp;"|"&amp;C$1,'Master - US vs THEM'!$G$2:$G$2951,0)),"")</f>
        <v>US</v>
      </c>
      <c r="D219" s="2" t="str">
        <f>IFERROR(INDEX('Master - US vs THEM'!$F$2:$F$2951,MATCH($A219&amp;"|"&amp;D$1,'Master - US vs THEM'!$G$2:$G$2951,0)),"")</f>
        <v>US</v>
      </c>
      <c r="E219" s="2" t="str">
        <f>IFERROR(INDEX('Master - US vs THEM'!$F$2:$F$2951,MATCH($A219&amp;"|"&amp;E$1,'Master - US vs THEM'!$G$2:$G$2951,0)),"")</f>
        <v>US</v>
      </c>
      <c r="F219" s="2" t="str">
        <f>IFERROR(INDEX('Master - US vs THEM'!$F$2:$F$2951,MATCH($A219&amp;"|"&amp;F$1,'Master - US vs THEM'!$G$2:$G$2951,0)),"")</f>
        <v>US</v>
      </c>
      <c r="G219" s="2" t="str">
        <f>IFERROR(INDEX('Master - US vs THEM'!$F$2:$F$2951,MATCH($A219&amp;"|"&amp;G$1,'Master - US vs THEM'!$G$2:$G$2951,0)),"")</f>
        <v>US</v>
      </c>
      <c r="H219" s="2" t="str">
        <f>IFERROR(INDEX('Master - US vs THEM'!$F$2:$F$2951,MATCH($A219&amp;"|"&amp;H$1,'Master - US vs THEM'!$G$2:$G$2951,0)),"")</f>
        <v>US</v>
      </c>
      <c r="I219" s="2" t="str">
        <f>IFERROR(INDEX('Master - US vs THEM'!$F$2:$F$2951,MATCH($A219&amp;"|"&amp;I$1,'Master - US vs THEM'!$G$2:$G$2951,0)),"")</f>
        <v>US</v>
      </c>
      <c r="J219" s="2" t="str">
        <f>IFERROR(INDEX('Master - US vs THEM'!$F$2:$F$2951,MATCH($A219&amp;"|"&amp;J$1,'Master - US vs THEM'!$G$2:$G$2951,0)),"")</f>
        <v>US</v>
      </c>
      <c r="K219" s="2" t="str">
        <f>IFERROR(INDEX('Master - US vs THEM'!$F$2:$F$2951,MATCH($A219&amp;"|"&amp;K$1,'Master - US vs THEM'!$G$2:$G$2951,0)),"")</f>
        <v>US</v>
      </c>
    </row>
    <row r="220" spans="1:11" x14ac:dyDescent="0.2">
      <c r="A220" s="2" t="str">
        <f>'[1]Brand Family Territory (Enc)'!A220</f>
        <v>Pride &amp; Clarke</v>
      </c>
      <c r="B220" s="2" t="str">
        <f>IFERROR(INDEX('Master - US vs THEM'!$F$2:$F$2951,MATCH($A220&amp;"|"&amp;B$1,'Master - US vs THEM'!$G$2:$G$2951,0)),"")</f>
        <v>US</v>
      </c>
      <c r="C220" s="2" t="str">
        <f>IFERROR(INDEX('Master - US vs THEM'!$F$2:$F$2951,MATCH($A220&amp;"|"&amp;C$1,'Master - US vs THEM'!$G$2:$G$2951,0)),"")</f>
        <v>US</v>
      </c>
      <c r="D220" s="2" t="str">
        <f>IFERROR(INDEX('Master - US vs THEM'!$F$2:$F$2951,MATCH($A220&amp;"|"&amp;D$1,'Master - US vs THEM'!$G$2:$G$2951,0)),"")</f>
        <v>US</v>
      </c>
      <c r="E220" s="2" t="str">
        <f>IFERROR(INDEX('Master - US vs THEM'!$F$2:$F$2951,MATCH($A220&amp;"|"&amp;E$1,'Master - US vs THEM'!$G$2:$G$2951,0)),"")</f>
        <v>US</v>
      </c>
      <c r="F220" s="2" t="str">
        <f>IFERROR(INDEX('Master - US vs THEM'!$F$2:$F$2951,MATCH($A220&amp;"|"&amp;F$1,'Master - US vs THEM'!$G$2:$G$2951,0)),"")</f>
        <v>US</v>
      </c>
      <c r="G220" s="2" t="str">
        <f>IFERROR(INDEX('Master - US vs THEM'!$F$2:$F$2951,MATCH($A220&amp;"|"&amp;G$1,'Master - US vs THEM'!$G$2:$G$2951,0)),"")</f>
        <v>US</v>
      </c>
      <c r="H220" s="2" t="str">
        <f>IFERROR(INDEX('Master - US vs THEM'!$F$2:$F$2951,MATCH($A220&amp;"|"&amp;H$1,'Master - US vs THEM'!$G$2:$G$2951,0)),"")</f>
        <v>US</v>
      </c>
      <c r="I220" s="2" t="str">
        <f>IFERROR(INDEX('Master - US vs THEM'!$F$2:$F$2951,MATCH($A220&amp;"|"&amp;I$1,'Master - US vs THEM'!$G$2:$G$2951,0)),"")</f>
        <v>US</v>
      </c>
      <c r="J220" s="2" t="str">
        <f>IFERROR(INDEX('Master - US vs THEM'!$F$2:$F$2951,MATCH($A220&amp;"|"&amp;J$1,'Master - US vs THEM'!$G$2:$G$2951,0)),"")</f>
        <v>US</v>
      </c>
      <c r="K220" s="2" t="str">
        <f>IFERROR(INDEX('Master - US vs THEM'!$F$2:$F$2951,MATCH($A220&amp;"|"&amp;K$1,'Master - US vs THEM'!$G$2:$G$2951,0)),"")</f>
        <v>US</v>
      </c>
    </row>
    <row r="221" spans="1:11" x14ac:dyDescent="0.2">
      <c r="A221" s="2" t="str">
        <f>'[1]Brand Family Territory (Enc)'!A221</f>
        <v>Quilmes</v>
      </c>
      <c r="B221" s="2" t="str">
        <f>IFERROR(INDEX('Master - US vs THEM'!$F$2:$F$2951,MATCH($A221&amp;"|"&amp;B$1,'Master - US vs THEM'!$G$2:$G$2951,0)),"")</f>
        <v>US</v>
      </c>
      <c r="C221" s="2" t="str">
        <f>IFERROR(INDEX('Master - US vs THEM'!$F$2:$F$2951,MATCH($A221&amp;"|"&amp;C$1,'Master - US vs THEM'!$G$2:$G$2951,0)),"")</f>
        <v>US</v>
      </c>
      <c r="D221" s="2" t="str">
        <f>IFERROR(INDEX('Master - US vs THEM'!$F$2:$F$2951,MATCH($A221&amp;"|"&amp;D$1,'Master - US vs THEM'!$G$2:$G$2951,0)),"")</f>
        <v>US</v>
      </c>
      <c r="E221" s="2" t="str">
        <f>IFERROR(INDEX('Master - US vs THEM'!$F$2:$F$2951,MATCH($A221&amp;"|"&amp;E$1,'Master - US vs THEM'!$G$2:$G$2951,0)),"")</f>
        <v>US</v>
      </c>
      <c r="F221" s="2" t="str">
        <f>IFERROR(INDEX('Master - US vs THEM'!$F$2:$F$2951,MATCH($A221&amp;"|"&amp;F$1,'Master - US vs THEM'!$G$2:$G$2951,0)),"")</f>
        <v>US</v>
      </c>
      <c r="G221" s="2" t="str">
        <f>IFERROR(INDEX('Master - US vs THEM'!$F$2:$F$2951,MATCH($A221&amp;"|"&amp;G$1,'Master - US vs THEM'!$G$2:$G$2951,0)),"")</f>
        <v>US</v>
      </c>
      <c r="H221" s="2" t="str">
        <f>IFERROR(INDEX('Master - US vs THEM'!$F$2:$F$2951,MATCH($A221&amp;"|"&amp;H$1,'Master - US vs THEM'!$G$2:$G$2951,0)),"")</f>
        <v>US</v>
      </c>
      <c r="I221" s="2" t="str">
        <f>IFERROR(INDEX('Master - US vs THEM'!$F$2:$F$2951,MATCH($A221&amp;"|"&amp;I$1,'Master - US vs THEM'!$G$2:$G$2951,0)),"")</f>
        <v>US</v>
      </c>
      <c r="J221" s="2" t="str">
        <f>IFERROR(INDEX('Master - US vs THEM'!$F$2:$F$2951,MATCH($A221&amp;"|"&amp;J$1,'Master - US vs THEM'!$G$2:$G$2951,0)),"")</f>
        <v>US</v>
      </c>
      <c r="K221" s="2" t="str">
        <f>IFERROR(INDEX('Master - US vs THEM'!$F$2:$F$2951,MATCH($A221&amp;"|"&amp;K$1,'Master - US vs THEM'!$G$2:$G$2951,0)),"")</f>
        <v>US</v>
      </c>
    </row>
    <row r="222" spans="1:11" x14ac:dyDescent="0.2">
      <c r="A222" s="2" t="str">
        <f>'[1]Brand Family Territory (Enc)'!A222</f>
        <v>Radeberger</v>
      </c>
      <c r="B222" s="2" t="str">
        <f>IFERROR(INDEX('Master - US vs THEM'!$F$2:$F$2951,MATCH($A222&amp;"|"&amp;B$1,'Master - US vs THEM'!$G$2:$G$2951,0)),"")</f>
        <v>US</v>
      </c>
      <c r="C222" s="2" t="str">
        <f>IFERROR(INDEX('Master - US vs THEM'!$F$2:$F$2951,MATCH($A222&amp;"|"&amp;C$1,'Master - US vs THEM'!$G$2:$G$2951,0)),"")</f>
        <v>US</v>
      </c>
      <c r="D222" s="2" t="str">
        <f>IFERROR(INDEX('Master - US vs THEM'!$F$2:$F$2951,MATCH($A222&amp;"|"&amp;D$1,'Master - US vs THEM'!$G$2:$G$2951,0)),"")</f>
        <v>US</v>
      </c>
      <c r="E222" s="2" t="str">
        <f>IFERROR(INDEX('Master - US vs THEM'!$F$2:$F$2951,MATCH($A222&amp;"|"&amp;E$1,'Master - US vs THEM'!$G$2:$G$2951,0)),"")</f>
        <v>US</v>
      </c>
      <c r="F222" s="2" t="str">
        <f>IFERROR(INDEX('Master - US vs THEM'!$F$2:$F$2951,MATCH($A222&amp;"|"&amp;F$1,'Master - US vs THEM'!$G$2:$G$2951,0)),"")</f>
        <v>US</v>
      </c>
      <c r="G222" s="2" t="str">
        <f>IFERROR(INDEX('Master - US vs THEM'!$F$2:$F$2951,MATCH($A222&amp;"|"&amp;G$1,'Master - US vs THEM'!$G$2:$G$2951,0)),"")</f>
        <v>US</v>
      </c>
      <c r="H222" s="2" t="str">
        <f>IFERROR(INDEX('Master - US vs THEM'!$F$2:$F$2951,MATCH($A222&amp;"|"&amp;H$1,'Master - US vs THEM'!$G$2:$G$2951,0)),"")</f>
        <v>US</v>
      </c>
      <c r="I222" s="2" t="str">
        <f>IFERROR(INDEX('Master - US vs THEM'!$F$2:$F$2951,MATCH($A222&amp;"|"&amp;I$1,'Master - US vs THEM'!$G$2:$G$2951,0)),"")</f>
        <v>US</v>
      </c>
      <c r="J222" s="2" t="str">
        <f>IFERROR(INDEX('Master - US vs THEM'!$F$2:$F$2951,MATCH($A222&amp;"|"&amp;J$1,'Master - US vs THEM'!$G$2:$G$2951,0)),"")</f>
        <v>US</v>
      </c>
      <c r="K222" s="2" t="str">
        <f>IFERROR(INDEX('Master - US vs THEM'!$F$2:$F$2951,MATCH($A222&amp;"|"&amp;K$1,'Master - US vs THEM'!$G$2:$G$2951,0)),"")</f>
        <v>US</v>
      </c>
    </row>
    <row r="223" spans="1:11" x14ac:dyDescent="0.2">
      <c r="A223" s="2" t="str">
        <f>'[1]Brand Family Territory (Enc)'!A223</f>
        <v>Right Coast</v>
      </c>
      <c r="B223" s="2" t="str">
        <f>IFERROR(INDEX('Master - US vs THEM'!$F$2:$F$2951,MATCH($A223&amp;"|"&amp;B$1,'Master - US vs THEM'!$G$2:$G$2951,0)),"")</f>
        <v>US</v>
      </c>
      <c r="C223" s="2" t="str">
        <f>IFERROR(INDEX('Master - US vs THEM'!$F$2:$F$2951,MATCH($A223&amp;"|"&amp;C$1,'Master - US vs THEM'!$G$2:$G$2951,0)),"")</f>
        <v>US</v>
      </c>
      <c r="D223" s="2" t="str">
        <f>IFERROR(INDEX('Master - US vs THEM'!$F$2:$F$2951,MATCH($A223&amp;"|"&amp;D$1,'Master - US vs THEM'!$G$2:$G$2951,0)),"")</f>
        <v>US</v>
      </c>
      <c r="E223" s="2" t="str">
        <f>IFERROR(INDEX('Master - US vs THEM'!$F$2:$F$2951,MATCH($A223&amp;"|"&amp;E$1,'Master - US vs THEM'!$G$2:$G$2951,0)),"")</f>
        <v>US</v>
      </c>
      <c r="F223" s="2" t="str">
        <f>IFERROR(INDEX('Master - US vs THEM'!$F$2:$F$2951,MATCH($A223&amp;"|"&amp;F$1,'Master - US vs THEM'!$G$2:$G$2951,0)),"")</f>
        <v>US</v>
      </c>
      <c r="G223" s="2" t="str">
        <f>IFERROR(INDEX('Master - US vs THEM'!$F$2:$F$2951,MATCH($A223&amp;"|"&amp;G$1,'Master - US vs THEM'!$G$2:$G$2951,0)),"")</f>
        <v>US</v>
      </c>
      <c r="H223" s="2" t="str">
        <f>IFERROR(INDEX('Master - US vs THEM'!$F$2:$F$2951,MATCH($A223&amp;"|"&amp;H$1,'Master - US vs THEM'!$G$2:$G$2951,0)),"")</f>
        <v>US</v>
      </c>
      <c r="I223" s="2" t="str">
        <f>IFERROR(INDEX('Master - US vs THEM'!$F$2:$F$2951,MATCH($A223&amp;"|"&amp;I$1,'Master - US vs THEM'!$G$2:$G$2951,0)),"")</f>
        <v>US</v>
      </c>
      <c r="J223" s="2" t="str">
        <f>IFERROR(INDEX('Master - US vs THEM'!$F$2:$F$2951,MATCH($A223&amp;"|"&amp;J$1,'Master - US vs THEM'!$G$2:$G$2951,0)),"")</f>
        <v>US</v>
      </c>
      <c r="K223" s="2" t="str">
        <f>IFERROR(INDEX('Master - US vs THEM'!$F$2:$F$2951,MATCH($A223&amp;"|"&amp;K$1,'Master - US vs THEM'!$G$2:$G$2951,0)),"")</f>
        <v>US</v>
      </c>
    </row>
    <row r="224" spans="1:11" x14ac:dyDescent="0.2">
      <c r="A224" s="2" t="str">
        <f>'[1]Brand Family Territory (Enc)'!A224</f>
        <v>River Horse Brewing Co</v>
      </c>
      <c r="B224" s="2" t="str">
        <f>IFERROR(INDEX('Master - US vs THEM'!$F$2:$F$2951,MATCH($A224&amp;"|"&amp;B$1,'Master - US vs THEM'!$G$2:$G$2951,0)),"")</f>
        <v>US</v>
      </c>
      <c r="C224" s="2" t="str">
        <f>IFERROR(INDEX('Master - US vs THEM'!$F$2:$F$2951,MATCH($A224&amp;"|"&amp;C$1,'Master - US vs THEM'!$G$2:$G$2951,0)),"")</f>
        <v>US</v>
      </c>
      <c r="D224" s="2" t="str">
        <f>IFERROR(INDEX('Master - US vs THEM'!$F$2:$F$2951,MATCH($A224&amp;"|"&amp;D$1,'Master - US vs THEM'!$G$2:$G$2951,0)),"")</f>
        <v>US</v>
      </c>
      <c r="E224" s="2" t="str">
        <f>IFERROR(INDEX('Master - US vs THEM'!$F$2:$F$2951,MATCH($A224&amp;"|"&amp;E$1,'Master - US vs THEM'!$G$2:$G$2951,0)),"")</f>
        <v>US</v>
      </c>
      <c r="F224" s="2" t="str">
        <f>IFERROR(INDEX('Master - US vs THEM'!$F$2:$F$2951,MATCH($A224&amp;"|"&amp;F$1,'Master - US vs THEM'!$G$2:$G$2951,0)),"")</f>
        <v>US</v>
      </c>
      <c r="G224" s="2" t="str">
        <f>IFERROR(INDEX('Master - US vs THEM'!$F$2:$F$2951,MATCH($A224&amp;"|"&amp;G$1,'Master - US vs THEM'!$G$2:$G$2951,0)),"")</f>
        <v>US</v>
      </c>
      <c r="H224" s="2" t="str">
        <f>IFERROR(INDEX('Master - US vs THEM'!$F$2:$F$2951,MATCH($A224&amp;"|"&amp;H$1,'Master - US vs THEM'!$G$2:$G$2951,0)),"")</f>
        <v>US</v>
      </c>
      <c r="I224" s="2" t="str">
        <f>IFERROR(INDEX('Master - US vs THEM'!$F$2:$F$2951,MATCH($A224&amp;"|"&amp;I$1,'Master - US vs THEM'!$G$2:$G$2951,0)),"")</f>
        <v>US</v>
      </c>
      <c r="J224" s="2" t="str">
        <f>IFERROR(INDEX('Master - US vs THEM'!$F$2:$F$2951,MATCH($A224&amp;"|"&amp;J$1,'Master - US vs THEM'!$G$2:$G$2951,0)),"")</f>
        <v>US</v>
      </c>
      <c r="K224" s="2" t="str">
        <f>IFERROR(INDEX('Master - US vs THEM'!$F$2:$F$2951,MATCH($A224&amp;"|"&amp;K$1,'Master - US vs THEM'!$G$2:$G$2951,0)),"")</f>
        <v>US</v>
      </c>
    </row>
    <row r="225" spans="1:11" x14ac:dyDescent="0.2">
      <c r="A225" s="2" t="str">
        <f>'[1]Brand Family Territory (Enc)'!A225</f>
        <v>Rusted Revolver</v>
      </c>
      <c r="B225" s="2" t="str">
        <f>IFERROR(INDEX('Master - US vs THEM'!$F$2:$F$2951,MATCH($A225&amp;"|"&amp;B$1,'Master - US vs THEM'!$G$2:$G$2951,0)),"")</f>
        <v>US</v>
      </c>
      <c r="C225" s="2" t="str">
        <f>IFERROR(INDEX('Master - US vs THEM'!$F$2:$F$2951,MATCH($A225&amp;"|"&amp;C$1,'Master - US vs THEM'!$G$2:$G$2951,0)),"")</f>
        <v>US</v>
      </c>
      <c r="D225" s="2" t="str">
        <f>IFERROR(INDEX('Master - US vs THEM'!$F$2:$F$2951,MATCH($A225&amp;"|"&amp;D$1,'Master - US vs THEM'!$G$2:$G$2951,0)),"")</f>
        <v>US</v>
      </c>
      <c r="E225" s="2" t="str">
        <f>IFERROR(INDEX('Master - US vs THEM'!$F$2:$F$2951,MATCH($A225&amp;"|"&amp;E$1,'Master - US vs THEM'!$G$2:$G$2951,0)),"")</f>
        <v>US</v>
      </c>
      <c r="F225" s="2" t="str">
        <f>IFERROR(INDEX('Master - US vs THEM'!$F$2:$F$2951,MATCH($A225&amp;"|"&amp;F$1,'Master - US vs THEM'!$G$2:$G$2951,0)),"")</f>
        <v>US</v>
      </c>
      <c r="G225" s="2" t="str">
        <f>IFERROR(INDEX('Master - US vs THEM'!$F$2:$F$2951,MATCH($A225&amp;"|"&amp;G$1,'Master - US vs THEM'!$G$2:$G$2951,0)),"")</f>
        <v>US</v>
      </c>
      <c r="H225" s="2" t="str">
        <f>IFERROR(INDEX('Master - US vs THEM'!$F$2:$F$2951,MATCH($A225&amp;"|"&amp;H$1,'Master - US vs THEM'!$G$2:$G$2951,0)),"")</f>
        <v>US</v>
      </c>
      <c r="I225" s="2" t="str">
        <f>IFERROR(INDEX('Master - US vs THEM'!$F$2:$F$2951,MATCH($A225&amp;"|"&amp;I$1,'Master - US vs THEM'!$G$2:$G$2951,0)),"")</f>
        <v>US</v>
      </c>
      <c r="J225" s="2" t="str">
        <f>IFERROR(INDEX('Master - US vs THEM'!$F$2:$F$2951,MATCH($A225&amp;"|"&amp;J$1,'Master - US vs THEM'!$G$2:$G$2951,0)),"")</f>
        <v>US</v>
      </c>
      <c r="K225" s="2" t="str">
        <f>IFERROR(INDEX('Master - US vs THEM'!$F$2:$F$2951,MATCH($A225&amp;"|"&amp;K$1,'Master - US vs THEM'!$G$2:$G$2951,0)),"")</f>
        <v>US</v>
      </c>
    </row>
    <row r="226" spans="1:11" x14ac:dyDescent="0.2">
      <c r="A226" s="2" t="str">
        <f>'[1]Brand Family Territory (Enc)'!A226</f>
        <v>Sapporo</v>
      </c>
      <c r="B226" s="2" t="str">
        <f>IFERROR(INDEX('Master - US vs THEM'!$F$2:$F$2951,MATCH($A226&amp;"|"&amp;B$1,'Master - US vs THEM'!$G$2:$G$2951,0)),"")</f>
        <v>US</v>
      </c>
      <c r="C226" s="2" t="str">
        <f>IFERROR(INDEX('Master - US vs THEM'!$F$2:$F$2951,MATCH($A226&amp;"|"&amp;C$1,'Master - US vs THEM'!$G$2:$G$2951,0)),"")</f>
        <v>US</v>
      </c>
      <c r="D226" s="2" t="str">
        <f>IFERROR(INDEX('Master - US vs THEM'!$F$2:$F$2951,MATCH($A226&amp;"|"&amp;D$1,'Master - US vs THEM'!$G$2:$G$2951,0)),"")</f>
        <v>US</v>
      </c>
      <c r="E226" s="2" t="str">
        <f>IFERROR(INDEX('Master - US vs THEM'!$F$2:$F$2951,MATCH($A226&amp;"|"&amp;E$1,'Master - US vs THEM'!$G$2:$G$2951,0)),"")</f>
        <v>US</v>
      </c>
      <c r="F226" s="2" t="str">
        <f>IFERROR(INDEX('Master - US vs THEM'!$F$2:$F$2951,MATCH($A226&amp;"|"&amp;F$1,'Master - US vs THEM'!$G$2:$G$2951,0)),"")</f>
        <v>US</v>
      </c>
      <c r="G226" s="2" t="str">
        <f>IFERROR(INDEX('Master - US vs THEM'!$F$2:$F$2951,MATCH($A226&amp;"|"&amp;G$1,'Master - US vs THEM'!$G$2:$G$2951,0)),"")</f>
        <v>US</v>
      </c>
      <c r="H226" s="2" t="str">
        <f>IFERROR(INDEX('Master - US vs THEM'!$F$2:$F$2951,MATCH($A226&amp;"|"&amp;H$1,'Master - US vs THEM'!$G$2:$G$2951,0)),"")</f>
        <v>US</v>
      </c>
      <c r="I226" s="2" t="str">
        <f>IFERROR(INDEX('Master - US vs THEM'!$F$2:$F$2951,MATCH($A226&amp;"|"&amp;I$1,'Master - US vs THEM'!$G$2:$G$2951,0)),"")</f>
        <v>US</v>
      </c>
      <c r="J226" s="2" t="str">
        <f>IFERROR(INDEX('Master - US vs THEM'!$F$2:$F$2951,MATCH($A226&amp;"|"&amp;J$1,'Master - US vs THEM'!$G$2:$G$2951,0)),"")</f>
        <v>US</v>
      </c>
      <c r="K226" s="2" t="str">
        <f>IFERROR(INDEX('Master - US vs THEM'!$F$2:$F$2951,MATCH($A226&amp;"|"&amp;K$1,'Master - US vs THEM'!$G$2:$G$2951,0)),"")</f>
        <v>US</v>
      </c>
    </row>
    <row r="227" spans="1:11" x14ac:dyDescent="0.2">
      <c r="A227" s="2" t="str">
        <f>'[1]Brand Family Territory (Enc)'!A227</f>
        <v>Saranac</v>
      </c>
      <c r="B227" s="2" t="str">
        <f>IFERROR(INDEX('Master - US vs THEM'!$F$2:$F$2951,MATCH($A227&amp;"|"&amp;B$1,'Master - US vs THEM'!$G$2:$G$2951,0)),"")</f>
        <v>US</v>
      </c>
      <c r="C227" s="2" t="str">
        <f>IFERROR(INDEX('Master - US vs THEM'!$F$2:$F$2951,MATCH($A227&amp;"|"&amp;C$1,'Master - US vs THEM'!$G$2:$G$2951,0)),"")</f>
        <v>US</v>
      </c>
      <c r="D227" s="2" t="str">
        <f>IFERROR(INDEX('Master - US vs THEM'!$F$2:$F$2951,MATCH($A227&amp;"|"&amp;D$1,'Master - US vs THEM'!$G$2:$G$2951,0)),"")</f>
        <v>US</v>
      </c>
      <c r="E227" s="2" t="str">
        <f>IFERROR(INDEX('Master - US vs THEM'!$F$2:$F$2951,MATCH($A227&amp;"|"&amp;E$1,'Master - US vs THEM'!$G$2:$G$2951,0)),"")</f>
        <v>US</v>
      </c>
      <c r="F227" s="2" t="str">
        <f>IFERROR(INDEX('Master - US vs THEM'!$F$2:$F$2951,MATCH($A227&amp;"|"&amp;F$1,'Master - US vs THEM'!$G$2:$G$2951,0)),"")</f>
        <v>US</v>
      </c>
      <c r="G227" s="2" t="str">
        <f>IFERROR(INDEX('Master - US vs THEM'!$F$2:$F$2951,MATCH($A227&amp;"|"&amp;G$1,'Master - US vs THEM'!$G$2:$G$2951,0)),"")</f>
        <v>US</v>
      </c>
      <c r="H227" s="2" t="str">
        <f>IFERROR(INDEX('Master - US vs THEM'!$F$2:$F$2951,MATCH($A227&amp;"|"&amp;H$1,'Master - US vs THEM'!$G$2:$G$2951,0)),"")</f>
        <v>US</v>
      </c>
      <c r="I227" s="2" t="str">
        <f>IFERROR(INDEX('Master - US vs THEM'!$F$2:$F$2951,MATCH($A227&amp;"|"&amp;I$1,'Master - US vs THEM'!$G$2:$G$2951,0)),"")</f>
        <v>US</v>
      </c>
      <c r="J227" s="2" t="str">
        <f>IFERROR(INDEX('Master - US vs THEM'!$F$2:$F$2951,MATCH($A227&amp;"|"&amp;J$1,'Master - US vs THEM'!$G$2:$G$2951,0)),"")</f>
        <v>US</v>
      </c>
      <c r="K227" s="2" t="str">
        <f>IFERROR(INDEX('Master - US vs THEM'!$F$2:$F$2951,MATCH($A227&amp;"|"&amp;K$1,'Master - US vs THEM'!$G$2:$G$2951,0)),"")</f>
        <v>US</v>
      </c>
    </row>
    <row r="228" spans="1:11" x14ac:dyDescent="0.2">
      <c r="A228" s="2" t="str">
        <f>'[1]Brand Family Territory (Enc)'!A228</f>
        <v>Saratoga</v>
      </c>
      <c r="B228" s="2" t="str">
        <f>IFERROR(INDEX('Master - US vs THEM'!$F$2:$F$2951,MATCH($A228&amp;"|"&amp;B$1,'Master - US vs THEM'!$G$2:$G$2951,0)),"")</f>
        <v>US</v>
      </c>
      <c r="C228" s="2" t="str">
        <f>IFERROR(INDEX('Master - US vs THEM'!$F$2:$F$2951,MATCH($A228&amp;"|"&amp;C$1,'Master - US vs THEM'!$G$2:$G$2951,0)),"")</f>
        <v>US</v>
      </c>
      <c r="D228" s="2" t="str">
        <f>IFERROR(INDEX('Master - US vs THEM'!$F$2:$F$2951,MATCH($A228&amp;"|"&amp;D$1,'Master - US vs THEM'!$G$2:$G$2951,0)),"")</f>
        <v>US</v>
      </c>
      <c r="E228" s="2" t="str">
        <f>IFERROR(INDEX('Master - US vs THEM'!$F$2:$F$2951,MATCH($A228&amp;"|"&amp;E$1,'Master - US vs THEM'!$G$2:$G$2951,0)),"")</f>
        <v>US</v>
      </c>
      <c r="F228" s="2" t="str">
        <f>IFERROR(INDEX('Master - US vs THEM'!$F$2:$F$2951,MATCH($A228&amp;"|"&amp;F$1,'Master - US vs THEM'!$G$2:$G$2951,0)),"")</f>
        <v>US</v>
      </c>
      <c r="G228" s="2" t="str">
        <f>IFERROR(INDEX('Master - US vs THEM'!$F$2:$F$2951,MATCH($A228&amp;"|"&amp;G$1,'Master - US vs THEM'!$G$2:$G$2951,0)),"")</f>
        <v>US</v>
      </c>
      <c r="H228" s="2" t="str">
        <f>IFERROR(INDEX('Master - US vs THEM'!$F$2:$F$2951,MATCH($A228&amp;"|"&amp;H$1,'Master - US vs THEM'!$G$2:$G$2951,0)),"")</f>
        <v>US</v>
      </c>
      <c r="I228" s="2" t="str">
        <f>IFERROR(INDEX('Master - US vs THEM'!$F$2:$F$2951,MATCH($A228&amp;"|"&amp;I$1,'Master - US vs THEM'!$G$2:$G$2951,0)),"")</f>
        <v>US</v>
      </c>
      <c r="J228" s="2" t="str">
        <f>IFERROR(INDEX('Master - US vs THEM'!$F$2:$F$2951,MATCH($A228&amp;"|"&amp;J$1,'Master - US vs THEM'!$G$2:$G$2951,0)),"")</f>
        <v>US</v>
      </c>
      <c r="K228" s="2" t="str">
        <f>IFERROR(INDEX('Master - US vs THEM'!$F$2:$F$2951,MATCH($A228&amp;"|"&amp;K$1,'Master - US vs THEM'!$G$2:$G$2951,0)),"")</f>
        <v>US</v>
      </c>
    </row>
    <row r="229" spans="1:11" x14ac:dyDescent="0.2">
      <c r="A229" s="2" t="str">
        <f>'[1]Brand Family Territory (Enc)'!A229</f>
        <v>Schaefer</v>
      </c>
      <c r="B229" s="2" t="str">
        <f>IFERROR(INDEX('Master - US vs THEM'!$F$2:$F$2951,MATCH($A229&amp;"|"&amp;B$1,'Master - US vs THEM'!$G$2:$G$2951,0)),"")</f>
        <v>US</v>
      </c>
      <c r="C229" s="2" t="str">
        <f>IFERROR(INDEX('Master - US vs THEM'!$F$2:$F$2951,MATCH($A229&amp;"|"&amp;C$1,'Master - US vs THEM'!$G$2:$G$2951,0)),"")</f>
        <v>US</v>
      </c>
      <c r="D229" s="2" t="str">
        <f>IFERROR(INDEX('Master - US vs THEM'!$F$2:$F$2951,MATCH($A229&amp;"|"&amp;D$1,'Master - US vs THEM'!$G$2:$G$2951,0)),"")</f>
        <v>US</v>
      </c>
      <c r="E229" s="2" t="str">
        <f>IFERROR(INDEX('Master - US vs THEM'!$F$2:$F$2951,MATCH($A229&amp;"|"&amp;E$1,'Master - US vs THEM'!$G$2:$G$2951,0)),"")</f>
        <v>US</v>
      </c>
      <c r="F229" s="2" t="str">
        <f>IFERROR(INDEX('Master - US vs THEM'!$F$2:$F$2951,MATCH($A229&amp;"|"&amp;F$1,'Master - US vs THEM'!$G$2:$G$2951,0)),"")</f>
        <v>US</v>
      </c>
      <c r="G229" s="2" t="str">
        <f>IFERROR(INDEX('Master - US vs THEM'!$F$2:$F$2951,MATCH($A229&amp;"|"&amp;G$1,'Master - US vs THEM'!$G$2:$G$2951,0)),"")</f>
        <v>US</v>
      </c>
      <c r="H229" s="2" t="str">
        <f>IFERROR(INDEX('Master - US vs THEM'!$F$2:$F$2951,MATCH($A229&amp;"|"&amp;H$1,'Master - US vs THEM'!$G$2:$G$2951,0)),"")</f>
        <v>US</v>
      </c>
      <c r="I229" s="2" t="str">
        <f>IFERROR(INDEX('Master - US vs THEM'!$F$2:$F$2951,MATCH($A229&amp;"|"&amp;I$1,'Master - US vs THEM'!$G$2:$G$2951,0)),"")</f>
        <v>US</v>
      </c>
      <c r="J229" s="2" t="str">
        <f>IFERROR(INDEX('Master - US vs THEM'!$F$2:$F$2951,MATCH($A229&amp;"|"&amp;J$1,'Master - US vs THEM'!$G$2:$G$2951,0)),"")</f>
        <v>US</v>
      </c>
      <c r="K229" s="2" t="str">
        <f>IFERROR(INDEX('Master - US vs THEM'!$F$2:$F$2951,MATCH($A229&amp;"|"&amp;K$1,'Master - US vs THEM'!$G$2:$G$2951,0)),"")</f>
        <v>US</v>
      </c>
    </row>
    <row r="230" spans="1:11" x14ac:dyDescent="0.2">
      <c r="A230" s="2" t="str">
        <f>'[1]Brand Family Territory (Enc)'!A230</f>
        <v>Schlitz Malt</v>
      </c>
      <c r="B230" s="2" t="str">
        <f>IFERROR(INDEX('Master - US vs THEM'!$F$2:$F$2951,MATCH($A230&amp;"|"&amp;B$1,'Master - US vs THEM'!$G$2:$G$2951,0)),"")</f>
        <v>US</v>
      </c>
      <c r="C230" s="2" t="str">
        <f>IFERROR(INDEX('Master - US vs THEM'!$F$2:$F$2951,MATCH($A230&amp;"|"&amp;C$1,'Master - US vs THEM'!$G$2:$G$2951,0)),"")</f>
        <v>US</v>
      </c>
      <c r="D230" s="2" t="str">
        <f>IFERROR(INDEX('Master - US vs THEM'!$F$2:$F$2951,MATCH($A230&amp;"|"&amp;D$1,'Master - US vs THEM'!$G$2:$G$2951,0)),"")</f>
        <v>US</v>
      </c>
      <c r="E230" s="2" t="str">
        <f>IFERROR(INDEX('Master - US vs THEM'!$F$2:$F$2951,MATCH($A230&amp;"|"&amp;E$1,'Master - US vs THEM'!$G$2:$G$2951,0)),"")</f>
        <v>US</v>
      </c>
      <c r="F230" s="2" t="str">
        <f>IFERROR(INDEX('Master - US vs THEM'!$F$2:$F$2951,MATCH($A230&amp;"|"&amp;F$1,'Master - US vs THEM'!$G$2:$G$2951,0)),"")</f>
        <v>US</v>
      </c>
      <c r="G230" s="2" t="str">
        <f>IFERROR(INDEX('Master - US vs THEM'!$F$2:$F$2951,MATCH($A230&amp;"|"&amp;G$1,'Master - US vs THEM'!$G$2:$G$2951,0)),"")</f>
        <v>US</v>
      </c>
      <c r="H230" s="2" t="str">
        <f>IFERROR(INDEX('Master - US vs THEM'!$F$2:$F$2951,MATCH($A230&amp;"|"&amp;H$1,'Master - US vs THEM'!$G$2:$G$2951,0)),"")</f>
        <v>US</v>
      </c>
      <c r="I230" s="2" t="str">
        <f>IFERROR(INDEX('Master - US vs THEM'!$F$2:$F$2951,MATCH($A230&amp;"|"&amp;I$1,'Master - US vs THEM'!$G$2:$G$2951,0)),"")</f>
        <v>US</v>
      </c>
      <c r="J230" s="2" t="str">
        <f>IFERROR(INDEX('Master - US vs THEM'!$F$2:$F$2951,MATCH($A230&amp;"|"&amp;J$1,'Master - US vs THEM'!$G$2:$G$2951,0)),"")</f>
        <v>US</v>
      </c>
      <c r="K230" s="2" t="str">
        <f>IFERROR(INDEX('Master - US vs THEM'!$F$2:$F$2951,MATCH($A230&amp;"|"&amp;K$1,'Master - US vs THEM'!$G$2:$G$2951,0)),"")</f>
        <v>US</v>
      </c>
    </row>
    <row r="231" spans="1:11" x14ac:dyDescent="0.2">
      <c r="A231" s="2" t="str">
        <f>'[1]Brand Family Territory (Enc)'!A231</f>
        <v>Schofferhofer</v>
      </c>
      <c r="B231" s="2" t="str">
        <f>IFERROR(INDEX('Master - US vs THEM'!$F$2:$F$2951,MATCH($A231&amp;"|"&amp;B$1,'Master - US vs THEM'!$G$2:$G$2951,0)),"")</f>
        <v>US</v>
      </c>
      <c r="C231" s="2" t="str">
        <f>IFERROR(INDEX('Master - US vs THEM'!$F$2:$F$2951,MATCH($A231&amp;"|"&amp;C$1,'Master - US vs THEM'!$G$2:$G$2951,0)),"")</f>
        <v>US</v>
      </c>
      <c r="D231" s="2" t="str">
        <f>IFERROR(INDEX('Master - US vs THEM'!$F$2:$F$2951,MATCH($A231&amp;"|"&amp;D$1,'Master - US vs THEM'!$G$2:$G$2951,0)),"")</f>
        <v>US</v>
      </c>
      <c r="E231" s="2" t="str">
        <f>IFERROR(INDEX('Master - US vs THEM'!$F$2:$F$2951,MATCH($A231&amp;"|"&amp;E$1,'Master - US vs THEM'!$G$2:$G$2951,0)),"")</f>
        <v>US</v>
      </c>
      <c r="F231" s="2" t="str">
        <f>IFERROR(INDEX('Master - US vs THEM'!$F$2:$F$2951,MATCH($A231&amp;"|"&amp;F$1,'Master - US vs THEM'!$G$2:$G$2951,0)),"")</f>
        <v>US</v>
      </c>
      <c r="G231" s="2" t="str">
        <f>IFERROR(INDEX('Master - US vs THEM'!$F$2:$F$2951,MATCH($A231&amp;"|"&amp;G$1,'Master - US vs THEM'!$G$2:$G$2951,0)),"")</f>
        <v>US</v>
      </c>
      <c r="H231" s="2" t="str">
        <f>IFERROR(INDEX('Master - US vs THEM'!$F$2:$F$2951,MATCH($A231&amp;"|"&amp;H$1,'Master - US vs THEM'!$G$2:$G$2951,0)),"")</f>
        <v>US</v>
      </c>
      <c r="I231" s="2" t="str">
        <f>IFERROR(INDEX('Master - US vs THEM'!$F$2:$F$2951,MATCH($A231&amp;"|"&amp;I$1,'Master - US vs THEM'!$G$2:$G$2951,0)),"")</f>
        <v>US</v>
      </c>
      <c r="J231" s="2" t="str">
        <f>IFERROR(INDEX('Master - US vs THEM'!$F$2:$F$2951,MATCH($A231&amp;"|"&amp;J$1,'Master - US vs THEM'!$G$2:$G$2951,0)),"")</f>
        <v>US</v>
      </c>
      <c r="K231" s="2" t="str">
        <f>IFERROR(INDEX('Master - US vs THEM'!$F$2:$F$2951,MATCH($A231&amp;"|"&amp;K$1,'Master - US vs THEM'!$G$2:$G$2951,0)),"")</f>
        <v>US</v>
      </c>
    </row>
    <row r="232" spans="1:11" x14ac:dyDescent="0.2">
      <c r="A232" s="2" t="str">
        <f>'[1]Brand Family Territory (Enc)'!A232</f>
        <v>Source Brewing</v>
      </c>
      <c r="B232" s="2" t="str">
        <f>IFERROR(INDEX('Master - US vs THEM'!$F$2:$F$2951,MATCH($A232&amp;"|"&amp;B$1,'Master - US vs THEM'!$G$2:$G$2951,0)),"")</f>
        <v>US</v>
      </c>
      <c r="C232" s="2" t="str">
        <f>IFERROR(INDEX('Master - US vs THEM'!$F$2:$F$2951,MATCH($A232&amp;"|"&amp;C$1,'Master - US vs THEM'!$G$2:$G$2951,0)),"")</f>
        <v>US</v>
      </c>
      <c r="D232" s="2" t="str">
        <f>IFERROR(INDEX('Master - US vs THEM'!$F$2:$F$2951,MATCH($A232&amp;"|"&amp;D$1,'Master - US vs THEM'!$G$2:$G$2951,0)),"")</f>
        <v>US</v>
      </c>
      <c r="E232" s="2" t="str">
        <f>IFERROR(INDEX('Master - US vs THEM'!$F$2:$F$2951,MATCH($A232&amp;"|"&amp;E$1,'Master - US vs THEM'!$G$2:$G$2951,0)),"")</f>
        <v>US</v>
      </c>
      <c r="F232" s="2" t="str">
        <f>IFERROR(INDEX('Master - US vs THEM'!$F$2:$F$2951,MATCH($A232&amp;"|"&amp;F$1,'Master - US vs THEM'!$G$2:$G$2951,0)),"")</f>
        <v>US</v>
      </c>
      <c r="G232" s="2" t="str">
        <f>IFERROR(INDEX('Master - US vs THEM'!$F$2:$F$2951,MATCH($A232&amp;"|"&amp;G$1,'Master - US vs THEM'!$G$2:$G$2951,0)),"")</f>
        <v>US</v>
      </c>
      <c r="H232" s="2" t="str">
        <f>IFERROR(INDEX('Master - US vs THEM'!$F$2:$F$2951,MATCH($A232&amp;"|"&amp;H$1,'Master - US vs THEM'!$G$2:$G$2951,0)),"")</f>
        <v>US</v>
      </c>
      <c r="I232" s="2" t="str">
        <f>IFERROR(INDEX('Master - US vs THEM'!$F$2:$F$2951,MATCH($A232&amp;"|"&amp;I$1,'Master - US vs THEM'!$G$2:$G$2951,0)),"")</f>
        <v>US</v>
      </c>
      <c r="J232" s="2" t="str">
        <f>IFERROR(INDEX('Master - US vs THEM'!$F$2:$F$2951,MATCH($A232&amp;"|"&amp;J$1,'Master - US vs THEM'!$G$2:$G$2951,0)),"")</f>
        <v>US</v>
      </c>
      <c r="K232" s="2" t="str">
        <f>IFERROR(INDEX('Master - US vs THEM'!$F$2:$F$2951,MATCH($A232&amp;"|"&amp;K$1,'Master - US vs THEM'!$G$2:$G$2951,0)),"")</f>
        <v>US</v>
      </c>
    </row>
    <row r="233" spans="1:11" x14ac:dyDescent="0.2">
      <c r="A233" s="2" t="str">
        <f>'[1]Brand Family Territory (Enc)'!A233</f>
        <v>St Ides</v>
      </c>
      <c r="B233" s="2" t="str">
        <f>IFERROR(INDEX('Master - US vs THEM'!$F$2:$F$2951,MATCH($A233&amp;"|"&amp;B$1,'Master - US vs THEM'!$G$2:$G$2951,0)),"")</f>
        <v>US</v>
      </c>
      <c r="C233" s="2" t="str">
        <f>IFERROR(INDEX('Master - US vs THEM'!$F$2:$F$2951,MATCH($A233&amp;"|"&amp;C$1,'Master - US vs THEM'!$G$2:$G$2951,0)),"")</f>
        <v>US</v>
      </c>
      <c r="D233" s="2" t="str">
        <f>IFERROR(INDEX('Master - US vs THEM'!$F$2:$F$2951,MATCH($A233&amp;"|"&amp;D$1,'Master - US vs THEM'!$G$2:$G$2951,0)),"")</f>
        <v>US</v>
      </c>
      <c r="E233" s="2" t="str">
        <f>IFERROR(INDEX('Master - US vs THEM'!$F$2:$F$2951,MATCH($A233&amp;"|"&amp;E$1,'Master - US vs THEM'!$G$2:$G$2951,0)),"")</f>
        <v>US</v>
      </c>
      <c r="F233" s="2" t="str">
        <f>IFERROR(INDEX('Master - US vs THEM'!$F$2:$F$2951,MATCH($A233&amp;"|"&amp;F$1,'Master - US vs THEM'!$G$2:$G$2951,0)),"")</f>
        <v>US</v>
      </c>
      <c r="G233" s="2" t="str">
        <f>IFERROR(INDEX('Master - US vs THEM'!$F$2:$F$2951,MATCH($A233&amp;"|"&amp;G$1,'Master - US vs THEM'!$G$2:$G$2951,0)),"")</f>
        <v>US</v>
      </c>
      <c r="H233" s="2" t="str">
        <f>IFERROR(INDEX('Master - US vs THEM'!$F$2:$F$2951,MATCH($A233&amp;"|"&amp;H$1,'Master - US vs THEM'!$G$2:$G$2951,0)),"")</f>
        <v>US</v>
      </c>
      <c r="I233" s="2" t="str">
        <f>IFERROR(INDEX('Master - US vs THEM'!$F$2:$F$2951,MATCH($A233&amp;"|"&amp;I$1,'Master - US vs THEM'!$G$2:$G$2951,0)),"")</f>
        <v>US</v>
      </c>
      <c r="J233" s="2" t="str">
        <f>IFERROR(INDEX('Master - US vs THEM'!$F$2:$F$2951,MATCH($A233&amp;"|"&amp;J$1,'Master - US vs THEM'!$G$2:$G$2951,0)),"")</f>
        <v>US</v>
      </c>
      <c r="K233" s="2" t="str">
        <f>IFERROR(INDEX('Master - US vs THEM'!$F$2:$F$2951,MATCH($A233&amp;"|"&amp;K$1,'Master - US vs THEM'!$G$2:$G$2951,0)),"")</f>
        <v>US</v>
      </c>
    </row>
    <row r="234" spans="1:11" x14ac:dyDescent="0.2">
      <c r="A234" s="2" t="str">
        <f>'[1]Brand Family Territory (Enc)'!A234</f>
        <v>Stiegl</v>
      </c>
      <c r="B234" s="2" t="str">
        <f>IFERROR(INDEX('Master - US vs THEM'!$F$2:$F$2951,MATCH($A234&amp;"|"&amp;B$1,'Master - US vs THEM'!$G$2:$G$2951,0)),"")</f>
        <v>US</v>
      </c>
      <c r="C234" s="2" t="str">
        <f>IFERROR(INDEX('Master - US vs THEM'!$F$2:$F$2951,MATCH($A234&amp;"|"&amp;C$1,'Master - US vs THEM'!$G$2:$G$2951,0)),"")</f>
        <v>US</v>
      </c>
      <c r="D234" s="2" t="str">
        <f>IFERROR(INDEX('Master - US vs THEM'!$F$2:$F$2951,MATCH($A234&amp;"|"&amp;D$1,'Master - US vs THEM'!$G$2:$G$2951,0)),"")</f>
        <v>US</v>
      </c>
      <c r="E234" s="2" t="str">
        <f>IFERROR(INDEX('Master - US vs THEM'!$F$2:$F$2951,MATCH($A234&amp;"|"&amp;E$1,'Master - US vs THEM'!$G$2:$G$2951,0)),"")</f>
        <v>US</v>
      </c>
      <c r="F234" s="2" t="str">
        <f>IFERROR(INDEX('Master - US vs THEM'!$F$2:$F$2951,MATCH($A234&amp;"|"&amp;F$1,'Master - US vs THEM'!$G$2:$G$2951,0)),"")</f>
        <v>US</v>
      </c>
      <c r="G234" s="2" t="str">
        <f>IFERROR(INDEX('Master - US vs THEM'!$F$2:$F$2951,MATCH($A234&amp;"|"&amp;G$1,'Master - US vs THEM'!$G$2:$G$2951,0)),"")</f>
        <v>US</v>
      </c>
      <c r="H234" s="2" t="str">
        <f>IFERROR(INDEX('Master - US vs THEM'!$F$2:$F$2951,MATCH($A234&amp;"|"&amp;H$1,'Master - US vs THEM'!$G$2:$G$2951,0)),"")</f>
        <v>US</v>
      </c>
      <c r="I234" s="2" t="str">
        <f>IFERROR(INDEX('Master - US vs THEM'!$F$2:$F$2951,MATCH($A234&amp;"|"&amp;I$1,'Master - US vs THEM'!$G$2:$G$2951,0)),"")</f>
        <v>US</v>
      </c>
      <c r="J234" s="2" t="str">
        <f>IFERROR(INDEX('Master - US vs THEM'!$F$2:$F$2951,MATCH($A234&amp;"|"&amp;J$1,'Master - US vs THEM'!$G$2:$G$2951,0)),"")</f>
        <v>US</v>
      </c>
      <c r="K234" s="2" t="str">
        <f>IFERROR(INDEX('Master - US vs THEM'!$F$2:$F$2951,MATCH($A234&amp;"|"&amp;K$1,'Master - US vs THEM'!$G$2:$G$2951,0)),"")</f>
        <v>US</v>
      </c>
    </row>
    <row r="235" spans="1:11" x14ac:dyDescent="0.2">
      <c r="A235" s="2" t="str">
        <f>'[1]Brand Family Territory (Enc)'!A235</f>
        <v>Striped Pig</v>
      </c>
      <c r="B235" s="2" t="str">
        <f>IFERROR(INDEX('Master - US vs THEM'!$F$2:$F$2951,MATCH($A235&amp;"|"&amp;B$1,'Master - US vs THEM'!$G$2:$G$2951,0)),"")</f>
        <v>US</v>
      </c>
      <c r="C235" s="2" t="str">
        <f>IFERROR(INDEX('Master - US vs THEM'!$F$2:$F$2951,MATCH($A235&amp;"|"&amp;C$1,'Master - US vs THEM'!$G$2:$G$2951,0)),"")</f>
        <v>US</v>
      </c>
      <c r="D235" s="2" t="str">
        <f>IFERROR(INDEX('Master - US vs THEM'!$F$2:$F$2951,MATCH($A235&amp;"|"&amp;D$1,'Master - US vs THEM'!$G$2:$G$2951,0)),"")</f>
        <v>US</v>
      </c>
      <c r="E235" s="2" t="str">
        <f>IFERROR(INDEX('Master - US vs THEM'!$F$2:$F$2951,MATCH($A235&amp;"|"&amp;E$1,'Master - US vs THEM'!$G$2:$G$2951,0)),"")</f>
        <v>US</v>
      </c>
      <c r="F235" s="2" t="str">
        <f>IFERROR(INDEX('Master - US vs THEM'!$F$2:$F$2951,MATCH($A235&amp;"|"&amp;F$1,'Master - US vs THEM'!$G$2:$G$2951,0)),"")</f>
        <v>US</v>
      </c>
      <c r="G235" s="2" t="str">
        <f>IFERROR(INDEX('Master - US vs THEM'!$F$2:$F$2951,MATCH($A235&amp;"|"&amp;G$1,'Master - US vs THEM'!$G$2:$G$2951,0)),"")</f>
        <v>US</v>
      </c>
      <c r="H235" s="2" t="str">
        <f>IFERROR(INDEX('Master - US vs THEM'!$F$2:$F$2951,MATCH($A235&amp;"|"&amp;H$1,'Master - US vs THEM'!$G$2:$G$2951,0)),"")</f>
        <v>US</v>
      </c>
      <c r="I235" s="2" t="str">
        <f>IFERROR(INDEX('Master - US vs THEM'!$F$2:$F$2951,MATCH($A235&amp;"|"&amp;I$1,'Master - US vs THEM'!$G$2:$G$2951,0)),"")</f>
        <v>US</v>
      </c>
      <c r="J235" s="2" t="str">
        <f>IFERROR(INDEX('Master - US vs THEM'!$F$2:$F$2951,MATCH($A235&amp;"|"&amp;J$1,'Master - US vs THEM'!$G$2:$G$2951,0)),"")</f>
        <v>US</v>
      </c>
      <c r="K235" s="2" t="str">
        <f>IFERROR(INDEX('Master - US vs THEM'!$F$2:$F$2951,MATCH($A235&amp;"|"&amp;K$1,'Master - US vs THEM'!$G$2:$G$2951,0)),"")</f>
        <v>US</v>
      </c>
    </row>
    <row r="236" spans="1:11" x14ac:dyDescent="0.2">
      <c r="A236" s="2" t="str">
        <f>'[1]Brand Family Territory (Enc)'!A236</f>
        <v>Sullivan's</v>
      </c>
      <c r="B236" s="2" t="str">
        <f>IFERROR(INDEX('Master - US vs THEM'!$F$2:$F$2951,MATCH($A236&amp;"|"&amp;B$1,'Master - US vs THEM'!$G$2:$G$2951,0)),"")</f>
        <v>US</v>
      </c>
      <c r="C236" s="2" t="str">
        <f>IFERROR(INDEX('Master - US vs THEM'!$F$2:$F$2951,MATCH($A236&amp;"|"&amp;C$1,'Master - US vs THEM'!$G$2:$G$2951,0)),"")</f>
        <v>US</v>
      </c>
      <c r="D236" s="2" t="str">
        <f>IFERROR(INDEX('Master - US vs THEM'!$F$2:$F$2951,MATCH($A236&amp;"|"&amp;D$1,'Master - US vs THEM'!$G$2:$G$2951,0)),"")</f>
        <v>US</v>
      </c>
      <c r="E236" s="2" t="str">
        <f>IFERROR(INDEX('Master - US vs THEM'!$F$2:$F$2951,MATCH($A236&amp;"|"&amp;E$1,'Master - US vs THEM'!$G$2:$G$2951,0)),"")</f>
        <v>US</v>
      </c>
      <c r="F236" s="2" t="str">
        <f>IFERROR(INDEX('Master - US vs THEM'!$F$2:$F$2951,MATCH($A236&amp;"|"&amp;F$1,'Master - US vs THEM'!$G$2:$G$2951,0)),"")</f>
        <v>US</v>
      </c>
      <c r="G236" s="2" t="str">
        <f>IFERROR(INDEX('Master - US vs THEM'!$F$2:$F$2951,MATCH($A236&amp;"|"&amp;G$1,'Master - US vs THEM'!$G$2:$G$2951,0)),"")</f>
        <v>US</v>
      </c>
      <c r="H236" s="2" t="str">
        <f>IFERROR(INDEX('Master - US vs THEM'!$F$2:$F$2951,MATCH($A236&amp;"|"&amp;H$1,'Master - US vs THEM'!$G$2:$G$2951,0)),"")</f>
        <v>US</v>
      </c>
      <c r="I236" s="2" t="str">
        <f>IFERROR(INDEX('Master - US vs THEM'!$F$2:$F$2951,MATCH($A236&amp;"|"&amp;I$1,'Master - US vs THEM'!$G$2:$G$2951,0)),"")</f>
        <v>US</v>
      </c>
      <c r="J236" s="2" t="str">
        <f>IFERROR(INDEX('Master - US vs THEM'!$F$2:$F$2951,MATCH($A236&amp;"|"&amp;J$1,'Master - US vs THEM'!$G$2:$G$2951,0)),"")</f>
        <v>US</v>
      </c>
      <c r="K236" s="2" t="str">
        <f>IFERROR(INDEX('Master - US vs THEM'!$F$2:$F$2951,MATCH($A236&amp;"|"&amp;K$1,'Master - US vs THEM'!$G$2:$G$2951,0)),"")</f>
        <v>US</v>
      </c>
    </row>
    <row r="237" spans="1:11" x14ac:dyDescent="0.2">
      <c r="A237" s="2" t="str">
        <f>'[1]Brand Family Territory (Enc)'!A237</f>
        <v>Talkhouse Encore</v>
      </c>
      <c r="B237" s="2" t="str">
        <f>IFERROR(INDEX('Master - US vs THEM'!$F$2:$F$2951,MATCH($A237&amp;"|"&amp;B$1,'Master - US vs THEM'!$G$2:$G$2951,0)),"")</f>
        <v>US</v>
      </c>
      <c r="C237" s="2" t="str">
        <f>IFERROR(INDEX('Master - US vs THEM'!$F$2:$F$2951,MATCH($A237&amp;"|"&amp;C$1,'Master - US vs THEM'!$G$2:$G$2951,0)),"")</f>
        <v>US</v>
      </c>
      <c r="D237" s="2" t="str">
        <f>IFERROR(INDEX('Master - US vs THEM'!$F$2:$F$2951,MATCH($A237&amp;"|"&amp;D$1,'Master - US vs THEM'!$G$2:$G$2951,0)),"")</f>
        <v>US</v>
      </c>
      <c r="E237" s="2" t="str">
        <f>IFERROR(INDEX('Master - US vs THEM'!$F$2:$F$2951,MATCH($A237&amp;"|"&amp;E$1,'Master - US vs THEM'!$G$2:$G$2951,0)),"")</f>
        <v>US</v>
      </c>
      <c r="F237" s="2" t="str">
        <f>IFERROR(INDEX('Master - US vs THEM'!$F$2:$F$2951,MATCH($A237&amp;"|"&amp;F$1,'Master - US vs THEM'!$G$2:$G$2951,0)),"")</f>
        <v>US</v>
      </c>
      <c r="G237" s="2" t="str">
        <f>IFERROR(INDEX('Master - US vs THEM'!$F$2:$F$2951,MATCH($A237&amp;"|"&amp;G$1,'Master - US vs THEM'!$G$2:$G$2951,0)),"")</f>
        <v>US</v>
      </c>
      <c r="H237" s="2" t="str">
        <f>IFERROR(INDEX('Master - US vs THEM'!$F$2:$F$2951,MATCH($A237&amp;"|"&amp;H$1,'Master - US vs THEM'!$G$2:$G$2951,0)),"")</f>
        <v>US</v>
      </c>
      <c r="I237" s="2" t="str">
        <f>IFERROR(INDEX('Master - US vs THEM'!$F$2:$F$2951,MATCH($A237&amp;"|"&amp;I$1,'Master - US vs THEM'!$G$2:$G$2951,0)),"")</f>
        <v>US</v>
      </c>
      <c r="J237" s="2" t="str">
        <f>IFERROR(INDEX('Master - US vs THEM'!$F$2:$F$2951,MATCH($A237&amp;"|"&amp;J$1,'Master - US vs THEM'!$G$2:$G$2951,0)),"")</f>
        <v>US</v>
      </c>
      <c r="K237" s="2" t="str">
        <f>IFERROR(INDEX('Master - US vs THEM'!$F$2:$F$2951,MATCH($A237&amp;"|"&amp;K$1,'Master - US vs THEM'!$G$2:$G$2951,0)),"")</f>
        <v>US</v>
      </c>
    </row>
    <row r="238" spans="1:11" x14ac:dyDescent="0.2">
      <c r="A238" s="2" t="str">
        <f>'[1]Brand Family Territory (Enc)'!A238</f>
        <v>The Garden State Experience</v>
      </c>
      <c r="B238" s="2" t="str">
        <f>IFERROR(INDEX('Master - US vs THEM'!$F$2:$F$2951,MATCH($A238&amp;"|"&amp;B$1,'Master - US vs THEM'!$G$2:$G$2951,0)),"")</f>
        <v>US</v>
      </c>
      <c r="C238" s="2" t="str">
        <f>IFERROR(INDEX('Master - US vs THEM'!$F$2:$F$2951,MATCH($A238&amp;"|"&amp;C$1,'Master - US vs THEM'!$G$2:$G$2951,0)),"")</f>
        <v>US</v>
      </c>
      <c r="D238" s="2" t="str">
        <f>IFERROR(INDEX('Master - US vs THEM'!$F$2:$F$2951,MATCH($A238&amp;"|"&amp;D$1,'Master - US vs THEM'!$G$2:$G$2951,0)),"")</f>
        <v>US</v>
      </c>
      <c r="E238" s="2" t="str">
        <f>IFERROR(INDEX('Master - US vs THEM'!$F$2:$F$2951,MATCH($A238&amp;"|"&amp;E$1,'Master - US vs THEM'!$G$2:$G$2951,0)),"")</f>
        <v>US</v>
      </c>
      <c r="F238" s="2" t="str">
        <f>IFERROR(INDEX('Master - US vs THEM'!$F$2:$F$2951,MATCH($A238&amp;"|"&amp;F$1,'Master - US vs THEM'!$G$2:$G$2951,0)),"")</f>
        <v>US</v>
      </c>
      <c r="G238" s="2" t="str">
        <f>IFERROR(INDEX('Master - US vs THEM'!$F$2:$F$2951,MATCH($A238&amp;"|"&amp;G$1,'Master - US vs THEM'!$G$2:$G$2951,0)),"")</f>
        <v>US</v>
      </c>
      <c r="H238" s="2" t="str">
        <f>IFERROR(INDEX('Master - US vs THEM'!$F$2:$F$2951,MATCH($A238&amp;"|"&amp;H$1,'Master - US vs THEM'!$G$2:$G$2951,0)),"")</f>
        <v>US</v>
      </c>
      <c r="I238" s="2" t="str">
        <f>IFERROR(INDEX('Master - US vs THEM'!$F$2:$F$2951,MATCH($A238&amp;"|"&amp;I$1,'Master - US vs THEM'!$G$2:$G$2951,0)),"")</f>
        <v>US</v>
      </c>
      <c r="J238" s="2" t="str">
        <f>IFERROR(INDEX('Master - US vs THEM'!$F$2:$F$2951,MATCH($A238&amp;"|"&amp;J$1,'Master - US vs THEM'!$G$2:$G$2951,0)),"")</f>
        <v>US</v>
      </c>
      <c r="K238" s="2" t="str">
        <f>IFERROR(INDEX('Master - US vs THEM'!$F$2:$F$2951,MATCH($A238&amp;"|"&amp;K$1,'Master - US vs THEM'!$G$2:$G$2951,0)),"")</f>
        <v>US</v>
      </c>
    </row>
    <row r="239" spans="1:11" x14ac:dyDescent="0.2">
      <c r="A239" s="2" t="str">
        <f>'[1]Brand Family Territory (Enc)'!A239</f>
        <v>The Old G</v>
      </c>
      <c r="B239" s="2" t="str">
        <f>IFERROR(INDEX('Master - US vs THEM'!$F$2:$F$2951,MATCH($A239&amp;"|"&amp;B$1,'Master - US vs THEM'!$G$2:$G$2951,0)),"")</f>
        <v>US</v>
      </c>
      <c r="C239" s="2" t="str">
        <f>IFERROR(INDEX('Master - US vs THEM'!$F$2:$F$2951,MATCH($A239&amp;"|"&amp;C$1,'Master - US vs THEM'!$G$2:$G$2951,0)),"")</f>
        <v>US</v>
      </c>
      <c r="D239" s="2" t="str">
        <f>IFERROR(INDEX('Master - US vs THEM'!$F$2:$F$2951,MATCH($A239&amp;"|"&amp;D$1,'Master - US vs THEM'!$G$2:$G$2951,0)),"")</f>
        <v>US</v>
      </c>
      <c r="E239" s="2" t="str">
        <f>IFERROR(INDEX('Master - US vs THEM'!$F$2:$F$2951,MATCH($A239&amp;"|"&amp;E$1,'Master - US vs THEM'!$G$2:$G$2951,0)),"")</f>
        <v>US</v>
      </c>
      <c r="F239" s="2" t="str">
        <f>IFERROR(INDEX('Master - US vs THEM'!$F$2:$F$2951,MATCH($A239&amp;"|"&amp;F$1,'Master - US vs THEM'!$G$2:$G$2951,0)),"")</f>
        <v>US</v>
      </c>
      <c r="G239" s="2" t="str">
        <f>IFERROR(INDEX('Master - US vs THEM'!$F$2:$F$2951,MATCH($A239&amp;"|"&amp;G$1,'Master - US vs THEM'!$G$2:$G$2951,0)),"")</f>
        <v>US</v>
      </c>
      <c r="H239" s="2" t="str">
        <f>IFERROR(INDEX('Master - US vs THEM'!$F$2:$F$2951,MATCH($A239&amp;"|"&amp;H$1,'Master - US vs THEM'!$G$2:$G$2951,0)),"")</f>
        <v>US</v>
      </c>
      <c r="I239" s="2" t="str">
        <f>IFERROR(INDEX('Master - US vs THEM'!$F$2:$F$2951,MATCH($A239&amp;"|"&amp;I$1,'Master - US vs THEM'!$G$2:$G$2951,0)),"")</f>
        <v>US</v>
      </c>
      <c r="J239" s="2" t="str">
        <f>IFERROR(INDEX('Master - US vs THEM'!$F$2:$F$2951,MATCH($A239&amp;"|"&amp;J$1,'Master - US vs THEM'!$G$2:$G$2951,0)),"")</f>
        <v>US</v>
      </c>
      <c r="K239" s="2" t="str">
        <f>IFERROR(INDEX('Master - US vs THEM'!$F$2:$F$2951,MATCH($A239&amp;"|"&amp;K$1,'Master - US vs THEM'!$G$2:$G$2951,0)),"")</f>
        <v>US</v>
      </c>
    </row>
    <row r="240" spans="1:11" x14ac:dyDescent="0.2">
      <c r="A240" s="2" t="str">
        <f>'[1]Brand Family Territory (Enc)'!A240</f>
        <v>Van Steenberge</v>
      </c>
      <c r="B240" s="2" t="str">
        <f>IFERROR(INDEX('Master - US vs THEM'!$F$2:$F$2951,MATCH($A240&amp;"|"&amp;B$1,'Master - US vs THEM'!$G$2:$G$2951,0)),"")</f>
        <v>US</v>
      </c>
      <c r="C240" s="2" t="str">
        <f>IFERROR(INDEX('Master - US vs THEM'!$F$2:$F$2951,MATCH($A240&amp;"|"&amp;C$1,'Master - US vs THEM'!$G$2:$G$2951,0)),"")</f>
        <v>US</v>
      </c>
      <c r="D240" s="2" t="str">
        <f>IFERROR(INDEX('Master - US vs THEM'!$F$2:$F$2951,MATCH($A240&amp;"|"&amp;D$1,'Master - US vs THEM'!$G$2:$G$2951,0)),"")</f>
        <v>US</v>
      </c>
      <c r="E240" s="2" t="str">
        <f>IFERROR(INDEX('Master - US vs THEM'!$F$2:$F$2951,MATCH($A240&amp;"|"&amp;E$1,'Master - US vs THEM'!$G$2:$G$2951,0)),"")</f>
        <v>US</v>
      </c>
      <c r="F240" s="2" t="str">
        <f>IFERROR(INDEX('Master - US vs THEM'!$F$2:$F$2951,MATCH($A240&amp;"|"&amp;F$1,'Master - US vs THEM'!$G$2:$G$2951,0)),"")</f>
        <v>US</v>
      </c>
      <c r="G240" s="2" t="str">
        <f>IFERROR(INDEX('Master - US vs THEM'!$F$2:$F$2951,MATCH($A240&amp;"|"&amp;G$1,'Master - US vs THEM'!$G$2:$G$2951,0)),"")</f>
        <v>US</v>
      </c>
      <c r="H240" s="2" t="str">
        <f>IFERROR(INDEX('Master - US vs THEM'!$F$2:$F$2951,MATCH($A240&amp;"|"&amp;H$1,'Master - US vs THEM'!$G$2:$G$2951,0)),"")</f>
        <v>US</v>
      </c>
      <c r="I240" s="2" t="str">
        <f>IFERROR(INDEX('Master - US vs THEM'!$F$2:$F$2951,MATCH($A240&amp;"|"&amp;I$1,'Master - US vs THEM'!$G$2:$G$2951,0)),"")</f>
        <v>US</v>
      </c>
      <c r="J240" s="2" t="str">
        <f>IFERROR(INDEX('Master - US vs THEM'!$F$2:$F$2951,MATCH($A240&amp;"|"&amp;J$1,'Master - US vs THEM'!$G$2:$G$2951,0)),"")</f>
        <v>US</v>
      </c>
      <c r="K240" s="2" t="str">
        <f>IFERROR(INDEX('Master - US vs THEM'!$F$2:$F$2951,MATCH($A240&amp;"|"&amp;K$1,'Master - US vs THEM'!$G$2:$G$2951,0)),"")</f>
        <v>US</v>
      </c>
    </row>
    <row r="241" spans="1:11" x14ac:dyDescent="0.2">
      <c r="A241" s="2" t="str">
        <f>'[1]Brand Family Territory (Enc)'!A241</f>
        <v>Tsingtao</v>
      </c>
      <c r="B241" s="2" t="str">
        <f>IFERROR(INDEX('Master - US vs THEM'!$F$2:$F$2951,MATCH($A241&amp;"|"&amp;B$1,'Master - US vs THEM'!$G$2:$G$2951,0)),"")</f>
        <v>US</v>
      </c>
      <c r="C241" s="2" t="str">
        <f>IFERROR(INDEX('Master - US vs THEM'!$F$2:$F$2951,MATCH($A241&amp;"|"&amp;C$1,'Master - US vs THEM'!$G$2:$G$2951,0)),"")</f>
        <v>US</v>
      </c>
      <c r="D241" s="2" t="str">
        <f>IFERROR(INDEX('Master - US vs THEM'!$F$2:$F$2951,MATCH($A241&amp;"|"&amp;D$1,'Master - US vs THEM'!$G$2:$G$2951,0)),"")</f>
        <v>US</v>
      </c>
      <c r="E241" s="2" t="str">
        <f>IFERROR(INDEX('Master - US vs THEM'!$F$2:$F$2951,MATCH($A241&amp;"|"&amp;E$1,'Master - US vs THEM'!$G$2:$G$2951,0)),"")</f>
        <v>US</v>
      </c>
      <c r="F241" s="2" t="str">
        <f>IFERROR(INDEX('Master - US vs THEM'!$F$2:$F$2951,MATCH($A241&amp;"|"&amp;F$1,'Master - US vs THEM'!$G$2:$G$2951,0)),"")</f>
        <v>US</v>
      </c>
      <c r="G241" s="2" t="str">
        <f>IFERROR(INDEX('Master - US vs THEM'!$F$2:$F$2951,MATCH($A241&amp;"|"&amp;G$1,'Master - US vs THEM'!$G$2:$G$2951,0)),"")</f>
        <v>US</v>
      </c>
      <c r="H241" s="2" t="str">
        <f>IFERROR(INDEX('Master - US vs THEM'!$F$2:$F$2951,MATCH($A241&amp;"|"&amp;H$1,'Master - US vs THEM'!$G$2:$G$2951,0)),"")</f>
        <v>US</v>
      </c>
      <c r="I241" s="2" t="str">
        <f>IFERROR(INDEX('Master - US vs THEM'!$F$2:$F$2951,MATCH($A241&amp;"|"&amp;I$1,'Master - US vs THEM'!$G$2:$G$2951,0)),"")</f>
        <v>US</v>
      </c>
      <c r="J241" s="2" t="str">
        <f>IFERROR(INDEX('Master - US vs THEM'!$F$2:$F$2951,MATCH($A241&amp;"|"&amp;J$1,'Master - US vs THEM'!$G$2:$G$2951,0)),"")</f>
        <v>US</v>
      </c>
      <c r="K241" s="2" t="str">
        <f>IFERROR(INDEX('Master - US vs THEM'!$F$2:$F$2951,MATCH($A241&amp;"|"&amp;K$1,'Master - US vs THEM'!$G$2:$G$2951,0)),"")</f>
        <v>US</v>
      </c>
    </row>
    <row r="242" spans="1:11" x14ac:dyDescent="0.2">
      <c r="A242" s="2" t="str">
        <f>'[1]Brand Family Territory (Enc)'!A242</f>
        <v>Viva Tequila Seltzer</v>
      </c>
      <c r="B242" s="2" t="str">
        <f>IFERROR(INDEX('Master - US vs THEM'!$F$2:$F$2951,MATCH($A242&amp;"|"&amp;B$1,'Master - US vs THEM'!$G$2:$G$2951,0)),"")</f>
        <v>US</v>
      </c>
      <c r="C242" s="2" t="str">
        <f>IFERROR(INDEX('Master - US vs THEM'!$F$2:$F$2951,MATCH($A242&amp;"|"&amp;C$1,'Master - US vs THEM'!$G$2:$G$2951,0)),"")</f>
        <v>US</v>
      </c>
      <c r="D242" s="2" t="str">
        <f>IFERROR(INDEX('Master - US vs THEM'!$F$2:$F$2951,MATCH($A242&amp;"|"&amp;D$1,'Master - US vs THEM'!$G$2:$G$2951,0)),"")</f>
        <v>US</v>
      </c>
      <c r="E242" s="2" t="str">
        <f>IFERROR(INDEX('Master - US vs THEM'!$F$2:$F$2951,MATCH($A242&amp;"|"&amp;E$1,'Master - US vs THEM'!$G$2:$G$2951,0)),"")</f>
        <v>US</v>
      </c>
      <c r="F242" s="2" t="str">
        <f>IFERROR(INDEX('Master - US vs THEM'!$F$2:$F$2951,MATCH($A242&amp;"|"&amp;F$1,'Master - US vs THEM'!$G$2:$G$2951,0)),"")</f>
        <v>US</v>
      </c>
      <c r="G242" s="2" t="str">
        <f>IFERROR(INDEX('Master - US vs THEM'!$F$2:$F$2951,MATCH($A242&amp;"|"&amp;G$1,'Master - US vs THEM'!$G$2:$G$2951,0)),"")</f>
        <v>US</v>
      </c>
      <c r="H242" s="2" t="str">
        <f>IFERROR(INDEX('Master - US vs THEM'!$F$2:$F$2951,MATCH($A242&amp;"|"&amp;H$1,'Master - US vs THEM'!$G$2:$G$2951,0)),"")</f>
        <v>US</v>
      </c>
      <c r="I242" s="2" t="str">
        <f>IFERROR(INDEX('Master - US vs THEM'!$F$2:$F$2951,MATCH($A242&amp;"|"&amp;I$1,'Master - US vs THEM'!$G$2:$G$2951,0)),"")</f>
        <v>US</v>
      </c>
      <c r="J242" s="2" t="str">
        <f>IFERROR(INDEX('Master - US vs THEM'!$F$2:$F$2951,MATCH($A242&amp;"|"&amp;J$1,'Master - US vs THEM'!$G$2:$G$2951,0)),"")</f>
        <v>US</v>
      </c>
      <c r="K242" s="2" t="str">
        <f>IFERROR(INDEX('Master - US vs THEM'!$F$2:$F$2951,MATCH($A242&amp;"|"&amp;K$1,'Master - US vs THEM'!$G$2:$G$2951,0)),"")</f>
        <v>US</v>
      </c>
    </row>
    <row r="243" spans="1:11" x14ac:dyDescent="0.2">
      <c r="A243" s="2" t="str">
        <f>'[1]Brand Family Territory (Enc)'!A243</f>
        <v>Vodka Hog</v>
      </c>
      <c r="B243" s="2" t="str">
        <f>IFERROR(INDEX('Master - US vs THEM'!$F$2:$F$2951,MATCH($A243&amp;"|"&amp;B$1,'Master - US vs THEM'!$G$2:$G$2951,0)),"")</f>
        <v>US</v>
      </c>
      <c r="C243" s="2" t="str">
        <f>IFERROR(INDEX('Master - US vs THEM'!$F$2:$F$2951,MATCH($A243&amp;"|"&amp;C$1,'Master - US vs THEM'!$G$2:$G$2951,0)),"")</f>
        <v>US</v>
      </c>
      <c r="D243" s="2" t="str">
        <f>IFERROR(INDEX('Master - US vs THEM'!$F$2:$F$2951,MATCH($A243&amp;"|"&amp;D$1,'Master - US vs THEM'!$G$2:$G$2951,0)),"")</f>
        <v>US</v>
      </c>
      <c r="E243" s="2" t="str">
        <f>IFERROR(INDEX('Master - US vs THEM'!$F$2:$F$2951,MATCH($A243&amp;"|"&amp;E$1,'Master - US vs THEM'!$G$2:$G$2951,0)),"")</f>
        <v>US</v>
      </c>
      <c r="F243" s="2" t="str">
        <f>IFERROR(INDEX('Master - US vs THEM'!$F$2:$F$2951,MATCH($A243&amp;"|"&amp;F$1,'Master - US vs THEM'!$G$2:$G$2951,0)),"")</f>
        <v>US</v>
      </c>
      <c r="G243" s="2" t="str">
        <f>IFERROR(INDEX('Master - US vs THEM'!$F$2:$F$2951,MATCH($A243&amp;"|"&amp;G$1,'Master - US vs THEM'!$G$2:$G$2951,0)),"")</f>
        <v>US</v>
      </c>
      <c r="H243" s="2" t="str">
        <f>IFERROR(INDEX('Master - US vs THEM'!$F$2:$F$2951,MATCH($A243&amp;"|"&amp;H$1,'Master - US vs THEM'!$G$2:$G$2951,0)),"")</f>
        <v>US</v>
      </c>
      <c r="I243" s="2" t="str">
        <f>IFERROR(INDEX('Master - US vs THEM'!$F$2:$F$2951,MATCH($A243&amp;"|"&amp;I$1,'Master - US vs THEM'!$G$2:$G$2951,0)),"")</f>
        <v>US</v>
      </c>
      <c r="J243" s="2" t="str">
        <f>IFERROR(INDEX('Master - US vs THEM'!$F$2:$F$2951,MATCH($A243&amp;"|"&amp;J$1,'Master - US vs THEM'!$G$2:$G$2951,0)),"")</f>
        <v>US</v>
      </c>
      <c r="K243" s="2" t="str">
        <f>IFERROR(INDEX('Master - US vs THEM'!$F$2:$F$2951,MATCH($A243&amp;"|"&amp;K$1,'Master - US vs THEM'!$G$2:$G$2951,0)),"")</f>
        <v>US</v>
      </c>
    </row>
    <row r="244" spans="1:11" x14ac:dyDescent="0.2">
      <c r="A244" s="2" t="str">
        <f>'[1]Brand Family Territory (Enc)'!A244</f>
        <v>Warwick Gin</v>
      </c>
      <c r="B244" s="2" t="str">
        <f>IFERROR(INDEX('Master - US vs THEM'!$F$2:$F$2951,MATCH($A244&amp;"|"&amp;B$1,'Master - US vs THEM'!$G$2:$G$2951,0)),"")</f>
        <v>US</v>
      </c>
      <c r="C244" s="2" t="str">
        <f>IFERROR(INDEX('Master - US vs THEM'!$F$2:$F$2951,MATCH($A244&amp;"|"&amp;C$1,'Master - US vs THEM'!$G$2:$G$2951,0)),"")</f>
        <v>US</v>
      </c>
      <c r="D244" s="2" t="str">
        <f>IFERROR(INDEX('Master - US vs THEM'!$F$2:$F$2951,MATCH($A244&amp;"|"&amp;D$1,'Master - US vs THEM'!$G$2:$G$2951,0)),"")</f>
        <v>US</v>
      </c>
      <c r="E244" s="2" t="str">
        <f>IFERROR(INDEX('Master - US vs THEM'!$F$2:$F$2951,MATCH($A244&amp;"|"&amp;E$1,'Master - US vs THEM'!$G$2:$G$2951,0)),"")</f>
        <v>US</v>
      </c>
      <c r="F244" s="2" t="str">
        <f>IFERROR(INDEX('Master - US vs THEM'!$F$2:$F$2951,MATCH($A244&amp;"|"&amp;F$1,'Master - US vs THEM'!$G$2:$G$2951,0)),"")</f>
        <v>US</v>
      </c>
      <c r="G244" s="2" t="str">
        <f>IFERROR(INDEX('Master - US vs THEM'!$F$2:$F$2951,MATCH($A244&amp;"|"&amp;G$1,'Master - US vs THEM'!$G$2:$G$2951,0)),"")</f>
        <v>US</v>
      </c>
      <c r="H244" s="2" t="str">
        <f>IFERROR(INDEX('Master - US vs THEM'!$F$2:$F$2951,MATCH($A244&amp;"|"&amp;H$1,'Master - US vs THEM'!$G$2:$G$2951,0)),"")</f>
        <v>US</v>
      </c>
      <c r="I244" s="2" t="str">
        <f>IFERROR(INDEX('Master - US vs THEM'!$F$2:$F$2951,MATCH($A244&amp;"|"&amp;I$1,'Master - US vs THEM'!$G$2:$G$2951,0)),"")</f>
        <v>US</v>
      </c>
      <c r="J244" s="2" t="str">
        <f>IFERROR(INDEX('Master - US vs THEM'!$F$2:$F$2951,MATCH($A244&amp;"|"&amp;J$1,'Master - US vs THEM'!$G$2:$G$2951,0)),"")</f>
        <v>US</v>
      </c>
      <c r="K244" s="2" t="str">
        <f>IFERROR(INDEX('Master - US vs THEM'!$F$2:$F$2951,MATCH($A244&amp;"|"&amp;K$1,'Master - US vs THEM'!$G$2:$G$2951,0)),"")</f>
        <v>US</v>
      </c>
    </row>
    <row r="245" spans="1:11" x14ac:dyDescent="0.2">
      <c r="A245" s="2" t="str">
        <f>'[1]Brand Family Territory (Enc)'!A245</f>
        <v>Waterloo Gin</v>
      </c>
      <c r="B245" s="2" t="str">
        <f>IFERROR(INDEX('Master - US vs THEM'!$F$2:$F$2951,MATCH($A245&amp;"|"&amp;B$1,'Master - US vs THEM'!$G$2:$G$2951,0)),"")</f>
        <v>US</v>
      </c>
      <c r="C245" s="2" t="str">
        <f>IFERROR(INDEX('Master - US vs THEM'!$F$2:$F$2951,MATCH($A245&amp;"|"&amp;C$1,'Master - US vs THEM'!$G$2:$G$2951,0)),"")</f>
        <v>US</v>
      </c>
      <c r="D245" s="2" t="str">
        <f>IFERROR(INDEX('Master - US vs THEM'!$F$2:$F$2951,MATCH($A245&amp;"|"&amp;D$1,'Master - US vs THEM'!$G$2:$G$2951,0)),"")</f>
        <v>US</v>
      </c>
      <c r="E245" s="2" t="str">
        <f>IFERROR(INDEX('Master - US vs THEM'!$F$2:$F$2951,MATCH($A245&amp;"|"&amp;E$1,'Master - US vs THEM'!$G$2:$G$2951,0)),"")</f>
        <v>US</v>
      </c>
      <c r="F245" s="2" t="str">
        <f>IFERROR(INDEX('Master - US vs THEM'!$F$2:$F$2951,MATCH($A245&amp;"|"&amp;F$1,'Master - US vs THEM'!$G$2:$G$2951,0)),"")</f>
        <v>US</v>
      </c>
      <c r="G245" s="2" t="str">
        <f>IFERROR(INDEX('Master - US vs THEM'!$F$2:$F$2951,MATCH($A245&amp;"|"&amp;G$1,'Master - US vs THEM'!$G$2:$G$2951,0)),"")</f>
        <v>US</v>
      </c>
      <c r="H245" s="2" t="str">
        <f>IFERROR(INDEX('Master - US vs THEM'!$F$2:$F$2951,MATCH($A245&amp;"|"&amp;H$1,'Master - US vs THEM'!$G$2:$G$2951,0)),"")</f>
        <v>US</v>
      </c>
      <c r="I245" s="2" t="str">
        <f>IFERROR(INDEX('Master - US vs THEM'!$F$2:$F$2951,MATCH($A245&amp;"|"&amp;I$1,'Master - US vs THEM'!$G$2:$G$2951,0)),"")</f>
        <v>US</v>
      </c>
      <c r="J245" s="2" t="str">
        <f>IFERROR(INDEX('Master - US vs THEM'!$F$2:$F$2951,MATCH($A245&amp;"|"&amp;J$1,'Master - US vs THEM'!$G$2:$G$2951,0)),"")</f>
        <v>US</v>
      </c>
      <c r="K245" s="2" t="str">
        <f>IFERROR(INDEX('Master - US vs THEM'!$F$2:$F$2951,MATCH($A245&amp;"|"&amp;K$1,'Master - US vs THEM'!$G$2:$G$2951,0)),"")</f>
        <v>US</v>
      </c>
    </row>
    <row r="246" spans="1:11" x14ac:dyDescent="0.2">
      <c r="A246" s="2" t="str">
        <f>'[1]Brand Family Territory (Enc)'!A246</f>
        <v>Woodchuck</v>
      </c>
      <c r="B246" s="2" t="str">
        <f>IFERROR(INDEX('Master - US vs THEM'!$F$2:$F$2951,MATCH($A246&amp;"|"&amp;B$1,'Master - US vs THEM'!$G$2:$G$2951,0)),"")</f>
        <v>US</v>
      </c>
      <c r="C246" s="2" t="str">
        <f>IFERROR(INDEX('Master - US vs THEM'!$F$2:$F$2951,MATCH($A246&amp;"|"&amp;C$1,'Master - US vs THEM'!$G$2:$G$2951,0)),"")</f>
        <v>US</v>
      </c>
      <c r="D246" s="2" t="str">
        <f>IFERROR(INDEX('Master - US vs THEM'!$F$2:$F$2951,MATCH($A246&amp;"|"&amp;D$1,'Master - US vs THEM'!$G$2:$G$2951,0)),"")</f>
        <v>US</v>
      </c>
      <c r="E246" s="2" t="str">
        <f>IFERROR(INDEX('Master - US vs THEM'!$F$2:$F$2951,MATCH($A246&amp;"|"&amp;E$1,'Master - US vs THEM'!$G$2:$G$2951,0)),"")</f>
        <v>US</v>
      </c>
      <c r="F246" s="2" t="str">
        <f>IFERROR(INDEX('Master - US vs THEM'!$F$2:$F$2951,MATCH($A246&amp;"|"&amp;F$1,'Master - US vs THEM'!$G$2:$G$2951,0)),"")</f>
        <v>US</v>
      </c>
      <c r="G246" s="2" t="str">
        <f>IFERROR(INDEX('Master - US vs THEM'!$F$2:$F$2951,MATCH($A246&amp;"|"&amp;G$1,'Master - US vs THEM'!$G$2:$G$2951,0)),"")</f>
        <v>US</v>
      </c>
      <c r="H246" s="2" t="str">
        <f>IFERROR(INDEX('Master - US vs THEM'!$F$2:$F$2951,MATCH($A246&amp;"|"&amp;H$1,'Master - US vs THEM'!$G$2:$G$2951,0)),"")</f>
        <v>US</v>
      </c>
      <c r="I246" s="2" t="str">
        <f>IFERROR(INDEX('Master - US vs THEM'!$F$2:$F$2951,MATCH($A246&amp;"|"&amp;I$1,'Master - US vs THEM'!$G$2:$G$2951,0)),"")</f>
        <v>US</v>
      </c>
      <c r="J246" s="2" t="str">
        <f>IFERROR(INDEX('Master - US vs THEM'!$F$2:$F$2951,MATCH($A246&amp;"|"&amp;J$1,'Master - US vs THEM'!$G$2:$G$2951,0)),"")</f>
        <v>US</v>
      </c>
      <c r="K246" s="2" t="str">
        <f>IFERROR(INDEX('Master - US vs THEM'!$F$2:$F$2951,MATCH($A246&amp;"|"&amp;K$1,'Master - US vs THEM'!$G$2:$G$2951,0)),"")</f>
        <v>US</v>
      </c>
    </row>
    <row r="247" spans="1:11" x14ac:dyDescent="0.2">
      <c r="A247" s="2" t="str">
        <f>'[1]Brand Family Territory (Enc)'!A247</f>
        <v>Cerveza Republica LA Tuya</v>
      </c>
      <c r="B247" s="2" t="str">
        <f>IFERROR(INDEX('Master - US vs THEM'!$F$2:$F$2951,MATCH($A247&amp;"|"&amp;B$1,'Master - US vs THEM'!$G$2:$G$2951,0)),"")</f>
        <v>US</v>
      </c>
      <c r="C247" s="2" t="str">
        <f>IFERROR(INDEX('Master - US vs THEM'!$F$2:$F$2951,MATCH($A247&amp;"|"&amp;C$1,'Master - US vs THEM'!$G$2:$G$2951,0)),"")</f>
        <v>US</v>
      </c>
      <c r="D247" s="2" t="str">
        <f>IFERROR(INDEX('Master - US vs THEM'!$F$2:$F$2951,MATCH($A247&amp;"|"&amp;D$1,'Master - US vs THEM'!$G$2:$G$2951,0)),"")</f>
        <v>US</v>
      </c>
      <c r="E247" s="2" t="str">
        <f>IFERROR(INDEX('Master - US vs THEM'!$F$2:$F$2951,MATCH($A247&amp;"|"&amp;E$1,'Master - US vs THEM'!$G$2:$G$2951,0)),"")</f>
        <v>US</v>
      </c>
      <c r="F247" s="2" t="str">
        <f>IFERROR(INDEX('Master - US vs THEM'!$F$2:$F$2951,MATCH($A247&amp;"|"&amp;F$1,'Master - US vs THEM'!$G$2:$G$2951,0)),"")</f>
        <v>US</v>
      </c>
      <c r="G247" s="2" t="str">
        <f>IFERROR(INDEX('Master - US vs THEM'!$F$2:$F$2951,MATCH($A247&amp;"|"&amp;G$1,'Master - US vs THEM'!$G$2:$G$2951,0)),"")</f>
        <v>US</v>
      </c>
      <c r="H247" s="2" t="str">
        <f>IFERROR(INDEX('Master - US vs THEM'!$F$2:$F$2951,MATCH($A247&amp;"|"&amp;H$1,'Master - US vs THEM'!$G$2:$G$2951,0)),"")</f>
        <v>US</v>
      </c>
      <c r="I247" s="2" t="str">
        <f>IFERROR(INDEX('Master - US vs THEM'!$F$2:$F$2951,MATCH($A247&amp;"|"&amp;I$1,'Master - US vs THEM'!$G$2:$G$2951,0)),"")</f>
        <v>US</v>
      </c>
      <c r="J247" s="2" t="str">
        <f>IFERROR(INDEX('Master - US vs THEM'!$F$2:$F$2951,MATCH($A247&amp;"|"&amp;J$1,'Master - US vs THEM'!$G$2:$G$2951,0)),"")</f>
        <v>US</v>
      </c>
      <c r="K247" s="2" t="str">
        <f>IFERROR(INDEX('Master - US vs THEM'!$F$2:$F$2951,MATCH($A247&amp;"|"&amp;K$1,'Master - US vs THEM'!$G$2:$G$2951,0)),"")</f>
        <v>US</v>
      </c>
    </row>
    <row r="248" spans="1:11" x14ac:dyDescent="0.2">
      <c r="A248" s="2" t="str">
        <f>'[1]Brand Family Territory (Enc)'!A248</f>
        <v>Cerveza Republica La Tuya 5.0 La Dura</v>
      </c>
      <c r="B248" s="2" t="str">
        <f>IFERROR(INDEX('Master - US vs THEM'!$F$2:$F$2951,MATCH($A248&amp;"|"&amp;B$1,'Master - US vs THEM'!$G$2:$G$2951,0)),"")</f>
        <v>US</v>
      </c>
      <c r="C248" s="2" t="str">
        <f>IFERROR(INDEX('Master - US vs THEM'!$F$2:$F$2951,MATCH($A248&amp;"|"&amp;C$1,'Master - US vs THEM'!$G$2:$G$2951,0)),"")</f>
        <v>US</v>
      </c>
      <c r="D248" s="2" t="str">
        <f>IFERROR(INDEX('Master - US vs THEM'!$F$2:$F$2951,MATCH($A248&amp;"|"&amp;D$1,'Master - US vs THEM'!$G$2:$G$2951,0)),"")</f>
        <v>US</v>
      </c>
      <c r="E248" s="2" t="str">
        <f>IFERROR(INDEX('Master - US vs THEM'!$F$2:$F$2951,MATCH($A248&amp;"|"&amp;E$1,'Master - US vs THEM'!$G$2:$G$2951,0)),"")</f>
        <v>US</v>
      </c>
      <c r="F248" s="2" t="str">
        <f>IFERROR(INDEX('Master - US vs THEM'!$F$2:$F$2951,MATCH($A248&amp;"|"&amp;F$1,'Master - US vs THEM'!$G$2:$G$2951,0)),"")</f>
        <v>US</v>
      </c>
      <c r="G248" s="2" t="str">
        <f>IFERROR(INDEX('Master - US vs THEM'!$F$2:$F$2951,MATCH($A248&amp;"|"&amp;G$1,'Master - US vs THEM'!$G$2:$G$2951,0)),"")</f>
        <v>US</v>
      </c>
      <c r="H248" s="2" t="str">
        <f>IFERROR(INDEX('Master - US vs THEM'!$F$2:$F$2951,MATCH($A248&amp;"|"&amp;H$1,'Master - US vs THEM'!$G$2:$G$2951,0)),"")</f>
        <v>US</v>
      </c>
      <c r="I248" s="2" t="str">
        <f>IFERROR(INDEX('Master - US vs THEM'!$F$2:$F$2951,MATCH($A248&amp;"|"&amp;I$1,'Master - US vs THEM'!$G$2:$G$2951,0)),"")</f>
        <v>US</v>
      </c>
      <c r="J248" s="2" t="str">
        <f>IFERROR(INDEX('Master - US vs THEM'!$F$2:$F$2951,MATCH($A248&amp;"|"&amp;J$1,'Master - US vs THEM'!$G$2:$G$2951,0)),"")</f>
        <v>US</v>
      </c>
      <c r="K248" s="2" t="str">
        <f>IFERROR(INDEX('Master - US vs THEM'!$F$2:$F$2951,MATCH($A248&amp;"|"&amp;K$1,'Master - US vs THEM'!$G$2:$G$2951,0)),"")</f>
        <v>US</v>
      </c>
    </row>
    <row r="249" spans="1:11" x14ac:dyDescent="0.2">
      <c r="A249" s="2" t="str">
        <f>'[1]Brand Family Territory (Enc)'!A249</f>
        <v>Czechvar</v>
      </c>
      <c r="B249" s="2" t="str">
        <f>IFERROR(INDEX('Master - US vs THEM'!$F$2:$F$2951,MATCH($A249&amp;"|"&amp;B$1,'Master - US vs THEM'!$G$2:$G$2951,0)),"")</f>
        <v>US</v>
      </c>
      <c r="C249" s="2" t="str">
        <f>IFERROR(INDEX('Master - US vs THEM'!$F$2:$F$2951,MATCH($A249&amp;"|"&amp;C$1,'Master - US vs THEM'!$G$2:$G$2951,0)),"")</f>
        <v>US</v>
      </c>
      <c r="D249" s="2" t="str">
        <f>IFERROR(INDEX('Master - US vs THEM'!$F$2:$F$2951,MATCH($A249&amp;"|"&amp;D$1,'Master - US vs THEM'!$G$2:$G$2951,0)),"")</f>
        <v>US</v>
      </c>
      <c r="E249" s="2" t="str">
        <f>IFERROR(INDEX('Master - US vs THEM'!$F$2:$F$2951,MATCH($A249&amp;"|"&amp;E$1,'Master - US vs THEM'!$G$2:$G$2951,0)),"")</f>
        <v>US</v>
      </c>
      <c r="F249" s="2" t="str">
        <f>IFERROR(INDEX('Master - US vs THEM'!$F$2:$F$2951,MATCH($A249&amp;"|"&amp;F$1,'Master - US vs THEM'!$G$2:$G$2951,0)),"")</f>
        <v>US</v>
      </c>
      <c r="G249" s="2" t="str">
        <f>IFERROR(INDEX('Master - US vs THEM'!$F$2:$F$2951,MATCH($A249&amp;"|"&amp;G$1,'Master - US vs THEM'!$G$2:$G$2951,0)),"")</f>
        <v>US</v>
      </c>
      <c r="H249" s="2" t="str">
        <f>IFERROR(INDEX('Master - US vs THEM'!$F$2:$F$2951,MATCH($A249&amp;"|"&amp;H$1,'Master - US vs THEM'!$G$2:$G$2951,0)),"")</f>
        <v>THEM</v>
      </c>
      <c r="I249" s="2" t="str">
        <f>IFERROR(INDEX('Master - US vs THEM'!$F$2:$F$2951,MATCH($A249&amp;"|"&amp;I$1,'Master - US vs THEM'!$G$2:$G$2951,0)),"")</f>
        <v>THEM</v>
      </c>
      <c r="J249" s="2" t="str">
        <f>IFERROR(INDEX('Master - US vs THEM'!$F$2:$F$2951,MATCH($A249&amp;"|"&amp;J$1,'Master - US vs THEM'!$G$2:$G$2951,0)),"")</f>
        <v>THEM</v>
      </c>
      <c r="K249" s="2" t="str">
        <f>IFERROR(INDEX('Master - US vs THEM'!$F$2:$F$2951,MATCH($A249&amp;"|"&amp;K$1,'Master - US vs THEM'!$G$2:$G$2951,0)),"")</f>
        <v>THEM</v>
      </c>
    </row>
    <row r="250" spans="1:11" x14ac:dyDescent="0.2">
      <c r="A250" s="2" t="str">
        <f>'[1]Brand Family Territory (Enc)'!A250</f>
        <v>Daura</v>
      </c>
      <c r="B250" s="2" t="str">
        <f>IFERROR(INDEX('Master - US vs THEM'!$F$2:$F$2951,MATCH($A250&amp;"|"&amp;B$1,'Master - US vs THEM'!$G$2:$G$2951,0)),"")</f>
        <v>US</v>
      </c>
      <c r="C250" s="2" t="str">
        <f>IFERROR(INDEX('Master - US vs THEM'!$F$2:$F$2951,MATCH($A250&amp;"|"&amp;C$1,'Master - US vs THEM'!$G$2:$G$2951,0)),"")</f>
        <v>US</v>
      </c>
      <c r="D250" s="2" t="str">
        <f>IFERROR(INDEX('Master - US vs THEM'!$F$2:$F$2951,MATCH($A250&amp;"|"&amp;D$1,'Master - US vs THEM'!$G$2:$G$2951,0)),"")</f>
        <v>US</v>
      </c>
      <c r="E250" s="2" t="str">
        <f>IFERROR(INDEX('Master - US vs THEM'!$F$2:$F$2951,MATCH($A250&amp;"|"&amp;E$1,'Master - US vs THEM'!$G$2:$G$2951,0)),"")</f>
        <v>THEM</v>
      </c>
      <c r="F250" s="2" t="str">
        <f>IFERROR(INDEX('Master - US vs THEM'!$F$2:$F$2951,MATCH($A250&amp;"|"&amp;F$1,'Master - US vs THEM'!$G$2:$G$2951,0)),"")</f>
        <v>THEM</v>
      </c>
      <c r="G250" s="2" t="str">
        <f>IFERROR(INDEX('Master - US vs THEM'!$F$2:$F$2951,MATCH($A250&amp;"|"&amp;G$1,'Master - US vs THEM'!$G$2:$G$2951,0)),"")</f>
        <v>THEM</v>
      </c>
      <c r="H250" s="2" t="str">
        <f>IFERROR(INDEX('Master - US vs THEM'!$F$2:$F$2951,MATCH($A250&amp;"|"&amp;H$1,'Master - US vs THEM'!$G$2:$G$2951,0)),"")</f>
        <v>THEM</v>
      </c>
      <c r="I250" s="2" t="str">
        <f>IFERROR(INDEX('Master - US vs THEM'!$F$2:$F$2951,MATCH($A250&amp;"|"&amp;I$1,'Master - US vs THEM'!$G$2:$G$2951,0)),"")</f>
        <v>THEM</v>
      </c>
      <c r="J250" s="2" t="str">
        <f>IFERROR(INDEX('Master - US vs THEM'!$F$2:$F$2951,MATCH($A250&amp;"|"&amp;J$1,'Master - US vs THEM'!$G$2:$G$2951,0)),"")</f>
        <v>THEM</v>
      </c>
      <c r="K250" s="2" t="str">
        <f>IFERROR(INDEX('Master - US vs THEM'!$F$2:$F$2951,MATCH($A250&amp;"|"&amp;K$1,'Master - US vs THEM'!$G$2:$G$2951,0)),"")</f>
        <v>THEM</v>
      </c>
    </row>
    <row r="251" spans="1:11" x14ac:dyDescent="0.2">
      <c r="A251" s="2" t="str">
        <f>'[1]Brand Family Territory (Enc)'!A251</f>
        <v>Estrella</v>
      </c>
      <c r="B251" s="2" t="str">
        <f>IFERROR(INDEX('Master - US vs THEM'!$F$2:$F$2951,MATCH($A251&amp;"|"&amp;B$1,'Master - US vs THEM'!$G$2:$G$2951,0)),"")</f>
        <v>US</v>
      </c>
      <c r="C251" s="2" t="str">
        <f>IFERROR(INDEX('Master - US vs THEM'!$F$2:$F$2951,MATCH($A251&amp;"|"&amp;C$1,'Master - US vs THEM'!$G$2:$G$2951,0)),"")</f>
        <v>US</v>
      </c>
      <c r="D251" s="2" t="str">
        <f>IFERROR(INDEX('Master - US vs THEM'!$F$2:$F$2951,MATCH($A251&amp;"|"&amp;D$1,'Master - US vs THEM'!$G$2:$G$2951,0)),"")</f>
        <v>US</v>
      </c>
      <c r="E251" s="2" t="str">
        <f>IFERROR(INDEX('Master - US vs THEM'!$F$2:$F$2951,MATCH($A251&amp;"|"&amp;E$1,'Master - US vs THEM'!$G$2:$G$2951,0)),"")</f>
        <v>US</v>
      </c>
      <c r="F251" s="2" t="str">
        <f>IFERROR(INDEX('Master - US vs THEM'!$F$2:$F$2951,MATCH($A251&amp;"|"&amp;F$1,'Master - US vs THEM'!$G$2:$G$2951,0)),"")</f>
        <v>US</v>
      </c>
      <c r="G251" s="2" t="str">
        <f>IFERROR(INDEX('Master - US vs THEM'!$F$2:$F$2951,MATCH($A251&amp;"|"&amp;G$1,'Master - US vs THEM'!$G$2:$G$2951,0)),"")</f>
        <v>US</v>
      </c>
      <c r="H251" s="2" t="str">
        <f>IFERROR(INDEX('Master - US vs THEM'!$F$2:$F$2951,MATCH($A251&amp;"|"&amp;H$1,'Master - US vs THEM'!$G$2:$G$2951,0)),"")</f>
        <v>THEM</v>
      </c>
      <c r="I251" s="2" t="str">
        <f>IFERROR(INDEX('Master - US vs THEM'!$F$2:$F$2951,MATCH($A251&amp;"|"&amp;I$1,'Master - US vs THEM'!$G$2:$G$2951,0)),"")</f>
        <v>THEM</v>
      </c>
      <c r="J251" s="2" t="str">
        <f>IFERROR(INDEX('Master - US vs THEM'!$F$2:$F$2951,MATCH($A251&amp;"|"&amp;J$1,'Master - US vs THEM'!$G$2:$G$2951,0)),"")</f>
        <v>THEM</v>
      </c>
      <c r="K251" s="2" t="str">
        <f>IFERROR(INDEX('Master - US vs THEM'!$F$2:$F$2951,MATCH($A251&amp;"|"&amp;K$1,'Master - US vs THEM'!$G$2:$G$2951,0)),"")</f>
        <v>THEM</v>
      </c>
    </row>
    <row r="252" spans="1:11" x14ac:dyDescent="0.2">
      <c r="A252" s="2" t="str">
        <f>'[1]Brand Family Territory (Enc)'!A252</f>
        <v>Famosa</v>
      </c>
      <c r="B252" s="2" t="str">
        <f>IFERROR(INDEX('Master - US vs THEM'!$F$2:$F$2951,MATCH($A252&amp;"|"&amp;B$1,'Master - US vs THEM'!$G$2:$G$2951,0)),"")</f>
        <v>US</v>
      </c>
      <c r="C252" s="2" t="str">
        <f>IFERROR(INDEX('Master - US vs THEM'!$F$2:$F$2951,MATCH($A252&amp;"|"&amp;C$1,'Master - US vs THEM'!$G$2:$G$2951,0)),"")</f>
        <v>US</v>
      </c>
      <c r="D252" s="2" t="str">
        <f>IFERROR(INDEX('Master - US vs THEM'!$F$2:$F$2951,MATCH($A252&amp;"|"&amp;D$1,'Master - US vs THEM'!$G$2:$G$2951,0)),"")</f>
        <v>US</v>
      </c>
      <c r="E252" s="2" t="str">
        <f>IFERROR(INDEX('Master - US vs THEM'!$F$2:$F$2951,MATCH($A252&amp;"|"&amp;E$1,'Master - US vs THEM'!$G$2:$G$2951,0)),"")</f>
        <v>US</v>
      </c>
      <c r="F252" s="2" t="str">
        <f>IFERROR(INDEX('Master - US vs THEM'!$F$2:$F$2951,MATCH($A252&amp;"|"&amp;F$1,'Master - US vs THEM'!$G$2:$G$2951,0)),"")</f>
        <v>US</v>
      </c>
      <c r="G252" s="2" t="str">
        <f>IFERROR(INDEX('Master - US vs THEM'!$F$2:$F$2951,MATCH($A252&amp;"|"&amp;G$1,'Master - US vs THEM'!$G$2:$G$2951,0)),"")</f>
        <v>US</v>
      </c>
      <c r="H252" s="2" t="str">
        <f>IFERROR(INDEX('Master - US vs THEM'!$F$2:$F$2951,MATCH($A252&amp;"|"&amp;H$1,'Master - US vs THEM'!$G$2:$G$2951,0)),"")</f>
        <v>THEM</v>
      </c>
      <c r="I252" s="2" t="str">
        <f>IFERROR(INDEX('Master - US vs THEM'!$F$2:$F$2951,MATCH($A252&amp;"|"&amp;I$1,'Master - US vs THEM'!$G$2:$G$2951,0)),"")</f>
        <v>THEM</v>
      </c>
      <c r="J252" s="2" t="str">
        <f>IFERROR(INDEX('Master - US vs THEM'!$F$2:$F$2951,MATCH($A252&amp;"|"&amp;J$1,'Master - US vs THEM'!$G$2:$G$2951,0)),"")</f>
        <v>THEM</v>
      </c>
      <c r="K252" s="2" t="str">
        <f>IFERROR(INDEX('Master - US vs THEM'!$F$2:$F$2951,MATCH($A252&amp;"|"&amp;K$1,'Master - US vs THEM'!$G$2:$G$2951,0)),"")</f>
        <v>THEM</v>
      </c>
    </row>
    <row r="253" spans="1:11" x14ac:dyDescent="0.2">
      <c r="A253" s="2" t="str">
        <f>'[1]Brand Family Territory (Enc)'!A253</f>
        <v>Genesee</v>
      </c>
      <c r="B253" s="2" t="str">
        <f>IFERROR(INDEX('Master - US vs THEM'!$F$2:$F$2951,MATCH($A253&amp;"|"&amp;B$1,'Master - US vs THEM'!$G$2:$G$2951,0)),"")</f>
        <v>US</v>
      </c>
      <c r="C253" s="2" t="str">
        <f>IFERROR(INDEX('Master - US vs THEM'!$F$2:$F$2951,MATCH($A253&amp;"|"&amp;C$1,'Master - US vs THEM'!$G$2:$G$2951,0)),"")</f>
        <v>US</v>
      </c>
      <c r="D253" s="2" t="str">
        <f>IFERROR(INDEX('Master - US vs THEM'!$F$2:$F$2951,MATCH($A253&amp;"|"&amp;D$1,'Master - US vs THEM'!$G$2:$G$2951,0)),"")</f>
        <v>US</v>
      </c>
      <c r="E253" s="2" t="str">
        <f>IFERROR(INDEX('Master - US vs THEM'!$F$2:$F$2951,MATCH($A253&amp;"|"&amp;E$1,'Master - US vs THEM'!$G$2:$G$2951,0)),"")</f>
        <v>US</v>
      </c>
      <c r="F253" s="2" t="str">
        <f>IFERROR(INDEX('Master - US vs THEM'!$F$2:$F$2951,MATCH($A253&amp;"|"&amp;F$1,'Master - US vs THEM'!$G$2:$G$2951,0)),"")</f>
        <v>US</v>
      </c>
      <c r="G253" s="2" t="str">
        <f>IFERROR(INDEX('Master - US vs THEM'!$F$2:$F$2951,MATCH($A253&amp;"|"&amp;G$1,'Master - US vs THEM'!$G$2:$G$2951,0)),"")</f>
        <v>US</v>
      </c>
      <c r="H253" s="2" t="str">
        <f>IFERROR(INDEX('Master - US vs THEM'!$F$2:$F$2951,MATCH($A253&amp;"|"&amp;H$1,'Master - US vs THEM'!$G$2:$G$2951,0)),"")</f>
        <v>THEM</v>
      </c>
      <c r="I253" s="2" t="str">
        <f>IFERROR(INDEX('Master - US vs THEM'!$F$2:$F$2951,MATCH($A253&amp;"|"&amp;I$1,'Master - US vs THEM'!$G$2:$G$2951,0)),"")</f>
        <v>THEM</v>
      </c>
      <c r="J253" s="2" t="str">
        <f>IFERROR(INDEX('Master - US vs THEM'!$F$2:$F$2951,MATCH($A253&amp;"|"&amp;J$1,'Master - US vs THEM'!$G$2:$G$2951,0)),"")</f>
        <v>THEM</v>
      </c>
      <c r="K253" s="2" t="str">
        <f>IFERROR(INDEX('Master - US vs THEM'!$F$2:$F$2951,MATCH($A253&amp;"|"&amp;K$1,'Master - US vs THEM'!$G$2:$G$2951,0)),"")</f>
        <v>THEM</v>
      </c>
    </row>
    <row r="254" spans="1:11" x14ac:dyDescent="0.2">
      <c r="A254" s="2" t="str">
        <f>'[1]Brand Family Territory (Enc)'!A254</f>
        <v>Imperial</v>
      </c>
      <c r="B254" s="2" t="str">
        <f>IFERROR(INDEX('Master - US vs THEM'!$F$2:$F$2951,MATCH($A254&amp;"|"&amp;B$1,'Master - US vs THEM'!$G$2:$G$2951,0)),"")</f>
        <v>US</v>
      </c>
      <c r="C254" s="2" t="str">
        <f>IFERROR(INDEX('Master - US vs THEM'!$F$2:$F$2951,MATCH($A254&amp;"|"&amp;C$1,'Master - US vs THEM'!$G$2:$G$2951,0)),"")</f>
        <v>US</v>
      </c>
      <c r="D254" s="2" t="str">
        <f>IFERROR(INDEX('Master - US vs THEM'!$F$2:$F$2951,MATCH($A254&amp;"|"&amp;D$1,'Master - US vs THEM'!$G$2:$G$2951,0)),"")</f>
        <v>US</v>
      </c>
      <c r="E254" s="2" t="str">
        <f>IFERROR(INDEX('Master - US vs THEM'!$F$2:$F$2951,MATCH($A254&amp;"|"&amp;E$1,'Master - US vs THEM'!$G$2:$G$2951,0)),"")</f>
        <v>US</v>
      </c>
      <c r="F254" s="2" t="str">
        <f>IFERROR(INDEX('Master - US vs THEM'!$F$2:$F$2951,MATCH($A254&amp;"|"&amp;F$1,'Master - US vs THEM'!$G$2:$G$2951,0)),"")</f>
        <v>US</v>
      </c>
      <c r="G254" s="2" t="str">
        <f>IFERROR(INDEX('Master - US vs THEM'!$F$2:$F$2951,MATCH($A254&amp;"|"&amp;G$1,'Master - US vs THEM'!$G$2:$G$2951,0)),"")</f>
        <v>US</v>
      </c>
      <c r="H254" s="2" t="str">
        <f>IFERROR(INDEX('Master - US vs THEM'!$F$2:$F$2951,MATCH($A254&amp;"|"&amp;H$1,'Master - US vs THEM'!$G$2:$G$2951,0)),"")</f>
        <v>THEM</v>
      </c>
      <c r="I254" s="2" t="str">
        <f>IFERROR(INDEX('Master - US vs THEM'!$F$2:$F$2951,MATCH($A254&amp;"|"&amp;I$1,'Master - US vs THEM'!$G$2:$G$2951,0)),"")</f>
        <v>THEM</v>
      </c>
      <c r="J254" s="2" t="str">
        <f>IFERROR(INDEX('Master - US vs THEM'!$F$2:$F$2951,MATCH($A254&amp;"|"&amp;J$1,'Master - US vs THEM'!$G$2:$G$2951,0)),"")</f>
        <v>THEM</v>
      </c>
      <c r="K254" s="2" t="str">
        <f>IFERROR(INDEX('Master - US vs THEM'!$F$2:$F$2951,MATCH($A254&amp;"|"&amp;K$1,'Master - US vs THEM'!$G$2:$G$2951,0)),"")</f>
        <v>THEM</v>
      </c>
    </row>
    <row r="255" spans="1:11" x14ac:dyDescent="0.2">
      <c r="A255" s="2" t="str">
        <f>'[1]Brand Family Territory (Enc)'!A255</f>
        <v>La Tropical</v>
      </c>
      <c r="B255" s="2" t="str">
        <f>IFERROR(INDEX('Master - US vs THEM'!$F$2:$F$2951,MATCH($A255&amp;"|"&amp;B$1,'Master - US vs THEM'!$G$2:$G$2951,0)),"")</f>
        <v>US</v>
      </c>
      <c r="C255" s="2" t="str">
        <f>IFERROR(INDEX('Master - US vs THEM'!$F$2:$F$2951,MATCH($A255&amp;"|"&amp;C$1,'Master - US vs THEM'!$G$2:$G$2951,0)),"")</f>
        <v>US</v>
      </c>
      <c r="D255" s="2" t="str">
        <f>IFERROR(INDEX('Master - US vs THEM'!$F$2:$F$2951,MATCH($A255&amp;"|"&amp;D$1,'Master - US vs THEM'!$G$2:$G$2951,0)),"")</f>
        <v>US</v>
      </c>
      <c r="E255" s="2" t="str">
        <f>IFERROR(INDEX('Master - US vs THEM'!$F$2:$F$2951,MATCH($A255&amp;"|"&amp;E$1,'Master - US vs THEM'!$G$2:$G$2951,0)),"")</f>
        <v>US</v>
      </c>
      <c r="F255" s="2" t="str">
        <f>IFERROR(INDEX('Master - US vs THEM'!$F$2:$F$2951,MATCH($A255&amp;"|"&amp;F$1,'Master - US vs THEM'!$G$2:$G$2951,0)),"")</f>
        <v>US</v>
      </c>
      <c r="G255" s="2" t="str">
        <f>IFERROR(INDEX('Master - US vs THEM'!$F$2:$F$2951,MATCH($A255&amp;"|"&amp;G$1,'Master - US vs THEM'!$G$2:$G$2951,0)),"")</f>
        <v>US</v>
      </c>
      <c r="H255" s="2" t="str">
        <f>IFERROR(INDEX('Master - US vs THEM'!$F$2:$F$2951,MATCH($A255&amp;"|"&amp;H$1,'Master - US vs THEM'!$G$2:$G$2951,0)),"")</f>
        <v>THEM</v>
      </c>
      <c r="I255" s="2" t="str">
        <f>IFERROR(INDEX('Master - US vs THEM'!$F$2:$F$2951,MATCH($A255&amp;"|"&amp;I$1,'Master - US vs THEM'!$G$2:$G$2951,0)),"")</f>
        <v>THEM</v>
      </c>
      <c r="J255" s="2" t="str">
        <f>IFERROR(INDEX('Master - US vs THEM'!$F$2:$F$2951,MATCH($A255&amp;"|"&amp;J$1,'Master - US vs THEM'!$G$2:$G$2951,0)),"")</f>
        <v>THEM</v>
      </c>
      <c r="K255" s="2" t="str">
        <f>IFERROR(INDEX('Master - US vs THEM'!$F$2:$F$2951,MATCH($A255&amp;"|"&amp;K$1,'Master - US vs THEM'!$G$2:$G$2951,0)),"")</f>
        <v>THEM</v>
      </c>
    </row>
    <row r="256" spans="1:11" x14ac:dyDescent="0.2">
      <c r="A256" s="2" t="str">
        <f>'[1]Brand Family Territory (Enc)'!A256</f>
        <v>Flying Fish</v>
      </c>
      <c r="B256" s="2" t="str">
        <f>IFERROR(INDEX('Master - US vs THEM'!$F$2:$F$2951,MATCH($A256&amp;"|"&amp;B$1,'Master - US vs THEM'!$G$2:$G$2951,0)),"")</f>
        <v>US</v>
      </c>
      <c r="C256" s="2" t="str">
        <f>IFERROR(INDEX('Master - US vs THEM'!$F$2:$F$2951,MATCH($A256&amp;"|"&amp;C$1,'Master - US vs THEM'!$G$2:$G$2951,0)),"")</f>
        <v>US</v>
      </c>
      <c r="D256" s="2" t="str">
        <f>IFERROR(INDEX('Master - US vs THEM'!$F$2:$F$2951,MATCH($A256&amp;"|"&amp;D$1,'Master - US vs THEM'!$G$2:$G$2951,0)),"")</f>
        <v>THEM</v>
      </c>
      <c r="E256" s="2" t="str">
        <f>IFERROR(INDEX('Master - US vs THEM'!$F$2:$F$2951,MATCH($A256&amp;"|"&amp;E$1,'Master - US vs THEM'!$G$2:$G$2951,0)),"")</f>
        <v>US</v>
      </c>
      <c r="F256" s="2" t="str">
        <f>IFERROR(INDEX('Master - US vs THEM'!$F$2:$F$2951,MATCH($A256&amp;"|"&amp;F$1,'Master - US vs THEM'!$G$2:$G$2951,0)),"")</f>
        <v>US</v>
      </c>
      <c r="G256" s="2" t="str">
        <f>IFERROR(INDEX('Master - US vs THEM'!$F$2:$F$2951,MATCH($A256&amp;"|"&amp;G$1,'Master - US vs THEM'!$G$2:$G$2951,0)),"")</f>
        <v>THEM</v>
      </c>
      <c r="H256" s="2" t="str">
        <f>IFERROR(INDEX('Master - US vs THEM'!$F$2:$F$2951,MATCH($A256&amp;"|"&amp;H$1,'Master - US vs THEM'!$G$2:$G$2951,0)),"")</f>
        <v>THEM</v>
      </c>
      <c r="I256" s="2" t="str">
        <f>IFERROR(INDEX('Master - US vs THEM'!$F$2:$F$2951,MATCH($A256&amp;"|"&amp;I$1,'Master - US vs THEM'!$G$2:$G$2951,0)),"")</f>
        <v>THEM</v>
      </c>
      <c r="J256" s="2" t="str">
        <f>IFERROR(INDEX('Master - US vs THEM'!$F$2:$F$2951,MATCH($A256&amp;"|"&amp;J$1,'Master - US vs THEM'!$G$2:$G$2951,0)),"")</f>
        <v>THEM</v>
      </c>
      <c r="K256" s="2" t="str">
        <f>IFERROR(INDEX('Master - US vs THEM'!$F$2:$F$2951,MATCH($A256&amp;"|"&amp;K$1,'Master - US vs THEM'!$G$2:$G$2951,0)),"")</f>
        <v>THEM</v>
      </c>
    </row>
    <row r="257" spans="1:11" x14ac:dyDescent="0.2">
      <c r="A257" s="2" t="str">
        <f>'[1]Brand Family Territory (Enc)'!A257</f>
        <v>Travelers Club</v>
      </c>
      <c r="B257" s="2" t="str">
        <f>IFERROR(INDEX('Master - US vs THEM'!$F$2:$F$2951,MATCH($A257&amp;"|"&amp;B$1,'Master - US vs THEM'!$G$2:$G$2951,0)),"")</f>
        <v>US</v>
      </c>
      <c r="C257" s="2" t="str">
        <f>IFERROR(INDEX('Master - US vs THEM'!$F$2:$F$2951,MATCH($A257&amp;"|"&amp;C$1,'Master - US vs THEM'!$G$2:$G$2951,0)),"")</f>
        <v>US</v>
      </c>
      <c r="D257" s="2" t="str">
        <f>IFERROR(INDEX('Master - US vs THEM'!$F$2:$F$2951,MATCH($A257&amp;"|"&amp;D$1,'Master - US vs THEM'!$G$2:$G$2951,0)),"")</f>
        <v>US</v>
      </c>
      <c r="E257" s="2" t="str">
        <f>IFERROR(INDEX('Master - US vs THEM'!$F$2:$F$2951,MATCH($A257&amp;"|"&amp;E$1,'Master - US vs THEM'!$G$2:$G$2951,0)),"")</f>
        <v>US</v>
      </c>
      <c r="F257" s="2" t="str">
        <f>IFERROR(INDEX('Master - US vs THEM'!$F$2:$F$2951,MATCH($A257&amp;"|"&amp;F$1,'Master - US vs THEM'!$G$2:$G$2951,0)),"")</f>
        <v>US</v>
      </c>
      <c r="G257" s="2" t="str">
        <f>IFERROR(INDEX('Master - US vs THEM'!$F$2:$F$2951,MATCH($A257&amp;"|"&amp;G$1,'Master - US vs THEM'!$G$2:$G$2951,0)),"")</f>
        <v>THEM</v>
      </c>
      <c r="H257" s="2" t="str">
        <f>IFERROR(INDEX('Master - US vs THEM'!$F$2:$F$2951,MATCH($A257&amp;"|"&amp;H$1,'Master - US vs THEM'!$G$2:$G$2951,0)),"")</f>
        <v>THEM</v>
      </c>
      <c r="I257" s="2" t="str">
        <f>IFERROR(INDEX('Master - US vs THEM'!$F$2:$F$2951,MATCH($A257&amp;"|"&amp;I$1,'Master - US vs THEM'!$G$2:$G$2951,0)),"")</f>
        <v>THEM</v>
      </c>
      <c r="J257" s="2" t="str">
        <f>IFERROR(INDEX('Master - US vs THEM'!$F$2:$F$2951,MATCH($A257&amp;"|"&amp;J$1,'Master - US vs THEM'!$G$2:$G$2951,0)),"")</f>
        <v>THEM</v>
      </c>
      <c r="K257" s="2" t="str">
        <f>IFERROR(INDEX('Master - US vs THEM'!$F$2:$F$2951,MATCH($A257&amp;"|"&amp;K$1,'Master - US vs THEM'!$G$2:$G$2951,0)),"")</f>
        <v>THEM</v>
      </c>
    </row>
    <row r="258" spans="1:11" x14ac:dyDescent="0.2">
      <c r="A258" s="2" t="str">
        <f>'[1]Brand Family Territory (Enc)'!A258</f>
        <v>Earthquake</v>
      </c>
      <c r="B258" s="2" t="str">
        <f>IFERROR(INDEX('Master - US vs THEM'!$F$2:$F$2951,MATCH($A258&amp;"|"&amp;B$1,'Master - US vs THEM'!$G$2:$G$2951,0)),"")</f>
        <v>US</v>
      </c>
      <c r="C258" s="2" t="str">
        <f>IFERROR(INDEX('Master - US vs THEM'!$F$2:$F$2951,MATCH($A258&amp;"|"&amp;C$1,'Master - US vs THEM'!$G$2:$G$2951,0)),"")</f>
        <v>US</v>
      </c>
      <c r="D258" s="2" t="str">
        <f>IFERROR(INDEX('Master - US vs THEM'!$F$2:$F$2951,MATCH($A258&amp;"|"&amp;D$1,'Master - US vs THEM'!$G$2:$G$2951,0)),"")</f>
        <v>US</v>
      </c>
      <c r="E258" s="2" t="str">
        <f>IFERROR(INDEX('Master - US vs THEM'!$F$2:$F$2951,MATCH($A258&amp;"|"&amp;E$1,'Master - US vs THEM'!$G$2:$G$2951,0)),"")</f>
        <v>THEM</v>
      </c>
      <c r="F258" s="2" t="str">
        <f>IFERROR(INDEX('Master - US vs THEM'!$F$2:$F$2951,MATCH($A258&amp;"|"&amp;F$1,'Master - US vs THEM'!$G$2:$G$2951,0)),"")</f>
        <v>US</v>
      </c>
      <c r="G258" s="2" t="str">
        <f>IFERROR(INDEX('Master - US vs THEM'!$F$2:$F$2951,MATCH($A258&amp;"|"&amp;G$1,'Master - US vs THEM'!$G$2:$G$2951,0)),"")</f>
        <v>THEM</v>
      </c>
      <c r="H258" s="2" t="str">
        <f>IFERROR(INDEX('Master - US vs THEM'!$F$2:$F$2951,MATCH($A258&amp;"|"&amp;H$1,'Master - US vs THEM'!$G$2:$G$2951,0)),"")</f>
        <v>US</v>
      </c>
      <c r="I258" s="2" t="str">
        <f>IFERROR(INDEX('Master - US vs THEM'!$F$2:$F$2951,MATCH($A258&amp;"|"&amp;I$1,'Master - US vs THEM'!$G$2:$G$2951,0)),"")</f>
        <v>US</v>
      </c>
      <c r="J258" s="2" t="str">
        <f>IFERROR(INDEX('Master - US vs THEM'!$F$2:$F$2951,MATCH($A258&amp;"|"&amp;J$1,'Master - US vs THEM'!$G$2:$G$2951,0)),"")</f>
        <v>THEM</v>
      </c>
      <c r="K258" s="2" t="str">
        <f>IFERROR(INDEX('Master - US vs THEM'!$F$2:$F$2951,MATCH($A258&amp;"|"&amp;K$1,'Master - US vs THEM'!$G$2:$G$2951,0)),"")</f>
        <v>US</v>
      </c>
    </row>
    <row r="259" spans="1:11" x14ac:dyDescent="0.2">
      <c r="A259" s="2" t="str">
        <f>'[1]Brand Family Territory (Enc)'!A259</f>
        <v>Four Loko</v>
      </c>
      <c r="B259" s="2" t="str">
        <f>IFERROR(INDEX('Master - US vs THEM'!$F$2:$F$2951,MATCH($A259&amp;"|"&amp;B$1,'Master - US vs THEM'!$G$2:$G$2951,0)),"")</f>
        <v>US</v>
      </c>
      <c r="C259" s="2" t="str">
        <f>IFERROR(INDEX('Master - US vs THEM'!$F$2:$F$2951,MATCH($A259&amp;"|"&amp;C$1,'Master - US vs THEM'!$G$2:$G$2951,0)),"")</f>
        <v>US</v>
      </c>
      <c r="D259" s="2" t="str">
        <f>IFERROR(INDEX('Master - US vs THEM'!$F$2:$F$2951,MATCH($A259&amp;"|"&amp;D$1,'Master - US vs THEM'!$G$2:$G$2951,0)),"")</f>
        <v>US</v>
      </c>
      <c r="E259" s="2" t="str">
        <f>IFERROR(INDEX('Master - US vs THEM'!$F$2:$F$2951,MATCH($A259&amp;"|"&amp;E$1,'Master - US vs THEM'!$G$2:$G$2951,0)),"")</f>
        <v>THEM</v>
      </c>
      <c r="F259" s="2" t="str">
        <f>IFERROR(INDEX('Master - US vs THEM'!$F$2:$F$2951,MATCH($A259&amp;"|"&amp;F$1,'Master - US vs THEM'!$G$2:$G$2951,0)),"")</f>
        <v>US</v>
      </c>
      <c r="G259" s="2" t="str">
        <f>IFERROR(INDEX('Master - US vs THEM'!$F$2:$F$2951,MATCH($A259&amp;"|"&amp;G$1,'Master - US vs THEM'!$G$2:$G$2951,0)),"")</f>
        <v>THEM</v>
      </c>
      <c r="H259" s="2" t="str">
        <f>IFERROR(INDEX('Master - US vs THEM'!$F$2:$F$2951,MATCH($A259&amp;"|"&amp;H$1,'Master - US vs THEM'!$G$2:$G$2951,0)),"")</f>
        <v>US</v>
      </c>
      <c r="I259" s="2" t="str">
        <f>IFERROR(INDEX('Master - US vs THEM'!$F$2:$F$2951,MATCH($A259&amp;"|"&amp;I$1,'Master - US vs THEM'!$G$2:$G$2951,0)),"")</f>
        <v>US</v>
      </c>
      <c r="J259" s="2" t="str">
        <f>IFERROR(INDEX('Master - US vs THEM'!$F$2:$F$2951,MATCH($A259&amp;"|"&amp;J$1,'Master - US vs THEM'!$G$2:$G$2951,0)),"")</f>
        <v>THEM</v>
      </c>
      <c r="K259" s="2" t="str">
        <f>IFERROR(INDEX('Master - US vs THEM'!$F$2:$F$2951,MATCH($A259&amp;"|"&amp;K$1,'Master - US vs THEM'!$G$2:$G$2951,0)),"")</f>
        <v>US</v>
      </c>
    </row>
    <row r="260" spans="1:11" x14ac:dyDescent="0.2">
      <c r="A260" s="2" t="str">
        <f>'[1]Brand Family Territory (Enc)'!A260</f>
        <v>Mamita's</v>
      </c>
      <c r="B260" s="2" t="str">
        <f>IFERROR(INDEX('Master - US vs THEM'!$F$2:$F$2951,MATCH($A260&amp;"|"&amp;B$1,'Master - US vs THEM'!$G$2:$G$2951,0)),"")</f>
        <v>US</v>
      </c>
      <c r="C260" s="2" t="str">
        <f>IFERROR(INDEX('Master - US vs THEM'!$F$2:$F$2951,MATCH($A260&amp;"|"&amp;C$1,'Master - US vs THEM'!$G$2:$G$2951,0)),"")</f>
        <v>US</v>
      </c>
      <c r="D260" s="2" t="str">
        <f>IFERROR(INDEX('Master - US vs THEM'!$F$2:$F$2951,MATCH($A260&amp;"|"&amp;D$1,'Master - US vs THEM'!$G$2:$G$2951,0)),"")</f>
        <v>US</v>
      </c>
      <c r="E260" s="2" t="str">
        <f>IFERROR(INDEX('Master - US vs THEM'!$F$2:$F$2951,MATCH($A260&amp;"|"&amp;E$1,'Master - US vs THEM'!$G$2:$G$2951,0)),"")</f>
        <v>THEM</v>
      </c>
      <c r="F260" s="2" t="str">
        <f>IFERROR(INDEX('Master - US vs THEM'!$F$2:$F$2951,MATCH($A260&amp;"|"&amp;F$1,'Master - US vs THEM'!$G$2:$G$2951,0)),"")</f>
        <v>US</v>
      </c>
      <c r="G260" s="2" t="str">
        <f>IFERROR(INDEX('Master - US vs THEM'!$F$2:$F$2951,MATCH($A260&amp;"|"&amp;G$1,'Master - US vs THEM'!$G$2:$G$2951,0)),"")</f>
        <v>THEM</v>
      </c>
      <c r="H260" s="2" t="str">
        <f>IFERROR(INDEX('Master - US vs THEM'!$F$2:$F$2951,MATCH($A260&amp;"|"&amp;H$1,'Master - US vs THEM'!$G$2:$G$2951,0)),"")</f>
        <v>US</v>
      </c>
      <c r="I260" s="2" t="str">
        <f>IFERROR(INDEX('Master - US vs THEM'!$F$2:$F$2951,MATCH($A260&amp;"|"&amp;I$1,'Master - US vs THEM'!$G$2:$G$2951,0)),"")</f>
        <v>US</v>
      </c>
      <c r="J260" s="2" t="str">
        <f>IFERROR(INDEX('Master - US vs THEM'!$F$2:$F$2951,MATCH($A260&amp;"|"&amp;J$1,'Master - US vs THEM'!$G$2:$G$2951,0)),"")</f>
        <v>THEM</v>
      </c>
      <c r="K260" s="2" t="str">
        <f>IFERROR(INDEX('Master - US vs THEM'!$F$2:$F$2951,MATCH($A260&amp;"|"&amp;K$1,'Master - US vs THEM'!$G$2:$G$2951,0)),"")</f>
        <v>US</v>
      </c>
    </row>
    <row r="261" spans="1:11" x14ac:dyDescent="0.2">
      <c r="A261" s="2" t="str">
        <f>'[1]Brand Family Territory (Enc)'!A261</f>
        <v>Banks</v>
      </c>
      <c r="B261" s="2" t="str">
        <f>IFERROR(INDEX('Master - US vs THEM'!$F$2:$F$2951,MATCH($A261&amp;"|"&amp;B$1,'Master - US vs THEM'!$G$2:$G$2951,0)),"")</f>
        <v>US</v>
      </c>
      <c r="C261" s="2" t="str">
        <f>IFERROR(INDEX('Master - US vs THEM'!$F$2:$F$2951,MATCH($A261&amp;"|"&amp;C$1,'Master - US vs THEM'!$G$2:$G$2951,0)),"")</f>
        <v>US</v>
      </c>
      <c r="D261" s="2" t="str">
        <f>IFERROR(INDEX('Master - US vs THEM'!$F$2:$F$2951,MATCH($A261&amp;"|"&amp;D$1,'Master - US vs THEM'!$G$2:$G$2951,0)),"")</f>
        <v>US</v>
      </c>
      <c r="E261" s="2" t="str">
        <f>IFERROR(INDEX('Master - US vs THEM'!$F$2:$F$2951,MATCH($A261&amp;"|"&amp;E$1,'Master - US vs THEM'!$G$2:$G$2951,0)),"")</f>
        <v>US</v>
      </c>
      <c r="F261" s="2" t="str">
        <f>IFERROR(INDEX('Master - US vs THEM'!$F$2:$F$2951,MATCH($A261&amp;"|"&amp;F$1,'Master - US vs THEM'!$G$2:$G$2951,0)),"")</f>
        <v>US</v>
      </c>
      <c r="G261" s="2" t="str">
        <f>IFERROR(INDEX('Master - US vs THEM'!$F$2:$F$2951,MATCH($A261&amp;"|"&amp;G$1,'Master - US vs THEM'!$G$2:$G$2951,0)),"")</f>
        <v>THEM</v>
      </c>
      <c r="H261" s="2" t="str">
        <f>IFERROR(INDEX('Master - US vs THEM'!$F$2:$F$2951,MATCH($A261&amp;"|"&amp;H$1,'Master - US vs THEM'!$G$2:$G$2951,0)),"")</f>
        <v>THEM</v>
      </c>
      <c r="I261" s="2" t="str">
        <f>IFERROR(INDEX('Master - US vs THEM'!$F$2:$F$2951,MATCH($A261&amp;"|"&amp;I$1,'Master - US vs THEM'!$G$2:$G$2951,0)),"")</f>
        <v>THEM</v>
      </c>
      <c r="J261" s="2" t="str">
        <f>IFERROR(INDEX('Master - US vs THEM'!$F$2:$F$2951,MATCH($A261&amp;"|"&amp;J$1,'Master - US vs THEM'!$G$2:$G$2951,0)),"")</f>
        <v>THEM</v>
      </c>
      <c r="K261" s="2" t="str">
        <f>IFERROR(INDEX('Master - US vs THEM'!$F$2:$F$2951,MATCH($A261&amp;"|"&amp;K$1,'Master - US vs THEM'!$G$2:$G$2951,0)),"")</f>
        <v>THEM</v>
      </c>
    </row>
    <row r="262" spans="1:11" x14ac:dyDescent="0.2">
      <c r="A262" s="2" t="str">
        <f>'[1]Brand Family Territory (Enc)'!A262</f>
        <v>Bold Rock</v>
      </c>
      <c r="B262" s="2" t="str">
        <f>IFERROR(INDEX('Master - US vs THEM'!$F$2:$F$2951,MATCH($A262&amp;"|"&amp;B$1,'Master - US vs THEM'!$G$2:$G$2951,0)),"")</f>
        <v>US</v>
      </c>
      <c r="C262" s="2" t="str">
        <f>IFERROR(INDEX('Master - US vs THEM'!$F$2:$F$2951,MATCH($A262&amp;"|"&amp;C$1,'Master - US vs THEM'!$G$2:$G$2951,0)),"")</f>
        <v>US</v>
      </c>
      <c r="D262" s="2" t="str">
        <f>IFERROR(INDEX('Master - US vs THEM'!$F$2:$F$2951,MATCH($A262&amp;"|"&amp;D$1,'Master - US vs THEM'!$G$2:$G$2951,0)),"")</f>
        <v>US</v>
      </c>
      <c r="E262" s="2" t="str">
        <f>IFERROR(INDEX('Master - US vs THEM'!$F$2:$F$2951,MATCH($A262&amp;"|"&amp;E$1,'Master - US vs THEM'!$G$2:$G$2951,0)),"")</f>
        <v>US</v>
      </c>
      <c r="F262" s="2" t="str">
        <f>IFERROR(INDEX('Master - US vs THEM'!$F$2:$F$2951,MATCH($A262&amp;"|"&amp;F$1,'Master - US vs THEM'!$G$2:$G$2951,0)),"")</f>
        <v>US</v>
      </c>
      <c r="G262" s="2" t="str">
        <f>IFERROR(INDEX('Master - US vs THEM'!$F$2:$F$2951,MATCH($A262&amp;"|"&amp;G$1,'Master - US vs THEM'!$G$2:$G$2951,0)),"")</f>
        <v>THEM</v>
      </c>
      <c r="H262" s="2" t="str">
        <f>IFERROR(INDEX('Master - US vs THEM'!$F$2:$F$2951,MATCH($A262&amp;"|"&amp;H$1,'Master - US vs THEM'!$G$2:$G$2951,0)),"")</f>
        <v>THEM</v>
      </c>
      <c r="I262" s="2" t="str">
        <f>IFERROR(INDEX('Master - US vs THEM'!$F$2:$F$2951,MATCH($A262&amp;"|"&amp;I$1,'Master - US vs THEM'!$G$2:$G$2951,0)),"")</f>
        <v>THEM</v>
      </c>
      <c r="J262" s="2" t="str">
        <f>IFERROR(INDEX('Master - US vs THEM'!$F$2:$F$2951,MATCH($A262&amp;"|"&amp;J$1,'Master - US vs THEM'!$G$2:$G$2951,0)),"")</f>
        <v>THEM</v>
      </c>
      <c r="K262" s="2" t="str">
        <f>IFERROR(INDEX('Master - US vs THEM'!$F$2:$F$2951,MATCH($A262&amp;"|"&amp;K$1,'Master - US vs THEM'!$G$2:$G$2951,0)),"")</f>
        <v>THEM</v>
      </c>
    </row>
    <row r="263" spans="1:11" x14ac:dyDescent="0.2">
      <c r="A263" s="2" t="str">
        <f>'[1]Brand Family Territory (Enc)'!A263</f>
        <v>Citizen Cider</v>
      </c>
      <c r="B263" s="2" t="str">
        <f>IFERROR(INDEX('Master - US vs THEM'!$F$2:$F$2951,MATCH($A263&amp;"|"&amp;B$1,'Master - US vs THEM'!$G$2:$G$2951,0)),"")</f>
        <v>US</v>
      </c>
      <c r="C263" s="2" t="str">
        <f>IFERROR(INDEX('Master - US vs THEM'!$F$2:$F$2951,MATCH($A263&amp;"|"&amp;C$1,'Master - US vs THEM'!$G$2:$G$2951,0)),"")</f>
        <v>US</v>
      </c>
      <c r="D263" s="2" t="str">
        <f>IFERROR(INDEX('Master - US vs THEM'!$F$2:$F$2951,MATCH($A263&amp;"|"&amp;D$1,'Master - US vs THEM'!$G$2:$G$2951,0)),"")</f>
        <v>US</v>
      </c>
      <c r="E263" s="2" t="str">
        <f>IFERROR(INDEX('Master - US vs THEM'!$F$2:$F$2951,MATCH($A263&amp;"|"&amp;E$1,'Master - US vs THEM'!$G$2:$G$2951,0)),"")</f>
        <v>US</v>
      </c>
      <c r="F263" s="2" t="str">
        <f>IFERROR(INDEX('Master - US vs THEM'!$F$2:$F$2951,MATCH($A263&amp;"|"&amp;F$1,'Master - US vs THEM'!$G$2:$G$2951,0)),"")</f>
        <v>US</v>
      </c>
      <c r="G263" s="2" t="str">
        <f>IFERROR(INDEX('Master - US vs THEM'!$F$2:$F$2951,MATCH($A263&amp;"|"&amp;G$1,'Master - US vs THEM'!$G$2:$G$2951,0)),"")</f>
        <v>THEM</v>
      </c>
      <c r="H263" s="2" t="str">
        <f>IFERROR(INDEX('Master - US vs THEM'!$F$2:$F$2951,MATCH($A263&amp;"|"&amp;H$1,'Master - US vs THEM'!$G$2:$G$2951,0)),"")</f>
        <v>THEM</v>
      </c>
      <c r="I263" s="2" t="str">
        <f>IFERROR(INDEX('Master - US vs THEM'!$F$2:$F$2951,MATCH($A263&amp;"|"&amp;I$1,'Master - US vs THEM'!$G$2:$G$2951,0)),"")</f>
        <v>THEM</v>
      </c>
      <c r="J263" s="2" t="str">
        <f>IFERROR(INDEX('Master - US vs THEM'!$F$2:$F$2951,MATCH($A263&amp;"|"&amp;J$1,'Master - US vs THEM'!$G$2:$G$2951,0)),"")</f>
        <v>THEM</v>
      </c>
      <c r="K263" s="2" t="str">
        <f>IFERROR(INDEX('Master - US vs THEM'!$F$2:$F$2951,MATCH($A263&amp;"|"&amp;K$1,'Master - US vs THEM'!$G$2:$G$2951,0)),"")</f>
        <v>THEM</v>
      </c>
    </row>
    <row r="264" spans="1:11" x14ac:dyDescent="0.2">
      <c r="A264" s="2" t="str">
        <f>'[1]Brand Family Territory (Enc)'!A264</f>
        <v>Fuller's</v>
      </c>
      <c r="B264" s="2" t="str">
        <f>IFERROR(INDEX('Master - US vs THEM'!$F$2:$F$2951,MATCH($A264&amp;"|"&amp;B$1,'Master - US vs THEM'!$G$2:$G$2951,0)),"")</f>
        <v>US</v>
      </c>
      <c r="C264" s="2" t="str">
        <f>IFERROR(INDEX('Master - US vs THEM'!$F$2:$F$2951,MATCH($A264&amp;"|"&amp;C$1,'Master - US vs THEM'!$G$2:$G$2951,0)),"")</f>
        <v>US</v>
      </c>
      <c r="D264" s="2" t="str">
        <f>IFERROR(INDEX('Master - US vs THEM'!$F$2:$F$2951,MATCH($A264&amp;"|"&amp;D$1,'Master - US vs THEM'!$G$2:$G$2951,0)),"")</f>
        <v>US</v>
      </c>
      <c r="E264" s="2" t="str">
        <f>IFERROR(INDEX('Master - US vs THEM'!$F$2:$F$2951,MATCH($A264&amp;"|"&amp;E$1,'Master - US vs THEM'!$G$2:$G$2951,0)),"")</f>
        <v>US</v>
      </c>
      <c r="F264" s="2" t="str">
        <f>IFERROR(INDEX('Master - US vs THEM'!$F$2:$F$2951,MATCH($A264&amp;"|"&amp;F$1,'Master - US vs THEM'!$G$2:$G$2951,0)),"")</f>
        <v>US</v>
      </c>
      <c r="G264" s="2" t="str">
        <f>IFERROR(INDEX('Master - US vs THEM'!$F$2:$F$2951,MATCH($A264&amp;"|"&amp;G$1,'Master - US vs THEM'!$G$2:$G$2951,0)),"")</f>
        <v>THEM</v>
      </c>
      <c r="H264" s="2" t="str">
        <f>IFERROR(INDEX('Master - US vs THEM'!$F$2:$F$2951,MATCH($A264&amp;"|"&amp;H$1,'Master - US vs THEM'!$G$2:$G$2951,0)),"")</f>
        <v>THEM</v>
      </c>
      <c r="I264" s="2" t="str">
        <f>IFERROR(INDEX('Master - US vs THEM'!$F$2:$F$2951,MATCH($A264&amp;"|"&amp;I$1,'Master - US vs THEM'!$G$2:$G$2951,0)),"")</f>
        <v>THEM</v>
      </c>
      <c r="J264" s="2" t="str">
        <f>IFERROR(INDEX('Master - US vs THEM'!$F$2:$F$2951,MATCH($A264&amp;"|"&amp;J$1,'Master - US vs THEM'!$G$2:$G$2951,0)),"")</f>
        <v>THEM</v>
      </c>
      <c r="K264" s="2" t="str">
        <f>IFERROR(INDEX('Master - US vs THEM'!$F$2:$F$2951,MATCH($A264&amp;"|"&amp;K$1,'Master - US vs THEM'!$G$2:$G$2951,0)),"")</f>
        <v>THEM</v>
      </c>
    </row>
    <row r="265" spans="1:11" x14ac:dyDescent="0.2">
      <c r="A265" s="2" t="str">
        <f>'[1]Brand Family Territory (Enc)'!A265</f>
        <v>Hacker-Pschorr</v>
      </c>
      <c r="B265" s="2" t="str">
        <f>IFERROR(INDEX('Master - US vs THEM'!$F$2:$F$2951,MATCH($A265&amp;"|"&amp;B$1,'Master - US vs THEM'!$G$2:$G$2951,0)),"")</f>
        <v>US</v>
      </c>
      <c r="C265" s="2" t="str">
        <f>IFERROR(INDEX('Master - US vs THEM'!$F$2:$F$2951,MATCH($A265&amp;"|"&amp;C$1,'Master - US vs THEM'!$G$2:$G$2951,0)),"")</f>
        <v>US</v>
      </c>
      <c r="D265" s="2" t="str">
        <f>IFERROR(INDEX('Master - US vs THEM'!$F$2:$F$2951,MATCH($A265&amp;"|"&amp;D$1,'Master - US vs THEM'!$G$2:$G$2951,0)),"")</f>
        <v>US</v>
      </c>
      <c r="E265" s="2" t="str">
        <f>IFERROR(INDEX('Master - US vs THEM'!$F$2:$F$2951,MATCH($A265&amp;"|"&amp;E$1,'Master - US vs THEM'!$G$2:$G$2951,0)),"")</f>
        <v>US</v>
      </c>
      <c r="F265" s="2" t="str">
        <f>IFERROR(INDEX('Master - US vs THEM'!$F$2:$F$2951,MATCH($A265&amp;"|"&amp;F$1,'Master - US vs THEM'!$G$2:$G$2951,0)),"")</f>
        <v>US</v>
      </c>
      <c r="G265" s="2" t="str">
        <f>IFERROR(INDEX('Master - US vs THEM'!$F$2:$F$2951,MATCH($A265&amp;"|"&amp;G$1,'Master - US vs THEM'!$G$2:$G$2951,0)),"")</f>
        <v>THEM</v>
      </c>
      <c r="H265" s="2" t="str">
        <f>IFERROR(INDEX('Master - US vs THEM'!$F$2:$F$2951,MATCH($A265&amp;"|"&amp;H$1,'Master - US vs THEM'!$G$2:$G$2951,0)),"")</f>
        <v>THEM</v>
      </c>
      <c r="I265" s="2" t="str">
        <f>IFERROR(INDEX('Master - US vs THEM'!$F$2:$F$2951,MATCH($A265&amp;"|"&amp;I$1,'Master - US vs THEM'!$G$2:$G$2951,0)),"")</f>
        <v>THEM</v>
      </c>
      <c r="J265" s="2" t="str">
        <f>IFERROR(INDEX('Master - US vs THEM'!$F$2:$F$2951,MATCH($A265&amp;"|"&amp;J$1,'Master - US vs THEM'!$G$2:$G$2951,0)),"")</f>
        <v>THEM</v>
      </c>
      <c r="K265" s="2" t="str">
        <f>IFERROR(INDEX('Master - US vs THEM'!$F$2:$F$2951,MATCH($A265&amp;"|"&amp;K$1,'Master - US vs THEM'!$G$2:$G$2951,0)),"")</f>
        <v>THEM</v>
      </c>
    </row>
    <row r="266" spans="1:11" x14ac:dyDescent="0.2">
      <c r="A266" s="2" t="str">
        <f>'[1]Brand Family Territory (Enc)'!A266</f>
        <v>Ithaca</v>
      </c>
      <c r="B266" s="2" t="str">
        <f>IFERROR(INDEX('Master - US vs THEM'!$F$2:$F$2951,MATCH($A266&amp;"|"&amp;B$1,'Master - US vs THEM'!$G$2:$G$2951,0)),"")</f>
        <v>US</v>
      </c>
      <c r="C266" s="2" t="str">
        <f>IFERROR(INDEX('Master - US vs THEM'!$F$2:$F$2951,MATCH($A266&amp;"|"&amp;C$1,'Master - US vs THEM'!$G$2:$G$2951,0)),"")</f>
        <v>US</v>
      </c>
      <c r="D266" s="2" t="str">
        <f>IFERROR(INDEX('Master - US vs THEM'!$F$2:$F$2951,MATCH($A266&amp;"|"&amp;D$1,'Master - US vs THEM'!$G$2:$G$2951,0)),"")</f>
        <v>US</v>
      </c>
      <c r="E266" s="2" t="str">
        <f>IFERROR(INDEX('Master - US vs THEM'!$F$2:$F$2951,MATCH($A266&amp;"|"&amp;E$1,'Master - US vs THEM'!$G$2:$G$2951,0)),"")</f>
        <v>US</v>
      </c>
      <c r="F266" s="2" t="str">
        <f>IFERROR(INDEX('Master - US vs THEM'!$F$2:$F$2951,MATCH($A266&amp;"|"&amp;F$1,'Master - US vs THEM'!$G$2:$G$2951,0)),"")</f>
        <v>US</v>
      </c>
      <c r="G266" s="2" t="str">
        <f>IFERROR(INDEX('Master - US vs THEM'!$F$2:$F$2951,MATCH($A266&amp;"|"&amp;G$1,'Master - US vs THEM'!$G$2:$G$2951,0)),"")</f>
        <v>THEM</v>
      </c>
      <c r="H266" s="2" t="str">
        <f>IFERROR(INDEX('Master - US vs THEM'!$F$2:$F$2951,MATCH($A266&amp;"|"&amp;H$1,'Master - US vs THEM'!$G$2:$G$2951,0)),"")</f>
        <v>THEM</v>
      </c>
      <c r="I266" s="2" t="str">
        <f>IFERROR(INDEX('Master - US vs THEM'!$F$2:$F$2951,MATCH($A266&amp;"|"&amp;I$1,'Master - US vs THEM'!$G$2:$G$2951,0)),"")</f>
        <v>THEM</v>
      </c>
      <c r="J266" s="2" t="str">
        <f>IFERROR(INDEX('Master - US vs THEM'!$F$2:$F$2951,MATCH($A266&amp;"|"&amp;J$1,'Master - US vs THEM'!$G$2:$G$2951,0)),"")</f>
        <v>THEM</v>
      </c>
      <c r="K266" s="2" t="str">
        <f>IFERROR(INDEX('Master - US vs THEM'!$F$2:$F$2951,MATCH($A266&amp;"|"&amp;K$1,'Master - US vs THEM'!$G$2:$G$2951,0)),"")</f>
        <v>THEM</v>
      </c>
    </row>
    <row r="267" spans="1:11" x14ac:dyDescent="0.2">
      <c r="A267" s="2" t="str">
        <f>'[1]Brand Family Territory (Enc)'!A267</f>
        <v>Mckenzie's</v>
      </c>
      <c r="B267" s="2" t="str">
        <f>IFERROR(INDEX('Master - US vs THEM'!$F$2:$F$2951,MATCH($A267&amp;"|"&amp;B$1,'Master - US vs THEM'!$G$2:$G$2951,0)),"")</f>
        <v>US</v>
      </c>
      <c r="C267" s="2" t="str">
        <f>IFERROR(INDEX('Master - US vs THEM'!$F$2:$F$2951,MATCH($A267&amp;"|"&amp;C$1,'Master - US vs THEM'!$G$2:$G$2951,0)),"")</f>
        <v>US</v>
      </c>
      <c r="D267" s="2" t="str">
        <f>IFERROR(INDEX('Master - US vs THEM'!$F$2:$F$2951,MATCH($A267&amp;"|"&amp;D$1,'Master - US vs THEM'!$G$2:$G$2951,0)),"")</f>
        <v>US</v>
      </c>
      <c r="E267" s="2" t="str">
        <f>IFERROR(INDEX('Master - US vs THEM'!$F$2:$F$2951,MATCH($A267&amp;"|"&amp;E$1,'Master - US vs THEM'!$G$2:$G$2951,0)),"")</f>
        <v>US</v>
      </c>
      <c r="F267" s="2" t="str">
        <f>IFERROR(INDEX('Master - US vs THEM'!$F$2:$F$2951,MATCH($A267&amp;"|"&amp;F$1,'Master - US vs THEM'!$G$2:$G$2951,0)),"")</f>
        <v>US</v>
      </c>
      <c r="G267" s="2" t="str">
        <f>IFERROR(INDEX('Master - US vs THEM'!$F$2:$F$2951,MATCH($A267&amp;"|"&amp;G$1,'Master - US vs THEM'!$G$2:$G$2951,0)),"")</f>
        <v>THEM</v>
      </c>
      <c r="H267" s="2" t="str">
        <f>IFERROR(INDEX('Master - US vs THEM'!$F$2:$F$2951,MATCH($A267&amp;"|"&amp;H$1,'Master - US vs THEM'!$G$2:$G$2951,0)),"")</f>
        <v>THEM</v>
      </c>
      <c r="I267" s="2" t="str">
        <f>IFERROR(INDEX('Master - US vs THEM'!$F$2:$F$2951,MATCH($A267&amp;"|"&amp;I$1,'Master - US vs THEM'!$G$2:$G$2951,0)),"")</f>
        <v>THEM</v>
      </c>
      <c r="J267" s="2" t="str">
        <f>IFERROR(INDEX('Master - US vs THEM'!$F$2:$F$2951,MATCH($A267&amp;"|"&amp;J$1,'Master - US vs THEM'!$G$2:$G$2951,0)),"")</f>
        <v>THEM</v>
      </c>
      <c r="K267" s="2" t="str">
        <f>IFERROR(INDEX('Master - US vs THEM'!$F$2:$F$2951,MATCH($A267&amp;"|"&amp;K$1,'Master - US vs THEM'!$G$2:$G$2951,0)),"")</f>
        <v>THEM</v>
      </c>
    </row>
    <row r="268" spans="1:11" x14ac:dyDescent="0.2">
      <c r="A268" s="2" t="str">
        <f>'[1]Brand Family Territory (Enc)'!A268</f>
        <v>Paulaner</v>
      </c>
      <c r="B268" s="2" t="str">
        <f>IFERROR(INDEX('Master - US vs THEM'!$F$2:$F$2951,MATCH($A268&amp;"|"&amp;B$1,'Master - US vs THEM'!$G$2:$G$2951,0)),"")</f>
        <v>US</v>
      </c>
      <c r="C268" s="2" t="str">
        <f>IFERROR(INDEX('Master - US vs THEM'!$F$2:$F$2951,MATCH($A268&amp;"|"&amp;C$1,'Master - US vs THEM'!$G$2:$G$2951,0)),"")</f>
        <v>US</v>
      </c>
      <c r="D268" s="2" t="str">
        <f>IFERROR(INDEX('Master - US vs THEM'!$F$2:$F$2951,MATCH($A268&amp;"|"&amp;D$1,'Master - US vs THEM'!$G$2:$G$2951,0)),"")</f>
        <v>US</v>
      </c>
      <c r="E268" s="2" t="str">
        <f>IFERROR(INDEX('Master - US vs THEM'!$F$2:$F$2951,MATCH($A268&amp;"|"&amp;E$1,'Master - US vs THEM'!$G$2:$G$2951,0)),"")</f>
        <v>US</v>
      </c>
      <c r="F268" s="2" t="str">
        <f>IFERROR(INDEX('Master - US vs THEM'!$F$2:$F$2951,MATCH($A268&amp;"|"&amp;F$1,'Master - US vs THEM'!$G$2:$G$2951,0)),"")</f>
        <v>US</v>
      </c>
      <c r="G268" s="2" t="str">
        <f>IFERROR(INDEX('Master - US vs THEM'!$F$2:$F$2951,MATCH($A268&amp;"|"&amp;G$1,'Master - US vs THEM'!$G$2:$G$2951,0)),"")</f>
        <v>THEM</v>
      </c>
      <c r="H268" s="2" t="str">
        <f>IFERROR(INDEX('Master - US vs THEM'!$F$2:$F$2951,MATCH($A268&amp;"|"&amp;H$1,'Master - US vs THEM'!$G$2:$G$2951,0)),"")</f>
        <v>THEM</v>
      </c>
      <c r="I268" s="2" t="str">
        <f>IFERROR(INDEX('Master - US vs THEM'!$F$2:$F$2951,MATCH($A268&amp;"|"&amp;I$1,'Master - US vs THEM'!$G$2:$G$2951,0)),"")</f>
        <v>THEM</v>
      </c>
      <c r="J268" s="2" t="str">
        <f>IFERROR(INDEX('Master - US vs THEM'!$F$2:$F$2951,MATCH($A268&amp;"|"&amp;J$1,'Master - US vs THEM'!$G$2:$G$2951,0)),"")</f>
        <v>THEM</v>
      </c>
      <c r="K268" s="2" t="str">
        <f>IFERROR(INDEX('Master - US vs THEM'!$F$2:$F$2951,MATCH($A268&amp;"|"&amp;K$1,'Master - US vs THEM'!$G$2:$G$2951,0)),"")</f>
        <v>THEM</v>
      </c>
    </row>
    <row r="269" spans="1:11" x14ac:dyDescent="0.2">
      <c r="A269" s="2" t="str">
        <f>'[1]Brand Family Territory (Enc)'!A269</f>
        <v>Rekorderlig</v>
      </c>
      <c r="B269" s="2" t="str">
        <f>IFERROR(INDEX('Master - US vs THEM'!$F$2:$F$2951,MATCH($A269&amp;"|"&amp;B$1,'Master - US vs THEM'!$G$2:$G$2951,0)),"")</f>
        <v>US</v>
      </c>
      <c r="C269" s="2" t="str">
        <f>IFERROR(INDEX('Master - US vs THEM'!$F$2:$F$2951,MATCH($A269&amp;"|"&amp;C$1,'Master - US vs THEM'!$G$2:$G$2951,0)),"")</f>
        <v>US</v>
      </c>
      <c r="D269" s="2" t="str">
        <f>IFERROR(INDEX('Master - US vs THEM'!$F$2:$F$2951,MATCH($A269&amp;"|"&amp;D$1,'Master - US vs THEM'!$G$2:$G$2951,0)),"")</f>
        <v>US</v>
      </c>
      <c r="E269" s="2" t="str">
        <f>IFERROR(INDEX('Master - US vs THEM'!$F$2:$F$2951,MATCH($A269&amp;"|"&amp;E$1,'Master - US vs THEM'!$G$2:$G$2951,0)),"")</f>
        <v>US</v>
      </c>
      <c r="F269" s="2" t="str">
        <f>IFERROR(INDEX('Master - US vs THEM'!$F$2:$F$2951,MATCH($A269&amp;"|"&amp;F$1,'Master - US vs THEM'!$G$2:$G$2951,0)),"")</f>
        <v>US</v>
      </c>
      <c r="G269" s="2" t="str">
        <f>IFERROR(INDEX('Master - US vs THEM'!$F$2:$F$2951,MATCH($A269&amp;"|"&amp;G$1,'Master - US vs THEM'!$G$2:$G$2951,0)),"")</f>
        <v>THEM</v>
      </c>
      <c r="H269" s="2" t="str">
        <f>IFERROR(INDEX('Master - US vs THEM'!$F$2:$F$2951,MATCH($A269&amp;"|"&amp;H$1,'Master - US vs THEM'!$G$2:$G$2951,0)),"")</f>
        <v>THEM</v>
      </c>
      <c r="I269" s="2" t="str">
        <f>IFERROR(INDEX('Master - US vs THEM'!$F$2:$F$2951,MATCH($A269&amp;"|"&amp;I$1,'Master - US vs THEM'!$G$2:$G$2951,0)),"")</f>
        <v>THEM</v>
      </c>
      <c r="J269" s="2" t="str">
        <f>IFERROR(INDEX('Master - US vs THEM'!$F$2:$F$2951,MATCH($A269&amp;"|"&amp;J$1,'Master - US vs THEM'!$G$2:$G$2951,0)),"")</f>
        <v>THEM</v>
      </c>
      <c r="K269" s="2" t="str">
        <f>IFERROR(INDEX('Master - US vs THEM'!$F$2:$F$2951,MATCH($A269&amp;"|"&amp;K$1,'Master - US vs THEM'!$G$2:$G$2951,0)),"")</f>
        <v>THEM</v>
      </c>
    </row>
    <row r="270" spans="1:11" x14ac:dyDescent="0.2">
      <c r="A270" s="2" t="str">
        <f>'[1]Brand Family Territory (Enc)'!A270</f>
        <v>Shipyard</v>
      </c>
      <c r="B270" s="2" t="str">
        <f>IFERROR(INDEX('Master - US vs THEM'!$F$2:$F$2951,MATCH($A270&amp;"|"&amp;B$1,'Master - US vs THEM'!$G$2:$G$2951,0)),"")</f>
        <v>US</v>
      </c>
      <c r="C270" s="2" t="str">
        <f>IFERROR(INDEX('Master - US vs THEM'!$F$2:$F$2951,MATCH($A270&amp;"|"&amp;C$1,'Master - US vs THEM'!$G$2:$G$2951,0)),"")</f>
        <v>US</v>
      </c>
      <c r="D270" s="2" t="str">
        <f>IFERROR(INDEX('Master - US vs THEM'!$F$2:$F$2951,MATCH($A270&amp;"|"&amp;D$1,'Master - US vs THEM'!$G$2:$G$2951,0)),"")</f>
        <v>US</v>
      </c>
      <c r="E270" s="2" t="str">
        <f>IFERROR(INDEX('Master - US vs THEM'!$F$2:$F$2951,MATCH($A270&amp;"|"&amp;E$1,'Master - US vs THEM'!$G$2:$G$2951,0)),"")</f>
        <v>US</v>
      </c>
      <c r="F270" s="2" t="str">
        <f>IFERROR(INDEX('Master - US vs THEM'!$F$2:$F$2951,MATCH($A270&amp;"|"&amp;F$1,'Master - US vs THEM'!$G$2:$G$2951,0)),"")</f>
        <v>US</v>
      </c>
      <c r="G270" s="2" t="str">
        <f>IFERROR(INDEX('Master - US vs THEM'!$F$2:$F$2951,MATCH($A270&amp;"|"&amp;G$1,'Master - US vs THEM'!$G$2:$G$2951,0)),"")</f>
        <v>THEM</v>
      </c>
      <c r="H270" s="2" t="str">
        <f>IFERROR(INDEX('Master - US vs THEM'!$F$2:$F$2951,MATCH($A270&amp;"|"&amp;H$1,'Master - US vs THEM'!$G$2:$G$2951,0)),"")</f>
        <v>THEM</v>
      </c>
      <c r="I270" s="2" t="str">
        <f>IFERROR(INDEX('Master - US vs THEM'!$F$2:$F$2951,MATCH($A270&amp;"|"&amp;I$1,'Master - US vs THEM'!$G$2:$G$2951,0)),"")</f>
        <v>THEM</v>
      </c>
      <c r="J270" s="2" t="str">
        <f>IFERROR(INDEX('Master - US vs THEM'!$F$2:$F$2951,MATCH($A270&amp;"|"&amp;J$1,'Master - US vs THEM'!$G$2:$G$2951,0)),"")</f>
        <v>THEM</v>
      </c>
      <c r="K270" s="2" t="str">
        <f>IFERROR(INDEX('Master - US vs THEM'!$F$2:$F$2951,MATCH($A270&amp;"|"&amp;K$1,'Master - US vs THEM'!$G$2:$G$2951,0)),"")</f>
        <v>THEM</v>
      </c>
    </row>
    <row r="271" spans="1:11" x14ac:dyDescent="0.2">
      <c r="A271" s="2" t="str">
        <f>'[1]Brand Family Territory (Enc)'!A271</f>
        <v>Sixpoint</v>
      </c>
      <c r="B271" s="2" t="str">
        <f>IFERROR(INDEX('Master - US vs THEM'!$F$2:$F$2951,MATCH($A271&amp;"|"&amp;B$1,'Master - US vs THEM'!$G$2:$G$2951,0)),"")</f>
        <v>US</v>
      </c>
      <c r="C271" s="2" t="str">
        <f>IFERROR(INDEX('Master - US vs THEM'!$F$2:$F$2951,MATCH($A271&amp;"|"&amp;C$1,'Master - US vs THEM'!$G$2:$G$2951,0)),"")</f>
        <v>US</v>
      </c>
      <c r="D271" s="2" t="str">
        <f>IFERROR(INDEX('Master - US vs THEM'!$F$2:$F$2951,MATCH($A271&amp;"|"&amp;D$1,'Master - US vs THEM'!$G$2:$G$2951,0)),"")</f>
        <v>US</v>
      </c>
      <c r="E271" s="2" t="str">
        <f>IFERROR(INDEX('Master - US vs THEM'!$F$2:$F$2951,MATCH($A271&amp;"|"&amp;E$1,'Master - US vs THEM'!$G$2:$G$2951,0)),"")</f>
        <v>US</v>
      </c>
      <c r="F271" s="2" t="str">
        <f>IFERROR(INDEX('Master - US vs THEM'!$F$2:$F$2951,MATCH($A271&amp;"|"&amp;F$1,'Master - US vs THEM'!$G$2:$G$2951,0)),"")</f>
        <v>US</v>
      </c>
      <c r="G271" s="2" t="str">
        <f>IFERROR(INDEX('Master - US vs THEM'!$F$2:$F$2951,MATCH($A271&amp;"|"&amp;G$1,'Master - US vs THEM'!$G$2:$G$2951,0)),"")</f>
        <v>THEM</v>
      </c>
      <c r="H271" s="2" t="str">
        <f>IFERROR(INDEX('Master - US vs THEM'!$F$2:$F$2951,MATCH($A271&amp;"|"&amp;H$1,'Master - US vs THEM'!$G$2:$G$2951,0)),"")</f>
        <v>THEM</v>
      </c>
      <c r="I271" s="2" t="str">
        <f>IFERROR(INDEX('Master - US vs THEM'!$F$2:$F$2951,MATCH($A271&amp;"|"&amp;I$1,'Master - US vs THEM'!$G$2:$G$2951,0)),"")</f>
        <v>THEM</v>
      </c>
      <c r="J271" s="2" t="str">
        <f>IFERROR(INDEX('Master - US vs THEM'!$F$2:$F$2951,MATCH($A271&amp;"|"&amp;J$1,'Master - US vs THEM'!$G$2:$G$2951,0)),"")</f>
        <v>THEM</v>
      </c>
      <c r="K271" s="2" t="str">
        <f>IFERROR(INDEX('Master - US vs THEM'!$F$2:$F$2951,MATCH($A271&amp;"|"&amp;K$1,'Master - US vs THEM'!$G$2:$G$2951,0)),"")</f>
        <v>THEM</v>
      </c>
    </row>
    <row r="272" spans="1:11" x14ac:dyDescent="0.2">
      <c r="A272" s="2" t="str">
        <f>'[1]Brand Family Territory (Enc)'!A272</f>
        <v>Southern Tier</v>
      </c>
      <c r="B272" s="2" t="str">
        <f>IFERROR(INDEX('Master - US vs THEM'!$F$2:$F$2951,MATCH($A272&amp;"|"&amp;B$1,'Master - US vs THEM'!$G$2:$G$2951,0)),"")</f>
        <v>US</v>
      </c>
      <c r="C272" s="2" t="str">
        <f>IFERROR(INDEX('Master - US vs THEM'!$F$2:$F$2951,MATCH($A272&amp;"|"&amp;C$1,'Master - US vs THEM'!$G$2:$G$2951,0)),"")</f>
        <v>US</v>
      </c>
      <c r="D272" s="2" t="str">
        <f>IFERROR(INDEX('Master - US vs THEM'!$F$2:$F$2951,MATCH($A272&amp;"|"&amp;D$1,'Master - US vs THEM'!$G$2:$G$2951,0)),"")</f>
        <v>US</v>
      </c>
      <c r="E272" s="2" t="str">
        <f>IFERROR(INDEX('Master - US vs THEM'!$F$2:$F$2951,MATCH($A272&amp;"|"&amp;E$1,'Master - US vs THEM'!$G$2:$G$2951,0)),"")</f>
        <v>US</v>
      </c>
      <c r="F272" s="2" t="str">
        <f>IFERROR(INDEX('Master - US vs THEM'!$F$2:$F$2951,MATCH($A272&amp;"|"&amp;F$1,'Master - US vs THEM'!$G$2:$G$2951,0)),"")</f>
        <v>US</v>
      </c>
      <c r="G272" s="2" t="str">
        <f>IFERROR(INDEX('Master - US vs THEM'!$F$2:$F$2951,MATCH($A272&amp;"|"&amp;G$1,'Master - US vs THEM'!$G$2:$G$2951,0)),"")</f>
        <v>THEM</v>
      </c>
      <c r="H272" s="2" t="str">
        <f>IFERROR(INDEX('Master - US vs THEM'!$F$2:$F$2951,MATCH($A272&amp;"|"&amp;H$1,'Master - US vs THEM'!$G$2:$G$2951,0)),"")</f>
        <v>THEM</v>
      </c>
      <c r="I272" s="2" t="str">
        <f>IFERROR(INDEX('Master - US vs THEM'!$F$2:$F$2951,MATCH($A272&amp;"|"&amp;I$1,'Master - US vs THEM'!$G$2:$G$2951,0)),"")</f>
        <v>THEM</v>
      </c>
      <c r="J272" s="2" t="str">
        <f>IFERROR(INDEX('Master - US vs THEM'!$F$2:$F$2951,MATCH($A272&amp;"|"&amp;J$1,'Master - US vs THEM'!$G$2:$G$2951,0)),"")</f>
        <v>THEM</v>
      </c>
      <c r="K272" s="2" t="str">
        <f>IFERROR(INDEX('Master - US vs THEM'!$F$2:$F$2951,MATCH($A272&amp;"|"&amp;K$1,'Master - US vs THEM'!$G$2:$G$2951,0)),"")</f>
        <v>THEM</v>
      </c>
    </row>
    <row r="273" spans="1:11" x14ac:dyDescent="0.2">
      <c r="A273" s="2" t="str">
        <f>'[1]Brand Family Territory (Enc)'!A273</f>
        <v>Southern Tier Distilling</v>
      </c>
      <c r="B273" s="2" t="str">
        <f>IFERROR(INDEX('Master - US vs THEM'!$F$2:$F$2951,MATCH($A273&amp;"|"&amp;B$1,'Master - US vs THEM'!$G$2:$G$2951,0)),"")</f>
        <v>US</v>
      </c>
      <c r="C273" s="2" t="str">
        <f>IFERROR(INDEX('Master - US vs THEM'!$F$2:$F$2951,MATCH($A273&amp;"|"&amp;C$1,'Master - US vs THEM'!$G$2:$G$2951,0)),"")</f>
        <v>US</v>
      </c>
      <c r="D273" s="2" t="str">
        <f>IFERROR(INDEX('Master - US vs THEM'!$F$2:$F$2951,MATCH($A273&amp;"|"&amp;D$1,'Master - US vs THEM'!$G$2:$G$2951,0)),"")</f>
        <v>US</v>
      </c>
      <c r="E273" s="2" t="str">
        <f>IFERROR(INDEX('Master - US vs THEM'!$F$2:$F$2951,MATCH($A273&amp;"|"&amp;E$1,'Master - US vs THEM'!$G$2:$G$2951,0)),"")</f>
        <v>US</v>
      </c>
      <c r="F273" s="2" t="str">
        <f>IFERROR(INDEX('Master - US vs THEM'!$F$2:$F$2951,MATCH($A273&amp;"|"&amp;F$1,'Master - US vs THEM'!$G$2:$G$2951,0)),"")</f>
        <v>US</v>
      </c>
      <c r="G273" s="2" t="str">
        <f>IFERROR(INDEX('Master - US vs THEM'!$F$2:$F$2951,MATCH($A273&amp;"|"&amp;G$1,'Master - US vs THEM'!$G$2:$G$2951,0)),"")</f>
        <v>THEM</v>
      </c>
      <c r="H273" s="2" t="str">
        <f>IFERROR(INDEX('Master - US vs THEM'!$F$2:$F$2951,MATCH($A273&amp;"|"&amp;H$1,'Master - US vs THEM'!$G$2:$G$2951,0)),"")</f>
        <v>THEM</v>
      </c>
      <c r="I273" s="2" t="str">
        <f>IFERROR(INDEX('Master - US vs THEM'!$F$2:$F$2951,MATCH($A273&amp;"|"&amp;I$1,'Master - US vs THEM'!$G$2:$G$2951,0)),"")</f>
        <v>THEM</v>
      </c>
      <c r="J273" s="2" t="str">
        <f>IFERROR(INDEX('Master - US vs THEM'!$F$2:$F$2951,MATCH($A273&amp;"|"&amp;J$1,'Master - US vs THEM'!$G$2:$G$2951,0)),"")</f>
        <v>THEM</v>
      </c>
      <c r="K273" s="2" t="str">
        <f>IFERROR(INDEX('Master - US vs THEM'!$F$2:$F$2951,MATCH($A273&amp;"|"&amp;K$1,'Master - US vs THEM'!$G$2:$G$2951,0)),"")</f>
        <v>THEM</v>
      </c>
    </row>
    <row r="274" spans="1:11" x14ac:dyDescent="0.2">
      <c r="A274" s="2" t="str">
        <f>'[1]Brand Family Territory (Enc)'!A274</f>
        <v>Stone Brewing</v>
      </c>
      <c r="B274" s="2" t="str">
        <f>IFERROR(INDEX('Master - US vs THEM'!$F$2:$F$2951,MATCH($A274&amp;"|"&amp;B$1,'Master - US vs THEM'!$G$2:$G$2951,0)),"")</f>
        <v>US</v>
      </c>
      <c r="C274" s="2" t="str">
        <f>IFERROR(INDEX('Master - US vs THEM'!$F$2:$F$2951,MATCH($A274&amp;"|"&amp;C$1,'Master - US vs THEM'!$G$2:$G$2951,0)),"")</f>
        <v>US</v>
      </c>
      <c r="D274" s="2" t="str">
        <f>IFERROR(INDEX('Master - US vs THEM'!$F$2:$F$2951,MATCH($A274&amp;"|"&amp;D$1,'Master - US vs THEM'!$G$2:$G$2951,0)),"")</f>
        <v>US</v>
      </c>
      <c r="E274" s="2" t="str">
        <f>IFERROR(INDEX('Master - US vs THEM'!$F$2:$F$2951,MATCH($A274&amp;"|"&amp;E$1,'Master - US vs THEM'!$G$2:$G$2951,0)),"")</f>
        <v>US</v>
      </c>
      <c r="F274" s="2" t="str">
        <f>IFERROR(INDEX('Master - US vs THEM'!$F$2:$F$2951,MATCH($A274&amp;"|"&amp;F$1,'Master - US vs THEM'!$G$2:$G$2951,0)),"")</f>
        <v>US</v>
      </c>
      <c r="G274" s="2" t="str">
        <f>IFERROR(INDEX('Master - US vs THEM'!$F$2:$F$2951,MATCH($A274&amp;"|"&amp;G$1,'Master - US vs THEM'!$G$2:$G$2951,0)),"")</f>
        <v>THEM</v>
      </c>
      <c r="H274" s="2" t="str">
        <f>IFERROR(INDEX('Master - US vs THEM'!$F$2:$F$2951,MATCH($A274&amp;"|"&amp;H$1,'Master - US vs THEM'!$G$2:$G$2951,0)),"")</f>
        <v>THEM</v>
      </c>
      <c r="I274" s="2" t="str">
        <f>IFERROR(INDEX('Master - US vs THEM'!$F$2:$F$2951,MATCH($A274&amp;"|"&amp;I$1,'Master - US vs THEM'!$G$2:$G$2951,0)),"")</f>
        <v>THEM</v>
      </c>
      <c r="J274" s="2" t="str">
        <f>IFERROR(INDEX('Master - US vs THEM'!$F$2:$F$2951,MATCH($A274&amp;"|"&amp;J$1,'Master - US vs THEM'!$G$2:$G$2951,0)),"")</f>
        <v>THEM</v>
      </c>
      <c r="K274" s="2" t="str">
        <f>IFERROR(INDEX('Master - US vs THEM'!$F$2:$F$2951,MATCH($A274&amp;"|"&amp;K$1,'Master - US vs THEM'!$G$2:$G$2951,0)),"")</f>
        <v>THEM</v>
      </c>
    </row>
    <row r="275" spans="1:11" x14ac:dyDescent="0.2">
      <c r="A275" s="2" t="str">
        <f>'[1]Brand Family Territory (Enc)'!A275</f>
        <v>Unibroue</v>
      </c>
      <c r="B275" s="2" t="str">
        <f>IFERROR(INDEX('Master - US vs THEM'!$F$2:$F$2951,MATCH($A275&amp;"|"&amp;B$1,'Master - US vs THEM'!$G$2:$G$2951,0)),"")</f>
        <v>US</v>
      </c>
      <c r="C275" s="2" t="str">
        <f>IFERROR(INDEX('Master - US vs THEM'!$F$2:$F$2951,MATCH($A275&amp;"|"&amp;C$1,'Master - US vs THEM'!$G$2:$G$2951,0)),"")</f>
        <v>US</v>
      </c>
      <c r="D275" s="2" t="str">
        <f>IFERROR(INDEX('Master - US vs THEM'!$F$2:$F$2951,MATCH($A275&amp;"|"&amp;D$1,'Master - US vs THEM'!$G$2:$G$2951,0)),"")</f>
        <v>US</v>
      </c>
      <c r="E275" s="2" t="str">
        <f>IFERROR(INDEX('Master - US vs THEM'!$F$2:$F$2951,MATCH($A275&amp;"|"&amp;E$1,'Master - US vs THEM'!$G$2:$G$2951,0)),"")</f>
        <v>US</v>
      </c>
      <c r="F275" s="2" t="str">
        <f>IFERROR(INDEX('Master - US vs THEM'!$F$2:$F$2951,MATCH($A275&amp;"|"&amp;F$1,'Master - US vs THEM'!$G$2:$G$2951,0)),"")</f>
        <v>US</v>
      </c>
      <c r="G275" s="2" t="str">
        <f>IFERROR(INDEX('Master - US vs THEM'!$F$2:$F$2951,MATCH($A275&amp;"|"&amp;G$1,'Master - US vs THEM'!$G$2:$G$2951,0)),"")</f>
        <v>THEM</v>
      </c>
      <c r="H275" s="2" t="str">
        <f>IFERROR(INDEX('Master - US vs THEM'!$F$2:$F$2951,MATCH($A275&amp;"|"&amp;H$1,'Master - US vs THEM'!$G$2:$G$2951,0)),"")</f>
        <v>THEM</v>
      </c>
      <c r="I275" s="2" t="str">
        <f>IFERROR(INDEX('Master - US vs THEM'!$F$2:$F$2951,MATCH($A275&amp;"|"&amp;I$1,'Master - US vs THEM'!$G$2:$G$2951,0)),"")</f>
        <v>THEM</v>
      </c>
      <c r="J275" s="2" t="str">
        <f>IFERROR(INDEX('Master - US vs THEM'!$F$2:$F$2951,MATCH($A275&amp;"|"&amp;J$1,'Master - US vs THEM'!$G$2:$G$2951,0)),"")</f>
        <v>THEM</v>
      </c>
      <c r="K275" s="2" t="str">
        <f>IFERROR(INDEX('Master - US vs THEM'!$F$2:$F$2951,MATCH($A275&amp;"|"&amp;K$1,'Master - US vs THEM'!$G$2:$G$2951,0)),"")</f>
        <v>THEM</v>
      </c>
    </row>
    <row r="276" spans="1:11" x14ac:dyDescent="0.2">
      <c r="A276" s="2" t="str">
        <f>'[1]Brand Family Territory (Enc)'!A276</f>
        <v>Monkey Family</v>
      </c>
      <c r="B276" s="2" t="str">
        <f>IFERROR(INDEX('Master - US vs THEM'!$F$2:$F$2951,MATCH($A276&amp;"|"&amp;B$1,'Master - US vs THEM'!$G$2:$G$2951,0)),"")</f>
        <v>US</v>
      </c>
      <c r="C276" s="2" t="str">
        <f>IFERROR(INDEX('Master - US vs THEM'!$F$2:$F$2951,MATCH($A276&amp;"|"&amp;C$1,'Master - US vs THEM'!$G$2:$G$2951,0)),"")</f>
        <v>US</v>
      </c>
      <c r="D276" s="2" t="str">
        <f>IFERROR(INDEX('Master - US vs THEM'!$F$2:$F$2951,MATCH($A276&amp;"|"&amp;D$1,'Master - US vs THEM'!$G$2:$G$2951,0)),"")</f>
        <v>US</v>
      </c>
      <c r="E276" s="2" t="str">
        <f>IFERROR(INDEX('Master - US vs THEM'!$F$2:$F$2951,MATCH($A276&amp;"|"&amp;E$1,'Master - US vs THEM'!$G$2:$G$2951,0)),"")</f>
        <v>US</v>
      </c>
      <c r="F276" s="2" t="str">
        <f>IFERROR(INDEX('Master - US vs THEM'!$F$2:$F$2951,MATCH($A276&amp;"|"&amp;F$1,'Master - US vs THEM'!$G$2:$G$2951,0)),"")</f>
        <v>US</v>
      </c>
      <c r="G276" s="2" t="str">
        <f>IFERROR(INDEX('Master - US vs THEM'!$F$2:$F$2951,MATCH($A276&amp;"|"&amp;G$1,'Master - US vs THEM'!$G$2:$G$2951,0)),"")</f>
        <v>THEM</v>
      </c>
      <c r="H276" s="2" t="str">
        <f>IFERROR(INDEX('Master - US vs THEM'!$F$2:$F$2951,MATCH($A276&amp;"|"&amp;H$1,'Master - US vs THEM'!$G$2:$G$2951,0)),"")</f>
        <v>THEM</v>
      </c>
      <c r="I276" s="2" t="str">
        <f>IFERROR(INDEX('Master - US vs THEM'!$F$2:$F$2951,MATCH($A276&amp;"|"&amp;I$1,'Master - US vs THEM'!$G$2:$G$2951,0)),"")</f>
        <v>THEM</v>
      </c>
      <c r="J276" s="2" t="str">
        <f>IFERROR(INDEX('Master - US vs THEM'!$F$2:$F$2951,MATCH($A276&amp;"|"&amp;J$1,'Master - US vs THEM'!$G$2:$G$2951,0)),"")</f>
        <v>THEM</v>
      </c>
      <c r="K276" s="2" t="str">
        <f>IFERROR(INDEX('Master - US vs THEM'!$F$2:$F$2951,MATCH($A276&amp;"|"&amp;K$1,'Master - US vs THEM'!$G$2:$G$2951,0)),"")</f>
        <v>THEM</v>
      </c>
    </row>
    <row r="277" spans="1:11" x14ac:dyDescent="0.2">
      <c r="A277" s="2" t="str">
        <f>'[1]Brand Family Territory (Enc)'!A277</f>
        <v>Victory</v>
      </c>
      <c r="B277" s="2" t="str">
        <f>IFERROR(INDEX('Master - US vs THEM'!$F$2:$F$2951,MATCH($A277&amp;"|"&amp;B$1,'Master - US vs THEM'!$G$2:$G$2951,0)),"")</f>
        <v>US</v>
      </c>
      <c r="C277" s="2" t="str">
        <f>IFERROR(INDEX('Master - US vs THEM'!$F$2:$F$2951,MATCH($A277&amp;"|"&amp;C$1,'Master - US vs THEM'!$G$2:$G$2951,0)),"")</f>
        <v>US</v>
      </c>
      <c r="D277" s="2" t="str">
        <f>IFERROR(INDEX('Master - US vs THEM'!$F$2:$F$2951,MATCH($A277&amp;"|"&amp;D$1,'Master - US vs THEM'!$G$2:$G$2951,0)),"")</f>
        <v>US</v>
      </c>
      <c r="E277" s="2" t="str">
        <f>IFERROR(INDEX('Master - US vs THEM'!$F$2:$F$2951,MATCH($A277&amp;"|"&amp;E$1,'Master - US vs THEM'!$G$2:$G$2951,0)),"")</f>
        <v>US</v>
      </c>
      <c r="F277" s="2" t="str">
        <f>IFERROR(INDEX('Master - US vs THEM'!$F$2:$F$2951,MATCH($A277&amp;"|"&amp;F$1,'Master - US vs THEM'!$G$2:$G$2951,0)),"")</f>
        <v>US</v>
      </c>
      <c r="G277" s="2" t="str">
        <f>IFERROR(INDEX('Master - US vs THEM'!$F$2:$F$2951,MATCH($A277&amp;"|"&amp;G$1,'Master - US vs THEM'!$G$2:$G$2951,0)),"")</f>
        <v>THEM</v>
      </c>
      <c r="H277" s="2" t="str">
        <f>IFERROR(INDEX('Master - US vs THEM'!$F$2:$F$2951,MATCH($A277&amp;"|"&amp;H$1,'Master - US vs THEM'!$G$2:$G$2951,0)),"")</f>
        <v>THEM</v>
      </c>
      <c r="I277" s="2" t="str">
        <f>IFERROR(INDEX('Master - US vs THEM'!$F$2:$F$2951,MATCH($A277&amp;"|"&amp;I$1,'Master - US vs THEM'!$G$2:$G$2951,0)),"")</f>
        <v>THEM</v>
      </c>
      <c r="J277" s="2" t="str">
        <f>IFERROR(INDEX('Master - US vs THEM'!$F$2:$F$2951,MATCH($A277&amp;"|"&amp;J$1,'Master - US vs THEM'!$G$2:$G$2951,0)),"")</f>
        <v>THEM</v>
      </c>
      <c r="K277" s="2" t="str">
        <f>IFERROR(INDEX('Master - US vs THEM'!$F$2:$F$2951,MATCH($A277&amp;"|"&amp;K$1,'Master - US vs THEM'!$G$2:$G$2951,0)),"")</f>
        <v>THEM</v>
      </c>
    </row>
    <row r="278" spans="1:11" x14ac:dyDescent="0.2">
      <c r="A278" s="2" t="str">
        <f>'[1]Brand Family Territory (Enc)'!A278</f>
        <v>Weihenstephaner</v>
      </c>
      <c r="B278" s="2" t="str">
        <f>IFERROR(INDEX('Master - US vs THEM'!$F$2:$F$2951,MATCH($A278&amp;"|"&amp;B$1,'Master - US vs THEM'!$G$2:$G$2951,0)),"")</f>
        <v>US</v>
      </c>
      <c r="C278" s="2" t="str">
        <f>IFERROR(INDEX('Master - US vs THEM'!$F$2:$F$2951,MATCH($A278&amp;"|"&amp;C$1,'Master - US vs THEM'!$G$2:$G$2951,0)),"")</f>
        <v>US</v>
      </c>
      <c r="D278" s="2" t="str">
        <f>IFERROR(INDEX('Master - US vs THEM'!$F$2:$F$2951,MATCH($A278&amp;"|"&amp;D$1,'Master - US vs THEM'!$G$2:$G$2951,0)),"")</f>
        <v>US</v>
      </c>
      <c r="E278" s="2" t="str">
        <f>IFERROR(INDEX('Master - US vs THEM'!$F$2:$F$2951,MATCH($A278&amp;"|"&amp;E$1,'Master - US vs THEM'!$G$2:$G$2951,0)),"")</f>
        <v>US</v>
      </c>
      <c r="F278" s="2" t="str">
        <f>IFERROR(INDEX('Master - US vs THEM'!$F$2:$F$2951,MATCH($A278&amp;"|"&amp;F$1,'Master - US vs THEM'!$G$2:$G$2951,0)),"")</f>
        <v>US</v>
      </c>
      <c r="G278" s="2" t="str">
        <f>IFERROR(INDEX('Master - US vs THEM'!$F$2:$F$2951,MATCH($A278&amp;"|"&amp;G$1,'Master - US vs THEM'!$G$2:$G$2951,0)),"")</f>
        <v>THEM</v>
      </c>
      <c r="H278" s="2" t="str">
        <f>IFERROR(INDEX('Master - US vs THEM'!$F$2:$F$2951,MATCH($A278&amp;"|"&amp;H$1,'Master - US vs THEM'!$G$2:$G$2951,0)),"")</f>
        <v>THEM</v>
      </c>
      <c r="I278" s="2" t="str">
        <f>IFERROR(INDEX('Master - US vs THEM'!$F$2:$F$2951,MATCH($A278&amp;"|"&amp;I$1,'Master - US vs THEM'!$G$2:$G$2951,0)),"")</f>
        <v>THEM</v>
      </c>
      <c r="J278" s="2" t="str">
        <f>IFERROR(INDEX('Master - US vs THEM'!$F$2:$F$2951,MATCH($A278&amp;"|"&amp;J$1,'Master - US vs THEM'!$G$2:$G$2951,0)),"")</f>
        <v>THEM</v>
      </c>
      <c r="K278" s="2" t="str">
        <f>IFERROR(INDEX('Master - US vs THEM'!$F$2:$F$2951,MATCH($A278&amp;"|"&amp;K$1,'Master - US vs THEM'!$G$2:$G$2951,0)),"")</f>
        <v>THEM</v>
      </c>
    </row>
    <row r="279" spans="1:11" x14ac:dyDescent="0.2">
      <c r="A279" s="2" t="str">
        <f>'[1]Brand Family Territory (Enc)'!A279</f>
        <v>Popsicle Hard</v>
      </c>
      <c r="B279" s="2" t="str">
        <f>IFERROR(INDEX('Master - US vs THEM'!$F$2:$F$2951,MATCH($A279&amp;"|"&amp;B$1,'Master - US vs THEM'!$G$2:$G$2951,0)),"")</f>
        <v>US</v>
      </c>
      <c r="C279" s="2" t="str">
        <f>IFERROR(INDEX('Master - US vs THEM'!$F$2:$F$2951,MATCH($A279&amp;"|"&amp;C$1,'Master - US vs THEM'!$G$2:$G$2951,0)),"")</f>
        <v>US</v>
      </c>
      <c r="D279" s="2" t="str">
        <f>IFERROR(INDEX('Master - US vs THEM'!$F$2:$F$2951,MATCH($A279&amp;"|"&amp;D$1,'Master - US vs THEM'!$G$2:$G$2951,0)),"")</f>
        <v>US</v>
      </c>
      <c r="E279" s="2" t="str">
        <f>IFERROR(INDEX('Master - US vs THEM'!$F$2:$F$2951,MATCH($A279&amp;"|"&amp;E$1,'Master - US vs THEM'!$G$2:$G$2951,0)),"")</f>
        <v>THEM</v>
      </c>
      <c r="F279" s="2" t="str">
        <f>IFERROR(INDEX('Master - US vs THEM'!$F$2:$F$2951,MATCH($A279&amp;"|"&amp;F$1,'Master - US vs THEM'!$G$2:$G$2951,0)),"")</f>
        <v>THEM</v>
      </c>
      <c r="G279" s="2" t="str">
        <f>IFERROR(INDEX('Master - US vs THEM'!$F$2:$F$2951,MATCH($A279&amp;"|"&amp;G$1,'Master - US vs THEM'!$G$2:$G$2951,0)),"")</f>
        <v>THEM</v>
      </c>
      <c r="H279" s="2" t="str">
        <f>IFERROR(INDEX('Master - US vs THEM'!$F$2:$F$2951,MATCH($A279&amp;"|"&amp;H$1,'Master - US vs THEM'!$G$2:$G$2951,0)),"")</f>
        <v>US</v>
      </c>
      <c r="I279" s="2" t="str">
        <f>IFERROR(INDEX('Master - US vs THEM'!$F$2:$F$2951,MATCH($A279&amp;"|"&amp;I$1,'Master - US vs THEM'!$G$2:$G$2951,0)),"")</f>
        <v>US</v>
      </c>
      <c r="J279" s="2" t="str">
        <f>IFERROR(INDEX('Master - US vs THEM'!$F$2:$F$2951,MATCH($A279&amp;"|"&amp;J$1,'Master - US vs THEM'!$G$2:$G$2951,0)),"")</f>
        <v>THEM</v>
      </c>
      <c r="K279" s="2" t="str">
        <f>IFERROR(INDEX('Master - US vs THEM'!$F$2:$F$2951,MATCH($A279&amp;"|"&amp;K$1,'Master - US vs THEM'!$G$2:$G$2951,0)),"")</f>
        <v>US</v>
      </c>
    </row>
    <row r="280" spans="1:11" x14ac:dyDescent="0.2">
      <c r="A280" s="2" t="str">
        <f>'[1]Brand Family Territory (Enc)'!A280</f>
        <v>Slow &amp; Low</v>
      </c>
      <c r="B280" s="2" t="str">
        <f>IFERROR(INDEX('Master - US vs THEM'!$F$2:$F$2951,MATCH($A280&amp;"|"&amp;B$1,'Master - US vs THEM'!$G$2:$G$2951,0)),"")</f>
        <v>US</v>
      </c>
      <c r="C280" s="2" t="str">
        <f>IFERROR(INDEX('Master - US vs THEM'!$F$2:$F$2951,MATCH($A280&amp;"|"&amp;C$1,'Master - US vs THEM'!$G$2:$G$2951,0)),"")</f>
        <v>US</v>
      </c>
      <c r="D280" s="2" t="str">
        <f>IFERROR(INDEX('Master - US vs THEM'!$F$2:$F$2951,MATCH($A280&amp;"|"&amp;D$1,'Master - US vs THEM'!$G$2:$G$2951,0)),"")</f>
        <v>US</v>
      </c>
      <c r="E280" s="2" t="str">
        <f>IFERROR(INDEX('Master - US vs THEM'!$F$2:$F$2951,MATCH($A280&amp;"|"&amp;E$1,'Master - US vs THEM'!$G$2:$G$2951,0)),"")</f>
        <v>THEM</v>
      </c>
      <c r="F280" s="2" t="str">
        <f>IFERROR(INDEX('Master - US vs THEM'!$F$2:$F$2951,MATCH($A280&amp;"|"&amp;F$1,'Master - US vs THEM'!$G$2:$G$2951,0)),"")</f>
        <v>THEM</v>
      </c>
      <c r="G280" s="2" t="str">
        <f>IFERROR(INDEX('Master - US vs THEM'!$F$2:$F$2951,MATCH($A280&amp;"|"&amp;G$1,'Master - US vs THEM'!$G$2:$G$2951,0)),"")</f>
        <v>THEM</v>
      </c>
      <c r="H280" s="2" t="str">
        <f>IFERROR(INDEX('Master - US vs THEM'!$F$2:$F$2951,MATCH($A280&amp;"|"&amp;H$1,'Master - US vs THEM'!$G$2:$G$2951,0)),"")</f>
        <v>US</v>
      </c>
      <c r="I280" s="2" t="str">
        <f>IFERROR(INDEX('Master - US vs THEM'!$F$2:$F$2951,MATCH($A280&amp;"|"&amp;I$1,'Master - US vs THEM'!$G$2:$G$2951,0)),"")</f>
        <v>US</v>
      </c>
      <c r="J280" s="2" t="str">
        <f>IFERROR(INDEX('Master - US vs THEM'!$F$2:$F$2951,MATCH($A280&amp;"|"&amp;J$1,'Master - US vs THEM'!$G$2:$G$2951,0)),"")</f>
        <v>THEM</v>
      </c>
      <c r="K280" s="2" t="str">
        <f>IFERROR(INDEX('Master - US vs THEM'!$F$2:$F$2951,MATCH($A280&amp;"|"&amp;K$1,'Master - US vs THEM'!$G$2:$G$2951,0)),"")</f>
        <v>US</v>
      </c>
    </row>
    <row r="281" spans="1:11" x14ac:dyDescent="0.2">
      <c r="A281" s="2" t="str">
        <f>'[1]Brand Family Territory (Enc)'!A281</f>
        <v>2XO</v>
      </c>
      <c r="B281" s="2" t="str">
        <f>IFERROR(INDEX('Master - US vs THEM'!$F$2:$F$2951,MATCH($A281&amp;"|"&amp;B$1,'Master - US vs THEM'!$G$2:$G$2951,0)),"")</f>
        <v>US</v>
      </c>
      <c r="C281" s="2" t="str">
        <f>IFERROR(INDEX('Master - US vs THEM'!$F$2:$F$2951,MATCH($A281&amp;"|"&amp;C$1,'Master - US vs THEM'!$G$2:$G$2951,0)),"")</f>
        <v>US</v>
      </c>
      <c r="D281" s="2" t="str">
        <f>IFERROR(INDEX('Master - US vs THEM'!$F$2:$F$2951,MATCH($A281&amp;"|"&amp;D$1,'Master - US vs THEM'!$G$2:$G$2951,0)),"")</f>
        <v>US</v>
      </c>
      <c r="E281" s="2" t="str">
        <f>IFERROR(INDEX('Master - US vs THEM'!$F$2:$F$2951,MATCH($A281&amp;"|"&amp;E$1,'Master - US vs THEM'!$G$2:$G$2951,0)),"")</f>
        <v>US</v>
      </c>
      <c r="F281" s="2" t="str">
        <f>IFERROR(INDEX('Master - US vs THEM'!$F$2:$F$2951,MATCH($A281&amp;"|"&amp;F$1,'Master - US vs THEM'!$G$2:$G$2951,0)),"")</f>
        <v>US</v>
      </c>
      <c r="G281" s="2" t="str">
        <f>IFERROR(INDEX('Master - US vs THEM'!$F$2:$F$2951,MATCH($A281&amp;"|"&amp;G$1,'Master - US vs THEM'!$G$2:$G$2951,0)),"")</f>
        <v>US</v>
      </c>
      <c r="H281" s="2" t="str">
        <f>IFERROR(INDEX('Master - US vs THEM'!$F$2:$F$2951,MATCH($A281&amp;"|"&amp;H$1,'Master - US vs THEM'!$G$2:$G$2951,0)),"")</f>
        <v>US</v>
      </c>
      <c r="I281" s="2" t="str">
        <f>IFERROR(INDEX('Master - US vs THEM'!$F$2:$F$2951,MATCH($A281&amp;"|"&amp;I$1,'Master - US vs THEM'!$G$2:$G$2951,0)),"")</f>
        <v>US</v>
      </c>
      <c r="J281" s="2" t="str">
        <f>IFERROR(INDEX('Master - US vs THEM'!$F$2:$F$2951,MATCH($A281&amp;"|"&amp;J$1,'Master - US vs THEM'!$G$2:$G$2951,0)),"")</f>
        <v>US</v>
      </c>
      <c r="K281" s="2" t="str">
        <f>IFERROR(INDEX('Master - US vs THEM'!$F$2:$F$2951,MATCH($A281&amp;"|"&amp;K$1,'Master - US vs THEM'!$G$2:$G$2951,0)),"")</f>
        <v>US</v>
      </c>
    </row>
    <row r="282" spans="1:11" x14ac:dyDescent="0.2">
      <c r="A282" s="2" t="str">
        <f>'[1]Brand Family Territory (Enc)'!A282</f>
        <v>Beviamo</v>
      </c>
      <c r="B282" s="2" t="str">
        <f>IFERROR(INDEX('Master - US vs THEM'!$F$2:$F$2951,MATCH($A282&amp;"|"&amp;B$1,'Master - US vs THEM'!$G$2:$G$2951,0)),"")</f>
        <v>US</v>
      </c>
      <c r="C282" s="2" t="str">
        <f>IFERROR(INDEX('Master - US vs THEM'!$F$2:$F$2951,MATCH($A282&amp;"|"&amp;C$1,'Master - US vs THEM'!$G$2:$G$2951,0)),"")</f>
        <v>US</v>
      </c>
      <c r="D282" s="2" t="str">
        <f>IFERROR(INDEX('Master - US vs THEM'!$F$2:$F$2951,MATCH($A282&amp;"|"&amp;D$1,'Master - US vs THEM'!$G$2:$G$2951,0)),"")</f>
        <v>US</v>
      </c>
      <c r="E282" s="2" t="str">
        <f>IFERROR(INDEX('Master - US vs THEM'!$F$2:$F$2951,MATCH($A282&amp;"|"&amp;E$1,'Master - US vs THEM'!$G$2:$G$2951,0)),"")</f>
        <v>THEM</v>
      </c>
      <c r="F282" s="2" t="str">
        <f>IFERROR(INDEX('Master - US vs THEM'!$F$2:$F$2951,MATCH($A282&amp;"|"&amp;F$1,'Master - US vs THEM'!$G$2:$G$2951,0)),"")</f>
        <v>THEM</v>
      </c>
      <c r="G282" s="2" t="str">
        <f>IFERROR(INDEX('Master - US vs THEM'!$F$2:$F$2951,MATCH($A282&amp;"|"&amp;G$1,'Master - US vs THEM'!$G$2:$G$2951,0)),"")</f>
        <v>THEM</v>
      </c>
      <c r="H282" s="2" t="str">
        <f>IFERROR(INDEX('Master - US vs THEM'!$F$2:$F$2951,MATCH($A282&amp;"|"&amp;H$1,'Master - US vs THEM'!$G$2:$G$2951,0)),"")</f>
        <v>US</v>
      </c>
      <c r="I282" s="2" t="str">
        <f>IFERROR(INDEX('Master - US vs THEM'!$F$2:$F$2951,MATCH($A282&amp;"|"&amp;I$1,'Master - US vs THEM'!$G$2:$G$2951,0)),"")</f>
        <v>US</v>
      </c>
      <c r="J282" s="2" t="str">
        <f>IFERROR(INDEX('Master - US vs THEM'!$F$2:$F$2951,MATCH($A282&amp;"|"&amp;J$1,'Master - US vs THEM'!$G$2:$G$2951,0)),"")</f>
        <v>THEM</v>
      </c>
      <c r="K282" s="2" t="str">
        <f>IFERROR(INDEX('Master - US vs THEM'!$F$2:$F$2951,MATCH($A282&amp;"|"&amp;K$1,'Master - US vs THEM'!$G$2:$G$2951,0)),"")</f>
        <v>US</v>
      </c>
    </row>
    <row r="283" spans="1:11" x14ac:dyDescent="0.2">
      <c r="A283" s="2" t="str">
        <f>'[1]Brand Family Territory (Enc)'!A283</f>
        <v>Gionelli</v>
      </c>
      <c r="B283" s="2" t="str">
        <f>IFERROR(INDEX('Master - US vs THEM'!$F$2:$F$2951,MATCH($A283&amp;"|"&amp;B$1,'Master - US vs THEM'!$G$2:$G$2951,0)),"")</f>
        <v>US</v>
      </c>
      <c r="C283" s="2" t="str">
        <f>IFERROR(INDEX('Master - US vs THEM'!$F$2:$F$2951,MATCH($A283&amp;"|"&amp;C$1,'Master - US vs THEM'!$G$2:$G$2951,0)),"")</f>
        <v>US</v>
      </c>
      <c r="D283" s="2" t="str">
        <f>IFERROR(INDEX('Master - US vs THEM'!$F$2:$F$2951,MATCH($A283&amp;"|"&amp;D$1,'Master - US vs THEM'!$G$2:$G$2951,0)),"")</f>
        <v>US</v>
      </c>
      <c r="E283" s="2" t="str">
        <f>IFERROR(INDEX('Master - US vs THEM'!$F$2:$F$2951,MATCH($A283&amp;"|"&amp;E$1,'Master - US vs THEM'!$G$2:$G$2951,0)),"")</f>
        <v>THEM</v>
      </c>
      <c r="F283" s="2" t="str">
        <f>IFERROR(INDEX('Master - US vs THEM'!$F$2:$F$2951,MATCH($A283&amp;"|"&amp;F$1,'Master - US vs THEM'!$G$2:$G$2951,0)),"")</f>
        <v>THEM</v>
      </c>
      <c r="G283" s="2" t="str">
        <f>IFERROR(INDEX('Master - US vs THEM'!$F$2:$F$2951,MATCH($A283&amp;"|"&amp;G$1,'Master - US vs THEM'!$G$2:$G$2951,0)),"")</f>
        <v>THEM</v>
      </c>
      <c r="H283" s="2" t="str">
        <f>IFERROR(INDEX('Master - US vs THEM'!$F$2:$F$2951,MATCH($A283&amp;"|"&amp;H$1,'Master - US vs THEM'!$G$2:$G$2951,0)),"")</f>
        <v>US</v>
      </c>
      <c r="I283" s="2" t="str">
        <f>IFERROR(INDEX('Master - US vs THEM'!$F$2:$F$2951,MATCH($A283&amp;"|"&amp;I$1,'Master - US vs THEM'!$G$2:$G$2951,0)),"")</f>
        <v>US</v>
      </c>
      <c r="J283" s="2" t="str">
        <f>IFERROR(INDEX('Master - US vs THEM'!$F$2:$F$2951,MATCH($A283&amp;"|"&amp;J$1,'Master - US vs THEM'!$G$2:$G$2951,0)),"")</f>
        <v>THEM</v>
      </c>
      <c r="K283" s="2" t="str">
        <f>IFERROR(INDEX('Master - US vs THEM'!$F$2:$F$2951,MATCH($A283&amp;"|"&amp;K$1,'Master - US vs THEM'!$G$2:$G$2951,0)),"")</f>
        <v>US</v>
      </c>
    </row>
    <row r="284" spans="1:11" x14ac:dyDescent="0.2">
      <c r="A284" s="2" t="str">
        <f>'[1]Brand Family Territory (Enc)'!A284</f>
        <v>Carinoso</v>
      </c>
      <c r="B284" s="2" t="str">
        <f>IFERROR(INDEX('Master - US vs THEM'!$F$2:$F$2951,MATCH($A284&amp;"|"&amp;B$1,'Master - US vs THEM'!$G$2:$G$2951,0)),"")</f>
        <v>US</v>
      </c>
      <c r="C284" s="2" t="str">
        <f>IFERROR(INDEX('Master - US vs THEM'!$F$2:$F$2951,MATCH($A284&amp;"|"&amp;C$1,'Master - US vs THEM'!$G$2:$G$2951,0)),"")</f>
        <v>US</v>
      </c>
      <c r="D284" s="2" t="str">
        <f>IFERROR(INDEX('Master - US vs THEM'!$F$2:$F$2951,MATCH($A284&amp;"|"&amp;D$1,'Master - US vs THEM'!$G$2:$G$2951,0)),"")</f>
        <v>US</v>
      </c>
      <c r="E284" s="2" t="str">
        <f>IFERROR(INDEX('Master - US vs THEM'!$F$2:$F$2951,MATCH($A284&amp;"|"&amp;E$1,'Master - US vs THEM'!$G$2:$G$2951,0)),"")</f>
        <v>US</v>
      </c>
      <c r="F284" s="2" t="str">
        <f>IFERROR(INDEX('Master - US vs THEM'!$F$2:$F$2951,MATCH($A284&amp;"|"&amp;F$1,'Master - US vs THEM'!$G$2:$G$2951,0)),"")</f>
        <v>US</v>
      </c>
      <c r="G284" s="2" t="str">
        <f>IFERROR(INDEX('Master - US vs THEM'!$F$2:$F$2951,MATCH($A284&amp;"|"&amp;G$1,'Master - US vs THEM'!$G$2:$G$2951,0)),"")</f>
        <v>US</v>
      </c>
      <c r="H284" s="2" t="str">
        <f>IFERROR(INDEX('Master - US vs THEM'!$F$2:$F$2951,MATCH($A284&amp;"|"&amp;H$1,'Master - US vs THEM'!$G$2:$G$2951,0)),"")</f>
        <v>US</v>
      </c>
      <c r="I284" s="2" t="str">
        <f>IFERROR(INDEX('Master - US vs THEM'!$F$2:$F$2951,MATCH($A284&amp;"|"&amp;I$1,'Master - US vs THEM'!$G$2:$G$2951,0)),"")</f>
        <v>US</v>
      </c>
      <c r="J284" s="2" t="str">
        <f>IFERROR(INDEX('Master - US vs THEM'!$F$2:$F$2951,MATCH($A284&amp;"|"&amp;J$1,'Master - US vs THEM'!$G$2:$G$2951,0)),"")</f>
        <v>US</v>
      </c>
      <c r="K284" s="2" t="str">
        <f>IFERROR(INDEX('Master - US vs THEM'!$F$2:$F$2951,MATCH($A284&amp;"|"&amp;K$1,'Master - US vs THEM'!$G$2:$G$2951,0)),"")</f>
        <v>US</v>
      </c>
    </row>
    <row r="285" spans="1:11" x14ac:dyDescent="0.2">
      <c r="A285" s="2" t="str">
        <f>'[1]Brand Family Territory (Enc)'!A285</f>
        <v>Lock Stock &amp; Barrel</v>
      </c>
      <c r="B285" s="2" t="str">
        <f>IFERROR(INDEX('Master - US vs THEM'!$F$2:$F$2951,MATCH($A285&amp;"|"&amp;B$1,'Master - US vs THEM'!$G$2:$G$2951,0)),"")</f>
        <v>US</v>
      </c>
      <c r="C285" s="2" t="str">
        <f>IFERROR(INDEX('Master - US vs THEM'!$F$2:$F$2951,MATCH($A285&amp;"|"&amp;C$1,'Master - US vs THEM'!$G$2:$G$2951,0)),"")</f>
        <v>US</v>
      </c>
      <c r="D285" s="2" t="str">
        <f>IFERROR(INDEX('Master - US vs THEM'!$F$2:$F$2951,MATCH($A285&amp;"|"&amp;D$1,'Master - US vs THEM'!$G$2:$G$2951,0)),"")</f>
        <v>US</v>
      </c>
      <c r="E285" s="2" t="str">
        <f>IFERROR(INDEX('Master - US vs THEM'!$F$2:$F$2951,MATCH($A285&amp;"|"&amp;E$1,'Master - US vs THEM'!$G$2:$G$2951,0)),"")</f>
        <v>THEM</v>
      </c>
      <c r="F285" s="2" t="str">
        <f>IFERROR(INDEX('Master - US vs THEM'!$F$2:$F$2951,MATCH($A285&amp;"|"&amp;F$1,'Master - US vs THEM'!$G$2:$G$2951,0)),"")</f>
        <v>THEM</v>
      </c>
      <c r="G285" s="2" t="str">
        <f>IFERROR(INDEX('Master - US vs THEM'!$F$2:$F$2951,MATCH($A285&amp;"|"&amp;G$1,'Master - US vs THEM'!$G$2:$G$2951,0)),"")</f>
        <v>THEM</v>
      </c>
      <c r="H285" s="2" t="str">
        <f>IFERROR(INDEX('Master - US vs THEM'!$F$2:$F$2951,MATCH($A285&amp;"|"&amp;H$1,'Master - US vs THEM'!$G$2:$G$2951,0)),"")</f>
        <v>US</v>
      </c>
      <c r="I285" s="2" t="str">
        <f>IFERROR(INDEX('Master - US vs THEM'!$F$2:$F$2951,MATCH($A285&amp;"|"&amp;I$1,'Master - US vs THEM'!$G$2:$G$2951,0)),"")</f>
        <v>US</v>
      </c>
      <c r="J285" s="2" t="str">
        <f>IFERROR(INDEX('Master - US vs THEM'!$F$2:$F$2951,MATCH($A285&amp;"|"&amp;J$1,'Master - US vs THEM'!$G$2:$G$2951,0)),"")</f>
        <v>THEM</v>
      </c>
      <c r="K285" s="2" t="str">
        <f>IFERROR(INDEX('Master - US vs THEM'!$F$2:$F$2951,MATCH($A285&amp;"|"&amp;K$1,'Master - US vs THEM'!$G$2:$G$2951,0)),"")</f>
        <v>US</v>
      </c>
    </row>
    <row r="286" spans="1:11" x14ac:dyDescent="0.2">
      <c r="A286" s="2" t="str">
        <f>'[1]Brand Family Territory (Enc)'!A286</f>
        <v>Shabo Wine</v>
      </c>
      <c r="B286" s="2" t="str">
        <f>IFERROR(INDEX('Master - US vs THEM'!$F$2:$F$2951,MATCH($A286&amp;"|"&amp;B$1,'Master - US vs THEM'!$G$2:$G$2951,0)),"")</f>
        <v>US</v>
      </c>
      <c r="C286" s="2" t="str">
        <f>IFERROR(INDEX('Master - US vs THEM'!$F$2:$F$2951,MATCH($A286&amp;"|"&amp;C$1,'Master - US vs THEM'!$G$2:$G$2951,0)),"")</f>
        <v>US</v>
      </c>
      <c r="D286" s="2" t="str">
        <f>IFERROR(INDEX('Master - US vs THEM'!$F$2:$F$2951,MATCH($A286&amp;"|"&amp;D$1,'Master - US vs THEM'!$G$2:$G$2951,0)),"")</f>
        <v>US</v>
      </c>
      <c r="E286" s="2" t="str">
        <f>IFERROR(INDEX('Master - US vs THEM'!$F$2:$F$2951,MATCH($A286&amp;"|"&amp;E$1,'Master - US vs THEM'!$G$2:$G$2951,0)),"")</f>
        <v>THEM</v>
      </c>
      <c r="F286" s="2" t="str">
        <f>IFERROR(INDEX('Master - US vs THEM'!$F$2:$F$2951,MATCH($A286&amp;"|"&amp;F$1,'Master - US vs THEM'!$G$2:$G$2951,0)),"")</f>
        <v>THEM</v>
      </c>
      <c r="G286" s="2" t="str">
        <f>IFERROR(INDEX('Master - US vs THEM'!$F$2:$F$2951,MATCH($A286&amp;"|"&amp;G$1,'Master - US vs THEM'!$G$2:$G$2951,0)),"")</f>
        <v>THEM</v>
      </c>
      <c r="H286" s="2" t="str">
        <f>IFERROR(INDEX('Master - US vs THEM'!$F$2:$F$2951,MATCH($A286&amp;"|"&amp;H$1,'Master - US vs THEM'!$G$2:$G$2951,0)),"")</f>
        <v>US</v>
      </c>
      <c r="I286" s="2" t="str">
        <f>IFERROR(INDEX('Master - US vs THEM'!$F$2:$F$2951,MATCH($A286&amp;"|"&amp;I$1,'Master - US vs THEM'!$G$2:$G$2951,0)),"")</f>
        <v>US</v>
      </c>
      <c r="J286" s="2" t="str">
        <f>IFERROR(INDEX('Master - US vs THEM'!$F$2:$F$2951,MATCH($A286&amp;"|"&amp;J$1,'Master - US vs THEM'!$G$2:$G$2951,0)),"")</f>
        <v>THEM</v>
      </c>
      <c r="K286" s="2" t="str">
        <f>IFERROR(INDEX('Master - US vs THEM'!$F$2:$F$2951,MATCH($A286&amp;"|"&amp;K$1,'Master - US vs THEM'!$G$2:$G$2951,0)),"")</f>
        <v>US</v>
      </c>
    </row>
    <row r="287" spans="1:11" x14ac:dyDescent="0.2">
      <c r="A287" s="2" t="str">
        <f>'[1]Brand Family Territory (Enc)'!A287</f>
        <v>Hetman Vodka</v>
      </c>
      <c r="B287" s="2" t="str">
        <f>IFERROR(INDEX('Master - US vs THEM'!$F$2:$F$2951,MATCH($A287&amp;"|"&amp;B$1,'Master - US vs THEM'!$G$2:$G$2951,0)),"")</f>
        <v>US</v>
      </c>
      <c r="C287" s="2" t="str">
        <f>IFERROR(INDEX('Master - US vs THEM'!$F$2:$F$2951,MATCH($A287&amp;"|"&amp;C$1,'Master - US vs THEM'!$G$2:$G$2951,0)),"")</f>
        <v>US</v>
      </c>
      <c r="D287" s="2" t="str">
        <f>IFERROR(INDEX('Master - US vs THEM'!$F$2:$F$2951,MATCH($A287&amp;"|"&amp;D$1,'Master - US vs THEM'!$G$2:$G$2951,0)),"")</f>
        <v>US</v>
      </c>
      <c r="E287" s="2" t="str">
        <f>IFERROR(INDEX('Master - US vs THEM'!$F$2:$F$2951,MATCH($A287&amp;"|"&amp;E$1,'Master - US vs THEM'!$G$2:$G$2951,0)),"")</f>
        <v>THEM</v>
      </c>
      <c r="F287" s="2" t="str">
        <f>IFERROR(INDEX('Master - US vs THEM'!$F$2:$F$2951,MATCH($A287&amp;"|"&amp;F$1,'Master - US vs THEM'!$G$2:$G$2951,0)),"")</f>
        <v>THEM</v>
      </c>
      <c r="G287" s="2" t="str">
        <f>IFERROR(INDEX('Master - US vs THEM'!$F$2:$F$2951,MATCH($A287&amp;"|"&amp;G$1,'Master - US vs THEM'!$G$2:$G$2951,0)),"")</f>
        <v>THEM</v>
      </c>
      <c r="H287" s="2" t="str">
        <f>IFERROR(INDEX('Master - US vs THEM'!$F$2:$F$2951,MATCH($A287&amp;"|"&amp;H$1,'Master - US vs THEM'!$G$2:$G$2951,0)),"")</f>
        <v>US</v>
      </c>
      <c r="I287" s="2" t="str">
        <f>IFERROR(INDEX('Master - US vs THEM'!$F$2:$F$2951,MATCH($A287&amp;"|"&amp;I$1,'Master - US vs THEM'!$G$2:$G$2951,0)),"")</f>
        <v>US</v>
      </c>
      <c r="J287" s="2" t="str">
        <f>IFERROR(INDEX('Master - US vs THEM'!$F$2:$F$2951,MATCH($A287&amp;"|"&amp;J$1,'Master - US vs THEM'!$G$2:$G$2951,0)),"")</f>
        <v>THEM</v>
      </c>
      <c r="K287" s="2" t="str">
        <f>IFERROR(INDEX('Master - US vs THEM'!$F$2:$F$2951,MATCH($A287&amp;"|"&amp;K$1,'Master - US vs THEM'!$G$2:$G$2951,0)),"")</f>
        <v>US</v>
      </c>
    </row>
    <row r="288" spans="1:11" x14ac:dyDescent="0.2">
      <c r="A288" s="2" t="str">
        <f>'[1]Brand Family Territory (Enc)'!A288</f>
        <v>Ukrainian Spirit</v>
      </c>
      <c r="B288" s="2" t="str">
        <f>IFERROR(INDEX('Master - US vs THEM'!$F$2:$F$2951,MATCH($A288&amp;"|"&amp;B$1,'Master - US vs THEM'!$G$2:$G$2951,0)),"")</f>
        <v>US</v>
      </c>
      <c r="C288" s="2" t="str">
        <f>IFERROR(INDEX('Master - US vs THEM'!$F$2:$F$2951,MATCH($A288&amp;"|"&amp;C$1,'Master - US vs THEM'!$G$2:$G$2951,0)),"")</f>
        <v>US</v>
      </c>
      <c r="D288" s="2" t="str">
        <f>IFERROR(INDEX('Master - US vs THEM'!$F$2:$F$2951,MATCH($A288&amp;"|"&amp;D$1,'Master - US vs THEM'!$G$2:$G$2951,0)),"")</f>
        <v>US</v>
      </c>
      <c r="E288" s="2" t="str">
        <f>IFERROR(INDEX('Master - US vs THEM'!$F$2:$F$2951,MATCH($A288&amp;"|"&amp;E$1,'Master - US vs THEM'!$G$2:$G$2951,0)),"")</f>
        <v>THEM</v>
      </c>
      <c r="F288" s="2" t="str">
        <f>IFERROR(INDEX('Master - US vs THEM'!$F$2:$F$2951,MATCH($A288&amp;"|"&amp;F$1,'Master - US vs THEM'!$G$2:$G$2951,0)),"")</f>
        <v>THEM</v>
      </c>
      <c r="G288" s="2" t="str">
        <f>IFERROR(INDEX('Master - US vs THEM'!$F$2:$F$2951,MATCH($A288&amp;"|"&amp;G$1,'Master - US vs THEM'!$G$2:$G$2951,0)),"")</f>
        <v>THEM</v>
      </c>
      <c r="H288" s="2" t="str">
        <f>IFERROR(INDEX('Master - US vs THEM'!$F$2:$F$2951,MATCH($A288&amp;"|"&amp;H$1,'Master - US vs THEM'!$G$2:$G$2951,0)),"")</f>
        <v>US</v>
      </c>
      <c r="I288" s="2" t="str">
        <f>IFERROR(INDEX('Master - US vs THEM'!$F$2:$F$2951,MATCH($A288&amp;"|"&amp;I$1,'Master - US vs THEM'!$G$2:$G$2951,0)),"")</f>
        <v>US</v>
      </c>
      <c r="J288" s="2" t="str">
        <f>IFERROR(INDEX('Master - US vs THEM'!$F$2:$F$2951,MATCH($A288&amp;"|"&amp;J$1,'Master - US vs THEM'!$G$2:$G$2951,0)),"")</f>
        <v>THEM</v>
      </c>
      <c r="K288" s="2" t="str">
        <f>IFERROR(INDEX('Master - US vs THEM'!$F$2:$F$2951,MATCH($A288&amp;"|"&amp;K$1,'Master - US vs THEM'!$G$2:$G$2951,0)),"")</f>
        <v>US</v>
      </c>
    </row>
    <row r="289" spans="1:11" x14ac:dyDescent="0.2">
      <c r="A289" s="2" t="str">
        <f>'[1]Brand Family Territory (Enc)'!A289</f>
        <v>Source It's A Me</v>
      </c>
      <c r="B289" s="2" t="str">
        <f>IFERROR(INDEX('Master - US vs THEM'!$F$2:$F$2951,MATCH($A289&amp;"|"&amp;B$1,'Master - US vs THEM'!$G$2:$G$2951,0)),"")</f>
        <v>US</v>
      </c>
      <c r="C289" s="2" t="str">
        <f>IFERROR(INDEX('Master - US vs THEM'!$F$2:$F$2951,MATCH($A289&amp;"|"&amp;C$1,'Master - US vs THEM'!$G$2:$G$2951,0)),"")</f>
        <v>US</v>
      </c>
      <c r="D289" s="2" t="str">
        <f>IFERROR(INDEX('Master - US vs THEM'!$F$2:$F$2951,MATCH($A289&amp;"|"&amp;D$1,'Master - US vs THEM'!$G$2:$G$2951,0)),"")</f>
        <v>US</v>
      </c>
      <c r="E289" s="2" t="str">
        <f>IFERROR(INDEX('Master - US vs THEM'!$F$2:$F$2951,MATCH($A289&amp;"|"&amp;E$1,'Master - US vs THEM'!$G$2:$G$2951,0)),"")</f>
        <v>US</v>
      </c>
      <c r="F289" s="2" t="str">
        <f>IFERROR(INDEX('Master - US vs THEM'!$F$2:$F$2951,MATCH($A289&amp;"|"&amp;F$1,'Master - US vs THEM'!$G$2:$G$2951,0)),"")</f>
        <v>US</v>
      </c>
      <c r="G289" s="2" t="str">
        <f>IFERROR(INDEX('Master - US vs THEM'!$F$2:$F$2951,MATCH($A289&amp;"|"&amp;G$1,'Master - US vs THEM'!$G$2:$G$2951,0)),"")</f>
        <v>US</v>
      </c>
      <c r="H289" s="2" t="str">
        <f>IFERROR(INDEX('Master - US vs THEM'!$F$2:$F$2951,MATCH($A289&amp;"|"&amp;H$1,'Master - US vs THEM'!$G$2:$G$2951,0)),"")</f>
        <v>US</v>
      </c>
      <c r="I289" s="2" t="str">
        <f>IFERROR(INDEX('Master - US vs THEM'!$F$2:$F$2951,MATCH($A289&amp;"|"&amp;I$1,'Master - US vs THEM'!$G$2:$G$2951,0)),"")</f>
        <v>US</v>
      </c>
      <c r="J289" s="2" t="str">
        <f>IFERROR(INDEX('Master - US vs THEM'!$F$2:$F$2951,MATCH($A289&amp;"|"&amp;J$1,'Master - US vs THEM'!$G$2:$G$2951,0)),"")</f>
        <v>US</v>
      </c>
      <c r="K289" s="2" t="str">
        <f>IFERROR(INDEX('Master - US vs THEM'!$F$2:$F$2951,MATCH($A289&amp;"|"&amp;K$1,'Master - US vs THEM'!$G$2:$G$2951,0)),"")</f>
        <v>US</v>
      </c>
    </row>
    <row r="290" spans="1:11" x14ac:dyDescent="0.2">
      <c r="A290" s="2" t="str">
        <f>'[1]Brand Family Territory (Enc)'!A290</f>
        <v>Source Ultra Citra</v>
      </c>
      <c r="B290" s="2" t="str">
        <f>IFERROR(INDEX('Master - US vs THEM'!$F$2:$F$2951,MATCH($A290&amp;"|"&amp;B$1,'Master - US vs THEM'!$G$2:$G$2951,0)),"")</f>
        <v>US</v>
      </c>
      <c r="C290" s="2" t="str">
        <f>IFERROR(INDEX('Master - US vs THEM'!$F$2:$F$2951,MATCH($A290&amp;"|"&amp;C$1,'Master - US vs THEM'!$G$2:$G$2951,0)),"")</f>
        <v>US</v>
      </c>
      <c r="D290" s="2" t="str">
        <f>IFERROR(INDEX('Master - US vs THEM'!$F$2:$F$2951,MATCH($A290&amp;"|"&amp;D$1,'Master - US vs THEM'!$G$2:$G$2951,0)),"")</f>
        <v>US</v>
      </c>
      <c r="E290" s="2" t="str">
        <f>IFERROR(INDEX('Master - US vs THEM'!$F$2:$F$2951,MATCH($A290&amp;"|"&amp;E$1,'Master - US vs THEM'!$G$2:$G$2951,0)),"")</f>
        <v>US</v>
      </c>
      <c r="F290" s="2" t="str">
        <f>IFERROR(INDEX('Master - US vs THEM'!$F$2:$F$2951,MATCH($A290&amp;"|"&amp;F$1,'Master - US vs THEM'!$G$2:$G$2951,0)),"")</f>
        <v>US</v>
      </c>
      <c r="G290" s="2" t="str">
        <f>IFERROR(INDEX('Master - US vs THEM'!$F$2:$F$2951,MATCH($A290&amp;"|"&amp;G$1,'Master - US vs THEM'!$G$2:$G$2951,0)),"")</f>
        <v>US</v>
      </c>
      <c r="H290" s="2" t="str">
        <f>IFERROR(INDEX('Master - US vs THEM'!$F$2:$F$2951,MATCH($A290&amp;"|"&amp;H$1,'Master - US vs THEM'!$G$2:$G$2951,0)),"")</f>
        <v>US</v>
      </c>
      <c r="I290" s="2" t="str">
        <f>IFERROR(INDEX('Master - US vs THEM'!$F$2:$F$2951,MATCH($A290&amp;"|"&amp;I$1,'Master - US vs THEM'!$G$2:$G$2951,0)),"")</f>
        <v>US</v>
      </c>
      <c r="J290" s="2" t="str">
        <f>IFERROR(INDEX('Master - US vs THEM'!$F$2:$F$2951,MATCH($A290&amp;"|"&amp;J$1,'Master - US vs THEM'!$G$2:$G$2951,0)),"")</f>
        <v>US</v>
      </c>
      <c r="K290" s="2" t="str">
        <f>IFERROR(INDEX('Master - US vs THEM'!$F$2:$F$2951,MATCH($A290&amp;"|"&amp;K$1,'Master - US vs THEM'!$G$2:$G$2951,0)),"")</f>
        <v>US</v>
      </c>
    </row>
    <row r="291" spans="1:11" x14ac:dyDescent="0.2">
      <c r="A291" s="2" t="str">
        <f>'[1]Brand Family Territory (Enc)'!A291</f>
        <v>Source Jersey Lager</v>
      </c>
      <c r="B291" s="2" t="str">
        <f>IFERROR(INDEX('Master - US vs THEM'!$F$2:$F$2951,MATCH($A291&amp;"|"&amp;B$1,'Master - US vs THEM'!$G$2:$G$2951,0)),"")</f>
        <v>US</v>
      </c>
      <c r="C291" s="2" t="str">
        <f>IFERROR(INDEX('Master - US vs THEM'!$F$2:$F$2951,MATCH($A291&amp;"|"&amp;C$1,'Master - US vs THEM'!$G$2:$G$2951,0)),"")</f>
        <v>US</v>
      </c>
      <c r="D291" s="2" t="str">
        <f>IFERROR(INDEX('Master - US vs THEM'!$F$2:$F$2951,MATCH($A291&amp;"|"&amp;D$1,'Master - US vs THEM'!$G$2:$G$2951,0)),"")</f>
        <v>US</v>
      </c>
      <c r="E291" s="2" t="str">
        <f>IFERROR(INDEX('Master - US vs THEM'!$F$2:$F$2951,MATCH($A291&amp;"|"&amp;E$1,'Master - US vs THEM'!$G$2:$G$2951,0)),"")</f>
        <v>US</v>
      </c>
      <c r="F291" s="2" t="str">
        <f>IFERROR(INDEX('Master - US vs THEM'!$F$2:$F$2951,MATCH($A291&amp;"|"&amp;F$1,'Master - US vs THEM'!$G$2:$G$2951,0)),"")</f>
        <v>US</v>
      </c>
      <c r="G291" s="2" t="str">
        <f>IFERROR(INDEX('Master - US vs THEM'!$F$2:$F$2951,MATCH($A291&amp;"|"&amp;G$1,'Master - US vs THEM'!$G$2:$G$2951,0)),"")</f>
        <v>US</v>
      </c>
      <c r="H291" s="2" t="str">
        <f>IFERROR(INDEX('Master - US vs THEM'!$F$2:$F$2951,MATCH($A291&amp;"|"&amp;H$1,'Master - US vs THEM'!$G$2:$G$2951,0)),"")</f>
        <v>US</v>
      </c>
      <c r="I291" s="2" t="str">
        <f>IFERROR(INDEX('Master - US vs THEM'!$F$2:$F$2951,MATCH($A291&amp;"|"&amp;I$1,'Master - US vs THEM'!$G$2:$G$2951,0)),"")</f>
        <v>US</v>
      </c>
      <c r="J291" s="2" t="str">
        <f>IFERROR(INDEX('Master - US vs THEM'!$F$2:$F$2951,MATCH($A291&amp;"|"&amp;J$1,'Master - US vs THEM'!$G$2:$G$2951,0)),"")</f>
        <v>US</v>
      </c>
      <c r="K291" s="2" t="str">
        <f>IFERROR(INDEX('Master - US vs THEM'!$F$2:$F$2951,MATCH($A291&amp;"|"&amp;K$1,'Master - US vs THEM'!$G$2:$G$2951,0)),"")</f>
        <v>US</v>
      </c>
    </row>
    <row r="292" spans="1:11" x14ac:dyDescent="0.2">
      <c r="A292" s="2" t="str">
        <f>'[1]Brand Family Territory (Enc)'!A292</f>
        <v>Flying Fish Box of Bones Variety</v>
      </c>
      <c r="B292" s="2" t="str">
        <f>IFERROR(INDEX('Master - US vs THEM'!$F$2:$F$2951,MATCH($A292&amp;"|"&amp;B$1,'Master - US vs THEM'!$G$2:$G$2951,0)),"")</f>
        <v>US</v>
      </c>
      <c r="C292" s="2" t="str">
        <f>IFERROR(INDEX('Master - US vs THEM'!$F$2:$F$2951,MATCH($A292&amp;"|"&amp;C$1,'Master - US vs THEM'!$G$2:$G$2951,0)),"")</f>
        <v>US</v>
      </c>
      <c r="D292" s="2" t="str">
        <f>IFERROR(INDEX('Master - US vs THEM'!$F$2:$F$2951,MATCH($A292&amp;"|"&amp;D$1,'Master - US vs THEM'!$G$2:$G$2951,0)),"")</f>
        <v>THEM</v>
      </c>
      <c r="E292" s="2" t="str">
        <f>IFERROR(INDEX('Master - US vs THEM'!$F$2:$F$2951,MATCH($A292&amp;"|"&amp;E$1,'Master - US vs THEM'!$G$2:$G$2951,0)),"")</f>
        <v>US</v>
      </c>
      <c r="F292" s="2" t="str">
        <f>IFERROR(INDEX('Master - US vs THEM'!$F$2:$F$2951,MATCH($A292&amp;"|"&amp;F$1,'Master - US vs THEM'!$G$2:$G$2951,0)),"")</f>
        <v>US</v>
      </c>
      <c r="G292" s="2" t="str">
        <f>IFERROR(INDEX('Master - US vs THEM'!$F$2:$F$2951,MATCH($A292&amp;"|"&amp;G$1,'Master - US vs THEM'!$G$2:$G$2951,0)),"")</f>
        <v>THEM</v>
      </c>
      <c r="H292" s="2" t="str">
        <f>IFERROR(INDEX('Master - US vs THEM'!$F$2:$F$2951,MATCH($A292&amp;"|"&amp;H$1,'Master - US vs THEM'!$G$2:$G$2951,0)),"")</f>
        <v>THEM</v>
      </c>
      <c r="I292" s="2" t="str">
        <f>IFERROR(INDEX('Master - US vs THEM'!$F$2:$F$2951,MATCH($A292&amp;"|"&amp;I$1,'Master - US vs THEM'!$G$2:$G$2951,0)),"")</f>
        <v>THEM</v>
      </c>
      <c r="J292" s="2" t="str">
        <f>IFERROR(INDEX('Master - US vs THEM'!$F$2:$F$2951,MATCH($A292&amp;"|"&amp;J$1,'Master - US vs THEM'!$G$2:$G$2951,0)),"")</f>
        <v>THEM</v>
      </c>
      <c r="K292" s="2" t="str">
        <f>IFERROR(INDEX('Master - US vs THEM'!$F$2:$F$2951,MATCH($A292&amp;"|"&amp;K$1,'Master - US vs THEM'!$G$2:$G$2951,0)),"")</f>
        <v>THEM</v>
      </c>
    </row>
    <row r="293" spans="1:11" x14ac:dyDescent="0.2">
      <c r="A293" s="2" t="str">
        <f>'[1]Brand Family Territory (Enc)'!A293</f>
        <v>Sixpoint Summer Sesh</v>
      </c>
      <c r="B293" s="2" t="str">
        <f>IFERROR(INDEX('Master - US vs THEM'!$F$2:$F$2951,MATCH($A293&amp;"|"&amp;B$1,'Master - US vs THEM'!$G$2:$G$2951,0)),"")</f>
        <v>US</v>
      </c>
      <c r="C293" s="2" t="str">
        <f>IFERROR(INDEX('Master - US vs THEM'!$F$2:$F$2951,MATCH($A293&amp;"|"&amp;C$1,'Master - US vs THEM'!$G$2:$G$2951,0)),"")</f>
        <v>US</v>
      </c>
      <c r="D293" s="2" t="str">
        <f>IFERROR(INDEX('Master - US vs THEM'!$F$2:$F$2951,MATCH($A293&amp;"|"&amp;D$1,'Master - US vs THEM'!$G$2:$G$2951,0)),"")</f>
        <v>US</v>
      </c>
      <c r="E293" s="2" t="str">
        <f>IFERROR(INDEX('Master - US vs THEM'!$F$2:$F$2951,MATCH($A293&amp;"|"&amp;E$1,'Master - US vs THEM'!$G$2:$G$2951,0)),"")</f>
        <v>US</v>
      </c>
      <c r="F293" s="2" t="str">
        <f>IFERROR(INDEX('Master - US vs THEM'!$F$2:$F$2951,MATCH($A293&amp;"|"&amp;F$1,'Master - US vs THEM'!$G$2:$G$2951,0)),"")</f>
        <v>US</v>
      </c>
      <c r="G293" s="2" t="str">
        <f>IFERROR(INDEX('Master - US vs THEM'!$F$2:$F$2951,MATCH($A293&amp;"|"&amp;G$1,'Master - US vs THEM'!$G$2:$G$2951,0)),"")</f>
        <v>THEM</v>
      </c>
      <c r="H293" s="2" t="str">
        <f>IFERROR(INDEX('Master - US vs THEM'!$F$2:$F$2951,MATCH($A293&amp;"|"&amp;H$1,'Master - US vs THEM'!$G$2:$G$2951,0)),"")</f>
        <v>THEM</v>
      </c>
      <c r="I293" s="2" t="str">
        <f>IFERROR(INDEX('Master - US vs THEM'!$F$2:$F$2951,MATCH($A293&amp;"|"&amp;I$1,'Master - US vs THEM'!$G$2:$G$2951,0)),"")</f>
        <v>THEM</v>
      </c>
      <c r="J293" s="2" t="str">
        <f>IFERROR(INDEX('Master - US vs THEM'!$F$2:$F$2951,MATCH($A293&amp;"|"&amp;J$1,'Master - US vs THEM'!$G$2:$G$2951,0)),"")</f>
        <v>THEM</v>
      </c>
      <c r="K293" s="2" t="str">
        <f>IFERROR(INDEX('Master - US vs THEM'!$F$2:$F$2951,MATCH($A293&amp;"|"&amp;K$1,'Master - US vs THEM'!$G$2:$G$2951,0)),"")</f>
        <v>THEM</v>
      </c>
    </row>
    <row r="294" spans="1:11" x14ac:dyDescent="0.2">
      <c r="A294" s="2" t="str">
        <f>'[1]Brand Family Territory (Enc)'!A294</f>
        <v>Bloom Bubbles</v>
      </c>
      <c r="B294" s="2" t="str">
        <f>IFERROR(INDEX('Master - US vs THEM'!$F$2:$F$2951,MATCH($A294&amp;"|"&amp;B$1,'Master - US vs THEM'!$G$2:$G$2951,0)),"")</f>
        <v>US</v>
      </c>
      <c r="C294" s="2" t="str">
        <f>IFERROR(INDEX('Master - US vs THEM'!$F$2:$F$2951,MATCH($A294&amp;"|"&amp;C$1,'Master - US vs THEM'!$G$2:$G$2951,0)),"")</f>
        <v>US</v>
      </c>
      <c r="D294" s="2" t="str">
        <f>IFERROR(INDEX('Master - US vs THEM'!$F$2:$F$2951,MATCH($A294&amp;"|"&amp;D$1,'Master - US vs THEM'!$G$2:$G$2951,0)),"")</f>
        <v>US</v>
      </c>
      <c r="E294" s="2" t="str">
        <f>IFERROR(INDEX('Master - US vs THEM'!$F$2:$F$2951,MATCH($A294&amp;"|"&amp;E$1,'Master - US vs THEM'!$G$2:$G$2951,0)),"")</f>
        <v>US</v>
      </c>
      <c r="F294" s="2" t="str">
        <f>IFERROR(INDEX('Master - US vs THEM'!$F$2:$F$2951,MATCH($A294&amp;"|"&amp;F$1,'Master - US vs THEM'!$G$2:$G$2951,0)),"")</f>
        <v>US</v>
      </c>
      <c r="G294" s="2" t="str">
        <f>IFERROR(INDEX('Master - US vs THEM'!$F$2:$F$2951,MATCH($A294&amp;"|"&amp;G$1,'Master - US vs THEM'!$G$2:$G$2951,0)),"")</f>
        <v>US</v>
      </c>
      <c r="H294" s="2" t="str">
        <f>IFERROR(INDEX('Master - US vs THEM'!$F$2:$F$2951,MATCH($A294&amp;"|"&amp;H$1,'Master - US vs THEM'!$G$2:$G$2951,0)),"")</f>
        <v>US</v>
      </c>
      <c r="I294" s="2" t="str">
        <f>IFERROR(INDEX('Master - US vs THEM'!$F$2:$F$2951,MATCH($A294&amp;"|"&amp;I$1,'Master - US vs THEM'!$G$2:$G$2951,0)),"")</f>
        <v>US</v>
      </c>
      <c r="J294" s="2" t="str">
        <f>IFERROR(INDEX('Master - US vs THEM'!$F$2:$F$2951,MATCH($A294&amp;"|"&amp;J$1,'Master - US vs THEM'!$G$2:$G$2951,0)),"")</f>
        <v>US</v>
      </c>
      <c r="K294" s="2" t="str">
        <f>IFERROR(INDEX('Master - US vs THEM'!$F$2:$F$2951,MATCH($A294&amp;"|"&amp;K$1,'Master - US vs THEM'!$G$2:$G$2951,0)),"")</f>
        <v>US</v>
      </c>
    </row>
    <row r="295" spans="1:11" x14ac:dyDescent="0.2">
      <c r="A295" s="2" t="str">
        <f>'[1]Brand Family Territory (Enc)'!A295</f>
        <v>Poca Loca</v>
      </c>
      <c r="B295" s="2" t="str">
        <f>IFERROR(INDEX('Master - US vs THEM'!$F$2:$F$2951,MATCH($A295&amp;"|"&amp;B$1,'Master - US vs THEM'!$G$2:$G$2951,0)),"")</f>
        <v>US</v>
      </c>
      <c r="C295" s="2" t="str">
        <f>IFERROR(INDEX('Master - US vs THEM'!$F$2:$F$2951,MATCH($A295&amp;"|"&amp;C$1,'Master - US vs THEM'!$G$2:$G$2951,0)),"")</f>
        <v>US</v>
      </c>
      <c r="D295" s="2" t="str">
        <f>IFERROR(INDEX('Master - US vs THEM'!$F$2:$F$2951,MATCH($A295&amp;"|"&amp;D$1,'Master - US vs THEM'!$G$2:$G$2951,0)),"")</f>
        <v>US</v>
      </c>
      <c r="E295" s="2" t="str">
        <f>IFERROR(INDEX('Master - US vs THEM'!$F$2:$F$2951,MATCH($A295&amp;"|"&amp;E$1,'Master - US vs THEM'!$G$2:$G$2951,0)),"")</f>
        <v>US</v>
      </c>
      <c r="F295" s="2" t="str">
        <f>IFERROR(INDEX('Master - US vs THEM'!$F$2:$F$2951,MATCH($A295&amp;"|"&amp;F$1,'Master - US vs THEM'!$G$2:$G$2951,0)),"")</f>
        <v>US</v>
      </c>
      <c r="G295" s="2" t="str">
        <f>IFERROR(INDEX('Master - US vs THEM'!$F$2:$F$2951,MATCH($A295&amp;"|"&amp;G$1,'Master - US vs THEM'!$G$2:$G$2951,0)),"")</f>
        <v>US</v>
      </c>
      <c r="H295" s="2" t="str">
        <f>IFERROR(INDEX('Master - US vs THEM'!$F$2:$F$2951,MATCH($A295&amp;"|"&amp;H$1,'Master - US vs THEM'!$G$2:$G$2951,0)),"")</f>
        <v>US</v>
      </c>
      <c r="I295" s="2" t="str">
        <f>IFERROR(INDEX('Master - US vs THEM'!$F$2:$F$2951,MATCH($A295&amp;"|"&amp;I$1,'Master - US vs THEM'!$G$2:$G$2951,0)),"")</f>
        <v>US</v>
      </c>
      <c r="J295" s="2" t="str">
        <f>IFERROR(INDEX('Master - US vs THEM'!$F$2:$F$2951,MATCH($A295&amp;"|"&amp;J$1,'Master - US vs THEM'!$G$2:$G$2951,0)),"")</f>
        <v>US</v>
      </c>
      <c r="K295" s="2" t="str">
        <f>IFERROR(INDEX('Master - US vs THEM'!$F$2:$F$2951,MATCH($A295&amp;"|"&amp;K$1,'Master - US vs THEM'!$G$2:$G$2951,0)),"")</f>
        <v>US</v>
      </c>
    </row>
    <row r="296" spans="1:11" x14ac:dyDescent="0.2">
      <c r="A296" s="2" t="str">
        <f>'[1]Brand Family Territory (Enc)'!A296</f>
        <v>2 Canos</v>
      </c>
      <c r="B296" s="2" t="str">
        <f>IFERROR(INDEX('Master - US vs THEM'!$F$2:$F$2951,MATCH($A296&amp;"|"&amp;B$1,'Master - US vs THEM'!$G$2:$G$2951,0)),"")</f>
        <v>US</v>
      </c>
      <c r="C296" s="2" t="str">
        <f>IFERROR(INDEX('Master - US vs THEM'!$F$2:$F$2951,MATCH($A296&amp;"|"&amp;C$1,'Master - US vs THEM'!$G$2:$G$2951,0)),"")</f>
        <v>US</v>
      </c>
      <c r="D296" s="2" t="str">
        <f>IFERROR(INDEX('Master - US vs THEM'!$F$2:$F$2951,MATCH($A296&amp;"|"&amp;D$1,'Master - US vs THEM'!$G$2:$G$2951,0)),"")</f>
        <v>US</v>
      </c>
      <c r="E296" s="2" t="str">
        <f>IFERROR(INDEX('Master - US vs THEM'!$F$2:$F$2951,MATCH($A296&amp;"|"&amp;E$1,'Master - US vs THEM'!$G$2:$G$2951,0)),"")</f>
        <v>US</v>
      </c>
      <c r="F296" s="2" t="str">
        <f>IFERROR(INDEX('Master - US vs THEM'!$F$2:$F$2951,MATCH($A296&amp;"|"&amp;F$1,'Master - US vs THEM'!$G$2:$G$2951,0)),"")</f>
        <v>US</v>
      </c>
      <c r="G296" s="2" t="str">
        <f>IFERROR(INDEX('Master - US vs THEM'!$F$2:$F$2951,MATCH($A296&amp;"|"&amp;G$1,'Master - US vs THEM'!$G$2:$G$2951,0)),"")</f>
        <v>US</v>
      </c>
      <c r="H296" s="2" t="str">
        <f>IFERROR(INDEX('Master - US vs THEM'!$F$2:$F$2951,MATCH($A296&amp;"|"&amp;H$1,'Master - US vs THEM'!$G$2:$G$2951,0)),"")</f>
        <v>US</v>
      </c>
      <c r="I296" s="2" t="str">
        <f>IFERROR(INDEX('Master - US vs THEM'!$F$2:$F$2951,MATCH($A296&amp;"|"&amp;I$1,'Master - US vs THEM'!$G$2:$G$2951,0)),"")</f>
        <v>US</v>
      </c>
      <c r="J296" s="2" t="str">
        <f>IFERROR(INDEX('Master - US vs THEM'!$F$2:$F$2951,MATCH($A296&amp;"|"&amp;J$1,'Master - US vs THEM'!$G$2:$G$2951,0)),"")</f>
        <v>US</v>
      </c>
      <c r="K296" s="2" t="str">
        <f>IFERROR(INDEX('Master - US vs THEM'!$F$2:$F$2951,MATCH($A296&amp;"|"&amp;K$1,'Master - US vs THEM'!$G$2:$G$2951,0)),"")</f>
        <v>US</v>
      </c>
    </row>
    <row r="297" spans="1:11" x14ac:dyDescent="0.2">
      <c r="A297" s="2" t="s">
        <v>7</v>
      </c>
      <c r="B297" s="2" t="str">
        <f>IFERROR(INDEX('Master - US vs THEM'!$F$2:$F$2961,MATCH($A297&amp;"|"&amp;B$1,'Master - US vs THEM'!$G$2:$G$2961,0)),"")</f>
        <v>US</v>
      </c>
      <c r="C297" s="2" t="str">
        <f>IFERROR(INDEX('Master - US vs THEM'!$F$2:$F$2961,MATCH($A297&amp;"|"&amp;C$1,'Master - US vs THEM'!$G$2:$G$2961,0)),"")</f>
        <v>US</v>
      </c>
      <c r="D297" s="2" t="str">
        <f>IFERROR(INDEX('Master - US vs THEM'!$F$2:$F$2961,MATCH($A297&amp;"|"&amp;D$1,'Master - US vs THEM'!$G$2:$G$2961,0)),"")</f>
        <v>US</v>
      </c>
      <c r="E297" s="2" t="str">
        <f>IFERROR(INDEX('Master - US vs THEM'!$F$2:$F$2961,MATCH($A297&amp;"|"&amp;E$1,'Master - US vs THEM'!$G$2:$G$2961,0)),"")</f>
        <v>THEM</v>
      </c>
      <c r="F297" s="2" t="str">
        <f>IFERROR(INDEX('Master - US vs THEM'!$F$2:$F$2961,MATCH($A297&amp;"|"&amp;F$1,'Master - US vs THEM'!$G$2:$G$2961,0)),"")</f>
        <v>THEM</v>
      </c>
      <c r="G297" s="2" t="str">
        <f>IFERROR(INDEX('Master - US vs THEM'!$F$2:$F$2961,MATCH($A297&amp;"|"&amp;G$1,'Master - US vs THEM'!$G$2:$G$2961,0)),"")</f>
        <v>THEM</v>
      </c>
      <c r="H297" s="2" t="str">
        <f>IFERROR(INDEX('Master - US vs THEM'!$F$2:$F$2961,MATCH($A297&amp;"|"&amp;H$1,'Master - US vs THEM'!$G$2:$G$2961,0)),"")</f>
        <v>US</v>
      </c>
      <c r="I297" s="2" t="str">
        <f>IFERROR(INDEX('Master - US vs THEM'!$F$2:$F$2961,MATCH($A297&amp;"|"&amp;I$1,'Master - US vs THEM'!$G$2:$G$2961,0)),"")</f>
        <v>US</v>
      </c>
      <c r="J297" s="2" t="str">
        <f>IFERROR(INDEX('Master - US vs THEM'!$F$2:$F$2961,MATCH($A297&amp;"|"&amp;J$1,'Master - US vs THEM'!$G$2:$G$2961,0)),"")</f>
        <v>THEM</v>
      </c>
      <c r="K297" s="2" t="str">
        <f>IFERROR(INDEX('Master - US vs THEM'!$F$2:$F$2961,MATCH($A297&amp;"|"&amp;K$1,'Master - US vs THEM'!$G$2:$G$2961,0)),"")</f>
        <v>US</v>
      </c>
    </row>
  </sheetData>
  <conditionalFormatting sqref="B2:K296">
    <cfRule type="containsText" dxfId="4" priority="1" operator="containsText" text="US">
      <formula>NOT(ISERROR(SEARCH("US",B2)))</formula>
    </cfRule>
    <cfRule type="containsText" dxfId="3" priority="2" operator="containsText" text="THEM">
      <formula>NOT(ISERROR(SEARCH("THEM",B2)))</formula>
    </cfRule>
    <cfRule type="containsText" dxfId="2" priority="3" operator="containsText" text="Ambiguous">
      <formula>NOT(ISERROR(SEARCH("Ambiguous",B2)))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AD112-27DC-4754-A261-21BE8A58994C}">
  <dimension ref="A1:K300"/>
  <sheetViews>
    <sheetView workbookViewId="0">
      <pane ySplit="1" topLeftCell="A2" activePane="bottomLeft" state="frozen"/>
      <selection activeCell="C8" sqref="C8"/>
      <selection pane="bottomLeft" activeCell="C8" sqref="C8"/>
    </sheetView>
  </sheetViews>
  <sheetFormatPr defaultRowHeight="12.75" x14ac:dyDescent="0.2"/>
  <cols>
    <col min="1" max="1" width="33" style="2" bestFit="1" customWidth="1"/>
    <col min="2" max="3" width="10" style="2" bestFit="1" customWidth="1"/>
    <col min="4" max="4" width="12.140625" style="2" bestFit="1" customWidth="1"/>
    <col min="5" max="11" width="10" style="2" bestFit="1" customWidth="1"/>
    <col min="12" max="16384" width="9.140625" style="2"/>
  </cols>
  <sheetData>
    <row r="1" spans="1:11" x14ac:dyDescent="0.2">
      <c r="A1" s="1" t="s">
        <v>0</v>
      </c>
      <c r="B1" s="1" t="s">
        <v>11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</row>
    <row r="2" spans="1:11" x14ac:dyDescent="0.2">
      <c r="A2" s="2" t="str" cm="1">
        <f t="array" ref="A2:A238">_xlfn._xlws.SORT(_xlfn.UNIQUE(_xlfn._xlws.FILTER('Blackout Brand Fam Areas (Enc)'!B6:B998,'Blackout Brand Fam Areas (Enc)'!B6:B998&lt;&gt;"")))</f>
        <v>Affligem</v>
      </c>
      <c r="B2" s="2" t="str">
        <f>IF($A2="","",IF(COUNTIFS('Blackout Brand Fam Areas (Enc)'!$B$6:$B$998,$A2,'Blackout Brand Fam Areas (Enc)'!$C$6:$C$998,B$1,'Blackout Brand Fam Areas (Enc)'!$D$6:$D$998,"Inactive")&gt;0,"BLOCKED","CAN SELL"))</f>
        <v>CAN SELL</v>
      </c>
      <c r="C2" s="2" t="str">
        <f>IF($A2="","",IF(COUNTIFS('Blackout Brand Fam Areas (Enc)'!$B$6:$B$998,$A2,'Blackout Brand Fam Areas (Enc)'!$C$6:$C$998,C$1,'Blackout Brand Fam Areas (Enc)'!$D$6:$D$998,"Inactive")&gt;0,"BLOCKED","CAN SELL"))</f>
        <v>CAN SELL</v>
      </c>
      <c r="D2" s="2" t="str">
        <f>IF($A2="","",IF(COUNTIFS('Blackout Brand Fam Areas (Enc)'!$B$6:$B$998,$A2,'Blackout Brand Fam Areas (Enc)'!$C$6:$C$998,D$1,'Blackout Brand Fam Areas (Enc)'!$D$6:$D$998,"Inactive")&gt;0,"BLOCKED","CAN SELL"))</f>
        <v>CAN SELL</v>
      </c>
      <c r="E2" s="2" t="str">
        <f>IF($A2="","",IF(COUNTIFS('Blackout Brand Fam Areas (Enc)'!$B$6:$B$998,$A2,'Blackout Brand Fam Areas (Enc)'!$C$6:$C$998,E$1,'Blackout Brand Fam Areas (Enc)'!$D$6:$D$998,"Inactive")&gt;0,"BLOCKED","CAN SELL"))</f>
        <v>BLOCKED</v>
      </c>
      <c r="F2" s="2" t="str">
        <f>IF($A2="","",IF(COUNTIFS('Blackout Brand Fam Areas (Enc)'!$B$6:$B$998,$A2,'Blackout Brand Fam Areas (Enc)'!$C$6:$C$998,F$1,'Blackout Brand Fam Areas (Enc)'!$D$6:$D$998,"Inactive")&gt;0,"BLOCKED","CAN SELL"))</f>
        <v>BLOCKED</v>
      </c>
      <c r="G2" s="2" t="str">
        <f>IF($A2="","",IF(COUNTIFS('Blackout Brand Fam Areas (Enc)'!$B$6:$B$998,$A2,'Blackout Brand Fam Areas (Enc)'!$C$6:$C$998,G$1,'Blackout Brand Fam Areas (Enc)'!$D$6:$D$998,"Inactive")&gt;0,"BLOCKED","CAN SELL"))</f>
        <v>BLOCKED</v>
      </c>
      <c r="H2" s="2" t="str">
        <f>IF($A2="","",IF(COUNTIFS('Blackout Brand Fam Areas (Enc)'!$B$6:$B$998,$A2,'Blackout Brand Fam Areas (Enc)'!$C$6:$C$998,H$1,'Blackout Brand Fam Areas (Enc)'!$D$6:$D$998,"Inactive")&gt;0,"BLOCKED","CAN SELL"))</f>
        <v>BLOCKED</v>
      </c>
      <c r="I2" s="2" t="str">
        <f>IF($A2="","",IF(COUNTIFS('Blackout Brand Fam Areas (Enc)'!$B$6:$B$998,$A2,'Blackout Brand Fam Areas (Enc)'!$C$6:$C$998,I$1,'Blackout Brand Fam Areas (Enc)'!$D$6:$D$998,"Inactive")&gt;0,"BLOCKED","CAN SELL"))</f>
        <v>BLOCKED</v>
      </c>
      <c r="J2" s="2" t="str">
        <f>IF($A2="","",IF(COUNTIFS('Blackout Brand Fam Areas (Enc)'!$B$6:$B$998,$A2,'Blackout Brand Fam Areas (Enc)'!$C$6:$C$998,J$1,'Blackout Brand Fam Areas (Enc)'!$D$6:$D$998,"Inactive")&gt;0,"BLOCKED","CAN SELL"))</f>
        <v>BLOCKED</v>
      </c>
      <c r="K2" s="2" t="str">
        <f>IF($A2="","",IF(COUNTIFS('Blackout Brand Fam Areas (Enc)'!$B$6:$B$998,$A2,'Blackout Brand Fam Areas (Enc)'!$C$6:$C$998,K$1,'Blackout Brand Fam Areas (Enc)'!$D$6:$D$998,"Inactive")&gt;0,"BLOCKED","CAN SELL"))</f>
        <v>CAN SELL</v>
      </c>
    </row>
    <row r="3" spans="1:11" x14ac:dyDescent="0.2">
      <c r="A3" s="2" t="str">
        <v>Aguila</v>
      </c>
      <c r="B3" s="2" t="str">
        <f>IF($A3="","",IF(COUNTIFS('Blackout Brand Fam Areas (Enc)'!$B$6:$B$998,$A3,'Blackout Brand Fam Areas (Enc)'!$C$6:$C$998,B$1,'Blackout Brand Fam Areas (Enc)'!$D$6:$D$998,"Inactive")&gt;0,"BLOCKED","CAN SELL"))</f>
        <v>CAN SELL</v>
      </c>
      <c r="C3" s="2" t="str">
        <f>IF($A3="","",IF(COUNTIFS('Blackout Brand Fam Areas (Enc)'!$B$6:$B$998,$A3,'Blackout Brand Fam Areas (Enc)'!$C$6:$C$998,C$1,'Blackout Brand Fam Areas (Enc)'!$D$6:$D$998,"Inactive")&gt;0,"BLOCKED","CAN SELL"))</f>
        <v>CAN SELL</v>
      </c>
      <c r="D3" s="2" t="str">
        <f>IF($A3="","",IF(COUNTIFS('Blackout Brand Fam Areas (Enc)'!$B$6:$B$998,$A3,'Blackout Brand Fam Areas (Enc)'!$C$6:$C$998,D$1,'Blackout Brand Fam Areas (Enc)'!$D$6:$D$998,"Inactive")&gt;0,"BLOCKED","CAN SELL"))</f>
        <v>CAN SELL</v>
      </c>
      <c r="E3" s="2" t="str">
        <f>IF($A3="","",IF(COUNTIFS('Blackout Brand Fam Areas (Enc)'!$B$6:$B$998,$A3,'Blackout Brand Fam Areas (Enc)'!$C$6:$C$998,E$1,'Blackout Brand Fam Areas (Enc)'!$D$6:$D$998,"Inactive")&gt;0,"BLOCKED","CAN SELL"))</f>
        <v>BLOCKED</v>
      </c>
      <c r="F3" s="2" t="str">
        <f>IF($A3="","",IF(COUNTIFS('Blackout Brand Fam Areas (Enc)'!$B$6:$B$998,$A3,'Blackout Brand Fam Areas (Enc)'!$C$6:$C$998,F$1,'Blackout Brand Fam Areas (Enc)'!$D$6:$D$998,"Inactive")&gt;0,"BLOCKED","CAN SELL"))</f>
        <v>BLOCKED</v>
      </c>
      <c r="G3" s="2" t="str">
        <f>IF($A3="","",IF(COUNTIFS('Blackout Brand Fam Areas (Enc)'!$B$6:$B$998,$A3,'Blackout Brand Fam Areas (Enc)'!$C$6:$C$998,G$1,'Blackout Brand Fam Areas (Enc)'!$D$6:$D$998,"Inactive")&gt;0,"BLOCKED","CAN SELL"))</f>
        <v>BLOCKED</v>
      </c>
      <c r="H3" s="2" t="str">
        <f>IF($A3="","",IF(COUNTIFS('Blackout Brand Fam Areas (Enc)'!$B$6:$B$998,$A3,'Blackout Brand Fam Areas (Enc)'!$C$6:$C$998,H$1,'Blackout Brand Fam Areas (Enc)'!$D$6:$D$998,"Inactive")&gt;0,"BLOCKED","CAN SELL"))</f>
        <v>CAN SELL</v>
      </c>
      <c r="I3" s="2" t="str">
        <f>IF($A3="","",IF(COUNTIFS('Blackout Brand Fam Areas (Enc)'!$B$6:$B$998,$A3,'Blackout Brand Fam Areas (Enc)'!$C$6:$C$998,I$1,'Blackout Brand Fam Areas (Enc)'!$D$6:$D$998,"Inactive")&gt;0,"BLOCKED","CAN SELL"))</f>
        <v>CAN SELL</v>
      </c>
      <c r="J3" s="2" t="str">
        <f>IF($A3="","",IF(COUNTIFS('Blackout Brand Fam Areas (Enc)'!$B$6:$B$998,$A3,'Blackout Brand Fam Areas (Enc)'!$C$6:$C$998,J$1,'Blackout Brand Fam Areas (Enc)'!$D$6:$D$998,"Inactive")&gt;0,"BLOCKED","CAN SELL"))</f>
        <v>BLOCKED</v>
      </c>
      <c r="K3" s="2" t="str">
        <f>IF($A3="","",IF(COUNTIFS('Blackout Brand Fam Areas (Enc)'!$B$6:$B$998,$A3,'Blackout Brand Fam Areas (Enc)'!$C$6:$C$998,K$1,'Blackout Brand Fam Areas (Enc)'!$D$6:$D$998,"Inactive")&gt;0,"BLOCKED","CAN SELL"))</f>
        <v>CAN SELL</v>
      </c>
    </row>
    <row r="4" spans="1:11" x14ac:dyDescent="0.2">
      <c r="A4" s="2" t="str">
        <v>Amstel</v>
      </c>
      <c r="B4" s="2" t="str">
        <f>IF($A4="","",IF(COUNTIFS('Blackout Brand Fam Areas (Enc)'!$B$6:$B$998,$A4,'Blackout Brand Fam Areas (Enc)'!$C$6:$C$998,B$1,'Blackout Brand Fam Areas (Enc)'!$D$6:$D$998,"Inactive")&gt;0,"BLOCKED","CAN SELL"))</f>
        <v>CAN SELL</v>
      </c>
      <c r="C4" s="2" t="str">
        <f>IF($A4="","",IF(COUNTIFS('Blackout Brand Fam Areas (Enc)'!$B$6:$B$998,$A4,'Blackout Brand Fam Areas (Enc)'!$C$6:$C$998,C$1,'Blackout Brand Fam Areas (Enc)'!$D$6:$D$998,"Inactive")&gt;0,"BLOCKED","CAN SELL"))</f>
        <v>CAN SELL</v>
      </c>
      <c r="D4" s="2" t="str">
        <f>IF($A4="","",IF(COUNTIFS('Blackout Brand Fam Areas (Enc)'!$B$6:$B$998,$A4,'Blackout Brand Fam Areas (Enc)'!$C$6:$C$998,D$1,'Blackout Brand Fam Areas (Enc)'!$D$6:$D$998,"Inactive")&gt;0,"BLOCKED","CAN SELL"))</f>
        <v>CAN SELL</v>
      </c>
      <c r="E4" s="2" t="str">
        <f>IF($A4="","",IF(COUNTIFS('Blackout Brand Fam Areas (Enc)'!$B$6:$B$998,$A4,'Blackout Brand Fam Areas (Enc)'!$C$6:$C$998,E$1,'Blackout Brand Fam Areas (Enc)'!$D$6:$D$998,"Inactive")&gt;0,"BLOCKED","CAN SELL"))</f>
        <v>BLOCKED</v>
      </c>
      <c r="F4" s="2" t="str">
        <f>IF($A4="","",IF(COUNTIFS('Blackout Brand Fam Areas (Enc)'!$B$6:$B$998,$A4,'Blackout Brand Fam Areas (Enc)'!$C$6:$C$998,F$1,'Blackout Brand Fam Areas (Enc)'!$D$6:$D$998,"Inactive")&gt;0,"BLOCKED","CAN SELL"))</f>
        <v>BLOCKED</v>
      </c>
      <c r="G4" s="2" t="str">
        <f>IF($A4="","",IF(COUNTIFS('Blackout Brand Fam Areas (Enc)'!$B$6:$B$998,$A4,'Blackout Brand Fam Areas (Enc)'!$C$6:$C$998,G$1,'Blackout Brand Fam Areas (Enc)'!$D$6:$D$998,"Inactive")&gt;0,"BLOCKED","CAN SELL"))</f>
        <v>BLOCKED</v>
      </c>
      <c r="H4" s="2" t="str">
        <f>IF($A4="","",IF(COUNTIFS('Blackout Brand Fam Areas (Enc)'!$B$6:$B$998,$A4,'Blackout Brand Fam Areas (Enc)'!$C$6:$C$998,H$1,'Blackout Brand Fam Areas (Enc)'!$D$6:$D$998,"Inactive")&gt;0,"BLOCKED","CAN SELL"))</f>
        <v>BLOCKED</v>
      </c>
      <c r="I4" s="2" t="str">
        <f>IF($A4="","",IF(COUNTIFS('Blackout Brand Fam Areas (Enc)'!$B$6:$B$998,$A4,'Blackout Brand Fam Areas (Enc)'!$C$6:$C$998,I$1,'Blackout Brand Fam Areas (Enc)'!$D$6:$D$998,"Inactive")&gt;0,"BLOCKED","CAN SELL"))</f>
        <v>BLOCKED</v>
      </c>
      <c r="J4" s="2" t="str">
        <f>IF($A4="","",IF(COUNTIFS('Blackout Brand Fam Areas (Enc)'!$B$6:$B$998,$A4,'Blackout Brand Fam Areas (Enc)'!$C$6:$C$998,J$1,'Blackout Brand Fam Areas (Enc)'!$D$6:$D$998,"Inactive")&gt;0,"BLOCKED","CAN SELL"))</f>
        <v>BLOCKED</v>
      </c>
      <c r="K4" s="2" t="str">
        <f>IF($A4="","",IF(COUNTIFS('Blackout Brand Fam Areas (Enc)'!$B$6:$B$998,$A4,'Blackout Brand Fam Areas (Enc)'!$C$6:$C$998,K$1,'Blackout Brand Fam Areas (Enc)'!$D$6:$D$998,"Inactive")&gt;0,"BLOCKED","CAN SELL"))</f>
        <v>CAN SELL</v>
      </c>
    </row>
    <row r="5" spans="1:11" x14ac:dyDescent="0.2">
      <c r="A5" s="2" t="str">
        <v>Anchor</v>
      </c>
      <c r="B5" s="2" t="str">
        <f>IF($A5="","",IF(COUNTIFS('Blackout Brand Fam Areas (Enc)'!$B$6:$B$998,$A5,'Blackout Brand Fam Areas (Enc)'!$C$6:$C$998,B$1,'Blackout Brand Fam Areas (Enc)'!$D$6:$D$998,"Inactive")&gt;0,"BLOCKED","CAN SELL"))</f>
        <v>CAN SELL</v>
      </c>
      <c r="C5" s="2" t="str">
        <f>IF($A5="","",IF(COUNTIFS('Blackout Brand Fam Areas (Enc)'!$B$6:$B$998,$A5,'Blackout Brand Fam Areas (Enc)'!$C$6:$C$998,C$1,'Blackout Brand Fam Areas (Enc)'!$D$6:$D$998,"Inactive")&gt;0,"BLOCKED","CAN SELL"))</f>
        <v>CAN SELL</v>
      </c>
      <c r="D5" s="2" t="str">
        <f>IF($A5="","",IF(COUNTIFS('Blackout Brand Fam Areas (Enc)'!$B$6:$B$998,$A5,'Blackout Brand Fam Areas (Enc)'!$C$6:$C$998,D$1,'Blackout Brand Fam Areas (Enc)'!$D$6:$D$998,"Inactive")&gt;0,"BLOCKED","CAN SELL"))</f>
        <v>CAN SELL</v>
      </c>
      <c r="E5" s="2" t="str">
        <f>IF($A5="","",IF(COUNTIFS('Blackout Brand Fam Areas (Enc)'!$B$6:$B$998,$A5,'Blackout Brand Fam Areas (Enc)'!$C$6:$C$998,E$1,'Blackout Brand Fam Areas (Enc)'!$D$6:$D$998,"Inactive")&gt;0,"BLOCKED","CAN SELL"))</f>
        <v>BLOCKED</v>
      </c>
      <c r="F5" s="2" t="str">
        <f>IF($A5="","",IF(COUNTIFS('Blackout Brand Fam Areas (Enc)'!$B$6:$B$998,$A5,'Blackout Brand Fam Areas (Enc)'!$C$6:$C$998,F$1,'Blackout Brand Fam Areas (Enc)'!$D$6:$D$998,"Inactive")&gt;0,"BLOCKED","CAN SELL"))</f>
        <v>CAN SELL</v>
      </c>
      <c r="G5" s="2" t="str">
        <f>IF($A5="","",IF(COUNTIFS('Blackout Brand Fam Areas (Enc)'!$B$6:$B$998,$A5,'Blackout Brand Fam Areas (Enc)'!$C$6:$C$998,G$1,'Blackout Brand Fam Areas (Enc)'!$D$6:$D$998,"Inactive")&gt;0,"BLOCKED","CAN SELL"))</f>
        <v>BLOCKED</v>
      </c>
      <c r="H5" s="2" t="str">
        <f>IF($A5="","",IF(COUNTIFS('Blackout Brand Fam Areas (Enc)'!$B$6:$B$998,$A5,'Blackout Brand Fam Areas (Enc)'!$C$6:$C$998,H$1,'Blackout Brand Fam Areas (Enc)'!$D$6:$D$998,"Inactive")&gt;0,"BLOCKED","CAN SELL"))</f>
        <v>BLOCKED</v>
      </c>
      <c r="I5" s="2" t="str">
        <f>IF($A5="","",IF(COUNTIFS('Blackout Brand Fam Areas (Enc)'!$B$6:$B$998,$A5,'Blackout Brand Fam Areas (Enc)'!$C$6:$C$998,I$1,'Blackout Brand Fam Areas (Enc)'!$D$6:$D$998,"Inactive")&gt;0,"BLOCKED","CAN SELL"))</f>
        <v>BLOCKED</v>
      </c>
      <c r="J5" s="2" t="str">
        <f>IF($A5="","",IF(COUNTIFS('Blackout Brand Fam Areas (Enc)'!$B$6:$B$998,$A5,'Blackout Brand Fam Areas (Enc)'!$C$6:$C$998,J$1,'Blackout Brand Fam Areas (Enc)'!$D$6:$D$998,"Inactive")&gt;0,"BLOCKED","CAN SELL"))</f>
        <v>BLOCKED</v>
      </c>
      <c r="K5" s="2" t="str">
        <f>IF($A5="","",IF(COUNTIFS('Blackout Brand Fam Areas (Enc)'!$B$6:$B$998,$A5,'Blackout Brand Fam Areas (Enc)'!$C$6:$C$998,K$1,'Blackout Brand Fam Areas (Enc)'!$D$6:$D$998,"Inactive")&gt;0,"BLOCKED","CAN SELL"))</f>
        <v>BLOCKED</v>
      </c>
    </row>
    <row r="6" spans="1:11" x14ac:dyDescent="0.2">
      <c r="A6" s="2" t="str">
        <v>Angry Orchard</v>
      </c>
      <c r="B6" s="2" t="str">
        <f>IF($A6="","",IF(COUNTIFS('Blackout Brand Fam Areas (Enc)'!$B$6:$B$998,$A6,'Blackout Brand Fam Areas (Enc)'!$C$6:$C$998,B$1,'Blackout Brand Fam Areas (Enc)'!$D$6:$D$998,"Inactive")&gt;0,"BLOCKED","CAN SELL"))</f>
        <v>CAN SELL</v>
      </c>
      <c r="C6" s="2" t="str">
        <f>IF($A6="","",IF(COUNTIFS('Blackout Brand Fam Areas (Enc)'!$B$6:$B$998,$A6,'Blackout Brand Fam Areas (Enc)'!$C$6:$C$998,C$1,'Blackout Brand Fam Areas (Enc)'!$D$6:$D$998,"Inactive")&gt;0,"BLOCKED","CAN SELL"))</f>
        <v>CAN SELL</v>
      </c>
      <c r="D6" s="2" t="str">
        <f>IF($A6="","",IF(COUNTIFS('Blackout Brand Fam Areas (Enc)'!$B$6:$B$998,$A6,'Blackout Brand Fam Areas (Enc)'!$C$6:$C$998,D$1,'Blackout Brand Fam Areas (Enc)'!$D$6:$D$998,"Inactive")&gt;0,"BLOCKED","CAN SELL"))</f>
        <v>CAN SELL</v>
      </c>
      <c r="E6" s="2" t="str">
        <f>IF($A6="","",IF(COUNTIFS('Blackout Brand Fam Areas (Enc)'!$B$6:$B$998,$A6,'Blackout Brand Fam Areas (Enc)'!$C$6:$C$998,E$1,'Blackout Brand Fam Areas (Enc)'!$D$6:$D$998,"Inactive")&gt;0,"BLOCKED","CAN SELL"))</f>
        <v>BLOCKED</v>
      </c>
      <c r="F6" s="2" t="str">
        <f>IF($A6="","",IF(COUNTIFS('Blackout Brand Fam Areas (Enc)'!$B$6:$B$998,$A6,'Blackout Brand Fam Areas (Enc)'!$C$6:$C$998,F$1,'Blackout Brand Fam Areas (Enc)'!$D$6:$D$998,"Inactive")&gt;0,"BLOCKED","CAN SELL"))</f>
        <v>BLOCKED</v>
      </c>
      <c r="G6" s="2" t="str">
        <f>IF($A6="","",IF(COUNTIFS('Blackout Brand Fam Areas (Enc)'!$B$6:$B$998,$A6,'Blackout Brand Fam Areas (Enc)'!$C$6:$C$998,G$1,'Blackout Brand Fam Areas (Enc)'!$D$6:$D$998,"Inactive")&gt;0,"BLOCKED","CAN SELL"))</f>
        <v>BLOCKED</v>
      </c>
      <c r="H6" s="2" t="str">
        <f>IF($A6="","",IF(COUNTIFS('Blackout Brand Fam Areas (Enc)'!$B$6:$B$998,$A6,'Blackout Brand Fam Areas (Enc)'!$C$6:$C$998,H$1,'Blackout Brand Fam Areas (Enc)'!$D$6:$D$998,"Inactive")&gt;0,"BLOCKED","CAN SELL"))</f>
        <v>CAN SELL</v>
      </c>
      <c r="I6" s="2" t="str">
        <f>IF($A6="","",IF(COUNTIFS('Blackout Brand Fam Areas (Enc)'!$B$6:$B$998,$A6,'Blackout Brand Fam Areas (Enc)'!$C$6:$C$998,I$1,'Blackout Brand Fam Areas (Enc)'!$D$6:$D$998,"Inactive")&gt;0,"BLOCKED","CAN SELL"))</f>
        <v>CAN SELL</v>
      </c>
      <c r="J6" s="2" t="str">
        <f>IF($A6="","",IF(COUNTIFS('Blackout Brand Fam Areas (Enc)'!$B$6:$B$998,$A6,'Blackout Brand Fam Areas (Enc)'!$C$6:$C$998,J$1,'Blackout Brand Fam Areas (Enc)'!$D$6:$D$998,"Inactive")&gt;0,"BLOCKED","CAN SELL"))</f>
        <v>BLOCKED</v>
      </c>
      <c r="K6" s="2" t="str">
        <f>IF($A6="","",IF(COUNTIFS('Blackout Brand Fam Areas (Enc)'!$B$6:$B$998,$A6,'Blackout Brand Fam Areas (Enc)'!$C$6:$C$998,K$1,'Blackout Brand Fam Areas (Enc)'!$D$6:$D$998,"Inactive")&gt;0,"BLOCKED","CAN SELL"))</f>
        <v>CAN SELL</v>
      </c>
    </row>
    <row r="7" spans="1:11" x14ac:dyDescent="0.2">
      <c r="A7" s="2" t="str">
        <v>Arnold Palmer</v>
      </c>
      <c r="B7" s="2" t="str">
        <f>IF($A7="","",IF(COUNTIFS('Blackout Brand Fam Areas (Enc)'!$B$6:$B$998,$A7,'Blackout Brand Fam Areas (Enc)'!$C$6:$C$998,B$1,'Blackout Brand Fam Areas (Enc)'!$D$6:$D$998,"Inactive")&gt;0,"BLOCKED","CAN SELL"))</f>
        <v>CAN SELL</v>
      </c>
      <c r="C7" s="2" t="str">
        <f>IF($A7="","",IF(COUNTIFS('Blackout Brand Fam Areas (Enc)'!$B$6:$B$998,$A7,'Blackout Brand Fam Areas (Enc)'!$C$6:$C$998,C$1,'Blackout Brand Fam Areas (Enc)'!$D$6:$D$998,"Inactive")&gt;0,"BLOCKED","CAN SELL"))</f>
        <v>CAN SELL</v>
      </c>
      <c r="D7" s="2" t="str">
        <f>IF($A7="","",IF(COUNTIFS('Blackout Brand Fam Areas (Enc)'!$B$6:$B$998,$A7,'Blackout Brand Fam Areas (Enc)'!$C$6:$C$998,D$1,'Blackout Brand Fam Areas (Enc)'!$D$6:$D$998,"Inactive")&gt;0,"BLOCKED","CAN SELL"))</f>
        <v>CAN SELL</v>
      </c>
      <c r="E7" s="2" t="str">
        <f>IF($A7="","",IF(COUNTIFS('Blackout Brand Fam Areas (Enc)'!$B$6:$B$998,$A7,'Blackout Brand Fam Areas (Enc)'!$C$6:$C$998,E$1,'Blackout Brand Fam Areas (Enc)'!$D$6:$D$998,"Inactive")&gt;0,"BLOCKED","CAN SELL"))</f>
        <v>BLOCKED</v>
      </c>
      <c r="F7" s="2" t="str">
        <f>IF($A7="","",IF(COUNTIFS('Blackout Brand Fam Areas (Enc)'!$B$6:$B$998,$A7,'Blackout Brand Fam Areas (Enc)'!$C$6:$C$998,F$1,'Blackout Brand Fam Areas (Enc)'!$D$6:$D$998,"Inactive")&gt;0,"BLOCKED","CAN SELL"))</f>
        <v>BLOCKED</v>
      </c>
      <c r="G7" s="2" t="str">
        <f>IF($A7="","",IF(COUNTIFS('Blackout Brand Fam Areas (Enc)'!$B$6:$B$998,$A7,'Blackout Brand Fam Areas (Enc)'!$C$6:$C$998,G$1,'Blackout Brand Fam Areas (Enc)'!$D$6:$D$998,"Inactive")&gt;0,"BLOCKED","CAN SELL"))</f>
        <v>BLOCKED</v>
      </c>
      <c r="H7" s="2" t="str">
        <f>IF($A7="","",IF(COUNTIFS('Blackout Brand Fam Areas (Enc)'!$B$6:$B$998,$A7,'Blackout Brand Fam Areas (Enc)'!$C$6:$C$998,H$1,'Blackout Brand Fam Areas (Enc)'!$D$6:$D$998,"Inactive")&gt;0,"BLOCKED","CAN SELL"))</f>
        <v>CAN SELL</v>
      </c>
      <c r="I7" s="2" t="str">
        <f>IF($A7="","",IF(COUNTIFS('Blackout Brand Fam Areas (Enc)'!$B$6:$B$998,$A7,'Blackout Brand Fam Areas (Enc)'!$C$6:$C$998,I$1,'Blackout Brand Fam Areas (Enc)'!$D$6:$D$998,"Inactive")&gt;0,"BLOCKED","CAN SELL"))</f>
        <v>CAN SELL</v>
      </c>
      <c r="J7" s="2" t="str">
        <f>IF($A7="","",IF(COUNTIFS('Blackout Brand Fam Areas (Enc)'!$B$6:$B$998,$A7,'Blackout Brand Fam Areas (Enc)'!$C$6:$C$998,J$1,'Blackout Brand Fam Areas (Enc)'!$D$6:$D$998,"Inactive")&gt;0,"BLOCKED","CAN SELL"))</f>
        <v>BLOCKED</v>
      </c>
      <c r="K7" s="2" t="str">
        <f>IF($A7="","",IF(COUNTIFS('Blackout Brand Fam Areas (Enc)'!$B$6:$B$998,$A7,'Blackout Brand Fam Areas (Enc)'!$C$6:$C$998,K$1,'Blackout Brand Fam Areas (Enc)'!$D$6:$D$998,"Inactive")&gt;0,"BLOCKED","CAN SELL"))</f>
        <v>CAN SELL</v>
      </c>
    </row>
    <row r="8" spans="1:11" x14ac:dyDescent="0.2">
      <c r="A8" s="2" t="str">
        <v>Athletic</v>
      </c>
      <c r="B8" s="2" t="str">
        <f>IF($A8="","",IF(COUNTIFS('Blackout Brand Fam Areas (Enc)'!$B$6:$B$998,$A8,'Blackout Brand Fam Areas (Enc)'!$C$6:$C$998,B$1,'Blackout Brand Fam Areas (Enc)'!$D$6:$D$998,"Inactive")&gt;0,"BLOCKED","CAN SELL"))</f>
        <v>CAN SELL</v>
      </c>
      <c r="C8" s="2" t="str">
        <f>IF($A8="","",IF(COUNTIFS('Blackout Brand Fam Areas (Enc)'!$B$6:$B$998,$A8,'Blackout Brand Fam Areas (Enc)'!$C$6:$C$998,C$1,'Blackout Brand Fam Areas (Enc)'!$D$6:$D$998,"Inactive")&gt;0,"BLOCKED","CAN SELL"))</f>
        <v>CAN SELL</v>
      </c>
      <c r="D8" s="2" t="str">
        <f>IF($A8="","",IF(COUNTIFS('Blackout Brand Fam Areas (Enc)'!$B$6:$B$998,$A8,'Blackout Brand Fam Areas (Enc)'!$C$6:$C$998,D$1,'Blackout Brand Fam Areas (Enc)'!$D$6:$D$998,"Inactive")&gt;0,"BLOCKED","CAN SELL"))</f>
        <v>CAN SELL</v>
      </c>
      <c r="E8" s="2" t="str">
        <f>IF($A8="","",IF(COUNTIFS('Blackout Brand Fam Areas (Enc)'!$B$6:$B$998,$A8,'Blackout Brand Fam Areas (Enc)'!$C$6:$C$998,E$1,'Blackout Brand Fam Areas (Enc)'!$D$6:$D$998,"Inactive")&gt;0,"BLOCKED","CAN SELL"))</f>
        <v>BLOCKED</v>
      </c>
      <c r="F8" s="2" t="str">
        <f>IF($A8="","",IF(COUNTIFS('Blackout Brand Fam Areas (Enc)'!$B$6:$B$998,$A8,'Blackout Brand Fam Areas (Enc)'!$C$6:$C$998,F$1,'Blackout Brand Fam Areas (Enc)'!$D$6:$D$998,"Inactive")&gt;0,"BLOCKED","CAN SELL"))</f>
        <v>BLOCKED</v>
      </c>
      <c r="G8" s="2" t="str">
        <f>IF($A8="","",IF(COUNTIFS('Blackout Brand Fam Areas (Enc)'!$B$6:$B$998,$A8,'Blackout Brand Fam Areas (Enc)'!$C$6:$C$998,G$1,'Blackout Brand Fam Areas (Enc)'!$D$6:$D$998,"Inactive")&gt;0,"BLOCKED","CAN SELL"))</f>
        <v>BLOCKED</v>
      </c>
      <c r="H8" s="2" t="str">
        <f>IF($A8="","",IF(COUNTIFS('Blackout Brand Fam Areas (Enc)'!$B$6:$B$998,$A8,'Blackout Brand Fam Areas (Enc)'!$C$6:$C$998,H$1,'Blackout Brand Fam Areas (Enc)'!$D$6:$D$998,"Inactive")&gt;0,"BLOCKED","CAN SELL"))</f>
        <v>CAN SELL</v>
      </c>
      <c r="I8" s="2" t="str">
        <f>IF($A8="","",IF(COUNTIFS('Blackout Brand Fam Areas (Enc)'!$B$6:$B$998,$A8,'Blackout Brand Fam Areas (Enc)'!$C$6:$C$998,I$1,'Blackout Brand Fam Areas (Enc)'!$D$6:$D$998,"Inactive")&gt;0,"BLOCKED","CAN SELL"))</f>
        <v>CAN SELL</v>
      </c>
      <c r="J8" s="2" t="str">
        <f>IF($A8="","",IF(COUNTIFS('Blackout Brand Fam Areas (Enc)'!$B$6:$B$998,$A8,'Blackout Brand Fam Areas (Enc)'!$C$6:$C$998,J$1,'Blackout Brand Fam Areas (Enc)'!$D$6:$D$998,"Inactive")&gt;0,"BLOCKED","CAN SELL"))</f>
        <v>BLOCKED</v>
      </c>
      <c r="K8" s="2" t="str">
        <f>IF($A8="","",IF(COUNTIFS('Blackout Brand Fam Areas (Enc)'!$B$6:$B$998,$A8,'Blackout Brand Fam Areas (Enc)'!$C$6:$C$998,K$1,'Blackout Brand Fam Areas (Enc)'!$D$6:$D$998,"Inactive")&gt;0,"BLOCKED","CAN SELL"))</f>
        <v>CAN SELL</v>
      </c>
    </row>
    <row r="9" spans="1:11" x14ac:dyDescent="0.2">
      <c r="A9" s="2" t="str">
        <v>Ballast Point</v>
      </c>
      <c r="B9" s="2" t="str">
        <f>IF($A9="","",IF(COUNTIFS('Blackout Brand Fam Areas (Enc)'!$B$6:$B$998,$A9,'Blackout Brand Fam Areas (Enc)'!$C$6:$C$998,B$1,'Blackout Brand Fam Areas (Enc)'!$D$6:$D$998,"Inactive")&gt;0,"BLOCKED","CAN SELL"))</f>
        <v>CAN SELL</v>
      </c>
      <c r="C9" s="2" t="str">
        <f>IF($A9="","",IF(COUNTIFS('Blackout Brand Fam Areas (Enc)'!$B$6:$B$998,$A9,'Blackout Brand Fam Areas (Enc)'!$C$6:$C$998,C$1,'Blackout Brand Fam Areas (Enc)'!$D$6:$D$998,"Inactive")&gt;0,"BLOCKED","CAN SELL"))</f>
        <v>CAN SELL</v>
      </c>
      <c r="D9" s="2" t="str">
        <f>IF($A9="","",IF(COUNTIFS('Blackout Brand Fam Areas (Enc)'!$B$6:$B$998,$A9,'Blackout Brand Fam Areas (Enc)'!$C$6:$C$998,D$1,'Blackout Brand Fam Areas (Enc)'!$D$6:$D$998,"Inactive")&gt;0,"BLOCKED","CAN SELL"))</f>
        <v>CAN SELL</v>
      </c>
      <c r="E9" s="2" t="str">
        <f>IF($A9="","",IF(COUNTIFS('Blackout Brand Fam Areas (Enc)'!$B$6:$B$998,$A9,'Blackout Brand Fam Areas (Enc)'!$C$6:$C$998,E$1,'Blackout Brand Fam Areas (Enc)'!$D$6:$D$998,"Inactive")&gt;0,"BLOCKED","CAN SELL"))</f>
        <v>BLOCKED</v>
      </c>
      <c r="F9" s="2" t="str">
        <f>IF($A9="","",IF(COUNTIFS('Blackout Brand Fam Areas (Enc)'!$B$6:$B$998,$A9,'Blackout Brand Fam Areas (Enc)'!$C$6:$C$998,F$1,'Blackout Brand Fam Areas (Enc)'!$D$6:$D$998,"Inactive")&gt;0,"BLOCKED","CAN SELL"))</f>
        <v>BLOCKED</v>
      </c>
      <c r="G9" s="2" t="str">
        <f>IF($A9="","",IF(COUNTIFS('Blackout Brand Fam Areas (Enc)'!$B$6:$B$998,$A9,'Blackout Brand Fam Areas (Enc)'!$C$6:$C$998,G$1,'Blackout Brand Fam Areas (Enc)'!$D$6:$D$998,"Inactive")&gt;0,"BLOCKED","CAN SELL"))</f>
        <v>BLOCKED</v>
      </c>
      <c r="H9" s="2" t="str">
        <f>IF($A9="","",IF(COUNTIFS('Blackout Brand Fam Areas (Enc)'!$B$6:$B$998,$A9,'Blackout Brand Fam Areas (Enc)'!$C$6:$C$998,H$1,'Blackout Brand Fam Areas (Enc)'!$D$6:$D$998,"Inactive")&gt;0,"BLOCKED","CAN SELL"))</f>
        <v>CAN SELL</v>
      </c>
      <c r="I9" s="2" t="str">
        <f>IF($A9="","",IF(COUNTIFS('Blackout Brand Fam Areas (Enc)'!$B$6:$B$998,$A9,'Blackout Brand Fam Areas (Enc)'!$C$6:$C$998,I$1,'Blackout Brand Fam Areas (Enc)'!$D$6:$D$998,"Inactive")&gt;0,"BLOCKED","CAN SELL"))</f>
        <v>CAN SELL</v>
      </c>
      <c r="J9" s="2" t="str">
        <f>IF($A9="","",IF(COUNTIFS('Blackout Brand Fam Areas (Enc)'!$B$6:$B$998,$A9,'Blackout Brand Fam Areas (Enc)'!$C$6:$C$998,J$1,'Blackout Brand Fam Areas (Enc)'!$D$6:$D$998,"Inactive")&gt;0,"BLOCKED","CAN SELL"))</f>
        <v>BLOCKED</v>
      </c>
      <c r="K9" s="2" t="str">
        <f>IF($A9="","",IF(COUNTIFS('Blackout Brand Fam Areas (Enc)'!$B$6:$B$998,$A9,'Blackout Brand Fam Areas (Enc)'!$C$6:$C$998,K$1,'Blackout Brand Fam Areas (Enc)'!$D$6:$D$998,"Inactive")&gt;0,"BLOCKED","CAN SELL"))</f>
        <v>CAN SELL</v>
      </c>
    </row>
    <row r="10" spans="1:11" x14ac:dyDescent="0.2">
      <c r="A10" s="2" t="str">
        <v>Banks</v>
      </c>
      <c r="B10" s="2" t="str">
        <f>IF($A10="","",IF(COUNTIFS('Blackout Brand Fam Areas (Enc)'!$B$6:$B$998,$A10,'Blackout Brand Fam Areas (Enc)'!$C$6:$C$998,B$1,'Blackout Brand Fam Areas (Enc)'!$D$6:$D$998,"Inactive")&gt;0,"BLOCKED","CAN SELL"))</f>
        <v>CAN SELL</v>
      </c>
      <c r="C10" s="2" t="str">
        <f>IF($A10="","",IF(COUNTIFS('Blackout Brand Fam Areas (Enc)'!$B$6:$B$998,$A10,'Blackout Brand Fam Areas (Enc)'!$C$6:$C$998,C$1,'Blackout Brand Fam Areas (Enc)'!$D$6:$D$998,"Inactive")&gt;0,"BLOCKED","CAN SELL"))</f>
        <v>CAN SELL</v>
      </c>
      <c r="D10" s="2" t="str">
        <f>IF($A10="","",IF(COUNTIFS('Blackout Brand Fam Areas (Enc)'!$B$6:$B$998,$A10,'Blackout Brand Fam Areas (Enc)'!$C$6:$C$998,D$1,'Blackout Brand Fam Areas (Enc)'!$D$6:$D$998,"Inactive")&gt;0,"BLOCKED","CAN SELL"))</f>
        <v>CAN SELL</v>
      </c>
      <c r="E10" s="2" t="str">
        <f>IF($A10="","",IF(COUNTIFS('Blackout Brand Fam Areas (Enc)'!$B$6:$B$998,$A10,'Blackout Brand Fam Areas (Enc)'!$C$6:$C$998,E$1,'Blackout Brand Fam Areas (Enc)'!$D$6:$D$998,"Inactive")&gt;0,"BLOCKED","CAN SELL"))</f>
        <v>CAN SELL</v>
      </c>
      <c r="F10" s="2" t="str">
        <f>IF($A10="","",IF(COUNTIFS('Blackout Brand Fam Areas (Enc)'!$B$6:$B$998,$A10,'Blackout Brand Fam Areas (Enc)'!$C$6:$C$998,F$1,'Blackout Brand Fam Areas (Enc)'!$D$6:$D$998,"Inactive")&gt;0,"BLOCKED","CAN SELL"))</f>
        <v>CAN SELL</v>
      </c>
      <c r="G10" s="2" t="str">
        <f>IF($A10="","",IF(COUNTIFS('Blackout Brand Fam Areas (Enc)'!$B$6:$B$998,$A10,'Blackout Brand Fam Areas (Enc)'!$C$6:$C$998,G$1,'Blackout Brand Fam Areas (Enc)'!$D$6:$D$998,"Inactive")&gt;0,"BLOCKED","CAN SELL"))</f>
        <v>BLOCKED</v>
      </c>
      <c r="H10" s="2" t="str">
        <f>IF($A10="","",IF(COUNTIFS('Blackout Brand Fam Areas (Enc)'!$B$6:$B$998,$A10,'Blackout Brand Fam Areas (Enc)'!$C$6:$C$998,H$1,'Blackout Brand Fam Areas (Enc)'!$D$6:$D$998,"Inactive")&gt;0,"BLOCKED","CAN SELL"))</f>
        <v>BLOCKED</v>
      </c>
      <c r="I10" s="2" t="str">
        <f>IF($A10="","",IF(COUNTIFS('Blackout Brand Fam Areas (Enc)'!$B$6:$B$998,$A10,'Blackout Brand Fam Areas (Enc)'!$C$6:$C$998,I$1,'Blackout Brand Fam Areas (Enc)'!$D$6:$D$998,"Inactive")&gt;0,"BLOCKED","CAN SELL"))</f>
        <v>BLOCKED</v>
      </c>
      <c r="J10" s="2" t="str">
        <f>IF($A10="","",IF(COUNTIFS('Blackout Brand Fam Areas (Enc)'!$B$6:$B$998,$A10,'Blackout Brand Fam Areas (Enc)'!$C$6:$C$998,J$1,'Blackout Brand Fam Areas (Enc)'!$D$6:$D$998,"Inactive")&gt;0,"BLOCKED","CAN SELL"))</f>
        <v>BLOCKED</v>
      </c>
      <c r="K10" s="2" t="str">
        <f>IF($A10="","",IF(COUNTIFS('Blackout Brand Fam Areas (Enc)'!$B$6:$B$998,$A10,'Blackout Brand Fam Areas (Enc)'!$C$6:$C$998,K$1,'Blackout Brand Fam Areas (Enc)'!$D$6:$D$998,"Inactive")&gt;0,"BLOCKED","CAN SELL"))</f>
        <v>BLOCKED</v>
      </c>
    </row>
    <row r="11" spans="1:11" x14ac:dyDescent="0.2">
      <c r="A11" s="2" t="str">
        <v>Bardstown Bourbon</v>
      </c>
      <c r="B11" s="2" t="str">
        <f>IF($A11="","",IF(COUNTIFS('Blackout Brand Fam Areas (Enc)'!$B$6:$B$998,$A11,'Blackout Brand Fam Areas (Enc)'!$C$6:$C$998,B$1,'Blackout Brand Fam Areas (Enc)'!$D$6:$D$998,"Inactive")&gt;0,"BLOCKED","CAN SELL"))</f>
        <v>CAN SELL</v>
      </c>
      <c r="C11" s="2" t="str">
        <f>IF($A11="","",IF(COUNTIFS('Blackout Brand Fam Areas (Enc)'!$B$6:$B$998,$A11,'Blackout Brand Fam Areas (Enc)'!$C$6:$C$998,C$1,'Blackout Brand Fam Areas (Enc)'!$D$6:$D$998,"Inactive")&gt;0,"BLOCKED","CAN SELL"))</f>
        <v>CAN SELL</v>
      </c>
      <c r="D11" s="2" t="str">
        <f>IF($A11="","",IF(COUNTIFS('Blackout Brand Fam Areas (Enc)'!$B$6:$B$998,$A11,'Blackout Brand Fam Areas (Enc)'!$C$6:$C$998,D$1,'Blackout Brand Fam Areas (Enc)'!$D$6:$D$998,"Inactive")&gt;0,"BLOCKED","CAN SELL"))</f>
        <v>CAN SELL</v>
      </c>
      <c r="E11" s="2" t="str">
        <f>IF($A11="","",IF(COUNTIFS('Blackout Brand Fam Areas (Enc)'!$B$6:$B$998,$A11,'Blackout Brand Fam Areas (Enc)'!$C$6:$C$998,E$1,'Blackout Brand Fam Areas (Enc)'!$D$6:$D$998,"Inactive")&gt;0,"BLOCKED","CAN SELL"))</f>
        <v>BLOCKED</v>
      </c>
      <c r="F11" s="2" t="str">
        <f>IF($A11="","",IF(COUNTIFS('Blackout Brand Fam Areas (Enc)'!$B$6:$B$998,$A11,'Blackout Brand Fam Areas (Enc)'!$C$6:$C$998,F$1,'Blackout Brand Fam Areas (Enc)'!$D$6:$D$998,"Inactive")&gt;0,"BLOCKED","CAN SELL"))</f>
        <v>BLOCKED</v>
      </c>
      <c r="G11" s="2" t="str">
        <f>IF($A11="","",IF(COUNTIFS('Blackout Brand Fam Areas (Enc)'!$B$6:$B$998,$A11,'Blackout Brand Fam Areas (Enc)'!$C$6:$C$998,G$1,'Blackout Brand Fam Areas (Enc)'!$D$6:$D$998,"Inactive")&gt;0,"BLOCKED","CAN SELL"))</f>
        <v>BLOCKED</v>
      </c>
      <c r="H11" s="2" t="str">
        <f>IF($A11="","",IF(COUNTIFS('Blackout Brand Fam Areas (Enc)'!$B$6:$B$998,$A11,'Blackout Brand Fam Areas (Enc)'!$C$6:$C$998,H$1,'Blackout Brand Fam Areas (Enc)'!$D$6:$D$998,"Inactive")&gt;0,"BLOCKED","CAN SELL"))</f>
        <v>CAN SELL</v>
      </c>
      <c r="I11" s="2" t="str">
        <f>IF($A11="","",IF(COUNTIFS('Blackout Brand Fam Areas (Enc)'!$B$6:$B$998,$A11,'Blackout Brand Fam Areas (Enc)'!$C$6:$C$998,I$1,'Blackout Brand Fam Areas (Enc)'!$D$6:$D$998,"Inactive")&gt;0,"BLOCKED","CAN SELL"))</f>
        <v>CAN SELL</v>
      </c>
      <c r="J11" s="2" t="str">
        <f>IF($A11="","",IF(COUNTIFS('Blackout Brand Fam Areas (Enc)'!$B$6:$B$998,$A11,'Blackout Brand Fam Areas (Enc)'!$C$6:$C$998,J$1,'Blackout Brand Fam Areas (Enc)'!$D$6:$D$998,"Inactive")&gt;0,"BLOCKED","CAN SELL"))</f>
        <v>BLOCKED</v>
      </c>
      <c r="K11" s="2" t="str">
        <f>IF($A11="","",IF(COUNTIFS('Blackout Brand Fam Areas (Enc)'!$B$6:$B$998,$A11,'Blackout Brand Fam Areas (Enc)'!$C$6:$C$998,K$1,'Blackout Brand Fam Areas (Enc)'!$D$6:$D$998,"Inactive")&gt;0,"BLOCKED","CAN SELL"))</f>
        <v>CAN SELL</v>
      </c>
    </row>
    <row r="12" spans="1:11" x14ac:dyDescent="0.2">
      <c r="A12" s="2" t="str">
        <v>Bardstown Green River</v>
      </c>
      <c r="B12" s="2" t="str">
        <f>IF($A12="","",IF(COUNTIFS('Blackout Brand Fam Areas (Enc)'!$B$6:$B$998,$A12,'Blackout Brand Fam Areas (Enc)'!$C$6:$C$998,B$1,'Blackout Brand Fam Areas (Enc)'!$D$6:$D$998,"Inactive")&gt;0,"BLOCKED","CAN SELL"))</f>
        <v>CAN SELL</v>
      </c>
      <c r="C12" s="2" t="str">
        <f>IF($A12="","",IF(COUNTIFS('Blackout Brand Fam Areas (Enc)'!$B$6:$B$998,$A12,'Blackout Brand Fam Areas (Enc)'!$C$6:$C$998,C$1,'Blackout Brand Fam Areas (Enc)'!$D$6:$D$998,"Inactive")&gt;0,"BLOCKED","CAN SELL"))</f>
        <v>CAN SELL</v>
      </c>
      <c r="D12" s="2" t="str">
        <f>IF($A12="","",IF(COUNTIFS('Blackout Brand Fam Areas (Enc)'!$B$6:$B$998,$A12,'Blackout Brand Fam Areas (Enc)'!$C$6:$C$998,D$1,'Blackout Brand Fam Areas (Enc)'!$D$6:$D$998,"Inactive")&gt;0,"BLOCKED","CAN SELL"))</f>
        <v>CAN SELL</v>
      </c>
      <c r="E12" s="2" t="str">
        <f>IF($A12="","",IF(COUNTIFS('Blackout Brand Fam Areas (Enc)'!$B$6:$B$998,$A12,'Blackout Brand Fam Areas (Enc)'!$C$6:$C$998,E$1,'Blackout Brand Fam Areas (Enc)'!$D$6:$D$998,"Inactive")&gt;0,"BLOCKED","CAN SELL"))</f>
        <v>BLOCKED</v>
      </c>
      <c r="F12" s="2" t="str">
        <f>IF($A12="","",IF(COUNTIFS('Blackout Brand Fam Areas (Enc)'!$B$6:$B$998,$A12,'Blackout Brand Fam Areas (Enc)'!$C$6:$C$998,F$1,'Blackout Brand Fam Areas (Enc)'!$D$6:$D$998,"Inactive")&gt;0,"BLOCKED","CAN SELL"))</f>
        <v>BLOCKED</v>
      </c>
      <c r="G12" s="2" t="str">
        <f>IF($A12="","",IF(COUNTIFS('Blackout Brand Fam Areas (Enc)'!$B$6:$B$998,$A12,'Blackout Brand Fam Areas (Enc)'!$C$6:$C$998,G$1,'Blackout Brand Fam Areas (Enc)'!$D$6:$D$998,"Inactive")&gt;0,"BLOCKED","CAN SELL"))</f>
        <v>BLOCKED</v>
      </c>
      <c r="H12" s="2" t="str">
        <f>IF($A12="","",IF(COUNTIFS('Blackout Brand Fam Areas (Enc)'!$B$6:$B$998,$A12,'Blackout Brand Fam Areas (Enc)'!$C$6:$C$998,H$1,'Blackout Brand Fam Areas (Enc)'!$D$6:$D$998,"Inactive")&gt;0,"BLOCKED","CAN SELL"))</f>
        <v>CAN SELL</v>
      </c>
      <c r="I12" s="2" t="str">
        <f>IF($A12="","",IF(COUNTIFS('Blackout Brand Fam Areas (Enc)'!$B$6:$B$998,$A12,'Blackout Brand Fam Areas (Enc)'!$C$6:$C$998,I$1,'Blackout Brand Fam Areas (Enc)'!$D$6:$D$998,"Inactive")&gt;0,"BLOCKED","CAN SELL"))</f>
        <v>CAN SELL</v>
      </c>
      <c r="J12" s="2" t="str">
        <f>IF($A12="","",IF(COUNTIFS('Blackout Brand Fam Areas (Enc)'!$B$6:$B$998,$A12,'Blackout Brand Fam Areas (Enc)'!$C$6:$C$998,J$1,'Blackout Brand Fam Areas (Enc)'!$D$6:$D$998,"Inactive")&gt;0,"BLOCKED","CAN SELL"))</f>
        <v>BLOCKED</v>
      </c>
      <c r="K12" s="2" t="str">
        <f>IF($A12="","",IF(COUNTIFS('Blackout Brand Fam Areas (Enc)'!$B$6:$B$998,$A12,'Blackout Brand Fam Areas (Enc)'!$C$6:$C$998,K$1,'Blackout Brand Fam Areas (Enc)'!$D$6:$D$998,"Inactive")&gt;0,"BLOCKED","CAN SELL"))</f>
        <v>CAN SELL</v>
      </c>
    </row>
    <row r="13" spans="1:11" x14ac:dyDescent="0.2">
      <c r="A13" s="2" t="str">
        <v>Bartender Series</v>
      </c>
      <c r="B13" s="2" t="str">
        <f>IF($A13="","",IF(COUNTIFS('Blackout Brand Fam Areas (Enc)'!$B$6:$B$998,$A13,'Blackout Brand Fam Areas (Enc)'!$C$6:$C$998,B$1,'Blackout Brand Fam Areas (Enc)'!$D$6:$D$998,"Inactive")&gt;0,"BLOCKED","CAN SELL"))</f>
        <v>CAN SELL</v>
      </c>
      <c r="C13" s="2" t="str">
        <f>IF($A13="","",IF(COUNTIFS('Blackout Brand Fam Areas (Enc)'!$B$6:$B$998,$A13,'Blackout Brand Fam Areas (Enc)'!$C$6:$C$998,C$1,'Blackout Brand Fam Areas (Enc)'!$D$6:$D$998,"Inactive")&gt;0,"BLOCKED","CAN SELL"))</f>
        <v>CAN SELL</v>
      </c>
      <c r="D13" s="2" t="str">
        <f>IF($A13="","",IF(COUNTIFS('Blackout Brand Fam Areas (Enc)'!$B$6:$B$998,$A13,'Blackout Brand Fam Areas (Enc)'!$C$6:$C$998,D$1,'Blackout Brand Fam Areas (Enc)'!$D$6:$D$998,"Inactive")&gt;0,"BLOCKED","CAN SELL"))</f>
        <v>CAN SELL</v>
      </c>
      <c r="E13" s="2" t="str">
        <f>IF($A13="","",IF(COUNTIFS('Blackout Brand Fam Areas (Enc)'!$B$6:$B$998,$A13,'Blackout Brand Fam Areas (Enc)'!$C$6:$C$998,E$1,'Blackout Brand Fam Areas (Enc)'!$D$6:$D$998,"Inactive")&gt;0,"BLOCKED","CAN SELL"))</f>
        <v>BLOCKED</v>
      </c>
      <c r="F13" s="2" t="str">
        <f>IF($A13="","",IF(COUNTIFS('Blackout Brand Fam Areas (Enc)'!$B$6:$B$998,$A13,'Blackout Brand Fam Areas (Enc)'!$C$6:$C$998,F$1,'Blackout Brand Fam Areas (Enc)'!$D$6:$D$998,"Inactive")&gt;0,"BLOCKED","CAN SELL"))</f>
        <v>CAN SELL</v>
      </c>
      <c r="G13" s="2" t="str">
        <f>IF($A13="","",IF(COUNTIFS('Blackout Brand Fam Areas (Enc)'!$B$6:$B$998,$A13,'Blackout Brand Fam Areas (Enc)'!$C$6:$C$998,G$1,'Blackout Brand Fam Areas (Enc)'!$D$6:$D$998,"Inactive")&gt;0,"BLOCKED","CAN SELL"))</f>
        <v>BLOCKED</v>
      </c>
      <c r="H13" s="2" t="str">
        <f>IF($A13="","",IF(COUNTIFS('Blackout Brand Fam Areas (Enc)'!$B$6:$B$998,$A13,'Blackout Brand Fam Areas (Enc)'!$C$6:$C$998,H$1,'Blackout Brand Fam Areas (Enc)'!$D$6:$D$998,"Inactive")&gt;0,"BLOCKED","CAN SELL"))</f>
        <v>CAN SELL</v>
      </c>
      <c r="I13" s="2" t="str">
        <f>IF($A13="","",IF(COUNTIFS('Blackout Brand Fam Areas (Enc)'!$B$6:$B$998,$A13,'Blackout Brand Fam Areas (Enc)'!$C$6:$C$998,I$1,'Blackout Brand Fam Areas (Enc)'!$D$6:$D$998,"Inactive")&gt;0,"BLOCKED","CAN SELL"))</f>
        <v>CAN SELL</v>
      </c>
      <c r="J13" s="2" t="str">
        <f>IF($A13="","",IF(COUNTIFS('Blackout Brand Fam Areas (Enc)'!$B$6:$B$998,$A13,'Blackout Brand Fam Areas (Enc)'!$C$6:$C$998,J$1,'Blackout Brand Fam Areas (Enc)'!$D$6:$D$998,"Inactive")&gt;0,"BLOCKED","CAN SELL"))</f>
        <v>BLOCKED</v>
      </c>
      <c r="K13" s="2" t="str">
        <f>IF($A13="","",IF(COUNTIFS('Blackout Brand Fam Areas (Enc)'!$B$6:$B$998,$A13,'Blackout Brand Fam Areas (Enc)'!$C$6:$C$998,K$1,'Blackout Brand Fam Areas (Enc)'!$D$6:$D$998,"Inactive")&gt;0,"BLOCKED","CAN SELL"))</f>
        <v>CAN SELL</v>
      </c>
    </row>
    <row r="14" spans="1:11" x14ac:dyDescent="0.2">
      <c r="A14" s="2" t="str">
        <v>Basic</v>
      </c>
      <c r="B14" s="2" t="str">
        <f>IF($A14="","",IF(COUNTIFS('Blackout Brand Fam Areas (Enc)'!$B$6:$B$998,$A14,'Blackout Brand Fam Areas (Enc)'!$C$6:$C$998,B$1,'Blackout Brand Fam Areas (Enc)'!$D$6:$D$998,"Inactive")&gt;0,"BLOCKED","CAN SELL"))</f>
        <v>CAN SELL</v>
      </c>
      <c r="C14" s="2" t="str">
        <f>IF($A14="","",IF(COUNTIFS('Blackout Brand Fam Areas (Enc)'!$B$6:$B$998,$A14,'Blackout Brand Fam Areas (Enc)'!$C$6:$C$998,C$1,'Blackout Brand Fam Areas (Enc)'!$D$6:$D$998,"Inactive")&gt;0,"BLOCKED","CAN SELL"))</f>
        <v>CAN SELL</v>
      </c>
      <c r="D14" s="2" t="str">
        <f>IF($A14="","",IF(COUNTIFS('Blackout Brand Fam Areas (Enc)'!$B$6:$B$998,$A14,'Blackout Brand Fam Areas (Enc)'!$C$6:$C$998,D$1,'Blackout Brand Fam Areas (Enc)'!$D$6:$D$998,"Inactive")&gt;0,"BLOCKED","CAN SELL"))</f>
        <v>CAN SELL</v>
      </c>
      <c r="E14" s="2" t="str">
        <f>IF($A14="","",IF(COUNTIFS('Blackout Brand Fam Areas (Enc)'!$B$6:$B$998,$A14,'Blackout Brand Fam Areas (Enc)'!$C$6:$C$998,E$1,'Blackout Brand Fam Areas (Enc)'!$D$6:$D$998,"Inactive")&gt;0,"BLOCKED","CAN SELL"))</f>
        <v>BLOCKED</v>
      </c>
      <c r="F14" s="2" t="str">
        <f>IF($A14="","",IF(COUNTIFS('Blackout Brand Fam Areas (Enc)'!$B$6:$B$998,$A14,'Blackout Brand Fam Areas (Enc)'!$C$6:$C$998,F$1,'Blackout Brand Fam Areas (Enc)'!$D$6:$D$998,"Inactive")&gt;0,"BLOCKED","CAN SELL"))</f>
        <v>CAN SELL</v>
      </c>
      <c r="G14" s="2" t="str">
        <f>IF($A14="","",IF(COUNTIFS('Blackout Brand Fam Areas (Enc)'!$B$6:$B$998,$A14,'Blackout Brand Fam Areas (Enc)'!$C$6:$C$998,G$1,'Blackout Brand Fam Areas (Enc)'!$D$6:$D$998,"Inactive")&gt;0,"BLOCKED","CAN SELL"))</f>
        <v>BLOCKED</v>
      </c>
      <c r="H14" s="2" t="str">
        <f>IF($A14="","",IF(COUNTIFS('Blackout Brand Fam Areas (Enc)'!$B$6:$B$998,$A14,'Blackout Brand Fam Areas (Enc)'!$C$6:$C$998,H$1,'Blackout Brand Fam Areas (Enc)'!$D$6:$D$998,"Inactive")&gt;0,"BLOCKED","CAN SELL"))</f>
        <v>CAN SELL</v>
      </c>
      <c r="I14" s="2" t="str">
        <f>IF($A14="","",IF(COUNTIFS('Blackout Brand Fam Areas (Enc)'!$B$6:$B$998,$A14,'Blackout Brand Fam Areas (Enc)'!$C$6:$C$998,I$1,'Blackout Brand Fam Areas (Enc)'!$D$6:$D$998,"Inactive")&gt;0,"BLOCKED","CAN SELL"))</f>
        <v>CAN SELL</v>
      </c>
      <c r="J14" s="2" t="str">
        <f>IF($A14="","",IF(COUNTIFS('Blackout Brand Fam Areas (Enc)'!$B$6:$B$998,$A14,'Blackout Brand Fam Areas (Enc)'!$C$6:$C$998,J$1,'Blackout Brand Fam Areas (Enc)'!$D$6:$D$998,"Inactive")&gt;0,"BLOCKED","CAN SELL"))</f>
        <v>BLOCKED</v>
      </c>
      <c r="K14" s="2" t="str">
        <f>IF($A14="","",IF(COUNTIFS('Blackout Brand Fam Areas (Enc)'!$B$6:$B$998,$A14,'Blackout Brand Fam Areas (Enc)'!$C$6:$C$998,K$1,'Blackout Brand Fam Areas (Enc)'!$D$6:$D$998,"Inactive")&gt;0,"BLOCKED","CAN SELL"))</f>
        <v>CAN SELL</v>
      </c>
    </row>
    <row r="15" spans="1:11" x14ac:dyDescent="0.2">
      <c r="A15" s="2" t="str">
        <v>Bell's</v>
      </c>
      <c r="B15" s="2" t="str">
        <f>IF($A15="","",IF(COUNTIFS('Blackout Brand Fam Areas (Enc)'!$B$6:$B$998,$A15,'Blackout Brand Fam Areas (Enc)'!$C$6:$C$998,B$1,'Blackout Brand Fam Areas (Enc)'!$D$6:$D$998,"Inactive")&gt;0,"BLOCKED","CAN SELL"))</f>
        <v>CAN SELL</v>
      </c>
      <c r="C15" s="2" t="str">
        <f>IF($A15="","",IF(COUNTIFS('Blackout Brand Fam Areas (Enc)'!$B$6:$B$998,$A15,'Blackout Brand Fam Areas (Enc)'!$C$6:$C$998,C$1,'Blackout Brand Fam Areas (Enc)'!$D$6:$D$998,"Inactive")&gt;0,"BLOCKED","CAN SELL"))</f>
        <v>CAN SELL</v>
      </c>
      <c r="D15" s="2" t="str">
        <f>IF($A15="","",IF(COUNTIFS('Blackout Brand Fam Areas (Enc)'!$B$6:$B$998,$A15,'Blackout Brand Fam Areas (Enc)'!$C$6:$C$998,D$1,'Blackout Brand Fam Areas (Enc)'!$D$6:$D$998,"Inactive")&gt;0,"BLOCKED","CAN SELL"))</f>
        <v>CAN SELL</v>
      </c>
      <c r="E15" s="2" t="str">
        <f>IF($A15="","",IF(COUNTIFS('Blackout Brand Fam Areas (Enc)'!$B$6:$B$998,$A15,'Blackout Brand Fam Areas (Enc)'!$C$6:$C$998,E$1,'Blackout Brand Fam Areas (Enc)'!$D$6:$D$998,"Inactive")&gt;0,"BLOCKED","CAN SELL"))</f>
        <v>BLOCKED</v>
      </c>
      <c r="F15" s="2" t="str">
        <f>IF($A15="","",IF(COUNTIFS('Blackout Brand Fam Areas (Enc)'!$B$6:$B$998,$A15,'Blackout Brand Fam Areas (Enc)'!$C$6:$C$998,F$1,'Blackout Brand Fam Areas (Enc)'!$D$6:$D$998,"Inactive")&gt;0,"BLOCKED","CAN SELL"))</f>
        <v>BLOCKED</v>
      </c>
      <c r="G15" s="2" t="str">
        <f>IF($A15="","",IF(COUNTIFS('Blackout Brand Fam Areas (Enc)'!$B$6:$B$998,$A15,'Blackout Brand Fam Areas (Enc)'!$C$6:$C$998,G$1,'Blackout Brand Fam Areas (Enc)'!$D$6:$D$998,"Inactive")&gt;0,"BLOCKED","CAN SELL"))</f>
        <v>BLOCKED</v>
      </c>
      <c r="H15" s="2" t="str">
        <f>IF($A15="","",IF(COUNTIFS('Blackout Brand Fam Areas (Enc)'!$B$6:$B$998,$A15,'Blackout Brand Fam Areas (Enc)'!$C$6:$C$998,H$1,'Blackout Brand Fam Areas (Enc)'!$D$6:$D$998,"Inactive")&gt;0,"BLOCKED","CAN SELL"))</f>
        <v>CAN SELL</v>
      </c>
      <c r="I15" s="2" t="str">
        <f>IF($A15="","",IF(COUNTIFS('Blackout Brand Fam Areas (Enc)'!$B$6:$B$998,$A15,'Blackout Brand Fam Areas (Enc)'!$C$6:$C$998,I$1,'Blackout Brand Fam Areas (Enc)'!$D$6:$D$998,"Inactive")&gt;0,"BLOCKED","CAN SELL"))</f>
        <v>CAN SELL</v>
      </c>
      <c r="J15" s="2" t="str">
        <f>IF($A15="","",IF(COUNTIFS('Blackout Brand Fam Areas (Enc)'!$B$6:$B$998,$A15,'Blackout Brand Fam Areas (Enc)'!$C$6:$C$998,J$1,'Blackout Brand Fam Areas (Enc)'!$D$6:$D$998,"Inactive")&gt;0,"BLOCKED","CAN SELL"))</f>
        <v>BLOCKED</v>
      </c>
      <c r="K15" s="2" t="str">
        <f>IF($A15="","",IF(COUNTIFS('Blackout Brand Fam Areas (Enc)'!$B$6:$B$998,$A15,'Blackout Brand Fam Areas (Enc)'!$C$6:$C$998,K$1,'Blackout Brand Fam Areas (Enc)'!$D$6:$D$998,"Inactive")&gt;0,"BLOCKED","CAN SELL"))</f>
        <v>CAN SELL</v>
      </c>
    </row>
    <row r="16" spans="1:11" x14ac:dyDescent="0.2">
      <c r="A16" s="2" t="str">
        <v>Bell's Hearted Family</v>
      </c>
      <c r="B16" s="2" t="str">
        <f>IF($A16="","",IF(COUNTIFS('Blackout Brand Fam Areas (Enc)'!$B$6:$B$998,$A16,'Blackout Brand Fam Areas (Enc)'!$C$6:$C$998,B$1,'Blackout Brand Fam Areas (Enc)'!$D$6:$D$998,"Inactive")&gt;0,"BLOCKED","CAN SELL"))</f>
        <v>CAN SELL</v>
      </c>
      <c r="C16" s="2" t="str">
        <f>IF($A16="","",IF(COUNTIFS('Blackout Brand Fam Areas (Enc)'!$B$6:$B$998,$A16,'Blackout Brand Fam Areas (Enc)'!$C$6:$C$998,C$1,'Blackout Brand Fam Areas (Enc)'!$D$6:$D$998,"Inactive")&gt;0,"BLOCKED","CAN SELL"))</f>
        <v>CAN SELL</v>
      </c>
      <c r="D16" s="2" t="str">
        <f>IF($A16="","",IF(COUNTIFS('Blackout Brand Fam Areas (Enc)'!$B$6:$B$998,$A16,'Blackout Brand Fam Areas (Enc)'!$C$6:$C$998,D$1,'Blackout Brand Fam Areas (Enc)'!$D$6:$D$998,"Inactive")&gt;0,"BLOCKED","CAN SELL"))</f>
        <v>CAN SELL</v>
      </c>
      <c r="E16" s="2" t="str">
        <f>IF($A16="","",IF(COUNTIFS('Blackout Brand Fam Areas (Enc)'!$B$6:$B$998,$A16,'Blackout Brand Fam Areas (Enc)'!$C$6:$C$998,E$1,'Blackout Brand Fam Areas (Enc)'!$D$6:$D$998,"Inactive")&gt;0,"BLOCKED","CAN SELL"))</f>
        <v>BLOCKED</v>
      </c>
      <c r="F16" s="2" t="str">
        <f>IF($A16="","",IF(COUNTIFS('Blackout Brand Fam Areas (Enc)'!$B$6:$B$998,$A16,'Blackout Brand Fam Areas (Enc)'!$C$6:$C$998,F$1,'Blackout Brand Fam Areas (Enc)'!$D$6:$D$998,"Inactive")&gt;0,"BLOCKED","CAN SELL"))</f>
        <v>BLOCKED</v>
      </c>
      <c r="G16" s="2" t="str">
        <f>IF($A16="","",IF(COUNTIFS('Blackout Brand Fam Areas (Enc)'!$B$6:$B$998,$A16,'Blackout Brand Fam Areas (Enc)'!$C$6:$C$998,G$1,'Blackout Brand Fam Areas (Enc)'!$D$6:$D$998,"Inactive")&gt;0,"BLOCKED","CAN SELL"))</f>
        <v>BLOCKED</v>
      </c>
      <c r="H16" s="2" t="str">
        <f>IF($A16="","",IF(COUNTIFS('Blackout Brand Fam Areas (Enc)'!$B$6:$B$998,$A16,'Blackout Brand Fam Areas (Enc)'!$C$6:$C$998,H$1,'Blackout Brand Fam Areas (Enc)'!$D$6:$D$998,"Inactive")&gt;0,"BLOCKED","CAN SELL"))</f>
        <v>CAN SELL</v>
      </c>
      <c r="I16" s="2" t="str">
        <f>IF($A16="","",IF(COUNTIFS('Blackout Brand Fam Areas (Enc)'!$B$6:$B$998,$A16,'Blackout Brand Fam Areas (Enc)'!$C$6:$C$998,I$1,'Blackout Brand Fam Areas (Enc)'!$D$6:$D$998,"Inactive")&gt;0,"BLOCKED","CAN SELL"))</f>
        <v>CAN SELL</v>
      </c>
      <c r="J16" s="2" t="str">
        <f>IF($A16="","",IF(COUNTIFS('Blackout Brand Fam Areas (Enc)'!$B$6:$B$998,$A16,'Blackout Brand Fam Areas (Enc)'!$C$6:$C$998,J$1,'Blackout Brand Fam Areas (Enc)'!$D$6:$D$998,"Inactive")&gt;0,"BLOCKED","CAN SELL"))</f>
        <v>BLOCKED</v>
      </c>
      <c r="K16" s="2" t="str">
        <f>IF($A16="","",IF(COUNTIFS('Blackout Brand Fam Areas (Enc)'!$B$6:$B$998,$A16,'Blackout Brand Fam Areas (Enc)'!$C$6:$C$998,K$1,'Blackout Brand Fam Areas (Enc)'!$D$6:$D$998,"Inactive")&gt;0,"BLOCKED","CAN SELL"))</f>
        <v>CAN SELL</v>
      </c>
    </row>
    <row r="17" spans="1:11" x14ac:dyDescent="0.2">
      <c r="A17" s="2" t="str">
        <v>Bell's Seasonal</v>
      </c>
      <c r="B17" s="2" t="str">
        <f>IF($A17="","",IF(COUNTIFS('Blackout Brand Fam Areas (Enc)'!$B$6:$B$998,$A17,'Blackout Brand Fam Areas (Enc)'!$C$6:$C$998,B$1,'Blackout Brand Fam Areas (Enc)'!$D$6:$D$998,"Inactive")&gt;0,"BLOCKED","CAN SELL"))</f>
        <v>CAN SELL</v>
      </c>
      <c r="C17" s="2" t="str">
        <f>IF($A17="","",IF(COUNTIFS('Blackout Brand Fam Areas (Enc)'!$B$6:$B$998,$A17,'Blackout Brand Fam Areas (Enc)'!$C$6:$C$998,C$1,'Blackout Brand Fam Areas (Enc)'!$D$6:$D$998,"Inactive")&gt;0,"BLOCKED","CAN SELL"))</f>
        <v>CAN SELL</v>
      </c>
      <c r="D17" s="2" t="str">
        <f>IF($A17="","",IF(COUNTIFS('Blackout Brand Fam Areas (Enc)'!$B$6:$B$998,$A17,'Blackout Brand Fam Areas (Enc)'!$C$6:$C$998,D$1,'Blackout Brand Fam Areas (Enc)'!$D$6:$D$998,"Inactive")&gt;0,"BLOCKED","CAN SELL"))</f>
        <v>CAN SELL</v>
      </c>
      <c r="E17" s="2" t="str">
        <f>IF($A17="","",IF(COUNTIFS('Blackout Brand Fam Areas (Enc)'!$B$6:$B$998,$A17,'Blackout Brand Fam Areas (Enc)'!$C$6:$C$998,E$1,'Blackout Brand Fam Areas (Enc)'!$D$6:$D$998,"Inactive")&gt;0,"BLOCKED","CAN SELL"))</f>
        <v>BLOCKED</v>
      </c>
      <c r="F17" s="2" t="str">
        <f>IF($A17="","",IF(COUNTIFS('Blackout Brand Fam Areas (Enc)'!$B$6:$B$998,$A17,'Blackout Brand Fam Areas (Enc)'!$C$6:$C$998,F$1,'Blackout Brand Fam Areas (Enc)'!$D$6:$D$998,"Inactive")&gt;0,"BLOCKED","CAN SELL"))</f>
        <v>BLOCKED</v>
      </c>
      <c r="G17" s="2" t="str">
        <f>IF($A17="","",IF(COUNTIFS('Blackout Brand Fam Areas (Enc)'!$B$6:$B$998,$A17,'Blackout Brand Fam Areas (Enc)'!$C$6:$C$998,G$1,'Blackout Brand Fam Areas (Enc)'!$D$6:$D$998,"Inactive")&gt;0,"BLOCKED","CAN SELL"))</f>
        <v>BLOCKED</v>
      </c>
      <c r="H17" s="2" t="str">
        <f>IF($A17="","",IF(COUNTIFS('Blackout Brand Fam Areas (Enc)'!$B$6:$B$998,$A17,'Blackout Brand Fam Areas (Enc)'!$C$6:$C$998,H$1,'Blackout Brand Fam Areas (Enc)'!$D$6:$D$998,"Inactive")&gt;0,"BLOCKED","CAN SELL"))</f>
        <v>CAN SELL</v>
      </c>
      <c r="I17" s="2" t="str">
        <f>IF($A17="","",IF(COUNTIFS('Blackout Brand Fam Areas (Enc)'!$B$6:$B$998,$A17,'Blackout Brand Fam Areas (Enc)'!$C$6:$C$998,I$1,'Blackout Brand Fam Areas (Enc)'!$D$6:$D$998,"Inactive")&gt;0,"BLOCKED","CAN SELL"))</f>
        <v>CAN SELL</v>
      </c>
      <c r="J17" s="2" t="str">
        <f>IF($A17="","",IF(COUNTIFS('Blackout Brand Fam Areas (Enc)'!$B$6:$B$998,$A17,'Blackout Brand Fam Areas (Enc)'!$C$6:$C$998,J$1,'Blackout Brand Fam Areas (Enc)'!$D$6:$D$998,"Inactive")&gt;0,"BLOCKED","CAN SELL"))</f>
        <v>BLOCKED</v>
      </c>
      <c r="K17" s="2" t="str">
        <f>IF($A17="","",IF(COUNTIFS('Blackout Brand Fam Areas (Enc)'!$B$6:$B$998,$A17,'Blackout Brand Fam Areas (Enc)'!$C$6:$C$998,K$1,'Blackout Brand Fam Areas (Enc)'!$D$6:$D$998,"Inactive")&gt;0,"BLOCKED","CAN SELL"))</f>
        <v>CAN SELL</v>
      </c>
    </row>
    <row r="18" spans="1:11" x14ac:dyDescent="0.2">
      <c r="A18" s="2" t="str">
        <v>Beviamo</v>
      </c>
      <c r="B18" s="2" t="str">
        <f>IF($A18="","",IF(COUNTIFS('Blackout Brand Fam Areas (Enc)'!$B$6:$B$998,$A18,'Blackout Brand Fam Areas (Enc)'!$C$6:$C$998,B$1,'Blackout Brand Fam Areas (Enc)'!$D$6:$D$998,"Inactive")&gt;0,"BLOCKED","CAN SELL"))</f>
        <v>CAN SELL</v>
      </c>
      <c r="C18" s="2" t="str">
        <f>IF($A18="","",IF(COUNTIFS('Blackout Brand Fam Areas (Enc)'!$B$6:$B$998,$A18,'Blackout Brand Fam Areas (Enc)'!$C$6:$C$998,C$1,'Blackout Brand Fam Areas (Enc)'!$D$6:$D$998,"Inactive")&gt;0,"BLOCKED","CAN SELL"))</f>
        <v>CAN SELL</v>
      </c>
      <c r="D18" s="2" t="str">
        <f>IF($A18="","",IF(COUNTIFS('Blackout Brand Fam Areas (Enc)'!$B$6:$B$998,$A18,'Blackout Brand Fam Areas (Enc)'!$C$6:$C$998,D$1,'Blackout Brand Fam Areas (Enc)'!$D$6:$D$998,"Inactive")&gt;0,"BLOCKED","CAN SELL"))</f>
        <v>CAN SELL</v>
      </c>
      <c r="E18" s="2" t="str">
        <f>IF($A18="","",IF(COUNTIFS('Blackout Brand Fam Areas (Enc)'!$B$6:$B$998,$A18,'Blackout Brand Fam Areas (Enc)'!$C$6:$C$998,E$1,'Blackout Brand Fam Areas (Enc)'!$D$6:$D$998,"Inactive")&gt;0,"BLOCKED","CAN SELL"))</f>
        <v>BLOCKED</v>
      </c>
      <c r="F18" s="2" t="str">
        <f>IF($A18="","",IF(COUNTIFS('Blackout Brand Fam Areas (Enc)'!$B$6:$B$998,$A18,'Blackout Brand Fam Areas (Enc)'!$C$6:$C$998,F$1,'Blackout Brand Fam Areas (Enc)'!$D$6:$D$998,"Inactive")&gt;0,"BLOCKED","CAN SELL"))</f>
        <v>BLOCKED</v>
      </c>
      <c r="G18" s="2" t="str">
        <f>IF($A18="","",IF(COUNTIFS('Blackout Brand Fam Areas (Enc)'!$B$6:$B$998,$A18,'Blackout Brand Fam Areas (Enc)'!$C$6:$C$998,G$1,'Blackout Brand Fam Areas (Enc)'!$D$6:$D$998,"Inactive")&gt;0,"BLOCKED","CAN SELL"))</f>
        <v>BLOCKED</v>
      </c>
      <c r="H18" s="2" t="str">
        <f>IF($A18="","",IF(COUNTIFS('Blackout Brand Fam Areas (Enc)'!$B$6:$B$998,$A18,'Blackout Brand Fam Areas (Enc)'!$C$6:$C$998,H$1,'Blackout Brand Fam Areas (Enc)'!$D$6:$D$998,"Inactive")&gt;0,"BLOCKED","CAN SELL"))</f>
        <v>CAN SELL</v>
      </c>
      <c r="I18" s="2" t="str">
        <f>IF($A18="","",IF(COUNTIFS('Blackout Brand Fam Areas (Enc)'!$B$6:$B$998,$A18,'Blackout Brand Fam Areas (Enc)'!$C$6:$C$998,I$1,'Blackout Brand Fam Areas (Enc)'!$D$6:$D$998,"Inactive")&gt;0,"BLOCKED","CAN SELL"))</f>
        <v>CAN SELL</v>
      </c>
      <c r="J18" s="2" t="str">
        <f>IF($A18="","",IF(COUNTIFS('Blackout Brand Fam Areas (Enc)'!$B$6:$B$998,$A18,'Blackout Brand Fam Areas (Enc)'!$C$6:$C$998,J$1,'Blackout Brand Fam Areas (Enc)'!$D$6:$D$998,"Inactive")&gt;0,"BLOCKED","CAN SELL"))</f>
        <v>BLOCKED</v>
      </c>
      <c r="K18" s="2" t="str">
        <f>IF($A18="","",IF(COUNTIFS('Blackout Brand Fam Areas (Enc)'!$B$6:$B$998,$A18,'Blackout Brand Fam Areas (Enc)'!$C$6:$C$998,K$1,'Blackout Brand Fam Areas (Enc)'!$D$6:$D$998,"Inactive")&gt;0,"BLOCKED","CAN SELL"))</f>
        <v>CAN SELL</v>
      </c>
    </row>
    <row r="19" spans="1:11" x14ac:dyDescent="0.2">
      <c r="A19" s="2" t="str">
        <v>Birra Moretti</v>
      </c>
      <c r="B19" s="2" t="str">
        <f>IF($A19="","",IF(COUNTIFS('Blackout Brand Fam Areas (Enc)'!$B$6:$B$998,$A19,'Blackout Brand Fam Areas (Enc)'!$C$6:$C$998,B$1,'Blackout Brand Fam Areas (Enc)'!$D$6:$D$998,"Inactive")&gt;0,"BLOCKED","CAN SELL"))</f>
        <v>CAN SELL</v>
      </c>
      <c r="C19" s="2" t="str">
        <f>IF($A19="","",IF(COUNTIFS('Blackout Brand Fam Areas (Enc)'!$B$6:$B$998,$A19,'Blackout Brand Fam Areas (Enc)'!$C$6:$C$998,C$1,'Blackout Brand Fam Areas (Enc)'!$D$6:$D$998,"Inactive")&gt;0,"BLOCKED","CAN SELL"))</f>
        <v>CAN SELL</v>
      </c>
      <c r="D19" s="2" t="str">
        <f>IF($A19="","",IF(COUNTIFS('Blackout Brand Fam Areas (Enc)'!$B$6:$B$998,$A19,'Blackout Brand Fam Areas (Enc)'!$C$6:$C$998,D$1,'Blackout Brand Fam Areas (Enc)'!$D$6:$D$998,"Inactive")&gt;0,"BLOCKED","CAN SELL"))</f>
        <v>CAN SELL</v>
      </c>
      <c r="E19" s="2" t="str">
        <f>IF($A19="","",IF(COUNTIFS('Blackout Brand Fam Areas (Enc)'!$B$6:$B$998,$A19,'Blackout Brand Fam Areas (Enc)'!$C$6:$C$998,E$1,'Blackout Brand Fam Areas (Enc)'!$D$6:$D$998,"Inactive")&gt;0,"BLOCKED","CAN SELL"))</f>
        <v>BLOCKED</v>
      </c>
      <c r="F19" s="2" t="str">
        <f>IF($A19="","",IF(COUNTIFS('Blackout Brand Fam Areas (Enc)'!$B$6:$B$998,$A19,'Blackout Brand Fam Areas (Enc)'!$C$6:$C$998,F$1,'Blackout Brand Fam Areas (Enc)'!$D$6:$D$998,"Inactive")&gt;0,"BLOCKED","CAN SELL"))</f>
        <v>BLOCKED</v>
      </c>
      <c r="G19" s="2" t="str">
        <f>IF($A19="","",IF(COUNTIFS('Blackout Brand Fam Areas (Enc)'!$B$6:$B$998,$A19,'Blackout Brand Fam Areas (Enc)'!$C$6:$C$998,G$1,'Blackout Brand Fam Areas (Enc)'!$D$6:$D$998,"Inactive")&gt;0,"BLOCKED","CAN SELL"))</f>
        <v>BLOCKED</v>
      </c>
      <c r="H19" s="2" t="str">
        <f>IF($A19="","",IF(COUNTIFS('Blackout Brand Fam Areas (Enc)'!$B$6:$B$998,$A19,'Blackout Brand Fam Areas (Enc)'!$C$6:$C$998,H$1,'Blackout Brand Fam Areas (Enc)'!$D$6:$D$998,"Inactive")&gt;0,"BLOCKED","CAN SELL"))</f>
        <v>BLOCKED</v>
      </c>
      <c r="I19" s="2" t="str">
        <f>IF($A19="","",IF(COUNTIFS('Blackout Brand Fam Areas (Enc)'!$B$6:$B$998,$A19,'Blackout Brand Fam Areas (Enc)'!$C$6:$C$998,I$1,'Blackout Brand Fam Areas (Enc)'!$D$6:$D$998,"Inactive")&gt;0,"BLOCKED","CAN SELL"))</f>
        <v>BLOCKED</v>
      </c>
      <c r="J19" s="2" t="str">
        <f>IF($A19="","",IF(COUNTIFS('Blackout Brand Fam Areas (Enc)'!$B$6:$B$998,$A19,'Blackout Brand Fam Areas (Enc)'!$C$6:$C$998,J$1,'Blackout Brand Fam Areas (Enc)'!$D$6:$D$998,"Inactive")&gt;0,"BLOCKED","CAN SELL"))</f>
        <v>BLOCKED</v>
      </c>
      <c r="K19" s="2" t="str">
        <f>IF($A19="","",IF(COUNTIFS('Blackout Brand Fam Areas (Enc)'!$B$6:$B$998,$A19,'Blackout Brand Fam Areas (Enc)'!$C$6:$C$998,K$1,'Blackout Brand Fam Areas (Enc)'!$D$6:$D$998,"Inactive")&gt;0,"BLOCKED","CAN SELL"))</f>
        <v>CAN SELL</v>
      </c>
    </row>
    <row r="20" spans="1:11" x14ac:dyDescent="0.2">
      <c r="A20" s="2" t="str">
        <v>BJ'S Private Label Brewa</v>
      </c>
      <c r="B20" s="2" t="str">
        <f>IF($A20="","",IF(COUNTIFS('Blackout Brand Fam Areas (Enc)'!$B$6:$B$998,$A20,'Blackout Brand Fam Areas (Enc)'!$C$6:$C$998,B$1,'Blackout Brand Fam Areas (Enc)'!$D$6:$D$998,"Inactive")&gt;0,"BLOCKED","CAN SELL"))</f>
        <v>CAN SELL</v>
      </c>
      <c r="C20" s="2" t="str">
        <f>IF($A20="","",IF(COUNTIFS('Blackout Brand Fam Areas (Enc)'!$B$6:$B$998,$A20,'Blackout Brand Fam Areas (Enc)'!$C$6:$C$998,C$1,'Blackout Brand Fam Areas (Enc)'!$D$6:$D$998,"Inactive")&gt;0,"BLOCKED","CAN SELL"))</f>
        <v>CAN SELL</v>
      </c>
      <c r="D20" s="2" t="str">
        <f>IF($A20="","",IF(COUNTIFS('Blackout Brand Fam Areas (Enc)'!$B$6:$B$998,$A20,'Blackout Brand Fam Areas (Enc)'!$C$6:$C$998,D$1,'Blackout Brand Fam Areas (Enc)'!$D$6:$D$998,"Inactive")&gt;0,"BLOCKED","CAN SELL"))</f>
        <v>CAN SELL</v>
      </c>
      <c r="E20" s="2" t="str">
        <f>IF($A20="","",IF(COUNTIFS('Blackout Brand Fam Areas (Enc)'!$B$6:$B$998,$A20,'Blackout Brand Fam Areas (Enc)'!$C$6:$C$998,E$1,'Blackout Brand Fam Areas (Enc)'!$D$6:$D$998,"Inactive")&gt;0,"BLOCKED","CAN SELL"))</f>
        <v>BLOCKED</v>
      </c>
      <c r="F20" s="2" t="str">
        <f>IF($A20="","",IF(COUNTIFS('Blackout Brand Fam Areas (Enc)'!$B$6:$B$998,$A20,'Blackout Brand Fam Areas (Enc)'!$C$6:$C$998,F$1,'Blackout Brand Fam Areas (Enc)'!$D$6:$D$998,"Inactive")&gt;0,"BLOCKED","CAN SELL"))</f>
        <v>BLOCKED</v>
      </c>
      <c r="G20" s="2" t="str">
        <f>IF($A20="","",IF(COUNTIFS('Blackout Brand Fam Areas (Enc)'!$B$6:$B$998,$A20,'Blackout Brand Fam Areas (Enc)'!$C$6:$C$998,G$1,'Blackout Brand Fam Areas (Enc)'!$D$6:$D$998,"Inactive")&gt;0,"BLOCKED","CAN SELL"))</f>
        <v>BLOCKED</v>
      </c>
      <c r="H20" s="2" t="str">
        <f>IF($A20="","",IF(COUNTIFS('Blackout Brand Fam Areas (Enc)'!$B$6:$B$998,$A20,'Blackout Brand Fam Areas (Enc)'!$C$6:$C$998,H$1,'Blackout Brand Fam Areas (Enc)'!$D$6:$D$998,"Inactive")&gt;0,"BLOCKED","CAN SELL"))</f>
        <v>CAN SELL</v>
      </c>
      <c r="I20" s="2" t="str">
        <f>IF($A20="","",IF(COUNTIFS('Blackout Brand Fam Areas (Enc)'!$B$6:$B$998,$A20,'Blackout Brand Fam Areas (Enc)'!$C$6:$C$998,I$1,'Blackout Brand Fam Areas (Enc)'!$D$6:$D$998,"Inactive")&gt;0,"BLOCKED","CAN SELL"))</f>
        <v>CAN SELL</v>
      </c>
      <c r="J20" s="2" t="str">
        <f>IF($A20="","",IF(COUNTIFS('Blackout Brand Fam Areas (Enc)'!$B$6:$B$998,$A20,'Blackout Brand Fam Areas (Enc)'!$C$6:$C$998,J$1,'Blackout Brand Fam Areas (Enc)'!$D$6:$D$998,"Inactive")&gt;0,"BLOCKED","CAN SELL"))</f>
        <v>BLOCKED</v>
      </c>
      <c r="K20" s="2" t="str">
        <f>IF($A20="","",IF(COUNTIFS('Blackout Brand Fam Areas (Enc)'!$B$6:$B$998,$A20,'Blackout Brand Fam Areas (Enc)'!$C$6:$C$998,K$1,'Blackout Brand Fam Areas (Enc)'!$D$6:$D$998,"Inactive")&gt;0,"BLOCKED","CAN SELL"))</f>
        <v>CAN SELL</v>
      </c>
    </row>
    <row r="21" spans="1:11" x14ac:dyDescent="0.2">
      <c r="A21" s="2" t="str">
        <v>Blue Moon</v>
      </c>
      <c r="B21" s="2" t="str">
        <f>IF($A21="","",IF(COUNTIFS('Blackout Brand Fam Areas (Enc)'!$B$6:$B$998,$A21,'Blackout Brand Fam Areas (Enc)'!$C$6:$C$998,B$1,'Blackout Brand Fam Areas (Enc)'!$D$6:$D$998,"Inactive")&gt;0,"BLOCKED","CAN SELL"))</f>
        <v>CAN SELL</v>
      </c>
      <c r="C21" s="2" t="str">
        <f>IF($A21="","",IF(COUNTIFS('Blackout Brand Fam Areas (Enc)'!$B$6:$B$998,$A21,'Blackout Brand Fam Areas (Enc)'!$C$6:$C$998,C$1,'Blackout Brand Fam Areas (Enc)'!$D$6:$D$998,"Inactive")&gt;0,"BLOCKED","CAN SELL"))</f>
        <v>CAN SELL</v>
      </c>
      <c r="D21" s="2" t="str">
        <f>IF($A21="","",IF(COUNTIFS('Blackout Brand Fam Areas (Enc)'!$B$6:$B$998,$A21,'Blackout Brand Fam Areas (Enc)'!$C$6:$C$998,D$1,'Blackout Brand Fam Areas (Enc)'!$D$6:$D$998,"Inactive")&gt;0,"BLOCKED","CAN SELL"))</f>
        <v>CAN SELL</v>
      </c>
      <c r="E21" s="2" t="str">
        <f>IF($A21="","",IF(COUNTIFS('Blackout Brand Fam Areas (Enc)'!$B$6:$B$998,$A21,'Blackout Brand Fam Areas (Enc)'!$C$6:$C$998,E$1,'Blackout Brand Fam Areas (Enc)'!$D$6:$D$998,"Inactive")&gt;0,"BLOCKED","CAN SELL"))</f>
        <v>BLOCKED</v>
      </c>
      <c r="F21" s="2" t="str">
        <f>IF($A21="","",IF(COUNTIFS('Blackout Brand Fam Areas (Enc)'!$B$6:$B$998,$A21,'Blackout Brand Fam Areas (Enc)'!$C$6:$C$998,F$1,'Blackout Brand Fam Areas (Enc)'!$D$6:$D$998,"Inactive")&gt;0,"BLOCKED","CAN SELL"))</f>
        <v>BLOCKED</v>
      </c>
      <c r="G21" s="2" t="str">
        <f>IF($A21="","",IF(COUNTIFS('Blackout Brand Fam Areas (Enc)'!$B$6:$B$998,$A21,'Blackout Brand Fam Areas (Enc)'!$C$6:$C$998,G$1,'Blackout Brand Fam Areas (Enc)'!$D$6:$D$998,"Inactive")&gt;0,"BLOCKED","CAN SELL"))</f>
        <v>BLOCKED</v>
      </c>
      <c r="H21" s="2" t="str">
        <f>IF($A21="","",IF(COUNTIFS('Blackout Brand Fam Areas (Enc)'!$B$6:$B$998,$A21,'Blackout Brand Fam Areas (Enc)'!$C$6:$C$998,H$1,'Blackout Brand Fam Areas (Enc)'!$D$6:$D$998,"Inactive")&gt;0,"BLOCKED","CAN SELL"))</f>
        <v>CAN SELL</v>
      </c>
      <c r="I21" s="2" t="str">
        <f>IF($A21="","",IF(COUNTIFS('Blackout Brand Fam Areas (Enc)'!$B$6:$B$998,$A21,'Blackout Brand Fam Areas (Enc)'!$C$6:$C$998,I$1,'Blackout Brand Fam Areas (Enc)'!$D$6:$D$998,"Inactive")&gt;0,"BLOCKED","CAN SELL"))</f>
        <v>CAN SELL</v>
      </c>
      <c r="J21" s="2" t="str">
        <f>IF($A21="","",IF(COUNTIFS('Blackout Brand Fam Areas (Enc)'!$B$6:$B$998,$A21,'Blackout Brand Fam Areas (Enc)'!$C$6:$C$998,J$1,'Blackout Brand Fam Areas (Enc)'!$D$6:$D$998,"Inactive")&gt;0,"BLOCKED","CAN SELL"))</f>
        <v>BLOCKED</v>
      </c>
      <c r="K21" s="2" t="str">
        <f>IF($A21="","",IF(COUNTIFS('Blackout Brand Fam Areas (Enc)'!$B$6:$B$998,$A21,'Blackout Brand Fam Areas (Enc)'!$C$6:$C$998,K$1,'Blackout Brand Fam Areas (Enc)'!$D$6:$D$998,"Inactive")&gt;0,"BLOCKED","CAN SELL"))</f>
        <v>CAN SELL</v>
      </c>
    </row>
    <row r="22" spans="1:11" x14ac:dyDescent="0.2">
      <c r="A22" s="2" t="str">
        <v>Bohemia</v>
      </c>
      <c r="B22" s="2" t="str">
        <f>IF($A22="","",IF(COUNTIFS('Blackout Brand Fam Areas (Enc)'!$B$6:$B$998,$A22,'Blackout Brand Fam Areas (Enc)'!$C$6:$C$998,B$1,'Blackout Brand Fam Areas (Enc)'!$D$6:$D$998,"Inactive")&gt;0,"BLOCKED","CAN SELL"))</f>
        <v>CAN SELL</v>
      </c>
      <c r="C22" s="2" t="str">
        <f>IF($A22="","",IF(COUNTIFS('Blackout Brand Fam Areas (Enc)'!$B$6:$B$998,$A22,'Blackout Brand Fam Areas (Enc)'!$C$6:$C$998,C$1,'Blackout Brand Fam Areas (Enc)'!$D$6:$D$998,"Inactive")&gt;0,"BLOCKED","CAN SELL"))</f>
        <v>CAN SELL</v>
      </c>
      <c r="D22" s="2" t="str">
        <f>IF($A22="","",IF(COUNTIFS('Blackout Brand Fam Areas (Enc)'!$B$6:$B$998,$A22,'Blackout Brand Fam Areas (Enc)'!$C$6:$C$998,D$1,'Blackout Brand Fam Areas (Enc)'!$D$6:$D$998,"Inactive")&gt;0,"BLOCKED","CAN SELL"))</f>
        <v>CAN SELL</v>
      </c>
      <c r="E22" s="2" t="str">
        <f>IF($A22="","",IF(COUNTIFS('Blackout Brand Fam Areas (Enc)'!$B$6:$B$998,$A22,'Blackout Brand Fam Areas (Enc)'!$C$6:$C$998,E$1,'Blackout Brand Fam Areas (Enc)'!$D$6:$D$998,"Inactive")&gt;0,"BLOCKED","CAN SELL"))</f>
        <v>BLOCKED</v>
      </c>
      <c r="F22" s="2" t="str">
        <f>IF($A22="","",IF(COUNTIFS('Blackout Brand Fam Areas (Enc)'!$B$6:$B$998,$A22,'Blackout Brand Fam Areas (Enc)'!$C$6:$C$998,F$1,'Blackout Brand Fam Areas (Enc)'!$D$6:$D$998,"Inactive")&gt;0,"BLOCKED","CAN SELL"))</f>
        <v>BLOCKED</v>
      </c>
      <c r="G22" s="2" t="str">
        <f>IF($A22="","",IF(COUNTIFS('Blackout Brand Fam Areas (Enc)'!$B$6:$B$998,$A22,'Blackout Brand Fam Areas (Enc)'!$C$6:$C$998,G$1,'Blackout Brand Fam Areas (Enc)'!$D$6:$D$998,"Inactive")&gt;0,"BLOCKED","CAN SELL"))</f>
        <v>BLOCKED</v>
      </c>
      <c r="H22" s="2" t="str">
        <f>IF($A22="","",IF(COUNTIFS('Blackout Brand Fam Areas (Enc)'!$B$6:$B$998,$A22,'Blackout Brand Fam Areas (Enc)'!$C$6:$C$998,H$1,'Blackout Brand Fam Areas (Enc)'!$D$6:$D$998,"Inactive")&gt;0,"BLOCKED","CAN SELL"))</f>
        <v>BLOCKED</v>
      </c>
      <c r="I22" s="2" t="str">
        <f>IF($A22="","",IF(COUNTIFS('Blackout Brand Fam Areas (Enc)'!$B$6:$B$998,$A22,'Blackout Brand Fam Areas (Enc)'!$C$6:$C$998,I$1,'Blackout Brand Fam Areas (Enc)'!$D$6:$D$998,"Inactive")&gt;0,"BLOCKED","CAN SELL"))</f>
        <v>BLOCKED</v>
      </c>
      <c r="J22" s="2" t="str">
        <f>IF($A22="","",IF(COUNTIFS('Blackout Brand Fam Areas (Enc)'!$B$6:$B$998,$A22,'Blackout Brand Fam Areas (Enc)'!$C$6:$C$998,J$1,'Blackout Brand Fam Areas (Enc)'!$D$6:$D$998,"Inactive")&gt;0,"BLOCKED","CAN SELL"))</f>
        <v>BLOCKED</v>
      </c>
      <c r="K22" s="2" t="str">
        <f>IF($A22="","",IF(COUNTIFS('Blackout Brand Fam Areas (Enc)'!$B$6:$B$998,$A22,'Blackout Brand Fam Areas (Enc)'!$C$6:$C$998,K$1,'Blackout Brand Fam Areas (Enc)'!$D$6:$D$998,"Inactive")&gt;0,"BLOCKED","CAN SELL"))</f>
        <v>CAN SELL</v>
      </c>
    </row>
    <row r="23" spans="1:11" x14ac:dyDescent="0.2">
      <c r="A23" s="2" t="str">
        <v>Bold Rock</v>
      </c>
      <c r="B23" s="2" t="str">
        <f>IF($A23="","",IF(COUNTIFS('Blackout Brand Fam Areas (Enc)'!$B$6:$B$998,$A23,'Blackout Brand Fam Areas (Enc)'!$C$6:$C$998,B$1,'Blackout Brand Fam Areas (Enc)'!$D$6:$D$998,"Inactive")&gt;0,"BLOCKED","CAN SELL"))</f>
        <v>CAN SELL</v>
      </c>
      <c r="C23" s="2" t="str">
        <f>IF($A23="","",IF(COUNTIFS('Blackout Brand Fam Areas (Enc)'!$B$6:$B$998,$A23,'Blackout Brand Fam Areas (Enc)'!$C$6:$C$998,C$1,'Blackout Brand Fam Areas (Enc)'!$D$6:$D$998,"Inactive")&gt;0,"BLOCKED","CAN SELL"))</f>
        <v>CAN SELL</v>
      </c>
      <c r="D23" s="2" t="str">
        <f>IF($A23="","",IF(COUNTIFS('Blackout Brand Fam Areas (Enc)'!$B$6:$B$998,$A23,'Blackout Brand Fam Areas (Enc)'!$C$6:$C$998,D$1,'Blackout Brand Fam Areas (Enc)'!$D$6:$D$998,"Inactive")&gt;0,"BLOCKED","CAN SELL"))</f>
        <v>CAN SELL</v>
      </c>
      <c r="E23" s="2" t="str">
        <f>IF($A23="","",IF(COUNTIFS('Blackout Brand Fam Areas (Enc)'!$B$6:$B$998,$A23,'Blackout Brand Fam Areas (Enc)'!$C$6:$C$998,E$1,'Blackout Brand Fam Areas (Enc)'!$D$6:$D$998,"Inactive")&gt;0,"BLOCKED","CAN SELL"))</f>
        <v>CAN SELL</v>
      </c>
      <c r="F23" s="2" t="str">
        <f>IF($A23="","",IF(COUNTIFS('Blackout Brand Fam Areas (Enc)'!$B$6:$B$998,$A23,'Blackout Brand Fam Areas (Enc)'!$C$6:$C$998,F$1,'Blackout Brand Fam Areas (Enc)'!$D$6:$D$998,"Inactive")&gt;0,"BLOCKED","CAN SELL"))</f>
        <v>CAN SELL</v>
      </c>
      <c r="G23" s="2" t="str">
        <f>IF($A23="","",IF(COUNTIFS('Blackout Brand Fam Areas (Enc)'!$B$6:$B$998,$A23,'Blackout Brand Fam Areas (Enc)'!$C$6:$C$998,G$1,'Blackout Brand Fam Areas (Enc)'!$D$6:$D$998,"Inactive")&gt;0,"BLOCKED","CAN SELL"))</f>
        <v>BLOCKED</v>
      </c>
      <c r="H23" s="2" t="str">
        <f>IF($A23="","",IF(COUNTIFS('Blackout Brand Fam Areas (Enc)'!$B$6:$B$998,$A23,'Blackout Brand Fam Areas (Enc)'!$C$6:$C$998,H$1,'Blackout Brand Fam Areas (Enc)'!$D$6:$D$998,"Inactive")&gt;0,"BLOCKED","CAN SELL"))</f>
        <v>BLOCKED</v>
      </c>
      <c r="I23" s="2" t="str">
        <f>IF($A23="","",IF(COUNTIFS('Blackout Brand Fam Areas (Enc)'!$B$6:$B$998,$A23,'Blackout Brand Fam Areas (Enc)'!$C$6:$C$998,I$1,'Blackout Brand Fam Areas (Enc)'!$D$6:$D$998,"Inactive")&gt;0,"BLOCKED","CAN SELL"))</f>
        <v>BLOCKED</v>
      </c>
      <c r="J23" s="2" t="str">
        <f>IF($A23="","",IF(COUNTIFS('Blackout Brand Fam Areas (Enc)'!$B$6:$B$998,$A23,'Blackout Brand Fam Areas (Enc)'!$C$6:$C$998,J$1,'Blackout Brand Fam Areas (Enc)'!$D$6:$D$998,"Inactive")&gt;0,"BLOCKED","CAN SELL"))</f>
        <v>BLOCKED</v>
      </c>
      <c r="K23" s="2" t="str">
        <f>IF($A23="","",IF(COUNTIFS('Blackout Brand Fam Areas (Enc)'!$B$6:$B$998,$A23,'Blackout Brand Fam Areas (Enc)'!$C$6:$C$998,K$1,'Blackout Brand Fam Areas (Enc)'!$D$6:$D$998,"Inactive")&gt;0,"BLOCKED","CAN SELL"))</f>
        <v>BLOCKED</v>
      </c>
    </row>
    <row r="24" spans="1:11" x14ac:dyDescent="0.2">
      <c r="A24" s="2" t="str">
        <v>Buckler</v>
      </c>
      <c r="B24" s="2" t="str">
        <f>IF($A24="","",IF(COUNTIFS('Blackout Brand Fam Areas (Enc)'!$B$6:$B$998,$A24,'Blackout Brand Fam Areas (Enc)'!$C$6:$C$998,B$1,'Blackout Brand Fam Areas (Enc)'!$D$6:$D$998,"Inactive")&gt;0,"BLOCKED","CAN SELL"))</f>
        <v>CAN SELL</v>
      </c>
      <c r="C24" s="2" t="str">
        <f>IF($A24="","",IF(COUNTIFS('Blackout Brand Fam Areas (Enc)'!$B$6:$B$998,$A24,'Blackout Brand Fam Areas (Enc)'!$C$6:$C$998,C$1,'Blackout Brand Fam Areas (Enc)'!$D$6:$D$998,"Inactive")&gt;0,"BLOCKED","CAN SELL"))</f>
        <v>CAN SELL</v>
      </c>
      <c r="D24" s="2" t="str">
        <f>IF($A24="","",IF(COUNTIFS('Blackout Brand Fam Areas (Enc)'!$B$6:$B$998,$A24,'Blackout Brand Fam Areas (Enc)'!$C$6:$C$998,D$1,'Blackout Brand Fam Areas (Enc)'!$D$6:$D$998,"Inactive")&gt;0,"BLOCKED","CAN SELL"))</f>
        <v>CAN SELL</v>
      </c>
      <c r="E24" s="2" t="str">
        <f>IF($A24="","",IF(COUNTIFS('Blackout Brand Fam Areas (Enc)'!$B$6:$B$998,$A24,'Blackout Brand Fam Areas (Enc)'!$C$6:$C$998,E$1,'Blackout Brand Fam Areas (Enc)'!$D$6:$D$998,"Inactive")&gt;0,"BLOCKED","CAN SELL"))</f>
        <v>BLOCKED</v>
      </c>
      <c r="F24" s="2" t="str">
        <f>IF($A24="","",IF(COUNTIFS('Blackout Brand Fam Areas (Enc)'!$B$6:$B$998,$A24,'Blackout Brand Fam Areas (Enc)'!$C$6:$C$998,F$1,'Blackout Brand Fam Areas (Enc)'!$D$6:$D$998,"Inactive")&gt;0,"BLOCKED","CAN SELL"))</f>
        <v>BLOCKED</v>
      </c>
      <c r="G24" s="2" t="str">
        <f>IF($A24="","",IF(COUNTIFS('Blackout Brand Fam Areas (Enc)'!$B$6:$B$998,$A24,'Blackout Brand Fam Areas (Enc)'!$C$6:$C$998,G$1,'Blackout Brand Fam Areas (Enc)'!$D$6:$D$998,"Inactive")&gt;0,"BLOCKED","CAN SELL"))</f>
        <v>BLOCKED</v>
      </c>
      <c r="H24" s="2" t="str">
        <f>IF($A24="","",IF(COUNTIFS('Blackout Brand Fam Areas (Enc)'!$B$6:$B$998,$A24,'Blackout Brand Fam Areas (Enc)'!$C$6:$C$998,H$1,'Blackout Brand Fam Areas (Enc)'!$D$6:$D$998,"Inactive")&gt;0,"BLOCKED","CAN SELL"))</f>
        <v>BLOCKED</v>
      </c>
      <c r="I24" s="2" t="str">
        <f>IF($A24="","",IF(COUNTIFS('Blackout Brand Fam Areas (Enc)'!$B$6:$B$998,$A24,'Blackout Brand Fam Areas (Enc)'!$C$6:$C$998,I$1,'Blackout Brand Fam Areas (Enc)'!$D$6:$D$998,"Inactive")&gt;0,"BLOCKED","CAN SELL"))</f>
        <v>BLOCKED</v>
      </c>
      <c r="J24" s="2" t="str">
        <f>IF($A24="","",IF(COUNTIFS('Blackout Brand Fam Areas (Enc)'!$B$6:$B$998,$A24,'Blackout Brand Fam Areas (Enc)'!$C$6:$C$998,J$1,'Blackout Brand Fam Areas (Enc)'!$D$6:$D$998,"Inactive")&gt;0,"BLOCKED","CAN SELL"))</f>
        <v>BLOCKED</v>
      </c>
      <c r="K24" s="2" t="str">
        <f>IF($A24="","",IF(COUNTIFS('Blackout Brand Fam Areas (Enc)'!$B$6:$B$998,$A24,'Blackout Brand Fam Areas (Enc)'!$C$6:$C$998,K$1,'Blackout Brand Fam Areas (Enc)'!$D$6:$D$998,"Inactive")&gt;0,"BLOCKED","CAN SELL"))</f>
        <v>CAN SELL</v>
      </c>
    </row>
    <row r="25" spans="1:11" x14ac:dyDescent="0.2">
      <c r="A25" s="2" t="str">
        <v>Cape Line</v>
      </c>
      <c r="B25" s="2" t="str">
        <f>IF($A25="","",IF(COUNTIFS('Blackout Brand Fam Areas (Enc)'!$B$6:$B$998,$A25,'Blackout Brand Fam Areas (Enc)'!$C$6:$C$998,B$1,'Blackout Brand Fam Areas (Enc)'!$D$6:$D$998,"Inactive")&gt;0,"BLOCKED","CAN SELL"))</f>
        <v>CAN SELL</v>
      </c>
      <c r="C25" s="2" t="str">
        <f>IF($A25="","",IF(COUNTIFS('Blackout Brand Fam Areas (Enc)'!$B$6:$B$998,$A25,'Blackout Brand Fam Areas (Enc)'!$C$6:$C$998,C$1,'Blackout Brand Fam Areas (Enc)'!$D$6:$D$998,"Inactive")&gt;0,"BLOCKED","CAN SELL"))</f>
        <v>CAN SELL</v>
      </c>
      <c r="D25" s="2" t="str">
        <f>IF($A25="","",IF(COUNTIFS('Blackout Brand Fam Areas (Enc)'!$B$6:$B$998,$A25,'Blackout Brand Fam Areas (Enc)'!$C$6:$C$998,D$1,'Blackout Brand Fam Areas (Enc)'!$D$6:$D$998,"Inactive")&gt;0,"BLOCKED","CAN SELL"))</f>
        <v>CAN SELL</v>
      </c>
      <c r="E25" s="2" t="str">
        <f>IF($A25="","",IF(COUNTIFS('Blackout Brand Fam Areas (Enc)'!$B$6:$B$998,$A25,'Blackout Brand Fam Areas (Enc)'!$C$6:$C$998,E$1,'Blackout Brand Fam Areas (Enc)'!$D$6:$D$998,"Inactive")&gt;0,"BLOCKED","CAN SELL"))</f>
        <v>BLOCKED</v>
      </c>
      <c r="F25" s="2" t="str">
        <f>IF($A25="","",IF(COUNTIFS('Blackout Brand Fam Areas (Enc)'!$B$6:$B$998,$A25,'Blackout Brand Fam Areas (Enc)'!$C$6:$C$998,F$1,'Blackout Brand Fam Areas (Enc)'!$D$6:$D$998,"Inactive")&gt;0,"BLOCKED","CAN SELL"))</f>
        <v>BLOCKED</v>
      </c>
      <c r="G25" s="2" t="str">
        <f>IF($A25="","",IF(COUNTIFS('Blackout Brand Fam Areas (Enc)'!$B$6:$B$998,$A25,'Blackout Brand Fam Areas (Enc)'!$C$6:$C$998,G$1,'Blackout Brand Fam Areas (Enc)'!$D$6:$D$998,"Inactive")&gt;0,"BLOCKED","CAN SELL"))</f>
        <v>BLOCKED</v>
      </c>
      <c r="H25" s="2" t="str">
        <f>IF($A25="","",IF(COUNTIFS('Blackout Brand Fam Areas (Enc)'!$B$6:$B$998,$A25,'Blackout Brand Fam Areas (Enc)'!$C$6:$C$998,H$1,'Blackout Brand Fam Areas (Enc)'!$D$6:$D$998,"Inactive")&gt;0,"BLOCKED","CAN SELL"))</f>
        <v>CAN SELL</v>
      </c>
      <c r="I25" s="2" t="str">
        <f>IF($A25="","",IF(COUNTIFS('Blackout Brand Fam Areas (Enc)'!$B$6:$B$998,$A25,'Blackout Brand Fam Areas (Enc)'!$C$6:$C$998,I$1,'Blackout Brand Fam Areas (Enc)'!$D$6:$D$998,"Inactive")&gt;0,"BLOCKED","CAN SELL"))</f>
        <v>CAN SELL</v>
      </c>
      <c r="J25" s="2" t="str">
        <f>IF($A25="","",IF(COUNTIFS('Blackout Brand Fam Areas (Enc)'!$B$6:$B$998,$A25,'Blackout Brand Fam Areas (Enc)'!$C$6:$C$998,J$1,'Blackout Brand Fam Areas (Enc)'!$D$6:$D$998,"Inactive")&gt;0,"BLOCKED","CAN SELL"))</f>
        <v>BLOCKED</v>
      </c>
      <c r="K25" s="2" t="str">
        <f>IF($A25="","",IF(COUNTIFS('Blackout Brand Fam Areas (Enc)'!$B$6:$B$998,$A25,'Blackout Brand Fam Areas (Enc)'!$C$6:$C$998,K$1,'Blackout Brand Fam Areas (Enc)'!$D$6:$D$998,"Inactive")&gt;0,"BLOCKED","CAN SELL"))</f>
        <v>CAN SELL</v>
      </c>
    </row>
    <row r="26" spans="1:11" x14ac:dyDescent="0.2">
      <c r="A26" s="2" t="str">
        <v>Cape May</v>
      </c>
      <c r="B26" s="2" t="str">
        <f>IF($A26="","",IF(COUNTIFS('Blackout Brand Fam Areas (Enc)'!$B$6:$B$998,$A26,'Blackout Brand Fam Areas (Enc)'!$C$6:$C$998,B$1,'Blackout Brand Fam Areas (Enc)'!$D$6:$D$998,"Inactive")&gt;0,"BLOCKED","CAN SELL"))</f>
        <v>CAN SELL</v>
      </c>
      <c r="C26" s="2" t="str">
        <f>IF($A26="","",IF(COUNTIFS('Blackout Brand Fam Areas (Enc)'!$B$6:$B$998,$A26,'Blackout Brand Fam Areas (Enc)'!$C$6:$C$998,C$1,'Blackout Brand Fam Areas (Enc)'!$D$6:$D$998,"Inactive")&gt;0,"BLOCKED","CAN SELL"))</f>
        <v>CAN SELL</v>
      </c>
      <c r="D26" s="2" t="str">
        <f>IF($A26="","",IF(COUNTIFS('Blackout Brand Fam Areas (Enc)'!$B$6:$B$998,$A26,'Blackout Brand Fam Areas (Enc)'!$C$6:$C$998,D$1,'Blackout Brand Fam Areas (Enc)'!$D$6:$D$998,"Inactive")&gt;0,"BLOCKED","CAN SELL"))</f>
        <v>CAN SELL</v>
      </c>
      <c r="E26" s="2" t="str">
        <f>IF($A26="","",IF(COUNTIFS('Blackout Brand Fam Areas (Enc)'!$B$6:$B$998,$A26,'Blackout Brand Fam Areas (Enc)'!$C$6:$C$998,E$1,'Blackout Brand Fam Areas (Enc)'!$D$6:$D$998,"Inactive")&gt;0,"BLOCKED","CAN SELL"))</f>
        <v>BLOCKED</v>
      </c>
      <c r="F26" s="2" t="str">
        <f>IF($A26="","",IF(COUNTIFS('Blackout Brand Fam Areas (Enc)'!$B$6:$B$998,$A26,'Blackout Brand Fam Areas (Enc)'!$C$6:$C$998,F$1,'Blackout Brand Fam Areas (Enc)'!$D$6:$D$998,"Inactive")&gt;0,"BLOCKED","CAN SELL"))</f>
        <v>BLOCKED</v>
      </c>
      <c r="G26" s="2" t="str">
        <f>IF($A26="","",IF(COUNTIFS('Blackout Brand Fam Areas (Enc)'!$B$6:$B$998,$A26,'Blackout Brand Fam Areas (Enc)'!$C$6:$C$998,G$1,'Blackout Brand Fam Areas (Enc)'!$D$6:$D$998,"Inactive")&gt;0,"BLOCKED","CAN SELL"))</f>
        <v>BLOCKED</v>
      </c>
      <c r="H26" s="2" t="str">
        <f>IF($A26="","",IF(COUNTIFS('Blackout Brand Fam Areas (Enc)'!$B$6:$B$998,$A26,'Blackout Brand Fam Areas (Enc)'!$C$6:$C$998,H$1,'Blackout Brand Fam Areas (Enc)'!$D$6:$D$998,"Inactive")&gt;0,"BLOCKED","CAN SELL"))</f>
        <v>CAN SELL</v>
      </c>
      <c r="I26" s="2" t="str">
        <f>IF($A26="","",IF(COUNTIFS('Blackout Brand Fam Areas (Enc)'!$B$6:$B$998,$A26,'Blackout Brand Fam Areas (Enc)'!$C$6:$C$998,I$1,'Blackout Brand Fam Areas (Enc)'!$D$6:$D$998,"Inactive")&gt;0,"BLOCKED","CAN SELL"))</f>
        <v>CAN SELL</v>
      </c>
      <c r="J26" s="2" t="str">
        <f>IF($A26="","",IF(COUNTIFS('Blackout Brand Fam Areas (Enc)'!$B$6:$B$998,$A26,'Blackout Brand Fam Areas (Enc)'!$C$6:$C$998,J$1,'Blackout Brand Fam Areas (Enc)'!$D$6:$D$998,"Inactive")&gt;0,"BLOCKED","CAN SELL"))</f>
        <v>BLOCKED</v>
      </c>
      <c r="K26" s="2" t="str">
        <f>IF($A26="","",IF(COUNTIFS('Blackout Brand Fam Areas (Enc)'!$B$6:$B$998,$A26,'Blackout Brand Fam Areas (Enc)'!$C$6:$C$998,K$1,'Blackout Brand Fam Areas (Enc)'!$D$6:$D$998,"Inactive")&gt;0,"BLOCKED","CAN SELL"))</f>
        <v>CAN SELL</v>
      </c>
    </row>
    <row r="27" spans="1:11" x14ac:dyDescent="0.2">
      <c r="A27" s="2" t="str">
        <v>Carbliss</v>
      </c>
      <c r="B27" s="2" t="str">
        <f>IF($A27="","",IF(COUNTIFS('Blackout Brand Fam Areas (Enc)'!$B$6:$B$998,$A27,'Blackout Brand Fam Areas (Enc)'!$C$6:$C$998,B$1,'Blackout Brand Fam Areas (Enc)'!$D$6:$D$998,"Inactive")&gt;0,"BLOCKED","CAN SELL"))</f>
        <v>CAN SELL</v>
      </c>
      <c r="C27" s="2" t="str">
        <f>IF($A27="","",IF(COUNTIFS('Blackout Brand Fam Areas (Enc)'!$B$6:$B$998,$A27,'Blackout Brand Fam Areas (Enc)'!$C$6:$C$998,C$1,'Blackout Brand Fam Areas (Enc)'!$D$6:$D$998,"Inactive")&gt;0,"BLOCKED","CAN SELL"))</f>
        <v>CAN SELL</v>
      </c>
      <c r="D27" s="2" t="str">
        <f>IF($A27="","",IF(COUNTIFS('Blackout Brand Fam Areas (Enc)'!$B$6:$B$998,$A27,'Blackout Brand Fam Areas (Enc)'!$C$6:$C$998,D$1,'Blackout Brand Fam Areas (Enc)'!$D$6:$D$998,"Inactive")&gt;0,"BLOCKED","CAN SELL"))</f>
        <v>CAN SELL</v>
      </c>
      <c r="E27" s="2" t="str">
        <f>IF($A27="","",IF(COUNTIFS('Blackout Brand Fam Areas (Enc)'!$B$6:$B$998,$A27,'Blackout Brand Fam Areas (Enc)'!$C$6:$C$998,E$1,'Blackout Brand Fam Areas (Enc)'!$D$6:$D$998,"Inactive")&gt;0,"BLOCKED","CAN SELL"))</f>
        <v>BLOCKED</v>
      </c>
      <c r="F27" s="2" t="str">
        <f>IF($A27="","",IF(COUNTIFS('Blackout Brand Fam Areas (Enc)'!$B$6:$B$998,$A27,'Blackout Brand Fam Areas (Enc)'!$C$6:$C$998,F$1,'Blackout Brand Fam Areas (Enc)'!$D$6:$D$998,"Inactive")&gt;0,"BLOCKED","CAN SELL"))</f>
        <v>BLOCKED</v>
      </c>
      <c r="G27" s="2" t="str">
        <f>IF($A27="","",IF(COUNTIFS('Blackout Brand Fam Areas (Enc)'!$B$6:$B$998,$A27,'Blackout Brand Fam Areas (Enc)'!$C$6:$C$998,G$1,'Blackout Brand Fam Areas (Enc)'!$D$6:$D$998,"Inactive")&gt;0,"BLOCKED","CAN SELL"))</f>
        <v>BLOCKED</v>
      </c>
      <c r="H27" s="2" t="str">
        <f>IF($A27="","",IF(COUNTIFS('Blackout Brand Fam Areas (Enc)'!$B$6:$B$998,$A27,'Blackout Brand Fam Areas (Enc)'!$C$6:$C$998,H$1,'Blackout Brand Fam Areas (Enc)'!$D$6:$D$998,"Inactive")&gt;0,"BLOCKED","CAN SELL"))</f>
        <v>CAN SELL</v>
      </c>
      <c r="I27" s="2" t="str">
        <f>IF($A27="","",IF(COUNTIFS('Blackout Brand Fam Areas (Enc)'!$B$6:$B$998,$A27,'Blackout Brand Fam Areas (Enc)'!$C$6:$C$998,I$1,'Blackout Brand Fam Areas (Enc)'!$D$6:$D$998,"Inactive")&gt;0,"BLOCKED","CAN SELL"))</f>
        <v>CAN SELL</v>
      </c>
      <c r="J27" s="2" t="str">
        <f>IF($A27="","",IF(COUNTIFS('Blackout Brand Fam Areas (Enc)'!$B$6:$B$998,$A27,'Blackout Brand Fam Areas (Enc)'!$C$6:$C$998,J$1,'Blackout Brand Fam Areas (Enc)'!$D$6:$D$998,"Inactive")&gt;0,"BLOCKED","CAN SELL"))</f>
        <v>BLOCKED</v>
      </c>
      <c r="K27" s="2" t="str">
        <f>IF($A27="","",IF(COUNTIFS('Blackout Brand Fam Areas (Enc)'!$B$6:$B$998,$A27,'Blackout Brand Fam Areas (Enc)'!$C$6:$C$998,K$1,'Blackout Brand Fam Areas (Enc)'!$D$6:$D$998,"Inactive")&gt;0,"BLOCKED","CAN SELL"))</f>
        <v>CAN SELL</v>
      </c>
    </row>
    <row r="28" spans="1:11" x14ac:dyDescent="0.2">
      <c r="A28" s="2" t="str">
        <v>Carta Blanca</v>
      </c>
      <c r="B28" s="2" t="str">
        <f>IF($A28="","",IF(COUNTIFS('Blackout Brand Fam Areas (Enc)'!$B$6:$B$998,$A28,'Blackout Brand Fam Areas (Enc)'!$C$6:$C$998,B$1,'Blackout Brand Fam Areas (Enc)'!$D$6:$D$998,"Inactive")&gt;0,"BLOCKED","CAN SELL"))</f>
        <v>CAN SELL</v>
      </c>
      <c r="C28" s="2" t="str">
        <f>IF($A28="","",IF(COUNTIFS('Blackout Brand Fam Areas (Enc)'!$B$6:$B$998,$A28,'Blackout Brand Fam Areas (Enc)'!$C$6:$C$998,C$1,'Blackout Brand Fam Areas (Enc)'!$D$6:$D$998,"Inactive")&gt;0,"BLOCKED","CAN SELL"))</f>
        <v>CAN SELL</v>
      </c>
      <c r="D28" s="2" t="str">
        <f>IF($A28="","",IF(COUNTIFS('Blackout Brand Fam Areas (Enc)'!$B$6:$B$998,$A28,'Blackout Brand Fam Areas (Enc)'!$C$6:$C$998,D$1,'Blackout Brand Fam Areas (Enc)'!$D$6:$D$998,"Inactive")&gt;0,"BLOCKED","CAN SELL"))</f>
        <v>CAN SELL</v>
      </c>
      <c r="E28" s="2" t="str">
        <f>IF($A28="","",IF(COUNTIFS('Blackout Brand Fam Areas (Enc)'!$B$6:$B$998,$A28,'Blackout Brand Fam Areas (Enc)'!$C$6:$C$998,E$1,'Blackout Brand Fam Areas (Enc)'!$D$6:$D$998,"Inactive")&gt;0,"BLOCKED","CAN SELL"))</f>
        <v>BLOCKED</v>
      </c>
      <c r="F28" s="2" t="str">
        <f>IF($A28="","",IF(COUNTIFS('Blackout Brand Fam Areas (Enc)'!$B$6:$B$998,$A28,'Blackout Brand Fam Areas (Enc)'!$C$6:$C$998,F$1,'Blackout Brand Fam Areas (Enc)'!$D$6:$D$998,"Inactive")&gt;0,"BLOCKED","CAN SELL"))</f>
        <v>BLOCKED</v>
      </c>
      <c r="G28" s="2" t="str">
        <f>IF($A28="","",IF(COUNTIFS('Blackout Brand Fam Areas (Enc)'!$B$6:$B$998,$A28,'Blackout Brand Fam Areas (Enc)'!$C$6:$C$998,G$1,'Blackout Brand Fam Areas (Enc)'!$D$6:$D$998,"Inactive")&gt;0,"BLOCKED","CAN SELL"))</f>
        <v>BLOCKED</v>
      </c>
      <c r="H28" s="2" t="str">
        <f>IF($A28="","",IF(COUNTIFS('Blackout Brand Fam Areas (Enc)'!$B$6:$B$998,$A28,'Blackout Brand Fam Areas (Enc)'!$C$6:$C$998,H$1,'Blackout Brand Fam Areas (Enc)'!$D$6:$D$998,"Inactive")&gt;0,"BLOCKED","CAN SELL"))</f>
        <v>BLOCKED</v>
      </c>
      <c r="I28" s="2" t="str">
        <f>IF($A28="","",IF(COUNTIFS('Blackout Brand Fam Areas (Enc)'!$B$6:$B$998,$A28,'Blackout Brand Fam Areas (Enc)'!$C$6:$C$998,I$1,'Blackout Brand Fam Areas (Enc)'!$D$6:$D$998,"Inactive")&gt;0,"BLOCKED","CAN SELL"))</f>
        <v>BLOCKED</v>
      </c>
      <c r="J28" s="2" t="str">
        <f>IF($A28="","",IF(COUNTIFS('Blackout Brand Fam Areas (Enc)'!$B$6:$B$998,$A28,'Blackout Brand Fam Areas (Enc)'!$C$6:$C$998,J$1,'Blackout Brand Fam Areas (Enc)'!$D$6:$D$998,"Inactive")&gt;0,"BLOCKED","CAN SELL"))</f>
        <v>BLOCKED</v>
      </c>
      <c r="K28" s="2" t="str">
        <f>IF($A28="","",IF(COUNTIFS('Blackout Brand Fam Areas (Enc)'!$B$6:$B$998,$A28,'Blackout Brand Fam Areas (Enc)'!$C$6:$C$998,K$1,'Blackout Brand Fam Areas (Enc)'!$D$6:$D$998,"Inactive")&gt;0,"BLOCKED","CAN SELL"))</f>
        <v>BLOCKED</v>
      </c>
    </row>
    <row r="29" spans="1:11" x14ac:dyDescent="0.2">
      <c r="A29" s="2" t="str">
        <v>Cayman Jack</v>
      </c>
      <c r="B29" s="2" t="str">
        <f>IF($A29="","",IF(COUNTIFS('Blackout Brand Fam Areas (Enc)'!$B$6:$B$998,$A29,'Blackout Brand Fam Areas (Enc)'!$C$6:$C$998,B$1,'Blackout Brand Fam Areas (Enc)'!$D$6:$D$998,"Inactive")&gt;0,"BLOCKED","CAN SELL"))</f>
        <v>CAN SELL</v>
      </c>
      <c r="C29" s="2" t="str">
        <f>IF($A29="","",IF(COUNTIFS('Blackout Brand Fam Areas (Enc)'!$B$6:$B$998,$A29,'Blackout Brand Fam Areas (Enc)'!$C$6:$C$998,C$1,'Blackout Brand Fam Areas (Enc)'!$D$6:$D$998,"Inactive")&gt;0,"BLOCKED","CAN SELL"))</f>
        <v>CAN SELL</v>
      </c>
      <c r="D29" s="2" t="str">
        <f>IF($A29="","",IF(COUNTIFS('Blackout Brand Fam Areas (Enc)'!$B$6:$B$998,$A29,'Blackout Brand Fam Areas (Enc)'!$C$6:$C$998,D$1,'Blackout Brand Fam Areas (Enc)'!$D$6:$D$998,"Inactive")&gt;0,"BLOCKED","CAN SELL"))</f>
        <v>CAN SELL</v>
      </c>
      <c r="E29" s="2" t="str">
        <f>IF($A29="","",IF(COUNTIFS('Blackout Brand Fam Areas (Enc)'!$B$6:$B$998,$A29,'Blackout Brand Fam Areas (Enc)'!$C$6:$C$998,E$1,'Blackout Brand Fam Areas (Enc)'!$D$6:$D$998,"Inactive")&gt;0,"BLOCKED","CAN SELL"))</f>
        <v>BLOCKED</v>
      </c>
      <c r="F29" s="2" t="str">
        <f>IF($A29="","",IF(COUNTIFS('Blackout Brand Fam Areas (Enc)'!$B$6:$B$998,$A29,'Blackout Brand Fam Areas (Enc)'!$C$6:$C$998,F$1,'Blackout Brand Fam Areas (Enc)'!$D$6:$D$998,"Inactive")&gt;0,"BLOCKED","CAN SELL"))</f>
        <v>BLOCKED</v>
      </c>
      <c r="G29" s="2" t="str">
        <f>IF($A29="","",IF(COUNTIFS('Blackout Brand Fam Areas (Enc)'!$B$6:$B$998,$A29,'Blackout Brand Fam Areas (Enc)'!$C$6:$C$998,G$1,'Blackout Brand Fam Areas (Enc)'!$D$6:$D$998,"Inactive")&gt;0,"BLOCKED","CAN SELL"))</f>
        <v>BLOCKED</v>
      </c>
      <c r="H29" s="2" t="str">
        <f>IF($A29="","",IF(COUNTIFS('Blackout Brand Fam Areas (Enc)'!$B$6:$B$998,$A29,'Blackout Brand Fam Areas (Enc)'!$C$6:$C$998,H$1,'Blackout Brand Fam Areas (Enc)'!$D$6:$D$998,"Inactive")&gt;0,"BLOCKED","CAN SELL"))</f>
        <v>CAN SELL</v>
      </c>
      <c r="I29" s="2" t="str">
        <f>IF($A29="","",IF(COUNTIFS('Blackout Brand Fam Areas (Enc)'!$B$6:$B$998,$A29,'Blackout Brand Fam Areas (Enc)'!$C$6:$C$998,I$1,'Blackout Brand Fam Areas (Enc)'!$D$6:$D$998,"Inactive")&gt;0,"BLOCKED","CAN SELL"))</f>
        <v>CAN SELL</v>
      </c>
      <c r="J29" s="2" t="str">
        <f>IF($A29="","",IF(COUNTIFS('Blackout Brand Fam Areas (Enc)'!$B$6:$B$998,$A29,'Blackout Brand Fam Areas (Enc)'!$C$6:$C$998,J$1,'Blackout Brand Fam Areas (Enc)'!$D$6:$D$998,"Inactive")&gt;0,"BLOCKED","CAN SELL"))</f>
        <v>BLOCKED</v>
      </c>
      <c r="K29" s="2" t="str">
        <f>IF($A29="","",IF(COUNTIFS('Blackout Brand Fam Areas (Enc)'!$B$6:$B$998,$A29,'Blackout Brand Fam Areas (Enc)'!$C$6:$C$998,K$1,'Blackout Brand Fam Areas (Enc)'!$D$6:$D$998,"Inactive")&gt;0,"BLOCKED","CAN SELL"))</f>
        <v>CAN SELL</v>
      </c>
    </row>
    <row r="30" spans="1:11" x14ac:dyDescent="0.2">
      <c r="A30" s="2" t="str">
        <v>Cervezas De Mexico</v>
      </c>
      <c r="B30" s="2" t="str">
        <f>IF($A30="","",IF(COUNTIFS('Blackout Brand Fam Areas (Enc)'!$B$6:$B$998,$A30,'Blackout Brand Fam Areas (Enc)'!$C$6:$C$998,B$1,'Blackout Brand Fam Areas (Enc)'!$D$6:$D$998,"Inactive")&gt;0,"BLOCKED","CAN SELL"))</f>
        <v>CAN SELL</v>
      </c>
      <c r="C30" s="2" t="str">
        <f>IF($A30="","",IF(COUNTIFS('Blackout Brand Fam Areas (Enc)'!$B$6:$B$998,$A30,'Blackout Brand Fam Areas (Enc)'!$C$6:$C$998,C$1,'Blackout Brand Fam Areas (Enc)'!$D$6:$D$998,"Inactive")&gt;0,"BLOCKED","CAN SELL"))</f>
        <v>CAN SELL</v>
      </c>
      <c r="D30" s="2" t="str">
        <f>IF($A30="","",IF(COUNTIFS('Blackout Brand Fam Areas (Enc)'!$B$6:$B$998,$A30,'Blackout Brand Fam Areas (Enc)'!$C$6:$C$998,D$1,'Blackout Brand Fam Areas (Enc)'!$D$6:$D$998,"Inactive")&gt;0,"BLOCKED","CAN SELL"))</f>
        <v>CAN SELL</v>
      </c>
      <c r="E30" s="2" t="str">
        <f>IF($A30="","",IF(COUNTIFS('Blackout Brand Fam Areas (Enc)'!$B$6:$B$998,$A30,'Blackout Brand Fam Areas (Enc)'!$C$6:$C$998,E$1,'Blackout Brand Fam Areas (Enc)'!$D$6:$D$998,"Inactive")&gt;0,"BLOCKED","CAN SELL"))</f>
        <v>BLOCKED</v>
      </c>
      <c r="F30" s="2" t="str">
        <f>IF($A30="","",IF(COUNTIFS('Blackout Brand Fam Areas (Enc)'!$B$6:$B$998,$A30,'Blackout Brand Fam Areas (Enc)'!$C$6:$C$998,F$1,'Blackout Brand Fam Areas (Enc)'!$D$6:$D$998,"Inactive")&gt;0,"BLOCKED","CAN SELL"))</f>
        <v>BLOCKED</v>
      </c>
      <c r="G30" s="2" t="str">
        <f>IF($A30="","",IF(COUNTIFS('Blackout Brand Fam Areas (Enc)'!$B$6:$B$998,$A30,'Blackout Brand Fam Areas (Enc)'!$C$6:$C$998,G$1,'Blackout Brand Fam Areas (Enc)'!$D$6:$D$998,"Inactive")&gt;0,"BLOCKED","CAN SELL"))</f>
        <v>BLOCKED</v>
      </c>
      <c r="H30" s="2" t="str">
        <f>IF($A30="","",IF(COUNTIFS('Blackout Brand Fam Areas (Enc)'!$B$6:$B$998,$A30,'Blackout Brand Fam Areas (Enc)'!$C$6:$C$998,H$1,'Blackout Brand Fam Areas (Enc)'!$D$6:$D$998,"Inactive")&gt;0,"BLOCKED","CAN SELL"))</f>
        <v>BLOCKED</v>
      </c>
      <c r="I30" s="2" t="str">
        <f>IF($A30="","",IF(COUNTIFS('Blackout Brand Fam Areas (Enc)'!$B$6:$B$998,$A30,'Blackout Brand Fam Areas (Enc)'!$C$6:$C$998,I$1,'Blackout Brand Fam Areas (Enc)'!$D$6:$D$998,"Inactive")&gt;0,"BLOCKED","CAN SELL"))</f>
        <v>BLOCKED</v>
      </c>
      <c r="J30" s="2" t="str">
        <f>IF($A30="","",IF(COUNTIFS('Blackout Brand Fam Areas (Enc)'!$B$6:$B$998,$A30,'Blackout Brand Fam Areas (Enc)'!$C$6:$C$998,J$1,'Blackout Brand Fam Areas (Enc)'!$D$6:$D$998,"Inactive")&gt;0,"BLOCKED","CAN SELL"))</f>
        <v>BLOCKED</v>
      </c>
      <c r="K30" s="2" t="str">
        <f>IF($A30="","",IF(COUNTIFS('Blackout Brand Fam Areas (Enc)'!$B$6:$B$998,$A30,'Blackout Brand Fam Areas (Enc)'!$C$6:$C$998,K$1,'Blackout Brand Fam Areas (Enc)'!$D$6:$D$998,"Inactive")&gt;0,"BLOCKED","CAN SELL"))</f>
        <v>CAN SELL</v>
      </c>
    </row>
    <row r="31" spans="1:11" x14ac:dyDescent="0.2">
      <c r="A31" s="2" t="str">
        <v>Citizen Cider</v>
      </c>
      <c r="B31" s="2" t="str">
        <f>IF($A31="","",IF(COUNTIFS('Blackout Brand Fam Areas (Enc)'!$B$6:$B$998,$A31,'Blackout Brand Fam Areas (Enc)'!$C$6:$C$998,B$1,'Blackout Brand Fam Areas (Enc)'!$D$6:$D$998,"Inactive")&gt;0,"BLOCKED","CAN SELL"))</f>
        <v>CAN SELL</v>
      </c>
      <c r="C31" s="2" t="str">
        <f>IF($A31="","",IF(COUNTIFS('Blackout Brand Fam Areas (Enc)'!$B$6:$B$998,$A31,'Blackout Brand Fam Areas (Enc)'!$C$6:$C$998,C$1,'Blackout Brand Fam Areas (Enc)'!$D$6:$D$998,"Inactive")&gt;0,"BLOCKED","CAN SELL"))</f>
        <v>CAN SELL</v>
      </c>
      <c r="D31" s="2" t="str">
        <f>IF($A31="","",IF(COUNTIFS('Blackout Brand Fam Areas (Enc)'!$B$6:$B$998,$A31,'Blackout Brand Fam Areas (Enc)'!$C$6:$C$998,D$1,'Blackout Brand Fam Areas (Enc)'!$D$6:$D$998,"Inactive")&gt;0,"BLOCKED","CAN SELL"))</f>
        <v>CAN SELL</v>
      </c>
      <c r="E31" s="2" t="str">
        <f>IF($A31="","",IF(COUNTIFS('Blackout Brand Fam Areas (Enc)'!$B$6:$B$998,$A31,'Blackout Brand Fam Areas (Enc)'!$C$6:$C$998,E$1,'Blackout Brand Fam Areas (Enc)'!$D$6:$D$998,"Inactive")&gt;0,"BLOCKED","CAN SELL"))</f>
        <v>CAN SELL</v>
      </c>
      <c r="F31" s="2" t="str">
        <f>IF($A31="","",IF(COUNTIFS('Blackout Brand Fam Areas (Enc)'!$B$6:$B$998,$A31,'Blackout Brand Fam Areas (Enc)'!$C$6:$C$998,F$1,'Blackout Brand Fam Areas (Enc)'!$D$6:$D$998,"Inactive")&gt;0,"BLOCKED","CAN SELL"))</f>
        <v>CAN SELL</v>
      </c>
      <c r="G31" s="2" t="str">
        <f>IF($A31="","",IF(COUNTIFS('Blackout Brand Fam Areas (Enc)'!$B$6:$B$998,$A31,'Blackout Brand Fam Areas (Enc)'!$C$6:$C$998,G$1,'Blackout Brand Fam Areas (Enc)'!$D$6:$D$998,"Inactive")&gt;0,"BLOCKED","CAN SELL"))</f>
        <v>BLOCKED</v>
      </c>
      <c r="H31" s="2" t="str">
        <f>IF($A31="","",IF(COUNTIFS('Blackout Brand Fam Areas (Enc)'!$B$6:$B$998,$A31,'Blackout Brand Fam Areas (Enc)'!$C$6:$C$998,H$1,'Blackout Brand Fam Areas (Enc)'!$D$6:$D$998,"Inactive")&gt;0,"BLOCKED","CAN SELL"))</f>
        <v>BLOCKED</v>
      </c>
      <c r="I31" s="2" t="str">
        <f>IF($A31="","",IF(COUNTIFS('Blackout Brand Fam Areas (Enc)'!$B$6:$B$998,$A31,'Blackout Brand Fam Areas (Enc)'!$C$6:$C$998,I$1,'Blackout Brand Fam Areas (Enc)'!$D$6:$D$998,"Inactive")&gt;0,"BLOCKED","CAN SELL"))</f>
        <v>CAN SELL</v>
      </c>
      <c r="J31" s="2" t="str">
        <f>IF($A31="","",IF(COUNTIFS('Blackout Brand Fam Areas (Enc)'!$B$6:$B$998,$A31,'Blackout Brand Fam Areas (Enc)'!$C$6:$C$998,J$1,'Blackout Brand Fam Areas (Enc)'!$D$6:$D$998,"Inactive")&gt;0,"BLOCKED","CAN SELL"))</f>
        <v>BLOCKED</v>
      </c>
      <c r="K31" s="2" t="str">
        <f>IF($A31="","",IF(COUNTIFS('Blackout Brand Fam Areas (Enc)'!$B$6:$B$998,$A31,'Blackout Brand Fam Areas (Enc)'!$C$6:$C$998,K$1,'Blackout Brand Fam Areas (Enc)'!$D$6:$D$998,"Inactive")&gt;0,"BLOCKED","CAN SELL"))</f>
        <v>BLOCKED</v>
      </c>
    </row>
    <row r="32" spans="1:11" x14ac:dyDescent="0.2">
      <c r="A32" s="2" t="str">
        <v>Coney Island</v>
      </c>
      <c r="B32" s="2" t="str">
        <f>IF($A32="","",IF(COUNTIFS('Blackout Brand Fam Areas (Enc)'!$B$6:$B$998,$A32,'Blackout Brand Fam Areas (Enc)'!$C$6:$C$998,B$1,'Blackout Brand Fam Areas (Enc)'!$D$6:$D$998,"Inactive")&gt;0,"BLOCKED","CAN SELL"))</f>
        <v>CAN SELL</v>
      </c>
      <c r="C32" s="2" t="str">
        <f>IF($A32="","",IF(COUNTIFS('Blackout Brand Fam Areas (Enc)'!$B$6:$B$998,$A32,'Blackout Brand Fam Areas (Enc)'!$C$6:$C$998,C$1,'Blackout Brand Fam Areas (Enc)'!$D$6:$D$998,"Inactive")&gt;0,"BLOCKED","CAN SELL"))</f>
        <v>CAN SELL</v>
      </c>
      <c r="D32" s="2" t="str">
        <f>IF($A32="","",IF(COUNTIFS('Blackout Brand Fam Areas (Enc)'!$B$6:$B$998,$A32,'Blackout Brand Fam Areas (Enc)'!$C$6:$C$998,D$1,'Blackout Brand Fam Areas (Enc)'!$D$6:$D$998,"Inactive")&gt;0,"BLOCKED","CAN SELL"))</f>
        <v>CAN SELL</v>
      </c>
      <c r="E32" s="2" t="str">
        <f>IF($A32="","",IF(COUNTIFS('Blackout Brand Fam Areas (Enc)'!$B$6:$B$998,$A32,'Blackout Brand Fam Areas (Enc)'!$C$6:$C$998,E$1,'Blackout Brand Fam Areas (Enc)'!$D$6:$D$998,"Inactive")&gt;0,"BLOCKED","CAN SELL"))</f>
        <v>BLOCKED</v>
      </c>
      <c r="F32" s="2" t="str">
        <f>IF($A32="","",IF(COUNTIFS('Blackout Brand Fam Areas (Enc)'!$B$6:$B$998,$A32,'Blackout Brand Fam Areas (Enc)'!$C$6:$C$998,F$1,'Blackout Brand Fam Areas (Enc)'!$D$6:$D$998,"Inactive")&gt;0,"BLOCKED","CAN SELL"))</f>
        <v>BLOCKED</v>
      </c>
      <c r="G32" s="2" t="str">
        <f>IF($A32="","",IF(COUNTIFS('Blackout Brand Fam Areas (Enc)'!$B$6:$B$998,$A32,'Blackout Brand Fam Areas (Enc)'!$C$6:$C$998,G$1,'Blackout Brand Fam Areas (Enc)'!$D$6:$D$998,"Inactive")&gt;0,"BLOCKED","CAN SELL"))</f>
        <v>BLOCKED</v>
      </c>
      <c r="H32" s="2" t="str">
        <f>IF($A32="","",IF(COUNTIFS('Blackout Brand Fam Areas (Enc)'!$B$6:$B$998,$A32,'Blackout Brand Fam Areas (Enc)'!$C$6:$C$998,H$1,'Blackout Brand Fam Areas (Enc)'!$D$6:$D$998,"Inactive")&gt;0,"BLOCKED","CAN SELL"))</f>
        <v>CAN SELL</v>
      </c>
      <c r="I32" s="2" t="str">
        <f>IF($A32="","",IF(COUNTIFS('Blackout Brand Fam Areas (Enc)'!$B$6:$B$998,$A32,'Blackout Brand Fam Areas (Enc)'!$C$6:$C$998,I$1,'Blackout Brand Fam Areas (Enc)'!$D$6:$D$998,"Inactive")&gt;0,"BLOCKED","CAN SELL"))</f>
        <v>CAN SELL</v>
      </c>
      <c r="J32" s="2" t="str">
        <f>IF($A32="","",IF(COUNTIFS('Blackout Brand Fam Areas (Enc)'!$B$6:$B$998,$A32,'Blackout Brand Fam Areas (Enc)'!$C$6:$C$998,J$1,'Blackout Brand Fam Areas (Enc)'!$D$6:$D$998,"Inactive")&gt;0,"BLOCKED","CAN SELL"))</f>
        <v>BLOCKED</v>
      </c>
      <c r="K32" s="2" t="str">
        <f>IF($A32="","",IF(COUNTIFS('Blackout Brand Fam Areas (Enc)'!$B$6:$B$998,$A32,'Blackout Brand Fam Areas (Enc)'!$C$6:$C$998,K$1,'Blackout Brand Fam Areas (Enc)'!$D$6:$D$998,"Inactive")&gt;0,"BLOCKED","CAN SELL"))</f>
        <v>CAN SELL</v>
      </c>
    </row>
    <row r="33" spans="1:11" x14ac:dyDescent="0.2">
      <c r="A33" s="2" t="str">
        <v>Coors</v>
      </c>
      <c r="B33" s="2" t="str">
        <f>IF($A33="","",IF(COUNTIFS('Blackout Brand Fam Areas (Enc)'!$B$6:$B$998,$A33,'Blackout Brand Fam Areas (Enc)'!$C$6:$C$998,B$1,'Blackout Brand Fam Areas (Enc)'!$D$6:$D$998,"Inactive")&gt;0,"BLOCKED","CAN SELL"))</f>
        <v>CAN SELL</v>
      </c>
      <c r="C33" s="2" t="str">
        <f>IF($A33="","",IF(COUNTIFS('Blackout Brand Fam Areas (Enc)'!$B$6:$B$998,$A33,'Blackout Brand Fam Areas (Enc)'!$C$6:$C$998,C$1,'Blackout Brand Fam Areas (Enc)'!$D$6:$D$998,"Inactive")&gt;0,"BLOCKED","CAN SELL"))</f>
        <v>CAN SELL</v>
      </c>
      <c r="D33" s="2" t="str">
        <f>IF($A33="","",IF(COUNTIFS('Blackout Brand Fam Areas (Enc)'!$B$6:$B$998,$A33,'Blackout Brand Fam Areas (Enc)'!$C$6:$C$998,D$1,'Blackout Brand Fam Areas (Enc)'!$D$6:$D$998,"Inactive")&gt;0,"BLOCKED","CAN SELL"))</f>
        <v>CAN SELL</v>
      </c>
      <c r="E33" s="2" t="str">
        <f>IF($A33="","",IF(COUNTIFS('Blackout Brand Fam Areas (Enc)'!$B$6:$B$998,$A33,'Blackout Brand Fam Areas (Enc)'!$C$6:$C$998,E$1,'Blackout Brand Fam Areas (Enc)'!$D$6:$D$998,"Inactive")&gt;0,"BLOCKED","CAN SELL"))</f>
        <v>BLOCKED</v>
      </c>
      <c r="F33" s="2" t="str">
        <f>IF($A33="","",IF(COUNTIFS('Blackout Brand Fam Areas (Enc)'!$B$6:$B$998,$A33,'Blackout Brand Fam Areas (Enc)'!$C$6:$C$998,F$1,'Blackout Brand Fam Areas (Enc)'!$D$6:$D$998,"Inactive")&gt;0,"BLOCKED","CAN SELL"))</f>
        <v>BLOCKED</v>
      </c>
      <c r="G33" s="2" t="str">
        <f>IF($A33="","",IF(COUNTIFS('Blackout Brand Fam Areas (Enc)'!$B$6:$B$998,$A33,'Blackout Brand Fam Areas (Enc)'!$C$6:$C$998,G$1,'Blackout Brand Fam Areas (Enc)'!$D$6:$D$998,"Inactive")&gt;0,"BLOCKED","CAN SELL"))</f>
        <v>BLOCKED</v>
      </c>
      <c r="H33" s="2" t="str">
        <f>IF($A33="","",IF(COUNTIFS('Blackout Brand Fam Areas (Enc)'!$B$6:$B$998,$A33,'Blackout Brand Fam Areas (Enc)'!$C$6:$C$998,H$1,'Blackout Brand Fam Areas (Enc)'!$D$6:$D$998,"Inactive")&gt;0,"BLOCKED","CAN SELL"))</f>
        <v>CAN SELL</v>
      </c>
      <c r="I33" s="2" t="str">
        <f>IF($A33="","",IF(COUNTIFS('Blackout Brand Fam Areas (Enc)'!$B$6:$B$998,$A33,'Blackout Brand Fam Areas (Enc)'!$C$6:$C$998,I$1,'Blackout Brand Fam Areas (Enc)'!$D$6:$D$998,"Inactive")&gt;0,"BLOCKED","CAN SELL"))</f>
        <v>CAN SELL</v>
      </c>
      <c r="J33" s="2" t="str">
        <f>IF($A33="","",IF(COUNTIFS('Blackout Brand Fam Areas (Enc)'!$B$6:$B$998,$A33,'Blackout Brand Fam Areas (Enc)'!$C$6:$C$998,J$1,'Blackout Brand Fam Areas (Enc)'!$D$6:$D$998,"Inactive")&gt;0,"BLOCKED","CAN SELL"))</f>
        <v>BLOCKED</v>
      </c>
      <c r="K33" s="2" t="str">
        <f>IF($A33="","",IF(COUNTIFS('Blackout Brand Fam Areas (Enc)'!$B$6:$B$998,$A33,'Blackout Brand Fam Areas (Enc)'!$C$6:$C$998,K$1,'Blackout Brand Fam Areas (Enc)'!$D$6:$D$998,"Inactive")&gt;0,"BLOCKED","CAN SELL"))</f>
        <v>CAN SELL</v>
      </c>
    </row>
    <row r="34" spans="1:11" x14ac:dyDescent="0.2">
      <c r="A34" s="2" t="str">
        <v>Coors 0.0</v>
      </c>
      <c r="B34" s="2" t="str">
        <f>IF($A34="","",IF(COUNTIFS('Blackout Brand Fam Areas (Enc)'!$B$6:$B$998,$A34,'Blackout Brand Fam Areas (Enc)'!$C$6:$C$998,B$1,'Blackout Brand Fam Areas (Enc)'!$D$6:$D$998,"Inactive")&gt;0,"BLOCKED","CAN SELL"))</f>
        <v>CAN SELL</v>
      </c>
      <c r="C34" s="2" t="str">
        <f>IF($A34="","",IF(COUNTIFS('Blackout Brand Fam Areas (Enc)'!$B$6:$B$998,$A34,'Blackout Brand Fam Areas (Enc)'!$C$6:$C$998,C$1,'Blackout Brand Fam Areas (Enc)'!$D$6:$D$998,"Inactive")&gt;0,"BLOCKED","CAN SELL"))</f>
        <v>CAN SELL</v>
      </c>
      <c r="D34" s="2" t="str">
        <f>IF($A34="","",IF(COUNTIFS('Blackout Brand Fam Areas (Enc)'!$B$6:$B$998,$A34,'Blackout Brand Fam Areas (Enc)'!$C$6:$C$998,D$1,'Blackout Brand Fam Areas (Enc)'!$D$6:$D$998,"Inactive")&gt;0,"BLOCKED","CAN SELL"))</f>
        <v>CAN SELL</v>
      </c>
      <c r="E34" s="2" t="str">
        <f>IF($A34="","",IF(COUNTIFS('Blackout Brand Fam Areas (Enc)'!$B$6:$B$998,$A34,'Blackout Brand Fam Areas (Enc)'!$C$6:$C$998,E$1,'Blackout Brand Fam Areas (Enc)'!$D$6:$D$998,"Inactive")&gt;0,"BLOCKED","CAN SELL"))</f>
        <v>BLOCKED</v>
      </c>
      <c r="F34" s="2" t="str">
        <f>IF($A34="","",IF(COUNTIFS('Blackout Brand Fam Areas (Enc)'!$B$6:$B$998,$A34,'Blackout Brand Fam Areas (Enc)'!$C$6:$C$998,F$1,'Blackout Brand Fam Areas (Enc)'!$D$6:$D$998,"Inactive")&gt;0,"BLOCKED","CAN SELL"))</f>
        <v>BLOCKED</v>
      </c>
      <c r="G34" s="2" t="str">
        <f>IF($A34="","",IF(COUNTIFS('Blackout Brand Fam Areas (Enc)'!$B$6:$B$998,$A34,'Blackout Brand Fam Areas (Enc)'!$C$6:$C$998,G$1,'Blackout Brand Fam Areas (Enc)'!$D$6:$D$998,"Inactive")&gt;0,"BLOCKED","CAN SELL"))</f>
        <v>BLOCKED</v>
      </c>
      <c r="H34" s="2" t="str">
        <f>IF($A34="","",IF(COUNTIFS('Blackout Brand Fam Areas (Enc)'!$B$6:$B$998,$A34,'Blackout Brand Fam Areas (Enc)'!$C$6:$C$998,H$1,'Blackout Brand Fam Areas (Enc)'!$D$6:$D$998,"Inactive")&gt;0,"BLOCKED","CAN SELL"))</f>
        <v>CAN SELL</v>
      </c>
      <c r="I34" s="2" t="str">
        <f>IF($A34="","",IF(COUNTIFS('Blackout Brand Fam Areas (Enc)'!$B$6:$B$998,$A34,'Blackout Brand Fam Areas (Enc)'!$C$6:$C$998,I$1,'Blackout Brand Fam Areas (Enc)'!$D$6:$D$998,"Inactive")&gt;0,"BLOCKED","CAN SELL"))</f>
        <v>CAN SELL</v>
      </c>
      <c r="J34" s="2" t="str">
        <f>IF($A34="","",IF(COUNTIFS('Blackout Brand Fam Areas (Enc)'!$B$6:$B$998,$A34,'Blackout Brand Fam Areas (Enc)'!$C$6:$C$998,J$1,'Blackout Brand Fam Areas (Enc)'!$D$6:$D$998,"Inactive")&gt;0,"BLOCKED","CAN SELL"))</f>
        <v>BLOCKED</v>
      </c>
      <c r="K34" s="2" t="str">
        <f>IF($A34="","",IF(COUNTIFS('Blackout Brand Fam Areas (Enc)'!$B$6:$B$998,$A34,'Blackout Brand Fam Areas (Enc)'!$C$6:$C$998,K$1,'Blackout Brand Fam Areas (Enc)'!$D$6:$D$998,"Inactive")&gt;0,"BLOCKED","CAN SELL"))</f>
        <v>CAN SELL</v>
      </c>
    </row>
    <row r="35" spans="1:11" x14ac:dyDescent="0.2">
      <c r="A35" s="2" t="str">
        <v>Coors Edge</v>
      </c>
      <c r="B35" s="2" t="str">
        <f>IF($A35="","",IF(COUNTIFS('Blackout Brand Fam Areas (Enc)'!$B$6:$B$998,$A35,'Blackout Brand Fam Areas (Enc)'!$C$6:$C$998,B$1,'Blackout Brand Fam Areas (Enc)'!$D$6:$D$998,"Inactive")&gt;0,"BLOCKED","CAN SELL"))</f>
        <v>CAN SELL</v>
      </c>
      <c r="C35" s="2" t="str">
        <f>IF($A35="","",IF(COUNTIFS('Blackout Brand Fam Areas (Enc)'!$B$6:$B$998,$A35,'Blackout Brand Fam Areas (Enc)'!$C$6:$C$998,C$1,'Blackout Brand Fam Areas (Enc)'!$D$6:$D$998,"Inactive")&gt;0,"BLOCKED","CAN SELL"))</f>
        <v>CAN SELL</v>
      </c>
      <c r="D35" s="2" t="str">
        <f>IF($A35="","",IF(COUNTIFS('Blackout Brand Fam Areas (Enc)'!$B$6:$B$998,$A35,'Blackout Brand Fam Areas (Enc)'!$C$6:$C$998,D$1,'Blackout Brand Fam Areas (Enc)'!$D$6:$D$998,"Inactive")&gt;0,"BLOCKED","CAN SELL"))</f>
        <v>CAN SELL</v>
      </c>
      <c r="E35" s="2" t="str">
        <f>IF($A35="","",IF(COUNTIFS('Blackout Brand Fam Areas (Enc)'!$B$6:$B$998,$A35,'Blackout Brand Fam Areas (Enc)'!$C$6:$C$998,E$1,'Blackout Brand Fam Areas (Enc)'!$D$6:$D$998,"Inactive")&gt;0,"BLOCKED","CAN SELL"))</f>
        <v>BLOCKED</v>
      </c>
      <c r="F35" s="2" t="str">
        <f>IF($A35="","",IF(COUNTIFS('Blackout Brand Fam Areas (Enc)'!$B$6:$B$998,$A35,'Blackout Brand Fam Areas (Enc)'!$C$6:$C$998,F$1,'Blackout Brand Fam Areas (Enc)'!$D$6:$D$998,"Inactive")&gt;0,"BLOCKED","CAN SELL"))</f>
        <v>BLOCKED</v>
      </c>
      <c r="G35" s="2" t="str">
        <f>IF($A35="","",IF(COUNTIFS('Blackout Brand Fam Areas (Enc)'!$B$6:$B$998,$A35,'Blackout Brand Fam Areas (Enc)'!$C$6:$C$998,G$1,'Blackout Brand Fam Areas (Enc)'!$D$6:$D$998,"Inactive")&gt;0,"BLOCKED","CAN SELL"))</f>
        <v>BLOCKED</v>
      </c>
      <c r="H35" s="2" t="str">
        <f>IF($A35="","",IF(COUNTIFS('Blackout Brand Fam Areas (Enc)'!$B$6:$B$998,$A35,'Blackout Brand Fam Areas (Enc)'!$C$6:$C$998,H$1,'Blackout Brand Fam Areas (Enc)'!$D$6:$D$998,"Inactive")&gt;0,"BLOCKED","CAN SELL"))</f>
        <v>CAN SELL</v>
      </c>
      <c r="I35" s="2" t="str">
        <f>IF($A35="","",IF(COUNTIFS('Blackout Brand Fam Areas (Enc)'!$B$6:$B$998,$A35,'Blackout Brand Fam Areas (Enc)'!$C$6:$C$998,I$1,'Blackout Brand Fam Areas (Enc)'!$D$6:$D$998,"Inactive")&gt;0,"BLOCKED","CAN SELL"))</f>
        <v>CAN SELL</v>
      </c>
      <c r="J35" s="2" t="str">
        <f>IF($A35="","",IF(COUNTIFS('Blackout Brand Fam Areas (Enc)'!$B$6:$B$998,$A35,'Blackout Brand Fam Areas (Enc)'!$C$6:$C$998,J$1,'Blackout Brand Fam Areas (Enc)'!$D$6:$D$998,"Inactive")&gt;0,"BLOCKED","CAN SELL"))</f>
        <v>BLOCKED</v>
      </c>
      <c r="K35" s="2" t="str">
        <f>IF($A35="","",IF(COUNTIFS('Blackout Brand Fam Areas (Enc)'!$B$6:$B$998,$A35,'Blackout Brand Fam Areas (Enc)'!$C$6:$C$998,K$1,'Blackout Brand Fam Areas (Enc)'!$D$6:$D$998,"Inactive")&gt;0,"BLOCKED","CAN SELL"))</f>
        <v>CAN SELL</v>
      </c>
    </row>
    <row r="36" spans="1:11" x14ac:dyDescent="0.2">
      <c r="A36" s="2" t="str">
        <v>Coors Extra Gold</v>
      </c>
      <c r="B36" s="2" t="str">
        <f>IF($A36="","",IF(COUNTIFS('Blackout Brand Fam Areas (Enc)'!$B$6:$B$998,$A36,'Blackout Brand Fam Areas (Enc)'!$C$6:$C$998,B$1,'Blackout Brand Fam Areas (Enc)'!$D$6:$D$998,"Inactive")&gt;0,"BLOCKED","CAN SELL"))</f>
        <v>CAN SELL</v>
      </c>
      <c r="C36" s="2" t="str">
        <f>IF($A36="","",IF(COUNTIFS('Blackout Brand Fam Areas (Enc)'!$B$6:$B$998,$A36,'Blackout Brand Fam Areas (Enc)'!$C$6:$C$998,C$1,'Blackout Brand Fam Areas (Enc)'!$D$6:$D$998,"Inactive")&gt;0,"BLOCKED","CAN SELL"))</f>
        <v>CAN SELL</v>
      </c>
      <c r="D36" s="2" t="str">
        <f>IF($A36="","",IF(COUNTIFS('Blackout Brand Fam Areas (Enc)'!$B$6:$B$998,$A36,'Blackout Brand Fam Areas (Enc)'!$C$6:$C$998,D$1,'Blackout Brand Fam Areas (Enc)'!$D$6:$D$998,"Inactive")&gt;0,"BLOCKED","CAN SELL"))</f>
        <v>CAN SELL</v>
      </c>
      <c r="E36" s="2" t="str">
        <f>IF($A36="","",IF(COUNTIFS('Blackout Brand Fam Areas (Enc)'!$B$6:$B$998,$A36,'Blackout Brand Fam Areas (Enc)'!$C$6:$C$998,E$1,'Blackout Brand Fam Areas (Enc)'!$D$6:$D$998,"Inactive")&gt;0,"BLOCKED","CAN SELL"))</f>
        <v>BLOCKED</v>
      </c>
      <c r="F36" s="2" t="str">
        <f>IF($A36="","",IF(COUNTIFS('Blackout Brand Fam Areas (Enc)'!$B$6:$B$998,$A36,'Blackout Brand Fam Areas (Enc)'!$C$6:$C$998,F$1,'Blackout Brand Fam Areas (Enc)'!$D$6:$D$998,"Inactive")&gt;0,"BLOCKED","CAN SELL"))</f>
        <v>BLOCKED</v>
      </c>
      <c r="G36" s="2" t="str">
        <f>IF($A36="","",IF(COUNTIFS('Blackout Brand Fam Areas (Enc)'!$B$6:$B$998,$A36,'Blackout Brand Fam Areas (Enc)'!$C$6:$C$998,G$1,'Blackout Brand Fam Areas (Enc)'!$D$6:$D$998,"Inactive")&gt;0,"BLOCKED","CAN SELL"))</f>
        <v>BLOCKED</v>
      </c>
      <c r="H36" s="2" t="str">
        <f>IF($A36="","",IF(COUNTIFS('Blackout Brand Fam Areas (Enc)'!$B$6:$B$998,$A36,'Blackout Brand Fam Areas (Enc)'!$C$6:$C$998,H$1,'Blackout Brand Fam Areas (Enc)'!$D$6:$D$998,"Inactive")&gt;0,"BLOCKED","CAN SELL"))</f>
        <v>CAN SELL</v>
      </c>
      <c r="I36" s="2" t="str">
        <f>IF($A36="","",IF(COUNTIFS('Blackout Brand Fam Areas (Enc)'!$B$6:$B$998,$A36,'Blackout Brand Fam Areas (Enc)'!$C$6:$C$998,I$1,'Blackout Brand Fam Areas (Enc)'!$D$6:$D$998,"Inactive")&gt;0,"BLOCKED","CAN SELL"))</f>
        <v>CAN SELL</v>
      </c>
      <c r="J36" s="2" t="str">
        <f>IF($A36="","",IF(COUNTIFS('Blackout Brand Fam Areas (Enc)'!$B$6:$B$998,$A36,'Blackout Brand Fam Areas (Enc)'!$C$6:$C$998,J$1,'Blackout Brand Fam Areas (Enc)'!$D$6:$D$998,"Inactive")&gt;0,"BLOCKED","CAN SELL"))</f>
        <v>BLOCKED</v>
      </c>
      <c r="K36" s="2" t="str">
        <f>IF($A36="","",IF(COUNTIFS('Blackout Brand Fam Areas (Enc)'!$B$6:$B$998,$A36,'Blackout Brand Fam Areas (Enc)'!$C$6:$C$998,K$1,'Blackout Brand Fam Areas (Enc)'!$D$6:$D$998,"Inactive")&gt;0,"BLOCKED","CAN SELL"))</f>
        <v>CAN SELL</v>
      </c>
    </row>
    <row r="37" spans="1:11" x14ac:dyDescent="0.2">
      <c r="A37" s="2" t="str">
        <v>Coors Light</v>
      </c>
      <c r="B37" s="2" t="str">
        <f>IF($A37="","",IF(COUNTIFS('Blackout Brand Fam Areas (Enc)'!$B$6:$B$998,$A37,'Blackout Brand Fam Areas (Enc)'!$C$6:$C$998,B$1,'Blackout Brand Fam Areas (Enc)'!$D$6:$D$998,"Inactive")&gt;0,"BLOCKED","CAN SELL"))</f>
        <v>CAN SELL</v>
      </c>
      <c r="C37" s="2" t="str">
        <f>IF($A37="","",IF(COUNTIFS('Blackout Brand Fam Areas (Enc)'!$B$6:$B$998,$A37,'Blackout Brand Fam Areas (Enc)'!$C$6:$C$998,C$1,'Blackout Brand Fam Areas (Enc)'!$D$6:$D$998,"Inactive")&gt;0,"BLOCKED","CAN SELL"))</f>
        <v>CAN SELL</v>
      </c>
      <c r="D37" s="2" t="str">
        <f>IF($A37="","",IF(COUNTIFS('Blackout Brand Fam Areas (Enc)'!$B$6:$B$998,$A37,'Blackout Brand Fam Areas (Enc)'!$C$6:$C$998,D$1,'Blackout Brand Fam Areas (Enc)'!$D$6:$D$998,"Inactive")&gt;0,"BLOCKED","CAN SELL"))</f>
        <v>CAN SELL</v>
      </c>
      <c r="E37" s="2" t="str">
        <f>IF($A37="","",IF(COUNTIFS('Blackout Brand Fam Areas (Enc)'!$B$6:$B$998,$A37,'Blackout Brand Fam Areas (Enc)'!$C$6:$C$998,E$1,'Blackout Brand Fam Areas (Enc)'!$D$6:$D$998,"Inactive")&gt;0,"BLOCKED","CAN SELL"))</f>
        <v>BLOCKED</v>
      </c>
      <c r="F37" s="2" t="str">
        <f>IF($A37="","",IF(COUNTIFS('Blackout Brand Fam Areas (Enc)'!$B$6:$B$998,$A37,'Blackout Brand Fam Areas (Enc)'!$C$6:$C$998,F$1,'Blackout Brand Fam Areas (Enc)'!$D$6:$D$998,"Inactive")&gt;0,"BLOCKED","CAN SELL"))</f>
        <v>BLOCKED</v>
      </c>
      <c r="G37" s="2" t="str">
        <f>IF($A37="","",IF(COUNTIFS('Blackout Brand Fam Areas (Enc)'!$B$6:$B$998,$A37,'Blackout Brand Fam Areas (Enc)'!$C$6:$C$998,G$1,'Blackout Brand Fam Areas (Enc)'!$D$6:$D$998,"Inactive")&gt;0,"BLOCKED","CAN SELL"))</f>
        <v>BLOCKED</v>
      </c>
      <c r="H37" s="2" t="str">
        <f>IF($A37="","",IF(COUNTIFS('Blackout Brand Fam Areas (Enc)'!$B$6:$B$998,$A37,'Blackout Brand Fam Areas (Enc)'!$C$6:$C$998,H$1,'Blackout Brand Fam Areas (Enc)'!$D$6:$D$998,"Inactive")&gt;0,"BLOCKED","CAN SELL"))</f>
        <v>CAN SELL</v>
      </c>
      <c r="I37" s="2" t="str">
        <f>IF($A37="","",IF(COUNTIFS('Blackout Brand Fam Areas (Enc)'!$B$6:$B$998,$A37,'Blackout Brand Fam Areas (Enc)'!$C$6:$C$998,I$1,'Blackout Brand Fam Areas (Enc)'!$D$6:$D$998,"Inactive")&gt;0,"BLOCKED","CAN SELL"))</f>
        <v>CAN SELL</v>
      </c>
      <c r="J37" s="2" t="str">
        <f>IF($A37="","",IF(COUNTIFS('Blackout Brand Fam Areas (Enc)'!$B$6:$B$998,$A37,'Blackout Brand Fam Areas (Enc)'!$C$6:$C$998,J$1,'Blackout Brand Fam Areas (Enc)'!$D$6:$D$998,"Inactive")&gt;0,"BLOCKED","CAN SELL"))</f>
        <v>BLOCKED</v>
      </c>
      <c r="K37" s="2" t="str">
        <f>IF($A37="","",IF(COUNTIFS('Blackout Brand Fam Areas (Enc)'!$B$6:$B$998,$A37,'Blackout Brand Fam Areas (Enc)'!$C$6:$C$998,K$1,'Blackout Brand Fam Areas (Enc)'!$D$6:$D$998,"Inactive")&gt;0,"BLOCKED","CAN SELL"))</f>
        <v>CAN SELL</v>
      </c>
    </row>
    <row r="38" spans="1:11" x14ac:dyDescent="0.2">
      <c r="A38" s="2" t="str">
        <v>Coors Seltzer</v>
      </c>
      <c r="B38" s="2" t="str">
        <f>IF($A38="","",IF(COUNTIFS('Blackout Brand Fam Areas (Enc)'!$B$6:$B$998,$A38,'Blackout Brand Fam Areas (Enc)'!$C$6:$C$998,B$1,'Blackout Brand Fam Areas (Enc)'!$D$6:$D$998,"Inactive")&gt;0,"BLOCKED","CAN SELL"))</f>
        <v>CAN SELL</v>
      </c>
      <c r="C38" s="2" t="str">
        <f>IF($A38="","",IF(COUNTIFS('Blackout Brand Fam Areas (Enc)'!$B$6:$B$998,$A38,'Blackout Brand Fam Areas (Enc)'!$C$6:$C$998,C$1,'Blackout Brand Fam Areas (Enc)'!$D$6:$D$998,"Inactive")&gt;0,"BLOCKED","CAN SELL"))</f>
        <v>CAN SELL</v>
      </c>
      <c r="D38" s="2" t="str">
        <f>IF($A38="","",IF(COUNTIFS('Blackout Brand Fam Areas (Enc)'!$B$6:$B$998,$A38,'Blackout Brand Fam Areas (Enc)'!$C$6:$C$998,D$1,'Blackout Brand Fam Areas (Enc)'!$D$6:$D$998,"Inactive")&gt;0,"BLOCKED","CAN SELL"))</f>
        <v>CAN SELL</v>
      </c>
      <c r="E38" s="2" t="str">
        <f>IF($A38="","",IF(COUNTIFS('Blackout Brand Fam Areas (Enc)'!$B$6:$B$998,$A38,'Blackout Brand Fam Areas (Enc)'!$C$6:$C$998,E$1,'Blackout Brand Fam Areas (Enc)'!$D$6:$D$998,"Inactive")&gt;0,"BLOCKED","CAN SELL"))</f>
        <v>BLOCKED</v>
      </c>
      <c r="F38" s="2" t="str">
        <f>IF($A38="","",IF(COUNTIFS('Blackout Brand Fam Areas (Enc)'!$B$6:$B$998,$A38,'Blackout Brand Fam Areas (Enc)'!$C$6:$C$998,F$1,'Blackout Brand Fam Areas (Enc)'!$D$6:$D$998,"Inactive")&gt;0,"BLOCKED","CAN SELL"))</f>
        <v>BLOCKED</v>
      </c>
      <c r="G38" s="2" t="str">
        <f>IF($A38="","",IF(COUNTIFS('Blackout Brand Fam Areas (Enc)'!$B$6:$B$998,$A38,'Blackout Brand Fam Areas (Enc)'!$C$6:$C$998,G$1,'Blackout Brand Fam Areas (Enc)'!$D$6:$D$998,"Inactive")&gt;0,"BLOCKED","CAN SELL"))</f>
        <v>BLOCKED</v>
      </c>
      <c r="H38" s="2" t="str">
        <f>IF($A38="","",IF(COUNTIFS('Blackout Brand Fam Areas (Enc)'!$B$6:$B$998,$A38,'Blackout Brand Fam Areas (Enc)'!$C$6:$C$998,H$1,'Blackout Brand Fam Areas (Enc)'!$D$6:$D$998,"Inactive")&gt;0,"BLOCKED","CAN SELL"))</f>
        <v>CAN SELL</v>
      </c>
      <c r="I38" s="2" t="str">
        <f>IF($A38="","",IF(COUNTIFS('Blackout Brand Fam Areas (Enc)'!$B$6:$B$998,$A38,'Blackout Brand Fam Areas (Enc)'!$C$6:$C$998,I$1,'Blackout Brand Fam Areas (Enc)'!$D$6:$D$998,"Inactive")&gt;0,"BLOCKED","CAN SELL"))</f>
        <v>CAN SELL</v>
      </c>
      <c r="J38" s="2" t="str">
        <f>IF($A38="","",IF(COUNTIFS('Blackout Brand Fam Areas (Enc)'!$B$6:$B$998,$A38,'Blackout Brand Fam Areas (Enc)'!$C$6:$C$998,J$1,'Blackout Brand Fam Areas (Enc)'!$D$6:$D$998,"Inactive")&gt;0,"BLOCKED","CAN SELL"))</f>
        <v>BLOCKED</v>
      </c>
      <c r="K38" s="2" t="str">
        <f>IF($A38="","",IF(COUNTIFS('Blackout Brand Fam Areas (Enc)'!$B$6:$B$998,$A38,'Blackout Brand Fam Areas (Enc)'!$C$6:$C$998,K$1,'Blackout Brand Fam Areas (Enc)'!$D$6:$D$998,"Inactive")&gt;0,"BLOCKED","CAN SELL"))</f>
        <v>CAN SELL</v>
      </c>
    </row>
    <row r="39" spans="1:11" x14ac:dyDescent="0.2">
      <c r="A39" s="2" t="str">
        <v>Corona Extra</v>
      </c>
      <c r="B39" s="2" t="str">
        <f>IF($A39="","",IF(COUNTIFS('Blackout Brand Fam Areas (Enc)'!$B$6:$B$998,$A39,'Blackout Brand Fam Areas (Enc)'!$C$6:$C$998,B$1,'Blackout Brand Fam Areas (Enc)'!$D$6:$D$998,"Inactive")&gt;0,"BLOCKED","CAN SELL"))</f>
        <v>CAN SELL</v>
      </c>
      <c r="C39" s="2" t="str">
        <f>IF($A39="","",IF(COUNTIFS('Blackout Brand Fam Areas (Enc)'!$B$6:$B$998,$A39,'Blackout Brand Fam Areas (Enc)'!$C$6:$C$998,C$1,'Blackout Brand Fam Areas (Enc)'!$D$6:$D$998,"Inactive")&gt;0,"BLOCKED","CAN SELL"))</f>
        <v>CAN SELL</v>
      </c>
      <c r="D39" s="2" t="str">
        <f>IF($A39="","",IF(COUNTIFS('Blackout Brand Fam Areas (Enc)'!$B$6:$B$998,$A39,'Blackout Brand Fam Areas (Enc)'!$C$6:$C$998,D$1,'Blackout Brand Fam Areas (Enc)'!$D$6:$D$998,"Inactive")&gt;0,"BLOCKED","CAN SELL"))</f>
        <v>CAN SELL</v>
      </c>
      <c r="E39" s="2" t="str">
        <f>IF($A39="","",IF(COUNTIFS('Blackout Brand Fam Areas (Enc)'!$B$6:$B$998,$A39,'Blackout Brand Fam Areas (Enc)'!$C$6:$C$998,E$1,'Blackout Brand Fam Areas (Enc)'!$D$6:$D$998,"Inactive")&gt;0,"BLOCKED","CAN SELL"))</f>
        <v>BLOCKED</v>
      </c>
      <c r="F39" s="2" t="str">
        <f>IF($A39="","",IF(COUNTIFS('Blackout Brand Fam Areas (Enc)'!$B$6:$B$998,$A39,'Blackout Brand Fam Areas (Enc)'!$C$6:$C$998,F$1,'Blackout Brand Fam Areas (Enc)'!$D$6:$D$998,"Inactive")&gt;0,"BLOCKED","CAN SELL"))</f>
        <v>BLOCKED</v>
      </c>
      <c r="G39" s="2" t="str">
        <f>IF($A39="","",IF(COUNTIFS('Blackout Brand Fam Areas (Enc)'!$B$6:$B$998,$A39,'Blackout Brand Fam Areas (Enc)'!$C$6:$C$998,G$1,'Blackout Brand Fam Areas (Enc)'!$D$6:$D$998,"Inactive")&gt;0,"BLOCKED","CAN SELL"))</f>
        <v>BLOCKED</v>
      </c>
      <c r="H39" s="2" t="str">
        <f>IF($A39="","",IF(COUNTIFS('Blackout Brand Fam Areas (Enc)'!$B$6:$B$998,$A39,'Blackout Brand Fam Areas (Enc)'!$C$6:$C$998,H$1,'Blackout Brand Fam Areas (Enc)'!$D$6:$D$998,"Inactive")&gt;0,"BLOCKED","CAN SELL"))</f>
        <v>CAN SELL</v>
      </c>
      <c r="I39" s="2" t="str">
        <f>IF($A39="","",IF(COUNTIFS('Blackout Brand Fam Areas (Enc)'!$B$6:$B$998,$A39,'Blackout Brand Fam Areas (Enc)'!$C$6:$C$998,I$1,'Blackout Brand Fam Areas (Enc)'!$D$6:$D$998,"Inactive")&gt;0,"BLOCKED","CAN SELL"))</f>
        <v>CAN SELL</v>
      </c>
      <c r="J39" s="2" t="str">
        <f>IF($A39="","",IF(COUNTIFS('Blackout Brand Fam Areas (Enc)'!$B$6:$B$998,$A39,'Blackout Brand Fam Areas (Enc)'!$C$6:$C$998,J$1,'Blackout Brand Fam Areas (Enc)'!$D$6:$D$998,"Inactive")&gt;0,"BLOCKED","CAN SELL"))</f>
        <v>BLOCKED</v>
      </c>
      <c r="K39" s="2" t="str">
        <f>IF($A39="","",IF(COUNTIFS('Blackout Brand Fam Areas (Enc)'!$B$6:$B$998,$A39,'Blackout Brand Fam Areas (Enc)'!$C$6:$C$998,K$1,'Blackout Brand Fam Areas (Enc)'!$D$6:$D$998,"Inactive")&gt;0,"BLOCKED","CAN SELL"))</f>
        <v>CAN SELL</v>
      </c>
    </row>
    <row r="40" spans="1:11" x14ac:dyDescent="0.2">
      <c r="A40" s="2" t="str">
        <v>Corona Familiar</v>
      </c>
      <c r="B40" s="2" t="str">
        <f>IF($A40="","",IF(COUNTIFS('Blackout Brand Fam Areas (Enc)'!$B$6:$B$998,$A40,'Blackout Brand Fam Areas (Enc)'!$C$6:$C$998,B$1,'Blackout Brand Fam Areas (Enc)'!$D$6:$D$998,"Inactive")&gt;0,"BLOCKED","CAN SELL"))</f>
        <v>CAN SELL</v>
      </c>
      <c r="C40" s="2" t="str">
        <f>IF($A40="","",IF(COUNTIFS('Blackout Brand Fam Areas (Enc)'!$B$6:$B$998,$A40,'Blackout Brand Fam Areas (Enc)'!$C$6:$C$998,C$1,'Blackout Brand Fam Areas (Enc)'!$D$6:$D$998,"Inactive")&gt;0,"BLOCKED","CAN SELL"))</f>
        <v>CAN SELL</v>
      </c>
      <c r="D40" s="2" t="str">
        <f>IF($A40="","",IF(COUNTIFS('Blackout Brand Fam Areas (Enc)'!$B$6:$B$998,$A40,'Blackout Brand Fam Areas (Enc)'!$C$6:$C$998,D$1,'Blackout Brand Fam Areas (Enc)'!$D$6:$D$998,"Inactive")&gt;0,"BLOCKED","CAN SELL"))</f>
        <v>CAN SELL</v>
      </c>
      <c r="E40" s="2" t="str">
        <f>IF($A40="","",IF(COUNTIFS('Blackout Brand Fam Areas (Enc)'!$B$6:$B$998,$A40,'Blackout Brand Fam Areas (Enc)'!$C$6:$C$998,E$1,'Blackout Brand Fam Areas (Enc)'!$D$6:$D$998,"Inactive")&gt;0,"BLOCKED","CAN SELL"))</f>
        <v>BLOCKED</v>
      </c>
      <c r="F40" s="2" t="str">
        <f>IF($A40="","",IF(COUNTIFS('Blackout Brand Fam Areas (Enc)'!$B$6:$B$998,$A40,'Blackout Brand Fam Areas (Enc)'!$C$6:$C$998,F$1,'Blackout Brand Fam Areas (Enc)'!$D$6:$D$998,"Inactive")&gt;0,"BLOCKED","CAN SELL"))</f>
        <v>BLOCKED</v>
      </c>
      <c r="G40" s="2" t="str">
        <f>IF($A40="","",IF(COUNTIFS('Blackout Brand Fam Areas (Enc)'!$B$6:$B$998,$A40,'Blackout Brand Fam Areas (Enc)'!$C$6:$C$998,G$1,'Blackout Brand Fam Areas (Enc)'!$D$6:$D$998,"Inactive")&gt;0,"BLOCKED","CAN SELL"))</f>
        <v>BLOCKED</v>
      </c>
      <c r="H40" s="2" t="str">
        <f>IF($A40="","",IF(COUNTIFS('Blackout Brand Fam Areas (Enc)'!$B$6:$B$998,$A40,'Blackout Brand Fam Areas (Enc)'!$C$6:$C$998,H$1,'Blackout Brand Fam Areas (Enc)'!$D$6:$D$998,"Inactive")&gt;0,"BLOCKED","CAN SELL"))</f>
        <v>CAN SELL</v>
      </c>
      <c r="I40" s="2" t="str">
        <f>IF($A40="","",IF(COUNTIFS('Blackout Brand Fam Areas (Enc)'!$B$6:$B$998,$A40,'Blackout Brand Fam Areas (Enc)'!$C$6:$C$998,I$1,'Blackout Brand Fam Areas (Enc)'!$D$6:$D$998,"Inactive")&gt;0,"BLOCKED","CAN SELL"))</f>
        <v>CAN SELL</v>
      </c>
      <c r="J40" s="2" t="str">
        <f>IF($A40="","",IF(COUNTIFS('Blackout Brand Fam Areas (Enc)'!$B$6:$B$998,$A40,'Blackout Brand Fam Areas (Enc)'!$C$6:$C$998,J$1,'Blackout Brand Fam Areas (Enc)'!$D$6:$D$998,"Inactive")&gt;0,"BLOCKED","CAN SELL"))</f>
        <v>BLOCKED</v>
      </c>
      <c r="K40" s="2" t="str">
        <f>IF($A40="","",IF(COUNTIFS('Blackout Brand Fam Areas (Enc)'!$B$6:$B$998,$A40,'Blackout Brand Fam Areas (Enc)'!$C$6:$C$998,K$1,'Blackout Brand Fam Areas (Enc)'!$D$6:$D$998,"Inactive")&gt;0,"BLOCKED","CAN SELL"))</f>
        <v>CAN SELL</v>
      </c>
    </row>
    <row r="41" spans="1:11" x14ac:dyDescent="0.2">
      <c r="A41" s="2" t="str">
        <v>Corona Light</v>
      </c>
      <c r="B41" s="2" t="str">
        <f>IF($A41="","",IF(COUNTIFS('Blackout Brand Fam Areas (Enc)'!$B$6:$B$998,$A41,'Blackout Brand Fam Areas (Enc)'!$C$6:$C$998,B$1,'Blackout Brand Fam Areas (Enc)'!$D$6:$D$998,"Inactive")&gt;0,"BLOCKED","CAN SELL"))</f>
        <v>CAN SELL</v>
      </c>
      <c r="C41" s="2" t="str">
        <f>IF($A41="","",IF(COUNTIFS('Blackout Brand Fam Areas (Enc)'!$B$6:$B$998,$A41,'Blackout Brand Fam Areas (Enc)'!$C$6:$C$998,C$1,'Blackout Brand Fam Areas (Enc)'!$D$6:$D$998,"Inactive")&gt;0,"BLOCKED","CAN SELL"))</f>
        <v>CAN SELL</v>
      </c>
      <c r="D41" s="2" t="str">
        <f>IF($A41="","",IF(COUNTIFS('Blackout Brand Fam Areas (Enc)'!$B$6:$B$998,$A41,'Blackout Brand Fam Areas (Enc)'!$C$6:$C$998,D$1,'Blackout Brand Fam Areas (Enc)'!$D$6:$D$998,"Inactive")&gt;0,"BLOCKED","CAN SELL"))</f>
        <v>CAN SELL</v>
      </c>
      <c r="E41" s="2" t="str">
        <f>IF($A41="","",IF(COUNTIFS('Blackout Brand Fam Areas (Enc)'!$B$6:$B$998,$A41,'Blackout Brand Fam Areas (Enc)'!$C$6:$C$998,E$1,'Blackout Brand Fam Areas (Enc)'!$D$6:$D$998,"Inactive")&gt;0,"BLOCKED","CAN SELL"))</f>
        <v>BLOCKED</v>
      </c>
      <c r="F41" s="2" t="str">
        <f>IF($A41="","",IF(COUNTIFS('Blackout Brand Fam Areas (Enc)'!$B$6:$B$998,$A41,'Blackout Brand Fam Areas (Enc)'!$C$6:$C$998,F$1,'Blackout Brand Fam Areas (Enc)'!$D$6:$D$998,"Inactive")&gt;0,"BLOCKED","CAN SELL"))</f>
        <v>BLOCKED</v>
      </c>
      <c r="G41" s="2" t="str">
        <f>IF($A41="","",IF(COUNTIFS('Blackout Brand Fam Areas (Enc)'!$B$6:$B$998,$A41,'Blackout Brand Fam Areas (Enc)'!$C$6:$C$998,G$1,'Blackout Brand Fam Areas (Enc)'!$D$6:$D$998,"Inactive")&gt;0,"BLOCKED","CAN SELL"))</f>
        <v>BLOCKED</v>
      </c>
      <c r="H41" s="2" t="str">
        <f>IF($A41="","",IF(COUNTIFS('Blackout Brand Fam Areas (Enc)'!$B$6:$B$998,$A41,'Blackout Brand Fam Areas (Enc)'!$C$6:$C$998,H$1,'Blackout Brand Fam Areas (Enc)'!$D$6:$D$998,"Inactive")&gt;0,"BLOCKED","CAN SELL"))</f>
        <v>CAN SELL</v>
      </c>
      <c r="I41" s="2" t="str">
        <f>IF($A41="","",IF(COUNTIFS('Blackout Brand Fam Areas (Enc)'!$B$6:$B$998,$A41,'Blackout Brand Fam Areas (Enc)'!$C$6:$C$998,I$1,'Blackout Brand Fam Areas (Enc)'!$D$6:$D$998,"Inactive")&gt;0,"BLOCKED","CAN SELL"))</f>
        <v>CAN SELL</v>
      </c>
      <c r="J41" s="2" t="str">
        <f>IF($A41="","",IF(COUNTIFS('Blackout Brand Fam Areas (Enc)'!$B$6:$B$998,$A41,'Blackout Brand Fam Areas (Enc)'!$C$6:$C$998,J$1,'Blackout Brand Fam Areas (Enc)'!$D$6:$D$998,"Inactive")&gt;0,"BLOCKED","CAN SELL"))</f>
        <v>BLOCKED</v>
      </c>
      <c r="K41" s="2" t="str">
        <f>IF($A41="","",IF(COUNTIFS('Blackout Brand Fam Areas (Enc)'!$B$6:$B$998,$A41,'Blackout Brand Fam Areas (Enc)'!$C$6:$C$998,K$1,'Blackout Brand Fam Areas (Enc)'!$D$6:$D$998,"Inactive")&gt;0,"BLOCKED","CAN SELL"))</f>
        <v>CAN SELL</v>
      </c>
    </row>
    <row r="42" spans="1:11" x14ac:dyDescent="0.2">
      <c r="A42" s="2" t="str">
        <v>Corona NA</v>
      </c>
      <c r="B42" s="2" t="str">
        <f>IF($A42="","",IF(COUNTIFS('Blackout Brand Fam Areas (Enc)'!$B$6:$B$998,$A42,'Blackout Brand Fam Areas (Enc)'!$C$6:$C$998,B$1,'Blackout Brand Fam Areas (Enc)'!$D$6:$D$998,"Inactive")&gt;0,"BLOCKED","CAN SELL"))</f>
        <v>CAN SELL</v>
      </c>
      <c r="C42" s="2" t="str">
        <f>IF($A42="","",IF(COUNTIFS('Blackout Brand Fam Areas (Enc)'!$B$6:$B$998,$A42,'Blackout Brand Fam Areas (Enc)'!$C$6:$C$998,C$1,'Blackout Brand Fam Areas (Enc)'!$D$6:$D$998,"Inactive")&gt;0,"BLOCKED","CAN SELL"))</f>
        <v>CAN SELL</v>
      </c>
      <c r="D42" s="2" t="str">
        <f>IF($A42="","",IF(COUNTIFS('Blackout Brand Fam Areas (Enc)'!$B$6:$B$998,$A42,'Blackout Brand Fam Areas (Enc)'!$C$6:$C$998,D$1,'Blackout Brand Fam Areas (Enc)'!$D$6:$D$998,"Inactive")&gt;0,"BLOCKED","CAN SELL"))</f>
        <v>CAN SELL</v>
      </c>
      <c r="E42" s="2" t="str">
        <f>IF($A42="","",IF(COUNTIFS('Blackout Brand Fam Areas (Enc)'!$B$6:$B$998,$A42,'Blackout Brand Fam Areas (Enc)'!$C$6:$C$998,E$1,'Blackout Brand Fam Areas (Enc)'!$D$6:$D$998,"Inactive")&gt;0,"BLOCKED","CAN SELL"))</f>
        <v>BLOCKED</v>
      </c>
      <c r="F42" s="2" t="str">
        <f>IF($A42="","",IF(COUNTIFS('Blackout Brand Fam Areas (Enc)'!$B$6:$B$998,$A42,'Blackout Brand Fam Areas (Enc)'!$C$6:$C$998,F$1,'Blackout Brand Fam Areas (Enc)'!$D$6:$D$998,"Inactive")&gt;0,"BLOCKED","CAN SELL"))</f>
        <v>BLOCKED</v>
      </c>
      <c r="G42" s="2" t="str">
        <f>IF($A42="","",IF(COUNTIFS('Blackout Brand Fam Areas (Enc)'!$B$6:$B$998,$A42,'Blackout Brand Fam Areas (Enc)'!$C$6:$C$998,G$1,'Blackout Brand Fam Areas (Enc)'!$D$6:$D$998,"Inactive")&gt;0,"BLOCKED","CAN SELL"))</f>
        <v>BLOCKED</v>
      </c>
      <c r="H42" s="2" t="str">
        <f>IF($A42="","",IF(COUNTIFS('Blackout Brand Fam Areas (Enc)'!$B$6:$B$998,$A42,'Blackout Brand Fam Areas (Enc)'!$C$6:$C$998,H$1,'Blackout Brand Fam Areas (Enc)'!$D$6:$D$998,"Inactive")&gt;0,"BLOCKED","CAN SELL"))</f>
        <v>CAN SELL</v>
      </c>
      <c r="I42" s="2" t="str">
        <f>IF($A42="","",IF(COUNTIFS('Blackout Brand Fam Areas (Enc)'!$B$6:$B$998,$A42,'Blackout Brand Fam Areas (Enc)'!$C$6:$C$998,I$1,'Blackout Brand Fam Areas (Enc)'!$D$6:$D$998,"Inactive")&gt;0,"BLOCKED","CAN SELL"))</f>
        <v>CAN SELL</v>
      </c>
      <c r="J42" s="2" t="str">
        <f>IF($A42="","",IF(COUNTIFS('Blackout Brand Fam Areas (Enc)'!$B$6:$B$998,$A42,'Blackout Brand Fam Areas (Enc)'!$C$6:$C$998,J$1,'Blackout Brand Fam Areas (Enc)'!$D$6:$D$998,"Inactive")&gt;0,"BLOCKED","CAN SELL"))</f>
        <v>BLOCKED</v>
      </c>
      <c r="K42" s="2" t="str">
        <f>IF($A42="","",IF(COUNTIFS('Blackout Brand Fam Areas (Enc)'!$B$6:$B$998,$A42,'Blackout Brand Fam Areas (Enc)'!$C$6:$C$998,K$1,'Blackout Brand Fam Areas (Enc)'!$D$6:$D$998,"Inactive")&gt;0,"BLOCKED","CAN SELL"))</f>
        <v>CAN SELL</v>
      </c>
    </row>
    <row r="43" spans="1:11" x14ac:dyDescent="0.2">
      <c r="A43" s="2" t="str">
        <v>Corona Premier</v>
      </c>
      <c r="B43" s="2" t="str">
        <f>IF($A43="","",IF(COUNTIFS('Blackout Brand Fam Areas (Enc)'!$B$6:$B$998,$A43,'Blackout Brand Fam Areas (Enc)'!$C$6:$C$998,B$1,'Blackout Brand Fam Areas (Enc)'!$D$6:$D$998,"Inactive")&gt;0,"BLOCKED","CAN SELL"))</f>
        <v>CAN SELL</v>
      </c>
      <c r="C43" s="2" t="str">
        <f>IF($A43="","",IF(COUNTIFS('Blackout Brand Fam Areas (Enc)'!$B$6:$B$998,$A43,'Blackout Brand Fam Areas (Enc)'!$C$6:$C$998,C$1,'Blackout Brand Fam Areas (Enc)'!$D$6:$D$998,"Inactive")&gt;0,"BLOCKED","CAN SELL"))</f>
        <v>CAN SELL</v>
      </c>
      <c r="D43" s="2" t="str">
        <f>IF($A43="","",IF(COUNTIFS('Blackout Brand Fam Areas (Enc)'!$B$6:$B$998,$A43,'Blackout Brand Fam Areas (Enc)'!$C$6:$C$998,D$1,'Blackout Brand Fam Areas (Enc)'!$D$6:$D$998,"Inactive")&gt;0,"BLOCKED","CAN SELL"))</f>
        <v>CAN SELL</v>
      </c>
      <c r="E43" s="2" t="str">
        <f>IF($A43="","",IF(COUNTIFS('Blackout Brand Fam Areas (Enc)'!$B$6:$B$998,$A43,'Blackout Brand Fam Areas (Enc)'!$C$6:$C$998,E$1,'Blackout Brand Fam Areas (Enc)'!$D$6:$D$998,"Inactive")&gt;0,"BLOCKED","CAN SELL"))</f>
        <v>BLOCKED</v>
      </c>
      <c r="F43" s="2" t="str">
        <f>IF($A43="","",IF(COUNTIFS('Blackout Brand Fam Areas (Enc)'!$B$6:$B$998,$A43,'Blackout Brand Fam Areas (Enc)'!$C$6:$C$998,F$1,'Blackout Brand Fam Areas (Enc)'!$D$6:$D$998,"Inactive")&gt;0,"BLOCKED","CAN SELL"))</f>
        <v>BLOCKED</v>
      </c>
      <c r="G43" s="2" t="str">
        <f>IF($A43="","",IF(COUNTIFS('Blackout Brand Fam Areas (Enc)'!$B$6:$B$998,$A43,'Blackout Brand Fam Areas (Enc)'!$C$6:$C$998,G$1,'Blackout Brand Fam Areas (Enc)'!$D$6:$D$998,"Inactive")&gt;0,"BLOCKED","CAN SELL"))</f>
        <v>BLOCKED</v>
      </c>
      <c r="H43" s="2" t="str">
        <f>IF($A43="","",IF(COUNTIFS('Blackout Brand Fam Areas (Enc)'!$B$6:$B$998,$A43,'Blackout Brand Fam Areas (Enc)'!$C$6:$C$998,H$1,'Blackout Brand Fam Areas (Enc)'!$D$6:$D$998,"Inactive")&gt;0,"BLOCKED","CAN SELL"))</f>
        <v>CAN SELL</v>
      </c>
      <c r="I43" s="2" t="str">
        <f>IF($A43="","",IF(COUNTIFS('Blackout Brand Fam Areas (Enc)'!$B$6:$B$998,$A43,'Blackout Brand Fam Areas (Enc)'!$C$6:$C$998,I$1,'Blackout Brand Fam Areas (Enc)'!$D$6:$D$998,"Inactive")&gt;0,"BLOCKED","CAN SELL"))</f>
        <v>CAN SELL</v>
      </c>
      <c r="J43" s="2" t="str">
        <f>IF($A43="","",IF(COUNTIFS('Blackout Brand Fam Areas (Enc)'!$B$6:$B$998,$A43,'Blackout Brand Fam Areas (Enc)'!$C$6:$C$998,J$1,'Blackout Brand Fam Areas (Enc)'!$D$6:$D$998,"Inactive")&gt;0,"BLOCKED","CAN SELL"))</f>
        <v>BLOCKED</v>
      </c>
      <c r="K43" s="2" t="str">
        <f>IF($A43="","",IF(COUNTIFS('Blackout Brand Fam Areas (Enc)'!$B$6:$B$998,$A43,'Blackout Brand Fam Areas (Enc)'!$C$6:$C$998,K$1,'Blackout Brand Fam Areas (Enc)'!$D$6:$D$998,"Inactive")&gt;0,"BLOCKED","CAN SELL"))</f>
        <v>CAN SELL</v>
      </c>
    </row>
    <row r="44" spans="1:11" x14ac:dyDescent="0.2">
      <c r="A44" s="2" t="str">
        <v>Corona Refresca</v>
      </c>
      <c r="B44" s="2" t="str">
        <f>IF($A44="","",IF(COUNTIFS('Blackout Brand Fam Areas (Enc)'!$B$6:$B$998,$A44,'Blackout Brand Fam Areas (Enc)'!$C$6:$C$998,B$1,'Blackout Brand Fam Areas (Enc)'!$D$6:$D$998,"Inactive")&gt;0,"BLOCKED","CAN SELL"))</f>
        <v>CAN SELL</v>
      </c>
      <c r="C44" s="2" t="str">
        <f>IF($A44="","",IF(COUNTIFS('Blackout Brand Fam Areas (Enc)'!$B$6:$B$998,$A44,'Blackout Brand Fam Areas (Enc)'!$C$6:$C$998,C$1,'Blackout Brand Fam Areas (Enc)'!$D$6:$D$998,"Inactive")&gt;0,"BLOCKED","CAN SELL"))</f>
        <v>CAN SELL</v>
      </c>
      <c r="D44" s="2" t="str">
        <f>IF($A44="","",IF(COUNTIFS('Blackout Brand Fam Areas (Enc)'!$B$6:$B$998,$A44,'Blackout Brand Fam Areas (Enc)'!$C$6:$C$998,D$1,'Blackout Brand Fam Areas (Enc)'!$D$6:$D$998,"Inactive")&gt;0,"BLOCKED","CAN SELL"))</f>
        <v>CAN SELL</v>
      </c>
      <c r="E44" s="2" t="str">
        <f>IF($A44="","",IF(COUNTIFS('Blackout Brand Fam Areas (Enc)'!$B$6:$B$998,$A44,'Blackout Brand Fam Areas (Enc)'!$C$6:$C$998,E$1,'Blackout Brand Fam Areas (Enc)'!$D$6:$D$998,"Inactive")&gt;0,"BLOCKED","CAN SELL"))</f>
        <v>BLOCKED</v>
      </c>
      <c r="F44" s="2" t="str">
        <f>IF($A44="","",IF(COUNTIFS('Blackout Brand Fam Areas (Enc)'!$B$6:$B$998,$A44,'Blackout Brand Fam Areas (Enc)'!$C$6:$C$998,F$1,'Blackout Brand Fam Areas (Enc)'!$D$6:$D$998,"Inactive")&gt;0,"BLOCKED","CAN SELL"))</f>
        <v>BLOCKED</v>
      </c>
      <c r="G44" s="2" t="str">
        <f>IF($A44="","",IF(COUNTIFS('Blackout Brand Fam Areas (Enc)'!$B$6:$B$998,$A44,'Blackout Brand Fam Areas (Enc)'!$C$6:$C$998,G$1,'Blackout Brand Fam Areas (Enc)'!$D$6:$D$998,"Inactive")&gt;0,"BLOCKED","CAN SELL"))</f>
        <v>BLOCKED</v>
      </c>
      <c r="H44" s="2" t="str">
        <f>IF($A44="","",IF(COUNTIFS('Blackout Brand Fam Areas (Enc)'!$B$6:$B$998,$A44,'Blackout Brand Fam Areas (Enc)'!$C$6:$C$998,H$1,'Blackout Brand Fam Areas (Enc)'!$D$6:$D$998,"Inactive")&gt;0,"BLOCKED","CAN SELL"))</f>
        <v>CAN SELL</v>
      </c>
      <c r="I44" s="2" t="str">
        <f>IF($A44="","",IF(COUNTIFS('Blackout Brand Fam Areas (Enc)'!$B$6:$B$998,$A44,'Blackout Brand Fam Areas (Enc)'!$C$6:$C$998,I$1,'Blackout Brand Fam Areas (Enc)'!$D$6:$D$998,"Inactive")&gt;0,"BLOCKED","CAN SELL"))</f>
        <v>CAN SELL</v>
      </c>
      <c r="J44" s="2" t="str">
        <f>IF($A44="","",IF(COUNTIFS('Blackout Brand Fam Areas (Enc)'!$B$6:$B$998,$A44,'Blackout Brand Fam Areas (Enc)'!$C$6:$C$998,J$1,'Blackout Brand Fam Areas (Enc)'!$D$6:$D$998,"Inactive")&gt;0,"BLOCKED","CAN SELL"))</f>
        <v>BLOCKED</v>
      </c>
      <c r="K44" s="2" t="str">
        <f>IF($A44="","",IF(COUNTIFS('Blackout Brand Fam Areas (Enc)'!$B$6:$B$998,$A44,'Blackout Brand Fam Areas (Enc)'!$C$6:$C$998,K$1,'Blackout Brand Fam Areas (Enc)'!$D$6:$D$998,"Inactive")&gt;0,"BLOCKED","CAN SELL"))</f>
        <v>CAN SELL</v>
      </c>
    </row>
    <row r="45" spans="1:11" x14ac:dyDescent="0.2">
      <c r="A45" s="2" t="str">
        <v>Corona Seltzer</v>
      </c>
      <c r="B45" s="2" t="str">
        <f>IF($A45="","",IF(COUNTIFS('Blackout Brand Fam Areas (Enc)'!$B$6:$B$998,$A45,'Blackout Brand Fam Areas (Enc)'!$C$6:$C$998,B$1,'Blackout Brand Fam Areas (Enc)'!$D$6:$D$998,"Inactive")&gt;0,"BLOCKED","CAN SELL"))</f>
        <v>CAN SELL</v>
      </c>
      <c r="C45" s="2" t="str">
        <f>IF($A45="","",IF(COUNTIFS('Blackout Brand Fam Areas (Enc)'!$B$6:$B$998,$A45,'Blackout Brand Fam Areas (Enc)'!$C$6:$C$998,C$1,'Blackout Brand Fam Areas (Enc)'!$D$6:$D$998,"Inactive")&gt;0,"BLOCKED","CAN SELL"))</f>
        <v>CAN SELL</v>
      </c>
      <c r="D45" s="2" t="str">
        <f>IF($A45="","",IF(COUNTIFS('Blackout Brand Fam Areas (Enc)'!$B$6:$B$998,$A45,'Blackout Brand Fam Areas (Enc)'!$C$6:$C$998,D$1,'Blackout Brand Fam Areas (Enc)'!$D$6:$D$998,"Inactive")&gt;0,"BLOCKED","CAN SELL"))</f>
        <v>CAN SELL</v>
      </c>
      <c r="E45" s="2" t="str">
        <f>IF($A45="","",IF(COUNTIFS('Blackout Brand Fam Areas (Enc)'!$B$6:$B$998,$A45,'Blackout Brand Fam Areas (Enc)'!$C$6:$C$998,E$1,'Blackout Brand Fam Areas (Enc)'!$D$6:$D$998,"Inactive")&gt;0,"BLOCKED","CAN SELL"))</f>
        <v>BLOCKED</v>
      </c>
      <c r="F45" s="2" t="str">
        <f>IF($A45="","",IF(COUNTIFS('Blackout Brand Fam Areas (Enc)'!$B$6:$B$998,$A45,'Blackout Brand Fam Areas (Enc)'!$C$6:$C$998,F$1,'Blackout Brand Fam Areas (Enc)'!$D$6:$D$998,"Inactive")&gt;0,"BLOCKED","CAN SELL"))</f>
        <v>BLOCKED</v>
      </c>
      <c r="G45" s="2" t="str">
        <f>IF($A45="","",IF(COUNTIFS('Blackout Brand Fam Areas (Enc)'!$B$6:$B$998,$A45,'Blackout Brand Fam Areas (Enc)'!$C$6:$C$998,G$1,'Blackout Brand Fam Areas (Enc)'!$D$6:$D$998,"Inactive")&gt;0,"BLOCKED","CAN SELL"))</f>
        <v>BLOCKED</v>
      </c>
      <c r="H45" s="2" t="str">
        <f>IF($A45="","",IF(COUNTIFS('Blackout Brand Fam Areas (Enc)'!$B$6:$B$998,$A45,'Blackout Brand Fam Areas (Enc)'!$C$6:$C$998,H$1,'Blackout Brand Fam Areas (Enc)'!$D$6:$D$998,"Inactive")&gt;0,"BLOCKED","CAN SELL"))</f>
        <v>CAN SELL</v>
      </c>
      <c r="I45" s="2" t="str">
        <f>IF($A45="","",IF(COUNTIFS('Blackout Brand Fam Areas (Enc)'!$B$6:$B$998,$A45,'Blackout Brand Fam Areas (Enc)'!$C$6:$C$998,I$1,'Blackout Brand Fam Areas (Enc)'!$D$6:$D$998,"Inactive")&gt;0,"BLOCKED","CAN SELL"))</f>
        <v>CAN SELL</v>
      </c>
      <c r="J45" s="2" t="str">
        <f>IF($A45="","",IF(COUNTIFS('Blackout Brand Fam Areas (Enc)'!$B$6:$B$998,$A45,'Blackout Brand Fam Areas (Enc)'!$C$6:$C$998,J$1,'Blackout Brand Fam Areas (Enc)'!$D$6:$D$998,"Inactive")&gt;0,"BLOCKED","CAN SELL"))</f>
        <v>BLOCKED</v>
      </c>
      <c r="K45" s="2" t="str">
        <f>IF($A45="","",IF(COUNTIFS('Blackout Brand Fam Areas (Enc)'!$B$6:$B$998,$A45,'Blackout Brand Fam Areas (Enc)'!$C$6:$C$998,K$1,'Blackout Brand Fam Areas (Enc)'!$D$6:$D$998,"Inactive")&gt;0,"BLOCKED","CAN SELL"))</f>
        <v>CAN SELL</v>
      </c>
    </row>
    <row r="46" spans="1:11" x14ac:dyDescent="0.2">
      <c r="A46" s="2" t="str">
        <v>Corona Sunbrew</v>
      </c>
      <c r="B46" s="2" t="str">
        <f>IF($A46="","",IF(COUNTIFS('Blackout Brand Fam Areas (Enc)'!$B$6:$B$998,$A46,'Blackout Brand Fam Areas (Enc)'!$C$6:$C$998,B$1,'Blackout Brand Fam Areas (Enc)'!$D$6:$D$998,"Inactive")&gt;0,"BLOCKED","CAN SELL"))</f>
        <v>CAN SELL</v>
      </c>
      <c r="C46" s="2" t="str">
        <f>IF($A46="","",IF(COUNTIFS('Blackout Brand Fam Areas (Enc)'!$B$6:$B$998,$A46,'Blackout Brand Fam Areas (Enc)'!$C$6:$C$998,C$1,'Blackout Brand Fam Areas (Enc)'!$D$6:$D$998,"Inactive")&gt;0,"BLOCKED","CAN SELL"))</f>
        <v>CAN SELL</v>
      </c>
      <c r="D46" s="2" t="str">
        <f>IF($A46="","",IF(COUNTIFS('Blackout Brand Fam Areas (Enc)'!$B$6:$B$998,$A46,'Blackout Brand Fam Areas (Enc)'!$C$6:$C$998,D$1,'Blackout Brand Fam Areas (Enc)'!$D$6:$D$998,"Inactive")&gt;0,"BLOCKED","CAN SELL"))</f>
        <v>CAN SELL</v>
      </c>
      <c r="E46" s="2" t="str">
        <f>IF($A46="","",IF(COUNTIFS('Blackout Brand Fam Areas (Enc)'!$B$6:$B$998,$A46,'Blackout Brand Fam Areas (Enc)'!$C$6:$C$998,E$1,'Blackout Brand Fam Areas (Enc)'!$D$6:$D$998,"Inactive")&gt;0,"BLOCKED","CAN SELL"))</f>
        <v>BLOCKED</v>
      </c>
      <c r="F46" s="2" t="str">
        <f>IF($A46="","",IF(COUNTIFS('Blackout Brand Fam Areas (Enc)'!$B$6:$B$998,$A46,'Blackout Brand Fam Areas (Enc)'!$C$6:$C$998,F$1,'Blackout Brand Fam Areas (Enc)'!$D$6:$D$998,"Inactive")&gt;0,"BLOCKED","CAN SELL"))</f>
        <v>BLOCKED</v>
      </c>
      <c r="G46" s="2" t="str">
        <f>IF($A46="","",IF(COUNTIFS('Blackout Brand Fam Areas (Enc)'!$B$6:$B$998,$A46,'Blackout Brand Fam Areas (Enc)'!$C$6:$C$998,G$1,'Blackout Brand Fam Areas (Enc)'!$D$6:$D$998,"Inactive")&gt;0,"BLOCKED","CAN SELL"))</f>
        <v>BLOCKED</v>
      </c>
      <c r="H46" s="2" t="str">
        <f>IF($A46="","",IF(COUNTIFS('Blackout Brand Fam Areas (Enc)'!$B$6:$B$998,$A46,'Blackout Brand Fam Areas (Enc)'!$C$6:$C$998,H$1,'Blackout Brand Fam Areas (Enc)'!$D$6:$D$998,"Inactive")&gt;0,"BLOCKED","CAN SELL"))</f>
        <v>CAN SELL</v>
      </c>
      <c r="I46" s="2" t="str">
        <f>IF($A46="","",IF(COUNTIFS('Blackout Brand Fam Areas (Enc)'!$B$6:$B$998,$A46,'Blackout Brand Fam Areas (Enc)'!$C$6:$C$998,I$1,'Blackout Brand Fam Areas (Enc)'!$D$6:$D$998,"Inactive")&gt;0,"BLOCKED","CAN SELL"))</f>
        <v>CAN SELL</v>
      </c>
      <c r="J46" s="2" t="str">
        <f>IF($A46="","",IF(COUNTIFS('Blackout Brand Fam Areas (Enc)'!$B$6:$B$998,$A46,'Blackout Brand Fam Areas (Enc)'!$C$6:$C$998,J$1,'Blackout Brand Fam Areas (Enc)'!$D$6:$D$998,"Inactive")&gt;0,"BLOCKED","CAN SELL"))</f>
        <v>BLOCKED</v>
      </c>
      <c r="K46" s="2" t="str">
        <f>IF($A46="","",IF(COUNTIFS('Blackout Brand Fam Areas (Enc)'!$B$6:$B$998,$A46,'Blackout Brand Fam Areas (Enc)'!$C$6:$C$998,K$1,'Blackout Brand Fam Areas (Enc)'!$D$6:$D$998,"Inactive")&gt;0,"BLOCKED","CAN SELL"))</f>
        <v>CAN SELL</v>
      </c>
    </row>
    <row r="47" spans="1:11" x14ac:dyDescent="0.2">
      <c r="A47" s="2" t="str">
        <v>Crispin</v>
      </c>
      <c r="B47" s="2" t="str">
        <f>IF($A47="","",IF(COUNTIFS('Blackout Brand Fam Areas (Enc)'!$B$6:$B$998,$A47,'Blackout Brand Fam Areas (Enc)'!$C$6:$C$998,B$1,'Blackout Brand Fam Areas (Enc)'!$D$6:$D$998,"Inactive")&gt;0,"BLOCKED","CAN SELL"))</f>
        <v>CAN SELL</v>
      </c>
      <c r="C47" s="2" t="str">
        <f>IF($A47="","",IF(COUNTIFS('Blackout Brand Fam Areas (Enc)'!$B$6:$B$998,$A47,'Blackout Brand Fam Areas (Enc)'!$C$6:$C$998,C$1,'Blackout Brand Fam Areas (Enc)'!$D$6:$D$998,"Inactive")&gt;0,"BLOCKED","CAN SELL"))</f>
        <v>CAN SELL</v>
      </c>
      <c r="D47" s="2" t="str">
        <f>IF($A47="","",IF(COUNTIFS('Blackout Brand Fam Areas (Enc)'!$B$6:$B$998,$A47,'Blackout Brand Fam Areas (Enc)'!$C$6:$C$998,D$1,'Blackout Brand Fam Areas (Enc)'!$D$6:$D$998,"Inactive")&gt;0,"BLOCKED","CAN SELL"))</f>
        <v>CAN SELL</v>
      </c>
      <c r="E47" s="2" t="str">
        <f>IF($A47="","",IF(COUNTIFS('Blackout Brand Fam Areas (Enc)'!$B$6:$B$998,$A47,'Blackout Brand Fam Areas (Enc)'!$C$6:$C$998,E$1,'Blackout Brand Fam Areas (Enc)'!$D$6:$D$998,"Inactive")&gt;0,"BLOCKED","CAN SELL"))</f>
        <v>BLOCKED</v>
      </c>
      <c r="F47" s="2" t="str">
        <f>IF($A47="","",IF(COUNTIFS('Blackout Brand Fam Areas (Enc)'!$B$6:$B$998,$A47,'Blackout Brand Fam Areas (Enc)'!$C$6:$C$998,F$1,'Blackout Brand Fam Areas (Enc)'!$D$6:$D$998,"Inactive")&gt;0,"BLOCKED","CAN SELL"))</f>
        <v>BLOCKED</v>
      </c>
      <c r="G47" s="2" t="str">
        <f>IF($A47="","",IF(COUNTIFS('Blackout Brand Fam Areas (Enc)'!$B$6:$B$998,$A47,'Blackout Brand Fam Areas (Enc)'!$C$6:$C$998,G$1,'Blackout Brand Fam Areas (Enc)'!$D$6:$D$998,"Inactive")&gt;0,"BLOCKED","CAN SELL"))</f>
        <v>BLOCKED</v>
      </c>
      <c r="H47" s="2" t="str">
        <f>IF($A47="","",IF(COUNTIFS('Blackout Brand Fam Areas (Enc)'!$B$6:$B$998,$A47,'Blackout Brand Fam Areas (Enc)'!$C$6:$C$998,H$1,'Blackout Brand Fam Areas (Enc)'!$D$6:$D$998,"Inactive")&gt;0,"BLOCKED","CAN SELL"))</f>
        <v>CAN SELL</v>
      </c>
      <c r="I47" s="2" t="str">
        <f>IF($A47="","",IF(COUNTIFS('Blackout Brand Fam Areas (Enc)'!$B$6:$B$998,$A47,'Blackout Brand Fam Areas (Enc)'!$C$6:$C$998,I$1,'Blackout Brand Fam Areas (Enc)'!$D$6:$D$998,"Inactive")&gt;0,"BLOCKED","CAN SELL"))</f>
        <v>CAN SELL</v>
      </c>
      <c r="J47" s="2" t="str">
        <f>IF($A47="","",IF(COUNTIFS('Blackout Brand Fam Areas (Enc)'!$B$6:$B$998,$A47,'Blackout Brand Fam Areas (Enc)'!$C$6:$C$998,J$1,'Blackout Brand Fam Areas (Enc)'!$D$6:$D$998,"Inactive")&gt;0,"BLOCKED","CAN SELL"))</f>
        <v>BLOCKED</v>
      </c>
      <c r="K47" s="2" t="str">
        <f>IF($A47="","",IF(COUNTIFS('Blackout Brand Fam Areas (Enc)'!$B$6:$B$998,$A47,'Blackout Brand Fam Areas (Enc)'!$C$6:$C$998,K$1,'Blackout Brand Fam Areas (Enc)'!$D$6:$D$998,"Inactive")&gt;0,"BLOCKED","CAN SELL"))</f>
        <v>CAN SELL</v>
      </c>
    </row>
    <row r="48" spans="1:11" x14ac:dyDescent="0.2">
      <c r="A48" s="2" t="str">
        <v>Cristal</v>
      </c>
      <c r="B48" s="2" t="str">
        <f>IF($A48="","",IF(COUNTIFS('Blackout Brand Fam Areas (Enc)'!$B$6:$B$998,$A48,'Blackout Brand Fam Areas (Enc)'!$C$6:$C$998,B$1,'Blackout Brand Fam Areas (Enc)'!$D$6:$D$998,"Inactive")&gt;0,"BLOCKED","CAN SELL"))</f>
        <v>CAN SELL</v>
      </c>
      <c r="C48" s="2" t="str">
        <f>IF($A48="","",IF(COUNTIFS('Blackout Brand Fam Areas (Enc)'!$B$6:$B$998,$A48,'Blackout Brand Fam Areas (Enc)'!$C$6:$C$998,C$1,'Blackout Brand Fam Areas (Enc)'!$D$6:$D$998,"Inactive")&gt;0,"BLOCKED","CAN SELL"))</f>
        <v>CAN SELL</v>
      </c>
      <c r="D48" s="2" t="str">
        <f>IF($A48="","",IF(COUNTIFS('Blackout Brand Fam Areas (Enc)'!$B$6:$B$998,$A48,'Blackout Brand Fam Areas (Enc)'!$C$6:$C$998,D$1,'Blackout Brand Fam Areas (Enc)'!$D$6:$D$998,"Inactive")&gt;0,"BLOCKED","CAN SELL"))</f>
        <v>CAN SELL</v>
      </c>
      <c r="E48" s="2" t="str">
        <f>IF($A48="","",IF(COUNTIFS('Blackout Brand Fam Areas (Enc)'!$B$6:$B$998,$A48,'Blackout Brand Fam Areas (Enc)'!$C$6:$C$998,E$1,'Blackout Brand Fam Areas (Enc)'!$D$6:$D$998,"Inactive")&gt;0,"BLOCKED","CAN SELL"))</f>
        <v>BLOCKED</v>
      </c>
      <c r="F48" s="2" t="str">
        <f>IF($A48="","",IF(COUNTIFS('Blackout Brand Fam Areas (Enc)'!$B$6:$B$998,$A48,'Blackout Brand Fam Areas (Enc)'!$C$6:$C$998,F$1,'Blackout Brand Fam Areas (Enc)'!$D$6:$D$998,"Inactive")&gt;0,"BLOCKED","CAN SELL"))</f>
        <v>BLOCKED</v>
      </c>
      <c r="G48" s="2" t="str">
        <f>IF($A48="","",IF(COUNTIFS('Blackout Brand Fam Areas (Enc)'!$B$6:$B$998,$A48,'Blackout Brand Fam Areas (Enc)'!$C$6:$C$998,G$1,'Blackout Brand Fam Areas (Enc)'!$D$6:$D$998,"Inactive")&gt;0,"BLOCKED","CAN SELL"))</f>
        <v>BLOCKED</v>
      </c>
      <c r="H48" s="2" t="str">
        <f>IF($A48="","",IF(COUNTIFS('Blackout Brand Fam Areas (Enc)'!$B$6:$B$998,$A48,'Blackout Brand Fam Areas (Enc)'!$C$6:$C$998,H$1,'Blackout Brand Fam Areas (Enc)'!$D$6:$D$998,"Inactive")&gt;0,"BLOCKED","CAN SELL"))</f>
        <v>CAN SELL</v>
      </c>
      <c r="I48" s="2" t="str">
        <f>IF($A48="","",IF(COUNTIFS('Blackout Brand Fam Areas (Enc)'!$B$6:$B$998,$A48,'Blackout Brand Fam Areas (Enc)'!$C$6:$C$998,I$1,'Blackout Brand Fam Areas (Enc)'!$D$6:$D$998,"Inactive")&gt;0,"BLOCKED","CAN SELL"))</f>
        <v>CAN SELL</v>
      </c>
      <c r="J48" s="2" t="str">
        <f>IF($A48="","",IF(COUNTIFS('Blackout Brand Fam Areas (Enc)'!$B$6:$B$998,$A48,'Blackout Brand Fam Areas (Enc)'!$C$6:$C$998,J$1,'Blackout Brand Fam Areas (Enc)'!$D$6:$D$998,"Inactive")&gt;0,"BLOCKED","CAN SELL"))</f>
        <v>BLOCKED</v>
      </c>
      <c r="K48" s="2" t="str">
        <f>IF($A48="","",IF(COUNTIFS('Blackout Brand Fam Areas (Enc)'!$B$6:$B$998,$A48,'Blackout Brand Fam Areas (Enc)'!$C$6:$C$998,K$1,'Blackout Brand Fam Areas (Enc)'!$D$6:$D$998,"Inactive")&gt;0,"BLOCKED","CAN SELL"))</f>
        <v>CAN SELL</v>
      </c>
    </row>
    <row r="49" spans="1:11" x14ac:dyDescent="0.2">
      <c r="A49" s="2" t="str">
        <v>Cusquena</v>
      </c>
      <c r="B49" s="2" t="str">
        <f>IF($A49="","",IF(COUNTIFS('Blackout Brand Fam Areas (Enc)'!$B$6:$B$998,$A49,'Blackout Brand Fam Areas (Enc)'!$C$6:$C$998,B$1,'Blackout Brand Fam Areas (Enc)'!$D$6:$D$998,"Inactive")&gt;0,"BLOCKED","CAN SELL"))</f>
        <v>CAN SELL</v>
      </c>
      <c r="C49" s="2" t="str">
        <f>IF($A49="","",IF(COUNTIFS('Blackout Brand Fam Areas (Enc)'!$B$6:$B$998,$A49,'Blackout Brand Fam Areas (Enc)'!$C$6:$C$998,C$1,'Blackout Brand Fam Areas (Enc)'!$D$6:$D$998,"Inactive")&gt;0,"BLOCKED","CAN SELL"))</f>
        <v>CAN SELL</v>
      </c>
      <c r="D49" s="2" t="str">
        <f>IF($A49="","",IF(COUNTIFS('Blackout Brand Fam Areas (Enc)'!$B$6:$B$998,$A49,'Blackout Brand Fam Areas (Enc)'!$C$6:$C$998,D$1,'Blackout Brand Fam Areas (Enc)'!$D$6:$D$998,"Inactive")&gt;0,"BLOCKED","CAN SELL"))</f>
        <v>CAN SELL</v>
      </c>
      <c r="E49" s="2" t="str">
        <f>IF($A49="","",IF(COUNTIFS('Blackout Brand Fam Areas (Enc)'!$B$6:$B$998,$A49,'Blackout Brand Fam Areas (Enc)'!$C$6:$C$998,E$1,'Blackout Brand Fam Areas (Enc)'!$D$6:$D$998,"Inactive")&gt;0,"BLOCKED","CAN SELL"))</f>
        <v>BLOCKED</v>
      </c>
      <c r="F49" s="2" t="str">
        <f>IF($A49="","",IF(COUNTIFS('Blackout Brand Fam Areas (Enc)'!$B$6:$B$998,$A49,'Blackout Brand Fam Areas (Enc)'!$C$6:$C$998,F$1,'Blackout Brand Fam Areas (Enc)'!$D$6:$D$998,"Inactive")&gt;0,"BLOCKED","CAN SELL"))</f>
        <v>BLOCKED</v>
      </c>
      <c r="G49" s="2" t="str">
        <f>IF($A49="","",IF(COUNTIFS('Blackout Brand Fam Areas (Enc)'!$B$6:$B$998,$A49,'Blackout Brand Fam Areas (Enc)'!$C$6:$C$998,G$1,'Blackout Brand Fam Areas (Enc)'!$D$6:$D$998,"Inactive")&gt;0,"BLOCKED","CAN SELL"))</f>
        <v>BLOCKED</v>
      </c>
      <c r="H49" s="2" t="str">
        <f>IF($A49="","",IF(COUNTIFS('Blackout Brand Fam Areas (Enc)'!$B$6:$B$998,$A49,'Blackout Brand Fam Areas (Enc)'!$C$6:$C$998,H$1,'Blackout Brand Fam Areas (Enc)'!$D$6:$D$998,"Inactive")&gt;0,"BLOCKED","CAN SELL"))</f>
        <v>CAN SELL</v>
      </c>
      <c r="I49" s="2" t="str">
        <f>IF($A49="","",IF(COUNTIFS('Blackout Brand Fam Areas (Enc)'!$B$6:$B$998,$A49,'Blackout Brand Fam Areas (Enc)'!$C$6:$C$998,I$1,'Blackout Brand Fam Areas (Enc)'!$D$6:$D$998,"Inactive")&gt;0,"BLOCKED","CAN SELL"))</f>
        <v>CAN SELL</v>
      </c>
      <c r="J49" s="2" t="str">
        <f>IF($A49="","",IF(COUNTIFS('Blackout Brand Fam Areas (Enc)'!$B$6:$B$998,$A49,'Blackout Brand Fam Areas (Enc)'!$C$6:$C$998,J$1,'Blackout Brand Fam Areas (Enc)'!$D$6:$D$998,"Inactive")&gt;0,"BLOCKED","CAN SELL"))</f>
        <v>BLOCKED</v>
      </c>
      <c r="K49" s="2" t="str">
        <f>IF($A49="","",IF(COUNTIFS('Blackout Brand Fam Areas (Enc)'!$B$6:$B$998,$A49,'Blackout Brand Fam Areas (Enc)'!$C$6:$C$998,K$1,'Blackout Brand Fam Areas (Enc)'!$D$6:$D$998,"Inactive")&gt;0,"BLOCKED","CAN SELL"))</f>
        <v>CAN SELL</v>
      </c>
    </row>
    <row r="50" spans="1:11" x14ac:dyDescent="0.2">
      <c r="A50" s="2" t="str">
        <v>Czechvar</v>
      </c>
      <c r="B50" s="2" t="str">
        <f>IF($A50="","",IF(COUNTIFS('Blackout Brand Fam Areas (Enc)'!$B$6:$B$998,$A50,'Blackout Brand Fam Areas (Enc)'!$C$6:$C$998,B$1,'Blackout Brand Fam Areas (Enc)'!$D$6:$D$998,"Inactive")&gt;0,"BLOCKED","CAN SELL"))</f>
        <v>CAN SELL</v>
      </c>
      <c r="C50" s="2" t="str">
        <f>IF($A50="","",IF(COUNTIFS('Blackout Brand Fam Areas (Enc)'!$B$6:$B$998,$A50,'Blackout Brand Fam Areas (Enc)'!$C$6:$C$998,C$1,'Blackout Brand Fam Areas (Enc)'!$D$6:$D$998,"Inactive")&gt;0,"BLOCKED","CAN SELL"))</f>
        <v>CAN SELL</v>
      </c>
      <c r="D50" s="2" t="str">
        <f>IF($A50="","",IF(COUNTIFS('Blackout Brand Fam Areas (Enc)'!$B$6:$B$998,$A50,'Blackout Brand Fam Areas (Enc)'!$C$6:$C$998,D$1,'Blackout Brand Fam Areas (Enc)'!$D$6:$D$998,"Inactive")&gt;0,"BLOCKED","CAN SELL"))</f>
        <v>CAN SELL</v>
      </c>
      <c r="E50" s="2" t="str">
        <f>IF($A50="","",IF(COUNTIFS('Blackout Brand Fam Areas (Enc)'!$B$6:$B$998,$A50,'Blackout Brand Fam Areas (Enc)'!$C$6:$C$998,E$1,'Blackout Brand Fam Areas (Enc)'!$D$6:$D$998,"Inactive")&gt;0,"BLOCKED","CAN SELL"))</f>
        <v>CAN SELL</v>
      </c>
      <c r="F50" s="2" t="str">
        <f>IF($A50="","",IF(COUNTIFS('Blackout Brand Fam Areas (Enc)'!$B$6:$B$998,$A50,'Blackout Brand Fam Areas (Enc)'!$C$6:$C$998,F$1,'Blackout Brand Fam Areas (Enc)'!$D$6:$D$998,"Inactive")&gt;0,"BLOCKED","CAN SELL"))</f>
        <v>CAN SELL</v>
      </c>
      <c r="G50" s="2" t="str">
        <f>IF($A50="","",IF(COUNTIFS('Blackout Brand Fam Areas (Enc)'!$B$6:$B$998,$A50,'Blackout Brand Fam Areas (Enc)'!$C$6:$C$998,G$1,'Blackout Brand Fam Areas (Enc)'!$D$6:$D$998,"Inactive")&gt;0,"BLOCKED","CAN SELL"))</f>
        <v>CAN SELL</v>
      </c>
      <c r="H50" s="2" t="str">
        <f>IF($A50="","",IF(COUNTIFS('Blackout Brand Fam Areas (Enc)'!$B$6:$B$998,$A50,'Blackout Brand Fam Areas (Enc)'!$C$6:$C$998,H$1,'Blackout Brand Fam Areas (Enc)'!$D$6:$D$998,"Inactive")&gt;0,"BLOCKED","CAN SELL"))</f>
        <v>BLOCKED</v>
      </c>
      <c r="I50" s="2" t="str">
        <f>IF($A50="","",IF(COUNTIFS('Blackout Brand Fam Areas (Enc)'!$B$6:$B$998,$A50,'Blackout Brand Fam Areas (Enc)'!$C$6:$C$998,I$1,'Blackout Brand Fam Areas (Enc)'!$D$6:$D$998,"Inactive")&gt;0,"BLOCKED","CAN SELL"))</f>
        <v>BLOCKED</v>
      </c>
      <c r="J50" s="2" t="str">
        <f>IF($A50="","",IF(COUNTIFS('Blackout Brand Fam Areas (Enc)'!$B$6:$B$998,$A50,'Blackout Brand Fam Areas (Enc)'!$C$6:$C$998,J$1,'Blackout Brand Fam Areas (Enc)'!$D$6:$D$998,"Inactive")&gt;0,"BLOCKED","CAN SELL"))</f>
        <v>BLOCKED</v>
      </c>
      <c r="K50" s="2" t="str">
        <f>IF($A50="","",IF(COUNTIFS('Blackout Brand Fam Areas (Enc)'!$B$6:$B$998,$A50,'Blackout Brand Fam Areas (Enc)'!$C$6:$C$998,K$1,'Blackout Brand Fam Areas (Enc)'!$D$6:$D$998,"Inactive")&gt;0,"BLOCKED","CAN SELL"))</f>
        <v>BLOCKED</v>
      </c>
    </row>
    <row r="51" spans="1:11" x14ac:dyDescent="0.2">
      <c r="A51" s="2" t="str">
        <v>Dad Grass</v>
      </c>
      <c r="B51" s="2" t="str">
        <f>IF($A51="","",IF(COUNTIFS('Blackout Brand Fam Areas (Enc)'!$B$6:$B$998,$A51,'Blackout Brand Fam Areas (Enc)'!$C$6:$C$998,B$1,'Blackout Brand Fam Areas (Enc)'!$D$6:$D$998,"Inactive")&gt;0,"BLOCKED","CAN SELL"))</f>
        <v>CAN SELL</v>
      </c>
      <c r="C51" s="2" t="str">
        <f>IF($A51="","",IF(COUNTIFS('Blackout Brand Fam Areas (Enc)'!$B$6:$B$998,$A51,'Blackout Brand Fam Areas (Enc)'!$C$6:$C$998,C$1,'Blackout Brand Fam Areas (Enc)'!$D$6:$D$998,"Inactive")&gt;0,"BLOCKED","CAN SELL"))</f>
        <v>CAN SELL</v>
      </c>
      <c r="D51" s="2" t="str">
        <f>IF($A51="","",IF(COUNTIFS('Blackout Brand Fam Areas (Enc)'!$B$6:$B$998,$A51,'Blackout Brand Fam Areas (Enc)'!$C$6:$C$998,D$1,'Blackout Brand Fam Areas (Enc)'!$D$6:$D$998,"Inactive")&gt;0,"BLOCKED","CAN SELL"))</f>
        <v>CAN SELL</v>
      </c>
      <c r="E51" s="2" t="str">
        <f>IF($A51="","",IF(COUNTIFS('Blackout Brand Fam Areas (Enc)'!$B$6:$B$998,$A51,'Blackout Brand Fam Areas (Enc)'!$C$6:$C$998,E$1,'Blackout Brand Fam Areas (Enc)'!$D$6:$D$998,"Inactive")&gt;0,"BLOCKED","CAN SELL"))</f>
        <v>BLOCKED</v>
      </c>
      <c r="F51" s="2" t="str">
        <f>IF($A51="","",IF(COUNTIFS('Blackout Brand Fam Areas (Enc)'!$B$6:$B$998,$A51,'Blackout Brand Fam Areas (Enc)'!$C$6:$C$998,F$1,'Blackout Brand Fam Areas (Enc)'!$D$6:$D$998,"Inactive")&gt;0,"BLOCKED","CAN SELL"))</f>
        <v>BLOCKED</v>
      </c>
      <c r="G51" s="2" t="str">
        <f>IF($A51="","",IF(COUNTIFS('Blackout Brand Fam Areas (Enc)'!$B$6:$B$998,$A51,'Blackout Brand Fam Areas (Enc)'!$C$6:$C$998,G$1,'Blackout Brand Fam Areas (Enc)'!$D$6:$D$998,"Inactive")&gt;0,"BLOCKED","CAN SELL"))</f>
        <v>BLOCKED</v>
      </c>
      <c r="H51" s="2" t="str">
        <f>IF($A51="","",IF(COUNTIFS('Blackout Brand Fam Areas (Enc)'!$B$6:$B$998,$A51,'Blackout Brand Fam Areas (Enc)'!$C$6:$C$998,H$1,'Blackout Brand Fam Areas (Enc)'!$D$6:$D$998,"Inactive")&gt;0,"BLOCKED","CAN SELL"))</f>
        <v>CAN SELL</v>
      </c>
      <c r="I51" s="2" t="str">
        <f>IF($A51="","",IF(COUNTIFS('Blackout Brand Fam Areas (Enc)'!$B$6:$B$998,$A51,'Blackout Brand Fam Areas (Enc)'!$C$6:$C$998,I$1,'Blackout Brand Fam Areas (Enc)'!$D$6:$D$998,"Inactive")&gt;0,"BLOCKED","CAN SELL"))</f>
        <v>CAN SELL</v>
      </c>
      <c r="J51" s="2" t="str">
        <f>IF($A51="","",IF(COUNTIFS('Blackout Brand Fam Areas (Enc)'!$B$6:$B$998,$A51,'Blackout Brand Fam Areas (Enc)'!$C$6:$C$998,J$1,'Blackout Brand Fam Areas (Enc)'!$D$6:$D$998,"Inactive")&gt;0,"BLOCKED","CAN SELL"))</f>
        <v>BLOCKED</v>
      </c>
      <c r="K51" s="2" t="str">
        <f>IF($A51="","",IF(COUNTIFS('Blackout Brand Fam Areas (Enc)'!$B$6:$B$998,$A51,'Blackout Brand Fam Areas (Enc)'!$C$6:$C$998,K$1,'Blackout Brand Fam Areas (Enc)'!$D$6:$D$998,"Inactive")&gt;0,"BLOCKED","CAN SELL"))</f>
        <v>CAN SELL</v>
      </c>
    </row>
    <row r="52" spans="1:11" x14ac:dyDescent="0.2">
      <c r="A52" s="2" t="str">
        <v>Daura</v>
      </c>
      <c r="B52" s="2" t="str">
        <f>IF($A52="","",IF(COUNTIFS('Blackout Brand Fam Areas (Enc)'!$B$6:$B$998,$A52,'Blackout Brand Fam Areas (Enc)'!$C$6:$C$998,B$1,'Blackout Brand Fam Areas (Enc)'!$D$6:$D$998,"Inactive")&gt;0,"BLOCKED","CAN SELL"))</f>
        <v>CAN SELL</v>
      </c>
      <c r="C52" s="2" t="str">
        <f>IF($A52="","",IF(COUNTIFS('Blackout Brand Fam Areas (Enc)'!$B$6:$B$998,$A52,'Blackout Brand Fam Areas (Enc)'!$C$6:$C$998,C$1,'Blackout Brand Fam Areas (Enc)'!$D$6:$D$998,"Inactive")&gt;0,"BLOCKED","CAN SELL"))</f>
        <v>CAN SELL</v>
      </c>
      <c r="D52" s="2" t="str">
        <f>IF($A52="","",IF(COUNTIFS('Blackout Brand Fam Areas (Enc)'!$B$6:$B$998,$A52,'Blackout Brand Fam Areas (Enc)'!$C$6:$C$998,D$1,'Blackout Brand Fam Areas (Enc)'!$D$6:$D$998,"Inactive")&gt;0,"BLOCKED","CAN SELL"))</f>
        <v>CAN SELL</v>
      </c>
      <c r="E52" s="2" t="str">
        <f>IF($A52="","",IF(COUNTIFS('Blackout Brand Fam Areas (Enc)'!$B$6:$B$998,$A52,'Blackout Brand Fam Areas (Enc)'!$C$6:$C$998,E$1,'Blackout Brand Fam Areas (Enc)'!$D$6:$D$998,"Inactive")&gt;0,"BLOCKED","CAN SELL"))</f>
        <v>CAN SELL</v>
      </c>
      <c r="F52" s="2" t="str">
        <f>IF($A52="","",IF(COUNTIFS('Blackout Brand Fam Areas (Enc)'!$B$6:$B$998,$A52,'Blackout Brand Fam Areas (Enc)'!$C$6:$C$998,F$1,'Blackout Brand Fam Areas (Enc)'!$D$6:$D$998,"Inactive")&gt;0,"BLOCKED","CAN SELL"))</f>
        <v>CAN SELL</v>
      </c>
      <c r="G52" s="2" t="str">
        <f>IF($A52="","",IF(COUNTIFS('Blackout Brand Fam Areas (Enc)'!$B$6:$B$998,$A52,'Blackout Brand Fam Areas (Enc)'!$C$6:$C$998,G$1,'Blackout Brand Fam Areas (Enc)'!$D$6:$D$998,"Inactive")&gt;0,"BLOCKED","CAN SELL"))</f>
        <v>CAN SELL</v>
      </c>
      <c r="H52" s="2" t="str">
        <f>IF($A52="","",IF(COUNTIFS('Blackout Brand Fam Areas (Enc)'!$B$6:$B$998,$A52,'Blackout Brand Fam Areas (Enc)'!$C$6:$C$998,H$1,'Blackout Brand Fam Areas (Enc)'!$D$6:$D$998,"Inactive")&gt;0,"BLOCKED","CAN SELL"))</f>
        <v>BLOCKED</v>
      </c>
      <c r="I52" s="2" t="str">
        <f>IF($A52="","",IF(COUNTIFS('Blackout Brand Fam Areas (Enc)'!$B$6:$B$998,$A52,'Blackout Brand Fam Areas (Enc)'!$C$6:$C$998,I$1,'Blackout Brand Fam Areas (Enc)'!$D$6:$D$998,"Inactive")&gt;0,"BLOCKED","CAN SELL"))</f>
        <v>BLOCKED</v>
      </c>
      <c r="J52" s="2" t="str">
        <f>IF($A52="","",IF(COUNTIFS('Blackout Brand Fam Areas (Enc)'!$B$6:$B$998,$A52,'Blackout Brand Fam Areas (Enc)'!$C$6:$C$998,J$1,'Blackout Brand Fam Areas (Enc)'!$D$6:$D$998,"Inactive")&gt;0,"BLOCKED","CAN SELL"))</f>
        <v>BLOCKED</v>
      </c>
      <c r="K52" s="2" t="str">
        <f>IF($A52="","",IF(COUNTIFS('Blackout Brand Fam Areas (Enc)'!$B$6:$B$998,$A52,'Blackout Brand Fam Areas (Enc)'!$C$6:$C$998,K$1,'Blackout Brand Fam Areas (Enc)'!$D$6:$D$998,"Inactive")&gt;0,"BLOCKED","CAN SELL"))</f>
        <v>BLOCKED</v>
      </c>
    </row>
    <row r="53" spans="1:11" x14ac:dyDescent="0.2">
      <c r="A53" s="2" t="str">
        <v>Del's Shandy</v>
      </c>
      <c r="B53" s="2" t="str">
        <f>IF($A53="","",IF(COUNTIFS('Blackout Brand Fam Areas (Enc)'!$B$6:$B$998,$A53,'Blackout Brand Fam Areas (Enc)'!$C$6:$C$998,B$1,'Blackout Brand Fam Areas (Enc)'!$D$6:$D$998,"Inactive")&gt;0,"BLOCKED","CAN SELL"))</f>
        <v>CAN SELL</v>
      </c>
      <c r="C53" s="2" t="str">
        <f>IF($A53="","",IF(COUNTIFS('Blackout Brand Fam Areas (Enc)'!$B$6:$B$998,$A53,'Blackout Brand Fam Areas (Enc)'!$C$6:$C$998,C$1,'Blackout Brand Fam Areas (Enc)'!$D$6:$D$998,"Inactive")&gt;0,"BLOCKED","CAN SELL"))</f>
        <v>CAN SELL</v>
      </c>
      <c r="D53" s="2" t="str">
        <f>IF($A53="","",IF(COUNTIFS('Blackout Brand Fam Areas (Enc)'!$B$6:$B$998,$A53,'Blackout Brand Fam Areas (Enc)'!$C$6:$C$998,D$1,'Blackout Brand Fam Areas (Enc)'!$D$6:$D$998,"Inactive")&gt;0,"BLOCKED","CAN SELL"))</f>
        <v>CAN SELL</v>
      </c>
      <c r="E53" s="2" t="str">
        <f>IF($A53="","",IF(COUNTIFS('Blackout Brand Fam Areas (Enc)'!$B$6:$B$998,$A53,'Blackout Brand Fam Areas (Enc)'!$C$6:$C$998,E$1,'Blackout Brand Fam Areas (Enc)'!$D$6:$D$998,"Inactive")&gt;0,"BLOCKED","CAN SELL"))</f>
        <v>BLOCKED</v>
      </c>
      <c r="F53" s="2" t="str">
        <f>IF($A53="","",IF(COUNTIFS('Blackout Brand Fam Areas (Enc)'!$B$6:$B$998,$A53,'Blackout Brand Fam Areas (Enc)'!$C$6:$C$998,F$1,'Blackout Brand Fam Areas (Enc)'!$D$6:$D$998,"Inactive")&gt;0,"BLOCKED","CAN SELL"))</f>
        <v>BLOCKED</v>
      </c>
      <c r="G53" s="2" t="str">
        <f>IF($A53="","",IF(COUNTIFS('Blackout Brand Fam Areas (Enc)'!$B$6:$B$998,$A53,'Blackout Brand Fam Areas (Enc)'!$C$6:$C$998,G$1,'Blackout Brand Fam Areas (Enc)'!$D$6:$D$998,"Inactive")&gt;0,"BLOCKED","CAN SELL"))</f>
        <v>BLOCKED</v>
      </c>
      <c r="H53" s="2" t="str">
        <f>IF($A53="","",IF(COUNTIFS('Blackout Brand Fam Areas (Enc)'!$B$6:$B$998,$A53,'Blackout Brand Fam Areas (Enc)'!$C$6:$C$998,H$1,'Blackout Brand Fam Areas (Enc)'!$D$6:$D$998,"Inactive")&gt;0,"BLOCKED","CAN SELL"))</f>
        <v>CAN SELL</v>
      </c>
      <c r="I53" s="2" t="str">
        <f>IF($A53="","",IF(COUNTIFS('Blackout Brand Fam Areas (Enc)'!$B$6:$B$998,$A53,'Blackout Brand Fam Areas (Enc)'!$C$6:$C$998,I$1,'Blackout Brand Fam Areas (Enc)'!$D$6:$D$998,"Inactive")&gt;0,"BLOCKED","CAN SELL"))</f>
        <v>CAN SELL</v>
      </c>
      <c r="J53" s="2" t="str">
        <f>IF($A53="","",IF(COUNTIFS('Blackout Brand Fam Areas (Enc)'!$B$6:$B$998,$A53,'Blackout Brand Fam Areas (Enc)'!$C$6:$C$998,J$1,'Blackout Brand Fam Areas (Enc)'!$D$6:$D$998,"Inactive")&gt;0,"BLOCKED","CAN SELL"))</f>
        <v>BLOCKED</v>
      </c>
      <c r="K53" s="2" t="str">
        <f>IF($A53="","",IF(COUNTIFS('Blackout Brand Fam Areas (Enc)'!$B$6:$B$998,$A53,'Blackout Brand Fam Areas (Enc)'!$C$6:$C$998,K$1,'Blackout Brand Fam Areas (Enc)'!$D$6:$D$998,"Inactive")&gt;0,"BLOCKED","CAN SELL"))</f>
        <v>CAN SELL</v>
      </c>
    </row>
    <row r="54" spans="1:11" x14ac:dyDescent="0.2">
      <c r="A54" s="2" t="str">
        <v>Dg Yuengling Inc</v>
      </c>
      <c r="B54" s="2" t="str">
        <f>IF($A54="","",IF(COUNTIFS('Blackout Brand Fam Areas (Enc)'!$B$6:$B$998,$A54,'Blackout Brand Fam Areas (Enc)'!$C$6:$C$998,B$1,'Blackout Brand Fam Areas (Enc)'!$D$6:$D$998,"Inactive")&gt;0,"BLOCKED","CAN SELL"))</f>
        <v>CAN SELL</v>
      </c>
      <c r="C54" s="2" t="str">
        <f>IF($A54="","",IF(COUNTIFS('Blackout Brand Fam Areas (Enc)'!$B$6:$B$998,$A54,'Blackout Brand Fam Areas (Enc)'!$C$6:$C$998,C$1,'Blackout Brand Fam Areas (Enc)'!$D$6:$D$998,"Inactive")&gt;0,"BLOCKED","CAN SELL"))</f>
        <v>CAN SELL</v>
      </c>
      <c r="D54" s="2" t="str">
        <f>IF($A54="","",IF(COUNTIFS('Blackout Brand Fam Areas (Enc)'!$B$6:$B$998,$A54,'Blackout Brand Fam Areas (Enc)'!$C$6:$C$998,D$1,'Blackout Brand Fam Areas (Enc)'!$D$6:$D$998,"Inactive")&gt;0,"BLOCKED","CAN SELL"))</f>
        <v>CAN SELL</v>
      </c>
      <c r="E54" s="2" t="str">
        <f>IF($A54="","",IF(COUNTIFS('Blackout Brand Fam Areas (Enc)'!$B$6:$B$998,$A54,'Blackout Brand Fam Areas (Enc)'!$C$6:$C$998,E$1,'Blackout Brand Fam Areas (Enc)'!$D$6:$D$998,"Inactive")&gt;0,"BLOCKED","CAN SELL"))</f>
        <v>BLOCKED</v>
      </c>
      <c r="F54" s="2" t="str">
        <f>IF($A54="","",IF(COUNTIFS('Blackout Brand Fam Areas (Enc)'!$B$6:$B$998,$A54,'Blackout Brand Fam Areas (Enc)'!$C$6:$C$998,F$1,'Blackout Brand Fam Areas (Enc)'!$D$6:$D$998,"Inactive")&gt;0,"BLOCKED","CAN SELL"))</f>
        <v>BLOCKED</v>
      </c>
      <c r="G54" s="2" t="str">
        <f>IF($A54="","",IF(COUNTIFS('Blackout Brand Fam Areas (Enc)'!$B$6:$B$998,$A54,'Blackout Brand Fam Areas (Enc)'!$C$6:$C$998,G$1,'Blackout Brand Fam Areas (Enc)'!$D$6:$D$998,"Inactive")&gt;0,"BLOCKED","CAN SELL"))</f>
        <v>BLOCKED</v>
      </c>
      <c r="H54" s="2" t="str">
        <f>IF($A54="","",IF(COUNTIFS('Blackout Brand Fam Areas (Enc)'!$B$6:$B$998,$A54,'Blackout Brand Fam Areas (Enc)'!$C$6:$C$998,H$1,'Blackout Brand Fam Areas (Enc)'!$D$6:$D$998,"Inactive")&gt;0,"BLOCKED","CAN SELL"))</f>
        <v>CAN SELL</v>
      </c>
      <c r="I54" s="2" t="str">
        <f>IF($A54="","",IF(COUNTIFS('Blackout Brand Fam Areas (Enc)'!$B$6:$B$998,$A54,'Blackout Brand Fam Areas (Enc)'!$C$6:$C$998,I$1,'Blackout Brand Fam Areas (Enc)'!$D$6:$D$998,"Inactive")&gt;0,"BLOCKED","CAN SELL"))</f>
        <v>CAN SELL</v>
      </c>
      <c r="J54" s="2" t="str">
        <f>IF($A54="","",IF(COUNTIFS('Blackout Brand Fam Areas (Enc)'!$B$6:$B$998,$A54,'Blackout Brand Fam Areas (Enc)'!$C$6:$C$998,J$1,'Blackout Brand Fam Areas (Enc)'!$D$6:$D$998,"Inactive")&gt;0,"BLOCKED","CAN SELL"))</f>
        <v>BLOCKED</v>
      </c>
      <c r="K54" s="2" t="str">
        <f>IF($A54="","",IF(COUNTIFS('Blackout Brand Fam Areas (Enc)'!$B$6:$B$998,$A54,'Blackout Brand Fam Areas (Enc)'!$C$6:$C$998,K$1,'Blackout Brand Fam Areas (Enc)'!$D$6:$D$998,"Inactive")&gt;0,"BLOCKED","CAN SELL"))</f>
        <v>CAN SELL</v>
      </c>
    </row>
    <row r="55" spans="1:11" x14ac:dyDescent="0.2">
      <c r="A55" s="2" t="str">
        <v>Dillon's Cocktails</v>
      </c>
      <c r="B55" s="2" t="str">
        <f>IF($A55="","",IF(COUNTIFS('Blackout Brand Fam Areas (Enc)'!$B$6:$B$998,$A55,'Blackout Brand Fam Areas (Enc)'!$C$6:$C$998,B$1,'Blackout Brand Fam Areas (Enc)'!$D$6:$D$998,"Inactive")&gt;0,"BLOCKED","CAN SELL"))</f>
        <v>CAN SELL</v>
      </c>
      <c r="C55" s="2" t="str">
        <f>IF($A55="","",IF(COUNTIFS('Blackout Brand Fam Areas (Enc)'!$B$6:$B$998,$A55,'Blackout Brand Fam Areas (Enc)'!$C$6:$C$998,C$1,'Blackout Brand Fam Areas (Enc)'!$D$6:$D$998,"Inactive")&gt;0,"BLOCKED","CAN SELL"))</f>
        <v>CAN SELL</v>
      </c>
      <c r="D55" s="2" t="str">
        <f>IF($A55="","",IF(COUNTIFS('Blackout Brand Fam Areas (Enc)'!$B$6:$B$998,$A55,'Blackout Brand Fam Areas (Enc)'!$C$6:$C$998,D$1,'Blackout Brand Fam Areas (Enc)'!$D$6:$D$998,"Inactive")&gt;0,"BLOCKED","CAN SELL"))</f>
        <v>CAN SELL</v>
      </c>
      <c r="E55" s="2" t="str">
        <f>IF($A55="","",IF(COUNTIFS('Blackout Brand Fam Areas (Enc)'!$B$6:$B$998,$A55,'Blackout Brand Fam Areas (Enc)'!$C$6:$C$998,E$1,'Blackout Brand Fam Areas (Enc)'!$D$6:$D$998,"Inactive")&gt;0,"BLOCKED","CAN SELL"))</f>
        <v>BLOCKED</v>
      </c>
      <c r="F55" s="2" t="str">
        <f>IF($A55="","",IF(COUNTIFS('Blackout Brand Fam Areas (Enc)'!$B$6:$B$998,$A55,'Blackout Brand Fam Areas (Enc)'!$C$6:$C$998,F$1,'Blackout Brand Fam Areas (Enc)'!$D$6:$D$998,"Inactive")&gt;0,"BLOCKED","CAN SELL"))</f>
        <v>BLOCKED</v>
      </c>
      <c r="G55" s="2" t="str">
        <f>IF($A55="","",IF(COUNTIFS('Blackout Brand Fam Areas (Enc)'!$B$6:$B$998,$A55,'Blackout Brand Fam Areas (Enc)'!$C$6:$C$998,G$1,'Blackout Brand Fam Areas (Enc)'!$D$6:$D$998,"Inactive")&gt;0,"BLOCKED","CAN SELL"))</f>
        <v>BLOCKED</v>
      </c>
      <c r="H55" s="2" t="str">
        <f>IF($A55="","",IF(COUNTIFS('Blackout Brand Fam Areas (Enc)'!$B$6:$B$998,$A55,'Blackout Brand Fam Areas (Enc)'!$C$6:$C$998,H$1,'Blackout Brand Fam Areas (Enc)'!$D$6:$D$998,"Inactive")&gt;0,"BLOCKED","CAN SELL"))</f>
        <v>CAN SELL</v>
      </c>
      <c r="I55" s="2" t="str">
        <f>IF($A55="","",IF(COUNTIFS('Blackout Brand Fam Areas (Enc)'!$B$6:$B$998,$A55,'Blackout Brand Fam Areas (Enc)'!$C$6:$C$998,I$1,'Blackout Brand Fam Areas (Enc)'!$D$6:$D$998,"Inactive")&gt;0,"BLOCKED","CAN SELL"))</f>
        <v>CAN SELL</v>
      </c>
      <c r="J55" s="2" t="str">
        <f>IF($A55="","",IF(COUNTIFS('Blackout Brand Fam Areas (Enc)'!$B$6:$B$998,$A55,'Blackout Brand Fam Areas (Enc)'!$C$6:$C$998,J$1,'Blackout Brand Fam Areas (Enc)'!$D$6:$D$998,"Inactive")&gt;0,"BLOCKED","CAN SELL"))</f>
        <v>BLOCKED</v>
      </c>
      <c r="K55" s="2" t="str">
        <f>IF($A55="","",IF(COUNTIFS('Blackout Brand Fam Areas (Enc)'!$B$6:$B$998,$A55,'Blackout Brand Fam Areas (Enc)'!$C$6:$C$998,K$1,'Blackout Brand Fam Areas (Enc)'!$D$6:$D$998,"Inactive")&gt;0,"BLOCKED","CAN SELL"))</f>
        <v>CAN SELL</v>
      </c>
    </row>
    <row r="56" spans="1:11" x14ac:dyDescent="0.2">
      <c r="A56" s="2" t="str">
        <v>Dogfish Head Beer</v>
      </c>
      <c r="B56" s="2" t="str">
        <f>IF($A56="","",IF(COUNTIFS('Blackout Brand Fam Areas (Enc)'!$B$6:$B$998,$A56,'Blackout Brand Fam Areas (Enc)'!$C$6:$C$998,B$1,'Blackout Brand Fam Areas (Enc)'!$D$6:$D$998,"Inactive")&gt;0,"BLOCKED","CAN SELL"))</f>
        <v>CAN SELL</v>
      </c>
      <c r="C56" s="2" t="str">
        <f>IF($A56="","",IF(COUNTIFS('Blackout Brand Fam Areas (Enc)'!$B$6:$B$998,$A56,'Blackout Brand Fam Areas (Enc)'!$C$6:$C$998,C$1,'Blackout Brand Fam Areas (Enc)'!$D$6:$D$998,"Inactive")&gt;0,"BLOCKED","CAN SELL"))</f>
        <v>CAN SELL</v>
      </c>
      <c r="D56" s="2" t="str">
        <f>IF($A56="","",IF(COUNTIFS('Blackout Brand Fam Areas (Enc)'!$B$6:$B$998,$A56,'Blackout Brand Fam Areas (Enc)'!$C$6:$C$998,D$1,'Blackout Brand Fam Areas (Enc)'!$D$6:$D$998,"Inactive")&gt;0,"BLOCKED","CAN SELL"))</f>
        <v>CAN SELL</v>
      </c>
      <c r="E56" s="2" t="str">
        <f>IF($A56="","",IF(COUNTIFS('Blackout Brand Fam Areas (Enc)'!$B$6:$B$998,$A56,'Blackout Brand Fam Areas (Enc)'!$C$6:$C$998,E$1,'Blackout Brand Fam Areas (Enc)'!$D$6:$D$998,"Inactive")&gt;0,"BLOCKED","CAN SELL"))</f>
        <v>BLOCKED</v>
      </c>
      <c r="F56" s="2" t="str">
        <f>IF($A56="","",IF(COUNTIFS('Blackout Brand Fam Areas (Enc)'!$B$6:$B$998,$A56,'Blackout Brand Fam Areas (Enc)'!$C$6:$C$998,F$1,'Blackout Brand Fam Areas (Enc)'!$D$6:$D$998,"Inactive")&gt;0,"BLOCKED","CAN SELL"))</f>
        <v>BLOCKED</v>
      </c>
      <c r="G56" s="2" t="str">
        <f>IF($A56="","",IF(COUNTIFS('Blackout Brand Fam Areas (Enc)'!$B$6:$B$998,$A56,'Blackout Brand Fam Areas (Enc)'!$C$6:$C$998,G$1,'Blackout Brand Fam Areas (Enc)'!$D$6:$D$998,"Inactive")&gt;0,"BLOCKED","CAN SELL"))</f>
        <v>BLOCKED</v>
      </c>
      <c r="H56" s="2" t="str">
        <f>IF($A56="","",IF(COUNTIFS('Blackout Brand Fam Areas (Enc)'!$B$6:$B$998,$A56,'Blackout Brand Fam Areas (Enc)'!$C$6:$C$998,H$1,'Blackout Brand Fam Areas (Enc)'!$D$6:$D$998,"Inactive")&gt;0,"BLOCKED","CAN SELL"))</f>
        <v>CAN SELL</v>
      </c>
      <c r="I56" s="2" t="str">
        <f>IF($A56="","",IF(COUNTIFS('Blackout Brand Fam Areas (Enc)'!$B$6:$B$998,$A56,'Blackout Brand Fam Areas (Enc)'!$C$6:$C$998,I$1,'Blackout Brand Fam Areas (Enc)'!$D$6:$D$998,"Inactive")&gt;0,"BLOCKED","CAN SELL"))</f>
        <v>CAN SELL</v>
      </c>
      <c r="J56" s="2" t="str">
        <f>IF($A56="","",IF(COUNTIFS('Blackout Brand Fam Areas (Enc)'!$B$6:$B$998,$A56,'Blackout Brand Fam Areas (Enc)'!$C$6:$C$998,J$1,'Blackout Brand Fam Areas (Enc)'!$D$6:$D$998,"Inactive")&gt;0,"BLOCKED","CAN SELL"))</f>
        <v>BLOCKED</v>
      </c>
      <c r="K56" s="2" t="str">
        <f>IF($A56="","",IF(COUNTIFS('Blackout Brand Fam Areas (Enc)'!$B$6:$B$998,$A56,'Blackout Brand Fam Areas (Enc)'!$C$6:$C$998,K$1,'Blackout Brand Fam Areas (Enc)'!$D$6:$D$998,"Inactive")&gt;0,"BLOCKED","CAN SELL"))</f>
        <v>CAN SELL</v>
      </c>
    </row>
    <row r="57" spans="1:11" x14ac:dyDescent="0.2">
      <c r="A57" s="2" t="str">
        <v>Dogfish Head Spirits</v>
      </c>
      <c r="B57" s="2" t="str">
        <f>IF($A57="","",IF(COUNTIFS('Blackout Brand Fam Areas (Enc)'!$B$6:$B$998,$A57,'Blackout Brand Fam Areas (Enc)'!$C$6:$C$998,B$1,'Blackout Brand Fam Areas (Enc)'!$D$6:$D$998,"Inactive")&gt;0,"BLOCKED","CAN SELL"))</f>
        <v>CAN SELL</v>
      </c>
      <c r="C57" s="2" t="str">
        <f>IF($A57="","",IF(COUNTIFS('Blackout Brand Fam Areas (Enc)'!$B$6:$B$998,$A57,'Blackout Brand Fam Areas (Enc)'!$C$6:$C$998,C$1,'Blackout Brand Fam Areas (Enc)'!$D$6:$D$998,"Inactive")&gt;0,"BLOCKED","CAN SELL"))</f>
        <v>CAN SELL</v>
      </c>
      <c r="D57" s="2" t="str">
        <f>IF($A57="","",IF(COUNTIFS('Blackout Brand Fam Areas (Enc)'!$B$6:$B$998,$A57,'Blackout Brand Fam Areas (Enc)'!$C$6:$C$998,D$1,'Blackout Brand Fam Areas (Enc)'!$D$6:$D$998,"Inactive")&gt;0,"BLOCKED","CAN SELL"))</f>
        <v>CAN SELL</v>
      </c>
      <c r="E57" s="2" t="str">
        <f>IF($A57="","",IF(COUNTIFS('Blackout Brand Fam Areas (Enc)'!$B$6:$B$998,$A57,'Blackout Brand Fam Areas (Enc)'!$C$6:$C$998,E$1,'Blackout Brand Fam Areas (Enc)'!$D$6:$D$998,"Inactive")&gt;0,"BLOCKED","CAN SELL"))</f>
        <v>BLOCKED</v>
      </c>
      <c r="F57" s="2" t="str">
        <f>IF($A57="","",IF(COUNTIFS('Blackout Brand Fam Areas (Enc)'!$B$6:$B$998,$A57,'Blackout Brand Fam Areas (Enc)'!$C$6:$C$998,F$1,'Blackout Brand Fam Areas (Enc)'!$D$6:$D$998,"Inactive")&gt;0,"BLOCKED","CAN SELL"))</f>
        <v>BLOCKED</v>
      </c>
      <c r="G57" s="2" t="str">
        <f>IF($A57="","",IF(COUNTIFS('Blackout Brand Fam Areas (Enc)'!$B$6:$B$998,$A57,'Blackout Brand Fam Areas (Enc)'!$C$6:$C$998,G$1,'Blackout Brand Fam Areas (Enc)'!$D$6:$D$998,"Inactive")&gt;0,"BLOCKED","CAN SELL"))</f>
        <v>BLOCKED</v>
      </c>
      <c r="H57" s="2" t="str">
        <f>IF($A57="","",IF(COUNTIFS('Blackout Brand Fam Areas (Enc)'!$B$6:$B$998,$A57,'Blackout Brand Fam Areas (Enc)'!$C$6:$C$998,H$1,'Blackout Brand Fam Areas (Enc)'!$D$6:$D$998,"Inactive")&gt;0,"BLOCKED","CAN SELL"))</f>
        <v>CAN SELL</v>
      </c>
      <c r="I57" s="2" t="str">
        <f>IF($A57="","",IF(COUNTIFS('Blackout Brand Fam Areas (Enc)'!$B$6:$B$998,$A57,'Blackout Brand Fam Areas (Enc)'!$C$6:$C$998,I$1,'Blackout Brand Fam Areas (Enc)'!$D$6:$D$998,"Inactive")&gt;0,"BLOCKED","CAN SELL"))</f>
        <v>CAN SELL</v>
      </c>
      <c r="J57" s="2" t="str">
        <f>IF($A57="","",IF(COUNTIFS('Blackout Brand Fam Areas (Enc)'!$B$6:$B$998,$A57,'Blackout Brand Fam Areas (Enc)'!$C$6:$C$998,J$1,'Blackout Brand Fam Areas (Enc)'!$D$6:$D$998,"Inactive")&gt;0,"BLOCKED","CAN SELL"))</f>
        <v>BLOCKED</v>
      </c>
      <c r="K57" s="2" t="str">
        <f>IF($A57="","",IF(COUNTIFS('Blackout Brand Fam Areas (Enc)'!$B$6:$B$998,$A57,'Blackout Brand Fam Areas (Enc)'!$C$6:$C$998,K$1,'Blackout Brand Fam Areas (Enc)'!$D$6:$D$998,"Inactive")&gt;0,"BLOCKED","CAN SELL"))</f>
        <v>CAN SELL</v>
      </c>
    </row>
    <row r="58" spans="1:11" x14ac:dyDescent="0.2">
      <c r="A58" s="2" t="str">
        <v>Dos Equis</v>
      </c>
      <c r="B58" s="2" t="str">
        <f>IF($A58="","",IF(COUNTIFS('Blackout Brand Fam Areas (Enc)'!$B$6:$B$998,$A58,'Blackout Brand Fam Areas (Enc)'!$C$6:$C$998,B$1,'Blackout Brand Fam Areas (Enc)'!$D$6:$D$998,"Inactive")&gt;0,"BLOCKED","CAN SELL"))</f>
        <v>CAN SELL</v>
      </c>
      <c r="C58" s="2" t="str">
        <f>IF($A58="","",IF(COUNTIFS('Blackout Brand Fam Areas (Enc)'!$B$6:$B$998,$A58,'Blackout Brand Fam Areas (Enc)'!$C$6:$C$998,C$1,'Blackout Brand Fam Areas (Enc)'!$D$6:$D$998,"Inactive")&gt;0,"BLOCKED","CAN SELL"))</f>
        <v>CAN SELL</v>
      </c>
      <c r="D58" s="2" t="str">
        <f>IF($A58="","",IF(COUNTIFS('Blackout Brand Fam Areas (Enc)'!$B$6:$B$998,$A58,'Blackout Brand Fam Areas (Enc)'!$C$6:$C$998,D$1,'Blackout Brand Fam Areas (Enc)'!$D$6:$D$998,"Inactive")&gt;0,"BLOCKED","CAN SELL"))</f>
        <v>CAN SELL</v>
      </c>
      <c r="E58" s="2" t="str">
        <f>IF($A58="","",IF(COUNTIFS('Blackout Brand Fam Areas (Enc)'!$B$6:$B$998,$A58,'Blackout Brand Fam Areas (Enc)'!$C$6:$C$998,E$1,'Blackout Brand Fam Areas (Enc)'!$D$6:$D$998,"Inactive")&gt;0,"BLOCKED","CAN SELL"))</f>
        <v>BLOCKED</v>
      </c>
      <c r="F58" s="2" t="str">
        <f>IF($A58="","",IF(COUNTIFS('Blackout Brand Fam Areas (Enc)'!$B$6:$B$998,$A58,'Blackout Brand Fam Areas (Enc)'!$C$6:$C$998,F$1,'Blackout Brand Fam Areas (Enc)'!$D$6:$D$998,"Inactive")&gt;0,"BLOCKED","CAN SELL"))</f>
        <v>BLOCKED</v>
      </c>
      <c r="G58" s="2" t="str">
        <f>IF($A58="","",IF(COUNTIFS('Blackout Brand Fam Areas (Enc)'!$B$6:$B$998,$A58,'Blackout Brand Fam Areas (Enc)'!$C$6:$C$998,G$1,'Blackout Brand Fam Areas (Enc)'!$D$6:$D$998,"Inactive")&gt;0,"BLOCKED","CAN SELL"))</f>
        <v>BLOCKED</v>
      </c>
      <c r="H58" s="2" t="str">
        <f>IF($A58="","",IF(COUNTIFS('Blackout Brand Fam Areas (Enc)'!$B$6:$B$998,$A58,'Blackout Brand Fam Areas (Enc)'!$C$6:$C$998,H$1,'Blackout Brand Fam Areas (Enc)'!$D$6:$D$998,"Inactive")&gt;0,"BLOCKED","CAN SELL"))</f>
        <v>BLOCKED</v>
      </c>
      <c r="I58" s="2" t="str">
        <f>IF($A58="","",IF(COUNTIFS('Blackout Brand Fam Areas (Enc)'!$B$6:$B$998,$A58,'Blackout Brand Fam Areas (Enc)'!$C$6:$C$998,I$1,'Blackout Brand Fam Areas (Enc)'!$D$6:$D$998,"Inactive")&gt;0,"BLOCKED","CAN SELL"))</f>
        <v>BLOCKED</v>
      </c>
      <c r="J58" s="2" t="str">
        <f>IF($A58="","",IF(COUNTIFS('Blackout Brand Fam Areas (Enc)'!$B$6:$B$998,$A58,'Blackout Brand Fam Areas (Enc)'!$C$6:$C$998,J$1,'Blackout Brand Fam Areas (Enc)'!$D$6:$D$998,"Inactive")&gt;0,"BLOCKED","CAN SELL"))</f>
        <v>BLOCKED</v>
      </c>
      <c r="K58" s="2" t="str">
        <f>IF($A58="","",IF(COUNTIFS('Blackout Brand Fam Areas (Enc)'!$B$6:$B$998,$A58,'Blackout Brand Fam Areas (Enc)'!$C$6:$C$998,K$1,'Blackout Brand Fam Areas (Enc)'!$D$6:$D$998,"Inactive")&gt;0,"BLOCKED","CAN SELL"))</f>
        <v>BLOCKED</v>
      </c>
    </row>
    <row r="59" spans="1:11" x14ac:dyDescent="0.2">
      <c r="A59" s="2" t="str">
        <v>Earthquake</v>
      </c>
      <c r="B59" s="2" t="str">
        <f>IF($A59="","",IF(COUNTIFS('Blackout Brand Fam Areas (Enc)'!$B$6:$B$998,$A59,'Blackout Brand Fam Areas (Enc)'!$C$6:$C$998,B$1,'Blackout Brand Fam Areas (Enc)'!$D$6:$D$998,"Inactive")&gt;0,"BLOCKED","CAN SELL"))</f>
        <v>CAN SELL</v>
      </c>
      <c r="C59" s="2" t="str">
        <f>IF($A59="","",IF(COUNTIFS('Blackout Brand Fam Areas (Enc)'!$B$6:$B$998,$A59,'Blackout Brand Fam Areas (Enc)'!$C$6:$C$998,C$1,'Blackout Brand Fam Areas (Enc)'!$D$6:$D$998,"Inactive")&gt;0,"BLOCKED","CAN SELL"))</f>
        <v>CAN SELL</v>
      </c>
      <c r="D59" s="2" t="str">
        <f>IF($A59="","",IF(COUNTIFS('Blackout Brand Fam Areas (Enc)'!$B$6:$B$998,$A59,'Blackout Brand Fam Areas (Enc)'!$C$6:$C$998,D$1,'Blackout Brand Fam Areas (Enc)'!$D$6:$D$998,"Inactive")&gt;0,"BLOCKED","CAN SELL"))</f>
        <v>CAN SELL</v>
      </c>
      <c r="E59" s="2" t="str">
        <f>IF($A59="","",IF(COUNTIFS('Blackout Brand Fam Areas (Enc)'!$B$6:$B$998,$A59,'Blackout Brand Fam Areas (Enc)'!$C$6:$C$998,E$1,'Blackout Brand Fam Areas (Enc)'!$D$6:$D$998,"Inactive")&gt;0,"BLOCKED","CAN SELL"))</f>
        <v>BLOCKED</v>
      </c>
      <c r="F59" s="2" t="str">
        <f>IF($A59="","",IF(COUNTIFS('Blackout Brand Fam Areas (Enc)'!$B$6:$B$998,$A59,'Blackout Brand Fam Areas (Enc)'!$C$6:$C$998,F$1,'Blackout Brand Fam Areas (Enc)'!$D$6:$D$998,"Inactive")&gt;0,"BLOCKED","CAN SELL"))</f>
        <v>CAN SELL</v>
      </c>
      <c r="G59" s="2" t="str">
        <f>IF($A59="","",IF(COUNTIFS('Blackout Brand Fam Areas (Enc)'!$B$6:$B$998,$A59,'Blackout Brand Fam Areas (Enc)'!$C$6:$C$998,G$1,'Blackout Brand Fam Areas (Enc)'!$D$6:$D$998,"Inactive")&gt;0,"BLOCKED","CAN SELL"))</f>
        <v>BLOCKED</v>
      </c>
      <c r="H59" s="2" t="str">
        <f>IF($A59="","",IF(COUNTIFS('Blackout Brand Fam Areas (Enc)'!$B$6:$B$998,$A59,'Blackout Brand Fam Areas (Enc)'!$C$6:$C$998,H$1,'Blackout Brand Fam Areas (Enc)'!$D$6:$D$998,"Inactive")&gt;0,"BLOCKED","CAN SELL"))</f>
        <v>CAN SELL</v>
      </c>
      <c r="I59" s="2" t="str">
        <f>IF($A59="","",IF(COUNTIFS('Blackout Brand Fam Areas (Enc)'!$B$6:$B$998,$A59,'Blackout Brand Fam Areas (Enc)'!$C$6:$C$998,I$1,'Blackout Brand Fam Areas (Enc)'!$D$6:$D$998,"Inactive")&gt;0,"BLOCKED","CAN SELL"))</f>
        <v>CAN SELL</v>
      </c>
      <c r="J59" s="2" t="str">
        <f>IF($A59="","",IF(COUNTIFS('Blackout Brand Fam Areas (Enc)'!$B$6:$B$998,$A59,'Blackout Brand Fam Areas (Enc)'!$C$6:$C$998,J$1,'Blackout Brand Fam Areas (Enc)'!$D$6:$D$998,"Inactive")&gt;0,"BLOCKED","CAN SELL"))</f>
        <v>BLOCKED</v>
      </c>
      <c r="K59" s="2" t="str">
        <f>IF($A59="","",IF(COUNTIFS('Blackout Brand Fam Areas (Enc)'!$B$6:$B$998,$A59,'Blackout Brand Fam Areas (Enc)'!$C$6:$C$998,K$1,'Blackout Brand Fam Areas (Enc)'!$D$6:$D$998,"Inactive")&gt;0,"BLOCKED","CAN SELL"))</f>
        <v>CAN SELL</v>
      </c>
    </row>
    <row r="60" spans="1:11" x14ac:dyDescent="0.2">
      <c r="A60" s="2" t="str">
        <v>Estrella</v>
      </c>
      <c r="B60" s="2" t="str">
        <f>IF($A60="","",IF(COUNTIFS('Blackout Brand Fam Areas (Enc)'!$B$6:$B$998,$A60,'Blackout Brand Fam Areas (Enc)'!$C$6:$C$998,B$1,'Blackout Brand Fam Areas (Enc)'!$D$6:$D$998,"Inactive")&gt;0,"BLOCKED","CAN SELL"))</f>
        <v>CAN SELL</v>
      </c>
      <c r="C60" s="2" t="str">
        <f>IF($A60="","",IF(COUNTIFS('Blackout Brand Fam Areas (Enc)'!$B$6:$B$998,$A60,'Blackout Brand Fam Areas (Enc)'!$C$6:$C$998,C$1,'Blackout Brand Fam Areas (Enc)'!$D$6:$D$998,"Inactive")&gt;0,"BLOCKED","CAN SELL"))</f>
        <v>CAN SELL</v>
      </c>
      <c r="D60" s="2" t="str">
        <f>IF($A60="","",IF(COUNTIFS('Blackout Brand Fam Areas (Enc)'!$B$6:$B$998,$A60,'Blackout Brand Fam Areas (Enc)'!$C$6:$C$998,D$1,'Blackout Brand Fam Areas (Enc)'!$D$6:$D$998,"Inactive")&gt;0,"BLOCKED","CAN SELL"))</f>
        <v>CAN SELL</v>
      </c>
      <c r="E60" s="2" t="str">
        <f>IF($A60="","",IF(COUNTIFS('Blackout Brand Fam Areas (Enc)'!$B$6:$B$998,$A60,'Blackout Brand Fam Areas (Enc)'!$C$6:$C$998,E$1,'Blackout Brand Fam Areas (Enc)'!$D$6:$D$998,"Inactive")&gt;0,"BLOCKED","CAN SELL"))</f>
        <v>CAN SELL</v>
      </c>
      <c r="F60" s="2" t="str">
        <f>IF($A60="","",IF(COUNTIFS('Blackout Brand Fam Areas (Enc)'!$B$6:$B$998,$A60,'Blackout Brand Fam Areas (Enc)'!$C$6:$C$998,F$1,'Blackout Brand Fam Areas (Enc)'!$D$6:$D$998,"Inactive")&gt;0,"BLOCKED","CAN SELL"))</f>
        <v>CAN SELL</v>
      </c>
      <c r="G60" s="2" t="str">
        <f>IF($A60="","",IF(COUNTIFS('Blackout Brand Fam Areas (Enc)'!$B$6:$B$998,$A60,'Blackout Brand Fam Areas (Enc)'!$C$6:$C$998,G$1,'Blackout Brand Fam Areas (Enc)'!$D$6:$D$998,"Inactive")&gt;0,"BLOCKED","CAN SELL"))</f>
        <v>CAN SELL</v>
      </c>
      <c r="H60" s="2" t="str">
        <f>IF($A60="","",IF(COUNTIFS('Blackout Brand Fam Areas (Enc)'!$B$6:$B$998,$A60,'Blackout Brand Fam Areas (Enc)'!$C$6:$C$998,H$1,'Blackout Brand Fam Areas (Enc)'!$D$6:$D$998,"Inactive")&gt;0,"BLOCKED","CAN SELL"))</f>
        <v>BLOCKED</v>
      </c>
      <c r="I60" s="2" t="str">
        <f>IF($A60="","",IF(COUNTIFS('Blackout Brand Fam Areas (Enc)'!$B$6:$B$998,$A60,'Blackout Brand Fam Areas (Enc)'!$C$6:$C$998,I$1,'Blackout Brand Fam Areas (Enc)'!$D$6:$D$998,"Inactive")&gt;0,"BLOCKED","CAN SELL"))</f>
        <v>BLOCKED</v>
      </c>
      <c r="J60" s="2" t="str">
        <f>IF($A60="","",IF(COUNTIFS('Blackout Brand Fam Areas (Enc)'!$B$6:$B$998,$A60,'Blackout Brand Fam Areas (Enc)'!$C$6:$C$998,J$1,'Blackout Brand Fam Areas (Enc)'!$D$6:$D$998,"Inactive")&gt;0,"BLOCKED","CAN SELL"))</f>
        <v>BLOCKED</v>
      </c>
      <c r="K60" s="2" t="str">
        <f>IF($A60="","",IF(COUNTIFS('Blackout Brand Fam Areas (Enc)'!$B$6:$B$998,$A60,'Blackout Brand Fam Areas (Enc)'!$C$6:$C$998,K$1,'Blackout Brand Fam Areas (Enc)'!$D$6:$D$998,"Inactive")&gt;0,"BLOCKED","CAN SELL"))</f>
        <v>BLOCKED</v>
      </c>
    </row>
    <row r="61" spans="1:11" x14ac:dyDescent="0.2">
      <c r="A61" s="2" t="str">
        <v>Evil Genius</v>
      </c>
      <c r="B61" s="2" t="str">
        <f>IF($A61="","",IF(COUNTIFS('Blackout Brand Fam Areas (Enc)'!$B$6:$B$998,$A61,'Blackout Brand Fam Areas (Enc)'!$C$6:$C$998,B$1,'Blackout Brand Fam Areas (Enc)'!$D$6:$D$998,"Inactive")&gt;0,"BLOCKED","CAN SELL"))</f>
        <v>CAN SELL</v>
      </c>
      <c r="C61" s="2" t="str">
        <f>IF($A61="","",IF(COUNTIFS('Blackout Brand Fam Areas (Enc)'!$B$6:$B$998,$A61,'Blackout Brand Fam Areas (Enc)'!$C$6:$C$998,C$1,'Blackout Brand Fam Areas (Enc)'!$D$6:$D$998,"Inactive")&gt;0,"BLOCKED","CAN SELL"))</f>
        <v>CAN SELL</v>
      </c>
      <c r="D61" s="2" t="str">
        <f>IF($A61="","",IF(COUNTIFS('Blackout Brand Fam Areas (Enc)'!$B$6:$B$998,$A61,'Blackout Brand Fam Areas (Enc)'!$C$6:$C$998,D$1,'Blackout Brand Fam Areas (Enc)'!$D$6:$D$998,"Inactive")&gt;0,"BLOCKED","CAN SELL"))</f>
        <v>CAN SELL</v>
      </c>
      <c r="E61" s="2" t="str">
        <f>IF($A61="","",IF(COUNTIFS('Blackout Brand Fam Areas (Enc)'!$B$6:$B$998,$A61,'Blackout Brand Fam Areas (Enc)'!$C$6:$C$998,E$1,'Blackout Brand Fam Areas (Enc)'!$D$6:$D$998,"Inactive")&gt;0,"BLOCKED","CAN SELL"))</f>
        <v>CAN SELL</v>
      </c>
      <c r="F61" s="2" t="str">
        <f>IF($A61="","",IF(COUNTIFS('Blackout Brand Fam Areas (Enc)'!$B$6:$B$998,$A61,'Blackout Brand Fam Areas (Enc)'!$C$6:$C$998,F$1,'Blackout Brand Fam Areas (Enc)'!$D$6:$D$998,"Inactive")&gt;0,"BLOCKED","CAN SELL"))</f>
        <v>CAN SELL</v>
      </c>
      <c r="G61" s="2" t="str">
        <f>IF($A61="","",IF(COUNTIFS('Blackout Brand Fam Areas (Enc)'!$B$6:$B$998,$A61,'Blackout Brand Fam Areas (Enc)'!$C$6:$C$998,G$1,'Blackout Brand Fam Areas (Enc)'!$D$6:$D$998,"Inactive")&gt;0,"BLOCKED","CAN SELL"))</f>
        <v>CAN SELL</v>
      </c>
      <c r="H61" s="2" t="str">
        <f>IF($A61="","",IF(COUNTIFS('Blackout Brand Fam Areas (Enc)'!$B$6:$B$998,$A61,'Blackout Brand Fam Areas (Enc)'!$C$6:$C$998,H$1,'Blackout Brand Fam Areas (Enc)'!$D$6:$D$998,"Inactive")&gt;0,"BLOCKED","CAN SELL"))</f>
        <v>CAN SELL</v>
      </c>
      <c r="I61" s="2" t="str">
        <f>IF($A61="","",IF(COUNTIFS('Blackout Brand Fam Areas (Enc)'!$B$6:$B$998,$A61,'Blackout Brand Fam Areas (Enc)'!$C$6:$C$998,I$1,'Blackout Brand Fam Areas (Enc)'!$D$6:$D$998,"Inactive")&gt;0,"BLOCKED","CAN SELL"))</f>
        <v>CAN SELL</v>
      </c>
      <c r="J61" s="2" t="str">
        <f>IF($A61="","",IF(COUNTIFS('Blackout Brand Fam Areas (Enc)'!$B$6:$B$998,$A61,'Blackout Brand Fam Areas (Enc)'!$C$6:$C$998,J$1,'Blackout Brand Fam Areas (Enc)'!$D$6:$D$998,"Inactive")&gt;0,"BLOCKED","CAN SELL"))</f>
        <v>CAN SELL</v>
      </c>
      <c r="K61" s="2" t="str">
        <f>IF($A61="","",IF(COUNTIFS('Blackout Brand Fam Areas (Enc)'!$B$6:$B$998,$A61,'Blackout Brand Fam Areas (Enc)'!$C$6:$C$998,K$1,'Blackout Brand Fam Areas (Enc)'!$D$6:$D$998,"Inactive")&gt;0,"BLOCKED","CAN SELL"))</f>
        <v>CAN SELL</v>
      </c>
    </row>
    <row r="62" spans="1:11" x14ac:dyDescent="0.2">
      <c r="A62" s="2" t="str">
        <v>Famosa</v>
      </c>
      <c r="B62" s="2" t="str">
        <f>IF($A62="","",IF(COUNTIFS('Blackout Brand Fam Areas (Enc)'!$B$6:$B$998,$A62,'Blackout Brand Fam Areas (Enc)'!$C$6:$C$998,B$1,'Blackout Brand Fam Areas (Enc)'!$D$6:$D$998,"Inactive")&gt;0,"BLOCKED","CAN SELL"))</f>
        <v>CAN SELL</v>
      </c>
      <c r="C62" s="2" t="str">
        <f>IF($A62="","",IF(COUNTIFS('Blackout Brand Fam Areas (Enc)'!$B$6:$B$998,$A62,'Blackout Brand Fam Areas (Enc)'!$C$6:$C$998,C$1,'Blackout Brand Fam Areas (Enc)'!$D$6:$D$998,"Inactive")&gt;0,"BLOCKED","CAN SELL"))</f>
        <v>CAN SELL</v>
      </c>
      <c r="D62" s="2" t="str">
        <f>IF($A62="","",IF(COUNTIFS('Blackout Brand Fam Areas (Enc)'!$B$6:$B$998,$A62,'Blackout Brand Fam Areas (Enc)'!$C$6:$C$998,D$1,'Blackout Brand Fam Areas (Enc)'!$D$6:$D$998,"Inactive")&gt;0,"BLOCKED","CAN SELL"))</f>
        <v>CAN SELL</v>
      </c>
      <c r="E62" s="2" t="str">
        <f>IF($A62="","",IF(COUNTIFS('Blackout Brand Fam Areas (Enc)'!$B$6:$B$998,$A62,'Blackout Brand Fam Areas (Enc)'!$C$6:$C$998,E$1,'Blackout Brand Fam Areas (Enc)'!$D$6:$D$998,"Inactive")&gt;0,"BLOCKED","CAN SELL"))</f>
        <v>CAN SELL</v>
      </c>
      <c r="F62" s="2" t="str">
        <f>IF($A62="","",IF(COUNTIFS('Blackout Brand Fam Areas (Enc)'!$B$6:$B$998,$A62,'Blackout Brand Fam Areas (Enc)'!$C$6:$C$998,F$1,'Blackout Brand Fam Areas (Enc)'!$D$6:$D$998,"Inactive")&gt;0,"BLOCKED","CAN SELL"))</f>
        <v>CAN SELL</v>
      </c>
      <c r="G62" s="2" t="str">
        <f>IF($A62="","",IF(COUNTIFS('Blackout Brand Fam Areas (Enc)'!$B$6:$B$998,$A62,'Blackout Brand Fam Areas (Enc)'!$C$6:$C$998,G$1,'Blackout Brand Fam Areas (Enc)'!$D$6:$D$998,"Inactive")&gt;0,"BLOCKED","CAN SELL"))</f>
        <v>CAN SELL</v>
      </c>
      <c r="H62" s="2" t="str">
        <f>IF($A62="","",IF(COUNTIFS('Blackout Brand Fam Areas (Enc)'!$B$6:$B$998,$A62,'Blackout Brand Fam Areas (Enc)'!$C$6:$C$998,H$1,'Blackout Brand Fam Areas (Enc)'!$D$6:$D$998,"Inactive")&gt;0,"BLOCKED","CAN SELL"))</f>
        <v>BLOCKED</v>
      </c>
      <c r="I62" s="2" t="str">
        <f>IF($A62="","",IF(COUNTIFS('Blackout Brand Fam Areas (Enc)'!$B$6:$B$998,$A62,'Blackout Brand Fam Areas (Enc)'!$C$6:$C$998,I$1,'Blackout Brand Fam Areas (Enc)'!$D$6:$D$998,"Inactive")&gt;0,"BLOCKED","CAN SELL"))</f>
        <v>BLOCKED</v>
      </c>
      <c r="J62" s="2" t="str">
        <f>IF($A62="","",IF(COUNTIFS('Blackout Brand Fam Areas (Enc)'!$B$6:$B$998,$A62,'Blackout Brand Fam Areas (Enc)'!$C$6:$C$998,J$1,'Blackout Brand Fam Areas (Enc)'!$D$6:$D$998,"Inactive")&gt;0,"BLOCKED","CAN SELL"))</f>
        <v>BLOCKED</v>
      </c>
      <c r="K62" s="2" t="str">
        <f>IF($A62="","",IF(COUNTIFS('Blackout Brand Fam Areas (Enc)'!$B$6:$B$998,$A62,'Blackout Brand Fam Areas (Enc)'!$C$6:$C$998,K$1,'Blackout Brand Fam Areas (Enc)'!$D$6:$D$998,"Inactive")&gt;0,"BLOCKED","CAN SELL"))</f>
        <v>BLOCKED</v>
      </c>
    </row>
    <row r="63" spans="1:11" x14ac:dyDescent="0.2">
      <c r="A63" s="2" t="str">
        <v>Fat Tire Family</v>
      </c>
      <c r="B63" s="2" t="str">
        <f>IF($A63="","",IF(COUNTIFS('Blackout Brand Fam Areas (Enc)'!$B$6:$B$998,$A63,'Blackout Brand Fam Areas (Enc)'!$C$6:$C$998,B$1,'Blackout Brand Fam Areas (Enc)'!$D$6:$D$998,"Inactive")&gt;0,"BLOCKED","CAN SELL"))</f>
        <v>CAN SELL</v>
      </c>
      <c r="C63" s="2" t="str">
        <f>IF($A63="","",IF(COUNTIFS('Blackout Brand Fam Areas (Enc)'!$B$6:$B$998,$A63,'Blackout Brand Fam Areas (Enc)'!$C$6:$C$998,C$1,'Blackout Brand Fam Areas (Enc)'!$D$6:$D$998,"Inactive")&gt;0,"BLOCKED","CAN SELL"))</f>
        <v>CAN SELL</v>
      </c>
      <c r="D63" s="2" t="str">
        <f>IF($A63="","",IF(COUNTIFS('Blackout Brand Fam Areas (Enc)'!$B$6:$B$998,$A63,'Blackout Brand Fam Areas (Enc)'!$C$6:$C$998,D$1,'Blackout Brand Fam Areas (Enc)'!$D$6:$D$998,"Inactive")&gt;0,"BLOCKED","CAN SELL"))</f>
        <v>CAN SELL</v>
      </c>
      <c r="E63" s="2" t="str">
        <f>IF($A63="","",IF(COUNTIFS('Blackout Brand Fam Areas (Enc)'!$B$6:$B$998,$A63,'Blackout Brand Fam Areas (Enc)'!$C$6:$C$998,E$1,'Blackout Brand Fam Areas (Enc)'!$D$6:$D$998,"Inactive")&gt;0,"BLOCKED","CAN SELL"))</f>
        <v>BLOCKED</v>
      </c>
      <c r="F63" s="2" t="str">
        <f>IF($A63="","",IF(COUNTIFS('Blackout Brand Fam Areas (Enc)'!$B$6:$B$998,$A63,'Blackout Brand Fam Areas (Enc)'!$C$6:$C$998,F$1,'Blackout Brand Fam Areas (Enc)'!$D$6:$D$998,"Inactive")&gt;0,"BLOCKED","CAN SELL"))</f>
        <v>BLOCKED</v>
      </c>
      <c r="G63" s="2" t="str">
        <f>IF($A63="","",IF(COUNTIFS('Blackout Brand Fam Areas (Enc)'!$B$6:$B$998,$A63,'Blackout Brand Fam Areas (Enc)'!$C$6:$C$998,G$1,'Blackout Brand Fam Areas (Enc)'!$D$6:$D$998,"Inactive")&gt;0,"BLOCKED","CAN SELL"))</f>
        <v>BLOCKED</v>
      </c>
      <c r="H63" s="2" t="str">
        <f>IF($A63="","",IF(COUNTIFS('Blackout Brand Fam Areas (Enc)'!$B$6:$B$998,$A63,'Blackout Brand Fam Areas (Enc)'!$C$6:$C$998,H$1,'Blackout Brand Fam Areas (Enc)'!$D$6:$D$998,"Inactive")&gt;0,"BLOCKED","CAN SELL"))</f>
        <v>CAN SELL</v>
      </c>
      <c r="I63" s="2" t="str">
        <f>IF($A63="","",IF(COUNTIFS('Blackout Brand Fam Areas (Enc)'!$B$6:$B$998,$A63,'Blackout Brand Fam Areas (Enc)'!$C$6:$C$998,I$1,'Blackout Brand Fam Areas (Enc)'!$D$6:$D$998,"Inactive")&gt;0,"BLOCKED","CAN SELL"))</f>
        <v>CAN SELL</v>
      </c>
      <c r="J63" s="2" t="str">
        <f>IF($A63="","",IF(COUNTIFS('Blackout Brand Fam Areas (Enc)'!$B$6:$B$998,$A63,'Blackout Brand Fam Areas (Enc)'!$C$6:$C$998,J$1,'Blackout Brand Fam Areas (Enc)'!$D$6:$D$998,"Inactive")&gt;0,"BLOCKED","CAN SELL"))</f>
        <v>BLOCKED</v>
      </c>
      <c r="K63" s="2" t="str">
        <f>IF($A63="","",IF(COUNTIFS('Blackout Brand Fam Areas (Enc)'!$B$6:$B$998,$A63,'Blackout Brand Fam Areas (Enc)'!$C$6:$C$998,K$1,'Blackout Brand Fam Areas (Enc)'!$D$6:$D$998,"Inactive")&gt;0,"BLOCKED","CAN SELL"))</f>
        <v>CAN SELL</v>
      </c>
    </row>
    <row r="64" spans="1:11" x14ac:dyDescent="0.2">
      <c r="A64" s="2" t="str">
        <v>Fever Tree</v>
      </c>
      <c r="B64" s="2" t="str">
        <f>IF($A64="","",IF(COUNTIFS('Blackout Brand Fam Areas (Enc)'!$B$6:$B$998,$A64,'Blackout Brand Fam Areas (Enc)'!$C$6:$C$998,B$1,'Blackout Brand Fam Areas (Enc)'!$D$6:$D$998,"Inactive")&gt;0,"BLOCKED","CAN SELL"))</f>
        <v>CAN SELL</v>
      </c>
      <c r="C64" s="2" t="str">
        <f>IF($A64="","",IF(COUNTIFS('Blackout Brand Fam Areas (Enc)'!$B$6:$B$998,$A64,'Blackout Brand Fam Areas (Enc)'!$C$6:$C$998,C$1,'Blackout Brand Fam Areas (Enc)'!$D$6:$D$998,"Inactive")&gt;0,"BLOCKED","CAN SELL"))</f>
        <v>CAN SELL</v>
      </c>
      <c r="D64" s="2" t="str">
        <f>IF($A64="","",IF(COUNTIFS('Blackout Brand Fam Areas (Enc)'!$B$6:$B$998,$A64,'Blackout Brand Fam Areas (Enc)'!$C$6:$C$998,D$1,'Blackout Brand Fam Areas (Enc)'!$D$6:$D$998,"Inactive")&gt;0,"BLOCKED","CAN SELL"))</f>
        <v>CAN SELL</v>
      </c>
      <c r="E64" s="2" t="str">
        <f>IF($A64="","",IF(COUNTIFS('Blackout Brand Fam Areas (Enc)'!$B$6:$B$998,$A64,'Blackout Brand Fam Areas (Enc)'!$C$6:$C$998,E$1,'Blackout Brand Fam Areas (Enc)'!$D$6:$D$998,"Inactive")&gt;0,"BLOCKED","CAN SELL"))</f>
        <v>BLOCKED</v>
      </c>
      <c r="F64" s="2" t="str">
        <f>IF($A64="","",IF(COUNTIFS('Blackout Brand Fam Areas (Enc)'!$B$6:$B$998,$A64,'Blackout Brand Fam Areas (Enc)'!$C$6:$C$998,F$1,'Blackout Brand Fam Areas (Enc)'!$D$6:$D$998,"Inactive")&gt;0,"BLOCKED","CAN SELL"))</f>
        <v>BLOCKED</v>
      </c>
      <c r="G64" s="2" t="str">
        <f>IF($A64="","",IF(COUNTIFS('Blackout Brand Fam Areas (Enc)'!$B$6:$B$998,$A64,'Blackout Brand Fam Areas (Enc)'!$C$6:$C$998,G$1,'Blackout Brand Fam Areas (Enc)'!$D$6:$D$998,"Inactive")&gt;0,"BLOCKED","CAN SELL"))</f>
        <v>BLOCKED</v>
      </c>
      <c r="H64" s="2" t="str">
        <f>IF($A64="","",IF(COUNTIFS('Blackout Brand Fam Areas (Enc)'!$B$6:$B$998,$A64,'Blackout Brand Fam Areas (Enc)'!$C$6:$C$998,H$1,'Blackout Brand Fam Areas (Enc)'!$D$6:$D$998,"Inactive")&gt;0,"BLOCKED","CAN SELL"))</f>
        <v>CAN SELL</v>
      </c>
      <c r="I64" s="2" t="str">
        <f>IF($A64="","",IF(COUNTIFS('Blackout Brand Fam Areas (Enc)'!$B$6:$B$998,$A64,'Blackout Brand Fam Areas (Enc)'!$C$6:$C$998,I$1,'Blackout Brand Fam Areas (Enc)'!$D$6:$D$998,"Inactive")&gt;0,"BLOCKED","CAN SELL"))</f>
        <v>CAN SELL</v>
      </c>
      <c r="J64" s="2" t="str">
        <f>IF($A64="","",IF(COUNTIFS('Blackout Brand Fam Areas (Enc)'!$B$6:$B$998,$A64,'Blackout Brand Fam Areas (Enc)'!$C$6:$C$998,J$1,'Blackout Brand Fam Areas (Enc)'!$D$6:$D$998,"Inactive")&gt;0,"BLOCKED","CAN SELL"))</f>
        <v>BLOCKED</v>
      </c>
      <c r="K64" s="2" t="str">
        <f>IF($A64="","",IF(COUNTIFS('Blackout Brand Fam Areas (Enc)'!$B$6:$B$998,$A64,'Blackout Brand Fam Areas (Enc)'!$C$6:$C$998,K$1,'Blackout Brand Fam Areas (Enc)'!$D$6:$D$998,"Inactive")&gt;0,"BLOCKED","CAN SELL"))</f>
        <v>CAN SELL</v>
      </c>
    </row>
    <row r="65" spans="1:11" x14ac:dyDescent="0.2">
      <c r="A65" s="2" t="str">
        <v>Flying Fish</v>
      </c>
      <c r="B65" s="2" t="str">
        <f>IF($A65="","",IF(COUNTIFS('Blackout Brand Fam Areas (Enc)'!$B$6:$B$998,$A65,'Blackout Brand Fam Areas (Enc)'!$C$6:$C$998,B$1,'Blackout Brand Fam Areas (Enc)'!$D$6:$D$998,"Inactive")&gt;0,"BLOCKED","CAN SELL"))</f>
        <v>CAN SELL</v>
      </c>
      <c r="C65" s="2" t="str">
        <f>IF($A65="","",IF(COUNTIFS('Blackout Brand Fam Areas (Enc)'!$B$6:$B$998,$A65,'Blackout Brand Fam Areas (Enc)'!$C$6:$C$998,C$1,'Blackout Brand Fam Areas (Enc)'!$D$6:$D$998,"Inactive")&gt;0,"BLOCKED","CAN SELL"))</f>
        <v>CAN SELL</v>
      </c>
      <c r="D65" s="2" t="str">
        <f>IF($A65="","",IF(COUNTIFS('Blackout Brand Fam Areas (Enc)'!$B$6:$B$998,$A65,'Blackout Brand Fam Areas (Enc)'!$C$6:$C$998,D$1,'Blackout Brand Fam Areas (Enc)'!$D$6:$D$998,"Inactive")&gt;0,"BLOCKED","CAN SELL"))</f>
        <v>BLOCKED</v>
      </c>
      <c r="E65" s="2" t="str">
        <f>IF($A65="","",IF(COUNTIFS('Blackout Brand Fam Areas (Enc)'!$B$6:$B$998,$A65,'Blackout Brand Fam Areas (Enc)'!$C$6:$C$998,E$1,'Blackout Brand Fam Areas (Enc)'!$D$6:$D$998,"Inactive")&gt;0,"BLOCKED","CAN SELL"))</f>
        <v>CAN SELL</v>
      </c>
      <c r="F65" s="2" t="str">
        <f>IF($A65="","",IF(COUNTIFS('Blackout Brand Fam Areas (Enc)'!$B$6:$B$998,$A65,'Blackout Brand Fam Areas (Enc)'!$C$6:$C$998,F$1,'Blackout Brand Fam Areas (Enc)'!$D$6:$D$998,"Inactive")&gt;0,"BLOCKED","CAN SELL"))</f>
        <v>CAN SELL</v>
      </c>
      <c r="G65" s="2" t="str">
        <f>IF($A65="","",IF(COUNTIFS('Blackout Brand Fam Areas (Enc)'!$B$6:$B$998,$A65,'Blackout Brand Fam Areas (Enc)'!$C$6:$C$998,G$1,'Blackout Brand Fam Areas (Enc)'!$D$6:$D$998,"Inactive")&gt;0,"BLOCKED","CAN SELL"))</f>
        <v>BLOCKED</v>
      </c>
      <c r="H65" s="2" t="str">
        <f>IF($A65="","",IF(COUNTIFS('Blackout Brand Fam Areas (Enc)'!$B$6:$B$998,$A65,'Blackout Brand Fam Areas (Enc)'!$C$6:$C$998,H$1,'Blackout Brand Fam Areas (Enc)'!$D$6:$D$998,"Inactive")&gt;0,"BLOCKED","CAN SELL"))</f>
        <v>BLOCKED</v>
      </c>
      <c r="I65" s="2" t="str">
        <f>IF($A65="","",IF(COUNTIFS('Blackout Brand Fam Areas (Enc)'!$B$6:$B$998,$A65,'Blackout Brand Fam Areas (Enc)'!$C$6:$C$998,I$1,'Blackout Brand Fam Areas (Enc)'!$D$6:$D$998,"Inactive")&gt;0,"BLOCKED","CAN SELL"))</f>
        <v>BLOCKED</v>
      </c>
      <c r="J65" s="2" t="str">
        <f>IF($A65="","",IF(COUNTIFS('Blackout Brand Fam Areas (Enc)'!$B$6:$B$998,$A65,'Blackout Brand Fam Areas (Enc)'!$C$6:$C$998,J$1,'Blackout Brand Fam Areas (Enc)'!$D$6:$D$998,"Inactive")&gt;0,"BLOCKED","CAN SELL"))</f>
        <v>BLOCKED</v>
      </c>
      <c r="K65" s="2" t="str">
        <f>IF($A65="","",IF(COUNTIFS('Blackout Brand Fam Areas (Enc)'!$B$6:$B$998,$A65,'Blackout Brand Fam Areas (Enc)'!$C$6:$C$998,K$1,'Blackout Brand Fam Areas (Enc)'!$D$6:$D$998,"Inactive")&gt;0,"BLOCKED","CAN SELL"))</f>
        <v>BLOCKED</v>
      </c>
    </row>
    <row r="66" spans="1:11" x14ac:dyDescent="0.2">
      <c r="A66" s="2" t="str">
        <v>Flying Fish Box of Bones Variety</v>
      </c>
      <c r="B66" s="2" t="str">
        <f>IF($A66="","",IF(COUNTIFS('Blackout Brand Fam Areas (Enc)'!$B$6:$B$998,$A66,'Blackout Brand Fam Areas (Enc)'!$C$6:$C$998,B$1,'Blackout Brand Fam Areas (Enc)'!$D$6:$D$998,"Inactive")&gt;0,"BLOCKED","CAN SELL"))</f>
        <v>CAN SELL</v>
      </c>
      <c r="C66" s="2" t="str">
        <f>IF($A66="","",IF(COUNTIFS('Blackout Brand Fam Areas (Enc)'!$B$6:$B$998,$A66,'Blackout Brand Fam Areas (Enc)'!$C$6:$C$998,C$1,'Blackout Brand Fam Areas (Enc)'!$D$6:$D$998,"Inactive")&gt;0,"BLOCKED","CAN SELL"))</f>
        <v>CAN SELL</v>
      </c>
      <c r="D66" s="2" t="str">
        <f>IF($A66="","",IF(COUNTIFS('Blackout Brand Fam Areas (Enc)'!$B$6:$B$998,$A66,'Blackout Brand Fam Areas (Enc)'!$C$6:$C$998,D$1,'Blackout Brand Fam Areas (Enc)'!$D$6:$D$998,"Inactive")&gt;0,"BLOCKED","CAN SELL"))</f>
        <v>BLOCKED</v>
      </c>
      <c r="E66" s="2" t="str">
        <f>IF($A66="","",IF(COUNTIFS('Blackout Brand Fam Areas (Enc)'!$B$6:$B$998,$A66,'Blackout Brand Fam Areas (Enc)'!$C$6:$C$998,E$1,'Blackout Brand Fam Areas (Enc)'!$D$6:$D$998,"Inactive")&gt;0,"BLOCKED","CAN SELL"))</f>
        <v>CAN SELL</v>
      </c>
      <c r="F66" s="2" t="str">
        <f>IF($A66="","",IF(COUNTIFS('Blackout Brand Fam Areas (Enc)'!$B$6:$B$998,$A66,'Blackout Brand Fam Areas (Enc)'!$C$6:$C$998,F$1,'Blackout Brand Fam Areas (Enc)'!$D$6:$D$998,"Inactive")&gt;0,"BLOCKED","CAN SELL"))</f>
        <v>CAN SELL</v>
      </c>
      <c r="G66" s="2" t="str">
        <f>IF($A66="","",IF(COUNTIFS('Blackout Brand Fam Areas (Enc)'!$B$6:$B$998,$A66,'Blackout Brand Fam Areas (Enc)'!$C$6:$C$998,G$1,'Blackout Brand Fam Areas (Enc)'!$D$6:$D$998,"Inactive")&gt;0,"BLOCKED","CAN SELL"))</f>
        <v>BLOCKED</v>
      </c>
      <c r="H66" s="2" t="str">
        <f>IF($A66="","",IF(COUNTIFS('Blackout Brand Fam Areas (Enc)'!$B$6:$B$998,$A66,'Blackout Brand Fam Areas (Enc)'!$C$6:$C$998,H$1,'Blackout Brand Fam Areas (Enc)'!$D$6:$D$998,"Inactive")&gt;0,"BLOCKED","CAN SELL"))</f>
        <v>BLOCKED</v>
      </c>
      <c r="I66" s="2" t="str">
        <f>IF($A66="","",IF(COUNTIFS('Blackout Brand Fam Areas (Enc)'!$B$6:$B$998,$A66,'Blackout Brand Fam Areas (Enc)'!$C$6:$C$998,I$1,'Blackout Brand Fam Areas (Enc)'!$D$6:$D$998,"Inactive")&gt;0,"BLOCKED","CAN SELL"))</f>
        <v>BLOCKED</v>
      </c>
      <c r="J66" s="2" t="str">
        <f>IF($A66="","",IF(COUNTIFS('Blackout Brand Fam Areas (Enc)'!$B$6:$B$998,$A66,'Blackout Brand Fam Areas (Enc)'!$C$6:$C$998,J$1,'Blackout Brand Fam Areas (Enc)'!$D$6:$D$998,"Inactive")&gt;0,"BLOCKED","CAN SELL"))</f>
        <v>BLOCKED</v>
      </c>
      <c r="K66" s="2" t="str">
        <f>IF($A66="","",IF(COUNTIFS('Blackout Brand Fam Areas (Enc)'!$B$6:$B$998,$A66,'Blackout Brand Fam Areas (Enc)'!$C$6:$C$998,K$1,'Blackout Brand Fam Areas (Enc)'!$D$6:$D$998,"Inactive")&gt;0,"BLOCKED","CAN SELL"))</f>
        <v>BLOCKED</v>
      </c>
    </row>
    <row r="67" spans="1:11" x14ac:dyDescent="0.2">
      <c r="A67" s="2" t="str">
        <v>Fosters</v>
      </c>
      <c r="B67" s="2" t="str">
        <f>IF($A67="","",IF(COUNTIFS('Blackout Brand Fam Areas (Enc)'!$B$6:$B$998,$A67,'Blackout Brand Fam Areas (Enc)'!$C$6:$C$998,B$1,'Blackout Brand Fam Areas (Enc)'!$D$6:$D$998,"Inactive")&gt;0,"BLOCKED","CAN SELL"))</f>
        <v>CAN SELL</v>
      </c>
      <c r="C67" s="2" t="str">
        <f>IF($A67="","",IF(COUNTIFS('Blackout Brand Fam Areas (Enc)'!$B$6:$B$998,$A67,'Blackout Brand Fam Areas (Enc)'!$C$6:$C$998,C$1,'Blackout Brand Fam Areas (Enc)'!$D$6:$D$998,"Inactive")&gt;0,"BLOCKED","CAN SELL"))</f>
        <v>CAN SELL</v>
      </c>
      <c r="D67" s="2" t="str">
        <f>IF($A67="","",IF(COUNTIFS('Blackout Brand Fam Areas (Enc)'!$B$6:$B$998,$A67,'Blackout Brand Fam Areas (Enc)'!$C$6:$C$998,D$1,'Blackout Brand Fam Areas (Enc)'!$D$6:$D$998,"Inactive")&gt;0,"BLOCKED","CAN SELL"))</f>
        <v>CAN SELL</v>
      </c>
      <c r="E67" s="2" t="str">
        <f>IF($A67="","",IF(COUNTIFS('Blackout Brand Fam Areas (Enc)'!$B$6:$B$998,$A67,'Blackout Brand Fam Areas (Enc)'!$C$6:$C$998,E$1,'Blackout Brand Fam Areas (Enc)'!$D$6:$D$998,"Inactive")&gt;0,"BLOCKED","CAN SELL"))</f>
        <v>BLOCKED</v>
      </c>
      <c r="F67" s="2" t="str">
        <f>IF($A67="","",IF(COUNTIFS('Blackout Brand Fam Areas (Enc)'!$B$6:$B$998,$A67,'Blackout Brand Fam Areas (Enc)'!$C$6:$C$998,F$1,'Blackout Brand Fam Areas (Enc)'!$D$6:$D$998,"Inactive")&gt;0,"BLOCKED","CAN SELL"))</f>
        <v>BLOCKED</v>
      </c>
      <c r="G67" s="2" t="str">
        <f>IF($A67="","",IF(COUNTIFS('Blackout Brand Fam Areas (Enc)'!$B$6:$B$998,$A67,'Blackout Brand Fam Areas (Enc)'!$C$6:$C$998,G$1,'Blackout Brand Fam Areas (Enc)'!$D$6:$D$998,"Inactive")&gt;0,"BLOCKED","CAN SELL"))</f>
        <v>BLOCKED</v>
      </c>
      <c r="H67" s="2" t="str">
        <f>IF($A67="","",IF(COUNTIFS('Blackout Brand Fam Areas (Enc)'!$B$6:$B$998,$A67,'Blackout Brand Fam Areas (Enc)'!$C$6:$C$998,H$1,'Blackout Brand Fam Areas (Enc)'!$D$6:$D$998,"Inactive")&gt;0,"BLOCKED","CAN SELL"))</f>
        <v>CAN SELL</v>
      </c>
      <c r="I67" s="2" t="str">
        <f>IF($A67="","",IF(COUNTIFS('Blackout Brand Fam Areas (Enc)'!$B$6:$B$998,$A67,'Blackout Brand Fam Areas (Enc)'!$C$6:$C$998,I$1,'Blackout Brand Fam Areas (Enc)'!$D$6:$D$998,"Inactive")&gt;0,"BLOCKED","CAN SELL"))</f>
        <v>CAN SELL</v>
      </c>
      <c r="J67" s="2" t="str">
        <f>IF($A67="","",IF(COUNTIFS('Blackout Brand Fam Areas (Enc)'!$B$6:$B$998,$A67,'Blackout Brand Fam Areas (Enc)'!$C$6:$C$998,J$1,'Blackout Brand Fam Areas (Enc)'!$D$6:$D$998,"Inactive")&gt;0,"BLOCKED","CAN SELL"))</f>
        <v>BLOCKED</v>
      </c>
      <c r="K67" s="2" t="str">
        <f>IF($A67="","",IF(COUNTIFS('Blackout Brand Fam Areas (Enc)'!$B$6:$B$998,$A67,'Blackout Brand Fam Areas (Enc)'!$C$6:$C$998,K$1,'Blackout Brand Fam Areas (Enc)'!$D$6:$D$998,"Inactive")&gt;0,"BLOCKED","CAN SELL"))</f>
        <v>CAN SELL</v>
      </c>
    </row>
    <row r="68" spans="1:11" x14ac:dyDescent="0.2">
      <c r="A68" s="2" t="str">
        <v>Four Loko</v>
      </c>
      <c r="B68" s="2" t="str">
        <f>IF($A68="","",IF(COUNTIFS('Blackout Brand Fam Areas (Enc)'!$B$6:$B$998,$A68,'Blackout Brand Fam Areas (Enc)'!$C$6:$C$998,B$1,'Blackout Brand Fam Areas (Enc)'!$D$6:$D$998,"Inactive")&gt;0,"BLOCKED","CAN SELL"))</f>
        <v>CAN SELL</v>
      </c>
      <c r="C68" s="2" t="str">
        <f>IF($A68="","",IF(COUNTIFS('Blackout Brand Fam Areas (Enc)'!$B$6:$B$998,$A68,'Blackout Brand Fam Areas (Enc)'!$C$6:$C$998,C$1,'Blackout Brand Fam Areas (Enc)'!$D$6:$D$998,"Inactive")&gt;0,"BLOCKED","CAN SELL"))</f>
        <v>CAN SELL</v>
      </c>
      <c r="D68" s="2" t="str">
        <f>IF($A68="","",IF(COUNTIFS('Blackout Brand Fam Areas (Enc)'!$B$6:$B$998,$A68,'Blackout Brand Fam Areas (Enc)'!$C$6:$C$998,D$1,'Blackout Brand Fam Areas (Enc)'!$D$6:$D$998,"Inactive")&gt;0,"BLOCKED","CAN SELL"))</f>
        <v>CAN SELL</v>
      </c>
      <c r="E68" s="2" t="str">
        <f>IF($A68="","",IF(COUNTIFS('Blackout Brand Fam Areas (Enc)'!$B$6:$B$998,$A68,'Blackout Brand Fam Areas (Enc)'!$C$6:$C$998,E$1,'Blackout Brand Fam Areas (Enc)'!$D$6:$D$998,"Inactive")&gt;0,"BLOCKED","CAN SELL"))</f>
        <v>BLOCKED</v>
      </c>
      <c r="F68" s="2" t="str">
        <f>IF($A68="","",IF(COUNTIFS('Blackout Brand Fam Areas (Enc)'!$B$6:$B$998,$A68,'Blackout Brand Fam Areas (Enc)'!$C$6:$C$998,F$1,'Blackout Brand Fam Areas (Enc)'!$D$6:$D$998,"Inactive")&gt;0,"BLOCKED","CAN SELL"))</f>
        <v>CAN SELL</v>
      </c>
      <c r="G68" s="2" t="str">
        <f>IF($A68="","",IF(COUNTIFS('Blackout Brand Fam Areas (Enc)'!$B$6:$B$998,$A68,'Blackout Brand Fam Areas (Enc)'!$C$6:$C$998,G$1,'Blackout Brand Fam Areas (Enc)'!$D$6:$D$998,"Inactive")&gt;0,"BLOCKED","CAN SELL"))</f>
        <v>BLOCKED</v>
      </c>
      <c r="H68" s="2" t="str">
        <f>IF($A68="","",IF(COUNTIFS('Blackout Brand Fam Areas (Enc)'!$B$6:$B$998,$A68,'Blackout Brand Fam Areas (Enc)'!$C$6:$C$998,H$1,'Blackout Brand Fam Areas (Enc)'!$D$6:$D$998,"Inactive")&gt;0,"BLOCKED","CAN SELL"))</f>
        <v>CAN SELL</v>
      </c>
      <c r="I68" s="2" t="str">
        <f>IF($A68="","",IF(COUNTIFS('Blackout Brand Fam Areas (Enc)'!$B$6:$B$998,$A68,'Blackout Brand Fam Areas (Enc)'!$C$6:$C$998,I$1,'Blackout Brand Fam Areas (Enc)'!$D$6:$D$998,"Inactive")&gt;0,"BLOCKED","CAN SELL"))</f>
        <v>CAN SELL</v>
      </c>
      <c r="J68" s="2" t="str">
        <f>IF($A68="","",IF(COUNTIFS('Blackout Brand Fam Areas (Enc)'!$B$6:$B$998,$A68,'Blackout Brand Fam Areas (Enc)'!$C$6:$C$998,J$1,'Blackout Brand Fam Areas (Enc)'!$D$6:$D$998,"Inactive")&gt;0,"BLOCKED","CAN SELL"))</f>
        <v>BLOCKED</v>
      </c>
      <c r="K68" s="2" t="str">
        <f>IF($A68="","",IF(COUNTIFS('Blackout Brand Fam Areas (Enc)'!$B$6:$B$998,$A68,'Blackout Brand Fam Areas (Enc)'!$C$6:$C$998,K$1,'Blackout Brand Fam Areas (Enc)'!$D$6:$D$998,"Inactive")&gt;0,"BLOCKED","CAN SELL"))</f>
        <v>CAN SELL</v>
      </c>
    </row>
    <row r="69" spans="1:11" x14ac:dyDescent="0.2">
      <c r="A69" s="2" t="str">
        <v>Franks</v>
      </c>
      <c r="B69" s="2" t="str">
        <f>IF($A69="","",IF(COUNTIFS('Blackout Brand Fam Areas (Enc)'!$B$6:$B$998,$A69,'Blackout Brand Fam Areas (Enc)'!$C$6:$C$998,B$1,'Blackout Brand Fam Areas (Enc)'!$D$6:$D$998,"Inactive")&gt;0,"BLOCKED","CAN SELL"))</f>
        <v>CAN SELL</v>
      </c>
      <c r="C69" s="2" t="str">
        <f>IF($A69="","",IF(COUNTIFS('Blackout Brand Fam Areas (Enc)'!$B$6:$B$998,$A69,'Blackout Brand Fam Areas (Enc)'!$C$6:$C$998,C$1,'Blackout Brand Fam Areas (Enc)'!$D$6:$D$998,"Inactive")&gt;0,"BLOCKED","CAN SELL"))</f>
        <v>CAN SELL</v>
      </c>
      <c r="D69" s="2" t="str">
        <f>IF($A69="","",IF(COUNTIFS('Blackout Brand Fam Areas (Enc)'!$B$6:$B$998,$A69,'Blackout Brand Fam Areas (Enc)'!$C$6:$C$998,D$1,'Blackout Brand Fam Areas (Enc)'!$D$6:$D$998,"Inactive")&gt;0,"BLOCKED","CAN SELL"))</f>
        <v>CAN SELL</v>
      </c>
      <c r="E69" s="2" t="str">
        <f>IF($A69="","",IF(COUNTIFS('Blackout Brand Fam Areas (Enc)'!$B$6:$B$998,$A69,'Blackout Brand Fam Areas (Enc)'!$C$6:$C$998,E$1,'Blackout Brand Fam Areas (Enc)'!$D$6:$D$998,"Inactive")&gt;0,"BLOCKED","CAN SELL"))</f>
        <v>BLOCKED</v>
      </c>
      <c r="F69" s="2" t="str">
        <f>IF($A69="","",IF(COUNTIFS('Blackout Brand Fam Areas (Enc)'!$B$6:$B$998,$A69,'Blackout Brand Fam Areas (Enc)'!$C$6:$C$998,F$1,'Blackout Brand Fam Areas (Enc)'!$D$6:$D$998,"Inactive")&gt;0,"BLOCKED","CAN SELL"))</f>
        <v>CAN SELL</v>
      </c>
      <c r="G69" s="2" t="str">
        <f>IF($A69="","",IF(COUNTIFS('Blackout Brand Fam Areas (Enc)'!$B$6:$B$998,$A69,'Blackout Brand Fam Areas (Enc)'!$C$6:$C$998,G$1,'Blackout Brand Fam Areas (Enc)'!$D$6:$D$998,"Inactive")&gt;0,"BLOCKED","CAN SELL"))</f>
        <v>BLOCKED</v>
      </c>
      <c r="H69" s="2" t="str">
        <f>IF($A69="","",IF(COUNTIFS('Blackout Brand Fam Areas (Enc)'!$B$6:$B$998,$A69,'Blackout Brand Fam Areas (Enc)'!$C$6:$C$998,H$1,'Blackout Brand Fam Areas (Enc)'!$D$6:$D$998,"Inactive")&gt;0,"BLOCKED","CAN SELL"))</f>
        <v>CAN SELL</v>
      </c>
      <c r="I69" s="2" t="str">
        <f>IF($A69="","",IF(COUNTIFS('Blackout Brand Fam Areas (Enc)'!$B$6:$B$998,$A69,'Blackout Brand Fam Areas (Enc)'!$C$6:$C$998,I$1,'Blackout Brand Fam Areas (Enc)'!$D$6:$D$998,"Inactive")&gt;0,"BLOCKED","CAN SELL"))</f>
        <v>CAN SELL</v>
      </c>
      <c r="J69" s="2" t="str">
        <f>IF($A69="","",IF(COUNTIFS('Blackout Brand Fam Areas (Enc)'!$B$6:$B$998,$A69,'Blackout Brand Fam Areas (Enc)'!$C$6:$C$998,J$1,'Blackout Brand Fam Areas (Enc)'!$D$6:$D$998,"Inactive")&gt;0,"BLOCKED","CAN SELL"))</f>
        <v>BLOCKED</v>
      </c>
      <c r="K69" s="2" t="str">
        <f>IF($A69="","",IF(COUNTIFS('Blackout Brand Fam Areas (Enc)'!$B$6:$B$998,$A69,'Blackout Brand Fam Areas (Enc)'!$C$6:$C$998,K$1,'Blackout Brand Fam Areas (Enc)'!$D$6:$D$998,"Inactive")&gt;0,"BLOCKED","CAN SELL"))</f>
        <v>CAN SELL</v>
      </c>
    </row>
    <row r="70" spans="1:11" x14ac:dyDescent="0.2">
      <c r="A70" s="2" t="str">
        <v>Fresca Hard Sparkling</v>
      </c>
      <c r="B70" s="2" t="str">
        <f>IF($A70="","",IF(COUNTIFS('Blackout Brand Fam Areas (Enc)'!$B$6:$B$998,$A70,'Blackout Brand Fam Areas (Enc)'!$C$6:$C$998,B$1,'Blackout Brand Fam Areas (Enc)'!$D$6:$D$998,"Inactive")&gt;0,"BLOCKED","CAN SELL"))</f>
        <v>CAN SELL</v>
      </c>
      <c r="C70" s="2" t="str">
        <f>IF($A70="","",IF(COUNTIFS('Blackout Brand Fam Areas (Enc)'!$B$6:$B$998,$A70,'Blackout Brand Fam Areas (Enc)'!$C$6:$C$998,C$1,'Blackout Brand Fam Areas (Enc)'!$D$6:$D$998,"Inactive")&gt;0,"BLOCKED","CAN SELL"))</f>
        <v>CAN SELL</v>
      </c>
      <c r="D70" s="2" t="str">
        <f>IF($A70="","",IF(COUNTIFS('Blackout Brand Fam Areas (Enc)'!$B$6:$B$998,$A70,'Blackout Brand Fam Areas (Enc)'!$C$6:$C$998,D$1,'Blackout Brand Fam Areas (Enc)'!$D$6:$D$998,"Inactive")&gt;0,"BLOCKED","CAN SELL"))</f>
        <v>CAN SELL</v>
      </c>
      <c r="E70" s="2" t="str">
        <f>IF($A70="","",IF(COUNTIFS('Blackout Brand Fam Areas (Enc)'!$B$6:$B$998,$A70,'Blackout Brand Fam Areas (Enc)'!$C$6:$C$998,E$1,'Blackout Brand Fam Areas (Enc)'!$D$6:$D$998,"Inactive")&gt;0,"BLOCKED","CAN SELL"))</f>
        <v>BLOCKED</v>
      </c>
      <c r="F70" s="2" t="str">
        <f>IF($A70="","",IF(COUNTIFS('Blackout Brand Fam Areas (Enc)'!$B$6:$B$998,$A70,'Blackout Brand Fam Areas (Enc)'!$C$6:$C$998,F$1,'Blackout Brand Fam Areas (Enc)'!$D$6:$D$998,"Inactive")&gt;0,"BLOCKED","CAN SELL"))</f>
        <v>BLOCKED</v>
      </c>
      <c r="G70" s="2" t="str">
        <f>IF($A70="","",IF(COUNTIFS('Blackout Brand Fam Areas (Enc)'!$B$6:$B$998,$A70,'Blackout Brand Fam Areas (Enc)'!$C$6:$C$998,G$1,'Blackout Brand Fam Areas (Enc)'!$D$6:$D$998,"Inactive")&gt;0,"BLOCKED","CAN SELL"))</f>
        <v>BLOCKED</v>
      </c>
      <c r="H70" s="2" t="str">
        <f>IF($A70="","",IF(COUNTIFS('Blackout Brand Fam Areas (Enc)'!$B$6:$B$998,$A70,'Blackout Brand Fam Areas (Enc)'!$C$6:$C$998,H$1,'Blackout Brand Fam Areas (Enc)'!$D$6:$D$998,"Inactive")&gt;0,"BLOCKED","CAN SELL"))</f>
        <v>CAN SELL</v>
      </c>
      <c r="I70" s="2" t="str">
        <f>IF($A70="","",IF(COUNTIFS('Blackout Brand Fam Areas (Enc)'!$B$6:$B$998,$A70,'Blackout Brand Fam Areas (Enc)'!$C$6:$C$998,I$1,'Blackout Brand Fam Areas (Enc)'!$D$6:$D$998,"Inactive")&gt;0,"BLOCKED","CAN SELL"))</f>
        <v>CAN SELL</v>
      </c>
      <c r="J70" s="2" t="str">
        <f>IF($A70="","",IF(COUNTIFS('Blackout Brand Fam Areas (Enc)'!$B$6:$B$998,$A70,'Blackout Brand Fam Areas (Enc)'!$C$6:$C$998,J$1,'Blackout Brand Fam Areas (Enc)'!$D$6:$D$998,"Inactive")&gt;0,"BLOCKED","CAN SELL"))</f>
        <v>BLOCKED</v>
      </c>
      <c r="K70" s="2" t="str">
        <f>IF($A70="","",IF(COUNTIFS('Blackout Brand Fam Areas (Enc)'!$B$6:$B$998,$A70,'Blackout Brand Fam Areas (Enc)'!$C$6:$C$998,K$1,'Blackout Brand Fam Areas (Enc)'!$D$6:$D$998,"Inactive")&gt;0,"BLOCKED","CAN SELL"))</f>
        <v>CAN SELL</v>
      </c>
    </row>
    <row r="71" spans="1:11" x14ac:dyDescent="0.2">
      <c r="A71" s="2" t="str">
        <v>Fresca Mixed</v>
      </c>
      <c r="B71" s="2" t="str">
        <f>IF($A71="","",IF(COUNTIFS('Blackout Brand Fam Areas (Enc)'!$B$6:$B$998,$A71,'Blackout Brand Fam Areas (Enc)'!$C$6:$C$998,B$1,'Blackout Brand Fam Areas (Enc)'!$D$6:$D$998,"Inactive")&gt;0,"BLOCKED","CAN SELL"))</f>
        <v>CAN SELL</v>
      </c>
      <c r="C71" s="2" t="str">
        <f>IF($A71="","",IF(COUNTIFS('Blackout Brand Fam Areas (Enc)'!$B$6:$B$998,$A71,'Blackout Brand Fam Areas (Enc)'!$C$6:$C$998,C$1,'Blackout Brand Fam Areas (Enc)'!$D$6:$D$998,"Inactive")&gt;0,"BLOCKED","CAN SELL"))</f>
        <v>CAN SELL</v>
      </c>
      <c r="D71" s="2" t="str">
        <f>IF($A71="","",IF(COUNTIFS('Blackout Brand Fam Areas (Enc)'!$B$6:$B$998,$A71,'Blackout Brand Fam Areas (Enc)'!$C$6:$C$998,D$1,'Blackout Brand Fam Areas (Enc)'!$D$6:$D$998,"Inactive")&gt;0,"BLOCKED","CAN SELL"))</f>
        <v>CAN SELL</v>
      </c>
      <c r="E71" s="2" t="str">
        <f>IF($A71="","",IF(COUNTIFS('Blackout Brand Fam Areas (Enc)'!$B$6:$B$998,$A71,'Blackout Brand Fam Areas (Enc)'!$C$6:$C$998,E$1,'Blackout Brand Fam Areas (Enc)'!$D$6:$D$998,"Inactive")&gt;0,"BLOCKED","CAN SELL"))</f>
        <v>BLOCKED</v>
      </c>
      <c r="F71" s="2" t="str">
        <f>IF($A71="","",IF(COUNTIFS('Blackout Brand Fam Areas (Enc)'!$B$6:$B$998,$A71,'Blackout Brand Fam Areas (Enc)'!$C$6:$C$998,F$1,'Blackout Brand Fam Areas (Enc)'!$D$6:$D$998,"Inactive")&gt;0,"BLOCKED","CAN SELL"))</f>
        <v>BLOCKED</v>
      </c>
      <c r="G71" s="2" t="str">
        <f>IF($A71="","",IF(COUNTIFS('Blackout Brand Fam Areas (Enc)'!$B$6:$B$998,$A71,'Blackout Brand Fam Areas (Enc)'!$C$6:$C$998,G$1,'Blackout Brand Fam Areas (Enc)'!$D$6:$D$998,"Inactive")&gt;0,"BLOCKED","CAN SELL"))</f>
        <v>BLOCKED</v>
      </c>
      <c r="H71" s="2" t="str">
        <f>IF($A71="","",IF(COUNTIFS('Blackout Brand Fam Areas (Enc)'!$B$6:$B$998,$A71,'Blackout Brand Fam Areas (Enc)'!$C$6:$C$998,H$1,'Blackout Brand Fam Areas (Enc)'!$D$6:$D$998,"Inactive")&gt;0,"BLOCKED","CAN SELL"))</f>
        <v>CAN SELL</v>
      </c>
      <c r="I71" s="2" t="str">
        <f>IF($A71="","",IF(COUNTIFS('Blackout Brand Fam Areas (Enc)'!$B$6:$B$998,$A71,'Blackout Brand Fam Areas (Enc)'!$C$6:$C$998,I$1,'Blackout Brand Fam Areas (Enc)'!$D$6:$D$998,"Inactive")&gt;0,"BLOCKED","CAN SELL"))</f>
        <v>CAN SELL</v>
      </c>
      <c r="J71" s="2" t="str">
        <f>IF($A71="","",IF(COUNTIFS('Blackout Brand Fam Areas (Enc)'!$B$6:$B$998,$A71,'Blackout Brand Fam Areas (Enc)'!$C$6:$C$998,J$1,'Blackout Brand Fam Areas (Enc)'!$D$6:$D$998,"Inactive")&gt;0,"BLOCKED","CAN SELL"))</f>
        <v>BLOCKED</v>
      </c>
      <c r="K71" s="2" t="str">
        <f>IF($A71="","",IF(COUNTIFS('Blackout Brand Fam Areas (Enc)'!$B$6:$B$998,$A71,'Blackout Brand Fam Areas (Enc)'!$C$6:$C$998,K$1,'Blackout Brand Fam Areas (Enc)'!$D$6:$D$998,"Inactive")&gt;0,"BLOCKED","CAN SELL"))</f>
        <v>CAN SELL</v>
      </c>
    </row>
    <row r="72" spans="1:11" x14ac:dyDescent="0.2">
      <c r="A72" s="2" t="str">
        <v>Fruli</v>
      </c>
      <c r="B72" s="2" t="str">
        <f>IF($A72="","",IF(COUNTIFS('Blackout Brand Fam Areas (Enc)'!$B$6:$B$998,$A72,'Blackout Brand Fam Areas (Enc)'!$C$6:$C$998,B$1,'Blackout Brand Fam Areas (Enc)'!$D$6:$D$998,"Inactive")&gt;0,"BLOCKED","CAN SELL"))</f>
        <v>CAN SELL</v>
      </c>
      <c r="C72" s="2" t="str">
        <f>IF($A72="","",IF(COUNTIFS('Blackout Brand Fam Areas (Enc)'!$B$6:$B$998,$A72,'Blackout Brand Fam Areas (Enc)'!$C$6:$C$998,C$1,'Blackout Brand Fam Areas (Enc)'!$D$6:$D$998,"Inactive")&gt;0,"BLOCKED","CAN SELL"))</f>
        <v>CAN SELL</v>
      </c>
      <c r="D72" s="2" t="str">
        <f>IF($A72="","",IF(COUNTIFS('Blackout Brand Fam Areas (Enc)'!$B$6:$B$998,$A72,'Blackout Brand Fam Areas (Enc)'!$C$6:$C$998,D$1,'Blackout Brand Fam Areas (Enc)'!$D$6:$D$998,"Inactive")&gt;0,"BLOCKED","CAN SELL"))</f>
        <v>CAN SELL</v>
      </c>
      <c r="E72" s="2" t="str">
        <f>IF($A72="","",IF(COUNTIFS('Blackout Brand Fam Areas (Enc)'!$B$6:$B$998,$A72,'Blackout Brand Fam Areas (Enc)'!$C$6:$C$998,E$1,'Blackout Brand Fam Areas (Enc)'!$D$6:$D$998,"Inactive")&gt;0,"BLOCKED","CAN SELL"))</f>
        <v>CAN SELL</v>
      </c>
      <c r="F72" s="2" t="str">
        <f>IF($A72="","",IF(COUNTIFS('Blackout Brand Fam Areas (Enc)'!$B$6:$B$998,$A72,'Blackout Brand Fam Areas (Enc)'!$C$6:$C$998,F$1,'Blackout Brand Fam Areas (Enc)'!$D$6:$D$998,"Inactive")&gt;0,"BLOCKED","CAN SELL"))</f>
        <v>CAN SELL</v>
      </c>
      <c r="G72" s="2" t="str">
        <f>IF($A72="","",IF(COUNTIFS('Blackout Brand Fam Areas (Enc)'!$B$6:$B$998,$A72,'Blackout Brand Fam Areas (Enc)'!$C$6:$C$998,G$1,'Blackout Brand Fam Areas (Enc)'!$D$6:$D$998,"Inactive")&gt;0,"BLOCKED","CAN SELL"))</f>
        <v>BLOCKED</v>
      </c>
      <c r="H72" s="2" t="str">
        <f>IF($A72="","",IF(COUNTIFS('Blackout Brand Fam Areas (Enc)'!$B$6:$B$998,$A72,'Blackout Brand Fam Areas (Enc)'!$C$6:$C$998,H$1,'Blackout Brand Fam Areas (Enc)'!$D$6:$D$998,"Inactive")&gt;0,"BLOCKED","CAN SELL"))</f>
        <v>CAN SELL</v>
      </c>
      <c r="I72" s="2" t="str">
        <f>IF($A72="","",IF(COUNTIFS('Blackout Brand Fam Areas (Enc)'!$B$6:$B$998,$A72,'Blackout Brand Fam Areas (Enc)'!$C$6:$C$998,I$1,'Blackout Brand Fam Areas (Enc)'!$D$6:$D$998,"Inactive")&gt;0,"BLOCKED","CAN SELL"))</f>
        <v>CAN SELL</v>
      </c>
      <c r="J72" s="2" t="str">
        <f>IF($A72="","",IF(COUNTIFS('Blackout Brand Fam Areas (Enc)'!$B$6:$B$998,$A72,'Blackout Brand Fam Areas (Enc)'!$C$6:$C$998,J$1,'Blackout Brand Fam Areas (Enc)'!$D$6:$D$998,"Inactive")&gt;0,"BLOCKED","CAN SELL"))</f>
        <v>BLOCKED</v>
      </c>
      <c r="K72" s="2" t="str">
        <f>IF($A72="","",IF(COUNTIFS('Blackout Brand Fam Areas (Enc)'!$B$6:$B$998,$A72,'Blackout Brand Fam Areas (Enc)'!$C$6:$C$998,K$1,'Blackout Brand Fam Areas (Enc)'!$D$6:$D$998,"Inactive")&gt;0,"BLOCKED","CAN SELL"))</f>
        <v>BLOCKED</v>
      </c>
    </row>
    <row r="73" spans="1:11" x14ac:dyDescent="0.2">
      <c r="A73" s="2" t="str">
        <v>Garage Beer</v>
      </c>
      <c r="B73" s="2" t="str">
        <f>IF($A73="","",IF(COUNTIFS('Blackout Brand Fam Areas (Enc)'!$B$6:$B$998,$A73,'Blackout Brand Fam Areas (Enc)'!$C$6:$C$998,B$1,'Blackout Brand Fam Areas (Enc)'!$D$6:$D$998,"Inactive")&gt;0,"BLOCKED","CAN SELL"))</f>
        <v>CAN SELL</v>
      </c>
      <c r="C73" s="2" t="str">
        <f>IF($A73="","",IF(COUNTIFS('Blackout Brand Fam Areas (Enc)'!$B$6:$B$998,$A73,'Blackout Brand Fam Areas (Enc)'!$C$6:$C$998,C$1,'Blackout Brand Fam Areas (Enc)'!$D$6:$D$998,"Inactive")&gt;0,"BLOCKED","CAN SELL"))</f>
        <v>CAN SELL</v>
      </c>
      <c r="D73" s="2" t="str">
        <f>IF($A73="","",IF(COUNTIFS('Blackout Brand Fam Areas (Enc)'!$B$6:$B$998,$A73,'Blackout Brand Fam Areas (Enc)'!$C$6:$C$998,D$1,'Blackout Brand Fam Areas (Enc)'!$D$6:$D$998,"Inactive")&gt;0,"BLOCKED","CAN SELL"))</f>
        <v>CAN SELL</v>
      </c>
      <c r="E73" s="2" t="str">
        <f>IF($A73="","",IF(COUNTIFS('Blackout Brand Fam Areas (Enc)'!$B$6:$B$998,$A73,'Blackout Brand Fam Areas (Enc)'!$C$6:$C$998,E$1,'Blackout Brand Fam Areas (Enc)'!$D$6:$D$998,"Inactive")&gt;0,"BLOCKED","CAN SELL"))</f>
        <v>CAN SELL</v>
      </c>
      <c r="F73" s="2" t="str">
        <f>IF($A73="","",IF(COUNTIFS('Blackout Brand Fam Areas (Enc)'!$B$6:$B$998,$A73,'Blackout Brand Fam Areas (Enc)'!$C$6:$C$998,F$1,'Blackout Brand Fam Areas (Enc)'!$D$6:$D$998,"Inactive")&gt;0,"BLOCKED","CAN SELL"))</f>
        <v>CAN SELL</v>
      </c>
      <c r="G73" s="2" t="str">
        <f>IF($A73="","",IF(COUNTIFS('Blackout Brand Fam Areas (Enc)'!$B$6:$B$998,$A73,'Blackout Brand Fam Areas (Enc)'!$C$6:$C$998,G$1,'Blackout Brand Fam Areas (Enc)'!$D$6:$D$998,"Inactive")&gt;0,"BLOCKED","CAN SELL"))</f>
        <v>CAN SELL</v>
      </c>
      <c r="H73" s="2" t="str">
        <f>IF($A73="","",IF(COUNTIFS('Blackout Brand Fam Areas (Enc)'!$B$6:$B$998,$A73,'Blackout Brand Fam Areas (Enc)'!$C$6:$C$998,H$1,'Blackout Brand Fam Areas (Enc)'!$D$6:$D$998,"Inactive")&gt;0,"BLOCKED","CAN SELL"))</f>
        <v>CAN SELL</v>
      </c>
      <c r="I73" s="2" t="str">
        <f>IF($A73="","",IF(COUNTIFS('Blackout Brand Fam Areas (Enc)'!$B$6:$B$998,$A73,'Blackout Brand Fam Areas (Enc)'!$C$6:$C$998,I$1,'Blackout Brand Fam Areas (Enc)'!$D$6:$D$998,"Inactive")&gt;0,"BLOCKED","CAN SELL"))</f>
        <v>CAN SELL</v>
      </c>
      <c r="J73" s="2" t="str">
        <f>IF($A73="","",IF(COUNTIFS('Blackout Brand Fam Areas (Enc)'!$B$6:$B$998,$A73,'Blackout Brand Fam Areas (Enc)'!$C$6:$C$998,J$1,'Blackout Brand Fam Areas (Enc)'!$D$6:$D$998,"Inactive")&gt;0,"BLOCKED","CAN SELL"))</f>
        <v>CAN SELL</v>
      </c>
      <c r="K73" s="2" t="str">
        <f>IF($A73="","",IF(COUNTIFS('Blackout Brand Fam Areas (Enc)'!$B$6:$B$998,$A73,'Blackout Brand Fam Areas (Enc)'!$C$6:$C$998,K$1,'Blackout Brand Fam Areas (Enc)'!$D$6:$D$998,"Inactive")&gt;0,"BLOCKED","CAN SELL"))</f>
        <v>CAN SELL</v>
      </c>
    </row>
    <row r="74" spans="1:11" x14ac:dyDescent="0.2">
      <c r="A74" s="2" t="str">
        <v>Genesee</v>
      </c>
      <c r="B74" s="2" t="str">
        <f>IF($A74="","",IF(COUNTIFS('Blackout Brand Fam Areas (Enc)'!$B$6:$B$998,$A74,'Blackout Brand Fam Areas (Enc)'!$C$6:$C$998,B$1,'Blackout Brand Fam Areas (Enc)'!$D$6:$D$998,"Inactive")&gt;0,"BLOCKED","CAN SELL"))</f>
        <v>CAN SELL</v>
      </c>
      <c r="C74" s="2" t="str">
        <f>IF($A74="","",IF(COUNTIFS('Blackout Brand Fam Areas (Enc)'!$B$6:$B$998,$A74,'Blackout Brand Fam Areas (Enc)'!$C$6:$C$998,C$1,'Blackout Brand Fam Areas (Enc)'!$D$6:$D$998,"Inactive")&gt;0,"BLOCKED","CAN SELL"))</f>
        <v>CAN SELL</v>
      </c>
      <c r="D74" s="2" t="str">
        <f>IF($A74="","",IF(COUNTIFS('Blackout Brand Fam Areas (Enc)'!$B$6:$B$998,$A74,'Blackout Brand Fam Areas (Enc)'!$C$6:$C$998,D$1,'Blackout Brand Fam Areas (Enc)'!$D$6:$D$998,"Inactive")&gt;0,"BLOCKED","CAN SELL"))</f>
        <v>CAN SELL</v>
      </c>
      <c r="E74" s="2" t="str">
        <f>IF($A74="","",IF(COUNTIFS('Blackout Brand Fam Areas (Enc)'!$B$6:$B$998,$A74,'Blackout Brand Fam Areas (Enc)'!$C$6:$C$998,E$1,'Blackout Brand Fam Areas (Enc)'!$D$6:$D$998,"Inactive")&gt;0,"BLOCKED","CAN SELL"))</f>
        <v>CAN SELL</v>
      </c>
      <c r="F74" s="2" t="str">
        <f>IF($A74="","",IF(COUNTIFS('Blackout Brand Fam Areas (Enc)'!$B$6:$B$998,$A74,'Blackout Brand Fam Areas (Enc)'!$C$6:$C$998,F$1,'Blackout Brand Fam Areas (Enc)'!$D$6:$D$998,"Inactive")&gt;0,"BLOCKED","CAN SELL"))</f>
        <v>CAN SELL</v>
      </c>
      <c r="G74" s="2" t="str">
        <f>IF($A74="","",IF(COUNTIFS('Blackout Brand Fam Areas (Enc)'!$B$6:$B$998,$A74,'Blackout Brand Fam Areas (Enc)'!$C$6:$C$998,G$1,'Blackout Brand Fam Areas (Enc)'!$D$6:$D$998,"Inactive")&gt;0,"BLOCKED","CAN SELL"))</f>
        <v>CAN SELL</v>
      </c>
      <c r="H74" s="2" t="str">
        <f>IF($A74="","",IF(COUNTIFS('Blackout Brand Fam Areas (Enc)'!$B$6:$B$998,$A74,'Blackout Brand Fam Areas (Enc)'!$C$6:$C$998,H$1,'Blackout Brand Fam Areas (Enc)'!$D$6:$D$998,"Inactive")&gt;0,"BLOCKED","CAN SELL"))</f>
        <v>BLOCKED</v>
      </c>
      <c r="I74" s="2" t="str">
        <f>IF($A74="","",IF(COUNTIFS('Blackout Brand Fam Areas (Enc)'!$B$6:$B$998,$A74,'Blackout Brand Fam Areas (Enc)'!$C$6:$C$998,I$1,'Blackout Brand Fam Areas (Enc)'!$D$6:$D$998,"Inactive")&gt;0,"BLOCKED","CAN SELL"))</f>
        <v>BLOCKED</v>
      </c>
      <c r="J74" s="2" t="str">
        <f>IF($A74="","",IF(COUNTIFS('Blackout Brand Fam Areas (Enc)'!$B$6:$B$998,$A74,'Blackout Brand Fam Areas (Enc)'!$C$6:$C$998,J$1,'Blackout Brand Fam Areas (Enc)'!$D$6:$D$998,"Inactive")&gt;0,"BLOCKED","CAN SELL"))</f>
        <v>BLOCKED</v>
      </c>
      <c r="K74" s="2" t="str">
        <f>IF($A74="","",IF(COUNTIFS('Blackout Brand Fam Areas (Enc)'!$B$6:$B$998,$A74,'Blackout Brand Fam Areas (Enc)'!$C$6:$C$998,K$1,'Blackout Brand Fam Areas (Enc)'!$D$6:$D$998,"Inactive")&gt;0,"BLOCKED","CAN SELL"))</f>
        <v>BLOCKED</v>
      </c>
    </row>
    <row r="75" spans="1:11" x14ac:dyDescent="0.2">
      <c r="A75" s="2" t="str">
        <v>George Killian's</v>
      </c>
      <c r="B75" s="2" t="str">
        <f>IF($A75="","",IF(COUNTIFS('Blackout Brand Fam Areas (Enc)'!$B$6:$B$998,$A75,'Blackout Brand Fam Areas (Enc)'!$C$6:$C$998,B$1,'Blackout Brand Fam Areas (Enc)'!$D$6:$D$998,"Inactive")&gt;0,"BLOCKED","CAN SELL"))</f>
        <v>CAN SELL</v>
      </c>
      <c r="C75" s="2" t="str">
        <f>IF($A75="","",IF(COUNTIFS('Blackout Brand Fam Areas (Enc)'!$B$6:$B$998,$A75,'Blackout Brand Fam Areas (Enc)'!$C$6:$C$998,C$1,'Blackout Brand Fam Areas (Enc)'!$D$6:$D$998,"Inactive")&gt;0,"BLOCKED","CAN SELL"))</f>
        <v>CAN SELL</v>
      </c>
      <c r="D75" s="2" t="str">
        <f>IF($A75="","",IF(COUNTIFS('Blackout Brand Fam Areas (Enc)'!$B$6:$B$998,$A75,'Blackout Brand Fam Areas (Enc)'!$C$6:$C$998,D$1,'Blackout Brand Fam Areas (Enc)'!$D$6:$D$998,"Inactive")&gt;0,"BLOCKED","CAN SELL"))</f>
        <v>CAN SELL</v>
      </c>
      <c r="E75" s="2" t="str">
        <f>IF($A75="","",IF(COUNTIFS('Blackout Brand Fam Areas (Enc)'!$B$6:$B$998,$A75,'Blackout Brand Fam Areas (Enc)'!$C$6:$C$998,E$1,'Blackout Brand Fam Areas (Enc)'!$D$6:$D$998,"Inactive")&gt;0,"BLOCKED","CAN SELL"))</f>
        <v>BLOCKED</v>
      </c>
      <c r="F75" s="2" t="str">
        <f>IF($A75="","",IF(COUNTIFS('Blackout Brand Fam Areas (Enc)'!$B$6:$B$998,$A75,'Blackout Brand Fam Areas (Enc)'!$C$6:$C$998,F$1,'Blackout Brand Fam Areas (Enc)'!$D$6:$D$998,"Inactive")&gt;0,"BLOCKED","CAN SELL"))</f>
        <v>BLOCKED</v>
      </c>
      <c r="G75" s="2" t="str">
        <f>IF($A75="","",IF(COUNTIFS('Blackout Brand Fam Areas (Enc)'!$B$6:$B$998,$A75,'Blackout Brand Fam Areas (Enc)'!$C$6:$C$998,G$1,'Blackout Brand Fam Areas (Enc)'!$D$6:$D$998,"Inactive")&gt;0,"BLOCKED","CAN SELL"))</f>
        <v>BLOCKED</v>
      </c>
      <c r="H75" s="2" t="str">
        <f>IF($A75="","",IF(COUNTIFS('Blackout Brand Fam Areas (Enc)'!$B$6:$B$998,$A75,'Blackout Brand Fam Areas (Enc)'!$C$6:$C$998,H$1,'Blackout Brand Fam Areas (Enc)'!$D$6:$D$998,"Inactive")&gt;0,"BLOCKED","CAN SELL"))</f>
        <v>CAN SELL</v>
      </c>
      <c r="I75" s="2" t="str">
        <f>IF($A75="","",IF(COUNTIFS('Blackout Brand Fam Areas (Enc)'!$B$6:$B$998,$A75,'Blackout Brand Fam Areas (Enc)'!$C$6:$C$998,I$1,'Blackout Brand Fam Areas (Enc)'!$D$6:$D$998,"Inactive")&gt;0,"BLOCKED","CAN SELL"))</f>
        <v>CAN SELL</v>
      </c>
      <c r="J75" s="2" t="str">
        <f>IF($A75="","",IF(COUNTIFS('Blackout Brand Fam Areas (Enc)'!$B$6:$B$998,$A75,'Blackout Brand Fam Areas (Enc)'!$C$6:$C$998,J$1,'Blackout Brand Fam Areas (Enc)'!$D$6:$D$998,"Inactive")&gt;0,"BLOCKED","CAN SELL"))</f>
        <v>BLOCKED</v>
      </c>
      <c r="K75" s="2" t="str">
        <f>IF($A75="","",IF(COUNTIFS('Blackout Brand Fam Areas (Enc)'!$B$6:$B$998,$A75,'Blackout Brand Fam Areas (Enc)'!$C$6:$C$998,K$1,'Blackout Brand Fam Areas (Enc)'!$D$6:$D$998,"Inactive")&gt;0,"BLOCKED","CAN SELL"))</f>
        <v>CAN SELL</v>
      </c>
    </row>
    <row r="76" spans="1:11" x14ac:dyDescent="0.2">
      <c r="A76" s="2" t="str">
        <v>Gionelli</v>
      </c>
      <c r="B76" s="2" t="str">
        <f>IF($A76="","",IF(COUNTIFS('Blackout Brand Fam Areas (Enc)'!$B$6:$B$998,$A76,'Blackout Brand Fam Areas (Enc)'!$C$6:$C$998,B$1,'Blackout Brand Fam Areas (Enc)'!$D$6:$D$998,"Inactive")&gt;0,"BLOCKED","CAN SELL"))</f>
        <v>CAN SELL</v>
      </c>
      <c r="C76" s="2" t="str">
        <f>IF($A76="","",IF(COUNTIFS('Blackout Brand Fam Areas (Enc)'!$B$6:$B$998,$A76,'Blackout Brand Fam Areas (Enc)'!$C$6:$C$998,C$1,'Blackout Brand Fam Areas (Enc)'!$D$6:$D$998,"Inactive")&gt;0,"BLOCKED","CAN SELL"))</f>
        <v>CAN SELL</v>
      </c>
      <c r="D76" s="2" t="str">
        <f>IF($A76="","",IF(COUNTIFS('Blackout Brand Fam Areas (Enc)'!$B$6:$B$998,$A76,'Blackout Brand Fam Areas (Enc)'!$C$6:$C$998,D$1,'Blackout Brand Fam Areas (Enc)'!$D$6:$D$998,"Inactive")&gt;0,"BLOCKED","CAN SELL"))</f>
        <v>CAN SELL</v>
      </c>
      <c r="E76" s="2" t="str">
        <f>IF($A76="","",IF(COUNTIFS('Blackout Brand Fam Areas (Enc)'!$B$6:$B$998,$A76,'Blackout Brand Fam Areas (Enc)'!$C$6:$C$998,E$1,'Blackout Brand Fam Areas (Enc)'!$D$6:$D$998,"Inactive")&gt;0,"BLOCKED","CAN SELL"))</f>
        <v>BLOCKED</v>
      </c>
      <c r="F76" s="2" t="str">
        <f>IF($A76="","",IF(COUNTIFS('Blackout Brand Fam Areas (Enc)'!$B$6:$B$998,$A76,'Blackout Brand Fam Areas (Enc)'!$C$6:$C$998,F$1,'Blackout Brand Fam Areas (Enc)'!$D$6:$D$998,"Inactive")&gt;0,"BLOCKED","CAN SELL"))</f>
        <v>BLOCKED</v>
      </c>
      <c r="G76" s="2" t="str">
        <f>IF($A76="","",IF(COUNTIFS('Blackout Brand Fam Areas (Enc)'!$B$6:$B$998,$A76,'Blackout Brand Fam Areas (Enc)'!$C$6:$C$998,G$1,'Blackout Brand Fam Areas (Enc)'!$D$6:$D$998,"Inactive")&gt;0,"BLOCKED","CAN SELL"))</f>
        <v>BLOCKED</v>
      </c>
      <c r="H76" s="2" t="str">
        <f>IF($A76="","",IF(COUNTIFS('Blackout Brand Fam Areas (Enc)'!$B$6:$B$998,$A76,'Blackout Brand Fam Areas (Enc)'!$C$6:$C$998,H$1,'Blackout Brand Fam Areas (Enc)'!$D$6:$D$998,"Inactive")&gt;0,"BLOCKED","CAN SELL"))</f>
        <v>CAN SELL</v>
      </c>
      <c r="I76" s="2" t="str">
        <f>IF($A76="","",IF(COUNTIFS('Blackout Brand Fam Areas (Enc)'!$B$6:$B$998,$A76,'Blackout Brand Fam Areas (Enc)'!$C$6:$C$998,I$1,'Blackout Brand Fam Areas (Enc)'!$D$6:$D$998,"Inactive")&gt;0,"BLOCKED","CAN SELL"))</f>
        <v>CAN SELL</v>
      </c>
      <c r="J76" s="2" t="str">
        <f>IF($A76="","",IF(COUNTIFS('Blackout Brand Fam Areas (Enc)'!$B$6:$B$998,$A76,'Blackout Brand Fam Areas (Enc)'!$C$6:$C$998,J$1,'Blackout Brand Fam Areas (Enc)'!$D$6:$D$998,"Inactive")&gt;0,"BLOCKED","CAN SELL"))</f>
        <v>BLOCKED</v>
      </c>
      <c r="K76" s="2" t="str">
        <f>IF($A76="","",IF(COUNTIFS('Blackout Brand Fam Areas (Enc)'!$B$6:$B$998,$A76,'Blackout Brand Fam Areas (Enc)'!$C$6:$C$998,K$1,'Blackout Brand Fam Areas (Enc)'!$D$6:$D$998,"Inactive")&gt;0,"BLOCKED","CAN SELL"))</f>
        <v>CAN SELL</v>
      </c>
    </row>
    <row r="77" spans="1:11" x14ac:dyDescent="0.2">
      <c r="A77" s="2" t="str">
        <v>Grolsch</v>
      </c>
      <c r="B77" s="2" t="str">
        <f>IF($A77="","",IF(COUNTIFS('Blackout Brand Fam Areas (Enc)'!$B$6:$B$998,$A77,'Blackout Brand Fam Areas (Enc)'!$C$6:$C$998,B$1,'Blackout Brand Fam Areas (Enc)'!$D$6:$D$998,"Inactive")&gt;0,"BLOCKED","CAN SELL"))</f>
        <v>CAN SELL</v>
      </c>
      <c r="C77" s="2" t="str">
        <f>IF($A77="","",IF(COUNTIFS('Blackout Brand Fam Areas (Enc)'!$B$6:$B$998,$A77,'Blackout Brand Fam Areas (Enc)'!$C$6:$C$998,C$1,'Blackout Brand Fam Areas (Enc)'!$D$6:$D$998,"Inactive")&gt;0,"BLOCKED","CAN SELL"))</f>
        <v>CAN SELL</v>
      </c>
      <c r="D77" s="2" t="str">
        <f>IF($A77="","",IF(COUNTIFS('Blackout Brand Fam Areas (Enc)'!$B$6:$B$998,$A77,'Blackout Brand Fam Areas (Enc)'!$C$6:$C$998,D$1,'Blackout Brand Fam Areas (Enc)'!$D$6:$D$998,"Inactive")&gt;0,"BLOCKED","CAN SELL"))</f>
        <v>CAN SELL</v>
      </c>
      <c r="E77" s="2" t="str">
        <f>IF($A77="","",IF(COUNTIFS('Blackout Brand Fam Areas (Enc)'!$B$6:$B$998,$A77,'Blackout Brand Fam Areas (Enc)'!$C$6:$C$998,E$1,'Blackout Brand Fam Areas (Enc)'!$D$6:$D$998,"Inactive")&gt;0,"BLOCKED","CAN SELL"))</f>
        <v>BLOCKED</v>
      </c>
      <c r="F77" s="2" t="str">
        <f>IF($A77="","",IF(COUNTIFS('Blackout Brand Fam Areas (Enc)'!$B$6:$B$998,$A77,'Blackout Brand Fam Areas (Enc)'!$C$6:$C$998,F$1,'Blackout Brand Fam Areas (Enc)'!$D$6:$D$998,"Inactive")&gt;0,"BLOCKED","CAN SELL"))</f>
        <v>BLOCKED</v>
      </c>
      <c r="G77" s="2" t="str">
        <f>IF($A77="","",IF(COUNTIFS('Blackout Brand Fam Areas (Enc)'!$B$6:$B$998,$A77,'Blackout Brand Fam Areas (Enc)'!$C$6:$C$998,G$1,'Blackout Brand Fam Areas (Enc)'!$D$6:$D$998,"Inactive")&gt;0,"BLOCKED","CAN SELL"))</f>
        <v>BLOCKED</v>
      </c>
      <c r="H77" s="2" t="str">
        <f>IF($A77="","",IF(COUNTIFS('Blackout Brand Fam Areas (Enc)'!$B$6:$B$998,$A77,'Blackout Brand Fam Areas (Enc)'!$C$6:$C$998,H$1,'Blackout Brand Fam Areas (Enc)'!$D$6:$D$998,"Inactive")&gt;0,"BLOCKED","CAN SELL"))</f>
        <v>CAN SELL</v>
      </c>
      <c r="I77" s="2" t="str">
        <f>IF($A77="","",IF(COUNTIFS('Blackout Brand Fam Areas (Enc)'!$B$6:$B$998,$A77,'Blackout Brand Fam Areas (Enc)'!$C$6:$C$998,I$1,'Blackout Brand Fam Areas (Enc)'!$D$6:$D$998,"Inactive")&gt;0,"BLOCKED","CAN SELL"))</f>
        <v>CAN SELL</v>
      </c>
      <c r="J77" s="2" t="str">
        <f>IF($A77="","",IF(COUNTIFS('Blackout Brand Fam Areas (Enc)'!$B$6:$B$998,$A77,'Blackout Brand Fam Areas (Enc)'!$C$6:$C$998,J$1,'Blackout Brand Fam Areas (Enc)'!$D$6:$D$998,"Inactive")&gt;0,"BLOCKED","CAN SELL"))</f>
        <v>BLOCKED</v>
      </c>
      <c r="K77" s="2" t="str">
        <f>IF($A77="","",IF(COUNTIFS('Blackout Brand Fam Areas (Enc)'!$B$6:$B$998,$A77,'Blackout Brand Fam Areas (Enc)'!$C$6:$C$998,K$1,'Blackout Brand Fam Areas (Enc)'!$D$6:$D$998,"Inactive")&gt;0,"BLOCKED","CAN SELL"))</f>
        <v>CAN SELL</v>
      </c>
    </row>
    <row r="78" spans="1:11" x14ac:dyDescent="0.2">
      <c r="A78" s="2" t="str">
        <v>Hacker-Pschorr</v>
      </c>
      <c r="B78" s="2" t="str">
        <f>IF($A78="","",IF(COUNTIFS('Blackout Brand Fam Areas (Enc)'!$B$6:$B$998,$A78,'Blackout Brand Fam Areas (Enc)'!$C$6:$C$998,B$1,'Blackout Brand Fam Areas (Enc)'!$D$6:$D$998,"Inactive")&gt;0,"BLOCKED","CAN SELL"))</f>
        <v>CAN SELL</v>
      </c>
      <c r="C78" s="2" t="str">
        <f>IF($A78="","",IF(COUNTIFS('Blackout Brand Fam Areas (Enc)'!$B$6:$B$998,$A78,'Blackout Brand Fam Areas (Enc)'!$C$6:$C$998,C$1,'Blackout Brand Fam Areas (Enc)'!$D$6:$D$998,"Inactive")&gt;0,"BLOCKED","CAN SELL"))</f>
        <v>CAN SELL</v>
      </c>
      <c r="D78" s="2" t="str">
        <f>IF($A78="","",IF(COUNTIFS('Blackout Brand Fam Areas (Enc)'!$B$6:$B$998,$A78,'Blackout Brand Fam Areas (Enc)'!$C$6:$C$998,D$1,'Blackout Brand Fam Areas (Enc)'!$D$6:$D$998,"Inactive")&gt;0,"BLOCKED","CAN SELL"))</f>
        <v>CAN SELL</v>
      </c>
      <c r="E78" s="2" t="str">
        <f>IF($A78="","",IF(COUNTIFS('Blackout Brand Fam Areas (Enc)'!$B$6:$B$998,$A78,'Blackout Brand Fam Areas (Enc)'!$C$6:$C$998,E$1,'Blackout Brand Fam Areas (Enc)'!$D$6:$D$998,"Inactive")&gt;0,"BLOCKED","CAN SELL"))</f>
        <v>CAN SELL</v>
      </c>
      <c r="F78" s="2" t="str">
        <f>IF($A78="","",IF(COUNTIFS('Blackout Brand Fam Areas (Enc)'!$B$6:$B$998,$A78,'Blackout Brand Fam Areas (Enc)'!$C$6:$C$998,F$1,'Blackout Brand Fam Areas (Enc)'!$D$6:$D$998,"Inactive")&gt;0,"BLOCKED","CAN SELL"))</f>
        <v>CAN SELL</v>
      </c>
      <c r="G78" s="2" t="str">
        <f>IF($A78="","",IF(COUNTIFS('Blackout Brand Fam Areas (Enc)'!$B$6:$B$998,$A78,'Blackout Brand Fam Areas (Enc)'!$C$6:$C$998,G$1,'Blackout Brand Fam Areas (Enc)'!$D$6:$D$998,"Inactive")&gt;0,"BLOCKED","CAN SELL"))</f>
        <v>BLOCKED</v>
      </c>
      <c r="H78" s="2" t="str">
        <f>IF($A78="","",IF(COUNTIFS('Blackout Brand Fam Areas (Enc)'!$B$6:$B$998,$A78,'Blackout Brand Fam Areas (Enc)'!$C$6:$C$998,H$1,'Blackout Brand Fam Areas (Enc)'!$D$6:$D$998,"Inactive")&gt;0,"BLOCKED","CAN SELL"))</f>
        <v>BLOCKED</v>
      </c>
      <c r="I78" s="2" t="str">
        <f>IF($A78="","",IF(COUNTIFS('Blackout Brand Fam Areas (Enc)'!$B$6:$B$998,$A78,'Blackout Brand Fam Areas (Enc)'!$C$6:$C$998,I$1,'Blackout Brand Fam Areas (Enc)'!$D$6:$D$998,"Inactive")&gt;0,"BLOCKED","CAN SELL"))</f>
        <v>BLOCKED</v>
      </c>
      <c r="J78" s="2" t="str">
        <f>IF($A78="","",IF(COUNTIFS('Blackout Brand Fam Areas (Enc)'!$B$6:$B$998,$A78,'Blackout Brand Fam Areas (Enc)'!$C$6:$C$998,J$1,'Blackout Brand Fam Areas (Enc)'!$D$6:$D$998,"Inactive")&gt;0,"BLOCKED","CAN SELL"))</f>
        <v>BLOCKED</v>
      </c>
      <c r="K78" s="2" t="str">
        <f>IF($A78="","",IF(COUNTIFS('Blackout Brand Fam Areas (Enc)'!$B$6:$B$998,$A78,'Blackout Brand Fam Areas (Enc)'!$C$6:$C$998,K$1,'Blackout Brand Fam Areas (Enc)'!$D$6:$D$998,"Inactive")&gt;0,"BLOCKED","CAN SELL"))</f>
        <v>BLOCKED</v>
      </c>
    </row>
    <row r="79" spans="1:11" x14ac:dyDescent="0.2">
      <c r="A79" s="2" t="str">
        <v>Hamm's</v>
      </c>
      <c r="B79" s="2" t="str">
        <f>IF($A79="","",IF(COUNTIFS('Blackout Brand Fam Areas (Enc)'!$B$6:$B$998,$A79,'Blackout Brand Fam Areas (Enc)'!$C$6:$C$998,B$1,'Blackout Brand Fam Areas (Enc)'!$D$6:$D$998,"Inactive")&gt;0,"BLOCKED","CAN SELL"))</f>
        <v>CAN SELL</v>
      </c>
      <c r="C79" s="2" t="str">
        <f>IF($A79="","",IF(COUNTIFS('Blackout Brand Fam Areas (Enc)'!$B$6:$B$998,$A79,'Blackout Brand Fam Areas (Enc)'!$C$6:$C$998,C$1,'Blackout Brand Fam Areas (Enc)'!$D$6:$D$998,"Inactive")&gt;0,"BLOCKED","CAN SELL"))</f>
        <v>CAN SELL</v>
      </c>
      <c r="D79" s="2" t="str">
        <f>IF($A79="","",IF(COUNTIFS('Blackout Brand Fam Areas (Enc)'!$B$6:$B$998,$A79,'Blackout Brand Fam Areas (Enc)'!$C$6:$C$998,D$1,'Blackout Brand Fam Areas (Enc)'!$D$6:$D$998,"Inactive")&gt;0,"BLOCKED","CAN SELL"))</f>
        <v>CAN SELL</v>
      </c>
      <c r="E79" s="2" t="str">
        <f>IF($A79="","",IF(COUNTIFS('Blackout Brand Fam Areas (Enc)'!$B$6:$B$998,$A79,'Blackout Brand Fam Areas (Enc)'!$C$6:$C$998,E$1,'Blackout Brand Fam Areas (Enc)'!$D$6:$D$998,"Inactive")&gt;0,"BLOCKED","CAN SELL"))</f>
        <v>BLOCKED</v>
      </c>
      <c r="F79" s="2" t="str">
        <f>IF($A79="","",IF(COUNTIFS('Blackout Brand Fam Areas (Enc)'!$B$6:$B$998,$A79,'Blackout Brand Fam Areas (Enc)'!$C$6:$C$998,F$1,'Blackout Brand Fam Areas (Enc)'!$D$6:$D$998,"Inactive")&gt;0,"BLOCKED","CAN SELL"))</f>
        <v>BLOCKED</v>
      </c>
      <c r="G79" s="2" t="str">
        <f>IF($A79="","",IF(COUNTIFS('Blackout Brand Fam Areas (Enc)'!$B$6:$B$998,$A79,'Blackout Brand Fam Areas (Enc)'!$C$6:$C$998,G$1,'Blackout Brand Fam Areas (Enc)'!$D$6:$D$998,"Inactive")&gt;0,"BLOCKED","CAN SELL"))</f>
        <v>BLOCKED</v>
      </c>
      <c r="H79" s="2" t="str">
        <f>IF($A79="","",IF(COUNTIFS('Blackout Brand Fam Areas (Enc)'!$B$6:$B$998,$A79,'Blackout Brand Fam Areas (Enc)'!$C$6:$C$998,H$1,'Blackout Brand Fam Areas (Enc)'!$D$6:$D$998,"Inactive")&gt;0,"BLOCKED","CAN SELL"))</f>
        <v>CAN SELL</v>
      </c>
      <c r="I79" s="2" t="str">
        <f>IF($A79="","",IF(COUNTIFS('Blackout Brand Fam Areas (Enc)'!$B$6:$B$998,$A79,'Blackout Brand Fam Areas (Enc)'!$C$6:$C$998,I$1,'Blackout Brand Fam Areas (Enc)'!$D$6:$D$998,"Inactive")&gt;0,"BLOCKED","CAN SELL"))</f>
        <v>CAN SELL</v>
      </c>
      <c r="J79" s="2" t="str">
        <f>IF($A79="","",IF(COUNTIFS('Blackout Brand Fam Areas (Enc)'!$B$6:$B$998,$A79,'Blackout Brand Fam Areas (Enc)'!$C$6:$C$998,J$1,'Blackout Brand Fam Areas (Enc)'!$D$6:$D$998,"Inactive")&gt;0,"BLOCKED","CAN SELL"))</f>
        <v>BLOCKED</v>
      </c>
      <c r="K79" s="2" t="str">
        <f>IF($A79="","",IF(COUNTIFS('Blackout Brand Fam Areas (Enc)'!$B$6:$B$998,$A79,'Blackout Brand Fam Areas (Enc)'!$C$6:$C$998,K$1,'Blackout Brand Fam Areas (Enc)'!$D$6:$D$998,"Inactive")&gt;0,"BLOCKED","CAN SELL"))</f>
        <v>CAN SELL</v>
      </c>
    </row>
    <row r="80" spans="1:11" x14ac:dyDescent="0.2">
      <c r="A80" s="2" t="str">
        <v>Hamm's Light</v>
      </c>
      <c r="B80" s="2" t="str">
        <f>IF($A80="","",IF(COUNTIFS('Blackout Brand Fam Areas (Enc)'!$B$6:$B$998,$A80,'Blackout Brand Fam Areas (Enc)'!$C$6:$C$998,B$1,'Blackout Brand Fam Areas (Enc)'!$D$6:$D$998,"Inactive")&gt;0,"BLOCKED","CAN SELL"))</f>
        <v>CAN SELL</v>
      </c>
      <c r="C80" s="2" t="str">
        <f>IF($A80="","",IF(COUNTIFS('Blackout Brand Fam Areas (Enc)'!$B$6:$B$998,$A80,'Blackout Brand Fam Areas (Enc)'!$C$6:$C$998,C$1,'Blackout Brand Fam Areas (Enc)'!$D$6:$D$998,"Inactive")&gt;0,"BLOCKED","CAN SELL"))</f>
        <v>CAN SELL</v>
      </c>
      <c r="D80" s="2" t="str">
        <f>IF($A80="","",IF(COUNTIFS('Blackout Brand Fam Areas (Enc)'!$B$6:$B$998,$A80,'Blackout Brand Fam Areas (Enc)'!$C$6:$C$998,D$1,'Blackout Brand Fam Areas (Enc)'!$D$6:$D$998,"Inactive")&gt;0,"BLOCKED","CAN SELL"))</f>
        <v>CAN SELL</v>
      </c>
      <c r="E80" s="2" t="str">
        <f>IF($A80="","",IF(COUNTIFS('Blackout Brand Fam Areas (Enc)'!$B$6:$B$998,$A80,'Blackout Brand Fam Areas (Enc)'!$C$6:$C$998,E$1,'Blackout Brand Fam Areas (Enc)'!$D$6:$D$998,"Inactive")&gt;0,"BLOCKED","CAN SELL"))</f>
        <v>BLOCKED</v>
      </c>
      <c r="F80" s="2" t="str">
        <f>IF($A80="","",IF(COUNTIFS('Blackout Brand Fam Areas (Enc)'!$B$6:$B$998,$A80,'Blackout Brand Fam Areas (Enc)'!$C$6:$C$998,F$1,'Blackout Brand Fam Areas (Enc)'!$D$6:$D$998,"Inactive")&gt;0,"BLOCKED","CAN SELL"))</f>
        <v>BLOCKED</v>
      </c>
      <c r="G80" s="2" t="str">
        <f>IF($A80="","",IF(COUNTIFS('Blackout Brand Fam Areas (Enc)'!$B$6:$B$998,$A80,'Blackout Brand Fam Areas (Enc)'!$C$6:$C$998,G$1,'Blackout Brand Fam Areas (Enc)'!$D$6:$D$998,"Inactive")&gt;0,"BLOCKED","CAN SELL"))</f>
        <v>BLOCKED</v>
      </c>
      <c r="H80" s="2" t="str">
        <f>IF($A80="","",IF(COUNTIFS('Blackout Brand Fam Areas (Enc)'!$B$6:$B$998,$A80,'Blackout Brand Fam Areas (Enc)'!$C$6:$C$998,H$1,'Blackout Brand Fam Areas (Enc)'!$D$6:$D$998,"Inactive")&gt;0,"BLOCKED","CAN SELL"))</f>
        <v>CAN SELL</v>
      </c>
      <c r="I80" s="2" t="str">
        <f>IF($A80="","",IF(COUNTIFS('Blackout Brand Fam Areas (Enc)'!$B$6:$B$998,$A80,'Blackout Brand Fam Areas (Enc)'!$C$6:$C$998,I$1,'Blackout Brand Fam Areas (Enc)'!$D$6:$D$998,"Inactive")&gt;0,"BLOCKED","CAN SELL"))</f>
        <v>CAN SELL</v>
      </c>
      <c r="J80" s="2" t="str">
        <f>IF($A80="","",IF(COUNTIFS('Blackout Brand Fam Areas (Enc)'!$B$6:$B$998,$A80,'Blackout Brand Fam Areas (Enc)'!$C$6:$C$998,J$1,'Blackout Brand Fam Areas (Enc)'!$D$6:$D$998,"Inactive")&gt;0,"BLOCKED","CAN SELL"))</f>
        <v>BLOCKED</v>
      </c>
      <c r="K80" s="2" t="str">
        <f>IF($A80="","",IF(COUNTIFS('Blackout Brand Fam Areas (Enc)'!$B$6:$B$998,$A80,'Blackout Brand Fam Areas (Enc)'!$C$6:$C$998,K$1,'Blackout Brand Fam Areas (Enc)'!$D$6:$D$998,"Inactive")&gt;0,"BLOCKED","CAN SELL"))</f>
        <v>CAN SELL</v>
      </c>
    </row>
    <row r="81" spans="1:11" x14ac:dyDescent="0.2">
      <c r="A81" s="2" t="str">
        <v>Happy Thursday Spiked Refresher</v>
      </c>
      <c r="B81" s="2" t="str">
        <f>IF($A81="","",IF(COUNTIFS('Blackout Brand Fam Areas (Enc)'!$B$6:$B$998,$A81,'Blackout Brand Fam Areas (Enc)'!$C$6:$C$998,B$1,'Blackout Brand Fam Areas (Enc)'!$D$6:$D$998,"Inactive")&gt;0,"BLOCKED","CAN SELL"))</f>
        <v>CAN SELL</v>
      </c>
      <c r="C81" s="2" t="str">
        <f>IF($A81="","",IF(COUNTIFS('Blackout Brand Fam Areas (Enc)'!$B$6:$B$998,$A81,'Blackout Brand Fam Areas (Enc)'!$C$6:$C$998,C$1,'Blackout Brand Fam Areas (Enc)'!$D$6:$D$998,"Inactive")&gt;0,"BLOCKED","CAN SELL"))</f>
        <v>CAN SELL</v>
      </c>
      <c r="D81" s="2" t="str">
        <f>IF($A81="","",IF(COUNTIFS('Blackout Brand Fam Areas (Enc)'!$B$6:$B$998,$A81,'Blackout Brand Fam Areas (Enc)'!$C$6:$C$998,D$1,'Blackout Brand Fam Areas (Enc)'!$D$6:$D$998,"Inactive")&gt;0,"BLOCKED","CAN SELL"))</f>
        <v>CAN SELL</v>
      </c>
      <c r="E81" s="2" t="str">
        <f>IF($A81="","",IF(COUNTIFS('Blackout Brand Fam Areas (Enc)'!$B$6:$B$998,$A81,'Blackout Brand Fam Areas (Enc)'!$C$6:$C$998,E$1,'Blackout Brand Fam Areas (Enc)'!$D$6:$D$998,"Inactive")&gt;0,"BLOCKED","CAN SELL"))</f>
        <v>BLOCKED</v>
      </c>
      <c r="F81" s="2" t="str">
        <f>IF($A81="","",IF(COUNTIFS('Blackout Brand Fam Areas (Enc)'!$B$6:$B$998,$A81,'Blackout Brand Fam Areas (Enc)'!$C$6:$C$998,F$1,'Blackout Brand Fam Areas (Enc)'!$D$6:$D$998,"Inactive")&gt;0,"BLOCKED","CAN SELL"))</f>
        <v>BLOCKED</v>
      </c>
      <c r="G81" s="2" t="str">
        <f>IF($A81="","",IF(COUNTIFS('Blackout Brand Fam Areas (Enc)'!$B$6:$B$998,$A81,'Blackout Brand Fam Areas (Enc)'!$C$6:$C$998,G$1,'Blackout Brand Fam Areas (Enc)'!$D$6:$D$998,"Inactive")&gt;0,"BLOCKED","CAN SELL"))</f>
        <v>BLOCKED</v>
      </c>
      <c r="H81" s="2" t="str">
        <f>IF($A81="","",IF(COUNTIFS('Blackout Brand Fam Areas (Enc)'!$B$6:$B$998,$A81,'Blackout Brand Fam Areas (Enc)'!$C$6:$C$998,H$1,'Blackout Brand Fam Areas (Enc)'!$D$6:$D$998,"Inactive")&gt;0,"BLOCKED","CAN SELL"))</f>
        <v>CAN SELL</v>
      </c>
      <c r="I81" s="2" t="str">
        <f>IF($A81="","",IF(COUNTIFS('Blackout Brand Fam Areas (Enc)'!$B$6:$B$998,$A81,'Blackout Brand Fam Areas (Enc)'!$C$6:$C$998,I$1,'Blackout Brand Fam Areas (Enc)'!$D$6:$D$998,"Inactive")&gt;0,"BLOCKED","CAN SELL"))</f>
        <v>CAN SELL</v>
      </c>
      <c r="J81" s="2" t="str">
        <f>IF($A81="","",IF(COUNTIFS('Blackout Brand Fam Areas (Enc)'!$B$6:$B$998,$A81,'Blackout Brand Fam Areas (Enc)'!$C$6:$C$998,J$1,'Blackout Brand Fam Areas (Enc)'!$D$6:$D$998,"Inactive")&gt;0,"BLOCKED","CAN SELL"))</f>
        <v>BLOCKED</v>
      </c>
      <c r="K81" s="2" t="str">
        <f>IF($A81="","",IF(COUNTIFS('Blackout Brand Fam Areas (Enc)'!$B$6:$B$998,$A81,'Blackout Brand Fam Areas (Enc)'!$C$6:$C$998,K$1,'Blackout Brand Fam Areas (Enc)'!$D$6:$D$998,"Inactive")&gt;0,"BLOCKED","CAN SELL"))</f>
        <v>CAN SELL</v>
      </c>
    </row>
    <row r="82" spans="1:11" x14ac:dyDescent="0.2">
      <c r="A82" s="2" t="str">
        <v>Hard Fresco</v>
      </c>
      <c r="B82" s="2" t="str">
        <f>IF($A82="","",IF(COUNTIFS('Blackout Brand Fam Areas (Enc)'!$B$6:$B$998,$A82,'Blackout Brand Fam Areas (Enc)'!$C$6:$C$998,B$1,'Blackout Brand Fam Areas (Enc)'!$D$6:$D$998,"Inactive")&gt;0,"BLOCKED","CAN SELL"))</f>
        <v>CAN SELL</v>
      </c>
      <c r="C82" s="2" t="str">
        <f>IF($A82="","",IF(COUNTIFS('Blackout Brand Fam Areas (Enc)'!$B$6:$B$998,$A82,'Blackout Brand Fam Areas (Enc)'!$C$6:$C$998,C$1,'Blackout Brand Fam Areas (Enc)'!$D$6:$D$998,"Inactive")&gt;0,"BLOCKED","CAN SELL"))</f>
        <v>CAN SELL</v>
      </c>
      <c r="D82" s="2" t="str">
        <f>IF($A82="","",IF(COUNTIFS('Blackout Brand Fam Areas (Enc)'!$B$6:$B$998,$A82,'Blackout Brand Fam Areas (Enc)'!$C$6:$C$998,D$1,'Blackout Brand Fam Areas (Enc)'!$D$6:$D$998,"Inactive")&gt;0,"BLOCKED","CAN SELL"))</f>
        <v>CAN SELL</v>
      </c>
      <c r="E82" s="2" t="str">
        <f>IF($A82="","",IF(COUNTIFS('Blackout Brand Fam Areas (Enc)'!$B$6:$B$998,$A82,'Blackout Brand Fam Areas (Enc)'!$C$6:$C$998,E$1,'Blackout Brand Fam Areas (Enc)'!$D$6:$D$998,"Inactive")&gt;0,"BLOCKED","CAN SELL"))</f>
        <v>BLOCKED</v>
      </c>
      <c r="F82" s="2" t="str">
        <f>IF($A82="","",IF(COUNTIFS('Blackout Brand Fam Areas (Enc)'!$B$6:$B$998,$A82,'Blackout Brand Fam Areas (Enc)'!$C$6:$C$998,F$1,'Blackout Brand Fam Areas (Enc)'!$D$6:$D$998,"Inactive")&gt;0,"BLOCKED","CAN SELL"))</f>
        <v>CAN SELL</v>
      </c>
      <c r="G82" s="2" t="str">
        <f>IF($A82="","",IF(COUNTIFS('Blackout Brand Fam Areas (Enc)'!$B$6:$B$998,$A82,'Blackout Brand Fam Areas (Enc)'!$C$6:$C$998,G$1,'Blackout Brand Fam Areas (Enc)'!$D$6:$D$998,"Inactive")&gt;0,"BLOCKED","CAN SELL"))</f>
        <v>BLOCKED</v>
      </c>
      <c r="H82" s="2" t="str">
        <f>IF($A82="","",IF(COUNTIFS('Blackout Brand Fam Areas (Enc)'!$B$6:$B$998,$A82,'Blackout Brand Fam Areas (Enc)'!$C$6:$C$998,H$1,'Blackout Brand Fam Areas (Enc)'!$D$6:$D$998,"Inactive")&gt;0,"BLOCKED","CAN SELL"))</f>
        <v>CAN SELL</v>
      </c>
      <c r="I82" s="2" t="str">
        <f>IF($A82="","",IF(COUNTIFS('Blackout Brand Fam Areas (Enc)'!$B$6:$B$998,$A82,'Blackout Brand Fam Areas (Enc)'!$C$6:$C$998,I$1,'Blackout Brand Fam Areas (Enc)'!$D$6:$D$998,"Inactive")&gt;0,"BLOCKED","CAN SELL"))</f>
        <v>CAN SELL</v>
      </c>
      <c r="J82" s="2" t="str">
        <f>IF($A82="","",IF(COUNTIFS('Blackout Brand Fam Areas (Enc)'!$B$6:$B$998,$A82,'Blackout Brand Fam Areas (Enc)'!$C$6:$C$998,J$1,'Blackout Brand Fam Areas (Enc)'!$D$6:$D$998,"Inactive")&gt;0,"BLOCKED","CAN SELL"))</f>
        <v>BLOCKED</v>
      </c>
      <c r="K82" s="2" t="str">
        <f>IF($A82="","",IF(COUNTIFS('Blackout Brand Fam Areas (Enc)'!$B$6:$B$998,$A82,'Blackout Brand Fam Areas (Enc)'!$C$6:$C$998,K$1,'Blackout Brand Fam Areas (Enc)'!$D$6:$D$998,"Inactive")&gt;0,"BLOCKED","CAN SELL"))</f>
        <v>CAN SELL</v>
      </c>
    </row>
    <row r="83" spans="1:11" x14ac:dyDescent="0.2">
      <c r="A83" s="2" t="str">
        <v>Hard Mountain Dew</v>
      </c>
      <c r="B83" s="2" t="str">
        <f>IF($A83="","",IF(COUNTIFS('Blackout Brand Fam Areas (Enc)'!$B$6:$B$998,$A83,'Blackout Brand Fam Areas (Enc)'!$C$6:$C$998,B$1,'Blackout Brand Fam Areas (Enc)'!$D$6:$D$998,"Inactive")&gt;0,"BLOCKED","CAN SELL"))</f>
        <v>CAN SELL</v>
      </c>
      <c r="C83" s="2" t="str">
        <f>IF($A83="","",IF(COUNTIFS('Blackout Brand Fam Areas (Enc)'!$B$6:$B$998,$A83,'Blackout Brand Fam Areas (Enc)'!$C$6:$C$998,C$1,'Blackout Brand Fam Areas (Enc)'!$D$6:$D$998,"Inactive")&gt;0,"BLOCKED","CAN SELL"))</f>
        <v>CAN SELL</v>
      </c>
      <c r="D83" s="2" t="str">
        <f>IF($A83="","",IF(COUNTIFS('Blackout Brand Fam Areas (Enc)'!$B$6:$B$998,$A83,'Blackout Brand Fam Areas (Enc)'!$C$6:$C$998,D$1,'Blackout Brand Fam Areas (Enc)'!$D$6:$D$998,"Inactive")&gt;0,"BLOCKED","CAN SELL"))</f>
        <v>CAN SELL</v>
      </c>
      <c r="E83" s="2" t="str">
        <f>IF($A83="","",IF(COUNTIFS('Blackout Brand Fam Areas (Enc)'!$B$6:$B$998,$A83,'Blackout Brand Fam Areas (Enc)'!$C$6:$C$998,E$1,'Blackout Brand Fam Areas (Enc)'!$D$6:$D$998,"Inactive")&gt;0,"BLOCKED","CAN SELL"))</f>
        <v>BLOCKED</v>
      </c>
      <c r="F83" s="2" t="str">
        <f>IF($A83="","",IF(COUNTIFS('Blackout Brand Fam Areas (Enc)'!$B$6:$B$998,$A83,'Blackout Brand Fam Areas (Enc)'!$C$6:$C$998,F$1,'Blackout Brand Fam Areas (Enc)'!$D$6:$D$998,"Inactive")&gt;0,"BLOCKED","CAN SELL"))</f>
        <v>BLOCKED</v>
      </c>
      <c r="G83" s="2" t="str">
        <f>IF($A83="","",IF(COUNTIFS('Blackout Brand Fam Areas (Enc)'!$B$6:$B$998,$A83,'Blackout Brand Fam Areas (Enc)'!$C$6:$C$998,G$1,'Blackout Brand Fam Areas (Enc)'!$D$6:$D$998,"Inactive")&gt;0,"BLOCKED","CAN SELL"))</f>
        <v>BLOCKED</v>
      </c>
      <c r="H83" s="2" t="str">
        <f>IF($A83="","",IF(COUNTIFS('Blackout Brand Fam Areas (Enc)'!$B$6:$B$998,$A83,'Blackout Brand Fam Areas (Enc)'!$C$6:$C$998,H$1,'Blackout Brand Fam Areas (Enc)'!$D$6:$D$998,"Inactive")&gt;0,"BLOCKED","CAN SELL"))</f>
        <v>CAN SELL</v>
      </c>
      <c r="I83" s="2" t="str">
        <f>IF($A83="","",IF(COUNTIFS('Blackout Brand Fam Areas (Enc)'!$B$6:$B$998,$A83,'Blackout Brand Fam Areas (Enc)'!$C$6:$C$998,I$1,'Blackout Brand Fam Areas (Enc)'!$D$6:$D$998,"Inactive")&gt;0,"BLOCKED","CAN SELL"))</f>
        <v>CAN SELL</v>
      </c>
      <c r="J83" s="2" t="str">
        <f>IF($A83="","",IF(COUNTIFS('Blackout Brand Fam Areas (Enc)'!$B$6:$B$998,$A83,'Blackout Brand Fam Areas (Enc)'!$C$6:$C$998,J$1,'Blackout Brand Fam Areas (Enc)'!$D$6:$D$998,"Inactive")&gt;0,"BLOCKED","CAN SELL"))</f>
        <v>BLOCKED</v>
      </c>
      <c r="K83" s="2" t="str">
        <f>IF($A83="","",IF(COUNTIFS('Blackout Brand Fam Areas (Enc)'!$B$6:$B$998,$A83,'Blackout Brand Fam Areas (Enc)'!$C$6:$C$998,K$1,'Blackout Brand Fam Areas (Enc)'!$D$6:$D$998,"Inactive")&gt;0,"BLOCKED","CAN SELL"))</f>
        <v>CAN SELL</v>
      </c>
    </row>
    <row r="84" spans="1:11" x14ac:dyDescent="0.2">
      <c r="A84" s="2" t="str">
        <v>Heineken 0.0</v>
      </c>
      <c r="B84" s="2" t="str">
        <f>IF($A84="","",IF(COUNTIFS('Blackout Brand Fam Areas (Enc)'!$B$6:$B$998,$A84,'Blackout Brand Fam Areas (Enc)'!$C$6:$C$998,B$1,'Blackout Brand Fam Areas (Enc)'!$D$6:$D$998,"Inactive")&gt;0,"BLOCKED","CAN SELL"))</f>
        <v>CAN SELL</v>
      </c>
      <c r="C84" s="2" t="str">
        <f>IF($A84="","",IF(COUNTIFS('Blackout Brand Fam Areas (Enc)'!$B$6:$B$998,$A84,'Blackout Brand Fam Areas (Enc)'!$C$6:$C$998,C$1,'Blackout Brand Fam Areas (Enc)'!$D$6:$D$998,"Inactive")&gt;0,"BLOCKED","CAN SELL"))</f>
        <v>CAN SELL</v>
      </c>
      <c r="D84" s="2" t="str">
        <f>IF($A84="","",IF(COUNTIFS('Blackout Brand Fam Areas (Enc)'!$B$6:$B$998,$A84,'Blackout Brand Fam Areas (Enc)'!$C$6:$C$998,D$1,'Blackout Brand Fam Areas (Enc)'!$D$6:$D$998,"Inactive")&gt;0,"BLOCKED","CAN SELL"))</f>
        <v>CAN SELL</v>
      </c>
      <c r="E84" s="2" t="str">
        <f>IF($A84="","",IF(COUNTIFS('Blackout Brand Fam Areas (Enc)'!$B$6:$B$998,$A84,'Blackout Brand Fam Areas (Enc)'!$C$6:$C$998,E$1,'Blackout Brand Fam Areas (Enc)'!$D$6:$D$998,"Inactive")&gt;0,"BLOCKED","CAN SELL"))</f>
        <v>BLOCKED</v>
      </c>
      <c r="F84" s="2" t="str">
        <f>IF($A84="","",IF(COUNTIFS('Blackout Brand Fam Areas (Enc)'!$B$6:$B$998,$A84,'Blackout Brand Fam Areas (Enc)'!$C$6:$C$998,F$1,'Blackout Brand Fam Areas (Enc)'!$D$6:$D$998,"Inactive")&gt;0,"BLOCKED","CAN SELL"))</f>
        <v>BLOCKED</v>
      </c>
      <c r="G84" s="2" t="str">
        <f>IF($A84="","",IF(COUNTIFS('Blackout Brand Fam Areas (Enc)'!$B$6:$B$998,$A84,'Blackout Brand Fam Areas (Enc)'!$C$6:$C$998,G$1,'Blackout Brand Fam Areas (Enc)'!$D$6:$D$998,"Inactive")&gt;0,"BLOCKED","CAN SELL"))</f>
        <v>BLOCKED</v>
      </c>
      <c r="H84" s="2" t="str">
        <f>IF($A84="","",IF(COUNTIFS('Blackout Brand Fam Areas (Enc)'!$B$6:$B$998,$A84,'Blackout Brand Fam Areas (Enc)'!$C$6:$C$998,H$1,'Blackout Brand Fam Areas (Enc)'!$D$6:$D$998,"Inactive")&gt;0,"BLOCKED","CAN SELL"))</f>
        <v>BLOCKED</v>
      </c>
      <c r="I84" s="2" t="str">
        <f>IF($A84="","",IF(COUNTIFS('Blackout Brand Fam Areas (Enc)'!$B$6:$B$998,$A84,'Blackout Brand Fam Areas (Enc)'!$C$6:$C$998,I$1,'Blackout Brand Fam Areas (Enc)'!$D$6:$D$998,"Inactive")&gt;0,"BLOCKED","CAN SELL"))</f>
        <v>BLOCKED</v>
      </c>
      <c r="J84" s="2" t="str">
        <f>IF($A84="","",IF(COUNTIFS('Blackout Brand Fam Areas (Enc)'!$B$6:$B$998,$A84,'Blackout Brand Fam Areas (Enc)'!$C$6:$C$998,J$1,'Blackout Brand Fam Areas (Enc)'!$D$6:$D$998,"Inactive")&gt;0,"BLOCKED","CAN SELL"))</f>
        <v>BLOCKED</v>
      </c>
      <c r="K84" s="2" t="str">
        <f>IF($A84="","",IF(COUNTIFS('Blackout Brand Fam Areas (Enc)'!$B$6:$B$998,$A84,'Blackout Brand Fam Areas (Enc)'!$C$6:$C$998,K$1,'Blackout Brand Fam Areas (Enc)'!$D$6:$D$998,"Inactive")&gt;0,"BLOCKED","CAN SELL"))</f>
        <v>CAN SELL</v>
      </c>
    </row>
    <row r="85" spans="1:11" x14ac:dyDescent="0.2">
      <c r="A85" s="2" t="str">
        <v>Heineken 0.0 Ultimate</v>
      </c>
      <c r="B85" s="2" t="str">
        <f>IF($A85="","",IF(COUNTIFS('Blackout Brand Fam Areas (Enc)'!$B$6:$B$998,$A85,'Blackout Brand Fam Areas (Enc)'!$C$6:$C$998,B$1,'Blackout Brand Fam Areas (Enc)'!$D$6:$D$998,"Inactive")&gt;0,"BLOCKED","CAN SELL"))</f>
        <v>CAN SELL</v>
      </c>
      <c r="C85" s="2" t="str">
        <f>IF($A85="","",IF(COUNTIFS('Blackout Brand Fam Areas (Enc)'!$B$6:$B$998,$A85,'Blackout Brand Fam Areas (Enc)'!$C$6:$C$998,C$1,'Blackout Brand Fam Areas (Enc)'!$D$6:$D$998,"Inactive")&gt;0,"BLOCKED","CAN SELL"))</f>
        <v>CAN SELL</v>
      </c>
      <c r="D85" s="2" t="str">
        <f>IF($A85="","",IF(COUNTIFS('Blackout Brand Fam Areas (Enc)'!$B$6:$B$998,$A85,'Blackout Brand Fam Areas (Enc)'!$C$6:$C$998,D$1,'Blackout Brand Fam Areas (Enc)'!$D$6:$D$998,"Inactive")&gt;0,"BLOCKED","CAN SELL"))</f>
        <v>CAN SELL</v>
      </c>
      <c r="E85" s="2" t="str">
        <f>IF($A85="","",IF(COUNTIFS('Blackout Brand Fam Areas (Enc)'!$B$6:$B$998,$A85,'Blackout Brand Fam Areas (Enc)'!$C$6:$C$998,E$1,'Blackout Brand Fam Areas (Enc)'!$D$6:$D$998,"Inactive")&gt;0,"BLOCKED","CAN SELL"))</f>
        <v>BLOCKED</v>
      </c>
      <c r="F85" s="2" t="str">
        <f>IF($A85="","",IF(COUNTIFS('Blackout Brand Fam Areas (Enc)'!$B$6:$B$998,$A85,'Blackout Brand Fam Areas (Enc)'!$C$6:$C$998,F$1,'Blackout Brand Fam Areas (Enc)'!$D$6:$D$998,"Inactive")&gt;0,"BLOCKED","CAN SELL"))</f>
        <v>BLOCKED</v>
      </c>
      <c r="G85" s="2" t="str">
        <f>IF($A85="","",IF(COUNTIFS('Blackout Brand Fam Areas (Enc)'!$B$6:$B$998,$A85,'Blackout Brand Fam Areas (Enc)'!$C$6:$C$998,G$1,'Blackout Brand Fam Areas (Enc)'!$D$6:$D$998,"Inactive")&gt;0,"BLOCKED","CAN SELL"))</f>
        <v>BLOCKED</v>
      </c>
      <c r="H85" s="2" t="str">
        <f>IF($A85="","",IF(COUNTIFS('Blackout Brand Fam Areas (Enc)'!$B$6:$B$998,$A85,'Blackout Brand Fam Areas (Enc)'!$C$6:$C$998,H$1,'Blackout Brand Fam Areas (Enc)'!$D$6:$D$998,"Inactive")&gt;0,"BLOCKED","CAN SELL"))</f>
        <v>BLOCKED</v>
      </c>
      <c r="I85" s="2" t="str">
        <f>IF($A85="","",IF(COUNTIFS('Blackout Brand Fam Areas (Enc)'!$B$6:$B$998,$A85,'Blackout Brand Fam Areas (Enc)'!$C$6:$C$998,I$1,'Blackout Brand Fam Areas (Enc)'!$D$6:$D$998,"Inactive")&gt;0,"BLOCKED","CAN SELL"))</f>
        <v>BLOCKED</v>
      </c>
      <c r="J85" s="2" t="str">
        <f>IF($A85="","",IF(COUNTIFS('Blackout Brand Fam Areas (Enc)'!$B$6:$B$998,$A85,'Blackout Brand Fam Areas (Enc)'!$C$6:$C$998,J$1,'Blackout Brand Fam Areas (Enc)'!$D$6:$D$998,"Inactive")&gt;0,"BLOCKED","CAN SELL"))</f>
        <v>BLOCKED</v>
      </c>
      <c r="K85" s="2" t="str">
        <f>IF($A85="","",IF(COUNTIFS('Blackout Brand Fam Areas (Enc)'!$B$6:$B$998,$A85,'Blackout Brand Fam Areas (Enc)'!$C$6:$C$998,K$1,'Blackout Brand Fam Areas (Enc)'!$D$6:$D$998,"Inactive")&gt;0,"BLOCKED","CAN SELL"))</f>
        <v>CAN SELL</v>
      </c>
    </row>
    <row r="86" spans="1:11" x14ac:dyDescent="0.2">
      <c r="A86" s="2" t="str">
        <v>Heineken Dark</v>
      </c>
      <c r="B86" s="2" t="str">
        <f>IF($A86="","",IF(COUNTIFS('Blackout Brand Fam Areas (Enc)'!$B$6:$B$998,$A86,'Blackout Brand Fam Areas (Enc)'!$C$6:$C$998,B$1,'Blackout Brand Fam Areas (Enc)'!$D$6:$D$998,"Inactive")&gt;0,"BLOCKED","CAN SELL"))</f>
        <v>CAN SELL</v>
      </c>
      <c r="C86" s="2" t="str">
        <f>IF($A86="","",IF(COUNTIFS('Blackout Brand Fam Areas (Enc)'!$B$6:$B$998,$A86,'Blackout Brand Fam Areas (Enc)'!$C$6:$C$998,C$1,'Blackout Brand Fam Areas (Enc)'!$D$6:$D$998,"Inactive")&gt;0,"BLOCKED","CAN SELL"))</f>
        <v>CAN SELL</v>
      </c>
      <c r="D86" s="2" t="str">
        <f>IF($A86="","",IF(COUNTIFS('Blackout Brand Fam Areas (Enc)'!$B$6:$B$998,$A86,'Blackout Brand Fam Areas (Enc)'!$C$6:$C$998,D$1,'Blackout Brand Fam Areas (Enc)'!$D$6:$D$998,"Inactive")&gt;0,"BLOCKED","CAN SELL"))</f>
        <v>CAN SELL</v>
      </c>
      <c r="E86" s="2" t="str">
        <f>IF($A86="","",IF(COUNTIFS('Blackout Brand Fam Areas (Enc)'!$B$6:$B$998,$A86,'Blackout Brand Fam Areas (Enc)'!$C$6:$C$998,E$1,'Blackout Brand Fam Areas (Enc)'!$D$6:$D$998,"Inactive")&gt;0,"BLOCKED","CAN SELL"))</f>
        <v>BLOCKED</v>
      </c>
      <c r="F86" s="2" t="str">
        <f>IF($A86="","",IF(COUNTIFS('Blackout Brand Fam Areas (Enc)'!$B$6:$B$998,$A86,'Blackout Brand Fam Areas (Enc)'!$C$6:$C$998,F$1,'Blackout Brand Fam Areas (Enc)'!$D$6:$D$998,"Inactive")&gt;0,"BLOCKED","CAN SELL"))</f>
        <v>BLOCKED</v>
      </c>
      <c r="G86" s="2" t="str">
        <f>IF($A86="","",IF(COUNTIFS('Blackout Brand Fam Areas (Enc)'!$B$6:$B$998,$A86,'Blackout Brand Fam Areas (Enc)'!$C$6:$C$998,G$1,'Blackout Brand Fam Areas (Enc)'!$D$6:$D$998,"Inactive")&gt;0,"BLOCKED","CAN SELL"))</f>
        <v>BLOCKED</v>
      </c>
      <c r="H86" s="2" t="str">
        <f>IF($A86="","",IF(COUNTIFS('Blackout Brand Fam Areas (Enc)'!$B$6:$B$998,$A86,'Blackout Brand Fam Areas (Enc)'!$C$6:$C$998,H$1,'Blackout Brand Fam Areas (Enc)'!$D$6:$D$998,"Inactive")&gt;0,"BLOCKED","CAN SELL"))</f>
        <v>BLOCKED</v>
      </c>
      <c r="I86" s="2" t="str">
        <f>IF($A86="","",IF(COUNTIFS('Blackout Brand Fam Areas (Enc)'!$B$6:$B$998,$A86,'Blackout Brand Fam Areas (Enc)'!$C$6:$C$998,I$1,'Blackout Brand Fam Areas (Enc)'!$D$6:$D$998,"Inactive")&gt;0,"BLOCKED","CAN SELL"))</f>
        <v>BLOCKED</v>
      </c>
      <c r="J86" s="2" t="str">
        <f>IF($A86="","",IF(COUNTIFS('Blackout Brand Fam Areas (Enc)'!$B$6:$B$998,$A86,'Blackout Brand Fam Areas (Enc)'!$C$6:$C$998,J$1,'Blackout Brand Fam Areas (Enc)'!$D$6:$D$998,"Inactive")&gt;0,"BLOCKED","CAN SELL"))</f>
        <v>BLOCKED</v>
      </c>
      <c r="K86" s="2" t="str">
        <f>IF($A86="","",IF(COUNTIFS('Blackout Brand Fam Areas (Enc)'!$B$6:$B$998,$A86,'Blackout Brand Fam Areas (Enc)'!$C$6:$C$998,K$1,'Blackout Brand Fam Areas (Enc)'!$D$6:$D$998,"Inactive")&gt;0,"BLOCKED","CAN SELL"))</f>
        <v>CAN SELL</v>
      </c>
    </row>
    <row r="87" spans="1:11" x14ac:dyDescent="0.2">
      <c r="A87" s="2" t="str">
        <v>Heineken Light</v>
      </c>
      <c r="B87" s="2" t="str">
        <f>IF($A87="","",IF(COUNTIFS('Blackout Brand Fam Areas (Enc)'!$B$6:$B$998,$A87,'Blackout Brand Fam Areas (Enc)'!$C$6:$C$998,B$1,'Blackout Brand Fam Areas (Enc)'!$D$6:$D$998,"Inactive")&gt;0,"BLOCKED","CAN SELL"))</f>
        <v>CAN SELL</v>
      </c>
      <c r="C87" s="2" t="str">
        <f>IF($A87="","",IF(COUNTIFS('Blackout Brand Fam Areas (Enc)'!$B$6:$B$998,$A87,'Blackout Brand Fam Areas (Enc)'!$C$6:$C$998,C$1,'Blackout Brand Fam Areas (Enc)'!$D$6:$D$998,"Inactive")&gt;0,"BLOCKED","CAN SELL"))</f>
        <v>CAN SELL</v>
      </c>
      <c r="D87" s="2" t="str">
        <f>IF($A87="","",IF(COUNTIFS('Blackout Brand Fam Areas (Enc)'!$B$6:$B$998,$A87,'Blackout Brand Fam Areas (Enc)'!$C$6:$C$998,D$1,'Blackout Brand Fam Areas (Enc)'!$D$6:$D$998,"Inactive")&gt;0,"BLOCKED","CAN SELL"))</f>
        <v>CAN SELL</v>
      </c>
      <c r="E87" s="2" t="str">
        <f>IF($A87="","",IF(COUNTIFS('Blackout Brand Fam Areas (Enc)'!$B$6:$B$998,$A87,'Blackout Brand Fam Areas (Enc)'!$C$6:$C$998,E$1,'Blackout Brand Fam Areas (Enc)'!$D$6:$D$998,"Inactive")&gt;0,"BLOCKED","CAN SELL"))</f>
        <v>BLOCKED</v>
      </c>
      <c r="F87" s="2" t="str">
        <f>IF($A87="","",IF(COUNTIFS('Blackout Brand Fam Areas (Enc)'!$B$6:$B$998,$A87,'Blackout Brand Fam Areas (Enc)'!$C$6:$C$998,F$1,'Blackout Brand Fam Areas (Enc)'!$D$6:$D$998,"Inactive")&gt;0,"BLOCKED","CAN SELL"))</f>
        <v>BLOCKED</v>
      </c>
      <c r="G87" s="2" t="str">
        <f>IF($A87="","",IF(COUNTIFS('Blackout Brand Fam Areas (Enc)'!$B$6:$B$998,$A87,'Blackout Brand Fam Areas (Enc)'!$C$6:$C$998,G$1,'Blackout Brand Fam Areas (Enc)'!$D$6:$D$998,"Inactive")&gt;0,"BLOCKED","CAN SELL"))</f>
        <v>BLOCKED</v>
      </c>
      <c r="H87" s="2" t="str">
        <f>IF($A87="","",IF(COUNTIFS('Blackout Brand Fam Areas (Enc)'!$B$6:$B$998,$A87,'Blackout Brand Fam Areas (Enc)'!$C$6:$C$998,H$1,'Blackout Brand Fam Areas (Enc)'!$D$6:$D$998,"Inactive")&gt;0,"BLOCKED","CAN SELL"))</f>
        <v>BLOCKED</v>
      </c>
      <c r="I87" s="2" t="str">
        <f>IF($A87="","",IF(COUNTIFS('Blackout Brand Fam Areas (Enc)'!$B$6:$B$998,$A87,'Blackout Brand Fam Areas (Enc)'!$C$6:$C$998,I$1,'Blackout Brand Fam Areas (Enc)'!$D$6:$D$998,"Inactive")&gt;0,"BLOCKED","CAN SELL"))</f>
        <v>BLOCKED</v>
      </c>
      <c r="J87" s="2" t="str">
        <f>IF($A87="","",IF(COUNTIFS('Blackout Brand Fam Areas (Enc)'!$B$6:$B$998,$A87,'Blackout Brand Fam Areas (Enc)'!$C$6:$C$998,J$1,'Blackout Brand Fam Areas (Enc)'!$D$6:$D$998,"Inactive")&gt;0,"BLOCKED","CAN SELL"))</f>
        <v>BLOCKED</v>
      </c>
      <c r="K87" s="2" t="str">
        <f>IF($A87="","",IF(COUNTIFS('Blackout Brand Fam Areas (Enc)'!$B$6:$B$998,$A87,'Blackout Brand Fam Areas (Enc)'!$C$6:$C$998,K$1,'Blackout Brand Fam Areas (Enc)'!$D$6:$D$998,"Inactive")&gt;0,"BLOCKED","CAN SELL"))</f>
        <v>CAN SELL</v>
      </c>
    </row>
    <row r="88" spans="1:11" x14ac:dyDescent="0.2">
      <c r="A88" s="2" t="str">
        <v>Heineken Silver</v>
      </c>
      <c r="B88" s="2" t="str">
        <f>IF($A88="","",IF(COUNTIFS('Blackout Brand Fam Areas (Enc)'!$B$6:$B$998,$A88,'Blackout Brand Fam Areas (Enc)'!$C$6:$C$998,B$1,'Blackout Brand Fam Areas (Enc)'!$D$6:$D$998,"Inactive")&gt;0,"BLOCKED","CAN SELL"))</f>
        <v>CAN SELL</v>
      </c>
      <c r="C88" s="2" t="str">
        <f>IF($A88="","",IF(COUNTIFS('Blackout Brand Fam Areas (Enc)'!$B$6:$B$998,$A88,'Blackout Brand Fam Areas (Enc)'!$C$6:$C$998,C$1,'Blackout Brand Fam Areas (Enc)'!$D$6:$D$998,"Inactive")&gt;0,"BLOCKED","CAN SELL"))</f>
        <v>CAN SELL</v>
      </c>
      <c r="D88" s="2" t="str">
        <f>IF($A88="","",IF(COUNTIFS('Blackout Brand Fam Areas (Enc)'!$B$6:$B$998,$A88,'Blackout Brand Fam Areas (Enc)'!$C$6:$C$998,D$1,'Blackout Brand Fam Areas (Enc)'!$D$6:$D$998,"Inactive")&gt;0,"BLOCKED","CAN SELL"))</f>
        <v>CAN SELL</v>
      </c>
      <c r="E88" s="2" t="str">
        <f>IF($A88="","",IF(COUNTIFS('Blackout Brand Fam Areas (Enc)'!$B$6:$B$998,$A88,'Blackout Brand Fam Areas (Enc)'!$C$6:$C$998,E$1,'Blackout Brand Fam Areas (Enc)'!$D$6:$D$998,"Inactive")&gt;0,"BLOCKED","CAN SELL"))</f>
        <v>BLOCKED</v>
      </c>
      <c r="F88" s="2" t="str">
        <f>IF($A88="","",IF(COUNTIFS('Blackout Brand Fam Areas (Enc)'!$B$6:$B$998,$A88,'Blackout Brand Fam Areas (Enc)'!$C$6:$C$998,F$1,'Blackout Brand Fam Areas (Enc)'!$D$6:$D$998,"Inactive")&gt;0,"BLOCKED","CAN SELL"))</f>
        <v>BLOCKED</v>
      </c>
      <c r="G88" s="2" t="str">
        <f>IF($A88="","",IF(COUNTIFS('Blackout Brand Fam Areas (Enc)'!$B$6:$B$998,$A88,'Blackout Brand Fam Areas (Enc)'!$C$6:$C$998,G$1,'Blackout Brand Fam Areas (Enc)'!$D$6:$D$998,"Inactive")&gt;0,"BLOCKED","CAN SELL"))</f>
        <v>BLOCKED</v>
      </c>
      <c r="H88" s="2" t="str">
        <f>IF($A88="","",IF(COUNTIFS('Blackout Brand Fam Areas (Enc)'!$B$6:$B$998,$A88,'Blackout Brand Fam Areas (Enc)'!$C$6:$C$998,H$1,'Blackout Brand Fam Areas (Enc)'!$D$6:$D$998,"Inactive")&gt;0,"BLOCKED","CAN SELL"))</f>
        <v>BLOCKED</v>
      </c>
      <c r="I88" s="2" t="str">
        <f>IF($A88="","",IF(COUNTIFS('Blackout Brand Fam Areas (Enc)'!$B$6:$B$998,$A88,'Blackout Brand Fam Areas (Enc)'!$C$6:$C$998,I$1,'Blackout Brand Fam Areas (Enc)'!$D$6:$D$998,"Inactive")&gt;0,"BLOCKED","CAN SELL"))</f>
        <v>BLOCKED</v>
      </c>
      <c r="J88" s="2" t="str">
        <f>IF($A88="","",IF(COUNTIFS('Blackout Brand Fam Areas (Enc)'!$B$6:$B$998,$A88,'Blackout Brand Fam Areas (Enc)'!$C$6:$C$998,J$1,'Blackout Brand Fam Areas (Enc)'!$D$6:$D$998,"Inactive")&gt;0,"BLOCKED","CAN SELL"))</f>
        <v>BLOCKED</v>
      </c>
      <c r="K88" s="2" t="str">
        <f>IF($A88="","",IF(COUNTIFS('Blackout Brand Fam Areas (Enc)'!$B$6:$B$998,$A88,'Blackout Brand Fam Areas (Enc)'!$C$6:$C$998,K$1,'Blackout Brand Fam Areas (Enc)'!$D$6:$D$998,"Inactive")&gt;0,"BLOCKED","CAN SELL"))</f>
        <v>CAN SELL</v>
      </c>
    </row>
    <row r="89" spans="1:11" x14ac:dyDescent="0.2">
      <c r="A89" s="2" t="str">
        <v>Heineken USA</v>
      </c>
      <c r="B89" s="2" t="str">
        <f>IF($A89="","",IF(COUNTIFS('Blackout Brand Fam Areas (Enc)'!$B$6:$B$998,$A89,'Blackout Brand Fam Areas (Enc)'!$C$6:$C$998,B$1,'Blackout Brand Fam Areas (Enc)'!$D$6:$D$998,"Inactive")&gt;0,"BLOCKED","CAN SELL"))</f>
        <v>CAN SELL</v>
      </c>
      <c r="C89" s="2" t="str">
        <f>IF($A89="","",IF(COUNTIFS('Blackout Brand Fam Areas (Enc)'!$B$6:$B$998,$A89,'Blackout Brand Fam Areas (Enc)'!$C$6:$C$998,C$1,'Blackout Brand Fam Areas (Enc)'!$D$6:$D$998,"Inactive")&gt;0,"BLOCKED","CAN SELL"))</f>
        <v>CAN SELL</v>
      </c>
      <c r="D89" s="2" t="str">
        <f>IF($A89="","",IF(COUNTIFS('Blackout Brand Fam Areas (Enc)'!$B$6:$B$998,$A89,'Blackout Brand Fam Areas (Enc)'!$C$6:$C$998,D$1,'Blackout Brand Fam Areas (Enc)'!$D$6:$D$998,"Inactive")&gt;0,"BLOCKED","CAN SELL"))</f>
        <v>CAN SELL</v>
      </c>
      <c r="E89" s="2" t="str">
        <f>IF($A89="","",IF(COUNTIFS('Blackout Brand Fam Areas (Enc)'!$B$6:$B$998,$A89,'Blackout Brand Fam Areas (Enc)'!$C$6:$C$998,E$1,'Blackout Brand Fam Areas (Enc)'!$D$6:$D$998,"Inactive")&gt;0,"BLOCKED","CAN SELL"))</f>
        <v>BLOCKED</v>
      </c>
      <c r="F89" s="2" t="str">
        <f>IF($A89="","",IF(COUNTIFS('Blackout Brand Fam Areas (Enc)'!$B$6:$B$998,$A89,'Blackout Brand Fam Areas (Enc)'!$C$6:$C$998,F$1,'Blackout Brand Fam Areas (Enc)'!$D$6:$D$998,"Inactive")&gt;0,"BLOCKED","CAN SELL"))</f>
        <v>BLOCKED</v>
      </c>
      <c r="G89" s="2" t="str">
        <f>IF($A89="","",IF(COUNTIFS('Blackout Brand Fam Areas (Enc)'!$B$6:$B$998,$A89,'Blackout Brand Fam Areas (Enc)'!$C$6:$C$998,G$1,'Blackout Brand Fam Areas (Enc)'!$D$6:$D$998,"Inactive")&gt;0,"BLOCKED","CAN SELL"))</f>
        <v>BLOCKED</v>
      </c>
      <c r="H89" s="2" t="str">
        <f>IF($A89="","",IF(COUNTIFS('Blackout Brand Fam Areas (Enc)'!$B$6:$B$998,$A89,'Blackout Brand Fam Areas (Enc)'!$C$6:$C$998,H$1,'Blackout Brand Fam Areas (Enc)'!$D$6:$D$998,"Inactive")&gt;0,"BLOCKED","CAN SELL"))</f>
        <v>BLOCKED</v>
      </c>
      <c r="I89" s="2" t="str">
        <f>IF($A89="","",IF(COUNTIFS('Blackout Brand Fam Areas (Enc)'!$B$6:$B$998,$A89,'Blackout Brand Fam Areas (Enc)'!$C$6:$C$998,I$1,'Blackout Brand Fam Areas (Enc)'!$D$6:$D$998,"Inactive")&gt;0,"BLOCKED","CAN SELL"))</f>
        <v>BLOCKED</v>
      </c>
      <c r="J89" s="2" t="str">
        <f>IF($A89="","",IF(COUNTIFS('Blackout Brand Fam Areas (Enc)'!$B$6:$B$998,$A89,'Blackout Brand Fam Areas (Enc)'!$C$6:$C$998,J$1,'Blackout Brand Fam Areas (Enc)'!$D$6:$D$998,"Inactive")&gt;0,"BLOCKED","CAN SELL"))</f>
        <v>BLOCKED</v>
      </c>
      <c r="K89" s="2" t="str">
        <f>IF($A89="","",IF(COUNTIFS('Blackout Brand Fam Areas (Enc)'!$B$6:$B$998,$A89,'Blackout Brand Fam Areas (Enc)'!$C$6:$C$998,K$1,'Blackout Brand Fam Areas (Enc)'!$D$6:$D$998,"Inactive")&gt;0,"BLOCKED","CAN SELL"))</f>
        <v>CAN SELL</v>
      </c>
    </row>
    <row r="90" spans="1:11" x14ac:dyDescent="0.2">
      <c r="A90" s="2" t="str">
        <v>Henry's Hard Sodas</v>
      </c>
      <c r="B90" s="2" t="str">
        <f>IF($A90="","",IF(COUNTIFS('Blackout Brand Fam Areas (Enc)'!$B$6:$B$998,$A90,'Blackout Brand Fam Areas (Enc)'!$C$6:$C$998,B$1,'Blackout Brand Fam Areas (Enc)'!$D$6:$D$998,"Inactive")&gt;0,"BLOCKED","CAN SELL"))</f>
        <v>CAN SELL</v>
      </c>
      <c r="C90" s="2" t="str">
        <f>IF($A90="","",IF(COUNTIFS('Blackout Brand Fam Areas (Enc)'!$B$6:$B$998,$A90,'Blackout Brand Fam Areas (Enc)'!$C$6:$C$998,C$1,'Blackout Brand Fam Areas (Enc)'!$D$6:$D$998,"Inactive")&gt;0,"BLOCKED","CAN SELL"))</f>
        <v>CAN SELL</v>
      </c>
      <c r="D90" s="2" t="str">
        <f>IF($A90="","",IF(COUNTIFS('Blackout Brand Fam Areas (Enc)'!$B$6:$B$998,$A90,'Blackout Brand Fam Areas (Enc)'!$C$6:$C$998,D$1,'Blackout Brand Fam Areas (Enc)'!$D$6:$D$998,"Inactive")&gt;0,"BLOCKED","CAN SELL"))</f>
        <v>CAN SELL</v>
      </c>
      <c r="E90" s="2" t="str">
        <f>IF($A90="","",IF(COUNTIFS('Blackout Brand Fam Areas (Enc)'!$B$6:$B$998,$A90,'Blackout Brand Fam Areas (Enc)'!$C$6:$C$998,E$1,'Blackout Brand Fam Areas (Enc)'!$D$6:$D$998,"Inactive")&gt;0,"BLOCKED","CAN SELL"))</f>
        <v>BLOCKED</v>
      </c>
      <c r="F90" s="2" t="str">
        <f>IF($A90="","",IF(COUNTIFS('Blackout Brand Fam Areas (Enc)'!$B$6:$B$998,$A90,'Blackout Brand Fam Areas (Enc)'!$C$6:$C$998,F$1,'Blackout Brand Fam Areas (Enc)'!$D$6:$D$998,"Inactive")&gt;0,"BLOCKED","CAN SELL"))</f>
        <v>BLOCKED</v>
      </c>
      <c r="G90" s="2" t="str">
        <f>IF($A90="","",IF(COUNTIFS('Blackout Brand Fam Areas (Enc)'!$B$6:$B$998,$A90,'Blackout Brand Fam Areas (Enc)'!$C$6:$C$998,G$1,'Blackout Brand Fam Areas (Enc)'!$D$6:$D$998,"Inactive")&gt;0,"BLOCKED","CAN SELL"))</f>
        <v>BLOCKED</v>
      </c>
      <c r="H90" s="2" t="str">
        <f>IF($A90="","",IF(COUNTIFS('Blackout Brand Fam Areas (Enc)'!$B$6:$B$998,$A90,'Blackout Brand Fam Areas (Enc)'!$C$6:$C$998,H$1,'Blackout Brand Fam Areas (Enc)'!$D$6:$D$998,"Inactive")&gt;0,"BLOCKED","CAN SELL"))</f>
        <v>CAN SELL</v>
      </c>
      <c r="I90" s="2" t="str">
        <f>IF($A90="","",IF(COUNTIFS('Blackout Brand Fam Areas (Enc)'!$B$6:$B$998,$A90,'Blackout Brand Fam Areas (Enc)'!$C$6:$C$998,I$1,'Blackout Brand Fam Areas (Enc)'!$D$6:$D$998,"Inactive")&gt;0,"BLOCKED","CAN SELL"))</f>
        <v>CAN SELL</v>
      </c>
      <c r="J90" s="2" t="str">
        <f>IF($A90="","",IF(COUNTIFS('Blackout Brand Fam Areas (Enc)'!$B$6:$B$998,$A90,'Blackout Brand Fam Areas (Enc)'!$C$6:$C$998,J$1,'Blackout Brand Fam Areas (Enc)'!$D$6:$D$998,"Inactive")&gt;0,"BLOCKED","CAN SELL"))</f>
        <v>BLOCKED</v>
      </c>
      <c r="K90" s="2" t="str">
        <f>IF($A90="","",IF(COUNTIFS('Blackout Brand Fam Areas (Enc)'!$B$6:$B$998,$A90,'Blackout Brand Fam Areas (Enc)'!$C$6:$C$998,K$1,'Blackout Brand Fam Areas (Enc)'!$D$6:$D$998,"Inactive")&gt;0,"BLOCKED","CAN SELL"))</f>
        <v>CAN SELL</v>
      </c>
    </row>
    <row r="91" spans="1:11" x14ac:dyDescent="0.2">
      <c r="A91" s="2" t="str">
        <v>Henry's Hard Sparkling</v>
      </c>
      <c r="B91" s="2" t="str">
        <f>IF($A91="","",IF(COUNTIFS('Blackout Brand Fam Areas (Enc)'!$B$6:$B$998,$A91,'Blackout Brand Fam Areas (Enc)'!$C$6:$C$998,B$1,'Blackout Brand Fam Areas (Enc)'!$D$6:$D$998,"Inactive")&gt;0,"BLOCKED","CAN SELL"))</f>
        <v>CAN SELL</v>
      </c>
      <c r="C91" s="2" t="str">
        <f>IF($A91="","",IF(COUNTIFS('Blackout Brand Fam Areas (Enc)'!$B$6:$B$998,$A91,'Blackout Brand Fam Areas (Enc)'!$C$6:$C$998,C$1,'Blackout Brand Fam Areas (Enc)'!$D$6:$D$998,"Inactive")&gt;0,"BLOCKED","CAN SELL"))</f>
        <v>CAN SELL</v>
      </c>
      <c r="D91" s="2" t="str">
        <f>IF($A91="","",IF(COUNTIFS('Blackout Brand Fam Areas (Enc)'!$B$6:$B$998,$A91,'Blackout Brand Fam Areas (Enc)'!$C$6:$C$998,D$1,'Blackout Brand Fam Areas (Enc)'!$D$6:$D$998,"Inactive")&gt;0,"BLOCKED","CAN SELL"))</f>
        <v>CAN SELL</v>
      </c>
      <c r="E91" s="2" t="str">
        <f>IF($A91="","",IF(COUNTIFS('Blackout Brand Fam Areas (Enc)'!$B$6:$B$998,$A91,'Blackout Brand Fam Areas (Enc)'!$C$6:$C$998,E$1,'Blackout Brand Fam Areas (Enc)'!$D$6:$D$998,"Inactive")&gt;0,"BLOCKED","CAN SELL"))</f>
        <v>BLOCKED</v>
      </c>
      <c r="F91" s="2" t="str">
        <f>IF($A91="","",IF(COUNTIFS('Blackout Brand Fam Areas (Enc)'!$B$6:$B$998,$A91,'Blackout Brand Fam Areas (Enc)'!$C$6:$C$998,F$1,'Blackout Brand Fam Areas (Enc)'!$D$6:$D$998,"Inactive")&gt;0,"BLOCKED","CAN SELL"))</f>
        <v>BLOCKED</v>
      </c>
      <c r="G91" s="2" t="str">
        <f>IF($A91="","",IF(COUNTIFS('Blackout Brand Fam Areas (Enc)'!$B$6:$B$998,$A91,'Blackout Brand Fam Areas (Enc)'!$C$6:$C$998,G$1,'Blackout Brand Fam Areas (Enc)'!$D$6:$D$998,"Inactive")&gt;0,"BLOCKED","CAN SELL"))</f>
        <v>BLOCKED</v>
      </c>
      <c r="H91" s="2" t="str">
        <f>IF($A91="","",IF(COUNTIFS('Blackout Brand Fam Areas (Enc)'!$B$6:$B$998,$A91,'Blackout Brand Fam Areas (Enc)'!$C$6:$C$998,H$1,'Blackout Brand Fam Areas (Enc)'!$D$6:$D$998,"Inactive")&gt;0,"BLOCKED","CAN SELL"))</f>
        <v>CAN SELL</v>
      </c>
      <c r="I91" s="2" t="str">
        <f>IF($A91="","",IF(COUNTIFS('Blackout Brand Fam Areas (Enc)'!$B$6:$B$998,$A91,'Blackout Brand Fam Areas (Enc)'!$C$6:$C$998,I$1,'Blackout Brand Fam Areas (Enc)'!$D$6:$D$998,"Inactive")&gt;0,"BLOCKED","CAN SELL"))</f>
        <v>CAN SELL</v>
      </c>
      <c r="J91" s="2" t="str">
        <f>IF($A91="","",IF(COUNTIFS('Blackout Brand Fam Areas (Enc)'!$B$6:$B$998,$A91,'Blackout Brand Fam Areas (Enc)'!$C$6:$C$998,J$1,'Blackout Brand Fam Areas (Enc)'!$D$6:$D$998,"Inactive")&gt;0,"BLOCKED","CAN SELL"))</f>
        <v>BLOCKED</v>
      </c>
      <c r="K91" s="2" t="str">
        <f>IF($A91="","",IF(COUNTIFS('Blackout Brand Fam Areas (Enc)'!$B$6:$B$998,$A91,'Blackout Brand Fam Areas (Enc)'!$C$6:$C$998,K$1,'Blackout Brand Fam Areas (Enc)'!$D$6:$D$998,"Inactive")&gt;0,"BLOCKED","CAN SELL"))</f>
        <v>CAN SELL</v>
      </c>
    </row>
    <row r="92" spans="1:11" x14ac:dyDescent="0.2">
      <c r="A92" s="2" t="str">
        <v>Henry's Weinhards</v>
      </c>
      <c r="B92" s="2" t="str">
        <f>IF($A92="","",IF(COUNTIFS('Blackout Brand Fam Areas (Enc)'!$B$6:$B$998,$A92,'Blackout Brand Fam Areas (Enc)'!$C$6:$C$998,B$1,'Blackout Brand Fam Areas (Enc)'!$D$6:$D$998,"Inactive")&gt;0,"BLOCKED","CAN SELL"))</f>
        <v>CAN SELL</v>
      </c>
      <c r="C92" s="2" t="str">
        <f>IF($A92="","",IF(COUNTIFS('Blackout Brand Fam Areas (Enc)'!$B$6:$B$998,$A92,'Blackout Brand Fam Areas (Enc)'!$C$6:$C$998,C$1,'Blackout Brand Fam Areas (Enc)'!$D$6:$D$998,"Inactive")&gt;0,"BLOCKED","CAN SELL"))</f>
        <v>CAN SELL</v>
      </c>
      <c r="D92" s="2" t="str">
        <f>IF($A92="","",IF(COUNTIFS('Blackout Brand Fam Areas (Enc)'!$B$6:$B$998,$A92,'Blackout Brand Fam Areas (Enc)'!$C$6:$C$998,D$1,'Blackout Brand Fam Areas (Enc)'!$D$6:$D$998,"Inactive")&gt;0,"BLOCKED","CAN SELL"))</f>
        <v>CAN SELL</v>
      </c>
      <c r="E92" s="2" t="str">
        <f>IF($A92="","",IF(COUNTIFS('Blackout Brand Fam Areas (Enc)'!$B$6:$B$998,$A92,'Blackout Brand Fam Areas (Enc)'!$C$6:$C$998,E$1,'Blackout Brand Fam Areas (Enc)'!$D$6:$D$998,"Inactive")&gt;0,"BLOCKED","CAN SELL"))</f>
        <v>BLOCKED</v>
      </c>
      <c r="F92" s="2" t="str">
        <f>IF($A92="","",IF(COUNTIFS('Blackout Brand Fam Areas (Enc)'!$B$6:$B$998,$A92,'Blackout Brand Fam Areas (Enc)'!$C$6:$C$998,F$1,'Blackout Brand Fam Areas (Enc)'!$D$6:$D$998,"Inactive")&gt;0,"BLOCKED","CAN SELL"))</f>
        <v>BLOCKED</v>
      </c>
      <c r="G92" s="2" t="str">
        <f>IF($A92="","",IF(COUNTIFS('Blackout Brand Fam Areas (Enc)'!$B$6:$B$998,$A92,'Blackout Brand Fam Areas (Enc)'!$C$6:$C$998,G$1,'Blackout Brand Fam Areas (Enc)'!$D$6:$D$998,"Inactive")&gt;0,"BLOCKED","CAN SELL"))</f>
        <v>BLOCKED</v>
      </c>
      <c r="H92" s="2" t="str">
        <f>IF($A92="","",IF(COUNTIFS('Blackout Brand Fam Areas (Enc)'!$B$6:$B$998,$A92,'Blackout Brand Fam Areas (Enc)'!$C$6:$C$998,H$1,'Blackout Brand Fam Areas (Enc)'!$D$6:$D$998,"Inactive")&gt;0,"BLOCKED","CAN SELL"))</f>
        <v>CAN SELL</v>
      </c>
      <c r="I92" s="2" t="str">
        <f>IF($A92="","",IF(COUNTIFS('Blackout Brand Fam Areas (Enc)'!$B$6:$B$998,$A92,'Blackout Brand Fam Areas (Enc)'!$C$6:$C$998,I$1,'Blackout Brand Fam Areas (Enc)'!$D$6:$D$998,"Inactive")&gt;0,"BLOCKED","CAN SELL"))</f>
        <v>CAN SELL</v>
      </c>
      <c r="J92" s="2" t="str">
        <f>IF($A92="","",IF(COUNTIFS('Blackout Brand Fam Areas (Enc)'!$B$6:$B$998,$A92,'Blackout Brand Fam Areas (Enc)'!$C$6:$C$998,J$1,'Blackout Brand Fam Areas (Enc)'!$D$6:$D$998,"Inactive")&gt;0,"BLOCKED","CAN SELL"))</f>
        <v>BLOCKED</v>
      </c>
      <c r="K92" s="2" t="str">
        <f>IF($A92="","",IF(COUNTIFS('Blackout Brand Fam Areas (Enc)'!$B$6:$B$998,$A92,'Blackout Brand Fam Areas (Enc)'!$C$6:$C$998,K$1,'Blackout Brand Fam Areas (Enc)'!$D$6:$D$998,"Inactive")&gt;0,"BLOCKED","CAN SELL"))</f>
        <v>CAN SELL</v>
      </c>
    </row>
    <row r="93" spans="1:11" x14ac:dyDescent="0.2">
      <c r="A93" s="2" t="str">
        <v>Hi5</v>
      </c>
      <c r="B93" s="2" t="str">
        <f>IF($A93="","",IF(COUNTIFS('Blackout Brand Fam Areas (Enc)'!$B$6:$B$998,$A93,'Blackout Brand Fam Areas (Enc)'!$C$6:$C$998,B$1,'Blackout Brand Fam Areas (Enc)'!$D$6:$D$998,"Inactive")&gt;0,"BLOCKED","CAN SELL"))</f>
        <v>CAN SELL</v>
      </c>
      <c r="C93" s="2" t="str">
        <f>IF($A93="","",IF(COUNTIFS('Blackout Brand Fam Areas (Enc)'!$B$6:$B$998,$A93,'Blackout Brand Fam Areas (Enc)'!$C$6:$C$998,C$1,'Blackout Brand Fam Areas (Enc)'!$D$6:$D$998,"Inactive")&gt;0,"BLOCKED","CAN SELL"))</f>
        <v>CAN SELL</v>
      </c>
      <c r="D93" s="2" t="str">
        <f>IF($A93="","",IF(COUNTIFS('Blackout Brand Fam Areas (Enc)'!$B$6:$B$998,$A93,'Blackout Brand Fam Areas (Enc)'!$C$6:$C$998,D$1,'Blackout Brand Fam Areas (Enc)'!$D$6:$D$998,"Inactive")&gt;0,"BLOCKED","CAN SELL"))</f>
        <v>CAN SELL</v>
      </c>
      <c r="E93" s="2" t="str">
        <f>IF($A93="","",IF(COUNTIFS('Blackout Brand Fam Areas (Enc)'!$B$6:$B$998,$A93,'Blackout Brand Fam Areas (Enc)'!$C$6:$C$998,E$1,'Blackout Brand Fam Areas (Enc)'!$D$6:$D$998,"Inactive")&gt;0,"BLOCKED","CAN SELL"))</f>
        <v>BLOCKED</v>
      </c>
      <c r="F93" s="2" t="str">
        <f>IF($A93="","",IF(COUNTIFS('Blackout Brand Fam Areas (Enc)'!$B$6:$B$998,$A93,'Blackout Brand Fam Areas (Enc)'!$C$6:$C$998,F$1,'Blackout Brand Fam Areas (Enc)'!$D$6:$D$998,"Inactive")&gt;0,"BLOCKED","CAN SELL"))</f>
        <v>BLOCKED</v>
      </c>
      <c r="G93" s="2" t="str">
        <f>IF($A93="","",IF(COUNTIFS('Blackout Brand Fam Areas (Enc)'!$B$6:$B$998,$A93,'Blackout Brand Fam Areas (Enc)'!$C$6:$C$998,G$1,'Blackout Brand Fam Areas (Enc)'!$D$6:$D$998,"Inactive")&gt;0,"BLOCKED","CAN SELL"))</f>
        <v>BLOCKED</v>
      </c>
      <c r="H93" s="2" t="str">
        <f>IF($A93="","",IF(COUNTIFS('Blackout Brand Fam Areas (Enc)'!$B$6:$B$998,$A93,'Blackout Brand Fam Areas (Enc)'!$C$6:$C$998,H$1,'Blackout Brand Fam Areas (Enc)'!$D$6:$D$998,"Inactive")&gt;0,"BLOCKED","CAN SELL"))</f>
        <v>CAN SELL</v>
      </c>
      <c r="I93" s="2" t="str">
        <f>IF($A93="","",IF(COUNTIFS('Blackout Brand Fam Areas (Enc)'!$B$6:$B$998,$A93,'Blackout Brand Fam Areas (Enc)'!$C$6:$C$998,I$1,'Blackout Brand Fam Areas (Enc)'!$D$6:$D$998,"Inactive")&gt;0,"BLOCKED","CAN SELL"))</f>
        <v>CAN SELL</v>
      </c>
      <c r="J93" s="2" t="str">
        <f>IF($A93="","",IF(COUNTIFS('Blackout Brand Fam Areas (Enc)'!$B$6:$B$998,$A93,'Blackout Brand Fam Areas (Enc)'!$C$6:$C$998,J$1,'Blackout Brand Fam Areas (Enc)'!$D$6:$D$998,"Inactive")&gt;0,"BLOCKED","CAN SELL"))</f>
        <v>BLOCKED</v>
      </c>
      <c r="K93" s="2" t="str">
        <f>IF($A93="","",IF(COUNTIFS('Blackout Brand Fam Areas (Enc)'!$B$6:$B$998,$A93,'Blackout Brand Fam Areas (Enc)'!$C$6:$C$998,K$1,'Blackout Brand Fam Areas (Enc)'!$D$6:$D$998,"Inactive")&gt;0,"BLOCKED","CAN SELL"))</f>
        <v>CAN SELL</v>
      </c>
    </row>
    <row r="94" spans="1:11" x14ac:dyDescent="0.2">
      <c r="A94" s="2" t="str">
        <v>Honey Brown</v>
      </c>
      <c r="B94" s="2" t="str">
        <f>IF($A94="","",IF(COUNTIFS('Blackout Brand Fam Areas (Enc)'!$B$6:$B$998,$A94,'Blackout Brand Fam Areas (Enc)'!$C$6:$C$998,B$1,'Blackout Brand Fam Areas (Enc)'!$D$6:$D$998,"Inactive")&gt;0,"BLOCKED","CAN SELL"))</f>
        <v>CAN SELL</v>
      </c>
      <c r="C94" s="2" t="str">
        <f>IF($A94="","",IF(COUNTIFS('Blackout Brand Fam Areas (Enc)'!$B$6:$B$998,$A94,'Blackout Brand Fam Areas (Enc)'!$C$6:$C$998,C$1,'Blackout Brand Fam Areas (Enc)'!$D$6:$D$998,"Inactive")&gt;0,"BLOCKED","CAN SELL"))</f>
        <v>CAN SELL</v>
      </c>
      <c r="D94" s="2" t="str">
        <f>IF($A94="","",IF(COUNTIFS('Blackout Brand Fam Areas (Enc)'!$B$6:$B$998,$A94,'Blackout Brand Fam Areas (Enc)'!$C$6:$C$998,D$1,'Blackout Brand Fam Areas (Enc)'!$D$6:$D$998,"Inactive")&gt;0,"BLOCKED","CAN SELL"))</f>
        <v>CAN SELL</v>
      </c>
      <c r="E94" s="2" t="str">
        <f>IF($A94="","",IF(COUNTIFS('Blackout Brand Fam Areas (Enc)'!$B$6:$B$998,$A94,'Blackout Brand Fam Areas (Enc)'!$C$6:$C$998,E$1,'Blackout Brand Fam Areas (Enc)'!$D$6:$D$998,"Inactive")&gt;0,"BLOCKED","CAN SELL"))</f>
        <v>CAN SELL</v>
      </c>
      <c r="F94" s="2" t="str">
        <f>IF($A94="","",IF(COUNTIFS('Blackout Brand Fam Areas (Enc)'!$B$6:$B$998,$A94,'Blackout Brand Fam Areas (Enc)'!$C$6:$C$998,F$1,'Blackout Brand Fam Areas (Enc)'!$D$6:$D$998,"Inactive")&gt;0,"BLOCKED","CAN SELL"))</f>
        <v>CAN SELL</v>
      </c>
      <c r="G94" s="2" t="str">
        <f>IF($A94="","",IF(COUNTIFS('Blackout Brand Fam Areas (Enc)'!$B$6:$B$998,$A94,'Blackout Brand Fam Areas (Enc)'!$C$6:$C$998,G$1,'Blackout Brand Fam Areas (Enc)'!$D$6:$D$998,"Inactive")&gt;0,"BLOCKED","CAN SELL"))</f>
        <v>CAN SELL</v>
      </c>
      <c r="H94" s="2" t="str">
        <f>IF($A94="","",IF(COUNTIFS('Blackout Brand Fam Areas (Enc)'!$B$6:$B$998,$A94,'Blackout Brand Fam Areas (Enc)'!$C$6:$C$998,H$1,'Blackout Brand Fam Areas (Enc)'!$D$6:$D$998,"Inactive")&gt;0,"BLOCKED","CAN SELL"))</f>
        <v>BLOCKED</v>
      </c>
      <c r="I94" s="2" t="str">
        <f>IF($A94="","",IF(COUNTIFS('Blackout Brand Fam Areas (Enc)'!$B$6:$B$998,$A94,'Blackout Brand Fam Areas (Enc)'!$C$6:$C$998,I$1,'Blackout Brand Fam Areas (Enc)'!$D$6:$D$998,"Inactive")&gt;0,"BLOCKED","CAN SELL"))</f>
        <v>BLOCKED</v>
      </c>
      <c r="J94" s="2" t="str">
        <f>IF($A94="","",IF(COUNTIFS('Blackout Brand Fam Areas (Enc)'!$B$6:$B$998,$A94,'Blackout Brand Fam Areas (Enc)'!$C$6:$C$998,J$1,'Blackout Brand Fam Areas (Enc)'!$D$6:$D$998,"Inactive")&gt;0,"BLOCKED","CAN SELL"))</f>
        <v>BLOCKED</v>
      </c>
      <c r="K94" s="2" t="str">
        <f>IF($A94="","",IF(COUNTIFS('Blackout Brand Fam Areas (Enc)'!$B$6:$B$998,$A94,'Blackout Brand Fam Areas (Enc)'!$C$6:$C$998,K$1,'Blackout Brand Fam Areas (Enc)'!$D$6:$D$998,"Inactive")&gt;0,"BLOCKED","CAN SELL"))</f>
        <v>BLOCKED</v>
      </c>
    </row>
    <row r="95" spans="1:11" x14ac:dyDescent="0.2">
      <c r="A95" s="2" t="str">
        <v>Hop Valley</v>
      </c>
      <c r="B95" s="2" t="str">
        <f>IF($A95="","",IF(COUNTIFS('Blackout Brand Fam Areas (Enc)'!$B$6:$B$998,$A95,'Blackout Brand Fam Areas (Enc)'!$C$6:$C$998,B$1,'Blackout Brand Fam Areas (Enc)'!$D$6:$D$998,"Inactive")&gt;0,"BLOCKED","CAN SELL"))</f>
        <v>CAN SELL</v>
      </c>
      <c r="C95" s="2" t="str">
        <f>IF($A95="","",IF(COUNTIFS('Blackout Brand Fam Areas (Enc)'!$B$6:$B$998,$A95,'Blackout Brand Fam Areas (Enc)'!$C$6:$C$998,C$1,'Blackout Brand Fam Areas (Enc)'!$D$6:$D$998,"Inactive")&gt;0,"BLOCKED","CAN SELL"))</f>
        <v>CAN SELL</v>
      </c>
      <c r="D95" s="2" t="str">
        <f>IF($A95="","",IF(COUNTIFS('Blackout Brand Fam Areas (Enc)'!$B$6:$B$998,$A95,'Blackout Brand Fam Areas (Enc)'!$C$6:$C$998,D$1,'Blackout Brand Fam Areas (Enc)'!$D$6:$D$998,"Inactive")&gt;0,"BLOCKED","CAN SELL"))</f>
        <v>CAN SELL</v>
      </c>
      <c r="E95" s="2" t="str">
        <f>IF($A95="","",IF(COUNTIFS('Blackout Brand Fam Areas (Enc)'!$B$6:$B$998,$A95,'Blackout Brand Fam Areas (Enc)'!$C$6:$C$998,E$1,'Blackout Brand Fam Areas (Enc)'!$D$6:$D$998,"Inactive")&gt;0,"BLOCKED","CAN SELL"))</f>
        <v>BLOCKED</v>
      </c>
      <c r="F95" s="2" t="str">
        <f>IF($A95="","",IF(COUNTIFS('Blackout Brand Fam Areas (Enc)'!$B$6:$B$998,$A95,'Blackout Brand Fam Areas (Enc)'!$C$6:$C$998,F$1,'Blackout Brand Fam Areas (Enc)'!$D$6:$D$998,"Inactive")&gt;0,"BLOCKED","CAN SELL"))</f>
        <v>BLOCKED</v>
      </c>
      <c r="G95" s="2" t="str">
        <f>IF($A95="","",IF(COUNTIFS('Blackout Brand Fam Areas (Enc)'!$B$6:$B$998,$A95,'Blackout Brand Fam Areas (Enc)'!$C$6:$C$998,G$1,'Blackout Brand Fam Areas (Enc)'!$D$6:$D$998,"Inactive")&gt;0,"BLOCKED","CAN SELL"))</f>
        <v>BLOCKED</v>
      </c>
      <c r="H95" s="2" t="str">
        <f>IF($A95="","",IF(COUNTIFS('Blackout Brand Fam Areas (Enc)'!$B$6:$B$998,$A95,'Blackout Brand Fam Areas (Enc)'!$C$6:$C$998,H$1,'Blackout Brand Fam Areas (Enc)'!$D$6:$D$998,"Inactive")&gt;0,"BLOCKED","CAN SELL"))</f>
        <v>CAN SELL</v>
      </c>
      <c r="I95" s="2" t="str">
        <f>IF($A95="","",IF(COUNTIFS('Blackout Brand Fam Areas (Enc)'!$B$6:$B$998,$A95,'Blackout Brand Fam Areas (Enc)'!$C$6:$C$998,I$1,'Blackout Brand Fam Areas (Enc)'!$D$6:$D$998,"Inactive")&gt;0,"BLOCKED","CAN SELL"))</f>
        <v>CAN SELL</v>
      </c>
      <c r="J95" s="2" t="str">
        <f>IF($A95="","",IF(COUNTIFS('Blackout Brand Fam Areas (Enc)'!$B$6:$B$998,$A95,'Blackout Brand Fam Areas (Enc)'!$C$6:$C$998,J$1,'Blackout Brand Fam Areas (Enc)'!$D$6:$D$998,"Inactive")&gt;0,"BLOCKED","CAN SELL"))</f>
        <v>BLOCKED</v>
      </c>
      <c r="K95" s="2" t="str">
        <f>IF($A95="","",IF(COUNTIFS('Blackout Brand Fam Areas (Enc)'!$B$6:$B$998,$A95,'Blackout Brand Fam Areas (Enc)'!$C$6:$C$998,K$1,'Blackout Brand Fam Areas (Enc)'!$D$6:$D$998,"Inactive")&gt;0,"BLOCKED","CAN SELL"))</f>
        <v>CAN SELL</v>
      </c>
    </row>
    <row r="96" spans="1:11" x14ac:dyDescent="0.2">
      <c r="A96" s="2" t="str">
        <v>HOP WTR</v>
      </c>
      <c r="B96" s="2" t="str">
        <f>IF($A96="","",IF(COUNTIFS('Blackout Brand Fam Areas (Enc)'!$B$6:$B$998,$A96,'Blackout Brand Fam Areas (Enc)'!$C$6:$C$998,B$1,'Blackout Brand Fam Areas (Enc)'!$D$6:$D$998,"Inactive")&gt;0,"BLOCKED","CAN SELL"))</f>
        <v>CAN SELL</v>
      </c>
      <c r="C96" s="2" t="str">
        <f>IF($A96="","",IF(COUNTIFS('Blackout Brand Fam Areas (Enc)'!$B$6:$B$998,$A96,'Blackout Brand Fam Areas (Enc)'!$C$6:$C$998,C$1,'Blackout Brand Fam Areas (Enc)'!$D$6:$D$998,"Inactive")&gt;0,"BLOCKED","CAN SELL"))</f>
        <v>CAN SELL</v>
      </c>
      <c r="D96" s="2" t="str">
        <f>IF($A96="","",IF(COUNTIFS('Blackout Brand Fam Areas (Enc)'!$B$6:$B$998,$A96,'Blackout Brand Fam Areas (Enc)'!$C$6:$C$998,D$1,'Blackout Brand Fam Areas (Enc)'!$D$6:$D$998,"Inactive")&gt;0,"BLOCKED","CAN SELL"))</f>
        <v>CAN SELL</v>
      </c>
      <c r="E96" s="2" t="str">
        <f>IF($A96="","",IF(COUNTIFS('Blackout Brand Fam Areas (Enc)'!$B$6:$B$998,$A96,'Blackout Brand Fam Areas (Enc)'!$C$6:$C$998,E$1,'Blackout Brand Fam Areas (Enc)'!$D$6:$D$998,"Inactive")&gt;0,"BLOCKED","CAN SELL"))</f>
        <v>BLOCKED</v>
      </c>
      <c r="F96" s="2" t="str">
        <f>IF($A96="","",IF(COUNTIFS('Blackout Brand Fam Areas (Enc)'!$B$6:$B$998,$A96,'Blackout Brand Fam Areas (Enc)'!$C$6:$C$998,F$1,'Blackout Brand Fam Areas (Enc)'!$D$6:$D$998,"Inactive")&gt;0,"BLOCKED","CAN SELL"))</f>
        <v>BLOCKED</v>
      </c>
      <c r="G96" s="2" t="str">
        <f>IF($A96="","",IF(COUNTIFS('Blackout Brand Fam Areas (Enc)'!$B$6:$B$998,$A96,'Blackout Brand Fam Areas (Enc)'!$C$6:$C$998,G$1,'Blackout Brand Fam Areas (Enc)'!$D$6:$D$998,"Inactive")&gt;0,"BLOCKED","CAN SELL"))</f>
        <v>BLOCKED</v>
      </c>
      <c r="H96" s="2" t="str">
        <f>IF($A96="","",IF(COUNTIFS('Blackout Brand Fam Areas (Enc)'!$B$6:$B$998,$A96,'Blackout Brand Fam Areas (Enc)'!$C$6:$C$998,H$1,'Blackout Brand Fam Areas (Enc)'!$D$6:$D$998,"Inactive")&gt;0,"BLOCKED","CAN SELL"))</f>
        <v>CAN SELL</v>
      </c>
      <c r="I96" s="2" t="str">
        <f>IF($A96="","",IF(COUNTIFS('Blackout Brand Fam Areas (Enc)'!$B$6:$B$998,$A96,'Blackout Brand Fam Areas (Enc)'!$C$6:$C$998,I$1,'Blackout Brand Fam Areas (Enc)'!$D$6:$D$998,"Inactive")&gt;0,"BLOCKED","CAN SELL"))</f>
        <v>CAN SELL</v>
      </c>
      <c r="J96" s="2" t="str">
        <f>IF($A96="","",IF(COUNTIFS('Blackout Brand Fam Areas (Enc)'!$B$6:$B$998,$A96,'Blackout Brand Fam Areas (Enc)'!$C$6:$C$998,J$1,'Blackout Brand Fam Areas (Enc)'!$D$6:$D$998,"Inactive")&gt;0,"BLOCKED","CAN SELL"))</f>
        <v>BLOCKED</v>
      </c>
      <c r="K96" s="2" t="str">
        <f>IF($A96="","",IF(COUNTIFS('Blackout Brand Fam Areas (Enc)'!$B$6:$B$998,$A96,'Blackout Brand Fam Areas (Enc)'!$C$6:$C$998,K$1,'Blackout Brand Fam Areas (Enc)'!$D$6:$D$998,"Inactive")&gt;0,"BLOCKED","CAN SELL"))</f>
        <v>CAN SELL</v>
      </c>
    </row>
    <row r="97" spans="1:11" x14ac:dyDescent="0.2">
      <c r="A97" s="2" t="str">
        <v>Icehouse</v>
      </c>
      <c r="B97" s="2" t="str">
        <f>IF($A97="","",IF(COUNTIFS('Blackout Brand Fam Areas (Enc)'!$B$6:$B$998,$A97,'Blackout Brand Fam Areas (Enc)'!$C$6:$C$998,B$1,'Blackout Brand Fam Areas (Enc)'!$D$6:$D$998,"Inactive")&gt;0,"BLOCKED","CAN SELL"))</f>
        <v>CAN SELL</v>
      </c>
      <c r="C97" s="2" t="str">
        <f>IF($A97="","",IF(COUNTIFS('Blackout Brand Fam Areas (Enc)'!$B$6:$B$998,$A97,'Blackout Brand Fam Areas (Enc)'!$C$6:$C$998,C$1,'Blackout Brand Fam Areas (Enc)'!$D$6:$D$998,"Inactive")&gt;0,"BLOCKED","CAN SELL"))</f>
        <v>CAN SELL</v>
      </c>
      <c r="D97" s="2" t="str">
        <f>IF($A97="","",IF(COUNTIFS('Blackout Brand Fam Areas (Enc)'!$B$6:$B$998,$A97,'Blackout Brand Fam Areas (Enc)'!$C$6:$C$998,D$1,'Blackout Brand Fam Areas (Enc)'!$D$6:$D$998,"Inactive")&gt;0,"BLOCKED","CAN SELL"))</f>
        <v>CAN SELL</v>
      </c>
      <c r="E97" s="2" t="str">
        <f>IF($A97="","",IF(COUNTIFS('Blackout Brand Fam Areas (Enc)'!$B$6:$B$998,$A97,'Blackout Brand Fam Areas (Enc)'!$C$6:$C$998,E$1,'Blackout Brand Fam Areas (Enc)'!$D$6:$D$998,"Inactive")&gt;0,"BLOCKED","CAN SELL"))</f>
        <v>BLOCKED</v>
      </c>
      <c r="F97" s="2" t="str">
        <f>IF($A97="","",IF(COUNTIFS('Blackout Brand Fam Areas (Enc)'!$B$6:$B$998,$A97,'Blackout Brand Fam Areas (Enc)'!$C$6:$C$998,F$1,'Blackout Brand Fam Areas (Enc)'!$D$6:$D$998,"Inactive")&gt;0,"BLOCKED","CAN SELL"))</f>
        <v>BLOCKED</v>
      </c>
      <c r="G97" s="2" t="str">
        <f>IF($A97="","",IF(COUNTIFS('Blackout Brand Fam Areas (Enc)'!$B$6:$B$998,$A97,'Blackout Brand Fam Areas (Enc)'!$C$6:$C$998,G$1,'Blackout Brand Fam Areas (Enc)'!$D$6:$D$998,"Inactive")&gt;0,"BLOCKED","CAN SELL"))</f>
        <v>BLOCKED</v>
      </c>
      <c r="H97" s="2" t="str">
        <f>IF($A97="","",IF(COUNTIFS('Blackout Brand Fam Areas (Enc)'!$B$6:$B$998,$A97,'Blackout Brand Fam Areas (Enc)'!$C$6:$C$998,H$1,'Blackout Brand Fam Areas (Enc)'!$D$6:$D$998,"Inactive")&gt;0,"BLOCKED","CAN SELL"))</f>
        <v>CAN SELL</v>
      </c>
      <c r="I97" s="2" t="str">
        <f>IF($A97="","",IF(COUNTIFS('Blackout Brand Fam Areas (Enc)'!$B$6:$B$998,$A97,'Blackout Brand Fam Areas (Enc)'!$C$6:$C$998,I$1,'Blackout Brand Fam Areas (Enc)'!$D$6:$D$998,"Inactive")&gt;0,"BLOCKED","CAN SELL"))</f>
        <v>CAN SELL</v>
      </c>
      <c r="J97" s="2" t="str">
        <f>IF($A97="","",IF(COUNTIFS('Blackout Brand Fam Areas (Enc)'!$B$6:$B$998,$A97,'Blackout Brand Fam Areas (Enc)'!$C$6:$C$998,J$1,'Blackout Brand Fam Areas (Enc)'!$D$6:$D$998,"Inactive")&gt;0,"BLOCKED","CAN SELL"))</f>
        <v>BLOCKED</v>
      </c>
      <c r="K97" s="2" t="str">
        <f>IF($A97="","",IF(COUNTIFS('Blackout Brand Fam Areas (Enc)'!$B$6:$B$998,$A97,'Blackout Brand Fam Areas (Enc)'!$C$6:$C$998,K$1,'Blackout Brand Fam Areas (Enc)'!$D$6:$D$998,"Inactive")&gt;0,"BLOCKED","CAN SELL"))</f>
        <v>CAN SELL</v>
      </c>
    </row>
    <row r="98" spans="1:11" x14ac:dyDescent="0.2">
      <c r="A98" s="2" t="str">
        <v>Icehouse Edge</v>
      </c>
      <c r="B98" s="2" t="str">
        <f>IF($A98="","",IF(COUNTIFS('Blackout Brand Fam Areas (Enc)'!$B$6:$B$998,$A98,'Blackout Brand Fam Areas (Enc)'!$C$6:$C$998,B$1,'Blackout Brand Fam Areas (Enc)'!$D$6:$D$998,"Inactive")&gt;0,"BLOCKED","CAN SELL"))</f>
        <v>CAN SELL</v>
      </c>
      <c r="C98" s="2" t="str">
        <f>IF($A98="","",IF(COUNTIFS('Blackout Brand Fam Areas (Enc)'!$B$6:$B$998,$A98,'Blackout Brand Fam Areas (Enc)'!$C$6:$C$998,C$1,'Blackout Brand Fam Areas (Enc)'!$D$6:$D$998,"Inactive")&gt;0,"BLOCKED","CAN SELL"))</f>
        <v>CAN SELL</v>
      </c>
      <c r="D98" s="2" t="str">
        <f>IF($A98="","",IF(COUNTIFS('Blackout Brand Fam Areas (Enc)'!$B$6:$B$998,$A98,'Blackout Brand Fam Areas (Enc)'!$C$6:$C$998,D$1,'Blackout Brand Fam Areas (Enc)'!$D$6:$D$998,"Inactive")&gt;0,"BLOCKED","CAN SELL"))</f>
        <v>CAN SELL</v>
      </c>
      <c r="E98" s="2" t="str">
        <f>IF($A98="","",IF(COUNTIFS('Blackout Brand Fam Areas (Enc)'!$B$6:$B$998,$A98,'Blackout Brand Fam Areas (Enc)'!$C$6:$C$998,E$1,'Blackout Brand Fam Areas (Enc)'!$D$6:$D$998,"Inactive")&gt;0,"BLOCKED","CAN SELL"))</f>
        <v>BLOCKED</v>
      </c>
      <c r="F98" s="2" t="str">
        <f>IF($A98="","",IF(COUNTIFS('Blackout Brand Fam Areas (Enc)'!$B$6:$B$998,$A98,'Blackout Brand Fam Areas (Enc)'!$C$6:$C$998,F$1,'Blackout Brand Fam Areas (Enc)'!$D$6:$D$998,"Inactive")&gt;0,"BLOCKED","CAN SELL"))</f>
        <v>BLOCKED</v>
      </c>
      <c r="G98" s="2" t="str">
        <f>IF($A98="","",IF(COUNTIFS('Blackout Brand Fam Areas (Enc)'!$B$6:$B$998,$A98,'Blackout Brand Fam Areas (Enc)'!$C$6:$C$998,G$1,'Blackout Brand Fam Areas (Enc)'!$D$6:$D$998,"Inactive")&gt;0,"BLOCKED","CAN SELL"))</f>
        <v>BLOCKED</v>
      </c>
      <c r="H98" s="2" t="str">
        <f>IF($A98="","",IF(COUNTIFS('Blackout Brand Fam Areas (Enc)'!$B$6:$B$998,$A98,'Blackout Brand Fam Areas (Enc)'!$C$6:$C$998,H$1,'Blackout Brand Fam Areas (Enc)'!$D$6:$D$998,"Inactive")&gt;0,"BLOCKED","CAN SELL"))</f>
        <v>CAN SELL</v>
      </c>
      <c r="I98" s="2" t="str">
        <f>IF($A98="","",IF(COUNTIFS('Blackout Brand Fam Areas (Enc)'!$B$6:$B$998,$A98,'Blackout Brand Fam Areas (Enc)'!$C$6:$C$998,I$1,'Blackout Brand Fam Areas (Enc)'!$D$6:$D$998,"Inactive")&gt;0,"BLOCKED","CAN SELL"))</f>
        <v>CAN SELL</v>
      </c>
      <c r="J98" s="2" t="str">
        <f>IF($A98="","",IF(COUNTIFS('Blackout Brand Fam Areas (Enc)'!$B$6:$B$998,$A98,'Blackout Brand Fam Areas (Enc)'!$C$6:$C$998,J$1,'Blackout Brand Fam Areas (Enc)'!$D$6:$D$998,"Inactive")&gt;0,"BLOCKED","CAN SELL"))</f>
        <v>BLOCKED</v>
      </c>
      <c r="K98" s="2" t="str">
        <f>IF($A98="","",IF(COUNTIFS('Blackout Brand Fam Areas (Enc)'!$B$6:$B$998,$A98,'Blackout Brand Fam Areas (Enc)'!$C$6:$C$998,K$1,'Blackout Brand Fam Areas (Enc)'!$D$6:$D$998,"Inactive")&gt;0,"BLOCKED","CAN SELL"))</f>
        <v>CAN SELL</v>
      </c>
    </row>
    <row r="99" spans="1:11" x14ac:dyDescent="0.2">
      <c r="A99" s="2" t="str">
        <v>Imperial</v>
      </c>
      <c r="B99" s="2" t="str">
        <f>IF($A99="","",IF(COUNTIFS('Blackout Brand Fam Areas (Enc)'!$B$6:$B$998,$A99,'Blackout Brand Fam Areas (Enc)'!$C$6:$C$998,B$1,'Blackout Brand Fam Areas (Enc)'!$D$6:$D$998,"Inactive")&gt;0,"BLOCKED","CAN SELL"))</f>
        <v>CAN SELL</v>
      </c>
      <c r="C99" s="2" t="str">
        <f>IF($A99="","",IF(COUNTIFS('Blackout Brand Fam Areas (Enc)'!$B$6:$B$998,$A99,'Blackout Brand Fam Areas (Enc)'!$C$6:$C$998,C$1,'Blackout Brand Fam Areas (Enc)'!$D$6:$D$998,"Inactive")&gt;0,"BLOCKED","CAN SELL"))</f>
        <v>CAN SELL</v>
      </c>
      <c r="D99" s="2" t="str">
        <f>IF($A99="","",IF(COUNTIFS('Blackout Brand Fam Areas (Enc)'!$B$6:$B$998,$A99,'Blackout Brand Fam Areas (Enc)'!$C$6:$C$998,D$1,'Blackout Brand Fam Areas (Enc)'!$D$6:$D$998,"Inactive")&gt;0,"BLOCKED","CAN SELL"))</f>
        <v>CAN SELL</v>
      </c>
      <c r="E99" s="2" t="str">
        <f>IF($A99="","",IF(COUNTIFS('Blackout Brand Fam Areas (Enc)'!$B$6:$B$998,$A99,'Blackout Brand Fam Areas (Enc)'!$C$6:$C$998,E$1,'Blackout Brand Fam Areas (Enc)'!$D$6:$D$998,"Inactive")&gt;0,"BLOCKED","CAN SELL"))</f>
        <v>CAN SELL</v>
      </c>
      <c r="F99" s="2" t="str">
        <f>IF($A99="","",IF(COUNTIFS('Blackout Brand Fam Areas (Enc)'!$B$6:$B$998,$A99,'Blackout Brand Fam Areas (Enc)'!$C$6:$C$998,F$1,'Blackout Brand Fam Areas (Enc)'!$D$6:$D$998,"Inactive")&gt;0,"BLOCKED","CAN SELL"))</f>
        <v>CAN SELL</v>
      </c>
      <c r="G99" s="2" t="str">
        <f>IF($A99="","",IF(COUNTIFS('Blackout Brand Fam Areas (Enc)'!$B$6:$B$998,$A99,'Blackout Brand Fam Areas (Enc)'!$C$6:$C$998,G$1,'Blackout Brand Fam Areas (Enc)'!$D$6:$D$998,"Inactive")&gt;0,"BLOCKED","CAN SELL"))</f>
        <v>CAN SELL</v>
      </c>
      <c r="H99" s="2" t="str">
        <f>IF($A99="","",IF(COUNTIFS('Blackout Brand Fam Areas (Enc)'!$B$6:$B$998,$A99,'Blackout Brand Fam Areas (Enc)'!$C$6:$C$998,H$1,'Blackout Brand Fam Areas (Enc)'!$D$6:$D$998,"Inactive")&gt;0,"BLOCKED","CAN SELL"))</f>
        <v>BLOCKED</v>
      </c>
      <c r="I99" s="2" t="str">
        <f>IF($A99="","",IF(COUNTIFS('Blackout Brand Fam Areas (Enc)'!$B$6:$B$998,$A99,'Blackout Brand Fam Areas (Enc)'!$C$6:$C$998,I$1,'Blackout Brand Fam Areas (Enc)'!$D$6:$D$998,"Inactive")&gt;0,"BLOCKED","CAN SELL"))</f>
        <v>BLOCKED</v>
      </c>
      <c r="J99" s="2" t="str">
        <f>IF($A99="","",IF(COUNTIFS('Blackout Brand Fam Areas (Enc)'!$B$6:$B$998,$A99,'Blackout Brand Fam Areas (Enc)'!$C$6:$C$998,J$1,'Blackout Brand Fam Areas (Enc)'!$D$6:$D$998,"Inactive")&gt;0,"BLOCKED","CAN SELL"))</f>
        <v>BLOCKED</v>
      </c>
      <c r="K99" s="2" t="str">
        <f>IF($A99="","",IF(COUNTIFS('Blackout Brand Fam Areas (Enc)'!$B$6:$B$998,$A99,'Blackout Brand Fam Areas (Enc)'!$C$6:$C$998,K$1,'Blackout Brand Fam Areas (Enc)'!$D$6:$D$998,"Inactive")&gt;0,"BLOCKED","CAN SELL"))</f>
        <v>BLOCKED</v>
      </c>
    </row>
    <row r="100" spans="1:11" x14ac:dyDescent="0.2">
      <c r="A100" s="2" t="str">
        <v>Inedit</v>
      </c>
      <c r="B100" s="2" t="str">
        <f>IF($A100="","",IF(COUNTIFS('Blackout Brand Fam Areas (Enc)'!$B$6:$B$998,$A100,'Blackout Brand Fam Areas (Enc)'!$C$6:$C$998,B$1,'Blackout Brand Fam Areas (Enc)'!$D$6:$D$998,"Inactive")&gt;0,"BLOCKED","CAN SELL"))</f>
        <v>CAN SELL</v>
      </c>
      <c r="C100" s="2" t="str">
        <f>IF($A100="","",IF(COUNTIFS('Blackout Brand Fam Areas (Enc)'!$B$6:$B$998,$A100,'Blackout Brand Fam Areas (Enc)'!$C$6:$C$998,C$1,'Blackout Brand Fam Areas (Enc)'!$D$6:$D$998,"Inactive")&gt;0,"BLOCKED","CAN SELL"))</f>
        <v>CAN SELL</v>
      </c>
      <c r="D100" s="2" t="str">
        <f>IF($A100="","",IF(COUNTIFS('Blackout Brand Fam Areas (Enc)'!$B$6:$B$998,$A100,'Blackout Brand Fam Areas (Enc)'!$C$6:$C$998,D$1,'Blackout Brand Fam Areas (Enc)'!$D$6:$D$998,"Inactive")&gt;0,"BLOCKED","CAN SELL"))</f>
        <v>CAN SELL</v>
      </c>
      <c r="E100" s="2" t="str">
        <f>IF($A100="","",IF(COUNTIFS('Blackout Brand Fam Areas (Enc)'!$B$6:$B$998,$A100,'Blackout Brand Fam Areas (Enc)'!$C$6:$C$998,E$1,'Blackout Brand Fam Areas (Enc)'!$D$6:$D$998,"Inactive")&gt;0,"BLOCKED","CAN SELL"))</f>
        <v>CAN SELL</v>
      </c>
      <c r="F100" s="2" t="str">
        <f>IF($A100="","",IF(COUNTIFS('Blackout Brand Fam Areas (Enc)'!$B$6:$B$998,$A100,'Blackout Brand Fam Areas (Enc)'!$C$6:$C$998,F$1,'Blackout Brand Fam Areas (Enc)'!$D$6:$D$998,"Inactive")&gt;0,"BLOCKED","CAN SELL"))</f>
        <v>CAN SELL</v>
      </c>
      <c r="G100" s="2" t="str">
        <f>IF($A100="","",IF(COUNTIFS('Blackout Brand Fam Areas (Enc)'!$B$6:$B$998,$A100,'Blackout Brand Fam Areas (Enc)'!$C$6:$C$998,G$1,'Blackout Brand Fam Areas (Enc)'!$D$6:$D$998,"Inactive")&gt;0,"BLOCKED","CAN SELL"))</f>
        <v>CAN SELL</v>
      </c>
      <c r="H100" s="2" t="str">
        <f>IF($A100="","",IF(COUNTIFS('Blackout Brand Fam Areas (Enc)'!$B$6:$B$998,$A100,'Blackout Brand Fam Areas (Enc)'!$C$6:$C$998,H$1,'Blackout Brand Fam Areas (Enc)'!$D$6:$D$998,"Inactive")&gt;0,"BLOCKED","CAN SELL"))</f>
        <v>BLOCKED</v>
      </c>
      <c r="I100" s="2" t="str">
        <f>IF($A100="","",IF(COUNTIFS('Blackout Brand Fam Areas (Enc)'!$B$6:$B$998,$A100,'Blackout Brand Fam Areas (Enc)'!$C$6:$C$998,I$1,'Blackout Brand Fam Areas (Enc)'!$D$6:$D$998,"Inactive")&gt;0,"BLOCKED","CAN SELL"))</f>
        <v>BLOCKED</v>
      </c>
      <c r="J100" s="2" t="str">
        <f>IF($A100="","",IF(COUNTIFS('Blackout Brand Fam Areas (Enc)'!$B$6:$B$998,$A100,'Blackout Brand Fam Areas (Enc)'!$C$6:$C$998,J$1,'Blackout Brand Fam Areas (Enc)'!$D$6:$D$998,"Inactive")&gt;0,"BLOCKED","CAN SELL"))</f>
        <v>BLOCKED</v>
      </c>
      <c r="K100" s="2" t="str">
        <f>IF($A100="","",IF(COUNTIFS('Blackout Brand Fam Areas (Enc)'!$B$6:$B$998,$A100,'Blackout Brand Fam Areas (Enc)'!$C$6:$C$998,K$1,'Blackout Brand Fam Areas (Enc)'!$D$6:$D$998,"Inactive")&gt;0,"BLOCKED","CAN SELL"))</f>
        <v>BLOCKED</v>
      </c>
    </row>
    <row r="101" spans="1:11" x14ac:dyDescent="0.2">
      <c r="A101" s="2" t="str">
        <v>Ithaca</v>
      </c>
      <c r="B101" s="2" t="str">
        <f>IF($A101="","",IF(COUNTIFS('Blackout Brand Fam Areas (Enc)'!$B$6:$B$998,$A101,'Blackout Brand Fam Areas (Enc)'!$C$6:$C$998,B$1,'Blackout Brand Fam Areas (Enc)'!$D$6:$D$998,"Inactive")&gt;0,"BLOCKED","CAN SELL"))</f>
        <v>CAN SELL</v>
      </c>
      <c r="C101" s="2" t="str">
        <f>IF($A101="","",IF(COUNTIFS('Blackout Brand Fam Areas (Enc)'!$B$6:$B$998,$A101,'Blackout Brand Fam Areas (Enc)'!$C$6:$C$998,C$1,'Blackout Brand Fam Areas (Enc)'!$D$6:$D$998,"Inactive")&gt;0,"BLOCKED","CAN SELL"))</f>
        <v>CAN SELL</v>
      </c>
      <c r="D101" s="2" t="str">
        <f>IF($A101="","",IF(COUNTIFS('Blackout Brand Fam Areas (Enc)'!$B$6:$B$998,$A101,'Blackout Brand Fam Areas (Enc)'!$C$6:$C$998,D$1,'Blackout Brand Fam Areas (Enc)'!$D$6:$D$998,"Inactive")&gt;0,"BLOCKED","CAN SELL"))</f>
        <v>CAN SELL</v>
      </c>
      <c r="E101" s="2" t="str">
        <f>IF($A101="","",IF(COUNTIFS('Blackout Brand Fam Areas (Enc)'!$B$6:$B$998,$A101,'Blackout Brand Fam Areas (Enc)'!$C$6:$C$998,E$1,'Blackout Brand Fam Areas (Enc)'!$D$6:$D$998,"Inactive")&gt;0,"BLOCKED","CAN SELL"))</f>
        <v>CAN SELL</v>
      </c>
      <c r="F101" s="2" t="str">
        <f>IF($A101="","",IF(COUNTIFS('Blackout Brand Fam Areas (Enc)'!$B$6:$B$998,$A101,'Blackout Brand Fam Areas (Enc)'!$C$6:$C$998,F$1,'Blackout Brand Fam Areas (Enc)'!$D$6:$D$998,"Inactive")&gt;0,"BLOCKED","CAN SELL"))</f>
        <v>CAN SELL</v>
      </c>
      <c r="G101" s="2" t="str">
        <f>IF($A101="","",IF(COUNTIFS('Blackout Brand Fam Areas (Enc)'!$B$6:$B$998,$A101,'Blackout Brand Fam Areas (Enc)'!$C$6:$C$998,G$1,'Blackout Brand Fam Areas (Enc)'!$D$6:$D$998,"Inactive")&gt;0,"BLOCKED","CAN SELL"))</f>
        <v>BLOCKED</v>
      </c>
      <c r="H101" s="2" t="str">
        <f>IF($A101="","",IF(COUNTIFS('Blackout Brand Fam Areas (Enc)'!$B$6:$B$998,$A101,'Blackout Brand Fam Areas (Enc)'!$C$6:$C$998,H$1,'Blackout Brand Fam Areas (Enc)'!$D$6:$D$998,"Inactive")&gt;0,"BLOCKED","CAN SELL"))</f>
        <v>BLOCKED</v>
      </c>
      <c r="I101" s="2" t="str">
        <f>IF($A101="","",IF(COUNTIFS('Blackout Brand Fam Areas (Enc)'!$B$6:$B$998,$A101,'Blackout Brand Fam Areas (Enc)'!$C$6:$C$998,I$1,'Blackout Brand Fam Areas (Enc)'!$D$6:$D$998,"Inactive")&gt;0,"BLOCKED","CAN SELL"))</f>
        <v>BLOCKED</v>
      </c>
      <c r="J101" s="2" t="str">
        <f>IF($A101="","",IF(COUNTIFS('Blackout Brand Fam Areas (Enc)'!$B$6:$B$998,$A101,'Blackout Brand Fam Areas (Enc)'!$C$6:$C$998,J$1,'Blackout Brand Fam Areas (Enc)'!$D$6:$D$998,"Inactive")&gt;0,"BLOCKED","CAN SELL"))</f>
        <v>BLOCKED</v>
      </c>
      <c r="K101" s="2" t="str">
        <f>IF($A101="","",IF(COUNTIFS('Blackout Brand Fam Areas (Enc)'!$B$6:$B$998,$A101,'Blackout Brand Fam Areas (Enc)'!$C$6:$C$998,K$1,'Blackout Brand Fam Areas (Enc)'!$D$6:$D$998,"Inactive")&gt;0,"BLOCKED","CAN SELL"))</f>
        <v>BLOCKED</v>
      </c>
    </row>
    <row r="102" spans="1:11" x14ac:dyDescent="0.2">
      <c r="A102" s="2" t="str">
        <v>Jasmine's</v>
      </c>
      <c r="B102" s="2" t="str">
        <f>IF($A102="","",IF(COUNTIFS('Blackout Brand Fam Areas (Enc)'!$B$6:$B$998,$A102,'Blackout Brand Fam Areas (Enc)'!$C$6:$C$998,B$1,'Blackout Brand Fam Areas (Enc)'!$D$6:$D$998,"Inactive")&gt;0,"BLOCKED","CAN SELL"))</f>
        <v>CAN SELL</v>
      </c>
      <c r="C102" s="2" t="str">
        <f>IF($A102="","",IF(COUNTIFS('Blackout Brand Fam Areas (Enc)'!$B$6:$B$998,$A102,'Blackout Brand Fam Areas (Enc)'!$C$6:$C$998,C$1,'Blackout Brand Fam Areas (Enc)'!$D$6:$D$998,"Inactive")&gt;0,"BLOCKED","CAN SELL"))</f>
        <v>CAN SELL</v>
      </c>
      <c r="D102" s="2" t="str">
        <f>IF($A102="","",IF(COUNTIFS('Blackout Brand Fam Areas (Enc)'!$B$6:$B$998,$A102,'Blackout Brand Fam Areas (Enc)'!$C$6:$C$998,D$1,'Blackout Brand Fam Areas (Enc)'!$D$6:$D$998,"Inactive")&gt;0,"BLOCKED","CAN SELL"))</f>
        <v>CAN SELL</v>
      </c>
      <c r="E102" s="2" t="str">
        <f>IF($A102="","",IF(COUNTIFS('Blackout Brand Fam Areas (Enc)'!$B$6:$B$998,$A102,'Blackout Brand Fam Areas (Enc)'!$C$6:$C$998,E$1,'Blackout Brand Fam Areas (Enc)'!$D$6:$D$998,"Inactive")&gt;0,"BLOCKED","CAN SELL"))</f>
        <v>BLOCKED</v>
      </c>
      <c r="F102" s="2" t="str">
        <f>IF($A102="","",IF(COUNTIFS('Blackout Brand Fam Areas (Enc)'!$B$6:$B$998,$A102,'Blackout Brand Fam Areas (Enc)'!$C$6:$C$998,F$1,'Blackout Brand Fam Areas (Enc)'!$D$6:$D$998,"Inactive")&gt;0,"BLOCKED","CAN SELL"))</f>
        <v>BLOCKED</v>
      </c>
      <c r="G102" s="2" t="str">
        <f>IF($A102="","",IF(COUNTIFS('Blackout Brand Fam Areas (Enc)'!$B$6:$B$998,$A102,'Blackout Brand Fam Areas (Enc)'!$C$6:$C$998,G$1,'Blackout Brand Fam Areas (Enc)'!$D$6:$D$998,"Inactive")&gt;0,"BLOCKED","CAN SELL"))</f>
        <v>BLOCKED</v>
      </c>
      <c r="H102" s="2" t="str">
        <f>IF($A102="","",IF(COUNTIFS('Blackout Brand Fam Areas (Enc)'!$B$6:$B$998,$A102,'Blackout Brand Fam Areas (Enc)'!$C$6:$C$998,H$1,'Blackout Brand Fam Areas (Enc)'!$D$6:$D$998,"Inactive")&gt;0,"BLOCKED","CAN SELL"))</f>
        <v>CAN SELL</v>
      </c>
      <c r="I102" s="2" t="str">
        <f>IF($A102="","",IF(COUNTIFS('Blackout Brand Fam Areas (Enc)'!$B$6:$B$998,$A102,'Blackout Brand Fam Areas (Enc)'!$C$6:$C$998,I$1,'Blackout Brand Fam Areas (Enc)'!$D$6:$D$998,"Inactive")&gt;0,"BLOCKED","CAN SELL"))</f>
        <v>CAN SELL</v>
      </c>
      <c r="J102" s="2" t="str">
        <f>IF($A102="","",IF(COUNTIFS('Blackout Brand Fam Areas (Enc)'!$B$6:$B$998,$A102,'Blackout Brand Fam Areas (Enc)'!$C$6:$C$998,J$1,'Blackout Brand Fam Areas (Enc)'!$D$6:$D$998,"Inactive")&gt;0,"BLOCKED","CAN SELL"))</f>
        <v>BLOCKED</v>
      </c>
      <c r="K102" s="2" t="str">
        <f>IF($A102="","",IF(COUNTIFS('Blackout Brand Fam Areas (Enc)'!$B$6:$B$998,$A102,'Blackout Brand Fam Areas (Enc)'!$C$6:$C$998,K$1,'Blackout Brand Fam Areas (Enc)'!$D$6:$D$998,"Inactive")&gt;0,"BLOCKED","CAN SELL"))</f>
        <v>CAN SELL</v>
      </c>
    </row>
    <row r="103" spans="1:11" x14ac:dyDescent="0.2">
      <c r="A103" s="2" t="str">
        <v>John Daly</v>
      </c>
      <c r="B103" s="2" t="str">
        <f>IF($A103="","",IF(COUNTIFS('Blackout Brand Fam Areas (Enc)'!$B$6:$B$998,$A103,'Blackout Brand Fam Areas (Enc)'!$C$6:$C$998,B$1,'Blackout Brand Fam Areas (Enc)'!$D$6:$D$998,"Inactive")&gt;0,"BLOCKED","CAN SELL"))</f>
        <v>CAN SELL</v>
      </c>
      <c r="C103" s="2" t="str">
        <f>IF($A103="","",IF(COUNTIFS('Blackout Brand Fam Areas (Enc)'!$B$6:$B$998,$A103,'Blackout Brand Fam Areas (Enc)'!$C$6:$C$998,C$1,'Blackout Brand Fam Areas (Enc)'!$D$6:$D$998,"Inactive")&gt;0,"BLOCKED","CAN SELL"))</f>
        <v>CAN SELL</v>
      </c>
      <c r="D103" s="2" t="str">
        <f>IF($A103="","",IF(COUNTIFS('Blackout Brand Fam Areas (Enc)'!$B$6:$B$998,$A103,'Blackout Brand Fam Areas (Enc)'!$C$6:$C$998,D$1,'Blackout Brand Fam Areas (Enc)'!$D$6:$D$998,"Inactive")&gt;0,"BLOCKED","CAN SELL"))</f>
        <v>CAN SELL</v>
      </c>
      <c r="E103" s="2" t="str">
        <f>IF($A103="","",IF(COUNTIFS('Blackout Brand Fam Areas (Enc)'!$B$6:$B$998,$A103,'Blackout Brand Fam Areas (Enc)'!$C$6:$C$998,E$1,'Blackout Brand Fam Areas (Enc)'!$D$6:$D$998,"Inactive")&gt;0,"BLOCKED","CAN SELL"))</f>
        <v>BLOCKED</v>
      </c>
      <c r="F103" s="2" t="str">
        <f>IF($A103="","",IF(COUNTIFS('Blackout Brand Fam Areas (Enc)'!$B$6:$B$998,$A103,'Blackout Brand Fam Areas (Enc)'!$C$6:$C$998,F$1,'Blackout Brand Fam Areas (Enc)'!$D$6:$D$998,"Inactive")&gt;0,"BLOCKED","CAN SELL"))</f>
        <v>CAN SELL</v>
      </c>
      <c r="G103" s="2" t="str">
        <f>IF($A103="","",IF(COUNTIFS('Blackout Brand Fam Areas (Enc)'!$B$6:$B$998,$A103,'Blackout Brand Fam Areas (Enc)'!$C$6:$C$998,G$1,'Blackout Brand Fam Areas (Enc)'!$D$6:$D$998,"Inactive")&gt;0,"BLOCKED","CAN SELL"))</f>
        <v>BLOCKED</v>
      </c>
      <c r="H103" s="2" t="str">
        <f>IF($A103="","",IF(COUNTIFS('Blackout Brand Fam Areas (Enc)'!$B$6:$B$998,$A103,'Blackout Brand Fam Areas (Enc)'!$C$6:$C$998,H$1,'Blackout Brand Fam Areas (Enc)'!$D$6:$D$998,"Inactive")&gt;0,"BLOCKED","CAN SELL"))</f>
        <v>CAN SELL</v>
      </c>
      <c r="I103" s="2" t="str">
        <f>IF($A103="","",IF(COUNTIFS('Blackout Brand Fam Areas (Enc)'!$B$6:$B$998,$A103,'Blackout Brand Fam Areas (Enc)'!$C$6:$C$998,I$1,'Blackout Brand Fam Areas (Enc)'!$D$6:$D$998,"Inactive")&gt;0,"BLOCKED","CAN SELL"))</f>
        <v>CAN SELL</v>
      </c>
      <c r="J103" s="2" t="str">
        <f>IF($A103="","",IF(COUNTIFS('Blackout Brand Fam Areas (Enc)'!$B$6:$B$998,$A103,'Blackout Brand Fam Areas (Enc)'!$C$6:$C$998,J$1,'Blackout Brand Fam Areas (Enc)'!$D$6:$D$998,"Inactive")&gt;0,"BLOCKED","CAN SELL"))</f>
        <v>BLOCKED</v>
      </c>
      <c r="K103" s="2" t="str">
        <f>IF($A103="","",IF(COUNTIFS('Blackout Brand Fam Areas (Enc)'!$B$6:$B$998,$A103,'Blackout Brand Fam Areas (Enc)'!$C$6:$C$998,K$1,'Blackout Brand Fam Areas (Enc)'!$D$6:$D$998,"Inactive")&gt;0,"BLOCKED","CAN SELL"))</f>
        <v>CAN SELL</v>
      </c>
    </row>
    <row r="104" spans="1:11" x14ac:dyDescent="0.2">
      <c r="A104" s="2" t="str">
        <v>Keystone</v>
      </c>
      <c r="B104" s="2" t="str">
        <f>IF($A104="","",IF(COUNTIFS('Blackout Brand Fam Areas (Enc)'!$B$6:$B$998,$A104,'Blackout Brand Fam Areas (Enc)'!$C$6:$C$998,B$1,'Blackout Brand Fam Areas (Enc)'!$D$6:$D$998,"Inactive")&gt;0,"BLOCKED","CAN SELL"))</f>
        <v>CAN SELL</v>
      </c>
      <c r="C104" s="2" t="str">
        <f>IF($A104="","",IF(COUNTIFS('Blackout Brand Fam Areas (Enc)'!$B$6:$B$998,$A104,'Blackout Brand Fam Areas (Enc)'!$C$6:$C$998,C$1,'Blackout Brand Fam Areas (Enc)'!$D$6:$D$998,"Inactive")&gt;0,"BLOCKED","CAN SELL"))</f>
        <v>CAN SELL</v>
      </c>
      <c r="D104" s="2" t="str">
        <f>IF($A104="","",IF(COUNTIFS('Blackout Brand Fam Areas (Enc)'!$B$6:$B$998,$A104,'Blackout Brand Fam Areas (Enc)'!$C$6:$C$998,D$1,'Blackout Brand Fam Areas (Enc)'!$D$6:$D$998,"Inactive")&gt;0,"BLOCKED","CAN SELL"))</f>
        <v>CAN SELL</v>
      </c>
      <c r="E104" s="2" t="str">
        <f>IF($A104="","",IF(COUNTIFS('Blackout Brand Fam Areas (Enc)'!$B$6:$B$998,$A104,'Blackout Brand Fam Areas (Enc)'!$C$6:$C$998,E$1,'Blackout Brand Fam Areas (Enc)'!$D$6:$D$998,"Inactive")&gt;0,"BLOCKED","CAN SELL"))</f>
        <v>BLOCKED</v>
      </c>
      <c r="F104" s="2" t="str">
        <f>IF($A104="","",IF(COUNTIFS('Blackout Brand Fam Areas (Enc)'!$B$6:$B$998,$A104,'Blackout Brand Fam Areas (Enc)'!$C$6:$C$998,F$1,'Blackout Brand Fam Areas (Enc)'!$D$6:$D$998,"Inactive")&gt;0,"BLOCKED","CAN SELL"))</f>
        <v>BLOCKED</v>
      </c>
      <c r="G104" s="2" t="str">
        <f>IF($A104="","",IF(COUNTIFS('Blackout Brand Fam Areas (Enc)'!$B$6:$B$998,$A104,'Blackout Brand Fam Areas (Enc)'!$C$6:$C$998,G$1,'Blackout Brand Fam Areas (Enc)'!$D$6:$D$998,"Inactive")&gt;0,"BLOCKED","CAN SELL"))</f>
        <v>BLOCKED</v>
      </c>
      <c r="H104" s="2" t="str">
        <f>IF($A104="","",IF(COUNTIFS('Blackout Brand Fam Areas (Enc)'!$B$6:$B$998,$A104,'Blackout Brand Fam Areas (Enc)'!$C$6:$C$998,H$1,'Blackout Brand Fam Areas (Enc)'!$D$6:$D$998,"Inactive")&gt;0,"BLOCKED","CAN SELL"))</f>
        <v>CAN SELL</v>
      </c>
      <c r="I104" s="2" t="str">
        <f>IF($A104="","",IF(COUNTIFS('Blackout Brand Fam Areas (Enc)'!$B$6:$B$998,$A104,'Blackout Brand Fam Areas (Enc)'!$C$6:$C$998,I$1,'Blackout Brand Fam Areas (Enc)'!$D$6:$D$998,"Inactive")&gt;0,"BLOCKED","CAN SELL"))</f>
        <v>CAN SELL</v>
      </c>
      <c r="J104" s="2" t="str">
        <f>IF($A104="","",IF(COUNTIFS('Blackout Brand Fam Areas (Enc)'!$B$6:$B$998,$A104,'Blackout Brand Fam Areas (Enc)'!$C$6:$C$998,J$1,'Blackout Brand Fam Areas (Enc)'!$D$6:$D$998,"Inactive")&gt;0,"BLOCKED","CAN SELL"))</f>
        <v>BLOCKED</v>
      </c>
      <c r="K104" s="2" t="str">
        <f>IF($A104="","",IF(COUNTIFS('Blackout Brand Fam Areas (Enc)'!$B$6:$B$998,$A104,'Blackout Brand Fam Areas (Enc)'!$C$6:$C$998,K$1,'Blackout Brand Fam Areas (Enc)'!$D$6:$D$998,"Inactive")&gt;0,"BLOCKED","CAN SELL"))</f>
        <v>CAN SELL</v>
      </c>
    </row>
    <row r="105" spans="1:11" x14ac:dyDescent="0.2">
      <c r="A105" s="2" t="str">
        <v>Kirin Ichiban</v>
      </c>
      <c r="B105" s="2" t="str">
        <f>IF($A105="","",IF(COUNTIFS('Blackout Brand Fam Areas (Enc)'!$B$6:$B$998,$A105,'Blackout Brand Fam Areas (Enc)'!$C$6:$C$998,B$1,'Blackout Brand Fam Areas (Enc)'!$D$6:$D$998,"Inactive")&gt;0,"BLOCKED","CAN SELL"))</f>
        <v>CAN SELL</v>
      </c>
      <c r="C105" s="2" t="str">
        <f>IF($A105="","",IF(COUNTIFS('Blackout Brand Fam Areas (Enc)'!$B$6:$B$998,$A105,'Blackout Brand Fam Areas (Enc)'!$C$6:$C$998,C$1,'Blackout Brand Fam Areas (Enc)'!$D$6:$D$998,"Inactive")&gt;0,"BLOCKED","CAN SELL"))</f>
        <v>CAN SELL</v>
      </c>
      <c r="D105" s="2" t="str">
        <f>IF($A105="","",IF(COUNTIFS('Blackout Brand Fam Areas (Enc)'!$B$6:$B$998,$A105,'Blackout Brand Fam Areas (Enc)'!$C$6:$C$998,D$1,'Blackout Brand Fam Areas (Enc)'!$D$6:$D$998,"Inactive")&gt;0,"BLOCKED","CAN SELL"))</f>
        <v>CAN SELL</v>
      </c>
      <c r="E105" s="2" t="str">
        <f>IF($A105="","",IF(COUNTIFS('Blackout Brand Fam Areas (Enc)'!$B$6:$B$998,$A105,'Blackout Brand Fam Areas (Enc)'!$C$6:$C$998,E$1,'Blackout Brand Fam Areas (Enc)'!$D$6:$D$998,"Inactive")&gt;0,"BLOCKED","CAN SELL"))</f>
        <v>BLOCKED</v>
      </c>
      <c r="F105" s="2" t="str">
        <f>IF($A105="","",IF(COUNTIFS('Blackout Brand Fam Areas (Enc)'!$B$6:$B$998,$A105,'Blackout Brand Fam Areas (Enc)'!$C$6:$C$998,F$1,'Blackout Brand Fam Areas (Enc)'!$D$6:$D$998,"Inactive")&gt;0,"BLOCKED","CAN SELL"))</f>
        <v>BLOCKED</v>
      </c>
      <c r="G105" s="2" t="str">
        <f>IF($A105="","",IF(COUNTIFS('Blackout Brand Fam Areas (Enc)'!$B$6:$B$998,$A105,'Blackout Brand Fam Areas (Enc)'!$C$6:$C$998,G$1,'Blackout Brand Fam Areas (Enc)'!$D$6:$D$998,"Inactive")&gt;0,"BLOCKED","CAN SELL"))</f>
        <v>BLOCKED</v>
      </c>
      <c r="H105" s="2" t="str">
        <f>IF($A105="","",IF(COUNTIFS('Blackout Brand Fam Areas (Enc)'!$B$6:$B$998,$A105,'Blackout Brand Fam Areas (Enc)'!$C$6:$C$998,H$1,'Blackout Brand Fam Areas (Enc)'!$D$6:$D$998,"Inactive")&gt;0,"BLOCKED","CAN SELL"))</f>
        <v>CAN SELL</v>
      </c>
      <c r="I105" s="2" t="str">
        <f>IF($A105="","",IF(COUNTIFS('Blackout Brand Fam Areas (Enc)'!$B$6:$B$998,$A105,'Blackout Brand Fam Areas (Enc)'!$C$6:$C$998,I$1,'Blackout Brand Fam Areas (Enc)'!$D$6:$D$998,"Inactive")&gt;0,"BLOCKED","CAN SELL"))</f>
        <v>CAN SELL</v>
      </c>
      <c r="J105" s="2" t="str">
        <f>IF($A105="","",IF(COUNTIFS('Blackout Brand Fam Areas (Enc)'!$B$6:$B$998,$A105,'Blackout Brand Fam Areas (Enc)'!$C$6:$C$998,J$1,'Blackout Brand Fam Areas (Enc)'!$D$6:$D$998,"Inactive")&gt;0,"BLOCKED","CAN SELL"))</f>
        <v>BLOCKED</v>
      </c>
      <c r="K105" s="2" t="str">
        <f>IF($A105="","",IF(COUNTIFS('Blackout Brand Fam Areas (Enc)'!$B$6:$B$998,$A105,'Blackout Brand Fam Areas (Enc)'!$C$6:$C$998,K$1,'Blackout Brand Fam Areas (Enc)'!$D$6:$D$998,"Inactive")&gt;0,"BLOCKED","CAN SELL"))</f>
        <v>CAN SELL</v>
      </c>
    </row>
    <row r="106" spans="1:11" x14ac:dyDescent="0.2">
      <c r="A106" s="2" t="str">
        <v>Kirin Light</v>
      </c>
      <c r="B106" s="2" t="str">
        <f>IF($A106="","",IF(COUNTIFS('Blackout Brand Fam Areas (Enc)'!$B$6:$B$998,$A106,'Blackout Brand Fam Areas (Enc)'!$C$6:$C$998,B$1,'Blackout Brand Fam Areas (Enc)'!$D$6:$D$998,"Inactive")&gt;0,"BLOCKED","CAN SELL"))</f>
        <v>CAN SELL</v>
      </c>
      <c r="C106" s="2" t="str">
        <f>IF($A106="","",IF(COUNTIFS('Blackout Brand Fam Areas (Enc)'!$B$6:$B$998,$A106,'Blackout Brand Fam Areas (Enc)'!$C$6:$C$998,C$1,'Blackout Brand Fam Areas (Enc)'!$D$6:$D$998,"Inactive")&gt;0,"BLOCKED","CAN SELL"))</f>
        <v>CAN SELL</v>
      </c>
      <c r="D106" s="2" t="str">
        <f>IF($A106="","",IF(COUNTIFS('Blackout Brand Fam Areas (Enc)'!$B$6:$B$998,$A106,'Blackout Brand Fam Areas (Enc)'!$C$6:$C$998,D$1,'Blackout Brand Fam Areas (Enc)'!$D$6:$D$998,"Inactive")&gt;0,"BLOCKED","CAN SELL"))</f>
        <v>CAN SELL</v>
      </c>
      <c r="E106" s="2" t="str">
        <f>IF($A106="","",IF(COUNTIFS('Blackout Brand Fam Areas (Enc)'!$B$6:$B$998,$A106,'Blackout Brand Fam Areas (Enc)'!$C$6:$C$998,E$1,'Blackout Brand Fam Areas (Enc)'!$D$6:$D$998,"Inactive")&gt;0,"BLOCKED","CAN SELL"))</f>
        <v>BLOCKED</v>
      </c>
      <c r="F106" s="2" t="str">
        <f>IF($A106="","",IF(COUNTIFS('Blackout Brand Fam Areas (Enc)'!$B$6:$B$998,$A106,'Blackout Brand Fam Areas (Enc)'!$C$6:$C$998,F$1,'Blackout Brand Fam Areas (Enc)'!$D$6:$D$998,"Inactive")&gt;0,"BLOCKED","CAN SELL"))</f>
        <v>BLOCKED</v>
      </c>
      <c r="G106" s="2" t="str">
        <f>IF($A106="","",IF(COUNTIFS('Blackout Brand Fam Areas (Enc)'!$B$6:$B$998,$A106,'Blackout Brand Fam Areas (Enc)'!$C$6:$C$998,G$1,'Blackout Brand Fam Areas (Enc)'!$D$6:$D$998,"Inactive")&gt;0,"BLOCKED","CAN SELL"))</f>
        <v>BLOCKED</v>
      </c>
      <c r="H106" s="2" t="str">
        <f>IF($A106="","",IF(COUNTIFS('Blackout Brand Fam Areas (Enc)'!$B$6:$B$998,$A106,'Blackout Brand Fam Areas (Enc)'!$C$6:$C$998,H$1,'Blackout Brand Fam Areas (Enc)'!$D$6:$D$998,"Inactive")&gt;0,"BLOCKED","CAN SELL"))</f>
        <v>CAN SELL</v>
      </c>
      <c r="I106" s="2" t="str">
        <f>IF($A106="","",IF(COUNTIFS('Blackout Brand Fam Areas (Enc)'!$B$6:$B$998,$A106,'Blackout Brand Fam Areas (Enc)'!$C$6:$C$998,I$1,'Blackout Brand Fam Areas (Enc)'!$D$6:$D$998,"Inactive")&gt;0,"BLOCKED","CAN SELL"))</f>
        <v>CAN SELL</v>
      </c>
      <c r="J106" s="2" t="str">
        <f>IF($A106="","",IF(COUNTIFS('Blackout Brand Fam Areas (Enc)'!$B$6:$B$998,$A106,'Blackout Brand Fam Areas (Enc)'!$C$6:$C$998,J$1,'Blackout Brand Fam Areas (Enc)'!$D$6:$D$998,"Inactive")&gt;0,"BLOCKED","CAN SELL"))</f>
        <v>BLOCKED</v>
      </c>
      <c r="K106" s="2" t="str">
        <f>IF($A106="","",IF(COUNTIFS('Blackout Brand Fam Areas (Enc)'!$B$6:$B$998,$A106,'Blackout Brand Fam Areas (Enc)'!$C$6:$C$998,K$1,'Blackout Brand Fam Areas (Enc)'!$D$6:$D$998,"Inactive")&gt;0,"BLOCKED","CAN SELL"))</f>
        <v>CAN SELL</v>
      </c>
    </row>
    <row r="107" spans="1:11" x14ac:dyDescent="0.2">
      <c r="A107" s="2" t="str">
        <v>La Bodega</v>
      </c>
      <c r="B107" s="2" t="str">
        <f>IF($A107="","",IF(COUNTIFS('Blackout Brand Fam Areas (Enc)'!$B$6:$B$998,$A107,'Blackout Brand Fam Areas (Enc)'!$C$6:$C$998,B$1,'Blackout Brand Fam Areas (Enc)'!$D$6:$D$998,"Inactive")&gt;0,"BLOCKED","CAN SELL"))</f>
        <v>CAN SELL</v>
      </c>
      <c r="C107" s="2" t="str">
        <f>IF($A107="","",IF(COUNTIFS('Blackout Brand Fam Areas (Enc)'!$B$6:$B$998,$A107,'Blackout Brand Fam Areas (Enc)'!$C$6:$C$998,C$1,'Blackout Brand Fam Areas (Enc)'!$D$6:$D$998,"Inactive")&gt;0,"BLOCKED","CAN SELL"))</f>
        <v>CAN SELL</v>
      </c>
      <c r="D107" s="2" t="str">
        <f>IF($A107="","",IF(COUNTIFS('Blackout Brand Fam Areas (Enc)'!$B$6:$B$998,$A107,'Blackout Brand Fam Areas (Enc)'!$C$6:$C$998,D$1,'Blackout Brand Fam Areas (Enc)'!$D$6:$D$998,"Inactive")&gt;0,"BLOCKED","CAN SELL"))</f>
        <v>CAN SELL</v>
      </c>
      <c r="E107" s="2" t="str">
        <f>IF($A107="","",IF(COUNTIFS('Blackout Brand Fam Areas (Enc)'!$B$6:$B$998,$A107,'Blackout Brand Fam Areas (Enc)'!$C$6:$C$998,E$1,'Blackout Brand Fam Areas (Enc)'!$D$6:$D$998,"Inactive")&gt;0,"BLOCKED","CAN SELL"))</f>
        <v>BLOCKED</v>
      </c>
      <c r="F107" s="2" t="str">
        <f>IF($A107="","",IF(COUNTIFS('Blackout Brand Fam Areas (Enc)'!$B$6:$B$998,$A107,'Blackout Brand Fam Areas (Enc)'!$C$6:$C$998,F$1,'Blackout Brand Fam Areas (Enc)'!$D$6:$D$998,"Inactive")&gt;0,"BLOCKED","CAN SELL"))</f>
        <v>BLOCKED</v>
      </c>
      <c r="G107" s="2" t="str">
        <f>IF($A107="","",IF(COUNTIFS('Blackout Brand Fam Areas (Enc)'!$B$6:$B$998,$A107,'Blackout Brand Fam Areas (Enc)'!$C$6:$C$998,G$1,'Blackout Brand Fam Areas (Enc)'!$D$6:$D$998,"Inactive")&gt;0,"BLOCKED","CAN SELL"))</f>
        <v>BLOCKED</v>
      </c>
      <c r="H107" s="2" t="str">
        <f>IF($A107="","",IF(COUNTIFS('Blackout Brand Fam Areas (Enc)'!$B$6:$B$998,$A107,'Blackout Brand Fam Areas (Enc)'!$C$6:$C$998,H$1,'Blackout Brand Fam Areas (Enc)'!$D$6:$D$998,"Inactive")&gt;0,"BLOCKED","CAN SELL"))</f>
        <v>CAN SELL</v>
      </c>
      <c r="I107" s="2" t="str">
        <f>IF($A107="","",IF(COUNTIFS('Blackout Brand Fam Areas (Enc)'!$B$6:$B$998,$A107,'Blackout Brand Fam Areas (Enc)'!$C$6:$C$998,I$1,'Blackout Brand Fam Areas (Enc)'!$D$6:$D$998,"Inactive")&gt;0,"BLOCKED","CAN SELL"))</f>
        <v>CAN SELL</v>
      </c>
      <c r="J107" s="2" t="str">
        <f>IF($A107="","",IF(COUNTIFS('Blackout Brand Fam Areas (Enc)'!$B$6:$B$998,$A107,'Blackout Brand Fam Areas (Enc)'!$C$6:$C$998,J$1,'Blackout Brand Fam Areas (Enc)'!$D$6:$D$998,"Inactive")&gt;0,"BLOCKED","CAN SELL"))</f>
        <v>BLOCKED</v>
      </c>
      <c r="K107" s="2" t="str">
        <f>IF($A107="","",IF(COUNTIFS('Blackout Brand Fam Areas (Enc)'!$B$6:$B$998,$A107,'Blackout Brand Fam Areas (Enc)'!$C$6:$C$998,K$1,'Blackout Brand Fam Areas (Enc)'!$D$6:$D$998,"Inactive")&gt;0,"BLOCKED","CAN SELL"))</f>
        <v>CAN SELL</v>
      </c>
    </row>
    <row r="108" spans="1:11" x14ac:dyDescent="0.2">
      <c r="A108" s="2" t="str">
        <v>La Tropical</v>
      </c>
      <c r="B108" s="2" t="str">
        <f>IF($A108="","",IF(COUNTIFS('Blackout Brand Fam Areas (Enc)'!$B$6:$B$998,$A108,'Blackout Brand Fam Areas (Enc)'!$C$6:$C$998,B$1,'Blackout Brand Fam Areas (Enc)'!$D$6:$D$998,"Inactive")&gt;0,"BLOCKED","CAN SELL"))</f>
        <v>CAN SELL</v>
      </c>
      <c r="C108" s="2" t="str">
        <f>IF($A108="","",IF(COUNTIFS('Blackout Brand Fam Areas (Enc)'!$B$6:$B$998,$A108,'Blackout Brand Fam Areas (Enc)'!$C$6:$C$998,C$1,'Blackout Brand Fam Areas (Enc)'!$D$6:$D$998,"Inactive")&gt;0,"BLOCKED","CAN SELL"))</f>
        <v>CAN SELL</v>
      </c>
      <c r="D108" s="2" t="str">
        <f>IF($A108="","",IF(COUNTIFS('Blackout Brand Fam Areas (Enc)'!$B$6:$B$998,$A108,'Blackout Brand Fam Areas (Enc)'!$C$6:$C$998,D$1,'Blackout Brand Fam Areas (Enc)'!$D$6:$D$998,"Inactive")&gt;0,"BLOCKED","CAN SELL"))</f>
        <v>CAN SELL</v>
      </c>
      <c r="E108" s="2" t="str">
        <f>IF($A108="","",IF(COUNTIFS('Blackout Brand Fam Areas (Enc)'!$B$6:$B$998,$A108,'Blackout Brand Fam Areas (Enc)'!$C$6:$C$998,E$1,'Blackout Brand Fam Areas (Enc)'!$D$6:$D$998,"Inactive")&gt;0,"BLOCKED","CAN SELL"))</f>
        <v>CAN SELL</v>
      </c>
      <c r="F108" s="2" t="str">
        <f>IF($A108="","",IF(COUNTIFS('Blackout Brand Fam Areas (Enc)'!$B$6:$B$998,$A108,'Blackout Brand Fam Areas (Enc)'!$C$6:$C$998,F$1,'Blackout Brand Fam Areas (Enc)'!$D$6:$D$998,"Inactive")&gt;0,"BLOCKED","CAN SELL"))</f>
        <v>CAN SELL</v>
      </c>
      <c r="G108" s="2" t="str">
        <f>IF($A108="","",IF(COUNTIFS('Blackout Brand Fam Areas (Enc)'!$B$6:$B$998,$A108,'Blackout Brand Fam Areas (Enc)'!$C$6:$C$998,G$1,'Blackout Brand Fam Areas (Enc)'!$D$6:$D$998,"Inactive")&gt;0,"BLOCKED","CAN SELL"))</f>
        <v>CAN SELL</v>
      </c>
      <c r="H108" s="2" t="str">
        <f>IF($A108="","",IF(COUNTIFS('Blackout Brand Fam Areas (Enc)'!$B$6:$B$998,$A108,'Blackout Brand Fam Areas (Enc)'!$C$6:$C$998,H$1,'Blackout Brand Fam Areas (Enc)'!$D$6:$D$998,"Inactive")&gt;0,"BLOCKED","CAN SELL"))</f>
        <v>BLOCKED</v>
      </c>
      <c r="I108" s="2" t="str">
        <f>IF($A108="","",IF(COUNTIFS('Blackout Brand Fam Areas (Enc)'!$B$6:$B$998,$A108,'Blackout Brand Fam Areas (Enc)'!$C$6:$C$998,I$1,'Blackout Brand Fam Areas (Enc)'!$D$6:$D$998,"Inactive")&gt;0,"BLOCKED","CAN SELL"))</f>
        <v>BLOCKED</v>
      </c>
      <c r="J108" s="2" t="str">
        <f>IF($A108="","",IF(COUNTIFS('Blackout Brand Fam Areas (Enc)'!$B$6:$B$998,$A108,'Blackout Brand Fam Areas (Enc)'!$C$6:$C$998,J$1,'Blackout Brand Fam Areas (Enc)'!$D$6:$D$998,"Inactive")&gt;0,"BLOCKED","CAN SELL"))</f>
        <v>BLOCKED</v>
      </c>
      <c r="K108" s="2" t="str">
        <f>IF($A108="","",IF(COUNTIFS('Blackout Brand Fam Areas (Enc)'!$B$6:$B$998,$A108,'Blackout Brand Fam Areas (Enc)'!$C$6:$C$998,K$1,'Blackout Brand Fam Areas (Enc)'!$D$6:$D$998,"Inactive")&gt;0,"BLOCKED","CAN SELL"))</f>
        <v>BLOCKED</v>
      </c>
    </row>
    <row r="109" spans="1:11" x14ac:dyDescent="0.2">
      <c r="A109" s="2" t="str">
        <v>Lagunitas</v>
      </c>
      <c r="B109" s="2" t="str">
        <f>IF($A109="","",IF(COUNTIFS('Blackout Brand Fam Areas (Enc)'!$B$6:$B$998,$A109,'Blackout Brand Fam Areas (Enc)'!$C$6:$C$998,B$1,'Blackout Brand Fam Areas (Enc)'!$D$6:$D$998,"Inactive")&gt;0,"BLOCKED","CAN SELL"))</f>
        <v>CAN SELL</v>
      </c>
      <c r="C109" s="2" t="str">
        <f>IF($A109="","",IF(COUNTIFS('Blackout Brand Fam Areas (Enc)'!$B$6:$B$998,$A109,'Blackout Brand Fam Areas (Enc)'!$C$6:$C$998,C$1,'Blackout Brand Fam Areas (Enc)'!$D$6:$D$998,"Inactive")&gt;0,"BLOCKED","CAN SELL"))</f>
        <v>CAN SELL</v>
      </c>
      <c r="D109" s="2" t="str">
        <f>IF($A109="","",IF(COUNTIFS('Blackout Brand Fam Areas (Enc)'!$B$6:$B$998,$A109,'Blackout Brand Fam Areas (Enc)'!$C$6:$C$998,D$1,'Blackout Brand Fam Areas (Enc)'!$D$6:$D$998,"Inactive")&gt;0,"BLOCKED","CAN SELL"))</f>
        <v>CAN SELL</v>
      </c>
      <c r="E109" s="2" t="str">
        <f>IF($A109="","",IF(COUNTIFS('Blackout Brand Fam Areas (Enc)'!$B$6:$B$998,$A109,'Blackout Brand Fam Areas (Enc)'!$C$6:$C$998,E$1,'Blackout Brand Fam Areas (Enc)'!$D$6:$D$998,"Inactive")&gt;0,"BLOCKED","CAN SELL"))</f>
        <v>BLOCKED</v>
      </c>
      <c r="F109" s="2" t="str">
        <f>IF($A109="","",IF(COUNTIFS('Blackout Brand Fam Areas (Enc)'!$B$6:$B$998,$A109,'Blackout Brand Fam Areas (Enc)'!$C$6:$C$998,F$1,'Blackout Brand Fam Areas (Enc)'!$D$6:$D$998,"Inactive")&gt;0,"BLOCKED","CAN SELL"))</f>
        <v>BLOCKED</v>
      </c>
      <c r="G109" s="2" t="str">
        <f>IF($A109="","",IF(COUNTIFS('Blackout Brand Fam Areas (Enc)'!$B$6:$B$998,$A109,'Blackout Brand Fam Areas (Enc)'!$C$6:$C$998,G$1,'Blackout Brand Fam Areas (Enc)'!$D$6:$D$998,"Inactive")&gt;0,"BLOCKED","CAN SELL"))</f>
        <v>BLOCKED</v>
      </c>
      <c r="H109" s="2" t="str">
        <f>IF($A109="","",IF(COUNTIFS('Blackout Brand Fam Areas (Enc)'!$B$6:$B$998,$A109,'Blackout Brand Fam Areas (Enc)'!$C$6:$C$998,H$1,'Blackout Brand Fam Areas (Enc)'!$D$6:$D$998,"Inactive")&gt;0,"BLOCKED","CAN SELL"))</f>
        <v>BLOCKED</v>
      </c>
      <c r="I109" s="2" t="str">
        <f>IF($A109="","",IF(COUNTIFS('Blackout Brand Fam Areas (Enc)'!$B$6:$B$998,$A109,'Blackout Brand Fam Areas (Enc)'!$C$6:$C$998,I$1,'Blackout Brand Fam Areas (Enc)'!$D$6:$D$998,"Inactive")&gt;0,"BLOCKED","CAN SELL"))</f>
        <v>BLOCKED</v>
      </c>
      <c r="J109" s="2" t="str">
        <f>IF($A109="","",IF(COUNTIFS('Blackout Brand Fam Areas (Enc)'!$B$6:$B$998,$A109,'Blackout Brand Fam Areas (Enc)'!$C$6:$C$998,J$1,'Blackout Brand Fam Areas (Enc)'!$D$6:$D$998,"Inactive")&gt;0,"BLOCKED","CAN SELL"))</f>
        <v>BLOCKED</v>
      </c>
      <c r="K109" s="2" t="str">
        <f>IF($A109="","",IF(COUNTIFS('Blackout Brand Fam Areas (Enc)'!$B$6:$B$998,$A109,'Blackout Brand Fam Areas (Enc)'!$C$6:$C$998,K$1,'Blackout Brand Fam Areas (Enc)'!$D$6:$D$998,"Inactive")&gt;0,"BLOCKED","CAN SELL"))</f>
        <v>CAN SELL</v>
      </c>
    </row>
    <row r="110" spans="1:11" x14ac:dyDescent="0.2">
      <c r="A110" s="2" t="str">
        <v>Lagunitas Brewing Co</v>
      </c>
      <c r="B110" s="2" t="str">
        <f>IF($A110="","",IF(COUNTIFS('Blackout Brand Fam Areas (Enc)'!$B$6:$B$998,$A110,'Blackout Brand Fam Areas (Enc)'!$C$6:$C$998,B$1,'Blackout Brand Fam Areas (Enc)'!$D$6:$D$998,"Inactive")&gt;0,"BLOCKED","CAN SELL"))</f>
        <v>CAN SELL</v>
      </c>
      <c r="C110" s="2" t="str">
        <f>IF($A110="","",IF(COUNTIFS('Blackout Brand Fam Areas (Enc)'!$B$6:$B$998,$A110,'Blackout Brand Fam Areas (Enc)'!$C$6:$C$998,C$1,'Blackout Brand Fam Areas (Enc)'!$D$6:$D$998,"Inactive")&gt;0,"BLOCKED","CAN SELL"))</f>
        <v>CAN SELL</v>
      </c>
      <c r="D110" s="2" t="str">
        <f>IF($A110="","",IF(COUNTIFS('Blackout Brand Fam Areas (Enc)'!$B$6:$B$998,$A110,'Blackout Brand Fam Areas (Enc)'!$C$6:$C$998,D$1,'Blackout Brand Fam Areas (Enc)'!$D$6:$D$998,"Inactive")&gt;0,"BLOCKED","CAN SELL"))</f>
        <v>CAN SELL</v>
      </c>
      <c r="E110" s="2" t="str">
        <f>IF($A110="","",IF(COUNTIFS('Blackout Brand Fam Areas (Enc)'!$B$6:$B$998,$A110,'Blackout Brand Fam Areas (Enc)'!$C$6:$C$998,E$1,'Blackout Brand Fam Areas (Enc)'!$D$6:$D$998,"Inactive")&gt;0,"BLOCKED","CAN SELL"))</f>
        <v>BLOCKED</v>
      </c>
      <c r="F110" s="2" t="str">
        <f>IF($A110="","",IF(COUNTIFS('Blackout Brand Fam Areas (Enc)'!$B$6:$B$998,$A110,'Blackout Brand Fam Areas (Enc)'!$C$6:$C$998,F$1,'Blackout Brand Fam Areas (Enc)'!$D$6:$D$998,"Inactive")&gt;0,"BLOCKED","CAN SELL"))</f>
        <v>BLOCKED</v>
      </c>
      <c r="G110" s="2" t="str">
        <f>IF($A110="","",IF(COUNTIFS('Blackout Brand Fam Areas (Enc)'!$B$6:$B$998,$A110,'Blackout Brand Fam Areas (Enc)'!$C$6:$C$998,G$1,'Blackout Brand Fam Areas (Enc)'!$D$6:$D$998,"Inactive")&gt;0,"BLOCKED","CAN SELL"))</f>
        <v>BLOCKED</v>
      </c>
      <c r="H110" s="2" t="str">
        <f>IF($A110="","",IF(COUNTIFS('Blackout Brand Fam Areas (Enc)'!$B$6:$B$998,$A110,'Blackout Brand Fam Areas (Enc)'!$C$6:$C$998,H$1,'Blackout Brand Fam Areas (Enc)'!$D$6:$D$998,"Inactive")&gt;0,"BLOCKED","CAN SELL"))</f>
        <v>BLOCKED</v>
      </c>
      <c r="I110" s="2" t="str">
        <f>IF($A110="","",IF(COUNTIFS('Blackout Brand Fam Areas (Enc)'!$B$6:$B$998,$A110,'Blackout Brand Fam Areas (Enc)'!$C$6:$C$998,I$1,'Blackout Brand Fam Areas (Enc)'!$D$6:$D$998,"Inactive")&gt;0,"BLOCKED","CAN SELL"))</f>
        <v>BLOCKED</v>
      </c>
      <c r="J110" s="2" t="str">
        <f>IF($A110="","",IF(COUNTIFS('Blackout Brand Fam Areas (Enc)'!$B$6:$B$998,$A110,'Blackout Brand Fam Areas (Enc)'!$C$6:$C$998,J$1,'Blackout Brand Fam Areas (Enc)'!$D$6:$D$998,"Inactive")&gt;0,"BLOCKED","CAN SELL"))</f>
        <v>BLOCKED</v>
      </c>
      <c r="K110" s="2" t="str">
        <f>IF($A110="","",IF(COUNTIFS('Blackout Brand Fam Areas (Enc)'!$B$6:$B$998,$A110,'Blackout Brand Fam Areas (Enc)'!$C$6:$C$998,K$1,'Blackout Brand Fam Areas (Enc)'!$D$6:$D$998,"Inactive")&gt;0,"BLOCKED","CAN SELL"))</f>
        <v>CAN SELL</v>
      </c>
    </row>
    <row r="111" spans="1:11" x14ac:dyDescent="0.2">
      <c r="A111" s="2" t="str">
        <v>Lagunitas NA</v>
      </c>
      <c r="B111" s="2" t="str">
        <f>IF($A111="","",IF(COUNTIFS('Blackout Brand Fam Areas (Enc)'!$B$6:$B$998,$A111,'Blackout Brand Fam Areas (Enc)'!$C$6:$C$998,B$1,'Blackout Brand Fam Areas (Enc)'!$D$6:$D$998,"Inactive")&gt;0,"BLOCKED","CAN SELL"))</f>
        <v>CAN SELL</v>
      </c>
      <c r="C111" s="2" t="str">
        <f>IF($A111="","",IF(COUNTIFS('Blackout Brand Fam Areas (Enc)'!$B$6:$B$998,$A111,'Blackout Brand Fam Areas (Enc)'!$C$6:$C$998,C$1,'Blackout Brand Fam Areas (Enc)'!$D$6:$D$998,"Inactive")&gt;0,"BLOCKED","CAN SELL"))</f>
        <v>CAN SELL</v>
      </c>
      <c r="D111" s="2" t="str">
        <f>IF($A111="","",IF(COUNTIFS('Blackout Brand Fam Areas (Enc)'!$B$6:$B$998,$A111,'Blackout Brand Fam Areas (Enc)'!$C$6:$C$998,D$1,'Blackout Brand Fam Areas (Enc)'!$D$6:$D$998,"Inactive")&gt;0,"BLOCKED","CAN SELL"))</f>
        <v>CAN SELL</v>
      </c>
      <c r="E111" s="2" t="str">
        <f>IF($A111="","",IF(COUNTIFS('Blackout Brand Fam Areas (Enc)'!$B$6:$B$998,$A111,'Blackout Brand Fam Areas (Enc)'!$C$6:$C$998,E$1,'Blackout Brand Fam Areas (Enc)'!$D$6:$D$998,"Inactive")&gt;0,"BLOCKED","CAN SELL"))</f>
        <v>BLOCKED</v>
      </c>
      <c r="F111" s="2" t="str">
        <f>IF($A111="","",IF(COUNTIFS('Blackout Brand Fam Areas (Enc)'!$B$6:$B$998,$A111,'Blackout Brand Fam Areas (Enc)'!$C$6:$C$998,F$1,'Blackout Brand Fam Areas (Enc)'!$D$6:$D$998,"Inactive")&gt;0,"BLOCKED","CAN SELL"))</f>
        <v>BLOCKED</v>
      </c>
      <c r="G111" s="2" t="str">
        <f>IF($A111="","",IF(COUNTIFS('Blackout Brand Fam Areas (Enc)'!$B$6:$B$998,$A111,'Blackout Brand Fam Areas (Enc)'!$C$6:$C$998,G$1,'Blackout Brand Fam Areas (Enc)'!$D$6:$D$998,"Inactive")&gt;0,"BLOCKED","CAN SELL"))</f>
        <v>BLOCKED</v>
      </c>
      <c r="H111" s="2" t="str">
        <f>IF($A111="","",IF(COUNTIFS('Blackout Brand Fam Areas (Enc)'!$B$6:$B$998,$A111,'Blackout Brand Fam Areas (Enc)'!$C$6:$C$998,H$1,'Blackout Brand Fam Areas (Enc)'!$D$6:$D$998,"Inactive")&gt;0,"BLOCKED","CAN SELL"))</f>
        <v>BLOCKED</v>
      </c>
      <c r="I111" s="2" t="str">
        <f>IF($A111="","",IF(COUNTIFS('Blackout Brand Fam Areas (Enc)'!$B$6:$B$998,$A111,'Blackout Brand Fam Areas (Enc)'!$C$6:$C$998,I$1,'Blackout Brand Fam Areas (Enc)'!$D$6:$D$998,"Inactive")&gt;0,"BLOCKED","CAN SELL"))</f>
        <v>BLOCKED</v>
      </c>
      <c r="J111" s="2" t="str">
        <f>IF($A111="","",IF(COUNTIFS('Blackout Brand Fam Areas (Enc)'!$B$6:$B$998,$A111,'Blackout Brand Fam Areas (Enc)'!$C$6:$C$998,J$1,'Blackout Brand Fam Areas (Enc)'!$D$6:$D$998,"Inactive")&gt;0,"BLOCKED","CAN SELL"))</f>
        <v>BLOCKED</v>
      </c>
      <c r="K111" s="2" t="str">
        <f>IF($A111="","",IF(COUNTIFS('Blackout Brand Fam Areas (Enc)'!$B$6:$B$998,$A111,'Blackout Brand Fam Areas (Enc)'!$C$6:$C$998,K$1,'Blackout Brand Fam Areas (Enc)'!$D$6:$D$998,"Inactive")&gt;0,"BLOCKED","CAN SELL"))</f>
        <v>CAN SELL</v>
      </c>
    </row>
    <row r="112" spans="1:11" x14ac:dyDescent="0.2">
      <c r="A112" s="2" t="str">
        <v>Le Grand Noir</v>
      </c>
      <c r="B112" s="2" t="str">
        <f>IF($A112="","",IF(COUNTIFS('Blackout Brand Fam Areas (Enc)'!$B$6:$B$998,$A112,'Blackout Brand Fam Areas (Enc)'!$C$6:$C$998,B$1,'Blackout Brand Fam Areas (Enc)'!$D$6:$D$998,"Inactive")&gt;0,"BLOCKED","CAN SELL"))</f>
        <v>CAN SELL</v>
      </c>
      <c r="C112" s="2" t="str">
        <f>IF($A112="","",IF(COUNTIFS('Blackout Brand Fam Areas (Enc)'!$B$6:$B$998,$A112,'Blackout Brand Fam Areas (Enc)'!$C$6:$C$998,C$1,'Blackout Brand Fam Areas (Enc)'!$D$6:$D$998,"Inactive")&gt;0,"BLOCKED","CAN SELL"))</f>
        <v>CAN SELL</v>
      </c>
      <c r="D112" s="2" t="str">
        <f>IF($A112="","",IF(COUNTIFS('Blackout Brand Fam Areas (Enc)'!$B$6:$B$998,$A112,'Blackout Brand Fam Areas (Enc)'!$C$6:$C$998,D$1,'Blackout Brand Fam Areas (Enc)'!$D$6:$D$998,"Inactive")&gt;0,"BLOCKED","CAN SELL"))</f>
        <v>CAN SELL</v>
      </c>
      <c r="E112" s="2" t="str">
        <f>IF($A112="","",IF(COUNTIFS('Blackout Brand Fam Areas (Enc)'!$B$6:$B$998,$A112,'Blackout Brand Fam Areas (Enc)'!$C$6:$C$998,E$1,'Blackout Brand Fam Areas (Enc)'!$D$6:$D$998,"Inactive")&gt;0,"BLOCKED","CAN SELL"))</f>
        <v>BLOCKED</v>
      </c>
      <c r="F112" s="2" t="str">
        <f>IF($A112="","",IF(COUNTIFS('Blackout Brand Fam Areas (Enc)'!$B$6:$B$998,$A112,'Blackout Brand Fam Areas (Enc)'!$C$6:$C$998,F$1,'Blackout Brand Fam Areas (Enc)'!$D$6:$D$998,"Inactive")&gt;0,"BLOCKED","CAN SELL"))</f>
        <v>BLOCKED</v>
      </c>
      <c r="G112" s="2" t="str">
        <f>IF($A112="","",IF(COUNTIFS('Blackout Brand Fam Areas (Enc)'!$B$6:$B$998,$A112,'Blackout Brand Fam Areas (Enc)'!$C$6:$C$998,G$1,'Blackout Brand Fam Areas (Enc)'!$D$6:$D$998,"Inactive")&gt;0,"BLOCKED","CAN SELL"))</f>
        <v>BLOCKED</v>
      </c>
      <c r="H112" s="2" t="str">
        <f>IF($A112="","",IF(COUNTIFS('Blackout Brand Fam Areas (Enc)'!$B$6:$B$998,$A112,'Blackout Brand Fam Areas (Enc)'!$C$6:$C$998,H$1,'Blackout Brand Fam Areas (Enc)'!$D$6:$D$998,"Inactive")&gt;0,"BLOCKED","CAN SELL"))</f>
        <v>CAN SELL</v>
      </c>
      <c r="I112" s="2" t="str">
        <f>IF($A112="","",IF(COUNTIFS('Blackout Brand Fam Areas (Enc)'!$B$6:$B$998,$A112,'Blackout Brand Fam Areas (Enc)'!$C$6:$C$998,I$1,'Blackout Brand Fam Areas (Enc)'!$D$6:$D$998,"Inactive")&gt;0,"BLOCKED","CAN SELL"))</f>
        <v>CAN SELL</v>
      </c>
      <c r="J112" s="2" t="str">
        <f>IF($A112="","",IF(COUNTIFS('Blackout Brand Fam Areas (Enc)'!$B$6:$B$998,$A112,'Blackout Brand Fam Areas (Enc)'!$C$6:$C$998,J$1,'Blackout Brand Fam Areas (Enc)'!$D$6:$D$998,"Inactive")&gt;0,"BLOCKED","CAN SELL"))</f>
        <v>BLOCKED</v>
      </c>
      <c r="K112" s="2" t="str">
        <f>IF($A112="","",IF(COUNTIFS('Blackout Brand Fam Areas (Enc)'!$B$6:$B$998,$A112,'Blackout Brand Fam Areas (Enc)'!$C$6:$C$998,K$1,'Blackout Brand Fam Areas (Enc)'!$D$6:$D$998,"Inactive")&gt;0,"BLOCKED","CAN SELL"))</f>
        <v>CAN SELL</v>
      </c>
    </row>
    <row r="113" spans="1:11" x14ac:dyDescent="0.2">
      <c r="A113" s="2" t="str">
        <v>Lech</v>
      </c>
      <c r="B113" s="2" t="str">
        <f>IF($A113="","",IF(COUNTIFS('Blackout Brand Fam Areas (Enc)'!$B$6:$B$998,$A113,'Blackout Brand Fam Areas (Enc)'!$C$6:$C$998,B$1,'Blackout Brand Fam Areas (Enc)'!$D$6:$D$998,"Inactive")&gt;0,"BLOCKED","CAN SELL"))</f>
        <v>CAN SELL</v>
      </c>
      <c r="C113" s="2" t="str">
        <f>IF($A113="","",IF(COUNTIFS('Blackout Brand Fam Areas (Enc)'!$B$6:$B$998,$A113,'Blackout Brand Fam Areas (Enc)'!$C$6:$C$998,C$1,'Blackout Brand Fam Areas (Enc)'!$D$6:$D$998,"Inactive")&gt;0,"BLOCKED","CAN SELL"))</f>
        <v>CAN SELL</v>
      </c>
      <c r="D113" s="2" t="str">
        <f>IF($A113="","",IF(COUNTIFS('Blackout Brand Fam Areas (Enc)'!$B$6:$B$998,$A113,'Blackout Brand Fam Areas (Enc)'!$C$6:$C$998,D$1,'Blackout Brand Fam Areas (Enc)'!$D$6:$D$998,"Inactive")&gt;0,"BLOCKED","CAN SELL"))</f>
        <v>CAN SELL</v>
      </c>
      <c r="E113" s="2" t="str">
        <f>IF($A113="","",IF(COUNTIFS('Blackout Brand Fam Areas (Enc)'!$B$6:$B$998,$A113,'Blackout Brand Fam Areas (Enc)'!$C$6:$C$998,E$1,'Blackout Brand Fam Areas (Enc)'!$D$6:$D$998,"Inactive")&gt;0,"BLOCKED","CAN SELL"))</f>
        <v>BLOCKED</v>
      </c>
      <c r="F113" s="2" t="str">
        <f>IF($A113="","",IF(COUNTIFS('Blackout Brand Fam Areas (Enc)'!$B$6:$B$998,$A113,'Blackout Brand Fam Areas (Enc)'!$C$6:$C$998,F$1,'Blackout Brand Fam Areas (Enc)'!$D$6:$D$998,"Inactive")&gt;0,"BLOCKED","CAN SELL"))</f>
        <v>BLOCKED</v>
      </c>
      <c r="G113" s="2" t="str">
        <f>IF($A113="","",IF(COUNTIFS('Blackout Brand Fam Areas (Enc)'!$B$6:$B$998,$A113,'Blackout Brand Fam Areas (Enc)'!$C$6:$C$998,G$1,'Blackout Brand Fam Areas (Enc)'!$D$6:$D$998,"Inactive")&gt;0,"BLOCKED","CAN SELL"))</f>
        <v>BLOCKED</v>
      </c>
      <c r="H113" s="2" t="str">
        <f>IF($A113="","",IF(COUNTIFS('Blackout Brand Fam Areas (Enc)'!$B$6:$B$998,$A113,'Blackout Brand Fam Areas (Enc)'!$C$6:$C$998,H$1,'Blackout Brand Fam Areas (Enc)'!$D$6:$D$998,"Inactive")&gt;0,"BLOCKED","CAN SELL"))</f>
        <v>CAN SELL</v>
      </c>
      <c r="I113" s="2" t="str">
        <f>IF($A113="","",IF(COUNTIFS('Blackout Brand Fam Areas (Enc)'!$B$6:$B$998,$A113,'Blackout Brand Fam Areas (Enc)'!$C$6:$C$998,I$1,'Blackout Brand Fam Areas (Enc)'!$D$6:$D$998,"Inactive")&gt;0,"BLOCKED","CAN SELL"))</f>
        <v>CAN SELL</v>
      </c>
      <c r="J113" s="2" t="str">
        <f>IF($A113="","",IF(COUNTIFS('Blackout Brand Fam Areas (Enc)'!$B$6:$B$998,$A113,'Blackout Brand Fam Areas (Enc)'!$C$6:$C$998,J$1,'Blackout Brand Fam Areas (Enc)'!$D$6:$D$998,"Inactive")&gt;0,"BLOCKED","CAN SELL"))</f>
        <v>BLOCKED</v>
      </c>
      <c r="K113" s="2" t="str">
        <f>IF($A113="","",IF(COUNTIFS('Blackout Brand Fam Areas (Enc)'!$B$6:$B$998,$A113,'Blackout Brand Fam Areas (Enc)'!$C$6:$C$998,K$1,'Blackout Brand Fam Areas (Enc)'!$D$6:$D$998,"Inactive")&gt;0,"BLOCKED","CAN SELL"))</f>
        <v>CAN SELL</v>
      </c>
    </row>
    <row r="114" spans="1:11" x14ac:dyDescent="0.2">
      <c r="A114" s="2" t="str">
        <v>Leinenkugel</v>
      </c>
      <c r="B114" s="2" t="str">
        <f>IF($A114="","",IF(COUNTIFS('Blackout Brand Fam Areas (Enc)'!$B$6:$B$998,$A114,'Blackout Brand Fam Areas (Enc)'!$C$6:$C$998,B$1,'Blackout Brand Fam Areas (Enc)'!$D$6:$D$998,"Inactive")&gt;0,"BLOCKED","CAN SELL"))</f>
        <v>CAN SELL</v>
      </c>
      <c r="C114" s="2" t="str">
        <f>IF($A114="","",IF(COUNTIFS('Blackout Brand Fam Areas (Enc)'!$B$6:$B$998,$A114,'Blackout Brand Fam Areas (Enc)'!$C$6:$C$998,C$1,'Blackout Brand Fam Areas (Enc)'!$D$6:$D$998,"Inactive")&gt;0,"BLOCKED","CAN SELL"))</f>
        <v>CAN SELL</v>
      </c>
      <c r="D114" s="2" t="str">
        <f>IF($A114="","",IF(COUNTIFS('Blackout Brand Fam Areas (Enc)'!$B$6:$B$998,$A114,'Blackout Brand Fam Areas (Enc)'!$C$6:$C$998,D$1,'Blackout Brand Fam Areas (Enc)'!$D$6:$D$998,"Inactive")&gt;0,"BLOCKED","CAN SELL"))</f>
        <v>CAN SELL</v>
      </c>
      <c r="E114" s="2" t="str">
        <f>IF($A114="","",IF(COUNTIFS('Blackout Brand Fam Areas (Enc)'!$B$6:$B$998,$A114,'Blackout Brand Fam Areas (Enc)'!$C$6:$C$998,E$1,'Blackout Brand Fam Areas (Enc)'!$D$6:$D$998,"Inactive")&gt;0,"BLOCKED","CAN SELL"))</f>
        <v>BLOCKED</v>
      </c>
      <c r="F114" s="2" t="str">
        <f>IF($A114="","",IF(COUNTIFS('Blackout Brand Fam Areas (Enc)'!$B$6:$B$998,$A114,'Blackout Brand Fam Areas (Enc)'!$C$6:$C$998,F$1,'Blackout Brand Fam Areas (Enc)'!$D$6:$D$998,"Inactive")&gt;0,"BLOCKED","CAN SELL"))</f>
        <v>BLOCKED</v>
      </c>
      <c r="G114" s="2" t="str">
        <f>IF($A114="","",IF(COUNTIFS('Blackout Brand Fam Areas (Enc)'!$B$6:$B$998,$A114,'Blackout Brand Fam Areas (Enc)'!$C$6:$C$998,G$1,'Blackout Brand Fam Areas (Enc)'!$D$6:$D$998,"Inactive")&gt;0,"BLOCKED","CAN SELL"))</f>
        <v>BLOCKED</v>
      </c>
      <c r="H114" s="2" t="str">
        <f>IF($A114="","",IF(COUNTIFS('Blackout Brand Fam Areas (Enc)'!$B$6:$B$998,$A114,'Blackout Brand Fam Areas (Enc)'!$C$6:$C$998,H$1,'Blackout Brand Fam Areas (Enc)'!$D$6:$D$998,"Inactive")&gt;0,"BLOCKED","CAN SELL"))</f>
        <v>CAN SELL</v>
      </c>
      <c r="I114" s="2" t="str">
        <f>IF($A114="","",IF(COUNTIFS('Blackout Brand Fam Areas (Enc)'!$B$6:$B$998,$A114,'Blackout Brand Fam Areas (Enc)'!$C$6:$C$998,I$1,'Blackout Brand Fam Areas (Enc)'!$D$6:$D$998,"Inactive")&gt;0,"BLOCKED","CAN SELL"))</f>
        <v>CAN SELL</v>
      </c>
      <c r="J114" s="2" t="str">
        <f>IF($A114="","",IF(COUNTIFS('Blackout Brand Fam Areas (Enc)'!$B$6:$B$998,$A114,'Blackout Brand Fam Areas (Enc)'!$C$6:$C$998,J$1,'Blackout Brand Fam Areas (Enc)'!$D$6:$D$998,"Inactive")&gt;0,"BLOCKED","CAN SELL"))</f>
        <v>BLOCKED</v>
      </c>
      <c r="K114" s="2" t="str">
        <f>IF($A114="","",IF(COUNTIFS('Blackout Brand Fam Areas (Enc)'!$B$6:$B$998,$A114,'Blackout Brand Fam Areas (Enc)'!$C$6:$C$998,K$1,'Blackout Brand Fam Areas (Enc)'!$D$6:$D$998,"Inactive")&gt;0,"BLOCKED","CAN SELL"))</f>
        <v>CAN SELL</v>
      </c>
    </row>
    <row r="115" spans="1:11" x14ac:dyDescent="0.2">
      <c r="A115" s="2" t="str">
        <v>Leinenkugel Shandy</v>
      </c>
      <c r="B115" s="2" t="str">
        <f>IF($A115="","",IF(COUNTIFS('Blackout Brand Fam Areas (Enc)'!$B$6:$B$998,$A115,'Blackout Brand Fam Areas (Enc)'!$C$6:$C$998,B$1,'Blackout Brand Fam Areas (Enc)'!$D$6:$D$998,"Inactive")&gt;0,"BLOCKED","CAN SELL"))</f>
        <v>CAN SELL</v>
      </c>
      <c r="C115" s="2" t="str">
        <f>IF($A115="","",IF(COUNTIFS('Blackout Brand Fam Areas (Enc)'!$B$6:$B$998,$A115,'Blackout Brand Fam Areas (Enc)'!$C$6:$C$998,C$1,'Blackout Brand Fam Areas (Enc)'!$D$6:$D$998,"Inactive")&gt;0,"BLOCKED","CAN SELL"))</f>
        <v>CAN SELL</v>
      </c>
      <c r="D115" s="2" t="str">
        <f>IF($A115="","",IF(COUNTIFS('Blackout Brand Fam Areas (Enc)'!$B$6:$B$998,$A115,'Blackout Brand Fam Areas (Enc)'!$C$6:$C$998,D$1,'Blackout Brand Fam Areas (Enc)'!$D$6:$D$998,"Inactive")&gt;0,"BLOCKED","CAN SELL"))</f>
        <v>CAN SELL</v>
      </c>
      <c r="E115" s="2" t="str">
        <f>IF($A115="","",IF(COUNTIFS('Blackout Brand Fam Areas (Enc)'!$B$6:$B$998,$A115,'Blackout Brand Fam Areas (Enc)'!$C$6:$C$998,E$1,'Blackout Brand Fam Areas (Enc)'!$D$6:$D$998,"Inactive")&gt;0,"BLOCKED","CAN SELL"))</f>
        <v>BLOCKED</v>
      </c>
      <c r="F115" s="2" t="str">
        <f>IF($A115="","",IF(COUNTIFS('Blackout Brand Fam Areas (Enc)'!$B$6:$B$998,$A115,'Blackout Brand Fam Areas (Enc)'!$C$6:$C$998,F$1,'Blackout Brand Fam Areas (Enc)'!$D$6:$D$998,"Inactive")&gt;0,"BLOCKED","CAN SELL"))</f>
        <v>BLOCKED</v>
      </c>
      <c r="G115" s="2" t="str">
        <f>IF($A115="","",IF(COUNTIFS('Blackout Brand Fam Areas (Enc)'!$B$6:$B$998,$A115,'Blackout Brand Fam Areas (Enc)'!$C$6:$C$998,G$1,'Blackout Brand Fam Areas (Enc)'!$D$6:$D$998,"Inactive")&gt;0,"BLOCKED","CAN SELL"))</f>
        <v>BLOCKED</v>
      </c>
      <c r="H115" s="2" t="str">
        <f>IF($A115="","",IF(COUNTIFS('Blackout Brand Fam Areas (Enc)'!$B$6:$B$998,$A115,'Blackout Brand Fam Areas (Enc)'!$C$6:$C$998,H$1,'Blackout Brand Fam Areas (Enc)'!$D$6:$D$998,"Inactive")&gt;0,"BLOCKED","CAN SELL"))</f>
        <v>CAN SELL</v>
      </c>
      <c r="I115" s="2" t="str">
        <f>IF($A115="","",IF(COUNTIFS('Blackout Brand Fam Areas (Enc)'!$B$6:$B$998,$A115,'Blackout Brand Fam Areas (Enc)'!$C$6:$C$998,I$1,'Blackout Brand Fam Areas (Enc)'!$D$6:$D$998,"Inactive")&gt;0,"BLOCKED","CAN SELL"))</f>
        <v>CAN SELL</v>
      </c>
      <c r="J115" s="2" t="str">
        <f>IF($A115="","",IF(COUNTIFS('Blackout Brand Fam Areas (Enc)'!$B$6:$B$998,$A115,'Blackout Brand Fam Areas (Enc)'!$C$6:$C$998,J$1,'Blackout Brand Fam Areas (Enc)'!$D$6:$D$998,"Inactive")&gt;0,"BLOCKED","CAN SELL"))</f>
        <v>BLOCKED</v>
      </c>
      <c r="K115" s="2" t="str">
        <f>IF($A115="","",IF(COUNTIFS('Blackout Brand Fam Areas (Enc)'!$B$6:$B$998,$A115,'Blackout Brand Fam Areas (Enc)'!$C$6:$C$998,K$1,'Blackout Brand Fam Areas (Enc)'!$D$6:$D$998,"Inactive")&gt;0,"BLOCKED","CAN SELL"))</f>
        <v>CAN SELL</v>
      </c>
    </row>
    <row r="116" spans="1:11" x14ac:dyDescent="0.2">
      <c r="A116" s="2" t="str">
        <v>Leyenda 1925</v>
      </c>
      <c r="B116" s="2" t="str">
        <f>IF($A116="","",IF(COUNTIFS('Blackout Brand Fam Areas (Enc)'!$B$6:$B$998,$A116,'Blackout Brand Fam Areas (Enc)'!$C$6:$C$998,B$1,'Blackout Brand Fam Areas (Enc)'!$D$6:$D$998,"Inactive")&gt;0,"BLOCKED","CAN SELL"))</f>
        <v>CAN SELL</v>
      </c>
      <c r="C116" s="2" t="str">
        <f>IF($A116="","",IF(COUNTIFS('Blackout Brand Fam Areas (Enc)'!$B$6:$B$998,$A116,'Blackout Brand Fam Areas (Enc)'!$C$6:$C$998,C$1,'Blackout Brand Fam Areas (Enc)'!$D$6:$D$998,"Inactive")&gt;0,"BLOCKED","CAN SELL"))</f>
        <v>CAN SELL</v>
      </c>
      <c r="D116" s="2" t="str">
        <f>IF($A116="","",IF(COUNTIFS('Blackout Brand Fam Areas (Enc)'!$B$6:$B$998,$A116,'Blackout Brand Fam Areas (Enc)'!$C$6:$C$998,D$1,'Blackout Brand Fam Areas (Enc)'!$D$6:$D$998,"Inactive")&gt;0,"BLOCKED","CAN SELL"))</f>
        <v>CAN SELL</v>
      </c>
      <c r="E116" s="2" t="str">
        <f>IF($A116="","",IF(COUNTIFS('Blackout Brand Fam Areas (Enc)'!$B$6:$B$998,$A116,'Blackout Brand Fam Areas (Enc)'!$C$6:$C$998,E$1,'Blackout Brand Fam Areas (Enc)'!$D$6:$D$998,"Inactive")&gt;0,"BLOCKED","CAN SELL"))</f>
        <v>BLOCKED</v>
      </c>
      <c r="F116" s="2" t="str">
        <f>IF($A116="","",IF(COUNTIFS('Blackout Brand Fam Areas (Enc)'!$B$6:$B$998,$A116,'Blackout Brand Fam Areas (Enc)'!$C$6:$C$998,F$1,'Blackout Brand Fam Areas (Enc)'!$D$6:$D$998,"Inactive")&gt;0,"BLOCKED","CAN SELL"))</f>
        <v>BLOCKED</v>
      </c>
      <c r="G116" s="2" t="str">
        <f>IF($A116="","",IF(COUNTIFS('Blackout Brand Fam Areas (Enc)'!$B$6:$B$998,$A116,'Blackout Brand Fam Areas (Enc)'!$C$6:$C$998,G$1,'Blackout Brand Fam Areas (Enc)'!$D$6:$D$998,"Inactive")&gt;0,"BLOCKED","CAN SELL"))</f>
        <v>BLOCKED</v>
      </c>
      <c r="H116" s="2" t="str">
        <f>IF($A116="","",IF(COUNTIFS('Blackout Brand Fam Areas (Enc)'!$B$6:$B$998,$A116,'Blackout Brand Fam Areas (Enc)'!$C$6:$C$998,H$1,'Blackout Brand Fam Areas (Enc)'!$D$6:$D$998,"Inactive")&gt;0,"BLOCKED","CAN SELL"))</f>
        <v>CAN SELL</v>
      </c>
      <c r="I116" s="2" t="str">
        <f>IF($A116="","",IF(COUNTIFS('Blackout Brand Fam Areas (Enc)'!$B$6:$B$998,$A116,'Blackout Brand Fam Areas (Enc)'!$C$6:$C$998,I$1,'Blackout Brand Fam Areas (Enc)'!$D$6:$D$998,"Inactive")&gt;0,"BLOCKED","CAN SELL"))</f>
        <v>CAN SELL</v>
      </c>
      <c r="J116" s="2" t="str">
        <f>IF($A116="","",IF(COUNTIFS('Blackout Brand Fam Areas (Enc)'!$B$6:$B$998,$A116,'Blackout Brand Fam Areas (Enc)'!$C$6:$C$998,J$1,'Blackout Brand Fam Areas (Enc)'!$D$6:$D$998,"Inactive")&gt;0,"BLOCKED","CAN SELL"))</f>
        <v>BLOCKED</v>
      </c>
      <c r="K116" s="2" t="str">
        <f>IF($A116="","",IF(COUNTIFS('Blackout Brand Fam Areas (Enc)'!$B$6:$B$998,$A116,'Blackout Brand Fam Areas (Enc)'!$C$6:$C$998,K$1,'Blackout Brand Fam Areas (Enc)'!$D$6:$D$998,"Inactive")&gt;0,"BLOCKED","CAN SELL"))</f>
        <v>CAN SELL</v>
      </c>
    </row>
    <row r="117" spans="1:11" x14ac:dyDescent="0.2">
      <c r="A117" s="2" t="str">
        <v>Lightstrike</v>
      </c>
      <c r="B117" s="2" t="str">
        <f>IF($A117="","",IF(COUNTIFS('Blackout Brand Fam Areas (Enc)'!$B$6:$B$998,$A117,'Blackout Brand Fam Areas (Enc)'!$C$6:$C$998,B$1,'Blackout Brand Fam Areas (Enc)'!$D$6:$D$998,"Inactive")&gt;0,"BLOCKED","CAN SELL"))</f>
        <v>CAN SELL</v>
      </c>
      <c r="C117" s="2" t="str">
        <f>IF($A117="","",IF(COUNTIFS('Blackout Brand Fam Areas (Enc)'!$B$6:$B$998,$A117,'Blackout Brand Fam Areas (Enc)'!$C$6:$C$998,C$1,'Blackout Brand Fam Areas (Enc)'!$D$6:$D$998,"Inactive")&gt;0,"BLOCKED","CAN SELL"))</f>
        <v>CAN SELL</v>
      </c>
      <c r="D117" s="2" t="str">
        <f>IF($A117="","",IF(COUNTIFS('Blackout Brand Fam Areas (Enc)'!$B$6:$B$998,$A117,'Blackout Brand Fam Areas (Enc)'!$C$6:$C$998,D$1,'Blackout Brand Fam Areas (Enc)'!$D$6:$D$998,"Inactive")&gt;0,"BLOCKED","CAN SELL"))</f>
        <v>CAN SELL</v>
      </c>
      <c r="E117" s="2" t="str">
        <f>IF($A117="","",IF(COUNTIFS('Blackout Brand Fam Areas (Enc)'!$B$6:$B$998,$A117,'Blackout Brand Fam Areas (Enc)'!$C$6:$C$998,E$1,'Blackout Brand Fam Areas (Enc)'!$D$6:$D$998,"Inactive")&gt;0,"BLOCKED","CAN SELL"))</f>
        <v>BLOCKED</v>
      </c>
      <c r="F117" s="2" t="str">
        <f>IF($A117="","",IF(COUNTIFS('Blackout Brand Fam Areas (Enc)'!$B$6:$B$998,$A117,'Blackout Brand Fam Areas (Enc)'!$C$6:$C$998,F$1,'Blackout Brand Fam Areas (Enc)'!$D$6:$D$998,"Inactive")&gt;0,"BLOCKED","CAN SELL"))</f>
        <v>BLOCKED</v>
      </c>
      <c r="G117" s="2" t="str">
        <f>IF($A117="","",IF(COUNTIFS('Blackout Brand Fam Areas (Enc)'!$B$6:$B$998,$A117,'Blackout Brand Fam Areas (Enc)'!$C$6:$C$998,G$1,'Blackout Brand Fam Areas (Enc)'!$D$6:$D$998,"Inactive")&gt;0,"BLOCKED","CAN SELL"))</f>
        <v>BLOCKED</v>
      </c>
      <c r="H117" s="2" t="str">
        <f>IF($A117="","",IF(COUNTIFS('Blackout Brand Fam Areas (Enc)'!$B$6:$B$998,$A117,'Blackout Brand Fam Areas (Enc)'!$C$6:$C$998,H$1,'Blackout Brand Fam Areas (Enc)'!$D$6:$D$998,"Inactive")&gt;0,"BLOCKED","CAN SELL"))</f>
        <v>CAN SELL</v>
      </c>
      <c r="I117" s="2" t="str">
        <f>IF($A117="","",IF(COUNTIFS('Blackout Brand Fam Areas (Enc)'!$B$6:$B$998,$A117,'Blackout Brand Fam Areas (Enc)'!$C$6:$C$998,I$1,'Blackout Brand Fam Areas (Enc)'!$D$6:$D$998,"Inactive")&gt;0,"BLOCKED","CAN SELL"))</f>
        <v>CAN SELL</v>
      </c>
      <c r="J117" s="2" t="str">
        <f>IF($A117="","",IF(COUNTIFS('Blackout Brand Fam Areas (Enc)'!$B$6:$B$998,$A117,'Blackout Brand Fam Areas (Enc)'!$C$6:$C$998,J$1,'Blackout Brand Fam Areas (Enc)'!$D$6:$D$998,"Inactive")&gt;0,"BLOCKED","CAN SELL"))</f>
        <v>BLOCKED</v>
      </c>
      <c r="K117" s="2" t="str">
        <f>IF($A117="","",IF(COUNTIFS('Blackout Brand Fam Areas (Enc)'!$B$6:$B$998,$A117,'Blackout Brand Fam Areas (Enc)'!$C$6:$C$998,K$1,'Blackout Brand Fam Areas (Enc)'!$D$6:$D$998,"Inactive")&gt;0,"BLOCKED","CAN SELL"))</f>
        <v>CAN SELL</v>
      </c>
    </row>
    <row r="118" spans="1:11" x14ac:dyDescent="0.2">
      <c r="A118" s="2" t="str">
        <v>Lite</v>
      </c>
      <c r="B118" s="2" t="str">
        <f>IF($A118="","",IF(COUNTIFS('Blackout Brand Fam Areas (Enc)'!$B$6:$B$998,$A118,'Blackout Brand Fam Areas (Enc)'!$C$6:$C$998,B$1,'Blackout Brand Fam Areas (Enc)'!$D$6:$D$998,"Inactive")&gt;0,"BLOCKED","CAN SELL"))</f>
        <v>CAN SELL</v>
      </c>
      <c r="C118" s="2" t="str">
        <f>IF($A118="","",IF(COUNTIFS('Blackout Brand Fam Areas (Enc)'!$B$6:$B$998,$A118,'Blackout Brand Fam Areas (Enc)'!$C$6:$C$998,C$1,'Blackout Brand Fam Areas (Enc)'!$D$6:$D$998,"Inactive")&gt;0,"BLOCKED","CAN SELL"))</f>
        <v>CAN SELL</v>
      </c>
      <c r="D118" s="2" t="str">
        <f>IF($A118="","",IF(COUNTIFS('Blackout Brand Fam Areas (Enc)'!$B$6:$B$998,$A118,'Blackout Brand Fam Areas (Enc)'!$C$6:$C$998,D$1,'Blackout Brand Fam Areas (Enc)'!$D$6:$D$998,"Inactive")&gt;0,"BLOCKED","CAN SELL"))</f>
        <v>CAN SELL</v>
      </c>
      <c r="E118" s="2" t="str">
        <f>IF($A118="","",IF(COUNTIFS('Blackout Brand Fam Areas (Enc)'!$B$6:$B$998,$A118,'Blackout Brand Fam Areas (Enc)'!$C$6:$C$998,E$1,'Blackout Brand Fam Areas (Enc)'!$D$6:$D$998,"Inactive")&gt;0,"BLOCKED","CAN SELL"))</f>
        <v>BLOCKED</v>
      </c>
      <c r="F118" s="2" t="str">
        <f>IF($A118="","",IF(COUNTIFS('Blackout Brand Fam Areas (Enc)'!$B$6:$B$998,$A118,'Blackout Brand Fam Areas (Enc)'!$C$6:$C$998,F$1,'Blackout Brand Fam Areas (Enc)'!$D$6:$D$998,"Inactive")&gt;0,"BLOCKED","CAN SELL"))</f>
        <v>BLOCKED</v>
      </c>
      <c r="G118" s="2" t="str">
        <f>IF($A118="","",IF(COUNTIFS('Blackout Brand Fam Areas (Enc)'!$B$6:$B$998,$A118,'Blackout Brand Fam Areas (Enc)'!$C$6:$C$998,G$1,'Blackout Brand Fam Areas (Enc)'!$D$6:$D$998,"Inactive")&gt;0,"BLOCKED","CAN SELL"))</f>
        <v>BLOCKED</v>
      </c>
      <c r="H118" s="2" t="str">
        <f>IF($A118="","",IF(COUNTIFS('Blackout Brand Fam Areas (Enc)'!$B$6:$B$998,$A118,'Blackout Brand Fam Areas (Enc)'!$C$6:$C$998,H$1,'Blackout Brand Fam Areas (Enc)'!$D$6:$D$998,"Inactive")&gt;0,"BLOCKED","CAN SELL"))</f>
        <v>CAN SELL</v>
      </c>
      <c r="I118" s="2" t="str">
        <f>IF($A118="","",IF(COUNTIFS('Blackout Brand Fam Areas (Enc)'!$B$6:$B$998,$A118,'Blackout Brand Fam Areas (Enc)'!$C$6:$C$998,I$1,'Blackout Brand Fam Areas (Enc)'!$D$6:$D$998,"Inactive")&gt;0,"BLOCKED","CAN SELL"))</f>
        <v>CAN SELL</v>
      </c>
      <c r="J118" s="2" t="str">
        <f>IF($A118="","",IF(COUNTIFS('Blackout Brand Fam Areas (Enc)'!$B$6:$B$998,$A118,'Blackout Brand Fam Areas (Enc)'!$C$6:$C$998,J$1,'Blackout Brand Fam Areas (Enc)'!$D$6:$D$998,"Inactive")&gt;0,"BLOCKED","CAN SELL"))</f>
        <v>BLOCKED</v>
      </c>
      <c r="K118" s="2" t="str">
        <f>IF($A118="","",IF(COUNTIFS('Blackout Brand Fam Areas (Enc)'!$B$6:$B$998,$A118,'Blackout Brand Fam Areas (Enc)'!$C$6:$C$998,K$1,'Blackout Brand Fam Areas (Enc)'!$D$6:$D$998,"Inactive")&gt;0,"BLOCKED","CAN SELL"))</f>
        <v>CAN SELL</v>
      </c>
    </row>
    <row r="119" spans="1:11" x14ac:dyDescent="0.2">
      <c r="A119" s="2" t="str">
        <v>Mamita's</v>
      </c>
      <c r="B119" s="2" t="str">
        <f>IF($A119="","",IF(COUNTIFS('Blackout Brand Fam Areas (Enc)'!$B$6:$B$998,$A119,'Blackout Brand Fam Areas (Enc)'!$C$6:$C$998,B$1,'Blackout Brand Fam Areas (Enc)'!$D$6:$D$998,"Inactive")&gt;0,"BLOCKED","CAN SELL"))</f>
        <v>CAN SELL</v>
      </c>
      <c r="C119" s="2" t="str">
        <f>IF($A119="","",IF(COUNTIFS('Blackout Brand Fam Areas (Enc)'!$B$6:$B$998,$A119,'Blackout Brand Fam Areas (Enc)'!$C$6:$C$998,C$1,'Blackout Brand Fam Areas (Enc)'!$D$6:$D$998,"Inactive")&gt;0,"BLOCKED","CAN SELL"))</f>
        <v>CAN SELL</v>
      </c>
      <c r="D119" s="2" t="str">
        <f>IF($A119="","",IF(COUNTIFS('Blackout Brand Fam Areas (Enc)'!$B$6:$B$998,$A119,'Blackout Brand Fam Areas (Enc)'!$C$6:$C$998,D$1,'Blackout Brand Fam Areas (Enc)'!$D$6:$D$998,"Inactive")&gt;0,"BLOCKED","CAN SELL"))</f>
        <v>CAN SELL</v>
      </c>
      <c r="E119" s="2" t="str">
        <f>IF($A119="","",IF(COUNTIFS('Blackout Brand Fam Areas (Enc)'!$B$6:$B$998,$A119,'Blackout Brand Fam Areas (Enc)'!$C$6:$C$998,E$1,'Blackout Brand Fam Areas (Enc)'!$D$6:$D$998,"Inactive")&gt;0,"BLOCKED","CAN SELL"))</f>
        <v>BLOCKED</v>
      </c>
      <c r="F119" s="2" t="str">
        <f>IF($A119="","",IF(COUNTIFS('Blackout Brand Fam Areas (Enc)'!$B$6:$B$998,$A119,'Blackout Brand Fam Areas (Enc)'!$C$6:$C$998,F$1,'Blackout Brand Fam Areas (Enc)'!$D$6:$D$998,"Inactive")&gt;0,"BLOCKED","CAN SELL"))</f>
        <v>CAN SELL</v>
      </c>
      <c r="G119" s="2" t="str">
        <f>IF($A119="","",IF(COUNTIFS('Blackout Brand Fam Areas (Enc)'!$B$6:$B$998,$A119,'Blackout Brand Fam Areas (Enc)'!$C$6:$C$998,G$1,'Blackout Brand Fam Areas (Enc)'!$D$6:$D$998,"Inactive")&gt;0,"BLOCKED","CAN SELL"))</f>
        <v>BLOCKED</v>
      </c>
      <c r="H119" s="2" t="str">
        <f>IF($A119="","",IF(COUNTIFS('Blackout Brand Fam Areas (Enc)'!$B$6:$B$998,$A119,'Blackout Brand Fam Areas (Enc)'!$C$6:$C$998,H$1,'Blackout Brand Fam Areas (Enc)'!$D$6:$D$998,"Inactive")&gt;0,"BLOCKED","CAN SELL"))</f>
        <v>CAN SELL</v>
      </c>
      <c r="I119" s="2" t="str">
        <f>IF($A119="","",IF(COUNTIFS('Blackout Brand Fam Areas (Enc)'!$B$6:$B$998,$A119,'Blackout Brand Fam Areas (Enc)'!$C$6:$C$998,I$1,'Blackout Brand Fam Areas (Enc)'!$D$6:$D$998,"Inactive")&gt;0,"BLOCKED","CAN SELL"))</f>
        <v>CAN SELL</v>
      </c>
      <c r="J119" s="2" t="str">
        <f>IF($A119="","",IF(COUNTIFS('Blackout Brand Fam Areas (Enc)'!$B$6:$B$998,$A119,'Blackout Brand Fam Areas (Enc)'!$C$6:$C$998,J$1,'Blackout Brand Fam Areas (Enc)'!$D$6:$D$998,"Inactive")&gt;0,"BLOCKED","CAN SELL"))</f>
        <v>BLOCKED</v>
      </c>
      <c r="K119" s="2" t="str">
        <f>IF($A119="","",IF(COUNTIFS('Blackout Brand Fam Areas (Enc)'!$B$6:$B$998,$A119,'Blackout Brand Fam Areas (Enc)'!$C$6:$C$998,K$1,'Blackout Brand Fam Areas (Enc)'!$D$6:$D$998,"Inactive")&gt;0,"BLOCKED","CAN SELL"))</f>
        <v>CAN SELL</v>
      </c>
    </row>
    <row r="120" spans="1:11" x14ac:dyDescent="0.2">
      <c r="A120" s="2" t="str">
        <v>Marathon</v>
      </c>
      <c r="B120" s="2" t="str">
        <f>IF($A120="","",IF(COUNTIFS('Blackout Brand Fam Areas (Enc)'!$B$6:$B$998,$A120,'Blackout Brand Fam Areas (Enc)'!$C$6:$C$998,B$1,'Blackout Brand Fam Areas (Enc)'!$D$6:$D$998,"Inactive")&gt;0,"BLOCKED","CAN SELL"))</f>
        <v>CAN SELL</v>
      </c>
      <c r="C120" s="2" t="str">
        <f>IF($A120="","",IF(COUNTIFS('Blackout Brand Fam Areas (Enc)'!$B$6:$B$998,$A120,'Blackout Brand Fam Areas (Enc)'!$C$6:$C$998,C$1,'Blackout Brand Fam Areas (Enc)'!$D$6:$D$998,"Inactive")&gt;0,"BLOCKED","CAN SELL"))</f>
        <v>CAN SELL</v>
      </c>
      <c r="D120" s="2" t="str">
        <f>IF($A120="","",IF(COUNTIFS('Blackout Brand Fam Areas (Enc)'!$B$6:$B$998,$A120,'Blackout Brand Fam Areas (Enc)'!$C$6:$C$998,D$1,'Blackout Brand Fam Areas (Enc)'!$D$6:$D$998,"Inactive")&gt;0,"BLOCKED","CAN SELL"))</f>
        <v>CAN SELL</v>
      </c>
      <c r="E120" s="2" t="str">
        <f>IF($A120="","",IF(COUNTIFS('Blackout Brand Fam Areas (Enc)'!$B$6:$B$998,$A120,'Blackout Brand Fam Areas (Enc)'!$C$6:$C$998,E$1,'Blackout Brand Fam Areas (Enc)'!$D$6:$D$998,"Inactive")&gt;0,"BLOCKED","CAN SELL"))</f>
        <v>BLOCKED</v>
      </c>
      <c r="F120" s="2" t="str">
        <f>IF($A120="","",IF(COUNTIFS('Blackout Brand Fam Areas (Enc)'!$B$6:$B$998,$A120,'Blackout Brand Fam Areas (Enc)'!$C$6:$C$998,F$1,'Blackout Brand Fam Areas (Enc)'!$D$6:$D$998,"Inactive")&gt;0,"BLOCKED","CAN SELL"))</f>
        <v>BLOCKED</v>
      </c>
      <c r="G120" s="2" t="str">
        <f>IF($A120="","",IF(COUNTIFS('Blackout Brand Fam Areas (Enc)'!$B$6:$B$998,$A120,'Blackout Brand Fam Areas (Enc)'!$C$6:$C$998,G$1,'Blackout Brand Fam Areas (Enc)'!$D$6:$D$998,"Inactive")&gt;0,"BLOCKED","CAN SELL"))</f>
        <v>BLOCKED</v>
      </c>
      <c r="H120" s="2" t="str">
        <f>IF($A120="","",IF(COUNTIFS('Blackout Brand Fam Areas (Enc)'!$B$6:$B$998,$A120,'Blackout Brand Fam Areas (Enc)'!$C$6:$C$998,H$1,'Blackout Brand Fam Areas (Enc)'!$D$6:$D$998,"Inactive")&gt;0,"BLOCKED","CAN SELL"))</f>
        <v>CAN SELL</v>
      </c>
      <c r="I120" s="2" t="str">
        <f>IF($A120="","",IF(COUNTIFS('Blackout Brand Fam Areas (Enc)'!$B$6:$B$998,$A120,'Blackout Brand Fam Areas (Enc)'!$C$6:$C$998,I$1,'Blackout Brand Fam Areas (Enc)'!$D$6:$D$998,"Inactive")&gt;0,"BLOCKED","CAN SELL"))</f>
        <v>CAN SELL</v>
      </c>
      <c r="J120" s="2" t="str">
        <f>IF($A120="","",IF(COUNTIFS('Blackout Brand Fam Areas (Enc)'!$B$6:$B$998,$A120,'Blackout Brand Fam Areas (Enc)'!$C$6:$C$998,J$1,'Blackout Brand Fam Areas (Enc)'!$D$6:$D$998,"Inactive")&gt;0,"BLOCKED","CAN SELL"))</f>
        <v>BLOCKED</v>
      </c>
      <c r="K120" s="2" t="str">
        <f>IF($A120="","",IF(COUNTIFS('Blackout Brand Fam Areas (Enc)'!$B$6:$B$998,$A120,'Blackout Brand Fam Areas (Enc)'!$C$6:$C$998,K$1,'Blackout Brand Fam Areas (Enc)'!$D$6:$D$998,"Inactive")&gt;0,"BLOCKED","CAN SELL"))</f>
        <v>CAN SELL</v>
      </c>
    </row>
    <row r="121" spans="1:11" x14ac:dyDescent="0.2">
      <c r="A121" s="2" t="str">
        <v>Mckenzie's</v>
      </c>
      <c r="B121" s="2" t="str">
        <f>IF($A121="","",IF(COUNTIFS('Blackout Brand Fam Areas (Enc)'!$B$6:$B$998,$A121,'Blackout Brand Fam Areas (Enc)'!$C$6:$C$998,B$1,'Blackout Brand Fam Areas (Enc)'!$D$6:$D$998,"Inactive")&gt;0,"BLOCKED","CAN SELL"))</f>
        <v>CAN SELL</v>
      </c>
      <c r="C121" s="2" t="str">
        <f>IF($A121="","",IF(COUNTIFS('Blackout Brand Fam Areas (Enc)'!$B$6:$B$998,$A121,'Blackout Brand Fam Areas (Enc)'!$C$6:$C$998,C$1,'Blackout Brand Fam Areas (Enc)'!$D$6:$D$998,"Inactive")&gt;0,"BLOCKED","CAN SELL"))</f>
        <v>CAN SELL</v>
      </c>
      <c r="D121" s="2" t="str">
        <f>IF($A121="","",IF(COUNTIFS('Blackout Brand Fam Areas (Enc)'!$B$6:$B$998,$A121,'Blackout Brand Fam Areas (Enc)'!$C$6:$C$998,D$1,'Blackout Brand Fam Areas (Enc)'!$D$6:$D$998,"Inactive")&gt;0,"BLOCKED","CAN SELL"))</f>
        <v>CAN SELL</v>
      </c>
      <c r="E121" s="2" t="str">
        <f>IF($A121="","",IF(COUNTIFS('Blackout Brand Fam Areas (Enc)'!$B$6:$B$998,$A121,'Blackout Brand Fam Areas (Enc)'!$C$6:$C$998,E$1,'Blackout Brand Fam Areas (Enc)'!$D$6:$D$998,"Inactive")&gt;0,"BLOCKED","CAN SELL"))</f>
        <v>CAN SELL</v>
      </c>
      <c r="F121" s="2" t="str">
        <f>IF($A121="","",IF(COUNTIFS('Blackout Brand Fam Areas (Enc)'!$B$6:$B$998,$A121,'Blackout Brand Fam Areas (Enc)'!$C$6:$C$998,F$1,'Blackout Brand Fam Areas (Enc)'!$D$6:$D$998,"Inactive")&gt;0,"BLOCKED","CAN SELL"))</f>
        <v>CAN SELL</v>
      </c>
      <c r="G121" s="2" t="str">
        <f>IF($A121="","",IF(COUNTIFS('Blackout Brand Fam Areas (Enc)'!$B$6:$B$998,$A121,'Blackout Brand Fam Areas (Enc)'!$C$6:$C$998,G$1,'Blackout Brand Fam Areas (Enc)'!$D$6:$D$998,"Inactive")&gt;0,"BLOCKED","CAN SELL"))</f>
        <v>BLOCKED</v>
      </c>
      <c r="H121" s="2" t="str">
        <f>IF($A121="","",IF(COUNTIFS('Blackout Brand Fam Areas (Enc)'!$B$6:$B$998,$A121,'Blackout Brand Fam Areas (Enc)'!$C$6:$C$998,H$1,'Blackout Brand Fam Areas (Enc)'!$D$6:$D$998,"Inactive")&gt;0,"BLOCKED","CAN SELL"))</f>
        <v>BLOCKED</v>
      </c>
      <c r="I121" s="2" t="str">
        <f>IF($A121="","",IF(COUNTIFS('Blackout Brand Fam Areas (Enc)'!$B$6:$B$998,$A121,'Blackout Brand Fam Areas (Enc)'!$C$6:$C$998,I$1,'Blackout Brand Fam Areas (Enc)'!$D$6:$D$998,"Inactive")&gt;0,"BLOCKED","CAN SELL"))</f>
        <v>BLOCKED</v>
      </c>
      <c r="J121" s="2" t="str">
        <f>IF($A121="","",IF(COUNTIFS('Blackout Brand Fam Areas (Enc)'!$B$6:$B$998,$A121,'Blackout Brand Fam Areas (Enc)'!$C$6:$C$998,J$1,'Blackout Brand Fam Areas (Enc)'!$D$6:$D$998,"Inactive")&gt;0,"BLOCKED","CAN SELL"))</f>
        <v>BLOCKED</v>
      </c>
      <c r="K121" s="2" t="str">
        <f>IF($A121="","",IF(COUNTIFS('Blackout Brand Fam Areas (Enc)'!$B$6:$B$998,$A121,'Blackout Brand Fam Areas (Enc)'!$C$6:$C$998,K$1,'Blackout Brand Fam Areas (Enc)'!$D$6:$D$998,"Inactive")&gt;0,"BLOCKED","CAN SELL"))</f>
        <v>BLOCKED</v>
      </c>
    </row>
    <row r="122" spans="1:11" x14ac:dyDescent="0.2">
      <c r="A122" s="2" t="str">
        <v>Mickey Malt</v>
      </c>
      <c r="B122" s="2" t="str">
        <f>IF($A122="","",IF(COUNTIFS('Blackout Brand Fam Areas (Enc)'!$B$6:$B$998,$A122,'Blackout Brand Fam Areas (Enc)'!$C$6:$C$998,B$1,'Blackout Brand Fam Areas (Enc)'!$D$6:$D$998,"Inactive")&gt;0,"BLOCKED","CAN SELL"))</f>
        <v>CAN SELL</v>
      </c>
      <c r="C122" s="2" t="str">
        <f>IF($A122="","",IF(COUNTIFS('Blackout Brand Fam Areas (Enc)'!$B$6:$B$998,$A122,'Blackout Brand Fam Areas (Enc)'!$C$6:$C$998,C$1,'Blackout Brand Fam Areas (Enc)'!$D$6:$D$998,"Inactive")&gt;0,"BLOCKED","CAN SELL"))</f>
        <v>CAN SELL</v>
      </c>
      <c r="D122" s="2" t="str">
        <f>IF($A122="","",IF(COUNTIFS('Blackout Brand Fam Areas (Enc)'!$B$6:$B$998,$A122,'Blackout Brand Fam Areas (Enc)'!$C$6:$C$998,D$1,'Blackout Brand Fam Areas (Enc)'!$D$6:$D$998,"Inactive")&gt;0,"BLOCKED","CAN SELL"))</f>
        <v>CAN SELL</v>
      </c>
      <c r="E122" s="2" t="str">
        <f>IF($A122="","",IF(COUNTIFS('Blackout Brand Fam Areas (Enc)'!$B$6:$B$998,$A122,'Blackout Brand Fam Areas (Enc)'!$C$6:$C$998,E$1,'Blackout Brand Fam Areas (Enc)'!$D$6:$D$998,"Inactive")&gt;0,"BLOCKED","CAN SELL"))</f>
        <v>BLOCKED</v>
      </c>
      <c r="F122" s="2" t="str">
        <f>IF($A122="","",IF(COUNTIFS('Blackout Brand Fam Areas (Enc)'!$B$6:$B$998,$A122,'Blackout Brand Fam Areas (Enc)'!$C$6:$C$998,F$1,'Blackout Brand Fam Areas (Enc)'!$D$6:$D$998,"Inactive")&gt;0,"BLOCKED","CAN SELL"))</f>
        <v>BLOCKED</v>
      </c>
      <c r="G122" s="2" t="str">
        <f>IF($A122="","",IF(COUNTIFS('Blackout Brand Fam Areas (Enc)'!$B$6:$B$998,$A122,'Blackout Brand Fam Areas (Enc)'!$C$6:$C$998,G$1,'Blackout Brand Fam Areas (Enc)'!$D$6:$D$998,"Inactive")&gt;0,"BLOCKED","CAN SELL"))</f>
        <v>BLOCKED</v>
      </c>
      <c r="H122" s="2" t="str">
        <f>IF($A122="","",IF(COUNTIFS('Blackout Brand Fam Areas (Enc)'!$B$6:$B$998,$A122,'Blackout Brand Fam Areas (Enc)'!$C$6:$C$998,H$1,'Blackout Brand Fam Areas (Enc)'!$D$6:$D$998,"Inactive")&gt;0,"BLOCKED","CAN SELL"))</f>
        <v>CAN SELL</v>
      </c>
      <c r="I122" s="2" t="str">
        <f>IF($A122="","",IF(COUNTIFS('Blackout Brand Fam Areas (Enc)'!$B$6:$B$998,$A122,'Blackout Brand Fam Areas (Enc)'!$C$6:$C$998,I$1,'Blackout Brand Fam Areas (Enc)'!$D$6:$D$998,"Inactive")&gt;0,"BLOCKED","CAN SELL"))</f>
        <v>CAN SELL</v>
      </c>
      <c r="J122" s="2" t="str">
        <f>IF($A122="","",IF(COUNTIFS('Blackout Brand Fam Areas (Enc)'!$B$6:$B$998,$A122,'Blackout Brand Fam Areas (Enc)'!$C$6:$C$998,J$1,'Blackout Brand Fam Areas (Enc)'!$D$6:$D$998,"Inactive")&gt;0,"BLOCKED","CAN SELL"))</f>
        <v>BLOCKED</v>
      </c>
      <c r="K122" s="2" t="str">
        <f>IF($A122="","",IF(COUNTIFS('Blackout Brand Fam Areas (Enc)'!$B$6:$B$998,$A122,'Blackout Brand Fam Areas (Enc)'!$C$6:$C$998,K$1,'Blackout Brand Fam Areas (Enc)'!$D$6:$D$998,"Inactive")&gt;0,"BLOCKED","CAN SELL"))</f>
        <v>CAN SELL</v>
      </c>
    </row>
    <row r="123" spans="1:11" x14ac:dyDescent="0.2">
      <c r="A123" s="2" t="str">
        <v>Mike's Hard Dirty Lemonade</v>
      </c>
      <c r="B123" s="2" t="str">
        <f>IF($A123="","",IF(COUNTIFS('Blackout Brand Fam Areas (Enc)'!$B$6:$B$998,$A123,'Blackout Brand Fam Areas (Enc)'!$C$6:$C$998,B$1,'Blackout Brand Fam Areas (Enc)'!$D$6:$D$998,"Inactive")&gt;0,"BLOCKED","CAN SELL"))</f>
        <v>CAN SELL</v>
      </c>
      <c r="C123" s="2" t="str">
        <f>IF($A123="","",IF(COUNTIFS('Blackout Brand Fam Areas (Enc)'!$B$6:$B$998,$A123,'Blackout Brand Fam Areas (Enc)'!$C$6:$C$998,C$1,'Blackout Brand Fam Areas (Enc)'!$D$6:$D$998,"Inactive")&gt;0,"BLOCKED","CAN SELL"))</f>
        <v>CAN SELL</v>
      </c>
      <c r="D123" s="2" t="str">
        <f>IF($A123="","",IF(COUNTIFS('Blackout Brand Fam Areas (Enc)'!$B$6:$B$998,$A123,'Blackout Brand Fam Areas (Enc)'!$C$6:$C$998,D$1,'Blackout Brand Fam Areas (Enc)'!$D$6:$D$998,"Inactive")&gt;0,"BLOCKED","CAN SELL"))</f>
        <v>CAN SELL</v>
      </c>
      <c r="E123" s="2" t="str">
        <f>IF($A123="","",IF(COUNTIFS('Blackout Brand Fam Areas (Enc)'!$B$6:$B$998,$A123,'Blackout Brand Fam Areas (Enc)'!$C$6:$C$998,E$1,'Blackout Brand Fam Areas (Enc)'!$D$6:$D$998,"Inactive")&gt;0,"BLOCKED","CAN SELL"))</f>
        <v>BLOCKED</v>
      </c>
      <c r="F123" s="2" t="str">
        <f>IF($A123="","",IF(COUNTIFS('Blackout Brand Fam Areas (Enc)'!$B$6:$B$998,$A123,'Blackout Brand Fam Areas (Enc)'!$C$6:$C$998,F$1,'Blackout Brand Fam Areas (Enc)'!$D$6:$D$998,"Inactive")&gt;0,"BLOCKED","CAN SELL"))</f>
        <v>BLOCKED</v>
      </c>
      <c r="G123" s="2" t="str">
        <f>IF($A123="","",IF(COUNTIFS('Blackout Brand Fam Areas (Enc)'!$B$6:$B$998,$A123,'Blackout Brand Fam Areas (Enc)'!$C$6:$C$998,G$1,'Blackout Brand Fam Areas (Enc)'!$D$6:$D$998,"Inactive")&gt;0,"BLOCKED","CAN SELL"))</f>
        <v>BLOCKED</v>
      </c>
      <c r="H123" s="2" t="str">
        <f>IF($A123="","",IF(COUNTIFS('Blackout Brand Fam Areas (Enc)'!$B$6:$B$998,$A123,'Blackout Brand Fam Areas (Enc)'!$C$6:$C$998,H$1,'Blackout Brand Fam Areas (Enc)'!$D$6:$D$998,"Inactive")&gt;0,"BLOCKED","CAN SELL"))</f>
        <v>CAN SELL</v>
      </c>
      <c r="I123" s="2" t="str">
        <f>IF($A123="","",IF(COUNTIFS('Blackout Brand Fam Areas (Enc)'!$B$6:$B$998,$A123,'Blackout Brand Fam Areas (Enc)'!$C$6:$C$998,I$1,'Blackout Brand Fam Areas (Enc)'!$D$6:$D$998,"Inactive")&gt;0,"BLOCKED","CAN SELL"))</f>
        <v>CAN SELL</v>
      </c>
      <c r="J123" s="2" t="str">
        <f>IF($A123="","",IF(COUNTIFS('Blackout Brand Fam Areas (Enc)'!$B$6:$B$998,$A123,'Blackout Brand Fam Areas (Enc)'!$C$6:$C$998,J$1,'Blackout Brand Fam Areas (Enc)'!$D$6:$D$998,"Inactive")&gt;0,"BLOCKED","CAN SELL"))</f>
        <v>BLOCKED</v>
      </c>
      <c r="K123" s="2" t="str">
        <f>IF($A123="","",IF(COUNTIFS('Blackout Brand Fam Areas (Enc)'!$B$6:$B$998,$A123,'Blackout Brand Fam Areas (Enc)'!$C$6:$C$998,K$1,'Blackout Brand Fam Areas (Enc)'!$D$6:$D$998,"Inactive")&gt;0,"BLOCKED","CAN SELL"))</f>
        <v>CAN SELL</v>
      </c>
    </row>
    <row r="124" spans="1:11" x14ac:dyDescent="0.2">
      <c r="A124" s="2" t="str">
        <v>Mike's Hard Lemonade</v>
      </c>
      <c r="B124" s="2" t="str">
        <f>IF($A124="","",IF(COUNTIFS('Blackout Brand Fam Areas (Enc)'!$B$6:$B$998,$A124,'Blackout Brand Fam Areas (Enc)'!$C$6:$C$998,B$1,'Blackout Brand Fam Areas (Enc)'!$D$6:$D$998,"Inactive")&gt;0,"BLOCKED","CAN SELL"))</f>
        <v>CAN SELL</v>
      </c>
      <c r="C124" s="2" t="str">
        <f>IF($A124="","",IF(COUNTIFS('Blackout Brand Fam Areas (Enc)'!$B$6:$B$998,$A124,'Blackout Brand Fam Areas (Enc)'!$C$6:$C$998,C$1,'Blackout Brand Fam Areas (Enc)'!$D$6:$D$998,"Inactive")&gt;0,"BLOCKED","CAN SELL"))</f>
        <v>CAN SELL</v>
      </c>
      <c r="D124" s="2" t="str">
        <f>IF($A124="","",IF(COUNTIFS('Blackout Brand Fam Areas (Enc)'!$B$6:$B$998,$A124,'Blackout Brand Fam Areas (Enc)'!$C$6:$C$998,D$1,'Blackout Brand Fam Areas (Enc)'!$D$6:$D$998,"Inactive")&gt;0,"BLOCKED","CAN SELL"))</f>
        <v>CAN SELL</v>
      </c>
      <c r="E124" s="2" t="str">
        <f>IF($A124="","",IF(COUNTIFS('Blackout Brand Fam Areas (Enc)'!$B$6:$B$998,$A124,'Blackout Brand Fam Areas (Enc)'!$C$6:$C$998,E$1,'Blackout Brand Fam Areas (Enc)'!$D$6:$D$998,"Inactive")&gt;0,"BLOCKED","CAN SELL"))</f>
        <v>BLOCKED</v>
      </c>
      <c r="F124" s="2" t="str">
        <f>IF($A124="","",IF(COUNTIFS('Blackout Brand Fam Areas (Enc)'!$B$6:$B$998,$A124,'Blackout Brand Fam Areas (Enc)'!$C$6:$C$998,F$1,'Blackout Brand Fam Areas (Enc)'!$D$6:$D$998,"Inactive")&gt;0,"BLOCKED","CAN SELL"))</f>
        <v>BLOCKED</v>
      </c>
      <c r="G124" s="2" t="str">
        <f>IF($A124="","",IF(COUNTIFS('Blackout Brand Fam Areas (Enc)'!$B$6:$B$998,$A124,'Blackout Brand Fam Areas (Enc)'!$C$6:$C$998,G$1,'Blackout Brand Fam Areas (Enc)'!$D$6:$D$998,"Inactive")&gt;0,"BLOCKED","CAN SELL"))</f>
        <v>BLOCKED</v>
      </c>
      <c r="H124" s="2" t="str">
        <f>IF($A124="","",IF(COUNTIFS('Blackout Brand Fam Areas (Enc)'!$B$6:$B$998,$A124,'Blackout Brand Fam Areas (Enc)'!$C$6:$C$998,H$1,'Blackout Brand Fam Areas (Enc)'!$D$6:$D$998,"Inactive")&gt;0,"BLOCKED","CAN SELL"))</f>
        <v>CAN SELL</v>
      </c>
      <c r="I124" s="2" t="str">
        <f>IF($A124="","",IF(COUNTIFS('Blackout Brand Fam Areas (Enc)'!$B$6:$B$998,$A124,'Blackout Brand Fam Areas (Enc)'!$C$6:$C$998,I$1,'Blackout Brand Fam Areas (Enc)'!$D$6:$D$998,"Inactive")&gt;0,"BLOCKED","CAN SELL"))</f>
        <v>CAN SELL</v>
      </c>
      <c r="J124" s="2" t="str">
        <f>IF($A124="","",IF(COUNTIFS('Blackout Brand Fam Areas (Enc)'!$B$6:$B$998,$A124,'Blackout Brand Fam Areas (Enc)'!$C$6:$C$998,J$1,'Blackout Brand Fam Areas (Enc)'!$D$6:$D$998,"Inactive")&gt;0,"BLOCKED","CAN SELL"))</f>
        <v>BLOCKED</v>
      </c>
      <c r="K124" s="2" t="str">
        <f>IF($A124="","",IF(COUNTIFS('Blackout Brand Fam Areas (Enc)'!$B$6:$B$998,$A124,'Blackout Brand Fam Areas (Enc)'!$C$6:$C$998,K$1,'Blackout Brand Fam Areas (Enc)'!$D$6:$D$998,"Inactive")&gt;0,"BLOCKED","CAN SELL"))</f>
        <v>CAN SELL</v>
      </c>
    </row>
    <row r="125" spans="1:11" x14ac:dyDescent="0.2">
      <c r="A125" s="2" t="str">
        <v>Mike's Hard Seltzer</v>
      </c>
      <c r="B125" s="2" t="str">
        <f>IF($A125="","",IF(COUNTIFS('Blackout Brand Fam Areas (Enc)'!$B$6:$B$998,$A125,'Blackout Brand Fam Areas (Enc)'!$C$6:$C$998,B$1,'Blackout Brand Fam Areas (Enc)'!$D$6:$D$998,"Inactive")&gt;0,"BLOCKED","CAN SELL"))</f>
        <v>CAN SELL</v>
      </c>
      <c r="C125" s="2" t="str">
        <f>IF($A125="","",IF(COUNTIFS('Blackout Brand Fam Areas (Enc)'!$B$6:$B$998,$A125,'Blackout Brand Fam Areas (Enc)'!$C$6:$C$998,C$1,'Blackout Brand Fam Areas (Enc)'!$D$6:$D$998,"Inactive")&gt;0,"BLOCKED","CAN SELL"))</f>
        <v>CAN SELL</v>
      </c>
      <c r="D125" s="2" t="str">
        <f>IF($A125="","",IF(COUNTIFS('Blackout Brand Fam Areas (Enc)'!$B$6:$B$998,$A125,'Blackout Brand Fam Areas (Enc)'!$C$6:$C$998,D$1,'Blackout Brand Fam Areas (Enc)'!$D$6:$D$998,"Inactive")&gt;0,"BLOCKED","CAN SELL"))</f>
        <v>CAN SELL</v>
      </c>
      <c r="E125" s="2" t="str">
        <f>IF($A125="","",IF(COUNTIFS('Blackout Brand Fam Areas (Enc)'!$B$6:$B$998,$A125,'Blackout Brand Fam Areas (Enc)'!$C$6:$C$998,E$1,'Blackout Brand Fam Areas (Enc)'!$D$6:$D$998,"Inactive")&gt;0,"BLOCKED","CAN SELL"))</f>
        <v>BLOCKED</v>
      </c>
      <c r="F125" s="2" t="str">
        <f>IF($A125="","",IF(COUNTIFS('Blackout Brand Fam Areas (Enc)'!$B$6:$B$998,$A125,'Blackout Brand Fam Areas (Enc)'!$C$6:$C$998,F$1,'Blackout Brand Fam Areas (Enc)'!$D$6:$D$998,"Inactive")&gt;0,"BLOCKED","CAN SELL"))</f>
        <v>CAN SELL</v>
      </c>
      <c r="G125" s="2" t="str">
        <f>IF($A125="","",IF(COUNTIFS('Blackout Brand Fam Areas (Enc)'!$B$6:$B$998,$A125,'Blackout Brand Fam Areas (Enc)'!$C$6:$C$998,G$1,'Blackout Brand Fam Areas (Enc)'!$D$6:$D$998,"Inactive")&gt;0,"BLOCKED","CAN SELL"))</f>
        <v>BLOCKED</v>
      </c>
      <c r="H125" s="2" t="str">
        <f>IF($A125="","",IF(COUNTIFS('Blackout Brand Fam Areas (Enc)'!$B$6:$B$998,$A125,'Blackout Brand Fam Areas (Enc)'!$C$6:$C$998,H$1,'Blackout Brand Fam Areas (Enc)'!$D$6:$D$998,"Inactive")&gt;0,"BLOCKED","CAN SELL"))</f>
        <v>CAN SELL</v>
      </c>
      <c r="I125" s="2" t="str">
        <f>IF($A125="","",IF(COUNTIFS('Blackout Brand Fam Areas (Enc)'!$B$6:$B$998,$A125,'Blackout Brand Fam Areas (Enc)'!$C$6:$C$998,I$1,'Blackout Brand Fam Areas (Enc)'!$D$6:$D$998,"Inactive")&gt;0,"BLOCKED","CAN SELL"))</f>
        <v>CAN SELL</v>
      </c>
      <c r="J125" s="2" t="str">
        <f>IF($A125="","",IF(COUNTIFS('Blackout Brand Fam Areas (Enc)'!$B$6:$B$998,$A125,'Blackout Brand Fam Areas (Enc)'!$C$6:$C$998,J$1,'Blackout Brand Fam Areas (Enc)'!$D$6:$D$998,"Inactive")&gt;0,"BLOCKED","CAN SELL"))</f>
        <v>BLOCKED</v>
      </c>
      <c r="K125" s="2" t="str">
        <f>IF($A125="","",IF(COUNTIFS('Blackout Brand Fam Areas (Enc)'!$B$6:$B$998,$A125,'Blackout Brand Fam Areas (Enc)'!$C$6:$C$998,K$1,'Blackout Brand Fam Areas (Enc)'!$D$6:$D$998,"Inactive")&gt;0,"BLOCKED","CAN SELL"))</f>
        <v>CAN SELL</v>
      </c>
    </row>
    <row r="126" spans="1:11" x14ac:dyDescent="0.2">
      <c r="A126" s="2" t="str">
        <v>Mike's Harder</v>
      </c>
      <c r="B126" s="2" t="str">
        <f>IF($A126="","",IF(COUNTIFS('Blackout Brand Fam Areas (Enc)'!$B$6:$B$998,$A126,'Blackout Brand Fam Areas (Enc)'!$C$6:$C$998,B$1,'Blackout Brand Fam Areas (Enc)'!$D$6:$D$998,"Inactive")&gt;0,"BLOCKED","CAN SELL"))</f>
        <v>CAN SELL</v>
      </c>
      <c r="C126" s="2" t="str">
        <f>IF($A126="","",IF(COUNTIFS('Blackout Brand Fam Areas (Enc)'!$B$6:$B$998,$A126,'Blackout Brand Fam Areas (Enc)'!$C$6:$C$998,C$1,'Blackout Brand Fam Areas (Enc)'!$D$6:$D$998,"Inactive")&gt;0,"BLOCKED","CAN SELL"))</f>
        <v>CAN SELL</v>
      </c>
      <c r="D126" s="2" t="str">
        <f>IF($A126="","",IF(COUNTIFS('Blackout Brand Fam Areas (Enc)'!$B$6:$B$998,$A126,'Blackout Brand Fam Areas (Enc)'!$C$6:$C$998,D$1,'Blackout Brand Fam Areas (Enc)'!$D$6:$D$998,"Inactive")&gt;0,"BLOCKED","CAN SELL"))</f>
        <v>CAN SELL</v>
      </c>
      <c r="E126" s="2" t="str">
        <f>IF($A126="","",IF(COUNTIFS('Blackout Brand Fam Areas (Enc)'!$B$6:$B$998,$A126,'Blackout Brand Fam Areas (Enc)'!$C$6:$C$998,E$1,'Blackout Brand Fam Areas (Enc)'!$D$6:$D$998,"Inactive")&gt;0,"BLOCKED","CAN SELL"))</f>
        <v>BLOCKED</v>
      </c>
      <c r="F126" s="2" t="str">
        <f>IF($A126="","",IF(COUNTIFS('Blackout Brand Fam Areas (Enc)'!$B$6:$B$998,$A126,'Blackout Brand Fam Areas (Enc)'!$C$6:$C$998,F$1,'Blackout Brand Fam Areas (Enc)'!$D$6:$D$998,"Inactive")&gt;0,"BLOCKED","CAN SELL"))</f>
        <v>BLOCKED</v>
      </c>
      <c r="G126" s="2" t="str">
        <f>IF($A126="","",IF(COUNTIFS('Blackout Brand Fam Areas (Enc)'!$B$6:$B$998,$A126,'Blackout Brand Fam Areas (Enc)'!$C$6:$C$998,G$1,'Blackout Brand Fam Areas (Enc)'!$D$6:$D$998,"Inactive")&gt;0,"BLOCKED","CAN SELL"))</f>
        <v>BLOCKED</v>
      </c>
      <c r="H126" s="2" t="str">
        <f>IF($A126="","",IF(COUNTIFS('Blackout Brand Fam Areas (Enc)'!$B$6:$B$998,$A126,'Blackout Brand Fam Areas (Enc)'!$C$6:$C$998,H$1,'Blackout Brand Fam Areas (Enc)'!$D$6:$D$998,"Inactive")&gt;0,"BLOCKED","CAN SELL"))</f>
        <v>CAN SELL</v>
      </c>
      <c r="I126" s="2" t="str">
        <f>IF($A126="","",IF(COUNTIFS('Blackout Brand Fam Areas (Enc)'!$B$6:$B$998,$A126,'Blackout Brand Fam Areas (Enc)'!$C$6:$C$998,I$1,'Blackout Brand Fam Areas (Enc)'!$D$6:$D$998,"Inactive")&gt;0,"BLOCKED","CAN SELL"))</f>
        <v>CAN SELL</v>
      </c>
      <c r="J126" s="2" t="str">
        <f>IF($A126="","",IF(COUNTIFS('Blackout Brand Fam Areas (Enc)'!$B$6:$B$998,$A126,'Blackout Brand Fam Areas (Enc)'!$C$6:$C$998,J$1,'Blackout Brand Fam Areas (Enc)'!$D$6:$D$998,"Inactive")&gt;0,"BLOCKED","CAN SELL"))</f>
        <v>BLOCKED</v>
      </c>
      <c r="K126" s="2" t="str">
        <f>IF($A126="","",IF(COUNTIFS('Blackout Brand Fam Areas (Enc)'!$B$6:$B$998,$A126,'Blackout Brand Fam Areas (Enc)'!$C$6:$C$998,K$1,'Blackout Brand Fam Areas (Enc)'!$D$6:$D$998,"Inactive")&gt;0,"BLOCKED","CAN SELL"))</f>
        <v>CAN SELL</v>
      </c>
    </row>
    <row r="127" spans="1:11" x14ac:dyDescent="0.2">
      <c r="A127" s="2" t="str">
        <v>Miller Extra Light</v>
      </c>
      <c r="B127" s="2" t="str">
        <f>IF($A127="","",IF(COUNTIFS('Blackout Brand Fam Areas (Enc)'!$B$6:$B$998,$A127,'Blackout Brand Fam Areas (Enc)'!$C$6:$C$998,B$1,'Blackout Brand Fam Areas (Enc)'!$D$6:$D$998,"Inactive")&gt;0,"BLOCKED","CAN SELL"))</f>
        <v>CAN SELL</v>
      </c>
      <c r="C127" s="2" t="str">
        <f>IF($A127="","",IF(COUNTIFS('Blackout Brand Fam Areas (Enc)'!$B$6:$B$998,$A127,'Blackout Brand Fam Areas (Enc)'!$C$6:$C$998,C$1,'Blackout Brand Fam Areas (Enc)'!$D$6:$D$998,"Inactive")&gt;0,"BLOCKED","CAN SELL"))</f>
        <v>CAN SELL</v>
      </c>
      <c r="D127" s="2" t="str">
        <f>IF($A127="","",IF(COUNTIFS('Blackout Brand Fam Areas (Enc)'!$B$6:$B$998,$A127,'Blackout Brand Fam Areas (Enc)'!$C$6:$C$998,D$1,'Blackout Brand Fam Areas (Enc)'!$D$6:$D$998,"Inactive")&gt;0,"BLOCKED","CAN SELL"))</f>
        <v>CAN SELL</v>
      </c>
      <c r="E127" s="2" t="str">
        <f>IF($A127="","",IF(COUNTIFS('Blackout Brand Fam Areas (Enc)'!$B$6:$B$998,$A127,'Blackout Brand Fam Areas (Enc)'!$C$6:$C$998,E$1,'Blackout Brand Fam Areas (Enc)'!$D$6:$D$998,"Inactive")&gt;0,"BLOCKED","CAN SELL"))</f>
        <v>BLOCKED</v>
      </c>
      <c r="F127" s="2" t="str">
        <f>IF($A127="","",IF(COUNTIFS('Blackout Brand Fam Areas (Enc)'!$B$6:$B$998,$A127,'Blackout Brand Fam Areas (Enc)'!$C$6:$C$998,F$1,'Blackout Brand Fam Areas (Enc)'!$D$6:$D$998,"Inactive")&gt;0,"BLOCKED","CAN SELL"))</f>
        <v>BLOCKED</v>
      </c>
      <c r="G127" s="2" t="str">
        <f>IF($A127="","",IF(COUNTIFS('Blackout Brand Fam Areas (Enc)'!$B$6:$B$998,$A127,'Blackout Brand Fam Areas (Enc)'!$C$6:$C$998,G$1,'Blackout Brand Fam Areas (Enc)'!$D$6:$D$998,"Inactive")&gt;0,"BLOCKED","CAN SELL"))</f>
        <v>BLOCKED</v>
      </c>
      <c r="H127" s="2" t="str">
        <f>IF($A127="","",IF(COUNTIFS('Blackout Brand Fam Areas (Enc)'!$B$6:$B$998,$A127,'Blackout Brand Fam Areas (Enc)'!$C$6:$C$998,H$1,'Blackout Brand Fam Areas (Enc)'!$D$6:$D$998,"Inactive")&gt;0,"BLOCKED","CAN SELL"))</f>
        <v>CAN SELL</v>
      </c>
      <c r="I127" s="2" t="str">
        <f>IF($A127="","",IF(COUNTIFS('Blackout Brand Fam Areas (Enc)'!$B$6:$B$998,$A127,'Blackout Brand Fam Areas (Enc)'!$C$6:$C$998,I$1,'Blackout Brand Fam Areas (Enc)'!$D$6:$D$998,"Inactive")&gt;0,"BLOCKED","CAN SELL"))</f>
        <v>CAN SELL</v>
      </c>
      <c r="J127" s="2" t="str">
        <f>IF($A127="","",IF(COUNTIFS('Blackout Brand Fam Areas (Enc)'!$B$6:$B$998,$A127,'Blackout Brand Fam Areas (Enc)'!$C$6:$C$998,J$1,'Blackout Brand Fam Areas (Enc)'!$D$6:$D$998,"Inactive")&gt;0,"BLOCKED","CAN SELL"))</f>
        <v>CAN SELL</v>
      </c>
      <c r="K127" s="2" t="str">
        <f>IF($A127="","",IF(COUNTIFS('Blackout Brand Fam Areas (Enc)'!$B$6:$B$998,$A127,'Blackout Brand Fam Areas (Enc)'!$C$6:$C$998,K$1,'Blackout Brand Fam Areas (Enc)'!$D$6:$D$998,"Inactive")&gt;0,"BLOCKED","CAN SELL"))</f>
        <v>CAN SELL</v>
      </c>
    </row>
    <row r="128" spans="1:11" x14ac:dyDescent="0.2">
      <c r="A128" s="2" t="str">
        <v>Miller Fortune</v>
      </c>
      <c r="B128" s="2" t="str">
        <f>IF($A128="","",IF(COUNTIFS('Blackout Brand Fam Areas (Enc)'!$B$6:$B$998,$A128,'Blackout Brand Fam Areas (Enc)'!$C$6:$C$998,B$1,'Blackout Brand Fam Areas (Enc)'!$D$6:$D$998,"Inactive")&gt;0,"BLOCKED","CAN SELL"))</f>
        <v>CAN SELL</v>
      </c>
      <c r="C128" s="2" t="str">
        <f>IF($A128="","",IF(COUNTIFS('Blackout Brand Fam Areas (Enc)'!$B$6:$B$998,$A128,'Blackout Brand Fam Areas (Enc)'!$C$6:$C$998,C$1,'Blackout Brand Fam Areas (Enc)'!$D$6:$D$998,"Inactive")&gt;0,"BLOCKED","CAN SELL"))</f>
        <v>CAN SELL</v>
      </c>
      <c r="D128" s="2" t="str">
        <f>IF($A128="","",IF(COUNTIFS('Blackout Brand Fam Areas (Enc)'!$B$6:$B$998,$A128,'Blackout Brand Fam Areas (Enc)'!$C$6:$C$998,D$1,'Blackout Brand Fam Areas (Enc)'!$D$6:$D$998,"Inactive")&gt;0,"BLOCKED","CAN SELL"))</f>
        <v>CAN SELL</v>
      </c>
      <c r="E128" s="2" t="str">
        <f>IF($A128="","",IF(COUNTIFS('Blackout Brand Fam Areas (Enc)'!$B$6:$B$998,$A128,'Blackout Brand Fam Areas (Enc)'!$C$6:$C$998,E$1,'Blackout Brand Fam Areas (Enc)'!$D$6:$D$998,"Inactive")&gt;0,"BLOCKED","CAN SELL"))</f>
        <v>BLOCKED</v>
      </c>
      <c r="F128" s="2" t="str">
        <f>IF($A128="","",IF(COUNTIFS('Blackout Brand Fam Areas (Enc)'!$B$6:$B$998,$A128,'Blackout Brand Fam Areas (Enc)'!$C$6:$C$998,F$1,'Blackout Brand Fam Areas (Enc)'!$D$6:$D$998,"Inactive")&gt;0,"BLOCKED","CAN SELL"))</f>
        <v>BLOCKED</v>
      </c>
      <c r="G128" s="2" t="str">
        <f>IF($A128="","",IF(COUNTIFS('Blackout Brand Fam Areas (Enc)'!$B$6:$B$998,$A128,'Blackout Brand Fam Areas (Enc)'!$C$6:$C$998,G$1,'Blackout Brand Fam Areas (Enc)'!$D$6:$D$998,"Inactive")&gt;0,"BLOCKED","CAN SELL"))</f>
        <v>BLOCKED</v>
      </c>
      <c r="H128" s="2" t="str">
        <f>IF($A128="","",IF(COUNTIFS('Blackout Brand Fam Areas (Enc)'!$B$6:$B$998,$A128,'Blackout Brand Fam Areas (Enc)'!$C$6:$C$998,H$1,'Blackout Brand Fam Areas (Enc)'!$D$6:$D$998,"Inactive")&gt;0,"BLOCKED","CAN SELL"))</f>
        <v>CAN SELL</v>
      </c>
      <c r="I128" s="2" t="str">
        <f>IF($A128="","",IF(COUNTIFS('Blackout Brand Fam Areas (Enc)'!$B$6:$B$998,$A128,'Blackout Brand Fam Areas (Enc)'!$C$6:$C$998,I$1,'Blackout Brand Fam Areas (Enc)'!$D$6:$D$998,"Inactive")&gt;0,"BLOCKED","CAN SELL"))</f>
        <v>CAN SELL</v>
      </c>
      <c r="J128" s="2" t="str">
        <f>IF($A128="","",IF(COUNTIFS('Blackout Brand Fam Areas (Enc)'!$B$6:$B$998,$A128,'Blackout Brand Fam Areas (Enc)'!$C$6:$C$998,J$1,'Blackout Brand Fam Areas (Enc)'!$D$6:$D$998,"Inactive")&gt;0,"BLOCKED","CAN SELL"))</f>
        <v>BLOCKED</v>
      </c>
      <c r="K128" s="2" t="str">
        <f>IF($A128="","",IF(COUNTIFS('Blackout Brand Fam Areas (Enc)'!$B$6:$B$998,$A128,'Blackout Brand Fam Areas (Enc)'!$C$6:$C$998,K$1,'Blackout Brand Fam Areas (Enc)'!$D$6:$D$998,"Inactive")&gt;0,"BLOCKED","CAN SELL"))</f>
        <v>CAN SELL</v>
      </c>
    </row>
    <row r="129" spans="1:11" x14ac:dyDescent="0.2">
      <c r="A129" s="2" t="str">
        <v>Miller Genuine Draft</v>
      </c>
      <c r="B129" s="2" t="str">
        <f>IF($A129="","",IF(COUNTIFS('Blackout Brand Fam Areas (Enc)'!$B$6:$B$998,$A129,'Blackout Brand Fam Areas (Enc)'!$C$6:$C$998,B$1,'Blackout Brand Fam Areas (Enc)'!$D$6:$D$998,"Inactive")&gt;0,"BLOCKED","CAN SELL"))</f>
        <v>CAN SELL</v>
      </c>
      <c r="C129" s="2" t="str">
        <f>IF($A129="","",IF(COUNTIFS('Blackout Brand Fam Areas (Enc)'!$B$6:$B$998,$A129,'Blackout Brand Fam Areas (Enc)'!$C$6:$C$998,C$1,'Blackout Brand Fam Areas (Enc)'!$D$6:$D$998,"Inactive")&gt;0,"BLOCKED","CAN SELL"))</f>
        <v>CAN SELL</v>
      </c>
      <c r="D129" s="2" t="str">
        <f>IF($A129="","",IF(COUNTIFS('Blackout Brand Fam Areas (Enc)'!$B$6:$B$998,$A129,'Blackout Brand Fam Areas (Enc)'!$C$6:$C$998,D$1,'Blackout Brand Fam Areas (Enc)'!$D$6:$D$998,"Inactive")&gt;0,"BLOCKED","CAN SELL"))</f>
        <v>CAN SELL</v>
      </c>
      <c r="E129" s="2" t="str">
        <f>IF($A129="","",IF(COUNTIFS('Blackout Brand Fam Areas (Enc)'!$B$6:$B$998,$A129,'Blackout Brand Fam Areas (Enc)'!$C$6:$C$998,E$1,'Blackout Brand Fam Areas (Enc)'!$D$6:$D$998,"Inactive")&gt;0,"BLOCKED","CAN SELL"))</f>
        <v>BLOCKED</v>
      </c>
      <c r="F129" s="2" t="str">
        <f>IF($A129="","",IF(COUNTIFS('Blackout Brand Fam Areas (Enc)'!$B$6:$B$998,$A129,'Blackout Brand Fam Areas (Enc)'!$C$6:$C$998,F$1,'Blackout Brand Fam Areas (Enc)'!$D$6:$D$998,"Inactive")&gt;0,"BLOCKED","CAN SELL"))</f>
        <v>BLOCKED</v>
      </c>
      <c r="G129" s="2" t="str">
        <f>IF($A129="","",IF(COUNTIFS('Blackout Brand Fam Areas (Enc)'!$B$6:$B$998,$A129,'Blackout Brand Fam Areas (Enc)'!$C$6:$C$998,G$1,'Blackout Brand Fam Areas (Enc)'!$D$6:$D$998,"Inactive")&gt;0,"BLOCKED","CAN SELL"))</f>
        <v>BLOCKED</v>
      </c>
      <c r="H129" s="2" t="str">
        <f>IF($A129="","",IF(COUNTIFS('Blackout Brand Fam Areas (Enc)'!$B$6:$B$998,$A129,'Blackout Brand Fam Areas (Enc)'!$C$6:$C$998,H$1,'Blackout Brand Fam Areas (Enc)'!$D$6:$D$998,"Inactive")&gt;0,"BLOCKED","CAN SELL"))</f>
        <v>CAN SELL</v>
      </c>
      <c r="I129" s="2" t="str">
        <f>IF($A129="","",IF(COUNTIFS('Blackout Brand Fam Areas (Enc)'!$B$6:$B$998,$A129,'Blackout Brand Fam Areas (Enc)'!$C$6:$C$998,I$1,'Blackout Brand Fam Areas (Enc)'!$D$6:$D$998,"Inactive")&gt;0,"BLOCKED","CAN SELL"))</f>
        <v>CAN SELL</v>
      </c>
      <c r="J129" s="2" t="str">
        <f>IF($A129="","",IF(COUNTIFS('Blackout Brand Fam Areas (Enc)'!$B$6:$B$998,$A129,'Blackout Brand Fam Areas (Enc)'!$C$6:$C$998,J$1,'Blackout Brand Fam Areas (Enc)'!$D$6:$D$998,"Inactive")&gt;0,"BLOCKED","CAN SELL"))</f>
        <v>BLOCKED</v>
      </c>
      <c r="K129" s="2" t="str">
        <f>IF($A129="","",IF(COUNTIFS('Blackout Brand Fam Areas (Enc)'!$B$6:$B$998,$A129,'Blackout Brand Fam Areas (Enc)'!$C$6:$C$998,K$1,'Blackout Brand Fam Areas (Enc)'!$D$6:$D$998,"Inactive")&gt;0,"BLOCKED","CAN SELL"))</f>
        <v>CAN SELL</v>
      </c>
    </row>
    <row r="130" spans="1:11" x14ac:dyDescent="0.2">
      <c r="A130" s="2" t="str">
        <v>Miller High Life</v>
      </c>
      <c r="B130" s="2" t="str">
        <f>IF($A130="","",IF(COUNTIFS('Blackout Brand Fam Areas (Enc)'!$B$6:$B$998,$A130,'Blackout Brand Fam Areas (Enc)'!$C$6:$C$998,B$1,'Blackout Brand Fam Areas (Enc)'!$D$6:$D$998,"Inactive")&gt;0,"BLOCKED","CAN SELL"))</f>
        <v>CAN SELL</v>
      </c>
      <c r="C130" s="2" t="str">
        <f>IF($A130="","",IF(COUNTIFS('Blackout Brand Fam Areas (Enc)'!$B$6:$B$998,$A130,'Blackout Brand Fam Areas (Enc)'!$C$6:$C$998,C$1,'Blackout Brand Fam Areas (Enc)'!$D$6:$D$998,"Inactive")&gt;0,"BLOCKED","CAN SELL"))</f>
        <v>CAN SELL</v>
      </c>
      <c r="D130" s="2" t="str">
        <f>IF($A130="","",IF(COUNTIFS('Blackout Brand Fam Areas (Enc)'!$B$6:$B$998,$A130,'Blackout Brand Fam Areas (Enc)'!$C$6:$C$998,D$1,'Blackout Brand Fam Areas (Enc)'!$D$6:$D$998,"Inactive")&gt;0,"BLOCKED","CAN SELL"))</f>
        <v>CAN SELL</v>
      </c>
      <c r="E130" s="2" t="str">
        <f>IF($A130="","",IF(COUNTIFS('Blackout Brand Fam Areas (Enc)'!$B$6:$B$998,$A130,'Blackout Brand Fam Areas (Enc)'!$C$6:$C$998,E$1,'Blackout Brand Fam Areas (Enc)'!$D$6:$D$998,"Inactive")&gt;0,"BLOCKED","CAN SELL"))</f>
        <v>BLOCKED</v>
      </c>
      <c r="F130" s="2" t="str">
        <f>IF($A130="","",IF(COUNTIFS('Blackout Brand Fam Areas (Enc)'!$B$6:$B$998,$A130,'Blackout Brand Fam Areas (Enc)'!$C$6:$C$998,F$1,'Blackout Brand Fam Areas (Enc)'!$D$6:$D$998,"Inactive")&gt;0,"BLOCKED","CAN SELL"))</f>
        <v>BLOCKED</v>
      </c>
      <c r="G130" s="2" t="str">
        <f>IF($A130="","",IF(COUNTIFS('Blackout Brand Fam Areas (Enc)'!$B$6:$B$998,$A130,'Blackout Brand Fam Areas (Enc)'!$C$6:$C$998,G$1,'Blackout Brand Fam Areas (Enc)'!$D$6:$D$998,"Inactive")&gt;0,"BLOCKED","CAN SELL"))</f>
        <v>BLOCKED</v>
      </c>
      <c r="H130" s="2" t="str">
        <f>IF($A130="","",IF(COUNTIFS('Blackout Brand Fam Areas (Enc)'!$B$6:$B$998,$A130,'Blackout Brand Fam Areas (Enc)'!$C$6:$C$998,H$1,'Blackout Brand Fam Areas (Enc)'!$D$6:$D$998,"Inactive")&gt;0,"BLOCKED","CAN SELL"))</f>
        <v>CAN SELL</v>
      </c>
      <c r="I130" s="2" t="str">
        <f>IF($A130="","",IF(COUNTIFS('Blackout Brand Fam Areas (Enc)'!$B$6:$B$998,$A130,'Blackout Brand Fam Areas (Enc)'!$C$6:$C$998,I$1,'Blackout Brand Fam Areas (Enc)'!$D$6:$D$998,"Inactive")&gt;0,"BLOCKED","CAN SELL"))</f>
        <v>CAN SELL</v>
      </c>
      <c r="J130" s="2" t="str">
        <f>IF($A130="","",IF(COUNTIFS('Blackout Brand Fam Areas (Enc)'!$B$6:$B$998,$A130,'Blackout Brand Fam Areas (Enc)'!$C$6:$C$998,J$1,'Blackout Brand Fam Areas (Enc)'!$D$6:$D$998,"Inactive")&gt;0,"BLOCKED","CAN SELL"))</f>
        <v>BLOCKED</v>
      </c>
      <c r="K130" s="2" t="str">
        <f>IF($A130="","",IF(COUNTIFS('Blackout Brand Fam Areas (Enc)'!$B$6:$B$998,$A130,'Blackout Brand Fam Areas (Enc)'!$C$6:$C$998,K$1,'Blackout Brand Fam Areas (Enc)'!$D$6:$D$998,"Inactive")&gt;0,"BLOCKED","CAN SELL"))</f>
        <v>CAN SELL</v>
      </c>
    </row>
    <row r="131" spans="1:11" x14ac:dyDescent="0.2">
      <c r="A131" s="2" t="str">
        <v>Miller High Life Light</v>
      </c>
      <c r="B131" s="2" t="str">
        <f>IF($A131="","",IF(COUNTIFS('Blackout Brand Fam Areas (Enc)'!$B$6:$B$998,$A131,'Blackout Brand Fam Areas (Enc)'!$C$6:$C$998,B$1,'Blackout Brand Fam Areas (Enc)'!$D$6:$D$998,"Inactive")&gt;0,"BLOCKED","CAN SELL"))</f>
        <v>CAN SELL</v>
      </c>
      <c r="C131" s="2" t="str">
        <f>IF($A131="","",IF(COUNTIFS('Blackout Brand Fam Areas (Enc)'!$B$6:$B$998,$A131,'Blackout Brand Fam Areas (Enc)'!$C$6:$C$998,C$1,'Blackout Brand Fam Areas (Enc)'!$D$6:$D$998,"Inactive")&gt;0,"BLOCKED","CAN SELL"))</f>
        <v>CAN SELL</v>
      </c>
      <c r="D131" s="2" t="str">
        <f>IF($A131="","",IF(COUNTIFS('Blackout Brand Fam Areas (Enc)'!$B$6:$B$998,$A131,'Blackout Brand Fam Areas (Enc)'!$C$6:$C$998,D$1,'Blackout Brand Fam Areas (Enc)'!$D$6:$D$998,"Inactive")&gt;0,"BLOCKED","CAN SELL"))</f>
        <v>CAN SELL</v>
      </c>
      <c r="E131" s="2" t="str">
        <f>IF($A131="","",IF(COUNTIFS('Blackout Brand Fam Areas (Enc)'!$B$6:$B$998,$A131,'Blackout Brand Fam Areas (Enc)'!$C$6:$C$998,E$1,'Blackout Brand Fam Areas (Enc)'!$D$6:$D$998,"Inactive")&gt;0,"BLOCKED","CAN SELL"))</f>
        <v>BLOCKED</v>
      </c>
      <c r="F131" s="2" t="str">
        <f>IF($A131="","",IF(COUNTIFS('Blackout Brand Fam Areas (Enc)'!$B$6:$B$998,$A131,'Blackout Brand Fam Areas (Enc)'!$C$6:$C$998,F$1,'Blackout Brand Fam Areas (Enc)'!$D$6:$D$998,"Inactive")&gt;0,"BLOCKED","CAN SELL"))</f>
        <v>BLOCKED</v>
      </c>
      <c r="G131" s="2" t="str">
        <f>IF($A131="","",IF(COUNTIFS('Blackout Brand Fam Areas (Enc)'!$B$6:$B$998,$A131,'Blackout Brand Fam Areas (Enc)'!$C$6:$C$998,G$1,'Blackout Brand Fam Areas (Enc)'!$D$6:$D$998,"Inactive")&gt;0,"BLOCKED","CAN SELL"))</f>
        <v>BLOCKED</v>
      </c>
      <c r="H131" s="2" t="str">
        <f>IF($A131="","",IF(COUNTIFS('Blackout Brand Fam Areas (Enc)'!$B$6:$B$998,$A131,'Blackout Brand Fam Areas (Enc)'!$C$6:$C$998,H$1,'Blackout Brand Fam Areas (Enc)'!$D$6:$D$998,"Inactive")&gt;0,"BLOCKED","CAN SELL"))</f>
        <v>CAN SELL</v>
      </c>
      <c r="I131" s="2" t="str">
        <f>IF($A131="","",IF(COUNTIFS('Blackout Brand Fam Areas (Enc)'!$B$6:$B$998,$A131,'Blackout Brand Fam Areas (Enc)'!$C$6:$C$998,I$1,'Blackout Brand Fam Areas (Enc)'!$D$6:$D$998,"Inactive")&gt;0,"BLOCKED","CAN SELL"))</f>
        <v>CAN SELL</v>
      </c>
      <c r="J131" s="2" t="str">
        <f>IF($A131="","",IF(COUNTIFS('Blackout Brand Fam Areas (Enc)'!$B$6:$B$998,$A131,'Blackout Brand Fam Areas (Enc)'!$C$6:$C$998,J$1,'Blackout Brand Fam Areas (Enc)'!$D$6:$D$998,"Inactive")&gt;0,"BLOCKED","CAN SELL"))</f>
        <v>BLOCKED</v>
      </c>
      <c r="K131" s="2" t="str">
        <f>IF($A131="","",IF(COUNTIFS('Blackout Brand Fam Areas (Enc)'!$B$6:$B$998,$A131,'Blackout Brand Fam Areas (Enc)'!$C$6:$C$998,K$1,'Blackout Brand Fam Areas (Enc)'!$D$6:$D$998,"Inactive")&gt;0,"BLOCKED","CAN SELL"))</f>
        <v>CAN SELL</v>
      </c>
    </row>
    <row r="132" spans="1:11" x14ac:dyDescent="0.2">
      <c r="A132" s="2" t="str">
        <v>Milwaukee's Best</v>
      </c>
      <c r="B132" s="2" t="str">
        <f>IF($A132="","",IF(COUNTIFS('Blackout Brand Fam Areas (Enc)'!$B$6:$B$998,$A132,'Blackout Brand Fam Areas (Enc)'!$C$6:$C$998,B$1,'Blackout Brand Fam Areas (Enc)'!$D$6:$D$998,"Inactive")&gt;0,"BLOCKED","CAN SELL"))</f>
        <v>CAN SELL</v>
      </c>
      <c r="C132" s="2" t="str">
        <f>IF($A132="","",IF(COUNTIFS('Blackout Brand Fam Areas (Enc)'!$B$6:$B$998,$A132,'Blackout Brand Fam Areas (Enc)'!$C$6:$C$998,C$1,'Blackout Brand Fam Areas (Enc)'!$D$6:$D$998,"Inactive")&gt;0,"BLOCKED","CAN SELL"))</f>
        <v>CAN SELL</v>
      </c>
      <c r="D132" s="2" t="str">
        <f>IF($A132="","",IF(COUNTIFS('Blackout Brand Fam Areas (Enc)'!$B$6:$B$998,$A132,'Blackout Brand Fam Areas (Enc)'!$C$6:$C$998,D$1,'Blackout Brand Fam Areas (Enc)'!$D$6:$D$998,"Inactive")&gt;0,"BLOCKED","CAN SELL"))</f>
        <v>CAN SELL</v>
      </c>
      <c r="E132" s="2" t="str">
        <f>IF($A132="","",IF(COUNTIFS('Blackout Brand Fam Areas (Enc)'!$B$6:$B$998,$A132,'Blackout Brand Fam Areas (Enc)'!$C$6:$C$998,E$1,'Blackout Brand Fam Areas (Enc)'!$D$6:$D$998,"Inactive")&gt;0,"BLOCKED","CAN SELL"))</f>
        <v>BLOCKED</v>
      </c>
      <c r="F132" s="2" t="str">
        <f>IF($A132="","",IF(COUNTIFS('Blackout Brand Fam Areas (Enc)'!$B$6:$B$998,$A132,'Blackout Brand Fam Areas (Enc)'!$C$6:$C$998,F$1,'Blackout Brand Fam Areas (Enc)'!$D$6:$D$998,"Inactive")&gt;0,"BLOCKED","CAN SELL"))</f>
        <v>BLOCKED</v>
      </c>
      <c r="G132" s="2" t="str">
        <f>IF($A132="","",IF(COUNTIFS('Blackout Brand Fam Areas (Enc)'!$B$6:$B$998,$A132,'Blackout Brand Fam Areas (Enc)'!$C$6:$C$998,G$1,'Blackout Brand Fam Areas (Enc)'!$D$6:$D$998,"Inactive")&gt;0,"BLOCKED","CAN SELL"))</f>
        <v>BLOCKED</v>
      </c>
      <c r="H132" s="2" t="str">
        <f>IF($A132="","",IF(COUNTIFS('Blackout Brand Fam Areas (Enc)'!$B$6:$B$998,$A132,'Blackout Brand Fam Areas (Enc)'!$C$6:$C$998,H$1,'Blackout Brand Fam Areas (Enc)'!$D$6:$D$998,"Inactive")&gt;0,"BLOCKED","CAN SELL"))</f>
        <v>CAN SELL</v>
      </c>
      <c r="I132" s="2" t="str">
        <f>IF($A132="","",IF(COUNTIFS('Blackout Brand Fam Areas (Enc)'!$B$6:$B$998,$A132,'Blackout Brand Fam Areas (Enc)'!$C$6:$C$998,I$1,'Blackout Brand Fam Areas (Enc)'!$D$6:$D$998,"Inactive")&gt;0,"BLOCKED","CAN SELL"))</f>
        <v>CAN SELL</v>
      </c>
      <c r="J132" s="2" t="str">
        <f>IF($A132="","",IF(COUNTIFS('Blackout Brand Fam Areas (Enc)'!$B$6:$B$998,$A132,'Blackout Brand Fam Areas (Enc)'!$C$6:$C$998,J$1,'Blackout Brand Fam Areas (Enc)'!$D$6:$D$998,"Inactive")&gt;0,"BLOCKED","CAN SELL"))</f>
        <v>BLOCKED</v>
      </c>
      <c r="K132" s="2" t="str">
        <f>IF($A132="","",IF(COUNTIFS('Blackout Brand Fam Areas (Enc)'!$B$6:$B$998,$A132,'Blackout Brand Fam Areas (Enc)'!$C$6:$C$998,K$1,'Blackout Brand Fam Areas (Enc)'!$D$6:$D$998,"Inactive")&gt;0,"BLOCKED","CAN SELL"))</f>
        <v>CAN SELL</v>
      </c>
    </row>
    <row r="133" spans="1:11" x14ac:dyDescent="0.2">
      <c r="A133" s="2" t="str">
        <v>Milwaukee's Best Ice</v>
      </c>
      <c r="B133" s="2" t="str">
        <f>IF($A133="","",IF(COUNTIFS('Blackout Brand Fam Areas (Enc)'!$B$6:$B$998,$A133,'Blackout Brand Fam Areas (Enc)'!$C$6:$C$998,B$1,'Blackout Brand Fam Areas (Enc)'!$D$6:$D$998,"Inactive")&gt;0,"BLOCKED","CAN SELL"))</f>
        <v>CAN SELL</v>
      </c>
      <c r="C133" s="2" t="str">
        <f>IF($A133="","",IF(COUNTIFS('Blackout Brand Fam Areas (Enc)'!$B$6:$B$998,$A133,'Blackout Brand Fam Areas (Enc)'!$C$6:$C$998,C$1,'Blackout Brand Fam Areas (Enc)'!$D$6:$D$998,"Inactive")&gt;0,"BLOCKED","CAN SELL"))</f>
        <v>CAN SELL</v>
      </c>
      <c r="D133" s="2" t="str">
        <f>IF($A133="","",IF(COUNTIFS('Blackout Brand Fam Areas (Enc)'!$B$6:$B$998,$A133,'Blackout Brand Fam Areas (Enc)'!$C$6:$C$998,D$1,'Blackout Brand Fam Areas (Enc)'!$D$6:$D$998,"Inactive")&gt;0,"BLOCKED","CAN SELL"))</f>
        <v>CAN SELL</v>
      </c>
      <c r="E133" s="2" t="str">
        <f>IF($A133="","",IF(COUNTIFS('Blackout Brand Fam Areas (Enc)'!$B$6:$B$998,$A133,'Blackout Brand Fam Areas (Enc)'!$C$6:$C$998,E$1,'Blackout Brand Fam Areas (Enc)'!$D$6:$D$998,"Inactive")&gt;0,"BLOCKED","CAN SELL"))</f>
        <v>BLOCKED</v>
      </c>
      <c r="F133" s="2" t="str">
        <f>IF($A133="","",IF(COUNTIFS('Blackout Brand Fam Areas (Enc)'!$B$6:$B$998,$A133,'Blackout Brand Fam Areas (Enc)'!$C$6:$C$998,F$1,'Blackout Brand Fam Areas (Enc)'!$D$6:$D$998,"Inactive")&gt;0,"BLOCKED","CAN SELL"))</f>
        <v>BLOCKED</v>
      </c>
      <c r="G133" s="2" t="str">
        <f>IF($A133="","",IF(COUNTIFS('Blackout Brand Fam Areas (Enc)'!$B$6:$B$998,$A133,'Blackout Brand Fam Areas (Enc)'!$C$6:$C$998,G$1,'Blackout Brand Fam Areas (Enc)'!$D$6:$D$998,"Inactive")&gt;0,"BLOCKED","CAN SELL"))</f>
        <v>BLOCKED</v>
      </c>
      <c r="H133" s="2" t="str">
        <f>IF($A133="","",IF(COUNTIFS('Blackout Brand Fam Areas (Enc)'!$B$6:$B$998,$A133,'Blackout Brand Fam Areas (Enc)'!$C$6:$C$998,H$1,'Blackout Brand Fam Areas (Enc)'!$D$6:$D$998,"Inactive")&gt;0,"BLOCKED","CAN SELL"))</f>
        <v>CAN SELL</v>
      </c>
      <c r="I133" s="2" t="str">
        <f>IF($A133="","",IF(COUNTIFS('Blackout Brand Fam Areas (Enc)'!$B$6:$B$998,$A133,'Blackout Brand Fam Areas (Enc)'!$C$6:$C$998,I$1,'Blackout Brand Fam Areas (Enc)'!$D$6:$D$998,"Inactive")&gt;0,"BLOCKED","CAN SELL"))</f>
        <v>CAN SELL</v>
      </c>
      <c r="J133" s="2" t="str">
        <f>IF($A133="","",IF(COUNTIFS('Blackout Brand Fam Areas (Enc)'!$B$6:$B$998,$A133,'Blackout Brand Fam Areas (Enc)'!$C$6:$C$998,J$1,'Blackout Brand Fam Areas (Enc)'!$D$6:$D$998,"Inactive")&gt;0,"BLOCKED","CAN SELL"))</f>
        <v>BLOCKED</v>
      </c>
      <c r="K133" s="2" t="str">
        <f>IF($A133="","",IF(COUNTIFS('Blackout Brand Fam Areas (Enc)'!$B$6:$B$998,$A133,'Blackout Brand Fam Areas (Enc)'!$C$6:$C$998,K$1,'Blackout Brand Fam Areas (Enc)'!$D$6:$D$998,"Inactive")&gt;0,"BLOCKED","CAN SELL"))</f>
        <v>CAN SELL</v>
      </c>
    </row>
    <row r="134" spans="1:11" x14ac:dyDescent="0.2">
      <c r="A134" s="2" t="str">
        <v>Milwaukee's Best Light</v>
      </c>
      <c r="B134" s="2" t="str">
        <f>IF($A134="","",IF(COUNTIFS('Blackout Brand Fam Areas (Enc)'!$B$6:$B$998,$A134,'Blackout Brand Fam Areas (Enc)'!$C$6:$C$998,B$1,'Blackout Brand Fam Areas (Enc)'!$D$6:$D$998,"Inactive")&gt;0,"BLOCKED","CAN SELL"))</f>
        <v>CAN SELL</v>
      </c>
      <c r="C134" s="2" t="str">
        <f>IF($A134="","",IF(COUNTIFS('Blackout Brand Fam Areas (Enc)'!$B$6:$B$998,$A134,'Blackout Brand Fam Areas (Enc)'!$C$6:$C$998,C$1,'Blackout Brand Fam Areas (Enc)'!$D$6:$D$998,"Inactive")&gt;0,"BLOCKED","CAN SELL"))</f>
        <v>CAN SELL</v>
      </c>
      <c r="D134" s="2" t="str">
        <f>IF($A134="","",IF(COUNTIFS('Blackout Brand Fam Areas (Enc)'!$B$6:$B$998,$A134,'Blackout Brand Fam Areas (Enc)'!$C$6:$C$998,D$1,'Blackout Brand Fam Areas (Enc)'!$D$6:$D$998,"Inactive")&gt;0,"BLOCKED","CAN SELL"))</f>
        <v>CAN SELL</v>
      </c>
      <c r="E134" s="2" t="str">
        <f>IF($A134="","",IF(COUNTIFS('Blackout Brand Fam Areas (Enc)'!$B$6:$B$998,$A134,'Blackout Brand Fam Areas (Enc)'!$C$6:$C$998,E$1,'Blackout Brand Fam Areas (Enc)'!$D$6:$D$998,"Inactive")&gt;0,"BLOCKED","CAN SELL"))</f>
        <v>BLOCKED</v>
      </c>
      <c r="F134" s="2" t="str">
        <f>IF($A134="","",IF(COUNTIFS('Blackout Brand Fam Areas (Enc)'!$B$6:$B$998,$A134,'Blackout Brand Fam Areas (Enc)'!$C$6:$C$998,F$1,'Blackout Brand Fam Areas (Enc)'!$D$6:$D$998,"Inactive")&gt;0,"BLOCKED","CAN SELL"))</f>
        <v>BLOCKED</v>
      </c>
      <c r="G134" s="2" t="str">
        <f>IF($A134="","",IF(COUNTIFS('Blackout Brand Fam Areas (Enc)'!$B$6:$B$998,$A134,'Blackout Brand Fam Areas (Enc)'!$C$6:$C$998,G$1,'Blackout Brand Fam Areas (Enc)'!$D$6:$D$998,"Inactive")&gt;0,"BLOCKED","CAN SELL"))</f>
        <v>BLOCKED</v>
      </c>
      <c r="H134" s="2" t="str">
        <f>IF($A134="","",IF(COUNTIFS('Blackout Brand Fam Areas (Enc)'!$B$6:$B$998,$A134,'Blackout Brand Fam Areas (Enc)'!$C$6:$C$998,H$1,'Blackout Brand Fam Areas (Enc)'!$D$6:$D$998,"Inactive")&gt;0,"BLOCKED","CAN SELL"))</f>
        <v>CAN SELL</v>
      </c>
      <c r="I134" s="2" t="str">
        <f>IF($A134="","",IF(COUNTIFS('Blackout Brand Fam Areas (Enc)'!$B$6:$B$998,$A134,'Blackout Brand Fam Areas (Enc)'!$C$6:$C$998,I$1,'Blackout Brand Fam Areas (Enc)'!$D$6:$D$998,"Inactive")&gt;0,"BLOCKED","CAN SELL"))</f>
        <v>CAN SELL</v>
      </c>
      <c r="J134" s="2" t="str">
        <f>IF($A134="","",IF(COUNTIFS('Blackout Brand Fam Areas (Enc)'!$B$6:$B$998,$A134,'Blackout Brand Fam Areas (Enc)'!$C$6:$C$998,J$1,'Blackout Brand Fam Areas (Enc)'!$D$6:$D$998,"Inactive")&gt;0,"BLOCKED","CAN SELL"))</f>
        <v>BLOCKED</v>
      </c>
      <c r="K134" s="2" t="str">
        <f>IF($A134="","",IF(COUNTIFS('Blackout Brand Fam Areas (Enc)'!$B$6:$B$998,$A134,'Blackout Brand Fam Areas (Enc)'!$C$6:$C$998,K$1,'Blackout Brand Fam Areas (Enc)'!$D$6:$D$998,"Inactive")&gt;0,"BLOCKED","CAN SELL"))</f>
        <v>CAN SELL</v>
      </c>
    </row>
    <row r="135" spans="1:11" x14ac:dyDescent="0.2">
      <c r="A135" s="2" t="str">
        <v>Misissippi</v>
      </c>
      <c r="B135" s="2" t="str">
        <f>IF($A135="","",IF(COUNTIFS('Blackout Brand Fam Areas (Enc)'!$B$6:$B$998,$A135,'Blackout Brand Fam Areas (Enc)'!$C$6:$C$998,B$1,'Blackout Brand Fam Areas (Enc)'!$D$6:$D$998,"Inactive")&gt;0,"BLOCKED","CAN SELL"))</f>
        <v>CAN SELL</v>
      </c>
      <c r="C135" s="2" t="str">
        <f>IF($A135="","",IF(COUNTIFS('Blackout Brand Fam Areas (Enc)'!$B$6:$B$998,$A135,'Blackout Brand Fam Areas (Enc)'!$C$6:$C$998,C$1,'Blackout Brand Fam Areas (Enc)'!$D$6:$D$998,"Inactive")&gt;0,"BLOCKED","CAN SELL"))</f>
        <v>CAN SELL</v>
      </c>
      <c r="D135" s="2" t="str">
        <f>IF($A135="","",IF(COUNTIFS('Blackout Brand Fam Areas (Enc)'!$B$6:$B$998,$A135,'Blackout Brand Fam Areas (Enc)'!$C$6:$C$998,D$1,'Blackout Brand Fam Areas (Enc)'!$D$6:$D$998,"Inactive")&gt;0,"BLOCKED","CAN SELL"))</f>
        <v>CAN SELL</v>
      </c>
      <c r="E135" s="2" t="str">
        <f>IF($A135="","",IF(COUNTIFS('Blackout Brand Fam Areas (Enc)'!$B$6:$B$998,$A135,'Blackout Brand Fam Areas (Enc)'!$C$6:$C$998,E$1,'Blackout Brand Fam Areas (Enc)'!$D$6:$D$998,"Inactive")&gt;0,"BLOCKED","CAN SELL"))</f>
        <v>CAN SELL</v>
      </c>
      <c r="F135" s="2" t="str">
        <f>IF($A135="","",IF(COUNTIFS('Blackout Brand Fam Areas (Enc)'!$B$6:$B$998,$A135,'Blackout Brand Fam Areas (Enc)'!$C$6:$C$998,F$1,'Blackout Brand Fam Areas (Enc)'!$D$6:$D$998,"Inactive")&gt;0,"BLOCKED","CAN SELL"))</f>
        <v>CAN SELL</v>
      </c>
      <c r="G135" s="2" t="str">
        <f>IF($A135="","",IF(COUNTIFS('Blackout Brand Fam Areas (Enc)'!$B$6:$B$998,$A135,'Blackout Brand Fam Areas (Enc)'!$C$6:$C$998,G$1,'Blackout Brand Fam Areas (Enc)'!$D$6:$D$998,"Inactive")&gt;0,"BLOCKED","CAN SELL"))</f>
        <v>CAN SELL</v>
      </c>
      <c r="H135" s="2" t="str">
        <f>IF($A135="","",IF(COUNTIFS('Blackout Brand Fam Areas (Enc)'!$B$6:$B$998,$A135,'Blackout Brand Fam Areas (Enc)'!$C$6:$C$998,H$1,'Blackout Brand Fam Areas (Enc)'!$D$6:$D$998,"Inactive")&gt;0,"BLOCKED","CAN SELL"))</f>
        <v>BLOCKED</v>
      </c>
      <c r="I135" s="2" t="str">
        <f>IF($A135="","",IF(COUNTIFS('Blackout Brand Fam Areas (Enc)'!$B$6:$B$998,$A135,'Blackout Brand Fam Areas (Enc)'!$C$6:$C$998,I$1,'Blackout Brand Fam Areas (Enc)'!$D$6:$D$998,"Inactive")&gt;0,"BLOCKED","CAN SELL"))</f>
        <v>BLOCKED</v>
      </c>
      <c r="J135" s="2" t="str">
        <f>IF($A135="","",IF(COUNTIFS('Blackout Brand Fam Areas (Enc)'!$B$6:$B$998,$A135,'Blackout Brand Fam Areas (Enc)'!$C$6:$C$998,J$1,'Blackout Brand Fam Areas (Enc)'!$D$6:$D$998,"Inactive")&gt;0,"BLOCKED","CAN SELL"))</f>
        <v>BLOCKED</v>
      </c>
      <c r="K135" s="2" t="str">
        <f>IF($A135="","",IF(COUNTIFS('Blackout Brand Fam Areas (Enc)'!$B$6:$B$998,$A135,'Blackout Brand Fam Areas (Enc)'!$C$6:$C$998,K$1,'Blackout Brand Fam Areas (Enc)'!$D$6:$D$998,"Inactive")&gt;0,"BLOCKED","CAN SELL"))</f>
        <v>BLOCKED</v>
      </c>
    </row>
    <row r="136" spans="1:11" x14ac:dyDescent="0.2">
      <c r="A136" s="2" t="str">
        <v>Modelo Aquas Frescas</v>
      </c>
      <c r="B136" s="2" t="str">
        <f>IF($A136="","",IF(COUNTIFS('Blackout Brand Fam Areas (Enc)'!$B$6:$B$998,$A136,'Blackout Brand Fam Areas (Enc)'!$C$6:$C$998,B$1,'Blackout Brand Fam Areas (Enc)'!$D$6:$D$998,"Inactive")&gt;0,"BLOCKED","CAN SELL"))</f>
        <v>CAN SELL</v>
      </c>
      <c r="C136" s="2" t="str">
        <f>IF($A136="","",IF(COUNTIFS('Blackout Brand Fam Areas (Enc)'!$B$6:$B$998,$A136,'Blackout Brand Fam Areas (Enc)'!$C$6:$C$998,C$1,'Blackout Brand Fam Areas (Enc)'!$D$6:$D$998,"Inactive")&gt;0,"BLOCKED","CAN SELL"))</f>
        <v>CAN SELL</v>
      </c>
      <c r="D136" s="2" t="str">
        <f>IF($A136="","",IF(COUNTIFS('Blackout Brand Fam Areas (Enc)'!$B$6:$B$998,$A136,'Blackout Brand Fam Areas (Enc)'!$C$6:$C$998,D$1,'Blackout Brand Fam Areas (Enc)'!$D$6:$D$998,"Inactive")&gt;0,"BLOCKED","CAN SELL"))</f>
        <v>CAN SELL</v>
      </c>
      <c r="E136" s="2" t="str">
        <f>IF($A136="","",IF(COUNTIFS('Blackout Brand Fam Areas (Enc)'!$B$6:$B$998,$A136,'Blackout Brand Fam Areas (Enc)'!$C$6:$C$998,E$1,'Blackout Brand Fam Areas (Enc)'!$D$6:$D$998,"Inactive")&gt;0,"BLOCKED","CAN SELL"))</f>
        <v>BLOCKED</v>
      </c>
      <c r="F136" s="2" t="str">
        <f>IF($A136="","",IF(COUNTIFS('Blackout Brand Fam Areas (Enc)'!$B$6:$B$998,$A136,'Blackout Brand Fam Areas (Enc)'!$C$6:$C$998,F$1,'Blackout Brand Fam Areas (Enc)'!$D$6:$D$998,"Inactive")&gt;0,"BLOCKED","CAN SELL"))</f>
        <v>BLOCKED</v>
      </c>
      <c r="G136" s="2" t="str">
        <f>IF($A136="","",IF(COUNTIFS('Blackout Brand Fam Areas (Enc)'!$B$6:$B$998,$A136,'Blackout Brand Fam Areas (Enc)'!$C$6:$C$998,G$1,'Blackout Brand Fam Areas (Enc)'!$D$6:$D$998,"Inactive")&gt;0,"BLOCKED","CAN SELL"))</f>
        <v>BLOCKED</v>
      </c>
      <c r="H136" s="2" t="str">
        <f>IF($A136="","",IF(COUNTIFS('Blackout Brand Fam Areas (Enc)'!$B$6:$B$998,$A136,'Blackout Brand Fam Areas (Enc)'!$C$6:$C$998,H$1,'Blackout Brand Fam Areas (Enc)'!$D$6:$D$998,"Inactive")&gt;0,"BLOCKED","CAN SELL"))</f>
        <v>CAN SELL</v>
      </c>
      <c r="I136" s="2" t="str">
        <f>IF($A136="","",IF(COUNTIFS('Blackout Brand Fam Areas (Enc)'!$B$6:$B$998,$A136,'Blackout Brand Fam Areas (Enc)'!$C$6:$C$998,I$1,'Blackout Brand Fam Areas (Enc)'!$D$6:$D$998,"Inactive")&gt;0,"BLOCKED","CAN SELL"))</f>
        <v>CAN SELL</v>
      </c>
      <c r="J136" s="2" t="str">
        <f>IF($A136="","",IF(COUNTIFS('Blackout Brand Fam Areas (Enc)'!$B$6:$B$998,$A136,'Blackout Brand Fam Areas (Enc)'!$C$6:$C$998,J$1,'Blackout Brand Fam Areas (Enc)'!$D$6:$D$998,"Inactive")&gt;0,"BLOCKED","CAN SELL"))</f>
        <v>BLOCKED</v>
      </c>
      <c r="K136" s="2" t="str">
        <f>IF($A136="","",IF(COUNTIFS('Blackout Brand Fam Areas (Enc)'!$B$6:$B$998,$A136,'Blackout Brand Fam Areas (Enc)'!$C$6:$C$998,K$1,'Blackout Brand Fam Areas (Enc)'!$D$6:$D$998,"Inactive")&gt;0,"BLOCKED","CAN SELL"))</f>
        <v>CAN SELL</v>
      </c>
    </row>
    <row r="137" spans="1:11" x14ac:dyDescent="0.2">
      <c r="A137" s="2" t="str">
        <v>Modelo Chelada</v>
      </c>
      <c r="B137" s="2" t="str">
        <f>IF($A137="","",IF(COUNTIFS('Blackout Brand Fam Areas (Enc)'!$B$6:$B$998,$A137,'Blackout Brand Fam Areas (Enc)'!$C$6:$C$998,B$1,'Blackout Brand Fam Areas (Enc)'!$D$6:$D$998,"Inactive")&gt;0,"BLOCKED","CAN SELL"))</f>
        <v>CAN SELL</v>
      </c>
      <c r="C137" s="2" t="str">
        <f>IF($A137="","",IF(COUNTIFS('Blackout Brand Fam Areas (Enc)'!$B$6:$B$998,$A137,'Blackout Brand Fam Areas (Enc)'!$C$6:$C$998,C$1,'Blackout Brand Fam Areas (Enc)'!$D$6:$D$998,"Inactive")&gt;0,"BLOCKED","CAN SELL"))</f>
        <v>CAN SELL</v>
      </c>
      <c r="D137" s="2" t="str">
        <f>IF($A137="","",IF(COUNTIFS('Blackout Brand Fam Areas (Enc)'!$B$6:$B$998,$A137,'Blackout Brand Fam Areas (Enc)'!$C$6:$C$998,D$1,'Blackout Brand Fam Areas (Enc)'!$D$6:$D$998,"Inactive")&gt;0,"BLOCKED","CAN SELL"))</f>
        <v>CAN SELL</v>
      </c>
      <c r="E137" s="2" t="str">
        <f>IF($A137="","",IF(COUNTIFS('Blackout Brand Fam Areas (Enc)'!$B$6:$B$998,$A137,'Blackout Brand Fam Areas (Enc)'!$C$6:$C$998,E$1,'Blackout Brand Fam Areas (Enc)'!$D$6:$D$998,"Inactive")&gt;0,"BLOCKED","CAN SELL"))</f>
        <v>BLOCKED</v>
      </c>
      <c r="F137" s="2" t="str">
        <f>IF($A137="","",IF(COUNTIFS('Blackout Brand Fam Areas (Enc)'!$B$6:$B$998,$A137,'Blackout Brand Fam Areas (Enc)'!$C$6:$C$998,F$1,'Blackout Brand Fam Areas (Enc)'!$D$6:$D$998,"Inactive")&gt;0,"BLOCKED","CAN SELL"))</f>
        <v>BLOCKED</v>
      </c>
      <c r="G137" s="2" t="str">
        <f>IF($A137="","",IF(COUNTIFS('Blackout Brand Fam Areas (Enc)'!$B$6:$B$998,$A137,'Blackout Brand Fam Areas (Enc)'!$C$6:$C$998,G$1,'Blackout Brand Fam Areas (Enc)'!$D$6:$D$998,"Inactive")&gt;0,"BLOCKED","CAN SELL"))</f>
        <v>BLOCKED</v>
      </c>
      <c r="H137" s="2" t="str">
        <f>IF($A137="","",IF(COUNTIFS('Blackout Brand Fam Areas (Enc)'!$B$6:$B$998,$A137,'Blackout Brand Fam Areas (Enc)'!$C$6:$C$998,H$1,'Blackout Brand Fam Areas (Enc)'!$D$6:$D$998,"Inactive")&gt;0,"BLOCKED","CAN SELL"))</f>
        <v>CAN SELL</v>
      </c>
      <c r="I137" s="2" t="str">
        <f>IF($A137="","",IF(COUNTIFS('Blackout Brand Fam Areas (Enc)'!$B$6:$B$998,$A137,'Blackout Brand Fam Areas (Enc)'!$C$6:$C$998,I$1,'Blackout Brand Fam Areas (Enc)'!$D$6:$D$998,"Inactive")&gt;0,"BLOCKED","CAN SELL"))</f>
        <v>CAN SELL</v>
      </c>
      <c r="J137" s="2" t="str">
        <f>IF($A137="","",IF(COUNTIFS('Blackout Brand Fam Areas (Enc)'!$B$6:$B$998,$A137,'Blackout Brand Fam Areas (Enc)'!$C$6:$C$998,J$1,'Blackout Brand Fam Areas (Enc)'!$D$6:$D$998,"Inactive")&gt;0,"BLOCKED","CAN SELL"))</f>
        <v>BLOCKED</v>
      </c>
      <c r="K137" s="2" t="str">
        <f>IF($A137="","",IF(COUNTIFS('Blackout Brand Fam Areas (Enc)'!$B$6:$B$998,$A137,'Blackout Brand Fam Areas (Enc)'!$C$6:$C$998,K$1,'Blackout Brand Fam Areas (Enc)'!$D$6:$D$998,"Inactive")&gt;0,"BLOCKED","CAN SELL"))</f>
        <v>CAN SELL</v>
      </c>
    </row>
    <row r="138" spans="1:11" x14ac:dyDescent="0.2">
      <c r="A138" s="2" t="str">
        <v>Modelo Especial</v>
      </c>
      <c r="B138" s="2" t="str">
        <f>IF($A138="","",IF(COUNTIFS('Blackout Brand Fam Areas (Enc)'!$B$6:$B$998,$A138,'Blackout Brand Fam Areas (Enc)'!$C$6:$C$998,B$1,'Blackout Brand Fam Areas (Enc)'!$D$6:$D$998,"Inactive")&gt;0,"BLOCKED","CAN SELL"))</f>
        <v>CAN SELL</v>
      </c>
      <c r="C138" s="2" t="str">
        <f>IF($A138="","",IF(COUNTIFS('Blackout Brand Fam Areas (Enc)'!$B$6:$B$998,$A138,'Blackout Brand Fam Areas (Enc)'!$C$6:$C$998,C$1,'Blackout Brand Fam Areas (Enc)'!$D$6:$D$998,"Inactive")&gt;0,"BLOCKED","CAN SELL"))</f>
        <v>CAN SELL</v>
      </c>
      <c r="D138" s="2" t="str">
        <f>IF($A138="","",IF(COUNTIFS('Blackout Brand Fam Areas (Enc)'!$B$6:$B$998,$A138,'Blackout Brand Fam Areas (Enc)'!$C$6:$C$998,D$1,'Blackout Brand Fam Areas (Enc)'!$D$6:$D$998,"Inactive")&gt;0,"BLOCKED","CAN SELL"))</f>
        <v>CAN SELL</v>
      </c>
      <c r="E138" s="2" t="str">
        <f>IF($A138="","",IF(COUNTIFS('Blackout Brand Fam Areas (Enc)'!$B$6:$B$998,$A138,'Blackout Brand Fam Areas (Enc)'!$C$6:$C$998,E$1,'Blackout Brand Fam Areas (Enc)'!$D$6:$D$998,"Inactive")&gt;0,"BLOCKED","CAN SELL"))</f>
        <v>BLOCKED</v>
      </c>
      <c r="F138" s="2" t="str">
        <f>IF($A138="","",IF(COUNTIFS('Blackout Brand Fam Areas (Enc)'!$B$6:$B$998,$A138,'Blackout Brand Fam Areas (Enc)'!$C$6:$C$998,F$1,'Blackout Brand Fam Areas (Enc)'!$D$6:$D$998,"Inactive")&gt;0,"BLOCKED","CAN SELL"))</f>
        <v>BLOCKED</v>
      </c>
      <c r="G138" s="2" t="str">
        <f>IF($A138="","",IF(COUNTIFS('Blackout Brand Fam Areas (Enc)'!$B$6:$B$998,$A138,'Blackout Brand Fam Areas (Enc)'!$C$6:$C$998,G$1,'Blackout Brand Fam Areas (Enc)'!$D$6:$D$998,"Inactive")&gt;0,"BLOCKED","CAN SELL"))</f>
        <v>BLOCKED</v>
      </c>
      <c r="H138" s="2" t="str">
        <f>IF($A138="","",IF(COUNTIFS('Blackout Brand Fam Areas (Enc)'!$B$6:$B$998,$A138,'Blackout Brand Fam Areas (Enc)'!$C$6:$C$998,H$1,'Blackout Brand Fam Areas (Enc)'!$D$6:$D$998,"Inactive")&gt;0,"BLOCKED","CAN SELL"))</f>
        <v>CAN SELL</v>
      </c>
      <c r="I138" s="2" t="str">
        <f>IF($A138="","",IF(COUNTIFS('Blackout Brand Fam Areas (Enc)'!$B$6:$B$998,$A138,'Blackout Brand Fam Areas (Enc)'!$C$6:$C$998,I$1,'Blackout Brand Fam Areas (Enc)'!$D$6:$D$998,"Inactive")&gt;0,"BLOCKED","CAN SELL"))</f>
        <v>CAN SELL</v>
      </c>
      <c r="J138" s="2" t="str">
        <f>IF($A138="","",IF(COUNTIFS('Blackout Brand Fam Areas (Enc)'!$B$6:$B$998,$A138,'Blackout Brand Fam Areas (Enc)'!$C$6:$C$998,J$1,'Blackout Brand Fam Areas (Enc)'!$D$6:$D$998,"Inactive")&gt;0,"BLOCKED","CAN SELL"))</f>
        <v>BLOCKED</v>
      </c>
      <c r="K138" s="2" t="str">
        <f>IF($A138="","",IF(COUNTIFS('Blackout Brand Fam Areas (Enc)'!$B$6:$B$998,$A138,'Blackout Brand Fam Areas (Enc)'!$C$6:$C$998,K$1,'Blackout Brand Fam Areas (Enc)'!$D$6:$D$998,"Inactive")&gt;0,"BLOCKED","CAN SELL"))</f>
        <v>CAN SELL</v>
      </c>
    </row>
    <row r="139" spans="1:11" x14ac:dyDescent="0.2">
      <c r="A139" s="2" t="str">
        <v>Modelo Negra</v>
      </c>
      <c r="B139" s="2" t="str">
        <f>IF($A139="","",IF(COUNTIFS('Blackout Brand Fam Areas (Enc)'!$B$6:$B$998,$A139,'Blackout Brand Fam Areas (Enc)'!$C$6:$C$998,B$1,'Blackout Brand Fam Areas (Enc)'!$D$6:$D$998,"Inactive")&gt;0,"BLOCKED","CAN SELL"))</f>
        <v>CAN SELL</v>
      </c>
      <c r="C139" s="2" t="str">
        <f>IF($A139="","",IF(COUNTIFS('Blackout Brand Fam Areas (Enc)'!$B$6:$B$998,$A139,'Blackout Brand Fam Areas (Enc)'!$C$6:$C$998,C$1,'Blackout Brand Fam Areas (Enc)'!$D$6:$D$998,"Inactive")&gt;0,"BLOCKED","CAN SELL"))</f>
        <v>CAN SELL</v>
      </c>
      <c r="D139" s="2" t="str">
        <f>IF($A139="","",IF(COUNTIFS('Blackout Brand Fam Areas (Enc)'!$B$6:$B$998,$A139,'Blackout Brand Fam Areas (Enc)'!$C$6:$C$998,D$1,'Blackout Brand Fam Areas (Enc)'!$D$6:$D$998,"Inactive")&gt;0,"BLOCKED","CAN SELL"))</f>
        <v>CAN SELL</v>
      </c>
      <c r="E139" s="2" t="str">
        <f>IF($A139="","",IF(COUNTIFS('Blackout Brand Fam Areas (Enc)'!$B$6:$B$998,$A139,'Blackout Brand Fam Areas (Enc)'!$C$6:$C$998,E$1,'Blackout Brand Fam Areas (Enc)'!$D$6:$D$998,"Inactive")&gt;0,"BLOCKED","CAN SELL"))</f>
        <v>BLOCKED</v>
      </c>
      <c r="F139" s="2" t="str">
        <f>IF($A139="","",IF(COUNTIFS('Blackout Brand Fam Areas (Enc)'!$B$6:$B$998,$A139,'Blackout Brand Fam Areas (Enc)'!$C$6:$C$998,F$1,'Blackout Brand Fam Areas (Enc)'!$D$6:$D$998,"Inactive")&gt;0,"BLOCKED","CAN SELL"))</f>
        <v>BLOCKED</v>
      </c>
      <c r="G139" s="2" t="str">
        <f>IF($A139="","",IF(COUNTIFS('Blackout Brand Fam Areas (Enc)'!$B$6:$B$998,$A139,'Blackout Brand Fam Areas (Enc)'!$C$6:$C$998,G$1,'Blackout Brand Fam Areas (Enc)'!$D$6:$D$998,"Inactive")&gt;0,"BLOCKED","CAN SELL"))</f>
        <v>BLOCKED</v>
      </c>
      <c r="H139" s="2" t="str">
        <f>IF($A139="","",IF(COUNTIFS('Blackout Brand Fam Areas (Enc)'!$B$6:$B$998,$A139,'Blackout Brand Fam Areas (Enc)'!$C$6:$C$998,H$1,'Blackout Brand Fam Areas (Enc)'!$D$6:$D$998,"Inactive")&gt;0,"BLOCKED","CAN SELL"))</f>
        <v>CAN SELL</v>
      </c>
      <c r="I139" s="2" t="str">
        <f>IF($A139="","",IF(COUNTIFS('Blackout Brand Fam Areas (Enc)'!$B$6:$B$998,$A139,'Blackout Brand Fam Areas (Enc)'!$C$6:$C$998,I$1,'Blackout Brand Fam Areas (Enc)'!$D$6:$D$998,"Inactive")&gt;0,"BLOCKED","CAN SELL"))</f>
        <v>CAN SELL</v>
      </c>
      <c r="J139" s="2" t="str">
        <f>IF($A139="","",IF(COUNTIFS('Blackout Brand Fam Areas (Enc)'!$B$6:$B$998,$A139,'Blackout Brand Fam Areas (Enc)'!$C$6:$C$998,J$1,'Blackout Brand Fam Areas (Enc)'!$D$6:$D$998,"Inactive")&gt;0,"BLOCKED","CAN SELL"))</f>
        <v>BLOCKED</v>
      </c>
      <c r="K139" s="2" t="str">
        <f>IF($A139="","",IF(COUNTIFS('Blackout Brand Fam Areas (Enc)'!$B$6:$B$998,$A139,'Blackout Brand Fam Areas (Enc)'!$C$6:$C$998,K$1,'Blackout Brand Fam Areas (Enc)'!$D$6:$D$998,"Inactive")&gt;0,"BLOCKED","CAN SELL"))</f>
        <v>CAN SELL</v>
      </c>
    </row>
    <row r="140" spans="1:11" x14ac:dyDescent="0.2">
      <c r="A140" s="2" t="str">
        <v>Modelo Oro</v>
      </c>
      <c r="B140" s="2" t="str">
        <f>IF($A140="","",IF(COUNTIFS('Blackout Brand Fam Areas (Enc)'!$B$6:$B$998,$A140,'Blackout Brand Fam Areas (Enc)'!$C$6:$C$998,B$1,'Blackout Brand Fam Areas (Enc)'!$D$6:$D$998,"Inactive")&gt;0,"BLOCKED","CAN SELL"))</f>
        <v>CAN SELL</v>
      </c>
      <c r="C140" s="2" t="str">
        <f>IF($A140="","",IF(COUNTIFS('Blackout Brand Fam Areas (Enc)'!$B$6:$B$998,$A140,'Blackout Brand Fam Areas (Enc)'!$C$6:$C$998,C$1,'Blackout Brand Fam Areas (Enc)'!$D$6:$D$998,"Inactive")&gt;0,"BLOCKED","CAN SELL"))</f>
        <v>CAN SELL</v>
      </c>
      <c r="D140" s="2" t="str">
        <f>IF($A140="","",IF(COUNTIFS('Blackout Brand Fam Areas (Enc)'!$B$6:$B$998,$A140,'Blackout Brand Fam Areas (Enc)'!$C$6:$C$998,D$1,'Blackout Brand Fam Areas (Enc)'!$D$6:$D$998,"Inactive")&gt;0,"BLOCKED","CAN SELL"))</f>
        <v>CAN SELL</v>
      </c>
      <c r="E140" s="2" t="str">
        <f>IF($A140="","",IF(COUNTIFS('Blackout Brand Fam Areas (Enc)'!$B$6:$B$998,$A140,'Blackout Brand Fam Areas (Enc)'!$C$6:$C$998,E$1,'Blackout Brand Fam Areas (Enc)'!$D$6:$D$998,"Inactive")&gt;0,"BLOCKED","CAN SELL"))</f>
        <v>BLOCKED</v>
      </c>
      <c r="F140" s="2" t="str">
        <f>IF($A140="","",IF(COUNTIFS('Blackout Brand Fam Areas (Enc)'!$B$6:$B$998,$A140,'Blackout Brand Fam Areas (Enc)'!$C$6:$C$998,F$1,'Blackout Brand Fam Areas (Enc)'!$D$6:$D$998,"Inactive")&gt;0,"BLOCKED","CAN SELL"))</f>
        <v>BLOCKED</v>
      </c>
      <c r="G140" s="2" t="str">
        <f>IF($A140="","",IF(COUNTIFS('Blackout Brand Fam Areas (Enc)'!$B$6:$B$998,$A140,'Blackout Brand Fam Areas (Enc)'!$C$6:$C$998,G$1,'Blackout Brand Fam Areas (Enc)'!$D$6:$D$998,"Inactive")&gt;0,"BLOCKED","CAN SELL"))</f>
        <v>BLOCKED</v>
      </c>
      <c r="H140" s="2" t="str">
        <f>IF($A140="","",IF(COUNTIFS('Blackout Brand Fam Areas (Enc)'!$B$6:$B$998,$A140,'Blackout Brand Fam Areas (Enc)'!$C$6:$C$998,H$1,'Blackout Brand Fam Areas (Enc)'!$D$6:$D$998,"Inactive")&gt;0,"BLOCKED","CAN SELL"))</f>
        <v>CAN SELL</v>
      </c>
      <c r="I140" s="2" t="str">
        <f>IF($A140="","",IF(COUNTIFS('Blackout Brand Fam Areas (Enc)'!$B$6:$B$998,$A140,'Blackout Brand Fam Areas (Enc)'!$C$6:$C$998,I$1,'Blackout Brand Fam Areas (Enc)'!$D$6:$D$998,"Inactive")&gt;0,"BLOCKED","CAN SELL"))</f>
        <v>CAN SELL</v>
      </c>
      <c r="J140" s="2" t="str">
        <f>IF($A140="","",IF(COUNTIFS('Blackout Brand Fam Areas (Enc)'!$B$6:$B$998,$A140,'Blackout Brand Fam Areas (Enc)'!$C$6:$C$998,J$1,'Blackout Brand Fam Areas (Enc)'!$D$6:$D$998,"Inactive")&gt;0,"BLOCKED","CAN SELL"))</f>
        <v>BLOCKED</v>
      </c>
      <c r="K140" s="2" t="str">
        <f>IF($A140="","",IF(COUNTIFS('Blackout Brand Fam Areas (Enc)'!$B$6:$B$998,$A140,'Blackout Brand Fam Areas (Enc)'!$C$6:$C$998,K$1,'Blackout Brand Fam Areas (Enc)'!$D$6:$D$998,"Inactive")&gt;0,"BLOCKED","CAN SELL"))</f>
        <v>CAN SELL</v>
      </c>
    </row>
    <row r="141" spans="1:11" x14ac:dyDescent="0.2">
      <c r="A141" s="2" t="str">
        <v>Molson</v>
      </c>
      <c r="B141" s="2" t="str">
        <f>IF($A141="","",IF(COUNTIFS('Blackout Brand Fam Areas (Enc)'!$B$6:$B$998,$A141,'Blackout Brand Fam Areas (Enc)'!$C$6:$C$998,B$1,'Blackout Brand Fam Areas (Enc)'!$D$6:$D$998,"Inactive")&gt;0,"BLOCKED","CAN SELL"))</f>
        <v>CAN SELL</v>
      </c>
      <c r="C141" s="2" t="str">
        <f>IF($A141="","",IF(COUNTIFS('Blackout Brand Fam Areas (Enc)'!$B$6:$B$998,$A141,'Blackout Brand Fam Areas (Enc)'!$C$6:$C$998,C$1,'Blackout Brand Fam Areas (Enc)'!$D$6:$D$998,"Inactive")&gt;0,"BLOCKED","CAN SELL"))</f>
        <v>CAN SELL</v>
      </c>
      <c r="D141" s="2" t="str">
        <f>IF($A141="","",IF(COUNTIFS('Blackout Brand Fam Areas (Enc)'!$B$6:$B$998,$A141,'Blackout Brand Fam Areas (Enc)'!$C$6:$C$998,D$1,'Blackout Brand Fam Areas (Enc)'!$D$6:$D$998,"Inactive")&gt;0,"BLOCKED","CAN SELL"))</f>
        <v>CAN SELL</v>
      </c>
      <c r="E141" s="2" t="str">
        <f>IF($A141="","",IF(COUNTIFS('Blackout Brand Fam Areas (Enc)'!$B$6:$B$998,$A141,'Blackout Brand Fam Areas (Enc)'!$C$6:$C$998,E$1,'Blackout Brand Fam Areas (Enc)'!$D$6:$D$998,"Inactive")&gt;0,"BLOCKED","CAN SELL"))</f>
        <v>BLOCKED</v>
      </c>
      <c r="F141" s="2" t="str">
        <f>IF($A141="","",IF(COUNTIFS('Blackout Brand Fam Areas (Enc)'!$B$6:$B$998,$A141,'Blackout Brand Fam Areas (Enc)'!$C$6:$C$998,F$1,'Blackout Brand Fam Areas (Enc)'!$D$6:$D$998,"Inactive")&gt;0,"BLOCKED","CAN SELL"))</f>
        <v>BLOCKED</v>
      </c>
      <c r="G141" s="2" t="str">
        <f>IF($A141="","",IF(COUNTIFS('Blackout Brand Fam Areas (Enc)'!$B$6:$B$998,$A141,'Blackout Brand Fam Areas (Enc)'!$C$6:$C$998,G$1,'Blackout Brand Fam Areas (Enc)'!$D$6:$D$998,"Inactive")&gt;0,"BLOCKED","CAN SELL"))</f>
        <v>BLOCKED</v>
      </c>
      <c r="H141" s="2" t="str">
        <f>IF($A141="","",IF(COUNTIFS('Blackout Brand Fam Areas (Enc)'!$B$6:$B$998,$A141,'Blackout Brand Fam Areas (Enc)'!$C$6:$C$998,H$1,'Blackout Brand Fam Areas (Enc)'!$D$6:$D$998,"Inactive")&gt;0,"BLOCKED","CAN SELL"))</f>
        <v>CAN SELL</v>
      </c>
      <c r="I141" s="2" t="str">
        <f>IF($A141="","",IF(COUNTIFS('Blackout Brand Fam Areas (Enc)'!$B$6:$B$998,$A141,'Blackout Brand Fam Areas (Enc)'!$C$6:$C$998,I$1,'Blackout Brand Fam Areas (Enc)'!$D$6:$D$998,"Inactive")&gt;0,"BLOCKED","CAN SELL"))</f>
        <v>CAN SELL</v>
      </c>
      <c r="J141" s="2" t="str">
        <f>IF($A141="","",IF(COUNTIFS('Blackout Brand Fam Areas (Enc)'!$B$6:$B$998,$A141,'Blackout Brand Fam Areas (Enc)'!$C$6:$C$998,J$1,'Blackout Brand Fam Areas (Enc)'!$D$6:$D$998,"Inactive")&gt;0,"BLOCKED","CAN SELL"))</f>
        <v>BLOCKED</v>
      </c>
      <c r="K141" s="2" t="str">
        <f>IF($A141="","",IF(COUNTIFS('Blackout Brand Fam Areas (Enc)'!$B$6:$B$998,$A141,'Blackout Brand Fam Areas (Enc)'!$C$6:$C$998,K$1,'Blackout Brand Fam Areas (Enc)'!$D$6:$D$998,"Inactive")&gt;0,"BLOCKED","CAN SELL"))</f>
        <v>CAN SELL</v>
      </c>
    </row>
    <row r="142" spans="1:11" x14ac:dyDescent="0.2">
      <c r="A142" s="2" t="str">
        <v>Monaco</v>
      </c>
      <c r="B142" s="2" t="str">
        <f>IF($A142="","",IF(COUNTIFS('Blackout Brand Fam Areas (Enc)'!$B$6:$B$998,$A142,'Blackout Brand Fam Areas (Enc)'!$C$6:$C$998,B$1,'Blackout Brand Fam Areas (Enc)'!$D$6:$D$998,"Inactive")&gt;0,"BLOCKED","CAN SELL"))</f>
        <v>CAN SELL</v>
      </c>
      <c r="C142" s="2" t="str">
        <f>IF($A142="","",IF(COUNTIFS('Blackout Brand Fam Areas (Enc)'!$B$6:$B$998,$A142,'Blackout Brand Fam Areas (Enc)'!$C$6:$C$998,C$1,'Blackout Brand Fam Areas (Enc)'!$D$6:$D$998,"Inactive")&gt;0,"BLOCKED","CAN SELL"))</f>
        <v>CAN SELL</v>
      </c>
      <c r="D142" s="2" t="str">
        <f>IF($A142="","",IF(COUNTIFS('Blackout Brand Fam Areas (Enc)'!$B$6:$B$998,$A142,'Blackout Brand Fam Areas (Enc)'!$C$6:$C$998,D$1,'Blackout Brand Fam Areas (Enc)'!$D$6:$D$998,"Inactive")&gt;0,"BLOCKED","CAN SELL"))</f>
        <v>CAN SELL</v>
      </c>
      <c r="E142" s="2" t="str">
        <f>IF($A142="","",IF(COUNTIFS('Blackout Brand Fam Areas (Enc)'!$B$6:$B$998,$A142,'Blackout Brand Fam Areas (Enc)'!$C$6:$C$998,E$1,'Blackout Brand Fam Areas (Enc)'!$D$6:$D$998,"Inactive")&gt;0,"BLOCKED","CAN SELL"))</f>
        <v>BLOCKED</v>
      </c>
      <c r="F142" s="2" t="str">
        <f>IF($A142="","",IF(COUNTIFS('Blackout Brand Fam Areas (Enc)'!$B$6:$B$998,$A142,'Blackout Brand Fam Areas (Enc)'!$C$6:$C$998,F$1,'Blackout Brand Fam Areas (Enc)'!$D$6:$D$998,"Inactive")&gt;0,"BLOCKED","CAN SELL"))</f>
        <v>BLOCKED</v>
      </c>
      <c r="G142" s="2" t="str">
        <f>IF($A142="","",IF(COUNTIFS('Blackout Brand Fam Areas (Enc)'!$B$6:$B$998,$A142,'Blackout Brand Fam Areas (Enc)'!$C$6:$C$998,G$1,'Blackout Brand Fam Areas (Enc)'!$D$6:$D$998,"Inactive")&gt;0,"BLOCKED","CAN SELL"))</f>
        <v>BLOCKED</v>
      </c>
      <c r="H142" s="2" t="str">
        <f>IF($A142="","",IF(COUNTIFS('Blackout Brand Fam Areas (Enc)'!$B$6:$B$998,$A142,'Blackout Brand Fam Areas (Enc)'!$C$6:$C$998,H$1,'Blackout Brand Fam Areas (Enc)'!$D$6:$D$998,"Inactive")&gt;0,"BLOCKED","CAN SELL"))</f>
        <v>CAN SELL</v>
      </c>
      <c r="I142" s="2" t="str">
        <f>IF($A142="","",IF(COUNTIFS('Blackout Brand Fam Areas (Enc)'!$B$6:$B$998,$A142,'Blackout Brand Fam Areas (Enc)'!$C$6:$C$998,I$1,'Blackout Brand Fam Areas (Enc)'!$D$6:$D$998,"Inactive")&gt;0,"BLOCKED","CAN SELL"))</f>
        <v>CAN SELL</v>
      </c>
      <c r="J142" s="2" t="str">
        <f>IF($A142="","",IF(COUNTIFS('Blackout Brand Fam Areas (Enc)'!$B$6:$B$998,$A142,'Blackout Brand Fam Areas (Enc)'!$C$6:$C$998,J$1,'Blackout Brand Fam Areas (Enc)'!$D$6:$D$998,"Inactive")&gt;0,"BLOCKED","CAN SELL"))</f>
        <v>BLOCKED</v>
      </c>
      <c r="K142" s="2" t="str">
        <f>IF($A142="","",IF(COUNTIFS('Blackout Brand Fam Areas (Enc)'!$B$6:$B$998,$A142,'Blackout Brand Fam Areas (Enc)'!$C$6:$C$998,K$1,'Blackout Brand Fam Areas (Enc)'!$D$6:$D$998,"Inactive")&gt;0,"BLOCKED","CAN SELL"))</f>
        <v>CAN SELL</v>
      </c>
    </row>
    <row r="143" spans="1:11" x14ac:dyDescent="0.2">
      <c r="A143" s="2" t="str">
        <v>Monkey Family</v>
      </c>
      <c r="B143" s="2" t="str">
        <f>IF($A143="","",IF(COUNTIFS('Blackout Brand Fam Areas (Enc)'!$B$6:$B$998,$A143,'Blackout Brand Fam Areas (Enc)'!$C$6:$C$998,B$1,'Blackout Brand Fam Areas (Enc)'!$D$6:$D$998,"Inactive")&gt;0,"BLOCKED","CAN SELL"))</f>
        <v>CAN SELL</v>
      </c>
      <c r="C143" s="2" t="str">
        <f>IF($A143="","",IF(COUNTIFS('Blackout Brand Fam Areas (Enc)'!$B$6:$B$998,$A143,'Blackout Brand Fam Areas (Enc)'!$C$6:$C$998,C$1,'Blackout Brand Fam Areas (Enc)'!$D$6:$D$998,"Inactive")&gt;0,"BLOCKED","CAN SELL"))</f>
        <v>CAN SELL</v>
      </c>
      <c r="D143" s="2" t="str">
        <f>IF($A143="","",IF(COUNTIFS('Blackout Brand Fam Areas (Enc)'!$B$6:$B$998,$A143,'Blackout Brand Fam Areas (Enc)'!$C$6:$C$998,D$1,'Blackout Brand Fam Areas (Enc)'!$D$6:$D$998,"Inactive")&gt;0,"BLOCKED","CAN SELL"))</f>
        <v>CAN SELL</v>
      </c>
      <c r="E143" s="2" t="str">
        <f>IF($A143="","",IF(COUNTIFS('Blackout Brand Fam Areas (Enc)'!$B$6:$B$998,$A143,'Blackout Brand Fam Areas (Enc)'!$C$6:$C$998,E$1,'Blackout Brand Fam Areas (Enc)'!$D$6:$D$998,"Inactive")&gt;0,"BLOCKED","CAN SELL"))</f>
        <v>CAN SELL</v>
      </c>
      <c r="F143" s="2" t="str">
        <f>IF($A143="","",IF(COUNTIFS('Blackout Brand Fam Areas (Enc)'!$B$6:$B$998,$A143,'Blackout Brand Fam Areas (Enc)'!$C$6:$C$998,F$1,'Blackout Brand Fam Areas (Enc)'!$D$6:$D$998,"Inactive")&gt;0,"BLOCKED","CAN SELL"))</f>
        <v>CAN SELL</v>
      </c>
      <c r="G143" s="2" t="str">
        <f>IF($A143="","",IF(COUNTIFS('Blackout Brand Fam Areas (Enc)'!$B$6:$B$998,$A143,'Blackout Brand Fam Areas (Enc)'!$C$6:$C$998,G$1,'Blackout Brand Fam Areas (Enc)'!$D$6:$D$998,"Inactive")&gt;0,"BLOCKED","CAN SELL"))</f>
        <v>BLOCKED</v>
      </c>
      <c r="H143" s="2" t="str">
        <f>IF($A143="","",IF(COUNTIFS('Blackout Brand Fam Areas (Enc)'!$B$6:$B$998,$A143,'Blackout Brand Fam Areas (Enc)'!$C$6:$C$998,H$1,'Blackout Brand Fam Areas (Enc)'!$D$6:$D$998,"Inactive")&gt;0,"BLOCKED","CAN SELL"))</f>
        <v>BLOCKED</v>
      </c>
      <c r="I143" s="2" t="str">
        <f>IF($A143="","",IF(COUNTIFS('Blackout Brand Fam Areas (Enc)'!$B$6:$B$998,$A143,'Blackout Brand Fam Areas (Enc)'!$C$6:$C$998,I$1,'Blackout Brand Fam Areas (Enc)'!$D$6:$D$998,"Inactive")&gt;0,"BLOCKED","CAN SELL"))</f>
        <v>CAN SELL</v>
      </c>
      <c r="J143" s="2" t="str">
        <f>IF($A143="","",IF(COUNTIFS('Blackout Brand Fam Areas (Enc)'!$B$6:$B$998,$A143,'Blackout Brand Fam Areas (Enc)'!$C$6:$C$998,J$1,'Blackout Brand Fam Areas (Enc)'!$D$6:$D$998,"Inactive")&gt;0,"BLOCKED","CAN SELL"))</f>
        <v>BLOCKED</v>
      </c>
      <c r="K143" s="2" t="str">
        <f>IF($A143="","",IF(COUNTIFS('Blackout Brand Fam Areas (Enc)'!$B$6:$B$998,$A143,'Blackout Brand Fam Areas (Enc)'!$C$6:$C$998,K$1,'Blackout Brand Fam Areas (Enc)'!$D$6:$D$998,"Inactive")&gt;0,"BLOCKED","CAN SELL"))</f>
        <v>BLOCKED</v>
      </c>
    </row>
    <row r="144" spans="1:11" x14ac:dyDescent="0.2">
      <c r="A144" s="2" t="str">
        <v>Moosehead</v>
      </c>
      <c r="B144" s="2" t="str">
        <f>IF($A144="","",IF(COUNTIFS('Blackout Brand Fam Areas (Enc)'!$B$6:$B$998,$A144,'Blackout Brand Fam Areas (Enc)'!$C$6:$C$998,B$1,'Blackout Brand Fam Areas (Enc)'!$D$6:$D$998,"Inactive")&gt;0,"BLOCKED","CAN SELL"))</f>
        <v>CAN SELL</v>
      </c>
      <c r="C144" s="2" t="str">
        <f>IF($A144="","",IF(COUNTIFS('Blackout Brand Fam Areas (Enc)'!$B$6:$B$998,$A144,'Blackout Brand Fam Areas (Enc)'!$C$6:$C$998,C$1,'Blackout Brand Fam Areas (Enc)'!$D$6:$D$998,"Inactive")&gt;0,"BLOCKED","CAN SELL"))</f>
        <v>CAN SELL</v>
      </c>
      <c r="D144" s="2" t="str">
        <f>IF($A144="","",IF(COUNTIFS('Blackout Brand Fam Areas (Enc)'!$B$6:$B$998,$A144,'Blackout Brand Fam Areas (Enc)'!$C$6:$C$998,D$1,'Blackout Brand Fam Areas (Enc)'!$D$6:$D$998,"Inactive")&gt;0,"BLOCKED","CAN SELL"))</f>
        <v>CAN SELL</v>
      </c>
      <c r="E144" s="2" t="str">
        <f>IF($A144="","",IF(COUNTIFS('Blackout Brand Fam Areas (Enc)'!$B$6:$B$998,$A144,'Blackout Brand Fam Areas (Enc)'!$C$6:$C$998,E$1,'Blackout Brand Fam Areas (Enc)'!$D$6:$D$998,"Inactive")&gt;0,"BLOCKED","CAN SELL"))</f>
        <v>BLOCKED</v>
      </c>
      <c r="F144" s="2" t="str">
        <f>IF($A144="","",IF(COUNTIFS('Blackout Brand Fam Areas (Enc)'!$B$6:$B$998,$A144,'Blackout Brand Fam Areas (Enc)'!$C$6:$C$998,F$1,'Blackout Brand Fam Areas (Enc)'!$D$6:$D$998,"Inactive")&gt;0,"BLOCKED","CAN SELL"))</f>
        <v>BLOCKED</v>
      </c>
      <c r="G144" s="2" t="str">
        <f>IF($A144="","",IF(COUNTIFS('Blackout Brand Fam Areas (Enc)'!$B$6:$B$998,$A144,'Blackout Brand Fam Areas (Enc)'!$C$6:$C$998,G$1,'Blackout Brand Fam Areas (Enc)'!$D$6:$D$998,"Inactive")&gt;0,"BLOCKED","CAN SELL"))</f>
        <v>BLOCKED</v>
      </c>
      <c r="H144" s="2" t="str">
        <f>IF($A144="","",IF(COUNTIFS('Blackout Brand Fam Areas (Enc)'!$B$6:$B$998,$A144,'Blackout Brand Fam Areas (Enc)'!$C$6:$C$998,H$1,'Blackout Brand Fam Areas (Enc)'!$D$6:$D$998,"Inactive")&gt;0,"BLOCKED","CAN SELL"))</f>
        <v>CAN SELL</v>
      </c>
      <c r="I144" s="2" t="str">
        <f>IF($A144="","",IF(COUNTIFS('Blackout Brand Fam Areas (Enc)'!$B$6:$B$998,$A144,'Blackout Brand Fam Areas (Enc)'!$C$6:$C$998,I$1,'Blackout Brand Fam Areas (Enc)'!$D$6:$D$998,"Inactive")&gt;0,"BLOCKED","CAN SELL"))</f>
        <v>CAN SELL</v>
      </c>
      <c r="J144" s="2" t="str">
        <f>IF($A144="","",IF(COUNTIFS('Blackout Brand Fam Areas (Enc)'!$B$6:$B$998,$A144,'Blackout Brand Fam Areas (Enc)'!$C$6:$C$998,J$1,'Blackout Brand Fam Areas (Enc)'!$D$6:$D$998,"Inactive")&gt;0,"BLOCKED","CAN SELL"))</f>
        <v>BLOCKED</v>
      </c>
      <c r="K144" s="2" t="str">
        <f>IF($A144="","",IF(COUNTIFS('Blackout Brand Fam Areas (Enc)'!$B$6:$B$998,$A144,'Blackout Brand Fam Areas (Enc)'!$C$6:$C$998,K$1,'Blackout Brand Fam Areas (Enc)'!$D$6:$D$998,"Inactive")&gt;0,"BLOCKED","CAN SELL"))</f>
        <v>CAN SELL</v>
      </c>
    </row>
    <row r="145" spans="1:11" x14ac:dyDescent="0.2">
      <c r="A145" s="2" t="str">
        <v>Moskato</v>
      </c>
      <c r="B145" s="2" t="str">
        <f>IF($A145="","",IF(COUNTIFS('Blackout Brand Fam Areas (Enc)'!$B$6:$B$998,$A145,'Blackout Brand Fam Areas (Enc)'!$C$6:$C$998,B$1,'Blackout Brand Fam Areas (Enc)'!$D$6:$D$998,"Inactive")&gt;0,"BLOCKED","CAN SELL"))</f>
        <v>CAN SELL</v>
      </c>
      <c r="C145" s="2" t="str">
        <f>IF($A145="","",IF(COUNTIFS('Blackout Brand Fam Areas (Enc)'!$B$6:$B$998,$A145,'Blackout Brand Fam Areas (Enc)'!$C$6:$C$998,C$1,'Blackout Brand Fam Areas (Enc)'!$D$6:$D$998,"Inactive")&gt;0,"BLOCKED","CAN SELL"))</f>
        <v>CAN SELL</v>
      </c>
      <c r="D145" s="2" t="str">
        <f>IF($A145="","",IF(COUNTIFS('Blackout Brand Fam Areas (Enc)'!$B$6:$B$998,$A145,'Blackout Brand Fam Areas (Enc)'!$C$6:$C$998,D$1,'Blackout Brand Fam Areas (Enc)'!$D$6:$D$998,"Inactive")&gt;0,"BLOCKED","CAN SELL"))</f>
        <v>CAN SELL</v>
      </c>
      <c r="E145" s="2" t="str">
        <f>IF($A145="","",IF(COUNTIFS('Blackout Brand Fam Areas (Enc)'!$B$6:$B$998,$A145,'Blackout Brand Fam Areas (Enc)'!$C$6:$C$998,E$1,'Blackout Brand Fam Areas (Enc)'!$D$6:$D$998,"Inactive")&gt;0,"BLOCKED","CAN SELL"))</f>
        <v>BLOCKED</v>
      </c>
      <c r="F145" s="2" t="str">
        <f>IF($A145="","",IF(COUNTIFS('Blackout Brand Fam Areas (Enc)'!$B$6:$B$998,$A145,'Blackout Brand Fam Areas (Enc)'!$C$6:$C$998,F$1,'Blackout Brand Fam Areas (Enc)'!$D$6:$D$998,"Inactive")&gt;0,"BLOCKED","CAN SELL"))</f>
        <v>CAN SELL</v>
      </c>
      <c r="G145" s="2" t="str">
        <f>IF($A145="","",IF(COUNTIFS('Blackout Brand Fam Areas (Enc)'!$B$6:$B$998,$A145,'Blackout Brand Fam Areas (Enc)'!$C$6:$C$998,G$1,'Blackout Brand Fam Areas (Enc)'!$D$6:$D$998,"Inactive")&gt;0,"BLOCKED","CAN SELL"))</f>
        <v>BLOCKED</v>
      </c>
      <c r="H145" s="2" t="str">
        <f>IF($A145="","",IF(COUNTIFS('Blackout Brand Fam Areas (Enc)'!$B$6:$B$998,$A145,'Blackout Brand Fam Areas (Enc)'!$C$6:$C$998,H$1,'Blackout Brand Fam Areas (Enc)'!$D$6:$D$998,"Inactive")&gt;0,"BLOCKED","CAN SELL"))</f>
        <v>CAN SELL</v>
      </c>
      <c r="I145" s="2" t="str">
        <f>IF($A145="","",IF(COUNTIFS('Blackout Brand Fam Areas (Enc)'!$B$6:$B$998,$A145,'Blackout Brand Fam Areas (Enc)'!$C$6:$C$998,I$1,'Blackout Brand Fam Areas (Enc)'!$D$6:$D$998,"Inactive")&gt;0,"BLOCKED","CAN SELL"))</f>
        <v>CAN SELL</v>
      </c>
      <c r="J145" s="2" t="str">
        <f>IF($A145="","",IF(COUNTIFS('Blackout Brand Fam Areas (Enc)'!$B$6:$B$998,$A145,'Blackout Brand Fam Areas (Enc)'!$C$6:$C$998,J$1,'Blackout Brand Fam Areas (Enc)'!$D$6:$D$998,"Inactive")&gt;0,"BLOCKED","CAN SELL"))</f>
        <v>BLOCKED</v>
      </c>
      <c r="K145" s="2" t="str">
        <f>IF($A145="","",IF(COUNTIFS('Blackout Brand Fam Areas (Enc)'!$B$6:$B$998,$A145,'Blackout Brand Fam Areas (Enc)'!$C$6:$C$998,K$1,'Blackout Brand Fam Areas (Enc)'!$D$6:$D$998,"Inactive")&gt;0,"BLOCKED","CAN SELL"))</f>
        <v>CAN SELL</v>
      </c>
    </row>
    <row r="146" spans="1:11" x14ac:dyDescent="0.2">
      <c r="A146" s="2" t="str">
        <v>Movo</v>
      </c>
      <c r="B146" s="2" t="str">
        <f>IF($A146="","",IF(COUNTIFS('Blackout Brand Fam Areas (Enc)'!$B$6:$B$998,$A146,'Blackout Brand Fam Areas (Enc)'!$C$6:$C$998,B$1,'Blackout Brand Fam Areas (Enc)'!$D$6:$D$998,"Inactive")&gt;0,"BLOCKED","CAN SELL"))</f>
        <v>CAN SELL</v>
      </c>
      <c r="C146" s="2" t="str">
        <f>IF($A146="","",IF(COUNTIFS('Blackout Brand Fam Areas (Enc)'!$B$6:$B$998,$A146,'Blackout Brand Fam Areas (Enc)'!$C$6:$C$998,C$1,'Blackout Brand Fam Areas (Enc)'!$D$6:$D$998,"Inactive")&gt;0,"BLOCKED","CAN SELL"))</f>
        <v>CAN SELL</v>
      </c>
      <c r="D146" s="2" t="str">
        <f>IF($A146="","",IF(COUNTIFS('Blackout Brand Fam Areas (Enc)'!$B$6:$B$998,$A146,'Blackout Brand Fam Areas (Enc)'!$C$6:$C$998,D$1,'Blackout Brand Fam Areas (Enc)'!$D$6:$D$998,"Inactive")&gt;0,"BLOCKED","CAN SELL"))</f>
        <v>CAN SELL</v>
      </c>
      <c r="E146" s="2" t="str">
        <f>IF($A146="","",IF(COUNTIFS('Blackout Brand Fam Areas (Enc)'!$B$6:$B$998,$A146,'Blackout Brand Fam Areas (Enc)'!$C$6:$C$998,E$1,'Blackout Brand Fam Areas (Enc)'!$D$6:$D$998,"Inactive")&gt;0,"BLOCKED","CAN SELL"))</f>
        <v>BLOCKED</v>
      </c>
      <c r="F146" s="2" t="str">
        <f>IF($A146="","",IF(COUNTIFS('Blackout Brand Fam Areas (Enc)'!$B$6:$B$998,$A146,'Blackout Brand Fam Areas (Enc)'!$C$6:$C$998,F$1,'Blackout Brand Fam Areas (Enc)'!$D$6:$D$998,"Inactive")&gt;0,"BLOCKED","CAN SELL"))</f>
        <v>BLOCKED</v>
      </c>
      <c r="G146" s="2" t="str">
        <f>IF($A146="","",IF(COUNTIFS('Blackout Brand Fam Areas (Enc)'!$B$6:$B$998,$A146,'Blackout Brand Fam Areas (Enc)'!$C$6:$C$998,G$1,'Blackout Brand Fam Areas (Enc)'!$D$6:$D$998,"Inactive")&gt;0,"BLOCKED","CAN SELL"))</f>
        <v>BLOCKED</v>
      </c>
      <c r="H146" s="2" t="str">
        <f>IF($A146="","",IF(COUNTIFS('Blackout Brand Fam Areas (Enc)'!$B$6:$B$998,$A146,'Blackout Brand Fam Areas (Enc)'!$C$6:$C$998,H$1,'Blackout Brand Fam Areas (Enc)'!$D$6:$D$998,"Inactive")&gt;0,"BLOCKED","CAN SELL"))</f>
        <v>CAN SELL</v>
      </c>
      <c r="I146" s="2" t="str">
        <f>IF($A146="","",IF(COUNTIFS('Blackout Brand Fam Areas (Enc)'!$B$6:$B$998,$A146,'Blackout Brand Fam Areas (Enc)'!$C$6:$C$998,I$1,'Blackout Brand Fam Areas (Enc)'!$D$6:$D$998,"Inactive")&gt;0,"BLOCKED","CAN SELL"))</f>
        <v>CAN SELL</v>
      </c>
      <c r="J146" s="2" t="str">
        <f>IF($A146="","",IF(COUNTIFS('Blackout Brand Fam Areas (Enc)'!$B$6:$B$998,$A146,'Blackout Brand Fam Areas (Enc)'!$C$6:$C$998,J$1,'Blackout Brand Fam Areas (Enc)'!$D$6:$D$998,"Inactive")&gt;0,"BLOCKED","CAN SELL"))</f>
        <v>BLOCKED</v>
      </c>
      <c r="K146" s="2" t="str">
        <f>IF($A146="","",IF(COUNTIFS('Blackout Brand Fam Areas (Enc)'!$B$6:$B$998,$A146,'Blackout Brand Fam Areas (Enc)'!$C$6:$C$998,K$1,'Blackout Brand Fam Areas (Enc)'!$D$6:$D$998,"Inactive")&gt;0,"BLOCKED","CAN SELL"))</f>
        <v>CAN SELL</v>
      </c>
    </row>
    <row r="147" spans="1:11" x14ac:dyDescent="0.2">
      <c r="A147" s="2" t="str">
        <v>Murphy's</v>
      </c>
      <c r="B147" s="2" t="str">
        <f>IF($A147="","",IF(COUNTIFS('Blackout Brand Fam Areas (Enc)'!$B$6:$B$998,$A147,'Blackout Brand Fam Areas (Enc)'!$C$6:$C$998,B$1,'Blackout Brand Fam Areas (Enc)'!$D$6:$D$998,"Inactive")&gt;0,"BLOCKED","CAN SELL"))</f>
        <v>CAN SELL</v>
      </c>
      <c r="C147" s="2" t="str">
        <f>IF($A147="","",IF(COUNTIFS('Blackout Brand Fam Areas (Enc)'!$B$6:$B$998,$A147,'Blackout Brand Fam Areas (Enc)'!$C$6:$C$998,C$1,'Blackout Brand Fam Areas (Enc)'!$D$6:$D$998,"Inactive")&gt;0,"BLOCKED","CAN SELL"))</f>
        <v>CAN SELL</v>
      </c>
      <c r="D147" s="2" t="str">
        <f>IF($A147="","",IF(COUNTIFS('Blackout Brand Fam Areas (Enc)'!$B$6:$B$998,$A147,'Blackout Brand Fam Areas (Enc)'!$C$6:$C$998,D$1,'Blackout Brand Fam Areas (Enc)'!$D$6:$D$998,"Inactive")&gt;0,"BLOCKED","CAN SELL"))</f>
        <v>CAN SELL</v>
      </c>
      <c r="E147" s="2" t="str">
        <f>IF($A147="","",IF(COUNTIFS('Blackout Brand Fam Areas (Enc)'!$B$6:$B$998,$A147,'Blackout Brand Fam Areas (Enc)'!$C$6:$C$998,E$1,'Blackout Brand Fam Areas (Enc)'!$D$6:$D$998,"Inactive")&gt;0,"BLOCKED","CAN SELL"))</f>
        <v>BLOCKED</v>
      </c>
      <c r="F147" s="2" t="str">
        <f>IF($A147="","",IF(COUNTIFS('Blackout Brand Fam Areas (Enc)'!$B$6:$B$998,$A147,'Blackout Brand Fam Areas (Enc)'!$C$6:$C$998,F$1,'Blackout Brand Fam Areas (Enc)'!$D$6:$D$998,"Inactive")&gt;0,"BLOCKED","CAN SELL"))</f>
        <v>BLOCKED</v>
      </c>
      <c r="G147" s="2" t="str">
        <f>IF($A147="","",IF(COUNTIFS('Blackout Brand Fam Areas (Enc)'!$B$6:$B$998,$A147,'Blackout Brand Fam Areas (Enc)'!$C$6:$C$998,G$1,'Blackout Brand Fam Areas (Enc)'!$D$6:$D$998,"Inactive")&gt;0,"BLOCKED","CAN SELL"))</f>
        <v>BLOCKED</v>
      </c>
      <c r="H147" s="2" t="str">
        <f>IF($A147="","",IF(COUNTIFS('Blackout Brand Fam Areas (Enc)'!$B$6:$B$998,$A147,'Blackout Brand Fam Areas (Enc)'!$C$6:$C$998,H$1,'Blackout Brand Fam Areas (Enc)'!$D$6:$D$998,"Inactive")&gt;0,"BLOCKED","CAN SELL"))</f>
        <v>BLOCKED</v>
      </c>
      <c r="I147" s="2" t="str">
        <f>IF($A147="","",IF(COUNTIFS('Blackout Brand Fam Areas (Enc)'!$B$6:$B$998,$A147,'Blackout Brand Fam Areas (Enc)'!$C$6:$C$998,I$1,'Blackout Brand Fam Areas (Enc)'!$D$6:$D$998,"Inactive")&gt;0,"BLOCKED","CAN SELL"))</f>
        <v>BLOCKED</v>
      </c>
      <c r="J147" s="2" t="str">
        <f>IF($A147="","",IF(COUNTIFS('Blackout Brand Fam Areas (Enc)'!$B$6:$B$998,$A147,'Blackout Brand Fam Areas (Enc)'!$C$6:$C$998,J$1,'Blackout Brand Fam Areas (Enc)'!$D$6:$D$998,"Inactive")&gt;0,"BLOCKED","CAN SELL"))</f>
        <v>BLOCKED</v>
      </c>
      <c r="K147" s="2" t="str">
        <f>IF($A147="","",IF(COUNTIFS('Blackout Brand Fam Areas (Enc)'!$B$6:$B$998,$A147,'Blackout Brand Fam Areas (Enc)'!$C$6:$C$998,K$1,'Blackout Brand Fam Areas (Enc)'!$D$6:$D$998,"Inactive")&gt;0,"BLOCKED","CAN SELL"))</f>
        <v>CAN SELL</v>
      </c>
    </row>
    <row r="148" spans="1:11" x14ac:dyDescent="0.2">
      <c r="A148" s="2" t="str">
        <v>Mxd Cocktails</v>
      </c>
      <c r="B148" s="2" t="str">
        <f>IF($A148="","",IF(COUNTIFS('Blackout Brand Fam Areas (Enc)'!$B$6:$B$998,$A148,'Blackout Brand Fam Areas (Enc)'!$C$6:$C$998,B$1,'Blackout Brand Fam Areas (Enc)'!$D$6:$D$998,"Inactive")&gt;0,"BLOCKED","CAN SELL"))</f>
        <v>CAN SELL</v>
      </c>
      <c r="C148" s="2" t="str">
        <f>IF($A148="","",IF(COUNTIFS('Blackout Brand Fam Areas (Enc)'!$B$6:$B$998,$A148,'Blackout Brand Fam Areas (Enc)'!$C$6:$C$998,C$1,'Blackout Brand Fam Areas (Enc)'!$D$6:$D$998,"Inactive")&gt;0,"BLOCKED","CAN SELL"))</f>
        <v>CAN SELL</v>
      </c>
      <c r="D148" s="2" t="str">
        <f>IF($A148="","",IF(COUNTIFS('Blackout Brand Fam Areas (Enc)'!$B$6:$B$998,$A148,'Blackout Brand Fam Areas (Enc)'!$C$6:$C$998,D$1,'Blackout Brand Fam Areas (Enc)'!$D$6:$D$998,"Inactive")&gt;0,"BLOCKED","CAN SELL"))</f>
        <v>CAN SELL</v>
      </c>
      <c r="E148" s="2" t="str">
        <f>IF($A148="","",IF(COUNTIFS('Blackout Brand Fam Areas (Enc)'!$B$6:$B$998,$A148,'Blackout Brand Fam Areas (Enc)'!$C$6:$C$998,E$1,'Blackout Brand Fam Areas (Enc)'!$D$6:$D$998,"Inactive")&gt;0,"BLOCKED","CAN SELL"))</f>
        <v>BLOCKED</v>
      </c>
      <c r="F148" s="2" t="str">
        <f>IF($A148="","",IF(COUNTIFS('Blackout Brand Fam Areas (Enc)'!$B$6:$B$998,$A148,'Blackout Brand Fam Areas (Enc)'!$C$6:$C$998,F$1,'Blackout Brand Fam Areas (Enc)'!$D$6:$D$998,"Inactive")&gt;0,"BLOCKED","CAN SELL"))</f>
        <v>BLOCKED</v>
      </c>
      <c r="G148" s="2" t="str">
        <f>IF($A148="","",IF(COUNTIFS('Blackout Brand Fam Areas (Enc)'!$B$6:$B$998,$A148,'Blackout Brand Fam Areas (Enc)'!$C$6:$C$998,G$1,'Blackout Brand Fam Areas (Enc)'!$D$6:$D$998,"Inactive")&gt;0,"BLOCKED","CAN SELL"))</f>
        <v>BLOCKED</v>
      </c>
      <c r="H148" s="2" t="str">
        <f>IF($A148="","",IF(COUNTIFS('Blackout Brand Fam Areas (Enc)'!$B$6:$B$998,$A148,'Blackout Brand Fam Areas (Enc)'!$C$6:$C$998,H$1,'Blackout Brand Fam Areas (Enc)'!$D$6:$D$998,"Inactive")&gt;0,"BLOCKED","CAN SELL"))</f>
        <v>CAN SELL</v>
      </c>
      <c r="I148" s="2" t="str">
        <f>IF($A148="","",IF(COUNTIFS('Blackout Brand Fam Areas (Enc)'!$B$6:$B$998,$A148,'Blackout Brand Fam Areas (Enc)'!$C$6:$C$998,I$1,'Blackout Brand Fam Areas (Enc)'!$D$6:$D$998,"Inactive")&gt;0,"BLOCKED","CAN SELL"))</f>
        <v>CAN SELL</v>
      </c>
      <c r="J148" s="2" t="str">
        <f>IF($A148="","",IF(COUNTIFS('Blackout Brand Fam Areas (Enc)'!$B$6:$B$998,$A148,'Blackout Brand Fam Areas (Enc)'!$C$6:$C$998,J$1,'Blackout Brand Fam Areas (Enc)'!$D$6:$D$998,"Inactive")&gt;0,"BLOCKED","CAN SELL"))</f>
        <v>BLOCKED</v>
      </c>
      <c r="K148" s="2" t="str">
        <f>IF($A148="","",IF(COUNTIFS('Blackout Brand Fam Areas (Enc)'!$B$6:$B$998,$A148,'Blackout Brand Fam Areas (Enc)'!$C$6:$C$998,K$1,'Blackout Brand Fam Areas (Enc)'!$D$6:$D$998,"Inactive")&gt;0,"BLOCKED","CAN SELL"))</f>
        <v>CAN SELL</v>
      </c>
    </row>
    <row r="149" spans="1:11" x14ac:dyDescent="0.2">
      <c r="A149" s="2" t="str">
        <v>Narragansett</v>
      </c>
      <c r="B149" s="2" t="str">
        <f>IF($A149="","",IF(COUNTIFS('Blackout Brand Fam Areas (Enc)'!$B$6:$B$998,$A149,'Blackout Brand Fam Areas (Enc)'!$C$6:$C$998,B$1,'Blackout Brand Fam Areas (Enc)'!$D$6:$D$998,"Inactive")&gt;0,"BLOCKED","CAN SELL"))</f>
        <v>CAN SELL</v>
      </c>
      <c r="C149" s="2" t="str">
        <f>IF($A149="","",IF(COUNTIFS('Blackout Brand Fam Areas (Enc)'!$B$6:$B$998,$A149,'Blackout Brand Fam Areas (Enc)'!$C$6:$C$998,C$1,'Blackout Brand Fam Areas (Enc)'!$D$6:$D$998,"Inactive")&gt;0,"BLOCKED","CAN SELL"))</f>
        <v>CAN SELL</v>
      </c>
      <c r="D149" s="2" t="str">
        <f>IF($A149="","",IF(COUNTIFS('Blackout Brand Fam Areas (Enc)'!$B$6:$B$998,$A149,'Blackout Brand Fam Areas (Enc)'!$C$6:$C$998,D$1,'Blackout Brand Fam Areas (Enc)'!$D$6:$D$998,"Inactive")&gt;0,"BLOCKED","CAN SELL"))</f>
        <v>CAN SELL</v>
      </c>
      <c r="E149" s="2" t="str">
        <f>IF($A149="","",IF(COUNTIFS('Blackout Brand Fam Areas (Enc)'!$B$6:$B$998,$A149,'Blackout Brand Fam Areas (Enc)'!$C$6:$C$998,E$1,'Blackout Brand Fam Areas (Enc)'!$D$6:$D$998,"Inactive")&gt;0,"BLOCKED","CAN SELL"))</f>
        <v>BLOCKED</v>
      </c>
      <c r="F149" s="2" t="str">
        <f>IF($A149="","",IF(COUNTIFS('Blackout Brand Fam Areas (Enc)'!$B$6:$B$998,$A149,'Blackout Brand Fam Areas (Enc)'!$C$6:$C$998,F$1,'Blackout Brand Fam Areas (Enc)'!$D$6:$D$998,"Inactive")&gt;0,"BLOCKED","CAN SELL"))</f>
        <v>BLOCKED</v>
      </c>
      <c r="G149" s="2" t="str">
        <f>IF($A149="","",IF(COUNTIFS('Blackout Brand Fam Areas (Enc)'!$B$6:$B$998,$A149,'Blackout Brand Fam Areas (Enc)'!$C$6:$C$998,G$1,'Blackout Brand Fam Areas (Enc)'!$D$6:$D$998,"Inactive")&gt;0,"BLOCKED","CAN SELL"))</f>
        <v>BLOCKED</v>
      </c>
      <c r="H149" s="2" t="str">
        <f>IF($A149="","",IF(COUNTIFS('Blackout Brand Fam Areas (Enc)'!$B$6:$B$998,$A149,'Blackout Brand Fam Areas (Enc)'!$C$6:$C$998,H$1,'Blackout Brand Fam Areas (Enc)'!$D$6:$D$998,"Inactive")&gt;0,"BLOCKED","CAN SELL"))</f>
        <v>CAN SELL</v>
      </c>
      <c r="I149" s="2" t="str">
        <f>IF($A149="","",IF(COUNTIFS('Blackout Brand Fam Areas (Enc)'!$B$6:$B$998,$A149,'Blackout Brand Fam Areas (Enc)'!$C$6:$C$998,I$1,'Blackout Brand Fam Areas (Enc)'!$D$6:$D$998,"Inactive")&gt;0,"BLOCKED","CAN SELL"))</f>
        <v>CAN SELL</v>
      </c>
      <c r="J149" s="2" t="str">
        <f>IF($A149="","",IF(COUNTIFS('Blackout Brand Fam Areas (Enc)'!$B$6:$B$998,$A149,'Blackout Brand Fam Areas (Enc)'!$C$6:$C$998,J$1,'Blackout Brand Fam Areas (Enc)'!$D$6:$D$998,"Inactive")&gt;0,"BLOCKED","CAN SELL"))</f>
        <v>BLOCKED</v>
      </c>
      <c r="K149" s="2" t="str">
        <f>IF($A149="","",IF(COUNTIFS('Blackout Brand Fam Areas (Enc)'!$B$6:$B$998,$A149,'Blackout Brand Fam Areas (Enc)'!$C$6:$C$998,K$1,'Blackout Brand Fam Areas (Enc)'!$D$6:$D$998,"Inactive")&gt;0,"BLOCKED","CAN SELL"))</f>
        <v>CAN SELL</v>
      </c>
    </row>
    <row r="150" spans="1:11" x14ac:dyDescent="0.2">
      <c r="A150" s="2" t="str">
        <v>New Belgium Brewing Company</v>
      </c>
      <c r="B150" s="2" t="str">
        <f>IF($A150="","",IF(COUNTIFS('Blackout Brand Fam Areas (Enc)'!$B$6:$B$998,$A150,'Blackout Brand Fam Areas (Enc)'!$C$6:$C$998,B$1,'Blackout Brand Fam Areas (Enc)'!$D$6:$D$998,"Inactive")&gt;0,"BLOCKED","CAN SELL"))</f>
        <v>CAN SELL</v>
      </c>
      <c r="C150" s="2" t="str">
        <f>IF($A150="","",IF(COUNTIFS('Blackout Brand Fam Areas (Enc)'!$B$6:$B$998,$A150,'Blackout Brand Fam Areas (Enc)'!$C$6:$C$998,C$1,'Blackout Brand Fam Areas (Enc)'!$D$6:$D$998,"Inactive")&gt;0,"BLOCKED","CAN SELL"))</f>
        <v>CAN SELL</v>
      </c>
      <c r="D150" s="2" t="str">
        <f>IF($A150="","",IF(COUNTIFS('Blackout Brand Fam Areas (Enc)'!$B$6:$B$998,$A150,'Blackout Brand Fam Areas (Enc)'!$C$6:$C$998,D$1,'Blackout Brand Fam Areas (Enc)'!$D$6:$D$998,"Inactive")&gt;0,"BLOCKED","CAN SELL"))</f>
        <v>CAN SELL</v>
      </c>
      <c r="E150" s="2" t="str">
        <f>IF($A150="","",IF(COUNTIFS('Blackout Brand Fam Areas (Enc)'!$B$6:$B$998,$A150,'Blackout Brand Fam Areas (Enc)'!$C$6:$C$998,E$1,'Blackout Brand Fam Areas (Enc)'!$D$6:$D$998,"Inactive")&gt;0,"BLOCKED","CAN SELL"))</f>
        <v>BLOCKED</v>
      </c>
      <c r="F150" s="2" t="str">
        <f>IF($A150="","",IF(COUNTIFS('Blackout Brand Fam Areas (Enc)'!$B$6:$B$998,$A150,'Blackout Brand Fam Areas (Enc)'!$C$6:$C$998,F$1,'Blackout Brand Fam Areas (Enc)'!$D$6:$D$998,"Inactive")&gt;0,"BLOCKED","CAN SELL"))</f>
        <v>BLOCKED</v>
      </c>
      <c r="G150" s="2" t="str">
        <f>IF($A150="","",IF(COUNTIFS('Blackout Brand Fam Areas (Enc)'!$B$6:$B$998,$A150,'Blackout Brand Fam Areas (Enc)'!$C$6:$C$998,G$1,'Blackout Brand Fam Areas (Enc)'!$D$6:$D$998,"Inactive")&gt;0,"BLOCKED","CAN SELL"))</f>
        <v>BLOCKED</v>
      </c>
      <c r="H150" s="2" t="str">
        <f>IF($A150="","",IF(COUNTIFS('Blackout Brand Fam Areas (Enc)'!$B$6:$B$998,$A150,'Blackout Brand Fam Areas (Enc)'!$C$6:$C$998,H$1,'Blackout Brand Fam Areas (Enc)'!$D$6:$D$998,"Inactive")&gt;0,"BLOCKED","CAN SELL"))</f>
        <v>CAN SELL</v>
      </c>
      <c r="I150" s="2" t="str">
        <f>IF($A150="","",IF(COUNTIFS('Blackout Brand Fam Areas (Enc)'!$B$6:$B$998,$A150,'Blackout Brand Fam Areas (Enc)'!$C$6:$C$998,I$1,'Blackout Brand Fam Areas (Enc)'!$D$6:$D$998,"Inactive")&gt;0,"BLOCKED","CAN SELL"))</f>
        <v>CAN SELL</v>
      </c>
      <c r="J150" s="2" t="str">
        <f>IF($A150="","",IF(COUNTIFS('Blackout Brand Fam Areas (Enc)'!$B$6:$B$998,$A150,'Blackout Brand Fam Areas (Enc)'!$C$6:$C$998,J$1,'Blackout Brand Fam Areas (Enc)'!$D$6:$D$998,"Inactive")&gt;0,"BLOCKED","CAN SELL"))</f>
        <v>BLOCKED</v>
      </c>
      <c r="K150" s="2" t="str">
        <f>IF($A150="","",IF(COUNTIFS('Blackout Brand Fam Areas (Enc)'!$B$6:$B$998,$A150,'Blackout Brand Fam Areas (Enc)'!$C$6:$C$998,K$1,'Blackout Brand Fam Areas (Enc)'!$D$6:$D$998,"Inactive")&gt;0,"BLOCKED","CAN SELL"))</f>
        <v>CAN SELL</v>
      </c>
    </row>
    <row r="151" spans="1:11" x14ac:dyDescent="0.2">
      <c r="A151" s="2" t="str">
        <v>Newcastle</v>
      </c>
      <c r="B151" s="2" t="str">
        <f>IF($A151="","",IF(COUNTIFS('Blackout Brand Fam Areas (Enc)'!$B$6:$B$998,$A151,'Blackout Brand Fam Areas (Enc)'!$C$6:$C$998,B$1,'Blackout Brand Fam Areas (Enc)'!$D$6:$D$998,"Inactive")&gt;0,"BLOCKED","CAN SELL"))</f>
        <v>CAN SELL</v>
      </c>
      <c r="C151" s="2" t="str">
        <f>IF($A151="","",IF(COUNTIFS('Blackout Brand Fam Areas (Enc)'!$B$6:$B$998,$A151,'Blackout Brand Fam Areas (Enc)'!$C$6:$C$998,C$1,'Blackout Brand Fam Areas (Enc)'!$D$6:$D$998,"Inactive")&gt;0,"BLOCKED","CAN SELL"))</f>
        <v>CAN SELL</v>
      </c>
      <c r="D151" s="2" t="str">
        <f>IF($A151="","",IF(COUNTIFS('Blackout Brand Fam Areas (Enc)'!$B$6:$B$998,$A151,'Blackout Brand Fam Areas (Enc)'!$C$6:$C$998,D$1,'Blackout Brand Fam Areas (Enc)'!$D$6:$D$998,"Inactive")&gt;0,"BLOCKED","CAN SELL"))</f>
        <v>CAN SELL</v>
      </c>
      <c r="E151" s="2" t="str">
        <f>IF($A151="","",IF(COUNTIFS('Blackout Brand Fam Areas (Enc)'!$B$6:$B$998,$A151,'Blackout Brand Fam Areas (Enc)'!$C$6:$C$998,E$1,'Blackout Brand Fam Areas (Enc)'!$D$6:$D$998,"Inactive")&gt;0,"BLOCKED","CAN SELL"))</f>
        <v>BLOCKED</v>
      </c>
      <c r="F151" s="2" t="str">
        <f>IF($A151="","",IF(COUNTIFS('Blackout Brand Fam Areas (Enc)'!$B$6:$B$998,$A151,'Blackout Brand Fam Areas (Enc)'!$C$6:$C$998,F$1,'Blackout Brand Fam Areas (Enc)'!$D$6:$D$998,"Inactive")&gt;0,"BLOCKED","CAN SELL"))</f>
        <v>BLOCKED</v>
      </c>
      <c r="G151" s="2" t="str">
        <f>IF($A151="","",IF(COUNTIFS('Blackout Brand Fam Areas (Enc)'!$B$6:$B$998,$A151,'Blackout Brand Fam Areas (Enc)'!$C$6:$C$998,G$1,'Blackout Brand Fam Areas (Enc)'!$D$6:$D$998,"Inactive")&gt;0,"BLOCKED","CAN SELL"))</f>
        <v>BLOCKED</v>
      </c>
      <c r="H151" s="2" t="str">
        <f>IF($A151="","",IF(COUNTIFS('Blackout Brand Fam Areas (Enc)'!$B$6:$B$998,$A151,'Blackout Brand Fam Areas (Enc)'!$C$6:$C$998,H$1,'Blackout Brand Fam Areas (Enc)'!$D$6:$D$998,"Inactive")&gt;0,"BLOCKED","CAN SELL"))</f>
        <v>BLOCKED</v>
      </c>
      <c r="I151" s="2" t="str">
        <f>IF($A151="","",IF(COUNTIFS('Blackout Brand Fam Areas (Enc)'!$B$6:$B$998,$A151,'Blackout Brand Fam Areas (Enc)'!$C$6:$C$998,I$1,'Blackout Brand Fam Areas (Enc)'!$D$6:$D$998,"Inactive")&gt;0,"BLOCKED","CAN SELL"))</f>
        <v>BLOCKED</v>
      </c>
      <c r="J151" s="2" t="str">
        <f>IF($A151="","",IF(COUNTIFS('Blackout Brand Fam Areas (Enc)'!$B$6:$B$998,$A151,'Blackout Brand Fam Areas (Enc)'!$C$6:$C$998,J$1,'Blackout Brand Fam Areas (Enc)'!$D$6:$D$998,"Inactive")&gt;0,"BLOCKED","CAN SELL"))</f>
        <v>BLOCKED</v>
      </c>
      <c r="K151" s="2" t="str">
        <f>IF($A151="","",IF(COUNTIFS('Blackout Brand Fam Areas (Enc)'!$B$6:$B$998,$A151,'Blackout Brand Fam Areas (Enc)'!$C$6:$C$998,K$1,'Blackout Brand Fam Areas (Enc)'!$D$6:$D$998,"Inactive")&gt;0,"BLOCKED","CAN SELL"))</f>
        <v>CAN SELL</v>
      </c>
    </row>
    <row r="152" spans="1:11" x14ac:dyDescent="0.2">
      <c r="A152" s="2" t="str">
        <v>Ohara's</v>
      </c>
      <c r="B152" s="2" t="str">
        <f>IF($A152="","",IF(COUNTIFS('Blackout Brand Fam Areas (Enc)'!$B$6:$B$998,$A152,'Blackout Brand Fam Areas (Enc)'!$C$6:$C$998,B$1,'Blackout Brand Fam Areas (Enc)'!$D$6:$D$998,"Inactive")&gt;0,"BLOCKED","CAN SELL"))</f>
        <v>CAN SELL</v>
      </c>
      <c r="C152" s="2" t="str">
        <f>IF($A152="","",IF(COUNTIFS('Blackout Brand Fam Areas (Enc)'!$B$6:$B$998,$A152,'Blackout Brand Fam Areas (Enc)'!$C$6:$C$998,C$1,'Blackout Brand Fam Areas (Enc)'!$D$6:$D$998,"Inactive")&gt;0,"BLOCKED","CAN SELL"))</f>
        <v>CAN SELL</v>
      </c>
      <c r="D152" s="2" t="str">
        <f>IF($A152="","",IF(COUNTIFS('Blackout Brand Fam Areas (Enc)'!$B$6:$B$998,$A152,'Blackout Brand Fam Areas (Enc)'!$C$6:$C$998,D$1,'Blackout Brand Fam Areas (Enc)'!$D$6:$D$998,"Inactive")&gt;0,"BLOCKED","CAN SELL"))</f>
        <v>CAN SELL</v>
      </c>
      <c r="E152" s="2" t="str">
        <f>IF($A152="","",IF(COUNTIFS('Blackout Brand Fam Areas (Enc)'!$B$6:$B$998,$A152,'Blackout Brand Fam Areas (Enc)'!$C$6:$C$998,E$1,'Blackout Brand Fam Areas (Enc)'!$D$6:$D$998,"Inactive")&gt;0,"BLOCKED","CAN SELL"))</f>
        <v>CAN SELL</v>
      </c>
      <c r="F152" s="2" t="str">
        <f>IF($A152="","",IF(COUNTIFS('Blackout Brand Fam Areas (Enc)'!$B$6:$B$998,$A152,'Blackout Brand Fam Areas (Enc)'!$C$6:$C$998,F$1,'Blackout Brand Fam Areas (Enc)'!$D$6:$D$998,"Inactive")&gt;0,"BLOCKED","CAN SELL"))</f>
        <v>CAN SELL</v>
      </c>
      <c r="G152" s="2" t="str">
        <f>IF($A152="","",IF(COUNTIFS('Blackout Brand Fam Areas (Enc)'!$B$6:$B$998,$A152,'Blackout Brand Fam Areas (Enc)'!$C$6:$C$998,G$1,'Blackout Brand Fam Areas (Enc)'!$D$6:$D$998,"Inactive")&gt;0,"BLOCKED","CAN SELL"))</f>
        <v>BLOCKED</v>
      </c>
      <c r="H152" s="2" t="str">
        <f>IF($A152="","",IF(COUNTIFS('Blackout Brand Fam Areas (Enc)'!$B$6:$B$998,$A152,'Blackout Brand Fam Areas (Enc)'!$C$6:$C$998,H$1,'Blackout Brand Fam Areas (Enc)'!$D$6:$D$998,"Inactive")&gt;0,"BLOCKED","CAN SELL"))</f>
        <v>CAN SELL</v>
      </c>
      <c r="I152" s="2" t="str">
        <f>IF($A152="","",IF(COUNTIFS('Blackout Brand Fam Areas (Enc)'!$B$6:$B$998,$A152,'Blackout Brand Fam Areas (Enc)'!$C$6:$C$998,I$1,'Blackout Brand Fam Areas (Enc)'!$D$6:$D$998,"Inactive")&gt;0,"BLOCKED","CAN SELL"))</f>
        <v>CAN SELL</v>
      </c>
      <c r="J152" s="2" t="str">
        <f>IF($A152="","",IF(COUNTIFS('Blackout Brand Fam Areas (Enc)'!$B$6:$B$998,$A152,'Blackout Brand Fam Areas (Enc)'!$C$6:$C$998,J$1,'Blackout Brand Fam Areas (Enc)'!$D$6:$D$998,"Inactive")&gt;0,"BLOCKED","CAN SELL"))</f>
        <v>BLOCKED</v>
      </c>
      <c r="K152" s="2" t="str">
        <f>IF($A152="","",IF(COUNTIFS('Blackout Brand Fam Areas (Enc)'!$B$6:$B$998,$A152,'Blackout Brand Fam Areas (Enc)'!$C$6:$C$998,K$1,'Blackout Brand Fam Areas (Enc)'!$D$6:$D$998,"Inactive")&gt;0,"BLOCKED","CAN SELL"))</f>
        <v>BLOCKED</v>
      </c>
    </row>
    <row r="153" spans="1:11" x14ac:dyDescent="0.2">
      <c r="A153" s="2" t="str">
        <v>Old English</v>
      </c>
      <c r="B153" s="2" t="str">
        <f>IF($A153="","",IF(COUNTIFS('Blackout Brand Fam Areas (Enc)'!$B$6:$B$998,$A153,'Blackout Brand Fam Areas (Enc)'!$C$6:$C$998,B$1,'Blackout Brand Fam Areas (Enc)'!$D$6:$D$998,"Inactive")&gt;0,"BLOCKED","CAN SELL"))</f>
        <v>CAN SELL</v>
      </c>
      <c r="C153" s="2" t="str">
        <f>IF($A153="","",IF(COUNTIFS('Blackout Brand Fam Areas (Enc)'!$B$6:$B$998,$A153,'Blackout Brand Fam Areas (Enc)'!$C$6:$C$998,C$1,'Blackout Brand Fam Areas (Enc)'!$D$6:$D$998,"Inactive")&gt;0,"BLOCKED","CAN SELL"))</f>
        <v>CAN SELL</v>
      </c>
      <c r="D153" s="2" t="str">
        <f>IF($A153="","",IF(COUNTIFS('Blackout Brand Fam Areas (Enc)'!$B$6:$B$998,$A153,'Blackout Brand Fam Areas (Enc)'!$C$6:$C$998,D$1,'Blackout Brand Fam Areas (Enc)'!$D$6:$D$998,"Inactive")&gt;0,"BLOCKED","CAN SELL"))</f>
        <v>CAN SELL</v>
      </c>
      <c r="E153" s="2" t="str">
        <f>IF($A153="","",IF(COUNTIFS('Blackout Brand Fam Areas (Enc)'!$B$6:$B$998,$A153,'Blackout Brand Fam Areas (Enc)'!$C$6:$C$998,E$1,'Blackout Brand Fam Areas (Enc)'!$D$6:$D$998,"Inactive")&gt;0,"BLOCKED","CAN SELL"))</f>
        <v>BLOCKED</v>
      </c>
      <c r="F153" s="2" t="str">
        <f>IF($A153="","",IF(COUNTIFS('Blackout Brand Fam Areas (Enc)'!$B$6:$B$998,$A153,'Blackout Brand Fam Areas (Enc)'!$C$6:$C$998,F$1,'Blackout Brand Fam Areas (Enc)'!$D$6:$D$998,"Inactive")&gt;0,"BLOCKED","CAN SELL"))</f>
        <v>BLOCKED</v>
      </c>
      <c r="G153" s="2" t="str">
        <f>IF($A153="","",IF(COUNTIFS('Blackout Brand Fam Areas (Enc)'!$B$6:$B$998,$A153,'Blackout Brand Fam Areas (Enc)'!$C$6:$C$998,G$1,'Blackout Brand Fam Areas (Enc)'!$D$6:$D$998,"Inactive")&gt;0,"BLOCKED","CAN SELL"))</f>
        <v>BLOCKED</v>
      </c>
      <c r="H153" s="2" t="str">
        <f>IF($A153="","",IF(COUNTIFS('Blackout Brand Fam Areas (Enc)'!$B$6:$B$998,$A153,'Blackout Brand Fam Areas (Enc)'!$C$6:$C$998,H$1,'Blackout Brand Fam Areas (Enc)'!$D$6:$D$998,"Inactive")&gt;0,"BLOCKED","CAN SELL"))</f>
        <v>CAN SELL</v>
      </c>
      <c r="I153" s="2" t="str">
        <f>IF($A153="","",IF(COUNTIFS('Blackout Brand Fam Areas (Enc)'!$B$6:$B$998,$A153,'Blackout Brand Fam Areas (Enc)'!$C$6:$C$998,I$1,'Blackout Brand Fam Areas (Enc)'!$D$6:$D$998,"Inactive")&gt;0,"BLOCKED","CAN SELL"))</f>
        <v>CAN SELL</v>
      </c>
      <c r="J153" s="2" t="str">
        <f>IF($A153="","",IF(COUNTIFS('Blackout Brand Fam Areas (Enc)'!$B$6:$B$998,$A153,'Blackout Brand Fam Areas (Enc)'!$C$6:$C$998,J$1,'Blackout Brand Fam Areas (Enc)'!$D$6:$D$998,"Inactive")&gt;0,"BLOCKED","CAN SELL"))</f>
        <v>BLOCKED</v>
      </c>
      <c r="K153" s="2" t="str">
        <f>IF($A153="","",IF(COUNTIFS('Blackout Brand Fam Areas (Enc)'!$B$6:$B$998,$A153,'Blackout Brand Fam Areas (Enc)'!$C$6:$C$998,K$1,'Blackout Brand Fam Areas (Enc)'!$D$6:$D$998,"Inactive")&gt;0,"BLOCKED","CAN SELL"))</f>
        <v>CAN SELL</v>
      </c>
    </row>
    <row r="154" spans="1:11" x14ac:dyDescent="0.2">
      <c r="A154" s="2" t="str">
        <v>Old Speckled Hen</v>
      </c>
      <c r="B154" s="2" t="str">
        <f>IF($A154="","",IF(COUNTIFS('Blackout Brand Fam Areas (Enc)'!$B$6:$B$998,$A154,'Blackout Brand Fam Areas (Enc)'!$C$6:$C$998,B$1,'Blackout Brand Fam Areas (Enc)'!$D$6:$D$998,"Inactive")&gt;0,"BLOCKED","CAN SELL"))</f>
        <v>CAN SELL</v>
      </c>
      <c r="C154" s="2" t="str">
        <f>IF($A154="","",IF(COUNTIFS('Blackout Brand Fam Areas (Enc)'!$B$6:$B$998,$A154,'Blackout Brand Fam Areas (Enc)'!$C$6:$C$998,C$1,'Blackout Brand Fam Areas (Enc)'!$D$6:$D$998,"Inactive")&gt;0,"BLOCKED","CAN SELL"))</f>
        <v>CAN SELL</v>
      </c>
      <c r="D154" s="2" t="str">
        <f>IF($A154="","",IF(COUNTIFS('Blackout Brand Fam Areas (Enc)'!$B$6:$B$998,$A154,'Blackout Brand Fam Areas (Enc)'!$C$6:$C$998,D$1,'Blackout Brand Fam Areas (Enc)'!$D$6:$D$998,"Inactive")&gt;0,"BLOCKED","CAN SELL"))</f>
        <v>CAN SELL</v>
      </c>
      <c r="E154" s="2" t="str">
        <f>IF($A154="","",IF(COUNTIFS('Blackout Brand Fam Areas (Enc)'!$B$6:$B$998,$A154,'Blackout Brand Fam Areas (Enc)'!$C$6:$C$998,E$1,'Blackout Brand Fam Areas (Enc)'!$D$6:$D$998,"Inactive")&gt;0,"BLOCKED","CAN SELL"))</f>
        <v>CAN SELL</v>
      </c>
      <c r="F154" s="2" t="str">
        <f>IF($A154="","",IF(COUNTIFS('Blackout Brand Fam Areas (Enc)'!$B$6:$B$998,$A154,'Blackout Brand Fam Areas (Enc)'!$C$6:$C$998,F$1,'Blackout Brand Fam Areas (Enc)'!$D$6:$D$998,"Inactive")&gt;0,"BLOCKED","CAN SELL"))</f>
        <v>CAN SELL</v>
      </c>
      <c r="G154" s="2" t="str">
        <f>IF($A154="","",IF(COUNTIFS('Blackout Brand Fam Areas (Enc)'!$B$6:$B$998,$A154,'Blackout Brand Fam Areas (Enc)'!$C$6:$C$998,G$1,'Blackout Brand Fam Areas (Enc)'!$D$6:$D$998,"Inactive")&gt;0,"BLOCKED","CAN SELL"))</f>
        <v>BLOCKED</v>
      </c>
      <c r="H154" s="2" t="str">
        <f>IF($A154="","",IF(COUNTIFS('Blackout Brand Fam Areas (Enc)'!$B$6:$B$998,$A154,'Blackout Brand Fam Areas (Enc)'!$C$6:$C$998,H$1,'Blackout Brand Fam Areas (Enc)'!$D$6:$D$998,"Inactive")&gt;0,"BLOCKED","CAN SELL"))</f>
        <v>BLOCKED</v>
      </c>
      <c r="I154" s="2" t="str">
        <f>IF($A154="","",IF(COUNTIFS('Blackout Brand Fam Areas (Enc)'!$B$6:$B$998,$A154,'Blackout Brand Fam Areas (Enc)'!$C$6:$C$998,I$1,'Blackout Brand Fam Areas (Enc)'!$D$6:$D$998,"Inactive")&gt;0,"BLOCKED","CAN SELL"))</f>
        <v>CAN SELL</v>
      </c>
      <c r="J154" s="2" t="str">
        <f>IF($A154="","",IF(COUNTIFS('Blackout Brand Fam Areas (Enc)'!$B$6:$B$998,$A154,'Blackout Brand Fam Areas (Enc)'!$C$6:$C$998,J$1,'Blackout Brand Fam Areas (Enc)'!$D$6:$D$998,"Inactive")&gt;0,"BLOCKED","CAN SELL"))</f>
        <v>BLOCKED</v>
      </c>
      <c r="K154" s="2" t="str">
        <f>IF($A154="","",IF(COUNTIFS('Blackout Brand Fam Areas (Enc)'!$B$6:$B$998,$A154,'Blackout Brand Fam Areas (Enc)'!$C$6:$C$998,K$1,'Blackout Brand Fam Areas (Enc)'!$D$6:$D$998,"Inactive")&gt;0,"BLOCKED","CAN SELL"))</f>
        <v>BLOCKED</v>
      </c>
    </row>
    <row r="155" spans="1:11" x14ac:dyDescent="0.2">
      <c r="A155" s="2" t="str">
        <v>Ole</v>
      </c>
      <c r="B155" s="2" t="str">
        <f>IF($A155="","",IF(COUNTIFS('Blackout Brand Fam Areas (Enc)'!$B$6:$B$998,$A155,'Blackout Brand Fam Areas (Enc)'!$C$6:$C$998,B$1,'Blackout Brand Fam Areas (Enc)'!$D$6:$D$998,"Inactive")&gt;0,"BLOCKED","CAN SELL"))</f>
        <v>CAN SELL</v>
      </c>
      <c r="C155" s="2" t="str">
        <f>IF($A155="","",IF(COUNTIFS('Blackout Brand Fam Areas (Enc)'!$B$6:$B$998,$A155,'Blackout Brand Fam Areas (Enc)'!$C$6:$C$998,C$1,'Blackout Brand Fam Areas (Enc)'!$D$6:$D$998,"Inactive")&gt;0,"BLOCKED","CAN SELL"))</f>
        <v>CAN SELL</v>
      </c>
      <c r="D155" s="2" t="str">
        <f>IF($A155="","",IF(COUNTIFS('Blackout Brand Fam Areas (Enc)'!$B$6:$B$998,$A155,'Blackout Brand Fam Areas (Enc)'!$C$6:$C$998,D$1,'Blackout Brand Fam Areas (Enc)'!$D$6:$D$998,"Inactive")&gt;0,"BLOCKED","CAN SELL"))</f>
        <v>CAN SELL</v>
      </c>
      <c r="E155" s="2" t="str">
        <f>IF($A155="","",IF(COUNTIFS('Blackout Brand Fam Areas (Enc)'!$B$6:$B$998,$A155,'Blackout Brand Fam Areas (Enc)'!$C$6:$C$998,E$1,'Blackout Brand Fam Areas (Enc)'!$D$6:$D$998,"Inactive")&gt;0,"BLOCKED","CAN SELL"))</f>
        <v>BLOCKED</v>
      </c>
      <c r="F155" s="2" t="str">
        <f>IF($A155="","",IF(COUNTIFS('Blackout Brand Fam Areas (Enc)'!$B$6:$B$998,$A155,'Blackout Brand Fam Areas (Enc)'!$C$6:$C$998,F$1,'Blackout Brand Fam Areas (Enc)'!$D$6:$D$998,"Inactive")&gt;0,"BLOCKED","CAN SELL"))</f>
        <v>BLOCKED</v>
      </c>
      <c r="G155" s="2" t="str">
        <f>IF($A155="","",IF(COUNTIFS('Blackout Brand Fam Areas (Enc)'!$B$6:$B$998,$A155,'Blackout Brand Fam Areas (Enc)'!$C$6:$C$998,G$1,'Blackout Brand Fam Areas (Enc)'!$D$6:$D$998,"Inactive")&gt;0,"BLOCKED","CAN SELL"))</f>
        <v>BLOCKED</v>
      </c>
      <c r="H155" s="2" t="str">
        <f>IF($A155="","",IF(COUNTIFS('Blackout Brand Fam Areas (Enc)'!$B$6:$B$998,$A155,'Blackout Brand Fam Areas (Enc)'!$C$6:$C$998,H$1,'Blackout Brand Fam Areas (Enc)'!$D$6:$D$998,"Inactive")&gt;0,"BLOCKED","CAN SELL"))</f>
        <v>CAN SELL</v>
      </c>
      <c r="I155" s="2" t="str">
        <f>IF($A155="","",IF(COUNTIFS('Blackout Brand Fam Areas (Enc)'!$B$6:$B$998,$A155,'Blackout Brand Fam Areas (Enc)'!$C$6:$C$998,I$1,'Blackout Brand Fam Areas (Enc)'!$D$6:$D$998,"Inactive")&gt;0,"BLOCKED","CAN SELL"))</f>
        <v>CAN SELL</v>
      </c>
      <c r="J155" s="2" t="str">
        <f>IF($A155="","",IF(COUNTIFS('Blackout Brand Fam Areas (Enc)'!$B$6:$B$998,$A155,'Blackout Brand Fam Areas (Enc)'!$C$6:$C$998,J$1,'Blackout Brand Fam Areas (Enc)'!$D$6:$D$998,"Inactive")&gt;0,"BLOCKED","CAN SELL"))</f>
        <v>BLOCKED</v>
      </c>
      <c r="K155" s="2" t="str">
        <f>IF($A155="","",IF(COUNTIFS('Blackout Brand Fam Areas (Enc)'!$B$6:$B$998,$A155,'Blackout Brand Fam Areas (Enc)'!$C$6:$C$998,K$1,'Blackout Brand Fam Areas (Enc)'!$D$6:$D$998,"Inactive")&gt;0,"BLOCKED","CAN SELL"))</f>
        <v>CAN SELL</v>
      </c>
    </row>
    <row r="156" spans="1:11" x14ac:dyDescent="0.2">
      <c r="A156" s="2" t="str">
        <v>Otter Creek</v>
      </c>
      <c r="B156" s="2" t="str">
        <f>IF($A156="","",IF(COUNTIFS('Blackout Brand Fam Areas (Enc)'!$B$6:$B$998,$A156,'Blackout Brand Fam Areas (Enc)'!$C$6:$C$998,B$1,'Blackout Brand Fam Areas (Enc)'!$D$6:$D$998,"Inactive")&gt;0,"BLOCKED","CAN SELL"))</f>
        <v>CAN SELL</v>
      </c>
      <c r="C156" s="2" t="str">
        <f>IF($A156="","",IF(COUNTIFS('Blackout Brand Fam Areas (Enc)'!$B$6:$B$998,$A156,'Blackout Brand Fam Areas (Enc)'!$C$6:$C$998,C$1,'Blackout Brand Fam Areas (Enc)'!$D$6:$D$998,"Inactive")&gt;0,"BLOCKED","CAN SELL"))</f>
        <v>CAN SELL</v>
      </c>
      <c r="D156" s="2" t="str">
        <f>IF($A156="","",IF(COUNTIFS('Blackout Brand Fam Areas (Enc)'!$B$6:$B$998,$A156,'Blackout Brand Fam Areas (Enc)'!$C$6:$C$998,D$1,'Blackout Brand Fam Areas (Enc)'!$D$6:$D$998,"Inactive")&gt;0,"BLOCKED","CAN SELL"))</f>
        <v>CAN SELL</v>
      </c>
      <c r="E156" s="2" t="str">
        <f>IF($A156="","",IF(COUNTIFS('Blackout Brand Fam Areas (Enc)'!$B$6:$B$998,$A156,'Blackout Brand Fam Areas (Enc)'!$C$6:$C$998,E$1,'Blackout Brand Fam Areas (Enc)'!$D$6:$D$998,"Inactive")&gt;0,"BLOCKED","CAN SELL"))</f>
        <v>CAN SELL</v>
      </c>
      <c r="F156" s="2" t="str">
        <f>IF($A156="","",IF(COUNTIFS('Blackout Brand Fam Areas (Enc)'!$B$6:$B$998,$A156,'Blackout Brand Fam Areas (Enc)'!$C$6:$C$998,F$1,'Blackout Brand Fam Areas (Enc)'!$D$6:$D$998,"Inactive")&gt;0,"BLOCKED","CAN SELL"))</f>
        <v>CAN SELL</v>
      </c>
      <c r="G156" s="2" t="str">
        <f>IF($A156="","",IF(COUNTIFS('Blackout Brand Fam Areas (Enc)'!$B$6:$B$998,$A156,'Blackout Brand Fam Areas (Enc)'!$C$6:$C$998,G$1,'Blackout Brand Fam Areas (Enc)'!$D$6:$D$998,"Inactive")&gt;0,"BLOCKED","CAN SELL"))</f>
        <v>BLOCKED</v>
      </c>
      <c r="H156" s="2" t="str">
        <f>IF($A156="","",IF(COUNTIFS('Blackout Brand Fam Areas (Enc)'!$B$6:$B$998,$A156,'Blackout Brand Fam Areas (Enc)'!$C$6:$C$998,H$1,'Blackout Brand Fam Areas (Enc)'!$D$6:$D$998,"Inactive")&gt;0,"BLOCKED","CAN SELL"))</f>
        <v>CAN SELL</v>
      </c>
      <c r="I156" s="2" t="str">
        <f>IF($A156="","",IF(COUNTIFS('Blackout Brand Fam Areas (Enc)'!$B$6:$B$998,$A156,'Blackout Brand Fam Areas (Enc)'!$C$6:$C$998,I$1,'Blackout Brand Fam Areas (Enc)'!$D$6:$D$998,"Inactive")&gt;0,"BLOCKED","CAN SELL"))</f>
        <v>CAN SELL</v>
      </c>
      <c r="J156" s="2" t="str">
        <f>IF($A156="","",IF(COUNTIFS('Blackout Brand Fam Areas (Enc)'!$B$6:$B$998,$A156,'Blackout Brand Fam Areas (Enc)'!$C$6:$C$998,J$1,'Blackout Brand Fam Areas (Enc)'!$D$6:$D$998,"Inactive")&gt;0,"BLOCKED","CAN SELL"))</f>
        <v>BLOCKED</v>
      </c>
      <c r="K156" s="2" t="str">
        <f>IF($A156="","",IF(COUNTIFS('Blackout Brand Fam Areas (Enc)'!$B$6:$B$998,$A156,'Blackout Brand Fam Areas (Enc)'!$C$6:$C$998,K$1,'Blackout Brand Fam Areas (Enc)'!$D$6:$D$998,"Inactive")&gt;0,"BLOCKED","CAN SELL"))</f>
        <v>BLOCKED</v>
      </c>
    </row>
    <row r="157" spans="1:11" x14ac:dyDescent="0.2">
      <c r="A157" s="2" t="str">
        <v>Overstone</v>
      </c>
      <c r="B157" s="2" t="str">
        <f>IF($A157="","",IF(COUNTIFS('Blackout Brand Fam Areas (Enc)'!$B$6:$B$998,$A157,'Blackout Brand Fam Areas (Enc)'!$C$6:$C$998,B$1,'Blackout Brand Fam Areas (Enc)'!$D$6:$D$998,"Inactive")&gt;0,"BLOCKED","CAN SELL"))</f>
        <v>CAN SELL</v>
      </c>
      <c r="C157" s="2" t="str">
        <f>IF($A157="","",IF(COUNTIFS('Blackout Brand Fam Areas (Enc)'!$B$6:$B$998,$A157,'Blackout Brand Fam Areas (Enc)'!$C$6:$C$998,C$1,'Blackout Brand Fam Areas (Enc)'!$D$6:$D$998,"Inactive")&gt;0,"BLOCKED","CAN SELL"))</f>
        <v>CAN SELL</v>
      </c>
      <c r="D157" s="2" t="str">
        <f>IF($A157="","",IF(COUNTIFS('Blackout Brand Fam Areas (Enc)'!$B$6:$B$998,$A157,'Blackout Brand Fam Areas (Enc)'!$C$6:$C$998,D$1,'Blackout Brand Fam Areas (Enc)'!$D$6:$D$998,"Inactive")&gt;0,"BLOCKED","CAN SELL"))</f>
        <v>CAN SELL</v>
      </c>
      <c r="E157" s="2" t="str">
        <f>IF($A157="","",IF(COUNTIFS('Blackout Brand Fam Areas (Enc)'!$B$6:$B$998,$A157,'Blackout Brand Fam Areas (Enc)'!$C$6:$C$998,E$1,'Blackout Brand Fam Areas (Enc)'!$D$6:$D$998,"Inactive")&gt;0,"BLOCKED","CAN SELL"))</f>
        <v>BLOCKED</v>
      </c>
      <c r="F157" s="2" t="str">
        <f>IF($A157="","",IF(COUNTIFS('Blackout Brand Fam Areas (Enc)'!$B$6:$B$998,$A157,'Blackout Brand Fam Areas (Enc)'!$C$6:$C$998,F$1,'Blackout Brand Fam Areas (Enc)'!$D$6:$D$998,"Inactive")&gt;0,"BLOCKED","CAN SELL"))</f>
        <v>BLOCKED</v>
      </c>
      <c r="G157" s="2" t="str">
        <f>IF($A157="","",IF(COUNTIFS('Blackout Brand Fam Areas (Enc)'!$B$6:$B$998,$A157,'Blackout Brand Fam Areas (Enc)'!$C$6:$C$998,G$1,'Blackout Brand Fam Areas (Enc)'!$D$6:$D$998,"Inactive")&gt;0,"BLOCKED","CAN SELL"))</f>
        <v>BLOCKED</v>
      </c>
      <c r="H157" s="2" t="str">
        <f>IF($A157="","",IF(COUNTIFS('Blackout Brand Fam Areas (Enc)'!$B$6:$B$998,$A157,'Blackout Brand Fam Areas (Enc)'!$C$6:$C$998,H$1,'Blackout Brand Fam Areas (Enc)'!$D$6:$D$998,"Inactive")&gt;0,"BLOCKED","CAN SELL"))</f>
        <v>CAN SELL</v>
      </c>
      <c r="I157" s="2" t="str">
        <f>IF($A157="","",IF(COUNTIFS('Blackout Brand Fam Areas (Enc)'!$B$6:$B$998,$A157,'Blackout Brand Fam Areas (Enc)'!$C$6:$C$998,I$1,'Blackout Brand Fam Areas (Enc)'!$D$6:$D$998,"Inactive")&gt;0,"BLOCKED","CAN SELL"))</f>
        <v>CAN SELL</v>
      </c>
      <c r="J157" s="2" t="str">
        <f>IF($A157="","",IF(COUNTIFS('Blackout Brand Fam Areas (Enc)'!$B$6:$B$998,$A157,'Blackout Brand Fam Areas (Enc)'!$C$6:$C$998,J$1,'Blackout Brand Fam Areas (Enc)'!$D$6:$D$998,"Inactive")&gt;0,"BLOCKED","CAN SELL"))</f>
        <v>BLOCKED</v>
      </c>
      <c r="K157" s="2" t="str">
        <f>IF($A157="","",IF(COUNTIFS('Blackout Brand Fam Areas (Enc)'!$B$6:$B$998,$A157,'Blackout Brand Fam Areas (Enc)'!$C$6:$C$998,K$1,'Blackout Brand Fam Areas (Enc)'!$D$6:$D$998,"Inactive")&gt;0,"BLOCKED","CAN SELL"))</f>
        <v>CAN SELL</v>
      </c>
    </row>
    <row r="158" spans="1:11" x14ac:dyDescent="0.2">
      <c r="A158" s="2" t="str">
        <v>Pacifico</v>
      </c>
      <c r="B158" s="2" t="str">
        <f>IF($A158="","",IF(COUNTIFS('Blackout Brand Fam Areas (Enc)'!$B$6:$B$998,$A158,'Blackout Brand Fam Areas (Enc)'!$C$6:$C$998,B$1,'Blackout Brand Fam Areas (Enc)'!$D$6:$D$998,"Inactive")&gt;0,"BLOCKED","CAN SELL"))</f>
        <v>CAN SELL</v>
      </c>
      <c r="C158" s="2" t="str">
        <f>IF($A158="","",IF(COUNTIFS('Blackout Brand Fam Areas (Enc)'!$B$6:$B$998,$A158,'Blackout Brand Fam Areas (Enc)'!$C$6:$C$998,C$1,'Blackout Brand Fam Areas (Enc)'!$D$6:$D$998,"Inactive")&gt;0,"BLOCKED","CAN SELL"))</f>
        <v>CAN SELL</v>
      </c>
      <c r="D158" s="2" t="str">
        <f>IF($A158="","",IF(COUNTIFS('Blackout Brand Fam Areas (Enc)'!$B$6:$B$998,$A158,'Blackout Brand Fam Areas (Enc)'!$C$6:$C$998,D$1,'Blackout Brand Fam Areas (Enc)'!$D$6:$D$998,"Inactive")&gt;0,"BLOCKED","CAN SELL"))</f>
        <v>CAN SELL</v>
      </c>
      <c r="E158" s="2" t="str">
        <f>IF($A158="","",IF(COUNTIFS('Blackout Brand Fam Areas (Enc)'!$B$6:$B$998,$A158,'Blackout Brand Fam Areas (Enc)'!$C$6:$C$998,E$1,'Blackout Brand Fam Areas (Enc)'!$D$6:$D$998,"Inactive")&gt;0,"BLOCKED","CAN SELL"))</f>
        <v>BLOCKED</v>
      </c>
      <c r="F158" s="2" t="str">
        <f>IF($A158="","",IF(COUNTIFS('Blackout Brand Fam Areas (Enc)'!$B$6:$B$998,$A158,'Blackout Brand Fam Areas (Enc)'!$C$6:$C$998,F$1,'Blackout Brand Fam Areas (Enc)'!$D$6:$D$998,"Inactive")&gt;0,"BLOCKED","CAN SELL"))</f>
        <v>BLOCKED</v>
      </c>
      <c r="G158" s="2" t="str">
        <f>IF($A158="","",IF(COUNTIFS('Blackout Brand Fam Areas (Enc)'!$B$6:$B$998,$A158,'Blackout Brand Fam Areas (Enc)'!$C$6:$C$998,G$1,'Blackout Brand Fam Areas (Enc)'!$D$6:$D$998,"Inactive")&gt;0,"BLOCKED","CAN SELL"))</f>
        <v>BLOCKED</v>
      </c>
      <c r="H158" s="2" t="str">
        <f>IF($A158="","",IF(COUNTIFS('Blackout Brand Fam Areas (Enc)'!$B$6:$B$998,$A158,'Blackout Brand Fam Areas (Enc)'!$C$6:$C$998,H$1,'Blackout Brand Fam Areas (Enc)'!$D$6:$D$998,"Inactive")&gt;0,"BLOCKED","CAN SELL"))</f>
        <v>CAN SELL</v>
      </c>
      <c r="I158" s="2" t="str">
        <f>IF($A158="","",IF(COUNTIFS('Blackout Brand Fam Areas (Enc)'!$B$6:$B$998,$A158,'Blackout Brand Fam Areas (Enc)'!$C$6:$C$998,I$1,'Blackout Brand Fam Areas (Enc)'!$D$6:$D$998,"Inactive")&gt;0,"BLOCKED","CAN SELL"))</f>
        <v>CAN SELL</v>
      </c>
      <c r="J158" s="2" t="str">
        <f>IF($A158="","",IF(COUNTIFS('Blackout Brand Fam Areas (Enc)'!$B$6:$B$998,$A158,'Blackout Brand Fam Areas (Enc)'!$C$6:$C$998,J$1,'Blackout Brand Fam Areas (Enc)'!$D$6:$D$998,"Inactive")&gt;0,"BLOCKED","CAN SELL"))</f>
        <v>BLOCKED</v>
      </c>
      <c r="K158" s="2" t="str">
        <f>IF($A158="","",IF(COUNTIFS('Blackout Brand Fam Areas (Enc)'!$B$6:$B$998,$A158,'Blackout Brand Fam Areas (Enc)'!$C$6:$C$998,K$1,'Blackout Brand Fam Areas (Enc)'!$D$6:$D$998,"Inactive")&gt;0,"BLOCKED","CAN SELL"))</f>
        <v>CAN SELL</v>
      </c>
    </row>
    <row r="159" spans="1:11" x14ac:dyDescent="0.2">
      <c r="A159" s="2" t="str">
        <v>Palm Breeze</v>
      </c>
      <c r="B159" s="2" t="str">
        <f>IF($A159="","",IF(COUNTIFS('Blackout Brand Fam Areas (Enc)'!$B$6:$B$998,$A159,'Blackout Brand Fam Areas (Enc)'!$C$6:$C$998,B$1,'Blackout Brand Fam Areas (Enc)'!$D$6:$D$998,"Inactive")&gt;0,"BLOCKED","CAN SELL"))</f>
        <v>CAN SELL</v>
      </c>
      <c r="C159" s="2" t="str">
        <f>IF($A159="","",IF(COUNTIFS('Blackout Brand Fam Areas (Enc)'!$B$6:$B$998,$A159,'Blackout Brand Fam Areas (Enc)'!$C$6:$C$998,C$1,'Blackout Brand Fam Areas (Enc)'!$D$6:$D$998,"Inactive")&gt;0,"BLOCKED","CAN SELL"))</f>
        <v>CAN SELL</v>
      </c>
      <c r="D159" s="2" t="str">
        <f>IF($A159="","",IF(COUNTIFS('Blackout Brand Fam Areas (Enc)'!$B$6:$B$998,$A159,'Blackout Brand Fam Areas (Enc)'!$C$6:$C$998,D$1,'Blackout Brand Fam Areas (Enc)'!$D$6:$D$998,"Inactive")&gt;0,"BLOCKED","CAN SELL"))</f>
        <v>CAN SELL</v>
      </c>
      <c r="E159" s="2" t="str">
        <f>IF($A159="","",IF(COUNTIFS('Blackout Brand Fam Areas (Enc)'!$B$6:$B$998,$A159,'Blackout Brand Fam Areas (Enc)'!$C$6:$C$998,E$1,'Blackout Brand Fam Areas (Enc)'!$D$6:$D$998,"Inactive")&gt;0,"BLOCKED","CAN SELL"))</f>
        <v>BLOCKED</v>
      </c>
      <c r="F159" s="2" t="str">
        <f>IF($A159="","",IF(COUNTIFS('Blackout Brand Fam Areas (Enc)'!$B$6:$B$998,$A159,'Blackout Brand Fam Areas (Enc)'!$C$6:$C$998,F$1,'Blackout Brand Fam Areas (Enc)'!$D$6:$D$998,"Inactive")&gt;0,"BLOCKED","CAN SELL"))</f>
        <v>CAN SELL</v>
      </c>
      <c r="G159" s="2" t="str">
        <f>IF($A159="","",IF(COUNTIFS('Blackout Brand Fam Areas (Enc)'!$B$6:$B$998,$A159,'Blackout Brand Fam Areas (Enc)'!$C$6:$C$998,G$1,'Blackout Brand Fam Areas (Enc)'!$D$6:$D$998,"Inactive")&gt;0,"BLOCKED","CAN SELL"))</f>
        <v>BLOCKED</v>
      </c>
      <c r="H159" s="2" t="str">
        <f>IF($A159="","",IF(COUNTIFS('Blackout Brand Fam Areas (Enc)'!$B$6:$B$998,$A159,'Blackout Brand Fam Areas (Enc)'!$C$6:$C$998,H$1,'Blackout Brand Fam Areas (Enc)'!$D$6:$D$998,"Inactive")&gt;0,"BLOCKED","CAN SELL"))</f>
        <v>CAN SELL</v>
      </c>
      <c r="I159" s="2" t="str">
        <f>IF($A159="","",IF(COUNTIFS('Blackout Brand Fam Areas (Enc)'!$B$6:$B$998,$A159,'Blackout Brand Fam Areas (Enc)'!$C$6:$C$998,I$1,'Blackout Brand Fam Areas (Enc)'!$D$6:$D$998,"Inactive")&gt;0,"BLOCKED","CAN SELL"))</f>
        <v>CAN SELL</v>
      </c>
      <c r="J159" s="2" t="str">
        <f>IF($A159="","",IF(COUNTIFS('Blackout Brand Fam Areas (Enc)'!$B$6:$B$998,$A159,'Blackout Brand Fam Areas (Enc)'!$C$6:$C$998,J$1,'Blackout Brand Fam Areas (Enc)'!$D$6:$D$998,"Inactive")&gt;0,"BLOCKED","CAN SELL"))</f>
        <v>BLOCKED</v>
      </c>
      <c r="K159" s="2" t="str">
        <f>IF($A159="","",IF(COUNTIFS('Blackout Brand Fam Areas (Enc)'!$B$6:$B$998,$A159,'Blackout Brand Fam Areas (Enc)'!$C$6:$C$998,K$1,'Blackout Brand Fam Areas (Enc)'!$D$6:$D$998,"Inactive")&gt;0,"BLOCKED","CAN SELL"))</f>
        <v>CAN SELL</v>
      </c>
    </row>
    <row r="160" spans="1:11" x14ac:dyDescent="0.2">
      <c r="A160" s="2" t="str">
        <v>Paulaner</v>
      </c>
      <c r="B160" s="2" t="str">
        <f>IF($A160="","",IF(COUNTIFS('Blackout Brand Fam Areas (Enc)'!$B$6:$B$998,$A160,'Blackout Brand Fam Areas (Enc)'!$C$6:$C$998,B$1,'Blackout Brand Fam Areas (Enc)'!$D$6:$D$998,"Inactive")&gt;0,"BLOCKED","CAN SELL"))</f>
        <v>CAN SELL</v>
      </c>
      <c r="C160" s="2" t="str">
        <f>IF($A160="","",IF(COUNTIFS('Blackout Brand Fam Areas (Enc)'!$B$6:$B$998,$A160,'Blackout Brand Fam Areas (Enc)'!$C$6:$C$998,C$1,'Blackout Brand Fam Areas (Enc)'!$D$6:$D$998,"Inactive")&gt;0,"BLOCKED","CAN SELL"))</f>
        <v>CAN SELL</v>
      </c>
      <c r="D160" s="2" t="str">
        <f>IF($A160="","",IF(COUNTIFS('Blackout Brand Fam Areas (Enc)'!$B$6:$B$998,$A160,'Blackout Brand Fam Areas (Enc)'!$C$6:$C$998,D$1,'Blackout Brand Fam Areas (Enc)'!$D$6:$D$998,"Inactive")&gt;0,"BLOCKED","CAN SELL"))</f>
        <v>CAN SELL</v>
      </c>
      <c r="E160" s="2" t="str">
        <f>IF($A160="","",IF(COUNTIFS('Blackout Brand Fam Areas (Enc)'!$B$6:$B$998,$A160,'Blackout Brand Fam Areas (Enc)'!$C$6:$C$998,E$1,'Blackout Brand Fam Areas (Enc)'!$D$6:$D$998,"Inactive")&gt;0,"BLOCKED","CAN SELL"))</f>
        <v>CAN SELL</v>
      </c>
      <c r="F160" s="2" t="str">
        <f>IF($A160="","",IF(COUNTIFS('Blackout Brand Fam Areas (Enc)'!$B$6:$B$998,$A160,'Blackout Brand Fam Areas (Enc)'!$C$6:$C$998,F$1,'Blackout Brand Fam Areas (Enc)'!$D$6:$D$998,"Inactive")&gt;0,"BLOCKED","CAN SELL"))</f>
        <v>CAN SELL</v>
      </c>
      <c r="G160" s="2" t="str">
        <f>IF($A160="","",IF(COUNTIFS('Blackout Brand Fam Areas (Enc)'!$B$6:$B$998,$A160,'Blackout Brand Fam Areas (Enc)'!$C$6:$C$998,G$1,'Blackout Brand Fam Areas (Enc)'!$D$6:$D$998,"Inactive")&gt;0,"BLOCKED","CAN SELL"))</f>
        <v>BLOCKED</v>
      </c>
      <c r="H160" s="2" t="str">
        <f>IF($A160="","",IF(COUNTIFS('Blackout Brand Fam Areas (Enc)'!$B$6:$B$998,$A160,'Blackout Brand Fam Areas (Enc)'!$C$6:$C$998,H$1,'Blackout Brand Fam Areas (Enc)'!$D$6:$D$998,"Inactive")&gt;0,"BLOCKED","CAN SELL"))</f>
        <v>BLOCKED</v>
      </c>
      <c r="I160" s="2" t="str">
        <f>IF($A160="","",IF(COUNTIFS('Blackout Brand Fam Areas (Enc)'!$B$6:$B$998,$A160,'Blackout Brand Fam Areas (Enc)'!$C$6:$C$998,I$1,'Blackout Brand Fam Areas (Enc)'!$D$6:$D$998,"Inactive")&gt;0,"BLOCKED","CAN SELL"))</f>
        <v>BLOCKED</v>
      </c>
      <c r="J160" s="2" t="str">
        <f>IF($A160="","",IF(COUNTIFS('Blackout Brand Fam Areas (Enc)'!$B$6:$B$998,$A160,'Blackout Brand Fam Areas (Enc)'!$C$6:$C$998,J$1,'Blackout Brand Fam Areas (Enc)'!$D$6:$D$998,"Inactive")&gt;0,"BLOCKED","CAN SELL"))</f>
        <v>BLOCKED</v>
      </c>
      <c r="K160" s="2" t="str">
        <f>IF($A160="","",IF(COUNTIFS('Blackout Brand Fam Areas (Enc)'!$B$6:$B$998,$A160,'Blackout Brand Fam Areas (Enc)'!$C$6:$C$998,K$1,'Blackout Brand Fam Areas (Enc)'!$D$6:$D$998,"Inactive")&gt;0,"BLOCKED","CAN SELL"))</f>
        <v>BLOCKED</v>
      </c>
    </row>
    <row r="161" spans="1:11" x14ac:dyDescent="0.2">
      <c r="A161" s="2" t="str">
        <v>Peroni</v>
      </c>
      <c r="B161" s="2" t="str">
        <f>IF($A161="","",IF(COUNTIFS('Blackout Brand Fam Areas (Enc)'!$B$6:$B$998,$A161,'Blackout Brand Fam Areas (Enc)'!$C$6:$C$998,B$1,'Blackout Brand Fam Areas (Enc)'!$D$6:$D$998,"Inactive")&gt;0,"BLOCKED","CAN SELL"))</f>
        <v>CAN SELL</v>
      </c>
      <c r="C161" s="2" t="str">
        <f>IF($A161="","",IF(COUNTIFS('Blackout Brand Fam Areas (Enc)'!$B$6:$B$998,$A161,'Blackout Brand Fam Areas (Enc)'!$C$6:$C$998,C$1,'Blackout Brand Fam Areas (Enc)'!$D$6:$D$998,"Inactive")&gt;0,"BLOCKED","CAN SELL"))</f>
        <v>CAN SELL</v>
      </c>
      <c r="D161" s="2" t="str">
        <f>IF($A161="","",IF(COUNTIFS('Blackout Brand Fam Areas (Enc)'!$B$6:$B$998,$A161,'Blackout Brand Fam Areas (Enc)'!$C$6:$C$998,D$1,'Blackout Brand Fam Areas (Enc)'!$D$6:$D$998,"Inactive")&gt;0,"BLOCKED","CAN SELL"))</f>
        <v>CAN SELL</v>
      </c>
      <c r="E161" s="2" t="str">
        <f>IF($A161="","",IF(COUNTIFS('Blackout Brand Fam Areas (Enc)'!$B$6:$B$998,$A161,'Blackout Brand Fam Areas (Enc)'!$C$6:$C$998,E$1,'Blackout Brand Fam Areas (Enc)'!$D$6:$D$998,"Inactive")&gt;0,"BLOCKED","CAN SELL"))</f>
        <v>BLOCKED</v>
      </c>
      <c r="F161" s="2" t="str">
        <f>IF($A161="","",IF(COUNTIFS('Blackout Brand Fam Areas (Enc)'!$B$6:$B$998,$A161,'Blackout Brand Fam Areas (Enc)'!$C$6:$C$998,F$1,'Blackout Brand Fam Areas (Enc)'!$D$6:$D$998,"Inactive")&gt;0,"BLOCKED","CAN SELL"))</f>
        <v>BLOCKED</v>
      </c>
      <c r="G161" s="2" t="str">
        <f>IF($A161="","",IF(COUNTIFS('Blackout Brand Fam Areas (Enc)'!$B$6:$B$998,$A161,'Blackout Brand Fam Areas (Enc)'!$C$6:$C$998,G$1,'Blackout Brand Fam Areas (Enc)'!$D$6:$D$998,"Inactive")&gt;0,"BLOCKED","CAN SELL"))</f>
        <v>BLOCKED</v>
      </c>
      <c r="H161" s="2" t="str">
        <f>IF($A161="","",IF(COUNTIFS('Blackout Brand Fam Areas (Enc)'!$B$6:$B$998,$A161,'Blackout Brand Fam Areas (Enc)'!$C$6:$C$998,H$1,'Blackout Brand Fam Areas (Enc)'!$D$6:$D$998,"Inactive")&gt;0,"BLOCKED","CAN SELL"))</f>
        <v>CAN SELL</v>
      </c>
      <c r="I161" s="2" t="str">
        <f>IF($A161="","",IF(COUNTIFS('Blackout Brand Fam Areas (Enc)'!$B$6:$B$998,$A161,'Blackout Brand Fam Areas (Enc)'!$C$6:$C$998,I$1,'Blackout Brand Fam Areas (Enc)'!$D$6:$D$998,"Inactive")&gt;0,"BLOCKED","CAN SELL"))</f>
        <v>CAN SELL</v>
      </c>
      <c r="J161" s="2" t="str">
        <f>IF($A161="","",IF(COUNTIFS('Blackout Brand Fam Areas (Enc)'!$B$6:$B$998,$A161,'Blackout Brand Fam Areas (Enc)'!$C$6:$C$998,J$1,'Blackout Brand Fam Areas (Enc)'!$D$6:$D$998,"Inactive")&gt;0,"BLOCKED","CAN SELL"))</f>
        <v>BLOCKED</v>
      </c>
      <c r="K161" s="2" t="str">
        <f>IF($A161="","",IF(COUNTIFS('Blackout Brand Fam Areas (Enc)'!$B$6:$B$998,$A161,'Blackout Brand Fam Areas (Enc)'!$C$6:$C$998,K$1,'Blackout Brand Fam Areas (Enc)'!$D$6:$D$998,"Inactive")&gt;0,"BLOCKED","CAN SELL"))</f>
        <v>CAN SELL</v>
      </c>
    </row>
    <row r="162" spans="1:11" x14ac:dyDescent="0.2">
      <c r="A162" s="2" t="str">
        <v>Pilsner Urquell</v>
      </c>
      <c r="B162" s="2" t="str">
        <f>IF($A162="","",IF(COUNTIFS('Blackout Brand Fam Areas (Enc)'!$B$6:$B$998,$A162,'Blackout Brand Fam Areas (Enc)'!$C$6:$C$998,B$1,'Blackout Brand Fam Areas (Enc)'!$D$6:$D$998,"Inactive")&gt;0,"BLOCKED","CAN SELL"))</f>
        <v>CAN SELL</v>
      </c>
      <c r="C162" s="2" t="str">
        <f>IF($A162="","",IF(COUNTIFS('Blackout Brand Fam Areas (Enc)'!$B$6:$B$998,$A162,'Blackout Brand Fam Areas (Enc)'!$C$6:$C$998,C$1,'Blackout Brand Fam Areas (Enc)'!$D$6:$D$998,"Inactive")&gt;0,"BLOCKED","CAN SELL"))</f>
        <v>CAN SELL</v>
      </c>
      <c r="D162" s="2" t="str">
        <f>IF($A162="","",IF(COUNTIFS('Blackout Brand Fam Areas (Enc)'!$B$6:$B$998,$A162,'Blackout Brand Fam Areas (Enc)'!$C$6:$C$998,D$1,'Blackout Brand Fam Areas (Enc)'!$D$6:$D$998,"Inactive")&gt;0,"BLOCKED","CAN SELL"))</f>
        <v>CAN SELL</v>
      </c>
      <c r="E162" s="2" t="str">
        <f>IF($A162="","",IF(COUNTIFS('Blackout Brand Fam Areas (Enc)'!$B$6:$B$998,$A162,'Blackout Brand Fam Areas (Enc)'!$C$6:$C$998,E$1,'Blackout Brand Fam Areas (Enc)'!$D$6:$D$998,"Inactive")&gt;0,"BLOCKED","CAN SELL"))</f>
        <v>BLOCKED</v>
      </c>
      <c r="F162" s="2" t="str">
        <f>IF($A162="","",IF(COUNTIFS('Blackout Brand Fam Areas (Enc)'!$B$6:$B$998,$A162,'Blackout Brand Fam Areas (Enc)'!$C$6:$C$998,F$1,'Blackout Brand Fam Areas (Enc)'!$D$6:$D$998,"Inactive")&gt;0,"BLOCKED","CAN SELL"))</f>
        <v>BLOCKED</v>
      </c>
      <c r="G162" s="2" t="str">
        <f>IF($A162="","",IF(COUNTIFS('Blackout Brand Fam Areas (Enc)'!$B$6:$B$998,$A162,'Blackout Brand Fam Areas (Enc)'!$C$6:$C$998,G$1,'Blackout Brand Fam Areas (Enc)'!$D$6:$D$998,"Inactive")&gt;0,"BLOCKED","CAN SELL"))</f>
        <v>BLOCKED</v>
      </c>
      <c r="H162" s="2" t="str">
        <f>IF($A162="","",IF(COUNTIFS('Blackout Brand Fam Areas (Enc)'!$B$6:$B$998,$A162,'Blackout Brand Fam Areas (Enc)'!$C$6:$C$998,H$1,'Blackout Brand Fam Areas (Enc)'!$D$6:$D$998,"Inactive")&gt;0,"BLOCKED","CAN SELL"))</f>
        <v>CAN SELL</v>
      </c>
      <c r="I162" s="2" t="str">
        <f>IF($A162="","",IF(COUNTIFS('Blackout Brand Fam Areas (Enc)'!$B$6:$B$998,$A162,'Blackout Brand Fam Areas (Enc)'!$C$6:$C$998,I$1,'Blackout Brand Fam Areas (Enc)'!$D$6:$D$998,"Inactive")&gt;0,"BLOCKED","CAN SELL"))</f>
        <v>CAN SELL</v>
      </c>
      <c r="J162" s="2" t="str">
        <f>IF($A162="","",IF(COUNTIFS('Blackout Brand Fam Areas (Enc)'!$B$6:$B$998,$A162,'Blackout Brand Fam Areas (Enc)'!$C$6:$C$998,J$1,'Blackout Brand Fam Areas (Enc)'!$D$6:$D$998,"Inactive")&gt;0,"BLOCKED","CAN SELL"))</f>
        <v>BLOCKED</v>
      </c>
      <c r="K162" s="2" t="str">
        <f>IF($A162="","",IF(COUNTIFS('Blackout Brand Fam Areas (Enc)'!$B$6:$B$998,$A162,'Blackout Brand Fam Areas (Enc)'!$C$6:$C$998,K$1,'Blackout Brand Fam Areas (Enc)'!$D$6:$D$998,"Inactive")&gt;0,"BLOCKED","CAN SELL"))</f>
        <v>CAN SELL</v>
      </c>
    </row>
    <row r="163" spans="1:11" x14ac:dyDescent="0.2">
      <c r="A163" s="2" t="str">
        <v>Pirate Water</v>
      </c>
      <c r="B163" s="2" t="str">
        <f>IF($A163="","",IF(COUNTIFS('Blackout Brand Fam Areas (Enc)'!$B$6:$B$998,$A163,'Blackout Brand Fam Areas (Enc)'!$C$6:$C$998,B$1,'Blackout Brand Fam Areas (Enc)'!$D$6:$D$998,"Inactive")&gt;0,"BLOCKED","CAN SELL"))</f>
        <v>CAN SELL</v>
      </c>
      <c r="C163" s="2" t="str">
        <f>IF($A163="","",IF(COUNTIFS('Blackout Brand Fam Areas (Enc)'!$B$6:$B$998,$A163,'Blackout Brand Fam Areas (Enc)'!$C$6:$C$998,C$1,'Blackout Brand Fam Areas (Enc)'!$D$6:$D$998,"Inactive")&gt;0,"BLOCKED","CAN SELL"))</f>
        <v>CAN SELL</v>
      </c>
      <c r="D163" s="2" t="str">
        <f>IF($A163="","",IF(COUNTIFS('Blackout Brand Fam Areas (Enc)'!$B$6:$B$998,$A163,'Blackout Brand Fam Areas (Enc)'!$C$6:$C$998,D$1,'Blackout Brand Fam Areas (Enc)'!$D$6:$D$998,"Inactive")&gt;0,"BLOCKED","CAN SELL"))</f>
        <v>CAN SELL</v>
      </c>
      <c r="E163" s="2" t="str">
        <f>IF($A163="","",IF(COUNTIFS('Blackout Brand Fam Areas (Enc)'!$B$6:$B$998,$A163,'Blackout Brand Fam Areas (Enc)'!$C$6:$C$998,E$1,'Blackout Brand Fam Areas (Enc)'!$D$6:$D$998,"Inactive")&gt;0,"BLOCKED","CAN SELL"))</f>
        <v>BLOCKED</v>
      </c>
      <c r="F163" s="2" t="str">
        <f>IF($A163="","",IF(COUNTIFS('Blackout Brand Fam Areas (Enc)'!$B$6:$B$998,$A163,'Blackout Brand Fam Areas (Enc)'!$C$6:$C$998,F$1,'Blackout Brand Fam Areas (Enc)'!$D$6:$D$998,"Inactive")&gt;0,"BLOCKED","CAN SELL"))</f>
        <v>CAN SELL</v>
      </c>
      <c r="G163" s="2" t="str">
        <f>IF($A163="","",IF(COUNTIFS('Blackout Brand Fam Areas (Enc)'!$B$6:$B$998,$A163,'Blackout Brand Fam Areas (Enc)'!$C$6:$C$998,G$1,'Blackout Brand Fam Areas (Enc)'!$D$6:$D$998,"Inactive")&gt;0,"BLOCKED","CAN SELL"))</f>
        <v>BLOCKED</v>
      </c>
      <c r="H163" s="2" t="str">
        <f>IF($A163="","",IF(COUNTIFS('Blackout Brand Fam Areas (Enc)'!$B$6:$B$998,$A163,'Blackout Brand Fam Areas (Enc)'!$C$6:$C$998,H$1,'Blackout Brand Fam Areas (Enc)'!$D$6:$D$998,"Inactive")&gt;0,"BLOCKED","CAN SELL"))</f>
        <v>CAN SELL</v>
      </c>
      <c r="I163" s="2" t="str">
        <f>IF($A163="","",IF(COUNTIFS('Blackout Brand Fam Areas (Enc)'!$B$6:$B$998,$A163,'Blackout Brand Fam Areas (Enc)'!$C$6:$C$998,I$1,'Blackout Brand Fam Areas (Enc)'!$D$6:$D$998,"Inactive")&gt;0,"BLOCKED","CAN SELL"))</f>
        <v>CAN SELL</v>
      </c>
      <c r="J163" s="2" t="str">
        <f>IF($A163="","",IF(COUNTIFS('Blackout Brand Fam Areas (Enc)'!$B$6:$B$998,$A163,'Blackout Brand Fam Areas (Enc)'!$C$6:$C$998,J$1,'Blackout Brand Fam Areas (Enc)'!$D$6:$D$998,"Inactive")&gt;0,"BLOCKED","CAN SELL"))</f>
        <v>BLOCKED</v>
      </c>
      <c r="K163" s="2" t="str">
        <f>IF($A163="","",IF(COUNTIFS('Blackout Brand Fam Areas (Enc)'!$B$6:$B$998,$A163,'Blackout Brand Fam Areas (Enc)'!$C$6:$C$998,K$1,'Blackout Brand Fam Areas (Enc)'!$D$6:$D$998,"Inactive")&gt;0,"BLOCKED","CAN SELL"))</f>
        <v>CAN SELL</v>
      </c>
    </row>
    <row r="164" spans="1:11" x14ac:dyDescent="0.2">
      <c r="A164" s="2" t="str">
        <v>Poggio Torselli</v>
      </c>
      <c r="B164" s="2" t="str">
        <f>IF($A164="","",IF(COUNTIFS('Blackout Brand Fam Areas (Enc)'!$B$6:$B$998,$A164,'Blackout Brand Fam Areas (Enc)'!$C$6:$C$998,B$1,'Blackout Brand Fam Areas (Enc)'!$D$6:$D$998,"Inactive")&gt;0,"BLOCKED","CAN SELL"))</f>
        <v>CAN SELL</v>
      </c>
      <c r="C164" s="2" t="str">
        <f>IF($A164="","",IF(COUNTIFS('Blackout Brand Fam Areas (Enc)'!$B$6:$B$998,$A164,'Blackout Brand Fam Areas (Enc)'!$C$6:$C$998,C$1,'Blackout Brand Fam Areas (Enc)'!$D$6:$D$998,"Inactive")&gt;0,"BLOCKED","CAN SELL"))</f>
        <v>CAN SELL</v>
      </c>
      <c r="D164" s="2" t="str">
        <f>IF($A164="","",IF(COUNTIFS('Blackout Brand Fam Areas (Enc)'!$B$6:$B$998,$A164,'Blackout Brand Fam Areas (Enc)'!$C$6:$C$998,D$1,'Blackout Brand Fam Areas (Enc)'!$D$6:$D$998,"Inactive")&gt;0,"BLOCKED","CAN SELL"))</f>
        <v>CAN SELL</v>
      </c>
      <c r="E164" s="2" t="str">
        <f>IF($A164="","",IF(COUNTIFS('Blackout Brand Fam Areas (Enc)'!$B$6:$B$998,$A164,'Blackout Brand Fam Areas (Enc)'!$C$6:$C$998,E$1,'Blackout Brand Fam Areas (Enc)'!$D$6:$D$998,"Inactive")&gt;0,"BLOCKED","CAN SELL"))</f>
        <v>BLOCKED</v>
      </c>
      <c r="F164" s="2" t="str">
        <f>IF($A164="","",IF(COUNTIFS('Blackout Brand Fam Areas (Enc)'!$B$6:$B$998,$A164,'Blackout Brand Fam Areas (Enc)'!$C$6:$C$998,F$1,'Blackout Brand Fam Areas (Enc)'!$D$6:$D$998,"Inactive")&gt;0,"BLOCKED","CAN SELL"))</f>
        <v>BLOCKED</v>
      </c>
      <c r="G164" s="2" t="str">
        <f>IF($A164="","",IF(COUNTIFS('Blackout Brand Fam Areas (Enc)'!$B$6:$B$998,$A164,'Blackout Brand Fam Areas (Enc)'!$C$6:$C$998,G$1,'Blackout Brand Fam Areas (Enc)'!$D$6:$D$998,"Inactive")&gt;0,"BLOCKED","CAN SELL"))</f>
        <v>BLOCKED</v>
      </c>
      <c r="H164" s="2" t="str">
        <f>IF($A164="","",IF(COUNTIFS('Blackout Brand Fam Areas (Enc)'!$B$6:$B$998,$A164,'Blackout Brand Fam Areas (Enc)'!$C$6:$C$998,H$1,'Blackout Brand Fam Areas (Enc)'!$D$6:$D$998,"Inactive")&gt;0,"BLOCKED","CAN SELL"))</f>
        <v>CAN SELL</v>
      </c>
      <c r="I164" s="2" t="str">
        <f>IF($A164="","",IF(COUNTIFS('Blackout Brand Fam Areas (Enc)'!$B$6:$B$998,$A164,'Blackout Brand Fam Areas (Enc)'!$C$6:$C$998,I$1,'Blackout Brand Fam Areas (Enc)'!$D$6:$D$998,"Inactive")&gt;0,"BLOCKED","CAN SELL"))</f>
        <v>CAN SELL</v>
      </c>
      <c r="J164" s="2" t="str">
        <f>IF($A164="","",IF(COUNTIFS('Blackout Brand Fam Areas (Enc)'!$B$6:$B$998,$A164,'Blackout Brand Fam Areas (Enc)'!$C$6:$C$998,J$1,'Blackout Brand Fam Areas (Enc)'!$D$6:$D$998,"Inactive")&gt;0,"BLOCKED","CAN SELL"))</f>
        <v>BLOCKED</v>
      </c>
      <c r="K164" s="2" t="str">
        <f>IF($A164="","",IF(COUNTIFS('Blackout Brand Fam Areas (Enc)'!$B$6:$B$998,$A164,'Blackout Brand Fam Areas (Enc)'!$C$6:$C$998,K$1,'Blackout Brand Fam Areas (Enc)'!$D$6:$D$998,"Inactive")&gt;0,"BLOCKED","CAN SELL"))</f>
        <v>CAN SELL</v>
      </c>
    </row>
    <row r="165" spans="1:11" x14ac:dyDescent="0.2">
      <c r="A165" s="2" t="str">
        <v>Press</v>
      </c>
      <c r="B165" s="2" t="str">
        <f>IF($A165="","",IF(COUNTIFS('Blackout Brand Fam Areas (Enc)'!$B$6:$B$998,$A165,'Blackout Brand Fam Areas (Enc)'!$C$6:$C$998,B$1,'Blackout Brand Fam Areas (Enc)'!$D$6:$D$998,"Inactive")&gt;0,"BLOCKED","CAN SELL"))</f>
        <v>CAN SELL</v>
      </c>
      <c r="C165" s="2" t="str">
        <f>IF($A165="","",IF(COUNTIFS('Blackout Brand Fam Areas (Enc)'!$B$6:$B$998,$A165,'Blackout Brand Fam Areas (Enc)'!$C$6:$C$998,C$1,'Blackout Brand Fam Areas (Enc)'!$D$6:$D$998,"Inactive")&gt;0,"BLOCKED","CAN SELL"))</f>
        <v>CAN SELL</v>
      </c>
      <c r="D165" s="2" t="str">
        <f>IF($A165="","",IF(COUNTIFS('Blackout Brand Fam Areas (Enc)'!$B$6:$B$998,$A165,'Blackout Brand Fam Areas (Enc)'!$C$6:$C$998,D$1,'Blackout Brand Fam Areas (Enc)'!$D$6:$D$998,"Inactive")&gt;0,"BLOCKED","CAN SELL"))</f>
        <v>CAN SELL</v>
      </c>
      <c r="E165" s="2" t="str">
        <f>IF($A165="","",IF(COUNTIFS('Blackout Brand Fam Areas (Enc)'!$B$6:$B$998,$A165,'Blackout Brand Fam Areas (Enc)'!$C$6:$C$998,E$1,'Blackout Brand Fam Areas (Enc)'!$D$6:$D$998,"Inactive")&gt;0,"BLOCKED","CAN SELL"))</f>
        <v>BLOCKED</v>
      </c>
      <c r="F165" s="2" t="str">
        <f>IF($A165="","",IF(COUNTIFS('Blackout Brand Fam Areas (Enc)'!$B$6:$B$998,$A165,'Blackout Brand Fam Areas (Enc)'!$C$6:$C$998,F$1,'Blackout Brand Fam Areas (Enc)'!$D$6:$D$998,"Inactive")&gt;0,"BLOCKED","CAN SELL"))</f>
        <v>BLOCKED</v>
      </c>
      <c r="G165" s="2" t="str">
        <f>IF($A165="","",IF(COUNTIFS('Blackout Brand Fam Areas (Enc)'!$B$6:$B$998,$A165,'Blackout Brand Fam Areas (Enc)'!$C$6:$C$998,G$1,'Blackout Brand Fam Areas (Enc)'!$D$6:$D$998,"Inactive")&gt;0,"BLOCKED","CAN SELL"))</f>
        <v>BLOCKED</v>
      </c>
      <c r="H165" s="2" t="str">
        <f>IF($A165="","",IF(COUNTIFS('Blackout Brand Fam Areas (Enc)'!$B$6:$B$998,$A165,'Blackout Brand Fam Areas (Enc)'!$C$6:$C$998,H$1,'Blackout Brand Fam Areas (Enc)'!$D$6:$D$998,"Inactive")&gt;0,"BLOCKED","CAN SELL"))</f>
        <v>CAN SELL</v>
      </c>
      <c r="I165" s="2" t="str">
        <f>IF($A165="","",IF(COUNTIFS('Blackout Brand Fam Areas (Enc)'!$B$6:$B$998,$A165,'Blackout Brand Fam Areas (Enc)'!$C$6:$C$998,I$1,'Blackout Brand Fam Areas (Enc)'!$D$6:$D$998,"Inactive")&gt;0,"BLOCKED","CAN SELL"))</f>
        <v>CAN SELL</v>
      </c>
      <c r="J165" s="2" t="str">
        <f>IF($A165="","",IF(COUNTIFS('Blackout Brand Fam Areas (Enc)'!$B$6:$B$998,$A165,'Blackout Brand Fam Areas (Enc)'!$C$6:$C$998,J$1,'Blackout Brand Fam Areas (Enc)'!$D$6:$D$998,"Inactive")&gt;0,"BLOCKED","CAN SELL"))</f>
        <v>BLOCKED</v>
      </c>
      <c r="K165" s="2" t="str">
        <f>IF($A165="","",IF(COUNTIFS('Blackout Brand Fam Areas (Enc)'!$B$6:$B$998,$A165,'Blackout Brand Fam Areas (Enc)'!$C$6:$C$998,K$1,'Blackout Brand Fam Areas (Enc)'!$D$6:$D$998,"Inactive")&gt;0,"BLOCKED","CAN SELL"))</f>
        <v>CAN SELL</v>
      </c>
    </row>
    <row r="166" spans="1:11" x14ac:dyDescent="0.2">
      <c r="A166" s="2" t="str">
        <v>Prestige Lager</v>
      </c>
      <c r="B166" s="2" t="str">
        <f>IF($A166="","",IF(COUNTIFS('Blackout Brand Fam Areas (Enc)'!$B$6:$B$998,$A166,'Blackout Brand Fam Areas (Enc)'!$C$6:$C$998,B$1,'Blackout Brand Fam Areas (Enc)'!$D$6:$D$998,"Inactive")&gt;0,"BLOCKED","CAN SELL"))</f>
        <v>CAN SELL</v>
      </c>
      <c r="C166" s="2" t="str">
        <f>IF($A166="","",IF(COUNTIFS('Blackout Brand Fam Areas (Enc)'!$B$6:$B$998,$A166,'Blackout Brand Fam Areas (Enc)'!$C$6:$C$998,C$1,'Blackout Brand Fam Areas (Enc)'!$D$6:$D$998,"Inactive")&gt;0,"BLOCKED","CAN SELL"))</f>
        <v>CAN SELL</v>
      </c>
      <c r="D166" s="2" t="str">
        <f>IF($A166="","",IF(COUNTIFS('Blackout Brand Fam Areas (Enc)'!$B$6:$B$998,$A166,'Blackout Brand Fam Areas (Enc)'!$C$6:$C$998,D$1,'Blackout Brand Fam Areas (Enc)'!$D$6:$D$998,"Inactive")&gt;0,"BLOCKED","CAN SELL"))</f>
        <v>CAN SELL</v>
      </c>
      <c r="E166" s="2" t="str">
        <f>IF($A166="","",IF(COUNTIFS('Blackout Brand Fam Areas (Enc)'!$B$6:$B$998,$A166,'Blackout Brand Fam Areas (Enc)'!$C$6:$C$998,E$1,'Blackout Brand Fam Areas (Enc)'!$D$6:$D$998,"Inactive")&gt;0,"BLOCKED","CAN SELL"))</f>
        <v>BLOCKED</v>
      </c>
      <c r="F166" s="2" t="str">
        <f>IF($A166="","",IF(COUNTIFS('Blackout Brand Fam Areas (Enc)'!$B$6:$B$998,$A166,'Blackout Brand Fam Areas (Enc)'!$C$6:$C$998,F$1,'Blackout Brand Fam Areas (Enc)'!$D$6:$D$998,"Inactive")&gt;0,"BLOCKED","CAN SELL"))</f>
        <v>BLOCKED</v>
      </c>
      <c r="G166" s="2" t="str">
        <f>IF($A166="","",IF(COUNTIFS('Blackout Brand Fam Areas (Enc)'!$B$6:$B$998,$A166,'Blackout Brand Fam Areas (Enc)'!$C$6:$C$998,G$1,'Blackout Brand Fam Areas (Enc)'!$D$6:$D$998,"Inactive")&gt;0,"BLOCKED","CAN SELL"))</f>
        <v>BLOCKED</v>
      </c>
      <c r="H166" s="2" t="str">
        <f>IF($A166="","",IF(COUNTIFS('Blackout Brand Fam Areas (Enc)'!$B$6:$B$998,$A166,'Blackout Brand Fam Areas (Enc)'!$C$6:$C$998,H$1,'Blackout Brand Fam Areas (Enc)'!$D$6:$D$998,"Inactive")&gt;0,"BLOCKED","CAN SELL"))</f>
        <v>BLOCKED</v>
      </c>
      <c r="I166" s="2" t="str">
        <f>IF($A166="","",IF(COUNTIFS('Blackout Brand Fam Areas (Enc)'!$B$6:$B$998,$A166,'Blackout Brand Fam Areas (Enc)'!$C$6:$C$998,I$1,'Blackout Brand Fam Areas (Enc)'!$D$6:$D$998,"Inactive")&gt;0,"BLOCKED","CAN SELL"))</f>
        <v>BLOCKED</v>
      </c>
      <c r="J166" s="2" t="str">
        <f>IF($A166="","",IF(COUNTIFS('Blackout Brand Fam Areas (Enc)'!$B$6:$B$998,$A166,'Blackout Brand Fam Areas (Enc)'!$C$6:$C$998,J$1,'Blackout Brand Fam Areas (Enc)'!$D$6:$D$998,"Inactive")&gt;0,"BLOCKED","CAN SELL"))</f>
        <v>BLOCKED</v>
      </c>
      <c r="K166" s="2" t="str">
        <f>IF($A166="","",IF(COUNTIFS('Blackout Brand Fam Areas (Enc)'!$B$6:$B$998,$A166,'Blackout Brand Fam Areas (Enc)'!$C$6:$C$998,K$1,'Blackout Brand Fam Areas (Enc)'!$D$6:$D$998,"Inactive")&gt;0,"BLOCKED","CAN SELL"))</f>
        <v>CAN SELL</v>
      </c>
    </row>
    <row r="167" spans="1:11" x14ac:dyDescent="0.2">
      <c r="A167" s="2" t="str">
        <v>Proof Point</v>
      </c>
      <c r="B167" s="2" t="str">
        <f>IF($A167="","",IF(COUNTIFS('Blackout Brand Fam Areas (Enc)'!$B$6:$B$998,$A167,'Blackout Brand Fam Areas (Enc)'!$C$6:$C$998,B$1,'Blackout Brand Fam Areas (Enc)'!$D$6:$D$998,"Inactive")&gt;0,"BLOCKED","CAN SELL"))</f>
        <v>CAN SELL</v>
      </c>
      <c r="C167" s="2" t="str">
        <f>IF($A167="","",IF(COUNTIFS('Blackout Brand Fam Areas (Enc)'!$B$6:$B$998,$A167,'Blackout Brand Fam Areas (Enc)'!$C$6:$C$998,C$1,'Blackout Brand Fam Areas (Enc)'!$D$6:$D$998,"Inactive")&gt;0,"BLOCKED","CAN SELL"))</f>
        <v>CAN SELL</v>
      </c>
      <c r="D167" s="2" t="str">
        <f>IF($A167="","",IF(COUNTIFS('Blackout Brand Fam Areas (Enc)'!$B$6:$B$998,$A167,'Blackout Brand Fam Areas (Enc)'!$C$6:$C$998,D$1,'Blackout Brand Fam Areas (Enc)'!$D$6:$D$998,"Inactive")&gt;0,"BLOCKED","CAN SELL"))</f>
        <v>CAN SELL</v>
      </c>
      <c r="E167" s="2" t="str">
        <f>IF($A167="","",IF(COUNTIFS('Blackout Brand Fam Areas (Enc)'!$B$6:$B$998,$A167,'Blackout Brand Fam Areas (Enc)'!$C$6:$C$998,E$1,'Blackout Brand Fam Areas (Enc)'!$D$6:$D$998,"Inactive")&gt;0,"BLOCKED","CAN SELL"))</f>
        <v>BLOCKED</v>
      </c>
      <c r="F167" s="2" t="str">
        <f>IF($A167="","",IF(COUNTIFS('Blackout Brand Fam Areas (Enc)'!$B$6:$B$998,$A167,'Blackout Brand Fam Areas (Enc)'!$C$6:$C$998,F$1,'Blackout Brand Fam Areas (Enc)'!$D$6:$D$998,"Inactive")&gt;0,"BLOCKED","CAN SELL"))</f>
        <v>BLOCKED</v>
      </c>
      <c r="G167" s="2" t="str">
        <f>IF($A167="","",IF(COUNTIFS('Blackout Brand Fam Areas (Enc)'!$B$6:$B$998,$A167,'Blackout Brand Fam Areas (Enc)'!$C$6:$C$998,G$1,'Blackout Brand Fam Areas (Enc)'!$D$6:$D$998,"Inactive")&gt;0,"BLOCKED","CAN SELL"))</f>
        <v>BLOCKED</v>
      </c>
      <c r="H167" s="2" t="str">
        <f>IF($A167="","",IF(COUNTIFS('Blackout Brand Fam Areas (Enc)'!$B$6:$B$998,$A167,'Blackout Brand Fam Areas (Enc)'!$C$6:$C$998,H$1,'Blackout Brand Fam Areas (Enc)'!$D$6:$D$998,"Inactive")&gt;0,"BLOCKED","CAN SELL"))</f>
        <v>CAN SELL</v>
      </c>
      <c r="I167" s="2" t="str">
        <f>IF($A167="","",IF(COUNTIFS('Blackout Brand Fam Areas (Enc)'!$B$6:$B$998,$A167,'Blackout Brand Fam Areas (Enc)'!$C$6:$C$998,I$1,'Blackout Brand Fam Areas (Enc)'!$D$6:$D$998,"Inactive")&gt;0,"BLOCKED","CAN SELL"))</f>
        <v>CAN SELL</v>
      </c>
      <c r="J167" s="2" t="str">
        <f>IF($A167="","",IF(COUNTIFS('Blackout Brand Fam Areas (Enc)'!$B$6:$B$998,$A167,'Blackout Brand Fam Areas (Enc)'!$C$6:$C$998,J$1,'Blackout Brand Fam Areas (Enc)'!$D$6:$D$998,"Inactive")&gt;0,"BLOCKED","CAN SELL"))</f>
        <v>BLOCKED</v>
      </c>
      <c r="K167" s="2" t="str">
        <f>IF($A167="","",IF(COUNTIFS('Blackout Brand Fam Areas (Enc)'!$B$6:$B$998,$A167,'Blackout Brand Fam Areas (Enc)'!$C$6:$C$998,K$1,'Blackout Brand Fam Areas (Enc)'!$D$6:$D$998,"Inactive")&gt;0,"BLOCKED","CAN SELL"))</f>
        <v>CAN SELL</v>
      </c>
    </row>
    <row r="168" spans="1:11" x14ac:dyDescent="0.2">
      <c r="A168" s="2" t="str">
        <v>Red Stripe</v>
      </c>
      <c r="B168" s="2" t="str">
        <f>IF($A168="","",IF(COUNTIFS('Blackout Brand Fam Areas (Enc)'!$B$6:$B$998,$A168,'Blackout Brand Fam Areas (Enc)'!$C$6:$C$998,B$1,'Blackout Brand Fam Areas (Enc)'!$D$6:$D$998,"Inactive")&gt;0,"BLOCKED","CAN SELL"))</f>
        <v>CAN SELL</v>
      </c>
      <c r="C168" s="2" t="str">
        <f>IF($A168="","",IF(COUNTIFS('Blackout Brand Fam Areas (Enc)'!$B$6:$B$998,$A168,'Blackout Brand Fam Areas (Enc)'!$C$6:$C$998,C$1,'Blackout Brand Fam Areas (Enc)'!$D$6:$D$998,"Inactive")&gt;0,"BLOCKED","CAN SELL"))</f>
        <v>CAN SELL</v>
      </c>
      <c r="D168" s="2" t="str">
        <f>IF($A168="","",IF(COUNTIFS('Blackout Brand Fam Areas (Enc)'!$B$6:$B$998,$A168,'Blackout Brand Fam Areas (Enc)'!$C$6:$C$998,D$1,'Blackout Brand Fam Areas (Enc)'!$D$6:$D$998,"Inactive")&gt;0,"BLOCKED","CAN SELL"))</f>
        <v>CAN SELL</v>
      </c>
      <c r="E168" s="2" t="str">
        <f>IF($A168="","",IF(COUNTIFS('Blackout Brand Fam Areas (Enc)'!$B$6:$B$998,$A168,'Blackout Brand Fam Areas (Enc)'!$C$6:$C$998,E$1,'Blackout Brand Fam Areas (Enc)'!$D$6:$D$998,"Inactive")&gt;0,"BLOCKED","CAN SELL"))</f>
        <v>BLOCKED</v>
      </c>
      <c r="F168" s="2" t="str">
        <f>IF($A168="","",IF(COUNTIFS('Blackout Brand Fam Areas (Enc)'!$B$6:$B$998,$A168,'Blackout Brand Fam Areas (Enc)'!$C$6:$C$998,F$1,'Blackout Brand Fam Areas (Enc)'!$D$6:$D$998,"Inactive")&gt;0,"BLOCKED","CAN SELL"))</f>
        <v>BLOCKED</v>
      </c>
      <c r="G168" s="2" t="str">
        <f>IF($A168="","",IF(COUNTIFS('Blackout Brand Fam Areas (Enc)'!$B$6:$B$998,$A168,'Blackout Brand Fam Areas (Enc)'!$C$6:$C$998,G$1,'Blackout Brand Fam Areas (Enc)'!$D$6:$D$998,"Inactive")&gt;0,"BLOCKED","CAN SELL"))</f>
        <v>BLOCKED</v>
      </c>
      <c r="H168" s="2" t="str">
        <f>IF($A168="","",IF(COUNTIFS('Blackout Brand Fam Areas (Enc)'!$B$6:$B$998,$A168,'Blackout Brand Fam Areas (Enc)'!$C$6:$C$998,H$1,'Blackout Brand Fam Areas (Enc)'!$D$6:$D$998,"Inactive")&gt;0,"BLOCKED","CAN SELL"))</f>
        <v>BLOCKED</v>
      </c>
      <c r="I168" s="2" t="str">
        <f>IF($A168="","",IF(COUNTIFS('Blackout Brand Fam Areas (Enc)'!$B$6:$B$998,$A168,'Blackout Brand Fam Areas (Enc)'!$C$6:$C$998,I$1,'Blackout Brand Fam Areas (Enc)'!$D$6:$D$998,"Inactive")&gt;0,"BLOCKED","CAN SELL"))</f>
        <v>BLOCKED</v>
      </c>
      <c r="J168" s="2" t="str">
        <f>IF($A168="","",IF(COUNTIFS('Blackout Brand Fam Areas (Enc)'!$B$6:$B$998,$A168,'Blackout Brand Fam Areas (Enc)'!$C$6:$C$998,J$1,'Blackout Brand Fam Areas (Enc)'!$D$6:$D$998,"Inactive")&gt;0,"BLOCKED","CAN SELL"))</f>
        <v>BLOCKED</v>
      </c>
      <c r="K168" s="2" t="str">
        <f>IF($A168="","",IF(COUNTIFS('Blackout Brand Fam Areas (Enc)'!$B$6:$B$998,$A168,'Blackout Brand Fam Areas (Enc)'!$C$6:$C$998,K$1,'Blackout Brand Fam Areas (Enc)'!$D$6:$D$998,"Inactive")&gt;0,"BLOCKED","CAN SELL"))</f>
        <v>CAN SELL</v>
      </c>
    </row>
    <row r="169" spans="1:11" x14ac:dyDescent="0.2">
      <c r="A169" s="2" t="str">
        <v>Redd's</v>
      </c>
      <c r="B169" s="2" t="str">
        <f>IF($A169="","",IF(COUNTIFS('Blackout Brand Fam Areas (Enc)'!$B$6:$B$998,$A169,'Blackout Brand Fam Areas (Enc)'!$C$6:$C$998,B$1,'Blackout Brand Fam Areas (Enc)'!$D$6:$D$998,"Inactive")&gt;0,"BLOCKED","CAN SELL"))</f>
        <v>CAN SELL</v>
      </c>
      <c r="C169" s="2" t="str">
        <f>IF($A169="","",IF(COUNTIFS('Blackout Brand Fam Areas (Enc)'!$B$6:$B$998,$A169,'Blackout Brand Fam Areas (Enc)'!$C$6:$C$998,C$1,'Blackout Brand Fam Areas (Enc)'!$D$6:$D$998,"Inactive")&gt;0,"BLOCKED","CAN SELL"))</f>
        <v>CAN SELL</v>
      </c>
      <c r="D169" s="2" t="str">
        <f>IF($A169="","",IF(COUNTIFS('Blackout Brand Fam Areas (Enc)'!$B$6:$B$998,$A169,'Blackout Brand Fam Areas (Enc)'!$C$6:$C$998,D$1,'Blackout Brand Fam Areas (Enc)'!$D$6:$D$998,"Inactive")&gt;0,"BLOCKED","CAN SELL"))</f>
        <v>CAN SELL</v>
      </c>
      <c r="E169" s="2" t="str">
        <f>IF($A169="","",IF(COUNTIFS('Blackout Brand Fam Areas (Enc)'!$B$6:$B$998,$A169,'Blackout Brand Fam Areas (Enc)'!$C$6:$C$998,E$1,'Blackout Brand Fam Areas (Enc)'!$D$6:$D$998,"Inactive")&gt;0,"BLOCKED","CAN SELL"))</f>
        <v>BLOCKED</v>
      </c>
      <c r="F169" s="2" t="str">
        <f>IF($A169="","",IF(COUNTIFS('Blackout Brand Fam Areas (Enc)'!$B$6:$B$998,$A169,'Blackout Brand Fam Areas (Enc)'!$C$6:$C$998,F$1,'Blackout Brand Fam Areas (Enc)'!$D$6:$D$998,"Inactive")&gt;0,"BLOCKED","CAN SELL"))</f>
        <v>BLOCKED</v>
      </c>
      <c r="G169" s="2" t="str">
        <f>IF($A169="","",IF(COUNTIFS('Blackout Brand Fam Areas (Enc)'!$B$6:$B$998,$A169,'Blackout Brand Fam Areas (Enc)'!$C$6:$C$998,G$1,'Blackout Brand Fam Areas (Enc)'!$D$6:$D$998,"Inactive")&gt;0,"BLOCKED","CAN SELL"))</f>
        <v>BLOCKED</v>
      </c>
      <c r="H169" s="2" t="str">
        <f>IF($A169="","",IF(COUNTIFS('Blackout Brand Fam Areas (Enc)'!$B$6:$B$998,$A169,'Blackout Brand Fam Areas (Enc)'!$C$6:$C$998,H$1,'Blackout Brand Fam Areas (Enc)'!$D$6:$D$998,"Inactive")&gt;0,"BLOCKED","CAN SELL"))</f>
        <v>CAN SELL</v>
      </c>
      <c r="I169" s="2" t="str">
        <f>IF($A169="","",IF(COUNTIFS('Blackout Brand Fam Areas (Enc)'!$B$6:$B$998,$A169,'Blackout Brand Fam Areas (Enc)'!$C$6:$C$998,I$1,'Blackout Brand Fam Areas (Enc)'!$D$6:$D$998,"Inactive")&gt;0,"BLOCKED","CAN SELL"))</f>
        <v>CAN SELL</v>
      </c>
      <c r="J169" s="2" t="str">
        <f>IF($A169="","",IF(COUNTIFS('Blackout Brand Fam Areas (Enc)'!$B$6:$B$998,$A169,'Blackout Brand Fam Areas (Enc)'!$C$6:$C$998,J$1,'Blackout Brand Fam Areas (Enc)'!$D$6:$D$998,"Inactive")&gt;0,"BLOCKED","CAN SELL"))</f>
        <v>BLOCKED</v>
      </c>
      <c r="K169" s="2" t="str">
        <f>IF($A169="","",IF(COUNTIFS('Blackout Brand Fam Areas (Enc)'!$B$6:$B$998,$A169,'Blackout Brand Fam Areas (Enc)'!$C$6:$C$998,K$1,'Blackout Brand Fam Areas (Enc)'!$D$6:$D$998,"Inactive")&gt;0,"BLOCKED","CAN SELL"))</f>
        <v>CAN SELL</v>
      </c>
    </row>
    <row r="170" spans="1:11" x14ac:dyDescent="0.2">
      <c r="A170" s="2" t="str">
        <v>Redd's Wicked</v>
      </c>
      <c r="B170" s="2" t="str">
        <f>IF($A170="","",IF(COUNTIFS('Blackout Brand Fam Areas (Enc)'!$B$6:$B$998,$A170,'Blackout Brand Fam Areas (Enc)'!$C$6:$C$998,B$1,'Blackout Brand Fam Areas (Enc)'!$D$6:$D$998,"Inactive")&gt;0,"BLOCKED","CAN SELL"))</f>
        <v>CAN SELL</v>
      </c>
      <c r="C170" s="2" t="str">
        <f>IF($A170="","",IF(COUNTIFS('Blackout Brand Fam Areas (Enc)'!$B$6:$B$998,$A170,'Blackout Brand Fam Areas (Enc)'!$C$6:$C$998,C$1,'Blackout Brand Fam Areas (Enc)'!$D$6:$D$998,"Inactive")&gt;0,"BLOCKED","CAN SELL"))</f>
        <v>CAN SELL</v>
      </c>
      <c r="D170" s="2" t="str">
        <f>IF($A170="","",IF(COUNTIFS('Blackout Brand Fam Areas (Enc)'!$B$6:$B$998,$A170,'Blackout Brand Fam Areas (Enc)'!$C$6:$C$998,D$1,'Blackout Brand Fam Areas (Enc)'!$D$6:$D$998,"Inactive")&gt;0,"BLOCKED","CAN SELL"))</f>
        <v>CAN SELL</v>
      </c>
      <c r="E170" s="2" t="str">
        <f>IF($A170="","",IF(COUNTIFS('Blackout Brand Fam Areas (Enc)'!$B$6:$B$998,$A170,'Blackout Brand Fam Areas (Enc)'!$C$6:$C$998,E$1,'Blackout Brand Fam Areas (Enc)'!$D$6:$D$998,"Inactive")&gt;0,"BLOCKED","CAN SELL"))</f>
        <v>BLOCKED</v>
      </c>
      <c r="F170" s="2" t="str">
        <f>IF($A170="","",IF(COUNTIFS('Blackout Brand Fam Areas (Enc)'!$B$6:$B$998,$A170,'Blackout Brand Fam Areas (Enc)'!$C$6:$C$998,F$1,'Blackout Brand Fam Areas (Enc)'!$D$6:$D$998,"Inactive")&gt;0,"BLOCKED","CAN SELL"))</f>
        <v>BLOCKED</v>
      </c>
      <c r="G170" s="2" t="str">
        <f>IF($A170="","",IF(COUNTIFS('Blackout Brand Fam Areas (Enc)'!$B$6:$B$998,$A170,'Blackout Brand Fam Areas (Enc)'!$C$6:$C$998,G$1,'Blackout Brand Fam Areas (Enc)'!$D$6:$D$998,"Inactive")&gt;0,"BLOCKED","CAN SELL"))</f>
        <v>BLOCKED</v>
      </c>
      <c r="H170" s="2" t="str">
        <f>IF($A170="","",IF(COUNTIFS('Blackout Brand Fam Areas (Enc)'!$B$6:$B$998,$A170,'Blackout Brand Fam Areas (Enc)'!$C$6:$C$998,H$1,'Blackout Brand Fam Areas (Enc)'!$D$6:$D$998,"Inactive")&gt;0,"BLOCKED","CAN SELL"))</f>
        <v>CAN SELL</v>
      </c>
      <c r="I170" s="2" t="str">
        <f>IF($A170="","",IF(COUNTIFS('Blackout Brand Fam Areas (Enc)'!$B$6:$B$998,$A170,'Blackout Brand Fam Areas (Enc)'!$C$6:$C$998,I$1,'Blackout Brand Fam Areas (Enc)'!$D$6:$D$998,"Inactive")&gt;0,"BLOCKED","CAN SELL"))</f>
        <v>CAN SELL</v>
      </c>
      <c r="J170" s="2" t="str">
        <f>IF($A170="","",IF(COUNTIFS('Blackout Brand Fam Areas (Enc)'!$B$6:$B$998,$A170,'Blackout Brand Fam Areas (Enc)'!$C$6:$C$998,J$1,'Blackout Brand Fam Areas (Enc)'!$D$6:$D$998,"Inactive")&gt;0,"BLOCKED","CAN SELL"))</f>
        <v>BLOCKED</v>
      </c>
      <c r="K170" s="2" t="str">
        <f>IF($A170="","",IF(COUNTIFS('Blackout Brand Fam Areas (Enc)'!$B$6:$B$998,$A170,'Blackout Brand Fam Areas (Enc)'!$C$6:$C$998,K$1,'Blackout Brand Fam Areas (Enc)'!$D$6:$D$998,"Inactive")&gt;0,"BLOCKED","CAN SELL"))</f>
        <v>CAN SELL</v>
      </c>
    </row>
    <row r="171" spans="1:11" x14ac:dyDescent="0.2">
      <c r="A171" s="2" t="str">
        <v>Rekorderlig</v>
      </c>
      <c r="B171" s="2" t="str">
        <f>IF($A171="","",IF(COUNTIFS('Blackout Brand Fam Areas (Enc)'!$B$6:$B$998,$A171,'Blackout Brand Fam Areas (Enc)'!$C$6:$C$998,B$1,'Blackout Brand Fam Areas (Enc)'!$D$6:$D$998,"Inactive")&gt;0,"BLOCKED","CAN SELL"))</f>
        <v>CAN SELL</v>
      </c>
      <c r="C171" s="2" t="str">
        <f>IF($A171="","",IF(COUNTIFS('Blackout Brand Fam Areas (Enc)'!$B$6:$B$998,$A171,'Blackout Brand Fam Areas (Enc)'!$C$6:$C$998,C$1,'Blackout Brand Fam Areas (Enc)'!$D$6:$D$998,"Inactive")&gt;0,"BLOCKED","CAN SELL"))</f>
        <v>CAN SELL</v>
      </c>
      <c r="D171" s="2" t="str">
        <f>IF($A171="","",IF(COUNTIFS('Blackout Brand Fam Areas (Enc)'!$B$6:$B$998,$A171,'Blackout Brand Fam Areas (Enc)'!$C$6:$C$998,D$1,'Blackout Brand Fam Areas (Enc)'!$D$6:$D$998,"Inactive")&gt;0,"BLOCKED","CAN SELL"))</f>
        <v>CAN SELL</v>
      </c>
      <c r="E171" s="2" t="str">
        <f>IF($A171="","",IF(COUNTIFS('Blackout Brand Fam Areas (Enc)'!$B$6:$B$998,$A171,'Blackout Brand Fam Areas (Enc)'!$C$6:$C$998,E$1,'Blackout Brand Fam Areas (Enc)'!$D$6:$D$998,"Inactive")&gt;0,"BLOCKED","CAN SELL"))</f>
        <v>CAN SELL</v>
      </c>
      <c r="F171" s="2" t="str">
        <f>IF($A171="","",IF(COUNTIFS('Blackout Brand Fam Areas (Enc)'!$B$6:$B$998,$A171,'Blackout Brand Fam Areas (Enc)'!$C$6:$C$998,F$1,'Blackout Brand Fam Areas (Enc)'!$D$6:$D$998,"Inactive")&gt;0,"BLOCKED","CAN SELL"))</f>
        <v>CAN SELL</v>
      </c>
      <c r="G171" s="2" t="str">
        <f>IF($A171="","",IF(COUNTIFS('Blackout Brand Fam Areas (Enc)'!$B$6:$B$998,$A171,'Blackout Brand Fam Areas (Enc)'!$C$6:$C$998,G$1,'Blackout Brand Fam Areas (Enc)'!$D$6:$D$998,"Inactive")&gt;0,"BLOCKED","CAN SELL"))</f>
        <v>BLOCKED</v>
      </c>
      <c r="H171" s="2" t="str">
        <f>IF($A171="","",IF(COUNTIFS('Blackout Brand Fam Areas (Enc)'!$B$6:$B$998,$A171,'Blackout Brand Fam Areas (Enc)'!$C$6:$C$998,H$1,'Blackout Brand Fam Areas (Enc)'!$D$6:$D$998,"Inactive")&gt;0,"BLOCKED","CAN SELL"))</f>
        <v>BLOCKED</v>
      </c>
      <c r="I171" s="2" t="str">
        <f>IF($A171="","",IF(COUNTIFS('Blackout Brand Fam Areas (Enc)'!$B$6:$B$998,$A171,'Blackout Brand Fam Areas (Enc)'!$C$6:$C$998,I$1,'Blackout Brand Fam Areas (Enc)'!$D$6:$D$998,"Inactive")&gt;0,"BLOCKED","CAN SELL"))</f>
        <v>BLOCKED</v>
      </c>
      <c r="J171" s="2" t="str">
        <f>IF($A171="","",IF(COUNTIFS('Blackout Brand Fam Areas (Enc)'!$B$6:$B$998,$A171,'Blackout Brand Fam Areas (Enc)'!$C$6:$C$998,J$1,'Blackout Brand Fam Areas (Enc)'!$D$6:$D$998,"Inactive")&gt;0,"BLOCKED","CAN SELL"))</f>
        <v>BLOCKED</v>
      </c>
      <c r="K171" s="2" t="str">
        <f>IF($A171="","",IF(COUNTIFS('Blackout Brand Fam Areas (Enc)'!$B$6:$B$998,$A171,'Blackout Brand Fam Areas (Enc)'!$C$6:$C$998,K$1,'Blackout Brand Fam Areas (Enc)'!$D$6:$D$998,"Inactive")&gt;0,"BLOCKED","CAN SELL"))</f>
        <v>BLOCKED</v>
      </c>
    </row>
    <row r="172" spans="1:11" x14ac:dyDescent="0.2">
      <c r="A172" s="2" t="str">
        <v>Rodia</v>
      </c>
      <c r="B172" s="2" t="str">
        <f>IF($A172="","",IF(COUNTIFS('Blackout Brand Fam Areas (Enc)'!$B$6:$B$998,$A172,'Blackout Brand Fam Areas (Enc)'!$C$6:$C$998,B$1,'Blackout Brand Fam Areas (Enc)'!$D$6:$D$998,"Inactive")&gt;0,"BLOCKED","CAN SELL"))</f>
        <v>CAN SELL</v>
      </c>
      <c r="C172" s="2" t="str">
        <f>IF($A172="","",IF(COUNTIFS('Blackout Brand Fam Areas (Enc)'!$B$6:$B$998,$A172,'Blackout Brand Fam Areas (Enc)'!$C$6:$C$998,C$1,'Blackout Brand Fam Areas (Enc)'!$D$6:$D$998,"Inactive")&gt;0,"BLOCKED","CAN SELL"))</f>
        <v>CAN SELL</v>
      </c>
      <c r="D172" s="2" t="str">
        <f>IF($A172="","",IF(COUNTIFS('Blackout Brand Fam Areas (Enc)'!$B$6:$B$998,$A172,'Blackout Brand Fam Areas (Enc)'!$C$6:$C$998,D$1,'Blackout Brand Fam Areas (Enc)'!$D$6:$D$998,"Inactive")&gt;0,"BLOCKED","CAN SELL"))</f>
        <v>CAN SELL</v>
      </c>
      <c r="E172" s="2" t="str">
        <f>IF($A172="","",IF(COUNTIFS('Blackout Brand Fam Areas (Enc)'!$B$6:$B$998,$A172,'Blackout Brand Fam Areas (Enc)'!$C$6:$C$998,E$1,'Blackout Brand Fam Areas (Enc)'!$D$6:$D$998,"Inactive")&gt;0,"BLOCKED","CAN SELL"))</f>
        <v>BLOCKED</v>
      </c>
      <c r="F172" s="2" t="str">
        <f>IF($A172="","",IF(COUNTIFS('Blackout Brand Fam Areas (Enc)'!$B$6:$B$998,$A172,'Blackout Brand Fam Areas (Enc)'!$C$6:$C$998,F$1,'Blackout Brand Fam Areas (Enc)'!$D$6:$D$998,"Inactive")&gt;0,"BLOCKED","CAN SELL"))</f>
        <v>BLOCKED</v>
      </c>
      <c r="G172" s="2" t="str">
        <f>IF($A172="","",IF(COUNTIFS('Blackout Brand Fam Areas (Enc)'!$B$6:$B$998,$A172,'Blackout Brand Fam Areas (Enc)'!$C$6:$C$998,G$1,'Blackout Brand Fam Areas (Enc)'!$D$6:$D$998,"Inactive")&gt;0,"BLOCKED","CAN SELL"))</f>
        <v>BLOCKED</v>
      </c>
      <c r="H172" s="2" t="str">
        <f>IF($A172="","",IF(COUNTIFS('Blackout Brand Fam Areas (Enc)'!$B$6:$B$998,$A172,'Blackout Brand Fam Areas (Enc)'!$C$6:$C$998,H$1,'Blackout Brand Fam Areas (Enc)'!$D$6:$D$998,"Inactive")&gt;0,"BLOCKED","CAN SELL"))</f>
        <v>CAN SELL</v>
      </c>
      <c r="I172" s="2" t="str">
        <f>IF($A172="","",IF(COUNTIFS('Blackout Brand Fam Areas (Enc)'!$B$6:$B$998,$A172,'Blackout Brand Fam Areas (Enc)'!$C$6:$C$998,I$1,'Blackout Brand Fam Areas (Enc)'!$D$6:$D$998,"Inactive")&gt;0,"BLOCKED","CAN SELL"))</f>
        <v>CAN SELL</v>
      </c>
      <c r="J172" s="2" t="str">
        <f>IF($A172="","",IF(COUNTIFS('Blackout Brand Fam Areas (Enc)'!$B$6:$B$998,$A172,'Blackout Brand Fam Areas (Enc)'!$C$6:$C$998,J$1,'Blackout Brand Fam Areas (Enc)'!$D$6:$D$998,"Inactive")&gt;0,"BLOCKED","CAN SELL"))</f>
        <v>BLOCKED</v>
      </c>
      <c r="K172" s="2" t="str">
        <f>IF($A172="","",IF(COUNTIFS('Blackout Brand Fam Areas (Enc)'!$B$6:$B$998,$A172,'Blackout Brand Fam Areas (Enc)'!$C$6:$C$998,K$1,'Blackout Brand Fam Areas (Enc)'!$D$6:$D$998,"Inactive")&gt;0,"BLOCKED","CAN SELL"))</f>
        <v>CAN SELL</v>
      </c>
    </row>
    <row r="173" spans="1:11" x14ac:dyDescent="0.2">
      <c r="A173" s="2" t="str">
        <v>Sagres Cerveja</v>
      </c>
      <c r="B173" s="2" t="str">
        <f>IF($A173="","",IF(COUNTIFS('Blackout Brand Fam Areas (Enc)'!$B$6:$B$998,$A173,'Blackout Brand Fam Areas (Enc)'!$C$6:$C$998,B$1,'Blackout Brand Fam Areas (Enc)'!$D$6:$D$998,"Inactive")&gt;0,"BLOCKED","CAN SELL"))</f>
        <v>CAN SELL</v>
      </c>
      <c r="C173" s="2" t="str">
        <f>IF($A173="","",IF(COUNTIFS('Blackout Brand Fam Areas (Enc)'!$B$6:$B$998,$A173,'Blackout Brand Fam Areas (Enc)'!$C$6:$C$998,C$1,'Blackout Brand Fam Areas (Enc)'!$D$6:$D$998,"Inactive")&gt;0,"BLOCKED","CAN SELL"))</f>
        <v>CAN SELL</v>
      </c>
      <c r="D173" s="2" t="str">
        <f>IF($A173="","",IF(COUNTIFS('Blackout Brand Fam Areas (Enc)'!$B$6:$B$998,$A173,'Blackout Brand Fam Areas (Enc)'!$C$6:$C$998,D$1,'Blackout Brand Fam Areas (Enc)'!$D$6:$D$998,"Inactive")&gt;0,"BLOCKED","CAN SELL"))</f>
        <v>CAN SELL</v>
      </c>
      <c r="E173" s="2" t="str">
        <f>IF($A173="","",IF(COUNTIFS('Blackout Brand Fam Areas (Enc)'!$B$6:$B$998,$A173,'Blackout Brand Fam Areas (Enc)'!$C$6:$C$998,E$1,'Blackout Brand Fam Areas (Enc)'!$D$6:$D$998,"Inactive")&gt;0,"BLOCKED","CAN SELL"))</f>
        <v>BLOCKED</v>
      </c>
      <c r="F173" s="2" t="str">
        <f>IF($A173="","",IF(COUNTIFS('Blackout Brand Fam Areas (Enc)'!$B$6:$B$998,$A173,'Blackout Brand Fam Areas (Enc)'!$C$6:$C$998,F$1,'Blackout Brand Fam Areas (Enc)'!$D$6:$D$998,"Inactive")&gt;0,"BLOCKED","CAN SELL"))</f>
        <v>BLOCKED</v>
      </c>
      <c r="G173" s="2" t="str">
        <f>IF($A173="","",IF(COUNTIFS('Blackout Brand Fam Areas (Enc)'!$B$6:$B$998,$A173,'Blackout Brand Fam Areas (Enc)'!$C$6:$C$998,G$1,'Blackout Brand Fam Areas (Enc)'!$D$6:$D$998,"Inactive")&gt;0,"BLOCKED","CAN SELL"))</f>
        <v>BLOCKED</v>
      </c>
      <c r="H173" s="2" t="str">
        <f>IF($A173="","",IF(COUNTIFS('Blackout Brand Fam Areas (Enc)'!$B$6:$B$998,$A173,'Blackout Brand Fam Areas (Enc)'!$C$6:$C$998,H$1,'Blackout Brand Fam Areas (Enc)'!$D$6:$D$998,"Inactive")&gt;0,"BLOCKED","CAN SELL"))</f>
        <v>BLOCKED</v>
      </c>
      <c r="I173" s="2" t="str">
        <f>IF($A173="","",IF(COUNTIFS('Blackout Brand Fam Areas (Enc)'!$B$6:$B$998,$A173,'Blackout Brand Fam Areas (Enc)'!$C$6:$C$998,I$1,'Blackout Brand Fam Areas (Enc)'!$D$6:$D$998,"Inactive")&gt;0,"BLOCKED","CAN SELL"))</f>
        <v>BLOCKED</v>
      </c>
      <c r="J173" s="2" t="str">
        <f>IF($A173="","",IF(COUNTIFS('Blackout Brand Fam Areas (Enc)'!$B$6:$B$998,$A173,'Blackout Brand Fam Areas (Enc)'!$C$6:$C$998,J$1,'Blackout Brand Fam Areas (Enc)'!$D$6:$D$998,"Inactive")&gt;0,"BLOCKED","CAN SELL"))</f>
        <v>BLOCKED</v>
      </c>
      <c r="K173" s="2" t="str">
        <f>IF($A173="","",IF(COUNTIFS('Blackout Brand Fam Areas (Enc)'!$B$6:$B$998,$A173,'Blackout Brand Fam Areas (Enc)'!$C$6:$C$998,K$1,'Blackout Brand Fam Areas (Enc)'!$D$6:$D$998,"Inactive")&gt;0,"BLOCKED","CAN SELL"))</f>
        <v>CAN SELL</v>
      </c>
    </row>
    <row r="174" spans="1:11" x14ac:dyDescent="0.2">
      <c r="A174" s="2" t="str">
        <v>Samuel Adams</v>
      </c>
      <c r="B174" s="2" t="str">
        <f>IF($A174="","",IF(COUNTIFS('Blackout Brand Fam Areas (Enc)'!$B$6:$B$998,$A174,'Blackout Brand Fam Areas (Enc)'!$C$6:$C$998,B$1,'Blackout Brand Fam Areas (Enc)'!$D$6:$D$998,"Inactive")&gt;0,"BLOCKED","CAN SELL"))</f>
        <v>CAN SELL</v>
      </c>
      <c r="C174" s="2" t="str">
        <f>IF($A174="","",IF(COUNTIFS('Blackout Brand Fam Areas (Enc)'!$B$6:$B$998,$A174,'Blackout Brand Fam Areas (Enc)'!$C$6:$C$998,C$1,'Blackout Brand Fam Areas (Enc)'!$D$6:$D$998,"Inactive")&gt;0,"BLOCKED","CAN SELL"))</f>
        <v>CAN SELL</v>
      </c>
      <c r="D174" s="2" t="str">
        <f>IF($A174="","",IF(COUNTIFS('Blackout Brand Fam Areas (Enc)'!$B$6:$B$998,$A174,'Blackout Brand Fam Areas (Enc)'!$C$6:$C$998,D$1,'Blackout Brand Fam Areas (Enc)'!$D$6:$D$998,"Inactive")&gt;0,"BLOCKED","CAN SELL"))</f>
        <v>CAN SELL</v>
      </c>
      <c r="E174" s="2" t="str">
        <f>IF($A174="","",IF(COUNTIFS('Blackout Brand Fam Areas (Enc)'!$B$6:$B$998,$A174,'Blackout Brand Fam Areas (Enc)'!$C$6:$C$998,E$1,'Blackout Brand Fam Areas (Enc)'!$D$6:$D$998,"Inactive")&gt;0,"BLOCKED","CAN SELL"))</f>
        <v>BLOCKED</v>
      </c>
      <c r="F174" s="2" t="str">
        <f>IF($A174="","",IF(COUNTIFS('Blackout Brand Fam Areas (Enc)'!$B$6:$B$998,$A174,'Blackout Brand Fam Areas (Enc)'!$C$6:$C$998,F$1,'Blackout Brand Fam Areas (Enc)'!$D$6:$D$998,"Inactive")&gt;0,"BLOCKED","CAN SELL"))</f>
        <v>BLOCKED</v>
      </c>
      <c r="G174" s="2" t="str">
        <f>IF($A174="","",IF(COUNTIFS('Blackout Brand Fam Areas (Enc)'!$B$6:$B$998,$A174,'Blackout Brand Fam Areas (Enc)'!$C$6:$C$998,G$1,'Blackout Brand Fam Areas (Enc)'!$D$6:$D$998,"Inactive")&gt;0,"BLOCKED","CAN SELL"))</f>
        <v>BLOCKED</v>
      </c>
      <c r="H174" s="2" t="str">
        <f>IF($A174="","",IF(COUNTIFS('Blackout Brand Fam Areas (Enc)'!$B$6:$B$998,$A174,'Blackout Brand Fam Areas (Enc)'!$C$6:$C$998,H$1,'Blackout Brand Fam Areas (Enc)'!$D$6:$D$998,"Inactive")&gt;0,"BLOCKED","CAN SELL"))</f>
        <v>CAN SELL</v>
      </c>
      <c r="I174" s="2" t="str">
        <f>IF($A174="","",IF(COUNTIFS('Blackout Brand Fam Areas (Enc)'!$B$6:$B$998,$A174,'Blackout Brand Fam Areas (Enc)'!$C$6:$C$998,I$1,'Blackout Brand Fam Areas (Enc)'!$D$6:$D$998,"Inactive")&gt;0,"BLOCKED","CAN SELL"))</f>
        <v>CAN SELL</v>
      </c>
      <c r="J174" s="2" t="str">
        <f>IF($A174="","",IF(COUNTIFS('Blackout Brand Fam Areas (Enc)'!$B$6:$B$998,$A174,'Blackout Brand Fam Areas (Enc)'!$C$6:$C$998,J$1,'Blackout Brand Fam Areas (Enc)'!$D$6:$D$998,"Inactive")&gt;0,"BLOCKED","CAN SELL"))</f>
        <v>BLOCKED</v>
      </c>
      <c r="K174" s="2" t="str">
        <f>IF($A174="","",IF(COUNTIFS('Blackout Brand Fam Areas (Enc)'!$B$6:$B$998,$A174,'Blackout Brand Fam Areas (Enc)'!$C$6:$C$998,K$1,'Blackout Brand Fam Areas (Enc)'!$D$6:$D$998,"Inactive")&gt;0,"BLOCKED","CAN SELL"))</f>
        <v>CAN SELL</v>
      </c>
    </row>
    <row r="175" spans="1:11" x14ac:dyDescent="0.2">
      <c r="A175" s="2" t="str">
        <v>Sauza</v>
      </c>
      <c r="B175" s="2" t="str">
        <f>IF($A175="","",IF(COUNTIFS('Blackout Brand Fam Areas (Enc)'!$B$6:$B$998,$A175,'Blackout Brand Fam Areas (Enc)'!$C$6:$C$998,B$1,'Blackout Brand Fam Areas (Enc)'!$D$6:$D$998,"Inactive")&gt;0,"BLOCKED","CAN SELL"))</f>
        <v>CAN SELL</v>
      </c>
      <c r="C175" s="2" t="str">
        <f>IF($A175="","",IF(COUNTIFS('Blackout Brand Fam Areas (Enc)'!$B$6:$B$998,$A175,'Blackout Brand Fam Areas (Enc)'!$C$6:$C$998,C$1,'Blackout Brand Fam Areas (Enc)'!$D$6:$D$998,"Inactive")&gt;0,"BLOCKED","CAN SELL"))</f>
        <v>CAN SELL</v>
      </c>
      <c r="D175" s="2" t="str">
        <f>IF($A175="","",IF(COUNTIFS('Blackout Brand Fam Areas (Enc)'!$B$6:$B$998,$A175,'Blackout Brand Fam Areas (Enc)'!$C$6:$C$998,D$1,'Blackout Brand Fam Areas (Enc)'!$D$6:$D$998,"Inactive")&gt;0,"BLOCKED","CAN SELL"))</f>
        <v>CAN SELL</v>
      </c>
      <c r="E175" s="2" t="str">
        <f>IF($A175="","",IF(COUNTIFS('Blackout Brand Fam Areas (Enc)'!$B$6:$B$998,$A175,'Blackout Brand Fam Areas (Enc)'!$C$6:$C$998,E$1,'Blackout Brand Fam Areas (Enc)'!$D$6:$D$998,"Inactive")&gt;0,"BLOCKED","CAN SELL"))</f>
        <v>BLOCKED</v>
      </c>
      <c r="F175" s="2" t="str">
        <f>IF($A175="","",IF(COUNTIFS('Blackout Brand Fam Areas (Enc)'!$B$6:$B$998,$A175,'Blackout Brand Fam Areas (Enc)'!$C$6:$C$998,F$1,'Blackout Brand Fam Areas (Enc)'!$D$6:$D$998,"Inactive")&gt;0,"BLOCKED","CAN SELL"))</f>
        <v>BLOCKED</v>
      </c>
      <c r="G175" s="2" t="str">
        <f>IF($A175="","",IF(COUNTIFS('Blackout Brand Fam Areas (Enc)'!$B$6:$B$998,$A175,'Blackout Brand Fam Areas (Enc)'!$C$6:$C$998,G$1,'Blackout Brand Fam Areas (Enc)'!$D$6:$D$998,"Inactive")&gt;0,"BLOCKED","CAN SELL"))</f>
        <v>BLOCKED</v>
      </c>
      <c r="H175" s="2" t="str">
        <f>IF($A175="","",IF(COUNTIFS('Blackout Brand Fam Areas (Enc)'!$B$6:$B$998,$A175,'Blackout Brand Fam Areas (Enc)'!$C$6:$C$998,H$1,'Blackout Brand Fam Areas (Enc)'!$D$6:$D$998,"Inactive")&gt;0,"BLOCKED","CAN SELL"))</f>
        <v>CAN SELL</v>
      </c>
      <c r="I175" s="2" t="str">
        <f>IF($A175="","",IF(COUNTIFS('Blackout Brand Fam Areas (Enc)'!$B$6:$B$998,$A175,'Blackout Brand Fam Areas (Enc)'!$C$6:$C$998,I$1,'Blackout Brand Fam Areas (Enc)'!$D$6:$D$998,"Inactive")&gt;0,"BLOCKED","CAN SELL"))</f>
        <v>CAN SELL</v>
      </c>
      <c r="J175" s="2" t="str">
        <f>IF($A175="","",IF(COUNTIFS('Blackout Brand Fam Areas (Enc)'!$B$6:$B$998,$A175,'Blackout Brand Fam Areas (Enc)'!$C$6:$C$998,J$1,'Blackout Brand Fam Areas (Enc)'!$D$6:$D$998,"Inactive")&gt;0,"BLOCKED","CAN SELL"))</f>
        <v>BLOCKED</v>
      </c>
      <c r="K175" s="2" t="str">
        <f>IF($A175="","",IF(COUNTIFS('Blackout Brand Fam Areas (Enc)'!$B$6:$B$998,$A175,'Blackout Brand Fam Areas (Enc)'!$C$6:$C$998,K$1,'Blackout Brand Fam Areas (Enc)'!$D$6:$D$998,"Inactive")&gt;0,"BLOCKED","CAN SELL"))</f>
        <v>CAN SELL</v>
      </c>
    </row>
    <row r="176" spans="1:11" x14ac:dyDescent="0.2">
      <c r="A176" s="2" t="str">
        <v>Sea Dog</v>
      </c>
      <c r="B176" s="2" t="str">
        <f>IF($A176="","",IF(COUNTIFS('Blackout Brand Fam Areas (Enc)'!$B$6:$B$998,$A176,'Blackout Brand Fam Areas (Enc)'!$C$6:$C$998,B$1,'Blackout Brand Fam Areas (Enc)'!$D$6:$D$998,"Inactive")&gt;0,"BLOCKED","CAN SELL"))</f>
        <v>CAN SELL</v>
      </c>
      <c r="C176" s="2" t="str">
        <f>IF($A176="","",IF(COUNTIFS('Blackout Brand Fam Areas (Enc)'!$B$6:$B$998,$A176,'Blackout Brand Fam Areas (Enc)'!$C$6:$C$998,C$1,'Blackout Brand Fam Areas (Enc)'!$D$6:$D$998,"Inactive")&gt;0,"BLOCKED","CAN SELL"))</f>
        <v>CAN SELL</v>
      </c>
      <c r="D176" s="2" t="str">
        <f>IF($A176="","",IF(COUNTIFS('Blackout Brand Fam Areas (Enc)'!$B$6:$B$998,$A176,'Blackout Brand Fam Areas (Enc)'!$C$6:$C$998,D$1,'Blackout Brand Fam Areas (Enc)'!$D$6:$D$998,"Inactive")&gt;0,"BLOCKED","CAN SELL"))</f>
        <v>CAN SELL</v>
      </c>
      <c r="E176" s="2" t="str">
        <f>IF($A176="","",IF(COUNTIFS('Blackout Brand Fam Areas (Enc)'!$B$6:$B$998,$A176,'Blackout Brand Fam Areas (Enc)'!$C$6:$C$998,E$1,'Blackout Brand Fam Areas (Enc)'!$D$6:$D$998,"Inactive")&gt;0,"BLOCKED","CAN SELL"))</f>
        <v>CAN SELL</v>
      </c>
      <c r="F176" s="2" t="str">
        <f>IF($A176="","",IF(COUNTIFS('Blackout Brand Fam Areas (Enc)'!$B$6:$B$998,$A176,'Blackout Brand Fam Areas (Enc)'!$C$6:$C$998,F$1,'Blackout Brand Fam Areas (Enc)'!$D$6:$D$998,"Inactive")&gt;0,"BLOCKED","CAN SELL"))</f>
        <v>CAN SELL</v>
      </c>
      <c r="G176" s="2" t="str">
        <f>IF($A176="","",IF(COUNTIFS('Blackout Brand Fam Areas (Enc)'!$B$6:$B$998,$A176,'Blackout Brand Fam Areas (Enc)'!$C$6:$C$998,G$1,'Blackout Brand Fam Areas (Enc)'!$D$6:$D$998,"Inactive")&gt;0,"BLOCKED","CAN SELL"))</f>
        <v>BLOCKED</v>
      </c>
      <c r="H176" s="2" t="str">
        <f>IF($A176="","",IF(COUNTIFS('Blackout Brand Fam Areas (Enc)'!$B$6:$B$998,$A176,'Blackout Brand Fam Areas (Enc)'!$C$6:$C$998,H$1,'Blackout Brand Fam Areas (Enc)'!$D$6:$D$998,"Inactive")&gt;0,"BLOCKED","CAN SELL"))</f>
        <v>BLOCKED</v>
      </c>
      <c r="I176" s="2" t="str">
        <f>IF($A176="","",IF(COUNTIFS('Blackout Brand Fam Areas (Enc)'!$B$6:$B$998,$A176,'Blackout Brand Fam Areas (Enc)'!$C$6:$C$998,I$1,'Blackout Brand Fam Areas (Enc)'!$D$6:$D$998,"Inactive")&gt;0,"BLOCKED","CAN SELL"))</f>
        <v>CAN SELL</v>
      </c>
      <c r="J176" s="2" t="str">
        <f>IF($A176="","",IF(COUNTIFS('Blackout Brand Fam Areas (Enc)'!$B$6:$B$998,$A176,'Blackout Brand Fam Areas (Enc)'!$C$6:$C$998,J$1,'Blackout Brand Fam Areas (Enc)'!$D$6:$D$998,"Inactive")&gt;0,"BLOCKED","CAN SELL"))</f>
        <v>BLOCKED</v>
      </c>
      <c r="K176" s="2" t="str">
        <f>IF($A176="","",IF(COUNTIFS('Blackout Brand Fam Areas (Enc)'!$B$6:$B$998,$A176,'Blackout Brand Fam Areas (Enc)'!$C$6:$C$998,K$1,'Blackout Brand Fam Areas (Enc)'!$D$6:$D$998,"Inactive")&gt;0,"BLOCKED","CAN SELL"))</f>
        <v>BLOCKED</v>
      </c>
    </row>
    <row r="177" spans="1:11" x14ac:dyDescent="0.2">
      <c r="A177" s="2" t="str">
        <v>Seafarer</v>
      </c>
      <c r="B177" s="2" t="str">
        <f>IF($A177="","",IF(COUNTIFS('Blackout Brand Fam Areas (Enc)'!$B$6:$B$998,$A177,'Blackout Brand Fam Areas (Enc)'!$C$6:$C$998,B$1,'Blackout Brand Fam Areas (Enc)'!$D$6:$D$998,"Inactive")&gt;0,"BLOCKED","CAN SELL"))</f>
        <v>CAN SELL</v>
      </c>
      <c r="C177" s="2" t="str">
        <f>IF($A177="","",IF(COUNTIFS('Blackout Brand Fam Areas (Enc)'!$B$6:$B$998,$A177,'Blackout Brand Fam Areas (Enc)'!$C$6:$C$998,C$1,'Blackout Brand Fam Areas (Enc)'!$D$6:$D$998,"Inactive")&gt;0,"BLOCKED","CAN SELL"))</f>
        <v>CAN SELL</v>
      </c>
      <c r="D177" s="2" t="str">
        <f>IF($A177="","",IF(COUNTIFS('Blackout Brand Fam Areas (Enc)'!$B$6:$B$998,$A177,'Blackout Brand Fam Areas (Enc)'!$C$6:$C$998,D$1,'Blackout Brand Fam Areas (Enc)'!$D$6:$D$998,"Inactive")&gt;0,"BLOCKED","CAN SELL"))</f>
        <v>CAN SELL</v>
      </c>
      <c r="E177" s="2" t="str">
        <f>IF($A177="","",IF(COUNTIFS('Blackout Brand Fam Areas (Enc)'!$B$6:$B$998,$A177,'Blackout Brand Fam Areas (Enc)'!$C$6:$C$998,E$1,'Blackout Brand Fam Areas (Enc)'!$D$6:$D$998,"Inactive")&gt;0,"BLOCKED","CAN SELL"))</f>
        <v>CAN SELL</v>
      </c>
      <c r="F177" s="2" t="str">
        <f>IF($A177="","",IF(COUNTIFS('Blackout Brand Fam Areas (Enc)'!$B$6:$B$998,$A177,'Blackout Brand Fam Areas (Enc)'!$C$6:$C$998,F$1,'Blackout Brand Fam Areas (Enc)'!$D$6:$D$998,"Inactive")&gt;0,"BLOCKED","CAN SELL"))</f>
        <v>CAN SELL</v>
      </c>
      <c r="G177" s="2" t="str">
        <f>IF($A177="","",IF(COUNTIFS('Blackout Brand Fam Areas (Enc)'!$B$6:$B$998,$A177,'Blackout Brand Fam Areas (Enc)'!$C$6:$C$998,G$1,'Blackout Brand Fam Areas (Enc)'!$D$6:$D$998,"Inactive")&gt;0,"BLOCKED","CAN SELL"))</f>
        <v>CAN SELL</v>
      </c>
      <c r="H177" s="2" t="str">
        <f>IF($A177="","",IF(COUNTIFS('Blackout Brand Fam Areas (Enc)'!$B$6:$B$998,$A177,'Blackout Brand Fam Areas (Enc)'!$C$6:$C$998,H$1,'Blackout Brand Fam Areas (Enc)'!$D$6:$D$998,"Inactive")&gt;0,"BLOCKED","CAN SELL"))</f>
        <v>BLOCKED</v>
      </c>
      <c r="I177" s="2" t="str">
        <f>IF($A177="","",IF(COUNTIFS('Blackout Brand Fam Areas (Enc)'!$B$6:$B$998,$A177,'Blackout Brand Fam Areas (Enc)'!$C$6:$C$998,I$1,'Blackout Brand Fam Areas (Enc)'!$D$6:$D$998,"Inactive")&gt;0,"BLOCKED","CAN SELL"))</f>
        <v>CAN SELL</v>
      </c>
      <c r="J177" s="2" t="str">
        <f>IF($A177="","",IF(COUNTIFS('Blackout Brand Fam Areas (Enc)'!$B$6:$B$998,$A177,'Blackout Brand Fam Areas (Enc)'!$C$6:$C$998,J$1,'Blackout Brand Fam Areas (Enc)'!$D$6:$D$998,"Inactive")&gt;0,"BLOCKED","CAN SELL"))</f>
        <v>CAN SELL</v>
      </c>
      <c r="K177" s="2" t="str">
        <f>IF($A177="","",IF(COUNTIFS('Blackout Brand Fam Areas (Enc)'!$B$6:$B$998,$A177,'Blackout Brand Fam Areas (Enc)'!$C$6:$C$998,K$1,'Blackout Brand Fam Areas (Enc)'!$D$6:$D$998,"Inactive")&gt;0,"BLOCKED","CAN SELL"))</f>
        <v>CAN SELL</v>
      </c>
    </row>
    <row r="178" spans="1:11" x14ac:dyDescent="0.2">
      <c r="A178" s="2" t="str">
        <v>Shed</v>
      </c>
      <c r="B178" s="2" t="str">
        <f>IF($A178="","",IF(COUNTIFS('Blackout Brand Fam Areas (Enc)'!$B$6:$B$998,$A178,'Blackout Brand Fam Areas (Enc)'!$C$6:$C$998,B$1,'Blackout Brand Fam Areas (Enc)'!$D$6:$D$998,"Inactive")&gt;0,"BLOCKED","CAN SELL"))</f>
        <v>CAN SELL</v>
      </c>
      <c r="C178" s="2" t="str">
        <f>IF($A178="","",IF(COUNTIFS('Blackout Brand Fam Areas (Enc)'!$B$6:$B$998,$A178,'Blackout Brand Fam Areas (Enc)'!$C$6:$C$998,C$1,'Blackout Brand Fam Areas (Enc)'!$D$6:$D$998,"Inactive")&gt;0,"BLOCKED","CAN SELL"))</f>
        <v>CAN SELL</v>
      </c>
      <c r="D178" s="2" t="str">
        <f>IF($A178="","",IF(COUNTIFS('Blackout Brand Fam Areas (Enc)'!$B$6:$B$998,$A178,'Blackout Brand Fam Areas (Enc)'!$C$6:$C$998,D$1,'Blackout Brand Fam Areas (Enc)'!$D$6:$D$998,"Inactive")&gt;0,"BLOCKED","CAN SELL"))</f>
        <v>CAN SELL</v>
      </c>
      <c r="E178" s="2" t="str">
        <f>IF($A178="","",IF(COUNTIFS('Blackout Brand Fam Areas (Enc)'!$B$6:$B$998,$A178,'Blackout Brand Fam Areas (Enc)'!$C$6:$C$998,E$1,'Blackout Brand Fam Areas (Enc)'!$D$6:$D$998,"Inactive")&gt;0,"BLOCKED","CAN SELL"))</f>
        <v>CAN SELL</v>
      </c>
      <c r="F178" s="2" t="str">
        <f>IF($A178="","",IF(COUNTIFS('Blackout Brand Fam Areas (Enc)'!$B$6:$B$998,$A178,'Blackout Brand Fam Areas (Enc)'!$C$6:$C$998,F$1,'Blackout Brand Fam Areas (Enc)'!$D$6:$D$998,"Inactive")&gt;0,"BLOCKED","CAN SELL"))</f>
        <v>CAN SELL</v>
      </c>
      <c r="G178" s="2" t="str">
        <f>IF($A178="","",IF(COUNTIFS('Blackout Brand Fam Areas (Enc)'!$B$6:$B$998,$A178,'Blackout Brand Fam Areas (Enc)'!$C$6:$C$998,G$1,'Blackout Brand Fam Areas (Enc)'!$D$6:$D$998,"Inactive")&gt;0,"BLOCKED","CAN SELL"))</f>
        <v>BLOCKED</v>
      </c>
      <c r="H178" s="2" t="str">
        <f>IF($A178="","",IF(COUNTIFS('Blackout Brand Fam Areas (Enc)'!$B$6:$B$998,$A178,'Blackout Brand Fam Areas (Enc)'!$C$6:$C$998,H$1,'Blackout Brand Fam Areas (Enc)'!$D$6:$D$998,"Inactive")&gt;0,"BLOCKED","CAN SELL"))</f>
        <v>CAN SELL</v>
      </c>
      <c r="I178" s="2" t="str">
        <f>IF($A178="","",IF(COUNTIFS('Blackout Brand Fam Areas (Enc)'!$B$6:$B$998,$A178,'Blackout Brand Fam Areas (Enc)'!$C$6:$C$998,I$1,'Blackout Brand Fam Areas (Enc)'!$D$6:$D$998,"Inactive")&gt;0,"BLOCKED","CAN SELL"))</f>
        <v>CAN SELL</v>
      </c>
      <c r="J178" s="2" t="str">
        <f>IF($A178="","",IF(COUNTIFS('Blackout Brand Fam Areas (Enc)'!$B$6:$B$998,$A178,'Blackout Brand Fam Areas (Enc)'!$C$6:$C$998,J$1,'Blackout Brand Fam Areas (Enc)'!$D$6:$D$998,"Inactive")&gt;0,"BLOCKED","CAN SELL"))</f>
        <v>BLOCKED</v>
      </c>
      <c r="K178" s="2" t="str">
        <f>IF($A178="","",IF(COUNTIFS('Blackout Brand Fam Areas (Enc)'!$B$6:$B$998,$A178,'Blackout Brand Fam Areas (Enc)'!$C$6:$C$998,K$1,'Blackout Brand Fam Areas (Enc)'!$D$6:$D$998,"Inactive")&gt;0,"BLOCKED","CAN SELL"))</f>
        <v>BLOCKED</v>
      </c>
    </row>
    <row r="179" spans="1:11" x14ac:dyDescent="0.2">
      <c r="A179" s="2" t="str">
        <v>Shiner</v>
      </c>
      <c r="B179" s="2" t="str">
        <f>IF($A179="","",IF(COUNTIFS('Blackout Brand Fam Areas (Enc)'!$B$6:$B$998,$A179,'Blackout Brand Fam Areas (Enc)'!$C$6:$C$998,B$1,'Blackout Brand Fam Areas (Enc)'!$D$6:$D$998,"Inactive")&gt;0,"BLOCKED","CAN SELL"))</f>
        <v>CAN SELL</v>
      </c>
      <c r="C179" s="2" t="str">
        <f>IF($A179="","",IF(COUNTIFS('Blackout Brand Fam Areas (Enc)'!$B$6:$B$998,$A179,'Blackout Brand Fam Areas (Enc)'!$C$6:$C$998,C$1,'Blackout Brand Fam Areas (Enc)'!$D$6:$D$998,"Inactive")&gt;0,"BLOCKED","CAN SELL"))</f>
        <v>CAN SELL</v>
      </c>
      <c r="D179" s="2" t="str">
        <f>IF($A179="","",IF(COUNTIFS('Blackout Brand Fam Areas (Enc)'!$B$6:$B$998,$A179,'Blackout Brand Fam Areas (Enc)'!$C$6:$C$998,D$1,'Blackout Brand Fam Areas (Enc)'!$D$6:$D$998,"Inactive")&gt;0,"BLOCKED","CAN SELL"))</f>
        <v>CAN SELL</v>
      </c>
      <c r="E179" s="2" t="str">
        <f>IF($A179="","",IF(COUNTIFS('Blackout Brand Fam Areas (Enc)'!$B$6:$B$998,$A179,'Blackout Brand Fam Areas (Enc)'!$C$6:$C$998,E$1,'Blackout Brand Fam Areas (Enc)'!$D$6:$D$998,"Inactive")&gt;0,"BLOCKED","CAN SELL"))</f>
        <v>BLOCKED</v>
      </c>
      <c r="F179" s="2" t="str">
        <f>IF($A179="","",IF(COUNTIFS('Blackout Brand Fam Areas (Enc)'!$B$6:$B$998,$A179,'Blackout Brand Fam Areas (Enc)'!$C$6:$C$998,F$1,'Blackout Brand Fam Areas (Enc)'!$D$6:$D$998,"Inactive")&gt;0,"BLOCKED","CAN SELL"))</f>
        <v>BLOCKED</v>
      </c>
      <c r="G179" s="2" t="str">
        <f>IF($A179="","",IF(COUNTIFS('Blackout Brand Fam Areas (Enc)'!$B$6:$B$998,$A179,'Blackout Brand Fam Areas (Enc)'!$C$6:$C$998,G$1,'Blackout Brand Fam Areas (Enc)'!$D$6:$D$998,"Inactive")&gt;0,"BLOCKED","CAN SELL"))</f>
        <v>BLOCKED</v>
      </c>
      <c r="H179" s="2" t="str">
        <f>IF($A179="","",IF(COUNTIFS('Blackout Brand Fam Areas (Enc)'!$B$6:$B$998,$A179,'Blackout Brand Fam Areas (Enc)'!$C$6:$C$998,H$1,'Blackout Brand Fam Areas (Enc)'!$D$6:$D$998,"Inactive")&gt;0,"BLOCKED","CAN SELL"))</f>
        <v>CAN SELL</v>
      </c>
      <c r="I179" s="2" t="str">
        <f>IF($A179="","",IF(COUNTIFS('Blackout Brand Fam Areas (Enc)'!$B$6:$B$998,$A179,'Blackout Brand Fam Areas (Enc)'!$C$6:$C$998,I$1,'Blackout Brand Fam Areas (Enc)'!$D$6:$D$998,"Inactive")&gt;0,"BLOCKED","CAN SELL"))</f>
        <v>CAN SELL</v>
      </c>
      <c r="J179" s="2" t="str">
        <f>IF($A179="","",IF(COUNTIFS('Blackout Brand Fam Areas (Enc)'!$B$6:$B$998,$A179,'Blackout Brand Fam Areas (Enc)'!$C$6:$C$998,J$1,'Blackout Brand Fam Areas (Enc)'!$D$6:$D$998,"Inactive")&gt;0,"BLOCKED","CAN SELL"))</f>
        <v>BLOCKED</v>
      </c>
      <c r="K179" s="2" t="str">
        <f>IF($A179="","",IF(COUNTIFS('Blackout Brand Fam Areas (Enc)'!$B$6:$B$998,$A179,'Blackout Brand Fam Areas (Enc)'!$C$6:$C$998,K$1,'Blackout Brand Fam Areas (Enc)'!$D$6:$D$998,"Inactive")&gt;0,"BLOCKED","CAN SELL"))</f>
        <v>CAN SELL</v>
      </c>
    </row>
    <row r="180" spans="1:11" x14ac:dyDescent="0.2">
      <c r="A180" s="2" t="str">
        <v>Shipyard</v>
      </c>
      <c r="B180" s="2" t="str">
        <f>IF($A180="","",IF(COUNTIFS('Blackout Brand Fam Areas (Enc)'!$B$6:$B$998,$A180,'Blackout Brand Fam Areas (Enc)'!$C$6:$C$998,B$1,'Blackout Brand Fam Areas (Enc)'!$D$6:$D$998,"Inactive")&gt;0,"BLOCKED","CAN SELL"))</f>
        <v>CAN SELL</v>
      </c>
      <c r="C180" s="2" t="str">
        <f>IF($A180="","",IF(COUNTIFS('Blackout Brand Fam Areas (Enc)'!$B$6:$B$998,$A180,'Blackout Brand Fam Areas (Enc)'!$C$6:$C$998,C$1,'Blackout Brand Fam Areas (Enc)'!$D$6:$D$998,"Inactive")&gt;0,"BLOCKED","CAN SELL"))</f>
        <v>CAN SELL</v>
      </c>
      <c r="D180" s="2" t="str">
        <f>IF($A180="","",IF(COUNTIFS('Blackout Brand Fam Areas (Enc)'!$B$6:$B$998,$A180,'Blackout Brand Fam Areas (Enc)'!$C$6:$C$998,D$1,'Blackout Brand Fam Areas (Enc)'!$D$6:$D$998,"Inactive")&gt;0,"BLOCKED","CAN SELL"))</f>
        <v>CAN SELL</v>
      </c>
      <c r="E180" s="2" t="str">
        <f>IF($A180="","",IF(COUNTIFS('Blackout Brand Fam Areas (Enc)'!$B$6:$B$998,$A180,'Blackout Brand Fam Areas (Enc)'!$C$6:$C$998,E$1,'Blackout Brand Fam Areas (Enc)'!$D$6:$D$998,"Inactive")&gt;0,"BLOCKED","CAN SELL"))</f>
        <v>CAN SELL</v>
      </c>
      <c r="F180" s="2" t="str">
        <f>IF($A180="","",IF(COUNTIFS('Blackout Brand Fam Areas (Enc)'!$B$6:$B$998,$A180,'Blackout Brand Fam Areas (Enc)'!$C$6:$C$998,F$1,'Blackout Brand Fam Areas (Enc)'!$D$6:$D$998,"Inactive")&gt;0,"BLOCKED","CAN SELL"))</f>
        <v>CAN SELL</v>
      </c>
      <c r="G180" s="2" t="str">
        <f>IF($A180="","",IF(COUNTIFS('Blackout Brand Fam Areas (Enc)'!$B$6:$B$998,$A180,'Blackout Brand Fam Areas (Enc)'!$C$6:$C$998,G$1,'Blackout Brand Fam Areas (Enc)'!$D$6:$D$998,"Inactive")&gt;0,"BLOCKED","CAN SELL"))</f>
        <v>BLOCKED</v>
      </c>
      <c r="H180" s="2" t="str">
        <f>IF($A180="","",IF(COUNTIFS('Blackout Brand Fam Areas (Enc)'!$B$6:$B$998,$A180,'Blackout Brand Fam Areas (Enc)'!$C$6:$C$998,H$1,'Blackout Brand Fam Areas (Enc)'!$D$6:$D$998,"Inactive")&gt;0,"BLOCKED","CAN SELL"))</f>
        <v>BLOCKED</v>
      </c>
      <c r="I180" s="2" t="str">
        <f>IF($A180="","",IF(COUNTIFS('Blackout Brand Fam Areas (Enc)'!$B$6:$B$998,$A180,'Blackout Brand Fam Areas (Enc)'!$C$6:$C$998,I$1,'Blackout Brand Fam Areas (Enc)'!$D$6:$D$998,"Inactive")&gt;0,"BLOCKED","CAN SELL"))</f>
        <v>BLOCKED</v>
      </c>
      <c r="J180" s="2" t="str">
        <f>IF($A180="","",IF(COUNTIFS('Blackout Brand Fam Areas (Enc)'!$B$6:$B$998,$A180,'Blackout Brand Fam Areas (Enc)'!$C$6:$C$998,J$1,'Blackout Brand Fam Areas (Enc)'!$D$6:$D$998,"Inactive")&gt;0,"BLOCKED","CAN SELL"))</f>
        <v>BLOCKED</v>
      </c>
      <c r="K180" s="2" t="str">
        <f>IF($A180="","",IF(COUNTIFS('Blackout Brand Fam Areas (Enc)'!$B$6:$B$998,$A180,'Blackout Brand Fam Areas (Enc)'!$C$6:$C$998,K$1,'Blackout Brand Fam Areas (Enc)'!$D$6:$D$998,"Inactive")&gt;0,"BLOCKED","CAN SELL"))</f>
        <v>BLOCKED</v>
      </c>
    </row>
    <row r="181" spans="1:11" x14ac:dyDescent="0.2">
      <c r="A181" s="2" t="str">
        <v>Sierra Nevada</v>
      </c>
      <c r="B181" s="2" t="str">
        <f>IF($A181="","",IF(COUNTIFS('Blackout Brand Fam Areas (Enc)'!$B$6:$B$998,$A181,'Blackout Brand Fam Areas (Enc)'!$C$6:$C$998,B$1,'Blackout Brand Fam Areas (Enc)'!$D$6:$D$998,"Inactive")&gt;0,"BLOCKED","CAN SELL"))</f>
        <v>CAN SELL</v>
      </c>
      <c r="C181" s="2" t="str">
        <f>IF($A181="","",IF(COUNTIFS('Blackout Brand Fam Areas (Enc)'!$B$6:$B$998,$A181,'Blackout Brand Fam Areas (Enc)'!$C$6:$C$998,C$1,'Blackout Brand Fam Areas (Enc)'!$D$6:$D$998,"Inactive")&gt;0,"BLOCKED","CAN SELL"))</f>
        <v>CAN SELL</v>
      </c>
      <c r="D181" s="2" t="str">
        <f>IF($A181="","",IF(COUNTIFS('Blackout Brand Fam Areas (Enc)'!$B$6:$B$998,$A181,'Blackout Brand Fam Areas (Enc)'!$C$6:$C$998,D$1,'Blackout Brand Fam Areas (Enc)'!$D$6:$D$998,"Inactive")&gt;0,"BLOCKED","CAN SELL"))</f>
        <v>CAN SELL</v>
      </c>
      <c r="E181" s="2" t="str">
        <f>IF($A181="","",IF(COUNTIFS('Blackout Brand Fam Areas (Enc)'!$B$6:$B$998,$A181,'Blackout Brand Fam Areas (Enc)'!$C$6:$C$998,E$1,'Blackout Brand Fam Areas (Enc)'!$D$6:$D$998,"Inactive")&gt;0,"BLOCKED","CAN SELL"))</f>
        <v>BLOCKED</v>
      </c>
      <c r="F181" s="2" t="str">
        <f>IF($A181="","",IF(COUNTIFS('Blackout Brand Fam Areas (Enc)'!$B$6:$B$998,$A181,'Blackout Brand Fam Areas (Enc)'!$C$6:$C$998,F$1,'Blackout Brand Fam Areas (Enc)'!$D$6:$D$998,"Inactive")&gt;0,"BLOCKED","CAN SELL"))</f>
        <v>BLOCKED</v>
      </c>
      <c r="G181" s="2" t="str">
        <f>IF($A181="","",IF(COUNTIFS('Blackout Brand Fam Areas (Enc)'!$B$6:$B$998,$A181,'Blackout Brand Fam Areas (Enc)'!$C$6:$C$998,G$1,'Blackout Brand Fam Areas (Enc)'!$D$6:$D$998,"Inactive")&gt;0,"BLOCKED","CAN SELL"))</f>
        <v>BLOCKED</v>
      </c>
      <c r="H181" s="2" t="str">
        <f>IF($A181="","",IF(COUNTIFS('Blackout Brand Fam Areas (Enc)'!$B$6:$B$998,$A181,'Blackout Brand Fam Areas (Enc)'!$C$6:$C$998,H$1,'Blackout Brand Fam Areas (Enc)'!$D$6:$D$998,"Inactive")&gt;0,"BLOCKED","CAN SELL"))</f>
        <v>CAN SELL</v>
      </c>
      <c r="I181" s="2" t="str">
        <f>IF($A181="","",IF(COUNTIFS('Blackout Brand Fam Areas (Enc)'!$B$6:$B$998,$A181,'Blackout Brand Fam Areas (Enc)'!$C$6:$C$998,I$1,'Blackout Brand Fam Areas (Enc)'!$D$6:$D$998,"Inactive")&gt;0,"BLOCKED","CAN SELL"))</f>
        <v>CAN SELL</v>
      </c>
      <c r="J181" s="2" t="str">
        <f>IF($A181="","",IF(COUNTIFS('Blackout Brand Fam Areas (Enc)'!$B$6:$B$998,$A181,'Blackout Brand Fam Areas (Enc)'!$C$6:$C$998,J$1,'Blackout Brand Fam Areas (Enc)'!$D$6:$D$998,"Inactive")&gt;0,"BLOCKED","CAN SELL"))</f>
        <v>BLOCKED</v>
      </c>
      <c r="K181" s="2" t="str">
        <f>IF($A181="","",IF(COUNTIFS('Blackout Brand Fam Areas (Enc)'!$B$6:$B$998,$A181,'Blackout Brand Fam Areas (Enc)'!$C$6:$C$998,K$1,'Blackout Brand Fam Areas (Enc)'!$D$6:$D$998,"Inactive")&gt;0,"BLOCKED","CAN SELL"))</f>
        <v>CAN SELL</v>
      </c>
    </row>
    <row r="182" spans="1:11" x14ac:dyDescent="0.2">
      <c r="A182" s="2" t="str">
        <v>Signture Cockt</v>
      </c>
      <c r="B182" s="2" t="str">
        <f>IF($A182="","",IF(COUNTIFS('Blackout Brand Fam Areas (Enc)'!$B$6:$B$998,$A182,'Blackout Brand Fam Areas (Enc)'!$C$6:$C$998,B$1,'Blackout Brand Fam Areas (Enc)'!$D$6:$D$998,"Inactive")&gt;0,"BLOCKED","CAN SELL"))</f>
        <v>CAN SELL</v>
      </c>
      <c r="C182" s="2" t="str">
        <f>IF($A182="","",IF(COUNTIFS('Blackout Brand Fam Areas (Enc)'!$B$6:$B$998,$A182,'Blackout Brand Fam Areas (Enc)'!$C$6:$C$998,C$1,'Blackout Brand Fam Areas (Enc)'!$D$6:$D$998,"Inactive")&gt;0,"BLOCKED","CAN SELL"))</f>
        <v>CAN SELL</v>
      </c>
      <c r="D182" s="2" t="str">
        <f>IF($A182="","",IF(COUNTIFS('Blackout Brand Fam Areas (Enc)'!$B$6:$B$998,$A182,'Blackout Brand Fam Areas (Enc)'!$C$6:$C$998,D$1,'Blackout Brand Fam Areas (Enc)'!$D$6:$D$998,"Inactive")&gt;0,"BLOCKED","CAN SELL"))</f>
        <v>CAN SELL</v>
      </c>
      <c r="E182" s="2" t="str">
        <f>IF($A182="","",IF(COUNTIFS('Blackout Brand Fam Areas (Enc)'!$B$6:$B$998,$A182,'Blackout Brand Fam Areas (Enc)'!$C$6:$C$998,E$1,'Blackout Brand Fam Areas (Enc)'!$D$6:$D$998,"Inactive")&gt;0,"BLOCKED","CAN SELL"))</f>
        <v>BLOCKED</v>
      </c>
      <c r="F182" s="2" t="str">
        <f>IF($A182="","",IF(COUNTIFS('Blackout Brand Fam Areas (Enc)'!$B$6:$B$998,$A182,'Blackout Brand Fam Areas (Enc)'!$C$6:$C$998,F$1,'Blackout Brand Fam Areas (Enc)'!$D$6:$D$998,"Inactive")&gt;0,"BLOCKED","CAN SELL"))</f>
        <v>CAN SELL</v>
      </c>
      <c r="G182" s="2" t="str">
        <f>IF($A182="","",IF(COUNTIFS('Blackout Brand Fam Areas (Enc)'!$B$6:$B$998,$A182,'Blackout Brand Fam Areas (Enc)'!$C$6:$C$998,G$1,'Blackout Brand Fam Areas (Enc)'!$D$6:$D$998,"Inactive")&gt;0,"BLOCKED","CAN SELL"))</f>
        <v>BLOCKED</v>
      </c>
      <c r="H182" s="2" t="str">
        <f>IF($A182="","",IF(COUNTIFS('Blackout Brand Fam Areas (Enc)'!$B$6:$B$998,$A182,'Blackout Brand Fam Areas (Enc)'!$C$6:$C$998,H$1,'Blackout Brand Fam Areas (Enc)'!$D$6:$D$998,"Inactive")&gt;0,"BLOCKED","CAN SELL"))</f>
        <v>CAN SELL</v>
      </c>
      <c r="I182" s="2" t="str">
        <f>IF($A182="","",IF(COUNTIFS('Blackout Brand Fam Areas (Enc)'!$B$6:$B$998,$A182,'Blackout Brand Fam Areas (Enc)'!$C$6:$C$998,I$1,'Blackout Brand Fam Areas (Enc)'!$D$6:$D$998,"Inactive")&gt;0,"BLOCKED","CAN SELL"))</f>
        <v>CAN SELL</v>
      </c>
      <c r="J182" s="2" t="str">
        <f>IF($A182="","",IF(COUNTIFS('Blackout Brand Fam Areas (Enc)'!$B$6:$B$998,$A182,'Blackout Brand Fam Areas (Enc)'!$C$6:$C$998,J$1,'Blackout Brand Fam Areas (Enc)'!$D$6:$D$998,"Inactive")&gt;0,"BLOCKED","CAN SELL"))</f>
        <v>BLOCKED</v>
      </c>
      <c r="K182" s="2" t="str">
        <f>IF($A182="","",IF(COUNTIFS('Blackout Brand Fam Areas (Enc)'!$B$6:$B$998,$A182,'Blackout Brand Fam Areas (Enc)'!$C$6:$C$998,K$1,'Blackout Brand Fam Areas (Enc)'!$D$6:$D$998,"Inactive")&gt;0,"BLOCKED","CAN SELL"))</f>
        <v>CAN SELL</v>
      </c>
    </row>
    <row r="183" spans="1:11" x14ac:dyDescent="0.2">
      <c r="A183" s="2" t="str">
        <v>Simply Spiked</v>
      </c>
      <c r="B183" s="2" t="str">
        <f>IF($A183="","",IF(COUNTIFS('Blackout Brand Fam Areas (Enc)'!$B$6:$B$998,$A183,'Blackout Brand Fam Areas (Enc)'!$C$6:$C$998,B$1,'Blackout Brand Fam Areas (Enc)'!$D$6:$D$998,"Inactive")&gt;0,"BLOCKED","CAN SELL"))</f>
        <v>CAN SELL</v>
      </c>
      <c r="C183" s="2" t="str">
        <f>IF($A183="","",IF(COUNTIFS('Blackout Brand Fam Areas (Enc)'!$B$6:$B$998,$A183,'Blackout Brand Fam Areas (Enc)'!$C$6:$C$998,C$1,'Blackout Brand Fam Areas (Enc)'!$D$6:$D$998,"Inactive")&gt;0,"BLOCKED","CAN SELL"))</f>
        <v>CAN SELL</v>
      </c>
      <c r="D183" s="2" t="str">
        <f>IF($A183="","",IF(COUNTIFS('Blackout Brand Fam Areas (Enc)'!$B$6:$B$998,$A183,'Blackout Brand Fam Areas (Enc)'!$C$6:$C$998,D$1,'Blackout Brand Fam Areas (Enc)'!$D$6:$D$998,"Inactive")&gt;0,"BLOCKED","CAN SELL"))</f>
        <v>CAN SELL</v>
      </c>
      <c r="E183" s="2" t="str">
        <f>IF($A183="","",IF(COUNTIFS('Blackout Brand Fam Areas (Enc)'!$B$6:$B$998,$A183,'Blackout Brand Fam Areas (Enc)'!$C$6:$C$998,E$1,'Blackout Brand Fam Areas (Enc)'!$D$6:$D$998,"Inactive")&gt;0,"BLOCKED","CAN SELL"))</f>
        <v>BLOCKED</v>
      </c>
      <c r="F183" s="2" t="str">
        <f>IF($A183="","",IF(COUNTIFS('Blackout Brand Fam Areas (Enc)'!$B$6:$B$998,$A183,'Blackout Brand Fam Areas (Enc)'!$C$6:$C$998,F$1,'Blackout Brand Fam Areas (Enc)'!$D$6:$D$998,"Inactive")&gt;0,"BLOCKED","CAN SELL"))</f>
        <v>BLOCKED</v>
      </c>
      <c r="G183" s="2" t="str">
        <f>IF($A183="","",IF(COUNTIFS('Blackout Brand Fam Areas (Enc)'!$B$6:$B$998,$A183,'Blackout Brand Fam Areas (Enc)'!$C$6:$C$998,G$1,'Blackout Brand Fam Areas (Enc)'!$D$6:$D$998,"Inactive")&gt;0,"BLOCKED","CAN SELL"))</f>
        <v>BLOCKED</v>
      </c>
      <c r="H183" s="2" t="str">
        <f>IF($A183="","",IF(COUNTIFS('Blackout Brand Fam Areas (Enc)'!$B$6:$B$998,$A183,'Blackout Brand Fam Areas (Enc)'!$C$6:$C$998,H$1,'Blackout Brand Fam Areas (Enc)'!$D$6:$D$998,"Inactive")&gt;0,"BLOCKED","CAN SELL"))</f>
        <v>CAN SELL</v>
      </c>
      <c r="I183" s="2" t="str">
        <f>IF($A183="","",IF(COUNTIFS('Blackout Brand Fam Areas (Enc)'!$B$6:$B$998,$A183,'Blackout Brand Fam Areas (Enc)'!$C$6:$C$998,I$1,'Blackout Brand Fam Areas (Enc)'!$D$6:$D$998,"Inactive")&gt;0,"BLOCKED","CAN SELL"))</f>
        <v>CAN SELL</v>
      </c>
      <c r="J183" s="2" t="str">
        <f>IF($A183="","",IF(COUNTIFS('Blackout Brand Fam Areas (Enc)'!$B$6:$B$998,$A183,'Blackout Brand Fam Areas (Enc)'!$C$6:$C$998,J$1,'Blackout Brand Fam Areas (Enc)'!$D$6:$D$998,"Inactive")&gt;0,"BLOCKED","CAN SELL"))</f>
        <v>BLOCKED</v>
      </c>
      <c r="K183" s="2" t="str">
        <f>IF($A183="","",IF(COUNTIFS('Blackout Brand Fam Areas (Enc)'!$B$6:$B$998,$A183,'Blackout Brand Fam Areas (Enc)'!$C$6:$C$998,K$1,'Blackout Brand Fam Areas (Enc)'!$D$6:$D$998,"Inactive")&gt;0,"BLOCKED","CAN SELL"))</f>
        <v>CAN SELL</v>
      </c>
    </row>
    <row r="184" spans="1:11" x14ac:dyDescent="0.2">
      <c r="A184" s="2" t="str">
        <v>Sinless Vodka Cocktail</v>
      </c>
      <c r="B184" s="2" t="str">
        <f>IF($A184="","",IF(COUNTIFS('Blackout Brand Fam Areas (Enc)'!$B$6:$B$998,$A184,'Blackout Brand Fam Areas (Enc)'!$C$6:$C$998,B$1,'Blackout Brand Fam Areas (Enc)'!$D$6:$D$998,"Inactive")&gt;0,"BLOCKED","CAN SELL"))</f>
        <v>CAN SELL</v>
      </c>
      <c r="C184" s="2" t="str">
        <f>IF($A184="","",IF(COUNTIFS('Blackout Brand Fam Areas (Enc)'!$B$6:$B$998,$A184,'Blackout Brand Fam Areas (Enc)'!$C$6:$C$998,C$1,'Blackout Brand Fam Areas (Enc)'!$D$6:$D$998,"Inactive")&gt;0,"BLOCKED","CAN SELL"))</f>
        <v>CAN SELL</v>
      </c>
      <c r="D184" s="2" t="str">
        <f>IF($A184="","",IF(COUNTIFS('Blackout Brand Fam Areas (Enc)'!$B$6:$B$998,$A184,'Blackout Brand Fam Areas (Enc)'!$C$6:$C$998,D$1,'Blackout Brand Fam Areas (Enc)'!$D$6:$D$998,"Inactive")&gt;0,"BLOCKED","CAN SELL"))</f>
        <v>CAN SELL</v>
      </c>
      <c r="E184" s="2" t="str">
        <f>IF($A184="","",IF(COUNTIFS('Blackout Brand Fam Areas (Enc)'!$B$6:$B$998,$A184,'Blackout Brand Fam Areas (Enc)'!$C$6:$C$998,E$1,'Blackout Brand Fam Areas (Enc)'!$D$6:$D$998,"Inactive")&gt;0,"BLOCKED","CAN SELL"))</f>
        <v>BLOCKED</v>
      </c>
      <c r="F184" s="2" t="str">
        <f>IF($A184="","",IF(COUNTIFS('Blackout Brand Fam Areas (Enc)'!$B$6:$B$998,$A184,'Blackout Brand Fam Areas (Enc)'!$C$6:$C$998,F$1,'Blackout Brand Fam Areas (Enc)'!$D$6:$D$998,"Inactive")&gt;0,"BLOCKED","CAN SELL"))</f>
        <v>BLOCKED</v>
      </c>
      <c r="G184" s="2" t="str">
        <f>IF($A184="","",IF(COUNTIFS('Blackout Brand Fam Areas (Enc)'!$B$6:$B$998,$A184,'Blackout Brand Fam Areas (Enc)'!$C$6:$C$998,G$1,'Blackout Brand Fam Areas (Enc)'!$D$6:$D$998,"Inactive")&gt;0,"BLOCKED","CAN SELL"))</f>
        <v>BLOCKED</v>
      </c>
      <c r="H184" s="2" t="str">
        <f>IF($A184="","",IF(COUNTIFS('Blackout Brand Fam Areas (Enc)'!$B$6:$B$998,$A184,'Blackout Brand Fam Areas (Enc)'!$C$6:$C$998,H$1,'Blackout Brand Fam Areas (Enc)'!$D$6:$D$998,"Inactive")&gt;0,"BLOCKED","CAN SELL"))</f>
        <v>CAN SELL</v>
      </c>
      <c r="I184" s="2" t="str">
        <f>IF($A184="","",IF(COUNTIFS('Blackout Brand Fam Areas (Enc)'!$B$6:$B$998,$A184,'Blackout Brand Fam Areas (Enc)'!$C$6:$C$998,I$1,'Blackout Brand Fam Areas (Enc)'!$D$6:$D$998,"Inactive")&gt;0,"BLOCKED","CAN SELL"))</f>
        <v>CAN SELL</v>
      </c>
      <c r="J184" s="2" t="str">
        <f>IF($A184="","",IF(COUNTIFS('Blackout Brand Fam Areas (Enc)'!$B$6:$B$998,$A184,'Blackout Brand Fam Areas (Enc)'!$C$6:$C$998,J$1,'Blackout Brand Fam Areas (Enc)'!$D$6:$D$998,"Inactive")&gt;0,"BLOCKED","CAN SELL"))</f>
        <v>BLOCKED</v>
      </c>
      <c r="K184" s="2" t="str">
        <f>IF($A184="","",IF(COUNTIFS('Blackout Brand Fam Areas (Enc)'!$B$6:$B$998,$A184,'Blackout Brand Fam Areas (Enc)'!$C$6:$C$998,K$1,'Blackout Brand Fam Areas (Enc)'!$D$6:$D$998,"Inactive")&gt;0,"BLOCKED","CAN SELL"))</f>
        <v>CAN SELL</v>
      </c>
    </row>
    <row r="185" spans="1:11" x14ac:dyDescent="0.2">
      <c r="A185" s="2" t="str">
        <v>Sixpoint</v>
      </c>
      <c r="B185" s="2" t="str">
        <f>IF($A185="","",IF(COUNTIFS('Blackout Brand Fam Areas (Enc)'!$B$6:$B$998,$A185,'Blackout Brand Fam Areas (Enc)'!$C$6:$C$998,B$1,'Blackout Brand Fam Areas (Enc)'!$D$6:$D$998,"Inactive")&gt;0,"BLOCKED","CAN SELL"))</f>
        <v>CAN SELL</v>
      </c>
      <c r="C185" s="2" t="str">
        <f>IF($A185="","",IF(COUNTIFS('Blackout Brand Fam Areas (Enc)'!$B$6:$B$998,$A185,'Blackout Brand Fam Areas (Enc)'!$C$6:$C$998,C$1,'Blackout Brand Fam Areas (Enc)'!$D$6:$D$998,"Inactive")&gt;0,"BLOCKED","CAN SELL"))</f>
        <v>CAN SELL</v>
      </c>
      <c r="D185" s="2" t="str">
        <f>IF($A185="","",IF(COUNTIFS('Blackout Brand Fam Areas (Enc)'!$B$6:$B$998,$A185,'Blackout Brand Fam Areas (Enc)'!$C$6:$C$998,D$1,'Blackout Brand Fam Areas (Enc)'!$D$6:$D$998,"Inactive")&gt;0,"BLOCKED","CAN SELL"))</f>
        <v>CAN SELL</v>
      </c>
      <c r="E185" s="2" t="str">
        <f>IF($A185="","",IF(COUNTIFS('Blackout Brand Fam Areas (Enc)'!$B$6:$B$998,$A185,'Blackout Brand Fam Areas (Enc)'!$C$6:$C$998,E$1,'Blackout Brand Fam Areas (Enc)'!$D$6:$D$998,"Inactive")&gt;0,"BLOCKED","CAN SELL"))</f>
        <v>CAN SELL</v>
      </c>
      <c r="F185" s="2" t="str">
        <f>IF($A185="","",IF(COUNTIFS('Blackout Brand Fam Areas (Enc)'!$B$6:$B$998,$A185,'Blackout Brand Fam Areas (Enc)'!$C$6:$C$998,F$1,'Blackout Brand Fam Areas (Enc)'!$D$6:$D$998,"Inactive")&gt;0,"BLOCKED","CAN SELL"))</f>
        <v>CAN SELL</v>
      </c>
      <c r="G185" s="2" t="str">
        <f>IF($A185="","",IF(COUNTIFS('Blackout Brand Fam Areas (Enc)'!$B$6:$B$998,$A185,'Blackout Brand Fam Areas (Enc)'!$C$6:$C$998,G$1,'Blackout Brand Fam Areas (Enc)'!$D$6:$D$998,"Inactive")&gt;0,"BLOCKED","CAN SELL"))</f>
        <v>BLOCKED</v>
      </c>
      <c r="H185" s="2" t="str">
        <f>IF($A185="","",IF(COUNTIFS('Blackout Brand Fam Areas (Enc)'!$B$6:$B$998,$A185,'Blackout Brand Fam Areas (Enc)'!$C$6:$C$998,H$1,'Blackout Brand Fam Areas (Enc)'!$D$6:$D$998,"Inactive")&gt;0,"BLOCKED","CAN SELL"))</f>
        <v>BLOCKED</v>
      </c>
      <c r="I185" s="2" t="str">
        <f>IF($A185="","",IF(COUNTIFS('Blackout Brand Fam Areas (Enc)'!$B$6:$B$998,$A185,'Blackout Brand Fam Areas (Enc)'!$C$6:$C$998,I$1,'Blackout Brand Fam Areas (Enc)'!$D$6:$D$998,"Inactive")&gt;0,"BLOCKED","CAN SELL"))</f>
        <v>BLOCKED</v>
      </c>
      <c r="J185" s="2" t="str">
        <f>IF($A185="","",IF(COUNTIFS('Blackout Brand Fam Areas (Enc)'!$B$6:$B$998,$A185,'Blackout Brand Fam Areas (Enc)'!$C$6:$C$998,J$1,'Blackout Brand Fam Areas (Enc)'!$D$6:$D$998,"Inactive")&gt;0,"BLOCKED","CAN SELL"))</f>
        <v>BLOCKED</v>
      </c>
      <c r="K185" s="2" t="str">
        <f>IF($A185="","",IF(COUNTIFS('Blackout Brand Fam Areas (Enc)'!$B$6:$B$998,$A185,'Blackout Brand Fam Areas (Enc)'!$C$6:$C$998,K$1,'Blackout Brand Fam Areas (Enc)'!$D$6:$D$998,"Inactive")&gt;0,"BLOCKED","CAN SELL"))</f>
        <v>BLOCKED</v>
      </c>
    </row>
    <row r="186" spans="1:11" x14ac:dyDescent="0.2">
      <c r="A186" s="2" t="str">
        <v>Sixpoint Summer Sesh</v>
      </c>
      <c r="B186" s="2" t="str">
        <f>IF($A186="","",IF(COUNTIFS('Blackout Brand Fam Areas (Enc)'!$B$6:$B$998,$A186,'Blackout Brand Fam Areas (Enc)'!$C$6:$C$998,B$1,'Blackout Brand Fam Areas (Enc)'!$D$6:$D$998,"Inactive")&gt;0,"BLOCKED","CAN SELL"))</f>
        <v>CAN SELL</v>
      </c>
      <c r="C186" s="2" t="str">
        <f>IF($A186="","",IF(COUNTIFS('Blackout Brand Fam Areas (Enc)'!$B$6:$B$998,$A186,'Blackout Brand Fam Areas (Enc)'!$C$6:$C$998,C$1,'Blackout Brand Fam Areas (Enc)'!$D$6:$D$998,"Inactive")&gt;0,"BLOCKED","CAN SELL"))</f>
        <v>CAN SELL</v>
      </c>
      <c r="D186" s="2" t="str">
        <f>IF($A186="","",IF(COUNTIFS('Blackout Brand Fam Areas (Enc)'!$B$6:$B$998,$A186,'Blackout Brand Fam Areas (Enc)'!$C$6:$C$998,D$1,'Blackout Brand Fam Areas (Enc)'!$D$6:$D$998,"Inactive")&gt;0,"BLOCKED","CAN SELL"))</f>
        <v>CAN SELL</v>
      </c>
      <c r="E186" s="2" t="str">
        <f>IF($A186="","",IF(COUNTIFS('Blackout Brand Fam Areas (Enc)'!$B$6:$B$998,$A186,'Blackout Brand Fam Areas (Enc)'!$C$6:$C$998,E$1,'Blackout Brand Fam Areas (Enc)'!$D$6:$D$998,"Inactive")&gt;0,"BLOCKED","CAN SELL"))</f>
        <v>CAN SELL</v>
      </c>
      <c r="F186" s="2" t="str">
        <f>IF($A186="","",IF(COUNTIFS('Blackout Brand Fam Areas (Enc)'!$B$6:$B$998,$A186,'Blackout Brand Fam Areas (Enc)'!$C$6:$C$998,F$1,'Blackout Brand Fam Areas (Enc)'!$D$6:$D$998,"Inactive")&gt;0,"BLOCKED","CAN SELL"))</f>
        <v>CAN SELL</v>
      </c>
      <c r="G186" s="2" t="str">
        <f>IF($A186="","",IF(COUNTIFS('Blackout Brand Fam Areas (Enc)'!$B$6:$B$998,$A186,'Blackout Brand Fam Areas (Enc)'!$C$6:$C$998,G$1,'Blackout Brand Fam Areas (Enc)'!$D$6:$D$998,"Inactive")&gt;0,"BLOCKED","CAN SELL"))</f>
        <v>BLOCKED</v>
      </c>
      <c r="H186" s="2" t="str">
        <f>IF($A186="","",IF(COUNTIFS('Blackout Brand Fam Areas (Enc)'!$B$6:$B$998,$A186,'Blackout Brand Fam Areas (Enc)'!$C$6:$C$998,H$1,'Blackout Brand Fam Areas (Enc)'!$D$6:$D$998,"Inactive")&gt;0,"BLOCKED","CAN SELL"))</f>
        <v>BLOCKED</v>
      </c>
      <c r="I186" s="2" t="str">
        <f>IF($A186="","",IF(COUNTIFS('Blackout Brand Fam Areas (Enc)'!$B$6:$B$998,$A186,'Blackout Brand Fam Areas (Enc)'!$C$6:$C$998,I$1,'Blackout Brand Fam Areas (Enc)'!$D$6:$D$998,"Inactive")&gt;0,"BLOCKED","CAN SELL"))</f>
        <v>BLOCKED</v>
      </c>
      <c r="J186" s="2" t="str">
        <f>IF($A186="","",IF(COUNTIFS('Blackout Brand Fam Areas (Enc)'!$B$6:$B$998,$A186,'Blackout Brand Fam Areas (Enc)'!$C$6:$C$998,J$1,'Blackout Brand Fam Areas (Enc)'!$D$6:$D$998,"Inactive")&gt;0,"BLOCKED","CAN SELL"))</f>
        <v>BLOCKED</v>
      </c>
      <c r="K186" s="2" t="str">
        <f>IF($A186="","",IF(COUNTIFS('Blackout Brand Fam Areas (Enc)'!$B$6:$B$998,$A186,'Blackout Brand Fam Areas (Enc)'!$C$6:$C$998,K$1,'Blackout Brand Fam Areas (Enc)'!$D$6:$D$998,"Inactive")&gt;0,"BLOCKED","CAN SELL"))</f>
        <v>BLOCKED</v>
      </c>
    </row>
    <row r="187" spans="1:11" x14ac:dyDescent="0.2">
      <c r="A187" s="2" t="str">
        <v>Smith &amp; Forge</v>
      </c>
      <c r="B187" s="2" t="str">
        <f>IF($A187="","",IF(COUNTIFS('Blackout Brand Fam Areas (Enc)'!$B$6:$B$998,$A187,'Blackout Brand Fam Areas (Enc)'!$C$6:$C$998,B$1,'Blackout Brand Fam Areas (Enc)'!$D$6:$D$998,"Inactive")&gt;0,"BLOCKED","CAN SELL"))</f>
        <v>CAN SELL</v>
      </c>
      <c r="C187" s="2" t="str">
        <f>IF($A187="","",IF(COUNTIFS('Blackout Brand Fam Areas (Enc)'!$B$6:$B$998,$A187,'Blackout Brand Fam Areas (Enc)'!$C$6:$C$998,C$1,'Blackout Brand Fam Areas (Enc)'!$D$6:$D$998,"Inactive")&gt;0,"BLOCKED","CAN SELL"))</f>
        <v>CAN SELL</v>
      </c>
      <c r="D187" s="2" t="str">
        <f>IF($A187="","",IF(COUNTIFS('Blackout Brand Fam Areas (Enc)'!$B$6:$B$998,$A187,'Blackout Brand Fam Areas (Enc)'!$C$6:$C$998,D$1,'Blackout Brand Fam Areas (Enc)'!$D$6:$D$998,"Inactive")&gt;0,"BLOCKED","CAN SELL"))</f>
        <v>CAN SELL</v>
      </c>
      <c r="E187" s="2" t="str">
        <f>IF($A187="","",IF(COUNTIFS('Blackout Brand Fam Areas (Enc)'!$B$6:$B$998,$A187,'Blackout Brand Fam Areas (Enc)'!$C$6:$C$998,E$1,'Blackout Brand Fam Areas (Enc)'!$D$6:$D$998,"Inactive")&gt;0,"BLOCKED","CAN SELL"))</f>
        <v>BLOCKED</v>
      </c>
      <c r="F187" s="2" t="str">
        <f>IF($A187="","",IF(COUNTIFS('Blackout Brand Fam Areas (Enc)'!$B$6:$B$998,$A187,'Blackout Brand Fam Areas (Enc)'!$C$6:$C$998,F$1,'Blackout Brand Fam Areas (Enc)'!$D$6:$D$998,"Inactive")&gt;0,"BLOCKED","CAN SELL"))</f>
        <v>BLOCKED</v>
      </c>
      <c r="G187" s="2" t="str">
        <f>IF($A187="","",IF(COUNTIFS('Blackout Brand Fam Areas (Enc)'!$B$6:$B$998,$A187,'Blackout Brand Fam Areas (Enc)'!$C$6:$C$998,G$1,'Blackout Brand Fam Areas (Enc)'!$D$6:$D$998,"Inactive")&gt;0,"BLOCKED","CAN SELL"))</f>
        <v>BLOCKED</v>
      </c>
      <c r="H187" s="2" t="str">
        <f>IF($A187="","",IF(COUNTIFS('Blackout Brand Fam Areas (Enc)'!$B$6:$B$998,$A187,'Blackout Brand Fam Areas (Enc)'!$C$6:$C$998,H$1,'Blackout Brand Fam Areas (Enc)'!$D$6:$D$998,"Inactive")&gt;0,"BLOCKED","CAN SELL"))</f>
        <v>CAN SELL</v>
      </c>
      <c r="I187" s="2" t="str">
        <f>IF($A187="","",IF(COUNTIFS('Blackout Brand Fam Areas (Enc)'!$B$6:$B$998,$A187,'Blackout Brand Fam Areas (Enc)'!$C$6:$C$998,I$1,'Blackout Brand Fam Areas (Enc)'!$D$6:$D$998,"Inactive")&gt;0,"BLOCKED","CAN SELL"))</f>
        <v>CAN SELL</v>
      </c>
      <c r="J187" s="2" t="str">
        <f>IF($A187="","",IF(COUNTIFS('Blackout Brand Fam Areas (Enc)'!$B$6:$B$998,$A187,'Blackout Brand Fam Areas (Enc)'!$C$6:$C$998,J$1,'Blackout Brand Fam Areas (Enc)'!$D$6:$D$998,"Inactive")&gt;0,"BLOCKED","CAN SELL"))</f>
        <v>BLOCKED</v>
      </c>
      <c r="K187" s="2" t="str">
        <f>IF($A187="","",IF(COUNTIFS('Blackout Brand Fam Areas (Enc)'!$B$6:$B$998,$A187,'Blackout Brand Fam Areas (Enc)'!$C$6:$C$998,K$1,'Blackout Brand Fam Areas (Enc)'!$D$6:$D$998,"Inactive")&gt;0,"BLOCKED","CAN SELL"))</f>
        <v>CAN SELL</v>
      </c>
    </row>
    <row r="188" spans="1:11" x14ac:dyDescent="0.2">
      <c r="A188" s="2" t="str">
        <v>Snow Beer</v>
      </c>
      <c r="B188" s="2" t="str">
        <f>IF($A188="","",IF(COUNTIFS('Blackout Brand Fam Areas (Enc)'!$B$6:$B$998,$A188,'Blackout Brand Fam Areas (Enc)'!$C$6:$C$998,B$1,'Blackout Brand Fam Areas (Enc)'!$D$6:$D$998,"Inactive")&gt;0,"BLOCKED","CAN SELL"))</f>
        <v>CAN SELL</v>
      </c>
      <c r="C188" s="2" t="str">
        <f>IF($A188="","",IF(COUNTIFS('Blackout Brand Fam Areas (Enc)'!$B$6:$B$998,$A188,'Blackout Brand Fam Areas (Enc)'!$C$6:$C$998,C$1,'Blackout Brand Fam Areas (Enc)'!$D$6:$D$998,"Inactive")&gt;0,"BLOCKED","CAN SELL"))</f>
        <v>CAN SELL</v>
      </c>
      <c r="D188" s="2" t="str">
        <f>IF($A188="","",IF(COUNTIFS('Blackout Brand Fam Areas (Enc)'!$B$6:$B$998,$A188,'Blackout Brand Fam Areas (Enc)'!$C$6:$C$998,D$1,'Blackout Brand Fam Areas (Enc)'!$D$6:$D$998,"Inactive")&gt;0,"BLOCKED","CAN SELL"))</f>
        <v>CAN SELL</v>
      </c>
      <c r="E188" s="2" t="str">
        <f>IF($A188="","",IF(COUNTIFS('Blackout Brand Fam Areas (Enc)'!$B$6:$B$998,$A188,'Blackout Brand Fam Areas (Enc)'!$C$6:$C$998,E$1,'Blackout Brand Fam Areas (Enc)'!$D$6:$D$998,"Inactive")&gt;0,"BLOCKED","CAN SELL"))</f>
        <v>BLOCKED</v>
      </c>
      <c r="F188" s="2" t="str">
        <f>IF($A188="","",IF(COUNTIFS('Blackout Brand Fam Areas (Enc)'!$B$6:$B$998,$A188,'Blackout Brand Fam Areas (Enc)'!$C$6:$C$998,F$1,'Blackout Brand Fam Areas (Enc)'!$D$6:$D$998,"Inactive")&gt;0,"BLOCKED","CAN SELL"))</f>
        <v>BLOCKED</v>
      </c>
      <c r="G188" s="2" t="str">
        <f>IF($A188="","",IF(COUNTIFS('Blackout Brand Fam Areas (Enc)'!$B$6:$B$998,$A188,'Blackout Brand Fam Areas (Enc)'!$C$6:$C$998,G$1,'Blackout Brand Fam Areas (Enc)'!$D$6:$D$998,"Inactive")&gt;0,"BLOCKED","CAN SELL"))</f>
        <v>BLOCKED</v>
      </c>
      <c r="H188" s="2" t="str">
        <f>IF($A188="","",IF(COUNTIFS('Blackout Brand Fam Areas (Enc)'!$B$6:$B$998,$A188,'Blackout Brand Fam Areas (Enc)'!$C$6:$C$998,H$1,'Blackout Brand Fam Areas (Enc)'!$D$6:$D$998,"Inactive")&gt;0,"BLOCKED","CAN SELL"))</f>
        <v>CAN SELL</v>
      </c>
      <c r="I188" s="2" t="str">
        <f>IF($A188="","",IF(COUNTIFS('Blackout Brand Fam Areas (Enc)'!$B$6:$B$998,$A188,'Blackout Brand Fam Areas (Enc)'!$C$6:$C$998,I$1,'Blackout Brand Fam Areas (Enc)'!$D$6:$D$998,"Inactive")&gt;0,"BLOCKED","CAN SELL"))</f>
        <v>CAN SELL</v>
      </c>
      <c r="J188" s="2" t="str">
        <f>IF($A188="","",IF(COUNTIFS('Blackout Brand Fam Areas (Enc)'!$B$6:$B$998,$A188,'Blackout Brand Fam Areas (Enc)'!$C$6:$C$998,J$1,'Blackout Brand Fam Areas (Enc)'!$D$6:$D$998,"Inactive")&gt;0,"BLOCKED","CAN SELL"))</f>
        <v>BLOCKED</v>
      </c>
      <c r="K188" s="2" t="str">
        <f>IF($A188="","",IF(COUNTIFS('Blackout Brand Fam Areas (Enc)'!$B$6:$B$998,$A188,'Blackout Brand Fam Areas (Enc)'!$C$6:$C$998,K$1,'Blackout Brand Fam Areas (Enc)'!$D$6:$D$998,"Inactive")&gt;0,"BLOCKED","CAN SELL"))</f>
        <v>CAN SELL</v>
      </c>
    </row>
    <row r="189" spans="1:11" x14ac:dyDescent="0.2">
      <c r="A189" s="2" t="str">
        <v>Sol</v>
      </c>
      <c r="B189" s="2" t="str">
        <f>IF($A189="","",IF(COUNTIFS('Blackout Brand Fam Areas (Enc)'!$B$6:$B$998,$A189,'Blackout Brand Fam Areas (Enc)'!$C$6:$C$998,B$1,'Blackout Brand Fam Areas (Enc)'!$D$6:$D$998,"Inactive")&gt;0,"BLOCKED","CAN SELL"))</f>
        <v>CAN SELL</v>
      </c>
      <c r="C189" s="2" t="str">
        <f>IF($A189="","",IF(COUNTIFS('Blackout Brand Fam Areas (Enc)'!$B$6:$B$998,$A189,'Blackout Brand Fam Areas (Enc)'!$C$6:$C$998,C$1,'Blackout Brand Fam Areas (Enc)'!$D$6:$D$998,"Inactive")&gt;0,"BLOCKED","CAN SELL"))</f>
        <v>CAN SELL</v>
      </c>
      <c r="D189" s="2" t="str">
        <f>IF($A189="","",IF(COUNTIFS('Blackout Brand Fam Areas (Enc)'!$B$6:$B$998,$A189,'Blackout Brand Fam Areas (Enc)'!$C$6:$C$998,D$1,'Blackout Brand Fam Areas (Enc)'!$D$6:$D$998,"Inactive")&gt;0,"BLOCKED","CAN SELL"))</f>
        <v>CAN SELL</v>
      </c>
      <c r="E189" s="2" t="str">
        <f>IF($A189="","",IF(COUNTIFS('Blackout Brand Fam Areas (Enc)'!$B$6:$B$998,$A189,'Blackout Brand Fam Areas (Enc)'!$C$6:$C$998,E$1,'Blackout Brand Fam Areas (Enc)'!$D$6:$D$998,"Inactive")&gt;0,"BLOCKED","CAN SELL"))</f>
        <v>BLOCKED</v>
      </c>
      <c r="F189" s="2" t="str">
        <f>IF($A189="","",IF(COUNTIFS('Blackout Brand Fam Areas (Enc)'!$B$6:$B$998,$A189,'Blackout Brand Fam Areas (Enc)'!$C$6:$C$998,F$1,'Blackout Brand Fam Areas (Enc)'!$D$6:$D$998,"Inactive")&gt;0,"BLOCKED","CAN SELL"))</f>
        <v>BLOCKED</v>
      </c>
      <c r="G189" s="2" t="str">
        <f>IF($A189="","",IF(COUNTIFS('Blackout Brand Fam Areas (Enc)'!$B$6:$B$998,$A189,'Blackout Brand Fam Areas (Enc)'!$C$6:$C$998,G$1,'Blackout Brand Fam Areas (Enc)'!$D$6:$D$998,"Inactive")&gt;0,"BLOCKED","CAN SELL"))</f>
        <v>BLOCKED</v>
      </c>
      <c r="H189" s="2" t="str">
        <f>IF($A189="","",IF(COUNTIFS('Blackout Brand Fam Areas (Enc)'!$B$6:$B$998,$A189,'Blackout Brand Fam Areas (Enc)'!$C$6:$C$998,H$1,'Blackout Brand Fam Areas (Enc)'!$D$6:$D$998,"Inactive")&gt;0,"BLOCKED","CAN SELL"))</f>
        <v>CAN SELL</v>
      </c>
      <c r="I189" s="2" t="str">
        <f>IF($A189="","",IF(COUNTIFS('Blackout Brand Fam Areas (Enc)'!$B$6:$B$998,$A189,'Blackout Brand Fam Areas (Enc)'!$C$6:$C$998,I$1,'Blackout Brand Fam Areas (Enc)'!$D$6:$D$998,"Inactive")&gt;0,"BLOCKED","CAN SELL"))</f>
        <v>CAN SELL</v>
      </c>
      <c r="J189" s="2" t="str">
        <f>IF($A189="","",IF(COUNTIFS('Blackout Brand Fam Areas (Enc)'!$B$6:$B$998,$A189,'Blackout Brand Fam Areas (Enc)'!$C$6:$C$998,J$1,'Blackout Brand Fam Areas (Enc)'!$D$6:$D$998,"Inactive")&gt;0,"BLOCKED","CAN SELL"))</f>
        <v>BLOCKED</v>
      </c>
      <c r="K189" s="2" t="str">
        <f>IF($A189="","",IF(COUNTIFS('Blackout Brand Fam Areas (Enc)'!$B$6:$B$998,$A189,'Blackout Brand Fam Areas (Enc)'!$C$6:$C$998,K$1,'Blackout Brand Fam Areas (Enc)'!$D$6:$D$998,"Inactive")&gt;0,"BLOCKED","CAN SELL"))</f>
        <v>CAN SELL</v>
      </c>
    </row>
    <row r="190" spans="1:11" x14ac:dyDescent="0.2">
      <c r="A190" s="2" t="str">
        <v>Southern Tier</v>
      </c>
      <c r="B190" s="2" t="str">
        <f>IF($A190="","",IF(COUNTIFS('Blackout Brand Fam Areas (Enc)'!$B$6:$B$998,$A190,'Blackout Brand Fam Areas (Enc)'!$C$6:$C$998,B$1,'Blackout Brand Fam Areas (Enc)'!$D$6:$D$998,"Inactive")&gt;0,"BLOCKED","CAN SELL"))</f>
        <v>CAN SELL</v>
      </c>
      <c r="C190" s="2" t="str">
        <f>IF($A190="","",IF(COUNTIFS('Blackout Brand Fam Areas (Enc)'!$B$6:$B$998,$A190,'Blackout Brand Fam Areas (Enc)'!$C$6:$C$998,C$1,'Blackout Brand Fam Areas (Enc)'!$D$6:$D$998,"Inactive")&gt;0,"BLOCKED","CAN SELL"))</f>
        <v>CAN SELL</v>
      </c>
      <c r="D190" s="2" t="str">
        <f>IF($A190="","",IF(COUNTIFS('Blackout Brand Fam Areas (Enc)'!$B$6:$B$998,$A190,'Blackout Brand Fam Areas (Enc)'!$C$6:$C$998,D$1,'Blackout Brand Fam Areas (Enc)'!$D$6:$D$998,"Inactive")&gt;0,"BLOCKED","CAN SELL"))</f>
        <v>CAN SELL</v>
      </c>
      <c r="E190" s="2" t="str">
        <f>IF($A190="","",IF(COUNTIFS('Blackout Brand Fam Areas (Enc)'!$B$6:$B$998,$A190,'Blackout Brand Fam Areas (Enc)'!$C$6:$C$998,E$1,'Blackout Brand Fam Areas (Enc)'!$D$6:$D$998,"Inactive")&gt;0,"BLOCKED","CAN SELL"))</f>
        <v>CAN SELL</v>
      </c>
      <c r="F190" s="2" t="str">
        <f>IF($A190="","",IF(COUNTIFS('Blackout Brand Fam Areas (Enc)'!$B$6:$B$998,$A190,'Blackout Brand Fam Areas (Enc)'!$C$6:$C$998,F$1,'Blackout Brand Fam Areas (Enc)'!$D$6:$D$998,"Inactive")&gt;0,"BLOCKED","CAN SELL"))</f>
        <v>CAN SELL</v>
      </c>
      <c r="G190" s="2" t="str">
        <f>IF($A190="","",IF(COUNTIFS('Blackout Brand Fam Areas (Enc)'!$B$6:$B$998,$A190,'Blackout Brand Fam Areas (Enc)'!$C$6:$C$998,G$1,'Blackout Brand Fam Areas (Enc)'!$D$6:$D$998,"Inactive")&gt;0,"BLOCKED","CAN SELL"))</f>
        <v>BLOCKED</v>
      </c>
      <c r="H190" s="2" t="str">
        <f>IF($A190="","",IF(COUNTIFS('Blackout Brand Fam Areas (Enc)'!$B$6:$B$998,$A190,'Blackout Brand Fam Areas (Enc)'!$C$6:$C$998,H$1,'Blackout Brand Fam Areas (Enc)'!$D$6:$D$998,"Inactive")&gt;0,"BLOCKED","CAN SELL"))</f>
        <v>BLOCKED</v>
      </c>
      <c r="I190" s="2" t="str">
        <f>IF($A190="","",IF(COUNTIFS('Blackout Brand Fam Areas (Enc)'!$B$6:$B$998,$A190,'Blackout Brand Fam Areas (Enc)'!$C$6:$C$998,I$1,'Blackout Brand Fam Areas (Enc)'!$D$6:$D$998,"Inactive")&gt;0,"BLOCKED","CAN SELL"))</f>
        <v>BLOCKED</v>
      </c>
      <c r="J190" s="2" t="str">
        <f>IF($A190="","",IF(COUNTIFS('Blackout Brand Fam Areas (Enc)'!$B$6:$B$998,$A190,'Blackout Brand Fam Areas (Enc)'!$C$6:$C$998,J$1,'Blackout Brand Fam Areas (Enc)'!$D$6:$D$998,"Inactive")&gt;0,"BLOCKED","CAN SELL"))</f>
        <v>BLOCKED</v>
      </c>
      <c r="K190" s="2" t="str">
        <f>IF($A190="","",IF(COUNTIFS('Blackout Brand Fam Areas (Enc)'!$B$6:$B$998,$A190,'Blackout Brand Fam Areas (Enc)'!$C$6:$C$998,K$1,'Blackout Brand Fam Areas (Enc)'!$D$6:$D$998,"Inactive")&gt;0,"BLOCKED","CAN SELL"))</f>
        <v>BLOCKED</v>
      </c>
    </row>
    <row r="191" spans="1:11" x14ac:dyDescent="0.2">
      <c r="A191" s="2" t="str">
        <v>Southern Tier Distilling</v>
      </c>
      <c r="B191" s="2" t="str">
        <f>IF($A191="","",IF(COUNTIFS('Blackout Brand Fam Areas (Enc)'!$B$6:$B$998,$A191,'Blackout Brand Fam Areas (Enc)'!$C$6:$C$998,B$1,'Blackout Brand Fam Areas (Enc)'!$D$6:$D$998,"Inactive")&gt;0,"BLOCKED","CAN SELL"))</f>
        <v>CAN SELL</v>
      </c>
      <c r="C191" s="2" t="str">
        <f>IF($A191="","",IF(COUNTIFS('Blackout Brand Fam Areas (Enc)'!$B$6:$B$998,$A191,'Blackout Brand Fam Areas (Enc)'!$C$6:$C$998,C$1,'Blackout Brand Fam Areas (Enc)'!$D$6:$D$998,"Inactive")&gt;0,"BLOCKED","CAN SELL"))</f>
        <v>CAN SELL</v>
      </c>
      <c r="D191" s="2" t="str">
        <f>IF($A191="","",IF(COUNTIFS('Blackout Brand Fam Areas (Enc)'!$B$6:$B$998,$A191,'Blackout Brand Fam Areas (Enc)'!$C$6:$C$998,D$1,'Blackout Brand Fam Areas (Enc)'!$D$6:$D$998,"Inactive")&gt;0,"BLOCKED","CAN SELL"))</f>
        <v>CAN SELL</v>
      </c>
      <c r="E191" s="2" t="str">
        <f>IF($A191="","",IF(COUNTIFS('Blackout Brand Fam Areas (Enc)'!$B$6:$B$998,$A191,'Blackout Brand Fam Areas (Enc)'!$C$6:$C$998,E$1,'Blackout Brand Fam Areas (Enc)'!$D$6:$D$998,"Inactive")&gt;0,"BLOCKED","CAN SELL"))</f>
        <v>CAN SELL</v>
      </c>
      <c r="F191" s="2" t="str">
        <f>IF($A191="","",IF(COUNTIFS('Blackout Brand Fam Areas (Enc)'!$B$6:$B$998,$A191,'Blackout Brand Fam Areas (Enc)'!$C$6:$C$998,F$1,'Blackout Brand Fam Areas (Enc)'!$D$6:$D$998,"Inactive")&gt;0,"BLOCKED","CAN SELL"))</f>
        <v>CAN SELL</v>
      </c>
      <c r="G191" s="2" t="str">
        <f>IF($A191="","",IF(COUNTIFS('Blackout Brand Fam Areas (Enc)'!$B$6:$B$998,$A191,'Blackout Brand Fam Areas (Enc)'!$C$6:$C$998,G$1,'Blackout Brand Fam Areas (Enc)'!$D$6:$D$998,"Inactive")&gt;0,"BLOCKED","CAN SELL"))</f>
        <v>BLOCKED</v>
      </c>
      <c r="H191" s="2" t="str">
        <f>IF($A191="","",IF(COUNTIFS('Blackout Brand Fam Areas (Enc)'!$B$6:$B$998,$A191,'Blackout Brand Fam Areas (Enc)'!$C$6:$C$998,H$1,'Blackout Brand Fam Areas (Enc)'!$D$6:$D$998,"Inactive")&gt;0,"BLOCKED","CAN SELL"))</f>
        <v>BLOCKED</v>
      </c>
      <c r="I191" s="2" t="str">
        <f>IF($A191="","",IF(COUNTIFS('Blackout Brand Fam Areas (Enc)'!$B$6:$B$998,$A191,'Blackout Brand Fam Areas (Enc)'!$C$6:$C$998,I$1,'Blackout Brand Fam Areas (Enc)'!$D$6:$D$998,"Inactive")&gt;0,"BLOCKED","CAN SELL"))</f>
        <v>BLOCKED</v>
      </c>
      <c r="J191" s="2" t="str">
        <f>IF($A191="","",IF(COUNTIFS('Blackout Brand Fam Areas (Enc)'!$B$6:$B$998,$A191,'Blackout Brand Fam Areas (Enc)'!$C$6:$C$998,J$1,'Blackout Brand Fam Areas (Enc)'!$D$6:$D$998,"Inactive")&gt;0,"BLOCKED","CAN SELL"))</f>
        <v>BLOCKED</v>
      </c>
      <c r="K191" s="2" t="str">
        <f>IF($A191="","",IF(COUNTIFS('Blackout Brand Fam Areas (Enc)'!$B$6:$B$998,$A191,'Blackout Brand Fam Areas (Enc)'!$C$6:$C$998,K$1,'Blackout Brand Fam Areas (Enc)'!$D$6:$D$998,"Inactive")&gt;0,"BLOCKED","CAN SELL"))</f>
        <v>BLOCKED</v>
      </c>
    </row>
    <row r="192" spans="1:11" x14ac:dyDescent="0.2">
      <c r="A192" s="2" t="str">
        <v>Sparkling Ice</v>
      </c>
      <c r="B192" s="2" t="str">
        <f>IF($A192="","",IF(COUNTIFS('Blackout Brand Fam Areas (Enc)'!$B$6:$B$998,$A192,'Blackout Brand Fam Areas (Enc)'!$C$6:$C$998,B$1,'Blackout Brand Fam Areas (Enc)'!$D$6:$D$998,"Inactive")&gt;0,"BLOCKED","CAN SELL"))</f>
        <v>CAN SELL</v>
      </c>
      <c r="C192" s="2" t="str">
        <f>IF($A192="","",IF(COUNTIFS('Blackout Brand Fam Areas (Enc)'!$B$6:$B$998,$A192,'Blackout Brand Fam Areas (Enc)'!$C$6:$C$998,C$1,'Blackout Brand Fam Areas (Enc)'!$D$6:$D$998,"Inactive")&gt;0,"BLOCKED","CAN SELL"))</f>
        <v>CAN SELL</v>
      </c>
      <c r="D192" s="2" t="str">
        <f>IF($A192="","",IF(COUNTIFS('Blackout Brand Fam Areas (Enc)'!$B$6:$B$998,$A192,'Blackout Brand Fam Areas (Enc)'!$C$6:$C$998,D$1,'Blackout Brand Fam Areas (Enc)'!$D$6:$D$998,"Inactive")&gt;0,"BLOCKED","CAN SELL"))</f>
        <v>CAN SELL</v>
      </c>
      <c r="E192" s="2" t="str">
        <f>IF($A192="","",IF(COUNTIFS('Blackout Brand Fam Areas (Enc)'!$B$6:$B$998,$A192,'Blackout Brand Fam Areas (Enc)'!$C$6:$C$998,E$1,'Blackout Brand Fam Areas (Enc)'!$D$6:$D$998,"Inactive")&gt;0,"BLOCKED","CAN SELL"))</f>
        <v>BLOCKED</v>
      </c>
      <c r="F192" s="2" t="str">
        <f>IF($A192="","",IF(COUNTIFS('Blackout Brand Fam Areas (Enc)'!$B$6:$B$998,$A192,'Blackout Brand Fam Areas (Enc)'!$C$6:$C$998,F$1,'Blackout Brand Fam Areas (Enc)'!$D$6:$D$998,"Inactive")&gt;0,"BLOCKED","CAN SELL"))</f>
        <v>CAN SELL</v>
      </c>
      <c r="G192" s="2" t="str">
        <f>IF($A192="","",IF(COUNTIFS('Blackout Brand Fam Areas (Enc)'!$B$6:$B$998,$A192,'Blackout Brand Fam Areas (Enc)'!$C$6:$C$998,G$1,'Blackout Brand Fam Areas (Enc)'!$D$6:$D$998,"Inactive")&gt;0,"BLOCKED","CAN SELL"))</f>
        <v>CAN SELL</v>
      </c>
      <c r="H192" s="2" t="str">
        <f>IF($A192="","",IF(COUNTIFS('Blackout Brand Fam Areas (Enc)'!$B$6:$B$998,$A192,'Blackout Brand Fam Areas (Enc)'!$C$6:$C$998,H$1,'Blackout Brand Fam Areas (Enc)'!$D$6:$D$998,"Inactive")&gt;0,"BLOCKED","CAN SELL"))</f>
        <v>CAN SELL</v>
      </c>
      <c r="I192" s="2" t="str">
        <f>IF($A192="","",IF(COUNTIFS('Blackout Brand Fam Areas (Enc)'!$B$6:$B$998,$A192,'Blackout Brand Fam Areas (Enc)'!$C$6:$C$998,I$1,'Blackout Brand Fam Areas (Enc)'!$D$6:$D$998,"Inactive")&gt;0,"BLOCKED","CAN SELL"))</f>
        <v>CAN SELL</v>
      </c>
      <c r="J192" s="2" t="str">
        <f>IF($A192="","",IF(COUNTIFS('Blackout Brand Fam Areas (Enc)'!$B$6:$B$998,$A192,'Blackout Brand Fam Areas (Enc)'!$C$6:$C$998,J$1,'Blackout Brand Fam Areas (Enc)'!$D$6:$D$998,"Inactive")&gt;0,"BLOCKED","CAN SELL"))</f>
        <v>CAN SELL</v>
      </c>
      <c r="K192" s="2" t="str">
        <f>IF($A192="","",IF(COUNTIFS('Blackout Brand Fam Areas (Enc)'!$B$6:$B$998,$A192,'Blackout Brand Fam Areas (Enc)'!$C$6:$C$998,K$1,'Blackout Brand Fam Areas (Enc)'!$D$6:$D$998,"Inactive")&gt;0,"BLOCKED","CAN SELL"))</f>
        <v>CAN SELL</v>
      </c>
    </row>
    <row r="193" spans="1:11" x14ac:dyDescent="0.2">
      <c r="A193" s="2" t="str">
        <v>St Archer</v>
      </c>
      <c r="B193" s="2" t="str">
        <f>IF($A193="","",IF(COUNTIFS('Blackout Brand Fam Areas (Enc)'!$B$6:$B$998,$A193,'Blackout Brand Fam Areas (Enc)'!$C$6:$C$998,B$1,'Blackout Brand Fam Areas (Enc)'!$D$6:$D$998,"Inactive")&gt;0,"BLOCKED","CAN SELL"))</f>
        <v>CAN SELL</v>
      </c>
      <c r="C193" s="2" t="str">
        <f>IF($A193="","",IF(COUNTIFS('Blackout Brand Fam Areas (Enc)'!$B$6:$B$998,$A193,'Blackout Brand Fam Areas (Enc)'!$C$6:$C$998,C$1,'Blackout Brand Fam Areas (Enc)'!$D$6:$D$998,"Inactive")&gt;0,"BLOCKED","CAN SELL"))</f>
        <v>CAN SELL</v>
      </c>
      <c r="D193" s="2" t="str">
        <f>IF($A193="","",IF(COUNTIFS('Blackout Brand Fam Areas (Enc)'!$B$6:$B$998,$A193,'Blackout Brand Fam Areas (Enc)'!$C$6:$C$998,D$1,'Blackout Brand Fam Areas (Enc)'!$D$6:$D$998,"Inactive")&gt;0,"BLOCKED","CAN SELL"))</f>
        <v>CAN SELL</v>
      </c>
      <c r="E193" s="2" t="str">
        <f>IF($A193="","",IF(COUNTIFS('Blackout Brand Fam Areas (Enc)'!$B$6:$B$998,$A193,'Blackout Brand Fam Areas (Enc)'!$C$6:$C$998,E$1,'Blackout Brand Fam Areas (Enc)'!$D$6:$D$998,"Inactive")&gt;0,"BLOCKED","CAN SELL"))</f>
        <v>BLOCKED</v>
      </c>
      <c r="F193" s="2" t="str">
        <f>IF($A193="","",IF(COUNTIFS('Blackout Brand Fam Areas (Enc)'!$B$6:$B$998,$A193,'Blackout Brand Fam Areas (Enc)'!$C$6:$C$998,F$1,'Blackout Brand Fam Areas (Enc)'!$D$6:$D$998,"Inactive")&gt;0,"BLOCKED","CAN SELL"))</f>
        <v>BLOCKED</v>
      </c>
      <c r="G193" s="2" t="str">
        <f>IF($A193="","",IF(COUNTIFS('Blackout Brand Fam Areas (Enc)'!$B$6:$B$998,$A193,'Blackout Brand Fam Areas (Enc)'!$C$6:$C$998,G$1,'Blackout Brand Fam Areas (Enc)'!$D$6:$D$998,"Inactive")&gt;0,"BLOCKED","CAN SELL"))</f>
        <v>BLOCKED</v>
      </c>
      <c r="H193" s="2" t="str">
        <f>IF($A193="","",IF(COUNTIFS('Blackout Brand Fam Areas (Enc)'!$B$6:$B$998,$A193,'Blackout Brand Fam Areas (Enc)'!$C$6:$C$998,H$1,'Blackout Brand Fam Areas (Enc)'!$D$6:$D$998,"Inactive")&gt;0,"BLOCKED","CAN SELL"))</f>
        <v>CAN SELL</v>
      </c>
      <c r="I193" s="2" t="str">
        <f>IF($A193="","",IF(COUNTIFS('Blackout Brand Fam Areas (Enc)'!$B$6:$B$998,$A193,'Blackout Brand Fam Areas (Enc)'!$C$6:$C$998,I$1,'Blackout Brand Fam Areas (Enc)'!$D$6:$D$998,"Inactive")&gt;0,"BLOCKED","CAN SELL"))</f>
        <v>CAN SELL</v>
      </c>
      <c r="J193" s="2" t="str">
        <f>IF($A193="","",IF(COUNTIFS('Blackout Brand Fam Areas (Enc)'!$B$6:$B$998,$A193,'Blackout Brand Fam Areas (Enc)'!$C$6:$C$998,J$1,'Blackout Brand Fam Areas (Enc)'!$D$6:$D$998,"Inactive")&gt;0,"BLOCKED","CAN SELL"))</f>
        <v>BLOCKED</v>
      </c>
      <c r="K193" s="2" t="str">
        <f>IF($A193="","",IF(COUNTIFS('Blackout Brand Fam Areas (Enc)'!$B$6:$B$998,$A193,'Blackout Brand Fam Areas (Enc)'!$C$6:$C$998,K$1,'Blackout Brand Fam Areas (Enc)'!$D$6:$D$998,"Inactive")&gt;0,"BLOCKED","CAN SELL"))</f>
        <v>CAN SELL</v>
      </c>
    </row>
    <row r="194" spans="1:11" x14ac:dyDescent="0.2">
      <c r="A194" s="2" t="str">
        <v>Steel Reserve</v>
      </c>
      <c r="B194" s="2" t="str">
        <f>IF($A194="","",IF(COUNTIFS('Blackout Brand Fam Areas (Enc)'!$B$6:$B$998,$A194,'Blackout Brand Fam Areas (Enc)'!$C$6:$C$998,B$1,'Blackout Brand Fam Areas (Enc)'!$D$6:$D$998,"Inactive")&gt;0,"BLOCKED","CAN SELL"))</f>
        <v>CAN SELL</v>
      </c>
      <c r="C194" s="2" t="str">
        <f>IF($A194="","",IF(COUNTIFS('Blackout Brand Fam Areas (Enc)'!$B$6:$B$998,$A194,'Blackout Brand Fam Areas (Enc)'!$C$6:$C$998,C$1,'Blackout Brand Fam Areas (Enc)'!$D$6:$D$998,"Inactive")&gt;0,"BLOCKED","CAN SELL"))</f>
        <v>CAN SELL</v>
      </c>
      <c r="D194" s="2" t="str">
        <f>IF($A194="","",IF(COUNTIFS('Blackout Brand Fam Areas (Enc)'!$B$6:$B$998,$A194,'Blackout Brand Fam Areas (Enc)'!$C$6:$C$998,D$1,'Blackout Brand Fam Areas (Enc)'!$D$6:$D$998,"Inactive")&gt;0,"BLOCKED","CAN SELL"))</f>
        <v>CAN SELL</v>
      </c>
      <c r="E194" s="2" t="str">
        <f>IF($A194="","",IF(COUNTIFS('Blackout Brand Fam Areas (Enc)'!$B$6:$B$998,$A194,'Blackout Brand Fam Areas (Enc)'!$C$6:$C$998,E$1,'Blackout Brand Fam Areas (Enc)'!$D$6:$D$998,"Inactive")&gt;0,"BLOCKED","CAN SELL"))</f>
        <v>BLOCKED</v>
      </c>
      <c r="F194" s="2" t="str">
        <f>IF($A194="","",IF(COUNTIFS('Blackout Brand Fam Areas (Enc)'!$B$6:$B$998,$A194,'Blackout Brand Fam Areas (Enc)'!$C$6:$C$998,F$1,'Blackout Brand Fam Areas (Enc)'!$D$6:$D$998,"Inactive")&gt;0,"BLOCKED","CAN SELL"))</f>
        <v>BLOCKED</v>
      </c>
      <c r="G194" s="2" t="str">
        <f>IF($A194="","",IF(COUNTIFS('Blackout Brand Fam Areas (Enc)'!$B$6:$B$998,$A194,'Blackout Brand Fam Areas (Enc)'!$C$6:$C$998,G$1,'Blackout Brand Fam Areas (Enc)'!$D$6:$D$998,"Inactive")&gt;0,"BLOCKED","CAN SELL"))</f>
        <v>BLOCKED</v>
      </c>
      <c r="H194" s="2" t="str">
        <f>IF($A194="","",IF(COUNTIFS('Blackout Brand Fam Areas (Enc)'!$B$6:$B$998,$A194,'Blackout Brand Fam Areas (Enc)'!$C$6:$C$998,H$1,'Blackout Brand Fam Areas (Enc)'!$D$6:$D$998,"Inactive")&gt;0,"BLOCKED","CAN SELL"))</f>
        <v>CAN SELL</v>
      </c>
      <c r="I194" s="2" t="str">
        <f>IF($A194="","",IF(COUNTIFS('Blackout Brand Fam Areas (Enc)'!$B$6:$B$998,$A194,'Blackout Brand Fam Areas (Enc)'!$C$6:$C$998,I$1,'Blackout Brand Fam Areas (Enc)'!$D$6:$D$998,"Inactive")&gt;0,"BLOCKED","CAN SELL"))</f>
        <v>CAN SELL</v>
      </c>
      <c r="J194" s="2" t="str">
        <f>IF($A194="","",IF(COUNTIFS('Blackout Brand Fam Areas (Enc)'!$B$6:$B$998,$A194,'Blackout Brand Fam Areas (Enc)'!$C$6:$C$998,J$1,'Blackout Brand Fam Areas (Enc)'!$D$6:$D$998,"Inactive")&gt;0,"BLOCKED","CAN SELL"))</f>
        <v>BLOCKED</v>
      </c>
      <c r="K194" s="2" t="str">
        <f>IF($A194="","",IF(COUNTIFS('Blackout Brand Fam Areas (Enc)'!$B$6:$B$998,$A194,'Blackout Brand Fam Areas (Enc)'!$C$6:$C$998,K$1,'Blackout Brand Fam Areas (Enc)'!$D$6:$D$998,"Inactive")&gt;0,"BLOCKED","CAN SELL"))</f>
        <v>CAN SELL</v>
      </c>
    </row>
    <row r="195" spans="1:11" x14ac:dyDescent="0.2">
      <c r="A195" s="2" t="str">
        <v>Steel Reserve Alloy Series</v>
      </c>
      <c r="B195" s="2" t="str">
        <f>IF($A195="","",IF(COUNTIFS('Blackout Brand Fam Areas (Enc)'!$B$6:$B$998,$A195,'Blackout Brand Fam Areas (Enc)'!$C$6:$C$998,B$1,'Blackout Brand Fam Areas (Enc)'!$D$6:$D$998,"Inactive")&gt;0,"BLOCKED","CAN SELL"))</f>
        <v>CAN SELL</v>
      </c>
      <c r="C195" s="2" t="str">
        <f>IF($A195="","",IF(COUNTIFS('Blackout Brand Fam Areas (Enc)'!$B$6:$B$998,$A195,'Blackout Brand Fam Areas (Enc)'!$C$6:$C$998,C$1,'Blackout Brand Fam Areas (Enc)'!$D$6:$D$998,"Inactive")&gt;0,"BLOCKED","CAN SELL"))</f>
        <v>CAN SELL</v>
      </c>
      <c r="D195" s="2" t="str">
        <f>IF($A195="","",IF(COUNTIFS('Blackout Brand Fam Areas (Enc)'!$B$6:$B$998,$A195,'Blackout Brand Fam Areas (Enc)'!$C$6:$C$998,D$1,'Blackout Brand Fam Areas (Enc)'!$D$6:$D$998,"Inactive")&gt;0,"BLOCKED","CAN SELL"))</f>
        <v>CAN SELL</v>
      </c>
      <c r="E195" s="2" t="str">
        <f>IF($A195="","",IF(COUNTIFS('Blackout Brand Fam Areas (Enc)'!$B$6:$B$998,$A195,'Blackout Brand Fam Areas (Enc)'!$C$6:$C$998,E$1,'Blackout Brand Fam Areas (Enc)'!$D$6:$D$998,"Inactive")&gt;0,"BLOCKED","CAN SELL"))</f>
        <v>BLOCKED</v>
      </c>
      <c r="F195" s="2" t="str">
        <f>IF($A195="","",IF(COUNTIFS('Blackout Brand Fam Areas (Enc)'!$B$6:$B$998,$A195,'Blackout Brand Fam Areas (Enc)'!$C$6:$C$998,F$1,'Blackout Brand Fam Areas (Enc)'!$D$6:$D$998,"Inactive")&gt;0,"BLOCKED","CAN SELL"))</f>
        <v>BLOCKED</v>
      </c>
      <c r="G195" s="2" t="str">
        <f>IF($A195="","",IF(COUNTIFS('Blackout Brand Fam Areas (Enc)'!$B$6:$B$998,$A195,'Blackout Brand Fam Areas (Enc)'!$C$6:$C$998,G$1,'Blackout Brand Fam Areas (Enc)'!$D$6:$D$998,"Inactive")&gt;0,"BLOCKED","CAN SELL"))</f>
        <v>BLOCKED</v>
      </c>
      <c r="H195" s="2" t="str">
        <f>IF($A195="","",IF(COUNTIFS('Blackout Brand Fam Areas (Enc)'!$B$6:$B$998,$A195,'Blackout Brand Fam Areas (Enc)'!$C$6:$C$998,H$1,'Blackout Brand Fam Areas (Enc)'!$D$6:$D$998,"Inactive")&gt;0,"BLOCKED","CAN SELL"))</f>
        <v>CAN SELL</v>
      </c>
      <c r="I195" s="2" t="str">
        <f>IF($A195="","",IF(COUNTIFS('Blackout Brand Fam Areas (Enc)'!$B$6:$B$998,$A195,'Blackout Brand Fam Areas (Enc)'!$C$6:$C$998,I$1,'Blackout Brand Fam Areas (Enc)'!$D$6:$D$998,"Inactive")&gt;0,"BLOCKED","CAN SELL"))</f>
        <v>CAN SELL</v>
      </c>
      <c r="J195" s="2" t="str">
        <f>IF($A195="","",IF(COUNTIFS('Blackout Brand Fam Areas (Enc)'!$B$6:$B$998,$A195,'Blackout Brand Fam Areas (Enc)'!$C$6:$C$998,J$1,'Blackout Brand Fam Areas (Enc)'!$D$6:$D$998,"Inactive")&gt;0,"BLOCKED","CAN SELL"))</f>
        <v>BLOCKED</v>
      </c>
      <c r="K195" s="2" t="str">
        <f>IF($A195="","",IF(COUNTIFS('Blackout Brand Fam Areas (Enc)'!$B$6:$B$998,$A195,'Blackout Brand Fam Areas (Enc)'!$C$6:$C$998,K$1,'Blackout Brand Fam Areas (Enc)'!$D$6:$D$998,"Inactive")&gt;0,"BLOCKED","CAN SELL"))</f>
        <v>CAN SELL</v>
      </c>
    </row>
    <row r="196" spans="1:11" x14ac:dyDescent="0.2">
      <c r="A196" s="2" t="str">
        <v>Stone Brewing</v>
      </c>
      <c r="B196" s="2" t="str">
        <f>IF($A196="","",IF(COUNTIFS('Blackout Brand Fam Areas (Enc)'!$B$6:$B$998,$A196,'Blackout Brand Fam Areas (Enc)'!$C$6:$C$998,B$1,'Blackout Brand Fam Areas (Enc)'!$D$6:$D$998,"Inactive")&gt;0,"BLOCKED","CAN SELL"))</f>
        <v>CAN SELL</v>
      </c>
      <c r="C196" s="2" t="str">
        <f>IF($A196="","",IF(COUNTIFS('Blackout Brand Fam Areas (Enc)'!$B$6:$B$998,$A196,'Blackout Brand Fam Areas (Enc)'!$C$6:$C$998,C$1,'Blackout Brand Fam Areas (Enc)'!$D$6:$D$998,"Inactive")&gt;0,"BLOCKED","CAN SELL"))</f>
        <v>CAN SELL</v>
      </c>
      <c r="D196" s="2" t="str">
        <f>IF($A196="","",IF(COUNTIFS('Blackout Brand Fam Areas (Enc)'!$B$6:$B$998,$A196,'Blackout Brand Fam Areas (Enc)'!$C$6:$C$998,D$1,'Blackout Brand Fam Areas (Enc)'!$D$6:$D$998,"Inactive")&gt;0,"BLOCKED","CAN SELL"))</f>
        <v>CAN SELL</v>
      </c>
      <c r="E196" s="2" t="str">
        <f>IF($A196="","",IF(COUNTIFS('Blackout Brand Fam Areas (Enc)'!$B$6:$B$998,$A196,'Blackout Brand Fam Areas (Enc)'!$C$6:$C$998,E$1,'Blackout Brand Fam Areas (Enc)'!$D$6:$D$998,"Inactive")&gt;0,"BLOCKED","CAN SELL"))</f>
        <v>CAN SELL</v>
      </c>
      <c r="F196" s="2" t="str">
        <f>IF($A196="","",IF(COUNTIFS('Blackout Brand Fam Areas (Enc)'!$B$6:$B$998,$A196,'Blackout Brand Fam Areas (Enc)'!$C$6:$C$998,F$1,'Blackout Brand Fam Areas (Enc)'!$D$6:$D$998,"Inactive")&gt;0,"BLOCKED","CAN SELL"))</f>
        <v>CAN SELL</v>
      </c>
      <c r="G196" s="2" t="str">
        <f>IF($A196="","",IF(COUNTIFS('Blackout Brand Fam Areas (Enc)'!$B$6:$B$998,$A196,'Blackout Brand Fam Areas (Enc)'!$C$6:$C$998,G$1,'Blackout Brand Fam Areas (Enc)'!$D$6:$D$998,"Inactive")&gt;0,"BLOCKED","CAN SELL"))</f>
        <v>BLOCKED</v>
      </c>
      <c r="H196" s="2" t="str">
        <f>IF($A196="","",IF(COUNTIFS('Blackout Brand Fam Areas (Enc)'!$B$6:$B$998,$A196,'Blackout Brand Fam Areas (Enc)'!$C$6:$C$998,H$1,'Blackout Brand Fam Areas (Enc)'!$D$6:$D$998,"Inactive")&gt;0,"BLOCKED","CAN SELL"))</f>
        <v>BLOCKED</v>
      </c>
      <c r="I196" s="2" t="str">
        <f>IF($A196="","",IF(COUNTIFS('Blackout Brand Fam Areas (Enc)'!$B$6:$B$998,$A196,'Blackout Brand Fam Areas (Enc)'!$C$6:$C$998,I$1,'Blackout Brand Fam Areas (Enc)'!$D$6:$D$998,"Inactive")&gt;0,"BLOCKED","CAN SELL"))</f>
        <v>BLOCKED</v>
      </c>
      <c r="J196" s="2" t="str">
        <f>IF($A196="","",IF(COUNTIFS('Blackout Brand Fam Areas (Enc)'!$B$6:$B$998,$A196,'Blackout Brand Fam Areas (Enc)'!$C$6:$C$998,J$1,'Blackout Brand Fam Areas (Enc)'!$D$6:$D$998,"Inactive")&gt;0,"BLOCKED","CAN SELL"))</f>
        <v>BLOCKED</v>
      </c>
      <c r="K196" s="2" t="str">
        <f>IF($A196="","",IF(COUNTIFS('Blackout Brand Fam Areas (Enc)'!$B$6:$B$998,$A196,'Blackout Brand Fam Areas (Enc)'!$C$6:$C$998,K$1,'Blackout Brand Fam Areas (Enc)'!$D$6:$D$998,"Inactive")&gt;0,"BLOCKED","CAN SELL"))</f>
        <v>BLOCKED</v>
      </c>
    </row>
    <row r="197" spans="1:11" x14ac:dyDescent="0.2">
      <c r="A197" s="2" t="str">
        <v>Stone Premium &amp; Smooth Beer Co</v>
      </c>
      <c r="B197" s="2" t="str">
        <f>IF($A197="","",IF(COUNTIFS('Blackout Brand Fam Areas (Enc)'!$B$6:$B$998,$A197,'Blackout Brand Fam Areas (Enc)'!$C$6:$C$998,B$1,'Blackout Brand Fam Areas (Enc)'!$D$6:$D$998,"Inactive")&gt;0,"BLOCKED","CAN SELL"))</f>
        <v>CAN SELL</v>
      </c>
      <c r="C197" s="2" t="str">
        <f>IF($A197="","",IF(COUNTIFS('Blackout Brand Fam Areas (Enc)'!$B$6:$B$998,$A197,'Blackout Brand Fam Areas (Enc)'!$C$6:$C$998,C$1,'Blackout Brand Fam Areas (Enc)'!$D$6:$D$998,"Inactive")&gt;0,"BLOCKED","CAN SELL"))</f>
        <v>CAN SELL</v>
      </c>
      <c r="D197" s="2" t="str">
        <f>IF($A197="","",IF(COUNTIFS('Blackout Brand Fam Areas (Enc)'!$B$6:$B$998,$A197,'Blackout Brand Fam Areas (Enc)'!$C$6:$C$998,D$1,'Blackout Brand Fam Areas (Enc)'!$D$6:$D$998,"Inactive")&gt;0,"BLOCKED","CAN SELL"))</f>
        <v>CAN SELL</v>
      </c>
      <c r="E197" s="2" t="str">
        <f>IF($A197="","",IF(COUNTIFS('Blackout Brand Fam Areas (Enc)'!$B$6:$B$998,$A197,'Blackout Brand Fam Areas (Enc)'!$C$6:$C$998,E$1,'Blackout Brand Fam Areas (Enc)'!$D$6:$D$998,"Inactive")&gt;0,"BLOCKED","CAN SELL"))</f>
        <v>CAN SELL</v>
      </c>
      <c r="F197" s="2" t="str">
        <f>IF($A197="","",IF(COUNTIFS('Blackout Brand Fam Areas (Enc)'!$B$6:$B$998,$A197,'Blackout Brand Fam Areas (Enc)'!$C$6:$C$998,F$1,'Blackout Brand Fam Areas (Enc)'!$D$6:$D$998,"Inactive")&gt;0,"BLOCKED","CAN SELL"))</f>
        <v>CAN SELL</v>
      </c>
      <c r="G197" s="2" t="str">
        <f>IF($A197="","",IF(COUNTIFS('Blackout Brand Fam Areas (Enc)'!$B$6:$B$998,$A197,'Blackout Brand Fam Areas (Enc)'!$C$6:$C$998,G$1,'Blackout Brand Fam Areas (Enc)'!$D$6:$D$998,"Inactive")&gt;0,"BLOCKED","CAN SELL"))</f>
        <v>BLOCKED</v>
      </c>
      <c r="H197" s="2" t="str">
        <f>IF($A197="","",IF(COUNTIFS('Blackout Brand Fam Areas (Enc)'!$B$6:$B$998,$A197,'Blackout Brand Fam Areas (Enc)'!$C$6:$C$998,H$1,'Blackout Brand Fam Areas (Enc)'!$D$6:$D$998,"Inactive")&gt;0,"BLOCKED","CAN SELL"))</f>
        <v>BLOCKED</v>
      </c>
      <c r="I197" s="2" t="str">
        <f>IF($A197="","",IF(COUNTIFS('Blackout Brand Fam Areas (Enc)'!$B$6:$B$998,$A197,'Blackout Brand Fam Areas (Enc)'!$C$6:$C$998,I$1,'Blackout Brand Fam Areas (Enc)'!$D$6:$D$998,"Inactive")&gt;0,"BLOCKED","CAN SELL"))</f>
        <v>BLOCKED</v>
      </c>
      <c r="J197" s="2" t="str">
        <f>IF($A197="","",IF(COUNTIFS('Blackout Brand Fam Areas (Enc)'!$B$6:$B$998,$A197,'Blackout Brand Fam Areas (Enc)'!$C$6:$C$998,J$1,'Blackout Brand Fam Areas (Enc)'!$D$6:$D$998,"Inactive")&gt;0,"BLOCKED","CAN SELL"))</f>
        <v>BLOCKED</v>
      </c>
      <c r="K197" s="2" t="str">
        <f>IF($A197="","",IF(COUNTIFS('Blackout Brand Fam Areas (Enc)'!$B$6:$B$998,$A197,'Blackout Brand Fam Areas (Enc)'!$C$6:$C$998,K$1,'Blackout Brand Fam Areas (Enc)'!$D$6:$D$998,"Inactive")&gt;0,"BLOCKED","CAN SELL"))</f>
        <v>BLOCKED</v>
      </c>
    </row>
    <row r="198" spans="1:11" x14ac:dyDescent="0.2">
      <c r="A198" s="2" t="str">
        <v>Strainge Beast</v>
      </c>
      <c r="B198" s="2" t="str">
        <f>IF($A198="","",IF(COUNTIFS('Blackout Brand Fam Areas (Enc)'!$B$6:$B$998,$A198,'Blackout Brand Fam Areas (Enc)'!$C$6:$C$998,B$1,'Blackout Brand Fam Areas (Enc)'!$D$6:$D$998,"Inactive")&gt;0,"BLOCKED","CAN SELL"))</f>
        <v>CAN SELL</v>
      </c>
      <c r="C198" s="2" t="str">
        <f>IF($A198="","",IF(COUNTIFS('Blackout Brand Fam Areas (Enc)'!$B$6:$B$998,$A198,'Blackout Brand Fam Areas (Enc)'!$C$6:$C$998,C$1,'Blackout Brand Fam Areas (Enc)'!$D$6:$D$998,"Inactive")&gt;0,"BLOCKED","CAN SELL"))</f>
        <v>CAN SELL</v>
      </c>
      <c r="D198" s="2" t="str">
        <f>IF($A198="","",IF(COUNTIFS('Blackout Brand Fam Areas (Enc)'!$B$6:$B$998,$A198,'Blackout Brand Fam Areas (Enc)'!$C$6:$C$998,D$1,'Blackout Brand Fam Areas (Enc)'!$D$6:$D$998,"Inactive")&gt;0,"BLOCKED","CAN SELL"))</f>
        <v>CAN SELL</v>
      </c>
      <c r="E198" s="2" t="str">
        <f>IF($A198="","",IF(COUNTIFS('Blackout Brand Fam Areas (Enc)'!$B$6:$B$998,$A198,'Blackout Brand Fam Areas (Enc)'!$C$6:$C$998,E$1,'Blackout Brand Fam Areas (Enc)'!$D$6:$D$998,"Inactive")&gt;0,"BLOCKED","CAN SELL"))</f>
        <v>BLOCKED</v>
      </c>
      <c r="F198" s="2" t="str">
        <f>IF($A198="","",IF(COUNTIFS('Blackout Brand Fam Areas (Enc)'!$B$6:$B$998,$A198,'Blackout Brand Fam Areas (Enc)'!$C$6:$C$998,F$1,'Blackout Brand Fam Areas (Enc)'!$D$6:$D$998,"Inactive")&gt;0,"BLOCKED","CAN SELL"))</f>
        <v>BLOCKED</v>
      </c>
      <c r="G198" s="2" t="str">
        <f>IF($A198="","",IF(COUNTIFS('Blackout Brand Fam Areas (Enc)'!$B$6:$B$998,$A198,'Blackout Brand Fam Areas (Enc)'!$C$6:$C$998,G$1,'Blackout Brand Fam Areas (Enc)'!$D$6:$D$998,"Inactive")&gt;0,"BLOCKED","CAN SELL"))</f>
        <v>BLOCKED</v>
      </c>
      <c r="H198" s="2" t="str">
        <f>IF($A198="","",IF(COUNTIFS('Blackout Brand Fam Areas (Enc)'!$B$6:$B$998,$A198,'Blackout Brand Fam Areas (Enc)'!$C$6:$C$998,H$1,'Blackout Brand Fam Areas (Enc)'!$D$6:$D$998,"Inactive")&gt;0,"BLOCKED","CAN SELL"))</f>
        <v>CAN SELL</v>
      </c>
      <c r="I198" s="2" t="str">
        <f>IF($A198="","",IF(COUNTIFS('Blackout Brand Fam Areas (Enc)'!$B$6:$B$998,$A198,'Blackout Brand Fam Areas (Enc)'!$C$6:$C$998,I$1,'Blackout Brand Fam Areas (Enc)'!$D$6:$D$998,"Inactive")&gt;0,"BLOCKED","CAN SELL"))</f>
        <v>CAN SELL</v>
      </c>
      <c r="J198" s="2" t="str">
        <f>IF($A198="","",IF(COUNTIFS('Blackout Brand Fam Areas (Enc)'!$B$6:$B$998,$A198,'Blackout Brand Fam Areas (Enc)'!$C$6:$C$998,J$1,'Blackout Brand Fam Areas (Enc)'!$D$6:$D$998,"Inactive")&gt;0,"BLOCKED","CAN SELL"))</f>
        <v>BLOCKED</v>
      </c>
      <c r="K198" s="2" t="str">
        <f>IF($A198="","",IF(COUNTIFS('Blackout Brand Fam Areas (Enc)'!$B$6:$B$998,$A198,'Blackout Brand Fam Areas (Enc)'!$C$6:$C$998,K$1,'Blackout Brand Fam Areas (Enc)'!$D$6:$D$998,"Inactive")&gt;0,"BLOCKED","CAN SELL"))</f>
        <v>CAN SELL</v>
      </c>
    </row>
    <row r="199" spans="1:11" x14ac:dyDescent="0.2">
      <c r="A199" s="2" t="str">
        <v>Strongbow</v>
      </c>
      <c r="B199" s="2" t="str">
        <f>IF($A199="","",IF(COUNTIFS('Blackout Brand Fam Areas (Enc)'!$B$6:$B$998,$A199,'Blackout Brand Fam Areas (Enc)'!$C$6:$C$998,B$1,'Blackout Brand Fam Areas (Enc)'!$D$6:$D$998,"Inactive")&gt;0,"BLOCKED","CAN SELL"))</f>
        <v>CAN SELL</v>
      </c>
      <c r="C199" s="2" t="str">
        <f>IF($A199="","",IF(COUNTIFS('Blackout Brand Fam Areas (Enc)'!$B$6:$B$998,$A199,'Blackout Brand Fam Areas (Enc)'!$C$6:$C$998,C$1,'Blackout Brand Fam Areas (Enc)'!$D$6:$D$998,"Inactive")&gt;0,"BLOCKED","CAN SELL"))</f>
        <v>CAN SELL</v>
      </c>
      <c r="D199" s="2" t="str">
        <f>IF($A199="","",IF(COUNTIFS('Blackout Brand Fam Areas (Enc)'!$B$6:$B$998,$A199,'Blackout Brand Fam Areas (Enc)'!$C$6:$C$998,D$1,'Blackout Brand Fam Areas (Enc)'!$D$6:$D$998,"Inactive")&gt;0,"BLOCKED","CAN SELL"))</f>
        <v>CAN SELL</v>
      </c>
      <c r="E199" s="2" t="str">
        <f>IF($A199="","",IF(COUNTIFS('Blackout Brand Fam Areas (Enc)'!$B$6:$B$998,$A199,'Blackout Brand Fam Areas (Enc)'!$C$6:$C$998,E$1,'Blackout Brand Fam Areas (Enc)'!$D$6:$D$998,"Inactive")&gt;0,"BLOCKED","CAN SELL"))</f>
        <v>BLOCKED</v>
      </c>
      <c r="F199" s="2" t="str">
        <f>IF($A199="","",IF(COUNTIFS('Blackout Brand Fam Areas (Enc)'!$B$6:$B$998,$A199,'Blackout Brand Fam Areas (Enc)'!$C$6:$C$998,F$1,'Blackout Brand Fam Areas (Enc)'!$D$6:$D$998,"Inactive")&gt;0,"BLOCKED","CAN SELL"))</f>
        <v>BLOCKED</v>
      </c>
      <c r="G199" s="2" t="str">
        <f>IF($A199="","",IF(COUNTIFS('Blackout Brand Fam Areas (Enc)'!$B$6:$B$998,$A199,'Blackout Brand Fam Areas (Enc)'!$C$6:$C$998,G$1,'Blackout Brand Fam Areas (Enc)'!$D$6:$D$998,"Inactive")&gt;0,"BLOCKED","CAN SELL"))</f>
        <v>BLOCKED</v>
      </c>
      <c r="H199" s="2" t="str">
        <f>IF($A199="","",IF(COUNTIFS('Blackout Brand Fam Areas (Enc)'!$B$6:$B$998,$A199,'Blackout Brand Fam Areas (Enc)'!$C$6:$C$998,H$1,'Blackout Brand Fam Areas (Enc)'!$D$6:$D$998,"Inactive")&gt;0,"BLOCKED","CAN SELL"))</f>
        <v>BLOCKED</v>
      </c>
      <c r="I199" s="2" t="str">
        <f>IF($A199="","",IF(COUNTIFS('Blackout Brand Fam Areas (Enc)'!$B$6:$B$998,$A199,'Blackout Brand Fam Areas (Enc)'!$C$6:$C$998,I$1,'Blackout Brand Fam Areas (Enc)'!$D$6:$D$998,"Inactive")&gt;0,"BLOCKED","CAN SELL"))</f>
        <v>BLOCKED</v>
      </c>
      <c r="J199" s="2" t="str">
        <f>IF($A199="","",IF(COUNTIFS('Blackout Brand Fam Areas (Enc)'!$B$6:$B$998,$A199,'Blackout Brand Fam Areas (Enc)'!$C$6:$C$998,J$1,'Blackout Brand Fam Areas (Enc)'!$D$6:$D$998,"Inactive")&gt;0,"BLOCKED","CAN SELL"))</f>
        <v>BLOCKED</v>
      </c>
      <c r="K199" s="2" t="str">
        <f>IF($A199="","",IF(COUNTIFS('Blackout Brand Fam Areas (Enc)'!$B$6:$B$998,$A199,'Blackout Brand Fam Areas (Enc)'!$C$6:$C$998,K$1,'Blackout Brand Fam Areas (Enc)'!$D$6:$D$998,"Inactive")&gt;0,"BLOCKED","CAN SELL"))</f>
        <v>CAN SELL</v>
      </c>
    </row>
    <row r="200" spans="1:11" x14ac:dyDescent="0.2">
      <c r="A200" s="2" t="str">
        <v>Sun Cruiser</v>
      </c>
      <c r="B200" s="2" t="str">
        <f>IF($A200="","",IF(COUNTIFS('Blackout Brand Fam Areas (Enc)'!$B$6:$B$998,$A200,'Blackout Brand Fam Areas (Enc)'!$C$6:$C$998,B$1,'Blackout Brand Fam Areas (Enc)'!$D$6:$D$998,"Inactive")&gt;0,"BLOCKED","CAN SELL"))</f>
        <v>CAN SELL</v>
      </c>
      <c r="C200" s="2" t="str">
        <f>IF($A200="","",IF(COUNTIFS('Blackout Brand Fam Areas (Enc)'!$B$6:$B$998,$A200,'Blackout Brand Fam Areas (Enc)'!$C$6:$C$998,C$1,'Blackout Brand Fam Areas (Enc)'!$D$6:$D$998,"Inactive")&gt;0,"BLOCKED","CAN SELL"))</f>
        <v>CAN SELL</v>
      </c>
      <c r="D200" s="2" t="str">
        <f>IF($A200="","",IF(COUNTIFS('Blackout Brand Fam Areas (Enc)'!$B$6:$B$998,$A200,'Blackout Brand Fam Areas (Enc)'!$C$6:$C$998,D$1,'Blackout Brand Fam Areas (Enc)'!$D$6:$D$998,"Inactive")&gt;0,"BLOCKED","CAN SELL"))</f>
        <v>CAN SELL</v>
      </c>
      <c r="E200" s="2" t="str">
        <f>IF($A200="","",IF(COUNTIFS('Blackout Brand Fam Areas (Enc)'!$B$6:$B$998,$A200,'Blackout Brand Fam Areas (Enc)'!$C$6:$C$998,E$1,'Blackout Brand Fam Areas (Enc)'!$D$6:$D$998,"Inactive")&gt;0,"BLOCKED","CAN SELL"))</f>
        <v>BLOCKED</v>
      </c>
      <c r="F200" s="2" t="str">
        <f>IF($A200="","",IF(COUNTIFS('Blackout Brand Fam Areas (Enc)'!$B$6:$B$998,$A200,'Blackout Brand Fam Areas (Enc)'!$C$6:$C$998,F$1,'Blackout Brand Fam Areas (Enc)'!$D$6:$D$998,"Inactive")&gt;0,"BLOCKED","CAN SELL"))</f>
        <v>BLOCKED</v>
      </c>
      <c r="G200" s="2" t="str">
        <f>IF($A200="","",IF(COUNTIFS('Blackout Brand Fam Areas (Enc)'!$B$6:$B$998,$A200,'Blackout Brand Fam Areas (Enc)'!$C$6:$C$998,G$1,'Blackout Brand Fam Areas (Enc)'!$D$6:$D$998,"Inactive")&gt;0,"BLOCKED","CAN SELL"))</f>
        <v>BLOCKED</v>
      </c>
      <c r="H200" s="2" t="str">
        <f>IF($A200="","",IF(COUNTIFS('Blackout Brand Fam Areas (Enc)'!$B$6:$B$998,$A200,'Blackout Brand Fam Areas (Enc)'!$C$6:$C$998,H$1,'Blackout Brand Fam Areas (Enc)'!$D$6:$D$998,"Inactive")&gt;0,"BLOCKED","CAN SELL"))</f>
        <v>CAN SELL</v>
      </c>
      <c r="I200" s="2" t="str">
        <f>IF($A200="","",IF(COUNTIFS('Blackout Brand Fam Areas (Enc)'!$B$6:$B$998,$A200,'Blackout Brand Fam Areas (Enc)'!$C$6:$C$998,I$1,'Blackout Brand Fam Areas (Enc)'!$D$6:$D$998,"Inactive")&gt;0,"BLOCKED","CAN SELL"))</f>
        <v>CAN SELL</v>
      </c>
      <c r="J200" s="2" t="str">
        <f>IF($A200="","",IF(COUNTIFS('Blackout Brand Fam Areas (Enc)'!$B$6:$B$998,$A200,'Blackout Brand Fam Areas (Enc)'!$C$6:$C$998,J$1,'Blackout Brand Fam Areas (Enc)'!$D$6:$D$998,"Inactive")&gt;0,"BLOCKED","CAN SELL"))</f>
        <v>BLOCKED</v>
      </c>
      <c r="K200" s="2" t="str">
        <f>IF($A200="","",IF(COUNTIFS('Blackout Brand Fam Areas (Enc)'!$B$6:$B$998,$A200,'Blackout Brand Fam Areas (Enc)'!$C$6:$C$998,K$1,'Blackout Brand Fam Areas (Enc)'!$D$6:$D$998,"Inactive")&gt;0,"BLOCKED","CAN SELL"))</f>
        <v>CAN SELL</v>
      </c>
    </row>
    <row r="201" spans="1:11" x14ac:dyDescent="0.2">
      <c r="A201" s="2" t="str">
        <v>Tecate</v>
      </c>
      <c r="B201" s="2" t="str">
        <f>IF($A201="","",IF(COUNTIFS('Blackout Brand Fam Areas (Enc)'!$B$6:$B$998,$A201,'Blackout Brand Fam Areas (Enc)'!$C$6:$C$998,B$1,'Blackout Brand Fam Areas (Enc)'!$D$6:$D$998,"Inactive")&gt;0,"BLOCKED","CAN SELL"))</f>
        <v>CAN SELL</v>
      </c>
      <c r="C201" s="2" t="str">
        <f>IF($A201="","",IF(COUNTIFS('Blackout Brand Fam Areas (Enc)'!$B$6:$B$998,$A201,'Blackout Brand Fam Areas (Enc)'!$C$6:$C$998,C$1,'Blackout Brand Fam Areas (Enc)'!$D$6:$D$998,"Inactive")&gt;0,"BLOCKED","CAN SELL"))</f>
        <v>CAN SELL</v>
      </c>
      <c r="D201" s="2" t="str">
        <f>IF($A201="","",IF(COUNTIFS('Blackout Brand Fam Areas (Enc)'!$B$6:$B$998,$A201,'Blackout Brand Fam Areas (Enc)'!$C$6:$C$998,D$1,'Blackout Brand Fam Areas (Enc)'!$D$6:$D$998,"Inactive")&gt;0,"BLOCKED","CAN SELL"))</f>
        <v>CAN SELL</v>
      </c>
      <c r="E201" s="2" t="str">
        <f>IF($A201="","",IF(COUNTIFS('Blackout Brand Fam Areas (Enc)'!$B$6:$B$998,$A201,'Blackout Brand Fam Areas (Enc)'!$C$6:$C$998,E$1,'Blackout Brand Fam Areas (Enc)'!$D$6:$D$998,"Inactive")&gt;0,"BLOCKED","CAN SELL"))</f>
        <v>BLOCKED</v>
      </c>
      <c r="F201" s="2" t="str">
        <f>IF($A201="","",IF(COUNTIFS('Blackout Brand Fam Areas (Enc)'!$B$6:$B$998,$A201,'Blackout Brand Fam Areas (Enc)'!$C$6:$C$998,F$1,'Blackout Brand Fam Areas (Enc)'!$D$6:$D$998,"Inactive")&gt;0,"BLOCKED","CAN SELL"))</f>
        <v>BLOCKED</v>
      </c>
      <c r="G201" s="2" t="str">
        <f>IF($A201="","",IF(COUNTIFS('Blackout Brand Fam Areas (Enc)'!$B$6:$B$998,$A201,'Blackout Brand Fam Areas (Enc)'!$C$6:$C$998,G$1,'Blackout Brand Fam Areas (Enc)'!$D$6:$D$998,"Inactive")&gt;0,"BLOCKED","CAN SELL"))</f>
        <v>BLOCKED</v>
      </c>
      <c r="H201" s="2" t="str">
        <f>IF($A201="","",IF(COUNTIFS('Blackout Brand Fam Areas (Enc)'!$B$6:$B$998,$A201,'Blackout Brand Fam Areas (Enc)'!$C$6:$C$998,H$1,'Blackout Brand Fam Areas (Enc)'!$D$6:$D$998,"Inactive")&gt;0,"BLOCKED","CAN SELL"))</f>
        <v>BLOCKED</v>
      </c>
      <c r="I201" s="2" t="str">
        <f>IF($A201="","",IF(COUNTIFS('Blackout Brand Fam Areas (Enc)'!$B$6:$B$998,$A201,'Blackout Brand Fam Areas (Enc)'!$C$6:$C$998,I$1,'Blackout Brand Fam Areas (Enc)'!$D$6:$D$998,"Inactive")&gt;0,"BLOCKED","CAN SELL"))</f>
        <v>BLOCKED</v>
      </c>
      <c r="J201" s="2" t="str">
        <f>IF($A201="","",IF(COUNTIFS('Blackout Brand Fam Areas (Enc)'!$B$6:$B$998,$A201,'Blackout Brand Fam Areas (Enc)'!$C$6:$C$998,J$1,'Blackout Brand Fam Areas (Enc)'!$D$6:$D$998,"Inactive")&gt;0,"BLOCKED","CAN SELL"))</f>
        <v>BLOCKED</v>
      </c>
      <c r="K201" s="2" t="str">
        <f>IF($A201="","",IF(COUNTIFS('Blackout Brand Fam Areas (Enc)'!$B$6:$B$998,$A201,'Blackout Brand Fam Areas (Enc)'!$C$6:$C$998,K$1,'Blackout Brand Fam Areas (Enc)'!$D$6:$D$998,"Inactive")&gt;0,"BLOCKED","CAN SELL"))</f>
        <v>BLOCKED</v>
      </c>
    </row>
    <row r="202" spans="1:11" x14ac:dyDescent="0.2">
      <c r="A202" s="2" t="str">
        <v>Tecate Light</v>
      </c>
      <c r="B202" s="2" t="str">
        <f>IF($A202="","",IF(COUNTIFS('Blackout Brand Fam Areas (Enc)'!$B$6:$B$998,$A202,'Blackout Brand Fam Areas (Enc)'!$C$6:$C$998,B$1,'Blackout Brand Fam Areas (Enc)'!$D$6:$D$998,"Inactive")&gt;0,"BLOCKED","CAN SELL"))</f>
        <v>CAN SELL</v>
      </c>
      <c r="C202" s="2" t="str">
        <f>IF($A202="","",IF(COUNTIFS('Blackout Brand Fam Areas (Enc)'!$B$6:$B$998,$A202,'Blackout Brand Fam Areas (Enc)'!$C$6:$C$998,C$1,'Blackout Brand Fam Areas (Enc)'!$D$6:$D$998,"Inactive")&gt;0,"BLOCKED","CAN SELL"))</f>
        <v>CAN SELL</v>
      </c>
      <c r="D202" s="2" t="str">
        <f>IF($A202="","",IF(COUNTIFS('Blackout Brand Fam Areas (Enc)'!$B$6:$B$998,$A202,'Blackout Brand Fam Areas (Enc)'!$C$6:$C$998,D$1,'Blackout Brand Fam Areas (Enc)'!$D$6:$D$998,"Inactive")&gt;0,"BLOCKED","CAN SELL"))</f>
        <v>CAN SELL</v>
      </c>
      <c r="E202" s="2" t="str">
        <f>IF($A202="","",IF(COUNTIFS('Blackout Brand Fam Areas (Enc)'!$B$6:$B$998,$A202,'Blackout Brand Fam Areas (Enc)'!$C$6:$C$998,E$1,'Blackout Brand Fam Areas (Enc)'!$D$6:$D$998,"Inactive")&gt;0,"BLOCKED","CAN SELL"))</f>
        <v>BLOCKED</v>
      </c>
      <c r="F202" s="2" t="str">
        <f>IF($A202="","",IF(COUNTIFS('Blackout Brand Fam Areas (Enc)'!$B$6:$B$998,$A202,'Blackout Brand Fam Areas (Enc)'!$C$6:$C$998,F$1,'Blackout Brand Fam Areas (Enc)'!$D$6:$D$998,"Inactive")&gt;0,"BLOCKED","CAN SELL"))</f>
        <v>BLOCKED</v>
      </c>
      <c r="G202" s="2" t="str">
        <f>IF($A202="","",IF(COUNTIFS('Blackout Brand Fam Areas (Enc)'!$B$6:$B$998,$A202,'Blackout Brand Fam Areas (Enc)'!$C$6:$C$998,G$1,'Blackout Brand Fam Areas (Enc)'!$D$6:$D$998,"Inactive")&gt;0,"BLOCKED","CAN SELL"))</f>
        <v>BLOCKED</v>
      </c>
      <c r="H202" s="2" t="str">
        <f>IF($A202="","",IF(COUNTIFS('Blackout Brand Fam Areas (Enc)'!$B$6:$B$998,$A202,'Blackout Brand Fam Areas (Enc)'!$C$6:$C$998,H$1,'Blackout Brand Fam Areas (Enc)'!$D$6:$D$998,"Inactive")&gt;0,"BLOCKED","CAN SELL"))</f>
        <v>BLOCKED</v>
      </c>
      <c r="I202" s="2" t="str">
        <f>IF($A202="","",IF(COUNTIFS('Blackout Brand Fam Areas (Enc)'!$B$6:$B$998,$A202,'Blackout Brand Fam Areas (Enc)'!$C$6:$C$998,I$1,'Blackout Brand Fam Areas (Enc)'!$D$6:$D$998,"Inactive")&gt;0,"BLOCKED","CAN SELL"))</f>
        <v>BLOCKED</v>
      </c>
      <c r="J202" s="2" t="str">
        <f>IF($A202="","",IF(COUNTIFS('Blackout Brand Fam Areas (Enc)'!$B$6:$B$998,$A202,'Blackout Brand Fam Areas (Enc)'!$C$6:$C$998,J$1,'Blackout Brand Fam Areas (Enc)'!$D$6:$D$998,"Inactive")&gt;0,"BLOCKED","CAN SELL"))</f>
        <v>BLOCKED</v>
      </c>
      <c r="K202" s="2" t="str">
        <f>IF($A202="","",IF(COUNTIFS('Blackout Brand Fam Areas (Enc)'!$B$6:$B$998,$A202,'Blackout Brand Fam Areas (Enc)'!$C$6:$C$998,K$1,'Blackout Brand Fam Areas (Enc)'!$D$6:$D$998,"Inactive")&gt;0,"BLOCKED","CAN SELL"))</f>
        <v>BLOCKED</v>
      </c>
    </row>
    <row r="203" spans="1:11" x14ac:dyDescent="0.2">
      <c r="A203" s="2" t="str">
        <v>Terrapin Beer Company</v>
      </c>
      <c r="B203" s="2" t="str">
        <f>IF($A203="","",IF(COUNTIFS('Blackout Brand Fam Areas (Enc)'!$B$6:$B$998,$A203,'Blackout Brand Fam Areas (Enc)'!$C$6:$C$998,B$1,'Blackout Brand Fam Areas (Enc)'!$D$6:$D$998,"Inactive")&gt;0,"BLOCKED","CAN SELL"))</f>
        <v>CAN SELL</v>
      </c>
      <c r="C203" s="2" t="str">
        <f>IF($A203="","",IF(COUNTIFS('Blackout Brand Fam Areas (Enc)'!$B$6:$B$998,$A203,'Blackout Brand Fam Areas (Enc)'!$C$6:$C$998,C$1,'Blackout Brand Fam Areas (Enc)'!$D$6:$D$998,"Inactive")&gt;0,"BLOCKED","CAN SELL"))</f>
        <v>CAN SELL</v>
      </c>
      <c r="D203" s="2" t="str">
        <f>IF($A203="","",IF(COUNTIFS('Blackout Brand Fam Areas (Enc)'!$B$6:$B$998,$A203,'Blackout Brand Fam Areas (Enc)'!$C$6:$C$998,D$1,'Blackout Brand Fam Areas (Enc)'!$D$6:$D$998,"Inactive")&gt;0,"BLOCKED","CAN SELL"))</f>
        <v>CAN SELL</v>
      </c>
      <c r="E203" s="2" t="str">
        <f>IF($A203="","",IF(COUNTIFS('Blackout Brand Fam Areas (Enc)'!$B$6:$B$998,$A203,'Blackout Brand Fam Areas (Enc)'!$C$6:$C$998,E$1,'Blackout Brand Fam Areas (Enc)'!$D$6:$D$998,"Inactive")&gt;0,"BLOCKED","CAN SELL"))</f>
        <v>BLOCKED</v>
      </c>
      <c r="F203" s="2" t="str">
        <f>IF($A203="","",IF(COUNTIFS('Blackout Brand Fam Areas (Enc)'!$B$6:$B$998,$A203,'Blackout Brand Fam Areas (Enc)'!$C$6:$C$998,F$1,'Blackout Brand Fam Areas (Enc)'!$D$6:$D$998,"Inactive")&gt;0,"BLOCKED","CAN SELL"))</f>
        <v>BLOCKED</v>
      </c>
      <c r="G203" s="2" t="str">
        <f>IF($A203="","",IF(COUNTIFS('Blackout Brand Fam Areas (Enc)'!$B$6:$B$998,$A203,'Blackout Brand Fam Areas (Enc)'!$C$6:$C$998,G$1,'Blackout Brand Fam Areas (Enc)'!$D$6:$D$998,"Inactive")&gt;0,"BLOCKED","CAN SELL"))</f>
        <v>BLOCKED</v>
      </c>
      <c r="H203" s="2" t="str">
        <f>IF($A203="","",IF(COUNTIFS('Blackout Brand Fam Areas (Enc)'!$B$6:$B$998,$A203,'Blackout Brand Fam Areas (Enc)'!$C$6:$C$998,H$1,'Blackout Brand Fam Areas (Enc)'!$D$6:$D$998,"Inactive")&gt;0,"BLOCKED","CAN SELL"))</f>
        <v>CAN SELL</v>
      </c>
      <c r="I203" s="2" t="str">
        <f>IF($A203="","",IF(COUNTIFS('Blackout Brand Fam Areas (Enc)'!$B$6:$B$998,$A203,'Blackout Brand Fam Areas (Enc)'!$C$6:$C$998,I$1,'Blackout Brand Fam Areas (Enc)'!$D$6:$D$998,"Inactive")&gt;0,"BLOCKED","CAN SELL"))</f>
        <v>CAN SELL</v>
      </c>
      <c r="J203" s="2" t="str">
        <f>IF($A203="","",IF(COUNTIFS('Blackout Brand Fam Areas (Enc)'!$B$6:$B$998,$A203,'Blackout Brand Fam Areas (Enc)'!$C$6:$C$998,J$1,'Blackout Brand Fam Areas (Enc)'!$D$6:$D$998,"Inactive")&gt;0,"BLOCKED","CAN SELL"))</f>
        <v>BLOCKED</v>
      </c>
      <c r="K203" s="2" t="str">
        <f>IF($A203="","",IF(COUNTIFS('Blackout Brand Fam Areas (Enc)'!$B$6:$B$998,$A203,'Blackout Brand Fam Areas (Enc)'!$C$6:$C$998,K$1,'Blackout Brand Fam Areas (Enc)'!$D$6:$D$998,"Inactive")&gt;0,"BLOCKED","CAN SELL"))</f>
        <v>CAN SELL</v>
      </c>
    </row>
    <row r="204" spans="1:11" x14ac:dyDescent="0.2">
      <c r="A204" s="2" t="str">
        <v>Tgi Fridays</v>
      </c>
      <c r="B204" s="2" t="str">
        <f>IF($A204="","",IF(COUNTIFS('Blackout Brand Fam Areas (Enc)'!$B$6:$B$998,$A204,'Blackout Brand Fam Areas (Enc)'!$C$6:$C$998,B$1,'Blackout Brand Fam Areas (Enc)'!$D$6:$D$998,"Inactive")&gt;0,"BLOCKED","CAN SELL"))</f>
        <v>CAN SELL</v>
      </c>
      <c r="C204" s="2" t="str">
        <f>IF($A204="","",IF(COUNTIFS('Blackout Brand Fam Areas (Enc)'!$B$6:$B$998,$A204,'Blackout Brand Fam Areas (Enc)'!$C$6:$C$998,C$1,'Blackout Brand Fam Areas (Enc)'!$D$6:$D$998,"Inactive")&gt;0,"BLOCKED","CAN SELL"))</f>
        <v>CAN SELL</v>
      </c>
      <c r="D204" s="2" t="str">
        <f>IF($A204="","",IF(COUNTIFS('Blackout Brand Fam Areas (Enc)'!$B$6:$B$998,$A204,'Blackout Brand Fam Areas (Enc)'!$C$6:$C$998,D$1,'Blackout Brand Fam Areas (Enc)'!$D$6:$D$998,"Inactive")&gt;0,"BLOCKED","CAN SELL"))</f>
        <v>CAN SELL</v>
      </c>
      <c r="E204" s="2" t="str">
        <f>IF($A204="","",IF(COUNTIFS('Blackout Brand Fam Areas (Enc)'!$B$6:$B$998,$A204,'Blackout Brand Fam Areas (Enc)'!$C$6:$C$998,E$1,'Blackout Brand Fam Areas (Enc)'!$D$6:$D$998,"Inactive")&gt;0,"BLOCKED","CAN SELL"))</f>
        <v>BLOCKED</v>
      </c>
      <c r="F204" s="2" t="str">
        <f>IF($A204="","",IF(COUNTIFS('Blackout Brand Fam Areas (Enc)'!$B$6:$B$998,$A204,'Blackout Brand Fam Areas (Enc)'!$C$6:$C$998,F$1,'Blackout Brand Fam Areas (Enc)'!$D$6:$D$998,"Inactive")&gt;0,"BLOCKED","CAN SELL"))</f>
        <v>CAN SELL</v>
      </c>
      <c r="G204" s="2" t="str">
        <f>IF($A204="","",IF(COUNTIFS('Blackout Brand Fam Areas (Enc)'!$B$6:$B$998,$A204,'Blackout Brand Fam Areas (Enc)'!$C$6:$C$998,G$1,'Blackout Brand Fam Areas (Enc)'!$D$6:$D$998,"Inactive")&gt;0,"BLOCKED","CAN SELL"))</f>
        <v>BLOCKED</v>
      </c>
      <c r="H204" s="2" t="str">
        <f>IF($A204="","",IF(COUNTIFS('Blackout Brand Fam Areas (Enc)'!$B$6:$B$998,$A204,'Blackout Brand Fam Areas (Enc)'!$C$6:$C$998,H$1,'Blackout Brand Fam Areas (Enc)'!$D$6:$D$998,"Inactive")&gt;0,"BLOCKED","CAN SELL"))</f>
        <v>CAN SELL</v>
      </c>
      <c r="I204" s="2" t="str">
        <f>IF($A204="","",IF(COUNTIFS('Blackout Brand Fam Areas (Enc)'!$B$6:$B$998,$A204,'Blackout Brand Fam Areas (Enc)'!$C$6:$C$998,I$1,'Blackout Brand Fam Areas (Enc)'!$D$6:$D$998,"Inactive")&gt;0,"BLOCKED","CAN SELL"))</f>
        <v>CAN SELL</v>
      </c>
      <c r="J204" s="2" t="str">
        <f>IF($A204="","",IF(COUNTIFS('Blackout Brand Fam Areas (Enc)'!$B$6:$B$998,$A204,'Blackout Brand Fam Areas (Enc)'!$C$6:$C$998,J$1,'Blackout Brand Fam Areas (Enc)'!$D$6:$D$998,"Inactive")&gt;0,"BLOCKED","CAN SELL"))</f>
        <v>BLOCKED</v>
      </c>
      <c r="K204" s="2" t="str">
        <f>IF($A204="","",IF(COUNTIFS('Blackout Brand Fam Areas (Enc)'!$B$6:$B$998,$A204,'Blackout Brand Fam Areas (Enc)'!$C$6:$C$998,K$1,'Blackout Brand Fam Areas (Enc)'!$D$6:$D$998,"Inactive")&gt;0,"BLOCKED","CAN SELL"))</f>
        <v>CAN SELL</v>
      </c>
    </row>
    <row r="205" spans="1:11" x14ac:dyDescent="0.2">
      <c r="A205" s="2" t="str">
        <v>The Drop</v>
      </c>
      <c r="B205" s="2" t="str">
        <f>IF($A205="","",IF(COUNTIFS('Blackout Brand Fam Areas (Enc)'!$B$6:$B$998,$A205,'Blackout Brand Fam Areas (Enc)'!$C$6:$C$998,B$1,'Blackout Brand Fam Areas (Enc)'!$D$6:$D$998,"Inactive")&gt;0,"BLOCKED","CAN SELL"))</f>
        <v>CAN SELL</v>
      </c>
      <c r="C205" s="2" t="str">
        <f>IF($A205="","",IF(COUNTIFS('Blackout Brand Fam Areas (Enc)'!$B$6:$B$998,$A205,'Blackout Brand Fam Areas (Enc)'!$C$6:$C$998,C$1,'Blackout Brand Fam Areas (Enc)'!$D$6:$D$998,"Inactive")&gt;0,"BLOCKED","CAN SELL"))</f>
        <v>CAN SELL</v>
      </c>
      <c r="D205" s="2" t="str">
        <f>IF($A205="","",IF(COUNTIFS('Blackout Brand Fam Areas (Enc)'!$B$6:$B$998,$A205,'Blackout Brand Fam Areas (Enc)'!$C$6:$C$998,D$1,'Blackout Brand Fam Areas (Enc)'!$D$6:$D$998,"Inactive")&gt;0,"BLOCKED","CAN SELL"))</f>
        <v>CAN SELL</v>
      </c>
      <c r="E205" s="2" t="str">
        <f>IF($A205="","",IF(COUNTIFS('Blackout Brand Fam Areas (Enc)'!$B$6:$B$998,$A205,'Blackout Brand Fam Areas (Enc)'!$C$6:$C$998,E$1,'Blackout Brand Fam Areas (Enc)'!$D$6:$D$998,"Inactive")&gt;0,"BLOCKED","CAN SELL"))</f>
        <v>BLOCKED</v>
      </c>
      <c r="F205" s="2" t="str">
        <f>IF($A205="","",IF(COUNTIFS('Blackout Brand Fam Areas (Enc)'!$B$6:$B$998,$A205,'Blackout Brand Fam Areas (Enc)'!$C$6:$C$998,F$1,'Blackout Brand Fam Areas (Enc)'!$D$6:$D$998,"Inactive")&gt;0,"BLOCKED","CAN SELL"))</f>
        <v>BLOCKED</v>
      </c>
      <c r="G205" s="2" t="str">
        <f>IF($A205="","",IF(COUNTIFS('Blackout Brand Fam Areas (Enc)'!$B$6:$B$998,$A205,'Blackout Brand Fam Areas (Enc)'!$C$6:$C$998,G$1,'Blackout Brand Fam Areas (Enc)'!$D$6:$D$998,"Inactive")&gt;0,"BLOCKED","CAN SELL"))</f>
        <v>BLOCKED</v>
      </c>
      <c r="H205" s="2" t="str">
        <f>IF($A205="","",IF(COUNTIFS('Blackout Brand Fam Areas (Enc)'!$B$6:$B$998,$A205,'Blackout Brand Fam Areas (Enc)'!$C$6:$C$998,H$1,'Blackout Brand Fam Areas (Enc)'!$D$6:$D$998,"Inactive")&gt;0,"BLOCKED","CAN SELL"))</f>
        <v>CAN SELL</v>
      </c>
      <c r="I205" s="2" t="str">
        <f>IF($A205="","",IF(COUNTIFS('Blackout Brand Fam Areas (Enc)'!$B$6:$B$998,$A205,'Blackout Brand Fam Areas (Enc)'!$C$6:$C$998,I$1,'Blackout Brand Fam Areas (Enc)'!$D$6:$D$998,"Inactive")&gt;0,"BLOCKED","CAN SELL"))</f>
        <v>CAN SELL</v>
      </c>
      <c r="J205" s="2" t="str">
        <f>IF($A205="","",IF(COUNTIFS('Blackout Brand Fam Areas (Enc)'!$B$6:$B$998,$A205,'Blackout Brand Fam Areas (Enc)'!$C$6:$C$998,J$1,'Blackout Brand Fam Areas (Enc)'!$D$6:$D$998,"Inactive")&gt;0,"BLOCKED","CAN SELL"))</f>
        <v>BLOCKED</v>
      </c>
      <c r="K205" s="2" t="str">
        <f>IF($A205="","",IF(COUNTIFS('Blackout Brand Fam Areas (Enc)'!$B$6:$B$998,$A205,'Blackout Brand Fam Areas (Enc)'!$C$6:$C$998,K$1,'Blackout Brand Fam Areas (Enc)'!$D$6:$D$998,"Inactive")&gt;0,"BLOCKED","CAN SELL"))</f>
        <v>CAN SELL</v>
      </c>
    </row>
    <row r="206" spans="1:11" x14ac:dyDescent="0.2">
      <c r="A206" s="2" t="str">
        <v>Third Shift</v>
      </c>
      <c r="B206" s="2" t="str">
        <f>IF($A206="","",IF(COUNTIFS('Blackout Brand Fam Areas (Enc)'!$B$6:$B$998,$A206,'Blackout Brand Fam Areas (Enc)'!$C$6:$C$998,B$1,'Blackout Brand Fam Areas (Enc)'!$D$6:$D$998,"Inactive")&gt;0,"BLOCKED","CAN SELL"))</f>
        <v>CAN SELL</v>
      </c>
      <c r="C206" s="2" t="str">
        <f>IF($A206="","",IF(COUNTIFS('Blackout Brand Fam Areas (Enc)'!$B$6:$B$998,$A206,'Blackout Brand Fam Areas (Enc)'!$C$6:$C$998,C$1,'Blackout Brand Fam Areas (Enc)'!$D$6:$D$998,"Inactive")&gt;0,"BLOCKED","CAN SELL"))</f>
        <v>CAN SELL</v>
      </c>
      <c r="D206" s="2" t="str">
        <f>IF($A206="","",IF(COUNTIFS('Blackout Brand Fam Areas (Enc)'!$B$6:$B$998,$A206,'Blackout Brand Fam Areas (Enc)'!$C$6:$C$998,D$1,'Blackout Brand Fam Areas (Enc)'!$D$6:$D$998,"Inactive")&gt;0,"BLOCKED","CAN SELL"))</f>
        <v>CAN SELL</v>
      </c>
      <c r="E206" s="2" t="str">
        <f>IF($A206="","",IF(COUNTIFS('Blackout Brand Fam Areas (Enc)'!$B$6:$B$998,$A206,'Blackout Brand Fam Areas (Enc)'!$C$6:$C$998,E$1,'Blackout Brand Fam Areas (Enc)'!$D$6:$D$998,"Inactive")&gt;0,"BLOCKED","CAN SELL"))</f>
        <v>BLOCKED</v>
      </c>
      <c r="F206" s="2" t="str">
        <f>IF($A206="","",IF(COUNTIFS('Blackout Brand Fam Areas (Enc)'!$B$6:$B$998,$A206,'Blackout Brand Fam Areas (Enc)'!$C$6:$C$998,F$1,'Blackout Brand Fam Areas (Enc)'!$D$6:$D$998,"Inactive")&gt;0,"BLOCKED","CAN SELL"))</f>
        <v>BLOCKED</v>
      </c>
      <c r="G206" s="2" t="str">
        <f>IF($A206="","",IF(COUNTIFS('Blackout Brand Fam Areas (Enc)'!$B$6:$B$998,$A206,'Blackout Brand Fam Areas (Enc)'!$C$6:$C$998,G$1,'Blackout Brand Fam Areas (Enc)'!$D$6:$D$998,"Inactive")&gt;0,"BLOCKED","CAN SELL"))</f>
        <v>BLOCKED</v>
      </c>
      <c r="H206" s="2" t="str">
        <f>IF($A206="","",IF(COUNTIFS('Blackout Brand Fam Areas (Enc)'!$B$6:$B$998,$A206,'Blackout Brand Fam Areas (Enc)'!$C$6:$C$998,H$1,'Blackout Brand Fam Areas (Enc)'!$D$6:$D$998,"Inactive")&gt;0,"BLOCKED","CAN SELL"))</f>
        <v>CAN SELL</v>
      </c>
      <c r="I206" s="2" t="str">
        <f>IF($A206="","",IF(COUNTIFS('Blackout Brand Fam Areas (Enc)'!$B$6:$B$998,$A206,'Blackout Brand Fam Areas (Enc)'!$C$6:$C$998,I$1,'Blackout Brand Fam Areas (Enc)'!$D$6:$D$998,"Inactive")&gt;0,"BLOCKED","CAN SELL"))</f>
        <v>CAN SELL</v>
      </c>
      <c r="J206" s="2" t="str">
        <f>IF($A206="","",IF(COUNTIFS('Blackout Brand Fam Areas (Enc)'!$B$6:$B$998,$A206,'Blackout Brand Fam Areas (Enc)'!$C$6:$C$998,J$1,'Blackout Brand Fam Areas (Enc)'!$D$6:$D$998,"Inactive")&gt;0,"BLOCKED","CAN SELL"))</f>
        <v>BLOCKED</v>
      </c>
      <c r="K206" s="2" t="str">
        <f>IF($A206="","",IF(COUNTIFS('Blackout Brand Fam Areas (Enc)'!$B$6:$B$998,$A206,'Blackout Brand Fam Areas (Enc)'!$C$6:$C$998,K$1,'Blackout Brand Fam Areas (Enc)'!$D$6:$D$998,"Inactive")&gt;0,"BLOCKED","CAN SELL"))</f>
        <v>CAN SELL</v>
      </c>
    </row>
    <row r="207" spans="1:11" x14ac:dyDescent="0.2">
      <c r="A207" s="2" t="str">
        <v>Tiger</v>
      </c>
      <c r="B207" s="2" t="str">
        <f>IF($A207="","",IF(COUNTIFS('Blackout Brand Fam Areas (Enc)'!$B$6:$B$998,$A207,'Blackout Brand Fam Areas (Enc)'!$C$6:$C$998,B$1,'Blackout Brand Fam Areas (Enc)'!$D$6:$D$998,"Inactive")&gt;0,"BLOCKED","CAN SELL"))</f>
        <v>CAN SELL</v>
      </c>
      <c r="C207" s="2" t="str">
        <f>IF($A207="","",IF(COUNTIFS('Blackout Brand Fam Areas (Enc)'!$B$6:$B$998,$A207,'Blackout Brand Fam Areas (Enc)'!$C$6:$C$998,C$1,'Blackout Brand Fam Areas (Enc)'!$D$6:$D$998,"Inactive")&gt;0,"BLOCKED","CAN SELL"))</f>
        <v>CAN SELL</v>
      </c>
      <c r="D207" s="2" t="str">
        <f>IF($A207="","",IF(COUNTIFS('Blackout Brand Fam Areas (Enc)'!$B$6:$B$998,$A207,'Blackout Brand Fam Areas (Enc)'!$C$6:$C$998,D$1,'Blackout Brand Fam Areas (Enc)'!$D$6:$D$998,"Inactive")&gt;0,"BLOCKED","CAN SELL"))</f>
        <v>CAN SELL</v>
      </c>
      <c r="E207" s="2" t="str">
        <f>IF($A207="","",IF(COUNTIFS('Blackout Brand Fam Areas (Enc)'!$B$6:$B$998,$A207,'Blackout Brand Fam Areas (Enc)'!$C$6:$C$998,E$1,'Blackout Brand Fam Areas (Enc)'!$D$6:$D$998,"Inactive")&gt;0,"BLOCKED","CAN SELL"))</f>
        <v>BLOCKED</v>
      </c>
      <c r="F207" s="2" t="str">
        <f>IF($A207="","",IF(COUNTIFS('Blackout Brand Fam Areas (Enc)'!$B$6:$B$998,$A207,'Blackout Brand Fam Areas (Enc)'!$C$6:$C$998,F$1,'Blackout Brand Fam Areas (Enc)'!$D$6:$D$998,"Inactive")&gt;0,"BLOCKED","CAN SELL"))</f>
        <v>BLOCKED</v>
      </c>
      <c r="G207" s="2" t="str">
        <f>IF($A207="","",IF(COUNTIFS('Blackout Brand Fam Areas (Enc)'!$B$6:$B$998,$A207,'Blackout Brand Fam Areas (Enc)'!$C$6:$C$998,G$1,'Blackout Brand Fam Areas (Enc)'!$D$6:$D$998,"Inactive")&gt;0,"BLOCKED","CAN SELL"))</f>
        <v>BLOCKED</v>
      </c>
      <c r="H207" s="2" t="str">
        <f>IF($A207="","",IF(COUNTIFS('Blackout Brand Fam Areas (Enc)'!$B$6:$B$998,$A207,'Blackout Brand Fam Areas (Enc)'!$C$6:$C$998,H$1,'Blackout Brand Fam Areas (Enc)'!$D$6:$D$998,"Inactive")&gt;0,"BLOCKED","CAN SELL"))</f>
        <v>BLOCKED</v>
      </c>
      <c r="I207" s="2" t="str">
        <f>IF($A207="","",IF(COUNTIFS('Blackout Brand Fam Areas (Enc)'!$B$6:$B$998,$A207,'Blackout Brand Fam Areas (Enc)'!$C$6:$C$998,I$1,'Blackout Brand Fam Areas (Enc)'!$D$6:$D$998,"Inactive")&gt;0,"BLOCKED","CAN SELL"))</f>
        <v>BLOCKED</v>
      </c>
      <c r="J207" s="2" t="str">
        <f>IF($A207="","",IF(COUNTIFS('Blackout Brand Fam Areas (Enc)'!$B$6:$B$998,$A207,'Blackout Brand Fam Areas (Enc)'!$C$6:$C$998,J$1,'Blackout Brand Fam Areas (Enc)'!$D$6:$D$998,"Inactive")&gt;0,"BLOCKED","CAN SELL"))</f>
        <v>BLOCKED</v>
      </c>
      <c r="K207" s="2" t="str">
        <f>IF($A207="","",IF(COUNTIFS('Blackout Brand Fam Areas (Enc)'!$B$6:$B$998,$A207,'Blackout Brand Fam Areas (Enc)'!$C$6:$C$998,K$1,'Blackout Brand Fam Areas (Enc)'!$D$6:$D$998,"Inactive")&gt;0,"BLOCKED","CAN SELL"))</f>
        <v>CAN SELL</v>
      </c>
    </row>
    <row r="208" spans="1:11" x14ac:dyDescent="0.2">
      <c r="A208" s="2" t="str">
        <v>Tipsy Tomato</v>
      </c>
      <c r="B208" s="2" t="str">
        <f>IF($A208="","",IF(COUNTIFS('Blackout Brand Fam Areas (Enc)'!$B$6:$B$998,$A208,'Blackout Brand Fam Areas (Enc)'!$C$6:$C$998,B$1,'Blackout Brand Fam Areas (Enc)'!$D$6:$D$998,"Inactive")&gt;0,"BLOCKED","CAN SELL"))</f>
        <v>CAN SELL</v>
      </c>
      <c r="C208" s="2" t="str">
        <f>IF($A208="","",IF(COUNTIFS('Blackout Brand Fam Areas (Enc)'!$B$6:$B$998,$A208,'Blackout Brand Fam Areas (Enc)'!$C$6:$C$998,C$1,'Blackout Brand Fam Areas (Enc)'!$D$6:$D$998,"Inactive")&gt;0,"BLOCKED","CAN SELL"))</f>
        <v>CAN SELL</v>
      </c>
      <c r="D208" s="2" t="str">
        <f>IF($A208="","",IF(COUNTIFS('Blackout Brand Fam Areas (Enc)'!$B$6:$B$998,$A208,'Blackout Brand Fam Areas (Enc)'!$C$6:$C$998,D$1,'Blackout Brand Fam Areas (Enc)'!$D$6:$D$998,"Inactive")&gt;0,"BLOCKED","CAN SELL"))</f>
        <v>CAN SELL</v>
      </c>
      <c r="E208" s="2" t="str">
        <f>IF($A208="","",IF(COUNTIFS('Blackout Brand Fam Areas (Enc)'!$B$6:$B$998,$A208,'Blackout Brand Fam Areas (Enc)'!$C$6:$C$998,E$1,'Blackout Brand Fam Areas (Enc)'!$D$6:$D$998,"Inactive")&gt;0,"BLOCKED","CAN SELL"))</f>
        <v>BLOCKED</v>
      </c>
      <c r="F208" s="2" t="str">
        <f>IF($A208="","",IF(COUNTIFS('Blackout Brand Fam Areas (Enc)'!$B$6:$B$998,$A208,'Blackout Brand Fam Areas (Enc)'!$C$6:$C$998,F$1,'Blackout Brand Fam Areas (Enc)'!$D$6:$D$998,"Inactive")&gt;0,"BLOCKED","CAN SELL"))</f>
        <v>CAN SELL</v>
      </c>
      <c r="G208" s="2" t="str">
        <f>IF($A208="","",IF(COUNTIFS('Blackout Brand Fam Areas (Enc)'!$B$6:$B$998,$A208,'Blackout Brand Fam Areas (Enc)'!$C$6:$C$998,G$1,'Blackout Brand Fam Areas (Enc)'!$D$6:$D$998,"Inactive")&gt;0,"BLOCKED","CAN SELL"))</f>
        <v>BLOCKED</v>
      </c>
      <c r="H208" s="2" t="str">
        <f>IF($A208="","",IF(COUNTIFS('Blackout Brand Fam Areas (Enc)'!$B$6:$B$998,$A208,'Blackout Brand Fam Areas (Enc)'!$C$6:$C$998,H$1,'Blackout Brand Fam Areas (Enc)'!$D$6:$D$998,"Inactive")&gt;0,"BLOCKED","CAN SELL"))</f>
        <v>CAN SELL</v>
      </c>
      <c r="I208" s="2" t="str">
        <f>IF($A208="","",IF(COUNTIFS('Blackout Brand Fam Areas (Enc)'!$B$6:$B$998,$A208,'Blackout Brand Fam Areas (Enc)'!$C$6:$C$998,I$1,'Blackout Brand Fam Areas (Enc)'!$D$6:$D$998,"Inactive")&gt;0,"BLOCKED","CAN SELL"))</f>
        <v>CAN SELL</v>
      </c>
      <c r="J208" s="2" t="str">
        <f>IF($A208="","",IF(COUNTIFS('Blackout Brand Fam Areas (Enc)'!$B$6:$B$998,$A208,'Blackout Brand Fam Areas (Enc)'!$C$6:$C$998,J$1,'Blackout Brand Fam Areas (Enc)'!$D$6:$D$998,"Inactive")&gt;0,"BLOCKED","CAN SELL"))</f>
        <v>BLOCKED</v>
      </c>
      <c r="K208" s="2" t="str">
        <f>IF($A208="","",IF(COUNTIFS('Blackout Brand Fam Areas (Enc)'!$B$6:$B$998,$A208,'Blackout Brand Fam Areas (Enc)'!$C$6:$C$998,K$1,'Blackout Brand Fam Areas (Enc)'!$D$6:$D$998,"Inactive")&gt;0,"BLOCKED","CAN SELL"))</f>
        <v>CAN SELL</v>
      </c>
    </row>
    <row r="209" spans="1:11" x14ac:dyDescent="0.2">
      <c r="A209" s="2" t="str">
        <v>Topo Chico</v>
      </c>
      <c r="B209" s="2" t="str">
        <f>IF($A209="","",IF(COUNTIFS('Blackout Brand Fam Areas (Enc)'!$B$6:$B$998,$A209,'Blackout Brand Fam Areas (Enc)'!$C$6:$C$998,B$1,'Blackout Brand Fam Areas (Enc)'!$D$6:$D$998,"Inactive")&gt;0,"BLOCKED","CAN SELL"))</f>
        <v>CAN SELL</v>
      </c>
      <c r="C209" s="2" t="str">
        <f>IF($A209="","",IF(COUNTIFS('Blackout Brand Fam Areas (Enc)'!$B$6:$B$998,$A209,'Blackout Brand Fam Areas (Enc)'!$C$6:$C$998,C$1,'Blackout Brand Fam Areas (Enc)'!$D$6:$D$998,"Inactive")&gt;0,"BLOCKED","CAN SELL"))</f>
        <v>CAN SELL</v>
      </c>
      <c r="D209" s="2" t="str">
        <f>IF($A209="","",IF(COUNTIFS('Blackout Brand Fam Areas (Enc)'!$B$6:$B$998,$A209,'Blackout Brand Fam Areas (Enc)'!$C$6:$C$998,D$1,'Blackout Brand Fam Areas (Enc)'!$D$6:$D$998,"Inactive")&gt;0,"BLOCKED","CAN SELL"))</f>
        <v>CAN SELL</v>
      </c>
      <c r="E209" s="2" t="str">
        <f>IF($A209="","",IF(COUNTIFS('Blackout Brand Fam Areas (Enc)'!$B$6:$B$998,$A209,'Blackout Brand Fam Areas (Enc)'!$C$6:$C$998,E$1,'Blackout Brand Fam Areas (Enc)'!$D$6:$D$998,"Inactive")&gt;0,"BLOCKED","CAN SELL"))</f>
        <v>BLOCKED</v>
      </c>
      <c r="F209" s="2" t="str">
        <f>IF($A209="","",IF(COUNTIFS('Blackout Brand Fam Areas (Enc)'!$B$6:$B$998,$A209,'Blackout Brand Fam Areas (Enc)'!$C$6:$C$998,F$1,'Blackout Brand Fam Areas (Enc)'!$D$6:$D$998,"Inactive")&gt;0,"BLOCKED","CAN SELL"))</f>
        <v>BLOCKED</v>
      </c>
      <c r="G209" s="2" t="str">
        <f>IF($A209="","",IF(COUNTIFS('Blackout Brand Fam Areas (Enc)'!$B$6:$B$998,$A209,'Blackout Brand Fam Areas (Enc)'!$C$6:$C$998,G$1,'Blackout Brand Fam Areas (Enc)'!$D$6:$D$998,"Inactive")&gt;0,"BLOCKED","CAN SELL"))</f>
        <v>BLOCKED</v>
      </c>
      <c r="H209" s="2" t="str">
        <f>IF($A209="","",IF(COUNTIFS('Blackout Brand Fam Areas (Enc)'!$B$6:$B$998,$A209,'Blackout Brand Fam Areas (Enc)'!$C$6:$C$998,H$1,'Blackout Brand Fam Areas (Enc)'!$D$6:$D$998,"Inactive")&gt;0,"BLOCKED","CAN SELL"))</f>
        <v>CAN SELL</v>
      </c>
      <c r="I209" s="2" t="str">
        <f>IF($A209="","",IF(COUNTIFS('Blackout Brand Fam Areas (Enc)'!$B$6:$B$998,$A209,'Blackout Brand Fam Areas (Enc)'!$C$6:$C$998,I$1,'Blackout Brand Fam Areas (Enc)'!$D$6:$D$998,"Inactive")&gt;0,"BLOCKED","CAN SELL"))</f>
        <v>CAN SELL</v>
      </c>
      <c r="J209" s="2" t="str">
        <f>IF($A209="","",IF(COUNTIFS('Blackout Brand Fam Areas (Enc)'!$B$6:$B$998,$A209,'Blackout Brand Fam Areas (Enc)'!$C$6:$C$998,J$1,'Blackout Brand Fam Areas (Enc)'!$D$6:$D$998,"Inactive")&gt;0,"BLOCKED","CAN SELL"))</f>
        <v>BLOCKED</v>
      </c>
      <c r="K209" s="2" t="str">
        <f>IF($A209="","",IF(COUNTIFS('Blackout Brand Fam Areas (Enc)'!$B$6:$B$998,$A209,'Blackout Brand Fam Areas (Enc)'!$C$6:$C$998,K$1,'Blackout Brand Fam Areas (Enc)'!$D$6:$D$998,"Inactive")&gt;0,"BLOCKED","CAN SELL"))</f>
        <v>CAN SELL</v>
      </c>
    </row>
    <row r="210" spans="1:11" x14ac:dyDescent="0.2">
      <c r="A210" s="2" t="str">
        <v>Traveler</v>
      </c>
      <c r="B210" s="2" t="str">
        <f>IF($A210="","",IF(COUNTIFS('Blackout Brand Fam Areas (Enc)'!$B$6:$B$998,$A210,'Blackout Brand Fam Areas (Enc)'!$C$6:$C$998,B$1,'Blackout Brand Fam Areas (Enc)'!$D$6:$D$998,"Inactive")&gt;0,"BLOCKED","CAN SELL"))</f>
        <v>CAN SELL</v>
      </c>
      <c r="C210" s="2" t="str">
        <f>IF($A210="","",IF(COUNTIFS('Blackout Brand Fam Areas (Enc)'!$B$6:$B$998,$A210,'Blackout Brand Fam Areas (Enc)'!$C$6:$C$998,C$1,'Blackout Brand Fam Areas (Enc)'!$D$6:$D$998,"Inactive")&gt;0,"BLOCKED","CAN SELL"))</f>
        <v>CAN SELL</v>
      </c>
      <c r="D210" s="2" t="str">
        <f>IF($A210="","",IF(COUNTIFS('Blackout Brand Fam Areas (Enc)'!$B$6:$B$998,$A210,'Blackout Brand Fam Areas (Enc)'!$C$6:$C$998,D$1,'Blackout Brand Fam Areas (Enc)'!$D$6:$D$998,"Inactive")&gt;0,"BLOCKED","CAN SELL"))</f>
        <v>CAN SELL</v>
      </c>
      <c r="E210" s="2" t="str">
        <f>IF($A210="","",IF(COUNTIFS('Blackout Brand Fam Areas (Enc)'!$B$6:$B$998,$A210,'Blackout Brand Fam Areas (Enc)'!$C$6:$C$998,E$1,'Blackout Brand Fam Areas (Enc)'!$D$6:$D$998,"Inactive")&gt;0,"BLOCKED","CAN SELL"))</f>
        <v>BLOCKED</v>
      </c>
      <c r="F210" s="2" t="str">
        <f>IF($A210="","",IF(COUNTIFS('Blackout Brand Fam Areas (Enc)'!$B$6:$B$998,$A210,'Blackout Brand Fam Areas (Enc)'!$C$6:$C$998,F$1,'Blackout Brand Fam Areas (Enc)'!$D$6:$D$998,"Inactive")&gt;0,"BLOCKED","CAN SELL"))</f>
        <v>BLOCKED</v>
      </c>
      <c r="G210" s="2" t="str">
        <f>IF($A210="","",IF(COUNTIFS('Blackout Brand Fam Areas (Enc)'!$B$6:$B$998,$A210,'Blackout Brand Fam Areas (Enc)'!$C$6:$C$998,G$1,'Blackout Brand Fam Areas (Enc)'!$D$6:$D$998,"Inactive")&gt;0,"BLOCKED","CAN SELL"))</f>
        <v>BLOCKED</v>
      </c>
      <c r="H210" s="2" t="str">
        <f>IF($A210="","",IF(COUNTIFS('Blackout Brand Fam Areas (Enc)'!$B$6:$B$998,$A210,'Blackout Brand Fam Areas (Enc)'!$C$6:$C$998,H$1,'Blackout Brand Fam Areas (Enc)'!$D$6:$D$998,"Inactive")&gt;0,"BLOCKED","CAN SELL"))</f>
        <v>CAN SELL</v>
      </c>
      <c r="I210" s="2" t="str">
        <f>IF($A210="","",IF(COUNTIFS('Blackout Brand Fam Areas (Enc)'!$B$6:$B$998,$A210,'Blackout Brand Fam Areas (Enc)'!$C$6:$C$998,I$1,'Blackout Brand Fam Areas (Enc)'!$D$6:$D$998,"Inactive")&gt;0,"BLOCKED","CAN SELL"))</f>
        <v>CAN SELL</v>
      </c>
      <c r="J210" s="2" t="str">
        <f>IF($A210="","",IF(COUNTIFS('Blackout Brand Fam Areas (Enc)'!$B$6:$B$998,$A210,'Blackout Brand Fam Areas (Enc)'!$C$6:$C$998,J$1,'Blackout Brand Fam Areas (Enc)'!$D$6:$D$998,"Inactive")&gt;0,"BLOCKED","CAN SELL"))</f>
        <v>BLOCKED</v>
      </c>
      <c r="K210" s="2" t="str">
        <f>IF($A210="","",IF(COUNTIFS('Blackout Brand Fam Areas (Enc)'!$B$6:$B$998,$A210,'Blackout Brand Fam Areas (Enc)'!$C$6:$C$998,K$1,'Blackout Brand Fam Areas (Enc)'!$D$6:$D$998,"Inactive")&gt;0,"BLOCKED","CAN SELL"))</f>
        <v>CAN SELL</v>
      </c>
    </row>
    <row r="211" spans="1:11" x14ac:dyDescent="0.2">
      <c r="A211" s="2" t="str">
        <v>Travelers Club</v>
      </c>
      <c r="B211" s="2" t="str">
        <f>IF($A211="","",IF(COUNTIFS('Blackout Brand Fam Areas (Enc)'!$B$6:$B$998,$A211,'Blackout Brand Fam Areas (Enc)'!$C$6:$C$998,B$1,'Blackout Brand Fam Areas (Enc)'!$D$6:$D$998,"Inactive")&gt;0,"BLOCKED","CAN SELL"))</f>
        <v>CAN SELL</v>
      </c>
      <c r="C211" s="2" t="str">
        <f>IF($A211="","",IF(COUNTIFS('Blackout Brand Fam Areas (Enc)'!$B$6:$B$998,$A211,'Blackout Brand Fam Areas (Enc)'!$C$6:$C$998,C$1,'Blackout Brand Fam Areas (Enc)'!$D$6:$D$998,"Inactive")&gt;0,"BLOCKED","CAN SELL"))</f>
        <v>CAN SELL</v>
      </c>
      <c r="D211" s="2" t="str">
        <f>IF($A211="","",IF(COUNTIFS('Blackout Brand Fam Areas (Enc)'!$B$6:$B$998,$A211,'Blackout Brand Fam Areas (Enc)'!$C$6:$C$998,D$1,'Blackout Brand Fam Areas (Enc)'!$D$6:$D$998,"Inactive")&gt;0,"BLOCKED","CAN SELL"))</f>
        <v>CAN SELL</v>
      </c>
      <c r="E211" s="2" t="str">
        <f>IF($A211="","",IF(COUNTIFS('Blackout Brand Fam Areas (Enc)'!$B$6:$B$998,$A211,'Blackout Brand Fam Areas (Enc)'!$C$6:$C$998,E$1,'Blackout Brand Fam Areas (Enc)'!$D$6:$D$998,"Inactive")&gt;0,"BLOCKED","CAN SELL"))</f>
        <v>CAN SELL</v>
      </c>
      <c r="F211" s="2" t="str">
        <f>IF($A211="","",IF(COUNTIFS('Blackout Brand Fam Areas (Enc)'!$B$6:$B$998,$A211,'Blackout Brand Fam Areas (Enc)'!$C$6:$C$998,F$1,'Blackout Brand Fam Areas (Enc)'!$D$6:$D$998,"Inactive")&gt;0,"BLOCKED","CAN SELL"))</f>
        <v>CAN SELL</v>
      </c>
      <c r="G211" s="2" t="str">
        <f>IF($A211="","",IF(COUNTIFS('Blackout Brand Fam Areas (Enc)'!$B$6:$B$998,$A211,'Blackout Brand Fam Areas (Enc)'!$C$6:$C$998,G$1,'Blackout Brand Fam Areas (Enc)'!$D$6:$D$998,"Inactive")&gt;0,"BLOCKED","CAN SELL"))</f>
        <v>CAN SELL</v>
      </c>
      <c r="H211" s="2" t="str">
        <f>IF($A211="","",IF(COUNTIFS('Blackout Brand Fam Areas (Enc)'!$B$6:$B$998,$A211,'Blackout Brand Fam Areas (Enc)'!$C$6:$C$998,H$1,'Blackout Brand Fam Areas (Enc)'!$D$6:$D$998,"Inactive")&gt;0,"BLOCKED","CAN SELL"))</f>
        <v>BLOCKED</v>
      </c>
      <c r="I211" s="2" t="str">
        <f>IF($A211="","",IF(COUNTIFS('Blackout Brand Fam Areas (Enc)'!$B$6:$B$998,$A211,'Blackout Brand Fam Areas (Enc)'!$C$6:$C$998,I$1,'Blackout Brand Fam Areas (Enc)'!$D$6:$D$998,"Inactive")&gt;0,"BLOCKED","CAN SELL"))</f>
        <v>CAN SELL</v>
      </c>
      <c r="J211" s="2" t="str">
        <f>IF($A211="","",IF(COUNTIFS('Blackout Brand Fam Areas (Enc)'!$B$6:$B$998,$A211,'Blackout Brand Fam Areas (Enc)'!$C$6:$C$998,J$1,'Blackout Brand Fam Areas (Enc)'!$D$6:$D$998,"Inactive")&gt;0,"BLOCKED","CAN SELL"))</f>
        <v>CAN SELL</v>
      </c>
      <c r="K211" s="2" t="str">
        <f>IF($A211="","",IF(COUNTIFS('Blackout Brand Fam Areas (Enc)'!$B$6:$B$998,$A211,'Blackout Brand Fam Areas (Enc)'!$C$6:$C$998,K$1,'Blackout Brand Fam Areas (Enc)'!$D$6:$D$998,"Inactive")&gt;0,"BLOCKED","CAN SELL"))</f>
        <v>CAN SELL</v>
      </c>
    </row>
    <row r="212" spans="1:11" x14ac:dyDescent="0.2">
      <c r="A212" s="2" t="str">
        <v>Truly</v>
      </c>
      <c r="B212" s="2" t="str">
        <f>IF($A212="","",IF(COUNTIFS('Blackout Brand Fam Areas (Enc)'!$B$6:$B$998,$A212,'Blackout Brand Fam Areas (Enc)'!$C$6:$C$998,B$1,'Blackout Brand Fam Areas (Enc)'!$D$6:$D$998,"Inactive")&gt;0,"BLOCKED","CAN SELL"))</f>
        <v>CAN SELL</v>
      </c>
      <c r="C212" s="2" t="str">
        <f>IF($A212="","",IF(COUNTIFS('Blackout Brand Fam Areas (Enc)'!$B$6:$B$998,$A212,'Blackout Brand Fam Areas (Enc)'!$C$6:$C$998,C$1,'Blackout Brand Fam Areas (Enc)'!$D$6:$D$998,"Inactive")&gt;0,"BLOCKED","CAN SELL"))</f>
        <v>CAN SELL</v>
      </c>
      <c r="D212" s="2" t="str">
        <f>IF($A212="","",IF(COUNTIFS('Blackout Brand Fam Areas (Enc)'!$B$6:$B$998,$A212,'Blackout Brand Fam Areas (Enc)'!$C$6:$C$998,D$1,'Blackout Brand Fam Areas (Enc)'!$D$6:$D$998,"Inactive")&gt;0,"BLOCKED","CAN SELL"))</f>
        <v>CAN SELL</v>
      </c>
      <c r="E212" s="2" t="str">
        <f>IF($A212="","",IF(COUNTIFS('Blackout Brand Fam Areas (Enc)'!$B$6:$B$998,$A212,'Blackout Brand Fam Areas (Enc)'!$C$6:$C$998,E$1,'Blackout Brand Fam Areas (Enc)'!$D$6:$D$998,"Inactive")&gt;0,"BLOCKED","CAN SELL"))</f>
        <v>BLOCKED</v>
      </c>
      <c r="F212" s="2" t="str">
        <f>IF($A212="","",IF(COUNTIFS('Blackout Brand Fam Areas (Enc)'!$B$6:$B$998,$A212,'Blackout Brand Fam Areas (Enc)'!$C$6:$C$998,F$1,'Blackout Brand Fam Areas (Enc)'!$D$6:$D$998,"Inactive")&gt;0,"BLOCKED","CAN SELL"))</f>
        <v>BLOCKED</v>
      </c>
      <c r="G212" s="2" t="str">
        <f>IF($A212="","",IF(COUNTIFS('Blackout Brand Fam Areas (Enc)'!$B$6:$B$998,$A212,'Blackout Brand Fam Areas (Enc)'!$C$6:$C$998,G$1,'Blackout Brand Fam Areas (Enc)'!$D$6:$D$998,"Inactive")&gt;0,"BLOCKED","CAN SELL"))</f>
        <v>BLOCKED</v>
      </c>
      <c r="H212" s="2" t="str">
        <f>IF($A212="","",IF(COUNTIFS('Blackout Brand Fam Areas (Enc)'!$B$6:$B$998,$A212,'Blackout Brand Fam Areas (Enc)'!$C$6:$C$998,H$1,'Blackout Brand Fam Areas (Enc)'!$D$6:$D$998,"Inactive")&gt;0,"BLOCKED","CAN SELL"))</f>
        <v>CAN SELL</v>
      </c>
      <c r="I212" s="2" t="str">
        <f>IF($A212="","",IF(COUNTIFS('Blackout Brand Fam Areas (Enc)'!$B$6:$B$998,$A212,'Blackout Brand Fam Areas (Enc)'!$C$6:$C$998,I$1,'Blackout Brand Fam Areas (Enc)'!$D$6:$D$998,"Inactive")&gt;0,"BLOCKED","CAN SELL"))</f>
        <v>CAN SELL</v>
      </c>
      <c r="J212" s="2" t="str">
        <f>IF($A212="","",IF(COUNTIFS('Blackout Brand Fam Areas (Enc)'!$B$6:$B$998,$A212,'Blackout Brand Fam Areas (Enc)'!$C$6:$C$998,J$1,'Blackout Brand Fam Areas (Enc)'!$D$6:$D$998,"Inactive")&gt;0,"BLOCKED","CAN SELL"))</f>
        <v>BLOCKED</v>
      </c>
      <c r="K212" s="2" t="str">
        <f>IF($A212="","",IF(COUNTIFS('Blackout Brand Fam Areas (Enc)'!$B$6:$B$998,$A212,'Blackout Brand Fam Areas (Enc)'!$C$6:$C$998,K$1,'Blackout Brand Fam Areas (Enc)'!$D$6:$D$998,"Inactive")&gt;0,"BLOCKED","CAN SELL"))</f>
        <v>CAN SELL</v>
      </c>
    </row>
    <row r="213" spans="1:11" x14ac:dyDescent="0.2">
      <c r="A213" s="2" t="str">
        <v>Twisted Tea</v>
      </c>
      <c r="B213" s="2" t="str">
        <f>IF($A213="","",IF(COUNTIFS('Blackout Brand Fam Areas (Enc)'!$B$6:$B$998,$A213,'Blackout Brand Fam Areas (Enc)'!$C$6:$C$998,B$1,'Blackout Brand Fam Areas (Enc)'!$D$6:$D$998,"Inactive")&gt;0,"BLOCKED","CAN SELL"))</f>
        <v>CAN SELL</v>
      </c>
      <c r="C213" s="2" t="str">
        <f>IF($A213="","",IF(COUNTIFS('Blackout Brand Fam Areas (Enc)'!$B$6:$B$998,$A213,'Blackout Brand Fam Areas (Enc)'!$C$6:$C$998,C$1,'Blackout Brand Fam Areas (Enc)'!$D$6:$D$998,"Inactive")&gt;0,"BLOCKED","CAN SELL"))</f>
        <v>CAN SELL</v>
      </c>
      <c r="D213" s="2" t="str">
        <f>IF($A213="","",IF(COUNTIFS('Blackout Brand Fam Areas (Enc)'!$B$6:$B$998,$A213,'Blackout Brand Fam Areas (Enc)'!$C$6:$C$998,D$1,'Blackout Brand Fam Areas (Enc)'!$D$6:$D$998,"Inactive")&gt;0,"BLOCKED","CAN SELL"))</f>
        <v>CAN SELL</v>
      </c>
      <c r="E213" s="2" t="str">
        <f>IF($A213="","",IF(COUNTIFS('Blackout Brand Fam Areas (Enc)'!$B$6:$B$998,$A213,'Blackout Brand Fam Areas (Enc)'!$C$6:$C$998,E$1,'Blackout Brand Fam Areas (Enc)'!$D$6:$D$998,"Inactive")&gt;0,"BLOCKED","CAN SELL"))</f>
        <v>BLOCKED</v>
      </c>
      <c r="F213" s="2" t="str">
        <f>IF($A213="","",IF(COUNTIFS('Blackout Brand Fam Areas (Enc)'!$B$6:$B$998,$A213,'Blackout Brand Fam Areas (Enc)'!$C$6:$C$998,F$1,'Blackout Brand Fam Areas (Enc)'!$D$6:$D$998,"Inactive")&gt;0,"BLOCKED","CAN SELL"))</f>
        <v>BLOCKED</v>
      </c>
      <c r="G213" s="2" t="str">
        <f>IF($A213="","",IF(COUNTIFS('Blackout Brand Fam Areas (Enc)'!$B$6:$B$998,$A213,'Blackout Brand Fam Areas (Enc)'!$C$6:$C$998,G$1,'Blackout Brand Fam Areas (Enc)'!$D$6:$D$998,"Inactive")&gt;0,"BLOCKED","CAN SELL"))</f>
        <v>BLOCKED</v>
      </c>
      <c r="H213" s="2" t="str">
        <f>IF($A213="","",IF(COUNTIFS('Blackout Brand Fam Areas (Enc)'!$B$6:$B$998,$A213,'Blackout Brand Fam Areas (Enc)'!$C$6:$C$998,H$1,'Blackout Brand Fam Areas (Enc)'!$D$6:$D$998,"Inactive")&gt;0,"BLOCKED","CAN SELL"))</f>
        <v>CAN SELL</v>
      </c>
      <c r="I213" s="2" t="str">
        <f>IF($A213="","",IF(COUNTIFS('Blackout Brand Fam Areas (Enc)'!$B$6:$B$998,$A213,'Blackout Brand Fam Areas (Enc)'!$C$6:$C$998,I$1,'Blackout Brand Fam Areas (Enc)'!$D$6:$D$998,"Inactive")&gt;0,"BLOCKED","CAN SELL"))</f>
        <v>CAN SELL</v>
      </c>
      <c r="J213" s="2" t="str">
        <f>IF($A213="","",IF(COUNTIFS('Blackout Brand Fam Areas (Enc)'!$B$6:$B$998,$A213,'Blackout Brand Fam Areas (Enc)'!$C$6:$C$998,J$1,'Blackout Brand Fam Areas (Enc)'!$D$6:$D$998,"Inactive")&gt;0,"BLOCKED","CAN SELL"))</f>
        <v>BLOCKED</v>
      </c>
      <c r="K213" s="2" t="str">
        <f>IF($A213="","",IF(COUNTIFS('Blackout Brand Fam Areas (Enc)'!$B$6:$B$998,$A213,'Blackout Brand Fam Areas (Enc)'!$C$6:$C$998,K$1,'Blackout Brand Fam Areas (Enc)'!$D$6:$D$998,"Inactive")&gt;0,"BLOCKED","CAN SELL"))</f>
        <v>CAN SELL</v>
      </c>
    </row>
    <row r="214" spans="1:11" x14ac:dyDescent="0.2">
      <c r="A214" s="2" t="str">
        <v>Two Hats</v>
      </c>
      <c r="B214" s="2" t="str">
        <f>IF($A214="","",IF(COUNTIFS('Blackout Brand Fam Areas (Enc)'!$B$6:$B$998,$A214,'Blackout Brand Fam Areas (Enc)'!$C$6:$C$998,B$1,'Blackout Brand Fam Areas (Enc)'!$D$6:$D$998,"Inactive")&gt;0,"BLOCKED","CAN SELL"))</f>
        <v>CAN SELL</v>
      </c>
      <c r="C214" s="2" t="str">
        <f>IF($A214="","",IF(COUNTIFS('Blackout Brand Fam Areas (Enc)'!$B$6:$B$998,$A214,'Blackout Brand Fam Areas (Enc)'!$C$6:$C$998,C$1,'Blackout Brand Fam Areas (Enc)'!$D$6:$D$998,"Inactive")&gt;0,"BLOCKED","CAN SELL"))</f>
        <v>CAN SELL</v>
      </c>
      <c r="D214" s="2" t="str">
        <f>IF($A214="","",IF(COUNTIFS('Blackout Brand Fam Areas (Enc)'!$B$6:$B$998,$A214,'Blackout Brand Fam Areas (Enc)'!$C$6:$C$998,D$1,'Blackout Brand Fam Areas (Enc)'!$D$6:$D$998,"Inactive")&gt;0,"BLOCKED","CAN SELL"))</f>
        <v>CAN SELL</v>
      </c>
      <c r="E214" s="2" t="str">
        <f>IF($A214="","",IF(COUNTIFS('Blackout Brand Fam Areas (Enc)'!$B$6:$B$998,$A214,'Blackout Brand Fam Areas (Enc)'!$C$6:$C$998,E$1,'Blackout Brand Fam Areas (Enc)'!$D$6:$D$998,"Inactive")&gt;0,"BLOCKED","CAN SELL"))</f>
        <v>BLOCKED</v>
      </c>
      <c r="F214" s="2" t="str">
        <f>IF($A214="","",IF(COUNTIFS('Blackout Brand Fam Areas (Enc)'!$B$6:$B$998,$A214,'Blackout Brand Fam Areas (Enc)'!$C$6:$C$998,F$1,'Blackout Brand Fam Areas (Enc)'!$D$6:$D$998,"Inactive")&gt;0,"BLOCKED","CAN SELL"))</f>
        <v>BLOCKED</v>
      </c>
      <c r="G214" s="2" t="str">
        <f>IF($A214="","",IF(COUNTIFS('Blackout Brand Fam Areas (Enc)'!$B$6:$B$998,$A214,'Blackout Brand Fam Areas (Enc)'!$C$6:$C$998,G$1,'Blackout Brand Fam Areas (Enc)'!$D$6:$D$998,"Inactive")&gt;0,"BLOCKED","CAN SELL"))</f>
        <v>BLOCKED</v>
      </c>
      <c r="H214" s="2" t="str">
        <f>IF($A214="","",IF(COUNTIFS('Blackout Brand Fam Areas (Enc)'!$B$6:$B$998,$A214,'Blackout Brand Fam Areas (Enc)'!$C$6:$C$998,H$1,'Blackout Brand Fam Areas (Enc)'!$D$6:$D$998,"Inactive")&gt;0,"BLOCKED","CAN SELL"))</f>
        <v>CAN SELL</v>
      </c>
      <c r="I214" s="2" t="str">
        <f>IF($A214="","",IF(COUNTIFS('Blackout Brand Fam Areas (Enc)'!$B$6:$B$998,$A214,'Blackout Brand Fam Areas (Enc)'!$C$6:$C$998,I$1,'Blackout Brand Fam Areas (Enc)'!$D$6:$D$998,"Inactive")&gt;0,"BLOCKED","CAN SELL"))</f>
        <v>CAN SELL</v>
      </c>
      <c r="J214" s="2" t="str">
        <f>IF($A214="","",IF(COUNTIFS('Blackout Brand Fam Areas (Enc)'!$B$6:$B$998,$A214,'Blackout Brand Fam Areas (Enc)'!$C$6:$C$998,J$1,'Blackout Brand Fam Areas (Enc)'!$D$6:$D$998,"Inactive")&gt;0,"BLOCKED","CAN SELL"))</f>
        <v>BLOCKED</v>
      </c>
      <c r="K214" s="2" t="str">
        <f>IF($A214="","",IF(COUNTIFS('Blackout Brand Fam Areas (Enc)'!$B$6:$B$998,$A214,'Blackout Brand Fam Areas (Enc)'!$C$6:$C$998,K$1,'Blackout Brand Fam Areas (Enc)'!$D$6:$D$998,"Inactive")&gt;0,"BLOCKED","CAN SELL"))</f>
        <v>CAN SELL</v>
      </c>
    </row>
    <row r="215" spans="1:11" x14ac:dyDescent="0.2">
      <c r="A215" s="2" t="str">
        <v>Tyskie Gronie</v>
      </c>
      <c r="B215" s="2" t="str">
        <f>IF($A215="","",IF(COUNTIFS('Blackout Brand Fam Areas (Enc)'!$B$6:$B$998,$A215,'Blackout Brand Fam Areas (Enc)'!$C$6:$C$998,B$1,'Blackout Brand Fam Areas (Enc)'!$D$6:$D$998,"Inactive")&gt;0,"BLOCKED","CAN SELL"))</f>
        <v>CAN SELL</v>
      </c>
      <c r="C215" s="2" t="str">
        <f>IF($A215="","",IF(COUNTIFS('Blackout Brand Fam Areas (Enc)'!$B$6:$B$998,$A215,'Blackout Brand Fam Areas (Enc)'!$C$6:$C$998,C$1,'Blackout Brand Fam Areas (Enc)'!$D$6:$D$998,"Inactive")&gt;0,"BLOCKED","CAN SELL"))</f>
        <v>CAN SELL</v>
      </c>
      <c r="D215" s="2" t="str">
        <f>IF($A215="","",IF(COUNTIFS('Blackout Brand Fam Areas (Enc)'!$B$6:$B$998,$A215,'Blackout Brand Fam Areas (Enc)'!$C$6:$C$998,D$1,'Blackout Brand Fam Areas (Enc)'!$D$6:$D$998,"Inactive")&gt;0,"BLOCKED","CAN SELL"))</f>
        <v>CAN SELL</v>
      </c>
      <c r="E215" s="2" t="str">
        <f>IF($A215="","",IF(COUNTIFS('Blackout Brand Fam Areas (Enc)'!$B$6:$B$998,$A215,'Blackout Brand Fam Areas (Enc)'!$C$6:$C$998,E$1,'Blackout Brand Fam Areas (Enc)'!$D$6:$D$998,"Inactive")&gt;0,"BLOCKED","CAN SELL"))</f>
        <v>BLOCKED</v>
      </c>
      <c r="F215" s="2" t="str">
        <f>IF($A215="","",IF(COUNTIFS('Blackout Brand Fam Areas (Enc)'!$B$6:$B$998,$A215,'Blackout Brand Fam Areas (Enc)'!$C$6:$C$998,F$1,'Blackout Brand Fam Areas (Enc)'!$D$6:$D$998,"Inactive")&gt;0,"BLOCKED","CAN SELL"))</f>
        <v>BLOCKED</v>
      </c>
      <c r="G215" s="2" t="str">
        <f>IF($A215="","",IF(COUNTIFS('Blackout Brand Fam Areas (Enc)'!$B$6:$B$998,$A215,'Blackout Brand Fam Areas (Enc)'!$C$6:$C$998,G$1,'Blackout Brand Fam Areas (Enc)'!$D$6:$D$998,"Inactive")&gt;0,"BLOCKED","CAN SELL"))</f>
        <v>BLOCKED</v>
      </c>
      <c r="H215" s="2" t="str">
        <f>IF($A215="","",IF(COUNTIFS('Blackout Brand Fam Areas (Enc)'!$B$6:$B$998,$A215,'Blackout Brand Fam Areas (Enc)'!$C$6:$C$998,H$1,'Blackout Brand Fam Areas (Enc)'!$D$6:$D$998,"Inactive")&gt;0,"BLOCKED","CAN SELL"))</f>
        <v>CAN SELL</v>
      </c>
      <c r="I215" s="2" t="str">
        <f>IF($A215="","",IF(COUNTIFS('Blackout Brand Fam Areas (Enc)'!$B$6:$B$998,$A215,'Blackout Brand Fam Areas (Enc)'!$C$6:$C$998,I$1,'Blackout Brand Fam Areas (Enc)'!$D$6:$D$998,"Inactive")&gt;0,"BLOCKED","CAN SELL"))</f>
        <v>CAN SELL</v>
      </c>
      <c r="J215" s="2" t="str">
        <f>IF($A215="","",IF(COUNTIFS('Blackout Brand Fam Areas (Enc)'!$B$6:$B$998,$A215,'Blackout Brand Fam Areas (Enc)'!$C$6:$C$998,J$1,'Blackout Brand Fam Areas (Enc)'!$D$6:$D$998,"Inactive")&gt;0,"BLOCKED","CAN SELL"))</f>
        <v>BLOCKED</v>
      </c>
      <c r="K215" s="2" t="str">
        <f>IF($A215="","",IF(COUNTIFS('Blackout Brand Fam Areas (Enc)'!$B$6:$B$998,$A215,'Blackout Brand Fam Areas (Enc)'!$C$6:$C$998,K$1,'Blackout Brand Fam Areas (Enc)'!$D$6:$D$998,"Inactive")&gt;0,"BLOCKED","CAN SELL"))</f>
        <v>CAN SELL</v>
      </c>
    </row>
    <row r="216" spans="1:11" x14ac:dyDescent="0.2">
      <c r="A216" s="2" t="str">
        <v>Unibroue</v>
      </c>
      <c r="B216" s="2" t="str">
        <f>IF($A216="","",IF(COUNTIFS('Blackout Brand Fam Areas (Enc)'!$B$6:$B$998,$A216,'Blackout Brand Fam Areas (Enc)'!$C$6:$C$998,B$1,'Blackout Brand Fam Areas (Enc)'!$D$6:$D$998,"Inactive")&gt;0,"BLOCKED","CAN SELL"))</f>
        <v>CAN SELL</v>
      </c>
      <c r="C216" s="2" t="str">
        <f>IF($A216="","",IF(COUNTIFS('Blackout Brand Fam Areas (Enc)'!$B$6:$B$998,$A216,'Blackout Brand Fam Areas (Enc)'!$C$6:$C$998,C$1,'Blackout Brand Fam Areas (Enc)'!$D$6:$D$998,"Inactive")&gt;0,"BLOCKED","CAN SELL"))</f>
        <v>CAN SELL</v>
      </c>
      <c r="D216" s="2" t="str">
        <f>IF($A216="","",IF(COUNTIFS('Blackout Brand Fam Areas (Enc)'!$B$6:$B$998,$A216,'Blackout Brand Fam Areas (Enc)'!$C$6:$C$998,D$1,'Blackout Brand Fam Areas (Enc)'!$D$6:$D$998,"Inactive")&gt;0,"BLOCKED","CAN SELL"))</f>
        <v>CAN SELL</v>
      </c>
      <c r="E216" s="2" t="str">
        <f>IF($A216="","",IF(COUNTIFS('Blackout Brand Fam Areas (Enc)'!$B$6:$B$998,$A216,'Blackout Brand Fam Areas (Enc)'!$C$6:$C$998,E$1,'Blackout Brand Fam Areas (Enc)'!$D$6:$D$998,"Inactive")&gt;0,"BLOCKED","CAN SELL"))</f>
        <v>CAN SELL</v>
      </c>
      <c r="F216" s="2" t="str">
        <f>IF($A216="","",IF(COUNTIFS('Blackout Brand Fam Areas (Enc)'!$B$6:$B$998,$A216,'Blackout Brand Fam Areas (Enc)'!$C$6:$C$998,F$1,'Blackout Brand Fam Areas (Enc)'!$D$6:$D$998,"Inactive")&gt;0,"BLOCKED","CAN SELL"))</f>
        <v>CAN SELL</v>
      </c>
      <c r="G216" s="2" t="str">
        <f>IF($A216="","",IF(COUNTIFS('Blackout Brand Fam Areas (Enc)'!$B$6:$B$998,$A216,'Blackout Brand Fam Areas (Enc)'!$C$6:$C$998,G$1,'Blackout Brand Fam Areas (Enc)'!$D$6:$D$998,"Inactive")&gt;0,"BLOCKED","CAN SELL"))</f>
        <v>BLOCKED</v>
      </c>
      <c r="H216" s="2" t="str">
        <f>IF($A216="","",IF(COUNTIFS('Blackout Brand Fam Areas (Enc)'!$B$6:$B$998,$A216,'Blackout Brand Fam Areas (Enc)'!$C$6:$C$998,H$1,'Blackout Brand Fam Areas (Enc)'!$D$6:$D$998,"Inactive")&gt;0,"BLOCKED","CAN SELL"))</f>
        <v>BLOCKED</v>
      </c>
      <c r="I216" s="2" t="str">
        <f>IF($A216="","",IF(COUNTIFS('Blackout Brand Fam Areas (Enc)'!$B$6:$B$998,$A216,'Blackout Brand Fam Areas (Enc)'!$C$6:$C$998,I$1,'Blackout Brand Fam Areas (Enc)'!$D$6:$D$998,"Inactive")&gt;0,"BLOCKED","CAN SELL"))</f>
        <v>BLOCKED</v>
      </c>
      <c r="J216" s="2" t="str">
        <f>IF($A216="","",IF(COUNTIFS('Blackout Brand Fam Areas (Enc)'!$B$6:$B$998,$A216,'Blackout Brand Fam Areas (Enc)'!$C$6:$C$998,J$1,'Blackout Brand Fam Areas (Enc)'!$D$6:$D$998,"Inactive")&gt;0,"BLOCKED","CAN SELL"))</f>
        <v>BLOCKED</v>
      </c>
      <c r="K216" s="2" t="str">
        <f>IF($A216="","",IF(COUNTIFS('Blackout Brand Fam Areas (Enc)'!$B$6:$B$998,$A216,'Blackout Brand Fam Areas (Enc)'!$C$6:$C$998,K$1,'Blackout Brand Fam Areas (Enc)'!$D$6:$D$998,"Inactive")&gt;0,"BLOCKED","CAN SELL"))</f>
        <v>BLOCKED</v>
      </c>
    </row>
    <row r="217" spans="1:11" x14ac:dyDescent="0.2">
      <c r="A217" s="2" t="str">
        <v>Veryvell</v>
      </c>
      <c r="B217" s="2" t="str">
        <f>IF($A217="","",IF(COUNTIFS('Blackout Brand Fam Areas (Enc)'!$B$6:$B$998,$A217,'Blackout Brand Fam Areas (Enc)'!$C$6:$C$998,B$1,'Blackout Brand Fam Areas (Enc)'!$D$6:$D$998,"Inactive")&gt;0,"BLOCKED","CAN SELL"))</f>
        <v>CAN SELL</v>
      </c>
      <c r="C217" s="2" t="str">
        <f>IF($A217="","",IF(COUNTIFS('Blackout Brand Fam Areas (Enc)'!$B$6:$B$998,$A217,'Blackout Brand Fam Areas (Enc)'!$C$6:$C$998,C$1,'Blackout Brand Fam Areas (Enc)'!$D$6:$D$998,"Inactive")&gt;0,"BLOCKED","CAN SELL"))</f>
        <v>CAN SELL</v>
      </c>
      <c r="D217" s="2" t="str">
        <f>IF($A217="","",IF(COUNTIFS('Blackout Brand Fam Areas (Enc)'!$B$6:$B$998,$A217,'Blackout Brand Fam Areas (Enc)'!$C$6:$C$998,D$1,'Blackout Brand Fam Areas (Enc)'!$D$6:$D$998,"Inactive")&gt;0,"BLOCKED","CAN SELL"))</f>
        <v>CAN SELL</v>
      </c>
      <c r="E217" s="2" t="str">
        <f>IF($A217="","",IF(COUNTIFS('Blackout Brand Fam Areas (Enc)'!$B$6:$B$998,$A217,'Blackout Brand Fam Areas (Enc)'!$C$6:$C$998,E$1,'Blackout Brand Fam Areas (Enc)'!$D$6:$D$998,"Inactive")&gt;0,"BLOCKED","CAN SELL"))</f>
        <v>BLOCKED</v>
      </c>
      <c r="F217" s="2" t="str">
        <f>IF($A217="","",IF(COUNTIFS('Blackout Brand Fam Areas (Enc)'!$B$6:$B$998,$A217,'Blackout Brand Fam Areas (Enc)'!$C$6:$C$998,F$1,'Blackout Brand Fam Areas (Enc)'!$D$6:$D$998,"Inactive")&gt;0,"BLOCKED","CAN SELL"))</f>
        <v>BLOCKED</v>
      </c>
      <c r="G217" s="2" t="str">
        <f>IF($A217="","",IF(COUNTIFS('Blackout Brand Fam Areas (Enc)'!$B$6:$B$998,$A217,'Blackout Brand Fam Areas (Enc)'!$C$6:$C$998,G$1,'Blackout Brand Fam Areas (Enc)'!$D$6:$D$998,"Inactive")&gt;0,"BLOCKED","CAN SELL"))</f>
        <v>BLOCKED</v>
      </c>
      <c r="H217" s="2" t="str">
        <f>IF($A217="","",IF(COUNTIFS('Blackout Brand Fam Areas (Enc)'!$B$6:$B$998,$A217,'Blackout Brand Fam Areas (Enc)'!$C$6:$C$998,H$1,'Blackout Brand Fam Areas (Enc)'!$D$6:$D$998,"Inactive")&gt;0,"BLOCKED","CAN SELL"))</f>
        <v>CAN SELL</v>
      </c>
      <c r="I217" s="2" t="str">
        <f>IF($A217="","",IF(COUNTIFS('Blackout Brand Fam Areas (Enc)'!$B$6:$B$998,$A217,'Blackout Brand Fam Areas (Enc)'!$C$6:$C$998,I$1,'Blackout Brand Fam Areas (Enc)'!$D$6:$D$998,"Inactive")&gt;0,"BLOCKED","CAN SELL"))</f>
        <v>CAN SELL</v>
      </c>
      <c r="J217" s="2" t="str">
        <f>IF($A217="","",IF(COUNTIFS('Blackout Brand Fam Areas (Enc)'!$B$6:$B$998,$A217,'Blackout Brand Fam Areas (Enc)'!$C$6:$C$998,J$1,'Blackout Brand Fam Areas (Enc)'!$D$6:$D$998,"Inactive")&gt;0,"BLOCKED","CAN SELL"))</f>
        <v>BLOCKED</v>
      </c>
      <c r="K217" s="2" t="str">
        <f>IF($A217="","",IF(COUNTIFS('Blackout Brand Fam Areas (Enc)'!$B$6:$B$998,$A217,'Blackout Brand Fam Areas (Enc)'!$C$6:$C$998,K$1,'Blackout Brand Fam Areas (Enc)'!$D$6:$D$998,"Inactive")&gt;0,"BLOCKED","CAN SELL"))</f>
        <v>CAN SELL</v>
      </c>
    </row>
    <row r="218" spans="1:11" x14ac:dyDescent="0.2">
      <c r="A218" s="2" t="str">
        <v>Victoria</v>
      </c>
      <c r="B218" s="2" t="str">
        <f>IF($A218="","",IF(COUNTIFS('Blackout Brand Fam Areas (Enc)'!$B$6:$B$998,$A218,'Blackout Brand Fam Areas (Enc)'!$C$6:$C$998,B$1,'Blackout Brand Fam Areas (Enc)'!$D$6:$D$998,"Inactive")&gt;0,"BLOCKED","CAN SELL"))</f>
        <v>CAN SELL</v>
      </c>
      <c r="C218" s="2" t="str">
        <f>IF($A218="","",IF(COUNTIFS('Blackout Brand Fam Areas (Enc)'!$B$6:$B$998,$A218,'Blackout Brand Fam Areas (Enc)'!$C$6:$C$998,C$1,'Blackout Brand Fam Areas (Enc)'!$D$6:$D$998,"Inactive")&gt;0,"BLOCKED","CAN SELL"))</f>
        <v>CAN SELL</v>
      </c>
      <c r="D218" s="2" t="str">
        <f>IF($A218="","",IF(COUNTIFS('Blackout Brand Fam Areas (Enc)'!$B$6:$B$998,$A218,'Blackout Brand Fam Areas (Enc)'!$C$6:$C$998,D$1,'Blackout Brand Fam Areas (Enc)'!$D$6:$D$998,"Inactive")&gt;0,"BLOCKED","CAN SELL"))</f>
        <v>CAN SELL</v>
      </c>
      <c r="E218" s="2" t="str">
        <f>IF($A218="","",IF(COUNTIFS('Blackout Brand Fam Areas (Enc)'!$B$6:$B$998,$A218,'Blackout Brand Fam Areas (Enc)'!$C$6:$C$998,E$1,'Blackout Brand Fam Areas (Enc)'!$D$6:$D$998,"Inactive")&gt;0,"BLOCKED","CAN SELL"))</f>
        <v>BLOCKED</v>
      </c>
      <c r="F218" s="2" t="str">
        <f>IF($A218="","",IF(COUNTIFS('Blackout Brand Fam Areas (Enc)'!$B$6:$B$998,$A218,'Blackout Brand Fam Areas (Enc)'!$C$6:$C$998,F$1,'Blackout Brand Fam Areas (Enc)'!$D$6:$D$998,"Inactive")&gt;0,"BLOCKED","CAN SELL"))</f>
        <v>BLOCKED</v>
      </c>
      <c r="G218" s="2" t="str">
        <f>IF($A218="","",IF(COUNTIFS('Blackout Brand Fam Areas (Enc)'!$B$6:$B$998,$A218,'Blackout Brand Fam Areas (Enc)'!$C$6:$C$998,G$1,'Blackout Brand Fam Areas (Enc)'!$D$6:$D$998,"Inactive")&gt;0,"BLOCKED","CAN SELL"))</f>
        <v>BLOCKED</v>
      </c>
      <c r="H218" s="2" t="str">
        <f>IF($A218="","",IF(COUNTIFS('Blackout Brand Fam Areas (Enc)'!$B$6:$B$998,$A218,'Blackout Brand Fam Areas (Enc)'!$C$6:$C$998,H$1,'Blackout Brand Fam Areas (Enc)'!$D$6:$D$998,"Inactive")&gt;0,"BLOCKED","CAN SELL"))</f>
        <v>CAN SELL</v>
      </c>
      <c r="I218" s="2" t="str">
        <f>IF($A218="","",IF(COUNTIFS('Blackout Brand Fam Areas (Enc)'!$B$6:$B$998,$A218,'Blackout Brand Fam Areas (Enc)'!$C$6:$C$998,I$1,'Blackout Brand Fam Areas (Enc)'!$D$6:$D$998,"Inactive")&gt;0,"BLOCKED","CAN SELL"))</f>
        <v>CAN SELL</v>
      </c>
      <c r="J218" s="2" t="str">
        <f>IF($A218="","",IF(COUNTIFS('Blackout Brand Fam Areas (Enc)'!$B$6:$B$998,$A218,'Blackout Brand Fam Areas (Enc)'!$C$6:$C$998,J$1,'Blackout Brand Fam Areas (Enc)'!$D$6:$D$998,"Inactive")&gt;0,"BLOCKED","CAN SELL"))</f>
        <v>BLOCKED</v>
      </c>
      <c r="K218" s="2" t="str">
        <f>IF($A218="","",IF(COUNTIFS('Blackout Brand Fam Areas (Enc)'!$B$6:$B$998,$A218,'Blackout Brand Fam Areas (Enc)'!$C$6:$C$998,K$1,'Blackout Brand Fam Areas (Enc)'!$D$6:$D$998,"Inactive")&gt;0,"BLOCKED","CAN SELL"))</f>
        <v>CAN SELL</v>
      </c>
    </row>
    <row r="219" spans="1:11" x14ac:dyDescent="0.2">
      <c r="A219" s="2" t="str">
        <v>Victory</v>
      </c>
      <c r="B219" s="2" t="str">
        <f>IF($A219="","",IF(COUNTIFS('Blackout Brand Fam Areas (Enc)'!$B$6:$B$998,$A219,'Blackout Brand Fam Areas (Enc)'!$C$6:$C$998,B$1,'Blackout Brand Fam Areas (Enc)'!$D$6:$D$998,"Inactive")&gt;0,"BLOCKED","CAN SELL"))</f>
        <v>CAN SELL</v>
      </c>
      <c r="C219" s="2" t="str">
        <f>IF($A219="","",IF(COUNTIFS('Blackout Brand Fam Areas (Enc)'!$B$6:$B$998,$A219,'Blackout Brand Fam Areas (Enc)'!$C$6:$C$998,C$1,'Blackout Brand Fam Areas (Enc)'!$D$6:$D$998,"Inactive")&gt;0,"BLOCKED","CAN SELL"))</f>
        <v>CAN SELL</v>
      </c>
      <c r="D219" s="2" t="str">
        <f>IF($A219="","",IF(COUNTIFS('Blackout Brand Fam Areas (Enc)'!$B$6:$B$998,$A219,'Blackout Brand Fam Areas (Enc)'!$C$6:$C$998,D$1,'Blackout Brand Fam Areas (Enc)'!$D$6:$D$998,"Inactive")&gt;0,"BLOCKED","CAN SELL"))</f>
        <v>CAN SELL</v>
      </c>
      <c r="E219" s="2" t="str">
        <f>IF($A219="","",IF(COUNTIFS('Blackout Brand Fam Areas (Enc)'!$B$6:$B$998,$A219,'Blackout Brand Fam Areas (Enc)'!$C$6:$C$998,E$1,'Blackout Brand Fam Areas (Enc)'!$D$6:$D$998,"Inactive")&gt;0,"BLOCKED","CAN SELL"))</f>
        <v>CAN SELL</v>
      </c>
      <c r="F219" s="2" t="str">
        <f>IF($A219="","",IF(COUNTIFS('Blackout Brand Fam Areas (Enc)'!$B$6:$B$998,$A219,'Blackout Brand Fam Areas (Enc)'!$C$6:$C$998,F$1,'Blackout Brand Fam Areas (Enc)'!$D$6:$D$998,"Inactive")&gt;0,"BLOCKED","CAN SELL"))</f>
        <v>CAN SELL</v>
      </c>
      <c r="G219" s="2" t="str">
        <f>IF($A219="","",IF(COUNTIFS('Blackout Brand Fam Areas (Enc)'!$B$6:$B$998,$A219,'Blackout Brand Fam Areas (Enc)'!$C$6:$C$998,G$1,'Blackout Brand Fam Areas (Enc)'!$D$6:$D$998,"Inactive")&gt;0,"BLOCKED","CAN SELL"))</f>
        <v>BLOCKED</v>
      </c>
      <c r="H219" s="2" t="str">
        <f>IF($A219="","",IF(COUNTIFS('Blackout Brand Fam Areas (Enc)'!$B$6:$B$998,$A219,'Blackout Brand Fam Areas (Enc)'!$C$6:$C$998,H$1,'Blackout Brand Fam Areas (Enc)'!$D$6:$D$998,"Inactive")&gt;0,"BLOCKED","CAN SELL"))</f>
        <v>BLOCKED</v>
      </c>
      <c r="I219" s="2" t="str">
        <f>IF($A219="","",IF(COUNTIFS('Blackout Brand Fam Areas (Enc)'!$B$6:$B$998,$A219,'Blackout Brand Fam Areas (Enc)'!$C$6:$C$998,I$1,'Blackout Brand Fam Areas (Enc)'!$D$6:$D$998,"Inactive")&gt;0,"BLOCKED","CAN SELL"))</f>
        <v>BLOCKED</v>
      </c>
      <c r="J219" s="2" t="str">
        <f>IF($A219="","",IF(COUNTIFS('Blackout Brand Fam Areas (Enc)'!$B$6:$B$998,$A219,'Blackout Brand Fam Areas (Enc)'!$C$6:$C$998,J$1,'Blackout Brand Fam Areas (Enc)'!$D$6:$D$998,"Inactive")&gt;0,"BLOCKED","CAN SELL"))</f>
        <v>BLOCKED</v>
      </c>
      <c r="K219" s="2" t="str">
        <f>IF($A219="","",IF(COUNTIFS('Blackout Brand Fam Areas (Enc)'!$B$6:$B$998,$A219,'Blackout Brand Fam Areas (Enc)'!$C$6:$C$998,K$1,'Blackout Brand Fam Areas (Enc)'!$D$6:$D$998,"Inactive")&gt;0,"BLOCKED","CAN SELL"))</f>
        <v>BLOCKED</v>
      </c>
    </row>
    <row r="220" spans="1:11" x14ac:dyDescent="0.2">
      <c r="A220" s="2" t="str">
        <v>Vizzy</v>
      </c>
      <c r="B220" s="2" t="str">
        <f>IF($A220="","",IF(COUNTIFS('Blackout Brand Fam Areas (Enc)'!$B$6:$B$998,$A220,'Blackout Brand Fam Areas (Enc)'!$C$6:$C$998,B$1,'Blackout Brand Fam Areas (Enc)'!$D$6:$D$998,"Inactive")&gt;0,"BLOCKED","CAN SELL"))</f>
        <v>CAN SELL</v>
      </c>
      <c r="C220" s="2" t="str">
        <f>IF($A220="","",IF(COUNTIFS('Blackout Brand Fam Areas (Enc)'!$B$6:$B$998,$A220,'Blackout Brand Fam Areas (Enc)'!$C$6:$C$998,C$1,'Blackout Brand Fam Areas (Enc)'!$D$6:$D$998,"Inactive")&gt;0,"BLOCKED","CAN SELL"))</f>
        <v>CAN SELL</v>
      </c>
      <c r="D220" s="2" t="str">
        <f>IF($A220="","",IF(COUNTIFS('Blackout Brand Fam Areas (Enc)'!$B$6:$B$998,$A220,'Blackout Brand Fam Areas (Enc)'!$C$6:$C$998,D$1,'Blackout Brand Fam Areas (Enc)'!$D$6:$D$998,"Inactive")&gt;0,"BLOCKED","CAN SELL"))</f>
        <v>CAN SELL</v>
      </c>
      <c r="E220" s="2" t="str">
        <f>IF($A220="","",IF(COUNTIFS('Blackout Brand Fam Areas (Enc)'!$B$6:$B$998,$A220,'Blackout Brand Fam Areas (Enc)'!$C$6:$C$998,E$1,'Blackout Brand Fam Areas (Enc)'!$D$6:$D$998,"Inactive")&gt;0,"BLOCKED","CAN SELL"))</f>
        <v>BLOCKED</v>
      </c>
      <c r="F220" s="2" t="str">
        <f>IF($A220="","",IF(COUNTIFS('Blackout Brand Fam Areas (Enc)'!$B$6:$B$998,$A220,'Blackout Brand Fam Areas (Enc)'!$C$6:$C$998,F$1,'Blackout Brand Fam Areas (Enc)'!$D$6:$D$998,"Inactive")&gt;0,"BLOCKED","CAN SELL"))</f>
        <v>BLOCKED</v>
      </c>
      <c r="G220" s="2" t="str">
        <f>IF($A220="","",IF(COUNTIFS('Blackout Brand Fam Areas (Enc)'!$B$6:$B$998,$A220,'Blackout Brand Fam Areas (Enc)'!$C$6:$C$998,G$1,'Blackout Brand Fam Areas (Enc)'!$D$6:$D$998,"Inactive")&gt;0,"BLOCKED","CAN SELL"))</f>
        <v>BLOCKED</v>
      </c>
      <c r="H220" s="2" t="str">
        <f>IF($A220="","",IF(COUNTIFS('Blackout Brand Fam Areas (Enc)'!$B$6:$B$998,$A220,'Blackout Brand Fam Areas (Enc)'!$C$6:$C$998,H$1,'Blackout Brand Fam Areas (Enc)'!$D$6:$D$998,"Inactive")&gt;0,"BLOCKED","CAN SELL"))</f>
        <v>CAN SELL</v>
      </c>
      <c r="I220" s="2" t="str">
        <f>IF($A220="","",IF(COUNTIFS('Blackout Brand Fam Areas (Enc)'!$B$6:$B$998,$A220,'Blackout Brand Fam Areas (Enc)'!$C$6:$C$998,I$1,'Blackout Brand Fam Areas (Enc)'!$D$6:$D$998,"Inactive")&gt;0,"BLOCKED","CAN SELL"))</f>
        <v>CAN SELL</v>
      </c>
      <c r="J220" s="2" t="str">
        <f>IF($A220="","",IF(COUNTIFS('Blackout Brand Fam Areas (Enc)'!$B$6:$B$998,$A220,'Blackout Brand Fam Areas (Enc)'!$C$6:$C$998,J$1,'Blackout Brand Fam Areas (Enc)'!$D$6:$D$998,"Inactive")&gt;0,"BLOCKED","CAN SELL"))</f>
        <v>BLOCKED</v>
      </c>
      <c r="K220" s="2" t="str">
        <f>IF($A220="","",IF(COUNTIFS('Blackout Brand Fam Areas (Enc)'!$B$6:$B$998,$A220,'Blackout Brand Fam Areas (Enc)'!$C$6:$C$998,K$1,'Blackout Brand Fam Areas (Enc)'!$D$6:$D$998,"Inactive")&gt;0,"BLOCKED","CAN SELL"))</f>
        <v>CAN SELL</v>
      </c>
    </row>
    <row r="221" spans="1:11" x14ac:dyDescent="0.2">
      <c r="A221" s="2" t="str">
        <v>Voodoo Family</v>
      </c>
      <c r="B221" s="2" t="str">
        <f>IF($A221="","",IF(COUNTIFS('Blackout Brand Fam Areas (Enc)'!$B$6:$B$998,$A221,'Blackout Brand Fam Areas (Enc)'!$C$6:$C$998,B$1,'Blackout Brand Fam Areas (Enc)'!$D$6:$D$998,"Inactive")&gt;0,"BLOCKED","CAN SELL"))</f>
        <v>CAN SELL</v>
      </c>
      <c r="C221" s="2" t="str">
        <f>IF($A221="","",IF(COUNTIFS('Blackout Brand Fam Areas (Enc)'!$B$6:$B$998,$A221,'Blackout Brand Fam Areas (Enc)'!$C$6:$C$998,C$1,'Blackout Brand Fam Areas (Enc)'!$D$6:$D$998,"Inactive")&gt;0,"BLOCKED","CAN SELL"))</f>
        <v>CAN SELL</v>
      </c>
      <c r="D221" s="2" t="str">
        <f>IF($A221="","",IF(COUNTIFS('Blackout Brand Fam Areas (Enc)'!$B$6:$B$998,$A221,'Blackout Brand Fam Areas (Enc)'!$C$6:$C$998,D$1,'Blackout Brand Fam Areas (Enc)'!$D$6:$D$998,"Inactive")&gt;0,"BLOCKED","CAN SELL"))</f>
        <v>CAN SELL</v>
      </c>
      <c r="E221" s="2" t="str">
        <f>IF($A221="","",IF(COUNTIFS('Blackout Brand Fam Areas (Enc)'!$B$6:$B$998,$A221,'Blackout Brand Fam Areas (Enc)'!$C$6:$C$998,E$1,'Blackout Brand Fam Areas (Enc)'!$D$6:$D$998,"Inactive")&gt;0,"BLOCKED","CAN SELL"))</f>
        <v>BLOCKED</v>
      </c>
      <c r="F221" s="2" t="str">
        <f>IF($A221="","",IF(COUNTIFS('Blackout Brand Fam Areas (Enc)'!$B$6:$B$998,$A221,'Blackout Brand Fam Areas (Enc)'!$C$6:$C$998,F$1,'Blackout Brand Fam Areas (Enc)'!$D$6:$D$998,"Inactive")&gt;0,"BLOCKED","CAN SELL"))</f>
        <v>BLOCKED</v>
      </c>
      <c r="G221" s="2" t="str">
        <f>IF($A221="","",IF(COUNTIFS('Blackout Brand Fam Areas (Enc)'!$B$6:$B$998,$A221,'Blackout Brand Fam Areas (Enc)'!$C$6:$C$998,G$1,'Blackout Brand Fam Areas (Enc)'!$D$6:$D$998,"Inactive")&gt;0,"BLOCKED","CAN SELL"))</f>
        <v>BLOCKED</v>
      </c>
      <c r="H221" s="2" t="str">
        <f>IF($A221="","",IF(COUNTIFS('Blackout Brand Fam Areas (Enc)'!$B$6:$B$998,$A221,'Blackout Brand Fam Areas (Enc)'!$C$6:$C$998,H$1,'Blackout Brand Fam Areas (Enc)'!$D$6:$D$998,"Inactive")&gt;0,"BLOCKED","CAN SELL"))</f>
        <v>CAN SELL</v>
      </c>
      <c r="I221" s="2" t="str">
        <f>IF($A221="","",IF(COUNTIFS('Blackout Brand Fam Areas (Enc)'!$B$6:$B$998,$A221,'Blackout Brand Fam Areas (Enc)'!$C$6:$C$998,I$1,'Blackout Brand Fam Areas (Enc)'!$D$6:$D$998,"Inactive")&gt;0,"BLOCKED","CAN SELL"))</f>
        <v>CAN SELL</v>
      </c>
      <c r="J221" s="2" t="str">
        <f>IF($A221="","",IF(COUNTIFS('Blackout Brand Fam Areas (Enc)'!$B$6:$B$998,$A221,'Blackout Brand Fam Areas (Enc)'!$C$6:$C$998,J$1,'Blackout Brand Fam Areas (Enc)'!$D$6:$D$998,"Inactive")&gt;0,"BLOCKED","CAN SELL"))</f>
        <v>BLOCKED</v>
      </c>
      <c r="K221" s="2" t="str">
        <f>IF($A221="","",IF(COUNTIFS('Blackout Brand Fam Areas (Enc)'!$B$6:$B$998,$A221,'Blackout Brand Fam Areas (Enc)'!$C$6:$C$998,K$1,'Blackout Brand Fam Areas (Enc)'!$D$6:$D$998,"Inactive")&gt;0,"BLOCKED","CAN SELL"))</f>
        <v>CAN SELL</v>
      </c>
    </row>
    <row r="222" spans="1:11" x14ac:dyDescent="0.2">
      <c r="A222" s="2" t="str">
        <v>Voodoo Hardcharged</v>
      </c>
      <c r="B222" s="2" t="str">
        <f>IF($A222="","",IF(COUNTIFS('Blackout Brand Fam Areas (Enc)'!$B$6:$B$998,$A222,'Blackout Brand Fam Areas (Enc)'!$C$6:$C$998,B$1,'Blackout Brand Fam Areas (Enc)'!$D$6:$D$998,"Inactive")&gt;0,"BLOCKED","CAN SELL"))</f>
        <v>CAN SELL</v>
      </c>
      <c r="C222" s="2" t="str">
        <f>IF($A222="","",IF(COUNTIFS('Blackout Brand Fam Areas (Enc)'!$B$6:$B$998,$A222,'Blackout Brand Fam Areas (Enc)'!$C$6:$C$998,C$1,'Blackout Brand Fam Areas (Enc)'!$D$6:$D$998,"Inactive")&gt;0,"BLOCKED","CAN SELL"))</f>
        <v>CAN SELL</v>
      </c>
      <c r="D222" s="2" t="str">
        <f>IF($A222="","",IF(COUNTIFS('Blackout Brand Fam Areas (Enc)'!$B$6:$B$998,$A222,'Blackout Brand Fam Areas (Enc)'!$C$6:$C$998,D$1,'Blackout Brand Fam Areas (Enc)'!$D$6:$D$998,"Inactive")&gt;0,"BLOCKED","CAN SELL"))</f>
        <v>CAN SELL</v>
      </c>
      <c r="E222" s="2" t="str">
        <f>IF($A222="","",IF(COUNTIFS('Blackout Brand Fam Areas (Enc)'!$B$6:$B$998,$A222,'Blackout Brand Fam Areas (Enc)'!$C$6:$C$998,E$1,'Blackout Brand Fam Areas (Enc)'!$D$6:$D$998,"Inactive")&gt;0,"BLOCKED","CAN SELL"))</f>
        <v>BLOCKED</v>
      </c>
      <c r="F222" s="2" t="str">
        <f>IF($A222="","",IF(COUNTIFS('Blackout Brand Fam Areas (Enc)'!$B$6:$B$998,$A222,'Blackout Brand Fam Areas (Enc)'!$C$6:$C$998,F$1,'Blackout Brand Fam Areas (Enc)'!$D$6:$D$998,"Inactive")&gt;0,"BLOCKED","CAN SELL"))</f>
        <v>BLOCKED</v>
      </c>
      <c r="G222" s="2" t="str">
        <f>IF($A222="","",IF(COUNTIFS('Blackout Brand Fam Areas (Enc)'!$B$6:$B$998,$A222,'Blackout Brand Fam Areas (Enc)'!$C$6:$C$998,G$1,'Blackout Brand Fam Areas (Enc)'!$D$6:$D$998,"Inactive")&gt;0,"BLOCKED","CAN SELL"))</f>
        <v>BLOCKED</v>
      </c>
      <c r="H222" s="2" t="str">
        <f>IF($A222="","",IF(COUNTIFS('Blackout Brand Fam Areas (Enc)'!$B$6:$B$998,$A222,'Blackout Brand Fam Areas (Enc)'!$C$6:$C$998,H$1,'Blackout Brand Fam Areas (Enc)'!$D$6:$D$998,"Inactive")&gt;0,"BLOCKED","CAN SELL"))</f>
        <v>CAN SELL</v>
      </c>
      <c r="I222" s="2" t="str">
        <f>IF($A222="","",IF(COUNTIFS('Blackout Brand Fam Areas (Enc)'!$B$6:$B$998,$A222,'Blackout Brand Fam Areas (Enc)'!$C$6:$C$998,I$1,'Blackout Brand Fam Areas (Enc)'!$D$6:$D$998,"Inactive")&gt;0,"BLOCKED","CAN SELL"))</f>
        <v>CAN SELL</v>
      </c>
      <c r="J222" s="2" t="str">
        <f>IF($A222="","",IF(COUNTIFS('Blackout Brand Fam Areas (Enc)'!$B$6:$B$998,$A222,'Blackout Brand Fam Areas (Enc)'!$C$6:$C$998,J$1,'Blackout Brand Fam Areas (Enc)'!$D$6:$D$998,"Inactive")&gt;0,"BLOCKED","CAN SELL"))</f>
        <v>BLOCKED</v>
      </c>
      <c r="K222" s="2" t="str">
        <f>IF($A222="","",IF(COUNTIFS('Blackout Brand Fam Areas (Enc)'!$B$6:$B$998,$A222,'Blackout Brand Fam Areas (Enc)'!$C$6:$C$998,K$1,'Blackout Brand Fam Areas (Enc)'!$D$6:$D$998,"Inactive")&gt;0,"BLOCKED","CAN SELL"))</f>
        <v>CAN SELL</v>
      </c>
    </row>
    <row r="223" spans="1:11" x14ac:dyDescent="0.2">
      <c r="A223" s="2" t="str">
        <v>Weihenstephaner</v>
      </c>
      <c r="B223" s="2" t="str">
        <f>IF($A223="","",IF(COUNTIFS('Blackout Brand Fam Areas (Enc)'!$B$6:$B$998,$A223,'Blackout Brand Fam Areas (Enc)'!$C$6:$C$998,B$1,'Blackout Brand Fam Areas (Enc)'!$D$6:$D$998,"Inactive")&gt;0,"BLOCKED","CAN SELL"))</f>
        <v>CAN SELL</v>
      </c>
      <c r="C223" s="2" t="str">
        <f>IF($A223="","",IF(COUNTIFS('Blackout Brand Fam Areas (Enc)'!$B$6:$B$998,$A223,'Blackout Brand Fam Areas (Enc)'!$C$6:$C$998,C$1,'Blackout Brand Fam Areas (Enc)'!$D$6:$D$998,"Inactive")&gt;0,"BLOCKED","CAN SELL"))</f>
        <v>CAN SELL</v>
      </c>
      <c r="D223" s="2" t="str">
        <f>IF($A223="","",IF(COUNTIFS('Blackout Brand Fam Areas (Enc)'!$B$6:$B$998,$A223,'Blackout Brand Fam Areas (Enc)'!$C$6:$C$998,D$1,'Blackout Brand Fam Areas (Enc)'!$D$6:$D$998,"Inactive")&gt;0,"BLOCKED","CAN SELL"))</f>
        <v>CAN SELL</v>
      </c>
      <c r="E223" s="2" t="str">
        <f>IF($A223="","",IF(COUNTIFS('Blackout Brand Fam Areas (Enc)'!$B$6:$B$998,$A223,'Blackout Brand Fam Areas (Enc)'!$C$6:$C$998,E$1,'Blackout Brand Fam Areas (Enc)'!$D$6:$D$998,"Inactive")&gt;0,"BLOCKED","CAN SELL"))</f>
        <v>CAN SELL</v>
      </c>
      <c r="F223" s="2" t="str">
        <f>IF($A223="","",IF(COUNTIFS('Blackout Brand Fam Areas (Enc)'!$B$6:$B$998,$A223,'Blackout Brand Fam Areas (Enc)'!$C$6:$C$998,F$1,'Blackout Brand Fam Areas (Enc)'!$D$6:$D$998,"Inactive")&gt;0,"BLOCKED","CAN SELL"))</f>
        <v>CAN SELL</v>
      </c>
      <c r="G223" s="2" t="str">
        <f>IF($A223="","",IF(COUNTIFS('Blackout Brand Fam Areas (Enc)'!$B$6:$B$998,$A223,'Blackout Brand Fam Areas (Enc)'!$C$6:$C$998,G$1,'Blackout Brand Fam Areas (Enc)'!$D$6:$D$998,"Inactive")&gt;0,"BLOCKED","CAN SELL"))</f>
        <v>BLOCKED</v>
      </c>
      <c r="H223" s="2" t="str">
        <f>IF($A223="","",IF(COUNTIFS('Blackout Brand Fam Areas (Enc)'!$B$6:$B$998,$A223,'Blackout Brand Fam Areas (Enc)'!$C$6:$C$998,H$1,'Blackout Brand Fam Areas (Enc)'!$D$6:$D$998,"Inactive")&gt;0,"BLOCKED","CAN SELL"))</f>
        <v>BLOCKED</v>
      </c>
      <c r="I223" s="2" t="str">
        <f>IF($A223="","",IF(COUNTIFS('Blackout Brand Fam Areas (Enc)'!$B$6:$B$998,$A223,'Blackout Brand Fam Areas (Enc)'!$C$6:$C$998,I$1,'Blackout Brand Fam Areas (Enc)'!$D$6:$D$998,"Inactive")&gt;0,"BLOCKED","CAN SELL"))</f>
        <v>BLOCKED</v>
      </c>
      <c r="J223" s="2" t="str">
        <f>IF($A223="","",IF(COUNTIFS('Blackout Brand Fam Areas (Enc)'!$B$6:$B$998,$A223,'Blackout Brand Fam Areas (Enc)'!$C$6:$C$998,J$1,'Blackout Brand Fam Areas (Enc)'!$D$6:$D$998,"Inactive")&gt;0,"BLOCKED","CAN SELL"))</f>
        <v>BLOCKED</v>
      </c>
      <c r="K223" s="2" t="str">
        <f>IF($A223="","",IF(COUNTIFS('Blackout Brand Fam Areas (Enc)'!$B$6:$B$998,$A223,'Blackout Brand Fam Areas (Enc)'!$C$6:$C$998,K$1,'Blackout Brand Fam Areas (Enc)'!$D$6:$D$998,"Inactive")&gt;0,"BLOCKED","CAN SELL"))</f>
        <v>BLOCKED</v>
      </c>
    </row>
    <row r="224" spans="1:11" x14ac:dyDescent="0.2">
      <c r="A224" s="2" t="str">
        <v>White Claw</v>
      </c>
      <c r="B224" s="2" t="str">
        <f>IF($A224="","",IF(COUNTIFS('Blackout Brand Fam Areas (Enc)'!$B$6:$B$998,$A224,'Blackout Brand Fam Areas (Enc)'!$C$6:$C$998,B$1,'Blackout Brand Fam Areas (Enc)'!$D$6:$D$998,"Inactive")&gt;0,"BLOCKED","CAN SELL"))</f>
        <v>CAN SELL</v>
      </c>
      <c r="C224" s="2" t="str">
        <f>IF($A224="","",IF(COUNTIFS('Blackout Brand Fam Areas (Enc)'!$B$6:$B$998,$A224,'Blackout Brand Fam Areas (Enc)'!$C$6:$C$998,C$1,'Blackout Brand Fam Areas (Enc)'!$D$6:$D$998,"Inactive")&gt;0,"BLOCKED","CAN SELL"))</f>
        <v>CAN SELL</v>
      </c>
      <c r="D224" s="2" t="str">
        <f>IF($A224="","",IF(COUNTIFS('Blackout Brand Fam Areas (Enc)'!$B$6:$B$998,$A224,'Blackout Brand Fam Areas (Enc)'!$C$6:$C$998,D$1,'Blackout Brand Fam Areas (Enc)'!$D$6:$D$998,"Inactive")&gt;0,"BLOCKED","CAN SELL"))</f>
        <v>CAN SELL</v>
      </c>
      <c r="E224" s="2" t="str">
        <f>IF($A224="","",IF(COUNTIFS('Blackout Brand Fam Areas (Enc)'!$B$6:$B$998,$A224,'Blackout Brand Fam Areas (Enc)'!$C$6:$C$998,E$1,'Blackout Brand Fam Areas (Enc)'!$D$6:$D$998,"Inactive")&gt;0,"BLOCKED","CAN SELL"))</f>
        <v>BLOCKED</v>
      </c>
      <c r="F224" s="2" t="str">
        <f>IF($A224="","",IF(COUNTIFS('Blackout Brand Fam Areas (Enc)'!$B$6:$B$998,$A224,'Blackout Brand Fam Areas (Enc)'!$C$6:$C$998,F$1,'Blackout Brand Fam Areas (Enc)'!$D$6:$D$998,"Inactive")&gt;0,"BLOCKED","CAN SELL"))</f>
        <v>BLOCKED</v>
      </c>
      <c r="G224" s="2" t="str">
        <f>IF($A224="","",IF(COUNTIFS('Blackout Brand Fam Areas (Enc)'!$B$6:$B$998,$A224,'Blackout Brand Fam Areas (Enc)'!$C$6:$C$998,G$1,'Blackout Brand Fam Areas (Enc)'!$D$6:$D$998,"Inactive")&gt;0,"BLOCKED","CAN SELL"))</f>
        <v>BLOCKED</v>
      </c>
      <c r="H224" s="2" t="str">
        <f>IF($A224="","",IF(COUNTIFS('Blackout Brand Fam Areas (Enc)'!$B$6:$B$998,$A224,'Blackout Brand Fam Areas (Enc)'!$C$6:$C$998,H$1,'Blackout Brand Fam Areas (Enc)'!$D$6:$D$998,"Inactive")&gt;0,"BLOCKED","CAN SELL"))</f>
        <v>CAN SELL</v>
      </c>
      <c r="I224" s="2" t="str">
        <f>IF($A224="","",IF(COUNTIFS('Blackout Brand Fam Areas (Enc)'!$B$6:$B$998,$A224,'Blackout Brand Fam Areas (Enc)'!$C$6:$C$998,I$1,'Blackout Brand Fam Areas (Enc)'!$D$6:$D$998,"Inactive")&gt;0,"BLOCKED","CAN SELL"))</f>
        <v>CAN SELL</v>
      </c>
      <c r="J224" s="2" t="str">
        <f>IF($A224="","",IF(COUNTIFS('Blackout Brand Fam Areas (Enc)'!$B$6:$B$998,$A224,'Blackout Brand Fam Areas (Enc)'!$C$6:$C$998,J$1,'Blackout Brand Fam Areas (Enc)'!$D$6:$D$998,"Inactive")&gt;0,"BLOCKED","CAN SELL"))</f>
        <v>BLOCKED</v>
      </c>
      <c r="K224" s="2" t="str">
        <f>IF($A224="","",IF(COUNTIFS('Blackout Brand Fam Areas (Enc)'!$B$6:$B$998,$A224,'Blackout Brand Fam Areas (Enc)'!$C$6:$C$998,K$1,'Blackout Brand Fam Areas (Enc)'!$D$6:$D$998,"Inactive")&gt;0,"BLOCKED","CAN SELL"))</f>
        <v>CAN SELL</v>
      </c>
    </row>
    <row r="225" spans="1:11" x14ac:dyDescent="0.2">
      <c r="A225" s="2" t="str">
        <v>Wild Leaf</v>
      </c>
      <c r="B225" s="2" t="str">
        <f>IF($A225="","",IF(COUNTIFS('Blackout Brand Fam Areas (Enc)'!$B$6:$B$998,$A225,'Blackout Brand Fam Areas (Enc)'!$C$6:$C$998,B$1,'Blackout Brand Fam Areas (Enc)'!$D$6:$D$998,"Inactive")&gt;0,"BLOCKED","CAN SELL"))</f>
        <v>CAN SELL</v>
      </c>
      <c r="C225" s="2" t="str">
        <f>IF($A225="","",IF(COUNTIFS('Blackout Brand Fam Areas (Enc)'!$B$6:$B$998,$A225,'Blackout Brand Fam Areas (Enc)'!$C$6:$C$998,C$1,'Blackout Brand Fam Areas (Enc)'!$D$6:$D$998,"Inactive")&gt;0,"BLOCKED","CAN SELL"))</f>
        <v>CAN SELL</v>
      </c>
      <c r="D225" s="2" t="str">
        <f>IF($A225="","",IF(COUNTIFS('Blackout Brand Fam Areas (Enc)'!$B$6:$B$998,$A225,'Blackout Brand Fam Areas (Enc)'!$C$6:$C$998,D$1,'Blackout Brand Fam Areas (Enc)'!$D$6:$D$998,"Inactive")&gt;0,"BLOCKED","CAN SELL"))</f>
        <v>CAN SELL</v>
      </c>
      <c r="E225" s="2" t="str">
        <f>IF($A225="","",IF(COUNTIFS('Blackout Brand Fam Areas (Enc)'!$B$6:$B$998,$A225,'Blackout Brand Fam Areas (Enc)'!$C$6:$C$998,E$1,'Blackout Brand Fam Areas (Enc)'!$D$6:$D$998,"Inactive")&gt;0,"BLOCKED","CAN SELL"))</f>
        <v>BLOCKED</v>
      </c>
      <c r="F225" s="2" t="str">
        <f>IF($A225="","",IF(COUNTIFS('Blackout Brand Fam Areas (Enc)'!$B$6:$B$998,$A225,'Blackout Brand Fam Areas (Enc)'!$C$6:$C$998,F$1,'Blackout Brand Fam Areas (Enc)'!$D$6:$D$998,"Inactive")&gt;0,"BLOCKED","CAN SELL"))</f>
        <v>BLOCKED</v>
      </c>
      <c r="G225" s="2" t="str">
        <f>IF($A225="","",IF(COUNTIFS('Blackout Brand Fam Areas (Enc)'!$B$6:$B$998,$A225,'Blackout Brand Fam Areas (Enc)'!$C$6:$C$998,G$1,'Blackout Brand Fam Areas (Enc)'!$D$6:$D$998,"Inactive")&gt;0,"BLOCKED","CAN SELL"))</f>
        <v>BLOCKED</v>
      </c>
      <c r="H225" s="2" t="str">
        <f>IF($A225="","",IF(COUNTIFS('Blackout Brand Fam Areas (Enc)'!$B$6:$B$998,$A225,'Blackout Brand Fam Areas (Enc)'!$C$6:$C$998,H$1,'Blackout Brand Fam Areas (Enc)'!$D$6:$D$998,"Inactive")&gt;0,"BLOCKED","CAN SELL"))</f>
        <v>CAN SELL</v>
      </c>
      <c r="I225" s="2" t="str">
        <f>IF($A225="","",IF(COUNTIFS('Blackout Brand Fam Areas (Enc)'!$B$6:$B$998,$A225,'Blackout Brand Fam Areas (Enc)'!$C$6:$C$998,I$1,'Blackout Brand Fam Areas (Enc)'!$D$6:$D$998,"Inactive")&gt;0,"BLOCKED","CAN SELL"))</f>
        <v>CAN SELL</v>
      </c>
      <c r="J225" s="2" t="str">
        <f>IF($A225="","",IF(COUNTIFS('Blackout Brand Fam Areas (Enc)'!$B$6:$B$998,$A225,'Blackout Brand Fam Areas (Enc)'!$C$6:$C$998,J$1,'Blackout Brand Fam Areas (Enc)'!$D$6:$D$998,"Inactive")&gt;0,"BLOCKED","CAN SELL"))</f>
        <v>BLOCKED</v>
      </c>
      <c r="K225" s="2" t="str">
        <f>IF($A225="","",IF(COUNTIFS('Blackout Brand Fam Areas (Enc)'!$B$6:$B$998,$A225,'Blackout Brand Fam Areas (Enc)'!$C$6:$C$998,K$1,'Blackout Brand Fam Areas (Enc)'!$D$6:$D$998,"Inactive")&gt;0,"BLOCKED","CAN SELL"))</f>
        <v>CAN SELL</v>
      </c>
    </row>
    <row r="226" spans="1:11" x14ac:dyDescent="0.2">
      <c r="A226" s="2" t="str">
        <v>YaVe Tequila</v>
      </c>
      <c r="B226" s="2" t="str">
        <f>IF($A226="","",IF(COUNTIFS('Blackout Brand Fam Areas (Enc)'!$B$6:$B$998,$A226,'Blackout Brand Fam Areas (Enc)'!$C$6:$C$998,B$1,'Blackout Brand Fam Areas (Enc)'!$D$6:$D$998,"Inactive")&gt;0,"BLOCKED","CAN SELL"))</f>
        <v>CAN SELL</v>
      </c>
      <c r="C226" s="2" t="str">
        <f>IF($A226="","",IF(COUNTIFS('Blackout Brand Fam Areas (Enc)'!$B$6:$B$998,$A226,'Blackout Brand Fam Areas (Enc)'!$C$6:$C$998,C$1,'Blackout Brand Fam Areas (Enc)'!$D$6:$D$998,"Inactive")&gt;0,"BLOCKED","CAN SELL"))</f>
        <v>CAN SELL</v>
      </c>
      <c r="D226" s="2" t="str">
        <f>IF($A226="","",IF(COUNTIFS('Blackout Brand Fam Areas (Enc)'!$B$6:$B$998,$A226,'Blackout Brand Fam Areas (Enc)'!$C$6:$C$998,D$1,'Blackout Brand Fam Areas (Enc)'!$D$6:$D$998,"Inactive")&gt;0,"BLOCKED","CAN SELL"))</f>
        <v>CAN SELL</v>
      </c>
      <c r="E226" s="2" t="str">
        <f>IF($A226="","",IF(COUNTIFS('Blackout Brand Fam Areas (Enc)'!$B$6:$B$998,$A226,'Blackout Brand Fam Areas (Enc)'!$C$6:$C$998,E$1,'Blackout Brand Fam Areas (Enc)'!$D$6:$D$998,"Inactive")&gt;0,"BLOCKED","CAN SELL"))</f>
        <v>BLOCKED</v>
      </c>
      <c r="F226" s="2" t="str">
        <f>IF($A226="","",IF(COUNTIFS('Blackout Brand Fam Areas (Enc)'!$B$6:$B$998,$A226,'Blackout Brand Fam Areas (Enc)'!$C$6:$C$998,F$1,'Blackout Brand Fam Areas (Enc)'!$D$6:$D$998,"Inactive")&gt;0,"BLOCKED","CAN SELL"))</f>
        <v>BLOCKED</v>
      </c>
      <c r="G226" s="2" t="str">
        <f>IF($A226="","",IF(COUNTIFS('Blackout Brand Fam Areas (Enc)'!$B$6:$B$998,$A226,'Blackout Brand Fam Areas (Enc)'!$C$6:$C$998,G$1,'Blackout Brand Fam Areas (Enc)'!$D$6:$D$998,"Inactive")&gt;0,"BLOCKED","CAN SELL"))</f>
        <v>BLOCKED</v>
      </c>
      <c r="H226" s="2" t="str">
        <f>IF($A226="","",IF(COUNTIFS('Blackout Brand Fam Areas (Enc)'!$B$6:$B$998,$A226,'Blackout Brand Fam Areas (Enc)'!$C$6:$C$998,H$1,'Blackout Brand Fam Areas (Enc)'!$D$6:$D$998,"Inactive")&gt;0,"BLOCKED","CAN SELL"))</f>
        <v>CAN SELL</v>
      </c>
      <c r="I226" s="2" t="str">
        <f>IF($A226="","",IF(COUNTIFS('Blackout Brand Fam Areas (Enc)'!$B$6:$B$998,$A226,'Blackout Brand Fam Areas (Enc)'!$C$6:$C$998,I$1,'Blackout Brand Fam Areas (Enc)'!$D$6:$D$998,"Inactive")&gt;0,"BLOCKED","CAN SELL"))</f>
        <v>CAN SELL</v>
      </c>
      <c r="J226" s="2" t="str">
        <f>IF($A226="","",IF(COUNTIFS('Blackout Brand Fam Areas (Enc)'!$B$6:$B$998,$A226,'Blackout Brand Fam Areas (Enc)'!$C$6:$C$998,J$1,'Blackout Brand Fam Areas (Enc)'!$D$6:$D$998,"Inactive")&gt;0,"BLOCKED","CAN SELL"))</f>
        <v>BLOCKED</v>
      </c>
      <c r="K226" s="2" t="str">
        <f>IF($A226="","",IF(COUNTIFS('Blackout Brand Fam Areas (Enc)'!$B$6:$B$998,$A226,'Blackout Brand Fam Areas (Enc)'!$C$6:$C$998,K$1,'Blackout Brand Fam Areas (Enc)'!$D$6:$D$998,"Inactive")&gt;0,"BLOCKED","CAN SELL"))</f>
        <v>CAN SELL</v>
      </c>
    </row>
    <row r="227" spans="1:11" x14ac:dyDescent="0.2">
      <c r="A227" s="2" t="str">
        <v>Yuengling Black &amp; Tan</v>
      </c>
      <c r="B227" s="2" t="str">
        <f>IF($A227="","",IF(COUNTIFS('Blackout Brand Fam Areas (Enc)'!$B$6:$B$998,$A227,'Blackout Brand Fam Areas (Enc)'!$C$6:$C$998,B$1,'Blackout Brand Fam Areas (Enc)'!$D$6:$D$998,"Inactive")&gt;0,"BLOCKED","CAN SELL"))</f>
        <v>CAN SELL</v>
      </c>
      <c r="C227" s="2" t="str">
        <f>IF($A227="","",IF(COUNTIFS('Blackout Brand Fam Areas (Enc)'!$B$6:$B$998,$A227,'Blackout Brand Fam Areas (Enc)'!$C$6:$C$998,C$1,'Blackout Brand Fam Areas (Enc)'!$D$6:$D$998,"Inactive")&gt;0,"BLOCKED","CAN SELL"))</f>
        <v>CAN SELL</v>
      </c>
      <c r="D227" s="2" t="str">
        <f>IF($A227="","",IF(COUNTIFS('Blackout Brand Fam Areas (Enc)'!$B$6:$B$998,$A227,'Blackout Brand Fam Areas (Enc)'!$C$6:$C$998,D$1,'Blackout Brand Fam Areas (Enc)'!$D$6:$D$998,"Inactive")&gt;0,"BLOCKED","CAN SELL"))</f>
        <v>CAN SELL</v>
      </c>
      <c r="E227" s="2" t="str">
        <f>IF($A227="","",IF(COUNTIFS('Blackout Brand Fam Areas (Enc)'!$B$6:$B$998,$A227,'Blackout Brand Fam Areas (Enc)'!$C$6:$C$998,E$1,'Blackout Brand Fam Areas (Enc)'!$D$6:$D$998,"Inactive")&gt;0,"BLOCKED","CAN SELL"))</f>
        <v>BLOCKED</v>
      </c>
      <c r="F227" s="2" t="str">
        <f>IF($A227="","",IF(COUNTIFS('Blackout Brand Fam Areas (Enc)'!$B$6:$B$998,$A227,'Blackout Brand Fam Areas (Enc)'!$C$6:$C$998,F$1,'Blackout Brand Fam Areas (Enc)'!$D$6:$D$998,"Inactive")&gt;0,"BLOCKED","CAN SELL"))</f>
        <v>BLOCKED</v>
      </c>
      <c r="G227" s="2" t="str">
        <f>IF($A227="","",IF(COUNTIFS('Blackout Brand Fam Areas (Enc)'!$B$6:$B$998,$A227,'Blackout Brand Fam Areas (Enc)'!$C$6:$C$998,G$1,'Blackout Brand Fam Areas (Enc)'!$D$6:$D$998,"Inactive")&gt;0,"BLOCKED","CAN SELL"))</f>
        <v>BLOCKED</v>
      </c>
      <c r="H227" s="2" t="str">
        <f>IF($A227="","",IF(COUNTIFS('Blackout Brand Fam Areas (Enc)'!$B$6:$B$998,$A227,'Blackout Brand Fam Areas (Enc)'!$C$6:$C$998,H$1,'Blackout Brand Fam Areas (Enc)'!$D$6:$D$998,"Inactive")&gt;0,"BLOCKED","CAN SELL"))</f>
        <v>CAN SELL</v>
      </c>
      <c r="I227" s="2" t="str">
        <f>IF($A227="","",IF(COUNTIFS('Blackout Brand Fam Areas (Enc)'!$B$6:$B$998,$A227,'Blackout Brand Fam Areas (Enc)'!$C$6:$C$998,I$1,'Blackout Brand Fam Areas (Enc)'!$D$6:$D$998,"Inactive")&gt;0,"BLOCKED","CAN SELL"))</f>
        <v>CAN SELL</v>
      </c>
      <c r="J227" s="2" t="str">
        <f>IF($A227="","",IF(COUNTIFS('Blackout Brand Fam Areas (Enc)'!$B$6:$B$998,$A227,'Blackout Brand Fam Areas (Enc)'!$C$6:$C$998,J$1,'Blackout Brand Fam Areas (Enc)'!$D$6:$D$998,"Inactive")&gt;0,"BLOCKED","CAN SELL"))</f>
        <v>BLOCKED</v>
      </c>
      <c r="K227" s="2" t="str">
        <f>IF($A227="","",IF(COUNTIFS('Blackout Brand Fam Areas (Enc)'!$B$6:$B$998,$A227,'Blackout Brand Fam Areas (Enc)'!$C$6:$C$998,K$1,'Blackout Brand Fam Areas (Enc)'!$D$6:$D$998,"Inactive")&gt;0,"BLOCKED","CAN SELL"))</f>
        <v>CAN SELL</v>
      </c>
    </row>
    <row r="228" spans="1:11" x14ac:dyDescent="0.2">
      <c r="A228" s="2" t="str">
        <v>Yuengling Bongo Fizz</v>
      </c>
      <c r="B228" s="2" t="str">
        <f>IF($A228="","",IF(COUNTIFS('Blackout Brand Fam Areas (Enc)'!$B$6:$B$998,$A228,'Blackout Brand Fam Areas (Enc)'!$C$6:$C$998,B$1,'Blackout Brand Fam Areas (Enc)'!$D$6:$D$998,"Inactive")&gt;0,"BLOCKED","CAN SELL"))</f>
        <v>CAN SELL</v>
      </c>
      <c r="C228" s="2" t="str">
        <f>IF($A228="","",IF(COUNTIFS('Blackout Brand Fam Areas (Enc)'!$B$6:$B$998,$A228,'Blackout Brand Fam Areas (Enc)'!$C$6:$C$998,C$1,'Blackout Brand Fam Areas (Enc)'!$D$6:$D$998,"Inactive")&gt;0,"BLOCKED","CAN SELL"))</f>
        <v>CAN SELL</v>
      </c>
      <c r="D228" s="2" t="str">
        <f>IF($A228="","",IF(COUNTIFS('Blackout Brand Fam Areas (Enc)'!$B$6:$B$998,$A228,'Blackout Brand Fam Areas (Enc)'!$C$6:$C$998,D$1,'Blackout Brand Fam Areas (Enc)'!$D$6:$D$998,"Inactive")&gt;0,"BLOCKED","CAN SELL"))</f>
        <v>CAN SELL</v>
      </c>
      <c r="E228" s="2" t="str">
        <f>IF($A228="","",IF(COUNTIFS('Blackout Brand Fam Areas (Enc)'!$B$6:$B$998,$A228,'Blackout Brand Fam Areas (Enc)'!$C$6:$C$998,E$1,'Blackout Brand Fam Areas (Enc)'!$D$6:$D$998,"Inactive")&gt;0,"BLOCKED","CAN SELL"))</f>
        <v>BLOCKED</v>
      </c>
      <c r="F228" s="2" t="str">
        <f>IF($A228="","",IF(COUNTIFS('Blackout Brand Fam Areas (Enc)'!$B$6:$B$998,$A228,'Blackout Brand Fam Areas (Enc)'!$C$6:$C$998,F$1,'Blackout Brand Fam Areas (Enc)'!$D$6:$D$998,"Inactive")&gt;0,"BLOCKED","CAN SELL"))</f>
        <v>BLOCKED</v>
      </c>
      <c r="G228" s="2" t="str">
        <f>IF($A228="","",IF(COUNTIFS('Blackout Brand Fam Areas (Enc)'!$B$6:$B$998,$A228,'Blackout Brand Fam Areas (Enc)'!$C$6:$C$998,G$1,'Blackout Brand Fam Areas (Enc)'!$D$6:$D$998,"Inactive")&gt;0,"BLOCKED","CAN SELL"))</f>
        <v>BLOCKED</v>
      </c>
      <c r="H228" s="2" t="str">
        <f>IF($A228="","",IF(COUNTIFS('Blackout Brand Fam Areas (Enc)'!$B$6:$B$998,$A228,'Blackout Brand Fam Areas (Enc)'!$C$6:$C$998,H$1,'Blackout Brand Fam Areas (Enc)'!$D$6:$D$998,"Inactive")&gt;0,"BLOCKED","CAN SELL"))</f>
        <v>CAN SELL</v>
      </c>
      <c r="I228" s="2" t="str">
        <f>IF($A228="","",IF(COUNTIFS('Blackout Brand Fam Areas (Enc)'!$B$6:$B$998,$A228,'Blackout Brand Fam Areas (Enc)'!$C$6:$C$998,I$1,'Blackout Brand Fam Areas (Enc)'!$D$6:$D$998,"Inactive")&gt;0,"BLOCKED","CAN SELL"))</f>
        <v>CAN SELL</v>
      </c>
      <c r="J228" s="2" t="str">
        <f>IF($A228="","",IF(COUNTIFS('Blackout Brand Fam Areas (Enc)'!$B$6:$B$998,$A228,'Blackout Brand Fam Areas (Enc)'!$C$6:$C$998,J$1,'Blackout Brand Fam Areas (Enc)'!$D$6:$D$998,"Inactive")&gt;0,"BLOCKED","CAN SELL"))</f>
        <v>BLOCKED</v>
      </c>
      <c r="K228" s="2" t="str">
        <f>IF($A228="","",IF(COUNTIFS('Blackout Brand Fam Areas (Enc)'!$B$6:$B$998,$A228,'Blackout Brand Fam Areas (Enc)'!$C$6:$C$998,K$1,'Blackout Brand Fam Areas (Enc)'!$D$6:$D$998,"Inactive")&gt;0,"BLOCKED","CAN SELL"))</f>
        <v>CAN SELL</v>
      </c>
    </row>
    <row r="229" spans="1:11" x14ac:dyDescent="0.2">
      <c r="A229" s="2" t="str">
        <v>Yuengling Flight</v>
      </c>
      <c r="B229" s="2" t="str">
        <f>IF($A229="","",IF(COUNTIFS('Blackout Brand Fam Areas (Enc)'!$B$6:$B$998,$A229,'Blackout Brand Fam Areas (Enc)'!$C$6:$C$998,B$1,'Blackout Brand Fam Areas (Enc)'!$D$6:$D$998,"Inactive")&gt;0,"BLOCKED","CAN SELL"))</f>
        <v>CAN SELL</v>
      </c>
      <c r="C229" s="2" t="str">
        <f>IF($A229="","",IF(COUNTIFS('Blackout Brand Fam Areas (Enc)'!$B$6:$B$998,$A229,'Blackout Brand Fam Areas (Enc)'!$C$6:$C$998,C$1,'Blackout Brand Fam Areas (Enc)'!$D$6:$D$998,"Inactive")&gt;0,"BLOCKED","CAN SELL"))</f>
        <v>CAN SELL</v>
      </c>
      <c r="D229" s="2" t="str">
        <f>IF($A229="","",IF(COUNTIFS('Blackout Brand Fam Areas (Enc)'!$B$6:$B$998,$A229,'Blackout Brand Fam Areas (Enc)'!$C$6:$C$998,D$1,'Blackout Brand Fam Areas (Enc)'!$D$6:$D$998,"Inactive")&gt;0,"BLOCKED","CAN SELL"))</f>
        <v>CAN SELL</v>
      </c>
      <c r="E229" s="2" t="str">
        <f>IF($A229="","",IF(COUNTIFS('Blackout Brand Fam Areas (Enc)'!$B$6:$B$998,$A229,'Blackout Brand Fam Areas (Enc)'!$C$6:$C$998,E$1,'Blackout Brand Fam Areas (Enc)'!$D$6:$D$998,"Inactive")&gt;0,"BLOCKED","CAN SELL"))</f>
        <v>BLOCKED</v>
      </c>
      <c r="F229" s="2" t="str">
        <f>IF($A229="","",IF(COUNTIFS('Blackout Brand Fam Areas (Enc)'!$B$6:$B$998,$A229,'Blackout Brand Fam Areas (Enc)'!$C$6:$C$998,F$1,'Blackout Brand Fam Areas (Enc)'!$D$6:$D$998,"Inactive")&gt;0,"BLOCKED","CAN SELL"))</f>
        <v>BLOCKED</v>
      </c>
      <c r="G229" s="2" t="str">
        <f>IF($A229="","",IF(COUNTIFS('Blackout Brand Fam Areas (Enc)'!$B$6:$B$998,$A229,'Blackout Brand Fam Areas (Enc)'!$C$6:$C$998,G$1,'Blackout Brand Fam Areas (Enc)'!$D$6:$D$998,"Inactive")&gt;0,"BLOCKED","CAN SELL"))</f>
        <v>BLOCKED</v>
      </c>
      <c r="H229" s="2" t="str">
        <f>IF($A229="","",IF(COUNTIFS('Blackout Brand Fam Areas (Enc)'!$B$6:$B$998,$A229,'Blackout Brand Fam Areas (Enc)'!$C$6:$C$998,H$1,'Blackout Brand Fam Areas (Enc)'!$D$6:$D$998,"Inactive")&gt;0,"BLOCKED","CAN SELL"))</f>
        <v>CAN SELL</v>
      </c>
      <c r="I229" s="2" t="str">
        <f>IF($A229="","",IF(COUNTIFS('Blackout Brand Fam Areas (Enc)'!$B$6:$B$998,$A229,'Blackout Brand Fam Areas (Enc)'!$C$6:$C$998,I$1,'Blackout Brand Fam Areas (Enc)'!$D$6:$D$998,"Inactive")&gt;0,"BLOCKED","CAN SELL"))</f>
        <v>CAN SELL</v>
      </c>
      <c r="J229" s="2" t="str">
        <f>IF($A229="","",IF(COUNTIFS('Blackout Brand Fam Areas (Enc)'!$B$6:$B$998,$A229,'Blackout Brand Fam Areas (Enc)'!$C$6:$C$998,J$1,'Blackout Brand Fam Areas (Enc)'!$D$6:$D$998,"Inactive")&gt;0,"BLOCKED","CAN SELL"))</f>
        <v>BLOCKED</v>
      </c>
      <c r="K229" s="2" t="str">
        <f>IF($A229="","",IF(COUNTIFS('Blackout Brand Fam Areas (Enc)'!$B$6:$B$998,$A229,'Blackout Brand Fam Areas (Enc)'!$C$6:$C$998,K$1,'Blackout Brand Fam Areas (Enc)'!$D$6:$D$998,"Inactive")&gt;0,"BLOCKED","CAN SELL"))</f>
        <v>CAN SELL</v>
      </c>
    </row>
    <row r="230" spans="1:11" x14ac:dyDescent="0.2">
      <c r="A230" s="2" t="str">
        <v>Yuengling Golden Pilsner</v>
      </c>
      <c r="B230" s="2" t="str">
        <f>IF($A230="","",IF(COUNTIFS('Blackout Brand Fam Areas (Enc)'!$B$6:$B$998,$A230,'Blackout Brand Fam Areas (Enc)'!$C$6:$C$998,B$1,'Blackout Brand Fam Areas (Enc)'!$D$6:$D$998,"Inactive")&gt;0,"BLOCKED","CAN SELL"))</f>
        <v>CAN SELL</v>
      </c>
      <c r="C230" s="2" t="str">
        <f>IF($A230="","",IF(COUNTIFS('Blackout Brand Fam Areas (Enc)'!$B$6:$B$998,$A230,'Blackout Brand Fam Areas (Enc)'!$C$6:$C$998,C$1,'Blackout Brand Fam Areas (Enc)'!$D$6:$D$998,"Inactive")&gt;0,"BLOCKED","CAN SELL"))</f>
        <v>CAN SELL</v>
      </c>
      <c r="D230" s="2" t="str">
        <f>IF($A230="","",IF(COUNTIFS('Blackout Brand Fam Areas (Enc)'!$B$6:$B$998,$A230,'Blackout Brand Fam Areas (Enc)'!$C$6:$C$998,D$1,'Blackout Brand Fam Areas (Enc)'!$D$6:$D$998,"Inactive")&gt;0,"BLOCKED","CAN SELL"))</f>
        <v>CAN SELL</v>
      </c>
      <c r="E230" s="2" t="str">
        <f>IF($A230="","",IF(COUNTIFS('Blackout Brand Fam Areas (Enc)'!$B$6:$B$998,$A230,'Blackout Brand Fam Areas (Enc)'!$C$6:$C$998,E$1,'Blackout Brand Fam Areas (Enc)'!$D$6:$D$998,"Inactive")&gt;0,"BLOCKED","CAN SELL"))</f>
        <v>BLOCKED</v>
      </c>
      <c r="F230" s="2" t="str">
        <f>IF($A230="","",IF(COUNTIFS('Blackout Brand Fam Areas (Enc)'!$B$6:$B$998,$A230,'Blackout Brand Fam Areas (Enc)'!$C$6:$C$998,F$1,'Blackout Brand Fam Areas (Enc)'!$D$6:$D$998,"Inactive")&gt;0,"BLOCKED","CAN SELL"))</f>
        <v>BLOCKED</v>
      </c>
      <c r="G230" s="2" t="str">
        <f>IF($A230="","",IF(COUNTIFS('Blackout Brand Fam Areas (Enc)'!$B$6:$B$998,$A230,'Blackout Brand Fam Areas (Enc)'!$C$6:$C$998,G$1,'Blackout Brand Fam Areas (Enc)'!$D$6:$D$998,"Inactive")&gt;0,"BLOCKED","CAN SELL"))</f>
        <v>BLOCKED</v>
      </c>
      <c r="H230" s="2" t="str">
        <f>IF($A230="","",IF(COUNTIFS('Blackout Brand Fam Areas (Enc)'!$B$6:$B$998,$A230,'Blackout Brand Fam Areas (Enc)'!$C$6:$C$998,H$1,'Blackout Brand Fam Areas (Enc)'!$D$6:$D$998,"Inactive")&gt;0,"BLOCKED","CAN SELL"))</f>
        <v>CAN SELL</v>
      </c>
      <c r="I230" s="2" t="str">
        <f>IF($A230="","",IF(COUNTIFS('Blackout Brand Fam Areas (Enc)'!$B$6:$B$998,$A230,'Blackout Brand Fam Areas (Enc)'!$C$6:$C$998,I$1,'Blackout Brand Fam Areas (Enc)'!$D$6:$D$998,"Inactive")&gt;0,"BLOCKED","CAN SELL"))</f>
        <v>CAN SELL</v>
      </c>
      <c r="J230" s="2" t="str">
        <f>IF($A230="","",IF(COUNTIFS('Blackout Brand Fam Areas (Enc)'!$B$6:$B$998,$A230,'Blackout Brand Fam Areas (Enc)'!$C$6:$C$998,J$1,'Blackout Brand Fam Areas (Enc)'!$D$6:$D$998,"Inactive")&gt;0,"BLOCKED","CAN SELL"))</f>
        <v>BLOCKED</v>
      </c>
      <c r="K230" s="2" t="str">
        <f>IF($A230="","",IF(COUNTIFS('Blackout Brand Fam Areas (Enc)'!$B$6:$B$998,$A230,'Blackout Brand Fam Areas (Enc)'!$C$6:$C$998,K$1,'Blackout Brand Fam Areas (Enc)'!$D$6:$D$998,"Inactive")&gt;0,"BLOCKED","CAN SELL"))</f>
        <v>CAN SELL</v>
      </c>
    </row>
    <row r="231" spans="1:11" x14ac:dyDescent="0.2">
      <c r="A231" s="2" t="str">
        <v>Yuengling Hershey's Chocolate Porter</v>
      </c>
      <c r="B231" s="2" t="str">
        <f>IF($A231="","",IF(COUNTIFS('Blackout Brand Fam Areas (Enc)'!$B$6:$B$998,$A231,'Blackout Brand Fam Areas (Enc)'!$C$6:$C$998,B$1,'Blackout Brand Fam Areas (Enc)'!$D$6:$D$998,"Inactive")&gt;0,"BLOCKED","CAN SELL"))</f>
        <v>CAN SELL</v>
      </c>
      <c r="C231" s="2" t="str">
        <f>IF($A231="","",IF(COUNTIFS('Blackout Brand Fam Areas (Enc)'!$B$6:$B$998,$A231,'Blackout Brand Fam Areas (Enc)'!$C$6:$C$998,C$1,'Blackout Brand Fam Areas (Enc)'!$D$6:$D$998,"Inactive")&gt;0,"BLOCKED","CAN SELL"))</f>
        <v>CAN SELL</v>
      </c>
      <c r="D231" s="2" t="str">
        <f>IF($A231="","",IF(COUNTIFS('Blackout Brand Fam Areas (Enc)'!$B$6:$B$998,$A231,'Blackout Brand Fam Areas (Enc)'!$C$6:$C$998,D$1,'Blackout Brand Fam Areas (Enc)'!$D$6:$D$998,"Inactive")&gt;0,"BLOCKED","CAN SELL"))</f>
        <v>CAN SELL</v>
      </c>
      <c r="E231" s="2" t="str">
        <f>IF($A231="","",IF(COUNTIFS('Blackout Brand Fam Areas (Enc)'!$B$6:$B$998,$A231,'Blackout Brand Fam Areas (Enc)'!$C$6:$C$998,E$1,'Blackout Brand Fam Areas (Enc)'!$D$6:$D$998,"Inactive")&gt;0,"BLOCKED","CAN SELL"))</f>
        <v>BLOCKED</v>
      </c>
      <c r="F231" s="2" t="str">
        <f>IF($A231="","",IF(COUNTIFS('Blackout Brand Fam Areas (Enc)'!$B$6:$B$998,$A231,'Blackout Brand Fam Areas (Enc)'!$C$6:$C$998,F$1,'Blackout Brand Fam Areas (Enc)'!$D$6:$D$998,"Inactive")&gt;0,"BLOCKED","CAN SELL"))</f>
        <v>BLOCKED</v>
      </c>
      <c r="G231" s="2" t="str">
        <f>IF($A231="","",IF(COUNTIFS('Blackout Brand Fam Areas (Enc)'!$B$6:$B$998,$A231,'Blackout Brand Fam Areas (Enc)'!$C$6:$C$998,G$1,'Blackout Brand Fam Areas (Enc)'!$D$6:$D$998,"Inactive")&gt;0,"BLOCKED","CAN SELL"))</f>
        <v>BLOCKED</v>
      </c>
      <c r="H231" s="2" t="str">
        <f>IF($A231="","",IF(COUNTIFS('Blackout Brand Fam Areas (Enc)'!$B$6:$B$998,$A231,'Blackout Brand Fam Areas (Enc)'!$C$6:$C$998,H$1,'Blackout Brand Fam Areas (Enc)'!$D$6:$D$998,"Inactive")&gt;0,"BLOCKED","CAN SELL"))</f>
        <v>CAN SELL</v>
      </c>
      <c r="I231" s="2" t="str">
        <f>IF($A231="","",IF(COUNTIFS('Blackout Brand Fam Areas (Enc)'!$B$6:$B$998,$A231,'Blackout Brand Fam Areas (Enc)'!$C$6:$C$998,I$1,'Blackout Brand Fam Areas (Enc)'!$D$6:$D$998,"Inactive")&gt;0,"BLOCKED","CAN SELL"))</f>
        <v>CAN SELL</v>
      </c>
      <c r="J231" s="2" t="str">
        <f>IF($A231="","",IF(COUNTIFS('Blackout Brand Fam Areas (Enc)'!$B$6:$B$998,$A231,'Blackout Brand Fam Areas (Enc)'!$C$6:$C$998,J$1,'Blackout Brand Fam Areas (Enc)'!$D$6:$D$998,"Inactive")&gt;0,"BLOCKED","CAN SELL"))</f>
        <v>BLOCKED</v>
      </c>
      <c r="K231" s="2" t="str">
        <f>IF($A231="","",IF(COUNTIFS('Blackout Brand Fam Areas (Enc)'!$B$6:$B$998,$A231,'Blackout Brand Fam Areas (Enc)'!$C$6:$C$998,K$1,'Blackout Brand Fam Areas (Enc)'!$D$6:$D$998,"Inactive")&gt;0,"BLOCKED","CAN SELL"))</f>
        <v>CAN SELL</v>
      </c>
    </row>
    <row r="232" spans="1:11" x14ac:dyDescent="0.2">
      <c r="A232" s="2" t="str">
        <v>Yuengling Lager</v>
      </c>
      <c r="B232" s="2" t="str">
        <f>IF($A232="","",IF(COUNTIFS('Blackout Brand Fam Areas (Enc)'!$B$6:$B$998,$A232,'Blackout Brand Fam Areas (Enc)'!$C$6:$C$998,B$1,'Blackout Brand Fam Areas (Enc)'!$D$6:$D$998,"Inactive")&gt;0,"BLOCKED","CAN SELL"))</f>
        <v>CAN SELL</v>
      </c>
      <c r="C232" s="2" t="str">
        <f>IF($A232="","",IF(COUNTIFS('Blackout Brand Fam Areas (Enc)'!$B$6:$B$998,$A232,'Blackout Brand Fam Areas (Enc)'!$C$6:$C$998,C$1,'Blackout Brand Fam Areas (Enc)'!$D$6:$D$998,"Inactive")&gt;0,"BLOCKED","CAN SELL"))</f>
        <v>CAN SELL</v>
      </c>
      <c r="D232" s="2" t="str">
        <f>IF($A232="","",IF(COUNTIFS('Blackout Brand Fam Areas (Enc)'!$B$6:$B$998,$A232,'Blackout Brand Fam Areas (Enc)'!$C$6:$C$998,D$1,'Blackout Brand Fam Areas (Enc)'!$D$6:$D$998,"Inactive")&gt;0,"BLOCKED","CAN SELL"))</f>
        <v>CAN SELL</v>
      </c>
      <c r="E232" s="2" t="str">
        <f>IF($A232="","",IF(COUNTIFS('Blackout Brand Fam Areas (Enc)'!$B$6:$B$998,$A232,'Blackout Brand Fam Areas (Enc)'!$C$6:$C$998,E$1,'Blackout Brand Fam Areas (Enc)'!$D$6:$D$998,"Inactive")&gt;0,"BLOCKED","CAN SELL"))</f>
        <v>BLOCKED</v>
      </c>
      <c r="F232" s="2" t="str">
        <f>IF($A232="","",IF(COUNTIFS('Blackout Brand Fam Areas (Enc)'!$B$6:$B$998,$A232,'Blackout Brand Fam Areas (Enc)'!$C$6:$C$998,F$1,'Blackout Brand Fam Areas (Enc)'!$D$6:$D$998,"Inactive")&gt;0,"BLOCKED","CAN SELL"))</f>
        <v>BLOCKED</v>
      </c>
      <c r="G232" s="2" t="str">
        <f>IF($A232="","",IF(COUNTIFS('Blackout Brand Fam Areas (Enc)'!$B$6:$B$998,$A232,'Blackout Brand Fam Areas (Enc)'!$C$6:$C$998,G$1,'Blackout Brand Fam Areas (Enc)'!$D$6:$D$998,"Inactive")&gt;0,"BLOCKED","CAN SELL"))</f>
        <v>BLOCKED</v>
      </c>
      <c r="H232" s="2" t="str">
        <f>IF($A232="","",IF(COUNTIFS('Blackout Brand Fam Areas (Enc)'!$B$6:$B$998,$A232,'Blackout Brand Fam Areas (Enc)'!$C$6:$C$998,H$1,'Blackout Brand Fam Areas (Enc)'!$D$6:$D$998,"Inactive")&gt;0,"BLOCKED","CAN SELL"))</f>
        <v>CAN SELL</v>
      </c>
      <c r="I232" s="2" t="str">
        <f>IF($A232="","",IF(COUNTIFS('Blackout Brand Fam Areas (Enc)'!$B$6:$B$998,$A232,'Blackout Brand Fam Areas (Enc)'!$C$6:$C$998,I$1,'Blackout Brand Fam Areas (Enc)'!$D$6:$D$998,"Inactive")&gt;0,"BLOCKED","CAN SELL"))</f>
        <v>CAN SELL</v>
      </c>
      <c r="J232" s="2" t="str">
        <f>IF($A232="","",IF(COUNTIFS('Blackout Brand Fam Areas (Enc)'!$B$6:$B$998,$A232,'Blackout Brand Fam Areas (Enc)'!$C$6:$C$998,J$1,'Blackout Brand Fam Areas (Enc)'!$D$6:$D$998,"Inactive")&gt;0,"BLOCKED","CAN SELL"))</f>
        <v>BLOCKED</v>
      </c>
      <c r="K232" s="2" t="str">
        <f>IF($A232="","",IF(COUNTIFS('Blackout Brand Fam Areas (Enc)'!$B$6:$B$998,$A232,'Blackout Brand Fam Areas (Enc)'!$C$6:$C$998,K$1,'Blackout Brand Fam Areas (Enc)'!$D$6:$D$998,"Inactive")&gt;0,"BLOCKED","CAN SELL"))</f>
        <v>CAN SELL</v>
      </c>
    </row>
    <row r="233" spans="1:11" x14ac:dyDescent="0.2">
      <c r="A233" s="2" t="str">
        <v>Yuengling Light Lager</v>
      </c>
      <c r="B233" s="2" t="str">
        <f>IF($A233="","",IF(COUNTIFS('Blackout Brand Fam Areas (Enc)'!$B$6:$B$998,$A233,'Blackout Brand Fam Areas (Enc)'!$C$6:$C$998,B$1,'Blackout Brand Fam Areas (Enc)'!$D$6:$D$998,"Inactive")&gt;0,"BLOCKED","CAN SELL"))</f>
        <v>CAN SELL</v>
      </c>
      <c r="C233" s="2" t="str">
        <f>IF($A233="","",IF(COUNTIFS('Blackout Brand Fam Areas (Enc)'!$B$6:$B$998,$A233,'Blackout Brand Fam Areas (Enc)'!$C$6:$C$998,C$1,'Blackout Brand Fam Areas (Enc)'!$D$6:$D$998,"Inactive")&gt;0,"BLOCKED","CAN SELL"))</f>
        <v>CAN SELL</v>
      </c>
      <c r="D233" s="2" t="str">
        <f>IF($A233="","",IF(COUNTIFS('Blackout Brand Fam Areas (Enc)'!$B$6:$B$998,$A233,'Blackout Brand Fam Areas (Enc)'!$C$6:$C$998,D$1,'Blackout Brand Fam Areas (Enc)'!$D$6:$D$998,"Inactive")&gt;0,"BLOCKED","CAN SELL"))</f>
        <v>CAN SELL</v>
      </c>
      <c r="E233" s="2" t="str">
        <f>IF($A233="","",IF(COUNTIFS('Blackout Brand Fam Areas (Enc)'!$B$6:$B$998,$A233,'Blackout Brand Fam Areas (Enc)'!$C$6:$C$998,E$1,'Blackout Brand Fam Areas (Enc)'!$D$6:$D$998,"Inactive")&gt;0,"BLOCKED","CAN SELL"))</f>
        <v>BLOCKED</v>
      </c>
      <c r="F233" s="2" t="str">
        <f>IF($A233="","",IF(COUNTIFS('Blackout Brand Fam Areas (Enc)'!$B$6:$B$998,$A233,'Blackout Brand Fam Areas (Enc)'!$C$6:$C$998,F$1,'Blackout Brand Fam Areas (Enc)'!$D$6:$D$998,"Inactive")&gt;0,"BLOCKED","CAN SELL"))</f>
        <v>BLOCKED</v>
      </c>
      <c r="G233" s="2" t="str">
        <f>IF($A233="","",IF(COUNTIFS('Blackout Brand Fam Areas (Enc)'!$B$6:$B$998,$A233,'Blackout Brand Fam Areas (Enc)'!$C$6:$C$998,G$1,'Blackout Brand Fam Areas (Enc)'!$D$6:$D$998,"Inactive")&gt;0,"BLOCKED","CAN SELL"))</f>
        <v>BLOCKED</v>
      </c>
      <c r="H233" s="2" t="str">
        <f>IF($A233="","",IF(COUNTIFS('Blackout Brand Fam Areas (Enc)'!$B$6:$B$998,$A233,'Blackout Brand Fam Areas (Enc)'!$C$6:$C$998,H$1,'Blackout Brand Fam Areas (Enc)'!$D$6:$D$998,"Inactive")&gt;0,"BLOCKED","CAN SELL"))</f>
        <v>CAN SELL</v>
      </c>
      <c r="I233" s="2" t="str">
        <f>IF($A233="","",IF(COUNTIFS('Blackout Brand Fam Areas (Enc)'!$B$6:$B$998,$A233,'Blackout Brand Fam Areas (Enc)'!$C$6:$C$998,I$1,'Blackout Brand Fam Areas (Enc)'!$D$6:$D$998,"Inactive")&gt;0,"BLOCKED","CAN SELL"))</f>
        <v>CAN SELL</v>
      </c>
      <c r="J233" s="2" t="str">
        <f>IF($A233="","",IF(COUNTIFS('Blackout Brand Fam Areas (Enc)'!$B$6:$B$998,$A233,'Blackout Brand Fam Areas (Enc)'!$C$6:$C$998,J$1,'Blackout Brand Fam Areas (Enc)'!$D$6:$D$998,"Inactive")&gt;0,"BLOCKED","CAN SELL"))</f>
        <v>BLOCKED</v>
      </c>
      <c r="K233" s="2" t="str">
        <f>IF($A233="","",IF(COUNTIFS('Blackout Brand Fam Areas (Enc)'!$B$6:$B$998,$A233,'Blackout Brand Fam Areas (Enc)'!$C$6:$C$998,K$1,'Blackout Brand Fam Areas (Enc)'!$D$6:$D$998,"Inactive")&gt;0,"BLOCKED","CAN SELL"))</f>
        <v>CAN SELL</v>
      </c>
    </row>
    <row r="234" spans="1:11" x14ac:dyDescent="0.2">
      <c r="A234" s="2" t="str">
        <v>Yuengling Oktoberfest</v>
      </c>
      <c r="B234" s="2" t="str">
        <f>IF($A234="","",IF(COUNTIFS('Blackout Brand Fam Areas (Enc)'!$B$6:$B$998,$A234,'Blackout Brand Fam Areas (Enc)'!$C$6:$C$998,B$1,'Blackout Brand Fam Areas (Enc)'!$D$6:$D$998,"Inactive")&gt;0,"BLOCKED","CAN SELL"))</f>
        <v>CAN SELL</v>
      </c>
      <c r="C234" s="2" t="str">
        <f>IF($A234="","",IF(COUNTIFS('Blackout Brand Fam Areas (Enc)'!$B$6:$B$998,$A234,'Blackout Brand Fam Areas (Enc)'!$C$6:$C$998,C$1,'Blackout Brand Fam Areas (Enc)'!$D$6:$D$998,"Inactive")&gt;0,"BLOCKED","CAN SELL"))</f>
        <v>CAN SELL</v>
      </c>
      <c r="D234" s="2" t="str">
        <f>IF($A234="","",IF(COUNTIFS('Blackout Brand Fam Areas (Enc)'!$B$6:$B$998,$A234,'Blackout Brand Fam Areas (Enc)'!$C$6:$C$998,D$1,'Blackout Brand Fam Areas (Enc)'!$D$6:$D$998,"Inactive")&gt;0,"BLOCKED","CAN SELL"))</f>
        <v>CAN SELL</v>
      </c>
      <c r="E234" s="2" t="str">
        <f>IF($A234="","",IF(COUNTIFS('Blackout Brand Fam Areas (Enc)'!$B$6:$B$998,$A234,'Blackout Brand Fam Areas (Enc)'!$C$6:$C$998,E$1,'Blackout Brand Fam Areas (Enc)'!$D$6:$D$998,"Inactive")&gt;0,"BLOCKED","CAN SELL"))</f>
        <v>BLOCKED</v>
      </c>
      <c r="F234" s="2" t="str">
        <f>IF($A234="","",IF(COUNTIFS('Blackout Brand Fam Areas (Enc)'!$B$6:$B$998,$A234,'Blackout Brand Fam Areas (Enc)'!$C$6:$C$998,F$1,'Blackout Brand Fam Areas (Enc)'!$D$6:$D$998,"Inactive")&gt;0,"BLOCKED","CAN SELL"))</f>
        <v>BLOCKED</v>
      </c>
      <c r="G234" s="2" t="str">
        <f>IF($A234="","",IF(COUNTIFS('Blackout Brand Fam Areas (Enc)'!$B$6:$B$998,$A234,'Blackout Brand Fam Areas (Enc)'!$C$6:$C$998,G$1,'Blackout Brand Fam Areas (Enc)'!$D$6:$D$998,"Inactive")&gt;0,"BLOCKED","CAN SELL"))</f>
        <v>BLOCKED</v>
      </c>
      <c r="H234" s="2" t="str">
        <f>IF($A234="","",IF(COUNTIFS('Blackout Brand Fam Areas (Enc)'!$B$6:$B$998,$A234,'Blackout Brand Fam Areas (Enc)'!$C$6:$C$998,H$1,'Blackout Brand Fam Areas (Enc)'!$D$6:$D$998,"Inactive")&gt;0,"BLOCKED","CAN SELL"))</f>
        <v>CAN SELL</v>
      </c>
      <c r="I234" s="2" t="str">
        <f>IF($A234="","",IF(COUNTIFS('Blackout Brand Fam Areas (Enc)'!$B$6:$B$998,$A234,'Blackout Brand Fam Areas (Enc)'!$C$6:$C$998,I$1,'Blackout Brand Fam Areas (Enc)'!$D$6:$D$998,"Inactive")&gt;0,"BLOCKED","CAN SELL"))</f>
        <v>CAN SELL</v>
      </c>
      <c r="J234" s="2" t="str">
        <f>IF($A234="","",IF(COUNTIFS('Blackout Brand Fam Areas (Enc)'!$B$6:$B$998,$A234,'Blackout Brand Fam Areas (Enc)'!$C$6:$C$998,J$1,'Blackout Brand Fam Areas (Enc)'!$D$6:$D$998,"Inactive")&gt;0,"BLOCKED","CAN SELL"))</f>
        <v>BLOCKED</v>
      </c>
      <c r="K234" s="2" t="str">
        <f>IF($A234="","",IF(COUNTIFS('Blackout Brand Fam Areas (Enc)'!$B$6:$B$998,$A234,'Blackout Brand Fam Areas (Enc)'!$C$6:$C$998,K$1,'Blackout Brand Fam Areas (Enc)'!$D$6:$D$998,"Inactive")&gt;0,"BLOCKED","CAN SELL"))</f>
        <v>CAN SELL</v>
      </c>
    </row>
    <row r="235" spans="1:11" x14ac:dyDescent="0.2">
      <c r="A235" s="2" t="str">
        <v>Yuengling Premium</v>
      </c>
      <c r="B235" s="2" t="str">
        <f>IF($A235="","",IF(COUNTIFS('Blackout Brand Fam Areas (Enc)'!$B$6:$B$998,$A235,'Blackout Brand Fam Areas (Enc)'!$C$6:$C$998,B$1,'Blackout Brand Fam Areas (Enc)'!$D$6:$D$998,"Inactive")&gt;0,"BLOCKED","CAN SELL"))</f>
        <v>CAN SELL</v>
      </c>
      <c r="C235" s="2" t="str">
        <f>IF($A235="","",IF(COUNTIFS('Blackout Brand Fam Areas (Enc)'!$B$6:$B$998,$A235,'Blackout Brand Fam Areas (Enc)'!$C$6:$C$998,C$1,'Blackout Brand Fam Areas (Enc)'!$D$6:$D$998,"Inactive")&gt;0,"BLOCKED","CAN SELL"))</f>
        <v>CAN SELL</v>
      </c>
      <c r="D235" s="2" t="str">
        <f>IF($A235="","",IF(COUNTIFS('Blackout Brand Fam Areas (Enc)'!$B$6:$B$998,$A235,'Blackout Brand Fam Areas (Enc)'!$C$6:$C$998,D$1,'Blackout Brand Fam Areas (Enc)'!$D$6:$D$998,"Inactive")&gt;0,"BLOCKED","CAN SELL"))</f>
        <v>CAN SELL</v>
      </c>
      <c r="E235" s="2" t="str">
        <f>IF($A235="","",IF(COUNTIFS('Blackout Brand Fam Areas (Enc)'!$B$6:$B$998,$A235,'Blackout Brand Fam Areas (Enc)'!$C$6:$C$998,E$1,'Blackout Brand Fam Areas (Enc)'!$D$6:$D$998,"Inactive")&gt;0,"BLOCKED","CAN SELL"))</f>
        <v>BLOCKED</v>
      </c>
      <c r="F235" s="2" t="str">
        <f>IF($A235="","",IF(COUNTIFS('Blackout Brand Fam Areas (Enc)'!$B$6:$B$998,$A235,'Blackout Brand Fam Areas (Enc)'!$C$6:$C$998,F$1,'Blackout Brand Fam Areas (Enc)'!$D$6:$D$998,"Inactive")&gt;0,"BLOCKED","CAN SELL"))</f>
        <v>BLOCKED</v>
      </c>
      <c r="G235" s="2" t="str">
        <f>IF($A235="","",IF(COUNTIFS('Blackout Brand Fam Areas (Enc)'!$B$6:$B$998,$A235,'Blackout Brand Fam Areas (Enc)'!$C$6:$C$998,G$1,'Blackout Brand Fam Areas (Enc)'!$D$6:$D$998,"Inactive")&gt;0,"BLOCKED","CAN SELL"))</f>
        <v>BLOCKED</v>
      </c>
      <c r="H235" s="2" t="str">
        <f>IF($A235="","",IF(COUNTIFS('Blackout Brand Fam Areas (Enc)'!$B$6:$B$998,$A235,'Blackout Brand Fam Areas (Enc)'!$C$6:$C$998,H$1,'Blackout Brand Fam Areas (Enc)'!$D$6:$D$998,"Inactive")&gt;0,"BLOCKED","CAN SELL"))</f>
        <v>CAN SELL</v>
      </c>
      <c r="I235" s="2" t="str">
        <f>IF($A235="","",IF(COUNTIFS('Blackout Brand Fam Areas (Enc)'!$B$6:$B$998,$A235,'Blackout Brand Fam Areas (Enc)'!$C$6:$C$998,I$1,'Blackout Brand Fam Areas (Enc)'!$D$6:$D$998,"Inactive")&gt;0,"BLOCKED","CAN SELL"))</f>
        <v>CAN SELL</v>
      </c>
      <c r="J235" s="2" t="str">
        <f>IF($A235="","",IF(COUNTIFS('Blackout Brand Fam Areas (Enc)'!$B$6:$B$998,$A235,'Blackout Brand Fam Areas (Enc)'!$C$6:$C$998,J$1,'Blackout Brand Fam Areas (Enc)'!$D$6:$D$998,"Inactive")&gt;0,"BLOCKED","CAN SELL"))</f>
        <v>BLOCKED</v>
      </c>
      <c r="K235" s="2" t="str">
        <f>IF($A235="","",IF(COUNTIFS('Blackout Brand Fam Areas (Enc)'!$B$6:$B$998,$A235,'Blackout Brand Fam Areas (Enc)'!$C$6:$C$998,K$1,'Blackout Brand Fam Areas (Enc)'!$D$6:$D$998,"Inactive")&gt;0,"BLOCKED","CAN SELL"))</f>
        <v>CAN SELL</v>
      </c>
    </row>
    <row r="236" spans="1:11" x14ac:dyDescent="0.2">
      <c r="A236" s="2" t="str">
        <v>Yuengling Premium Light</v>
      </c>
      <c r="B236" s="2" t="str">
        <f>IF($A236="","",IF(COUNTIFS('Blackout Brand Fam Areas (Enc)'!$B$6:$B$998,$A236,'Blackout Brand Fam Areas (Enc)'!$C$6:$C$998,B$1,'Blackout Brand Fam Areas (Enc)'!$D$6:$D$998,"Inactive")&gt;0,"BLOCKED","CAN SELL"))</f>
        <v>CAN SELL</v>
      </c>
      <c r="C236" s="2" t="str">
        <f>IF($A236="","",IF(COUNTIFS('Blackout Brand Fam Areas (Enc)'!$B$6:$B$998,$A236,'Blackout Brand Fam Areas (Enc)'!$C$6:$C$998,C$1,'Blackout Brand Fam Areas (Enc)'!$D$6:$D$998,"Inactive")&gt;0,"BLOCKED","CAN SELL"))</f>
        <v>CAN SELL</v>
      </c>
      <c r="D236" s="2" t="str">
        <f>IF($A236="","",IF(COUNTIFS('Blackout Brand Fam Areas (Enc)'!$B$6:$B$998,$A236,'Blackout Brand Fam Areas (Enc)'!$C$6:$C$998,D$1,'Blackout Brand Fam Areas (Enc)'!$D$6:$D$998,"Inactive")&gt;0,"BLOCKED","CAN SELL"))</f>
        <v>CAN SELL</v>
      </c>
      <c r="E236" s="2" t="str">
        <f>IF($A236="","",IF(COUNTIFS('Blackout Brand Fam Areas (Enc)'!$B$6:$B$998,$A236,'Blackout Brand Fam Areas (Enc)'!$C$6:$C$998,E$1,'Blackout Brand Fam Areas (Enc)'!$D$6:$D$998,"Inactive")&gt;0,"BLOCKED","CAN SELL"))</f>
        <v>BLOCKED</v>
      </c>
      <c r="F236" s="2" t="str">
        <f>IF($A236="","",IF(COUNTIFS('Blackout Brand Fam Areas (Enc)'!$B$6:$B$998,$A236,'Blackout Brand Fam Areas (Enc)'!$C$6:$C$998,F$1,'Blackout Brand Fam Areas (Enc)'!$D$6:$D$998,"Inactive")&gt;0,"BLOCKED","CAN SELL"))</f>
        <v>BLOCKED</v>
      </c>
      <c r="G236" s="2" t="str">
        <f>IF($A236="","",IF(COUNTIFS('Blackout Brand Fam Areas (Enc)'!$B$6:$B$998,$A236,'Blackout Brand Fam Areas (Enc)'!$C$6:$C$998,G$1,'Blackout Brand Fam Areas (Enc)'!$D$6:$D$998,"Inactive")&gt;0,"BLOCKED","CAN SELL"))</f>
        <v>BLOCKED</v>
      </c>
      <c r="H236" s="2" t="str">
        <f>IF($A236="","",IF(COUNTIFS('Blackout Brand Fam Areas (Enc)'!$B$6:$B$998,$A236,'Blackout Brand Fam Areas (Enc)'!$C$6:$C$998,H$1,'Blackout Brand Fam Areas (Enc)'!$D$6:$D$998,"Inactive")&gt;0,"BLOCKED","CAN SELL"))</f>
        <v>CAN SELL</v>
      </c>
      <c r="I236" s="2" t="str">
        <f>IF($A236="","",IF(COUNTIFS('Blackout Brand Fam Areas (Enc)'!$B$6:$B$998,$A236,'Blackout Brand Fam Areas (Enc)'!$C$6:$C$998,I$1,'Blackout Brand Fam Areas (Enc)'!$D$6:$D$998,"Inactive")&gt;0,"BLOCKED","CAN SELL"))</f>
        <v>CAN SELL</v>
      </c>
      <c r="J236" s="2" t="str">
        <f>IF($A236="","",IF(COUNTIFS('Blackout Brand Fam Areas (Enc)'!$B$6:$B$998,$A236,'Blackout Brand Fam Areas (Enc)'!$C$6:$C$998,J$1,'Blackout Brand Fam Areas (Enc)'!$D$6:$D$998,"Inactive")&gt;0,"BLOCKED","CAN SELL"))</f>
        <v>BLOCKED</v>
      </c>
      <c r="K236" s="2" t="str">
        <f>IF($A236="","",IF(COUNTIFS('Blackout Brand Fam Areas (Enc)'!$B$6:$B$998,$A236,'Blackout Brand Fam Areas (Enc)'!$C$6:$C$998,K$1,'Blackout Brand Fam Areas (Enc)'!$D$6:$D$998,"Inactive")&gt;0,"BLOCKED","CAN SELL"))</f>
        <v>CAN SELL</v>
      </c>
    </row>
    <row r="237" spans="1:11" x14ac:dyDescent="0.2">
      <c r="A237" s="2" t="str">
        <v>Yuengling Raging Eagle</v>
      </c>
      <c r="B237" s="2" t="str">
        <f>IF($A237="","",IF(COUNTIFS('Blackout Brand Fam Areas (Enc)'!$B$6:$B$998,$A237,'Blackout Brand Fam Areas (Enc)'!$C$6:$C$998,B$1,'Blackout Brand Fam Areas (Enc)'!$D$6:$D$998,"Inactive")&gt;0,"BLOCKED","CAN SELL"))</f>
        <v>CAN SELL</v>
      </c>
      <c r="C237" s="2" t="str">
        <f>IF($A237="","",IF(COUNTIFS('Blackout Brand Fam Areas (Enc)'!$B$6:$B$998,$A237,'Blackout Brand Fam Areas (Enc)'!$C$6:$C$998,C$1,'Blackout Brand Fam Areas (Enc)'!$D$6:$D$998,"Inactive")&gt;0,"BLOCKED","CAN SELL"))</f>
        <v>CAN SELL</v>
      </c>
      <c r="D237" s="2" t="str">
        <f>IF($A237="","",IF(COUNTIFS('Blackout Brand Fam Areas (Enc)'!$B$6:$B$998,$A237,'Blackout Brand Fam Areas (Enc)'!$C$6:$C$998,D$1,'Blackout Brand Fam Areas (Enc)'!$D$6:$D$998,"Inactive")&gt;0,"BLOCKED","CAN SELL"))</f>
        <v>CAN SELL</v>
      </c>
      <c r="E237" s="2" t="str">
        <f>IF($A237="","",IF(COUNTIFS('Blackout Brand Fam Areas (Enc)'!$B$6:$B$998,$A237,'Blackout Brand Fam Areas (Enc)'!$C$6:$C$998,E$1,'Blackout Brand Fam Areas (Enc)'!$D$6:$D$998,"Inactive")&gt;0,"BLOCKED","CAN SELL"))</f>
        <v>BLOCKED</v>
      </c>
      <c r="F237" s="2" t="str">
        <f>IF($A237="","",IF(COUNTIFS('Blackout Brand Fam Areas (Enc)'!$B$6:$B$998,$A237,'Blackout Brand Fam Areas (Enc)'!$C$6:$C$998,F$1,'Blackout Brand Fam Areas (Enc)'!$D$6:$D$998,"Inactive")&gt;0,"BLOCKED","CAN SELL"))</f>
        <v>BLOCKED</v>
      </c>
      <c r="G237" s="2" t="str">
        <f>IF($A237="","",IF(COUNTIFS('Blackout Brand Fam Areas (Enc)'!$B$6:$B$998,$A237,'Blackout Brand Fam Areas (Enc)'!$C$6:$C$998,G$1,'Blackout Brand Fam Areas (Enc)'!$D$6:$D$998,"Inactive")&gt;0,"BLOCKED","CAN SELL"))</f>
        <v>BLOCKED</v>
      </c>
      <c r="H237" s="2" t="str">
        <f>IF($A237="","",IF(COUNTIFS('Blackout Brand Fam Areas (Enc)'!$B$6:$B$998,$A237,'Blackout Brand Fam Areas (Enc)'!$C$6:$C$998,H$1,'Blackout Brand Fam Areas (Enc)'!$D$6:$D$998,"Inactive")&gt;0,"BLOCKED","CAN SELL"))</f>
        <v>CAN SELL</v>
      </c>
      <c r="I237" s="2" t="str">
        <f>IF($A237="","",IF(COUNTIFS('Blackout Brand Fam Areas (Enc)'!$B$6:$B$998,$A237,'Blackout Brand Fam Areas (Enc)'!$C$6:$C$998,I$1,'Blackout Brand Fam Areas (Enc)'!$D$6:$D$998,"Inactive")&gt;0,"BLOCKED","CAN SELL"))</f>
        <v>CAN SELL</v>
      </c>
      <c r="J237" s="2" t="str">
        <f>IF($A237="","",IF(COUNTIFS('Blackout Brand Fam Areas (Enc)'!$B$6:$B$998,$A237,'Blackout Brand Fam Areas (Enc)'!$C$6:$C$998,J$1,'Blackout Brand Fam Areas (Enc)'!$D$6:$D$998,"Inactive")&gt;0,"BLOCKED","CAN SELL"))</f>
        <v>BLOCKED</v>
      </c>
      <c r="K237" s="2" t="str">
        <f>IF($A237="","",IF(COUNTIFS('Blackout Brand Fam Areas (Enc)'!$B$6:$B$998,$A237,'Blackout Brand Fam Areas (Enc)'!$C$6:$C$998,K$1,'Blackout Brand Fam Areas (Enc)'!$D$6:$D$998,"Inactive")&gt;0,"BLOCKED","CAN SELL"))</f>
        <v>CAN SELL</v>
      </c>
    </row>
    <row r="238" spans="1:11" x14ac:dyDescent="0.2">
      <c r="A238" s="2" t="str">
        <v>Zima</v>
      </c>
      <c r="B238" s="2" t="str">
        <f>IF($A238="","",IF(COUNTIFS('Blackout Brand Fam Areas (Enc)'!$B$6:$B$998,$A238,'Blackout Brand Fam Areas (Enc)'!$C$6:$C$998,B$1,'Blackout Brand Fam Areas (Enc)'!$D$6:$D$998,"Inactive")&gt;0,"BLOCKED","CAN SELL"))</f>
        <v>CAN SELL</v>
      </c>
      <c r="C238" s="2" t="str">
        <f>IF($A238="","",IF(COUNTIFS('Blackout Brand Fam Areas (Enc)'!$B$6:$B$998,$A238,'Blackout Brand Fam Areas (Enc)'!$C$6:$C$998,C$1,'Blackout Brand Fam Areas (Enc)'!$D$6:$D$998,"Inactive")&gt;0,"BLOCKED","CAN SELL"))</f>
        <v>CAN SELL</v>
      </c>
      <c r="D238" s="2" t="str">
        <f>IF($A238="","",IF(COUNTIFS('Blackout Brand Fam Areas (Enc)'!$B$6:$B$998,$A238,'Blackout Brand Fam Areas (Enc)'!$C$6:$C$998,D$1,'Blackout Brand Fam Areas (Enc)'!$D$6:$D$998,"Inactive")&gt;0,"BLOCKED","CAN SELL"))</f>
        <v>CAN SELL</v>
      </c>
      <c r="E238" s="2" t="str">
        <f>IF($A238="","",IF(COUNTIFS('Blackout Brand Fam Areas (Enc)'!$B$6:$B$998,$A238,'Blackout Brand Fam Areas (Enc)'!$C$6:$C$998,E$1,'Blackout Brand Fam Areas (Enc)'!$D$6:$D$998,"Inactive")&gt;0,"BLOCKED","CAN SELL"))</f>
        <v>BLOCKED</v>
      </c>
      <c r="F238" s="2" t="str">
        <f>IF($A238="","",IF(COUNTIFS('Blackout Brand Fam Areas (Enc)'!$B$6:$B$998,$A238,'Blackout Brand Fam Areas (Enc)'!$C$6:$C$998,F$1,'Blackout Brand Fam Areas (Enc)'!$D$6:$D$998,"Inactive")&gt;0,"BLOCKED","CAN SELL"))</f>
        <v>BLOCKED</v>
      </c>
      <c r="G238" s="2" t="str">
        <f>IF($A238="","",IF(COUNTIFS('Blackout Brand Fam Areas (Enc)'!$B$6:$B$998,$A238,'Blackout Brand Fam Areas (Enc)'!$C$6:$C$998,G$1,'Blackout Brand Fam Areas (Enc)'!$D$6:$D$998,"Inactive")&gt;0,"BLOCKED","CAN SELL"))</f>
        <v>BLOCKED</v>
      </c>
      <c r="H238" s="2" t="str">
        <f>IF($A238="","",IF(COUNTIFS('Blackout Brand Fam Areas (Enc)'!$B$6:$B$998,$A238,'Blackout Brand Fam Areas (Enc)'!$C$6:$C$998,H$1,'Blackout Brand Fam Areas (Enc)'!$D$6:$D$998,"Inactive")&gt;0,"BLOCKED","CAN SELL"))</f>
        <v>CAN SELL</v>
      </c>
      <c r="I238" s="2" t="str">
        <f>IF($A238="","",IF(COUNTIFS('Blackout Brand Fam Areas (Enc)'!$B$6:$B$998,$A238,'Blackout Brand Fam Areas (Enc)'!$C$6:$C$998,I$1,'Blackout Brand Fam Areas (Enc)'!$D$6:$D$998,"Inactive")&gt;0,"BLOCKED","CAN SELL"))</f>
        <v>CAN SELL</v>
      </c>
      <c r="J238" s="2" t="str">
        <f>IF($A238="","",IF(COUNTIFS('Blackout Brand Fam Areas (Enc)'!$B$6:$B$998,$A238,'Blackout Brand Fam Areas (Enc)'!$C$6:$C$998,J$1,'Blackout Brand Fam Areas (Enc)'!$D$6:$D$998,"Inactive")&gt;0,"BLOCKED","CAN SELL"))</f>
        <v>BLOCKED</v>
      </c>
      <c r="K238" s="2" t="str">
        <f>IF($A238="","",IF(COUNTIFS('Blackout Brand Fam Areas (Enc)'!$B$6:$B$998,$A238,'Blackout Brand Fam Areas (Enc)'!$C$6:$C$998,K$1,'Blackout Brand Fam Areas (Enc)'!$D$6:$D$998,"Inactive")&gt;0,"BLOCKED","CAN SELL"))</f>
        <v>CAN SELL</v>
      </c>
    </row>
    <row r="239" spans="1:11" x14ac:dyDescent="0.2">
      <c r="B239" s="2" t="str">
        <f>IF($A239="","",IF(COUNTIFS('Blackout Brand Fam Areas (Enc)'!$B$6:$B$998,$A239,'Blackout Brand Fam Areas (Enc)'!$C$6:$C$998,B$1,'Blackout Brand Fam Areas (Enc)'!$D$6:$D$998,"Inactive")&gt;0,"BLOCKED","CAN SELL"))</f>
        <v/>
      </c>
      <c r="C239" s="2" t="str">
        <f>IF($A239="","",IF(COUNTIFS('Blackout Brand Fam Areas (Enc)'!$B$6:$B$998,$A239,'Blackout Brand Fam Areas (Enc)'!$C$6:$C$998,C$1,'Blackout Brand Fam Areas (Enc)'!$D$6:$D$998,"Inactive")&gt;0,"BLOCKED","CAN SELL"))</f>
        <v/>
      </c>
      <c r="D239" s="2" t="str">
        <f>IF($A239="","",IF(COUNTIFS('Blackout Brand Fam Areas (Enc)'!$B$6:$B$998,$A239,'Blackout Brand Fam Areas (Enc)'!$C$6:$C$998,D$1,'Blackout Brand Fam Areas (Enc)'!$D$6:$D$998,"Inactive")&gt;0,"BLOCKED","CAN SELL"))</f>
        <v/>
      </c>
      <c r="E239" s="2" t="str">
        <f>IF($A239="","",IF(COUNTIFS('Blackout Brand Fam Areas (Enc)'!$B$6:$B$998,$A239,'Blackout Brand Fam Areas (Enc)'!$C$6:$C$998,E$1,'Blackout Brand Fam Areas (Enc)'!$D$6:$D$998,"Inactive")&gt;0,"BLOCKED","CAN SELL"))</f>
        <v/>
      </c>
      <c r="F239" s="2" t="str">
        <f>IF($A239="","",IF(COUNTIFS('Blackout Brand Fam Areas (Enc)'!$B$6:$B$998,$A239,'Blackout Brand Fam Areas (Enc)'!$C$6:$C$998,F$1,'Blackout Brand Fam Areas (Enc)'!$D$6:$D$998,"Inactive")&gt;0,"BLOCKED","CAN SELL"))</f>
        <v/>
      </c>
      <c r="G239" s="2" t="str">
        <f>IF($A239="","",IF(COUNTIFS('Blackout Brand Fam Areas (Enc)'!$B$6:$B$998,$A239,'Blackout Brand Fam Areas (Enc)'!$C$6:$C$998,G$1,'Blackout Brand Fam Areas (Enc)'!$D$6:$D$998,"Inactive")&gt;0,"BLOCKED","CAN SELL"))</f>
        <v/>
      </c>
      <c r="H239" s="2" t="str">
        <f>IF($A239="","",IF(COUNTIFS('Blackout Brand Fam Areas (Enc)'!$B$6:$B$998,$A239,'Blackout Brand Fam Areas (Enc)'!$C$6:$C$998,H$1,'Blackout Brand Fam Areas (Enc)'!$D$6:$D$998,"Inactive")&gt;0,"BLOCKED","CAN SELL"))</f>
        <v/>
      </c>
      <c r="I239" s="2" t="str">
        <f>IF($A239="","",IF(COUNTIFS('Blackout Brand Fam Areas (Enc)'!$B$6:$B$998,$A239,'Blackout Brand Fam Areas (Enc)'!$C$6:$C$998,I$1,'Blackout Brand Fam Areas (Enc)'!$D$6:$D$998,"Inactive")&gt;0,"BLOCKED","CAN SELL"))</f>
        <v/>
      </c>
      <c r="J239" s="2" t="str">
        <f>IF($A239="","",IF(COUNTIFS('Blackout Brand Fam Areas (Enc)'!$B$6:$B$998,$A239,'Blackout Brand Fam Areas (Enc)'!$C$6:$C$998,J$1,'Blackout Brand Fam Areas (Enc)'!$D$6:$D$998,"Inactive")&gt;0,"BLOCKED","CAN SELL"))</f>
        <v/>
      </c>
      <c r="K239" s="2" t="str">
        <f>IF($A239="","",IF(COUNTIFS('Blackout Brand Fam Areas (Enc)'!$B$6:$B$998,$A239,'Blackout Brand Fam Areas (Enc)'!$C$6:$C$998,K$1,'Blackout Brand Fam Areas (Enc)'!$D$6:$D$998,"Inactive")&gt;0,"BLOCKED","CAN SELL"))</f>
        <v/>
      </c>
    </row>
    <row r="240" spans="1:11" x14ac:dyDescent="0.2">
      <c r="B240" s="2" t="str">
        <f>IF($A240="","",IF(COUNTIFS('Blackout Brand Fam Areas (Enc)'!$B$6:$B$998,$A240,'Blackout Brand Fam Areas (Enc)'!$C$6:$C$998,B$1,'Blackout Brand Fam Areas (Enc)'!$D$6:$D$998,"Inactive")&gt;0,"BLOCKED","CAN SELL"))</f>
        <v/>
      </c>
      <c r="C240" s="2" t="str">
        <f>IF($A240="","",IF(COUNTIFS('Blackout Brand Fam Areas (Enc)'!$B$6:$B$998,$A240,'Blackout Brand Fam Areas (Enc)'!$C$6:$C$998,C$1,'Blackout Brand Fam Areas (Enc)'!$D$6:$D$998,"Inactive")&gt;0,"BLOCKED","CAN SELL"))</f>
        <v/>
      </c>
      <c r="D240" s="2" t="str">
        <f>IF($A240="","",IF(COUNTIFS('Blackout Brand Fam Areas (Enc)'!$B$6:$B$998,$A240,'Blackout Brand Fam Areas (Enc)'!$C$6:$C$998,D$1,'Blackout Brand Fam Areas (Enc)'!$D$6:$D$998,"Inactive")&gt;0,"BLOCKED","CAN SELL"))</f>
        <v/>
      </c>
      <c r="E240" s="2" t="str">
        <f>IF($A240="","",IF(COUNTIFS('Blackout Brand Fam Areas (Enc)'!$B$6:$B$998,$A240,'Blackout Brand Fam Areas (Enc)'!$C$6:$C$998,E$1,'Blackout Brand Fam Areas (Enc)'!$D$6:$D$998,"Inactive")&gt;0,"BLOCKED","CAN SELL"))</f>
        <v/>
      </c>
      <c r="F240" s="2" t="str">
        <f>IF($A240="","",IF(COUNTIFS('Blackout Brand Fam Areas (Enc)'!$B$6:$B$998,$A240,'Blackout Brand Fam Areas (Enc)'!$C$6:$C$998,F$1,'Blackout Brand Fam Areas (Enc)'!$D$6:$D$998,"Inactive")&gt;0,"BLOCKED","CAN SELL"))</f>
        <v/>
      </c>
      <c r="G240" s="2" t="str">
        <f>IF($A240="","",IF(COUNTIFS('Blackout Brand Fam Areas (Enc)'!$B$6:$B$998,$A240,'Blackout Brand Fam Areas (Enc)'!$C$6:$C$998,G$1,'Blackout Brand Fam Areas (Enc)'!$D$6:$D$998,"Inactive")&gt;0,"BLOCKED","CAN SELL"))</f>
        <v/>
      </c>
      <c r="H240" s="2" t="str">
        <f>IF($A240="","",IF(COUNTIFS('Blackout Brand Fam Areas (Enc)'!$B$6:$B$998,$A240,'Blackout Brand Fam Areas (Enc)'!$C$6:$C$998,H$1,'Blackout Brand Fam Areas (Enc)'!$D$6:$D$998,"Inactive")&gt;0,"BLOCKED","CAN SELL"))</f>
        <v/>
      </c>
      <c r="I240" s="2" t="str">
        <f>IF($A240="","",IF(COUNTIFS('Blackout Brand Fam Areas (Enc)'!$B$6:$B$998,$A240,'Blackout Brand Fam Areas (Enc)'!$C$6:$C$998,I$1,'Blackout Brand Fam Areas (Enc)'!$D$6:$D$998,"Inactive")&gt;0,"BLOCKED","CAN SELL"))</f>
        <v/>
      </c>
      <c r="J240" s="2" t="str">
        <f>IF($A240="","",IF(COUNTIFS('Blackout Brand Fam Areas (Enc)'!$B$6:$B$998,$A240,'Blackout Brand Fam Areas (Enc)'!$C$6:$C$998,J$1,'Blackout Brand Fam Areas (Enc)'!$D$6:$D$998,"Inactive")&gt;0,"BLOCKED","CAN SELL"))</f>
        <v/>
      </c>
      <c r="K240" s="2" t="str">
        <f>IF($A240="","",IF(COUNTIFS('Blackout Brand Fam Areas (Enc)'!$B$6:$B$998,$A240,'Blackout Brand Fam Areas (Enc)'!$C$6:$C$998,K$1,'Blackout Brand Fam Areas (Enc)'!$D$6:$D$998,"Inactive")&gt;0,"BLOCKED","CAN SELL"))</f>
        <v/>
      </c>
    </row>
    <row r="241" spans="2:11" x14ac:dyDescent="0.2">
      <c r="B241" s="2" t="str">
        <f>IF($A241="","",IF(COUNTIFS('Blackout Brand Fam Areas (Enc)'!$B$6:$B$998,$A241,'Blackout Brand Fam Areas (Enc)'!$C$6:$C$998,B$1,'Blackout Brand Fam Areas (Enc)'!$D$6:$D$998,"Inactive")&gt;0,"BLOCKED","CAN SELL"))</f>
        <v/>
      </c>
      <c r="C241" s="2" t="str">
        <f>IF($A241="","",IF(COUNTIFS('Blackout Brand Fam Areas (Enc)'!$B$6:$B$998,$A241,'Blackout Brand Fam Areas (Enc)'!$C$6:$C$998,C$1,'Blackout Brand Fam Areas (Enc)'!$D$6:$D$998,"Inactive")&gt;0,"BLOCKED","CAN SELL"))</f>
        <v/>
      </c>
      <c r="D241" s="2" t="str">
        <f>IF($A241="","",IF(COUNTIFS('Blackout Brand Fam Areas (Enc)'!$B$6:$B$998,$A241,'Blackout Brand Fam Areas (Enc)'!$C$6:$C$998,D$1,'Blackout Brand Fam Areas (Enc)'!$D$6:$D$998,"Inactive")&gt;0,"BLOCKED","CAN SELL"))</f>
        <v/>
      </c>
      <c r="E241" s="2" t="str">
        <f>IF($A241="","",IF(COUNTIFS('Blackout Brand Fam Areas (Enc)'!$B$6:$B$998,$A241,'Blackout Brand Fam Areas (Enc)'!$C$6:$C$998,E$1,'Blackout Brand Fam Areas (Enc)'!$D$6:$D$998,"Inactive")&gt;0,"BLOCKED","CAN SELL"))</f>
        <v/>
      </c>
      <c r="F241" s="2" t="str">
        <f>IF($A241="","",IF(COUNTIFS('Blackout Brand Fam Areas (Enc)'!$B$6:$B$998,$A241,'Blackout Brand Fam Areas (Enc)'!$C$6:$C$998,F$1,'Blackout Brand Fam Areas (Enc)'!$D$6:$D$998,"Inactive")&gt;0,"BLOCKED","CAN SELL"))</f>
        <v/>
      </c>
      <c r="G241" s="2" t="str">
        <f>IF($A241="","",IF(COUNTIFS('Blackout Brand Fam Areas (Enc)'!$B$6:$B$998,$A241,'Blackout Brand Fam Areas (Enc)'!$C$6:$C$998,G$1,'Blackout Brand Fam Areas (Enc)'!$D$6:$D$998,"Inactive")&gt;0,"BLOCKED","CAN SELL"))</f>
        <v/>
      </c>
      <c r="H241" s="2" t="str">
        <f>IF($A241="","",IF(COUNTIFS('Blackout Brand Fam Areas (Enc)'!$B$6:$B$998,$A241,'Blackout Brand Fam Areas (Enc)'!$C$6:$C$998,H$1,'Blackout Brand Fam Areas (Enc)'!$D$6:$D$998,"Inactive")&gt;0,"BLOCKED","CAN SELL"))</f>
        <v/>
      </c>
      <c r="I241" s="2" t="str">
        <f>IF($A241="","",IF(COUNTIFS('Blackout Brand Fam Areas (Enc)'!$B$6:$B$998,$A241,'Blackout Brand Fam Areas (Enc)'!$C$6:$C$998,I$1,'Blackout Brand Fam Areas (Enc)'!$D$6:$D$998,"Inactive")&gt;0,"BLOCKED","CAN SELL"))</f>
        <v/>
      </c>
      <c r="J241" s="2" t="str">
        <f>IF($A241="","",IF(COUNTIFS('Blackout Brand Fam Areas (Enc)'!$B$6:$B$998,$A241,'Blackout Brand Fam Areas (Enc)'!$C$6:$C$998,J$1,'Blackout Brand Fam Areas (Enc)'!$D$6:$D$998,"Inactive")&gt;0,"BLOCKED","CAN SELL"))</f>
        <v/>
      </c>
      <c r="K241" s="2" t="str">
        <f>IF($A241="","",IF(COUNTIFS('Blackout Brand Fam Areas (Enc)'!$B$6:$B$998,$A241,'Blackout Brand Fam Areas (Enc)'!$C$6:$C$998,K$1,'Blackout Brand Fam Areas (Enc)'!$D$6:$D$998,"Inactive")&gt;0,"BLOCKED","CAN SELL"))</f>
        <v/>
      </c>
    </row>
    <row r="242" spans="2:11" x14ac:dyDescent="0.2">
      <c r="B242" s="2" t="str">
        <f>IF($A242="","",IF(COUNTIFS('Blackout Brand Fam Areas (Enc)'!$B$6:$B$998,$A242,'Blackout Brand Fam Areas (Enc)'!$C$6:$C$998,B$1,'Blackout Brand Fam Areas (Enc)'!$D$6:$D$998,"Inactive")&gt;0,"BLOCKED","CAN SELL"))</f>
        <v/>
      </c>
      <c r="C242" s="2" t="str">
        <f>IF($A242="","",IF(COUNTIFS('Blackout Brand Fam Areas (Enc)'!$B$6:$B$998,$A242,'Blackout Brand Fam Areas (Enc)'!$C$6:$C$998,C$1,'Blackout Brand Fam Areas (Enc)'!$D$6:$D$998,"Inactive")&gt;0,"BLOCKED","CAN SELL"))</f>
        <v/>
      </c>
      <c r="D242" s="2" t="str">
        <f>IF($A242="","",IF(COUNTIFS('Blackout Brand Fam Areas (Enc)'!$B$6:$B$998,$A242,'Blackout Brand Fam Areas (Enc)'!$C$6:$C$998,D$1,'Blackout Brand Fam Areas (Enc)'!$D$6:$D$998,"Inactive")&gt;0,"BLOCKED","CAN SELL"))</f>
        <v/>
      </c>
      <c r="E242" s="2" t="str">
        <f>IF($A242="","",IF(COUNTIFS('Blackout Brand Fam Areas (Enc)'!$B$6:$B$998,$A242,'Blackout Brand Fam Areas (Enc)'!$C$6:$C$998,E$1,'Blackout Brand Fam Areas (Enc)'!$D$6:$D$998,"Inactive")&gt;0,"BLOCKED","CAN SELL"))</f>
        <v/>
      </c>
      <c r="F242" s="2" t="str">
        <f>IF($A242="","",IF(COUNTIFS('Blackout Brand Fam Areas (Enc)'!$B$6:$B$998,$A242,'Blackout Brand Fam Areas (Enc)'!$C$6:$C$998,F$1,'Blackout Brand Fam Areas (Enc)'!$D$6:$D$998,"Inactive")&gt;0,"BLOCKED","CAN SELL"))</f>
        <v/>
      </c>
      <c r="G242" s="2" t="str">
        <f>IF($A242="","",IF(COUNTIFS('Blackout Brand Fam Areas (Enc)'!$B$6:$B$998,$A242,'Blackout Brand Fam Areas (Enc)'!$C$6:$C$998,G$1,'Blackout Brand Fam Areas (Enc)'!$D$6:$D$998,"Inactive")&gt;0,"BLOCKED","CAN SELL"))</f>
        <v/>
      </c>
      <c r="H242" s="2" t="str">
        <f>IF($A242="","",IF(COUNTIFS('Blackout Brand Fam Areas (Enc)'!$B$6:$B$998,$A242,'Blackout Brand Fam Areas (Enc)'!$C$6:$C$998,H$1,'Blackout Brand Fam Areas (Enc)'!$D$6:$D$998,"Inactive")&gt;0,"BLOCKED","CAN SELL"))</f>
        <v/>
      </c>
      <c r="I242" s="2" t="str">
        <f>IF($A242="","",IF(COUNTIFS('Blackout Brand Fam Areas (Enc)'!$B$6:$B$998,$A242,'Blackout Brand Fam Areas (Enc)'!$C$6:$C$998,I$1,'Blackout Brand Fam Areas (Enc)'!$D$6:$D$998,"Inactive")&gt;0,"BLOCKED","CAN SELL"))</f>
        <v/>
      </c>
      <c r="J242" s="2" t="str">
        <f>IF($A242="","",IF(COUNTIFS('Blackout Brand Fam Areas (Enc)'!$B$6:$B$998,$A242,'Blackout Brand Fam Areas (Enc)'!$C$6:$C$998,J$1,'Blackout Brand Fam Areas (Enc)'!$D$6:$D$998,"Inactive")&gt;0,"BLOCKED","CAN SELL"))</f>
        <v/>
      </c>
      <c r="K242" s="2" t="str">
        <f>IF($A242="","",IF(COUNTIFS('Blackout Brand Fam Areas (Enc)'!$B$6:$B$998,$A242,'Blackout Brand Fam Areas (Enc)'!$C$6:$C$998,K$1,'Blackout Brand Fam Areas (Enc)'!$D$6:$D$998,"Inactive")&gt;0,"BLOCKED","CAN SELL"))</f>
        <v/>
      </c>
    </row>
    <row r="243" spans="2:11" x14ac:dyDescent="0.2">
      <c r="B243" s="2" t="str">
        <f>IF($A243="","",IF(COUNTIFS('Blackout Brand Fam Areas (Enc)'!$B$6:$B$998,$A243,'Blackout Brand Fam Areas (Enc)'!$C$6:$C$998,B$1,'Blackout Brand Fam Areas (Enc)'!$D$6:$D$998,"Inactive")&gt;0,"BLOCKED","CAN SELL"))</f>
        <v/>
      </c>
      <c r="C243" s="2" t="str">
        <f>IF($A243="","",IF(COUNTIFS('Blackout Brand Fam Areas (Enc)'!$B$6:$B$998,$A243,'Blackout Brand Fam Areas (Enc)'!$C$6:$C$998,C$1,'Blackout Brand Fam Areas (Enc)'!$D$6:$D$998,"Inactive")&gt;0,"BLOCKED","CAN SELL"))</f>
        <v/>
      </c>
      <c r="D243" s="2" t="str">
        <f>IF($A243="","",IF(COUNTIFS('Blackout Brand Fam Areas (Enc)'!$B$6:$B$998,$A243,'Blackout Brand Fam Areas (Enc)'!$C$6:$C$998,D$1,'Blackout Brand Fam Areas (Enc)'!$D$6:$D$998,"Inactive")&gt;0,"BLOCKED","CAN SELL"))</f>
        <v/>
      </c>
      <c r="E243" s="2" t="str">
        <f>IF($A243="","",IF(COUNTIFS('Blackout Brand Fam Areas (Enc)'!$B$6:$B$998,$A243,'Blackout Brand Fam Areas (Enc)'!$C$6:$C$998,E$1,'Blackout Brand Fam Areas (Enc)'!$D$6:$D$998,"Inactive")&gt;0,"BLOCKED","CAN SELL"))</f>
        <v/>
      </c>
      <c r="F243" s="2" t="str">
        <f>IF($A243="","",IF(COUNTIFS('Blackout Brand Fam Areas (Enc)'!$B$6:$B$998,$A243,'Blackout Brand Fam Areas (Enc)'!$C$6:$C$998,F$1,'Blackout Brand Fam Areas (Enc)'!$D$6:$D$998,"Inactive")&gt;0,"BLOCKED","CAN SELL"))</f>
        <v/>
      </c>
      <c r="G243" s="2" t="str">
        <f>IF($A243="","",IF(COUNTIFS('Blackout Brand Fam Areas (Enc)'!$B$6:$B$998,$A243,'Blackout Brand Fam Areas (Enc)'!$C$6:$C$998,G$1,'Blackout Brand Fam Areas (Enc)'!$D$6:$D$998,"Inactive")&gt;0,"BLOCKED","CAN SELL"))</f>
        <v/>
      </c>
      <c r="H243" s="2" t="str">
        <f>IF($A243="","",IF(COUNTIFS('Blackout Brand Fam Areas (Enc)'!$B$6:$B$998,$A243,'Blackout Brand Fam Areas (Enc)'!$C$6:$C$998,H$1,'Blackout Brand Fam Areas (Enc)'!$D$6:$D$998,"Inactive")&gt;0,"BLOCKED","CAN SELL"))</f>
        <v/>
      </c>
      <c r="I243" s="2" t="str">
        <f>IF($A243="","",IF(COUNTIFS('Blackout Brand Fam Areas (Enc)'!$B$6:$B$998,$A243,'Blackout Brand Fam Areas (Enc)'!$C$6:$C$998,I$1,'Blackout Brand Fam Areas (Enc)'!$D$6:$D$998,"Inactive")&gt;0,"BLOCKED","CAN SELL"))</f>
        <v/>
      </c>
      <c r="J243" s="2" t="str">
        <f>IF($A243="","",IF(COUNTIFS('Blackout Brand Fam Areas (Enc)'!$B$6:$B$998,$A243,'Blackout Brand Fam Areas (Enc)'!$C$6:$C$998,J$1,'Blackout Brand Fam Areas (Enc)'!$D$6:$D$998,"Inactive")&gt;0,"BLOCKED","CAN SELL"))</f>
        <v/>
      </c>
      <c r="K243" s="2" t="str">
        <f>IF($A243="","",IF(COUNTIFS('Blackout Brand Fam Areas (Enc)'!$B$6:$B$998,$A243,'Blackout Brand Fam Areas (Enc)'!$C$6:$C$998,K$1,'Blackout Brand Fam Areas (Enc)'!$D$6:$D$998,"Inactive")&gt;0,"BLOCKED","CAN SELL"))</f>
        <v/>
      </c>
    </row>
    <row r="244" spans="2:11" x14ac:dyDescent="0.2">
      <c r="B244" s="2" t="str">
        <f>IF($A244="","",IF(COUNTIFS('Blackout Brand Fam Areas (Enc)'!$B$6:$B$998,$A244,'Blackout Brand Fam Areas (Enc)'!$C$6:$C$998,B$1,'Blackout Brand Fam Areas (Enc)'!$D$6:$D$998,"Inactive")&gt;0,"BLOCKED","CAN SELL"))</f>
        <v/>
      </c>
      <c r="C244" s="2" t="str">
        <f>IF($A244="","",IF(COUNTIFS('Blackout Brand Fam Areas (Enc)'!$B$6:$B$998,$A244,'Blackout Brand Fam Areas (Enc)'!$C$6:$C$998,C$1,'Blackout Brand Fam Areas (Enc)'!$D$6:$D$998,"Inactive")&gt;0,"BLOCKED","CAN SELL"))</f>
        <v/>
      </c>
      <c r="D244" s="2" t="str">
        <f>IF($A244="","",IF(COUNTIFS('Blackout Brand Fam Areas (Enc)'!$B$6:$B$998,$A244,'Blackout Brand Fam Areas (Enc)'!$C$6:$C$998,D$1,'Blackout Brand Fam Areas (Enc)'!$D$6:$D$998,"Inactive")&gt;0,"BLOCKED","CAN SELL"))</f>
        <v/>
      </c>
      <c r="E244" s="2" t="str">
        <f>IF($A244="","",IF(COUNTIFS('Blackout Brand Fam Areas (Enc)'!$B$6:$B$998,$A244,'Blackout Brand Fam Areas (Enc)'!$C$6:$C$998,E$1,'Blackout Brand Fam Areas (Enc)'!$D$6:$D$998,"Inactive")&gt;0,"BLOCKED","CAN SELL"))</f>
        <v/>
      </c>
      <c r="F244" s="2" t="str">
        <f>IF($A244="","",IF(COUNTIFS('Blackout Brand Fam Areas (Enc)'!$B$6:$B$998,$A244,'Blackout Brand Fam Areas (Enc)'!$C$6:$C$998,F$1,'Blackout Brand Fam Areas (Enc)'!$D$6:$D$998,"Inactive")&gt;0,"BLOCKED","CAN SELL"))</f>
        <v/>
      </c>
      <c r="G244" s="2" t="str">
        <f>IF($A244="","",IF(COUNTIFS('Blackout Brand Fam Areas (Enc)'!$B$6:$B$998,$A244,'Blackout Brand Fam Areas (Enc)'!$C$6:$C$998,G$1,'Blackout Brand Fam Areas (Enc)'!$D$6:$D$998,"Inactive")&gt;0,"BLOCKED","CAN SELL"))</f>
        <v/>
      </c>
      <c r="H244" s="2" t="str">
        <f>IF($A244="","",IF(COUNTIFS('Blackout Brand Fam Areas (Enc)'!$B$6:$B$998,$A244,'Blackout Brand Fam Areas (Enc)'!$C$6:$C$998,H$1,'Blackout Brand Fam Areas (Enc)'!$D$6:$D$998,"Inactive")&gt;0,"BLOCKED","CAN SELL"))</f>
        <v/>
      </c>
      <c r="I244" s="2" t="str">
        <f>IF($A244="","",IF(COUNTIFS('Blackout Brand Fam Areas (Enc)'!$B$6:$B$998,$A244,'Blackout Brand Fam Areas (Enc)'!$C$6:$C$998,I$1,'Blackout Brand Fam Areas (Enc)'!$D$6:$D$998,"Inactive")&gt;0,"BLOCKED","CAN SELL"))</f>
        <v/>
      </c>
      <c r="J244" s="2" t="str">
        <f>IF($A244="","",IF(COUNTIFS('Blackout Brand Fam Areas (Enc)'!$B$6:$B$998,$A244,'Blackout Brand Fam Areas (Enc)'!$C$6:$C$998,J$1,'Blackout Brand Fam Areas (Enc)'!$D$6:$D$998,"Inactive")&gt;0,"BLOCKED","CAN SELL"))</f>
        <v/>
      </c>
      <c r="K244" s="2" t="str">
        <f>IF($A244="","",IF(COUNTIFS('Blackout Brand Fam Areas (Enc)'!$B$6:$B$998,$A244,'Blackout Brand Fam Areas (Enc)'!$C$6:$C$998,K$1,'Blackout Brand Fam Areas (Enc)'!$D$6:$D$998,"Inactive")&gt;0,"BLOCKED","CAN SELL"))</f>
        <v/>
      </c>
    </row>
    <row r="245" spans="2:11" x14ac:dyDescent="0.2">
      <c r="B245" s="2" t="str">
        <f>IF($A245="","",IF(COUNTIFS('Blackout Brand Fam Areas (Enc)'!$B$6:$B$998,$A245,'Blackout Brand Fam Areas (Enc)'!$C$6:$C$998,B$1,'Blackout Brand Fam Areas (Enc)'!$D$6:$D$998,"Inactive")&gt;0,"BLOCKED","CAN SELL"))</f>
        <v/>
      </c>
      <c r="C245" s="2" t="str">
        <f>IF($A245="","",IF(COUNTIFS('Blackout Brand Fam Areas (Enc)'!$B$6:$B$998,$A245,'Blackout Brand Fam Areas (Enc)'!$C$6:$C$998,C$1,'Blackout Brand Fam Areas (Enc)'!$D$6:$D$998,"Inactive")&gt;0,"BLOCKED","CAN SELL"))</f>
        <v/>
      </c>
      <c r="D245" s="2" t="str">
        <f>IF($A245="","",IF(COUNTIFS('Blackout Brand Fam Areas (Enc)'!$B$6:$B$998,$A245,'Blackout Brand Fam Areas (Enc)'!$C$6:$C$998,D$1,'Blackout Brand Fam Areas (Enc)'!$D$6:$D$998,"Inactive")&gt;0,"BLOCKED","CAN SELL"))</f>
        <v/>
      </c>
      <c r="E245" s="2" t="str">
        <f>IF($A245="","",IF(COUNTIFS('Blackout Brand Fam Areas (Enc)'!$B$6:$B$998,$A245,'Blackout Brand Fam Areas (Enc)'!$C$6:$C$998,E$1,'Blackout Brand Fam Areas (Enc)'!$D$6:$D$998,"Inactive")&gt;0,"BLOCKED","CAN SELL"))</f>
        <v/>
      </c>
      <c r="F245" s="2" t="str">
        <f>IF($A245="","",IF(COUNTIFS('Blackout Brand Fam Areas (Enc)'!$B$6:$B$998,$A245,'Blackout Brand Fam Areas (Enc)'!$C$6:$C$998,F$1,'Blackout Brand Fam Areas (Enc)'!$D$6:$D$998,"Inactive")&gt;0,"BLOCKED","CAN SELL"))</f>
        <v/>
      </c>
      <c r="G245" s="2" t="str">
        <f>IF($A245="","",IF(COUNTIFS('Blackout Brand Fam Areas (Enc)'!$B$6:$B$998,$A245,'Blackout Brand Fam Areas (Enc)'!$C$6:$C$998,G$1,'Blackout Brand Fam Areas (Enc)'!$D$6:$D$998,"Inactive")&gt;0,"BLOCKED","CAN SELL"))</f>
        <v/>
      </c>
      <c r="H245" s="2" t="str">
        <f>IF($A245="","",IF(COUNTIFS('Blackout Brand Fam Areas (Enc)'!$B$6:$B$998,$A245,'Blackout Brand Fam Areas (Enc)'!$C$6:$C$998,H$1,'Blackout Brand Fam Areas (Enc)'!$D$6:$D$998,"Inactive")&gt;0,"BLOCKED","CAN SELL"))</f>
        <v/>
      </c>
      <c r="I245" s="2" t="str">
        <f>IF($A245="","",IF(COUNTIFS('Blackout Brand Fam Areas (Enc)'!$B$6:$B$998,$A245,'Blackout Brand Fam Areas (Enc)'!$C$6:$C$998,I$1,'Blackout Brand Fam Areas (Enc)'!$D$6:$D$998,"Inactive")&gt;0,"BLOCKED","CAN SELL"))</f>
        <v/>
      </c>
      <c r="J245" s="2" t="str">
        <f>IF($A245="","",IF(COUNTIFS('Blackout Brand Fam Areas (Enc)'!$B$6:$B$998,$A245,'Blackout Brand Fam Areas (Enc)'!$C$6:$C$998,J$1,'Blackout Brand Fam Areas (Enc)'!$D$6:$D$998,"Inactive")&gt;0,"BLOCKED","CAN SELL"))</f>
        <v/>
      </c>
      <c r="K245" s="2" t="str">
        <f>IF($A245="","",IF(COUNTIFS('Blackout Brand Fam Areas (Enc)'!$B$6:$B$998,$A245,'Blackout Brand Fam Areas (Enc)'!$C$6:$C$998,K$1,'Blackout Brand Fam Areas (Enc)'!$D$6:$D$998,"Inactive")&gt;0,"BLOCKED","CAN SELL"))</f>
        <v/>
      </c>
    </row>
    <row r="246" spans="2:11" x14ac:dyDescent="0.2">
      <c r="B246" s="2" t="str">
        <f>IF($A246="","",IF(COUNTIFS('Blackout Brand Fam Areas (Enc)'!$B$6:$B$998,$A246,'Blackout Brand Fam Areas (Enc)'!$C$6:$C$998,B$1,'Blackout Brand Fam Areas (Enc)'!$D$6:$D$998,"Inactive")&gt;0,"BLOCKED","CAN SELL"))</f>
        <v/>
      </c>
      <c r="C246" s="2" t="str">
        <f>IF($A246="","",IF(COUNTIFS('Blackout Brand Fam Areas (Enc)'!$B$6:$B$998,$A246,'Blackout Brand Fam Areas (Enc)'!$C$6:$C$998,C$1,'Blackout Brand Fam Areas (Enc)'!$D$6:$D$998,"Inactive")&gt;0,"BLOCKED","CAN SELL"))</f>
        <v/>
      </c>
      <c r="D246" s="2" t="str">
        <f>IF($A246="","",IF(COUNTIFS('Blackout Brand Fam Areas (Enc)'!$B$6:$B$998,$A246,'Blackout Brand Fam Areas (Enc)'!$C$6:$C$998,D$1,'Blackout Brand Fam Areas (Enc)'!$D$6:$D$998,"Inactive")&gt;0,"BLOCKED","CAN SELL"))</f>
        <v/>
      </c>
      <c r="E246" s="2" t="str">
        <f>IF($A246="","",IF(COUNTIFS('Blackout Brand Fam Areas (Enc)'!$B$6:$B$998,$A246,'Blackout Brand Fam Areas (Enc)'!$C$6:$C$998,E$1,'Blackout Brand Fam Areas (Enc)'!$D$6:$D$998,"Inactive")&gt;0,"BLOCKED","CAN SELL"))</f>
        <v/>
      </c>
      <c r="F246" s="2" t="str">
        <f>IF($A246="","",IF(COUNTIFS('Blackout Brand Fam Areas (Enc)'!$B$6:$B$998,$A246,'Blackout Brand Fam Areas (Enc)'!$C$6:$C$998,F$1,'Blackout Brand Fam Areas (Enc)'!$D$6:$D$998,"Inactive")&gt;0,"BLOCKED","CAN SELL"))</f>
        <v/>
      </c>
      <c r="G246" s="2" t="str">
        <f>IF($A246="","",IF(COUNTIFS('Blackout Brand Fam Areas (Enc)'!$B$6:$B$998,$A246,'Blackout Brand Fam Areas (Enc)'!$C$6:$C$998,G$1,'Blackout Brand Fam Areas (Enc)'!$D$6:$D$998,"Inactive")&gt;0,"BLOCKED","CAN SELL"))</f>
        <v/>
      </c>
      <c r="H246" s="2" t="str">
        <f>IF($A246="","",IF(COUNTIFS('Blackout Brand Fam Areas (Enc)'!$B$6:$B$998,$A246,'Blackout Brand Fam Areas (Enc)'!$C$6:$C$998,H$1,'Blackout Brand Fam Areas (Enc)'!$D$6:$D$998,"Inactive")&gt;0,"BLOCKED","CAN SELL"))</f>
        <v/>
      </c>
      <c r="I246" s="2" t="str">
        <f>IF($A246="","",IF(COUNTIFS('Blackout Brand Fam Areas (Enc)'!$B$6:$B$998,$A246,'Blackout Brand Fam Areas (Enc)'!$C$6:$C$998,I$1,'Blackout Brand Fam Areas (Enc)'!$D$6:$D$998,"Inactive")&gt;0,"BLOCKED","CAN SELL"))</f>
        <v/>
      </c>
      <c r="J246" s="2" t="str">
        <f>IF($A246="","",IF(COUNTIFS('Blackout Brand Fam Areas (Enc)'!$B$6:$B$998,$A246,'Blackout Brand Fam Areas (Enc)'!$C$6:$C$998,J$1,'Blackout Brand Fam Areas (Enc)'!$D$6:$D$998,"Inactive")&gt;0,"BLOCKED","CAN SELL"))</f>
        <v/>
      </c>
      <c r="K246" s="2" t="str">
        <f>IF($A246="","",IF(COUNTIFS('Blackout Brand Fam Areas (Enc)'!$B$6:$B$998,$A246,'Blackout Brand Fam Areas (Enc)'!$C$6:$C$998,K$1,'Blackout Brand Fam Areas (Enc)'!$D$6:$D$998,"Inactive")&gt;0,"BLOCKED","CAN SELL"))</f>
        <v/>
      </c>
    </row>
    <row r="247" spans="2:11" x14ac:dyDescent="0.2">
      <c r="B247" s="2" t="str">
        <f>IF($A247="","",IF(COUNTIFS('Blackout Brand Fam Areas (Enc)'!$B$6:$B$998,$A247,'Blackout Brand Fam Areas (Enc)'!$C$6:$C$998,B$1,'Blackout Brand Fam Areas (Enc)'!$D$6:$D$998,"Inactive")&gt;0,"BLOCKED","CAN SELL"))</f>
        <v/>
      </c>
      <c r="C247" s="2" t="str">
        <f>IF($A247="","",IF(COUNTIFS('Blackout Brand Fam Areas (Enc)'!$B$6:$B$998,$A247,'Blackout Brand Fam Areas (Enc)'!$C$6:$C$998,C$1,'Blackout Brand Fam Areas (Enc)'!$D$6:$D$998,"Inactive")&gt;0,"BLOCKED","CAN SELL"))</f>
        <v/>
      </c>
      <c r="D247" s="2" t="str">
        <f>IF($A247="","",IF(COUNTIFS('Blackout Brand Fam Areas (Enc)'!$B$6:$B$998,$A247,'Blackout Brand Fam Areas (Enc)'!$C$6:$C$998,D$1,'Blackout Brand Fam Areas (Enc)'!$D$6:$D$998,"Inactive")&gt;0,"BLOCKED","CAN SELL"))</f>
        <v/>
      </c>
      <c r="E247" s="2" t="str">
        <f>IF($A247="","",IF(COUNTIFS('Blackout Brand Fam Areas (Enc)'!$B$6:$B$998,$A247,'Blackout Brand Fam Areas (Enc)'!$C$6:$C$998,E$1,'Blackout Brand Fam Areas (Enc)'!$D$6:$D$998,"Inactive")&gt;0,"BLOCKED","CAN SELL"))</f>
        <v/>
      </c>
      <c r="F247" s="2" t="str">
        <f>IF($A247="","",IF(COUNTIFS('Blackout Brand Fam Areas (Enc)'!$B$6:$B$998,$A247,'Blackout Brand Fam Areas (Enc)'!$C$6:$C$998,F$1,'Blackout Brand Fam Areas (Enc)'!$D$6:$D$998,"Inactive")&gt;0,"BLOCKED","CAN SELL"))</f>
        <v/>
      </c>
      <c r="G247" s="2" t="str">
        <f>IF($A247="","",IF(COUNTIFS('Blackout Brand Fam Areas (Enc)'!$B$6:$B$998,$A247,'Blackout Brand Fam Areas (Enc)'!$C$6:$C$998,G$1,'Blackout Brand Fam Areas (Enc)'!$D$6:$D$998,"Inactive")&gt;0,"BLOCKED","CAN SELL"))</f>
        <v/>
      </c>
      <c r="H247" s="2" t="str">
        <f>IF($A247="","",IF(COUNTIFS('Blackout Brand Fam Areas (Enc)'!$B$6:$B$998,$A247,'Blackout Brand Fam Areas (Enc)'!$C$6:$C$998,H$1,'Blackout Brand Fam Areas (Enc)'!$D$6:$D$998,"Inactive")&gt;0,"BLOCKED","CAN SELL"))</f>
        <v/>
      </c>
      <c r="I247" s="2" t="str">
        <f>IF($A247="","",IF(COUNTIFS('Blackout Brand Fam Areas (Enc)'!$B$6:$B$998,$A247,'Blackout Brand Fam Areas (Enc)'!$C$6:$C$998,I$1,'Blackout Brand Fam Areas (Enc)'!$D$6:$D$998,"Inactive")&gt;0,"BLOCKED","CAN SELL"))</f>
        <v/>
      </c>
      <c r="J247" s="2" t="str">
        <f>IF($A247="","",IF(COUNTIFS('Blackout Brand Fam Areas (Enc)'!$B$6:$B$998,$A247,'Blackout Brand Fam Areas (Enc)'!$C$6:$C$998,J$1,'Blackout Brand Fam Areas (Enc)'!$D$6:$D$998,"Inactive")&gt;0,"BLOCKED","CAN SELL"))</f>
        <v/>
      </c>
      <c r="K247" s="2" t="str">
        <f>IF($A247="","",IF(COUNTIFS('Blackout Brand Fam Areas (Enc)'!$B$6:$B$998,$A247,'Blackout Brand Fam Areas (Enc)'!$C$6:$C$998,K$1,'Blackout Brand Fam Areas (Enc)'!$D$6:$D$998,"Inactive")&gt;0,"BLOCKED","CAN SELL"))</f>
        <v/>
      </c>
    </row>
    <row r="248" spans="2:11" x14ac:dyDescent="0.2">
      <c r="B248" s="2" t="str">
        <f>IF($A248="","",IF(COUNTIFS('Blackout Brand Fam Areas (Enc)'!$B$6:$B$998,$A248,'Blackout Brand Fam Areas (Enc)'!$C$6:$C$998,B$1,'Blackout Brand Fam Areas (Enc)'!$D$6:$D$998,"Inactive")&gt;0,"BLOCKED","CAN SELL"))</f>
        <v/>
      </c>
      <c r="C248" s="2" t="str">
        <f>IF($A248="","",IF(COUNTIFS('Blackout Brand Fam Areas (Enc)'!$B$6:$B$998,$A248,'Blackout Brand Fam Areas (Enc)'!$C$6:$C$998,C$1,'Blackout Brand Fam Areas (Enc)'!$D$6:$D$998,"Inactive")&gt;0,"BLOCKED","CAN SELL"))</f>
        <v/>
      </c>
      <c r="D248" s="2" t="str">
        <f>IF($A248="","",IF(COUNTIFS('Blackout Brand Fam Areas (Enc)'!$B$6:$B$998,$A248,'Blackout Brand Fam Areas (Enc)'!$C$6:$C$998,D$1,'Blackout Brand Fam Areas (Enc)'!$D$6:$D$998,"Inactive")&gt;0,"BLOCKED","CAN SELL"))</f>
        <v/>
      </c>
      <c r="E248" s="2" t="str">
        <f>IF($A248="","",IF(COUNTIFS('Blackout Brand Fam Areas (Enc)'!$B$6:$B$998,$A248,'Blackout Brand Fam Areas (Enc)'!$C$6:$C$998,E$1,'Blackout Brand Fam Areas (Enc)'!$D$6:$D$998,"Inactive")&gt;0,"BLOCKED","CAN SELL"))</f>
        <v/>
      </c>
      <c r="F248" s="2" t="str">
        <f>IF($A248="","",IF(COUNTIFS('Blackout Brand Fam Areas (Enc)'!$B$6:$B$998,$A248,'Blackout Brand Fam Areas (Enc)'!$C$6:$C$998,F$1,'Blackout Brand Fam Areas (Enc)'!$D$6:$D$998,"Inactive")&gt;0,"BLOCKED","CAN SELL"))</f>
        <v/>
      </c>
      <c r="G248" s="2" t="str">
        <f>IF($A248="","",IF(COUNTIFS('Blackout Brand Fam Areas (Enc)'!$B$6:$B$998,$A248,'Blackout Brand Fam Areas (Enc)'!$C$6:$C$998,G$1,'Blackout Brand Fam Areas (Enc)'!$D$6:$D$998,"Inactive")&gt;0,"BLOCKED","CAN SELL"))</f>
        <v/>
      </c>
      <c r="H248" s="2" t="str">
        <f>IF($A248="","",IF(COUNTIFS('Blackout Brand Fam Areas (Enc)'!$B$6:$B$998,$A248,'Blackout Brand Fam Areas (Enc)'!$C$6:$C$998,H$1,'Blackout Brand Fam Areas (Enc)'!$D$6:$D$998,"Inactive")&gt;0,"BLOCKED","CAN SELL"))</f>
        <v/>
      </c>
      <c r="I248" s="2" t="str">
        <f>IF($A248="","",IF(COUNTIFS('Blackout Brand Fam Areas (Enc)'!$B$6:$B$998,$A248,'Blackout Brand Fam Areas (Enc)'!$C$6:$C$998,I$1,'Blackout Brand Fam Areas (Enc)'!$D$6:$D$998,"Inactive")&gt;0,"BLOCKED","CAN SELL"))</f>
        <v/>
      </c>
      <c r="J248" s="2" t="str">
        <f>IF($A248="","",IF(COUNTIFS('Blackout Brand Fam Areas (Enc)'!$B$6:$B$998,$A248,'Blackout Brand Fam Areas (Enc)'!$C$6:$C$998,J$1,'Blackout Brand Fam Areas (Enc)'!$D$6:$D$998,"Inactive")&gt;0,"BLOCKED","CAN SELL"))</f>
        <v/>
      </c>
      <c r="K248" s="2" t="str">
        <f>IF($A248="","",IF(COUNTIFS('Blackout Brand Fam Areas (Enc)'!$B$6:$B$998,$A248,'Blackout Brand Fam Areas (Enc)'!$C$6:$C$998,K$1,'Blackout Brand Fam Areas (Enc)'!$D$6:$D$998,"Inactive")&gt;0,"BLOCKED","CAN SELL"))</f>
        <v/>
      </c>
    </row>
    <row r="249" spans="2:11" x14ac:dyDescent="0.2">
      <c r="B249" s="2" t="str">
        <f>IF($A249="","",IF(COUNTIFS('Blackout Brand Fam Areas (Enc)'!$B$6:$B$998,$A249,'Blackout Brand Fam Areas (Enc)'!$C$6:$C$998,B$1,'Blackout Brand Fam Areas (Enc)'!$D$6:$D$998,"Inactive")&gt;0,"BLOCKED","CAN SELL"))</f>
        <v/>
      </c>
      <c r="C249" s="2" t="str">
        <f>IF($A249="","",IF(COUNTIFS('Blackout Brand Fam Areas (Enc)'!$B$6:$B$998,$A249,'Blackout Brand Fam Areas (Enc)'!$C$6:$C$998,C$1,'Blackout Brand Fam Areas (Enc)'!$D$6:$D$998,"Inactive")&gt;0,"BLOCKED","CAN SELL"))</f>
        <v/>
      </c>
      <c r="D249" s="2" t="str">
        <f>IF($A249="","",IF(COUNTIFS('Blackout Brand Fam Areas (Enc)'!$B$6:$B$998,$A249,'Blackout Brand Fam Areas (Enc)'!$C$6:$C$998,D$1,'Blackout Brand Fam Areas (Enc)'!$D$6:$D$998,"Inactive")&gt;0,"BLOCKED","CAN SELL"))</f>
        <v/>
      </c>
      <c r="E249" s="2" t="str">
        <f>IF($A249="","",IF(COUNTIFS('Blackout Brand Fam Areas (Enc)'!$B$6:$B$998,$A249,'Blackout Brand Fam Areas (Enc)'!$C$6:$C$998,E$1,'Blackout Brand Fam Areas (Enc)'!$D$6:$D$998,"Inactive")&gt;0,"BLOCKED","CAN SELL"))</f>
        <v/>
      </c>
      <c r="F249" s="2" t="str">
        <f>IF($A249="","",IF(COUNTIFS('Blackout Brand Fam Areas (Enc)'!$B$6:$B$998,$A249,'Blackout Brand Fam Areas (Enc)'!$C$6:$C$998,F$1,'Blackout Brand Fam Areas (Enc)'!$D$6:$D$998,"Inactive")&gt;0,"BLOCKED","CAN SELL"))</f>
        <v/>
      </c>
      <c r="G249" s="2" t="str">
        <f>IF($A249="","",IF(COUNTIFS('Blackout Brand Fam Areas (Enc)'!$B$6:$B$998,$A249,'Blackout Brand Fam Areas (Enc)'!$C$6:$C$998,G$1,'Blackout Brand Fam Areas (Enc)'!$D$6:$D$998,"Inactive")&gt;0,"BLOCKED","CAN SELL"))</f>
        <v/>
      </c>
      <c r="H249" s="2" t="str">
        <f>IF($A249="","",IF(COUNTIFS('Blackout Brand Fam Areas (Enc)'!$B$6:$B$998,$A249,'Blackout Brand Fam Areas (Enc)'!$C$6:$C$998,H$1,'Blackout Brand Fam Areas (Enc)'!$D$6:$D$998,"Inactive")&gt;0,"BLOCKED","CAN SELL"))</f>
        <v/>
      </c>
      <c r="I249" s="2" t="str">
        <f>IF($A249="","",IF(COUNTIFS('Blackout Brand Fam Areas (Enc)'!$B$6:$B$998,$A249,'Blackout Brand Fam Areas (Enc)'!$C$6:$C$998,I$1,'Blackout Brand Fam Areas (Enc)'!$D$6:$D$998,"Inactive")&gt;0,"BLOCKED","CAN SELL"))</f>
        <v/>
      </c>
      <c r="J249" s="2" t="str">
        <f>IF($A249="","",IF(COUNTIFS('Blackout Brand Fam Areas (Enc)'!$B$6:$B$998,$A249,'Blackout Brand Fam Areas (Enc)'!$C$6:$C$998,J$1,'Blackout Brand Fam Areas (Enc)'!$D$6:$D$998,"Inactive")&gt;0,"BLOCKED","CAN SELL"))</f>
        <v/>
      </c>
      <c r="K249" s="2" t="str">
        <f>IF($A249="","",IF(COUNTIFS('Blackout Brand Fam Areas (Enc)'!$B$6:$B$998,$A249,'Blackout Brand Fam Areas (Enc)'!$C$6:$C$998,K$1,'Blackout Brand Fam Areas (Enc)'!$D$6:$D$998,"Inactive")&gt;0,"BLOCKED","CAN SELL"))</f>
        <v/>
      </c>
    </row>
    <row r="250" spans="2:11" x14ac:dyDescent="0.2">
      <c r="B250" s="2" t="str">
        <f>IF($A250="","",IF(COUNTIFS('Blackout Brand Fam Areas (Enc)'!$B$6:$B$998,$A250,'Blackout Brand Fam Areas (Enc)'!$C$6:$C$998,B$1,'Blackout Brand Fam Areas (Enc)'!$D$6:$D$998,"Inactive")&gt;0,"BLOCKED","CAN SELL"))</f>
        <v/>
      </c>
      <c r="C250" s="2" t="str">
        <f>IF($A250="","",IF(COUNTIFS('Blackout Brand Fam Areas (Enc)'!$B$6:$B$998,$A250,'Blackout Brand Fam Areas (Enc)'!$C$6:$C$998,C$1,'Blackout Brand Fam Areas (Enc)'!$D$6:$D$998,"Inactive")&gt;0,"BLOCKED","CAN SELL"))</f>
        <v/>
      </c>
      <c r="D250" s="2" t="str">
        <f>IF($A250="","",IF(COUNTIFS('Blackout Brand Fam Areas (Enc)'!$B$6:$B$998,$A250,'Blackout Brand Fam Areas (Enc)'!$C$6:$C$998,D$1,'Blackout Brand Fam Areas (Enc)'!$D$6:$D$998,"Inactive")&gt;0,"BLOCKED","CAN SELL"))</f>
        <v/>
      </c>
      <c r="E250" s="2" t="str">
        <f>IF($A250="","",IF(COUNTIFS('Blackout Brand Fam Areas (Enc)'!$B$6:$B$998,$A250,'Blackout Brand Fam Areas (Enc)'!$C$6:$C$998,E$1,'Blackout Brand Fam Areas (Enc)'!$D$6:$D$998,"Inactive")&gt;0,"BLOCKED","CAN SELL"))</f>
        <v/>
      </c>
      <c r="F250" s="2" t="str">
        <f>IF($A250="","",IF(COUNTIFS('Blackout Brand Fam Areas (Enc)'!$B$6:$B$998,$A250,'Blackout Brand Fam Areas (Enc)'!$C$6:$C$998,F$1,'Blackout Brand Fam Areas (Enc)'!$D$6:$D$998,"Inactive")&gt;0,"BLOCKED","CAN SELL"))</f>
        <v/>
      </c>
      <c r="G250" s="2" t="str">
        <f>IF($A250="","",IF(COUNTIFS('Blackout Brand Fam Areas (Enc)'!$B$6:$B$998,$A250,'Blackout Brand Fam Areas (Enc)'!$C$6:$C$998,G$1,'Blackout Brand Fam Areas (Enc)'!$D$6:$D$998,"Inactive")&gt;0,"BLOCKED","CAN SELL"))</f>
        <v/>
      </c>
      <c r="H250" s="2" t="str">
        <f>IF($A250="","",IF(COUNTIFS('Blackout Brand Fam Areas (Enc)'!$B$6:$B$998,$A250,'Blackout Brand Fam Areas (Enc)'!$C$6:$C$998,H$1,'Blackout Brand Fam Areas (Enc)'!$D$6:$D$998,"Inactive")&gt;0,"BLOCKED","CAN SELL"))</f>
        <v/>
      </c>
      <c r="I250" s="2" t="str">
        <f>IF($A250="","",IF(COUNTIFS('Blackout Brand Fam Areas (Enc)'!$B$6:$B$998,$A250,'Blackout Brand Fam Areas (Enc)'!$C$6:$C$998,I$1,'Blackout Brand Fam Areas (Enc)'!$D$6:$D$998,"Inactive")&gt;0,"BLOCKED","CAN SELL"))</f>
        <v/>
      </c>
      <c r="J250" s="2" t="str">
        <f>IF($A250="","",IF(COUNTIFS('Blackout Brand Fam Areas (Enc)'!$B$6:$B$998,$A250,'Blackout Brand Fam Areas (Enc)'!$C$6:$C$998,J$1,'Blackout Brand Fam Areas (Enc)'!$D$6:$D$998,"Inactive")&gt;0,"BLOCKED","CAN SELL"))</f>
        <v/>
      </c>
      <c r="K250" s="2" t="str">
        <f>IF($A250="","",IF(COUNTIFS('Blackout Brand Fam Areas (Enc)'!$B$6:$B$998,$A250,'Blackout Brand Fam Areas (Enc)'!$C$6:$C$998,K$1,'Blackout Brand Fam Areas (Enc)'!$D$6:$D$998,"Inactive")&gt;0,"BLOCKED","CAN SELL"))</f>
        <v/>
      </c>
    </row>
    <row r="251" spans="2:11" x14ac:dyDescent="0.2">
      <c r="B251" s="2" t="str">
        <f>IF($A251="","",IF(COUNTIFS('Blackout Brand Fam Areas (Enc)'!$B$6:$B$998,$A251,'Blackout Brand Fam Areas (Enc)'!$C$6:$C$998,B$1,'Blackout Brand Fam Areas (Enc)'!$D$6:$D$998,"Inactive")&gt;0,"BLOCKED","CAN SELL"))</f>
        <v/>
      </c>
      <c r="C251" s="2" t="str">
        <f>IF($A251="","",IF(COUNTIFS('Blackout Brand Fam Areas (Enc)'!$B$6:$B$998,$A251,'Blackout Brand Fam Areas (Enc)'!$C$6:$C$998,C$1,'Blackout Brand Fam Areas (Enc)'!$D$6:$D$998,"Inactive")&gt;0,"BLOCKED","CAN SELL"))</f>
        <v/>
      </c>
      <c r="D251" s="2" t="str">
        <f>IF($A251="","",IF(COUNTIFS('Blackout Brand Fam Areas (Enc)'!$B$6:$B$998,$A251,'Blackout Brand Fam Areas (Enc)'!$C$6:$C$998,D$1,'Blackout Brand Fam Areas (Enc)'!$D$6:$D$998,"Inactive")&gt;0,"BLOCKED","CAN SELL"))</f>
        <v/>
      </c>
      <c r="E251" s="2" t="str">
        <f>IF($A251="","",IF(COUNTIFS('Blackout Brand Fam Areas (Enc)'!$B$6:$B$998,$A251,'Blackout Brand Fam Areas (Enc)'!$C$6:$C$998,E$1,'Blackout Brand Fam Areas (Enc)'!$D$6:$D$998,"Inactive")&gt;0,"BLOCKED","CAN SELL"))</f>
        <v/>
      </c>
      <c r="F251" s="2" t="str">
        <f>IF($A251="","",IF(COUNTIFS('Blackout Brand Fam Areas (Enc)'!$B$6:$B$998,$A251,'Blackout Brand Fam Areas (Enc)'!$C$6:$C$998,F$1,'Blackout Brand Fam Areas (Enc)'!$D$6:$D$998,"Inactive")&gt;0,"BLOCKED","CAN SELL"))</f>
        <v/>
      </c>
      <c r="G251" s="2" t="str">
        <f>IF($A251="","",IF(COUNTIFS('Blackout Brand Fam Areas (Enc)'!$B$6:$B$998,$A251,'Blackout Brand Fam Areas (Enc)'!$C$6:$C$998,G$1,'Blackout Brand Fam Areas (Enc)'!$D$6:$D$998,"Inactive")&gt;0,"BLOCKED","CAN SELL"))</f>
        <v/>
      </c>
      <c r="H251" s="2" t="str">
        <f>IF($A251="","",IF(COUNTIFS('Blackout Brand Fam Areas (Enc)'!$B$6:$B$998,$A251,'Blackout Brand Fam Areas (Enc)'!$C$6:$C$998,H$1,'Blackout Brand Fam Areas (Enc)'!$D$6:$D$998,"Inactive")&gt;0,"BLOCKED","CAN SELL"))</f>
        <v/>
      </c>
      <c r="I251" s="2" t="str">
        <f>IF($A251="","",IF(COUNTIFS('Blackout Brand Fam Areas (Enc)'!$B$6:$B$998,$A251,'Blackout Brand Fam Areas (Enc)'!$C$6:$C$998,I$1,'Blackout Brand Fam Areas (Enc)'!$D$6:$D$998,"Inactive")&gt;0,"BLOCKED","CAN SELL"))</f>
        <v/>
      </c>
      <c r="J251" s="2" t="str">
        <f>IF($A251="","",IF(COUNTIFS('Blackout Brand Fam Areas (Enc)'!$B$6:$B$998,$A251,'Blackout Brand Fam Areas (Enc)'!$C$6:$C$998,J$1,'Blackout Brand Fam Areas (Enc)'!$D$6:$D$998,"Inactive")&gt;0,"BLOCKED","CAN SELL"))</f>
        <v/>
      </c>
      <c r="K251" s="2" t="str">
        <f>IF($A251="","",IF(COUNTIFS('Blackout Brand Fam Areas (Enc)'!$B$6:$B$998,$A251,'Blackout Brand Fam Areas (Enc)'!$C$6:$C$998,K$1,'Blackout Brand Fam Areas (Enc)'!$D$6:$D$998,"Inactive")&gt;0,"BLOCKED","CAN SELL"))</f>
        <v/>
      </c>
    </row>
    <row r="252" spans="2:11" x14ac:dyDescent="0.2">
      <c r="B252" s="2" t="str">
        <f>IF($A252="","",IF(COUNTIFS('Blackout Brand Fam Areas (Enc)'!$B$6:$B$998,$A252,'Blackout Brand Fam Areas (Enc)'!$C$6:$C$998,B$1,'Blackout Brand Fam Areas (Enc)'!$D$6:$D$998,"Inactive")&gt;0,"BLOCKED","CAN SELL"))</f>
        <v/>
      </c>
      <c r="C252" s="2" t="str">
        <f>IF($A252="","",IF(COUNTIFS('Blackout Brand Fam Areas (Enc)'!$B$6:$B$998,$A252,'Blackout Brand Fam Areas (Enc)'!$C$6:$C$998,C$1,'Blackout Brand Fam Areas (Enc)'!$D$6:$D$998,"Inactive")&gt;0,"BLOCKED","CAN SELL"))</f>
        <v/>
      </c>
      <c r="D252" s="2" t="str">
        <f>IF($A252="","",IF(COUNTIFS('Blackout Brand Fam Areas (Enc)'!$B$6:$B$998,$A252,'Blackout Brand Fam Areas (Enc)'!$C$6:$C$998,D$1,'Blackout Brand Fam Areas (Enc)'!$D$6:$D$998,"Inactive")&gt;0,"BLOCKED","CAN SELL"))</f>
        <v/>
      </c>
      <c r="E252" s="2" t="str">
        <f>IF($A252="","",IF(COUNTIFS('Blackout Brand Fam Areas (Enc)'!$B$6:$B$998,$A252,'Blackout Brand Fam Areas (Enc)'!$C$6:$C$998,E$1,'Blackout Brand Fam Areas (Enc)'!$D$6:$D$998,"Inactive")&gt;0,"BLOCKED","CAN SELL"))</f>
        <v/>
      </c>
      <c r="F252" s="2" t="str">
        <f>IF($A252="","",IF(COUNTIFS('Blackout Brand Fam Areas (Enc)'!$B$6:$B$998,$A252,'Blackout Brand Fam Areas (Enc)'!$C$6:$C$998,F$1,'Blackout Brand Fam Areas (Enc)'!$D$6:$D$998,"Inactive")&gt;0,"BLOCKED","CAN SELL"))</f>
        <v/>
      </c>
      <c r="G252" s="2" t="str">
        <f>IF($A252="","",IF(COUNTIFS('Blackout Brand Fam Areas (Enc)'!$B$6:$B$998,$A252,'Blackout Brand Fam Areas (Enc)'!$C$6:$C$998,G$1,'Blackout Brand Fam Areas (Enc)'!$D$6:$D$998,"Inactive")&gt;0,"BLOCKED","CAN SELL"))</f>
        <v/>
      </c>
      <c r="H252" s="2" t="str">
        <f>IF($A252="","",IF(COUNTIFS('Blackout Brand Fam Areas (Enc)'!$B$6:$B$998,$A252,'Blackout Brand Fam Areas (Enc)'!$C$6:$C$998,H$1,'Blackout Brand Fam Areas (Enc)'!$D$6:$D$998,"Inactive")&gt;0,"BLOCKED","CAN SELL"))</f>
        <v/>
      </c>
      <c r="I252" s="2" t="str">
        <f>IF($A252="","",IF(COUNTIFS('Blackout Brand Fam Areas (Enc)'!$B$6:$B$998,$A252,'Blackout Brand Fam Areas (Enc)'!$C$6:$C$998,I$1,'Blackout Brand Fam Areas (Enc)'!$D$6:$D$998,"Inactive")&gt;0,"BLOCKED","CAN SELL"))</f>
        <v/>
      </c>
      <c r="J252" s="2" t="str">
        <f>IF($A252="","",IF(COUNTIFS('Blackout Brand Fam Areas (Enc)'!$B$6:$B$998,$A252,'Blackout Brand Fam Areas (Enc)'!$C$6:$C$998,J$1,'Blackout Brand Fam Areas (Enc)'!$D$6:$D$998,"Inactive")&gt;0,"BLOCKED","CAN SELL"))</f>
        <v/>
      </c>
      <c r="K252" s="2" t="str">
        <f>IF($A252="","",IF(COUNTIFS('Blackout Brand Fam Areas (Enc)'!$B$6:$B$998,$A252,'Blackout Brand Fam Areas (Enc)'!$C$6:$C$998,K$1,'Blackout Brand Fam Areas (Enc)'!$D$6:$D$998,"Inactive")&gt;0,"BLOCKED","CAN SELL"))</f>
        <v/>
      </c>
    </row>
    <row r="253" spans="2:11" x14ac:dyDescent="0.2">
      <c r="B253" s="2" t="str">
        <f>IF($A253="","",IF(COUNTIFS('Blackout Brand Fam Areas (Enc)'!$B$6:$B$998,$A253,'Blackout Brand Fam Areas (Enc)'!$C$6:$C$998,B$1,'Blackout Brand Fam Areas (Enc)'!$D$6:$D$998,"Inactive")&gt;0,"BLOCKED","CAN SELL"))</f>
        <v/>
      </c>
      <c r="C253" s="2" t="str">
        <f>IF($A253="","",IF(COUNTIFS('Blackout Brand Fam Areas (Enc)'!$B$6:$B$998,$A253,'Blackout Brand Fam Areas (Enc)'!$C$6:$C$998,C$1,'Blackout Brand Fam Areas (Enc)'!$D$6:$D$998,"Inactive")&gt;0,"BLOCKED","CAN SELL"))</f>
        <v/>
      </c>
      <c r="D253" s="2" t="str">
        <f>IF($A253="","",IF(COUNTIFS('Blackout Brand Fam Areas (Enc)'!$B$6:$B$998,$A253,'Blackout Brand Fam Areas (Enc)'!$C$6:$C$998,D$1,'Blackout Brand Fam Areas (Enc)'!$D$6:$D$998,"Inactive")&gt;0,"BLOCKED","CAN SELL"))</f>
        <v/>
      </c>
      <c r="E253" s="2" t="str">
        <f>IF($A253="","",IF(COUNTIFS('Blackout Brand Fam Areas (Enc)'!$B$6:$B$998,$A253,'Blackout Brand Fam Areas (Enc)'!$C$6:$C$998,E$1,'Blackout Brand Fam Areas (Enc)'!$D$6:$D$998,"Inactive")&gt;0,"BLOCKED","CAN SELL"))</f>
        <v/>
      </c>
      <c r="F253" s="2" t="str">
        <f>IF($A253="","",IF(COUNTIFS('Blackout Brand Fam Areas (Enc)'!$B$6:$B$998,$A253,'Blackout Brand Fam Areas (Enc)'!$C$6:$C$998,F$1,'Blackout Brand Fam Areas (Enc)'!$D$6:$D$998,"Inactive")&gt;0,"BLOCKED","CAN SELL"))</f>
        <v/>
      </c>
      <c r="G253" s="2" t="str">
        <f>IF($A253="","",IF(COUNTIFS('Blackout Brand Fam Areas (Enc)'!$B$6:$B$998,$A253,'Blackout Brand Fam Areas (Enc)'!$C$6:$C$998,G$1,'Blackout Brand Fam Areas (Enc)'!$D$6:$D$998,"Inactive")&gt;0,"BLOCKED","CAN SELL"))</f>
        <v/>
      </c>
      <c r="H253" s="2" t="str">
        <f>IF($A253="","",IF(COUNTIFS('Blackout Brand Fam Areas (Enc)'!$B$6:$B$998,$A253,'Blackout Brand Fam Areas (Enc)'!$C$6:$C$998,H$1,'Blackout Brand Fam Areas (Enc)'!$D$6:$D$998,"Inactive")&gt;0,"BLOCKED","CAN SELL"))</f>
        <v/>
      </c>
      <c r="I253" s="2" t="str">
        <f>IF($A253="","",IF(COUNTIFS('Blackout Brand Fam Areas (Enc)'!$B$6:$B$998,$A253,'Blackout Brand Fam Areas (Enc)'!$C$6:$C$998,I$1,'Blackout Brand Fam Areas (Enc)'!$D$6:$D$998,"Inactive")&gt;0,"BLOCKED","CAN SELL"))</f>
        <v/>
      </c>
      <c r="J253" s="2" t="str">
        <f>IF($A253="","",IF(COUNTIFS('Blackout Brand Fam Areas (Enc)'!$B$6:$B$998,$A253,'Blackout Brand Fam Areas (Enc)'!$C$6:$C$998,J$1,'Blackout Brand Fam Areas (Enc)'!$D$6:$D$998,"Inactive")&gt;0,"BLOCKED","CAN SELL"))</f>
        <v/>
      </c>
      <c r="K253" s="2" t="str">
        <f>IF($A253="","",IF(COUNTIFS('Blackout Brand Fam Areas (Enc)'!$B$6:$B$998,$A253,'Blackout Brand Fam Areas (Enc)'!$C$6:$C$998,K$1,'Blackout Brand Fam Areas (Enc)'!$D$6:$D$998,"Inactive")&gt;0,"BLOCKED","CAN SELL"))</f>
        <v/>
      </c>
    </row>
    <row r="254" spans="2:11" x14ac:dyDescent="0.2">
      <c r="B254" s="2" t="str">
        <f>IF($A254="","",IF(COUNTIFS('Blackout Brand Fam Areas (Enc)'!$B$6:$B$998,$A254,'Blackout Brand Fam Areas (Enc)'!$C$6:$C$998,B$1,'Blackout Brand Fam Areas (Enc)'!$D$6:$D$998,"Inactive")&gt;0,"BLOCKED","CAN SELL"))</f>
        <v/>
      </c>
      <c r="C254" s="2" t="str">
        <f>IF($A254="","",IF(COUNTIFS('Blackout Brand Fam Areas (Enc)'!$B$6:$B$998,$A254,'Blackout Brand Fam Areas (Enc)'!$C$6:$C$998,C$1,'Blackout Brand Fam Areas (Enc)'!$D$6:$D$998,"Inactive")&gt;0,"BLOCKED","CAN SELL"))</f>
        <v/>
      </c>
      <c r="D254" s="2" t="str">
        <f>IF($A254="","",IF(COUNTIFS('Blackout Brand Fam Areas (Enc)'!$B$6:$B$998,$A254,'Blackout Brand Fam Areas (Enc)'!$C$6:$C$998,D$1,'Blackout Brand Fam Areas (Enc)'!$D$6:$D$998,"Inactive")&gt;0,"BLOCKED","CAN SELL"))</f>
        <v/>
      </c>
      <c r="E254" s="2" t="str">
        <f>IF($A254="","",IF(COUNTIFS('Blackout Brand Fam Areas (Enc)'!$B$6:$B$998,$A254,'Blackout Brand Fam Areas (Enc)'!$C$6:$C$998,E$1,'Blackout Brand Fam Areas (Enc)'!$D$6:$D$998,"Inactive")&gt;0,"BLOCKED","CAN SELL"))</f>
        <v/>
      </c>
      <c r="F254" s="2" t="str">
        <f>IF($A254="","",IF(COUNTIFS('Blackout Brand Fam Areas (Enc)'!$B$6:$B$998,$A254,'Blackout Brand Fam Areas (Enc)'!$C$6:$C$998,F$1,'Blackout Brand Fam Areas (Enc)'!$D$6:$D$998,"Inactive")&gt;0,"BLOCKED","CAN SELL"))</f>
        <v/>
      </c>
      <c r="G254" s="2" t="str">
        <f>IF($A254="","",IF(COUNTIFS('Blackout Brand Fam Areas (Enc)'!$B$6:$B$998,$A254,'Blackout Brand Fam Areas (Enc)'!$C$6:$C$998,G$1,'Blackout Brand Fam Areas (Enc)'!$D$6:$D$998,"Inactive")&gt;0,"BLOCKED","CAN SELL"))</f>
        <v/>
      </c>
      <c r="H254" s="2" t="str">
        <f>IF($A254="","",IF(COUNTIFS('Blackout Brand Fam Areas (Enc)'!$B$6:$B$998,$A254,'Blackout Brand Fam Areas (Enc)'!$C$6:$C$998,H$1,'Blackout Brand Fam Areas (Enc)'!$D$6:$D$998,"Inactive")&gt;0,"BLOCKED","CAN SELL"))</f>
        <v/>
      </c>
      <c r="I254" s="2" t="str">
        <f>IF($A254="","",IF(COUNTIFS('Blackout Brand Fam Areas (Enc)'!$B$6:$B$998,$A254,'Blackout Brand Fam Areas (Enc)'!$C$6:$C$998,I$1,'Blackout Brand Fam Areas (Enc)'!$D$6:$D$998,"Inactive")&gt;0,"BLOCKED","CAN SELL"))</f>
        <v/>
      </c>
      <c r="J254" s="2" t="str">
        <f>IF($A254="","",IF(COUNTIFS('Blackout Brand Fam Areas (Enc)'!$B$6:$B$998,$A254,'Blackout Brand Fam Areas (Enc)'!$C$6:$C$998,J$1,'Blackout Brand Fam Areas (Enc)'!$D$6:$D$998,"Inactive")&gt;0,"BLOCKED","CAN SELL"))</f>
        <v/>
      </c>
      <c r="K254" s="2" t="str">
        <f>IF($A254="","",IF(COUNTIFS('Blackout Brand Fam Areas (Enc)'!$B$6:$B$998,$A254,'Blackout Brand Fam Areas (Enc)'!$C$6:$C$998,K$1,'Blackout Brand Fam Areas (Enc)'!$D$6:$D$998,"Inactive")&gt;0,"BLOCKED","CAN SELL"))</f>
        <v/>
      </c>
    </row>
    <row r="255" spans="2:11" x14ac:dyDescent="0.2">
      <c r="B255" s="2" t="str">
        <f>IF($A255="","",IF(COUNTIFS('Blackout Brand Fam Areas (Enc)'!$B$6:$B$998,$A255,'Blackout Brand Fam Areas (Enc)'!$C$6:$C$998,B$1,'Blackout Brand Fam Areas (Enc)'!$D$6:$D$998,"Inactive")&gt;0,"BLOCKED","CAN SELL"))</f>
        <v/>
      </c>
      <c r="C255" s="2" t="str">
        <f>IF($A255="","",IF(COUNTIFS('Blackout Brand Fam Areas (Enc)'!$B$6:$B$998,$A255,'Blackout Brand Fam Areas (Enc)'!$C$6:$C$998,C$1,'Blackout Brand Fam Areas (Enc)'!$D$6:$D$998,"Inactive")&gt;0,"BLOCKED","CAN SELL"))</f>
        <v/>
      </c>
      <c r="D255" s="2" t="str">
        <f>IF($A255="","",IF(COUNTIFS('Blackout Brand Fam Areas (Enc)'!$B$6:$B$998,$A255,'Blackout Brand Fam Areas (Enc)'!$C$6:$C$998,D$1,'Blackout Brand Fam Areas (Enc)'!$D$6:$D$998,"Inactive")&gt;0,"BLOCKED","CAN SELL"))</f>
        <v/>
      </c>
      <c r="E255" s="2" t="str">
        <f>IF($A255="","",IF(COUNTIFS('Blackout Brand Fam Areas (Enc)'!$B$6:$B$998,$A255,'Blackout Brand Fam Areas (Enc)'!$C$6:$C$998,E$1,'Blackout Brand Fam Areas (Enc)'!$D$6:$D$998,"Inactive")&gt;0,"BLOCKED","CAN SELL"))</f>
        <v/>
      </c>
      <c r="F255" s="2" t="str">
        <f>IF($A255="","",IF(COUNTIFS('Blackout Brand Fam Areas (Enc)'!$B$6:$B$998,$A255,'Blackout Brand Fam Areas (Enc)'!$C$6:$C$998,F$1,'Blackout Brand Fam Areas (Enc)'!$D$6:$D$998,"Inactive")&gt;0,"BLOCKED","CAN SELL"))</f>
        <v/>
      </c>
      <c r="G255" s="2" t="str">
        <f>IF($A255="","",IF(COUNTIFS('Blackout Brand Fam Areas (Enc)'!$B$6:$B$998,$A255,'Blackout Brand Fam Areas (Enc)'!$C$6:$C$998,G$1,'Blackout Brand Fam Areas (Enc)'!$D$6:$D$998,"Inactive")&gt;0,"BLOCKED","CAN SELL"))</f>
        <v/>
      </c>
      <c r="H255" s="2" t="str">
        <f>IF($A255="","",IF(COUNTIFS('Blackout Brand Fam Areas (Enc)'!$B$6:$B$998,$A255,'Blackout Brand Fam Areas (Enc)'!$C$6:$C$998,H$1,'Blackout Brand Fam Areas (Enc)'!$D$6:$D$998,"Inactive")&gt;0,"BLOCKED","CAN SELL"))</f>
        <v/>
      </c>
      <c r="I255" s="2" t="str">
        <f>IF($A255="","",IF(COUNTIFS('Blackout Brand Fam Areas (Enc)'!$B$6:$B$998,$A255,'Blackout Brand Fam Areas (Enc)'!$C$6:$C$998,I$1,'Blackout Brand Fam Areas (Enc)'!$D$6:$D$998,"Inactive")&gt;0,"BLOCKED","CAN SELL"))</f>
        <v/>
      </c>
      <c r="J255" s="2" t="str">
        <f>IF($A255="","",IF(COUNTIFS('Blackout Brand Fam Areas (Enc)'!$B$6:$B$998,$A255,'Blackout Brand Fam Areas (Enc)'!$C$6:$C$998,J$1,'Blackout Brand Fam Areas (Enc)'!$D$6:$D$998,"Inactive")&gt;0,"BLOCKED","CAN SELL"))</f>
        <v/>
      </c>
      <c r="K255" s="2" t="str">
        <f>IF($A255="","",IF(COUNTIFS('Blackout Brand Fam Areas (Enc)'!$B$6:$B$998,$A255,'Blackout Brand Fam Areas (Enc)'!$C$6:$C$998,K$1,'Blackout Brand Fam Areas (Enc)'!$D$6:$D$998,"Inactive")&gt;0,"BLOCKED","CAN SELL"))</f>
        <v/>
      </c>
    </row>
    <row r="256" spans="2:11" x14ac:dyDescent="0.2">
      <c r="B256" s="2" t="str">
        <f>IF($A256="","",IF(COUNTIFS('Blackout Brand Fam Areas (Enc)'!$B$6:$B$998,$A256,'Blackout Brand Fam Areas (Enc)'!$C$6:$C$998,B$1,'Blackout Brand Fam Areas (Enc)'!$D$6:$D$998,"Inactive")&gt;0,"BLOCKED","CAN SELL"))</f>
        <v/>
      </c>
      <c r="C256" s="2" t="str">
        <f>IF($A256="","",IF(COUNTIFS('Blackout Brand Fam Areas (Enc)'!$B$6:$B$998,$A256,'Blackout Brand Fam Areas (Enc)'!$C$6:$C$998,C$1,'Blackout Brand Fam Areas (Enc)'!$D$6:$D$998,"Inactive")&gt;0,"BLOCKED","CAN SELL"))</f>
        <v/>
      </c>
      <c r="D256" s="2" t="str">
        <f>IF($A256="","",IF(COUNTIFS('Blackout Brand Fam Areas (Enc)'!$B$6:$B$998,$A256,'Blackout Brand Fam Areas (Enc)'!$C$6:$C$998,D$1,'Blackout Brand Fam Areas (Enc)'!$D$6:$D$998,"Inactive")&gt;0,"BLOCKED","CAN SELL"))</f>
        <v/>
      </c>
      <c r="E256" s="2" t="str">
        <f>IF($A256="","",IF(COUNTIFS('Blackout Brand Fam Areas (Enc)'!$B$6:$B$998,$A256,'Blackout Brand Fam Areas (Enc)'!$C$6:$C$998,E$1,'Blackout Brand Fam Areas (Enc)'!$D$6:$D$998,"Inactive")&gt;0,"BLOCKED","CAN SELL"))</f>
        <v/>
      </c>
      <c r="F256" s="2" t="str">
        <f>IF($A256="","",IF(COUNTIFS('Blackout Brand Fam Areas (Enc)'!$B$6:$B$998,$A256,'Blackout Brand Fam Areas (Enc)'!$C$6:$C$998,F$1,'Blackout Brand Fam Areas (Enc)'!$D$6:$D$998,"Inactive")&gt;0,"BLOCKED","CAN SELL"))</f>
        <v/>
      </c>
      <c r="G256" s="2" t="str">
        <f>IF($A256="","",IF(COUNTIFS('Blackout Brand Fam Areas (Enc)'!$B$6:$B$998,$A256,'Blackout Brand Fam Areas (Enc)'!$C$6:$C$998,G$1,'Blackout Brand Fam Areas (Enc)'!$D$6:$D$998,"Inactive")&gt;0,"BLOCKED","CAN SELL"))</f>
        <v/>
      </c>
      <c r="H256" s="2" t="str">
        <f>IF($A256="","",IF(COUNTIFS('Blackout Brand Fam Areas (Enc)'!$B$6:$B$998,$A256,'Blackout Brand Fam Areas (Enc)'!$C$6:$C$998,H$1,'Blackout Brand Fam Areas (Enc)'!$D$6:$D$998,"Inactive")&gt;0,"BLOCKED","CAN SELL"))</f>
        <v/>
      </c>
      <c r="I256" s="2" t="str">
        <f>IF($A256="","",IF(COUNTIFS('Blackout Brand Fam Areas (Enc)'!$B$6:$B$998,$A256,'Blackout Brand Fam Areas (Enc)'!$C$6:$C$998,I$1,'Blackout Brand Fam Areas (Enc)'!$D$6:$D$998,"Inactive")&gt;0,"BLOCKED","CAN SELL"))</f>
        <v/>
      </c>
      <c r="J256" s="2" t="str">
        <f>IF($A256="","",IF(COUNTIFS('Blackout Brand Fam Areas (Enc)'!$B$6:$B$998,$A256,'Blackout Brand Fam Areas (Enc)'!$C$6:$C$998,J$1,'Blackout Brand Fam Areas (Enc)'!$D$6:$D$998,"Inactive")&gt;0,"BLOCKED","CAN SELL"))</f>
        <v/>
      </c>
      <c r="K256" s="2" t="str">
        <f>IF($A256="","",IF(COUNTIFS('Blackout Brand Fam Areas (Enc)'!$B$6:$B$998,$A256,'Blackout Brand Fam Areas (Enc)'!$C$6:$C$998,K$1,'Blackout Brand Fam Areas (Enc)'!$D$6:$D$998,"Inactive")&gt;0,"BLOCKED","CAN SELL"))</f>
        <v/>
      </c>
    </row>
    <row r="257" spans="2:11" x14ac:dyDescent="0.2">
      <c r="B257" s="2" t="str">
        <f>IF($A257="","",IF(COUNTIFS('Blackout Brand Fam Areas (Enc)'!$B$6:$B$998,$A257,'Blackout Brand Fam Areas (Enc)'!$C$6:$C$998,B$1,'Blackout Brand Fam Areas (Enc)'!$D$6:$D$998,"Inactive")&gt;0,"BLOCKED","CAN SELL"))</f>
        <v/>
      </c>
      <c r="C257" s="2" t="str">
        <f>IF($A257="","",IF(COUNTIFS('Blackout Brand Fam Areas (Enc)'!$B$6:$B$998,$A257,'Blackout Brand Fam Areas (Enc)'!$C$6:$C$998,C$1,'Blackout Brand Fam Areas (Enc)'!$D$6:$D$998,"Inactive")&gt;0,"BLOCKED","CAN SELL"))</f>
        <v/>
      </c>
      <c r="D257" s="2" t="str">
        <f>IF($A257="","",IF(COUNTIFS('Blackout Brand Fam Areas (Enc)'!$B$6:$B$998,$A257,'Blackout Brand Fam Areas (Enc)'!$C$6:$C$998,D$1,'Blackout Brand Fam Areas (Enc)'!$D$6:$D$998,"Inactive")&gt;0,"BLOCKED","CAN SELL"))</f>
        <v/>
      </c>
      <c r="E257" s="2" t="str">
        <f>IF($A257="","",IF(COUNTIFS('Blackout Brand Fam Areas (Enc)'!$B$6:$B$998,$A257,'Blackout Brand Fam Areas (Enc)'!$C$6:$C$998,E$1,'Blackout Brand Fam Areas (Enc)'!$D$6:$D$998,"Inactive")&gt;0,"BLOCKED","CAN SELL"))</f>
        <v/>
      </c>
      <c r="F257" s="2" t="str">
        <f>IF($A257="","",IF(COUNTIFS('Blackout Brand Fam Areas (Enc)'!$B$6:$B$998,$A257,'Blackout Brand Fam Areas (Enc)'!$C$6:$C$998,F$1,'Blackout Brand Fam Areas (Enc)'!$D$6:$D$998,"Inactive")&gt;0,"BLOCKED","CAN SELL"))</f>
        <v/>
      </c>
      <c r="G257" s="2" t="str">
        <f>IF($A257="","",IF(COUNTIFS('Blackout Brand Fam Areas (Enc)'!$B$6:$B$998,$A257,'Blackout Brand Fam Areas (Enc)'!$C$6:$C$998,G$1,'Blackout Brand Fam Areas (Enc)'!$D$6:$D$998,"Inactive")&gt;0,"BLOCKED","CAN SELL"))</f>
        <v/>
      </c>
      <c r="H257" s="2" t="str">
        <f>IF($A257="","",IF(COUNTIFS('Blackout Brand Fam Areas (Enc)'!$B$6:$B$998,$A257,'Blackout Brand Fam Areas (Enc)'!$C$6:$C$998,H$1,'Blackout Brand Fam Areas (Enc)'!$D$6:$D$998,"Inactive")&gt;0,"BLOCKED","CAN SELL"))</f>
        <v/>
      </c>
      <c r="I257" s="2" t="str">
        <f>IF($A257="","",IF(COUNTIFS('Blackout Brand Fam Areas (Enc)'!$B$6:$B$998,$A257,'Blackout Brand Fam Areas (Enc)'!$C$6:$C$998,I$1,'Blackout Brand Fam Areas (Enc)'!$D$6:$D$998,"Inactive")&gt;0,"BLOCKED","CAN SELL"))</f>
        <v/>
      </c>
      <c r="J257" s="2" t="str">
        <f>IF($A257="","",IF(COUNTIFS('Blackout Brand Fam Areas (Enc)'!$B$6:$B$998,$A257,'Blackout Brand Fam Areas (Enc)'!$C$6:$C$998,J$1,'Blackout Brand Fam Areas (Enc)'!$D$6:$D$998,"Inactive")&gt;0,"BLOCKED","CAN SELL"))</f>
        <v/>
      </c>
      <c r="K257" s="2" t="str">
        <f>IF($A257="","",IF(COUNTIFS('Blackout Brand Fam Areas (Enc)'!$B$6:$B$998,$A257,'Blackout Brand Fam Areas (Enc)'!$C$6:$C$998,K$1,'Blackout Brand Fam Areas (Enc)'!$D$6:$D$998,"Inactive")&gt;0,"BLOCKED","CAN SELL"))</f>
        <v/>
      </c>
    </row>
    <row r="258" spans="2:11" x14ac:dyDescent="0.2">
      <c r="B258" s="2" t="str">
        <f>IF($A258="","",IF(COUNTIFS('Blackout Brand Fam Areas (Enc)'!$B$6:$B$998,$A258,'Blackout Brand Fam Areas (Enc)'!$C$6:$C$998,B$1,'Blackout Brand Fam Areas (Enc)'!$D$6:$D$998,"Inactive")&gt;0,"BLOCKED","CAN SELL"))</f>
        <v/>
      </c>
      <c r="C258" s="2" t="str">
        <f>IF($A258="","",IF(COUNTIFS('Blackout Brand Fam Areas (Enc)'!$B$6:$B$998,$A258,'Blackout Brand Fam Areas (Enc)'!$C$6:$C$998,C$1,'Blackout Brand Fam Areas (Enc)'!$D$6:$D$998,"Inactive")&gt;0,"BLOCKED","CAN SELL"))</f>
        <v/>
      </c>
      <c r="D258" s="2" t="str">
        <f>IF($A258="","",IF(COUNTIFS('Blackout Brand Fam Areas (Enc)'!$B$6:$B$998,$A258,'Blackout Brand Fam Areas (Enc)'!$C$6:$C$998,D$1,'Blackout Brand Fam Areas (Enc)'!$D$6:$D$998,"Inactive")&gt;0,"BLOCKED","CAN SELL"))</f>
        <v/>
      </c>
      <c r="E258" s="2" t="str">
        <f>IF($A258="","",IF(COUNTIFS('Blackout Brand Fam Areas (Enc)'!$B$6:$B$998,$A258,'Blackout Brand Fam Areas (Enc)'!$C$6:$C$998,E$1,'Blackout Brand Fam Areas (Enc)'!$D$6:$D$998,"Inactive")&gt;0,"BLOCKED","CAN SELL"))</f>
        <v/>
      </c>
      <c r="F258" s="2" t="str">
        <f>IF($A258="","",IF(COUNTIFS('Blackout Brand Fam Areas (Enc)'!$B$6:$B$998,$A258,'Blackout Brand Fam Areas (Enc)'!$C$6:$C$998,F$1,'Blackout Brand Fam Areas (Enc)'!$D$6:$D$998,"Inactive")&gt;0,"BLOCKED","CAN SELL"))</f>
        <v/>
      </c>
      <c r="G258" s="2" t="str">
        <f>IF($A258="","",IF(COUNTIFS('Blackout Brand Fam Areas (Enc)'!$B$6:$B$998,$A258,'Blackout Brand Fam Areas (Enc)'!$C$6:$C$998,G$1,'Blackout Brand Fam Areas (Enc)'!$D$6:$D$998,"Inactive")&gt;0,"BLOCKED","CAN SELL"))</f>
        <v/>
      </c>
      <c r="H258" s="2" t="str">
        <f>IF($A258="","",IF(COUNTIFS('Blackout Brand Fam Areas (Enc)'!$B$6:$B$998,$A258,'Blackout Brand Fam Areas (Enc)'!$C$6:$C$998,H$1,'Blackout Brand Fam Areas (Enc)'!$D$6:$D$998,"Inactive")&gt;0,"BLOCKED","CAN SELL"))</f>
        <v/>
      </c>
      <c r="I258" s="2" t="str">
        <f>IF($A258="","",IF(COUNTIFS('Blackout Brand Fam Areas (Enc)'!$B$6:$B$998,$A258,'Blackout Brand Fam Areas (Enc)'!$C$6:$C$998,I$1,'Blackout Brand Fam Areas (Enc)'!$D$6:$D$998,"Inactive")&gt;0,"BLOCKED","CAN SELL"))</f>
        <v/>
      </c>
      <c r="J258" s="2" t="str">
        <f>IF($A258="","",IF(COUNTIFS('Blackout Brand Fam Areas (Enc)'!$B$6:$B$998,$A258,'Blackout Brand Fam Areas (Enc)'!$C$6:$C$998,J$1,'Blackout Brand Fam Areas (Enc)'!$D$6:$D$998,"Inactive")&gt;0,"BLOCKED","CAN SELL"))</f>
        <v/>
      </c>
      <c r="K258" s="2" t="str">
        <f>IF($A258="","",IF(COUNTIFS('Blackout Brand Fam Areas (Enc)'!$B$6:$B$998,$A258,'Blackout Brand Fam Areas (Enc)'!$C$6:$C$998,K$1,'Blackout Brand Fam Areas (Enc)'!$D$6:$D$998,"Inactive")&gt;0,"BLOCKED","CAN SELL"))</f>
        <v/>
      </c>
    </row>
    <row r="259" spans="2:11" x14ac:dyDescent="0.2">
      <c r="B259" s="2" t="str">
        <f>IF($A259="","",IF(COUNTIFS('Blackout Brand Fam Areas (Enc)'!$B$6:$B$998,$A259,'Blackout Brand Fam Areas (Enc)'!$C$6:$C$998,B$1,'Blackout Brand Fam Areas (Enc)'!$D$6:$D$998,"Inactive")&gt;0,"BLOCKED","CAN SELL"))</f>
        <v/>
      </c>
      <c r="C259" s="2" t="str">
        <f>IF($A259="","",IF(COUNTIFS('Blackout Brand Fam Areas (Enc)'!$B$6:$B$998,$A259,'Blackout Brand Fam Areas (Enc)'!$C$6:$C$998,C$1,'Blackout Brand Fam Areas (Enc)'!$D$6:$D$998,"Inactive")&gt;0,"BLOCKED","CAN SELL"))</f>
        <v/>
      </c>
      <c r="D259" s="2" t="str">
        <f>IF($A259="","",IF(COUNTIFS('Blackout Brand Fam Areas (Enc)'!$B$6:$B$998,$A259,'Blackout Brand Fam Areas (Enc)'!$C$6:$C$998,D$1,'Blackout Brand Fam Areas (Enc)'!$D$6:$D$998,"Inactive")&gt;0,"BLOCKED","CAN SELL"))</f>
        <v/>
      </c>
      <c r="E259" s="2" t="str">
        <f>IF($A259="","",IF(COUNTIFS('Blackout Brand Fam Areas (Enc)'!$B$6:$B$998,$A259,'Blackout Brand Fam Areas (Enc)'!$C$6:$C$998,E$1,'Blackout Brand Fam Areas (Enc)'!$D$6:$D$998,"Inactive")&gt;0,"BLOCKED","CAN SELL"))</f>
        <v/>
      </c>
      <c r="F259" s="2" t="str">
        <f>IF($A259="","",IF(COUNTIFS('Blackout Brand Fam Areas (Enc)'!$B$6:$B$998,$A259,'Blackout Brand Fam Areas (Enc)'!$C$6:$C$998,F$1,'Blackout Brand Fam Areas (Enc)'!$D$6:$D$998,"Inactive")&gt;0,"BLOCKED","CAN SELL"))</f>
        <v/>
      </c>
      <c r="G259" s="2" t="str">
        <f>IF($A259="","",IF(COUNTIFS('Blackout Brand Fam Areas (Enc)'!$B$6:$B$998,$A259,'Blackout Brand Fam Areas (Enc)'!$C$6:$C$998,G$1,'Blackout Brand Fam Areas (Enc)'!$D$6:$D$998,"Inactive")&gt;0,"BLOCKED","CAN SELL"))</f>
        <v/>
      </c>
      <c r="H259" s="2" t="str">
        <f>IF($A259="","",IF(COUNTIFS('Blackout Brand Fam Areas (Enc)'!$B$6:$B$998,$A259,'Blackout Brand Fam Areas (Enc)'!$C$6:$C$998,H$1,'Blackout Brand Fam Areas (Enc)'!$D$6:$D$998,"Inactive")&gt;0,"BLOCKED","CAN SELL"))</f>
        <v/>
      </c>
      <c r="I259" s="2" t="str">
        <f>IF($A259="","",IF(COUNTIFS('Blackout Brand Fam Areas (Enc)'!$B$6:$B$998,$A259,'Blackout Brand Fam Areas (Enc)'!$C$6:$C$998,I$1,'Blackout Brand Fam Areas (Enc)'!$D$6:$D$998,"Inactive")&gt;0,"BLOCKED","CAN SELL"))</f>
        <v/>
      </c>
      <c r="J259" s="2" t="str">
        <f>IF($A259="","",IF(COUNTIFS('Blackout Brand Fam Areas (Enc)'!$B$6:$B$998,$A259,'Blackout Brand Fam Areas (Enc)'!$C$6:$C$998,J$1,'Blackout Brand Fam Areas (Enc)'!$D$6:$D$998,"Inactive")&gt;0,"BLOCKED","CAN SELL"))</f>
        <v/>
      </c>
      <c r="K259" s="2" t="str">
        <f>IF($A259="","",IF(COUNTIFS('Blackout Brand Fam Areas (Enc)'!$B$6:$B$998,$A259,'Blackout Brand Fam Areas (Enc)'!$C$6:$C$998,K$1,'Blackout Brand Fam Areas (Enc)'!$D$6:$D$998,"Inactive")&gt;0,"BLOCKED","CAN SELL"))</f>
        <v/>
      </c>
    </row>
    <row r="260" spans="2:11" x14ac:dyDescent="0.2">
      <c r="B260" s="2" t="str">
        <f>IF($A260="","",IF(COUNTIFS('Blackout Brand Fam Areas (Enc)'!$B$6:$B$998,$A260,'Blackout Brand Fam Areas (Enc)'!$C$6:$C$998,B$1,'Blackout Brand Fam Areas (Enc)'!$D$6:$D$998,"Inactive")&gt;0,"BLOCKED","CAN SELL"))</f>
        <v/>
      </c>
      <c r="C260" s="2" t="str">
        <f>IF($A260="","",IF(COUNTIFS('Blackout Brand Fam Areas (Enc)'!$B$6:$B$998,$A260,'Blackout Brand Fam Areas (Enc)'!$C$6:$C$998,C$1,'Blackout Brand Fam Areas (Enc)'!$D$6:$D$998,"Inactive")&gt;0,"BLOCKED","CAN SELL"))</f>
        <v/>
      </c>
      <c r="D260" s="2" t="str">
        <f>IF($A260="","",IF(COUNTIFS('Blackout Brand Fam Areas (Enc)'!$B$6:$B$998,$A260,'Blackout Brand Fam Areas (Enc)'!$C$6:$C$998,D$1,'Blackout Brand Fam Areas (Enc)'!$D$6:$D$998,"Inactive")&gt;0,"BLOCKED","CAN SELL"))</f>
        <v/>
      </c>
      <c r="E260" s="2" t="str">
        <f>IF($A260="","",IF(COUNTIFS('Blackout Brand Fam Areas (Enc)'!$B$6:$B$998,$A260,'Blackout Brand Fam Areas (Enc)'!$C$6:$C$998,E$1,'Blackout Brand Fam Areas (Enc)'!$D$6:$D$998,"Inactive")&gt;0,"BLOCKED","CAN SELL"))</f>
        <v/>
      </c>
      <c r="F260" s="2" t="str">
        <f>IF($A260="","",IF(COUNTIFS('Blackout Brand Fam Areas (Enc)'!$B$6:$B$998,$A260,'Blackout Brand Fam Areas (Enc)'!$C$6:$C$998,F$1,'Blackout Brand Fam Areas (Enc)'!$D$6:$D$998,"Inactive")&gt;0,"BLOCKED","CAN SELL"))</f>
        <v/>
      </c>
      <c r="G260" s="2" t="str">
        <f>IF($A260="","",IF(COUNTIFS('Blackout Brand Fam Areas (Enc)'!$B$6:$B$998,$A260,'Blackout Brand Fam Areas (Enc)'!$C$6:$C$998,G$1,'Blackout Brand Fam Areas (Enc)'!$D$6:$D$998,"Inactive")&gt;0,"BLOCKED","CAN SELL"))</f>
        <v/>
      </c>
      <c r="H260" s="2" t="str">
        <f>IF($A260="","",IF(COUNTIFS('Blackout Brand Fam Areas (Enc)'!$B$6:$B$998,$A260,'Blackout Brand Fam Areas (Enc)'!$C$6:$C$998,H$1,'Blackout Brand Fam Areas (Enc)'!$D$6:$D$998,"Inactive")&gt;0,"BLOCKED","CAN SELL"))</f>
        <v/>
      </c>
      <c r="I260" s="2" t="str">
        <f>IF($A260="","",IF(COUNTIFS('Blackout Brand Fam Areas (Enc)'!$B$6:$B$998,$A260,'Blackout Brand Fam Areas (Enc)'!$C$6:$C$998,I$1,'Blackout Brand Fam Areas (Enc)'!$D$6:$D$998,"Inactive")&gt;0,"BLOCKED","CAN SELL"))</f>
        <v/>
      </c>
      <c r="J260" s="2" t="str">
        <f>IF($A260="","",IF(COUNTIFS('Blackout Brand Fam Areas (Enc)'!$B$6:$B$998,$A260,'Blackout Brand Fam Areas (Enc)'!$C$6:$C$998,J$1,'Blackout Brand Fam Areas (Enc)'!$D$6:$D$998,"Inactive")&gt;0,"BLOCKED","CAN SELL"))</f>
        <v/>
      </c>
      <c r="K260" s="2" t="str">
        <f>IF($A260="","",IF(COUNTIFS('Blackout Brand Fam Areas (Enc)'!$B$6:$B$998,$A260,'Blackout Brand Fam Areas (Enc)'!$C$6:$C$998,K$1,'Blackout Brand Fam Areas (Enc)'!$D$6:$D$998,"Inactive")&gt;0,"BLOCKED","CAN SELL"))</f>
        <v/>
      </c>
    </row>
    <row r="261" spans="2:11" x14ac:dyDescent="0.2">
      <c r="B261" s="2" t="str">
        <f>IF($A261="","",IF(COUNTIFS('Blackout Brand Fam Areas (Enc)'!$B$6:$B$998,$A261,'Blackout Brand Fam Areas (Enc)'!$C$6:$C$998,B$1,'Blackout Brand Fam Areas (Enc)'!$D$6:$D$998,"Inactive")&gt;0,"BLOCKED","CAN SELL"))</f>
        <v/>
      </c>
      <c r="C261" s="2" t="str">
        <f>IF($A261="","",IF(COUNTIFS('Blackout Brand Fam Areas (Enc)'!$B$6:$B$998,$A261,'Blackout Brand Fam Areas (Enc)'!$C$6:$C$998,C$1,'Blackout Brand Fam Areas (Enc)'!$D$6:$D$998,"Inactive")&gt;0,"BLOCKED","CAN SELL"))</f>
        <v/>
      </c>
      <c r="D261" s="2" t="str">
        <f>IF($A261="","",IF(COUNTIFS('Blackout Brand Fam Areas (Enc)'!$B$6:$B$998,$A261,'Blackout Brand Fam Areas (Enc)'!$C$6:$C$998,D$1,'Blackout Brand Fam Areas (Enc)'!$D$6:$D$998,"Inactive")&gt;0,"BLOCKED","CAN SELL"))</f>
        <v/>
      </c>
      <c r="E261" s="2" t="str">
        <f>IF($A261="","",IF(COUNTIFS('Blackout Brand Fam Areas (Enc)'!$B$6:$B$998,$A261,'Blackout Brand Fam Areas (Enc)'!$C$6:$C$998,E$1,'Blackout Brand Fam Areas (Enc)'!$D$6:$D$998,"Inactive")&gt;0,"BLOCKED","CAN SELL"))</f>
        <v/>
      </c>
      <c r="F261" s="2" t="str">
        <f>IF($A261="","",IF(COUNTIFS('Blackout Brand Fam Areas (Enc)'!$B$6:$B$998,$A261,'Blackout Brand Fam Areas (Enc)'!$C$6:$C$998,F$1,'Blackout Brand Fam Areas (Enc)'!$D$6:$D$998,"Inactive")&gt;0,"BLOCKED","CAN SELL"))</f>
        <v/>
      </c>
      <c r="G261" s="2" t="str">
        <f>IF($A261="","",IF(COUNTIFS('Blackout Brand Fam Areas (Enc)'!$B$6:$B$998,$A261,'Blackout Brand Fam Areas (Enc)'!$C$6:$C$998,G$1,'Blackout Brand Fam Areas (Enc)'!$D$6:$D$998,"Inactive")&gt;0,"BLOCKED","CAN SELL"))</f>
        <v/>
      </c>
      <c r="H261" s="2" t="str">
        <f>IF($A261="","",IF(COUNTIFS('Blackout Brand Fam Areas (Enc)'!$B$6:$B$998,$A261,'Blackout Brand Fam Areas (Enc)'!$C$6:$C$998,H$1,'Blackout Brand Fam Areas (Enc)'!$D$6:$D$998,"Inactive")&gt;0,"BLOCKED","CAN SELL"))</f>
        <v/>
      </c>
      <c r="I261" s="2" t="str">
        <f>IF($A261="","",IF(COUNTIFS('Blackout Brand Fam Areas (Enc)'!$B$6:$B$998,$A261,'Blackout Brand Fam Areas (Enc)'!$C$6:$C$998,I$1,'Blackout Brand Fam Areas (Enc)'!$D$6:$D$998,"Inactive")&gt;0,"BLOCKED","CAN SELL"))</f>
        <v/>
      </c>
      <c r="J261" s="2" t="str">
        <f>IF($A261="","",IF(COUNTIFS('Blackout Brand Fam Areas (Enc)'!$B$6:$B$998,$A261,'Blackout Brand Fam Areas (Enc)'!$C$6:$C$998,J$1,'Blackout Brand Fam Areas (Enc)'!$D$6:$D$998,"Inactive")&gt;0,"BLOCKED","CAN SELL"))</f>
        <v/>
      </c>
      <c r="K261" s="2" t="str">
        <f>IF($A261="","",IF(COUNTIFS('Blackout Brand Fam Areas (Enc)'!$B$6:$B$998,$A261,'Blackout Brand Fam Areas (Enc)'!$C$6:$C$998,K$1,'Blackout Brand Fam Areas (Enc)'!$D$6:$D$998,"Inactive")&gt;0,"BLOCKED","CAN SELL"))</f>
        <v/>
      </c>
    </row>
    <row r="262" spans="2:11" x14ac:dyDescent="0.2">
      <c r="B262" s="2" t="str">
        <f>IF($A262="","",IF(COUNTIFS('Blackout Brand Fam Areas (Enc)'!$B$6:$B$998,$A262,'Blackout Brand Fam Areas (Enc)'!$C$6:$C$998,B$1,'Blackout Brand Fam Areas (Enc)'!$D$6:$D$998,"Inactive")&gt;0,"BLOCKED","CAN SELL"))</f>
        <v/>
      </c>
      <c r="C262" s="2" t="str">
        <f>IF($A262="","",IF(COUNTIFS('Blackout Brand Fam Areas (Enc)'!$B$6:$B$998,$A262,'Blackout Brand Fam Areas (Enc)'!$C$6:$C$998,C$1,'Blackout Brand Fam Areas (Enc)'!$D$6:$D$998,"Inactive")&gt;0,"BLOCKED","CAN SELL"))</f>
        <v/>
      </c>
      <c r="D262" s="2" t="str">
        <f>IF($A262="","",IF(COUNTIFS('Blackout Brand Fam Areas (Enc)'!$B$6:$B$998,$A262,'Blackout Brand Fam Areas (Enc)'!$C$6:$C$998,D$1,'Blackout Brand Fam Areas (Enc)'!$D$6:$D$998,"Inactive")&gt;0,"BLOCKED","CAN SELL"))</f>
        <v/>
      </c>
      <c r="E262" s="2" t="str">
        <f>IF($A262="","",IF(COUNTIFS('Blackout Brand Fam Areas (Enc)'!$B$6:$B$998,$A262,'Blackout Brand Fam Areas (Enc)'!$C$6:$C$998,E$1,'Blackout Brand Fam Areas (Enc)'!$D$6:$D$998,"Inactive")&gt;0,"BLOCKED","CAN SELL"))</f>
        <v/>
      </c>
      <c r="F262" s="2" t="str">
        <f>IF($A262="","",IF(COUNTIFS('Blackout Brand Fam Areas (Enc)'!$B$6:$B$998,$A262,'Blackout Brand Fam Areas (Enc)'!$C$6:$C$998,F$1,'Blackout Brand Fam Areas (Enc)'!$D$6:$D$998,"Inactive")&gt;0,"BLOCKED","CAN SELL"))</f>
        <v/>
      </c>
      <c r="G262" s="2" t="str">
        <f>IF($A262="","",IF(COUNTIFS('Blackout Brand Fam Areas (Enc)'!$B$6:$B$998,$A262,'Blackout Brand Fam Areas (Enc)'!$C$6:$C$998,G$1,'Blackout Brand Fam Areas (Enc)'!$D$6:$D$998,"Inactive")&gt;0,"BLOCKED","CAN SELL"))</f>
        <v/>
      </c>
      <c r="H262" s="2" t="str">
        <f>IF($A262="","",IF(COUNTIFS('Blackout Brand Fam Areas (Enc)'!$B$6:$B$998,$A262,'Blackout Brand Fam Areas (Enc)'!$C$6:$C$998,H$1,'Blackout Brand Fam Areas (Enc)'!$D$6:$D$998,"Inactive")&gt;0,"BLOCKED","CAN SELL"))</f>
        <v/>
      </c>
      <c r="I262" s="2" t="str">
        <f>IF($A262="","",IF(COUNTIFS('Blackout Brand Fam Areas (Enc)'!$B$6:$B$998,$A262,'Blackout Brand Fam Areas (Enc)'!$C$6:$C$998,I$1,'Blackout Brand Fam Areas (Enc)'!$D$6:$D$998,"Inactive")&gt;0,"BLOCKED","CAN SELL"))</f>
        <v/>
      </c>
      <c r="J262" s="2" t="str">
        <f>IF($A262="","",IF(COUNTIFS('Blackout Brand Fam Areas (Enc)'!$B$6:$B$998,$A262,'Blackout Brand Fam Areas (Enc)'!$C$6:$C$998,J$1,'Blackout Brand Fam Areas (Enc)'!$D$6:$D$998,"Inactive")&gt;0,"BLOCKED","CAN SELL"))</f>
        <v/>
      </c>
      <c r="K262" s="2" t="str">
        <f>IF($A262="","",IF(COUNTIFS('Blackout Brand Fam Areas (Enc)'!$B$6:$B$998,$A262,'Blackout Brand Fam Areas (Enc)'!$C$6:$C$998,K$1,'Blackout Brand Fam Areas (Enc)'!$D$6:$D$998,"Inactive")&gt;0,"BLOCKED","CAN SELL"))</f>
        <v/>
      </c>
    </row>
    <row r="263" spans="2:11" x14ac:dyDescent="0.2">
      <c r="B263" s="2" t="str">
        <f>IF($A263="","",IF(COUNTIFS('Blackout Brand Fam Areas (Enc)'!$B$6:$B$998,$A263,'Blackout Brand Fam Areas (Enc)'!$C$6:$C$998,B$1,'Blackout Brand Fam Areas (Enc)'!$D$6:$D$998,"Inactive")&gt;0,"BLOCKED","CAN SELL"))</f>
        <v/>
      </c>
      <c r="C263" s="2" t="str">
        <f>IF($A263="","",IF(COUNTIFS('Blackout Brand Fam Areas (Enc)'!$B$6:$B$998,$A263,'Blackout Brand Fam Areas (Enc)'!$C$6:$C$998,C$1,'Blackout Brand Fam Areas (Enc)'!$D$6:$D$998,"Inactive")&gt;0,"BLOCKED","CAN SELL"))</f>
        <v/>
      </c>
      <c r="D263" s="2" t="str">
        <f>IF($A263="","",IF(COUNTIFS('Blackout Brand Fam Areas (Enc)'!$B$6:$B$998,$A263,'Blackout Brand Fam Areas (Enc)'!$C$6:$C$998,D$1,'Blackout Brand Fam Areas (Enc)'!$D$6:$D$998,"Inactive")&gt;0,"BLOCKED","CAN SELL"))</f>
        <v/>
      </c>
      <c r="E263" s="2" t="str">
        <f>IF($A263="","",IF(COUNTIFS('Blackout Brand Fam Areas (Enc)'!$B$6:$B$998,$A263,'Blackout Brand Fam Areas (Enc)'!$C$6:$C$998,E$1,'Blackout Brand Fam Areas (Enc)'!$D$6:$D$998,"Inactive")&gt;0,"BLOCKED","CAN SELL"))</f>
        <v/>
      </c>
      <c r="F263" s="2" t="str">
        <f>IF($A263="","",IF(COUNTIFS('Blackout Brand Fam Areas (Enc)'!$B$6:$B$998,$A263,'Blackout Brand Fam Areas (Enc)'!$C$6:$C$998,F$1,'Blackout Brand Fam Areas (Enc)'!$D$6:$D$998,"Inactive")&gt;0,"BLOCKED","CAN SELL"))</f>
        <v/>
      </c>
      <c r="G263" s="2" t="str">
        <f>IF($A263="","",IF(COUNTIFS('Blackout Brand Fam Areas (Enc)'!$B$6:$B$998,$A263,'Blackout Brand Fam Areas (Enc)'!$C$6:$C$998,G$1,'Blackout Brand Fam Areas (Enc)'!$D$6:$D$998,"Inactive")&gt;0,"BLOCKED","CAN SELL"))</f>
        <v/>
      </c>
      <c r="H263" s="2" t="str">
        <f>IF($A263="","",IF(COUNTIFS('Blackout Brand Fam Areas (Enc)'!$B$6:$B$998,$A263,'Blackout Brand Fam Areas (Enc)'!$C$6:$C$998,H$1,'Blackout Brand Fam Areas (Enc)'!$D$6:$D$998,"Inactive")&gt;0,"BLOCKED","CAN SELL"))</f>
        <v/>
      </c>
      <c r="I263" s="2" t="str">
        <f>IF($A263="","",IF(COUNTIFS('Blackout Brand Fam Areas (Enc)'!$B$6:$B$998,$A263,'Blackout Brand Fam Areas (Enc)'!$C$6:$C$998,I$1,'Blackout Brand Fam Areas (Enc)'!$D$6:$D$998,"Inactive")&gt;0,"BLOCKED","CAN SELL"))</f>
        <v/>
      </c>
      <c r="J263" s="2" t="str">
        <f>IF($A263="","",IF(COUNTIFS('Blackout Brand Fam Areas (Enc)'!$B$6:$B$998,$A263,'Blackout Brand Fam Areas (Enc)'!$C$6:$C$998,J$1,'Blackout Brand Fam Areas (Enc)'!$D$6:$D$998,"Inactive")&gt;0,"BLOCKED","CAN SELL"))</f>
        <v/>
      </c>
      <c r="K263" s="2" t="str">
        <f>IF($A263="","",IF(COUNTIFS('Blackout Brand Fam Areas (Enc)'!$B$6:$B$998,$A263,'Blackout Brand Fam Areas (Enc)'!$C$6:$C$998,K$1,'Blackout Brand Fam Areas (Enc)'!$D$6:$D$998,"Inactive")&gt;0,"BLOCKED","CAN SELL"))</f>
        <v/>
      </c>
    </row>
    <row r="264" spans="2:11" x14ac:dyDescent="0.2">
      <c r="B264" s="2" t="str">
        <f>IF($A264="","",IF(COUNTIFS('Blackout Brand Fam Areas (Enc)'!$B$6:$B$998,$A264,'Blackout Brand Fam Areas (Enc)'!$C$6:$C$998,B$1,'Blackout Brand Fam Areas (Enc)'!$D$6:$D$998,"Inactive")&gt;0,"BLOCKED","CAN SELL"))</f>
        <v/>
      </c>
      <c r="C264" s="2" t="str">
        <f>IF($A264="","",IF(COUNTIFS('Blackout Brand Fam Areas (Enc)'!$B$6:$B$998,$A264,'Blackout Brand Fam Areas (Enc)'!$C$6:$C$998,C$1,'Blackout Brand Fam Areas (Enc)'!$D$6:$D$998,"Inactive")&gt;0,"BLOCKED","CAN SELL"))</f>
        <v/>
      </c>
      <c r="D264" s="2" t="str">
        <f>IF($A264="","",IF(COUNTIFS('Blackout Brand Fam Areas (Enc)'!$B$6:$B$998,$A264,'Blackout Brand Fam Areas (Enc)'!$C$6:$C$998,D$1,'Blackout Brand Fam Areas (Enc)'!$D$6:$D$998,"Inactive")&gt;0,"BLOCKED","CAN SELL"))</f>
        <v/>
      </c>
      <c r="E264" s="2" t="str">
        <f>IF($A264="","",IF(COUNTIFS('Blackout Brand Fam Areas (Enc)'!$B$6:$B$998,$A264,'Blackout Brand Fam Areas (Enc)'!$C$6:$C$998,E$1,'Blackout Brand Fam Areas (Enc)'!$D$6:$D$998,"Inactive")&gt;0,"BLOCKED","CAN SELL"))</f>
        <v/>
      </c>
      <c r="F264" s="2" t="str">
        <f>IF($A264="","",IF(COUNTIFS('Blackout Brand Fam Areas (Enc)'!$B$6:$B$998,$A264,'Blackout Brand Fam Areas (Enc)'!$C$6:$C$998,F$1,'Blackout Brand Fam Areas (Enc)'!$D$6:$D$998,"Inactive")&gt;0,"BLOCKED","CAN SELL"))</f>
        <v/>
      </c>
      <c r="G264" s="2" t="str">
        <f>IF($A264="","",IF(COUNTIFS('Blackout Brand Fam Areas (Enc)'!$B$6:$B$998,$A264,'Blackout Brand Fam Areas (Enc)'!$C$6:$C$998,G$1,'Blackout Brand Fam Areas (Enc)'!$D$6:$D$998,"Inactive")&gt;0,"BLOCKED","CAN SELL"))</f>
        <v/>
      </c>
      <c r="H264" s="2" t="str">
        <f>IF($A264="","",IF(COUNTIFS('Blackout Brand Fam Areas (Enc)'!$B$6:$B$998,$A264,'Blackout Brand Fam Areas (Enc)'!$C$6:$C$998,H$1,'Blackout Brand Fam Areas (Enc)'!$D$6:$D$998,"Inactive")&gt;0,"BLOCKED","CAN SELL"))</f>
        <v/>
      </c>
      <c r="I264" s="2" t="str">
        <f>IF($A264="","",IF(COUNTIFS('Blackout Brand Fam Areas (Enc)'!$B$6:$B$998,$A264,'Blackout Brand Fam Areas (Enc)'!$C$6:$C$998,I$1,'Blackout Brand Fam Areas (Enc)'!$D$6:$D$998,"Inactive")&gt;0,"BLOCKED","CAN SELL"))</f>
        <v/>
      </c>
      <c r="J264" s="2" t="str">
        <f>IF($A264="","",IF(COUNTIFS('Blackout Brand Fam Areas (Enc)'!$B$6:$B$998,$A264,'Blackout Brand Fam Areas (Enc)'!$C$6:$C$998,J$1,'Blackout Brand Fam Areas (Enc)'!$D$6:$D$998,"Inactive")&gt;0,"BLOCKED","CAN SELL"))</f>
        <v/>
      </c>
      <c r="K264" s="2" t="str">
        <f>IF($A264="","",IF(COUNTIFS('Blackout Brand Fam Areas (Enc)'!$B$6:$B$998,$A264,'Blackout Brand Fam Areas (Enc)'!$C$6:$C$998,K$1,'Blackout Brand Fam Areas (Enc)'!$D$6:$D$998,"Inactive")&gt;0,"BLOCKED","CAN SELL"))</f>
        <v/>
      </c>
    </row>
    <row r="265" spans="2:11" x14ac:dyDescent="0.2">
      <c r="B265" s="2" t="str">
        <f>IF($A265="","",IF(COUNTIFS('Blackout Brand Fam Areas (Enc)'!$B$6:$B$998,$A265,'Blackout Brand Fam Areas (Enc)'!$C$6:$C$998,B$1,'Blackout Brand Fam Areas (Enc)'!$D$6:$D$998,"Inactive")&gt;0,"BLOCKED","CAN SELL"))</f>
        <v/>
      </c>
      <c r="C265" s="2" t="str">
        <f>IF($A265="","",IF(COUNTIFS('Blackout Brand Fam Areas (Enc)'!$B$6:$B$998,$A265,'Blackout Brand Fam Areas (Enc)'!$C$6:$C$998,C$1,'Blackout Brand Fam Areas (Enc)'!$D$6:$D$998,"Inactive")&gt;0,"BLOCKED","CAN SELL"))</f>
        <v/>
      </c>
      <c r="D265" s="2" t="str">
        <f>IF($A265="","",IF(COUNTIFS('Blackout Brand Fam Areas (Enc)'!$B$6:$B$998,$A265,'Blackout Brand Fam Areas (Enc)'!$C$6:$C$998,D$1,'Blackout Brand Fam Areas (Enc)'!$D$6:$D$998,"Inactive")&gt;0,"BLOCKED","CAN SELL"))</f>
        <v/>
      </c>
      <c r="E265" s="2" t="str">
        <f>IF($A265="","",IF(COUNTIFS('Blackout Brand Fam Areas (Enc)'!$B$6:$B$998,$A265,'Blackout Brand Fam Areas (Enc)'!$C$6:$C$998,E$1,'Blackout Brand Fam Areas (Enc)'!$D$6:$D$998,"Inactive")&gt;0,"BLOCKED","CAN SELL"))</f>
        <v/>
      </c>
      <c r="F265" s="2" t="str">
        <f>IF($A265="","",IF(COUNTIFS('Blackout Brand Fam Areas (Enc)'!$B$6:$B$998,$A265,'Blackout Brand Fam Areas (Enc)'!$C$6:$C$998,F$1,'Blackout Brand Fam Areas (Enc)'!$D$6:$D$998,"Inactive")&gt;0,"BLOCKED","CAN SELL"))</f>
        <v/>
      </c>
      <c r="G265" s="2" t="str">
        <f>IF($A265="","",IF(COUNTIFS('Blackout Brand Fam Areas (Enc)'!$B$6:$B$998,$A265,'Blackout Brand Fam Areas (Enc)'!$C$6:$C$998,G$1,'Blackout Brand Fam Areas (Enc)'!$D$6:$D$998,"Inactive")&gt;0,"BLOCKED","CAN SELL"))</f>
        <v/>
      </c>
      <c r="H265" s="2" t="str">
        <f>IF($A265="","",IF(COUNTIFS('Blackout Brand Fam Areas (Enc)'!$B$6:$B$998,$A265,'Blackout Brand Fam Areas (Enc)'!$C$6:$C$998,H$1,'Blackout Brand Fam Areas (Enc)'!$D$6:$D$998,"Inactive")&gt;0,"BLOCKED","CAN SELL"))</f>
        <v/>
      </c>
      <c r="I265" s="2" t="str">
        <f>IF($A265="","",IF(COUNTIFS('Blackout Brand Fam Areas (Enc)'!$B$6:$B$998,$A265,'Blackout Brand Fam Areas (Enc)'!$C$6:$C$998,I$1,'Blackout Brand Fam Areas (Enc)'!$D$6:$D$998,"Inactive")&gt;0,"BLOCKED","CAN SELL"))</f>
        <v/>
      </c>
      <c r="J265" s="2" t="str">
        <f>IF($A265="","",IF(COUNTIFS('Blackout Brand Fam Areas (Enc)'!$B$6:$B$998,$A265,'Blackout Brand Fam Areas (Enc)'!$C$6:$C$998,J$1,'Blackout Brand Fam Areas (Enc)'!$D$6:$D$998,"Inactive")&gt;0,"BLOCKED","CAN SELL"))</f>
        <v/>
      </c>
      <c r="K265" s="2" t="str">
        <f>IF($A265="","",IF(COUNTIFS('Blackout Brand Fam Areas (Enc)'!$B$6:$B$998,$A265,'Blackout Brand Fam Areas (Enc)'!$C$6:$C$998,K$1,'Blackout Brand Fam Areas (Enc)'!$D$6:$D$998,"Inactive")&gt;0,"BLOCKED","CAN SELL"))</f>
        <v/>
      </c>
    </row>
    <row r="266" spans="2:11" x14ac:dyDescent="0.2">
      <c r="B266" s="2" t="str">
        <f>IF($A266="","",IF(COUNTIFS('Blackout Brand Fam Areas (Enc)'!$B$6:$B$998,$A266,'Blackout Brand Fam Areas (Enc)'!$C$6:$C$998,B$1,'Blackout Brand Fam Areas (Enc)'!$D$6:$D$998,"Inactive")&gt;0,"BLOCKED","CAN SELL"))</f>
        <v/>
      </c>
      <c r="C266" s="2" t="str">
        <f>IF($A266="","",IF(COUNTIFS('Blackout Brand Fam Areas (Enc)'!$B$6:$B$998,$A266,'Blackout Brand Fam Areas (Enc)'!$C$6:$C$998,C$1,'Blackout Brand Fam Areas (Enc)'!$D$6:$D$998,"Inactive")&gt;0,"BLOCKED","CAN SELL"))</f>
        <v/>
      </c>
      <c r="D266" s="2" t="str">
        <f>IF($A266="","",IF(COUNTIFS('Blackout Brand Fam Areas (Enc)'!$B$6:$B$998,$A266,'Blackout Brand Fam Areas (Enc)'!$C$6:$C$998,D$1,'Blackout Brand Fam Areas (Enc)'!$D$6:$D$998,"Inactive")&gt;0,"BLOCKED","CAN SELL"))</f>
        <v/>
      </c>
      <c r="E266" s="2" t="str">
        <f>IF($A266="","",IF(COUNTIFS('Blackout Brand Fam Areas (Enc)'!$B$6:$B$998,$A266,'Blackout Brand Fam Areas (Enc)'!$C$6:$C$998,E$1,'Blackout Brand Fam Areas (Enc)'!$D$6:$D$998,"Inactive")&gt;0,"BLOCKED","CAN SELL"))</f>
        <v/>
      </c>
      <c r="F266" s="2" t="str">
        <f>IF($A266="","",IF(COUNTIFS('Blackout Brand Fam Areas (Enc)'!$B$6:$B$998,$A266,'Blackout Brand Fam Areas (Enc)'!$C$6:$C$998,F$1,'Blackout Brand Fam Areas (Enc)'!$D$6:$D$998,"Inactive")&gt;0,"BLOCKED","CAN SELL"))</f>
        <v/>
      </c>
      <c r="G266" s="2" t="str">
        <f>IF($A266="","",IF(COUNTIFS('Blackout Brand Fam Areas (Enc)'!$B$6:$B$998,$A266,'Blackout Brand Fam Areas (Enc)'!$C$6:$C$998,G$1,'Blackout Brand Fam Areas (Enc)'!$D$6:$D$998,"Inactive")&gt;0,"BLOCKED","CAN SELL"))</f>
        <v/>
      </c>
      <c r="H266" s="2" t="str">
        <f>IF($A266="","",IF(COUNTIFS('Blackout Brand Fam Areas (Enc)'!$B$6:$B$998,$A266,'Blackout Brand Fam Areas (Enc)'!$C$6:$C$998,H$1,'Blackout Brand Fam Areas (Enc)'!$D$6:$D$998,"Inactive")&gt;0,"BLOCKED","CAN SELL"))</f>
        <v/>
      </c>
      <c r="I266" s="2" t="str">
        <f>IF($A266="","",IF(COUNTIFS('Blackout Brand Fam Areas (Enc)'!$B$6:$B$998,$A266,'Blackout Brand Fam Areas (Enc)'!$C$6:$C$998,I$1,'Blackout Brand Fam Areas (Enc)'!$D$6:$D$998,"Inactive")&gt;0,"BLOCKED","CAN SELL"))</f>
        <v/>
      </c>
      <c r="J266" s="2" t="str">
        <f>IF($A266="","",IF(COUNTIFS('Blackout Brand Fam Areas (Enc)'!$B$6:$B$998,$A266,'Blackout Brand Fam Areas (Enc)'!$C$6:$C$998,J$1,'Blackout Brand Fam Areas (Enc)'!$D$6:$D$998,"Inactive")&gt;0,"BLOCKED","CAN SELL"))</f>
        <v/>
      </c>
      <c r="K266" s="2" t="str">
        <f>IF($A266="","",IF(COUNTIFS('Blackout Brand Fam Areas (Enc)'!$B$6:$B$998,$A266,'Blackout Brand Fam Areas (Enc)'!$C$6:$C$998,K$1,'Blackout Brand Fam Areas (Enc)'!$D$6:$D$998,"Inactive")&gt;0,"BLOCKED","CAN SELL"))</f>
        <v/>
      </c>
    </row>
    <row r="267" spans="2:11" x14ac:dyDescent="0.2">
      <c r="B267" s="2" t="str">
        <f>IF($A267="","",IF(COUNTIFS('Blackout Brand Fam Areas (Enc)'!$B$6:$B$998,$A267,'Blackout Brand Fam Areas (Enc)'!$C$6:$C$998,B$1,'Blackout Brand Fam Areas (Enc)'!$D$6:$D$998,"Inactive")&gt;0,"BLOCKED","CAN SELL"))</f>
        <v/>
      </c>
      <c r="C267" s="2" t="str">
        <f>IF($A267="","",IF(COUNTIFS('Blackout Brand Fam Areas (Enc)'!$B$6:$B$998,$A267,'Blackout Brand Fam Areas (Enc)'!$C$6:$C$998,C$1,'Blackout Brand Fam Areas (Enc)'!$D$6:$D$998,"Inactive")&gt;0,"BLOCKED","CAN SELL"))</f>
        <v/>
      </c>
      <c r="D267" s="2" t="str">
        <f>IF($A267="","",IF(COUNTIFS('Blackout Brand Fam Areas (Enc)'!$B$6:$B$998,$A267,'Blackout Brand Fam Areas (Enc)'!$C$6:$C$998,D$1,'Blackout Brand Fam Areas (Enc)'!$D$6:$D$998,"Inactive")&gt;0,"BLOCKED","CAN SELL"))</f>
        <v/>
      </c>
      <c r="E267" s="2" t="str">
        <f>IF($A267="","",IF(COUNTIFS('Blackout Brand Fam Areas (Enc)'!$B$6:$B$998,$A267,'Blackout Brand Fam Areas (Enc)'!$C$6:$C$998,E$1,'Blackout Brand Fam Areas (Enc)'!$D$6:$D$998,"Inactive")&gt;0,"BLOCKED","CAN SELL"))</f>
        <v/>
      </c>
      <c r="F267" s="2" t="str">
        <f>IF($A267="","",IF(COUNTIFS('Blackout Brand Fam Areas (Enc)'!$B$6:$B$998,$A267,'Blackout Brand Fam Areas (Enc)'!$C$6:$C$998,F$1,'Blackout Brand Fam Areas (Enc)'!$D$6:$D$998,"Inactive")&gt;0,"BLOCKED","CAN SELL"))</f>
        <v/>
      </c>
      <c r="G267" s="2" t="str">
        <f>IF($A267="","",IF(COUNTIFS('Blackout Brand Fam Areas (Enc)'!$B$6:$B$998,$A267,'Blackout Brand Fam Areas (Enc)'!$C$6:$C$998,G$1,'Blackout Brand Fam Areas (Enc)'!$D$6:$D$998,"Inactive")&gt;0,"BLOCKED","CAN SELL"))</f>
        <v/>
      </c>
      <c r="H267" s="2" t="str">
        <f>IF($A267="","",IF(COUNTIFS('Blackout Brand Fam Areas (Enc)'!$B$6:$B$998,$A267,'Blackout Brand Fam Areas (Enc)'!$C$6:$C$998,H$1,'Blackout Brand Fam Areas (Enc)'!$D$6:$D$998,"Inactive")&gt;0,"BLOCKED","CAN SELL"))</f>
        <v/>
      </c>
      <c r="I267" s="2" t="str">
        <f>IF($A267="","",IF(COUNTIFS('Blackout Brand Fam Areas (Enc)'!$B$6:$B$998,$A267,'Blackout Brand Fam Areas (Enc)'!$C$6:$C$998,I$1,'Blackout Brand Fam Areas (Enc)'!$D$6:$D$998,"Inactive")&gt;0,"BLOCKED","CAN SELL"))</f>
        <v/>
      </c>
      <c r="J267" s="2" t="str">
        <f>IF($A267="","",IF(COUNTIFS('Blackout Brand Fam Areas (Enc)'!$B$6:$B$998,$A267,'Blackout Brand Fam Areas (Enc)'!$C$6:$C$998,J$1,'Blackout Brand Fam Areas (Enc)'!$D$6:$D$998,"Inactive")&gt;0,"BLOCKED","CAN SELL"))</f>
        <v/>
      </c>
      <c r="K267" s="2" t="str">
        <f>IF($A267="","",IF(COUNTIFS('Blackout Brand Fam Areas (Enc)'!$B$6:$B$998,$A267,'Blackout Brand Fam Areas (Enc)'!$C$6:$C$998,K$1,'Blackout Brand Fam Areas (Enc)'!$D$6:$D$998,"Inactive")&gt;0,"BLOCKED","CAN SELL"))</f>
        <v/>
      </c>
    </row>
    <row r="268" spans="2:11" x14ac:dyDescent="0.2">
      <c r="B268" s="2" t="str">
        <f>IF($A268="","",IF(COUNTIFS('Blackout Brand Fam Areas (Enc)'!$B$6:$B$998,$A268,'Blackout Brand Fam Areas (Enc)'!$C$6:$C$998,B$1,'Blackout Brand Fam Areas (Enc)'!$D$6:$D$998,"Inactive")&gt;0,"BLOCKED","CAN SELL"))</f>
        <v/>
      </c>
      <c r="C268" s="2" t="str">
        <f>IF($A268="","",IF(COUNTIFS('Blackout Brand Fam Areas (Enc)'!$B$6:$B$998,$A268,'Blackout Brand Fam Areas (Enc)'!$C$6:$C$998,C$1,'Blackout Brand Fam Areas (Enc)'!$D$6:$D$998,"Inactive")&gt;0,"BLOCKED","CAN SELL"))</f>
        <v/>
      </c>
      <c r="D268" s="2" t="str">
        <f>IF($A268="","",IF(COUNTIFS('Blackout Brand Fam Areas (Enc)'!$B$6:$B$998,$A268,'Blackout Brand Fam Areas (Enc)'!$C$6:$C$998,D$1,'Blackout Brand Fam Areas (Enc)'!$D$6:$D$998,"Inactive")&gt;0,"BLOCKED","CAN SELL"))</f>
        <v/>
      </c>
      <c r="E268" s="2" t="str">
        <f>IF($A268="","",IF(COUNTIFS('Blackout Brand Fam Areas (Enc)'!$B$6:$B$998,$A268,'Blackout Brand Fam Areas (Enc)'!$C$6:$C$998,E$1,'Blackout Brand Fam Areas (Enc)'!$D$6:$D$998,"Inactive")&gt;0,"BLOCKED","CAN SELL"))</f>
        <v/>
      </c>
      <c r="F268" s="2" t="str">
        <f>IF($A268="","",IF(COUNTIFS('Blackout Brand Fam Areas (Enc)'!$B$6:$B$998,$A268,'Blackout Brand Fam Areas (Enc)'!$C$6:$C$998,F$1,'Blackout Brand Fam Areas (Enc)'!$D$6:$D$998,"Inactive")&gt;0,"BLOCKED","CAN SELL"))</f>
        <v/>
      </c>
      <c r="G268" s="2" t="str">
        <f>IF($A268="","",IF(COUNTIFS('Blackout Brand Fam Areas (Enc)'!$B$6:$B$998,$A268,'Blackout Brand Fam Areas (Enc)'!$C$6:$C$998,G$1,'Blackout Brand Fam Areas (Enc)'!$D$6:$D$998,"Inactive")&gt;0,"BLOCKED","CAN SELL"))</f>
        <v/>
      </c>
      <c r="H268" s="2" t="str">
        <f>IF($A268="","",IF(COUNTIFS('Blackout Brand Fam Areas (Enc)'!$B$6:$B$998,$A268,'Blackout Brand Fam Areas (Enc)'!$C$6:$C$998,H$1,'Blackout Brand Fam Areas (Enc)'!$D$6:$D$998,"Inactive")&gt;0,"BLOCKED","CAN SELL"))</f>
        <v/>
      </c>
      <c r="I268" s="2" t="str">
        <f>IF($A268="","",IF(COUNTIFS('Blackout Brand Fam Areas (Enc)'!$B$6:$B$998,$A268,'Blackout Brand Fam Areas (Enc)'!$C$6:$C$998,I$1,'Blackout Brand Fam Areas (Enc)'!$D$6:$D$998,"Inactive")&gt;0,"BLOCKED","CAN SELL"))</f>
        <v/>
      </c>
      <c r="J268" s="2" t="str">
        <f>IF($A268="","",IF(COUNTIFS('Blackout Brand Fam Areas (Enc)'!$B$6:$B$998,$A268,'Blackout Brand Fam Areas (Enc)'!$C$6:$C$998,J$1,'Blackout Brand Fam Areas (Enc)'!$D$6:$D$998,"Inactive")&gt;0,"BLOCKED","CAN SELL"))</f>
        <v/>
      </c>
      <c r="K268" s="2" t="str">
        <f>IF($A268="","",IF(COUNTIFS('Blackout Brand Fam Areas (Enc)'!$B$6:$B$998,$A268,'Blackout Brand Fam Areas (Enc)'!$C$6:$C$998,K$1,'Blackout Brand Fam Areas (Enc)'!$D$6:$D$998,"Inactive")&gt;0,"BLOCKED","CAN SELL"))</f>
        <v/>
      </c>
    </row>
    <row r="269" spans="2:11" x14ac:dyDescent="0.2">
      <c r="B269" s="2" t="str">
        <f>IF($A269="","",IF(COUNTIFS('Blackout Brand Fam Areas (Enc)'!$B$6:$B$998,$A269,'Blackout Brand Fam Areas (Enc)'!$C$6:$C$998,B$1,'Blackout Brand Fam Areas (Enc)'!$D$6:$D$998,"Inactive")&gt;0,"BLOCKED","CAN SELL"))</f>
        <v/>
      </c>
      <c r="C269" s="2" t="str">
        <f>IF($A269="","",IF(COUNTIFS('Blackout Brand Fam Areas (Enc)'!$B$6:$B$998,$A269,'Blackout Brand Fam Areas (Enc)'!$C$6:$C$998,C$1,'Blackout Brand Fam Areas (Enc)'!$D$6:$D$998,"Inactive")&gt;0,"BLOCKED","CAN SELL"))</f>
        <v/>
      </c>
      <c r="D269" s="2" t="str">
        <f>IF($A269="","",IF(COUNTIFS('Blackout Brand Fam Areas (Enc)'!$B$6:$B$998,$A269,'Blackout Brand Fam Areas (Enc)'!$C$6:$C$998,D$1,'Blackout Brand Fam Areas (Enc)'!$D$6:$D$998,"Inactive")&gt;0,"BLOCKED","CAN SELL"))</f>
        <v/>
      </c>
      <c r="E269" s="2" t="str">
        <f>IF($A269="","",IF(COUNTIFS('Blackout Brand Fam Areas (Enc)'!$B$6:$B$998,$A269,'Blackout Brand Fam Areas (Enc)'!$C$6:$C$998,E$1,'Blackout Brand Fam Areas (Enc)'!$D$6:$D$998,"Inactive")&gt;0,"BLOCKED","CAN SELL"))</f>
        <v/>
      </c>
      <c r="F269" s="2" t="str">
        <f>IF($A269="","",IF(COUNTIFS('Blackout Brand Fam Areas (Enc)'!$B$6:$B$998,$A269,'Blackout Brand Fam Areas (Enc)'!$C$6:$C$998,F$1,'Blackout Brand Fam Areas (Enc)'!$D$6:$D$998,"Inactive")&gt;0,"BLOCKED","CAN SELL"))</f>
        <v/>
      </c>
      <c r="G269" s="2" t="str">
        <f>IF($A269="","",IF(COUNTIFS('Blackout Brand Fam Areas (Enc)'!$B$6:$B$998,$A269,'Blackout Brand Fam Areas (Enc)'!$C$6:$C$998,G$1,'Blackout Brand Fam Areas (Enc)'!$D$6:$D$998,"Inactive")&gt;0,"BLOCKED","CAN SELL"))</f>
        <v/>
      </c>
      <c r="H269" s="2" t="str">
        <f>IF($A269="","",IF(COUNTIFS('Blackout Brand Fam Areas (Enc)'!$B$6:$B$998,$A269,'Blackout Brand Fam Areas (Enc)'!$C$6:$C$998,H$1,'Blackout Brand Fam Areas (Enc)'!$D$6:$D$998,"Inactive")&gt;0,"BLOCKED","CAN SELL"))</f>
        <v/>
      </c>
      <c r="I269" s="2" t="str">
        <f>IF($A269="","",IF(COUNTIFS('Blackout Brand Fam Areas (Enc)'!$B$6:$B$998,$A269,'Blackout Brand Fam Areas (Enc)'!$C$6:$C$998,I$1,'Blackout Brand Fam Areas (Enc)'!$D$6:$D$998,"Inactive")&gt;0,"BLOCKED","CAN SELL"))</f>
        <v/>
      </c>
      <c r="J269" s="2" t="str">
        <f>IF($A269="","",IF(COUNTIFS('Blackout Brand Fam Areas (Enc)'!$B$6:$B$998,$A269,'Blackout Brand Fam Areas (Enc)'!$C$6:$C$998,J$1,'Blackout Brand Fam Areas (Enc)'!$D$6:$D$998,"Inactive")&gt;0,"BLOCKED","CAN SELL"))</f>
        <v/>
      </c>
      <c r="K269" s="2" t="str">
        <f>IF($A269="","",IF(COUNTIFS('Blackout Brand Fam Areas (Enc)'!$B$6:$B$998,$A269,'Blackout Brand Fam Areas (Enc)'!$C$6:$C$998,K$1,'Blackout Brand Fam Areas (Enc)'!$D$6:$D$998,"Inactive")&gt;0,"BLOCKED","CAN SELL"))</f>
        <v/>
      </c>
    </row>
    <row r="270" spans="2:11" x14ac:dyDescent="0.2">
      <c r="B270" s="2" t="str">
        <f>IF($A270="","",IF(COUNTIFS('Blackout Brand Fam Areas (Enc)'!$B$6:$B$998,$A270,'Blackout Brand Fam Areas (Enc)'!$C$6:$C$998,B$1,'Blackout Brand Fam Areas (Enc)'!$D$6:$D$998,"Inactive")&gt;0,"BLOCKED","CAN SELL"))</f>
        <v/>
      </c>
      <c r="C270" s="2" t="str">
        <f>IF($A270="","",IF(COUNTIFS('Blackout Brand Fam Areas (Enc)'!$B$6:$B$998,$A270,'Blackout Brand Fam Areas (Enc)'!$C$6:$C$998,C$1,'Blackout Brand Fam Areas (Enc)'!$D$6:$D$998,"Inactive")&gt;0,"BLOCKED","CAN SELL"))</f>
        <v/>
      </c>
      <c r="D270" s="2" t="str">
        <f>IF($A270="","",IF(COUNTIFS('Blackout Brand Fam Areas (Enc)'!$B$6:$B$998,$A270,'Blackout Brand Fam Areas (Enc)'!$C$6:$C$998,D$1,'Blackout Brand Fam Areas (Enc)'!$D$6:$D$998,"Inactive")&gt;0,"BLOCKED","CAN SELL"))</f>
        <v/>
      </c>
      <c r="E270" s="2" t="str">
        <f>IF($A270="","",IF(COUNTIFS('Blackout Brand Fam Areas (Enc)'!$B$6:$B$998,$A270,'Blackout Brand Fam Areas (Enc)'!$C$6:$C$998,E$1,'Blackout Brand Fam Areas (Enc)'!$D$6:$D$998,"Inactive")&gt;0,"BLOCKED","CAN SELL"))</f>
        <v/>
      </c>
      <c r="F270" s="2" t="str">
        <f>IF($A270="","",IF(COUNTIFS('Blackout Brand Fam Areas (Enc)'!$B$6:$B$998,$A270,'Blackout Brand Fam Areas (Enc)'!$C$6:$C$998,F$1,'Blackout Brand Fam Areas (Enc)'!$D$6:$D$998,"Inactive")&gt;0,"BLOCKED","CAN SELL"))</f>
        <v/>
      </c>
      <c r="G270" s="2" t="str">
        <f>IF($A270="","",IF(COUNTIFS('Blackout Brand Fam Areas (Enc)'!$B$6:$B$998,$A270,'Blackout Brand Fam Areas (Enc)'!$C$6:$C$998,G$1,'Blackout Brand Fam Areas (Enc)'!$D$6:$D$998,"Inactive")&gt;0,"BLOCKED","CAN SELL"))</f>
        <v/>
      </c>
      <c r="H270" s="2" t="str">
        <f>IF($A270="","",IF(COUNTIFS('Blackout Brand Fam Areas (Enc)'!$B$6:$B$998,$A270,'Blackout Brand Fam Areas (Enc)'!$C$6:$C$998,H$1,'Blackout Brand Fam Areas (Enc)'!$D$6:$D$998,"Inactive")&gt;0,"BLOCKED","CAN SELL"))</f>
        <v/>
      </c>
      <c r="I270" s="2" t="str">
        <f>IF($A270="","",IF(COUNTIFS('Blackout Brand Fam Areas (Enc)'!$B$6:$B$998,$A270,'Blackout Brand Fam Areas (Enc)'!$C$6:$C$998,I$1,'Blackout Brand Fam Areas (Enc)'!$D$6:$D$998,"Inactive")&gt;0,"BLOCKED","CAN SELL"))</f>
        <v/>
      </c>
      <c r="J270" s="2" t="str">
        <f>IF($A270="","",IF(COUNTIFS('Blackout Brand Fam Areas (Enc)'!$B$6:$B$998,$A270,'Blackout Brand Fam Areas (Enc)'!$C$6:$C$998,J$1,'Blackout Brand Fam Areas (Enc)'!$D$6:$D$998,"Inactive")&gt;0,"BLOCKED","CAN SELL"))</f>
        <v/>
      </c>
      <c r="K270" s="2" t="str">
        <f>IF($A270="","",IF(COUNTIFS('Blackout Brand Fam Areas (Enc)'!$B$6:$B$998,$A270,'Blackout Brand Fam Areas (Enc)'!$C$6:$C$998,K$1,'Blackout Brand Fam Areas (Enc)'!$D$6:$D$998,"Inactive")&gt;0,"BLOCKED","CAN SELL"))</f>
        <v/>
      </c>
    </row>
    <row r="271" spans="2:11" x14ac:dyDescent="0.2">
      <c r="B271" s="2" t="str">
        <f>IF($A271="","",IF(COUNTIFS('Blackout Brand Fam Areas (Enc)'!$B$6:$B$998,$A271,'Blackout Brand Fam Areas (Enc)'!$C$6:$C$998,B$1,'Blackout Brand Fam Areas (Enc)'!$D$6:$D$998,"Inactive")&gt;0,"BLOCKED","CAN SELL"))</f>
        <v/>
      </c>
      <c r="C271" s="2" t="str">
        <f>IF($A271="","",IF(COUNTIFS('Blackout Brand Fam Areas (Enc)'!$B$6:$B$998,$A271,'Blackout Brand Fam Areas (Enc)'!$C$6:$C$998,C$1,'Blackout Brand Fam Areas (Enc)'!$D$6:$D$998,"Inactive")&gt;0,"BLOCKED","CAN SELL"))</f>
        <v/>
      </c>
      <c r="D271" s="2" t="str">
        <f>IF($A271="","",IF(COUNTIFS('Blackout Brand Fam Areas (Enc)'!$B$6:$B$998,$A271,'Blackout Brand Fam Areas (Enc)'!$C$6:$C$998,D$1,'Blackout Brand Fam Areas (Enc)'!$D$6:$D$998,"Inactive")&gt;0,"BLOCKED","CAN SELL"))</f>
        <v/>
      </c>
      <c r="E271" s="2" t="str">
        <f>IF($A271="","",IF(COUNTIFS('Blackout Brand Fam Areas (Enc)'!$B$6:$B$998,$A271,'Blackout Brand Fam Areas (Enc)'!$C$6:$C$998,E$1,'Blackout Brand Fam Areas (Enc)'!$D$6:$D$998,"Inactive")&gt;0,"BLOCKED","CAN SELL"))</f>
        <v/>
      </c>
      <c r="F271" s="2" t="str">
        <f>IF($A271="","",IF(COUNTIFS('Blackout Brand Fam Areas (Enc)'!$B$6:$B$998,$A271,'Blackout Brand Fam Areas (Enc)'!$C$6:$C$998,F$1,'Blackout Brand Fam Areas (Enc)'!$D$6:$D$998,"Inactive")&gt;0,"BLOCKED","CAN SELL"))</f>
        <v/>
      </c>
      <c r="G271" s="2" t="str">
        <f>IF($A271="","",IF(COUNTIFS('Blackout Brand Fam Areas (Enc)'!$B$6:$B$998,$A271,'Blackout Brand Fam Areas (Enc)'!$C$6:$C$998,G$1,'Blackout Brand Fam Areas (Enc)'!$D$6:$D$998,"Inactive")&gt;0,"BLOCKED","CAN SELL"))</f>
        <v/>
      </c>
      <c r="H271" s="2" t="str">
        <f>IF($A271="","",IF(COUNTIFS('Blackout Brand Fam Areas (Enc)'!$B$6:$B$998,$A271,'Blackout Brand Fam Areas (Enc)'!$C$6:$C$998,H$1,'Blackout Brand Fam Areas (Enc)'!$D$6:$D$998,"Inactive")&gt;0,"BLOCKED","CAN SELL"))</f>
        <v/>
      </c>
      <c r="I271" s="2" t="str">
        <f>IF($A271="","",IF(COUNTIFS('Blackout Brand Fam Areas (Enc)'!$B$6:$B$998,$A271,'Blackout Brand Fam Areas (Enc)'!$C$6:$C$998,I$1,'Blackout Brand Fam Areas (Enc)'!$D$6:$D$998,"Inactive")&gt;0,"BLOCKED","CAN SELL"))</f>
        <v/>
      </c>
      <c r="J271" s="2" t="str">
        <f>IF($A271="","",IF(COUNTIFS('Blackout Brand Fam Areas (Enc)'!$B$6:$B$998,$A271,'Blackout Brand Fam Areas (Enc)'!$C$6:$C$998,J$1,'Blackout Brand Fam Areas (Enc)'!$D$6:$D$998,"Inactive")&gt;0,"BLOCKED","CAN SELL"))</f>
        <v/>
      </c>
      <c r="K271" s="2" t="str">
        <f>IF($A271="","",IF(COUNTIFS('Blackout Brand Fam Areas (Enc)'!$B$6:$B$998,$A271,'Blackout Brand Fam Areas (Enc)'!$C$6:$C$998,K$1,'Blackout Brand Fam Areas (Enc)'!$D$6:$D$998,"Inactive")&gt;0,"BLOCKED","CAN SELL"))</f>
        <v/>
      </c>
    </row>
    <row r="272" spans="2:11" x14ac:dyDescent="0.2">
      <c r="B272" s="2" t="str">
        <f>IF($A272="","",IF(COUNTIFS('Blackout Brand Fam Areas (Enc)'!$B$6:$B$998,$A272,'Blackout Brand Fam Areas (Enc)'!$C$6:$C$998,B$1,'Blackout Brand Fam Areas (Enc)'!$D$6:$D$998,"Inactive")&gt;0,"BLOCKED","CAN SELL"))</f>
        <v/>
      </c>
      <c r="C272" s="2" t="str">
        <f>IF($A272="","",IF(COUNTIFS('Blackout Brand Fam Areas (Enc)'!$B$6:$B$998,$A272,'Blackout Brand Fam Areas (Enc)'!$C$6:$C$998,C$1,'Blackout Brand Fam Areas (Enc)'!$D$6:$D$998,"Inactive")&gt;0,"BLOCKED","CAN SELL"))</f>
        <v/>
      </c>
      <c r="D272" s="2" t="str">
        <f>IF($A272="","",IF(COUNTIFS('Blackout Brand Fam Areas (Enc)'!$B$6:$B$998,$A272,'Blackout Brand Fam Areas (Enc)'!$C$6:$C$998,D$1,'Blackout Brand Fam Areas (Enc)'!$D$6:$D$998,"Inactive")&gt;0,"BLOCKED","CAN SELL"))</f>
        <v/>
      </c>
      <c r="E272" s="2" t="str">
        <f>IF($A272="","",IF(COUNTIFS('Blackout Brand Fam Areas (Enc)'!$B$6:$B$998,$A272,'Blackout Brand Fam Areas (Enc)'!$C$6:$C$998,E$1,'Blackout Brand Fam Areas (Enc)'!$D$6:$D$998,"Inactive")&gt;0,"BLOCKED","CAN SELL"))</f>
        <v/>
      </c>
      <c r="F272" s="2" t="str">
        <f>IF($A272="","",IF(COUNTIFS('Blackout Brand Fam Areas (Enc)'!$B$6:$B$998,$A272,'Blackout Brand Fam Areas (Enc)'!$C$6:$C$998,F$1,'Blackout Brand Fam Areas (Enc)'!$D$6:$D$998,"Inactive")&gt;0,"BLOCKED","CAN SELL"))</f>
        <v/>
      </c>
      <c r="G272" s="2" t="str">
        <f>IF($A272="","",IF(COUNTIFS('Blackout Brand Fam Areas (Enc)'!$B$6:$B$998,$A272,'Blackout Brand Fam Areas (Enc)'!$C$6:$C$998,G$1,'Blackout Brand Fam Areas (Enc)'!$D$6:$D$998,"Inactive")&gt;0,"BLOCKED","CAN SELL"))</f>
        <v/>
      </c>
      <c r="H272" s="2" t="str">
        <f>IF($A272="","",IF(COUNTIFS('Blackout Brand Fam Areas (Enc)'!$B$6:$B$998,$A272,'Blackout Brand Fam Areas (Enc)'!$C$6:$C$998,H$1,'Blackout Brand Fam Areas (Enc)'!$D$6:$D$998,"Inactive")&gt;0,"BLOCKED","CAN SELL"))</f>
        <v/>
      </c>
      <c r="I272" s="2" t="str">
        <f>IF($A272="","",IF(COUNTIFS('Blackout Brand Fam Areas (Enc)'!$B$6:$B$998,$A272,'Blackout Brand Fam Areas (Enc)'!$C$6:$C$998,I$1,'Blackout Brand Fam Areas (Enc)'!$D$6:$D$998,"Inactive")&gt;0,"BLOCKED","CAN SELL"))</f>
        <v/>
      </c>
      <c r="J272" s="2" t="str">
        <f>IF($A272="","",IF(COUNTIFS('Blackout Brand Fam Areas (Enc)'!$B$6:$B$998,$A272,'Blackout Brand Fam Areas (Enc)'!$C$6:$C$998,J$1,'Blackout Brand Fam Areas (Enc)'!$D$6:$D$998,"Inactive")&gt;0,"BLOCKED","CAN SELL"))</f>
        <v/>
      </c>
      <c r="K272" s="2" t="str">
        <f>IF($A272="","",IF(COUNTIFS('Blackout Brand Fam Areas (Enc)'!$B$6:$B$998,$A272,'Blackout Brand Fam Areas (Enc)'!$C$6:$C$998,K$1,'Blackout Brand Fam Areas (Enc)'!$D$6:$D$998,"Inactive")&gt;0,"BLOCKED","CAN SELL"))</f>
        <v/>
      </c>
    </row>
    <row r="273" spans="2:11" x14ac:dyDescent="0.2">
      <c r="B273" s="2" t="str">
        <f>IF($A273="","",IF(COUNTIFS('Blackout Brand Fam Areas (Enc)'!$B$6:$B$998,$A273,'Blackout Brand Fam Areas (Enc)'!$C$6:$C$998,B$1,'Blackout Brand Fam Areas (Enc)'!$D$6:$D$998,"Inactive")&gt;0,"BLOCKED","CAN SELL"))</f>
        <v/>
      </c>
      <c r="C273" s="2" t="str">
        <f>IF($A273="","",IF(COUNTIFS('Blackout Brand Fam Areas (Enc)'!$B$6:$B$998,$A273,'Blackout Brand Fam Areas (Enc)'!$C$6:$C$998,C$1,'Blackout Brand Fam Areas (Enc)'!$D$6:$D$998,"Inactive")&gt;0,"BLOCKED","CAN SELL"))</f>
        <v/>
      </c>
      <c r="D273" s="2" t="str">
        <f>IF($A273="","",IF(COUNTIFS('Blackout Brand Fam Areas (Enc)'!$B$6:$B$998,$A273,'Blackout Brand Fam Areas (Enc)'!$C$6:$C$998,D$1,'Blackout Brand Fam Areas (Enc)'!$D$6:$D$998,"Inactive")&gt;0,"BLOCKED","CAN SELL"))</f>
        <v/>
      </c>
      <c r="E273" s="2" t="str">
        <f>IF($A273="","",IF(COUNTIFS('Blackout Brand Fam Areas (Enc)'!$B$6:$B$998,$A273,'Blackout Brand Fam Areas (Enc)'!$C$6:$C$998,E$1,'Blackout Brand Fam Areas (Enc)'!$D$6:$D$998,"Inactive")&gt;0,"BLOCKED","CAN SELL"))</f>
        <v/>
      </c>
      <c r="F273" s="2" t="str">
        <f>IF($A273="","",IF(COUNTIFS('Blackout Brand Fam Areas (Enc)'!$B$6:$B$998,$A273,'Blackout Brand Fam Areas (Enc)'!$C$6:$C$998,F$1,'Blackout Brand Fam Areas (Enc)'!$D$6:$D$998,"Inactive")&gt;0,"BLOCKED","CAN SELL"))</f>
        <v/>
      </c>
      <c r="G273" s="2" t="str">
        <f>IF($A273="","",IF(COUNTIFS('Blackout Brand Fam Areas (Enc)'!$B$6:$B$998,$A273,'Blackout Brand Fam Areas (Enc)'!$C$6:$C$998,G$1,'Blackout Brand Fam Areas (Enc)'!$D$6:$D$998,"Inactive")&gt;0,"BLOCKED","CAN SELL"))</f>
        <v/>
      </c>
      <c r="H273" s="2" t="str">
        <f>IF($A273="","",IF(COUNTIFS('Blackout Brand Fam Areas (Enc)'!$B$6:$B$998,$A273,'Blackout Brand Fam Areas (Enc)'!$C$6:$C$998,H$1,'Blackout Brand Fam Areas (Enc)'!$D$6:$D$998,"Inactive")&gt;0,"BLOCKED","CAN SELL"))</f>
        <v/>
      </c>
      <c r="I273" s="2" t="str">
        <f>IF($A273="","",IF(COUNTIFS('Blackout Brand Fam Areas (Enc)'!$B$6:$B$998,$A273,'Blackout Brand Fam Areas (Enc)'!$C$6:$C$998,I$1,'Blackout Brand Fam Areas (Enc)'!$D$6:$D$998,"Inactive")&gt;0,"BLOCKED","CAN SELL"))</f>
        <v/>
      </c>
      <c r="J273" s="2" t="str">
        <f>IF($A273="","",IF(COUNTIFS('Blackout Brand Fam Areas (Enc)'!$B$6:$B$998,$A273,'Blackout Brand Fam Areas (Enc)'!$C$6:$C$998,J$1,'Blackout Brand Fam Areas (Enc)'!$D$6:$D$998,"Inactive")&gt;0,"BLOCKED","CAN SELL"))</f>
        <v/>
      </c>
      <c r="K273" s="2" t="str">
        <f>IF($A273="","",IF(COUNTIFS('Blackout Brand Fam Areas (Enc)'!$B$6:$B$998,$A273,'Blackout Brand Fam Areas (Enc)'!$C$6:$C$998,K$1,'Blackout Brand Fam Areas (Enc)'!$D$6:$D$998,"Inactive")&gt;0,"BLOCKED","CAN SELL"))</f>
        <v/>
      </c>
    </row>
    <row r="274" spans="2:11" x14ac:dyDescent="0.2">
      <c r="B274" s="2" t="str">
        <f>IF($A274="","",IF(COUNTIFS('Blackout Brand Fam Areas (Enc)'!$B$6:$B$998,$A274,'Blackout Brand Fam Areas (Enc)'!$C$6:$C$998,B$1,'Blackout Brand Fam Areas (Enc)'!$D$6:$D$998,"Inactive")&gt;0,"BLOCKED","CAN SELL"))</f>
        <v/>
      </c>
      <c r="C274" s="2" t="str">
        <f>IF($A274="","",IF(COUNTIFS('Blackout Brand Fam Areas (Enc)'!$B$6:$B$998,$A274,'Blackout Brand Fam Areas (Enc)'!$C$6:$C$998,C$1,'Blackout Brand Fam Areas (Enc)'!$D$6:$D$998,"Inactive")&gt;0,"BLOCKED","CAN SELL"))</f>
        <v/>
      </c>
      <c r="D274" s="2" t="str">
        <f>IF($A274="","",IF(COUNTIFS('Blackout Brand Fam Areas (Enc)'!$B$6:$B$998,$A274,'Blackout Brand Fam Areas (Enc)'!$C$6:$C$998,D$1,'Blackout Brand Fam Areas (Enc)'!$D$6:$D$998,"Inactive")&gt;0,"BLOCKED","CAN SELL"))</f>
        <v/>
      </c>
      <c r="E274" s="2" t="str">
        <f>IF($A274="","",IF(COUNTIFS('Blackout Brand Fam Areas (Enc)'!$B$6:$B$998,$A274,'Blackout Brand Fam Areas (Enc)'!$C$6:$C$998,E$1,'Blackout Brand Fam Areas (Enc)'!$D$6:$D$998,"Inactive")&gt;0,"BLOCKED","CAN SELL"))</f>
        <v/>
      </c>
      <c r="F274" s="2" t="str">
        <f>IF($A274="","",IF(COUNTIFS('Blackout Brand Fam Areas (Enc)'!$B$6:$B$998,$A274,'Blackout Brand Fam Areas (Enc)'!$C$6:$C$998,F$1,'Blackout Brand Fam Areas (Enc)'!$D$6:$D$998,"Inactive")&gt;0,"BLOCKED","CAN SELL"))</f>
        <v/>
      </c>
      <c r="G274" s="2" t="str">
        <f>IF($A274="","",IF(COUNTIFS('Blackout Brand Fam Areas (Enc)'!$B$6:$B$998,$A274,'Blackout Brand Fam Areas (Enc)'!$C$6:$C$998,G$1,'Blackout Brand Fam Areas (Enc)'!$D$6:$D$998,"Inactive")&gt;0,"BLOCKED","CAN SELL"))</f>
        <v/>
      </c>
      <c r="H274" s="2" t="str">
        <f>IF($A274="","",IF(COUNTIFS('Blackout Brand Fam Areas (Enc)'!$B$6:$B$998,$A274,'Blackout Brand Fam Areas (Enc)'!$C$6:$C$998,H$1,'Blackout Brand Fam Areas (Enc)'!$D$6:$D$998,"Inactive")&gt;0,"BLOCKED","CAN SELL"))</f>
        <v/>
      </c>
      <c r="I274" s="2" t="str">
        <f>IF($A274="","",IF(COUNTIFS('Blackout Brand Fam Areas (Enc)'!$B$6:$B$998,$A274,'Blackout Brand Fam Areas (Enc)'!$C$6:$C$998,I$1,'Blackout Brand Fam Areas (Enc)'!$D$6:$D$998,"Inactive")&gt;0,"BLOCKED","CAN SELL"))</f>
        <v/>
      </c>
      <c r="J274" s="2" t="str">
        <f>IF($A274="","",IF(COUNTIFS('Blackout Brand Fam Areas (Enc)'!$B$6:$B$998,$A274,'Blackout Brand Fam Areas (Enc)'!$C$6:$C$998,J$1,'Blackout Brand Fam Areas (Enc)'!$D$6:$D$998,"Inactive")&gt;0,"BLOCKED","CAN SELL"))</f>
        <v/>
      </c>
      <c r="K274" s="2" t="str">
        <f>IF($A274="","",IF(COUNTIFS('Blackout Brand Fam Areas (Enc)'!$B$6:$B$998,$A274,'Blackout Brand Fam Areas (Enc)'!$C$6:$C$998,K$1,'Blackout Brand Fam Areas (Enc)'!$D$6:$D$998,"Inactive")&gt;0,"BLOCKED","CAN SELL"))</f>
        <v/>
      </c>
    </row>
    <row r="275" spans="2:11" x14ac:dyDescent="0.2">
      <c r="B275" s="2" t="str">
        <f>IF($A275="","",IF(COUNTIFS('Blackout Brand Fam Areas (Enc)'!$B$6:$B$998,$A275,'Blackout Brand Fam Areas (Enc)'!$C$6:$C$998,B$1,'Blackout Brand Fam Areas (Enc)'!$D$6:$D$998,"Inactive")&gt;0,"BLOCKED","CAN SELL"))</f>
        <v/>
      </c>
      <c r="C275" s="2" t="str">
        <f>IF($A275="","",IF(COUNTIFS('Blackout Brand Fam Areas (Enc)'!$B$6:$B$998,$A275,'Blackout Brand Fam Areas (Enc)'!$C$6:$C$998,C$1,'Blackout Brand Fam Areas (Enc)'!$D$6:$D$998,"Inactive")&gt;0,"BLOCKED","CAN SELL"))</f>
        <v/>
      </c>
      <c r="D275" s="2" t="str">
        <f>IF($A275="","",IF(COUNTIFS('Blackout Brand Fam Areas (Enc)'!$B$6:$B$998,$A275,'Blackout Brand Fam Areas (Enc)'!$C$6:$C$998,D$1,'Blackout Brand Fam Areas (Enc)'!$D$6:$D$998,"Inactive")&gt;0,"BLOCKED","CAN SELL"))</f>
        <v/>
      </c>
      <c r="E275" s="2" t="str">
        <f>IF($A275="","",IF(COUNTIFS('Blackout Brand Fam Areas (Enc)'!$B$6:$B$998,$A275,'Blackout Brand Fam Areas (Enc)'!$C$6:$C$998,E$1,'Blackout Brand Fam Areas (Enc)'!$D$6:$D$998,"Inactive")&gt;0,"BLOCKED","CAN SELL"))</f>
        <v/>
      </c>
      <c r="F275" s="2" t="str">
        <f>IF($A275="","",IF(COUNTIFS('Blackout Brand Fam Areas (Enc)'!$B$6:$B$998,$A275,'Blackout Brand Fam Areas (Enc)'!$C$6:$C$998,F$1,'Blackout Brand Fam Areas (Enc)'!$D$6:$D$998,"Inactive")&gt;0,"BLOCKED","CAN SELL"))</f>
        <v/>
      </c>
      <c r="G275" s="2" t="str">
        <f>IF($A275="","",IF(COUNTIFS('Blackout Brand Fam Areas (Enc)'!$B$6:$B$998,$A275,'Blackout Brand Fam Areas (Enc)'!$C$6:$C$998,G$1,'Blackout Brand Fam Areas (Enc)'!$D$6:$D$998,"Inactive")&gt;0,"BLOCKED","CAN SELL"))</f>
        <v/>
      </c>
      <c r="H275" s="2" t="str">
        <f>IF($A275="","",IF(COUNTIFS('Blackout Brand Fam Areas (Enc)'!$B$6:$B$998,$A275,'Blackout Brand Fam Areas (Enc)'!$C$6:$C$998,H$1,'Blackout Brand Fam Areas (Enc)'!$D$6:$D$998,"Inactive")&gt;0,"BLOCKED","CAN SELL"))</f>
        <v/>
      </c>
      <c r="I275" s="2" t="str">
        <f>IF($A275="","",IF(COUNTIFS('Blackout Brand Fam Areas (Enc)'!$B$6:$B$998,$A275,'Blackout Brand Fam Areas (Enc)'!$C$6:$C$998,I$1,'Blackout Brand Fam Areas (Enc)'!$D$6:$D$998,"Inactive")&gt;0,"BLOCKED","CAN SELL"))</f>
        <v/>
      </c>
      <c r="J275" s="2" t="str">
        <f>IF($A275="","",IF(COUNTIFS('Blackout Brand Fam Areas (Enc)'!$B$6:$B$998,$A275,'Blackout Brand Fam Areas (Enc)'!$C$6:$C$998,J$1,'Blackout Brand Fam Areas (Enc)'!$D$6:$D$998,"Inactive")&gt;0,"BLOCKED","CAN SELL"))</f>
        <v/>
      </c>
      <c r="K275" s="2" t="str">
        <f>IF($A275="","",IF(COUNTIFS('Blackout Brand Fam Areas (Enc)'!$B$6:$B$998,$A275,'Blackout Brand Fam Areas (Enc)'!$C$6:$C$998,K$1,'Blackout Brand Fam Areas (Enc)'!$D$6:$D$998,"Inactive")&gt;0,"BLOCKED","CAN SELL"))</f>
        <v/>
      </c>
    </row>
    <row r="276" spans="2:11" x14ac:dyDescent="0.2">
      <c r="B276" s="2" t="str">
        <f>IF($A276="","",IF(COUNTIFS('Blackout Brand Fam Areas (Enc)'!$B$6:$B$998,$A276,'Blackout Brand Fam Areas (Enc)'!$C$6:$C$998,B$1,'Blackout Brand Fam Areas (Enc)'!$D$6:$D$998,"Inactive")&gt;0,"BLOCKED","CAN SELL"))</f>
        <v/>
      </c>
      <c r="C276" s="2" t="str">
        <f>IF($A276="","",IF(COUNTIFS('Blackout Brand Fam Areas (Enc)'!$B$6:$B$998,$A276,'Blackout Brand Fam Areas (Enc)'!$C$6:$C$998,C$1,'Blackout Brand Fam Areas (Enc)'!$D$6:$D$998,"Inactive")&gt;0,"BLOCKED","CAN SELL"))</f>
        <v/>
      </c>
      <c r="D276" s="2" t="str">
        <f>IF($A276="","",IF(COUNTIFS('Blackout Brand Fam Areas (Enc)'!$B$6:$B$998,$A276,'Blackout Brand Fam Areas (Enc)'!$C$6:$C$998,D$1,'Blackout Brand Fam Areas (Enc)'!$D$6:$D$998,"Inactive")&gt;0,"BLOCKED","CAN SELL"))</f>
        <v/>
      </c>
      <c r="E276" s="2" t="str">
        <f>IF($A276="","",IF(COUNTIFS('Blackout Brand Fam Areas (Enc)'!$B$6:$B$998,$A276,'Blackout Brand Fam Areas (Enc)'!$C$6:$C$998,E$1,'Blackout Brand Fam Areas (Enc)'!$D$6:$D$998,"Inactive")&gt;0,"BLOCKED","CAN SELL"))</f>
        <v/>
      </c>
      <c r="F276" s="2" t="str">
        <f>IF($A276="","",IF(COUNTIFS('Blackout Brand Fam Areas (Enc)'!$B$6:$B$998,$A276,'Blackout Brand Fam Areas (Enc)'!$C$6:$C$998,F$1,'Blackout Brand Fam Areas (Enc)'!$D$6:$D$998,"Inactive")&gt;0,"BLOCKED","CAN SELL"))</f>
        <v/>
      </c>
      <c r="G276" s="2" t="str">
        <f>IF($A276="","",IF(COUNTIFS('Blackout Brand Fam Areas (Enc)'!$B$6:$B$998,$A276,'Blackout Brand Fam Areas (Enc)'!$C$6:$C$998,G$1,'Blackout Brand Fam Areas (Enc)'!$D$6:$D$998,"Inactive")&gt;0,"BLOCKED","CAN SELL"))</f>
        <v/>
      </c>
      <c r="H276" s="2" t="str">
        <f>IF($A276="","",IF(COUNTIFS('Blackout Brand Fam Areas (Enc)'!$B$6:$B$998,$A276,'Blackout Brand Fam Areas (Enc)'!$C$6:$C$998,H$1,'Blackout Brand Fam Areas (Enc)'!$D$6:$D$998,"Inactive")&gt;0,"BLOCKED","CAN SELL"))</f>
        <v/>
      </c>
      <c r="I276" s="2" t="str">
        <f>IF($A276="","",IF(COUNTIFS('Blackout Brand Fam Areas (Enc)'!$B$6:$B$998,$A276,'Blackout Brand Fam Areas (Enc)'!$C$6:$C$998,I$1,'Blackout Brand Fam Areas (Enc)'!$D$6:$D$998,"Inactive")&gt;0,"BLOCKED","CAN SELL"))</f>
        <v/>
      </c>
      <c r="J276" s="2" t="str">
        <f>IF($A276="","",IF(COUNTIFS('Blackout Brand Fam Areas (Enc)'!$B$6:$B$998,$A276,'Blackout Brand Fam Areas (Enc)'!$C$6:$C$998,J$1,'Blackout Brand Fam Areas (Enc)'!$D$6:$D$998,"Inactive")&gt;0,"BLOCKED","CAN SELL"))</f>
        <v/>
      </c>
      <c r="K276" s="2" t="str">
        <f>IF($A276="","",IF(COUNTIFS('Blackout Brand Fam Areas (Enc)'!$B$6:$B$998,$A276,'Blackout Brand Fam Areas (Enc)'!$C$6:$C$998,K$1,'Blackout Brand Fam Areas (Enc)'!$D$6:$D$998,"Inactive")&gt;0,"BLOCKED","CAN SELL"))</f>
        <v/>
      </c>
    </row>
    <row r="277" spans="2:11" x14ac:dyDescent="0.2">
      <c r="B277" s="2" t="str">
        <f>IF($A277="","",IF(COUNTIFS('Blackout Brand Fam Areas (Enc)'!$B$6:$B$998,$A277,'Blackout Brand Fam Areas (Enc)'!$C$6:$C$998,B$1,'Blackout Brand Fam Areas (Enc)'!$D$6:$D$998,"Inactive")&gt;0,"BLOCKED","CAN SELL"))</f>
        <v/>
      </c>
      <c r="C277" s="2" t="str">
        <f>IF($A277="","",IF(COUNTIFS('Blackout Brand Fam Areas (Enc)'!$B$6:$B$998,$A277,'Blackout Brand Fam Areas (Enc)'!$C$6:$C$998,C$1,'Blackout Brand Fam Areas (Enc)'!$D$6:$D$998,"Inactive")&gt;0,"BLOCKED","CAN SELL"))</f>
        <v/>
      </c>
      <c r="D277" s="2" t="str">
        <f>IF($A277="","",IF(COUNTIFS('Blackout Brand Fam Areas (Enc)'!$B$6:$B$998,$A277,'Blackout Brand Fam Areas (Enc)'!$C$6:$C$998,D$1,'Blackout Brand Fam Areas (Enc)'!$D$6:$D$998,"Inactive")&gt;0,"BLOCKED","CAN SELL"))</f>
        <v/>
      </c>
      <c r="E277" s="2" t="str">
        <f>IF($A277="","",IF(COUNTIFS('Blackout Brand Fam Areas (Enc)'!$B$6:$B$998,$A277,'Blackout Brand Fam Areas (Enc)'!$C$6:$C$998,E$1,'Blackout Brand Fam Areas (Enc)'!$D$6:$D$998,"Inactive")&gt;0,"BLOCKED","CAN SELL"))</f>
        <v/>
      </c>
      <c r="F277" s="2" t="str">
        <f>IF($A277="","",IF(COUNTIFS('Blackout Brand Fam Areas (Enc)'!$B$6:$B$998,$A277,'Blackout Brand Fam Areas (Enc)'!$C$6:$C$998,F$1,'Blackout Brand Fam Areas (Enc)'!$D$6:$D$998,"Inactive")&gt;0,"BLOCKED","CAN SELL"))</f>
        <v/>
      </c>
      <c r="G277" s="2" t="str">
        <f>IF($A277="","",IF(COUNTIFS('Blackout Brand Fam Areas (Enc)'!$B$6:$B$998,$A277,'Blackout Brand Fam Areas (Enc)'!$C$6:$C$998,G$1,'Blackout Brand Fam Areas (Enc)'!$D$6:$D$998,"Inactive")&gt;0,"BLOCKED","CAN SELL"))</f>
        <v/>
      </c>
      <c r="H277" s="2" t="str">
        <f>IF($A277="","",IF(COUNTIFS('Blackout Brand Fam Areas (Enc)'!$B$6:$B$998,$A277,'Blackout Brand Fam Areas (Enc)'!$C$6:$C$998,H$1,'Blackout Brand Fam Areas (Enc)'!$D$6:$D$998,"Inactive")&gt;0,"BLOCKED","CAN SELL"))</f>
        <v/>
      </c>
      <c r="I277" s="2" t="str">
        <f>IF($A277="","",IF(COUNTIFS('Blackout Brand Fam Areas (Enc)'!$B$6:$B$998,$A277,'Blackout Brand Fam Areas (Enc)'!$C$6:$C$998,I$1,'Blackout Brand Fam Areas (Enc)'!$D$6:$D$998,"Inactive")&gt;0,"BLOCKED","CAN SELL"))</f>
        <v/>
      </c>
      <c r="J277" s="2" t="str">
        <f>IF($A277="","",IF(COUNTIFS('Blackout Brand Fam Areas (Enc)'!$B$6:$B$998,$A277,'Blackout Brand Fam Areas (Enc)'!$C$6:$C$998,J$1,'Blackout Brand Fam Areas (Enc)'!$D$6:$D$998,"Inactive")&gt;0,"BLOCKED","CAN SELL"))</f>
        <v/>
      </c>
      <c r="K277" s="2" t="str">
        <f>IF($A277="","",IF(COUNTIFS('Blackout Brand Fam Areas (Enc)'!$B$6:$B$998,$A277,'Blackout Brand Fam Areas (Enc)'!$C$6:$C$998,K$1,'Blackout Brand Fam Areas (Enc)'!$D$6:$D$998,"Inactive")&gt;0,"BLOCKED","CAN SELL"))</f>
        <v/>
      </c>
    </row>
    <row r="278" spans="2:11" x14ac:dyDescent="0.2">
      <c r="B278" s="2" t="str">
        <f>IF($A278="","",IF(COUNTIFS('Blackout Brand Fam Areas (Enc)'!$B$6:$B$998,$A278,'Blackout Brand Fam Areas (Enc)'!$C$6:$C$998,B$1,'Blackout Brand Fam Areas (Enc)'!$D$6:$D$998,"Inactive")&gt;0,"BLOCKED","CAN SELL"))</f>
        <v/>
      </c>
      <c r="C278" s="2" t="str">
        <f>IF($A278="","",IF(COUNTIFS('Blackout Brand Fam Areas (Enc)'!$B$6:$B$998,$A278,'Blackout Brand Fam Areas (Enc)'!$C$6:$C$998,C$1,'Blackout Brand Fam Areas (Enc)'!$D$6:$D$998,"Inactive")&gt;0,"BLOCKED","CAN SELL"))</f>
        <v/>
      </c>
      <c r="D278" s="2" t="str">
        <f>IF($A278="","",IF(COUNTIFS('Blackout Brand Fam Areas (Enc)'!$B$6:$B$998,$A278,'Blackout Brand Fam Areas (Enc)'!$C$6:$C$998,D$1,'Blackout Brand Fam Areas (Enc)'!$D$6:$D$998,"Inactive")&gt;0,"BLOCKED","CAN SELL"))</f>
        <v/>
      </c>
      <c r="E278" s="2" t="str">
        <f>IF($A278="","",IF(COUNTIFS('Blackout Brand Fam Areas (Enc)'!$B$6:$B$998,$A278,'Blackout Brand Fam Areas (Enc)'!$C$6:$C$998,E$1,'Blackout Brand Fam Areas (Enc)'!$D$6:$D$998,"Inactive")&gt;0,"BLOCKED","CAN SELL"))</f>
        <v/>
      </c>
      <c r="F278" s="2" t="str">
        <f>IF($A278="","",IF(COUNTIFS('Blackout Brand Fam Areas (Enc)'!$B$6:$B$998,$A278,'Blackout Brand Fam Areas (Enc)'!$C$6:$C$998,F$1,'Blackout Brand Fam Areas (Enc)'!$D$6:$D$998,"Inactive")&gt;0,"BLOCKED","CAN SELL"))</f>
        <v/>
      </c>
      <c r="G278" s="2" t="str">
        <f>IF($A278="","",IF(COUNTIFS('Blackout Brand Fam Areas (Enc)'!$B$6:$B$998,$A278,'Blackout Brand Fam Areas (Enc)'!$C$6:$C$998,G$1,'Blackout Brand Fam Areas (Enc)'!$D$6:$D$998,"Inactive")&gt;0,"BLOCKED","CAN SELL"))</f>
        <v/>
      </c>
      <c r="H278" s="2" t="str">
        <f>IF($A278="","",IF(COUNTIFS('Blackout Brand Fam Areas (Enc)'!$B$6:$B$998,$A278,'Blackout Brand Fam Areas (Enc)'!$C$6:$C$998,H$1,'Blackout Brand Fam Areas (Enc)'!$D$6:$D$998,"Inactive")&gt;0,"BLOCKED","CAN SELL"))</f>
        <v/>
      </c>
      <c r="I278" s="2" t="str">
        <f>IF($A278="","",IF(COUNTIFS('Blackout Brand Fam Areas (Enc)'!$B$6:$B$998,$A278,'Blackout Brand Fam Areas (Enc)'!$C$6:$C$998,I$1,'Blackout Brand Fam Areas (Enc)'!$D$6:$D$998,"Inactive")&gt;0,"BLOCKED","CAN SELL"))</f>
        <v/>
      </c>
      <c r="J278" s="2" t="str">
        <f>IF($A278="","",IF(COUNTIFS('Blackout Brand Fam Areas (Enc)'!$B$6:$B$998,$A278,'Blackout Brand Fam Areas (Enc)'!$C$6:$C$998,J$1,'Blackout Brand Fam Areas (Enc)'!$D$6:$D$998,"Inactive")&gt;0,"BLOCKED","CAN SELL"))</f>
        <v/>
      </c>
      <c r="K278" s="2" t="str">
        <f>IF($A278="","",IF(COUNTIFS('Blackout Brand Fam Areas (Enc)'!$B$6:$B$998,$A278,'Blackout Brand Fam Areas (Enc)'!$C$6:$C$998,K$1,'Blackout Brand Fam Areas (Enc)'!$D$6:$D$998,"Inactive")&gt;0,"BLOCKED","CAN SELL"))</f>
        <v/>
      </c>
    </row>
    <row r="279" spans="2:11" x14ac:dyDescent="0.2">
      <c r="B279" s="2" t="str">
        <f>IF($A279="","",IF(COUNTIFS('Blackout Brand Fam Areas (Enc)'!$B$6:$B$998,$A279,'Blackout Brand Fam Areas (Enc)'!$C$6:$C$998,B$1,'Blackout Brand Fam Areas (Enc)'!$D$6:$D$998,"Inactive")&gt;0,"BLOCKED","CAN SELL"))</f>
        <v/>
      </c>
      <c r="C279" s="2" t="str">
        <f>IF($A279="","",IF(COUNTIFS('Blackout Brand Fam Areas (Enc)'!$B$6:$B$998,$A279,'Blackout Brand Fam Areas (Enc)'!$C$6:$C$998,C$1,'Blackout Brand Fam Areas (Enc)'!$D$6:$D$998,"Inactive")&gt;0,"BLOCKED","CAN SELL"))</f>
        <v/>
      </c>
      <c r="D279" s="2" t="str">
        <f>IF($A279="","",IF(COUNTIFS('Blackout Brand Fam Areas (Enc)'!$B$6:$B$998,$A279,'Blackout Brand Fam Areas (Enc)'!$C$6:$C$998,D$1,'Blackout Brand Fam Areas (Enc)'!$D$6:$D$998,"Inactive")&gt;0,"BLOCKED","CAN SELL"))</f>
        <v/>
      </c>
      <c r="E279" s="2" t="str">
        <f>IF($A279="","",IF(COUNTIFS('Blackout Brand Fam Areas (Enc)'!$B$6:$B$998,$A279,'Blackout Brand Fam Areas (Enc)'!$C$6:$C$998,E$1,'Blackout Brand Fam Areas (Enc)'!$D$6:$D$998,"Inactive")&gt;0,"BLOCKED","CAN SELL"))</f>
        <v/>
      </c>
      <c r="F279" s="2" t="str">
        <f>IF($A279="","",IF(COUNTIFS('Blackout Brand Fam Areas (Enc)'!$B$6:$B$998,$A279,'Blackout Brand Fam Areas (Enc)'!$C$6:$C$998,F$1,'Blackout Brand Fam Areas (Enc)'!$D$6:$D$998,"Inactive")&gt;0,"BLOCKED","CAN SELL"))</f>
        <v/>
      </c>
      <c r="G279" s="2" t="str">
        <f>IF($A279="","",IF(COUNTIFS('Blackout Brand Fam Areas (Enc)'!$B$6:$B$998,$A279,'Blackout Brand Fam Areas (Enc)'!$C$6:$C$998,G$1,'Blackout Brand Fam Areas (Enc)'!$D$6:$D$998,"Inactive")&gt;0,"BLOCKED","CAN SELL"))</f>
        <v/>
      </c>
      <c r="H279" s="2" t="str">
        <f>IF($A279="","",IF(COUNTIFS('Blackout Brand Fam Areas (Enc)'!$B$6:$B$998,$A279,'Blackout Brand Fam Areas (Enc)'!$C$6:$C$998,H$1,'Blackout Brand Fam Areas (Enc)'!$D$6:$D$998,"Inactive")&gt;0,"BLOCKED","CAN SELL"))</f>
        <v/>
      </c>
      <c r="I279" s="2" t="str">
        <f>IF($A279="","",IF(COUNTIFS('Blackout Brand Fam Areas (Enc)'!$B$6:$B$998,$A279,'Blackout Brand Fam Areas (Enc)'!$C$6:$C$998,I$1,'Blackout Brand Fam Areas (Enc)'!$D$6:$D$998,"Inactive")&gt;0,"BLOCKED","CAN SELL"))</f>
        <v/>
      </c>
      <c r="J279" s="2" t="str">
        <f>IF($A279="","",IF(COUNTIFS('Blackout Brand Fam Areas (Enc)'!$B$6:$B$998,$A279,'Blackout Brand Fam Areas (Enc)'!$C$6:$C$998,J$1,'Blackout Brand Fam Areas (Enc)'!$D$6:$D$998,"Inactive")&gt;0,"BLOCKED","CAN SELL"))</f>
        <v/>
      </c>
      <c r="K279" s="2" t="str">
        <f>IF($A279="","",IF(COUNTIFS('Blackout Brand Fam Areas (Enc)'!$B$6:$B$998,$A279,'Blackout Brand Fam Areas (Enc)'!$C$6:$C$998,K$1,'Blackout Brand Fam Areas (Enc)'!$D$6:$D$998,"Inactive")&gt;0,"BLOCKED","CAN SELL"))</f>
        <v/>
      </c>
    </row>
    <row r="280" spans="2:11" x14ac:dyDescent="0.2">
      <c r="B280" s="2" t="str">
        <f>IF($A280="","",IF(COUNTIFS('Blackout Brand Fam Areas (Enc)'!$B$6:$B$998,$A280,'Blackout Brand Fam Areas (Enc)'!$C$6:$C$998,B$1,'Blackout Brand Fam Areas (Enc)'!$D$6:$D$998,"Inactive")&gt;0,"BLOCKED","CAN SELL"))</f>
        <v/>
      </c>
      <c r="C280" s="2" t="str">
        <f>IF($A280="","",IF(COUNTIFS('Blackout Brand Fam Areas (Enc)'!$B$6:$B$998,$A280,'Blackout Brand Fam Areas (Enc)'!$C$6:$C$998,C$1,'Blackout Brand Fam Areas (Enc)'!$D$6:$D$998,"Inactive")&gt;0,"BLOCKED","CAN SELL"))</f>
        <v/>
      </c>
      <c r="D280" s="2" t="str">
        <f>IF($A280="","",IF(COUNTIFS('Blackout Brand Fam Areas (Enc)'!$B$6:$B$998,$A280,'Blackout Brand Fam Areas (Enc)'!$C$6:$C$998,D$1,'Blackout Brand Fam Areas (Enc)'!$D$6:$D$998,"Inactive")&gt;0,"BLOCKED","CAN SELL"))</f>
        <v/>
      </c>
      <c r="E280" s="2" t="str">
        <f>IF($A280="","",IF(COUNTIFS('Blackout Brand Fam Areas (Enc)'!$B$6:$B$998,$A280,'Blackout Brand Fam Areas (Enc)'!$C$6:$C$998,E$1,'Blackout Brand Fam Areas (Enc)'!$D$6:$D$998,"Inactive")&gt;0,"BLOCKED","CAN SELL"))</f>
        <v/>
      </c>
      <c r="F280" s="2" t="str">
        <f>IF($A280="","",IF(COUNTIFS('Blackout Brand Fam Areas (Enc)'!$B$6:$B$998,$A280,'Blackout Brand Fam Areas (Enc)'!$C$6:$C$998,F$1,'Blackout Brand Fam Areas (Enc)'!$D$6:$D$998,"Inactive")&gt;0,"BLOCKED","CAN SELL"))</f>
        <v/>
      </c>
      <c r="G280" s="2" t="str">
        <f>IF($A280="","",IF(COUNTIFS('Blackout Brand Fam Areas (Enc)'!$B$6:$B$998,$A280,'Blackout Brand Fam Areas (Enc)'!$C$6:$C$998,G$1,'Blackout Brand Fam Areas (Enc)'!$D$6:$D$998,"Inactive")&gt;0,"BLOCKED","CAN SELL"))</f>
        <v/>
      </c>
      <c r="H280" s="2" t="str">
        <f>IF($A280="","",IF(COUNTIFS('Blackout Brand Fam Areas (Enc)'!$B$6:$B$998,$A280,'Blackout Brand Fam Areas (Enc)'!$C$6:$C$998,H$1,'Blackout Brand Fam Areas (Enc)'!$D$6:$D$998,"Inactive")&gt;0,"BLOCKED","CAN SELL"))</f>
        <v/>
      </c>
      <c r="I280" s="2" t="str">
        <f>IF($A280="","",IF(COUNTIFS('Blackout Brand Fam Areas (Enc)'!$B$6:$B$998,$A280,'Blackout Brand Fam Areas (Enc)'!$C$6:$C$998,I$1,'Blackout Brand Fam Areas (Enc)'!$D$6:$D$998,"Inactive")&gt;0,"BLOCKED","CAN SELL"))</f>
        <v/>
      </c>
      <c r="J280" s="2" t="str">
        <f>IF($A280="","",IF(COUNTIFS('Blackout Brand Fam Areas (Enc)'!$B$6:$B$998,$A280,'Blackout Brand Fam Areas (Enc)'!$C$6:$C$998,J$1,'Blackout Brand Fam Areas (Enc)'!$D$6:$D$998,"Inactive")&gt;0,"BLOCKED","CAN SELL"))</f>
        <v/>
      </c>
      <c r="K280" s="2" t="str">
        <f>IF($A280="","",IF(COUNTIFS('Blackout Brand Fam Areas (Enc)'!$B$6:$B$998,$A280,'Blackout Brand Fam Areas (Enc)'!$C$6:$C$998,K$1,'Blackout Brand Fam Areas (Enc)'!$D$6:$D$998,"Inactive")&gt;0,"BLOCKED","CAN SELL"))</f>
        <v/>
      </c>
    </row>
    <row r="281" spans="2:11" x14ac:dyDescent="0.2">
      <c r="B281" s="2" t="str">
        <f>IF($A281="","",IF(COUNTIFS('Blackout Brand Fam Areas (Enc)'!$B$6:$B$998,$A281,'Blackout Brand Fam Areas (Enc)'!$C$6:$C$998,B$1,'Blackout Brand Fam Areas (Enc)'!$D$6:$D$998,"Inactive")&gt;0,"BLOCKED","CAN SELL"))</f>
        <v/>
      </c>
      <c r="C281" s="2" t="str">
        <f>IF($A281="","",IF(COUNTIFS('Blackout Brand Fam Areas (Enc)'!$B$6:$B$998,$A281,'Blackout Brand Fam Areas (Enc)'!$C$6:$C$998,C$1,'Blackout Brand Fam Areas (Enc)'!$D$6:$D$998,"Inactive")&gt;0,"BLOCKED","CAN SELL"))</f>
        <v/>
      </c>
      <c r="D281" s="2" t="str">
        <f>IF($A281="","",IF(COUNTIFS('Blackout Brand Fam Areas (Enc)'!$B$6:$B$998,$A281,'Blackout Brand Fam Areas (Enc)'!$C$6:$C$998,D$1,'Blackout Brand Fam Areas (Enc)'!$D$6:$D$998,"Inactive")&gt;0,"BLOCKED","CAN SELL"))</f>
        <v/>
      </c>
      <c r="E281" s="2" t="str">
        <f>IF($A281="","",IF(COUNTIFS('Blackout Brand Fam Areas (Enc)'!$B$6:$B$998,$A281,'Blackout Brand Fam Areas (Enc)'!$C$6:$C$998,E$1,'Blackout Brand Fam Areas (Enc)'!$D$6:$D$998,"Inactive")&gt;0,"BLOCKED","CAN SELL"))</f>
        <v/>
      </c>
      <c r="F281" s="2" t="str">
        <f>IF($A281="","",IF(COUNTIFS('Blackout Brand Fam Areas (Enc)'!$B$6:$B$998,$A281,'Blackout Brand Fam Areas (Enc)'!$C$6:$C$998,F$1,'Blackout Brand Fam Areas (Enc)'!$D$6:$D$998,"Inactive")&gt;0,"BLOCKED","CAN SELL"))</f>
        <v/>
      </c>
      <c r="G281" s="2" t="str">
        <f>IF($A281="","",IF(COUNTIFS('Blackout Brand Fam Areas (Enc)'!$B$6:$B$998,$A281,'Blackout Brand Fam Areas (Enc)'!$C$6:$C$998,G$1,'Blackout Brand Fam Areas (Enc)'!$D$6:$D$998,"Inactive")&gt;0,"BLOCKED","CAN SELL"))</f>
        <v/>
      </c>
      <c r="H281" s="2" t="str">
        <f>IF($A281="","",IF(COUNTIFS('Blackout Brand Fam Areas (Enc)'!$B$6:$B$998,$A281,'Blackout Brand Fam Areas (Enc)'!$C$6:$C$998,H$1,'Blackout Brand Fam Areas (Enc)'!$D$6:$D$998,"Inactive")&gt;0,"BLOCKED","CAN SELL"))</f>
        <v/>
      </c>
      <c r="I281" s="2" t="str">
        <f>IF($A281="","",IF(COUNTIFS('Blackout Brand Fam Areas (Enc)'!$B$6:$B$998,$A281,'Blackout Brand Fam Areas (Enc)'!$C$6:$C$998,I$1,'Blackout Brand Fam Areas (Enc)'!$D$6:$D$998,"Inactive")&gt;0,"BLOCKED","CAN SELL"))</f>
        <v/>
      </c>
      <c r="J281" s="2" t="str">
        <f>IF($A281="","",IF(COUNTIFS('Blackout Brand Fam Areas (Enc)'!$B$6:$B$998,$A281,'Blackout Brand Fam Areas (Enc)'!$C$6:$C$998,J$1,'Blackout Brand Fam Areas (Enc)'!$D$6:$D$998,"Inactive")&gt;0,"BLOCKED","CAN SELL"))</f>
        <v/>
      </c>
      <c r="K281" s="2" t="str">
        <f>IF($A281="","",IF(COUNTIFS('Blackout Brand Fam Areas (Enc)'!$B$6:$B$998,$A281,'Blackout Brand Fam Areas (Enc)'!$C$6:$C$998,K$1,'Blackout Brand Fam Areas (Enc)'!$D$6:$D$998,"Inactive")&gt;0,"BLOCKED","CAN SELL"))</f>
        <v/>
      </c>
    </row>
    <row r="282" spans="2:11" x14ac:dyDescent="0.2">
      <c r="B282" s="2" t="str">
        <f>IF($A282="","",IF(COUNTIFS('Blackout Brand Fam Areas (Enc)'!$B$6:$B$998,$A282,'Blackout Brand Fam Areas (Enc)'!$C$6:$C$998,B$1,'Blackout Brand Fam Areas (Enc)'!$D$6:$D$998,"Inactive")&gt;0,"BLOCKED","CAN SELL"))</f>
        <v/>
      </c>
      <c r="C282" s="2" t="str">
        <f>IF($A282="","",IF(COUNTIFS('Blackout Brand Fam Areas (Enc)'!$B$6:$B$998,$A282,'Blackout Brand Fam Areas (Enc)'!$C$6:$C$998,C$1,'Blackout Brand Fam Areas (Enc)'!$D$6:$D$998,"Inactive")&gt;0,"BLOCKED","CAN SELL"))</f>
        <v/>
      </c>
      <c r="D282" s="2" t="str">
        <f>IF($A282="","",IF(COUNTIFS('Blackout Brand Fam Areas (Enc)'!$B$6:$B$998,$A282,'Blackout Brand Fam Areas (Enc)'!$C$6:$C$998,D$1,'Blackout Brand Fam Areas (Enc)'!$D$6:$D$998,"Inactive")&gt;0,"BLOCKED","CAN SELL"))</f>
        <v/>
      </c>
      <c r="E282" s="2" t="str">
        <f>IF($A282="","",IF(COUNTIFS('Blackout Brand Fam Areas (Enc)'!$B$6:$B$998,$A282,'Blackout Brand Fam Areas (Enc)'!$C$6:$C$998,E$1,'Blackout Brand Fam Areas (Enc)'!$D$6:$D$998,"Inactive")&gt;0,"BLOCKED","CAN SELL"))</f>
        <v/>
      </c>
      <c r="F282" s="2" t="str">
        <f>IF($A282="","",IF(COUNTIFS('Blackout Brand Fam Areas (Enc)'!$B$6:$B$998,$A282,'Blackout Brand Fam Areas (Enc)'!$C$6:$C$998,F$1,'Blackout Brand Fam Areas (Enc)'!$D$6:$D$998,"Inactive")&gt;0,"BLOCKED","CAN SELL"))</f>
        <v/>
      </c>
      <c r="G282" s="2" t="str">
        <f>IF($A282="","",IF(COUNTIFS('Blackout Brand Fam Areas (Enc)'!$B$6:$B$998,$A282,'Blackout Brand Fam Areas (Enc)'!$C$6:$C$998,G$1,'Blackout Brand Fam Areas (Enc)'!$D$6:$D$998,"Inactive")&gt;0,"BLOCKED","CAN SELL"))</f>
        <v/>
      </c>
      <c r="H282" s="2" t="str">
        <f>IF($A282="","",IF(COUNTIFS('Blackout Brand Fam Areas (Enc)'!$B$6:$B$998,$A282,'Blackout Brand Fam Areas (Enc)'!$C$6:$C$998,H$1,'Blackout Brand Fam Areas (Enc)'!$D$6:$D$998,"Inactive")&gt;0,"BLOCKED","CAN SELL"))</f>
        <v/>
      </c>
      <c r="I282" s="2" t="str">
        <f>IF($A282="","",IF(COUNTIFS('Blackout Brand Fam Areas (Enc)'!$B$6:$B$998,$A282,'Blackout Brand Fam Areas (Enc)'!$C$6:$C$998,I$1,'Blackout Brand Fam Areas (Enc)'!$D$6:$D$998,"Inactive")&gt;0,"BLOCKED","CAN SELL"))</f>
        <v/>
      </c>
      <c r="J282" s="2" t="str">
        <f>IF($A282="","",IF(COUNTIFS('Blackout Brand Fam Areas (Enc)'!$B$6:$B$998,$A282,'Blackout Brand Fam Areas (Enc)'!$C$6:$C$998,J$1,'Blackout Brand Fam Areas (Enc)'!$D$6:$D$998,"Inactive")&gt;0,"BLOCKED","CAN SELL"))</f>
        <v/>
      </c>
      <c r="K282" s="2" t="str">
        <f>IF($A282="","",IF(COUNTIFS('Blackout Brand Fam Areas (Enc)'!$B$6:$B$998,$A282,'Blackout Brand Fam Areas (Enc)'!$C$6:$C$998,K$1,'Blackout Brand Fam Areas (Enc)'!$D$6:$D$998,"Inactive")&gt;0,"BLOCKED","CAN SELL"))</f>
        <v/>
      </c>
    </row>
    <row r="283" spans="2:11" x14ac:dyDescent="0.2">
      <c r="B283" s="2" t="str">
        <f>IF($A283="","",IF(COUNTIFS('Blackout Brand Fam Areas (Enc)'!$B$6:$B$998,$A283,'Blackout Brand Fam Areas (Enc)'!$C$6:$C$998,B$1,'Blackout Brand Fam Areas (Enc)'!$D$6:$D$998,"Inactive")&gt;0,"BLOCKED","CAN SELL"))</f>
        <v/>
      </c>
      <c r="C283" s="2" t="str">
        <f>IF($A283="","",IF(COUNTIFS('Blackout Brand Fam Areas (Enc)'!$B$6:$B$998,$A283,'Blackout Brand Fam Areas (Enc)'!$C$6:$C$998,C$1,'Blackout Brand Fam Areas (Enc)'!$D$6:$D$998,"Inactive")&gt;0,"BLOCKED","CAN SELL"))</f>
        <v/>
      </c>
      <c r="D283" s="2" t="str">
        <f>IF($A283="","",IF(COUNTIFS('Blackout Brand Fam Areas (Enc)'!$B$6:$B$998,$A283,'Blackout Brand Fam Areas (Enc)'!$C$6:$C$998,D$1,'Blackout Brand Fam Areas (Enc)'!$D$6:$D$998,"Inactive")&gt;0,"BLOCKED","CAN SELL"))</f>
        <v/>
      </c>
      <c r="E283" s="2" t="str">
        <f>IF($A283="","",IF(COUNTIFS('Blackout Brand Fam Areas (Enc)'!$B$6:$B$998,$A283,'Blackout Brand Fam Areas (Enc)'!$C$6:$C$998,E$1,'Blackout Brand Fam Areas (Enc)'!$D$6:$D$998,"Inactive")&gt;0,"BLOCKED","CAN SELL"))</f>
        <v/>
      </c>
      <c r="F283" s="2" t="str">
        <f>IF($A283="","",IF(COUNTIFS('Blackout Brand Fam Areas (Enc)'!$B$6:$B$998,$A283,'Blackout Brand Fam Areas (Enc)'!$C$6:$C$998,F$1,'Blackout Brand Fam Areas (Enc)'!$D$6:$D$998,"Inactive")&gt;0,"BLOCKED","CAN SELL"))</f>
        <v/>
      </c>
      <c r="G283" s="2" t="str">
        <f>IF($A283="","",IF(COUNTIFS('Blackout Brand Fam Areas (Enc)'!$B$6:$B$998,$A283,'Blackout Brand Fam Areas (Enc)'!$C$6:$C$998,G$1,'Blackout Brand Fam Areas (Enc)'!$D$6:$D$998,"Inactive")&gt;0,"BLOCKED","CAN SELL"))</f>
        <v/>
      </c>
      <c r="H283" s="2" t="str">
        <f>IF($A283="","",IF(COUNTIFS('Blackout Brand Fam Areas (Enc)'!$B$6:$B$998,$A283,'Blackout Brand Fam Areas (Enc)'!$C$6:$C$998,H$1,'Blackout Brand Fam Areas (Enc)'!$D$6:$D$998,"Inactive")&gt;0,"BLOCKED","CAN SELL"))</f>
        <v/>
      </c>
      <c r="I283" s="2" t="str">
        <f>IF($A283="","",IF(COUNTIFS('Blackout Brand Fam Areas (Enc)'!$B$6:$B$998,$A283,'Blackout Brand Fam Areas (Enc)'!$C$6:$C$998,I$1,'Blackout Brand Fam Areas (Enc)'!$D$6:$D$998,"Inactive")&gt;0,"BLOCKED","CAN SELL"))</f>
        <v/>
      </c>
      <c r="J283" s="2" t="str">
        <f>IF($A283="","",IF(COUNTIFS('Blackout Brand Fam Areas (Enc)'!$B$6:$B$998,$A283,'Blackout Brand Fam Areas (Enc)'!$C$6:$C$998,J$1,'Blackout Brand Fam Areas (Enc)'!$D$6:$D$998,"Inactive")&gt;0,"BLOCKED","CAN SELL"))</f>
        <v/>
      </c>
      <c r="K283" s="2" t="str">
        <f>IF($A283="","",IF(COUNTIFS('Blackout Brand Fam Areas (Enc)'!$B$6:$B$998,$A283,'Blackout Brand Fam Areas (Enc)'!$C$6:$C$998,K$1,'Blackout Brand Fam Areas (Enc)'!$D$6:$D$998,"Inactive")&gt;0,"BLOCKED","CAN SELL"))</f>
        <v/>
      </c>
    </row>
    <row r="284" spans="2:11" x14ac:dyDescent="0.2">
      <c r="B284" s="2" t="str">
        <f>IF($A284="","",IF(COUNTIFS('Blackout Brand Fam Areas (Enc)'!$B$6:$B$998,$A284,'Blackout Brand Fam Areas (Enc)'!$C$6:$C$998,B$1,'Blackout Brand Fam Areas (Enc)'!$D$6:$D$998,"Inactive")&gt;0,"BLOCKED","CAN SELL"))</f>
        <v/>
      </c>
      <c r="C284" s="2" t="str">
        <f>IF($A284="","",IF(COUNTIFS('Blackout Brand Fam Areas (Enc)'!$B$6:$B$998,$A284,'Blackout Brand Fam Areas (Enc)'!$C$6:$C$998,C$1,'Blackout Brand Fam Areas (Enc)'!$D$6:$D$998,"Inactive")&gt;0,"BLOCKED","CAN SELL"))</f>
        <v/>
      </c>
      <c r="D284" s="2" t="str">
        <f>IF($A284="","",IF(COUNTIFS('Blackout Brand Fam Areas (Enc)'!$B$6:$B$998,$A284,'Blackout Brand Fam Areas (Enc)'!$C$6:$C$998,D$1,'Blackout Brand Fam Areas (Enc)'!$D$6:$D$998,"Inactive")&gt;0,"BLOCKED","CAN SELL"))</f>
        <v/>
      </c>
      <c r="E284" s="2" t="str">
        <f>IF($A284="","",IF(COUNTIFS('Blackout Brand Fam Areas (Enc)'!$B$6:$B$998,$A284,'Blackout Brand Fam Areas (Enc)'!$C$6:$C$998,E$1,'Blackout Brand Fam Areas (Enc)'!$D$6:$D$998,"Inactive")&gt;0,"BLOCKED","CAN SELL"))</f>
        <v/>
      </c>
      <c r="F284" s="2" t="str">
        <f>IF($A284="","",IF(COUNTIFS('Blackout Brand Fam Areas (Enc)'!$B$6:$B$998,$A284,'Blackout Brand Fam Areas (Enc)'!$C$6:$C$998,F$1,'Blackout Brand Fam Areas (Enc)'!$D$6:$D$998,"Inactive")&gt;0,"BLOCKED","CAN SELL"))</f>
        <v/>
      </c>
      <c r="G284" s="2" t="str">
        <f>IF($A284="","",IF(COUNTIFS('Blackout Brand Fam Areas (Enc)'!$B$6:$B$998,$A284,'Blackout Brand Fam Areas (Enc)'!$C$6:$C$998,G$1,'Blackout Brand Fam Areas (Enc)'!$D$6:$D$998,"Inactive")&gt;0,"BLOCKED","CAN SELL"))</f>
        <v/>
      </c>
      <c r="H284" s="2" t="str">
        <f>IF($A284="","",IF(COUNTIFS('Blackout Brand Fam Areas (Enc)'!$B$6:$B$998,$A284,'Blackout Brand Fam Areas (Enc)'!$C$6:$C$998,H$1,'Blackout Brand Fam Areas (Enc)'!$D$6:$D$998,"Inactive")&gt;0,"BLOCKED","CAN SELL"))</f>
        <v/>
      </c>
      <c r="I284" s="2" t="str">
        <f>IF($A284="","",IF(COUNTIFS('Blackout Brand Fam Areas (Enc)'!$B$6:$B$998,$A284,'Blackout Brand Fam Areas (Enc)'!$C$6:$C$998,I$1,'Blackout Brand Fam Areas (Enc)'!$D$6:$D$998,"Inactive")&gt;0,"BLOCKED","CAN SELL"))</f>
        <v/>
      </c>
      <c r="J284" s="2" t="str">
        <f>IF($A284="","",IF(COUNTIFS('Blackout Brand Fam Areas (Enc)'!$B$6:$B$998,$A284,'Blackout Brand Fam Areas (Enc)'!$C$6:$C$998,J$1,'Blackout Brand Fam Areas (Enc)'!$D$6:$D$998,"Inactive")&gt;0,"BLOCKED","CAN SELL"))</f>
        <v/>
      </c>
      <c r="K284" s="2" t="str">
        <f>IF($A284="","",IF(COUNTIFS('Blackout Brand Fam Areas (Enc)'!$B$6:$B$998,$A284,'Blackout Brand Fam Areas (Enc)'!$C$6:$C$998,K$1,'Blackout Brand Fam Areas (Enc)'!$D$6:$D$998,"Inactive")&gt;0,"BLOCKED","CAN SELL"))</f>
        <v/>
      </c>
    </row>
    <row r="285" spans="2:11" x14ac:dyDescent="0.2">
      <c r="B285" s="2" t="str">
        <f>IF($A285="","",IF(COUNTIFS('Blackout Brand Fam Areas (Enc)'!$B$6:$B$998,$A285,'Blackout Brand Fam Areas (Enc)'!$C$6:$C$998,B$1,'Blackout Brand Fam Areas (Enc)'!$D$6:$D$998,"Inactive")&gt;0,"BLOCKED","CAN SELL"))</f>
        <v/>
      </c>
      <c r="C285" s="2" t="str">
        <f>IF($A285="","",IF(COUNTIFS('Blackout Brand Fam Areas (Enc)'!$B$6:$B$998,$A285,'Blackout Brand Fam Areas (Enc)'!$C$6:$C$998,C$1,'Blackout Brand Fam Areas (Enc)'!$D$6:$D$998,"Inactive")&gt;0,"BLOCKED","CAN SELL"))</f>
        <v/>
      </c>
      <c r="D285" s="2" t="str">
        <f>IF($A285="","",IF(COUNTIFS('Blackout Brand Fam Areas (Enc)'!$B$6:$B$998,$A285,'Blackout Brand Fam Areas (Enc)'!$C$6:$C$998,D$1,'Blackout Brand Fam Areas (Enc)'!$D$6:$D$998,"Inactive")&gt;0,"BLOCKED","CAN SELL"))</f>
        <v/>
      </c>
      <c r="E285" s="2" t="str">
        <f>IF($A285="","",IF(COUNTIFS('Blackout Brand Fam Areas (Enc)'!$B$6:$B$998,$A285,'Blackout Brand Fam Areas (Enc)'!$C$6:$C$998,E$1,'Blackout Brand Fam Areas (Enc)'!$D$6:$D$998,"Inactive")&gt;0,"BLOCKED","CAN SELL"))</f>
        <v/>
      </c>
      <c r="F285" s="2" t="str">
        <f>IF($A285="","",IF(COUNTIFS('Blackout Brand Fam Areas (Enc)'!$B$6:$B$998,$A285,'Blackout Brand Fam Areas (Enc)'!$C$6:$C$998,F$1,'Blackout Brand Fam Areas (Enc)'!$D$6:$D$998,"Inactive")&gt;0,"BLOCKED","CAN SELL"))</f>
        <v/>
      </c>
      <c r="G285" s="2" t="str">
        <f>IF($A285="","",IF(COUNTIFS('Blackout Brand Fam Areas (Enc)'!$B$6:$B$998,$A285,'Blackout Brand Fam Areas (Enc)'!$C$6:$C$998,G$1,'Blackout Brand Fam Areas (Enc)'!$D$6:$D$998,"Inactive")&gt;0,"BLOCKED","CAN SELL"))</f>
        <v/>
      </c>
      <c r="H285" s="2" t="str">
        <f>IF($A285="","",IF(COUNTIFS('Blackout Brand Fam Areas (Enc)'!$B$6:$B$998,$A285,'Blackout Brand Fam Areas (Enc)'!$C$6:$C$998,H$1,'Blackout Brand Fam Areas (Enc)'!$D$6:$D$998,"Inactive")&gt;0,"BLOCKED","CAN SELL"))</f>
        <v/>
      </c>
      <c r="I285" s="2" t="str">
        <f>IF($A285="","",IF(COUNTIFS('Blackout Brand Fam Areas (Enc)'!$B$6:$B$998,$A285,'Blackout Brand Fam Areas (Enc)'!$C$6:$C$998,I$1,'Blackout Brand Fam Areas (Enc)'!$D$6:$D$998,"Inactive")&gt;0,"BLOCKED","CAN SELL"))</f>
        <v/>
      </c>
      <c r="J285" s="2" t="str">
        <f>IF($A285="","",IF(COUNTIFS('Blackout Brand Fam Areas (Enc)'!$B$6:$B$998,$A285,'Blackout Brand Fam Areas (Enc)'!$C$6:$C$998,J$1,'Blackout Brand Fam Areas (Enc)'!$D$6:$D$998,"Inactive")&gt;0,"BLOCKED","CAN SELL"))</f>
        <v/>
      </c>
      <c r="K285" s="2" t="str">
        <f>IF($A285="","",IF(COUNTIFS('Blackout Brand Fam Areas (Enc)'!$B$6:$B$998,$A285,'Blackout Brand Fam Areas (Enc)'!$C$6:$C$998,K$1,'Blackout Brand Fam Areas (Enc)'!$D$6:$D$998,"Inactive")&gt;0,"BLOCKED","CAN SELL"))</f>
        <v/>
      </c>
    </row>
    <row r="286" spans="2:11" x14ac:dyDescent="0.2">
      <c r="B286" s="2" t="str">
        <f>IF($A286="","",IF(COUNTIFS('Blackout Brand Fam Areas (Enc)'!$B$6:$B$998,$A286,'Blackout Brand Fam Areas (Enc)'!$C$6:$C$998,B$1,'Blackout Brand Fam Areas (Enc)'!$D$6:$D$998,"Inactive")&gt;0,"BLOCKED","CAN SELL"))</f>
        <v/>
      </c>
      <c r="C286" s="2" t="str">
        <f>IF($A286="","",IF(COUNTIFS('Blackout Brand Fam Areas (Enc)'!$B$6:$B$998,$A286,'Blackout Brand Fam Areas (Enc)'!$C$6:$C$998,C$1,'Blackout Brand Fam Areas (Enc)'!$D$6:$D$998,"Inactive")&gt;0,"BLOCKED","CAN SELL"))</f>
        <v/>
      </c>
      <c r="D286" s="2" t="str">
        <f>IF($A286="","",IF(COUNTIFS('Blackout Brand Fam Areas (Enc)'!$B$6:$B$998,$A286,'Blackout Brand Fam Areas (Enc)'!$C$6:$C$998,D$1,'Blackout Brand Fam Areas (Enc)'!$D$6:$D$998,"Inactive")&gt;0,"BLOCKED","CAN SELL"))</f>
        <v/>
      </c>
      <c r="E286" s="2" t="str">
        <f>IF($A286="","",IF(COUNTIFS('Blackout Brand Fam Areas (Enc)'!$B$6:$B$998,$A286,'Blackout Brand Fam Areas (Enc)'!$C$6:$C$998,E$1,'Blackout Brand Fam Areas (Enc)'!$D$6:$D$998,"Inactive")&gt;0,"BLOCKED","CAN SELL"))</f>
        <v/>
      </c>
      <c r="F286" s="2" t="str">
        <f>IF($A286="","",IF(COUNTIFS('Blackout Brand Fam Areas (Enc)'!$B$6:$B$998,$A286,'Blackout Brand Fam Areas (Enc)'!$C$6:$C$998,F$1,'Blackout Brand Fam Areas (Enc)'!$D$6:$D$998,"Inactive")&gt;0,"BLOCKED","CAN SELL"))</f>
        <v/>
      </c>
      <c r="G286" s="2" t="str">
        <f>IF($A286="","",IF(COUNTIFS('Blackout Brand Fam Areas (Enc)'!$B$6:$B$998,$A286,'Blackout Brand Fam Areas (Enc)'!$C$6:$C$998,G$1,'Blackout Brand Fam Areas (Enc)'!$D$6:$D$998,"Inactive")&gt;0,"BLOCKED","CAN SELL"))</f>
        <v/>
      </c>
      <c r="H286" s="2" t="str">
        <f>IF($A286="","",IF(COUNTIFS('Blackout Brand Fam Areas (Enc)'!$B$6:$B$998,$A286,'Blackout Brand Fam Areas (Enc)'!$C$6:$C$998,H$1,'Blackout Brand Fam Areas (Enc)'!$D$6:$D$998,"Inactive")&gt;0,"BLOCKED","CAN SELL"))</f>
        <v/>
      </c>
      <c r="I286" s="2" t="str">
        <f>IF($A286="","",IF(COUNTIFS('Blackout Brand Fam Areas (Enc)'!$B$6:$B$998,$A286,'Blackout Brand Fam Areas (Enc)'!$C$6:$C$998,I$1,'Blackout Brand Fam Areas (Enc)'!$D$6:$D$998,"Inactive")&gt;0,"BLOCKED","CAN SELL"))</f>
        <v/>
      </c>
      <c r="J286" s="2" t="str">
        <f>IF($A286="","",IF(COUNTIFS('Blackout Brand Fam Areas (Enc)'!$B$6:$B$998,$A286,'Blackout Brand Fam Areas (Enc)'!$C$6:$C$998,J$1,'Blackout Brand Fam Areas (Enc)'!$D$6:$D$998,"Inactive")&gt;0,"BLOCKED","CAN SELL"))</f>
        <v/>
      </c>
      <c r="K286" s="2" t="str">
        <f>IF($A286="","",IF(COUNTIFS('Blackout Brand Fam Areas (Enc)'!$B$6:$B$998,$A286,'Blackout Brand Fam Areas (Enc)'!$C$6:$C$998,K$1,'Blackout Brand Fam Areas (Enc)'!$D$6:$D$998,"Inactive")&gt;0,"BLOCKED","CAN SELL"))</f>
        <v/>
      </c>
    </row>
    <row r="287" spans="2:11" x14ac:dyDescent="0.2">
      <c r="B287" s="2" t="str">
        <f>IF($A287="","",IF(COUNTIFS('Blackout Brand Fam Areas (Enc)'!$B$6:$B$998,$A287,'Blackout Brand Fam Areas (Enc)'!$C$6:$C$998,B$1,'Blackout Brand Fam Areas (Enc)'!$D$6:$D$998,"Inactive")&gt;0,"BLOCKED","CAN SELL"))</f>
        <v/>
      </c>
      <c r="C287" s="2" t="str">
        <f>IF($A287="","",IF(COUNTIFS('Blackout Brand Fam Areas (Enc)'!$B$6:$B$998,$A287,'Blackout Brand Fam Areas (Enc)'!$C$6:$C$998,C$1,'Blackout Brand Fam Areas (Enc)'!$D$6:$D$998,"Inactive")&gt;0,"BLOCKED","CAN SELL"))</f>
        <v/>
      </c>
      <c r="D287" s="2" t="str">
        <f>IF($A287="","",IF(COUNTIFS('Blackout Brand Fam Areas (Enc)'!$B$6:$B$998,$A287,'Blackout Brand Fam Areas (Enc)'!$C$6:$C$998,D$1,'Blackout Brand Fam Areas (Enc)'!$D$6:$D$998,"Inactive")&gt;0,"BLOCKED","CAN SELL"))</f>
        <v/>
      </c>
      <c r="E287" s="2" t="str">
        <f>IF($A287="","",IF(COUNTIFS('Blackout Brand Fam Areas (Enc)'!$B$6:$B$998,$A287,'Blackout Brand Fam Areas (Enc)'!$C$6:$C$998,E$1,'Blackout Brand Fam Areas (Enc)'!$D$6:$D$998,"Inactive")&gt;0,"BLOCKED","CAN SELL"))</f>
        <v/>
      </c>
      <c r="F287" s="2" t="str">
        <f>IF($A287="","",IF(COUNTIFS('Blackout Brand Fam Areas (Enc)'!$B$6:$B$998,$A287,'Blackout Brand Fam Areas (Enc)'!$C$6:$C$998,F$1,'Blackout Brand Fam Areas (Enc)'!$D$6:$D$998,"Inactive")&gt;0,"BLOCKED","CAN SELL"))</f>
        <v/>
      </c>
      <c r="G287" s="2" t="str">
        <f>IF($A287="","",IF(COUNTIFS('Blackout Brand Fam Areas (Enc)'!$B$6:$B$998,$A287,'Blackout Brand Fam Areas (Enc)'!$C$6:$C$998,G$1,'Blackout Brand Fam Areas (Enc)'!$D$6:$D$998,"Inactive")&gt;0,"BLOCKED","CAN SELL"))</f>
        <v/>
      </c>
      <c r="H287" s="2" t="str">
        <f>IF($A287="","",IF(COUNTIFS('Blackout Brand Fam Areas (Enc)'!$B$6:$B$998,$A287,'Blackout Brand Fam Areas (Enc)'!$C$6:$C$998,H$1,'Blackout Brand Fam Areas (Enc)'!$D$6:$D$998,"Inactive")&gt;0,"BLOCKED","CAN SELL"))</f>
        <v/>
      </c>
      <c r="I287" s="2" t="str">
        <f>IF($A287="","",IF(COUNTIFS('Blackout Brand Fam Areas (Enc)'!$B$6:$B$998,$A287,'Blackout Brand Fam Areas (Enc)'!$C$6:$C$998,I$1,'Blackout Brand Fam Areas (Enc)'!$D$6:$D$998,"Inactive")&gt;0,"BLOCKED","CAN SELL"))</f>
        <v/>
      </c>
      <c r="J287" s="2" t="str">
        <f>IF($A287="","",IF(COUNTIFS('Blackout Brand Fam Areas (Enc)'!$B$6:$B$998,$A287,'Blackout Brand Fam Areas (Enc)'!$C$6:$C$998,J$1,'Blackout Brand Fam Areas (Enc)'!$D$6:$D$998,"Inactive")&gt;0,"BLOCKED","CAN SELL"))</f>
        <v/>
      </c>
      <c r="K287" s="2" t="str">
        <f>IF($A287="","",IF(COUNTIFS('Blackout Brand Fam Areas (Enc)'!$B$6:$B$998,$A287,'Blackout Brand Fam Areas (Enc)'!$C$6:$C$998,K$1,'Blackout Brand Fam Areas (Enc)'!$D$6:$D$998,"Inactive")&gt;0,"BLOCKED","CAN SELL"))</f>
        <v/>
      </c>
    </row>
    <row r="288" spans="2:11" x14ac:dyDescent="0.2">
      <c r="B288" s="2" t="str">
        <f>IF($A288="","",IF(COUNTIFS('Blackout Brand Fam Areas (Enc)'!$B$6:$B$998,$A288,'Blackout Brand Fam Areas (Enc)'!$C$6:$C$998,B$1,'Blackout Brand Fam Areas (Enc)'!$D$6:$D$998,"Inactive")&gt;0,"BLOCKED","CAN SELL"))</f>
        <v/>
      </c>
      <c r="C288" s="2" t="str">
        <f>IF($A288="","",IF(COUNTIFS('Blackout Brand Fam Areas (Enc)'!$B$6:$B$998,$A288,'Blackout Brand Fam Areas (Enc)'!$C$6:$C$998,C$1,'Blackout Brand Fam Areas (Enc)'!$D$6:$D$998,"Inactive")&gt;0,"BLOCKED","CAN SELL"))</f>
        <v/>
      </c>
      <c r="D288" s="2" t="str">
        <f>IF($A288="","",IF(COUNTIFS('Blackout Brand Fam Areas (Enc)'!$B$6:$B$998,$A288,'Blackout Brand Fam Areas (Enc)'!$C$6:$C$998,D$1,'Blackout Brand Fam Areas (Enc)'!$D$6:$D$998,"Inactive")&gt;0,"BLOCKED","CAN SELL"))</f>
        <v/>
      </c>
      <c r="E288" s="2" t="str">
        <f>IF($A288="","",IF(COUNTIFS('Blackout Brand Fam Areas (Enc)'!$B$6:$B$998,$A288,'Blackout Brand Fam Areas (Enc)'!$C$6:$C$998,E$1,'Blackout Brand Fam Areas (Enc)'!$D$6:$D$998,"Inactive")&gt;0,"BLOCKED","CAN SELL"))</f>
        <v/>
      </c>
      <c r="F288" s="2" t="str">
        <f>IF($A288="","",IF(COUNTIFS('Blackout Brand Fam Areas (Enc)'!$B$6:$B$998,$A288,'Blackout Brand Fam Areas (Enc)'!$C$6:$C$998,F$1,'Blackout Brand Fam Areas (Enc)'!$D$6:$D$998,"Inactive")&gt;0,"BLOCKED","CAN SELL"))</f>
        <v/>
      </c>
      <c r="G288" s="2" t="str">
        <f>IF($A288="","",IF(COUNTIFS('Blackout Brand Fam Areas (Enc)'!$B$6:$B$998,$A288,'Blackout Brand Fam Areas (Enc)'!$C$6:$C$998,G$1,'Blackout Brand Fam Areas (Enc)'!$D$6:$D$998,"Inactive")&gt;0,"BLOCKED","CAN SELL"))</f>
        <v/>
      </c>
      <c r="H288" s="2" t="str">
        <f>IF($A288="","",IF(COUNTIFS('Blackout Brand Fam Areas (Enc)'!$B$6:$B$998,$A288,'Blackout Brand Fam Areas (Enc)'!$C$6:$C$998,H$1,'Blackout Brand Fam Areas (Enc)'!$D$6:$D$998,"Inactive")&gt;0,"BLOCKED","CAN SELL"))</f>
        <v/>
      </c>
      <c r="I288" s="2" t="str">
        <f>IF($A288="","",IF(COUNTIFS('Blackout Brand Fam Areas (Enc)'!$B$6:$B$998,$A288,'Blackout Brand Fam Areas (Enc)'!$C$6:$C$998,I$1,'Blackout Brand Fam Areas (Enc)'!$D$6:$D$998,"Inactive")&gt;0,"BLOCKED","CAN SELL"))</f>
        <v/>
      </c>
      <c r="J288" s="2" t="str">
        <f>IF($A288="","",IF(COUNTIFS('Blackout Brand Fam Areas (Enc)'!$B$6:$B$998,$A288,'Blackout Brand Fam Areas (Enc)'!$C$6:$C$998,J$1,'Blackout Brand Fam Areas (Enc)'!$D$6:$D$998,"Inactive")&gt;0,"BLOCKED","CAN SELL"))</f>
        <v/>
      </c>
      <c r="K288" s="2" t="str">
        <f>IF($A288="","",IF(COUNTIFS('Blackout Brand Fam Areas (Enc)'!$B$6:$B$998,$A288,'Blackout Brand Fam Areas (Enc)'!$C$6:$C$998,K$1,'Blackout Brand Fam Areas (Enc)'!$D$6:$D$998,"Inactive")&gt;0,"BLOCKED","CAN SELL"))</f>
        <v/>
      </c>
    </row>
    <row r="289" spans="2:11" x14ac:dyDescent="0.2">
      <c r="B289" s="2" t="str">
        <f>IF($A289="","",IF(COUNTIFS('Blackout Brand Fam Areas (Enc)'!$B$6:$B$998,$A289,'Blackout Brand Fam Areas (Enc)'!$C$6:$C$998,B$1,'Blackout Brand Fam Areas (Enc)'!$D$6:$D$998,"Inactive")&gt;0,"BLOCKED","CAN SELL"))</f>
        <v/>
      </c>
      <c r="C289" s="2" t="str">
        <f>IF($A289="","",IF(COUNTIFS('Blackout Brand Fam Areas (Enc)'!$B$6:$B$998,$A289,'Blackout Brand Fam Areas (Enc)'!$C$6:$C$998,C$1,'Blackout Brand Fam Areas (Enc)'!$D$6:$D$998,"Inactive")&gt;0,"BLOCKED","CAN SELL"))</f>
        <v/>
      </c>
      <c r="D289" s="2" t="str">
        <f>IF($A289="","",IF(COUNTIFS('Blackout Brand Fam Areas (Enc)'!$B$6:$B$998,$A289,'Blackout Brand Fam Areas (Enc)'!$C$6:$C$998,D$1,'Blackout Brand Fam Areas (Enc)'!$D$6:$D$998,"Inactive")&gt;0,"BLOCKED","CAN SELL"))</f>
        <v/>
      </c>
      <c r="E289" s="2" t="str">
        <f>IF($A289="","",IF(COUNTIFS('Blackout Brand Fam Areas (Enc)'!$B$6:$B$998,$A289,'Blackout Brand Fam Areas (Enc)'!$C$6:$C$998,E$1,'Blackout Brand Fam Areas (Enc)'!$D$6:$D$998,"Inactive")&gt;0,"BLOCKED","CAN SELL"))</f>
        <v/>
      </c>
      <c r="F289" s="2" t="str">
        <f>IF($A289="","",IF(COUNTIFS('Blackout Brand Fam Areas (Enc)'!$B$6:$B$998,$A289,'Blackout Brand Fam Areas (Enc)'!$C$6:$C$998,F$1,'Blackout Brand Fam Areas (Enc)'!$D$6:$D$998,"Inactive")&gt;0,"BLOCKED","CAN SELL"))</f>
        <v/>
      </c>
      <c r="G289" s="2" t="str">
        <f>IF($A289="","",IF(COUNTIFS('Blackout Brand Fam Areas (Enc)'!$B$6:$B$998,$A289,'Blackout Brand Fam Areas (Enc)'!$C$6:$C$998,G$1,'Blackout Brand Fam Areas (Enc)'!$D$6:$D$998,"Inactive")&gt;0,"BLOCKED","CAN SELL"))</f>
        <v/>
      </c>
      <c r="H289" s="2" t="str">
        <f>IF($A289="","",IF(COUNTIFS('Blackout Brand Fam Areas (Enc)'!$B$6:$B$998,$A289,'Blackout Brand Fam Areas (Enc)'!$C$6:$C$998,H$1,'Blackout Brand Fam Areas (Enc)'!$D$6:$D$998,"Inactive")&gt;0,"BLOCKED","CAN SELL"))</f>
        <v/>
      </c>
      <c r="I289" s="2" t="str">
        <f>IF($A289="","",IF(COUNTIFS('Blackout Brand Fam Areas (Enc)'!$B$6:$B$998,$A289,'Blackout Brand Fam Areas (Enc)'!$C$6:$C$998,I$1,'Blackout Brand Fam Areas (Enc)'!$D$6:$D$998,"Inactive")&gt;0,"BLOCKED","CAN SELL"))</f>
        <v/>
      </c>
      <c r="J289" s="2" t="str">
        <f>IF($A289="","",IF(COUNTIFS('Blackout Brand Fam Areas (Enc)'!$B$6:$B$998,$A289,'Blackout Brand Fam Areas (Enc)'!$C$6:$C$998,J$1,'Blackout Brand Fam Areas (Enc)'!$D$6:$D$998,"Inactive")&gt;0,"BLOCKED","CAN SELL"))</f>
        <v/>
      </c>
      <c r="K289" s="2" t="str">
        <f>IF($A289="","",IF(COUNTIFS('Blackout Brand Fam Areas (Enc)'!$B$6:$B$998,$A289,'Blackout Brand Fam Areas (Enc)'!$C$6:$C$998,K$1,'Blackout Brand Fam Areas (Enc)'!$D$6:$D$998,"Inactive")&gt;0,"BLOCKED","CAN SELL"))</f>
        <v/>
      </c>
    </row>
    <row r="290" spans="2:11" x14ac:dyDescent="0.2">
      <c r="B290" s="2" t="str">
        <f>IF($A290="","",IF(COUNTIFS('Blackout Brand Fam Areas (Enc)'!$B$6:$B$998,$A290,'Blackout Brand Fam Areas (Enc)'!$C$6:$C$998,B$1,'Blackout Brand Fam Areas (Enc)'!$D$6:$D$998,"Inactive")&gt;0,"BLOCKED","CAN SELL"))</f>
        <v/>
      </c>
      <c r="C290" s="2" t="str">
        <f>IF($A290="","",IF(COUNTIFS('Blackout Brand Fam Areas (Enc)'!$B$6:$B$998,$A290,'Blackout Brand Fam Areas (Enc)'!$C$6:$C$998,C$1,'Blackout Brand Fam Areas (Enc)'!$D$6:$D$998,"Inactive")&gt;0,"BLOCKED","CAN SELL"))</f>
        <v/>
      </c>
      <c r="D290" s="2" t="str">
        <f>IF($A290="","",IF(COUNTIFS('Blackout Brand Fam Areas (Enc)'!$B$6:$B$998,$A290,'Blackout Brand Fam Areas (Enc)'!$C$6:$C$998,D$1,'Blackout Brand Fam Areas (Enc)'!$D$6:$D$998,"Inactive")&gt;0,"BLOCKED","CAN SELL"))</f>
        <v/>
      </c>
      <c r="E290" s="2" t="str">
        <f>IF($A290="","",IF(COUNTIFS('Blackout Brand Fam Areas (Enc)'!$B$6:$B$998,$A290,'Blackout Brand Fam Areas (Enc)'!$C$6:$C$998,E$1,'Blackout Brand Fam Areas (Enc)'!$D$6:$D$998,"Inactive")&gt;0,"BLOCKED","CAN SELL"))</f>
        <v/>
      </c>
      <c r="F290" s="2" t="str">
        <f>IF($A290="","",IF(COUNTIFS('Blackout Brand Fam Areas (Enc)'!$B$6:$B$998,$A290,'Blackout Brand Fam Areas (Enc)'!$C$6:$C$998,F$1,'Blackout Brand Fam Areas (Enc)'!$D$6:$D$998,"Inactive")&gt;0,"BLOCKED","CAN SELL"))</f>
        <v/>
      </c>
      <c r="G290" s="2" t="str">
        <f>IF($A290="","",IF(COUNTIFS('Blackout Brand Fam Areas (Enc)'!$B$6:$B$998,$A290,'Blackout Brand Fam Areas (Enc)'!$C$6:$C$998,G$1,'Blackout Brand Fam Areas (Enc)'!$D$6:$D$998,"Inactive")&gt;0,"BLOCKED","CAN SELL"))</f>
        <v/>
      </c>
      <c r="H290" s="2" t="str">
        <f>IF($A290="","",IF(COUNTIFS('Blackout Brand Fam Areas (Enc)'!$B$6:$B$998,$A290,'Blackout Brand Fam Areas (Enc)'!$C$6:$C$998,H$1,'Blackout Brand Fam Areas (Enc)'!$D$6:$D$998,"Inactive")&gt;0,"BLOCKED","CAN SELL"))</f>
        <v/>
      </c>
      <c r="I290" s="2" t="str">
        <f>IF($A290="","",IF(COUNTIFS('Blackout Brand Fam Areas (Enc)'!$B$6:$B$998,$A290,'Blackout Brand Fam Areas (Enc)'!$C$6:$C$998,I$1,'Blackout Brand Fam Areas (Enc)'!$D$6:$D$998,"Inactive")&gt;0,"BLOCKED","CAN SELL"))</f>
        <v/>
      </c>
      <c r="J290" s="2" t="str">
        <f>IF($A290="","",IF(COUNTIFS('Blackout Brand Fam Areas (Enc)'!$B$6:$B$998,$A290,'Blackout Brand Fam Areas (Enc)'!$C$6:$C$998,J$1,'Blackout Brand Fam Areas (Enc)'!$D$6:$D$998,"Inactive")&gt;0,"BLOCKED","CAN SELL"))</f>
        <v/>
      </c>
      <c r="K290" s="2" t="str">
        <f>IF($A290="","",IF(COUNTIFS('Blackout Brand Fam Areas (Enc)'!$B$6:$B$998,$A290,'Blackout Brand Fam Areas (Enc)'!$C$6:$C$998,K$1,'Blackout Brand Fam Areas (Enc)'!$D$6:$D$998,"Inactive")&gt;0,"BLOCKED","CAN SELL"))</f>
        <v/>
      </c>
    </row>
    <row r="291" spans="2:11" x14ac:dyDescent="0.2">
      <c r="B291" s="2" t="str">
        <f>IF($A291="","",IF(COUNTIFS('Blackout Brand Fam Areas (Enc)'!$B$6:$B$998,$A291,'Blackout Brand Fam Areas (Enc)'!$C$6:$C$998,B$1,'Blackout Brand Fam Areas (Enc)'!$D$6:$D$998,"Inactive")&gt;0,"BLOCKED","CAN SELL"))</f>
        <v/>
      </c>
      <c r="C291" s="2" t="str">
        <f>IF($A291="","",IF(COUNTIFS('Blackout Brand Fam Areas (Enc)'!$B$6:$B$998,$A291,'Blackout Brand Fam Areas (Enc)'!$C$6:$C$998,C$1,'Blackout Brand Fam Areas (Enc)'!$D$6:$D$998,"Inactive")&gt;0,"BLOCKED","CAN SELL"))</f>
        <v/>
      </c>
      <c r="D291" s="2" t="str">
        <f>IF($A291="","",IF(COUNTIFS('Blackout Brand Fam Areas (Enc)'!$B$6:$B$998,$A291,'Blackout Brand Fam Areas (Enc)'!$C$6:$C$998,D$1,'Blackout Brand Fam Areas (Enc)'!$D$6:$D$998,"Inactive")&gt;0,"BLOCKED","CAN SELL"))</f>
        <v/>
      </c>
      <c r="E291" s="2" t="str">
        <f>IF($A291="","",IF(COUNTIFS('Blackout Brand Fam Areas (Enc)'!$B$6:$B$998,$A291,'Blackout Brand Fam Areas (Enc)'!$C$6:$C$998,E$1,'Blackout Brand Fam Areas (Enc)'!$D$6:$D$998,"Inactive")&gt;0,"BLOCKED","CAN SELL"))</f>
        <v/>
      </c>
      <c r="F291" s="2" t="str">
        <f>IF($A291="","",IF(COUNTIFS('Blackout Brand Fam Areas (Enc)'!$B$6:$B$998,$A291,'Blackout Brand Fam Areas (Enc)'!$C$6:$C$998,F$1,'Blackout Brand Fam Areas (Enc)'!$D$6:$D$998,"Inactive")&gt;0,"BLOCKED","CAN SELL"))</f>
        <v/>
      </c>
      <c r="G291" s="2" t="str">
        <f>IF($A291="","",IF(COUNTIFS('Blackout Brand Fam Areas (Enc)'!$B$6:$B$998,$A291,'Blackout Brand Fam Areas (Enc)'!$C$6:$C$998,G$1,'Blackout Brand Fam Areas (Enc)'!$D$6:$D$998,"Inactive")&gt;0,"BLOCKED","CAN SELL"))</f>
        <v/>
      </c>
      <c r="H291" s="2" t="str">
        <f>IF($A291="","",IF(COUNTIFS('Blackout Brand Fam Areas (Enc)'!$B$6:$B$998,$A291,'Blackout Brand Fam Areas (Enc)'!$C$6:$C$998,H$1,'Blackout Brand Fam Areas (Enc)'!$D$6:$D$998,"Inactive")&gt;0,"BLOCKED","CAN SELL"))</f>
        <v/>
      </c>
      <c r="I291" s="2" t="str">
        <f>IF($A291="","",IF(COUNTIFS('Blackout Brand Fam Areas (Enc)'!$B$6:$B$998,$A291,'Blackout Brand Fam Areas (Enc)'!$C$6:$C$998,I$1,'Blackout Brand Fam Areas (Enc)'!$D$6:$D$998,"Inactive")&gt;0,"BLOCKED","CAN SELL"))</f>
        <v/>
      </c>
      <c r="J291" s="2" t="str">
        <f>IF($A291="","",IF(COUNTIFS('Blackout Brand Fam Areas (Enc)'!$B$6:$B$998,$A291,'Blackout Brand Fam Areas (Enc)'!$C$6:$C$998,J$1,'Blackout Brand Fam Areas (Enc)'!$D$6:$D$998,"Inactive")&gt;0,"BLOCKED","CAN SELL"))</f>
        <v/>
      </c>
      <c r="K291" s="2" t="str">
        <f>IF($A291="","",IF(COUNTIFS('Blackout Brand Fam Areas (Enc)'!$B$6:$B$998,$A291,'Blackout Brand Fam Areas (Enc)'!$C$6:$C$998,K$1,'Blackout Brand Fam Areas (Enc)'!$D$6:$D$998,"Inactive")&gt;0,"BLOCKED","CAN SELL"))</f>
        <v/>
      </c>
    </row>
    <row r="292" spans="2:11" x14ac:dyDescent="0.2">
      <c r="B292" s="2" t="str">
        <f>IF($A292="","",IF(COUNTIFS('Blackout Brand Fam Areas (Enc)'!$B$6:$B$998,$A292,'Blackout Brand Fam Areas (Enc)'!$C$6:$C$998,B$1,'Blackout Brand Fam Areas (Enc)'!$D$6:$D$998,"Inactive")&gt;0,"BLOCKED","CAN SELL"))</f>
        <v/>
      </c>
      <c r="C292" s="2" t="str">
        <f>IF($A292="","",IF(COUNTIFS('Blackout Brand Fam Areas (Enc)'!$B$6:$B$998,$A292,'Blackout Brand Fam Areas (Enc)'!$C$6:$C$998,C$1,'Blackout Brand Fam Areas (Enc)'!$D$6:$D$998,"Inactive")&gt;0,"BLOCKED","CAN SELL"))</f>
        <v/>
      </c>
      <c r="D292" s="2" t="str">
        <f>IF($A292="","",IF(COUNTIFS('Blackout Brand Fam Areas (Enc)'!$B$6:$B$998,$A292,'Blackout Brand Fam Areas (Enc)'!$C$6:$C$998,D$1,'Blackout Brand Fam Areas (Enc)'!$D$6:$D$998,"Inactive")&gt;0,"BLOCKED","CAN SELL"))</f>
        <v/>
      </c>
      <c r="E292" s="2" t="str">
        <f>IF($A292="","",IF(COUNTIFS('Blackout Brand Fam Areas (Enc)'!$B$6:$B$998,$A292,'Blackout Brand Fam Areas (Enc)'!$C$6:$C$998,E$1,'Blackout Brand Fam Areas (Enc)'!$D$6:$D$998,"Inactive")&gt;0,"BLOCKED","CAN SELL"))</f>
        <v/>
      </c>
      <c r="F292" s="2" t="str">
        <f>IF($A292="","",IF(COUNTIFS('Blackout Brand Fam Areas (Enc)'!$B$6:$B$998,$A292,'Blackout Brand Fam Areas (Enc)'!$C$6:$C$998,F$1,'Blackout Brand Fam Areas (Enc)'!$D$6:$D$998,"Inactive")&gt;0,"BLOCKED","CAN SELL"))</f>
        <v/>
      </c>
      <c r="G292" s="2" t="str">
        <f>IF($A292="","",IF(COUNTIFS('Blackout Brand Fam Areas (Enc)'!$B$6:$B$998,$A292,'Blackout Brand Fam Areas (Enc)'!$C$6:$C$998,G$1,'Blackout Brand Fam Areas (Enc)'!$D$6:$D$998,"Inactive")&gt;0,"BLOCKED","CAN SELL"))</f>
        <v/>
      </c>
      <c r="H292" s="2" t="str">
        <f>IF($A292="","",IF(COUNTIFS('Blackout Brand Fam Areas (Enc)'!$B$6:$B$998,$A292,'Blackout Brand Fam Areas (Enc)'!$C$6:$C$998,H$1,'Blackout Brand Fam Areas (Enc)'!$D$6:$D$998,"Inactive")&gt;0,"BLOCKED","CAN SELL"))</f>
        <v/>
      </c>
      <c r="I292" s="2" t="str">
        <f>IF($A292="","",IF(COUNTIFS('Blackout Brand Fam Areas (Enc)'!$B$6:$B$998,$A292,'Blackout Brand Fam Areas (Enc)'!$C$6:$C$998,I$1,'Blackout Brand Fam Areas (Enc)'!$D$6:$D$998,"Inactive")&gt;0,"BLOCKED","CAN SELL"))</f>
        <v/>
      </c>
      <c r="J292" s="2" t="str">
        <f>IF($A292="","",IF(COUNTIFS('Blackout Brand Fam Areas (Enc)'!$B$6:$B$998,$A292,'Blackout Brand Fam Areas (Enc)'!$C$6:$C$998,J$1,'Blackout Brand Fam Areas (Enc)'!$D$6:$D$998,"Inactive")&gt;0,"BLOCKED","CAN SELL"))</f>
        <v/>
      </c>
      <c r="K292" s="2" t="str">
        <f>IF($A292="","",IF(COUNTIFS('Blackout Brand Fam Areas (Enc)'!$B$6:$B$998,$A292,'Blackout Brand Fam Areas (Enc)'!$C$6:$C$998,K$1,'Blackout Brand Fam Areas (Enc)'!$D$6:$D$998,"Inactive")&gt;0,"BLOCKED","CAN SELL"))</f>
        <v/>
      </c>
    </row>
    <row r="293" spans="2:11" x14ac:dyDescent="0.2">
      <c r="B293" s="2" t="str">
        <f>IF($A293="","",IF(COUNTIFS('Blackout Brand Fam Areas (Enc)'!$B$6:$B$998,$A293,'Blackout Brand Fam Areas (Enc)'!$C$6:$C$998,B$1,'Blackout Brand Fam Areas (Enc)'!$D$6:$D$998,"Inactive")&gt;0,"BLOCKED","CAN SELL"))</f>
        <v/>
      </c>
      <c r="C293" s="2" t="str">
        <f>IF($A293="","",IF(COUNTIFS('Blackout Brand Fam Areas (Enc)'!$B$6:$B$998,$A293,'Blackout Brand Fam Areas (Enc)'!$C$6:$C$998,C$1,'Blackout Brand Fam Areas (Enc)'!$D$6:$D$998,"Inactive")&gt;0,"BLOCKED","CAN SELL"))</f>
        <v/>
      </c>
      <c r="D293" s="2" t="str">
        <f>IF($A293="","",IF(COUNTIFS('Blackout Brand Fam Areas (Enc)'!$B$6:$B$998,$A293,'Blackout Brand Fam Areas (Enc)'!$C$6:$C$998,D$1,'Blackout Brand Fam Areas (Enc)'!$D$6:$D$998,"Inactive")&gt;0,"BLOCKED","CAN SELL"))</f>
        <v/>
      </c>
      <c r="E293" s="2" t="str">
        <f>IF($A293="","",IF(COUNTIFS('Blackout Brand Fam Areas (Enc)'!$B$6:$B$998,$A293,'Blackout Brand Fam Areas (Enc)'!$C$6:$C$998,E$1,'Blackout Brand Fam Areas (Enc)'!$D$6:$D$998,"Inactive")&gt;0,"BLOCKED","CAN SELL"))</f>
        <v/>
      </c>
      <c r="F293" s="2" t="str">
        <f>IF($A293="","",IF(COUNTIFS('Blackout Brand Fam Areas (Enc)'!$B$6:$B$998,$A293,'Blackout Brand Fam Areas (Enc)'!$C$6:$C$998,F$1,'Blackout Brand Fam Areas (Enc)'!$D$6:$D$998,"Inactive")&gt;0,"BLOCKED","CAN SELL"))</f>
        <v/>
      </c>
      <c r="G293" s="2" t="str">
        <f>IF($A293="","",IF(COUNTIFS('Blackout Brand Fam Areas (Enc)'!$B$6:$B$998,$A293,'Blackout Brand Fam Areas (Enc)'!$C$6:$C$998,G$1,'Blackout Brand Fam Areas (Enc)'!$D$6:$D$998,"Inactive")&gt;0,"BLOCKED","CAN SELL"))</f>
        <v/>
      </c>
      <c r="H293" s="2" t="str">
        <f>IF($A293="","",IF(COUNTIFS('Blackout Brand Fam Areas (Enc)'!$B$6:$B$998,$A293,'Blackout Brand Fam Areas (Enc)'!$C$6:$C$998,H$1,'Blackout Brand Fam Areas (Enc)'!$D$6:$D$998,"Inactive")&gt;0,"BLOCKED","CAN SELL"))</f>
        <v/>
      </c>
      <c r="I293" s="2" t="str">
        <f>IF($A293="","",IF(COUNTIFS('Blackout Brand Fam Areas (Enc)'!$B$6:$B$998,$A293,'Blackout Brand Fam Areas (Enc)'!$C$6:$C$998,I$1,'Blackout Brand Fam Areas (Enc)'!$D$6:$D$998,"Inactive")&gt;0,"BLOCKED","CAN SELL"))</f>
        <v/>
      </c>
      <c r="J293" s="2" t="str">
        <f>IF($A293="","",IF(COUNTIFS('Blackout Brand Fam Areas (Enc)'!$B$6:$B$998,$A293,'Blackout Brand Fam Areas (Enc)'!$C$6:$C$998,J$1,'Blackout Brand Fam Areas (Enc)'!$D$6:$D$998,"Inactive")&gt;0,"BLOCKED","CAN SELL"))</f>
        <v/>
      </c>
      <c r="K293" s="2" t="str">
        <f>IF($A293="","",IF(COUNTIFS('Blackout Brand Fam Areas (Enc)'!$B$6:$B$998,$A293,'Blackout Brand Fam Areas (Enc)'!$C$6:$C$998,K$1,'Blackout Brand Fam Areas (Enc)'!$D$6:$D$998,"Inactive")&gt;0,"BLOCKED","CAN SELL"))</f>
        <v/>
      </c>
    </row>
    <row r="294" spans="2:11" x14ac:dyDescent="0.2">
      <c r="B294" s="2" t="str">
        <f>IF($A294="","",IF(COUNTIFS('Blackout Brand Fam Areas (Enc)'!$B$6:$B$998,$A294,'Blackout Brand Fam Areas (Enc)'!$C$6:$C$998,B$1,'Blackout Brand Fam Areas (Enc)'!$D$6:$D$998,"Inactive")&gt;0,"BLOCKED","CAN SELL"))</f>
        <v/>
      </c>
      <c r="C294" s="2" t="str">
        <f>IF($A294="","",IF(COUNTIFS('Blackout Brand Fam Areas (Enc)'!$B$6:$B$998,$A294,'Blackout Brand Fam Areas (Enc)'!$C$6:$C$998,C$1,'Blackout Brand Fam Areas (Enc)'!$D$6:$D$998,"Inactive")&gt;0,"BLOCKED","CAN SELL"))</f>
        <v/>
      </c>
      <c r="D294" s="2" t="str">
        <f>IF($A294="","",IF(COUNTIFS('Blackout Brand Fam Areas (Enc)'!$B$6:$B$998,$A294,'Blackout Brand Fam Areas (Enc)'!$C$6:$C$998,D$1,'Blackout Brand Fam Areas (Enc)'!$D$6:$D$998,"Inactive")&gt;0,"BLOCKED","CAN SELL"))</f>
        <v/>
      </c>
      <c r="E294" s="2" t="str">
        <f>IF($A294="","",IF(COUNTIFS('Blackout Brand Fam Areas (Enc)'!$B$6:$B$998,$A294,'Blackout Brand Fam Areas (Enc)'!$C$6:$C$998,E$1,'Blackout Brand Fam Areas (Enc)'!$D$6:$D$998,"Inactive")&gt;0,"BLOCKED","CAN SELL"))</f>
        <v/>
      </c>
      <c r="F294" s="2" t="str">
        <f>IF($A294="","",IF(COUNTIFS('Blackout Brand Fam Areas (Enc)'!$B$6:$B$998,$A294,'Blackout Brand Fam Areas (Enc)'!$C$6:$C$998,F$1,'Blackout Brand Fam Areas (Enc)'!$D$6:$D$998,"Inactive")&gt;0,"BLOCKED","CAN SELL"))</f>
        <v/>
      </c>
      <c r="G294" s="2" t="str">
        <f>IF($A294="","",IF(COUNTIFS('Blackout Brand Fam Areas (Enc)'!$B$6:$B$998,$A294,'Blackout Brand Fam Areas (Enc)'!$C$6:$C$998,G$1,'Blackout Brand Fam Areas (Enc)'!$D$6:$D$998,"Inactive")&gt;0,"BLOCKED","CAN SELL"))</f>
        <v/>
      </c>
      <c r="H294" s="2" t="str">
        <f>IF($A294="","",IF(COUNTIFS('Blackout Brand Fam Areas (Enc)'!$B$6:$B$998,$A294,'Blackout Brand Fam Areas (Enc)'!$C$6:$C$998,H$1,'Blackout Brand Fam Areas (Enc)'!$D$6:$D$998,"Inactive")&gt;0,"BLOCKED","CAN SELL"))</f>
        <v/>
      </c>
      <c r="I294" s="2" t="str">
        <f>IF($A294="","",IF(COUNTIFS('Blackout Brand Fam Areas (Enc)'!$B$6:$B$998,$A294,'Blackout Brand Fam Areas (Enc)'!$C$6:$C$998,I$1,'Blackout Brand Fam Areas (Enc)'!$D$6:$D$998,"Inactive")&gt;0,"BLOCKED","CAN SELL"))</f>
        <v/>
      </c>
      <c r="J294" s="2" t="str">
        <f>IF($A294="","",IF(COUNTIFS('Blackout Brand Fam Areas (Enc)'!$B$6:$B$998,$A294,'Blackout Brand Fam Areas (Enc)'!$C$6:$C$998,J$1,'Blackout Brand Fam Areas (Enc)'!$D$6:$D$998,"Inactive")&gt;0,"BLOCKED","CAN SELL"))</f>
        <v/>
      </c>
      <c r="K294" s="2" t="str">
        <f>IF($A294="","",IF(COUNTIFS('Blackout Brand Fam Areas (Enc)'!$B$6:$B$998,$A294,'Blackout Brand Fam Areas (Enc)'!$C$6:$C$998,K$1,'Blackout Brand Fam Areas (Enc)'!$D$6:$D$998,"Inactive")&gt;0,"BLOCKED","CAN SELL"))</f>
        <v/>
      </c>
    </row>
    <row r="295" spans="2:11" x14ac:dyDescent="0.2">
      <c r="B295" s="2" t="str">
        <f>IF($A295="","",IF(COUNTIFS('Blackout Brand Fam Areas (Enc)'!$B$6:$B$998,$A295,'Blackout Brand Fam Areas (Enc)'!$C$6:$C$998,B$1,'Blackout Brand Fam Areas (Enc)'!$D$6:$D$998,"Inactive")&gt;0,"BLOCKED","CAN SELL"))</f>
        <v/>
      </c>
      <c r="C295" s="2" t="str">
        <f>IF($A295="","",IF(COUNTIFS('Blackout Brand Fam Areas (Enc)'!$B$6:$B$998,$A295,'Blackout Brand Fam Areas (Enc)'!$C$6:$C$998,C$1,'Blackout Brand Fam Areas (Enc)'!$D$6:$D$998,"Inactive")&gt;0,"BLOCKED","CAN SELL"))</f>
        <v/>
      </c>
      <c r="D295" s="2" t="str">
        <f>IF($A295="","",IF(COUNTIFS('Blackout Brand Fam Areas (Enc)'!$B$6:$B$998,$A295,'Blackout Brand Fam Areas (Enc)'!$C$6:$C$998,D$1,'Blackout Brand Fam Areas (Enc)'!$D$6:$D$998,"Inactive")&gt;0,"BLOCKED","CAN SELL"))</f>
        <v/>
      </c>
      <c r="E295" s="2" t="str">
        <f>IF($A295="","",IF(COUNTIFS('Blackout Brand Fam Areas (Enc)'!$B$6:$B$998,$A295,'Blackout Brand Fam Areas (Enc)'!$C$6:$C$998,E$1,'Blackout Brand Fam Areas (Enc)'!$D$6:$D$998,"Inactive")&gt;0,"BLOCKED","CAN SELL"))</f>
        <v/>
      </c>
      <c r="F295" s="2" t="str">
        <f>IF($A295="","",IF(COUNTIFS('Blackout Brand Fam Areas (Enc)'!$B$6:$B$998,$A295,'Blackout Brand Fam Areas (Enc)'!$C$6:$C$998,F$1,'Blackout Brand Fam Areas (Enc)'!$D$6:$D$998,"Inactive")&gt;0,"BLOCKED","CAN SELL"))</f>
        <v/>
      </c>
      <c r="G295" s="2" t="str">
        <f>IF($A295="","",IF(COUNTIFS('Blackout Brand Fam Areas (Enc)'!$B$6:$B$998,$A295,'Blackout Brand Fam Areas (Enc)'!$C$6:$C$998,G$1,'Blackout Brand Fam Areas (Enc)'!$D$6:$D$998,"Inactive")&gt;0,"BLOCKED","CAN SELL"))</f>
        <v/>
      </c>
      <c r="H295" s="2" t="str">
        <f>IF($A295="","",IF(COUNTIFS('Blackout Brand Fam Areas (Enc)'!$B$6:$B$998,$A295,'Blackout Brand Fam Areas (Enc)'!$C$6:$C$998,H$1,'Blackout Brand Fam Areas (Enc)'!$D$6:$D$998,"Inactive")&gt;0,"BLOCKED","CAN SELL"))</f>
        <v/>
      </c>
      <c r="I295" s="2" t="str">
        <f>IF($A295="","",IF(COUNTIFS('Blackout Brand Fam Areas (Enc)'!$B$6:$B$998,$A295,'Blackout Brand Fam Areas (Enc)'!$C$6:$C$998,I$1,'Blackout Brand Fam Areas (Enc)'!$D$6:$D$998,"Inactive")&gt;0,"BLOCKED","CAN SELL"))</f>
        <v/>
      </c>
      <c r="J295" s="2" t="str">
        <f>IF($A295="","",IF(COUNTIFS('Blackout Brand Fam Areas (Enc)'!$B$6:$B$998,$A295,'Blackout Brand Fam Areas (Enc)'!$C$6:$C$998,J$1,'Blackout Brand Fam Areas (Enc)'!$D$6:$D$998,"Inactive")&gt;0,"BLOCKED","CAN SELL"))</f>
        <v/>
      </c>
      <c r="K295" s="2" t="str">
        <f>IF($A295="","",IF(COUNTIFS('Blackout Brand Fam Areas (Enc)'!$B$6:$B$998,$A295,'Blackout Brand Fam Areas (Enc)'!$C$6:$C$998,K$1,'Blackout Brand Fam Areas (Enc)'!$D$6:$D$998,"Inactive")&gt;0,"BLOCKED","CAN SELL"))</f>
        <v/>
      </c>
    </row>
    <row r="296" spans="2:11" x14ac:dyDescent="0.2">
      <c r="B296" s="2" t="str">
        <f>IF($A296="","",IF(COUNTIFS('Blackout Brand Fam Areas (Enc)'!$B$6:$B$998,$A296,'Blackout Brand Fam Areas (Enc)'!$C$6:$C$998,B$1,'Blackout Brand Fam Areas (Enc)'!$D$6:$D$998,"Inactive")&gt;0,"BLOCKED","CAN SELL"))</f>
        <v/>
      </c>
      <c r="C296" s="2" t="str">
        <f>IF($A296="","",IF(COUNTIFS('Blackout Brand Fam Areas (Enc)'!$B$6:$B$998,$A296,'Blackout Brand Fam Areas (Enc)'!$C$6:$C$998,C$1,'Blackout Brand Fam Areas (Enc)'!$D$6:$D$998,"Inactive")&gt;0,"BLOCKED","CAN SELL"))</f>
        <v/>
      </c>
      <c r="D296" s="2" t="str">
        <f>IF($A296="","",IF(COUNTIFS('Blackout Brand Fam Areas (Enc)'!$B$6:$B$998,$A296,'Blackout Brand Fam Areas (Enc)'!$C$6:$C$998,D$1,'Blackout Brand Fam Areas (Enc)'!$D$6:$D$998,"Inactive")&gt;0,"BLOCKED","CAN SELL"))</f>
        <v/>
      </c>
      <c r="E296" s="2" t="str">
        <f>IF($A296="","",IF(COUNTIFS('Blackout Brand Fam Areas (Enc)'!$B$6:$B$998,$A296,'Blackout Brand Fam Areas (Enc)'!$C$6:$C$998,E$1,'Blackout Brand Fam Areas (Enc)'!$D$6:$D$998,"Inactive")&gt;0,"BLOCKED","CAN SELL"))</f>
        <v/>
      </c>
      <c r="F296" s="2" t="str">
        <f>IF($A296="","",IF(COUNTIFS('Blackout Brand Fam Areas (Enc)'!$B$6:$B$998,$A296,'Blackout Brand Fam Areas (Enc)'!$C$6:$C$998,F$1,'Blackout Brand Fam Areas (Enc)'!$D$6:$D$998,"Inactive")&gt;0,"BLOCKED","CAN SELL"))</f>
        <v/>
      </c>
      <c r="G296" s="2" t="str">
        <f>IF($A296="","",IF(COUNTIFS('Blackout Brand Fam Areas (Enc)'!$B$6:$B$998,$A296,'Blackout Brand Fam Areas (Enc)'!$C$6:$C$998,G$1,'Blackout Brand Fam Areas (Enc)'!$D$6:$D$998,"Inactive")&gt;0,"BLOCKED","CAN SELL"))</f>
        <v/>
      </c>
      <c r="H296" s="2" t="str">
        <f>IF($A296="","",IF(COUNTIFS('Blackout Brand Fam Areas (Enc)'!$B$6:$B$998,$A296,'Blackout Brand Fam Areas (Enc)'!$C$6:$C$998,H$1,'Blackout Brand Fam Areas (Enc)'!$D$6:$D$998,"Inactive")&gt;0,"BLOCKED","CAN SELL"))</f>
        <v/>
      </c>
      <c r="I296" s="2" t="str">
        <f>IF($A296="","",IF(COUNTIFS('Blackout Brand Fam Areas (Enc)'!$B$6:$B$998,$A296,'Blackout Brand Fam Areas (Enc)'!$C$6:$C$998,I$1,'Blackout Brand Fam Areas (Enc)'!$D$6:$D$998,"Inactive")&gt;0,"BLOCKED","CAN SELL"))</f>
        <v/>
      </c>
      <c r="J296" s="2" t="str">
        <f>IF($A296="","",IF(COUNTIFS('Blackout Brand Fam Areas (Enc)'!$B$6:$B$998,$A296,'Blackout Brand Fam Areas (Enc)'!$C$6:$C$998,J$1,'Blackout Brand Fam Areas (Enc)'!$D$6:$D$998,"Inactive")&gt;0,"BLOCKED","CAN SELL"))</f>
        <v/>
      </c>
      <c r="K296" s="2" t="str">
        <f>IF($A296="","",IF(COUNTIFS('Blackout Brand Fam Areas (Enc)'!$B$6:$B$998,$A296,'Blackout Brand Fam Areas (Enc)'!$C$6:$C$998,K$1,'Blackout Brand Fam Areas (Enc)'!$D$6:$D$998,"Inactive")&gt;0,"BLOCKED","CAN SELL"))</f>
        <v/>
      </c>
    </row>
    <row r="297" spans="2:11" x14ac:dyDescent="0.2">
      <c r="B297" s="2" t="str">
        <f>IF($A297="","",IF(COUNTIFS('Blackout Brand Fam Areas (Enc)'!$B$6:$B$998,$A297,'Blackout Brand Fam Areas (Enc)'!$C$6:$C$998,B$1,'Blackout Brand Fam Areas (Enc)'!$D$6:$D$998,"Inactive")&gt;0,"BLOCKED","CAN SELL"))</f>
        <v/>
      </c>
      <c r="C297" s="2" t="str">
        <f>IF($A297="","",IF(COUNTIFS('Blackout Brand Fam Areas (Enc)'!$B$6:$B$998,$A297,'Blackout Brand Fam Areas (Enc)'!$C$6:$C$998,C$1,'Blackout Brand Fam Areas (Enc)'!$D$6:$D$998,"Inactive")&gt;0,"BLOCKED","CAN SELL"))</f>
        <v/>
      </c>
      <c r="D297" s="2" t="str">
        <f>IF($A297="","",IF(COUNTIFS('Blackout Brand Fam Areas (Enc)'!$B$6:$B$998,$A297,'Blackout Brand Fam Areas (Enc)'!$C$6:$C$998,D$1,'Blackout Brand Fam Areas (Enc)'!$D$6:$D$998,"Inactive")&gt;0,"BLOCKED","CAN SELL"))</f>
        <v/>
      </c>
      <c r="E297" s="2" t="str">
        <f>IF($A297="","",IF(COUNTIFS('Blackout Brand Fam Areas (Enc)'!$B$6:$B$998,$A297,'Blackout Brand Fam Areas (Enc)'!$C$6:$C$998,E$1,'Blackout Brand Fam Areas (Enc)'!$D$6:$D$998,"Inactive")&gt;0,"BLOCKED","CAN SELL"))</f>
        <v/>
      </c>
      <c r="F297" s="2" t="str">
        <f>IF($A297="","",IF(COUNTIFS('Blackout Brand Fam Areas (Enc)'!$B$6:$B$998,$A297,'Blackout Brand Fam Areas (Enc)'!$C$6:$C$998,F$1,'Blackout Brand Fam Areas (Enc)'!$D$6:$D$998,"Inactive")&gt;0,"BLOCKED","CAN SELL"))</f>
        <v/>
      </c>
      <c r="G297" s="2" t="str">
        <f>IF($A297="","",IF(COUNTIFS('Blackout Brand Fam Areas (Enc)'!$B$6:$B$998,$A297,'Blackout Brand Fam Areas (Enc)'!$C$6:$C$998,G$1,'Blackout Brand Fam Areas (Enc)'!$D$6:$D$998,"Inactive")&gt;0,"BLOCKED","CAN SELL"))</f>
        <v/>
      </c>
      <c r="H297" s="2" t="str">
        <f>IF($A297="","",IF(COUNTIFS('Blackout Brand Fam Areas (Enc)'!$B$6:$B$998,$A297,'Blackout Brand Fam Areas (Enc)'!$C$6:$C$998,H$1,'Blackout Brand Fam Areas (Enc)'!$D$6:$D$998,"Inactive")&gt;0,"BLOCKED","CAN SELL"))</f>
        <v/>
      </c>
      <c r="I297" s="2" t="str">
        <f>IF($A297="","",IF(COUNTIFS('Blackout Brand Fam Areas (Enc)'!$B$6:$B$998,$A297,'Blackout Brand Fam Areas (Enc)'!$C$6:$C$998,I$1,'Blackout Brand Fam Areas (Enc)'!$D$6:$D$998,"Inactive")&gt;0,"BLOCKED","CAN SELL"))</f>
        <v/>
      </c>
      <c r="J297" s="2" t="str">
        <f>IF($A297="","",IF(COUNTIFS('Blackout Brand Fam Areas (Enc)'!$B$6:$B$998,$A297,'Blackout Brand Fam Areas (Enc)'!$C$6:$C$998,J$1,'Blackout Brand Fam Areas (Enc)'!$D$6:$D$998,"Inactive")&gt;0,"BLOCKED","CAN SELL"))</f>
        <v/>
      </c>
      <c r="K297" s="2" t="str">
        <f>IF($A297="","",IF(COUNTIFS('Blackout Brand Fam Areas (Enc)'!$B$6:$B$998,$A297,'Blackout Brand Fam Areas (Enc)'!$C$6:$C$998,K$1,'Blackout Brand Fam Areas (Enc)'!$D$6:$D$998,"Inactive")&gt;0,"BLOCKED","CAN SELL"))</f>
        <v/>
      </c>
    </row>
    <row r="298" spans="2:11" x14ac:dyDescent="0.2">
      <c r="B298" s="2" t="str">
        <f>IF($A298="","",IF(COUNTIFS('Blackout Brand Fam Areas (Enc)'!$B$6:$B$998,$A298,'Blackout Brand Fam Areas (Enc)'!$C$6:$C$998,B$1,'Blackout Brand Fam Areas (Enc)'!$D$6:$D$998,"Inactive")&gt;0,"BLOCKED","CAN SELL"))</f>
        <v/>
      </c>
      <c r="C298" s="2" t="str">
        <f>IF($A298="","",IF(COUNTIFS('Blackout Brand Fam Areas (Enc)'!$B$6:$B$998,$A298,'Blackout Brand Fam Areas (Enc)'!$C$6:$C$998,C$1,'Blackout Brand Fam Areas (Enc)'!$D$6:$D$998,"Inactive")&gt;0,"BLOCKED","CAN SELL"))</f>
        <v/>
      </c>
      <c r="D298" s="2" t="str">
        <f>IF($A298="","",IF(COUNTIFS('Blackout Brand Fam Areas (Enc)'!$B$6:$B$998,$A298,'Blackout Brand Fam Areas (Enc)'!$C$6:$C$998,D$1,'Blackout Brand Fam Areas (Enc)'!$D$6:$D$998,"Inactive")&gt;0,"BLOCKED","CAN SELL"))</f>
        <v/>
      </c>
      <c r="E298" s="2" t="str">
        <f>IF($A298="","",IF(COUNTIFS('Blackout Brand Fam Areas (Enc)'!$B$6:$B$998,$A298,'Blackout Brand Fam Areas (Enc)'!$C$6:$C$998,E$1,'Blackout Brand Fam Areas (Enc)'!$D$6:$D$998,"Inactive")&gt;0,"BLOCKED","CAN SELL"))</f>
        <v/>
      </c>
      <c r="F298" s="2" t="str">
        <f>IF($A298="","",IF(COUNTIFS('Blackout Brand Fam Areas (Enc)'!$B$6:$B$998,$A298,'Blackout Brand Fam Areas (Enc)'!$C$6:$C$998,F$1,'Blackout Brand Fam Areas (Enc)'!$D$6:$D$998,"Inactive")&gt;0,"BLOCKED","CAN SELL"))</f>
        <v/>
      </c>
      <c r="G298" s="2" t="str">
        <f>IF($A298="","",IF(COUNTIFS('Blackout Brand Fam Areas (Enc)'!$B$6:$B$998,$A298,'Blackout Brand Fam Areas (Enc)'!$C$6:$C$998,G$1,'Blackout Brand Fam Areas (Enc)'!$D$6:$D$998,"Inactive")&gt;0,"BLOCKED","CAN SELL"))</f>
        <v/>
      </c>
      <c r="H298" s="2" t="str">
        <f>IF($A298="","",IF(COUNTIFS('Blackout Brand Fam Areas (Enc)'!$B$6:$B$998,$A298,'Blackout Brand Fam Areas (Enc)'!$C$6:$C$998,H$1,'Blackout Brand Fam Areas (Enc)'!$D$6:$D$998,"Inactive")&gt;0,"BLOCKED","CAN SELL"))</f>
        <v/>
      </c>
      <c r="I298" s="2" t="str">
        <f>IF($A298="","",IF(COUNTIFS('Blackout Brand Fam Areas (Enc)'!$B$6:$B$998,$A298,'Blackout Brand Fam Areas (Enc)'!$C$6:$C$998,I$1,'Blackout Brand Fam Areas (Enc)'!$D$6:$D$998,"Inactive")&gt;0,"BLOCKED","CAN SELL"))</f>
        <v/>
      </c>
      <c r="J298" s="2" t="str">
        <f>IF($A298="","",IF(COUNTIFS('Blackout Brand Fam Areas (Enc)'!$B$6:$B$998,$A298,'Blackout Brand Fam Areas (Enc)'!$C$6:$C$998,J$1,'Blackout Brand Fam Areas (Enc)'!$D$6:$D$998,"Inactive")&gt;0,"BLOCKED","CAN SELL"))</f>
        <v/>
      </c>
      <c r="K298" s="2" t="str">
        <f>IF($A298="","",IF(COUNTIFS('Blackout Brand Fam Areas (Enc)'!$B$6:$B$998,$A298,'Blackout Brand Fam Areas (Enc)'!$C$6:$C$998,K$1,'Blackout Brand Fam Areas (Enc)'!$D$6:$D$998,"Inactive")&gt;0,"BLOCKED","CAN SELL"))</f>
        <v/>
      </c>
    </row>
    <row r="299" spans="2:11" x14ac:dyDescent="0.2">
      <c r="B299" s="2" t="str">
        <f>IF($A299="","",IF(COUNTIFS('Blackout Brand Fam Areas (Enc)'!$B$6:$B$998,$A299,'Blackout Brand Fam Areas (Enc)'!$C$6:$C$998,B$1,'Blackout Brand Fam Areas (Enc)'!$D$6:$D$998,"Inactive")&gt;0,"BLOCKED","CAN SELL"))</f>
        <v/>
      </c>
      <c r="C299" s="2" t="str">
        <f>IF($A299="","",IF(COUNTIFS('Blackout Brand Fam Areas (Enc)'!$B$6:$B$998,$A299,'Blackout Brand Fam Areas (Enc)'!$C$6:$C$998,C$1,'Blackout Brand Fam Areas (Enc)'!$D$6:$D$998,"Inactive")&gt;0,"BLOCKED","CAN SELL"))</f>
        <v/>
      </c>
      <c r="D299" s="2" t="str">
        <f>IF($A299="","",IF(COUNTIFS('Blackout Brand Fam Areas (Enc)'!$B$6:$B$998,$A299,'Blackout Brand Fam Areas (Enc)'!$C$6:$C$998,D$1,'Blackout Brand Fam Areas (Enc)'!$D$6:$D$998,"Inactive")&gt;0,"BLOCKED","CAN SELL"))</f>
        <v/>
      </c>
      <c r="E299" s="2" t="str">
        <f>IF($A299="","",IF(COUNTIFS('Blackout Brand Fam Areas (Enc)'!$B$6:$B$998,$A299,'Blackout Brand Fam Areas (Enc)'!$C$6:$C$998,E$1,'Blackout Brand Fam Areas (Enc)'!$D$6:$D$998,"Inactive")&gt;0,"BLOCKED","CAN SELL"))</f>
        <v/>
      </c>
      <c r="F299" s="2" t="str">
        <f>IF($A299="","",IF(COUNTIFS('Blackout Brand Fam Areas (Enc)'!$B$6:$B$998,$A299,'Blackout Brand Fam Areas (Enc)'!$C$6:$C$998,F$1,'Blackout Brand Fam Areas (Enc)'!$D$6:$D$998,"Inactive")&gt;0,"BLOCKED","CAN SELL"))</f>
        <v/>
      </c>
      <c r="G299" s="2" t="str">
        <f>IF($A299="","",IF(COUNTIFS('Blackout Brand Fam Areas (Enc)'!$B$6:$B$998,$A299,'Blackout Brand Fam Areas (Enc)'!$C$6:$C$998,G$1,'Blackout Brand Fam Areas (Enc)'!$D$6:$D$998,"Inactive")&gt;0,"BLOCKED","CAN SELL"))</f>
        <v/>
      </c>
      <c r="H299" s="2" t="str">
        <f>IF($A299="","",IF(COUNTIFS('Blackout Brand Fam Areas (Enc)'!$B$6:$B$998,$A299,'Blackout Brand Fam Areas (Enc)'!$C$6:$C$998,H$1,'Blackout Brand Fam Areas (Enc)'!$D$6:$D$998,"Inactive")&gt;0,"BLOCKED","CAN SELL"))</f>
        <v/>
      </c>
      <c r="I299" s="2" t="str">
        <f>IF($A299="","",IF(COUNTIFS('Blackout Brand Fam Areas (Enc)'!$B$6:$B$998,$A299,'Blackout Brand Fam Areas (Enc)'!$C$6:$C$998,I$1,'Blackout Brand Fam Areas (Enc)'!$D$6:$D$998,"Inactive")&gt;0,"BLOCKED","CAN SELL"))</f>
        <v/>
      </c>
      <c r="J299" s="2" t="str">
        <f>IF($A299="","",IF(COUNTIFS('Blackout Brand Fam Areas (Enc)'!$B$6:$B$998,$A299,'Blackout Brand Fam Areas (Enc)'!$C$6:$C$998,J$1,'Blackout Brand Fam Areas (Enc)'!$D$6:$D$998,"Inactive")&gt;0,"BLOCKED","CAN SELL"))</f>
        <v/>
      </c>
      <c r="K299" s="2" t="str">
        <f>IF($A299="","",IF(COUNTIFS('Blackout Brand Fam Areas (Enc)'!$B$6:$B$998,$A299,'Blackout Brand Fam Areas (Enc)'!$C$6:$C$998,K$1,'Blackout Brand Fam Areas (Enc)'!$D$6:$D$998,"Inactive")&gt;0,"BLOCKED","CAN SELL"))</f>
        <v/>
      </c>
    </row>
    <row r="300" spans="2:11" x14ac:dyDescent="0.2">
      <c r="B300" s="2" t="str">
        <f>IF($A300="","",IF(COUNTIFS('Blackout Brand Fam Areas (Enc)'!$B$6:$B$998,$A300,'Blackout Brand Fam Areas (Enc)'!$C$6:$C$998,B$1,'Blackout Brand Fam Areas (Enc)'!$D$6:$D$998,"Inactive")&gt;0,"BLOCKED","CAN SELL"))</f>
        <v/>
      </c>
      <c r="C300" s="2" t="str">
        <f>IF($A300="","",IF(COUNTIFS('Blackout Brand Fam Areas (Enc)'!$B$6:$B$998,$A300,'Blackout Brand Fam Areas (Enc)'!$C$6:$C$998,C$1,'Blackout Brand Fam Areas (Enc)'!$D$6:$D$998,"Inactive")&gt;0,"BLOCKED","CAN SELL"))</f>
        <v/>
      </c>
      <c r="D300" s="2" t="str">
        <f>IF($A300="","",IF(COUNTIFS('Blackout Brand Fam Areas (Enc)'!$B$6:$B$998,$A300,'Blackout Brand Fam Areas (Enc)'!$C$6:$C$998,D$1,'Blackout Brand Fam Areas (Enc)'!$D$6:$D$998,"Inactive")&gt;0,"BLOCKED","CAN SELL"))</f>
        <v/>
      </c>
      <c r="E300" s="2" t="str">
        <f>IF($A300="","",IF(COUNTIFS('Blackout Brand Fam Areas (Enc)'!$B$6:$B$998,$A300,'Blackout Brand Fam Areas (Enc)'!$C$6:$C$998,E$1,'Blackout Brand Fam Areas (Enc)'!$D$6:$D$998,"Inactive")&gt;0,"BLOCKED","CAN SELL"))</f>
        <v/>
      </c>
      <c r="F300" s="2" t="str">
        <f>IF($A300="","",IF(COUNTIFS('Blackout Brand Fam Areas (Enc)'!$B$6:$B$998,$A300,'Blackout Brand Fam Areas (Enc)'!$C$6:$C$998,F$1,'Blackout Brand Fam Areas (Enc)'!$D$6:$D$998,"Inactive")&gt;0,"BLOCKED","CAN SELL"))</f>
        <v/>
      </c>
      <c r="G300" s="2" t="str">
        <f>IF($A300="","",IF(COUNTIFS('Blackout Brand Fam Areas (Enc)'!$B$6:$B$998,$A300,'Blackout Brand Fam Areas (Enc)'!$C$6:$C$998,G$1,'Blackout Brand Fam Areas (Enc)'!$D$6:$D$998,"Inactive")&gt;0,"BLOCKED","CAN SELL"))</f>
        <v/>
      </c>
      <c r="H300" s="2" t="str">
        <f>IF($A300="","",IF(COUNTIFS('Blackout Brand Fam Areas (Enc)'!$B$6:$B$998,$A300,'Blackout Brand Fam Areas (Enc)'!$C$6:$C$998,H$1,'Blackout Brand Fam Areas (Enc)'!$D$6:$D$998,"Inactive")&gt;0,"BLOCKED","CAN SELL"))</f>
        <v/>
      </c>
      <c r="I300" s="2" t="str">
        <f>IF($A300="","",IF(COUNTIFS('Blackout Brand Fam Areas (Enc)'!$B$6:$B$998,$A300,'Blackout Brand Fam Areas (Enc)'!$C$6:$C$998,I$1,'Blackout Brand Fam Areas (Enc)'!$D$6:$D$998,"Inactive")&gt;0,"BLOCKED","CAN SELL"))</f>
        <v/>
      </c>
      <c r="J300" s="2" t="str">
        <f>IF($A300="","",IF(COUNTIFS('Blackout Brand Fam Areas (Enc)'!$B$6:$B$998,$A300,'Blackout Brand Fam Areas (Enc)'!$C$6:$C$998,J$1,'Blackout Brand Fam Areas (Enc)'!$D$6:$D$998,"Inactive")&gt;0,"BLOCKED","CAN SELL"))</f>
        <v/>
      </c>
      <c r="K300" s="2" t="str">
        <f>IF($A300="","",IF(COUNTIFS('Blackout Brand Fam Areas (Enc)'!$B$6:$B$998,$A300,'Blackout Brand Fam Areas (Enc)'!$C$6:$C$998,K$1,'Blackout Brand Fam Areas (Enc)'!$D$6:$D$998,"Inactive")&gt;0,"BLOCKED","CAN SELL"))</f>
        <v/>
      </c>
    </row>
  </sheetData>
  <conditionalFormatting sqref="B2:K300">
    <cfRule type="containsText" dxfId="1" priority="1" operator="containsText" text="BLOCKED">
      <formula>NOT(ISERROR(SEARCH("BLOCKED",B2)))</formula>
    </cfRule>
    <cfRule type="containsText" dxfId="0" priority="2" operator="containsText" text="CAN SELL">
      <formula>NOT(ISERROR(SEARCH("CAN SELL",B2)))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9580C-A503-4E44-B6E0-581FD6FF1F55}">
  <sheetPr>
    <tabColor theme="0" tint="-0.499984740745262"/>
  </sheetPr>
  <dimension ref="A1:G998"/>
  <sheetViews>
    <sheetView workbookViewId="0">
      <selection activeCell="C8" sqref="C8"/>
    </sheetView>
  </sheetViews>
  <sheetFormatPr defaultColWidth="6.28515625" defaultRowHeight="12.75" x14ac:dyDescent="0.2"/>
  <cols>
    <col min="1" max="1" width="9.5703125" style="2" customWidth="1"/>
    <col min="2" max="2" width="33" style="2" bestFit="1" customWidth="1"/>
    <col min="3" max="3" width="17.140625" style="2" bestFit="1" customWidth="1"/>
    <col min="4" max="4" width="8.28515625" style="2" bestFit="1" customWidth="1"/>
    <col min="5" max="5" width="11.7109375" style="2" bestFit="1" customWidth="1"/>
    <col min="6" max="6" width="6.28515625" style="2"/>
    <col min="7" max="7" width="53.5703125" style="2" bestFit="1" customWidth="1"/>
    <col min="8" max="16384" width="6.28515625" style="2"/>
  </cols>
  <sheetData>
    <row r="1" spans="1:7" x14ac:dyDescent="0.2">
      <c r="A1" s="2" t="s">
        <v>23</v>
      </c>
    </row>
    <row r="2" spans="1:7" x14ac:dyDescent="0.2">
      <c r="A2" s="2" t="s">
        <v>24</v>
      </c>
    </row>
    <row r="5" spans="1:7" x14ac:dyDescent="0.2">
      <c r="A5" t="s">
        <v>25</v>
      </c>
      <c r="B5" t="s">
        <v>0</v>
      </c>
      <c r="C5" t="s">
        <v>26</v>
      </c>
      <c r="D5" t="s">
        <v>27</v>
      </c>
      <c r="E5" t="s">
        <v>28</v>
      </c>
      <c r="G5" s="3" t="s">
        <v>29</v>
      </c>
    </row>
    <row r="6" spans="1:7" x14ac:dyDescent="0.2">
      <c r="A6">
        <v>8804</v>
      </c>
      <c r="B6" t="s">
        <v>30</v>
      </c>
      <c r="C6" t="s">
        <v>31</v>
      </c>
      <c r="D6" t="s">
        <v>32</v>
      </c>
      <c r="E6" t="s">
        <v>33</v>
      </c>
      <c r="G6" s="2" t="str">
        <f>UPPER(B6)&amp;"|"&amp;UPPER(C6)</f>
        <v>ANCHOR|MORRIS 3</v>
      </c>
    </row>
    <row r="7" spans="1:7" x14ac:dyDescent="0.2">
      <c r="A7">
        <v>8805</v>
      </c>
      <c r="B7" t="s">
        <v>34</v>
      </c>
      <c r="C7" t="s">
        <v>31</v>
      </c>
      <c r="D7" t="s">
        <v>32</v>
      </c>
      <c r="E7" t="s">
        <v>33</v>
      </c>
      <c r="G7" s="2" t="str">
        <f t="shared" ref="G7:G70" si="0">UPPER(B7)&amp;"|"&amp;UPPER(C7)</f>
        <v>FAMOSA|MORRIS 3</v>
      </c>
    </row>
    <row r="8" spans="1:7" x14ac:dyDescent="0.2">
      <c r="A8">
        <v>8806</v>
      </c>
      <c r="B8" t="s">
        <v>35</v>
      </c>
      <c r="C8" t="s">
        <v>31</v>
      </c>
      <c r="D8" t="s">
        <v>32</v>
      </c>
      <c r="E8" t="s">
        <v>33</v>
      </c>
      <c r="G8" s="2" t="str">
        <f t="shared" si="0"/>
        <v>GENESEE|MORRIS 3</v>
      </c>
    </row>
    <row r="9" spans="1:7" x14ac:dyDescent="0.2">
      <c r="A9">
        <v>8807</v>
      </c>
      <c r="B9" t="s">
        <v>36</v>
      </c>
      <c r="C9" t="s">
        <v>31</v>
      </c>
      <c r="D9" t="s">
        <v>32</v>
      </c>
      <c r="E9" t="s">
        <v>33</v>
      </c>
      <c r="G9" s="2" t="str">
        <f t="shared" si="0"/>
        <v>HONEY BROWN|MORRIS 3</v>
      </c>
    </row>
    <row r="10" spans="1:7" x14ac:dyDescent="0.2">
      <c r="A10">
        <v>8808</v>
      </c>
      <c r="B10" t="s">
        <v>37</v>
      </c>
      <c r="C10" t="s">
        <v>31</v>
      </c>
      <c r="D10" t="s">
        <v>32</v>
      </c>
      <c r="E10" t="s">
        <v>33</v>
      </c>
      <c r="G10" s="2" t="str">
        <f t="shared" si="0"/>
        <v>IMPERIAL|MORRIS 3</v>
      </c>
    </row>
    <row r="11" spans="1:7" x14ac:dyDescent="0.2">
      <c r="A11">
        <v>8809</v>
      </c>
      <c r="B11" t="s">
        <v>38</v>
      </c>
      <c r="C11" t="s">
        <v>31</v>
      </c>
      <c r="D11" t="s">
        <v>32</v>
      </c>
      <c r="E11" t="s">
        <v>33</v>
      </c>
      <c r="G11" s="2" t="str">
        <f t="shared" si="0"/>
        <v>MISISSIPPI|MORRIS 3</v>
      </c>
    </row>
    <row r="12" spans="1:7" x14ac:dyDescent="0.2">
      <c r="A12">
        <v>8810</v>
      </c>
      <c r="B12" t="s">
        <v>39</v>
      </c>
      <c r="C12" t="s">
        <v>31</v>
      </c>
      <c r="D12" t="s">
        <v>32</v>
      </c>
      <c r="E12" t="s">
        <v>33</v>
      </c>
      <c r="G12" s="2" t="str">
        <f t="shared" si="0"/>
        <v>CZECHVAR|MORRIS 3</v>
      </c>
    </row>
    <row r="13" spans="1:7" x14ac:dyDescent="0.2">
      <c r="A13">
        <v>8811</v>
      </c>
      <c r="B13" t="s">
        <v>40</v>
      </c>
      <c r="C13" t="s">
        <v>31</v>
      </c>
      <c r="D13" t="s">
        <v>32</v>
      </c>
      <c r="E13" t="s">
        <v>33</v>
      </c>
      <c r="G13" s="2" t="str">
        <f t="shared" si="0"/>
        <v>DAURA|MORRIS 3</v>
      </c>
    </row>
    <row r="14" spans="1:7" x14ac:dyDescent="0.2">
      <c r="A14">
        <v>8812</v>
      </c>
      <c r="B14" t="s">
        <v>41</v>
      </c>
      <c r="C14" t="s">
        <v>31</v>
      </c>
      <c r="D14" t="s">
        <v>32</v>
      </c>
      <c r="E14" t="s">
        <v>33</v>
      </c>
      <c r="G14" s="2" t="str">
        <f t="shared" si="0"/>
        <v>ESTRELLA|MORRIS 3</v>
      </c>
    </row>
    <row r="15" spans="1:7" x14ac:dyDescent="0.2">
      <c r="A15">
        <v>8813</v>
      </c>
      <c r="B15" t="s">
        <v>42</v>
      </c>
      <c r="C15" t="s">
        <v>31</v>
      </c>
      <c r="D15" t="s">
        <v>32</v>
      </c>
      <c r="E15" t="s">
        <v>33</v>
      </c>
      <c r="G15" s="2" t="str">
        <f t="shared" si="0"/>
        <v>INEDIT|MORRIS 3</v>
      </c>
    </row>
    <row r="16" spans="1:7" x14ac:dyDescent="0.2">
      <c r="A16">
        <v>8815</v>
      </c>
      <c r="B16" t="s">
        <v>43</v>
      </c>
      <c r="C16" t="s">
        <v>31</v>
      </c>
      <c r="D16" t="s">
        <v>32</v>
      </c>
      <c r="E16" t="s">
        <v>33</v>
      </c>
      <c r="G16" s="2" t="str">
        <f t="shared" si="0"/>
        <v>FLYING FISH|MORRIS 3</v>
      </c>
    </row>
    <row r="17" spans="1:7" x14ac:dyDescent="0.2">
      <c r="A17">
        <v>8816</v>
      </c>
      <c r="B17" t="s">
        <v>44</v>
      </c>
      <c r="C17" t="s">
        <v>31</v>
      </c>
      <c r="D17" t="s">
        <v>32</v>
      </c>
      <c r="E17" t="s">
        <v>33</v>
      </c>
      <c r="G17" s="2" t="str">
        <f t="shared" si="0"/>
        <v>BOLD ROCK|MORRIS 3</v>
      </c>
    </row>
    <row r="18" spans="1:7" x14ac:dyDescent="0.2">
      <c r="A18">
        <v>8817</v>
      </c>
      <c r="B18" t="s">
        <v>45</v>
      </c>
      <c r="C18" t="s">
        <v>31</v>
      </c>
      <c r="D18" t="s">
        <v>32</v>
      </c>
      <c r="E18" t="s">
        <v>33</v>
      </c>
      <c r="G18" s="2" t="str">
        <f t="shared" si="0"/>
        <v>CITIZEN CIDER|MORRIS 3</v>
      </c>
    </row>
    <row r="19" spans="1:7" x14ac:dyDescent="0.2">
      <c r="A19">
        <v>8818</v>
      </c>
      <c r="B19" t="s">
        <v>46</v>
      </c>
      <c r="C19" t="s">
        <v>31</v>
      </c>
      <c r="D19" t="s">
        <v>32</v>
      </c>
      <c r="E19" t="s">
        <v>33</v>
      </c>
      <c r="G19" s="2" t="str">
        <f t="shared" si="0"/>
        <v>ITHACA|MORRIS 3</v>
      </c>
    </row>
    <row r="20" spans="1:7" x14ac:dyDescent="0.2">
      <c r="A20">
        <v>8819</v>
      </c>
      <c r="B20" t="s">
        <v>47</v>
      </c>
      <c r="C20" t="s">
        <v>31</v>
      </c>
      <c r="D20" t="s">
        <v>32</v>
      </c>
      <c r="E20" t="s">
        <v>33</v>
      </c>
      <c r="G20" s="2" t="str">
        <f t="shared" si="0"/>
        <v>OTTER CREEK|MORRIS 3</v>
      </c>
    </row>
    <row r="21" spans="1:7" x14ac:dyDescent="0.2">
      <c r="A21">
        <v>8820</v>
      </c>
      <c r="B21" t="s">
        <v>48</v>
      </c>
      <c r="C21" t="s">
        <v>31</v>
      </c>
      <c r="D21" t="s">
        <v>32</v>
      </c>
      <c r="E21" t="s">
        <v>33</v>
      </c>
      <c r="G21" s="2" t="str">
        <f t="shared" si="0"/>
        <v>SHED|MORRIS 3</v>
      </c>
    </row>
    <row r="22" spans="1:7" x14ac:dyDescent="0.2">
      <c r="A22">
        <v>8821</v>
      </c>
      <c r="B22" t="s">
        <v>49</v>
      </c>
      <c r="C22" t="s">
        <v>31</v>
      </c>
      <c r="D22" t="s">
        <v>32</v>
      </c>
      <c r="E22" t="s">
        <v>33</v>
      </c>
      <c r="G22" s="2" t="str">
        <f t="shared" si="0"/>
        <v>MCKENZIE'S|MORRIS 3</v>
      </c>
    </row>
    <row r="23" spans="1:7" x14ac:dyDescent="0.2">
      <c r="A23">
        <v>8822</v>
      </c>
      <c r="B23" t="s">
        <v>50</v>
      </c>
      <c r="C23" t="s">
        <v>31</v>
      </c>
      <c r="D23" t="s">
        <v>32</v>
      </c>
      <c r="E23" t="s">
        <v>33</v>
      </c>
      <c r="G23" s="2" t="str">
        <f t="shared" si="0"/>
        <v>OLD SPECKLED HEN|MORRIS 3</v>
      </c>
    </row>
    <row r="24" spans="1:7" x14ac:dyDescent="0.2">
      <c r="A24">
        <v>8823</v>
      </c>
      <c r="B24" t="s">
        <v>51</v>
      </c>
      <c r="C24" t="s">
        <v>31</v>
      </c>
      <c r="D24" t="s">
        <v>32</v>
      </c>
      <c r="E24" t="s">
        <v>33</v>
      </c>
      <c r="G24" s="2" t="str">
        <f t="shared" si="0"/>
        <v>HACKER-PSCHORR|MORRIS 3</v>
      </c>
    </row>
    <row r="25" spans="1:7" x14ac:dyDescent="0.2">
      <c r="A25">
        <v>8824</v>
      </c>
      <c r="B25" t="s">
        <v>52</v>
      </c>
      <c r="C25" t="s">
        <v>31</v>
      </c>
      <c r="D25" t="s">
        <v>32</v>
      </c>
      <c r="E25" t="s">
        <v>33</v>
      </c>
      <c r="G25" s="2" t="str">
        <f t="shared" si="0"/>
        <v>PAULANER|MORRIS 3</v>
      </c>
    </row>
    <row r="26" spans="1:7" x14ac:dyDescent="0.2">
      <c r="A26">
        <v>8825</v>
      </c>
      <c r="B26" t="s">
        <v>53</v>
      </c>
      <c r="C26" t="s">
        <v>31</v>
      </c>
      <c r="D26" t="s">
        <v>32</v>
      </c>
      <c r="E26" t="s">
        <v>33</v>
      </c>
      <c r="G26" s="2" t="str">
        <f t="shared" si="0"/>
        <v>FRULI|MORRIS 3</v>
      </c>
    </row>
    <row r="27" spans="1:7" x14ac:dyDescent="0.2">
      <c r="A27">
        <v>8826</v>
      </c>
      <c r="B27" t="s">
        <v>54</v>
      </c>
      <c r="C27" t="s">
        <v>31</v>
      </c>
      <c r="D27" t="s">
        <v>32</v>
      </c>
      <c r="E27" t="s">
        <v>33</v>
      </c>
      <c r="G27" s="2" t="str">
        <f t="shared" si="0"/>
        <v>OHARA'S|MORRIS 3</v>
      </c>
    </row>
    <row r="28" spans="1:7" x14ac:dyDescent="0.2">
      <c r="A28">
        <v>8827</v>
      </c>
      <c r="B28" t="s">
        <v>55</v>
      </c>
      <c r="C28" t="s">
        <v>31</v>
      </c>
      <c r="D28" t="s">
        <v>32</v>
      </c>
      <c r="E28" t="s">
        <v>33</v>
      </c>
      <c r="G28" s="2" t="str">
        <f t="shared" si="0"/>
        <v>UNIBROUE|MORRIS 3</v>
      </c>
    </row>
    <row r="29" spans="1:7" x14ac:dyDescent="0.2">
      <c r="A29">
        <v>8828</v>
      </c>
      <c r="B29" t="s">
        <v>9</v>
      </c>
      <c r="C29" t="s">
        <v>31</v>
      </c>
      <c r="D29" t="s">
        <v>32</v>
      </c>
      <c r="E29" t="s">
        <v>33</v>
      </c>
      <c r="G29" s="2" t="str">
        <f t="shared" si="0"/>
        <v>SEA DOG|MORRIS 3</v>
      </c>
    </row>
    <row r="30" spans="1:7" x14ac:dyDescent="0.2">
      <c r="A30">
        <v>8829</v>
      </c>
      <c r="B30" t="s">
        <v>56</v>
      </c>
      <c r="C30" t="s">
        <v>31</v>
      </c>
      <c r="D30" t="s">
        <v>32</v>
      </c>
      <c r="E30" t="s">
        <v>33</v>
      </c>
      <c r="G30" s="2" t="str">
        <f t="shared" si="0"/>
        <v>SHIPYARD|MORRIS 3</v>
      </c>
    </row>
    <row r="31" spans="1:7" x14ac:dyDescent="0.2">
      <c r="A31">
        <v>8830</v>
      </c>
      <c r="B31" t="s">
        <v>57</v>
      </c>
      <c r="C31" t="s">
        <v>31</v>
      </c>
      <c r="D31" t="s">
        <v>32</v>
      </c>
      <c r="E31" t="s">
        <v>33</v>
      </c>
      <c r="G31" s="2" t="str">
        <f t="shared" si="0"/>
        <v>SOUTHERN TIER|MORRIS 3</v>
      </c>
    </row>
    <row r="32" spans="1:7" x14ac:dyDescent="0.2">
      <c r="A32">
        <v>8831</v>
      </c>
      <c r="B32" t="s">
        <v>58</v>
      </c>
      <c r="C32" t="s">
        <v>31</v>
      </c>
      <c r="D32" t="s">
        <v>32</v>
      </c>
      <c r="E32" t="s">
        <v>33</v>
      </c>
      <c r="G32" s="2" t="str">
        <f t="shared" si="0"/>
        <v>BANKS|MORRIS 3</v>
      </c>
    </row>
    <row r="33" spans="1:7" x14ac:dyDescent="0.2">
      <c r="A33">
        <v>8832</v>
      </c>
      <c r="B33" t="s">
        <v>59</v>
      </c>
      <c r="C33" t="s">
        <v>31</v>
      </c>
      <c r="D33" t="s">
        <v>32</v>
      </c>
      <c r="E33" t="s">
        <v>33</v>
      </c>
      <c r="G33" s="2" t="str">
        <f t="shared" si="0"/>
        <v>WEIHENSTEPHANER|MORRIS 3</v>
      </c>
    </row>
    <row r="34" spans="1:7" x14ac:dyDescent="0.2">
      <c r="A34">
        <v>8833</v>
      </c>
      <c r="B34" t="s">
        <v>60</v>
      </c>
      <c r="C34" t="s">
        <v>31</v>
      </c>
      <c r="D34" t="s">
        <v>32</v>
      </c>
      <c r="E34" t="s">
        <v>33</v>
      </c>
      <c r="G34" s="2" t="str">
        <f t="shared" si="0"/>
        <v>VICTORY|MORRIS 3</v>
      </c>
    </row>
    <row r="35" spans="1:7" x14ac:dyDescent="0.2">
      <c r="A35">
        <v>8834</v>
      </c>
      <c r="B35" t="s">
        <v>61</v>
      </c>
      <c r="C35" t="s">
        <v>62</v>
      </c>
      <c r="D35" t="s">
        <v>32</v>
      </c>
      <c r="E35" t="s">
        <v>33</v>
      </c>
      <c r="G35" s="2" t="str">
        <f t="shared" si="0"/>
        <v>SAMUEL ADAMS|MORRIS 2</v>
      </c>
    </row>
    <row r="36" spans="1:7" x14ac:dyDescent="0.2">
      <c r="A36">
        <v>8835</v>
      </c>
      <c r="B36" t="s">
        <v>63</v>
      </c>
      <c r="C36" t="s">
        <v>62</v>
      </c>
      <c r="D36" t="s">
        <v>32</v>
      </c>
      <c r="E36" t="s">
        <v>33</v>
      </c>
      <c r="G36" s="2" t="str">
        <f t="shared" si="0"/>
        <v>TRAVELER|MORRIS 2</v>
      </c>
    </row>
    <row r="37" spans="1:7" x14ac:dyDescent="0.2">
      <c r="A37">
        <v>8836</v>
      </c>
      <c r="B37" t="s">
        <v>64</v>
      </c>
      <c r="C37" t="s">
        <v>62</v>
      </c>
      <c r="D37" t="s">
        <v>32</v>
      </c>
      <c r="E37" t="s">
        <v>33</v>
      </c>
      <c r="G37" s="2" t="str">
        <f t="shared" si="0"/>
        <v>ANGRY ORCHARD|MORRIS 2</v>
      </c>
    </row>
    <row r="38" spans="1:7" x14ac:dyDescent="0.2">
      <c r="A38">
        <v>8837</v>
      </c>
      <c r="B38" t="s">
        <v>65</v>
      </c>
      <c r="C38" t="s">
        <v>62</v>
      </c>
      <c r="D38" t="s">
        <v>32</v>
      </c>
      <c r="E38" t="s">
        <v>33</v>
      </c>
      <c r="G38" s="2" t="str">
        <f t="shared" si="0"/>
        <v>TWISTED TEA|MORRIS 2</v>
      </c>
    </row>
    <row r="39" spans="1:7" x14ac:dyDescent="0.2">
      <c r="A39">
        <v>8838</v>
      </c>
      <c r="B39" t="s">
        <v>66</v>
      </c>
      <c r="C39" t="s">
        <v>62</v>
      </c>
      <c r="D39" t="s">
        <v>32</v>
      </c>
      <c r="E39" t="s">
        <v>33</v>
      </c>
      <c r="G39" s="2" t="str">
        <f t="shared" si="0"/>
        <v>CONEY ISLAND|MORRIS 2</v>
      </c>
    </row>
    <row r="40" spans="1:7" x14ac:dyDescent="0.2">
      <c r="A40">
        <v>8839</v>
      </c>
      <c r="B40" t="s">
        <v>67</v>
      </c>
      <c r="C40" t="s">
        <v>62</v>
      </c>
      <c r="D40" t="s">
        <v>32</v>
      </c>
      <c r="E40" t="s">
        <v>33</v>
      </c>
      <c r="G40" s="2" t="str">
        <f t="shared" si="0"/>
        <v>TRULY|MORRIS 2</v>
      </c>
    </row>
    <row r="41" spans="1:7" x14ac:dyDescent="0.2">
      <c r="A41">
        <v>8840</v>
      </c>
      <c r="B41" t="s">
        <v>68</v>
      </c>
      <c r="C41" t="s">
        <v>62</v>
      </c>
      <c r="D41" t="s">
        <v>32</v>
      </c>
      <c r="E41" t="s">
        <v>33</v>
      </c>
      <c r="G41" s="2" t="str">
        <f t="shared" si="0"/>
        <v>MARATHON|MORRIS 2</v>
      </c>
    </row>
    <row r="42" spans="1:7" x14ac:dyDescent="0.2">
      <c r="A42">
        <v>8841</v>
      </c>
      <c r="B42" t="s">
        <v>69</v>
      </c>
      <c r="C42" t="s">
        <v>62</v>
      </c>
      <c r="D42" t="s">
        <v>32</v>
      </c>
      <c r="E42" t="s">
        <v>33</v>
      </c>
      <c r="G42" s="2" t="str">
        <f t="shared" si="0"/>
        <v>WILD LEAF|MORRIS 2</v>
      </c>
    </row>
    <row r="43" spans="1:7" x14ac:dyDescent="0.2">
      <c r="A43">
        <v>8842</v>
      </c>
      <c r="B43" t="s">
        <v>70</v>
      </c>
      <c r="C43" t="s">
        <v>62</v>
      </c>
      <c r="D43" t="s">
        <v>32</v>
      </c>
      <c r="E43" t="s">
        <v>33</v>
      </c>
      <c r="G43" s="2" t="str">
        <f t="shared" si="0"/>
        <v>DOGFISH HEAD BEER|MORRIS 2</v>
      </c>
    </row>
    <row r="44" spans="1:7" x14ac:dyDescent="0.2">
      <c r="A44">
        <v>8843</v>
      </c>
      <c r="B44" t="s">
        <v>71</v>
      </c>
      <c r="C44" t="s">
        <v>62</v>
      </c>
      <c r="D44" t="s">
        <v>32</v>
      </c>
      <c r="E44" t="s">
        <v>33</v>
      </c>
      <c r="G44" s="2" t="str">
        <f t="shared" si="0"/>
        <v>BALLAST POINT|MORRIS 2</v>
      </c>
    </row>
    <row r="45" spans="1:7" x14ac:dyDescent="0.2">
      <c r="A45">
        <v>8844</v>
      </c>
      <c r="B45" t="s">
        <v>72</v>
      </c>
      <c r="C45" t="s">
        <v>62</v>
      </c>
      <c r="D45" t="s">
        <v>32</v>
      </c>
      <c r="E45" t="s">
        <v>33</v>
      </c>
      <c r="G45" s="2" t="str">
        <f t="shared" si="0"/>
        <v>JASMINE'S|MORRIS 2</v>
      </c>
    </row>
    <row r="46" spans="1:7" x14ac:dyDescent="0.2">
      <c r="A46">
        <v>8845</v>
      </c>
      <c r="B46" t="s">
        <v>73</v>
      </c>
      <c r="C46" t="s">
        <v>62</v>
      </c>
      <c r="D46" t="s">
        <v>32</v>
      </c>
      <c r="E46" t="s">
        <v>33</v>
      </c>
      <c r="G46" s="2" t="str">
        <f t="shared" si="0"/>
        <v>CORONA EXTRA|MORRIS 2</v>
      </c>
    </row>
    <row r="47" spans="1:7" x14ac:dyDescent="0.2">
      <c r="A47">
        <v>8846</v>
      </c>
      <c r="B47" t="s">
        <v>74</v>
      </c>
      <c r="C47" t="s">
        <v>62</v>
      </c>
      <c r="D47" t="s">
        <v>32</v>
      </c>
      <c r="E47" t="s">
        <v>33</v>
      </c>
      <c r="G47" s="2" t="str">
        <f t="shared" si="0"/>
        <v>CORONA FAMILIAR|MORRIS 2</v>
      </c>
    </row>
    <row r="48" spans="1:7" x14ac:dyDescent="0.2">
      <c r="A48">
        <v>8847</v>
      </c>
      <c r="B48" t="s">
        <v>75</v>
      </c>
      <c r="C48" t="s">
        <v>62</v>
      </c>
      <c r="D48" t="s">
        <v>32</v>
      </c>
      <c r="E48" t="s">
        <v>33</v>
      </c>
      <c r="G48" s="2" t="str">
        <f t="shared" si="0"/>
        <v>CORONA LIGHT|MORRIS 2</v>
      </c>
    </row>
    <row r="49" spans="1:7" x14ac:dyDescent="0.2">
      <c r="A49">
        <v>8848</v>
      </c>
      <c r="B49" t="s">
        <v>76</v>
      </c>
      <c r="C49" t="s">
        <v>62</v>
      </c>
      <c r="D49" t="s">
        <v>32</v>
      </c>
      <c r="E49" t="s">
        <v>33</v>
      </c>
      <c r="G49" s="2" t="str">
        <f t="shared" si="0"/>
        <v>PACIFICO|MORRIS 2</v>
      </c>
    </row>
    <row r="50" spans="1:7" x14ac:dyDescent="0.2">
      <c r="A50">
        <v>8849</v>
      </c>
      <c r="B50" t="s">
        <v>77</v>
      </c>
      <c r="C50" t="s">
        <v>62</v>
      </c>
      <c r="D50" t="s">
        <v>32</v>
      </c>
      <c r="E50" t="s">
        <v>33</v>
      </c>
      <c r="G50" s="2" t="str">
        <f t="shared" si="0"/>
        <v>MODELO NEGRA|MORRIS 2</v>
      </c>
    </row>
    <row r="51" spans="1:7" x14ac:dyDescent="0.2">
      <c r="A51">
        <v>8850</v>
      </c>
      <c r="B51" t="s">
        <v>78</v>
      </c>
      <c r="C51" t="s">
        <v>62</v>
      </c>
      <c r="D51" t="s">
        <v>32</v>
      </c>
      <c r="E51" t="s">
        <v>33</v>
      </c>
      <c r="G51" s="2" t="str">
        <f t="shared" si="0"/>
        <v>MODELO ESPECIAL|MORRIS 2</v>
      </c>
    </row>
    <row r="52" spans="1:7" x14ac:dyDescent="0.2">
      <c r="A52">
        <v>8851</v>
      </c>
      <c r="B52" t="s">
        <v>79</v>
      </c>
      <c r="C52" t="s">
        <v>62</v>
      </c>
      <c r="D52" t="s">
        <v>32</v>
      </c>
      <c r="E52" t="s">
        <v>33</v>
      </c>
      <c r="G52" s="2" t="str">
        <f t="shared" si="0"/>
        <v>VICTORIA|MORRIS 2</v>
      </c>
    </row>
    <row r="53" spans="1:7" x14ac:dyDescent="0.2">
      <c r="A53">
        <v>8852</v>
      </c>
      <c r="B53" t="s">
        <v>80</v>
      </c>
      <c r="C53" t="s">
        <v>62</v>
      </c>
      <c r="D53" t="s">
        <v>32</v>
      </c>
      <c r="E53" t="s">
        <v>33</v>
      </c>
      <c r="G53" s="2" t="str">
        <f t="shared" si="0"/>
        <v>MODELO CHELADA|MORRIS 2</v>
      </c>
    </row>
    <row r="54" spans="1:7" x14ac:dyDescent="0.2">
      <c r="A54">
        <v>8853</v>
      </c>
      <c r="B54" t="s">
        <v>81</v>
      </c>
      <c r="C54" t="s">
        <v>62</v>
      </c>
      <c r="D54" t="s">
        <v>32</v>
      </c>
      <c r="E54" t="s">
        <v>33</v>
      </c>
      <c r="G54" s="2" t="str">
        <f t="shared" si="0"/>
        <v>CORONA PREMIER|MORRIS 2</v>
      </c>
    </row>
    <row r="55" spans="1:7" x14ac:dyDescent="0.2">
      <c r="A55">
        <v>8854</v>
      </c>
      <c r="B55" t="s">
        <v>82</v>
      </c>
      <c r="C55" t="s">
        <v>62</v>
      </c>
      <c r="D55" t="s">
        <v>32</v>
      </c>
      <c r="E55" t="s">
        <v>33</v>
      </c>
      <c r="G55" s="2" t="str">
        <f t="shared" si="0"/>
        <v>CORONA REFRESCA|MORRIS 2</v>
      </c>
    </row>
    <row r="56" spans="1:7" x14ac:dyDescent="0.2">
      <c r="A56">
        <v>8855</v>
      </c>
      <c r="B56" t="s">
        <v>83</v>
      </c>
      <c r="C56" t="s">
        <v>62</v>
      </c>
      <c r="D56" t="s">
        <v>32</v>
      </c>
      <c r="E56" t="s">
        <v>33</v>
      </c>
      <c r="G56" s="2" t="str">
        <f t="shared" si="0"/>
        <v>CORONA SELTZER|MORRIS 2</v>
      </c>
    </row>
    <row r="57" spans="1:7" x14ac:dyDescent="0.2">
      <c r="A57">
        <v>8857</v>
      </c>
      <c r="B57" t="s">
        <v>84</v>
      </c>
      <c r="C57" t="s">
        <v>62</v>
      </c>
      <c r="D57" t="s">
        <v>32</v>
      </c>
      <c r="E57" t="s">
        <v>33</v>
      </c>
      <c r="G57" s="2" t="str">
        <f t="shared" si="0"/>
        <v>FRANKS|MORRIS 2</v>
      </c>
    </row>
    <row r="58" spans="1:7" x14ac:dyDescent="0.2">
      <c r="A58">
        <v>8858</v>
      </c>
      <c r="B58" t="s">
        <v>85</v>
      </c>
      <c r="C58" t="s">
        <v>62</v>
      </c>
      <c r="D58" t="s">
        <v>32</v>
      </c>
      <c r="E58" t="s">
        <v>33</v>
      </c>
      <c r="G58" s="2" t="str">
        <f t="shared" si="0"/>
        <v>TGI FRIDAYS|MORRIS 2</v>
      </c>
    </row>
    <row r="59" spans="1:7" x14ac:dyDescent="0.2">
      <c r="A59">
        <v>8859</v>
      </c>
      <c r="B59" t="s">
        <v>86</v>
      </c>
      <c r="C59" t="s">
        <v>62</v>
      </c>
      <c r="D59" t="s">
        <v>32</v>
      </c>
      <c r="E59" t="s">
        <v>33</v>
      </c>
      <c r="G59" s="2" t="str">
        <f t="shared" si="0"/>
        <v>TIPSY TOMATO|MORRIS 2</v>
      </c>
    </row>
    <row r="60" spans="1:7" x14ac:dyDescent="0.2">
      <c r="A60">
        <v>8860</v>
      </c>
      <c r="B60" t="s">
        <v>87</v>
      </c>
      <c r="C60" t="s">
        <v>62</v>
      </c>
      <c r="D60" t="s">
        <v>32</v>
      </c>
      <c r="E60" t="s">
        <v>33</v>
      </c>
      <c r="G60" s="2" t="str">
        <f t="shared" si="0"/>
        <v>MIKE'S HARD LEMONADE|MORRIS 2</v>
      </c>
    </row>
    <row r="61" spans="1:7" x14ac:dyDescent="0.2">
      <c r="A61">
        <v>8861</v>
      </c>
      <c r="B61" t="s">
        <v>88</v>
      </c>
      <c r="C61" t="s">
        <v>62</v>
      </c>
      <c r="D61" t="s">
        <v>32</v>
      </c>
      <c r="E61" t="s">
        <v>33</v>
      </c>
      <c r="G61" s="2" t="str">
        <f t="shared" si="0"/>
        <v>MIKE'S HARDER|MORRIS 2</v>
      </c>
    </row>
    <row r="62" spans="1:7" x14ac:dyDescent="0.2">
      <c r="A62">
        <v>8862</v>
      </c>
      <c r="B62" t="s">
        <v>89</v>
      </c>
      <c r="C62" t="s">
        <v>62</v>
      </c>
      <c r="D62" t="s">
        <v>32</v>
      </c>
      <c r="E62" t="s">
        <v>33</v>
      </c>
      <c r="G62" s="2" t="str">
        <f t="shared" si="0"/>
        <v>CAYMAN JACK|MORRIS 2</v>
      </c>
    </row>
    <row r="63" spans="1:7" x14ac:dyDescent="0.2">
      <c r="A63">
        <v>8863</v>
      </c>
      <c r="B63" t="s">
        <v>90</v>
      </c>
      <c r="C63" t="s">
        <v>62</v>
      </c>
      <c r="D63" t="s">
        <v>32</v>
      </c>
      <c r="E63" t="s">
        <v>33</v>
      </c>
      <c r="G63" s="2" t="str">
        <f t="shared" si="0"/>
        <v>MXD COCKTAILS|MORRIS 2</v>
      </c>
    </row>
    <row r="64" spans="1:7" x14ac:dyDescent="0.2">
      <c r="A64">
        <v>8864</v>
      </c>
      <c r="B64" t="s">
        <v>91</v>
      </c>
      <c r="C64" t="s">
        <v>62</v>
      </c>
      <c r="D64" t="s">
        <v>32</v>
      </c>
      <c r="E64" t="s">
        <v>33</v>
      </c>
      <c r="G64" s="2" t="str">
        <f t="shared" si="0"/>
        <v>PALM BREEZE|MORRIS 2</v>
      </c>
    </row>
    <row r="65" spans="1:7" x14ac:dyDescent="0.2">
      <c r="A65">
        <v>8865</v>
      </c>
      <c r="B65" t="s">
        <v>92</v>
      </c>
      <c r="C65" t="s">
        <v>62</v>
      </c>
      <c r="D65" t="s">
        <v>32</v>
      </c>
      <c r="E65" t="s">
        <v>33</v>
      </c>
      <c r="G65" s="2" t="str">
        <f t="shared" si="0"/>
        <v>WHITE CLAW|MORRIS 2</v>
      </c>
    </row>
    <row r="66" spans="1:7" x14ac:dyDescent="0.2">
      <c r="A66">
        <v>8866</v>
      </c>
      <c r="B66" t="s">
        <v>93</v>
      </c>
      <c r="C66" t="s">
        <v>62</v>
      </c>
      <c r="D66" t="s">
        <v>32</v>
      </c>
      <c r="E66" t="s">
        <v>33</v>
      </c>
      <c r="G66" s="2" t="str">
        <f t="shared" si="0"/>
        <v>COORS|MORRIS 2</v>
      </c>
    </row>
    <row r="67" spans="1:7" x14ac:dyDescent="0.2">
      <c r="A67">
        <v>8867</v>
      </c>
      <c r="B67" t="s">
        <v>94</v>
      </c>
      <c r="C67" t="s">
        <v>62</v>
      </c>
      <c r="D67" t="s">
        <v>32</v>
      </c>
      <c r="E67" t="s">
        <v>33</v>
      </c>
      <c r="G67" s="2" t="str">
        <f t="shared" si="0"/>
        <v>COORS LIGHT|MORRIS 2</v>
      </c>
    </row>
    <row r="68" spans="1:7" x14ac:dyDescent="0.2">
      <c r="A68">
        <v>8868</v>
      </c>
      <c r="B68" t="s">
        <v>95</v>
      </c>
      <c r="C68" t="s">
        <v>62</v>
      </c>
      <c r="D68" t="s">
        <v>32</v>
      </c>
      <c r="E68" t="s">
        <v>33</v>
      </c>
      <c r="G68" s="2" t="str">
        <f t="shared" si="0"/>
        <v>COORS EXTRA GOLD|MORRIS 2</v>
      </c>
    </row>
    <row r="69" spans="1:7" x14ac:dyDescent="0.2">
      <c r="A69">
        <v>8869</v>
      </c>
      <c r="B69" t="s">
        <v>96</v>
      </c>
      <c r="C69" t="s">
        <v>62</v>
      </c>
      <c r="D69" t="s">
        <v>32</v>
      </c>
      <c r="E69" t="s">
        <v>33</v>
      </c>
      <c r="G69" s="2" t="str">
        <f t="shared" si="0"/>
        <v>KEYSTONE|MORRIS 2</v>
      </c>
    </row>
    <row r="70" spans="1:7" x14ac:dyDescent="0.2">
      <c r="A70">
        <v>8870</v>
      </c>
      <c r="B70" t="s">
        <v>97</v>
      </c>
      <c r="C70" t="s">
        <v>62</v>
      </c>
      <c r="D70" t="s">
        <v>32</v>
      </c>
      <c r="E70" t="s">
        <v>33</v>
      </c>
      <c r="G70" s="2" t="str">
        <f t="shared" si="0"/>
        <v>ZIMA|MORRIS 2</v>
      </c>
    </row>
    <row r="71" spans="1:7" x14ac:dyDescent="0.2">
      <c r="A71">
        <v>8871</v>
      </c>
      <c r="B71" t="s">
        <v>98</v>
      </c>
      <c r="C71" t="s">
        <v>62</v>
      </c>
      <c r="D71" t="s">
        <v>32</v>
      </c>
      <c r="E71" t="s">
        <v>33</v>
      </c>
      <c r="G71" s="2" t="str">
        <f t="shared" ref="G71:G134" si="1">UPPER(B71)&amp;"|"&amp;UPPER(C71)</f>
        <v>COORS SELTZER|MORRIS 2</v>
      </c>
    </row>
    <row r="72" spans="1:7" x14ac:dyDescent="0.2">
      <c r="A72">
        <v>8872</v>
      </c>
      <c r="B72" t="s">
        <v>99</v>
      </c>
      <c r="C72" t="s">
        <v>62</v>
      </c>
      <c r="D72" t="s">
        <v>32</v>
      </c>
      <c r="E72" t="s">
        <v>33</v>
      </c>
      <c r="G72" s="2" t="str">
        <f t="shared" si="1"/>
        <v>BLUE MOON|MORRIS 2</v>
      </c>
    </row>
    <row r="73" spans="1:7" x14ac:dyDescent="0.2">
      <c r="A73">
        <v>8873</v>
      </c>
      <c r="B73" t="s">
        <v>100</v>
      </c>
      <c r="C73" t="s">
        <v>62</v>
      </c>
      <c r="D73" t="s">
        <v>32</v>
      </c>
      <c r="E73" t="s">
        <v>33</v>
      </c>
      <c r="G73" s="2" t="str">
        <f t="shared" si="1"/>
        <v>CRISPIN|MORRIS 2</v>
      </c>
    </row>
    <row r="74" spans="1:7" x14ac:dyDescent="0.2">
      <c r="A74">
        <v>8874</v>
      </c>
      <c r="B74" t="s">
        <v>101</v>
      </c>
      <c r="C74" t="s">
        <v>62</v>
      </c>
      <c r="D74" t="s">
        <v>32</v>
      </c>
      <c r="E74" t="s">
        <v>33</v>
      </c>
      <c r="G74" s="2" t="str">
        <f t="shared" si="1"/>
        <v>HENRY'S WEINHARDS|MORRIS 2</v>
      </c>
    </row>
    <row r="75" spans="1:7" x14ac:dyDescent="0.2">
      <c r="A75">
        <v>8875</v>
      </c>
      <c r="B75" t="s">
        <v>102</v>
      </c>
      <c r="C75" t="s">
        <v>62</v>
      </c>
      <c r="D75" t="s">
        <v>32</v>
      </c>
      <c r="E75" t="s">
        <v>33</v>
      </c>
      <c r="G75" s="2" t="str">
        <f t="shared" si="1"/>
        <v>TWO HATS|MORRIS 2</v>
      </c>
    </row>
    <row r="76" spans="1:7" x14ac:dyDescent="0.2">
      <c r="A76">
        <v>8876</v>
      </c>
      <c r="B76" t="s">
        <v>103</v>
      </c>
      <c r="C76" t="s">
        <v>62</v>
      </c>
      <c r="D76" t="s">
        <v>32</v>
      </c>
      <c r="E76" t="s">
        <v>33</v>
      </c>
      <c r="G76" s="2" t="str">
        <f t="shared" si="1"/>
        <v>GEORGE KILLIAN'S|MORRIS 2</v>
      </c>
    </row>
    <row r="77" spans="1:7" x14ac:dyDescent="0.2">
      <c r="A77">
        <v>8877</v>
      </c>
      <c r="B77" t="s">
        <v>104</v>
      </c>
      <c r="C77" t="s">
        <v>62</v>
      </c>
      <c r="D77" t="s">
        <v>32</v>
      </c>
      <c r="E77" t="s">
        <v>33</v>
      </c>
      <c r="G77" s="2" t="str">
        <f t="shared" si="1"/>
        <v>REDD'S|MORRIS 2</v>
      </c>
    </row>
    <row r="78" spans="1:7" x14ac:dyDescent="0.2">
      <c r="A78">
        <v>8878</v>
      </c>
      <c r="B78" t="s">
        <v>105</v>
      </c>
      <c r="C78" t="s">
        <v>62</v>
      </c>
      <c r="D78" t="s">
        <v>32</v>
      </c>
      <c r="E78" t="s">
        <v>33</v>
      </c>
      <c r="G78" s="2" t="str">
        <f t="shared" si="1"/>
        <v>THIRD SHIFT|MORRIS 2</v>
      </c>
    </row>
    <row r="79" spans="1:7" x14ac:dyDescent="0.2">
      <c r="A79">
        <v>8879</v>
      </c>
      <c r="B79" t="s">
        <v>106</v>
      </c>
      <c r="C79" t="s">
        <v>62</v>
      </c>
      <c r="D79" t="s">
        <v>32</v>
      </c>
      <c r="E79" t="s">
        <v>33</v>
      </c>
      <c r="G79" s="2" t="str">
        <f t="shared" si="1"/>
        <v>MOLSON|MORRIS 2</v>
      </c>
    </row>
    <row r="80" spans="1:7" x14ac:dyDescent="0.2">
      <c r="A80">
        <v>8880</v>
      </c>
      <c r="B80" t="s">
        <v>107</v>
      </c>
      <c r="C80" t="s">
        <v>62</v>
      </c>
      <c r="D80" t="s">
        <v>32</v>
      </c>
      <c r="E80" t="s">
        <v>33</v>
      </c>
      <c r="G80" s="2" t="str">
        <f t="shared" si="1"/>
        <v>HENRY'S HARD SPARKLING|MORRIS 2</v>
      </c>
    </row>
    <row r="81" spans="1:7" x14ac:dyDescent="0.2">
      <c r="A81">
        <v>8881</v>
      </c>
      <c r="B81" t="s">
        <v>108</v>
      </c>
      <c r="C81" t="s">
        <v>62</v>
      </c>
      <c r="D81" t="s">
        <v>32</v>
      </c>
      <c r="E81" t="s">
        <v>33</v>
      </c>
      <c r="G81" s="2" t="str">
        <f t="shared" si="1"/>
        <v>STEEL RESERVE|MORRIS 2</v>
      </c>
    </row>
    <row r="82" spans="1:7" x14ac:dyDescent="0.2">
      <c r="A82">
        <v>8882</v>
      </c>
      <c r="B82" t="s">
        <v>109</v>
      </c>
      <c r="C82" t="s">
        <v>62</v>
      </c>
      <c r="D82" t="s">
        <v>32</v>
      </c>
      <c r="E82" t="s">
        <v>33</v>
      </c>
      <c r="G82" s="2" t="str">
        <f t="shared" si="1"/>
        <v>COORS EDGE|MORRIS 2</v>
      </c>
    </row>
    <row r="83" spans="1:7" x14ac:dyDescent="0.2">
      <c r="A83">
        <v>8883</v>
      </c>
      <c r="B83" t="s">
        <v>110</v>
      </c>
      <c r="C83" t="s">
        <v>62</v>
      </c>
      <c r="D83" t="s">
        <v>32</v>
      </c>
      <c r="E83" t="s">
        <v>33</v>
      </c>
      <c r="G83" s="2" t="str">
        <f t="shared" si="1"/>
        <v>STEEL RESERVE ALLOY SERIES|MORRIS 2</v>
      </c>
    </row>
    <row r="84" spans="1:7" x14ac:dyDescent="0.2">
      <c r="A84">
        <v>8884</v>
      </c>
      <c r="B84" t="s">
        <v>111</v>
      </c>
      <c r="C84" t="s">
        <v>62</v>
      </c>
      <c r="D84" t="s">
        <v>32</v>
      </c>
      <c r="E84" t="s">
        <v>33</v>
      </c>
      <c r="G84" s="2" t="str">
        <f t="shared" si="1"/>
        <v>AGUILA|MORRIS 2</v>
      </c>
    </row>
    <row r="85" spans="1:7" x14ac:dyDescent="0.2">
      <c r="A85">
        <v>8885</v>
      </c>
      <c r="B85" t="s">
        <v>112</v>
      </c>
      <c r="C85" t="s">
        <v>62</v>
      </c>
      <c r="D85" t="s">
        <v>32</v>
      </c>
      <c r="E85" t="s">
        <v>33</v>
      </c>
      <c r="G85" s="2" t="str">
        <f t="shared" si="1"/>
        <v>SMITH &amp; FORGE|MORRIS 2</v>
      </c>
    </row>
    <row r="86" spans="1:7" x14ac:dyDescent="0.2">
      <c r="A86">
        <v>8886</v>
      </c>
      <c r="B86" t="s">
        <v>113</v>
      </c>
      <c r="C86" t="s">
        <v>62</v>
      </c>
      <c r="D86" t="s">
        <v>32</v>
      </c>
      <c r="E86" t="s">
        <v>33</v>
      </c>
      <c r="G86" s="2" t="str">
        <f t="shared" si="1"/>
        <v>REDD'S WICKED|MORRIS 2</v>
      </c>
    </row>
    <row r="87" spans="1:7" x14ac:dyDescent="0.2">
      <c r="A87">
        <v>8887</v>
      </c>
      <c r="B87" t="s">
        <v>114</v>
      </c>
      <c r="C87" t="s">
        <v>62</v>
      </c>
      <c r="D87" t="s">
        <v>32</v>
      </c>
      <c r="E87" t="s">
        <v>33</v>
      </c>
      <c r="G87" s="2" t="str">
        <f t="shared" si="1"/>
        <v>HENRY'S HARD SODAS|MORRIS 2</v>
      </c>
    </row>
    <row r="88" spans="1:7" x14ac:dyDescent="0.2">
      <c r="A88">
        <v>8888</v>
      </c>
      <c r="B88" t="s">
        <v>115</v>
      </c>
      <c r="C88" t="s">
        <v>62</v>
      </c>
      <c r="D88" t="s">
        <v>32</v>
      </c>
      <c r="E88" t="s">
        <v>33</v>
      </c>
      <c r="G88" s="2" t="str">
        <f t="shared" si="1"/>
        <v>HAMM'S|MORRIS 2</v>
      </c>
    </row>
    <row r="89" spans="1:7" x14ac:dyDescent="0.2">
      <c r="A89">
        <v>8889</v>
      </c>
      <c r="B89" t="s">
        <v>116</v>
      </c>
      <c r="C89" t="s">
        <v>62</v>
      </c>
      <c r="D89" t="s">
        <v>32</v>
      </c>
      <c r="E89" t="s">
        <v>33</v>
      </c>
      <c r="G89" s="2" t="str">
        <f t="shared" si="1"/>
        <v>HAMM'S LIGHT|MORRIS 2</v>
      </c>
    </row>
    <row r="90" spans="1:7" x14ac:dyDescent="0.2">
      <c r="A90">
        <v>8890</v>
      </c>
      <c r="B90" t="s">
        <v>7</v>
      </c>
      <c r="C90" t="s">
        <v>62</v>
      </c>
      <c r="D90" t="s">
        <v>32</v>
      </c>
      <c r="E90" t="s">
        <v>33</v>
      </c>
      <c r="G90" s="2" t="str">
        <f t="shared" si="1"/>
        <v>MILLER HIGH LIFE|MORRIS 2</v>
      </c>
    </row>
    <row r="91" spans="1:7" x14ac:dyDescent="0.2">
      <c r="A91">
        <v>8891</v>
      </c>
      <c r="B91" t="s">
        <v>117</v>
      </c>
      <c r="C91" t="s">
        <v>62</v>
      </c>
      <c r="D91" t="s">
        <v>32</v>
      </c>
      <c r="E91" t="s">
        <v>33</v>
      </c>
      <c r="G91" s="2" t="str">
        <f t="shared" si="1"/>
        <v>MILLER HIGH LIFE LIGHT|MORRIS 2</v>
      </c>
    </row>
    <row r="92" spans="1:7" x14ac:dyDescent="0.2">
      <c r="A92">
        <v>8892</v>
      </c>
      <c r="B92" t="s">
        <v>118</v>
      </c>
      <c r="C92" t="s">
        <v>62</v>
      </c>
      <c r="D92" t="s">
        <v>32</v>
      </c>
      <c r="E92" t="s">
        <v>33</v>
      </c>
      <c r="G92" s="2" t="str">
        <f t="shared" si="1"/>
        <v>ICEHOUSE|MORRIS 2</v>
      </c>
    </row>
    <row r="93" spans="1:7" x14ac:dyDescent="0.2">
      <c r="A93">
        <v>8893</v>
      </c>
      <c r="B93" t="s">
        <v>119</v>
      </c>
      <c r="C93" t="s">
        <v>62</v>
      </c>
      <c r="D93" t="s">
        <v>32</v>
      </c>
      <c r="E93" t="s">
        <v>33</v>
      </c>
      <c r="G93" s="2" t="str">
        <f t="shared" si="1"/>
        <v>ICEHOUSE EDGE|MORRIS 2</v>
      </c>
    </row>
    <row r="94" spans="1:7" x14ac:dyDescent="0.2">
      <c r="A94">
        <v>8894</v>
      </c>
      <c r="B94" t="s">
        <v>120</v>
      </c>
      <c r="C94" t="s">
        <v>62</v>
      </c>
      <c r="D94" t="s">
        <v>32</v>
      </c>
      <c r="E94" t="s">
        <v>33</v>
      </c>
      <c r="G94" s="2" t="str">
        <f t="shared" si="1"/>
        <v>LITE|MORRIS 2</v>
      </c>
    </row>
    <row r="95" spans="1:7" x14ac:dyDescent="0.2">
      <c r="A95">
        <v>8895</v>
      </c>
      <c r="B95" t="s">
        <v>121</v>
      </c>
      <c r="C95" t="s">
        <v>62</v>
      </c>
      <c r="D95" t="s">
        <v>32</v>
      </c>
      <c r="E95" t="s">
        <v>33</v>
      </c>
      <c r="G95" s="2" t="str">
        <f t="shared" si="1"/>
        <v>MOVO|MORRIS 2</v>
      </c>
    </row>
    <row r="96" spans="1:7" x14ac:dyDescent="0.2">
      <c r="A96">
        <v>8896</v>
      </c>
      <c r="B96" t="s">
        <v>122</v>
      </c>
      <c r="C96" t="s">
        <v>62</v>
      </c>
      <c r="D96" t="s">
        <v>32</v>
      </c>
      <c r="E96" t="s">
        <v>33</v>
      </c>
      <c r="G96" s="2" t="str">
        <f t="shared" si="1"/>
        <v>MILLER GENUINE DRAFT|MORRIS 2</v>
      </c>
    </row>
    <row r="97" spans="1:7" x14ac:dyDescent="0.2">
      <c r="A97">
        <v>8897</v>
      </c>
      <c r="B97" t="s">
        <v>123</v>
      </c>
      <c r="C97" t="s">
        <v>62</v>
      </c>
      <c r="D97" t="s">
        <v>32</v>
      </c>
      <c r="E97" t="s">
        <v>33</v>
      </c>
      <c r="G97" s="2" t="str">
        <f t="shared" si="1"/>
        <v>MICKEY MALT|MORRIS 2</v>
      </c>
    </row>
    <row r="98" spans="1:7" x14ac:dyDescent="0.2">
      <c r="A98">
        <v>8898</v>
      </c>
      <c r="B98" t="s">
        <v>124</v>
      </c>
      <c r="C98" t="s">
        <v>62</v>
      </c>
      <c r="D98" t="s">
        <v>27</v>
      </c>
      <c r="E98" t="s">
        <v>33</v>
      </c>
      <c r="G98" s="2" t="str">
        <f t="shared" si="1"/>
        <v>MILLER EXTRA LIGHT|MORRIS 2</v>
      </c>
    </row>
    <row r="99" spans="1:7" x14ac:dyDescent="0.2">
      <c r="A99">
        <v>8899</v>
      </c>
      <c r="B99" t="s">
        <v>125</v>
      </c>
      <c r="C99" t="s">
        <v>62</v>
      </c>
      <c r="D99" t="s">
        <v>32</v>
      </c>
      <c r="E99" t="s">
        <v>33</v>
      </c>
      <c r="G99" s="2" t="str">
        <f t="shared" si="1"/>
        <v>MILLER FORTUNE|MORRIS 2</v>
      </c>
    </row>
    <row r="100" spans="1:7" x14ac:dyDescent="0.2">
      <c r="A100">
        <v>8900</v>
      </c>
      <c r="B100" t="s">
        <v>126</v>
      </c>
      <c r="C100" t="s">
        <v>62</v>
      </c>
      <c r="D100" t="s">
        <v>32</v>
      </c>
      <c r="E100" t="s">
        <v>33</v>
      </c>
      <c r="G100" s="2" t="str">
        <f t="shared" si="1"/>
        <v>MILWAUKEE'S BEST|MORRIS 2</v>
      </c>
    </row>
    <row r="101" spans="1:7" x14ac:dyDescent="0.2">
      <c r="A101">
        <v>8901</v>
      </c>
      <c r="B101" t="s">
        <v>127</v>
      </c>
      <c r="C101" t="s">
        <v>62</v>
      </c>
      <c r="D101" t="s">
        <v>32</v>
      </c>
      <c r="E101" t="s">
        <v>33</v>
      </c>
      <c r="G101" s="2" t="str">
        <f t="shared" si="1"/>
        <v>MILWAUKEE'S BEST ICE|MORRIS 2</v>
      </c>
    </row>
    <row r="102" spans="1:7" x14ac:dyDescent="0.2">
      <c r="A102">
        <v>8902</v>
      </c>
      <c r="B102" t="s">
        <v>128</v>
      </c>
      <c r="C102" t="s">
        <v>62</v>
      </c>
      <c r="D102" t="s">
        <v>32</v>
      </c>
      <c r="E102" t="s">
        <v>33</v>
      </c>
      <c r="G102" s="2" t="str">
        <f t="shared" si="1"/>
        <v>MILWAUKEE'S BEST LIGHT|MORRIS 2</v>
      </c>
    </row>
    <row r="103" spans="1:7" x14ac:dyDescent="0.2">
      <c r="A103">
        <v>8903</v>
      </c>
      <c r="B103" t="s">
        <v>129</v>
      </c>
      <c r="C103" t="s">
        <v>62</v>
      </c>
      <c r="D103" t="s">
        <v>32</v>
      </c>
      <c r="E103" t="s">
        <v>33</v>
      </c>
      <c r="G103" s="2" t="str">
        <f t="shared" si="1"/>
        <v>LEINENKUGEL|MORRIS 2</v>
      </c>
    </row>
    <row r="104" spans="1:7" x14ac:dyDescent="0.2">
      <c r="A104">
        <v>8904</v>
      </c>
      <c r="B104" t="s">
        <v>130</v>
      </c>
      <c r="C104" t="s">
        <v>62</v>
      </c>
      <c r="D104" t="s">
        <v>32</v>
      </c>
      <c r="E104" t="s">
        <v>33</v>
      </c>
      <c r="G104" s="2" t="str">
        <f t="shared" si="1"/>
        <v>LEINENKUGEL SHANDY|MORRIS 2</v>
      </c>
    </row>
    <row r="105" spans="1:7" x14ac:dyDescent="0.2">
      <c r="A105">
        <v>8905</v>
      </c>
      <c r="B105" t="s">
        <v>131</v>
      </c>
      <c r="C105" t="s">
        <v>62</v>
      </c>
      <c r="D105" t="s">
        <v>32</v>
      </c>
      <c r="E105" t="s">
        <v>33</v>
      </c>
      <c r="G105" s="2" t="str">
        <f t="shared" si="1"/>
        <v>CRISTAL|MORRIS 2</v>
      </c>
    </row>
    <row r="106" spans="1:7" x14ac:dyDescent="0.2">
      <c r="A106">
        <v>8906</v>
      </c>
      <c r="B106" t="s">
        <v>132</v>
      </c>
      <c r="C106" t="s">
        <v>62</v>
      </c>
      <c r="D106" t="s">
        <v>32</v>
      </c>
      <c r="E106" t="s">
        <v>33</v>
      </c>
      <c r="G106" s="2" t="str">
        <f t="shared" si="1"/>
        <v>CUSQUENA|MORRIS 2</v>
      </c>
    </row>
    <row r="107" spans="1:7" x14ac:dyDescent="0.2">
      <c r="A107">
        <v>8907</v>
      </c>
      <c r="B107" t="s">
        <v>133</v>
      </c>
      <c r="C107" t="s">
        <v>62</v>
      </c>
      <c r="D107" t="s">
        <v>32</v>
      </c>
      <c r="E107" t="s">
        <v>33</v>
      </c>
      <c r="G107" s="2" t="str">
        <f t="shared" si="1"/>
        <v>FOSTERS|MORRIS 2</v>
      </c>
    </row>
    <row r="108" spans="1:7" x14ac:dyDescent="0.2">
      <c r="A108">
        <v>8908</v>
      </c>
      <c r="B108" t="s">
        <v>134</v>
      </c>
      <c r="C108" t="s">
        <v>62</v>
      </c>
      <c r="D108" t="s">
        <v>32</v>
      </c>
      <c r="E108" t="s">
        <v>33</v>
      </c>
      <c r="G108" s="2" t="str">
        <f t="shared" si="1"/>
        <v>GROLSCH|MORRIS 2</v>
      </c>
    </row>
    <row r="109" spans="1:7" x14ac:dyDescent="0.2">
      <c r="A109">
        <v>8909</v>
      </c>
      <c r="B109" t="s">
        <v>135</v>
      </c>
      <c r="C109" t="s">
        <v>62</v>
      </c>
      <c r="D109" t="s">
        <v>32</v>
      </c>
      <c r="E109" t="s">
        <v>33</v>
      </c>
      <c r="G109" s="2" t="str">
        <f t="shared" si="1"/>
        <v>LECH|MORRIS 2</v>
      </c>
    </row>
    <row r="110" spans="1:7" x14ac:dyDescent="0.2">
      <c r="A110">
        <v>8910</v>
      </c>
      <c r="B110" t="s">
        <v>136</v>
      </c>
      <c r="C110" t="s">
        <v>62</v>
      </c>
      <c r="D110" t="s">
        <v>32</v>
      </c>
      <c r="E110" t="s">
        <v>33</v>
      </c>
      <c r="G110" s="2" t="str">
        <f t="shared" si="1"/>
        <v>PERONI|MORRIS 2</v>
      </c>
    </row>
    <row r="111" spans="1:7" x14ac:dyDescent="0.2">
      <c r="A111">
        <v>8911</v>
      </c>
      <c r="B111" t="s">
        <v>137</v>
      </c>
      <c r="C111" t="s">
        <v>62</v>
      </c>
      <c r="D111" t="s">
        <v>32</v>
      </c>
      <c r="E111" t="s">
        <v>33</v>
      </c>
      <c r="G111" s="2" t="str">
        <f t="shared" si="1"/>
        <v>PILSNER URQUELL|MORRIS 2</v>
      </c>
    </row>
    <row r="112" spans="1:7" x14ac:dyDescent="0.2">
      <c r="A112">
        <v>8912</v>
      </c>
      <c r="B112" t="s">
        <v>138</v>
      </c>
      <c r="C112" t="s">
        <v>62</v>
      </c>
      <c r="D112" t="s">
        <v>32</v>
      </c>
      <c r="E112" t="s">
        <v>33</v>
      </c>
      <c r="G112" s="2" t="str">
        <f t="shared" si="1"/>
        <v>TYSKIE GRONIE|MORRIS 2</v>
      </c>
    </row>
    <row r="113" spans="1:7" x14ac:dyDescent="0.2">
      <c r="A113">
        <v>8913</v>
      </c>
      <c r="B113" t="s">
        <v>139</v>
      </c>
      <c r="C113" t="s">
        <v>62</v>
      </c>
      <c r="D113" t="s">
        <v>32</v>
      </c>
      <c r="E113" t="s">
        <v>33</v>
      </c>
      <c r="G113" s="2" t="str">
        <f t="shared" si="1"/>
        <v>OLD ENGLISH|MORRIS 2</v>
      </c>
    </row>
    <row r="114" spans="1:7" x14ac:dyDescent="0.2">
      <c r="A114">
        <v>8914</v>
      </c>
      <c r="B114" t="s">
        <v>140</v>
      </c>
      <c r="C114" t="s">
        <v>62</v>
      </c>
      <c r="D114" t="s">
        <v>32</v>
      </c>
      <c r="E114" t="s">
        <v>33</v>
      </c>
      <c r="G114" s="2" t="str">
        <f t="shared" si="1"/>
        <v>SOL|MORRIS 2</v>
      </c>
    </row>
    <row r="115" spans="1:7" x14ac:dyDescent="0.2">
      <c r="A115">
        <v>8915</v>
      </c>
      <c r="B115" t="s">
        <v>141</v>
      </c>
      <c r="C115" t="s">
        <v>62</v>
      </c>
      <c r="D115" t="s">
        <v>32</v>
      </c>
      <c r="E115" t="s">
        <v>33</v>
      </c>
      <c r="G115" s="2" t="str">
        <f t="shared" si="1"/>
        <v>ARNOLD PALMER|MORRIS 2</v>
      </c>
    </row>
    <row r="116" spans="1:7" x14ac:dyDescent="0.2">
      <c r="A116">
        <v>8916</v>
      </c>
      <c r="B116" t="s">
        <v>142</v>
      </c>
      <c r="C116" t="s">
        <v>62</v>
      </c>
      <c r="D116" t="s">
        <v>32</v>
      </c>
      <c r="E116" t="s">
        <v>33</v>
      </c>
      <c r="G116" s="2" t="str">
        <f t="shared" si="1"/>
        <v>CAPE LINE|MORRIS 2</v>
      </c>
    </row>
    <row r="117" spans="1:7" x14ac:dyDescent="0.2">
      <c r="A117">
        <v>8917</v>
      </c>
      <c r="B117" t="s">
        <v>143</v>
      </c>
      <c r="C117" t="s">
        <v>62</v>
      </c>
      <c r="D117" t="s">
        <v>32</v>
      </c>
      <c r="E117" t="s">
        <v>33</v>
      </c>
      <c r="G117" s="2" t="str">
        <f t="shared" si="1"/>
        <v>ST ARCHER|MORRIS 2</v>
      </c>
    </row>
    <row r="118" spans="1:7" x14ac:dyDescent="0.2">
      <c r="A118">
        <v>8918</v>
      </c>
      <c r="B118" t="s">
        <v>144</v>
      </c>
      <c r="C118" t="s">
        <v>62</v>
      </c>
      <c r="D118" t="s">
        <v>32</v>
      </c>
      <c r="E118" t="s">
        <v>33</v>
      </c>
      <c r="G118" s="2" t="str">
        <f t="shared" si="1"/>
        <v>VIZZY|MORRIS 2</v>
      </c>
    </row>
    <row r="119" spans="1:7" x14ac:dyDescent="0.2">
      <c r="A119">
        <v>8919</v>
      </c>
      <c r="B119" t="s">
        <v>145</v>
      </c>
      <c r="C119" t="s">
        <v>62</v>
      </c>
      <c r="D119" t="s">
        <v>32</v>
      </c>
      <c r="E119" t="s">
        <v>33</v>
      </c>
      <c r="G119" s="2" t="str">
        <f t="shared" si="1"/>
        <v>NARRAGANSETT|MORRIS 2</v>
      </c>
    </row>
    <row r="120" spans="1:7" x14ac:dyDescent="0.2">
      <c r="A120">
        <v>8920</v>
      </c>
      <c r="B120" t="s">
        <v>146</v>
      </c>
      <c r="C120" t="s">
        <v>62</v>
      </c>
      <c r="D120" t="s">
        <v>32</v>
      </c>
      <c r="E120" t="s">
        <v>33</v>
      </c>
      <c r="G120" s="2" t="str">
        <f t="shared" si="1"/>
        <v>NEW BELGIUM BREWING COMPANY|MORRIS 2</v>
      </c>
    </row>
    <row r="121" spans="1:7" x14ac:dyDescent="0.2">
      <c r="A121">
        <v>8921</v>
      </c>
      <c r="B121" t="s">
        <v>147</v>
      </c>
      <c r="C121" t="s">
        <v>62</v>
      </c>
      <c r="D121" t="s">
        <v>32</v>
      </c>
      <c r="E121" t="s">
        <v>33</v>
      </c>
      <c r="G121" s="2" t="str">
        <f t="shared" si="1"/>
        <v>SHINER|MORRIS 2</v>
      </c>
    </row>
    <row r="122" spans="1:7" x14ac:dyDescent="0.2">
      <c r="A122">
        <v>8922</v>
      </c>
      <c r="B122" t="s">
        <v>148</v>
      </c>
      <c r="C122" t="s">
        <v>62</v>
      </c>
      <c r="D122" t="s">
        <v>32</v>
      </c>
      <c r="E122" t="s">
        <v>33</v>
      </c>
      <c r="G122" s="2" t="str">
        <f t="shared" si="1"/>
        <v>SIERRA NEVADA|MORRIS 2</v>
      </c>
    </row>
    <row r="123" spans="1:7" x14ac:dyDescent="0.2">
      <c r="A123">
        <v>8923</v>
      </c>
      <c r="B123" t="s">
        <v>149</v>
      </c>
      <c r="C123" t="s">
        <v>62</v>
      </c>
      <c r="D123" t="s">
        <v>32</v>
      </c>
      <c r="E123" t="s">
        <v>33</v>
      </c>
      <c r="G123" s="2" t="str">
        <f t="shared" si="1"/>
        <v>STRAINGE BEAST|MORRIS 2</v>
      </c>
    </row>
    <row r="124" spans="1:7" x14ac:dyDescent="0.2">
      <c r="A124">
        <v>8924</v>
      </c>
      <c r="B124" t="s">
        <v>150</v>
      </c>
      <c r="C124" t="s">
        <v>62</v>
      </c>
      <c r="D124" t="s">
        <v>32</v>
      </c>
      <c r="E124" t="s">
        <v>33</v>
      </c>
      <c r="G124" s="2" t="str">
        <f t="shared" si="1"/>
        <v>TERRAPIN BEER COMPANY|MORRIS 2</v>
      </c>
    </row>
    <row r="125" spans="1:7" x14ac:dyDescent="0.2">
      <c r="A125">
        <v>8925</v>
      </c>
      <c r="B125" t="s">
        <v>151</v>
      </c>
      <c r="C125" t="s">
        <v>62</v>
      </c>
      <c r="D125" t="s">
        <v>32</v>
      </c>
      <c r="E125" t="s">
        <v>33</v>
      </c>
      <c r="G125" s="2" t="str">
        <f t="shared" si="1"/>
        <v>MOOSEHEAD|MORRIS 2</v>
      </c>
    </row>
    <row r="126" spans="1:7" x14ac:dyDescent="0.2">
      <c r="A126">
        <v>8926</v>
      </c>
      <c r="B126" t="s">
        <v>152</v>
      </c>
      <c r="C126" t="s">
        <v>62</v>
      </c>
      <c r="D126" t="s">
        <v>32</v>
      </c>
      <c r="E126" t="s">
        <v>33</v>
      </c>
      <c r="G126" s="2" t="str">
        <f t="shared" si="1"/>
        <v>PRESS|MORRIS 2</v>
      </c>
    </row>
    <row r="127" spans="1:7" x14ac:dyDescent="0.2">
      <c r="A127">
        <v>8927</v>
      </c>
      <c r="B127" t="s">
        <v>153</v>
      </c>
      <c r="C127" t="s">
        <v>62</v>
      </c>
      <c r="D127" t="s">
        <v>32</v>
      </c>
      <c r="E127" t="s">
        <v>33</v>
      </c>
      <c r="G127" s="2" t="str">
        <f t="shared" si="1"/>
        <v>DG YUENGLING INC|MORRIS 2</v>
      </c>
    </row>
    <row r="128" spans="1:7" x14ac:dyDescent="0.2">
      <c r="A128">
        <v>8938</v>
      </c>
      <c r="B128" t="s">
        <v>154</v>
      </c>
      <c r="C128" t="s">
        <v>62</v>
      </c>
      <c r="D128" t="s">
        <v>32</v>
      </c>
      <c r="E128" t="s">
        <v>33</v>
      </c>
      <c r="G128" s="2" t="str">
        <f t="shared" si="1"/>
        <v>HEINEKEN USA|MORRIS 2</v>
      </c>
    </row>
    <row r="129" spans="1:7" x14ac:dyDescent="0.2">
      <c r="A129">
        <v>8939</v>
      </c>
      <c r="B129" t="s">
        <v>155</v>
      </c>
      <c r="C129" t="s">
        <v>62</v>
      </c>
      <c r="D129" t="s">
        <v>32</v>
      </c>
      <c r="E129" t="s">
        <v>33</v>
      </c>
      <c r="G129" s="2" t="str">
        <f t="shared" si="1"/>
        <v>HEINEKEN DARK|MORRIS 2</v>
      </c>
    </row>
    <row r="130" spans="1:7" x14ac:dyDescent="0.2">
      <c r="A130">
        <v>8940</v>
      </c>
      <c r="B130" t="s">
        <v>156</v>
      </c>
      <c r="C130" t="s">
        <v>62</v>
      </c>
      <c r="D130" t="s">
        <v>32</v>
      </c>
      <c r="E130" t="s">
        <v>33</v>
      </c>
      <c r="G130" s="2" t="str">
        <f t="shared" si="1"/>
        <v>HEINEKEN LIGHT|MORRIS 2</v>
      </c>
    </row>
    <row r="131" spans="1:7" x14ac:dyDescent="0.2">
      <c r="A131">
        <v>8941</v>
      </c>
      <c r="B131" t="s">
        <v>157</v>
      </c>
      <c r="C131" t="s">
        <v>62</v>
      </c>
      <c r="D131" t="s">
        <v>32</v>
      </c>
      <c r="E131" t="s">
        <v>33</v>
      </c>
      <c r="G131" s="2" t="str">
        <f t="shared" si="1"/>
        <v>AMSTEL|MORRIS 2</v>
      </c>
    </row>
    <row r="132" spans="1:7" x14ac:dyDescent="0.2">
      <c r="A132">
        <v>8942</v>
      </c>
      <c r="B132" t="s">
        <v>158</v>
      </c>
      <c r="C132" t="s">
        <v>62</v>
      </c>
      <c r="D132" t="s">
        <v>32</v>
      </c>
      <c r="E132" t="s">
        <v>33</v>
      </c>
      <c r="G132" s="2" t="str">
        <f t="shared" si="1"/>
        <v>NEWCASTLE|MORRIS 2</v>
      </c>
    </row>
    <row r="133" spans="1:7" x14ac:dyDescent="0.2">
      <c r="A133">
        <v>8943</v>
      </c>
      <c r="B133" t="s">
        <v>159</v>
      </c>
      <c r="C133" t="s">
        <v>62</v>
      </c>
      <c r="D133" t="s">
        <v>32</v>
      </c>
      <c r="E133" t="s">
        <v>33</v>
      </c>
      <c r="G133" s="2" t="str">
        <f t="shared" si="1"/>
        <v>BUCKLER|MORRIS 2</v>
      </c>
    </row>
    <row r="134" spans="1:7" x14ac:dyDescent="0.2">
      <c r="A134">
        <v>8944</v>
      </c>
      <c r="B134" t="s">
        <v>160</v>
      </c>
      <c r="C134" t="s">
        <v>62</v>
      </c>
      <c r="D134" t="s">
        <v>32</v>
      </c>
      <c r="E134" t="s">
        <v>33</v>
      </c>
      <c r="G134" s="2" t="str">
        <f t="shared" si="1"/>
        <v>STRONGBOW|MORRIS 2</v>
      </c>
    </row>
    <row r="135" spans="1:7" x14ac:dyDescent="0.2">
      <c r="A135">
        <v>8945</v>
      </c>
      <c r="B135" t="s">
        <v>161</v>
      </c>
      <c r="C135" t="s">
        <v>62</v>
      </c>
      <c r="D135" t="s">
        <v>32</v>
      </c>
      <c r="E135" t="s">
        <v>33</v>
      </c>
      <c r="G135" s="2" t="str">
        <f t="shared" ref="G135:G198" si="2">UPPER(B135)&amp;"|"&amp;UPPER(C135)</f>
        <v>MURPHY'S|MORRIS 2</v>
      </c>
    </row>
    <row r="136" spans="1:7" x14ac:dyDescent="0.2">
      <c r="A136">
        <v>8946</v>
      </c>
      <c r="B136" t="s">
        <v>162</v>
      </c>
      <c r="C136" t="s">
        <v>62</v>
      </c>
      <c r="D136" t="s">
        <v>32</v>
      </c>
      <c r="E136" t="s">
        <v>33</v>
      </c>
      <c r="G136" s="2" t="str">
        <f t="shared" si="2"/>
        <v>TIGER|MORRIS 2</v>
      </c>
    </row>
    <row r="137" spans="1:7" x14ac:dyDescent="0.2">
      <c r="A137">
        <v>8947</v>
      </c>
      <c r="B137" t="s">
        <v>163</v>
      </c>
      <c r="C137" t="s">
        <v>62</v>
      </c>
      <c r="D137" t="s">
        <v>32</v>
      </c>
      <c r="E137" t="s">
        <v>33</v>
      </c>
      <c r="G137" s="2" t="str">
        <f t="shared" si="2"/>
        <v>RED STRIPE|MORRIS 2</v>
      </c>
    </row>
    <row r="138" spans="1:7" x14ac:dyDescent="0.2">
      <c r="A138">
        <v>8948</v>
      </c>
      <c r="B138" t="s">
        <v>164</v>
      </c>
      <c r="C138" t="s">
        <v>62</v>
      </c>
      <c r="D138" t="s">
        <v>32</v>
      </c>
      <c r="E138" t="s">
        <v>33</v>
      </c>
      <c r="G138" s="2" t="str">
        <f t="shared" si="2"/>
        <v>BIRRA MORETTI|MORRIS 2</v>
      </c>
    </row>
    <row r="139" spans="1:7" x14ac:dyDescent="0.2">
      <c r="A139">
        <v>8949</v>
      </c>
      <c r="B139" t="s">
        <v>165</v>
      </c>
      <c r="C139" t="s">
        <v>62</v>
      </c>
      <c r="D139" t="s">
        <v>32</v>
      </c>
      <c r="E139" t="s">
        <v>33</v>
      </c>
      <c r="G139" s="2" t="str">
        <f t="shared" si="2"/>
        <v>AFFLIGEM|MORRIS 2</v>
      </c>
    </row>
    <row r="140" spans="1:7" x14ac:dyDescent="0.2">
      <c r="A140">
        <v>8952</v>
      </c>
      <c r="B140" t="s">
        <v>166</v>
      </c>
      <c r="C140" t="s">
        <v>62</v>
      </c>
      <c r="D140" t="s">
        <v>32</v>
      </c>
      <c r="E140" t="s">
        <v>33</v>
      </c>
      <c r="G140" s="2" t="str">
        <f t="shared" si="2"/>
        <v>CERVEZAS DE MEXICO|MORRIS 2</v>
      </c>
    </row>
    <row r="141" spans="1:7" x14ac:dyDescent="0.2">
      <c r="A141">
        <v>8953</v>
      </c>
      <c r="B141" t="s">
        <v>167</v>
      </c>
      <c r="C141" t="s">
        <v>62</v>
      </c>
      <c r="D141" t="s">
        <v>32</v>
      </c>
      <c r="E141" t="s">
        <v>33</v>
      </c>
      <c r="G141" s="2" t="str">
        <f t="shared" si="2"/>
        <v>TECATE|MORRIS 2</v>
      </c>
    </row>
    <row r="142" spans="1:7" x14ac:dyDescent="0.2">
      <c r="A142">
        <v>8954</v>
      </c>
      <c r="B142" t="s">
        <v>168</v>
      </c>
      <c r="C142" t="s">
        <v>62</v>
      </c>
      <c r="D142" t="s">
        <v>32</v>
      </c>
      <c r="E142" t="s">
        <v>33</v>
      </c>
      <c r="G142" s="2" t="str">
        <f t="shared" si="2"/>
        <v>BOHEMIA|MORRIS 2</v>
      </c>
    </row>
    <row r="143" spans="1:7" x14ac:dyDescent="0.2">
      <c r="A143">
        <v>8955</v>
      </c>
      <c r="B143" t="s">
        <v>169</v>
      </c>
      <c r="C143" t="s">
        <v>62</v>
      </c>
      <c r="D143" t="s">
        <v>32</v>
      </c>
      <c r="E143" t="s">
        <v>33</v>
      </c>
      <c r="G143" s="2" t="str">
        <f t="shared" si="2"/>
        <v>CARTA BLANCA|MORRIS 2</v>
      </c>
    </row>
    <row r="144" spans="1:7" x14ac:dyDescent="0.2">
      <c r="A144">
        <v>8956</v>
      </c>
      <c r="B144" t="s">
        <v>170</v>
      </c>
      <c r="C144" t="s">
        <v>62</v>
      </c>
      <c r="D144" t="s">
        <v>32</v>
      </c>
      <c r="E144" t="s">
        <v>33</v>
      </c>
      <c r="G144" s="2" t="str">
        <f t="shared" si="2"/>
        <v>TECATE LIGHT|MORRIS 2</v>
      </c>
    </row>
    <row r="145" spans="1:7" x14ac:dyDescent="0.2">
      <c r="A145">
        <v>8957</v>
      </c>
      <c r="B145" t="s">
        <v>171</v>
      </c>
      <c r="C145" t="s">
        <v>62</v>
      </c>
      <c r="D145" t="s">
        <v>32</v>
      </c>
      <c r="E145" t="s">
        <v>33</v>
      </c>
      <c r="G145" s="2" t="str">
        <f t="shared" si="2"/>
        <v>SAGRES CERVEJA|MORRIS 2</v>
      </c>
    </row>
    <row r="146" spans="1:7" x14ac:dyDescent="0.2">
      <c r="A146">
        <v>8958</v>
      </c>
      <c r="B146" t="s">
        <v>172</v>
      </c>
      <c r="C146" t="s">
        <v>62</v>
      </c>
      <c r="D146" t="s">
        <v>32</v>
      </c>
      <c r="E146" t="s">
        <v>33</v>
      </c>
      <c r="G146" s="2" t="str">
        <f t="shared" si="2"/>
        <v>PRESTIGE LAGER|MORRIS 2</v>
      </c>
    </row>
    <row r="147" spans="1:7" x14ac:dyDescent="0.2">
      <c r="A147">
        <v>8959</v>
      </c>
      <c r="B147" t="s">
        <v>173</v>
      </c>
      <c r="C147" t="s">
        <v>62</v>
      </c>
      <c r="D147" t="s">
        <v>32</v>
      </c>
      <c r="E147" t="s">
        <v>33</v>
      </c>
      <c r="G147" s="2" t="str">
        <f t="shared" si="2"/>
        <v>HEINEKEN 0.0|MORRIS 2</v>
      </c>
    </row>
    <row r="148" spans="1:7" x14ac:dyDescent="0.2">
      <c r="A148">
        <v>8961</v>
      </c>
      <c r="B148" t="s">
        <v>30</v>
      </c>
      <c r="C148" t="s">
        <v>62</v>
      </c>
      <c r="D148" t="s">
        <v>32</v>
      </c>
      <c r="E148" t="s">
        <v>33</v>
      </c>
      <c r="G148" s="2" t="str">
        <f t="shared" si="2"/>
        <v>ANCHOR|MORRIS 2</v>
      </c>
    </row>
    <row r="149" spans="1:7" x14ac:dyDescent="0.2">
      <c r="A149">
        <v>8962</v>
      </c>
      <c r="B149" t="s">
        <v>34</v>
      </c>
      <c r="C149" t="s">
        <v>62</v>
      </c>
      <c r="D149" t="s">
        <v>32</v>
      </c>
      <c r="E149" t="s">
        <v>33</v>
      </c>
      <c r="G149" s="2" t="str">
        <f t="shared" si="2"/>
        <v>FAMOSA|MORRIS 2</v>
      </c>
    </row>
    <row r="150" spans="1:7" x14ac:dyDescent="0.2">
      <c r="A150">
        <v>8963</v>
      </c>
      <c r="B150" t="s">
        <v>35</v>
      </c>
      <c r="C150" t="s">
        <v>62</v>
      </c>
      <c r="D150" t="s">
        <v>32</v>
      </c>
      <c r="E150" t="s">
        <v>33</v>
      </c>
      <c r="G150" s="2" t="str">
        <f t="shared" si="2"/>
        <v>GENESEE|MORRIS 2</v>
      </c>
    </row>
    <row r="151" spans="1:7" x14ac:dyDescent="0.2">
      <c r="A151">
        <v>8964</v>
      </c>
      <c r="B151" t="s">
        <v>36</v>
      </c>
      <c r="C151" t="s">
        <v>62</v>
      </c>
      <c r="D151" t="s">
        <v>32</v>
      </c>
      <c r="E151" t="s">
        <v>33</v>
      </c>
      <c r="G151" s="2" t="str">
        <f t="shared" si="2"/>
        <v>HONEY BROWN|MORRIS 2</v>
      </c>
    </row>
    <row r="152" spans="1:7" x14ac:dyDescent="0.2">
      <c r="A152">
        <v>8965</v>
      </c>
      <c r="B152" t="s">
        <v>37</v>
      </c>
      <c r="C152" t="s">
        <v>62</v>
      </c>
      <c r="D152" t="s">
        <v>32</v>
      </c>
      <c r="E152" t="s">
        <v>33</v>
      </c>
      <c r="G152" s="2" t="str">
        <f t="shared" si="2"/>
        <v>IMPERIAL|MORRIS 2</v>
      </c>
    </row>
    <row r="153" spans="1:7" x14ac:dyDescent="0.2">
      <c r="A153">
        <v>8966</v>
      </c>
      <c r="B153" t="s">
        <v>38</v>
      </c>
      <c r="C153" t="s">
        <v>62</v>
      </c>
      <c r="D153" t="s">
        <v>32</v>
      </c>
      <c r="E153" t="s">
        <v>33</v>
      </c>
      <c r="G153" s="2" t="str">
        <f t="shared" si="2"/>
        <v>MISISSIPPI|MORRIS 2</v>
      </c>
    </row>
    <row r="154" spans="1:7" x14ac:dyDescent="0.2">
      <c r="A154">
        <v>8967</v>
      </c>
      <c r="B154" t="s">
        <v>39</v>
      </c>
      <c r="C154" t="s">
        <v>62</v>
      </c>
      <c r="D154" t="s">
        <v>32</v>
      </c>
      <c r="E154" t="s">
        <v>33</v>
      </c>
      <c r="G154" s="2" t="str">
        <f t="shared" si="2"/>
        <v>CZECHVAR|MORRIS 2</v>
      </c>
    </row>
    <row r="155" spans="1:7" x14ac:dyDescent="0.2">
      <c r="A155">
        <v>8968</v>
      </c>
      <c r="B155" t="s">
        <v>40</v>
      </c>
      <c r="C155" t="s">
        <v>62</v>
      </c>
      <c r="D155" t="s">
        <v>32</v>
      </c>
      <c r="E155" t="s">
        <v>33</v>
      </c>
      <c r="G155" s="2" t="str">
        <f t="shared" si="2"/>
        <v>DAURA|MORRIS 2</v>
      </c>
    </row>
    <row r="156" spans="1:7" x14ac:dyDescent="0.2">
      <c r="A156">
        <v>8969</v>
      </c>
      <c r="B156" t="s">
        <v>41</v>
      </c>
      <c r="C156" t="s">
        <v>62</v>
      </c>
      <c r="D156" t="s">
        <v>32</v>
      </c>
      <c r="E156" t="s">
        <v>33</v>
      </c>
      <c r="G156" s="2" t="str">
        <f t="shared" si="2"/>
        <v>ESTRELLA|MORRIS 2</v>
      </c>
    </row>
    <row r="157" spans="1:7" x14ac:dyDescent="0.2">
      <c r="A157">
        <v>8970</v>
      </c>
      <c r="B157" t="s">
        <v>42</v>
      </c>
      <c r="C157" t="s">
        <v>62</v>
      </c>
      <c r="D157" t="s">
        <v>32</v>
      </c>
      <c r="E157" t="s">
        <v>33</v>
      </c>
      <c r="G157" s="2" t="str">
        <f t="shared" si="2"/>
        <v>INEDIT|MORRIS 2</v>
      </c>
    </row>
    <row r="158" spans="1:7" x14ac:dyDescent="0.2">
      <c r="A158">
        <v>8972</v>
      </c>
      <c r="B158" t="s">
        <v>43</v>
      </c>
      <c r="C158" t="s">
        <v>62</v>
      </c>
      <c r="D158" t="s">
        <v>32</v>
      </c>
      <c r="E158" t="s">
        <v>33</v>
      </c>
      <c r="G158" s="2" t="str">
        <f t="shared" si="2"/>
        <v>FLYING FISH|MORRIS 2</v>
      </c>
    </row>
    <row r="159" spans="1:7" x14ac:dyDescent="0.2">
      <c r="A159">
        <v>8973</v>
      </c>
      <c r="B159" t="s">
        <v>174</v>
      </c>
      <c r="C159" t="s">
        <v>62</v>
      </c>
      <c r="D159" t="s">
        <v>32</v>
      </c>
      <c r="E159" t="s">
        <v>33</v>
      </c>
      <c r="G159" s="2" t="str">
        <f t="shared" si="2"/>
        <v>BASIC|MORRIS 2</v>
      </c>
    </row>
    <row r="160" spans="1:7" x14ac:dyDescent="0.2">
      <c r="A160">
        <v>8974</v>
      </c>
      <c r="B160" t="s">
        <v>175</v>
      </c>
      <c r="C160" t="s">
        <v>62</v>
      </c>
      <c r="D160" t="s">
        <v>32</v>
      </c>
      <c r="E160" t="s">
        <v>33</v>
      </c>
      <c r="G160" s="2" t="str">
        <f t="shared" si="2"/>
        <v>MAMITA'S|MORRIS 2</v>
      </c>
    </row>
    <row r="161" spans="1:7" x14ac:dyDescent="0.2">
      <c r="A161">
        <v>8975</v>
      </c>
      <c r="B161" t="s">
        <v>176</v>
      </c>
      <c r="C161" t="s">
        <v>62</v>
      </c>
      <c r="D161" t="s">
        <v>32</v>
      </c>
      <c r="E161" t="s">
        <v>33</v>
      </c>
      <c r="G161" s="2" t="str">
        <f t="shared" si="2"/>
        <v>FOUR LOKO|MORRIS 2</v>
      </c>
    </row>
    <row r="162" spans="1:7" x14ac:dyDescent="0.2">
      <c r="A162">
        <v>8976</v>
      </c>
      <c r="B162" t="s">
        <v>177</v>
      </c>
      <c r="C162" t="s">
        <v>62</v>
      </c>
      <c r="D162" t="s">
        <v>32</v>
      </c>
      <c r="E162" t="s">
        <v>33</v>
      </c>
      <c r="G162" s="2" t="str">
        <f t="shared" si="2"/>
        <v>EARTHQUAKE|MORRIS 2</v>
      </c>
    </row>
    <row r="163" spans="1:7" x14ac:dyDescent="0.2">
      <c r="A163">
        <v>8977</v>
      </c>
      <c r="B163" t="s">
        <v>178</v>
      </c>
      <c r="C163" t="s">
        <v>62</v>
      </c>
      <c r="D163" t="s">
        <v>32</v>
      </c>
      <c r="E163" t="s">
        <v>33</v>
      </c>
      <c r="G163" s="2" t="str">
        <f t="shared" si="2"/>
        <v>MOSKATO|MORRIS 2</v>
      </c>
    </row>
    <row r="164" spans="1:7" x14ac:dyDescent="0.2">
      <c r="A164">
        <v>8978</v>
      </c>
      <c r="B164" t="s">
        <v>179</v>
      </c>
      <c r="C164" t="s">
        <v>62</v>
      </c>
      <c r="D164" t="s">
        <v>32</v>
      </c>
      <c r="E164" t="s">
        <v>33</v>
      </c>
      <c r="G164" s="2" t="str">
        <f t="shared" si="2"/>
        <v>SIGNTURE COCKT|MORRIS 2</v>
      </c>
    </row>
    <row r="165" spans="1:7" x14ac:dyDescent="0.2">
      <c r="A165">
        <v>8979</v>
      </c>
      <c r="B165" t="s">
        <v>180</v>
      </c>
      <c r="C165" t="s">
        <v>62</v>
      </c>
      <c r="D165" t="s">
        <v>32</v>
      </c>
      <c r="E165" t="s">
        <v>33</v>
      </c>
      <c r="G165" s="2" t="str">
        <f t="shared" si="2"/>
        <v>BARTENDER SERIES|MORRIS 2</v>
      </c>
    </row>
    <row r="166" spans="1:7" x14ac:dyDescent="0.2">
      <c r="A166">
        <v>8980</v>
      </c>
      <c r="B166" t="s">
        <v>181</v>
      </c>
      <c r="C166" t="s">
        <v>62</v>
      </c>
      <c r="D166" t="s">
        <v>32</v>
      </c>
      <c r="E166" t="s">
        <v>33</v>
      </c>
      <c r="G166" s="2" t="str">
        <f t="shared" si="2"/>
        <v>JOHN DALY|MORRIS 2</v>
      </c>
    </row>
    <row r="167" spans="1:7" x14ac:dyDescent="0.2">
      <c r="A167">
        <v>8981</v>
      </c>
      <c r="B167" t="s">
        <v>182</v>
      </c>
      <c r="C167" t="s">
        <v>62</v>
      </c>
      <c r="D167" t="s">
        <v>32</v>
      </c>
      <c r="E167" t="s">
        <v>33</v>
      </c>
      <c r="G167" s="2" t="str">
        <f t="shared" si="2"/>
        <v>HARD FRESCO|MORRIS 2</v>
      </c>
    </row>
    <row r="168" spans="1:7" x14ac:dyDescent="0.2">
      <c r="A168">
        <v>8982</v>
      </c>
      <c r="B168" t="s">
        <v>44</v>
      </c>
      <c r="C168" t="s">
        <v>62</v>
      </c>
      <c r="D168" t="s">
        <v>32</v>
      </c>
      <c r="E168" t="s">
        <v>33</v>
      </c>
      <c r="G168" s="2" t="str">
        <f t="shared" si="2"/>
        <v>BOLD ROCK|MORRIS 2</v>
      </c>
    </row>
    <row r="169" spans="1:7" x14ac:dyDescent="0.2">
      <c r="A169">
        <v>8983</v>
      </c>
      <c r="B169" t="s">
        <v>45</v>
      </c>
      <c r="C169" t="s">
        <v>62</v>
      </c>
      <c r="D169" t="s">
        <v>32</v>
      </c>
      <c r="E169" t="s">
        <v>33</v>
      </c>
      <c r="G169" s="2" t="str">
        <f t="shared" si="2"/>
        <v>CITIZEN CIDER|MORRIS 2</v>
      </c>
    </row>
    <row r="170" spans="1:7" x14ac:dyDescent="0.2">
      <c r="A170">
        <v>8984</v>
      </c>
      <c r="B170" t="s">
        <v>46</v>
      </c>
      <c r="C170" t="s">
        <v>62</v>
      </c>
      <c r="D170" t="s">
        <v>32</v>
      </c>
      <c r="E170" t="s">
        <v>33</v>
      </c>
      <c r="G170" s="2" t="str">
        <f t="shared" si="2"/>
        <v>ITHACA|MORRIS 2</v>
      </c>
    </row>
    <row r="171" spans="1:7" x14ac:dyDescent="0.2">
      <c r="A171">
        <v>8985</v>
      </c>
      <c r="B171" t="s">
        <v>47</v>
      </c>
      <c r="C171" t="s">
        <v>62</v>
      </c>
      <c r="D171" t="s">
        <v>32</v>
      </c>
      <c r="E171" t="s">
        <v>33</v>
      </c>
      <c r="G171" s="2" t="str">
        <f t="shared" si="2"/>
        <v>OTTER CREEK|MORRIS 2</v>
      </c>
    </row>
    <row r="172" spans="1:7" x14ac:dyDescent="0.2">
      <c r="A172">
        <v>8986</v>
      </c>
      <c r="B172" t="s">
        <v>48</v>
      </c>
      <c r="C172" t="s">
        <v>62</v>
      </c>
      <c r="D172" t="s">
        <v>32</v>
      </c>
      <c r="E172" t="s">
        <v>33</v>
      </c>
      <c r="G172" s="2" t="str">
        <f t="shared" si="2"/>
        <v>SHED|MORRIS 2</v>
      </c>
    </row>
    <row r="173" spans="1:7" x14ac:dyDescent="0.2">
      <c r="A173">
        <v>8987</v>
      </c>
      <c r="B173" t="s">
        <v>49</v>
      </c>
      <c r="C173" t="s">
        <v>62</v>
      </c>
      <c r="D173" t="s">
        <v>32</v>
      </c>
      <c r="E173" t="s">
        <v>33</v>
      </c>
      <c r="G173" s="2" t="str">
        <f t="shared" si="2"/>
        <v>MCKENZIE'S|MORRIS 2</v>
      </c>
    </row>
    <row r="174" spans="1:7" x14ac:dyDescent="0.2">
      <c r="A174">
        <v>8988</v>
      </c>
      <c r="B174" t="s">
        <v>50</v>
      </c>
      <c r="C174" t="s">
        <v>62</v>
      </c>
      <c r="D174" t="s">
        <v>32</v>
      </c>
      <c r="E174" t="s">
        <v>33</v>
      </c>
      <c r="G174" s="2" t="str">
        <f t="shared" si="2"/>
        <v>OLD SPECKLED HEN|MORRIS 2</v>
      </c>
    </row>
    <row r="175" spans="1:7" x14ac:dyDescent="0.2">
      <c r="A175">
        <v>8989</v>
      </c>
      <c r="B175" t="s">
        <v>51</v>
      </c>
      <c r="C175" t="s">
        <v>62</v>
      </c>
      <c r="D175" t="s">
        <v>32</v>
      </c>
      <c r="E175" t="s">
        <v>33</v>
      </c>
      <c r="G175" s="2" t="str">
        <f t="shared" si="2"/>
        <v>HACKER-PSCHORR|MORRIS 2</v>
      </c>
    </row>
    <row r="176" spans="1:7" x14ac:dyDescent="0.2">
      <c r="A176">
        <v>8990</v>
      </c>
      <c r="B176" t="s">
        <v>52</v>
      </c>
      <c r="C176" t="s">
        <v>62</v>
      </c>
      <c r="D176" t="s">
        <v>32</v>
      </c>
      <c r="E176" t="s">
        <v>33</v>
      </c>
      <c r="G176" s="2" t="str">
        <f t="shared" si="2"/>
        <v>PAULANER|MORRIS 2</v>
      </c>
    </row>
    <row r="177" spans="1:7" x14ac:dyDescent="0.2">
      <c r="A177">
        <v>8991</v>
      </c>
      <c r="B177" t="s">
        <v>53</v>
      </c>
      <c r="C177" t="s">
        <v>62</v>
      </c>
      <c r="D177" t="s">
        <v>32</v>
      </c>
      <c r="E177" t="s">
        <v>33</v>
      </c>
      <c r="G177" s="2" t="str">
        <f t="shared" si="2"/>
        <v>FRULI|MORRIS 2</v>
      </c>
    </row>
    <row r="178" spans="1:7" x14ac:dyDescent="0.2">
      <c r="A178">
        <v>8992</v>
      </c>
      <c r="B178" t="s">
        <v>54</v>
      </c>
      <c r="C178" t="s">
        <v>62</v>
      </c>
      <c r="D178" t="s">
        <v>32</v>
      </c>
      <c r="E178" t="s">
        <v>33</v>
      </c>
      <c r="G178" s="2" t="str">
        <f t="shared" si="2"/>
        <v>OHARA'S|MORRIS 2</v>
      </c>
    </row>
    <row r="179" spans="1:7" x14ac:dyDescent="0.2">
      <c r="A179">
        <v>8993</v>
      </c>
      <c r="B179" t="s">
        <v>55</v>
      </c>
      <c r="C179" t="s">
        <v>62</v>
      </c>
      <c r="D179" t="s">
        <v>32</v>
      </c>
      <c r="E179" t="s">
        <v>33</v>
      </c>
      <c r="G179" s="2" t="str">
        <f t="shared" si="2"/>
        <v>UNIBROUE|MORRIS 2</v>
      </c>
    </row>
    <row r="180" spans="1:7" x14ac:dyDescent="0.2">
      <c r="A180">
        <v>8994</v>
      </c>
      <c r="B180" t="s">
        <v>9</v>
      </c>
      <c r="C180" t="s">
        <v>62</v>
      </c>
      <c r="D180" t="s">
        <v>32</v>
      </c>
      <c r="E180" t="s">
        <v>33</v>
      </c>
      <c r="G180" s="2" t="str">
        <f t="shared" si="2"/>
        <v>SEA DOG|MORRIS 2</v>
      </c>
    </row>
    <row r="181" spans="1:7" x14ac:dyDescent="0.2">
      <c r="A181">
        <v>8995</v>
      </c>
      <c r="B181" t="s">
        <v>56</v>
      </c>
      <c r="C181" t="s">
        <v>62</v>
      </c>
      <c r="D181" t="s">
        <v>32</v>
      </c>
      <c r="E181" t="s">
        <v>33</v>
      </c>
      <c r="G181" s="2" t="str">
        <f t="shared" si="2"/>
        <v>SHIPYARD|MORRIS 2</v>
      </c>
    </row>
    <row r="182" spans="1:7" x14ac:dyDescent="0.2">
      <c r="A182">
        <v>8996</v>
      </c>
      <c r="B182" t="s">
        <v>57</v>
      </c>
      <c r="C182" t="s">
        <v>62</v>
      </c>
      <c r="D182" t="s">
        <v>32</v>
      </c>
      <c r="E182" t="s">
        <v>33</v>
      </c>
      <c r="G182" s="2" t="str">
        <f t="shared" si="2"/>
        <v>SOUTHERN TIER|MORRIS 2</v>
      </c>
    </row>
    <row r="183" spans="1:7" x14ac:dyDescent="0.2">
      <c r="A183">
        <v>8997</v>
      </c>
      <c r="B183" t="s">
        <v>58</v>
      </c>
      <c r="C183" t="s">
        <v>62</v>
      </c>
      <c r="D183" t="s">
        <v>32</v>
      </c>
      <c r="E183" t="s">
        <v>33</v>
      </c>
      <c r="G183" s="2" t="str">
        <f t="shared" si="2"/>
        <v>BANKS|MORRIS 2</v>
      </c>
    </row>
    <row r="184" spans="1:7" x14ac:dyDescent="0.2">
      <c r="A184">
        <v>8998</v>
      </c>
      <c r="B184" t="s">
        <v>59</v>
      </c>
      <c r="C184" t="s">
        <v>62</v>
      </c>
      <c r="D184" t="s">
        <v>32</v>
      </c>
      <c r="E184" t="s">
        <v>33</v>
      </c>
      <c r="G184" s="2" t="str">
        <f t="shared" si="2"/>
        <v>WEIHENSTEPHANER|MORRIS 2</v>
      </c>
    </row>
    <row r="185" spans="1:7" x14ac:dyDescent="0.2">
      <c r="A185">
        <v>8999</v>
      </c>
      <c r="B185" t="s">
        <v>60</v>
      </c>
      <c r="C185" t="s">
        <v>62</v>
      </c>
      <c r="D185" t="s">
        <v>32</v>
      </c>
      <c r="E185" t="s">
        <v>33</v>
      </c>
      <c r="G185" s="2" t="str">
        <f t="shared" si="2"/>
        <v>VICTORY|MORRIS 2</v>
      </c>
    </row>
    <row r="186" spans="1:7" x14ac:dyDescent="0.2">
      <c r="A186">
        <v>9000</v>
      </c>
      <c r="B186" t="s">
        <v>30</v>
      </c>
      <c r="C186" t="s">
        <v>183</v>
      </c>
      <c r="D186" t="s">
        <v>32</v>
      </c>
      <c r="E186" t="s">
        <v>33</v>
      </c>
      <c r="G186" s="2" t="str">
        <f t="shared" si="2"/>
        <v>ANCHOR|MORRIS 1</v>
      </c>
    </row>
    <row r="187" spans="1:7" x14ac:dyDescent="0.2">
      <c r="A187">
        <v>9001</v>
      </c>
      <c r="B187" t="s">
        <v>34</v>
      </c>
      <c r="C187" t="s">
        <v>183</v>
      </c>
      <c r="D187" t="s">
        <v>32</v>
      </c>
      <c r="E187" t="s">
        <v>33</v>
      </c>
      <c r="G187" s="2" t="str">
        <f t="shared" si="2"/>
        <v>FAMOSA|MORRIS 1</v>
      </c>
    </row>
    <row r="188" spans="1:7" x14ac:dyDescent="0.2">
      <c r="A188">
        <v>9002</v>
      </c>
      <c r="B188" t="s">
        <v>35</v>
      </c>
      <c r="C188" t="s">
        <v>183</v>
      </c>
      <c r="D188" t="s">
        <v>32</v>
      </c>
      <c r="E188" t="s">
        <v>33</v>
      </c>
      <c r="G188" s="2" t="str">
        <f t="shared" si="2"/>
        <v>GENESEE|MORRIS 1</v>
      </c>
    </row>
    <row r="189" spans="1:7" x14ac:dyDescent="0.2">
      <c r="A189">
        <v>9003</v>
      </c>
      <c r="B189" t="s">
        <v>36</v>
      </c>
      <c r="C189" t="s">
        <v>183</v>
      </c>
      <c r="D189" t="s">
        <v>32</v>
      </c>
      <c r="E189" t="s">
        <v>33</v>
      </c>
      <c r="G189" s="2" t="str">
        <f t="shared" si="2"/>
        <v>HONEY BROWN|MORRIS 1</v>
      </c>
    </row>
    <row r="190" spans="1:7" x14ac:dyDescent="0.2">
      <c r="A190">
        <v>9004</v>
      </c>
      <c r="B190" t="s">
        <v>37</v>
      </c>
      <c r="C190" t="s">
        <v>183</v>
      </c>
      <c r="D190" t="s">
        <v>32</v>
      </c>
      <c r="E190" t="s">
        <v>33</v>
      </c>
      <c r="G190" s="2" t="str">
        <f t="shared" si="2"/>
        <v>IMPERIAL|MORRIS 1</v>
      </c>
    </row>
    <row r="191" spans="1:7" x14ac:dyDescent="0.2">
      <c r="A191">
        <v>9005</v>
      </c>
      <c r="B191" t="s">
        <v>154</v>
      </c>
      <c r="C191" t="s">
        <v>183</v>
      </c>
      <c r="D191" t="s">
        <v>32</v>
      </c>
      <c r="E191" t="s">
        <v>33</v>
      </c>
      <c r="G191" s="2" t="str">
        <f t="shared" si="2"/>
        <v>HEINEKEN USA|MORRIS 1</v>
      </c>
    </row>
    <row r="192" spans="1:7" x14ac:dyDescent="0.2">
      <c r="A192">
        <v>9006</v>
      </c>
      <c r="B192" t="s">
        <v>155</v>
      </c>
      <c r="C192" t="s">
        <v>183</v>
      </c>
      <c r="D192" t="s">
        <v>32</v>
      </c>
      <c r="E192" t="s">
        <v>33</v>
      </c>
      <c r="G192" s="2" t="str">
        <f t="shared" si="2"/>
        <v>HEINEKEN DARK|MORRIS 1</v>
      </c>
    </row>
    <row r="193" spans="1:7" x14ac:dyDescent="0.2">
      <c r="A193">
        <v>9007</v>
      </c>
      <c r="B193" t="s">
        <v>156</v>
      </c>
      <c r="C193" t="s">
        <v>183</v>
      </c>
      <c r="D193" t="s">
        <v>32</v>
      </c>
      <c r="E193" t="s">
        <v>33</v>
      </c>
      <c r="G193" s="2" t="str">
        <f t="shared" si="2"/>
        <v>HEINEKEN LIGHT|MORRIS 1</v>
      </c>
    </row>
    <row r="194" spans="1:7" x14ac:dyDescent="0.2">
      <c r="A194">
        <v>9008</v>
      </c>
      <c r="B194" t="s">
        <v>157</v>
      </c>
      <c r="C194" t="s">
        <v>183</v>
      </c>
      <c r="D194" t="s">
        <v>32</v>
      </c>
      <c r="E194" t="s">
        <v>33</v>
      </c>
      <c r="G194" s="2" t="str">
        <f t="shared" si="2"/>
        <v>AMSTEL|MORRIS 1</v>
      </c>
    </row>
    <row r="195" spans="1:7" x14ac:dyDescent="0.2">
      <c r="A195">
        <v>9009</v>
      </c>
      <c r="B195" t="s">
        <v>158</v>
      </c>
      <c r="C195" t="s">
        <v>183</v>
      </c>
      <c r="D195" t="s">
        <v>32</v>
      </c>
      <c r="E195" t="s">
        <v>33</v>
      </c>
      <c r="G195" s="2" t="str">
        <f t="shared" si="2"/>
        <v>NEWCASTLE|MORRIS 1</v>
      </c>
    </row>
    <row r="196" spans="1:7" x14ac:dyDescent="0.2">
      <c r="A196">
        <v>9010</v>
      </c>
      <c r="B196" t="s">
        <v>159</v>
      </c>
      <c r="C196" t="s">
        <v>183</v>
      </c>
      <c r="D196" t="s">
        <v>32</v>
      </c>
      <c r="E196" t="s">
        <v>33</v>
      </c>
      <c r="G196" s="2" t="str">
        <f t="shared" si="2"/>
        <v>BUCKLER|MORRIS 1</v>
      </c>
    </row>
    <row r="197" spans="1:7" x14ac:dyDescent="0.2">
      <c r="A197">
        <v>9011</v>
      </c>
      <c r="B197" t="s">
        <v>160</v>
      </c>
      <c r="C197" t="s">
        <v>183</v>
      </c>
      <c r="D197" t="s">
        <v>32</v>
      </c>
      <c r="E197" t="s">
        <v>33</v>
      </c>
      <c r="G197" s="2" t="str">
        <f t="shared" si="2"/>
        <v>STRONGBOW|MORRIS 1</v>
      </c>
    </row>
    <row r="198" spans="1:7" x14ac:dyDescent="0.2">
      <c r="A198">
        <v>9012</v>
      </c>
      <c r="B198" t="s">
        <v>161</v>
      </c>
      <c r="C198" t="s">
        <v>183</v>
      </c>
      <c r="D198" t="s">
        <v>32</v>
      </c>
      <c r="E198" t="s">
        <v>33</v>
      </c>
      <c r="G198" s="2" t="str">
        <f t="shared" si="2"/>
        <v>MURPHY'S|MORRIS 1</v>
      </c>
    </row>
    <row r="199" spans="1:7" x14ac:dyDescent="0.2">
      <c r="A199">
        <v>9013</v>
      </c>
      <c r="B199" t="s">
        <v>162</v>
      </c>
      <c r="C199" t="s">
        <v>183</v>
      </c>
      <c r="D199" t="s">
        <v>32</v>
      </c>
      <c r="E199" t="s">
        <v>33</v>
      </c>
      <c r="G199" s="2" t="str">
        <f t="shared" ref="G199:G262" si="3">UPPER(B199)&amp;"|"&amp;UPPER(C199)</f>
        <v>TIGER|MORRIS 1</v>
      </c>
    </row>
    <row r="200" spans="1:7" x14ac:dyDescent="0.2">
      <c r="A200">
        <v>9014</v>
      </c>
      <c r="B200" t="s">
        <v>163</v>
      </c>
      <c r="C200" t="s">
        <v>183</v>
      </c>
      <c r="D200" t="s">
        <v>32</v>
      </c>
      <c r="E200" t="s">
        <v>33</v>
      </c>
      <c r="G200" s="2" t="str">
        <f t="shared" si="3"/>
        <v>RED STRIPE|MORRIS 1</v>
      </c>
    </row>
    <row r="201" spans="1:7" x14ac:dyDescent="0.2">
      <c r="A201">
        <v>9015</v>
      </c>
      <c r="B201" t="s">
        <v>164</v>
      </c>
      <c r="C201" t="s">
        <v>183</v>
      </c>
      <c r="D201" t="s">
        <v>32</v>
      </c>
      <c r="E201" t="s">
        <v>33</v>
      </c>
      <c r="G201" s="2" t="str">
        <f t="shared" si="3"/>
        <v>BIRRA MORETTI|MORRIS 1</v>
      </c>
    </row>
    <row r="202" spans="1:7" x14ac:dyDescent="0.2">
      <c r="A202">
        <v>9016</v>
      </c>
      <c r="B202" t="s">
        <v>165</v>
      </c>
      <c r="C202" t="s">
        <v>183</v>
      </c>
      <c r="D202" t="s">
        <v>32</v>
      </c>
      <c r="E202" t="s">
        <v>33</v>
      </c>
      <c r="G202" s="2" t="str">
        <f t="shared" si="3"/>
        <v>AFFLIGEM|MORRIS 1</v>
      </c>
    </row>
    <row r="203" spans="1:7" x14ac:dyDescent="0.2">
      <c r="A203">
        <v>9019</v>
      </c>
      <c r="B203" t="s">
        <v>166</v>
      </c>
      <c r="C203" t="s">
        <v>183</v>
      </c>
      <c r="D203" t="s">
        <v>32</v>
      </c>
      <c r="E203" t="s">
        <v>33</v>
      </c>
      <c r="G203" s="2" t="str">
        <f t="shared" si="3"/>
        <v>CERVEZAS DE MEXICO|MORRIS 1</v>
      </c>
    </row>
    <row r="204" spans="1:7" x14ac:dyDescent="0.2">
      <c r="A204">
        <v>9020</v>
      </c>
      <c r="B204" t="s">
        <v>167</v>
      </c>
      <c r="C204" t="s">
        <v>183</v>
      </c>
      <c r="D204" t="s">
        <v>32</v>
      </c>
      <c r="E204" t="s">
        <v>33</v>
      </c>
      <c r="G204" s="2" t="str">
        <f t="shared" si="3"/>
        <v>TECATE|MORRIS 1</v>
      </c>
    </row>
    <row r="205" spans="1:7" x14ac:dyDescent="0.2">
      <c r="A205">
        <v>9021</v>
      </c>
      <c r="B205" t="s">
        <v>168</v>
      </c>
      <c r="C205" t="s">
        <v>183</v>
      </c>
      <c r="D205" t="s">
        <v>32</v>
      </c>
      <c r="E205" t="s">
        <v>33</v>
      </c>
      <c r="G205" s="2" t="str">
        <f t="shared" si="3"/>
        <v>BOHEMIA|MORRIS 1</v>
      </c>
    </row>
    <row r="206" spans="1:7" x14ac:dyDescent="0.2">
      <c r="A206">
        <v>9022</v>
      </c>
      <c r="B206" t="s">
        <v>169</v>
      </c>
      <c r="C206" t="s">
        <v>183</v>
      </c>
      <c r="D206" t="s">
        <v>32</v>
      </c>
      <c r="E206" t="s">
        <v>33</v>
      </c>
      <c r="G206" s="2" t="str">
        <f t="shared" si="3"/>
        <v>CARTA BLANCA|MORRIS 1</v>
      </c>
    </row>
    <row r="207" spans="1:7" x14ac:dyDescent="0.2">
      <c r="A207">
        <v>9023</v>
      </c>
      <c r="B207" t="s">
        <v>170</v>
      </c>
      <c r="C207" t="s">
        <v>183</v>
      </c>
      <c r="D207" t="s">
        <v>32</v>
      </c>
      <c r="E207" t="s">
        <v>33</v>
      </c>
      <c r="G207" s="2" t="str">
        <f t="shared" si="3"/>
        <v>TECATE LIGHT|MORRIS 1</v>
      </c>
    </row>
    <row r="208" spans="1:7" x14ac:dyDescent="0.2">
      <c r="A208">
        <v>9024</v>
      </c>
      <c r="B208" t="s">
        <v>171</v>
      </c>
      <c r="C208" t="s">
        <v>183</v>
      </c>
      <c r="D208" t="s">
        <v>32</v>
      </c>
      <c r="E208" t="s">
        <v>33</v>
      </c>
      <c r="G208" s="2" t="str">
        <f t="shared" si="3"/>
        <v>SAGRES CERVEJA|MORRIS 1</v>
      </c>
    </row>
    <row r="209" spans="1:7" x14ac:dyDescent="0.2">
      <c r="A209">
        <v>9025</v>
      </c>
      <c r="B209" t="s">
        <v>172</v>
      </c>
      <c r="C209" t="s">
        <v>183</v>
      </c>
      <c r="D209" t="s">
        <v>32</v>
      </c>
      <c r="E209" t="s">
        <v>33</v>
      </c>
      <c r="G209" s="2" t="str">
        <f t="shared" si="3"/>
        <v>PRESTIGE LAGER|MORRIS 1</v>
      </c>
    </row>
    <row r="210" spans="1:7" x14ac:dyDescent="0.2">
      <c r="A210">
        <v>9026</v>
      </c>
      <c r="B210" t="s">
        <v>173</v>
      </c>
      <c r="C210" t="s">
        <v>183</v>
      </c>
      <c r="D210" t="s">
        <v>32</v>
      </c>
      <c r="E210" t="s">
        <v>33</v>
      </c>
      <c r="G210" s="2" t="str">
        <f t="shared" si="3"/>
        <v>HEINEKEN 0.0|MORRIS 1</v>
      </c>
    </row>
    <row r="211" spans="1:7" x14ac:dyDescent="0.2">
      <c r="A211">
        <v>9028</v>
      </c>
      <c r="B211" t="s">
        <v>38</v>
      </c>
      <c r="C211" t="s">
        <v>183</v>
      </c>
      <c r="D211" t="s">
        <v>32</v>
      </c>
      <c r="E211" t="s">
        <v>33</v>
      </c>
      <c r="G211" s="2" t="str">
        <f t="shared" si="3"/>
        <v>MISISSIPPI|MORRIS 1</v>
      </c>
    </row>
    <row r="212" spans="1:7" x14ac:dyDescent="0.2">
      <c r="A212">
        <v>9029</v>
      </c>
      <c r="B212" t="s">
        <v>39</v>
      </c>
      <c r="C212" t="s">
        <v>183</v>
      </c>
      <c r="D212" t="s">
        <v>32</v>
      </c>
      <c r="E212" t="s">
        <v>33</v>
      </c>
      <c r="G212" s="2" t="str">
        <f t="shared" si="3"/>
        <v>CZECHVAR|MORRIS 1</v>
      </c>
    </row>
    <row r="213" spans="1:7" x14ac:dyDescent="0.2">
      <c r="A213">
        <v>9030</v>
      </c>
      <c r="B213" t="s">
        <v>40</v>
      </c>
      <c r="C213" t="s">
        <v>183</v>
      </c>
      <c r="D213" t="s">
        <v>32</v>
      </c>
      <c r="E213" t="s">
        <v>33</v>
      </c>
      <c r="G213" s="2" t="str">
        <f t="shared" si="3"/>
        <v>DAURA|MORRIS 1</v>
      </c>
    </row>
    <row r="214" spans="1:7" x14ac:dyDescent="0.2">
      <c r="A214">
        <v>9031</v>
      </c>
      <c r="B214" t="s">
        <v>41</v>
      </c>
      <c r="C214" t="s">
        <v>183</v>
      </c>
      <c r="D214" t="s">
        <v>32</v>
      </c>
      <c r="E214" t="s">
        <v>33</v>
      </c>
      <c r="G214" s="2" t="str">
        <f t="shared" si="3"/>
        <v>ESTRELLA|MORRIS 1</v>
      </c>
    </row>
    <row r="215" spans="1:7" x14ac:dyDescent="0.2">
      <c r="A215">
        <v>9032</v>
      </c>
      <c r="B215" t="s">
        <v>42</v>
      </c>
      <c r="C215" t="s">
        <v>183</v>
      </c>
      <c r="D215" t="s">
        <v>32</v>
      </c>
      <c r="E215" t="s">
        <v>33</v>
      </c>
      <c r="G215" s="2" t="str">
        <f t="shared" si="3"/>
        <v>INEDIT|MORRIS 1</v>
      </c>
    </row>
    <row r="216" spans="1:7" x14ac:dyDescent="0.2">
      <c r="A216">
        <v>9034</v>
      </c>
      <c r="B216" t="s">
        <v>154</v>
      </c>
      <c r="C216" t="s">
        <v>184</v>
      </c>
      <c r="D216" t="s">
        <v>32</v>
      </c>
      <c r="E216" t="s">
        <v>33</v>
      </c>
      <c r="G216" s="2" t="str">
        <f t="shared" si="3"/>
        <v>HEINEKEN USA|SUSSEX</v>
      </c>
    </row>
    <row r="217" spans="1:7" x14ac:dyDescent="0.2">
      <c r="A217">
        <v>9035</v>
      </c>
      <c r="B217" t="s">
        <v>155</v>
      </c>
      <c r="C217" t="s">
        <v>184</v>
      </c>
      <c r="D217" t="s">
        <v>32</v>
      </c>
      <c r="E217" t="s">
        <v>33</v>
      </c>
      <c r="G217" s="2" t="str">
        <f t="shared" si="3"/>
        <v>HEINEKEN DARK|SUSSEX</v>
      </c>
    </row>
    <row r="218" spans="1:7" x14ac:dyDescent="0.2">
      <c r="A218">
        <v>9036</v>
      </c>
      <c r="B218" t="s">
        <v>156</v>
      </c>
      <c r="C218" t="s">
        <v>184</v>
      </c>
      <c r="D218" t="s">
        <v>32</v>
      </c>
      <c r="E218" t="s">
        <v>33</v>
      </c>
      <c r="G218" s="2" t="str">
        <f t="shared" si="3"/>
        <v>HEINEKEN LIGHT|SUSSEX</v>
      </c>
    </row>
    <row r="219" spans="1:7" x14ac:dyDescent="0.2">
      <c r="A219">
        <v>9037</v>
      </c>
      <c r="B219" t="s">
        <v>157</v>
      </c>
      <c r="C219" t="s">
        <v>184</v>
      </c>
      <c r="D219" t="s">
        <v>32</v>
      </c>
      <c r="E219" t="s">
        <v>33</v>
      </c>
      <c r="G219" s="2" t="str">
        <f t="shared" si="3"/>
        <v>AMSTEL|SUSSEX</v>
      </c>
    </row>
    <row r="220" spans="1:7" x14ac:dyDescent="0.2">
      <c r="A220">
        <v>9038</v>
      </c>
      <c r="B220" t="s">
        <v>158</v>
      </c>
      <c r="C220" t="s">
        <v>184</v>
      </c>
      <c r="D220" t="s">
        <v>32</v>
      </c>
      <c r="E220" t="s">
        <v>33</v>
      </c>
      <c r="G220" s="2" t="str">
        <f t="shared" si="3"/>
        <v>NEWCASTLE|SUSSEX</v>
      </c>
    </row>
    <row r="221" spans="1:7" x14ac:dyDescent="0.2">
      <c r="A221">
        <v>9039</v>
      </c>
      <c r="B221" t="s">
        <v>159</v>
      </c>
      <c r="C221" t="s">
        <v>184</v>
      </c>
      <c r="D221" t="s">
        <v>32</v>
      </c>
      <c r="E221" t="s">
        <v>33</v>
      </c>
      <c r="G221" s="2" t="str">
        <f t="shared" si="3"/>
        <v>BUCKLER|SUSSEX</v>
      </c>
    </row>
    <row r="222" spans="1:7" x14ac:dyDescent="0.2">
      <c r="A222">
        <v>9040</v>
      </c>
      <c r="B222" t="s">
        <v>160</v>
      </c>
      <c r="C222" t="s">
        <v>184</v>
      </c>
      <c r="D222" t="s">
        <v>32</v>
      </c>
      <c r="E222" t="s">
        <v>33</v>
      </c>
      <c r="G222" s="2" t="str">
        <f t="shared" si="3"/>
        <v>STRONGBOW|SUSSEX</v>
      </c>
    </row>
    <row r="223" spans="1:7" x14ac:dyDescent="0.2">
      <c r="A223">
        <v>9041</v>
      </c>
      <c r="B223" t="s">
        <v>161</v>
      </c>
      <c r="C223" t="s">
        <v>184</v>
      </c>
      <c r="D223" t="s">
        <v>32</v>
      </c>
      <c r="E223" t="s">
        <v>33</v>
      </c>
      <c r="G223" s="2" t="str">
        <f t="shared" si="3"/>
        <v>MURPHY'S|SUSSEX</v>
      </c>
    </row>
    <row r="224" spans="1:7" x14ac:dyDescent="0.2">
      <c r="A224">
        <v>9042</v>
      </c>
      <c r="B224" t="s">
        <v>162</v>
      </c>
      <c r="C224" t="s">
        <v>184</v>
      </c>
      <c r="D224" t="s">
        <v>32</v>
      </c>
      <c r="E224" t="s">
        <v>33</v>
      </c>
      <c r="G224" s="2" t="str">
        <f t="shared" si="3"/>
        <v>TIGER|SUSSEX</v>
      </c>
    </row>
    <row r="225" spans="1:7" x14ac:dyDescent="0.2">
      <c r="A225">
        <v>9043</v>
      </c>
      <c r="B225" t="s">
        <v>163</v>
      </c>
      <c r="C225" t="s">
        <v>184</v>
      </c>
      <c r="D225" t="s">
        <v>32</v>
      </c>
      <c r="E225" t="s">
        <v>33</v>
      </c>
      <c r="G225" s="2" t="str">
        <f t="shared" si="3"/>
        <v>RED STRIPE|SUSSEX</v>
      </c>
    </row>
    <row r="226" spans="1:7" x14ac:dyDescent="0.2">
      <c r="A226">
        <v>9044</v>
      </c>
      <c r="B226" t="s">
        <v>164</v>
      </c>
      <c r="C226" t="s">
        <v>184</v>
      </c>
      <c r="D226" t="s">
        <v>32</v>
      </c>
      <c r="E226" t="s">
        <v>33</v>
      </c>
      <c r="G226" s="2" t="str">
        <f t="shared" si="3"/>
        <v>BIRRA MORETTI|SUSSEX</v>
      </c>
    </row>
    <row r="227" spans="1:7" x14ac:dyDescent="0.2">
      <c r="A227">
        <v>9045</v>
      </c>
      <c r="B227" t="s">
        <v>165</v>
      </c>
      <c r="C227" t="s">
        <v>184</v>
      </c>
      <c r="D227" t="s">
        <v>32</v>
      </c>
      <c r="E227" t="s">
        <v>33</v>
      </c>
      <c r="G227" s="2" t="str">
        <f t="shared" si="3"/>
        <v>AFFLIGEM|SUSSEX</v>
      </c>
    </row>
    <row r="228" spans="1:7" x14ac:dyDescent="0.2">
      <c r="A228">
        <v>9048</v>
      </c>
      <c r="B228" t="s">
        <v>166</v>
      </c>
      <c r="C228" t="s">
        <v>184</v>
      </c>
      <c r="D228" t="s">
        <v>32</v>
      </c>
      <c r="E228" t="s">
        <v>33</v>
      </c>
      <c r="G228" s="2" t="str">
        <f t="shared" si="3"/>
        <v>CERVEZAS DE MEXICO|SUSSEX</v>
      </c>
    </row>
    <row r="229" spans="1:7" x14ac:dyDescent="0.2">
      <c r="A229">
        <v>9049</v>
      </c>
      <c r="B229" t="s">
        <v>167</v>
      </c>
      <c r="C229" t="s">
        <v>184</v>
      </c>
      <c r="D229" t="s">
        <v>32</v>
      </c>
      <c r="E229" t="s">
        <v>33</v>
      </c>
      <c r="G229" s="2" t="str">
        <f t="shared" si="3"/>
        <v>TECATE|SUSSEX</v>
      </c>
    </row>
    <row r="230" spans="1:7" x14ac:dyDescent="0.2">
      <c r="A230">
        <v>9050</v>
      </c>
      <c r="B230" t="s">
        <v>168</v>
      </c>
      <c r="C230" t="s">
        <v>184</v>
      </c>
      <c r="D230" t="s">
        <v>32</v>
      </c>
      <c r="E230" t="s">
        <v>33</v>
      </c>
      <c r="G230" s="2" t="str">
        <f t="shared" si="3"/>
        <v>BOHEMIA|SUSSEX</v>
      </c>
    </row>
    <row r="231" spans="1:7" x14ac:dyDescent="0.2">
      <c r="A231">
        <v>9051</v>
      </c>
      <c r="B231" t="s">
        <v>169</v>
      </c>
      <c r="C231" t="s">
        <v>184</v>
      </c>
      <c r="D231" t="s">
        <v>32</v>
      </c>
      <c r="E231" t="s">
        <v>33</v>
      </c>
      <c r="G231" s="2" t="str">
        <f t="shared" si="3"/>
        <v>CARTA BLANCA|SUSSEX</v>
      </c>
    </row>
    <row r="232" spans="1:7" x14ac:dyDescent="0.2">
      <c r="A232">
        <v>9052</v>
      </c>
      <c r="B232" t="s">
        <v>170</v>
      </c>
      <c r="C232" t="s">
        <v>184</v>
      </c>
      <c r="D232" t="s">
        <v>32</v>
      </c>
      <c r="E232" t="s">
        <v>33</v>
      </c>
      <c r="G232" s="2" t="str">
        <f t="shared" si="3"/>
        <v>TECATE LIGHT|SUSSEX</v>
      </c>
    </row>
    <row r="233" spans="1:7" x14ac:dyDescent="0.2">
      <c r="A233">
        <v>9053</v>
      </c>
      <c r="B233" t="s">
        <v>171</v>
      </c>
      <c r="C233" t="s">
        <v>184</v>
      </c>
      <c r="D233" t="s">
        <v>32</v>
      </c>
      <c r="E233" t="s">
        <v>33</v>
      </c>
      <c r="G233" s="2" t="str">
        <f t="shared" si="3"/>
        <v>SAGRES CERVEJA|SUSSEX</v>
      </c>
    </row>
    <row r="234" spans="1:7" x14ac:dyDescent="0.2">
      <c r="A234">
        <v>9054</v>
      </c>
      <c r="B234" t="s">
        <v>172</v>
      </c>
      <c r="C234" t="s">
        <v>184</v>
      </c>
      <c r="D234" t="s">
        <v>32</v>
      </c>
      <c r="E234" t="s">
        <v>33</v>
      </c>
      <c r="G234" s="2" t="str">
        <f t="shared" si="3"/>
        <v>PRESTIGE LAGER|SUSSEX</v>
      </c>
    </row>
    <row r="235" spans="1:7" x14ac:dyDescent="0.2">
      <c r="A235">
        <v>9055</v>
      </c>
      <c r="B235" t="s">
        <v>173</v>
      </c>
      <c r="C235" t="s">
        <v>184</v>
      </c>
      <c r="D235" t="s">
        <v>32</v>
      </c>
      <c r="E235" t="s">
        <v>33</v>
      </c>
      <c r="G235" s="2" t="str">
        <f t="shared" si="3"/>
        <v>HEINEKEN 0.0|SUSSEX</v>
      </c>
    </row>
    <row r="236" spans="1:7" x14ac:dyDescent="0.2">
      <c r="A236">
        <v>9057</v>
      </c>
      <c r="B236" t="s">
        <v>30</v>
      </c>
      <c r="C236" t="s">
        <v>184</v>
      </c>
      <c r="D236" t="s">
        <v>32</v>
      </c>
      <c r="E236" t="s">
        <v>33</v>
      </c>
      <c r="G236" s="2" t="str">
        <f t="shared" si="3"/>
        <v>ANCHOR|SUSSEX</v>
      </c>
    </row>
    <row r="237" spans="1:7" x14ac:dyDescent="0.2">
      <c r="A237">
        <v>9058</v>
      </c>
      <c r="B237" t="s">
        <v>34</v>
      </c>
      <c r="C237" t="s">
        <v>184</v>
      </c>
      <c r="D237" t="s">
        <v>32</v>
      </c>
      <c r="E237" t="s">
        <v>33</v>
      </c>
      <c r="G237" s="2" t="str">
        <f t="shared" si="3"/>
        <v>FAMOSA|SUSSEX</v>
      </c>
    </row>
    <row r="238" spans="1:7" x14ac:dyDescent="0.2">
      <c r="A238">
        <v>9059</v>
      </c>
      <c r="B238" t="s">
        <v>35</v>
      </c>
      <c r="C238" t="s">
        <v>184</v>
      </c>
      <c r="D238" t="s">
        <v>32</v>
      </c>
      <c r="E238" t="s">
        <v>33</v>
      </c>
      <c r="G238" s="2" t="str">
        <f t="shared" si="3"/>
        <v>GENESEE|SUSSEX</v>
      </c>
    </row>
    <row r="239" spans="1:7" x14ac:dyDescent="0.2">
      <c r="A239">
        <v>9060</v>
      </c>
      <c r="B239" t="s">
        <v>36</v>
      </c>
      <c r="C239" t="s">
        <v>184</v>
      </c>
      <c r="D239" t="s">
        <v>32</v>
      </c>
      <c r="E239" t="s">
        <v>33</v>
      </c>
      <c r="G239" s="2" t="str">
        <f t="shared" si="3"/>
        <v>HONEY BROWN|SUSSEX</v>
      </c>
    </row>
    <row r="240" spans="1:7" x14ac:dyDescent="0.2">
      <c r="A240">
        <v>9061</v>
      </c>
      <c r="B240" t="s">
        <v>37</v>
      </c>
      <c r="C240" t="s">
        <v>184</v>
      </c>
      <c r="D240" t="s">
        <v>32</v>
      </c>
      <c r="E240" t="s">
        <v>33</v>
      </c>
      <c r="G240" s="2" t="str">
        <f t="shared" si="3"/>
        <v>IMPERIAL|SUSSEX</v>
      </c>
    </row>
    <row r="241" spans="1:7" x14ac:dyDescent="0.2">
      <c r="A241">
        <v>9062</v>
      </c>
      <c r="B241" t="s">
        <v>38</v>
      </c>
      <c r="C241" t="s">
        <v>184</v>
      </c>
      <c r="D241" t="s">
        <v>32</v>
      </c>
      <c r="E241" t="s">
        <v>33</v>
      </c>
      <c r="G241" s="2" t="str">
        <f t="shared" si="3"/>
        <v>MISISSIPPI|SUSSEX</v>
      </c>
    </row>
    <row r="242" spans="1:7" x14ac:dyDescent="0.2">
      <c r="A242">
        <v>9063</v>
      </c>
      <c r="B242" t="s">
        <v>39</v>
      </c>
      <c r="C242" t="s">
        <v>184</v>
      </c>
      <c r="D242" t="s">
        <v>32</v>
      </c>
      <c r="E242" t="s">
        <v>33</v>
      </c>
      <c r="G242" s="2" t="str">
        <f t="shared" si="3"/>
        <v>CZECHVAR|SUSSEX</v>
      </c>
    </row>
    <row r="243" spans="1:7" x14ac:dyDescent="0.2">
      <c r="A243">
        <v>9064</v>
      </c>
      <c r="B243" t="s">
        <v>40</v>
      </c>
      <c r="C243" t="s">
        <v>184</v>
      </c>
      <c r="D243" t="s">
        <v>32</v>
      </c>
      <c r="E243" t="s">
        <v>33</v>
      </c>
      <c r="G243" s="2" t="str">
        <f t="shared" si="3"/>
        <v>DAURA|SUSSEX</v>
      </c>
    </row>
    <row r="244" spans="1:7" x14ac:dyDescent="0.2">
      <c r="A244">
        <v>9065</v>
      </c>
      <c r="B244" t="s">
        <v>41</v>
      </c>
      <c r="C244" t="s">
        <v>184</v>
      </c>
      <c r="D244" t="s">
        <v>32</v>
      </c>
      <c r="E244" t="s">
        <v>33</v>
      </c>
      <c r="G244" s="2" t="str">
        <f t="shared" si="3"/>
        <v>ESTRELLA|SUSSEX</v>
      </c>
    </row>
    <row r="245" spans="1:7" x14ac:dyDescent="0.2">
      <c r="A245">
        <v>9066</v>
      </c>
      <c r="B245" t="s">
        <v>42</v>
      </c>
      <c r="C245" t="s">
        <v>184</v>
      </c>
      <c r="D245" t="s">
        <v>32</v>
      </c>
      <c r="E245" t="s">
        <v>33</v>
      </c>
      <c r="G245" s="2" t="str">
        <f t="shared" si="3"/>
        <v>INEDIT|SUSSEX</v>
      </c>
    </row>
    <row r="246" spans="1:7" x14ac:dyDescent="0.2">
      <c r="A246">
        <v>9068</v>
      </c>
      <c r="B246" t="s">
        <v>43</v>
      </c>
      <c r="C246" t="s">
        <v>184</v>
      </c>
      <c r="D246" t="s">
        <v>32</v>
      </c>
      <c r="E246" t="s">
        <v>33</v>
      </c>
      <c r="G246" s="2" t="str">
        <f t="shared" si="3"/>
        <v>FLYING FISH|SUSSEX</v>
      </c>
    </row>
    <row r="247" spans="1:7" x14ac:dyDescent="0.2">
      <c r="A247">
        <v>9069</v>
      </c>
      <c r="B247" t="s">
        <v>185</v>
      </c>
      <c r="C247" t="s">
        <v>184</v>
      </c>
      <c r="D247" t="s">
        <v>32</v>
      </c>
      <c r="E247" t="s">
        <v>33</v>
      </c>
      <c r="G247" s="2" t="str">
        <f t="shared" si="3"/>
        <v>SEAFARER|SUSSEX</v>
      </c>
    </row>
    <row r="248" spans="1:7" x14ac:dyDescent="0.2">
      <c r="A248">
        <v>9070</v>
      </c>
      <c r="B248" t="s">
        <v>186</v>
      </c>
      <c r="C248" t="s">
        <v>184</v>
      </c>
      <c r="D248" t="s">
        <v>32</v>
      </c>
      <c r="E248" t="s">
        <v>33</v>
      </c>
      <c r="G248" s="2" t="str">
        <f t="shared" si="3"/>
        <v>TRAVELERS CLUB|SUSSEX</v>
      </c>
    </row>
    <row r="249" spans="1:7" x14ac:dyDescent="0.2">
      <c r="A249">
        <v>9071</v>
      </c>
      <c r="B249" t="s">
        <v>44</v>
      </c>
      <c r="C249" t="s">
        <v>184</v>
      </c>
      <c r="D249" t="s">
        <v>32</v>
      </c>
      <c r="E249" t="s">
        <v>33</v>
      </c>
      <c r="G249" s="2" t="str">
        <f t="shared" si="3"/>
        <v>BOLD ROCK|SUSSEX</v>
      </c>
    </row>
    <row r="250" spans="1:7" x14ac:dyDescent="0.2">
      <c r="A250">
        <v>9072</v>
      </c>
      <c r="B250" t="s">
        <v>45</v>
      </c>
      <c r="C250" t="s">
        <v>184</v>
      </c>
      <c r="D250" t="s">
        <v>32</v>
      </c>
      <c r="E250" t="s">
        <v>33</v>
      </c>
      <c r="G250" s="2" t="str">
        <f t="shared" si="3"/>
        <v>CITIZEN CIDER|SUSSEX</v>
      </c>
    </row>
    <row r="251" spans="1:7" x14ac:dyDescent="0.2">
      <c r="A251">
        <v>9073</v>
      </c>
      <c r="B251" t="s">
        <v>49</v>
      </c>
      <c r="C251" t="s">
        <v>184</v>
      </c>
      <c r="D251" t="s">
        <v>32</v>
      </c>
      <c r="E251" t="s">
        <v>33</v>
      </c>
      <c r="G251" s="2" t="str">
        <f t="shared" si="3"/>
        <v>MCKENZIE'S|SUSSEX</v>
      </c>
    </row>
    <row r="252" spans="1:7" x14ac:dyDescent="0.2">
      <c r="A252">
        <v>9074</v>
      </c>
      <c r="B252" t="s">
        <v>50</v>
      </c>
      <c r="C252" t="s">
        <v>184</v>
      </c>
      <c r="D252" t="s">
        <v>32</v>
      </c>
      <c r="E252" t="s">
        <v>33</v>
      </c>
      <c r="G252" s="2" t="str">
        <f t="shared" si="3"/>
        <v>OLD SPECKLED HEN|SUSSEX</v>
      </c>
    </row>
    <row r="253" spans="1:7" x14ac:dyDescent="0.2">
      <c r="A253">
        <v>9075</v>
      </c>
      <c r="B253" t="s">
        <v>9</v>
      </c>
      <c r="C253" t="s">
        <v>184</v>
      </c>
      <c r="D253" t="s">
        <v>32</v>
      </c>
      <c r="E253" t="s">
        <v>33</v>
      </c>
      <c r="G253" s="2" t="str">
        <f t="shared" si="3"/>
        <v>SEA DOG|SUSSEX</v>
      </c>
    </row>
    <row r="254" spans="1:7" x14ac:dyDescent="0.2">
      <c r="A254">
        <v>9076</v>
      </c>
      <c r="B254" t="s">
        <v>56</v>
      </c>
      <c r="C254" t="s">
        <v>184</v>
      </c>
      <c r="D254" t="s">
        <v>32</v>
      </c>
      <c r="E254" t="s">
        <v>33</v>
      </c>
      <c r="G254" s="2" t="str">
        <f t="shared" si="3"/>
        <v>SHIPYARD|SUSSEX</v>
      </c>
    </row>
    <row r="255" spans="1:7" x14ac:dyDescent="0.2">
      <c r="A255">
        <v>9077</v>
      </c>
      <c r="B255" t="s">
        <v>57</v>
      </c>
      <c r="C255" t="s">
        <v>184</v>
      </c>
      <c r="D255" t="s">
        <v>32</v>
      </c>
      <c r="E255" t="s">
        <v>33</v>
      </c>
      <c r="G255" s="2" t="str">
        <f t="shared" si="3"/>
        <v>SOUTHERN TIER|SUSSEX</v>
      </c>
    </row>
    <row r="256" spans="1:7" x14ac:dyDescent="0.2">
      <c r="A256">
        <v>9078</v>
      </c>
      <c r="B256" t="s">
        <v>58</v>
      </c>
      <c r="C256" t="s">
        <v>184</v>
      </c>
      <c r="D256" t="s">
        <v>32</v>
      </c>
      <c r="E256" t="s">
        <v>33</v>
      </c>
      <c r="G256" s="2" t="str">
        <f t="shared" si="3"/>
        <v>BANKS|SUSSEX</v>
      </c>
    </row>
    <row r="257" spans="1:7" x14ac:dyDescent="0.2">
      <c r="A257">
        <v>9079</v>
      </c>
      <c r="B257" t="s">
        <v>59</v>
      </c>
      <c r="C257" t="s">
        <v>184</v>
      </c>
      <c r="D257" t="s">
        <v>32</v>
      </c>
      <c r="E257" t="s">
        <v>33</v>
      </c>
      <c r="G257" s="2" t="str">
        <f t="shared" si="3"/>
        <v>WEIHENSTEPHANER|SUSSEX</v>
      </c>
    </row>
    <row r="258" spans="1:7" x14ac:dyDescent="0.2">
      <c r="A258">
        <v>9080</v>
      </c>
      <c r="B258" t="s">
        <v>60</v>
      </c>
      <c r="C258" t="s">
        <v>184</v>
      </c>
      <c r="D258" t="s">
        <v>32</v>
      </c>
      <c r="E258" t="s">
        <v>33</v>
      </c>
      <c r="G258" s="2" t="str">
        <f t="shared" si="3"/>
        <v>VICTORY|SUSSEX</v>
      </c>
    </row>
    <row r="259" spans="1:7" x14ac:dyDescent="0.2">
      <c r="A259">
        <v>9081</v>
      </c>
      <c r="B259" t="s">
        <v>61</v>
      </c>
      <c r="C259" t="s">
        <v>187</v>
      </c>
      <c r="D259" t="s">
        <v>32</v>
      </c>
      <c r="E259" t="s">
        <v>33</v>
      </c>
      <c r="G259" s="2" t="str">
        <f t="shared" si="3"/>
        <v>SAMUEL ADAMS|HUDSON</v>
      </c>
    </row>
    <row r="260" spans="1:7" x14ac:dyDescent="0.2">
      <c r="A260">
        <v>9082</v>
      </c>
      <c r="B260" t="s">
        <v>63</v>
      </c>
      <c r="C260" t="s">
        <v>187</v>
      </c>
      <c r="D260" t="s">
        <v>32</v>
      </c>
      <c r="E260" t="s">
        <v>33</v>
      </c>
      <c r="G260" s="2" t="str">
        <f t="shared" si="3"/>
        <v>TRAVELER|HUDSON</v>
      </c>
    </row>
    <row r="261" spans="1:7" x14ac:dyDescent="0.2">
      <c r="A261">
        <v>9083</v>
      </c>
      <c r="B261" t="s">
        <v>64</v>
      </c>
      <c r="C261" t="s">
        <v>187</v>
      </c>
      <c r="D261" t="s">
        <v>32</v>
      </c>
      <c r="E261" t="s">
        <v>33</v>
      </c>
      <c r="G261" s="2" t="str">
        <f t="shared" si="3"/>
        <v>ANGRY ORCHARD|HUDSON</v>
      </c>
    </row>
    <row r="262" spans="1:7" x14ac:dyDescent="0.2">
      <c r="A262">
        <v>9084</v>
      </c>
      <c r="B262" t="s">
        <v>65</v>
      </c>
      <c r="C262" t="s">
        <v>187</v>
      </c>
      <c r="D262" t="s">
        <v>32</v>
      </c>
      <c r="E262" t="s">
        <v>33</v>
      </c>
      <c r="G262" s="2" t="str">
        <f t="shared" si="3"/>
        <v>TWISTED TEA|HUDSON</v>
      </c>
    </row>
    <row r="263" spans="1:7" x14ac:dyDescent="0.2">
      <c r="A263">
        <v>9085</v>
      </c>
      <c r="B263" t="s">
        <v>66</v>
      </c>
      <c r="C263" t="s">
        <v>187</v>
      </c>
      <c r="D263" t="s">
        <v>32</v>
      </c>
      <c r="E263" t="s">
        <v>33</v>
      </c>
      <c r="G263" s="2" t="str">
        <f t="shared" ref="G263:G326" si="4">UPPER(B263)&amp;"|"&amp;UPPER(C263)</f>
        <v>CONEY ISLAND|HUDSON</v>
      </c>
    </row>
    <row r="264" spans="1:7" x14ac:dyDescent="0.2">
      <c r="A264">
        <v>9086</v>
      </c>
      <c r="B264" t="s">
        <v>67</v>
      </c>
      <c r="C264" t="s">
        <v>187</v>
      </c>
      <c r="D264" t="s">
        <v>32</v>
      </c>
      <c r="E264" t="s">
        <v>33</v>
      </c>
      <c r="G264" s="2" t="str">
        <f t="shared" si="4"/>
        <v>TRULY|HUDSON</v>
      </c>
    </row>
    <row r="265" spans="1:7" x14ac:dyDescent="0.2">
      <c r="A265">
        <v>9087</v>
      </c>
      <c r="B265" t="s">
        <v>68</v>
      </c>
      <c r="C265" t="s">
        <v>187</v>
      </c>
      <c r="D265" t="s">
        <v>32</v>
      </c>
      <c r="E265" t="s">
        <v>33</v>
      </c>
      <c r="G265" s="2" t="str">
        <f t="shared" si="4"/>
        <v>MARATHON|HUDSON</v>
      </c>
    </row>
    <row r="266" spans="1:7" x14ac:dyDescent="0.2">
      <c r="A266">
        <v>9088</v>
      </c>
      <c r="B266" t="s">
        <v>69</v>
      </c>
      <c r="C266" t="s">
        <v>187</v>
      </c>
      <c r="D266" t="s">
        <v>32</v>
      </c>
      <c r="E266" t="s">
        <v>33</v>
      </c>
      <c r="G266" s="2" t="str">
        <f t="shared" si="4"/>
        <v>WILD LEAF|HUDSON</v>
      </c>
    </row>
    <row r="267" spans="1:7" x14ac:dyDescent="0.2">
      <c r="A267">
        <v>9089</v>
      </c>
      <c r="B267" t="s">
        <v>70</v>
      </c>
      <c r="C267" t="s">
        <v>187</v>
      </c>
      <c r="D267" t="s">
        <v>32</v>
      </c>
      <c r="E267" t="s">
        <v>33</v>
      </c>
      <c r="G267" s="2" t="str">
        <f t="shared" si="4"/>
        <v>DOGFISH HEAD BEER|HUDSON</v>
      </c>
    </row>
    <row r="268" spans="1:7" x14ac:dyDescent="0.2">
      <c r="A268">
        <v>9090</v>
      </c>
      <c r="B268" t="s">
        <v>71</v>
      </c>
      <c r="C268" t="s">
        <v>187</v>
      </c>
      <c r="D268" t="s">
        <v>32</v>
      </c>
      <c r="E268" t="s">
        <v>33</v>
      </c>
      <c r="G268" s="2" t="str">
        <f t="shared" si="4"/>
        <v>BALLAST POINT|HUDSON</v>
      </c>
    </row>
    <row r="269" spans="1:7" x14ac:dyDescent="0.2">
      <c r="A269">
        <v>9091</v>
      </c>
      <c r="B269" t="s">
        <v>72</v>
      </c>
      <c r="C269" t="s">
        <v>187</v>
      </c>
      <c r="D269" t="s">
        <v>32</v>
      </c>
      <c r="E269" t="s">
        <v>33</v>
      </c>
      <c r="G269" s="2" t="str">
        <f t="shared" si="4"/>
        <v>JASMINE'S|HUDSON</v>
      </c>
    </row>
    <row r="270" spans="1:7" x14ac:dyDescent="0.2">
      <c r="A270">
        <v>9092</v>
      </c>
      <c r="B270" t="s">
        <v>73</v>
      </c>
      <c r="C270" t="s">
        <v>187</v>
      </c>
      <c r="D270" t="s">
        <v>32</v>
      </c>
      <c r="E270" t="s">
        <v>33</v>
      </c>
      <c r="G270" s="2" t="str">
        <f t="shared" si="4"/>
        <v>CORONA EXTRA|HUDSON</v>
      </c>
    </row>
    <row r="271" spans="1:7" x14ac:dyDescent="0.2">
      <c r="A271">
        <v>9093</v>
      </c>
      <c r="B271" t="s">
        <v>74</v>
      </c>
      <c r="C271" t="s">
        <v>187</v>
      </c>
      <c r="D271" t="s">
        <v>32</v>
      </c>
      <c r="E271" t="s">
        <v>33</v>
      </c>
      <c r="G271" s="2" t="str">
        <f t="shared" si="4"/>
        <v>CORONA FAMILIAR|HUDSON</v>
      </c>
    </row>
    <row r="272" spans="1:7" x14ac:dyDescent="0.2">
      <c r="A272">
        <v>9094</v>
      </c>
      <c r="B272" t="s">
        <v>75</v>
      </c>
      <c r="C272" t="s">
        <v>187</v>
      </c>
      <c r="D272" t="s">
        <v>32</v>
      </c>
      <c r="E272" t="s">
        <v>33</v>
      </c>
      <c r="G272" s="2" t="str">
        <f t="shared" si="4"/>
        <v>CORONA LIGHT|HUDSON</v>
      </c>
    </row>
    <row r="273" spans="1:7" x14ac:dyDescent="0.2">
      <c r="A273">
        <v>9095</v>
      </c>
      <c r="B273" t="s">
        <v>76</v>
      </c>
      <c r="C273" t="s">
        <v>187</v>
      </c>
      <c r="D273" t="s">
        <v>32</v>
      </c>
      <c r="E273" t="s">
        <v>33</v>
      </c>
      <c r="G273" s="2" t="str">
        <f t="shared" si="4"/>
        <v>PACIFICO|HUDSON</v>
      </c>
    </row>
    <row r="274" spans="1:7" x14ac:dyDescent="0.2">
      <c r="A274">
        <v>9096</v>
      </c>
      <c r="B274" t="s">
        <v>77</v>
      </c>
      <c r="C274" t="s">
        <v>187</v>
      </c>
      <c r="D274" t="s">
        <v>32</v>
      </c>
      <c r="E274" t="s">
        <v>33</v>
      </c>
      <c r="G274" s="2" t="str">
        <f t="shared" si="4"/>
        <v>MODELO NEGRA|HUDSON</v>
      </c>
    </row>
    <row r="275" spans="1:7" x14ac:dyDescent="0.2">
      <c r="A275">
        <v>9097</v>
      </c>
      <c r="B275" t="s">
        <v>78</v>
      </c>
      <c r="C275" t="s">
        <v>187</v>
      </c>
      <c r="D275" t="s">
        <v>32</v>
      </c>
      <c r="E275" t="s">
        <v>33</v>
      </c>
      <c r="G275" s="2" t="str">
        <f t="shared" si="4"/>
        <v>MODELO ESPECIAL|HUDSON</v>
      </c>
    </row>
    <row r="276" spans="1:7" x14ac:dyDescent="0.2">
      <c r="A276">
        <v>9098</v>
      </c>
      <c r="B276" t="s">
        <v>79</v>
      </c>
      <c r="C276" t="s">
        <v>187</v>
      </c>
      <c r="D276" t="s">
        <v>32</v>
      </c>
      <c r="E276" t="s">
        <v>33</v>
      </c>
      <c r="G276" s="2" t="str">
        <f t="shared" si="4"/>
        <v>VICTORIA|HUDSON</v>
      </c>
    </row>
    <row r="277" spans="1:7" x14ac:dyDescent="0.2">
      <c r="A277">
        <v>9099</v>
      </c>
      <c r="B277" t="s">
        <v>80</v>
      </c>
      <c r="C277" t="s">
        <v>187</v>
      </c>
      <c r="D277" t="s">
        <v>32</v>
      </c>
      <c r="E277" t="s">
        <v>33</v>
      </c>
      <c r="G277" s="2" t="str">
        <f t="shared" si="4"/>
        <v>MODELO CHELADA|HUDSON</v>
      </c>
    </row>
    <row r="278" spans="1:7" x14ac:dyDescent="0.2">
      <c r="A278">
        <v>9100</v>
      </c>
      <c r="B278" t="s">
        <v>81</v>
      </c>
      <c r="C278" t="s">
        <v>187</v>
      </c>
      <c r="D278" t="s">
        <v>32</v>
      </c>
      <c r="E278" t="s">
        <v>33</v>
      </c>
      <c r="G278" s="2" t="str">
        <f t="shared" si="4"/>
        <v>CORONA PREMIER|HUDSON</v>
      </c>
    </row>
    <row r="279" spans="1:7" x14ac:dyDescent="0.2">
      <c r="A279">
        <v>9101</v>
      </c>
      <c r="B279" t="s">
        <v>82</v>
      </c>
      <c r="C279" t="s">
        <v>187</v>
      </c>
      <c r="D279" t="s">
        <v>32</v>
      </c>
      <c r="E279" t="s">
        <v>33</v>
      </c>
      <c r="G279" s="2" t="str">
        <f t="shared" si="4"/>
        <v>CORONA REFRESCA|HUDSON</v>
      </c>
    </row>
    <row r="280" spans="1:7" x14ac:dyDescent="0.2">
      <c r="A280">
        <v>9102</v>
      </c>
      <c r="B280" t="s">
        <v>83</v>
      </c>
      <c r="C280" t="s">
        <v>187</v>
      </c>
      <c r="D280" t="s">
        <v>32</v>
      </c>
      <c r="E280" t="s">
        <v>33</v>
      </c>
      <c r="G280" s="2" t="str">
        <f t="shared" si="4"/>
        <v>CORONA SELTZER|HUDSON</v>
      </c>
    </row>
    <row r="281" spans="1:7" x14ac:dyDescent="0.2">
      <c r="A281">
        <v>9103</v>
      </c>
      <c r="B281" t="s">
        <v>93</v>
      </c>
      <c r="C281" t="s">
        <v>187</v>
      </c>
      <c r="D281" t="s">
        <v>32</v>
      </c>
      <c r="E281" t="s">
        <v>33</v>
      </c>
      <c r="G281" s="2" t="str">
        <f t="shared" si="4"/>
        <v>COORS|HUDSON</v>
      </c>
    </row>
    <row r="282" spans="1:7" x14ac:dyDescent="0.2">
      <c r="A282">
        <v>9104</v>
      </c>
      <c r="B282" t="s">
        <v>94</v>
      </c>
      <c r="C282" t="s">
        <v>187</v>
      </c>
      <c r="D282" t="s">
        <v>32</v>
      </c>
      <c r="E282" t="s">
        <v>33</v>
      </c>
      <c r="G282" s="2" t="str">
        <f t="shared" si="4"/>
        <v>COORS LIGHT|HUDSON</v>
      </c>
    </row>
    <row r="283" spans="1:7" x14ac:dyDescent="0.2">
      <c r="A283">
        <v>9105</v>
      </c>
      <c r="B283" t="s">
        <v>95</v>
      </c>
      <c r="C283" t="s">
        <v>187</v>
      </c>
      <c r="D283" t="s">
        <v>32</v>
      </c>
      <c r="E283" t="s">
        <v>33</v>
      </c>
      <c r="G283" s="2" t="str">
        <f t="shared" si="4"/>
        <v>COORS EXTRA GOLD|HUDSON</v>
      </c>
    </row>
    <row r="284" spans="1:7" x14ac:dyDescent="0.2">
      <c r="A284">
        <v>9106</v>
      </c>
      <c r="B284" t="s">
        <v>96</v>
      </c>
      <c r="C284" t="s">
        <v>187</v>
      </c>
      <c r="D284" t="s">
        <v>32</v>
      </c>
      <c r="E284" t="s">
        <v>33</v>
      </c>
      <c r="G284" s="2" t="str">
        <f t="shared" si="4"/>
        <v>KEYSTONE|HUDSON</v>
      </c>
    </row>
    <row r="285" spans="1:7" x14ac:dyDescent="0.2">
      <c r="A285">
        <v>9107</v>
      </c>
      <c r="B285" t="s">
        <v>97</v>
      </c>
      <c r="C285" t="s">
        <v>187</v>
      </c>
      <c r="D285" t="s">
        <v>32</v>
      </c>
      <c r="E285" t="s">
        <v>33</v>
      </c>
      <c r="G285" s="2" t="str">
        <f t="shared" si="4"/>
        <v>ZIMA|HUDSON</v>
      </c>
    </row>
    <row r="286" spans="1:7" x14ac:dyDescent="0.2">
      <c r="A286">
        <v>9108</v>
      </c>
      <c r="B286" t="s">
        <v>98</v>
      </c>
      <c r="C286" t="s">
        <v>187</v>
      </c>
      <c r="D286" t="s">
        <v>32</v>
      </c>
      <c r="E286" t="s">
        <v>33</v>
      </c>
      <c r="G286" s="2" t="str">
        <f t="shared" si="4"/>
        <v>COORS SELTZER|HUDSON</v>
      </c>
    </row>
    <row r="287" spans="1:7" x14ac:dyDescent="0.2">
      <c r="A287">
        <v>9109</v>
      </c>
      <c r="B287" t="s">
        <v>99</v>
      </c>
      <c r="C287" t="s">
        <v>187</v>
      </c>
      <c r="D287" t="s">
        <v>32</v>
      </c>
      <c r="E287" t="s">
        <v>33</v>
      </c>
      <c r="G287" s="2" t="str">
        <f t="shared" si="4"/>
        <v>BLUE MOON|HUDSON</v>
      </c>
    </row>
    <row r="288" spans="1:7" x14ac:dyDescent="0.2">
      <c r="A288">
        <v>9110</v>
      </c>
      <c r="B288" t="s">
        <v>100</v>
      </c>
      <c r="C288" t="s">
        <v>187</v>
      </c>
      <c r="D288" t="s">
        <v>32</v>
      </c>
      <c r="E288" t="s">
        <v>33</v>
      </c>
      <c r="G288" s="2" t="str">
        <f t="shared" si="4"/>
        <v>CRISPIN|HUDSON</v>
      </c>
    </row>
    <row r="289" spans="1:7" x14ac:dyDescent="0.2">
      <c r="A289">
        <v>9111</v>
      </c>
      <c r="B289" t="s">
        <v>101</v>
      </c>
      <c r="C289" t="s">
        <v>187</v>
      </c>
      <c r="D289" t="s">
        <v>32</v>
      </c>
      <c r="E289" t="s">
        <v>33</v>
      </c>
      <c r="G289" s="2" t="str">
        <f t="shared" si="4"/>
        <v>HENRY'S WEINHARDS|HUDSON</v>
      </c>
    </row>
    <row r="290" spans="1:7" x14ac:dyDescent="0.2">
      <c r="A290">
        <v>9112</v>
      </c>
      <c r="B290" t="s">
        <v>102</v>
      </c>
      <c r="C290" t="s">
        <v>187</v>
      </c>
      <c r="D290" t="s">
        <v>32</v>
      </c>
      <c r="E290" t="s">
        <v>33</v>
      </c>
      <c r="G290" s="2" t="str">
        <f t="shared" si="4"/>
        <v>TWO HATS|HUDSON</v>
      </c>
    </row>
    <row r="291" spans="1:7" x14ac:dyDescent="0.2">
      <c r="A291">
        <v>9113</v>
      </c>
      <c r="B291" t="s">
        <v>103</v>
      </c>
      <c r="C291" t="s">
        <v>187</v>
      </c>
      <c r="D291" t="s">
        <v>32</v>
      </c>
      <c r="E291" t="s">
        <v>33</v>
      </c>
      <c r="G291" s="2" t="str">
        <f t="shared" si="4"/>
        <v>GEORGE KILLIAN'S|HUDSON</v>
      </c>
    </row>
    <row r="292" spans="1:7" x14ac:dyDescent="0.2">
      <c r="A292">
        <v>9114</v>
      </c>
      <c r="B292" t="s">
        <v>104</v>
      </c>
      <c r="C292" t="s">
        <v>187</v>
      </c>
      <c r="D292" t="s">
        <v>32</v>
      </c>
      <c r="E292" t="s">
        <v>33</v>
      </c>
      <c r="G292" s="2" t="str">
        <f t="shared" si="4"/>
        <v>REDD'S|HUDSON</v>
      </c>
    </row>
    <row r="293" spans="1:7" x14ac:dyDescent="0.2">
      <c r="A293">
        <v>9115</v>
      </c>
      <c r="B293" t="s">
        <v>105</v>
      </c>
      <c r="C293" t="s">
        <v>187</v>
      </c>
      <c r="D293" t="s">
        <v>32</v>
      </c>
      <c r="E293" t="s">
        <v>33</v>
      </c>
      <c r="G293" s="2" t="str">
        <f t="shared" si="4"/>
        <v>THIRD SHIFT|HUDSON</v>
      </c>
    </row>
    <row r="294" spans="1:7" x14ac:dyDescent="0.2">
      <c r="A294">
        <v>9116</v>
      </c>
      <c r="B294" t="s">
        <v>106</v>
      </c>
      <c r="C294" t="s">
        <v>187</v>
      </c>
      <c r="D294" t="s">
        <v>32</v>
      </c>
      <c r="E294" t="s">
        <v>33</v>
      </c>
      <c r="G294" s="2" t="str">
        <f t="shared" si="4"/>
        <v>MOLSON|HUDSON</v>
      </c>
    </row>
    <row r="295" spans="1:7" x14ac:dyDescent="0.2">
      <c r="A295">
        <v>9117</v>
      </c>
      <c r="B295" t="s">
        <v>107</v>
      </c>
      <c r="C295" t="s">
        <v>187</v>
      </c>
      <c r="D295" t="s">
        <v>32</v>
      </c>
      <c r="E295" t="s">
        <v>33</v>
      </c>
      <c r="G295" s="2" t="str">
        <f t="shared" si="4"/>
        <v>HENRY'S HARD SPARKLING|HUDSON</v>
      </c>
    </row>
    <row r="296" spans="1:7" x14ac:dyDescent="0.2">
      <c r="A296">
        <v>9118</v>
      </c>
      <c r="B296" t="s">
        <v>108</v>
      </c>
      <c r="C296" t="s">
        <v>187</v>
      </c>
      <c r="D296" t="s">
        <v>32</v>
      </c>
      <c r="E296" t="s">
        <v>33</v>
      </c>
      <c r="G296" s="2" t="str">
        <f t="shared" si="4"/>
        <v>STEEL RESERVE|HUDSON</v>
      </c>
    </row>
    <row r="297" spans="1:7" x14ac:dyDescent="0.2">
      <c r="A297">
        <v>9119</v>
      </c>
      <c r="B297" t="s">
        <v>109</v>
      </c>
      <c r="C297" t="s">
        <v>187</v>
      </c>
      <c r="D297" t="s">
        <v>32</v>
      </c>
      <c r="E297" t="s">
        <v>33</v>
      </c>
      <c r="G297" s="2" t="str">
        <f t="shared" si="4"/>
        <v>COORS EDGE|HUDSON</v>
      </c>
    </row>
    <row r="298" spans="1:7" x14ac:dyDescent="0.2">
      <c r="A298">
        <v>9120</v>
      </c>
      <c r="B298" t="s">
        <v>110</v>
      </c>
      <c r="C298" t="s">
        <v>187</v>
      </c>
      <c r="D298" t="s">
        <v>32</v>
      </c>
      <c r="E298" t="s">
        <v>33</v>
      </c>
      <c r="G298" s="2" t="str">
        <f t="shared" si="4"/>
        <v>STEEL RESERVE ALLOY SERIES|HUDSON</v>
      </c>
    </row>
    <row r="299" spans="1:7" x14ac:dyDescent="0.2">
      <c r="A299">
        <v>9121</v>
      </c>
      <c r="B299" t="s">
        <v>111</v>
      </c>
      <c r="C299" t="s">
        <v>187</v>
      </c>
      <c r="D299" t="s">
        <v>32</v>
      </c>
      <c r="E299" t="s">
        <v>33</v>
      </c>
      <c r="G299" s="2" t="str">
        <f t="shared" si="4"/>
        <v>AGUILA|HUDSON</v>
      </c>
    </row>
    <row r="300" spans="1:7" x14ac:dyDescent="0.2">
      <c r="A300">
        <v>9122</v>
      </c>
      <c r="B300" t="s">
        <v>112</v>
      </c>
      <c r="C300" t="s">
        <v>187</v>
      </c>
      <c r="D300" t="s">
        <v>32</v>
      </c>
      <c r="E300" t="s">
        <v>33</v>
      </c>
      <c r="G300" s="2" t="str">
        <f t="shared" si="4"/>
        <v>SMITH &amp; FORGE|HUDSON</v>
      </c>
    </row>
    <row r="301" spans="1:7" x14ac:dyDescent="0.2">
      <c r="A301">
        <v>9123</v>
      </c>
      <c r="B301" t="s">
        <v>113</v>
      </c>
      <c r="C301" t="s">
        <v>187</v>
      </c>
      <c r="D301" t="s">
        <v>32</v>
      </c>
      <c r="E301" t="s">
        <v>33</v>
      </c>
      <c r="G301" s="2" t="str">
        <f t="shared" si="4"/>
        <v>REDD'S WICKED|HUDSON</v>
      </c>
    </row>
    <row r="302" spans="1:7" x14ac:dyDescent="0.2">
      <c r="A302">
        <v>9124</v>
      </c>
      <c r="B302" t="s">
        <v>114</v>
      </c>
      <c r="C302" t="s">
        <v>187</v>
      </c>
      <c r="D302" t="s">
        <v>32</v>
      </c>
      <c r="E302" t="s">
        <v>33</v>
      </c>
      <c r="G302" s="2" t="str">
        <f t="shared" si="4"/>
        <v>HENRY'S HARD SODAS|HUDSON</v>
      </c>
    </row>
    <row r="303" spans="1:7" x14ac:dyDescent="0.2">
      <c r="A303">
        <v>9125</v>
      </c>
      <c r="B303" t="s">
        <v>115</v>
      </c>
      <c r="C303" t="s">
        <v>187</v>
      </c>
      <c r="D303" t="s">
        <v>32</v>
      </c>
      <c r="E303" t="s">
        <v>33</v>
      </c>
      <c r="G303" s="2" t="str">
        <f t="shared" si="4"/>
        <v>HAMM'S|HUDSON</v>
      </c>
    </row>
    <row r="304" spans="1:7" x14ac:dyDescent="0.2">
      <c r="A304">
        <v>9126</v>
      </c>
      <c r="B304" t="s">
        <v>116</v>
      </c>
      <c r="C304" t="s">
        <v>187</v>
      </c>
      <c r="D304" t="s">
        <v>32</v>
      </c>
      <c r="E304" t="s">
        <v>33</v>
      </c>
      <c r="G304" s="2" t="str">
        <f t="shared" si="4"/>
        <v>HAMM'S LIGHT|HUDSON</v>
      </c>
    </row>
    <row r="305" spans="1:7" x14ac:dyDescent="0.2">
      <c r="A305">
        <v>9127</v>
      </c>
      <c r="B305" t="s">
        <v>7</v>
      </c>
      <c r="C305" t="s">
        <v>187</v>
      </c>
      <c r="D305" t="s">
        <v>32</v>
      </c>
      <c r="E305" t="s">
        <v>33</v>
      </c>
      <c r="G305" s="2" t="str">
        <f t="shared" si="4"/>
        <v>MILLER HIGH LIFE|HUDSON</v>
      </c>
    </row>
    <row r="306" spans="1:7" x14ac:dyDescent="0.2">
      <c r="A306">
        <v>9128</v>
      </c>
      <c r="B306" t="s">
        <v>117</v>
      </c>
      <c r="C306" t="s">
        <v>187</v>
      </c>
      <c r="D306" t="s">
        <v>32</v>
      </c>
      <c r="E306" t="s">
        <v>33</v>
      </c>
      <c r="G306" s="2" t="str">
        <f t="shared" si="4"/>
        <v>MILLER HIGH LIFE LIGHT|HUDSON</v>
      </c>
    </row>
    <row r="307" spans="1:7" x14ac:dyDescent="0.2">
      <c r="A307">
        <v>9129</v>
      </c>
      <c r="B307" t="s">
        <v>118</v>
      </c>
      <c r="C307" t="s">
        <v>187</v>
      </c>
      <c r="D307" t="s">
        <v>32</v>
      </c>
      <c r="E307" t="s">
        <v>33</v>
      </c>
      <c r="G307" s="2" t="str">
        <f t="shared" si="4"/>
        <v>ICEHOUSE|HUDSON</v>
      </c>
    </row>
    <row r="308" spans="1:7" x14ac:dyDescent="0.2">
      <c r="A308">
        <v>9130</v>
      </c>
      <c r="B308" t="s">
        <v>119</v>
      </c>
      <c r="C308" t="s">
        <v>187</v>
      </c>
      <c r="D308" t="s">
        <v>32</v>
      </c>
      <c r="E308" t="s">
        <v>33</v>
      </c>
      <c r="G308" s="2" t="str">
        <f t="shared" si="4"/>
        <v>ICEHOUSE EDGE|HUDSON</v>
      </c>
    </row>
    <row r="309" spans="1:7" x14ac:dyDescent="0.2">
      <c r="A309">
        <v>9131</v>
      </c>
      <c r="B309" t="s">
        <v>120</v>
      </c>
      <c r="C309" t="s">
        <v>187</v>
      </c>
      <c r="D309" t="s">
        <v>32</v>
      </c>
      <c r="E309" t="s">
        <v>33</v>
      </c>
      <c r="G309" s="2" t="str">
        <f t="shared" si="4"/>
        <v>LITE|HUDSON</v>
      </c>
    </row>
    <row r="310" spans="1:7" x14ac:dyDescent="0.2">
      <c r="A310">
        <v>9132</v>
      </c>
      <c r="B310" t="s">
        <v>121</v>
      </c>
      <c r="C310" t="s">
        <v>187</v>
      </c>
      <c r="D310" t="s">
        <v>32</v>
      </c>
      <c r="E310" t="s">
        <v>33</v>
      </c>
      <c r="G310" s="2" t="str">
        <f t="shared" si="4"/>
        <v>MOVO|HUDSON</v>
      </c>
    </row>
    <row r="311" spans="1:7" x14ac:dyDescent="0.2">
      <c r="A311">
        <v>9133</v>
      </c>
      <c r="B311" t="s">
        <v>122</v>
      </c>
      <c r="C311" t="s">
        <v>187</v>
      </c>
      <c r="D311" t="s">
        <v>32</v>
      </c>
      <c r="E311" t="s">
        <v>33</v>
      </c>
      <c r="G311" s="2" t="str">
        <f t="shared" si="4"/>
        <v>MILLER GENUINE DRAFT|HUDSON</v>
      </c>
    </row>
    <row r="312" spans="1:7" x14ac:dyDescent="0.2">
      <c r="A312">
        <v>9134</v>
      </c>
      <c r="B312" t="s">
        <v>123</v>
      </c>
      <c r="C312" t="s">
        <v>187</v>
      </c>
      <c r="D312" t="s">
        <v>32</v>
      </c>
      <c r="E312" t="s">
        <v>33</v>
      </c>
      <c r="G312" s="2" t="str">
        <f t="shared" si="4"/>
        <v>MICKEY MALT|HUDSON</v>
      </c>
    </row>
    <row r="313" spans="1:7" x14ac:dyDescent="0.2">
      <c r="A313">
        <v>9135</v>
      </c>
      <c r="B313" t="s">
        <v>124</v>
      </c>
      <c r="C313" t="s">
        <v>187</v>
      </c>
      <c r="D313" t="s">
        <v>32</v>
      </c>
      <c r="E313" t="s">
        <v>33</v>
      </c>
      <c r="G313" s="2" t="str">
        <f t="shared" si="4"/>
        <v>MILLER EXTRA LIGHT|HUDSON</v>
      </c>
    </row>
    <row r="314" spans="1:7" x14ac:dyDescent="0.2">
      <c r="A314">
        <v>9136</v>
      </c>
      <c r="B314" t="s">
        <v>125</v>
      </c>
      <c r="C314" t="s">
        <v>187</v>
      </c>
      <c r="D314" t="s">
        <v>32</v>
      </c>
      <c r="E314" t="s">
        <v>33</v>
      </c>
      <c r="G314" s="2" t="str">
        <f t="shared" si="4"/>
        <v>MILLER FORTUNE|HUDSON</v>
      </c>
    </row>
    <row r="315" spans="1:7" x14ac:dyDescent="0.2">
      <c r="A315">
        <v>9137</v>
      </c>
      <c r="B315" t="s">
        <v>126</v>
      </c>
      <c r="C315" t="s">
        <v>187</v>
      </c>
      <c r="D315" t="s">
        <v>32</v>
      </c>
      <c r="E315" t="s">
        <v>33</v>
      </c>
      <c r="G315" s="2" t="str">
        <f t="shared" si="4"/>
        <v>MILWAUKEE'S BEST|HUDSON</v>
      </c>
    </row>
    <row r="316" spans="1:7" x14ac:dyDescent="0.2">
      <c r="A316">
        <v>9138</v>
      </c>
      <c r="B316" t="s">
        <v>127</v>
      </c>
      <c r="C316" t="s">
        <v>187</v>
      </c>
      <c r="D316" t="s">
        <v>32</v>
      </c>
      <c r="E316" t="s">
        <v>33</v>
      </c>
      <c r="G316" s="2" t="str">
        <f t="shared" si="4"/>
        <v>MILWAUKEE'S BEST ICE|HUDSON</v>
      </c>
    </row>
    <row r="317" spans="1:7" x14ac:dyDescent="0.2">
      <c r="A317">
        <v>9139</v>
      </c>
      <c r="B317" t="s">
        <v>128</v>
      </c>
      <c r="C317" t="s">
        <v>187</v>
      </c>
      <c r="D317" t="s">
        <v>32</v>
      </c>
      <c r="E317" t="s">
        <v>33</v>
      </c>
      <c r="G317" s="2" t="str">
        <f t="shared" si="4"/>
        <v>MILWAUKEE'S BEST LIGHT|HUDSON</v>
      </c>
    </row>
    <row r="318" spans="1:7" x14ac:dyDescent="0.2">
      <c r="A318">
        <v>9140</v>
      </c>
      <c r="B318" t="s">
        <v>129</v>
      </c>
      <c r="C318" t="s">
        <v>187</v>
      </c>
      <c r="D318" t="s">
        <v>32</v>
      </c>
      <c r="E318" t="s">
        <v>33</v>
      </c>
      <c r="G318" s="2" t="str">
        <f t="shared" si="4"/>
        <v>LEINENKUGEL|HUDSON</v>
      </c>
    </row>
    <row r="319" spans="1:7" x14ac:dyDescent="0.2">
      <c r="A319">
        <v>9141</v>
      </c>
      <c r="B319" t="s">
        <v>130</v>
      </c>
      <c r="C319" t="s">
        <v>187</v>
      </c>
      <c r="D319" t="s">
        <v>32</v>
      </c>
      <c r="E319" t="s">
        <v>33</v>
      </c>
      <c r="G319" s="2" t="str">
        <f t="shared" si="4"/>
        <v>LEINENKUGEL SHANDY|HUDSON</v>
      </c>
    </row>
    <row r="320" spans="1:7" x14ac:dyDescent="0.2">
      <c r="A320">
        <v>9142</v>
      </c>
      <c r="B320" t="s">
        <v>131</v>
      </c>
      <c r="C320" t="s">
        <v>187</v>
      </c>
      <c r="D320" t="s">
        <v>32</v>
      </c>
      <c r="E320" t="s">
        <v>33</v>
      </c>
      <c r="G320" s="2" t="str">
        <f t="shared" si="4"/>
        <v>CRISTAL|HUDSON</v>
      </c>
    </row>
    <row r="321" spans="1:7" x14ac:dyDescent="0.2">
      <c r="A321">
        <v>9143</v>
      </c>
      <c r="B321" t="s">
        <v>132</v>
      </c>
      <c r="C321" t="s">
        <v>187</v>
      </c>
      <c r="D321" t="s">
        <v>32</v>
      </c>
      <c r="E321" t="s">
        <v>33</v>
      </c>
      <c r="G321" s="2" t="str">
        <f t="shared" si="4"/>
        <v>CUSQUENA|HUDSON</v>
      </c>
    </row>
    <row r="322" spans="1:7" x14ac:dyDescent="0.2">
      <c r="A322">
        <v>9144</v>
      </c>
      <c r="B322" t="s">
        <v>133</v>
      </c>
      <c r="C322" t="s">
        <v>187</v>
      </c>
      <c r="D322" t="s">
        <v>32</v>
      </c>
      <c r="E322" t="s">
        <v>33</v>
      </c>
      <c r="G322" s="2" t="str">
        <f t="shared" si="4"/>
        <v>FOSTERS|HUDSON</v>
      </c>
    </row>
    <row r="323" spans="1:7" x14ac:dyDescent="0.2">
      <c r="A323">
        <v>9145</v>
      </c>
      <c r="B323" t="s">
        <v>134</v>
      </c>
      <c r="C323" t="s">
        <v>187</v>
      </c>
      <c r="D323" t="s">
        <v>32</v>
      </c>
      <c r="E323" t="s">
        <v>33</v>
      </c>
      <c r="G323" s="2" t="str">
        <f t="shared" si="4"/>
        <v>GROLSCH|HUDSON</v>
      </c>
    </row>
    <row r="324" spans="1:7" x14ac:dyDescent="0.2">
      <c r="A324">
        <v>9146</v>
      </c>
      <c r="B324" t="s">
        <v>135</v>
      </c>
      <c r="C324" t="s">
        <v>187</v>
      </c>
      <c r="D324" t="s">
        <v>32</v>
      </c>
      <c r="E324" t="s">
        <v>33</v>
      </c>
      <c r="G324" s="2" t="str">
        <f t="shared" si="4"/>
        <v>LECH|HUDSON</v>
      </c>
    </row>
    <row r="325" spans="1:7" x14ac:dyDescent="0.2">
      <c r="A325">
        <v>9147</v>
      </c>
      <c r="B325" t="s">
        <v>136</v>
      </c>
      <c r="C325" t="s">
        <v>187</v>
      </c>
      <c r="D325" t="s">
        <v>32</v>
      </c>
      <c r="E325" t="s">
        <v>33</v>
      </c>
      <c r="G325" s="2" t="str">
        <f t="shared" si="4"/>
        <v>PERONI|HUDSON</v>
      </c>
    </row>
    <row r="326" spans="1:7" x14ac:dyDescent="0.2">
      <c r="A326">
        <v>9148</v>
      </c>
      <c r="B326" t="s">
        <v>137</v>
      </c>
      <c r="C326" t="s">
        <v>187</v>
      </c>
      <c r="D326" t="s">
        <v>32</v>
      </c>
      <c r="E326" t="s">
        <v>33</v>
      </c>
      <c r="G326" s="2" t="str">
        <f t="shared" si="4"/>
        <v>PILSNER URQUELL|HUDSON</v>
      </c>
    </row>
    <row r="327" spans="1:7" x14ac:dyDescent="0.2">
      <c r="A327">
        <v>9149</v>
      </c>
      <c r="B327" t="s">
        <v>138</v>
      </c>
      <c r="C327" t="s">
        <v>187</v>
      </c>
      <c r="D327" t="s">
        <v>32</v>
      </c>
      <c r="E327" t="s">
        <v>33</v>
      </c>
      <c r="G327" s="2" t="str">
        <f t="shared" ref="G327:G390" si="5">UPPER(B327)&amp;"|"&amp;UPPER(C327)</f>
        <v>TYSKIE GRONIE|HUDSON</v>
      </c>
    </row>
    <row r="328" spans="1:7" x14ac:dyDescent="0.2">
      <c r="A328">
        <v>9150</v>
      </c>
      <c r="B328" t="s">
        <v>139</v>
      </c>
      <c r="C328" t="s">
        <v>187</v>
      </c>
      <c r="D328" t="s">
        <v>32</v>
      </c>
      <c r="E328" t="s">
        <v>33</v>
      </c>
      <c r="G328" s="2" t="str">
        <f t="shared" si="5"/>
        <v>OLD ENGLISH|HUDSON</v>
      </c>
    </row>
    <row r="329" spans="1:7" x14ac:dyDescent="0.2">
      <c r="A329">
        <v>9151</v>
      </c>
      <c r="B329" t="s">
        <v>140</v>
      </c>
      <c r="C329" t="s">
        <v>187</v>
      </c>
      <c r="D329" t="s">
        <v>32</v>
      </c>
      <c r="E329" t="s">
        <v>33</v>
      </c>
      <c r="G329" s="2" t="str">
        <f t="shared" si="5"/>
        <v>SOL|HUDSON</v>
      </c>
    </row>
    <row r="330" spans="1:7" x14ac:dyDescent="0.2">
      <c r="A330">
        <v>9152</v>
      </c>
      <c r="B330" t="s">
        <v>141</v>
      </c>
      <c r="C330" t="s">
        <v>187</v>
      </c>
      <c r="D330" t="s">
        <v>32</v>
      </c>
      <c r="E330" t="s">
        <v>33</v>
      </c>
      <c r="G330" s="2" t="str">
        <f t="shared" si="5"/>
        <v>ARNOLD PALMER|HUDSON</v>
      </c>
    </row>
    <row r="331" spans="1:7" x14ac:dyDescent="0.2">
      <c r="A331">
        <v>9153</v>
      </c>
      <c r="B331" t="s">
        <v>142</v>
      </c>
      <c r="C331" t="s">
        <v>187</v>
      </c>
      <c r="D331" t="s">
        <v>32</v>
      </c>
      <c r="E331" t="s">
        <v>33</v>
      </c>
      <c r="G331" s="2" t="str">
        <f t="shared" si="5"/>
        <v>CAPE LINE|HUDSON</v>
      </c>
    </row>
    <row r="332" spans="1:7" x14ac:dyDescent="0.2">
      <c r="A332">
        <v>9154</v>
      </c>
      <c r="B332" t="s">
        <v>143</v>
      </c>
      <c r="C332" t="s">
        <v>187</v>
      </c>
      <c r="D332" t="s">
        <v>32</v>
      </c>
      <c r="E332" t="s">
        <v>33</v>
      </c>
      <c r="G332" s="2" t="str">
        <f t="shared" si="5"/>
        <v>ST ARCHER|HUDSON</v>
      </c>
    </row>
    <row r="333" spans="1:7" x14ac:dyDescent="0.2">
      <c r="A333">
        <v>9155</v>
      </c>
      <c r="B333" t="s">
        <v>144</v>
      </c>
      <c r="C333" t="s">
        <v>187</v>
      </c>
      <c r="D333" t="s">
        <v>32</v>
      </c>
      <c r="E333" t="s">
        <v>33</v>
      </c>
      <c r="G333" s="2" t="str">
        <f t="shared" si="5"/>
        <v>VIZZY|HUDSON</v>
      </c>
    </row>
    <row r="334" spans="1:7" x14ac:dyDescent="0.2">
      <c r="A334">
        <v>9156</v>
      </c>
      <c r="B334" t="s">
        <v>145</v>
      </c>
      <c r="C334" t="s">
        <v>187</v>
      </c>
      <c r="D334" t="s">
        <v>32</v>
      </c>
      <c r="E334" t="s">
        <v>33</v>
      </c>
      <c r="G334" s="2" t="str">
        <f t="shared" si="5"/>
        <v>NARRAGANSETT|HUDSON</v>
      </c>
    </row>
    <row r="335" spans="1:7" x14ac:dyDescent="0.2">
      <c r="A335">
        <v>9157</v>
      </c>
      <c r="B335" t="s">
        <v>146</v>
      </c>
      <c r="C335" t="s">
        <v>187</v>
      </c>
      <c r="D335" t="s">
        <v>32</v>
      </c>
      <c r="E335" t="s">
        <v>33</v>
      </c>
      <c r="G335" s="2" t="str">
        <f t="shared" si="5"/>
        <v>NEW BELGIUM BREWING COMPANY|HUDSON</v>
      </c>
    </row>
    <row r="336" spans="1:7" x14ac:dyDescent="0.2">
      <c r="A336">
        <v>9158</v>
      </c>
      <c r="B336" t="s">
        <v>147</v>
      </c>
      <c r="C336" t="s">
        <v>187</v>
      </c>
      <c r="D336" t="s">
        <v>32</v>
      </c>
      <c r="E336" t="s">
        <v>33</v>
      </c>
      <c r="G336" s="2" t="str">
        <f t="shared" si="5"/>
        <v>SHINER|HUDSON</v>
      </c>
    </row>
    <row r="337" spans="1:7" x14ac:dyDescent="0.2">
      <c r="A337">
        <v>9159</v>
      </c>
      <c r="B337" t="s">
        <v>148</v>
      </c>
      <c r="C337" t="s">
        <v>187</v>
      </c>
      <c r="D337" t="s">
        <v>32</v>
      </c>
      <c r="E337" t="s">
        <v>33</v>
      </c>
      <c r="G337" s="2" t="str">
        <f t="shared" si="5"/>
        <v>SIERRA NEVADA|HUDSON</v>
      </c>
    </row>
    <row r="338" spans="1:7" x14ac:dyDescent="0.2">
      <c r="A338">
        <v>9160</v>
      </c>
      <c r="B338" t="s">
        <v>149</v>
      </c>
      <c r="C338" t="s">
        <v>187</v>
      </c>
      <c r="D338" t="s">
        <v>32</v>
      </c>
      <c r="E338" t="s">
        <v>33</v>
      </c>
      <c r="G338" s="2" t="str">
        <f t="shared" si="5"/>
        <v>STRAINGE BEAST|HUDSON</v>
      </c>
    </row>
    <row r="339" spans="1:7" x14ac:dyDescent="0.2">
      <c r="A339">
        <v>9161</v>
      </c>
      <c r="B339" t="s">
        <v>150</v>
      </c>
      <c r="C339" t="s">
        <v>187</v>
      </c>
      <c r="D339" t="s">
        <v>32</v>
      </c>
      <c r="E339" t="s">
        <v>33</v>
      </c>
      <c r="G339" s="2" t="str">
        <f t="shared" si="5"/>
        <v>TERRAPIN BEER COMPANY|HUDSON</v>
      </c>
    </row>
    <row r="340" spans="1:7" x14ac:dyDescent="0.2">
      <c r="A340">
        <v>9162</v>
      </c>
      <c r="B340" t="s">
        <v>151</v>
      </c>
      <c r="C340" t="s">
        <v>187</v>
      </c>
      <c r="D340" t="s">
        <v>32</v>
      </c>
      <c r="E340" t="s">
        <v>33</v>
      </c>
      <c r="G340" s="2" t="str">
        <f t="shared" si="5"/>
        <v>MOOSEHEAD|HUDSON</v>
      </c>
    </row>
    <row r="341" spans="1:7" x14ac:dyDescent="0.2">
      <c r="A341">
        <v>9163</v>
      </c>
      <c r="B341" t="s">
        <v>152</v>
      </c>
      <c r="C341" t="s">
        <v>187</v>
      </c>
      <c r="D341" t="s">
        <v>32</v>
      </c>
      <c r="E341" t="s">
        <v>33</v>
      </c>
      <c r="G341" s="2" t="str">
        <f t="shared" si="5"/>
        <v>PRESS|HUDSON</v>
      </c>
    </row>
    <row r="342" spans="1:7" x14ac:dyDescent="0.2">
      <c r="A342">
        <v>9164</v>
      </c>
      <c r="B342" t="s">
        <v>153</v>
      </c>
      <c r="C342" t="s">
        <v>187</v>
      </c>
      <c r="D342" t="s">
        <v>32</v>
      </c>
      <c r="E342" t="s">
        <v>33</v>
      </c>
      <c r="G342" s="2" t="str">
        <f t="shared" si="5"/>
        <v>DG YUENGLING INC|HUDSON</v>
      </c>
    </row>
    <row r="343" spans="1:7" x14ac:dyDescent="0.2">
      <c r="A343">
        <v>9175</v>
      </c>
      <c r="B343" t="s">
        <v>154</v>
      </c>
      <c r="C343" t="s">
        <v>187</v>
      </c>
      <c r="D343" t="s">
        <v>32</v>
      </c>
      <c r="E343" t="s">
        <v>33</v>
      </c>
      <c r="G343" s="2" t="str">
        <f t="shared" si="5"/>
        <v>HEINEKEN USA|HUDSON</v>
      </c>
    </row>
    <row r="344" spans="1:7" x14ac:dyDescent="0.2">
      <c r="A344">
        <v>9176</v>
      </c>
      <c r="B344" t="s">
        <v>155</v>
      </c>
      <c r="C344" t="s">
        <v>187</v>
      </c>
      <c r="D344" t="s">
        <v>32</v>
      </c>
      <c r="E344" t="s">
        <v>33</v>
      </c>
      <c r="G344" s="2" t="str">
        <f t="shared" si="5"/>
        <v>HEINEKEN DARK|HUDSON</v>
      </c>
    </row>
    <row r="345" spans="1:7" x14ac:dyDescent="0.2">
      <c r="A345">
        <v>9177</v>
      </c>
      <c r="B345" t="s">
        <v>156</v>
      </c>
      <c r="C345" t="s">
        <v>187</v>
      </c>
      <c r="D345" t="s">
        <v>32</v>
      </c>
      <c r="E345" t="s">
        <v>33</v>
      </c>
      <c r="G345" s="2" t="str">
        <f t="shared" si="5"/>
        <v>HEINEKEN LIGHT|HUDSON</v>
      </c>
    </row>
    <row r="346" spans="1:7" x14ac:dyDescent="0.2">
      <c r="A346">
        <v>9178</v>
      </c>
      <c r="B346" t="s">
        <v>157</v>
      </c>
      <c r="C346" t="s">
        <v>187</v>
      </c>
      <c r="D346" t="s">
        <v>32</v>
      </c>
      <c r="E346" t="s">
        <v>33</v>
      </c>
      <c r="G346" s="2" t="str">
        <f t="shared" si="5"/>
        <v>AMSTEL|HUDSON</v>
      </c>
    </row>
    <row r="347" spans="1:7" x14ac:dyDescent="0.2">
      <c r="A347">
        <v>9179</v>
      </c>
      <c r="B347" t="s">
        <v>158</v>
      </c>
      <c r="C347" t="s">
        <v>187</v>
      </c>
      <c r="D347" t="s">
        <v>32</v>
      </c>
      <c r="E347" t="s">
        <v>33</v>
      </c>
      <c r="G347" s="2" t="str">
        <f t="shared" si="5"/>
        <v>NEWCASTLE|HUDSON</v>
      </c>
    </row>
    <row r="348" spans="1:7" x14ac:dyDescent="0.2">
      <c r="A348">
        <v>9180</v>
      </c>
      <c r="B348" t="s">
        <v>159</v>
      </c>
      <c r="C348" t="s">
        <v>187</v>
      </c>
      <c r="D348" t="s">
        <v>32</v>
      </c>
      <c r="E348" t="s">
        <v>33</v>
      </c>
      <c r="G348" s="2" t="str">
        <f t="shared" si="5"/>
        <v>BUCKLER|HUDSON</v>
      </c>
    </row>
    <row r="349" spans="1:7" x14ac:dyDescent="0.2">
      <c r="A349">
        <v>9181</v>
      </c>
      <c r="B349" t="s">
        <v>160</v>
      </c>
      <c r="C349" t="s">
        <v>187</v>
      </c>
      <c r="D349" t="s">
        <v>32</v>
      </c>
      <c r="E349" t="s">
        <v>33</v>
      </c>
      <c r="G349" s="2" t="str">
        <f t="shared" si="5"/>
        <v>STRONGBOW|HUDSON</v>
      </c>
    </row>
    <row r="350" spans="1:7" x14ac:dyDescent="0.2">
      <c r="A350">
        <v>9182</v>
      </c>
      <c r="B350" t="s">
        <v>161</v>
      </c>
      <c r="C350" t="s">
        <v>187</v>
      </c>
      <c r="D350" t="s">
        <v>32</v>
      </c>
      <c r="E350" t="s">
        <v>33</v>
      </c>
      <c r="G350" s="2" t="str">
        <f t="shared" si="5"/>
        <v>MURPHY'S|HUDSON</v>
      </c>
    </row>
    <row r="351" spans="1:7" x14ac:dyDescent="0.2">
      <c r="A351">
        <v>9183</v>
      </c>
      <c r="B351" t="s">
        <v>162</v>
      </c>
      <c r="C351" t="s">
        <v>187</v>
      </c>
      <c r="D351" t="s">
        <v>32</v>
      </c>
      <c r="E351" t="s">
        <v>33</v>
      </c>
      <c r="G351" s="2" t="str">
        <f t="shared" si="5"/>
        <v>TIGER|HUDSON</v>
      </c>
    </row>
    <row r="352" spans="1:7" x14ac:dyDescent="0.2">
      <c r="A352">
        <v>9184</v>
      </c>
      <c r="B352" t="s">
        <v>163</v>
      </c>
      <c r="C352" t="s">
        <v>187</v>
      </c>
      <c r="D352" t="s">
        <v>32</v>
      </c>
      <c r="E352" t="s">
        <v>33</v>
      </c>
      <c r="G352" s="2" t="str">
        <f t="shared" si="5"/>
        <v>RED STRIPE|HUDSON</v>
      </c>
    </row>
    <row r="353" spans="1:7" x14ac:dyDescent="0.2">
      <c r="A353">
        <v>9185</v>
      </c>
      <c r="B353" t="s">
        <v>164</v>
      </c>
      <c r="C353" t="s">
        <v>187</v>
      </c>
      <c r="D353" t="s">
        <v>32</v>
      </c>
      <c r="E353" t="s">
        <v>33</v>
      </c>
      <c r="G353" s="2" t="str">
        <f t="shared" si="5"/>
        <v>BIRRA MORETTI|HUDSON</v>
      </c>
    </row>
    <row r="354" spans="1:7" x14ac:dyDescent="0.2">
      <c r="A354">
        <v>9186</v>
      </c>
      <c r="B354" t="s">
        <v>165</v>
      </c>
      <c r="C354" t="s">
        <v>187</v>
      </c>
      <c r="D354" t="s">
        <v>32</v>
      </c>
      <c r="E354" t="s">
        <v>33</v>
      </c>
      <c r="G354" s="2" t="str">
        <f t="shared" si="5"/>
        <v>AFFLIGEM|HUDSON</v>
      </c>
    </row>
    <row r="355" spans="1:7" x14ac:dyDescent="0.2">
      <c r="A355">
        <v>9189</v>
      </c>
      <c r="B355" t="s">
        <v>166</v>
      </c>
      <c r="C355" t="s">
        <v>187</v>
      </c>
      <c r="D355" t="s">
        <v>32</v>
      </c>
      <c r="E355" t="s">
        <v>33</v>
      </c>
      <c r="G355" s="2" t="str">
        <f t="shared" si="5"/>
        <v>CERVEZAS DE MEXICO|HUDSON</v>
      </c>
    </row>
    <row r="356" spans="1:7" x14ac:dyDescent="0.2">
      <c r="A356">
        <v>9190</v>
      </c>
      <c r="B356" t="s">
        <v>167</v>
      </c>
      <c r="C356" t="s">
        <v>187</v>
      </c>
      <c r="D356" t="s">
        <v>32</v>
      </c>
      <c r="E356" t="s">
        <v>33</v>
      </c>
      <c r="G356" s="2" t="str">
        <f t="shared" si="5"/>
        <v>TECATE|HUDSON</v>
      </c>
    </row>
    <row r="357" spans="1:7" x14ac:dyDescent="0.2">
      <c r="A357">
        <v>9191</v>
      </c>
      <c r="B357" t="s">
        <v>168</v>
      </c>
      <c r="C357" t="s">
        <v>187</v>
      </c>
      <c r="D357" t="s">
        <v>32</v>
      </c>
      <c r="E357" t="s">
        <v>33</v>
      </c>
      <c r="G357" s="2" t="str">
        <f t="shared" si="5"/>
        <v>BOHEMIA|HUDSON</v>
      </c>
    </row>
    <row r="358" spans="1:7" x14ac:dyDescent="0.2">
      <c r="A358">
        <v>9192</v>
      </c>
      <c r="B358" t="s">
        <v>169</v>
      </c>
      <c r="C358" t="s">
        <v>187</v>
      </c>
      <c r="D358" t="s">
        <v>32</v>
      </c>
      <c r="E358" t="s">
        <v>33</v>
      </c>
      <c r="G358" s="2" t="str">
        <f t="shared" si="5"/>
        <v>CARTA BLANCA|HUDSON</v>
      </c>
    </row>
    <row r="359" spans="1:7" x14ac:dyDescent="0.2">
      <c r="A359">
        <v>9193</v>
      </c>
      <c r="B359" t="s">
        <v>170</v>
      </c>
      <c r="C359" t="s">
        <v>187</v>
      </c>
      <c r="D359" t="s">
        <v>32</v>
      </c>
      <c r="E359" t="s">
        <v>33</v>
      </c>
      <c r="G359" s="2" t="str">
        <f t="shared" si="5"/>
        <v>TECATE LIGHT|HUDSON</v>
      </c>
    </row>
    <row r="360" spans="1:7" x14ac:dyDescent="0.2">
      <c r="A360">
        <v>9194</v>
      </c>
      <c r="B360" t="s">
        <v>171</v>
      </c>
      <c r="C360" t="s">
        <v>187</v>
      </c>
      <c r="D360" t="s">
        <v>32</v>
      </c>
      <c r="E360" t="s">
        <v>33</v>
      </c>
      <c r="G360" s="2" t="str">
        <f t="shared" si="5"/>
        <v>SAGRES CERVEJA|HUDSON</v>
      </c>
    </row>
    <row r="361" spans="1:7" x14ac:dyDescent="0.2">
      <c r="A361">
        <v>9195</v>
      </c>
      <c r="B361" t="s">
        <v>172</v>
      </c>
      <c r="C361" t="s">
        <v>187</v>
      </c>
      <c r="D361" t="s">
        <v>32</v>
      </c>
      <c r="E361" t="s">
        <v>33</v>
      </c>
      <c r="G361" s="2" t="str">
        <f t="shared" si="5"/>
        <v>PRESTIGE LAGER|HUDSON</v>
      </c>
    </row>
    <row r="362" spans="1:7" x14ac:dyDescent="0.2">
      <c r="A362">
        <v>9196</v>
      </c>
      <c r="B362" t="s">
        <v>173</v>
      </c>
      <c r="C362" t="s">
        <v>187</v>
      </c>
      <c r="D362" t="s">
        <v>32</v>
      </c>
      <c r="E362" t="s">
        <v>33</v>
      </c>
      <c r="G362" s="2" t="str">
        <f t="shared" si="5"/>
        <v>HEINEKEN 0.0|HUDSON</v>
      </c>
    </row>
    <row r="363" spans="1:7" x14ac:dyDescent="0.2">
      <c r="A363">
        <v>9198</v>
      </c>
      <c r="B363" t="s">
        <v>61</v>
      </c>
      <c r="C363" t="s">
        <v>188</v>
      </c>
      <c r="D363" t="s">
        <v>32</v>
      </c>
      <c r="E363" t="s">
        <v>33</v>
      </c>
      <c r="G363" s="2" t="str">
        <f t="shared" si="5"/>
        <v>SAMUEL ADAMS|UNION</v>
      </c>
    </row>
    <row r="364" spans="1:7" x14ac:dyDescent="0.2">
      <c r="A364">
        <v>9199</v>
      </c>
      <c r="B364" t="s">
        <v>63</v>
      </c>
      <c r="C364" t="s">
        <v>188</v>
      </c>
      <c r="D364" t="s">
        <v>32</v>
      </c>
      <c r="E364" t="s">
        <v>33</v>
      </c>
      <c r="G364" s="2" t="str">
        <f t="shared" si="5"/>
        <v>TRAVELER|UNION</v>
      </c>
    </row>
    <row r="365" spans="1:7" x14ac:dyDescent="0.2">
      <c r="A365">
        <v>9200</v>
      </c>
      <c r="B365" t="s">
        <v>64</v>
      </c>
      <c r="C365" t="s">
        <v>188</v>
      </c>
      <c r="D365" t="s">
        <v>32</v>
      </c>
      <c r="E365" t="s">
        <v>33</v>
      </c>
      <c r="G365" s="2" t="str">
        <f t="shared" si="5"/>
        <v>ANGRY ORCHARD|UNION</v>
      </c>
    </row>
    <row r="366" spans="1:7" x14ac:dyDescent="0.2">
      <c r="A366">
        <v>9201</v>
      </c>
      <c r="B366" t="s">
        <v>65</v>
      </c>
      <c r="C366" t="s">
        <v>188</v>
      </c>
      <c r="D366" t="s">
        <v>32</v>
      </c>
      <c r="E366" t="s">
        <v>33</v>
      </c>
      <c r="G366" s="2" t="str">
        <f t="shared" si="5"/>
        <v>TWISTED TEA|UNION</v>
      </c>
    </row>
    <row r="367" spans="1:7" x14ac:dyDescent="0.2">
      <c r="A367">
        <v>9202</v>
      </c>
      <c r="B367" t="s">
        <v>66</v>
      </c>
      <c r="C367" t="s">
        <v>188</v>
      </c>
      <c r="D367" t="s">
        <v>32</v>
      </c>
      <c r="E367" t="s">
        <v>33</v>
      </c>
      <c r="G367" s="2" t="str">
        <f t="shared" si="5"/>
        <v>CONEY ISLAND|UNION</v>
      </c>
    </row>
    <row r="368" spans="1:7" x14ac:dyDescent="0.2">
      <c r="A368">
        <v>9203</v>
      </c>
      <c r="B368" t="s">
        <v>67</v>
      </c>
      <c r="C368" t="s">
        <v>188</v>
      </c>
      <c r="D368" t="s">
        <v>32</v>
      </c>
      <c r="E368" t="s">
        <v>33</v>
      </c>
      <c r="G368" s="2" t="str">
        <f t="shared" si="5"/>
        <v>TRULY|UNION</v>
      </c>
    </row>
    <row r="369" spans="1:7" x14ac:dyDescent="0.2">
      <c r="A369">
        <v>9204</v>
      </c>
      <c r="B369" t="s">
        <v>68</v>
      </c>
      <c r="C369" t="s">
        <v>188</v>
      </c>
      <c r="D369" t="s">
        <v>32</v>
      </c>
      <c r="E369" t="s">
        <v>33</v>
      </c>
      <c r="G369" s="2" t="str">
        <f t="shared" si="5"/>
        <v>MARATHON|UNION</v>
      </c>
    </row>
    <row r="370" spans="1:7" x14ac:dyDescent="0.2">
      <c r="A370">
        <v>9205</v>
      </c>
      <c r="B370" t="s">
        <v>69</v>
      </c>
      <c r="C370" t="s">
        <v>188</v>
      </c>
      <c r="D370" t="s">
        <v>32</v>
      </c>
      <c r="E370" t="s">
        <v>33</v>
      </c>
      <c r="G370" s="2" t="str">
        <f t="shared" si="5"/>
        <v>WILD LEAF|UNION</v>
      </c>
    </row>
    <row r="371" spans="1:7" x14ac:dyDescent="0.2">
      <c r="A371">
        <v>9206</v>
      </c>
      <c r="B371" t="s">
        <v>70</v>
      </c>
      <c r="C371" t="s">
        <v>188</v>
      </c>
      <c r="D371" t="s">
        <v>32</v>
      </c>
      <c r="E371" t="s">
        <v>33</v>
      </c>
      <c r="G371" s="2" t="str">
        <f t="shared" si="5"/>
        <v>DOGFISH HEAD BEER|UNION</v>
      </c>
    </row>
    <row r="372" spans="1:7" x14ac:dyDescent="0.2">
      <c r="A372">
        <v>9207</v>
      </c>
      <c r="B372" t="s">
        <v>71</v>
      </c>
      <c r="C372" t="s">
        <v>188</v>
      </c>
      <c r="D372" t="s">
        <v>32</v>
      </c>
      <c r="E372" t="s">
        <v>33</v>
      </c>
      <c r="G372" s="2" t="str">
        <f t="shared" si="5"/>
        <v>BALLAST POINT|UNION</v>
      </c>
    </row>
    <row r="373" spans="1:7" x14ac:dyDescent="0.2">
      <c r="A373">
        <v>9208</v>
      </c>
      <c r="B373" t="s">
        <v>72</v>
      </c>
      <c r="C373" t="s">
        <v>188</v>
      </c>
      <c r="D373" t="s">
        <v>32</v>
      </c>
      <c r="E373" t="s">
        <v>33</v>
      </c>
      <c r="G373" s="2" t="str">
        <f t="shared" si="5"/>
        <v>JASMINE'S|UNION</v>
      </c>
    </row>
    <row r="374" spans="1:7" x14ac:dyDescent="0.2">
      <c r="A374">
        <v>9209</v>
      </c>
      <c r="B374" t="s">
        <v>73</v>
      </c>
      <c r="C374" t="s">
        <v>188</v>
      </c>
      <c r="D374" t="s">
        <v>32</v>
      </c>
      <c r="E374" t="s">
        <v>33</v>
      </c>
      <c r="G374" s="2" t="str">
        <f t="shared" si="5"/>
        <v>CORONA EXTRA|UNION</v>
      </c>
    </row>
    <row r="375" spans="1:7" x14ac:dyDescent="0.2">
      <c r="A375">
        <v>9210</v>
      </c>
      <c r="B375" t="s">
        <v>74</v>
      </c>
      <c r="C375" t="s">
        <v>188</v>
      </c>
      <c r="D375" t="s">
        <v>32</v>
      </c>
      <c r="E375" t="s">
        <v>33</v>
      </c>
      <c r="G375" s="2" t="str">
        <f t="shared" si="5"/>
        <v>CORONA FAMILIAR|UNION</v>
      </c>
    </row>
    <row r="376" spans="1:7" x14ac:dyDescent="0.2">
      <c r="A376">
        <v>9211</v>
      </c>
      <c r="B376" t="s">
        <v>75</v>
      </c>
      <c r="C376" t="s">
        <v>188</v>
      </c>
      <c r="D376" t="s">
        <v>32</v>
      </c>
      <c r="E376" t="s">
        <v>33</v>
      </c>
      <c r="G376" s="2" t="str">
        <f t="shared" si="5"/>
        <v>CORONA LIGHT|UNION</v>
      </c>
    </row>
    <row r="377" spans="1:7" x14ac:dyDescent="0.2">
      <c r="A377">
        <v>9212</v>
      </c>
      <c r="B377" t="s">
        <v>76</v>
      </c>
      <c r="C377" t="s">
        <v>188</v>
      </c>
      <c r="D377" t="s">
        <v>32</v>
      </c>
      <c r="E377" t="s">
        <v>33</v>
      </c>
      <c r="G377" s="2" t="str">
        <f t="shared" si="5"/>
        <v>PACIFICO|UNION</v>
      </c>
    </row>
    <row r="378" spans="1:7" x14ac:dyDescent="0.2">
      <c r="A378">
        <v>9213</v>
      </c>
      <c r="B378" t="s">
        <v>77</v>
      </c>
      <c r="C378" t="s">
        <v>188</v>
      </c>
      <c r="D378" t="s">
        <v>32</v>
      </c>
      <c r="E378" t="s">
        <v>33</v>
      </c>
      <c r="G378" s="2" t="str">
        <f t="shared" si="5"/>
        <v>MODELO NEGRA|UNION</v>
      </c>
    </row>
    <row r="379" spans="1:7" x14ac:dyDescent="0.2">
      <c r="A379">
        <v>9214</v>
      </c>
      <c r="B379" t="s">
        <v>78</v>
      </c>
      <c r="C379" t="s">
        <v>188</v>
      </c>
      <c r="D379" t="s">
        <v>32</v>
      </c>
      <c r="E379" t="s">
        <v>33</v>
      </c>
      <c r="G379" s="2" t="str">
        <f t="shared" si="5"/>
        <v>MODELO ESPECIAL|UNION</v>
      </c>
    </row>
    <row r="380" spans="1:7" x14ac:dyDescent="0.2">
      <c r="A380">
        <v>9215</v>
      </c>
      <c r="B380" t="s">
        <v>79</v>
      </c>
      <c r="C380" t="s">
        <v>188</v>
      </c>
      <c r="D380" t="s">
        <v>32</v>
      </c>
      <c r="E380" t="s">
        <v>33</v>
      </c>
      <c r="G380" s="2" t="str">
        <f t="shared" si="5"/>
        <v>VICTORIA|UNION</v>
      </c>
    </row>
    <row r="381" spans="1:7" x14ac:dyDescent="0.2">
      <c r="A381">
        <v>9216</v>
      </c>
      <c r="B381" t="s">
        <v>80</v>
      </c>
      <c r="C381" t="s">
        <v>188</v>
      </c>
      <c r="D381" t="s">
        <v>32</v>
      </c>
      <c r="E381" t="s">
        <v>33</v>
      </c>
      <c r="G381" s="2" t="str">
        <f t="shared" si="5"/>
        <v>MODELO CHELADA|UNION</v>
      </c>
    </row>
    <row r="382" spans="1:7" x14ac:dyDescent="0.2">
      <c r="A382">
        <v>9217</v>
      </c>
      <c r="B382" t="s">
        <v>81</v>
      </c>
      <c r="C382" t="s">
        <v>188</v>
      </c>
      <c r="D382" t="s">
        <v>32</v>
      </c>
      <c r="E382" t="s">
        <v>33</v>
      </c>
      <c r="G382" s="2" t="str">
        <f t="shared" si="5"/>
        <v>CORONA PREMIER|UNION</v>
      </c>
    </row>
    <row r="383" spans="1:7" x14ac:dyDescent="0.2">
      <c r="A383">
        <v>9218</v>
      </c>
      <c r="B383" t="s">
        <v>82</v>
      </c>
      <c r="C383" t="s">
        <v>188</v>
      </c>
      <c r="D383" t="s">
        <v>32</v>
      </c>
      <c r="E383" t="s">
        <v>33</v>
      </c>
      <c r="G383" s="2" t="str">
        <f t="shared" si="5"/>
        <v>CORONA REFRESCA|UNION</v>
      </c>
    </row>
    <row r="384" spans="1:7" x14ac:dyDescent="0.2">
      <c r="A384">
        <v>9219</v>
      </c>
      <c r="B384" t="s">
        <v>83</v>
      </c>
      <c r="C384" t="s">
        <v>188</v>
      </c>
      <c r="D384" t="s">
        <v>32</v>
      </c>
      <c r="E384" t="s">
        <v>33</v>
      </c>
      <c r="G384" s="2" t="str">
        <f t="shared" si="5"/>
        <v>CORONA SELTZER|UNION</v>
      </c>
    </row>
    <row r="385" spans="1:7" x14ac:dyDescent="0.2">
      <c r="A385">
        <v>9221</v>
      </c>
      <c r="B385" t="s">
        <v>84</v>
      </c>
      <c r="C385" t="s">
        <v>188</v>
      </c>
      <c r="D385" t="s">
        <v>32</v>
      </c>
      <c r="E385" t="s">
        <v>33</v>
      </c>
      <c r="G385" s="2" t="str">
        <f t="shared" si="5"/>
        <v>FRANKS|UNION</v>
      </c>
    </row>
    <row r="386" spans="1:7" x14ac:dyDescent="0.2">
      <c r="A386">
        <v>9222</v>
      </c>
      <c r="B386" t="s">
        <v>85</v>
      </c>
      <c r="C386" t="s">
        <v>188</v>
      </c>
      <c r="D386" t="s">
        <v>32</v>
      </c>
      <c r="E386" t="s">
        <v>33</v>
      </c>
      <c r="G386" s="2" t="str">
        <f t="shared" si="5"/>
        <v>TGI FRIDAYS|UNION</v>
      </c>
    </row>
    <row r="387" spans="1:7" x14ac:dyDescent="0.2">
      <c r="A387">
        <v>9223</v>
      </c>
      <c r="B387" t="s">
        <v>86</v>
      </c>
      <c r="C387" t="s">
        <v>188</v>
      </c>
      <c r="D387" t="s">
        <v>32</v>
      </c>
      <c r="E387" t="s">
        <v>33</v>
      </c>
      <c r="G387" s="2" t="str">
        <f t="shared" si="5"/>
        <v>TIPSY TOMATO|UNION</v>
      </c>
    </row>
    <row r="388" spans="1:7" x14ac:dyDescent="0.2">
      <c r="A388">
        <v>9224</v>
      </c>
      <c r="B388" t="s">
        <v>87</v>
      </c>
      <c r="C388" t="s">
        <v>188</v>
      </c>
      <c r="D388" t="s">
        <v>32</v>
      </c>
      <c r="E388" t="s">
        <v>33</v>
      </c>
      <c r="G388" s="2" t="str">
        <f t="shared" si="5"/>
        <v>MIKE'S HARD LEMONADE|UNION</v>
      </c>
    </row>
    <row r="389" spans="1:7" x14ac:dyDescent="0.2">
      <c r="A389">
        <v>9225</v>
      </c>
      <c r="B389" t="s">
        <v>88</v>
      </c>
      <c r="C389" t="s">
        <v>188</v>
      </c>
      <c r="D389" t="s">
        <v>32</v>
      </c>
      <c r="E389" t="s">
        <v>33</v>
      </c>
      <c r="G389" s="2" t="str">
        <f t="shared" si="5"/>
        <v>MIKE'S HARDER|UNION</v>
      </c>
    </row>
    <row r="390" spans="1:7" x14ac:dyDescent="0.2">
      <c r="A390">
        <v>9226</v>
      </c>
      <c r="B390" t="s">
        <v>89</v>
      </c>
      <c r="C390" t="s">
        <v>188</v>
      </c>
      <c r="D390" t="s">
        <v>32</v>
      </c>
      <c r="E390" t="s">
        <v>33</v>
      </c>
      <c r="G390" s="2" t="str">
        <f t="shared" si="5"/>
        <v>CAYMAN JACK|UNION</v>
      </c>
    </row>
    <row r="391" spans="1:7" x14ac:dyDescent="0.2">
      <c r="A391">
        <v>9227</v>
      </c>
      <c r="B391" t="s">
        <v>90</v>
      </c>
      <c r="C391" t="s">
        <v>188</v>
      </c>
      <c r="D391" t="s">
        <v>32</v>
      </c>
      <c r="E391" t="s">
        <v>33</v>
      </c>
      <c r="G391" s="2" t="str">
        <f t="shared" ref="G391:G454" si="6">UPPER(B391)&amp;"|"&amp;UPPER(C391)</f>
        <v>MXD COCKTAILS|UNION</v>
      </c>
    </row>
    <row r="392" spans="1:7" x14ac:dyDescent="0.2">
      <c r="A392">
        <v>9228</v>
      </c>
      <c r="B392" t="s">
        <v>91</v>
      </c>
      <c r="C392" t="s">
        <v>188</v>
      </c>
      <c r="D392" t="s">
        <v>32</v>
      </c>
      <c r="E392" t="s">
        <v>33</v>
      </c>
      <c r="G392" s="2" t="str">
        <f t="shared" si="6"/>
        <v>PALM BREEZE|UNION</v>
      </c>
    </row>
    <row r="393" spans="1:7" x14ac:dyDescent="0.2">
      <c r="A393">
        <v>9229</v>
      </c>
      <c r="B393" t="s">
        <v>92</v>
      </c>
      <c r="C393" t="s">
        <v>188</v>
      </c>
      <c r="D393" t="s">
        <v>32</v>
      </c>
      <c r="E393" t="s">
        <v>33</v>
      </c>
      <c r="G393" s="2" t="str">
        <f t="shared" si="6"/>
        <v>WHITE CLAW|UNION</v>
      </c>
    </row>
    <row r="394" spans="1:7" x14ac:dyDescent="0.2">
      <c r="A394">
        <v>9230</v>
      </c>
      <c r="B394" t="s">
        <v>93</v>
      </c>
      <c r="C394" t="s">
        <v>188</v>
      </c>
      <c r="D394" t="s">
        <v>32</v>
      </c>
      <c r="E394" t="s">
        <v>33</v>
      </c>
      <c r="G394" s="2" t="str">
        <f t="shared" si="6"/>
        <v>COORS|UNION</v>
      </c>
    </row>
    <row r="395" spans="1:7" x14ac:dyDescent="0.2">
      <c r="A395">
        <v>9231</v>
      </c>
      <c r="B395" t="s">
        <v>94</v>
      </c>
      <c r="C395" t="s">
        <v>188</v>
      </c>
      <c r="D395" t="s">
        <v>32</v>
      </c>
      <c r="E395" t="s">
        <v>33</v>
      </c>
      <c r="G395" s="2" t="str">
        <f t="shared" si="6"/>
        <v>COORS LIGHT|UNION</v>
      </c>
    </row>
    <row r="396" spans="1:7" x14ac:dyDescent="0.2">
      <c r="A396">
        <v>9232</v>
      </c>
      <c r="B396" t="s">
        <v>95</v>
      </c>
      <c r="C396" t="s">
        <v>188</v>
      </c>
      <c r="D396" t="s">
        <v>32</v>
      </c>
      <c r="E396" t="s">
        <v>33</v>
      </c>
      <c r="G396" s="2" t="str">
        <f t="shared" si="6"/>
        <v>COORS EXTRA GOLD|UNION</v>
      </c>
    </row>
    <row r="397" spans="1:7" x14ac:dyDescent="0.2">
      <c r="A397">
        <v>9233</v>
      </c>
      <c r="B397" t="s">
        <v>96</v>
      </c>
      <c r="C397" t="s">
        <v>188</v>
      </c>
      <c r="D397" t="s">
        <v>32</v>
      </c>
      <c r="E397" t="s">
        <v>33</v>
      </c>
      <c r="G397" s="2" t="str">
        <f t="shared" si="6"/>
        <v>KEYSTONE|UNION</v>
      </c>
    </row>
    <row r="398" spans="1:7" x14ac:dyDescent="0.2">
      <c r="A398">
        <v>9234</v>
      </c>
      <c r="B398" t="s">
        <v>97</v>
      </c>
      <c r="C398" t="s">
        <v>188</v>
      </c>
      <c r="D398" t="s">
        <v>32</v>
      </c>
      <c r="E398" t="s">
        <v>33</v>
      </c>
      <c r="G398" s="2" t="str">
        <f t="shared" si="6"/>
        <v>ZIMA|UNION</v>
      </c>
    </row>
    <row r="399" spans="1:7" x14ac:dyDescent="0.2">
      <c r="A399">
        <v>9235</v>
      </c>
      <c r="B399" t="s">
        <v>98</v>
      </c>
      <c r="C399" t="s">
        <v>188</v>
      </c>
      <c r="D399" t="s">
        <v>32</v>
      </c>
      <c r="E399" t="s">
        <v>33</v>
      </c>
      <c r="G399" s="2" t="str">
        <f t="shared" si="6"/>
        <v>COORS SELTZER|UNION</v>
      </c>
    </row>
    <row r="400" spans="1:7" x14ac:dyDescent="0.2">
      <c r="A400">
        <v>9236</v>
      </c>
      <c r="B400" t="s">
        <v>99</v>
      </c>
      <c r="C400" t="s">
        <v>188</v>
      </c>
      <c r="D400" t="s">
        <v>32</v>
      </c>
      <c r="E400" t="s">
        <v>33</v>
      </c>
      <c r="G400" s="2" t="str">
        <f t="shared" si="6"/>
        <v>BLUE MOON|UNION</v>
      </c>
    </row>
    <row r="401" spans="1:7" x14ac:dyDescent="0.2">
      <c r="A401">
        <v>9237</v>
      </c>
      <c r="B401" t="s">
        <v>100</v>
      </c>
      <c r="C401" t="s">
        <v>188</v>
      </c>
      <c r="D401" t="s">
        <v>32</v>
      </c>
      <c r="E401" t="s">
        <v>33</v>
      </c>
      <c r="G401" s="2" t="str">
        <f t="shared" si="6"/>
        <v>CRISPIN|UNION</v>
      </c>
    </row>
    <row r="402" spans="1:7" x14ac:dyDescent="0.2">
      <c r="A402">
        <v>9238</v>
      </c>
      <c r="B402" t="s">
        <v>101</v>
      </c>
      <c r="C402" t="s">
        <v>188</v>
      </c>
      <c r="D402" t="s">
        <v>32</v>
      </c>
      <c r="E402" t="s">
        <v>33</v>
      </c>
      <c r="G402" s="2" t="str">
        <f t="shared" si="6"/>
        <v>HENRY'S WEINHARDS|UNION</v>
      </c>
    </row>
    <row r="403" spans="1:7" x14ac:dyDescent="0.2">
      <c r="A403">
        <v>9239</v>
      </c>
      <c r="B403" t="s">
        <v>102</v>
      </c>
      <c r="C403" t="s">
        <v>188</v>
      </c>
      <c r="D403" t="s">
        <v>32</v>
      </c>
      <c r="E403" t="s">
        <v>33</v>
      </c>
      <c r="G403" s="2" t="str">
        <f t="shared" si="6"/>
        <v>TWO HATS|UNION</v>
      </c>
    </row>
    <row r="404" spans="1:7" x14ac:dyDescent="0.2">
      <c r="A404">
        <v>9240</v>
      </c>
      <c r="B404" t="s">
        <v>103</v>
      </c>
      <c r="C404" t="s">
        <v>188</v>
      </c>
      <c r="D404" t="s">
        <v>32</v>
      </c>
      <c r="E404" t="s">
        <v>33</v>
      </c>
      <c r="G404" s="2" t="str">
        <f t="shared" si="6"/>
        <v>GEORGE KILLIAN'S|UNION</v>
      </c>
    </row>
    <row r="405" spans="1:7" x14ac:dyDescent="0.2">
      <c r="A405">
        <v>9241</v>
      </c>
      <c r="B405" t="s">
        <v>104</v>
      </c>
      <c r="C405" t="s">
        <v>188</v>
      </c>
      <c r="D405" t="s">
        <v>32</v>
      </c>
      <c r="E405" t="s">
        <v>33</v>
      </c>
      <c r="G405" s="2" t="str">
        <f t="shared" si="6"/>
        <v>REDD'S|UNION</v>
      </c>
    </row>
    <row r="406" spans="1:7" x14ac:dyDescent="0.2">
      <c r="A406">
        <v>9242</v>
      </c>
      <c r="B406" t="s">
        <v>105</v>
      </c>
      <c r="C406" t="s">
        <v>188</v>
      </c>
      <c r="D406" t="s">
        <v>32</v>
      </c>
      <c r="E406" t="s">
        <v>33</v>
      </c>
      <c r="G406" s="2" t="str">
        <f t="shared" si="6"/>
        <v>THIRD SHIFT|UNION</v>
      </c>
    </row>
    <row r="407" spans="1:7" x14ac:dyDescent="0.2">
      <c r="A407">
        <v>9243</v>
      </c>
      <c r="B407" t="s">
        <v>106</v>
      </c>
      <c r="C407" t="s">
        <v>188</v>
      </c>
      <c r="D407" t="s">
        <v>32</v>
      </c>
      <c r="E407" t="s">
        <v>33</v>
      </c>
      <c r="G407" s="2" t="str">
        <f t="shared" si="6"/>
        <v>MOLSON|UNION</v>
      </c>
    </row>
    <row r="408" spans="1:7" x14ac:dyDescent="0.2">
      <c r="A408">
        <v>9244</v>
      </c>
      <c r="B408" t="s">
        <v>107</v>
      </c>
      <c r="C408" t="s">
        <v>188</v>
      </c>
      <c r="D408" t="s">
        <v>32</v>
      </c>
      <c r="E408" t="s">
        <v>33</v>
      </c>
      <c r="G408" s="2" t="str">
        <f t="shared" si="6"/>
        <v>HENRY'S HARD SPARKLING|UNION</v>
      </c>
    </row>
    <row r="409" spans="1:7" x14ac:dyDescent="0.2">
      <c r="A409">
        <v>9245</v>
      </c>
      <c r="B409" t="s">
        <v>108</v>
      </c>
      <c r="C409" t="s">
        <v>188</v>
      </c>
      <c r="D409" t="s">
        <v>32</v>
      </c>
      <c r="E409" t="s">
        <v>33</v>
      </c>
      <c r="G409" s="2" t="str">
        <f t="shared" si="6"/>
        <v>STEEL RESERVE|UNION</v>
      </c>
    </row>
    <row r="410" spans="1:7" x14ac:dyDescent="0.2">
      <c r="A410">
        <v>9246</v>
      </c>
      <c r="B410" t="s">
        <v>109</v>
      </c>
      <c r="C410" t="s">
        <v>188</v>
      </c>
      <c r="D410" t="s">
        <v>32</v>
      </c>
      <c r="E410" t="s">
        <v>33</v>
      </c>
      <c r="G410" s="2" t="str">
        <f t="shared" si="6"/>
        <v>COORS EDGE|UNION</v>
      </c>
    </row>
    <row r="411" spans="1:7" x14ac:dyDescent="0.2">
      <c r="A411">
        <v>9247</v>
      </c>
      <c r="B411" t="s">
        <v>110</v>
      </c>
      <c r="C411" t="s">
        <v>188</v>
      </c>
      <c r="D411" t="s">
        <v>32</v>
      </c>
      <c r="E411" t="s">
        <v>33</v>
      </c>
      <c r="G411" s="2" t="str">
        <f t="shared" si="6"/>
        <v>STEEL RESERVE ALLOY SERIES|UNION</v>
      </c>
    </row>
    <row r="412" spans="1:7" x14ac:dyDescent="0.2">
      <c r="A412">
        <v>9248</v>
      </c>
      <c r="B412" t="s">
        <v>111</v>
      </c>
      <c r="C412" t="s">
        <v>188</v>
      </c>
      <c r="D412" t="s">
        <v>32</v>
      </c>
      <c r="E412" t="s">
        <v>33</v>
      </c>
      <c r="G412" s="2" t="str">
        <f t="shared" si="6"/>
        <v>AGUILA|UNION</v>
      </c>
    </row>
    <row r="413" spans="1:7" x14ac:dyDescent="0.2">
      <c r="A413">
        <v>9249</v>
      </c>
      <c r="B413" t="s">
        <v>112</v>
      </c>
      <c r="C413" t="s">
        <v>188</v>
      </c>
      <c r="D413" t="s">
        <v>32</v>
      </c>
      <c r="E413" t="s">
        <v>33</v>
      </c>
      <c r="G413" s="2" t="str">
        <f t="shared" si="6"/>
        <v>SMITH &amp; FORGE|UNION</v>
      </c>
    </row>
    <row r="414" spans="1:7" x14ac:dyDescent="0.2">
      <c r="A414">
        <v>9250</v>
      </c>
      <c r="B414" t="s">
        <v>113</v>
      </c>
      <c r="C414" t="s">
        <v>188</v>
      </c>
      <c r="D414" t="s">
        <v>32</v>
      </c>
      <c r="E414" t="s">
        <v>33</v>
      </c>
      <c r="G414" s="2" t="str">
        <f t="shared" si="6"/>
        <v>REDD'S WICKED|UNION</v>
      </c>
    </row>
    <row r="415" spans="1:7" x14ac:dyDescent="0.2">
      <c r="A415">
        <v>9251</v>
      </c>
      <c r="B415" t="s">
        <v>114</v>
      </c>
      <c r="C415" t="s">
        <v>188</v>
      </c>
      <c r="D415" t="s">
        <v>32</v>
      </c>
      <c r="E415" t="s">
        <v>33</v>
      </c>
      <c r="G415" s="2" t="str">
        <f t="shared" si="6"/>
        <v>HENRY'S HARD SODAS|UNION</v>
      </c>
    </row>
    <row r="416" spans="1:7" x14ac:dyDescent="0.2">
      <c r="A416">
        <v>9252</v>
      </c>
      <c r="B416" t="s">
        <v>115</v>
      </c>
      <c r="C416" t="s">
        <v>188</v>
      </c>
      <c r="D416" t="s">
        <v>32</v>
      </c>
      <c r="E416" t="s">
        <v>33</v>
      </c>
      <c r="G416" s="2" t="str">
        <f t="shared" si="6"/>
        <v>HAMM'S|UNION</v>
      </c>
    </row>
    <row r="417" spans="1:7" x14ac:dyDescent="0.2">
      <c r="A417">
        <v>9253</v>
      </c>
      <c r="B417" t="s">
        <v>116</v>
      </c>
      <c r="C417" t="s">
        <v>188</v>
      </c>
      <c r="D417" t="s">
        <v>32</v>
      </c>
      <c r="E417" t="s">
        <v>33</v>
      </c>
      <c r="G417" s="2" t="str">
        <f t="shared" si="6"/>
        <v>HAMM'S LIGHT|UNION</v>
      </c>
    </row>
    <row r="418" spans="1:7" x14ac:dyDescent="0.2">
      <c r="A418">
        <v>9254</v>
      </c>
      <c r="B418" t="s">
        <v>7</v>
      </c>
      <c r="C418" t="s">
        <v>188</v>
      </c>
      <c r="D418" t="s">
        <v>32</v>
      </c>
      <c r="E418" t="s">
        <v>33</v>
      </c>
      <c r="G418" s="2" t="str">
        <f t="shared" si="6"/>
        <v>MILLER HIGH LIFE|UNION</v>
      </c>
    </row>
    <row r="419" spans="1:7" x14ac:dyDescent="0.2">
      <c r="A419">
        <v>9255</v>
      </c>
      <c r="B419" t="s">
        <v>117</v>
      </c>
      <c r="C419" t="s">
        <v>188</v>
      </c>
      <c r="D419" t="s">
        <v>32</v>
      </c>
      <c r="E419" t="s">
        <v>33</v>
      </c>
      <c r="G419" s="2" t="str">
        <f t="shared" si="6"/>
        <v>MILLER HIGH LIFE LIGHT|UNION</v>
      </c>
    </row>
    <row r="420" spans="1:7" x14ac:dyDescent="0.2">
      <c r="A420">
        <v>9256</v>
      </c>
      <c r="B420" t="s">
        <v>118</v>
      </c>
      <c r="C420" t="s">
        <v>188</v>
      </c>
      <c r="D420" t="s">
        <v>32</v>
      </c>
      <c r="E420" t="s">
        <v>33</v>
      </c>
      <c r="G420" s="2" t="str">
        <f t="shared" si="6"/>
        <v>ICEHOUSE|UNION</v>
      </c>
    </row>
    <row r="421" spans="1:7" x14ac:dyDescent="0.2">
      <c r="A421">
        <v>9257</v>
      </c>
      <c r="B421" t="s">
        <v>119</v>
      </c>
      <c r="C421" t="s">
        <v>188</v>
      </c>
      <c r="D421" t="s">
        <v>32</v>
      </c>
      <c r="E421" t="s">
        <v>33</v>
      </c>
      <c r="G421" s="2" t="str">
        <f t="shared" si="6"/>
        <v>ICEHOUSE EDGE|UNION</v>
      </c>
    </row>
    <row r="422" spans="1:7" x14ac:dyDescent="0.2">
      <c r="A422">
        <v>9258</v>
      </c>
      <c r="B422" t="s">
        <v>120</v>
      </c>
      <c r="C422" t="s">
        <v>188</v>
      </c>
      <c r="D422" t="s">
        <v>32</v>
      </c>
      <c r="E422" t="s">
        <v>33</v>
      </c>
      <c r="G422" s="2" t="str">
        <f t="shared" si="6"/>
        <v>LITE|UNION</v>
      </c>
    </row>
    <row r="423" spans="1:7" x14ac:dyDescent="0.2">
      <c r="A423">
        <v>9259</v>
      </c>
      <c r="B423" t="s">
        <v>121</v>
      </c>
      <c r="C423" t="s">
        <v>188</v>
      </c>
      <c r="D423" t="s">
        <v>32</v>
      </c>
      <c r="E423" t="s">
        <v>33</v>
      </c>
      <c r="G423" s="2" t="str">
        <f t="shared" si="6"/>
        <v>MOVO|UNION</v>
      </c>
    </row>
    <row r="424" spans="1:7" x14ac:dyDescent="0.2">
      <c r="A424">
        <v>9260</v>
      </c>
      <c r="B424" t="s">
        <v>122</v>
      </c>
      <c r="C424" t="s">
        <v>188</v>
      </c>
      <c r="D424" t="s">
        <v>32</v>
      </c>
      <c r="E424" t="s">
        <v>33</v>
      </c>
      <c r="G424" s="2" t="str">
        <f t="shared" si="6"/>
        <v>MILLER GENUINE DRAFT|UNION</v>
      </c>
    </row>
    <row r="425" spans="1:7" x14ac:dyDescent="0.2">
      <c r="A425">
        <v>9261</v>
      </c>
      <c r="B425" t="s">
        <v>123</v>
      </c>
      <c r="C425" t="s">
        <v>188</v>
      </c>
      <c r="D425" t="s">
        <v>32</v>
      </c>
      <c r="E425" t="s">
        <v>33</v>
      </c>
      <c r="G425" s="2" t="str">
        <f t="shared" si="6"/>
        <v>MICKEY MALT|UNION</v>
      </c>
    </row>
    <row r="426" spans="1:7" x14ac:dyDescent="0.2">
      <c r="A426">
        <v>9262</v>
      </c>
      <c r="B426" t="s">
        <v>124</v>
      </c>
      <c r="C426" t="s">
        <v>188</v>
      </c>
      <c r="D426" t="s">
        <v>32</v>
      </c>
      <c r="E426" t="s">
        <v>33</v>
      </c>
      <c r="G426" s="2" t="str">
        <f t="shared" si="6"/>
        <v>MILLER EXTRA LIGHT|UNION</v>
      </c>
    </row>
    <row r="427" spans="1:7" x14ac:dyDescent="0.2">
      <c r="A427">
        <v>9263</v>
      </c>
      <c r="B427" t="s">
        <v>125</v>
      </c>
      <c r="C427" t="s">
        <v>188</v>
      </c>
      <c r="D427" t="s">
        <v>32</v>
      </c>
      <c r="E427" t="s">
        <v>33</v>
      </c>
      <c r="G427" s="2" t="str">
        <f t="shared" si="6"/>
        <v>MILLER FORTUNE|UNION</v>
      </c>
    </row>
    <row r="428" spans="1:7" x14ac:dyDescent="0.2">
      <c r="A428">
        <v>9264</v>
      </c>
      <c r="B428" t="s">
        <v>126</v>
      </c>
      <c r="C428" t="s">
        <v>188</v>
      </c>
      <c r="D428" t="s">
        <v>32</v>
      </c>
      <c r="E428" t="s">
        <v>33</v>
      </c>
      <c r="G428" s="2" t="str">
        <f t="shared" si="6"/>
        <v>MILWAUKEE'S BEST|UNION</v>
      </c>
    </row>
    <row r="429" spans="1:7" x14ac:dyDescent="0.2">
      <c r="A429">
        <v>9265</v>
      </c>
      <c r="B429" t="s">
        <v>127</v>
      </c>
      <c r="C429" t="s">
        <v>188</v>
      </c>
      <c r="D429" t="s">
        <v>32</v>
      </c>
      <c r="E429" t="s">
        <v>33</v>
      </c>
      <c r="G429" s="2" t="str">
        <f t="shared" si="6"/>
        <v>MILWAUKEE'S BEST ICE|UNION</v>
      </c>
    </row>
    <row r="430" spans="1:7" x14ac:dyDescent="0.2">
      <c r="A430">
        <v>9266</v>
      </c>
      <c r="B430" t="s">
        <v>128</v>
      </c>
      <c r="C430" t="s">
        <v>188</v>
      </c>
      <c r="D430" t="s">
        <v>32</v>
      </c>
      <c r="E430" t="s">
        <v>33</v>
      </c>
      <c r="G430" s="2" t="str">
        <f t="shared" si="6"/>
        <v>MILWAUKEE'S BEST LIGHT|UNION</v>
      </c>
    </row>
    <row r="431" spans="1:7" x14ac:dyDescent="0.2">
      <c r="A431">
        <v>9267</v>
      </c>
      <c r="B431" t="s">
        <v>129</v>
      </c>
      <c r="C431" t="s">
        <v>188</v>
      </c>
      <c r="D431" t="s">
        <v>32</v>
      </c>
      <c r="E431" t="s">
        <v>33</v>
      </c>
      <c r="G431" s="2" t="str">
        <f t="shared" si="6"/>
        <v>LEINENKUGEL|UNION</v>
      </c>
    </row>
    <row r="432" spans="1:7" x14ac:dyDescent="0.2">
      <c r="A432">
        <v>9268</v>
      </c>
      <c r="B432" t="s">
        <v>130</v>
      </c>
      <c r="C432" t="s">
        <v>188</v>
      </c>
      <c r="D432" t="s">
        <v>32</v>
      </c>
      <c r="E432" t="s">
        <v>33</v>
      </c>
      <c r="G432" s="2" t="str">
        <f t="shared" si="6"/>
        <v>LEINENKUGEL SHANDY|UNION</v>
      </c>
    </row>
    <row r="433" spans="1:7" x14ac:dyDescent="0.2">
      <c r="A433">
        <v>9269</v>
      </c>
      <c r="B433" t="s">
        <v>131</v>
      </c>
      <c r="C433" t="s">
        <v>188</v>
      </c>
      <c r="D433" t="s">
        <v>32</v>
      </c>
      <c r="E433" t="s">
        <v>33</v>
      </c>
      <c r="G433" s="2" t="str">
        <f t="shared" si="6"/>
        <v>CRISTAL|UNION</v>
      </c>
    </row>
    <row r="434" spans="1:7" x14ac:dyDescent="0.2">
      <c r="A434">
        <v>9270</v>
      </c>
      <c r="B434" t="s">
        <v>132</v>
      </c>
      <c r="C434" t="s">
        <v>188</v>
      </c>
      <c r="D434" t="s">
        <v>32</v>
      </c>
      <c r="E434" t="s">
        <v>33</v>
      </c>
      <c r="G434" s="2" t="str">
        <f t="shared" si="6"/>
        <v>CUSQUENA|UNION</v>
      </c>
    </row>
    <row r="435" spans="1:7" x14ac:dyDescent="0.2">
      <c r="A435">
        <v>9271</v>
      </c>
      <c r="B435" t="s">
        <v>133</v>
      </c>
      <c r="C435" t="s">
        <v>188</v>
      </c>
      <c r="D435" t="s">
        <v>32</v>
      </c>
      <c r="E435" t="s">
        <v>33</v>
      </c>
      <c r="G435" s="2" t="str">
        <f t="shared" si="6"/>
        <v>FOSTERS|UNION</v>
      </c>
    </row>
    <row r="436" spans="1:7" x14ac:dyDescent="0.2">
      <c r="A436">
        <v>9272</v>
      </c>
      <c r="B436" t="s">
        <v>134</v>
      </c>
      <c r="C436" t="s">
        <v>188</v>
      </c>
      <c r="D436" t="s">
        <v>32</v>
      </c>
      <c r="E436" t="s">
        <v>33</v>
      </c>
      <c r="G436" s="2" t="str">
        <f t="shared" si="6"/>
        <v>GROLSCH|UNION</v>
      </c>
    </row>
    <row r="437" spans="1:7" x14ac:dyDescent="0.2">
      <c r="A437">
        <v>9273</v>
      </c>
      <c r="B437" t="s">
        <v>135</v>
      </c>
      <c r="C437" t="s">
        <v>188</v>
      </c>
      <c r="D437" t="s">
        <v>32</v>
      </c>
      <c r="E437" t="s">
        <v>33</v>
      </c>
      <c r="G437" s="2" t="str">
        <f t="shared" si="6"/>
        <v>LECH|UNION</v>
      </c>
    </row>
    <row r="438" spans="1:7" x14ac:dyDescent="0.2">
      <c r="A438">
        <v>9274</v>
      </c>
      <c r="B438" t="s">
        <v>136</v>
      </c>
      <c r="C438" t="s">
        <v>188</v>
      </c>
      <c r="D438" t="s">
        <v>32</v>
      </c>
      <c r="E438" t="s">
        <v>33</v>
      </c>
      <c r="G438" s="2" t="str">
        <f t="shared" si="6"/>
        <v>PERONI|UNION</v>
      </c>
    </row>
    <row r="439" spans="1:7" x14ac:dyDescent="0.2">
      <c r="A439">
        <v>9275</v>
      </c>
      <c r="B439" t="s">
        <v>137</v>
      </c>
      <c r="C439" t="s">
        <v>188</v>
      </c>
      <c r="D439" t="s">
        <v>32</v>
      </c>
      <c r="E439" t="s">
        <v>33</v>
      </c>
      <c r="G439" s="2" t="str">
        <f t="shared" si="6"/>
        <v>PILSNER URQUELL|UNION</v>
      </c>
    </row>
    <row r="440" spans="1:7" x14ac:dyDescent="0.2">
      <c r="A440">
        <v>9276</v>
      </c>
      <c r="B440" t="s">
        <v>138</v>
      </c>
      <c r="C440" t="s">
        <v>188</v>
      </c>
      <c r="D440" t="s">
        <v>32</v>
      </c>
      <c r="E440" t="s">
        <v>33</v>
      </c>
      <c r="G440" s="2" t="str">
        <f t="shared" si="6"/>
        <v>TYSKIE GRONIE|UNION</v>
      </c>
    </row>
    <row r="441" spans="1:7" x14ac:dyDescent="0.2">
      <c r="A441">
        <v>9277</v>
      </c>
      <c r="B441" t="s">
        <v>139</v>
      </c>
      <c r="C441" t="s">
        <v>188</v>
      </c>
      <c r="D441" t="s">
        <v>32</v>
      </c>
      <c r="E441" t="s">
        <v>33</v>
      </c>
      <c r="G441" s="2" t="str">
        <f t="shared" si="6"/>
        <v>OLD ENGLISH|UNION</v>
      </c>
    </row>
    <row r="442" spans="1:7" x14ac:dyDescent="0.2">
      <c r="A442">
        <v>9278</v>
      </c>
      <c r="B442" t="s">
        <v>140</v>
      </c>
      <c r="C442" t="s">
        <v>188</v>
      </c>
      <c r="D442" t="s">
        <v>32</v>
      </c>
      <c r="E442" t="s">
        <v>33</v>
      </c>
      <c r="G442" s="2" t="str">
        <f t="shared" si="6"/>
        <v>SOL|UNION</v>
      </c>
    </row>
    <row r="443" spans="1:7" x14ac:dyDescent="0.2">
      <c r="A443">
        <v>9279</v>
      </c>
      <c r="B443" t="s">
        <v>141</v>
      </c>
      <c r="C443" t="s">
        <v>188</v>
      </c>
      <c r="D443" t="s">
        <v>32</v>
      </c>
      <c r="E443" t="s">
        <v>33</v>
      </c>
      <c r="G443" s="2" t="str">
        <f t="shared" si="6"/>
        <v>ARNOLD PALMER|UNION</v>
      </c>
    </row>
    <row r="444" spans="1:7" x14ac:dyDescent="0.2">
      <c r="A444">
        <v>9280</v>
      </c>
      <c r="B444" t="s">
        <v>142</v>
      </c>
      <c r="C444" t="s">
        <v>188</v>
      </c>
      <c r="D444" t="s">
        <v>32</v>
      </c>
      <c r="E444" t="s">
        <v>33</v>
      </c>
      <c r="G444" s="2" t="str">
        <f t="shared" si="6"/>
        <v>CAPE LINE|UNION</v>
      </c>
    </row>
    <row r="445" spans="1:7" x14ac:dyDescent="0.2">
      <c r="A445">
        <v>9281</v>
      </c>
      <c r="B445" t="s">
        <v>143</v>
      </c>
      <c r="C445" t="s">
        <v>188</v>
      </c>
      <c r="D445" t="s">
        <v>32</v>
      </c>
      <c r="E445" t="s">
        <v>33</v>
      </c>
      <c r="G445" s="2" t="str">
        <f t="shared" si="6"/>
        <v>ST ARCHER|UNION</v>
      </c>
    </row>
    <row r="446" spans="1:7" x14ac:dyDescent="0.2">
      <c r="A446">
        <v>9282</v>
      </c>
      <c r="B446" t="s">
        <v>144</v>
      </c>
      <c r="C446" t="s">
        <v>188</v>
      </c>
      <c r="D446" t="s">
        <v>32</v>
      </c>
      <c r="E446" t="s">
        <v>33</v>
      </c>
      <c r="G446" s="2" t="str">
        <f t="shared" si="6"/>
        <v>VIZZY|UNION</v>
      </c>
    </row>
    <row r="447" spans="1:7" x14ac:dyDescent="0.2">
      <c r="A447">
        <v>9283</v>
      </c>
      <c r="B447" t="s">
        <v>145</v>
      </c>
      <c r="C447" t="s">
        <v>188</v>
      </c>
      <c r="D447" t="s">
        <v>32</v>
      </c>
      <c r="E447" t="s">
        <v>33</v>
      </c>
      <c r="G447" s="2" t="str">
        <f t="shared" si="6"/>
        <v>NARRAGANSETT|UNION</v>
      </c>
    </row>
    <row r="448" spans="1:7" x14ac:dyDescent="0.2">
      <c r="A448">
        <v>9284</v>
      </c>
      <c r="B448" t="s">
        <v>146</v>
      </c>
      <c r="C448" t="s">
        <v>188</v>
      </c>
      <c r="D448" t="s">
        <v>32</v>
      </c>
      <c r="E448" t="s">
        <v>33</v>
      </c>
      <c r="G448" s="2" t="str">
        <f t="shared" si="6"/>
        <v>NEW BELGIUM BREWING COMPANY|UNION</v>
      </c>
    </row>
    <row r="449" spans="1:7" x14ac:dyDescent="0.2">
      <c r="A449">
        <v>9285</v>
      </c>
      <c r="B449" t="s">
        <v>147</v>
      </c>
      <c r="C449" t="s">
        <v>188</v>
      </c>
      <c r="D449" t="s">
        <v>32</v>
      </c>
      <c r="E449" t="s">
        <v>33</v>
      </c>
      <c r="G449" s="2" t="str">
        <f t="shared" si="6"/>
        <v>SHINER|UNION</v>
      </c>
    </row>
    <row r="450" spans="1:7" x14ac:dyDescent="0.2">
      <c r="A450">
        <v>9286</v>
      </c>
      <c r="B450" t="s">
        <v>148</v>
      </c>
      <c r="C450" t="s">
        <v>188</v>
      </c>
      <c r="D450" t="s">
        <v>32</v>
      </c>
      <c r="E450" t="s">
        <v>33</v>
      </c>
      <c r="G450" s="2" t="str">
        <f t="shared" si="6"/>
        <v>SIERRA NEVADA|UNION</v>
      </c>
    </row>
    <row r="451" spans="1:7" x14ac:dyDescent="0.2">
      <c r="A451">
        <v>9287</v>
      </c>
      <c r="B451" t="s">
        <v>149</v>
      </c>
      <c r="C451" t="s">
        <v>188</v>
      </c>
      <c r="D451" t="s">
        <v>32</v>
      </c>
      <c r="E451" t="s">
        <v>33</v>
      </c>
      <c r="G451" s="2" t="str">
        <f t="shared" si="6"/>
        <v>STRAINGE BEAST|UNION</v>
      </c>
    </row>
    <row r="452" spans="1:7" x14ac:dyDescent="0.2">
      <c r="A452">
        <v>9288</v>
      </c>
      <c r="B452" t="s">
        <v>150</v>
      </c>
      <c r="C452" t="s">
        <v>188</v>
      </c>
      <c r="D452" t="s">
        <v>32</v>
      </c>
      <c r="E452" t="s">
        <v>33</v>
      </c>
      <c r="G452" s="2" t="str">
        <f t="shared" si="6"/>
        <v>TERRAPIN BEER COMPANY|UNION</v>
      </c>
    </row>
    <row r="453" spans="1:7" x14ac:dyDescent="0.2">
      <c r="A453">
        <v>9289</v>
      </c>
      <c r="B453" t="s">
        <v>151</v>
      </c>
      <c r="C453" t="s">
        <v>188</v>
      </c>
      <c r="D453" t="s">
        <v>32</v>
      </c>
      <c r="E453" t="s">
        <v>33</v>
      </c>
      <c r="G453" s="2" t="str">
        <f t="shared" si="6"/>
        <v>MOOSEHEAD|UNION</v>
      </c>
    </row>
    <row r="454" spans="1:7" x14ac:dyDescent="0.2">
      <c r="A454">
        <v>9290</v>
      </c>
      <c r="B454" t="s">
        <v>152</v>
      </c>
      <c r="C454" t="s">
        <v>188</v>
      </c>
      <c r="D454" t="s">
        <v>32</v>
      </c>
      <c r="E454" t="s">
        <v>33</v>
      </c>
      <c r="G454" s="2" t="str">
        <f t="shared" si="6"/>
        <v>PRESS|UNION</v>
      </c>
    </row>
    <row r="455" spans="1:7" x14ac:dyDescent="0.2">
      <c r="A455">
        <v>9291</v>
      </c>
      <c r="B455" t="s">
        <v>153</v>
      </c>
      <c r="C455" t="s">
        <v>188</v>
      </c>
      <c r="D455" t="s">
        <v>32</v>
      </c>
      <c r="E455" t="s">
        <v>33</v>
      </c>
      <c r="G455" s="2" t="str">
        <f t="shared" ref="G455:G518" si="7">UPPER(B455)&amp;"|"&amp;UPPER(C455)</f>
        <v>DG YUENGLING INC|UNION</v>
      </c>
    </row>
    <row r="456" spans="1:7" x14ac:dyDescent="0.2">
      <c r="A456">
        <v>9302</v>
      </c>
      <c r="B456" t="s">
        <v>154</v>
      </c>
      <c r="C456" t="s">
        <v>188</v>
      </c>
      <c r="D456" t="s">
        <v>32</v>
      </c>
      <c r="E456" t="s">
        <v>33</v>
      </c>
      <c r="G456" s="2" t="str">
        <f t="shared" si="7"/>
        <v>HEINEKEN USA|UNION</v>
      </c>
    </row>
    <row r="457" spans="1:7" x14ac:dyDescent="0.2">
      <c r="A457">
        <v>9303</v>
      </c>
      <c r="B457" t="s">
        <v>155</v>
      </c>
      <c r="C457" t="s">
        <v>188</v>
      </c>
      <c r="D457" t="s">
        <v>32</v>
      </c>
      <c r="E457" t="s">
        <v>33</v>
      </c>
      <c r="G457" s="2" t="str">
        <f t="shared" si="7"/>
        <v>HEINEKEN DARK|UNION</v>
      </c>
    </row>
    <row r="458" spans="1:7" x14ac:dyDescent="0.2">
      <c r="A458">
        <v>9304</v>
      </c>
      <c r="B458" t="s">
        <v>156</v>
      </c>
      <c r="C458" t="s">
        <v>188</v>
      </c>
      <c r="D458" t="s">
        <v>32</v>
      </c>
      <c r="E458" t="s">
        <v>33</v>
      </c>
      <c r="G458" s="2" t="str">
        <f t="shared" si="7"/>
        <v>HEINEKEN LIGHT|UNION</v>
      </c>
    </row>
    <row r="459" spans="1:7" x14ac:dyDescent="0.2">
      <c r="A459">
        <v>9305</v>
      </c>
      <c r="B459" t="s">
        <v>157</v>
      </c>
      <c r="C459" t="s">
        <v>188</v>
      </c>
      <c r="D459" t="s">
        <v>32</v>
      </c>
      <c r="E459" t="s">
        <v>33</v>
      </c>
      <c r="G459" s="2" t="str">
        <f t="shared" si="7"/>
        <v>AMSTEL|UNION</v>
      </c>
    </row>
    <row r="460" spans="1:7" x14ac:dyDescent="0.2">
      <c r="A460">
        <v>9306</v>
      </c>
      <c r="B460" t="s">
        <v>158</v>
      </c>
      <c r="C460" t="s">
        <v>188</v>
      </c>
      <c r="D460" t="s">
        <v>32</v>
      </c>
      <c r="E460" t="s">
        <v>33</v>
      </c>
      <c r="G460" s="2" t="str">
        <f t="shared" si="7"/>
        <v>NEWCASTLE|UNION</v>
      </c>
    </row>
    <row r="461" spans="1:7" x14ac:dyDescent="0.2">
      <c r="A461">
        <v>9307</v>
      </c>
      <c r="B461" t="s">
        <v>159</v>
      </c>
      <c r="C461" t="s">
        <v>188</v>
      </c>
      <c r="D461" t="s">
        <v>32</v>
      </c>
      <c r="E461" t="s">
        <v>33</v>
      </c>
      <c r="G461" s="2" t="str">
        <f t="shared" si="7"/>
        <v>BUCKLER|UNION</v>
      </c>
    </row>
    <row r="462" spans="1:7" x14ac:dyDescent="0.2">
      <c r="A462">
        <v>9308</v>
      </c>
      <c r="B462" t="s">
        <v>160</v>
      </c>
      <c r="C462" t="s">
        <v>188</v>
      </c>
      <c r="D462" t="s">
        <v>32</v>
      </c>
      <c r="E462" t="s">
        <v>33</v>
      </c>
      <c r="G462" s="2" t="str">
        <f t="shared" si="7"/>
        <v>STRONGBOW|UNION</v>
      </c>
    </row>
    <row r="463" spans="1:7" x14ac:dyDescent="0.2">
      <c r="A463">
        <v>9309</v>
      </c>
      <c r="B463" t="s">
        <v>161</v>
      </c>
      <c r="C463" t="s">
        <v>188</v>
      </c>
      <c r="D463" t="s">
        <v>32</v>
      </c>
      <c r="E463" t="s">
        <v>33</v>
      </c>
      <c r="G463" s="2" t="str">
        <f t="shared" si="7"/>
        <v>MURPHY'S|UNION</v>
      </c>
    </row>
    <row r="464" spans="1:7" x14ac:dyDescent="0.2">
      <c r="A464">
        <v>9310</v>
      </c>
      <c r="B464" t="s">
        <v>162</v>
      </c>
      <c r="C464" t="s">
        <v>188</v>
      </c>
      <c r="D464" t="s">
        <v>32</v>
      </c>
      <c r="E464" t="s">
        <v>33</v>
      </c>
      <c r="G464" s="2" t="str">
        <f t="shared" si="7"/>
        <v>TIGER|UNION</v>
      </c>
    </row>
    <row r="465" spans="1:7" x14ac:dyDescent="0.2">
      <c r="A465">
        <v>9311</v>
      </c>
      <c r="B465" t="s">
        <v>163</v>
      </c>
      <c r="C465" t="s">
        <v>188</v>
      </c>
      <c r="D465" t="s">
        <v>32</v>
      </c>
      <c r="E465" t="s">
        <v>33</v>
      </c>
      <c r="G465" s="2" t="str">
        <f t="shared" si="7"/>
        <v>RED STRIPE|UNION</v>
      </c>
    </row>
    <row r="466" spans="1:7" x14ac:dyDescent="0.2">
      <c r="A466">
        <v>9312</v>
      </c>
      <c r="B466" t="s">
        <v>164</v>
      </c>
      <c r="C466" t="s">
        <v>188</v>
      </c>
      <c r="D466" t="s">
        <v>32</v>
      </c>
      <c r="E466" t="s">
        <v>33</v>
      </c>
      <c r="G466" s="2" t="str">
        <f t="shared" si="7"/>
        <v>BIRRA MORETTI|UNION</v>
      </c>
    </row>
    <row r="467" spans="1:7" x14ac:dyDescent="0.2">
      <c r="A467">
        <v>9313</v>
      </c>
      <c r="B467" t="s">
        <v>165</v>
      </c>
      <c r="C467" t="s">
        <v>188</v>
      </c>
      <c r="D467" t="s">
        <v>32</v>
      </c>
      <c r="E467" t="s">
        <v>33</v>
      </c>
      <c r="G467" s="2" t="str">
        <f t="shared" si="7"/>
        <v>AFFLIGEM|UNION</v>
      </c>
    </row>
    <row r="468" spans="1:7" x14ac:dyDescent="0.2">
      <c r="A468">
        <v>9316</v>
      </c>
      <c r="B468" t="s">
        <v>166</v>
      </c>
      <c r="C468" t="s">
        <v>188</v>
      </c>
      <c r="D468" t="s">
        <v>32</v>
      </c>
      <c r="E468" t="s">
        <v>33</v>
      </c>
      <c r="G468" s="2" t="str">
        <f t="shared" si="7"/>
        <v>CERVEZAS DE MEXICO|UNION</v>
      </c>
    </row>
    <row r="469" spans="1:7" x14ac:dyDescent="0.2">
      <c r="A469">
        <v>9317</v>
      </c>
      <c r="B469" t="s">
        <v>167</v>
      </c>
      <c r="C469" t="s">
        <v>188</v>
      </c>
      <c r="D469" t="s">
        <v>32</v>
      </c>
      <c r="E469" t="s">
        <v>33</v>
      </c>
      <c r="G469" s="2" t="str">
        <f t="shared" si="7"/>
        <v>TECATE|UNION</v>
      </c>
    </row>
    <row r="470" spans="1:7" x14ac:dyDescent="0.2">
      <c r="A470">
        <v>9318</v>
      </c>
      <c r="B470" t="s">
        <v>168</v>
      </c>
      <c r="C470" t="s">
        <v>188</v>
      </c>
      <c r="D470" t="s">
        <v>32</v>
      </c>
      <c r="E470" t="s">
        <v>33</v>
      </c>
      <c r="G470" s="2" t="str">
        <f t="shared" si="7"/>
        <v>BOHEMIA|UNION</v>
      </c>
    </row>
    <row r="471" spans="1:7" x14ac:dyDescent="0.2">
      <c r="A471">
        <v>9319</v>
      </c>
      <c r="B471" t="s">
        <v>169</v>
      </c>
      <c r="C471" t="s">
        <v>188</v>
      </c>
      <c r="D471" t="s">
        <v>32</v>
      </c>
      <c r="E471" t="s">
        <v>33</v>
      </c>
      <c r="G471" s="2" t="str">
        <f t="shared" si="7"/>
        <v>CARTA BLANCA|UNION</v>
      </c>
    </row>
    <row r="472" spans="1:7" x14ac:dyDescent="0.2">
      <c r="A472">
        <v>9320</v>
      </c>
      <c r="B472" t="s">
        <v>170</v>
      </c>
      <c r="C472" t="s">
        <v>188</v>
      </c>
      <c r="D472" t="s">
        <v>32</v>
      </c>
      <c r="E472" t="s">
        <v>33</v>
      </c>
      <c r="G472" s="2" t="str">
        <f t="shared" si="7"/>
        <v>TECATE LIGHT|UNION</v>
      </c>
    </row>
    <row r="473" spans="1:7" x14ac:dyDescent="0.2">
      <c r="A473">
        <v>9321</v>
      </c>
      <c r="B473" t="s">
        <v>171</v>
      </c>
      <c r="C473" t="s">
        <v>188</v>
      </c>
      <c r="D473" t="s">
        <v>32</v>
      </c>
      <c r="E473" t="s">
        <v>33</v>
      </c>
      <c r="G473" s="2" t="str">
        <f t="shared" si="7"/>
        <v>SAGRES CERVEJA|UNION</v>
      </c>
    </row>
    <row r="474" spans="1:7" x14ac:dyDescent="0.2">
      <c r="A474">
        <v>9322</v>
      </c>
      <c r="B474" t="s">
        <v>172</v>
      </c>
      <c r="C474" t="s">
        <v>188</v>
      </c>
      <c r="D474" t="s">
        <v>32</v>
      </c>
      <c r="E474" t="s">
        <v>33</v>
      </c>
      <c r="G474" s="2" t="str">
        <f t="shared" si="7"/>
        <v>PRESTIGE LAGER|UNION</v>
      </c>
    </row>
    <row r="475" spans="1:7" x14ac:dyDescent="0.2">
      <c r="A475">
        <v>9323</v>
      </c>
      <c r="B475" t="s">
        <v>173</v>
      </c>
      <c r="C475" t="s">
        <v>188</v>
      </c>
      <c r="D475" t="s">
        <v>32</v>
      </c>
      <c r="E475" t="s">
        <v>33</v>
      </c>
      <c r="G475" s="2" t="str">
        <f t="shared" si="7"/>
        <v>HEINEKEN 0.0|UNION</v>
      </c>
    </row>
    <row r="476" spans="1:7" x14ac:dyDescent="0.2">
      <c r="A476">
        <v>9325</v>
      </c>
      <c r="B476" t="s">
        <v>30</v>
      </c>
      <c r="C476" t="s">
        <v>188</v>
      </c>
      <c r="D476" t="s">
        <v>32</v>
      </c>
      <c r="E476" t="s">
        <v>33</v>
      </c>
      <c r="G476" s="2" t="str">
        <f t="shared" si="7"/>
        <v>ANCHOR|UNION</v>
      </c>
    </row>
    <row r="477" spans="1:7" x14ac:dyDescent="0.2">
      <c r="A477">
        <v>9326</v>
      </c>
      <c r="B477" t="s">
        <v>43</v>
      </c>
      <c r="C477" t="s">
        <v>188</v>
      </c>
      <c r="D477" t="s">
        <v>32</v>
      </c>
      <c r="E477" t="s">
        <v>33</v>
      </c>
      <c r="G477" s="2" t="str">
        <f t="shared" si="7"/>
        <v>FLYING FISH|UNION</v>
      </c>
    </row>
    <row r="478" spans="1:7" x14ac:dyDescent="0.2">
      <c r="A478">
        <v>9327</v>
      </c>
      <c r="B478" t="s">
        <v>174</v>
      </c>
      <c r="C478" t="s">
        <v>188</v>
      </c>
      <c r="D478" t="s">
        <v>32</v>
      </c>
      <c r="E478" t="s">
        <v>33</v>
      </c>
      <c r="G478" s="2" t="str">
        <f t="shared" si="7"/>
        <v>BASIC|UNION</v>
      </c>
    </row>
    <row r="479" spans="1:7" x14ac:dyDescent="0.2">
      <c r="A479">
        <v>9328</v>
      </c>
      <c r="B479" t="s">
        <v>175</v>
      </c>
      <c r="C479" t="s">
        <v>188</v>
      </c>
      <c r="D479" t="s">
        <v>32</v>
      </c>
      <c r="E479" t="s">
        <v>33</v>
      </c>
      <c r="G479" s="2" t="str">
        <f t="shared" si="7"/>
        <v>MAMITA'S|UNION</v>
      </c>
    </row>
    <row r="480" spans="1:7" x14ac:dyDescent="0.2">
      <c r="A480">
        <v>9329</v>
      </c>
      <c r="B480" t="s">
        <v>176</v>
      </c>
      <c r="C480" t="s">
        <v>188</v>
      </c>
      <c r="D480" t="s">
        <v>32</v>
      </c>
      <c r="E480" t="s">
        <v>33</v>
      </c>
      <c r="G480" s="2" t="str">
        <f t="shared" si="7"/>
        <v>FOUR LOKO|UNION</v>
      </c>
    </row>
    <row r="481" spans="1:7" x14ac:dyDescent="0.2">
      <c r="A481">
        <v>9330</v>
      </c>
      <c r="B481" t="s">
        <v>177</v>
      </c>
      <c r="C481" t="s">
        <v>188</v>
      </c>
      <c r="D481" t="s">
        <v>32</v>
      </c>
      <c r="E481" t="s">
        <v>33</v>
      </c>
      <c r="G481" s="2" t="str">
        <f t="shared" si="7"/>
        <v>EARTHQUAKE|UNION</v>
      </c>
    </row>
    <row r="482" spans="1:7" x14ac:dyDescent="0.2">
      <c r="A482">
        <v>9331</v>
      </c>
      <c r="B482" t="s">
        <v>178</v>
      </c>
      <c r="C482" t="s">
        <v>188</v>
      </c>
      <c r="D482" t="s">
        <v>32</v>
      </c>
      <c r="E482" t="s">
        <v>33</v>
      </c>
      <c r="G482" s="2" t="str">
        <f t="shared" si="7"/>
        <v>MOSKATO|UNION</v>
      </c>
    </row>
    <row r="483" spans="1:7" x14ac:dyDescent="0.2">
      <c r="A483">
        <v>9332</v>
      </c>
      <c r="B483" t="s">
        <v>179</v>
      </c>
      <c r="C483" t="s">
        <v>188</v>
      </c>
      <c r="D483" t="s">
        <v>32</v>
      </c>
      <c r="E483" t="s">
        <v>33</v>
      </c>
      <c r="G483" s="2" t="str">
        <f t="shared" si="7"/>
        <v>SIGNTURE COCKT|UNION</v>
      </c>
    </row>
    <row r="484" spans="1:7" x14ac:dyDescent="0.2">
      <c r="A484">
        <v>9333</v>
      </c>
      <c r="B484" t="s">
        <v>180</v>
      </c>
      <c r="C484" t="s">
        <v>188</v>
      </c>
      <c r="D484" t="s">
        <v>32</v>
      </c>
      <c r="E484" t="s">
        <v>33</v>
      </c>
      <c r="G484" s="2" t="str">
        <f t="shared" si="7"/>
        <v>BARTENDER SERIES|UNION</v>
      </c>
    </row>
    <row r="485" spans="1:7" x14ac:dyDescent="0.2">
      <c r="A485">
        <v>9334</v>
      </c>
      <c r="B485" t="s">
        <v>181</v>
      </c>
      <c r="C485" t="s">
        <v>188</v>
      </c>
      <c r="D485" t="s">
        <v>32</v>
      </c>
      <c r="E485" t="s">
        <v>33</v>
      </c>
      <c r="G485" s="2" t="str">
        <f t="shared" si="7"/>
        <v>JOHN DALY|UNION</v>
      </c>
    </row>
    <row r="486" spans="1:7" x14ac:dyDescent="0.2">
      <c r="A486">
        <v>9335</v>
      </c>
      <c r="B486" t="s">
        <v>182</v>
      </c>
      <c r="C486" t="s">
        <v>188</v>
      </c>
      <c r="D486" t="s">
        <v>32</v>
      </c>
      <c r="E486" t="s">
        <v>33</v>
      </c>
      <c r="G486" s="2" t="str">
        <f t="shared" si="7"/>
        <v>HARD FRESCO|UNION</v>
      </c>
    </row>
    <row r="487" spans="1:7" x14ac:dyDescent="0.2">
      <c r="A487">
        <v>9336</v>
      </c>
      <c r="B487" t="s">
        <v>44</v>
      </c>
      <c r="C487" t="s">
        <v>188</v>
      </c>
      <c r="D487" t="s">
        <v>32</v>
      </c>
      <c r="E487" t="s">
        <v>33</v>
      </c>
      <c r="G487" s="2" t="str">
        <f t="shared" si="7"/>
        <v>BOLD ROCK|UNION</v>
      </c>
    </row>
    <row r="488" spans="1:7" x14ac:dyDescent="0.2">
      <c r="A488">
        <v>9337</v>
      </c>
      <c r="B488" t="s">
        <v>45</v>
      </c>
      <c r="C488" t="s">
        <v>188</v>
      </c>
      <c r="D488" t="s">
        <v>32</v>
      </c>
      <c r="E488" t="s">
        <v>33</v>
      </c>
      <c r="G488" s="2" t="str">
        <f t="shared" si="7"/>
        <v>CITIZEN CIDER|UNION</v>
      </c>
    </row>
    <row r="489" spans="1:7" x14ac:dyDescent="0.2">
      <c r="A489">
        <v>9338</v>
      </c>
      <c r="B489" t="s">
        <v>46</v>
      </c>
      <c r="C489" t="s">
        <v>188</v>
      </c>
      <c r="D489" t="s">
        <v>32</v>
      </c>
      <c r="E489" t="s">
        <v>33</v>
      </c>
      <c r="G489" s="2" t="str">
        <f t="shared" si="7"/>
        <v>ITHACA|UNION</v>
      </c>
    </row>
    <row r="490" spans="1:7" x14ac:dyDescent="0.2">
      <c r="A490">
        <v>9339</v>
      </c>
      <c r="B490" t="s">
        <v>47</v>
      </c>
      <c r="C490" t="s">
        <v>188</v>
      </c>
      <c r="D490" t="s">
        <v>32</v>
      </c>
      <c r="E490" t="s">
        <v>33</v>
      </c>
      <c r="G490" s="2" t="str">
        <f t="shared" si="7"/>
        <v>OTTER CREEK|UNION</v>
      </c>
    </row>
    <row r="491" spans="1:7" x14ac:dyDescent="0.2">
      <c r="A491">
        <v>9340</v>
      </c>
      <c r="B491" t="s">
        <v>48</v>
      </c>
      <c r="C491" t="s">
        <v>188</v>
      </c>
      <c r="D491" t="s">
        <v>32</v>
      </c>
      <c r="E491" t="s">
        <v>33</v>
      </c>
      <c r="G491" s="2" t="str">
        <f t="shared" si="7"/>
        <v>SHED|UNION</v>
      </c>
    </row>
    <row r="492" spans="1:7" x14ac:dyDescent="0.2">
      <c r="A492">
        <v>9341</v>
      </c>
      <c r="B492" t="s">
        <v>49</v>
      </c>
      <c r="C492" t="s">
        <v>188</v>
      </c>
      <c r="D492" t="s">
        <v>32</v>
      </c>
      <c r="E492" t="s">
        <v>33</v>
      </c>
      <c r="G492" s="2" t="str">
        <f t="shared" si="7"/>
        <v>MCKENZIE'S|UNION</v>
      </c>
    </row>
    <row r="493" spans="1:7" x14ac:dyDescent="0.2">
      <c r="A493">
        <v>9342</v>
      </c>
      <c r="B493" t="s">
        <v>50</v>
      </c>
      <c r="C493" t="s">
        <v>188</v>
      </c>
      <c r="D493" t="s">
        <v>32</v>
      </c>
      <c r="E493" t="s">
        <v>33</v>
      </c>
      <c r="G493" s="2" t="str">
        <f t="shared" si="7"/>
        <v>OLD SPECKLED HEN|UNION</v>
      </c>
    </row>
    <row r="494" spans="1:7" x14ac:dyDescent="0.2">
      <c r="A494">
        <v>9343</v>
      </c>
      <c r="B494" t="s">
        <v>51</v>
      </c>
      <c r="C494" t="s">
        <v>188</v>
      </c>
      <c r="D494" t="s">
        <v>32</v>
      </c>
      <c r="E494" t="s">
        <v>33</v>
      </c>
      <c r="G494" s="2" t="str">
        <f t="shared" si="7"/>
        <v>HACKER-PSCHORR|UNION</v>
      </c>
    </row>
    <row r="495" spans="1:7" x14ac:dyDescent="0.2">
      <c r="A495">
        <v>9344</v>
      </c>
      <c r="B495" t="s">
        <v>52</v>
      </c>
      <c r="C495" t="s">
        <v>188</v>
      </c>
      <c r="D495" t="s">
        <v>32</v>
      </c>
      <c r="E495" t="s">
        <v>33</v>
      </c>
      <c r="G495" s="2" t="str">
        <f t="shared" si="7"/>
        <v>PAULANER|UNION</v>
      </c>
    </row>
    <row r="496" spans="1:7" x14ac:dyDescent="0.2">
      <c r="A496">
        <v>9345</v>
      </c>
      <c r="B496" t="s">
        <v>53</v>
      </c>
      <c r="C496" t="s">
        <v>188</v>
      </c>
      <c r="D496" t="s">
        <v>32</v>
      </c>
      <c r="E496" t="s">
        <v>33</v>
      </c>
      <c r="G496" s="2" t="str">
        <f t="shared" si="7"/>
        <v>FRULI|UNION</v>
      </c>
    </row>
    <row r="497" spans="1:7" x14ac:dyDescent="0.2">
      <c r="A497">
        <v>9346</v>
      </c>
      <c r="B497" t="s">
        <v>54</v>
      </c>
      <c r="C497" t="s">
        <v>188</v>
      </c>
      <c r="D497" t="s">
        <v>32</v>
      </c>
      <c r="E497" t="s">
        <v>33</v>
      </c>
      <c r="G497" s="2" t="str">
        <f t="shared" si="7"/>
        <v>OHARA'S|UNION</v>
      </c>
    </row>
    <row r="498" spans="1:7" x14ac:dyDescent="0.2">
      <c r="A498">
        <v>9347</v>
      </c>
      <c r="B498" t="s">
        <v>55</v>
      </c>
      <c r="C498" t="s">
        <v>188</v>
      </c>
      <c r="D498" t="s">
        <v>32</v>
      </c>
      <c r="E498" t="s">
        <v>33</v>
      </c>
      <c r="G498" s="2" t="str">
        <f t="shared" si="7"/>
        <v>UNIBROUE|UNION</v>
      </c>
    </row>
    <row r="499" spans="1:7" x14ac:dyDescent="0.2">
      <c r="A499">
        <v>9348</v>
      </c>
      <c r="B499" t="s">
        <v>9</v>
      </c>
      <c r="C499" t="s">
        <v>188</v>
      </c>
      <c r="D499" t="s">
        <v>32</v>
      </c>
      <c r="E499" t="s">
        <v>33</v>
      </c>
      <c r="G499" s="2" t="str">
        <f t="shared" si="7"/>
        <v>SEA DOG|UNION</v>
      </c>
    </row>
    <row r="500" spans="1:7" x14ac:dyDescent="0.2">
      <c r="A500">
        <v>9349</v>
      </c>
      <c r="B500" t="s">
        <v>56</v>
      </c>
      <c r="C500" t="s">
        <v>188</v>
      </c>
      <c r="D500" t="s">
        <v>32</v>
      </c>
      <c r="E500" t="s">
        <v>33</v>
      </c>
      <c r="G500" s="2" t="str">
        <f t="shared" si="7"/>
        <v>SHIPYARD|UNION</v>
      </c>
    </row>
    <row r="501" spans="1:7" x14ac:dyDescent="0.2">
      <c r="A501">
        <v>9350</v>
      </c>
      <c r="B501" t="s">
        <v>57</v>
      </c>
      <c r="C501" t="s">
        <v>188</v>
      </c>
      <c r="D501" t="s">
        <v>32</v>
      </c>
      <c r="E501" t="s">
        <v>33</v>
      </c>
      <c r="G501" s="2" t="str">
        <f t="shared" si="7"/>
        <v>SOUTHERN TIER|UNION</v>
      </c>
    </row>
    <row r="502" spans="1:7" x14ac:dyDescent="0.2">
      <c r="A502">
        <v>9351</v>
      </c>
      <c r="B502" t="s">
        <v>58</v>
      </c>
      <c r="C502" t="s">
        <v>188</v>
      </c>
      <c r="D502" t="s">
        <v>32</v>
      </c>
      <c r="E502" t="s">
        <v>33</v>
      </c>
      <c r="G502" s="2" t="str">
        <f t="shared" si="7"/>
        <v>BANKS|UNION</v>
      </c>
    </row>
    <row r="503" spans="1:7" x14ac:dyDescent="0.2">
      <c r="A503">
        <v>9352</v>
      </c>
      <c r="B503" t="s">
        <v>59</v>
      </c>
      <c r="C503" t="s">
        <v>188</v>
      </c>
      <c r="D503" t="s">
        <v>32</v>
      </c>
      <c r="E503" t="s">
        <v>33</v>
      </c>
      <c r="G503" s="2" t="str">
        <f t="shared" si="7"/>
        <v>WEIHENSTEPHANER|UNION</v>
      </c>
    </row>
    <row r="504" spans="1:7" x14ac:dyDescent="0.2">
      <c r="A504">
        <v>9353</v>
      </c>
      <c r="B504" t="s">
        <v>60</v>
      </c>
      <c r="C504" t="s">
        <v>188</v>
      </c>
      <c r="D504" t="s">
        <v>32</v>
      </c>
      <c r="E504" t="s">
        <v>33</v>
      </c>
      <c r="G504" s="2" t="str">
        <f t="shared" si="7"/>
        <v>VICTORY|UNION</v>
      </c>
    </row>
    <row r="505" spans="1:7" x14ac:dyDescent="0.2">
      <c r="A505">
        <v>9354</v>
      </c>
      <c r="B505" t="s">
        <v>61</v>
      </c>
      <c r="C505" t="s">
        <v>189</v>
      </c>
      <c r="D505" t="s">
        <v>32</v>
      </c>
      <c r="E505" t="s">
        <v>33</v>
      </c>
      <c r="G505" s="2" t="str">
        <f t="shared" si="7"/>
        <v>SAMUEL ADAMS|ESSEX</v>
      </c>
    </row>
    <row r="506" spans="1:7" x14ac:dyDescent="0.2">
      <c r="A506">
        <v>9355</v>
      </c>
      <c r="B506" t="s">
        <v>63</v>
      </c>
      <c r="C506" t="s">
        <v>189</v>
      </c>
      <c r="D506" t="s">
        <v>32</v>
      </c>
      <c r="E506" t="s">
        <v>33</v>
      </c>
      <c r="G506" s="2" t="str">
        <f t="shared" si="7"/>
        <v>TRAVELER|ESSEX</v>
      </c>
    </row>
    <row r="507" spans="1:7" x14ac:dyDescent="0.2">
      <c r="A507">
        <v>9356</v>
      </c>
      <c r="B507" t="s">
        <v>64</v>
      </c>
      <c r="C507" t="s">
        <v>189</v>
      </c>
      <c r="D507" t="s">
        <v>32</v>
      </c>
      <c r="E507" t="s">
        <v>33</v>
      </c>
      <c r="G507" s="2" t="str">
        <f t="shared" si="7"/>
        <v>ANGRY ORCHARD|ESSEX</v>
      </c>
    </row>
    <row r="508" spans="1:7" x14ac:dyDescent="0.2">
      <c r="A508">
        <v>9357</v>
      </c>
      <c r="B508" t="s">
        <v>65</v>
      </c>
      <c r="C508" t="s">
        <v>189</v>
      </c>
      <c r="D508" t="s">
        <v>32</v>
      </c>
      <c r="E508" t="s">
        <v>33</v>
      </c>
      <c r="G508" s="2" t="str">
        <f t="shared" si="7"/>
        <v>TWISTED TEA|ESSEX</v>
      </c>
    </row>
    <row r="509" spans="1:7" x14ac:dyDescent="0.2">
      <c r="A509">
        <v>9358</v>
      </c>
      <c r="B509" t="s">
        <v>66</v>
      </c>
      <c r="C509" t="s">
        <v>189</v>
      </c>
      <c r="D509" t="s">
        <v>32</v>
      </c>
      <c r="E509" t="s">
        <v>33</v>
      </c>
      <c r="G509" s="2" t="str">
        <f t="shared" si="7"/>
        <v>CONEY ISLAND|ESSEX</v>
      </c>
    </row>
    <row r="510" spans="1:7" x14ac:dyDescent="0.2">
      <c r="A510">
        <v>9359</v>
      </c>
      <c r="B510" t="s">
        <v>67</v>
      </c>
      <c r="C510" t="s">
        <v>189</v>
      </c>
      <c r="D510" t="s">
        <v>32</v>
      </c>
      <c r="E510" t="s">
        <v>33</v>
      </c>
      <c r="G510" s="2" t="str">
        <f t="shared" si="7"/>
        <v>TRULY|ESSEX</v>
      </c>
    </row>
    <row r="511" spans="1:7" x14ac:dyDescent="0.2">
      <c r="A511">
        <v>9360</v>
      </c>
      <c r="B511" t="s">
        <v>68</v>
      </c>
      <c r="C511" t="s">
        <v>189</v>
      </c>
      <c r="D511" t="s">
        <v>32</v>
      </c>
      <c r="E511" t="s">
        <v>33</v>
      </c>
      <c r="G511" s="2" t="str">
        <f t="shared" si="7"/>
        <v>MARATHON|ESSEX</v>
      </c>
    </row>
    <row r="512" spans="1:7" x14ac:dyDescent="0.2">
      <c r="A512">
        <v>9361</v>
      </c>
      <c r="B512" t="s">
        <v>69</v>
      </c>
      <c r="C512" t="s">
        <v>189</v>
      </c>
      <c r="D512" t="s">
        <v>32</v>
      </c>
      <c r="E512" t="s">
        <v>33</v>
      </c>
      <c r="G512" s="2" t="str">
        <f t="shared" si="7"/>
        <v>WILD LEAF|ESSEX</v>
      </c>
    </row>
    <row r="513" spans="1:7" x14ac:dyDescent="0.2">
      <c r="A513">
        <v>9362</v>
      </c>
      <c r="B513" t="s">
        <v>70</v>
      </c>
      <c r="C513" t="s">
        <v>189</v>
      </c>
      <c r="D513" t="s">
        <v>32</v>
      </c>
      <c r="E513" t="s">
        <v>33</v>
      </c>
      <c r="G513" s="2" t="str">
        <f t="shared" si="7"/>
        <v>DOGFISH HEAD BEER|ESSEX</v>
      </c>
    </row>
    <row r="514" spans="1:7" x14ac:dyDescent="0.2">
      <c r="A514">
        <v>9363</v>
      </c>
      <c r="B514" t="s">
        <v>71</v>
      </c>
      <c r="C514" t="s">
        <v>189</v>
      </c>
      <c r="D514" t="s">
        <v>32</v>
      </c>
      <c r="E514" t="s">
        <v>33</v>
      </c>
      <c r="G514" s="2" t="str">
        <f t="shared" si="7"/>
        <v>BALLAST POINT|ESSEX</v>
      </c>
    </row>
    <row r="515" spans="1:7" x14ac:dyDescent="0.2">
      <c r="A515">
        <v>9364</v>
      </c>
      <c r="B515" t="s">
        <v>72</v>
      </c>
      <c r="C515" t="s">
        <v>189</v>
      </c>
      <c r="D515" t="s">
        <v>32</v>
      </c>
      <c r="E515" t="s">
        <v>33</v>
      </c>
      <c r="G515" s="2" t="str">
        <f t="shared" si="7"/>
        <v>JASMINE'S|ESSEX</v>
      </c>
    </row>
    <row r="516" spans="1:7" x14ac:dyDescent="0.2">
      <c r="A516">
        <v>9365</v>
      </c>
      <c r="B516" t="s">
        <v>73</v>
      </c>
      <c r="C516" t="s">
        <v>189</v>
      </c>
      <c r="D516" t="s">
        <v>32</v>
      </c>
      <c r="E516" t="s">
        <v>33</v>
      </c>
      <c r="G516" s="2" t="str">
        <f t="shared" si="7"/>
        <v>CORONA EXTRA|ESSEX</v>
      </c>
    </row>
    <row r="517" spans="1:7" x14ac:dyDescent="0.2">
      <c r="A517">
        <v>9366</v>
      </c>
      <c r="B517" t="s">
        <v>74</v>
      </c>
      <c r="C517" t="s">
        <v>189</v>
      </c>
      <c r="D517" t="s">
        <v>32</v>
      </c>
      <c r="E517" t="s">
        <v>33</v>
      </c>
      <c r="G517" s="2" t="str">
        <f t="shared" si="7"/>
        <v>CORONA FAMILIAR|ESSEX</v>
      </c>
    </row>
    <row r="518" spans="1:7" x14ac:dyDescent="0.2">
      <c r="A518">
        <v>9367</v>
      </c>
      <c r="B518" t="s">
        <v>75</v>
      </c>
      <c r="C518" t="s">
        <v>189</v>
      </c>
      <c r="D518" t="s">
        <v>32</v>
      </c>
      <c r="E518" t="s">
        <v>33</v>
      </c>
      <c r="G518" s="2" t="str">
        <f t="shared" si="7"/>
        <v>CORONA LIGHT|ESSEX</v>
      </c>
    </row>
    <row r="519" spans="1:7" x14ac:dyDescent="0.2">
      <c r="A519">
        <v>9368</v>
      </c>
      <c r="B519" t="s">
        <v>76</v>
      </c>
      <c r="C519" t="s">
        <v>189</v>
      </c>
      <c r="D519" t="s">
        <v>32</v>
      </c>
      <c r="E519" t="s">
        <v>33</v>
      </c>
      <c r="G519" s="2" t="str">
        <f t="shared" ref="G519:G582" si="8">UPPER(B519)&amp;"|"&amp;UPPER(C519)</f>
        <v>PACIFICO|ESSEX</v>
      </c>
    </row>
    <row r="520" spans="1:7" x14ac:dyDescent="0.2">
      <c r="A520">
        <v>9369</v>
      </c>
      <c r="B520" t="s">
        <v>77</v>
      </c>
      <c r="C520" t="s">
        <v>189</v>
      </c>
      <c r="D520" t="s">
        <v>32</v>
      </c>
      <c r="E520" t="s">
        <v>33</v>
      </c>
      <c r="G520" s="2" t="str">
        <f t="shared" si="8"/>
        <v>MODELO NEGRA|ESSEX</v>
      </c>
    </row>
    <row r="521" spans="1:7" x14ac:dyDescent="0.2">
      <c r="A521">
        <v>9370</v>
      </c>
      <c r="B521" t="s">
        <v>78</v>
      </c>
      <c r="C521" t="s">
        <v>189</v>
      </c>
      <c r="D521" t="s">
        <v>32</v>
      </c>
      <c r="E521" t="s">
        <v>33</v>
      </c>
      <c r="G521" s="2" t="str">
        <f t="shared" si="8"/>
        <v>MODELO ESPECIAL|ESSEX</v>
      </c>
    </row>
    <row r="522" spans="1:7" x14ac:dyDescent="0.2">
      <c r="A522">
        <v>9371</v>
      </c>
      <c r="B522" t="s">
        <v>79</v>
      </c>
      <c r="C522" t="s">
        <v>189</v>
      </c>
      <c r="D522" t="s">
        <v>32</v>
      </c>
      <c r="E522" t="s">
        <v>33</v>
      </c>
      <c r="G522" s="2" t="str">
        <f t="shared" si="8"/>
        <v>VICTORIA|ESSEX</v>
      </c>
    </row>
    <row r="523" spans="1:7" x14ac:dyDescent="0.2">
      <c r="A523">
        <v>9372</v>
      </c>
      <c r="B523" t="s">
        <v>80</v>
      </c>
      <c r="C523" t="s">
        <v>189</v>
      </c>
      <c r="D523" t="s">
        <v>32</v>
      </c>
      <c r="E523" t="s">
        <v>33</v>
      </c>
      <c r="G523" s="2" t="str">
        <f t="shared" si="8"/>
        <v>MODELO CHELADA|ESSEX</v>
      </c>
    </row>
    <row r="524" spans="1:7" x14ac:dyDescent="0.2">
      <c r="A524">
        <v>9373</v>
      </c>
      <c r="B524" t="s">
        <v>81</v>
      </c>
      <c r="C524" t="s">
        <v>189</v>
      </c>
      <c r="D524" t="s">
        <v>32</v>
      </c>
      <c r="E524" t="s">
        <v>33</v>
      </c>
      <c r="G524" s="2" t="str">
        <f t="shared" si="8"/>
        <v>CORONA PREMIER|ESSEX</v>
      </c>
    </row>
    <row r="525" spans="1:7" x14ac:dyDescent="0.2">
      <c r="A525">
        <v>9374</v>
      </c>
      <c r="B525" t="s">
        <v>82</v>
      </c>
      <c r="C525" t="s">
        <v>189</v>
      </c>
      <c r="D525" t="s">
        <v>32</v>
      </c>
      <c r="E525" t="s">
        <v>33</v>
      </c>
      <c r="G525" s="2" t="str">
        <f t="shared" si="8"/>
        <v>CORONA REFRESCA|ESSEX</v>
      </c>
    </row>
    <row r="526" spans="1:7" x14ac:dyDescent="0.2">
      <c r="A526">
        <v>9375</v>
      </c>
      <c r="B526" t="s">
        <v>83</v>
      </c>
      <c r="C526" t="s">
        <v>189</v>
      </c>
      <c r="D526" t="s">
        <v>32</v>
      </c>
      <c r="E526" t="s">
        <v>33</v>
      </c>
      <c r="G526" s="2" t="str">
        <f t="shared" si="8"/>
        <v>CORONA SELTZER|ESSEX</v>
      </c>
    </row>
    <row r="527" spans="1:7" x14ac:dyDescent="0.2">
      <c r="A527">
        <v>9377</v>
      </c>
      <c r="B527" t="s">
        <v>84</v>
      </c>
      <c r="C527" t="s">
        <v>189</v>
      </c>
      <c r="D527" t="s">
        <v>32</v>
      </c>
      <c r="E527" t="s">
        <v>33</v>
      </c>
      <c r="G527" s="2" t="str">
        <f t="shared" si="8"/>
        <v>FRANKS|ESSEX</v>
      </c>
    </row>
    <row r="528" spans="1:7" x14ac:dyDescent="0.2">
      <c r="A528">
        <v>9378</v>
      </c>
      <c r="B528" t="s">
        <v>85</v>
      </c>
      <c r="C528" t="s">
        <v>189</v>
      </c>
      <c r="D528" t="s">
        <v>32</v>
      </c>
      <c r="E528" t="s">
        <v>33</v>
      </c>
      <c r="G528" s="2" t="str">
        <f t="shared" si="8"/>
        <v>TGI FRIDAYS|ESSEX</v>
      </c>
    </row>
    <row r="529" spans="1:7" x14ac:dyDescent="0.2">
      <c r="A529">
        <v>9379</v>
      </c>
      <c r="B529" t="s">
        <v>86</v>
      </c>
      <c r="C529" t="s">
        <v>189</v>
      </c>
      <c r="D529" t="s">
        <v>32</v>
      </c>
      <c r="E529" t="s">
        <v>33</v>
      </c>
      <c r="G529" s="2" t="str">
        <f t="shared" si="8"/>
        <v>TIPSY TOMATO|ESSEX</v>
      </c>
    </row>
    <row r="530" spans="1:7" x14ac:dyDescent="0.2">
      <c r="A530">
        <v>9380</v>
      </c>
      <c r="B530" t="s">
        <v>87</v>
      </c>
      <c r="C530" t="s">
        <v>189</v>
      </c>
      <c r="D530" t="s">
        <v>32</v>
      </c>
      <c r="E530" t="s">
        <v>33</v>
      </c>
      <c r="G530" s="2" t="str">
        <f t="shared" si="8"/>
        <v>MIKE'S HARD LEMONADE|ESSEX</v>
      </c>
    </row>
    <row r="531" spans="1:7" x14ac:dyDescent="0.2">
      <c r="A531">
        <v>9381</v>
      </c>
      <c r="B531" t="s">
        <v>88</v>
      </c>
      <c r="C531" t="s">
        <v>189</v>
      </c>
      <c r="D531" t="s">
        <v>32</v>
      </c>
      <c r="E531" t="s">
        <v>33</v>
      </c>
      <c r="G531" s="2" t="str">
        <f t="shared" si="8"/>
        <v>MIKE'S HARDER|ESSEX</v>
      </c>
    </row>
    <row r="532" spans="1:7" x14ac:dyDescent="0.2">
      <c r="A532">
        <v>9382</v>
      </c>
      <c r="B532" t="s">
        <v>89</v>
      </c>
      <c r="C532" t="s">
        <v>189</v>
      </c>
      <c r="D532" t="s">
        <v>32</v>
      </c>
      <c r="E532" t="s">
        <v>33</v>
      </c>
      <c r="G532" s="2" t="str">
        <f t="shared" si="8"/>
        <v>CAYMAN JACK|ESSEX</v>
      </c>
    </row>
    <row r="533" spans="1:7" x14ac:dyDescent="0.2">
      <c r="A533">
        <v>9383</v>
      </c>
      <c r="B533" t="s">
        <v>90</v>
      </c>
      <c r="C533" t="s">
        <v>189</v>
      </c>
      <c r="D533" t="s">
        <v>32</v>
      </c>
      <c r="E533" t="s">
        <v>33</v>
      </c>
      <c r="G533" s="2" t="str">
        <f t="shared" si="8"/>
        <v>MXD COCKTAILS|ESSEX</v>
      </c>
    </row>
    <row r="534" spans="1:7" x14ac:dyDescent="0.2">
      <c r="A534">
        <v>9384</v>
      </c>
      <c r="B534" t="s">
        <v>91</v>
      </c>
      <c r="C534" t="s">
        <v>189</v>
      </c>
      <c r="D534" t="s">
        <v>32</v>
      </c>
      <c r="E534" t="s">
        <v>33</v>
      </c>
      <c r="G534" s="2" t="str">
        <f t="shared" si="8"/>
        <v>PALM BREEZE|ESSEX</v>
      </c>
    </row>
    <row r="535" spans="1:7" x14ac:dyDescent="0.2">
      <c r="A535">
        <v>9385</v>
      </c>
      <c r="B535" t="s">
        <v>92</v>
      </c>
      <c r="C535" t="s">
        <v>189</v>
      </c>
      <c r="D535" t="s">
        <v>32</v>
      </c>
      <c r="E535" t="s">
        <v>33</v>
      </c>
      <c r="G535" s="2" t="str">
        <f t="shared" si="8"/>
        <v>WHITE CLAW|ESSEX</v>
      </c>
    </row>
    <row r="536" spans="1:7" x14ac:dyDescent="0.2">
      <c r="A536">
        <v>9386</v>
      </c>
      <c r="B536" t="s">
        <v>93</v>
      </c>
      <c r="C536" t="s">
        <v>189</v>
      </c>
      <c r="D536" t="s">
        <v>32</v>
      </c>
      <c r="E536" t="s">
        <v>33</v>
      </c>
      <c r="G536" s="2" t="str">
        <f t="shared" si="8"/>
        <v>COORS|ESSEX</v>
      </c>
    </row>
    <row r="537" spans="1:7" x14ac:dyDescent="0.2">
      <c r="A537">
        <v>9387</v>
      </c>
      <c r="B537" t="s">
        <v>94</v>
      </c>
      <c r="C537" t="s">
        <v>189</v>
      </c>
      <c r="D537" t="s">
        <v>32</v>
      </c>
      <c r="E537" t="s">
        <v>33</v>
      </c>
      <c r="G537" s="2" t="str">
        <f t="shared" si="8"/>
        <v>COORS LIGHT|ESSEX</v>
      </c>
    </row>
    <row r="538" spans="1:7" x14ac:dyDescent="0.2">
      <c r="A538">
        <v>9388</v>
      </c>
      <c r="B538" t="s">
        <v>95</v>
      </c>
      <c r="C538" t="s">
        <v>189</v>
      </c>
      <c r="D538" t="s">
        <v>32</v>
      </c>
      <c r="E538" t="s">
        <v>33</v>
      </c>
      <c r="G538" s="2" t="str">
        <f t="shared" si="8"/>
        <v>COORS EXTRA GOLD|ESSEX</v>
      </c>
    </row>
    <row r="539" spans="1:7" x14ac:dyDescent="0.2">
      <c r="A539">
        <v>9389</v>
      </c>
      <c r="B539" t="s">
        <v>96</v>
      </c>
      <c r="C539" t="s">
        <v>189</v>
      </c>
      <c r="D539" t="s">
        <v>32</v>
      </c>
      <c r="E539" t="s">
        <v>33</v>
      </c>
      <c r="G539" s="2" t="str">
        <f t="shared" si="8"/>
        <v>KEYSTONE|ESSEX</v>
      </c>
    </row>
    <row r="540" spans="1:7" x14ac:dyDescent="0.2">
      <c r="A540">
        <v>9390</v>
      </c>
      <c r="B540" t="s">
        <v>97</v>
      </c>
      <c r="C540" t="s">
        <v>189</v>
      </c>
      <c r="D540" t="s">
        <v>32</v>
      </c>
      <c r="E540" t="s">
        <v>33</v>
      </c>
      <c r="G540" s="2" t="str">
        <f t="shared" si="8"/>
        <v>ZIMA|ESSEX</v>
      </c>
    </row>
    <row r="541" spans="1:7" x14ac:dyDescent="0.2">
      <c r="A541">
        <v>9391</v>
      </c>
      <c r="B541" t="s">
        <v>98</v>
      </c>
      <c r="C541" t="s">
        <v>189</v>
      </c>
      <c r="D541" t="s">
        <v>32</v>
      </c>
      <c r="E541" t="s">
        <v>33</v>
      </c>
      <c r="G541" s="2" t="str">
        <f t="shared" si="8"/>
        <v>COORS SELTZER|ESSEX</v>
      </c>
    </row>
    <row r="542" spans="1:7" x14ac:dyDescent="0.2">
      <c r="A542">
        <v>9392</v>
      </c>
      <c r="B542" t="s">
        <v>99</v>
      </c>
      <c r="C542" t="s">
        <v>189</v>
      </c>
      <c r="D542" t="s">
        <v>32</v>
      </c>
      <c r="E542" t="s">
        <v>33</v>
      </c>
      <c r="G542" s="2" t="str">
        <f t="shared" si="8"/>
        <v>BLUE MOON|ESSEX</v>
      </c>
    </row>
    <row r="543" spans="1:7" x14ac:dyDescent="0.2">
      <c r="A543">
        <v>9393</v>
      </c>
      <c r="B543" t="s">
        <v>100</v>
      </c>
      <c r="C543" t="s">
        <v>189</v>
      </c>
      <c r="D543" t="s">
        <v>32</v>
      </c>
      <c r="E543" t="s">
        <v>33</v>
      </c>
      <c r="G543" s="2" t="str">
        <f t="shared" si="8"/>
        <v>CRISPIN|ESSEX</v>
      </c>
    </row>
    <row r="544" spans="1:7" x14ac:dyDescent="0.2">
      <c r="A544">
        <v>9394</v>
      </c>
      <c r="B544" t="s">
        <v>101</v>
      </c>
      <c r="C544" t="s">
        <v>189</v>
      </c>
      <c r="D544" t="s">
        <v>32</v>
      </c>
      <c r="E544" t="s">
        <v>33</v>
      </c>
      <c r="G544" s="2" t="str">
        <f t="shared" si="8"/>
        <v>HENRY'S WEINHARDS|ESSEX</v>
      </c>
    </row>
    <row r="545" spans="1:7" x14ac:dyDescent="0.2">
      <c r="A545">
        <v>9395</v>
      </c>
      <c r="B545" t="s">
        <v>102</v>
      </c>
      <c r="C545" t="s">
        <v>189</v>
      </c>
      <c r="D545" t="s">
        <v>32</v>
      </c>
      <c r="E545" t="s">
        <v>33</v>
      </c>
      <c r="G545" s="2" t="str">
        <f t="shared" si="8"/>
        <v>TWO HATS|ESSEX</v>
      </c>
    </row>
    <row r="546" spans="1:7" x14ac:dyDescent="0.2">
      <c r="A546">
        <v>9396</v>
      </c>
      <c r="B546" t="s">
        <v>103</v>
      </c>
      <c r="C546" t="s">
        <v>189</v>
      </c>
      <c r="D546" t="s">
        <v>32</v>
      </c>
      <c r="E546" t="s">
        <v>33</v>
      </c>
      <c r="G546" s="2" t="str">
        <f t="shared" si="8"/>
        <v>GEORGE KILLIAN'S|ESSEX</v>
      </c>
    </row>
    <row r="547" spans="1:7" x14ac:dyDescent="0.2">
      <c r="A547">
        <v>9397</v>
      </c>
      <c r="B547" t="s">
        <v>104</v>
      </c>
      <c r="C547" t="s">
        <v>189</v>
      </c>
      <c r="D547" t="s">
        <v>32</v>
      </c>
      <c r="E547" t="s">
        <v>33</v>
      </c>
      <c r="G547" s="2" t="str">
        <f t="shared" si="8"/>
        <v>REDD'S|ESSEX</v>
      </c>
    </row>
    <row r="548" spans="1:7" x14ac:dyDescent="0.2">
      <c r="A548">
        <v>9398</v>
      </c>
      <c r="B548" t="s">
        <v>105</v>
      </c>
      <c r="C548" t="s">
        <v>189</v>
      </c>
      <c r="D548" t="s">
        <v>32</v>
      </c>
      <c r="E548" t="s">
        <v>33</v>
      </c>
      <c r="G548" s="2" t="str">
        <f t="shared" si="8"/>
        <v>THIRD SHIFT|ESSEX</v>
      </c>
    </row>
    <row r="549" spans="1:7" x14ac:dyDescent="0.2">
      <c r="A549">
        <v>9399</v>
      </c>
      <c r="B549" t="s">
        <v>106</v>
      </c>
      <c r="C549" t="s">
        <v>189</v>
      </c>
      <c r="D549" t="s">
        <v>32</v>
      </c>
      <c r="E549" t="s">
        <v>33</v>
      </c>
      <c r="G549" s="2" t="str">
        <f t="shared" si="8"/>
        <v>MOLSON|ESSEX</v>
      </c>
    </row>
    <row r="550" spans="1:7" x14ac:dyDescent="0.2">
      <c r="A550">
        <v>9400</v>
      </c>
      <c r="B550" t="s">
        <v>107</v>
      </c>
      <c r="C550" t="s">
        <v>189</v>
      </c>
      <c r="D550" t="s">
        <v>32</v>
      </c>
      <c r="E550" t="s">
        <v>33</v>
      </c>
      <c r="G550" s="2" t="str">
        <f t="shared" si="8"/>
        <v>HENRY'S HARD SPARKLING|ESSEX</v>
      </c>
    </row>
    <row r="551" spans="1:7" x14ac:dyDescent="0.2">
      <c r="A551">
        <v>9401</v>
      </c>
      <c r="B551" t="s">
        <v>108</v>
      </c>
      <c r="C551" t="s">
        <v>189</v>
      </c>
      <c r="D551" t="s">
        <v>32</v>
      </c>
      <c r="E551" t="s">
        <v>33</v>
      </c>
      <c r="G551" s="2" t="str">
        <f t="shared" si="8"/>
        <v>STEEL RESERVE|ESSEX</v>
      </c>
    </row>
    <row r="552" spans="1:7" x14ac:dyDescent="0.2">
      <c r="A552">
        <v>9402</v>
      </c>
      <c r="B552" t="s">
        <v>109</v>
      </c>
      <c r="C552" t="s">
        <v>189</v>
      </c>
      <c r="D552" t="s">
        <v>32</v>
      </c>
      <c r="E552" t="s">
        <v>33</v>
      </c>
      <c r="G552" s="2" t="str">
        <f t="shared" si="8"/>
        <v>COORS EDGE|ESSEX</v>
      </c>
    </row>
    <row r="553" spans="1:7" x14ac:dyDescent="0.2">
      <c r="A553">
        <v>9403</v>
      </c>
      <c r="B553" t="s">
        <v>110</v>
      </c>
      <c r="C553" t="s">
        <v>189</v>
      </c>
      <c r="D553" t="s">
        <v>32</v>
      </c>
      <c r="E553" t="s">
        <v>33</v>
      </c>
      <c r="G553" s="2" t="str">
        <f t="shared" si="8"/>
        <v>STEEL RESERVE ALLOY SERIES|ESSEX</v>
      </c>
    </row>
    <row r="554" spans="1:7" x14ac:dyDescent="0.2">
      <c r="A554">
        <v>9404</v>
      </c>
      <c r="B554" t="s">
        <v>111</v>
      </c>
      <c r="C554" t="s">
        <v>189</v>
      </c>
      <c r="D554" t="s">
        <v>32</v>
      </c>
      <c r="E554" t="s">
        <v>33</v>
      </c>
      <c r="G554" s="2" t="str">
        <f t="shared" si="8"/>
        <v>AGUILA|ESSEX</v>
      </c>
    </row>
    <row r="555" spans="1:7" x14ac:dyDescent="0.2">
      <c r="A555">
        <v>9405</v>
      </c>
      <c r="B555" t="s">
        <v>112</v>
      </c>
      <c r="C555" t="s">
        <v>189</v>
      </c>
      <c r="D555" t="s">
        <v>32</v>
      </c>
      <c r="E555" t="s">
        <v>33</v>
      </c>
      <c r="G555" s="2" t="str">
        <f t="shared" si="8"/>
        <v>SMITH &amp; FORGE|ESSEX</v>
      </c>
    </row>
    <row r="556" spans="1:7" x14ac:dyDescent="0.2">
      <c r="A556">
        <v>9406</v>
      </c>
      <c r="B556" t="s">
        <v>113</v>
      </c>
      <c r="C556" t="s">
        <v>189</v>
      </c>
      <c r="D556" t="s">
        <v>32</v>
      </c>
      <c r="E556" t="s">
        <v>33</v>
      </c>
      <c r="G556" s="2" t="str">
        <f t="shared" si="8"/>
        <v>REDD'S WICKED|ESSEX</v>
      </c>
    </row>
    <row r="557" spans="1:7" x14ac:dyDescent="0.2">
      <c r="A557">
        <v>9407</v>
      </c>
      <c r="B557" t="s">
        <v>114</v>
      </c>
      <c r="C557" t="s">
        <v>189</v>
      </c>
      <c r="D557" t="s">
        <v>32</v>
      </c>
      <c r="E557" t="s">
        <v>33</v>
      </c>
      <c r="G557" s="2" t="str">
        <f t="shared" si="8"/>
        <v>HENRY'S HARD SODAS|ESSEX</v>
      </c>
    </row>
    <row r="558" spans="1:7" x14ac:dyDescent="0.2">
      <c r="A558">
        <v>9408</v>
      </c>
      <c r="B558" t="s">
        <v>115</v>
      </c>
      <c r="C558" t="s">
        <v>189</v>
      </c>
      <c r="D558" t="s">
        <v>32</v>
      </c>
      <c r="E558" t="s">
        <v>33</v>
      </c>
      <c r="G558" s="2" t="str">
        <f t="shared" si="8"/>
        <v>HAMM'S|ESSEX</v>
      </c>
    </row>
    <row r="559" spans="1:7" x14ac:dyDescent="0.2">
      <c r="A559">
        <v>9409</v>
      </c>
      <c r="B559" t="s">
        <v>116</v>
      </c>
      <c r="C559" t="s">
        <v>189</v>
      </c>
      <c r="D559" t="s">
        <v>32</v>
      </c>
      <c r="E559" t="s">
        <v>33</v>
      </c>
      <c r="G559" s="2" t="str">
        <f t="shared" si="8"/>
        <v>HAMM'S LIGHT|ESSEX</v>
      </c>
    </row>
    <row r="560" spans="1:7" x14ac:dyDescent="0.2">
      <c r="A560">
        <v>9410</v>
      </c>
      <c r="B560" t="s">
        <v>7</v>
      </c>
      <c r="C560" t="s">
        <v>189</v>
      </c>
      <c r="D560" t="s">
        <v>32</v>
      </c>
      <c r="E560" t="s">
        <v>33</v>
      </c>
      <c r="G560" s="2" t="str">
        <f t="shared" si="8"/>
        <v>MILLER HIGH LIFE|ESSEX</v>
      </c>
    </row>
    <row r="561" spans="1:7" x14ac:dyDescent="0.2">
      <c r="A561">
        <v>9411</v>
      </c>
      <c r="B561" t="s">
        <v>117</v>
      </c>
      <c r="C561" t="s">
        <v>189</v>
      </c>
      <c r="D561" t="s">
        <v>32</v>
      </c>
      <c r="E561" t="s">
        <v>33</v>
      </c>
      <c r="G561" s="2" t="str">
        <f t="shared" si="8"/>
        <v>MILLER HIGH LIFE LIGHT|ESSEX</v>
      </c>
    </row>
    <row r="562" spans="1:7" x14ac:dyDescent="0.2">
      <c r="A562">
        <v>9412</v>
      </c>
      <c r="B562" t="s">
        <v>118</v>
      </c>
      <c r="C562" t="s">
        <v>189</v>
      </c>
      <c r="D562" t="s">
        <v>32</v>
      </c>
      <c r="E562" t="s">
        <v>33</v>
      </c>
      <c r="G562" s="2" t="str">
        <f t="shared" si="8"/>
        <v>ICEHOUSE|ESSEX</v>
      </c>
    </row>
    <row r="563" spans="1:7" x14ac:dyDescent="0.2">
      <c r="A563">
        <v>9413</v>
      </c>
      <c r="B563" t="s">
        <v>119</v>
      </c>
      <c r="C563" t="s">
        <v>189</v>
      </c>
      <c r="D563" t="s">
        <v>32</v>
      </c>
      <c r="E563" t="s">
        <v>33</v>
      </c>
      <c r="G563" s="2" t="str">
        <f t="shared" si="8"/>
        <v>ICEHOUSE EDGE|ESSEX</v>
      </c>
    </row>
    <row r="564" spans="1:7" x14ac:dyDescent="0.2">
      <c r="A564">
        <v>9414</v>
      </c>
      <c r="B564" t="s">
        <v>120</v>
      </c>
      <c r="C564" t="s">
        <v>189</v>
      </c>
      <c r="D564" t="s">
        <v>32</v>
      </c>
      <c r="E564" t="s">
        <v>33</v>
      </c>
      <c r="G564" s="2" t="str">
        <f t="shared" si="8"/>
        <v>LITE|ESSEX</v>
      </c>
    </row>
    <row r="565" spans="1:7" x14ac:dyDescent="0.2">
      <c r="A565">
        <v>9415</v>
      </c>
      <c r="B565" t="s">
        <v>121</v>
      </c>
      <c r="C565" t="s">
        <v>189</v>
      </c>
      <c r="D565" t="s">
        <v>32</v>
      </c>
      <c r="E565" t="s">
        <v>33</v>
      </c>
      <c r="G565" s="2" t="str">
        <f t="shared" si="8"/>
        <v>MOVO|ESSEX</v>
      </c>
    </row>
    <row r="566" spans="1:7" x14ac:dyDescent="0.2">
      <c r="A566">
        <v>9416</v>
      </c>
      <c r="B566" t="s">
        <v>122</v>
      </c>
      <c r="C566" t="s">
        <v>189</v>
      </c>
      <c r="D566" t="s">
        <v>32</v>
      </c>
      <c r="E566" t="s">
        <v>33</v>
      </c>
      <c r="G566" s="2" t="str">
        <f t="shared" si="8"/>
        <v>MILLER GENUINE DRAFT|ESSEX</v>
      </c>
    </row>
    <row r="567" spans="1:7" x14ac:dyDescent="0.2">
      <c r="A567">
        <v>9417</v>
      </c>
      <c r="B567" t="s">
        <v>123</v>
      </c>
      <c r="C567" t="s">
        <v>189</v>
      </c>
      <c r="D567" t="s">
        <v>32</v>
      </c>
      <c r="E567" t="s">
        <v>33</v>
      </c>
      <c r="G567" s="2" t="str">
        <f t="shared" si="8"/>
        <v>MICKEY MALT|ESSEX</v>
      </c>
    </row>
    <row r="568" spans="1:7" x14ac:dyDescent="0.2">
      <c r="A568">
        <v>9418</v>
      </c>
      <c r="B568" t="s">
        <v>124</v>
      </c>
      <c r="C568" t="s">
        <v>189</v>
      </c>
      <c r="D568" t="s">
        <v>32</v>
      </c>
      <c r="E568" t="s">
        <v>33</v>
      </c>
      <c r="G568" s="2" t="str">
        <f t="shared" si="8"/>
        <v>MILLER EXTRA LIGHT|ESSEX</v>
      </c>
    </row>
    <row r="569" spans="1:7" x14ac:dyDescent="0.2">
      <c r="A569">
        <v>9419</v>
      </c>
      <c r="B569" t="s">
        <v>125</v>
      </c>
      <c r="C569" t="s">
        <v>189</v>
      </c>
      <c r="D569" t="s">
        <v>32</v>
      </c>
      <c r="E569" t="s">
        <v>33</v>
      </c>
      <c r="G569" s="2" t="str">
        <f t="shared" si="8"/>
        <v>MILLER FORTUNE|ESSEX</v>
      </c>
    </row>
    <row r="570" spans="1:7" x14ac:dyDescent="0.2">
      <c r="A570">
        <v>9420</v>
      </c>
      <c r="B570" t="s">
        <v>126</v>
      </c>
      <c r="C570" t="s">
        <v>189</v>
      </c>
      <c r="D570" t="s">
        <v>32</v>
      </c>
      <c r="E570" t="s">
        <v>33</v>
      </c>
      <c r="G570" s="2" t="str">
        <f t="shared" si="8"/>
        <v>MILWAUKEE'S BEST|ESSEX</v>
      </c>
    </row>
    <row r="571" spans="1:7" x14ac:dyDescent="0.2">
      <c r="A571">
        <v>9421</v>
      </c>
      <c r="B571" t="s">
        <v>127</v>
      </c>
      <c r="C571" t="s">
        <v>189</v>
      </c>
      <c r="D571" t="s">
        <v>32</v>
      </c>
      <c r="E571" t="s">
        <v>33</v>
      </c>
      <c r="G571" s="2" t="str">
        <f t="shared" si="8"/>
        <v>MILWAUKEE'S BEST ICE|ESSEX</v>
      </c>
    </row>
    <row r="572" spans="1:7" x14ac:dyDescent="0.2">
      <c r="A572">
        <v>9422</v>
      </c>
      <c r="B572" t="s">
        <v>128</v>
      </c>
      <c r="C572" t="s">
        <v>189</v>
      </c>
      <c r="D572" t="s">
        <v>32</v>
      </c>
      <c r="E572" t="s">
        <v>33</v>
      </c>
      <c r="G572" s="2" t="str">
        <f t="shared" si="8"/>
        <v>MILWAUKEE'S BEST LIGHT|ESSEX</v>
      </c>
    </row>
    <row r="573" spans="1:7" x14ac:dyDescent="0.2">
      <c r="A573">
        <v>9423</v>
      </c>
      <c r="B573" t="s">
        <v>129</v>
      </c>
      <c r="C573" t="s">
        <v>189</v>
      </c>
      <c r="D573" t="s">
        <v>32</v>
      </c>
      <c r="E573" t="s">
        <v>33</v>
      </c>
      <c r="G573" s="2" t="str">
        <f t="shared" si="8"/>
        <v>LEINENKUGEL|ESSEX</v>
      </c>
    </row>
    <row r="574" spans="1:7" x14ac:dyDescent="0.2">
      <c r="A574">
        <v>9424</v>
      </c>
      <c r="B574" t="s">
        <v>130</v>
      </c>
      <c r="C574" t="s">
        <v>189</v>
      </c>
      <c r="D574" t="s">
        <v>32</v>
      </c>
      <c r="E574" t="s">
        <v>33</v>
      </c>
      <c r="G574" s="2" t="str">
        <f t="shared" si="8"/>
        <v>LEINENKUGEL SHANDY|ESSEX</v>
      </c>
    </row>
    <row r="575" spans="1:7" x14ac:dyDescent="0.2">
      <c r="A575">
        <v>9425</v>
      </c>
      <c r="B575" t="s">
        <v>131</v>
      </c>
      <c r="C575" t="s">
        <v>189</v>
      </c>
      <c r="D575" t="s">
        <v>32</v>
      </c>
      <c r="E575" t="s">
        <v>33</v>
      </c>
      <c r="G575" s="2" t="str">
        <f t="shared" si="8"/>
        <v>CRISTAL|ESSEX</v>
      </c>
    </row>
    <row r="576" spans="1:7" x14ac:dyDescent="0.2">
      <c r="A576">
        <v>9426</v>
      </c>
      <c r="B576" t="s">
        <v>132</v>
      </c>
      <c r="C576" t="s">
        <v>189</v>
      </c>
      <c r="D576" t="s">
        <v>32</v>
      </c>
      <c r="E576" t="s">
        <v>33</v>
      </c>
      <c r="G576" s="2" t="str">
        <f t="shared" si="8"/>
        <v>CUSQUENA|ESSEX</v>
      </c>
    </row>
    <row r="577" spans="1:7" x14ac:dyDescent="0.2">
      <c r="A577">
        <v>9427</v>
      </c>
      <c r="B577" t="s">
        <v>133</v>
      </c>
      <c r="C577" t="s">
        <v>189</v>
      </c>
      <c r="D577" t="s">
        <v>32</v>
      </c>
      <c r="E577" t="s">
        <v>33</v>
      </c>
      <c r="G577" s="2" t="str">
        <f t="shared" si="8"/>
        <v>FOSTERS|ESSEX</v>
      </c>
    </row>
    <row r="578" spans="1:7" x14ac:dyDescent="0.2">
      <c r="A578">
        <v>9428</v>
      </c>
      <c r="B578" t="s">
        <v>134</v>
      </c>
      <c r="C578" t="s">
        <v>189</v>
      </c>
      <c r="D578" t="s">
        <v>32</v>
      </c>
      <c r="E578" t="s">
        <v>33</v>
      </c>
      <c r="G578" s="2" t="str">
        <f t="shared" si="8"/>
        <v>GROLSCH|ESSEX</v>
      </c>
    </row>
    <row r="579" spans="1:7" x14ac:dyDescent="0.2">
      <c r="A579">
        <v>9429</v>
      </c>
      <c r="B579" t="s">
        <v>135</v>
      </c>
      <c r="C579" t="s">
        <v>189</v>
      </c>
      <c r="D579" t="s">
        <v>32</v>
      </c>
      <c r="E579" t="s">
        <v>33</v>
      </c>
      <c r="G579" s="2" t="str">
        <f t="shared" si="8"/>
        <v>LECH|ESSEX</v>
      </c>
    </row>
    <row r="580" spans="1:7" x14ac:dyDescent="0.2">
      <c r="A580">
        <v>9430</v>
      </c>
      <c r="B580" t="s">
        <v>136</v>
      </c>
      <c r="C580" t="s">
        <v>189</v>
      </c>
      <c r="D580" t="s">
        <v>32</v>
      </c>
      <c r="E580" t="s">
        <v>33</v>
      </c>
      <c r="G580" s="2" t="str">
        <f t="shared" si="8"/>
        <v>PERONI|ESSEX</v>
      </c>
    </row>
    <row r="581" spans="1:7" x14ac:dyDescent="0.2">
      <c r="A581">
        <v>9431</v>
      </c>
      <c r="B581" t="s">
        <v>137</v>
      </c>
      <c r="C581" t="s">
        <v>189</v>
      </c>
      <c r="D581" t="s">
        <v>32</v>
      </c>
      <c r="E581" t="s">
        <v>33</v>
      </c>
      <c r="G581" s="2" t="str">
        <f t="shared" si="8"/>
        <v>PILSNER URQUELL|ESSEX</v>
      </c>
    </row>
    <row r="582" spans="1:7" x14ac:dyDescent="0.2">
      <c r="A582">
        <v>9432</v>
      </c>
      <c r="B582" t="s">
        <v>138</v>
      </c>
      <c r="C582" t="s">
        <v>189</v>
      </c>
      <c r="D582" t="s">
        <v>32</v>
      </c>
      <c r="E582" t="s">
        <v>33</v>
      </c>
      <c r="G582" s="2" t="str">
        <f t="shared" si="8"/>
        <v>TYSKIE GRONIE|ESSEX</v>
      </c>
    </row>
    <row r="583" spans="1:7" x14ac:dyDescent="0.2">
      <c r="A583">
        <v>9433</v>
      </c>
      <c r="B583" t="s">
        <v>139</v>
      </c>
      <c r="C583" t="s">
        <v>189</v>
      </c>
      <c r="D583" t="s">
        <v>32</v>
      </c>
      <c r="E583" t="s">
        <v>33</v>
      </c>
      <c r="G583" s="2" t="str">
        <f t="shared" ref="G583:G646" si="9">UPPER(B583)&amp;"|"&amp;UPPER(C583)</f>
        <v>OLD ENGLISH|ESSEX</v>
      </c>
    </row>
    <row r="584" spans="1:7" x14ac:dyDescent="0.2">
      <c r="A584">
        <v>9434</v>
      </c>
      <c r="B584" t="s">
        <v>140</v>
      </c>
      <c r="C584" t="s">
        <v>189</v>
      </c>
      <c r="D584" t="s">
        <v>32</v>
      </c>
      <c r="E584" t="s">
        <v>33</v>
      </c>
      <c r="G584" s="2" t="str">
        <f t="shared" si="9"/>
        <v>SOL|ESSEX</v>
      </c>
    </row>
    <row r="585" spans="1:7" x14ac:dyDescent="0.2">
      <c r="A585">
        <v>9435</v>
      </c>
      <c r="B585" t="s">
        <v>141</v>
      </c>
      <c r="C585" t="s">
        <v>189</v>
      </c>
      <c r="D585" t="s">
        <v>32</v>
      </c>
      <c r="E585" t="s">
        <v>33</v>
      </c>
      <c r="G585" s="2" t="str">
        <f t="shared" si="9"/>
        <v>ARNOLD PALMER|ESSEX</v>
      </c>
    </row>
    <row r="586" spans="1:7" x14ac:dyDescent="0.2">
      <c r="A586">
        <v>9436</v>
      </c>
      <c r="B586" t="s">
        <v>142</v>
      </c>
      <c r="C586" t="s">
        <v>189</v>
      </c>
      <c r="D586" t="s">
        <v>32</v>
      </c>
      <c r="E586" t="s">
        <v>33</v>
      </c>
      <c r="G586" s="2" t="str">
        <f t="shared" si="9"/>
        <v>CAPE LINE|ESSEX</v>
      </c>
    </row>
    <row r="587" spans="1:7" x14ac:dyDescent="0.2">
      <c r="A587">
        <v>9437</v>
      </c>
      <c r="B587" t="s">
        <v>143</v>
      </c>
      <c r="C587" t="s">
        <v>189</v>
      </c>
      <c r="D587" t="s">
        <v>32</v>
      </c>
      <c r="E587" t="s">
        <v>33</v>
      </c>
      <c r="G587" s="2" t="str">
        <f t="shared" si="9"/>
        <v>ST ARCHER|ESSEX</v>
      </c>
    </row>
    <row r="588" spans="1:7" x14ac:dyDescent="0.2">
      <c r="A588">
        <v>9438</v>
      </c>
      <c r="B588" t="s">
        <v>144</v>
      </c>
      <c r="C588" t="s">
        <v>189</v>
      </c>
      <c r="D588" t="s">
        <v>32</v>
      </c>
      <c r="E588" t="s">
        <v>33</v>
      </c>
      <c r="G588" s="2" t="str">
        <f t="shared" si="9"/>
        <v>VIZZY|ESSEX</v>
      </c>
    </row>
    <row r="589" spans="1:7" x14ac:dyDescent="0.2">
      <c r="A589">
        <v>9439</v>
      </c>
      <c r="B589" t="s">
        <v>145</v>
      </c>
      <c r="C589" t="s">
        <v>189</v>
      </c>
      <c r="D589" t="s">
        <v>32</v>
      </c>
      <c r="E589" t="s">
        <v>33</v>
      </c>
      <c r="G589" s="2" t="str">
        <f t="shared" si="9"/>
        <v>NARRAGANSETT|ESSEX</v>
      </c>
    </row>
    <row r="590" spans="1:7" x14ac:dyDescent="0.2">
      <c r="A590">
        <v>9440</v>
      </c>
      <c r="B590" t="s">
        <v>146</v>
      </c>
      <c r="C590" t="s">
        <v>189</v>
      </c>
      <c r="D590" t="s">
        <v>32</v>
      </c>
      <c r="E590" t="s">
        <v>33</v>
      </c>
      <c r="G590" s="2" t="str">
        <f t="shared" si="9"/>
        <v>NEW BELGIUM BREWING COMPANY|ESSEX</v>
      </c>
    </row>
    <row r="591" spans="1:7" x14ac:dyDescent="0.2">
      <c r="A591">
        <v>9441</v>
      </c>
      <c r="B591" t="s">
        <v>147</v>
      </c>
      <c r="C591" t="s">
        <v>189</v>
      </c>
      <c r="D591" t="s">
        <v>32</v>
      </c>
      <c r="E591" t="s">
        <v>33</v>
      </c>
      <c r="G591" s="2" t="str">
        <f t="shared" si="9"/>
        <v>SHINER|ESSEX</v>
      </c>
    </row>
    <row r="592" spans="1:7" x14ac:dyDescent="0.2">
      <c r="A592">
        <v>9442</v>
      </c>
      <c r="B592" t="s">
        <v>148</v>
      </c>
      <c r="C592" t="s">
        <v>189</v>
      </c>
      <c r="D592" t="s">
        <v>32</v>
      </c>
      <c r="E592" t="s">
        <v>33</v>
      </c>
      <c r="G592" s="2" t="str">
        <f t="shared" si="9"/>
        <v>SIERRA NEVADA|ESSEX</v>
      </c>
    </row>
    <row r="593" spans="1:7" x14ac:dyDescent="0.2">
      <c r="A593">
        <v>9443</v>
      </c>
      <c r="B593" t="s">
        <v>149</v>
      </c>
      <c r="C593" t="s">
        <v>189</v>
      </c>
      <c r="D593" t="s">
        <v>32</v>
      </c>
      <c r="E593" t="s">
        <v>33</v>
      </c>
      <c r="G593" s="2" t="str">
        <f t="shared" si="9"/>
        <v>STRAINGE BEAST|ESSEX</v>
      </c>
    </row>
    <row r="594" spans="1:7" x14ac:dyDescent="0.2">
      <c r="A594">
        <v>9444</v>
      </c>
      <c r="B594" t="s">
        <v>150</v>
      </c>
      <c r="C594" t="s">
        <v>189</v>
      </c>
      <c r="D594" t="s">
        <v>32</v>
      </c>
      <c r="E594" t="s">
        <v>33</v>
      </c>
      <c r="G594" s="2" t="str">
        <f t="shared" si="9"/>
        <v>TERRAPIN BEER COMPANY|ESSEX</v>
      </c>
    </row>
    <row r="595" spans="1:7" x14ac:dyDescent="0.2">
      <c r="A595">
        <v>9445</v>
      </c>
      <c r="B595" t="s">
        <v>151</v>
      </c>
      <c r="C595" t="s">
        <v>189</v>
      </c>
      <c r="D595" t="s">
        <v>32</v>
      </c>
      <c r="E595" t="s">
        <v>33</v>
      </c>
      <c r="G595" s="2" t="str">
        <f t="shared" si="9"/>
        <v>MOOSEHEAD|ESSEX</v>
      </c>
    </row>
    <row r="596" spans="1:7" x14ac:dyDescent="0.2">
      <c r="A596">
        <v>9446</v>
      </c>
      <c r="B596" t="s">
        <v>152</v>
      </c>
      <c r="C596" t="s">
        <v>189</v>
      </c>
      <c r="D596" t="s">
        <v>32</v>
      </c>
      <c r="E596" t="s">
        <v>33</v>
      </c>
      <c r="G596" s="2" t="str">
        <f t="shared" si="9"/>
        <v>PRESS|ESSEX</v>
      </c>
    </row>
    <row r="597" spans="1:7" x14ac:dyDescent="0.2">
      <c r="A597">
        <v>9447</v>
      </c>
      <c r="B597" t="s">
        <v>153</v>
      </c>
      <c r="C597" t="s">
        <v>189</v>
      </c>
      <c r="D597" t="s">
        <v>32</v>
      </c>
      <c r="E597" t="s">
        <v>33</v>
      </c>
      <c r="G597" s="2" t="str">
        <f t="shared" si="9"/>
        <v>DG YUENGLING INC|ESSEX</v>
      </c>
    </row>
    <row r="598" spans="1:7" x14ac:dyDescent="0.2">
      <c r="A598">
        <v>9458</v>
      </c>
      <c r="B598" t="s">
        <v>154</v>
      </c>
      <c r="C598" t="s">
        <v>189</v>
      </c>
      <c r="D598" t="s">
        <v>32</v>
      </c>
      <c r="E598" t="s">
        <v>33</v>
      </c>
      <c r="G598" s="2" t="str">
        <f t="shared" si="9"/>
        <v>HEINEKEN USA|ESSEX</v>
      </c>
    </row>
    <row r="599" spans="1:7" x14ac:dyDescent="0.2">
      <c r="A599">
        <v>9459</v>
      </c>
      <c r="B599" t="s">
        <v>155</v>
      </c>
      <c r="C599" t="s">
        <v>189</v>
      </c>
      <c r="D599" t="s">
        <v>32</v>
      </c>
      <c r="E599" t="s">
        <v>33</v>
      </c>
      <c r="G599" s="2" t="str">
        <f t="shared" si="9"/>
        <v>HEINEKEN DARK|ESSEX</v>
      </c>
    </row>
    <row r="600" spans="1:7" x14ac:dyDescent="0.2">
      <c r="A600">
        <v>9460</v>
      </c>
      <c r="B600" t="s">
        <v>156</v>
      </c>
      <c r="C600" t="s">
        <v>189</v>
      </c>
      <c r="D600" t="s">
        <v>32</v>
      </c>
      <c r="E600" t="s">
        <v>33</v>
      </c>
      <c r="G600" s="2" t="str">
        <f t="shared" si="9"/>
        <v>HEINEKEN LIGHT|ESSEX</v>
      </c>
    </row>
    <row r="601" spans="1:7" x14ac:dyDescent="0.2">
      <c r="A601">
        <v>9461</v>
      </c>
      <c r="B601" t="s">
        <v>157</v>
      </c>
      <c r="C601" t="s">
        <v>189</v>
      </c>
      <c r="D601" t="s">
        <v>32</v>
      </c>
      <c r="E601" t="s">
        <v>33</v>
      </c>
      <c r="G601" s="2" t="str">
        <f t="shared" si="9"/>
        <v>AMSTEL|ESSEX</v>
      </c>
    </row>
    <row r="602" spans="1:7" x14ac:dyDescent="0.2">
      <c r="A602">
        <v>9462</v>
      </c>
      <c r="B602" t="s">
        <v>158</v>
      </c>
      <c r="C602" t="s">
        <v>189</v>
      </c>
      <c r="D602" t="s">
        <v>32</v>
      </c>
      <c r="E602" t="s">
        <v>33</v>
      </c>
      <c r="G602" s="2" t="str">
        <f t="shared" si="9"/>
        <v>NEWCASTLE|ESSEX</v>
      </c>
    </row>
    <row r="603" spans="1:7" x14ac:dyDescent="0.2">
      <c r="A603">
        <v>9463</v>
      </c>
      <c r="B603" t="s">
        <v>159</v>
      </c>
      <c r="C603" t="s">
        <v>189</v>
      </c>
      <c r="D603" t="s">
        <v>32</v>
      </c>
      <c r="E603" t="s">
        <v>33</v>
      </c>
      <c r="G603" s="2" t="str">
        <f t="shared" si="9"/>
        <v>BUCKLER|ESSEX</v>
      </c>
    </row>
    <row r="604" spans="1:7" x14ac:dyDescent="0.2">
      <c r="A604">
        <v>9464</v>
      </c>
      <c r="B604" t="s">
        <v>160</v>
      </c>
      <c r="C604" t="s">
        <v>189</v>
      </c>
      <c r="D604" t="s">
        <v>32</v>
      </c>
      <c r="E604" t="s">
        <v>33</v>
      </c>
      <c r="G604" s="2" t="str">
        <f t="shared" si="9"/>
        <v>STRONGBOW|ESSEX</v>
      </c>
    </row>
    <row r="605" spans="1:7" x14ac:dyDescent="0.2">
      <c r="A605">
        <v>9465</v>
      </c>
      <c r="B605" t="s">
        <v>161</v>
      </c>
      <c r="C605" t="s">
        <v>189</v>
      </c>
      <c r="D605" t="s">
        <v>32</v>
      </c>
      <c r="E605" t="s">
        <v>33</v>
      </c>
      <c r="G605" s="2" t="str">
        <f t="shared" si="9"/>
        <v>MURPHY'S|ESSEX</v>
      </c>
    </row>
    <row r="606" spans="1:7" x14ac:dyDescent="0.2">
      <c r="A606">
        <v>9466</v>
      </c>
      <c r="B606" t="s">
        <v>162</v>
      </c>
      <c r="C606" t="s">
        <v>189</v>
      </c>
      <c r="D606" t="s">
        <v>32</v>
      </c>
      <c r="E606" t="s">
        <v>33</v>
      </c>
      <c r="G606" s="2" t="str">
        <f t="shared" si="9"/>
        <v>TIGER|ESSEX</v>
      </c>
    </row>
    <row r="607" spans="1:7" x14ac:dyDescent="0.2">
      <c r="A607">
        <v>9467</v>
      </c>
      <c r="B607" t="s">
        <v>163</v>
      </c>
      <c r="C607" t="s">
        <v>189</v>
      </c>
      <c r="D607" t="s">
        <v>32</v>
      </c>
      <c r="E607" t="s">
        <v>33</v>
      </c>
      <c r="G607" s="2" t="str">
        <f t="shared" si="9"/>
        <v>RED STRIPE|ESSEX</v>
      </c>
    </row>
    <row r="608" spans="1:7" x14ac:dyDescent="0.2">
      <c r="A608">
        <v>9468</v>
      </c>
      <c r="B608" t="s">
        <v>164</v>
      </c>
      <c r="C608" t="s">
        <v>189</v>
      </c>
      <c r="D608" t="s">
        <v>32</v>
      </c>
      <c r="E608" t="s">
        <v>33</v>
      </c>
      <c r="G608" s="2" t="str">
        <f t="shared" si="9"/>
        <v>BIRRA MORETTI|ESSEX</v>
      </c>
    </row>
    <row r="609" spans="1:7" x14ac:dyDescent="0.2">
      <c r="A609">
        <v>9469</v>
      </c>
      <c r="B609" t="s">
        <v>165</v>
      </c>
      <c r="C609" t="s">
        <v>189</v>
      </c>
      <c r="D609" t="s">
        <v>32</v>
      </c>
      <c r="E609" t="s">
        <v>33</v>
      </c>
      <c r="G609" s="2" t="str">
        <f t="shared" si="9"/>
        <v>AFFLIGEM|ESSEX</v>
      </c>
    </row>
    <row r="610" spans="1:7" x14ac:dyDescent="0.2">
      <c r="A610">
        <v>9472</v>
      </c>
      <c r="B610" t="s">
        <v>166</v>
      </c>
      <c r="C610" t="s">
        <v>189</v>
      </c>
      <c r="D610" t="s">
        <v>32</v>
      </c>
      <c r="E610" t="s">
        <v>33</v>
      </c>
      <c r="G610" s="2" t="str">
        <f t="shared" si="9"/>
        <v>CERVEZAS DE MEXICO|ESSEX</v>
      </c>
    </row>
    <row r="611" spans="1:7" x14ac:dyDescent="0.2">
      <c r="A611">
        <v>9473</v>
      </c>
      <c r="B611" t="s">
        <v>167</v>
      </c>
      <c r="C611" t="s">
        <v>189</v>
      </c>
      <c r="D611" t="s">
        <v>32</v>
      </c>
      <c r="E611" t="s">
        <v>33</v>
      </c>
      <c r="G611" s="2" t="str">
        <f t="shared" si="9"/>
        <v>TECATE|ESSEX</v>
      </c>
    </row>
    <row r="612" spans="1:7" x14ac:dyDescent="0.2">
      <c r="A612">
        <v>9474</v>
      </c>
      <c r="B612" t="s">
        <v>168</v>
      </c>
      <c r="C612" t="s">
        <v>189</v>
      </c>
      <c r="D612" t="s">
        <v>32</v>
      </c>
      <c r="E612" t="s">
        <v>33</v>
      </c>
      <c r="G612" s="2" t="str">
        <f t="shared" si="9"/>
        <v>BOHEMIA|ESSEX</v>
      </c>
    </row>
    <row r="613" spans="1:7" x14ac:dyDescent="0.2">
      <c r="A613">
        <v>9475</v>
      </c>
      <c r="B613" t="s">
        <v>169</v>
      </c>
      <c r="C613" t="s">
        <v>189</v>
      </c>
      <c r="D613" t="s">
        <v>32</v>
      </c>
      <c r="E613" t="s">
        <v>33</v>
      </c>
      <c r="G613" s="2" t="str">
        <f t="shared" si="9"/>
        <v>CARTA BLANCA|ESSEX</v>
      </c>
    </row>
    <row r="614" spans="1:7" x14ac:dyDescent="0.2">
      <c r="A614">
        <v>9476</v>
      </c>
      <c r="B614" t="s">
        <v>170</v>
      </c>
      <c r="C614" t="s">
        <v>189</v>
      </c>
      <c r="D614" t="s">
        <v>32</v>
      </c>
      <c r="E614" t="s">
        <v>33</v>
      </c>
      <c r="G614" s="2" t="str">
        <f t="shared" si="9"/>
        <v>TECATE LIGHT|ESSEX</v>
      </c>
    </row>
    <row r="615" spans="1:7" x14ac:dyDescent="0.2">
      <c r="A615">
        <v>9477</v>
      </c>
      <c r="B615" t="s">
        <v>171</v>
      </c>
      <c r="C615" t="s">
        <v>189</v>
      </c>
      <c r="D615" t="s">
        <v>32</v>
      </c>
      <c r="E615" t="s">
        <v>33</v>
      </c>
      <c r="G615" s="2" t="str">
        <f t="shared" si="9"/>
        <v>SAGRES CERVEJA|ESSEX</v>
      </c>
    </row>
    <row r="616" spans="1:7" x14ac:dyDescent="0.2">
      <c r="A616">
        <v>9478</v>
      </c>
      <c r="B616" t="s">
        <v>172</v>
      </c>
      <c r="C616" t="s">
        <v>189</v>
      </c>
      <c r="D616" t="s">
        <v>32</v>
      </c>
      <c r="E616" t="s">
        <v>33</v>
      </c>
      <c r="G616" s="2" t="str">
        <f t="shared" si="9"/>
        <v>PRESTIGE LAGER|ESSEX</v>
      </c>
    </row>
    <row r="617" spans="1:7" x14ac:dyDescent="0.2">
      <c r="A617">
        <v>9479</v>
      </c>
      <c r="B617" t="s">
        <v>173</v>
      </c>
      <c r="C617" t="s">
        <v>189</v>
      </c>
      <c r="D617" t="s">
        <v>32</v>
      </c>
      <c r="E617" t="s">
        <v>33</v>
      </c>
      <c r="G617" s="2" t="str">
        <f t="shared" si="9"/>
        <v>HEINEKEN 0.0|ESSEX</v>
      </c>
    </row>
    <row r="618" spans="1:7" x14ac:dyDescent="0.2">
      <c r="A618">
        <v>9481</v>
      </c>
      <c r="B618" t="s">
        <v>30</v>
      </c>
      <c r="C618" t="s">
        <v>189</v>
      </c>
      <c r="D618" t="s">
        <v>32</v>
      </c>
      <c r="E618" t="s">
        <v>33</v>
      </c>
      <c r="G618" s="2" t="str">
        <f t="shared" si="9"/>
        <v>ANCHOR|ESSEX</v>
      </c>
    </row>
    <row r="619" spans="1:7" x14ac:dyDescent="0.2">
      <c r="A619">
        <v>9482</v>
      </c>
      <c r="B619" t="s">
        <v>174</v>
      </c>
      <c r="C619" t="s">
        <v>189</v>
      </c>
      <c r="D619" t="s">
        <v>32</v>
      </c>
      <c r="E619" t="s">
        <v>33</v>
      </c>
      <c r="G619" s="2" t="str">
        <f t="shared" si="9"/>
        <v>BASIC|ESSEX</v>
      </c>
    </row>
    <row r="620" spans="1:7" x14ac:dyDescent="0.2">
      <c r="A620">
        <v>9483</v>
      </c>
      <c r="B620" t="s">
        <v>175</v>
      </c>
      <c r="C620" t="s">
        <v>189</v>
      </c>
      <c r="D620" t="s">
        <v>32</v>
      </c>
      <c r="E620" t="s">
        <v>33</v>
      </c>
      <c r="G620" s="2" t="str">
        <f t="shared" si="9"/>
        <v>MAMITA'S|ESSEX</v>
      </c>
    </row>
    <row r="621" spans="1:7" x14ac:dyDescent="0.2">
      <c r="A621">
        <v>9484</v>
      </c>
      <c r="B621" t="s">
        <v>176</v>
      </c>
      <c r="C621" t="s">
        <v>189</v>
      </c>
      <c r="D621" t="s">
        <v>32</v>
      </c>
      <c r="E621" t="s">
        <v>33</v>
      </c>
      <c r="G621" s="2" t="str">
        <f t="shared" si="9"/>
        <v>FOUR LOKO|ESSEX</v>
      </c>
    </row>
    <row r="622" spans="1:7" x14ac:dyDescent="0.2">
      <c r="A622">
        <v>9485</v>
      </c>
      <c r="B622" t="s">
        <v>177</v>
      </c>
      <c r="C622" t="s">
        <v>189</v>
      </c>
      <c r="D622" t="s">
        <v>32</v>
      </c>
      <c r="E622" t="s">
        <v>33</v>
      </c>
      <c r="G622" s="2" t="str">
        <f t="shared" si="9"/>
        <v>EARTHQUAKE|ESSEX</v>
      </c>
    </row>
    <row r="623" spans="1:7" x14ac:dyDescent="0.2">
      <c r="A623">
        <v>9486</v>
      </c>
      <c r="B623" t="s">
        <v>178</v>
      </c>
      <c r="C623" t="s">
        <v>189</v>
      </c>
      <c r="D623" t="s">
        <v>32</v>
      </c>
      <c r="E623" t="s">
        <v>33</v>
      </c>
      <c r="G623" s="2" t="str">
        <f t="shared" si="9"/>
        <v>MOSKATO|ESSEX</v>
      </c>
    </row>
    <row r="624" spans="1:7" x14ac:dyDescent="0.2">
      <c r="A624">
        <v>9487</v>
      </c>
      <c r="B624" t="s">
        <v>179</v>
      </c>
      <c r="C624" t="s">
        <v>189</v>
      </c>
      <c r="D624" t="s">
        <v>32</v>
      </c>
      <c r="E624" t="s">
        <v>33</v>
      </c>
      <c r="G624" s="2" t="str">
        <f t="shared" si="9"/>
        <v>SIGNTURE COCKT|ESSEX</v>
      </c>
    </row>
    <row r="625" spans="1:7" x14ac:dyDescent="0.2">
      <c r="A625">
        <v>9488</v>
      </c>
      <c r="B625" t="s">
        <v>180</v>
      </c>
      <c r="C625" t="s">
        <v>189</v>
      </c>
      <c r="D625" t="s">
        <v>32</v>
      </c>
      <c r="E625" t="s">
        <v>33</v>
      </c>
      <c r="G625" s="2" t="str">
        <f t="shared" si="9"/>
        <v>BARTENDER SERIES|ESSEX</v>
      </c>
    </row>
    <row r="626" spans="1:7" x14ac:dyDescent="0.2">
      <c r="A626">
        <v>9489</v>
      </c>
      <c r="B626" t="s">
        <v>181</v>
      </c>
      <c r="C626" t="s">
        <v>189</v>
      </c>
      <c r="D626" t="s">
        <v>32</v>
      </c>
      <c r="E626" t="s">
        <v>33</v>
      </c>
      <c r="G626" s="2" t="str">
        <f t="shared" si="9"/>
        <v>JOHN DALY|ESSEX</v>
      </c>
    </row>
    <row r="627" spans="1:7" x14ac:dyDescent="0.2">
      <c r="A627">
        <v>9490</v>
      </c>
      <c r="B627" t="s">
        <v>182</v>
      </c>
      <c r="C627" t="s">
        <v>189</v>
      </c>
      <c r="D627" t="s">
        <v>32</v>
      </c>
      <c r="E627" t="s">
        <v>33</v>
      </c>
      <c r="G627" s="2" t="str">
        <f t="shared" si="9"/>
        <v>HARD FRESCO|ESSEX</v>
      </c>
    </row>
    <row r="628" spans="1:7" x14ac:dyDescent="0.2">
      <c r="A628">
        <v>9491</v>
      </c>
      <c r="B628" t="s">
        <v>190</v>
      </c>
      <c r="C628" t="s">
        <v>62</v>
      </c>
      <c r="D628" t="s">
        <v>32</v>
      </c>
      <c r="E628" t="s">
        <v>33</v>
      </c>
      <c r="G628" s="2" t="str">
        <f t="shared" si="9"/>
        <v>HOP VALLEY|MORRIS 2</v>
      </c>
    </row>
    <row r="629" spans="1:7" x14ac:dyDescent="0.2">
      <c r="A629">
        <v>9492</v>
      </c>
      <c r="B629" t="s">
        <v>190</v>
      </c>
      <c r="C629" t="s">
        <v>187</v>
      </c>
      <c r="D629" t="s">
        <v>32</v>
      </c>
      <c r="E629" t="s">
        <v>33</v>
      </c>
      <c r="G629" s="2" t="str">
        <f t="shared" si="9"/>
        <v>HOP VALLEY|HUDSON</v>
      </c>
    </row>
    <row r="630" spans="1:7" x14ac:dyDescent="0.2">
      <c r="A630">
        <v>9493</v>
      </c>
      <c r="B630" t="s">
        <v>190</v>
      </c>
      <c r="C630" t="s">
        <v>188</v>
      </c>
      <c r="D630" t="s">
        <v>32</v>
      </c>
      <c r="E630" t="s">
        <v>33</v>
      </c>
      <c r="G630" s="2" t="str">
        <f t="shared" si="9"/>
        <v>HOP VALLEY|UNION</v>
      </c>
    </row>
    <row r="631" spans="1:7" x14ac:dyDescent="0.2">
      <c r="A631">
        <v>9494</v>
      </c>
      <c r="B631" t="s">
        <v>190</v>
      </c>
      <c r="C631" t="s">
        <v>189</v>
      </c>
      <c r="D631" t="s">
        <v>32</v>
      </c>
      <c r="E631" t="s">
        <v>33</v>
      </c>
      <c r="G631" s="2" t="str">
        <f t="shared" si="9"/>
        <v>HOP VALLEY|ESSEX</v>
      </c>
    </row>
    <row r="632" spans="1:7" x14ac:dyDescent="0.2">
      <c r="A632">
        <v>9495</v>
      </c>
      <c r="B632" t="s">
        <v>191</v>
      </c>
      <c r="C632" t="s">
        <v>62</v>
      </c>
      <c r="D632" t="s">
        <v>32</v>
      </c>
      <c r="E632" t="s">
        <v>33</v>
      </c>
      <c r="G632" s="2" t="str">
        <f t="shared" si="9"/>
        <v>PROOF POINT|MORRIS 2</v>
      </c>
    </row>
    <row r="633" spans="1:7" x14ac:dyDescent="0.2">
      <c r="A633">
        <v>9496</v>
      </c>
      <c r="B633" t="s">
        <v>191</v>
      </c>
      <c r="C633" t="s">
        <v>187</v>
      </c>
      <c r="D633" t="s">
        <v>32</v>
      </c>
      <c r="E633" t="s">
        <v>33</v>
      </c>
      <c r="G633" s="2" t="str">
        <f t="shared" si="9"/>
        <v>PROOF POINT|HUDSON</v>
      </c>
    </row>
    <row r="634" spans="1:7" x14ac:dyDescent="0.2">
      <c r="A634">
        <v>9497</v>
      </c>
      <c r="B634" t="s">
        <v>191</v>
      </c>
      <c r="C634" t="s">
        <v>188</v>
      </c>
      <c r="D634" t="s">
        <v>32</v>
      </c>
      <c r="E634" t="s">
        <v>33</v>
      </c>
      <c r="G634" s="2" t="str">
        <f t="shared" si="9"/>
        <v>PROOF POINT|UNION</v>
      </c>
    </row>
    <row r="635" spans="1:7" x14ac:dyDescent="0.2">
      <c r="A635">
        <v>9498</v>
      </c>
      <c r="B635" t="s">
        <v>191</v>
      </c>
      <c r="C635" t="s">
        <v>189</v>
      </c>
      <c r="D635" t="s">
        <v>32</v>
      </c>
      <c r="E635" t="s">
        <v>33</v>
      </c>
      <c r="G635" s="2" t="str">
        <f t="shared" si="9"/>
        <v>PROOF POINT|ESSEX</v>
      </c>
    </row>
    <row r="636" spans="1:7" x14ac:dyDescent="0.2">
      <c r="A636">
        <v>9499</v>
      </c>
      <c r="B636" t="s">
        <v>192</v>
      </c>
      <c r="C636" t="s">
        <v>189</v>
      </c>
      <c r="D636" t="s">
        <v>32</v>
      </c>
      <c r="E636" t="s">
        <v>33</v>
      </c>
      <c r="G636" s="2" t="str">
        <f t="shared" si="9"/>
        <v>SPARKLING ICE|ESSEX</v>
      </c>
    </row>
    <row r="637" spans="1:7" x14ac:dyDescent="0.2">
      <c r="A637">
        <v>9501</v>
      </c>
      <c r="B637" t="s">
        <v>193</v>
      </c>
      <c r="C637" t="s">
        <v>62</v>
      </c>
      <c r="D637" t="s">
        <v>32</v>
      </c>
      <c r="E637" t="s">
        <v>33</v>
      </c>
      <c r="G637" s="2" t="str">
        <f t="shared" si="9"/>
        <v>RODIA|MORRIS 2</v>
      </c>
    </row>
    <row r="638" spans="1:7" x14ac:dyDescent="0.2">
      <c r="A638">
        <v>9502</v>
      </c>
      <c r="B638" t="s">
        <v>193</v>
      </c>
      <c r="C638" t="s">
        <v>187</v>
      </c>
      <c r="D638" t="s">
        <v>32</v>
      </c>
      <c r="E638" t="s">
        <v>33</v>
      </c>
      <c r="G638" s="2" t="str">
        <f t="shared" si="9"/>
        <v>RODIA|HUDSON</v>
      </c>
    </row>
    <row r="639" spans="1:7" x14ac:dyDescent="0.2">
      <c r="A639">
        <v>9503</v>
      </c>
      <c r="B639" t="s">
        <v>193</v>
      </c>
      <c r="C639" t="s">
        <v>188</v>
      </c>
      <c r="D639" t="s">
        <v>32</v>
      </c>
      <c r="E639" t="s">
        <v>33</v>
      </c>
      <c r="G639" s="2" t="str">
        <f t="shared" si="9"/>
        <v>RODIA|UNION</v>
      </c>
    </row>
    <row r="640" spans="1:7" x14ac:dyDescent="0.2">
      <c r="A640">
        <v>9504</v>
      </c>
      <c r="B640" t="s">
        <v>193</v>
      </c>
      <c r="C640" t="s">
        <v>189</v>
      </c>
      <c r="D640" t="s">
        <v>32</v>
      </c>
      <c r="E640" t="s">
        <v>33</v>
      </c>
      <c r="G640" s="2" t="str">
        <f t="shared" si="9"/>
        <v>RODIA|ESSEX</v>
      </c>
    </row>
    <row r="641" spans="1:7" x14ac:dyDescent="0.2">
      <c r="A641">
        <v>9505</v>
      </c>
      <c r="B641" t="s">
        <v>57</v>
      </c>
      <c r="C641" t="s">
        <v>183</v>
      </c>
      <c r="D641" t="s">
        <v>32</v>
      </c>
      <c r="E641" t="s">
        <v>33</v>
      </c>
      <c r="G641" s="2" t="str">
        <f t="shared" si="9"/>
        <v>SOUTHERN TIER|MORRIS 1</v>
      </c>
    </row>
    <row r="642" spans="1:7" x14ac:dyDescent="0.2">
      <c r="A642">
        <v>9506</v>
      </c>
      <c r="B642" t="s">
        <v>194</v>
      </c>
      <c r="C642" t="s">
        <v>183</v>
      </c>
      <c r="D642" t="s">
        <v>32</v>
      </c>
      <c r="E642" t="s">
        <v>33</v>
      </c>
      <c r="G642" s="2" t="str">
        <f t="shared" si="9"/>
        <v>SOUTHERN TIER DISTILLING|MORRIS 1</v>
      </c>
    </row>
    <row r="643" spans="1:7" x14ac:dyDescent="0.2">
      <c r="A643">
        <v>9507</v>
      </c>
      <c r="B643" t="s">
        <v>194</v>
      </c>
      <c r="C643" t="s">
        <v>62</v>
      </c>
      <c r="D643" t="s">
        <v>32</v>
      </c>
      <c r="E643" t="s">
        <v>33</v>
      </c>
      <c r="G643" s="2" t="str">
        <f t="shared" si="9"/>
        <v>SOUTHERN TIER DISTILLING|MORRIS 2</v>
      </c>
    </row>
    <row r="644" spans="1:7" x14ac:dyDescent="0.2">
      <c r="A644">
        <v>9508</v>
      </c>
      <c r="B644" t="s">
        <v>194</v>
      </c>
      <c r="C644" t="s">
        <v>31</v>
      </c>
      <c r="D644" t="s">
        <v>32</v>
      </c>
      <c r="E644" t="s">
        <v>33</v>
      </c>
      <c r="G644" s="2" t="str">
        <f t="shared" si="9"/>
        <v>SOUTHERN TIER DISTILLING|MORRIS 3</v>
      </c>
    </row>
    <row r="645" spans="1:7" x14ac:dyDescent="0.2">
      <c r="A645">
        <v>9509</v>
      </c>
      <c r="B645" t="s">
        <v>194</v>
      </c>
      <c r="C645" t="s">
        <v>188</v>
      </c>
      <c r="D645" t="s">
        <v>32</v>
      </c>
      <c r="E645" t="s">
        <v>33</v>
      </c>
      <c r="G645" s="2" t="str">
        <f t="shared" si="9"/>
        <v>SOUTHERN TIER DISTILLING|UNION</v>
      </c>
    </row>
    <row r="646" spans="1:7" x14ac:dyDescent="0.2">
      <c r="A646">
        <v>9510</v>
      </c>
      <c r="B646" t="s">
        <v>194</v>
      </c>
      <c r="C646" t="s">
        <v>184</v>
      </c>
      <c r="D646" t="s">
        <v>32</v>
      </c>
      <c r="E646" t="s">
        <v>33</v>
      </c>
      <c r="G646" s="2" t="str">
        <f t="shared" si="9"/>
        <v>SOUTHERN TIER DISTILLING|SUSSEX</v>
      </c>
    </row>
    <row r="647" spans="1:7" x14ac:dyDescent="0.2">
      <c r="A647">
        <v>9511</v>
      </c>
      <c r="B647" t="s">
        <v>195</v>
      </c>
      <c r="C647" t="s">
        <v>62</v>
      </c>
      <c r="D647" t="s">
        <v>32</v>
      </c>
      <c r="E647" t="s">
        <v>33</v>
      </c>
      <c r="G647" s="2" t="str">
        <f t="shared" ref="G647:G710" si="10">UPPER(B647)&amp;"|"&amp;UPPER(C647)</f>
        <v>MIKE'S HARD SELTZER|MORRIS 2</v>
      </c>
    </row>
    <row r="648" spans="1:7" x14ac:dyDescent="0.2">
      <c r="A648">
        <v>9512</v>
      </c>
      <c r="B648" t="s">
        <v>195</v>
      </c>
      <c r="C648" t="s">
        <v>188</v>
      </c>
      <c r="D648" t="s">
        <v>32</v>
      </c>
      <c r="E648" t="s">
        <v>33</v>
      </c>
      <c r="G648" s="2" t="str">
        <f t="shared" si="10"/>
        <v>MIKE'S HARD SELTZER|UNION</v>
      </c>
    </row>
    <row r="649" spans="1:7" x14ac:dyDescent="0.2">
      <c r="A649">
        <v>9513</v>
      </c>
      <c r="B649" t="s">
        <v>195</v>
      </c>
      <c r="C649" t="s">
        <v>189</v>
      </c>
      <c r="D649" t="s">
        <v>32</v>
      </c>
      <c r="E649" t="s">
        <v>33</v>
      </c>
      <c r="G649" s="2" t="str">
        <f t="shared" si="10"/>
        <v>MIKE'S HARD SELTZER|ESSEX</v>
      </c>
    </row>
    <row r="650" spans="1:7" x14ac:dyDescent="0.2">
      <c r="A650">
        <v>9518</v>
      </c>
      <c r="B650" t="s">
        <v>196</v>
      </c>
      <c r="C650" t="s">
        <v>62</v>
      </c>
      <c r="D650" t="s">
        <v>32</v>
      </c>
      <c r="E650" t="s">
        <v>33</v>
      </c>
      <c r="G650" s="2" t="str">
        <f t="shared" si="10"/>
        <v>SAUZA|MORRIS 2</v>
      </c>
    </row>
    <row r="651" spans="1:7" x14ac:dyDescent="0.2">
      <c r="A651">
        <v>9519</v>
      </c>
      <c r="B651" t="s">
        <v>196</v>
      </c>
      <c r="C651" t="s">
        <v>187</v>
      </c>
      <c r="D651" t="s">
        <v>32</v>
      </c>
      <c r="E651" t="s">
        <v>33</v>
      </c>
      <c r="G651" s="2" t="str">
        <f t="shared" si="10"/>
        <v>SAUZA|HUDSON</v>
      </c>
    </row>
    <row r="652" spans="1:7" x14ac:dyDescent="0.2">
      <c r="A652">
        <v>9520</v>
      </c>
      <c r="B652" t="s">
        <v>196</v>
      </c>
      <c r="C652" t="s">
        <v>188</v>
      </c>
      <c r="D652" t="s">
        <v>32</v>
      </c>
      <c r="E652" t="s">
        <v>33</v>
      </c>
      <c r="G652" s="2" t="str">
        <f t="shared" si="10"/>
        <v>SAUZA|UNION</v>
      </c>
    </row>
    <row r="653" spans="1:7" x14ac:dyDescent="0.2">
      <c r="A653">
        <v>9521</v>
      </c>
      <c r="B653" t="s">
        <v>196</v>
      </c>
      <c r="C653" t="s">
        <v>189</v>
      </c>
      <c r="D653" t="s">
        <v>32</v>
      </c>
      <c r="E653" t="s">
        <v>33</v>
      </c>
      <c r="G653" s="2" t="str">
        <f t="shared" si="10"/>
        <v>SAUZA|ESSEX</v>
      </c>
    </row>
    <row r="654" spans="1:7" x14ac:dyDescent="0.2">
      <c r="A654">
        <v>9526</v>
      </c>
      <c r="B654" t="s">
        <v>197</v>
      </c>
      <c r="C654" t="s">
        <v>62</v>
      </c>
      <c r="D654" t="s">
        <v>32</v>
      </c>
      <c r="E654" t="s">
        <v>33</v>
      </c>
      <c r="G654" s="2" t="str">
        <f t="shared" si="10"/>
        <v>VERYVELL|MORRIS 2</v>
      </c>
    </row>
    <row r="655" spans="1:7" x14ac:dyDescent="0.2">
      <c r="A655">
        <v>9527</v>
      </c>
      <c r="B655" t="s">
        <v>197</v>
      </c>
      <c r="C655" t="s">
        <v>187</v>
      </c>
      <c r="D655" t="s">
        <v>32</v>
      </c>
      <c r="E655" t="s">
        <v>33</v>
      </c>
      <c r="G655" s="2" t="str">
        <f t="shared" si="10"/>
        <v>VERYVELL|HUDSON</v>
      </c>
    </row>
    <row r="656" spans="1:7" x14ac:dyDescent="0.2">
      <c r="A656">
        <v>9528</v>
      </c>
      <c r="B656" t="s">
        <v>197</v>
      </c>
      <c r="C656" t="s">
        <v>188</v>
      </c>
      <c r="D656" t="s">
        <v>32</v>
      </c>
      <c r="E656" t="s">
        <v>33</v>
      </c>
      <c r="G656" s="2" t="str">
        <f t="shared" si="10"/>
        <v>VERYVELL|UNION</v>
      </c>
    </row>
    <row r="657" spans="1:7" x14ac:dyDescent="0.2">
      <c r="A657">
        <v>9529</v>
      </c>
      <c r="B657" t="s">
        <v>197</v>
      </c>
      <c r="C657" t="s">
        <v>189</v>
      </c>
      <c r="D657" t="s">
        <v>32</v>
      </c>
      <c r="E657" t="s">
        <v>33</v>
      </c>
      <c r="G657" s="2" t="str">
        <f t="shared" si="10"/>
        <v>VERYVELL|ESSEX</v>
      </c>
    </row>
    <row r="658" spans="1:7" x14ac:dyDescent="0.2">
      <c r="A658">
        <v>9530</v>
      </c>
      <c r="B658" t="s">
        <v>198</v>
      </c>
      <c r="C658" t="s">
        <v>62</v>
      </c>
      <c r="D658" t="s">
        <v>32</v>
      </c>
      <c r="E658" t="s">
        <v>33</v>
      </c>
      <c r="G658" s="2" t="str">
        <f t="shared" si="10"/>
        <v>PIRATE WATER|MORRIS 2</v>
      </c>
    </row>
    <row r="659" spans="1:7" x14ac:dyDescent="0.2">
      <c r="A659">
        <v>9531</v>
      </c>
      <c r="B659" t="s">
        <v>198</v>
      </c>
      <c r="C659" t="s">
        <v>188</v>
      </c>
      <c r="D659" t="s">
        <v>32</v>
      </c>
      <c r="E659" t="s">
        <v>33</v>
      </c>
      <c r="G659" s="2" t="str">
        <f t="shared" si="10"/>
        <v>PIRATE WATER|UNION</v>
      </c>
    </row>
    <row r="660" spans="1:7" x14ac:dyDescent="0.2">
      <c r="A660">
        <v>9532</v>
      </c>
      <c r="B660" t="s">
        <v>198</v>
      </c>
      <c r="C660" t="s">
        <v>189</v>
      </c>
      <c r="D660" t="s">
        <v>32</v>
      </c>
      <c r="E660" t="s">
        <v>33</v>
      </c>
      <c r="G660" s="2" t="str">
        <f t="shared" si="10"/>
        <v>PIRATE WATER|ESSEX</v>
      </c>
    </row>
    <row r="661" spans="1:7" x14ac:dyDescent="0.2">
      <c r="A661">
        <v>9533</v>
      </c>
      <c r="B661" t="s">
        <v>199</v>
      </c>
      <c r="C661" t="s">
        <v>184</v>
      </c>
      <c r="D661" t="s">
        <v>32</v>
      </c>
      <c r="E661" t="s">
        <v>33</v>
      </c>
      <c r="G661" s="2" t="str">
        <f t="shared" si="10"/>
        <v>REKORDERLIG|SUSSEX</v>
      </c>
    </row>
    <row r="662" spans="1:7" x14ac:dyDescent="0.2">
      <c r="A662">
        <v>9534</v>
      </c>
      <c r="B662" t="s">
        <v>199</v>
      </c>
      <c r="C662" t="s">
        <v>188</v>
      </c>
      <c r="D662" t="s">
        <v>32</v>
      </c>
      <c r="E662" t="s">
        <v>33</v>
      </c>
      <c r="G662" s="2" t="str">
        <f t="shared" si="10"/>
        <v>REKORDERLIG|UNION</v>
      </c>
    </row>
    <row r="663" spans="1:7" x14ac:dyDescent="0.2">
      <c r="A663">
        <v>9535</v>
      </c>
      <c r="B663" t="s">
        <v>199</v>
      </c>
      <c r="C663" t="s">
        <v>62</v>
      </c>
      <c r="D663" t="s">
        <v>32</v>
      </c>
      <c r="E663" t="s">
        <v>33</v>
      </c>
      <c r="G663" s="2" t="str">
        <f t="shared" si="10"/>
        <v>REKORDERLIG|MORRIS 2</v>
      </c>
    </row>
    <row r="664" spans="1:7" x14ac:dyDescent="0.2">
      <c r="A664">
        <v>9536</v>
      </c>
      <c r="B664" t="s">
        <v>199</v>
      </c>
      <c r="C664" t="s">
        <v>31</v>
      </c>
      <c r="D664" t="s">
        <v>32</v>
      </c>
      <c r="E664" t="s">
        <v>33</v>
      </c>
      <c r="G664" s="2" t="str">
        <f t="shared" si="10"/>
        <v>REKORDERLIG|MORRIS 3</v>
      </c>
    </row>
    <row r="665" spans="1:7" x14ac:dyDescent="0.2">
      <c r="A665">
        <v>9541</v>
      </c>
      <c r="B665" t="s">
        <v>200</v>
      </c>
      <c r="C665" t="s">
        <v>189</v>
      </c>
      <c r="D665" t="s">
        <v>32</v>
      </c>
      <c r="E665" t="s">
        <v>33</v>
      </c>
      <c r="G665" s="2" t="str">
        <f t="shared" si="10"/>
        <v>CAPE MAY|ESSEX</v>
      </c>
    </row>
    <row r="666" spans="1:7" x14ac:dyDescent="0.2">
      <c r="A666">
        <v>9542</v>
      </c>
      <c r="B666" t="s">
        <v>200</v>
      </c>
      <c r="C666" t="s">
        <v>187</v>
      </c>
      <c r="D666" t="s">
        <v>32</v>
      </c>
      <c r="E666" t="s">
        <v>33</v>
      </c>
      <c r="G666" s="2" t="str">
        <f t="shared" si="10"/>
        <v>CAPE MAY|HUDSON</v>
      </c>
    </row>
    <row r="667" spans="1:7" x14ac:dyDescent="0.2">
      <c r="A667">
        <v>9543</v>
      </c>
      <c r="B667" t="s">
        <v>200</v>
      </c>
      <c r="C667" t="s">
        <v>188</v>
      </c>
      <c r="D667" t="s">
        <v>32</v>
      </c>
      <c r="E667" t="s">
        <v>33</v>
      </c>
      <c r="G667" s="2" t="str">
        <f t="shared" si="10"/>
        <v>CAPE MAY|UNION</v>
      </c>
    </row>
    <row r="668" spans="1:7" x14ac:dyDescent="0.2">
      <c r="A668">
        <v>9544</v>
      </c>
      <c r="B668" t="s">
        <v>200</v>
      </c>
      <c r="C668" t="s">
        <v>62</v>
      </c>
      <c r="D668" t="s">
        <v>32</v>
      </c>
      <c r="E668" t="s">
        <v>33</v>
      </c>
      <c r="G668" s="2" t="str">
        <f t="shared" si="10"/>
        <v>CAPE MAY|MORRIS 2</v>
      </c>
    </row>
    <row r="669" spans="1:7" x14ac:dyDescent="0.2">
      <c r="A669">
        <v>9545</v>
      </c>
      <c r="B669" t="s">
        <v>201</v>
      </c>
      <c r="C669" t="s">
        <v>189</v>
      </c>
      <c r="D669" t="s">
        <v>32</v>
      </c>
      <c r="E669" t="s">
        <v>33</v>
      </c>
      <c r="G669" s="2" t="str">
        <f t="shared" si="10"/>
        <v>BJ'S PRIVATE LABEL BREWA|ESSEX</v>
      </c>
    </row>
    <row r="670" spans="1:7" x14ac:dyDescent="0.2">
      <c r="A670">
        <v>9546</v>
      </c>
      <c r="B670" t="s">
        <v>201</v>
      </c>
      <c r="C670" t="s">
        <v>187</v>
      </c>
      <c r="D670" t="s">
        <v>32</v>
      </c>
      <c r="E670" t="s">
        <v>33</v>
      </c>
      <c r="G670" s="2" t="str">
        <f t="shared" si="10"/>
        <v>BJ'S PRIVATE LABEL BREWA|HUDSON</v>
      </c>
    </row>
    <row r="671" spans="1:7" x14ac:dyDescent="0.2">
      <c r="A671">
        <v>9547</v>
      </c>
      <c r="B671" t="s">
        <v>201</v>
      </c>
      <c r="C671" t="s">
        <v>188</v>
      </c>
      <c r="D671" t="s">
        <v>32</v>
      </c>
      <c r="E671" t="s">
        <v>33</v>
      </c>
      <c r="G671" s="2" t="str">
        <f t="shared" si="10"/>
        <v>BJ'S PRIVATE LABEL BREWA|UNION</v>
      </c>
    </row>
    <row r="672" spans="1:7" x14ac:dyDescent="0.2">
      <c r="A672">
        <v>9548</v>
      </c>
      <c r="B672" t="s">
        <v>201</v>
      </c>
      <c r="C672" t="s">
        <v>62</v>
      </c>
      <c r="D672" t="s">
        <v>32</v>
      </c>
      <c r="E672" t="s">
        <v>33</v>
      </c>
      <c r="G672" s="2" t="str">
        <f t="shared" si="10"/>
        <v>BJ'S PRIVATE LABEL BREWA|MORRIS 2</v>
      </c>
    </row>
    <row r="673" spans="1:7" x14ac:dyDescent="0.2">
      <c r="A673">
        <v>9549</v>
      </c>
      <c r="B673" t="s">
        <v>202</v>
      </c>
      <c r="C673" t="s">
        <v>189</v>
      </c>
      <c r="D673" t="s">
        <v>32</v>
      </c>
      <c r="E673" t="s">
        <v>33</v>
      </c>
      <c r="G673" s="2" t="str">
        <f t="shared" si="10"/>
        <v>LAGUNITAS BREWING CO|ESSEX</v>
      </c>
    </row>
    <row r="674" spans="1:7" x14ac:dyDescent="0.2">
      <c r="A674">
        <v>9550</v>
      </c>
      <c r="B674" t="s">
        <v>202</v>
      </c>
      <c r="C674" t="s">
        <v>187</v>
      </c>
      <c r="D674" t="s">
        <v>32</v>
      </c>
      <c r="E674" t="s">
        <v>33</v>
      </c>
      <c r="G674" s="2" t="str">
        <f t="shared" si="10"/>
        <v>LAGUNITAS BREWING CO|HUDSON</v>
      </c>
    </row>
    <row r="675" spans="1:7" x14ac:dyDescent="0.2">
      <c r="A675">
        <v>9551</v>
      </c>
      <c r="B675" t="s">
        <v>202</v>
      </c>
      <c r="C675" t="s">
        <v>184</v>
      </c>
      <c r="D675" t="s">
        <v>32</v>
      </c>
      <c r="E675" t="s">
        <v>33</v>
      </c>
      <c r="G675" s="2" t="str">
        <f t="shared" si="10"/>
        <v>LAGUNITAS BREWING CO|SUSSEX</v>
      </c>
    </row>
    <row r="676" spans="1:7" x14ac:dyDescent="0.2">
      <c r="A676">
        <v>9552</v>
      </c>
      <c r="B676" t="s">
        <v>202</v>
      </c>
      <c r="C676" t="s">
        <v>188</v>
      </c>
      <c r="D676" t="s">
        <v>32</v>
      </c>
      <c r="E676" t="s">
        <v>33</v>
      </c>
      <c r="G676" s="2" t="str">
        <f t="shared" si="10"/>
        <v>LAGUNITAS BREWING CO|UNION</v>
      </c>
    </row>
    <row r="677" spans="1:7" x14ac:dyDescent="0.2">
      <c r="A677">
        <v>9553</v>
      </c>
      <c r="B677" t="s">
        <v>202</v>
      </c>
      <c r="C677" t="s">
        <v>183</v>
      </c>
      <c r="D677" t="s">
        <v>32</v>
      </c>
      <c r="E677" t="s">
        <v>33</v>
      </c>
      <c r="G677" s="2" t="str">
        <f t="shared" si="10"/>
        <v>LAGUNITAS BREWING CO|MORRIS 1</v>
      </c>
    </row>
    <row r="678" spans="1:7" x14ac:dyDescent="0.2">
      <c r="A678">
        <v>9554</v>
      </c>
      <c r="B678" t="s">
        <v>202</v>
      </c>
      <c r="C678" t="s">
        <v>62</v>
      </c>
      <c r="D678" t="s">
        <v>32</v>
      </c>
      <c r="E678" t="s">
        <v>33</v>
      </c>
      <c r="G678" s="2" t="str">
        <f t="shared" si="10"/>
        <v>LAGUNITAS BREWING CO|MORRIS 2</v>
      </c>
    </row>
    <row r="679" spans="1:7" x14ac:dyDescent="0.2">
      <c r="A679">
        <v>9555</v>
      </c>
      <c r="B679" t="s">
        <v>203</v>
      </c>
      <c r="C679" t="s">
        <v>184</v>
      </c>
      <c r="D679" t="s">
        <v>32</v>
      </c>
      <c r="E679" t="s">
        <v>33</v>
      </c>
      <c r="G679" s="2" t="str">
        <f t="shared" si="10"/>
        <v>STONE BREWING|SUSSEX</v>
      </c>
    </row>
    <row r="680" spans="1:7" x14ac:dyDescent="0.2">
      <c r="A680">
        <v>9556</v>
      </c>
      <c r="B680" t="s">
        <v>203</v>
      </c>
      <c r="C680" t="s">
        <v>188</v>
      </c>
      <c r="D680" t="s">
        <v>32</v>
      </c>
      <c r="E680" t="s">
        <v>33</v>
      </c>
      <c r="G680" s="2" t="str">
        <f t="shared" si="10"/>
        <v>STONE BREWING|UNION</v>
      </c>
    </row>
    <row r="681" spans="1:7" x14ac:dyDescent="0.2">
      <c r="A681">
        <v>9557</v>
      </c>
      <c r="B681" t="s">
        <v>203</v>
      </c>
      <c r="C681" t="s">
        <v>183</v>
      </c>
      <c r="D681" t="s">
        <v>32</v>
      </c>
      <c r="E681" t="s">
        <v>33</v>
      </c>
      <c r="G681" s="2" t="str">
        <f t="shared" si="10"/>
        <v>STONE BREWING|MORRIS 1</v>
      </c>
    </row>
    <row r="682" spans="1:7" x14ac:dyDescent="0.2">
      <c r="A682">
        <v>9558</v>
      </c>
      <c r="B682" t="s">
        <v>203</v>
      </c>
      <c r="C682" t="s">
        <v>62</v>
      </c>
      <c r="D682" t="s">
        <v>32</v>
      </c>
      <c r="E682" t="s">
        <v>33</v>
      </c>
      <c r="G682" s="2" t="str">
        <f t="shared" si="10"/>
        <v>STONE BREWING|MORRIS 2</v>
      </c>
    </row>
    <row r="683" spans="1:7" x14ac:dyDescent="0.2">
      <c r="A683">
        <v>9559</v>
      </c>
      <c r="B683" t="s">
        <v>203</v>
      </c>
      <c r="C683" t="s">
        <v>31</v>
      </c>
      <c r="D683" t="s">
        <v>32</v>
      </c>
      <c r="E683" t="s">
        <v>33</v>
      </c>
      <c r="G683" s="2" t="str">
        <f t="shared" si="10"/>
        <v>STONE BREWING|MORRIS 3</v>
      </c>
    </row>
    <row r="684" spans="1:7" x14ac:dyDescent="0.2">
      <c r="A684">
        <v>9560</v>
      </c>
      <c r="B684" t="s">
        <v>204</v>
      </c>
      <c r="C684" t="s">
        <v>183</v>
      </c>
      <c r="D684" t="s">
        <v>32</v>
      </c>
      <c r="E684" t="s">
        <v>33</v>
      </c>
      <c r="G684" s="2" t="str">
        <f t="shared" si="10"/>
        <v>SIXPOINT|MORRIS 1</v>
      </c>
    </row>
    <row r="685" spans="1:7" x14ac:dyDescent="0.2">
      <c r="A685">
        <v>9561</v>
      </c>
      <c r="B685" t="s">
        <v>204</v>
      </c>
      <c r="C685" t="s">
        <v>62</v>
      </c>
      <c r="D685" t="s">
        <v>32</v>
      </c>
      <c r="E685" t="s">
        <v>33</v>
      </c>
      <c r="G685" s="2" t="str">
        <f t="shared" si="10"/>
        <v>SIXPOINT|MORRIS 2</v>
      </c>
    </row>
    <row r="686" spans="1:7" x14ac:dyDescent="0.2">
      <c r="A686">
        <v>9562</v>
      </c>
      <c r="B686" t="s">
        <v>204</v>
      </c>
      <c r="C686" t="s">
        <v>31</v>
      </c>
      <c r="D686" t="s">
        <v>32</v>
      </c>
      <c r="E686" t="s">
        <v>33</v>
      </c>
      <c r="G686" s="2" t="str">
        <f t="shared" si="10"/>
        <v>SIXPOINT|MORRIS 3</v>
      </c>
    </row>
    <row r="687" spans="1:7" x14ac:dyDescent="0.2">
      <c r="A687">
        <v>9563</v>
      </c>
      <c r="B687" t="s">
        <v>204</v>
      </c>
      <c r="C687" t="s">
        <v>188</v>
      </c>
      <c r="D687" t="s">
        <v>32</v>
      </c>
      <c r="E687" t="s">
        <v>33</v>
      </c>
      <c r="G687" s="2" t="str">
        <f t="shared" si="10"/>
        <v>SIXPOINT|UNION</v>
      </c>
    </row>
    <row r="688" spans="1:7" x14ac:dyDescent="0.2">
      <c r="A688">
        <v>9564</v>
      </c>
      <c r="B688" t="s">
        <v>204</v>
      </c>
      <c r="C688" t="s">
        <v>184</v>
      </c>
      <c r="D688" t="s">
        <v>32</v>
      </c>
      <c r="E688" t="s">
        <v>33</v>
      </c>
      <c r="G688" s="2" t="str">
        <f t="shared" si="10"/>
        <v>SIXPOINT|SUSSEX</v>
      </c>
    </row>
    <row r="689" spans="1:7" x14ac:dyDescent="0.2">
      <c r="A689">
        <v>9565</v>
      </c>
      <c r="B689" t="s">
        <v>60</v>
      </c>
      <c r="C689" t="s">
        <v>183</v>
      </c>
      <c r="D689" t="s">
        <v>32</v>
      </c>
      <c r="E689" t="s">
        <v>33</v>
      </c>
      <c r="G689" s="2" t="str">
        <f t="shared" si="10"/>
        <v>VICTORY|MORRIS 1</v>
      </c>
    </row>
    <row r="690" spans="1:7" x14ac:dyDescent="0.2">
      <c r="A690">
        <v>9566</v>
      </c>
      <c r="B690" t="s">
        <v>205</v>
      </c>
      <c r="C690" t="s">
        <v>62</v>
      </c>
      <c r="D690" t="s">
        <v>32</v>
      </c>
      <c r="E690" t="s">
        <v>33</v>
      </c>
      <c r="G690" s="2" t="str">
        <f t="shared" si="10"/>
        <v>MODELO AQUAS FRESCAS|MORRIS 2</v>
      </c>
    </row>
    <row r="691" spans="1:7" x14ac:dyDescent="0.2">
      <c r="A691">
        <v>9567</v>
      </c>
      <c r="B691" t="s">
        <v>205</v>
      </c>
      <c r="C691" t="s">
        <v>187</v>
      </c>
      <c r="D691" t="s">
        <v>32</v>
      </c>
      <c r="E691" t="s">
        <v>33</v>
      </c>
      <c r="G691" s="2" t="str">
        <f t="shared" si="10"/>
        <v>MODELO AQUAS FRESCAS|HUDSON</v>
      </c>
    </row>
    <row r="692" spans="1:7" x14ac:dyDescent="0.2">
      <c r="A692">
        <v>9568</v>
      </c>
      <c r="B692" t="s">
        <v>205</v>
      </c>
      <c r="C692" t="s">
        <v>188</v>
      </c>
      <c r="D692" t="s">
        <v>32</v>
      </c>
      <c r="E692" t="s">
        <v>33</v>
      </c>
      <c r="G692" s="2" t="str">
        <f t="shared" si="10"/>
        <v>MODELO AQUAS FRESCAS|UNION</v>
      </c>
    </row>
    <row r="693" spans="1:7" x14ac:dyDescent="0.2">
      <c r="A693">
        <v>9569</v>
      </c>
      <c r="B693" t="s">
        <v>205</v>
      </c>
      <c r="C693" t="s">
        <v>189</v>
      </c>
      <c r="D693" t="s">
        <v>32</v>
      </c>
      <c r="E693" t="s">
        <v>33</v>
      </c>
      <c r="G693" s="2" t="str">
        <f t="shared" si="10"/>
        <v>MODELO AQUAS FRESCAS|ESSEX</v>
      </c>
    </row>
    <row r="694" spans="1:7" x14ac:dyDescent="0.2">
      <c r="A694">
        <v>9576</v>
      </c>
      <c r="B694" t="s">
        <v>46</v>
      </c>
      <c r="C694" t="s">
        <v>184</v>
      </c>
      <c r="D694" t="s">
        <v>32</v>
      </c>
      <c r="E694" t="s">
        <v>33</v>
      </c>
      <c r="G694" s="2" t="str">
        <f t="shared" si="10"/>
        <v>ITHACA|SUSSEX</v>
      </c>
    </row>
    <row r="695" spans="1:7" x14ac:dyDescent="0.2">
      <c r="A695">
        <v>9578</v>
      </c>
      <c r="B695" t="s">
        <v>43</v>
      </c>
      <c r="C695" t="s">
        <v>183</v>
      </c>
      <c r="D695" t="s">
        <v>32</v>
      </c>
      <c r="E695" t="s">
        <v>33</v>
      </c>
      <c r="G695" s="2" t="str">
        <f t="shared" si="10"/>
        <v>FLYING FISH|MORRIS 1</v>
      </c>
    </row>
    <row r="696" spans="1:7" x14ac:dyDescent="0.2">
      <c r="A696">
        <v>9579</v>
      </c>
      <c r="B696" t="s">
        <v>43</v>
      </c>
      <c r="C696" t="s">
        <v>206</v>
      </c>
      <c r="D696" t="s">
        <v>32</v>
      </c>
      <c r="E696" t="s">
        <v>33</v>
      </c>
      <c r="G696" s="2" t="str">
        <f t="shared" si="10"/>
        <v>FLYING FISH|PASSAIC-FF</v>
      </c>
    </row>
    <row r="697" spans="1:7" x14ac:dyDescent="0.2">
      <c r="A697">
        <v>9580</v>
      </c>
      <c r="B697" t="s">
        <v>92</v>
      </c>
      <c r="C697" t="s">
        <v>187</v>
      </c>
      <c r="D697" t="s">
        <v>32</v>
      </c>
      <c r="E697" t="s">
        <v>33</v>
      </c>
      <c r="G697" s="2" t="str">
        <f t="shared" si="10"/>
        <v>WHITE CLAW|HUDSON</v>
      </c>
    </row>
    <row r="698" spans="1:7" x14ac:dyDescent="0.2">
      <c r="A698">
        <v>9581</v>
      </c>
      <c r="B698" t="s">
        <v>207</v>
      </c>
      <c r="C698" t="s">
        <v>189</v>
      </c>
      <c r="D698" t="s">
        <v>32</v>
      </c>
      <c r="E698" t="s">
        <v>33</v>
      </c>
      <c r="G698" s="2" t="str">
        <f t="shared" si="10"/>
        <v>HARD MOUNTAIN DEW|ESSEX</v>
      </c>
    </row>
    <row r="699" spans="1:7" x14ac:dyDescent="0.2">
      <c r="A699">
        <v>9582</v>
      </c>
      <c r="B699" t="s">
        <v>207</v>
      </c>
      <c r="C699" t="s">
        <v>187</v>
      </c>
      <c r="D699" t="s">
        <v>32</v>
      </c>
      <c r="E699" t="s">
        <v>33</v>
      </c>
      <c r="G699" s="2" t="str">
        <f t="shared" si="10"/>
        <v>HARD MOUNTAIN DEW|HUDSON</v>
      </c>
    </row>
    <row r="700" spans="1:7" x14ac:dyDescent="0.2">
      <c r="A700">
        <v>9583</v>
      </c>
      <c r="B700" t="s">
        <v>207</v>
      </c>
      <c r="C700" t="s">
        <v>188</v>
      </c>
      <c r="D700" t="s">
        <v>32</v>
      </c>
      <c r="E700" t="s">
        <v>33</v>
      </c>
      <c r="G700" s="2" t="str">
        <f t="shared" si="10"/>
        <v>HARD MOUNTAIN DEW|UNION</v>
      </c>
    </row>
    <row r="701" spans="1:7" x14ac:dyDescent="0.2">
      <c r="A701">
        <v>9584</v>
      </c>
      <c r="B701" t="s">
        <v>207</v>
      </c>
      <c r="C701" t="s">
        <v>62</v>
      </c>
      <c r="D701" t="s">
        <v>32</v>
      </c>
      <c r="E701" t="s">
        <v>33</v>
      </c>
      <c r="G701" s="2" t="str">
        <f t="shared" si="10"/>
        <v>HARD MOUNTAIN DEW|MORRIS 2</v>
      </c>
    </row>
    <row r="702" spans="1:7" x14ac:dyDescent="0.2">
      <c r="A702">
        <v>9585</v>
      </c>
      <c r="B702" t="s">
        <v>208</v>
      </c>
      <c r="C702" t="s">
        <v>62</v>
      </c>
      <c r="D702" t="s">
        <v>32</v>
      </c>
      <c r="E702" t="s">
        <v>33</v>
      </c>
      <c r="G702" s="2" t="str">
        <f t="shared" si="10"/>
        <v>BARDSTOWN BOURBON|MORRIS 2</v>
      </c>
    </row>
    <row r="703" spans="1:7" x14ac:dyDescent="0.2">
      <c r="A703">
        <v>9586</v>
      </c>
      <c r="B703" t="s">
        <v>208</v>
      </c>
      <c r="C703" t="s">
        <v>187</v>
      </c>
      <c r="D703" t="s">
        <v>32</v>
      </c>
      <c r="E703" t="s">
        <v>33</v>
      </c>
      <c r="G703" s="2" t="str">
        <f t="shared" si="10"/>
        <v>BARDSTOWN BOURBON|HUDSON</v>
      </c>
    </row>
    <row r="704" spans="1:7" x14ac:dyDescent="0.2">
      <c r="A704">
        <v>9587</v>
      </c>
      <c r="B704" t="s">
        <v>208</v>
      </c>
      <c r="C704" t="s">
        <v>188</v>
      </c>
      <c r="D704" t="s">
        <v>32</v>
      </c>
      <c r="E704" t="s">
        <v>33</v>
      </c>
      <c r="G704" s="2" t="str">
        <f t="shared" si="10"/>
        <v>BARDSTOWN BOURBON|UNION</v>
      </c>
    </row>
    <row r="705" spans="1:7" x14ac:dyDescent="0.2">
      <c r="A705">
        <v>9588</v>
      </c>
      <c r="B705" t="s">
        <v>208</v>
      </c>
      <c r="C705" t="s">
        <v>189</v>
      </c>
      <c r="D705" t="s">
        <v>32</v>
      </c>
      <c r="E705" t="s">
        <v>33</v>
      </c>
      <c r="G705" s="2" t="str">
        <f t="shared" si="10"/>
        <v>BARDSTOWN BOURBON|ESSEX</v>
      </c>
    </row>
    <row r="706" spans="1:7" x14ac:dyDescent="0.2">
      <c r="A706">
        <v>9589</v>
      </c>
      <c r="B706" t="s">
        <v>209</v>
      </c>
      <c r="C706" t="s">
        <v>210</v>
      </c>
      <c r="D706" t="s">
        <v>32</v>
      </c>
      <c r="E706" t="s">
        <v>33</v>
      </c>
      <c r="G706" s="2" t="str">
        <f t="shared" si="10"/>
        <v>GARAGE BEER|MIDDLESEX COUNTY</v>
      </c>
    </row>
    <row r="707" spans="1:7" x14ac:dyDescent="0.2">
      <c r="A707">
        <v>9590</v>
      </c>
      <c r="B707" t="s">
        <v>211</v>
      </c>
      <c r="C707" t="s">
        <v>62</v>
      </c>
      <c r="D707" t="s">
        <v>32</v>
      </c>
      <c r="E707" t="s">
        <v>33</v>
      </c>
      <c r="G707" s="2" t="str">
        <f t="shared" si="10"/>
        <v>ATHLETIC|MORRIS 2</v>
      </c>
    </row>
    <row r="708" spans="1:7" x14ac:dyDescent="0.2">
      <c r="A708">
        <v>9591</v>
      </c>
      <c r="B708" t="s">
        <v>211</v>
      </c>
      <c r="C708" t="s">
        <v>187</v>
      </c>
      <c r="D708" t="s">
        <v>32</v>
      </c>
      <c r="E708" t="s">
        <v>33</v>
      </c>
      <c r="G708" s="2" t="str">
        <f t="shared" si="10"/>
        <v>ATHLETIC|HUDSON</v>
      </c>
    </row>
    <row r="709" spans="1:7" x14ac:dyDescent="0.2">
      <c r="A709">
        <v>9592</v>
      </c>
      <c r="B709" t="s">
        <v>211</v>
      </c>
      <c r="C709" t="s">
        <v>188</v>
      </c>
      <c r="D709" t="s">
        <v>32</v>
      </c>
      <c r="E709" t="s">
        <v>33</v>
      </c>
      <c r="G709" s="2" t="str">
        <f t="shared" si="10"/>
        <v>ATHLETIC|UNION</v>
      </c>
    </row>
    <row r="710" spans="1:7" x14ac:dyDescent="0.2">
      <c r="A710">
        <v>9593</v>
      </c>
      <c r="B710" t="s">
        <v>211</v>
      </c>
      <c r="C710" t="s">
        <v>189</v>
      </c>
      <c r="D710" t="s">
        <v>32</v>
      </c>
      <c r="E710" t="s">
        <v>33</v>
      </c>
      <c r="G710" s="2" t="str">
        <f t="shared" si="10"/>
        <v>ATHLETIC|ESSEX</v>
      </c>
    </row>
    <row r="711" spans="1:7" x14ac:dyDescent="0.2">
      <c r="A711">
        <v>9594</v>
      </c>
      <c r="B711" t="s">
        <v>212</v>
      </c>
      <c r="C711" t="s">
        <v>62</v>
      </c>
      <c r="D711" t="s">
        <v>32</v>
      </c>
      <c r="E711" t="s">
        <v>33</v>
      </c>
      <c r="G711" s="2" t="str">
        <f t="shared" ref="G711:G774" si="11">UPPER(B711)&amp;"|"&amp;UPPER(C711)</f>
        <v>HOP WTR|MORRIS 2</v>
      </c>
    </row>
    <row r="712" spans="1:7" x14ac:dyDescent="0.2">
      <c r="A712">
        <v>9595</v>
      </c>
      <c r="B712" t="s">
        <v>212</v>
      </c>
      <c r="C712" t="s">
        <v>187</v>
      </c>
      <c r="D712" t="s">
        <v>32</v>
      </c>
      <c r="E712" t="s">
        <v>33</v>
      </c>
      <c r="G712" s="2" t="str">
        <f t="shared" si="11"/>
        <v>HOP WTR|HUDSON</v>
      </c>
    </row>
    <row r="713" spans="1:7" x14ac:dyDescent="0.2">
      <c r="A713">
        <v>9596</v>
      </c>
      <c r="B713" t="s">
        <v>212</v>
      </c>
      <c r="C713" t="s">
        <v>188</v>
      </c>
      <c r="D713" t="s">
        <v>32</v>
      </c>
      <c r="E713" t="s">
        <v>33</v>
      </c>
      <c r="G713" s="2" t="str">
        <f t="shared" si="11"/>
        <v>HOP WTR|UNION</v>
      </c>
    </row>
    <row r="714" spans="1:7" x14ac:dyDescent="0.2">
      <c r="A714">
        <v>9597</v>
      </c>
      <c r="B714" t="s">
        <v>212</v>
      </c>
      <c r="C714" t="s">
        <v>189</v>
      </c>
      <c r="D714" t="s">
        <v>32</v>
      </c>
      <c r="E714" t="s">
        <v>33</v>
      </c>
      <c r="G714" s="2" t="str">
        <f t="shared" si="11"/>
        <v>HOP WTR|ESSEX</v>
      </c>
    </row>
    <row r="715" spans="1:7" x14ac:dyDescent="0.2">
      <c r="A715">
        <v>9598</v>
      </c>
      <c r="B715" t="s">
        <v>213</v>
      </c>
      <c r="C715" t="s">
        <v>62</v>
      </c>
      <c r="D715" t="s">
        <v>32</v>
      </c>
      <c r="E715" t="s">
        <v>33</v>
      </c>
      <c r="G715" s="2" t="str">
        <f t="shared" si="11"/>
        <v>CORONA NA|MORRIS 2</v>
      </c>
    </row>
    <row r="716" spans="1:7" x14ac:dyDescent="0.2">
      <c r="A716">
        <v>9599</v>
      </c>
      <c r="B716" t="s">
        <v>213</v>
      </c>
      <c r="C716" t="s">
        <v>187</v>
      </c>
      <c r="D716" t="s">
        <v>32</v>
      </c>
      <c r="E716" t="s">
        <v>33</v>
      </c>
      <c r="G716" s="2" t="str">
        <f t="shared" si="11"/>
        <v>CORONA NA|HUDSON</v>
      </c>
    </row>
    <row r="717" spans="1:7" x14ac:dyDescent="0.2">
      <c r="A717">
        <v>9600</v>
      </c>
      <c r="B717" t="s">
        <v>213</v>
      </c>
      <c r="C717" t="s">
        <v>188</v>
      </c>
      <c r="D717" t="s">
        <v>32</v>
      </c>
      <c r="E717" t="s">
        <v>33</v>
      </c>
      <c r="G717" s="2" t="str">
        <f t="shared" si="11"/>
        <v>CORONA NA|UNION</v>
      </c>
    </row>
    <row r="718" spans="1:7" x14ac:dyDescent="0.2">
      <c r="A718">
        <v>9601</v>
      </c>
      <c r="B718" t="s">
        <v>213</v>
      </c>
      <c r="C718" t="s">
        <v>189</v>
      </c>
      <c r="D718" t="s">
        <v>32</v>
      </c>
      <c r="E718" t="s">
        <v>33</v>
      </c>
      <c r="G718" s="2" t="str">
        <f t="shared" si="11"/>
        <v>CORONA NA|ESSEX</v>
      </c>
    </row>
    <row r="719" spans="1:7" x14ac:dyDescent="0.2">
      <c r="A719">
        <v>9602</v>
      </c>
      <c r="B719" t="s">
        <v>214</v>
      </c>
      <c r="C719" t="s">
        <v>62</v>
      </c>
      <c r="D719" t="s">
        <v>32</v>
      </c>
      <c r="E719" t="s">
        <v>33</v>
      </c>
      <c r="G719" s="2" t="str">
        <f t="shared" si="11"/>
        <v>LAGUNITAS|MORRIS 2</v>
      </c>
    </row>
    <row r="720" spans="1:7" x14ac:dyDescent="0.2">
      <c r="A720">
        <v>9603</v>
      </c>
      <c r="B720" t="s">
        <v>214</v>
      </c>
      <c r="C720" t="s">
        <v>183</v>
      </c>
      <c r="D720" t="s">
        <v>32</v>
      </c>
      <c r="E720" t="s">
        <v>33</v>
      </c>
      <c r="G720" s="2" t="str">
        <f t="shared" si="11"/>
        <v>LAGUNITAS|MORRIS 1</v>
      </c>
    </row>
    <row r="721" spans="1:7" x14ac:dyDescent="0.2">
      <c r="A721">
        <v>9604</v>
      </c>
      <c r="B721" t="s">
        <v>214</v>
      </c>
      <c r="C721" t="s">
        <v>184</v>
      </c>
      <c r="D721" t="s">
        <v>32</v>
      </c>
      <c r="E721" t="s">
        <v>33</v>
      </c>
      <c r="G721" s="2" t="str">
        <f t="shared" si="11"/>
        <v>LAGUNITAS|SUSSEX</v>
      </c>
    </row>
    <row r="722" spans="1:7" x14ac:dyDescent="0.2">
      <c r="A722">
        <v>9605</v>
      </c>
      <c r="B722" t="s">
        <v>214</v>
      </c>
      <c r="C722" t="s">
        <v>187</v>
      </c>
      <c r="D722" t="s">
        <v>32</v>
      </c>
      <c r="E722" t="s">
        <v>33</v>
      </c>
      <c r="G722" s="2" t="str">
        <f t="shared" si="11"/>
        <v>LAGUNITAS|HUDSON</v>
      </c>
    </row>
    <row r="723" spans="1:7" x14ac:dyDescent="0.2">
      <c r="A723">
        <v>9606</v>
      </c>
      <c r="B723" t="s">
        <v>214</v>
      </c>
      <c r="C723" t="s">
        <v>188</v>
      </c>
      <c r="D723" t="s">
        <v>32</v>
      </c>
      <c r="E723" t="s">
        <v>33</v>
      </c>
      <c r="G723" s="2" t="str">
        <f t="shared" si="11"/>
        <v>LAGUNITAS|UNION</v>
      </c>
    </row>
    <row r="724" spans="1:7" x14ac:dyDescent="0.2">
      <c r="A724">
        <v>9607</v>
      </c>
      <c r="B724" t="s">
        <v>214</v>
      </c>
      <c r="C724" t="s">
        <v>189</v>
      </c>
      <c r="D724" t="s">
        <v>32</v>
      </c>
      <c r="E724" t="s">
        <v>33</v>
      </c>
      <c r="G724" s="2" t="str">
        <f t="shared" si="11"/>
        <v>LAGUNITAS|ESSEX</v>
      </c>
    </row>
    <row r="725" spans="1:7" x14ac:dyDescent="0.2">
      <c r="A725">
        <v>9608</v>
      </c>
      <c r="B725" t="s">
        <v>215</v>
      </c>
      <c r="C725" t="s">
        <v>62</v>
      </c>
      <c r="D725" t="s">
        <v>32</v>
      </c>
      <c r="E725" t="s">
        <v>33</v>
      </c>
      <c r="G725" s="2" t="str">
        <f t="shared" si="11"/>
        <v>LAGUNITAS NA|MORRIS 2</v>
      </c>
    </row>
    <row r="726" spans="1:7" x14ac:dyDescent="0.2">
      <c r="A726">
        <v>9609</v>
      </c>
      <c r="B726" t="s">
        <v>215</v>
      </c>
      <c r="C726" t="s">
        <v>183</v>
      </c>
      <c r="D726" t="s">
        <v>32</v>
      </c>
      <c r="E726" t="s">
        <v>33</v>
      </c>
      <c r="G726" s="2" t="str">
        <f t="shared" si="11"/>
        <v>LAGUNITAS NA|MORRIS 1</v>
      </c>
    </row>
    <row r="727" spans="1:7" x14ac:dyDescent="0.2">
      <c r="A727">
        <v>9610</v>
      </c>
      <c r="B727" t="s">
        <v>215</v>
      </c>
      <c r="C727" t="s">
        <v>184</v>
      </c>
      <c r="D727" t="s">
        <v>32</v>
      </c>
      <c r="E727" t="s">
        <v>33</v>
      </c>
      <c r="G727" s="2" t="str">
        <f t="shared" si="11"/>
        <v>LAGUNITAS NA|SUSSEX</v>
      </c>
    </row>
    <row r="728" spans="1:7" x14ac:dyDescent="0.2">
      <c r="A728">
        <v>9611</v>
      </c>
      <c r="B728" t="s">
        <v>215</v>
      </c>
      <c r="C728" t="s">
        <v>187</v>
      </c>
      <c r="D728" t="s">
        <v>32</v>
      </c>
      <c r="E728" t="s">
        <v>33</v>
      </c>
      <c r="G728" s="2" t="str">
        <f t="shared" si="11"/>
        <v>LAGUNITAS NA|HUDSON</v>
      </c>
    </row>
    <row r="729" spans="1:7" x14ac:dyDescent="0.2">
      <c r="A729">
        <v>9612</v>
      </c>
      <c r="B729" t="s">
        <v>215</v>
      </c>
      <c r="C729" t="s">
        <v>188</v>
      </c>
      <c r="D729" t="s">
        <v>32</v>
      </c>
      <c r="E729" t="s">
        <v>33</v>
      </c>
      <c r="G729" s="2" t="str">
        <f t="shared" si="11"/>
        <v>LAGUNITAS NA|UNION</v>
      </c>
    </row>
    <row r="730" spans="1:7" x14ac:dyDescent="0.2">
      <c r="A730">
        <v>9613</v>
      </c>
      <c r="B730" t="s">
        <v>215</v>
      </c>
      <c r="C730" t="s">
        <v>189</v>
      </c>
      <c r="D730" t="s">
        <v>32</v>
      </c>
      <c r="E730" t="s">
        <v>33</v>
      </c>
      <c r="G730" s="2" t="str">
        <f t="shared" si="11"/>
        <v>LAGUNITAS NA|ESSEX</v>
      </c>
    </row>
    <row r="731" spans="1:7" x14ac:dyDescent="0.2">
      <c r="A731">
        <v>9614</v>
      </c>
      <c r="B731" t="s">
        <v>216</v>
      </c>
      <c r="C731" t="s">
        <v>62</v>
      </c>
      <c r="D731" t="s">
        <v>32</v>
      </c>
      <c r="E731" t="s">
        <v>33</v>
      </c>
      <c r="G731" s="2" t="str">
        <f t="shared" si="11"/>
        <v>DAD GRASS|MORRIS 2</v>
      </c>
    </row>
    <row r="732" spans="1:7" x14ac:dyDescent="0.2">
      <c r="A732">
        <v>9615</v>
      </c>
      <c r="B732" t="s">
        <v>216</v>
      </c>
      <c r="C732" t="s">
        <v>187</v>
      </c>
      <c r="D732" t="s">
        <v>32</v>
      </c>
      <c r="E732" t="s">
        <v>33</v>
      </c>
      <c r="G732" s="2" t="str">
        <f t="shared" si="11"/>
        <v>DAD GRASS|HUDSON</v>
      </c>
    </row>
    <row r="733" spans="1:7" x14ac:dyDescent="0.2">
      <c r="A733">
        <v>9616</v>
      </c>
      <c r="B733" t="s">
        <v>216</v>
      </c>
      <c r="C733" t="s">
        <v>188</v>
      </c>
      <c r="D733" t="s">
        <v>32</v>
      </c>
      <c r="E733" t="s">
        <v>33</v>
      </c>
      <c r="G733" s="2" t="str">
        <f t="shared" si="11"/>
        <v>DAD GRASS|UNION</v>
      </c>
    </row>
    <row r="734" spans="1:7" x14ac:dyDescent="0.2">
      <c r="A734">
        <v>9617</v>
      </c>
      <c r="B734" t="s">
        <v>216</v>
      </c>
      <c r="C734" t="s">
        <v>189</v>
      </c>
      <c r="D734" t="s">
        <v>32</v>
      </c>
      <c r="E734" t="s">
        <v>33</v>
      </c>
      <c r="G734" s="2" t="str">
        <f t="shared" si="11"/>
        <v>DAD GRASS|ESSEX</v>
      </c>
    </row>
    <row r="735" spans="1:7" x14ac:dyDescent="0.2">
      <c r="A735">
        <v>9618</v>
      </c>
      <c r="B735" t="s">
        <v>217</v>
      </c>
      <c r="C735" t="s">
        <v>62</v>
      </c>
      <c r="D735" t="s">
        <v>32</v>
      </c>
      <c r="E735" t="s">
        <v>33</v>
      </c>
      <c r="G735" s="2" t="str">
        <f t="shared" si="11"/>
        <v>HAPPY THURSDAY SPIKED REFRESHER|MORRIS 2</v>
      </c>
    </row>
    <row r="736" spans="1:7" x14ac:dyDescent="0.2">
      <c r="A736">
        <v>9619</v>
      </c>
      <c r="B736" t="s">
        <v>217</v>
      </c>
      <c r="C736" t="s">
        <v>187</v>
      </c>
      <c r="D736" t="s">
        <v>32</v>
      </c>
      <c r="E736" t="s">
        <v>33</v>
      </c>
      <c r="G736" s="2" t="str">
        <f t="shared" si="11"/>
        <v>HAPPY THURSDAY SPIKED REFRESHER|HUDSON</v>
      </c>
    </row>
    <row r="737" spans="1:7" x14ac:dyDescent="0.2">
      <c r="A737">
        <v>9620</v>
      </c>
      <c r="B737" t="s">
        <v>217</v>
      </c>
      <c r="C737" t="s">
        <v>189</v>
      </c>
      <c r="D737" t="s">
        <v>32</v>
      </c>
      <c r="E737" t="s">
        <v>33</v>
      </c>
      <c r="G737" s="2" t="str">
        <f t="shared" si="11"/>
        <v>HAPPY THURSDAY SPIKED REFRESHER|ESSEX</v>
      </c>
    </row>
    <row r="738" spans="1:7" x14ac:dyDescent="0.2">
      <c r="A738">
        <v>9621</v>
      </c>
      <c r="B738" t="s">
        <v>217</v>
      </c>
      <c r="C738" t="s">
        <v>188</v>
      </c>
      <c r="D738" t="s">
        <v>32</v>
      </c>
      <c r="E738" t="s">
        <v>33</v>
      </c>
      <c r="G738" s="2" t="str">
        <f t="shared" si="11"/>
        <v>HAPPY THURSDAY SPIKED REFRESHER|UNION</v>
      </c>
    </row>
    <row r="739" spans="1:7" x14ac:dyDescent="0.2">
      <c r="A739">
        <v>9622</v>
      </c>
      <c r="B739" t="s">
        <v>218</v>
      </c>
      <c r="C739" t="s">
        <v>187</v>
      </c>
      <c r="D739" t="s">
        <v>32</v>
      </c>
      <c r="E739" t="s">
        <v>33</v>
      </c>
      <c r="G739" s="2" t="str">
        <f t="shared" si="11"/>
        <v>CORONA SUNBREW|HUDSON</v>
      </c>
    </row>
    <row r="740" spans="1:7" x14ac:dyDescent="0.2">
      <c r="A740">
        <v>9623</v>
      </c>
      <c r="B740" t="s">
        <v>218</v>
      </c>
      <c r="C740" t="s">
        <v>62</v>
      </c>
      <c r="D740" t="s">
        <v>32</v>
      </c>
      <c r="E740" t="s">
        <v>33</v>
      </c>
      <c r="G740" s="2" t="str">
        <f t="shared" si="11"/>
        <v>CORONA SUNBREW|MORRIS 2</v>
      </c>
    </row>
    <row r="741" spans="1:7" x14ac:dyDescent="0.2">
      <c r="A741">
        <v>9624</v>
      </c>
      <c r="B741" t="s">
        <v>218</v>
      </c>
      <c r="C741" t="s">
        <v>189</v>
      </c>
      <c r="D741" t="s">
        <v>32</v>
      </c>
      <c r="E741" t="s">
        <v>33</v>
      </c>
      <c r="G741" s="2" t="str">
        <f t="shared" si="11"/>
        <v>CORONA SUNBREW|ESSEX</v>
      </c>
    </row>
    <row r="742" spans="1:7" x14ac:dyDescent="0.2">
      <c r="A742">
        <v>9625</v>
      </c>
      <c r="B742" t="s">
        <v>218</v>
      </c>
      <c r="C742" t="s">
        <v>188</v>
      </c>
      <c r="D742" t="s">
        <v>32</v>
      </c>
      <c r="E742" t="s">
        <v>33</v>
      </c>
      <c r="G742" s="2" t="str">
        <f t="shared" si="11"/>
        <v>CORONA SUNBREW|UNION</v>
      </c>
    </row>
    <row r="743" spans="1:7" x14ac:dyDescent="0.2">
      <c r="A743">
        <v>9626</v>
      </c>
      <c r="B743" t="s">
        <v>219</v>
      </c>
      <c r="C743" t="s">
        <v>189</v>
      </c>
      <c r="D743" t="s">
        <v>32</v>
      </c>
      <c r="E743" t="s">
        <v>33</v>
      </c>
      <c r="G743" s="2" t="str">
        <f t="shared" si="11"/>
        <v>DOGFISH HEAD SPIRITS|ESSEX</v>
      </c>
    </row>
    <row r="744" spans="1:7" x14ac:dyDescent="0.2">
      <c r="A744">
        <v>9627</v>
      </c>
      <c r="B744" t="s">
        <v>219</v>
      </c>
      <c r="C744" t="s">
        <v>187</v>
      </c>
      <c r="D744" t="s">
        <v>32</v>
      </c>
      <c r="E744" t="s">
        <v>33</v>
      </c>
      <c r="G744" s="2" t="str">
        <f t="shared" si="11"/>
        <v>DOGFISH HEAD SPIRITS|HUDSON</v>
      </c>
    </row>
    <row r="745" spans="1:7" x14ac:dyDescent="0.2">
      <c r="A745">
        <v>9628</v>
      </c>
      <c r="B745" t="s">
        <v>219</v>
      </c>
      <c r="C745" t="s">
        <v>188</v>
      </c>
      <c r="D745" t="s">
        <v>32</v>
      </c>
      <c r="E745" t="s">
        <v>33</v>
      </c>
      <c r="G745" s="2" t="str">
        <f t="shared" si="11"/>
        <v>DOGFISH HEAD SPIRITS|UNION</v>
      </c>
    </row>
    <row r="746" spans="1:7" x14ac:dyDescent="0.2">
      <c r="A746">
        <v>9629</v>
      </c>
      <c r="B746" t="s">
        <v>219</v>
      </c>
      <c r="C746" t="s">
        <v>62</v>
      </c>
      <c r="D746" t="s">
        <v>32</v>
      </c>
      <c r="E746" t="s">
        <v>33</v>
      </c>
      <c r="G746" s="2" t="str">
        <f t="shared" si="11"/>
        <v>DOGFISH HEAD SPIRITS|MORRIS 2</v>
      </c>
    </row>
    <row r="747" spans="1:7" x14ac:dyDescent="0.2">
      <c r="A747">
        <v>9630</v>
      </c>
      <c r="B747" t="s">
        <v>220</v>
      </c>
      <c r="C747" t="s">
        <v>189</v>
      </c>
      <c r="D747" t="s">
        <v>32</v>
      </c>
      <c r="E747" t="s">
        <v>33</v>
      </c>
      <c r="G747" s="2" t="str">
        <f t="shared" si="11"/>
        <v>SIMPLY SPIKED|ESSEX</v>
      </c>
    </row>
    <row r="748" spans="1:7" x14ac:dyDescent="0.2">
      <c r="A748">
        <v>9631</v>
      </c>
      <c r="B748" t="s">
        <v>220</v>
      </c>
      <c r="C748" t="s">
        <v>187</v>
      </c>
      <c r="D748" t="s">
        <v>32</v>
      </c>
      <c r="E748" t="s">
        <v>33</v>
      </c>
      <c r="G748" s="2" t="str">
        <f t="shared" si="11"/>
        <v>SIMPLY SPIKED|HUDSON</v>
      </c>
    </row>
    <row r="749" spans="1:7" x14ac:dyDescent="0.2">
      <c r="A749">
        <v>9632</v>
      </c>
      <c r="B749" t="s">
        <v>220</v>
      </c>
      <c r="C749" t="s">
        <v>188</v>
      </c>
      <c r="D749" t="s">
        <v>32</v>
      </c>
      <c r="E749" t="s">
        <v>33</v>
      </c>
      <c r="G749" s="2" t="str">
        <f t="shared" si="11"/>
        <v>SIMPLY SPIKED|UNION</v>
      </c>
    </row>
    <row r="750" spans="1:7" x14ac:dyDescent="0.2">
      <c r="A750">
        <v>9633</v>
      </c>
      <c r="B750" t="s">
        <v>220</v>
      </c>
      <c r="C750" t="s">
        <v>62</v>
      </c>
      <c r="D750" t="s">
        <v>32</v>
      </c>
      <c r="E750" t="s">
        <v>33</v>
      </c>
      <c r="G750" s="2" t="str">
        <f t="shared" si="11"/>
        <v>SIMPLY SPIKED|MORRIS 2</v>
      </c>
    </row>
    <row r="751" spans="1:7" x14ac:dyDescent="0.2">
      <c r="A751">
        <v>9634</v>
      </c>
      <c r="B751" t="s">
        <v>221</v>
      </c>
      <c r="C751" t="s">
        <v>189</v>
      </c>
      <c r="D751" t="s">
        <v>32</v>
      </c>
      <c r="E751" t="s">
        <v>33</v>
      </c>
      <c r="G751" s="2" t="str">
        <f t="shared" si="11"/>
        <v>BELL'S|ESSEX</v>
      </c>
    </row>
    <row r="752" spans="1:7" x14ac:dyDescent="0.2">
      <c r="A752">
        <v>9635</v>
      </c>
      <c r="B752" t="s">
        <v>221</v>
      </c>
      <c r="C752" t="s">
        <v>188</v>
      </c>
      <c r="D752" t="s">
        <v>32</v>
      </c>
      <c r="E752" t="s">
        <v>33</v>
      </c>
      <c r="G752" s="2" t="str">
        <f t="shared" si="11"/>
        <v>BELL'S|UNION</v>
      </c>
    </row>
    <row r="753" spans="1:7" x14ac:dyDescent="0.2">
      <c r="A753">
        <v>9636</v>
      </c>
      <c r="B753" t="s">
        <v>221</v>
      </c>
      <c r="C753" t="s">
        <v>187</v>
      </c>
      <c r="D753" t="s">
        <v>32</v>
      </c>
      <c r="E753" t="s">
        <v>33</v>
      </c>
      <c r="G753" s="2" t="str">
        <f t="shared" si="11"/>
        <v>BELL'S|HUDSON</v>
      </c>
    </row>
    <row r="754" spans="1:7" x14ac:dyDescent="0.2">
      <c r="A754">
        <v>9637</v>
      </c>
      <c r="B754" t="s">
        <v>221</v>
      </c>
      <c r="C754" t="s">
        <v>62</v>
      </c>
      <c r="D754" t="s">
        <v>32</v>
      </c>
      <c r="E754" t="s">
        <v>33</v>
      </c>
      <c r="G754" s="2" t="str">
        <f t="shared" si="11"/>
        <v>BELL'S|MORRIS 2</v>
      </c>
    </row>
    <row r="755" spans="1:7" x14ac:dyDescent="0.2">
      <c r="A755">
        <v>9638</v>
      </c>
      <c r="B755" t="s">
        <v>222</v>
      </c>
      <c r="C755" t="s">
        <v>189</v>
      </c>
      <c r="D755" t="s">
        <v>32</v>
      </c>
      <c r="E755" t="s">
        <v>33</v>
      </c>
      <c r="G755" s="2" t="str">
        <f t="shared" si="11"/>
        <v>BELL'S HEARTED FAMILY|ESSEX</v>
      </c>
    </row>
    <row r="756" spans="1:7" x14ac:dyDescent="0.2">
      <c r="A756">
        <v>9639</v>
      </c>
      <c r="B756" t="s">
        <v>222</v>
      </c>
      <c r="C756" t="s">
        <v>187</v>
      </c>
      <c r="D756" t="s">
        <v>32</v>
      </c>
      <c r="E756" t="s">
        <v>33</v>
      </c>
      <c r="G756" s="2" t="str">
        <f t="shared" si="11"/>
        <v>BELL'S HEARTED FAMILY|HUDSON</v>
      </c>
    </row>
    <row r="757" spans="1:7" x14ac:dyDescent="0.2">
      <c r="A757">
        <v>9640</v>
      </c>
      <c r="B757" t="s">
        <v>222</v>
      </c>
      <c r="C757" t="s">
        <v>188</v>
      </c>
      <c r="D757" t="s">
        <v>32</v>
      </c>
      <c r="E757" t="s">
        <v>33</v>
      </c>
      <c r="G757" s="2" t="str">
        <f t="shared" si="11"/>
        <v>BELL'S HEARTED FAMILY|UNION</v>
      </c>
    </row>
    <row r="758" spans="1:7" x14ac:dyDescent="0.2">
      <c r="A758">
        <v>9641</v>
      </c>
      <c r="B758" t="s">
        <v>222</v>
      </c>
      <c r="C758" t="s">
        <v>62</v>
      </c>
      <c r="D758" t="s">
        <v>32</v>
      </c>
      <c r="E758" t="s">
        <v>33</v>
      </c>
      <c r="G758" s="2" t="str">
        <f t="shared" si="11"/>
        <v>BELL'S HEARTED FAMILY|MORRIS 2</v>
      </c>
    </row>
    <row r="759" spans="1:7" x14ac:dyDescent="0.2">
      <c r="A759">
        <v>9642</v>
      </c>
      <c r="B759" t="s">
        <v>223</v>
      </c>
      <c r="C759" t="s">
        <v>189</v>
      </c>
      <c r="D759" t="s">
        <v>32</v>
      </c>
      <c r="E759" t="s">
        <v>33</v>
      </c>
      <c r="G759" s="2" t="str">
        <f t="shared" si="11"/>
        <v>BELL'S SEASONAL|ESSEX</v>
      </c>
    </row>
    <row r="760" spans="1:7" x14ac:dyDescent="0.2">
      <c r="A760">
        <v>9643</v>
      </c>
      <c r="B760" t="s">
        <v>223</v>
      </c>
      <c r="C760" t="s">
        <v>187</v>
      </c>
      <c r="D760" t="s">
        <v>32</v>
      </c>
      <c r="E760" t="s">
        <v>33</v>
      </c>
      <c r="G760" s="2" t="str">
        <f t="shared" si="11"/>
        <v>BELL'S SEASONAL|HUDSON</v>
      </c>
    </row>
    <row r="761" spans="1:7" x14ac:dyDescent="0.2">
      <c r="A761">
        <v>9644</v>
      </c>
      <c r="B761" t="s">
        <v>223</v>
      </c>
      <c r="C761" t="s">
        <v>188</v>
      </c>
      <c r="D761" t="s">
        <v>32</v>
      </c>
      <c r="E761" t="s">
        <v>33</v>
      </c>
      <c r="G761" s="2" t="str">
        <f t="shared" si="11"/>
        <v>BELL'S SEASONAL|UNION</v>
      </c>
    </row>
    <row r="762" spans="1:7" x14ac:dyDescent="0.2">
      <c r="A762">
        <v>9645</v>
      </c>
      <c r="B762" t="s">
        <v>223</v>
      </c>
      <c r="C762" t="s">
        <v>62</v>
      </c>
      <c r="D762" t="s">
        <v>32</v>
      </c>
      <c r="E762" t="s">
        <v>33</v>
      </c>
      <c r="G762" s="2" t="str">
        <f t="shared" si="11"/>
        <v>BELL'S SEASONAL|MORRIS 2</v>
      </c>
    </row>
    <row r="763" spans="1:7" x14ac:dyDescent="0.2">
      <c r="A763">
        <v>9646</v>
      </c>
      <c r="B763" t="s">
        <v>224</v>
      </c>
      <c r="C763" t="s">
        <v>189</v>
      </c>
      <c r="D763" t="s">
        <v>32</v>
      </c>
      <c r="E763" t="s">
        <v>33</v>
      </c>
      <c r="G763" s="2" t="str">
        <f t="shared" si="11"/>
        <v>FAT TIRE FAMILY|ESSEX</v>
      </c>
    </row>
    <row r="764" spans="1:7" x14ac:dyDescent="0.2">
      <c r="A764">
        <v>9647</v>
      </c>
      <c r="B764" t="s">
        <v>224</v>
      </c>
      <c r="C764" t="s">
        <v>187</v>
      </c>
      <c r="D764" t="s">
        <v>32</v>
      </c>
      <c r="E764" t="s">
        <v>33</v>
      </c>
      <c r="G764" s="2" t="str">
        <f t="shared" si="11"/>
        <v>FAT TIRE FAMILY|HUDSON</v>
      </c>
    </row>
    <row r="765" spans="1:7" x14ac:dyDescent="0.2">
      <c r="A765">
        <v>9648</v>
      </c>
      <c r="B765" t="s">
        <v>224</v>
      </c>
      <c r="C765" t="s">
        <v>188</v>
      </c>
      <c r="D765" t="s">
        <v>32</v>
      </c>
      <c r="E765" t="s">
        <v>33</v>
      </c>
      <c r="G765" s="2" t="str">
        <f t="shared" si="11"/>
        <v>FAT TIRE FAMILY|UNION</v>
      </c>
    </row>
    <row r="766" spans="1:7" x14ac:dyDescent="0.2">
      <c r="A766">
        <v>9649</v>
      </c>
      <c r="B766" t="s">
        <v>224</v>
      </c>
      <c r="C766" t="s">
        <v>62</v>
      </c>
      <c r="D766" t="s">
        <v>32</v>
      </c>
      <c r="E766" t="s">
        <v>33</v>
      </c>
      <c r="G766" s="2" t="str">
        <f t="shared" si="11"/>
        <v>FAT TIRE FAMILY|MORRIS 2</v>
      </c>
    </row>
    <row r="767" spans="1:7" x14ac:dyDescent="0.2">
      <c r="A767">
        <v>9650</v>
      </c>
      <c r="B767" t="s">
        <v>225</v>
      </c>
      <c r="C767" t="s">
        <v>189</v>
      </c>
      <c r="D767" t="s">
        <v>32</v>
      </c>
      <c r="E767" t="s">
        <v>33</v>
      </c>
      <c r="G767" s="2" t="str">
        <f t="shared" si="11"/>
        <v>VOODOO FAMILY|ESSEX</v>
      </c>
    </row>
    <row r="768" spans="1:7" x14ac:dyDescent="0.2">
      <c r="A768">
        <v>9651</v>
      </c>
      <c r="B768" t="s">
        <v>225</v>
      </c>
      <c r="C768" t="s">
        <v>188</v>
      </c>
      <c r="D768" t="s">
        <v>32</v>
      </c>
      <c r="E768" t="s">
        <v>33</v>
      </c>
      <c r="G768" s="2" t="str">
        <f t="shared" si="11"/>
        <v>VOODOO FAMILY|UNION</v>
      </c>
    </row>
    <row r="769" spans="1:7" x14ac:dyDescent="0.2">
      <c r="A769">
        <v>9652</v>
      </c>
      <c r="B769" t="s">
        <v>225</v>
      </c>
      <c r="C769" t="s">
        <v>187</v>
      </c>
      <c r="D769" t="s">
        <v>32</v>
      </c>
      <c r="E769" t="s">
        <v>33</v>
      </c>
      <c r="G769" s="2" t="str">
        <f t="shared" si="11"/>
        <v>VOODOO FAMILY|HUDSON</v>
      </c>
    </row>
    <row r="770" spans="1:7" x14ac:dyDescent="0.2">
      <c r="A770">
        <v>9653</v>
      </c>
      <c r="B770" t="s">
        <v>225</v>
      </c>
      <c r="C770" t="s">
        <v>62</v>
      </c>
      <c r="D770" t="s">
        <v>32</v>
      </c>
      <c r="E770" t="s">
        <v>33</v>
      </c>
      <c r="G770" s="2" t="str">
        <f t="shared" si="11"/>
        <v>VOODOO FAMILY|MORRIS 2</v>
      </c>
    </row>
    <row r="771" spans="1:7" x14ac:dyDescent="0.2">
      <c r="A771">
        <v>9654</v>
      </c>
      <c r="B771" t="s">
        <v>226</v>
      </c>
      <c r="C771" t="s">
        <v>189</v>
      </c>
      <c r="D771" t="s">
        <v>32</v>
      </c>
      <c r="E771" t="s">
        <v>33</v>
      </c>
      <c r="G771" s="2" t="str">
        <f t="shared" si="11"/>
        <v>DEL'S SHANDY|ESSEX</v>
      </c>
    </row>
    <row r="772" spans="1:7" x14ac:dyDescent="0.2">
      <c r="A772">
        <v>9655</v>
      </c>
      <c r="B772" t="s">
        <v>226</v>
      </c>
      <c r="C772" t="s">
        <v>187</v>
      </c>
      <c r="D772" t="s">
        <v>32</v>
      </c>
      <c r="E772" t="s">
        <v>33</v>
      </c>
      <c r="G772" s="2" t="str">
        <f t="shared" si="11"/>
        <v>DEL'S SHANDY|HUDSON</v>
      </c>
    </row>
    <row r="773" spans="1:7" x14ac:dyDescent="0.2">
      <c r="A773">
        <v>9656</v>
      </c>
      <c r="B773" t="s">
        <v>226</v>
      </c>
      <c r="C773" t="s">
        <v>188</v>
      </c>
      <c r="D773" t="s">
        <v>32</v>
      </c>
      <c r="E773" t="s">
        <v>33</v>
      </c>
      <c r="G773" s="2" t="str">
        <f t="shared" si="11"/>
        <v>DEL'S SHANDY|UNION</v>
      </c>
    </row>
    <row r="774" spans="1:7" x14ac:dyDescent="0.2">
      <c r="A774">
        <v>9657</v>
      </c>
      <c r="B774" t="s">
        <v>226</v>
      </c>
      <c r="C774" t="s">
        <v>62</v>
      </c>
      <c r="D774" t="s">
        <v>32</v>
      </c>
      <c r="E774" t="s">
        <v>33</v>
      </c>
      <c r="G774" s="2" t="str">
        <f t="shared" si="11"/>
        <v>DEL'S SHANDY|MORRIS 2</v>
      </c>
    </row>
    <row r="775" spans="1:7" x14ac:dyDescent="0.2">
      <c r="A775">
        <v>9658</v>
      </c>
      <c r="B775" t="s">
        <v>227</v>
      </c>
      <c r="C775" t="s">
        <v>184</v>
      </c>
      <c r="D775" t="s">
        <v>32</v>
      </c>
      <c r="E775" t="s">
        <v>33</v>
      </c>
      <c r="G775" s="2" t="str">
        <f t="shared" ref="G775:G838" si="12">UPPER(B775)&amp;"|"&amp;UPPER(C775)</f>
        <v>MONKEY FAMILY|SUSSEX</v>
      </c>
    </row>
    <row r="776" spans="1:7" x14ac:dyDescent="0.2">
      <c r="A776">
        <v>9659</v>
      </c>
      <c r="B776" t="s">
        <v>227</v>
      </c>
      <c r="C776" t="s">
        <v>188</v>
      </c>
      <c r="D776" t="s">
        <v>32</v>
      </c>
      <c r="E776" t="s">
        <v>33</v>
      </c>
      <c r="G776" s="2" t="str">
        <f t="shared" si="12"/>
        <v>MONKEY FAMILY|UNION</v>
      </c>
    </row>
    <row r="777" spans="1:7" x14ac:dyDescent="0.2">
      <c r="A777">
        <v>9660</v>
      </c>
      <c r="B777" t="s">
        <v>227</v>
      </c>
      <c r="C777" t="s">
        <v>62</v>
      </c>
      <c r="D777" t="s">
        <v>32</v>
      </c>
      <c r="E777" t="s">
        <v>33</v>
      </c>
      <c r="G777" s="2" t="str">
        <f t="shared" si="12"/>
        <v>MONKEY FAMILY|MORRIS 2</v>
      </c>
    </row>
    <row r="778" spans="1:7" x14ac:dyDescent="0.2">
      <c r="A778">
        <v>9661</v>
      </c>
      <c r="B778" t="s">
        <v>227</v>
      </c>
      <c r="C778" t="s">
        <v>31</v>
      </c>
      <c r="D778" t="s">
        <v>32</v>
      </c>
      <c r="E778" t="s">
        <v>33</v>
      </c>
      <c r="G778" s="2" t="str">
        <f t="shared" si="12"/>
        <v>MONKEY FAMILY|MORRIS 3</v>
      </c>
    </row>
    <row r="779" spans="1:7" x14ac:dyDescent="0.2">
      <c r="A779">
        <v>9662</v>
      </c>
      <c r="B779" t="s">
        <v>228</v>
      </c>
      <c r="C779" t="s">
        <v>189</v>
      </c>
      <c r="D779" t="s">
        <v>32</v>
      </c>
      <c r="E779" t="s">
        <v>33</v>
      </c>
      <c r="G779" s="2" t="str">
        <f t="shared" si="12"/>
        <v>MODELO ORO|ESSEX</v>
      </c>
    </row>
    <row r="780" spans="1:7" x14ac:dyDescent="0.2">
      <c r="A780">
        <v>9663</v>
      </c>
      <c r="B780" t="s">
        <v>228</v>
      </c>
      <c r="C780" t="s">
        <v>187</v>
      </c>
      <c r="D780" t="s">
        <v>32</v>
      </c>
      <c r="E780" t="s">
        <v>33</v>
      </c>
      <c r="G780" s="2" t="str">
        <f t="shared" si="12"/>
        <v>MODELO ORO|HUDSON</v>
      </c>
    </row>
    <row r="781" spans="1:7" x14ac:dyDescent="0.2">
      <c r="A781">
        <v>9664</v>
      </c>
      <c r="B781" t="s">
        <v>228</v>
      </c>
      <c r="C781" t="s">
        <v>188</v>
      </c>
      <c r="D781" t="s">
        <v>32</v>
      </c>
      <c r="E781" t="s">
        <v>33</v>
      </c>
      <c r="G781" s="2" t="str">
        <f t="shared" si="12"/>
        <v>MODELO ORO|UNION</v>
      </c>
    </row>
    <row r="782" spans="1:7" x14ac:dyDescent="0.2">
      <c r="A782">
        <v>9665</v>
      </c>
      <c r="B782" t="s">
        <v>228</v>
      </c>
      <c r="C782" t="s">
        <v>62</v>
      </c>
      <c r="D782" t="s">
        <v>32</v>
      </c>
      <c r="E782" t="s">
        <v>33</v>
      </c>
      <c r="G782" s="2" t="str">
        <f t="shared" si="12"/>
        <v>MODELO ORO|MORRIS 2</v>
      </c>
    </row>
    <row r="783" spans="1:7" x14ac:dyDescent="0.2">
      <c r="A783">
        <v>9666</v>
      </c>
      <c r="B783" t="s">
        <v>229</v>
      </c>
      <c r="C783" t="s">
        <v>189</v>
      </c>
      <c r="D783" t="s">
        <v>32</v>
      </c>
      <c r="E783" t="s">
        <v>33</v>
      </c>
      <c r="G783" s="2" t="str">
        <f t="shared" si="12"/>
        <v>DOS EQUIS|ESSEX</v>
      </c>
    </row>
    <row r="784" spans="1:7" x14ac:dyDescent="0.2">
      <c r="A784">
        <v>9667</v>
      </c>
      <c r="B784" t="s">
        <v>229</v>
      </c>
      <c r="C784" t="s">
        <v>187</v>
      </c>
      <c r="D784" t="s">
        <v>32</v>
      </c>
      <c r="E784" t="s">
        <v>33</v>
      </c>
      <c r="G784" s="2" t="str">
        <f t="shared" si="12"/>
        <v>DOS EQUIS|HUDSON</v>
      </c>
    </row>
    <row r="785" spans="1:7" x14ac:dyDescent="0.2">
      <c r="A785">
        <v>9668</v>
      </c>
      <c r="B785" t="s">
        <v>229</v>
      </c>
      <c r="C785" t="s">
        <v>184</v>
      </c>
      <c r="D785" t="s">
        <v>32</v>
      </c>
      <c r="E785" t="s">
        <v>33</v>
      </c>
      <c r="G785" s="2" t="str">
        <f t="shared" si="12"/>
        <v>DOS EQUIS|SUSSEX</v>
      </c>
    </row>
    <row r="786" spans="1:7" x14ac:dyDescent="0.2">
      <c r="A786">
        <v>9669</v>
      </c>
      <c r="B786" t="s">
        <v>229</v>
      </c>
      <c r="C786" t="s">
        <v>188</v>
      </c>
      <c r="D786" t="s">
        <v>32</v>
      </c>
      <c r="E786" t="s">
        <v>33</v>
      </c>
      <c r="G786" s="2" t="str">
        <f t="shared" si="12"/>
        <v>DOS EQUIS|UNION</v>
      </c>
    </row>
    <row r="787" spans="1:7" x14ac:dyDescent="0.2">
      <c r="A787">
        <v>9670</v>
      </c>
      <c r="B787" t="s">
        <v>229</v>
      </c>
      <c r="C787" t="s">
        <v>183</v>
      </c>
      <c r="D787" t="s">
        <v>32</v>
      </c>
      <c r="E787" t="s">
        <v>33</v>
      </c>
      <c r="G787" s="2" t="str">
        <f t="shared" si="12"/>
        <v>DOS EQUIS|MORRIS 1</v>
      </c>
    </row>
    <row r="788" spans="1:7" x14ac:dyDescent="0.2">
      <c r="A788">
        <v>9671</v>
      </c>
      <c r="B788" t="s">
        <v>229</v>
      </c>
      <c r="C788" t="s">
        <v>62</v>
      </c>
      <c r="D788" t="s">
        <v>32</v>
      </c>
      <c r="E788" t="s">
        <v>33</v>
      </c>
      <c r="G788" s="2" t="str">
        <f t="shared" si="12"/>
        <v>DOS EQUIS|MORRIS 2</v>
      </c>
    </row>
    <row r="789" spans="1:7" x14ac:dyDescent="0.2">
      <c r="A789">
        <v>9672</v>
      </c>
      <c r="B789" t="s">
        <v>230</v>
      </c>
      <c r="C789" t="s">
        <v>189</v>
      </c>
      <c r="D789" t="s">
        <v>32</v>
      </c>
      <c r="E789" t="s">
        <v>33</v>
      </c>
      <c r="G789" s="2" t="str">
        <f t="shared" si="12"/>
        <v>FRESCA MIXED|ESSEX</v>
      </c>
    </row>
    <row r="790" spans="1:7" x14ac:dyDescent="0.2">
      <c r="A790">
        <v>9673</v>
      </c>
      <c r="B790" t="s">
        <v>230</v>
      </c>
      <c r="C790" t="s">
        <v>187</v>
      </c>
      <c r="D790" t="s">
        <v>32</v>
      </c>
      <c r="E790" t="s">
        <v>33</v>
      </c>
      <c r="G790" s="2" t="str">
        <f t="shared" si="12"/>
        <v>FRESCA MIXED|HUDSON</v>
      </c>
    </row>
    <row r="791" spans="1:7" x14ac:dyDescent="0.2">
      <c r="A791">
        <v>9674</v>
      </c>
      <c r="B791" t="s">
        <v>230</v>
      </c>
      <c r="C791" t="s">
        <v>188</v>
      </c>
      <c r="D791" t="s">
        <v>32</v>
      </c>
      <c r="E791" t="s">
        <v>33</v>
      </c>
      <c r="G791" s="2" t="str">
        <f t="shared" si="12"/>
        <v>FRESCA MIXED|UNION</v>
      </c>
    </row>
    <row r="792" spans="1:7" x14ac:dyDescent="0.2">
      <c r="A792">
        <v>9675</v>
      </c>
      <c r="B792" t="s">
        <v>230</v>
      </c>
      <c r="C792" t="s">
        <v>62</v>
      </c>
      <c r="D792" t="s">
        <v>32</v>
      </c>
      <c r="E792" t="s">
        <v>33</v>
      </c>
      <c r="G792" s="2" t="str">
        <f t="shared" si="12"/>
        <v>FRESCA MIXED|MORRIS 2</v>
      </c>
    </row>
    <row r="793" spans="1:7" x14ac:dyDescent="0.2">
      <c r="A793">
        <v>9676</v>
      </c>
      <c r="B793" t="s">
        <v>231</v>
      </c>
      <c r="C793" t="s">
        <v>62</v>
      </c>
      <c r="D793" t="s">
        <v>32</v>
      </c>
      <c r="E793" t="s">
        <v>33</v>
      </c>
      <c r="G793" s="2" t="str">
        <f t="shared" si="12"/>
        <v>YUENGLING BLACK &amp; TAN|MORRIS 2</v>
      </c>
    </row>
    <row r="794" spans="1:7" x14ac:dyDescent="0.2">
      <c r="A794">
        <v>9677</v>
      </c>
      <c r="B794" t="s">
        <v>231</v>
      </c>
      <c r="C794" t="s">
        <v>187</v>
      </c>
      <c r="D794" t="s">
        <v>32</v>
      </c>
      <c r="E794" t="s">
        <v>33</v>
      </c>
      <c r="G794" s="2" t="str">
        <f t="shared" si="12"/>
        <v>YUENGLING BLACK &amp; TAN|HUDSON</v>
      </c>
    </row>
    <row r="795" spans="1:7" x14ac:dyDescent="0.2">
      <c r="A795">
        <v>9678</v>
      </c>
      <c r="B795" t="s">
        <v>231</v>
      </c>
      <c r="C795" t="s">
        <v>188</v>
      </c>
      <c r="D795" t="s">
        <v>32</v>
      </c>
      <c r="E795" t="s">
        <v>33</v>
      </c>
      <c r="G795" s="2" t="str">
        <f t="shared" si="12"/>
        <v>YUENGLING BLACK &amp; TAN|UNION</v>
      </c>
    </row>
    <row r="796" spans="1:7" x14ac:dyDescent="0.2">
      <c r="A796">
        <v>9679</v>
      </c>
      <c r="B796" t="s">
        <v>231</v>
      </c>
      <c r="C796" t="s">
        <v>189</v>
      </c>
      <c r="D796" t="s">
        <v>32</v>
      </c>
      <c r="E796" t="s">
        <v>33</v>
      </c>
      <c r="G796" s="2" t="str">
        <f t="shared" si="12"/>
        <v>YUENGLING BLACK &amp; TAN|ESSEX</v>
      </c>
    </row>
    <row r="797" spans="1:7" x14ac:dyDescent="0.2">
      <c r="A797">
        <v>9680</v>
      </c>
      <c r="B797" t="s">
        <v>232</v>
      </c>
      <c r="C797" t="s">
        <v>62</v>
      </c>
      <c r="D797" t="s">
        <v>32</v>
      </c>
      <c r="E797" t="s">
        <v>33</v>
      </c>
      <c r="G797" s="2" t="str">
        <f t="shared" si="12"/>
        <v>YUENGLING BONGO FIZZ|MORRIS 2</v>
      </c>
    </row>
    <row r="798" spans="1:7" x14ac:dyDescent="0.2">
      <c r="A798">
        <v>9681</v>
      </c>
      <c r="B798" t="s">
        <v>232</v>
      </c>
      <c r="C798" t="s">
        <v>187</v>
      </c>
      <c r="D798" t="s">
        <v>32</v>
      </c>
      <c r="E798" t="s">
        <v>33</v>
      </c>
      <c r="G798" s="2" t="str">
        <f t="shared" si="12"/>
        <v>YUENGLING BONGO FIZZ|HUDSON</v>
      </c>
    </row>
    <row r="799" spans="1:7" x14ac:dyDescent="0.2">
      <c r="A799">
        <v>9682</v>
      </c>
      <c r="B799" t="s">
        <v>232</v>
      </c>
      <c r="C799" t="s">
        <v>188</v>
      </c>
      <c r="D799" t="s">
        <v>32</v>
      </c>
      <c r="E799" t="s">
        <v>33</v>
      </c>
      <c r="G799" s="2" t="str">
        <f t="shared" si="12"/>
        <v>YUENGLING BONGO FIZZ|UNION</v>
      </c>
    </row>
    <row r="800" spans="1:7" x14ac:dyDescent="0.2">
      <c r="A800">
        <v>9683</v>
      </c>
      <c r="B800" t="s">
        <v>232</v>
      </c>
      <c r="C800" t="s">
        <v>189</v>
      </c>
      <c r="D800" t="s">
        <v>32</v>
      </c>
      <c r="E800" t="s">
        <v>33</v>
      </c>
      <c r="G800" s="2" t="str">
        <f t="shared" si="12"/>
        <v>YUENGLING BONGO FIZZ|ESSEX</v>
      </c>
    </row>
    <row r="801" spans="1:7" x14ac:dyDescent="0.2">
      <c r="A801">
        <v>9684</v>
      </c>
      <c r="B801" t="s">
        <v>233</v>
      </c>
      <c r="C801" t="s">
        <v>62</v>
      </c>
      <c r="D801" t="s">
        <v>32</v>
      </c>
      <c r="E801" t="s">
        <v>33</v>
      </c>
      <c r="G801" s="2" t="str">
        <f t="shared" si="12"/>
        <v>YUENGLING FLIGHT|MORRIS 2</v>
      </c>
    </row>
    <row r="802" spans="1:7" x14ac:dyDescent="0.2">
      <c r="A802">
        <v>9685</v>
      </c>
      <c r="B802" t="s">
        <v>233</v>
      </c>
      <c r="C802" t="s">
        <v>187</v>
      </c>
      <c r="D802" t="s">
        <v>32</v>
      </c>
      <c r="E802" t="s">
        <v>33</v>
      </c>
      <c r="G802" s="2" t="str">
        <f t="shared" si="12"/>
        <v>YUENGLING FLIGHT|HUDSON</v>
      </c>
    </row>
    <row r="803" spans="1:7" x14ac:dyDescent="0.2">
      <c r="A803">
        <v>9686</v>
      </c>
      <c r="B803" t="s">
        <v>233</v>
      </c>
      <c r="C803" t="s">
        <v>188</v>
      </c>
      <c r="D803" t="s">
        <v>32</v>
      </c>
      <c r="E803" t="s">
        <v>33</v>
      </c>
      <c r="G803" s="2" t="str">
        <f t="shared" si="12"/>
        <v>YUENGLING FLIGHT|UNION</v>
      </c>
    </row>
    <row r="804" spans="1:7" x14ac:dyDescent="0.2">
      <c r="A804">
        <v>9687</v>
      </c>
      <c r="B804" t="s">
        <v>233</v>
      </c>
      <c r="C804" t="s">
        <v>189</v>
      </c>
      <c r="D804" t="s">
        <v>32</v>
      </c>
      <c r="E804" t="s">
        <v>33</v>
      </c>
      <c r="G804" s="2" t="str">
        <f t="shared" si="12"/>
        <v>YUENGLING FLIGHT|ESSEX</v>
      </c>
    </row>
    <row r="805" spans="1:7" x14ac:dyDescent="0.2">
      <c r="A805">
        <v>9688</v>
      </c>
      <c r="B805" t="s">
        <v>234</v>
      </c>
      <c r="C805" t="s">
        <v>62</v>
      </c>
      <c r="D805" t="s">
        <v>32</v>
      </c>
      <c r="E805" t="s">
        <v>33</v>
      </c>
      <c r="G805" s="2" t="str">
        <f t="shared" si="12"/>
        <v>YUENGLING GOLDEN PILSNER|MORRIS 2</v>
      </c>
    </row>
    <row r="806" spans="1:7" x14ac:dyDescent="0.2">
      <c r="A806">
        <v>9689</v>
      </c>
      <c r="B806" t="s">
        <v>234</v>
      </c>
      <c r="C806" t="s">
        <v>187</v>
      </c>
      <c r="D806" t="s">
        <v>32</v>
      </c>
      <c r="E806" t="s">
        <v>33</v>
      </c>
      <c r="G806" s="2" t="str">
        <f t="shared" si="12"/>
        <v>YUENGLING GOLDEN PILSNER|HUDSON</v>
      </c>
    </row>
    <row r="807" spans="1:7" x14ac:dyDescent="0.2">
      <c r="A807">
        <v>9690</v>
      </c>
      <c r="B807" t="s">
        <v>234</v>
      </c>
      <c r="C807" t="s">
        <v>188</v>
      </c>
      <c r="D807" t="s">
        <v>32</v>
      </c>
      <c r="E807" t="s">
        <v>33</v>
      </c>
      <c r="G807" s="2" t="str">
        <f t="shared" si="12"/>
        <v>YUENGLING GOLDEN PILSNER|UNION</v>
      </c>
    </row>
    <row r="808" spans="1:7" x14ac:dyDescent="0.2">
      <c r="A808">
        <v>9691</v>
      </c>
      <c r="B808" t="s">
        <v>234</v>
      </c>
      <c r="C808" t="s">
        <v>189</v>
      </c>
      <c r="D808" t="s">
        <v>32</v>
      </c>
      <c r="E808" t="s">
        <v>33</v>
      </c>
      <c r="G808" s="2" t="str">
        <f t="shared" si="12"/>
        <v>YUENGLING GOLDEN PILSNER|ESSEX</v>
      </c>
    </row>
    <row r="809" spans="1:7" x14ac:dyDescent="0.2">
      <c r="A809">
        <v>9692</v>
      </c>
      <c r="B809" t="s">
        <v>235</v>
      </c>
      <c r="C809" t="s">
        <v>62</v>
      </c>
      <c r="D809" t="s">
        <v>32</v>
      </c>
      <c r="E809" t="s">
        <v>33</v>
      </c>
      <c r="G809" s="2" t="str">
        <f t="shared" si="12"/>
        <v>YUENGLING HERSHEY'S CHOCOLATE PORTER|MORRIS 2</v>
      </c>
    </row>
    <row r="810" spans="1:7" x14ac:dyDescent="0.2">
      <c r="A810">
        <v>9693</v>
      </c>
      <c r="B810" t="s">
        <v>235</v>
      </c>
      <c r="C810" t="s">
        <v>187</v>
      </c>
      <c r="D810" t="s">
        <v>32</v>
      </c>
      <c r="E810" t="s">
        <v>33</v>
      </c>
      <c r="G810" s="2" t="str">
        <f t="shared" si="12"/>
        <v>YUENGLING HERSHEY'S CHOCOLATE PORTER|HUDSON</v>
      </c>
    </row>
    <row r="811" spans="1:7" x14ac:dyDescent="0.2">
      <c r="A811">
        <v>9694</v>
      </c>
      <c r="B811" t="s">
        <v>235</v>
      </c>
      <c r="C811" t="s">
        <v>188</v>
      </c>
      <c r="D811" t="s">
        <v>32</v>
      </c>
      <c r="E811" t="s">
        <v>33</v>
      </c>
      <c r="G811" s="2" t="str">
        <f t="shared" si="12"/>
        <v>YUENGLING HERSHEY'S CHOCOLATE PORTER|UNION</v>
      </c>
    </row>
    <row r="812" spans="1:7" x14ac:dyDescent="0.2">
      <c r="A812">
        <v>9695</v>
      </c>
      <c r="B812" t="s">
        <v>235</v>
      </c>
      <c r="C812" t="s">
        <v>189</v>
      </c>
      <c r="D812" t="s">
        <v>32</v>
      </c>
      <c r="E812" t="s">
        <v>33</v>
      </c>
      <c r="G812" s="2" t="str">
        <f t="shared" si="12"/>
        <v>YUENGLING HERSHEY'S CHOCOLATE PORTER|ESSEX</v>
      </c>
    </row>
    <row r="813" spans="1:7" x14ac:dyDescent="0.2">
      <c r="A813">
        <v>9696</v>
      </c>
      <c r="B813" t="s">
        <v>236</v>
      </c>
      <c r="C813" t="s">
        <v>62</v>
      </c>
      <c r="D813" t="s">
        <v>32</v>
      </c>
      <c r="E813" t="s">
        <v>33</v>
      </c>
      <c r="G813" s="2" t="str">
        <f t="shared" si="12"/>
        <v>YUENGLING LAGER|MORRIS 2</v>
      </c>
    </row>
    <row r="814" spans="1:7" x14ac:dyDescent="0.2">
      <c r="A814">
        <v>9697</v>
      </c>
      <c r="B814" t="s">
        <v>236</v>
      </c>
      <c r="C814" t="s">
        <v>187</v>
      </c>
      <c r="D814" t="s">
        <v>32</v>
      </c>
      <c r="E814" t="s">
        <v>33</v>
      </c>
      <c r="G814" s="2" t="str">
        <f t="shared" si="12"/>
        <v>YUENGLING LAGER|HUDSON</v>
      </c>
    </row>
    <row r="815" spans="1:7" x14ac:dyDescent="0.2">
      <c r="A815">
        <v>9698</v>
      </c>
      <c r="B815" t="s">
        <v>236</v>
      </c>
      <c r="C815" t="s">
        <v>188</v>
      </c>
      <c r="D815" t="s">
        <v>32</v>
      </c>
      <c r="E815" t="s">
        <v>33</v>
      </c>
      <c r="G815" s="2" t="str">
        <f t="shared" si="12"/>
        <v>YUENGLING LAGER|UNION</v>
      </c>
    </row>
    <row r="816" spans="1:7" x14ac:dyDescent="0.2">
      <c r="A816">
        <v>9699</v>
      </c>
      <c r="B816" t="s">
        <v>236</v>
      </c>
      <c r="C816" t="s">
        <v>189</v>
      </c>
      <c r="D816" t="s">
        <v>32</v>
      </c>
      <c r="E816" t="s">
        <v>33</v>
      </c>
      <c r="G816" s="2" t="str">
        <f t="shared" si="12"/>
        <v>YUENGLING LAGER|ESSEX</v>
      </c>
    </row>
    <row r="817" spans="1:7" x14ac:dyDescent="0.2">
      <c r="A817">
        <v>9700</v>
      </c>
      <c r="B817" t="s">
        <v>237</v>
      </c>
      <c r="C817" t="s">
        <v>62</v>
      </c>
      <c r="D817" t="s">
        <v>32</v>
      </c>
      <c r="E817" t="s">
        <v>33</v>
      </c>
      <c r="G817" s="2" t="str">
        <f t="shared" si="12"/>
        <v>YUENGLING LIGHT LAGER|MORRIS 2</v>
      </c>
    </row>
    <row r="818" spans="1:7" x14ac:dyDescent="0.2">
      <c r="A818">
        <v>9701</v>
      </c>
      <c r="B818" t="s">
        <v>237</v>
      </c>
      <c r="C818" t="s">
        <v>187</v>
      </c>
      <c r="D818" t="s">
        <v>32</v>
      </c>
      <c r="E818" t="s">
        <v>33</v>
      </c>
      <c r="G818" s="2" t="str">
        <f t="shared" si="12"/>
        <v>YUENGLING LIGHT LAGER|HUDSON</v>
      </c>
    </row>
    <row r="819" spans="1:7" x14ac:dyDescent="0.2">
      <c r="A819">
        <v>9702</v>
      </c>
      <c r="B819" t="s">
        <v>237</v>
      </c>
      <c r="C819" t="s">
        <v>188</v>
      </c>
      <c r="D819" t="s">
        <v>32</v>
      </c>
      <c r="E819" t="s">
        <v>33</v>
      </c>
      <c r="G819" s="2" t="str">
        <f t="shared" si="12"/>
        <v>YUENGLING LIGHT LAGER|UNION</v>
      </c>
    </row>
    <row r="820" spans="1:7" x14ac:dyDescent="0.2">
      <c r="A820">
        <v>9703</v>
      </c>
      <c r="B820" t="s">
        <v>237</v>
      </c>
      <c r="C820" t="s">
        <v>189</v>
      </c>
      <c r="D820" t="s">
        <v>32</v>
      </c>
      <c r="E820" t="s">
        <v>33</v>
      </c>
      <c r="G820" s="2" t="str">
        <f t="shared" si="12"/>
        <v>YUENGLING LIGHT LAGER|ESSEX</v>
      </c>
    </row>
    <row r="821" spans="1:7" x14ac:dyDescent="0.2">
      <c r="A821">
        <v>9704</v>
      </c>
      <c r="B821" t="s">
        <v>238</v>
      </c>
      <c r="C821" t="s">
        <v>62</v>
      </c>
      <c r="D821" t="s">
        <v>32</v>
      </c>
      <c r="E821" t="s">
        <v>33</v>
      </c>
      <c r="G821" s="2" t="str">
        <f t="shared" si="12"/>
        <v>YUENGLING OKTOBERFEST|MORRIS 2</v>
      </c>
    </row>
    <row r="822" spans="1:7" x14ac:dyDescent="0.2">
      <c r="A822">
        <v>9705</v>
      </c>
      <c r="B822" t="s">
        <v>238</v>
      </c>
      <c r="C822" t="s">
        <v>187</v>
      </c>
      <c r="D822" t="s">
        <v>32</v>
      </c>
      <c r="E822" t="s">
        <v>33</v>
      </c>
      <c r="G822" s="2" t="str">
        <f t="shared" si="12"/>
        <v>YUENGLING OKTOBERFEST|HUDSON</v>
      </c>
    </row>
    <row r="823" spans="1:7" x14ac:dyDescent="0.2">
      <c r="A823">
        <v>9706</v>
      </c>
      <c r="B823" t="s">
        <v>238</v>
      </c>
      <c r="C823" t="s">
        <v>188</v>
      </c>
      <c r="D823" t="s">
        <v>32</v>
      </c>
      <c r="E823" t="s">
        <v>33</v>
      </c>
      <c r="G823" s="2" t="str">
        <f t="shared" si="12"/>
        <v>YUENGLING OKTOBERFEST|UNION</v>
      </c>
    </row>
    <row r="824" spans="1:7" x14ac:dyDescent="0.2">
      <c r="A824">
        <v>9707</v>
      </c>
      <c r="B824" t="s">
        <v>238</v>
      </c>
      <c r="C824" t="s">
        <v>189</v>
      </c>
      <c r="D824" t="s">
        <v>32</v>
      </c>
      <c r="E824" t="s">
        <v>33</v>
      </c>
      <c r="G824" s="2" t="str">
        <f t="shared" si="12"/>
        <v>YUENGLING OKTOBERFEST|ESSEX</v>
      </c>
    </row>
    <row r="825" spans="1:7" x14ac:dyDescent="0.2">
      <c r="A825">
        <v>9708</v>
      </c>
      <c r="B825" t="s">
        <v>239</v>
      </c>
      <c r="C825" t="s">
        <v>62</v>
      </c>
      <c r="D825" t="s">
        <v>32</v>
      </c>
      <c r="E825" t="s">
        <v>33</v>
      </c>
      <c r="G825" s="2" t="str">
        <f t="shared" si="12"/>
        <v>YUENGLING PREMIUM|MORRIS 2</v>
      </c>
    </row>
    <row r="826" spans="1:7" x14ac:dyDescent="0.2">
      <c r="A826">
        <v>9709</v>
      </c>
      <c r="B826" t="s">
        <v>239</v>
      </c>
      <c r="C826" t="s">
        <v>187</v>
      </c>
      <c r="D826" t="s">
        <v>32</v>
      </c>
      <c r="E826" t="s">
        <v>33</v>
      </c>
      <c r="G826" s="2" t="str">
        <f t="shared" si="12"/>
        <v>YUENGLING PREMIUM|HUDSON</v>
      </c>
    </row>
    <row r="827" spans="1:7" x14ac:dyDescent="0.2">
      <c r="A827">
        <v>9710</v>
      </c>
      <c r="B827" t="s">
        <v>239</v>
      </c>
      <c r="C827" t="s">
        <v>188</v>
      </c>
      <c r="D827" t="s">
        <v>32</v>
      </c>
      <c r="E827" t="s">
        <v>33</v>
      </c>
      <c r="G827" s="2" t="str">
        <f t="shared" si="12"/>
        <v>YUENGLING PREMIUM|UNION</v>
      </c>
    </row>
    <row r="828" spans="1:7" x14ac:dyDescent="0.2">
      <c r="A828">
        <v>9711</v>
      </c>
      <c r="B828" t="s">
        <v>239</v>
      </c>
      <c r="C828" t="s">
        <v>189</v>
      </c>
      <c r="D828" t="s">
        <v>32</v>
      </c>
      <c r="E828" t="s">
        <v>33</v>
      </c>
      <c r="G828" s="2" t="str">
        <f t="shared" si="12"/>
        <v>YUENGLING PREMIUM|ESSEX</v>
      </c>
    </row>
    <row r="829" spans="1:7" x14ac:dyDescent="0.2">
      <c r="A829">
        <v>9712</v>
      </c>
      <c r="B829" t="s">
        <v>240</v>
      </c>
      <c r="C829" t="s">
        <v>62</v>
      </c>
      <c r="D829" t="s">
        <v>32</v>
      </c>
      <c r="E829" t="s">
        <v>33</v>
      </c>
      <c r="G829" s="2" t="str">
        <f t="shared" si="12"/>
        <v>YUENGLING PREMIUM LIGHT|MORRIS 2</v>
      </c>
    </row>
    <row r="830" spans="1:7" x14ac:dyDescent="0.2">
      <c r="A830">
        <v>9713</v>
      </c>
      <c r="B830" t="s">
        <v>240</v>
      </c>
      <c r="C830" t="s">
        <v>187</v>
      </c>
      <c r="D830" t="s">
        <v>32</v>
      </c>
      <c r="E830" t="s">
        <v>33</v>
      </c>
      <c r="G830" s="2" t="str">
        <f t="shared" si="12"/>
        <v>YUENGLING PREMIUM LIGHT|HUDSON</v>
      </c>
    </row>
    <row r="831" spans="1:7" x14ac:dyDescent="0.2">
      <c r="A831">
        <v>9714</v>
      </c>
      <c r="B831" t="s">
        <v>240</v>
      </c>
      <c r="C831" t="s">
        <v>188</v>
      </c>
      <c r="D831" t="s">
        <v>32</v>
      </c>
      <c r="E831" t="s">
        <v>33</v>
      </c>
      <c r="G831" s="2" t="str">
        <f t="shared" si="12"/>
        <v>YUENGLING PREMIUM LIGHT|UNION</v>
      </c>
    </row>
    <row r="832" spans="1:7" x14ac:dyDescent="0.2">
      <c r="A832">
        <v>9715</v>
      </c>
      <c r="B832" t="s">
        <v>240</v>
      </c>
      <c r="C832" t="s">
        <v>189</v>
      </c>
      <c r="D832" t="s">
        <v>32</v>
      </c>
      <c r="E832" t="s">
        <v>33</v>
      </c>
      <c r="G832" s="2" t="str">
        <f t="shared" si="12"/>
        <v>YUENGLING PREMIUM LIGHT|ESSEX</v>
      </c>
    </row>
    <row r="833" spans="1:7" x14ac:dyDescent="0.2">
      <c r="A833">
        <v>9716</v>
      </c>
      <c r="B833" t="s">
        <v>241</v>
      </c>
      <c r="C833" t="s">
        <v>62</v>
      </c>
      <c r="D833" t="s">
        <v>32</v>
      </c>
      <c r="E833" t="s">
        <v>33</v>
      </c>
      <c r="G833" s="2" t="str">
        <f t="shared" si="12"/>
        <v>YUENGLING RAGING EAGLE|MORRIS 2</v>
      </c>
    </row>
    <row r="834" spans="1:7" x14ac:dyDescent="0.2">
      <c r="A834">
        <v>9717</v>
      </c>
      <c r="B834" t="s">
        <v>241</v>
      </c>
      <c r="C834" t="s">
        <v>187</v>
      </c>
      <c r="D834" t="s">
        <v>32</v>
      </c>
      <c r="E834" t="s">
        <v>33</v>
      </c>
      <c r="G834" s="2" t="str">
        <f t="shared" si="12"/>
        <v>YUENGLING RAGING EAGLE|HUDSON</v>
      </c>
    </row>
    <row r="835" spans="1:7" x14ac:dyDescent="0.2">
      <c r="A835">
        <v>9718</v>
      </c>
      <c r="B835" t="s">
        <v>241</v>
      </c>
      <c r="C835" t="s">
        <v>188</v>
      </c>
      <c r="D835" t="s">
        <v>32</v>
      </c>
      <c r="E835" t="s">
        <v>33</v>
      </c>
      <c r="G835" s="2" t="str">
        <f t="shared" si="12"/>
        <v>YUENGLING RAGING EAGLE|UNION</v>
      </c>
    </row>
    <row r="836" spans="1:7" x14ac:dyDescent="0.2">
      <c r="A836">
        <v>9719</v>
      </c>
      <c r="B836" t="s">
        <v>241</v>
      </c>
      <c r="C836" t="s">
        <v>189</v>
      </c>
      <c r="D836" t="s">
        <v>32</v>
      </c>
      <c r="E836" t="s">
        <v>33</v>
      </c>
      <c r="G836" s="2" t="str">
        <f t="shared" si="12"/>
        <v>YUENGLING RAGING EAGLE|ESSEX</v>
      </c>
    </row>
    <row r="837" spans="1:7" x14ac:dyDescent="0.2">
      <c r="A837">
        <v>9720</v>
      </c>
      <c r="B837" t="s">
        <v>242</v>
      </c>
      <c r="C837" t="s">
        <v>189</v>
      </c>
      <c r="D837" t="s">
        <v>32</v>
      </c>
      <c r="E837" t="s">
        <v>33</v>
      </c>
      <c r="G837" s="2" t="str">
        <f t="shared" si="12"/>
        <v>SUN CRUISER|ESSEX</v>
      </c>
    </row>
    <row r="838" spans="1:7" x14ac:dyDescent="0.2">
      <c r="A838">
        <v>9721</v>
      </c>
      <c r="B838" t="s">
        <v>242</v>
      </c>
      <c r="C838" t="s">
        <v>187</v>
      </c>
      <c r="D838" t="s">
        <v>32</v>
      </c>
      <c r="E838" t="s">
        <v>33</v>
      </c>
      <c r="G838" s="2" t="str">
        <f t="shared" si="12"/>
        <v>SUN CRUISER|HUDSON</v>
      </c>
    </row>
    <row r="839" spans="1:7" x14ac:dyDescent="0.2">
      <c r="A839">
        <v>9722</v>
      </c>
      <c r="B839" t="s">
        <v>242</v>
      </c>
      <c r="C839" t="s">
        <v>188</v>
      </c>
      <c r="D839" t="s">
        <v>32</v>
      </c>
      <c r="E839" t="s">
        <v>33</v>
      </c>
      <c r="G839" s="2" t="str">
        <f t="shared" ref="G839:G902" si="13">UPPER(B839)&amp;"|"&amp;UPPER(C839)</f>
        <v>SUN CRUISER|UNION</v>
      </c>
    </row>
    <row r="840" spans="1:7" x14ac:dyDescent="0.2">
      <c r="A840">
        <v>9723</v>
      </c>
      <c r="B840" t="s">
        <v>242</v>
      </c>
      <c r="C840" t="s">
        <v>62</v>
      </c>
      <c r="D840" t="s">
        <v>32</v>
      </c>
      <c r="E840" t="s">
        <v>33</v>
      </c>
      <c r="G840" s="2" t="str">
        <f t="shared" si="13"/>
        <v>SUN CRUISER|MORRIS 2</v>
      </c>
    </row>
    <row r="841" spans="1:7" x14ac:dyDescent="0.2">
      <c r="A841">
        <v>9724</v>
      </c>
      <c r="B841" t="s">
        <v>243</v>
      </c>
      <c r="C841" t="s">
        <v>184</v>
      </c>
      <c r="D841" t="s">
        <v>32</v>
      </c>
      <c r="E841" t="s">
        <v>33</v>
      </c>
      <c r="G841" s="2" t="str">
        <f t="shared" si="13"/>
        <v>LA TROPICAL|SUSSEX</v>
      </c>
    </row>
    <row r="842" spans="1:7" x14ac:dyDescent="0.2">
      <c r="A842">
        <v>9725</v>
      </c>
      <c r="B842" t="s">
        <v>243</v>
      </c>
      <c r="C842" t="s">
        <v>183</v>
      </c>
      <c r="D842" t="s">
        <v>32</v>
      </c>
      <c r="E842" t="s">
        <v>33</v>
      </c>
      <c r="G842" s="2" t="str">
        <f t="shared" si="13"/>
        <v>LA TROPICAL|MORRIS 1</v>
      </c>
    </row>
    <row r="843" spans="1:7" x14ac:dyDescent="0.2">
      <c r="A843">
        <v>9726</v>
      </c>
      <c r="B843" t="s">
        <v>243</v>
      </c>
      <c r="C843" t="s">
        <v>62</v>
      </c>
      <c r="D843" t="s">
        <v>32</v>
      </c>
      <c r="E843" t="s">
        <v>33</v>
      </c>
      <c r="G843" s="2" t="str">
        <f t="shared" si="13"/>
        <v>LA TROPICAL|MORRIS 2</v>
      </c>
    </row>
    <row r="844" spans="1:7" x14ac:dyDescent="0.2">
      <c r="A844">
        <v>9727</v>
      </c>
      <c r="B844" t="s">
        <v>243</v>
      </c>
      <c r="C844" t="s">
        <v>31</v>
      </c>
      <c r="D844" t="s">
        <v>32</v>
      </c>
      <c r="E844" t="s">
        <v>33</v>
      </c>
      <c r="G844" s="2" t="str">
        <f t="shared" si="13"/>
        <v>LA TROPICAL|MORRIS 3</v>
      </c>
    </row>
    <row r="845" spans="1:7" x14ac:dyDescent="0.2">
      <c r="A845">
        <v>9728</v>
      </c>
      <c r="B845" t="s">
        <v>244</v>
      </c>
      <c r="C845" t="s">
        <v>189</v>
      </c>
      <c r="D845" t="s">
        <v>32</v>
      </c>
      <c r="E845" t="s">
        <v>33</v>
      </c>
      <c r="G845" s="2" t="str">
        <f t="shared" si="13"/>
        <v>SNOW BEER|ESSEX</v>
      </c>
    </row>
    <row r="846" spans="1:7" x14ac:dyDescent="0.2">
      <c r="A846">
        <v>9729</v>
      </c>
      <c r="B846" t="s">
        <v>244</v>
      </c>
      <c r="C846" t="s">
        <v>187</v>
      </c>
      <c r="D846" t="s">
        <v>32</v>
      </c>
      <c r="E846" t="s">
        <v>33</v>
      </c>
      <c r="G846" s="2" t="str">
        <f t="shared" si="13"/>
        <v>SNOW BEER|HUDSON</v>
      </c>
    </row>
    <row r="847" spans="1:7" x14ac:dyDescent="0.2">
      <c r="A847">
        <v>9730</v>
      </c>
      <c r="B847" t="s">
        <v>244</v>
      </c>
      <c r="C847" t="s">
        <v>188</v>
      </c>
      <c r="D847" t="s">
        <v>32</v>
      </c>
      <c r="E847" t="s">
        <v>33</v>
      </c>
      <c r="G847" s="2" t="str">
        <f t="shared" si="13"/>
        <v>SNOW BEER|UNION</v>
      </c>
    </row>
    <row r="848" spans="1:7" x14ac:dyDescent="0.2">
      <c r="A848">
        <v>9731</v>
      </c>
      <c r="B848" t="s">
        <v>244</v>
      </c>
      <c r="C848" t="s">
        <v>62</v>
      </c>
      <c r="D848" t="s">
        <v>32</v>
      </c>
      <c r="E848" t="s">
        <v>33</v>
      </c>
      <c r="G848" s="2" t="str">
        <f t="shared" si="13"/>
        <v>SNOW BEER|MORRIS 2</v>
      </c>
    </row>
    <row r="849" spans="1:7" x14ac:dyDescent="0.2">
      <c r="A849">
        <v>9732</v>
      </c>
      <c r="B849" t="s">
        <v>245</v>
      </c>
      <c r="C849" t="s">
        <v>189</v>
      </c>
      <c r="D849" t="s">
        <v>32</v>
      </c>
      <c r="E849" t="s">
        <v>33</v>
      </c>
      <c r="G849" s="2" t="str">
        <f t="shared" si="13"/>
        <v>THE DROP|ESSEX</v>
      </c>
    </row>
    <row r="850" spans="1:7" x14ac:dyDescent="0.2">
      <c r="A850">
        <v>9733</v>
      </c>
      <c r="B850" t="s">
        <v>245</v>
      </c>
      <c r="C850" t="s">
        <v>187</v>
      </c>
      <c r="D850" t="s">
        <v>32</v>
      </c>
      <c r="E850" t="s">
        <v>33</v>
      </c>
      <c r="G850" s="2" t="str">
        <f t="shared" si="13"/>
        <v>THE DROP|HUDSON</v>
      </c>
    </row>
    <row r="851" spans="1:7" x14ac:dyDescent="0.2">
      <c r="A851">
        <v>9734</v>
      </c>
      <c r="B851" t="s">
        <v>245</v>
      </c>
      <c r="C851" t="s">
        <v>188</v>
      </c>
      <c r="D851" t="s">
        <v>32</v>
      </c>
      <c r="E851" t="s">
        <v>33</v>
      </c>
      <c r="G851" s="2" t="str">
        <f t="shared" si="13"/>
        <v>THE DROP|UNION</v>
      </c>
    </row>
    <row r="852" spans="1:7" x14ac:dyDescent="0.2">
      <c r="A852">
        <v>9735</v>
      </c>
      <c r="B852" t="s">
        <v>245</v>
      </c>
      <c r="C852" t="s">
        <v>62</v>
      </c>
      <c r="D852" t="s">
        <v>32</v>
      </c>
      <c r="E852" t="s">
        <v>33</v>
      </c>
      <c r="G852" s="2" t="str">
        <f t="shared" si="13"/>
        <v>THE DROP|MORRIS 2</v>
      </c>
    </row>
    <row r="853" spans="1:7" x14ac:dyDescent="0.2">
      <c r="A853">
        <v>9736</v>
      </c>
      <c r="B853" t="s">
        <v>246</v>
      </c>
      <c r="C853" t="s">
        <v>189</v>
      </c>
      <c r="D853" t="s">
        <v>32</v>
      </c>
      <c r="E853" t="s">
        <v>33</v>
      </c>
      <c r="G853" s="2" t="str">
        <f t="shared" si="13"/>
        <v>DILLON'S COCKTAILS|ESSEX</v>
      </c>
    </row>
    <row r="854" spans="1:7" x14ac:dyDescent="0.2">
      <c r="A854">
        <v>9737</v>
      </c>
      <c r="B854" t="s">
        <v>246</v>
      </c>
      <c r="C854" t="s">
        <v>187</v>
      </c>
      <c r="D854" t="s">
        <v>32</v>
      </c>
      <c r="E854" t="s">
        <v>33</v>
      </c>
      <c r="G854" s="2" t="str">
        <f t="shared" si="13"/>
        <v>DILLON'S COCKTAILS|HUDSON</v>
      </c>
    </row>
    <row r="855" spans="1:7" x14ac:dyDescent="0.2">
      <c r="A855">
        <v>9738</v>
      </c>
      <c r="B855" t="s">
        <v>246</v>
      </c>
      <c r="C855" t="s">
        <v>188</v>
      </c>
      <c r="D855" t="s">
        <v>32</v>
      </c>
      <c r="E855" t="s">
        <v>33</v>
      </c>
      <c r="G855" s="2" t="str">
        <f t="shared" si="13"/>
        <v>DILLON'S COCKTAILS|UNION</v>
      </c>
    </row>
    <row r="856" spans="1:7" x14ac:dyDescent="0.2">
      <c r="A856">
        <v>9739</v>
      </c>
      <c r="B856" t="s">
        <v>246</v>
      </c>
      <c r="C856" t="s">
        <v>62</v>
      </c>
      <c r="D856" t="s">
        <v>32</v>
      </c>
      <c r="E856" t="s">
        <v>33</v>
      </c>
      <c r="G856" s="2" t="str">
        <f t="shared" si="13"/>
        <v>DILLON'S COCKTAILS|MORRIS 2</v>
      </c>
    </row>
    <row r="857" spans="1:7" x14ac:dyDescent="0.2">
      <c r="A857">
        <v>9740</v>
      </c>
      <c r="B857" t="s">
        <v>247</v>
      </c>
      <c r="C857" t="s">
        <v>189</v>
      </c>
      <c r="D857" t="s">
        <v>32</v>
      </c>
      <c r="E857" t="s">
        <v>33</v>
      </c>
      <c r="G857" s="2" t="str">
        <f t="shared" si="13"/>
        <v>VOODOO HARDCHARGED|ESSEX</v>
      </c>
    </row>
    <row r="858" spans="1:7" x14ac:dyDescent="0.2">
      <c r="A858">
        <v>9741</v>
      </c>
      <c r="B858" t="s">
        <v>247</v>
      </c>
      <c r="C858" t="s">
        <v>187</v>
      </c>
      <c r="D858" t="s">
        <v>32</v>
      </c>
      <c r="E858" t="s">
        <v>33</v>
      </c>
      <c r="G858" s="2" t="str">
        <f t="shared" si="13"/>
        <v>VOODOO HARDCHARGED|HUDSON</v>
      </c>
    </row>
    <row r="859" spans="1:7" x14ac:dyDescent="0.2">
      <c r="A859">
        <v>9742</v>
      </c>
      <c r="B859" t="s">
        <v>247</v>
      </c>
      <c r="C859" t="s">
        <v>188</v>
      </c>
      <c r="D859" t="s">
        <v>32</v>
      </c>
      <c r="E859" t="s">
        <v>33</v>
      </c>
      <c r="G859" s="2" t="str">
        <f t="shared" si="13"/>
        <v>VOODOO HARDCHARGED|UNION</v>
      </c>
    </row>
    <row r="860" spans="1:7" x14ac:dyDescent="0.2">
      <c r="A860">
        <v>9743</v>
      </c>
      <c r="B860" t="s">
        <v>247</v>
      </c>
      <c r="C860" t="s">
        <v>62</v>
      </c>
      <c r="D860" t="s">
        <v>32</v>
      </c>
      <c r="E860" t="s">
        <v>33</v>
      </c>
      <c r="G860" s="2" t="str">
        <f t="shared" si="13"/>
        <v>VOODOO HARDCHARGED|MORRIS 2</v>
      </c>
    </row>
    <row r="861" spans="1:7" x14ac:dyDescent="0.2">
      <c r="A861">
        <v>9744</v>
      </c>
      <c r="B861" t="s">
        <v>248</v>
      </c>
      <c r="C861" t="s">
        <v>189</v>
      </c>
      <c r="D861" t="s">
        <v>32</v>
      </c>
      <c r="E861" t="s">
        <v>33</v>
      </c>
      <c r="G861" s="2" t="str">
        <f t="shared" si="13"/>
        <v>BARDSTOWN GREEN RIVER|ESSEX</v>
      </c>
    </row>
    <row r="862" spans="1:7" x14ac:dyDescent="0.2">
      <c r="A862">
        <v>9745</v>
      </c>
      <c r="B862" t="s">
        <v>248</v>
      </c>
      <c r="C862" t="s">
        <v>187</v>
      </c>
      <c r="D862" t="s">
        <v>32</v>
      </c>
      <c r="E862" t="s">
        <v>33</v>
      </c>
      <c r="G862" s="2" t="str">
        <f t="shared" si="13"/>
        <v>BARDSTOWN GREEN RIVER|HUDSON</v>
      </c>
    </row>
    <row r="863" spans="1:7" x14ac:dyDescent="0.2">
      <c r="A863">
        <v>9746</v>
      </c>
      <c r="B863" t="s">
        <v>248</v>
      </c>
      <c r="C863" t="s">
        <v>188</v>
      </c>
      <c r="D863" t="s">
        <v>32</v>
      </c>
      <c r="E863" t="s">
        <v>33</v>
      </c>
      <c r="G863" s="2" t="str">
        <f t="shared" si="13"/>
        <v>BARDSTOWN GREEN RIVER|UNION</v>
      </c>
    </row>
    <row r="864" spans="1:7" x14ac:dyDescent="0.2">
      <c r="A864">
        <v>9747</v>
      </c>
      <c r="B864" t="s">
        <v>248</v>
      </c>
      <c r="C864" t="s">
        <v>62</v>
      </c>
      <c r="D864" t="s">
        <v>32</v>
      </c>
      <c r="E864" t="s">
        <v>33</v>
      </c>
      <c r="G864" s="2" t="str">
        <f t="shared" si="13"/>
        <v>BARDSTOWN GREEN RIVER|MORRIS 2</v>
      </c>
    </row>
    <row r="865" spans="1:7" x14ac:dyDescent="0.2">
      <c r="A865">
        <v>9748</v>
      </c>
      <c r="B865" t="s">
        <v>249</v>
      </c>
      <c r="C865" t="s">
        <v>189</v>
      </c>
      <c r="D865" t="s">
        <v>32</v>
      </c>
      <c r="E865" t="s">
        <v>33</v>
      </c>
      <c r="G865" s="2" t="str">
        <f t="shared" si="13"/>
        <v>FEVER TREE|ESSEX</v>
      </c>
    </row>
    <row r="866" spans="1:7" x14ac:dyDescent="0.2">
      <c r="A866">
        <v>9749</v>
      </c>
      <c r="B866" t="s">
        <v>249</v>
      </c>
      <c r="C866" t="s">
        <v>187</v>
      </c>
      <c r="D866" t="s">
        <v>32</v>
      </c>
      <c r="E866" t="s">
        <v>33</v>
      </c>
      <c r="G866" s="2" t="str">
        <f t="shared" si="13"/>
        <v>FEVER TREE|HUDSON</v>
      </c>
    </row>
    <row r="867" spans="1:7" x14ac:dyDescent="0.2">
      <c r="A867">
        <v>9750</v>
      </c>
      <c r="B867" t="s">
        <v>249</v>
      </c>
      <c r="C867" t="s">
        <v>188</v>
      </c>
      <c r="D867" t="s">
        <v>32</v>
      </c>
      <c r="E867" t="s">
        <v>33</v>
      </c>
      <c r="G867" s="2" t="str">
        <f t="shared" si="13"/>
        <v>FEVER TREE|UNION</v>
      </c>
    </row>
    <row r="868" spans="1:7" x14ac:dyDescent="0.2">
      <c r="A868">
        <v>9751</v>
      </c>
      <c r="B868" t="s">
        <v>249</v>
      </c>
      <c r="C868" t="s">
        <v>62</v>
      </c>
      <c r="D868" t="s">
        <v>32</v>
      </c>
      <c r="E868" t="s">
        <v>33</v>
      </c>
      <c r="G868" s="2" t="str">
        <f t="shared" si="13"/>
        <v>FEVER TREE|MORRIS 2</v>
      </c>
    </row>
    <row r="869" spans="1:7" x14ac:dyDescent="0.2">
      <c r="A869">
        <v>9752</v>
      </c>
      <c r="B869" t="s">
        <v>250</v>
      </c>
      <c r="C869" t="s">
        <v>189</v>
      </c>
      <c r="D869" t="s">
        <v>32</v>
      </c>
      <c r="E869" t="s">
        <v>33</v>
      </c>
      <c r="G869" s="2" t="str">
        <f t="shared" si="13"/>
        <v>FRESCA HARD SPARKLING|ESSEX</v>
      </c>
    </row>
    <row r="870" spans="1:7" x14ac:dyDescent="0.2">
      <c r="A870">
        <v>9753</v>
      </c>
      <c r="B870" t="s">
        <v>250</v>
      </c>
      <c r="C870" t="s">
        <v>187</v>
      </c>
      <c r="D870" t="s">
        <v>32</v>
      </c>
      <c r="E870" t="s">
        <v>33</v>
      </c>
      <c r="G870" s="2" t="str">
        <f t="shared" si="13"/>
        <v>FRESCA HARD SPARKLING|HUDSON</v>
      </c>
    </row>
    <row r="871" spans="1:7" x14ac:dyDescent="0.2">
      <c r="A871">
        <v>9754</v>
      </c>
      <c r="B871" t="s">
        <v>250</v>
      </c>
      <c r="C871" t="s">
        <v>188</v>
      </c>
      <c r="D871" t="s">
        <v>32</v>
      </c>
      <c r="E871" t="s">
        <v>33</v>
      </c>
      <c r="G871" s="2" t="str">
        <f t="shared" si="13"/>
        <v>FRESCA HARD SPARKLING|UNION</v>
      </c>
    </row>
    <row r="872" spans="1:7" x14ac:dyDescent="0.2">
      <c r="A872">
        <v>9755</v>
      </c>
      <c r="B872" t="s">
        <v>250</v>
      </c>
      <c r="C872" t="s">
        <v>62</v>
      </c>
      <c r="D872" t="s">
        <v>32</v>
      </c>
      <c r="E872" t="s">
        <v>33</v>
      </c>
      <c r="G872" s="2" t="str">
        <f t="shared" si="13"/>
        <v>FRESCA HARD SPARKLING|MORRIS 2</v>
      </c>
    </row>
    <row r="873" spans="1:7" x14ac:dyDescent="0.2">
      <c r="A873">
        <v>9756</v>
      </c>
      <c r="B873" t="s">
        <v>251</v>
      </c>
      <c r="C873" t="s">
        <v>252</v>
      </c>
      <c r="D873" t="s">
        <v>32</v>
      </c>
      <c r="E873" t="s">
        <v>33</v>
      </c>
      <c r="G873" s="2" t="str">
        <f t="shared" si="13"/>
        <v>EVIL GENIUS|ROCKLAND</v>
      </c>
    </row>
    <row r="874" spans="1:7" x14ac:dyDescent="0.2">
      <c r="A874">
        <v>9757</v>
      </c>
      <c r="B874" t="s">
        <v>253</v>
      </c>
      <c r="C874" t="s">
        <v>189</v>
      </c>
      <c r="D874" t="s">
        <v>32</v>
      </c>
      <c r="E874" t="s">
        <v>33</v>
      </c>
      <c r="G874" s="2" t="str">
        <f t="shared" si="13"/>
        <v>OLE|ESSEX</v>
      </c>
    </row>
    <row r="875" spans="1:7" x14ac:dyDescent="0.2">
      <c r="A875">
        <v>9770</v>
      </c>
      <c r="B875" t="s">
        <v>254</v>
      </c>
      <c r="C875" t="s">
        <v>189</v>
      </c>
      <c r="D875" t="s">
        <v>32</v>
      </c>
      <c r="E875" t="s">
        <v>33</v>
      </c>
      <c r="G875" s="2" t="str">
        <f t="shared" si="13"/>
        <v>TOPO CHICO|ESSEX</v>
      </c>
    </row>
    <row r="876" spans="1:7" x14ac:dyDescent="0.2">
      <c r="A876">
        <v>9771</v>
      </c>
      <c r="B876" t="s">
        <v>254</v>
      </c>
      <c r="C876" t="s">
        <v>187</v>
      </c>
      <c r="D876" t="s">
        <v>32</v>
      </c>
      <c r="E876" t="s">
        <v>33</v>
      </c>
      <c r="G876" s="2" t="str">
        <f t="shared" si="13"/>
        <v>TOPO CHICO|HUDSON</v>
      </c>
    </row>
    <row r="877" spans="1:7" x14ac:dyDescent="0.2">
      <c r="A877">
        <v>9772</v>
      </c>
      <c r="B877" t="s">
        <v>254</v>
      </c>
      <c r="C877" t="s">
        <v>188</v>
      </c>
      <c r="D877" t="s">
        <v>32</v>
      </c>
      <c r="E877" t="s">
        <v>33</v>
      </c>
      <c r="G877" s="2" t="str">
        <f t="shared" si="13"/>
        <v>TOPO CHICO|UNION</v>
      </c>
    </row>
    <row r="878" spans="1:7" x14ac:dyDescent="0.2">
      <c r="A878">
        <v>9773</v>
      </c>
      <c r="B878" t="s">
        <v>254</v>
      </c>
      <c r="C878" t="s">
        <v>62</v>
      </c>
      <c r="D878" t="s">
        <v>32</v>
      </c>
      <c r="E878" t="s">
        <v>33</v>
      </c>
      <c r="G878" s="2" t="str">
        <f t="shared" si="13"/>
        <v>TOPO CHICO|MORRIS 2</v>
      </c>
    </row>
    <row r="879" spans="1:7" x14ac:dyDescent="0.2">
      <c r="A879">
        <v>9774</v>
      </c>
      <c r="B879" t="s">
        <v>255</v>
      </c>
      <c r="C879" t="s">
        <v>184</v>
      </c>
      <c r="D879" t="s">
        <v>32</v>
      </c>
      <c r="E879" t="s">
        <v>33</v>
      </c>
      <c r="G879" s="2" t="str">
        <f t="shared" si="13"/>
        <v>HEINEKEN SILVER|SUSSEX</v>
      </c>
    </row>
    <row r="880" spans="1:7" x14ac:dyDescent="0.2">
      <c r="A880">
        <v>9775</v>
      </c>
      <c r="B880" t="s">
        <v>255</v>
      </c>
      <c r="C880" t="s">
        <v>189</v>
      </c>
      <c r="D880" t="s">
        <v>32</v>
      </c>
      <c r="E880" t="s">
        <v>33</v>
      </c>
      <c r="G880" s="2" t="str">
        <f t="shared" si="13"/>
        <v>HEINEKEN SILVER|ESSEX</v>
      </c>
    </row>
    <row r="881" spans="1:7" x14ac:dyDescent="0.2">
      <c r="A881">
        <v>9776</v>
      </c>
      <c r="B881" t="s">
        <v>255</v>
      </c>
      <c r="C881" t="s">
        <v>187</v>
      </c>
      <c r="D881" t="s">
        <v>32</v>
      </c>
      <c r="E881" t="s">
        <v>33</v>
      </c>
      <c r="G881" s="2" t="str">
        <f t="shared" si="13"/>
        <v>HEINEKEN SILVER|HUDSON</v>
      </c>
    </row>
    <row r="882" spans="1:7" x14ac:dyDescent="0.2">
      <c r="A882">
        <v>9777</v>
      </c>
      <c r="B882" t="s">
        <v>255</v>
      </c>
      <c r="C882" t="s">
        <v>183</v>
      </c>
      <c r="D882" t="s">
        <v>32</v>
      </c>
      <c r="E882" t="s">
        <v>33</v>
      </c>
      <c r="G882" s="2" t="str">
        <f t="shared" si="13"/>
        <v>HEINEKEN SILVER|MORRIS 1</v>
      </c>
    </row>
    <row r="883" spans="1:7" x14ac:dyDescent="0.2">
      <c r="A883">
        <v>9778</v>
      </c>
      <c r="B883" t="s">
        <v>255</v>
      </c>
      <c r="C883" t="s">
        <v>62</v>
      </c>
      <c r="D883" t="s">
        <v>32</v>
      </c>
      <c r="E883" t="s">
        <v>33</v>
      </c>
      <c r="G883" s="2" t="str">
        <f t="shared" si="13"/>
        <v>HEINEKEN SILVER|MORRIS 2</v>
      </c>
    </row>
    <row r="884" spans="1:7" x14ac:dyDescent="0.2">
      <c r="A884">
        <v>9779</v>
      </c>
      <c r="B884" t="s">
        <v>255</v>
      </c>
      <c r="C884" t="s">
        <v>188</v>
      </c>
      <c r="D884" t="s">
        <v>32</v>
      </c>
      <c r="E884" t="s">
        <v>33</v>
      </c>
      <c r="G884" s="2" t="str">
        <f t="shared" si="13"/>
        <v>HEINEKEN SILVER|UNION</v>
      </c>
    </row>
    <row r="885" spans="1:7" x14ac:dyDescent="0.2">
      <c r="A885">
        <v>9780</v>
      </c>
      <c r="B885" t="s">
        <v>256</v>
      </c>
      <c r="C885" t="s">
        <v>189</v>
      </c>
      <c r="D885" t="s">
        <v>32</v>
      </c>
      <c r="E885" t="s">
        <v>33</v>
      </c>
      <c r="G885" s="2" t="str">
        <f t="shared" si="13"/>
        <v>HEINEKEN 0.0 ULTIMATE|ESSEX</v>
      </c>
    </row>
    <row r="886" spans="1:7" x14ac:dyDescent="0.2">
      <c r="A886">
        <v>9781</v>
      </c>
      <c r="B886" t="s">
        <v>256</v>
      </c>
      <c r="C886" t="s">
        <v>187</v>
      </c>
      <c r="D886" t="s">
        <v>32</v>
      </c>
      <c r="E886" t="s">
        <v>33</v>
      </c>
      <c r="G886" s="2" t="str">
        <f t="shared" si="13"/>
        <v>HEINEKEN 0.0 ULTIMATE|HUDSON</v>
      </c>
    </row>
    <row r="887" spans="1:7" x14ac:dyDescent="0.2">
      <c r="A887">
        <v>9782</v>
      </c>
      <c r="B887" t="s">
        <v>256</v>
      </c>
      <c r="C887" t="s">
        <v>183</v>
      </c>
      <c r="D887" t="s">
        <v>32</v>
      </c>
      <c r="E887" t="s">
        <v>33</v>
      </c>
      <c r="G887" s="2" t="str">
        <f t="shared" si="13"/>
        <v>HEINEKEN 0.0 ULTIMATE|MORRIS 1</v>
      </c>
    </row>
    <row r="888" spans="1:7" x14ac:dyDescent="0.2">
      <c r="A888">
        <v>9783</v>
      </c>
      <c r="B888" t="s">
        <v>256</v>
      </c>
      <c r="C888" t="s">
        <v>62</v>
      </c>
      <c r="D888" t="s">
        <v>32</v>
      </c>
      <c r="E888" t="s">
        <v>33</v>
      </c>
      <c r="G888" s="2" t="str">
        <f t="shared" si="13"/>
        <v>HEINEKEN 0.0 ULTIMATE|MORRIS 2</v>
      </c>
    </row>
    <row r="889" spans="1:7" x14ac:dyDescent="0.2">
      <c r="A889">
        <v>9784</v>
      </c>
      <c r="B889" t="s">
        <v>256</v>
      </c>
      <c r="C889" t="s">
        <v>184</v>
      </c>
      <c r="D889" t="s">
        <v>32</v>
      </c>
      <c r="E889" t="s">
        <v>33</v>
      </c>
      <c r="G889" s="2" t="str">
        <f t="shared" si="13"/>
        <v>HEINEKEN 0.0 ULTIMATE|SUSSEX</v>
      </c>
    </row>
    <row r="890" spans="1:7" x14ac:dyDescent="0.2">
      <c r="A890">
        <v>9785</v>
      </c>
      <c r="B890" t="s">
        <v>256</v>
      </c>
      <c r="C890" t="s">
        <v>188</v>
      </c>
      <c r="D890" t="s">
        <v>32</v>
      </c>
      <c r="E890" t="s">
        <v>33</v>
      </c>
      <c r="G890" s="2" t="str">
        <f t="shared" si="13"/>
        <v>HEINEKEN 0.0 ULTIMATE|UNION</v>
      </c>
    </row>
    <row r="891" spans="1:7" x14ac:dyDescent="0.2">
      <c r="A891">
        <v>9786</v>
      </c>
      <c r="B891" t="s">
        <v>257</v>
      </c>
      <c r="C891" t="s">
        <v>183</v>
      </c>
      <c r="D891" t="s">
        <v>32</v>
      </c>
      <c r="E891" t="s">
        <v>33</v>
      </c>
      <c r="G891" s="2" t="str">
        <f t="shared" si="13"/>
        <v>FLYING FISH BOX OF BONES VARIETY|MORRIS 1</v>
      </c>
    </row>
    <row r="892" spans="1:7" x14ac:dyDescent="0.2">
      <c r="A892">
        <v>9787</v>
      </c>
      <c r="B892" t="s">
        <v>257</v>
      </c>
      <c r="C892" t="s">
        <v>62</v>
      </c>
      <c r="D892" t="s">
        <v>32</v>
      </c>
      <c r="E892" t="s">
        <v>33</v>
      </c>
      <c r="G892" s="2" t="str">
        <f t="shared" si="13"/>
        <v>FLYING FISH BOX OF BONES VARIETY|MORRIS 2</v>
      </c>
    </row>
    <row r="893" spans="1:7" x14ac:dyDescent="0.2">
      <c r="A893">
        <v>9788</v>
      </c>
      <c r="B893" t="s">
        <v>257</v>
      </c>
      <c r="C893" t="s">
        <v>31</v>
      </c>
      <c r="D893" t="s">
        <v>32</v>
      </c>
      <c r="E893" t="s">
        <v>33</v>
      </c>
      <c r="G893" s="2" t="str">
        <f t="shared" si="13"/>
        <v>FLYING FISH BOX OF BONES VARIETY|MORRIS 3</v>
      </c>
    </row>
    <row r="894" spans="1:7" x14ac:dyDescent="0.2">
      <c r="A894">
        <v>9789</v>
      </c>
      <c r="B894" t="s">
        <v>257</v>
      </c>
      <c r="C894" t="s">
        <v>184</v>
      </c>
      <c r="D894" t="s">
        <v>32</v>
      </c>
      <c r="E894" t="s">
        <v>33</v>
      </c>
      <c r="G894" s="2" t="str">
        <f t="shared" si="13"/>
        <v>FLYING FISH BOX OF BONES VARIETY|SUSSEX</v>
      </c>
    </row>
    <row r="895" spans="1:7" x14ac:dyDescent="0.2">
      <c r="A895">
        <v>9790</v>
      </c>
      <c r="B895" t="s">
        <v>257</v>
      </c>
      <c r="C895" t="s">
        <v>188</v>
      </c>
      <c r="D895" t="s">
        <v>32</v>
      </c>
      <c r="E895" t="s">
        <v>33</v>
      </c>
      <c r="G895" s="2" t="str">
        <f t="shared" si="13"/>
        <v>FLYING FISH BOX OF BONES VARIETY|UNION</v>
      </c>
    </row>
    <row r="896" spans="1:7" x14ac:dyDescent="0.2">
      <c r="A896">
        <v>9791</v>
      </c>
      <c r="B896" t="s">
        <v>257</v>
      </c>
      <c r="C896" t="s">
        <v>206</v>
      </c>
      <c r="D896" t="s">
        <v>32</v>
      </c>
      <c r="E896" t="s">
        <v>33</v>
      </c>
      <c r="G896" s="2" t="str">
        <f t="shared" si="13"/>
        <v>FLYING FISH BOX OF BONES VARIETY|PASSAIC-FF</v>
      </c>
    </row>
    <row r="897" spans="1:7" x14ac:dyDescent="0.2">
      <c r="A897">
        <v>9792</v>
      </c>
      <c r="B897" t="s">
        <v>258</v>
      </c>
      <c r="C897" t="s">
        <v>183</v>
      </c>
      <c r="D897" t="s">
        <v>32</v>
      </c>
      <c r="E897" t="s">
        <v>33</v>
      </c>
      <c r="G897" s="2" t="str">
        <f t="shared" si="13"/>
        <v>SIXPOINT SUMMER SESH|MORRIS 1</v>
      </c>
    </row>
    <row r="898" spans="1:7" x14ac:dyDescent="0.2">
      <c r="A898">
        <v>9793</v>
      </c>
      <c r="B898" t="s">
        <v>258</v>
      </c>
      <c r="C898" t="s">
        <v>62</v>
      </c>
      <c r="D898" t="s">
        <v>32</v>
      </c>
      <c r="E898" t="s">
        <v>33</v>
      </c>
      <c r="G898" s="2" t="str">
        <f t="shared" si="13"/>
        <v>SIXPOINT SUMMER SESH|MORRIS 2</v>
      </c>
    </row>
    <row r="899" spans="1:7" x14ac:dyDescent="0.2">
      <c r="A899">
        <v>9794</v>
      </c>
      <c r="B899" t="s">
        <v>258</v>
      </c>
      <c r="C899" t="s">
        <v>31</v>
      </c>
      <c r="D899" t="s">
        <v>32</v>
      </c>
      <c r="E899" t="s">
        <v>33</v>
      </c>
      <c r="G899" s="2" t="str">
        <f t="shared" si="13"/>
        <v>SIXPOINT SUMMER SESH|MORRIS 3</v>
      </c>
    </row>
    <row r="900" spans="1:7" x14ac:dyDescent="0.2">
      <c r="A900">
        <v>9795</v>
      </c>
      <c r="B900" t="s">
        <v>258</v>
      </c>
      <c r="C900" t="s">
        <v>184</v>
      </c>
      <c r="D900" t="s">
        <v>32</v>
      </c>
      <c r="E900" t="s">
        <v>33</v>
      </c>
      <c r="G900" s="2" t="str">
        <f t="shared" si="13"/>
        <v>SIXPOINT SUMMER SESH|SUSSEX</v>
      </c>
    </row>
    <row r="901" spans="1:7" x14ac:dyDescent="0.2">
      <c r="A901">
        <v>9796</v>
      </c>
      <c r="B901" t="s">
        <v>258</v>
      </c>
      <c r="C901" t="s">
        <v>188</v>
      </c>
      <c r="D901" t="s">
        <v>32</v>
      </c>
      <c r="E901" t="s">
        <v>33</v>
      </c>
      <c r="G901" s="2" t="str">
        <f t="shared" si="13"/>
        <v>SIXPOINT SUMMER SESH|UNION</v>
      </c>
    </row>
    <row r="902" spans="1:7" x14ac:dyDescent="0.2">
      <c r="A902">
        <v>9797</v>
      </c>
      <c r="B902" t="s">
        <v>259</v>
      </c>
      <c r="C902" t="s">
        <v>183</v>
      </c>
      <c r="D902" t="s">
        <v>32</v>
      </c>
      <c r="E902" t="s">
        <v>33</v>
      </c>
      <c r="G902" s="2" t="str">
        <f t="shared" si="13"/>
        <v>STONE PREMIUM &amp; SMOOTH BEER CO|MORRIS 1</v>
      </c>
    </row>
    <row r="903" spans="1:7" x14ac:dyDescent="0.2">
      <c r="A903">
        <v>9798</v>
      </c>
      <c r="B903" t="s">
        <v>259</v>
      </c>
      <c r="C903" t="s">
        <v>62</v>
      </c>
      <c r="D903" t="s">
        <v>32</v>
      </c>
      <c r="E903" t="s">
        <v>33</v>
      </c>
      <c r="G903" s="2" t="str">
        <f t="shared" ref="G903:G966" si="14">UPPER(B903)&amp;"|"&amp;UPPER(C903)</f>
        <v>STONE PREMIUM &amp; SMOOTH BEER CO|MORRIS 2</v>
      </c>
    </row>
    <row r="904" spans="1:7" x14ac:dyDescent="0.2">
      <c r="A904">
        <v>9799</v>
      </c>
      <c r="B904" t="s">
        <v>259</v>
      </c>
      <c r="C904" t="s">
        <v>31</v>
      </c>
      <c r="D904" t="s">
        <v>32</v>
      </c>
      <c r="E904" t="s">
        <v>33</v>
      </c>
      <c r="G904" s="2" t="str">
        <f t="shared" si="14"/>
        <v>STONE PREMIUM &amp; SMOOTH BEER CO|MORRIS 3</v>
      </c>
    </row>
    <row r="905" spans="1:7" x14ac:dyDescent="0.2">
      <c r="A905">
        <v>9800</v>
      </c>
      <c r="B905" t="s">
        <v>259</v>
      </c>
      <c r="C905" t="s">
        <v>184</v>
      </c>
      <c r="D905" t="s">
        <v>32</v>
      </c>
      <c r="E905" t="s">
        <v>33</v>
      </c>
      <c r="G905" s="2" t="str">
        <f t="shared" si="14"/>
        <v>STONE PREMIUM &amp; SMOOTH BEER CO|SUSSEX</v>
      </c>
    </row>
    <row r="906" spans="1:7" x14ac:dyDescent="0.2">
      <c r="A906">
        <v>9801</v>
      </c>
      <c r="B906" t="s">
        <v>259</v>
      </c>
      <c r="C906" t="s">
        <v>188</v>
      </c>
      <c r="D906" t="s">
        <v>32</v>
      </c>
      <c r="E906" t="s">
        <v>33</v>
      </c>
      <c r="G906" s="2" t="str">
        <f t="shared" si="14"/>
        <v>STONE PREMIUM &amp; SMOOTH BEER CO|UNION</v>
      </c>
    </row>
    <row r="907" spans="1:7" x14ac:dyDescent="0.2">
      <c r="A907">
        <v>9802</v>
      </c>
      <c r="B907" t="s">
        <v>260</v>
      </c>
      <c r="C907" t="s">
        <v>189</v>
      </c>
      <c r="D907" t="s">
        <v>32</v>
      </c>
      <c r="E907" t="s">
        <v>33</v>
      </c>
      <c r="G907" s="2" t="str">
        <f t="shared" si="14"/>
        <v>MIKE'S HARD DIRTY LEMONADE|ESSEX</v>
      </c>
    </row>
    <row r="908" spans="1:7" x14ac:dyDescent="0.2">
      <c r="A908">
        <v>9803</v>
      </c>
      <c r="B908" t="s">
        <v>260</v>
      </c>
      <c r="C908" t="s">
        <v>188</v>
      </c>
      <c r="D908" t="s">
        <v>32</v>
      </c>
      <c r="E908" t="s">
        <v>33</v>
      </c>
      <c r="G908" s="2" t="str">
        <f t="shared" si="14"/>
        <v>MIKE'S HARD DIRTY LEMONADE|UNION</v>
      </c>
    </row>
    <row r="909" spans="1:7" x14ac:dyDescent="0.2">
      <c r="A909">
        <v>9804</v>
      </c>
      <c r="B909" t="s">
        <v>260</v>
      </c>
      <c r="C909" t="s">
        <v>187</v>
      </c>
      <c r="D909" t="s">
        <v>32</v>
      </c>
      <c r="E909" t="s">
        <v>33</v>
      </c>
      <c r="G909" s="2" t="str">
        <f t="shared" si="14"/>
        <v>MIKE'S HARD DIRTY LEMONADE|HUDSON</v>
      </c>
    </row>
    <row r="910" spans="1:7" x14ac:dyDescent="0.2">
      <c r="A910">
        <v>9805</v>
      </c>
      <c r="B910" t="s">
        <v>260</v>
      </c>
      <c r="C910" t="s">
        <v>62</v>
      </c>
      <c r="D910" t="s">
        <v>32</v>
      </c>
      <c r="E910" t="s">
        <v>33</v>
      </c>
      <c r="G910" s="2" t="str">
        <f t="shared" si="14"/>
        <v>MIKE'S HARD DIRTY LEMONADE|MORRIS 2</v>
      </c>
    </row>
    <row r="911" spans="1:7" x14ac:dyDescent="0.2">
      <c r="A911">
        <v>9806</v>
      </c>
      <c r="B911" t="s">
        <v>253</v>
      </c>
      <c r="C911" t="s">
        <v>188</v>
      </c>
      <c r="D911" t="s">
        <v>32</v>
      </c>
      <c r="E911" t="s">
        <v>33</v>
      </c>
      <c r="G911" s="2" t="str">
        <f t="shared" si="14"/>
        <v>OLE|UNION</v>
      </c>
    </row>
    <row r="912" spans="1:7" x14ac:dyDescent="0.2">
      <c r="A912">
        <v>9807</v>
      </c>
      <c r="B912" t="s">
        <v>253</v>
      </c>
      <c r="C912" t="s">
        <v>187</v>
      </c>
      <c r="D912" t="s">
        <v>32</v>
      </c>
      <c r="E912" t="s">
        <v>33</v>
      </c>
      <c r="G912" s="2" t="str">
        <f t="shared" si="14"/>
        <v>OLE|HUDSON</v>
      </c>
    </row>
    <row r="913" spans="1:7" x14ac:dyDescent="0.2">
      <c r="A913">
        <v>9808</v>
      </c>
      <c r="B913" t="s">
        <v>253</v>
      </c>
      <c r="C913" t="s">
        <v>62</v>
      </c>
      <c r="D913" t="s">
        <v>32</v>
      </c>
      <c r="E913" t="s">
        <v>33</v>
      </c>
      <c r="G913" s="2" t="str">
        <f t="shared" si="14"/>
        <v>OLE|MORRIS 2</v>
      </c>
    </row>
    <row r="914" spans="1:7" x14ac:dyDescent="0.2">
      <c r="A914">
        <v>9809</v>
      </c>
      <c r="B914" t="s">
        <v>261</v>
      </c>
      <c r="C914" t="s">
        <v>189</v>
      </c>
      <c r="D914" t="s">
        <v>32</v>
      </c>
      <c r="E914" t="s">
        <v>33</v>
      </c>
      <c r="G914" s="2" t="str">
        <f t="shared" si="14"/>
        <v>HI5|ESSEX</v>
      </c>
    </row>
    <row r="915" spans="1:7" x14ac:dyDescent="0.2">
      <c r="A915">
        <v>9810</v>
      </c>
      <c r="B915" t="s">
        <v>261</v>
      </c>
      <c r="C915" t="s">
        <v>187</v>
      </c>
      <c r="D915" t="s">
        <v>32</v>
      </c>
      <c r="E915" t="s">
        <v>33</v>
      </c>
      <c r="G915" s="2" t="str">
        <f t="shared" si="14"/>
        <v>HI5|HUDSON</v>
      </c>
    </row>
    <row r="916" spans="1:7" x14ac:dyDescent="0.2">
      <c r="A916">
        <v>9811</v>
      </c>
      <c r="B916" t="s">
        <v>261</v>
      </c>
      <c r="C916" t="s">
        <v>188</v>
      </c>
      <c r="D916" t="s">
        <v>32</v>
      </c>
      <c r="E916" t="s">
        <v>33</v>
      </c>
      <c r="G916" s="2" t="str">
        <f t="shared" si="14"/>
        <v>HI5|UNION</v>
      </c>
    </row>
    <row r="917" spans="1:7" x14ac:dyDescent="0.2">
      <c r="A917">
        <v>9812</v>
      </c>
      <c r="B917" t="s">
        <v>261</v>
      </c>
      <c r="C917" t="s">
        <v>62</v>
      </c>
      <c r="D917" t="s">
        <v>32</v>
      </c>
      <c r="E917" t="s">
        <v>33</v>
      </c>
      <c r="G917" s="2" t="str">
        <f t="shared" si="14"/>
        <v>HI5|MORRIS 2</v>
      </c>
    </row>
    <row r="918" spans="1:7" x14ac:dyDescent="0.2">
      <c r="A918">
        <v>9813</v>
      </c>
      <c r="B918" t="s">
        <v>262</v>
      </c>
      <c r="C918" t="s">
        <v>189</v>
      </c>
      <c r="D918" t="s">
        <v>32</v>
      </c>
      <c r="E918" t="s">
        <v>33</v>
      </c>
      <c r="G918" s="2" t="str">
        <f t="shared" si="14"/>
        <v>POGGIO TORSELLI|ESSEX</v>
      </c>
    </row>
    <row r="919" spans="1:7" x14ac:dyDescent="0.2">
      <c r="A919">
        <v>9814</v>
      </c>
      <c r="B919" t="s">
        <v>262</v>
      </c>
      <c r="C919" t="s">
        <v>187</v>
      </c>
      <c r="D919" t="s">
        <v>32</v>
      </c>
      <c r="E919" t="s">
        <v>33</v>
      </c>
      <c r="G919" s="2" t="str">
        <f t="shared" si="14"/>
        <v>POGGIO TORSELLI|HUDSON</v>
      </c>
    </row>
    <row r="920" spans="1:7" x14ac:dyDescent="0.2">
      <c r="A920">
        <v>9815</v>
      </c>
      <c r="B920" t="s">
        <v>262</v>
      </c>
      <c r="C920" t="s">
        <v>188</v>
      </c>
      <c r="D920" t="s">
        <v>32</v>
      </c>
      <c r="E920" t="s">
        <v>33</v>
      </c>
      <c r="G920" s="2" t="str">
        <f t="shared" si="14"/>
        <v>POGGIO TORSELLI|UNION</v>
      </c>
    </row>
    <row r="921" spans="1:7" x14ac:dyDescent="0.2">
      <c r="A921">
        <v>9816</v>
      </c>
      <c r="B921" t="s">
        <v>262</v>
      </c>
      <c r="C921" t="s">
        <v>62</v>
      </c>
      <c r="D921" t="s">
        <v>32</v>
      </c>
      <c r="E921" t="s">
        <v>33</v>
      </c>
      <c r="G921" s="2" t="str">
        <f t="shared" si="14"/>
        <v>POGGIO TORSELLI|MORRIS 2</v>
      </c>
    </row>
    <row r="922" spans="1:7" x14ac:dyDescent="0.2">
      <c r="A922">
        <v>9817</v>
      </c>
      <c r="B922" t="s">
        <v>263</v>
      </c>
      <c r="C922" t="s">
        <v>189</v>
      </c>
      <c r="D922" t="s">
        <v>32</v>
      </c>
      <c r="E922" t="s">
        <v>33</v>
      </c>
      <c r="G922" s="2" t="str">
        <f t="shared" si="14"/>
        <v>LA BODEGA|ESSEX</v>
      </c>
    </row>
    <row r="923" spans="1:7" x14ac:dyDescent="0.2">
      <c r="A923">
        <v>9818</v>
      </c>
      <c r="B923" t="s">
        <v>263</v>
      </c>
      <c r="C923" t="s">
        <v>187</v>
      </c>
      <c r="D923" t="s">
        <v>32</v>
      </c>
      <c r="E923" t="s">
        <v>33</v>
      </c>
      <c r="G923" s="2" t="str">
        <f t="shared" si="14"/>
        <v>LA BODEGA|HUDSON</v>
      </c>
    </row>
    <row r="924" spans="1:7" x14ac:dyDescent="0.2">
      <c r="A924">
        <v>9819</v>
      </c>
      <c r="B924" t="s">
        <v>263</v>
      </c>
      <c r="C924" t="s">
        <v>188</v>
      </c>
      <c r="D924" t="s">
        <v>32</v>
      </c>
      <c r="E924" t="s">
        <v>33</v>
      </c>
      <c r="G924" s="2" t="str">
        <f t="shared" si="14"/>
        <v>LA BODEGA|UNION</v>
      </c>
    </row>
    <row r="925" spans="1:7" x14ac:dyDescent="0.2">
      <c r="A925">
        <v>9820</v>
      </c>
      <c r="B925" t="s">
        <v>263</v>
      </c>
      <c r="C925" t="s">
        <v>62</v>
      </c>
      <c r="D925" t="s">
        <v>32</v>
      </c>
      <c r="E925" t="s">
        <v>33</v>
      </c>
      <c r="G925" s="2" t="str">
        <f t="shared" si="14"/>
        <v>LA BODEGA|MORRIS 2</v>
      </c>
    </row>
    <row r="926" spans="1:7" x14ac:dyDescent="0.2">
      <c r="A926">
        <v>9821</v>
      </c>
      <c r="B926" t="s">
        <v>264</v>
      </c>
      <c r="C926" t="s">
        <v>189</v>
      </c>
      <c r="D926" t="s">
        <v>32</v>
      </c>
      <c r="E926" t="s">
        <v>33</v>
      </c>
      <c r="G926" s="2" t="str">
        <f t="shared" si="14"/>
        <v>COORS 0.0|ESSEX</v>
      </c>
    </row>
    <row r="927" spans="1:7" x14ac:dyDescent="0.2">
      <c r="A927">
        <v>9822</v>
      </c>
      <c r="B927" t="s">
        <v>264</v>
      </c>
      <c r="C927" t="s">
        <v>187</v>
      </c>
      <c r="D927" t="s">
        <v>32</v>
      </c>
      <c r="E927" t="s">
        <v>33</v>
      </c>
      <c r="G927" s="2" t="str">
        <f t="shared" si="14"/>
        <v>COORS 0.0|HUDSON</v>
      </c>
    </row>
    <row r="928" spans="1:7" x14ac:dyDescent="0.2">
      <c r="A928">
        <v>9823</v>
      </c>
      <c r="B928" t="s">
        <v>264</v>
      </c>
      <c r="C928" t="s">
        <v>188</v>
      </c>
      <c r="D928" t="s">
        <v>32</v>
      </c>
      <c r="E928" t="s">
        <v>33</v>
      </c>
      <c r="G928" s="2" t="str">
        <f t="shared" si="14"/>
        <v>COORS 0.0|UNION</v>
      </c>
    </row>
    <row r="929" spans="1:7" x14ac:dyDescent="0.2">
      <c r="A929">
        <v>9824</v>
      </c>
      <c r="B929" t="s">
        <v>264</v>
      </c>
      <c r="C929" t="s">
        <v>62</v>
      </c>
      <c r="D929" t="s">
        <v>32</v>
      </c>
      <c r="E929" t="s">
        <v>33</v>
      </c>
      <c r="G929" s="2" t="str">
        <f t="shared" si="14"/>
        <v>COORS 0.0|MORRIS 2</v>
      </c>
    </row>
    <row r="930" spans="1:7" x14ac:dyDescent="0.2">
      <c r="A930">
        <v>9825</v>
      </c>
      <c r="B930" t="s">
        <v>265</v>
      </c>
      <c r="C930" t="s">
        <v>62</v>
      </c>
      <c r="D930" t="s">
        <v>32</v>
      </c>
      <c r="E930" t="s">
        <v>33</v>
      </c>
      <c r="G930" s="2" t="str">
        <f t="shared" si="14"/>
        <v>LEYENDA 1925|MORRIS 2</v>
      </c>
    </row>
    <row r="931" spans="1:7" x14ac:dyDescent="0.2">
      <c r="A931">
        <v>9826</v>
      </c>
      <c r="B931" t="s">
        <v>265</v>
      </c>
      <c r="C931" t="s">
        <v>187</v>
      </c>
      <c r="D931" t="s">
        <v>32</v>
      </c>
      <c r="E931" t="s">
        <v>33</v>
      </c>
      <c r="G931" s="2" t="str">
        <f t="shared" si="14"/>
        <v>LEYENDA 1925|HUDSON</v>
      </c>
    </row>
    <row r="932" spans="1:7" x14ac:dyDescent="0.2">
      <c r="A932">
        <v>9827</v>
      </c>
      <c r="B932" t="s">
        <v>265</v>
      </c>
      <c r="C932" t="s">
        <v>188</v>
      </c>
      <c r="D932" t="s">
        <v>32</v>
      </c>
      <c r="E932" t="s">
        <v>33</v>
      </c>
      <c r="G932" s="2" t="str">
        <f t="shared" si="14"/>
        <v>LEYENDA 1925|UNION</v>
      </c>
    </row>
    <row r="933" spans="1:7" x14ac:dyDescent="0.2">
      <c r="A933">
        <v>9828</v>
      </c>
      <c r="B933" t="s">
        <v>265</v>
      </c>
      <c r="C933" t="s">
        <v>189</v>
      </c>
      <c r="D933" t="s">
        <v>32</v>
      </c>
      <c r="E933" t="s">
        <v>33</v>
      </c>
      <c r="G933" s="2" t="str">
        <f t="shared" si="14"/>
        <v>LEYENDA 1925|ESSEX</v>
      </c>
    </row>
    <row r="934" spans="1:7" x14ac:dyDescent="0.2">
      <c r="A934">
        <v>9829</v>
      </c>
      <c r="B934" t="s">
        <v>266</v>
      </c>
      <c r="C934" t="s">
        <v>189</v>
      </c>
      <c r="D934" t="s">
        <v>32</v>
      </c>
      <c r="E934" t="s">
        <v>33</v>
      </c>
      <c r="G934" s="2" t="str">
        <f t="shared" si="14"/>
        <v>LIGHTSTRIKE|ESSEX</v>
      </c>
    </row>
    <row r="935" spans="1:7" x14ac:dyDescent="0.2">
      <c r="A935">
        <v>9830</v>
      </c>
      <c r="B935" t="s">
        <v>266</v>
      </c>
      <c r="C935" t="s">
        <v>188</v>
      </c>
      <c r="D935" t="s">
        <v>32</v>
      </c>
      <c r="E935" t="s">
        <v>33</v>
      </c>
      <c r="G935" s="2" t="str">
        <f t="shared" si="14"/>
        <v>LIGHTSTRIKE|UNION</v>
      </c>
    </row>
    <row r="936" spans="1:7" x14ac:dyDescent="0.2">
      <c r="A936">
        <v>9831</v>
      </c>
      <c r="B936" t="s">
        <v>266</v>
      </c>
      <c r="C936" t="s">
        <v>187</v>
      </c>
      <c r="D936" t="s">
        <v>32</v>
      </c>
      <c r="E936" t="s">
        <v>33</v>
      </c>
      <c r="G936" s="2" t="str">
        <f t="shared" si="14"/>
        <v>LIGHTSTRIKE|HUDSON</v>
      </c>
    </row>
    <row r="937" spans="1:7" x14ac:dyDescent="0.2">
      <c r="A937">
        <v>9832</v>
      </c>
      <c r="B937" t="s">
        <v>266</v>
      </c>
      <c r="C937" t="s">
        <v>62</v>
      </c>
      <c r="D937" t="s">
        <v>32</v>
      </c>
      <c r="E937" t="s">
        <v>33</v>
      </c>
      <c r="G937" s="2" t="str">
        <f t="shared" si="14"/>
        <v>LIGHTSTRIKE|MORRIS 2</v>
      </c>
    </row>
    <row r="938" spans="1:7" x14ac:dyDescent="0.2">
      <c r="A938">
        <v>9833</v>
      </c>
      <c r="B938" t="s">
        <v>267</v>
      </c>
      <c r="C938" t="s">
        <v>189</v>
      </c>
      <c r="D938" t="s">
        <v>32</v>
      </c>
      <c r="E938" t="s">
        <v>33</v>
      </c>
      <c r="G938" s="2" t="str">
        <f t="shared" si="14"/>
        <v>KIRIN ICHIBAN|ESSEX</v>
      </c>
    </row>
    <row r="939" spans="1:7" x14ac:dyDescent="0.2">
      <c r="A939">
        <v>9834</v>
      </c>
      <c r="B939" t="s">
        <v>267</v>
      </c>
      <c r="C939" t="s">
        <v>188</v>
      </c>
      <c r="D939" t="s">
        <v>32</v>
      </c>
      <c r="E939" t="s">
        <v>33</v>
      </c>
      <c r="G939" s="2" t="str">
        <f t="shared" si="14"/>
        <v>KIRIN ICHIBAN|UNION</v>
      </c>
    </row>
    <row r="940" spans="1:7" x14ac:dyDescent="0.2">
      <c r="A940">
        <v>9835</v>
      </c>
      <c r="B940" t="s">
        <v>267</v>
      </c>
      <c r="C940" t="s">
        <v>187</v>
      </c>
      <c r="D940" t="s">
        <v>32</v>
      </c>
      <c r="E940" t="s">
        <v>33</v>
      </c>
      <c r="G940" s="2" t="str">
        <f t="shared" si="14"/>
        <v>KIRIN ICHIBAN|HUDSON</v>
      </c>
    </row>
    <row r="941" spans="1:7" x14ac:dyDescent="0.2">
      <c r="A941">
        <v>9836</v>
      </c>
      <c r="B941" t="s">
        <v>267</v>
      </c>
      <c r="C941" t="s">
        <v>62</v>
      </c>
      <c r="D941" t="s">
        <v>32</v>
      </c>
      <c r="E941" t="s">
        <v>33</v>
      </c>
      <c r="G941" s="2" t="str">
        <f t="shared" si="14"/>
        <v>KIRIN ICHIBAN|MORRIS 2</v>
      </c>
    </row>
    <row r="942" spans="1:7" x14ac:dyDescent="0.2">
      <c r="A942">
        <v>9837</v>
      </c>
      <c r="B942" t="s">
        <v>268</v>
      </c>
      <c r="C942" t="s">
        <v>189</v>
      </c>
      <c r="D942" t="s">
        <v>32</v>
      </c>
      <c r="E942" t="s">
        <v>33</v>
      </c>
      <c r="G942" s="2" t="str">
        <f t="shared" si="14"/>
        <v>KIRIN LIGHT|ESSEX</v>
      </c>
    </row>
    <row r="943" spans="1:7" x14ac:dyDescent="0.2">
      <c r="A943">
        <v>9838</v>
      </c>
      <c r="B943" t="s">
        <v>268</v>
      </c>
      <c r="C943" t="s">
        <v>187</v>
      </c>
      <c r="D943" t="s">
        <v>32</v>
      </c>
      <c r="E943" t="s">
        <v>33</v>
      </c>
      <c r="G943" s="2" t="str">
        <f t="shared" si="14"/>
        <v>KIRIN LIGHT|HUDSON</v>
      </c>
    </row>
    <row r="944" spans="1:7" x14ac:dyDescent="0.2">
      <c r="A944">
        <v>9839</v>
      </c>
      <c r="B944" t="s">
        <v>268</v>
      </c>
      <c r="C944" t="s">
        <v>62</v>
      </c>
      <c r="D944" t="s">
        <v>32</v>
      </c>
      <c r="E944" t="s">
        <v>33</v>
      </c>
      <c r="G944" s="2" t="str">
        <f t="shared" si="14"/>
        <v>KIRIN LIGHT|MORRIS 2</v>
      </c>
    </row>
    <row r="945" spans="1:7" x14ac:dyDescent="0.2">
      <c r="A945">
        <v>9840</v>
      </c>
      <c r="B945" t="s">
        <v>268</v>
      </c>
      <c r="C945" t="s">
        <v>188</v>
      </c>
      <c r="D945" t="s">
        <v>32</v>
      </c>
      <c r="E945" t="s">
        <v>33</v>
      </c>
      <c r="G945" s="2" t="str">
        <f t="shared" si="14"/>
        <v>KIRIN LIGHT|UNION</v>
      </c>
    </row>
    <row r="946" spans="1:7" x14ac:dyDescent="0.2">
      <c r="A946">
        <v>9841</v>
      </c>
      <c r="B946" t="s">
        <v>269</v>
      </c>
      <c r="C946" t="s">
        <v>189</v>
      </c>
      <c r="D946" t="s">
        <v>32</v>
      </c>
      <c r="E946" t="s">
        <v>33</v>
      </c>
      <c r="G946" s="2" t="str">
        <f t="shared" si="14"/>
        <v>SINLESS VODKA COCKTAIL|ESSEX</v>
      </c>
    </row>
    <row r="947" spans="1:7" x14ac:dyDescent="0.2">
      <c r="A947">
        <v>9842</v>
      </c>
      <c r="B947" t="s">
        <v>269</v>
      </c>
      <c r="C947" t="s">
        <v>187</v>
      </c>
      <c r="D947" t="s">
        <v>32</v>
      </c>
      <c r="E947" t="s">
        <v>33</v>
      </c>
      <c r="G947" s="2" t="str">
        <f t="shared" si="14"/>
        <v>SINLESS VODKA COCKTAIL|HUDSON</v>
      </c>
    </row>
    <row r="948" spans="1:7" x14ac:dyDescent="0.2">
      <c r="A948">
        <v>9843</v>
      </c>
      <c r="B948" t="s">
        <v>269</v>
      </c>
      <c r="C948" t="s">
        <v>62</v>
      </c>
      <c r="D948" t="s">
        <v>32</v>
      </c>
      <c r="E948" t="s">
        <v>33</v>
      </c>
      <c r="G948" s="2" t="str">
        <f t="shared" si="14"/>
        <v>SINLESS VODKA COCKTAIL|MORRIS 2</v>
      </c>
    </row>
    <row r="949" spans="1:7" x14ac:dyDescent="0.2">
      <c r="A949">
        <v>9844</v>
      </c>
      <c r="B949" t="s">
        <v>269</v>
      </c>
      <c r="C949" t="s">
        <v>188</v>
      </c>
      <c r="D949" t="s">
        <v>32</v>
      </c>
      <c r="E949" t="s">
        <v>33</v>
      </c>
      <c r="G949" s="2" t="str">
        <f t="shared" si="14"/>
        <v>SINLESS VODKA COCKTAIL|UNION</v>
      </c>
    </row>
    <row r="950" spans="1:7" x14ac:dyDescent="0.2">
      <c r="A950">
        <v>9845</v>
      </c>
      <c r="B950" t="s">
        <v>49</v>
      </c>
      <c r="C950" t="s">
        <v>183</v>
      </c>
      <c r="D950" t="s">
        <v>32</v>
      </c>
      <c r="E950" t="s">
        <v>33</v>
      </c>
      <c r="G950" s="2" t="str">
        <f t="shared" si="14"/>
        <v>MCKENZIE'S|MORRIS 1</v>
      </c>
    </row>
    <row r="951" spans="1:7" x14ac:dyDescent="0.2">
      <c r="A951">
        <v>9850</v>
      </c>
      <c r="B951" t="s">
        <v>89</v>
      </c>
      <c r="C951" t="s">
        <v>187</v>
      </c>
      <c r="D951" t="s">
        <v>32</v>
      </c>
      <c r="E951" t="s">
        <v>33</v>
      </c>
      <c r="G951" s="2" t="str">
        <f t="shared" si="14"/>
        <v>CAYMAN JACK|HUDSON</v>
      </c>
    </row>
    <row r="952" spans="1:7" x14ac:dyDescent="0.2">
      <c r="A952">
        <v>9851</v>
      </c>
      <c r="B952" t="s">
        <v>44</v>
      </c>
      <c r="C952" t="s">
        <v>183</v>
      </c>
      <c r="D952" t="s">
        <v>32</v>
      </c>
      <c r="E952" t="s">
        <v>33</v>
      </c>
      <c r="G952" s="2" t="str">
        <f t="shared" si="14"/>
        <v>BOLD ROCK|MORRIS 1</v>
      </c>
    </row>
    <row r="953" spans="1:7" x14ac:dyDescent="0.2">
      <c r="A953">
        <v>9852</v>
      </c>
      <c r="B953" t="s">
        <v>46</v>
      </c>
      <c r="C953" t="s">
        <v>183</v>
      </c>
      <c r="D953" t="s">
        <v>32</v>
      </c>
      <c r="E953" t="s">
        <v>33</v>
      </c>
      <c r="G953" s="2" t="str">
        <f t="shared" si="14"/>
        <v>ITHACA|MORRIS 1</v>
      </c>
    </row>
    <row r="954" spans="1:7" x14ac:dyDescent="0.2">
      <c r="A954">
        <v>9853</v>
      </c>
      <c r="B954" t="s">
        <v>87</v>
      </c>
      <c r="C954" t="s">
        <v>187</v>
      </c>
      <c r="D954" t="s">
        <v>32</v>
      </c>
      <c r="E954" t="s">
        <v>33</v>
      </c>
      <c r="G954" s="2" t="str">
        <f t="shared" si="14"/>
        <v>MIKE'S HARD LEMONADE|HUDSON</v>
      </c>
    </row>
    <row r="955" spans="1:7" x14ac:dyDescent="0.2">
      <c r="A955">
        <v>9854</v>
      </c>
      <c r="B955" t="s">
        <v>88</v>
      </c>
      <c r="C955" t="s">
        <v>187</v>
      </c>
      <c r="D955" t="s">
        <v>32</v>
      </c>
      <c r="E955" t="s">
        <v>33</v>
      </c>
      <c r="G955" s="2" t="str">
        <f t="shared" si="14"/>
        <v>MIKE'S HARDER|HUDSON</v>
      </c>
    </row>
    <row r="956" spans="1:7" x14ac:dyDescent="0.2">
      <c r="A956">
        <v>9855</v>
      </c>
      <c r="B956" t="s">
        <v>90</v>
      </c>
      <c r="C956" t="s">
        <v>187</v>
      </c>
      <c r="D956" t="s">
        <v>32</v>
      </c>
      <c r="E956" t="s">
        <v>33</v>
      </c>
      <c r="G956" s="2" t="str">
        <f t="shared" si="14"/>
        <v>MXD COCKTAILS|HUDSON</v>
      </c>
    </row>
    <row r="957" spans="1:7" x14ac:dyDescent="0.2">
      <c r="A957">
        <v>9856</v>
      </c>
      <c r="B957" t="s">
        <v>51</v>
      </c>
      <c r="C957" t="s">
        <v>183</v>
      </c>
      <c r="D957" t="s">
        <v>32</v>
      </c>
      <c r="E957" t="s">
        <v>33</v>
      </c>
      <c r="G957" s="2" t="str">
        <f t="shared" si="14"/>
        <v>HACKER-PSCHORR|MORRIS 1</v>
      </c>
    </row>
    <row r="958" spans="1:7" x14ac:dyDescent="0.2">
      <c r="A958">
        <v>9857</v>
      </c>
      <c r="B958" t="s">
        <v>51</v>
      </c>
      <c r="C958" t="s">
        <v>184</v>
      </c>
      <c r="D958" t="s">
        <v>32</v>
      </c>
      <c r="E958" t="s">
        <v>33</v>
      </c>
      <c r="G958" s="2" t="str">
        <f t="shared" si="14"/>
        <v>HACKER-PSCHORR|SUSSEX</v>
      </c>
    </row>
    <row r="959" spans="1:7" x14ac:dyDescent="0.2">
      <c r="A959">
        <v>9858</v>
      </c>
      <c r="B959" t="s">
        <v>52</v>
      </c>
      <c r="C959" t="s">
        <v>183</v>
      </c>
      <c r="D959" t="s">
        <v>32</v>
      </c>
      <c r="E959" t="s">
        <v>33</v>
      </c>
      <c r="G959" s="2" t="str">
        <f t="shared" si="14"/>
        <v>PAULANER|MORRIS 1</v>
      </c>
    </row>
    <row r="960" spans="1:7" x14ac:dyDescent="0.2">
      <c r="A960">
        <v>9859</v>
      </c>
      <c r="B960" t="s">
        <v>52</v>
      </c>
      <c r="C960" t="s">
        <v>184</v>
      </c>
      <c r="D960" t="s">
        <v>32</v>
      </c>
      <c r="E960" t="s">
        <v>33</v>
      </c>
      <c r="G960" s="2" t="str">
        <f t="shared" si="14"/>
        <v>PAULANER|SUSSEX</v>
      </c>
    </row>
    <row r="961" spans="1:7" x14ac:dyDescent="0.2">
      <c r="A961">
        <v>9860</v>
      </c>
      <c r="B961" t="s">
        <v>58</v>
      </c>
      <c r="C961" t="s">
        <v>183</v>
      </c>
      <c r="D961" t="s">
        <v>32</v>
      </c>
      <c r="E961" t="s">
        <v>33</v>
      </c>
      <c r="G961" s="2" t="str">
        <f t="shared" si="14"/>
        <v>BANKS|MORRIS 1</v>
      </c>
    </row>
    <row r="962" spans="1:7" x14ac:dyDescent="0.2">
      <c r="A962">
        <v>9861</v>
      </c>
      <c r="B962" t="s">
        <v>199</v>
      </c>
      <c r="C962" t="s">
        <v>183</v>
      </c>
      <c r="D962" t="s">
        <v>32</v>
      </c>
      <c r="E962" t="s">
        <v>33</v>
      </c>
      <c r="G962" s="2" t="str">
        <f t="shared" si="14"/>
        <v>REKORDERLIG|MORRIS 1</v>
      </c>
    </row>
    <row r="963" spans="1:7" x14ac:dyDescent="0.2">
      <c r="A963">
        <v>9862</v>
      </c>
      <c r="B963" t="s">
        <v>56</v>
      </c>
      <c r="C963" t="s">
        <v>183</v>
      </c>
      <c r="D963" t="s">
        <v>32</v>
      </c>
      <c r="E963" t="s">
        <v>33</v>
      </c>
      <c r="G963" s="2" t="str">
        <f t="shared" si="14"/>
        <v>SHIPYARD|MORRIS 1</v>
      </c>
    </row>
    <row r="964" spans="1:7" x14ac:dyDescent="0.2">
      <c r="A964">
        <v>9863</v>
      </c>
      <c r="B964" t="s">
        <v>59</v>
      </c>
      <c r="C964" t="s">
        <v>183</v>
      </c>
      <c r="D964" t="s">
        <v>32</v>
      </c>
      <c r="E964" t="s">
        <v>33</v>
      </c>
      <c r="G964" s="2" t="str">
        <f t="shared" si="14"/>
        <v>WEIHENSTEPHANER|MORRIS 1</v>
      </c>
    </row>
    <row r="965" spans="1:7" x14ac:dyDescent="0.2">
      <c r="A965">
        <v>9864</v>
      </c>
      <c r="B965" t="s">
        <v>55</v>
      </c>
      <c r="C965" t="s">
        <v>183</v>
      </c>
      <c r="D965" t="s">
        <v>32</v>
      </c>
      <c r="E965" t="s">
        <v>33</v>
      </c>
      <c r="G965" s="2" t="str">
        <f t="shared" si="14"/>
        <v>UNIBROUE|MORRIS 1</v>
      </c>
    </row>
    <row r="966" spans="1:7" x14ac:dyDescent="0.2">
      <c r="A966">
        <v>9865</v>
      </c>
      <c r="B966" t="s">
        <v>55</v>
      </c>
      <c r="C966" t="s">
        <v>184</v>
      </c>
      <c r="D966" t="s">
        <v>32</v>
      </c>
      <c r="E966" t="s">
        <v>33</v>
      </c>
      <c r="G966" s="2" t="str">
        <f t="shared" si="14"/>
        <v>UNIBROUE|SUSSEX</v>
      </c>
    </row>
    <row r="967" spans="1:7" x14ac:dyDescent="0.2">
      <c r="A967">
        <v>9866</v>
      </c>
      <c r="B967" t="s">
        <v>270</v>
      </c>
      <c r="C967" t="s">
        <v>62</v>
      </c>
      <c r="D967" t="s">
        <v>32</v>
      </c>
      <c r="E967" t="s">
        <v>33</v>
      </c>
      <c r="G967" s="2" t="str">
        <f t="shared" ref="G967:G998" si="15">UPPER(B967)&amp;"|"&amp;UPPER(C967)</f>
        <v>CARBLISS|MORRIS 2</v>
      </c>
    </row>
    <row r="968" spans="1:7" x14ac:dyDescent="0.2">
      <c r="A968">
        <v>9867</v>
      </c>
      <c r="B968" t="s">
        <v>270</v>
      </c>
      <c r="C968" t="s">
        <v>187</v>
      </c>
      <c r="D968" t="s">
        <v>32</v>
      </c>
      <c r="E968" t="s">
        <v>33</v>
      </c>
      <c r="G968" s="2" t="str">
        <f t="shared" si="15"/>
        <v>CARBLISS|HUDSON</v>
      </c>
    </row>
    <row r="969" spans="1:7" x14ac:dyDescent="0.2">
      <c r="A969">
        <v>9868</v>
      </c>
      <c r="B969" t="s">
        <v>270</v>
      </c>
      <c r="C969" t="s">
        <v>188</v>
      </c>
      <c r="D969" t="s">
        <v>32</v>
      </c>
      <c r="E969" t="s">
        <v>33</v>
      </c>
      <c r="G969" s="2" t="str">
        <f t="shared" si="15"/>
        <v>CARBLISS|UNION</v>
      </c>
    </row>
    <row r="970" spans="1:7" x14ac:dyDescent="0.2">
      <c r="A970">
        <v>9869</v>
      </c>
      <c r="B970" t="s">
        <v>270</v>
      </c>
      <c r="C970" t="s">
        <v>189</v>
      </c>
      <c r="D970" t="s">
        <v>32</v>
      </c>
      <c r="E970" t="s">
        <v>33</v>
      </c>
      <c r="G970" s="2" t="str">
        <f t="shared" si="15"/>
        <v>CARBLISS|ESSEX</v>
      </c>
    </row>
    <row r="971" spans="1:7" x14ac:dyDescent="0.2">
      <c r="A971">
        <v>9870</v>
      </c>
      <c r="B971" t="s">
        <v>169</v>
      </c>
      <c r="C971" t="s">
        <v>31</v>
      </c>
      <c r="D971" t="s">
        <v>32</v>
      </c>
      <c r="E971" t="s">
        <v>33</v>
      </c>
      <c r="G971" s="2" t="str">
        <f t="shared" si="15"/>
        <v>CARTA BLANCA|MORRIS 3</v>
      </c>
    </row>
    <row r="972" spans="1:7" x14ac:dyDescent="0.2">
      <c r="A972">
        <v>9871</v>
      </c>
      <c r="B972" t="s">
        <v>167</v>
      </c>
      <c r="C972" t="s">
        <v>31</v>
      </c>
      <c r="D972" t="s">
        <v>32</v>
      </c>
      <c r="E972" t="s">
        <v>33</v>
      </c>
      <c r="G972" s="2" t="str">
        <f t="shared" si="15"/>
        <v>TECATE|MORRIS 3</v>
      </c>
    </row>
    <row r="973" spans="1:7" x14ac:dyDescent="0.2">
      <c r="A973">
        <v>9872</v>
      </c>
      <c r="B973" t="s">
        <v>170</v>
      </c>
      <c r="C973" t="s">
        <v>31</v>
      </c>
      <c r="D973" t="s">
        <v>32</v>
      </c>
      <c r="E973" t="s">
        <v>33</v>
      </c>
      <c r="G973" s="2" t="str">
        <f t="shared" si="15"/>
        <v>TECATE LIGHT|MORRIS 3</v>
      </c>
    </row>
    <row r="974" spans="1:7" x14ac:dyDescent="0.2">
      <c r="A974">
        <v>9873</v>
      </c>
      <c r="B974" t="s">
        <v>229</v>
      </c>
      <c r="C974" t="s">
        <v>31</v>
      </c>
      <c r="D974" t="s">
        <v>32</v>
      </c>
      <c r="E974" t="s">
        <v>33</v>
      </c>
      <c r="G974" s="2" t="str">
        <f t="shared" si="15"/>
        <v>DOS EQUIS|MORRIS 3</v>
      </c>
    </row>
    <row r="975" spans="1:7" x14ac:dyDescent="0.2">
      <c r="A975">
        <v>9874</v>
      </c>
      <c r="B975" t="s">
        <v>271</v>
      </c>
      <c r="C975" t="s">
        <v>62</v>
      </c>
      <c r="D975" t="s">
        <v>32</v>
      </c>
      <c r="E975" t="s">
        <v>33</v>
      </c>
      <c r="G975" s="2" t="str">
        <f t="shared" si="15"/>
        <v>YAVE TEQUILA|MORRIS 2</v>
      </c>
    </row>
    <row r="976" spans="1:7" x14ac:dyDescent="0.2">
      <c r="A976">
        <v>9875</v>
      </c>
      <c r="B976" t="s">
        <v>271</v>
      </c>
      <c r="C976" t="s">
        <v>187</v>
      </c>
      <c r="D976" t="s">
        <v>32</v>
      </c>
      <c r="E976" t="s">
        <v>33</v>
      </c>
      <c r="G976" s="2" t="str">
        <f t="shared" si="15"/>
        <v>YAVE TEQUILA|HUDSON</v>
      </c>
    </row>
    <row r="977" spans="1:7" x14ac:dyDescent="0.2">
      <c r="A977">
        <v>9876</v>
      </c>
      <c r="B977" t="s">
        <v>271</v>
      </c>
      <c r="C977" t="s">
        <v>188</v>
      </c>
      <c r="D977" t="s">
        <v>32</v>
      </c>
      <c r="E977" t="s">
        <v>33</v>
      </c>
      <c r="G977" s="2" t="str">
        <f t="shared" si="15"/>
        <v>YAVE TEQUILA|UNION</v>
      </c>
    </row>
    <row r="978" spans="1:7" x14ac:dyDescent="0.2">
      <c r="A978">
        <v>9877</v>
      </c>
      <c r="B978" t="s">
        <v>271</v>
      </c>
      <c r="C978" t="s">
        <v>189</v>
      </c>
      <c r="D978" t="s">
        <v>32</v>
      </c>
      <c r="E978" t="s">
        <v>33</v>
      </c>
      <c r="G978" s="2" t="str">
        <f t="shared" si="15"/>
        <v>YAVE TEQUILA|ESSEX</v>
      </c>
    </row>
    <row r="979" spans="1:7" x14ac:dyDescent="0.2">
      <c r="A979">
        <v>9878</v>
      </c>
      <c r="B979" t="s">
        <v>272</v>
      </c>
      <c r="C979" t="s">
        <v>189</v>
      </c>
      <c r="D979" t="s">
        <v>32</v>
      </c>
      <c r="E979" t="s">
        <v>33</v>
      </c>
      <c r="G979" s="2" t="str">
        <f t="shared" si="15"/>
        <v>MONACO|ESSEX</v>
      </c>
    </row>
    <row r="980" spans="1:7" x14ac:dyDescent="0.2">
      <c r="A980">
        <v>9879</v>
      </c>
      <c r="B980" t="s">
        <v>272</v>
      </c>
      <c r="C980" t="s">
        <v>187</v>
      </c>
      <c r="D980" t="s">
        <v>32</v>
      </c>
      <c r="E980" t="s">
        <v>33</v>
      </c>
      <c r="G980" s="2" t="str">
        <f t="shared" si="15"/>
        <v>MONACO|HUDSON</v>
      </c>
    </row>
    <row r="981" spans="1:7" x14ac:dyDescent="0.2">
      <c r="A981">
        <v>9880</v>
      </c>
      <c r="B981" t="s">
        <v>272</v>
      </c>
      <c r="C981" t="s">
        <v>188</v>
      </c>
      <c r="D981" t="s">
        <v>32</v>
      </c>
      <c r="E981" t="s">
        <v>33</v>
      </c>
      <c r="G981" s="2" t="str">
        <f t="shared" si="15"/>
        <v>MONACO|UNION</v>
      </c>
    </row>
    <row r="982" spans="1:7" x14ac:dyDescent="0.2">
      <c r="A982">
        <v>9881</v>
      </c>
      <c r="B982" t="s">
        <v>272</v>
      </c>
      <c r="C982" t="s">
        <v>62</v>
      </c>
      <c r="D982" t="s">
        <v>32</v>
      </c>
      <c r="E982" t="s">
        <v>33</v>
      </c>
      <c r="G982" s="2" t="str">
        <f t="shared" si="15"/>
        <v>MONACO|MORRIS 2</v>
      </c>
    </row>
    <row r="983" spans="1:7" x14ac:dyDescent="0.2">
      <c r="A983">
        <v>9882</v>
      </c>
      <c r="B983" t="s">
        <v>273</v>
      </c>
      <c r="C983" t="s">
        <v>189</v>
      </c>
      <c r="D983" t="s">
        <v>32</v>
      </c>
      <c r="E983" t="s">
        <v>33</v>
      </c>
      <c r="G983" s="2" t="str">
        <f t="shared" si="15"/>
        <v>LE GRAND NOIR|ESSEX</v>
      </c>
    </row>
    <row r="984" spans="1:7" x14ac:dyDescent="0.2">
      <c r="A984">
        <v>9883</v>
      </c>
      <c r="B984" t="s">
        <v>273</v>
      </c>
      <c r="C984" t="s">
        <v>187</v>
      </c>
      <c r="D984" t="s">
        <v>32</v>
      </c>
      <c r="E984" t="s">
        <v>33</v>
      </c>
      <c r="G984" s="2" t="str">
        <f t="shared" si="15"/>
        <v>LE GRAND NOIR|HUDSON</v>
      </c>
    </row>
    <row r="985" spans="1:7" x14ac:dyDescent="0.2">
      <c r="A985">
        <v>9884</v>
      </c>
      <c r="B985" t="s">
        <v>273</v>
      </c>
      <c r="C985" t="s">
        <v>188</v>
      </c>
      <c r="D985" t="s">
        <v>32</v>
      </c>
      <c r="E985" t="s">
        <v>33</v>
      </c>
      <c r="G985" s="2" t="str">
        <f t="shared" si="15"/>
        <v>LE GRAND NOIR|UNION</v>
      </c>
    </row>
    <row r="986" spans="1:7" x14ac:dyDescent="0.2">
      <c r="A986">
        <v>9885</v>
      </c>
      <c r="B986" t="s">
        <v>273</v>
      </c>
      <c r="C986" t="s">
        <v>62</v>
      </c>
      <c r="D986" t="s">
        <v>32</v>
      </c>
      <c r="E986" t="s">
        <v>33</v>
      </c>
      <c r="G986" s="2" t="str">
        <f t="shared" si="15"/>
        <v>LE GRAND NOIR|MORRIS 2</v>
      </c>
    </row>
    <row r="987" spans="1:7" x14ac:dyDescent="0.2">
      <c r="A987">
        <v>9886</v>
      </c>
      <c r="B987" t="s">
        <v>274</v>
      </c>
      <c r="C987" t="s">
        <v>189</v>
      </c>
      <c r="D987" t="s">
        <v>32</v>
      </c>
      <c r="E987" t="s">
        <v>33</v>
      </c>
      <c r="G987" s="2" t="str">
        <f t="shared" si="15"/>
        <v>OVERSTONE|ESSEX</v>
      </c>
    </row>
    <row r="988" spans="1:7" x14ac:dyDescent="0.2">
      <c r="A988">
        <v>9887</v>
      </c>
      <c r="B988" t="s">
        <v>274</v>
      </c>
      <c r="C988" t="s">
        <v>187</v>
      </c>
      <c r="D988" t="s">
        <v>32</v>
      </c>
      <c r="E988" t="s">
        <v>33</v>
      </c>
      <c r="G988" s="2" t="str">
        <f t="shared" si="15"/>
        <v>OVERSTONE|HUDSON</v>
      </c>
    </row>
    <row r="989" spans="1:7" x14ac:dyDescent="0.2">
      <c r="A989">
        <v>9888</v>
      </c>
      <c r="B989" t="s">
        <v>274</v>
      </c>
      <c r="C989" t="s">
        <v>188</v>
      </c>
      <c r="D989" t="s">
        <v>32</v>
      </c>
      <c r="E989" t="s">
        <v>33</v>
      </c>
      <c r="G989" s="2" t="str">
        <f t="shared" si="15"/>
        <v>OVERSTONE|UNION</v>
      </c>
    </row>
    <row r="990" spans="1:7" x14ac:dyDescent="0.2">
      <c r="A990">
        <v>9889</v>
      </c>
      <c r="B990" t="s">
        <v>274</v>
      </c>
      <c r="C990" t="s">
        <v>62</v>
      </c>
      <c r="D990" t="s">
        <v>32</v>
      </c>
      <c r="E990" t="s">
        <v>33</v>
      </c>
      <c r="G990" s="2" t="str">
        <f t="shared" si="15"/>
        <v>OVERSTONE|MORRIS 2</v>
      </c>
    </row>
    <row r="991" spans="1:7" x14ac:dyDescent="0.2">
      <c r="A991">
        <v>9890</v>
      </c>
      <c r="B991" t="s">
        <v>275</v>
      </c>
      <c r="C991" t="s">
        <v>189</v>
      </c>
      <c r="D991" t="s">
        <v>32</v>
      </c>
      <c r="E991" t="s">
        <v>33</v>
      </c>
      <c r="G991" s="2" t="str">
        <f t="shared" si="15"/>
        <v>GIONELLI|ESSEX</v>
      </c>
    </row>
    <row r="992" spans="1:7" x14ac:dyDescent="0.2">
      <c r="A992">
        <v>9891</v>
      </c>
      <c r="B992" t="s">
        <v>275</v>
      </c>
      <c r="C992" t="s">
        <v>187</v>
      </c>
      <c r="D992" t="s">
        <v>32</v>
      </c>
      <c r="E992" t="s">
        <v>33</v>
      </c>
      <c r="G992" s="2" t="str">
        <f t="shared" si="15"/>
        <v>GIONELLI|HUDSON</v>
      </c>
    </row>
    <row r="993" spans="1:7" x14ac:dyDescent="0.2">
      <c r="A993">
        <v>9892</v>
      </c>
      <c r="B993" t="s">
        <v>275</v>
      </c>
      <c r="C993" t="s">
        <v>188</v>
      </c>
      <c r="D993" t="s">
        <v>32</v>
      </c>
      <c r="E993" t="s">
        <v>33</v>
      </c>
      <c r="G993" s="2" t="str">
        <f t="shared" si="15"/>
        <v>GIONELLI|UNION</v>
      </c>
    </row>
    <row r="994" spans="1:7" x14ac:dyDescent="0.2">
      <c r="A994">
        <v>9893</v>
      </c>
      <c r="B994" t="s">
        <v>275</v>
      </c>
      <c r="C994" t="s">
        <v>62</v>
      </c>
      <c r="D994" t="s">
        <v>32</v>
      </c>
      <c r="E994" t="s">
        <v>33</v>
      </c>
      <c r="G994" s="2" t="str">
        <f t="shared" si="15"/>
        <v>GIONELLI|MORRIS 2</v>
      </c>
    </row>
    <row r="995" spans="1:7" x14ac:dyDescent="0.2">
      <c r="A995">
        <v>9894</v>
      </c>
      <c r="B995" t="s">
        <v>276</v>
      </c>
      <c r="C995" t="s">
        <v>189</v>
      </c>
      <c r="D995" t="s">
        <v>32</v>
      </c>
      <c r="E995" t="s">
        <v>33</v>
      </c>
      <c r="G995" s="2" t="str">
        <f t="shared" si="15"/>
        <v>BEVIAMO|ESSEX</v>
      </c>
    </row>
    <row r="996" spans="1:7" x14ac:dyDescent="0.2">
      <c r="A996">
        <v>9895</v>
      </c>
      <c r="B996" t="s">
        <v>276</v>
      </c>
      <c r="C996" t="s">
        <v>187</v>
      </c>
      <c r="D996" t="s">
        <v>32</v>
      </c>
      <c r="E996" t="s">
        <v>33</v>
      </c>
      <c r="G996" s="2" t="str">
        <f t="shared" si="15"/>
        <v>BEVIAMO|HUDSON</v>
      </c>
    </row>
    <row r="997" spans="1:7" x14ac:dyDescent="0.2">
      <c r="A997">
        <v>9896</v>
      </c>
      <c r="B997" t="s">
        <v>276</v>
      </c>
      <c r="C997" t="s">
        <v>188</v>
      </c>
      <c r="D997" t="s">
        <v>32</v>
      </c>
      <c r="E997" t="s">
        <v>33</v>
      </c>
      <c r="G997" s="2" t="str">
        <f t="shared" si="15"/>
        <v>BEVIAMO|UNION</v>
      </c>
    </row>
    <row r="998" spans="1:7" x14ac:dyDescent="0.2">
      <c r="A998">
        <v>9897</v>
      </c>
      <c r="B998" t="s">
        <v>276</v>
      </c>
      <c r="C998" t="s">
        <v>62</v>
      </c>
      <c r="D998" t="s">
        <v>32</v>
      </c>
      <c r="E998" t="s">
        <v>33</v>
      </c>
      <c r="G998" s="2" t="str">
        <f t="shared" si="15"/>
        <v>BEVIAMO|MORRIS 2</v>
      </c>
    </row>
  </sheetData>
  <autoFilter ref="A5:E998" xr:uid="{E0147D7B-A85C-460F-84D1-1B638B224F3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B40F3-1589-430D-ADBE-ECAED7372311}">
  <dimension ref="A1:B296"/>
  <sheetViews>
    <sheetView workbookViewId="0">
      <selection sqref="A1:B296"/>
    </sheetView>
  </sheetViews>
  <sheetFormatPr defaultRowHeight="12.75" x14ac:dyDescent="0.2"/>
  <sheetData>
    <row r="1" spans="1:2" x14ac:dyDescent="0.2">
      <c r="A1" t="s">
        <v>0</v>
      </c>
      <c r="B1" t="s">
        <v>5237</v>
      </c>
    </row>
    <row r="2" spans="1:2" x14ac:dyDescent="0.2">
      <c r="A2" t="s">
        <v>64</v>
      </c>
      <c r="B2" t="s">
        <v>5238</v>
      </c>
    </row>
    <row r="3" spans="1:2" x14ac:dyDescent="0.2">
      <c r="A3" t="s">
        <v>111</v>
      </c>
      <c r="B3" t="s">
        <v>5238</v>
      </c>
    </row>
    <row r="4" spans="1:2" x14ac:dyDescent="0.2">
      <c r="A4" t="s">
        <v>141</v>
      </c>
      <c r="B4" t="s">
        <v>5238</v>
      </c>
    </row>
    <row r="5" spans="1:2" x14ac:dyDescent="0.2">
      <c r="A5" t="s">
        <v>211</v>
      </c>
      <c r="B5" t="s">
        <v>5238</v>
      </c>
    </row>
    <row r="6" spans="1:2" x14ac:dyDescent="0.2">
      <c r="A6" t="s">
        <v>208</v>
      </c>
      <c r="B6" t="s">
        <v>5238</v>
      </c>
    </row>
    <row r="7" spans="1:2" x14ac:dyDescent="0.2">
      <c r="A7" t="s">
        <v>221</v>
      </c>
      <c r="B7" t="s">
        <v>5238</v>
      </c>
    </row>
    <row r="8" spans="1:2" x14ac:dyDescent="0.2">
      <c r="A8" t="s">
        <v>222</v>
      </c>
      <c r="B8" t="s">
        <v>5238</v>
      </c>
    </row>
    <row r="9" spans="1:2" x14ac:dyDescent="0.2">
      <c r="A9" t="s">
        <v>99</v>
      </c>
      <c r="B9" t="s">
        <v>5238</v>
      </c>
    </row>
    <row r="10" spans="1:2" x14ac:dyDescent="0.2">
      <c r="A10" t="s">
        <v>200</v>
      </c>
      <c r="B10" t="s">
        <v>5238</v>
      </c>
    </row>
    <row r="11" spans="1:2" x14ac:dyDescent="0.2">
      <c r="A11" t="s">
        <v>89</v>
      </c>
      <c r="B11" t="s">
        <v>5238</v>
      </c>
    </row>
    <row r="12" spans="1:2" x14ac:dyDescent="0.2">
      <c r="A12" t="s">
        <v>93</v>
      </c>
      <c r="B12" t="s">
        <v>5238</v>
      </c>
    </row>
    <row r="13" spans="1:2" x14ac:dyDescent="0.2">
      <c r="A13" t="s">
        <v>109</v>
      </c>
      <c r="B13" t="s">
        <v>5238</v>
      </c>
    </row>
    <row r="14" spans="1:2" x14ac:dyDescent="0.2">
      <c r="A14" t="s">
        <v>94</v>
      </c>
      <c r="B14" t="s">
        <v>5238</v>
      </c>
    </row>
    <row r="15" spans="1:2" x14ac:dyDescent="0.2">
      <c r="A15" t="s">
        <v>73</v>
      </c>
      <c r="B15" t="s">
        <v>5238</v>
      </c>
    </row>
    <row r="16" spans="1:2" x14ac:dyDescent="0.2">
      <c r="A16" t="s">
        <v>74</v>
      </c>
      <c r="B16" t="s">
        <v>5238</v>
      </c>
    </row>
    <row r="17" spans="1:2" x14ac:dyDescent="0.2">
      <c r="A17" t="s">
        <v>75</v>
      </c>
      <c r="B17" t="s">
        <v>5238</v>
      </c>
    </row>
    <row r="18" spans="1:2" x14ac:dyDescent="0.2">
      <c r="A18" t="s">
        <v>213</v>
      </c>
      <c r="B18" t="s">
        <v>5238</v>
      </c>
    </row>
    <row r="19" spans="1:2" x14ac:dyDescent="0.2">
      <c r="A19" t="s">
        <v>81</v>
      </c>
      <c r="B19" t="s">
        <v>5238</v>
      </c>
    </row>
    <row r="20" spans="1:2" x14ac:dyDescent="0.2">
      <c r="A20" t="s">
        <v>82</v>
      </c>
      <c r="B20" t="s">
        <v>5238</v>
      </c>
    </row>
    <row r="21" spans="1:2" x14ac:dyDescent="0.2">
      <c r="A21" t="s">
        <v>218</v>
      </c>
      <c r="B21" t="s">
        <v>5238</v>
      </c>
    </row>
    <row r="22" spans="1:2" x14ac:dyDescent="0.2">
      <c r="A22" t="s">
        <v>5239</v>
      </c>
      <c r="B22" t="s">
        <v>5238</v>
      </c>
    </row>
    <row r="23" spans="1:2" x14ac:dyDescent="0.2">
      <c r="A23" t="s">
        <v>132</v>
      </c>
      <c r="B23" t="s">
        <v>5238</v>
      </c>
    </row>
    <row r="24" spans="1:2" x14ac:dyDescent="0.2">
      <c r="A24" t="s">
        <v>216</v>
      </c>
      <c r="B24" t="s">
        <v>5238</v>
      </c>
    </row>
    <row r="25" spans="1:2" x14ac:dyDescent="0.2">
      <c r="A25" t="s">
        <v>246</v>
      </c>
      <c r="B25" t="s">
        <v>5238</v>
      </c>
    </row>
    <row r="26" spans="1:2" x14ac:dyDescent="0.2">
      <c r="A26" t="s">
        <v>70</v>
      </c>
      <c r="B26" t="s">
        <v>5238</v>
      </c>
    </row>
    <row r="27" spans="1:2" x14ac:dyDescent="0.2">
      <c r="A27" t="s">
        <v>219</v>
      </c>
      <c r="B27" t="s">
        <v>5238</v>
      </c>
    </row>
    <row r="28" spans="1:2" x14ac:dyDescent="0.2">
      <c r="A28" t="s">
        <v>249</v>
      </c>
      <c r="B28" t="s">
        <v>5238</v>
      </c>
    </row>
    <row r="29" spans="1:2" x14ac:dyDescent="0.2">
      <c r="A29" t="s">
        <v>5240</v>
      </c>
      <c r="B29" t="s">
        <v>5238</v>
      </c>
    </row>
    <row r="30" spans="1:2" x14ac:dyDescent="0.2">
      <c r="A30" t="s">
        <v>133</v>
      </c>
      <c r="B30" t="s">
        <v>5238</v>
      </c>
    </row>
    <row r="31" spans="1:2" x14ac:dyDescent="0.2">
      <c r="A31" t="s">
        <v>230</v>
      </c>
      <c r="B31" t="s">
        <v>5238</v>
      </c>
    </row>
    <row r="32" spans="1:2" x14ac:dyDescent="0.2">
      <c r="A32" t="s">
        <v>248</v>
      </c>
      <c r="B32" t="s">
        <v>5238</v>
      </c>
    </row>
    <row r="33" spans="1:2" x14ac:dyDescent="0.2">
      <c r="A33" t="s">
        <v>134</v>
      </c>
      <c r="B33" t="s">
        <v>5238</v>
      </c>
    </row>
    <row r="34" spans="1:2" x14ac:dyDescent="0.2">
      <c r="A34" t="s">
        <v>115</v>
      </c>
      <c r="B34" t="s">
        <v>5238</v>
      </c>
    </row>
    <row r="35" spans="1:2" x14ac:dyDescent="0.2">
      <c r="A35" t="s">
        <v>217</v>
      </c>
      <c r="B35" t="s">
        <v>5238</v>
      </c>
    </row>
    <row r="36" spans="1:2" x14ac:dyDescent="0.2">
      <c r="A36" t="s">
        <v>207</v>
      </c>
      <c r="B36" t="s">
        <v>5238</v>
      </c>
    </row>
    <row r="37" spans="1:2" x14ac:dyDescent="0.2">
      <c r="A37" t="s">
        <v>261</v>
      </c>
      <c r="B37" t="s">
        <v>5238</v>
      </c>
    </row>
    <row r="38" spans="1:2" x14ac:dyDescent="0.2">
      <c r="A38" t="s">
        <v>212</v>
      </c>
      <c r="B38" t="s">
        <v>5238</v>
      </c>
    </row>
    <row r="39" spans="1:2" x14ac:dyDescent="0.2">
      <c r="A39" t="s">
        <v>5241</v>
      </c>
      <c r="B39" t="s">
        <v>5238</v>
      </c>
    </row>
    <row r="40" spans="1:2" x14ac:dyDescent="0.2">
      <c r="A40" t="s">
        <v>96</v>
      </c>
      <c r="B40" t="s">
        <v>5238</v>
      </c>
    </row>
    <row r="41" spans="1:2" x14ac:dyDescent="0.2">
      <c r="A41" t="s">
        <v>103</v>
      </c>
      <c r="B41" t="s">
        <v>5238</v>
      </c>
    </row>
    <row r="42" spans="1:2" x14ac:dyDescent="0.2">
      <c r="A42" t="s">
        <v>267</v>
      </c>
      <c r="B42" t="s">
        <v>5238</v>
      </c>
    </row>
    <row r="43" spans="1:2" x14ac:dyDescent="0.2">
      <c r="A43" t="s">
        <v>268</v>
      </c>
      <c r="B43" t="s">
        <v>5238</v>
      </c>
    </row>
    <row r="44" spans="1:2" x14ac:dyDescent="0.2">
      <c r="A44" t="s">
        <v>129</v>
      </c>
      <c r="B44" t="s">
        <v>5238</v>
      </c>
    </row>
    <row r="45" spans="1:2" x14ac:dyDescent="0.2">
      <c r="A45" t="s">
        <v>266</v>
      </c>
      <c r="B45" t="s">
        <v>5238</v>
      </c>
    </row>
    <row r="46" spans="1:2" x14ac:dyDescent="0.2">
      <c r="A46" t="s">
        <v>87</v>
      </c>
      <c r="B46" t="s">
        <v>5238</v>
      </c>
    </row>
    <row r="47" spans="1:2" x14ac:dyDescent="0.2">
      <c r="A47" t="s">
        <v>260</v>
      </c>
      <c r="B47" t="s">
        <v>5238</v>
      </c>
    </row>
    <row r="48" spans="1:2" x14ac:dyDescent="0.2">
      <c r="A48" t="s">
        <v>88</v>
      </c>
      <c r="B48" t="s">
        <v>5238</v>
      </c>
    </row>
    <row r="49" spans="1:2" x14ac:dyDescent="0.2">
      <c r="A49" t="s">
        <v>124</v>
      </c>
      <c r="B49" t="s">
        <v>5238</v>
      </c>
    </row>
    <row r="50" spans="1:2" x14ac:dyDescent="0.2">
      <c r="A50" t="s">
        <v>122</v>
      </c>
      <c r="B50" t="s">
        <v>5238</v>
      </c>
    </row>
    <row r="51" spans="1:2" x14ac:dyDescent="0.2">
      <c r="A51" t="s">
        <v>120</v>
      </c>
      <c r="B51" t="s">
        <v>5238</v>
      </c>
    </row>
    <row r="52" spans="1:2" x14ac:dyDescent="0.2">
      <c r="A52" t="s">
        <v>127</v>
      </c>
      <c r="B52" t="s">
        <v>5238</v>
      </c>
    </row>
    <row r="53" spans="1:2" x14ac:dyDescent="0.2">
      <c r="A53" t="s">
        <v>128</v>
      </c>
      <c r="B53" t="s">
        <v>5238</v>
      </c>
    </row>
    <row r="54" spans="1:2" x14ac:dyDescent="0.2">
      <c r="A54" t="s">
        <v>205</v>
      </c>
      <c r="B54" t="s">
        <v>5238</v>
      </c>
    </row>
    <row r="55" spans="1:2" x14ac:dyDescent="0.2">
      <c r="A55" t="s">
        <v>80</v>
      </c>
      <c r="B55" t="s">
        <v>5238</v>
      </c>
    </row>
    <row r="56" spans="1:2" x14ac:dyDescent="0.2">
      <c r="A56" t="s">
        <v>78</v>
      </c>
      <c r="B56" t="s">
        <v>5238</v>
      </c>
    </row>
    <row r="57" spans="1:2" x14ac:dyDescent="0.2">
      <c r="A57" t="s">
        <v>77</v>
      </c>
      <c r="B57" t="s">
        <v>5238</v>
      </c>
    </row>
    <row r="58" spans="1:2" x14ac:dyDescent="0.2">
      <c r="A58" t="s">
        <v>228</v>
      </c>
      <c r="B58" t="s">
        <v>5238</v>
      </c>
    </row>
    <row r="59" spans="1:2" x14ac:dyDescent="0.2">
      <c r="A59" t="s">
        <v>106</v>
      </c>
      <c r="B59" t="s">
        <v>5238</v>
      </c>
    </row>
    <row r="60" spans="1:2" x14ac:dyDescent="0.2">
      <c r="A60" t="s">
        <v>151</v>
      </c>
      <c r="B60" t="s">
        <v>5238</v>
      </c>
    </row>
    <row r="61" spans="1:2" x14ac:dyDescent="0.2">
      <c r="A61" t="s">
        <v>90</v>
      </c>
      <c r="B61" t="s">
        <v>5238</v>
      </c>
    </row>
    <row r="62" spans="1:2" x14ac:dyDescent="0.2">
      <c r="A62" t="s">
        <v>226</v>
      </c>
      <c r="B62" t="s">
        <v>5238</v>
      </c>
    </row>
    <row r="63" spans="1:2" x14ac:dyDescent="0.2">
      <c r="A63" t="s">
        <v>145</v>
      </c>
      <c r="B63" t="s">
        <v>5238</v>
      </c>
    </row>
    <row r="64" spans="1:2" x14ac:dyDescent="0.2">
      <c r="A64" t="s">
        <v>146</v>
      </c>
      <c r="B64" t="s">
        <v>5238</v>
      </c>
    </row>
    <row r="65" spans="1:2" x14ac:dyDescent="0.2">
      <c r="A65" t="s">
        <v>225</v>
      </c>
      <c r="B65" t="s">
        <v>5238</v>
      </c>
    </row>
    <row r="66" spans="1:2" x14ac:dyDescent="0.2">
      <c r="A66" t="s">
        <v>224</v>
      </c>
      <c r="B66" t="s">
        <v>5238</v>
      </c>
    </row>
    <row r="67" spans="1:2" x14ac:dyDescent="0.2">
      <c r="A67" t="s">
        <v>247</v>
      </c>
      <c r="B67" t="s">
        <v>5238</v>
      </c>
    </row>
    <row r="68" spans="1:2" x14ac:dyDescent="0.2">
      <c r="A68" t="s">
        <v>139</v>
      </c>
      <c r="B68" t="s">
        <v>5238</v>
      </c>
    </row>
    <row r="69" spans="1:2" x14ac:dyDescent="0.2">
      <c r="A69" t="s">
        <v>253</v>
      </c>
      <c r="B69" t="s">
        <v>5238</v>
      </c>
    </row>
    <row r="70" spans="1:2" x14ac:dyDescent="0.2">
      <c r="A70" t="s">
        <v>76</v>
      </c>
      <c r="B70" t="s">
        <v>5238</v>
      </c>
    </row>
    <row r="71" spans="1:2" x14ac:dyDescent="0.2">
      <c r="A71" t="s">
        <v>136</v>
      </c>
      <c r="B71" t="s">
        <v>5238</v>
      </c>
    </row>
    <row r="72" spans="1:2" x14ac:dyDescent="0.2">
      <c r="A72" t="s">
        <v>137</v>
      </c>
      <c r="B72" t="s">
        <v>5238</v>
      </c>
    </row>
    <row r="73" spans="1:2" x14ac:dyDescent="0.2">
      <c r="A73" t="s">
        <v>262</v>
      </c>
      <c r="B73" t="s">
        <v>5238</v>
      </c>
    </row>
    <row r="74" spans="1:2" x14ac:dyDescent="0.2">
      <c r="A74" t="s">
        <v>152</v>
      </c>
      <c r="B74" t="s">
        <v>5238</v>
      </c>
    </row>
    <row r="75" spans="1:2" x14ac:dyDescent="0.2">
      <c r="A75" t="s">
        <v>5242</v>
      </c>
      <c r="B75" t="s">
        <v>5238</v>
      </c>
    </row>
    <row r="76" spans="1:2" x14ac:dyDescent="0.2">
      <c r="A76" t="s">
        <v>104</v>
      </c>
      <c r="B76" t="s">
        <v>5238</v>
      </c>
    </row>
    <row r="77" spans="1:2" x14ac:dyDescent="0.2">
      <c r="A77" t="s">
        <v>113</v>
      </c>
      <c r="B77" t="s">
        <v>5238</v>
      </c>
    </row>
    <row r="78" spans="1:2" x14ac:dyDescent="0.2">
      <c r="A78" t="s">
        <v>61</v>
      </c>
      <c r="B78" t="s">
        <v>5238</v>
      </c>
    </row>
    <row r="79" spans="1:2" x14ac:dyDescent="0.2">
      <c r="A79" t="s">
        <v>196</v>
      </c>
      <c r="B79" t="s">
        <v>5238</v>
      </c>
    </row>
    <row r="80" spans="1:2" x14ac:dyDescent="0.2">
      <c r="A80" t="s">
        <v>147</v>
      </c>
      <c r="B80" t="s">
        <v>5238</v>
      </c>
    </row>
    <row r="81" spans="1:2" x14ac:dyDescent="0.2">
      <c r="A81" t="s">
        <v>148</v>
      </c>
      <c r="B81" t="s">
        <v>5238</v>
      </c>
    </row>
    <row r="82" spans="1:2" x14ac:dyDescent="0.2">
      <c r="A82" t="s">
        <v>220</v>
      </c>
      <c r="B82" t="s">
        <v>5238</v>
      </c>
    </row>
    <row r="83" spans="1:2" x14ac:dyDescent="0.2">
      <c r="A83" t="s">
        <v>269</v>
      </c>
      <c r="B83" t="s">
        <v>5238</v>
      </c>
    </row>
    <row r="84" spans="1:2" x14ac:dyDescent="0.2">
      <c r="A84" t="s">
        <v>244</v>
      </c>
      <c r="B84" t="s">
        <v>5238</v>
      </c>
    </row>
    <row r="85" spans="1:2" x14ac:dyDescent="0.2">
      <c r="A85" t="s">
        <v>140</v>
      </c>
      <c r="B85" t="s">
        <v>5238</v>
      </c>
    </row>
    <row r="86" spans="1:2" x14ac:dyDescent="0.2">
      <c r="A86" t="s">
        <v>108</v>
      </c>
      <c r="B86" t="s">
        <v>5238</v>
      </c>
    </row>
    <row r="87" spans="1:2" x14ac:dyDescent="0.2">
      <c r="A87" t="s">
        <v>110</v>
      </c>
      <c r="B87" t="s">
        <v>5238</v>
      </c>
    </row>
    <row r="88" spans="1:2" x14ac:dyDescent="0.2">
      <c r="A88" t="s">
        <v>242</v>
      </c>
      <c r="B88" t="s">
        <v>5238</v>
      </c>
    </row>
    <row r="89" spans="1:2" x14ac:dyDescent="0.2">
      <c r="A89" t="s">
        <v>245</v>
      </c>
      <c r="B89" t="s">
        <v>5238</v>
      </c>
    </row>
    <row r="90" spans="1:2" x14ac:dyDescent="0.2">
      <c r="A90" t="s">
        <v>254</v>
      </c>
      <c r="B90" t="s">
        <v>5238</v>
      </c>
    </row>
    <row r="91" spans="1:2" x14ac:dyDescent="0.2">
      <c r="A91" t="s">
        <v>67</v>
      </c>
      <c r="B91" t="s">
        <v>5238</v>
      </c>
    </row>
    <row r="92" spans="1:2" x14ac:dyDescent="0.2">
      <c r="A92" t="s">
        <v>65</v>
      </c>
      <c r="B92" t="s">
        <v>5238</v>
      </c>
    </row>
    <row r="93" spans="1:2" x14ac:dyDescent="0.2">
      <c r="A93" t="s">
        <v>138</v>
      </c>
      <c r="B93" t="s">
        <v>5238</v>
      </c>
    </row>
    <row r="94" spans="1:2" x14ac:dyDescent="0.2">
      <c r="A94" t="s">
        <v>79</v>
      </c>
      <c r="B94" t="s">
        <v>5238</v>
      </c>
    </row>
    <row r="95" spans="1:2" x14ac:dyDescent="0.2">
      <c r="A95" t="s">
        <v>144</v>
      </c>
      <c r="B95" t="s">
        <v>5238</v>
      </c>
    </row>
    <row r="96" spans="1:2" x14ac:dyDescent="0.2">
      <c r="A96" t="s">
        <v>92</v>
      </c>
      <c r="B96" t="s">
        <v>5238</v>
      </c>
    </row>
    <row r="97" spans="1:2" x14ac:dyDescent="0.2">
      <c r="A97" t="s">
        <v>231</v>
      </c>
      <c r="B97" t="s">
        <v>5238</v>
      </c>
    </row>
    <row r="98" spans="1:2" x14ac:dyDescent="0.2">
      <c r="A98" t="s">
        <v>153</v>
      </c>
      <c r="B98" t="s">
        <v>5238</v>
      </c>
    </row>
    <row r="99" spans="1:2" x14ac:dyDescent="0.2">
      <c r="A99" t="s">
        <v>233</v>
      </c>
      <c r="B99" t="s">
        <v>5238</v>
      </c>
    </row>
    <row r="100" spans="1:2" x14ac:dyDescent="0.2">
      <c r="A100" t="s">
        <v>234</v>
      </c>
      <c r="B100" t="s">
        <v>5238</v>
      </c>
    </row>
    <row r="101" spans="1:2" x14ac:dyDescent="0.2">
      <c r="A101" t="s">
        <v>236</v>
      </c>
      <c r="B101" t="s">
        <v>5238</v>
      </c>
    </row>
    <row r="102" spans="1:2" x14ac:dyDescent="0.2">
      <c r="A102" t="s">
        <v>237</v>
      </c>
      <c r="B102" t="s">
        <v>5238</v>
      </c>
    </row>
    <row r="103" spans="1:2" x14ac:dyDescent="0.2">
      <c r="A103" t="s">
        <v>238</v>
      </c>
      <c r="B103" t="s">
        <v>5238</v>
      </c>
    </row>
    <row r="104" spans="1:2" x14ac:dyDescent="0.2">
      <c r="A104" t="s">
        <v>169</v>
      </c>
      <c r="B104" t="s">
        <v>5243</v>
      </c>
    </row>
    <row r="105" spans="1:2" x14ac:dyDescent="0.2">
      <c r="A105" t="s">
        <v>229</v>
      </c>
      <c r="B105" t="s">
        <v>5243</v>
      </c>
    </row>
    <row r="106" spans="1:2" x14ac:dyDescent="0.2">
      <c r="A106" t="s">
        <v>172</v>
      </c>
      <c r="B106" t="s">
        <v>5243</v>
      </c>
    </row>
    <row r="107" spans="1:2" x14ac:dyDescent="0.2">
      <c r="A107" t="s">
        <v>167</v>
      </c>
      <c r="B107" t="s">
        <v>5243</v>
      </c>
    </row>
    <row r="108" spans="1:2" x14ac:dyDescent="0.2">
      <c r="A108" t="s">
        <v>170</v>
      </c>
      <c r="B108" t="s">
        <v>5243</v>
      </c>
    </row>
    <row r="109" spans="1:2" x14ac:dyDescent="0.2">
      <c r="A109" t="s">
        <v>157</v>
      </c>
      <c r="B109" t="s">
        <v>5244</v>
      </c>
    </row>
    <row r="110" spans="1:2" x14ac:dyDescent="0.2">
      <c r="A110" t="s">
        <v>40</v>
      </c>
      <c r="B110" t="s">
        <v>5244</v>
      </c>
    </row>
    <row r="111" spans="1:2" x14ac:dyDescent="0.2">
      <c r="A111" t="s">
        <v>173</v>
      </c>
      <c r="B111" t="s">
        <v>5244</v>
      </c>
    </row>
    <row r="112" spans="1:2" x14ac:dyDescent="0.2">
      <c r="A112" t="s">
        <v>256</v>
      </c>
      <c r="B112" t="s">
        <v>5244</v>
      </c>
    </row>
    <row r="113" spans="1:2" x14ac:dyDescent="0.2">
      <c r="A113" t="s">
        <v>154</v>
      </c>
      <c r="B113" t="s">
        <v>5244</v>
      </c>
    </row>
    <row r="114" spans="1:2" x14ac:dyDescent="0.2">
      <c r="A114" t="s">
        <v>156</v>
      </c>
      <c r="B114" t="s">
        <v>5244</v>
      </c>
    </row>
    <row r="115" spans="1:2" x14ac:dyDescent="0.2">
      <c r="A115" t="s">
        <v>255</v>
      </c>
      <c r="B115" t="s">
        <v>5244</v>
      </c>
    </row>
    <row r="116" spans="1:2" x14ac:dyDescent="0.2">
      <c r="A116" t="s">
        <v>214</v>
      </c>
      <c r="B116" t="s">
        <v>5244</v>
      </c>
    </row>
    <row r="117" spans="1:2" x14ac:dyDescent="0.2">
      <c r="A117" t="s">
        <v>215</v>
      </c>
      <c r="B117" t="s">
        <v>5244</v>
      </c>
    </row>
    <row r="118" spans="1:2" x14ac:dyDescent="0.2">
      <c r="A118" t="s">
        <v>164</v>
      </c>
      <c r="B118" t="s">
        <v>5244</v>
      </c>
    </row>
    <row r="119" spans="1:2" x14ac:dyDescent="0.2">
      <c r="A119" t="s">
        <v>161</v>
      </c>
      <c r="B119" t="s">
        <v>5244</v>
      </c>
    </row>
    <row r="120" spans="1:2" x14ac:dyDescent="0.2">
      <c r="A120" t="s">
        <v>163</v>
      </c>
      <c r="B120" t="s">
        <v>5244</v>
      </c>
    </row>
    <row r="121" spans="1:2" x14ac:dyDescent="0.2">
      <c r="A121" t="s">
        <v>171</v>
      </c>
      <c r="B121" t="s">
        <v>5244</v>
      </c>
    </row>
    <row r="122" spans="1:2" x14ac:dyDescent="0.2">
      <c r="A122" t="s">
        <v>160</v>
      </c>
      <c r="B122" t="s">
        <v>5244</v>
      </c>
    </row>
    <row r="123" spans="1:2" x14ac:dyDescent="0.2">
      <c r="A123" t="s">
        <v>5245</v>
      </c>
      <c r="B123" t="s">
        <v>5246</v>
      </c>
    </row>
    <row r="124" spans="1:2" x14ac:dyDescent="0.2">
      <c r="A124" t="s">
        <v>5247</v>
      </c>
      <c r="B124" t="s">
        <v>5246</v>
      </c>
    </row>
    <row r="125" spans="1:2" x14ac:dyDescent="0.2">
      <c r="A125" t="s">
        <v>5248</v>
      </c>
      <c r="B125" t="s">
        <v>5246</v>
      </c>
    </row>
    <row r="126" spans="1:2" x14ac:dyDescent="0.2">
      <c r="A126" t="s">
        <v>5249</v>
      </c>
      <c r="B126" t="s">
        <v>5246</v>
      </c>
    </row>
    <row r="127" spans="1:2" x14ac:dyDescent="0.2">
      <c r="A127" t="s">
        <v>5250</v>
      </c>
      <c r="B127" t="s">
        <v>5246</v>
      </c>
    </row>
    <row r="128" spans="1:2" x14ac:dyDescent="0.2">
      <c r="A128" t="s">
        <v>5251</v>
      </c>
      <c r="B128" t="s">
        <v>5246</v>
      </c>
    </row>
    <row r="129" spans="1:2" x14ac:dyDescent="0.2">
      <c r="A129" t="s">
        <v>5252</v>
      </c>
      <c r="B129" t="s">
        <v>5246</v>
      </c>
    </row>
    <row r="130" spans="1:2" x14ac:dyDescent="0.2">
      <c r="A130" t="s">
        <v>5253</v>
      </c>
      <c r="B130" t="s">
        <v>5246</v>
      </c>
    </row>
    <row r="131" spans="1:2" x14ac:dyDescent="0.2">
      <c r="A131" t="s">
        <v>5254</v>
      </c>
      <c r="B131" t="s">
        <v>5246</v>
      </c>
    </row>
    <row r="132" spans="1:2" x14ac:dyDescent="0.2">
      <c r="A132" t="s">
        <v>5255</v>
      </c>
      <c r="B132" t="s">
        <v>5246</v>
      </c>
    </row>
    <row r="133" spans="1:2" x14ac:dyDescent="0.2">
      <c r="A133" t="s">
        <v>5256</v>
      </c>
      <c r="B133" t="s">
        <v>5246</v>
      </c>
    </row>
    <row r="134" spans="1:2" x14ac:dyDescent="0.2">
      <c r="A134" t="s">
        <v>5257</v>
      </c>
      <c r="B134" t="s">
        <v>5246</v>
      </c>
    </row>
    <row r="135" spans="1:2" x14ac:dyDescent="0.2">
      <c r="A135" t="s">
        <v>5258</v>
      </c>
      <c r="B135" t="s">
        <v>5246</v>
      </c>
    </row>
    <row r="136" spans="1:2" x14ac:dyDescent="0.2">
      <c r="A136" t="s">
        <v>201</v>
      </c>
      <c r="B136" t="s">
        <v>5246</v>
      </c>
    </row>
    <row r="137" spans="1:2" x14ac:dyDescent="0.2">
      <c r="A137" t="s">
        <v>5259</v>
      </c>
      <c r="B137" t="s">
        <v>5246</v>
      </c>
    </row>
    <row r="138" spans="1:2" x14ac:dyDescent="0.2">
      <c r="A138" t="s">
        <v>5260</v>
      </c>
      <c r="B138" t="s">
        <v>5246</v>
      </c>
    </row>
    <row r="139" spans="1:2" x14ac:dyDescent="0.2">
      <c r="A139" t="s">
        <v>5261</v>
      </c>
      <c r="B139" t="s">
        <v>5246</v>
      </c>
    </row>
    <row r="140" spans="1:2" x14ac:dyDescent="0.2">
      <c r="A140" t="s">
        <v>5262</v>
      </c>
      <c r="B140" t="s">
        <v>5246</v>
      </c>
    </row>
    <row r="141" spans="1:2" x14ac:dyDescent="0.2">
      <c r="A141" t="s">
        <v>5263</v>
      </c>
      <c r="B141" t="s">
        <v>5246</v>
      </c>
    </row>
    <row r="142" spans="1:2" x14ac:dyDescent="0.2">
      <c r="A142" t="s">
        <v>5264</v>
      </c>
      <c r="B142" t="s">
        <v>5246</v>
      </c>
    </row>
    <row r="143" spans="1:2" x14ac:dyDescent="0.2">
      <c r="A143" t="s">
        <v>5265</v>
      </c>
      <c r="B143" t="s">
        <v>5246</v>
      </c>
    </row>
    <row r="144" spans="1:2" x14ac:dyDescent="0.2">
      <c r="A144" t="s">
        <v>5266</v>
      </c>
      <c r="B144" t="s">
        <v>5246</v>
      </c>
    </row>
    <row r="145" spans="1:2" x14ac:dyDescent="0.2">
      <c r="A145" t="s">
        <v>5267</v>
      </c>
      <c r="B145" t="s">
        <v>5246</v>
      </c>
    </row>
    <row r="146" spans="1:2" x14ac:dyDescent="0.2">
      <c r="A146" t="s">
        <v>5268</v>
      </c>
      <c r="B146" t="s">
        <v>5246</v>
      </c>
    </row>
    <row r="147" spans="1:2" x14ac:dyDescent="0.2">
      <c r="A147" t="s">
        <v>5269</v>
      </c>
      <c r="B147" t="s">
        <v>5246</v>
      </c>
    </row>
    <row r="148" spans="1:2" x14ac:dyDescent="0.2">
      <c r="A148" t="s">
        <v>5270</v>
      </c>
      <c r="B148" t="s">
        <v>5246</v>
      </c>
    </row>
    <row r="149" spans="1:2" x14ac:dyDescent="0.2">
      <c r="A149" t="s">
        <v>5271</v>
      </c>
      <c r="B149" t="s">
        <v>5246</v>
      </c>
    </row>
    <row r="150" spans="1:2" x14ac:dyDescent="0.2">
      <c r="A150" t="s">
        <v>5272</v>
      </c>
      <c r="B150" t="s">
        <v>5246</v>
      </c>
    </row>
    <row r="151" spans="1:2" x14ac:dyDescent="0.2">
      <c r="A151" t="s">
        <v>5273</v>
      </c>
      <c r="B151" t="s">
        <v>5246</v>
      </c>
    </row>
    <row r="152" spans="1:2" x14ac:dyDescent="0.2">
      <c r="A152" t="s">
        <v>5274</v>
      </c>
      <c r="B152" t="s">
        <v>5246</v>
      </c>
    </row>
    <row r="153" spans="1:2" x14ac:dyDescent="0.2">
      <c r="A153" t="s">
        <v>5275</v>
      </c>
      <c r="B153" t="s">
        <v>5246</v>
      </c>
    </row>
    <row r="154" spans="1:2" x14ac:dyDescent="0.2">
      <c r="A154" t="s">
        <v>5276</v>
      </c>
      <c r="B154" t="s">
        <v>5246</v>
      </c>
    </row>
    <row r="155" spans="1:2" x14ac:dyDescent="0.2">
      <c r="A155" t="s">
        <v>5277</v>
      </c>
      <c r="B155" t="s">
        <v>5246</v>
      </c>
    </row>
    <row r="156" spans="1:2" x14ac:dyDescent="0.2">
      <c r="A156" t="s">
        <v>5278</v>
      </c>
      <c r="B156" t="s">
        <v>5246</v>
      </c>
    </row>
    <row r="157" spans="1:2" x14ac:dyDescent="0.2">
      <c r="A157" t="s">
        <v>5279</v>
      </c>
      <c r="B157" t="s">
        <v>5246</v>
      </c>
    </row>
    <row r="158" spans="1:2" x14ac:dyDescent="0.2">
      <c r="A158" t="s">
        <v>5280</v>
      </c>
      <c r="B158" t="s">
        <v>5246</v>
      </c>
    </row>
    <row r="159" spans="1:2" x14ac:dyDescent="0.2">
      <c r="A159" t="s">
        <v>5281</v>
      </c>
      <c r="B159" t="s">
        <v>5246</v>
      </c>
    </row>
    <row r="160" spans="1:2" x14ac:dyDescent="0.2">
      <c r="A160" t="s">
        <v>5282</v>
      </c>
      <c r="B160" t="s">
        <v>5246</v>
      </c>
    </row>
    <row r="161" spans="1:2" x14ac:dyDescent="0.2">
      <c r="A161" t="s">
        <v>5283</v>
      </c>
      <c r="B161" t="s">
        <v>5246</v>
      </c>
    </row>
    <row r="162" spans="1:2" x14ac:dyDescent="0.2">
      <c r="A162" t="s">
        <v>5284</v>
      </c>
      <c r="B162" t="s">
        <v>5246</v>
      </c>
    </row>
    <row r="163" spans="1:2" x14ac:dyDescent="0.2">
      <c r="A163" t="s">
        <v>5285</v>
      </c>
      <c r="B163" t="s">
        <v>5246</v>
      </c>
    </row>
    <row r="164" spans="1:2" x14ac:dyDescent="0.2">
      <c r="A164" t="s">
        <v>5286</v>
      </c>
      <c r="B164" t="s">
        <v>5246</v>
      </c>
    </row>
    <row r="165" spans="1:2" x14ac:dyDescent="0.2">
      <c r="A165" t="s">
        <v>5287</v>
      </c>
      <c r="B165" t="s">
        <v>5246</v>
      </c>
    </row>
    <row r="166" spans="1:2" x14ac:dyDescent="0.2">
      <c r="A166" t="s">
        <v>5288</v>
      </c>
      <c r="B166" t="s">
        <v>5246</v>
      </c>
    </row>
    <row r="167" spans="1:2" x14ac:dyDescent="0.2">
      <c r="A167" t="s">
        <v>5289</v>
      </c>
      <c r="B167" t="s">
        <v>5246</v>
      </c>
    </row>
    <row r="168" spans="1:2" x14ac:dyDescent="0.2">
      <c r="A168" t="s">
        <v>5290</v>
      </c>
      <c r="B168" t="s">
        <v>5246</v>
      </c>
    </row>
    <row r="169" spans="1:2" x14ac:dyDescent="0.2">
      <c r="A169" t="s">
        <v>5291</v>
      </c>
      <c r="B169" t="s">
        <v>5246</v>
      </c>
    </row>
    <row r="170" spans="1:2" x14ac:dyDescent="0.2">
      <c r="A170" t="s">
        <v>5292</v>
      </c>
      <c r="B170" t="s">
        <v>5246</v>
      </c>
    </row>
    <row r="171" spans="1:2" x14ac:dyDescent="0.2">
      <c r="A171" t="s">
        <v>251</v>
      </c>
      <c r="B171" t="s">
        <v>5246</v>
      </c>
    </row>
    <row r="172" spans="1:2" x14ac:dyDescent="0.2">
      <c r="A172" t="s">
        <v>5293</v>
      </c>
      <c r="B172" t="s">
        <v>5246</v>
      </c>
    </row>
    <row r="173" spans="1:2" x14ac:dyDescent="0.2">
      <c r="A173" t="s">
        <v>5294</v>
      </c>
      <c r="B173" t="s">
        <v>5246</v>
      </c>
    </row>
    <row r="174" spans="1:2" x14ac:dyDescent="0.2">
      <c r="A174" t="s">
        <v>5295</v>
      </c>
      <c r="B174" t="s">
        <v>5246</v>
      </c>
    </row>
    <row r="175" spans="1:2" x14ac:dyDescent="0.2">
      <c r="A175" t="s">
        <v>5296</v>
      </c>
      <c r="B175" t="s">
        <v>5246</v>
      </c>
    </row>
    <row r="176" spans="1:2" x14ac:dyDescent="0.2">
      <c r="A176" t="s">
        <v>5297</v>
      </c>
      <c r="B176" t="s">
        <v>5246</v>
      </c>
    </row>
    <row r="177" spans="1:2" x14ac:dyDescent="0.2">
      <c r="A177" t="s">
        <v>209</v>
      </c>
      <c r="B177" t="s">
        <v>5246</v>
      </c>
    </row>
    <row r="178" spans="1:2" x14ac:dyDescent="0.2">
      <c r="A178" t="s">
        <v>5298</v>
      </c>
      <c r="B178" t="s">
        <v>5246</v>
      </c>
    </row>
    <row r="179" spans="1:2" x14ac:dyDescent="0.2">
      <c r="A179" t="s">
        <v>5299</v>
      </c>
      <c r="B179" t="s">
        <v>5246</v>
      </c>
    </row>
    <row r="180" spans="1:2" x14ac:dyDescent="0.2">
      <c r="A180" t="s">
        <v>5300</v>
      </c>
      <c r="B180" t="s">
        <v>5246</v>
      </c>
    </row>
    <row r="181" spans="1:2" x14ac:dyDescent="0.2">
      <c r="A181" t="s">
        <v>5301</v>
      </c>
      <c r="B181" t="s">
        <v>5246</v>
      </c>
    </row>
    <row r="182" spans="1:2" x14ac:dyDescent="0.2">
      <c r="A182" t="s">
        <v>5302</v>
      </c>
      <c r="B182" t="s">
        <v>5246</v>
      </c>
    </row>
    <row r="183" spans="1:2" x14ac:dyDescent="0.2">
      <c r="A183" t="s">
        <v>5303</v>
      </c>
      <c r="B183" t="s">
        <v>5246</v>
      </c>
    </row>
    <row r="184" spans="1:2" x14ac:dyDescent="0.2">
      <c r="A184" t="s">
        <v>5304</v>
      </c>
      <c r="B184" t="s">
        <v>5246</v>
      </c>
    </row>
    <row r="185" spans="1:2" x14ac:dyDescent="0.2">
      <c r="A185" t="s">
        <v>5305</v>
      </c>
      <c r="B185" t="s">
        <v>5246</v>
      </c>
    </row>
    <row r="186" spans="1:2" x14ac:dyDescent="0.2">
      <c r="A186" t="s">
        <v>5306</v>
      </c>
      <c r="B186" t="s">
        <v>5246</v>
      </c>
    </row>
    <row r="187" spans="1:2" x14ac:dyDescent="0.2">
      <c r="A187" t="s">
        <v>5307</v>
      </c>
      <c r="B187" t="s">
        <v>5246</v>
      </c>
    </row>
    <row r="188" spans="1:2" x14ac:dyDescent="0.2">
      <c r="A188" t="s">
        <v>5308</v>
      </c>
      <c r="B188" t="s">
        <v>5246</v>
      </c>
    </row>
    <row r="189" spans="1:2" x14ac:dyDescent="0.2">
      <c r="A189" t="s">
        <v>5309</v>
      </c>
      <c r="B189" t="s">
        <v>5246</v>
      </c>
    </row>
    <row r="190" spans="1:2" x14ac:dyDescent="0.2">
      <c r="A190" t="s">
        <v>5310</v>
      </c>
      <c r="B190" t="s">
        <v>5246</v>
      </c>
    </row>
    <row r="191" spans="1:2" x14ac:dyDescent="0.2">
      <c r="A191" t="s">
        <v>5311</v>
      </c>
      <c r="B191" t="s">
        <v>5246</v>
      </c>
    </row>
    <row r="192" spans="1:2" x14ac:dyDescent="0.2">
      <c r="A192" t="s">
        <v>5312</v>
      </c>
      <c r="B192" t="s">
        <v>5246</v>
      </c>
    </row>
    <row r="193" spans="1:2" x14ac:dyDescent="0.2">
      <c r="A193" t="s">
        <v>5313</v>
      </c>
      <c r="B193" t="s">
        <v>5246</v>
      </c>
    </row>
    <row r="194" spans="1:2" x14ac:dyDescent="0.2">
      <c r="A194" t="s">
        <v>5314</v>
      </c>
      <c r="B194" t="s">
        <v>5246</v>
      </c>
    </row>
    <row r="195" spans="1:2" x14ac:dyDescent="0.2">
      <c r="A195" t="s">
        <v>5315</v>
      </c>
      <c r="B195" t="s">
        <v>5246</v>
      </c>
    </row>
    <row r="196" spans="1:2" x14ac:dyDescent="0.2">
      <c r="A196" t="s">
        <v>5316</v>
      </c>
      <c r="B196" t="s">
        <v>5246</v>
      </c>
    </row>
    <row r="197" spans="1:2" x14ac:dyDescent="0.2">
      <c r="A197" t="s">
        <v>5317</v>
      </c>
      <c r="B197" t="s">
        <v>5246</v>
      </c>
    </row>
    <row r="198" spans="1:2" x14ac:dyDescent="0.2">
      <c r="A198" t="s">
        <v>5318</v>
      </c>
      <c r="B198" t="s">
        <v>5246</v>
      </c>
    </row>
    <row r="199" spans="1:2" x14ac:dyDescent="0.2">
      <c r="A199" t="s">
        <v>5319</v>
      </c>
      <c r="B199" t="s">
        <v>5246</v>
      </c>
    </row>
    <row r="200" spans="1:2" x14ac:dyDescent="0.2">
      <c r="A200" t="s">
        <v>49</v>
      </c>
      <c r="B200" t="s">
        <v>5246</v>
      </c>
    </row>
    <row r="201" spans="1:2" x14ac:dyDescent="0.2">
      <c r="A201" t="s">
        <v>5320</v>
      </c>
      <c r="B201" t="s">
        <v>5246</v>
      </c>
    </row>
    <row r="202" spans="1:2" x14ac:dyDescent="0.2">
      <c r="A202" t="s">
        <v>5321</v>
      </c>
      <c r="B202" t="s">
        <v>5246</v>
      </c>
    </row>
    <row r="203" spans="1:2" x14ac:dyDescent="0.2">
      <c r="A203" t="s">
        <v>5322</v>
      </c>
      <c r="B203" t="s">
        <v>5246</v>
      </c>
    </row>
    <row r="204" spans="1:2" x14ac:dyDescent="0.2">
      <c r="A204" t="s">
        <v>5323</v>
      </c>
      <c r="B204" t="s">
        <v>5246</v>
      </c>
    </row>
    <row r="205" spans="1:2" x14ac:dyDescent="0.2">
      <c r="A205" t="s">
        <v>5324</v>
      </c>
      <c r="B205" t="s">
        <v>5246</v>
      </c>
    </row>
    <row r="206" spans="1:2" x14ac:dyDescent="0.2">
      <c r="A206" t="s">
        <v>5325</v>
      </c>
      <c r="B206" t="s">
        <v>5246</v>
      </c>
    </row>
    <row r="207" spans="1:2" x14ac:dyDescent="0.2">
      <c r="A207" t="s">
        <v>5326</v>
      </c>
      <c r="B207" t="s">
        <v>5246</v>
      </c>
    </row>
    <row r="208" spans="1:2" x14ac:dyDescent="0.2">
      <c r="A208" t="s">
        <v>5327</v>
      </c>
      <c r="B208" t="s">
        <v>5246</v>
      </c>
    </row>
    <row r="209" spans="1:2" x14ac:dyDescent="0.2">
      <c r="A209" t="s">
        <v>47</v>
      </c>
      <c r="B209" t="s">
        <v>5246</v>
      </c>
    </row>
    <row r="210" spans="1:2" x14ac:dyDescent="0.2">
      <c r="A210" t="s">
        <v>5328</v>
      </c>
      <c r="B210" t="s">
        <v>5246</v>
      </c>
    </row>
    <row r="211" spans="1:2" x14ac:dyDescent="0.2">
      <c r="A211" t="s">
        <v>5329</v>
      </c>
      <c r="B211" t="s">
        <v>5246</v>
      </c>
    </row>
    <row r="212" spans="1:2" x14ac:dyDescent="0.2">
      <c r="A212" t="s">
        <v>5330</v>
      </c>
      <c r="B212" t="s">
        <v>5246</v>
      </c>
    </row>
    <row r="213" spans="1:2" x14ac:dyDescent="0.2">
      <c r="A213" t="s">
        <v>5331</v>
      </c>
      <c r="B213" t="s">
        <v>5246</v>
      </c>
    </row>
    <row r="214" spans="1:2" x14ac:dyDescent="0.2">
      <c r="A214" t="s">
        <v>5332</v>
      </c>
      <c r="B214" t="s">
        <v>5246</v>
      </c>
    </row>
    <row r="215" spans="1:2" x14ac:dyDescent="0.2">
      <c r="A215" t="s">
        <v>5333</v>
      </c>
      <c r="B215" t="s">
        <v>5246</v>
      </c>
    </row>
    <row r="216" spans="1:2" x14ac:dyDescent="0.2">
      <c r="A216" t="s">
        <v>5334</v>
      </c>
      <c r="B216" t="s">
        <v>5246</v>
      </c>
    </row>
    <row r="217" spans="1:2" x14ac:dyDescent="0.2">
      <c r="A217" t="s">
        <v>5335</v>
      </c>
      <c r="B217" t="s">
        <v>5246</v>
      </c>
    </row>
    <row r="218" spans="1:2" x14ac:dyDescent="0.2">
      <c r="A218" t="s">
        <v>5336</v>
      </c>
      <c r="B218" t="s">
        <v>5246</v>
      </c>
    </row>
    <row r="219" spans="1:2" x14ac:dyDescent="0.2">
      <c r="A219" t="s">
        <v>5337</v>
      </c>
      <c r="B219" t="s">
        <v>5246</v>
      </c>
    </row>
    <row r="220" spans="1:2" x14ac:dyDescent="0.2">
      <c r="A220" t="s">
        <v>5338</v>
      </c>
      <c r="B220" t="s">
        <v>5246</v>
      </c>
    </row>
    <row r="221" spans="1:2" x14ac:dyDescent="0.2">
      <c r="A221" t="s">
        <v>5339</v>
      </c>
      <c r="B221" t="s">
        <v>5246</v>
      </c>
    </row>
    <row r="222" spans="1:2" x14ac:dyDescent="0.2">
      <c r="A222" t="s">
        <v>5340</v>
      </c>
      <c r="B222" t="s">
        <v>5246</v>
      </c>
    </row>
    <row r="223" spans="1:2" x14ac:dyDescent="0.2">
      <c r="A223" t="s">
        <v>5341</v>
      </c>
      <c r="B223" t="s">
        <v>5246</v>
      </c>
    </row>
    <row r="224" spans="1:2" x14ac:dyDescent="0.2">
      <c r="A224" t="s">
        <v>5342</v>
      </c>
      <c r="B224" t="s">
        <v>5246</v>
      </c>
    </row>
    <row r="225" spans="1:2" x14ac:dyDescent="0.2">
      <c r="A225" t="s">
        <v>5343</v>
      </c>
      <c r="B225" t="s">
        <v>5246</v>
      </c>
    </row>
    <row r="226" spans="1:2" x14ac:dyDescent="0.2">
      <c r="A226" t="s">
        <v>5344</v>
      </c>
      <c r="B226" t="s">
        <v>5246</v>
      </c>
    </row>
    <row r="227" spans="1:2" x14ac:dyDescent="0.2">
      <c r="A227" t="s">
        <v>5345</v>
      </c>
      <c r="B227" t="s">
        <v>5246</v>
      </c>
    </row>
    <row r="228" spans="1:2" x14ac:dyDescent="0.2">
      <c r="A228" t="s">
        <v>5346</v>
      </c>
      <c r="B228" t="s">
        <v>5246</v>
      </c>
    </row>
    <row r="229" spans="1:2" x14ac:dyDescent="0.2">
      <c r="A229" t="s">
        <v>5347</v>
      </c>
      <c r="B229" t="s">
        <v>5246</v>
      </c>
    </row>
    <row r="230" spans="1:2" x14ac:dyDescent="0.2">
      <c r="A230" t="s">
        <v>5348</v>
      </c>
      <c r="B230" t="s">
        <v>5246</v>
      </c>
    </row>
    <row r="231" spans="1:2" x14ac:dyDescent="0.2">
      <c r="A231" t="s">
        <v>5349</v>
      </c>
      <c r="B231" t="s">
        <v>5246</v>
      </c>
    </row>
    <row r="232" spans="1:2" x14ac:dyDescent="0.2">
      <c r="A232" t="s">
        <v>5350</v>
      </c>
      <c r="B232" t="s">
        <v>5246</v>
      </c>
    </row>
    <row r="233" spans="1:2" x14ac:dyDescent="0.2">
      <c r="A233" t="s">
        <v>5351</v>
      </c>
      <c r="B233" t="s">
        <v>5246</v>
      </c>
    </row>
    <row r="234" spans="1:2" x14ac:dyDescent="0.2">
      <c r="A234" t="s">
        <v>5352</v>
      </c>
      <c r="B234" t="s">
        <v>5246</v>
      </c>
    </row>
    <row r="235" spans="1:2" x14ac:dyDescent="0.2">
      <c r="A235" t="s">
        <v>5353</v>
      </c>
      <c r="B235" t="s">
        <v>5246</v>
      </c>
    </row>
    <row r="236" spans="1:2" x14ac:dyDescent="0.2">
      <c r="A236" t="s">
        <v>5354</v>
      </c>
      <c r="B236" t="s">
        <v>5246</v>
      </c>
    </row>
    <row r="237" spans="1:2" x14ac:dyDescent="0.2">
      <c r="A237" t="s">
        <v>5355</v>
      </c>
      <c r="B237" t="s">
        <v>5246</v>
      </c>
    </row>
    <row r="238" spans="1:2" x14ac:dyDescent="0.2">
      <c r="A238" t="s">
        <v>5356</v>
      </c>
      <c r="B238" t="s">
        <v>5246</v>
      </c>
    </row>
    <row r="239" spans="1:2" x14ac:dyDescent="0.2">
      <c r="A239" t="s">
        <v>5357</v>
      </c>
      <c r="B239" t="s">
        <v>5246</v>
      </c>
    </row>
    <row r="240" spans="1:2" x14ac:dyDescent="0.2">
      <c r="A240" t="s">
        <v>5358</v>
      </c>
      <c r="B240" t="s">
        <v>5246</v>
      </c>
    </row>
    <row r="241" spans="1:2" x14ac:dyDescent="0.2">
      <c r="A241" t="s">
        <v>5359</v>
      </c>
      <c r="B241" t="s">
        <v>5246</v>
      </c>
    </row>
    <row r="242" spans="1:2" x14ac:dyDescent="0.2">
      <c r="A242" t="s">
        <v>5360</v>
      </c>
      <c r="B242" t="s">
        <v>5246</v>
      </c>
    </row>
    <row r="243" spans="1:2" x14ac:dyDescent="0.2">
      <c r="A243" t="s">
        <v>5361</v>
      </c>
      <c r="B243" t="s">
        <v>5246</v>
      </c>
    </row>
    <row r="244" spans="1:2" x14ac:dyDescent="0.2">
      <c r="A244" t="s">
        <v>5362</v>
      </c>
      <c r="B244" t="s">
        <v>5246</v>
      </c>
    </row>
    <row r="245" spans="1:2" x14ac:dyDescent="0.2">
      <c r="A245" t="s">
        <v>5363</v>
      </c>
      <c r="B245" t="s">
        <v>5246</v>
      </c>
    </row>
    <row r="246" spans="1:2" x14ac:dyDescent="0.2">
      <c r="A246" t="s">
        <v>5364</v>
      </c>
      <c r="B246" t="s">
        <v>5246</v>
      </c>
    </row>
    <row r="247" spans="1:2" x14ac:dyDescent="0.2">
      <c r="A247" t="s">
        <v>5365</v>
      </c>
      <c r="B247" t="s">
        <v>5366</v>
      </c>
    </row>
    <row r="248" spans="1:2" x14ac:dyDescent="0.2">
      <c r="A248" t="s">
        <v>5367</v>
      </c>
      <c r="B248" t="s">
        <v>5366</v>
      </c>
    </row>
    <row r="249" spans="1:2" x14ac:dyDescent="0.2">
      <c r="A249" t="s">
        <v>39</v>
      </c>
      <c r="B249" t="s">
        <v>5368</v>
      </c>
    </row>
    <row r="250" spans="1:2" x14ac:dyDescent="0.2">
      <c r="A250" t="s">
        <v>40</v>
      </c>
      <c r="B250" t="s">
        <v>5368</v>
      </c>
    </row>
    <row r="251" spans="1:2" x14ac:dyDescent="0.2">
      <c r="A251" t="s">
        <v>41</v>
      </c>
      <c r="B251" t="s">
        <v>5368</v>
      </c>
    </row>
    <row r="252" spans="1:2" x14ac:dyDescent="0.2">
      <c r="A252" t="s">
        <v>34</v>
      </c>
      <c r="B252" t="s">
        <v>5368</v>
      </c>
    </row>
    <row r="253" spans="1:2" x14ac:dyDescent="0.2">
      <c r="A253" t="s">
        <v>35</v>
      </c>
      <c r="B253" t="s">
        <v>5368</v>
      </c>
    </row>
    <row r="254" spans="1:2" x14ac:dyDescent="0.2">
      <c r="A254" t="s">
        <v>37</v>
      </c>
      <c r="B254" t="s">
        <v>5368</v>
      </c>
    </row>
    <row r="255" spans="1:2" x14ac:dyDescent="0.2">
      <c r="A255" t="s">
        <v>243</v>
      </c>
      <c r="B255" t="s">
        <v>5368</v>
      </c>
    </row>
    <row r="256" spans="1:2" x14ac:dyDescent="0.2">
      <c r="A256" t="s">
        <v>43</v>
      </c>
      <c r="B256" t="s">
        <v>5369</v>
      </c>
    </row>
    <row r="257" spans="1:2" x14ac:dyDescent="0.2">
      <c r="A257" t="s">
        <v>186</v>
      </c>
      <c r="B257" t="s">
        <v>5369</v>
      </c>
    </row>
    <row r="258" spans="1:2" x14ac:dyDescent="0.2">
      <c r="A258" t="s">
        <v>177</v>
      </c>
      <c r="B258" t="s">
        <v>5370</v>
      </c>
    </row>
    <row r="259" spans="1:2" x14ac:dyDescent="0.2">
      <c r="A259" t="s">
        <v>176</v>
      </c>
      <c r="B259" t="s">
        <v>5370</v>
      </c>
    </row>
    <row r="260" spans="1:2" x14ac:dyDescent="0.2">
      <c r="A260" t="s">
        <v>175</v>
      </c>
      <c r="B260" t="s">
        <v>5370</v>
      </c>
    </row>
    <row r="261" spans="1:2" x14ac:dyDescent="0.2">
      <c r="A261" t="s">
        <v>58</v>
      </c>
      <c r="B261" t="s">
        <v>5371</v>
      </c>
    </row>
    <row r="262" spans="1:2" x14ac:dyDescent="0.2">
      <c r="A262" t="s">
        <v>44</v>
      </c>
      <c r="B262" t="s">
        <v>5371</v>
      </c>
    </row>
    <row r="263" spans="1:2" x14ac:dyDescent="0.2">
      <c r="A263" t="s">
        <v>45</v>
      </c>
      <c r="B263" t="s">
        <v>5371</v>
      </c>
    </row>
    <row r="264" spans="1:2" x14ac:dyDescent="0.2">
      <c r="A264" t="s">
        <v>5372</v>
      </c>
      <c r="B264" t="s">
        <v>5371</v>
      </c>
    </row>
    <row r="265" spans="1:2" x14ac:dyDescent="0.2">
      <c r="A265" t="s">
        <v>51</v>
      </c>
      <c r="B265" t="s">
        <v>5371</v>
      </c>
    </row>
    <row r="266" spans="1:2" x14ac:dyDescent="0.2">
      <c r="A266" t="s">
        <v>46</v>
      </c>
      <c r="B266" t="s">
        <v>5371</v>
      </c>
    </row>
    <row r="267" spans="1:2" x14ac:dyDescent="0.2">
      <c r="A267" t="s">
        <v>49</v>
      </c>
      <c r="B267" t="s">
        <v>5371</v>
      </c>
    </row>
    <row r="268" spans="1:2" x14ac:dyDescent="0.2">
      <c r="A268" t="s">
        <v>52</v>
      </c>
      <c r="B268" t="s">
        <v>5371</v>
      </c>
    </row>
    <row r="269" spans="1:2" x14ac:dyDescent="0.2">
      <c r="A269" t="s">
        <v>199</v>
      </c>
      <c r="B269" t="s">
        <v>5371</v>
      </c>
    </row>
    <row r="270" spans="1:2" x14ac:dyDescent="0.2">
      <c r="A270" t="s">
        <v>56</v>
      </c>
      <c r="B270" t="s">
        <v>5371</v>
      </c>
    </row>
    <row r="271" spans="1:2" x14ac:dyDescent="0.2">
      <c r="A271" t="s">
        <v>204</v>
      </c>
      <c r="B271" t="s">
        <v>5371</v>
      </c>
    </row>
    <row r="272" spans="1:2" x14ac:dyDescent="0.2">
      <c r="A272" t="s">
        <v>57</v>
      </c>
      <c r="B272" t="s">
        <v>5371</v>
      </c>
    </row>
    <row r="273" spans="1:2" x14ac:dyDescent="0.2">
      <c r="A273" t="s">
        <v>194</v>
      </c>
      <c r="B273" t="s">
        <v>5371</v>
      </c>
    </row>
    <row r="274" spans="1:2" x14ac:dyDescent="0.2">
      <c r="A274" t="s">
        <v>203</v>
      </c>
      <c r="B274" t="s">
        <v>5371</v>
      </c>
    </row>
    <row r="275" spans="1:2" x14ac:dyDescent="0.2">
      <c r="A275" t="s">
        <v>55</v>
      </c>
      <c r="B275" t="s">
        <v>5371</v>
      </c>
    </row>
    <row r="276" spans="1:2" x14ac:dyDescent="0.2">
      <c r="A276" t="s">
        <v>227</v>
      </c>
      <c r="B276" t="s">
        <v>5371</v>
      </c>
    </row>
    <row r="277" spans="1:2" x14ac:dyDescent="0.2">
      <c r="A277" t="s">
        <v>60</v>
      </c>
      <c r="B277" t="s">
        <v>5371</v>
      </c>
    </row>
    <row r="278" spans="1:2" x14ac:dyDescent="0.2">
      <c r="A278" t="s">
        <v>59</v>
      </c>
      <c r="B278" t="s">
        <v>5371</v>
      </c>
    </row>
    <row r="279" spans="1:2" x14ac:dyDescent="0.2">
      <c r="A279" t="s">
        <v>5373</v>
      </c>
      <c r="B279" t="s">
        <v>5238</v>
      </c>
    </row>
    <row r="280" spans="1:2" x14ac:dyDescent="0.2">
      <c r="A280" t="s">
        <v>5374</v>
      </c>
      <c r="B280" t="s">
        <v>5238</v>
      </c>
    </row>
    <row r="281" spans="1:2" x14ac:dyDescent="0.2">
      <c r="A281" t="s">
        <v>5375</v>
      </c>
      <c r="B281" t="s">
        <v>5246</v>
      </c>
    </row>
    <row r="282" spans="1:2" x14ac:dyDescent="0.2">
      <c r="A282" t="s">
        <v>276</v>
      </c>
      <c r="B282" t="s">
        <v>5238</v>
      </c>
    </row>
    <row r="283" spans="1:2" x14ac:dyDescent="0.2">
      <c r="A283" t="s">
        <v>275</v>
      </c>
      <c r="B283" t="s">
        <v>5238</v>
      </c>
    </row>
    <row r="284" spans="1:2" x14ac:dyDescent="0.2">
      <c r="A284" t="s">
        <v>5376</v>
      </c>
      <c r="B284" t="s">
        <v>5366</v>
      </c>
    </row>
    <row r="285" spans="1:2" x14ac:dyDescent="0.2">
      <c r="A285" t="s">
        <v>5377</v>
      </c>
      <c r="B285" t="s">
        <v>5238</v>
      </c>
    </row>
    <row r="286" spans="1:2" x14ac:dyDescent="0.2">
      <c r="A286" t="s">
        <v>5378</v>
      </c>
      <c r="B286" t="s">
        <v>5238</v>
      </c>
    </row>
    <row r="287" spans="1:2" x14ac:dyDescent="0.2">
      <c r="A287" t="s">
        <v>5379</v>
      </c>
      <c r="B287" t="s">
        <v>5238</v>
      </c>
    </row>
    <row r="288" spans="1:2" x14ac:dyDescent="0.2">
      <c r="A288" t="s">
        <v>5380</v>
      </c>
      <c r="B288" t="s">
        <v>5238</v>
      </c>
    </row>
    <row r="289" spans="1:2" x14ac:dyDescent="0.2">
      <c r="A289" t="s">
        <v>5381</v>
      </c>
      <c r="B289" t="s">
        <v>5246</v>
      </c>
    </row>
    <row r="290" spans="1:2" x14ac:dyDescent="0.2">
      <c r="A290" t="s">
        <v>5382</v>
      </c>
      <c r="B290" t="s">
        <v>5246</v>
      </c>
    </row>
    <row r="291" spans="1:2" x14ac:dyDescent="0.2">
      <c r="A291" t="s">
        <v>5383</v>
      </c>
      <c r="B291" t="s">
        <v>5246</v>
      </c>
    </row>
    <row r="292" spans="1:2" x14ac:dyDescent="0.2">
      <c r="A292" t="s">
        <v>257</v>
      </c>
      <c r="B292" t="s">
        <v>5369</v>
      </c>
    </row>
    <row r="293" spans="1:2" x14ac:dyDescent="0.2">
      <c r="A293" t="s">
        <v>258</v>
      </c>
      <c r="B293" t="s">
        <v>5371</v>
      </c>
    </row>
    <row r="294" spans="1:2" x14ac:dyDescent="0.2">
      <c r="A294" t="s">
        <v>5384</v>
      </c>
      <c r="B294" t="s">
        <v>5246</v>
      </c>
    </row>
    <row r="295" spans="1:2" x14ac:dyDescent="0.2">
      <c r="A295" t="s">
        <v>5385</v>
      </c>
      <c r="B295" t="s">
        <v>5246</v>
      </c>
    </row>
    <row r="296" spans="1:2" x14ac:dyDescent="0.2">
      <c r="A296" t="s">
        <v>5386</v>
      </c>
      <c r="B296" t="s">
        <v>5246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73FB-F37F-4F24-8C1D-E7DD5A47AACA}">
  <dimension ref="A1:K2371"/>
  <sheetViews>
    <sheetView tabSelected="1" workbookViewId="0">
      <selection activeCell="L2" sqref="L2"/>
    </sheetView>
  </sheetViews>
  <sheetFormatPr defaultRowHeight="12.75" x14ac:dyDescent="0.2"/>
  <sheetData>
    <row r="1" spans="1:11" x14ac:dyDescent="0.2">
      <c r="A1" t="s">
        <v>5234</v>
      </c>
      <c r="B1" t="s">
        <v>5233</v>
      </c>
      <c r="C1" t="s">
        <v>277</v>
      </c>
      <c r="D1" t="s">
        <v>5232</v>
      </c>
      <c r="E1" t="s">
        <v>26</v>
      </c>
      <c r="F1" t="s">
        <v>1</v>
      </c>
      <c r="G1" t="s">
        <v>5231</v>
      </c>
      <c r="H1" t="s">
        <v>5230</v>
      </c>
      <c r="I1" t="s">
        <v>5229</v>
      </c>
      <c r="J1" t="s">
        <v>5236</v>
      </c>
      <c r="K1" t="s">
        <v>5228</v>
      </c>
    </row>
    <row r="2" spans="1:11" x14ac:dyDescent="0.2">
      <c r="A2" t="s">
        <v>5162</v>
      </c>
      <c r="B2">
        <v>250316</v>
      </c>
      <c r="C2" t="s">
        <v>1030</v>
      </c>
      <c r="D2" t="s">
        <v>5196</v>
      </c>
      <c r="E2" t="s">
        <v>188</v>
      </c>
      <c r="F2" t="s">
        <v>188</v>
      </c>
      <c r="G2" t="s">
        <v>4837</v>
      </c>
      <c r="H2" t="s">
        <v>188</v>
      </c>
      <c r="I2" t="s">
        <v>2666</v>
      </c>
      <c r="J2">
        <v>1</v>
      </c>
      <c r="K2">
        <v>41</v>
      </c>
    </row>
    <row r="3" spans="1:11" x14ac:dyDescent="0.2">
      <c r="A3" t="s">
        <v>5162</v>
      </c>
      <c r="B3">
        <v>250068</v>
      </c>
      <c r="C3" t="s">
        <v>2321</v>
      </c>
      <c r="D3" t="s">
        <v>5169</v>
      </c>
      <c r="E3" t="s">
        <v>188</v>
      </c>
      <c r="F3" t="s">
        <v>188</v>
      </c>
      <c r="G3" t="s">
        <v>4837</v>
      </c>
      <c r="H3" t="s">
        <v>188</v>
      </c>
      <c r="I3" t="s">
        <v>2616</v>
      </c>
      <c r="J3">
        <v>1</v>
      </c>
      <c r="K3">
        <v>261</v>
      </c>
    </row>
    <row r="4" spans="1:11" x14ac:dyDescent="0.2">
      <c r="A4" t="s">
        <v>5162</v>
      </c>
      <c r="B4">
        <v>250303</v>
      </c>
      <c r="C4" t="s">
        <v>1027</v>
      </c>
      <c r="D4" t="s">
        <v>5216</v>
      </c>
      <c r="E4" t="s">
        <v>188</v>
      </c>
      <c r="F4" t="s">
        <v>188</v>
      </c>
      <c r="G4" t="s">
        <v>4837</v>
      </c>
      <c r="H4" t="s">
        <v>188</v>
      </c>
      <c r="I4" t="s">
        <v>2666</v>
      </c>
      <c r="J4">
        <v>1</v>
      </c>
      <c r="K4">
        <v>39</v>
      </c>
    </row>
    <row r="5" spans="1:11" x14ac:dyDescent="0.2">
      <c r="A5" t="s">
        <v>5162</v>
      </c>
      <c r="B5">
        <v>250128</v>
      </c>
      <c r="C5" t="s">
        <v>2340</v>
      </c>
      <c r="D5" t="s">
        <v>5189</v>
      </c>
      <c r="E5" t="s">
        <v>188</v>
      </c>
      <c r="F5" t="s">
        <v>188</v>
      </c>
      <c r="G5" t="s">
        <v>4837</v>
      </c>
      <c r="H5" t="s">
        <v>188</v>
      </c>
      <c r="I5" t="s">
        <v>2616</v>
      </c>
      <c r="J5">
        <v>1</v>
      </c>
      <c r="K5">
        <v>889.92</v>
      </c>
    </row>
    <row r="6" spans="1:11" x14ac:dyDescent="0.2">
      <c r="A6" t="s">
        <v>5162</v>
      </c>
      <c r="B6">
        <v>250080</v>
      </c>
      <c r="C6" t="s">
        <v>2328</v>
      </c>
      <c r="D6" t="s">
        <v>5221</v>
      </c>
      <c r="E6" t="s">
        <v>188</v>
      </c>
      <c r="F6" t="s">
        <v>188</v>
      </c>
      <c r="G6" t="s">
        <v>5171</v>
      </c>
      <c r="H6" t="s">
        <v>188</v>
      </c>
      <c r="I6" t="s">
        <v>2616</v>
      </c>
      <c r="J6">
        <v>1</v>
      </c>
      <c r="K6">
        <v>97</v>
      </c>
    </row>
    <row r="7" spans="1:11" x14ac:dyDescent="0.2">
      <c r="A7" t="s">
        <v>5162</v>
      </c>
      <c r="B7">
        <v>250093</v>
      </c>
      <c r="C7" t="s">
        <v>2334</v>
      </c>
      <c r="D7" t="s">
        <v>5167</v>
      </c>
      <c r="E7" t="s">
        <v>188</v>
      </c>
      <c r="F7" t="s">
        <v>188</v>
      </c>
      <c r="G7" t="s">
        <v>4851</v>
      </c>
      <c r="H7" t="s">
        <v>188</v>
      </c>
      <c r="I7" t="s">
        <v>2616</v>
      </c>
      <c r="J7">
        <v>1</v>
      </c>
      <c r="K7">
        <v>332</v>
      </c>
    </row>
    <row r="8" spans="1:11" x14ac:dyDescent="0.2">
      <c r="A8" t="s">
        <v>5162</v>
      </c>
      <c r="B8">
        <v>250137</v>
      </c>
      <c r="C8" t="s">
        <v>2349</v>
      </c>
      <c r="D8" t="s">
        <v>5226</v>
      </c>
      <c r="E8" t="s">
        <v>188</v>
      </c>
      <c r="F8" t="s">
        <v>188</v>
      </c>
      <c r="G8" t="s">
        <v>4837</v>
      </c>
      <c r="H8" t="s">
        <v>188</v>
      </c>
      <c r="I8" t="s">
        <v>2616</v>
      </c>
      <c r="J8">
        <v>1</v>
      </c>
      <c r="K8">
        <v>51</v>
      </c>
    </row>
    <row r="9" spans="1:11" x14ac:dyDescent="0.2">
      <c r="A9" t="s">
        <v>5162</v>
      </c>
      <c r="B9">
        <v>150118</v>
      </c>
      <c r="C9" t="s">
        <v>1845</v>
      </c>
      <c r="D9" t="s">
        <v>5190</v>
      </c>
      <c r="E9" t="s">
        <v>189</v>
      </c>
      <c r="F9" t="s">
        <v>189</v>
      </c>
      <c r="G9" t="s">
        <v>3489</v>
      </c>
      <c r="H9" t="s">
        <v>189</v>
      </c>
      <c r="I9" t="s">
        <v>2616</v>
      </c>
      <c r="J9">
        <v>1</v>
      </c>
      <c r="K9">
        <v>249</v>
      </c>
    </row>
    <row r="10" spans="1:11" x14ac:dyDescent="0.2">
      <c r="A10" t="s">
        <v>5162</v>
      </c>
      <c r="B10">
        <v>250191</v>
      </c>
      <c r="C10" t="s">
        <v>2369</v>
      </c>
      <c r="D10" t="s">
        <v>5179</v>
      </c>
      <c r="E10" t="s">
        <v>188</v>
      </c>
      <c r="F10" t="s">
        <v>188</v>
      </c>
      <c r="G10" t="s">
        <v>4844</v>
      </c>
      <c r="H10" t="s">
        <v>188</v>
      </c>
      <c r="I10" t="s">
        <v>2616</v>
      </c>
      <c r="J10">
        <v>1</v>
      </c>
      <c r="K10">
        <v>96</v>
      </c>
    </row>
    <row r="11" spans="1:11" x14ac:dyDescent="0.2">
      <c r="A11" t="s">
        <v>5162</v>
      </c>
      <c r="B11">
        <v>250059</v>
      </c>
      <c r="C11" t="s">
        <v>2316</v>
      </c>
      <c r="D11" t="s">
        <v>5203</v>
      </c>
      <c r="E11" t="s">
        <v>188</v>
      </c>
      <c r="F11" t="s">
        <v>188</v>
      </c>
      <c r="G11" t="s">
        <v>4837</v>
      </c>
      <c r="H11" t="s">
        <v>188</v>
      </c>
      <c r="I11" t="s">
        <v>2616</v>
      </c>
      <c r="J11">
        <v>1</v>
      </c>
      <c r="K11">
        <v>119</v>
      </c>
    </row>
    <row r="12" spans="1:11" x14ac:dyDescent="0.2">
      <c r="A12" t="s">
        <v>5162</v>
      </c>
      <c r="B12">
        <v>250132</v>
      </c>
      <c r="C12" t="s">
        <v>2344</v>
      </c>
      <c r="D12" t="s">
        <v>5220</v>
      </c>
      <c r="E12" t="s">
        <v>188</v>
      </c>
      <c r="F12" t="s">
        <v>188</v>
      </c>
      <c r="G12" t="s">
        <v>4837</v>
      </c>
      <c r="H12" t="s">
        <v>188</v>
      </c>
      <c r="I12" t="s">
        <v>2616</v>
      </c>
      <c r="J12">
        <v>1</v>
      </c>
      <c r="K12">
        <v>45</v>
      </c>
    </row>
    <row r="13" spans="1:11" x14ac:dyDescent="0.2">
      <c r="A13" t="s">
        <v>5162</v>
      </c>
      <c r="B13">
        <v>250135</v>
      </c>
      <c r="C13" t="s">
        <v>2347</v>
      </c>
      <c r="D13" t="s">
        <v>5227</v>
      </c>
      <c r="E13" t="s">
        <v>188</v>
      </c>
      <c r="F13" t="s">
        <v>188</v>
      </c>
      <c r="G13" t="s">
        <v>4837</v>
      </c>
      <c r="H13" t="s">
        <v>188</v>
      </c>
      <c r="I13" t="s">
        <v>2616</v>
      </c>
      <c r="J13">
        <v>1</v>
      </c>
      <c r="K13">
        <v>243</v>
      </c>
    </row>
    <row r="14" spans="1:11" x14ac:dyDescent="0.2">
      <c r="A14" t="s">
        <v>5162</v>
      </c>
      <c r="B14">
        <v>250310</v>
      </c>
      <c r="C14" t="s">
        <v>1028</v>
      </c>
      <c r="D14" t="s">
        <v>5202</v>
      </c>
      <c r="E14" t="s">
        <v>188</v>
      </c>
      <c r="F14" t="s">
        <v>188</v>
      </c>
      <c r="G14" t="s">
        <v>4837</v>
      </c>
      <c r="H14" t="s">
        <v>188</v>
      </c>
      <c r="I14" t="s">
        <v>2666</v>
      </c>
      <c r="J14">
        <v>1</v>
      </c>
      <c r="K14">
        <v>96</v>
      </c>
    </row>
    <row r="15" spans="1:11" x14ac:dyDescent="0.2">
      <c r="A15" t="s">
        <v>5162</v>
      </c>
      <c r="B15">
        <v>250129</v>
      </c>
      <c r="C15" t="s">
        <v>2341</v>
      </c>
      <c r="D15" t="s">
        <v>5193</v>
      </c>
      <c r="E15" t="s">
        <v>188</v>
      </c>
      <c r="F15" t="s">
        <v>188</v>
      </c>
      <c r="G15" t="s">
        <v>4837</v>
      </c>
      <c r="H15" t="s">
        <v>188</v>
      </c>
      <c r="I15" t="s">
        <v>2616</v>
      </c>
      <c r="J15">
        <v>1</v>
      </c>
      <c r="K15">
        <v>111</v>
      </c>
    </row>
    <row r="16" spans="1:11" x14ac:dyDescent="0.2">
      <c r="A16" t="s">
        <v>5162</v>
      </c>
      <c r="B16">
        <v>250072</v>
      </c>
      <c r="C16" t="s">
        <v>2325</v>
      </c>
      <c r="D16" t="s">
        <v>5161</v>
      </c>
      <c r="E16" t="s">
        <v>188</v>
      </c>
      <c r="F16" t="s">
        <v>188</v>
      </c>
      <c r="G16" t="s">
        <v>4837</v>
      </c>
      <c r="H16" t="s">
        <v>188</v>
      </c>
      <c r="I16" t="s">
        <v>2616</v>
      </c>
      <c r="J16">
        <v>1</v>
      </c>
      <c r="K16">
        <v>283</v>
      </c>
    </row>
    <row r="17" spans="1:11" x14ac:dyDescent="0.2">
      <c r="A17" t="s">
        <v>5162</v>
      </c>
      <c r="B17">
        <v>250186</v>
      </c>
      <c r="C17" t="s">
        <v>2366</v>
      </c>
      <c r="D17" t="s">
        <v>5218</v>
      </c>
      <c r="E17" t="s">
        <v>188</v>
      </c>
      <c r="F17" t="s">
        <v>188</v>
      </c>
      <c r="G17" t="s">
        <v>4837</v>
      </c>
      <c r="H17" t="s">
        <v>188</v>
      </c>
      <c r="I17" t="s">
        <v>2616</v>
      </c>
      <c r="J17">
        <v>1</v>
      </c>
      <c r="K17">
        <v>297</v>
      </c>
    </row>
    <row r="18" spans="1:11" x14ac:dyDescent="0.2">
      <c r="A18" t="s">
        <v>5162</v>
      </c>
      <c r="B18">
        <v>250049</v>
      </c>
      <c r="C18" t="s">
        <v>2311</v>
      </c>
      <c r="D18" t="s">
        <v>5194</v>
      </c>
      <c r="E18" t="s">
        <v>188</v>
      </c>
      <c r="F18" t="s">
        <v>188</v>
      </c>
      <c r="G18" t="s">
        <v>4837</v>
      </c>
      <c r="H18" t="s">
        <v>188</v>
      </c>
      <c r="I18" t="s">
        <v>2616</v>
      </c>
      <c r="J18">
        <v>1</v>
      </c>
      <c r="K18">
        <v>416</v>
      </c>
    </row>
    <row r="19" spans="1:11" x14ac:dyDescent="0.2">
      <c r="A19" t="s">
        <v>5162</v>
      </c>
      <c r="B19">
        <v>260004</v>
      </c>
      <c r="C19" t="s">
        <v>2389</v>
      </c>
      <c r="D19" t="s">
        <v>5183</v>
      </c>
      <c r="E19" t="s">
        <v>210</v>
      </c>
      <c r="F19" t="s">
        <v>884</v>
      </c>
      <c r="G19" t="s">
        <v>5164</v>
      </c>
      <c r="H19" t="s">
        <v>210</v>
      </c>
      <c r="I19" t="s">
        <v>2616</v>
      </c>
      <c r="J19">
        <v>1</v>
      </c>
      <c r="K19">
        <v>25</v>
      </c>
    </row>
    <row r="20" spans="1:11" x14ac:dyDescent="0.2">
      <c r="A20" t="s">
        <v>5162</v>
      </c>
      <c r="B20">
        <v>250187</v>
      </c>
      <c r="C20" t="s">
        <v>2367</v>
      </c>
      <c r="D20" t="s">
        <v>5173</v>
      </c>
      <c r="E20" t="s">
        <v>188</v>
      </c>
      <c r="F20" t="s">
        <v>188</v>
      </c>
      <c r="G20" t="s">
        <v>4837</v>
      </c>
      <c r="H20" t="s">
        <v>188</v>
      </c>
      <c r="I20" t="s">
        <v>2616</v>
      </c>
      <c r="J20">
        <v>1</v>
      </c>
      <c r="K20">
        <v>224</v>
      </c>
    </row>
    <row r="21" spans="1:11" x14ac:dyDescent="0.2">
      <c r="A21" t="s">
        <v>5162</v>
      </c>
      <c r="B21">
        <v>250193</v>
      </c>
      <c r="C21" t="s">
        <v>2370</v>
      </c>
      <c r="D21" t="s">
        <v>5198</v>
      </c>
      <c r="E21" t="s">
        <v>188</v>
      </c>
      <c r="F21" t="s">
        <v>188</v>
      </c>
      <c r="G21" t="s">
        <v>4844</v>
      </c>
      <c r="H21" t="s">
        <v>188</v>
      </c>
      <c r="I21" t="s">
        <v>2616</v>
      </c>
      <c r="J21">
        <v>1</v>
      </c>
      <c r="K21">
        <v>71</v>
      </c>
    </row>
    <row r="22" spans="1:11" x14ac:dyDescent="0.2">
      <c r="A22" t="s">
        <v>5162</v>
      </c>
      <c r="B22">
        <v>250302</v>
      </c>
      <c r="C22" t="s">
        <v>2372</v>
      </c>
      <c r="D22" t="s">
        <v>5166</v>
      </c>
      <c r="E22" t="s">
        <v>188</v>
      </c>
      <c r="F22" t="s">
        <v>188</v>
      </c>
      <c r="G22" t="s">
        <v>4837</v>
      </c>
      <c r="H22" t="s">
        <v>188</v>
      </c>
      <c r="I22" t="s">
        <v>2616</v>
      </c>
      <c r="J22">
        <v>1</v>
      </c>
      <c r="K22">
        <v>102</v>
      </c>
    </row>
    <row r="23" spans="1:11" x14ac:dyDescent="0.2">
      <c r="A23" t="s">
        <v>5162</v>
      </c>
      <c r="B23">
        <v>250147</v>
      </c>
      <c r="C23" t="s">
        <v>2355</v>
      </c>
      <c r="D23" t="s">
        <v>5224</v>
      </c>
      <c r="E23" t="s">
        <v>188</v>
      </c>
      <c r="F23" t="s">
        <v>188</v>
      </c>
      <c r="G23" t="s">
        <v>4851</v>
      </c>
      <c r="H23" t="s">
        <v>188</v>
      </c>
      <c r="I23" t="s">
        <v>2616</v>
      </c>
      <c r="J23">
        <v>1</v>
      </c>
      <c r="K23">
        <v>80</v>
      </c>
    </row>
    <row r="24" spans="1:11" x14ac:dyDescent="0.2">
      <c r="A24" t="s">
        <v>5162</v>
      </c>
      <c r="B24">
        <v>250188</v>
      </c>
      <c r="C24" t="s">
        <v>2368</v>
      </c>
      <c r="D24" t="s">
        <v>5214</v>
      </c>
      <c r="E24" t="s">
        <v>188</v>
      </c>
      <c r="F24" t="s">
        <v>188</v>
      </c>
      <c r="G24" t="s">
        <v>4837</v>
      </c>
      <c r="H24" t="s">
        <v>188</v>
      </c>
      <c r="I24" t="s">
        <v>2616</v>
      </c>
      <c r="J24">
        <v>1</v>
      </c>
      <c r="K24">
        <v>70</v>
      </c>
    </row>
    <row r="25" spans="1:11" x14ac:dyDescent="0.2">
      <c r="A25" t="s">
        <v>5162</v>
      </c>
      <c r="B25">
        <v>250131</v>
      </c>
      <c r="C25" t="s">
        <v>2343</v>
      </c>
      <c r="D25" t="s">
        <v>5175</v>
      </c>
      <c r="E25" t="s">
        <v>188</v>
      </c>
      <c r="F25" t="s">
        <v>188</v>
      </c>
      <c r="G25" t="s">
        <v>4837</v>
      </c>
      <c r="H25" t="s">
        <v>188</v>
      </c>
      <c r="I25" t="s">
        <v>2616</v>
      </c>
      <c r="J25">
        <v>1</v>
      </c>
      <c r="K25">
        <v>127</v>
      </c>
    </row>
    <row r="26" spans="1:11" x14ac:dyDescent="0.2">
      <c r="A26" t="s">
        <v>5162</v>
      </c>
      <c r="B26">
        <v>250020</v>
      </c>
      <c r="C26" t="s">
        <v>2295</v>
      </c>
      <c r="D26" t="s">
        <v>5180</v>
      </c>
      <c r="E26" t="s">
        <v>188</v>
      </c>
      <c r="F26" t="s">
        <v>188</v>
      </c>
      <c r="G26" t="s">
        <v>4851</v>
      </c>
      <c r="H26" t="s">
        <v>188</v>
      </c>
      <c r="I26" t="s">
        <v>2616</v>
      </c>
      <c r="J26">
        <v>1</v>
      </c>
      <c r="K26">
        <v>196</v>
      </c>
    </row>
    <row r="27" spans="1:11" x14ac:dyDescent="0.2">
      <c r="A27" t="s">
        <v>5162</v>
      </c>
      <c r="B27">
        <v>150155</v>
      </c>
      <c r="C27" t="s">
        <v>1864</v>
      </c>
      <c r="D27" t="s">
        <v>5204</v>
      </c>
      <c r="E27" t="s">
        <v>189</v>
      </c>
      <c r="F27" t="s">
        <v>189</v>
      </c>
      <c r="G27" t="s">
        <v>3489</v>
      </c>
      <c r="H27" t="s">
        <v>189</v>
      </c>
      <c r="I27" t="s">
        <v>2616</v>
      </c>
      <c r="J27">
        <v>1</v>
      </c>
      <c r="K27">
        <v>191</v>
      </c>
    </row>
    <row r="28" spans="1:11" x14ac:dyDescent="0.2">
      <c r="A28" t="s">
        <v>5162</v>
      </c>
      <c r="B28">
        <v>250047</v>
      </c>
      <c r="C28" t="s">
        <v>2309</v>
      </c>
      <c r="D28" t="s">
        <v>5201</v>
      </c>
      <c r="E28" t="s">
        <v>188</v>
      </c>
      <c r="F28" t="s">
        <v>188</v>
      </c>
      <c r="G28" t="s">
        <v>4837</v>
      </c>
      <c r="H28" t="s">
        <v>188</v>
      </c>
      <c r="I28" t="s">
        <v>2616</v>
      </c>
      <c r="J28">
        <v>1</v>
      </c>
      <c r="K28">
        <v>167</v>
      </c>
    </row>
    <row r="29" spans="1:11" x14ac:dyDescent="0.2">
      <c r="A29" t="s">
        <v>5162</v>
      </c>
      <c r="B29">
        <v>250053</v>
      </c>
      <c r="C29" t="s">
        <v>2312</v>
      </c>
      <c r="D29" t="s">
        <v>5212</v>
      </c>
      <c r="E29" t="s">
        <v>188</v>
      </c>
      <c r="F29" t="s">
        <v>188</v>
      </c>
      <c r="G29" t="s">
        <v>5171</v>
      </c>
      <c r="H29" t="s">
        <v>188</v>
      </c>
      <c r="I29" t="s">
        <v>2616</v>
      </c>
      <c r="J29">
        <v>1</v>
      </c>
      <c r="K29">
        <v>124</v>
      </c>
    </row>
    <row r="30" spans="1:11" x14ac:dyDescent="0.2">
      <c r="A30" t="s">
        <v>5162</v>
      </c>
      <c r="B30">
        <v>250130</v>
      </c>
      <c r="C30" t="s">
        <v>2342</v>
      </c>
      <c r="D30" t="s">
        <v>5177</v>
      </c>
      <c r="E30" t="s">
        <v>188</v>
      </c>
      <c r="F30" t="s">
        <v>188</v>
      </c>
      <c r="G30" t="s">
        <v>4837</v>
      </c>
      <c r="H30" t="s">
        <v>188</v>
      </c>
      <c r="I30" t="s">
        <v>2616</v>
      </c>
      <c r="J30">
        <v>1</v>
      </c>
      <c r="K30">
        <v>125</v>
      </c>
    </row>
    <row r="31" spans="1:11" x14ac:dyDescent="0.2">
      <c r="A31" t="s">
        <v>5162</v>
      </c>
      <c r="B31">
        <v>150153</v>
      </c>
      <c r="C31" t="s">
        <v>1862</v>
      </c>
      <c r="D31" t="s">
        <v>5205</v>
      </c>
      <c r="E31" t="s">
        <v>189</v>
      </c>
      <c r="F31" t="s">
        <v>189</v>
      </c>
      <c r="G31" t="s">
        <v>3489</v>
      </c>
      <c r="H31" t="s">
        <v>189</v>
      </c>
      <c r="I31" t="s">
        <v>2616</v>
      </c>
      <c r="J31">
        <v>1</v>
      </c>
      <c r="K31">
        <v>109</v>
      </c>
    </row>
    <row r="32" spans="1:11" x14ac:dyDescent="0.2">
      <c r="A32" t="s">
        <v>5162</v>
      </c>
      <c r="B32">
        <v>250036</v>
      </c>
      <c r="C32" t="s">
        <v>2302</v>
      </c>
      <c r="D32" t="s">
        <v>5199</v>
      </c>
      <c r="E32" t="s">
        <v>188</v>
      </c>
      <c r="F32" t="s">
        <v>188</v>
      </c>
      <c r="G32" t="s">
        <v>4851</v>
      </c>
      <c r="H32" t="s">
        <v>188</v>
      </c>
      <c r="I32" t="s">
        <v>2616</v>
      </c>
      <c r="J32">
        <v>1</v>
      </c>
      <c r="K32">
        <v>17772.349999999999</v>
      </c>
    </row>
    <row r="33" spans="1:11" x14ac:dyDescent="0.2">
      <c r="A33" t="s">
        <v>5162</v>
      </c>
      <c r="B33">
        <v>250140</v>
      </c>
      <c r="C33" t="s">
        <v>2351</v>
      </c>
      <c r="D33" t="s">
        <v>5174</v>
      </c>
      <c r="E33" t="s">
        <v>188</v>
      </c>
      <c r="F33" t="s">
        <v>188</v>
      </c>
      <c r="G33" t="s">
        <v>4851</v>
      </c>
      <c r="H33" t="s">
        <v>188</v>
      </c>
      <c r="I33" t="s">
        <v>2616</v>
      </c>
      <c r="J33">
        <v>1</v>
      </c>
      <c r="K33">
        <v>221</v>
      </c>
    </row>
    <row r="34" spans="1:11" x14ac:dyDescent="0.2">
      <c r="A34" t="s">
        <v>5162</v>
      </c>
      <c r="B34">
        <v>250152</v>
      </c>
      <c r="C34" t="s">
        <v>2358</v>
      </c>
      <c r="D34" t="s">
        <v>5178</v>
      </c>
      <c r="E34" t="s">
        <v>188</v>
      </c>
      <c r="F34" t="s">
        <v>188</v>
      </c>
      <c r="G34" t="s">
        <v>5171</v>
      </c>
      <c r="H34" t="s">
        <v>188</v>
      </c>
      <c r="I34" t="s">
        <v>2616</v>
      </c>
      <c r="J34">
        <v>1</v>
      </c>
      <c r="K34">
        <v>60</v>
      </c>
    </row>
    <row r="35" spans="1:11" x14ac:dyDescent="0.2">
      <c r="A35" t="s">
        <v>5162</v>
      </c>
      <c r="B35">
        <v>150641</v>
      </c>
      <c r="C35" t="s">
        <v>286</v>
      </c>
      <c r="D35" t="s">
        <v>5184</v>
      </c>
      <c r="E35" t="s">
        <v>189</v>
      </c>
      <c r="F35" t="s">
        <v>189</v>
      </c>
      <c r="G35" t="s">
        <v>4053</v>
      </c>
      <c r="H35" t="s">
        <v>189</v>
      </c>
      <c r="I35" t="s">
        <v>2666</v>
      </c>
      <c r="J35">
        <v>1</v>
      </c>
      <c r="K35">
        <v>222</v>
      </c>
    </row>
    <row r="36" spans="1:11" x14ac:dyDescent="0.2">
      <c r="A36" t="s">
        <v>5162</v>
      </c>
      <c r="B36">
        <v>260006</v>
      </c>
      <c r="C36" t="s">
        <v>2391</v>
      </c>
      <c r="D36" t="s">
        <v>5207</v>
      </c>
      <c r="E36" t="s">
        <v>210</v>
      </c>
      <c r="F36" t="s">
        <v>884</v>
      </c>
      <c r="G36" t="s">
        <v>5164</v>
      </c>
      <c r="H36" t="s">
        <v>210</v>
      </c>
      <c r="I36" t="s">
        <v>2616</v>
      </c>
      <c r="J36">
        <v>1</v>
      </c>
      <c r="K36">
        <v>75</v>
      </c>
    </row>
    <row r="37" spans="1:11" x14ac:dyDescent="0.2">
      <c r="A37" t="s">
        <v>5162</v>
      </c>
      <c r="B37">
        <v>260003</v>
      </c>
      <c r="C37" t="s">
        <v>2388</v>
      </c>
      <c r="D37" t="s">
        <v>5223</v>
      </c>
      <c r="E37" t="s">
        <v>210</v>
      </c>
      <c r="F37" t="s">
        <v>884</v>
      </c>
      <c r="G37" t="s">
        <v>5164</v>
      </c>
      <c r="H37" t="s">
        <v>210</v>
      </c>
      <c r="I37" t="s">
        <v>2616</v>
      </c>
      <c r="J37">
        <v>1</v>
      </c>
      <c r="K37">
        <v>60</v>
      </c>
    </row>
    <row r="38" spans="1:11" x14ac:dyDescent="0.2">
      <c r="A38" t="s">
        <v>5162</v>
      </c>
      <c r="B38">
        <v>250197</v>
      </c>
      <c r="C38" t="s">
        <v>1025</v>
      </c>
      <c r="D38" t="s">
        <v>5170</v>
      </c>
      <c r="E38" t="s">
        <v>188</v>
      </c>
      <c r="F38" t="s">
        <v>188</v>
      </c>
      <c r="G38" t="s">
        <v>4837</v>
      </c>
      <c r="H38" t="s">
        <v>188</v>
      </c>
      <c r="I38" t="s">
        <v>2666</v>
      </c>
      <c r="J38">
        <v>1</v>
      </c>
      <c r="K38">
        <v>20</v>
      </c>
    </row>
    <row r="39" spans="1:11" x14ac:dyDescent="0.2">
      <c r="A39" t="s">
        <v>5162</v>
      </c>
      <c r="B39">
        <v>250190</v>
      </c>
      <c r="C39" t="s">
        <v>1024</v>
      </c>
      <c r="D39" t="s">
        <v>5163</v>
      </c>
      <c r="E39" t="s">
        <v>188</v>
      </c>
      <c r="F39" t="s">
        <v>188</v>
      </c>
      <c r="G39" t="s">
        <v>4844</v>
      </c>
      <c r="H39" t="s">
        <v>188</v>
      </c>
      <c r="I39" t="s">
        <v>2666</v>
      </c>
      <c r="J39">
        <v>1</v>
      </c>
      <c r="K39">
        <v>750</v>
      </c>
    </row>
    <row r="40" spans="1:11" x14ac:dyDescent="0.2">
      <c r="A40" t="s">
        <v>5162</v>
      </c>
      <c r="B40">
        <v>250043</v>
      </c>
      <c r="C40" t="s">
        <v>1014</v>
      </c>
      <c r="D40" t="s">
        <v>5217</v>
      </c>
      <c r="E40" t="s">
        <v>188</v>
      </c>
      <c r="F40" t="s">
        <v>188</v>
      </c>
      <c r="G40" t="s">
        <v>4837</v>
      </c>
      <c r="H40" t="s">
        <v>188</v>
      </c>
      <c r="I40" t="s">
        <v>2666</v>
      </c>
      <c r="J40">
        <v>1</v>
      </c>
      <c r="K40">
        <v>383</v>
      </c>
    </row>
    <row r="41" spans="1:11" x14ac:dyDescent="0.2">
      <c r="A41" t="s">
        <v>5162</v>
      </c>
      <c r="B41">
        <v>250149</v>
      </c>
      <c r="C41" t="s">
        <v>2356</v>
      </c>
      <c r="D41" t="s">
        <v>5185</v>
      </c>
      <c r="E41" t="s">
        <v>188</v>
      </c>
      <c r="F41" t="s">
        <v>188</v>
      </c>
      <c r="G41" t="s">
        <v>4851</v>
      </c>
      <c r="H41" t="s">
        <v>188</v>
      </c>
      <c r="I41" t="s">
        <v>2616</v>
      </c>
      <c r="J41">
        <v>1</v>
      </c>
      <c r="K41">
        <v>254</v>
      </c>
    </row>
    <row r="42" spans="1:11" x14ac:dyDescent="0.2">
      <c r="A42" t="s">
        <v>5162</v>
      </c>
      <c r="B42">
        <v>260002</v>
      </c>
      <c r="C42" t="s">
        <v>2399</v>
      </c>
      <c r="D42" t="s">
        <v>5165</v>
      </c>
      <c r="E42" t="s">
        <v>210</v>
      </c>
      <c r="F42" t="s">
        <v>884</v>
      </c>
      <c r="G42" t="s">
        <v>5164</v>
      </c>
      <c r="H42" t="s">
        <v>210</v>
      </c>
      <c r="I42" t="s">
        <v>2666</v>
      </c>
      <c r="J42">
        <v>1</v>
      </c>
      <c r="K42">
        <v>10</v>
      </c>
    </row>
    <row r="43" spans="1:11" x14ac:dyDescent="0.2">
      <c r="A43" t="s">
        <v>5162</v>
      </c>
      <c r="B43">
        <v>150609</v>
      </c>
      <c r="C43" t="s">
        <v>1914</v>
      </c>
      <c r="D43" t="s">
        <v>5215</v>
      </c>
      <c r="E43" t="s">
        <v>189</v>
      </c>
      <c r="F43" t="s">
        <v>189</v>
      </c>
      <c r="G43" t="s">
        <v>4053</v>
      </c>
      <c r="H43" t="s">
        <v>189</v>
      </c>
      <c r="I43" t="s">
        <v>2616</v>
      </c>
      <c r="J43">
        <v>1</v>
      </c>
      <c r="K43">
        <v>207</v>
      </c>
    </row>
    <row r="44" spans="1:11" x14ac:dyDescent="0.2">
      <c r="A44" t="s">
        <v>5162</v>
      </c>
      <c r="B44">
        <v>250082</v>
      </c>
      <c r="C44" t="s">
        <v>2329</v>
      </c>
      <c r="D44" t="s">
        <v>5219</v>
      </c>
      <c r="E44" t="s">
        <v>188</v>
      </c>
      <c r="F44" t="s">
        <v>188</v>
      </c>
      <c r="G44" t="s">
        <v>4851</v>
      </c>
      <c r="H44" t="s">
        <v>188</v>
      </c>
      <c r="I44" t="s">
        <v>2616</v>
      </c>
      <c r="J44">
        <v>1</v>
      </c>
      <c r="K44">
        <v>470</v>
      </c>
    </row>
    <row r="45" spans="1:11" x14ac:dyDescent="0.2">
      <c r="A45" t="s">
        <v>5162</v>
      </c>
      <c r="B45">
        <v>250054</v>
      </c>
      <c r="C45" t="s">
        <v>2313</v>
      </c>
      <c r="D45" t="s">
        <v>5192</v>
      </c>
      <c r="E45" t="s">
        <v>188</v>
      </c>
      <c r="F45" t="s">
        <v>188</v>
      </c>
      <c r="G45" t="s">
        <v>4837</v>
      </c>
      <c r="H45" t="s">
        <v>188</v>
      </c>
      <c r="I45" t="s">
        <v>2616</v>
      </c>
      <c r="J45">
        <v>1</v>
      </c>
      <c r="K45">
        <v>49</v>
      </c>
    </row>
    <row r="46" spans="1:11" x14ac:dyDescent="0.2">
      <c r="A46" t="s">
        <v>5162</v>
      </c>
      <c r="B46">
        <v>250300</v>
      </c>
      <c r="C46" t="s">
        <v>2371</v>
      </c>
      <c r="D46" t="s">
        <v>5197</v>
      </c>
      <c r="E46" t="s">
        <v>188</v>
      </c>
      <c r="F46" t="s">
        <v>188</v>
      </c>
      <c r="G46" t="s">
        <v>4837</v>
      </c>
      <c r="H46" t="s">
        <v>188</v>
      </c>
      <c r="I46" t="s">
        <v>2616</v>
      </c>
      <c r="J46">
        <v>1</v>
      </c>
      <c r="K46">
        <v>160</v>
      </c>
    </row>
    <row r="47" spans="1:11" x14ac:dyDescent="0.2">
      <c r="A47" t="s">
        <v>5162</v>
      </c>
      <c r="B47">
        <v>250151</v>
      </c>
      <c r="C47" t="s">
        <v>2357</v>
      </c>
      <c r="D47" t="s">
        <v>5191</v>
      </c>
      <c r="E47" t="s">
        <v>188</v>
      </c>
      <c r="F47" t="s">
        <v>188</v>
      </c>
      <c r="G47" t="s">
        <v>5171</v>
      </c>
      <c r="H47" t="s">
        <v>188</v>
      </c>
      <c r="I47" t="s">
        <v>2616</v>
      </c>
      <c r="J47">
        <v>1</v>
      </c>
      <c r="K47">
        <v>54</v>
      </c>
    </row>
    <row r="48" spans="1:11" x14ac:dyDescent="0.2">
      <c r="A48" t="s">
        <v>5162</v>
      </c>
      <c r="B48">
        <v>250070</v>
      </c>
      <c r="C48" t="s">
        <v>2323</v>
      </c>
      <c r="D48" t="s">
        <v>5195</v>
      </c>
      <c r="E48" t="s">
        <v>188</v>
      </c>
      <c r="F48" t="s">
        <v>188</v>
      </c>
      <c r="G48" t="s">
        <v>4837</v>
      </c>
      <c r="H48" t="s">
        <v>188</v>
      </c>
      <c r="I48" t="s">
        <v>2616</v>
      </c>
      <c r="J48">
        <v>1</v>
      </c>
      <c r="K48">
        <v>149</v>
      </c>
    </row>
    <row r="49" spans="1:11" x14ac:dyDescent="0.2">
      <c r="A49" t="s">
        <v>5162</v>
      </c>
      <c r="B49">
        <v>250153</v>
      </c>
      <c r="C49" t="s">
        <v>2359</v>
      </c>
      <c r="D49" t="s">
        <v>5213</v>
      </c>
      <c r="E49" t="s">
        <v>188</v>
      </c>
      <c r="F49" t="s">
        <v>188</v>
      </c>
      <c r="G49" t="s">
        <v>5171</v>
      </c>
      <c r="H49" t="s">
        <v>188</v>
      </c>
      <c r="I49" t="s">
        <v>2616</v>
      </c>
      <c r="J49">
        <v>1</v>
      </c>
      <c r="K49">
        <v>111</v>
      </c>
    </row>
    <row r="50" spans="1:11" x14ac:dyDescent="0.2">
      <c r="A50" t="s">
        <v>5162</v>
      </c>
      <c r="B50">
        <v>260007</v>
      </c>
      <c r="C50" t="s">
        <v>2392</v>
      </c>
      <c r="D50" t="s">
        <v>5182</v>
      </c>
      <c r="E50" t="s">
        <v>210</v>
      </c>
      <c r="F50" t="s">
        <v>884</v>
      </c>
      <c r="G50" t="s">
        <v>5181</v>
      </c>
      <c r="H50" t="s">
        <v>210</v>
      </c>
      <c r="I50" t="s">
        <v>2616</v>
      </c>
      <c r="J50">
        <v>1</v>
      </c>
      <c r="K50">
        <v>50</v>
      </c>
    </row>
    <row r="51" spans="1:11" x14ac:dyDescent="0.2">
      <c r="A51" t="s">
        <v>5162</v>
      </c>
      <c r="B51">
        <v>250157</v>
      </c>
      <c r="C51" t="s">
        <v>2361</v>
      </c>
      <c r="D51" t="s">
        <v>5172</v>
      </c>
      <c r="E51" t="s">
        <v>188</v>
      </c>
      <c r="F51" t="s">
        <v>188</v>
      </c>
      <c r="G51" t="s">
        <v>5171</v>
      </c>
      <c r="H51" t="s">
        <v>188</v>
      </c>
      <c r="I51" t="s">
        <v>2616</v>
      </c>
      <c r="J51">
        <v>1</v>
      </c>
      <c r="K51">
        <v>101</v>
      </c>
    </row>
    <row r="52" spans="1:11" x14ac:dyDescent="0.2">
      <c r="A52" t="s">
        <v>5162</v>
      </c>
      <c r="B52">
        <v>250056</v>
      </c>
      <c r="C52" t="s">
        <v>2314</v>
      </c>
      <c r="D52" t="s">
        <v>5225</v>
      </c>
      <c r="E52" t="s">
        <v>188</v>
      </c>
      <c r="F52" t="s">
        <v>188</v>
      </c>
      <c r="G52" t="s">
        <v>4837</v>
      </c>
      <c r="H52" t="s">
        <v>188</v>
      </c>
      <c r="I52" t="s">
        <v>2616</v>
      </c>
      <c r="J52">
        <v>1</v>
      </c>
      <c r="K52">
        <v>146</v>
      </c>
    </row>
    <row r="53" spans="1:11" x14ac:dyDescent="0.2">
      <c r="A53" t="s">
        <v>5162</v>
      </c>
      <c r="B53">
        <v>250305</v>
      </c>
      <c r="C53" t="s">
        <v>2373</v>
      </c>
      <c r="D53" t="s">
        <v>5188</v>
      </c>
      <c r="E53" t="s">
        <v>188</v>
      </c>
      <c r="F53" t="s">
        <v>188</v>
      </c>
      <c r="G53" t="s">
        <v>4837</v>
      </c>
      <c r="H53" t="s">
        <v>188</v>
      </c>
      <c r="I53" t="s">
        <v>2616</v>
      </c>
      <c r="J53">
        <v>1</v>
      </c>
      <c r="K53">
        <v>66</v>
      </c>
    </row>
    <row r="54" spans="1:11" x14ac:dyDescent="0.2">
      <c r="A54" t="s">
        <v>5162</v>
      </c>
      <c r="B54">
        <v>250315</v>
      </c>
      <c r="C54" t="s">
        <v>2375</v>
      </c>
      <c r="D54" t="s">
        <v>5209</v>
      </c>
      <c r="E54" t="s">
        <v>188</v>
      </c>
      <c r="F54" t="s">
        <v>188</v>
      </c>
      <c r="G54" t="s">
        <v>4837</v>
      </c>
      <c r="H54" t="s">
        <v>188</v>
      </c>
      <c r="I54" t="s">
        <v>2616</v>
      </c>
      <c r="J54">
        <v>1</v>
      </c>
      <c r="K54">
        <v>91</v>
      </c>
    </row>
    <row r="55" spans="1:11" x14ac:dyDescent="0.2">
      <c r="A55" t="s">
        <v>5162</v>
      </c>
      <c r="B55">
        <v>253003</v>
      </c>
      <c r="C55" t="s">
        <v>1036</v>
      </c>
      <c r="D55" t="s">
        <v>5187</v>
      </c>
      <c r="E55" t="s">
        <v>188</v>
      </c>
      <c r="F55" t="s">
        <v>188</v>
      </c>
      <c r="G55" t="s">
        <v>4851</v>
      </c>
      <c r="H55" t="s">
        <v>188</v>
      </c>
      <c r="I55" t="s">
        <v>2666</v>
      </c>
      <c r="J55">
        <v>1</v>
      </c>
      <c r="K55">
        <v>77</v>
      </c>
    </row>
    <row r="56" spans="1:11" x14ac:dyDescent="0.2">
      <c r="A56" t="s">
        <v>5162</v>
      </c>
      <c r="B56">
        <v>250308</v>
      </c>
      <c r="C56" t="s">
        <v>2374</v>
      </c>
      <c r="D56" t="s">
        <v>5186</v>
      </c>
      <c r="E56" t="s">
        <v>188</v>
      </c>
      <c r="F56" t="s">
        <v>188</v>
      </c>
      <c r="G56" t="s">
        <v>4837</v>
      </c>
      <c r="H56" t="s">
        <v>188</v>
      </c>
      <c r="I56" t="s">
        <v>2616</v>
      </c>
      <c r="J56">
        <v>1</v>
      </c>
      <c r="K56">
        <v>223</v>
      </c>
    </row>
    <row r="57" spans="1:11" x14ac:dyDescent="0.2">
      <c r="A57" t="s">
        <v>5162</v>
      </c>
      <c r="B57">
        <v>250141</v>
      </c>
      <c r="C57" t="s">
        <v>2352</v>
      </c>
      <c r="D57" t="s">
        <v>5168</v>
      </c>
      <c r="E57" t="s">
        <v>188</v>
      </c>
      <c r="F57" t="s">
        <v>188</v>
      </c>
      <c r="G57" t="s">
        <v>4851</v>
      </c>
      <c r="H57" t="s">
        <v>188</v>
      </c>
      <c r="I57" t="s">
        <v>2616</v>
      </c>
      <c r="J57">
        <v>1</v>
      </c>
      <c r="K57">
        <v>306</v>
      </c>
    </row>
    <row r="58" spans="1:11" x14ac:dyDescent="0.2">
      <c r="A58" t="s">
        <v>5162</v>
      </c>
      <c r="B58">
        <v>253000</v>
      </c>
      <c r="C58" t="s">
        <v>2386</v>
      </c>
      <c r="D58" t="s">
        <v>5200</v>
      </c>
      <c r="E58" t="s">
        <v>188</v>
      </c>
      <c r="F58" t="s">
        <v>188</v>
      </c>
      <c r="G58" t="s">
        <v>4851</v>
      </c>
      <c r="H58" t="s">
        <v>188</v>
      </c>
      <c r="I58" t="s">
        <v>2616</v>
      </c>
      <c r="J58">
        <v>1</v>
      </c>
      <c r="K58">
        <v>260</v>
      </c>
    </row>
    <row r="59" spans="1:11" x14ac:dyDescent="0.2">
      <c r="A59" t="s">
        <v>5162</v>
      </c>
      <c r="B59">
        <v>260005</v>
      </c>
      <c r="C59" t="s">
        <v>2390</v>
      </c>
      <c r="D59" t="s">
        <v>5206</v>
      </c>
      <c r="E59" t="s">
        <v>210</v>
      </c>
      <c r="F59" t="s">
        <v>884</v>
      </c>
      <c r="G59" t="s">
        <v>5164</v>
      </c>
      <c r="H59" t="s">
        <v>210</v>
      </c>
      <c r="I59" t="s">
        <v>2616</v>
      </c>
      <c r="J59">
        <v>1</v>
      </c>
      <c r="K59">
        <v>140</v>
      </c>
    </row>
    <row r="60" spans="1:11" x14ac:dyDescent="0.2">
      <c r="A60" t="s">
        <v>5162</v>
      </c>
      <c r="B60">
        <v>260008</v>
      </c>
      <c r="C60" t="s">
        <v>2393</v>
      </c>
      <c r="D60" t="s">
        <v>5211</v>
      </c>
      <c r="E60" t="s">
        <v>210</v>
      </c>
      <c r="F60" t="s">
        <v>884</v>
      </c>
      <c r="G60" t="s">
        <v>5210</v>
      </c>
      <c r="H60" t="s">
        <v>210</v>
      </c>
      <c r="I60" t="s">
        <v>2616</v>
      </c>
      <c r="J60">
        <v>1</v>
      </c>
      <c r="K60">
        <v>25</v>
      </c>
    </row>
    <row r="61" spans="1:11" x14ac:dyDescent="0.2">
      <c r="A61" t="s">
        <v>5162</v>
      </c>
      <c r="B61">
        <v>253002</v>
      </c>
      <c r="C61" t="s">
        <v>1035</v>
      </c>
      <c r="D61" t="s">
        <v>5222</v>
      </c>
      <c r="E61" t="s">
        <v>188</v>
      </c>
      <c r="F61" t="s">
        <v>188</v>
      </c>
      <c r="G61" t="s">
        <v>4851</v>
      </c>
      <c r="H61" t="s">
        <v>188</v>
      </c>
      <c r="I61" t="s">
        <v>2666</v>
      </c>
      <c r="J61">
        <v>1</v>
      </c>
      <c r="K61">
        <v>115</v>
      </c>
    </row>
    <row r="62" spans="1:11" x14ac:dyDescent="0.2">
      <c r="A62" t="s">
        <v>5162</v>
      </c>
      <c r="B62">
        <v>150012</v>
      </c>
      <c r="C62" t="s">
        <v>1800</v>
      </c>
      <c r="D62" t="s">
        <v>5208</v>
      </c>
      <c r="E62" t="s">
        <v>189</v>
      </c>
      <c r="F62" t="s">
        <v>189</v>
      </c>
      <c r="G62" t="s">
        <v>3742</v>
      </c>
      <c r="H62" t="s">
        <v>189</v>
      </c>
      <c r="I62" t="s">
        <v>2616</v>
      </c>
      <c r="J62">
        <v>1</v>
      </c>
      <c r="K62">
        <v>271</v>
      </c>
    </row>
    <row r="63" spans="1:11" x14ac:dyDescent="0.2">
      <c r="A63" t="s">
        <v>5162</v>
      </c>
      <c r="B63">
        <v>250156</v>
      </c>
      <c r="C63" t="s">
        <v>2360</v>
      </c>
      <c r="D63" t="s">
        <v>5176</v>
      </c>
      <c r="E63" t="s">
        <v>188</v>
      </c>
      <c r="F63" t="s">
        <v>188</v>
      </c>
      <c r="G63" t="s">
        <v>5171</v>
      </c>
      <c r="H63" t="s">
        <v>188</v>
      </c>
      <c r="I63" t="s">
        <v>2616</v>
      </c>
      <c r="J63">
        <v>1</v>
      </c>
      <c r="K63">
        <v>34</v>
      </c>
    </row>
    <row r="64" spans="1:11" x14ac:dyDescent="0.2">
      <c r="A64" t="s">
        <v>5058</v>
      </c>
      <c r="B64">
        <v>170243</v>
      </c>
      <c r="C64" t="s">
        <v>835</v>
      </c>
      <c r="D64" t="s">
        <v>5091</v>
      </c>
      <c r="E64" t="s">
        <v>187</v>
      </c>
      <c r="F64" t="s">
        <v>187</v>
      </c>
      <c r="G64" t="s">
        <v>5056</v>
      </c>
      <c r="H64" t="s">
        <v>187</v>
      </c>
      <c r="I64" t="s">
        <v>2666</v>
      </c>
      <c r="J64">
        <v>1</v>
      </c>
      <c r="K64">
        <v>46</v>
      </c>
    </row>
    <row r="65" spans="1:11" x14ac:dyDescent="0.2">
      <c r="A65" t="s">
        <v>5058</v>
      </c>
      <c r="B65">
        <v>170004</v>
      </c>
      <c r="C65" t="s">
        <v>1977</v>
      </c>
      <c r="D65" t="s">
        <v>5152</v>
      </c>
      <c r="E65" t="s">
        <v>187</v>
      </c>
      <c r="F65" t="s">
        <v>187</v>
      </c>
      <c r="G65" t="s">
        <v>5151</v>
      </c>
      <c r="H65" t="s">
        <v>187</v>
      </c>
      <c r="I65" t="s">
        <v>2616</v>
      </c>
      <c r="J65">
        <v>1</v>
      </c>
      <c r="K65">
        <v>130</v>
      </c>
    </row>
    <row r="66" spans="1:11" x14ac:dyDescent="0.2">
      <c r="A66" t="s">
        <v>5058</v>
      </c>
      <c r="B66">
        <v>171303</v>
      </c>
      <c r="C66" t="s">
        <v>2116</v>
      </c>
      <c r="D66" t="s">
        <v>5090</v>
      </c>
      <c r="E66" t="s">
        <v>187</v>
      </c>
      <c r="F66" t="s">
        <v>187</v>
      </c>
      <c r="G66" t="s">
        <v>5068</v>
      </c>
      <c r="H66" t="s">
        <v>187</v>
      </c>
      <c r="I66" t="s">
        <v>2616</v>
      </c>
      <c r="J66">
        <v>1</v>
      </c>
      <c r="K66">
        <v>150</v>
      </c>
    </row>
    <row r="67" spans="1:11" x14ac:dyDescent="0.2">
      <c r="A67" t="s">
        <v>5058</v>
      </c>
      <c r="B67">
        <v>150050</v>
      </c>
      <c r="C67" t="s">
        <v>769</v>
      </c>
      <c r="D67" t="s">
        <v>5145</v>
      </c>
      <c r="E67" t="s">
        <v>189</v>
      </c>
      <c r="F67" t="s">
        <v>189</v>
      </c>
      <c r="G67" t="s">
        <v>3504</v>
      </c>
      <c r="H67" t="s">
        <v>189</v>
      </c>
      <c r="I67" t="s">
        <v>2666</v>
      </c>
      <c r="J67">
        <v>1</v>
      </c>
      <c r="K67">
        <v>32</v>
      </c>
    </row>
    <row r="68" spans="1:11" x14ac:dyDescent="0.2">
      <c r="A68" t="s">
        <v>5058</v>
      </c>
      <c r="B68">
        <v>150187</v>
      </c>
      <c r="C68" t="s">
        <v>784</v>
      </c>
      <c r="D68" t="s">
        <v>5064</v>
      </c>
      <c r="E68" t="s">
        <v>189</v>
      </c>
      <c r="F68" t="s">
        <v>189</v>
      </c>
      <c r="G68" t="s">
        <v>4053</v>
      </c>
      <c r="H68" t="s">
        <v>189</v>
      </c>
      <c r="I68" t="s">
        <v>2666</v>
      </c>
      <c r="J68">
        <v>1</v>
      </c>
      <c r="K68">
        <v>10</v>
      </c>
    </row>
    <row r="69" spans="1:11" x14ac:dyDescent="0.2">
      <c r="A69" t="s">
        <v>5058</v>
      </c>
      <c r="B69">
        <v>29010</v>
      </c>
      <c r="C69" t="s">
        <v>1567</v>
      </c>
      <c r="D69" t="s">
        <v>5138</v>
      </c>
      <c r="E69" t="s">
        <v>281</v>
      </c>
      <c r="F69" t="s">
        <v>281</v>
      </c>
      <c r="G69" t="s">
        <v>2688</v>
      </c>
      <c r="H69" t="s">
        <v>281</v>
      </c>
      <c r="I69" t="s">
        <v>2616</v>
      </c>
      <c r="J69">
        <v>1</v>
      </c>
      <c r="K69">
        <v>16182.55</v>
      </c>
    </row>
    <row r="70" spans="1:11" x14ac:dyDescent="0.2">
      <c r="A70" t="s">
        <v>5058</v>
      </c>
      <c r="B70">
        <v>170053</v>
      </c>
      <c r="C70" t="s">
        <v>2611</v>
      </c>
      <c r="D70" t="s">
        <v>5075</v>
      </c>
      <c r="E70" t="s">
        <v>187</v>
      </c>
      <c r="F70" t="s">
        <v>187</v>
      </c>
      <c r="G70" t="s">
        <v>5056</v>
      </c>
      <c r="H70" t="s">
        <v>187</v>
      </c>
      <c r="I70" t="s">
        <v>2616</v>
      </c>
      <c r="J70">
        <v>1</v>
      </c>
      <c r="K70">
        <v>1944</v>
      </c>
    </row>
    <row r="71" spans="1:11" x14ac:dyDescent="0.2">
      <c r="A71" t="s">
        <v>5058</v>
      </c>
      <c r="B71">
        <v>150300</v>
      </c>
      <c r="C71" t="s">
        <v>795</v>
      </c>
      <c r="D71" t="s">
        <v>5099</v>
      </c>
      <c r="E71" t="s">
        <v>189</v>
      </c>
      <c r="F71" t="s">
        <v>189</v>
      </c>
      <c r="G71" t="s">
        <v>4130</v>
      </c>
      <c r="H71" t="s">
        <v>189</v>
      </c>
      <c r="I71" t="s">
        <v>2666</v>
      </c>
      <c r="J71">
        <v>1</v>
      </c>
      <c r="K71">
        <v>166</v>
      </c>
    </row>
    <row r="72" spans="1:11" x14ac:dyDescent="0.2">
      <c r="A72" t="s">
        <v>5058</v>
      </c>
      <c r="B72">
        <v>150073</v>
      </c>
      <c r="C72" t="s">
        <v>1830</v>
      </c>
      <c r="D72" t="s">
        <v>5105</v>
      </c>
      <c r="E72" t="s">
        <v>189</v>
      </c>
      <c r="F72" t="s">
        <v>189</v>
      </c>
      <c r="G72" t="s">
        <v>4053</v>
      </c>
      <c r="H72" t="s">
        <v>189</v>
      </c>
      <c r="I72" t="s">
        <v>2616</v>
      </c>
      <c r="J72">
        <v>1</v>
      </c>
      <c r="K72">
        <v>14</v>
      </c>
    </row>
    <row r="73" spans="1:11" x14ac:dyDescent="0.2">
      <c r="A73" t="s">
        <v>5058</v>
      </c>
      <c r="B73">
        <v>150146</v>
      </c>
      <c r="C73" t="s">
        <v>780</v>
      </c>
      <c r="D73" t="s">
        <v>5077</v>
      </c>
      <c r="E73" t="s">
        <v>189</v>
      </c>
      <c r="F73" t="s">
        <v>189</v>
      </c>
      <c r="G73" t="s">
        <v>4053</v>
      </c>
      <c r="H73" t="s">
        <v>189</v>
      </c>
      <c r="I73" t="s">
        <v>2666</v>
      </c>
      <c r="J73">
        <v>1</v>
      </c>
      <c r="K73">
        <v>55</v>
      </c>
    </row>
    <row r="74" spans="1:11" x14ac:dyDescent="0.2">
      <c r="A74" t="s">
        <v>5058</v>
      </c>
      <c r="B74">
        <v>150400</v>
      </c>
      <c r="C74" t="s">
        <v>1906</v>
      </c>
      <c r="D74" t="s">
        <v>5130</v>
      </c>
      <c r="E74" t="s">
        <v>189</v>
      </c>
      <c r="F74" t="s">
        <v>189</v>
      </c>
      <c r="G74" t="s">
        <v>4163</v>
      </c>
      <c r="H74" t="s">
        <v>189</v>
      </c>
      <c r="I74" t="s">
        <v>2616</v>
      </c>
      <c r="J74">
        <v>1</v>
      </c>
      <c r="K74">
        <v>283</v>
      </c>
    </row>
    <row r="75" spans="1:11" x14ac:dyDescent="0.2">
      <c r="A75" t="s">
        <v>5058</v>
      </c>
      <c r="B75">
        <v>171004</v>
      </c>
      <c r="C75" t="s">
        <v>2583</v>
      </c>
      <c r="D75" t="s">
        <v>5104</v>
      </c>
      <c r="E75" t="s">
        <v>187</v>
      </c>
      <c r="F75" t="s">
        <v>187</v>
      </c>
      <c r="G75" t="s">
        <v>5068</v>
      </c>
      <c r="H75" t="s">
        <v>187</v>
      </c>
      <c r="I75" t="s">
        <v>2666</v>
      </c>
      <c r="J75">
        <v>1</v>
      </c>
      <c r="K75">
        <v>111</v>
      </c>
    </row>
    <row r="76" spans="1:11" x14ac:dyDescent="0.2">
      <c r="A76" t="s">
        <v>5058</v>
      </c>
      <c r="B76">
        <v>150142</v>
      </c>
      <c r="C76" t="s">
        <v>1198</v>
      </c>
      <c r="D76" t="s">
        <v>5156</v>
      </c>
      <c r="E76" t="s">
        <v>189</v>
      </c>
      <c r="F76" t="s">
        <v>189</v>
      </c>
      <c r="G76" t="s">
        <v>4053</v>
      </c>
      <c r="H76" t="s">
        <v>189</v>
      </c>
      <c r="I76" t="s">
        <v>2666</v>
      </c>
      <c r="J76">
        <v>1</v>
      </c>
      <c r="K76">
        <v>10</v>
      </c>
    </row>
    <row r="77" spans="1:11" x14ac:dyDescent="0.2">
      <c r="A77" t="s">
        <v>5058</v>
      </c>
      <c r="B77">
        <v>150086</v>
      </c>
      <c r="C77" t="s">
        <v>1834</v>
      </c>
      <c r="D77" t="s">
        <v>5155</v>
      </c>
      <c r="E77" t="s">
        <v>189</v>
      </c>
      <c r="F77" t="s">
        <v>189</v>
      </c>
      <c r="G77" t="s">
        <v>4130</v>
      </c>
      <c r="H77" t="s">
        <v>189</v>
      </c>
      <c r="I77" t="s">
        <v>2616</v>
      </c>
      <c r="J77">
        <v>1</v>
      </c>
      <c r="K77">
        <v>86</v>
      </c>
    </row>
    <row r="78" spans="1:11" x14ac:dyDescent="0.2">
      <c r="A78" t="s">
        <v>5058</v>
      </c>
      <c r="B78">
        <v>171332</v>
      </c>
      <c r="C78" t="s">
        <v>2130</v>
      </c>
      <c r="D78" t="s">
        <v>5096</v>
      </c>
      <c r="E78" t="s">
        <v>187</v>
      </c>
      <c r="F78" t="s">
        <v>187</v>
      </c>
      <c r="G78" t="s">
        <v>5068</v>
      </c>
      <c r="H78" t="s">
        <v>187</v>
      </c>
      <c r="I78" t="s">
        <v>2616</v>
      </c>
      <c r="J78">
        <v>1</v>
      </c>
      <c r="K78">
        <v>77</v>
      </c>
    </row>
    <row r="79" spans="1:11" x14ac:dyDescent="0.2">
      <c r="A79" t="s">
        <v>5058</v>
      </c>
      <c r="B79">
        <v>171352</v>
      </c>
      <c r="C79" t="s">
        <v>859</v>
      </c>
      <c r="D79" t="s">
        <v>5121</v>
      </c>
      <c r="E79" t="s">
        <v>187</v>
      </c>
      <c r="F79" t="s">
        <v>187</v>
      </c>
      <c r="G79" t="s">
        <v>3940</v>
      </c>
      <c r="H79" t="s">
        <v>187</v>
      </c>
      <c r="I79" t="s">
        <v>2666</v>
      </c>
      <c r="J79">
        <v>1</v>
      </c>
      <c r="K79">
        <v>10</v>
      </c>
    </row>
    <row r="80" spans="1:11" x14ac:dyDescent="0.2">
      <c r="A80" t="s">
        <v>5058</v>
      </c>
      <c r="B80">
        <v>170038</v>
      </c>
      <c r="C80" t="s">
        <v>1996</v>
      </c>
      <c r="D80" t="s">
        <v>5065</v>
      </c>
      <c r="E80" t="s">
        <v>187</v>
      </c>
      <c r="F80" t="s">
        <v>187</v>
      </c>
      <c r="G80" t="s">
        <v>3940</v>
      </c>
      <c r="H80" t="s">
        <v>187</v>
      </c>
      <c r="I80" t="s">
        <v>2616</v>
      </c>
      <c r="J80">
        <v>1</v>
      </c>
      <c r="K80">
        <v>292</v>
      </c>
    </row>
    <row r="81" spans="1:11" x14ac:dyDescent="0.2">
      <c r="A81" t="s">
        <v>5058</v>
      </c>
      <c r="B81">
        <v>170056</v>
      </c>
      <c r="C81" t="s">
        <v>2005</v>
      </c>
      <c r="D81" t="s">
        <v>5071</v>
      </c>
      <c r="E81" t="s">
        <v>187</v>
      </c>
      <c r="F81" t="s">
        <v>187</v>
      </c>
      <c r="G81" t="s">
        <v>3940</v>
      </c>
      <c r="H81" t="s">
        <v>187</v>
      </c>
      <c r="I81" t="s">
        <v>2616</v>
      </c>
      <c r="J81">
        <v>1</v>
      </c>
      <c r="K81">
        <v>149</v>
      </c>
    </row>
    <row r="82" spans="1:11" x14ac:dyDescent="0.2">
      <c r="A82" t="s">
        <v>5058</v>
      </c>
      <c r="B82">
        <v>150016</v>
      </c>
      <c r="C82" t="s">
        <v>1801</v>
      </c>
      <c r="D82" t="s">
        <v>5135</v>
      </c>
      <c r="E82" t="s">
        <v>189</v>
      </c>
      <c r="F82" t="s">
        <v>189</v>
      </c>
      <c r="G82" t="s">
        <v>5066</v>
      </c>
      <c r="H82" t="s">
        <v>189</v>
      </c>
      <c r="I82" t="s">
        <v>2616</v>
      </c>
      <c r="J82">
        <v>1</v>
      </c>
      <c r="K82">
        <v>565</v>
      </c>
    </row>
    <row r="83" spans="1:11" x14ac:dyDescent="0.2">
      <c r="A83" t="s">
        <v>5058</v>
      </c>
      <c r="B83">
        <v>170239</v>
      </c>
      <c r="C83" t="s">
        <v>2089</v>
      </c>
      <c r="D83" t="s">
        <v>5124</v>
      </c>
      <c r="E83" t="s">
        <v>187</v>
      </c>
      <c r="F83" t="s">
        <v>187</v>
      </c>
      <c r="G83" t="s">
        <v>3940</v>
      </c>
      <c r="H83" t="s">
        <v>187</v>
      </c>
      <c r="I83" t="s">
        <v>2616</v>
      </c>
      <c r="J83">
        <v>1</v>
      </c>
      <c r="K83">
        <v>140</v>
      </c>
    </row>
    <row r="84" spans="1:11" x14ac:dyDescent="0.2">
      <c r="A84" t="s">
        <v>5058</v>
      </c>
      <c r="B84">
        <v>171341</v>
      </c>
      <c r="C84" t="s">
        <v>2134</v>
      </c>
      <c r="D84" t="s">
        <v>5114</v>
      </c>
      <c r="E84" t="s">
        <v>187</v>
      </c>
      <c r="F84" t="s">
        <v>187</v>
      </c>
      <c r="G84" t="s">
        <v>5056</v>
      </c>
      <c r="H84" t="s">
        <v>187</v>
      </c>
      <c r="I84" t="s">
        <v>2616</v>
      </c>
      <c r="J84">
        <v>1</v>
      </c>
      <c r="K84">
        <v>38</v>
      </c>
    </row>
    <row r="85" spans="1:11" x14ac:dyDescent="0.2">
      <c r="A85" t="s">
        <v>5058</v>
      </c>
      <c r="B85">
        <v>150611</v>
      </c>
      <c r="C85" t="s">
        <v>799</v>
      </c>
      <c r="D85" t="s">
        <v>5143</v>
      </c>
      <c r="E85" t="s">
        <v>189</v>
      </c>
      <c r="F85" t="s">
        <v>189</v>
      </c>
      <c r="G85" t="s">
        <v>5066</v>
      </c>
      <c r="H85" t="s">
        <v>189</v>
      </c>
      <c r="I85" t="s">
        <v>2666</v>
      </c>
      <c r="J85">
        <v>1</v>
      </c>
      <c r="K85">
        <v>37</v>
      </c>
    </row>
    <row r="86" spans="1:11" x14ac:dyDescent="0.2">
      <c r="A86" t="s">
        <v>5058</v>
      </c>
      <c r="B86">
        <v>170101</v>
      </c>
      <c r="C86" t="s">
        <v>2036</v>
      </c>
      <c r="D86" t="s">
        <v>5136</v>
      </c>
      <c r="E86" t="s">
        <v>187</v>
      </c>
      <c r="F86" t="s">
        <v>187</v>
      </c>
      <c r="G86" t="s">
        <v>5056</v>
      </c>
      <c r="H86" t="s">
        <v>187</v>
      </c>
      <c r="I86" t="s">
        <v>2616</v>
      </c>
      <c r="J86">
        <v>1</v>
      </c>
      <c r="K86">
        <v>1202</v>
      </c>
    </row>
    <row r="87" spans="1:11" x14ac:dyDescent="0.2">
      <c r="A87" t="s">
        <v>5058</v>
      </c>
      <c r="B87">
        <v>170140</v>
      </c>
      <c r="C87" t="s">
        <v>2401</v>
      </c>
      <c r="D87" t="s">
        <v>5131</v>
      </c>
      <c r="E87" t="s">
        <v>187</v>
      </c>
      <c r="F87" t="s">
        <v>187</v>
      </c>
      <c r="G87" t="s">
        <v>5068</v>
      </c>
      <c r="H87" t="s">
        <v>187</v>
      </c>
      <c r="I87" t="s">
        <v>2616</v>
      </c>
      <c r="J87">
        <v>1</v>
      </c>
      <c r="K87">
        <v>67</v>
      </c>
    </row>
    <row r="88" spans="1:11" x14ac:dyDescent="0.2">
      <c r="A88" t="s">
        <v>5058</v>
      </c>
      <c r="B88">
        <v>150033</v>
      </c>
      <c r="C88" t="s">
        <v>1808</v>
      </c>
      <c r="D88" t="s">
        <v>5137</v>
      </c>
      <c r="E88" t="s">
        <v>189</v>
      </c>
      <c r="F88" t="s">
        <v>189</v>
      </c>
      <c r="G88" t="s">
        <v>4130</v>
      </c>
      <c r="H88" t="s">
        <v>189</v>
      </c>
      <c r="I88" t="s">
        <v>2616</v>
      </c>
      <c r="J88">
        <v>1</v>
      </c>
      <c r="K88">
        <v>44</v>
      </c>
    </row>
    <row r="89" spans="1:11" x14ac:dyDescent="0.2">
      <c r="A89" t="s">
        <v>5058</v>
      </c>
      <c r="B89">
        <v>171016</v>
      </c>
      <c r="C89" t="s">
        <v>2113</v>
      </c>
      <c r="D89" t="s">
        <v>5057</v>
      </c>
      <c r="E89" t="s">
        <v>187</v>
      </c>
      <c r="F89" t="s">
        <v>187</v>
      </c>
      <c r="G89" t="s">
        <v>5056</v>
      </c>
      <c r="H89" t="s">
        <v>187</v>
      </c>
      <c r="I89" t="s">
        <v>2616</v>
      </c>
      <c r="J89">
        <v>1</v>
      </c>
      <c r="K89">
        <v>3068</v>
      </c>
    </row>
    <row r="90" spans="1:11" x14ac:dyDescent="0.2">
      <c r="A90" t="s">
        <v>5058</v>
      </c>
      <c r="B90">
        <v>152040</v>
      </c>
      <c r="C90" t="s">
        <v>1973</v>
      </c>
      <c r="D90" t="s">
        <v>5059</v>
      </c>
      <c r="E90" t="s">
        <v>189</v>
      </c>
      <c r="F90" t="s">
        <v>189</v>
      </c>
      <c r="G90" t="s">
        <v>4053</v>
      </c>
      <c r="H90" t="s">
        <v>189</v>
      </c>
      <c r="I90" t="s">
        <v>2616</v>
      </c>
      <c r="J90">
        <v>1</v>
      </c>
      <c r="K90">
        <v>167</v>
      </c>
    </row>
    <row r="91" spans="1:11" x14ac:dyDescent="0.2">
      <c r="A91" t="s">
        <v>5058</v>
      </c>
      <c r="B91">
        <v>150305</v>
      </c>
      <c r="C91" t="s">
        <v>796</v>
      </c>
      <c r="D91" t="s">
        <v>5148</v>
      </c>
      <c r="E91" t="s">
        <v>189</v>
      </c>
      <c r="F91" t="s">
        <v>189</v>
      </c>
      <c r="G91" t="s">
        <v>4130</v>
      </c>
      <c r="H91" t="s">
        <v>189</v>
      </c>
      <c r="I91" t="s">
        <v>2666</v>
      </c>
      <c r="J91">
        <v>1</v>
      </c>
      <c r="K91">
        <v>125</v>
      </c>
    </row>
    <row r="92" spans="1:11" x14ac:dyDescent="0.2">
      <c r="A92" t="s">
        <v>5058</v>
      </c>
      <c r="B92">
        <v>150152</v>
      </c>
      <c r="C92" t="s">
        <v>1861</v>
      </c>
      <c r="D92" t="s">
        <v>5146</v>
      </c>
      <c r="E92" t="s">
        <v>189</v>
      </c>
      <c r="F92" t="s">
        <v>189</v>
      </c>
      <c r="G92" t="s">
        <v>4130</v>
      </c>
      <c r="H92" t="s">
        <v>189</v>
      </c>
      <c r="I92" t="s">
        <v>2616</v>
      </c>
      <c r="J92">
        <v>1</v>
      </c>
      <c r="K92">
        <v>209</v>
      </c>
    </row>
    <row r="93" spans="1:11" x14ac:dyDescent="0.2">
      <c r="A93" t="s">
        <v>5058</v>
      </c>
      <c r="B93">
        <v>150021</v>
      </c>
      <c r="C93" t="s">
        <v>1804</v>
      </c>
      <c r="D93" t="s">
        <v>5103</v>
      </c>
      <c r="E93" t="s">
        <v>189</v>
      </c>
      <c r="F93" t="s">
        <v>189</v>
      </c>
      <c r="G93" t="s">
        <v>3108</v>
      </c>
      <c r="H93" t="s">
        <v>189</v>
      </c>
      <c r="I93" t="s">
        <v>2616</v>
      </c>
      <c r="J93">
        <v>1</v>
      </c>
      <c r="K93">
        <v>418</v>
      </c>
    </row>
    <row r="94" spans="1:11" x14ac:dyDescent="0.2">
      <c r="A94" t="s">
        <v>5058</v>
      </c>
      <c r="B94">
        <v>150085</v>
      </c>
      <c r="C94" t="s">
        <v>770</v>
      </c>
      <c r="D94" t="s">
        <v>5067</v>
      </c>
      <c r="E94" t="s">
        <v>189</v>
      </c>
      <c r="F94" t="s">
        <v>189</v>
      </c>
      <c r="G94" t="s">
        <v>5066</v>
      </c>
      <c r="H94" t="s">
        <v>189</v>
      </c>
      <c r="I94" t="s">
        <v>2666</v>
      </c>
      <c r="J94">
        <v>1</v>
      </c>
      <c r="K94">
        <v>1</v>
      </c>
    </row>
    <row r="95" spans="1:11" x14ac:dyDescent="0.2">
      <c r="A95" t="s">
        <v>5058</v>
      </c>
      <c r="B95">
        <v>150080</v>
      </c>
      <c r="C95" t="s">
        <v>1832</v>
      </c>
      <c r="D95" t="s">
        <v>5101</v>
      </c>
      <c r="E95" t="s">
        <v>189</v>
      </c>
      <c r="F95" t="s">
        <v>189</v>
      </c>
      <c r="G95" t="s">
        <v>4130</v>
      </c>
      <c r="H95" t="s">
        <v>189</v>
      </c>
      <c r="I95" t="s">
        <v>2616</v>
      </c>
      <c r="J95">
        <v>1</v>
      </c>
      <c r="K95">
        <v>285</v>
      </c>
    </row>
    <row r="96" spans="1:11" x14ac:dyDescent="0.2">
      <c r="A96" t="s">
        <v>5058</v>
      </c>
      <c r="B96">
        <v>174153</v>
      </c>
      <c r="C96" t="s">
        <v>2589</v>
      </c>
      <c r="D96" t="s">
        <v>5144</v>
      </c>
      <c r="E96" t="s">
        <v>187</v>
      </c>
      <c r="F96" t="s">
        <v>187</v>
      </c>
      <c r="G96" t="s">
        <v>5056</v>
      </c>
      <c r="H96" t="s">
        <v>187</v>
      </c>
      <c r="I96" t="s">
        <v>2666</v>
      </c>
      <c r="J96">
        <v>1</v>
      </c>
      <c r="K96">
        <v>2</v>
      </c>
    </row>
    <row r="97" spans="1:11" x14ac:dyDescent="0.2">
      <c r="A97" t="s">
        <v>5058</v>
      </c>
      <c r="B97">
        <v>150015</v>
      </c>
      <c r="C97" t="s">
        <v>766</v>
      </c>
      <c r="D97" t="s">
        <v>5084</v>
      </c>
      <c r="E97" t="s">
        <v>189</v>
      </c>
      <c r="F97" t="s">
        <v>189</v>
      </c>
      <c r="G97" t="s">
        <v>4163</v>
      </c>
      <c r="H97" t="s">
        <v>189</v>
      </c>
      <c r="I97" t="s">
        <v>2666</v>
      </c>
      <c r="J97">
        <v>1</v>
      </c>
      <c r="K97">
        <v>1</v>
      </c>
    </row>
    <row r="98" spans="1:11" x14ac:dyDescent="0.2">
      <c r="A98" t="s">
        <v>5058</v>
      </c>
      <c r="B98">
        <v>150037</v>
      </c>
      <c r="C98" t="s">
        <v>1810</v>
      </c>
      <c r="D98" t="s">
        <v>5123</v>
      </c>
      <c r="E98" t="s">
        <v>189</v>
      </c>
      <c r="F98" t="s">
        <v>189</v>
      </c>
      <c r="G98" t="s">
        <v>5066</v>
      </c>
      <c r="H98" t="s">
        <v>189</v>
      </c>
      <c r="I98" t="s">
        <v>2616</v>
      </c>
      <c r="J98">
        <v>1</v>
      </c>
      <c r="K98">
        <v>192</v>
      </c>
    </row>
    <row r="99" spans="1:11" x14ac:dyDescent="0.2">
      <c r="A99" t="s">
        <v>5058</v>
      </c>
      <c r="B99">
        <v>121004</v>
      </c>
      <c r="C99" t="s">
        <v>1793</v>
      </c>
      <c r="D99" t="s">
        <v>5062</v>
      </c>
      <c r="E99" t="s">
        <v>187</v>
      </c>
      <c r="F99" t="s">
        <v>187</v>
      </c>
      <c r="G99" t="s">
        <v>5056</v>
      </c>
      <c r="H99" t="s">
        <v>187</v>
      </c>
      <c r="I99" t="s">
        <v>2616</v>
      </c>
      <c r="J99">
        <v>1</v>
      </c>
      <c r="K99">
        <v>267</v>
      </c>
    </row>
    <row r="100" spans="1:11" x14ac:dyDescent="0.2">
      <c r="A100" t="s">
        <v>5058</v>
      </c>
      <c r="B100">
        <v>150171</v>
      </c>
      <c r="C100" t="s">
        <v>1873</v>
      </c>
      <c r="D100" t="s">
        <v>5088</v>
      </c>
      <c r="E100" t="s">
        <v>189</v>
      </c>
      <c r="F100" t="s">
        <v>189</v>
      </c>
      <c r="G100" t="s">
        <v>4053</v>
      </c>
      <c r="H100" t="s">
        <v>189</v>
      </c>
      <c r="I100" t="s">
        <v>2616</v>
      </c>
      <c r="J100">
        <v>1</v>
      </c>
      <c r="K100">
        <v>20</v>
      </c>
    </row>
    <row r="101" spans="1:11" x14ac:dyDescent="0.2">
      <c r="A101" t="s">
        <v>5058</v>
      </c>
      <c r="B101">
        <v>170117</v>
      </c>
      <c r="C101" t="s">
        <v>812</v>
      </c>
      <c r="D101" t="s">
        <v>5147</v>
      </c>
      <c r="E101" t="s">
        <v>187</v>
      </c>
      <c r="F101" t="s">
        <v>187</v>
      </c>
      <c r="G101" t="s">
        <v>5056</v>
      </c>
      <c r="H101" t="s">
        <v>187</v>
      </c>
      <c r="I101" t="s">
        <v>2666</v>
      </c>
      <c r="J101">
        <v>1</v>
      </c>
      <c r="K101">
        <v>6</v>
      </c>
    </row>
    <row r="102" spans="1:11" x14ac:dyDescent="0.2">
      <c r="A102" t="s">
        <v>5058</v>
      </c>
      <c r="B102">
        <v>170035</v>
      </c>
      <c r="C102" t="s">
        <v>1993</v>
      </c>
      <c r="D102" t="s">
        <v>5126</v>
      </c>
      <c r="E102" t="s">
        <v>187</v>
      </c>
      <c r="F102" t="s">
        <v>187</v>
      </c>
      <c r="G102" t="s">
        <v>3940</v>
      </c>
      <c r="H102" t="s">
        <v>187</v>
      </c>
      <c r="I102" t="s">
        <v>2616</v>
      </c>
      <c r="J102">
        <v>1</v>
      </c>
      <c r="K102">
        <v>77</v>
      </c>
    </row>
    <row r="103" spans="1:11" x14ac:dyDescent="0.2">
      <c r="A103" t="s">
        <v>5058</v>
      </c>
      <c r="B103">
        <v>170058</v>
      </c>
      <c r="C103" t="s">
        <v>2007</v>
      </c>
      <c r="D103" t="s">
        <v>5117</v>
      </c>
      <c r="E103" t="s">
        <v>187</v>
      </c>
      <c r="F103" t="s">
        <v>187</v>
      </c>
      <c r="G103" t="s">
        <v>3940</v>
      </c>
      <c r="H103" t="s">
        <v>187</v>
      </c>
      <c r="I103" t="s">
        <v>2616</v>
      </c>
      <c r="J103">
        <v>1</v>
      </c>
      <c r="K103">
        <v>69</v>
      </c>
    </row>
    <row r="104" spans="1:11" x14ac:dyDescent="0.2">
      <c r="A104" t="s">
        <v>5058</v>
      </c>
      <c r="B104">
        <v>174151</v>
      </c>
      <c r="C104" t="s">
        <v>2588</v>
      </c>
      <c r="D104" t="s">
        <v>5109</v>
      </c>
      <c r="E104" t="s">
        <v>187</v>
      </c>
      <c r="F104" t="s">
        <v>187</v>
      </c>
      <c r="G104" t="s">
        <v>5056</v>
      </c>
      <c r="H104" t="s">
        <v>187</v>
      </c>
      <c r="I104" t="s">
        <v>2666</v>
      </c>
      <c r="J104">
        <v>1</v>
      </c>
      <c r="K104">
        <v>45</v>
      </c>
    </row>
    <row r="105" spans="1:11" x14ac:dyDescent="0.2">
      <c r="A105" t="s">
        <v>5058</v>
      </c>
      <c r="B105">
        <v>250171</v>
      </c>
      <c r="C105" t="s">
        <v>1022</v>
      </c>
      <c r="D105" t="s">
        <v>5120</v>
      </c>
      <c r="E105" t="s">
        <v>188</v>
      </c>
      <c r="F105" t="s">
        <v>188</v>
      </c>
      <c r="G105" t="s">
        <v>4846</v>
      </c>
      <c r="H105" t="s">
        <v>188</v>
      </c>
      <c r="I105" t="s">
        <v>2666</v>
      </c>
      <c r="J105">
        <v>1</v>
      </c>
      <c r="K105">
        <v>20</v>
      </c>
    </row>
    <row r="106" spans="1:11" x14ac:dyDescent="0.2">
      <c r="A106" t="s">
        <v>5058</v>
      </c>
      <c r="B106">
        <v>170240</v>
      </c>
      <c r="C106" t="s">
        <v>834</v>
      </c>
      <c r="D106" t="s">
        <v>5160</v>
      </c>
      <c r="E106" t="s">
        <v>187</v>
      </c>
      <c r="F106" t="s">
        <v>187</v>
      </c>
      <c r="G106" t="s">
        <v>3940</v>
      </c>
      <c r="H106" t="s">
        <v>187</v>
      </c>
      <c r="I106" t="s">
        <v>2666</v>
      </c>
      <c r="J106">
        <v>1</v>
      </c>
      <c r="K106">
        <v>91</v>
      </c>
    </row>
    <row r="107" spans="1:11" x14ac:dyDescent="0.2">
      <c r="A107" t="s">
        <v>5058</v>
      </c>
      <c r="B107">
        <v>150052</v>
      </c>
      <c r="C107" t="s">
        <v>1817</v>
      </c>
      <c r="D107" t="s">
        <v>5122</v>
      </c>
      <c r="E107" t="s">
        <v>189</v>
      </c>
      <c r="F107" t="s">
        <v>189</v>
      </c>
      <c r="G107" t="s">
        <v>3504</v>
      </c>
      <c r="H107" t="s">
        <v>189</v>
      </c>
      <c r="I107" t="s">
        <v>2616</v>
      </c>
      <c r="J107">
        <v>1</v>
      </c>
      <c r="K107">
        <v>3260</v>
      </c>
    </row>
    <row r="108" spans="1:11" x14ac:dyDescent="0.2">
      <c r="A108" t="s">
        <v>5058</v>
      </c>
      <c r="B108">
        <v>171403</v>
      </c>
      <c r="C108" t="s">
        <v>2141</v>
      </c>
      <c r="D108" t="s">
        <v>5087</v>
      </c>
      <c r="E108" t="s">
        <v>187</v>
      </c>
      <c r="F108" t="s">
        <v>187</v>
      </c>
      <c r="G108" t="s">
        <v>5056</v>
      </c>
      <c r="H108" t="s">
        <v>187</v>
      </c>
      <c r="I108" t="s">
        <v>2616</v>
      </c>
      <c r="J108">
        <v>1</v>
      </c>
      <c r="K108">
        <v>636</v>
      </c>
    </row>
    <row r="109" spans="1:11" x14ac:dyDescent="0.2">
      <c r="A109" t="s">
        <v>5058</v>
      </c>
      <c r="B109">
        <v>150302</v>
      </c>
      <c r="C109" t="s">
        <v>5113</v>
      </c>
      <c r="D109" t="s">
        <v>5112</v>
      </c>
      <c r="E109" t="s">
        <v>189</v>
      </c>
      <c r="F109" t="s">
        <v>189</v>
      </c>
      <c r="G109" t="s">
        <v>4130</v>
      </c>
      <c r="H109" t="s">
        <v>189</v>
      </c>
      <c r="I109" t="s">
        <v>2666</v>
      </c>
      <c r="J109">
        <v>1</v>
      </c>
      <c r="K109">
        <v>3015.2</v>
      </c>
    </row>
    <row r="110" spans="1:11" x14ac:dyDescent="0.2">
      <c r="A110" t="s">
        <v>5058</v>
      </c>
      <c r="B110">
        <v>150023</v>
      </c>
      <c r="C110" t="s">
        <v>1805</v>
      </c>
      <c r="D110" t="s">
        <v>5080</v>
      </c>
      <c r="E110" t="s">
        <v>189</v>
      </c>
      <c r="F110" t="s">
        <v>189</v>
      </c>
      <c r="G110" t="s">
        <v>4130</v>
      </c>
      <c r="H110" t="s">
        <v>189</v>
      </c>
      <c r="I110" t="s">
        <v>2616</v>
      </c>
      <c r="J110">
        <v>1</v>
      </c>
      <c r="K110">
        <v>504</v>
      </c>
    </row>
    <row r="111" spans="1:11" x14ac:dyDescent="0.2">
      <c r="A111" t="s">
        <v>5058</v>
      </c>
      <c r="B111">
        <v>150106</v>
      </c>
      <c r="C111" t="s">
        <v>1841</v>
      </c>
      <c r="D111" t="s">
        <v>5100</v>
      </c>
      <c r="E111" t="s">
        <v>189</v>
      </c>
      <c r="F111" t="s">
        <v>189</v>
      </c>
      <c r="G111" t="s">
        <v>4053</v>
      </c>
      <c r="H111" t="s">
        <v>189</v>
      </c>
      <c r="I111" t="s">
        <v>2616</v>
      </c>
      <c r="J111">
        <v>1</v>
      </c>
      <c r="K111">
        <v>115</v>
      </c>
    </row>
    <row r="112" spans="1:11" x14ac:dyDescent="0.2">
      <c r="A112" t="s">
        <v>5058</v>
      </c>
      <c r="B112">
        <v>150157</v>
      </c>
      <c r="C112" t="s">
        <v>1866</v>
      </c>
      <c r="D112" t="s">
        <v>5092</v>
      </c>
      <c r="E112" t="s">
        <v>189</v>
      </c>
      <c r="F112" t="s">
        <v>189</v>
      </c>
      <c r="G112" t="s">
        <v>4130</v>
      </c>
      <c r="H112" t="s">
        <v>189</v>
      </c>
      <c r="I112" t="s">
        <v>2616</v>
      </c>
      <c r="J112">
        <v>1</v>
      </c>
      <c r="K112">
        <v>300</v>
      </c>
    </row>
    <row r="113" spans="1:11" x14ac:dyDescent="0.2">
      <c r="A113" t="s">
        <v>5058</v>
      </c>
      <c r="B113">
        <v>150123</v>
      </c>
      <c r="C113" t="s">
        <v>775</v>
      </c>
      <c r="D113" t="s">
        <v>5098</v>
      </c>
      <c r="E113" t="s">
        <v>189</v>
      </c>
      <c r="F113" t="s">
        <v>189</v>
      </c>
      <c r="G113" t="s">
        <v>5066</v>
      </c>
      <c r="H113" t="s">
        <v>189</v>
      </c>
      <c r="I113" t="s">
        <v>2666</v>
      </c>
      <c r="J113">
        <v>1</v>
      </c>
      <c r="K113">
        <v>13</v>
      </c>
    </row>
    <row r="114" spans="1:11" x14ac:dyDescent="0.2">
      <c r="A114" t="s">
        <v>5058</v>
      </c>
      <c r="B114">
        <v>24057</v>
      </c>
      <c r="C114" t="s">
        <v>420</v>
      </c>
      <c r="D114" t="s">
        <v>5132</v>
      </c>
      <c r="E114" t="s">
        <v>279</v>
      </c>
      <c r="F114" t="s">
        <v>279</v>
      </c>
      <c r="G114" t="s">
        <v>2733</v>
      </c>
      <c r="H114" t="s">
        <v>279</v>
      </c>
      <c r="I114" t="s">
        <v>2666</v>
      </c>
      <c r="J114">
        <v>1</v>
      </c>
      <c r="K114">
        <v>36</v>
      </c>
    </row>
    <row r="115" spans="1:11" x14ac:dyDescent="0.2">
      <c r="A115" t="s">
        <v>5058</v>
      </c>
      <c r="B115">
        <v>152039</v>
      </c>
      <c r="C115" t="s">
        <v>1972</v>
      </c>
      <c r="D115" t="s">
        <v>5063</v>
      </c>
      <c r="E115" t="s">
        <v>189</v>
      </c>
      <c r="F115" t="s">
        <v>189</v>
      </c>
      <c r="G115" t="s">
        <v>4053</v>
      </c>
      <c r="H115" t="s">
        <v>189</v>
      </c>
      <c r="I115" t="s">
        <v>2616</v>
      </c>
      <c r="J115">
        <v>1</v>
      </c>
      <c r="K115">
        <v>447</v>
      </c>
    </row>
    <row r="116" spans="1:11" x14ac:dyDescent="0.2">
      <c r="A116" t="s">
        <v>5058</v>
      </c>
      <c r="B116">
        <v>150175</v>
      </c>
      <c r="C116" t="s">
        <v>1876</v>
      </c>
      <c r="D116" t="s">
        <v>5060</v>
      </c>
      <c r="E116" t="s">
        <v>189</v>
      </c>
      <c r="F116" t="s">
        <v>189</v>
      </c>
      <c r="G116" t="s">
        <v>4053</v>
      </c>
      <c r="H116" t="s">
        <v>189</v>
      </c>
      <c r="I116" t="s">
        <v>2616</v>
      </c>
      <c r="J116">
        <v>1</v>
      </c>
      <c r="K116">
        <v>19</v>
      </c>
    </row>
    <row r="117" spans="1:11" x14ac:dyDescent="0.2">
      <c r="A117" t="s">
        <v>5058</v>
      </c>
      <c r="B117">
        <v>150038</v>
      </c>
      <c r="C117" t="s">
        <v>1811</v>
      </c>
      <c r="D117" t="s">
        <v>5110</v>
      </c>
      <c r="E117" t="s">
        <v>189</v>
      </c>
      <c r="F117" t="s">
        <v>189</v>
      </c>
      <c r="G117" t="s">
        <v>4163</v>
      </c>
      <c r="H117" t="s">
        <v>189</v>
      </c>
      <c r="I117" t="s">
        <v>2616</v>
      </c>
      <c r="J117">
        <v>1</v>
      </c>
      <c r="K117">
        <v>224</v>
      </c>
    </row>
    <row r="118" spans="1:11" x14ac:dyDescent="0.2">
      <c r="A118" t="s">
        <v>5058</v>
      </c>
      <c r="B118">
        <v>150131</v>
      </c>
      <c r="C118" t="s">
        <v>1850</v>
      </c>
      <c r="D118" t="s">
        <v>5127</v>
      </c>
      <c r="E118" t="s">
        <v>189</v>
      </c>
      <c r="F118" t="s">
        <v>189</v>
      </c>
      <c r="G118" t="s">
        <v>4053</v>
      </c>
      <c r="H118" t="s">
        <v>189</v>
      </c>
      <c r="I118" t="s">
        <v>2616</v>
      </c>
      <c r="J118">
        <v>1</v>
      </c>
      <c r="K118">
        <v>182</v>
      </c>
    </row>
    <row r="119" spans="1:11" x14ac:dyDescent="0.2">
      <c r="A119" t="s">
        <v>5058</v>
      </c>
      <c r="B119">
        <v>171331</v>
      </c>
      <c r="C119" t="s">
        <v>2129</v>
      </c>
      <c r="D119" t="s">
        <v>5097</v>
      </c>
      <c r="E119" t="s">
        <v>187</v>
      </c>
      <c r="F119" t="s">
        <v>187</v>
      </c>
      <c r="G119" t="s">
        <v>5068</v>
      </c>
      <c r="H119" t="s">
        <v>187</v>
      </c>
      <c r="I119" t="s">
        <v>2616</v>
      </c>
      <c r="J119">
        <v>1</v>
      </c>
      <c r="K119">
        <v>16</v>
      </c>
    </row>
    <row r="120" spans="1:11" x14ac:dyDescent="0.2">
      <c r="A120" t="s">
        <v>5058</v>
      </c>
      <c r="B120">
        <v>171304</v>
      </c>
      <c r="C120" t="s">
        <v>2117</v>
      </c>
      <c r="D120" t="s">
        <v>5142</v>
      </c>
      <c r="E120" t="s">
        <v>187</v>
      </c>
      <c r="F120" t="s">
        <v>187</v>
      </c>
      <c r="G120" t="s">
        <v>5068</v>
      </c>
      <c r="H120" t="s">
        <v>187</v>
      </c>
      <c r="I120" t="s">
        <v>2616</v>
      </c>
      <c r="J120">
        <v>1</v>
      </c>
      <c r="K120">
        <v>127</v>
      </c>
    </row>
    <row r="121" spans="1:11" x14ac:dyDescent="0.2">
      <c r="A121" t="s">
        <v>5058</v>
      </c>
      <c r="B121">
        <v>171333</v>
      </c>
      <c r="C121" t="s">
        <v>2131</v>
      </c>
      <c r="D121" t="s">
        <v>5111</v>
      </c>
      <c r="E121" t="s">
        <v>187</v>
      </c>
      <c r="F121" t="s">
        <v>187</v>
      </c>
      <c r="G121" t="s">
        <v>5068</v>
      </c>
      <c r="H121" t="s">
        <v>187</v>
      </c>
      <c r="I121" t="s">
        <v>2616</v>
      </c>
      <c r="J121">
        <v>1</v>
      </c>
      <c r="K121">
        <v>93</v>
      </c>
    </row>
    <row r="122" spans="1:11" x14ac:dyDescent="0.2">
      <c r="A122" t="s">
        <v>5058</v>
      </c>
      <c r="B122">
        <v>171328</v>
      </c>
      <c r="C122" t="s">
        <v>2128</v>
      </c>
      <c r="D122" t="s">
        <v>5141</v>
      </c>
      <c r="E122" t="s">
        <v>187</v>
      </c>
      <c r="F122" t="s">
        <v>187</v>
      </c>
      <c r="G122" t="s">
        <v>5068</v>
      </c>
      <c r="H122" t="s">
        <v>187</v>
      </c>
      <c r="I122" t="s">
        <v>2616</v>
      </c>
      <c r="J122">
        <v>1</v>
      </c>
      <c r="K122">
        <v>55</v>
      </c>
    </row>
    <row r="123" spans="1:11" x14ac:dyDescent="0.2">
      <c r="A123" t="s">
        <v>5058</v>
      </c>
      <c r="B123">
        <v>170206</v>
      </c>
      <c r="C123" t="s">
        <v>2078</v>
      </c>
      <c r="D123" t="s">
        <v>5094</v>
      </c>
      <c r="E123" t="s">
        <v>187</v>
      </c>
      <c r="F123" t="s">
        <v>187</v>
      </c>
      <c r="G123" t="s">
        <v>3940</v>
      </c>
      <c r="H123" t="s">
        <v>187</v>
      </c>
      <c r="I123" t="s">
        <v>2616</v>
      </c>
      <c r="J123">
        <v>1</v>
      </c>
      <c r="K123">
        <v>10</v>
      </c>
    </row>
    <row r="124" spans="1:11" x14ac:dyDescent="0.2">
      <c r="A124" t="s">
        <v>5058</v>
      </c>
      <c r="B124">
        <v>150129</v>
      </c>
      <c r="C124" t="s">
        <v>1848</v>
      </c>
      <c r="D124" t="s">
        <v>5081</v>
      </c>
      <c r="E124" t="s">
        <v>189</v>
      </c>
      <c r="F124" t="s">
        <v>189</v>
      </c>
      <c r="G124" t="s">
        <v>4163</v>
      </c>
      <c r="H124" t="s">
        <v>189</v>
      </c>
      <c r="I124" t="s">
        <v>2616</v>
      </c>
      <c r="J124">
        <v>1</v>
      </c>
      <c r="K124">
        <v>215</v>
      </c>
    </row>
    <row r="125" spans="1:11" x14ac:dyDescent="0.2">
      <c r="A125" t="s">
        <v>5058</v>
      </c>
      <c r="B125">
        <v>171305</v>
      </c>
      <c r="C125" t="s">
        <v>2118</v>
      </c>
      <c r="D125" t="s">
        <v>5089</v>
      </c>
      <c r="E125" t="s">
        <v>187</v>
      </c>
      <c r="F125" t="s">
        <v>187</v>
      </c>
      <c r="G125" t="s">
        <v>5068</v>
      </c>
      <c r="H125" t="s">
        <v>187</v>
      </c>
      <c r="I125" t="s">
        <v>2616</v>
      </c>
      <c r="J125">
        <v>1</v>
      </c>
      <c r="K125">
        <v>284</v>
      </c>
    </row>
    <row r="126" spans="1:11" x14ac:dyDescent="0.2">
      <c r="A126" t="s">
        <v>5058</v>
      </c>
      <c r="B126">
        <v>171306</v>
      </c>
      <c r="C126" t="s">
        <v>2119</v>
      </c>
      <c r="D126" t="s">
        <v>5157</v>
      </c>
      <c r="E126" t="s">
        <v>187</v>
      </c>
      <c r="F126" t="s">
        <v>187</v>
      </c>
      <c r="G126" t="s">
        <v>5068</v>
      </c>
      <c r="H126" t="s">
        <v>187</v>
      </c>
      <c r="I126" t="s">
        <v>2616</v>
      </c>
      <c r="J126">
        <v>1</v>
      </c>
      <c r="K126">
        <v>10</v>
      </c>
    </row>
    <row r="127" spans="1:11" x14ac:dyDescent="0.2">
      <c r="A127" t="s">
        <v>5058</v>
      </c>
      <c r="B127">
        <v>78002</v>
      </c>
      <c r="C127" t="s">
        <v>1087</v>
      </c>
      <c r="D127" t="s">
        <v>5076</v>
      </c>
      <c r="E127" t="s">
        <v>281</v>
      </c>
      <c r="F127" t="s">
        <v>281</v>
      </c>
      <c r="G127" t="s">
        <v>2909</v>
      </c>
      <c r="H127" t="s">
        <v>281</v>
      </c>
      <c r="I127" t="s">
        <v>2616</v>
      </c>
      <c r="J127">
        <v>1</v>
      </c>
      <c r="K127">
        <v>1255</v>
      </c>
    </row>
    <row r="128" spans="1:11" x14ac:dyDescent="0.2">
      <c r="A128" t="s">
        <v>5058</v>
      </c>
      <c r="B128">
        <v>150244</v>
      </c>
      <c r="C128" t="s">
        <v>793</v>
      </c>
      <c r="D128" t="s">
        <v>5074</v>
      </c>
      <c r="E128" t="s">
        <v>2634</v>
      </c>
      <c r="F128" t="s">
        <v>189</v>
      </c>
      <c r="G128" t="s">
        <v>4130</v>
      </c>
      <c r="H128" t="s">
        <v>2634</v>
      </c>
      <c r="I128" t="s">
        <v>2666</v>
      </c>
      <c r="J128">
        <v>1</v>
      </c>
      <c r="K128">
        <v>6</v>
      </c>
    </row>
    <row r="129" spans="1:11" x14ac:dyDescent="0.2">
      <c r="A129" t="s">
        <v>5058</v>
      </c>
      <c r="B129">
        <v>150176</v>
      </c>
      <c r="C129" t="s">
        <v>1877</v>
      </c>
      <c r="D129" t="s">
        <v>5150</v>
      </c>
      <c r="E129" t="s">
        <v>189</v>
      </c>
      <c r="F129" t="s">
        <v>189</v>
      </c>
      <c r="G129" t="s">
        <v>4053</v>
      </c>
      <c r="H129" t="s">
        <v>189</v>
      </c>
      <c r="I129" t="s">
        <v>2616</v>
      </c>
      <c r="J129">
        <v>1</v>
      </c>
      <c r="K129">
        <v>27</v>
      </c>
    </row>
    <row r="130" spans="1:11" x14ac:dyDescent="0.2">
      <c r="A130" t="s">
        <v>5058</v>
      </c>
      <c r="B130">
        <v>170108</v>
      </c>
      <c r="C130" t="s">
        <v>2042</v>
      </c>
      <c r="D130" t="s">
        <v>5133</v>
      </c>
      <c r="E130" t="s">
        <v>187</v>
      </c>
      <c r="F130" t="s">
        <v>187</v>
      </c>
      <c r="G130" t="s">
        <v>5056</v>
      </c>
      <c r="H130" t="s">
        <v>187</v>
      </c>
      <c r="I130" t="s">
        <v>2616</v>
      </c>
      <c r="J130">
        <v>1</v>
      </c>
      <c r="K130">
        <v>93</v>
      </c>
    </row>
    <row r="131" spans="1:11" x14ac:dyDescent="0.2">
      <c r="A131" t="s">
        <v>5058</v>
      </c>
      <c r="B131">
        <v>150229</v>
      </c>
      <c r="C131" t="s">
        <v>1903</v>
      </c>
      <c r="D131" t="s">
        <v>5061</v>
      </c>
      <c r="E131" t="s">
        <v>189</v>
      </c>
      <c r="F131" t="s">
        <v>189</v>
      </c>
      <c r="G131" t="s">
        <v>4053</v>
      </c>
      <c r="H131" t="s">
        <v>189</v>
      </c>
      <c r="I131" t="s">
        <v>2616</v>
      </c>
      <c r="J131">
        <v>1</v>
      </c>
      <c r="K131">
        <v>129</v>
      </c>
    </row>
    <row r="132" spans="1:11" x14ac:dyDescent="0.2">
      <c r="A132" t="s">
        <v>5058</v>
      </c>
      <c r="B132">
        <v>171410</v>
      </c>
      <c r="C132" t="s">
        <v>2144</v>
      </c>
      <c r="D132" t="s">
        <v>5073</v>
      </c>
      <c r="E132" t="s">
        <v>187</v>
      </c>
      <c r="F132" t="s">
        <v>187</v>
      </c>
      <c r="G132" t="s">
        <v>5056</v>
      </c>
      <c r="H132" t="s">
        <v>187</v>
      </c>
      <c r="I132" t="s">
        <v>2616</v>
      </c>
      <c r="J132">
        <v>1</v>
      </c>
      <c r="K132">
        <v>10</v>
      </c>
    </row>
    <row r="133" spans="1:11" x14ac:dyDescent="0.2">
      <c r="A133" t="s">
        <v>5058</v>
      </c>
      <c r="B133">
        <v>150109</v>
      </c>
      <c r="C133" t="s">
        <v>1843</v>
      </c>
      <c r="D133" t="s">
        <v>5153</v>
      </c>
      <c r="E133" t="s">
        <v>189</v>
      </c>
      <c r="F133" t="s">
        <v>189</v>
      </c>
      <c r="G133" t="s">
        <v>4163</v>
      </c>
      <c r="H133" t="s">
        <v>189</v>
      </c>
      <c r="I133" t="s">
        <v>2616</v>
      </c>
      <c r="J133">
        <v>1</v>
      </c>
      <c r="K133">
        <v>517</v>
      </c>
    </row>
    <row r="134" spans="1:11" x14ac:dyDescent="0.2">
      <c r="A134" t="s">
        <v>5058</v>
      </c>
      <c r="B134">
        <v>174001</v>
      </c>
      <c r="C134" t="s">
        <v>2587</v>
      </c>
      <c r="D134" t="s">
        <v>5082</v>
      </c>
      <c r="E134" t="s">
        <v>187</v>
      </c>
      <c r="F134" t="s">
        <v>187</v>
      </c>
      <c r="G134" t="s">
        <v>5056</v>
      </c>
      <c r="H134" t="s">
        <v>187</v>
      </c>
      <c r="I134" t="s">
        <v>2666</v>
      </c>
      <c r="J134">
        <v>1</v>
      </c>
      <c r="K134">
        <v>38</v>
      </c>
    </row>
    <row r="135" spans="1:11" x14ac:dyDescent="0.2">
      <c r="A135" t="s">
        <v>5058</v>
      </c>
      <c r="B135">
        <v>171318</v>
      </c>
      <c r="C135" t="s">
        <v>2121</v>
      </c>
      <c r="D135" t="s">
        <v>5116</v>
      </c>
      <c r="E135" t="s">
        <v>187</v>
      </c>
      <c r="F135" t="s">
        <v>187</v>
      </c>
      <c r="G135" t="s">
        <v>5068</v>
      </c>
      <c r="H135" t="s">
        <v>187</v>
      </c>
      <c r="I135" t="s">
        <v>2616</v>
      </c>
      <c r="J135">
        <v>1</v>
      </c>
      <c r="K135">
        <v>489</v>
      </c>
    </row>
    <row r="136" spans="1:11" x14ac:dyDescent="0.2">
      <c r="A136" t="s">
        <v>5058</v>
      </c>
      <c r="B136">
        <v>170210</v>
      </c>
      <c r="C136" t="s">
        <v>2080</v>
      </c>
      <c r="D136" t="s">
        <v>5158</v>
      </c>
      <c r="E136" t="s">
        <v>187</v>
      </c>
      <c r="F136" t="s">
        <v>187</v>
      </c>
      <c r="G136" t="s">
        <v>5056</v>
      </c>
      <c r="H136" t="s">
        <v>187</v>
      </c>
      <c r="I136" t="s">
        <v>2616</v>
      </c>
      <c r="J136">
        <v>1</v>
      </c>
      <c r="K136">
        <v>226</v>
      </c>
    </row>
    <row r="137" spans="1:11" x14ac:dyDescent="0.2">
      <c r="A137" t="s">
        <v>5058</v>
      </c>
      <c r="B137">
        <v>170229</v>
      </c>
      <c r="C137" t="s">
        <v>832</v>
      </c>
      <c r="D137" t="s">
        <v>5106</v>
      </c>
      <c r="E137" t="s">
        <v>187</v>
      </c>
      <c r="F137" t="s">
        <v>187</v>
      </c>
      <c r="G137" t="s">
        <v>3940</v>
      </c>
      <c r="H137" t="s">
        <v>187</v>
      </c>
      <c r="I137" t="s">
        <v>2666</v>
      </c>
      <c r="J137">
        <v>1</v>
      </c>
      <c r="K137">
        <v>10</v>
      </c>
    </row>
    <row r="138" spans="1:11" x14ac:dyDescent="0.2">
      <c r="A138" t="s">
        <v>5058</v>
      </c>
      <c r="B138">
        <v>150026</v>
      </c>
      <c r="C138" t="s">
        <v>1806</v>
      </c>
      <c r="D138" t="s">
        <v>5086</v>
      </c>
      <c r="E138" t="s">
        <v>189</v>
      </c>
      <c r="F138" t="s">
        <v>189</v>
      </c>
      <c r="G138" t="s">
        <v>4053</v>
      </c>
      <c r="H138" t="s">
        <v>189</v>
      </c>
      <c r="I138" t="s">
        <v>2616</v>
      </c>
      <c r="J138">
        <v>1</v>
      </c>
      <c r="K138">
        <v>23</v>
      </c>
    </row>
    <row r="139" spans="1:11" x14ac:dyDescent="0.2">
      <c r="A139" t="s">
        <v>5058</v>
      </c>
      <c r="B139">
        <v>150144</v>
      </c>
      <c r="C139" t="s">
        <v>1856</v>
      </c>
      <c r="D139" t="s">
        <v>5085</v>
      </c>
      <c r="E139" t="s">
        <v>189</v>
      </c>
      <c r="F139" t="s">
        <v>189</v>
      </c>
      <c r="G139" t="s">
        <v>4053</v>
      </c>
      <c r="H139" t="s">
        <v>189</v>
      </c>
      <c r="I139" t="s">
        <v>2616</v>
      </c>
      <c r="J139">
        <v>1</v>
      </c>
      <c r="K139">
        <v>190</v>
      </c>
    </row>
    <row r="140" spans="1:11" x14ac:dyDescent="0.2">
      <c r="A140" t="s">
        <v>5058</v>
      </c>
      <c r="B140">
        <v>150252</v>
      </c>
      <c r="C140" t="s">
        <v>2569</v>
      </c>
      <c r="D140" t="s">
        <v>5119</v>
      </c>
      <c r="E140" t="s">
        <v>189</v>
      </c>
      <c r="F140" t="s">
        <v>189</v>
      </c>
      <c r="G140" t="s">
        <v>4163</v>
      </c>
      <c r="H140" t="s">
        <v>189</v>
      </c>
      <c r="I140" t="s">
        <v>2666</v>
      </c>
      <c r="J140">
        <v>1</v>
      </c>
      <c r="K140">
        <v>12</v>
      </c>
    </row>
    <row r="141" spans="1:11" x14ac:dyDescent="0.2">
      <c r="A141" t="s">
        <v>5058</v>
      </c>
      <c r="B141">
        <v>150139</v>
      </c>
      <c r="C141" t="s">
        <v>779</v>
      </c>
      <c r="D141" t="s">
        <v>5108</v>
      </c>
      <c r="E141" t="s">
        <v>189</v>
      </c>
      <c r="F141" t="s">
        <v>189</v>
      </c>
      <c r="G141" t="s">
        <v>4053</v>
      </c>
      <c r="H141" t="s">
        <v>189</v>
      </c>
      <c r="I141" t="s">
        <v>2666</v>
      </c>
      <c r="J141">
        <v>1</v>
      </c>
      <c r="K141">
        <v>32</v>
      </c>
    </row>
    <row r="142" spans="1:11" x14ac:dyDescent="0.2">
      <c r="A142" t="s">
        <v>5058</v>
      </c>
      <c r="B142">
        <v>150060</v>
      </c>
      <c r="C142" t="s">
        <v>1821</v>
      </c>
      <c r="D142" t="s">
        <v>5149</v>
      </c>
      <c r="E142" t="s">
        <v>189</v>
      </c>
      <c r="F142" t="s">
        <v>189</v>
      </c>
      <c r="G142" t="s">
        <v>4163</v>
      </c>
      <c r="H142" t="s">
        <v>189</v>
      </c>
      <c r="I142" t="s">
        <v>2616</v>
      </c>
      <c r="J142">
        <v>1</v>
      </c>
      <c r="K142">
        <v>317</v>
      </c>
    </row>
    <row r="143" spans="1:11" x14ac:dyDescent="0.2">
      <c r="A143" t="s">
        <v>5058</v>
      </c>
      <c r="B143">
        <v>150128</v>
      </c>
      <c r="C143" t="s">
        <v>1847</v>
      </c>
      <c r="D143" t="s">
        <v>5079</v>
      </c>
      <c r="E143" t="s">
        <v>189</v>
      </c>
      <c r="F143" t="s">
        <v>189</v>
      </c>
      <c r="G143" t="s">
        <v>4163</v>
      </c>
      <c r="H143" t="s">
        <v>189</v>
      </c>
      <c r="I143" t="s">
        <v>2616</v>
      </c>
      <c r="J143">
        <v>1</v>
      </c>
      <c r="K143">
        <v>204</v>
      </c>
    </row>
    <row r="144" spans="1:11" x14ac:dyDescent="0.2">
      <c r="A144" t="s">
        <v>5058</v>
      </c>
      <c r="B144">
        <v>150090</v>
      </c>
      <c r="C144" t="s">
        <v>1836</v>
      </c>
      <c r="D144" t="s">
        <v>5125</v>
      </c>
      <c r="E144" t="s">
        <v>189</v>
      </c>
      <c r="F144" t="s">
        <v>189</v>
      </c>
      <c r="G144" t="s">
        <v>4053</v>
      </c>
      <c r="H144" t="s">
        <v>189</v>
      </c>
      <c r="I144" t="s">
        <v>2616</v>
      </c>
      <c r="J144">
        <v>1</v>
      </c>
      <c r="K144">
        <v>20</v>
      </c>
    </row>
    <row r="145" spans="1:11" x14ac:dyDescent="0.2">
      <c r="A145" t="s">
        <v>5058</v>
      </c>
      <c r="B145">
        <v>171411</v>
      </c>
      <c r="C145" t="s">
        <v>2145</v>
      </c>
      <c r="D145" t="s">
        <v>4408</v>
      </c>
      <c r="E145" t="s">
        <v>187</v>
      </c>
      <c r="F145" t="s">
        <v>187</v>
      </c>
      <c r="G145" t="s">
        <v>5056</v>
      </c>
      <c r="H145" t="s">
        <v>187</v>
      </c>
      <c r="I145" t="s">
        <v>2616</v>
      </c>
      <c r="J145">
        <v>1</v>
      </c>
      <c r="K145">
        <v>81</v>
      </c>
    </row>
    <row r="146" spans="1:11" x14ac:dyDescent="0.2">
      <c r="A146" t="s">
        <v>5058</v>
      </c>
      <c r="B146">
        <v>152026</v>
      </c>
      <c r="C146" t="s">
        <v>1964</v>
      </c>
      <c r="D146" t="s">
        <v>5139</v>
      </c>
      <c r="E146" t="s">
        <v>189</v>
      </c>
      <c r="F146" t="s">
        <v>189</v>
      </c>
      <c r="G146" t="s">
        <v>4053</v>
      </c>
      <c r="H146" t="s">
        <v>189</v>
      </c>
      <c r="I146" t="s">
        <v>2616</v>
      </c>
      <c r="J146">
        <v>1</v>
      </c>
      <c r="K146">
        <v>69</v>
      </c>
    </row>
    <row r="147" spans="1:11" x14ac:dyDescent="0.2">
      <c r="A147" t="s">
        <v>5058</v>
      </c>
      <c r="B147">
        <v>173900</v>
      </c>
      <c r="C147" t="s">
        <v>875</v>
      </c>
      <c r="D147" t="s">
        <v>5128</v>
      </c>
      <c r="E147" t="s">
        <v>187</v>
      </c>
      <c r="F147" t="s">
        <v>187</v>
      </c>
      <c r="G147" t="s">
        <v>5056</v>
      </c>
      <c r="H147" t="s">
        <v>187</v>
      </c>
      <c r="I147" t="s">
        <v>2666</v>
      </c>
      <c r="J147">
        <v>1</v>
      </c>
      <c r="K147">
        <v>105</v>
      </c>
    </row>
    <row r="148" spans="1:11" x14ac:dyDescent="0.2">
      <c r="A148" t="s">
        <v>5058</v>
      </c>
      <c r="B148">
        <v>150020</v>
      </c>
      <c r="C148" t="s">
        <v>1803</v>
      </c>
      <c r="D148" t="s">
        <v>5078</v>
      </c>
      <c r="E148" t="s">
        <v>189</v>
      </c>
      <c r="F148" t="s">
        <v>189</v>
      </c>
      <c r="G148" t="s">
        <v>4130</v>
      </c>
      <c r="H148" t="s">
        <v>189</v>
      </c>
      <c r="I148" t="s">
        <v>2616</v>
      </c>
      <c r="J148">
        <v>1</v>
      </c>
      <c r="K148">
        <v>192</v>
      </c>
    </row>
    <row r="149" spans="1:11" x14ac:dyDescent="0.2">
      <c r="A149" t="s">
        <v>5058</v>
      </c>
      <c r="B149">
        <v>150112</v>
      </c>
      <c r="C149" t="s">
        <v>773</v>
      </c>
      <c r="D149" t="s">
        <v>5093</v>
      </c>
      <c r="E149" t="s">
        <v>189</v>
      </c>
      <c r="F149" t="s">
        <v>189</v>
      </c>
      <c r="G149" t="s">
        <v>5066</v>
      </c>
      <c r="H149" t="s">
        <v>189</v>
      </c>
      <c r="I149" t="s">
        <v>2666</v>
      </c>
      <c r="J149">
        <v>1</v>
      </c>
      <c r="K149">
        <v>18</v>
      </c>
    </row>
    <row r="150" spans="1:11" x14ac:dyDescent="0.2">
      <c r="A150" t="s">
        <v>5058</v>
      </c>
      <c r="B150">
        <v>171002</v>
      </c>
      <c r="C150" t="s">
        <v>2109</v>
      </c>
      <c r="D150" t="s">
        <v>5069</v>
      </c>
      <c r="E150" t="s">
        <v>187</v>
      </c>
      <c r="F150" t="s">
        <v>187</v>
      </c>
      <c r="G150" t="s">
        <v>5068</v>
      </c>
      <c r="H150" t="s">
        <v>187</v>
      </c>
      <c r="I150" t="s">
        <v>2616</v>
      </c>
      <c r="J150">
        <v>1</v>
      </c>
      <c r="K150">
        <v>515</v>
      </c>
    </row>
    <row r="151" spans="1:11" x14ac:dyDescent="0.2">
      <c r="A151" t="s">
        <v>5058</v>
      </c>
      <c r="B151">
        <v>150130</v>
      </c>
      <c r="C151" t="s">
        <v>1849</v>
      </c>
      <c r="D151" t="s">
        <v>5107</v>
      </c>
      <c r="E151" t="s">
        <v>189</v>
      </c>
      <c r="F151" t="s">
        <v>189</v>
      </c>
      <c r="G151" t="s">
        <v>4053</v>
      </c>
      <c r="H151" t="s">
        <v>189</v>
      </c>
      <c r="I151" t="s">
        <v>2616</v>
      </c>
      <c r="J151">
        <v>1</v>
      </c>
      <c r="K151">
        <v>651</v>
      </c>
    </row>
    <row r="152" spans="1:11" x14ac:dyDescent="0.2">
      <c r="A152" t="s">
        <v>5058</v>
      </c>
      <c r="B152">
        <v>171360</v>
      </c>
      <c r="C152" t="s">
        <v>861</v>
      </c>
      <c r="D152" t="s">
        <v>5070</v>
      </c>
      <c r="E152" t="s">
        <v>2634</v>
      </c>
      <c r="F152" t="s">
        <v>187</v>
      </c>
      <c r="G152" t="s">
        <v>3940</v>
      </c>
      <c r="H152" t="s">
        <v>2634</v>
      </c>
      <c r="I152" t="s">
        <v>2666</v>
      </c>
      <c r="J152">
        <v>1</v>
      </c>
      <c r="K152">
        <v>37</v>
      </c>
    </row>
    <row r="153" spans="1:11" x14ac:dyDescent="0.2">
      <c r="A153" t="s">
        <v>5058</v>
      </c>
      <c r="B153">
        <v>171319</v>
      </c>
      <c r="C153" t="s">
        <v>2122</v>
      </c>
      <c r="D153" t="s">
        <v>5115</v>
      </c>
      <c r="E153" t="s">
        <v>187</v>
      </c>
      <c r="F153" t="s">
        <v>187</v>
      </c>
      <c r="G153" t="s">
        <v>5068</v>
      </c>
      <c r="H153" t="s">
        <v>187</v>
      </c>
      <c r="I153" t="s">
        <v>2616</v>
      </c>
      <c r="J153">
        <v>1</v>
      </c>
      <c r="K153">
        <v>23</v>
      </c>
    </row>
    <row r="154" spans="1:11" x14ac:dyDescent="0.2">
      <c r="A154" t="s">
        <v>5058</v>
      </c>
      <c r="B154">
        <v>171312</v>
      </c>
      <c r="C154" t="s">
        <v>2120</v>
      </c>
      <c r="D154" t="s">
        <v>5102</v>
      </c>
      <c r="E154" t="s">
        <v>187</v>
      </c>
      <c r="F154" t="s">
        <v>187</v>
      </c>
      <c r="G154" t="s">
        <v>5068</v>
      </c>
      <c r="H154" t="s">
        <v>187</v>
      </c>
      <c r="I154" t="s">
        <v>2616</v>
      </c>
      <c r="J154">
        <v>1</v>
      </c>
      <c r="K154">
        <v>770</v>
      </c>
    </row>
    <row r="155" spans="1:11" x14ac:dyDescent="0.2">
      <c r="A155" t="s">
        <v>5058</v>
      </c>
      <c r="B155">
        <v>171404</v>
      </c>
      <c r="C155" t="s">
        <v>2142</v>
      </c>
      <c r="D155" t="s">
        <v>5154</v>
      </c>
      <c r="E155" t="s">
        <v>187</v>
      </c>
      <c r="F155" t="s">
        <v>187</v>
      </c>
      <c r="G155" t="s">
        <v>5056</v>
      </c>
      <c r="H155" t="s">
        <v>187</v>
      </c>
      <c r="I155" t="s">
        <v>2616</v>
      </c>
      <c r="J155">
        <v>1</v>
      </c>
      <c r="K155">
        <v>155</v>
      </c>
    </row>
    <row r="156" spans="1:11" x14ac:dyDescent="0.2">
      <c r="A156" t="s">
        <v>5058</v>
      </c>
      <c r="B156">
        <v>150199</v>
      </c>
      <c r="C156" t="s">
        <v>787</v>
      </c>
      <c r="D156" t="s">
        <v>5083</v>
      </c>
      <c r="E156" t="s">
        <v>189</v>
      </c>
      <c r="F156" t="s">
        <v>189</v>
      </c>
      <c r="G156" t="s">
        <v>4130</v>
      </c>
      <c r="H156" t="s">
        <v>189</v>
      </c>
      <c r="I156" t="s">
        <v>2666</v>
      </c>
      <c r="J156">
        <v>1</v>
      </c>
      <c r="K156">
        <v>10</v>
      </c>
    </row>
    <row r="157" spans="1:11" x14ac:dyDescent="0.2">
      <c r="A157" t="s">
        <v>5058</v>
      </c>
      <c r="B157">
        <v>150098</v>
      </c>
      <c r="C157" t="s">
        <v>1837</v>
      </c>
      <c r="D157" t="s">
        <v>5129</v>
      </c>
      <c r="E157" t="s">
        <v>189</v>
      </c>
      <c r="F157" t="s">
        <v>189</v>
      </c>
      <c r="G157" t="s">
        <v>4053</v>
      </c>
      <c r="H157" t="s">
        <v>189</v>
      </c>
      <c r="I157" t="s">
        <v>2616</v>
      </c>
      <c r="J157">
        <v>1</v>
      </c>
      <c r="K157">
        <v>128</v>
      </c>
    </row>
    <row r="158" spans="1:11" x14ac:dyDescent="0.2">
      <c r="A158" t="s">
        <v>5058</v>
      </c>
      <c r="B158">
        <v>171001</v>
      </c>
      <c r="C158" t="s">
        <v>2108</v>
      </c>
      <c r="D158" t="s">
        <v>5140</v>
      </c>
      <c r="E158" t="s">
        <v>187</v>
      </c>
      <c r="F158" t="s">
        <v>187</v>
      </c>
      <c r="G158" t="s">
        <v>5056</v>
      </c>
      <c r="H158" t="s">
        <v>187</v>
      </c>
      <c r="I158" t="s">
        <v>2616</v>
      </c>
      <c r="J158">
        <v>1</v>
      </c>
      <c r="K158">
        <v>994</v>
      </c>
    </row>
    <row r="159" spans="1:11" x14ac:dyDescent="0.2">
      <c r="A159" t="s">
        <v>5058</v>
      </c>
      <c r="B159">
        <v>170205</v>
      </c>
      <c r="C159" t="s">
        <v>2077</v>
      </c>
      <c r="D159" t="s">
        <v>5094</v>
      </c>
      <c r="E159" t="s">
        <v>187</v>
      </c>
      <c r="F159" t="s">
        <v>187</v>
      </c>
      <c r="G159" t="s">
        <v>5068</v>
      </c>
      <c r="H159" t="s">
        <v>187</v>
      </c>
      <c r="I159" t="s">
        <v>2616</v>
      </c>
      <c r="J159">
        <v>1</v>
      </c>
      <c r="K159">
        <v>850</v>
      </c>
    </row>
    <row r="160" spans="1:11" x14ac:dyDescent="0.2">
      <c r="A160" t="s">
        <v>5058</v>
      </c>
      <c r="B160">
        <v>152037</v>
      </c>
      <c r="C160" t="s">
        <v>2571</v>
      </c>
      <c r="D160" t="s">
        <v>5095</v>
      </c>
      <c r="E160" t="s">
        <v>189</v>
      </c>
      <c r="F160" t="s">
        <v>189</v>
      </c>
      <c r="G160" t="s">
        <v>4053</v>
      </c>
      <c r="H160" t="s">
        <v>189</v>
      </c>
      <c r="I160" t="s">
        <v>2666</v>
      </c>
      <c r="J160">
        <v>1</v>
      </c>
      <c r="K160">
        <v>9</v>
      </c>
    </row>
    <row r="161" spans="1:11" x14ac:dyDescent="0.2">
      <c r="A161" t="s">
        <v>5058</v>
      </c>
      <c r="B161">
        <v>171309</v>
      </c>
      <c r="C161" t="s">
        <v>858</v>
      </c>
      <c r="D161" t="s">
        <v>5159</v>
      </c>
      <c r="E161" t="s">
        <v>187</v>
      </c>
      <c r="F161" t="s">
        <v>187</v>
      </c>
      <c r="G161" t="s">
        <v>5068</v>
      </c>
      <c r="H161" t="s">
        <v>187</v>
      </c>
      <c r="I161" t="s">
        <v>2666</v>
      </c>
      <c r="J161">
        <v>1</v>
      </c>
      <c r="K161">
        <v>11</v>
      </c>
    </row>
    <row r="162" spans="1:11" x14ac:dyDescent="0.2">
      <c r="A162" t="s">
        <v>5058</v>
      </c>
      <c r="B162">
        <v>171308</v>
      </c>
      <c r="C162" t="s">
        <v>857</v>
      </c>
      <c r="D162" t="s">
        <v>5134</v>
      </c>
      <c r="E162" t="s">
        <v>187</v>
      </c>
      <c r="F162" t="s">
        <v>187</v>
      </c>
      <c r="G162" t="s">
        <v>5068</v>
      </c>
      <c r="H162" t="s">
        <v>187</v>
      </c>
      <c r="I162" t="s">
        <v>2666</v>
      </c>
      <c r="J162">
        <v>1</v>
      </c>
      <c r="K162">
        <v>3</v>
      </c>
    </row>
    <row r="163" spans="1:11" x14ac:dyDescent="0.2">
      <c r="A163" t="s">
        <v>5058</v>
      </c>
      <c r="B163">
        <v>170061</v>
      </c>
      <c r="C163" t="s">
        <v>809</v>
      </c>
      <c r="D163" t="s">
        <v>5118</v>
      </c>
      <c r="E163" t="s">
        <v>187</v>
      </c>
      <c r="F163" t="s">
        <v>187</v>
      </c>
      <c r="G163" t="s">
        <v>3940</v>
      </c>
      <c r="H163" t="s">
        <v>187</v>
      </c>
      <c r="I163" t="s">
        <v>2666</v>
      </c>
      <c r="J163">
        <v>1</v>
      </c>
      <c r="K163">
        <v>2</v>
      </c>
    </row>
    <row r="164" spans="1:11" x14ac:dyDescent="0.2">
      <c r="A164" t="s">
        <v>5058</v>
      </c>
      <c r="B164">
        <v>170123</v>
      </c>
      <c r="C164" t="s">
        <v>2047</v>
      </c>
      <c r="D164" t="s">
        <v>5072</v>
      </c>
      <c r="E164" t="s">
        <v>187</v>
      </c>
      <c r="F164" t="s">
        <v>187</v>
      </c>
      <c r="G164" t="s">
        <v>5056</v>
      </c>
      <c r="H164" t="s">
        <v>187</v>
      </c>
      <c r="I164" t="s">
        <v>2616</v>
      </c>
      <c r="J164">
        <v>1</v>
      </c>
      <c r="K164">
        <v>117</v>
      </c>
    </row>
    <row r="165" spans="1:11" x14ac:dyDescent="0.2">
      <c r="A165" t="s">
        <v>4935</v>
      </c>
      <c r="B165">
        <v>12035</v>
      </c>
      <c r="C165" t="s">
        <v>1309</v>
      </c>
      <c r="D165" t="s">
        <v>4988</v>
      </c>
      <c r="E165" t="s">
        <v>279</v>
      </c>
      <c r="F165" t="s">
        <v>279</v>
      </c>
      <c r="G165" t="s">
        <v>2686</v>
      </c>
      <c r="H165" t="s">
        <v>279</v>
      </c>
      <c r="I165" t="s">
        <v>2666</v>
      </c>
      <c r="J165">
        <v>1</v>
      </c>
      <c r="K165">
        <v>183</v>
      </c>
    </row>
    <row r="166" spans="1:11" x14ac:dyDescent="0.2">
      <c r="A166" t="s">
        <v>4935</v>
      </c>
      <c r="B166">
        <v>15036</v>
      </c>
      <c r="C166" t="s">
        <v>365</v>
      </c>
      <c r="D166" t="s">
        <v>4952</v>
      </c>
      <c r="E166" t="s">
        <v>279</v>
      </c>
      <c r="F166" t="s">
        <v>279</v>
      </c>
      <c r="G166" t="s">
        <v>2814</v>
      </c>
      <c r="H166" t="s">
        <v>279</v>
      </c>
      <c r="I166" t="s">
        <v>2666</v>
      </c>
      <c r="J166">
        <v>1</v>
      </c>
      <c r="K166">
        <v>655</v>
      </c>
    </row>
    <row r="167" spans="1:11" x14ac:dyDescent="0.2">
      <c r="A167" t="s">
        <v>4935</v>
      </c>
      <c r="B167">
        <v>5002</v>
      </c>
      <c r="C167" t="s">
        <v>314</v>
      </c>
      <c r="D167" t="s">
        <v>5052</v>
      </c>
      <c r="E167" t="s">
        <v>31</v>
      </c>
      <c r="F167" t="s">
        <v>283</v>
      </c>
      <c r="G167" t="s">
        <v>2726</v>
      </c>
      <c r="H167" t="s">
        <v>31</v>
      </c>
      <c r="I167" t="s">
        <v>2666</v>
      </c>
      <c r="J167">
        <v>1</v>
      </c>
      <c r="K167">
        <v>158</v>
      </c>
    </row>
    <row r="168" spans="1:11" x14ac:dyDescent="0.2">
      <c r="A168" t="s">
        <v>4935</v>
      </c>
      <c r="B168">
        <v>12043</v>
      </c>
      <c r="C168" t="s">
        <v>344</v>
      </c>
      <c r="D168" t="s">
        <v>4985</v>
      </c>
      <c r="E168" t="s">
        <v>279</v>
      </c>
      <c r="F168" t="s">
        <v>279</v>
      </c>
      <c r="G168" t="s">
        <v>2686</v>
      </c>
      <c r="H168" t="s">
        <v>279</v>
      </c>
      <c r="I168" t="s">
        <v>2666</v>
      </c>
      <c r="J168">
        <v>1</v>
      </c>
      <c r="K168">
        <v>159</v>
      </c>
    </row>
    <row r="169" spans="1:11" x14ac:dyDescent="0.2">
      <c r="A169" t="s">
        <v>4935</v>
      </c>
      <c r="B169">
        <v>17003</v>
      </c>
      <c r="C169" t="s">
        <v>371</v>
      </c>
      <c r="D169" t="s">
        <v>4977</v>
      </c>
      <c r="E169" t="s">
        <v>279</v>
      </c>
      <c r="F169" t="s">
        <v>279</v>
      </c>
      <c r="G169" t="s">
        <v>2774</v>
      </c>
      <c r="H169" t="s">
        <v>279</v>
      </c>
      <c r="I169" t="s">
        <v>2666</v>
      </c>
      <c r="J169">
        <v>1</v>
      </c>
      <c r="K169">
        <v>194</v>
      </c>
    </row>
    <row r="170" spans="1:11" x14ac:dyDescent="0.2">
      <c r="A170" t="s">
        <v>4935</v>
      </c>
      <c r="B170">
        <v>5003</v>
      </c>
      <c r="C170" t="s">
        <v>315</v>
      </c>
      <c r="D170" t="s">
        <v>5022</v>
      </c>
      <c r="E170" t="s">
        <v>31</v>
      </c>
      <c r="F170" t="s">
        <v>283</v>
      </c>
      <c r="G170" t="s">
        <v>2726</v>
      </c>
      <c r="H170" t="s">
        <v>31</v>
      </c>
      <c r="I170" t="s">
        <v>2666</v>
      </c>
      <c r="J170">
        <v>1</v>
      </c>
      <c r="K170">
        <v>183</v>
      </c>
    </row>
    <row r="171" spans="1:11" x14ac:dyDescent="0.2">
      <c r="A171" t="s">
        <v>4935</v>
      </c>
      <c r="B171">
        <v>12064</v>
      </c>
      <c r="C171" t="s">
        <v>1311</v>
      </c>
      <c r="D171" t="s">
        <v>5024</v>
      </c>
      <c r="E171" t="s">
        <v>279</v>
      </c>
      <c r="F171" t="s">
        <v>279</v>
      </c>
      <c r="G171" t="s">
        <v>2686</v>
      </c>
      <c r="H171" t="s">
        <v>279</v>
      </c>
      <c r="I171" t="s">
        <v>2666</v>
      </c>
      <c r="J171">
        <v>1</v>
      </c>
      <c r="K171">
        <v>468</v>
      </c>
    </row>
    <row r="172" spans="1:11" x14ac:dyDescent="0.2">
      <c r="A172" t="s">
        <v>4935</v>
      </c>
      <c r="B172">
        <v>12054</v>
      </c>
      <c r="C172" t="s">
        <v>347</v>
      </c>
      <c r="D172" t="s">
        <v>5008</v>
      </c>
      <c r="E172" t="s">
        <v>279</v>
      </c>
      <c r="F172" t="s">
        <v>279</v>
      </c>
      <c r="G172" t="s">
        <v>2686</v>
      </c>
      <c r="H172" t="s">
        <v>279</v>
      </c>
      <c r="I172" t="s">
        <v>2666</v>
      </c>
      <c r="J172">
        <v>1</v>
      </c>
      <c r="K172">
        <v>77</v>
      </c>
    </row>
    <row r="173" spans="1:11" x14ac:dyDescent="0.2">
      <c r="A173" t="s">
        <v>4935</v>
      </c>
      <c r="B173">
        <v>23001</v>
      </c>
      <c r="C173" t="s">
        <v>404</v>
      </c>
      <c r="D173" t="s">
        <v>5040</v>
      </c>
      <c r="E173" t="s">
        <v>279</v>
      </c>
      <c r="F173" t="s">
        <v>279</v>
      </c>
      <c r="G173" t="s">
        <v>2733</v>
      </c>
      <c r="H173" t="s">
        <v>279</v>
      </c>
      <c r="I173" t="s">
        <v>2666</v>
      </c>
      <c r="J173">
        <v>1</v>
      </c>
      <c r="K173">
        <v>551</v>
      </c>
    </row>
    <row r="174" spans="1:11" x14ac:dyDescent="0.2">
      <c r="A174" t="s">
        <v>4935</v>
      </c>
      <c r="B174">
        <v>25056</v>
      </c>
      <c r="C174" t="s">
        <v>432</v>
      </c>
      <c r="D174" t="s">
        <v>4986</v>
      </c>
      <c r="E174" t="s">
        <v>279</v>
      </c>
      <c r="F174" t="s">
        <v>279</v>
      </c>
      <c r="G174" t="s">
        <v>2733</v>
      </c>
      <c r="H174" t="s">
        <v>279</v>
      </c>
      <c r="I174" t="s">
        <v>2666</v>
      </c>
      <c r="J174">
        <v>1</v>
      </c>
      <c r="K174">
        <v>3068.96</v>
      </c>
    </row>
    <row r="175" spans="1:11" x14ac:dyDescent="0.2">
      <c r="A175" t="s">
        <v>4935</v>
      </c>
      <c r="B175">
        <v>12040</v>
      </c>
      <c r="C175" t="s">
        <v>1290</v>
      </c>
      <c r="D175" t="s">
        <v>5016</v>
      </c>
      <c r="E175" t="s">
        <v>279</v>
      </c>
      <c r="F175" t="s">
        <v>279</v>
      </c>
      <c r="G175" t="s">
        <v>2686</v>
      </c>
      <c r="H175" t="s">
        <v>279</v>
      </c>
      <c r="I175" t="s">
        <v>2666</v>
      </c>
      <c r="J175">
        <v>1</v>
      </c>
      <c r="K175">
        <v>0</v>
      </c>
    </row>
    <row r="176" spans="1:11" x14ac:dyDescent="0.2">
      <c r="A176" t="s">
        <v>4935</v>
      </c>
      <c r="B176">
        <v>24027</v>
      </c>
      <c r="C176" t="s">
        <v>411</v>
      </c>
      <c r="D176" t="s">
        <v>4983</v>
      </c>
      <c r="E176" t="s">
        <v>279</v>
      </c>
      <c r="F176" t="s">
        <v>279</v>
      </c>
      <c r="G176" t="s">
        <v>2733</v>
      </c>
      <c r="H176" t="s">
        <v>279</v>
      </c>
      <c r="I176" t="s">
        <v>2666</v>
      </c>
      <c r="J176">
        <v>1</v>
      </c>
      <c r="K176">
        <v>68</v>
      </c>
    </row>
    <row r="177" spans="1:11" x14ac:dyDescent="0.2">
      <c r="A177" t="s">
        <v>4935</v>
      </c>
      <c r="B177">
        <v>12015</v>
      </c>
      <c r="C177" t="s">
        <v>332</v>
      </c>
      <c r="D177" t="s">
        <v>5028</v>
      </c>
      <c r="E177" t="s">
        <v>279</v>
      </c>
      <c r="F177" t="s">
        <v>279</v>
      </c>
      <c r="G177" t="s">
        <v>2686</v>
      </c>
      <c r="H177" t="s">
        <v>279</v>
      </c>
      <c r="I177" t="s">
        <v>2666</v>
      </c>
      <c r="J177">
        <v>1</v>
      </c>
      <c r="K177">
        <v>145</v>
      </c>
    </row>
    <row r="178" spans="1:11" x14ac:dyDescent="0.2">
      <c r="A178" t="s">
        <v>4935</v>
      </c>
      <c r="B178">
        <v>12034</v>
      </c>
      <c r="C178" t="s">
        <v>339</v>
      </c>
      <c r="D178" t="s">
        <v>5007</v>
      </c>
      <c r="E178" t="s">
        <v>279</v>
      </c>
      <c r="F178" t="s">
        <v>279</v>
      </c>
      <c r="G178" t="s">
        <v>2686</v>
      </c>
      <c r="H178" t="s">
        <v>279</v>
      </c>
      <c r="I178" t="s">
        <v>2666</v>
      </c>
      <c r="J178">
        <v>1</v>
      </c>
      <c r="K178">
        <v>624</v>
      </c>
    </row>
    <row r="179" spans="1:11" x14ac:dyDescent="0.2">
      <c r="A179" t="s">
        <v>4935</v>
      </c>
      <c r="B179">
        <v>13005</v>
      </c>
      <c r="C179" t="s">
        <v>1125</v>
      </c>
      <c r="D179" t="s">
        <v>4965</v>
      </c>
      <c r="E179" t="s">
        <v>279</v>
      </c>
      <c r="F179" t="s">
        <v>279</v>
      </c>
      <c r="G179" t="s">
        <v>2767</v>
      </c>
      <c r="H179" t="s">
        <v>279</v>
      </c>
      <c r="I179" t="s">
        <v>2666</v>
      </c>
      <c r="J179">
        <v>1</v>
      </c>
      <c r="K179">
        <v>139</v>
      </c>
    </row>
    <row r="180" spans="1:11" x14ac:dyDescent="0.2">
      <c r="A180" t="s">
        <v>4935</v>
      </c>
      <c r="B180">
        <v>14004</v>
      </c>
      <c r="C180" t="s">
        <v>359</v>
      </c>
      <c r="D180" t="s">
        <v>4994</v>
      </c>
      <c r="E180" t="s">
        <v>279</v>
      </c>
      <c r="F180" t="s">
        <v>279</v>
      </c>
      <c r="G180" t="s">
        <v>2858</v>
      </c>
      <c r="H180" t="s">
        <v>279</v>
      </c>
      <c r="I180" t="s">
        <v>2666</v>
      </c>
      <c r="J180">
        <v>1</v>
      </c>
      <c r="K180">
        <v>147</v>
      </c>
    </row>
    <row r="181" spans="1:11" x14ac:dyDescent="0.2">
      <c r="A181" t="s">
        <v>4935</v>
      </c>
      <c r="B181">
        <v>19011</v>
      </c>
      <c r="C181" t="s">
        <v>380</v>
      </c>
      <c r="D181" t="s">
        <v>4951</v>
      </c>
      <c r="E181" t="s">
        <v>279</v>
      </c>
      <c r="F181" t="s">
        <v>279</v>
      </c>
      <c r="G181" t="s">
        <v>2943</v>
      </c>
      <c r="H181" t="s">
        <v>279</v>
      </c>
      <c r="I181" t="s">
        <v>2666</v>
      </c>
      <c r="J181">
        <v>1</v>
      </c>
      <c r="K181">
        <v>293</v>
      </c>
    </row>
    <row r="182" spans="1:11" x14ac:dyDescent="0.2">
      <c r="A182" t="s">
        <v>4935</v>
      </c>
      <c r="B182">
        <v>25078</v>
      </c>
      <c r="C182" t="s">
        <v>435</v>
      </c>
      <c r="D182" t="s">
        <v>4936</v>
      </c>
      <c r="E182" t="s">
        <v>279</v>
      </c>
      <c r="F182" t="s">
        <v>279</v>
      </c>
      <c r="G182" t="s">
        <v>2733</v>
      </c>
      <c r="H182" t="s">
        <v>279</v>
      </c>
      <c r="I182" t="s">
        <v>2666</v>
      </c>
      <c r="J182">
        <v>1</v>
      </c>
      <c r="K182">
        <v>370</v>
      </c>
    </row>
    <row r="183" spans="1:11" x14ac:dyDescent="0.2">
      <c r="A183" t="s">
        <v>4935</v>
      </c>
      <c r="B183">
        <v>12018</v>
      </c>
      <c r="C183" t="s">
        <v>333</v>
      </c>
      <c r="D183" t="s">
        <v>4981</v>
      </c>
      <c r="E183" t="s">
        <v>279</v>
      </c>
      <c r="F183" t="s">
        <v>279</v>
      </c>
      <c r="G183" t="s">
        <v>2686</v>
      </c>
      <c r="H183" t="s">
        <v>279</v>
      </c>
      <c r="I183" t="s">
        <v>2666</v>
      </c>
      <c r="J183">
        <v>1</v>
      </c>
      <c r="K183">
        <v>63</v>
      </c>
    </row>
    <row r="184" spans="1:11" x14ac:dyDescent="0.2">
      <c r="A184" t="s">
        <v>4935</v>
      </c>
      <c r="B184">
        <v>25004</v>
      </c>
      <c r="C184" t="s">
        <v>1136</v>
      </c>
      <c r="D184" t="s">
        <v>5042</v>
      </c>
      <c r="E184" t="s">
        <v>279</v>
      </c>
      <c r="F184" t="s">
        <v>279</v>
      </c>
      <c r="G184" t="s">
        <v>2733</v>
      </c>
      <c r="H184" t="s">
        <v>279</v>
      </c>
      <c r="I184" t="s">
        <v>2666</v>
      </c>
      <c r="J184">
        <v>1</v>
      </c>
      <c r="K184">
        <v>87</v>
      </c>
    </row>
    <row r="185" spans="1:11" x14ac:dyDescent="0.2">
      <c r="A185" t="s">
        <v>4935</v>
      </c>
      <c r="B185">
        <v>15004</v>
      </c>
      <c r="C185" t="s">
        <v>364</v>
      </c>
      <c r="D185" t="s">
        <v>4968</v>
      </c>
      <c r="E185" t="s">
        <v>279</v>
      </c>
      <c r="F185" t="s">
        <v>279</v>
      </c>
      <c r="G185" t="s">
        <v>2790</v>
      </c>
      <c r="H185" t="s">
        <v>279</v>
      </c>
      <c r="I185" t="s">
        <v>2666</v>
      </c>
      <c r="J185">
        <v>1</v>
      </c>
      <c r="K185">
        <v>1071.02</v>
      </c>
    </row>
    <row r="186" spans="1:11" x14ac:dyDescent="0.2">
      <c r="A186" t="s">
        <v>4935</v>
      </c>
      <c r="B186">
        <v>24026</v>
      </c>
      <c r="C186" t="s">
        <v>410</v>
      </c>
      <c r="D186" t="s">
        <v>4945</v>
      </c>
      <c r="E186" t="s">
        <v>279</v>
      </c>
      <c r="F186" t="s">
        <v>279</v>
      </c>
      <c r="G186" t="s">
        <v>2733</v>
      </c>
      <c r="H186" t="s">
        <v>279</v>
      </c>
      <c r="I186" t="s">
        <v>2666</v>
      </c>
      <c r="J186">
        <v>1</v>
      </c>
      <c r="K186">
        <v>1569</v>
      </c>
    </row>
    <row r="187" spans="1:11" x14ac:dyDescent="0.2">
      <c r="A187" t="s">
        <v>4935</v>
      </c>
      <c r="B187">
        <v>14016</v>
      </c>
      <c r="C187" t="s">
        <v>362</v>
      </c>
      <c r="D187" t="s">
        <v>5039</v>
      </c>
      <c r="E187" t="s">
        <v>279</v>
      </c>
      <c r="F187" t="s">
        <v>279</v>
      </c>
      <c r="G187" t="s">
        <v>2858</v>
      </c>
      <c r="H187" t="s">
        <v>279</v>
      </c>
      <c r="I187" t="s">
        <v>2666</v>
      </c>
      <c r="J187">
        <v>1</v>
      </c>
      <c r="K187">
        <v>52</v>
      </c>
    </row>
    <row r="188" spans="1:11" x14ac:dyDescent="0.2">
      <c r="A188" t="s">
        <v>4935</v>
      </c>
      <c r="B188">
        <v>24054</v>
      </c>
      <c r="C188" t="s">
        <v>1312</v>
      </c>
      <c r="D188" t="s">
        <v>4967</v>
      </c>
      <c r="E188" t="s">
        <v>279</v>
      </c>
      <c r="F188" t="s">
        <v>279</v>
      </c>
      <c r="G188" t="s">
        <v>2733</v>
      </c>
      <c r="H188" t="s">
        <v>279</v>
      </c>
      <c r="I188" t="s">
        <v>2666</v>
      </c>
      <c r="J188">
        <v>1</v>
      </c>
      <c r="K188">
        <v>304.67</v>
      </c>
    </row>
    <row r="189" spans="1:11" x14ac:dyDescent="0.2">
      <c r="A189" t="s">
        <v>4935</v>
      </c>
      <c r="B189">
        <v>12014</v>
      </c>
      <c r="C189" t="s">
        <v>331</v>
      </c>
      <c r="D189" t="s">
        <v>5054</v>
      </c>
      <c r="E189" t="s">
        <v>279</v>
      </c>
      <c r="F189" t="s">
        <v>279</v>
      </c>
      <c r="G189" t="s">
        <v>2686</v>
      </c>
      <c r="H189" t="s">
        <v>279</v>
      </c>
      <c r="I189" t="s">
        <v>2666</v>
      </c>
      <c r="J189">
        <v>1</v>
      </c>
      <c r="K189">
        <v>88</v>
      </c>
    </row>
    <row r="190" spans="1:11" x14ac:dyDescent="0.2">
      <c r="A190" t="s">
        <v>4935</v>
      </c>
      <c r="B190">
        <v>24056</v>
      </c>
      <c r="C190" t="s">
        <v>1134</v>
      </c>
      <c r="D190" t="s">
        <v>4944</v>
      </c>
      <c r="E190" t="s">
        <v>279</v>
      </c>
      <c r="F190" t="s">
        <v>279</v>
      </c>
      <c r="G190" t="s">
        <v>2733</v>
      </c>
      <c r="H190" t="s">
        <v>279</v>
      </c>
      <c r="I190" t="s">
        <v>2666</v>
      </c>
      <c r="J190">
        <v>1</v>
      </c>
      <c r="K190">
        <v>255</v>
      </c>
    </row>
    <row r="191" spans="1:11" x14ac:dyDescent="0.2">
      <c r="A191" t="s">
        <v>4935</v>
      </c>
      <c r="B191">
        <v>3002</v>
      </c>
      <c r="C191" t="s">
        <v>307</v>
      </c>
      <c r="D191" t="s">
        <v>5021</v>
      </c>
      <c r="E191" t="s">
        <v>206</v>
      </c>
      <c r="F191" t="s">
        <v>279</v>
      </c>
      <c r="G191" t="s">
        <v>4940</v>
      </c>
      <c r="H191" t="s">
        <v>206</v>
      </c>
      <c r="I191" t="s">
        <v>2666</v>
      </c>
      <c r="J191">
        <v>1</v>
      </c>
      <c r="K191">
        <v>4051.09</v>
      </c>
    </row>
    <row r="192" spans="1:11" x14ac:dyDescent="0.2">
      <c r="A192" t="s">
        <v>4935</v>
      </c>
      <c r="B192">
        <v>7003</v>
      </c>
      <c r="C192" t="s">
        <v>319</v>
      </c>
      <c r="D192" t="s">
        <v>4938</v>
      </c>
      <c r="E192" t="s">
        <v>31</v>
      </c>
      <c r="F192" t="s">
        <v>283</v>
      </c>
      <c r="G192" t="s">
        <v>4830</v>
      </c>
      <c r="H192" t="s">
        <v>31</v>
      </c>
      <c r="I192" t="s">
        <v>2666</v>
      </c>
      <c r="J192">
        <v>1</v>
      </c>
      <c r="K192">
        <v>538.33000000000004</v>
      </c>
    </row>
    <row r="193" spans="1:11" x14ac:dyDescent="0.2">
      <c r="A193" t="s">
        <v>4935</v>
      </c>
      <c r="B193">
        <v>12013</v>
      </c>
      <c r="C193" t="s">
        <v>330</v>
      </c>
      <c r="D193" t="s">
        <v>5014</v>
      </c>
      <c r="E193" t="s">
        <v>279</v>
      </c>
      <c r="F193" t="s">
        <v>279</v>
      </c>
      <c r="G193" t="s">
        <v>2686</v>
      </c>
      <c r="H193" t="s">
        <v>279</v>
      </c>
      <c r="I193" t="s">
        <v>2666</v>
      </c>
      <c r="J193">
        <v>1</v>
      </c>
      <c r="K193">
        <v>2205.1999999999998</v>
      </c>
    </row>
    <row r="194" spans="1:11" x14ac:dyDescent="0.2">
      <c r="A194" t="s">
        <v>4935</v>
      </c>
      <c r="B194">
        <v>12010</v>
      </c>
      <c r="C194" t="s">
        <v>2480</v>
      </c>
      <c r="D194" t="s">
        <v>4964</v>
      </c>
      <c r="E194" t="s">
        <v>2634</v>
      </c>
      <c r="F194" t="s">
        <v>279</v>
      </c>
      <c r="G194" t="s">
        <v>2686</v>
      </c>
      <c r="H194" t="s">
        <v>2634</v>
      </c>
      <c r="I194" t="s">
        <v>2666</v>
      </c>
      <c r="J194">
        <v>1</v>
      </c>
      <c r="K194">
        <v>60</v>
      </c>
    </row>
    <row r="195" spans="1:11" x14ac:dyDescent="0.2">
      <c r="A195" t="s">
        <v>4935</v>
      </c>
      <c r="B195">
        <v>24061</v>
      </c>
      <c r="C195" t="s">
        <v>2523</v>
      </c>
      <c r="D195" t="s">
        <v>4998</v>
      </c>
      <c r="E195" t="s">
        <v>279</v>
      </c>
      <c r="F195" t="s">
        <v>279</v>
      </c>
      <c r="G195" t="s">
        <v>2733</v>
      </c>
      <c r="H195" t="s">
        <v>279</v>
      </c>
      <c r="I195" t="s">
        <v>2666</v>
      </c>
      <c r="J195">
        <v>1</v>
      </c>
      <c r="K195">
        <v>498</v>
      </c>
    </row>
    <row r="196" spans="1:11" x14ac:dyDescent="0.2">
      <c r="A196" t="s">
        <v>4935</v>
      </c>
      <c r="B196">
        <v>12026</v>
      </c>
      <c r="C196" t="s">
        <v>336</v>
      </c>
      <c r="D196" t="s">
        <v>4971</v>
      </c>
      <c r="E196" t="s">
        <v>279</v>
      </c>
      <c r="F196" t="s">
        <v>279</v>
      </c>
      <c r="G196" t="s">
        <v>2686</v>
      </c>
      <c r="H196" t="s">
        <v>279</v>
      </c>
      <c r="I196" t="s">
        <v>2666</v>
      </c>
      <c r="J196">
        <v>1</v>
      </c>
      <c r="K196">
        <v>854</v>
      </c>
    </row>
    <row r="197" spans="1:11" x14ac:dyDescent="0.2">
      <c r="A197" t="s">
        <v>4935</v>
      </c>
      <c r="B197">
        <v>22004</v>
      </c>
      <c r="C197" t="s">
        <v>2521</v>
      </c>
      <c r="D197" t="s">
        <v>4992</v>
      </c>
      <c r="E197" t="s">
        <v>279</v>
      </c>
      <c r="F197" t="s">
        <v>279</v>
      </c>
      <c r="G197" t="s">
        <v>2814</v>
      </c>
      <c r="H197" t="s">
        <v>279</v>
      </c>
      <c r="I197" t="s">
        <v>2666</v>
      </c>
      <c r="J197">
        <v>1</v>
      </c>
      <c r="K197">
        <v>979</v>
      </c>
    </row>
    <row r="198" spans="1:11" x14ac:dyDescent="0.2">
      <c r="A198" t="s">
        <v>4935</v>
      </c>
      <c r="B198">
        <v>24045</v>
      </c>
      <c r="C198" t="s">
        <v>5036</v>
      </c>
      <c r="D198" t="s">
        <v>5035</v>
      </c>
      <c r="E198" t="s">
        <v>279</v>
      </c>
      <c r="F198" t="s">
        <v>279</v>
      </c>
      <c r="G198" t="s">
        <v>2733</v>
      </c>
      <c r="H198" t="s">
        <v>279</v>
      </c>
      <c r="I198" t="s">
        <v>2666</v>
      </c>
      <c r="J198">
        <v>1</v>
      </c>
      <c r="K198">
        <v>3</v>
      </c>
    </row>
    <row r="199" spans="1:11" x14ac:dyDescent="0.2">
      <c r="A199" t="s">
        <v>4935</v>
      </c>
      <c r="B199">
        <v>15070</v>
      </c>
      <c r="C199" t="s">
        <v>1044</v>
      </c>
      <c r="D199" t="s">
        <v>4997</v>
      </c>
      <c r="E199" t="s">
        <v>279</v>
      </c>
      <c r="F199" t="s">
        <v>279</v>
      </c>
      <c r="G199" t="s">
        <v>2814</v>
      </c>
      <c r="H199" t="s">
        <v>279</v>
      </c>
      <c r="I199" t="s">
        <v>2666</v>
      </c>
      <c r="J199">
        <v>1</v>
      </c>
      <c r="K199">
        <v>233</v>
      </c>
    </row>
    <row r="200" spans="1:11" x14ac:dyDescent="0.2">
      <c r="A200" t="s">
        <v>4935</v>
      </c>
      <c r="B200">
        <v>19004</v>
      </c>
      <c r="C200" t="s">
        <v>377</v>
      </c>
      <c r="D200" t="s">
        <v>4961</v>
      </c>
      <c r="E200" t="s">
        <v>279</v>
      </c>
      <c r="F200" t="s">
        <v>279</v>
      </c>
      <c r="G200" t="s">
        <v>2943</v>
      </c>
      <c r="H200" t="s">
        <v>279</v>
      </c>
      <c r="I200" t="s">
        <v>2666</v>
      </c>
      <c r="J200">
        <v>1</v>
      </c>
      <c r="K200">
        <v>1278</v>
      </c>
    </row>
    <row r="201" spans="1:11" x14ac:dyDescent="0.2">
      <c r="A201" t="s">
        <v>4935</v>
      </c>
      <c r="B201">
        <v>12031</v>
      </c>
      <c r="C201" t="s">
        <v>337</v>
      </c>
      <c r="D201" t="s">
        <v>5011</v>
      </c>
      <c r="E201" t="s">
        <v>2634</v>
      </c>
      <c r="F201" t="s">
        <v>279</v>
      </c>
      <c r="G201" t="s">
        <v>2686</v>
      </c>
      <c r="H201" t="s">
        <v>2634</v>
      </c>
      <c r="I201" t="s">
        <v>2666</v>
      </c>
      <c r="J201">
        <v>1</v>
      </c>
      <c r="K201">
        <v>139</v>
      </c>
    </row>
    <row r="202" spans="1:11" x14ac:dyDescent="0.2">
      <c r="A202" t="s">
        <v>4935</v>
      </c>
      <c r="B202">
        <v>14006</v>
      </c>
      <c r="C202" t="s">
        <v>360</v>
      </c>
      <c r="D202" t="s">
        <v>5025</v>
      </c>
      <c r="E202" t="s">
        <v>279</v>
      </c>
      <c r="F202" t="s">
        <v>279</v>
      </c>
      <c r="G202" t="s">
        <v>2858</v>
      </c>
      <c r="H202" t="s">
        <v>279</v>
      </c>
      <c r="I202" t="s">
        <v>2666</v>
      </c>
      <c r="J202">
        <v>1</v>
      </c>
      <c r="K202">
        <v>3810.3</v>
      </c>
    </row>
    <row r="203" spans="1:11" x14ac:dyDescent="0.2">
      <c r="A203" t="s">
        <v>4935</v>
      </c>
      <c r="B203">
        <v>14005</v>
      </c>
      <c r="C203" t="s">
        <v>1041</v>
      </c>
      <c r="D203" t="s">
        <v>5050</v>
      </c>
      <c r="E203" t="s">
        <v>279</v>
      </c>
      <c r="F203" t="s">
        <v>279</v>
      </c>
      <c r="G203" t="s">
        <v>2858</v>
      </c>
      <c r="H203" t="s">
        <v>279</v>
      </c>
      <c r="I203" t="s">
        <v>2666</v>
      </c>
      <c r="J203">
        <v>1</v>
      </c>
      <c r="K203">
        <v>423</v>
      </c>
    </row>
    <row r="204" spans="1:11" x14ac:dyDescent="0.2">
      <c r="A204" t="s">
        <v>4935</v>
      </c>
      <c r="B204">
        <v>25011</v>
      </c>
      <c r="C204" t="s">
        <v>422</v>
      </c>
      <c r="D204" t="s">
        <v>4987</v>
      </c>
      <c r="E204" t="s">
        <v>279</v>
      </c>
      <c r="F204" t="s">
        <v>279</v>
      </c>
      <c r="G204" t="s">
        <v>2733</v>
      </c>
      <c r="H204" t="s">
        <v>279</v>
      </c>
      <c r="I204" t="s">
        <v>2666</v>
      </c>
      <c r="J204">
        <v>1</v>
      </c>
      <c r="K204">
        <v>29</v>
      </c>
    </row>
    <row r="205" spans="1:11" x14ac:dyDescent="0.2">
      <c r="A205" t="s">
        <v>4935</v>
      </c>
      <c r="B205">
        <v>10001</v>
      </c>
      <c r="C205" t="s">
        <v>326</v>
      </c>
      <c r="D205" t="s">
        <v>4939</v>
      </c>
      <c r="E205" t="s">
        <v>31</v>
      </c>
      <c r="F205" t="s">
        <v>283</v>
      </c>
      <c r="G205" t="s">
        <v>2886</v>
      </c>
      <c r="H205" t="s">
        <v>31</v>
      </c>
      <c r="I205" t="s">
        <v>2666</v>
      </c>
      <c r="J205">
        <v>1</v>
      </c>
      <c r="K205">
        <v>248</v>
      </c>
    </row>
    <row r="206" spans="1:11" x14ac:dyDescent="0.2">
      <c r="A206" t="s">
        <v>4935</v>
      </c>
      <c r="B206">
        <v>15067</v>
      </c>
      <c r="C206" t="s">
        <v>2481</v>
      </c>
      <c r="D206" t="s">
        <v>5001</v>
      </c>
      <c r="E206" t="s">
        <v>279</v>
      </c>
      <c r="F206" t="s">
        <v>279</v>
      </c>
      <c r="G206" t="s">
        <v>2790</v>
      </c>
      <c r="H206" t="s">
        <v>279</v>
      </c>
      <c r="I206" t="s">
        <v>2666</v>
      </c>
      <c r="J206">
        <v>1</v>
      </c>
      <c r="K206">
        <v>292</v>
      </c>
    </row>
    <row r="207" spans="1:11" x14ac:dyDescent="0.2">
      <c r="A207" t="s">
        <v>4935</v>
      </c>
      <c r="B207">
        <v>12049</v>
      </c>
      <c r="C207" t="s">
        <v>346</v>
      </c>
      <c r="D207" t="s">
        <v>4966</v>
      </c>
      <c r="E207" t="s">
        <v>279</v>
      </c>
      <c r="F207" t="s">
        <v>279</v>
      </c>
      <c r="G207" t="s">
        <v>2686</v>
      </c>
      <c r="H207" t="s">
        <v>279</v>
      </c>
      <c r="I207" t="s">
        <v>2666</v>
      </c>
      <c r="J207">
        <v>1</v>
      </c>
      <c r="K207">
        <v>14</v>
      </c>
    </row>
    <row r="208" spans="1:11" x14ac:dyDescent="0.2">
      <c r="A208" t="s">
        <v>4935</v>
      </c>
      <c r="B208">
        <v>8004</v>
      </c>
      <c r="C208" t="s">
        <v>2501</v>
      </c>
      <c r="D208" t="s">
        <v>4991</v>
      </c>
      <c r="E208" t="s">
        <v>279</v>
      </c>
      <c r="F208" t="s">
        <v>279</v>
      </c>
      <c r="G208" t="s">
        <v>2674</v>
      </c>
      <c r="H208" t="s">
        <v>279</v>
      </c>
      <c r="I208" t="s">
        <v>2666</v>
      </c>
      <c r="J208">
        <v>1</v>
      </c>
      <c r="K208">
        <v>859</v>
      </c>
    </row>
    <row r="209" spans="1:11" x14ac:dyDescent="0.2">
      <c r="A209" t="s">
        <v>4935</v>
      </c>
      <c r="B209">
        <v>13018</v>
      </c>
      <c r="C209" t="s">
        <v>356</v>
      </c>
      <c r="D209" t="s">
        <v>5038</v>
      </c>
      <c r="E209" t="s">
        <v>279</v>
      </c>
      <c r="F209" t="s">
        <v>279</v>
      </c>
      <c r="G209" t="s">
        <v>2767</v>
      </c>
      <c r="H209" t="s">
        <v>279</v>
      </c>
      <c r="I209" t="s">
        <v>2666</v>
      </c>
      <c r="J209">
        <v>1</v>
      </c>
      <c r="K209">
        <v>184</v>
      </c>
    </row>
    <row r="210" spans="1:11" x14ac:dyDescent="0.2">
      <c r="A210" t="s">
        <v>4935</v>
      </c>
      <c r="B210">
        <v>15048</v>
      </c>
      <c r="C210" t="s">
        <v>366</v>
      </c>
      <c r="D210" t="s">
        <v>5003</v>
      </c>
      <c r="E210" t="s">
        <v>279</v>
      </c>
      <c r="F210" t="s">
        <v>279</v>
      </c>
      <c r="G210" t="s">
        <v>3187</v>
      </c>
      <c r="H210" t="s">
        <v>279</v>
      </c>
      <c r="I210" t="s">
        <v>2666</v>
      </c>
      <c r="J210">
        <v>1</v>
      </c>
      <c r="K210">
        <v>154</v>
      </c>
    </row>
    <row r="211" spans="1:11" x14ac:dyDescent="0.2">
      <c r="A211" t="s">
        <v>4935</v>
      </c>
      <c r="B211">
        <v>7005</v>
      </c>
      <c r="C211" t="s">
        <v>320</v>
      </c>
      <c r="D211" t="s">
        <v>5026</v>
      </c>
      <c r="E211" t="s">
        <v>31</v>
      </c>
      <c r="F211" t="s">
        <v>283</v>
      </c>
      <c r="G211" t="s">
        <v>4830</v>
      </c>
      <c r="H211" t="s">
        <v>31</v>
      </c>
      <c r="I211" t="s">
        <v>2666</v>
      </c>
      <c r="J211">
        <v>1</v>
      </c>
      <c r="K211">
        <v>151</v>
      </c>
    </row>
    <row r="212" spans="1:11" x14ac:dyDescent="0.2">
      <c r="A212" t="s">
        <v>4935</v>
      </c>
      <c r="B212">
        <v>24038</v>
      </c>
      <c r="C212" t="s">
        <v>417</v>
      </c>
      <c r="D212" t="s">
        <v>4982</v>
      </c>
      <c r="E212" t="s">
        <v>279</v>
      </c>
      <c r="F212" t="s">
        <v>279</v>
      </c>
      <c r="G212" t="s">
        <v>2733</v>
      </c>
      <c r="H212" t="s">
        <v>279</v>
      </c>
      <c r="I212" t="s">
        <v>2666</v>
      </c>
      <c r="J212">
        <v>1</v>
      </c>
      <c r="K212">
        <v>216</v>
      </c>
    </row>
    <row r="213" spans="1:11" x14ac:dyDescent="0.2">
      <c r="A213" t="s">
        <v>4935</v>
      </c>
      <c r="B213">
        <v>27035</v>
      </c>
      <c r="C213" t="s">
        <v>1110</v>
      </c>
      <c r="D213" t="s">
        <v>4957</v>
      </c>
      <c r="E213" t="s">
        <v>2634</v>
      </c>
      <c r="F213" t="s">
        <v>279</v>
      </c>
      <c r="G213" t="s">
        <v>279</v>
      </c>
      <c r="H213" t="s">
        <v>2634</v>
      </c>
      <c r="I213" t="s">
        <v>2666</v>
      </c>
      <c r="J213">
        <v>1</v>
      </c>
      <c r="K213">
        <v>289</v>
      </c>
    </row>
    <row r="214" spans="1:11" x14ac:dyDescent="0.2">
      <c r="A214" t="s">
        <v>4935</v>
      </c>
      <c r="B214">
        <v>8014</v>
      </c>
      <c r="C214" t="s">
        <v>322</v>
      </c>
      <c r="D214" t="s">
        <v>4990</v>
      </c>
      <c r="E214" t="s">
        <v>279</v>
      </c>
      <c r="F214" t="s">
        <v>279</v>
      </c>
      <c r="G214" t="s">
        <v>2674</v>
      </c>
      <c r="H214" t="s">
        <v>279</v>
      </c>
      <c r="I214" t="s">
        <v>2666</v>
      </c>
      <c r="J214">
        <v>1</v>
      </c>
      <c r="K214">
        <v>195</v>
      </c>
    </row>
    <row r="215" spans="1:11" x14ac:dyDescent="0.2">
      <c r="A215" t="s">
        <v>4935</v>
      </c>
      <c r="B215">
        <v>3007</v>
      </c>
      <c r="C215" t="s">
        <v>308</v>
      </c>
      <c r="D215" t="s">
        <v>4941</v>
      </c>
      <c r="E215" t="s">
        <v>206</v>
      </c>
      <c r="F215" t="s">
        <v>279</v>
      </c>
      <c r="G215" t="s">
        <v>4940</v>
      </c>
      <c r="H215" t="s">
        <v>206</v>
      </c>
      <c r="I215" t="s">
        <v>2666</v>
      </c>
      <c r="J215">
        <v>1</v>
      </c>
      <c r="K215">
        <v>71</v>
      </c>
    </row>
    <row r="216" spans="1:11" x14ac:dyDescent="0.2">
      <c r="A216" t="s">
        <v>4935</v>
      </c>
      <c r="B216">
        <v>14017</v>
      </c>
      <c r="C216" t="s">
        <v>363</v>
      </c>
      <c r="D216" t="s">
        <v>4995</v>
      </c>
      <c r="E216" t="s">
        <v>279</v>
      </c>
      <c r="F216" t="s">
        <v>279</v>
      </c>
      <c r="G216" t="s">
        <v>2858</v>
      </c>
      <c r="H216" t="s">
        <v>279</v>
      </c>
      <c r="I216" t="s">
        <v>2666</v>
      </c>
      <c r="J216">
        <v>1</v>
      </c>
      <c r="K216">
        <v>1038.0999999999999</v>
      </c>
    </row>
    <row r="217" spans="1:11" x14ac:dyDescent="0.2">
      <c r="A217" t="s">
        <v>4935</v>
      </c>
      <c r="B217">
        <v>24025</v>
      </c>
      <c r="C217" t="s">
        <v>409</v>
      </c>
      <c r="D217" t="s">
        <v>4976</v>
      </c>
      <c r="E217" t="s">
        <v>279</v>
      </c>
      <c r="F217" t="s">
        <v>279</v>
      </c>
      <c r="G217" t="s">
        <v>2733</v>
      </c>
      <c r="H217" t="s">
        <v>279</v>
      </c>
      <c r="I217" t="s">
        <v>2666</v>
      </c>
      <c r="J217">
        <v>1</v>
      </c>
      <c r="K217">
        <v>1019</v>
      </c>
    </row>
    <row r="218" spans="1:11" x14ac:dyDescent="0.2">
      <c r="A218" t="s">
        <v>4935</v>
      </c>
      <c r="B218">
        <v>25083</v>
      </c>
      <c r="C218" t="s">
        <v>437</v>
      </c>
      <c r="D218" t="s">
        <v>4953</v>
      </c>
      <c r="E218" t="s">
        <v>279</v>
      </c>
      <c r="F218" t="s">
        <v>279</v>
      </c>
      <c r="G218" t="s">
        <v>2733</v>
      </c>
      <c r="H218" t="s">
        <v>279</v>
      </c>
      <c r="I218" t="s">
        <v>2666</v>
      </c>
      <c r="J218">
        <v>1</v>
      </c>
      <c r="K218">
        <v>470.67</v>
      </c>
    </row>
    <row r="219" spans="1:11" x14ac:dyDescent="0.2">
      <c r="A219" t="s">
        <v>4935</v>
      </c>
      <c r="B219">
        <v>9002</v>
      </c>
      <c r="C219" t="s">
        <v>325</v>
      </c>
      <c r="D219" t="s">
        <v>5047</v>
      </c>
      <c r="E219" t="s">
        <v>31</v>
      </c>
      <c r="F219" t="s">
        <v>283</v>
      </c>
      <c r="G219" t="s">
        <v>2765</v>
      </c>
      <c r="H219" t="s">
        <v>31</v>
      </c>
      <c r="I219" t="s">
        <v>2666</v>
      </c>
      <c r="J219">
        <v>1</v>
      </c>
      <c r="K219">
        <v>235</v>
      </c>
    </row>
    <row r="220" spans="1:11" x14ac:dyDescent="0.2">
      <c r="A220" t="s">
        <v>4935</v>
      </c>
      <c r="B220">
        <v>13003</v>
      </c>
      <c r="C220" t="s">
        <v>353</v>
      </c>
      <c r="D220" t="s">
        <v>5032</v>
      </c>
      <c r="E220" t="s">
        <v>279</v>
      </c>
      <c r="F220" t="s">
        <v>279</v>
      </c>
      <c r="G220" t="s">
        <v>2767</v>
      </c>
      <c r="H220" t="s">
        <v>279</v>
      </c>
      <c r="I220" t="s">
        <v>2666</v>
      </c>
      <c r="J220">
        <v>1</v>
      </c>
      <c r="K220">
        <v>572.16999999999996</v>
      </c>
    </row>
    <row r="221" spans="1:11" x14ac:dyDescent="0.2">
      <c r="A221" t="s">
        <v>4935</v>
      </c>
      <c r="B221">
        <v>5008</v>
      </c>
      <c r="C221" t="s">
        <v>317</v>
      </c>
      <c r="D221" t="s">
        <v>5027</v>
      </c>
      <c r="E221" t="s">
        <v>31</v>
      </c>
      <c r="F221" t="s">
        <v>283</v>
      </c>
      <c r="G221" t="s">
        <v>2726</v>
      </c>
      <c r="H221" t="s">
        <v>31</v>
      </c>
      <c r="I221" t="s">
        <v>2666</v>
      </c>
      <c r="J221">
        <v>1</v>
      </c>
      <c r="K221">
        <v>683</v>
      </c>
    </row>
    <row r="222" spans="1:11" x14ac:dyDescent="0.2">
      <c r="A222" t="s">
        <v>4935</v>
      </c>
      <c r="B222">
        <v>25049</v>
      </c>
      <c r="C222" t="s">
        <v>428</v>
      </c>
      <c r="D222" t="s">
        <v>4972</v>
      </c>
      <c r="E222" t="s">
        <v>279</v>
      </c>
      <c r="F222" t="s">
        <v>279</v>
      </c>
      <c r="G222" t="s">
        <v>2733</v>
      </c>
      <c r="H222" t="s">
        <v>279</v>
      </c>
      <c r="I222" t="s">
        <v>2666</v>
      </c>
      <c r="J222">
        <v>1</v>
      </c>
      <c r="K222">
        <v>656</v>
      </c>
    </row>
    <row r="223" spans="1:11" x14ac:dyDescent="0.2">
      <c r="A223" t="s">
        <v>4935</v>
      </c>
      <c r="B223">
        <v>23013</v>
      </c>
      <c r="C223" t="s">
        <v>2413</v>
      </c>
      <c r="D223" t="s">
        <v>5009</v>
      </c>
      <c r="E223" t="s">
        <v>279</v>
      </c>
      <c r="F223" t="s">
        <v>279</v>
      </c>
      <c r="G223" t="s">
        <v>2733</v>
      </c>
      <c r="H223" t="s">
        <v>279</v>
      </c>
      <c r="I223" t="s">
        <v>2666</v>
      </c>
      <c r="J223">
        <v>1</v>
      </c>
      <c r="K223">
        <v>200</v>
      </c>
    </row>
    <row r="224" spans="1:11" x14ac:dyDescent="0.2">
      <c r="A224" t="s">
        <v>4935</v>
      </c>
      <c r="B224">
        <v>24019</v>
      </c>
      <c r="C224" t="s">
        <v>407</v>
      </c>
      <c r="D224" t="s">
        <v>4974</v>
      </c>
      <c r="E224" t="s">
        <v>279</v>
      </c>
      <c r="F224" t="s">
        <v>279</v>
      </c>
      <c r="G224" t="s">
        <v>2733</v>
      </c>
      <c r="H224" t="s">
        <v>279</v>
      </c>
      <c r="I224" t="s">
        <v>2666</v>
      </c>
      <c r="J224">
        <v>1</v>
      </c>
      <c r="K224">
        <v>1095.67</v>
      </c>
    </row>
    <row r="225" spans="1:11" x14ac:dyDescent="0.2">
      <c r="A225" t="s">
        <v>4935</v>
      </c>
      <c r="B225">
        <v>5004</v>
      </c>
      <c r="C225" t="s">
        <v>316</v>
      </c>
      <c r="D225" t="s">
        <v>4947</v>
      </c>
      <c r="E225" t="s">
        <v>31</v>
      </c>
      <c r="F225" t="s">
        <v>283</v>
      </c>
      <c r="G225" t="s">
        <v>2726</v>
      </c>
      <c r="H225" t="s">
        <v>31</v>
      </c>
      <c r="I225" t="s">
        <v>2666</v>
      </c>
      <c r="J225">
        <v>1</v>
      </c>
      <c r="K225">
        <v>96</v>
      </c>
    </row>
    <row r="226" spans="1:11" x14ac:dyDescent="0.2">
      <c r="A226" t="s">
        <v>4935</v>
      </c>
      <c r="B226">
        <v>13013</v>
      </c>
      <c r="C226" t="s">
        <v>2410</v>
      </c>
      <c r="D226" t="s">
        <v>4949</v>
      </c>
      <c r="E226" t="s">
        <v>279</v>
      </c>
      <c r="F226" t="s">
        <v>279</v>
      </c>
      <c r="G226" t="s">
        <v>2767</v>
      </c>
      <c r="H226" t="s">
        <v>279</v>
      </c>
      <c r="I226" t="s">
        <v>2666</v>
      </c>
      <c r="J226">
        <v>1</v>
      </c>
      <c r="K226">
        <v>103</v>
      </c>
    </row>
    <row r="227" spans="1:11" x14ac:dyDescent="0.2">
      <c r="A227" t="s">
        <v>4935</v>
      </c>
      <c r="B227">
        <v>12001</v>
      </c>
      <c r="C227" t="s">
        <v>2458</v>
      </c>
      <c r="D227" t="s">
        <v>5019</v>
      </c>
      <c r="E227" t="s">
        <v>279</v>
      </c>
      <c r="F227" t="s">
        <v>279</v>
      </c>
      <c r="G227" t="s">
        <v>2686</v>
      </c>
      <c r="H227" t="s">
        <v>279</v>
      </c>
      <c r="I227" t="s">
        <v>2666</v>
      </c>
      <c r="J227">
        <v>1</v>
      </c>
      <c r="K227">
        <v>265</v>
      </c>
    </row>
    <row r="228" spans="1:11" x14ac:dyDescent="0.2">
      <c r="A228" t="s">
        <v>4935</v>
      </c>
      <c r="B228">
        <v>19012</v>
      </c>
      <c r="C228" t="s">
        <v>1130</v>
      </c>
      <c r="D228" t="s">
        <v>5045</v>
      </c>
      <c r="E228" t="s">
        <v>279</v>
      </c>
      <c r="F228" t="s">
        <v>279</v>
      </c>
      <c r="G228" t="s">
        <v>2943</v>
      </c>
      <c r="H228" t="s">
        <v>279</v>
      </c>
      <c r="I228" t="s">
        <v>2666</v>
      </c>
      <c r="J228">
        <v>1</v>
      </c>
      <c r="K228">
        <v>352.17</v>
      </c>
    </row>
    <row r="229" spans="1:11" x14ac:dyDescent="0.2">
      <c r="A229" t="s">
        <v>4935</v>
      </c>
      <c r="B229">
        <v>20010</v>
      </c>
      <c r="C229" t="s">
        <v>384</v>
      </c>
      <c r="D229" t="s">
        <v>4993</v>
      </c>
      <c r="E229" t="s">
        <v>279</v>
      </c>
      <c r="F229" t="s">
        <v>279</v>
      </c>
      <c r="G229" t="s">
        <v>2814</v>
      </c>
      <c r="H229" t="s">
        <v>279</v>
      </c>
      <c r="I229" t="s">
        <v>2666</v>
      </c>
      <c r="J229">
        <v>1</v>
      </c>
      <c r="K229">
        <v>402</v>
      </c>
    </row>
    <row r="230" spans="1:11" x14ac:dyDescent="0.2">
      <c r="A230" t="s">
        <v>4935</v>
      </c>
      <c r="B230">
        <v>12056</v>
      </c>
      <c r="C230" t="s">
        <v>348</v>
      </c>
      <c r="D230" t="s">
        <v>4975</v>
      </c>
      <c r="E230" t="s">
        <v>279</v>
      </c>
      <c r="F230" t="s">
        <v>279</v>
      </c>
      <c r="G230" t="s">
        <v>2686</v>
      </c>
      <c r="H230" t="s">
        <v>279</v>
      </c>
      <c r="I230" t="s">
        <v>2666</v>
      </c>
      <c r="J230">
        <v>1</v>
      </c>
      <c r="K230">
        <v>104</v>
      </c>
    </row>
    <row r="231" spans="1:11" x14ac:dyDescent="0.2">
      <c r="A231" t="s">
        <v>4935</v>
      </c>
      <c r="B231">
        <v>13016</v>
      </c>
      <c r="C231" t="s">
        <v>355</v>
      </c>
      <c r="D231" t="s">
        <v>5017</v>
      </c>
      <c r="E231" t="s">
        <v>2634</v>
      </c>
      <c r="F231" t="s">
        <v>279</v>
      </c>
      <c r="G231" t="s">
        <v>2767</v>
      </c>
      <c r="H231" t="s">
        <v>2634</v>
      </c>
      <c r="I231" t="s">
        <v>2666</v>
      </c>
      <c r="J231">
        <v>1</v>
      </c>
      <c r="K231">
        <v>367</v>
      </c>
    </row>
    <row r="232" spans="1:11" x14ac:dyDescent="0.2">
      <c r="A232" t="s">
        <v>4935</v>
      </c>
      <c r="B232">
        <v>25009</v>
      </c>
      <c r="C232" t="s">
        <v>421</v>
      </c>
      <c r="D232" t="s">
        <v>4984</v>
      </c>
      <c r="E232" t="s">
        <v>279</v>
      </c>
      <c r="F232" t="s">
        <v>279</v>
      </c>
      <c r="G232" t="s">
        <v>2733</v>
      </c>
      <c r="H232" t="s">
        <v>279</v>
      </c>
      <c r="I232" t="s">
        <v>2666</v>
      </c>
      <c r="J232">
        <v>1</v>
      </c>
      <c r="K232">
        <v>167</v>
      </c>
    </row>
    <row r="233" spans="1:11" x14ac:dyDescent="0.2">
      <c r="A233" t="s">
        <v>4935</v>
      </c>
      <c r="B233">
        <v>22016</v>
      </c>
      <c r="C233" t="s">
        <v>1297</v>
      </c>
      <c r="D233" t="s">
        <v>4934</v>
      </c>
      <c r="E233" t="s">
        <v>279</v>
      </c>
      <c r="F233" t="s">
        <v>279</v>
      </c>
      <c r="G233" t="s">
        <v>2814</v>
      </c>
      <c r="H233" t="s">
        <v>279</v>
      </c>
      <c r="I233" t="s">
        <v>2666</v>
      </c>
      <c r="J233">
        <v>1</v>
      </c>
      <c r="K233">
        <v>1930</v>
      </c>
    </row>
    <row r="234" spans="1:11" x14ac:dyDescent="0.2">
      <c r="A234" t="s">
        <v>4935</v>
      </c>
      <c r="B234">
        <v>12022</v>
      </c>
      <c r="C234" t="s">
        <v>334</v>
      </c>
      <c r="D234" t="s">
        <v>5041</v>
      </c>
      <c r="E234" t="s">
        <v>279</v>
      </c>
      <c r="F234" t="s">
        <v>279</v>
      </c>
      <c r="G234" t="s">
        <v>2686</v>
      </c>
      <c r="H234" t="s">
        <v>279</v>
      </c>
      <c r="I234" t="s">
        <v>2666</v>
      </c>
      <c r="J234">
        <v>1</v>
      </c>
      <c r="K234">
        <v>711.17</v>
      </c>
    </row>
    <row r="235" spans="1:11" x14ac:dyDescent="0.2">
      <c r="A235" t="s">
        <v>4935</v>
      </c>
      <c r="B235">
        <v>25027</v>
      </c>
      <c r="C235" t="s">
        <v>424</v>
      </c>
      <c r="D235" t="s">
        <v>5030</v>
      </c>
      <c r="E235" t="s">
        <v>279</v>
      </c>
      <c r="F235" t="s">
        <v>279</v>
      </c>
      <c r="G235" t="s">
        <v>2733</v>
      </c>
      <c r="H235" t="s">
        <v>279</v>
      </c>
      <c r="I235" t="s">
        <v>2666</v>
      </c>
      <c r="J235">
        <v>1</v>
      </c>
      <c r="K235">
        <v>279</v>
      </c>
    </row>
    <row r="236" spans="1:11" x14ac:dyDescent="0.2">
      <c r="A236" t="s">
        <v>4935</v>
      </c>
      <c r="B236">
        <v>17009</v>
      </c>
      <c r="C236" t="s">
        <v>373</v>
      </c>
      <c r="D236" t="s">
        <v>4942</v>
      </c>
      <c r="E236" t="s">
        <v>279</v>
      </c>
      <c r="F236" t="s">
        <v>279</v>
      </c>
      <c r="G236" t="s">
        <v>2774</v>
      </c>
      <c r="H236" t="s">
        <v>279</v>
      </c>
      <c r="I236" t="s">
        <v>2666</v>
      </c>
      <c r="J236">
        <v>1</v>
      </c>
      <c r="K236">
        <v>460</v>
      </c>
    </row>
    <row r="237" spans="1:11" x14ac:dyDescent="0.2">
      <c r="A237" t="s">
        <v>4935</v>
      </c>
      <c r="B237">
        <v>8006</v>
      </c>
      <c r="C237" t="s">
        <v>321</v>
      </c>
      <c r="D237" t="s">
        <v>5043</v>
      </c>
      <c r="E237" t="s">
        <v>206</v>
      </c>
      <c r="F237" t="s">
        <v>279</v>
      </c>
      <c r="G237" t="s">
        <v>2674</v>
      </c>
      <c r="H237" t="s">
        <v>206</v>
      </c>
      <c r="I237" t="s">
        <v>2666</v>
      </c>
      <c r="J237">
        <v>1</v>
      </c>
      <c r="K237">
        <v>205</v>
      </c>
    </row>
    <row r="238" spans="1:11" x14ac:dyDescent="0.2">
      <c r="A238" t="s">
        <v>4935</v>
      </c>
      <c r="B238">
        <v>19005</v>
      </c>
      <c r="C238" t="s">
        <v>378</v>
      </c>
      <c r="D238" t="s">
        <v>4950</v>
      </c>
      <c r="E238" t="s">
        <v>279</v>
      </c>
      <c r="F238" t="s">
        <v>279</v>
      </c>
      <c r="G238" t="s">
        <v>2943</v>
      </c>
      <c r="H238" t="s">
        <v>279</v>
      </c>
      <c r="I238" t="s">
        <v>2666</v>
      </c>
      <c r="J238">
        <v>1</v>
      </c>
      <c r="K238">
        <v>461</v>
      </c>
    </row>
    <row r="239" spans="1:11" x14ac:dyDescent="0.2">
      <c r="A239" t="s">
        <v>4935</v>
      </c>
      <c r="B239">
        <v>9005</v>
      </c>
      <c r="C239" t="s">
        <v>1039</v>
      </c>
      <c r="D239" t="s">
        <v>5029</v>
      </c>
      <c r="E239" t="s">
        <v>31</v>
      </c>
      <c r="F239" t="s">
        <v>283</v>
      </c>
      <c r="G239" t="s">
        <v>2765</v>
      </c>
      <c r="H239" t="s">
        <v>31</v>
      </c>
      <c r="I239" t="s">
        <v>2666</v>
      </c>
      <c r="J239">
        <v>1</v>
      </c>
      <c r="K239">
        <v>225</v>
      </c>
    </row>
    <row r="240" spans="1:11" x14ac:dyDescent="0.2">
      <c r="A240" t="s">
        <v>4935</v>
      </c>
      <c r="B240">
        <v>24039</v>
      </c>
      <c r="C240" t="s">
        <v>2414</v>
      </c>
      <c r="D240" t="s">
        <v>4962</v>
      </c>
      <c r="E240" t="s">
        <v>279</v>
      </c>
      <c r="F240" t="s">
        <v>279</v>
      </c>
      <c r="G240" t="s">
        <v>2733</v>
      </c>
      <c r="H240" t="s">
        <v>279</v>
      </c>
      <c r="I240" t="s">
        <v>2666</v>
      </c>
      <c r="J240">
        <v>1</v>
      </c>
      <c r="K240">
        <v>210</v>
      </c>
    </row>
    <row r="241" spans="1:11" x14ac:dyDescent="0.2">
      <c r="A241" t="s">
        <v>4935</v>
      </c>
      <c r="B241">
        <v>25077</v>
      </c>
      <c r="C241" t="s">
        <v>434</v>
      </c>
      <c r="D241" t="s">
        <v>5031</v>
      </c>
      <c r="E241" t="s">
        <v>279</v>
      </c>
      <c r="F241" t="s">
        <v>279</v>
      </c>
      <c r="G241" t="s">
        <v>2733</v>
      </c>
      <c r="H241" t="s">
        <v>279</v>
      </c>
      <c r="I241" t="s">
        <v>2666</v>
      </c>
      <c r="J241">
        <v>1</v>
      </c>
      <c r="K241">
        <v>313</v>
      </c>
    </row>
    <row r="242" spans="1:11" x14ac:dyDescent="0.2">
      <c r="A242" t="s">
        <v>4935</v>
      </c>
      <c r="B242">
        <v>14003</v>
      </c>
      <c r="C242" t="s">
        <v>358</v>
      </c>
      <c r="D242" t="s">
        <v>5020</v>
      </c>
      <c r="E242" t="s">
        <v>279</v>
      </c>
      <c r="F242" t="s">
        <v>279</v>
      </c>
      <c r="G242" t="s">
        <v>2858</v>
      </c>
      <c r="H242" t="s">
        <v>279</v>
      </c>
      <c r="I242" t="s">
        <v>2666</v>
      </c>
      <c r="J242">
        <v>1</v>
      </c>
      <c r="K242">
        <v>1586</v>
      </c>
    </row>
    <row r="243" spans="1:11" x14ac:dyDescent="0.2">
      <c r="A243" t="s">
        <v>4935</v>
      </c>
      <c r="B243">
        <v>12032</v>
      </c>
      <c r="C243" t="s">
        <v>338</v>
      </c>
      <c r="D243" t="s">
        <v>4979</v>
      </c>
      <c r="E243" t="s">
        <v>279</v>
      </c>
      <c r="F243" t="s">
        <v>279</v>
      </c>
      <c r="G243" t="s">
        <v>2686</v>
      </c>
      <c r="H243" t="s">
        <v>279</v>
      </c>
      <c r="I243" t="s">
        <v>2666</v>
      </c>
      <c r="J243">
        <v>1</v>
      </c>
      <c r="K243">
        <v>505</v>
      </c>
    </row>
    <row r="244" spans="1:11" x14ac:dyDescent="0.2">
      <c r="A244" t="s">
        <v>4935</v>
      </c>
      <c r="B244">
        <v>24022</v>
      </c>
      <c r="C244" t="s">
        <v>408</v>
      </c>
      <c r="D244" t="s">
        <v>5002</v>
      </c>
      <c r="E244" t="s">
        <v>279</v>
      </c>
      <c r="F244" t="s">
        <v>279</v>
      </c>
      <c r="G244" t="s">
        <v>2733</v>
      </c>
      <c r="H244" t="s">
        <v>279</v>
      </c>
      <c r="I244" t="s">
        <v>2666</v>
      </c>
      <c r="J244">
        <v>1</v>
      </c>
      <c r="K244">
        <v>439</v>
      </c>
    </row>
    <row r="245" spans="1:11" x14ac:dyDescent="0.2">
      <c r="A245" t="s">
        <v>4935</v>
      </c>
      <c r="B245">
        <v>8015</v>
      </c>
      <c r="C245" t="s">
        <v>323</v>
      </c>
      <c r="D245" t="s">
        <v>4999</v>
      </c>
      <c r="E245" t="s">
        <v>206</v>
      </c>
      <c r="F245" t="s">
        <v>279</v>
      </c>
      <c r="G245" t="s">
        <v>2674</v>
      </c>
      <c r="H245" t="s">
        <v>206</v>
      </c>
      <c r="I245" t="s">
        <v>2666</v>
      </c>
      <c r="J245">
        <v>1</v>
      </c>
      <c r="K245">
        <v>1626.17</v>
      </c>
    </row>
    <row r="246" spans="1:11" x14ac:dyDescent="0.2">
      <c r="A246" t="s">
        <v>4935</v>
      </c>
      <c r="B246">
        <v>1005</v>
      </c>
      <c r="C246" t="s">
        <v>299</v>
      </c>
      <c r="D246" t="s">
        <v>4978</v>
      </c>
      <c r="E246" t="s">
        <v>279</v>
      </c>
      <c r="F246" t="s">
        <v>279</v>
      </c>
      <c r="G246" t="s">
        <v>4413</v>
      </c>
      <c r="H246" t="s">
        <v>279</v>
      </c>
      <c r="I246" t="s">
        <v>2666</v>
      </c>
      <c r="J246">
        <v>1</v>
      </c>
      <c r="K246">
        <v>867.17</v>
      </c>
    </row>
    <row r="247" spans="1:11" x14ac:dyDescent="0.2">
      <c r="A247" t="s">
        <v>4935</v>
      </c>
      <c r="B247">
        <v>10007</v>
      </c>
      <c r="C247" t="s">
        <v>327</v>
      </c>
      <c r="D247" t="s">
        <v>5044</v>
      </c>
      <c r="E247" t="s">
        <v>31</v>
      </c>
      <c r="F247" t="s">
        <v>283</v>
      </c>
      <c r="G247" t="s">
        <v>2886</v>
      </c>
      <c r="H247" t="s">
        <v>31</v>
      </c>
      <c r="I247" t="s">
        <v>2666</v>
      </c>
      <c r="J247">
        <v>1</v>
      </c>
      <c r="K247">
        <v>3511.02</v>
      </c>
    </row>
    <row r="248" spans="1:11" x14ac:dyDescent="0.2">
      <c r="A248" t="s">
        <v>4935</v>
      </c>
      <c r="B248">
        <v>12048</v>
      </c>
      <c r="C248" t="s">
        <v>345</v>
      </c>
      <c r="D248" t="s">
        <v>4973</v>
      </c>
      <c r="E248" t="s">
        <v>279</v>
      </c>
      <c r="F248" t="s">
        <v>279</v>
      </c>
      <c r="G248" t="s">
        <v>2686</v>
      </c>
      <c r="H248" t="s">
        <v>279</v>
      </c>
      <c r="I248" t="s">
        <v>2666</v>
      </c>
      <c r="J248">
        <v>1</v>
      </c>
      <c r="K248">
        <v>124</v>
      </c>
    </row>
    <row r="249" spans="1:11" x14ac:dyDescent="0.2">
      <c r="A249" t="s">
        <v>4935</v>
      </c>
      <c r="B249">
        <v>24031</v>
      </c>
      <c r="C249" t="s">
        <v>414</v>
      </c>
      <c r="D249" t="s">
        <v>5018</v>
      </c>
      <c r="E249" t="s">
        <v>279</v>
      </c>
      <c r="F249" t="s">
        <v>279</v>
      </c>
      <c r="G249" t="s">
        <v>2733</v>
      </c>
      <c r="H249" t="s">
        <v>279</v>
      </c>
      <c r="I249" t="s">
        <v>2666</v>
      </c>
      <c r="J249">
        <v>1</v>
      </c>
      <c r="K249">
        <v>867</v>
      </c>
    </row>
    <row r="250" spans="1:11" x14ac:dyDescent="0.2">
      <c r="A250" t="s">
        <v>4935</v>
      </c>
      <c r="B250">
        <v>23020</v>
      </c>
      <c r="C250" t="s">
        <v>405</v>
      </c>
      <c r="D250" t="s">
        <v>4956</v>
      </c>
      <c r="E250" t="s">
        <v>279</v>
      </c>
      <c r="F250" t="s">
        <v>279</v>
      </c>
      <c r="G250" t="s">
        <v>2733</v>
      </c>
      <c r="H250" t="s">
        <v>279</v>
      </c>
      <c r="I250" t="s">
        <v>2666</v>
      </c>
      <c r="J250">
        <v>1</v>
      </c>
      <c r="K250">
        <v>365</v>
      </c>
    </row>
    <row r="251" spans="1:11" x14ac:dyDescent="0.2">
      <c r="A251" t="s">
        <v>4935</v>
      </c>
      <c r="B251">
        <v>19028</v>
      </c>
      <c r="C251" t="s">
        <v>382</v>
      </c>
      <c r="D251" t="s">
        <v>5000</v>
      </c>
      <c r="E251" t="s">
        <v>2634</v>
      </c>
      <c r="F251" t="s">
        <v>279</v>
      </c>
      <c r="G251" t="s">
        <v>2943</v>
      </c>
      <c r="H251" t="s">
        <v>2634</v>
      </c>
      <c r="I251" t="s">
        <v>2666</v>
      </c>
      <c r="J251">
        <v>1</v>
      </c>
      <c r="K251">
        <v>484</v>
      </c>
    </row>
    <row r="252" spans="1:11" x14ac:dyDescent="0.2">
      <c r="A252" t="s">
        <v>4935</v>
      </c>
      <c r="B252">
        <v>12065</v>
      </c>
      <c r="C252" t="s">
        <v>351</v>
      </c>
      <c r="D252" t="s">
        <v>4964</v>
      </c>
      <c r="E252" t="s">
        <v>279</v>
      </c>
      <c r="F252" t="s">
        <v>279</v>
      </c>
      <c r="G252" t="s">
        <v>2686</v>
      </c>
      <c r="H252" t="s">
        <v>279</v>
      </c>
      <c r="I252" t="s">
        <v>2666</v>
      </c>
      <c r="J252">
        <v>1</v>
      </c>
      <c r="K252">
        <v>131</v>
      </c>
    </row>
    <row r="253" spans="1:11" x14ac:dyDescent="0.2">
      <c r="A253" t="s">
        <v>4935</v>
      </c>
      <c r="B253">
        <v>14008</v>
      </c>
      <c r="C253" t="s">
        <v>1042</v>
      </c>
      <c r="D253" t="s">
        <v>5006</v>
      </c>
      <c r="E253" t="s">
        <v>279</v>
      </c>
      <c r="F253" t="s">
        <v>279</v>
      </c>
      <c r="G253" t="s">
        <v>2858</v>
      </c>
      <c r="H253" t="s">
        <v>279</v>
      </c>
      <c r="I253" t="s">
        <v>2666</v>
      </c>
      <c r="J253">
        <v>1</v>
      </c>
      <c r="K253">
        <v>292</v>
      </c>
    </row>
    <row r="254" spans="1:11" x14ac:dyDescent="0.2">
      <c r="A254" t="s">
        <v>4935</v>
      </c>
      <c r="B254">
        <v>11007</v>
      </c>
      <c r="C254" t="s">
        <v>1307</v>
      </c>
      <c r="D254" t="s">
        <v>5033</v>
      </c>
      <c r="E254" t="s">
        <v>31</v>
      </c>
      <c r="F254" t="s">
        <v>283</v>
      </c>
      <c r="G254" t="s">
        <v>2805</v>
      </c>
      <c r="H254" t="s">
        <v>31</v>
      </c>
      <c r="I254" t="s">
        <v>2666</v>
      </c>
      <c r="J254">
        <v>1</v>
      </c>
      <c r="K254">
        <v>404</v>
      </c>
    </row>
    <row r="255" spans="1:11" x14ac:dyDescent="0.2">
      <c r="A255" t="s">
        <v>4935</v>
      </c>
      <c r="B255">
        <v>24006</v>
      </c>
      <c r="C255" t="s">
        <v>406</v>
      </c>
      <c r="D255" t="s">
        <v>5010</v>
      </c>
      <c r="E255" t="s">
        <v>279</v>
      </c>
      <c r="F255" t="s">
        <v>279</v>
      </c>
      <c r="G255" t="s">
        <v>2733</v>
      </c>
      <c r="H255" t="s">
        <v>279</v>
      </c>
      <c r="I255" t="s">
        <v>2666</v>
      </c>
      <c r="J255">
        <v>1</v>
      </c>
      <c r="K255">
        <v>157</v>
      </c>
    </row>
    <row r="256" spans="1:11" x14ac:dyDescent="0.2">
      <c r="A256" t="s">
        <v>4935</v>
      </c>
      <c r="B256">
        <v>15006</v>
      </c>
      <c r="C256" t="s">
        <v>2503</v>
      </c>
      <c r="D256" t="s">
        <v>4959</v>
      </c>
      <c r="E256" t="s">
        <v>279</v>
      </c>
      <c r="F256" t="s">
        <v>279</v>
      </c>
      <c r="G256" t="s">
        <v>2767</v>
      </c>
      <c r="H256" t="s">
        <v>279</v>
      </c>
      <c r="I256" t="s">
        <v>2666</v>
      </c>
      <c r="J256">
        <v>1</v>
      </c>
      <c r="K256">
        <v>286</v>
      </c>
    </row>
    <row r="257" spans="1:11" x14ac:dyDescent="0.2">
      <c r="A257" t="s">
        <v>4935</v>
      </c>
      <c r="B257">
        <v>12036</v>
      </c>
      <c r="C257" t="s">
        <v>340</v>
      </c>
      <c r="D257" t="s">
        <v>4963</v>
      </c>
      <c r="E257" t="s">
        <v>279</v>
      </c>
      <c r="F257" t="s">
        <v>279</v>
      </c>
      <c r="G257" t="s">
        <v>2686</v>
      </c>
      <c r="H257" t="s">
        <v>279</v>
      </c>
      <c r="I257" t="s">
        <v>2666</v>
      </c>
      <c r="J257">
        <v>1</v>
      </c>
      <c r="K257">
        <v>350</v>
      </c>
    </row>
    <row r="258" spans="1:11" x14ac:dyDescent="0.2">
      <c r="A258" t="s">
        <v>4935</v>
      </c>
      <c r="B258">
        <v>19016</v>
      </c>
      <c r="C258" t="s">
        <v>1292</v>
      </c>
      <c r="D258" t="s">
        <v>5053</v>
      </c>
      <c r="E258" t="s">
        <v>279</v>
      </c>
      <c r="F258" t="s">
        <v>279</v>
      </c>
      <c r="G258" t="s">
        <v>2943</v>
      </c>
      <c r="H258" t="s">
        <v>279</v>
      </c>
      <c r="I258" t="s">
        <v>2666</v>
      </c>
      <c r="J258">
        <v>1</v>
      </c>
      <c r="K258">
        <v>401</v>
      </c>
    </row>
    <row r="259" spans="1:11" x14ac:dyDescent="0.2">
      <c r="A259" t="s">
        <v>4935</v>
      </c>
      <c r="B259">
        <v>10010</v>
      </c>
      <c r="C259" t="s">
        <v>1306</v>
      </c>
      <c r="D259" t="s">
        <v>4970</v>
      </c>
      <c r="E259" t="s">
        <v>31</v>
      </c>
      <c r="F259" t="s">
        <v>283</v>
      </c>
      <c r="G259" t="s">
        <v>2765</v>
      </c>
      <c r="H259" t="s">
        <v>31</v>
      </c>
      <c r="I259" t="s">
        <v>2666</v>
      </c>
      <c r="J259">
        <v>1</v>
      </c>
      <c r="K259">
        <v>283</v>
      </c>
    </row>
    <row r="260" spans="1:11" x14ac:dyDescent="0.2">
      <c r="A260" t="s">
        <v>4935</v>
      </c>
      <c r="B260">
        <v>15074</v>
      </c>
      <c r="C260" t="s">
        <v>368</v>
      </c>
      <c r="D260" t="s">
        <v>5004</v>
      </c>
      <c r="E260" t="s">
        <v>279</v>
      </c>
      <c r="F260" t="s">
        <v>279</v>
      </c>
      <c r="G260" t="s">
        <v>2790</v>
      </c>
      <c r="H260" t="s">
        <v>279</v>
      </c>
      <c r="I260" t="s">
        <v>2666</v>
      </c>
      <c r="J260">
        <v>1</v>
      </c>
      <c r="K260">
        <v>596.33000000000004</v>
      </c>
    </row>
    <row r="261" spans="1:11" x14ac:dyDescent="0.2">
      <c r="A261" t="s">
        <v>4935</v>
      </c>
      <c r="B261">
        <v>12061</v>
      </c>
      <c r="C261" t="s">
        <v>350</v>
      </c>
      <c r="D261" t="s">
        <v>4958</v>
      </c>
      <c r="E261" t="s">
        <v>279</v>
      </c>
      <c r="F261" t="s">
        <v>279</v>
      </c>
      <c r="G261" t="s">
        <v>2686</v>
      </c>
      <c r="H261" t="s">
        <v>279</v>
      </c>
      <c r="I261" t="s">
        <v>2666</v>
      </c>
      <c r="J261">
        <v>1</v>
      </c>
      <c r="K261">
        <v>35</v>
      </c>
    </row>
    <row r="262" spans="1:11" x14ac:dyDescent="0.2">
      <c r="A262" t="s">
        <v>4935</v>
      </c>
      <c r="B262">
        <v>25036</v>
      </c>
      <c r="C262" t="s">
        <v>2524</v>
      </c>
      <c r="D262" t="s">
        <v>5055</v>
      </c>
      <c r="E262" t="s">
        <v>279</v>
      </c>
      <c r="F262" t="s">
        <v>279</v>
      </c>
      <c r="G262" t="s">
        <v>2733</v>
      </c>
      <c r="H262" t="s">
        <v>279</v>
      </c>
      <c r="I262" t="s">
        <v>2666</v>
      </c>
      <c r="J262">
        <v>1</v>
      </c>
      <c r="K262">
        <v>586</v>
      </c>
    </row>
    <row r="263" spans="1:11" x14ac:dyDescent="0.2">
      <c r="A263" t="s">
        <v>4935</v>
      </c>
      <c r="B263">
        <v>12051</v>
      </c>
      <c r="C263" t="s">
        <v>1310</v>
      </c>
      <c r="D263" t="s">
        <v>5013</v>
      </c>
      <c r="E263" t="s">
        <v>279</v>
      </c>
      <c r="F263" t="s">
        <v>279</v>
      </c>
      <c r="G263" t="s">
        <v>2686</v>
      </c>
      <c r="H263" t="s">
        <v>279</v>
      </c>
      <c r="I263" t="s">
        <v>2666</v>
      </c>
      <c r="J263">
        <v>1</v>
      </c>
      <c r="K263">
        <v>225</v>
      </c>
    </row>
    <row r="264" spans="1:11" x14ac:dyDescent="0.2">
      <c r="A264" t="s">
        <v>4935</v>
      </c>
      <c r="B264">
        <v>58005</v>
      </c>
      <c r="C264" t="s">
        <v>663</v>
      </c>
      <c r="D264" t="s">
        <v>5049</v>
      </c>
      <c r="E264" t="s">
        <v>281</v>
      </c>
      <c r="F264" t="s">
        <v>281</v>
      </c>
      <c r="G264" t="s">
        <v>2699</v>
      </c>
      <c r="H264" t="s">
        <v>281</v>
      </c>
      <c r="I264" t="s">
        <v>2666</v>
      </c>
      <c r="J264">
        <v>1</v>
      </c>
      <c r="K264">
        <v>490</v>
      </c>
    </row>
    <row r="265" spans="1:11" x14ac:dyDescent="0.2">
      <c r="A265" t="s">
        <v>4935</v>
      </c>
      <c r="B265">
        <v>12020</v>
      </c>
      <c r="C265" t="s">
        <v>1122</v>
      </c>
      <c r="D265" t="s">
        <v>4937</v>
      </c>
      <c r="E265" t="s">
        <v>279</v>
      </c>
      <c r="F265" t="s">
        <v>279</v>
      </c>
      <c r="G265" t="s">
        <v>2686</v>
      </c>
      <c r="H265" t="s">
        <v>279</v>
      </c>
      <c r="I265" t="s">
        <v>2666</v>
      </c>
      <c r="J265">
        <v>1</v>
      </c>
      <c r="K265">
        <v>166</v>
      </c>
    </row>
    <row r="266" spans="1:11" x14ac:dyDescent="0.2">
      <c r="A266" t="s">
        <v>4935</v>
      </c>
      <c r="B266">
        <v>24060</v>
      </c>
      <c r="C266" t="s">
        <v>2459</v>
      </c>
      <c r="D266" t="s">
        <v>5012</v>
      </c>
      <c r="E266" t="s">
        <v>279</v>
      </c>
      <c r="F266" t="s">
        <v>279</v>
      </c>
      <c r="G266" t="s">
        <v>2733</v>
      </c>
      <c r="H266" t="s">
        <v>279</v>
      </c>
      <c r="I266" t="s">
        <v>2666</v>
      </c>
      <c r="J266">
        <v>1</v>
      </c>
      <c r="K266">
        <v>587</v>
      </c>
    </row>
    <row r="267" spans="1:11" x14ac:dyDescent="0.2">
      <c r="A267" t="s">
        <v>4935</v>
      </c>
      <c r="B267">
        <v>24029</v>
      </c>
      <c r="C267" t="s">
        <v>412</v>
      </c>
      <c r="D267" t="s">
        <v>4989</v>
      </c>
      <c r="E267" t="s">
        <v>279</v>
      </c>
      <c r="F267" t="s">
        <v>279</v>
      </c>
      <c r="G267" t="s">
        <v>2733</v>
      </c>
      <c r="H267" t="s">
        <v>279</v>
      </c>
      <c r="I267" t="s">
        <v>2666</v>
      </c>
      <c r="J267">
        <v>1</v>
      </c>
      <c r="K267">
        <v>1634.17</v>
      </c>
    </row>
    <row r="268" spans="1:11" x14ac:dyDescent="0.2">
      <c r="A268" t="s">
        <v>4935</v>
      </c>
      <c r="B268">
        <v>19002</v>
      </c>
      <c r="C268" t="s">
        <v>376</v>
      </c>
      <c r="D268" t="s">
        <v>5015</v>
      </c>
      <c r="E268" t="s">
        <v>279</v>
      </c>
      <c r="F268" t="s">
        <v>279</v>
      </c>
      <c r="G268" t="s">
        <v>2943</v>
      </c>
      <c r="H268" t="s">
        <v>279</v>
      </c>
      <c r="I268" t="s">
        <v>2666</v>
      </c>
      <c r="J268">
        <v>1</v>
      </c>
      <c r="K268">
        <v>72</v>
      </c>
    </row>
    <row r="269" spans="1:11" x14ac:dyDescent="0.2">
      <c r="A269" t="s">
        <v>4935</v>
      </c>
      <c r="B269">
        <v>25082</v>
      </c>
      <c r="C269" t="s">
        <v>436</v>
      </c>
      <c r="D269" t="s">
        <v>5048</v>
      </c>
      <c r="E269" t="s">
        <v>279</v>
      </c>
      <c r="F269" t="s">
        <v>279</v>
      </c>
      <c r="G269" t="s">
        <v>2733</v>
      </c>
      <c r="H269" t="s">
        <v>279</v>
      </c>
      <c r="I269" t="s">
        <v>2666</v>
      </c>
      <c r="J269">
        <v>1</v>
      </c>
      <c r="K269">
        <v>307</v>
      </c>
    </row>
    <row r="270" spans="1:11" x14ac:dyDescent="0.2">
      <c r="A270" t="s">
        <v>4935</v>
      </c>
      <c r="B270">
        <v>11011</v>
      </c>
      <c r="C270" t="s">
        <v>329</v>
      </c>
      <c r="D270" t="s">
        <v>5005</v>
      </c>
      <c r="E270" t="s">
        <v>31</v>
      </c>
      <c r="F270" t="s">
        <v>283</v>
      </c>
      <c r="G270" t="s">
        <v>2805</v>
      </c>
      <c r="H270" t="s">
        <v>31</v>
      </c>
      <c r="I270" t="s">
        <v>2666</v>
      </c>
      <c r="J270">
        <v>1</v>
      </c>
      <c r="K270">
        <v>610</v>
      </c>
    </row>
    <row r="271" spans="1:11" x14ac:dyDescent="0.2">
      <c r="A271" t="s">
        <v>4935</v>
      </c>
      <c r="B271">
        <v>17001</v>
      </c>
      <c r="C271" t="s">
        <v>370</v>
      </c>
      <c r="D271" t="s">
        <v>4943</v>
      </c>
      <c r="E271" t="s">
        <v>279</v>
      </c>
      <c r="F271" t="s">
        <v>279</v>
      </c>
      <c r="G271" t="s">
        <v>2774</v>
      </c>
      <c r="H271" t="s">
        <v>279</v>
      </c>
      <c r="I271" t="s">
        <v>2666</v>
      </c>
      <c r="J271">
        <v>1</v>
      </c>
      <c r="K271">
        <v>199</v>
      </c>
    </row>
    <row r="272" spans="1:11" x14ac:dyDescent="0.2">
      <c r="A272" t="s">
        <v>4935</v>
      </c>
      <c r="B272">
        <v>17006</v>
      </c>
      <c r="C272" t="s">
        <v>372</v>
      </c>
      <c r="D272" t="s">
        <v>5034</v>
      </c>
      <c r="E272" t="s">
        <v>279</v>
      </c>
      <c r="F272" t="s">
        <v>279</v>
      </c>
      <c r="G272" t="s">
        <v>2774</v>
      </c>
      <c r="H272" t="s">
        <v>279</v>
      </c>
      <c r="I272" t="s">
        <v>2666</v>
      </c>
      <c r="J272">
        <v>1</v>
      </c>
      <c r="K272">
        <v>355</v>
      </c>
    </row>
    <row r="273" spans="1:11" x14ac:dyDescent="0.2">
      <c r="A273" t="s">
        <v>4935</v>
      </c>
      <c r="B273">
        <v>12037</v>
      </c>
      <c r="C273" t="s">
        <v>341</v>
      </c>
      <c r="D273" t="s">
        <v>4969</v>
      </c>
      <c r="E273" t="s">
        <v>279</v>
      </c>
      <c r="F273" t="s">
        <v>279</v>
      </c>
      <c r="G273" t="s">
        <v>2686</v>
      </c>
      <c r="H273" t="s">
        <v>279</v>
      </c>
      <c r="I273" t="s">
        <v>2666</v>
      </c>
      <c r="J273">
        <v>1</v>
      </c>
      <c r="K273">
        <v>339</v>
      </c>
    </row>
    <row r="274" spans="1:11" x14ac:dyDescent="0.2">
      <c r="A274" t="s">
        <v>4935</v>
      </c>
      <c r="B274">
        <v>12038</v>
      </c>
      <c r="C274" t="s">
        <v>2502</v>
      </c>
      <c r="D274" t="s">
        <v>4948</v>
      </c>
      <c r="E274" t="s">
        <v>279</v>
      </c>
      <c r="F274" t="s">
        <v>279</v>
      </c>
      <c r="G274" t="s">
        <v>2686</v>
      </c>
      <c r="H274" t="s">
        <v>279</v>
      </c>
      <c r="I274" t="s">
        <v>2666</v>
      </c>
      <c r="J274">
        <v>1</v>
      </c>
      <c r="K274">
        <v>401</v>
      </c>
    </row>
    <row r="275" spans="1:11" x14ac:dyDescent="0.2">
      <c r="A275" t="s">
        <v>4935</v>
      </c>
      <c r="B275">
        <v>14010</v>
      </c>
      <c r="C275" t="s">
        <v>361</v>
      </c>
      <c r="D275" t="s">
        <v>4960</v>
      </c>
      <c r="E275" t="s">
        <v>279</v>
      </c>
      <c r="F275" t="s">
        <v>279</v>
      </c>
      <c r="G275" t="s">
        <v>2858</v>
      </c>
      <c r="H275" t="s">
        <v>279</v>
      </c>
      <c r="I275" t="s">
        <v>2666</v>
      </c>
      <c r="J275">
        <v>1</v>
      </c>
      <c r="K275">
        <v>288.33</v>
      </c>
    </row>
    <row r="276" spans="1:11" x14ac:dyDescent="0.2">
      <c r="A276" t="s">
        <v>4935</v>
      </c>
      <c r="B276">
        <v>12008</v>
      </c>
      <c r="C276" t="s">
        <v>1308</v>
      </c>
      <c r="D276" t="s">
        <v>4980</v>
      </c>
      <c r="E276" t="s">
        <v>279</v>
      </c>
      <c r="F276" t="s">
        <v>279</v>
      </c>
      <c r="G276" t="s">
        <v>2686</v>
      </c>
      <c r="H276" t="s">
        <v>279</v>
      </c>
      <c r="I276" t="s">
        <v>2666</v>
      </c>
      <c r="J276">
        <v>1</v>
      </c>
      <c r="K276">
        <v>141</v>
      </c>
    </row>
    <row r="277" spans="1:11" x14ac:dyDescent="0.2">
      <c r="A277" t="s">
        <v>4935</v>
      </c>
      <c r="B277">
        <v>14002</v>
      </c>
      <c r="C277" t="s">
        <v>357</v>
      </c>
      <c r="D277" t="s">
        <v>5039</v>
      </c>
      <c r="E277" t="s">
        <v>279</v>
      </c>
      <c r="F277" t="s">
        <v>279</v>
      </c>
      <c r="G277" t="s">
        <v>2858</v>
      </c>
      <c r="H277" t="s">
        <v>279</v>
      </c>
      <c r="I277" t="s">
        <v>2666</v>
      </c>
      <c r="J277">
        <v>1</v>
      </c>
      <c r="K277">
        <v>355</v>
      </c>
    </row>
    <row r="278" spans="1:11" x14ac:dyDescent="0.2">
      <c r="A278" t="s">
        <v>4935</v>
      </c>
      <c r="B278">
        <v>13002</v>
      </c>
      <c r="C278" t="s">
        <v>352</v>
      </c>
      <c r="D278" t="s">
        <v>4946</v>
      </c>
      <c r="E278" t="s">
        <v>279</v>
      </c>
      <c r="F278" t="s">
        <v>279</v>
      </c>
      <c r="G278" t="s">
        <v>2767</v>
      </c>
      <c r="H278" t="s">
        <v>279</v>
      </c>
      <c r="I278" t="s">
        <v>2666</v>
      </c>
      <c r="J278">
        <v>1</v>
      </c>
      <c r="K278">
        <v>423</v>
      </c>
    </row>
    <row r="279" spans="1:11" x14ac:dyDescent="0.2">
      <c r="A279" t="s">
        <v>4935</v>
      </c>
      <c r="B279">
        <v>25052</v>
      </c>
      <c r="C279" t="s">
        <v>430</v>
      </c>
      <c r="D279" t="s">
        <v>4955</v>
      </c>
      <c r="E279" t="s">
        <v>279</v>
      </c>
      <c r="F279" t="s">
        <v>279</v>
      </c>
      <c r="G279" t="s">
        <v>2733</v>
      </c>
      <c r="H279" t="s">
        <v>279</v>
      </c>
      <c r="I279" t="s">
        <v>2666</v>
      </c>
      <c r="J279">
        <v>1</v>
      </c>
      <c r="K279">
        <v>198</v>
      </c>
    </row>
    <row r="280" spans="1:11" x14ac:dyDescent="0.2">
      <c r="A280" t="s">
        <v>4935</v>
      </c>
      <c r="B280">
        <v>12041</v>
      </c>
      <c r="C280" t="s">
        <v>342</v>
      </c>
      <c r="D280" t="s">
        <v>5046</v>
      </c>
      <c r="E280" t="s">
        <v>279</v>
      </c>
      <c r="F280" t="s">
        <v>279</v>
      </c>
      <c r="G280" t="s">
        <v>2686</v>
      </c>
      <c r="H280" t="s">
        <v>279</v>
      </c>
      <c r="I280" t="s">
        <v>2666</v>
      </c>
      <c r="J280">
        <v>1</v>
      </c>
      <c r="K280">
        <v>289</v>
      </c>
    </row>
    <row r="281" spans="1:11" x14ac:dyDescent="0.2">
      <c r="A281" t="s">
        <v>4935</v>
      </c>
      <c r="B281">
        <v>19021</v>
      </c>
      <c r="C281" t="s">
        <v>381</v>
      </c>
      <c r="D281" t="s">
        <v>4954</v>
      </c>
      <c r="E281" t="s">
        <v>279</v>
      </c>
      <c r="F281" t="s">
        <v>279</v>
      </c>
      <c r="G281" t="s">
        <v>2943</v>
      </c>
      <c r="H281" t="s">
        <v>279</v>
      </c>
      <c r="I281" t="s">
        <v>2666</v>
      </c>
      <c r="J281">
        <v>1</v>
      </c>
      <c r="K281">
        <v>180</v>
      </c>
    </row>
    <row r="282" spans="1:11" x14ac:dyDescent="0.2">
      <c r="A282" t="s">
        <v>4935</v>
      </c>
      <c r="B282">
        <v>12057</v>
      </c>
      <c r="C282" t="s">
        <v>349</v>
      </c>
      <c r="D282" t="s">
        <v>4996</v>
      </c>
      <c r="E282" t="s">
        <v>2634</v>
      </c>
      <c r="F282" t="s">
        <v>279</v>
      </c>
      <c r="G282" t="s">
        <v>2686</v>
      </c>
      <c r="H282" t="s">
        <v>2634</v>
      </c>
      <c r="I282" t="s">
        <v>2666</v>
      </c>
      <c r="J282">
        <v>1</v>
      </c>
      <c r="K282">
        <v>647</v>
      </c>
    </row>
    <row r="283" spans="1:11" x14ac:dyDescent="0.2">
      <c r="A283" t="s">
        <v>4935</v>
      </c>
      <c r="B283">
        <v>21043</v>
      </c>
      <c r="C283" t="s">
        <v>397</v>
      </c>
      <c r="D283" t="s">
        <v>5051</v>
      </c>
      <c r="E283" t="s">
        <v>279</v>
      </c>
      <c r="F283" t="s">
        <v>279</v>
      </c>
      <c r="G283" t="s">
        <v>2814</v>
      </c>
      <c r="H283" t="s">
        <v>279</v>
      </c>
      <c r="I283" t="s">
        <v>2666</v>
      </c>
      <c r="J283">
        <v>1</v>
      </c>
      <c r="K283">
        <v>15087.93</v>
      </c>
    </row>
    <row r="284" spans="1:11" x14ac:dyDescent="0.2">
      <c r="A284" t="s">
        <v>4935</v>
      </c>
      <c r="B284">
        <v>13015</v>
      </c>
      <c r="C284" t="s">
        <v>1126</v>
      </c>
      <c r="D284" t="s">
        <v>5023</v>
      </c>
      <c r="E284" t="s">
        <v>279</v>
      </c>
      <c r="F284" t="s">
        <v>279</v>
      </c>
      <c r="G284" t="s">
        <v>2767</v>
      </c>
      <c r="H284" t="s">
        <v>279</v>
      </c>
      <c r="I284" t="s">
        <v>2666</v>
      </c>
      <c r="J284">
        <v>1</v>
      </c>
      <c r="K284">
        <v>393</v>
      </c>
    </row>
    <row r="285" spans="1:11" x14ac:dyDescent="0.2">
      <c r="A285" t="s">
        <v>4935</v>
      </c>
      <c r="B285">
        <v>24048</v>
      </c>
      <c r="C285" t="s">
        <v>419</v>
      </c>
      <c r="D285" t="s">
        <v>5037</v>
      </c>
      <c r="E285" t="s">
        <v>279</v>
      </c>
      <c r="F285" t="s">
        <v>279</v>
      </c>
      <c r="G285" t="s">
        <v>2733</v>
      </c>
      <c r="H285" t="s">
        <v>279</v>
      </c>
      <c r="I285" t="s">
        <v>2666</v>
      </c>
      <c r="J285">
        <v>1</v>
      </c>
      <c r="K285">
        <v>191</v>
      </c>
    </row>
    <row r="286" spans="1:11" x14ac:dyDescent="0.2">
      <c r="A286" t="s">
        <v>4839</v>
      </c>
      <c r="B286">
        <v>250025</v>
      </c>
      <c r="C286" t="s">
        <v>1012</v>
      </c>
      <c r="D286" t="s">
        <v>4876</v>
      </c>
      <c r="E286" t="s">
        <v>188</v>
      </c>
      <c r="F286" t="s">
        <v>188</v>
      </c>
      <c r="G286" t="s">
        <v>4842</v>
      </c>
      <c r="H286" t="s">
        <v>188</v>
      </c>
      <c r="I286" t="s">
        <v>2666</v>
      </c>
      <c r="J286">
        <v>1</v>
      </c>
      <c r="K286">
        <v>7</v>
      </c>
    </row>
    <row r="287" spans="1:11" x14ac:dyDescent="0.2">
      <c r="A287" t="s">
        <v>4839</v>
      </c>
      <c r="B287">
        <v>250801</v>
      </c>
      <c r="C287" t="s">
        <v>2380</v>
      </c>
      <c r="D287" t="s">
        <v>4890</v>
      </c>
      <c r="E287" t="s">
        <v>188</v>
      </c>
      <c r="F287" t="s">
        <v>188</v>
      </c>
      <c r="G287" t="s">
        <v>4887</v>
      </c>
      <c r="H287" t="s">
        <v>188</v>
      </c>
      <c r="I287" t="s">
        <v>2616</v>
      </c>
      <c r="J287">
        <v>1</v>
      </c>
      <c r="K287">
        <v>99</v>
      </c>
    </row>
    <row r="288" spans="1:11" x14ac:dyDescent="0.2">
      <c r="A288" t="s">
        <v>4839</v>
      </c>
      <c r="B288">
        <v>250032</v>
      </c>
      <c r="C288" t="s">
        <v>2300</v>
      </c>
      <c r="D288" t="s">
        <v>4854</v>
      </c>
      <c r="E288" t="s">
        <v>188</v>
      </c>
      <c r="F288" t="s">
        <v>188</v>
      </c>
      <c r="G288" t="s">
        <v>4853</v>
      </c>
      <c r="H288" t="s">
        <v>188</v>
      </c>
      <c r="I288" t="s">
        <v>2616</v>
      </c>
      <c r="J288">
        <v>1</v>
      </c>
      <c r="K288">
        <v>306</v>
      </c>
    </row>
    <row r="289" spans="1:11" x14ac:dyDescent="0.2">
      <c r="A289" t="s">
        <v>4839</v>
      </c>
      <c r="B289">
        <v>150133</v>
      </c>
      <c r="C289" t="s">
        <v>1852</v>
      </c>
      <c r="D289" t="s">
        <v>4891</v>
      </c>
      <c r="E289" t="s">
        <v>189</v>
      </c>
      <c r="F289" t="s">
        <v>189</v>
      </c>
      <c r="G289" t="s">
        <v>4870</v>
      </c>
      <c r="H289" t="s">
        <v>189</v>
      </c>
      <c r="I289" t="s">
        <v>2616</v>
      </c>
      <c r="J289">
        <v>1</v>
      </c>
      <c r="K289">
        <v>177</v>
      </c>
    </row>
    <row r="290" spans="1:11" x14ac:dyDescent="0.2">
      <c r="A290" t="s">
        <v>4839</v>
      </c>
      <c r="B290">
        <v>250062</v>
      </c>
      <c r="C290" t="s">
        <v>2318</v>
      </c>
      <c r="D290" t="s">
        <v>4927</v>
      </c>
      <c r="E290" t="s">
        <v>188</v>
      </c>
      <c r="F290" t="s">
        <v>188</v>
      </c>
      <c r="G290" t="s">
        <v>188</v>
      </c>
      <c r="H290" t="s">
        <v>188</v>
      </c>
      <c r="I290" t="s">
        <v>2616</v>
      </c>
      <c r="J290">
        <v>1</v>
      </c>
      <c r="K290">
        <v>53</v>
      </c>
    </row>
    <row r="291" spans="1:11" x14ac:dyDescent="0.2">
      <c r="A291" t="s">
        <v>4839</v>
      </c>
      <c r="B291">
        <v>250163</v>
      </c>
      <c r="C291" t="s">
        <v>2497</v>
      </c>
      <c r="D291" t="s">
        <v>4856</v>
      </c>
      <c r="E291" t="s">
        <v>188</v>
      </c>
      <c r="F291" t="s">
        <v>188</v>
      </c>
      <c r="G291" t="s">
        <v>4855</v>
      </c>
      <c r="H291" t="s">
        <v>188</v>
      </c>
      <c r="I291" t="s">
        <v>2616</v>
      </c>
      <c r="J291">
        <v>1</v>
      </c>
      <c r="K291">
        <v>541</v>
      </c>
    </row>
    <row r="292" spans="1:11" x14ac:dyDescent="0.2">
      <c r="A292" t="s">
        <v>4839</v>
      </c>
      <c r="B292">
        <v>250023</v>
      </c>
      <c r="C292" t="s">
        <v>2296</v>
      </c>
      <c r="D292" t="s">
        <v>4892</v>
      </c>
      <c r="E292" t="s">
        <v>188</v>
      </c>
      <c r="F292" t="s">
        <v>188</v>
      </c>
      <c r="G292" t="s">
        <v>4865</v>
      </c>
      <c r="H292" t="s">
        <v>188</v>
      </c>
      <c r="I292" t="s">
        <v>2616</v>
      </c>
      <c r="J292">
        <v>1</v>
      </c>
      <c r="K292">
        <v>465</v>
      </c>
    </row>
    <row r="293" spans="1:11" x14ac:dyDescent="0.2">
      <c r="A293" t="s">
        <v>4839</v>
      </c>
      <c r="B293">
        <v>250164</v>
      </c>
      <c r="C293" t="s">
        <v>1021</v>
      </c>
      <c r="D293" t="s">
        <v>4868</v>
      </c>
      <c r="E293" t="s">
        <v>188</v>
      </c>
      <c r="F293" t="s">
        <v>188</v>
      </c>
      <c r="G293" t="s">
        <v>4855</v>
      </c>
      <c r="H293" t="s">
        <v>188</v>
      </c>
      <c r="I293" t="s">
        <v>2666</v>
      </c>
      <c r="J293">
        <v>1</v>
      </c>
      <c r="K293">
        <v>70</v>
      </c>
    </row>
    <row r="294" spans="1:11" x14ac:dyDescent="0.2">
      <c r="A294" t="s">
        <v>4839</v>
      </c>
      <c r="B294">
        <v>250033</v>
      </c>
      <c r="C294" t="s">
        <v>1013</v>
      </c>
      <c r="D294" t="s">
        <v>4921</v>
      </c>
      <c r="E294" t="s">
        <v>188</v>
      </c>
      <c r="F294" t="s">
        <v>188</v>
      </c>
      <c r="G294" t="s">
        <v>4895</v>
      </c>
      <c r="H294" t="s">
        <v>188</v>
      </c>
      <c r="I294" t="s">
        <v>2666</v>
      </c>
      <c r="J294">
        <v>1</v>
      </c>
      <c r="K294">
        <v>31</v>
      </c>
    </row>
    <row r="295" spans="1:11" x14ac:dyDescent="0.2">
      <c r="A295" t="s">
        <v>4839</v>
      </c>
      <c r="B295">
        <v>150249</v>
      </c>
      <c r="C295" t="s">
        <v>794</v>
      </c>
      <c r="D295" t="s">
        <v>4871</v>
      </c>
      <c r="E295" t="s">
        <v>189</v>
      </c>
      <c r="F295" t="s">
        <v>189</v>
      </c>
      <c r="G295" t="s">
        <v>4870</v>
      </c>
      <c r="H295" t="s">
        <v>189</v>
      </c>
      <c r="I295" t="s">
        <v>2666</v>
      </c>
      <c r="J295">
        <v>1</v>
      </c>
      <c r="K295">
        <v>42</v>
      </c>
    </row>
    <row r="296" spans="1:11" x14ac:dyDescent="0.2">
      <c r="A296" t="s">
        <v>4839</v>
      </c>
      <c r="B296">
        <v>250142</v>
      </c>
      <c r="C296" t="s">
        <v>2353</v>
      </c>
      <c r="D296" t="s">
        <v>4852</v>
      </c>
      <c r="E296" t="s">
        <v>188</v>
      </c>
      <c r="F296" t="s">
        <v>188</v>
      </c>
      <c r="G296" t="s">
        <v>4851</v>
      </c>
      <c r="H296" t="s">
        <v>188</v>
      </c>
      <c r="I296" t="s">
        <v>2616</v>
      </c>
      <c r="J296">
        <v>1</v>
      </c>
      <c r="K296">
        <v>456</v>
      </c>
    </row>
    <row r="297" spans="1:11" x14ac:dyDescent="0.2">
      <c r="A297" t="s">
        <v>4839</v>
      </c>
      <c r="B297">
        <v>250042</v>
      </c>
      <c r="C297" t="s">
        <v>2306</v>
      </c>
      <c r="D297" t="s">
        <v>4900</v>
      </c>
      <c r="E297" t="s">
        <v>188</v>
      </c>
      <c r="F297" t="s">
        <v>188</v>
      </c>
      <c r="G297" t="s">
        <v>4842</v>
      </c>
      <c r="H297" t="s">
        <v>188</v>
      </c>
      <c r="I297" t="s">
        <v>2616</v>
      </c>
      <c r="J297">
        <v>1</v>
      </c>
      <c r="K297">
        <v>289</v>
      </c>
    </row>
    <row r="298" spans="1:11" x14ac:dyDescent="0.2">
      <c r="A298" t="s">
        <v>4839</v>
      </c>
      <c r="B298">
        <v>250094</v>
      </c>
      <c r="C298" t="s">
        <v>1016</v>
      </c>
      <c r="D298" t="s">
        <v>4903</v>
      </c>
      <c r="E298" t="s">
        <v>188</v>
      </c>
      <c r="F298" t="s">
        <v>188</v>
      </c>
      <c r="G298" t="s">
        <v>4902</v>
      </c>
      <c r="H298" t="s">
        <v>188</v>
      </c>
      <c r="I298" t="s">
        <v>2666</v>
      </c>
      <c r="J298">
        <v>1</v>
      </c>
      <c r="K298">
        <v>10</v>
      </c>
    </row>
    <row r="299" spans="1:11" x14ac:dyDescent="0.2">
      <c r="A299" t="s">
        <v>4839</v>
      </c>
      <c r="B299">
        <v>250057</v>
      </c>
      <c r="C299" t="s">
        <v>2315</v>
      </c>
      <c r="D299" t="s">
        <v>4888</v>
      </c>
      <c r="E299" t="s">
        <v>188</v>
      </c>
      <c r="F299" t="s">
        <v>188</v>
      </c>
      <c r="G299" t="s">
        <v>4887</v>
      </c>
      <c r="H299" t="s">
        <v>188</v>
      </c>
      <c r="I299" t="s">
        <v>2616</v>
      </c>
      <c r="J299">
        <v>1</v>
      </c>
      <c r="K299">
        <v>43</v>
      </c>
    </row>
    <row r="300" spans="1:11" x14ac:dyDescent="0.2">
      <c r="A300" t="s">
        <v>4839</v>
      </c>
      <c r="B300">
        <v>250170</v>
      </c>
      <c r="C300" t="s">
        <v>2364</v>
      </c>
      <c r="D300" t="s">
        <v>4884</v>
      </c>
      <c r="E300" t="s">
        <v>188</v>
      </c>
      <c r="F300" t="s">
        <v>188</v>
      </c>
      <c r="G300" t="s">
        <v>4846</v>
      </c>
      <c r="H300" t="s">
        <v>188</v>
      </c>
      <c r="I300" t="s">
        <v>2616</v>
      </c>
      <c r="J300">
        <v>1</v>
      </c>
      <c r="K300">
        <v>193</v>
      </c>
    </row>
    <row r="301" spans="1:11" x14ac:dyDescent="0.2">
      <c r="A301" t="s">
        <v>4839</v>
      </c>
      <c r="B301">
        <v>250015</v>
      </c>
      <c r="C301" t="s">
        <v>2293</v>
      </c>
      <c r="D301" t="s">
        <v>4880</v>
      </c>
      <c r="E301" t="s">
        <v>188</v>
      </c>
      <c r="F301" t="s">
        <v>188</v>
      </c>
      <c r="G301" t="s">
        <v>4857</v>
      </c>
      <c r="H301" t="s">
        <v>188</v>
      </c>
      <c r="I301" t="s">
        <v>2616</v>
      </c>
      <c r="J301">
        <v>1</v>
      </c>
      <c r="K301">
        <v>519</v>
      </c>
    </row>
    <row r="302" spans="1:11" x14ac:dyDescent="0.2">
      <c r="A302" t="s">
        <v>4839</v>
      </c>
      <c r="B302">
        <v>250101</v>
      </c>
      <c r="C302" t="s">
        <v>2335</v>
      </c>
      <c r="D302" t="s">
        <v>4874</v>
      </c>
      <c r="E302" t="s">
        <v>188</v>
      </c>
      <c r="F302" t="s">
        <v>188</v>
      </c>
      <c r="G302" t="s">
        <v>4846</v>
      </c>
      <c r="H302" t="s">
        <v>188</v>
      </c>
      <c r="I302" t="s">
        <v>2616</v>
      </c>
      <c r="J302">
        <v>1</v>
      </c>
      <c r="K302">
        <v>30</v>
      </c>
    </row>
    <row r="303" spans="1:11" x14ac:dyDescent="0.2">
      <c r="A303" t="s">
        <v>4839</v>
      </c>
      <c r="B303">
        <v>250443</v>
      </c>
      <c r="C303" t="s">
        <v>2379</v>
      </c>
      <c r="D303" t="s">
        <v>4917</v>
      </c>
      <c r="E303" t="s">
        <v>188</v>
      </c>
      <c r="F303" t="s">
        <v>188</v>
      </c>
      <c r="G303" t="s">
        <v>4842</v>
      </c>
      <c r="H303" t="s">
        <v>188</v>
      </c>
      <c r="I303" t="s">
        <v>2616</v>
      </c>
      <c r="J303">
        <v>1</v>
      </c>
      <c r="K303">
        <v>411</v>
      </c>
    </row>
    <row r="304" spans="1:11" x14ac:dyDescent="0.2">
      <c r="A304" t="s">
        <v>4839</v>
      </c>
      <c r="B304">
        <v>250105</v>
      </c>
      <c r="C304" t="s">
        <v>1019</v>
      </c>
      <c r="D304" t="s">
        <v>4896</v>
      </c>
      <c r="E304" t="s">
        <v>188</v>
      </c>
      <c r="F304" t="s">
        <v>188</v>
      </c>
      <c r="G304" t="s">
        <v>4895</v>
      </c>
      <c r="H304" t="s">
        <v>188</v>
      </c>
      <c r="I304" t="s">
        <v>2666</v>
      </c>
      <c r="J304">
        <v>1</v>
      </c>
      <c r="K304">
        <v>12</v>
      </c>
    </row>
    <row r="305" spans="1:11" x14ac:dyDescent="0.2">
      <c r="A305" t="s">
        <v>4839</v>
      </c>
      <c r="B305">
        <v>250134</v>
      </c>
      <c r="C305" t="s">
        <v>2346</v>
      </c>
      <c r="D305" t="s">
        <v>4907</v>
      </c>
      <c r="E305" t="s">
        <v>188</v>
      </c>
      <c r="F305" t="s">
        <v>188</v>
      </c>
      <c r="G305" t="s">
        <v>4837</v>
      </c>
      <c r="H305" t="s">
        <v>188</v>
      </c>
      <c r="I305" t="s">
        <v>2616</v>
      </c>
      <c r="J305">
        <v>1</v>
      </c>
      <c r="K305">
        <v>950</v>
      </c>
    </row>
    <row r="306" spans="1:11" x14ac:dyDescent="0.2">
      <c r="A306" t="s">
        <v>4839</v>
      </c>
      <c r="B306">
        <v>250075</v>
      </c>
      <c r="C306" t="s">
        <v>2326</v>
      </c>
      <c r="D306" t="s">
        <v>4922</v>
      </c>
      <c r="E306" t="s">
        <v>188</v>
      </c>
      <c r="F306" t="s">
        <v>188</v>
      </c>
      <c r="G306" t="s">
        <v>188</v>
      </c>
      <c r="H306" t="s">
        <v>188</v>
      </c>
      <c r="I306" t="s">
        <v>2616</v>
      </c>
      <c r="J306">
        <v>1</v>
      </c>
      <c r="K306">
        <v>85</v>
      </c>
    </row>
    <row r="307" spans="1:11" x14ac:dyDescent="0.2">
      <c r="A307" t="s">
        <v>4839</v>
      </c>
      <c r="B307">
        <v>250035</v>
      </c>
      <c r="C307" t="s">
        <v>2301</v>
      </c>
      <c r="D307" t="s">
        <v>4931</v>
      </c>
      <c r="E307" t="s">
        <v>188</v>
      </c>
      <c r="F307" t="s">
        <v>188</v>
      </c>
      <c r="G307" t="s">
        <v>4842</v>
      </c>
      <c r="H307" t="s">
        <v>188</v>
      </c>
      <c r="I307" t="s">
        <v>2616</v>
      </c>
      <c r="J307">
        <v>1</v>
      </c>
      <c r="K307">
        <v>32</v>
      </c>
    </row>
    <row r="308" spans="1:11" x14ac:dyDescent="0.2">
      <c r="A308" t="s">
        <v>4839</v>
      </c>
      <c r="B308">
        <v>250221</v>
      </c>
      <c r="C308" t="s">
        <v>1026</v>
      </c>
      <c r="D308" t="s">
        <v>4906</v>
      </c>
      <c r="E308" t="s">
        <v>188</v>
      </c>
      <c r="F308" t="s">
        <v>188</v>
      </c>
      <c r="G308" t="s">
        <v>4895</v>
      </c>
      <c r="H308" t="s">
        <v>188</v>
      </c>
      <c r="I308" t="s">
        <v>2666</v>
      </c>
      <c r="J308">
        <v>1</v>
      </c>
      <c r="K308">
        <v>9</v>
      </c>
    </row>
    <row r="309" spans="1:11" x14ac:dyDescent="0.2">
      <c r="A309" t="s">
        <v>4839</v>
      </c>
      <c r="B309">
        <v>250133</v>
      </c>
      <c r="C309" t="s">
        <v>2345</v>
      </c>
      <c r="D309" t="s">
        <v>4924</v>
      </c>
      <c r="E309" t="s">
        <v>188</v>
      </c>
      <c r="F309" t="s">
        <v>188</v>
      </c>
      <c r="G309" t="s">
        <v>4837</v>
      </c>
      <c r="H309" t="s">
        <v>188</v>
      </c>
      <c r="I309" t="s">
        <v>2616</v>
      </c>
      <c r="J309">
        <v>1</v>
      </c>
      <c r="K309">
        <v>1285</v>
      </c>
    </row>
    <row r="310" spans="1:11" x14ac:dyDescent="0.2">
      <c r="A310" t="s">
        <v>4839</v>
      </c>
      <c r="B310">
        <v>250168</v>
      </c>
      <c r="C310" t="s">
        <v>1349</v>
      </c>
      <c r="D310" t="s">
        <v>4859</v>
      </c>
      <c r="E310" t="s">
        <v>188</v>
      </c>
      <c r="F310" t="s">
        <v>188</v>
      </c>
      <c r="G310" t="s">
        <v>4855</v>
      </c>
      <c r="H310" t="s">
        <v>188</v>
      </c>
      <c r="I310" t="s">
        <v>2666</v>
      </c>
      <c r="J310">
        <v>1</v>
      </c>
      <c r="K310">
        <v>1</v>
      </c>
    </row>
    <row r="311" spans="1:11" x14ac:dyDescent="0.2">
      <c r="A311" t="s">
        <v>4839</v>
      </c>
      <c r="B311">
        <v>250172</v>
      </c>
      <c r="C311" t="s">
        <v>1023</v>
      </c>
      <c r="D311" t="s">
        <v>4904</v>
      </c>
      <c r="E311" t="s">
        <v>188</v>
      </c>
      <c r="F311" t="s">
        <v>188</v>
      </c>
      <c r="G311" t="s">
        <v>4902</v>
      </c>
      <c r="H311" t="s">
        <v>188</v>
      </c>
      <c r="I311" t="s">
        <v>2666</v>
      </c>
      <c r="J311">
        <v>1</v>
      </c>
      <c r="K311">
        <v>87</v>
      </c>
    </row>
    <row r="312" spans="1:11" x14ac:dyDescent="0.2">
      <c r="A312" t="s">
        <v>4839</v>
      </c>
      <c r="B312">
        <v>250038</v>
      </c>
      <c r="C312" t="s">
        <v>2304</v>
      </c>
      <c r="D312" t="s">
        <v>4864</v>
      </c>
      <c r="E312" t="s">
        <v>188</v>
      </c>
      <c r="F312" t="s">
        <v>188</v>
      </c>
      <c r="G312" t="s">
        <v>188</v>
      </c>
      <c r="H312" t="s">
        <v>188</v>
      </c>
      <c r="I312" t="s">
        <v>2616</v>
      </c>
      <c r="J312">
        <v>1</v>
      </c>
      <c r="K312">
        <v>250</v>
      </c>
    </row>
    <row r="313" spans="1:11" x14ac:dyDescent="0.2">
      <c r="A313" t="s">
        <v>4839</v>
      </c>
      <c r="B313">
        <v>250102</v>
      </c>
      <c r="C313" t="s">
        <v>2336</v>
      </c>
      <c r="D313" t="s">
        <v>4847</v>
      </c>
      <c r="E313" t="s">
        <v>188</v>
      </c>
      <c r="F313" t="s">
        <v>188</v>
      </c>
      <c r="G313" t="s">
        <v>4846</v>
      </c>
      <c r="H313" t="s">
        <v>188</v>
      </c>
      <c r="I313" t="s">
        <v>2616</v>
      </c>
      <c r="J313">
        <v>1</v>
      </c>
      <c r="K313">
        <v>212</v>
      </c>
    </row>
    <row r="314" spans="1:11" x14ac:dyDescent="0.2">
      <c r="A314" t="s">
        <v>4839</v>
      </c>
      <c r="B314">
        <v>250060</v>
      </c>
      <c r="C314" t="s">
        <v>2317</v>
      </c>
      <c r="D314" t="s">
        <v>4867</v>
      </c>
      <c r="E314" t="s">
        <v>188</v>
      </c>
      <c r="F314" t="s">
        <v>188</v>
      </c>
      <c r="G314" t="s">
        <v>4837</v>
      </c>
      <c r="H314" t="s">
        <v>188</v>
      </c>
      <c r="I314" t="s">
        <v>2616</v>
      </c>
      <c r="J314">
        <v>1</v>
      </c>
      <c r="K314">
        <v>316</v>
      </c>
    </row>
    <row r="315" spans="1:11" x14ac:dyDescent="0.2">
      <c r="A315" t="s">
        <v>4839</v>
      </c>
      <c r="B315">
        <v>250116</v>
      </c>
      <c r="C315" t="s">
        <v>1020</v>
      </c>
      <c r="D315" t="s">
        <v>4862</v>
      </c>
      <c r="E315" t="s">
        <v>188</v>
      </c>
      <c r="F315" t="s">
        <v>188</v>
      </c>
      <c r="G315" t="s">
        <v>4861</v>
      </c>
      <c r="H315" t="s">
        <v>188</v>
      </c>
      <c r="I315" t="s">
        <v>2666</v>
      </c>
      <c r="J315">
        <v>1</v>
      </c>
      <c r="K315">
        <v>3</v>
      </c>
    </row>
    <row r="316" spans="1:11" x14ac:dyDescent="0.2">
      <c r="A316" t="s">
        <v>4839</v>
      </c>
      <c r="B316">
        <v>251004</v>
      </c>
      <c r="C316" t="s">
        <v>2382</v>
      </c>
      <c r="D316" t="s">
        <v>4894</v>
      </c>
      <c r="E316" t="s">
        <v>188</v>
      </c>
      <c r="F316" t="s">
        <v>188</v>
      </c>
      <c r="G316" t="s">
        <v>188</v>
      </c>
      <c r="H316" t="s">
        <v>188</v>
      </c>
      <c r="I316" t="s">
        <v>2616</v>
      </c>
      <c r="J316">
        <v>1</v>
      </c>
      <c r="K316">
        <v>346</v>
      </c>
    </row>
    <row r="317" spans="1:11" x14ac:dyDescent="0.2">
      <c r="A317" t="s">
        <v>4839</v>
      </c>
      <c r="B317">
        <v>254003</v>
      </c>
      <c r="C317" t="s">
        <v>2387</v>
      </c>
      <c r="D317" t="s">
        <v>4858</v>
      </c>
      <c r="E317" t="s">
        <v>188</v>
      </c>
      <c r="F317" t="s">
        <v>188</v>
      </c>
      <c r="G317" t="s">
        <v>4857</v>
      </c>
      <c r="H317" t="s">
        <v>188</v>
      </c>
      <c r="I317" t="s">
        <v>2616</v>
      </c>
      <c r="J317">
        <v>1</v>
      </c>
      <c r="K317">
        <v>259</v>
      </c>
    </row>
    <row r="318" spans="1:11" x14ac:dyDescent="0.2">
      <c r="A318" t="s">
        <v>4839</v>
      </c>
      <c r="B318">
        <v>120079</v>
      </c>
      <c r="C318" t="s">
        <v>1791</v>
      </c>
      <c r="D318" t="s">
        <v>4886</v>
      </c>
      <c r="E318" t="s">
        <v>188</v>
      </c>
      <c r="F318" t="s">
        <v>188</v>
      </c>
      <c r="G318" t="s">
        <v>4837</v>
      </c>
      <c r="H318" t="s">
        <v>188</v>
      </c>
      <c r="I318" t="s">
        <v>2616</v>
      </c>
      <c r="J318">
        <v>1</v>
      </c>
      <c r="K318">
        <v>722</v>
      </c>
    </row>
    <row r="319" spans="1:11" x14ac:dyDescent="0.2">
      <c r="A319" t="s">
        <v>4839</v>
      </c>
      <c r="B319">
        <v>250066</v>
      </c>
      <c r="C319" t="s">
        <v>2320</v>
      </c>
      <c r="D319" t="s">
        <v>4882</v>
      </c>
      <c r="E319" t="s">
        <v>188</v>
      </c>
      <c r="F319" t="s">
        <v>188</v>
      </c>
      <c r="G319" t="s">
        <v>4851</v>
      </c>
      <c r="H319" t="s">
        <v>188</v>
      </c>
      <c r="I319" t="s">
        <v>2616</v>
      </c>
      <c r="J319">
        <v>1</v>
      </c>
      <c r="K319">
        <v>637</v>
      </c>
    </row>
    <row r="320" spans="1:11" x14ac:dyDescent="0.2">
      <c r="A320" t="s">
        <v>4839</v>
      </c>
      <c r="B320">
        <v>250046</v>
      </c>
      <c r="C320" t="s">
        <v>2308</v>
      </c>
      <c r="D320" t="s">
        <v>4850</v>
      </c>
      <c r="E320" t="s">
        <v>188</v>
      </c>
      <c r="F320" t="s">
        <v>188</v>
      </c>
      <c r="G320" t="s">
        <v>4842</v>
      </c>
      <c r="H320" t="s">
        <v>188</v>
      </c>
      <c r="I320" t="s">
        <v>2616</v>
      </c>
      <c r="J320">
        <v>1</v>
      </c>
      <c r="K320">
        <v>154</v>
      </c>
    </row>
    <row r="321" spans="1:11" x14ac:dyDescent="0.2">
      <c r="A321" t="s">
        <v>4839</v>
      </c>
      <c r="B321">
        <v>250006</v>
      </c>
      <c r="C321" t="s">
        <v>2290</v>
      </c>
      <c r="D321" t="s">
        <v>4920</v>
      </c>
      <c r="E321" t="s">
        <v>188</v>
      </c>
      <c r="F321" t="s">
        <v>188</v>
      </c>
      <c r="G321" t="s">
        <v>4895</v>
      </c>
      <c r="H321" t="s">
        <v>188</v>
      </c>
      <c r="I321" t="s">
        <v>2616</v>
      </c>
      <c r="J321">
        <v>1</v>
      </c>
      <c r="K321">
        <v>609</v>
      </c>
    </row>
    <row r="322" spans="1:11" x14ac:dyDescent="0.2">
      <c r="A322" t="s">
        <v>4839</v>
      </c>
      <c r="B322">
        <v>250016</v>
      </c>
      <c r="C322" t="s">
        <v>2294</v>
      </c>
      <c r="D322" t="s">
        <v>4897</v>
      </c>
      <c r="E322" t="s">
        <v>188</v>
      </c>
      <c r="F322" t="s">
        <v>188</v>
      </c>
      <c r="G322" t="s">
        <v>188</v>
      </c>
      <c r="H322" t="s">
        <v>188</v>
      </c>
      <c r="I322" t="s">
        <v>2616</v>
      </c>
      <c r="J322">
        <v>1</v>
      </c>
      <c r="K322">
        <v>302</v>
      </c>
    </row>
    <row r="323" spans="1:11" x14ac:dyDescent="0.2">
      <c r="A323" t="s">
        <v>4839</v>
      </c>
      <c r="B323">
        <v>250086</v>
      </c>
      <c r="C323" t="s">
        <v>2331</v>
      </c>
      <c r="D323" t="s">
        <v>4860</v>
      </c>
      <c r="E323" t="s">
        <v>188</v>
      </c>
      <c r="F323" t="s">
        <v>188</v>
      </c>
      <c r="G323" t="s">
        <v>4842</v>
      </c>
      <c r="H323" t="s">
        <v>188</v>
      </c>
      <c r="I323" t="s">
        <v>2616</v>
      </c>
      <c r="J323">
        <v>1</v>
      </c>
      <c r="K323">
        <v>428</v>
      </c>
    </row>
    <row r="324" spans="1:11" x14ac:dyDescent="0.2">
      <c r="A324" t="s">
        <v>4839</v>
      </c>
      <c r="B324">
        <v>251008</v>
      </c>
      <c r="C324" t="s">
        <v>2384</v>
      </c>
      <c r="D324" t="s">
        <v>4930</v>
      </c>
      <c r="E324" t="s">
        <v>188</v>
      </c>
      <c r="F324" t="s">
        <v>188</v>
      </c>
      <c r="G324" t="s">
        <v>188</v>
      </c>
      <c r="H324" t="s">
        <v>188</v>
      </c>
      <c r="I324" t="s">
        <v>2616</v>
      </c>
      <c r="J324">
        <v>1</v>
      </c>
      <c r="K324">
        <v>144</v>
      </c>
    </row>
    <row r="325" spans="1:11" x14ac:dyDescent="0.2">
      <c r="A325" t="s">
        <v>4839</v>
      </c>
      <c r="B325">
        <v>250064</v>
      </c>
      <c r="C325" t="s">
        <v>2319</v>
      </c>
      <c r="D325" t="s">
        <v>4908</v>
      </c>
      <c r="E325" t="s">
        <v>188</v>
      </c>
      <c r="F325" t="s">
        <v>188</v>
      </c>
      <c r="G325" t="s">
        <v>4837</v>
      </c>
      <c r="H325" t="s">
        <v>188</v>
      </c>
      <c r="I325" t="s">
        <v>2616</v>
      </c>
      <c r="J325">
        <v>1</v>
      </c>
      <c r="K325">
        <v>311</v>
      </c>
    </row>
    <row r="326" spans="1:11" x14ac:dyDescent="0.2">
      <c r="A326" t="s">
        <v>4839</v>
      </c>
      <c r="B326">
        <v>250121</v>
      </c>
      <c r="C326" t="s">
        <v>1348</v>
      </c>
      <c r="D326" t="s">
        <v>4866</v>
      </c>
      <c r="E326" t="s">
        <v>188</v>
      </c>
      <c r="F326" t="s">
        <v>188</v>
      </c>
      <c r="G326" t="s">
        <v>4865</v>
      </c>
      <c r="H326" t="s">
        <v>188</v>
      </c>
      <c r="I326" t="s">
        <v>2666</v>
      </c>
      <c r="J326">
        <v>1</v>
      </c>
      <c r="K326">
        <v>40</v>
      </c>
    </row>
    <row r="327" spans="1:11" x14ac:dyDescent="0.2">
      <c r="A327" t="s">
        <v>4839</v>
      </c>
      <c r="B327">
        <v>250048</v>
      </c>
      <c r="C327" t="s">
        <v>2310</v>
      </c>
      <c r="D327" t="s">
        <v>4923</v>
      </c>
      <c r="E327" t="s">
        <v>188</v>
      </c>
      <c r="F327" t="s">
        <v>188</v>
      </c>
      <c r="G327" t="s">
        <v>4902</v>
      </c>
      <c r="H327" t="s">
        <v>188</v>
      </c>
      <c r="I327" t="s">
        <v>2616</v>
      </c>
      <c r="J327">
        <v>1</v>
      </c>
      <c r="K327">
        <v>989</v>
      </c>
    </row>
    <row r="328" spans="1:11" x14ac:dyDescent="0.2">
      <c r="A328" t="s">
        <v>4839</v>
      </c>
      <c r="B328">
        <v>250040</v>
      </c>
      <c r="C328" t="s">
        <v>2305</v>
      </c>
      <c r="D328" t="s">
        <v>4929</v>
      </c>
      <c r="E328" t="s">
        <v>188</v>
      </c>
      <c r="F328" t="s">
        <v>188</v>
      </c>
      <c r="G328" t="s">
        <v>4928</v>
      </c>
      <c r="H328" t="s">
        <v>188</v>
      </c>
      <c r="I328" t="s">
        <v>2616</v>
      </c>
      <c r="J328">
        <v>1</v>
      </c>
      <c r="K328">
        <v>108</v>
      </c>
    </row>
    <row r="329" spans="1:11" x14ac:dyDescent="0.2">
      <c r="A329" t="s">
        <v>4839</v>
      </c>
      <c r="B329">
        <v>250445</v>
      </c>
      <c r="C329" t="s">
        <v>1031</v>
      </c>
      <c r="D329" t="s">
        <v>4875</v>
      </c>
      <c r="E329" t="s">
        <v>188</v>
      </c>
      <c r="F329" t="s">
        <v>188</v>
      </c>
      <c r="G329" t="s">
        <v>4842</v>
      </c>
      <c r="H329" t="s">
        <v>188</v>
      </c>
      <c r="I329" t="s">
        <v>2666</v>
      </c>
      <c r="J329">
        <v>1</v>
      </c>
      <c r="K329">
        <v>2</v>
      </c>
    </row>
    <row r="330" spans="1:11" x14ac:dyDescent="0.2">
      <c r="A330" t="s">
        <v>4839</v>
      </c>
      <c r="B330">
        <v>250143</v>
      </c>
      <c r="C330" t="s">
        <v>2354</v>
      </c>
      <c r="D330" t="s">
        <v>4849</v>
      </c>
      <c r="E330" t="s">
        <v>188</v>
      </c>
      <c r="F330" t="s">
        <v>188</v>
      </c>
      <c r="G330" t="s">
        <v>4848</v>
      </c>
      <c r="H330" t="s">
        <v>188</v>
      </c>
      <c r="I330" t="s">
        <v>2616</v>
      </c>
      <c r="J330">
        <v>1</v>
      </c>
      <c r="K330">
        <v>303</v>
      </c>
    </row>
    <row r="331" spans="1:11" x14ac:dyDescent="0.2">
      <c r="A331" t="s">
        <v>4839</v>
      </c>
      <c r="B331">
        <v>250119</v>
      </c>
      <c r="C331" t="s">
        <v>2339</v>
      </c>
      <c r="D331" t="s">
        <v>4913</v>
      </c>
      <c r="E331" t="s">
        <v>188</v>
      </c>
      <c r="F331" t="s">
        <v>188</v>
      </c>
      <c r="G331" t="s">
        <v>4837</v>
      </c>
      <c r="H331" t="s">
        <v>188</v>
      </c>
      <c r="I331" t="s">
        <v>2616</v>
      </c>
      <c r="J331">
        <v>1</v>
      </c>
      <c r="K331">
        <v>564</v>
      </c>
    </row>
    <row r="332" spans="1:11" x14ac:dyDescent="0.2">
      <c r="A332" t="s">
        <v>4839</v>
      </c>
      <c r="B332">
        <v>250138</v>
      </c>
      <c r="C332" t="s">
        <v>2350</v>
      </c>
      <c r="D332" t="s">
        <v>4909</v>
      </c>
      <c r="E332" t="s">
        <v>188</v>
      </c>
      <c r="F332" t="s">
        <v>188</v>
      </c>
      <c r="G332" t="s">
        <v>4902</v>
      </c>
      <c r="H332" t="s">
        <v>188</v>
      </c>
      <c r="I332" t="s">
        <v>2616</v>
      </c>
      <c r="J332">
        <v>1</v>
      </c>
      <c r="K332">
        <v>109</v>
      </c>
    </row>
    <row r="333" spans="1:11" x14ac:dyDescent="0.2">
      <c r="A333" t="s">
        <v>4839</v>
      </c>
      <c r="B333">
        <v>250136</v>
      </c>
      <c r="C333" t="s">
        <v>2348</v>
      </c>
      <c r="D333" t="s">
        <v>4918</v>
      </c>
      <c r="E333" t="s">
        <v>188</v>
      </c>
      <c r="F333" t="s">
        <v>188</v>
      </c>
      <c r="G333" t="s">
        <v>4848</v>
      </c>
      <c r="H333" t="s">
        <v>188</v>
      </c>
      <c r="I333" t="s">
        <v>2616</v>
      </c>
      <c r="J333">
        <v>1</v>
      </c>
      <c r="K333">
        <v>328</v>
      </c>
    </row>
    <row r="334" spans="1:11" x14ac:dyDescent="0.2">
      <c r="A334" t="s">
        <v>4839</v>
      </c>
      <c r="B334">
        <v>250091</v>
      </c>
      <c r="C334" t="s">
        <v>2333</v>
      </c>
      <c r="D334" t="s">
        <v>4879</v>
      </c>
      <c r="E334" t="s">
        <v>188</v>
      </c>
      <c r="F334" t="s">
        <v>188</v>
      </c>
      <c r="G334" t="s">
        <v>4837</v>
      </c>
      <c r="H334" t="s">
        <v>188</v>
      </c>
      <c r="I334" t="s">
        <v>2616</v>
      </c>
      <c r="J334">
        <v>1</v>
      </c>
      <c r="K334">
        <v>635</v>
      </c>
    </row>
    <row r="335" spans="1:11" x14ac:dyDescent="0.2">
      <c r="A335" t="s">
        <v>4839</v>
      </c>
      <c r="B335">
        <v>250084</v>
      </c>
      <c r="C335" t="s">
        <v>2330</v>
      </c>
      <c r="D335" t="s">
        <v>4841</v>
      </c>
      <c r="E335" t="s">
        <v>188</v>
      </c>
      <c r="F335" t="s">
        <v>188</v>
      </c>
      <c r="G335" t="s">
        <v>4840</v>
      </c>
      <c r="H335" t="s">
        <v>188</v>
      </c>
      <c r="I335" t="s">
        <v>2616</v>
      </c>
      <c r="J335">
        <v>1</v>
      </c>
      <c r="K335">
        <v>203</v>
      </c>
    </row>
    <row r="336" spans="1:11" x14ac:dyDescent="0.2">
      <c r="A336" t="s">
        <v>4839</v>
      </c>
      <c r="B336">
        <v>251010</v>
      </c>
      <c r="C336" t="s">
        <v>2385</v>
      </c>
      <c r="D336" t="s">
        <v>4883</v>
      </c>
      <c r="E336" t="s">
        <v>188</v>
      </c>
      <c r="F336" t="s">
        <v>188</v>
      </c>
      <c r="G336" t="s">
        <v>188</v>
      </c>
      <c r="H336" t="s">
        <v>188</v>
      </c>
      <c r="I336" t="s">
        <v>2616</v>
      </c>
      <c r="J336">
        <v>1</v>
      </c>
      <c r="K336">
        <v>73</v>
      </c>
    </row>
    <row r="337" spans="1:11" x14ac:dyDescent="0.2">
      <c r="A337" t="s">
        <v>4839</v>
      </c>
      <c r="B337">
        <v>250161</v>
      </c>
      <c r="C337" t="s">
        <v>2362</v>
      </c>
      <c r="D337" t="s">
        <v>4905</v>
      </c>
      <c r="E337" t="s">
        <v>188</v>
      </c>
      <c r="F337" t="s">
        <v>188</v>
      </c>
      <c r="G337" t="s">
        <v>4861</v>
      </c>
      <c r="H337" t="s">
        <v>188</v>
      </c>
      <c r="I337" t="s">
        <v>2616</v>
      </c>
      <c r="J337">
        <v>1</v>
      </c>
      <c r="K337">
        <v>145</v>
      </c>
    </row>
    <row r="338" spans="1:11" x14ac:dyDescent="0.2">
      <c r="A338" t="s">
        <v>4839</v>
      </c>
      <c r="B338">
        <v>250803</v>
      </c>
      <c r="C338" t="s">
        <v>2381</v>
      </c>
      <c r="D338" t="s">
        <v>4899</v>
      </c>
      <c r="E338" t="s">
        <v>188</v>
      </c>
      <c r="F338" t="s">
        <v>188</v>
      </c>
      <c r="G338" t="s">
        <v>4887</v>
      </c>
      <c r="H338" t="s">
        <v>188</v>
      </c>
      <c r="I338" t="s">
        <v>2616</v>
      </c>
      <c r="J338">
        <v>1</v>
      </c>
      <c r="K338">
        <v>2606</v>
      </c>
    </row>
    <row r="339" spans="1:11" x14ac:dyDescent="0.2">
      <c r="A339" t="s">
        <v>4839</v>
      </c>
      <c r="B339">
        <v>250003</v>
      </c>
      <c r="C339" t="s">
        <v>2288</v>
      </c>
      <c r="D339" t="s">
        <v>4881</v>
      </c>
      <c r="E339" t="s">
        <v>188</v>
      </c>
      <c r="F339" t="s">
        <v>188</v>
      </c>
      <c r="G339" t="s">
        <v>4857</v>
      </c>
      <c r="H339" t="s">
        <v>188</v>
      </c>
      <c r="I339" t="s">
        <v>2616</v>
      </c>
      <c r="J339">
        <v>1</v>
      </c>
      <c r="K339">
        <v>58</v>
      </c>
    </row>
    <row r="340" spans="1:11" x14ac:dyDescent="0.2">
      <c r="A340" t="s">
        <v>4839</v>
      </c>
      <c r="B340">
        <v>250024</v>
      </c>
      <c r="C340" t="s">
        <v>2297</v>
      </c>
      <c r="D340" t="s">
        <v>4926</v>
      </c>
      <c r="E340" t="s">
        <v>188</v>
      </c>
      <c r="F340" t="s">
        <v>188</v>
      </c>
      <c r="G340" t="s">
        <v>4861</v>
      </c>
      <c r="H340" t="s">
        <v>188</v>
      </c>
      <c r="I340" t="s">
        <v>2616</v>
      </c>
      <c r="J340">
        <v>1</v>
      </c>
      <c r="K340">
        <v>526</v>
      </c>
    </row>
    <row r="341" spans="1:11" x14ac:dyDescent="0.2">
      <c r="A341" t="s">
        <v>4839</v>
      </c>
      <c r="B341">
        <v>250110</v>
      </c>
      <c r="C341" t="s">
        <v>2615</v>
      </c>
      <c r="D341" t="s">
        <v>4901</v>
      </c>
      <c r="E341" t="s">
        <v>188</v>
      </c>
      <c r="F341" t="s">
        <v>188</v>
      </c>
      <c r="G341" t="s">
        <v>4842</v>
      </c>
      <c r="H341" t="s">
        <v>188</v>
      </c>
      <c r="I341" t="s">
        <v>2616</v>
      </c>
      <c r="J341">
        <v>1</v>
      </c>
      <c r="K341">
        <v>392</v>
      </c>
    </row>
    <row r="342" spans="1:11" x14ac:dyDescent="0.2">
      <c r="A342" t="s">
        <v>4839</v>
      </c>
      <c r="B342">
        <v>250183</v>
      </c>
      <c r="C342" t="s">
        <v>2365</v>
      </c>
      <c r="D342" t="s">
        <v>4845</v>
      </c>
      <c r="E342" t="s">
        <v>188</v>
      </c>
      <c r="F342" t="s">
        <v>188</v>
      </c>
      <c r="G342" t="s">
        <v>4844</v>
      </c>
      <c r="H342" t="s">
        <v>188</v>
      </c>
      <c r="I342" t="s">
        <v>2616</v>
      </c>
      <c r="J342">
        <v>1</v>
      </c>
      <c r="K342">
        <v>548</v>
      </c>
    </row>
    <row r="343" spans="1:11" x14ac:dyDescent="0.2">
      <c r="A343" t="s">
        <v>4839</v>
      </c>
      <c r="B343">
        <v>250440</v>
      </c>
      <c r="C343" t="s">
        <v>2376</v>
      </c>
      <c r="D343" t="s">
        <v>4877</v>
      </c>
      <c r="E343" t="s">
        <v>188</v>
      </c>
      <c r="F343" t="s">
        <v>188</v>
      </c>
      <c r="G343" t="s">
        <v>4842</v>
      </c>
      <c r="H343" t="s">
        <v>188</v>
      </c>
      <c r="I343" t="s">
        <v>2616</v>
      </c>
      <c r="J343">
        <v>1</v>
      </c>
      <c r="K343">
        <v>1077</v>
      </c>
    </row>
    <row r="344" spans="1:11" x14ac:dyDescent="0.2">
      <c r="A344" t="s">
        <v>4839</v>
      </c>
      <c r="B344">
        <v>251005</v>
      </c>
      <c r="C344" t="s">
        <v>2383</v>
      </c>
      <c r="D344" t="s">
        <v>4872</v>
      </c>
      <c r="E344" t="s">
        <v>188</v>
      </c>
      <c r="F344" t="s">
        <v>188</v>
      </c>
      <c r="G344" t="s">
        <v>188</v>
      </c>
      <c r="H344" t="s">
        <v>188</v>
      </c>
      <c r="I344" t="s">
        <v>2616</v>
      </c>
      <c r="J344">
        <v>1</v>
      </c>
      <c r="K344">
        <v>436</v>
      </c>
    </row>
    <row r="345" spans="1:11" x14ac:dyDescent="0.2">
      <c r="A345" t="s">
        <v>4839</v>
      </c>
      <c r="B345">
        <v>250071</v>
      </c>
      <c r="C345" t="s">
        <v>2324</v>
      </c>
      <c r="D345" t="s">
        <v>4911</v>
      </c>
      <c r="E345" t="s">
        <v>188</v>
      </c>
      <c r="F345" t="s">
        <v>188</v>
      </c>
      <c r="G345" t="s">
        <v>188</v>
      </c>
      <c r="H345" t="s">
        <v>188</v>
      </c>
      <c r="I345" t="s">
        <v>2616</v>
      </c>
      <c r="J345">
        <v>1</v>
      </c>
      <c r="K345">
        <v>2701</v>
      </c>
    </row>
    <row r="346" spans="1:11" x14ac:dyDescent="0.2">
      <c r="A346" t="s">
        <v>4839</v>
      </c>
      <c r="B346">
        <v>250442</v>
      </c>
      <c r="C346" t="s">
        <v>2378</v>
      </c>
      <c r="D346" t="s">
        <v>4843</v>
      </c>
      <c r="E346" t="s">
        <v>188</v>
      </c>
      <c r="F346" t="s">
        <v>188</v>
      </c>
      <c r="G346" t="s">
        <v>4842</v>
      </c>
      <c r="H346" t="s">
        <v>188</v>
      </c>
      <c r="I346" t="s">
        <v>2616</v>
      </c>
      <c r="J346">
        <v>1</v>
      </c>
      <c r="K346">
        <v>65</v>
      </c>
    </row>
    <row r="347" spans="1:11" x14ac:dyDescent="0.2">
      <c r="A347" t="s">
        <v>4839</v>
      </c>
      <c r="B347">
        <v>250077</v>
      </c>
      <c r="C347" t="s">
        <v>1015</v>
      </c>
      <c r="D347" t="s">
        <v>4933</v>
      </c>
      <c r="E347" t="s">
        <v>188</v>
      </c>
      <c r="F347" t="s">
        <v>188</v>
      </c>
      <c r="G347" t="s">
        <v>4842</v>
      </c>
      <c r="H347" t="s">
        <v>188</v>
      </c>
      <c r="I347" t="s">
        <v>2666</v>
      </c>
      <c r="J347">
        <v>1</v>
      </c>
      <c r="K347">
        <v>6</v>
      </c>
    </row>
    <row r="348" spans="1:11" x14ac:dyDescent="0.2">
      <c r="A348" t="s">
        <v>4839</v>
      </c>
      <c r="B348">
        <v>250112</v>
      </c>
      <c r="C348" t="s">
        <v>2337</v>
      </c>
      <c r="D348" t="s">
        <v>4885</v>
      </c>
      <c r="E348" t="s">
        <v>188</v>
      </c>
      <c r="F348" t="s">
        <v>188</v>
      </c>
      <c r="G348" t="s">
        <v>4842</v>
      </c>
      <c r="H348" t="s">
        <v>188</v>
      </c>
      <c r="I348" t="s">
        <v>2616</v>
      </c>
      <c r="J348">
        <v>1</v>
      </c>
      <c r="K348">
        <v>106</v>
      </c>
    </row>
    <row r="349" spans="1:11" x14ac:dyDescent="0.2">
      <c r="A349" t="s">
        <v>4839</v>
      </c>
      <c r="B349">
        <v>251006</v>
      </c>
      <c r="C349" t="s">
        <v>1034</v>
      </c>
      <c r="D349" t="s">
        <v>4863</v>
      </c>
      <c r="E349" t="s">
        <v>188</v>
      </c>
      <c r="F349" t="s">
        <v>188</v>
      </c>
      <c r="G349" t="s">
        <v>188</v>
      </c>
      <c r="H349" t="s">
        <v>188</v>
      </c>
      <c r="I349" t="s">
        <v>2666</v>
      </c>
      <c r="J349">
        <v>1</v>
      </c>
      <c r="K349">
        <v>30</v>
      </c>
    </row>
    <row r="350" spans="1:11" x14ac:dyDescent="0.2">
      <c r="A350" t="s">
        <v>4839</v>
      </c>
      <c r="B350">
        <v>250097</v>
      </c>
      <c r="C350" t="s">
        <v>1017</v>
      </c>
      <c r="D350" t="s">
        <v>4893</v>
      </c>
      <c r="E350" t="s">
        <v>188</v>
      </c>
      <c r="F350" t="s">
        <v>188</v>
      </c>
      <c r="G350" t="s">
        <v>4857</v>
      </c>
      <c r="H350" t="s">
        <v>188</v>
      </c>
      <c r="I350" t="s">
        <v>2666</v>
      </c>
      <c r="J350">
        <v>1</v>
      </c>
      <c r="K350">
        <v>199</v>
      </c>
    </row>
    <row r="351" spans="1:11" x14ac:dyDescent="0.2">
      <c r="A351" t="s">
        <v>4839</v>
      </c>
      <c r="B351">
        <v>250011</v>
      </c>
      <c r="C351" t="s">
        <v>2291</v>
      </c>
      <c r="D351" t="s">
        <v>4916</v>
      </c>
      <c r="E351" t="s">
        <v>188</v>
      </c>
      <c r="F351" t="s">
        <v>188</v>
      </c>
      <c r="G351" t="s">
        <v>4855</v>
      </c>
      <c r="H351" t="s">
        <v>188</v>
      </c>
      <c r="I351" t="s">
        <v>2616</v>
      </c>
      <c r="J351">
        <v>1</v>
      </c>
      <c r="K351">
        <v>943</v>
      </c>
    </row>
    <row r="352" spans="1:11" x14ac:dyDescent="0.2">
      <c r="A352" t="s">
        <v>4839</v>
      </c>
      <c r="B352">
        <v>250013</v>
      </c>
      <c r="C352" t="s">
        <v>1011</v>
      </c>
      <c r="D352" t="s">
        <v>4919</v>
      </c>
      <c r="E352" t="s">
        <v>188</v>
      </c>
      <c r="F352" t="s">
        <v>188</v>
      </c>
      <c r="G352" t="s">
        <v>4853</v>
      </c>
      <c r="H352" t="s">
        <v>188</v>
      </c>
      <c r="I352" t="s">
        <v>2666</v>
      </c>
      <c r="J352">
        <v>1</v>
      </c>
      <c r="K352">
        <v>23</v>
      </c>
    </row>
    <row r="353" spans="1:11" x14ac:dyDescent="0.2">
      <c r="A353" t="s">
        <v>4839</v>
      </c>
      <c r="B353">
        <v>250037</v>
      </c>
      <c r="C353" t="s">
        <v>2303</v>
      </c>
      <c r="D353" t="s">
        <v>4912</v>
      </c>
      <c r="E353" t="s">
        <v>188</v>
      </c>
      <c r="F353" t="s">
        <v>188</v>
      </c>
      <c r="G353" t="s">
        <v>4842</v>
      </c>
      <c r="H353" t="s">
        <v>188</v>
      </c>
      <c r="I353" t="s">
        <v>2616</v>
      </c>
      <c r="J353">
        <v>1</v>
      </c>
      <c r="K353">
        <v>86.17</v>
      </c>
    </row>
    <row r="354" spans="1:11" x14ac:dyDescent="0.2">
      <c r="A354" t="s">
        <v>4839</v>
      </c>
      <c r="B354">
        <v>250100</v>
      </c>
      <c r="C354" t="s">
        <v>1018</v>
      </c>
      <c r="D354" t="s">
        <v>4914</v>
      </c>
      <c r="E354" t="s">
        <v>188</v>
      </c>
      <c r="F354" t="s">
        <v>188</v>
      </c>
      <c r="G354" t="s">
        <v>4887</v>
      </c>
      <c r="H354" t="s">
        <v>188</v>
      </c>
      <c r="I354" t="s">
        <v>2666</v>
      </c>
      <c r="J354">
        <v>1</v>
      </c>
      <c r="K354">
        <v>20</v>
      </c>
    </row>
    <row r="355" spans="1:11" x14ac:dyDescent="0.2">
      <c r="A355" t="s">
        <v>4839</v>
      </c>
      <c r="B355">
        <v>250115</v>
      </c>
      <c r="C355" t="s">
        <v>2338</v>
      </c>
      <c r="D355" t="s">
        <v>4915</v>
      </c>
      <c r="E355" t="s">
        <v>188</v>
      </c>
      <c r="F355" t="s">
        <v>188</v>
      </c>
      <c r="G355" t="s">
        <v>4861</v>
      </c>
      <c r="H355" t="s">
        <v>188</v>
      </c>
      <c r="I355" t="s">
        <v>2616</v>
      </c>
      <c r="J355">
        <v>1</v>
      </c>
      <c r="K355">
        <v>94</v>
      </c>
    </row>
    <row r="356" spans="1:11" x14ac:dyDescent="0.2">
      <c r="A356" t="s">
        <v>4839</v>
      </c>
      <c r="B356">
        <v>250027</v>
      </c>
      <c r="C356" t="s">
        <v>2298</v>
      </c>
      <c r="D356" t="s">
        <v>4932</v>
      </c>
      <c r="E356" t="s">
        <v>188</v>
      </c>
      <c r="F356" t="s">
        <v>188</v>
      </c>
      <c r="G356" t="s">
        <v>4853</v>
      </c>
      <c r="H356" t="s">
        <v>188</v>
      </c>
      <c r="I356" t="s">
        <v>2616</v>
      </c>
      <c r="J356">
        <v>1</v>
      </c>
      <c r="K356">
        <v>601</v>
      </c>
    </row>
    <row r="357" spans="1:11" x14ac:dyDescent="0.2">
      <c r="A357" t="s">
        <v>4839</v>
      </c>
      <c r="B357">
        <v>250078</v>
      </c>
      <c r="C357" t="s">
        <v>2327</v>
      </c>
      <c r="D357" t="s">
        <v>4873</v>
      </c>
      <c r="E357" t="s">
        <v>188</v>
      </c>
      <c r="F357" t="s">
        <v>188</v>
      </c>
      <c r="G357" t="s">
        <v>4865</v>
      </c>
      <c r="H357" t="s">
        <v>188</v>
      </c>
      <c r="I357" t="s">
        <v>2616</v>
      </c>
      <c r="J357">
        <v>1</v>
      </c>
      <c r="K357">
        <v>242</v>
      </c>
    </row>
    <row r="358" spans="1:11" x14ac:dyDescent="0.2">
      <c r="A358" t="s">
        <v>4839</v>
      </c>
      <c r="B358">
        <v>250005</v>
      </c>
      <c r="C358" t="s">
        <v>2289</v>
      </c>
      <c r="D358" t="s">
        <v>4878</v>
      </c>
      <c r="E358" t="s">
        <v>188</v>
      </c>
      <c r="F358" t="s">
        <v>188</v>
      </c>
      <c r="G358" t="s">
        <v>4861</v>
      </c>
      <c r="H358" t="s">
        <v>188</v>
      </c>
      <c r="I358" t="s">
        <v>2616</v>
      </c>
      <c r="J358">
        <v>1</v>
      </c>
      <c r="K358">
        <v>32</v>
      </c>
    </row>
    <row r="359" spans="1:11" x14ac:dyDescent="0.2">
      <c r="A359" t="s">
        <v>4839</v>
      </c>
      <c r="B359">
        <v>250441</v>
      </c>
      <c r="C359" t="s">
        <v>2377</v>
      </c>
      <c r="D359" t="s">
        <v>4910</v>
      </c>
      <c r="E359" t="s">
        <v>188</v>
      </c>
      <c r="F359" t="s">
        <v>188</v>
      </c>
      <c r="G359" t="s">
        <v>4842</v>
      </c>
      <c r="H359" t="s">
        <v>188</v>
      </c>
      <c r="I359" t="s">
        <v>2616</v>
      </c>
      <c r="J359">
        <v>1</v>
      </c>
      <c r="K359">
        <v>224</v>
      </c>
    </row>
    <row r="360" spans="1:11" x14ac:dyDescent="0.2">
      <c r="A360" t="s">
        <v>4839</v>
      </c>
      <c r="B360">
        <v>250069</v>
      </c>
      <c r="C360" t="s">
        <v>2322</v>
      </c>
      <c r="D360" t="s">
        <v>4838</v>
      </c>
      <c r="E360" t="s">
        <v>188</v>
      </c>
      <c r="F360" t="s">
        <v>188</v>
      </c>
      <c r="G360" t="s">
        <v>4837</v>
      </c>
      <c r="H360" t="s">
        <v>188</v>
      </c>
      <c r="I360" t="s">
        <v>2616</v>
      </c>
      <c r="J360">
        <v>1</v>
      </c>
      <c r="K360">
        <v>366</v>
      </c>
    </row>
    <row r="361" spans="1:11" x14ac:dyDescent="0.2">
      <c r="A361" t="s">
        <v>4839</v>
      </c>
      <c r="B361">
        <v>250028</v>
      </c>
      <c r="C361" t="s">
        <v>2299</v>
      </c>
      <c r="D361" t="s">
        <v>4898</v>
      </c>
      <c r="E361" t="s">
        <v>188</v>
      </c>
      <c r="F361" t="s">
        <v>188</v>
      </c>
      <c r="G361" t="s">
        <v>4861</v>
      </c>
      <c r="H361" t="s">
        <v>188</v>
      </c>
      <c r="I361" t="s">
        <v>2616</v>
      </c>
      <c r="J361">
        <v>1</v>
      </c>
      <c r="K361">
        <v>89</v>
      </c>
    </row>
    <row r="362" spans="1:11" x14ac:dyDescent="0.2">
      <c r="A362" t="s">
        <v>4839</v>
      </c>
      <c r="B362">
        <v>250087</v>
      </c>
      <c r="C362" t="s">
        <v>2332</v>
      </c>
      <c r="D362" t="s">
        <v>4869</v>
      </c>
      <c r="E362" t="s">
        <v>188</v>
      </c>
      <c r="F362" t="s">
        <v>188</v>
      </c>
      <c r="G362" t="s">
        <v>4855</v>
      </c>
      <c r="H362" t="s">
        <v>188</v>
      </c>
      <c r="I362" t="s">
        <v>2616</v>
      </c>
      <c r="J362">
        <v>1</v>
      </c>
      <c r="K362">
        <v>611</v>
      </c>
    </row>
    <row r="363" spans="1:11" x14ac:dyDescent="0.2">
      <c r="A363" t="s">
        <v>4839</v>
      </c>
      <c r="B363">
        <v>250012</v>
      </c>
      <c r="C363" t="s">
        <v>2292</v>
      </c>
      <c r="D363" t="s">
        <v>4889</v>
      </c>
      <c r="E363" t="s">
        <v>188</v>
      </c>
      <c r="F363" t="s">
        <v>188</v>
      </c>
      <c r="G363" t="s">
        <v>4855</v>
      </c>
      <c r="H363" t="s">
        <v>188</v>
      </c>
      <c r="I363" t="s">
        <v>2616</v>
      </c>
      <c r="J363">
        <v>1</v>
      </c>
      <c r="K363">
        <v>703</v>
      </c>
    </row>
    <row r="364" spans="1:11" x14ac:dyDescent="0.2">
      <c r="A364" t="s">
        <v>4839</v>
      </c>
      <c r="B364">
        <v>250169</v>
      </c>
      <c r="C364" t="s">
        <v>2363</v>
      </c>
      <c r="D364" t="s">
        <v>4925</v>
      </c>
      <c r="E364" t="s">
        <v>188</v>
      </c>
      <c r="F364" t="s">
        <v>188</v>
      </c>
      <c r="G364" t="s">
        <v>4855</v>
      </c>
      <c r="H364" t="s">
        <v>188</v>
      </c>
      <c r="I364" t="s">
        <v>2616</v>
      </c>
      <c r="J364">
        <v>1</v>
      </c>
      <c r="K364">
        <v>101</v>
      </c>
    </row>
    <row r="365" spans="1:11" x14ac:dyDescent="0.2">
      <c r="A365" t="s">
        <v>4754</v>
      </c>
      <c r="B365">
        <v>1033</v>
      </c>
      <c r="C365" t="s">
        <v>304</v>
      </c>
      <c r="D365" t="s">
        <v>4780</v>
      </c>
      <c r="E365" t="s">
        <v>206</v>
      </c>
      <c r="F365" t="s">
        <v>279</v>
      </c>
      <c r="G365" t="s">
        <v>4766</v>
      </c>
      <c r="H365" t="s">
        <v>206</v>
      </c>
      <c r="I365" t="s">
        <v>2666</v>
      </c>
      <c r="J365">
        <v>1</v>
      </c>
      <c r="K365">
        <v>302</v>
      </c>
    </row>
    <row r="366" spans="1:11" x14ac:dyDescent="0.2">
      <c r="A366" t="s">
        <v>4754</v>
      </c>
      <c r="B366">
        <v>231209</v>
      </c>
      <c r="C366" t="s">
        <v>993</v>
      </c>
      <c r="D366" t="s">
        <v>4793</v>
      </c>
      <c r="E366" t="s">
        <v>184</v>
      </c>
      <c r="F366" t="s">
        <v>184</v>
      </c>
      <c r="G366" t="s">
        <v>3831</v>
      </c>
      <c r="H366" t="s">
        <v>184</v>
      </c>
      <c r="I366" t="s">
        <v>2666</v>
      </c>
      <c r="J366">
        <v>1</v>
      </c>
      <c r="K366">
        <v>1245</v>
      </c>
    </row>
    <row r="367" spans="1:11" x14ac:dyDescent="0.2">
      <c r="A367" t="s">
        <v>4754</v>
      </c>
      <c r="B367">
        <v>1021</v>
      </c>
      <c r="C367" t="s">
        <v>1394</v>
      </c>
      <c r="D367" t="s">
        <v>4770</v>
      </c>
      <c r="E367" t="s">
        <v>279</v>
      </c>
      <c r="F367" t="s">
        <v>279</v>
      </c>
      <c r="G367" t="s">
        <v>2722</v>
      </c>
      <c r="H367" t="s">
        <v>279</v>
      </c>
      <c r="I367" t="s">
        <v>2616</v>
      </c>
      <c r="J367">
        <v>1</v>
      </c>
      <c r="K367">
        <v>1851</v>
      </c>
    </row>
    <row r="368" spans="1:11" x14ac:dyDescent="0.2">
      <c r="A368" t="s">
        <v>4754</v>
      </c>
      <c r="B368">
        <v>9003</v>
      </c>
      <c r="C368" t="s">
        <v>1416</v>
      </c>
      <c r="D368" t="s">
        <v>4816</v>
      </c>
      <c r="E368" t="s">
        <v>31</v>
      </c>
      <c r="F368" t="s">
        <v>283</v>
      </c>
      <c r="G368" t="s">
        <v>2765</v>
      </c>
      <c r="H368" t="s">
        <v>31</v>
      </c>
      <c r="I368" t="s">
        <v>2616</v>
      </c>
      <c r="J368">
        <v>1</v>
      </c>
      <c r="K368">
        <v>4765</v>
      </c>
    </row>
    <row r="369" spans="1:11" x14ac:dyDescent="0.2">
      <c r="A369" t="s">
        <v>4754</v>
      </c>
      <c r="B369">
        <v>1031</v>
      </c>
      <c r="C369" t="s">
        <v>1396</v>
      </c>
      <c r="D369" t="s">
        <v>4784</v>
      </c>
      <c r="E369" t="s">
        <v>206</v>
      </c>
      <c r="F369" t="s">
        <v>279</v>
      </c>
      <c r="G369" t="s">
        <v>4766</v>
      </c>
      <c r="H369" t="s">
        <v>206</v>
      </c>
      <c r="I369" t="s">
        <v>2616</v>
      </c>
      <c r="J369">
        <v>1</v>
      </c>
      <c r="K369">
        <v>16344.15</v>
      </c>
    </row>
    <row r="370" spans="1:11" x14ac:dyDescent="0.2">
      <c r="A370" t="s">
        <v>4754</v>
      </c>
      <c r="B370">
        <v>6001</v>
      </c>
      <c r="C370" t="s">
        <v>318</v>
      </c>
      <c r="D370" t="s">
        <v>4792</v>
      </c>
      <c r="E370" t="s">
        <v>279</v>
      </c>
      <c r="F370" t="s">
        <v>279</v>
      </c>
      <c r="G370" t="s">
        <v>2762</v>
      </c>
      <c r="H370" t="s">
        <v>279</v>
      </c>
      <c r="I370" t="s">
        <v>2666</v>
      </c>
      <c r="J370">
        <v>1</v>
      </c>
      <c r="K370">
        <v>291</v>
      </c>
    </row>
    <row r="371" spans="1:11" x14ac:dyDescent="0.2">
      <c r="A371" t="s">
        <v>4754</v>
      </c>
      <c r="B371">
        <v>230929</v>
      </c>
      <c r="C371" t="s">
        <v>989</v>
      </c>
      <c r="D371" t="s">
        <v>4790</v>
      </c>
      <c r="E371" t="s">
        <v>184</v>
      </c>
      <c r="F371" t="s">
        <v>184</v>
      </c>
      <c r="G371" t="s">
        <v>184</v>
      </c>
      <c r="H371" t="s">
        <v>184</v>
      </c>
      <c r="I371" t="s">
        <v>2666</v>
      </c>
      <c r="J371">
        <v>1</v>
      </c>
      <c r="K371">
        <v>957</v>
      </c>
    </row>
    <row r="372" spans="1:11" x14ac:dyDescent="0.2">
      <c r="A372" t="s">
        <v>4754</v>
      </c>
      <c r="B372">
        <v>1014</v>
      </c>
      <c r="C372" t="s">
        <v>2498</v>
      </c>
      <c r="D372" t="s">
        <v>4777</v>
      </c>
      <c r="E372" t="s">
        <v>279</v>
      </c>
      <c r="F372" t="s">
        <v>279</v>
      </c>
      <c r="G372" t="s">
        <v>4766</v>
      </c>
      <c r="H372" t="s">
        <v>279</v>
      </c>
      <c r="I372" t="s">
        <v>2666</v>
      </c>
      <c r="J372">
        <v>1</v>
      </c>
      <c r="K372">
        <v>41</v>
      </c>
    </row>
    <row r="373" spans="1:11" x14ac:dyDescent="0.2">
      <c r="A373" t="s">
        <v>4754</v>
      </c>
      <c r="B373">
        <v>1028</v>
      </c>
      <c r="C373" t="s">
        <v>303</v>
      </c>
      <c r="D373" t="s">
        <v>4779</v>
      </c>
      <c r="E373" t="s">
        <v>206</v>
      </c>
      <c r="F373" t="s">
        <v>279</v>
      </c>
      <c r="G373" t="s">
        <v>2722</v>
      </c>
      <c r="H373" t="s">
        <v>206</v>
      </c>
      <c r="I373" t="s">
        <v>2666</v>
      </c>
      <c r="J373">
        <v>1</v>
      </c>
      <c r="K373">
        <v>478</v>
      </c>
    </row>
    <row r="374" spans="1:11" x14ac:dyDescent="0.2">
      <c r="A374" t="s">
        <v>4754</v>
      </c>
      <c r="B374">
        <v>8005</v>
      </c>
      <c r="C374" t="s">
        <v>1411</v>
      </c>
      <c r="D374" t="s">
        <v>4791</v>
      </c>
      <c r="E374" t="s">
        <v>206</v>
      </c>
      <c r="F374" t="s">
        <v>279</v>
      </c>
      <c r="G374" t="s">
        <v>2674</v>
      </c>
      <c r="H374" t="s">
        <v>206</v>
      </c>
      <c r="I374" t="s">
        <v>2616</v>
      </c>
      <c r="J374">
        <v>1</v>
      </c>
      <c r="K374">
        <v>2674</v>
      </c>
    </row>
    <row r="375" spans="1:11" x14ac:dyDescent="0.2">
      <c r="A375" t="s">
        <v>4754</v>
      </c>
      <c r="B375">
        <v>230903</v>
      </c>
      <c r="C375" t="s">
        <v>1341</v>
      </c>
      <c r="D375" t="s">
        <v>4756</v>
      </c>
      <c r="E375" t="s">
        <v>184</v>
      </c>
      <c r="F375" t="s">
        <v>184</v>
      </c>
      <c r="G375" t="s">
        <v>2696</v>
      </c>
      <c r="H375" t="s">
        <v>184</v>
      </c>
      <c r="I375" t="s">
        <v>2666</v>
      </c>
      <c r="J375">
        <v>1</v>
      </c>
      <c r="K375">
        <v>450</v>
      </c>
    </row>
    <row r="376" spans="1:11" x14ac:dyDescent="0.2">
      <c r="A376" t="s">
        <v>4754</v>
      </c>
      <c r="B376">
        <v>191209</v>
      </c>
      <c r="C376" t="s">
        <v>938</v>
      </c>
      <c r="D376" t="s">
        <v>4801</v>
      </c>
      <c r="E376" t="s">
        <v>183</v>
      </c>
      <c r="F376" t="s">
        <v>283</v>
      </c>
      <c r="G376" t="s">
        <v>2711</v>
      </c>
      <c r="H376" t="s">
        <v>183</v>
      </c>
      <c r="I376" t="s">
        <v>2666</v>
      </c>
      <c r="J376">
        <v>1</v>
      </c>
      <c r="K376">
        <v>224</v>
      </c>
    </row>
    <row r="377" spans="1:11" x14ac:dyDescent="0.2">
      <c r="A377" t="s">
        <v>4754</v>
      </c>
      <c r="B377">
        <v>2003</v>
      </c>
      <c r="C377" t="s">
        <v>1398</v>
      </c>
      <c r="D377" t="s">
        <v>4832</v>
      </c>
      <c r="E377" t="s">
        <v>206</v>
      </c>
      <c r="F377" t="s">
        <v>279</v>
      </c>
      <c r="G377" t="s">
        <v>2787</v>
      </c>
      <c r="H377" t="s">
        <v>206</v>
      </c>
      <c r="I377" t="s">
        <v>2616</v>
      </c>
      <c r="J377">
        <v>1</v>
      </c>
      <c r="K377">
        <v>7555</v>
      </c>
    </row>
    <row r="378" spans="1:11" x14ac:dyDescent="0.2">
      <c r="A378" t="s">
        <v>4754</v>
      </c>
      <c r="B378">
        <v>231002</v>
      </c>
      <c r="C378" t="s">
        <v>992</v>
      </c>
      <c r="D378" t="s">
        <v>4802</v>
      </c>
      <c r="E378" t="s">
        <v>184</v>
      </c>
      <c r="F378" t="s">
        <v>184</v>
      </c>
      <c r="G378" t="s">
        <v>2932</v>
      </c>
      <c r="H378" t="s">
        <v>184</v>
      </c>
      <c r="I378" t="s">
        <v>2666</v>
      </c>
      <c r="J378">
        <v>1</v>
      </c>
      <c r="K378">
        <v>391</v>
      </c>
    </row>
    <row r="379" spans="1:11" x14ac:dyDescent="0.2">
      <c r="A379" t="s">
        <v>4754</v>
      </c>
      <c r="B379">
        <v>230906</v>
      </c>
      <c r="C379" t="s">
        <v>2602</v>
      </c>
      <c r="D379" t="s">
        <v>4794</v>
      </c>
      <c r="E379" t="s">
        <v>184</v>
      </c>
      <c r="F379" t="s">
        <v>184</v>
      </c>
      <c r="G379" t="s">
        <v>2696</v>
      </c>
      <c r="H379" t="s">
        <v>184</v>
      </c>
      <c r="I379" t="s">
        <v>2666</v>
      </c>
      <c r="J379">
        <v>1</v>
      </c>
      <c r="K379">
        <v>26</v>
      </c>
    </row>
    <row r="380" spans="1:11" x14ac:dyDescent="0.2">
      <c r="A380" t="s">
        <v>4754</v>
      </c>
      <c r="B380">
        <v>1002</v>
      </c>
      <c r="C380" t="s">
        <v>297</v>
      </c>
      <c r="D380" t="s">
        <v>4823</v>
      </c>
      <c r="E380" t="s">
        <v>206</v>
      </c>
      <c r="F380" t="s">
        <v>279</v>
      </c>
      <c r="G380" t="s">
        <v>2722</v>
      </c>
      <c r="H380" t="s">
        <v>206</v>
      </c>
      <c r="I380" t="s">
        <v>2666</v>
      </c>
      <c r="J380">
        <v>1</v>
      </c>
      <c r="K380">
        <v>305</v>
      </c>
    </row>
    <row r="381" spans="1:11" x14ac:dyDescent="0.2">
      <c r="A381" t="s">
        <v>4754</v>
      </c>
      <c r="B381">
        <v>230930</v>
      </c>
      <c r="C381" t="s">
        <v>990</v>
      </c>
      <c r="D381" t="s">
        <v>4818</v>
      </c>
      <c r="E381" t="s">
        <v>184</v>
      </c>
      <c r="F381" t="s">
        <v>184</v>
      </c>
      <c r="G381" t="s">
        <v>2696</v>
      </c>
      <c r="H381" t="s">
        <v>184</v>
      </c>
      <c r="I381" t="s">
        <v>2666</v>
      </c>
      <c r="J381">
        <v>1</v>
      </c>
      <c r="K381">
        <v>556</v>
      </c>
    </row>
    <row r="382" spans="1:11" x14ac:dyDescent="0.2">
      <c r="A382" t="s">
        <v>4754</v>
      </c>
      <c r="B382">
        <v>231304</v>
      </c>
      <c r="C382" t="s">
        <v>998</v>
      </c>
      <c r="D382" t="s">
        <v>4765</v>
      </c>
      <c r="E382" t="s">
        <v>184</v>
      </c>
      <c r="F382" t="s">
        <v>184</v>
      </c>
      <c r="G382" t="s">
        <v>184</v>
      </c>
      <c r="H382" t="s">
        <v>184</v>
      </c>
      <c r="I382" t="s">
        <v>2666</v>
      </c>
      <c r="J382">
        <v>1</v>
      </c>
      <c r="K382">
        <v>728</v>
      </c>
    </row>
    <row r="383" spans="1:11" x14ac:dyDescent="0.2">
      <c r="A383" t="s">
        <v>4754</v>
      </c>
      <c r="B383">
        <v>3014</v>
      </c>
      <c r="C383" t="s">
        <v>1118</v>
      </c>
      <c r="D383" t="s">
        <v>4833</v>
      </c>
      <c r="E383" t="s">
        <v>206</v>
      </c>
      <c r="F383" t="s">
        <v>279</v>
      </c>
      <c r="G383" t="s">
        <v>2803</v>
      </c>
      <c r="H383" t="s">
        <v>206</v>
      </c>
      <c r="I383" t="s">
        <v>2666</v>
      </c>
      <c r="J383">
        <v>1</v>
      </c>
      <c r="K383">
        <v>75</v>
      </c>
    </row>
    <row r="384" spans="1:11" x14ac:dyDescent="0.2">
      <c r="A384" t="s">
        <v>4754</v>
      </c>
      <c r="B384">
        <v>1012</v>
      </c>
      <c r="C384" t="s">
        <v>1392</v>
      </c>
      <c r="D384" t="s">
        <v>4836</v>
      </c>
      <c r="E384" t="s">
        <v>206</v>
      </c>
      <c r="F384" t="s">
        <v>279</v>
      </c>
      <c r="G384" t="s">
        <v>2722</v>
      </c>
      <c r="H384" t="s">
        <v>206</v>
      </c>
      <c r="I384" t="s">
        <v>2616</v>
      </c>
      <c r="J384">
        <v>1</v>
      </c>
      <c r="K384">
        <v>14084</v>
      </c>
    </row>
    <row r="385" spans="1:11" x14ac:dyDescent="0.2">
      <c r="A385" t="s">
        <v>4754</v>
      </c>
      <c r="B385">
        <v>190902</v>
      </c>
      <c r="C385" t="s">
        <v>2594</v>
      </c>
      <c r="D385" t="s">
        <v>4776</v>
      </c>
      <c r="E385" t="s">
        <v>183</v>
      </c>
      <c r="F385" t="s">
        <v>283</v>
      </c>
      <c r="G385" t="s">
        <v>2711</v>
      </c>
      <c r="H385" t="s">
        <v>183</v>
      </c>
      <c r="I385" t="s">
        <v>2666</v>
      </c>
      <c r="J385">
        <v>1</v>
      </c>
      <c r="K385">
        <v>14013.4</v>
      </c>
    </row>
    <row r="386" spans="1:11" x14ac:dyDescent="0.2">
      <c r="A386" t="s">
        <v>4754</v>
      </c>
      <c r="B386">
        <v>4003</v>
      </c>
      <c r="C386" t="s">
        <v>311</v>
      </c>
      <c r="D386" t="s">
        <v>4828</v>
      </c>
      <c r="E386" t="s">
        <v>279</v>
      </c>
      <c r="F386" t="s">
        <v>279</v>
      </c>
      <c r="G386" t="s">
        <v>2762</v>
      </c>
      <c r="H386" t="s">
        <v>279</v>
      </c>
      <c r="I386" t="s">
        <v>2666</v>
      </c>
      <c r="J386">
        <v>1</v>
      </c>
      <c r="K386">
        <v>115.9</v>
      </c>
    </row>
    <row r="387" spans="1:11" x14ac:dyDescent="0.2">
      <c r="A387" t="s">
        <v>4754</v>
      </c>
      <c r="B387">
        <v>191103</v>
      </c>
      <c r="C387" t="s">
        <v>2398</v>
      </c>
      <c r="D387" t="s">
        <v>4809</v>
      </c>
      <c r="E387" t="s">
        <v>279</v>
      </c>
      <c r="F387" t="s">
        <v>283</v>
      </c>
      <c r="G387" t="s">
        <v>4413</v>
      </c>
      <c r="H387" t="s">
        <v>279</v>
      </c>
      <c r="I387" t="s">
        <v>2666</v>
      </c>
      <c r="J387">
        <v>1</v>
      </c>
      <c r="K387">
        <v>1224.17</v>
      </c>
    </row>
    <row r="388" spans="1:11" x14ac:dyDescent="0.2">
      <c r="A388" t="s">
        <v>4754</v>
      </c>
      <c r="B388">
        <v>1007</v>
      </c>
      <c r="C388" t="s">
        <v>4768</v>
      </c>
      <c r="D388" t="s">
        <v>4767</v>
      </c>
      <c r="E388" t="s">
        <v>206</v>
      </c>
      <c r="F388" t="s">
        <v>279</v>
      </c>
      <c r="G388" t="s">
        <v>4766</v>
      </c>
      <c r="H388" t="s">
        <v>206</v>
      </c>
      <c r="I388" t="s">
        <v>2666</v>
      </c>
      <c r="J388">
        <v>1</v>
      </c>
      <c r="K388">
        <v>30.67</v>
      </c>
    </row>
    <row r="389" spans="1:11" x14ac:dyDescent="0.2">
      <c r="A389" t="s">
        <v>4754</v>
      </c>
      <c r="B389">
        <v>5006</v>
      </c>
      <c r="C389" t="s">
        <v>1406</v>
      </c>
      <c r="D389" t="s">
        <v>4757</v>
      </c>
      <c r="E389" t="s">
        <v>31</v>
      </c>
      <c r="F389" t="s">
        <v>283</v>
      </c>
      <c r="G389" t="s">
        <v>2726</v>
      </c>
      <c r="H389" t="s">
        <v>31</v>
      </c>
      <c r="I389" t="s">
        <v>2616</v>
      </c>
      <c r="J389">
        <v>1</v>
      </c>
      <c r="K389">
        <v>5706</v>
      </c>
    </row>
    <row r="390" spans="1:11" x14ac:dyDescent="0.2">
      <c r="A390" t="s">
        <v>4754</v>
      </c>
      <c r="B390">
        <v>231206</v>
      </c>
      <c r="C390" t="s">
        <v>1288</v>
      </c>
      <c r="D390" t="s">
        <v>4781</v>
      </c>
      <c r="E390" t="s">
        <v>184</v>
      </c>
      <c r="F390" t="s">
        <v>184</v>
      </c>
      <c r="G390" t="s">
        <v>3831</v>
      </c>
      <c r="H390" t="s">
        <v>184</v>
      </c>
      <c r="I390" t="s">
        <v>2666</v>
      </c>
      <c r="J390">
        <v>1</v>
      </c>
      <c r="K390">
        <v>308</v>
      </c>
    </row>
    <row r="391" spans="1:11" x14ac:dyDescent="0.2">
      <c r="A391" t="s">
        <v>4754</v>
      </c>
      <c r="B391">
        <v>231303</v>
      </c>
      <c r="C391" t="s">
        <v>1220</v>
      </c>
      <c r="D391" t="s">
        <v>4759</v>
      </c>
      <c r="E391" t="s">
        <v>2634</v>
      </c>
      <c r="F391" t="s">
        <v>184</v>
      </c>
      <c r="G391" t="s">
        <v>184</v>
      </c>
      <c r="H391" t="s">
        <v>2634</v>
      </c>
      <c r="I391" t="s">
        <v>2666</v>
      </c>
      <c r="J391">
        <v>1</v>
      </c>
      <c r="K391">
        <v>222</v>
      </c>
    </row>
    <row r="392" spans="1:11" x14ac:dyDescent="0.2">
      <c r="A392" t="s">
        <v>4754</v>
      </c>
      <c r="B392">
        <v>8009</v>
      </c>
      <c r="C392" t="s">
        <v>1414</v>
      </c>
      <c r="D392" t="s">
        <v>4829</v>
      </c>
      <c r="E392" t="s">
        <v>279</v>
      </c>
      <c r="F392" t="s">
        <v>279</v>
      </c>
      <c r="G392" t="s">
        <v>2674</v>
      </c>
      <c r="H392" t="s">
        <v>279</v>
      </c>
      <c r="I392" t="s">
        <v>2616</v>
      </c>
      <c r="J392">
        <v>1</v>
      </c>
      <c r="K392">
        <v>6047</v>
      </c>
    </row>
    <row r="393" spans="1:11" x14ac:dyDescent="0.2">
      <c r="A393" t="s">
        <v>4754</v>
      </c>
      <c r="B393">
        <v>10003</v>
      </c>
      <c r="C393" t="s">
        <v>1417</v>
      </c>
      <c r="D393" t="s">
        <v>4807</v>
      </c>
      <c r="E393" t="s">
        <v>31</v>
      </c>
      <c r="F393" t="s">
        <v>283</v>
      </c>
      <c r="G393" t="s">
        <v>2765</v>
      </c>
      <c r="H393" t="s">
        <v>31</v>
      </c>
      <c r="I393" t="s">
        <v>2616</v>
      </c>
      <c r="J393">
        <v>1</v>
      </c>
      <c r="K393">
        <v>6686</v>
      </c>
    </row>
    <row r="394" spans="1:11" x14ac:dyDescent="0.2">
      <c r="A394" t="s">
        <v>4754</v>
      </c>
      <c r="B394">
        <v>5001</v>
      </c>
      <c r="C394" t="s">
        <v>1405</v>
      </c>
      <c r="D394" t="s">
        <v>4812</v>
      </c>
      <c r="E394" t="s">
        <v>31</v>
      </c>
      <c r="F394" t="s">
        <v>283</v>
      </c>
      <c r="G394" t="s">
        <v>2726</v>
      </c>
      <c r="H394" t="s">
        <v>31</v>
      </c>
      <c r="I394" t="s">
        <v>2616</v>
      </c>
      <c r="J394">
        <v>1</v>
      </c>
      <c r="K394">
        <v>9001.15</v>
      </c>
    </row>
    <row r="395" spans="1:11" x14ac:dyDescent="0.2">
      <c r="A395" t="s">
        <v>4754</v>
      </c>
      <c r="B395">
        <v>6002</v>
      </c>
      <c r="C395" t="s">
        <v>1407</v>
      </c>
      <c r="D395" t="s">
        <v>4811</v>
      </c>
      <c r="E395" t="s">
        <v>31</v>
      </c>
      <c r="F395" t="s">
        <v>283</v>
      </c>
      <c r="G395" t="s">
        <v>2742</v>
      </c>
      <c r="H395" t="s">
        <v>31</v>
      </c>
      <c r="I395" t="s">
        <v>2616</v>
      </c>
      <c r="J395">
        <v>1</v>
      </c>
      <c r="K395">
        <v>4965</v>
      </c>
    </row>
    <row r="396" spans="1:11" x14ac:dyDescent="0.2">
      <c r="A396" t="s">
        <v>4754</v>
      </c>
      <c r="B396">
        <v>1015</v>
      </c>
      <c r="C396" t="s">
        <v>1393</v>
      </c>
      <c r="D396" t="s">
        <v>4808</v>
      </c>
      <c r="E396" t="s">
        <v>206</v>
      </c>
      <c r="F396" t="s">
        <v>279</v>
      </c>
      <c r="G396" t="s">
        <v>4766</v>
      </c>
      <c r="H396" t="s">
        <v>206</v>
      </c>
      <c r="I396" t="s">
        <v>2616</v>
      </c>
      <c r="J396">
        <v>1</v>
      </c>
      <c r="K396">
        <v>7506</v>
      </c>
    </row>
    <row r="397" spans="1:11" x14ac:dyDescent="0.2">
      <c r="A397" t="s">
        <v>4754</v>
      </c>
      <c r="B397">
        <v>4007</v>
      </c>
      <c r="C397" t="s">
        <v>313</v>
      </c>
      <c r="D397" t="s">
        <v>4764</v>
      </c>
      <c r="E397" t="s">
        <v>279</v>
      </c>
      <c r="F397" t="s">
        <v>279</v>
      </c>
      <c r="G397" t="s">
        <v>2762</v>
      </c>
      <c r="H397" t="s">
        <v>279</v>
      </c>
      <c r="I397" t="s">
        <v>2666</v>
      </c>
      <c r="J397">
        <v>1</v>
      </c>
      <c r="K397">
        <v>677</v>
      </c>
    </row>
    <row r="398" spans="1:11" x14ac:dyDescent="0.2">
      <c r="A398" t="s">
        <v>4754</v>
      </c>
      <c r="B398">
        <v>231211</v>
      </c>
      <c r="C398" t="s">
        <v>994</v>
      </c>
      <c r="D398" t="s">
        <v>4761</v>
      </c>
      <c r="E398" t="s">
        <v>184</v>
      </c>
      <c r="F398" t="s">
        <v>184</v>
      </c>
      <c r="G398" t="s">
        <v>4760</v>
      </c>
      <c r="H398" t="s">
        <v>184</v>
      </c>
      <c r="I398" t="s">
        <v>2666</v>
      </c>
      <c r="J398">
        <v>1</v>
      </c>
      <c r="K398">
        <v>902</v>
      </c>
    </row>
    <row r="399" spans="1:11" x14ac:dyDescent="0.2">
      <c r="A399" t="s">
        <v>4754</v>
      </c>
      <c r="B399">
        <v>4009</v>
      </c>
      <c r="C399" t="s">
        <v>1404</v>
      </c>
      <c r="D399" t="s">
        <v>3678</v>
      </c>
      <c r="E399" t="s">
        <v>279</v>
      </c>
      <c r="F399" t="s">
        <v>279</v>
      </c>
      <c r="G399" t="s">
        <v>2762</v>
      </c>
      <c r="H399" t="s">
        <v>279</v>
      </c>
      <c r="I399" t="s">
        <v>2616</v>
      </c>
      <c r="J399">
        <v>1</v>
      </c>
      <c r="K399">
        <v>13600</v>
      </c>
    </row>
    <row r="400" spans="1:11" x14ac:dyDescent="0.2">
      <c r="A400" t="s">
        <v>4754</v>
      </c>
      <c r="B400">
        <v>230925</v>
      </c>
      <c r="C400" t="s">
        <v>988</v>
      </c>
      <c r="D400" t="s">
        <v>4772</v>
      </c>
      <c r="E400" t="s">
        <v>184</v>
      </c>
      <c r="F400" t="s">
        <v>184</v>
      </c>
      <c r="G400" t="s">
        <v>3839</v>
      </c>
      <c r="H400" t="s">
        <v>184</v>
      </c>
      <c r="I400" t="s">
        <v>2666</v>
      </c>
      <c r="J400">
        <v>1</v>
      </c>
      <c r="K400">
        <v>51</v>
      </c>
    </row>
    <row r="401" spans="1:11" x14ac:dyDescent="0.2">
      <c r="A401" t="s">
        <v>4754</v>
      </c>
      <c r="B401">
        <v>1010</v>
      </c>
      <c r="C401" t="s">
        <v>300</v>
      </c>
      <c r="D401" t="s">
        <v>4827</v>
      </c>
      <c r="E401" t="s">
        <v>279</v>
      </c>
      <c r="F401" t="s">
        <v>279</v>
      </c>
      <c r="G401" t="s">
        <v>2711</v>
      </c>
      <c r="H401" t="s">
        <v>279</v>
      </c>
      <c r="I401" t="s">
        <v>2666</v>
      </c>
      <c r="J401">
        <v>1</v>
      </c>
      <c r="K401">
        <v>382</v>
      </c>
    </row>
    <row r="402" spans="1:11" x14ac:dyDescent="0.2">
      <c r="A402" t="s">
        <v>4754</v>
      </c>
      <c r="B402">
        <v>231207</v>
      </c>
      <c r="C402" t="s">
        <v>1343</v>
      </c>
      <c r="D402" t="s">
        <v>4835</v>
      </c>
      <c r="E402" t="s">
        <v>184</v>
      </c>
      <c r="F402" t="s">
        <v>184</v>
      </c>
      <c r="G402" t="s">
        <v>3831</v>
      </c>
      <c r="H402" t="s">
        <v>184</v>
      </c>
      <c r="I402" t="s">
        <v>2666</v>
      </c>
      <c r="J402">
        <v>1</v>
      </c>
      <c r="K402">
        <v>517</v>
      </c>
    </row>
    <row r="403" spans="1:11" x14ac:dyDescent="0.2">
      <c r="A403" t="s">
        <v>4754</v>
      </c>
      <c r="B403">
        <v>231001</v>
      </c>
      <c r="C403" t="s">
        <v>991</v>
      </c>
      <c r="D403" t="s">
        <v>4783</v>
      </c>
      <c r="E403" t="s">
        <v>184</v>
      </c>
      <c r="F403" t="s">
        <v>184</v>
      </c>
      <c r="G403" t="s">
        <v>2932</v>
      </c>
      <c r="H403" t="s">
        <v>184</v>
      </c>
      <c r="I403" t="s">
        <v>2666</v>
      </c>
      <c r="J403">
        <v>1</v>
      </c>
      <c r="K403">
        <v>72</v>
      </c>
    </row>
    <row r="404" spans="1:11" x14ac:dyDescent="0.2">
      <c r="A404" t="s">
        <v>4754</v>
      </c>
      <c r="B404">
        <v>3011</v>
      </c>
      <c r="C404" t="s">
        <v>309</v>
      </c>
      <c r="D404" t="s">
        <v>4834</v>
      </c>
      <c r="E404" t="s">
        <v>206</v>
      </c>
      <c r="F404" t="s">
        <v>279</v>
      </c>
      <c r="G404" t="s">
        <v>2803</v>
      </c>
      <c r="H404" t="s">
        <v>206</v>
      </c>
      <c r="I404" t="s">
        <v>2666</v>
      </c>
      <c r="J404">
        <v>1</v>
      </c>
      <c r="K404">
        <v>970</v>
      </c>
    </row>
    <row r="405" spans="1:11" x14ac:dyDescent="0.2">
      <c r="A405" t="s">
        <v>4754</v>
      </c>
      <c r="B405">
        <v>4005</v>
      </c>
      <c r="C405" t="s">
        <v>1403</v>
      </c>
      <c r="D405" t="s">
        <v>4800</v>
      </c>
      <c r="E405" t="s">
        <v>279</v>
      </c>
      <c r="F405" t="s">
        <v>279</v>
      </c>
      <c r="G405" t="s">
        <v>2762</v>
      </c>
      <c r="H405" t="s">
        <v>279</v>
      </c>
      <c r="I405" t="s">
        <v>2616</v>
      </c>
      <c r="J405">
        <v>1</v>
      </c>
      <c r="K405">
        <v>7223</v>
      </c>
    </row>
    <row r="406" spans="1:11" x14ac:dyDescent="0.2">
      <c r="A406" t="s">
        <v>4754</v>
      </c>
      <c r="B406">
        <v>191207</v>
      </c>
      <c r="C406" t="s">
        <v>282</v>
      </c>
      <c r="D406" t="s">
        <v>4824</v>
      </c>
      <c r="E406" t="s">
        <v>183</v>
      </c>
      <c r="F406" t="s">
        <v>283</v>
      </c>
      <c r="G406" t="s">
        <v>2711</v>
      </c>
      <c r="H406" t="s">
        <v>183</v>
      </c>
      <c r="I406" t="s">
        <v>2666</v>
      </c>
      <c r="J406">
        <v>1</v>
      </c>
      <c r="K406">
        <v>607.16999999999996</v>
      </c>
    </row>
    <row r="407" spans="1:11" x14ac:dyDescent="0.2">
      <c r="A407" t="s">
        <v>4754</v>
      </c>
      <c r="B407">
        <v>8008</v>
      </c>
      <c r="C407" t="s">
        <v>1413</v>
      </c>
      <c r="D407" t="s">
        <v>4782</v>
      </c>
      <c r="E407" t="s">
        <v>279</v>
      </c>
      <c r="F407" t="s">
        <v>279</v>
      </c>
      <c r="G407" t="s">
        <v>2674</v>
      </c>
      <c r="H407" t="s">
        <v>279</v>
      </c>
      <c r="I407" t="s">
        <v>2616</v>
      </c>
      <c r="J407">
        <v>1</v>
      </c>
      <c r="K407">
        <v>5105.5</v>
      </c>
    </row>
    <row r="408" spans="1:11" x14ac:dyDescent="0.2">
      <c r="A408" t="s">
        <v>4754</v>
      </c>
      <c r="B408">
        <v>230119</v>
      </c>
      <c r="C408" t="s">
        <v>970</v>
      </c>
      <c r="D408" t="s">
        <v>4763</v>
      </c>
      <c r="E408" t="s">
        <v>184</v>
      </c>
      <c r="F408" t="s">
        <v>184</v>
      </c>
      <c r="G408" t="s">
        <v>4762</v>
      </c>
      <c r="H408" t="s">
        <v>184</v>
      </c>
      <c r="I408" t="s">
        <v>2666</v>
      </c>
      <c r="J408">
        <v>1</v>
      </c>
      <c r="K408">
        <v>303</v>
      </c>
    </row>
    <row r="409" spans="1:11" x14ac:dyDescent="0.2">
      <c r="A409" t="s">
        <v>4754</v>
      </c>
      <c r="B409">
        <v>1009</v>
      </c>
      <c r="C409" t="s">
        <v>1391</v>
      </c>
      <c r="D409" t="s">
        <v>4788</v>
      </c>
      <c r="E409" t="s">
        <v>206</v>
      </c>
      <c r="F409" t="s">
        <v>279</v>
      </c>
      <c r="G409" t="s">
        <v>2722</v>
      </c>
      <c r="H409" t="s">
        <v>206</v>
      </c>
      <c r="I409" t="s">
        <v>2616</v>
      </c>
      <c r="J409">
        <v>1</v>
      </c>
      <c r="K409">
        <v>1531</v>
      </c>
    </row>
    <row r="410" spans="1:11" x14ac:dyDescent="0.2">
      <c r="A410" t="s">
        <v>4754</v>
      </c>
      <c r="B410">
        <v>4004</v>
      </c>
      <c r="C410" t="s">
        <v>312</v>
      </c>
      <c r="D410" t="s">
        <v>4789</v>
      </c>
      <c r="E410" t="s">
        <v>279</v>
      </c>
      <c r="F410" t="s">
        <v>279</v>
      </c>
      <c r="G410" t="s">
        <v>2762</v>
      </c>
      <c r="H410" t="s">
        <v>279</v>
      </c>
      <c r="I410" t="s">
        <v>2666</v>
      </c>
      <c r="J410">
        <v>1</v>
      </c>
      <c r="K410">
        <v>406.17</v>
      </c>
    </row>
    <row r="411" spans="1:11" x14ac:dyDescent="0.2">
      <c r="A411" t="s">
        <v>4754</v>
      </c>
      <c r="B411">
        <v>231803</v>
      </c>
      <c r="C411" t="s">
        <v>1347</v>
      </c>
      <c r="D411" t="s">
        <v>4778</v>
      </c>
      <c r="E411" t="s">
        <v>184</v>
      </c>
      <c r="F411" t="s">
        <v>184</v>
      </c>
      <c r="G411" t="s">
        <v>2935</v>
      </c>
      <c r="H411" t="s">
        <v>184</v>
      </c>
      <c r="I411" t="s">
        <v>2666</v>
      </c>
      <c r="J411">
        <v>1</v>
      </c>
      <c r="K411">
        <v>330</v>
      </c>
    </row>
    <row r="412" spans="1:11" x14ac:dyDescent="0.2">
      <c r="A412" t="s">
        <v>4754</v>
      </c>
      <c r="B412">
        <v>231311</v>
      </c>
      <c r="C412" t="s">
        <v>1002</v>
      </c>
      <c r="D412" t="s">
        <v>4813</v>
      </c>
      <c r="E412" t="s">
        <v>2634</v>
      </c>
      <c r="F412" t="s">
        <v>184</v>
      </c>
      <c r="G412" t="s">
        <v>3837</v>
      </c>
      <c r="H412" t="s">
        <v>2634</v>
      </c>
      <c r="I412" t="s">
        <v>2666</v>
      </c>
      <c r="J412">
        <v>1</v>
      </c>
      <c r="K412">
        <v>44</v>
      </c>
    </row>
    <row r="413" spans="1:11" x14ac:dyDescent="0.2">
      <c r="A413" t="s">
        <v>4754</v>
      </c>
      <c r="B413">
        <v>2002</v>
      </c>
      <c r="C413" t="s">
        <v>1397</v>
      </c>
      <c r="D413" t="s">
        <v>4787</v>
      </c>
      <c r="E413" t="s">
        <v>206</v>
      </c>
      <c r="F413" t="s">
        <v>279</v>
      </c>
      <c r="G413" t="s">
        <v>2787</v>
      </c>
      <c r="H413" t="s">
        <v>206</v>
      </c>
      <c r="I413" t="s">
        <v>2616</v>
      </c>
      <c r="J413">
        <v>1</v>
      </c>
      <c r="K413">
        <v>4758</v>
      </c>
    </row>
    <row r="414" spans="1:11" x14ac:dyDescent="0.2">
      <c r="A414" t="s">
        <v>4754</v>
      </c>
      <c r="B414">
        <v>231805</v>
      </c>
      <c r="C414" t="s">
        <v>2286</v>
      </c>
      <c r="D414" t="s">
        <v>4774</v>
      </c>
      <c r="E414" t="s">
        <v>184</v>
      </c>
      <c r="F414" t="s">
        <v>184</v>
      </c>
      <c r="G414" t="s">
        <v>2935</v>
      </c>
      <c r="H414" t="s">
        <v>184</v>
      </c>
      <c r="I414" t="s">
        <v>2616</v>
      </c>
      <c r="J414">
        <v>1</v>
      </c>
      <c r="K414">
        <v>2415</v>
      </c>
    </row>
    <row r="415" spans="1:11" x14ac:dyDescent="0.2">
      <c r="A415" t="s">
        <v>4754</v>
      </c>
      <c r="B415">
        <v>230917</v>
      </c>
      <c r="C415" t="s">
        <v>987</v>
      </c>
      <c r="D415" t="s">
        <v>4769</v>
      </c>
      <c r="E415" t="s">
        <v>184</v>
      </c>
      <c r="F415" t="s">
        <v>184</v>
      </c>
      <c r="G415" t="s">
        <v>3839</v>
      </c>
      <c r="H415" t="s">
        <v>184</v>
      </c>
      <c r="I415" t="s">
        <v>2666</v>
      </c>
      <c r="J415">
        <v>1</v>
      </c>
      <c r="K415">
        <v>1476.8</v>
      </c>
    </row>
    <row r="416" spans="1:11" x14ac:dyDescent="0.2">
      <c r="A416" t="s">
        <v>4754</v>
      </c>
      <c r="B416">
        <v>7001</v>
      </c>
      <c r="C416" t="s">
        <v>1409</v>
      </c>
      <c r="D416" t="s">
        <v>4831</v>
      </c>
      <c r="E416" t="s">
        <v>31</v>
      </c>
      <c r="F416" t="s">
        <v>283</v>
      </c>
      <c r="G416" t="s">
        <v>4830</v>
      </c>
      <c r="H416" t="s">
        <v>31</v>
      </c>
      <c r="I416" t="s">
        <v>2616</v>
      </c>
      <c r="J416">
        <v>1</v>
      </c>
      <c r="K416">
        <v>1278</v>
      </c>
    </row>
    <row r="417" spans="1:11" x14ac:dyDescent="0.2">
      <c r="A417" t="s">
        <v>4754</v>
      </c>
      <c r="B417">
        <v>8010</v>
      </c>
      <c r="C417" t="s">
        <v>1415</v>
      </c>
      <c r="D417" t="s">
        <v>4758</v>
      </c>
      <c r="E417" t="s">
        <v>279</v>
      </c>
      <c r="F417" t="s">
        <v>279</v>
      </c>
      <c r="G417" t="s">
        <v>2674</v>
      </c>
      <c r="H417" t="s">
        <v>279</v>
      </c>
      <c r="I417" t="s">
        <v>2616</v>
      </c>
      <c r="J417">
        <v>1</v>
      </c>
      <c r="K417">
        <v>5906</v>
      </c>
    </row>
    <row r="418" spans="1:11" x14ac:dyDescent="0.2">
      <c r="A418" t="s">
        <v>4754</v>
      </c>
      <c r="B418">
        <v>191208</v>
      </c>
      <c r="C418" t="s">
        <v>1336</v>
      </c>
      <c r="D418" t="s">
        <v>4786</v>
      </c>
      <c r="E418" t="s">
        <v>183</v>
      </c>
      <c r="F418" t="s">
        <v>283</v>
      </c>
      <c r="G418" t="s">
        <v>2711</v>
      </c>
      <c r="H418" t="s">
        <v>183</v>
      </c>
      <c r="I418" t="s">
        <v>2666</v>
      </c>
      <c r="J418">
        <v>1</v>
      </c>
      <c r="K418">
        <v>230</v>
      </c>
    </row>
    <row r="419" spans="1:11" x14ac:dyDescent="0.2">
      <c r="A419" t="s">
        <v>4754</v>
      </c>
      <c r="B419">
        <v>231305</v>
      </c>
      <c r="C419" t="s">
        <v>999</v>
      </c>
      <c r="D419" t="s">
        <v>4796</v>
      </c>
      <c r="E419" t="s">
        <v>184</v>
      </c>
      <c r="F419" t="s">
        <v>184</v>
      </c>
      <c r="G419" t="s">
        <v>184</v>
      </c>
      <c r="H419" t="s">
        <v>184</v>
      </c>
      <c r="I419" t="s">
        <v>2666</v>
      </c>
      <c r="J419">
        <v>1</v>
      </c>
      <c r="K419">
        <v>291</v>
      </c>
    </row>
    <row r="420" spans="1:11" x14ac:dyDescent="0.2">
      <c r="A420" t="s">
        <v>4754</v>
      </c>
      <c r="B420">
        <v>3006</v>
      </c>
      <c r="C420" t="s">
        <v>1401</v>
      </c>
      <c r="D420" t="s">
        <v>4821</v>
      </c>
      <c r="E420" t="s">
        <v>206</v>
      </c>
      <c r="F420" t="s">
        <v>279</v>
      </c>
      <c r="G420" t="s">
        <v>2803</v>
      </c>
      <c r="H420" t="s">
        <v>206</v>
      </c>
      <c r="I420" t="s">
        <v>2616</v>
      </c>
      <c r="J420">
        <v>1</v>
      </c>
      <c r="K420">
        <v>4004</v>
      </c>
    </row>
    <row r="421" spans="1:11" x14ac:dyDescent="0.2">
      <c r="A421" t="s">
        <v>4754</v>
      </c>
      <c r="B421">
        <v>8002</v>
      </c>
      <c r="C421" t="s">
        <v>1410</v>
      </c>
      <c r="D421" t="s">
        <v>4773</v>
      </c>
      <c r="E421" t="s">
        <v>206</v>
      </c>
      <c r="F421" t="s">
        <v>279</v>
      </c>
      <c r="G421" t="s">
        <v>2674</v>
      </c>
      <c r="H421" t="s">
        <v>206</v>
      </c>
      <c r="I421" t="s">
        <v>2616</v>
      </c>
      <c r="J421">
        <v>1</v>
      </c>
      <c r="K421">
        <v>3533</v>
      </c>
    </row>
    <row r="422" spans="1:11" x14ac:dyDescent="0.2">
      <c r="A422" t="s">
        <v>4754</v>
      </c>
      <c r="B422">
        <v>8007</v>
      </c>
      <c r="C422" t="s">
        <v>1412</v>
      </c>
      <c r="D422" t="s">
        <v>4814</v>
      </c>
      <c r="E422" t="s">
        <v>279</v>
      </c>
      <c r="F422" t="s">
        <v>279</v>
      </c>
      <c r="G422" t="s">
        <v>2674</v>
      </c>
      <c r="H422" t="s">
        <v>279</v>
      </c>
      <c r="I422" t="s">
        <v>2616</v>
      </c>
      <c r="J422">
        <v>1</v>
      </c>
      <c r="K422">
        <v>7212</v>
      </c>
    </row>
    <row r="423" spans="1:11" x14ac:dyDescent="0.2">
      <c r="A423" t="s">
        <v>4754</v>
      </c>
      <c r="B423">
        <v>1023</v>
      </c>
      <c r="C423" t="s">
        <v>2499</v>
      </c>
      <c r="D423" t="s">
        <v>4797</v>
      </c>
      <c r="E423" t="s">
        <v>206</v>
      </c>
      <c r="F423" t="s">
        <v>279</v>
      </c>
      <c r="G423" t="s">
        <v>4766</v>
      </c>
      <c r="H423" t="s">
        <v>206</v>
      </c>
      <c r="I423" t="s">
        <v>2666</v>
      </c>
      <c r="J423">
        <v>1</v>
      </c>
      <c r="K423">
        <v>1419</v>
      </c>
    </row>
    <row r="424" spans="1:11" x14ac:dyDescent="0.2">
      <c r="A424" t="s">
        <v>4754</v>
      </c>
      <c r="B424">
        <v>3005</v>
      </c>
      <c r="C424" t="s">
        <v>1400</v>
      </c>
      <c r="D424" t="s">
        <v>4785</v>
      </c>
      <c r="E424" t="s">
        <v>206</v>
      </c>
      <c r="F424" t="s">
        <v>279</v>
      </c>
      <c r="G424" t="s">
        <v>2803</v>
      </c>
      <c r="H424" t="s">
        <v>206</v>
      </c>
      <c r="I424" t="s">
        <v>2616</v>
      </c>
      <c r="J424">
        <v>1</v>
      </c>
      <c r="K424">
        <v>5165</v>
      </c>
    </row>
    <row r="425" spans="1:11" x14ac:dyDescent="0.2">
      <c r="A425" t="s">
        <v>4754</v>
      </c>
      <c r="B425">
        <v>1004</v>
      </c>
      <c r="C425" t="s">
        <v>298</v>
      </c>
      <c r="D425" t="s">
        <v>4798</v>
      </c>
      <c r="E425" t="s">
        <v>206</v>
      </c>
      <c r="F425" t="s">
        <v>279</v>
      </c>
      <c r="G425" t="s">
        <v>2722</v>
      </c>
      <c r="H425" t="s">
        <v>206</v>
      </c>
      <c r="I425" t="s">
        <v>2666</v>
      </c>
      <c r="J425">
        <v>1</v>
      </c>
      <c r="K425">
        <v>52</v>
      </c>
    </row>
    <row r="426" spans="1:11" x14ac:dyDescent="0.2">
      <c r="A426" t="s">
        <v>4754</v>
      </c>
      <c r="B426">
        <v>2004</v>
      </c>
      <c r="C426" t="s">
        <v>306</v>
      </c>
      <c r="D426" t="s">
        <v>4805</v>
      </c>
      <c r="E426" t="s">
        <v>206</v>
      </c>
      <c r="F426" t="s">
        <v>279</v>
      </c>
      <c r="G426" t="s">
        <v>2787</v>
      </c>
      <c r="H426" t="s">
        <v>206</v>
      </c>
      <c r="I426" t="s">
        <v>2666</v>
      </c>
      <c r="J426">
        <v>1</v>
      </c>
      <c r="K426">
        <v>8571.86</v>
      </c>
    </row>
    <row r="427" spans="1:11" x14ac:dyDescent="0.2">
      <c r="A427" t="s">
        <v>4754</v>
      </c>
      <c r="B427">
        <v>231210</v>
      </c>
      <c r="C427" t="s">
        <v>1344</v>
      </c>
      <c r="D427" t="s">
        <v>4755</v>
      </c>
      <c r="E427" t="s">
        <v>184</v>
      </c>
      <c r="F427" t="s">
        <v>184</v>
      </c>
      <c r="G427" t="s">
        <v>3839</v>
      </c>
      <c r="H427" t="s">
        <v>184</v>
      </c>
      <c r="I427" t="s">
        <v>2666</v>
      </c>
      <c r="J427">
        <v>1</v>
      </c>
      <c r="K427">
        <v>394.17</v>
      </c>
    </row>
    <row r="428" spans="1:11" x14ac:dyDescent="0.2">
      <c r="A428" t="s">
        <v>4754</v>
      </c>
      <c r="B428">
        <v>1214</v>
      </c>
      <c r="C428" t="s">
        <v>2500</v>
      </c>
      <c r="D428" t="s">
        <v>4803</v>
      </c>
      <c r="E428" t="s">
        <v>206</v>
      </c>
      <c r="F428" t="s">
        <v>279</v>
      </c>
      <c r="G428" t="s">
        <v>4766</v>
      </c>
      <c r="H428" t="s">
        <v>206</v>
      </c>
      <c r="I428" t="s">
        <v>2666</v>
      </c>
      <c r="J428">
        <v>1</v>
      </c>
      <c r="K428">
        <v>1453</v>
      </c>
    </row>
    <row r="429" spans="1:11" x14ac:dyDescent="0.2">
      <c r="A429" t="s">
        <v>4754</v>
      </c>
      <c r="B429">
        <v>231214</v>
      </c>
      <c r="C429" t="s">
        <v>996</v>
      </c>
      <c r="D429" t="s">
        <v>4820</v>
      </c>
      <c r="E429" t="s">
        <v>184</v>
      </c>
      <c r="F429" t="s">
        <v>184</v>
      </c>
      <c r="G429" t="s">
        <v>4819</v>
      </c>
      <c r="H429" t="s">
        <v>184</v>
      </c>
      <c r="I429" t="s">
        <v>2666</v>
      </c>
      <c r="J429">
        <v>1</v>
      </c>
      <c r="K429">
        <v>268</v>
      </c>
    </row>
    <row r="430" spans="1:11" x14ac:dyDescent="0.2">
      <c r="A430" t="s">
        <v>4754</v>
      </c>
      <c r="B430">
        <v>230915</v>
      </c>
      <c r="C430" t="s">
        <v>1342</v>
      </c>
      <c r="D430" t="s">
        <v>4771</v>
      </c>
      <c r="E430" t="s">
        <v>184</v>
      </c>
      <c r="F430" t="s">
        <v>184</v>
      </c>
      <c r="G430" t="s">
        <v>3839</v>
      </c>
      <c r="H430" t="s">
        <v>184</v>
      </c>
      <c r="I430" t="s">
        <v>2666</v>
      </c>
      <c r="J430">
        <v>1</v>
      </c>
      <c r="K430">
        <v>2846</v>
      </c>
    </row>
    <row r="431" spans="1:11" x14ac:dyDescent="0.2">
      <c r="A431" t="s">
        <v>4754</v>
      </c>
      <c r="B431">
        <v>231309</v>
      </c>
      <c r="C431" t="s">
        <v>1001</v>
      </c>
      <c r="D431" t="s">
        <v>4822</v>
      </c>
      <c r="E431" t="s">
        <v>184</v>
      </c>
      <c r="F431" t="s">
        <v>184</v>
      </c>
      <c r="G431" t="s">
        <v>3837</v>
      </c>
      <c r="H431" t="s">
        <v>184</v>
      </c>
      <c r="I431" t="s">
        <v>2666</v>
      </c>
      <c r="J431">
        <v>1</v>
      </c>
      <c r="K431">
        <v>444</v>
      </c>
    </row>
    <row r="432" spans="1:11" x14ac:dyDescent="0.2">
      <c r="A432" t="s">
        <v>4754</v>
      </c>
      <c r="B432">
        <v>231302</v>
      </c>
      <c r="C432" t="s">
        <v>997</v>
      </c>
      <c r="D432" t="s">
        <v>4826</v>
      </c>
      <c r="E432" t="s">
        <v>184</v>
      </c>
      <c r="F432" t="s">
        <v>184</v>
      </c>
      <c r="G432" t="s">
        <v>184</v>
      </c>
      <c r="H432" t="s">
        <v>184</v>
      </c>
      <c r="I432" t="s">
        <v>2666</v>
      </c>
      <c r="J432">
        <v>1</v>
      </c>
      <c r="K432">
        <v>979</v>
      </c>
    </row>
    <row r="433" spans="1:11" x14ac:dyDescent="0.2">
      <c r="A433" t="s">
        <v>4754</v>
      </c>
      <c r="B433">
        <v>1029</v>
      </c>
      <c r="C433" t="s">
        <v>1395</v>
      </c>
      <c r="D433" t="s">
        <v>4815</v>
      </c>
      <c r="E433" t="s">
        <v>206</v>
      </c>
      <c r="F433" t="s">
        <v>279</v>
      </c>
      <c r="G433" t="s">
        <v>2722</v>
      </c>
      <c r="H433" t="s">
        <v>206</v>
      </c>
      <c r="I433" t="s">
        <v>2616</v>
      </c>
      <c r="J433">
        <v>1</v>
      </c>
      <c r="K433">
        <v>2620.75</v>
      </c>
    </row>
    <row r="434" spans="1:11" x14ac:dyDescent="0.2">
      <c r="A434" t="s">
        <v>4754</v>
      </c>
      <c r="B434">
        <v>4002</v>
      </c>
      <c r="C434" t="s">
        <v>1402</v>
      </c>
      <c r="D434" t="s">
        <v>4806</v>
      </c>
      <c r="E434" t="s">
        <v>279</v>
      </c>
      <c r="F434" t="s">
        <v>279</v>
      </c>
      <c r="G434" t="s">
        <v>2762</v>
      </c>
      <c r="H434" t="s">
        <v>279</v>
      </c>
      <c r="I434" t="s">
        <v>2616</v>
      </c>
      <c r="J434">
        <v>1</v>
      </c>
      <c r="K434">
        <v>2690</v>
      </c>
    </row>
    <row r="435" spans="1:11" x14ac:dyDescent="0.2">
      <c r="A435" t="s">
        <v>4754</v>
      </c>
      <c r="B435">
        <v>231213</v>
      </c>
      <c r="C435" t="s">
        <v>995</v>
      </c>
      <c r="D435" t="s">
        <v>4799</v>
      </c>
      <c r="E435" t="s">
        <v>184</v>
      </c>
      <c r="F435" t="s">
        <v>184</v>
      </c>
      <c r="G435" t="s">
        <v>3831</v>
      </c>
      <c r="H435" t="s">
        <v>184</v>
      </c>
      <c r="I435" t="s">
        <v>2666</v>
      </c>
      <c r="J435">
        <v>1</v>
      </c>
      <c r="K435">
        <v>713</v>
      </c>
    </row>
    <row r="436" spans="1:11" x14ac:dyDescent="0.2">
      <c r="A436" t="s">
        <v>4754</v>
      </c>
      <c r="B436">
        <v>230909</v>
      </c>
      <c r="C436" t="s">
        <v>986</v>
      </c>
      <c r="D436" t="s">
        <v>4810</v>
      </c>
      <c r="E436" t="s">
        <v>2634</v>
      </c>
      <c r="F436" t="s">
        <v>184</v>
      </c>
      <c r="G436" t="s">
        <v>2696</v>
      </c>
      <c r="H436" t="s">
        <v>2634</v>
      </c>
      <c r="I436" t="s">
        <v>2666</v>
      </c>
      <c r="J436">
        <v>1</v>
      </c>
      <c r="K436">
        <v>141</v>
      </c>
    </row>
    <row r="437" spans="1:11" x14ac:dyDescent="0.2">
      <c r="A437" t="s">
        <v>4754</v>
      </c>
      <c r="B437">
        <v>1035</v>
      </c>
      <c r="C437" t="s">
        <v>305</v>
      </c>
      <c r="D437" t="s">
        <v>4817</v>
      </c>
      <c r="E437" t="s">
        <v>206</v>
      </c>
      <c r="F437" t="s">
        <v>279</v>
      </c>
      <c r="G437" t="s">
        <v>4766</v>
      </c>
      <c r="H437" t="s">
        <v>206</v>
      </c>
      <c r="I437" t="s">
        <v>2666</v>
      </c>
      <c r="J437">
        <v>1</v>
      </c>
      <c r="K437">
        <v>1307</v>
      </c>
    </row>
    <row r="438" spans="1:11" x14ac:dyDescent="0.2">
      <c r="A438" t="s">
        <v>4754</v>
      </c>
      <c r="B438">
        <v>230921</v>
      </c>
      <c r="C438" t="s">
        <v>1219</v>
      </c>
      <c r="D438" t="s">
        <v>4825</v>
      </c>
      <c r="E438" t="s">
        <v>2634</v>
      </c>
      <c r="F438" t="s">
        <v>184</v>
      </c>
      <c r="G438" t="s">
        <v>3839</v>
      </c>
      <c r="H438" t="s">
        <v>2634</v>
      </c>
      <c r="I438" t="s">
        <v>2666</v>
      </c>
      <c r="J438">
        <v>1</v>
      </c>
      <c r="K438">
        <v>43</v>
      </c>
    </row>
    <row r="439" spans="1:11" x14ac:dyDescent="0.2">
      <c r="A439" t="s">
        <v>4754</v>
      </c>
      <c r="B439">
        <v>231307</v>
      </c>
      <c r="C439" t="s">
        <v>1000</v>
      </c>
      <c r="D439" t="s">
        <v>4795</v>
      </c>
      <c r="E439" t="s">
        <v>184</v>
      </c>
      <c r="F439" t="s">
        <v>184</v>
      </c>
      <c r="G439" t="s">
        <v>3837</v>
      </c>
      <c r="H439" t="s">
        <v>184</v>
      </c>
      <c r="I439" t="s">
        <v>2666</v>
      </c>
      <c r="J439">
        <v>1</v>
      </c>
      <c r="K439">
        <v>5148.8999999999996</v>
      </c>
    </row>
    <row r="440" spans="1:11" x14ac:dyDescent="0.2">
      <c r="A440" t="s">
        <v>4754</v>
      </c>
      <c r="B440">
        <v>3001</v>
      </c>
      <c r="C440" t="s">
        <v>1399</v>
      </c>
      <c r="D440" t="s">
        <v>4804</v>
      </c>
      <c r="E440" t="s">
        <v>206</v>
      </c>
      <c r="F440" t="s">
        <v>279</v>
      </c>
      <c r="G440" t="s">
        <v>2803</v>
      </c>
      <c r="H440" t="s">
        <v>206</v>
      </c>
      <c r="I440" t="s">
        <v>2616</v>
      </c>
      <c r="J440">
        <v>1</v>
      </c>
      <c r="K440">
        <v>10064.17</v>
      </c>
    </row>
    <row r="441" spans="1:11" x14ac:dyDescent="0.2">
      <c r="A441" t="s">
        <v>4754</v>
      </c>
      <c r="B441">
        <v>230907</v>
      </c>
      <c r="C441" t="s">
        <v>985</v>
      </c>
      <c r="D441" t="s">
        <v>4775</v>
      </c>
      <c r="E441" t="s">
        <v>184</v>
      </c>
      <c r="F441" t="s">
        <v>184</v>
      </c>
      <c r="G441" t="s">
        <v>2696</v>
      </c>
      <c r="H441" t="s">
        <v>184</v>
      </c>
      <c r="I441" t="s">
        <v>2666</v>
      </c>
      <c r="J441">
        <v>1</v>
      </c>
      <c r="K441">
        <v>1137.32</v>
      </c>
    </row>
    <row r="442" spans="1:11" x14ac:dyDescent="0.2">
      <c r="A442" t="s">
        <v>4629</v>
      </c>
      <c r="B442">
        <v>230411</v>
      </c>
      <c r="C442" t="s">
        <v>978</v>
      </c>
      <c r="D442" t="s">
        <v>4746</v>
      </c>
      <c r="E442" t="s">
        <v>184</v>
      </c>
      <c r="F442" t="s">
        <v>184</v>
      </c>
      <c r="G442" t="s">
        <v>3821</v>
      </c>
      <c r="H442" t="s">
        <v>184</v>
      </c>
      <c r="I442" t="s">
        <v>2666</v>
      </c>
      <c r="J442">
        <v>1</v>
      </c>
      <c r="K442">
        <v>371.4</v>
      </c>
    </row>
    <row r="443" spans="1:11" x14ac:dyDescent="0.2">
      <c r="A443" t="s">
        <v>4629</v>
      </c>
      <c r="B443">
        <v>191704</v>
      </c>
      <c r="C443" t="s">
        <v>952</v>
      </c>
      <c r="D443" t="s">
        <v>4676</v>
      </c>
      <c r="E443" t="s">
        <v>184</v>
      </c>
      <c r="F443" t="s">
        <v>184</v>
      </c>
      <c r="G443" t="s">
        <v>3857</v>
      </c>
      <c r="H443" t="s">
        <v>184</v>
      </c>
      <c r="I443" t="s">
        <v>2666</v>
      </c>
      <c r="J443">
        <v>1</v>
      </c>
      <c r="K443">
        <v>264</v>
      </c>
    </row>
    <row r="444" spans="1:11" x14ac:dyDescent="0.2">
      <c r="A444" t="s">
        <v>4629</v>
      </c>
      <c r="B444">
        <v>230428</v>
      </c>
      <c r="C444" t="s">
        <v>982</v>
      </c>
      <c r="D444" t="s">
        <v>4655</v>
      </c>
      <c r="E444" t="s">
        <v>184</v>
      </c>
      <c r="F444" t="s">
        <v>184</v>
      </c>
      <c r="G444" t="s">
        <v>2739</v>
      </c>
      <c r="H444" t="s">
        <v>184</v>
      </c>
      <c r="I444" t="s">
        <v>2666</v>
      </c>
      <c r="J444">
        <v>1</v>
      </c>
      <c r="K444">
        <v>393</v>
      </c>
    </row>
    <row r="445" spans="1:11" x14ac:dyDescent="0.2">
      <c r="A445" t="s">
        <v>4629</v>
      </c>
      <c r="B445">
        <v>230104</v>
      </c>
      <c r="C445" t="s">
        <v>1213</v>
      </c>
      <c r="D445" t="s">
        <v>4707</v>
      </c>
      <c r="E445" t="s">
        <v>184</v>
      </c>
      <c r="F445" t="s">
        <v>184</v>
      </c>
      <c r="G445" t="s">
        <v>2754</v>
      </c>
      <c r="H445" t="s">
        <v>184</v>
      </c>
      <c r="I445" t="s">
        <v>2666</v>
      </c>
      <c r="J445">
        <v>1</v>
      </c>
      <c r="K445">
        <v>31</v>
      </c>
    </row>
    <row r="446" spans="1:11" x14ac:dyDescent="0.2">
      <c r="A446" t="s">
        <v>4629</v>
      </c>
      <c r="B446">
        <v>190807</v>
      </c>
      <c r="C446" t="s">
        <v>1333</v>
      </c>
      <c r="D446" t="s">
        <v>4643</v>
      </c>
      <c r="E446" t="s">
        <v>183</v>
      </c>
      <c r="F446" t="s">
        <v>283</v>
      </c>
      <c r="G446" t="s">
        <v>4642</v>
      </c>
      <c r="H446" t="s">
        <v>183</v>
      </c>
      <c r="I446" t="s">
        <v>2666</v>
      </c>
      <c r="J446">
        <v>1</v>
      </c>
      <c r="K446">
        <v>85</v>
      </c>
    </row>
    <row r="447" spans="1:11" x14ac:dyDescent="0.2">
      <c r="A447" t="s">
        <v>4629</v>
      </c>
      <c r="B447">
        <v>191601</v>
      </c>
      <c r="C447" t="s">
        <v>948</v>
      </c>
      <c r="D447" t="s">
        <v>4704</v>
      </c>
      <c r="E447" t="s">
        <v>183</v>
      </c>
      <c r="F447" t="s">
        <v>283</v>
      </c>
      <c r="G447" t="s">
        <v>3620</v>
      </c>
      <c r="H447" t="s">
        <v>183</v>
      </c>
      <c r="I447" t="s">
        <v>2666</v>
      </c>
      <c r="J447">
        <v>1</v>
      </c>
      <c r="K447">
        <v>968</v>
      </c>
    </row>
    <row r="448" spans="1:11" x14ac:dyDescent="0.2">
      <c r="A448" t="s">
        <v>4629</v>
      </c>
      <c r="B448">
        <v>190106</v>
      </c>
      <c r="C448" t="s">
        <v>1206</v>
      </c>
      <c r="D448" t="s">
        <v>4723</v>
      </c>
      <c r="E448" t="s">
        <v>183</v>
      </c>
      <c r="F448" t="s">
        <v>283</v>
      </c>
      <c r="G448" t="s">
        <v>4722</v>
      </c>
      <c r="H448" t="s">
        <v>183</v>
      </c>
      <c r="I448" t="s">
        <v>2666</v>
      </c>
      <c r="J448">
        <v>1</v>
      </c>
      <c r="K448">
        <v>187</v>
      </c>
    </row>
    <row r="449" spans="1:11" x14ac:dyDescent="0.2">
      <c r="A449" t="s">
        <v>4629</v>
      </c>
      <c r="B449">
        <v>231606</v>
      </c>
      <c r="C449" t="s">
        <v>1003</v>
      </c>
      <c r="D449" t="s">
        <v>4695</v>
      </c>
      <c r="E449" t="s">
        <v>184</v>
      </c>
      <c r="F449" t="s">
        <v>184</v>
      </c>
      <c r="G449" t="s">
        <v>4668</v>
      </c>
      <c r="H449" t="s">
        <v>184</v>
      </c>
      <c r="I449" t="s">
        <v>2666</v>
      </c>
      <c r="J449">
        <v>1</v>
      </c>
      <c r="K449">
        <v>132</v>
      </c>
    </row>
    <row r="450" spans="1:11" x14ac:dyDescent="0.2">
      <c r="A450" t="s">
        <v>4629</v>
      </c>
      <c r="B450">
        <v>230123</v>
      </c>
      <c r="C450" t="s">
        <v>2477</v>
      </c>
      <c r="D450" t="s">
        <v>4715</v>
      </c>
      <c r="E450" t="s">
        <v>184</v>
      </c>
      <c r="F450" t="s">
        <v>184</v>
      </c>
      <c r="G450" t="s">
        <v>2754</v>
      </c>
      <c r="H450" t="s">
        <v>184</v>
      </c>
      <c r="I450" t="s">
        <v>2666</v>
      </c>
      <c r="J450">
        <v>1</v>
      </c>
      <c r="K450">
        <v>496</v>
      </c>
    </row>
    <row r="451" spans="1:11" x14ac:dyDescent="0.2">
      <c r="A451" t="s">
        <v>4629</v>
      </c>
      <c r="B451">
        <v>230109</v>
      </c>
      <c r="C451" t="s">
        <v>1338</v>
      </c>
      <c r="D451" t="s">
        <v>4650</v>
      </c>
      <c r="E451" t="s">
        <v>184</v>
      </c>
      <c r="F451" t="s">
        <v>184</v>
      </c>
      <c r="G451" t="s">
        <v>2754</v>
      </c>
      <c r="H451" t="s">
        <v>184</v>
      </c>
      <c r="I451" t="s">
        <v>2666</v>
      </c>
      <c r="J451">
        <v>1</v>
      </c>
      <c r="K451">
        <v>282</v>
      </c>
    </row>
    <row r="452" spans="1:11" x14ac:dyDescent="0.2">
      <c r="A452" t="s">
        <v>4629</v>
      </c>
      <c r="B452">
        <v>230116</v>
      </c>
      <c r="C452" t="s">
        <v>1073</v>
      </c>
      <c r="D452" t="s">
        <v>4665</v>
      </c>
      <c r="E452" t="s">
        <v>184</v>
      </c>
      <c r="F452" t="s">
        <v>184</v>
      </c>
      <c r="G452" t="s">
        <v>2754</v>
      </c>
      <c r="H452" t="s">
        <v>184</v>
      </c>
      <c r="I452" t="s">
        <v>2666</v>
      </c>
      <c r="J452">
        <v>1</v>
      </c>
      <c r="K452">
        <v>191</v>
      </c>
    </row>
    <row r="453" spans="1:11" x14ac:dyDescent="0.2">
      <c r="A453" t="s">
        <v>4629</v>
      </c>
      <c r="B453">
        <v>191802</v>
      </c>
      <c r="C453" t="s">
        <v>956</v>
      </c>
      <c r="D453" t="s">
        <v>4742</v>
      </c>
      <c r="E453" t="s">
        <v>183</v>
      </c>
      <c r="F453" t="s">
        <v>283</v>
      </c>
      <c r="G453" t="s">
        <v>2829</v>
      </c>
      <c r="H453" t="s">
        <v>183</v>
      </c>
      <c r="I453" t="s">
        <v>2666</v>
      </c>
      <c r="J453">
        <v>1</v>
      </c>
      <c r="K453">
        <v>95</v>
      </c>
    </row>
    <row r="454" spans="1:11" x14ac:dyDescent="0.2">
      <c r="A454" t="s">
        <v>4629</v>
      </c>
      <c r="B454">
        <v>190503</v>
      </c>
      <c r="C454" t="s">
        <v>908</v>
      </c>
      <c r="D454" t="s">
        <v>4680</v>
      </c>
      <c r="E454" t="s">
        <v>183</v>
      </c>
      <c r="F454" t="s">
        <v>283</v>
      </c>
      <c r="G454" t="s">
        <v>2869</v>
      </c>
      <c r="H454" t="s">
        <v>183</v>
      </c>
      <c r="I454" t="s">
        <v>2666</v>
      </c>
      <c r="J454">
        <v>1</v>
      </c>
      <c r="K454">
        <v>22</v>
      </c>
    </row>
    <row r="455" spans="1:11" x14ac:dyDescent="0.2">
      <c r="A455" t="s">
        <v>4629</v>
      </c>
      <c r="B455">
        <v>190910</v>
      </c>
      <c r="C455" t="s">
        <v>928</v>
      </c>
      <c r="D455" t="s">
        <v>4686</v>
      </c>
      <c r="E455" t="s">
        <v>183</v>
      </c>
      <c r="F455" t="s">
        <v>283</v>
      </c>
      <c r="G455" t="s">
        <v>2777</v>
      </c>
      <c r="H455" t="s">
        <v>183</v>
      </c>
      <c r="I455" t="s">
        <v>2666</v>
      </c>
      <c r="J455">
        <v>1</v>
      </c>
      <c r="K455">
        <v>94</v>
      </c>
    </row>
    <row r="456" spans="1:11" x14ac:dyDescent="0.2">
      <c r="A456" t="s">
        <v>4629</v>
      </c>
      <c r="B456">
        <v>231710</v>
      </c>
      <c r="C456" t="s">
        <v>1005</v>
      </c>
      <c r="D456" t="s">
        <v>4717</v>
      </c>
      <c r="E456" t="s">
        <v>184</v>
      </c>
      <c r="F456" t="s">
        <v>184</v>
      </c>
      <c r="G456" t="s">
        <v>2750</v>
      </c>
      <c r="H456" t="s">
        <v>184</v>
      </c>
      <c r="I456" t="s">
        <v>2666</v>
      </c>
      <c r="J456">
        <v>1</v>
      </c>
      <c r="K456">
        <v>468</v>
      </c>
    </row>
    <row r="457" spans="1:11" x14ac:dyDescent="0.2">
      <c r="A457" t="s">
        <v>4629</v>
      </c>
      <c r="B457">
        <v>230407</v>
      </c>
      <c r="C457" t="s">
        <v>1217</v>
      </c>
      <c r="D457" t="s">
        <v>4721</v>
      </c>
      <c r="E457" t="s">
        <v>184</v>
      </c>
      <c r="F457" t="s">
        <v>184</v>
      </c>
      <c r="G457" t="s">
        <v>2739</v>
      </c>
      <c r="H457" t="s">
        <v>184</v>
      </c>
      <c r="I457" t="s">
        <v>2666</v>
      </c>
      <c r="J457">
        <v>1</v>
      </c>
      <c r="K457">
        <v>344</v>
      </c>
    </row>
    <row r="458" spans="1:11" x14ac:dyDescent="0.2">
      <c r="A458" t="s">
        <v>4629</v>
      </c>
      <c r="B458">
        <v>191715</v>
      </c>
      <c r="C458" t="s">
        <v>954</v>
      </c>
      <c r="D458" t="s">
        <v>4682</v>
      </c>
      <c r="E458" t="s">
        <v>184</v>
      </c>
      <c r="F458" t="s">
        <v>184</v>
      </c>
      <c r="G458" t="s">
        <v>3626</v>
      </c>
      <c r="H458" t="s">
        <v>184</v>
      </c>
      <c r="I458" t="s">
        <v>2666</v>
      </c>
      <c r="J458">
        <v>1</v>
      </c>
      <c r="K458">
        <v>237</v>
      </c>
    </row>
    <row r="459" spans="1:11" x14ac:dyDescent="0.2">
      <c r="A459" t="s">
        <v>4629</v>
      </c>
      <c r="B459">
        <v>230313</v>
      </c>
      <c r="C459" t="s">
        <v>1112</v>
      </c>
      <c r="D459" t="s">
        <v>4677</v>
      </c>
      <c r="E459" t="s">
        <v>184</v>
      </c>
      <c r="F459" t="s">
        <v>184</v>
      </c>
      <c r="G459" t="s">
        <v>2739</v>
      </c>
      <c r="H459" t="s">
        <v>184</v>
      </c>
      <c r="I459" t="s">
        <v>2616</v>
      </c>
      <c r="J459">
        <v>1</v>
      </c>
      <c r="K459">
        <v>376</v>
      </c>
    </row>
    <row r="460" spans="1:11" x14ac:dyDescent="0.2">
      <c r="A460" t="s">
        <v>4629</v>
      </c>
      <c r="B460">
        <v>1017</v>
      </c>
      <c r="C460" t="s">
        <v>301</v>
      </c>
      <c r="D460" t="s">
        <v>4667</v>
      </c>
      <c r="E460" t="s">
        <v>183</v>
      </c>
      <c r="F460" t="s">
        <v>283</v>
      </c>
      <c r="G460" t="s">
        <v>2701</v>
      </c>
      <c r="H460" t="s">
        <v>183</v>
      </c>
      <c r="I460" t="s">
        <v>2666</v>
      </c>
      <c r="J460">
        <v>1</v>
      </c>
      <c r="K460">
        <v>625</v>
      </c>
    </row>
    <row r="461" spans="1:11" x14ac:dyDescent="0.2">
      <c r="A461" t="s">
        <v>4629</v>
      </c>
      <c r="B461">
        <v>190723</v>
      </c>
      <c r="C461" t="s">
        <v>922</v>
      </c>
      <c r="D461" t="s">
        <v>4653</v>
      </c>
      <c r="E461" t="s">
        <v>183</v>
      </c>
      <c r="F461" t="s">
        <v>283</v>
      </c>
      <c r="G461" t="s">
        <v>2701</v>
      </c>
      <c r="H461" t="s">
        <v>183</v>
      </c>
      <c r="I461" t="s">
        <v>2666</v>
      </c>
      <c r="J461">
        <v>1</v>
      </c>
      <c r="K461">
        <v>79</v>
      </c>
    </row>
    <row r="462" spans="1:11" x14ac:dyDescent="0.2">
      <c r="A462" t="s">
        <v>4629</v>
      </c>
      <c r="B462">
        <v>190925</v>
      </c>
      <c r="C462" t="s">
        <v>1209</v>
      </c>
      <c r="D462" t="s">
        <v>4718</v>
      </c>
      <c r="E462" t="s">
        <v>183</v>
      </c>
      <c r="F462" t="s">
        <v>283</v>
      </c>
      <c r="G462" t="s">
        <v>2701</v>
      </c>
      <c r="H462" t="s">
        <v>183</v>
      </c>
      <c r="I462" t="s">
        <v>2666</v>
      </c>
      <c r="J462">
        <v>1</v>
      </c>
      <c r="K462">
        <v>80</v>
      </c>
    </row>
    <row r="463" spans="1:11" x14ac:dyDescent="0.2">
      <c r="A463" t="s">
        <v>4629</v>
      </c>
      <c r="B463">
        <v>191722</v>
      </c>
      <c r="C463" t="s">
        <v>1072</v>
      </c>
      <c r="D463" t="s">
        <v>4675</v>
      </c>
      <c r="E463" t="s">
        <v>184</v>
      </c>
      <c r="F463" t="s">
        <v>184</v>
      </c>
      <c r="G463" t="s">
        <v>3626</v>
      </c>
      <c r="H463" t="s">
        <v>184</v>
      </c>
      <c r="I463" t="s">
        <v>2666</v>
      </c>
      <c r="J463">
        <v>1</v>
      </c>
      <c r="K463">
        <v>38</v>
      </c>
    </row>
    <row r="464" spans="1:11" x14ac:dyDescent="0.2">
      <c r="A464" t="s">
        <v>4629</v>
      </c>
      <c r="B464">
        <v>230405</v>
      </c>
      <c r="C464" t="s">
        <v>977</v>
      </c>
      <c r="D464" t="s">
        <v>4750</v>
      </c>
      <c r="E464" t="s">
        <v>184</v>
      </c>
      <c r="F464" t="s">
        <v>184</v>
      </c>
      <c r="G464" t="s">
        <v>2739</v>
      </c>
      <c r="H464" t="s">
        <v>184</v>
      </c>
      <c r="I464" t="s">
        <v>2666</v>
      </c>
      <c r="J464">
        <v>1</v>
      </c>
      <c r="K464">
        <v>471</v>
      </c>
    </row>
    <row r="465" spans="1:11" x14ac:dyDescent="0.2">
      <c r="A465" t="s">
        <v>4629</v>
      </c>
      <c r="B465">
        <v>230101</v>
      </c>
      <c r="C465" t="s">
        <v>1107</v>
      </c>
      <c r="D465" t="s">
        <v>4662</v>
      </c>
      <c r="E465" t="s">
        <v>184</v>
      </c>
      <c r="F465" t="s">
        <v>184</v>
      </c>
      <c r="G465" t="s">
        <v>2754</v>
      </c>
      <c r="H465" t="s">
        <v>184</v>
      </c>
      <c r="I465" t="s">
        <v>2666</v>
      </c>
      <c r="J465">
        <v>1</v>
      </c>
      <c r="K465">
        <v>220</v>
      </c>
    </row>
    <row r="466" spans="1:11" x14ac:dyDescent="0.2">
      <c r="A466" t="s">
        <v>4629</v>
      </c>
      <c r="B466">
        <v>231715</v>
      </c>
      <c r="C466" t="s">
        <v>1009</v>
      </c>
      <c r="D466" t="s">
        <v>4659</v>
      </c>
      <c r="E466" t="s">
        <v>184</v>
      </c>
      <c r="F466" t="s">
        <v>184</v>
      </c>
      <c r="G466" t="s">
        <v>4658</v>
      </c>
      <c r="H466" t="s">
        <v>184</v>
      </c>
      <c r="I466" t="s">
        <v>2666</v>
      </c>
      <c r="J466">
        <v>1</v>
      </c>
      <c r="K466">
        <v>791</v>
      </c>
    </row>
    <row r="467" spans="1:11" x14ac:dyDescent="0.2">
      <c r="A467" t="s">
        <v>4629</v>
      </c>
      <c r="B467">
        <v>230422</v>
      </c>
      <c r="C467" t="s">
        <v>2601</v>
      </c>
      <c r="D467" t="s">
        <v>4640</v>
      </c>
      <c r="E467" t="s">
        <v>184</v>
      </c>
      <c r="F467" t="s">
        <v>184</v>
      </c>
      <c r="G467" t="s">
        <v>2739</v>
      </c>
      <c r="H467" t="s">
        <v>184</v>
      </c>
      <c r="I467" t="s">
        <v>2666</v>
      </c>
      <c r="J467">
        <v>1</v>
      </c>
      <c r="K467">
        <v>362</v>
      </c>
    </row>
    <row r="468" spans="1:11" x14ac:dyDescent="0.2">
      <c r="A468" t="s">
        <v>4629</v>
      </c>
      <c r="B468">
        <v>191405</v>
      </c>
      <c r="C468" t="s">
        <v>2597</v>
      </c>
      <c r="D468" t="s">
        <v>4641</v>
      </c>
      <c r="E468" t="s">
        <v>183</v>
      </c>
      <c r="F468" t="s">
        <v>283</v>
      </c>
      <c r="G468" t="s">
        <v>2684</v>
      </c>
      <c r="H468" t="s">
        <v>183</v>
      </c>
      <c r="I468" t="s">
        <v>2666</v>
      </c>
      <c r="J468">
        <v>1</v>
      </c>
      <c r="K468">
        <v>617</v>
      </c>
    </row>
    <row r="469" spans="1:11" x14ac:dyDescent="0.2">
      <c r="A469" t="s">
        <v>4629</v>
      </c>
      <c r="B469">
        <v>191006</v>
      </c>
      <c r="C469" t="s">
        <v>931</v>
      </c>
      <c r="D469" t="s">
        <v>4690</v>
      </c>
      <c r="E469" t="s">
        <v>183</v>
      </c>
      <c r="F469" t="s">
        <v>283</v>
      </c>
      <c r="G469" t="s">
        <v>3852</v>
      </c>
      <c r="H469" t="s">
        <v>183</v>
      </c>
      <c r="I469" t="s">
        <v>2666</v>
      </c>
      <c r="J469">
        <v>1</v>
      </c>
      <c r="K469">
        <v>238</v>
      </c>
    </row>
    <row r="470" spans="1:11" x14ac:dyDescent="0.2">
      <c r="A470" t="s">
        <v>4629</v>
      </c>
      <c r="B470">
        <v>230103</v>
      </c>
      <c r="C470" t="s">
        <v>967</v>
      </c>
      <c r="D470" t="s">
        <v>4672</v>
      </c>
      <c r="E470" t="s">
        <v>184</v>
      </c>
      <c r="F470" t="s">
        <v>184</v>
      </c>
      <c r="G470" t="s">
        <v>2754</v>
      </c>
      <c r="H470" t="s">
        <v>184</v>
      </c>
      <c r="I470" t="s">
        <v>2666</v>
      </c>
      <c r="J470">
        <v>1</v>
      </c>
      <c r="K470">
        <v>192.5</v>
      </c>
    </row>
    <row r="471" spans="1:11" x14ac:dyDescent="0.2">
      <c r="A471" t="s">
        <v>4629</v>
      </c>
      <c r="B471">
        <v>230430</v>
      </c>
      <c r="C471" t="s">
        <v>984</v>
      </c>
      <c r="D471" t="s">
        <v>4647</v>
      </c>
      <c r="E471" t="s">
        <v>184</v>
      </c>
      <c r="F471" t="s">
        <v>184</v>
      </c>
      <c r="G471" t="s">
        <v>2739</v>
      </c>
      <c r="H471" t="s">
        <v>184</v>
      </c>
      <c r="I471" t="s">
        <v>2666</v>
      </c>
      <c r="J471">
        <v>1</v>
      </c>
      <c r="K471">
        <v>233</v>
      </c>
    </row>
    <row r="472" spans="1:11" x14ac:dyDescent="0.2">
      <c r="A472" t="s">
        <v>4629</v>
      </c>
      <c r="B472">
        <v>191009</v>
      </c>
      <c r="C472" t="s">
        <v>934</v>
      </c>
      <c r="D472" t="s">
        <v>4711</v>
      </c>
      <c r="E472" t="s">
        <v>183</v>
      </c>
      <c r="F472" t="s">
        <v>283</v>
      </c>
      <c r="G472" t="s">
        <v>3852</v>
      </c>
      <c r="H472" t="s">
        <v>183</v>
      </c>
      <c r="I472" t="s">
        <v>2666</v>
      </c>
      <c r="J472">
        <v>1</v>
      </c>
      <c r="K472">
        <v>1287.17</v>
      </c>
    </row>
    <row r="473" spans="1:11" x14ac:dyDescent="0.2">
      <c r="A473" t="s">
        <v>4629</v>
      </c>
      <c r="B473">
        <v>190219</v>
      </c>
      <c r="C473" t="s">
        <v>900</v>
      </c>
      <c r="D473" t="s">
        <v>4702</v>
      </c>
      <c r="E473" t="s">
        <v>183</v>
      </c>
      <c r="F473" t="s">
        <v>283</v>
      </c>
      <c r="G473" t="s">
        <v>3618</v>
      </c>
      <c r="H473" t="s">
        <v>183</v>
      </c>
      <c r="I473" t="s">
        <v>2666</v>
      </c>
      <c r="J473">
        <v>1</v>
      </c>
      <c r="K473">
        <v>206.33</v>
      </c>
    </row>
    <row r="474" spans="1:11" x14ac:dyDescent="0.2">
      <c r="A474" t="s">
        <v>4629</v>
      </c>
      <c r="B474">
        <v>230421</v>
      </c>
      <c r="C474" t="s">
        <v>980</v>
      </c>
      <c r="D474" t="s">
        <v>4673</v>
      </c>
      <c r="E474" t="s">
        <v>184</v>
      </c>
      <c r="F474" t="s">
        <v>184</v>
      </c>
      <c r="G474" t="s">
        <v>2739</v>
      </c>
      <c r="H474" t="s">
        <v>184</v>
      </c>
      <c r="I474" t="s">
        <v>2666</v>
      </c>
      <c r="J474">
        <v>1</v>
      </c>
      <c r="K474">
        <v>76</v>
      </c>
    </row>
    <row r="475" spans="1:11" x14ac:dyDescent="0.2">
      <c r="A475" t="s">
        <v>4629</v>
      </c>
      <c r="B475">
        <v>191407</v>
      </c>
      <c r="C475" t="s">
        <v>941</v>
      </c>
      <c r="D475" t="s">
        <v>4700</v>
      </c>
      <c r="E475" t="s">
        <v>183</v>
      </c>
      <c r="F475" t="s">
        <v>283</v>
      </c>
      <c r="G475" t="s">
        <v>2684</v>
      </c>
      <c r="H475" t="s">
        <v>183</v>
      </c>
      <c r="I475" t="s">
        <v>2666</v>
      </c>
      <c r="J475">
        <v>1</v>
      </c>
      <c r="K475">
        <v>727.17</v>
      </c>
    </row>
    <row r="476" spans="1:11" x14ac:dyDescent="0.2">
      <c r="A476" t="s">
        <v>4629</v>
      </c>
      <c r="B476">
        <v>191523</v>
      </c>
      <c r="C476" t="s">
        <v>2599</v>
      </c>
      <c r="D476" t="s">
        <v>4663</v>
      </c>
      <c r="E476" t="s">
        <v>2634</v>
      </c>
      <c r="F476" t="s">
        <v>184</v>
      </c>
      <c r="G476" t="s">
        <v>2918</v>
      </c>
      <c r="H476" t="s">
        <v>2634</v>
      </c>
      <c r="I476" t="s">
        <v>2666</v>
      </c>
      <c r="J476">
        <v>1</v>
      </c>
      <c r="K476">
        <v>160</v>
      </c>
    </row>
    <row r="477" spans="1:11" x14ac:dyDescent="0.2">
      <c r="A477" t="s">
        <v>4629</v>
      </c>
      <c r="B477">
        <v>231703</v>
      </c>
      <c r="C477" t="s">
        <v>1004</v>
      </c>
      <c r="D477" t="s">
        <v>4633</v>
      </c>
      <c r="E477" t="s">
        <v>184</v>
      </c>
      <c r="F477" t="s">
        <v>184</v>
      </c>
      <c r="G477" t="s">
        <v>2750</v>
      </c>
      <c r="H477" t="s">
        <v>184</v>
      </c>
      <c r="I477" t="s">
        <v>2666</v>
      </c>
      <c r="J477">
        <v>1</v>
      </c>
      <c r="K477">
        <v>395</v>
      </c>
    </row>
    <row r="478" spans="1:11" x14ac:dyDescent="0.2">
      <c r="A478" t="s">
        <v>4629</v>
      </c>
      <c r="B478">
        <v>231607</v>
      </c>
      <c r="C478" t="s">
        <v>4753</v>
      </c>
      <c r="D478" t="s">
        <v>4752</v>
      </c>
      <c r="E478" t="s">
        <v>2634</v>
      </c>
      <c r="F478" t="s">
        <v>184</v>
      </c>
      <c r="G478" t="s">
        <v>4658</v>
      </c>
      <c r="H478" t="s">
        <v>2634</v>
      </c>
      <c r="I478" t="s">
        <v>2666</v>
      </c>
      <c r="J478">
        <v>1</v>
      </c>
      <c r="K478">
        <v>9761.73</v>
      </c>
    </row>
    <row r="479" spans="1:11" x14ac:dyDescent="0.2">
      <c r="A479" t="s">
        <v>4629</v>
      </c>
      <c r="B479">
        <v>230111</v>
      </c>
      <c r="C479" t="s">
        <v>1214</v>
      </c>
      <c r="D479" t="s">
        <v>4714</v>
      </c>
      <c r="E479" t="s">
        <v>184</v>
      </c>
      <c r="F479" t="s">
        <v>184</v>
      </c>
      <c r="G479" t="s">
        <v>2754</v>
      </c>
      <c r="H479" t="s">
        <v>184</v>
      </c>
      <c r="I479" t="s">
        <v>2666</v>
      </c>
      <c r="J479">
        <v>1</v>
      </c>
      <c r="K479">
        <v>28</v>
      </c>
    </row>
    <row r="480" spans="1:11" x14ac:dyDescent="0.2">
      <c r="A480" t="s">
        <v>4629</v>
      </c>
      <c r="B480">
        <v>190104</v>
      </c>
      <c r="C480" t="s">
        <v>894</v>
      </c>
      <c r="D480" t="s">
        <v>4635</v>
      </c>
      <c r="E480" t="s">
        <v>183</v>
      </c>
      <c r="F480" t="s">
        <v>283</v>
      </c>
      <c r="G480" t="s">
        <v>3618</v>
      </c>
      <c r="H480" t="s">
        <v>183</v>
      </c>
      <c r="I480" t="s">
        <v>2666</v>
      </c>
      <c r="J480">
        <v>1</v>
      </c>
      <c r="K480">
        <v>89</v>
      </c>
    </row>
    <row r="481" spans="1:11" x14ac:dyDescent="0.2">
      <c r="A481" t="s">
        <v>4629</v>
      </c>
      <c r="B481">
        <v>190707</v>
      </c>
      <c r="C481" t="s">
        <v>918</v>
      </c>
      <c r="D481" t="s">
        <v>4638</v>
      </c>
      <c r="E481" t="s">
        <v>183</v>
      </c>
      <c r="F481" t="s">
        <v>283</v>
      </c>
      <c r="G481" t="s">
        <v>2701</v>
      </c>
      <c r="H481" t="s">
        <v>183</v>
      </c>
      <c r="I481" t="s">
        <v>2666</v>
      </c>
      <c r="J481">
        <v>1</v>
      </c>
      <c r="K481">
        <v>369</v>
      </c>
    </row>
    <row r="482" spans="1:11" x14ac:dyDescent="0.2">
      <c r="A482" t="s">
        <v>4629</v>
      </c>
      <c r="B482">
        <v>230401</v>
      </c>
      <c r="C482" t="s">
        <v>2261</v>
      </c>
      <c r="D482" t="s">
        <v>4648</v>
      </c>
      <c r="E482" t="s">
        <v>184</v>
      </c>
      <c r="F482" t="s">
        <v>184</v>
      </c>
      <c r="G482" t="s">
        <v>2739</v>
      </c>
      <c r="H482" t="s">
        <v>184</v>
      </c>
      <c r="I482" t="s">
        <v>2616</v>
      </c>
      <c r="J482">
        <v>1</v>
      </c>
      <c r="K482">
        <v>1520</v>
      </c>
    </row>
    <row r="483" spans="1:11" x14ac:dyDescent="0.2">
      <c r="A483" t="s">
        <v>4629</v>
      </c>
      <c r="B483">
        <v>190923</v>
      </c>
      <c r="C483" t="s">
        <v>930</v>
      </c>
      <c r="D483" t="s">
        <v>4744</v>
      </c>
      <c r="E483" t="s">
        <v>183</v>
      </c>
      <c r="F483" t="s">
        <v>283</v>
      </c>
      <c r="G483" t="s">
        <v>2777</v>
      </c>
      <c r="H483" t="s">
        <v>183</v>
      </c>
      <c r="I483" t="s">
        <v>2666</v>
      </c>
      <c r="J483">
        <v>1</v>
      </c>
      <c r="K483">
        <v>922</v>
      </c>
    </row>
    <row r="484" spans="1:11" x14ac:dyDescent="0.2">
      <c r="A484" t="s">
        <v>4629</v>
      </c>
      <c r="B484">
        <v>190606</v>
      </c>
      <c r="C484" t="s">
        <v>1331</v>
      </c>
      <c r="D484" t="s">
        <v>4698</v>
      </c>
      <c r="E484" t="s">
        <v>183</v>
      </c>
      <c r="F484" t="s">
        <v>283</v>
      </c>
      <c r="G484" t="s">
        <v>2724</v>
      </c>
      <c r="H484" t="s">
        <v>183</v>
      </c>
      <c r="I484" t="s">
        <v>2666</v>
      </c>
      <c r="J484">
        <v>1</v>
      </c>
      <c r="K484">
        <v>241</v>
      </c>
    </row>
    <row r="485" spans="1:11" x14ac:dyDescent="0.2">
      <c r="A485" t="s">
        <v>4629</v>
      </c>
      <c r="B485">
        <v>231711</v>
      </c>
      <c r="C485" t="s">
        <v>1006</v>
      </c>
      <c r="D485" t="s">
        <v>4683</v>
      </c>
      <c r="E485" t="s">
        <v>184</v>
      </c>
      <c r="F485" t="s">
        <v>184</v>
      </c>
      <c r="G485" t="s">
        <v>2750</v>
      </c>
      <c r="H485" t="s">
        <v>184</v>
      </c>
      <c r="I485" t="s">
        <v>2666</v>
      </c>
      <c r="J485">
        <v>1</v>
      </c>
      <c r="K485">
        <v>111</v>
      </c>
    </row>
    <row r="486" spans="1:11" x14ac:dyDescent="0.2">
      <c r="A486" t="s">
        <v>4629</v>
      </c>
      <c r="B486">
        <v>190312</v>
      </c>
      <c r="C486" t="s">
        <v>1330</v>
      </c>
      <c r="D486" t="s">
        <v>4705</v>
      </c>
      <c r="E486" t="s">
        <v>183</v>
      </c>
      <c r="F486" t="s">
        <v>283</v>
      </c>
      <c r="G486" t="s">
        <v>2837</v>
      </c>
      <c r="H486" t="s">
        <v>183</v>
      </c>
      <c r="I486" t="s">
        <v>2666</v>
      </c>
      <c r="J486">
        <v>1</v>
      </c>
      <c r="K486">
        <v>507</v>
      </c>
    </row>
    <row r="487" spans="1:11" x14ac:dyDescent="0.2">
      <c r="A487" t="s">
        <v>4629</v>
      </c>
      <c r="B487">
        <v>191521</v>
      </c>
      <c r="C487" t="s">
        <v>946</v>
      </c>
      <c r="D487" t="s">
        <v>4645</v>
      </c>
      <c r="E487" t="s">
        <v>184</v>
      </c>
      <c r="F487" t="s">
        <v>184</v>
      </c>
      <c r="G487" t="s">
        <v>2918</v>
      </c>
      <c r="H487" t="s">
        <v>184</v>
      </c>
      <c r="I487" t="s">
        <v>2666</v>
      </c>
      <c r="J487">
        <v>1</v>
      </c>
      <c r="K487">
        <v>269</v>
      </c>
    </row>
    <row r="488" spans="1:11" x14ac:dyDescent="0.2">
      <c r="A488" t="s">
        <v>4629</v>
      </c>
      <c r="B488">
        <v>191609</v>
      </c>
      <c r="C488" t="s">
        <v>950</v>
      </c>
      <c r="D488" t="s">
        <v>4749</v>
      </c>
      <c r="E488" t="s">
        <v>183</v>
      </c>
      <c r="F488" t="s">
        <v>283</v>
      </c>
      <c r="G488" t="s">
        <v>3620</v>
      </c>
      <c r="H488" t="s">
        <v>183</v>
      </c>
      <c r="I488" t="s">
        <v>2666</v>
      </c>
      <c r="J488">
        <v>1</v>
      </c>
      <c r="K488">
        <v>47</v>
      </c>
    </row>
    <row r="489" spans="1:11" x14ac:dyDescent="0.2">
      <c r="A489" t="s">
        <v>4629</v>
      </c>
      <c r="B489">
        <v>191008</v>
      </c>
      <c r="C489" t="s">
        <v>933</v>
      </c>
      <c r="D489" t="s">
        <v>4694</v>
      </c>
      <c r="E489" t="s">
        <v>183</v>
      </c>
      <c r="F489" t="s">
        <v>283</v>
      </c>
      <c r="G489" t="s">
        <v>3852</v>
      </c>
      <c r="H489" t="s">
        <v>183</v>
      </c>
      <c r="I489" t="s">
        <v>2666</v>
      </c>
      <c r="J489">
        <v>1</v>
      </c>
      <c r="K489">
        <v>199</v>
      </c>
    </row>
    <row r="490" spans="1:11" x14ac:dyDescent="0.2">
      <c r="A490" t="s">
        <v>4629</v>
      </c>
      <c r="B490">
        <v>191505</v>
      </c>
      <c r="C490" t="s">
        <v>944</v>
      </c>
      <c r="D490" t="s">
        <v>4745</v>
      </c>
      <c r="E490" t="s">
        <v>183</v>
      </c>
      <c r="F490" t="s">
        <v>283</v>
      </c>
      <c r="G490" t="s">
        <v>3852</v>
      </c>
      <c r="H490" t="s">
        <v>183</v>
      </c>
      <c r="I490" t="s">
        <v>2666</v>
      </c>
      <c r="J490">
        <v>1</v>
      </c>
      <c r="K490">
        <v>582.16999999999996</v>
      </c>
    </row>
    <row r="491" spans="1:11" x14ac:dyDescent="0.2">
      <c r="A491" t="s">
        <v>4629</v>
      </c>
      <c r="B491">
        <v>190706</v>
      </c>
      <c r="C491" t="s">
        <v>917</v>
      </c>
      <c r="D491" t="s">
        <v>4679</v>
      </c>
      <c r="E491" t="s">
        <v>183</v>
      </c>
      <c r="F491" t="s">
        <v>283</v>
      </c>
      <c r="G491" t="s">
        <v>2701</v>
      </c>
      <c r="H491" t="s">
        <v>183</v>
      </c>
      <c r="I491" t="s">
        <v>2666</v>
      </c>
      <c r="J491">
        <v>1</v>
      </c>
      <c r="K491">
        <v>565</v>
      </c>
    </row>
    <row r="492" spans="1:11" x14ac:dyDescent="0.2">
      <c r="A492" t="s">
        <v>4629</v>
      </c>
      <c r="B492">
        <v>230432</v>
      </c>
      <c r="C492" t="s">
        <v>1285</v>
      </c>
      <c r="D492" t="s">
        <v>4670</v>
      </c>
      <c r="E492" t="s">
        <v>184</v>
      </c>
      <c r="F492" t="s">
        <v>184</v>
      </c>
      <c r="G492" t="s">
        <v>2739</v>
      </c>
      <c r="H492" t="s">
        <v>184</v>
      </c>
      <c r="I492" t="s">
        <v>2666</v>
      </c>
      <c r="J492">
        <v>1</v>
      </c>
      <c r="K492">
        <v>185</v>
      </c>
    </row>
    <row r="493" spans="1:11" x14ac:dyDescent="0.2">
      <c r="A493" t="s">
        <v>4629</v>
      </c>
      <c r="B493">
        <v>191003</v>
      </c>
      <c r="C493" t="s">
        <v>2231</v>
      </c>
      <c r="D493" t="s">
        <v>4636</v>
      </c>
      <c r="E493" t="s">
        <v>183</v>
      </c>
      <c r="F493" t="s">
        <v>283</v>
      </c>
      <c r="G493" t="s">
        <v>3852</v>
      </c>
      <c r="H493" t="s">
        <v>183</v>
      </c>
      <c r="I493" t="s">
        <v>2616</v>
      </c>
      <c r="J493">
        <v>1</v>
      </c>
      <c r="K493">
        <v>6269</v>
      </c>
    </row>
    <row r="494" spans="1:11" x14ac:dyDescent="0.2">
      <c r="A494" t="s">
        <v>4629</v>
      </c>
      <c r="B494">
        <v>190615</v>
      </c>
      <c r="C494" t="s">
        <v>1208</v>
      </c>
      <c r="D494" t="s">
        <v>4699</v>
      </c>
      <c r="E494" t="s">
        <v>183</v>
      </c>
      <c r="F494" t="s">
        <v>283</v>
      </c>
      <c r="G494" t="s">
        <v>2724</v>
      </c>
      <c r="H494" t="s">
        <v>183</v>
      </c>
      <c r="I494" t="s">
        <v>2666</v>
      </c>
      <c r="J494">
        <v>1</v>
      </c>
      <c r="K494">
        <v>149</v>
      </c>
    </row>
    <row r="495" spans="1:11" x14ac:dyDescent="0.2">
      <c r="A495" t="s">
        <v>4629</v>
      </c>
      <c r="B495">
        <v>190108</v>
      </c>
      <c r="C495" t="s">
        <v>895</v>
      </c>
      <c r="D495" t="s">
        <v>4716</v>
      </c>
      <c r="E495" t="s">
        <v>183</v>
      </c>
      <c r="F495" t="s">
        <v>283</v>
      </c>
      <c r="G495" t="s">
        <v>3618</v>
      </c>
      <c r="H495" t="s">
        <v>183</v>
      </c>
      <c r="I495" t="s">
        <v>2666</v>
      </c>
      <c r="J495">
        <v>1</v>
      </c>
      <c r="K495">
        <v>388.67</v>
      </c>
    </row>
    <row r="496" spans="1:11" x14ac:dyDescent="0.2">
      <c r="A496" t="s">
        <v>4629</v>
      </c>
      <c r="B496">
        <v>230406</v>
      </c>
      <c r="C496" t="s">
        <v>1216</v>
      </c>
      <c r="D496" t="s">
        <v>4649</v>
      </c>
      <c r="E496" t="s">
        <v>184</v>
      </c>
      <c r="F496" t="s">
        <v>184</v>
      </c>
      <c r="G496" t="s">
        <v>3821</v>
      </c>
      <c r="H496" t="s">
        <v>184</v>
      </c>
      <c r="I496" t="s">
        <v>2666</v>
      </c>
      <c r="J496">
        <v>1</v>
      </c>
      <c r="K496">
        <v>34</v>
      </c>
    </row>
    <row r="497" spans="1:11" x14ac:dyDescent="0.2">
      <c r="A497" t="s">
        <v>4629</v>
      </c>
      <c r="B497">
        <v>191305</v>
      </c>
      <c r="C497" t="s">
        <v>939</v>
      </c>
      <c r="D497" t="s">
        <v>4678</v>
      </c>
      <c r="E497" t="s">
        <v>2634</v>
      </c>
      <c r="F497" t="s">
        <v>184</v>
      </c>
      <c r="G497" t="s">
        <v>2918</v>
      </c>
      <c r="H497" t="s">
        <v>2634</v>
      </c>
      <c r="I497" t="s">
        <v>2666</v>
      </c>
      <c r="J497">
        <v>1</v>
      </c>
      <c r="K497">
        <v>123</v>
      </c>
    </row>
    <row r="498" spans="1:11" x14ac:dyDescent="0.2">
      <c r="A498" t="s">
        <v>4629</v>
      </c>
      <c r="B498">
        <v>190214</v>
      </c>
      <c r="C498" t="s">
        <v>2591</v>
      </c>
      <c r="D498" t="s">
        <v>4710</v>
      </c>
      <c r="E498" t="s">
        <v>183</v>
      </c>
      <c r="F498" t="s">
        <v>283</v>
      </c>
      <c r="G498" t="s">
        <v>2837</v>
      </c>
      <c r="H498" t="s">
        <v>183</v>
      </c>
      <c r="I498" t="s">
        <v>2666</v>
      </c>
      <c r="J498">
        <v>1</v>
      </c>
      <c r="K498">
        <v>1917.17</v>
      </c>
    </row>
    <row r="499" spans="1:11" x14ac:dyDescent="0.2">
      <c r="A499" t="s">
        <v>4629</v>
      </c>
      <c r="B499">
        <v>190102</v>
      </c>
      <c r="C499" t="s">
        <v>1205</v>
      </c>
      <c r="D499" t="s">
        <v>4720</v>
      </c>
      <c r="E499" t="s">
        <v>183</v>
      </c>
      <c r="F499" t="s">
        <v>283</v>
      </c>
      <c r="G499" t="s">
        <v>3618</v>
      </c>
      <c r="H499" t="s">
        <v>183</v>
      </c>
      <c r="I499" t="s">
        <v>2666</v>
      </c>
      <c r="J499">
        <v>1</v>
      </c>
      <c r="K499">
        <v>232</v>
      </c>
    </row>
    <row r="500" spans="1:11" x14ac:dyDescent="0.2">
      <c r="A500" t="s">
        <v>4629</v>
      </c>
      <c r="B500">
        <v>191004</v>
      </c>
      <c r="C500" t="s">
        <v>1304</v>
      </c>
      <c r="D500" t="s">
        <v>4729</v>
      </c>
      <c r="E500" t="s">
        <v>183</v>
      </c>
      <c r="F500" t="s">
        <v>283</v>
      </c>
      <c r="G500" t="s">
        <v>4728</v>
      </c>
      <c r="H500" t="s">
        <v>183</v>
      </c>
      <c r="I500" t="s">
        <v>2666</v>
      </c>
      <c r="J500">
        <v>1</v>
      </c>
      <c r="K500">
        <v>1012</v>
      </c>
    </row>
    <row r="501" spans="1:11" x14ac:dyDescent="0.2">
      <c r="A501" t="s">
        <v>4629</v>
      </c>
      <c r="B501">
        <v>191510</v>
      </c>
      <c r="C501" t="s">
        <v>945</v>
      </c>
      <c r="D501" t="s">
        <v>4654</v>
      </c>
      <c r="E501" t="s">
        <v>184</v>
      </c>
      <c r="F501" t="s">
        <v>184</v>
      </c>
      <c r="G501" t="s">
        <v>2918</v>
      </c>
      <c r="H501" t="s">
        <v>184</v>
      </c>
      <c r="I501" t="s">
        <v>2666</v>
      </c>
      <c r="J501">
        <v>1</v>
      </c>
      <c r="K501">
        <v>306</v>
      </c>
    </row>
    <row r="502" spans="1:11" x14ac:dyDescent="0.2">
      <c r="A502" t="s">
        <v>4629</v>
      </c>
      <c r="B502">
        <v>190709</v>
      </c>
      <c r="C502" t="s">
        <v>919</v>
      </c>
      <c r="D502" t="s">
        <v>4730</v>
      </c>
      <c r="E502" t="s">
        <v>183</v>
      </c>
      <c r="F502" t="s">
        <v>283</v>
      </c>
      <c r="G502" t="s">
        <v>2701</v>
      </c>
      <c r="H502" t="s">
        <v>183</v>
      </c>
      <c r="I502" t="s">
        <v>2666</v>
      </c>
      <c r="J502">
        <v>1</v>
      </c>
      <c r="K502">
        <v>490.17</v>
      </c>
    </row>
    <row r="503" spans="1:11" x14ac:dyDescent="0.2">
      <c r="A503" t="s">
        <v>4629</v>
      </c>
      <c r="B503">
        <v>190903</v>
      </c>
      <c r="C503" t="s">
        <v>925</v>
      </c>
      <c r="D503" t="s">
        <v>4695</v>
      </c>
      <c r="E503" t="s">
        <v>183</v>
      </c>
      <c r="F503" t="s">
        <v>283</v>
      </c>
      <c r="G503" t="s">
        <v>2777</v>
      </c>
      <c r="H503" t="s">
        <v>183</v>
      </c>
      <c r="I503" t="s">
        <v>2666</v>
      </c>
      <c r="J503">
        <v>1</v>
      </c>
      <c r="K503">
        <v>240</v>
      </c>
    </row>
    <row r="504" spans="1:11" x14ac:dyDescent="0.2">
      <c r="A504" t="s">
        <v>4629</v>
      </c>
      <c r="B504">
        <v>230113</v>
      </c>
      <c r="C504" t="s">
        <v>969</v>
      </c>
      <c r="D504" t="s">
        <v>4691</v>
      </c>
      <c r="E504" t="s">
        <v>2634</v>
      </c>
      <c r="F504" t="s">
        <v>184</v>
      </c>
      <c r="G504" t="s">
        <v>2754</v>
      </c>
      <c r="H504" t="s">
        <v>2634</v>
      </c>
      <c r="I504" t="s">
        <v>2666</v>
      </c>
      <c r="J504">
        <v>1</v>
      </c>
      <c r="K504">
        <v>158</v>
      </c>
    </row>
    <row r="505" spans="1:11" x14ac:dyDescent="0.2">
      <c r="A505" t="s">
        <v>4629</v>
      </c>
      <c r="B505">
        <v>191808</v>
      </c>
      <c r="C505" t="s">
        <v>958</v>
      </c>
      <c r="D505" t="s">
        <v>4689</v>
      </c>
      <c r="E505" t="s">
        <v>183</v>
      </c>
      <c r="F505" t="s">
        <v>283</v>
      </c>
      <c r="G505" t="s">
        <v>2829</v>
      </c>
      <c r="H505" t="s">
        <v>183</v>
      </c>
      <c r="I505" t="s">
        <v>2666</v>
      </c>
      <c r="J505">
        <v>1</v>
      </c>
      <c r="K505">
        <v>261</v>
      </c>
    </row>
    <row r="506" spans="1:11" x14ac:dyDescent="0.2">
      <c r="A506" t="s">
        <v>4629</v>
      </c>
      <c r="B506">
        <v>231609</v>
      </c>
      <c r="C506" t="s">
        <v>1113</v>
      </c>
      <c r="D506" t="s">
        <v>4725</v>
      </c>
      <c r="E506" t="s">
        <v>184</v>
      </c>
      <c r="F506" t="s">
        <v>184</v>
      </c>
      <c r="G506" t="s">
        <v>4668</v>
      </c>
      <c r="H506" t="s">
        <v>184</v>
      </c>
      <c r="I506" t="s">
        <v>2616</v>
      </c>
      <c r="J506">
        <v>1</v>
      </c>
      <c r="K506">
        <v>20</v>
      </c>
    </row>
    <row r="507" spans="1:11" x14ac:dyDescent="0.2">
      <c r="A507" t="s">
        <v>4629</v>
      </c>
      <c r="B507">
        <v>231718</v>
      </c>
      <c r="C507" t="s">
        <v>1346</v>
      </c>
      <c r="D507" t="s">
        <v>4634</v>
      </c>
      <c r="E507" t="s">
        <v>184</v>
      </c>
      <c r="F507" t="s">
        <v>184</v>
      </c>
      <c r="G507" t="s">
        <v>2750</v>
      </c>
      <c r="H507" t="s">
        <v>184</v>
      </c>
      <c r="I507" t="s">
        <v>2666</v>
      </c>
      <c r="J507">
        <v>1</v>
      </c>
      <c r="K507">
        <v>253</v>
      </c>
    </row>
    <row r="508" spans="1:11" x14ac:dyDescent="0.2">
      <c r="A508" t="s">
        <v>4629</v>
      </c>
      <c r="B508">
        <v>190203</v>
      </c>
      <c r="C508" t="s">
        <v>2475</v>
      </c>
      <c r="D508" t="s">
        <v>4644</v>
      </c>
      <c r="E508" t="s">
        <v>183</v>
      </c>
      <c r="F508" t="s">
        <v>283</v>
      </c>
      <c r="G508" t="s">
        <v>2837</v>
      </c>
      <c r="H508" t="s">
        <v>183</v>
      </c>
      <c r="I508" t="s">
        <v>2666</v>
      </c>
      <c r="J508">
        <v>1</v>
      </c>
      <c r="K508">
        <v>484</v>
      </c>
    </row>
    <row r="509" spans="1:11" x14ac:dyDescent="0.2">
      <c r="A509" t="s">
        <v>4629</v>
      </c>
      <c r="B509">
        <v>191718</v>
      </c>
      <c r="C509" t="s">
        <v>955</v>
      </c>
      <c r="D509" t="s">
        <v>4741</v>
      </c>
      <c r="E509" t="s">
        <v>184</v>
      </c>
      <c r="F509" t="s">
        <v>184</v>
      </c>
      <c r="G509" t="s">
        <v>3626</v>
      </c>
      <c r="H509" t="s">
        <v>184</v>
      </c>
      <c r="I509" t="s">
        <v>2666</v>
      </c>
      <c r="J509">
        <v>1</v>
      </c>
      <c r="K509">
        <v>84</v>
      </c>
    </row>
    <row r="510" spans="1:11" x14ac:dyDescent="0.2">
      <c r="A510" t="s">
        <v>4629</v>
      </c>
      <c r="B510">
        <v>230426</v>
      </c>
      <c r="C510" t="s">
        <v>1109</v>
      </c>
      <c r="D510" t="s">
        <v>4743</v>
      </c>
      <c r="E510" t="s">
        <v>184</v>
      </c>
      <c r="F510" t="s">
        <v>184</v>
      </c>
      <c r="G510" t="s">
        <v>2739</v>
      </c>
      <c r="H510" t="s">
        <v>184</v>
      </c>
      <c r="I510" t="s">
        <v>2666</v>
      </c>
      <c r="J510">
        <v>1</v>
      </c>
      <c r="K510">
        <v>165</v>
      </c>
    </row>
    <row r="511" spans="1:11" x14ac:dyDescent="0.2">
      <c r="A511" t="s">
        <v>4629</v>
      </c>
      <c r="B511">
        <v>230402</v>
      </c>
      <c r="C511" t="s">
        <v>976</v>
      </c>
      <c r="D511" t="s">
        <v>4666</v>
      </c>
      <c r="E511" t="s">
        <v>184</v>
      </c>
      <c r="F511" t="s">
        <v>184</v>
      </c>
      <c r="G511" t="s">
        <v>2739</v>
      </c>
      <c r="H511" t="s">
        <v>184</v>
      </c>
      <c r="I511" t="s">
        <v>2666</v>
      </c>
      <c r="J511">
        <v>1</v>
      </c>
      <c r="K511">
        <v>81</v>
      </c>
    </row>
    <row r="512" spans="1:11" x14ac:dyDescent="0.2">
      <c r="A512" t="s">
        <v>4629</v>
      </c>
      <c r="B512">
        <v>230122</v>
      </c>
      <c r="C512" t="s">
        <v>972</v>
      </c>
      <c r="D512" t="s">
        <v>4727</v>
      </c>
      <c r="E512" t="s">
        <v>184</v>
      </c>
      <c r="F512" t="s">
        <v>184</v>
      </c>
      <c r="G512" t="s">
        <v>2754</v>
      </c>
      <c r="H512" t="s">
        <v>184</v>
      </c>
      <c r="I512" t="s">
        <v>2666</v>
      </c>
      <c r="J512">
        <v>1</v>
      </c>
      <c r="K512">
        <v>242.17</v>
      </c>
    </row>
    <row r="513" spans="1:11" x14ac:dyDescent="0.2">
      <c r="A513" t="s">
        <v>4629</v>
      </c>
      <c r="B513">
        <v>230306</v>
      </c>
      <c r="C513" t="s">
        <v>975</v>
      </c>
      <c r="D513" t="s">
        <v>4709</v>
      </c>
      <c r="E513" t="s">
        <v>184</v>
      </c>
      <c r="F513" t="s">
        <v>184</v>
      </c>
      <c r="G513" t="s">
        <v>2739</v>
      </c>
      <c r="H513" t="s">
        <v>184</v>
      </c>
      <c r="I513" t="s">
        <v>2666</v>
      </c>
      <c r="J513">
        <v>1</v>
      </c>
      <c r="K513">
        <v>179</v>
      </c>
    </row>
    <row r="514" spans="1:11" x14ac:dyDescent="0.2">
      <c r="A514" t="s">
        <v>4629</v>
      </c>
      <c r="B514">
        <v>231806</v>
      </c>
      <c r="C514" t="s">
        <v>1221</v>
      </c>
      <c r="D514" t="s">
        <v>4740</v>
      </c>
      <c r="E514" t="s">
        <v>184</v>
      </c>
      <c r="F514" t="s">
        <v>184</v>
      </c>
      <c r="G514" t="s">
        <v>4739</v>
      </c>
      <c r="H514" t="s">
        <v>184</v>
      </c>
      <c r="I514" t="s">
        <v>2666</v>
      </c>
      <c r="J514">
        <v>1</v>
      </c>
      <c r="K514">
        <v>85</v>
      </c>
    </row>
    <row r="515" spans="1:11" x14ac:dyDescent="0.2">
      <c r="A515" t="s">
        <v>4629</v>
      </c>
      <c r="B515">
        <v>190205</v>
      </c>
      <c r="C515" t="s">
        <v>897</v>
      </c>
      <c r="D515" t="s">
        <v>4751</v>
      </c>
      <c r="E515" t="s">
        <v>183</v>
      </c>
      <c r="F515" t="s">
        <v>283</v>
      </c>
      <c r="G515" t="s">
        <v>2837</v>
      </c>
      <c r="H515" t="s">
        <v>183</v>
      </c>
      <c r="I515" t="s">
        <v>2666</v>
      </c>
      <c r="J515">
        <v>1</v>
      </c>
      <c r="K515">
        <v>334</v>
      </c>
    </row>
    <row r="516" spans="1:11" x14ac:dyDescent="0.2">
      <c r="A516" t="s">
        <v>4629</v>
      </c>
      <c r="B516">
        <v>191104</v>
      </c>
      <c r="C516" t="s">
        <v>935</v>
      </c>
      <c r="D516" t="s">
        <v>4735</v>
      </c>
      <c r="E516" t="s">
        <v>183</v>
      </c>
      <c r="F516" t="s">
        <v>283</v>
      </c>
      <c r="G516" t="s">
        <v>3852</v>
      </c>
      <c r="H516" t="s">
        <v>183</v>
      </c>
      <c r="I516" t="s">
        <v>2666</v>
      </c>
      <c r="J516">
        <v>1</v>
      </c>
      <c r="K516">
        <v>155</v>
      </c>
    </row>
    <row r="517" spans="1:11" x14ac:dyDescent="0.2">
      <c r="A517" t="s">
        <v>4629</v>
      </c>
      <c r="B517">
        <v>190217</v>
      </c>
      <c r="C517" t="s">
        <v>899</v>
      </c>
      <c r="D517" t="s">
        <v>4661</v>
      </c>
      <c r="E517" t="s">
        <v>183</v>
      </c>
      <c r="F517" t="s">
        <v>283</v>
      </c>
      <c r="G517" t="s">
        <v>2837</v>
      </c>
      <c r="H517" t="s">
        <v>183</v>
      </c>
      <c r="I517" t="s">
        <v>2666</v>
      </c>
      <c r="J517">
        <v>1</v>
      </c>
      <c r="K517">
        <v>73</v>
      </c>
    </row>
    <row r="518" spans="1:11" x14ac:dyDescent="0.2">
      <c r="A518" t="s">
        <v>4629</v>
      </c>
      <c r="B518">
        <v>231601</v>
      </c>
      <c r="C518" t="s">
        <v>1345</v>
      </c>
      <c r="D518" t="s">
        <v>4669</v>
      </c>
      <c r="E518" t="s">
        <v>184</v>
      </c>
      <c r="F518" t="s">
        <v>184</v>
      </c>
      <c r="G518" t="s">
        <v>4668</v>
      </c>
      <c r="H518" t="s">
        <v>184</v>
      </c>
      <c r="I518" t="s">
        <v>2666</v>
      </c>
      <c r="J518">
        <v>1</v>
      </c>
      <c r="K518">
        <v>542</v>
      </c>
    </row>
    <row r="519" spans="1:11" x14ac:dyDescent="0.2">
      <c r="A519" t="s">
        <v>4629</v>
      </c>
      <c r="B519">
        <v>191504</v>
      </c>
      <c r="C519" t="s">
        <v>943</v>
      </c>
      <c r="D519" t="s">
        <v>4737</v>
      </c>
      <c r="E519" t="s">
        <v>183</v>
      </c>
      <c r="F519" t="s">
        <v>283</v>
      </c>
      <c r="G519" t="s">
        <v>3852</v>
      </c>
      <c r="H519" t="s">
        <v>183</v>
      </c>
      <c r="I519" t="s">
        <v>2666</v>
      </c>
      <c r="J519">
        <v>1</v>
      </c>
      <c r="K519">
        <v>469</v>
      </c>
    </row>
    <row r="520" spans="1:11" x14ac:dyDescent="0.2">
      <c r="A520" t="s">
        <v>4629</v>
      </c>
      <c r="B520">
        <v>191818</v>
      </c>
      <c r="C520" t="s">
        <v>1387</v>
      </c>
      <c r="D520" t="s">
        <v>4697</v>
      </c>
      <c r="E520" t="s">
        <v>183</v>
      </c>
      <c r="F520" t="s">
        <v>283</v>
      </c>
      <c r="G520" t="s">
        <v>2829</v>
      </c>
      <c r="H520" t="s">
        <v>183</v>
      </c>
      <c r="I520" t="s">
        <v>2666</v>
      </c>
      <c r="J520">
        <v>1</v>
      </c>
      <c r="K520">
        <v>134</v>
      </c>
    </row>
    <row r="521" spans="1:11" x14ac:dyDescent="0.2">
      <c r="A521" t="s">
        <v>4629</v>
      </c>
      <c r="B521">
        <v>231714</v>
      </c>
      <c r="C521" t="s">
        <v>1008</v>
      </c>
      <c r="D521" t="s">
        <v>4726</v>
      </c>
      <c r="E521" t="s">
        <v>184</v>
      </c>
      <c r="F521" t="s">
        <v>184</v>
      </c>
      <c r="G521" t="s">
        <v>2750</v>
      </c>
      <c r="H521" t="s">
        <v>184</v>
      </c>
      <c r="I521" t="s">
        <v>2666</v>
      </c>
      <c r="J521">
        <v>1</v>
      </c>
      <c r="K521">
        <v>169</v>
      </c>
    </row>
    <row r="522" spans="1:11" x14ac:dyDescent="0.2">
      <c r="A522" t="s">
        <v>4629</v>
      </c>
      <c r="B522">
        <v>190704</v>
      </c>
      <c r="C522" t="s">
        <v>916</v>
      </c>
      <c r="D522" t="s">
        <v>4632</v>
      </c>
      <c r="E522" t="s">
        <v>183</v>
      </c>
      <c r="F522" t="s">
        <v>283</v>
      </c>
      <c r="G522" t="s">
        <v>2701</v>
      </c>
      <c r="H522" t="s">
        <v>183</v>
      </c>
      <c r="I522" t="s">
        <v>2666</v>
      </c>
      <c r="J522">
        <v>1</v>
      </c>
      <c r="K522">
        <v>582</v>
      </c>
    </row>
    <row r="523" spans="1:11" x14ac:dyDescent="0.2">
      <c r="A523" t="s">
        <v>4629</v>
      </c>
      <c r="B523">
        <v>191507</v>
      </c>
      <c r="C523" t="s">
        <v>1211</v>
      </c>
      <c r="D523" t="s">
        <v>4701</v>
      </c>
      <c r="E523" t="s">
        <v>183</v>
      </c>
      <c r="F523" t="s">
        <v>283</v>
      </c>
      <c r="G523" t="s">
        <v>3852</v>
      </c>
      <c r="H523" t="s">
        <v>183</v>
      </c>
      <c r="I523" t="s">
        <v>2666</v>
      </c>
      <c r="J523">
        <v>1</v>
      </c>
      <c r="K523">
        <v>208</v>
      </c>
    </row>
    <row r="524" spans="1:11" x14ac:dyDescent="0.2">
      <c r="A524" t="s">
        <v>4629</v>
      </c>
      <c r="B524">
        <v>191719</v>
      </c>
      <c r="C524" t="s">
        <v>2444</v>
      </c>
      <c r="D524" t="s">
        <v>4684</v>
      </c>
      <c r="E524" t="s">
        <v>184</v>
      </c>
      <c r="F524" t="s">
        <v>184</v>
      </c>
      <c r="G524" t="s">
        <v>3626</v>
      </c>
      <c r="H524" t="s">
        <v>184</v>
      </c>
      <c r="I524" t="s">
        <v>2666</v>
      </c>
      <c r="J524">
        <v>1</v>
      </c>
      <c r="K524">
        <v>366</v>
      </c>
    </row>
    <row r="525" spans="1:11" x14ac:dyDescent="0.2">
      <c r="A525" t="s">
        <v>4629</v>
      </c>
      <c r="B525">
        <v>191805</v>
      </c>
      <c r="C525" t="s">
        <v>957</v>
      </c>
      <c r="D525" t="s">
        <v>4731</v>
      </c>
      <c r="E525" t="s">
        <v>183</v>
      </c>
      <c r="F525" t="s">
        <v>283</v>
      </c>
      <c r="G525" t="s">
        <v>2829</v>
      </c>
      <c r="H525" t="s">
        <v>183</v>
      </c>
      <c r="I525" t="s">
        <v>2666</v>
      </c>
      <c r="J525">
        <v>1</v>
      </c>
      <c r="K525">
        <v>229</v>
      </c>
    </row>
    <row r="526" spans="1:11" x14ac:dyDescent="0.2">
      <c r="A526" t="s">
        <v>4629</v>
      </c>
      <c r="B526">
        <v>191500</v>
      </c>
      <c r="C526" t="s">
        <v>288</v>
      </c>
      <c r="D526" t="s">
        <v>4637</v>
      </c>
      <c r="E526" t="s">
        <v>183</v>
      </c>
      <c r="F526" t="s">
        <v>283</v>
      </c>
      <c r="G526" t="s">
        <v>3852</v>
      </c>
      <c r="H526" t="s">
        <v>183</v>
      </c>
      <c r="I526" t="s">
        <v>2666</v>
      </c>
      <c r="J526">
        <v>1</v>
      </c>
      <c r="K526">
        <v>45</v>
      </c>
    </row>
    <row r="527" spans="1:11" x14ac:dyDescent="0.2">
      <c r="A527" t="s">
        <v>4629</v>
      </c>
      <c r="B527">
        <v>230120</v>
      </c>
      <c r="C527" t="s">
        <v>971</v>
      </c>
      <c r="D527" t="s">
        <v>4724</v>
      </c>
      <c r="E527" t="s">
        <v>184</v>
      </c>
      <c r="F527" t="s">
        <v>184</v>
      </c>
      <c r="G527" t="s">
        <v>2754</v>
      </c>
      <c r="H527" t="s">
        <v>184</v>
      </c>
      <c r="I527" t="s">
        <v>2666</v>
      </c>
      <c r="J527">
        <v>1</v>
      </c>
      <c r="K527">
        <v>170</v>
      </c>
    </row>
    <row r="528" spans="1:11" x14ac:dyDescent="0.2">
      <c r="A528" t="s">
        <v>4629</v>
      </c>
      <c r="B528">
        <v>231719</v>
      </c>
      <c r="C528" t="s">
        <v>1010</v>
      </c>
      <c r="D528" t="s">
        <v>4688</v>
      </c>
      <c r="E528" t="s">
        <v>184</v>
      </c>
      <c r="F528" t="s">
        <v>184</v>
      </c>
      <c r="G528" t="s">
        <v>4687</v>
      </c>
      <c r="H528" t="s">
        <v>184</v>
      </c>
      <c r="I528" t="s">
        <v>2666</v>
      </c>
      <c r="J528">
        <v>1</v>
      </c>
      <c r="K528">
        <v>446</v>
      </c>
    </row>
    <row r="529" spans="1:11" x14ac:dyDescent="0.2">
      <c r="A529" t="s">
        <v>4629</v>
      </c>
      <c r="B529">
        <v>230304</v>
      </c>
      <c r="C529" t="s">
        <v>974</v>
      </c>
      <c r="D529" t="s">
        <v>4733</v>
      </c>
      <c r="E529" t="s">
        <v>184</v>
      </c>
      <c r="F529" t="s">
        <v>184</v>
      </c>
      <c r="G529" t="s">
        <v>2739</v>
      </c>
      <c r="H529" t="s">
        <v>184</v>
      </c>
      <c r="I529" t="s">
        <v>2666</v>
      </c>
      <c r="J529">
        <v>1</v>
      </c>
      <c r="K529">
        <v>484</v>
      </c>
    </row>
    <row r="530" spans="1:11" x14ac:dyDescent="0.2">
      <c r="A530" t="s">
        <v>4629</v>
      </c>
      <c r="B530">
        <v>230424</v>
      </c>
      <c r="C530" t="s">
        <v>981</v>
      </c>
      <c r="D530" t="s">
        <v>4719</v>
      </c>
      <c r="E530" t="s">
        <v>184</v>
      </c>
      <c r="F530" t="s">
        <v>184</v>
      </c>
      <c r="G530" t="s">
        <v>3821</v>
      </c>
      <c r="H530" t="s">
        <v>184</v>
      </c>
      <c r="I530" t="s">
        <v>2666</v>
      </c>
      <c r="J530">
        <v>1</v>
      </c>
      <c r="K530">
        <v>114</v>
      </c>
    </row>
    <row r="531" spans="1:11" x14ac:dyDescent="0.2">
      <c r="A531" t="s">
        <v>4629</v>
      </c>
      <c r="B531">
        <v>191509</v>
      </c>
      <c r="C531" t="s">
        <v>1212</v>
      </c>
      <c r="D531" t="s">
        <v>4656</v>
      </c>
      <c r="E531" t="s">
        <v>184</v>
      </c>
      <c r="F531" t="s">
        <v>184</v>
      </c>
      <c r="G531" t="s">
        <v>2918</v>
      </c>
      <c r="H531" t="s">
        <v>184</v>
      </c>
      <c r="I531" t="s">
        <v>2666</v>
      </c>
      <c r="J531">
        <v>1</v>
      </c>
      <c r="K531">
        <v>306</v>
      </c>
    </row>
    <row r="532" spans="1:11" x14ac:dyDescent="0.2">
      <c r="A532" t="s">
        <v>4629</v>
      </c>
      <c r="B532">
        <v>230702</v>
      </c>
      <c r="C532" t="s">
        <v>1218</v>
      </c>
      <c r="D532" t="s">
        <v>4736</v>
      </c>
      <c r="E532" t="s">
        <v>184</v>
      </c>
      <c r="F532" t="s">
        <v>184</v>
      </c>
      <c r="G532" t="s">
        <v>2739</v>
      </c>
      <c r="H532" t="s">
        <v>184</v>
      </c>
      <c r="I532" t="s">
        <v>2666</v>
      </c>
      <c r="J532">
        <v>1</v>
      </c>
      <c r="K532">
        <v>94</v>
      </c>
    </row>
    <row r="533" spans="1:11" x14ac:dyDescent="0.2">
      <c r="A533" t="s">
        <v>4629</v>
      </c>
      <c r="B533">
        <v>230312</v>
      </c>
      <c r="C533" t="s">
        <v>2478</v>
      </c>
      <c r="D533" t="s">
        <v>4671</v>
      </c>
      <c r="E533" t="s">
        <v>184</v>
      </c>
      <c r="F533" t="s">
        <v>184</v>
      </c>
      <c r="G533" t="s">
        <v>4415</v>
      </c>
      <c r="H533" t="s">
        <v>184</v>
      </c>
      <c r="I533" t="s">
        <v>2666</v>
      </c>
      <c r="J533">
        <v>1</v>
      </c>
      <c r="K533">
        <v>451</v>
      </c>
    </row>
    <row r="534" spans="1:11" x14ac:dyDescent="0.2">
      <c r="A534" t="s">
        <v>4629</v>
      </c>
      <c r="B534">
        <v>191706</v>
      </c>
      <c r="C534" t="s">
        <v>953</v>
      </c>
      <c r="D534" t="s">
        <v>4630</v>
      </c>
      <c r="E534" t="s">
        <v>183</v>
      </c>
      <c r="F534" t="s">
        <v>184</v>
      </c>
      <c r="G534" t="s">
        <v>3626</v>
      </c>
      <c r="H534" t="s">
        <v>183</v>
      </c>
      <c r="I534" t="s">
        <v>2666</v>
      </c>
      <c r="J534">
        <v>1</v>
      </c>
      <c r="K534">
        <v>260</v>
      </c>
    </row>
    <row r="535" spans="1:11" x14ac:dyDescent="0.2">
      <c r="A535" t="s">
        <v>4629</v>
      </c>
      <c r="B535">
        <v>191603</v>
      </c>
      <c r="C535" t="s">
        <v>949</v>
      </c>
      <c r="D535" t="s">
        <v>4631</v>
      </c>
      <c r="E535" t="s">
        <v>183</v>
      </c>
      <c r="F535" t="s">
        <v>283</v>
      </c>
      <c r="G535" t="s">
        <v>3620</v>
      </c>
      <c r="H535" t="s">
        <v>183</v>
      </c>
      <c r="I535" t="s">
        <v>2666</v>
      </c>
      <c r="J535">
        <v>1</v>
      </c>
      <c r="K535">
        <v>178</v>
      </c>
    </row>
    <row r="536" spans="1:11" x14ac:dyDescent="0.2">
      <c r="A536" t="s">
        <v>4629</v>
      </c>
      <c r="B536">
        <v>191502</v>
      </c>
      <c r="C536" t="s">
        <v>942</v>
      </c>
      <c r="D536" t="s">
        <v>4734</v>
      </c>
      <c r="E536" t="s">
        <v>183</v>
      </c>
      <c r="F536" t="s">
        <v>283</v>
      </c>
      <c r="G536" t="s">
        <v>3852</v>
      </c>
      <c r="H536" t="s">
        <v>183</v>
      </c>
      <c r="I536" t="s">
        <v>2666</v>
      </c>
      <c r="J536">
        <v>1</v>
      </c>
      <c r="K536">
        <v>128</v>
      </c>
    </row>
    <row r="537" spans="1:11" x14ac:dyDescent="0.2">
      <c r="A537" t="s">
        <v>4629</v>
      </c>
      <c r="B537">
        <v>190809</v>
      </c>
      <c r="C537" t="s">
        <v>2402</v>
      </c>
      <c r="D537" t="s">
        <v>4748</v>
      </c>
      <c r="E537" t="s">
        <v>183</v>
      </c>
      <c r="F537" t="s">
        <v>283</v>
      </c>
      <c r="G537" t="s">
        <v>4642</v>
      </c>
      <c r="H537" t="s">
        <v>183</v>
      </c>
      <c r="I537" t="s">
        <v>2616</v>
      </c>
      <c r="J537">
        <v>1</v>
      </c>
      <c r="K537">
        <v>617</v>
      </c>
    </row>
    <row r="538" spans="1:11" x14ac:dyDescent="0.2">
      <c r="A538" t="s">
        <v>4629</v>
      </c>
      <c r="B538">
        <v>1024</v>
      </c>
      <c r="C538" t="s">
        <v>302</v>
      </c>
      <c r="D538" t="s">
        <v>4747</v>
      </c>
      <c r="E538" t="s">
        <v>183</v>
      </c>
      <c r="F538" t="s">
        <v>283</v>
      </c>
      <c r="G538" t="s">
        <v>2701</v>
      </c>
      <c r="H538" t="s">
        <v>183</v>
      </c>
      <c r="I538" t="s">
        <v>2666</v>
      </c>
      <c r="J538">
        <v>1</v>
      </c>
      <c r="K538">
        <v>241</v>
      </c>
    </row>
    <row r="539" spans="1:11" x14ac:dyDescent="0.2">
      <c r="A539" t="s">
        <v>4629</v>
      </c>
      <c r="B539">
        <v>191007</v>
      </c>
      <c r="C539" t="s">
        <v>932</v>
      </c>
      <c r="D539" t="s">
        <v>4657</v>
      </c>
      <c r="E539" t="s">
        <v>183</v>
      </c>
      <c r="F539" t="s">
        <v>283</v>
      </c>
      <c r="G539" t="s">
        <v>3852</v>
      </c>
      <c r="H539" t="s">
        <v>183</v>
      </c>
      <c r="I539" t="s">
        <v>2666</v>
      </c>
      <c r="J539">
        <v>1</v>
      </c>
      <c r="K539">
        <v>1485.17</v>
      </c>
    </row>
    <row r="540" spans="1:11" x14ac:dyDescent="0.2">
      <c r="A540" t="s">
        <v>4629</v>
      </c>
      <c r="B540">
        <v>191508</v>
      </c>
      <c r="C540" t="s">
        <v>2598</v>
      </c>
      <c r="D540" t="s">
        <v>4674</v>
      </c>
      <c r="E540" t="s">
        <v>183</v>
      </c>
      <c r="F540" t="s">
        <v>283</v>
      </c>
      <c r="G540" t="s">
        <v>2684</v>
      </c>
      <c r="H540" t="s">
        <v>183</v>
      </c>
      <c r="I540" t="s">
        <v>2666</v>
      </c>
      <c r="J540">
        <v>1</v>
      </c>
      <c r="K540">
        <v>460</v>
      </c>
    </row>
    <row r="541" spans="1:11" x14ac:dyDescent="0.2">
      <c r="A541" t="s">
        <v>4629</v>
      </c>
      <c r="B541">
        <v>190914</v>
      </c>
      <c r="C541" t="s">
        <v>2595</v>
      </c>
      <c r="D541" t="s">
        <v>4703</v>
      </c>
      <c r="E541" t="s">
        <v>183</v>
      </c>
      <c r="F541" t="s">
        <v>283</v>
      </c>
      <c r="G541" t="s">
        <v>2777</v>
      </c>
      <c r="H541" t="s">
        <v>183</v>
      </c>
      <c r="I541" t="s">
        <v>2666</v>
      </c>
      <c r="J541">
        <v>1</v>
      </c>
      <c r="K541">
        <v>5692.16</v>
      </c>
    </row>
    <row r="542" spans="1:11" x14ac:dyDescent="0.2">
      <c r="A542" t="s">
        <v>4629</v>
      </c>
      <c r="B542">
        <v>191816</v>
      </c>
      <c r="C542" t="s">
        <v>1281</v>
      </c>
      <c r="D542" t="s">
        <v>4685</v>
      </c>
      <c r="E542" t="s">
        <v>183</v>
      </c>
      <c r="F542" t="s">
        <v>961</v>
      </c>
      <c r="G542" t="s">
        <v>3623</v>
      </c>
      <c r="H542" t="s">
        <v>183</v>
      </c>
      <c r="I542" t="s">
        <v>2666</v>
      </c>
      <c r="J542">
        <v>1</v>
      </c>
      <c r="K542">
        <v>67</v>
      </c>
    </row>
    <row r="543" spans="1:11" x14ac:dyDescent="0.2">
      <c r="A543" t="s">
        <v>4629</v>
      </c>
      <c r="B543">
        <v>231717</v>
      </c>
      <c r="C543" t="s">
        <v>2285</v>
      </c>
      <c r="D543" t="s">
        <v>4646</v>
      </c>
      <c r="E543" t="s">
        <v>184</v>
      </c>
      <c r="F543" t="s">
        <v>184</v>
      </c>
      <c r="G543" t="s">
        <v>2750</v>
      </c>
      <c r="H543" t="s">
        <v>184</v>
      </c>
      <c r="I543" t="s">
        <v>2616</v>
      </c>
      <c r="J543">
        <v>1</v>
      </c>
      <c r="K543">
        <v>6054</v>
      </c>
    </row>
    <row r="544" spans="1:11" x14ac:dyDescent="0.2">
      <c r="A544" t="s">
        <v>4629</v>
      </c>
      <c r="B544">
        <v>190206</v>
      </c>
      <c r="C544" t="s">
        <v>898</v>
      </c>
      <c r="D544" t="s">
        <v>4732</v>
      </c>
      <c r="E544" t="s">
        <v>183</v>
      </c>
      <c r="F544" t="s">
        <v>283</v>
      </c>
      <c r="G544" t="s">
        <v>2837</v>
      </c>
      <c r="H544" t="s">
        <v>183</v>
      </c>
      <c r="I544" t="s">
        <v>2666</v>
      </c>
      <c r="J544">
        <v>1</v>
      </c>
      <c r="K544">
        <v>30.42</v>
      </c>
    </row>
    <row r="545" spans="1:11" x14ac:dyDescent="0.2">
      <c r="A545" t="s">
        <v>4629</v>
      </c>
      <c r="B545">
        <v>230307</v>
      </c>
      <c r="C545" t="s">
        <v>1340</v>
      </c>
      <c r="D545" t="s">
        <v>4651</v>
      </c>
      <c r="E545" t="s">
        <v>184</v>
      </c>
      <c r="F545" t="s">
        <v>184</v>
      </c>
      <c r="G545" t="s">
        <v>2739</v>
      </c>
      <c r="H545" t="s">
        <v>184</v>
      </c>
      <c r="I545" t="s">
        <v>2666</v>
      </c>
      <c r="J545">
        <v>1</v>
      </c>
      <c r="K545">
        <v>109</v>
      </c>
    </row>
    <row r="546" spans="1:11" x14ac:dyDescent="0.2">
      <c r="A546" t="s">
        <v>4629</v>
      </c>
      <c r="B546">
        <v>191618</v>
      </c>
      <c r="C546" t="s">
        <v>951</v>
      </c>
      <c r="D546" t="s">
        <v>4660</v>
      </c>
      <c r="E546" t="s">
        <v>183</v>
      </c>
      <c r="F546" t="s">
        <v>283</v>
      </c>
      <c r="G546" t="s">
        <v>3620</v>
      </c>
      <c r="H546" t="s">
        <v>183</v>
      </c>
      <c r="I546" t="s">
        <v>2666</v>
      </c>
      <c r="J546">
        <v>1</v>
      </c>
      <c r="K546">
        <v>235</v>
      </c>
    </row>
    <row r="547" spans="1:11" x14ac:dyDescent="0.2">
      <c r="A547" t="s">
        <v>4629</v>
      </c>
      <c r="B547">
        <v>190813</v>
      </c>
      <c r="C547" t="s">
        <v>1334</v>
      </c>
      <c r="D547" t="s">
        <v>4652</v>
      </c>
      <c r="E547" t="s">
        <v>183</v>
      </c>
      <c r="F547" t="s">
        <v>283</v>
      </c>
      <c r="G547" t="s">
        <v>4642</v>
      </c>
      <c r="H547" t="s">
        <v>183</v>
      </c>
      <c r="I547" t="s">
        <v>2666</v>
      </c>
      <c r="J547">
        <v>1</v>
      </c>
      <c r="K547">
        <v>336</v>
      </c>
    </row>
    <row r="548" spans="1:11" x14ac:dyDescent="0.2">
      <c r="A548" t="s">
        <v>4629</v>
      </c>
      <c r="B548">
        <v>190905</v>
      </c>
      <c r="C548" t="s">
        <v>926</v>
      </c>
      <c r="D548" t="s">
        <v>4712</v>
      </c>
      <c r="E548" t="s">
        <v>183</v>
      </c>
      <c r="F548" t="s">
        <v>283</v>
      </c>
      <c r="G548" t="s">
        <v>2701</v>
      </c>
      <c r="H548" t="s">
        <v>183</v>
      </c>
      <c r="I548" t="s">
        <v>2666</v>
      </c>
      <c r="J548">
        <v>1</v>
      </c>
      <c r="K548">
        <v>432</v>
      </c>
    </row>
    <row r="549" spans="1:11" x14ac:dyDescent="0.2">
      <c r="A549" t="s">
        <v>4629</v>
      </c>
      <c r="B549">
        <v>190803</v>
      </c>
      <c r="C549" t="s">
        <v>924</v>
      </c>
      <c r="D549" t="s">
        <v>4681</v>
      </c>
      <c r="E549" t="s">
        <v>183</v>
      </c>
      <c r="F549" t="s">
        <v>283</v>
      </c>
      <c r="G549" t="s">
        <v>3602</v>
      </c>
      <c r="H549" t="s">
        <v>183</v>
      </c>
      <c r="I549" t="s">
        <v>2666</v>
      </c>
      <c r="J549">
        <v>1</v>
      </c>
      <c r="K549">
        <v>59</v>
      </c>
    </row>
    <row r="550" spans="1:11" x14ac:dyDescent="0.2">
      <c r="A550" t="s">
        <v>4629</v>
      </c>
      <c r="B550">
        <v>190220</v>
      </c>
      <c r="C550" t="s">
        <v>901</v>
      </c>
      <c r="D550" t="s">
        <v>4706</v>
      </c>
      <c r="E550" t="s">
        <v>183</v>
      </c>
      <c r="F550" t="s">
        <v>283</v>
      </c>
      <c r="G550" t="s">
        <v>2837</v>
      </c>
      <c r="H550" t="s">
        <v>183</v>
      </c>
      <c r="I550" t="s">
        <v>2666</v>
      </c>
      <c r="J550">
        <v>1</v>
      </c>
      <c r="K550">
        <v>309</v>
      </c>
    </row>
    <row r="551" spans="1:11" x14ac:dyDescent="0.2">
      <c r="A551" t="s">
        <v>4629</v>
      </c>
      <c r="B551">
        <v>191001</v>
      </c>
      <c r="C551" t="s">
        <v>1210</v>
      </c>
      <c r="D551" t="s">
        <v>4708</v>
      </c>
      <c r="E551" t="s">
        <v>183</v>
      </c>
      <c r="F551" t="s">
        <v>283</v>
      </c>
      <c r="G551" t="s">
        <v>3852</v>
      </c>
      <c r="H551" t="s">
        <v>183</v>
      </c>
      <c r="I551" t="s">
        <v>2666</v>
      </c>
      <c r="J551">
        <v>1</v>
      </c>
      <c r="K551">
        <v>147</v>
      </c>
    </row>
    <row r="552" spans="1:11" x14ac:dyDescent="0.2">
      <c r="A552" t="s">
        <v>4629</v>
      </c>
      <c r="B552">
        <v>190601</v>
      </c>
      <c r="C552" t="s">
        <v>912</v>
      </c>
      <c r="D552" t="s">
        <v>4738</v>
      </c>
      <c r="E552" t="s">
        <v>183</v>
      </c>
      <c r="F552" t="s">
        <v>283</v>
      </c>
      <c r="G552" t="s">
        <v>2724</v>
      </c>
      <c r="H552" t="s">
        <v>183</v>
      </c>
      <c r="I552" t="s">
        <v>2666</v>
      </c>
      <c r="J552">
        <v>1</v>
      </c>
      <c r="K552">
        <v>782</v>
      </c>
    </row>
    <row r="553" spans="1:11" x14ac:dyDescent="0.2">
      <c r="A553" t="s">
        <v>4629</v>
      </c>
      <c r="B553">
        <v>190815</v>
      </c>
      <c r="C553" t="s">
        <v>1335</v>
      </c>
      <c r="D553" t="s">
        <v>4713</v>
      </c>
      <c r="E553" t="s">
        <v>183</v>
      </c>
      <c r="F553" t="s">
        <v>283</v>
      </c>
      <c r="G553" t="s">
        <v>4642</v>
      </c>
      <c r="H553" t="s">
        <v>183</v>
      </c>
      <c r="I553" t="s">
        <v>2666</v>
      </c>
      <c r="J553">
        <v>1</v>
      </c>
      <c r="K553">
        <v>23</v>
      </c>
    </row>
    <row r="554" spans="1:11" x14ac:dyDescent="0.2">
      <c r="A554" t="s">
        <v>4629</v>
      </c>
      <c r="B554">
        <v>190724</v>
      </c>
      <c r="C554" t="s">
        <v>923</v>
      </c>
      <c r="D554" t="s">
        <v>4696</v>
      </c>
      <c r="E554" t="s">
        <v>183</v>
      </c>
      <c r="F554" t="s">
        <v>283</v>
      </c>
      <c r="G554" t="s">
        <v>2701</v>
      </c>
      <c r="H554" t="s">
        <v>183</v>
      </c>
      <c r="I554" t="s">
        <v>2666</v>
      </c>
      <c r="J554">
        <v>1</v>
      </c>
      <c r="K554">
        <v>58</v>
      </c>
    </row>
    <row r="555" spans="1:11" x14ac:dyDescent="0.2">
      <c r="A555" t="s">
        <v>4629</v>
      </c>
      <c r="B555">
        <v>1022</v>
      </c>
      <c r="C555" t="s">
        <v>1115</v>
      </c>
      <c r="D555" t="s">
        <v>4628</v>
      </c>
      <c r="E555" t="s">
        <v>183</v>
      </c>
      <c r="F555" t="s">
        <v>283</v>
      </c>
      <c r="G555" t="s">
        <v>2701</v>
      </c>
      <c r="H555" t="s">
        <v>183</v>
      </c>
      <c r="I555" t="s">
        <v>2666</v>
      </c>
      <c r="J555">
        <v>1</v>
      </c>
      <c r="K555">
        <v>209</v>
      </c>
    </row>
    <row r="556" spans="1:11" x14ac:dyDescent="0.2">
      <c r="A556" t="s">
        <v>4629</v>
      </c>
      <c r="B556">
        <v>190306</v>
      </c>
      <c r="C556" t="s">
        <v>904</v>
      </c>
      <c r="D556" t="s">
        <v>4639</v>
      </c>
      <c r="E556" t="s">
        <v>183</v>
      </c>
      <c r="F556" t="s">
        <v>283</v>
      </c>
      <c r="G556" t="s">
        <v>3648</v>
      </c>
      <c r="H556" t="s">
        <v>183</v>
      </c>
      <c r="I556" t="s">
        <v>2666</v>
      </c>
      <c r="J556">
        <v>1</v>
      </c>
      <c r="K556">
        <v>200</v>
      </c>
    </row>
    <row r="557" spans="1:11" x14ac:dyDescent="0.2">
      <c r="A557" t="s">
        <v>4629</v>
      </c>
      <c r="B557">
        <v>190918</v>
      </c>
      <c r="C557" t="s">
        <v>929</v>
      </c>
      <c r="D557" t="s">
        <v>4692</v>
      </c>
      <c r="E557" t="s">
        <v>183</v>
      </c>
      <c r="F557" t="s">
        <v>283</v>
      </c>
      <c r="G557" t="s">
        <v>2777</v>
      </c>
      <c r="H557" t="s">
        <v>183</v>
      </c>
      <c r="I557" t="s">
        <v>2666</v>
      </c>
      <c r="J557">
        <v>1</v>
      </c>
      <c r="K557">
        <v>336</v>
      </c>
    </row>
    <row r="558" spans="1:11" x14ac:dyDescent="0.2">
      <c r="A558" t="s">
        <v>4629</v>
      </c>
      <c r="B558">
        <v>231713</v>
      </c>
      <c r="C558" t="s">
        <v>1007</v>
      </c>
      <c r="D558" t="s">
        <v>4693</v>
      </c>
      <c r="E558" t="s">
        <v>184</v>
      </c>
      <c r="F558" t="s">
        <v>184</v>
      </c>
      <c r="G558" t="s">
        <v>2750</v>
      </c>
      <c r="H558" t="s">
        <v>184</v>
      </c>
      <c r="I558" t="s">
        <v>2666</v>
      </c>
      <c r="J558">
        <v>1</v>
      </c>
      <c r="K558">
        <v>117</v>
      </c>
    </row>
    <row r="559" spans="1:11" x14ac:dyDescent="0.2">
      <c r="A559" t="s">
        <v>4629</v>
      </c>
      <c r="B559">
        <v>190921</v>
      </c>
      <c r="C559" t="s">
        <v>2596</v>
      </c>
      <c r="D559" t="s">
        <v>4664</v>
      </c>
      <c r="E559" t="s">
        <v>183</v>
      </c>
      <c r="F559" t="s">
        <v>283</v>
      </c>
      <c r="G559" t="s">
        <v>2777</v>
      </c>
      <c r="H559" t="s">
        <v>183</v>
      </c>
      <c r="I559" t="s">
        <v>2666</v>
      </c>
      <c r="J559">
        <v>1</v>
      </c>
      <c r="K559">
        <v>96</v>
      </c>
    </row>
    <row r="560" spans="1:11" x14ac:dyDescent="0.2">
      <c r="A560" t="s">
        <v>4566</v>
      </c>
      <c r="B560">
        <v>47009</v>
      </c>
      <c r="C560" t="s">
        <v>1085</v>
      </c>
      <c r="D560" t="s">
        <v>4578</v>
      </c>
      <c r="E560" t="s">
        <v>281</v>
      </c>
      <c r="F560" t="s">
        <v>281</v>
      </c>
      <c r="G560" t="s">
        <v>2893</v>
      </c>
      <c r="H560" t="s">
        <v>281</v>
      </c>
      <c r="I560" t="s">
        <v>2616</v>
      </c>
      <c r="J560">
        <v>1</v>
      </c>
      <c r="K560">
        <v>678</v>
      </c>
    </row>
    <row r="561" spans="1:11" x14ac:dyDescent="0.2">
      <c r="A561" t="s">
        <v>4566</v>
      </c>
      <c r="B561">
        <v>79004</v>
      </c>
      <c r="C561" t="s">
        <v>1088</v>
      </c>
      <c r="D561" t="s">
        <v>4607</v>
      </c>
      <c r="E561" t="s">
        <v>281</v>
      </c>
      <c r="F561" t="s">
        <v>281</v>
      </c>
      <c r="G561" t="s">
        <v>2748</v>
      </c>
      <c r="H561" t="s">
        <v>281</v>
      </c>
      <c r="I561" t="s">
        <v>2616</v>
      </c>
      <c r="J561">
        <v>1</v>
      </c>
      <c r="K561">
        <v>1993</v>
      </c>
    </row>
    <row r="562" spans="1:11" x14ac:dyDescent="0.2">
      <c r="A562" t="s">
        <v>4566</v>
      </c>
      <c r="B562">
        <v>46033</v>
      </c>
      <c r="C562" t="s">
        <v>1659</v>
      </c>
      <c r="D562" t="s">
        <v>4468</v>
      </c>
      <c r="E562" t="s">
        <v>281</v>
      </c>
      <c r="F562" t="s">
        <v>281</v>
      </c>
      <c r="G562" t="s">
        <v>2826</v>
      </c>
      <c r="H562" t="s">
        <v>281</v>
      </c>
      <c r="I562" t="s">
        <v>2616</v>
      </c>
      <c r="J562">
        <v>1</v>
      </c>
      <c r="K562">
        <v>147120.26999999999</v>
      </c>
    </row>
    <row r="563" spans="1:11" x14ac:dyDescent="0.2">
      <c r="A563" t="s">
        <v>4566</v>
      </c>
      <c r="B563">
        <v>76014</v>
      </c>
      <c r="C563" t="s">
        <v>693</v>
      </c>
      <c r="D563" t="s">
        <v>4587</v>
      </c>
      <c r="E563" t="s">
        <v>281</v>
      </c>
      <c r="F563" t="s">
        <v>281</v>
      </c>
      <c r="G563" t="s">
        <v>2718</v>
      </c>
      <c r="H563" t="s">
        <v>281</v>
      </c>
      <c r="I563" t="s">
        <v>2666</v>
      </c>
      <c r="J563">
        <v>1</v>
      </c>
      <c r="K563">
        <v>83</v>
      </c>
    </row>
    <row r="564" spans="1:11" x14ac:dyDescent="0.2">
      <c r="A564" t="s">
        <v>4566</v>
      </c>
      <c r="B564">
        <v>80035</v>
      </c>
      <c r="C564" t="s">
        <v>1323</v>
      </c>
      <c r="D564" t="s">
        <v>4600</v>
      </c>
      <c r="E564" t="s">
        <v>281</v>
      </c>
      <c r="F564" t="s">
        <v>281</v>
      </c>
      <c r="G564" t="s">
        <v>2842</v>
      </c>
      <c r="H564" t="s">
        <v>281</v>
      </c>
      <c r="I564" t="s">
        <v>2666</v>
      </c>
      <c r="J564">
        <v>1</v>
      </c>
      <c r="K564">
        <v>237.5</v>
      </c>
    </row>
    <row r="565" spans="1:11" x14ac:dyDescent="0.2">
      <c r="A565" t="s">
        <v>4566</v>
      </c>
      <c r="B565">
        <v>81012</v>
      </c>
      <c r="C565" t="s">
        <v>724</v>
      </c>
      <c r="D565" t="s">
        <v>4568</v>
      </c>
      <c r="E565" t="s">
        <v>281</v>
      </c>
      <c r="F565" t="s">
        <v>281</v>
      </c>
      <c r="G565" t="s">
        <v>2821</v>
      </c>
      <c r="H565" t="s">
        <v>281</v>
      </c>
      <c r="I565" t="s">
        <v>2666</v>
      </c>
      <c r="J565">
        <v>1</v>
      </c>
      <c r="K565">
        <v>341</v>
      </c>
    </row>
    <row r="566" spans="1:11" x14ac:dyDescent="0.2">
      <c r="A566" t="s">
        <v>4566</v>
      </c>
      <c r="B566">
        <v>38001</v>
      </c>
      <c r="C566" t="s">
        <v>1607</v>
      </c>
      <c r="D566" t="s">
        <v>4592</v>
      </c>
      <c r="E566" t="s">
        <v>281</v>
      </c>
      <c r="F566" t="s">
        <v>281</v>
      </c>
      <c r="G566" t="s">
        <v>2676</v>
      </c>
      <c r="H566" t="s">
        <v>281</v>
      </c>
      <c r="I566" t="s">
        <v>2616</v>
      </c>
      <c r="J566">
        <v>1</v>
      </c>
      <c r="K566">
        <v>2296</v>
      </c>
    </row>
    <row r="567" spans="1:11" x14ac:dyDescent="0.2">
      <c r="A567" t="s">
        <v>4566</v>
      </c>
      <c r="B567">
        <v>47019</v>
      </c>
      <c r="C567" t="s">
        <v>1362</v>
      </c>
      <c r="D567" t="s">
        <v>4605</v>
      </c>
      <c r="E567" t="s">
        <v>281</v>
      </c>
      <c r="F567" t="s">
        <v>281</v>
      </c>
      <c r="G567" t="s">
        <v>2893</v>
      </c>
      <c r="H567" t="s">
        <v>281</v>
      </c>
      <c r="I567" t="s">
        <v>2666</v>
      </c>
      <c r="J567">
        <v>1</v>
      </c>
      <c r="K567">
        <v>71</v>
      </c>
    </row>
    <row r="568" spans="1:11" x14ac:dyDescent="0.2">
      <c r="A568" t="s">
        <v>4566</v>
      </c>
      <c r="B568">
        <v>38028</v>
      </c>
      <c r="C568" t="s">
        <v>532</v>
      </c>
      <c r="D568" t="s">
        <v>4602</v>
      </c>
      <c r="E568" t="s">
        <v>2634</v>
      </c>
      <c r="F568" t="s">
        <v>281</v>
      </c>
      <c r="G568" t="s">
        <v>2676</v>
      </c>
      <c r="H568" t="s">
        <v>2634</v>
      </c>
      <c r="I568" t="s">
        <v>2666</v>
      </c>
      <c r="J568">
        <v>1</v>
      </c>
      <c r="K568">
        <v>206</v>
      </c>
    </row>
    <row r="569" spans="1:11" x14ac:dyDescent="0.2">
      <c r="A569" t="s">
        <v>4566</v>
      </c>
      <c r="B569">
        <v>80029</v>
      </c>
      <c r="C569" t="s">
        <v>714</v>
      </c>
      <c r="D569" t="s">
        <v>4624</v>
      </c>
      <c r="E569" t="s">
        <v>281</v>
      </c>
      <c r="F569" t="s">
        <v>281</v>
      </c>
      <c r="G569" t="s">
        <v>2842</v>
      </c>
      <c r="H569" t="s">
        <v>281</v>
      </c>
      <c r="I569" t="s">
        <v>2666</v>
      </c>
      <c r="J569">
        <v>1</v>
      </c>
      <c r="K569">
        <v>12</v>
      </c>
    </row>
    <row r="570" spans="1:11" x14ac:dyDescent="0.2">
      <c r="A570" t="s">
        <v>4566</v>
      </c>
      <c r="B570">
        <v>34007</v>
      </c>
      <c r="C570" t="s">
        <v>1590</v>
      </c>
      <c r="D570" t="s">
        <v>4595</v>
      </c>
      <c r="E570" t="s">
        <v>281</v>
      </c>
      <c r="F570" t="s">
        <v>281</v>
      </c>
      <c r="G570" t="s">
        <v>2770</v>
      </c>
      <c r="H570" t="s">
        <v>281</v>
      </c>
      <c r="I570" t="s">
        <v>2616</v>
      </c>
      <c r="J570">
        <v>1</v>
      </c>
      <c r="K570">
        <v>2622</v>
      </c>
    </row>
    <row r="571" spans="1:11" x14ac:dyDescent="0.2">
      <c r="A571" t="s">
        <v>4566</v>
      </c>
      <c r="B571">
        <v>25034</v>
      </c>
      <c r="C571" t="s">
        <v>1531</v>
      </c>
      <c r="D571" t="s">
        <v>4584</v>
      </c>
      <c r="E571" t="s">
        <v>279</v>
      </c>
      <c r="F571" t="s">
        <v>279</v>
      </c>
      <c r="G571" t="s">
        <v>2733</v>
      </c>
      <c r="H571" t="s">
        <v>279</v>
      </c>
      <c r="I571" t="s">
        <v>2616</v>
      </c>
      <c r="J571">
        <v>1</v>
      </c>
      <c r="K571">
        <v>7485</v>
      </c>
    </row>
    <row r="572" spans="1:11" x14ac:dyDescent="0.2">
      <c r="A572" t="s">
        <v>4566</v>
      </c>
      <c r="B572">
        <v>76010</v>
      </c>
      <c r="C572" t="s">
        <v>1741</v>
      </c>
      <c r="D572" t="s">
        <v>4577</v>
      </c>
      <c r="E572" t="s">
        <v>281</v>
      </c>
      <c r="F572" t="s">
        <v>281</v>
      </c>
      <c r="G572" t="s">
        <v>2718</v>
      </c>
      <c r="H572" t="s">
        <v>281</v>
      </c>
      <c r="I572" t="s">
        <v>2616</v>
      </c>
      <c r="J572">
        <v>1</v>
      </c>
      <c r="K572">
        <v>14992.33</v>
      </c>
    </row>
    <row r="573" spans="1:11" x14ac:dyDescent="0.2">
      <c r="A573" t="s">
        <v>4566</v>
      </c>
      <c r="B573">
        <v>38021</v>
      </c>
      <c r="C573" t="s">
        <v>1613</v>
      </c>
      <c r="D573" t="s">
        <v>4597</v>
      </c>
      <c r="E573" t="s">
        <v>281</v>
      </c>
      <c r="F573" t="s">
        <v>281</v>
      </c>
      <c r="G573" t="s">
        <v>2676</v>
      </c>
      <c r="H573" t="s">
        <v>281</v>
      </c>
      <c r="I573" t="s">
        <v>2616</v>
      </c>
      <c r="J573">
        <v>1</v>
      </c>
      <c r="K573">
        <v>8360.83</v>
      </c>
    </row>
    <row r="574" spans="1:11" x14ac:dyDescent="0.2">
      <c r="A574" t="s">
        <v>4566</v>
      </c>
      <c r="B574">
        <v>78013</v>
      </c>
      <c r="C574" t="s">
        <v>1753</v>
      </c>
      <c r="D574" t="s">
        <v>4621</v>
      </c>
      <c r="E574" t="s">
        <v>281</v>
      </c>
      <c r="F574" t="s">
        <v>281</v>
      </c>
      <c r="G574" t="s">
        <v>2909</v>
      </c>
      <c r="H574" t="s">
        <v>281</v>
      </c>
      <c r="I574" t="s">
        <v>2616</v>
      </c>
      <c r="J574">
        <v>1</v>
      </c>
      <c r="K574">
        <v>2127.25</v>
      </c>
    </row>
    <row r="575" spans="1:11" x14ac:dyDescent="0.2">
      <c r="A575" t="s">
        <v>4566</v>
      </c>
      <c r="B575">
        <v>34009</v>
      </c>
      <c r="C575" t="s">
        <v>1591</v>
      </c>
      <c r="D575" t="s">
        <v>4565</v>
      </c>
      <c r="E575" t="s">
        <v>281</v>
      </c>
      <c r="F575" t="s">
        <v>281</v>
      </c>
      <c r="G575" t="s">
        <v>2770</v>
      </c>
      <c r="H575" t="s">
        <v>281</v>
      </c>
      <c r="I575" t="s">
        <v>2616</v>
      </c>
      <c r="J575">
        <v>1</v>
      </c>
      <c r="K575">
        <v>2160.83</v>
      </c>
    </row>
    <row r="576" spans="1:11" x14ac:dyDescent="0.2">
      <c r="A576" t="s">
        <v>4566</v>
      </c>
      <c r="B576">
        <v>47017</v>
      </c>
      <c r="C576" t="s">
        <v>2557</v>
      </c>
      <c r="D576" t="s">
        <v>4627</v>
      </c>
      <c r="E576" t="s">
        <v>281</v>
      </c>
      <c r="F576" t="s">
        <v>281</v>
      </c>
      <c r="G576" t="s">
        <v>2893</v>
      </c>
      <c r="H576" t="s">
        <v>281</v>
      </c>
      <c r="I576" t="s">
        <v>2666</v>
      </c>
      <c r="J576">
        <v>1</v>
      </c>
      <c r="K576">
        <v>795.5</v>
      </c>
    </row>
    <row r="577" spans="1:11" x14ac:dyDescent="0.2">
      <c r="A577" t="s">
        <v>4566</v>
      </c>
      <c r="B577">
        <v>76001</v>
      </c>
      <c r="C577" t="s">
        <v>688</v>
      </c>
      <c r="D577" t="s">
        <v>4589</v>
      </c>
      <c r="E577" t="s">
        <v>281</v>
      </c>
      <c r="F577" t="s">
        <v>281</v>
      </c>
      <c r="G577" t="s">
        <v>2718</v>
      </c>
      <c r="H577" t="s">
        <v>281</v>
      </c>
      <c r="I577" t="s">
        <v>2666</v>
      </c>
      <c r="J577">
        <v>1</v>
      </c>
      <c r="K577">
        <v>169</v>
      </c>
    </row>
    <row r="578" spans="1:11" x14ac:dyDescent="0.2">
      <c r="A578" t="s">
        <v>4566</v>
      </c>
      <c r="B578">
        <v>38016</v>
      </c>
      <c r="C578" t="s">
        <v>1610</v>
      </c>
      <c r="D578" t="s">
        <v>4598</v>
      </c>
      <c r="E578" t="s">
        <v>281</v>
      </c>
      <c r="F578" t="s">
        <v>281</v>
      </c>
      <c r="G578" t="s">
        <v>2676</v>
      </c>
      <c r="H578" t="s">
        <v>281</v>
      </c>
      <c r="I578" t="s">
        <v>2616</v>
      </c>
      <c r="J578">
        <v>1</v>
      </c>
      <c r="K578">
        <v>4843</v>
      </c>
    </row>
    <row r="579" spans="1:11" x14ac:dyDescent="0.2">
      <c r="A579" t="s">
        <v>4566</v>
      </c>
      <c r="B579">
        <v>80028</v>
      </c>
      <c r="C579" t="s">
        <v>1183</v>
      </c>
      <c r="D579" t="s">
        <v>4601</v>
      </c>
      <c r="E579" t="s">
        <v>281</v>
      </c>
      <c r="F579" t="s">
        <v>281</v>
      </c>
      <c r="G579" t="s">
        <v>2842</v>
      </c>
      <c r="H579" t="s">
        <v>281</v>
      </c>
      <c r="I579" t="s">
        <v>2666</v>
      </c>
      <c r="J579">
        <v>1</v>
      </c>
      <c r="K579">
        <v>182</v>
      </c>
    </row>
    <row r="580" spans="1:11" x14ac:dyDescent="0.2">
      <c r="A580" t="s">
        <v>4566</v>
      </c>
      <c r="B580">
        <v>81010</v>
      </c>
      <c r="C580" t="s">
        <v>1762</v>
      </c>
      <c r="D580" t="s">
        <v>4617</v>
      </c>
      <c r="E580" t="s">
        <v>281</v>
      </c>
      <c r="F580" t="s">
        <v>281</v>
      </c>
      <c r="G580" t="s">
        <v>2821</v>
      </c>
      <c r="H580" t="s">
        <v>281</v>
      </c>
      <c r="I580" t="s">
        <v>2616</v>
      </c>
      <c r="J580">
        <v>1</v>
      </c>
      <c r="K580">
        <v>1471</v>
      </c>
    </row>
    <row r="581" spans="1:11" x14ac:dyDescent="0.2">
      <c r="A581" t="s">
        <v>4566</v>
      </c>
      <c r="B581">
        <v>38040</v>
      </c>
      <c r="C581" t="s">
        <v>1614</v>
      </c>
      <c r="D581" t="s">
        <v>4588</v>
      </c>
      <c r="E581" t="s">
        <v>281</v>
      </c>
      <c r="F581" t="s">
        <v>281</v>
      </c>
      <c r="G581" t="s">
        <v>2676</v>
      </c>
      <c r="H581" t="s">
        <v>281</v>
      </c>
      <c r="I581" t="s">
        <v>2616</v>
      </c>
      <c r="J581">
        <v>1</v>
      </c>
      <c r="K581">
        <v>7856.17</v>
      </c>
    </row>
    <row r="582" spans="1:11" x14ac:dyDescent="0.2">
      <c r="A582" t="s">
        <v>4566</v>
      </c>
      <c r="B582">
        <v>79005</v>
      </c>
      <c r="C582" t="s">
        <v>1755</v>
      </c>
      <c r="D582" t="s">
        <v>4620</v>
      </c>
      <c r="E582" t="s">
        <v>281</v>
      </c>
      <c r="F582" t="s">
        <v>281</v>
      </c>
      <c r="G582" t="s">
        <v>2748</v>
      </c>
      <c r="H582" t="s">
        <v>281</v>
      </c>
      <c r="I582" t="s">
        <v>2616</v>
      </c>
      <c r="J582">
        <v>1</v>
      </c>
      <c r="K582">
        <v>2817</v>
      </c>
    </row>
    <row r="583" spans="1:11" x14ac:dyDescent="0.2">
      <c r="A583" t="s">
        <v>4566</v>
      </c>
      <c r="B583">
        <v>38034</v>
      </c>
      <c r="C583" t="s">
        <v>533</v>
      </c>
      <c r="D583" t="s">
        <v>4616</v>
      </c>
      <c r="E583" t="s">
        <v>2634</v>
      </c>
      <c r="F583" t="s">
        <v>281</v>
      </c>
      <c r="G583" t="s">
        <v>2676</v>
      </c>
      <c r="H583" t="s">
        <v>2634</v>
      </c>
      <c r="I583" t="s">
        <v>2666</v>
      </c>
      <c r="J583">
        <v>1</v>
      </c>
      <c r="K583">
        <v>97</v>
      </c>
    </row>
    <row r="584" spans="1:11" x14ac:dyDescent="0.2">
      <c r="A584" t="s">
        <v>4566</v>
      </c>
      <c r="B584">
        <v>50007</v>
      </c>
      <c r="C584" t="s">
        <v>1681</v>
      </c>
      <c r="D584" t="s">
        <v>4623</v>
      </c>
      <c r="E584" t="s">
        <v>281</v>
      </c>
      <c r="F584" t="s">
        <v>281</v>
      </c>
      <c r="G584" t="s">
        <v>2954</v>
      </c>
      <c r="H584" t="s">
        <v>281</v>
      </c>
      <c r="I584" t="s">
        <v>2616</v>
      </c>
      <c r="J584">
        <v>1</v>
      </c>
      <c r="K584">
        <v>3480</v>
      </c>
    </row>
    <row r="585" spans="1:11" x14ac:dyDescent="0.2">
      <c r="A585" t="s">
        <v>4566</v>
      </c>
      <c r="B585">
        <v>34004</v>
      </c>
      <c r="C585" t="s">
        <v>1589</v>
      </c>
      <c r="D585" t="s">
        <v>4606</v>
      </c>
      <c r="E585" t="s">
        <v>281</v>
      </c>
      <c r="F585" t="s">
        <v>281</v>
      </c>
      <c r="G585" t="s">
        <v>2770</v>
      </c>
      <c r="H585" t="s">
        <v>281</v>
      </c>
      <c r="I585" t="s">
        <v>2616</v>
      </c>
      <c r="J585">
        <v>1</v>
      </c>
      <c r="K585">
        <v>965</v>
      </c>
    </row>
    <row r="586" spans="1:11" x14ac:dyDescent="0.2">
      <c r="A586" t="s">
        <v>4566</v>
      </c>
      <c r="B586">
        <v>38008</v>
      </c>
      <c r="C586" t="s">
        <v>1609</v>
      </c>
      <c r="D586" t="s">
        <v>4572</v>
      </c>
      <c r="E586" t="s">
        <v>281</v>
      </c>
      <c r="F586" t="s">
        <v>281</v>
      </c>
      <c r="G586" t="s">
        <v>2676</v>
      </c>
      <c r="H586" t="s">
        <v>281</v>
      </c>
      <c r="I586" t="s">
        <v>2616</v>
      </c>
      <c r="J586">
        <v>1</v>
      </c>
      <c r="K586">
        <v>6087</v>
      </c>
    </row>
    <row r="587" spans="1:11" x14ac:dyDescent="0.2">
      <c r="A587" t="s">
        <v>4566</v>
      </c>
      <c r="B587">
        <v>45005</v>
      </c>
      <c r="C587" t="s">
        <v>2556</v>
      </c>
      <c r="D587" t="s">
        <v>4612</v>
      </c>
      <c r="E587" t="s">
        <v>281</v>
      </c>
      <c r="F587" t="s">
        <v>281</v>
      </c>
      <c r="G587" t="s">
        <v>3263</v>
      </c>
      <c r="H587" t="s">
        <v>281</v>
      </c>
      <c r="I587" t="s">
        <v>2666</v>
      </c>
      <c r="J587">
        <v>1</v>
      </c>
      <c r="K587">
        <v>603</v>
      </c>
    </row>
    <row r="588" spans="1:11" x14ac:dyDescent="0.2">
      <c r="A588" t="s">
        <v>4566</v>
      </c>
      <c r="B588">
        <v>79002</v>
      </c>
      <c r="C588" t="s">
        <v>1754</v>
      </c>
      <c r="D588" t="s">
        <v>4573</v>
      </c>
      <c r="E588" t="s">
        <v>281</v>
      </c>
      <c r="F588" t="s">
        <v>281</v>
      </c>
      <c r="G588" t="s">
        <v>2748</v>
      </c>
      <c r="H588" t="s">
        <v>281</v>
      </c>
      <c r="I588" t="s">
        <v>2616</v>
      </c>
      <c r="J588">
        <v>1</v>
      </c>
      <c r="K588">
        <v>2483</v>
      </c>
    </row>
    <row r="589" spans="1:11" x14ac:dyDescent="0.2">
      <c r="A589" t="s">
        <v>4566</v>
      </c>
      <c r="B589">
        <v>38019</v>
      </c>
      <c r="C589" t="s">
        <v>1612</v>
      </c>
      <c r="D589" t="s">
        <v>4611</v>
      </c>
      <c r="E589" t="s">
        <v>281</v>
      </c>
      <c r="F589" t="s">
        <v>281</v>
      </c>
      <c r="G589" t="s">
        <v>2676</v>
      </c>
      <c r="H589" t="s">
        <v>281</v>
      </c>
      <c r="I589" t="s">
        <v>2616</v>
      </c>
      <c r="J589">
        <v>1</v>
      </c>
      <c r="K589">
        <v>6442.35</v>
      </c>
    </row>
    <row r="590" spans="1:11" x14ac:dyDescent="0.2">
      <c r="A590" t="s">
        <v>4566</v>
      </c>
      <c r="B590">
        <v>50012</v>
      </c>
      <c r="C590" t="s">
        <v>1683</v>
      </c>
      <c r="D590" t="s">
        <v>4609</v>
      </c>
      <c r="E590" t="s">
        <v>281</v>
      </c>
      <c r="F590" t="s">
        <v>281</v>
      </c>
      <c r="G590" t="s">
        <v>2667</v>
      </c>
      <c r="H590" t="s">
        <v>281</v>
      </c>
      <c r="I590" t="s">
        <v>2616</v>
      </c>
      <c r="J590">
        <v>1</v>
      </c>
      <c r="K590">
        <v>17</v>
      </c>
    </row>
    <row r="591" spans="1:11" x14ac:dyDescent="0.2">
      <c r="A591" t="s">
        <v>4566</v>
      </c>
      <c r="B591">
        <v>80025</v>
      </c>
      <c r="C591" t="s">
        <v>1090</v>
      </c>
      <c r="D591" t="s">
        <v>4593</v>
      </c>
      <c r="E591" t="s">
        <v>281</v>
      </c>
      <c r="F591" t="s">
        <v>281</v>
      </c>
      <c r="G591" t="s">
        <v>2842</v>
      </c>
      <c r="H591" t="s">
        <v>281</v>
      </c>
      <c r="I591" t="s">
        <v>2616</v>
      </c>
      <c r="J591">
        <v>1</v>
      </c>
      <c r="K591">
        <v>1682</v>
      </c>
    </row>
    <row r="592" spans="1:11" x14ac:dyDescent="0.2">
      <c r="A592" t="s">
        <v>4566</v>
      </c>
      <c r="B592">
        <v>47003</v>
      </c>
      <c r="C592" t="s">
        <v>597</v>
      </c>
      <c r="D592" t="s">
        <v>4579</v>
      </c>
      <c r="E592" t="s">
        <v>281</v>
      </c>
      <c r="F592" t="s">
        <v>281</v>
      </c>
      <c r="G592" t="s">
        <v>2893</v>
      </c>
      <c r="H592" t="s">
        <v>281</v>
      </c>
      <c r="I592" t="s">
        <v>2666</v>
      </c>
      <c r="J592">
        <v>1</v>
      </c>
      <c r="K592">
        <v>164</v>
      </c>
    </row>
    <row r="593" spans="1:11" x14ac:dyDescent="0.2">
      <c r="A593" t="s">
        <v>4566</v>
      </c>
      <c r="B593">
        <v>35002</v>
      </c>
      <c r="C593" t="s">
        <v>1593</v>
      </c>
      <c r="D593" t="s">
        <v>4591</v>
      </c>
      <c r="E593" t="s">
        <v>281</v>
      </c>
      <c r="F593" t="s">
        <v>281</v>
      </c>
      <c r="G593" t="s">
        <v>3334</v>
      </c>
      <c r="H593" t="s">
        <v>281</v>
      </c>
      <c r="I593" t="s">
        <v>2616</v>
      </c>
      <c r="J593">
        <v>1</v>
      </c>
      <c r="K593">
        <v>5478.67</v>
      </c>
    </row>
    <row r="594" spans="1:11" x14ac:dyDescent="0.2">
      <c r="A594" t="s">
        <v>4566</v>
      </c>
      <c r="B594">
        <v>80027</v>
      </c>
      <c r="C594" t="s">
        <v>1322</v>
      </c>
      <c r="D594" t="s">
        <v>4603</v>
      </c>
      <c r="E594" t="s">
        <v>281</v>
      </c>
      <c r="F594" t="s">
        <v>281</v>
      </c>
      <c r="G594" t="s">
        <v>2842</v>
      </c>
      <c r="H594" t="s">
        <v>281</v>
      </c>
      <c r="I594" t="s">
        <v>2666</v>
      </c>
      <c r="J594">
        <v>1</v>
      </c>
      <c r="K594">
        <v>492.17</v>
      </c>
    </row>
    <row r="595" spans="1:11" x14ac:dyDescent="0.2">
      <c r="A595" t="s">
        <v>4566</v>
      </c>
      <c r="B595">
        <v>47011</v>
      </c>
      <c r="C595" t="s">
        <v>1086</v>
      </c>
      <c r="D595" t="s">
        <v>4590</v>
      </c>
      <c r="E595" t="s">
        <v>281</v>
      </c>
      <c r="F595" t="s">
        <v>281</v>
      </c>
      <c r="G595" t="s">
        <v>2893</v>
      </c>
      <c r="H595" t="s">
        <v>281</v>
      </c>
      <c r="I595" t="s">
        <v>2616</v>
      </c>
      <c r="J595">
        <v>1</v>
      </c>
      <c r="K595">
        <v>44383.32</v>
      </c>
    </row>
    <row r="596" spans="1:11" x14ac:dyDescent="0.2">
      <c r="A596" t="s">
        <v>4566</v>
      </c>
      <c r="B596">
        <v>80023</v>
      </c>
      <c r="C596" t="s">
        <v>712</v>
      </c>
      <c r="D596" t="s">
        <v>4585</v>
      </c>
      <c r="E596" t="s">
        <v>281</v>
      </c>
      <c r="F596" t="s">
        <v>281</v>
      </c>
      <c r="G596" t="s">
        <v>2842</v>
      </c>
      <c r="H596" t="s">
        <v>281</v>
      </c>
      <c r="I596" t="s">
        <v>2666</v>
      </c>
      <c r="J596">
        <v>1</v>
      </c>
      <c r="K596">
        <v>71</v>
      </c>
    </row>
    <row r="597" spans="1:11" x14ac:dyDescent="0.2">
      <c r="A597" t="s">
        <v>4566</v>
      </c>
      <c r="B597">
        <v>76015</v>
      </c>
      <c r="C597" t="s">
        <v>1742</v>
      </c>
      <c r="D597" t="s">
        <v>4626</v>
      </c>
      <c r="E597" t="s">
        <v>281</v>
      </c>
      <c r="F597" t="s">
        <v>281</v>
      </c>
      <c r="G597" t="s">
        <v>2718</v>
      </c>
      <c r="H597" t="s">
        <v>281</v>
      </c>
      <c r="I597" t="s">
        <v>2616</v>
      </c>
      <c r="J597">
        <v>1</v>
      </c>
      <c r="K597">
        <v>3783</v>
      </c>
    </row>
    <row r="598" spans="1:11" x14ac:dyDescent="0.2">
      <c r="A598" t="s">
        <v>4566</v>
      </c>
      <c r="B598">
        <v>80053</v>
      </c>
      <c r="C598" t="s">
        <v>1372</v>
      </c>
      <c r="D598" t="s">
        <v>4575</v>
      </c>
      <c r="E598" t="s">
        <v>281</v>
      </c>
      <c r="F598" t="s">
        <v>281</v>
      </c>
      <c r="G598" t="s">
        <v>2842</v>
      </c>
      <c r="H598" t="s">
        <v>281</v>
      </c>
      <c r="I598" t="s">
        <v>2666</v>
      </c>
      <c r="J598">
        <v>1</v>
      </c>
      <c r="K598">
        <v>38</v>
      </c>
    </row>
    <row r="599" spans="1:11" x14ac:dyDescent="0.2">
      <c r="A599" t="s">
        <v>4566</v>
      </c>
      <c r="B599">
        <v>78011</v>
      </c>
      <c r="C599" t="s">
        <v>1180</v>
      </c>
      <c r="D599" t="s">
        <v>4622</v>
      </c>
      <c r="E599" t="s">
        <v>281</v>
      </c>
      <c r="F599" t="s">
        <v>281</v>
      </c>
      <c r="G599" t="s">
        <v>2909</v>
      </c>
      <c r="H599" t="s">
        <v>281</v>
      </c>
      <c r="I599" t="s">
        <v>2666</v>
      </c>
      <c r="J599">
        <v>1</v>
      </c>
      <c r="K599">
        <v>55</v>
      </c>
    </row>
    <row r="600" spans="1:11" x14ac:dyDescent="0.2">
      <c r="A600" t="s">
        <v>4566</v>
      </c>
      <c r="B600">
        <v>47005</v>
      </c>
      <c r="C600" t="s">
        <v>1661</v>
      </c>
      <c r="D600" t="s">
        <v>4604</v>
      </c>
      <c r="E600" t="s">
        <v>281</v>
      </c>
      <c r="F600" t="s">
        <v>281</v>
      </c>
      <c r="G600" t="s">
        <v>2893</v>
      </c>
      <c r="H600" t="s">
        <v>281</v>
      </c>
      <c r="I600" t="s">
        <v>2616</v>
      </c>
      <c r="J600">
        <v>1</v>
      </c>
      <c r="K600">
        <v>9286.5</v>
      </c>
    </row>
    <row r="601" spans="1:11" x14ac:dyDescent="0.2">
      <c r="A601" t="s">
        <v>4566</v>
      </c>
      <c r="B601">
        <v>35001</v>
      </c>
      <c r="C601" t="s">
        <v>1592</v>
      </c>
      <c r="D601" t="s">
        <v>4599</v>
      </c>
      <c r="E601" t="s">
        <v>281</v>
      </c>
      <c r="F601" t="s">
        <v>281</v>
      </c>
      <c r="G601" t="s">
        <v>3334</v>
      </c>
      <c r="H601" t="s">
        <v>281</v>
      </c>
      <c r="I601" t="s">
        <v>2616</v>
      </c>
      <c r="J601">
        <v>1</v>
      </c>
      <c r="K601">
        <v>9242.9500000000007</v>
      </c>
    </row>
    <row r="602" spans="1:11" x14ac:dyDescent="0.2">
      <c r="A602" t="s">
        <v>4566</v>
      </c>
      <c r="B602">
        <v>81001</v>
      </c>
      <c r="C602" t="s">
        <v>1760</v>
      </c>
      <c r="D602" t="s">
        <v>4610</v>
      </c>
      <c r="E602" t="s">
        <v>281</v>
      </c>
      <c r="F602" t="s">
        <v>281</v>
      </c>
      <c r="G602" t="s">
        <v>2821</v>
      </c>
      <c r="H602" t="s">
        <v>281</v>
      </c>
      <c r="I602" t="s">
        <v>2616</v>
      </c>
      <c r="J602">
        <v>1</v>
      </c>
      <c r="K602">
        <v>3539</v>
      </c>
    </row>
    <row r="603" spans="1:11" x14ac:dyDescent="0.2">
      <c r="A603" t="s">
        <v>4566</v>
      </c>
      <c r="B603">
        <v>80010</v>
      </c>
      <c r="C603" t="s">
        <v>705</v>
      </c>
      <c r="D603" t="s">
        <v>4618</v>
      </c>
      <c r="E603" t="s">
        <v>281</v>
      </c>
      <c r="F603" t="s">
        <v>281</v>
      </c>
      <c r="G603" t="s">
        <v>2842</v>
      </c>
      <c r="H603" t="s">
        <v>281</v>
      </c>
      <c r="I603" t="s">
        <v>2666</v>
      </c>
      <c r="J603">
        <v>1</v>
      </c>
      <c r="K603">
        <v>41</v>
      </c>
    </row>
    <row r="604" spans="1:11" x14ac:dyDescent="0.2">
      <c r="A604" t="s">
        <v>4566</v>
      </c>
      <c r="B604">
        <v>76018</v>
      </c>
      <c r="C604" t="s">
        <v>1743</v>
      </c>
      <c r="D604" t="s">
        <v>4571</v>
      </c>
      <c r="E604" t="s">
        <v>281</v>
      </c>
      <c r="F604" t="s">
        <v>281</v>
      </c>
      <c r="G604" t="s">
        <v>2718</v>
      </c>
      <c r="H604" t="s">
        <v>281</v>
      </c>
      <c r="I604" t="s">
        <v>2616</v>
      </c>
      <c r="J604">
        <v>1</v>
      </c>
      <c r="K604">
        <v>3548.33</v>
      </c>
    </row>
    <row r="605" spans="1:11" x14ac:dyDescent="0.2">
      <c r="A605" t="s">
        <v>4566</v>
      </c>
      <c r="B605">
        <v>23006</v>
      </c>
      <c r="C605" t="s">
        <v>1508</v>
      </c>
      <c r="D605" t="s">
        <v>4615</v>
      </c>
      <c r="E605" t="s">
        <v>279</v>
      </c>
      <c r="F605" t="s">
        <v>279</v>
      </c>
      <c r="G605" t="s">
        <v>2733</v>
      </c>
      <c r="H605" t="s">
        <v>279</v>
      </c>
      <c r="I605" t="s">
        <v>2616</v>
      </c>
      <c r="J605">
        <v>1</v>
      </c>
      <c r="K605">
        <v>9571</v>
      </c>
    </row>
    <row r="606" spans="1:11" x14ac:dyDescent="0.2">
      <c r="A606" t="s">
        <v>4566</v>
      </c>
      <c r="B606">
        <v>78003</v>
      </c>
      <c r="C606" t="s">
        <v>1751</v>
      </c>
      <c r="D606" t="s">
        <v>4625</v>
      </c>
      <c r="E606" t="s">
        <v>2634</v>
      </c>
      <c r="F606" t="s">
        <v>281</v>
      </c>
      <c r="G606" t="s">
        <v>2909</v>
      </c>
      <c r="H606" t="s">
        <v>2634</v>
      </c>
      <c r="I606" t="s">
        <v>2616</v>
      </c>
      <c r="J606">
        <v>1</v>
      </c>
      <c r="K606">
        <v>140</v>
      </c>
    </row>
    <row r="607" spans="1:11" x14ac:dyDescent="0.2">
      <c r="A607" t="s">
        <v>4566</v>
      </c>
      <c r="B607">
        <v>81011</v>
      </c>
      <c r="C607" t="s">
        <v>1763</v>
      </c>
      <c r="D607" t="s">
        <v>4583</v>
      </c>
      <c r="E607" t="s">
        <v>281</v>
      </c>
      <c r="F607" t="s">
        <v>281</v>
      </c>
      <c r="G607" t="s">
        <v>2821</v>
      </c>
      <c r="H607" t="s">
        <v>281</v>
      </c>
      <c r="I607" t="s">
        <v>2616</v>
      </c>
      <c r="J607">
        <v>1</v>
      </c>
      <c r="K607">
        <v>2251</v>
      </c>
    </row>
    <row r="608" spans="1:11" x14ac:dyDescent="0.2">
      <c r="A608" t="s">
        <v>4566</v>
      </c>
      <c r="B608">
        <v>81018</v>
      </c>
      <c r="C608" t="s">
        <v>1064</v>
      </c>
      <c r="D608" t="s">
        <v>4574</v>
      </c>
      <c r="E608" t="s">
        <v>281</v>
      </c>
      <c r="F608" t="s">
        <v>281</v>
      </c>
      <c r="G608" t="s">
        <v>2821</v>
      </c>
      <c r="H608" t="s">
        <v>281</v>
      </c>
      <c r="I608" t="s">
        <v>2666</v>
      </c>
      <c r="J608">
        <v>1</v>
      </c>
      <c r="K608">
        <v>225</v>
      </c>
    </row>
    <row r="609" spans="1:11" x14ac:dyDescent="0.2">
      <c r="A609" t="s">
        <v>4566</v>
      </c>
      <c r="B609">
        <v>25045</v>
      </c>
      <c r="C609" t="s">
        <v>1533</v>
      </c>
      <c r="D609" t="s">
        <v>4580</v>
      </c>
      <c r="E609" t="s">
        <v>279</v>
      </c>
      <c r="F609" t="s">
        <v>279</v>
      </c>
      <c r="G609" t="s">
        <v>2733</v>
      </c>
      <c r="H609" t="s">
        <v>279</v>
      </c>
      <c r="I609" t="s">
        <v>2616</v>
      </c>
      <c r="J609">
        <v>1</v>
      </c>
      <c r="K609">
        <v>30071.5</v>
      </c>
    </row>
    <row r="610" spans="1:11" x14ac:dyDescent="0.2">
      <c r="A610" t="s">
        <v>4566</v>
      </c>
      <c r="B610">
        <v>39003</v>
      </c>
      <c r="C610" t="s">
        <v>1084</v>
      </c>
      <c r="D610" t="s">
        <v>4570</v>
      </c>
      <c r="E610" t="s">
        <v>281</v>
      </c>
      <c r="F610" t="s">
        <v>281</v>
      </c>
      <c r="G610" t="s">
        <v>2988</v>
      </c>
      <c r="H610" t="s">
        <v>281</v>
      </c>
      <c r="I610" t="s">
        <v>2616</v>
      </c>
      <c r="J610">
        <v>1</v>
      </c>
      <c r="K610">
        <v>179</v>
      </c>
    </row>
    <row r="611" spans="1:11" x14ac:dyDescent="0.2">
      <c r="A611" t="s">
        <v>4566</v>
      </c>
      <c r="B611">
        <v>38017</v>
      </c>
      <c r="C611" t="s">
        <v>1083</v>
      </c>
      <c r="D611" t="s">
        <v>4576</v>
      </c>
      <c r="E611" t="s">
        <v>281</v>
      </c>
      <c r="F611" t="s">
        <v>281</v>
      </c>
      <c r="G611" t="s">
        <v>2676</v>
      </c>
      <c r="H611" t="s">
        <v>281</v>
      </c>
      <c r="I611" t="s">
        <v>2616</v>
      </c>
      <c r="J611">
        <v>1</v>
      </c>
      <c r="K611">
        <v>3042</v>
      </c>
    </row>
    <row r="612" spans="1:11" x14ac:dyDescent="0.2">
      <c r="A612" t="s">
        <v>4566</v>
      </c>
      <c r="B612">
        <v>50020</v>
      </c>
      <c r="C612" t="s">
        <v>1686</v>
      </c>
      <c r="D612" t="s">
        <v>4596</v>
      </c>
      <c r="E612" t="s">
        <v>281</v>
      </c>
      <c r="F612" t="s">
        <v>281</v>
      </c>
      <c r="G612" t="s">
        <v>2667</v>
      </c>
      <c r="H612" t="s">
        <v>281</v>
      </c>
      <c r="I612" t="s">
        <v>2616</v>
      </c>
      <c r="J612">
        <v>1</v>
      </c>
      <c r="K612">
        <v>15429</v>
      </c>
    </row>
    <row r="613" spans="1:11" x14ac:dyDescent="0.2">
      <c r="A613" t="s">
        <v>4566</v>
      </c>
      <c r="B613">
        <v>38007</v>
      </c>
      <c r="C613" t="s">
        <v>1608</v>
      </c>
      <c r="D613" t="s">
        <v>4569</v>
      </c>
      <c r="E613" t="s">
        <v>281</v>
      </c>
      <c r="F613" t="s">
        <v>281</v>
      </c>
      <c r="G613" t="s">
        <v>2676</v>
      </c>
      <c r="H613" t="s">
        <v>281</v>
      </c>
      <c r="I613" t="s">
        <v>2616</v>
      </c>
      <c r="J613">
        <v>1</v>
      </c>
      <c r="K613">
        <v>16467.330000000002</v>
      </c>
    </row>
    <row r="614" spans="1:11" x14ac:dyDescent="0.2">
      <c r="A614" t="s">
        <v>4566</v>
      </c>
      <c r="B614">
        <v>50016</v>
      </c>
      <c r="C614" t="s">
        <v>1685</v>
      </c>
      <c r="D614" t="s">
        <v>4594</v>
      </c>
      <c r="E614" t="s">
        <v>281</v>
      </c>
      <c r="F614" t="s">
        <v>281</v>
      </c>
      <c r="G614" t="s">
        <v>2667</v>
      </c>
      <c r="H614" t="s">
        <v>281</v>
      </c>
      <c r="I614" t="s">
        <v>2616</v>
      </c>
      <c r="J614">
        <v>1</v>
      </c>
      <c r="K614">
        <v>5189</v>
      </c>
    </row>
    <row r="615" spans="1:11" x14ac:dyDescent="0.2">
      <c r="A615" t="s">
        <v>4566</v>
      </c>
      <c r="B615">
        <v>81031</v>
      </c>
      <c r="C615" t="s">
        <v>4582</v>
      </c>
      <c r="D615" t="s">
        <v>4581</v>
      </c>
      <c r="E615" t="s">
        <v>281</v>
      </c>
      <c r="F615" t="s">
        <v>281</v>
      </c>
      <c r="G615" t="s">
        <v>2821</v>
      </c>
      <c r="H615" t="s">
        <v>281</v>
      </c>
      <c r="I615" t="s">
        <v>2666</v>
      </c>
      <c r="J615">
        <v>1</v>
      </c>
      <c r="K615">
        <v>-8</v>
      </c>
    </row>
    <row r="616" spans="1:11" x14ac:dyDescent="0.2">
      <c r="A616" t="s">
        <v>4566</v>
      </c>
      <c r="B616">
        <v>34003</v>
      </c>
      <c r="C616" t="s">
        <v>1588</v>
      </c>
      <c r="D616" t="s">
        <v>4608</v>
      </c>
      <c r="E616" t="s">
        <v>281</v>
      </c>
      <c r="F616" t="s">
        <v>281</v>
      </c>
      <c r="G616" t="s">
        <v>2770</v>
      </c>
      <c r="H616" t="s">
        <v>281</v>
      </c>
      <c r="I616" t="s">
        <v>2616</v>
      </c>
      <c r="J616">
        <v>1</v>
      </c>
      <c r="K616">
        <v>871</v>
      </c>
    </row>
    <row r="617" spans="1:11" x14ac:dyDescent="0.2">
      <c r="A617" t="s">
        <v>4566</v>
      </c>
      <c r="B617">
        <v>76012</v>
      </c>
      <c r="C617" t="s">
        <v>1063</v>
      </c>
      <c r="D617" t="s">
        <v>4619</v>
      </c>
      <c r="E617" t="s">
        <v>281</v>
      </c>
      <c r="F617" t="s">
        <v>281</v>
      </c>
      <c r="G617" t="s">
        <v>2718</v>
      </c>
      <c r="H617" t="s">
        <v>281</v>
      </c>
      <c r="I617" t="s">
        <v>2666</v>
      </c>
      <c r="J617">
        <v>1</v>
      </c>
      <c r="K617">
        <v>68</v>
      </c>
    </row>
    <row r="618" spans="1:11" x14ac:dyDescent="0.2">
      <c r="A618" t="s">
        <v>4566</v>
      </c>
      <c r="B618">
        <v>35009</v>
      </c>
      <c r="C618" t="s">
        <v>1052</v>
      </c>
      <c r="D618" t="s">
        <v>4613</v>
      </c>
      <c r="E618" t="s">
        <v>281</v>
      </c>
      <c r="F618" t="s">
        <v>281</v>
      </c>
      <c r="G618" t="s">
        <v>3334</v>
      </c>
      <c r="H618" t="s">
        <v>281</v>
      </c>
      <c r="I618" t="s">
        <v>2666</v>
      </c>
      <c r="J618">
        <v>1</v>
      </c>
      <c r="K618">
        <v>480</v>
      </c>
    </row>
    <row r="619" spans="1:11" x14ac:dyDescent="0.2">
      <c r="A619" t="s">
        <v>4566</v>
      </c>
      <c r="B619">
        <v>81017</v>
      </c>
      <c r="C619" t="s">
        <v>725</v>
      </c>
      <c r="D619" t="s">
        <v>4586</v>
      </c>
      <c r="E619" t="s">
        <v>281</v>
      </c>
      <c r="F619" t="s">
        <v>281</v>
      </c>
      <c r="G619" t="s">
        <v>2821</v>
      </c>
      <c r="H619" t="s">
        <v>281</v>
      </c>
      <c r="I619" t="s">
        <v>2666</v>
      </c>
      <c r="J619">
        <v>1</v>
      </c>
      <c r="K619">
        <v>679</v>
      </c>
    </row>
    <row r="620" spans="1:11" x14ac:dyDescent="0.2">
      <c r="A620" t="s">
        <v>4566</v>
      </c>
      <c r="B620">
        <v>79007</v>
      </c>
      <c r="C620" t="s">
        <v>1089</v>
      </c>
      <c r="D620" t="s">
        <v>4567</v>
      </c>
      <c r="E620" t="s">
        <v>281</v>
      </c>
      <c r="F620" t="s">
        <v>281</v>
      </c>
      <c r="G620" t="s">
        <v>2748</v>
      </c>
      <c r="H620" t="s">
        <v>281</v>
      </c>
      <c r="I620" t="s">
        <v>2616</v>
      </c>
      <c r="J620">
        <v>1</v>
      </c>
      <c r="K620">
        <v>1103</v>
      </c>
    </row>
    <row r="621" spans="1:11" x14ac:dyDescent="0.2">
      <c r="A621" t="s">
        <v>4566</v>
      </c>
      <c r="B621">
        <v>34001</v>
      </c>
      <c r="C621" t="s">
        <v>1587</v>
      </c>
      <c r="D621" t="s">
        <v>4614</v>
      </c>
      <c r="E621" t="s">
        <v>281</v>
      </c>
      <c r="F621" t="s">
        <v>281</v>
      </c>
      <c r="G621" t="s">
        <v>3334</v>
      </c>
      <c r="H621" t="s">
        <v>281</v>
      </c>
      <c r="I621" t="s">
        <v>2616</v>
      </c>
      <c r="J621">
        <v>1</v>
      </c>
      <c r="K621">
        <v>1329</v>
      </c>
    </row>
    <row r="622" spans="1:11" x14ac:dyDescent="0.2">
      <c r="A622" t="s">
        <v>4564</v>
      </c>
      <c r="B622">
        <v>31037</v>
      </c>
      <c r="C622" t="s">
        <v>1099</v>
      </c>
      <c r="D622" t="s">
        <v>4563</v>
      </c>
      <c r="E622" t="s">
        <v>281</v>
      </c>
      <c r="F622" t="s">
        <v>281</v>
      </c>
      <c r="G622" t="s">
        <v>2736</v>
      </c>
      <c r="H622" t="s">
        <v>281</v>
      </c>
      <c r="I622" t="s">
        <v>2666</v>
      </c>
      <c r="J622">
        <v>1</v>
      </c>
      <c r="K622">
        <v>5174</v>
      </c>
    </row>
    <row r="623" spans="1:11" x14ac:dyDescent="0.2">
      <c r="A623" t="s">
        <v>4457</v>
      </c>
      <c r="B623">
        <v>49076</v>
      </c>
      <c r="C623" t="s">
        <v>629</v>
      </c>
      <c r="D623" t="s">
        <v>4475</v>
      </c>
      <c r="E623" t="s">
        <v>281</v>
      </c>
      <c r="F623" t="s">
        <v>281</v>
      </c>
      <c r="G623" t="s">
        <v>2983</v>
      </c>
      <c r="H623" t="s">
        <v>281</v>
      </c>
      <c r="I623" t="s">
        <v>2666</v>
      </c>
      <c r="J623">
        <v>1</v>
      </c>
      <c r="K623">
        <v>203</v>
      </c>
    </row>
    <row r="624" spans="1:11" x14ac:dyDescent="0.2">
      <c r="A624" t="s">
        <v>4457</v>
      </c>
      <c r="B624">
        <v>43007</v>
      </c>
      <c r="C624" t="s">
        <v>1637</v>
      </c>
      <c r="D624" t="s">
        <v>4498</v>
      </c>
      <c r="E624" t="s">
        <v>281</v>
      </c>
      <c r="F624" t="s">
        <v>281</v>
      </c>
      <c r="G624" t="s">
        <v>2706</v>
      </c>
      <c r="H624" t="s">
        <v>281</v>
      </c>
      <c r="I624" t="s">
        <v>2616</v>
      </c>
      <c r="J624">
        <v>1</v>
      </c>
      <c r="K624">
        <v>4065</v>
      </c>
    </row>
    <row r="625" spans="1:11" x14ac:dyDescent="0.2">
      <c r="A625" t="s">
        <v>4457</v>
      </c>
      <c r="B625">
        <v>43006</v>
      </c>
      <c r="C625" t="s">
        <v>1636</v>
      </c>
      <c r="D625" t="s">
        <v>4467</v>
      </c>
      <c r="E625" t="s">
        <v>281</v>
      </c>
      <c r="F625" t="s">
        <v>281</v>
      </c>
      <c r="G625" t="s">
        <v>2706</v>
      </c>
      <c r="H625" t="s">
        <v>281</v>
      </c>
      <c r="I625" t="s">
        <v>2616</v>
      </c>
      <c r="J625">
        <v>1</v>
      </c>
      <c r="K625">
        <v>8636</v>
      </c>
    </row>
    <row r="626" spans="1:11" x14ac:dyDescent="0.2">
      <c r="A626" t="s">
        <v>4457</v>
      </c>
      <c r="B626">
        <v>46002</v>
      </c>
      <c r="C626" t="s">
        <v>1651</v>
      </c>
      <c r="D626" t="s">
        <v>4540</v>
      </c>
      <c r="E626" t="s">
        <v>281</v>
      </c>
      <c r="F626" t="s">
        <v>281</v>
      </c>
      <c r="G626" t="s">
        <v>2826</v>
      </c>
      <c r="H626" t="s">
        <v>281</v>
      </c>
      <c r="I626" t="s">
        <v>2616</v>
      </c>
      <c r="J626">
        <v>1</v>
      </c>
      <c r="K626">
        <v>2112</v>
      </c>
    </row>
    <row r="627" spans="1:11" x14ac:dyDescent="0.2">
      <c r="A627" t="s">
        <v>4457</v>
      </c>
      <c r="B627">
        <v>44017</v>
      </c>
      <c r="C627" t="s">
        <v>572</v>
      </c>
      <c r="D627" t="s">
        <v>4530</v>
      </c>
      <c r="E627" t="s">
        <v>281</v>
      </c>
      <c r="F627" t="s">
        <v>281</v>
      </c>
      <c r="G627" t="s">
        <v>3248</v>
      </c>
      <c r="H627" t="s">
        <v>281</v>
      </c>
      <c r="I627" t="s">
        <v>2666</v>
      </c>
      <c r="J627">
        <v>1</v>
      </c>
      <c r="K627">
        <v>1823</v>
      </c>
    </row>
    <row r="628" spans="1:11" x14ac:dyDescent="0.2">
      <c r="A628" t="s">
        <v>4457</v>
      </c>
      <c r="B628">
        <v>46003</v>
      </c>
      <c r="C628" t="s">
        <v>1652</v>
      </c>
      <c r="D628" t="s">
        <v>4466</v>
      </c>
      <c r="E628" t="s">
        <v>281</v>
      </c>
      <c r="F628" t="s">
        <v>281</v>
      </c>
      <c r="G628" t="s">
        <v>2826</v>
      </c>
      <c r="H628" t="s">
        <v>281</v>
      </c>
      <c r="I628" t="s">
        <v>2616</v>
      </c>
      <c r="J628">
        <v>1</v>
      </c>
      <c r="K628">
        <v>2955</v>
      </c>
    </row>
    <row r="629" spans="1:11" x14ac:dyDescent="0.2">
      <c r="A629" t="s">
        <v>4457</v>
      </c>
      <c r="B629">
        <v>53005</v>
      </c>
      <c r="C629" t="s">
        <v>648</v>
      </c>
      <c r="D629" t="s">
        <v>4519</v>
      </c>
      <c r="E629" t="s">
        <v>281</v>
      </c>
      <c r="F629" t="s">
        <v>281</v>
      </c>
      <c r="G629" t="s">
        <v>3222</v>
      </c>
      <c r="H629" t="s">
        <v>281</v>
      </c>
      <c r="I629" t="s">
        <v>2666</v>
      </c>
      <c r="J629">
        <v>1</v>
      </c>
      <c r="K629">
        <v>32</v>
      </c>
    </row>
    <row r="630" spans="1:11" x14ac:dyDescent="0.2">
      <c r="A630" t="s">
        <v>4457</v>
      </c>
      <c r="B630">
        <v>44001</v>
      </c>
      <c r="C630" t="s">
        <v>2553</v>
      </c>
      <c r="D630" t="s">
        <v>4507</v>
      </c>
      <c r="E630" t="s">
        <v>2634</v>
      </c>
      <c r="F630" t="s">
        <v>281</v>
      </c>
      <c r="G630" t="s">
        <v>3248</v>
      </c>
      <c r="H630" t="s">
        <v>2634</v>
      </c>
      <c r="I630" t="s">
        <v>2666</v>
      </c>
      <c r="J630">
        <v>1</v>
      </c>
      <c r="K630">
        <v>55</v>
      </c>
    </row>
    <row r="631" spans="1:11" x14ac:dyDescent="0.2">
      <c r="A631" t="s">
        <v>4457</v>
      </c>
      <c r="B631">
        <v>49012</v>
      </c>
      <c r="C631" t="s">
        <v>603</v>
      </c>
      <c r="D631" t="s">
        <v>4481</v>
      </c>
      <c r="E631" t="s">
        <v>281</v>
      </c>
      <c r="F631" t="s">
        <v>281</v>
      </c>
      <c r="G631" t="s">
        <v>2983</v>
      </c>
      <c r="H631" t="s">
        <v>281</v>
      </c>
      <c r="I631" t="s">
        <v>2666</v>
      </c>
      <c r="J631">
        <v>1</v>
      </c>
      <c r="K631">
        <v>28</v>
      </c>
    </row>
    <row r="632" spans="1:11" x14ac:dyDescent="0.2">
      <c r="A632" t="s">
        <v>4457</v>
      </c>
      <c r="B632">
        <v>46024</v>
      </c>
      <c r="C632" t="s">
        <v>1658</v>
      </c>
      <c r="D632" t="s">
        <v>4477</v>
      </c>
      <c r="E632" t="s">
        <v>281</v>
      </c>
      <c r="F632" t="s">
        <v>281</v>
      </c>
      <c r="G632" t="s">
        <v>2826</v>
      </c>
      <c r="H632" t="s">
        <v>281</v>
      </c>
      <c r="I632" t="s">
        <v>2616</v>
      </c>
      <c r="J632">
        <v>1</v>
      </c>
      <c r="K632">
        <v>348</v>
      </c>
    </row>
    <row r="633" spans="1:11" x14ac:dyDescent="0.2">
      <c r="A633" t="s">
        <v>4457</v>
      </c>
      <c r="B633">
        <v>48005</v>
      </c>
      <c r="C633" t="s">
        <v>1663</v>
      </c>
      <c r="D633" t="s">
        <v>4461</v>
      </c>
      <c r="E633" t="s">
        <v>281</v>
      </c>
      <c r="F633" t="s">
        <v>281</v>
      </c>
      <c r="G633" t="s">
        <v>4460</v>
      </c>
      <c r="H633" t="s">
        <v>281</v>
      </c>
      <c r="I633" t="s">
        <v>2616</v>
      </c>
      <c r="J633">
        <v>1</v>
      </c>
      <c r="K633">
        <v>605</v>
      </c>
    </row>
    <row r="634" spans="1:11" x14ac:dyDescent="0.2">
      <c r="A634" t="s">
        <v>4457</v>
      </c>
      <c r="B634">
        <v>49031</v>
      </c>
      <c r="C634" t="s">
        <v>1667</v>
      </c>
      <c r="D634" t="s">
        <v>4487</v>
      </c>
      <c r="E634" t="s">
        <v>281</v>
      </c>
      <c r="F634" t="s">
        <v>281</v>
      </c>
      <c r="G634" t="s">
        <v>2983</v>
      </c>
      <c r="H634" t="s">
        <v>281</v>
      </c>
      <c r="I634" t="s">
        <v>2616</v>
      </c>
      <c r="J634">
        <v>1</v>
      </c>
      <c r="K634">
        <v>1587</v>
      </c>
    </row>
    <row r="635" spans="1:11" x14ac:dyDescent="0.2">
      <c r="A635" t="s">
        <v>4457</v>
      </c>
      <c r="B635">
        <v>44002</v>
      </c>
      <c r="C635" t="s">
        <v>1640</v>
      </c>
      <c r="D635" t="s">
        <v>4531</v>
      </c>
      <c r="E635" t="s">
        <v>281</v>
      </c>
      <c r="F635" t="s">
        <v>281</v>
      </c>
      <c r="G635" t="s">
        <v>3248</v>
      </c>
      <c r="H635" t="s">
        <v>281</v>
      </c>
      <c r="I635" t="s">
        <v>2616</v>
      </c>
      <c r="J635">
        <v>1</v>
      </c>
      <c r="K635">
        <v>1613</v>
      </c>
    </row>
    <row r="636" spans="1:11" x14ac:dyDescent="0.2">
      <c r="A636" t="s">
        <v>4457</v>
      </c>
      <c r="B636">
        <v>44033</v>
      </c>
      <c r="C636" t="s">
        <v>2554</v>
      </c>
      <c r="D636" t="s">
        <v>4554</v>
      </c>
      <c r="E636" t="s">
        <v>281</v>
      </c>
      <c r="F636" t="s">
        <v>281</v>
      </c>
      <c r="G636" t="s">
        <v>3248</v>
      </c>
      <c r="H636" t="s">
        <v>281</v>
      </c>
      <c r="I636" t="s">
        <v>2666</v>
      </c>
      <c r="J636">
        <v>1</v>
      </c>
      <c r="K636">
        <v>236</v>
      </c>
    </row>
    <row r="637" spans="1:11" x14ac:dyDescent="0.2">
      <c r="A637" t="s">
        <v>4457</v>
      </c>
      <c r="B637">
        <v>44005</v>
      </c>
      <c r="C637" t="s">
        <v>1641</v>
      </c>
      <c r="D637" t="s">
        <v>4538</v>
      </c>
      <c r="E637" t="s">
        <v>281</v>
      </c>
      <c r="F637" t="s">
        <v>281</v>
      </c>
      <c r="G637" t="s">
        <v>3248</v>
      </c>
      <c r="H637" t="s">
        <v>281</v>
      </c>
      <c r="I637" t="s">
        <v>2616</v>
      </c>
      <c r="J637">
        <v>1</v>
      </c>
      <c r="K637">
        <v>10092.35</v>
      </c>
    </row>
    <row r="638" spans="1:11" x14ac:dyDescent="0.2">
      <c r="A638" t="s">
        <v>4457</v>
      </c>
      <c r="B638">
        <v>49045</v>
      </c>
      <c r="C638" t="s">
        <v>1674</v>
      </c>
      <c r="D638" t="s">
        <v>3343</v>
      </c>
      <c r="E638" t="s">
        <v>281</v>
      </c>
      <c r="F638" t="s">
        <v>281</v>
      </c>
      <c r="G638" t="s">
        <v>2983</v>
      </c>
      <c r="H638" t="s">
        <v>281</v>
      </c>
      <c r="I638" t="s">
        <v>2616</v>
      </c>
      <c r="J638">
        <v>1</v>
      </c>
      <c r="K638">
        <v>10819</v>
      </c>
    </row>
    <row r="639" spans="1:11" x14ac:dyDescent="0.2">
      <c r="A639" t="s">
        <v>4457</v>
      </c>
      <c r="B639">
        <v>49069</v>
      </c>
      <c r="C639" t="s">
        <v>625</v>
      </c>
      <c r="D639" t="s">
        <v>4512</v>
      </c>
      <c r="E639" t="s">
        <v>281</v>
      </c>
      <c r="F639" t="s">
        <v>281</v>
      </c>
      <c r="G639" t="s">
        <v>2983</v>
      </c>
      <c r="H639" t="s">
        <v>281</v>
      </c>
      <c r="I639" t="s">
        <v>2666</v>
      </c>
      <c r="J639">
        <v>1</v>
      </c>
      <c r="K639">
        <v>39</v>
      </c>
    </row>
    <row r="640" spans="1:11" x14ac:dyDescent="0.2">
      <c r="A640" t="s">
        <v>4457</v>
      </c>
      <c r="B640">
        <v>49024</v>
      </c>
      <c r="C640" t="s">
        <v>609</v>
      </c>
      <c r="D640" t="s">
        <v>4484</v>
      </c>
      <c r="E640" t="s">
        <v>281</v>
      </c>
      <c r="F640" t="s">
        <v>281</v>
      </c>
      <c r="G640" t="s">
        <v>2983</v>
      </c>
      <c r="H640" t="s">
        <v>281</v>
      </c>
      <c r="I640" t="s">
        <v>2666</v>
      </c>
      <c r="J640">
        <v>1</v>
      </c>
      <c r="K640">
        <v>126</v>
      </c>
    </row>
    <row r="641" spans="1:11" x14ac:dyDescent="0.2">
      <c r="A641" t="s">
        <v>4457</v>
      </c>
      <c r="B641">
        <v>43019</v>
      </c>
      <c r="C641" t="s">
        <v>567</v>
      </c>
      <c r="D641" t="s">
        <v>4470</v>
      </c>
      <c r="E641" t="s">
        <v>281</v>
      </c>
      <c r="F641" t="s">
        <v>281</v>
      </c>
      <c r="G641" t="s">
        <v>2706</v>
      </c>
      <c r="H641" t="s">
        <v>281</v>
      </c>
      <c r="I641" t="s">
        <v>2666</v>
      </c>
      <c r="J641">
        <v>1</v>
      </c>
      <c r="K641">
        <v>155</v>
      </c>
    </row>
    <row r="642" spans="1:11" x14ac:dyDescent="0.2">
      <c r="A642" t="s">
        <v>4457</v>
      </c>
      <c r="B642">
        <v>49074</v>
      </c>
      <c r="C642" t="s">
        <v>628</v>
      </c>
      <c r="D642" t="s">
        <v>4517</v>
      </c>
      <c r="E642" t="s">
        <v>281</v>
      </c>
      <c r="F642" t="s">
        <v>281</v>
      </c>
      <c r="G642" t="s">
        <v>2983</v>
      </c>
      <c r="H642" t="s">
        <v>281</v>
      </c>
      <c r="I642" t="s">
        <v>2666</v>
      </c>
      <c r="J642">
        <v>1</v>
      </c>
      <c r="K642">
        <v>40</v>
      </c>
    </row>
    <row r="643" spans="1:11" x14ac:dyDescent="0.2">
      <c r="A643" t="s">
        <v>4457</v>
      </c>
      <c r="B643">
        <v>44049</v>
      </c>
      <c r="C643" t="s">
        <v>1647</v>
      </c>
      <c r="D643" t="s">
        <v>4559</v>
      </c>
      <c r="E643" t="s">
        <v>281</v>
      </c>
      <c r="F643" t="s">
        <v>281</v>
      </c>
      <c r="G643" t="s">
        <v>3248</v>
      </c>
      <c r="H643" t="s">
        <v>281</v>
      </c>
      <c r="I643" t="s">
        <v>2616</v>
      </c>
      <c r="J643">
        <v>1</v>
      </c>
      <c r="K643">
        <v>3596</v>
      </c>
    </row>
    <row r="644" spans="1:11" x14ac:dyDescent="0.2">
      <c r="A644" t="s">
        <v>4457</v>
      </c>
      <c r="B644">
        <v>46011</v>
      </c>
      <c r="C644" t="s">
        <v>1654</v>
      </c>
      <c r="D644" t="s">
        <v>4556</v>
      </c>
      <c r="E644" t="s">
        <v>281</v>
      </c>
      <c r="F644" t="s">
        <v>281</v>
      </c>
      <c r="G644" t="s">
        <v>2826</v>
      </c>
      <c r="H644" t="s">
        <v>281</v>
      </c>
      <c r="I644" t="s">
        <v>2616</v>
      </c>
      <c r="J644">
        <v>1</v>
      </c>
      <c r="K644">
        <v>2615</v>
      </c>
    </row>
    <row r="645" spans="1:11" x14ac:dyDescent="0.2">
      <c r="A645" t="s">
        <v>4457</v>
      </c>
      <c r="B645">
        <v>49072</v>
      </c>
      <c r="C645" t="s">
        <v>627</v>
      </c>
      <c r="D645" t="s">
        <v>4562</v>
      </c>
      <c r="E645" t="s">
        <v>281</v>
      </c>
      <c r="F645" t="s">
        <v>281</v>
      </c>
      <c r="G645" t="s">
        <v>2983</v>
      </c>
      <c r="H645" t="s">
        <v>281</v>
      </c>
      <c r="I645" t="s">
        <v>2666</v>
      </c>
      <c r="J645">
        <v>1</v>
      </c>
      <c r="K645">
        <v>114</v>
      </c>
    </row>
    <row r="646" spans="1:11" x14ac:dyDescent="0.2">
      <c r="A646" t="s">
        <v>4457</v>
      </c>
      <c r="B646">
        <v>43022</v>
      </c>
      <c r="C646" t="s">
        <v>4464</v>
      </c>
      <c r="D646" t="s">
        <v>4463</v>
      </c>
      <c r="E646" t="s">
        <v>281</v>
      </c>
      <c r="F646" t="s">
        <v>281</v>
      </c>
      <c r="G646" t="s">
        <v>2706</v>
      </c>
      <c r="H646" t="s">
        <v>281</v>
      </c>
      <c r="I646" t="s">
        <v>2666</v>
      </c>
      <c r="J646">
        <v>1</v>
      </c>
      <c r="K646">
        <v>77.3</v>
      </c>
    </row>
    <row r="647" spans="1:11" x14ac:dyDescent="0.2">
      <c r="A647" t="s">
        <v>4457</v>
      </c>
      <c r="B647">
        <v>45004</v>
      </c>
      <c r="C647" t="s">
        <v>1650</v>
      </c>
      <c r="D647" t="s">
        <v>4547</v>
      </c>
      <c r="E647" t="s">
        <v>281</v>
      </c>
      <c r="F647" t="s">
        <v>281</v>
      </c>
      <c r="G647" t="s">
        <v>3263</v>
      </c>
      <c r="H647" t="s">
        <v>281</v>
      </c>
      <c r="I647" t="s">
        <v>2616</v>
      </c>
      <c r="J647">
        <v>1</v>
      </c>
      <c r="K647">
        <v>2732.33</v>
      </c>
    </row>
    <row r="648" spans="1:11" x14ac:dyDescent="0.2">
      <c r="A648" t="s">
        <v>4457</v>
      </c>
      <c r="B648">
        <v>44035</v>
      </c>
      <c r="C648" t="s">
        <v>2555</v>
      </c>
      <c r="D648" t="s">
        <v>4504</v>
      </c>
      <c r="E648" t="s">
        <v>281</v>
      </c>
      <c r="F648" t="s">
        <v>281</v>
      </c>
      <c r="G648" t="s">
        <v>3248</v>
      </c>
      <c r="H648" t="s">
        <v>281</v>
      </c>
      <c r="I648" t="s">
        <v>2666</v>
      </c>
      <c r="J648">
        <v>1</v>
      </c>
      <c r="K648">
        <v>370</v>
      </c>
    </row>
    <row r="649" spans="1:11" x14ac:dyDescent="0.2">
      <c r="A649" t="s">
        <v>4457</v>
      </c>
      <c r="B649">
        <v>49036</v>
      </c>
      <c r="C649" t="s">
        <v>1671</v>
      </c>
      <c r="D649" t="s">
        <v>4541</v>
      </c>
      <c r="E649" t="s">
        <v>281</v>
      </c>
      <c r="F649" t="s">
        <v>281</v>
      </c>
      <c r="G649" t="s">
        <v>2983</v>
      </c>
      <c r="H649" t="s">
        <v>281</v>
      </c>
      <c r="I649" t="s">
        <v>2616</v>
      </c>
      <c r="J649">
        <v>1</v>
      </c>
      <c r="K649">
        <v>495</v>
      </c>
    </row>
    <row r="650" spans="1:11" x14ac:dyDescent="0.2">
      <c r="A650" t="s">
        <v>4457</v>
      </c>
      <c r="B650">
        <v>46009</v>
      </c>
      <c r="C650" t="s">
        <v>1653</v>
      </c>
      <c r="D650" t="s">
        <v>4526</v>
      </c>
      <c r="E650" t="s">
        <v>281</v>
      </c>
      <c r="F650" t="s">
        <v>281</v>
      </c>
      <c r="G650" t="s">
        <v>2826</v>
      </c>
      <c r="H650" t="s">
        <v>281</v>
      </c>
      <c r="I650" t="s">
        <v>2616</v>
      </c>
      <c r="J650">
        <v>1</v>
      </c>
      <c r="K650">
        <v>73231.91</v>
      </c>
    </row>
    <row r="651" spans="1:11" x14ac:dyDescent="0.2">
      <c r="A651" t="s">
        <v>4457</v>
      </c>
      <c r="B651">
        <v>43002</v>
      </c>
      <c r="C651" t="s">
        <v>1633</v>
      </c>
      <c r="D651" t="s">
        <v>4508</v>
      </c>
      <c r="E651" t="s">
        <v>281</v>
      </c>
      <c r="F651" t="s">
        <v>281</v>
      </c>
      <c r="G651" t="s">
        <v>2706</v>
      </c>
      <c r="H651" t="s">
        <v>281</v>
      </c>
      <c r="I651" t="s">
        <v>2616</v>
      </c>
      <c r="J651">
        <v>1</v>
      </c>
      <c r="K651">
        <v>3587</v>
      </c>
    </row>
    <row r="652" spans="1:11" x14ac:dyDescent="0.2">
      <c r="A652" t="s">
        <v>4457</v>
      </c>
      <c r="B652">
        <v>46031</v>
      </c>
      <c r="C652" t="s">
        <v>596</v>
      </c>
      <c r="D652" t="s">
        <v>4491</v>
      </c>
      <c r="E652" t="s">
        <v>281</v>
      </c>
      <c r="F652" t="s">
        <v>281</v>
      </c>
      <c r="G652" t="s">
        <v>2826</v>
      </c>
      <c r="H652" t="s">
        <v>281</v>
      </c>
      <c r="I652" t="s">
        <v>2666</v>
      </c>
      <c r="J652">
        <v>1</v>
      </c>
      <c r="K652">
        <v>60</v>
      </c>
    </row>
    <row r="653" spans="1:11" x14ac:dyDescent="0.2">
      <c r="A653" t="s">
        <v>4457</v>
      </c>
      <c r="B653">
        <v>43005</v>
      </c>
      <c r="C653" t="s">
        <v>1635</v>
      </c>
      <c r="D653" t="s">
        <v>4462</v>
      </c>
      <c r="E653" t="s">
        <v>281</v>
      </c>
      <c r="F653" t="s">
        <v>281</v>
      </c>
      <c r="G653" t="s">
        <v>2706</v>
      </c>
      <c r="H653" t="s">
        <v>281</v>
      </c>
      <c r="I653" t="s">
        <v>2616</v>
      </c>
      <c r="J653">
        <v>1</v>
      </c>
      <c r="K653">
        <v>8939.67</v>
      </c>
    </row>
    <row r="654" spans="1:11" x14ac:dyDescent="0.2">
      <c r="A654" t="s">
        <v>4457</v>
      </c>
      <c r="B654">
        <v>49048</v>
      </c>
      <c r="C654" t="s">
        <v>1153</v>
      </c>
      <c r="D654" t="s">
        <v>4544</v>
      </c>
      <c r="E654" t="s">
        <v>281</v>
      </c>
      <c r="F654" t="s">
        <v>281</v>
      </c>
      <c r="G654" t="s">
        <v>2950</v>
      </c>
      <c r="H654" t="s">
        <v>281</v>
      </c>
      <c r="I654" t="s">
        <v>2666</v>
      </c>
      <c r="J654">
        <v>1</v>
      </c>
      <c r="K654">
        <v>174</v>
      </c>
    </row>
    <row r="655" spans="1:11" x14ac:dyDescent="0.2">
      <c r="A655" t="s">
        <v>4457</v>
      </c>
      <c r="B655">
        <v>48002</v>
      </c>
      <c r="C655" t="s">
        <v>1662</v>
      </c>
      <c r="D655" t="s">
        <v>4561</v>
      </c>
      <c r="E655" t="s">
        <v>281</v>
      </c>
      <c r="F655" t="s">
        <v>281</v>
      </c>
      <c r="G655" t="s">
        <v>4460</v>
      </c>
      <c r="H655" t="s">
        <v>281</v>
      </c>
      <c r="I655" t="s">
        <v>2616</v>
      </c>
      <c r="J655">
        <v>1</v>
      </c>
      <c r="K655">
        <v>1942.5</v>
      </c>
    </row>
    <row r="656" spans="1:11" x14ac:dyDescent="0.2">
      <c r="A656" t="s">
        <v>4457</v>
      </c>
      <c r="B656">
        <v>44044</v>
      </c>
      <c r="C656" t="s">
        <v>579</v>
      </c>
      <c r="D656" t="s">
        <v>4536</v>
      </c>
      <c r="E656" t="s">
        <v>281</v>
      </c>
      <c r="F656" t="s">
        <v>281</v>
      </c>
      <c r="G656" t="s">
        <v>3248</v>
      </c>
      <c r="H656" t="s">
        <v>281</v>
      </c>
      <c r="I656" t="s">
        <v>2666</v>
      </c>
      <c r="J656">
        <v>1</v>
      </c>
      <c r="K656">
        <v>827</v>
      </c>
    </row>
    <row r="657" spans="1:11" x14ac:dyDescent="0.2">
      <c r="A657" t="s">
        <v>4457</v>
      </c>
      <c r="B657">
        <v>53001</v>
      </c>
      <c r="C657" t="s">
        <v>646</v>
      </c>
      <c r="D657" t="s">
        <v>4496</v>
      </c>
      <c r="E657" t="s">
        <v>281</v>
      </c>
      <c r="F657" t="s">
        <v>281</v>
      </c>
      <c r="G657" t="s">
        <v>3222</v>
      </c>
      <c r="H657" t="s">
        <v>281</v>
      </c>
      <c r="I657" t="s">
        <v>2666</v>
      </c>
      <c r="J657">
        <v>1</v>
      </c>
      <c r="K657">
        <v>79</v>
      </c>
    </row>
    <row r="658" spans="1:11" x14ac:dyDescent="0.2">
      <c r="A658" t="s">
        <v>4457</v>
      </c>
      <c r="B658">
        <v>53004</v>
      </c>
      <c r="C658" t="s">
        <v>4535</v>
      </c>
      <c r="D658" t="s">
        <v>4534</v>
      </c>
      <c r="E658" t="s">
        <v>281</v>
      </c>
      <c r="F658" t="s">
        <v>281</v>
      </c>
      <c r="G658" t="s">
        <v>3222</v>
      </c>
      <c r="H658" t="s">
        <v>281</v>
      </c>
      <c r="I658" t="s">
        <v>2666</v>
      </c>
      <c r="J658">
        <v>1</v>
      </c>
      <c r="K658">
        <v>311</v>
      </c>
    </row>
    <row r="659" spans="1:11" x14ac:dyDescent="0.2">
      <c r="A659" t="s">
        <v>4457</v>
      </c>
      <c r="B659">
        <v>44040</v>
      </c>
      <c r="C659" t="s">
        <v>1646</v>
      </c>
      <c r="D659" t="s">
        <v>4500</v>
      </c>
      <c r="E659" t="s">
        <v>281</v>
      </c>
      <c r="F659" t="s">
        <v>281</v>
      </c>
      <c r="G659" t="s">
        <v>3248</v>
      </c>
      <c r="H659" t="s">
        <v>281</v>
      </c>
      <c r="I659" t="s">
        <v>2616</v>
      </c>
      <c r="J659">
        <v>1</v>
      </c>
      <c r="K659">
        <v>6409</v>
      </c>
    </row>
    <row r="660" spans="1:11" x14ac:dyDescent="0.2">
      <c r="A660" t="s">
        <v>4457</v>
      </c>
      <c r="B660">
        <v>53007</v>
      </c>
      <c r="C660" t="s">
        <v>650</v>
      </c>
      <c r="D660" t="s">
        <v>4551</v>
      </c>
      <c r="E660" t="s">
        <v>281</v>
      </c>
      <c r="F660" t="s">
        <v>281</v>
      </c>
      <c r="G660" t="s">
        <v>3222</v>
      </c>
      <c r="H660" t="s">
        <v>281</v>
      </c>
      <c r="I660" t="s">
        <v>2666</v>
      </c>
      <c r="J660">
        <v>1</v>
      </c>
      <c r="K660">
        <v>80</v>
      </c>
    </row>
    <row r="661" spans="1:11" x14ac:dyDescent="0.2">
      <c r="A661" t="s">
        <v>4457</v>
      </c>
      <c r="B661">
        <v>53002</v>
      </c>
      <c r="C661" t="s">
        <v>647</v>
      </c>
      <c r="D661" t="s">
        <v>4493</v>
      </c>
      <c r="E661" t="s">
        <v>281</v>
      </c>
      <c r="F661" t="s">
        <v>281</v>
      </c>
      <c r="G661" t="s">
        <v>3222</v>
      </c>
      <c r="H661" t="s">
        <v>281</v>
      </c>
      <c r="I661" t="s">
        <v>2666</v>
      </c>
      <c r="J661">
        <v>1</v>
      </c>
      <c r="K661">
        <v>48</v>
      </c>
    </row>
    <row r="662" spans="1:11" x14ac:dyDescent="0.2">
      <c r="A662" t="s">
        <v>4457</v>
      </c>
      <c r="B662">
        <v>48006</v>
      </c>
      <c r="C662" t="s">
        <v>1664</v>
      </c>
      <c r="D662" t="s">
        <v>4523</v>
      </c>
      <c r="E662" t="s">
        <v>281</v>
      </c>
      <c r="F662" t="s">
        <v>281</v>
      </c>
      <c r="G662" t="s">
        <v>4460</v>
      </c>
      <c r="H662" t="s">
        <v>281</v>
      </c>
      <c r="I662" t="s">
        <v>2616</v>
      </c>
      <c r="J662">
        <v>1</v>
      </c>
      <c r="K662">
        <v>1618</v>
      </c>
    </row>
    <row r="663" spans="1:11" x14ac:dyDescent="0.2">
      <c r="A663" t="s">
        <v>4457</v>
      </c>
      <c r="B663">
        <v>43029</v>
      </c>
      <c r="C663" t="s">
        <v>568</v>
      </c>
      <c r="D663" t="s">
        <v>4510</v>
      </c>
      <c r="E663" t="s">
        <v>281</v>
      </c>
      <c r="F663" t="s">
        <v>281</v>
      </c>
      <c r="G663" t="s">
        <v>2706</v>
      </c>
      <c r="H663" t="s">
        <v>281</v>
      </c>
      <c r="I663" t="s">
        <v>2666</v>
      </c>
      <c r="J663">
        <v>1</v>
      </c>
      <c r="K663">
        <v>12408.32</v>
      </c>
    </row>
    <row r="664" spans="1:11" x14ac:dyDescent="0.2">
      <c r="A664" t="s">
        <v>4457</v>
      </c>
      <c r="B664">
        <v>44009</v>
      </c>
      <c r="C664" t="s">
        <v>1642</v>
      </c>
      <c r="D664" t="s">
        <v>4518</v>
      </c>
      <c r="E664" t="s">
        <v>2634</v>
      </c>
      <c r="F664" t="s">
        <v>281</v>
      </c>
      <c r="G664" t="s">
        <v>3248</v>
      </c>
      <c r="H664" t="s">
        <v>2634</v>
      </c>
      <c r="I664" t="s">
        <v>2616</v>
      </c>
      <c r="J664">
        <v>1</v>
      </c>
      <c r="K664">
        <v>5072.17</v>
      </c>
    </row>
    <row r="665" spans="1:11" x14ac:dyDescent="0.2">
      <c r="A665" t="s">
        <v>4457</v>
      </c>
      <c r="B665">
        <v>49056</v>
      </c>
      <c r="C665" t="s">
        <v>1676</v>
      </c>
      <c r="D665" t="s">
        <v>4548</v>
      </c>
      <c r="E665" t="s">
        <v>281</v>
      </c>
      <c r="F665" t="s">
        <v>281</v>
      </c>
      <c r="G665" t="s">
        <v>2983</v>
      </c>
      <c r="H665" t="s">
        <v>281</v>
      </c>
      <c r="I665" t="s">
        <v>2616</v>
      </c>
      <c r="J665">
        <v>1</v>
      </c>
      <c r="K665">
        <v>872</v>
      </c>
    </row>
    <row r="666" spans="1:11" x14ac:dyDescent="0.2">
      <c r="A666" t="s">
        <v>4457</v>
      </c>
      <c r="B666">
        <v>49027</v>
      </c>
      <c r="C666" t="s">
        <v>1666</v>
      </c>
      <c r="D666" t="s">
        <v>4542</v>
      </c>
      <c r="E666" t="s">
        <v>281</v>
      </c>
      <c r="F666" t="s">
        <v>281</v>
      </c>
      <c r="G666" t="s">
        <v>2983</v>
      </c>
      <c r="H666" t="s">
        <v>281</v>
      </c>
      <c r="I666" t="s">
        <v>2616</v>
      </c>
      <c r="J666">
        <v>1</v>
      </c>
      <c r="K666">
        <v>7208.33</v>
      </c>
    </row>
    <row r="667" spans="1:11" x14ac:dyDescent="0.2">
      <c r="A667" t="s">
        <v>4457</v>
      </c>
      <c r="B667">
        <v>49019</v>
      </c>
      <c r="C667" t="s">
        <v>1665</v>
      </c>
      <c r="D667" t="s">
        <v>4560</v>
      </c>
      <c r="E667" t="s">
        <v>281</v>
      </c>
      <c r="F667" t="s">
        <v>281</v>
      </c>
      <c r="G667" t="s">
        <v>2983</v>
      </c>
      <c r="H667" t="s">
        <v>281</v>
      </c>
      <c r="I667" t="s">
        <v>2616</v>
      </c>
      <c r="J667">
        <v>1</v>
      </c>
      <c r="K667">
        <v>2552</v>
      </c>
    </row>
    <row r="668" spans="1:11" x14ac:dyDescent="0.2">
      <c r="A668" t="s">
        <v>4457</v>
      </c>
      <c r="B668">
        <v>44048</v>
      </c>
      <c r="C668" t="s">
        <v>581</v>
      </c>
      <c r="D668" t="s">
        <v>4502</v>
      </c>
      <c r="E668" t="s">
        <v>281</v>
      </c>
      <c r="F668" t="s">
        <v>281</v>
      </c>
      <c r="G668" t="s">
        <v>3248</v>
      </c>
      <c r="H668" t="s">
        <v>281</v>
      </c>
      <c r="I668" t="s">
        <v>2666</v>
      </c>
      <c r="J668">
        <v>1</v>
      </c>
      <c r="K668">
        <v>704</v>
      </c>
    </row>
    <row r="669" spans="1:11" x14ac:dyDescent="0.2">
      <c r="A669" t="s">
        <v>4457</v>
      </c>
      <c r="B669">
        <v>44031</v>
      </c>
      <c r="C669" t="s">
        <v>576</v>
      </c>
      <c r="D669" t="s">
        <v>4529</v>
      </c>
      <c r="E669" t="s">
        <v>281</v>
      </c>
      <c r="F669" t="s">
        <v>281</v>
      </c>
      <c r="G669" t="s">
        <v>3248</v>
      </c>
      <c r="H669" t="s">
        <v>281</v>
      </c>
      <c r="I669" t="s">
        <v>2666</v>
      </c>
      <c r="J669">
        <v>1</v>
      </c>
      <c r="K669">
        <v>146</v>
      </c>
    </row>
    <row r="670" spans="1:11" x14ac:dyDescent="0.2">
      <c r="A670" t="s">
        <v>4457</v>
      </c>
      <c r="B670">
        <v>44047</v>
      </c>
      <c r="C670" t="s">
        <v>580</v>
      </c>
      <c r="D670" t="s">
        <v>4545</v>
      </c>
      <c r="E670" t="s">
        <v>281</v>
      </c>
      <c r="F670" t="s">
        <v>281</v>
      </c>
      <c r="G670" t="s">
        <v>3248</v>
      </c>
      <c r="H670" t="s">
        <v>281</v>
      </c>
      <c r="I670" t="s">
        <v>2666</v>
      </c>
      <c r="J670">
        <v>1</v>
      </c>
      <c r="K670">
        <v>285</v>
      </c>
    </row>
    <row r="671" spans="1:11" x14ac:dyDescent="0.2">
      <c r="A671" t="s">
        <v>4457</v>
      </c>
      <c r="B671">
        <v>49055</v>
      </c>
      <c r="C671" t="s">
        <v>1675</v>
      </c>
      <c r="D671" t="s">
        <v>4520</v>
      </c>
      <c r="E671" t="s">
        <v>281</v>
      </c>
      <c r="F671" t="s">
        <v>281</v>
      </c>
      <c r="G671" t="s">
        <v>2950</v>
      </c>
      <c r="H671" t="s">
        <v>281</v>
      </c>
      <c r="I671" t="s">
        <v>2616</v>
      </c>
      <c r="J671">
        <v>1</v>
      </c>
      <c r="K671">
        <v>28256.880000000001</v>
      </c>
    </row>
    <row r="672" spans="1:11" x14ac:dyDescent="0.2">
      <c r="A672" t="s">
        <v>4457</v>
      </c>
      <c r="B672">
        <v>44039</v>
      </c>
      <c r="C672" t="s">
        <v>1151</v>
      </c>
      <c r="D672" t="s">
        <v>4532</v>
      </c>
      <c r="E672" t="s">
        <v>281</v>
      </c>
      <c r="F672" t="s">
        <v>281</v>
      </c>
      <c r="G672" t="s">
        <v>3248</v>
      </c>
      <c r="H672" t="s">
        <v>281</v>
      </c>
      <c r="I672" t="s">
        <v>2666</v>
      </c>
      <c r="J672">
        <v>1</v>
      </c>
      <c r="K672">
        <v>43</v>
      </c>
    </row>
    <row r="673" spans="1:11" x14ac:dyDescent="0.2">
      <c r="A673" t="s">
        <v>4457</v>
      </c>
      <c r="B673">
        <v>49035</v>
      </c>
      <c r="C673" t="s">
        <v>1670</v>
      </c>
      <c r="D673" t="s">
        <v>4485</v>
      </c>
      <c r="E673" t="s">
        <v>281</v>
      </c>
      <c r="F673" t="s">
        <v>281</v>
      </c>
      <c r="G673" t="s">
        <v>2983</v>
      </c>
      <c r="H673" t="s">
        <v>281</v>
      </c>
      <c r="I673" t="s">
        <v>2616</v>
      </c>
      <c r="J673">
        <v>1</v>
      </c>
      <c r="K673">
        <v>1686</v>
      </c>
    </row>
    <row r="674" spans="1:11" x14ac:dyDescent="0.2">
      <c r="A674" t="s">
        <v>4457</v>
      </c>
      <c r="B674">
        <v>44028</v>
      </c>
      <c r="C674" t="s">
        <v>575</v>
      </c>
      <c r="D674" t="s">
        <v>4478</v>
      </c>
      <c r="E674" t="s">
        <v>281</v>
      </c>
      <c r="F674" t="s">
        <v>281</v>
      </c>
      <c r="G674" t="s">
        <v>3248</v>
      </c>
      <c r="H674" t="s">
        <v>281</v>
      </c>
      <c r="I674" t="s">
        <v>2666</v>
      </c>
      <c r="J674">
        <v>1</v>
      </c>
      <c r="K674">
        <v>199</v>
      </c>
    </row>
    <row r="675" spans="1:11" x14ac:dyDescent="0.2">
      <c r="A675" t="s">
        <v>4457</v>
      </c>
      <c r="B675">
        <v>46012</v>
      </c>
      <c r="C675" t="s">
        <v>1655</v>
      </c>
      <c r="D675" t="s">
        <v>4552</v>
      </c>
      <c r="E675" t="s">
        <v>281</v>
      </c>
      <c r="F675" t="s">
        <v>281</v>
      </c>
      <c r="G675" t="s">
        <v>2826</v>
      </c>
      <c r="H675" t="s">
        <v>281</v>
      </c>
      <c r="I675" t="s">
        <v>2616</v>
      </c>
      <c r="J675">
        <v>1</v>
      </c>
      <c r="K675">
        <v>5212</v>
      </c>
    </row>
    <row r="676" spans="1:11" x14ac:dyDescent="0.2">
      <c r="A676" t="s">
        <v>4457</v>
      </c>
      <c r="B676">
        <v>44025</v>
      </c>
      <c r="C676" t="s">
        <v>573</v>
      </c>
      <c r="D676" t="s">
        <v>4482</v>
      </c>
      <c r="E676" t="s">
        <v>281</v>
      </c>
      <c r="F676" t="s">
        <v>281</v>
      </c>
      <c r="G676" t="s">
        <v>3248</v>
      </c>
      <c r="H676" t="s">
        <v>281</v>
      </c>
      <c r="I676" t="s">
        <v>2666</v>
      </c>
      <c r="J676">
        <v>1</v>
      </c>
      <c r="K676">
        <v>402</v>
      </c>
    </row>
    <row r="677" spans="1:11" x14ac:dyDescent="0.2">
      <c r="A677" t="s">
        <v>4457</v>
      </c>
      <c r="B677">
        <v>49033</v>
      </c>
      <c r="C677" t="s">
        <v>1669</v>
      </c>
      <c r="D677" t="s">
        <v>4550</v>
      </c>
      <c r="E677" t="s">
        <v>281</v>
      </c>
      <c r="F677" t="s">
        <v>281</v>
      </c>
      <c r="G677" t="s">
        <v>2983</v>
      </c>
      <c r="H677" t="s">
        <v>281</v>
      </c>
      <c r="I677" t="s">
        <v>2616</v>
      </c>
      <c r="J677">
        <v>1</v>
      </c>
      <c r="K677">
        <v>4415</v>
      </c>
    </row>
    <row r="678" spans="1:11" x14ac:dyDescent="0.2">
      <c r="A678" t="s">
        <v>4457</v>
      </c>
      <c r="B678">
        <v>44014</v>
      </c>
      <c r="C678" t="s">
        <v>1644</v>
      </c>
      <c r="D678" t="s">
        <v>4506</v>
      </c>
      <c r="E678" t="s">
        <v>281</v>
      </c>
      <c r="F678" t="s">
        <v>281</v>
      </c>
      <c r="G678" t="s">
        <v>3248</v>
      </c>
      <c r="H678" t="s">
        <v>281</v>
      </c>
      <c r="I678" t="s">
        <v>2616</v>
      </c>
      <c r="J678">
        <v>1</v>
      </c>
      <c r="K678">
        <v>146</v>
      </c>
    </row>
    <row r="679" spans="1:11" x14ac:dyDescent="0.2">
      <c r="A679" t="s">
        <v>4457</v>
      </c>
      <c r="B679">
        <v>49083</v>
      </c>
      <c r="C679" t="s">
        <v>1365</v>
      </c>
      <c r="D679" t="s">
        <v>4488</v>
      </c>
      <c r="E679" t="s">
        <v>281</v>
      </c>
      <c r="F679" t="s">
        <v>281</v>
      </c>
      <c r="G679" t="s">
        <v>2950</v>
      </c>
      <c r="H679" t="s">
        <v>281</v>
      </c>
      <c r="I679" t="s">
        <v>2666</v>
      </c>
      <c r="J679">
        <v>1</v>
      </c>
      <c r="K679">
        <v>100</v>
      </c>
    </row>
    <row r="680" spans="1:11" x14ac:dyDescent="0.2">
      <c r="A680" t="s">
        <v>4457</v>
      </c>
      <c r="B680">
        <v>49061</v>
      </c>
      <c r="C680" t="s">
        <v>1364</v>
      </c>
      <c r="D680" t="s">
        <v>4543</v>
      </c>
      <c r="E680" t="s">
        <v>281</v>
      </c>
      <c r="F680" t="s">
        <v>281</v>
      </c>
      <c r="G680" t="s">
        <v>2983</v>
      </c>
      <c r="H680" t="s">
        <v>281</v>
      </c>
      <c r="I680" t="s">
        <v>2666</v>
      </c>
      <c r="J680">
        <v>1</v>
      </c>
      <c r="K680">
        <v>126</v>
      </c>
    </row>
    <row r="681" spans="1:11" x14ac:dyDescent="0.2">
      <c r="A681" t="s">
        <v>4457</v>
      </c>
      <c r="B681">
        <v>49029</v>
      </c>
      <c r="C681" t="s">
        <v>610</v>
      </c>
      <c r="D681" t="s">
        <v>4474</v>
      </c>
      <c r="E681" t="s">
        <v>281</v>
      </c>
      <c r="F681" t="s">
        <v>281</v>
      </c>
      <c r="G681" t="s">
        <v>2983</v>
      </c>
      <c r="H681" t="s">
        <v>281</v>
      </c>
      <c r="I681" t="s">
        <v>2666</v>
      </c>
      <c r="J681">
        <v>1</v>
      </c>
      <c r="K681">
        <v>40</v>
      </c>
    </row>
    <row r="682" spans="1:11" x14ac:dyDescent="0.2">
      <c r="A682" t="s">
        <v>4457</v>
      </c>
      <c r="B682">
        <v>49041</v>
      </c>
      <c r="C682" t="s">
        <v>612</v>
      </c>
      <c r="D682" t="s">
        <v>4479</v>
      </c>
      <c r="E682" t="s">
        <v>281</v>
      </c>
      <c r="F682" t="s">
        <v>281</v>
      </c>
      <c r="G682" t="s">
        <v>2983</v>
      </c>
      <c r="H682" t="s">
        <v>281</v>
      </c>
      <c r="I682" t="s">
        <v>2666</v>
      </c>
      <c r="J682">
        <v>1</v>
      </c>
      <c r="K682">
        <v>30</v>
      </c>
    </row>
    <row r="683" spans="1:11" x14ac:dyDescent="0.2">
      <c r="A683" t="s">
        <v>4457</v>
      </c>
      <c r="B683">
        <v>44016</v>
      </c>
      <c r="C683" t="s">
        <v>1645</v>
      </c>
      <c r="D683" t="s">
        <v>4458</v>
      </c>
      <c r="E683" t="s">
        <v>281</v>
      </c>
      <c r="F683" t="s">
        <v>281</v>
      </c>
      <c r="G683" t="s">
        <v>3248</v>
      </c>
      <c r="H683" t="s">
        <v>281</v>
      </c>
      <c r="I683" t="s">
        <v>2616</v>
      </c>
      <c r="J683">
        <v>1</v>
      </c>
      <c r="K683">
        <v>10012</v>
      </c>
    </row>
    <row r="684" spans="1:11" x14ac:dyDescent="0.2">
      <c r="A684" t="s">
        <v>4457</v>
      </c>
      <c r="B684">
        <v>43015</v>
      </c>
      <c r="C684" t="s">
        <v>1639</v>
      </c>
      <c r="D684" t="s">
        <v>4489</v>
      </c>
      <c r="E684" t="s">
        <v>281</v>
      </c>
      <c r="F684" t="s">
        <v>281</v>
      </c>
      <c r="G684" t="s">
        <v>2706</v>
      </c>
      <c r="H684" t="s">
        <v>281</v>
      </c>
      <c r="I684" t="s">
        <v>2616</v>
      </c>
      <c r="J684">
        <v>1</v>
      </c>
      <c r="K684">
        <v>5788</v>
      </c>
    </row>
    <row r="685" spans="1:11" x14ac:dyDescent="0.2">
      <c r="A685" t="s">
        <v>4457</v>
      </c>
      <c r="B685">
        <v>49071</v>
      </c>
      <c r="C685" t="s">
        <v>626</v>
      </c>
      <c r="D685" t="s">
        <v>4539</v>
      </c>
      <c r="E685" t="s">
        <v>281</v>
      </c>
      <c r="F685" t="s">
        <v>281</v>
      </c>
      <c r="G685" t="s">
        <v>2983</v>
      </c>
      <c r="H685" t="s">
        <v>281</v>
      </c>
      <c r="I685" t="s">
        <v>2666</v>
      </c>
      <c r="J685">
        <v>1</v>
      </c>
      <c r="K685">
        <v>31</v>
      </c>
    </row>
    <row r="686" spans="1:11" x14ac:dyDescent="0.2">
      <c r="A686" t="s">
        <v>4457</v>
      </c>
      <c r="B686">
        <v>49057</v>
      </c>
      <c r="C686" t="s">
        <v>618</v>
      </c>
      <c r="D686" t="s">
        <v>4469</v>
      </c>
      <c r="E686" t="s">
        <v>281</v>
      </c>
      <c r="F686" t="s">
        <v>281</v>
      </c>
      <c r="G686" t="s">
        <v>2983</v>
      </c>
      <c r="H686" t="s">
        <v>281</v>
      </c>
      <c r="I686" t="s">
        <v>2666</v>
      </c>
      <c r="J686">
        <v>1</v>
      </c>
      <c r="K686">
        <v>20</v>
      </c>
    </row>
    <row r="687" spans="1:11" x14ac:dyDescent="0.2">
      <c r="A687" t="s">
        <v>4457</v>
      </c>
      <c r="B687">
        <v>44052</v>
      </c>
      <c r="C687" t="s">
        <v>1648</v>
      </c>
      <c r="D687" t="s">
        <v>4528</v>
      </c>
      <c r="E687" t="s">
        <v>281</v>
      </c>
      <c r="F687" t="s">
        <v>281</v>
      </c>
      <c r="G687" t="s">
        <v>3248</v>
      </c>
      <c r="H687" t="s">
        <v>281</v>
      </c>
      <c r="I687" t="s">
        <v>2616</v>
      </c>
      <c r="J687">
        <v>1</v>
      </c>
      <c r="K687">
        <v>2608</v>
      </c>
    </row>
    <row r="688" spans="1:11" x14ac:dyDescent="0.2">
      <c r="A688" t="s">
        <v>4457</v>
      </c>
      <c r="B688">
        <v>44010</v>
      </c>
      <c r="C688" t="s">
        <v>1643</v>
      </c>
      <c r="D688" t="s">
        <v>4503</v>
      </c>
      <c r="E688" t="s">
        <v>281</v>
      </c>
      <c r="F688" t="s">
        <v>281</v>
      </c>
      <c r="G688" t="s">
        <v>3248</v>
      </c>
      <c r="H688" t="s">
        <v>281</v>
      </c>
      <c r="I688" t="s">
        <v>2616</v>
      </c>
      <c r="J688">
        <v>1</v>
      </c>
      <c r="K688">
        <v>4745</v>
      </c>
    </row>
    <row r="689" spans="1:11" x14ac:dyDescent="0.2">
      <c r="A689" t="s">
        <v>4457</v>
      </c>
      <c r="B689">
        <v>46013</v>
      </c>
      <c r="C689" t="s">
        <v>1656</v>
      </c>
      <c r="D689" t="s">
        <v>4533</v>
      </c>
      <c r="E689" t="s">
        <v>281</v>
      </c>
      <c r="F689" t="s">
        <v>281</v>
      </c>
      <c r="G689" t="s">
        <v>2826</v>
      </c>
      <c r="H689" t="s">
        <v>281</v>
      </c>
      <c r="I689" t="s">
        <v>2616</v>
      </c>
      <c r="J689">
        <v>1</v>
      </c>
      <c r="K689">
        <v>1766</v>
      </c>
    </row>
    <row r="690" spans="1:11" x14ac:dyDescent="0.2">
      <c r="A690" t="s">
        <v>4457</v>
      </c>
      <c r="B690">
        <v>49016</v>
      </c>
      <c r="C690" t="s">
        <v>606</v>
      </c>
      <c r="D690" t="s">
        <v>4497</v>
      </c>
      <c r="E690" t="s">
        <v>281</v>
      </c>
      <c r="F690" t="s">
        <v>281</v>
      </c>
      <c r="G690" t="s">
        <v>2983</v>
      </c>
      <c r="H690" t="s">
        <v>281</v>
      </c>
      <c r="I690" t="s">
        <v>2666</v>
      </c>
      <c r="J690">
        <v>1</v>
      </c>
      <c r="K690">
        <v>219</v>
      </c>
    </row>
    <row r="691" spans="1:11" x14ac:dyDescent="0.2">
      <c r="A691" t="s">
        <v>4457</v>
      </c>
      <c r="B691">
        <v>49053</v>
      </c>
      <c r="C691" t="s">
        <v>4516</v>
      </c>
      <c r="D691" t="s">
        <v>4515</v>
      </c>
      <c r="E691" t="s">
        <v>281</v>
      </c>
      <c r="F691" t="s">
        <v>281</v>
      </c>
      <c r="G691" t="s">
        <v>2983</v>
      </c>
      <c r="H691" t="s">
        <v>281</v>
      </c>
      <c r="I691" t="s">
        <v>2666</v>
      </c>
      <c r="J691">
        <v>1</v>
      </c>
      <c r="K691">
        <v>28</v>
      </c>
    </row>
    <row r="692" spans="1:11" x14ac:dyDescent="0.2">
      <c r="A692" t="s">
        <v>4457</v>
      </c>
      <c r="B692">
        <v>44027</v>
      </c>
      <c r="C692" t="s">
        <v>574</v>
      </c>
      <c r="D692" t="s">
        <v>4472</v>
      </c>
      <c r="E692" t="s">
        <v>281</v>
      </c>
      <c r="F692" t="s">
        <v>281</v>
      </c>
      <c r="G692" t="s">
        <v>3248</v>
      </c>
      <c r="H692" t="s">
        <v>281</v>
      </c>
      <c r="I692" t="s">
        <v>2666</v>
      </c>
      <c r="J692">
        <v>1</v>
      </c>
      <c r="K692">
        <v>190</v>
      </c>
    </row>
    <row r="693" spans="1:11" x14ac:dyDescent="0.2">
      <c r="A693" t="s">
        <v>4457</v>
      </c>
      <c r="B693">
        <v>43004</v>
      </c>
      <c r="C693" t="s">
        <v>1634</v>
      </c>
      <c r="D693" t="s">
        <v>4505</v>
      </c>
      <c r="E693" t="s">
        <v>281</v>
      </c>
      <c r="F693" t="s">
        <v>281</v>
      </c>
      <c r="G693" t="s">
        <v>2706</v>
      </c>
      <c r="H693" t="s">
        <v>281</v>
      </c>
      <c r="I693" t="s">
        <v>2616</v>
      </c>
      <c r="J693">
        <v>1</v>
      </c>
      <c r="K693">
        <v>8787</v>
      </c>
    </row>
    <row r="694" spans="1:11" x14ac:dyDescent="0.2">
      <c r="A694" t="s">
        <v>4457</v>
      </c>
      <c r="B694">
        <v>44008</v>
      </c>
      <c r="C694" t="s">
        <v>570</v>
      </c>
      <c r="D694" t="s">
        <v>4473</v>
      </c>
      <c r="E694" t="s">
        <v>281</v>
      </c>
      <c r="F694" t="s">
        <v>281</v>
      </c>
      <c r="G694" t="s">
        <v>3248</v>
      </c>
      <c r="H694" t="s">
        <v>281</v>
      </c>
      <c r="I694" t="s">
        <v>2666</v>
      </c>
      <c r="J694">
        <v>1</v>
      </c>
      <c r="K694">
        <v>20</v>
      </c>
    </row>
    <row r="695" spans="1:11" x14ac:dyDescent="0.2">
      <c r="A695" t="s">
        <v>4457</v>
      </c>
      <c r="B695">
        <v>46027</v>
      </c>
      <c r="C695" t="s">
        <v>593</v>
      </c>
      <c r="D695" t="s">
        <v>4495</v>
      </c>
      <c r="E695" t="s">
        <v>281</v>
      </c>
      <c r="F695" t="s">
        <v>281</v>
      </c>
      <c r="G695" t="s">
        <v>2826</v>
      </c>
      <c r="H695" t="s">
        <v>281</v>
      </c>
      <c r="I695" t="s">
        <v>2666</v>
      </c>
      <c r="J695">
        <v>1</v>
      </c>
      <c r="K695">
        <v>181</v>
      </c>
    </row>
    <row r="696" spans="1:11" x14ac:dyDescent="0.2">
      <c r="A696" t="s">
        <v>4457</v>
      </c>
      <c r="B696">
        <v>46030</v>
      </c>
      <c r="C696" t="s">
        <v>1247</v>
      </c>
      <c r="D696" t="s">
        <v>4509</v>
      </c>
      <c r="E696" t="s">
        <v>281</v>
      </c>
      <c r="F696" t="s">
        <v>281</v>
      </c>
      <c r="G696" t="s">
        <v>2826</v>
      </c>
      <c r="H696" t="s">
        <v>281</v>
      </c>
      <c r="I696" t="s">
        <v>2666</v>
      </c>
      <c r="J696">
        <v>1</v>
      </c>
      <c r="K696">
        <v>25</v>
      </c>
    </row>
    <row r="697" spans="1:11" x14ac:dyDescent="0.2">
      <c r="A697" t="s">
        <v>4457</v>
      </c>
      <c r="B697">
        <v>54006</v>
      </c>
      <c r="C697" t="s">
        <v>1701</v>
      </c>
      <c r="D697" t="s">
        <v>4490</v>
      </c>
      <c r="E697" t="s">
        <v>281</v>
      </c>
      <c r="F697" t="s">
        <v>281</v>
      </c>
      <c r="G697" t="s">
        <v>2729</v>
      </c>
      <c r="H697" t="s">
        <v>281</v>
      </c>
      <c r="I697" t="s">
        <v>2616</v>
      </c>
      <c r="J697">
        <v>1</v>
      </c>
      <c r="K697">
        <v>3929</v>
      </c>
    </row>
    <row r="698" spans="1:11" x14ac:dyDescent="0.2">
      <c r="A698" t="s">
        <v>4457</v>
      </c>
      <c r="B698">
        <v>46008</v>
      </c>
      <c r="C698" t="s">
        <v>4514</v>
      </c>
      <c r="D698" t="s">
        <v>4513</v>
      </c>
      <c r="E698" t="s">
        <v>281</v>
      </c>
      <c r="F698" t="s">
        <v>281</v>
      </c>
      <c r="G698" t="s">
        <v>2826</v>
      </c>
      <c r="H698" t="s">
        <v>281</v>
      </c>
      <c r="I698" t="s">
        <v>2616</v>
      </c>
      <c r="J698">
        <v>1</v>
      </c>
      <c r="K698">
        <v>30851.43</v>
      </c>
    </row>
    <row r="699" spans="1:11" x14ac:dyDescent="0.2">
      <c r="A699" t="s">
        <v>4457</v>
      </c>
      <c r="B699">
        <v>45002</v>
      </c>
      <c r="C699" t="s">
        <v>1649</v>
      </c>
      <c r="D699" t="s">
        <v>4465</v>
      </c>
      <c r="E699" t="s">
        <v>281</v>
      </c>
      <c r="F699" t="s">
        <v>281</v>
      </c>
      <c r="G699" t="s">
        <v>3263</v>
      </c>
      <c r="H699" t="s">
        <v>281</v>
      </c>
      <c r="I699" t="s">
        <v>2616</v>
      </c>
      <c r="J699">
        <v>1</v>
      </c>
      <c r="K699">
        <v>2695</v>
      </c>
    </row>
    <row r="700" spans="1:11" x14ac:dyDescent="0.2">
      <c r="A700" t="s">
        <v>4457</v>
      </c>
      <c r="B700">
        <v>43032</v>
      </c>
      <c r="C700" t="s">
        <v>569</v>
      </c>
      <c r="D700" t="s">
        <v>4546</v>
      </c>
      <c r="E700" t="s">
        <v>281</v>
      </c>
      <c r="F700" t="s">
        <v>281</v>
      </c>
      <c r="G700" t="s">
        <v>2706</v>
      </c>
      <c r="H700" t="s">
        <v>281</v>
      </c>
      <c r="I700" t="s">
        <v>2666</v>
      </c>
      <c r="J700">
        <v>1</v>
      </c>
      <c r="K700">
        <v>469</v>
      </c>
    </row>
    <row r="701" spans="1:11" x14ac:dyDescent="0.2">
      <c r="A701" t="s">
        <v>4457</v>
      </c>
      <c r="B701">
        <v>49018</v>
      </c>
      <c r="C701" t="s">
        <v>607</v>
      </c>
      <c r="D701" t="s">
        <v>4555</v>
      </c>
      <c r="E701" t="s">
        <v>281</v>
      </c>
      <c r="F701" t="s">
        <v>281</v>
      </c>
      <c r="G701" t="s">
        <v>2983</v>
      </c>
      <c r="H701" t="s">
        <v>281</v>
      </c>
      <c r="I701" t="s">
        <v>2666</v>
      </c>
      <c r="J701">
        <v>1</v>
      </c>
      <c r="K701">
        <v>189</v>
      </c>
    </row>
    <row r="702" spans="1:11" x14ac:dyDescent="0.2">
      <c r="A702" t="s">
        <v>4457</v>
      </c>
      <c r="B702">
        <v>49066</v>
      </c>
      <c r="C702" t="s">
        <v>1677</v>
      </c>
      <c r="D702" t="s">
        <v>4499</v>
      </c>
      <c r="E702" t="s">
        <v>281</v>
      </c>
      <c r="F702" t="s">
        <v>281</v>
      </c>
      <c r="G702" t="s">
        <v>2950</v>
      </c>
      <c r="H702" t="s">
        <v>281</v>
      </c>
      <c r="I702" t="s">
        <v>2616</v>
      </c>
      <c r="J702">
        <v>1</v>
      </c>
      <c r="K702">
        <v>1975</v>
      </c>
    </row>
    <row r="703" spans="1:11" x14ac:dyDescent="0.2">
      <c r="A703" t="s">
        <v>4457</v>
      </c>
      <c r="B703">
        <v>44038</v>
      </c>
      <c r="C703" t="s">
        <v>1058</v>
      </c>
      <c r="D703" t="s">
        <v>4525</v>
      </c>
      <c r="E703" t="s">
        <v>281</v>
      </c>
      <c r="F703" t="s">
        <v>281</v>
      </c>
      <c r="G703" t="s">
        <v>3248</v>
      </c>
      <c r="H703" t="s">
        <v>281</v>
      </c>
      <c r="I703" t="s">
        <v>2666</v>
      </c>
      <c r="J703">
        <v>1</v>
      </c>
      <c r="K703">
        <v>10</v>
      </c>
    </row>
    <row r="704" spans="1:11" x14ac:dyDescent="0.2">
      <c r="A704" t="s">
        <v>4457</v>
      </c>
      <c r="B704">
        <v>49032</v>
      </c>
      <c r="C704" t="s">
        <v>1668</v>
      </c>
      <c r="D704" t="s">
        <v>4511</v>
      </c>
      <c r="E704" t="s">
        <v>281</v>
      </c>
      <c r="F704" t="s">
        <v>281</v>
      </c>
      <c r="G704" t="s">
        <v>2983</v>
      </c>
      <c r="H704" t="s">
        <v>281</v>
      </c>
      <c r="I704" t="s">
        <v>2616</v>
      </c>
      <c r="J704">
        <v>1</v>
      </c>
      <c r="K704">
        <v>950</v>
      </c>
    </row>
    <row r="705" spans="1:11" x14ac:dyDescent="0.2">
      <c r="A705" t="s">
        <v>4457</v>
      </c>
      <c r="B705">
        <v>46029</v>
      </c>
      <c r="C705" t="s">
        <v>595</v>
      </c>
      <c r="D705" t="s">
        <v>4476</v>
      </c>
      <c r="E705" t="s">
        <v>281</v>
      </c>
      <c r="F705" t="s">
        <v>281</v>
      </c>
      <c r="G705" t="s">
        <v>2826</v>
      </c>
      <c r="H705" t="s">
        <v>281</v>
      </c>
      <c r="I705" t="s">
        <v>2666</v>
      </c>
      <c r="J705">
        <v>1</v>
      </c>
      <c r="K705">
        <v>423</v>
      </c>
    </row>
    <row r="706" spans="1:11" x14ac:dyDescent="0.2">
      <c r="A706" t="s">
        <v>4457</v>
      </c>
      <c r="B706">
        <v>49044</v>
      </c>
      <c r="C706" t="s">
        <v>1673</v>
      </c>
      <c r="D706" t="s">
        <v>4537</v>
      </c>
      <c r="E706" t="s">
        <v>281</v>
      </c>
      <c r="F706" t="s">
        <v>281</v>
      </c>
      <c r="G706" t="s">
        <v>2983</v>
      </c>
      <c r="H706" t="s">
        <v>281</v>
      </c>
      <c r="I706" t="s">
        <v>2616</v>
      </c>
      <c r="J706">
        <v>1</v>
      </c>
      <c r="K706">
        <v>4466</v>
      </c>
    </row>
    <row r="707" spans="1:11" x14ac:dyDescent="0.2">
      <c r="A707" t="s">
        <v>4457</v>
      </c>
      <c r="B707">
        <v>43013</v>
      </c>
      <c r="C707" t="s">
        <v>1638</v>
      </c>
      <c r="D707" t="s">
        <v>4486</v>
      </c>
      <c r="E707" t="s">
        <v>281</v>
      </c>
      <c r="F707" t="s">
        <v>281</v>
      </c>
      <c r="G707" t="s">
        <v>2706</v>
      </c>
      <c r="H707" t="s">
        <v>281</v>
      </c>
      <c r="I707" t="s">
        <v>2616</v>
      </c>
      <c r="J707">
        <v>1</v>
      </c>
      <c r="K707">
        <v>16697</v>
      </c>
    </row>
    <row r="708" spans="1:11" x14ac:dyDescent="0.2">
      <c r="A708" t="s">
        <v>4457</v>
      </c>
      <c r="B708">
        <v>46010</v>
      </c>
      <c r="C708" t="s">
        <v>588</v>
      </c>
      <c r="D708" t="s">
        <v>4549</v>
      </c>
      <c r="E708" t="s">
        <v>281</v>
      </c>
      <c r="F708" t="s">
        <v>281</v>
      </c>
      <c r="G708" t="s">
        <v>2826</v>
      </c>
      <c r="H708" t="s">
        <v>281</v>
      </c>
      <c r="I708" t="s">
        <v>2666</v>
      </c>
      <c r="J708">
        <v>1</v>
      </c>
      <c r="K708">
        <v>74</v>
      </c>
    </row>
    <row r="709" spans="1:11" x14ac:dyDescent="0.2">
      <c r="A709" t="s">
        <v>4457</v>
      </c>
      <c r="B709">
        <v>44012</v>
      </c>
      <c r="C709" t="s">
        <v>571</v>
      </c>
      <c r="D709" t="s">
        <v>4557</v>
      </c>
      <c r="E709" t="s">
        <v>281</v>
      </c>
      <c r="F709" t="s">
        <v>281</v>
      </c>
      <c r="G709" t="s">
        <v>3248</v>
      </c>
      <c r="H709" t="s">
        <v>281</v>
      </c>
      <c r="I709" t="s">
        <v>2666</v>
      </c>
      <c r="J709">
        <v>1</v>
      </c>
      <c r="K709">
        <v>3473</v>
      </c>
    </row>
    <row r="710" spans="1:11" x14ac:dyDescent="0.2">
      <c r="A710" t="s">
        <v>4457</v>
      </c>
      <c r="B710">
        <v>44006</v>
      </c>
      <c r="C710" t="s">
        <v>4456</v>
      </c>
      <c r="D710" t="s">
        <v>4455</v>
      </c>
      <c r="E710" t="s">
        <v>281</v>
      </c>
      <c r="F710" t="s">
        <v>281</v>
      </c>
      <c r="G710" t="s">
        <v>3248</v>
      </c>
      <c r="H710" t="s">
        <v>281</v>
      </c>
      <c r="I710" t="s">
        <v>2616</v>
      </c>
      <c r="J710">
        <v>1</v>
      </c>
      <c r="K710">
        <v>89184.58</v>
      </c>
    </row>
    <row r="711" spans="1:11" x14ac:dyDescent="0.2">
      <c r="A711" t="s">
        <v>4457</v>
      </c>
      <c r="B711">
        <v>49050</v>
      </c>
      <c r="C711" t="s">
        <v>616</v>
      </c>
      <c r="D711" t="s">
        <v>4474</v>
      </c>
      <c r="E711" t="s">
        <v>281</v>
      </c>
      <c r="F711" t="s">
        <v>281</v>
      </c>
      <c r="G711" t="s">
        <v>2983</v>
      </c>
      <c r="H711" t="s">
        <v>281</v>
      </c>
      <c r="I711" t="s">
        <v>2666</v>
      </c>
      <c r="J711">
        <v>1</v>
      </c>
      <c r="K711">
        <v>46</v>
      </c>
    </row>
    <row r="712" spans="1:11" x14ac:dyDescent="0.2">
      <c r="A712" t="s">
        <v>4457</v>
      </c>
      <c r="B712">
        <v>45015</v>
      </c>
      <c r="C712" t="s">
        <v>583</v>
      </c>
      <c r="D712" t="s">
        <v>4558</v>
      </c>
      <c r="E712" t="s">
        <v>281</v>
      </c>
      <c r="F712" t="s">
        <v>281</v>
      </c>
      <c r="G712" t="s">
        <v>3263</v>
      </c>
      <c r="H712" t="s">
        <v>281</v>
      </c>
      <c r="I712" t="s">
        <v>2666</v>
      </c>
      <c r="J712">
        <v>1</v>
      </c>
      <c r="K712">
        <v>183</v>
      </c>
    </row>
    <row r="713" spans="1:11" x14ac:dyDescent="0.2">
      <c r="A713" t="s">
        <v>4457</v>
      </c>
      <c r="B713">
        <v>46017</v>
      </c>
      <c r="C713" t="s">
        <v>590</v>
      </c>
      <c r="D713" t="s">
        <v>4468</v>
      </c>
      <c r="E713" t="s">
        <v>281</v>
      </c>
      <c r="F713" t="s">
        <v>281</v>
      </c>
      <c r="G713" t="s">
        <v>2826</v>
      </c>
      <c r="H713" t="s">
        <v>281</v>
      </c>
      <c r="I713" t="s">
        <v>2666</v>
      </c>
      <c r="J713">
        <v>1</v>
      </c>
      <c r="K713">
        <v>135</v>
      </c>
    </row>
    <row r="714" spans="1:11" x14ac:dyDescent="0.2">
      <c r="A714" t="s">
        <v>4457</v>
      </c>
      <c r="B714">
        <v>49065</v>
      </c>
      <c r="C714" t="s">
        <v>623</v>
      </c>
      <c r="D714" t="s">
        <v>4524</v>
      </c>
      <c r="E714" t="s">
        <v>281</v>
      </c>
      <c r="F714" t="s">
        <v>281</v>
      </c>
      <c r="G714" t="s">
        <v>2950</v>
      </c>
      <c r="H714" t="s">
        <v>281</v>
      </c>
      <c r="I714" t="s">
        <v>2666</v>
      </c>
      <c r="J714">
        <v>1</v>
      </c>
      <c r="K714">
        <v>234</v>
      </c>
    </row>
    <row r="715" spans="1:11" x14ac:dyDescent="0.2">
      <c r="A715" t="s">
        <v>4457</v>
      </c>
      <c r="B715">
        <v>45018</v>
      </c>
      <c r="C715" t="s">
        <v>584</v>
      </c>
      <c r="D715" t="s">
        <v>4521</v>
      </c>
      <c r="E715" t="s">
        <v>281</v>
      </c>
      <c r="F715" t="s">
        <v>281</v>
      </c>
      <c r="G715" t="s">
        <v>3263</v>
      </c>
      <c r="H715" t="s">
        <v>281</v>
      </c>
      <c r="I715" t="s">
        <v>2666</v>
      </c>
      <c r="J715">
        <v>1</v>
      </c>
      <c r="K715">
        <v>47</v>
      </c>
    </row>
    <row r="716" spans="1:11" x14ac:dyDescent="0.2">
      <c r="A716" t="s">
        <v>4457</v>
      </c>
      <c r="B716">
        <v>46006</v>
      </c>
      <c r="C716" t="s">
        <v>586</v>
      </c>
      <c r="D716" t="s">
        <v>4553</v>
      </c>
      <c r="E716" t="s">
        <v>281</v>
      </c>
      <c r="F716" t="s">
        <v>281</v>
      </c>
      <c r="G716" t="s">
        <v>2826</v>
      </c>
      <c r="H716" t="s">
        <v>281</v>
      </c>
      <c r="I716" t="s">
        <v>2666</v>
      </c>
      <c r="J716">
        <v>1</v>
      </c>
      <c r="K716">
        <v>160</v>
      </c>
    </row>
    <row r="717" spans="1:11" x14ac:dyDescent="0.2">
      <c r="A717" t="s">
        <v>4457</v>
      </c>
      <c r="B717">
        <v>44043</v>
      </c>
      <c r="C717" t="s">
        <v>578</v>
      </c>
      <c r="D717" t="s">
        <v>4483</v>
      </c>
      <c r="E717" t="s">
        <v>2634</v>
      </c>
      <c r="F717" t="s">
        <v>281</v>
      </c>
      <c r="G717" t="s">
        <v>3248</v>
      </c>
      <c r="H717" t="s">
        <v>2634</v>
      </c>
      <c r="I717" t="s">
        <v>2666</v>
      </c>
      <c r="J717">
        <v>1</v>
      </c>
      <c r="K717">
        <v>42</v>
      </c>
    </row>
    <row r="718" spans="1:11" x14ac:dyDescent="0.2">
      <c r="A718" t="s">
        <v>4457</v>
      </c>
      <c r="B718">
        <v>54007</v>
      </c>
      <c r="C718" t="s">
        <v>1702</v>
      </c>
      <c r="D718" t="s">
        <v>4494</v>
      </c>
      <c r="E718" t="s">
        <v>281</v>
      </c>
      <c r="F718" t="s">
        <v>281</v>
      </c>
      <c r="G718" t="s">
        <v>2729</v>
      </c>
      <c r="H718" t="s">
        <v>281</v>
      </c>
      <c r="I718" t="s">
        <v>2616</v>
      </c>
      <c r="J718">
        <v>1</v>
      </c>
      <c r="K718">
        <v>1404</v>
      </c>
    </row>
    <row r="719" spans="1:11" x14ac:dyDescent="0.2">
      <c r="A719" t="s">
        <v>4457</v>
      </c>
      <c r="B719">
        <v>49034</v>
      </c>
      <c r="C719" t="s">
        <v>611</v>
      </c>
      <c r="D719" t="s">
        <v>4501</v>
      </c>
      <c r="E719" t="s">
        <v>281</v>
      </c>
      <c r="F719" t="s">
        <v>281</v>
      </c>
      <c r="G719" t="s">
        <v>2983</v>
      </c>
      <c r="H719" t="s">
        <v>281</v>
      </c>
      <c r="I719" t="s">
        <v>2666</v>
      </c>
      <c r="J719">
        <v>1</v>
      </c>
      <c r="K719">
        <v>248</v>
      </c>
    </row>
    <row r="720" spans="1:11" x14ac:dyDescent="0.2">
      <c r="A720" t="s">
        <v>4457</v>
      </c>
      <c r="B720">
        <v>201096</v>
      </c>
      <c r="C720" t="s">
        <v>2492</v>
      </c>
      <c r="D720" t="s">
        <v>4522</v>
      </c>
      <c r="E720" t="s">
        <v>281</v>
      </c>
      <c r="F720" t="s">
        <v>281</v>
      </c>
      <c r="G720" t="s">
        <v>2950</v>
      </c>
      <c r="H720" t="s">
        <v>281</v>
      </c>
      <c r="I720" t="s">
        <v>2616</v>
      </c>
      <c r="J720">
        <v>1</v>
      </c>
      <c r="K720">
        <v>605</v>
      </c>
    </row>
    <row r="721" spans="1:11" x14ac:dyDescent="0.2">
      <c r="A721" t="s">
        <v>4457</v>
      </c>
      <c r="B721">
        <v>46020</v>
      </c>
      <c r="C721" t="s">
        <v>591</v>
      </c>
      <c r="D721" t="s">
        <v>4527</v>
      </c>
      <c r="E721" t="s">
        <v>2634</v>
      </c>
      <c r="F721" t="s">
        <v>281</v>
      </c>
      <c r="G721" t="s">
        <v>2826</v>
      </c>
      <c r="H721" t="s">
        <v>2634</v>
      </c>
      <c r="I721" t="s">
        <v>2666</v>
      </c>
      <c r="J721">
        <v>1</v>
      </c>
      <c r="K721">
        <v>70</v>
      </c>
    </row>
    <row r="722" spans="1:11" x14ac:dyDescent="0.2">
      <c r="A722" t="s">
        <v>4457</v>
      </c>
      <c r="B722">
        <v>49090</v>
      </c>
      <c r="C722" t="s">
        <v>1366</v>
      </c>
      <c r="D722" t="s">
        <v>4471</v>
      </c>
      <c r="E722" t="s">
        <v>281</v>
      </c>
      <c r="F722" t="s">
        <v>281</v>
      </c>
      <c r="G722" t="s">
        <v>2950</v>
      </c>
      <c r="H722" t="s">
        <v>281</v>
      </c>
      <c r="I722" t="s">
        <v>2666</v>
      </c>
      <c r="J722">
        <v>1</v>
      </c>
      <c r="K722">
        <v>142</v>
      </c>
    </row>
    <row r="723" spans="1:11" x14ac:dyDescent="0.2">
      <c r="A723" t="s">
        <v>4457</v>
      </c>
      <c r="B723">
        <v>46015</v>
      </c>
      <c r="C723" t="s">
        <v>294</v>
      </c>
      <c r="D723" t="s">
        <v>4459</v>
      </c>
      <c r="E723" t="s">
        <v>281</v>
      </c>
      <c r="F723" t="s">
        <v>281</v>
      </c>
      <c r="G723" t="s">
        <v>2826</v>
      </c>
      <c r="H723" t="s">
        <v>281</v>
      </c>
      <c r="I723" t="s">
        <v>2616</v>
      </c>
      <c r="J723">
        <v>1</v>
      </c>
      <c r="K723">
        <v>5210</v>
      </c>
    </row>
    <row r="724" spans="1:11" x14ac:dyDescent="0.2">
      <c r="A724" t="s">
        <v>4457</v>
      </c>
      <c r="B724">
        <v>46014</v>
      </c>
      <c r="C724" t="s">
        <v>589</v>
      </c>
      <c r="D724" t="s">
        <v>4492</v>
      </c>
      <c r="E724" t="s">
        <v>281</v>
      </c>
      <c r="F724" t="s">
        <v>281</v>
      </c>
      <c r="G724" t="s">
        <v>2826</v>
      </c>
      <c r="H724" t="s">
        <v>281</v>
      </c>
      <c r="I724" t="s">
        <v>2666</v>
      </c>
      <c r="J724">
        <v>1</v>
      </c>
      <c r="K724">
        <v>160</v>
      </c>
    </row>
    <row r="725" spans="1:11" x14ac:dyDescent="0.2">
      <c r="A725" t="s">
        <v>4457</v>
      </c>
      <c r="B725">
        <v>43031</v>
      </c>
      <c r="C725" t="s">
        <v>1057</v>
      </c>
      <c r="D725" t="s">
        <v>4480</v>
      </c>
      <c r="E725" t="s">
        <v>281</v>
      </c>
      <c r="F725" t="s">
        <v>281</v>
      </c>
      <c r="G725" t="s">
        <v>2706</v>
      </c>
      <c r="H725" t="s">
        <v>281</v>
      </c>
      <c r="I725" t="s">
        <v>2666</v>
      </c>
      <c r="J725">
        <v>1</v>
      </c>
      <c r="K725">
        <v>225</v>
      </c>
    </row>
    <row r="726" spans="1:11" x14ac:dyDescent="0.2">
      <c r="A726" t="s">
        <v>4419</v>
      </c>
      <c r="B726">
        <v>58002</v>
      </c>
      <c r="C726" t="s">
        <v>1712</v>
      </c>
      <c r="D726" t="s">
        <v>4448</v>
      </c>
      <c r="E726" t="s">
        <v>281</v>
      </c>
      <c r="F726" t="s">
        <v>281</v>
      </c>
      <c r="G726" t="s">
        <v>2699</v>
      </c>
      <c r="H726" t="s">
        <v>281</v>
      </c>
      <c r="I726" t="s">
        <v>2616</v>
      </c>
      <c r="J726">
        <v>1</v>
      </c>
      <c r="K726">
        <v>2131</v>
      </c>
    </row>
    <row r="727" spans="1:11" x14ac:dyDescent="0.2">
      <c r="A727" t="s">
        <v>4419</v>
      </c>
      <c r="B727">
        <v>51013</v>
      </c>
      <c r="C727" t="s">
        <v>1690</v>
      </c>
      <c r="D727" t="s">
        <v>4423</v>
      </c>
      <c r="E727" t="s">
        <v>281</v>
      </c>
      <c r="F727" t="s">
        <v>281</v>
      </c>
      <c r="G727" t="s">
        <v>2667</v>
      </c>
      <c r="H727" t="s">
        <v>281</v>
      </c>
      <c r="I727" t="s">
        <v>2616</v>
      </c>
      <c r="J727">
        <v>1</v>
      </c>
      <c r="K727">
        <v>4705</v>
      </c>
    </row>
    <row r="728" spans="1:11" x14ac:dyDescent="0.2">
      <c r="A728" t="s">
        <v>4419</v>
      </c>
      <c r="B728">
        <v>57003</v>
      </c>
      <c r="C728" t="s">
        <v>1709</v>
      </c>
      <c r="D728" t="s">
        <v>4422</v>
      </c>
      <c r="E728" t="s">
        <v>281</v>
      </c>
      <c r="F728" t="s">
        <v>281</v>
      </c>
      <c r="G728" t="s">
        <v>2889</v>
      </c>
      <c r="H728" t="s">
        <v>281</v>
      </c>
      <c r="I728" t="s">
        <v>2616</v>
      </c>
      <c r="J728">
        <v>1</v>
      </c>
      <c r="K728">
        <v>4348</v>
      </c>
    </row>
    <row r="729" spans="1:11" x14ac:dyDescent="0.2">
      <c r="A729" t="s">
        <v>4419</v>
      </c>
      <c r="B729">
        <v>51008</v>
      </c>
      <c r="C729" t="s">
        <v>1688</v>
      </c>
      <c r="D729" t="s">
        <v>4426</v>
      </c>
      <c r="E729" t="s">
        <v>281</v>
      </c>
      <c r="F729" t="s">
        <v>281</v>
      </c>
      <c r="G729" t="s">
        <v>2667</v>
      </c>
      <c r="H729" t="s">
        <v>281</v>
      </c>
      <c r="I729" t="s">
        <v>2616</v>
      </c>
      <c r="J729">
        <v>1</v>
      </c>
      <c r="K729">
        <v>5314</v>
      </c>
    </row>
    <row r="730" spans="1:11" x14ac:dyDescent="0.2">
      <c r="A730" t="s">
        <v>4419</v>
      </c>
      <c r="B730">
        <v>58004</v>
      </c>
      <c r="C730" t="s">
        <v>1713</v>
      </c>
      <c r="D730" t="s">
        <v>4436</v>
      </c>
      <c r="E730" t="s">
        <v>281</v>
      </c>
      <c r="F730" t="s">
        <v>281</v>
      </c>
      <c r="G730" t="s">
        <v>2699</v>
      </c>
      <c r="H730" t="s">
        <v>281</v>
      </c>
      <c r="I730" t="s">
        <v>2616</v>
      </c>
      <c r="J730">
        <v>1</v>
      </c>
      <c r="K730">
        <v>1677.95</v>
      </c>
    </row>
    <row r="731" spans="1:11" x14ac:dyDescent="0.2">
      <c r="A731" t="s">
        <v>4419</v>
      </c>
      <c r="B731">
        <v>52011</v>
      </c>
      <c r="C731" t="s">
        <v>1694</v>
      </c>
      <c r="D731" t="s">
        <v>4442</v>
      </c>
      <c r="E731" t="s">
        <v>281</v>
      </c>
      <c r="F731" t="s">
        <v>281</v>
      </c>
      <c r="G731" t="s">
        <v>2682</v>
      </c>
      <c r="H731" t="s">
        <v>281</v>
      </c>
      <c r="I731" t="s">
        <v>2616</v>
      </c>
      <c r="J731">
        <v>1</v>
      </c>
      <c r="K731">
        <v>17</v>
      </c>
    </row>
    <row r="732" spans="1:11" x14ac:dyDescent="0.2">
      <c r="A732" t="s">
        <v>4419</v>
      </c>
      <c r="B732">
        <v>58001</v>
      </c>
      <c r="C732" t="s">
        <v>1711</v>
      </c>
      <c r="D732" t="s">
        <v>4435</v>
      </c>
      <c r="E732" t="s">
        <v>281</v>
      </c>
      <c r="F732" t="s">
        <v>281</v>
      </c>
      <c r="G732" t="s">
        <v>2699</v>
      </c>
      <c r="H732" t="s">
        <v>281</v>
      </c>
      <c r="I732" t="s">
        <v>2616</v>
      </c>
      <c r="J732">
        <v>1</v>
      </c>
      <c r="K732">
        <v>61393</v>
      </c>
    </row>
    <row r="733" spans="1:11" x14ac:dyDescent="0.2">
      <c r="A733" t="s">
        <v>4419</v>
      </c>
      <c r="B733">
        <v>57001</v>
      </c>
      <c r="C733" t="s">
        <v>1708</v>
      </c>
      <c r="D733" t="s">
        <v>4424</v>
      </c>
      <c r="E733" t="s">
        <v>281</v>
      </c>
      <c r="F733" t="s">
        <v>281</v>
      </c>
      <c r="G733" t="s">
        <v>2889</v>
      </c>
      <c r="H733" t="s">
        <v>281</v>
      </c>
      <c r="I733" t="s">
        <v>2616</v>
      </c>
      <c r="J733">
        <v>1</v>
      </c>
      <c r="K733">
        <v>20023.2</v>
      </c>
    </row>
    <row r="734" spans="1:11" x14ac:dyDescent="0.2">
      <c r="A734" t="s">
        <v>4419</v>
      </c>
      <c r="B734">
        <v>40001</v>
      </c>
      <c r="C734" t="s">
        <v>1617</v>
      </c>
      <c r="D734" t="s">
        <v>4451</v>
      </c>
      <c r="E734" t="s">
        <v>281</v>
      </c>
      <c r="F734" t="s">
        <v>281</v>
      </c>
      <c r="G734" t="s">
        <v>2704</v>
      </c>
      <c r="H734" t="s">
        <v>281</v>
      </c>
      <c r="I734" t="s">
        <v>2616</v>
      </c>
      <c r="J734">
        <v>1</v>
      </c>
      <c r="K734">
        <v>6515</v>
      </c>
    </row>
    <row r="735" spans="1:11" x14ac:dyDescent="0.2">
      <c r="A735" t="s">
        <v>4419</v>
      </c>
      <c r="B735">
        <v>40037</v>
      </c>
      <c r="C735" t="s">
        <v>1623</v>
      </c>
      <c r="D735" t="s">
        <v>4433</v>
      </c>
      <c r="E735" t="s">
        <v>281</v>
      </c>
      <c r="F735" t="s">
        <v>281</v>
      </c>
      <c r="G735" t="s">
        <v>2704</v>
      </c>
      <c r="H735" t="s">
        <v>281</v>
      </c>
      <c r="I735" t="s">
        <v>2616</v>
      </c>
      <c r="J735">
        <v>1</v>
      </c>
      <c r="K735">
        <v>167</v>
      </c>
    </row>
    <row r="736" spans="1:11" x14ac:dyDescent="0.2">
      <c r="A736" t="s">
        <v>4419</v>
      </c>
      <c r="B736">
        <v>52004</v>
      </c>
      <c r="C736" t="s">
        <v>1692</v>
      </c>
      <c r="D736" t="s">
        <v>4440</v>
      </c>
      <c r="E736" t="s">
        <v>281</v>
      </c>
      <c r="F736" t="s">
        <v>281</v>
      </c>
      <c r="G736" t="s">
        <v>2682</v>
      </c>
      <c r="H736" t="s">
        <v>281</v>
      </c>
      <c r="I736" t="s">
        <v>2616</v>
      </c>
      <c r="J736">
        <v>1</v>
      </c>
      <c r="K736">
        <v>701</v>
      </c>
    </row>
    <row r="737" spans="1:11" x14ac:dyDescent="0.2">
      <c r="A737" t="s">
        <v>4419</v>
      </c>
      <c r="B737">
        <v>51018</v>
      </c>
      <c r="C737" t="s">
        <v>1691</v>
      </c>
      <c r="D737" t="s">
        <v>4441</v>
      </c>
      <c r="E737" t="s">
        <v>281</v>
      </c>
      <c r="F737" t="s">
        <v>281</v>
      </c>
      <c r="G737" t="s">
        <v>2667</v>
      </c>
      <c r="H737" t="s">
        <v>281</v>
      </c>
      <c r="I737" t="s">
        <v>2616</v>
      </c>
      <c r="J737">
        <v>1</v>
      </c>
      <c r="K737">
        <v>2516.17</v>
      </c>
    </row>
    <row r="738" spans="1:11" x14ac:dyDescent="0.2">
      <c r="A738" t="s">
        <v>4419</v>
      </c>
      <c r="B738">
        <v>41005</v>
      </c>
      <c r="C738" t="s">
        <v>1624</v>
      </c>
      <c r="D738" t="s">
        <v>4418</v>
      </c>
      <c r="E738" t="s">
        <v>281</v>
      </c>
      <c r="F738" t="s">
        <v>281</v>
      </c>
      <c r="G738" t="s">
        <v>2704</v>
      </c>
      <c r="H738" t="s">
        <v>281</v>
      </c>
      <c r="I738" t="s">
        <v>2616</v>
      </c>
      <c r="J738">
        <v>1</v>
      </c>
      <c r="K738">
        <v>5826</v>
      </c>
    </row>
    <row r="739" spans="1:11" x14ac:dyDescent="0.2">
      <c r="A739" t="s">
        <v>4419</v>
      </c>
      <c r="B739">
        <v>52013</v>
      </c>
      <c r="C739" t="s">
        <v>640</v>
      </c>
      <c r="D739" t="s">
        <v>4439</v>
      </c>
      <c r="E739" t="s">
        <v>281</v>
      </c>
      <c r="F739" t="s">
        <v>281</v>
      </c>
      <c r="G739" t="s">
        <v>2682</v>
      </c>
      <c r="H739" t="s">
        <v>281</v>
      </c>
      <c r="I739" t="s">
        <v>2666</v>
      </c>
      <c r="J739">
        <v>1</v>
      </c>
      <c r="K739">
        <v>50</v>
      </c>
    </row>
    <row r="740" spans="1:11" x14ac:dyDescent="0.2">
      <c r="A740" t="s">
        <v>4419</v>
      </c>
      <c r="B740">
        <v>52029</v>
      </c>
      <c r="C740" t="s">
        <v>1699</v>
      </c>
      <c r="D740" t="s">
        <v>4437</v>
      </c>
      <c r="E740" t="s">
        <v>281</v>
      </c>
      <c r="F740" t="s">
        <v>281</v>
      </c>
      <c r="G740" t="s">
        <v>2682</v>
      </c>
      <c r="H740" t="s">
        <v>281</v>
      </c>
      <c r="I740" t="s">
        <v>2616</v>
      </c>
      <c r="J740">
        <v>1</v>
      </c>
      <c r="K740">
        <v>495</v>
      </c>
    </row>
    <row r="741" spans="1:11" x14ac:dyDescent="0.2">
      <c r="A741" t="s">
        <v>4419</v>
      </c>
      <c r="B741">
        <v>40017</v>
      </c>
      <c r="C741" t="s">
        <v>1620</v>
      </c>
      <c r="D741" t="s">
        <v>4438</v>
      </c>
      <c r="E741" t="s">
        <v>281</v>
      </c>
      <c r="F741" t="s">
        <v>281</v>
      </c>
      <c r="G741" t="s">
        <v>2704</v>
      </c>
      <c r="H741" t="s">
        <v>281</v>
      </c>
      <c r="I741" t="s">
        <v>2616</v>
      </c>
      <c r="J741">
        <v>1</v>
      </c>
      <c r="K741">
        <v>5702</v>
      </c>
    </row>
    <row r="742" spans="1:11" x14ac:dyDescent="0.2">
      <c r="A742" t="s">
        <v>4419</v>
      </c>
      <c r="B742">
        <v>39012</v>
      </c>
      <c r="C742" t="s">
        <v>1616</v>
      </c>
      <c r="D742" t="s">
        <v>4450</v>
      </c>
      <c r="E742" t="s">
        <v>281</v>
      </c>
      <c r="F742" t="s">
        <v>281</v>
      </c>
      <c r="G742" t="s">
        <v>2988</v>
      </c>
      <c r="H742" t="s">
        <v>281</v>
      </c>
      <c r="I742" t="s">
        <v>2616</v>
      </c>
      <c r="J742">
        <v>1</v>
      </c>
      <c r="K742">
        <v>14083</v>
      </c>
    </row>
    <row r="743" spans="1:11" x14ac:dyDescent="0.2">
      <c r="A743" t="s">
        <v>4419</v>
      </c>
      <c r="B743">
        <v>51012</v>
      </c>
      <c r="C743" t="s">
        <v>1689</v>
      </c>
      <c r="D743" t="s">
        <v>4445</v>
      </c>
      <c r="E743" t="s">
        <v>281</v>
      </c>
      <c r="F743" t="s">
        <v>281</v>
      </c>
      <c r="G743" t="s">
        <v>2667</v>
      </c>
      <c r="H743" t="s">
        <v>281</v>
      </c>
      <c r="I743" t="s">
        <v>2616</v>
      </c>
      <c r="J743">
        <v>1</v>
      </c>
      <c r="K743">
        <v>802</v>
      </c>
    </row>
    <row r="744" spans="1:11" x14ac:dyDescent="0.2">
      <c r="A744" t="s">
        <v>4419</v>
      </c>
      <c r="B744">
        <v>41012</v>
      </c>
      <c r="C744" t="s">
        <v>1625</v>
      </c>
      <c r="D744" t="s">
        <v>4421</v>
      </c>
      <c r="E744" t="s">
        <v>281</v>
      </c>
      <c r="F744" t="s">
        <v>281</v>
      </c>
      <c r="G744" t="s">
        <v>2704</v>
      </c>
      <c r="H744" t="s">
        <v>281</v>
      </c>
      <c r="I744" t="s">
        <v>2616</v>
      </c>
      <c r="J744">
        <v>1</v>
      </c>
      <c r="K744">
        <v>5206</v>
      </c>
    </row>
    <row r="745" spans="1:11" x14ac:dyDescent="0.2">
      <c r="A745" t="s">
        <v>4419</v>
      </c>
      <c r="B745">
        <v>14007</v>
      </c>
      <c r="C745" t="s">
        <v>1431</v>
      </c>
      <c r="D745" t="s">
        <v>4444</v>
      </c>
      <c r="E745" t="s">
        <v>279</v>
      </c>
      <c r="F745" t="s">
        <v>279</v>
      </c>
      <c r="G745" t="s">
        <v>2858</v>
      </c>
      <c r="H745" t="s">
        <v>279</v>
      </c>
      <c r="I745" t="s">
        <v>2616</v>
      </c>
      <c r="J745">
        <v>1</v>
      </c>
      <c r="K745">
        <v>62733</v>
      </c>
    </row>
    <row r="746" spans="1:11" x14ac:dyDescent="0.2">
      <c r="A746" t="s">
        <v>4419</v>
      </c>
      <c r="B746">
        <v>40022</v>
      </c>
      <c r="C746" t="s">
        <v>1622</v>
      </c>
      <c r="D746" t="s">
        <v>4431</v>
      </c>
      <c r="E746" t="s">
        <v>281</v>
      </c>
      <c r="F746" t="s">
        <v>281</v>
      </c>
      <c r="G746" t="s">
        <v>2704</v>
      </c>
      <c r="H746" t="s">
        <v>281</v>
      </c>
      <c r="I746" t="s">
        <v>2616</v>
      </c>
      <c r="J746">
        <v>1</v>
      </c>
      <c r="K746">
        <v>19305.5</v>
      </c>
    </row>
    <row r="747" spans="1:11" x14ac:dyDescent="0.2">
      <c r="A747" t="s">
        <v>4419</v>
      </c>
      <c r="B747">
        <v>52025</v>
      </c>
      <c r="C747" t="s">
        <v>1698</v>
      </c>
      <c r="D747" t="s">
        <v>4449</v>
      </c>
      <c r="E747" t="s">
        <v>281</v>
      </c>
      <c r="F747" t="s">
        <v>281</v>
      </c>
      <c r="G747" t="s">
        <v>2682</v>
      </c>
      <c r="H747" t="s">
        <v>281</v>
      </c>
      <c r="I747" t="s">
        <v>2616</v>
      </c>
      <c r="J747">
        <v>1</v>
      </c>
      <c r="K747">
        <v>2691</v>
      </c>
    </row>
    <row r="748" spans="1:11" x14ac:dyDescent="0.2">
      <c r="A748" t="s">
        <v>4419</v>
      </c>
      <c r="B748">
        <v>50013</v>
      </c>
      <c r="C748" t="s">
        <v>1684</v>
      </c>
      <c r="D748" t="s">
        <v>4432</v>
      </c>
      <c r="E748" t="s">
        <v>281</v>
      </c>
      <c r="F748" t="s">
        <v>281</v>
      </c>
      <c r="G748" t="s">
        <v>2667</v>
      </c>
      <c r="H748" t="s">
        <v>281</v>
      </c>
      <c r="I748" t="s">
        <v>2616</v>
      </c>
      <c r="J748">
        <v>1</v>
      </c>
      <c r="K748">
        <v>13110.71</v>
      </c>
    </row>
    <row r="749" spans="1:11" x14ac:dyDescent="0.2">
      <c r="A749" t="s">
        <v>4419</v>
      </c>
      <c r="B749">
        <v>41015</v>
      </c>
      <c r="C749" t="s">
        <v>1626</v>
      </c>
      <c r="D749" t="s">
        <v>4430</v>
      </c>
      <c r="E749" t="s">
        <v>281</v>
      </c>
      <c r="F749" t="s">
        <v>281</v>
      </c>
      <c r="G749" t="s">
        <v>2704</v>
      </c>
      <c r="H749" t="s">
        <v>281</v>
      </c>
      <c r="I749" t="s">
        <v>2616</v>
      </c>
      <c r="J749">
        <v>1</v>
      </c>
      <c r="K749">
        <v>977</v>
      </c>
    </row>
    <row r="750" spans="1:11" x14ac:dyDescent="0.2">
      <c r="A750" t="s">
        <v>4419</v>
      </c>
      <c r="B750">
        <v>51004</v>
      </c>
      <c r="C750" t="s">
        <v>1687</v>
      </c>
      <c r="D750" t="s">
        <v>4427</v>
      </c>
      <c r="E750" t="s">
        <v>281</v>
      </c>
      <c r="F750" t="s">
        <v>281</v>
      </c>
      <c r="G750" t="s">
        <v>2667</v>
      </c>
      <c r="H750" t="s">
        <v>281</v>
      </c>
      <c r="I750" t="s">
        <v>2616</v>
      </c>
      <c r="J750">
        <v>1</v>
      </c>
      <c r="K750">
        <v>557</v>
      </c>
    </row>
    <row r="751" spans="1:11" x14ac:dyDescent="0.2">
      <c r="A751" t="s">
        <v>4419</v>
      </c>
      <c r="B751">
        <v>52015</v>
      </c>
      <c r="C751" t="s">
        <v>1695</v>
      </c>
      <c r="D751" t="s">
        <v>4454</v>
      </c>
      <c r="E751" t="s">
        <v>281</v>
      </c>
      <c r="F751" t="s">
        <v>281</v>
      </c>
      <c r="G751" t="s">
        <v>2682</v>
      </c>
      <c r="H751" t="s">
        <v>281</v>
      </c>
      <c r="I751" t="s">
        <v>2616</v>
      </c>
      <c r="J751">
        <v>1</v>
      </c>
      <c r="K751">
        <v>24974</v>
      </c>
    </row>
    <row r="752" spans="1:11" x14ac:dyDescent="0.2">
      <c r="A752" t="s">
        <v>4419</v>
      </c>
      <c r="B752">
        <v>40004</v>
      </c>
      <c r="C752" t="s">
        <v>1618</v>
      </c>
      <c r="D752" t="s">
        <v>4446</v>
      </c>
      <c r="E752" t="s">
        <v>281</v>
      </c>
      <c r="F752" t="s">
        <v>281</v>
      </c>
      <c r="G752" t="s">
        <v>2704</v>
      </c>
      <c r="H752" t="s">
        <v>281</v>
      </c>
      <c r="I752" t="s">
        <v>2616</v>
      </c>
      <c r="J752">
        <v>1</v>
      </c>
      <c r="K752">
        <v>6929</v>
      </c>
    </row>
    <row r="753" spans="1:11" x14ac:dyDescent="0.2">
      <c r="A753" t="s">
        <v>4419</v>
      </c>
      <c r="B753">
        <v>52008</v>
      </c>
      <c r="C753" t="s">
        <v>1693</v>
      </c>
      <c r="D753" t="s">
        <v>4443</v>
      </c>
      <c r="E753" t="s">
        <v>281</v>
      </c>
      <c r="F753" t="s">
        <v>281</v>
      </c>
      <c r="G753" t="s">
        <v>2682</v>
      </c>
      <c r="H753" t="s">
        <v>281</v>
      </c>
      <c r="I753" t="s">
        <v>2616</v>
      </c>
      <c r="J753">
        <v>1</v>
      </c>
      <c r="K753">
        <v>1349</v>
      </c>
    </row>
    <row r="754" spans="1:11" x14ac:dyDescent="0.2">
      <c r="A754" t="s">
        <v>4419</v>
      </c>
      <c r="B754">
        <v>56015</v>
      </c>
      <c r="C754" t="s">
        <v>1707</v>
      </c>
      <c r="D754" t="s">
        <v>4434</v>
      </c>
      <c r="E754" t="s">
        <v>2634</v>
      </c>
      <c r="F754" t="s">
        <v>281</v>
      </c>
      <c r="G754" t="s">
        <v>2690</v>
      </c>
      <c r="H754" t="s">
        <v>2634</v>
      </c>
      <c r="I754" t="s">
        <v>2616</v>
      </c>
      <c r="J754">
        <v>1</v>
      </c>
      <c r="K754">
        <v>482</v>
      </c>
    </row>
    <row r="755" spans="1:11" x14ac:dyDescent="0.2">
      <c r="A755" t="s">
        <v>4419</v>
      </c>
      <c r="B755">
        <v>56008</v>
      </c>
      <c r="C755" t="s">
        <v>1705</v>
      </c>
      <c r="D755" t="s">
        <v>4452</v>
      </c>
      <c r="E755" t="s">
        <v>281</v>
      </c>
      <c r="F755" t="s">
        <v>281</v>
      </c>
      <c r="G755" t="s">
        <v>2690</v>
      </c>
      <c r="H755" t="s">
        <v>281</v>
      </c>
      <c r="I755" t="s">
        <v>2616</v>
      </c>
      <c r="J755">
        <v>1</v>
      </c>
      <c r="K755">
        <v>11213</v>
      </c>
    </row>
    <row r="756" spans="1:11" x14ac:dyDescent="0.2">
      <c r="A756" t="s">
        <v>4419</v>
      </c>
      <c r="B756">
        <v>56013</v>
      </c>
      <c r="C756" t="s">
        <v>1706</v>
      </c>
      <c r="D756" t="s">
        <v>4429</v>
      </c>
      <c r="E756" t="s">
        <v>281</v>
      </c>
      <c r="F756" t="s">
        <v>281</v>
      </c>
      <c r="G756" t="s">
        <v>2690</v>
      </c>
      <c r="H756" t="s">
        <v>281</v>
      </c>
      <c r="I756" t="s">
        <v>2616</v>
      </c>
      <c r="J756">
        <v>1</v>
      </c>
      <c r="K756">
        <v>6984</v>
      </c>
    </row>
    <row r="757" spans="1:11" x14ac:dyDescent="0.2">
      <c r="A757" t="s">
        <v>4419</v>
      </c>
      <c r="B757">
        <v>57006</v>
      </c>
      <c r="C757" t="s">
        <v>1710</v>
      </c>
      <c r="D757" t="s">
        <v>4420</v>
      </c>
      <c r="E757" t="s">
        <v>281</v>
      </c>
      <c r="F757" t="s">
        <v>281</v>
      </c>
      <c r="G757" t="s">
        <v>2889</v>
      </c>
      <c r="H757" t="s">
        <v>281</v>
      </c>
      <c r="I757" t="s">
        <v>2616</v>
      </c>
      <c r="J757">
        <v>1</v>
      </c>
      <c r="K757">
        <v>2761</v>
      </c>
    </row>
    <row r="758" spans="1:11" x14ac:dyDescent="0.2">
      <c r="A758" t="s">
        <v>4419</v>
      </c>
      <c r="B758">
        <v>52040</v>
      </c>
      <c r="C758" t="s">
        <v>1700</v>
      </c>
      <c r="D758" t="s">
        <v>4425</v>
      </c>
      <c r="E758" t="s">
        <v>2634</v>
      </c>
      <c r="F758" t="s">
        <v>281</v>
      </c>
      <c r="G758" t="s">
        <v>2682</v>
      </c>
      <c r="H758" t="s">
        <v>2634</v>
      </c>
      <c r="I758" t="s">
        <v>2616</v>
      </c>
      <c r="J758">
        <v>1</v>
      </c>
      <c r="K758">
        <v>29744.15</v>
      </c>
    </row>
    <row r="759" spans="1:11" x14ac:dyDescent="0.2">
      <c r="A759" t="s">
        <v>4419</v>
      </c>
      <c r="B759">
        <v>40010</v>
      </c>
      <c r="C759" t="s">
        <v>1619</v>
      </c>
      <c r="D759" t="s">
        <v>4453</v>
      </c>
      <c r="E759" t="s">
        <v>281</v>
      </c>
      <c r="F759" t="s">
        <v>281</v>
      </c>
      <c r="G759" t="s">
        <v>2704</v>
      </c>
      <c r="H759" t="s">
        <v>281</v>
      </c>
      <c r="I759" t="s">
        <v>2616</v>
      </c>
      <c r="J759">
        <v>1</v>
      </c>
      <c r="K759">
        <v>13507</v>
      </c>
    </row>
    <row r="760" spans="1:11" x14ac:dyDescent="0.2">
      <c r="A760" t="s">
        <v>4419</v>
      </c>
      <c r="B760">
        <v>52019</v>
      </c>
      <c r="C760" t="s">
        <v>1696</v>
      </c>
      <c r="D760" t="s">
        <v>4428</v>
      </c>
      <c r="E760" t="s">
        <v>281</v>
      </c>
      <c r="F760" t="s">
        <v>281</v>
      </c>
      <c r="G760" t="s">
        <v>2682</v>
      </c>
      <c r="H760" t="s">
        <v>281</v>
      </c>
      <c r="I760" t="s">
        <v>2616</v>
      </c>
      <c r="J760">
        <v>1</v>
      </c>
      <c r="K760">
        <v>7307</v>
      </c>
    </row>
    <row r="761" spans="1:11" x14ac:dyDescent="0.2">
      <c r="A761" t="s">
        <v>4419</v>
      </c>
      <c r="B761">
        <v>56007</v>
      </c>
      <c r="C761" t="s">
        <v>1704</v>
      </c>
      <c r="D761" t="s">
        <v>4447</v>
      </c>
      <c r="E761" t="s">
        <v>281</v>
      </c>
      <c r="F761" t="s">
        <v>281</v>
      </c>
      <c r="G761" t="s">
        <v>2690</v>
      </c>
      <c r="H761" t="s">
        <v>281</v>
      </c>
      <c r="I761" t="s">
        <v>2616</v>
      </c>
      <c r="J761">
        <v>1</v>
      </c>
      <c r="K761">
        <v>14788</v>
      </c>
    </row>
    <row r="762" spans="1:11" x14ac:dyDescent="0.2">
      <c r="A762" t="s">
        <v>284</v>
      </c>
      <c r="B762">
        <v>120002</v>
      </c>
      <c r="C762" t="s">
        <v>1790</v>
      </c>
      <c r="D762" t="s">
        <v>4417</v>
      </c>
      <c r="E762" t="s">
        <v>279</v>
      </c>
      <c r="F762" t="s">
        <v>279</v>
      </c>
      <c r="G762" t="s">
        <v>2943</v>
      </c>
      <c r="H762" t="s">
        <v>279</v>
      </c>
      <c r="I762" t="s">
        <v>2616</v>
      </c>
      <c r="J762">
        <v>1</v>
      </c>
      <c r="K762">
        <v>759</v>
      </c>
    </row>
    <row r="763" spans="1:11" x14ac:dyDescent="0.2">
      <c r="A763" t="s">
        <v>284</v>
      </c>
      <c r="B763">
        <v>12089</v>
      </c>
      <c r="C763" t="s">
        <v>1426</v>
      </c>
      <c r="D763" t="s">
        <v>4416</v>
      </c>
      <c r="E763" t="s">
        <v>279</v>
      </c>
      <c r="F763" t="s">
        <v>184</v>
      </c>
      <c r="G763" t="s">
        <v>4415</v>
      </c>
      <c r="H763" t="s">
        <v>279</v>
      </c>
      <c r="I763" t="s">
        <v>2616</v>
      </c>
      <c r="J763">
        <v>1</v>
      </c>
      <c r="K763">
        <v>1347</v>
      </c>
    </row>
    <row r="764" spans="1:11" x14ac:dyDescent="0.2">
      <c r="A764" t="s">
        <v>284</v>
      </c>
      <c r="B764">
        <v>1001</v>
      </c>
      <c r="C764" t="s">
        <v>2451</v>
      </c>
      <c r="D764" t="s">
        <v>4414</v>
      </c>
      <c r="E764" t="s">
        <v>279</v>
      </c>
      <c r="F764" t="s">
        <v>279</v>
      </c>
      <c r="G764" t="s">
        <v>4413</v>
      </c>
      <c r="H764" t="s">
        <v>279</v>
      </c>
      <c r="I764" t="s">
        <v>2616</v>
      </c>
      <c r="J764">
        <v>1</v>
      </c>
      <c r="K764">
        <v>0</v>
      </c>
    </row>
    <row r="765" spans="1:11" x14ac:dyDescent="0.2">
      <c r="A765" t="s">
        <v>4366</v>
      </c>
      <c r="B765">
        <v>15023</v>
      </c>
      <c r="C765" t="s">
        <v>289</v>
      </c>
      <c r="D765" t="s">
        <v>4365</v>
      </c>
      <c r="E765" t="s">
        <v>279</v>
      </c>
      <c r="F765" t="s">
        <v>279</v>
      </c>
      <c r="G765" t="s">
        <v>2814</v>
      </c>
      <c r="H765" t="s">
        <v>279</v>
      </c>
      <c r="I765" t="s">
        <v>2616</v>
      </c>
      <c r="J765">
        <v>1</v>
      </c>
      <c r="K765">
        <v>9618.75</v>
      </c>
    </row>
    <row r="766" spans="1:11" x14ac:dyDescent="0.2">
      <c r="A766" t="s">
        <v>4366</v>
      </c>
      <c r="B766">
        <v>23004</v>
      </c>
      <c r="C766" t="s">
        <v>1507</v>
      </c>
      <c r="D766" t="s">
        <v>4395</v>
      </c>
      <c r="E766" t="s">
        <v>279</v>
      </c>
      <c r="F766" t="s">
        <v>279</v>
      </c>
      <c r="G766" t="s">
        <v>2733</v>
      </c>
      <c r="H766" t="s">
        <v>279</v>
      </c>
      <c r="I766" t="s">
        <v>2616</v>
      </c>
      <c r="J766">
        <v>1</v>
      </c>
      <c r="K766">
        <v>176504.01</v>
      </c>
    </row>
    <row r="767" spans="1:11" x14ac:dyDescent="0.2">
      <c r="A767" t="s">
        <v>4366</v>
      </c>
      <c r="B767">
        <v>20076</v>
      </c>
      <c r="C767" t="s">
        <v>1477</v>
      </c>
      <c r="D767" t="s">
        <v>4373</v>
      </c>
      <c r="E767" t="s">
        <v>2634</v>
      </c>
      <c r="F767" t="s">
        <v>279</v>
      </c>
      <c r="G767" t="s">
        <v>2814</v>
      </c>
      <c r="H767" t="s">
        <v>2634</v>
      </c>
      <c r="I767" t="s">
        <v>2616</v>
      </c>
      <c r="J767">
        <v>1</v>
      </c>
      <c r="K767">
        <v>994</v>
      </c>
    </row>
    <row r="768" spans="1:11" x14ac:dyDescent="0.2">
      <c r="A768" t="s">
        <v>4366</v>
      </c>
      <c r="B768">
        <v>20080</v>
      </c>
      <c r="C768" t="s">
        <v>1479</v>
      </c>
      <c r="D768" t="s">
        <v>4377</v>
      </c>
      <c r="E768" t="s">
        <v>279</v>
      </c>
      <c r="F768" t="s">
        <v>279</v>
      </c>
      <c r="G768" t="s">
        <v>2814</v>
      </c>
      <c r="H768" t="s">
        <v>279</v>
      </c>
      <c r="I768" t="s">
        <v>2616</v>
      </c>
      <c r="J768">
        <v>1</v>
      </c>
      <c r="K768">
        <v>8612</v>
      </c>
    </row>
    <row r="769" spans="1:11" x14ac:dyDescent="0.2">
      <c r="A769" t="s">
        <v>4366</v>
      </c>
      <c r="B769">
        <v>20089</v>
      </c>
      <c r="C769" t="s">
        <v>2515</v>
      </c>
      <c r="D769" t="s">
        <v>4405</v>
      </c>
      <c r="E769" t="s">
        <v>279</v>
      </c>
      <c r="F769" t="s">
        <v>279</v>
      </c>
      <c r="G769" t="s">
        <v>2814</v>
      </c>
      <c r="H769" t="s">
        <v>279</v>
      </c>
      <c r="I769" t="s">
        <v>2666</v>
      </c>
      <c r="J769">
        <v>1</v>
      </c>
      <c r="K769">
        <v>284</v>
      </c>
    </row>
    <row r="770" spans="1:11" x14ac:dyDescent="0.2">
      <c r="A770" t="s">
        <v>4366</v>
      </c>
      <c r="B770">
        <v>15008</v>
      </c>
      <c r="C770" t="s">
        <v>1043</v>
      </c>
      <c r="D770" t="s">
        <v>4379</v>
      </c>
      <c r="E770" t="s">
        <v>279</v>
      </c>
      <c r="F770" t="s">
        <v>279</v>
      </c>
      <c r="G770" t="s">
        <v>2790</v>
      </c>
      <c r="H770" t="s">
        <v>279</v>
      </c>
      <c r="I770" t="s">
        <v>2666</v>
      </c>
      <c r="J770">
        <v>1</v>
      </c>
      <c r="K770">
        <v>273</v>
      </c>
    </row>
    <row r="771" spans="1:11" x14ac:dyDescent="0.2">
      <c r="A771" t="s">
        <v>4366</v>
      </c>
      <c r="B771">
        <v>20048</v>
      </c>
      <c r="C771" t="s">
        <v>2512</v>
      </c>
      <c r="D771" t="s">
        <v>4371</v>
      </c>
      <c r="E771" t="s">
        <v>279</v>
      </c>
      <c r="F771" t="s">
        <v>279</v>
      </c>
      <c r="G771" t="s">
        <v>2814</v>
      </c>
      <c r="H771" t="s">
        <v>279</v>
      </c>
      <c r="I771" t="s">
        <v>2666</v>
      </c>
      <c r="J771">
        <v>1</v>
      </c>
      <c r="K771">
        <v>320</v>
      </c>
    </row>
    <row r="772" spans="1:11" x14ac:dyDescent="0.2">
      <c r="A772" t="s">
        <v>4366</v>
      </c>
      <c r="B772">
        <v>22032</v>
      </c>
      <c r="C772" t="s">
        <v>1504</v>
      </c>
      <c r="D772" t="s">
        <v>4383</v>
      </c>
      <c r="E772" t="s">
        <v>279</v>
      </c>
      <c r="F772" t="s">
        <v>279</v>
      </c>
      <c r="G772" t="s">
        <v>2814</v>
      </c>
      <c r="H772" t="s">
        <v>279</v>
      </c>
      <c r="I772" t="s">
        <v>2616</v>
      </c>
      <c r="J772">
        <v>1</v>
      </c>
      <c r="K772">
        <v>16439</v>
      </c>
    </row>
    <row r="773" spans="1:11" x14ac:dyDescent="0.2">
      <c r="A773" t="s">
        <v>4366</v>
      </c>
      <c r="B773">
        <v>27027</v>
      </c>
      <c r="C773" t="s">
        <v>2531</v>
      </c>
      <c r="D773" t="s">
        <v>4367</v>
      </c>
      <c r="E773" t="s">
        <v>279</v>
      </c>
      <c r="F773" t="s">
        <v>279</v>
      </c>
      <c r="G773" t="s">
        <v>279</v>
      </c>
      <c r="H773" t="s">
        <v>279</v>
      </c>
      <c r="I773" t="s">
        <v>2666</v>
      </c>
      <c r="J773">
        <v>1</v>
      </c>
      <c r="K773">
        <v>206</v>
      </c>
    </row>
    <row r="774" spans="1:11" x14ac:dyDescent="0.2">
      <c r="A774" t="s">
        <v>4366</v>
      </c>
      <c r="B774">
        <v>21050</v>
      </c>
      <c r="C774" t="s">
        <v>1498</v>
      </c>
      <c r="D774" t="s">
        <v>4399</v>
      </c>
      <c r="E774" t="s">
        <v>279</v>
      </c>
      <c r="F774" t="s">
        <v>279</v>
      </c>
      <c r="G774" t="s">
        <v>2814</v>
      </c>
      <c r="H774" t="s">
        <v>279</v>
      </c>
      <c r="I774" t="s">
        <v>2616</v>
      </c>
      <c r="J774">
        <v>1</v>
      </c>
      <c r="K774">
        <v>11603</v>
      </c>
    </row>
    <row r="775" spans="1:11" x14ac:dyDescent="0.2">
      <c r="A775" t="s">
        <v>4366</v>
      </c>
      <c r="B775">
        <v>20126</v>
      </c>
      <c r="C775" t="s">
        <v>4394</v>
      </c>
      <c r="D775" t="s">
        <v>4393</v>
      </c>
      <c r="E775" t="s">
        <v>279</v>
      </c>
      <c r="F775" t="s">
        <v>279</v>
      </c>
      <c r="G775" t="s">
        <v>2814</v>
      </c>
      <c r="H775" t="s">
        <v>279</v>
      </c>
      <c r="I775" t="s">
        <v>2616</v>
      </c>
      <c r="J775">
        <v>1</v>
      </c>
      <c r="K775">
        <v>169480.89</v>
      </c>
    </row>
    <row r="776" spans="1:11" x14ac:dyDescent="0.2">
      <c r="A776" t="s">
        <v>4366</v>
      </c>
      <c r="B776">
        <v>22053</v>
      </c>
      <c r="C776" t="s">
        <v>402</v>
      </c>
      <c r="D776" t="s">
        <v>4397</v>
      </c>
      <c r="E776" t="s">
        <v>279</v>
      </c>
      <c r="F776" t="s">
        <v>279</v>
      </c>
      <c r="G776" t="s">
        <v>2814</v>
      </c>
      <c r="H776" t="s">
        <v>279</v>
      </c>
      <c r="I776" t="s">
        <v>2666</v>
      </c>
      <c r="J776">
        <v>1</v>
      </c>
      <c r="K776">
        <v>376</v>
      </c>
    </row>
    <row r="777" spans="1:11" x14ac:dyDescent="0.2">
      <c r="A777" t="s">
        <v>4366</v>
      </c>
      <c r="B777">
        <v>20025</v>
      </c>
      <c r="C777" t="s">
        <v>1460</v>
      </c>
      <c r="D777" t="s">
        <v>4378</v>
      </c>
      <c r="E777" t="s">
        <v>279</v>
      </c>
      <c r="F777" t="s">
        <v>279</v>
      </c>
      <c r="G777" t="s">
        <v>2814</v>
      </c>
      <c r="H777" t="s">
        <v>279</v>
      </c>
      <c r="I777" t="s">
        <v>2616</v>
      </c>
      <c r="J777">
        <v>1</v>
      </c>
      <c r="K777">
        <v>6103</v>
      </c>
    </row>
    <row r="778" spans="1:11" x14ac:dyDescent="0.2">
      <c r="A778" t="s">
        <v>4366</v>
      </c>
      <c r="B778">
        <v>15013</v>
      </c>
      <c r="C778" t="s">
        <v>1434</v>
      </c>
      <c r="D778" t="s">
        <v>4387</v>
      </c>
      <c r="E778" t="s">
        <v>279</v>
      </c>
      <c r="F778" t="s">
        <v>279</v>
      </c>
      <c r="G778" t="s">
        <v>2814</v>
      </c>
      <c r="H778" t="s">
        <v>279</v>
      </c>
      <c r="I778" t="s">
        <v>2616</v>
      </c>
      <c r="J778">
        <v>1</v>
      </c>
      <c r="K778">
        <v>8202</v>
      </c>
    </row>
    <row r="779" spans="1:11" x14ac:dyDescent="0.2">
      <c r="A779" t="s">
        <v>4366</v>
      </c>
      <c r="B779">
        <v>15012</v>
      </c>
      <c r="C779" t="s">
        <v>1433</v>
      </c>
      <c r="D779" t="s">
        <v>4391</v>
      </c>
      <c r="E779" t="s">
        <v>279</v>
      </c>
      <c r="F779" t="s">
        <v>279</v>
      </c>
      <c r="G779" t="s">
        <v>2814</v>
      </c>
      <c r="H779" t="s">
        <v>279</v>
      </c>
      <c r="I779" t="s">
        <v>2616</v>
      </c>
      <c r="J779">
        <v>1</v>
      </c>
      <c r="K779">
        <v>10022</v>
      </c>
    </row>
    <row r="780" spans="1:11" x14ac:dyDescent="0.2">
      <c r="A780" t="s">
        <v>4366</v>
      </c>
      <c r="B780">
        <v>21033</v>
      </c>
      <c r="C780" t="s">
        <v>1492</v>
      </c>
      <c r="D780" t="s">
        <v>4375</v>
      </c>
      <c r="E780" t="s">
        <v>279</v>
      </c>
      <c r="F780" t="s">
        <v>279</v>
      </c>
      <c r="G780" t="s">
        <v>2814</v>
      </c>
      <c r="H780" t="s">
        <v>279</v>
      </c>
      <c r="I780" t="s">
        <v>2616</v>
      </c>
      <c r="J780">
        <v>1</v>
      </c>
      <c r="K780">
        <v>23526</v>
      </c>
    </row>
    <row r="781" spans="1:11" x14ac:dyDescent="0.2">
      <c r="A781" t="s">
        <v>4366</v>
      </c>
      <c r="B781">
        <v>15037</v>
      </c>
      <c r="C781" t="s">
        <v>1441</v>
      </c>
      <c r="D781" t="s">
        <v>4401</v>
      </c>
      <c r="E781" t="s">
        <v>279</v>
      </c>
      <c r="F781" t="s">
        <v>279</v>
      </c>
      <c r="G781" t="s">
        <v>2814</v>
      </c>
      <c r="H781" t="s">
        <v>279</v>
      </c>
      <c r="I781" t="s">
        <v>2616</v>
      </c>
      <c r="J781">
        <v>1</v>
      </c>
      <c r="K781">
        <v>6260.5</v>
      </c>
    </row>
    <row r="782" spans="1:11" x14ac:dyDescent="0.2">
      <c r="A782" t="s">
        <v>4366</v>
      </c>
      <c r="B782">
        <v>20028</v>
      </c>
      <c r="C782" t="s">
        <v>2510</v>
      </c>
      <c r="D782" t="s">
        <v>4384</v>
      </c>
      <c r="E782" t="s">
        <v>279</v>
      </c>
      <c r="F782" t="s">
        <v>279</v>
      </c>
      <c r="G782" t="s">
        <v>2814</v>
      </c>
      <c r="H782" t="s">
        <v>279</v>
      </c>
      <c r="I782" t="s">
        <v>2666</v>
      </c>
      <c r="J782">
        <v>1</v>
      </c>
      <c r="K782">
        <v>2113.5</v>
      </c>
    </row>
    <row r="783" spans="1:11" x14ac:dyDescent="0.2">
      <c r="A783" t="s">
        <v>4366</v>
      </c>
      <c r="B783">
        <v>20131</v>
      </c>
      <c r="C783" t="s">
        <v>393</v>
      </c>
      <c r="D783" t="s">
        <v>4370</v>
      </c>
      <c r="E783" t="s">
        <v>279</v>
      </c>
      <c r="F783" t="s">
        <v>279</v>
      </c>
      <c r="G783" t="s">
        <v>2814</v>
      </c>
      <c r="H783" t="s">
        <v>279</v>
      </c>
      <c r="I783" t="s">
        <v>2666</v>
      </c>
      <c r="J783">
        <v>1</v>
      </c>
      <c r="K783">
        <v>3132</v>
      </c>
    </row>
    <row r="784" spans="1:11" x14ac:dyDescent="0.2">
      <c r="A784" t="s">
        <v>4366</v>
      </c>
      <c r="B784">
        <v>22022</v>
      </c>
      <c r="C784" t="s">
        <v>1502</v>
      </c>
      <c r="D784" t="s">
        <v>4372</v>
      </c>
      <c r="E784" t="s">
        <v>279</v>
      </c>
      <c r="F784" t="s">
        <v>279</v>
      </c>
      <c r="G784" t="s">
        <v>2814</v>
      </c>
      <c r="H784" t="s">
        <v>279</v>
      </c>
      <c r="I784" t="s">
        <v>2616</v>
      </c>
      <c r="J784">
        <v>1</v>
      </c>
      <c r="K784">
        <v>25894.73</v>
      </c>
    </row>
    <row r="785" spans="1:11" x14ac:dyDescent="0.2">
      <c r="A785" t="s">
        <v>4366</v>
      </c>
      <c r="B785">
        <v>20079</v>
      </c>
      <c r="C785" t="s">
        <v>1478</v>
      </c>
      <c r="D785" t="s">
        <v>4386</v>
      </c>
      <c r="E785" t="s">
        <v>279</v>
      </c>
      <c r="F785" t="s">
        <v>279</v>
      </c>
      <c r="G785" t="s">
        <v>2814</v>
      </c>
      <c r="H785" t="s">
        <v>279</v>
      </c>
      <c r="I785" t="s">
        <v>2616</v>
      </c>
      <c r="J785">
        <v>1</v>
      </c>
      <c r="K785">
        <v>9574</v>
      </c>
    </row>
    <row r="786" spans="1:11" x14ac:dyDescent="0.2">
      <c r="A786" t="s">
        <v>4366</v>
      </c>
      <c r="B786">
        <v>20060</v>
      </c>
      <c r="C786" t="s">
        <v>1472</v>
      </c>
      <c r="D786" t="s">
        <v>4388</v>
      </c>
      <c r="E786" t="s">
        <v>279</v>
      </c>
      <c r="F786" t="s">
        <v>279</v>
      </c>
      <c r="G786" t="s">
        <v>2814</v>
      </c>
      <c r="H786" t="s">
        <v>279</v>
      </c>
      <c r="I786" t="s">
        <v>2616</v>
      </c>
      <c r="J786">
        <v>1</v>
      </c>
      <c r="K786">
        <v>4683.5</v>
      </c>
    </row>
    <row r="787" spans="1:11" x14ac:dyDescent="0.2">
      <c r="A787" t="s">
        <v>4366</v>
      </c>
      <c r="B787">
        <v>17002</v>
      </c>
      <c r="C787" t="s">
        <v>1446</v>
      </c>
      <c r="D787" t="s">
        <v>3300</v>
      </c>
      <c r="E787" t="s">
        <v>279</v>
      </c>
      <c r="F787" t="s">
        <v>279</v>
      </c>
      <c r="G787" t="s">
        <v>2814</v>
      </c>
      <c r="H787" t="s">
        <v>279</v>
      </c>
      <c r="I787" t="s">
        <v>2616</v>
      </c>
      <c r="J787">
        <v>1</v>
      </c>
      <c r="K787">
        <v>4432</v>
      </c>
    </row>
    <row r="788" spans="1:11" x14ac:dyDescent="0.2">
      <c r="A788" t="s">
        <v>4366</v>
      </c>
      <c r="B788">
        <v>20125</v>
      </c>
      <c r="C788" t="s">
        <v>390</v>
      </c>
      <c r="D788" t="s">
        <v>4409</v>
      </c>
      <c r="E788" t="s">
        <v>2634</v>
      </c>
      <c r="F788" t="s">
        <v>279</v>
      </c>
      <c r="G788" t="s">
        <v>2814</v>
      </c>
      <c r="H788" t="s">
        <v>2634</v>
      </c>
      <c r="I788" t="s">
        <v>2666</v>
      </c>
      <c r="J788">
        <v>1</v>
      </c>
      <c r="K788">
        <v>2213</v>
      </c>
    </row>
    <row r="789" spans="1:11" x14ac:dyDescent="0.2">
      <c r="A789" t="s">
        <v>4366</v>
      </c>
      <c r="B789">
        <v>20040</v>
      </c>
      <c r="C789" t="s">
        <v>1467</v>
      </c>
      <c r="D789" t="s">
        <v>4380</v>
      </c>
      <c r="E789" t="s">
        <v>279</v>
      </c>
      <c r="F789" t="s">
        <v>279</v>
      </c>
      <c r="G789" t="s">
        <v>2814</v>
      </c>
      <c r="H789" t="s">
        <v>279</v>
      </c>
      <c r="I789" t="s">
        <v>2616</v>
      </c>
      <c r="J789">
        <v>1</v>
      </c>
      <c r="K789">
        <v>5805</v>
      </c>
    </row>
    <row r="790" spans="1:11" x14ac:dyDescent="0.2">
      <c r="A790" t="s">
        <v>4366</v>
      </c>
      <c r="B790">
        <v>20005</v>
      </c>
      <c r="C790" t="s">
        <v>1456</v>
      </c>
      <c r="D790" t="s">
        <v>4389</v>
      </c>
      <c r="E790" t="s">
        <v>279</v>
      </c>
      <c r="F790" t="s">
        <v>279</v>
      </c>
      <c r="G790" t="s">
        <v>2814</v>
      </c>
      <c r="H790" t="s">
        <v>279</v>
      </c>
      <c r="I790" t="s">
        <v>2616</v>
      </c>
      <c r="J790">
        <v>1</v>
      </c>
      <c r="K790">
        <v>9419</v>
      </c>
    </row>
    <row r="791" spans="1:11" x14ac:dyDescent="0.2">
      <c r="A791" t="s">
        <v>4366</v>
      </c>
      <c r="B791">
        <v>22067</v>
      </c>
      <c r="C791" t="s">
        <v>291</v>
      </c>
      <c r="D791" t="s">
        <v>4382</v>
      </c>
      <c r="E791" t="s">
        <v>279</v>
      </c>
      <c r="F791" t="s">
        <v>279</v>
      </c>
      <c r="G791" t="s">
        <v>2814</v>
      </c>
      <c r="H791" t="s">
        <v>279</v>
      </c>
      <c r="I791" t="s">
        <v>2616</v>
      </c>
      <c r="J791">
        <v>1</v>
      </c>
      <c r="K791">
        <v>35414.82</v>
      </c>
    </row>
    <row r="792" spans="1:11" x14ac:dyDescent="0.2">
      <c r="A792" t="s">
        <v>4366</v>
      </c>
      <c r="B792">
        <v>15020</v>
      </c>
      <c r="C792" t="s">
        <v>1437</v>
      </c>
      <c r="D792" t="s">
        <v>4376</v>
      </c>
      <c r="E792" t="s">
        <v>279</v>
      </c>
      <c r="F792" t="s">
        <v>279</v>
      </c>
      <c r="G792" t="s">
        <v>2814</v>
      </c>
      <c r="H792" t="s">
        <v>279</v>
      </c>
      <c r="I792" t="s">
        <v>2616</v>
      </c>
      <c r="J792">
        <v>1</v>
      </c>
      <c r="K792">
        <v>3448</v>
      </c>
    </row>
    <row r="793" spans="1:11" x14ac:dyDescent="0.2">
      <c r="A793" t="s">
        <v>4366</v>
      </c>
      <c r="B793">
        <v>20066</v>
      </c>
      <c r="C793" t="s">
        <v>290</v>
      </c>
      <c r="D793" t="s">
        <v>4407</v>
      </c>
      <c r="E793" t="s">
        <v>279</v>
      </c>
      <c r="F793" t="s">
        <v>279</v>
      </c>
      <c r="G793" t="s">
        <v>2814</v>
      </c>
      <c r="H793" t="s">
        <v>279</v>
      </c>
      <c r="I793" t="s">
        <v>2616</v>
      </c>
      <c r="J793">
        <v>1</v>
      </c>
      <c r="K793">
        <v>3706</v>
      </c>
    </row>
    <row r="794" spans="1:11" x14ac:dyDescent="0.2">
      <c r="A794" t="s">
        <v>4366</v>
      </c>
      <c r="B794">
        <v>21045</v>
      </c>
      <c r="C794" t="s">
        <v>1496</v>
      </c>
      <c r="D794" t="s">
        <v>4381</v>
      </c>
      <c r="E794" t="s">
        <v>279</v>
      </c>
      <c r="F794" t="s">
        <v>279</v>
      </c>
      <c r="G794" t="s">
        <v>2814</v>
      </c>
      <c r="H794" t="s">
        <v>279</v>
      </c>
      <c r="I794" t="s">
        <v>2616</v>
      </c>
      <c r="J794">
        <v>1</v>
      </c>
      <c r="K794">
        <v>7703</v>
      </c>
    </row>
    <row r="795" spans="1:11" x14ac:dyDescent="0.2">
      <c r="A795" t="s">
        <v>4366</v>
      </c>
      <c r="B795">
        <v>13001</v>
      </c>
      <c r="C795" t="s">
        <v>1427</v>
      </c>
      <c r="D795" t="s">
        <v>4392</v>
      </c>
      <c r="E795" t="s">
        <v>279</v>
      </c>
      <c r="F795" t="s">
        <v>279</v>
      </c>
      <c r="G795" t="s">
        <v>2767</v>
      </c>
      <c r="H795" t="s">
        <v>279</v>
      </c>
      <c r="I795" t="s">
        <v>2616</v>
      </c>
      <c r="J795">
        <v>1</v>
      </c>
      <c r="K795">
        <v>24081</v>
      </c>
    </row>
    <row r="796" spans="1:11" x14ac:dyDescent="0.2">
      <c r="A796" t="s">
        <v>4366</v>
      </c>
      <c r="B796">
        <v>21001</v>
      </c>
      <c r="C796" t="s">
        <v>1484</v>
      </c>
      <c r="D796" t="s">
        <v>4374</v>
      </c>
      <c r="E796" t="s">
        <v>279</v>
      </c>
      <c r="F796" t="s">
        <v>279</v>
      </c>
      <c r="G796" t="s">
        <v>2814</v>
      </c>
      <c r="H796" t="s">
        <v>279</v>
      </c>
      <c r="I796" t="s">
        <v>2616</v>
      </c>
      <c r="J796">
        <v>1</v>
      </c>
      <c r="K796">
        <v>3089</v>
      </c>
    </row>
    <row r="797" spans="1:11" x14ac:dyDescent="0.2">
      <c r="A797" t="s">
        <v>4366</v>
      </c>
      <c r="B797">
        <v>15069</v>
      </c>
      <c r="C797" t="s">
        <v>367</v>
      </c>
      <c r="D797" t="s">
        <v>4412</v>
      </c>
      <c r="E797" t="s">
        <v>279</v>
      </c>
      <c r="F797" t="s">
        <v>279</v>
      </c>
      <c r="G797" t="s">
        <v>2814</v>
      </c>
      <c r="H797" t="s">
        <v>279</v>
      </c>
      <c r="I797" t="s">
        <v>2666</v>
      </c>
      <c r="J797">
        <v>1</v>
      </c>
      <c r="K797">
        <v>828</v>
      </c>
    </row>
    <row r="798" spans="1:11" x14ac:dyDescent="0.2">
      <c r="A798" t="s">
        <v>4366</v>
      </c>
      <c r="B798">
        <v>21035</v>
      </c>
      <c r="C798" t="s">
        <v>1494</v>
      </c>
      <c r="D798" t="s">
        <v>4398</v>
      </c>
      <c r="E798" t="s">
        <v>279</v>
      </c>
      <c r="F798" t="s">
        <v>279</v>
      </c>
      <c r="G798" t="s">
        <v>2814</v>
      </c>
      <c r="H798" t="s">
        <v>279</v>
      </c>
      <c r="I798" t="s">
        <v>2616</v>
      </c>
      <c r="J798">
        <v>1</v>
      </c>
      <c r="K798">
        <v>5460</v>
      </c>
    </row>
    <row r="799" spans="1:11" x14ac:dyDescent="0.2">
      <c r="A799" t="s">
        <v>4366</v>
      </c>
      <c r="B799">
        <v>20058</v>
      </c>
      <c r="C799" t="s">
        <v>2513</v>
      </c>
      <c r="D799" t="s">
        <v>4396</v>
      </c>
      <c r="E799" t="s">
        <v>279</v>
      </c>
      <c r="F799" t="s">
        <v>279</v>
      </c>
      <c r="G799" t="s">
        <v>2814</v>
      </c>
      <c r="H799" t="s">
        <v>279</v>
      </c>
      <c r="I799" t="s">
        <v>2666</v>
      </c>
      <c r="J799">
        <v>1</v>
      </c>
      <c r="K799">
        <v>4949</v>
      </c>
    </row>
    <row r="800" spans="1:11" x14ac:dyDescent="0.2">
      <c r="A800" t="s">
        <v>4366</v>
      </c>
      <c r="B800">
        <v>20038</v>
      </c>
      <c r="C800" t="s">
        <v>385</v>
      </c>
      <c r="D800" t="s">
        <v>4403</v>
      </c>
      <c r="E800" t="s">
        <v>279</v>
      </c>
      <c r="F800" t="s">
        <v>279</v>
      </c>
      <c r="G800" t="s">
        <v>2814</v>
      </c>
      <c r="H800" t="s">
        <v>279</v>
      </c>
      <c r="I800" t="s">
        <v>2666</v>
      </c>
      <c r="J800">
        <v>1</v>
      </c>
      <c r="K800">
        <v>88</v>
      </c>
    </row>
    <row r="801" spans="1:11" x14ac:dyDescent="0.2">
      <c r="A801" t="s">
        <v>4366</v>
      </c>
      <c r="B801">
        <v>21012</v>
      </c>
      <c r="C801" t="s">
        <v>2519</v>
      </c>
      <c r="D801" t="s">
        <v>4368</v>
      </c>
      <c r="E801" t="s">
        <v>279</v>
      </c>
      <c r="F801" t="s">
        <v>279</v>
      </c>
      <c r="G801" t="s">
        <v>2814</v>
      </c>
      <c r="H801" t="s">
        <v>279</v>
      </c>
      <c r="I801" t="s">
        <v>2666</v>
      </c>
      <c r="J801">
        <v>1</v>
      </c>
      <c r="K801">
        <v>328</v>
      </c>
    </row>
    <row r="802" spans="1:11" x14ac:dyDescent="0.2">
      <c r="A802" t="s">
        <v>4366</v>
      </c>
      <c r="B802">
        <v>21031</v>
      </c>
      <c r="C802" t="s">
        <v>1490</v>
      </c>
      <c r="D802" t="s">
        <v>4408</v>
      </c>
      <c r="E802" t="s">
        <v>279</v>
      </c>
      <c r="F802" t="s">
        <v>279</v>
      </c>
      <c r="G802" t="s">
        <v>2814</v>
      </c>
      <c r="H802" t="s">
        <v>279</v>
      </c>
      <c r="I802" t="s">
        <v>2616</v>
      </c>
      <c r="J802">
        <v>1</v>
      </c>
      <c r="K802">
        <v>5426.5</v>
      </c>
    </row>
    <row r="803" spans="1:11" x14ac:dyDescent="0.2">
      <c r="A803" t="s">
        <v>4366</v>
      </c>
      <c r="B803">
        <v>20027</v>
      </c>
      <c r="C803" t="s">
        <v>1461</v>
      </c>
      <c r="D803" t="s">
        <v>4411</v>
      </c>
      <c r="E803" t="s">
        <v>279</v>
      </c>
      <c r="F803" t="s">
        <v>279</v>
      </c>
      <c r="G803" t="s">
        <v>2814</v>
      </c>
      <c r="H803" t="s">
        <v>279</v>
      </c>
      <c r="I803" t="s">
        <v>2616</v>
      </c>
      <c r="J803">
        <v>1</v>
      </c>
      <c r="K803">
        <v>8210</v>
      </c>
    </row>
    <row r="804" spans="1:11" x14ac:dyDescent="0.2">
      <c r="A804" t="s">
        <v>4366</v>
      </c>
      <c r="B804">
        <v>20037</v>
      </c>
      <c r="C804" t="s">
        <v>1466</v>
      </c>
      <c r="D804" t="s">
        <v>4404</v>
      </c>
      <c r="E804" t="s">
        <v>279</v>
      </c>
      <c r="F804" t="s">
        <v>279</v>
      </c>
      <c r="G804" t="s">
        <v>2814</v>
      </c>
      <c r="H804" t="s">
        <v>279</v>
      </c>
      <c r="I804" t="s">
        <v>2616</v>
      </c>
      <c r="J804">
        <v>1</v>
      </c>
      <c r="K804">
        <v>20740.53</v>
      </c>
    </row>
    <row r="805" spans="1:11" x14ac:dyDescent="0.2">
      <c r="A805" t="s">
        <v>4366</v>
      </c>
      <c r="B805">
        <v>20075</v>
      </c>
      <c r="C805" t="s">
        <v>386</v>
      </c>
      <c r="D805" t="s">
        <v>4390</v>
      </c>
      <c r="E805" t="s">
        <v>279</v>
      </c>
      <c r="F805" t="s">
        <v>279</v>
      </c>
      <c r="G805" t="s">
        <v>2814</v>
      </c>
      <c r="H805" t="s">
        <v>279</v>
      </c>
      <c r="I805" t="s">
        <v>2666</v>
      </c>
      <c r="J805">
        <v>1</v>
      </c>
      <c r="K805">
        <v>90</v>
      </c>
    </row>
    <row r="806" spans="1:11" x14ac:dyDescent="0.2">
      <c r="A806" t="s">
        <v>4366</v>
      </c>
      <c r="B806">
        <v>20129</v>
      </c>
      <c r="C806" t="s">
        <v>1483</v>
      </c>
      <c r="D806" t="s">
        <v>4385</v>
      </c>
      <c r="E806" t="s">
        <v>279</v>
      </c>
      <c r="F806" t="s">
        <v>279</v>
      </c>
      <c r="G806" t="s">
        <v>2814</v>
      </c>
      <c r="H806" t="s">
        <v>279</v>
      </c>
      <c r="I806" t="s">
        <v>2616</v>
      </c>
      <c r="J806">
        <v>1</v>
      </c>
      <c r="K806">
        <v>235</v>
      </c>
    </row>
    <row r="807" spans="1:11" x14ac:dyDescent="0.2">
      <c r="A807" t="s">
        <v>4366</v>
      </c>
      <c r="B807">
        <v>20030</v>
      </c>
      <c r="C807" t="s">
        <v>1463</v>
      </c>
      <c r="D807" t="s">
        <v>4369</v>
      </c>
      <c r="E807" t="s">
        <v>279</v>
      </c>
      <c r="F807" t="s">
        <v>279</v>
      </c>
      <c r="G807" t="s">
        <v>2814</v>
      </c>
      <c r="H807" t="s">
        <v>279</v>
      </c>
      <c r="I807" t="s">
        <v>2616</v>
      </c>
      <c r="J807">
        <v>1</v>
      </c>
      <c r="K807">
        <v>6023</v>
      </c>
    </row>
    <row r="808" spans="1:11" x14ac:dyDescent="0.2">
      <c r="A808" t="s">
        <v>4366</v>
      </c>
      <c r="B808">
        <v>22006</v>
      </c>
      <c r="C808" t="s">
        <v>1501</v>
      </c>
      <c r="D808" t="s">
        <v>4406</v>
      </c>
      <c r="E808" t="s">
        <v>279</v>
      </c>
      <c r="F808" t="s">
        <v>279</v>
      </c>
      <c r="G808" t="s">
        <v>2814</v>
      </c>
      <c r="H808" t="s">
        <v>279</v>
      </c>
      <c r="I808" t="s">
        <v>2616</v>
      </c>
      <c r="J808">
        <v>1</v>
      </c>
      <c r="K808">
        <v>71076.149999999994</v>
      </c>
    </row>
    <row r="809" spans="1:11" x14ac:dyDescent="0.2">
      <c r="A809" t="s">
        <v>4366</v>
      </c>
      <c r="B809">
        <v>20041</v>
      </c>
      <c r="C809" t="s">
        <v>1468</v>
      </c>
      <c r="D809" t="s">
        <v>4402</v>
      </c>
      <c r="E809" t="s">
        <v>279</v>
      </c>
      <c r="F809" t="s">
        <v>279</v>
      </c>
      <c r="G809" t="s">
        <v>2814</v>
      </c>
      <c r="H809" t="s">
        <v>279</v>
      </c>
      <c r="I809" t="s">
        <v>2616</v>
      </c>
      <c r="J809">
        <v>1</v>
      </c>
      <c r="K809">
        <v>1160</v>
      </c>
    </row>
    <row r="810" spans="1:11" x14ac:dyDescent="0.2">
      <c r="A810" t="s">
        <v>4366</v>
      </c>
      <c r="B810">
        <v>21048</v>
      </c>
      <c r="C810" t="s">
        <v>1497</v>
      </c>
      <c r="D810" t="s">
        <v>4400</v>
      </c>
      <c r="E810" t="s">
        <v>279</v>
      </c>
      <c r="F810" t="s">
        <v>279</v>
      </c>
      <c r="G810" t="s">
        <v>2814</v>
      </c>
      <c r="H810" t="s">
        <v>279</v>
      </c>
      <c r="I810" t="s">
        <v>2616</v>
      </c>
      <c r="J810">
        <v>1</v>
      </c>
      <c r="K810">
        <v>10119</v>
      </c>
    </row>
    <row r="811" spans="1:11" x14ac:dyDescent="0.2">
      <c r="A811" t="s">
        <v>4366</v>
      </c>
      <c r="B811">
        <v>20127</v>
      </c>
      <c r="C811" t="s">
        <v>391</v>
      </c>
      <c r="D811" t="s">
        <v>4410</v>
      </c>
      <c r="E811" t="s">
        <v>279</v>
      </c>
      <c r="F811" t="s">
        <v>279</v>
      </c>
      <c r="G811" t="s">
        <v>2814</v>
      </c>
      <c r="H811" t="s">
        <v>279</v>
      </c>
      <c r="I811" t="s">
        <v>2666</v>
      </c>
      <c r="J811">
        <v>1</v>
      </c>
      <c r="K811">
        <v>1159</v>
      </c>
    </row>
    <row r="812" spans="1:11" x14ac:dyDescent="0.2">
      <c r="A812" t="s">
        <v>4196</v>
      </c>
      <c r="B812">
        <v>170113</v>
      </c>
      <c r="C812" t="s">
        <v>2572</v>
      </c>
      <c r="D812" t="s">
        <v>4260</v>
      </c>
      <c r="E812" t="s">
        <v>187</v>
      </c>
      <c r="F812" t="s">
        <v>187</v>
      </c>
      <c r="G812" t="s">
        <v>3955</v>
      </c>
      <c r="H812" t="s">
        <v>187</v>
      </c>
      <c r="I812" t="s">
        <v>2666</v>
      </c>
      <c r="J812">
        <v>1</v>
      </c>
      <c r="K812">
        <v>30</v>
      </c>
    </row>
    <row r="813" spans="1:11" x14ac:dyDescent="0.2">
      <c r="A813" t="s">
        <v>4196</v>
      </c>
      <c r="B813">
        <v>170189</v>
      </c>
      <c r="C813" t="s">
        <v>2068</v>
      </c>
      <c r="D813" t="s">
        <v>4275</v>
      </c>
      <c r="E813" t="s">
        <v>187</v>
      </c>
      <c r="F813" t="s">
        <v>187</v>
      </c>
      <c r="G813" t="s">
        <v>3946</v>
      </c>
      <c r="H813" t="s">
        <v>187</v>
      </c>
      <c r="I813" t="s">
        <v>2616</v>
      </c>
      <c r="J813">
        <v>1</v>
      </c>
      <c r="K813">
        <v>236</v>
      </c>
    </row>
    <row r="814" spans="1:11" x14ac:dyDescent="0.2">
      <c r="A814" t="s">
        <v>4196</v>
      </c>
      <c r="B814">
        <v>170222</v>
      </c>
      <c r="C814" t="s">
        <v>2085</v>
      </c>
      <c r="D814" t="s">
        <v>4211</v>
      </c>
      <c r="E814" t="s">
        <v>187</v>
      </c>
      <c r="F814" t="s">
        <v>187</v>
      </c>
      <c r="G814" t="s">
        <v>3946</v>
      </c>
      <c r="H814" t="s">
        <v>187</v>
      </c>
      <c r="I814" t="s">
        <v>2616</v>
      </c>
      <c r="J814">
        <v>1</v>
      </c>
      <c r="K814">
        <v>84</v>
      </c>
    </row>
    <row r="815" spans="1:11" x14ac:dyDescent="0.2">
      <c r="A815" t="s">
        <v>4196</v>
      </c>
      <c r="B815">
        <v>170097</v>
      </c>
      <c r="C815" t="s">
        <v>2034</v>
      </c>
      <c r="D815" t="s">
        <v>4357</v>
      </c>
      <c r="E815" t="s">
        <v>187</v>
      </c>
      <c r="F815" t="s">
        <v>187</v>
      </c>
      <c r="G815" t="s">
        <v>3946</v>
      </c>
      <c r="H815" t="s">
        <v>187</v>
      </c>
      <c r="I815" t="s">
        <v>2616</v>
      </c>
      <c r="J815">
        <v>1</v>
      </c>
      <c r="K815">
        <v>114</v>
      </c>
    </row>
    <row r="816" spans="1:11" x14ac:dyDescent="0.2">
      <c r="A816" t="s">
        <v>4196</v>
      </c>
      <c r="B816">
        <v>170191</v>
      </c>
      <c r="C816" t="s">
        <v>2070</v>
      </c>
      <c r="D816" t="s">
        <v>4252</v>
      </c>
      <c r="E816" t="s">
        <v>187</v>
      </c>
      <c r="F816" t="s">
        <v>187</v>
      </c>
      <c r="G816" t="s">
        <v>4194</v>
      </c>
      <c r="H816" t="s">
        <v>187</v>
      </c>
      <c r="I816" t="s">
        <v>2616</v>
      </c>
      <c r="J816">
        <v>1</v>
      </c>
      <c r="K816">
        <v>291</v>
      </c>
    </row>
    <row r="817" spans="1:11" x14ac:dyDescent="0.2">
      <c r="A817" t="s">
        <v>4196</v>
      </c>
      <c r="B817">
        <v>171400</v>
      </c>
      <c r="C817" t="s">
        <v>2139</v>
      </c>
      <c r="D817" t="s">
        <v>4316</v>
      </c>
      <c r="E817" t="s">
        <v>187</v>
      </c>
      <c r="F817" t="s">
        <v>187</v>
      </c>
      <c r="G817" t="s">
        <v>3946</v>
      </c>
      <c r="H817" t="s">
        <v>187</v>
      </c>
      <c r="I817" t="s">
        <v>2616</v>
      </c>
      <c r="J817">
        <v>1</v>
      </c>
      <c r="K817">
        <v>477</v>
      </c>
    </row>
    <row r="818" spans="1:11" x14ac:dyDescent="0.2">
      <c r="A818" t="s">
        <v>4196</v>
      </c>
      <c r="B818">
        <v>170031</v>
      </c>
      <c r="C818" t="s">
        <v>1990</v>
      </c>
      <c r="D818" t="s">
        <v>4325</v>
      </c>
      <c r="E818" t="s">
        <v>187</v>
      </c>
      <c r="F818" t="s">
        <v>187</v>
      </c>
      <c r="G818" t="s">
        <v>3946</v>
      </c>
      <c r="H818" t="s">
        <v>187</v>
      </c>
      <c r="I818" t="s">
        <v>2616</v>
      </c>
      <c r="J818">
        <v>1</v>
      </c>
      <c r="K818">
        <v>827</v>
      </c>
    </row>
    <row r="819" spans="1:11" x14ac:dyDescent="0.2">
      <c r="A819" t="s">
        <v>4196</v>
      </c>
      <c r="B819">
        <v>170105</v>
      </c>
      <c r="C819" t="s">
        <v>2039</v>
      </c>
      <c r="D819" t="s">
        <v>4226</v>
      </c>
      <c r="E819" t="s">
        <v>187</v>
      </c>
      <c r="F819" t="s">
        <v>187</v>
      </c>
      <c r="G819" t="s">
        <v>3946</v>
      </c>
      <c r="H819" t="s">
        <v>187</v>
      </c>
      <c r="I819" t="s">
        <v>2616</v>
      </c>
      <c r="J819">
        <v>1</v>
      </c>
      <c r="K819">
        <v>13</v>
      </c>
    </row>
    <row r="820" spans="1:11" x14ac:dyDescent="0.2">
      <c r="A820" t="s">
        <v>4196</v>
      </c>
      <c r="B820">
        <v>170013</v>
      </c>
      <c r="C820" t="s">
        <v>1980</v>
      </c>
      <c r="D820" t="s">
        <v>4271</v>
      </c>
      <c r="E820" t="s">
        <v>187</v>
      </c>
      <c r="F820" t="s">
        <v>187</v>
      </c>
      <c r="G820" t="s">
        <v>4194</v>
      </c>
      <c r="H820" t="s">
        <v>187</v>
      </c>
      <c r="I820" t="s">
        <v>2616</v>
      </c>
      <c r="J820">
        <v>1</v>
      </c>
      <c r="K820">
        <v>378</v>
      </c>
    </row>
    <row r="821" spans="1:11" x14ac:dyDescent="0.2">
      <c r="A821" t="s">
        <v>4196</v>
      </c>
      <c r="B821">
        <v>170193</v>
      </c>
      <c r="C821" t="s">
        <v>829</v>
      </c>
      <c r="D821" t="s">
        <v>4359</v>
      </c>
      <c r="E821" t="s">
        <v>187</v>
      </c>
      <c r="F821" t="s">
        <v>187</v>
      </c>
      <c r="G821" t="s">
        <v>3946</v>
      </c>
      <c r="H821" t="s">
        <v>187</v>
      </c>
      <c r="I821" t="s">
        <v>2666</v>
      </c>
      <c r="J821">
        <v>1</v>
      </c>
      <c r="K821">
        <v>12</v>
      </c>
    </row>
    <row r="822" spans="1:11" x14ac:dyDescent="0.2">
      <c r="A822" t="s">
        <v>4196</v>
      </c>
      <c r="B822">
        <v>170073</v>
      </c>
      <c r="C822" t="s">
        <v>2014</v>
      </c>
      <c r="D822" t="s">
        <v>4269</v>
      </c>
      <c r="E822" t="s">
        <v>187</v>
      </c>
      <c r="F822" t="s">
        <v>187</v>
      </c>
      <c r="G822" t="s">
        <v>3946</v>
      </c>
      <c r="H822" t="s">
        <v>187</v>
      </c>
      <c r="I822" t="s">
        <v>2616</v>
      </c>
      <c r="J822">
        <v>1</v>
      </c>
      <c r="K822">
        <v>44</v>
      </c>
    </row>
    <row r="823" spans="1:11" x14ac:dyDescent="0.2">
      <c r="A823" t="s">
        <v>4196</v>
      </c>
      <c r="B823">
        <v>170185</v>
      </c>
      <c r="C823" t="s">
        <v>2064</v>
      </c>
      <c r="D823" t="s">
        <v>4281</v>
      </c>
      <c r="E823" t="s">
        <v>187</v>
      </c>
      <c r="F823" t="s">
        <v>187</v>
      </c>
      <c r="G823" t="s">
        <v>3946</v>
      </c>
      <c r="H823" t="s">
        <v>187</v>
      </c>
      <c r="I823" t="s">
        <v>2616</v>
      </c>
      <c r="J823">
        <v>1</v>
      </c>
      <c r="K823">
        <v>343</v>
      </c>
    </row>
    <row r="824" spans="1:11" x14ac:dyDescent="0.2">
      <c r="A824" t="s">
        <v>4196</v>
      </c>
      <c r="B824">
        <v>170099</v>
      </c>
      <c r="C824" t="s">
        <v>2035</v>
      </c>
      <c r="D824" t="s">
        <v>4287</v>
      </c>
      <c r="E824" t="s">
        <v>187</v>
      </c>
      <c r="F824" t="s">
        <v>187</v>
      </c>
      <c r="G824" t="s">
        <v>4199</v>
      </c>
      <c r="H824" t="s">
        <v>187</v>
      </c>
      <c r="I824" t="s">
        <v>2616</v>
      </c>
      <c r="J824">
        <v>1</v>
      </c>
      <c r="K824">
        <v>593</v>
      </c>
    </row>
    <row r="825" spans="1:11" x14ac:dyDescent="0.2">
      <c r="A825" t="s">
        <v>4196</v>
      </c>
      <c r="B825">
        <v>170096</v>
      </c>
      <c r="C825" t="s">
        <v>2033</v>
      </c>
      <c r="D825" t="s">
        <v>4363</v>
      </c>
      <c r="E825" t="s">
        <v>187</v>
      </c>
      <c r="F825" t="s">
        <v>187</v>
      </c>
      <c r="G825" t="s">
        <v>4194</v>
      </c>
      <c r="H825" t="s">
        <v>187</v>
      </c>
      <c r="I825" t="s">
        <v>2616</v>
      </c>
      <c r="J825">
        <v>1</v>
      </c>
      <c r="K825">
        <v>149</v>
      </c>
    </row>
    <row r="826" spans="1:11" x14ac:dyDescent="0.2">
      <c r="A826" t="s">
        <v>4196</v>
      </c>
      <c r="B826">
        <v>170195</v>
      </c>
      <c r="C826" t="s">
        <v>2072</v>
      </c>
      <c r="D826" t="s">
        <v>4279</v>
      </c>
      <c r="E826" t="s">
        <v>187</v>
      </c>
      <c r="F826" t="s">
        <v>187</v>
      </c>
      <c r="G826" t="s">
        <v>3946</v>
      </c>
      <c r="H826" t="s">
        <v>187</v>
      </c>
      <c r="I826" t="s">
        <v>2616</v>
      </c>
      <c r="J826">
        <v>1</v>
      </c>
      <c r="K826">
        <v>58</v>
      </c>
    </row>
    <row r="827" spans="1:11" x14ac:dyDescent="0.2">
      <c r="A827" t="s">
        <v>4196</v>
      </c>
      <c r="B827">
        <v>170138</v>
      </c>
      <c r="C827" t="s">
        <v>816</v>
      </c>
      <c r="D827" t="s">
        <v>4197</v>
      </c>
      <c r="E827" t="s">
        <v>187</v>
      </c>
      <c r="F827" t="s">
        <v>187</v>
      </c>
      <c r="G827" t="s">
        <v>3946</v>
      </c>
      <c r="H827" t="s">
        <v>187</v>
      </c>
      <c r="I827" t="s">
        <v>2666</v>
      </c>
      <c r="J827">
        <v>1</v>
      </c>
      <c r="K827">
        <v>305</v>
      </c>
    </row>
    <row r="828" spans="1:11" x14ac:dyDescent="0.2">
      <c r="A828" t="s">
        <v>4196</v>
      </c>
      <c r="B828">
        <v>170127</v>
      </c>
      <c r="C828" t="s">
        <v>2049</v>
      </c>
      <c r="D828" t="s">
        <v>4289</v>
      </c>
      <c r="E828" t="s">
        <v>187</v>
      </c>
      <c r="F828" t="s">
        <v>187</v>
      </c>
      <c r="G828" t="s">
        <v>4194</v>
      </c>
      <c r="H828" t="s">
        <v>187</v>
      </c>
      <c r="I828" t="s">
        <v>2616</v>
      </c>
      <c r="J828">
        <v>1</v>
      </c>
      <c r="K828">
        <v>68</v>
      </c>
    </row>
    <row r="829" spans="1:11" x14ac:dyDescent="0.2">
      <c r="A829" t="s">
        <v>4196</v>
      </c>
      <c r="B829">
        <v>171405</v>
      </c>
      <c r="C829" t="s">
        <v>2143</v>
      </c>
      <c r="D829" t="s">
        <v>4249</v>
      </c>
      <c r="E829" t="s">
        <v>187</v>
      </c>
      <c r="F829" t="s">
        <v>187</v>
      </c>
      <c r="G829" t="s">
        <v>3946</v>
      </c>
      <c r="H829" t="s">
        <v>187</v>
      </c>
      <c r="I829" t="s">
        <v>2616</v>
      </c>
      <c r="J829">
        <v>1</v>
      </c>
      <c r="K829">
        <v>181</v>
      </c>
    </row>
    <row r="830" spans="1:11" x14ac:dyDescent="0.2">
      <c r="A830" t="s">
        <v>4196</v>
      </c>
      <c r="B830">
        <v>170187</v>
      </c>
      <c r="C830" t="s">
        <v>2066</v>
      </c>
      <c r="D830" t="s">
        <v>4286</v>
      </c>
      <c r="E830" t="s">
        <v>187</v>
      </c>
      <c r="F830" t="s">
        <v>187</v>
      </c>
      <c r="G830" t="s">
        <v>3946</v>
      </c>
      <c r="H830" t="s">
        <v>187</v>
      </c>
      <c r="I830" t="s">
        <v>2616</v>
      </c>
      <c r="J830">
        <v>1</v>
      </c>
      <c r="K830">
        <v>66</v>
      </c>
    </row>
    <row r="831" spans="1:11" x14ac:dyDescent="0.2">
      <c r="A831" t="s">
        <v>4196</v>
      </c>
      <c r="B831">
        <v>171320</v>
      </c>
      <c r="C831" t="s">
        <v>2123</v>
      </c>
      <c r="D831" t="s">
        <v>4212</v>
      </c>
      <c r="E831" t="s">
        <v>187</v>
      </c>
      <c r="F831" t="s">
        <v>187</v>
      </c>
      <c r="G831" t="s">
        <v>4194</v>
      </c>
      <c r="H831" t="s">
        <v>187</v>
      </c>
      <c r="I831" t="s">
        <v>2616</v>
      </c>
      <c r="J831">
        <v>1</v>
      </c>
      <c r="K831">
        <v>339</v>
      </c>
    </row>
    <row r="832" spans="1:11" x14ac:dyDescent="0.2">
      <c r="A832" t="s">
        <v>4196</v>
      </c>
      <c r="B832">
        <v>170030</v>
      </c>
      <c r="C832" t="s">
        <v>1989</v>
      </c>
      <c r="D832" t="s">
        <v>4242</v>
      </c>
      <c r="E832" t="s">
        <v>187</v>
      </c>
      <c r="F832" t="s">
        <v>187</v>
      </c>
      <c r="G832" t="s">
        <v>4194</v>
      </c>
      <c r="H832" t="s">
        <v>187</v>
      </c>
      <c r="I832" t="s">
        <v>2616</v>
      </c>
      <c r="J832">
        <v>1</v>
      </c>
      <c r="K832">
        <v>726</v>
      </c>
    </row>
    <row r="833" spans="1:11" x14ac:dyDescent="0.2">
      <c r="A833" t="s">
        <v>4196</v>
      </c>
      <c r="B833">
        <v>170262</v>
      </c>
      <c r="C833" t="s">
        <v>2097</v>
      </c>
      <c r="D833" t="s">
        <v>4250</v>
      </c>
      <c r="E833" t="s">
        <v>187</v>
      </c>
      <c r="F833" t="s">
        <v>187</v>
      </c>
      <c r="G833" t="s">
        <v>3946</v>
      </c>
      <c r="H833" t="s">
        <v>187</v>
      </c>
      <c r="I833" t="s">
        <v>2616</v>
      </c>
      <c r="J833">
        <v>1</v>
      </c>
      <c r="K833">
        <v>14</v>
      </c>
    </row>
    <row r="834" spans="1:11" x14ac:dyDescent="0.2">
      <c r="A834" t="s">
        <v>4196</v>
      </c>
      <c r="B834">
        <v>170252</v>
      </c>
      <c r="C834" t="s">
        <v>2093</v>
      </c>
      <c r="D834" t="s">
        <v>4323</v>
      </c>
      <c r="E834" t="s">
        <v>187</v>
      </c>
      <c r="F834" t="s">
        <v>187</v>
      </c>
      <c r="G834" t="s">
        <v>3946</v>
      </c>
      <c r="H834" t="s">
        <v>187</v>
      </c>
      <c r="I834" t="s">
        <v>2616</v>
      </c>
      <c r="J834">
        <v>1</v>
      </c>
      <c r="K834">
        <v>119</v>
      </c>
    </row>
    <row r="835" spans="1:11" x14ac:dyDescent="0.2">
      <c r="A835" t="s">
        <v>4196</v>
      </c>
      <c r="B835">
        <v>178009</v>
      </c>
      <c r="C835" t="s">
        <v>2166</v>
      </c>
      <c r="D835" t="s">
        <v>4300</v>
      </c>
      <c r="E835" t="s">
        <v>187</v>
      </c>
      <c r="F835" t="s">
        <v>187</v>
      </c>
      <c r="G835" t="s">
        <v>4020</v>
      </c>
      <c r="H835" t="s">
        <v>187</v>
      </c>
      <c r="I835" t="s">
        <v>2616</v>
      </c>
      <c r="J835">
        <v>1</v>
      </c>
      <c r="K835">
        <v>610</v>
      </c>
    </row>
    <row r="836" spans="1:11" x14ac:dyDescent="0.2">
      <c r="A836" t="s">
        <v>4196</v>
      </c>
      <c r="B836">
        <v>17027</v>
      </c>
      <c r="C836" t="s">
        <v>2489</v>
      </c>
      <c r="D836" t="s">
        <v>4330</v>
      </c>
      <c r="E836" t="s">
        <v>187</v>
      </c>
      <c r="F836" t="s">
        <v>187</v>
      </c>
      <c r="G836" t="s">
        <v>4199</v>
      </c>
      <c r="H836" t="s">
        <v>187</v>
      </c>
      <c r="I836" t="s">
        <v>2616</v>
      </c>
      <c r="J836">
        <v>1</v>
      </c>
      <c r="K836">
        <v>271</v>
      </c>
    </row>
    <row r="837" spans="1:11" x14ac:dyDescent="0.2">
      <c r="A837" t="s">
        <v>4196</v>
      </c>
      <c r="B837">
        <v>170049</v>
      </c>
      <c r="C837" t="s">
        <v>2003</v>
      </c>
      <c r="D837" t="s">
        <v>4345</v>
      </c>
      <c r="E837" t="s">
        <v>187</v>
      </c>
      <c r="F837" t="s">
        <v>187</v>
      </c>
      <c r="G837" t="s">
        <v>3946</v>
      </c>
      <c r="H837" t="s">
        <v>187</v>
      </c>
      <c r="I837" t="s">
        <v>2616</v>
      </c>
      <c r="J837">
        <v>1</v>
      </c>
      <c r="K837">
        <v>967.4</v>
      </c>
    </row>
    <row r="838" spans="1:11" x14ac:dyDescent="0.2">
      <c r="A838" t="s">
        <v>4196</v>
      </c>
      <c r="B838">
        <v>170186</v>
      </c>
      <c r="C838" t="s">
        <v>2065</v>
      </c>
      <c r="D838" t="s">
        <v>4233</v>
      </c>
      <c r="E838" t="s">
        <v>187</v>
      </c>
      <c r="F838" t="s">
        <v>187</v>
      </c>
      <c r="G838" t="s">
        <v>3946</v>
      </c>
      <c r="H838" t="s">
        <v>187</v>
      </c>
      <c r="I838" t="s">
        <v>2616</v>
      </c>
      <c r="J838">
        <v>1</v>
      </c>
      <c r="K838">
        <v>130</v>
      </c>
    </row>
    <row r="839" spans="1:11" x14ac:dyDescent="0.2">
      <c r="A839" t="s">
        <v>4196</v>
      </c>
      <c r="B839">
        <v>170251</v>
      </c>
      <c r="C839" t="s">
        <v>2092</v>
      </c>
      <c r="D839" t="s">
        <v>4216</v>
      </c>
      <c r="E839" t="s">
        <v>187</v>
      </c>
      <c r="F839" t="s">
        <v>187</v>
      </c>
      <c r="G839" t="s">
        <v>3946</v>
      </c>
      <c r="H839" t="s">
        <v>187</v>
      </c>
      <c r="I839" t="s">
        <v>2616</v>
      </c>
      <c r="J839">
        <v>1</v>
      </c>
      <c r="K839">
        <v>240</v>
      </c>
    </row>
    <row r="840" spans="1:11" x14ac:dyDescent="0.2">
      <c r="A840" t="s">
        <v>4196</v>
      </c>
      <c r="B840">
        <v>170041</v>
      </c>
      <c r="C840" t="s">
        <v>1999</v>
      </c>
      <c r="D840" t="s">
        <v>4312</v>
      </c>
      <c r="E840" t="s">
        <v>187</v>
      </c>
      <c r="F840" t="s">
        <v>187</v>
      </c>
      <c r="G840" t="s">
        <v>3946</v>
      </c>
      <c r="H840" t="s">
        <v>187</v>
      </c>
      <c r="I840" t="s">
        <v>2616</v>
      </c>
      <c r="J840">
        <v>1</v>
      </c>
      <c r="K840">
        <v>115</v>
      </c>
    </row>
    <row r="841" spans="1:11" x14ac:dyDescent="0.2">
      <c r="A841" t="s">
        <v>4196</v>
      </c>
      <c r="B841">
        <v>170203</v>
      </c>
      <c r="C841" t="s">
        <v>2076</v>
      </c>
      <c r="D841" t="s">
        <v>4295</v>
      </c>
      <c r="E841" t="s">
        <v>187</v>
      </c>
      <c r="F841" t="s">
        <v>187</v>
      </c>
      <c r="G841" t="s">
        <v>4199</v>
      </c>
      <c r="H841" t="s">
        <v>187</v>
      </c>
      <c r="I841" t="s">
        <v>2616</v>
      </c>
      <c r="J841">
        <v>1</v>
      </c>
      <c r="K841">
        <v>444</v>
      </c>
    </row>
    <row r="842" spans="1:11" x14ac:dyDescent="0.2">
      <c r="A842" t="s">
        <v>4196</v>
      </c>
      <c r="B842">
        <v>170012</v>
      </c>
      <c r="C842" t="s">
        <v>1979</v>
      </c>
      <c r="D842" t="s">
        <v>4309</v>
      </c>
      <c r="E842" t="s">
        <v>187</v>
      </c>
      <c r="F842" t="s">
        <v>187</v>
      </c>
      <c r="G842" t="s">
        <v>3765</v>
      </c>
      <c r="H842" t="s">
        <v>187</v>
      </c>
      <c r="I842" t="s">
        <v>2616</v>
      </c>
      <c r="J842">
        <v>1</v>
      </c>
      <c r="K842">
        <v>312</v>
      </c>
    </row>
    <row r="843" spans="1:11" x14ac:dyDescent="0.2">
      <c r="A843" t="s">
        <v>4196</v>
      </c>
      <c r="B843">
        <v>170909</v>
      </c>
      <c r="C843" t="s">
        <v>2107</v>
      </c>
      <c r="D843" t="s">
        <v>4313</v>
      </c>
      <c r="E843" t="s">
        <v>187</v>
      </c>
      <c r="F843" t="s">
        <v>187</v>
      </c>
      <c r="G843" t="s">
        <v>3765</v>
      </c>
      <c r="H843" t="s">
        <v>187</v>
      </c>
      <c r="I843" t="s">
        <v>2616</v>
      </c>
      <c r="J843">
        <v>1</v>
      </c>
      <c r="K843">
        <v>1073.3</v>
      </c>
    </row>
    <row r="844" spans="1:11" x14ac:dyDescent="0.2">
      <c r="A844" t="s">
        <v>4196</v>
      </c>
      <c r="B844">
        <v>179018</v>
      </c>
      <c r="C844" t="s">
        <v>2397</v>
      </c>
      <c r="D844" t="s">
        <v>4234</v>
      </c>
      <c r="E844" t="s">
        <v>187</v>
      </c>
      <c r="F844" t="s">
        <v>187</v>
      </c>
      <c r="G844" t="s">
        <v>3765</v>
      </c>
      <c r="H844" t="s">
        <v>187</v>
      </c>
      <c r="I844" t="s">
        <v>2666</v>
      </c>
      <c r="J844">
        <v>1</v>
      </c>
      <c r="K844">
        <v>34</v>
      </c>
    </row>
    <row r="845" spans="1:11" x14ac:dyDescent="0.2">
      <c r="A845" t="s">
        <v>4196</v>
      </c>
      <c r="B845">
        <v>170192</v>
      </c>
      <c r="C845" t="s">
        <v>828</v>
      </c>
      <c r="D845" t="s">
        <v>4334</v>
      </c>
      <c r="E845" t="s">
        <v>187</v>
      </c>
      <c r="F845" t="s">
        <v>187</v>
      </c>
      <c r="G845" t="s">
        <v>3946</v>
      </c>
      <c r="H845" t="s">
        <v>187</v>
      </c>
      <c r="I845" t="s">
        <v>2666</v>
      </c>
      <c r="J845">
        <v>1</v>
      </c>
      <c r="K845">
        <v>38</v>
      </c>
    </row>
    <row r="846" spans="1:11" x14ac:dyDescent="0.2">
      <c r="A846" t="s">
        <v>4196</v>
      </c>
      <c r="B846">
        <v>170202</v>
      </c>
      <c r="C846" t="s">
        <v>2075</v>
      </c>
      <c r="D846" t="s">
        <v>4362</v>
      </c>
      <c r="E846" t="s">
        <v>187</v>
      </c>
      <c r="F846" t="s">
        <v>187</v>
      </c>
      <c r="G846" t="s">
        <v>4199</v>
      </c>
      <c r="H846" t="s">
        <v>187</v>
      </c>
      <c r="I846" t="s">
        <v>2616</v>
      </c>
      <c r="J846">
        <v>1</v>
      </c>
      <c r="K846">
        <v>627</v>
      </c>
    </row>
    <row r="847" spans="1:11" x14ac:dyDescent="0.2">
      <c r="A847" t="s">
        <v>4196</v>
      </c>
      <c r="B847">
        <v>178104</v>
      </c>
      <c r="C847" t="s">
        <v>879</v>
      </c>
      <c r="D847" t="s">
        <v>4299</v>
      </c>
      <c r="E847" t="s">
        <v>187</v>
      </c>
      <c r="F847" t="s">
        <v>187</v>
      </c>
      <c r="G847" t="s">
        <v>4199</v>
      </c>
      <c r="H847" t="s">
        <v>187</v>
      </c>
      <c r="I847" t="s">
        <v>2666</v>
      </c>
      <c r="J847">
        <v>1</v>
      </c>
      <c r="K847">
        <v>29</v>
      </c>
    </row>
    <row r="848" spans="1:11" x14ac:dyDescent="0.2">
      <c r="A848" t="s">
        <v>4196</v>
      </c>
      <c r="B848">
        <v>170103</v>
      </c>
      <c r="C848" t="s">
        <v>2038</v>
      </c>
      <c r="D848" t="s">
        <v>4360</v>
      </c>
      <c r="E848" t="s">
        <v>187</v>
      </c>
      <c r="F848" t="s">
        <v>187</v>
      </c>
      <c r="G848" t="s">
        <v>3946</v>
      </c>
      <c r="H848" t="s">
        <v>187</v>
      </c>
      <c r="I848" t="s">
        <v>2616</v>
      </c>
      <c r="J848">
        <v>1</v>
      </c>
      <c r="K848">
        <v>152</v>
      </c>
    </row>
    <row r="849" spans="1:11" x14ac:dyDescent="0.2">
      <c r="A849" t="s">
        <v>4196</v>
      </c>
      <c r="B849">
        <v>171349</v>
      </c>
      <c r="C849" t="s">
        <v>2138</v>
      </c>
      <c r="D849" t="s">
        <v>4228</v>
      </c>
      <c r="E849" t="s">
        <v>187</v>
      </c>
      <c r="F849" t="s">
        <v>187</v>
      </c>
      <c r="G849" t="s">
        <v>4194</v>
      </c>
      <c r="H849" t="s">
        <v>187</v>
      </c>
      <c r="I849" t="s">
        <v>2616</v>
      </c>
      <c r="J849">
        <v>1</v>
      </c>
      <c r="K849">
        <v>154</v>
      </c>
    </row>
    <row r="850" spans="1:11" x14ac:dyDescent="0.2">
      <c r="A850" t="s">
        <v>4196</v>
      </c>
      <c r="B850">
        <v>170198</v>
      </c>
      <c r="C850" t="s">
        <v>2073</v>
      </c>
      <c r="D850" t="s">
        <v>4314</v>
      </c>
      <c r="E850" t="s">
        <v>187</v>
      </c>
      <c r="F850" t="s">
        <v>187</v>
      </c>
      <c r="G850" t="s">
        <v>3946</v>
      </c>
      <c r="H850" t="s">
        <v>187</v>
      </c>
      <c r="I850" t="s">
        <v>2616</v>
      </c>
      <c r="J850">
        <v>1</v>
      </c>
      <c r="K850">
        <v>176</v>
      </c>
    </row>
    <row r="851" spans="1:11" x14ac:dyDescent="0.2">
      <c r="A851" t="s">
        <v>4196</v>
      </c>
      <c r="B851">
        <v>172050</v>
      </c>
      <c r="C851" t="s">
        <v>2584</v>
      </c>
      <c r="D851" t="s">
        <v>4321</v>
      </c>
      <c r="E851" t="s">
        <v>187</v>
      </c>
      <c r="F851" t="s">
        <v>187</v>
      </c>
      <c r="G851" t="s">
        <v>3955</v>
      </c>
      <c r="H851" t="s">
        <v>187</v>
      </c>
      <c r="I851" t="s">
        <v>2666</v>
      </c>
      <c r="J851">
        <v>1</v>
      </c>
      <c r="K851">
        <v>125</v>
      </c>
    </row>
    <row r="852" spans="1:11" x14ac:dyDescent="0.2">
      <c r="A852" t="s">
        <v>4196</v>
      </c>
      <c r="B852">
        <v>170083</v>
      </c>
      <c r="C852" t="s">
        <v>2023</v>
      </c>
      <c r="D852" t="s">
        <v>4331</v>
      </c>
      <c r="E852" t="s">
        <v>187</v>
      </c>
      <c r="F852" t="s">
        <v>187</v>
      </c>
      <c r="G852" t="s">
        <v>3946</v>
      </c>
      <c r="H852" t="s">
        <v>187</v>
      </c>
      <c r="I852" t="s">
        <v>2616</v>
      </c>
      <c r="J852">
        <v>1</v>
      </c>
      <c r="K852">
        <v>183</v>
      </c>
    </row>
    <row r="853" spans="1:11" x14ac:dyDescent="0.2">
      <c r="A853" t="s">
        <v>4196</v>
      </c>
      <c r="B853">
        <v>171323</v>
      </c>
      <c r="C853" t="s">
        <v>2126</v>
      </c>
      <c r="D853" t="s">
        <v>4235</v>
      </c>
      <c r="E853" t="s">
        <v>187</v>
      </c>
      <c r="F853" t="s">
        <v>187</v>
      </c>
      <c r="G853" t="s">
        <v>4194</v>
      </c>
      <c r="H853" t="s">
        <v>187</v>
      </c>
      <c r="I853" t="s">
        <v>2616</v>
      </c>
      <c r="J853">
        <v>1</v>
      </c>
      <c r="K853">
        <v>316</v>
      </c>
    </row>
    <row r="854" spans="1:11" x14ac:dyDescent="0.2">
      <c r="A854" t="s">
        <v>4196</v>
      </c>
      <c r="B854">
        <v>170027</v>
      </c>
      <c r="C854" t="s">
        <v>1987</v>
      </c>
      <c r="D854" t="s">
        <v>4317</v>
      </c>
      <c r="E854" t="s">
        <v>187</v>
      </c>
      <c r="F854" t="s">
        <v>187</v>
      </c>
      <c r="G854" t="s">
        <v>3955</v>
      </c>
      <c r="H854" t="s">
        <v>187</v>
      </c>
      <c r="I854" t="s">
        <v>2616</v>
      </c>
      <c r="J854">
        <v>1</v>
      </c>
      <c r="K854">
        <v>290</v>
      </c>
    </row>
    <row r="855" spans="1:11" x14ac:dyDescent="0.2">
      <c r="A855" t="s">
        <v>4196</v>
      </c>
      <c r="B855">
        <v>170088</v>
      </c>
      <c r="C855" t="s">
        <v>2027</v>
      </c>
      <c r="D855" t="s">
        <v>4322</v>
      </c>
      <c r="E855" t="s">
        <v>187</v>
      </c>
      <c r="F855" t="s">
        <v>187</v>
      </c>
      <c r="G855" t="s">
        <v>3946</v>
      </c>
      <c r="H855" t="s">
        <v>187</v>
      </c>
      <c r="I855" t="s">
        <v>2616</v>
      </c>
      <c r="J855">
        <v>1</v>
      </c>
      <c r="K855">
        <v>112</v>
      </c>
    </row>
    <row r="856" spans="1:11" x14ac:dyDescent="0.2">
      <c r="A856" t="s">
        <v>4196</v>
      </c>
      <c r="B856">
        <v>170367</v>
      </c>
      <c r="C856" t="s">
        <v>848</v>
      </c>
      <c r="D856" t="s">
        <v>4225</v>
      </c>
      <c r="E856" t="s">
        <v>187</v>
      </c>
      <c r="F856" t="s">
        <v>187</v>
      </c>
      <c r="G856" t="s">
        <v>3946</v>
      </c>
      <c r="H856" t="s">
        <v>187</v>
      </c>
      <c r="I856" t="s">
        <v>2666</v>
      </c>
      <c r="J856">
        <v>1</v>
      </c>
      <c r="K856">
        <v>12</v>
      </c>
    </row>
    <row r="857" spans="1:11" x14ac:dyDescent="0.2">
      <c r="A857" t="s">
        <v>4196</v>
      </c>
      <c r="B857">
        <v>170312</v>
      </c>
      <c r="C857" t="s">
        <v>2103</v>
      </c>
      <c r="D857" t="s">
        <v>4202</v>
      </c>
      <c r="E857" t="s">
        <v>187</v>
      </c>
      <c r="F857" t="s">
        <v>187</v>
      </c>
      <c r="G857" t="s">
        <v>3946</v>
      </c>
      <c r="H857" t="s">
        <v>187</v>
      </c>
      <c r="I857" t="s">
        <v>2616</v>
      </c>
      <c r="J857">
        <v>1</v>
      </c>
      <c r="K857">
        <v>177</v>
      </c>
    </row>
    <row r="858" spans="1:11" x14ac:dyDescent="0.2">
      <c r="A858" t="s">
        <v>4196</v>
      </c>
      <c r="B858">
        <v>170102</v>
      </c>
      <c r="C858" t="s">
        <v>2037</v>
      </c>
      <c r="D858" t="s">
        <v>4361</v>
      </c>
      <c r="E858" t="s">
        <v>187</v>
      </c>
      <c r="F858" t="s">
        <v>187</v>
      </c>
      <c r="G858" t="s">
        <v>3946</v>
      </c>
      <c r="H858" t="s">
        <v>187</v>
      </c>
      <c r="I858" t="s">
        <v>2616</v>
      </c>
      <c r="J858">
        <v>1</v>
      </c>
      <c r="K858">
        <v>75</v>
      </c>
    </row>
    <row r="859" spans="1:11" x14ac:dyDescent="0.2">
      <c r="A859" t="s">
        <v>4196</v>
      </c>
      <c r="B859">
        <v>170400</v>
      </c>
      <c r="C859" t="s">
        <v>2105</v>
      </c>
      <c r="D859" t="s">
        <v>4292</v>
      </c>
      <c r="E859" t="s">
        <v>187</v>
      </c>
      <c r="F859" t="s">
        <v>187</v>
      </c>
      <c r="G859" t="s">
        <v>3946</v>
      </c>
      <c r="H859" t="s">
        <v>187</v>
      </c>
      <c r="I859" t="s">
        <v>2616</v>
      </c>
      <c r="J859">
        <v>1</v>
      </c>
      <c r="K859">
        <v>10</v>
      </c>
    </row>
    <row r="860" spans="1:11" x14ac:dyDescent="0.2">
      <c r="A860" t="s">
        <v>4196</v>
      </c>
      <c r="B860">
        <v>170081</v>
      </c>
      <c r="C860" t="s">
        <v>2021</v>
      </c>
      <c r="D860" t="s">
        <v>4255</v>
      </c>
      <c r="E860" t="s">
        <v>187</v>
      </c>
      <c r="F860" t="s">
        <v>187</v>
      </c>
      <c r="G860" t="s">
        <v>3946</v>
      </c>
      <c r="H860" t="s">
        <v>187</v>
      </c>
      <c r="I860" t="s">
        <v>2616</v>
      </c>
      <c r="J860">
        <v>1</v>
      </c>
      <c r="K860">
        <v>126</v>
      </c>
    </row>
    <row r="861" spans="1:11" x14ac:dyDescent="0.2">
      <c r="A861" t="s">
        <v>4196</v>
      </c>
      <c r="B861">
        <v>170072</v>
      </c>
      <c r="C861" t="s">
        <v>2013</v>
      </c>
      <c r="D861" t="s">
        <v>4326</v>
      </c>
      <c r="E861" t="s">
        <v>187</v>
      </c>
      <c r="F861" t="s">
        <v>187</v>
      </c>
      <c r="G861" t="s">
        <v>3946</v>
      </c>
      <c r="H861" t="s">
        <v>187</v>
      </c>
      <c r="I861" t="s">
        <v>2616</v>
      </c>
      <c r="J861">
        <v>1</v>
      </c>
      <c r="K861">
        <v>214</v>
      </c>
    </row>
    <row r="862" spans="1:11" x14ac:dyDescent="0.2">
      <c r="A862" t="s">
        <v>4196</v>
      </c>
      <c r="B862">
        <v>171347</v>
      </c>
      <c r="C862" t="s">
        <v>2136</v>
      </c>
      <c r="D862" t="s">
        <v>4335</v>
      </c>
      <c r="E862" t="s">
        <v>187</v>
      </c>
      <c r="F862" t="s">
        <v>187</v>
      </c>
      <c r="G862" t="s">
        <v>4194</v>
      </c>
      <c r="H862" t="s">
        <v>187</v>
      </c>
      <c r="I862" t="s">
        <v>2616</v>
      </c>
      <c r="J862">
        <v>1</v>
      </c>
      <c r="K862">
        <v>48</v>
      </c>
    </row>
    <row r="863" spans="1:11" x14ac:dyDescent="0.2">
      <c r="A863" t="s">
        <v>4196</v>
      </c>
      <c r="B863">
        <v>171340</v>
      </c>
      <c r="C863" t="s">
        <v>2486</v>
      </c>
      <c r="D863" t="s">
        <v>4284</v>
      </c>
      <c r="E863" t="s">
        <v>187</v>
      </c>
      <c r="F863" t="s">
        <v>187</v>
      </c>
      <c r="G863" t="s">
        <v>3955</v>
      </c>
      <c r="H863" t="s">
        <v>187</v>
      </c>
      <c r="I863" t="s">
        <v>2666</v>
      </c>
      <c r="J863">
        <v>1</v>
      </c>
      <c r="K863">
        <v>12</v>
      </c>
    </row>
    <row r="864" spans="1:11" x14ac:dyDescent="0.2">
      <c r="A864" t="s">
        <v>4196</v>
      </c>
      <c r="B864">
        <v>170086</v>
      </c>
      <c r="C864" t="s">
        <v>2025</v>
      </c>
      <c r="D864" t="s">
        <v>4308</v>
      </c>
      <c r="E864" t="s">
        <v>187</v>
      </c>
      <c r="F864" t="s">
        <v>187</v>
      </c>
      <c r="G864" t="s">
        <v>3946</v>
      </c>
      <c r="H864" t="s">
        <v>187</v>
      </c>
      <c r="I864" t="s">
        <v>2616</v>
      </c>
      <c r="J864">
        <v>1</v>
      </c>
      <c r="K864">
        <v>686.1</v>
      </c>
    </row>
    <row r="865" spans="1:11" x14ac:dyDescent="0.2">
      <c r="A865" t="s">
        <v>4196</v>
      </c>
      <c r="B865">
        <v>170089</v>
      </c>
      <c r="C865" t="s">
        <v>2028</v>
      </c>
      <c r="D865" t="s">
        <v>4264</v>
      </c>
      <c r="E865" t="s">
        <v>187</v>
      </c>
      <c r="F865" t="s">
        <v>187</v>
      </c>
      <c r="G865" t="s">
        <v>3946</v>
      </c>
      <c r="H865" t="s">
        <v>187</v>
      </c>
      <c r="I865" t="s">
        <v>2616</v>
      </c>
      <c r="J865">
        <v>1</v>
      </c>
      <c r="K865">
        <v>31</v>
      </c>
    </row>
    <row r="866" spans="1:11" x14ac:dyDescent="0.2">
      <c r="A866" t="s">
        <v>4196</v>
      </c>
      <c r="B866">
        <v>170190</v>
      </c>
      <c r="C866" t="s">
        <v>2069</v>
      </c>
      <c r="D866" t="s">
        <v>4277</v>
      </c>
      <c r="E866" t="s">
        <v>187</v>
      </c>
      <c r="F866" t="s">
        <v>187</v>
      </c>
      <c r="G866" t="s">
        <v>3946</v>
      </c>
      <c r="H866" t="s">
        <v>187</v>
      </c>
      <c r="I866" t="s">
        <v>2616</v>
      </c>
      <c r="J866">
        <v>1</v>
      </c>
      <c r="K866">
        <v>407</v>
      </c>
    </row>
    <row r="867" spans="1:11" x14ac:dyDescent="0.2">
      <c r="A867" t="s">
        <v>4196</v>
      </c>
      <c r="B867">
        <v>170001</v>
      </c>
      <c r="C867" t="s">
        <v>1975</v>
      </c>
      <c r="D867" t="s">
        <v>4311</v>
      </c>
      <c r="E867" t="s">
        <v>187</v>
      </c>
      <c r="F867" t="s">
        <v>187</v>
      </c>
      <c r="G867" t="s">
        <v>3946</v>
      </c>
      <c r="H867" t="s">
        <v>187</v>
      </c>
      <c r="I867" t="s">
        <v>2616</v>
      </c>
      <c r="J867">
        <v>1</v>
      </c>
      <c r="K867">
        <v>343</v>
      </c>
    </row>
    <row r="868" spans="1:11" x14ac:dyDescent="0.2">
      <c r="A868" t="s">
        <v>4196</v>
      </c>
      <c r="B868">
        <v>170160</v>
      </c>
      <c r="C868" t="s">
        <v>2055</v>
      </c>
      <c r="D868" t="s">
        <v>4247</v>
      </c>
      <c r="E868" t="s">
        <v>187</v>
      </c>
      <c r="F868" t="s">
        <v>187</v>
      </c>
      <c r="G868" t="s">
        <v>4199</v>
      </c>
      <c r="H868" t="s">
        <v>187</v>
      </c>
      <c r="I868" t="s">
        <v>2616</v>
      </c>
      <c r="J868">
        <v>1</v>
      </c>
      <c r="K868">
        <v>252</v>
      </c>
    </row>
    <row r="869" spans="1:11" x14ac:dyDescent="0.2">
      <c r="A869" t="s">
        <v>4196</v>
      </c>
      <c r="B869">
        <v>170163</v>
      </c>
      <c r="C869" t="s">
        <v>2056</v>
      </c>
      <c r="D869" t="s">
        <v>4198</v>
      </c>
      <c r="E869" t="s">
        <v>187</v>
      </c>
      <c r="F869" t="s">
        <v>187</v>
      </c>
      <c r="G869" t="s">
        <v>4194</v>
      </c>
      <c r="H869" t="s">
        <v>187</v>
      </c>
      <c r="I869" t="s">
        <v>2616</v>
      </c>
      <c r="J869">
        <v>1</v>
      </c>
      <c r="K869">
        <v>509</v>
      </c>
    </row>
    <row r="870" spans="1:11" x14ac:dyDescent="0.2">
      <c r="A870" t="s">
        <v>4196</v>
      </c>
      <c r="B870">
        <v>170233</v>
      </c>
      <c r="C870" t="s">
        <v>2088</v>
      </c>
      <c r="D870" t="s">
        <v>4265</v>
      </c>
      <c r="E870" t="s">
        <v>187</v>
      </c>
      <c r="F870" t="s">
        <v>187</v>
      </c>
      <c r="G870" t="s">
        <v>3946</v>
      </c>
      <c r="H870" t="s">
        <v>187</v>
      </c>
      <c r="I870" t="s">
        <v>2616</v>
      </c>
      <c r="J870">
        <v>1</v>
      </c>
      <c r="K870">
        <v>70</v>
      </c>
    </row>
    <row r="871" spans="1:11" x14ac:dyDescent="0.2">
      <c r="A871" t="s">
        <v>4196</v>
      </c>
      <c r="B871">
        <v>178018</v>
      </c>
      <c r="C871" t="s">
        <v>878</v>
      </c>
      <c r="D871" t="s">
        <v>4276</v>
      </c>
      <c r="E871" t="s">
        <v>187</v>
      </c>
      <c r="F871" t="s">
        <v>187</v>
      </c>
      <c r="G871" t="s">
        <v>4199</v>
      </c>
      <c r="H871" t="s">
        <v>187</v>
      </c>
      <c r="I871" t="s">
        <v>2666</v>
      </c>
      <c r="J871">
        <v>1</v>
      </c>
      <c r="K871">
        <v>69</v>
      </c>
    </row>
    <row r="872" spans="1:11" x14ac:dyDescent="0.2">
      <c r="A872" t="s">
        <v>4196</v>
      </c>
      <c r="B872">
        <v>170224</v>
      </c>
      <c r="C872" t="s">
        <v>2086</v>
      </c>
      <c r="D872" t="s">
        <v>4243</v>
      </c>
      <c r="E872" t="s">
        <v>187</v>
      </c>
      <c r="F872" t="s">
        <v>187</v>
      </c>
      <c r="G872" t="s">
        <v>3946</v>
      </c>
      <c r="H872" t="s">
        <v>187</v>
      </c>
      <c r="I872" t="s">
        <v>2616</v>
      </c>
      <c r="J872">
        <v>1</v>
      </c>
      <c r="K872">
        <v>69</v>
      </c>
    </row>
    <row r="873" spans="1:11" x14ac:dyDescent="0.2">
      <c r="A873" t="s">
        <v>4196</v>
      </c>
      <c r="B873">
        <v>170062</v>
      </c>
      <c r="C873" t="s">
        <v>2008</v>
      </c>
      <c r="D873" t="s">
        <v>4220</v>
      </c>
      <c r="E873" t="s">
        <v>187</v>
      </c>
      <c r="F873" t="s">
        <v>187</v>
      </c>
      <c r="G873" t="s">
        <v>3946</v>
      </c>
      <c r="H873" t="s">
        <v>187</v>
      </c>
      <c r="I873" t="s">
        <v>2616</v>
      </c>
      <c r="J873">
        <v>1</v>
      </c>
      <c r="K873">
        <v>89</v>
      </c>
    </row>
    <row r="874" spans="1:11" x14ac:dyDescent="0.2">
      <c r="A874" t="s">
        <v>4196</v>
      </c>
      <c r="B874">
        <v>178020</v>
      </c>
      <c r="C874" t="s">
        <v>2170</v>
      </c>
      <c r="D874" t="s">
        <v>4343</v>
      </c>
      <c r="E874" t="s">
        <v>187</v>
      </c>
      <c r="F874" t="s">
        <v>187</v>
      </c>
      <c r="G874" t="s">
        <v>4199</v>
      </c>
      <c r="H874" t="s">
        <v>187</v>
      </c>
      <c r="I874" t="s">
        <v>2616</v>
      </c>
      <c r="J874">
        <v>1</v>
      </c>
      <c r="K874">
        <v>1561</v>
      </c>
    </row>
    <row r="875" spans="1:11" x14ac:dyDescent="0.2">
      <c r="A875" t="s">
        <v>4196</v>
      </c>
      <c r="B875">
        <v>170194</v>
      </c>
      <c r="C875" t="s">
        <v>2071</v>
      </c>
      <c r="D875" t="s">
        <v>4209</v>
      </c>
      <c r="E875" t="s">
        <v>2634</v>
      </c>
      <c r="F875" t="s">
        <v>187</v>
      </c>
      <c r="G875" t="s">
        <v>3946</v>
      </c>
      <c r="H875" t="s">
        <v>2634</v>
      </c>
      <c r="I875" t="s">
        <v>2616</v>
      </c>
      <c r="J875">
        <v>1</v>
      </c>
      <c r="K875">
        <v>20</v>
      </c>
    </row>
    <row r="876" spans="1:11" x14ac:dyDescent="0.2">
      <c r="A876" t="s">
        <v>4196</v>
      </c>
      <c r="B876">
        <v>170218</v>
      </c>
      <c r="C876" t="s">
        <v>2083</v>
      </c>
      <c r="D876" t="s">
        <v>4315</v>
      </c>
      <c r="E876" t="s">
        <v>187</v>
      </c>
      <c r="F876" t="s">
        <v>187</v>
      </c>
      <c r="G876" t="s">
        <v>4207</v>
      </c>
      <c r="H876" t="s">
        <v>187</v>
      </c>
      <c r="I876" t="s">
        <v>2616</v>
      </c>
      <c r="J876">
        <v>1</v>
      </c>
      <c r="K876">
        <v>225</v>
      </c>
    </row>
    <row r="877" spans="1:11" x14ac:dyDescent="0.2">
      <c r="A877" t="s">
        <v>4196</v>
      </c>
      <c r="B877">
        <v>170254</v>
      </c>
      <c r="C877" t="s">
        <v>2578</v>
      </c>
      <c r="D877" t="s">
        <v>4241</v>
      </c>
      <c r="E877" t="s">
        <v>187</v>
      </c>
      <c r="F877" t="s">
        <v>187</v>
      </c>
      <c r="G877" t="s">
        <v>3946</v>
      </c>
      <c r="H877" t="s">
        <v>187</v>
      </c>
      <c r="I877" t="s">
        <v>2666</v>
      </c>
      <c r="J877">
        <v>1</v>
      </c>
      <c r="K877">
        <v>47</v>
      </c>
    </row>
    <row r="878" spans="1:11" x14ac:dyDescent="0.2">
      <c r="A878" t="s">
        <v>4196</v>
      </c>
      <c r="B878">
        <v>170119</v>
      </c>
      <c r="C878" t="s">
        <v>2044</v>
      </c>
      <c r="D878" t="s">
        <v>4268</v>
      </c>
      <c r="E878" t="s">
        <v>187</v>
      </c>
      <c r="F878" t="s">
        <v>187</v>
      </c>
      <c r="G878" t="s">
        <v>3955</v>
      </c>
      <c r="H878" t="s">
        <v>187</v>
      </c>
      <c r="I878" t="s">
        <v>2616</v>
      </c>
      <c r="J878">
        <v>1</v>
      </c>
      <c r="K878">
        <v>62</v>
      </c>
    </row>
    <row r="879" spans="1:11" x14ac:dyDescent="0.2">
      <c r="A879" t="s">
        <v>4196</v>
      </c>
      <c r="B879">
        <v>170109</v>
      </c>
      <c r="C879" t="s">
        <v>2043</v>
      </c>
      <c r="D879" t="s">
        <v>4351</v>
      </c>
      <c r="E879" t="s">
        <v>187</v>
      </c>
      <c r="F879" t="s">
        <v>187</v>
      </c>
      <c r="G879" t="s">
        <v>4194</v>
      </c>
      <c r="H879" t="s">
        <v>187</v>
      </c>
      <c r="I879" t="s">
        <v>2616</v>
      </c>
      <c r="J879">
        <v>1</v>
      </c>
      <c r="K879">
        <v>37</v>
      </c>
    </row>
    <row r="880" spans="1:11" x14ac:dyDescent="0.2">
      <c r="A880" t="s">
        <v>4196</v>
      </c>
      <c r="B880">
        <v>170430</v>
      </c>
      <c r="C880" t="s">
        <v>849</v>
      </c>
      <c r="D880" t="s">
        <v>4303</v>
      </c>
      <c r="E880" t="s">
        <v>187</v>
      </c>
      <c r="F880" t="s">
        <v>187</v>
      </c>
      <c r="G880" t="s">
        <v>3946</v>
      </c>
      <c r="H880" t="s">
        <v>187</v>
      </c>
      <c r="I880" t="s">
        <v>2666</v>
      </c>
      <c r="J880">
        <v>1</v>
      </c>
      <c r="K880">
        <v>2</v>
      </c>
    </row>
    <row r="881" spans="1:11" x14ac:dyDescent="0.2">
      <c r="A881" t="s">
        <v>4196</v>
      </c>
      <c r="B881">
        <v>170015</v>
      </c>
      <c r="C881" t="s">
        <v>1981</v>
      </c>
      <c r="D881" t="s">
        <v>4238</v>
      </c>
      <c r="E881" t="s">
        <v>187</v>
      </c>
      <c r="F881" t="s">
        <v>187</v>
      </c>
      <c r="G881" t="s">
        <v>3946</v>
      </c>
      <c r="H881" t="s">
        <v>187</v>
      </c>
      <c r="I881" t="s">
        <v>2616</v>
      </c>
      <c r="J881">
        <v>1</v>
      </c>
      <c r="K881">
        <v>179</v>
      </c>
    </row>
    <row r="882" spans="1:11" x14ac:dyDescent="0.2">
      <c r="A882" t="s">
        <v>4196</v>
      </c>
      <c r="B882">
        <v>170094</v>
      </c>
      <c r="C882" t="s">
        <v>2032</v>
      </c>
      <c r="D882" t="s">
        <v>4290</v>
      </c>
      <c r="E882" t="s">
        <v>187</v>
      </c>
      <c r="F882" t="s">
        <v>187</v>
      </c>
      <c r="G882" t="s">
        <v>3946</v>
      </c>
      <c r="H882" t="s">
        <v>187</v>
      </c>
      <c r="I882" t="s">
        <v>2616</v>
      </c>
      <c r="J882">
        <v>1</v>
      </c>
      <c r="K882">
        <v>221</v>
      </c>
    </row>
    <row r="883" spans="1:11" x14ac:dyDescent="0.2">
      <c r="A883" t="s">
        <v>4196</v>
      </c>
      <c r="B883">
        <v>171353</v>
      </c>
      <c r="C883" t="s">
        <v>860</v>
      </c>
      <c r="D883" t="s">
        <v>4302</v>
      </c>
      <c r="E883" t="s">
        <v>187</v>
      </c>
      <c r="F883" t="s">
        <v>187</v>
      </c>
      <c r="G883" t="s">
        <v>4194</v>
      </c>
      <c r="H883" t="s">
        <v>187</v>
      </c>
      <c r="I883" t="s">
        <v>2666</v>
      </c>
      <c r="J883">
        <v>1</v>
      </c>
      <c r="K883">
        <v>38</v>
      </c>
    </row>
    <row r="884" spans="1:11" x14ac:dyDescent="0.2">
      <c r="A884" t="s">
        <v>4196</v>
      </c>
      <c r="B884">
        <v>171321</v>
      </c>
      <c r="C884" t="s">
        <v>2124</v>
      </c>
      <c r="D884" t="s">
        <v>4222</v>
      </c>
      <c r="E884" t="s">
        <v>187</v>
      </c>
      <c r="F884" t="s">
        <v>187</v>
      </c>
      <c r="G884" t="s">
        <v>4194</v>
      </c>
      <c r="H884" t="s">
        <v>187</v>
      </c>
      <c r="I884" t="s">
        <v>2616</v>
      </c>
      <c r="J884">
        <v>1</v>
      </c>
      <c r="K884">
        <v>207</v>
      </c>
    </row>
    <row r="885" spans="1:11" x14ac:dyDescent="0.2">
      <c r="A885" t="s">
        <v>4196</v>
      </c>
      <c r="B885">
        <v>170169</v>
      </c>
      <c r="C885" t="s">
        <v>2058</v>
      </c>
      <c r="D885" t="s">
        <v>4320</v>
      </c>
      <c r="E885" t="s">
        <v>187</v>
      </c>
      <c r="F885" t="s">
        <v>187</v>
      </c>
      <c r="G885" t="s">
        <v>4199</v>
      </c>
      <c r="H885" t="s">
        <v>187</v>
      </c>
      <c r="I885" t="s">
        <v>2616</v>
      </c>
      <c r="J885">
        <v>1</v>
      </c>
      <c r="K885">
        <v>531</v>
      </c>
    </row>
    <row r="886" spans="1:11" x14ac:dyDescent="0.2">
      <c r="A886" t="s">
        <v>4196</v>
      </c>
      <c r="B886">
        <v>170266</v>
      </c>
      <c r="C886" t="s">
        <v>838</v>
      </c>
      <c r="D886" t="s">
        <v>4239</v>
      </c>
      <c r="E886" t="s">
        <v>187</v>
      </c>
      <c r="F886" t="s">
        <v>187</v>
      </c>
      <c r="G886" t="s">
        <v>3946</v>
      </c>
      <c r="H886" t="s">
        <v>187</v>
      </c>
      <c r="I886" t="s">
        <v>2666</v>
      </c>
      <c r="J886">
        <v>1</v>
      </c>
      <c r="K886">
        <v>25</v>
      </c>
    </row>
    <row r="887" spans="1:11" x14ac:dyDescent="0.2">
      <c r="A887" t="s">
        <v>4196</v>
      </c>
      <c r="B887">
        <v>178015</v>
      </c>
      <c r="C887" t="s">
        <v>2169</v>
      </c>
      <c r="D887" t="s">
        <v>4348</v>
      </c>
      <c r="E887" t="s">
        <v>187</v>
      </c>
      <c r="F887" t="s">
        <v>187</v>
      </c>
      <c r="G887" t="s">
        <v>4020</v>
      </c>
      <c r="H887" t="s">
        <v>187</v>
      </c>
      <c r="I887" t="s">
        <v>2616</v>
      </c>
      <c r="J887">
        <v>1</v>
      </c>
      <c r="K887">
        <v>199</v>
      </c>
    </row>
    <row r="888" spans="1:11" x14ac:dyDescent="0.2">
      <c r="A888" t="s">
        <v>4196</v>
      </c>
      <c r="B888">
        <v>170181</v>
      </c>
      <c r="C888" t="s">
        <v>2061</v>
      </c>
      <c r="D888" t="s">
        <v>4246</v>
      </c>
      <c r="E888" t="s">
        <v>187</v>
      </c>
      <c r="F888" t="s">
        <v>187</v>
      </c>
      <c r="G888" t="s">
        <v>4194</v>
      </c>
      <c r="H888" t="s">
        <v>187</v>
      </c>
      <c r="I888" t="s">
        <v>2616</v>
      </c>
      <c r="J888">
        <v>1</v>
      </c>
      <c r="K888">
        <v>121</v>
      </c>
    </row>
    <row r="889" spans="1:11" x14ac:dyDescent="0.2">
      <c r="A889" t="s">
        <v>4196</v>
      </c>
      <c r="B889">
        <v>170188</v>
      </c>
      <c r="C889" t="s">
        <v>2067</v>
      </c>
      <c r="D889" t="s">
        <v>4328</v>
      </c>
      <c r="E889" t="s">
        <v>187</v>
      </c>
      <c r="F889" t="s">
        <v>187</v>
      </c>
      <c r="G889" t="s">
        <v>3946</v>
      </c>
      <c r="H889" t="s">
        <v>187</v>
      </c>
      <c r="I889" t="s">
        <v>2616</v>
      </c>
      <c r="J889">
        <v>1</v>
      </c>
      <c r="K889">
        <v>165</v>
      </c>
    </row>
    <row r="890" spans="1:11" x14ac:dyDescent="0.2">
      <c r="A890" t="s">
        <v>4196</v>
      </c>
      <c r="B890">
        <v>170157</v>
      </c>
      <c r="C890" t="s">
        <v>823</v>
      </c>
      <c r="D890" t="s">
        <v>4227</v>
      </c>
      <c r="E890" t="s">
        <v>187</v>
      </c>
      <c r="F890" t="s">
        <v>187</v>
      </c>
      <c r="G890" t="s">
        <v>3946</v>
      </c>
      <c r="H890" t="s">
        <v>187</v>
      </c>
      <c r="I890" t="s">
        <v>2666</v>
      </c>
      <c r="J890">
        <v>1</v>
      </c>
      <c r="K890">
        <v>60</v>
      </c>
    </row>
    <row r="891" spans="1:11" x14ac:dyDescent="0.2">
      <c r="A891" t="s">
        <v>4196</v>
      </c>
      <c r="B891">
        <v>179013</v>
      </c>
      <c r="C891" t="s">
        <v>882</v>
      </c>
      <c r="D891" t="s">
        <v>4229</v>
      </c>
      <c r="E891" t="s">
        <v>187</v>
      </c>
      <c r="F891" t="s">
        <v>187</v>
      </c>
      <c r="G891" t="s">
        <v>3765</v>
      </c>
      <c r="H891" t="s">
        <v>187</v>
      </c>
      <c r="I891" t="s">
        <v>2666</v>
      </c>
      <c r="J891">
        <v>1</v>
      </c>
      <c r="K891">
        <v>40</v>
      </c>
    </row>
    <row r="892" spans="1:11" x14ac:dyDescent="0.2">
      <c r="A892" t="s">
        <v>4196</v>
      </c>
      <c r="B892">
        <v>178002</v>
      </c>
      <c r="C892" t="s">
        <v>2163</v>
      </c>
      <c r="D892" t="s">
        <v>4280</v>
      </c>
      <c r="E892" t="s">
        <v>187</v>
      </c>
      <c r="F892" t="s">
        <v>187</v>
      </c>
      <c r="G892" t="s">
        <v>4199</v>
      </c>
      <c r="H892" t="s">
        <v>187</v>
      </c>
      <c r="I892" t="s">
        <v>2616</v>
      </c>
      <c r="J892">
        <v>1</v>
      </c>
      <c r="K892">
        <v>87</v>
      </c>
    </row>
    <row r="893" spans="1:11" x14ac:dyDescent="0.2">
      <c r="A893" t="s">
        <v>4196</v>
      </c>
      <c r="B893">
        <v>170286</v>
      </c>
      <c r="C893" t="s">
        <v>2099</v>
      </c>
      <c r="D893" t="s">
        <v>4213</v>
      </c>
      <c r="E893" t="s">
        <v>187</v>
      </c>
      <c r="F893" t="s">
        <v>187</v>
      </c>
      <c r="G893" t="s">
        <v>3946</v>
      </c>
      <c r="H893" t="s">
        <v>187</v>
      </c>
      <c r="I893" t="s">
        <v>2616</v>
      </c>
      <c r="J893">
        <v>1</v>
      </c>
      <c r="K893">
        <v>104</v>
      </c>
    </row>
    <row r="894" spans="1:11" x14ac:dyDescent="0.2">
      <c r="A894" t="s">
        <v>4196</v>
      </c>
      <c r="B894">
        <v>170122</v>
      </c>
      <c r="C894" t="s">
        <v>2046</v>
      </c>
      <c r="D894" t="s">
        <v>4274</v>
      </c>
      <c r="E894" t="s">
        <v>187</v>
      </c>
      <c r="F894" t="s">
        <v>187</v>
      </c>
      <c r="G894" t="s">
        <v>3946</v>
      </c>
      <c r="H894" t="s">
        <v>187</v>
      </c>
      <c r="I894" t="s">
        <v>2616</v>
      </c>
      <c r="J894">
        <v>1</v>
      </c>
      <c r="K894">
        <v>172</v>
      </c>
    </row>
    <row r="895" spans="1:11" x14ac:dyDescent="0.2">
      <c r="A895" t="s">
        <v>4196</v>
      </c>
      <c r="B895">
        <v>171335</v>
      </c>
      <c r="C895" t="s">
        <v>2132</v>
      </c>
      <c r="D895" t="s">
        <v>4231</v>
      </c>
      <c r="E895" t="s">
        <v>187</v>
      </c>
      <c r="F895" t="s">
        <v>187</v>
      </c>
      <c r="G895" t="s">
        <v>3955</v>
      </c>
      <c r="H895" t="s">
        <v>187</v>
      </c>
      <c r="I895" t="s">
        <v>2616</v>
      </c>
      <c r="J895">
        <v>1</v>
      </c>
      <c r="K895">
        <v>152</v>
      </c>
    </row>
    <row r="896" spans="1:11" x14ac:dyDescent="0.2">
      <c r="A896" t="s">
        <v>4196</v>
      </c>
      <c r="B896">
        <v>178014</v>
      </c>
      <c r="C896" t="s">
        <v>2168</v>
      </c>
      <c r="D896" t="s">
        <v>4215</v>
      </c>
      <c r="E896" t="s">
        <v>187</v>
      </c>
      <c r="F896" t="s">
        <v>187</v>
      </c>
      <c r="G896" t="s">
        <v>4020</v>
      </c>
      <c r="H896" t="s">
        <v>187</v>
      </c>
      <c r="I896" t="s">
        <v>2616</v>
      </c>
      <c r="J896">
        <v>1</v>
      </c>
      <c r="K896">
        <v>227</v>
      </c>
    </row>
    <row r="897" spans="1:11" x14ac:dyDescent="0.2">
      <c r="A897" t="s">
        <v>4196</v>
      </c>
      <c r="B897">
        <v>170144</v>
      </c>
      <c r="C897" t="s">
        <v>2051</v>
      </c>
      <c r="D897" t="s">
        <v>4267</v>
      </c>
      <c r="E897" t="s">
        <v>187</v>
      </c>
      <c r="F897" t="s">
        <v>187</v>
      </c>
      <c r="G897" t="s">
        <v>3765</v>
      </c>
      <c r="H897" t="s">
        <v>187</v>
      </c>
      <c r="I897" t="s">
        <v>2616</v>
      </c>
      <c r="J897">
        <v>1</v>
      </c>
      <c r="K897">
        <v>150</v>
      </c>
    </row>
    <row r="898" spans="1:11" x14ac:dyDescent="0.2">
      <c r="A898" t="s">
        <v>4196</v>
      </c>
      <c r="B898">
        <v>173033</v>
      </c>
      <c r="C898" t="s">
        <v>2152</v>
      </c>
      <c r="D898" t="s">
        <v>4230</v>
      </c>
      <c r="E898" t="s">
        <v>187</v>
      </c>
      <c r="F898" t="s">
        <v>187</v>
      </c>
      <c r="G898" t="s">
        <v>3946</v>
      </c>
      <c r="H898" t="s">
        <v>187</v>
      </c>
      <c r="I898" t="s">
        <v>2616</v>
      </c>
      <c r="J898">
        <v>1</v>
      </c>
      <c r="K898">
        <v>378</v>
      </c>
    </row>
    <row r="899" spans="1:11" x14ac:dyDescent="0.2">
      <c r="A899" t="s">
        <v>4196</v>
      </c>
      <c r="B899">
        <v>170168</v>
      </c>
      <c r="C899" t="s">
        <v>2057</v>
      </c>
      <c r="D899" t="s">
        <v>4327</v>
      </c>
      <c r="E899" t="s">
        <v>187</v>
      </c>
      <c r="F899" t="s">
        <v>187</v>
      </c>
      <c r="G899" t="s">
        <v>4020</v>
      </c>
      <c r="H899" t="s">
        <v>187</v>
      </c>
      <c r="I899" t="s">
        <v>2616</v>
      </c>
      <c r="J899">
        <v>1</v>
      </c>
      <c r="K899">
        <v>144</v>
      </c>
    </row>
    <row r="900" spans="1:11" x14ac:dyDescent="0.2">
      <c r="A900" t="s">
        <v>4196</v>
      </c>
      <c r="B900">
        <v>170276</v>
      </c>
      <c r="C900" t="s">
        <v>842</v>
      </c>
      <c r="D900" t="s">
        <v>4339</v>
      </c>
      <c r="E900" t="s">
        <v>187</v>
      </c>
      <c r="F900" t="s">
        <v>187</v>
      </c>
      <c r="G900" t="s">
        <v>3946</v>
      </c>
      <c r="H900" t="s">
        <v>187</v>
      </c>
      <c r="I900" t="s">
        <v>2666</v>
      </c>
      <c r="J900">
        <v>1</v>
      </c>
      <c r="K900">
        <v>17</v>
      </c>
    </row>
    <row r="901" spans="1:11" x14ac:dyDescent="0.2">
      <c r="A901" t="s">
        <v>4196</v>
      </c>
      <c r="B901">
        <v>170277</v>
      </c>
      <c r="C901" t="s">
        <v>843</v>
      </c>
      <c r="D901" t="s">
        <v>4206</v>
      </c>
      <c r="E901" t="s">
        <v>187</v>
      </c>
      <c r="F901" t="s">
        <v>187</v>
      </c>
      <c r="G901" t="s">
        <v>3946</v>
      </c>
      <c r="H901" t="s">
        <v>187</v>
      </c>
      <c r="I901" t="s">
        <v>2666</v>
      </c>
      <c r="J901">
        <v>1</v>
      </c>
      <c r="K901">
        <v>94</v>
      </c>
    </row>
    <row r="902" spans="1:11" x14ac:dyDescent="0.2">
      <c r="A902" t="s">
        <v>4196</v>
      </c>
      <c r="B902">
        <v>170914</v>
      </c>
      <c r="C902" t="s">
        <v>2485</v>
      </c>
      <c r="D902" t="s">
        <v>4288</v>
      </c>
      <c r="E902" t="s">
        <v>187</v>
      </c>
      <c r="F902" t="s">
        <v>187</v>
      </c>
      <c r="G902" t="s">
        <v>3765</v>
      </c>
      <c r="H902" t="s">
        <v>187</v>
      </c>
      <c r="I902" t="s">
        <v>2666</v>
      </c>
      <c r="J902">
        <v>1</v>
      </c>
      <c r="K902">
        <v>18</v>
      </c>
    </row>
    <row r="903" spans="1:11" x14ac:dyDescent="0.2">
      <c r="A903" t="s">
        <v>4196</v>
      </c>
      <c r="B903">
        <v>173062</v>
      </c>
      <c r="C903" t="s">
        <v>2157</v>
      </c>
      <c r="D903" t="s">
        <v>4349</v>
      </c>
      <c r="E903" t="s">
        <v>2634</v>
      </c>
      <c r="F903" t="s">
        <v>187</v>
      </c>
      <c r="G903" t="s">
        <v>3946</v>
      </c>
      <c r="H903" t="s">
        <v>2634</v>
      </c>
      <c r="I903" t="s">
        <v>2616</v>
      </c>
      <c r="J903">
        <v>1</v>
      </c>
      <c r="K903">
        <v>259</v>
      </c>
    </row>
    <row r="904" spans="1:11" x14ac:dyDescent="0.2">
      <c r="A904" t="s">
        <v>4196</v>
      </c>
      <c r="B904">
        <v>170092</v>
      </c>
      <c r="C904" t="s">
        <v>2031</v>
      </c>
      <c r="D904" t="s">
        <v>4298</v>
      </c>
      <c r="E904" t="s">
        <v>187</v>
      </c>
      <c r="F904" t="s">
        <v>187</v>
      </c>
      <c r="G904" t="s">
        <v>3946</v>
      </c>
      <c r="H904" t="s">
        <v>187</v>
      </c>
      <c r="I904" t="s">
        <v>2616</v>
      </c>
      <c r="J904">
        <v>1</v>
      </c>
      <c r="K904">
        <v>183</v>
      </c>
    </row>
    <row r="905" spans="1:11" x14ac:dyDescent="0.2">
      <c r="A905" t="s">
        <v>4196</v>
      </c>
      <c r="B905">
        <v>170230</v>
      </c>
      <c r="C905" t="s">
        <v>2087</v>
      </c>
      <c r="D905" t="s">
        <v>4310</v>
      </c>
      <c r="E905" t="s">
        <v>187</v>
      </c>
      <c r="F905" t="s">
        <v>187</v>
      </c>
      <c r="G905" t="s">
        <v>3946</v>
      </c>
      <c r="H905" t="s">
        <v>187</v>
      </c>
      <c r="I905" t="s">
        <v>2616</v>
      </c>
      <c r="J905">
        <v>1</v>
      </c>
      <c r="K905">
        <v>139</v>
      </c>
    </row>
    <row r="906" spans="1:11" x14ac:dyDescent="0.2">
      <c r="A906" t="s">
        <v>4196</v>
      </c>
      <c r="B906">
        <v>170916</v>
      </c>
      <c r="C906" t="s">
        <v>1382</v>
      </c>
      <c r="D906" t="s">
        <v>4304</v>
      </c>
      <c r="E906" t="s">
        <v>187</v>
      </c>
      <c r="F906" t="s">
        <v>187</v>
      </c>
      <c r="G906" t="s">
        <v>3765</v>
      </c>
      <c r="H906" t="s">
        <v>187</v>
      </c>
      <c r="I906" t="s">
        <v>2666</v>
      </c>
      <c r="J906">
        <v>1</v>
      </c>
      <c r="K906">
        <v>21</v>
      </c>
    </row>
    <row r="907" spans="1:11" x14ac:dyDescent="0.2">
      <c r="A907" t="s">
        <v>4196</v>
      </c>
      <c r="B907">
        <v>178010</v>
      </c>
      <c r="C907" t="s">
        <v>2167</v>
      </c>
      <c r="D907" t="s">
        <v>4358</v>
      </c>
      <c r="E907" t="s">
        <v>187</v>
      </c>
      <c r="F907" t="s">
        <v>187</v>
      </c>
      <c r="G907" t="s">
        <v>4020</v>
      </c>
      <c r="H907" t="s">
        <v>187</v>
      </c>
      <c r="I907" t="s">
        <v>2616</v>
      </c>
      <c r="J907">
        <v>1</v>
      </c>
      <c r="K907">
        <v>102</v>
      </c>
    </row>
    <row r="908" spans="1:11" x14ac:dyDescent="0.2">
      <c r="A908" t="s">
        <v>4196</v>
      </c>
      <c r="B908">
        <v>171346</v>
      </c>
      <c r="C908" t="s">
        <v>2135</v>
      </c>
      <c r="D908" t="s">
        <v>4293</v>
      </c>
      <c r="E908" t="s">
        <v>187</v>
      </c>
      <c r="F908" t="s">
        <v>187</v>
      </c>
      <c r="G908" t="s">
        <v>4194</v>
      </c>
      <c r="H908" t="s">
        <v>187</v>
      </c>
      <c r="I908" t="s">
        <v>2616</v>
      </c>
      <c r="J908">
        <v>1</v>
      </c>
      <c r="K908">
        <v>189</v>
      </c>
    </row>
    <row r="909" spans="1:11" x14ac:dyDescent="0.2">
      <c r="A909" t="s">
        <v>4196</v>
      </c>
      <c r="B909">
        <v>170023</v>
      </c>
      <c r="C909" t="s">
        <v>1985</v>
      </c>
      <c r="D909" t="s">
        <v>4236</v>
      </c>
      <c r="E909" t="s">
        <v>187</v>
      </c>
      <c r="F909" t="s">
        <v>187</v>
      </c>
      <c r="G909" t="s">
        <v>4207</v>
      </c>
      <c r="H909" t="s">
        <v>187</v>
      </c>
      <c r="I909" t="s">
        <v>2616</v>
      </c>
      <c r="J909">
        <v>1</v>
      </c>
      <c r="K909">
        <v>277</v>
      </c>
    </row>
    <row r="910" spans="1:11" x14ac:dyDescent="0.2">
      <c r="A910" t="s">
        <v>4196</v>
      </c>
      <c r="B910">
        <v>178100</v>
      </c>
      <c r="C910" t="s">
        <v>2172</v>
      </c>
      <c r="D910" t="s">
        <v>4350</v>
      </c>
      <c r="E910" t="s">
        <v>187</v>
      </c>
      <c r="F910" t="s">
        <v>187</v>
      </c>
      <c r="G910" t="s">
        <v>4199</v>
      </c>
      <c r="H910" t="s">
        <v>187</v>
      </c>
      <c r="I910" t="s">
        <v>2616</v>
      </c>
      <c r="J910">
        <v>1</v>
      </c>
      <c r="K910">
        <v>50</v>
      </c>
    </row>
    <row r="911" spans="1:11" x14ac:dyDescent="0.2">
      <c r="A911" t="s">
        <v>4196</v>
      </c>
      <c r="B911">
        <v>170183</v>
      </c>
      <c r="C911" t="s">
        <v>2063</v>
      </c>
      <c r="D911" t="s">
        <v>4224</v>
      </c>
      <c r="E911" t="s">
        <v>187</v>
      </c>
      <c r="F911" t="s">
        <v>187</v>
      </c>
      <c r="G911" t="s">
        <v>3946</v>
      </c>
      <c r="H911" t="s">
        <v>187</v>
      </c>
      <c r="I911" t="s">
        <v>2616</v>
      </c>
      <c r="J911">
        <v>1</v>
      </c>
      <c r="K911">
        <v>522</v>
      </c>
    </row>
    <row r="912" spans="1:11" x14ac:dyDescent="0.2">
      <c r="A912" t="s">
        <v>4196</v>
      </c>
      <c r="B912">
        <v>170208</v>
      </c>
      <c r="C912" t="s">
        <v>2079</v>
      </c>
      <c r="D912" t="s">
        <v>4344</v>
      </c>
      <c r="E912" t="s">
        <v>187</v>
      </c>
      <c r="F912" t="s">
        <v>187</v>
      </c>
      <c r="G912" t="s">
        <v>4207</v>
      </c>
      <c r="H912" t="s">
        <v>187</v>
      </c>
      <c r="I912" t="s">
        <v>2616</v>
      </c>
      <c r="J912">
        <v>1</v>
      </c>
      <c r="K912">
        <v>238</v>
      </c>
    </row>
    <row r="913" spans="1:11" x14ac:dyDescent="0.2">
      <c r="A913" t="s">
        <v>4196</v>
      </c>
      <c r="B913">
        <v>28006</v>
      </c>
      <c r="C913" t="s">
        <v>1559</v>
      </c>
      <c r="D913" t="s">
        <v>4203</v>
      </c>
      <c r="E913" t="s">
        <v>281</v>
      </c>
      <c r="F913" t="s">
        <v>281</v>
      </c>
      <c r="G913" t="s">
        <v>2793</v>
      </c>
      <c r="H913" t="s">
        <v>281</v>
      </c>
      <c r="I913" t="s">
        <v>2616</v>
      </c>
      <c r="J913">
        <v>1</v>
      </c>
      <c r="K913">
        <v>1343</v>
      </c>
    </row>
    <row r="914" spans="1:11" x14ac:dyDescent="0.2">
      <c r="A914" t="s">
        <v>4196</v>
      </c>
      <c r="B914">
        <v>170146</v>
      </c>
      <c r="C914" t="s">
        <v>2052</v>
      </c>
      <c r="D914" t="s">
        <v>4301</v>
      </c>
      <c r="E914" t="s">
        <v>187</v>
      </c>
      <c r="F914" t="s">
        <v>187</v>
      </c>
      <c r="G914" t="s">
        <v>3955</v>
      </c>
      <c r="H914" t="s">
        <v>187</v>
      </c>
      <c r="I914" t="s">
        <v>2616</v>
      </c>
      <c r="J914">
        <v>1</v>
      </c>
      <c r="K914">
        <v>94</v>
      </c>
    </row>
    <row r="915" spans="1:11" x14ac:dyDescent="0.2">
      <c r="A915" t="s">
        <v>4196</v>
      </c>
      <c r="B915">
        <v>170299</v>
      </c>
      <c r="C915" t="s">
        <v>2100</v>
      </c>
      <c r="D915" t="s">
        <v>4221</v>
      </c>
      <c r="E915" t="s">
        <v>187</v>
      </c>
      <c r="F915" t="s">
        <v>187</v>
      </c>
      <c r="G915" t="s">
        <v>3946</v>
      </c>
      <c r="H915" t="s">
        <v>187</v>
      </c>
      <c r="I915" t="s">
        <v>2616</v>
      </c>
      <c r="J915">
        <v>1</v>
      </c>
      <c r="K915">
        <v>78</v>
      </c>
    </row>
    <row r="916" spans="1:11" x14ac:dyDescent="0.2">
      <c r="A916" t="s">
        <v>4196</v>
      </c>
      <c r="B916">
        <v>170091</v>
      </c>
      <c r="C916" t="s">
        <v>2030</v>
      </c>
      <c r="D916" t="s">
        <v>4219</v>
      </c>
      <c r="E916" t="s">
        <v>187</v>
      </c>
      <c r="F916" t="s">
        <v>187</v>
      </c>
      <c r="G916" t="s">
        <v>3946</v>
      </c>
      <c r="H916" t="s">
        <v>187</v>
      </c>
      <c r="I916" t="s">
        <v>2616</v>
      </c>
      <c r="J916">
        <v>1</v>
      </c>
      <c r="K916">
        <v>216</v>
      </c>
    </row>
    <row r="917" spans="1:11" x14ac:dyDescent="0.2">
      <c r="A917" t="s">
        <v>4196</v>
      </c>
      <c r="B917">
        <v>170079</v>
      </c>
      <c r="C917" t="s">
        <v>2019</v>
      </c>
      <c r="D917" t="s">
        <v>4272</v>
      </c>
      <c r="E917" t="s">
        <v>187</v>
      </c>
      <c r="F917" t="s">
        <v>187</v>
      </c>
      <c r="G917" t="s">
        <v>3946</v>
      </c>
      <c r="H917" t="s">
        <v>187</v>
      </c>
      <c r="I917" t="s">
        <v>2616</v>
      </c>
      <c r="J917">
        <v>1</v>
      </c>
      <c r="K917">
        <v>146</v>
      </c>
    </row>
    <row r="918" spans="1:11" x14ac:dyDescent="0.2">
      <c r="A918" t="s">
        <v>4196</v>
      </c>
      <c r="B918">
        <v>170182</v>
      </c>
      <c r="C918" t="s">
        <v>2062</v>
      </c>
      <c r="D918" t="s">
        <v>4262</v>
      </c>
      <c r="E918" t="s">
        <v>187</v>
      </c>
      <c r="F918" t="s">
        <v>187</v>
      </c>
      <c r="G918" t="s">
        <v>3946</v>
      </c>
      <c r="H918" t="s">
        <v>187</v>
      </c>
      <c r="I918" t="s">
        <v>2616</v>
      </c>
      <c r="J918">
        <v>1</v>
      </c>
      <c r="K918">
        <v>10</v>
      </c>
    </row>
    <row r="919" spans="1:11" x14ac:dyDescent="0.2">
      <c r="A919" t="s">
        <v>4196</v>
      </c>
      <c r="B919">
        <v>170212</v>
      </c>
      <c r="C919" t="s">
        <v>2082</v>
      </c>
      <c r="D919" t="s">
        <v>4266</v>
      </c>
      <c r="E919" t="s">
        <v>187</v>
      </c>
      <c r="F919" t="s">
        <v>187</v>
      </c>
      <c r="G919" t="s">
        <v>3955</v>
      </c>
      <c r="H919" t="s">
        <v>187</v>
      </c>
      <c r="I919" t="s">
        <v>2616</v>
      </c>
      <c r="J919">
        <v>1</v>
      </c>
      <c r="K919">
        <v>150</v>
      </c>
    </row>
    <row r="920" spans="1:11" x14ac:dyDescent="0.2">
      <c r="A920" t="s">
        <v>4196</v>
      </c>
      <c r="B920">
        <v>170033</v>
      </c>
      <c r="C920" t="s">
        <v>1991</v>
      </c>
      <c r="D920" t="s">
        <v>4336</v>
      </c>
      <c r="E920" t="s">
        <v>187</v>
      </c>
      <c r="F920" t="s">
        <v>187</v>
      </c>
      <c r="G920" t="s">
        <v>3946</v>
      </c>
      <c r="H920" t="s">
        <v>187</v>
      </c>
      <c r="I920" t="s">
        <v>2616</v>
      </c>
      <c r="J920">
        <v>1</v>
      </c>
      <c r="K920">
        <v>178</v>
      </c>
    </row>
    <row r="921" spans="1:11" x14ac:dyDescent="0.2">
      <c r="A921" t="s">
        <v>4196</v>
      </c>
      <c r="B921">
        <v>170199</v>
      </c>
      <c r="C921" t="s">
        <v>2074</v>
      </c>
      <c r="D921" t="s">
        <v>4283</v>
      </c>
      <c r="E921" t="s">
        <v>187</v>
      </c>
      <c r="F921" t="s">
        <v>187</v>
      </c>
      <c r="G921" t="s">
        <v>3946</v>
      </c>
      <c r="H921" t="s">
        <v>187</v>
      </c>
      <c r="I921" t="s">
        <v>2616</v>
      </c>
      <c r="J921">
        <v>1</v>
      </c>
      <c r="K921">
        <v>68</v>
      </c>
    </row>
    <row r="922" spans="1:11" x14ac:dyDescent="0.2">
      <c r="A922" t="s">
        <v>4196</v>
      </c>
      <c r="B922">
        <v>178000</v>
      </c>
      <c r="C922" t="s">
        <v>2161</v>
      </c>
      <c r="D922" t="s">
        <v>4329</v>
      </c>
      <c r="E922" t="s">
        <v>187</v>
      </c>
      <c r="F922" t="s">
        <v>187</v>
      </c>
      <c r="G922" t="s">
        <v>4199</v>
      </c>
      <c r="H922" t="s">
        <v>187</v>
      </c>
      <c r="I922" t="s">
        <v>2616</v>
      </c>
      <c r="J922">
        <v>1</v>
      </c>
      <c r="K922">
        <v>5104.3</v>
      </c>
    </row>
    <row r="923" spans="1:11" x14ac:dyDescent="0.2">
      <c r="A923" t="s">
        <v>4196</v>
      </c>
      <c r="B923">
        <v>170121</v>
      </c>
      <c r="C923" t="s">
        <v>2045</v>
      </c>
      <c r="D923" t="s">
        <v>4261</v>
      </c>
      <c r="E923" t="s">
        <v>187</v>
      </c>
      <c r="F923" t="s">
        <v>187</v>
      </c>
      <c r="G923" t="s">
        <v>3946</v>
      </c>
      <c r="H923" t="s">
        <v>187</v>
      </c>
      <c r="I923" t="s">
        <v>2616</v>
      </c>
      <c r="J923">
        <v>1</v>
      </c>
      <c r="K923">
        <v>160</v>
      </c>
    </row>
    <row r="924" spans="1:11" x14ac:dyDescent="0.2">
      <c r="A924" t="s">
        <v>4196</v>
      </c>
      <c r="B924">
        <v>170291</v>
      </c>
      <c r="C924" t="s">
        <v>846</v>
      </c>
      <c r="D924" t="s">
        <v>4205</v>
      </c>
      <c r="E924" t="s">
        <v>187</v>
      </c>
      <c r="F924" t="s">
        <v>187</v>
      </c>
      <c r="G924" t="s">
        <v>3946</v>
      </c>
      <c r="H924" t="s">
        <v>187</v>
      </c>
      <c r="I924" t="s">
        <v>2666</v>
      </c>
      <c r="J924">
        <v>1</v>
      </c>
      <c r="K924">
        <v>92</v>
      </c>
    </row>
    <row r="925" spans="1:11" x14ac:dyDescent="0.2">
      <c r="A925" t="s">
        <v>4196</v>
      </c>
      <c r="B925">
        <v>178001</v>
      </c>
      <c r="C925" t="s">
        <v>2162</v>
      </c>
      <c r="D925" t="s">
        <v>4263</v>
      </c>
      <c r="E925" t="s">
        <v>187</v>
      </c>
      <c r="F925" t="s">
        <v>187</v>
      </c>
      <c r="G925" t="s">
        <v>4199</v>
      </c>
      <c r="H925" t="s">
        <v>187</v>
      </c>
      <c r="I925" t="s">
        <v>2616</v>
      </c>
      <c r="J925">
        <v>1</v>
      </c>
      <c r="K925">
        <v>158</v>
      </c>
    </row>
    <row r="926" spans="1:11" x14ac:dyDescent="0.2">
      <c r="A926" t="s">
        <v>4196</v>
      </c>
      <c r="B926">
        <v>178005</v>
      </c>
      <c r="C926" t="s">
        <v>2165</v>
      </c>
      <c r="D926" t="s">
        <v>4245</v>
      </c>
      <c r="E926" t="s">
        <v>187</v>
      </c>
      <c r="F926" t="s">
        <v>187</v>
      </c>
      <c r="G926" t="s">
        <v>4199</v>
      </c>
      <c r="H926" t="s">
        <v>187</v>
      </c>
      <c r="I926" t="s">
        <v>2616</v>
      </c>
      <c r="J926">
        <v>1</v>
      </c>
      <c r="K926">
        <v>111</v>
      </c>
    </row>
    <row r="927" spans="1:11" x14ac:dyDescent="0.2">
      <c r="A927" t="s">
        <v>4196</v>
      </c>
      <c r="B927">
        <v>170263</v>
      </c>
      <c r="C927" t="s">
        <v>1082</v>
      </c>
      <c r="D927" t="s">
        <v>4214</v>
      </c>
      <c r="E927" t="s">
        <v>187</v>
      </c>
      <c r="F927" t="s">
        <v>187</v>
      </c>
      <c r="G927" t="s">
        <v>3946</v>
      </c>
      <c r="H927" t="s">
        <v>187</v>
      </c>
      <c r="I927" t="s">
        <v>2666</v>
      </c>
      <c r="J927">
        <v>1</v>
      </c>
      <c r="K927">
        <v>30</v>
      </c>
    </row>
    <row r="928" spans="1:11" x14ac:dyDescent="0.2">
      <c r="A928" t="s">
        <v>4196</v>
      </c>
      <c r="B928">
        <v>170364</v>
      </c>
      <c r="C928" t="s">
        <v>2104</v>
      </c>
      <c r="D928" t="s">
        <v>4296</v>
      </c>
      <c r="E928" t="s">
        <v>187</v>
      </c>
      <c r="F928" t="s">
        <v>187</v>
      </c>
      <c r="G928" t="s">
        <v>3946</v>
      </c>
      <c r="H928" t="s">
        <v>187</v>
      </c>
      <c r="I928" t="s">
        <v>2616</v>
      </c>
      <c r="J928">
        <v>1</v>
      </c>
      <c r="K928">
        <v>355</v>
      </c>
    </row>
    <row r="929" spans="1:11" x14ac:dyDescent="0.2">
      <c r="A929" t="s">
        <v>4196</v>
      </c>
      <c r="B929">
        <v>170314</v>
      </c>
      <c r="C929" t="s">
        <v>2581</v>
      </c>
      <c r="D929" t="s">
        <v>4232</v>
      </c>
      <c r="E929" t="s">
        <v>187</v>
      </c>
      <c r="F929" t="s">
        <v>187</v>
      </c>
      <c r="G929" t="s">
        <v>3946</v>
      </c>
      <c r="H929" t="s">
        <v>187</v>
      </c>
      <c r="I929" t="s">
        <v>2666</v>
      </c>
      <c r="J929">
        <v>1</v>
      </c>
      <c r="K929">
        <v>12</v>
      </c>
    </row>
    <row r="930" spans="1:11" x14ac:dyDescent="0.2">
      <c r="A930" t="s">
        <v>4196</v>
      </c>
      <c r="B930">
        <v>170106</v>
      </c>
      <c r="C930" t="s">
        <v>2040</v>
      </c>
      <c r="D930" t="s">
        <v>4307</v>
      </c>
      <c r="E930" t="s">
        <v>187</v>
      </c>
      <c r="F930" t="s">
        <v>187</v>
      </c>
      <c r="G930" t="s">
        <v>3946</v>
      </c>
      <c r="H930" t="s">
        <v>187</v>
      </c>
      <c r="I930" t="s">
        <v>2616</v>
      </c>
      <c r="J930">
        <v>1</v>
      </c>
      <c r="K930">
        <v>49</v>
      </c>
    </row>
    <row r="931" spans="1:11" x14ac:dyDescent="0.2">
      <c r="A931" t="s">
        <v>4196</v>
      </c>
      <c r="B931">
        <v>171322</v>
      </c>
      <c r="C931" t="s">
        <v>2125</v>
      </c>
      <c r="D931" t="s">
        <v>4201</v>
      </c>
      <c r="E931" t="s">
        <v>187</v>
      </c>
      <c r="F931" t="s">
        <v>187</v>
      </c>
      <c r="G931" t="s">
        <v>4194</v>
      </c>
      <c r="H931" t="s">
        <v>187</v>
      </c>
      <c r="I931" t="s">
        <v>2616</v>
      </c>
      <c r="J931">
        <v>1</v>
      </c>
      <c r="K931">
        <v>498</v>
      </c>
    </row>
    <row r="932" spans="1:11" x14ac:dyDescent="0.2">
      <c r="A932" t="s">
        <v>4196</v>
      </c>
      <c r="B932">
        <v>178021</v>
      </c>
      <c r="C932" t="s">
        <v>2171</v>
      </c>
      <c r="D932" t="s">
        <v>4291</v>
      </c>
      <c r="E932" t="s">
        <v>187</v>
      </c>
      <c r="F932" t="s">
        <v>187</v>
      </c>
      <c r="G932" t="s">
        <v>4020</v>
      </c>
      <c r="H932" t="s">
        <v>187</v>
      </c>
      <c r="I932" t="s">
        <v>2616</v>
      </c>
      <c r="J932">
        <v>1</v>
      </c>
      <c r="K932">
        <v>90</v>
      </c>
    </row>
    <row r="933" spans="1:11" x14ac:dyDescent="0.2">
      <c r="A933" t="s">
        <v>4196</v>
      </c>
      <c r="B933">
        <v>170087</v>
      </c>
      <c r="C933" t="s">
        <v>2026</v>
      </c>
      <c r="D933" t="s">
        <v>4318</v>
      </c>
      <c r="E933" t="s">
        <v>187</v>
      </c>
      <c r="F933" t="s">
        <v>187</v>
      </c>
      <c r="G933" t="s">
        <v>3946</v>
      </c>
      <c r="H933" t="s">
        <v>187</v>
      </c>
      <c r="I933" t="s">
        <v>2616</v>
      </c>
      <c r="J933">
        <v>1</v>
      </c>
      <c r="K933">
        <v>1399</v>
      </c>
    </row>
    <row r="934" spans="1:11" x14ac:dyDescent="0.2">
      <c r="A934" t="s">
        <v>4196</v>
      </c>
      <c r="B934">
        <v>170267</v>
      </c>
      <c r="C934" t="s">
        <v>839</v>
      </c>
      <c r="D934" t="s">
        <v>4340</v>
      </c>
      <c r="E934" t="s">
        <v>187</v>
      </c>
      <c r="F934" t="s">
        <v>187</v>
      </c>
      <c r="G934" t="s">
        <v>3946</v>
      </c>
      <c r="H934" t="s">
        <v>187</v>
      </c>
      <c r="I934" t="s">
        <v>2666</v>
      </c>
      <c r="J934">
        <v>1</v>
      </c>
      <c r="K934">
        <v>23</v>
      </c>
    </row>
    <row r="935" spans="1:11" x14ac:dyDescent="0.2">
      <c r="A935" t="s">
        <v>4196</v>
      </c>
      <c r="B935">
        <v>170040</v>
      </c>
      <c r="C935" t="s">
        <v>1998</v>
      </c>
      <c r="D935" t="s">
        <v>4285</v>
      </c>
      <c r="E935" t="s">
        <v>187</v>
      </c>
      <c r="F935" t="s">
        <v>187</v>
      </c>
      <c r="G935" t="s">
        <v>3955</v>
      </c>
      <c r="H935" t="s">
        <v>187</v>
      </c>
      <c r="I935" t="s">
        <v>2616</v>
      </c>
      <c r="J935">
        <v>1</v>
      </c>
      <c r="K935">
        <v>249</v>
      </c>
    </row>
    <row r="936" spans="1:11" x14ac:dyDescent="0.2">
      <c r="A936" t="s">
        <v>4196</v>
      </c>
      <c r="B936">
        <v>170080</v>
      </c>
      <c r="C936" t="s">
        <v>2020</v>
      </c>
      <c r="D936" t="s">
        <v>4240</v>
      </c>
      <c r="E936" t="s">
        <v>187</v>
      </c>
      <c r="F936" t="s">
        <v>187</v>
      </c>
      <c r="G936" t="s">
        <v>3946</v>
      </c>
      <c r="H936" t="s">
        <v>187</v>
      </c>
      <c r="I936" t="s">
        <v>2616</v>
      </c>
      <c r="J936">
        <v>1</v>
      </c>
      <c r="K936">
        <v>120</v>
      </c>
    </row>
    <row r="937" spans="1:11" x14ac:dyDescent="0.2">
      <c r="A937" t="s">
        <v>4196</v>
      </c>
      <c r="B937">
        <v>170293</v>
      </c>
      <c r="C937" t="s">
        <v>847</v>
      </c>
      <c r="D937" t="s">
        <v>4333</v>
      </c>
      <c r="E937" t="s">
        <v>187</v>
      </c>
      <c r="F937" t="s">
        <v>187</v>
      </c>
      <c r="G937" t="s">
        <v>3946</v>
      </c>
      <c r="H937" t="s">
        <v>187</v>
      </c>
      <c r="I937" t="s">
        <v>2666</v>
      </c>
      <c r="J937">
        <v>1</v>
      </c>
      <c r="K937">
        <v>3336.14</v>
      </c>
    </row>
    <row r="938" spans="1:11" x14ac:dyDescent="0.2">
      <c r="A938" t="s">
        <v>4196</v>
      </c>
      <c r="B938">
        <v>170074</v>
      </c>
      <c r="C938" t="s">
        <v>2015</v>
      </c>
      <c r="D938" t="s">
        <v>4347</v>
      </c>
      <c r="E938" t="s">
        <v>187</v>
      </c>
      <c r="F938" t="s">
        <v>187</v>
      </c>
      <c r="G938" t="s">
        <v>3946</v>
      </c>
      <c r="H938" t="s">
        <v>187</v>
      </c>
      <c r="I938" t="s">
        <v>2616</v>
      </c>
      <c r="J938">
        <v>1</v>
      </c>
      <c r="K938">
        <v>90</v>
      </c>
    </row>
    <row r="939" spans="1:11" x14ac:dyDescent="0.2">
      <c r="A939" t="s">
        <v>4196</v>
      </c>
      <c r="B939">
        <v>172049</v>
      </c>
      <c r="C939" t="s">
        <v>2148</v>
      </c>
      <c r="D939" t="s">
        <v>4342</v>
      </c>
      <c r="E939" t="s">
        <v>187</v>
      </c>
      <c r="F939" t="s">
        <v>187</v>
      </c>
      <c r="G939" t="s">
        <v>3946</v>
      </c>
      <c r="H939" t="s">
        <v>187</v>
      </c>
      <c r="I939" t="s">
        <v>2616</v>
      </c>
      <c r="J939">
        <v>1</v>
      </c>
      <c r="K939">
        <v>44</v>
      </c>
    </row>
    <row r="940" spans="1:11" x14ac:dyDescent="0.2">
      <c r="A940" t="s">
        <v>4196</v>
      </c>
      <c r="B940">
        <v>171412</v>
      </c>
      <c r="C940" t="s">
        <v>862</v>
      </c>
      <c r="D940" t="s">
        <v>4273</v>
      </c>
      <c r="E940" t="s">
        <v>187</v>
      </c>
      <c r="F940" t="s">
        <v>187</v>
      </c>
      <c r="G940" t="s">
        <v>3946</v>
      </c>
      <c r="H940" t="s">
        <v>187</v>
      </c>
      <c r="I940" t="s">
        <v>2666</v>
      </c>
      <c r="J940">
        <v>1</v>
      </c>
      <c r="K940">
        <v>5</v>
      </c>
    </row>
    <row r="941" spans="1:11" x14ac:dyDescent="0.2">
      <c r="A941" t="s">
        <v>4196</v>
      </c>
      <c r="B941">
        <v>170257</v>
      </c>
      <c r="C941" t="s">
        <v>836</v>
      </c>
      <c r="D941" t="s">
        <v>4218</v>
      </c>
      <c r="E941" t="s">
        <v>187</v>
      </c>
      <c r="F941" t="s">
        <v>187</v>
      </c>
      <c r="G941" t="s">
        <v>3946</v>
      </c>
      <c r="H941" t="s">
        <v>187</v>
      </c>
      <c r="I941" t="s">
        <v>2666</v>
      </c>
      <c r="J941">
        <v>1</v>
      </c>
      <c r="K941">
        <v>10</v>
      </c>
    </row>
    <row r="942" spans="1:11" x14ac:dyDescent="0.2">
      <c r="A942" t="s">
        <v>4196</v>
      </c>
      <c r="B942">
        <v>170151</v>
      </c>
      <c r="C942" t="s">
        <v>2053</v>
      </c>
      <c r="D942" t="s">
        <v>4257</v>
      </c>
      <c r="E942" t="s">
        <v>187</v>
      </c>
      <c r="F942" t="s">
        <v>187</v>
      </c>
      <c r="G942" t="s">
        <v>3946</v>
      </c>
      <c r="H942" t="s">
        <v>187</v>
      </c>
      <c r="I942" t="s">
        <v>2616</v>
      </c>
      <c r="J942">
        <v>1</v>
      </c>
      <c r="K942">
        <v>435.5</v>
      </c>
    </row>
    <row r="943" spans="1:11" x14ac:dyDescent="0.2">
      <c r="A943" t="s">
        <v>4196</v>
      </c>
      <c r="B943">
        <v>170069</v>
      </c>
      <c r="C943" t="s">
        <v>2011</v>
      </c>
      <c r="D943" t="s">
        <v>4270</v>
      </c>
      <c r="E943" t="s">
        <v>187</v>
      </c>
      <c r="F943" t="s">
        <v>187</v>
      </c>
      <c r="G943" t="s">
        <v>3946</v>
      </c>
      <c r="H943" t="s">
        <v>187</v>
      </c>
      <c r="I943" t="s">
        <v>2616</v>
      </c>
      <c r="J943">
        <v>1</v>
      </c>
      <c r="K943">
        <v>149</v>
      </c>
    </row>
    <row r="944" spans="1:11" x14ac:dyDescent="0.2">
      <c r="A944" t="s">
        <v>4196</v>
      </c>
      <c r="B944">
        <v>174102</v>
      </c>
      <c r="C944" t="s">
        <v>2160</v>
      </c>
      <c r="D944" t="s">
        <v>4208</v>
      </c>
      <c r="E944" t="s">
        <v>187</v>
      </c>
      <c r="F944" t="s">
        <v>187</v>
      </c>
      <c r="G944" t="s">
        <v>4207</v>
      </c>
      <c r="H944" t="s">
        <v>187</v>
      </c>
      <c r="I944" t="s">
        <v>2616</v>
      </c>
      <c r="J944">
        <v>1</v>
      </c>
      <c r="K944">
        <v>44</v>
      </c>
    </row>
    <row r="945" spans="1:11" x14ac:dyDescent="0.2">
      <c r="A945" t="s">
        <v>4196</v>
      </c>
      <c r="B945">
        <v>170039</v>
      </c>
      <c r="C945" t="s">
        <v>1997</v>
      </c>
      <c r="D945" t="s">
        <v>4248</v>
      </c>
      <c r="E945" t="s">
        <v>187</v>
      </c>
      <c r="F945" t="s">
        <v>187</v>
      </c>
      <c r="G945" t="s">
        <v>4194</v>
      </c>
      <c r="H945" t="s">
        <v>187</v>
      </c>
      <c r="I945" t="s">
        <v>2616</v>
      </c>
      <c r="J945">
        <v>1</v>
      </c>
      <c r="K945">
        <v>50</v>
      </c>
    </row>
    <row r="946" spans="1:11" x14ac:dyDescent="0.2">
      <c r="A946" t="s">
        <v>4196</v>
      </c>
      <c r="B946">
        <v>178013</v>
      </c>
      <c r="C946" t="s">
        <v>877</v>
      </c>
      <c r="D946" t="s">
        <v>4305</v>
      </c>
      <c r="E946" t="s">
        <v>187</v>
      </c>
      <c r="F946" t="s">
        <v>187</v>
      </c>
      <c r="G946" t="s">
        <v>4020</v>
      </c>
      <c r="H946" t="s">
        <v>187</v>
      </c>
      <c r="I946" t="s">
        <v>2666</v>
      </c>
      <c r="J946">
        <v>1</v>
      </c>
      <c r="K946">
        <v>10</v>
      </c>
    </row>
    <row r="947" spans="1:11" x14ac:dyDescent="0.2">
      <c r="A947" t="s">
        <v>4196</v>
      </c>
      <c r="B947">
        <v>171337</v>
      </c>
      <c r="C947" t="s">
        <v>2133</v>
      </c>
      <c r="D947" t="s">
        <v>4254</v>
      </c>
      <c r="E947" t="s">
        <v>187</v>
      </c>
      <c r="F947" t="s">
        <v>187</v>
      </c>
      <c r="G947" t="s">
        <v>3955</v>
      </c>
      <c r="H947" t="s">
        <v>187</v>
      </c>
      <c r="I947" t="s">
        <v>2616</v>
      </c>
      <c r="J947">
        <v>1</v>
      </c>
      <c r="K947">
        <v>288</v>
      </c>
    </row>
    <row r="948" spans="1:11" x14ac:dyDescent="0.2">
      <c r="A948" t="s">
        <v>4196</v>
      </c>
      <c r="B948">
        <v>170047</v>
      </c>
      <c r="C948" t="s">
        <v>2002</v>
      </c>
      <c r="D948" t="s">
        <v>4341</v>
      </c>
      <c r="E948" t="s">
        <v>187</v>
      </c>
      <c r="F948" t="s">
        <v>187</v>
      </c>
      <c r="G948" t="s">
        <v>3946</v>
      </c>
      <c r="H948" t="s">
        <v>187</v>
      </c>
      <c r="I948" t="s">
        <v>2616</v>
      </c>
      <c r="J948">
        <v>1</v>
      </c>
      <c r="K948">
        <v>102</v>
      </c>
    </row>
    <row r="949" spans="1:11" x14ac:dyDescent="0.2">
      <c r="A949" t="s">
        <v>4196</v>
      </c>
      <c r="B949">
        <v>170077</v>
      </c>
      <c r="C949" t="s">
        <v>2018</v>
      </c>
      <c r="D949" t="s">
        <v>4319</v>
      </c>
      <c r="E949" t="s">
        <v>187</v>
      </c>
      <c r="F949" t="s">
        <v>187</v>
      </c>
      <c r="G949" t="s">
        <v>4207</v>
      </c>
      <c r="H949" t="s">
        <v>187</v>
      </c>
      <c r="I949" t="s">
        <v>2616</v>
      </c>
      <c r="J949">
        <v>1</v>
      </c>
      <c r="K949">
        <v>89</v>
      </c>
    </row>
    <row r="950" spans="1:11" x14ac:dyDescent="0.2">
      <c r="A950" t="s">
        <v>4196</v>
      </c>
      <c r="B950">
        <v>170211</v>
      </c>
      <c r="C950" t="s">
        <v>2081</v>
      </c>
      <c r="D950" t="s">
        <v>4278</v>
      </c>
      <c r="E950" t="s">
        <v>187</v>
      </c>
      <c r="F950" t="s">
        <v>187</v>
      </c>
      <c r="G950" t="s">
        <v>3955</v>
      </c>
      <c r="H950" t="s">
        <v>187</v>
      </c>
      <c r="I950" t="s">
        <v>2616</v>
      </c>
      <c r="J950">
        <v>1</v>
      </c>
      <c r="K950">
        <v>176</v>
      </c>
    </row>
    <row r="951" spans="1:11" x14ac:dyDescent="0.2">
      <c r="A951" t="s">
        <v>4196</v>
      </c>
      <c r="B951">
        <v>172048</v>
      </c>
      <c r="C951" t="s">
        <v>2147</v>
      </c>
      <c r="D951" t="s">
        <v>4237</v>
      </c>
      <c r="E951" t="s">
        <v>187</v>
      </c>
      <c r="F951" t="s">
        <v>187</v>
      </c>
      <c r="G951" t="s">
        <v>3955</v>
      </c>
      <c r="H951" t="s">
        <v>187</v>
      </c>
      <c r="I951" t="s">
        <v>2616</v>
      </c>
      <c r="J951">
        <v>1</v>
      </c>
      <c r="K951">
        <v>17</v>
      </c>
    </row>
    <row r="952" spans="1:11" x14ac:dyDescent="0.2">
      <c r="A952" t="s">
        <v>4196</v>
      </c>
      <c r="B952">
        <v>173077</v>
      </c>
      <c r="C952" t="s">
        <v>2159</v>
      </c>
      <c r="D952" t="s">
        <v>4282</v>
      </c>
      <c r="E952" t="s">
        <v>187</v>
      </c>
      <c r="F952" t="s">
        <v>187</v>
      </c>
      <c r="G952" t="s">
        <v>3946</v>
      </c>
      <c r="H952" t="s">
        <v>187</v>
      </c>
      <c r="I952" t="s">
        <v>2616</v>
      </c>
      <c r="J952">
        <v>1</v>
      </c>
      <c r="K952">
        <v>41</v>
      </c>
    </row>
    <row r="953" spans="1:11" x14ac:dyDescent="0.2">
      <c r="A953" t="s">
        <v>4196</v>
      </c>
      <c r="B953">
        <v>170084</v>
      </c>
      <c r="C953" t="s">
        <v>2024</v>
      </c>
      <c r="D953" t="s">
        <v>4346</v>
      </c>
      <c r="E953" t="s">
        <v>187</v>
      </c>
      <c r="F953" t="s">
        <v>187</v>
      </c>
      <c r="G953" t="s">
        <v>3946</v>
      </c>
      <c r="H953" t="s">
        <v>187</v>
      </c>
      <c r="I953" t="s">
        <v>2616</v>
      </c>
      <c r="J953">
        <v>1</v>
      </c>
      <c r="K953">
        <v>95</v>
      </c>
    </row>
    <row r="954" spans="1:11" x14ac:dyDescent="0.2">
      <c r="A954" t="s">
        <v>4196</v>
      </c>
      <c r="B954">
        <v>170034</v>
      </c>
      <c r="C954" t="s">
        <v>1992</v>
      </c>
      <c r="D954" t="s">
        <v>4332</v>
      </c>
      <c r="E954" t="s">
        <v>187</v>
      </c>
      <c r="F954" t="s">
        <v>187</v>
      </c>
      <c r="G954" t="s">
        <v>3946</v>
      </c>
      <c r="H954" t="s">
        <v>187</v>
      </c>
      <c r="I954" t="s">
        <v>2616</v>
      </c>
      <c r="J954">
        <v>1</v>
      </c>
      <c r="K954">
        <v>195</v>
      </c>
    </row>
    <row r="955" spans="1:11" x14ac:dyDescent="0.2">
      <c r="A955" t="s">
        <v>4196</v>
      </c>
      <c r="B955">
        <v>170075</v>
      </c>
      <c r="C955" t="s">
        <v>2016</v>
      </c>
      <c r="D955" t="s">
        <v>4364</v>
      </c>
      <c r="E955" t="s">
        <v>187</v>
      </c>
      <c r="F955" t="s">
        <v>187</v>
      </c>
      <c r="G955" t="s">
        <v>3946</v>
      </c>
      <c r="H955" t="s">
        <v>187</v>
      </c>
      <c r="I955" t="s">
        <v>2616</v>
      </c>
      <c r="J955">
        <v>1</v>
      </c>
      <c r="K955">
        <v>239</v>
      </c>
    </row>
    <row r="956" spans="1:11" x14ac:dyDescent="0.2">
      <c r="A956" t="s">
        <v>4196</v>
      </c>
      <c r="B956">
        <v>170024</v>
      </c>
      <c r="C956" t="s">
        <v>1986</v>
      </c>
      <c r="D956" t="s">
        <v>4256</v>
      </c>
      <c r="E956" t="s">
        <v>187</v>
      </c>
      <c r="F956" t="s">
        <v>187</v>
      </c>
      <c r="G956" t="s">
        <v>3946</v>
      </c>
      <c r="H956" t="s">
        <v>187</v>
      </c>
      <c r="I956" t="s">
        <v>2616</v>
      </c>
      <c r="J956">
        <v>1</v>
      </c>
      <c r="K956">
        <v>114</v>
      </c>
    </row>
    <row r="957" spans="1:11" x14ac:dyDescent="0.2">
      <c r="A957" t="s">
        <v>4196</v>
      </c>
      <c r="B957">
        <v>170043</v>
      </c>
      <c r="C957" t="s">
        <v>2000</v>
      </c>
      <c r="D957" t="s">
        <v>4244</v>
      </c>
      <c r="E957" t="s">
        <v>187</v>
      </c>
      <c r="F957" t="s">
        <v>187</v>
      </c>
      <c r="G957" t="s">
        <v>3946</v>
      </c>
      <c r="H957" t="s">
        <v>187</v>
      </c>
      <c r="I957" t="s">
        <v>2616</v>
      </c>
      <c r="J957">
        <v>1</v>
      </c>
      <c r="K957">
        <v>510</v>
      </c>
    </row>
    <row r="958" spans="1:11" x14ac:dyDescent="0.2">
      <c r="A958" t="s">
        <v>4196</v>
      </c>
      <c r="B958">
        <v>178003</v>
      </c>
      <c r="C958" t="s">
        <v>2164</v>
      </c>
      <c r="D958" t="s">
        <v>4338</v>
      </c>
      <c r="E958" t="s">
        <v>187</v>
      </c>
      <c r="F958" t="s">
        <v>187</v>
      </c>
      <c r="G958" t="s">
        <v>4020</v>
      </c>
      <c r="H958" t="s">
        <v>187</v>
      </c>
      <c r="I958" t="s">
        <v>2616</v>
      </c>
      <c r="J958">
        <v>1</v>
      </c>
      <c r="K958">
        <v>249</v>
      </c>
    </row>
    <row r="959" spans="1:11" x14ac:dyDescent="0.2">
      <c r="A959" t="s">
        <v>4196</v>
      </c>
      <c r="B959">
        <v>170057</v>
      </c>
      <c r="C959" t="s">
        <v>2006</v>
      </c>
      <c r="D959" t="s">
        <v>4352</v>
      </c>
      <c r="E959" t="s">
        <v>187</v>
      </c>
      <c r="F959" t="s">
        <v>187</v>
      </c>
      <c r="G959" t="s">
        <v>3946</v>
      </c>
      <c r="H959" t="s">
        <v>187</v>
      </c>
      <c r="I959" t="s">
        <v>2616</v>
      </c>
      <c r="J959">
        <v>1</v>
      </c>
      <c r="K959">
        <v>155</v>
      </c>
    </row>
    <row r="960" spans="1:11" x14ac:dyDescent="0.2">
      <c r="A960" t="s">
        <v>4196</v>
      </c>
      <c r="B960">
        <v>170178</v>
      </c>
      <c r="C960" t="s">
        <v>2059</v>
      </c>
      <c r="D960" t="s">
        <v>4324</v>
      </c>
      <c r="E960" t="s">
        <v>187</v>
      </c>
      <c r="F960" t="s">
        <v>187</v>
      </c>
      <c r="G960" t="s">
        <v>4194</v>
      </c>
      <c r="H960" t="s">
        <v>187</v>
      </c>
      <c r="I960" t="s">
        <v>2616</v>
      </c>
      <c r="J960">
        <v>1</v>
      </c>
      <c r="K960">
        <v>89</v>
      </c>
    </row>
    <row r="961" spans="1:11" x14ac:dyDescent="0.2">
      <c r="A961" t="s">
        <v>4196</v>
      </c>
      <c r="B961">
        <v>172051</v>
      </c>
      <c r="C961" t="s">
        <v>2149</v>
      </c>
      <c r="D961" t="s">
        <v>4354</v>
      </c>
      <c r="E961" t="s">
        <v>187</v>
      </c>
      <c r="F961" t="s">
        <v>187</v>
      </c>
      <c r="G961" t="s">
        <v>3955</v>
      </c>
      <c r="H961" t="s">
        <v>187</v>
      </c>
      <c r="I961" t="s">
        <v>2616</v>
      </c>
      <c r="J961">
        <v>1</v>
      </c>
      <c r="K961">
        <v>356</v>
      </c>
    </row>
    <row r="962" spans="1:11" x14ac:dyDescent="0.2">
      <c r="A962" t="s">
        <v>4196</v>
      </c>
      <c r="B962">
        <v>170107</v>
      </c>
      <c r="C962" t="s">
        <v>2041</v>
      </c>
      <c r="D962" t="s">
        <v>4195</v>
      </c>
      <c r="E962" t="s">
        <v>187</v>
      </c>
      <c r="F962" t="s">
        <v>187</v>
      </c>
      <c r="G962" t="s">
        <v>4194</v>
      </c>
      <c r="H962" t="s">
        <v>187</v>
      </c>
      <c r="I962" t="s">
        <v>2616</v>
      </c>
      <c r="J962">
        <v>1</v>
      </c>
      <c r="K962">
        <v>70</v>
      </c>
    </row>
    <row r="963" spans="1:11" x14ac:dyDescent="0.2">
      <c r="A963" t="s">
        <v>4196</v>
      </c>
      <c r="B963">
        <v>171402</v>
      </c>
      <c r="C963" t="s">
        <v>2140</v>
      </c>
      <c r="D963" t="s">
        <v>4259</v>
      </c>
      <c r="E963" t="s">
        <v>187</v>
      </c>
      <c r="F963" t="s">
        <v>187</v>
      </c>
      <c r="G963" t="s">
        <v>3946</v>
      </c>
      <c r="H963" t="s">
        <v>187</v>
      </c>
      <c r="I963" t="s">
        <v>2616</v>
      </c>
      <c r="J963">
        <v>1</v>
      </c>
      <c r="K963">
        <v>424</v>
      </c>
    </row>
    <row r="964" spans="1:11" x14ac:dyDescent="0.2">
      <c r="A964" t="s">
        <v>4196</v>
      </c>
      <c r="B964">
        <v>170071</v>
      </c>
      <c r="C964" t="s">
        <v>2012</v>
      </c>
      <c r="D964" t="s">
        <v>4258</v>
      </c>
      <c r="E964" t="s">
        <v>187</v>
      </c>
      <c r="F964" t="s">
        <v>187</v>
      </c>
      <c r="G964" t="s">
        <v>3946</v>
      </c>
      <c r="H964" t="s">
        <v>187</v>
      </c>
      <c r="I964" t="s">
        <v>2616</v>
      </c>
      <c r="J964">
        <v>1</v>
      </c>
      <c r="K964">
        <v>40</v>
      </c>
    </row>
    <row r="965" spans="1:11" x14ac:dyDescent="0.2">
      <c r="A965" t="s">
        <v>4196</v>
      </c>
      <c r="B965">
        <v>173073</v>
      </c>
      <c r="C965" t="s">
        <v>872</v>
      </c>
      <c r="D965" t="s">
        <v>4251</v>
      </c>
      <c r="E965" t="s">
        <v>187</v>
      </c>
      <c r="F965" t="s">
        <v>187</v>
      </c>
      <c r="G965" t="s">
        <v>3946</v>
      </c>
      <c r="H965" t="s">
        <v>187</v>
      </c>
      <c r="I965" t="s">
        <v>2666</v>
      </c>
      <c r="J965">
        <v>1</v>
      </c>
      <c r="K965">
        <v>160</v>
      </c>
    </row>
    <row r="966" spans="1:11" x14ac:dyDescent="0.2">
      <c r="A966" t="s">
        <v>4196</v>
      </c>
      <c r="B966">
        <v>170917</v>
      </c>
      <c r="C966" t="s">
        <v>1091</v>
      </c>
      <c r="D966" t="s">
        <v>4306</v>
      </c>
      <c r="E966" t="s">
        <v>187</v>
      </c>
      <c r="F966" t="s">
        <v>187</v>
      </c>
      <c r="G966" t="s">
        <v>3765</v>
      </c>
      <c r="H966" t="s">
        <v>187</v>
      </c>
      <c r="I966" t="s">
        <v>2616</v>
      </c>
      <c r="J966">
        <v>1</v>
      </c>
      <c r="K966">
        <v>24</v>
      </c>
    </row>
    <row r="967" spans="1:11" x14ac:dyDescent="0.2">
      <c r="A967" t="s">
        <v>4196</v>
      </c>
      <c r="B967">
        <v>170310</v>
      </c>
      <c r="C967" t="s">
        <v>2102</v>
      </c>
      <c r="D967" t="s">
        <v>4217</v>
      </c>
      <c r="E967" t="s">
        <v>187</v>
      </c>
      <c r="F967" t="s">
        <v>187</v>
      </c>
      <c r="G967" t="s">
        <v>3946</v>
      </c>
      <c r="H967" t="s">
        <v>187</v>
      </c>
      <c r="I967" t="s">
        <v>2616</v>
      </c>
      <c r="J967">
        <v>1</v>
      </c>
      <c r="K967">
        <v>228</v>
      </c>
    </row>
    <row r="968" spans="1:11" x14ac:dyDescent="0.2">
      <c r="A968" t="s">
        <v>4196</v>
      </c>
      <c r="B968">
        <v>170261</v>
      </c>
      <c r="C968" t="s">
        <v>2096</v>
      </c>
      <c r="D968" t="s">
        <v>4210</v>
      </c>
      <c r="E968" t="s">
        <v>187</v>
      </c>
      <c r="F968" t="s">
        <v>187</v>
      </c>
      <c r="G968" t="s">
        <v>3946</v>
      </c>
      <c r="H968" t="s">
        <v>187</v>
      </c>
      <c r="I968" t="s">
        <v>2616</v>
      </c>
      <c r="J968">
        <v>1</v>
      </c>
      <c r="K968">
        <v>175</v>
      </c>
    </row>
    <row r="969" spans="1:11" x14ac:dyDescent="0.2">
      <c r="A969" t="s">
        <v>4196</v>
      </c>
      <c r="B969">
        <v>170082</v>
      </c>
      <c r="C969" t="s">
        <v>2022</v>
      </c>
      <c r="D969" t="s">
        <v>4353</v>
      </c>
      <c r="E969" t="s">
        <v>187</v>
      </c>
      <c r="F969" t="s">
        <v>187</v>
      </c>
      <c r="G969" t="s">
        <v>3946</v>
      </c>
      <c r="H969" t="s">
        <v>187</v>
      </c>
      <c r="I969" t="s">
        <v>2616</v>
      </c>
      <c r="J969">
        <v>1</v>
      </c>
      <c r="K969">
        <v>50</v>
      </c>
    </row>
    <row r="970" spans="1:11" x14ac:dyDescent="0.2">
      <c r="A970" t="s">
        <v>4196</v>
      </c>
      <c r="B970">
        <v>171348</v>
      </c>
      <c r="C970" t="s">
        <v>2137</v>
      </c>
      <c r="D970" t="s">
        <v>4204</v>
      </c>
      <c r="E970" t="s">
        <v>187</v>
      </c>
      <c r="F970" t="s">
        <v>187</v>
      </c>
      <c r="G970" t="s">
        <v>4194</v>
      </c>
      <c r="H970" t="s">
        <v>187</v>
      </c>
      <c r="I970" t="s">
        <v>2616</v>
      </c>
      <c r="J970">
        <v>1</v>
      </c>
      <c r="K970">
        <v>143</v>
      </c>
    </row>
    <row r="971" spans="1:11" x14ac:dyDescent="0.2">
      <c r="A971" t="s">
        <v>4196</v>
      </c>
      <c r="B971">
        <v>170063</v>
      </c>
      <c r="C971" t="s">
        <v>2009</v>
      </c>
      <c r="D971" t="s">
        <v>4223</v>
      </c>
      <c r="E971" t="s">
        <v>187</v>
      </c>
      <c r="F971" t="s">
        <v>187</v>
      </c>
      <c r="G971" t="s">
        <v>3946</v>
      </c>
      <c r="H971" t="s">
        <v>187</v>
      </c>
      <c r="I971" t="s">
        <v>2616</v>
      </c>
      <c r="J971">
        <v>1</v>
      </c>
      <c r="K971">
        <v>202</v>
      </c>
    </row>
    <row r="972" spans="1:11" x14ac:dyDescent="0.2">
      <c r="A972" t="s">
        <v>4196</v>
      </c>
      <c r="B972">
        <v>179014</v>
      </c>
      <c r="C972" t="s">
        <v>2174</v>
      </c>
      <c r="D972" t="s">
        <v>4356</v>
      </c>
      <c r="E972" t="s">
        <v>187</v>
      </c>
      <c r="F972" t="s">
        <v>187</v>
      </c>
      <c r="G972" t="s">
        <v>3765</v>
      </c>
      <c r="H972" t="s">
        <v>187</v>
      </c>
      <c r="I972" t="s">
        <v>2616</v>
      </c>
      <c r="J972">
        <v>1</v>
      </c>
      <c r="K972">
        <v>220</v>
      </c>
    </row>
    <row r="973" spans="1:11" x14ac:dyDescent="0.2">
      <c r="A973" t="s">
        <v>4196</v>
      </c>
      <c r="B973">
        <v>170046</v>
      </c>
      <c r="C973" t="s">
        <v>2001</v>
      </c>
      <c r="D973" t="s">
        <v>4253</v>
      </c>
      <c r="E973" t="s">
        <v>2634</v>
      </c>
      <c r="F973" t="s">
        <v>187</v>
      </c>
      <c r="G973" t="s">
        <v>3946</v>
      </c>
      <c r="H973" t="s">
        <v>2634</v>
      </c>
      <c r="I973" t="s">
        <v>2616</v>
      </c>
      <c r="J973">
        <v>1</v>
      </c>
      <c r="K973">
        <v>524</v>
      </c>
    </row>
    <row r="974" spans="1:11" x14ac:dyDescent="0.2">
      <c r="A974" t="s">
        <v>4196</v>
      </c>
      <c r="B974">
        <v>170915</v>
      </c>
      <c r="C974" t="s">
        <v>1202</v>
      </c>
      <c r="D974" t="s">
        <v>4297</v>
      </c>
      <c r="E974" t="s">
        <v>187</v>
      </c>
      <c r="F974" t="s">
        <v>187</v>
      </c>
      <c r="G974" t="s">
        <v>3765</v>
      </c>
      <c r="H974" t="s">
        <v>187</v>
      </c>
      <c r="I974" t="s">
        <v>2666</v>
      </c>
      <c r="J974">
        <v>1</v>
      </c>
      <c r="K974">
        <v>13</v>
      </c>
    </row>
    <row r="975" spans="1:11" x14ac:dyDescent="0.2">
      <c r="A975" t="s">
        <v>4196</v>
      </c>
      <c r="B975">
        <v>170029</v>
      </c>
      <c r="C975" t="s">
        <v>1988</v>
      </c>
      <c r="D975" t="s">
        <v>4337</v>
      </c>
      <c r="E975" t="s">
        <v>187</v>
      </c>
      <c r="F975" t="s">
        <v>187</v>
      </c>
      <c r="G975" t="s">
        <v>3955</v>
      </c>
      <c r="H975" t="s">
        <v>187</v>
      </c>
      <c r="I975" t="s">
        <v>2616</v>
      </c>
      <c r="J975">
        <v>1</v>
      </c>
      <c r="K975">
        <v>600</v>
      </c>
    </row>
    <row r="976" spans="1:11" x14ac:dyDescent="0.2">
      <c r="A976" t="s">
        <v>4196</v>
      </c>
      <c r="B976">
        <v>178101</v>
      </c>
      <c r="C976" t="s">
        <v>2173</v>
      </c>
      <c r="D976" t="s">
        <v>4200</v>
      </c>
      <c r="E976" t="s">
        <v>187</v>
      </c>
      <c r="F976" t="s">
        <v>187</v>
      </c>
      <c r="G976" t="s">
        <v>4199</v>
      </c>
      <c r="H976" t="s">
        <v>187</v>
      </c>
      <c r="I976" t="s">
        <v>2616</v>
      </c>
      <c r="J976">
        <v>1</v>
      </c>
      <c r="K976">
        <v>164</v>
      </c>
    </row>
    <row r="977" spans="1:11" x14ac:dyDescent="0.2">
      <c r="A977" t="s">
        <v>4196</v>
      </c>
      <c r="B977">
        <v>171327</v>
      </c>
      <c r="C977" t="s">
        <v>2127</v>
      </c>
      <c r="D977" t="s">
        <v>4294</v>
      </c>
      <c r="E977" t="s">
        <v>187</v>
      </c>
      <c r="F977" t="s">
        <v>187</v>
      </c>
      <c r="G977" t="s">
        <v>4194</v>
      </c>
      <c r="H977" t="s">
        <v>187</v>
      </c>
      <c r="I977" t="s">
        <v>2616</v>
      </c>
      <c r="J977">
        <v>1</v>
      </c>
      <c r="K977">
        <v>637.4</v>
      </c>
    </row>
    <row r="978" spans="1:11" x14ac:dyDescent="0.2">
      <c r="A978" t="s">
        <v>4196</v>
      </c>
      <c r="B978">
        <v>170250</v>
      </c>
      <c r="C978" t="s">
        <v>2091</v>
      </c>
      <c r="D978" t="s">
        <v>4355</v>
      </c>
      <c r="E978" t="s">
        <v>187</v>
      </c>
      <c r="F978" t="s">
        <v>187</v>
      </c>
      <c r="G978" t="s">
        <v>3946</v>
      </c>
      <c r="H978" t="s">
        <v>187</v>
      </c>
      <c r="I978" t="s">
        <v>2616</v>
      </c>
      <c r="J978">
        <v>1</v>
      </c>
      <c r="K978">
        <v>115</v>
      </c>
    </row>
    <row r="979" spans="1:11" x14ac:dyDescent="0.2">
      <c r="A979" t="s">
        <v>4055</v>
      </c>
      <c r="B979">
        <v>150024</v>
      </c>
      <c r="C979" t="s">
        <v>767</v>
      </c>
      <c r="D979" t="s">
        <v>4143</v>
      </c>
      <c r="E979" t="s">
        <v>189</v>
      </c>
      <c r="F979" t="s">
        <v>189</v>
      </c>
      <c r="G979" t="s">
        <v>4053</v>
      </c>
      <c r="H979" t="s">
        <v>189</v>
      </c>
      <c r="I979" t="s">
        <v>2666</v>
      </c>
      <c r="J979">
        <v>1</v>
      </c>
      <c r="K979">
        <v>41</v>
      </c>
    </row>
    <row r="980" spans="1:11" x14ac:dyDescent="0.2">
      <c r="A980" t="s">
        <v>4055</v>
      </c>
      <c r="B980">
        <v>150654</v>
      </c>
      <c r="C980" t="s">
        <v>1936</v>
      </c>
      <c r="D980" t="s">
        <v>4165</v>
      </c>
      <c r="E980" t="s">
        <v>189</v>
      </c>
      <c r="F980" t="s">
        <v>189</v>
      </c>
      <c r="G980" t="s">
        <v>4073</v>
      </c>
      <c r="H980" t="s">
        <v>189</v>
      </c>
      <c r="I980" t="s">
        <v>2616</v>
      </c>
      <c r="J980">
        <v>1</v>
      </c>
      <c r="K980">
        <v>329</v>
      </c>
    </row>
    <row r="981" spans="1:11" x14ac:dyDescent="0.2">
      <c r="A981" t="s">
        <v>4055</v>
      </c>
      <c r="B981">
        <v>150602</v>
      </c>
      <c r="C981" t="s">
        <v>1909</v>
      </c>
      <c r="D981" t="s">
        <v>4169</v>
      </c>
      <c r="E981" t="s">
        <v>189</v>
      </c>
      <c r="F981" t="s">
        <v>189</v>
      </c>
      <c r="G981" t="s">
        <v>4053</v>
      </c>
      <c r="H981" t="s">
        <v>189</v>
      </c>
      <c r="I981" t="s">
        <v>2616</v>
      </c>
      <c r="J981">
        <v>1</v>
      </c>
      <c r="K981">
        <v>365</v>
      </c>
    </row>
    <row r="982" spans="1:11" x14ac:dyDescent="0.2">
      <c r="A982" t="s">
        <v>4055</v>
      </c>
      <c r="B982">
        <v>150096</v>
      </c>
      <c r="C982" t="s">
        <v>4188</v>
      </c>
      <c r="D982" t="s">
        <v>4171</v>
      </c>
      <c r="E982" t="s">
        <v>189</v>
      </c>
      <c r="F982" t="s">
        <v>189</v>
      </c>
      <c r="G982" t="s">
        <v>4053</v>
      </c>
      <c r="H982" t="s">
        <v>189</v>
      </c>
      <c r="I982" t="s">
        <v>2666</v>
      </c>
      <c r="J982">
        <v>1</v>
      </c>
      <c r="K982">
        <v>6671</v>
      </c>
    </row>
    <row r="983" spans="1:11" x14ac:dyDescent="0.2">
      <c r="A983" t="s">
        <v>4055</v>
      </c>
      <c r="B983">
        <v>150061</v>
      </c>
      <c r="C983" t="s">
        <v>1822</v>
      </c>
      <c r="D983" t="s">
        <v>4154</v>
      </c>
      <c r="E983" t="s">
        <v>189</v>
      </c>
      <c r="F983" t="s">
        <v>189</v>
      </c>
      <c r="G983" t="s">
        <v>4066</v>
      </c>
      <c r="H983" t="s">
        <v>189</v>
      </c>
      <c r="I983" t="s">
        <v>2616</v>
      </c>
      <c r="J983">
        <v>1</v>
      </c>
      <c r="K983">
        <v>14</v>
      </c>
    </row>
    <row r="984" spans="1:11" x14ac:dyDescent="0.2">
      <c r="A984" t="s">
        <v>4055</v>
      </c>
      <c r="B984">
        <v>152017</v>
      </c>
      <c r="C984" t="s">
        <v>1960</v>
      </c>
      <c r="D984" t="s">
        <v>4184</v>
      </c>
      <c r="E984" t="s">
        <v>189</v>
      </c>
      <c r="F984" t="s">
        <v>189</v>
      </c>
      <c r="G984" t="s">
        <v>4053</v>
      </c>
      <c r="H984" t="s">
        <v>189</v>
      </c>
      <c r="I984" t="s">
        <v>2616</v>
      </c>
      <c r="J984">
        <v>1</v>
      </c>
      <c r="K984">
        <v>212</v>
      </c>
    </row>
    <row r="985" spans="1:11" x14ac:dyDescent="0.2">
      <c r="A985" t="s">
        <v>4055</v>
      </c>
      <c r="B985">
        <v>150135</v>
      </c>
      <c r="C985" t="s">
        <v>1854</v>
      </c>
      <c r="D985" t="s">
        <v>4072</v>
      </c>
      <c r="E985" t="s">
        <v>189</v>
      </c>
      <c r="F985" t="s">
        <v>189</v>
      </c>
      <c r="G985" t="s">
        <v>4066</v>
      </c>
      <c r="H985" t="s">
        <v>189</v>
      </c>
      <c r="I985" t="s">
        <v>2616</v>
      </c>
      <c r="J985">
        <v>1</v>
      </c>
      <c r="K985">
        <v>1521</v>
      </c>
    </row>
    <row r="986" spans="1:11" x14ac:dyDescent="0.2">
      <c r="A986" t="s">
        <v>4055</v>
      </c>
      <c r="B986">
        <v>152027</v>
      </c>
      <c r="C986" t="s">
        <v>1965</v>
      </c>
      <c r="D986" t="s">
        <v>4141</v>
      </c>
      <c r="E986" t="s">
        <v>189</v>
      </c>
      <c r="F986" t="s">
        <v>189</v>
      </c>
      <c r="G986" t="s">
        <v>4053</v>
      </c>
      <c r="H986" t="s">
        <v>189</v>
      </c>
      <c r="I986" t="s">
        <v>2616</v>
      </c>
      <c r="J986">
        <v>1</v>
      </c>
      <c r="K986">
        <v>50</v>
      </c>
    </row>
    <row r="987" spans="1:11" x14ac:dyDescent="0.2">
      <c r="A987" t="s">
        <v>4055</v>
      </c>
      <c r="B987">
        <v>150215</v>
      </c>
      <c r="C987" t="s">
        <v>788</v>
      </c>
      <c r="D987" t="s">
        <v>4093</v>
      </c>
      <c r="E987" t="s">
        <v>189</v>
      </c>
      <c r="F987" t="s">
        <v>189</v>
      </c>
      <c r="G987" t="s">
        <v>4085</v>
      </c>
      <c r="H987" t="s">
        <v>189</v>
      </c>
      <c r="I987" t="s">
        <v>2666</v>
      </c>
      <c r="J987">
        <v>1</v>
      </c>
      <c r="K987">
        <v>79</v>
      </c>
    </row>
    <row r="988" spans="1:11" x14ac:dyDescent="0.2">
      <c r="A988" t="s">
        <v>4055</v>
      </c>
      <c r="B988">
        <v>150076</v>
      </c>
      <c r="C988" t="s">
        <v>2604</v>
      </c>
      <c r="D988" t="s">
        <v>4059</v>
      </c>
      <c r="E988" t="s">
        <v>189</v>
      </c>
      <c r="F988" t="s">
        <v>189</v>
      </c>
      <c r="G988" t="s">
        <v>4058</v>
      </c>
      <c r="H988" t="s">
        <v>189</v>
      </c>
      <c r="I988" t="s">
        <v>2616</v>
      </c>
      <c r="J988">
        <v>1</v>
      </c>
      <c r="K988">
        <v>1846</v>
      </c>
    </row>
    <row r="989" spans="1:11" x14ac:dyDescent="0.2">
      <c r="A989" t="s">
        <v>4055</v>
      </c>
      <c r="B989">
        <v>152003</v>
      </c>
      <c r="C989" t="s">
        <v>1948</v>
      </c>
      <c r="D989" t="s">
        <v>4105</v>
      </c>
      <c r="E989" t="s">
        <v>189</v>
      </c>
      <c r="F989" t="s">
        <v>189</v>
      </c>
      <c r="G989" t="s">
        <v>4053</v>
      </c>
      <c r="H989" t="s">
        <v>189</v>
      </c>
      <c r="I989" t="s">
        <v>2616</v>
      </c>
      <c r="J989">
        <v>1</v>
      </c>
      <c r="K989">
        <v>174.5</v>
      </c>
    </row>
    <row r="990" spans="1:11" x14ac:dyDescent="0.2">
      <c r="A990" t="s">
        <v>4055</v>
      </c>
      <c r="B990">
        <v>152032</v>
      </c>
      <c r="C990" t="s">
        <v>1969</v>
      </c>
      <c r="D990" t="s">
        <v>4176</v>
      </c>
      <c r="E990" t="s">
        <v>189</v>
      </c>
      <c r="F990" t="s">
        <v>189</v>
      </c>
      <c r="G990" t="s">
        <v>4053</v>
      </c>
      <c r="H990" t="s">
        <v>189</v>
      </c>
      <c r="I990" t="s">
        <v>2616</v>
      </c>
      <c r="J990">
        <v>1</v>
      </c>
      <c r="K990">
        <v>187</v>
      </c>
    </row>
    <row r="991" spans="1:11" x14ac:dyDescent="0.2">
      <c r="A991" t="s">
        <v>4055</v>
      </c>
      <c r="B991">
        <v>152011</v>
      </c>
      <c r="C991" t="s">
        <v>1955</v>
      </c>
      <c r="D991" t="s">
        <v>4115</v>
      </c>
      <c r="E991" t="s">
        <v>189</v>
      </c>
      <c r="F991" t="s">
        <v>189</v>
      </c>
      <c r="G991" t="s">
        <v>4053</v>
      </c>
      <c r="H991" t="s">
        <v>189</v>
      </c>
      <c r="I991" t="s">
        <v>2616</v>
      </c>
      <c r="J991">
        <v>1</v>
      </c>
      <c r="K991">
        <v>228</v>
      </c>
    </row>
    <row r="992" spans="1:11" x14ac:dyDescent="0.2">
      <c r="A992" t="s">
        <v>4055</v>
      </c>
      <c r="B992">
        <v>150092</v>
      </c>
      <c r="C992" t="s">
        <v>771</v>
      </c>
      <c r="D992" t="s">
        <v>4120</v>
      </c>
      <c r="E992" t="s">
        <v>189</v>
      </c>
      <c r="F992" t="s">
        <v>189</v>
      </c>
      <c r="G992" t="s">
        <v>3466</v>
      </c>
      <c r="H992" t="s">
        <v>189</v>
      </c>
      <c r="I992" t="s">
        <v>2666</v>
      </c>
      <c r="J992">
        <v>1</v>
      </c>
      <c r="K992">
        <v>14</v>
      </c>
    </row>
    <row r="993" spans="1:11" x14ac:dyDescent="0.2">
      <c r="A993" t="s">
        <v>4055</v>
      </c>
      <c r="B993">
        <v>150147</v>
      </c>
      <c r="C993" t="s">
        <v>1858</v>
      </c>
      <c r="D993" t="s">
        <v>4116</v>
      </c>
      <c r="E993" t="s">
        <v>189</v>
      </c>
      <c r="F993" t="s">
        <v>189</v>
      </c>
      <c r="G993" t="s">
        <v>4058</v>
      </c>
      <c r="H993" t="s">
        <v>189</v>
      </c>
      <c r="I993" t="s">
        <v>2616</v>
      </c>
      <c r="J993">
        <v>1</v>
      </c>
      <c r="K993">
        <v>127</v>
      </c>
    </row>
    <row r="994" spans="1:11" x14ac:dyDescent="0.2">
      <c r="A994" t="s">
        <v>4055</v>
      </c>
      <c r="B994">
        <v>150669</v>
      </c>
      <c r="C994" t="s">
        <v>1940</v>
      </c>
      <c r="D994" t="s">
        <v>4155</v>
      </c>
      <c r="E994" t="s">
        <v>189</v>
      </c>
      <c r="F994" t="s">
        <v>189</v>
      </c>
      <c r="G994" t="s">
        <v>4058</v>
      </c>
      <c r="H994" t="s">
        <v>189</v>
      </c>
      <c r="I994" t="s">
        <v>2616</v>
      </c>
      <c r="J994">
        <v>1</v>
      </c>
      <c r="K994">
        <v>155</v>
      </c>
    </row>
    <row r="995" spans="1:11" x14ac:dyDescent="0.2">
      <c r="A995" t="s">
        <v>4055</v>
      </c>
      <c r="B995">
        <v>150672</v>
      </c>
      <c r="C995" t="s">
        <v>1942</v>
      </c>
      <c r="D995" t="s">
        <v>4108</v>
      </c>
      <c r="E995" t="s">
        <v>189</v>
      </c>
      <c r="F995" t="s">
        <v>189</v>
      </c>
      <c r="G995" t="s">
        <v>4058</v>
      </c>
      <c r="H995" t="s">
        <v>189</v>
      </c>
      <c r="I995" t="s">
        <v>2616</v>
      </c>
      <c r="J995">
        <v>1</v>
      </c>
      <c r="K995">
        <v>88</v>
      </c>
    </row>
    <row r="996" spans="1:11" x14ac:dyDescent="0.2">
      <c r="A996" t="s">
        <v>4055</v>
      </c>
      <c r="B996">
        <v>150177</v>
      </c>
      <c r="C996" t="s">
        <v>1878</v>
      </c>
      <c r="D996" t="s">
        <v>4187</v>
      </c>
      <c r="E996" t="s">
        <v>189</v>
      </c>
      <c r="F996" t="s">
        <v>189</v>
      </c>
      <c r="G996" t="s">
        <v>4053</v>
      </c>
      <c r="H996" t="s">
        <v>189</v>
      </c>
      <c r="I996" t="s">
        <v>2616</v>
      </c>
      <c r="J996">
        <v>1</v>
      </c>
      <c r="K996">
        <v>32</v>
      </c>
    </row>
    <row r="997" spans="1:11" x14ac:dyDescent="0.2">
      <c r="A997" t="s">
        <v>4055</v>
      </c>
      <c r="B997">
        <v>150191</v>
      </c>
      <c r="C997" t="s">
        <v>1885</v>
      </c>
      <c r="D997" t="s">
        <v>4128</v>
      </c>
      <c r="E997" t="s">
        <v>189</v>
      </c>
      <c r="F997" t="s">
        <v>189</v>
      </c>
      <c r="G997" t="s">
        <v>4053</v>
      </c>
      <c r="H997" t="s">
        <v>189</v>
      </c>
      <c r="I997" t="s">
        <v>2616</v>
      </c>
      <c r="J997">
        <v>1</v>
      </c>
      <c r="K997">
        <v>485</v>
      </c>
    </row>
    <row r="998" spans="1:11" x14ac:dyDescent="0.2">
      <c r="A998" t="s">
        <v>4055</v>
      </c>
      <c r="B998">
        <v>150615</v>
      </c>
      <c r="C998" t="s">
        <v>1917</v>
      </c>
      <c r="D998" t="s">
        <v>4063</v>
      </c>
      <c r="E998" t="s">
        <v>189</v>
      </c>
      <c r="F998" t="s">
        <v>189</v>
      </c>
      <c r="G998" t="s">
        <v>4058</v>
      </c>
      <c r="H998" t="s">
        <v>189</v>
      </c>
      <c r="I998" t="s">
        <v>2616</v>
      </c>
      <c r="J998">
        <v>1</v>
      </c>
      <c r="K998">
        <v>1350</v>
      </c>
    </row>
    <row r="999" spans="1:11" x14ac:dyDescent="0.2">
      <c r="A999" t="s">
        <v>4055</v>
      </c>
      <c r="B999">
        <v>150210</v>
      </c>
      <c r="C999" t="s">
        <v>1889</v>
      </c>
      <c r="D999" t="s">
        <v>4149</v>
      </c>
      <c r="E999" t="s">
        <v>189</v>
      </c>
      <c r="F999" t="s">
        <v>189</v>
      </c>
      <c r="G999" t="s">
        <v>4085</v>
      </c>
      <c r="H999" t="s">
        <v>189</v>
      </c>
      <c r="I999" t="s">
        <v>2616</v>
      </c>
      <c r="J999">
        <v>1</v>
      </c>
      <c r="K999">
        <v>241</v>
      </c>
    </row>
    <row r="1000" spans="1:11" x14ac:dyDescent="0.2">
      <c r="A1000" t="s">
        <v>4055</v>
      </c>
      <c r="B1000">
        <v>150067</v>
      </c>
      <c r="C1000" t="s">
        <v>1828</v>
      </c>
      <c r="D1000" t="s">
        <v>4160</v>
      </c>
      <c r="E1000" t="s">
        <v>189</v>
      </c>
      <c r="F1000" t="s">
        <v>189</v>
      </c>
      <c r="G1000" t="s">
        <v>4053</v>
      </c>
      <c r="H1000" t="s">
        <v>189</v>
      </c>
      <c r="I1000" t="s">
        <v>2616</v>
      </c>
      <c r="J1000">
        <v>1</v>
      </c>
      <c r="K1000">
        <v>46</v>
      </c>
    </row>
    <row r="1001" spans="1:11" x14ac:dyDescent="0.2">
      <c r="A1001" t="s">
        <v>4055</v>
      </c>
      <c r="B1001">
        <v>150066</v>
      </c>
      <c r="C1001" t="s">
        <v>1827</v>
      </c>
      <c r="D1001" t="s">
        <v>4190</v>
      </c>
      <c r="E1001" t="s">
        <v>189</v>
      </c>
      <c r="F1001" t="s">
        <v>189</v>
      </c>
      <c r="G1001" t="s">
        <v>4053</v>
      </c>
      <c r="H1001" t="s">
        <v>189</v>
      </c>
      <c r="I1001" t="s">
        <v>2616</v>
      </c>
      <c r="J1001">
        <v>1</v>
      </c>
      <c r="K1001">
        <v>224</v>
      </c>
    </row>
    <row r="1002" spans="1:11" x14ac:dyDescent="0.2">
      <c r="A1002" t="s">
        <v>4055</v>
      </c>
      <c r="B1002">
        <v>150054</v>
      </c>
      <c r="C1002" t="s">
        <v>4140</v>
      </c>
      <c r="D1002" t="s">
        <v>4139</v>
      </c>
      <c r="E1002" t="s">
        <v>189</v>
      </c>
      <c r="F1002" t="s">
        <v>189</v>
      </c>
      <c r="G1002" t="s">
        <v>4053</v>
      </c>
      <c r="H1002" t="s">
        <v>189</v>
      </c>
      <c r="I1002" t="s">
        <v>2666</v>
      </c>
      <c r="J1002">
        <v>1</v>
      </c>
      <c r="K1002">
        <v>908</v>
      </c>
    </row>
    <row r="1003" spans="1:11" x14ac:dyDescent="0.2">
      <c r="A1003" t="s">
        <v>4055</v>
      </c>
      <c r="B1003">
        <v>150055</v>
      </c>
      <c r="C1003" t="s">
        <v>1819</v>
      </c>
      <c r="D1003" t="s">
        <v>4177</v>
      </c>
      <c r="E1003" t="s">
        <v>189</v>
      </c>
      <c r="F1003" t="s">
        <v>189</v>
      </c>
      <c r="G1003" t="s">
        <v>3489</v>
      </c>
      <c r="H1003" t="s">
        <v>189</v>
      </c>
      <c r="I1003" t="s">
        <v>2616</v>
      </c>
      <c r="J1003">
        <v>1</v>
      </c>
      <c r="K1003">
        <v>1932</v>
      </c>
    </row>
    <row r="1004" spans="1:11" x14ac:dyDescent="0.2">
      <c r="A1004" t="s">
        <v>4055</v>
      </c>
      <c r="B1004">
        <v>152000</v>
      </c>
      <c r="C1004" t="s">
        <v>1945</v>
      </c>
      <c r="D1004" t="s">
        <v>4192</v>
      </c>
      <c r="E1004" t="s">
        <v>189</v>
      </c>
      <c r="F1004" t="s">
        <v>189</v>
      </c>
      <c r="G1004" t="s">
        <v>4053</v>
      </c>
      <c r="H1004" t="s">
        <v>189</v>
      </c>
      <c r="I1004" t="s">
        <v>2616</v>
      </c>
      <c r="J1004">
        <v>1</v>
      </c>
      <c r="K1004">
        <v>275</v>
      </c>
    </row>
    <row r="1005" spans="1:11" x14ac:dyDescent="0.2">
      <c r="A1005" t="s">
        <v>4055</v>
      </c>
      <c r="B1005">
        <v>150671</v>
      </c>
      <c r="C1005" t="s">
        <v>1941</v>
      </c>
      <c r="D1005" t="s">
        <v>4095</v>
      </c>
      <c r="E1005" t="s">
        <v>189</v>
      </c>
      <c r="F1005" t="s">
        <v>189</v>
      </c>
      <c r="G1005" t="s">
        <v>4058</v>
      </c>
      <c r="H1005" t="s">
        <v>189</v>
      </c>
      <c r="I1005" t="s">
        <v>2616</v>
      </c>
      <c r="J1005">
        <v>1</v>
      </c>
      <c r="K1005">
        <v>45</v>
      </c>
    </row>
    <row r="1006" spans="1:11" x14ac:dyDescent="0.2">
      <c r="A1006" t="s">
        <v>4055</v>
      </c>
      <c r="B1006">
        <v>150603</v>
      </c>
      <c r="C1006" t="s">
        <v>1910</v>
      </c>
      <c r="D1006" t="s">
        <v>4185</v>
      </c>
      <c r="E1006" t="s">
        <v>189</v>
      </c>
      <c r="F1006" t="s">
        <v>189</v>
      </c>
      <c r="G1006" t="s">
        <v>4053</v>
      </c>
      <c r="H1006" t="s">
        <v>189</v>
      </c>
      <c r="I1006" t="s">
        <v>2616</v>
      </c>
      <c r="J1006">
        <v>1</v>
      </c>
      <c r="K1006">
        <v>688</v>
      </c>
    </row>
    <row r="1007" spans="1:11" x14ac:dyDescent="0.2">
      <c r="A1007" t="s">
        <v>4055</v>
      </c>
      <c r="B1007">
        <v>150063</v>
      </c>
      <c r="C1007" t="s">
        <v>1824</v>
      </c>
      <c r="D1007" t="s">
        <v>4094</v>
      </c>
      <c r="E1007" t="s">
        <v>189</v>
      </c>
      <c r="F1007" t="s">
        <v>189</v>
      </c>
      <c r="G1007" t="s">
        <v>4066</v>
      </c>
      <c r="H1007" t="s">
        <v>189</v>
      </c>
      <c r="I1007" t="s">
        <v>2616</v>
      </c>
      <c r="J1007">
        <v>1</v>
      </c>
      <c r="K1007">
        <v>642</v>
      </c>
    </row>
    <row r="1008" spans="1:11" x14ac:dyDescent="0.2">
      <c r="A1008" t="s">
        <v>4055</v>
      </c>
      <c r="B1008">
        <v>150245</v>
      </c>
      <c r="C1008" t="s">
        <v>1102</v>
      </c>
      <c r="D1008" t="s">
        <v>4171</v>
      </c>
      <c r="E1008" t="s">
        <v>189</v>
      </c>
      <c r="F1008" t="s">
        <v>189</v>
      </c>
      <c r="G1008" t="s">
        <v>4053</v>
      </c>
      <c r="H1008" t="s">
        <v>189</v>
      </c>
      <c r="I1008" t="s">
        <v>2666</v>
      </c>
      <c r="J1008">
        <v>1</v>
      </c>
      <c r="K1008">
        <v>1046</v>
      </c>
    </row>
    <row r="1009" spans="1:11" x14ac:dyDescent="0.2">
      <c r="A1009" t="s">
        <v>4055</v>
      </c>
      <c r="B1009">
        <v>152019</v>
      </c>
      <c r="C1009" t="s">
        <v>1962</v>
      </c>
      <c r="D1009" t="s">
        <v>4127</v>
      </c>
      <c r="E1009" t="s">
        <v>189</v>
      </c>
      <c r="F1009" t="s">
        <v>189</v>
      </c>
      <c r="G1009" t="s">
        <v>4053</v>
      </c>
      <c r="H1009" t="s">
        <v>189</v>
      </c>
      <c r="I1009" t="s">
        <v>2616</v>
      </c>
      <c r="J1009">
        <v>1</v>
      </c>
      <c r="K1009">
        <v>140</v>
      </c>
    </row>
    <row r="1010" spans="1:11" x14ac:dyDescent="0.2">
      <c r="A1010" t="s">
        <v>4055</v>
      </c>
      <c r="B1010">
        <v>150220</v>
      </c>
      <c r="C1010" t="s">
        <v>1896</v>
      </c>
      <c r="D1010" t="s">
        <v>4136</v>
      </c>
      <c r="E1010" t="s">
        <v>189</v>
      </c>
      <c r="F1010" t="s">
        <v>189</v>
      </c>
      <c r="G1010" t="s">
        <v>4066</v>
      </c>
      <c r="H1010" t="s">
        <v>189</v>
      </c>
      <c r="I1010" t="s">
        <v>2616</v>
      </c>
      <c r="J1010">
        <v>1</v>
      </c>
      <c r="K1010">
        <v>124</v>
      </c>
    </row>
    <row r="1011" spans="1:11" x14ac:dyDescent="0.2">
      <c r="A1011" t="s">
        <v>4055</v>
      </c>
      <c r="B1011">
        <v>150125</v>
      </c>
      <c r="C1011" t="s">
        <v>777</v>
      </c>
      <c r="D1011" t="s">
        <v>4182</v>
      </c>
      <c r="E1011" t="s">
        <v>189</v>
      </c>
      <c r="F1011" t="s">
        <v>189</v>
      </c>
      <c r="G1011" t="s">
        <v>4053</v>
      </c>
      <c r="H1011" t="s">
        <v>189</v>
      </c>
      <c r="I1011" t="s">
        <v>2666</v>
      </c>
      <c r="J1011">
        <v>1</v>
      </c>
      <c r="K1011">
        <v>4</v>
      </c>
    </row>
    <row r="1012" spans="1:11" x14ac:dyDescent="0.2">
      <c r="A1012" t="s">
        <v>4055</v>
      </c>
      <c r="B1012">
        <v>150604</v>
      </c>
      <c r="C1012" t="s">
        <v>1911</v>
      </c>
      <c r="D1012" t="s">
        <v>4159</v>
      </c>
      <c r="E1012" t="s">
        <v>189</v>
      </c>
      <c r="F1012" t="s">
        <v>189</v>
      </c>
      <c r="G1012" t="s">
        <v>4053</v>
      </c>
      <c r="H1012" t="s">
        <v>189</v>
      </c>
      <c r="I1012" t="s">
        <v>2616</v>
      </c>
      <c r="J1012">
        <v>1</v>
      </c>
      <c r="K1012">
        <v>103</v>
      </c>
    </row>
    <row r="1013" spans="1:11" x14ac:dyDescent="0.2">
      <c r="A1013" t="s">
        <v>4055</v>
      </c>
      <c r="B1013">
        <v>152001</v>
      </c>
      <c r="C1013" t="s">
        <v>1946</v>
      </c>
      <c r="D1013" t="s">
        <v>4156</v>
      </c>
      <c r="E1013" t="s">
        <v>189</v>
      </c>
      <c r="F1013" t="s">
        <v>189</v>
      </c>
      <c r="G1013" t="s">
        <v>4053</v>
      </c>
      <c r="H1013" t="s">
        <v>189</v>
      </c>
      <c r="I1013" t="s">
        <v>2616</v>
      </c>
      <c r="J1013">
        <v>1</v>
      </c>
      <c r="K1013">
        <v>347</v>
      </c>
    </row>
    <row r="1014" spans="1:11" x14ac:dyDescent="0.2">
      <c r="A1014" t="s">
        <v>4055</v>
      </c>
      <c r="B1014">
        <v>150644</v>
      </c>
      <c r="C1014" t="s">
        <v>1930</v>
      </c>
      <c r="D1014" t="s">
        <v>4061</v>
      </c>
      <c r="E1014" t="s">
        <v>189</v>
      </c>
      <c r="F1014" t="s">
        <v>189</v>
      </c>
      <c r="G1014" t="s">
        <v>4053</v>
      </c>
      <c r="H1014" t="s">
        <v>189</v>
      </c>
      <c r="I1014" t="s">
        <v>2616</v>
      </c>
      <c r="J1014">
        <v>1</v>
      </c>
      <c r="K1014">
        <v>95</v>
      </c>
    </row>
    <row r="1015" spans="1:11" x14ac:dyDescent="0.2">
      <c r="A1015" t="s">
        <v>4055</v>
      </c>
      <c r="B1015">
        <v>150145</v>
      </c>
      <c r="C1015" t="s">
        <v>1857</v>
      </c>
      <c r="D1015" t="s">
        <v>4078</v>
      </c>
      <c r="E1015" t="s">
        <v>189</v>
      </c>
      <c r="F1015" t="s">
        <v>189</v>
      </c>
      <c r="G1015" t="s">
        <v>4053</v>
      </c>
      <c r="H1015" t="s">
        <v>189</v>
      </c>
      <c r="I1015" t="s">
        <v>2616</v>
      </c>
      <c r="J1015">
        <v>1</v>
      </c>
      <c r="K1015">
        <v>176</v>
      </c>
    </row>
    <row r="1016" spans="1:11" x14ac:dyDescent="0.2">
      <c r="A1016" t="s">
        <v>4055</v>
      </c>
      <c r="B1016">
        <v>150183</v>
      </c>
      <c r="C1016" t="s">
        <v>1880</v>
      </c>
      <c r="D1016" t="s">
        <v>4148</v>
      </c>
      <c r="E1016" t="s">
        <v>189</v>
      </c>
      <c r="F1016" t="s">
        <v>189</v>
      </c>
      <c r="G1016" t="s">
        <v>4053</v>
      </c>
      <c r="H1016" t="s">
        <v>189</v>
      </c>
      <c r="I1016" t="s">
        <v>2616</v>
      </c>
      <c r="J1016">
        <v>1</v>
      </c>
      <c r="K1016">
        <v>567</v>
      </c>
    </row>
    <row r="1017" spans="1:11" x14ac:dyDescent="0.2">
      <c r="A1017" t="s">
        <v>4055</v>
      </c>
      <c r="B1017">
        <v>152002</v>
      </c>
      <c r="C1017" t="s">
        <v>1947</v>
      </c>
      <c r="D1017" t="s">
        <v>4099</v>
      </c>
      <c r="E1017" t="s">
        <v>189</v>
      </c>
      <c r="F1017" t="s">
        <v>189</v>
      </c>
      <c r="G1017" t="s">
        <v>4053</v>
      </c>
      <c r="H1017" t="s">
        <v>189</v>
      </c>
      <c r="I1017" t="s">
        <v>2616</v>
      </c>
      <c r="J1017">
        <v>1</v>
      </c>
      <c r="K1017">
        <v>926</v>
      </c>
    </row>
    <row r="1018" spans="1:11" x14ac:dyDescent="0.2">
      <c r="A1018" t="s">
        <v>4055</v>
      </c>
      <c r="B1018">
        <v>150134</v>
      </c>
      <c r="C1018" t="s">
        <v>1853</v>
      </c>
      <c r="D1018" t="s">
        <v>4164</v>
      </c>
      <c r="E1018" t="s">
        <v>189</v>
      </c>
      <c r="F1018" t="s">
        <v>189</v>
      </c>
      <c r="G1018" t="s">
        <v>4163</v>
      </c>
      <c r="H1018" t="s">
        <v>189</v>
      </c>
      <c r="I1018" t="s">
        <v>2616</v>
      </c>
      <c r="J1018">
        <v>1</v>
      </c>
      <c r="K1018">
        <v>165</v>
      </c>
    </row>
    <row r="1019" spans="1:11" x14ac:dyDescent="0.2">
      <c r="A1019" t="s">
        <v>4055</v>
      </c>
      <c r="B1019">
        <v>150623</v>
      </c>
      <c r="C1019" t="s">
        <v>1922</v>
      </c>
      <c r="D1019" t="s">
        <v>4161</v>
      </c>
      <c r="E1019" t="s">
        <v>189</v>
      </c>
      <c r="F1019" t="s">
        <v>189</v>
      </c>
      <c r="G1019" t="s">
        <v>4073</v>
      </c>
      <c r="H1019" t="s">
        <v>189</v>
      </c>
      <c r="I1019" t="s">
        <v>2616</v>
      </c>
      <c r="J1019">
        <v>1</v>
      </c>
      <c r="K1019">
        <v>83</v>
      </c>
    </row>
    <row r="1020" spans="1:11" x14ac:dyDescent="0.2">
      <c r="A1020" t="s">
        <v>4055</v>
      </c>
      <c r="B1020">
        <v>150166</v>
      </c>
      <c r="C1020" t="s">
        <v>1870</v>
      </c>
      <c r="D1020" t="s">
        <v>3559</v>
      </c>
      <c r="E1020" t="s">
        <v>189</v>
      </c>
      <c r="F1020" t="s">
        <v>189</v>
      </c>
      <c r="G1020" t="s">
        <v>4053</v>
      </c>
      <c r="H1020" t="s">
        <v>189</v>
      </c>
      <c r="I1020" t="s">
        <v>2616</v>
      </c>
      <c r="J1020">
        <v>1</v>
      </c>
      <c r="K1020">
        <v>533</v>
      </c>
    </row>
    <row r="1021" spans="1:11" x14ac:dyDescent="0.2">
      <c r="A1021" t="s">
        <v>4055</v>
      </c>
      <c r="B1021">
        <v>152009</v>
      </c>
      <c r="C1021" t="s">
        <v>1953</v>
      </c>
      <c r="D1021" t="s">
        <v>4124</v>
      </c>
      <c r="E1021" t="s">
        <v>189</v>
      </c>
      <c r="F1021" t="s">
        <v>189</v>
      </c>
      <c r="G1021" t="s">
        <v>4053</v>
      </c>
      <c r="H1021" t="s">
        <v>189</v>
      </c>
      <c r="I1021" t="s">
        <v>2616</v>
      </c>
      <c r="J1021">
        <v>1</v>
      </c>
      <c r="K1021">
        <v>44</v>
      </c>
    </row>
    <row r="1022" spans="1:11" x14ac:dyDescent="0.2">
      <c r="A1022" t="s">
        <v>4055</v>
      </c>
      <c r="B1022">
        <v>150648</v>
      </c>
      <c r="C1022" t="s">
        <v>1934</v>
      </c>
      <c r="D1022" t="s">
        <v>4189</v>
      </c>
      <c r="E1022" t="s">
        <v>189</v>
      </c>
      <c r="F1022" t="s">
        <v>189</v>
      </c>
      <c r="G1022" t="s">
        <v>4053</v>
      </c>
      <c r="H1022" t="s">
        <v>189</v>
      </c>
      <c r="I1022" t="s">
        <v>2616</v>
      </c>
      <c r="J1022">
        <v>1</v>
      </c>
      <c r="K1022">
        <v>429</v>
      </c>
    </row>
    <row r="1023" spans="1:11" x14ac:dyDescent="0.2">
      <c r="A1023" t="s">
        <v>4055</v>
      </c>
      <c r="B1023">
        <v>150170</v>
      </c>
      <c r="C1023" t="s">
        <v>1872</v>
      </c>
      <c r="D1023" t="s">
        <v>4186</v>
      </c>
      <c r="E1023" t="s">
        <v>189</v>
      </c>
      <c r="F1023" t="s">
        <v>189</v>
      </c>
      <c r="G1023" t="s">
        <v>4053</v>
      </c>
      <c r="H1023" t="s">
        <v>189</v>
      </c>
      <c r="I1023" t="s">
        <v>2616</v>
      </c>
      <c r="J1023">
        <v>1</v>
      </c>
      <c r="K1023">
        <v>267</v>
      </c>
    </row>
    <row r="1024" spans="1:11" x14ac:dyDescent="0.2">
      <c r="A1024" t="s">
        <v>4055</v>
      </c>
      <c r="B1024">
        <v>150614</v>
      </c>
      <c r="C1024" t="s">
        <v>1916</v>
      </c>
      <c r="D1024" t="s">
        <v>4069</v>
      </c>
      <c r="E1024" t="s">
        <v>189</v>
      </c>
      <c r="F1024" t="s">
        <v>189</v>
      </c>
      <c r="G1024" t="s">
        <v>4058</v>
      </c>
      <c r="H1024" t="s">
        <v>189</v>
      </c>
      <c r="I1024" t="s">
        <v>2616</v>
      </c>
      <c r="J1024">
        <v>1</v>
      </c>
      <c r="K1024">
        <v>663</v>
      </c>
    </row>
    <row r="1025" spans="1:11" x14ac:dyDescent="0.2">
      <c r="A1025" t="s">
        <v>4055</v>
      </c>
      <c r="B1025">
        <v>150665</v>
      </c>
      <c r="C1025" t="s">
        <v>1937</v>
      </c>
      <c r="D1025" t="s">
        <v>4123</v>
      </c>
      <c r="E1025" t="s">
        <v>189</v>
      </c>
      <c r="F1025" t="s">
        <v>189</v>
      </c>
      <c r="G1025" t="s">
        <v>4058</v>
      </c>
      <c r="H1025" t="s">
        <v>189</v>
      </c>
      <c r="I1025" t="s">
        <v>2616</v>
      </c>
      <c r="J1025">
        <v>1</v>
      </c>
      <c r="K1025">
        <v>109</v>
      </c>
    </row>
    <row r="1026" spans="1:11" x14ac:dyDescent="0.2">
      <c r="A1026" t="s">
        <v>4055</v>
      </c>
      <c r="B1026">
        <v>150113</v>
      </c>
      <c r="C1026" t="s">
        <v>1844</v>
      </c>
      <c r="D1026" t="s">
        <v>4118</v>
      </c>
      <c r="E1026" t="s">
        <v>189</v>
      </c>
      <c r="F1026" t="s">
        <v>189</v>
      </c>
      <c r="G1026" t="s">
        <v>4085</v>
      </c>
      <c r="H1026" t="s">
        <v>189</v>
      </c>
      <c r="I1026" t="s">
        <v>2616</v>
      </c>
      <c r="J1026">
        <v>1</v>
      </c>
      <c r="K1026">
        <v>410</v>
      </c>
    </row>
    <row r="1027" spans="1:11" x14ac:dyDescent="0.2">
      <c r="A1027" t="s">
        <v>4055</v>
      </c>
      <c r="B1027">
        <v>150216</v>
      </c>
      <c r="C1027" t="s">
        <v>1893</v>
      </c>
      <c r="D1027" t="s">
        <v>4088</v>
      </c>
      <c r="E1027" t="s">
        <v>189</v>
      </c>
      <c r="F1027" t="s">
        <v>189</v>
      </c>
      <c r="G1027" t="s">
        <v>4085</v>
      </c>
      <c r="H1027" t="s">
        <v>189</v>
      </c>
      <c r="I1027" t="s">
        <v>2616</v>
      </c>
      <c r="J1027">
        <v>1</v>
      </c>
      <c r="K1027">
        <v>176</v>
      </c>
    </row>
    <row r="1028" spans="1:11" x14ac:dyDescent="0.2">
      <c r="A1028" t="s">
        <v>4055</v>
      </c>
      <c r="B1028">
        <v>150230</v>
      </c>
      <c r="C1028" t="s">
        <v>1904</v>
      </c>
      <c r="D1028" t="s">
        <v>4191</v>
      </c>
      <c r="E1028" t="s">
        <v>189</v>
      </c>
      <c r="F1028" t="s">
        <v>189</v>
      </c>
      <c r="G1028" t="s">
        <v>4066</v>
      </c>
      <c r="H1028" t="s">
        <v>189</v>
      </c>
      <c r="I1028" t="s">
        <v>2616</v>
      </c>
      <c r="J1028">
        <v>1</v>
      </c>
      <c r="K1028">
        <v>165</v>
      </c>
    </row>
    <row r="1029" spans="1:11" x14ac:dyDescent="0.2">
      <c r="A1029" t="s">
        <v>4055</v>
      </c>
      <c r="B1029">
        <v>150668</v>
      </c>
      <c r="C1029" t="s">
        <v>1939</v>
      </c>
      <c r="D1029" t="s">
        <v>4167</v>
      </c>
      <c r="E1029" t="s">
        <v>189</v>
      </c>
      <c r="F1029" t="s">
        <v>189</v>
      </c>
      <c r="G1029" t="s">
        <v>4058</v>
      </c>
      <c r="H1029" t="s">
        <v>189</v>
      </c>
      <c r="I1029" t="s">
        <v>2616</v>
      </c>
      <c r="J1029">
        <v>1</v>
      </c>
      <c r="K1029">
        <v>610</v>
      </c>
    </row>
    <row r="1030" spans="1:11" x14ac:dyDescent="0.2">
      <c r="A1030" t="s">
        <v>4055</v>
      </c>
      <c r="B1030">
        <v>150172</v>
      </c>
      <c r="C1030" t="s">
        <v>1874</v>
      </c>
      <c r="D1030" t="s">
        <v>4112</v>
      </c>
      <c r="E1030" t="s">
        <v>189</v>
      </c>
      <c r="F1030" t="s">
        <v>189</v>
      </c>
      <c r="G1030" t="s">
        <v>4073</v>
      </c>
      <c r="H1030" t="s">
        <v>189</v>
      </c>
      <c r="I1030" t="s">
        <v>2616</v>
      </c>
      <c r="J1030">
        <v>1</v>
      </c>
      <c r="K1030">
        <v>155</v>
      </c>
    </row>
    <row r="1031" spans="1:11" x14ac:dyDescent="0.2">
      <c r="A1031" t="s">
        <v>4055</v>
      </c>
      <c r="B1031">
        <v>150132</v>
      </c>
      <c r="C1031" t="s">
        <v>1851</v>
      </c>
      <c r="D1031" t="s">
        <v>4102</v>
      </c>
      <c r="E1031" t="s">
        <v>189</v>
      </c>
      <c r="F1031" t="s">
        <v>189</v>
      </c>
      <c r="G1031" t="s">
        <v>4066</v>
      </c>
      <c r="H1031" t="s">
        <v>189</v>
      </c>
      <c r="I1031" t="s">
        <v>2616</v>
      </c>
      <c r="J1031">
        <v>1</v>
      </c>
      <c r="K1031">
        <v>1659</v>
      </c>
    </row>
    <row r="1032" spans="1:11" x14ac:dyDescent="0.2">
      <c r="A1032" t="s">
        <v>4055</v>
      </c>
      <c r="B1032">
        <v>152005</v>
      </c>
      <c r="C1032" t="s">
        <v>1949</v>
      </c>
      <c r="D1032" t="s">
        <v>4064</v>
      </c>
      <c r="E1032" t="s">
        <v>189</v>
      </c>
      <c r="F1032" t="s">
        <v>189</v>
      </c>
      <c r="G1032" t="s">
        <v>4053</v>
      </c>
      <c r="H1032" t="s">
        <v>189</v>
      </c>
      <c r="I1032" t="s">
        <v>2616</v>
      </c>
      <c r="J1032">
        <v>1</v>
      </c>
      <c r="K1032">
        <v>248</v>
      </c>
    </row>
    <row r="1033" spans="1:11" x14ac:dyDescent="0.2">
      <c r="A1033" t="s">
        <v>4055</v>
      </c>
      <c r="B1033">
        <v>152030</v>
      </c>
      <c r="C1033" t="s">
        <v>1967</v>
      </c>
      <c r="D1033" t="s">
        <v>4121</v>
      </c>
      <c r="E1033" t="s">
        <v>189</v>
      </c>
      <c r="F1033" t="s">
        <v>189</v>
      </c>
      <c r="G1033" t="s">
        <v>4053</v>
      </c>
      <c r="H1033" t="s">
        <v>189</v>
      </c>
      <c r="I1033" t="s">
        <v>2616</v>
      </c>
      <c r="J1033">
        <v>1</v>
      </c>
      <c r="K1033">
        <v>39</v>
      </c>
    </row>
    <row r="1034" spans="1:11" x14ac:dyDescent="0.2">
      <c r="A1034" t="s">
        <v>4055</v>
      </c>
      <c r="B1034">
        <v>150214</v>
      </c>
      <c r="C1034" t="s">
        <v>1892</v>
      </c>
      <c r="D1034" t="s">
        <v>4180</v>
      </c>
      <c r="E1034" t="s">
        <v>189</v>
      </c>
      <c r="F1034" t="s">
        <v>189</v>
      </c>
      <c r="G1034" t="s">
        <v>4085</v>
      </c>
      <c r="H1034" t="s">
        <v>189</v>
      </c>
      <c r="I1034" t="s">
        <v>2616</v>
      </c>
      <c r="J1034">
        <v>1</v>
      </c>
      <c r="K1034">
        <v>308</v>
      </c>
    </row>
    <row r="1035" spans="1:11" x14ac:dyDescent="0.2">
      <c r="A1035" t="s">
        <v>4055</v>
      </c>
      <c r="B1035">
        <v>152014</v>
      </c>
      <c r="C1035" t="s">
        <v>1958</v>
      </c>
      <c r="D1035" t="s">
        <v>4179</v>
      </c>
      <c r="E1035" t="s">
        <v>189</v>
      </c>
      <c r="F1035" t="s">
        <v>189</v>
      </c>
      <c r="G1035" t="s">
        <v>4053</v>
      </c>
      <c r="H1035" t="s">
        <v>189</v>
      </c>
      <c r="I1035" t="s">
        <v>2616</v>
      </c>
      <c r="J1035">
        <v>1</v>
      </c>
      <c r="K1035">
        <v>165</v>
      </c>
    </row>
    <row r="1036" spans="1:11" x14ac:dyDescent="0.2">
      <c r="A1036" t="s">
        <v>4055</v>
      </c>
      <c r="B1036">
        <v>150639</v>
      </c>
      <c r="C1036" t="s">
        <v>1928</v>
      </c>
      <c r="D1036" t="s">
        <v>4082</v>
      </c>
      <c r="E1036" t="s">
        <v>189</v>
      </c>
      <c r="F1036" t="s">
        <v>189</v>
      </c>
      <c r="G1036" t="s">
        <v>4053</v>
      </c>
      <c r="H1036" t="s">
        <v>189</v>
      </c>
      <c r="I1036" t="s">
        <v>2616</v>
      </c>
      <c r="J1036">
        <v>1</v>
      </c>
      <c r="K1036">
        <v>264</v>
      </c>
    </row>
    <row r="1037" spans="1:11" x14ac:dyDescent="0.2">
      <c r="A1037" t="s">
        <v>4055</v>
      </c>
      <c r="B1037">
        <v>150673</v>
      </c>
      <c r="C1037" t="s">
        <v>1943</v>
      </c>
      <c r="D1037" t="s">
        <v>4137</v>
      </c>
      <c r="E1037" t="s">
        <v>189</v>
      </c>
      <c r="F1037" t="s">
        <v>189</v>
      </c>
      <c r="G1037" t="s">
        <v>4058</v>
      </c>
      <c r="H1037" t="s">
        <v>189</v>
      </c>
      <c r="I1037" t="s">
        <v>2616</v>
      </c>
      <c r="J1037">
        <v>1</v>
      </c>
      <c r="K1037">
        <v>168</v>
      </c>
    </row>
    <row r="1038" spans="1:11" x14ac:dyDescent="0.2">
      <c r="A1038" t="s">
        <v>4055</v>
      </c>
      <c r="B1038">
        <v>150607</v>
      </c>
      <c r="C1038" t="s">
        <v>1913</v>
      </c>
      <c r="D1038" t="s">
        <v>4138</v>
      </c>
      <c r="E1038" t="s">
        <v>189</v>
      </c>
      <c r="F1038" t="s">
        <v>189</v>
      </c>
      <c r="G1038" t="s">
        <v>4053</v>
      </c>
      <c r="H1038" t="s">
        <v>189</v>
      </c>
      <c r="I1038" t="s">
        <v>2616</v>
      </c>
      <c r="J1038">
        <v>1</v>
      </c>
      <c r="K1038">
        <v>127</v>
      </c>
    </row>
    <row r="1039" spans="1:11" x14ac:dyDescent="0.2">
      <c r="A1039" t="s">
        <v>4055</v>
      </c>
      <c r="B1039">
        <v>150186</v>
      </c>
      <c r="C1039" t="s">
        <v>1882</v>
      </c>
      <c r="D1039" t="s">
        <v>4057</v>
      </c>
      <c r="E1039" t="s">
        <v>189</v>
      </c>
      <c r="F1039" t="s">
        <v>189</v>
      </c>
      <c r="G1039" t="s">
        <v>4053</v>
      </c>
      <c r="H1039" t="s">
        <v>189</v>
      </c>
      <c r="I1039" t="s">
        <v>2616</v>
      </c>
      <c r="J1039">
        <v>1</v>
      </c>
      <c r="K1039">
        <v>471</v>
      </c>
    </row>
    <row r="1040" spans="1:11" x14ac:dyDescent="0.2">
      <c r="A1040" t="s">
        <v>4055</v>
      </c>
      <c r="B1040">
        <v>150617</v>
      </c>
      <c r="C1040" t="s">
        <v>1919</v>
      </c>
      <c r="D1040" t="s">
        <v>4133</v>
      </c>
      <c r="E1040" t="s">
        <v>189</v>
      </c>
      <c r="F1040" t="s">
        <v>189</v>
      </c>
      <c r="G1040" t="s">
        <v>4058</v>
      </c>
      <c r="H1040" t="s">
        <v>189</v>
      </c>
      <c r="I1040" t="s">
        <v>2616</v>
      </c>
      <c r="J1040">
        <v>1</v>
      </c>
      <c r="K1040">
        <v>575</v>
      </c>
    </row>
    <row r="1041" spans="1:11" x14ac:dyDescent="0.2">
      <c r="A1041" t="s">
        <v>4055</v>
      </c>
      <c r="B1041">
        <v>150136</v>
      </c>
      <c r="C1041" t="s">
        <v>1855</v>
      </c>
      <c r="D1041" t="s">
        <v>4101</v>
      </c>
      <c r="E1041" t="s">
        <v>189</v>
      </c>
      <c r="F1041" t="s">
        <v>189</v>
      </c>
      <c r="G1041" t="s">
        <v>4085</v>
      </c>
      <c r="H1041" t="s">
        <v>189</v>
      </c>
      <c r="I1041" t="s">
        <v>2616</v>
      </c>
      <c r="J1041">
        <v>1</v>
      </c>
      <c r="K1041">
        <v>239</v>
      </c>
    </row>
    <row r="1042" spans="1:11" x14ac:dyDescent="0.2">
      <c r="A1042" t="s">
        <v>4055</v>
      </c>
      <c r="B1042">
        <v>152008</v>
      </c>
      <c r="C1042" t="s">
        <v>1952</v>
      </c>
      <c r="D1042" t="s">
        <v>4157</v>
      </c>
      <c r="E1042" t="s">
        <v>189</v>
      </c>
      <c r="F1042" t="s">
        <v>189</v>
      </c>
      <c r="G1042" t="s">
        <v>4053</v>
      </c>
      <c r="H1042" t="s">
        <v>189</v>
      </c>
      <c r="I1042" t="s">
        <v>2616</v>
      </c>
      <c r="J1042">
        <v>1</v>
      </c>
      <c r="K1042">
        <v>196</v>
      </c>
    </row>
    <row r="1043" spans="1:11" x14ac:dyDescent="0.2">
      <c r="A1043" t="s">
        <v>4055</v>
      </c>
      <c r="B1043">
        <v>150169</v>
      </c>
      <c r="C1043" t="s">
        <v>1871</v>
      </c>
      <c r="D1043" t="s">
        <v>4152</v>
      </c>
      <c r="E1043" t="s">
        <v>189</v>
      </c>
      <c r="F1043" t="s">
        <v>189</v>
      </c>
      <c r="G1043" t="s">
        <v>4053</v>
      </c>
      <c r="H1043" t="s">
        <v>189</v>
      </c>
      <c r="I1043" t="s">
        <v>2616</v>
      </c>
      <c r="J1043">
        <v>1</v>
      </c>
      <c r="K1043">
        <v>111</v>
      </c>
    </row>
    <row r="1044" spans="1:11" x14ac:dyDescent="0.2">
      <c r="A1044" t="s">
        <v>4055</v>
      </c>
      <c r="B1044">
        <v>150217</v>
      </c>
      <c r="C1044" t="s">
        <v>1894</v>
      </c>
      <c r="D1044" t="s">
        <v>4086</v>
      </c>
      <c r="E1044" t="s">
        <v>189</v>
      </c>
      <c r="F1044" t="s">
        <v>189</v>
      </c>
      <c r="G1044" t="s">
        <v>4085</v>
      </c>
      <c r="H1044" t="s">
        <v>189</v>
      </c>
      <c r="I1044" t="s">
        <v>2616</v>
      </c>
      <c r="J1044">
        <v>1</v>
      </c>
      <c r="K1044">
        <v>144</v>
      </c>
    </row>
    <row r="1045" spans="1:11" x14ac:dyDescent="0.2">
      <c r="A1045" t="s">
        <v>4055</v>
      </c>
      <c r="B1045">
        <v>150221</v>
      </c>
      <c r="C1045" t="s">
        <v>1897</v>
      </c>
      <c r="D1045" t="s">
        <v>4193</v>
      </c>
      <c r="E1045" t="s">
        <v>189</v>
      </c>
      <c r="F1045" t="s">
        <v>189</v>
      </c>
      <c r="G1045" t="s">
        <v>4066</v>
      </c>
      <c r="H1045" t="s">
        <v>189</v>
      </c>
      <c r="I1045" t="s">
        <v>2616</v>
      </c>
      <c r="J1045">
        <v>1</v>
      </c>
      <c r="K1045">
        <v>724</v>
      </c>
    </row>
    <row r="1046" spans="1:11" x14ac:dyDescent="0.2">
      <c r="A1046" t="s">
        <v>4055</v>
      </c>
      <c r="B1046">
        <v>150402</v>
      </c>
      <c r="C1046" t="s">
        <v>1907</v>
      </c>
      <c r="D1046" t="s">
        <v>4070</v>
      </c>
      <c r="E1046" t="s">
        <v>189</v>
      </c>
      <c r="F1046" t="s">
        <v>189</v>
      </c>
      <c r="G1046" t="s">
        <v>4053</v>
      </c>
      <c r="H1046" t="s">
        <v>189</v>
      </c>
      <c r="I1046" t="s">
        <v>2616</v>
      </c>
      <c r="J1046">
        <v>1</v>
      </c>
      <c r="K1046">
        <v>94</v>
      </c>
    </row>
    <row r="1047" spans="1:11" x14ac:dyDescent="0.2">
      <c r="A1047" t="s">
        <v>4055</v>
      </c>
      <c r="B1047">
        <v>150620</v>
      </c>
      <c r="C1047" t="s">
        <v>1921</v>
      </c>
      <c r="D1047" t="s">
        <v>4074</v>
      </c>
      <c r="E1047" t="s">
        <v>189</v>
      </c>
      <c r="F1047" t="s">
        <v>189</v>
      </c>
      <c r="G1047" t="s">
        <v>4073</v>
      </c>
      <c r="H1047" t="s">
        <v>189</v>
      </c>
      <c r="I1047" t="s">
        <v>2616</v>
      </c>
      <c r="J1047">
        <v>1</v>
      </c>
      <c r="K1047">
        <v>181</v>
      </c>
    </row>
    <row r="1048" spans="1:11" x14ac:dyDescent="0.2">
      <c r="A1048" t="s">
        <v>4055</v>
      </c>
      <c r="B1048">
        <v>150185</v>
      </c>
      <c r="C1048" t="s">
        <v>783</v>
      </c>
      <c r="D1048" t="s">
        <v>4111</v>
      </c>
      <c r="E1048" t="s">
        <v>189</v>
      </c>
      <c r="F1048" t="s">
        <v>189</v>
      </c>
      <c r="G1048" t="s">
        <v>4053</v>
      </c>
      <c r="H1048" t="s">
        <v>189</v>
      </c>
      <c r="I1048" t="s">
        <v>2666</v>
      </c>
      <c r="J1048">
        <v>1</v>
      </c>
      <c r="K1048">
        <v>196</v>
      </c>
    </row>
    <row r="1049" spans="1:11" x14ac:dyDescent="0.2">
      <c r="A1049" t="s">
        <v>4055</v>
      </c>
      <c r="B1049">
        <v>150618</v>
      </c>
      <c r="C1049" t="s">
        <v>1920</v>
      </c>
      <c r="D1049" t="s">
        <v>4178</v>
      </c>
      <c r="E1049" t="s">
        <v>189</v>
      </c>
      <c r="F1049" t="s">
        <v>189</v>
      </c>
      <c r="G1049" t="s">
        <v>4053</v>
      </c>
      <c r="H1049" t="s">
        <v>189</v>
      </c>
      <c r="I1049" t="s">
        <v>2616</v>
      </c>
      <c r="J1049">
        <v>1</v>
      </c>
      <c r="K1049">
        <v>634</v>
      </c>
    </row>
    <row r="1050" spans="1:11" x14ac:dyDescent="0.2">
      <c r="A1050" t="s">
        <v>4055</v>
      </c>
      <c r="B1050">
        <v>150182</v>
      </c>
      <c r="C1050" t="s">
        <v>1879</v>
      </c>
      <c r="D1050" t="s">
        <v>4170</v>
      </c>
      <c r="E1050" t="s">
        <v>189</v>
      </c>
      <c r="F1050" t="s">
        <v>189</v>
      </c>
      <c r="G1050" t="s">
        <v>4125</v>
      </c>
      <c r="H1050" t="s">
        <v>189</v>
      </c>
      <c r="I1050" t="s">
        <v>2616</v>
      </c>
      <c r="J1050">
        <v>1</v>
      </c>
      <c r="K1050">
        <v>328</v>
      </c>
    </row>
    <row r="1051" spans="1:11" x14ac:dyDescent="0.2">
      <c r="A1051" t="s">
        <v>4055</v>
      </c>
      <c r="B1051">
        <v>152012</v>
      </c>
      <c r="C1051" t="s">
        <v>1956</v>
      </c>
      <c r="D1051" t="s">
        <v>4147</v>
      </c>
      <c r="E1051" t="s">
        <v>189</v>
      </c>
      <c r="F1051" t="s">
        <v>189</v>
      </c>
      <c r="G1051" t="s">
        <v>4053</v>
      </c>
      <c r="H1051" t="s">
        <v>189</v>
      </c>
      <c r="I1051" t="s">
        <v>2616</v>
      </c>
      <c r="J1051">
        <v>1</v>
      </c>
      <c r="K1051">
        <v>65</v>
      </c>
    </row>
    <row r="1052" spans="1:11" x14ac:dyDescent="0.2">
      <c r="A1052" t="s">
        <v>4055</v>
      </c>
      <c r="B1052">
        <v>152035</v>
      </c>
      <c r="C1052" t="s">
        <v>1970</v>
      </c>
      <c r="D1052" t="s">
        <v>4096</v>
      </c>
      <c r="E1052" t="s">
        <v>189</v>
      </c>
      <c r="F1052" t="s">
        <v>189</v>
      </c>
      <c r="G1052" t="s">
        <v>4053</v>
      </c>
      <c r="H1052" t="s">
        <v>189</v>
      </c>
      <c r="I1052" t="s">
        <v>2616</v>
      </c>
      <c r="J1052">
        <v>1</v>
      </c>
      <c r="K1052">
        <v>327</v>
      </c>
    </row>
    <row r="1053" spans="1:11" x14ac:dyDescent="0.2">
      <c r="A1053" t="s">
        <v>4055</v>
      </c>
      <c r="B1053">
        <v>150149</v>
      </c>
      <c r="C1053" t="s">
        <v>1859</v>
      </c>
      <c r="D1053" t="s">
        <v>4062</v>
      </c>
      <c r="E1053" t="s">
        <v>189</v>
      </c>
      <c r="F1053" t="s">
        <v>189</v>
      </c>
      <c r="G1053" t="s">
        <v>4053</v>
      </c>
      <c r="H1053" t="s">
        <v>189</v>
      </c>
      <c r="I1053" t="s">
        <v>2616</v>
      </c>
      <c r="J1053">
        <v>1</v>
      </c>
      <c r="K1053">
        <v>455</v>
      </c>
    </row>
    <row r="1054" spans="1:11" x14ac:dyDescent="0.2">
      <c r="A1054" t="s">
        <v>4055</v>
      </c>
      <c r="B1054">
        <v>150231</v>
      </c>
      <c r="C1054" t="s">
        <v>790</v>
      </c>
      <c r="D1054" t="s">
        <v>4153</v>
      </c>
      <c r="E1054" t="s">
        <v>189</v>
      </c>
      <c r="F1054" t="s">
        <v>189</v>
      </c>
      <c r="G1054" t="s">
        <v>4125</v>
      </c>
      <c r="H1054" t="s">
        <v>189</v>
      </c>
      <c r="I1054" t="s">
        <v>2666</v>
      </c>
      <c r="J1054">
        <v>1</v>
      </c>
      <c r="K1054">
        <v>8</v>
      </c>
    </row>
    <row r="1055" spans="1:11" x14ac:dyDescent="0.2">
      <c r="A1055" t="s">
        <v>4055</v>
      </c>
      <c r="B1055">
        <v>150655</v>
      </c>
      <c r="C1055" t="s">
        <v>287</v>
      </c>
      <c r="D1055" t="s">
        <v>4151</v>
      </c>
      <c r="E1055" t="s">
        <v>189</v>
      </c>
      <c r="F1055" t="s">
        <v>189</v>
      </c>
      <c r="G1055" t="s">
        <v>4053</v>
      </c>
      <c r="H1055" t="s">
        <v>189</v>
      </c>
      <c r="I1055" t="s">
        <v>2666</v>
      </c>
      <c r="J1055">
        <v>1</v>
      </c>
      <c r="K1055">
        <v>175</v>
      </c>
    </row>
    <row r="1056" spans="1:11" x14ac:dyDescent="0.2">
      <c r="A1056" t="s">
        <v>4055</v>
      </c>
      <c r="B1056">
        <v>150638</v>
      </c>
      <c r="C1056" t="s">
        <v>1927</v>
      </c>
      <c r="D1056" t="s">
        <v>4119</v>
      </c>
      <c r="E1056" t="s">
        <v>189</v>
      </c>
      <c r="F1056" t="s">
        <v>189</v>
      </c>
      <c r="G1056" t="s">
        <v>4053</v>
      </c>
      <c r="H1056" t="s">
        <v>189</v>
      </c>
      <c r="I1056" t="s">
        <v>2616</v>
      </c>
      <c r="J1056">
        <v>1</v>
      </c>
      <c r="K1056">
        <v>239</v>
      </c>
    </row>
    <row r="1057" spans="1:11" x14ac:dyDescent="0.2">
      <c r="A1057" t="s">
        <v>4055</v>
      </c>
      <c r="B1057">
        <v>150224</v>
      </c>
      <c r="C1057" t="s">
        <v>1900</v>
      </c>
      <c r="D1057" t="s">
        <v>4168</v>
      </c>
      <c r="E1057" t="s">
        <v>189</v>
      </c>
      <c r="F1057" t="s">
        <v>189</v>
      </c>
      <c r="G1057" t="s">
        <v>4066</v>
      </c>
      <c r="H1057" t="s">
        <v>189</v>
      </c>
      <c r="I1057" t="s">
        <v>2616</v>
      </c>
      <c r="J1057">
        <v>1</v>
      </c>
      <c r="K1057">
        <v>234</v>
      </c>
    </row>
    <row r="1058" spans="1:11" x14ac:dyDescent="0.2">
      <c r="A1058" t="s">
        <v>4055</v>
      </c>
      <c r="B1058">
        <v>150151</v>
      </c>
      <c r="C1058" t="s">
        <v>1860</v>
      </c>
      <c r="D1058" t="s">
        <v>4067</v>
      </c>
      <c r="E1058" t="s">
        <v>189</v>
      </c>
      <c r="F1058" t="s">
        <v>189</v>
      </c>
      <c r="G1058" t="s">
        <v>4066</v>
      </c>
      <c r="H1058" t="s">
        <v>189</v>
      </c>
      <c r="I1058" t="s">
        <v>2616</v>
      </c>
      <c r="J1058">
        <v>1</v>
      </c>
      <c r="K1058">
        <v>387</v>
      </c>
    </row>
    <row r="1059" spans="1:11" x14ac:dyDescent="0.2">
      <c r="A1059" t="s">
        <v>4055</v>
      </c>
      <c r="B1059">
        <v>150154</v>
      </c>
      <c r="C1059" t="s">
        <v>1863</v>
      </c>
      <c r="D1059" t="s">
        <v>4109</v>
      </c>
      <c r="E1059" t="s">
        <v>189</v>
      </c>
      <c r="F1059" t="s">
        <v>189</v>
      </c>
      <c r="G1059" t="s">
        <v>4085</v>
      </c>
      <c r="H1059" t="s">
        <v>189</v>
      </c>
      <c r="I1059" t="s">
        <v>2616</v>
      </c>
      <c r="J1059">
        <v>1</v>
      </c>
      <c r="K1059">
        <v>822</v>
      </c>
    </row>
    <row r="1060" spans="1:11" x14ac:dyDescent="0.2">
      <c r="A1060" t="s">
        <v>4055</v>
      </c>
      <c r="B1060">
        <v>152038</v>
      </c>
      <c r="C1060" t="s">
        <v>1971</v>
      </c>
      <c r="D1060" t="s">
        <v>4117</v>
      </c>
      <c r="E1060" t="s">
        <v>189</v>
      </c>
      <c r="F1060" t="s">
        <v>189</v>
      </c>
      <c r="G1060" t="s">
        <v>4053</v>
      </c>
      <c r="H1060" t="s">
        <v>189</v>
      </c>
      <c r="I1060" t="s">
        <v>2616</v>
      </c>
      <c r="J1060">
        <v>1</v>
      </c>
      <c r="K1060">
        <v>44</v>
      </c>
    </row>
    <row r="1061" spans="1:11" x14ac:dyDescent="0.2">
      <c r="A1061" t="s">
        <v>4055</v>
      </c>
      <c r="B1061">
        <v>150212</v>
      </c>
      <c r="C1061" t="s">
        <v>1891</v>
      </c>
      <c r="D1061" t="s">
        <v>4150</v>
      </c>
      <c r="E1061" t="s">
        <v>189</v>
      </c>
      <c r="F1061" t="s">
        <v>189</v>
      </c>
      <c r="G1061" t="s">
        <v>4085</v>
      </c>
      <c r="H1061" t="s">
        <v>189</v>
      </c>
      <c r="I1061" t="s">
        <v>2616</v>
      </c>
      <c r="J1061">
        <v>1</v>
      </c>
      <c r="K1061">
        <v>552</v>
      </c>
    </row>
    <row r="1062" spans="1:11" x14ac:dyDescent="0.2">
      <c r="A1062" t="s">
        <v>4055</v>
      </c>
      <c r="B1062">
        <v>170070</v>
      </c>
      <c r="C1062" t="s">
        <v>2473</v>
      </c>
      <c r="D1062" t="s">
        <v>4091</v>
      </c>
      <c r="E1062" t="s">
        <v>187</v>
      </c>
      <c r="F1062" t="s">
        <v>187</v>
      </c>
      <c r="G1062" t="s">
        <v>3940</v>
      </c>
      <c r="H1062" t="s">
        <v>187</v>
      </c>
      <c r="I1062" t="s">
        <v>2666</v>
      </c>
      <c r="J1062">
        <v>1</v>
      </c>
      <c r="K1062">
        <v>100</v>
      </c>
    </row>
    <row r="1063" spans="1:11" x14ac:dyDescent="0.2">
      <c r="A1063" t="s">
        <v>4055</v>
      </c>
      <c r="B1063">
        <v>150612</v>
      </c>
      <c r="C1063" t="s">
        <v>1915</v>
      </c>
      <c r="D1063" t="s">
        <v>4097</v>
      </c>
      <c r="E1063" t="s">
        <v>189</v>
      </c>
      <c r="F1063" t="s">
        <v>189</v>
      </c>
      <c r="G1063" t="s">
        <v>4058</v>
      </c>
      <c r="H1063" t="s">
        <v>189</v>
      </c>
      <c r="I1063" t="s">
        <v>2616</v>
      </c>
      <c r="J1063">
        <v>1</v>
      </c>
      <c r="K1063">
        <v>287</v>
      </c>
    </row>
    <row r="1064" spans="1:11" x14ac:dyDescent="0.2">
      <c r="A1064" t="s">
        <v>4055</v>
      </c>
      <c r="B1064">
        <v>152007</v>
      </c>
      <c r="C1064" t="s">
        <v>1951</v>
      </c>
      <c r="D1064" t="s">
        <v>4142</v>
      </c>
      <c r="E1064" t="s">
        <v>189</v>
      </c>
      <c r="F1064" t="s">
        <v>189</v>
      </c>
      <c r="G1064" t="s">
        <v>4053</v>
      </c>
      <c r="H1064" t="s">
        <v>189</v>
      </c>
      <c r="I1064" t="s">
        <v>2616</v>
      </c>
      <c r="J1064">
        <v>1</v>
      </c>
      <c r="K1064">
        <v>224</v>
      </c>
    </row>
    <row r="1065" spans="1:11" x14ac:dyDescent="0.2">
      <c r="A1065" t="s">
        <v>4055</v>
      </c>
      <c r="B1065">
        <v>150082</v>
      </c>
      <c r="C1065" t="s">
        <v>4174</v>
      </c>
      <c r="D1065" t="s">
        <v>4173</v>
      </c>
      <c r="E1065" t="s">
        <v>189</v>
      </c>
      <c r="F1065" t="s">
        <v>189</v>
      </c>
      <c r="G1065" t="s">
        <v>4125</v>
      </c>
      <c r="H1065" t="s">
        <v>189</v>
      </c>
      <c r="I1065" t="s">
        <v>2616</v>
      </c>
      <c r="J1065">
        <v>1</v>
      </c>
      <c r="K1065">
        <v>19581.12</v>
      </c>
    </row>
    <row r="1066" spans="1:11" x14ac:dyDescent="0.2">
      <c r="A1066" t="s">
        <v>4055</v>
      </c>
      <c r="B1066">
        <v>150640</v>
      </c>
      <c r="C1066" t="s">
        <v>1929</v>
      </c>
      <c r="D1066" t="s">
        <v>4077</v>
      </c>
      <c r="E1066" t="s">
        <v>189</v>
      </c>
      <c r="F1066" t="s">
        <v>189</v>
      </c>
      <c r="G1066" t="s">
        <v>4053</v>
      </c>
      <c r="H1066" t="s">
        <v>189</v>
      </c>
      <c r="I1066" t="s">
        <v>2616</v>
      </c>
      <c r="J1066">
        <v>1</v>
      </c>
      <c r="K1066">
        <v>295</v>
      </c>
    </row>
    <row r="1067" spans="1:11" x14ac:dyDescent="0.2">
      <c r="A1067" t="s">
        <v>4055</v>
      </c>
      <c r="B1067">
        <v>150044</v>
      </c>
      <c r="C1067" t="s">
        <v>1815</v>
      </c>
      <c r="D1067" t="s">
        <v>4166</v>
      </c>
      <c r="E1067" t="s">
        <v>189</v>
      </c>
      <c r="F1067" t="s">
        <v>189</v>
      </c>
      <c r="G1067" t="s">
        <v>4053</v>
      </c>
      <c r="H1067" t="s">
        <v>189</v>
      </c>
      <c r="I1067" t="s">
        <v>2616</v>
      </c>
      <c r="J1067">
        <v>1</v>
      </c>
      <c r="K1067">
        <v>170</v>
      </c>
    </row>
    <row r="1068" spans="1:11" x14ac:dyDescent="0.2">
      <c r="A1068" t="s">
        <v>4055</v>
      </c>
      <c r="B1068">
        <v>150649</v>
      </c>
      <c r="C1068" t="s">
        <v>1935</v>
      </c>
      <c r="D1068" t="s">
        <v>4106</v>
      </c>
      <c r="E1068" t="s">
        <v>189</v>
      </c>
      <c r="F1068" t="s">
        <v>189</v>
      </c>
      <c r="G1068" t="s">
        <v>4053</v>
      </c>
      <c r="H1068" t="s">
        <v>189</v>
      </c>
      <c r="I1068" t="s">
        <v>2616</v>
      </c>
      <c r="J1068">
        <v>1</v>
      </c>
      <c r="K1068">
        <v>327</v>
      </c>
    </row>
    <row r="1069" spans="1:11" x14ac:dyDescent="0.2">
      <c r="A1069" t="s">
        <v>4055</v>
      </c>
      <c r="B1069">
        <v>150068</v>
      </c>
      <c r="C1069" t="s">
        <v>1829</v>
      </c>
      <c r="D1069" t="s">
        <v>4084</v>
      </c>
      <c r="E1069" t="s">
        <v>189</v>
      </c>
      <c r="F1069" t="s">
        <v>189</v>
      </c>
      <c r="G1069" t="s">
        <v>4058</v>
      </c>
      <c r="H1069" t="s">
        <v>189</v>
      </c>
      <c r="I1069" t="s">
        <v>2616</v>
      </c>
      <c r="J1069">
        <v>1</v>
      </c>
      <c r="K1069">
        <v>103</v>
      </c>
    </row>
    <row r="1070" spans="1:11" x14ac:dyDescent="0.2">
      <c r="A1070" t="s">
        <v>4055</v>
      </c>
      <c r="B1070">
        <v>150188</v>
      </c>
      <c r="C1070" t="s">
        <v>1883</v>
      </c>
      <c r="D1070" t="s">
        <v>4092</v>
      </c>
      <c r="E1070" t="s">
        <v>189</v>
      </c>
      <c r="F1070" t="s">
        <v>189</v>
      </c>
      <c r="G1070" t="s">
        <v>4053</v>
      </c>
      <c r="H1070" t="s">
        <v>189</v>
      </c>
      <c r="I1070" t="s">
        <v>2616</v>
      </c>
      <c r="J1070">
        <v>1</v>
      </c>
      <c r="K1070">
        <v>34</v>
      </c>
    </row>
    <row r="1071" spans="1:11" x14ac:dyDescent="0.2">
      <c r="A1071" t="s">
        <v>4055</v>
      </c>
      <c r="B1071">
        <v>150646</v>
      </c>
      <c r="C1071" t="s">
        <v>1932</v>
      </c>
      <c r="D1071" t="s">
        <v>4054</v>
      </c>
      <c r="E1071" t="s">
        <v>189</v>
      </c>
      <c r="F1071" t="s">
        <v>189</v>
      </c>
      <c r="G1071" t="s">
        <v>4053</v>
      </c>
      <c r="H1071" t="s">
        <v>189</v>
      </c>
      <c r="I1071" t="s">
        <v>2616</v>
      </c>
      <c r="J1071">
        <v>1</v>
      </c>
      <c r="K1071">
        <v>218</v>
      </c>
    </row>
    <row r="1072" spans="1:11" x14ac:dyDescent="0.2">
      <c r="A1072" t="s">
        <v>4055</v>
      </c>
      <c r="B1072">
        <v>150009</v>
      </c>
      <c r="C1072" t="s">
        <v>763</v>
      </c>
      <c r="D1072" t="s">
        <v>4175</v>
      </c>
      <c r="E1072" t="s">
        <v>189</v>
      </c>
      <c r="F1072" t="s">
        <v>189</v>
      </c>
      <c r="G1072" t="s">
        <v>4125</v>
      </c>
      <c r="H1072" t="s">
        <v>189</v>
      </c>
      <c r="I1072" t="s">
        <v>2666</v>
      </c>
      <c r="J1072">
        <v>1</v>
      </c>
      <c r="K1072">
        <v>3</v>
      </c>
    </row>
    <row r="1073" spans="1:11" x14ac:dyDescent="0.2">
      <c r="A1073" t="s">
        <v>4055</v>
      </c>
      <c r="B1073">
        <v>150184</v>
      </c>
      <c r="C1073" t="s">
        <v>1881</v>
      </c>
      <c r="D1073" t="s">
        <v>4110</v>
      </c>
      <c r="E1073" t="s">
        <v>189</v>
      </c>
      <c r="F1073" t="s">
        <v>189</v>
      </c>
      <c r="G1073" t="s">
        <v>4053</v>
      </c>
      <c r="H1073" t="s">
        <v>189</v>
      </c>
      <c r="I1073" t="s">
        <v>2616</v>
      </c>
      <c r="J1073">
        <v>1</v>
      </c>
      <c r="K1073">
        <v>150</v>
      </c>
    </row>
    <row r="1074" spans="1:11" x14ac:dyDescent="0.2">
      <c r="A1074" t="s">
        <v>4055</v>
      </c>
      <c r="B1074">
        <v>150065</v>
      </c>
      <c r="C1074" t="s">
        <v>1826</v>
      </c>
      <c r="D1074" t="s">
        <v>4183</v>
      </c>
      <c r="E1074" t="s">
        <v>189</v>
      </c>
      <c r="F1074" t="s">
        <v>189</v>
      </c>
      <c r="G1074" t="s">
        <v>4053</v>
      </c>
      <c r="H1074" t="s">
        <v>189</v>
      </c>
      <c r="I1074" t="s">
        <v>2616</v>
      </c>
      <c r="J1074">
        <v>1</v>
      </c>
      <c r="K1074">
        <v>344</v>
      </c>
    </row>
    <row r="1075" spans="1:11" x14ac:dyDescent="0.2">
      <c r="A1075" t="s">
        <v>4055</v>
      </c>
      <c r="B1075">
        <v>150148</v>
      </c>
      <c r="C1075" t="s">
        <v>781</v>
      </c>
      <c r="D1075" t="s">
        <v>4181</v>
      </c>
      <c r="E1075" t="s">
        <v>189</v>
      </c>
      <c r="F1075" t="s">
        <v>189</v>
      </c>
      <c r="G1075" t="s">
        <v>4073</v>
      </c>
      <c r="H1075" t="s">
        <v>189</v>
      </c>
      <c r="I1075" t="s">
        <v>2666</v>
      </c>
      <c r="J1075">
        <v>1</v>
      </c>
      <c r="K1075">
        <v>16</v>
      </c>
    </row>
    <row r="1076" spans="1:11" x14ac:dyDescent="0.2">
      <c r="A1076" t="s">
        <v>4055</v>
      </c>
      <c r="B1076">
        <v>152010</v>
      </c>
      <c r="C1076" t="s">
        <v>1954</v>
      </c>
      <c r="D1076" t="s">
        <v>4122</v>
      </c>
      <c r="E1076" t="s">
        <v>189</v>
      </c>
      <c r="F1076" t="s">
        <v>189</v>
      </c>
      <c r="G1076" t="s">
        <v>4053</v>
      </c>
      <c r="H1076" t="s">
        <v>189</v>
      </c>
      <c r="I1076" t="s">
        <v>2616</v>
      </c>
      <c r="J1076">
        <v>1</v>
      </c>
      <c r="K1076">
        <v>427</v>
      </c>
    </row>
    <row r="1077" spans="1:11" x14ac:dyDescent="0.2">
      <c r="A1077" t="s">
        <v>4055</v>
      </c>
      <c r="B1077">
        <v>152013</v>
      </c>
      <c r="C1077" t="s">
        <v>1957</v>
      </c>
      <c r="D1077" t="s">
        <v>4134</v>
      </c>
      <c r="E1077" t="s">
        <v>189</v>
      </c>
      <c r="F1077" t="s">
        <v>189</v>
      </c>
      <c r="G1077" t="s">
        <v>4053</v>
      </c>
      <c r="H1077" t="s">
        <v>189</v>
      </c>
      <c r="I1077" t="s">
        <v>2616</v>
      </c>
      <c r="J1077">
        <v>1</v>
      </c>
      <c r="K1077">
        <v>364</v>
      </c>
    </row>
    <row r="1078" spans="1:11" x14ac:dyDescent="0.2">
      <c r="A1078" t="s">
        <v>4055</v>
      </c>
      <c r="B1078">
        <v>152029</v>
      </c>
      <c r="C1078" t="s">
        <v>1966</v>
      </c>
      <c r="D1078" t="s">
        <v>4087</v>
      </c>
      <c r="E1078" t="s">
        <v>189</v>
      </c>
      <c r="F1078" t="s">
        <v>189</v>
      </c>
      <c r="G1078" t="s">
        <v>4053</v>
      </c>
      <c r="H1078" t="s">
        <v>189</v>
      </c>
      <c r="I1078" t="s">
        <v>2616</v>
      </c>
      <c r="J1078">
        <v>1</v>
      </c>
      <c r="K1078">
        <v>182</v>
      </c>
    </row>
    <row r="1079" spans="1:11" x14ac:dyDescent="0.2">
      <c r="A1079" t="s">
        <v>4055</v>
      </c>
      <c r="B1079">
        <v>152006</v>
      </c>
      <c r="C1079" t="s">
        <v>1950</v>
      </c>
      <c r="D1079" t="s">
        <v>4132</v>
      </c>
      <c r="E1079" t="s">
        <v>189</v>
      </c>
      <c r="F1079" t="s">
        <v>189</v>
      </c>
      <c r="G1079" t="s">
        <v>4053</v>
      </c>
      <c r="H1079" t="s">
        <v>189</v>
      </c>
      <c r="I1079" t="s">
        <v>2616</v>
      </c>
      <c r="J1079">
        <v>1</v>
      </c>
      <c r="K1079">
        <v>320</v>
      </c>
    </row>
    <row r="1080" spans="1:11" x14ac:dyDescent="0.2">
      <c r="A1080" t="s">
        <v>4055</v>
      </c>
      <c r="B1080">
        <v>152018</v>
      </c>
      <c r="C1080" t="s">
        <v>1961</v>
      </c>
      <c r="D1080" t="s">
        <v>4172</v>
      </c>
      <c r="E1080" t="s">
        <v>189</v>
      </c>
      <c r="F1080" t="s">
        <v>189</v>
      </c>
      <c r="G1080" t="s">
        <v>4053</v>
      </c>
      <c r="H1080" t="s">
        <v>189</v>
      </c>
      <c r="I1080" t="s">
        <v>2616</v>
      </c>
      <c r="J1080">
        <v>1</v>
      </c>
      <c r="K1080">
        <v>201</v>
      </c>
    </row>
    <row r="1081" spans="1:11" x14ac:dyDescent="0.2">
      <c r="A1081" t="s">
        <v>4055</v>
      </c>
      <c r="B1081">
        <v>152031</v>
      </c>
      <c r="C1081" t="s">
        <v>1968</v>
      </c>
      <c r="D1081" t="s">
        <v>4083</v>
      </c>
      <c r="E1081" t="s">
        <v>189</v>
      </c>
      <c r="F1081" t="s">
        <v>189</v>
      </c>
      <c r="G1081" t="s">
        <v>4053</v>
      </c>
      <c r="H1081" t="s">
        <v>189</v>
      </c>
      <c r="I1081" t="s">
        <v>2616</v>
      </c>
      <c r="J1081">
        <v>1</v>
      </c>
      <c r="K1081">
        <v>75</v>
      </c>
    </row>
    <row r="1082" spans="1:11" x14ac:dyDescent="0.2">
      <c r="A1082" t="s">
        <v>4055</v>
      </c>
      <c r="B1082">
        <v>150173</v>
      </c>
      <c r="C1082" t="s">
        <v>1875</v>
      </c>
      <c r="D1082" t="s">
        <v>4131</v>
      </c>
      <c r="E1082" t="s">
        <v>189</v>
      </c>
      <c r="F1082" t="s">
        <v>189</v>
      </c>
      <c r="G1082" t="s">
        <v>4130</v>
      </c>
      <c r="H1082" t="s">
        <v>189</v>
      </c>
      <c r="I1082" t="s">
        <v>2616</v>
      </c>
      <c r="J1082">
        <v>1</v>
      </c>
      <c r="K1082">
        <v>785</v>
      </c>
    </row>
    <row r="1083" spans="1:11" x14ac:dyDescent="0.2">
      <c r="A1083" t="s">
        <v>4055</v>
      </c>
      <c r="B1083">
        <v>152034</v>
      </c>
      <c r="C1083" t="s">
        <v>803</v>
      </c>
      <c r="D1083" t="s">
        <v>4081</v>
      </c>
      <c r="E1083" t="s">
        <v>189</v>
      </c>
      <c r="F1083" t="s">
        <v>189</v>
      </c>
      <c r="G1083" t="s">
        <v>4053</v>
      </c>
      <c r="H1083" t="s">
        <v>189</v>
      </c>
      <c r="I1083" t="s">
        <v>2666</v>
      </c>
      <c r="J1083">
        <v>1</v>
      </c>
      <c r="K1083">
        <v>30</v>
      </c>
    </row>
    <row r="1084" spans="1:11" x14ac:dyDescent="0.2">
      <c r="A1084" t="s">
        <v>4055</v>
      </c>
      <c r="B1084">
        <v>150624</v>
      </c>
      <c r="C1084" t="s">
        <v>1923</v>
      </c>
      <c r="D1084" t="s">
        <v>4090</v>
      </c>
      <c r="E1084" t="s">
        <v>189</v>
      </c>
      <c r="F1084" t="s">
        <v>189</v>
      </c>
      <c r="G1084" t="s">
        <v>4073</v>
      </c>
      <c r="H1084" t="s">
        <v>189</v>
      </c>
      <c r="I1084" t="s">
        <v>2616</v>
      </c>
      <c r="J1084">
        <v>1</v>
      </c>
      <c r="K1084">
        <v>979</v>
      </c>
    </row>
    <row r="1085" spans="1:11" x14ac:dyDescent="0.2">
      <c r="A1085" t="s">
        <v>4055</v>
      </c>
      <c r="B1085">
        <v>150011</v>
      </c>
      <c r="C1085" t="s">
        <v>1799</v>
      </c>
      <c r="D1085" t="s">
        <v>4079</v>
      </c>
      <c r="E1085" t="s">
        <v>189</v>
      </c>
      <c r="F1085" t="s">
        <v>189</v>
      </c>
      <c r="G1085" t="s">
        <v>4053</v>
      </c>
      <c r="H1085" t="s">
        <v>189</v>
      </c>
      <c r="I1085" t="s">
        <v>2616</v>
      </c>
      <c r="J1085">
        <v>1</v>
      </c>
      <c r="K1085">
        <v>454</v>
      </c>
    </row>
    <row r="1086" spans="1:11" x14ac:dyDescent="0.2">
      <c r="A1086" t="s">
        <v>4055</v>
      </c>
      <c r="B1086">
        <v>150156</v>
      </c>
      <c r="C1086" t="s">
        <v>1865</v>
      </c>
      <c r="D1086" t="s">
        <v>4076</v>
      </c>
      <c r="E1086" t="s">
        <v>189</v>
      </c>
      <c r="F1086" t="s">
        <v>189</v>
      </c>
      <c r="G1086" t="s">
        <v>4053</v>
      </c>
      <c r="H1086" t="s">
        <v>189</v>
      </c>
      <c r="I1086" t="s">
        <v>2616</v>
      </c>
      <c r="J1086">
        <v>1</v>
      </c>
      <c r="K1086">
        <v>323</v>
      </c>
    </row>
    <row r="1087" spans="1:11" x14ac:dyDescent="0.2">
      <c r="A1087" t="s">
        <v>4055</v>
      </c>
      <c r="B1087">
        <v>152015</v>
      </c>
      <c r="C1087" t="s">
        <v>1959</v>
      </c>
      <c r="D1087" t="s">
        <v>4060</v>
      </c>
      <c r="E1087" t="s">
        <v>189</v>
      </c>
      <c r="F1087" t="s">
        <v>189</v>
      </c>
      <c r="G1087" t="s">
        <v>4053</v>
      </c>
      <c r="H1087" t="s">
        <v>189</v>
      </c>
      <c r="I1087" t="s">
        <v>2616</v>
      </c>
      <c r="J1087">
        <v>1</v>
      </c>
      <c r="K1087">
        <v>364</v>
      </c>
    </row>
    <row r="1088" spans="1:11" x14ac:dyDescent="0.2">
      <c r="A1088" t="s">
        <v>4055</v>
      </c>
      <c r="B1088">
        <v>150089</v>
      </c>
      <c r="C1088" t="s">
        <v>1835</v>
      </c>
      <c r="D1088" t="s">
        <v>4126</v>
      </c>
      <c r="E1088" t="s">
        <v>189</v>
      </c>
      <c r="F1088" t="s">
        <v>189</v>
      </c>
      <c r="G1088" t="s">
        <v>4125</v>
      </c>
      <c r="H1088" t="s">
        <v>189</v>
      </c>
      <c r="I1088" t="s">
        <v>2616</v>
      </c>
      <c r="J1088">
        <v>1</v>
      </c>
      <c r="K1088">
        <v>1521</v>
      </c>
    </row>
    <row r="1089" spans="1:11" x14ac:dyDescent="0.2">
      <c r="A1089" t="s">
        <v>4055</v>
      </c>
      <c r="B1089">
        <v>150633</v>
      </c>
      <c r="C1089" t="s">
        <v>1925</v>
      </c>
      <c r="D1089" t="s">
        <v>4107</v>
      </c>
      <c r="E1089" t="s">
        <v>189</v>
      </c>
      <c r="F1089" t="s">
        <v>189</v>
      </c>
      <c r="G1089" t="s">
        <v>4053</v>
      </c>
      <c r="H1089" t="s">
        <v>189</v>
      </c>
      <c r="I1089" t="s">
        <v>2616</v>
      </c>
      <c r="J1089">
        <v>1</v>
      </c>
      <c r="K1089">
        <v>195</v>
      </c>
    </row>
    <row r="1090" spans="1:11" x14ac:dyDescent="0.2">
      <c r="A1090" t="s">
        <v>4055</v>
      </c>
      <c r="B1090">
        <v>150218</v>
      </c>
      <c r="C1090" t="s">
        <v>1895</v>
      </c>
      <c r="D1090" t="s">
        <v>4129</v>
      </c>
      <c r="E1090" t="s">
        <v>189</v>
      </c>
      <c r="F1090" t="s">
        <v>189</v>
      </c>
      <c r="G1090" t="s">
        <v>4058</v>
      </c>
      <c r="H1090" t="s">
        <v>189</v>
      </c>
      <c r="I1090" t="s">
        <v>2616</v>
      </c>
      <c r="J1090">
        <v>1</v>
      </c>
      <c r="K1090">
        <v>327</v>
      </c>
    </row>
    <row r="1091" spans="1:11" x14ac:dyDescent="0.2">
      <c r="A1091" t="s">
        <v>4055</v>
      </c>
      <c r="B1091">
        <v>150165</v>
      </c>
      <c r="C1091" t="s">
        <v>1377</v>
      </c>
      <c r="D1091" t="s">
        <v>4068</v>
      </c>
      <c r="E1091" t="s">
        <v>189</v>
      </c>
      <c r="F1091" t="s">
        <v>189</v>
      </c>
      <c r="G1091" t="s">
        <v>4053</v>
      </c>
      <c r="H1091" t="s">
        <v>189</v>
      </c>
      <c r="I1091" t="s">
        <v>2666</v>
      </c>
      <c r="J1091">
        <v>1</v>
      </c>
      <c r="K1091">
        <v>56</v>
      </c>
    </row>
    <row r="1092" spans="1:11" x14ac:dyDescent="0.2">
      <c r="A1092" t="s">
        <v>4055</v>
      </c>
      <c r="B1092">
        <v>150606</v>
      </c>
      <c r="C1092" t="s">
        <v>1912</v>
      </c>
      <c r="D1092" t="s">
        <v>4162</v>
      </c>
      <c r="E1092" t="s">
        <v>189</v>
      </c>
      <c r="F1092" t="s">
        <v>189</v>
      </c>
      <c r="G1092" t="s">
        <v>4053</v>
      </c>
      <c r="H1092" t="s">
        <v>189</v>
      </c>
      <c r="I1092" t="s">
        <v>2616</v>
      </c>
      <c r="J1092">
        <v>1</v>
      </c>
      <c r="K1092">
        <v>6</v>
      </c>
    </row>
    <row r="1093" spans="1:11" x14ac:dyDescent="0.2">
      <c r="A1093" t="s">
        <v>4055</v>
      </c>
      <c r="B1093">
        <v>150225</v>
      </c>
      <c r="C1093" t="s">
        <v>1901</v>
      </c>
      <c r="D1093" t="s">
        <v>4144</v>
      </c>
      <c r="E1093" t="s">
        <v>189</v>
      </c>
      <c r="F1093" t="s">
        <v>189</v>
      </c>
      <c r="G1093" t="s">
        <v>4066</v>
      </c>
      <c r="H1093" t="s">
        <v>189</v>
      </c>
      <c r="I1093" t="s">
        <v>2616</v>
      </c>
      <c r="J1093">
        <v>1</v>
      </c>
      <c r="K1093">
        <v>385</v>
      </c>
    </row>
    <row r="1094" spans="1:11" x14ac:dyDescent="0.2">
      <c r="A1094" t="s">
        <v>4055</v>
      </c>
      <c r="B1094">
        <v>150211</v>
      </c>
      <c r="C1094" t="s">
        <v>1890</v>
      </c>
      <c r="D1094" t="s">
        <v>4146</v>
      </c>
      <c r="E1094" t="s">
        <v>189</v>
      </c>
      <c r="F1094" t="s">
        <v>189</v>
      </c>
      <c r="G1094" t="s">
        <v>4085</v>
      </c>
      <c r="H1094" t="s">
        <v>189</v>
      </c>
      <c r="I1094" t="s">
        <v>2616</v>
      </c>
      <c r="J1094">
        <v>1</v>
      </c>
      <c r="K1094">
        <v>392</v>
      </c>
    </row>
    <row r="1095" spans="1:11" x14ac:dyDescent="0.2">
      <c r="A1095" t="s">
        <v>4055</v>
      </c>
      <c r="B1095">
        <v>150647</v>
      </c>
      <c r="C1095" t="s">
        <v>1933</v>
      </c>
      <c r="D1095" t="s">
        <v>4056</v>
      </c>
      <c r="E1095" t="s">
        <v>189</v>
      </c>
      <c r="F1095" t="s">
        <v>189</v>
      </c>
      <c r="G1095" t="s">
        <v>4053</v>
      </c>
      <c r="H1095" t="s">
        <v>189</v>
      </c>
      <c r="I1095" t="s">
        <v>2616</v>
      </c>
      <c r="J1095">
        <v>1</v>
      </c>
      <c r="K1095">
        <v>237</v>
      </c>
    </row>
    <row r="1096" spans="1:11" x14ac:dyDescent="0.2">
      <c r="A1096" t="s">
        <v>4055</v>
      </c>
      <c r="B1096">
        <v>150164</v>
      </c>
      <c r="C1096" t="s">
        <v>1869</v>
      </c>
      <c r="D1096" t="s">
        <v>4104</v>
      </c>
      <c r="E1096" t="s">
        <v>189</v>
      </c>
      <c r="F1096" t="s">
        <v>189</v>
      </c>
      <c r="G1096" t="s">
        <v>4085</v>
      </c>
      <c r="H1096" t="s">
        <v>189</v>
      </c>
      <c r="I1096" t="s">
        <v>2616</v>
      </c>
      <c r="J1096">
        <v>1</v>
      </c>
      <c r="K1096">
        <v>40</v>
      </c>
    </row>
    <row r="1097" spans="1:11" x14ac:dyDescent="0.2">
      <c r="A1097" t="s">
        <v>4055</v>
      </c>
      <c r="B1097">
        <v>150645</v>
      </c>
      <c r="C1097" t="s">
        <v>1931</v>
      </c>
      <c r="D1097" t="s">
        <v>4089</v>
      </c>
      <c r="E1097" t="s">
        <v>189</v>
      </c>
      <c r="F1097" t="s">
        <v>189</v>
      </c>
      <c r="G1097" t="s">
        <v>4053</v>
      </c>
      <c r="H1097" t="s">
        <v>189</v>
      </c>
      <c r="I1097" t="s">
        <v>2616</v>
      </c>
      <c r="J1097">
        <v>1</v>
      </c>
      <c r="K1097">
        <v>279</v>
      </c>
    </row>
    <row r="1098" spans="1:11" x14ac:dyDescent="0.2">
      <c r="A1098" t="s">
        <v>4055</v>
      </c>
      <c r="B1098">
        <v>150616</v>
      </c>
      <c r="C1098" t="s">
        <v>1918</v>
      </c>
      <c r="D1098" t="s">
        <v>4065</v>
      </c>
      <c r="E1098" t="s">
        <v>189</v>
      </c>
      <c r="F1098" t="s">
        <v>189</v>
      </c>
      <c r="G1098" t="s">
        <v>4058</v>
      </c>
      <c r="H1098" t="s">
        <v>189</v>
      </c>
      <c r="I1098" t="s">
        <v>2616</v>
      </c>
      <c r="J1098">
        <v>1</v>
      </c>
      <c r="K1098">
        <v>327</v>
      </c>
    </row>
    <row r="1099" spans="1:11" x14ac:dyDescent="0.2">
      <c r="A1099" t="s">
        <v>4055</v>
      </c>
      <c r="B1099">
        <v>152025</v>
      </c>
      <c r="C1099" t="s">
        <v>1963</v>
      </c>
      <c r="D1099" t="s">
        <v>4071</v>
      </c>
      <c r="E1099" t="s">
        <v>189</v>
      </c>
      <c r="F1099" t="s">
        <v>189</v>
      </c>
      <c r="G1099" t="s">
        <v>4053</v>
      </c>
      <c r="H1099" t="s">
        <v>189</v>
      </c>
      <c r="I1099" t="s">
        <v>2616</v>
      </c>
      <c r="J1099">
        <v>1</v>
      </c>
      <c r="K1099">
        <v>237</v>
      </c>
    </row>
    <row r="1100" spans="1:11" x14ac:dyDescent="0.2">
      <c r="A1100" t="s">
        <v>4055</v>
      </c>
      <c r="B1100">
        <v>150637</v>
      </c>
      <c r="C1100" t="s">
        <v>1926</v>
      </c>
      <c r="D1100" t="s">
        <v>4113</v>
      </c>
      <c r="E1100" t="s">
        <v>189</v>
      </c>
      <c r="F1100" t="s">
        <v>189</v>
      </c>
      <c r="G1100" t="s">
        <v>4053</v>
      </c>
      <c r="H1100" t="s">
        <v>189</v>
      </c>
      <c r="I1100" t="s">
        <v>2616</v>
      </c>
      <c r="J1100">
        <v>1</v>
      </c>
      <c r="K1100">
        <v>218</v>
      </c>
    </row>
    <row r="1101" spans="1:11" x14ac:dyDescent="0.2">
      <c r="A1101" t="s">
        <v>4055</v>
      </c>
      <c r="B1101">
        <v>150222</v>
      </c>
      <c r="C1101" t="s">
        <v>1898</v>
      </c>
      <c r="D1101" t="s">
        <v>4080</v>
      </c>
      <c r="E1101" t="s">
        <v>189</v>
      </c>
      <c r="F1101" t="s">
        <v>189</v>
      </c>
      <c r="G1101" t="s">
        <v>4066</v>
      </c>
      <c r="H1101" t="s">
        <v>189</v>
      </c>
      <c r="I1101" t="s">
        <v>2616</v>
      </c>
      <c r="J1101">
        <v>1</v>
      </c>
      <c r="K1101">
        <v>81</v>
      </c>
    </row>
    <row r="1102" spans="1:11" x14ac:dyDescent="0.2">
      <c r="A1102" t="s">
        <v>4055</v>
      </c>
      <c r="B1102">
        <v>152048</v>
      </c>
      <c r="C1102" t="s">
        <v>1974</v>
      </c>
      <c r="D1102" t="s">
        <v>4135</v>
      </c>
      <c r="E1102" t="s">
        <v>189</v>
      </c>
      <c r="F1102" t="s">
        <v>189</v>
      </c>
      <c r="G1102" t="s">
        <v>4053</v>
      </c>
      <c r="H1102" t="s">
        <v>189</v>
      </c>
      <c r="I1102" t="s">
        <v>2616</v>
      </c>
      <c r="J1102">
        <v>1</v>
      </c>
      <c r="K1102">
        <v>227</v>
      </c>
    </row>
    <row r="1103" spans="1:11" x14ac:dyDescent="0.2">
      <c r="A1103" t="s">
        <v>4055</v>
      </c>
      <c r="B1103">
        <v>150667</v>
      </c>
      <c r="C1103" t="s">
        <v>1938</v>
      </c>
      <c r="D1103" t="s">
        <v>4158</v>
      </c>
      <c r="E1103" t="s">
        <v>189</v>
      </c>
      <c r="F1103" t="s">
        <v>189</v>
      </c>
      <c r="G1103" t="s">
        <v>4058</v>
      </c>
      <c r="H1103" t="s">
        <v>189</v>
      </c>
      <c r="I1103" t="s">
        <v>2616</v>
      </c>
      <c r="J1103">
        <v>1</v>
      </c>
      <c r="K1103">
        <v>105</v>
      </c>
    </row>
    <row r="1104" spans="1:11" x14ac:dyDescent="0.2">
      <c r="A1104" t="s">
        <v>4055</v>
      </c>
      <c r="B1104">
        <v>150626</v>
      </c>
      <c r="C1104" t="s">
        <v>2570</v>
      </c>
      <c r="D1104" t="s">
        <v>4075</v>
      </c>
      <c r="E1104" t="s">
        <v>189</v>
      </c>
      <c r="F1104" t="s">
        <v>189</v>
      </c>
      <c r="G1104" t="s">
        <v>4053</v>
      </c>
      <c r="H1104" t="s">
        <v>189</v>
      </c>
      <c r="I1104" t="s">
        <v>2666</v>
      </c>
      <c r="J1104">
        <v>1</v>
      </c>
      <c r="K1104">
        <v>25</v>
      </c>
    </row>
    <row r="1105" spans="1:11" x14ac:dyDescent="0.2">
      <c r="A1105" t="s">
        <v>4055</v>
      </c>
      <c r="B1105">
        <v>150064</v>
      </c>
      <c r="C1105" t="s">
        <v>1825</v>
      </c>
      <c r="D1105" t="s">
        <v>4103</v>
      </c>
      <c r="E1105" t="s">
        <v>189</v>
      </c>
      <c r="F1105" t="s">
        <v>189</v>
      </c>
      <c r="G1105" t="s">
        <v>4053</v>
      </c>
      <c r="H1105" t="s">
        <v>189</v>
      </c>
      <c r="I1105" t="s">
        <v>2616</v>
      </c>
      <c r="J1105">
        <v>1</v>
      </c>
      <c r="K1105">
        <v>58</v>
      </c>
    </row>
    <row r="1106" spans="1:11" x14ac:dyDescent="0.2">
      <c r="A1106" t="s">
        <v>4055</v>
      </c>
      <c r="B1106">
        <v>150223</v>
      </c>
      <c r="C1106" t="s">
        <v>1899</v>
      </c>
      <c r="D1106" t="s">
        <v>4114</v>
      </c>
      <c r="E1106" t="s">
        <v>189</v>
      </c>
      <c r="F1106" t="s">
        <v>189</v>
      </c>
      <c r="G1106" t="s">
        <v>4066</v>
      </c>
      <c r="H1106" t="s">
        <v>189</v>
      </c>
      <c r="I1106" t="s">
        <v>2616</v>
      </c>
      <c r="J1106">
        <v>1</v>
      </c>
      <c r="K1106">
        <v>157</v>
      </c>
    </row>
    <row r="1107" spans="1:11" x14ac:dyDescent="0.2">
      <c r="A1107" t="s">
        <v>4055</v>
      </c>
      <c r="B1107">
        <v>150163</v>
      </c>
      <c r="C1107" t="s">
        <v>1868</v>
      </c>
      <c r="D1107" t="s">
        <v>4100</v>
      </c>
      <c r="E1107" t="s">
        <v>189</v>
      </c>
      <c r="F1107" t="s">
        <v>189</v>
      </c>
      <c r="G1107" t="s">
        <v>4085</v>
      </c>
      <c r="H1107" t="s">
        <v>189</v>
      </c>
      <c r="I1107" t="s">
        <v>2616</v>
      </c>
      <c r="J1107">
        <v>1</v>
      </c>
      <c r="K1107">
        <v>60</v>
      </c>
    </row>
    <row r="1108" spans="1:11" x14ac:dyDescent="0.2">
      <c r="A1108" t="s">
        <v>4055</v>
      </c>
      <c r="B1108">
        <v>150062</v>
      </c>
      <c r="C1108" t="s">
        <v>1823</v>
      </c>
      <c r="D1108" t="s">
        <v>4098</v>
      </c>
      <c r="E1108" t="s">
        <v>189</v>
      </c>
      <c r="F1108" t="s">
        <v>189</v>
      </c>
      <c r="G1108" t="s">
        <v>4053</v>
      </c>
      <c r="H1108" t="s">
        <v>189</v>
      </c>
      <c r="I1108" t="s">
        <v>2616</v>
      </c>
      <c r="J1108">
        <v>1</v>
      </c>
      <c r="K1108">
        <v>323</v>
      </c>
    </row>
    <row r="1109" spans="1:11" x14ac:dyDescent="0.2">
      <c r="A1109" t="s">
        <v>4055</v>
      </c>
      <c r="B1109">
        <v>150226</v>
      </c>
      <c r="C1109" t="s">
        <v>1902</v>
      </c>
      <c r="D1109" t="s">
        <v>4145</v>
      </c>
      <c r="E1109" t="s">
        <v>189</v>
      </c>
      <c r="F1109" t="s">
        <v>189</v>
      </c>
      <c r="G1109" t="s">
        <v>4066</v>
      </c>
      <c r="H1109" t="s">
        <v>189</v>
      </c>
      <c r="I1109" t="s">
        <v>2616</v>
      </c>
      <c r="J1109">
        <v>1</v>
      </c>
      <c r="K1109">
        <v>212</v>
      </c>
    </row>
    <row r="1110" spans="1:11" x14ac:dyDescent="0.2">
      <c r="A1110" t="s">
        <v>3938</v>
      </c>
      <c r="B1110">
        <v>171119</v>
      </c>
      <c r="C1110" t="s">
        <v>2115</v>
      </c>
      <c r="D1110" t="s">
        <v>3958</v>
      </c>
      <c r="E1110" t="s">
        <v>187</v>
      </c>
      <c r="F1110" t="s">
        <v>187</v>
      </c>
      <c r="G1110" t="s">
        <v>3936</v>
      </c>
      <c r="H1110" t="s">
        <v>187</v>
      </c>
      <c r="I1110" t="s">
        <v>2616</v>
      </c>
      <c r="J1110">
        <v>1</v>
      </c>
      <c r="K1110">
        <v>433</v>
      </c>
    </row>
    <row r="1111" spans="1:11" x14ac:dyDescent="0.2">
      <c r="A1111" t="s">
        <v>3938</v>
      </c>
      <c r="B1111">
        <v>170118</v>
      </c>
      <c r="C1111" t="s">
        <v>813</v>
      </c>
      <c r="D1111" t="s">
        <v>4012</v>
      </c>
      <c r="E1111" t="s">
        <v>187</v>
      </c>
      <c r="F1111" t="s">
        <v>187</v>
      </c>
      <c r="G1111" t="s">
        <v>3936</v>
      </c>
      <c r="H1111" t="s">
        <v>187</v>
      </c>
      <c r="I1111" t="s">
        <v>2666</v>
      </c>
      <c r="J1111">
        <v>1</v>
      </c>
      <c r="K1111">
        <v>22</v>
      </c>
    </row>
    <row r="1112" spans="1:11" x14ac:dyDescent="0.2">
      <c r="A1112" t="s">
        <v>3938</v>
      </c>
      <c r="B1112">
        <v>170128</v>
      </c>
      <c r="C1112" t="s">
        <v>2573</v>
      </c>
      <c r="D1112" t="s">
        <v>4033</v>
      </c>
      <c r="E1112" t="s">
        <v>187</v>
      </c>
      <c r="F1112" t="s">
        <v>187</v>
      </c>
      <c r="G1112" t="s">
        <v>3936</v>
      </c>
      <c r="H1112" t="s">
        <v>187</v>
      </c>
      <c r="I1112" t="s">
        <v>2666</v>
      </c>
      <c r="J1112">
        <v>1</v>
      </c>
      <c r="K1112">
        <v>24</v>
      </c>
    </row>
    <row r="1113" spans="1:11" x14ac:dyDescent="0.2">
      <c r="A1113" t="s">
        <v>3938</v>
      </c>
      <c r="B1113">
        <v>178011</v>
      </c>
      <c r="C1113" t="s">
        <v>876</v>
      </c>
      <c r="D1113" t="s">
        <v>4021</v>
      </c>
      <c r="E1113" t="s">
        <v>187</v>
      </c>
      <c r="F1113" t="s">
        <v>187</v>
      </c>
      <c r="G1113" t="s">
        <v>4020</v>
      </c>
      <c r="H1113" t="s">
        <v>187</v>
      </c>
      <c r="I1113" t="s">
        <v>2666</v>
      </c>
      <c r="J1113">
        <v>1</v>
      </c>
      <c r="K1113">
        <v>516</v>
      </c>
    </row>
    <row r="1114" spans="1:11" x14ac:dyDescent="0.2">
      <c r="A1114" t="s">
        <v>3938</v>
      </c>
      <c r="B1114">
        <v>28001</v>
      </c>
      <c r="C1114" t="s">
        <v>1557</v>
      </c>
      <c r="D1114" t="s">
        <v>4007</v>
      </c>
      <c r="E1114" t="s">
        <v>281</v>
      </c>
      <c r="F1114" t="s">
        <v>281</v>
      </c>
      <c r="G1114" t="s">
        <v>2793</v>
      </c>
      <c r="H1114" t="s">
        <v>281</v>
      </c>
      <c r="I1114" t="s">
        <v>2616</v>
      </c>
      <c r="J1114">
        <v>1</v>
      </c>
      <c r="K1114">
        <v>1299</v>
      </c>
    </row>
    <row r="1115" spans="1:11" x14ac:dyDescent="0.2">
      <c r="A1115" t="s">
        <v>3938</v>
      </c>
      <c r="B1115">
        <v>170002</v>
      </c>
      <c r="C1115" t="s">
        <v>1976</v>
      </c>
      <c r="D1115" t="s">
        <v>3937</v>
      </c>
      <c r="E1115" t="s">
        <v>187</v>
      </c>
      <c r="F1115" t="s">
        <v>187</v>
      </c>
      <c r="G1115" t="s">
        <v>3936</v>
      </c>
      <c r="H1115" t="s">
        <v>187</v>
      </c>
      <c r="I1115" t="s">
        <v>2616</v>
      </c>
      <c r="J1115">
        <v>1</v>
      </c>
      <c r="K1115">
        <v>267</v>
      </c>
    </row>
    <row r="1116" spans="1:11" x14ac:dyDescent="0.2">
      <c r="A1116" t="s">
        <v>3938</v>
      </c>
      <c r="B1116">
        <v>173032</v>
      </c>
      <c r="C1116" t="s">
        <v>2151</v>
      </c>
      <c r="D1116" t="s">
        <v>4002</v>
      </c>
      <c r="E1116" t="s">
        <v>187</v>
      </c>
      <c r="F1116" t="s">
        <v>187</v>
      </c>
      <c r="G1116" t="s">
        <v>3936</v>
      </c>
      <c r="H1116" t="s">
        <v>187</v>
      </c>
      <c r="I1116" t="s">
        <v>2616</v>
      </c>
      <c r="J1116">
        <v>1</v>
      </c>
      <c r="K1116">
        <v>642</v>
      </c>
    </row>
    <row r="1117" spans="1:11" x14ac:dyDescent="0.2">
      <c r="A1117" t="s">
        <v>3938</v>
      </c>
      <c r="B1117">
        <v>178107</v>
      </c>
      <c r="C1117" t="s">
        <v>880</v>
      </c>
      <c r="D1117" t="s">
        <v>4038</v>
      </c>
      <c r="E1117" t="s">
        <v>187</v>
      </c>
      <c r="F1117" t="s">
        <v>187</v>
      </c>
      <c r="G1117" t="s">
        <v>3936</v>
      </c>
      <c r="H1117" t="s">
        <v>187</v>
      </c>
      <c r="I1117" t="s">
        <v>2666</v>
      </c>
      <c r="J1117">
        <v>1</v>
      </c>
      <c r="K1117">
        <v>30</v>
      </c>
    </row>
    <row r="1118" spans="1:11" x14ac:dyDescent="0.2">
      <c r="A1118" t="s">
        <v>3938</v>
      </c>
      <c r="B1118">
        <v>17029</v>
      </c>
      <c r="C1118" t="s">
        <v>1451</v>
      </c>
      <c r="D1118" t="s">
        <v>3991</v>
      </c>
      <c r="E1118" t="s">
        <v>187</v>
      </c>
      <c r="F1118" t="s">
        <v>187</v>
      </c>
      <c r="G1118" t="s">
        <v>3946</v>
      </c>
      <c r="H1118" t="s">
        <v>187</v>
      </c>
      <c r="I1118" t="s">
        <v>2616</v>
      </c>
      <c r="J1118">
        <v>1</v>
      </c>
      <c r="K1118">
        <v>29</v>
      </c>
    </row>
    <row r="1119" spans="1:11" x14ac:dyDescent="0.2">
      <c r="A1119" t="s">
        <v>3938</v>
      </c>
      <c r="B1119">
        <v>170007</v>
      </c>
      <c r="C1119" t="s">
        <v>1978</v>
      </c>
      <c r="D1119" t="s">
        <v>3987</v>
      </c>
      <c r="E1119" t="s">
        <v>187</v>
      </c>
      <c r="F1119" t="s">
        <v>187</v>
      </c>
      <c r="G1119" t="s">
        <v>3936</v>
      </c>
      <c r="H1119" t="s">
        <v>187</v>
      </c>
      <c r="I1119" t="s">
        <v>2616</v>
      </c>
      <c r="J1119">
        <v>1</v>
      </c>
      <c r="K1119">
        <v>28</v>
      </c>
    </row>
    <row r="1120" spans="1:11" x14ac:dyDescent="0.2">
      <c r="A1120" t="s">
        <v>3938</v>
      </c>
      <c r="B1120">
        <v>170235</v>
      </c>
      <c r="C1120" t="s">
        <v>2576</v>
      </c>
      <c r="D1120" t="s">
        <v>3947</v>
      </c>
      <c r="E1120" t="s">
        <v>187</v>
      </c>
      <c r="F1120" t="s">
        <v>187</v>
      </c>
      <c r="G1120" t="s">
        <v>3946</v>
      </c>
      <c r="H1120" t="s">
        <v>187</v>
      </c>
      <c r="I1120" t="s">
        <v>2666</v>
      </c>
      <c r="J1120">
        <v>1</v>
      </c>
      <c r="K1120">
        <v>632</v>
      </c>
    </row>
    <row r="1121" spans="1:11" x14ac:dyDescent="0.2">
      <c r="A1121" t="s">
        <v>3938</v>
      </c>
      <c r="B1121">
        <v>173064</v>
      </c>
      <c r="C1121" t="s">
        <v>2158</v>
      </c>
      <c r="D1121" t="s">
        <v>4037</v>
      </c>
      <c r="E1121" t="s">
        <v>187</v>
      </c>
      <c r="F1121" t="s">
        <v>187</v>
      </c>
      <c r="G1121" t="s">
        <v>3946</v>
      </c>
      <c r="H1121" t="s">
        <v>187</v>
      </c>
      <c r="I1121" t="s">
        <v>2616</v>
      </c>
      <c r="J1121">
        <v>1</v>
      </c>
      <c r="K1121">
        <v>453</v>
      </c>
    </row>
    <row r="1122" spans="1:11" x14ac:dyDescent="0.2">
      <c r="A1122" t="s">
        <v>3938</v>
      </c>
      <c r="B1122">
        <v>172016</v>
      </c>
      <c r="C1122" t="s">
        <v>1204</v>
      </c>
      <c r="D1122" t="s">
        <v>4048</v>
      </c>
      <c r="E1122" t="s">
        <v>187</v>
      </c>
      <c r="F1122" t="s">
        <v>187</v>
      </c>
      <c r="G1122" t="s">
        <v>3936</v>
      </c>
      <c r="H1122" t="s">
        <v>187</v>
      </c>
      <c r="I1122" t="s">
        <v>2666</v>
      </c>
      <c r="J1122">
        <v>1</v>
      </c>
      <c r="K1122">
        <v>40</v>
      </c>
    </row>
    <row r="1123" spans="1:11" x14ac:dyDescent="0.2">
      <c r="A1123" t="s">
        <v>3938</v>
      </c>
      <c r="B1123">
        <v>170278</v>
      </c>
      <c r="C1123" t="s">
        <v>1379</v>
      </c>
      <c r="D1123" t="s">
        <v>3948</v>
      </c>
      <c r="E1123" t="s">
        <v>187</v>
      </c>
      <c r="F1123" t="s">
        <v>187</v>
      </c>
      <c r="G1123" t="s">
        <v>3946</v>
      </c>
      <c r="H1123" t="s">
        <v>187</v>
      </c>
      <c r="I1123" t="s">
        <v>2666</v>
      </c>
      <c r="J1123">
        <v>1</v>
      </c>
      <c r="K1123">
        <v>16</v>
      </c>
    </row>
    <row r="1124" spans="1:11" x14ac:dyDescent="0.2">
      <c r="A1124" t="s">
        <v>3938</v>
      </c>
      <c r="B1124">
        <v>170025</v>
      </c>
      <c r="C1124" t="s">
        <v>805</v>
      </c>
      <c r="D1124" t="s">
        <v>3993</v>
      </c>
      <c r="E1124" t="s">
        <v>2634</v>
      </c>
      <c r="F1124" t="s">
        <v>187</v>
      </c>
      <c r="G1124" t="s">
        <v>3946</v>
      </c>
      <c r="H1124" t="s">
        <v>2634</v>
      </c>
      <c r="I1124" t="s">
        <v>2666</v>
      </c>
      <c r="J1124">
        <v>1</v>
      </c>
      <c r="K1124">
        <v>10</v>
      </c>
    </row>
    <row r="1125" spans="1:11" x14ac:dyDescent="0.2">
      <c r="A1125" t="s">
        <v>3938</v>
      </c>
      <c r="B1125">
        <v>170167</v>
      </c>
      <c r="C1125" t="s">
        <v>825</v>
      </c>
      <c r="D1125" t="s">
        <v>4004</v>
      </c>
      <c r="E1125" t="s">
        <v>187</v>
      </c>
      <c r="F1125" t="s">
        <v>187</v>
      </c>
      <c r="G1125" t="s">
        <v>3946</v>
      </c>
      <c r="H1125" t="s">
        <v>187</v>
      </c>
      <c r="I1125" t="s">
        <v>2666</v>
      </c>
      <c r="J1125">
        <v>1</v>
      </c>
      <c r="K1125">
        <v>20</v>
      </c>
    </row>
    <row r="1126" spans="1:11" x14ac:dyDescent="0.2">
      <c r="A1126" t="s">
        <v>3938</v>
      </c>
      <c r="B1126">
        <v>170280</v>
      </c>
      <c r="C1126" t="s">
        <v>844</v>
      </c>
      <c r="D1126" t="s">
        <v>4003</v>
      </c>
      <c r="E1126" t="s">
        <v>187</v>
      </c>
      <c r="F1126" t="s">
        <v>187</v>
      </c>
      <c r="G1126" t="s">
        <v>3936</v>
      </c>
      <c r="H1126" t="s">
        <v>187</v>
      </c>
      <c r="I1126" t="s">
        <v>2666</v>
      </c>
      <c r="J1126">
        <v>1</v>
      </c>
      <c r="K1126">
        <v>15</v>
      </c>
    </row>
    <row r="1127" spans="1:11" x14ac:dyDescent="0.2">
      <c r="A1127" t="s">
        <v>3938</v>
      </c>
      <c r="B1127">
        <v>170156</v>
      </c>
      <c r="C1127" t="s">
        <v>822</v>
      </c>
      <c r="D1127" t="s">
        <v>3965</v>
      </c>
      <c r="E1127" t="s">
        <v>187</v>
      </c>
      <c r="F1127" t="s">
        <v>187</v>
      </c>
      <c r="G1127" t="s">
        <v>3936</v>
      </c>
      <c r="H1127" t="s">
        <v>187</v>
      </c>
      <c r="I1127" t="s">
        <v>2666</v>
      </c>
      <c r="J1127">
        <v>1</v>
      </c>
      <c r="K1127">
        <v>15</v>
      </c>
    </row>
    <row r="1128" spans="1:11" x14ac:dyDescent="0.2">
      <c r="A1128" t="s">
        <v>3938</v>
      </c>
      <c r="B1128">
        <v>170045</v>
      </c>
      <c r="C1128" t="s">
        <v>4046</v>
      </c>
      <c r="D1128" t="s">
        <v>3990</v>
      </c>
      <c r="E1128" t="s">
        <v>187</v>
      </c>
      <c r="F1128" t="s">
        <v>187</v>
      </c>
      <c r="G1128" t="s">
        <v>3936</v>
      </c>
      <c r="H1128" t="s">
        <v>187</v>
      </c>
      <c r="I1128" t="s">
        <v>2616</v>
      </c>
      <c r="J1128">
        <v>1</v>
      </c>
      <c r="K1128">
        <v>3485.23</v>
      </c>
    </row>
    <row r="1129" spans="1:11" x14ac:dyDescent="0.2">
      <c r="A1129" t="s">
        <v>3938</v>
      </c>
      <c r="B1129">
        <v>170294</v>
      </c>
      <c r="C1129" t="s">
        <v>1381</v>
      </c>
      <c r="D1129" t="s">
        <v>4029</v>
      </c>
      <c r="E1129" t="s">
        <v>187</v>
      </c>
      <c r="F1129" t="s">
        <v>187</v>
      </c>
      <c r="G1129" t="s">
        <v>3936</v>
      </c>
      <c r="H1129" t="s">
        <v>187</v>
      </c>
      <c r="I1129" t="s">
        <v>2666</v>
      </c>
      <c r="J1129">
        <v>1</v>
      </c>
      <c r="K1129">
        <v>11</v>
      </c>
    </row>
    <row r="1130" spans="1:11" x14ac:dyDescent="0.2">
      <c r="A1130" t="s">
        <v>3938</v>
      </c>
      <c r="B1130">
        <v>170177</v>
      </c>
      <c r="C1130" t="s">
        <v>827</v>
      </c>
      <c r="D1130" t="s">
        <v>3971</v>
      </c>
      <c r="E1130" t="s">
        <v>187</v>
      </c>
      <c r="F1130" t="s">
        <v>187</v>
      </c>
      <c r="G1130" t="s">
        <v>3946</v>
      </c>
      <c r="H1130" t="s">
        <v>187</v>
      </c>
      <c r="I1130" t="s">
        <v>2666</v>
      </c>
      <c r="J1130">
        <v>1</v>
      </c>
      <c r="K1130">
        <v>4</v>
      </c>
    </row>
    <row r="1131" spans="1:11" x14ac:dyDescent="0.2">
      <c r="A1131" t="s">
        <v>3938</v>
      </c>
      <c r="B1131">
        <v>170255</v>
      </c>
      <c r="C1131" t="s">
        <v>2094</v>
      </c>
      <c r="D1131" t="s">
        <v>3966</v>
      </c>
      <c r="E1131" t="s">
        <v>187</v>
      </c>
      <c r="F1131" t="s">
        <v>187</v>
      </c>
      <c r="G1131" t="s">
        <v>3946</v>
      </c>
      <c r="H1131" t="s">
        <v>187</v>
      </c>
      <c r="I1131" t="s">
        <v>2616</v>
      </c>
      <c r="J1131">
        <v>1</v>
      </c>
      <c r="K1131">
        <v>410</v>
      </c>
    </row>
    <row r="1132" spans="1:11" x14ac:dyDescent="0.2">
      <c r="A1132" t="s">
        <v>3938</v>
      </c>
      <c r="B1132">
        <v>170154</v>
      </c>
      <c r="C1132" t="s">
        <v>820</v>
      </c>
      <c r="D1132" t="s">
        <v>3985</v>
      </c>
      <c r="E1132" t="s">
        <v>187</v>
      </c>
      <c r="F1132" t="s">
        <v>187</v>
      </c>
      <c r="G1132" t="s">
        <v>3946</v>
      </c>
      <c r="H1132" t="s">
        <v>187</v>
      </c>
      <c r="I1132" t="s">
        <v>2666</v>
      </c>
      <c r="J1132">
        <v>1</v>
      </c>
      <c r="K1132">
        <v>56</v>
      </c>
    </row>
    <row r="1133" spans="1:11" x14ac:dyDescent="0.2">
      <c r="A1133" t="s">
        <v>3938</v>
      </c>
      <c r="B1133">
        <v>173060</v>
      </c>
      <c r="C1133" t="s">
        <v>868</v>
      </c>
      <c r="D1133" t="s">
        <v>3998</v>
      </c>
      <c r="E1133" t="s">
        <v>187</v>
      </c>
      <c r="F1133" t="s">
        <v>187</v>
      </c>
      <c r="G1133" t="s">
        <v>3936</v>
      </c>
      <c r="H1133" t="s">
        <v>187</v>
      </c>
      <c r="I1133" t="s">
        <v>2666</v>
      </c>
      <c r="J1133">
        <v>1</v>
      </c>
      <c r="K1133">
        <v>9</v>
      </c>
    </row>
    <row r="1134" spans="1:11" x14ac:dyDescent="0.2">
      <c r="A1134" t="s">
        <v>3938</v>
      </c>
      <c r="B1134">
        <v>170300</v>
      </c>
      <c r="C1134" t="s">
        <v>2101</v>
      </c>
      <c r="D1134" t="s">
        <v>3960</v>
      </c>
      <c r="E1134" t="s">
        <v>187</v>
      </c>
      <c r="F1134" t="s">
        <v>187</v>
      </c>
      <c r="G1134" t="s">
        <v>3946</v>
      </c>
      <c r="H1134" t="s">
        <v>187</v>
      </c>
      <c r="I1134" t="s">
        <v>2616</v>
      </c>
      <c r="J1134">
        <v>1</v>
      </c>
      <c r="K1134">
        <v>3801.64</v>
      </c>
    </row>
    <row r="1135" spans="1:11" x14ac:dyDescent="0.2">
      <c r="A1135" t="s">
        <v>3938</v>
      </c>
      <c r="B1135">
        <v>170153</v>
      </c>
      <c r="C1135" t="s">
        <v>819</v>
      </c>
      <c r="D1135" t="s">
        <v>4032</v>
      </c>
      <c r="E1135" t="s">
        <v>187</v>
      </c>
      <c r="F1135" t="s">
        <v>187</v>
      </c>
      <c r="G1135" t="s">
        <v>4020</v>
      </c>
      <c r="H1135" t="s">
        <v>187</v>
      </c>
      <c r="I1135" t="s">
        <v>2666</v>
      </c>
      <c r="J1135">
        <v>1</v>
      </c>
      <c r="K1135">
        <v>70</v>
      </c>
    </row>
    <row r="1136" spans="1:11" x14ac:dyDescent="0.2">
      <c r="A1136" t="s">
        <v>3938</v>
      </c>
      <c r="B1136">
        <v>173079</v>
      </c>
      <c r="C1136" t="s">
        <v>874</v>
      </c>
      <c r="D1136" t="s">
        <v>3989</v>
      </c>
      <c r="E1136" t="s">
        <v>187</v>
      </c>
      <c r="F1136" t="s">
        <v>187</v>
      </c>
      <c r="G1136" t="s">
        <v>3936</v>
      </c>
      <c r="H1136" t="s">
        <v>187</v>
      </c>
      <c r="I1136" t="s">
        <v>2666</v>
      </c>
      <c r="J1136">
        <v>1</v>
      </c>
      <c r="K1136">
        <v>33</v>
      </c>
    </row>
    <row r="1137" spans="1:11" x14ac:dyDescent="0.2">
      <c r="A1137" t="s">
        <v>3938</v>
      </c>
      <c r="B1137">
        <v>171117</v>
      </c>
      <c r="C1137" t="s">
        <v>2114</v>
      </c>
      <c r="D1137" t="s">
        <v>4034</v>
      </c>
      <c r="E1137" t="s">
        <v>187</v>
      </c>
      <c r="F1137" t="s">
        <v>187</v>
      </c>
      <c r="G1137" t="s">
        <v>3936</v>
      </c>
      <c r="H1137" t="s">
        <v>187</v>
      </c>
      <c r="I1137" t="s">
        <v>2616</v>
      </c>
      <c r="J1137">
        <v>1</v>
      </c>
      <c r="K1137">
        <v>315</v>
      </c>
    </row>
    <row r="1138" spans="1:11" x14ac:dyDescent="0.2">
      <c r="A1138" t="s">
        <v>3938</v>
      </c>
      <c r="B1138">
        <v>170126</v>
      </c>
      <c r="C1138" t="s">
        <v>814</v>
      </c>
      <c r="D1138" t="s">
        <v>4001</v>
      </c>
      <c r="E1138" t="s">
        <v>187</v>
      </c>
      <c r="F1138" t="s">
        <v>187</v>
      </c>
      <c r="G1138" t="s">
        <v>3936</v>
      </c>
      <c r="H1138" t="s">
        <v>187</v>
      </c>
      <c r="I1138" t="s">
        <v>2666</v>
      </c>
      <c r="J1138">
        <v>1</v>
      </c>
      <c r="K1138">
        <v>20</v>
      </c>
    </row>
    <row r="1139" spans="1:11" x14ac:dyDescent="0.2">
      <c r="A1139" t="s">
        <v>3938</v>
      </c>
      <c r="B1139">
        <v>170223</v>
      </c>
      <c r="C1139" t="s">
        <v>831</v>
      </c>
      <c r="D1139" t="s">
        <v>4026</v>
      </c>
      <c r="E1139" t="s">
        <v>187</v>
      </c>
      <c r="F1139" t="s">
        <v>187</v>
      </c>
      <c r="G1139" t="s">
        <v>3946</v>
      </c>
      <c r="H1139" t="s">
        <v>187</v>
      </c>
      <c r="I1139" t="s">
        <v>2666</v>
      </c>
      <c r="J1139">
        <v>1</v>
      </c>
      <c r="K1139">
        <v>29</v>
      </c>
    </row>
    <row r="1140" spans="1:11" x14ac:dyDescent="0.2">
      <c r="A1140" t="s">
        <v>3938</v>
      </c>
      <c r="B1140">
        <v>170147</v>
      </c>
      <c r="C1140" t="s">
        <v>818</v>
      </c>
      <c r="D1140" t="s">
        <v>4047</v>
      </c>
      <c r="E1140" t="s">
        <v>187</v>
      </c>
      <c r="F1140" t="s">
        <v>187</v>
      </c>
      <c r="G1140" t="s">
        <v>3946</v>
      </c>
      <c r="H1140" t="s">
        <v>187</v>
      </c>
      <c r="I1140" t="s">
        <v>2666</v>
      </c>
      <c r="J1140">
        <v>1</v>
      </c>
      <c r="K1140">
        <v>20</v>
      </c>
    </row>
    <row r="1141" spans="1:11" x14ac:dyDescent="0.2">
      <c r="A1141" t="s">
        <v>3938</v>
      </c>
      <c r="B1141">
        <v>170469</v>
      </c>
      <c r="C1141" t="s">
        <v>852</v>
      </c>
      <c r="D1141" t="s">
        <v>4045</v>
      </c>
      <c r="E1141" t="s">
        <v>187</v>
      </c>
      <c r="F1141" t="s">
        <v>187</v>
      </c>
      <c r="G1141" t="s">
        <v>3936</v>
      </c>
      <c r="H1141" t="s">
        <v>187</v>
      </c>
      <c r="I1141" t="s">
        <v>2666</v>
      </c>
      <c r="J1141">
        <v>1</v>
      </c>
      <c r="K1141">
        <v>387</v>
      </c>
    </row>
    <row r="1142" spans="1:11" x14ac:dyDescent="0.2">
      <c r="A1142" t="s">
        <v>3938</v>
      </c>
      <c r="B1142">
        <v>172015</v>
      </c>
      <c r="C1142" t="s">
        <v>2146</v>
      </c>
      <c r="D1142" t="s">
        <v>3996</v>
      </c>
      <c r="E1142" t="s">
        <v>187</v>
      </c>
      <c r="F1142" t="s">
        <v>187</v>
      </c>
      <c r="G1142" t="s">
        <v>3936</v>
      </c>
      <c r="H1142" t="s">
        <v>187</v>
      </c>
      <c r="I1142" t="s">
        <v>2616</v>
      </c>
      <c r="J1142">
        <v>1</v>
      </c>
      <c r="K1142">
        <v>72</v>
      </c>
    </row>
    <row r="1143" spans="1:11" x14ac:dyDescent="0.2">
      <c r="A1143" t="s">
        <v>3938</v>
      </c>
      <c r="B1143">
        <v>170429</v>
      </c>
      <c r="C1143" t="s">
        <v>2106</v>
      </c>
      <c r="D1143" t="s">
        <v>3992</v>
      </c>
      <c r="E1143" t="s">
        <v>187</v>
      </c>
      <c r="F1143" t="s">
        <v>187</v>
      </c>
      <c r="G1143" t="s">
        <v>3946</v>
      </c>
      <c r="H1143" t="s">
        <v>187</v>
      </c>
      <c r="I1143" t="s">
        <v>2616</v>
      </c>
      <c r="J1143">
        <v>1</v>
      </c>
      <c r="K1143">
        <v>213</v>
      </c>
    </row>
    <row r="1144" spans="1:11" x14ac:dyDescent="0.2">
      <c r="A1144" t="s">
        <v>3938</v>
      </c>
      <c r="B1144">
        <v>170155</v>
      </c>
      <c r="C1144" t="s">
        <v>821</v>
      </c>
      <c r="D1144" t="s">
        <v>3986</v>
      </c>
      <c r="E1144" t="s">
        <v>187</v>
      </c>
      <c r="F1144" t="s">
        <v>187</v>
      </c>
      <c r="G1144" t="s">
        <v>3946</v>
      </c>
      <c r="H1144" t="s">
        <v>187</v>
      </c>
      <c r="I1144" t="s">
        <v>2666</v>
      </c>
      <c r="J1144">
        <v>1</v>
      </c>
      <c r="K1144">
        <v>20</v>
      </c>
    </row>
    <row r="1145" spans="1:11" x14ac:dyDescent="0.2">
      <c r="A1145" t="s">
        <v>3938</v>
      </c>
      <c r="B1145">
        <v>170132</v>
      </c>
      <c r="C1145" t="s">
        <v>2574</v>
      </c>
      <c r="D1145" t="s">
        <v>3961</v>
      </c>
      <c r="E1145" t="s">
        <v>187</v>
      </c>
      <c r="F1145" t="s">
        <v>187</v>
      </c>
      <c r="G1145" t="s">
        <v>3936</v>
      </c>
      <c r="H1145" t="s">
        <v>187</v>
      </c>
      <c r="I1145" t="s">
        <v>2666</v>
      </c>
      <c r="J1145">
        <v>1</v>
      </c>
      <c r="K1145">
        <v>61</v>
      </c>
    </row>
    <row r="1146" spans="1:11" x14ac:dyDescent="0.2">
      <c r="A1146" t="s">
        <v>3938</v>
      </c>
      <c r="B1146">
        <v>170468</v>
      </c>
      <c r="C1146" t="s">
        <v>851</v>
      </c>
      <c r="D1146" t="s">
        <v>4050</v>
      </c>
      <c r="E1146" t="s">
        <v>187</v>
      </c>
      <c r="F1146" t="s">
        <v>187</v>
      </c>
      <c r="G1146" t="s">
        <v>3936</v>
      </c>
      <c r="H1146" t="s">
        <v>187</v>
      </c>
      <c r="I1146" t="s">
        <v>2666</v>
      </c>
      <c r="J1146">
        <v>1</v>
      </c>
      <c r="K1146">
        <v>42</v>
      </c>
    </row>
    <row r="1147" spans="1:11" x14ac:dyDescent="0.2">
      <c r="A1147" t="s">
        <v>3938</v>
      </c>
      <c r="B1147">
        <v>170021</v>
      </c>
      <c r="C1147" t="s">
        <v>1984</v>
      </c>
      <c r="D1147" t="s">
        <v>4014</v>
      </c>
      <c r="E1147" t="s">
        <v>187</v>
      </c>
      <c r="F1147" t="s">
        <v>187</v>
      </c>
      <c r="G1147" t="s">
        <v>3946</v>
      </c>
      <c r="H1147" t="s">
        <v>187</v>
      </c>
      <c r="I1147" t="s">
        <v>2616</v>
      </c>
      <c r="J1147">
        <v>1</v>
      </c>
      <c r="K1147">
        <v>28602.95</v>
      </c>
    </row>
    <row r="1148" spans="1:11" x14ac:dyDescent="0.2">
      <c r="A1148" t="s">
        <v>3938</v>
      </c>
      <c r="B1148">
        <v>173055</v>
      </c>
      <c r="C1148" t="s">
        <v>4006</v>
      </c>
      <c r="D1148" t="s">
        <v>4005</v>
      </c>
      <c r="E1148" t="s">
        <v>187</v>
      </c>
      <c r="F1148" t="s">
        <v>187</v>
      </c>
      <c r="G1148" t="s">
        <v>3936</v>
      </c>
      <c r="H1148" t="s">
        <v>187</v>
      </c>
      <c r="I1148" t="s">
        <v>2616</v>
      </c>
      <c r="J1148">
        <v>1</v>
      </c>
      <c r="K1148">
        <v>319</v>
      </c>
    </row>
    <row r="1149" spans="1:11" x14ac:dyDescent="0.2">
      <c r="A1149" t="s">
        <v>3938</v>
      </c>
      <c r="B1149">
        <v>170231</v>
      </c>
      <c r="C1149" t="s">
        <v>1378</v>
      </c>
      <c r="D1149" t="s">
        <v>4035</v>
      </c>
      <c r="E1149" t="s">
        <v>187</v>
      </c>
      <c r="F1149" t="s">
        <v>187</v>
      </c>
      <c r="G1149" t="s">
        <v>3946</v>
      </c>
      <c r="H1149" t="s">
        <v>187</v>
      </c>
      <c r="I1149" t="s">
        <v>2666</v>
      </c>
      <c r="J1149">
        <v>1</v>
      </c>
      <c r="K1149">
        <v>30</v>
      </c>
    </row>
    <row r="1150" spans="1:11" x14ac:dyDescent="0.2">
      <c r="A1150" t="s">
        <v>3938</v>
      </c>
      <c r="B1150">
        <v>170463</v>
      </c>
      <c r="C1150" t="s">
        <v>850</v>
      </c>
      <c r="D1150" t="s">
        <v>3995</v>
      </c>
      <c r="E1150" t="s">
        <v>187</v>
      </c>
      <c r="F1150" t="s">
        <v>187</v>
      </c>
      <c r="G1150" t="s">
        <v>3936</v>
      </c>
      <c r="H1150" t="s">
        <v>187</v>
      </c>
      <c r="I1150" t="s">
        <v>2666</v>
      </c>
      <c r="J1150">
        <v>1</v>
      </c>
      <c r="K1150">
        <v>20</v>
      </c>
    </row>
    <row r="1151" spans="1:11" x14ac:dyDescent="0.2">
      <c r="A1151" t="s">
        <v>3938</v>
      </c>
      <c r="B1151">
        <v>173042</v>
      </c>
      <c r="C1151" t="s">
        <v>865</v>
      </c>
      <c r="D1151" t="s">
        <v>3962</v>
      </c>
      <c r="E1151" t="s">
        <v>2634</v>
      </c>
      <c r="F1151" t="s">
        <v>187</v>
      </c>
      <c r="G1151" t="s">
        <v>3936</v>
      </c>
      <c r="H1151" t="s">
        <v>2634</v>
      </c>
      <c r="I1151" t="s">
        <v>2666</v>
      </c>
      <c r="J1151">
        <v>1</v>
      </c>
      <c r="K1151">
        <v>20</v>
      </c>
    </row>
    <row r="1152" spans="1:11" x14ac:dyDescent="0.2">
      <c r="A1152" t="s">
        <v>3938</v>
      </c>
      <c r="B1152">
        <v>170166</v>
      </c>
      <c r="C1152" t="s">
        <v>824</v>
      </c>
      <c r="D1152" t="s">
        <v>4044</v>
      </c>
      <c r="E1152" t="s">
        <v>187</v>
      </c>
      <c r="F1152" t="s">
        <v>187</v>
      </c>
      <c r="G1152" t="s">
        <v>3946</v>
      </c>
      <c r="H1152" t="s">
        <v>187</v>
      </c>
      <c r="I1152" t="s">
        <v>2666</v>
      </c>
      <c r="J1152">
        <v>1</v>
      </c>
      <c r="K1152">
        <v>19</v>
      </c>
    </row>
    <row r="1153" spans="1:11" x14ac:dyDescent="0.2">
      <c r="A1153" t="s">
        <v>3938</v>
      </c>
      <c r="B1153">
        <v>170260</v>
      </c>
      <c r="C1153" t="s">
        <v>2579</v>
      </c>
      <c r="D1153" t="s">
        <v>3978</v>
      </c>
      <c r="E1153" t="s">
        <v>187</v>
      </c>
      <c r="F1153" t="s">
        <v>187</v>
      </c>
      <c r="G1153" t="s">
        <v>3936</v>
      </c>
      <c r="H1153" t="s">
        <v>187</v>
      </c>
      <c r="I1153" t="s">
        <v>2666</v>
      </c>
      <c r="J1153">
        <v>1</v>
      </c>
      <c r="K1153">
        <v>47</v>
      </c>
    </row>
    <row r="1154" spans="1:11" x14ac:dyDescent="0.2">
      <c r="A1154" t="s">
        <v>3938</v>
      </c>
      <c r="B1154">
        <v>173078</v>
      </c>
      <c r="C1154" t="s">
        <v>873</v>
      </c>
      <c r="D1154" t="s">
        <v>4019</v>
      </c>
      <c r="E1154" t="s">
        <v>187</v>
      </c>
      <c r="F1154" t="s">
        <v>187</v>
      </c>
      <c r="G1154" t="s">
        <v>3936</v>
      </c>
      <c r="H1154" t="s">
        <v>187</v>
      </c>
      <c r="I1154" t="s">
        <v>2666</v>
      </c>
      <c r="J1154">
        <v>1</v>
      </c>
      <c r="K1154">
        <v>46</v>
      </c>
    </row>
    <row r="1155" spans="1:11" x14ac:dyDescent="0.2">
      <c r="A1155" t="s">
        <v>3938</v>
      </c>
      <c r="B1155">
        <v>173072</v>
      </c>
      <c r="C1155" t="s">
        <v>871</v>
      </c>
      <c r="D1155" t="s">
        <v>4031</v>
      </c>
      <c r="E1155" t="s">
        <v>187</v>
      </c>
      <c r="F1155" t="s">
        <v>187</v>
      </c>
      <c r="G1155" t="s">
        <v>3946</v>
      </c>
      <c r="H1155" t="s">
        <v>187</v>
      </c>
      <c r="I1155" t="s">
        <v>2666</v>
      </c>
      <c r="J1155">
        <v>1</v>
      </c>
      <c r="K1155">
        <v>20</v>
      </c>
    </row>
    <row r="1156" spans="1:11" x14ac:dyDescent="0.2">
      <c r="A1156" t="s">
        <v>3938</v>
      </c>
      <c r="B1156">
        <v>49001</v>
      </c>
      <c r="C1156" t="s">
        <v>599</v>
      </c>
      <c r="D1156" t="s">
        <v>3942</v>
      </c>
      <c r="E1156" t="s">
        <v>281</v>
      </c>
      <c r="F1156" t="s">
        <v>281</v>
      </c>
      <c r="G1156" t="s">
        <v>2950</v>
      </c>
      <c r="H1156" t="s">
        <v>281</v>
      </c>
      <c r="I1156" t="s">
        <v>2666</v>
      </c>
      <c r="J1156">
        <v>1</v>
      </c>
      <c r="K1156">
        <v>579</v>
      </c>
    </row>
    <row r="1157" spans="1:11" x14ac:dyDescent="0.2">
      <c r="A1157" t="s">
        <v>3938</v>
      </c>
      <c r="B1157">
        <v>173031</v>
      </c>
      <c r="C1157" t="s">
        <v>2150</v>
      </c>
      <c r="D1157" t="s">
        <v>3951</v>
      </c>
      <c r="E1157" t="s">
        <v>187</v>
      </c>
      <c r="F1157" t="s">
        <v>187</v>
      </c>
      <c r="G1157" t="s">
        <v>3936</v>
      </c>
      <c r="H1157" t="s">
        <v>187</v>
      </c>
      <c r="I1157" t="s">
        <v>2616</v>
      </c>
      <c r="J1157">
        <v>1</v>
      </c>
      <c r="K1157">
        <v>1448</v>
      </c>
    </row>
    <row r="1158" spans="1:11" x14ac:dyDescent="0.2">
      <c r="A1158" t="s">
        <v>3938</v>
      </c>
      <c r="B1158">
        <v>170020</v>
      </c>
      <c r="C1158" t="s">
        <v>1983</v>
      </c>
      <c r="D1158" t="s">
        <v>3950</v>
      </c>
      <c r="E1158" t="s">
        <v>187</v>
      </c>
      <c r="F1158" t="s">
        <v>187</v>
      </c>
      <c r="G1158" t="s">
        <v>3936</v>
      </c>
      <c r="H1158" t="s">
        <v>187</v>
      </c>
      <c r="I1158" t="s">
        <v>2616</v>
      </c>
      <c r="J1158">
        <v>1</v>
      </c>
      <c r="K1158">
        <v>2024</v>
      </c>
    </row>
    <row r="1159" spans="1:11" x14ac:dyDescent="0.2">
      <c r="A1159" t="s">
        <v>3938</v>
      </c>
      <c r="B1159">
        <v>170065</v>
      </c>
      <c r="C1159" t="s">
        <v>810</v>
      </c>
      <c r="D1159" t="s">
        <v>3977</v>
      </c>
      <c r="E1159" t="s">
        <v>187</v>
      </c>
      <c r="F1159" t="s">
        <v>187</v>
      </c>
      <c r="G1159" t="s">
        <v>3946</v>
      </c>
      <c r="H1159" t="s">
        <v>187</v>
      </c>
      <c r="I1159" t="s">
        <v>2666</v>
      </c>
      <c r="J1159">
        <v>1</v>
      </c>
      <c r="K1159">
        <v>12</v>
      </c>
    </row>
    <row r="1160" spans="1:11" x14ac:dyDescent="0.2">
      <c r="A1160" t="s">
        <v>3938</v>
      </c>
      <c r="B1160">
        <v>170036</v>
      </c>
      <c r="C1160" t="s">
        <v>1994</v>
      </c>
      <c r="D1160" t="s">
        <v>3941</v>
      </c>
      <c r="E1160" t="s">
        <v>187</v>
      </c>
      <c r="F1160" t="s">
        <v>187</v>
      </c>
      <c r="G1160" t="s">
        <v>3940</v>
      </c>
      <c r="H1160" t="s">
        <v>187</v>
      </c>
      <c r="I1160" t="s">
        <v>2616</v>
      </c>
      <c r="J1160">
        <v>1</v>
      </c>
      <c r="K1160">
        <v>821.28</v>
      </c>
    </row>
    <row r="1161" spans="1:11" x14ac:dyDescent="0.2">
      <c r="A1161" t="s">
        <v>3938</v>
      </c>
      <c r="B1161">
        <v>171013</v>
      </c>
      <c r="C1161" t="s">
        <v>2110</v>
      </c>
      <c r="D1161" t="s">
        <v>3970</v>
      </c>
      <c r="E1161" t="s">
        <v>187</v>
      </c>
      <c r="F1161" t="s">
        <v>187</v>
      </c>
      <c r="G1161" t="s">
        <v>3936</v>
      </c>
      <c r="H1161" t="s">
        <v>187</v>
      </c>
      <c r="I1161" t="s">
        <v>2616</v>
      </c>
      <c r="J1161">
        <v>1</v>
      </c>
      <c r="K1161">
        <v>84</v>
      </c>
    </row>
    <row r="1162" spans="1:11" x14ac:dyDescent="0.2">
      <c r="A1162" t="s">
        <v>3938</v>
      </c>
      <c r="B1162">
        <v>170137</v>
      </c>
      <c r="C1162" t="s">
        <v>2050</v>
      </c>
      <c r="D1162" t="s">
        <v>4042</v>
      </c>
      <c r="E1162" t="s">
        <v>187</v>
      </c>
      <c r="F1162" t="s">
        <v>187</v>
      </c>
      <c r="G1162" t="s">
        <v>3936</v>
      </c>
      <c r="H1162" t="s">
        <v>187</v>
      </c>
      <c r="I1162" t="s">
        <v>2616</v>
      </c>
      <c r="J1162">
        <v>1</v>
      </c>
      <c r="K1162">
        <v>911</v>
      </c>
    </row>
    <row r="1163" spans="1:11" x14ac:dyDescent="0.2">
      <c r="A1163" t="s">
        <v>3938</v>
      </c>
      <c r="B1163">
        <v>170050</v>
      </c>
      <c r="C1163" t="s">
        <v>2004</v>
      </c>
      <c r="D1163" t="s">
        <v>4022</v>
      </c>
      <c r="E1163" t="s">
        <v>2634</v>
      </c>
      <c r="F1163" t="s">
        <v>187</v>
      </c>
      <c r="G1163" t="s">
        <v>3936</v>
      </c>
      <c r="H1163" t="s">
        <v>2634</v>
      </c>
      <c r="I1163" t="s">
        <v>2616</v>
      </c>
      <c r="J1163">
        <v>1</v>
      </c>
      <c r="K1163">
        <v>485</v>
      </c>
    </row>
    <row r="1164" spans="1:11" x14ac:dyDescent="0.2">
      <c r="A1164" t="s">
        <v>3938</v>
      </c>
      <c r="B1164">
        <v>170288</v>
      </c>
      <c r="C1164" t="s">
        <v>1380</v>
      </c>
      <c r="D1164" t="s">
        <v>3984</v>
      </c>
      <c r="E1164" t="s">
        <v>187</v>
      </c>
      <c r="F1164" t="s">
        <v>187</v>
      </c>
      <c r="G1164" t="s">
        <v>3946</v>
      </c>
      <c r="H1164" t="s">
        <v>187</v>
      </c>
      <c r="I1164" t="s">
        <v>2666</v>
      </c>
      <c r="J1164">
        <v>1</v>
      </c>
      <c r="K1164">
        <v>3</v>
      </c>
    </row>
    <row r="1165" spans="1:11" x14ac:dyDescent="0.2">
      <c r="A1165" t="s">
        <v>3938</v>
      </c>
      <c r="B1165">
        <v>170241</v>
      </c>
      <c r="C1165" t="s">
        <v>2577</v>
      </c>
      <c r="D1165" t="s">
        <v>4030</v>
      </c>
      <c r="E1165" t="s">
        <v>187</v>
      </c>
      <c r="F1165" t="s">
        <v>187</v>
      </c>
      <c r="G1165" t="s">
        <v>3936</v>
      </c>
      <c r="H1165" t="s">
        <v>187</v>
      </c>
      <c r="I1165" t="s">
        <v>2666</v>
      </c>
      <c r="J1165">
        <v>1</v>
      </c>
      <c r="K1165">
        <v>42</v>
      </c>
    </row>
    <row r="1166" spans="1:11" x14ac:dyDescent="0.2">
      <c r="A1166" t="s">
        <v>3938</v>
      </c>
      <c r="B1166">
        <v>173037</v>
      </c>
      <c r="C1166" t="s">
        <v>1329</v>
      </c>
      <c r="D1166" t="s">
        <v>3974</v>
      </c>
      <c r="E1166" t="s">
        <v>187</v>
      </c>
      <c r="F1166" t="s">
        <v>187</v>
      </c>
      <c r="G1166" t="s">
        <v>3936</v>
      </c>
      <c r="H1166" t="s">
        <v>187</v>
      </c>
      <c r="I1166" t="s">
        <v>2666</v>
      </c>
      <c r="J1166">
        <v>1</v>
      </c>
      <c r="K1166">
        <v>25</v>
      </c>
    </row>
    <row r="1167" spans="1:11" x14ac:dyDescent="0.2">
      <c r="A1167" t="s">
        <v>3938</v>
      </c>
      <c r="B1167">
        <v>17026</v>
      </c>
      <c r="C1167" t="s">
        <v>1450</v>
      </c>
      <c r="D1167" t="s">
        <v>4009</v>
      </c>
      <c r="E1167" t="s">
        <v>187</v>
      </c>
      <c r="F1167" t="s">
        <v>187</v>
      </c>
      <c r="G1167" t="s">
        <v>3946</v>
      </c>
      <c r="H1167" t="s">
        <v>187</v>
      </c>
      <c r="I1167" t="s">
        <v>2616</v>
      </c>
      <c r="J1167">
        <v>1</v>
      </c>
      <c r="K1167">
        <v>44</v>
      </c>
    </row>
    <row r="1168" spans="1:11" x14ac:dyDescent="0.2">
      <c r="A1168" t="s">
        <v>3938</v>
      </c>
      <c r="B1168">
        <v>179012</v>
      </c>
      <c r="C1168" t="s">
        <v>881</v>
      </c>
      <c r="D1168" t="s">
        <v>3943</v>
      </c>
      <c r="E1168" t="s">
        <v>187</v>
      </c>
      <c r="F1168" t="s">
        <v>187</v>
      </c>
      <c r="G1168" t="s">
        <v>3765</v>
      </c>
      <c r="H1168" t="s">
        <v>187</v>
      </c>
      <c r="I1168" t="s">
        <v>2666</v>
      </c>
      <c r="J1168">
        <v>1</v>
      </c>
      <c r="K1168">
        <v>11</v>
      </c>
    </row>
    <row r="1169" spans="1:11" x14ac:dyDescent="0.2">
      <c r="A1169" t="s">
        <v>3938</v>
      </c>
      <c r="B1169">
        <v>170133</v>
      </c>
      <c r="C1169" t="s">
        <v>3968</v>
      </c>
      <c r="D1169" t="s">
        <v>3967</v>
      </c>
      <c r="E1169" t="s">
        <v>187</v>
      </c>
      <c r="F1169" t="s">
        <v>187</v>
      </c>
      <c r="G1169" t="s">
        <v>3936</v>
      </c>
      <c r="H1169" t="s">
        <v>187</v>
      </c>
      <c r="I1169" t="s">
        <v>2666</v>
      </c>
      <c r="J1169">
        <v>1</v>
      </c>
      <c r="K1169">
        <v>1271</v>
      </c>
    </row>
    <row r="1170" spans="1:11" x14ac:dyDescent="0.2">
      <c r="A1170" t="s">
        <v>3938</v>
      </c>
      <c r="B1170">
        <v>173054</v>
      </c>
      <c r="C1170" t="s">
        <v>866</v>
      </c>
      <c r="D1170" t="s">
        <v>3939</v>
      </c>
      <c r="E1170" t="s">
        <v>187</v>
      </c>
      <c r="F1170" t="s">
        <v>187</v>
      </c>
      <c r="G1170" t="s">
        <v>3936</v>
      </c>
      <c r="H1170" t="s">
        <v>187</v>
      </c>
      <c r="I1170" t="s">
        <v>2666</v>
      </c>
      <c r="J1170">
        <v>1</v>
      </c>
      <c r="K1170">
        <v>1</v>
      </c>
    </row>
    <row r="1171" spans="1:11" x14ac:dyDescent="0.2">
      <c r="A1171" t="s">
        <v>3938</v>
      </c>
      <c r="B1171">
        <v>173041</v>
      </c>
      <c r="C1171" t="s">
        <v>2153</v>
      </c>
      <c r="D1171" t="s">
        <v>4036</v>
      </c>
      <c r="E1171" t="s">
        <v>187</v>
      </c>
      <c r="F1171" t="s">
        <v>187</v>
      </c>
      <c r="G1171" t="s">
        <v>3936</v>
      </c>
      <c r="H1171" t="s">
        <v>187</v>
      </c>
      <c r="I1171" t="s">
        <v>2616</v>
      </c>
      <c r="J1171">
        <v>1</v>
      </c>
      <c r="K1171">
        <v>292</v>
      </c>
    </row>
    <row r="1172" spans="1:11" x14ac:dyDescent="0.2">
      <c r="A1172" t="s">
        <v>3938</v>
      </c>
      <c r="B1172">
        <v>173053</v>
      </c>
      <c r="C1172" t="s">
        <v>2586</v>
      </c>
      <c r="D1172" t="s">
        <v>3945</v>
      </c>
      <c r="E1172" t="s">
        <v>187</v>
      </c>
      <c r="F1172" t="s">
        <v>187</v>
      </c>
      <c r="G1172" t="s">
        <v>3936</v>
      </c>
      <c r="H1172" t="s">
        <v>187</v>
      </c>
      <c r="I1172" t="s">
        <v>2666</v>
      </c>
      <c r="J1172">
        <v>1</v>
      </c>
      <c r="K1172">
        <v>81</v>
      </c>
    </row>
    <row r="1173" spans="1:11" x14ac:dyDescent="0.2">
      <c r="A1173" t="s">
        <v>3938</v>
      </c>
      <c r="B1173">
        <v>171018</v>
      </c>
      <c r="C1173" t="s">
        <v>856</v>
      </c>
      <c r="D1173" t="s">
        <v>4018</v>
      </c>
      <c r="E1173" t="s">
        <v>187</v>
      </c>
      <c r="F1173" t="s">
        <v>187</v>
      </c>
      <c r="G1173" t="s">
        <v>3936</v>
      </c>
      <c r="H1173" t="s">
        <v>187</v>
      </c>
      <c r="I1173" t="s">
        <v>2666</v>
      </c>
      <c r="J1173">
        <v>1</v>
      </c>
      <c r="K1173">
        <v>51</v>
      </c>
    </row>
    <row r="1174" spans="1:11" x14ac:dyDescent="0.2">
      <c r="A1174" t="s">
        <v>3938</v>
      </c>
      <c r="B1174">
        <v>170125</v>
      </c>
      <c r="C1174" t="s">
        <v>2048</v>
      </c>
      <c r="D1174" t="s">
        <v>3983</v>
      </c>
      <c r="E1174" t="s">
        <v>187</v>
      </c>
      <c r="F1174" t="s">
        <v>187</v>
      </c>
      <c r="G1174" t="s">
        <v>3946</v>
      </c>
      <c r="H1174" t="s">
        <v>187</v>
      </c>
      <c r="I1174" t="s">
        <v>2616</v>
      </c>
      <c r="J1174">
        <v>1</v>
      </c>
      <c r="K1174">
        <v>430</v>
      </c>
    </row>
    <row r="1175" spans="1:11" x14ac:dyDescent="0.2">
      <c r="A1175" t="s">
        <v>3938</v>
      </c>
      <c r="B1175">
        <v>170204</v>
      </c>
      <c r="C1175" t="s">
        <v>2575</v>
      </c>
      <c r="D1175" t="s">
        <v>4011</v>
      </c>
      <c r="E1175" t="s">
        <v>187</v>
      </c>
      <c r="F1175" t="s">
        <v>187</v>
      </c>
      <c r="G1175" t="s">
        <v>3946</v>
      </c>
      <c r="H1175" t="s">
        <v>187</v>
      </c>
      <c r="I1175" t="s">
        <v>2666</v>
      </c>
      <c r="J1175">
        <v>1</v>
      </c>
      <c r="K1175">
        <v>55</v>
      </c>
    </row>
    <row r="1176" spans="1:11" x14ac:dyDescent="0.2">
      <c r="A1176" t="s">
        <v>3938</v>
      </c>
      <c r="B1176">
        <v>173043</v>
      </c>
      <c r="C1176" t="s">
        <v>2585</v>
      </c>
      <c r="D1176" t="s">
        <v>3988</v>
      </c>
      <c r="E1176" t="s">
        <v>187</v>
      </c>
      <c r="F1176" t="s">
        <v>187</v>
      </c>
      <c r="G1176" t="s">
        <v>3936</v>
      </c>
      <c r="H1176" t="s">
        <v>187</v>
      </c>
      <c r="I1176" t="s">
        <v>2666</v>
      </c>
      <c r="J1176">
        <v>1</v>
      </c>
      <c r="K1176">
        <v>65</v>
      </c>
    </row>
    <row r="1177" spans="1:11" x14ac:dyDescent="0.2">
      <c r="A1177" t="s">
        <v>3938</v>
      </c>
      <c r="B1177">
        <v>170282</v>
      </c>
      <c r="C1177" t="s">
        <v>845</v>
      </c>
      <c r="D1177" t="s">
        <v>4052</v>
      </c>
      <c r="E1177" t="s">
        <v>187</v>
      </c>
      <c r="F1177" t="s">
        <v>187</v>
      </c>
      <c r="G1177" t="s">
        <v>3936</v>
      </c>
      <c r="H1177" t="s">
        <v>187</v>
      </c>
      <c r="I1177" t="s">
        <v>2666</v>
      </c>
      <c r="J1177">
        <v>1</v>
      </c>
      <c r="K1177">
        <v>606</v>
      </c>
    </row>
    <row r="1178" spans="1:11" x14ac:dyDescent="0.2">
      <c r="A1178" t="s">
        <v>3938</v>
      </c>
      <c r="B1178">
        <v>170141</v>
      </c>
      <c r="C1178" t="s">
        <v>817</v>
      </c>
      <c r="D1178" t="s">
        <v>3976</v>
      </c>
      <c r="E1178" t="s">
        <v>187</v>
      </c>
      <c r="F1178" t="s">
        <v>187</v>
      </c>
      <c r="G1178" t="s">
        <v>3946</v>
      </c>
      <c r="H1178" t="s">
        <v>187</v>
      </c>
      <c r="I1178" t="s">
        <v>2666</v>
      </c>
      <c r="J1178">
        <v>1</v>
      </c>
      <c r="K1178">
        <v>70</v>
      </c>
    </row>
    <row r="1179" spans="1:11" x14ac:dyDescent="0.2">
      <c r="A1179" t="s">
        <v>3938</v>
      </c>
      <c r="B1179">
        <v>171012</v>
      </c>
      <c r="C1179" t="s">
        <v>855</v>
      </c>
      <c r="D1179" t="s">
        <v>4024</v>
      </c>
      <c r="E1179" t="s">
        <v>187</v>
      </c>
      <c r="F1179" t="s">
        <v>187</v>
      </c>
      <c r="G1179" t="s">
        <v>3936</v>
      </c>
      <c r="H1179" t="s">
        <v>187</v>
      </c>
      <c r="I1179" t="s">
        <v>2666</v>
      </c>
      <c r="J1179">
        <v>1</v>
      </c>
      <c r="K1179">
        <v>17</v>
      </c>
    </row>
    <row r="1180" spans="1:11" x14ac:dyDescent="0.2">
      <c r="A1180" t="s">
        <v>3938</v>
      </c>
      <c r="B1180">
        <v>173058</v>
      </c>
      <c r="C1180" t="s">
        <v>2155</v>
      </c>
      <c r="D1180" t="s">
        <v>3972</v>
      </c>
      <c r="E1180" t="s">
        <v>187</v>
      </c>
      <c r="F1180" t="s">
        <v>187</v>
      </c>
      <c r="G1180" t="s">
        <v>3936</v>
      </c>
      <c r="H1180" t="s">
        <v>187</v>
      </c>
      <c r="I1180" t="s">
        <v>2616</v>
      </c>
      <c r="J1180">
        <v>1</v>
      </c>
      <c r="K1180">
        <v>146</v>
      </c>
    </row>
    <row r="1181" spans="1:11" x14ac:dyDescent="0.2">
      <c r="A1181" t="s">
        <v>3938</v>
      </c>
      <c r="B1181">
        <v>170059</v>
      </c>
      <c r="C1181" t="s">
        <v>808</v>
      </c>
      <c r="D1181" t="s">
        <v>4025</v>
      </c>
      <c r="E1181" t="s">
        <v>187</v>
      </c>
      <c r="F1181" t="s">
        <v>187</v>
      </c>
      <c r="G1181" t="s">
        <v>3936</v>
      </c>
      <c r="H1181" t="s">
        <v>187</v>
      </c>
      <c r="I1181" t="s">
        <v>2666</v>
      </c>
      <c r="J1181">
        <v>1</v>
      </c>
      <c r="K1181">
        <v>324</v>
      </c>
    </row>
    <row r="1182" spans="1:11" x14ac:dyDescent="0.2">
      <c r="A1182" t="s">
        <v>3938</v>
      </c>
      <c r="B1182">
        <v>173068</v>
      </c>
      <c r="C1182" t="s">
        <v>869</v>
      </c>
      <c r="D1182" t="s">
        <v>3980</v>
      </c>
      <c r="E1182" t="s">
        <v>187</v>
      </c>
      <c r="F1182" t="s">
        <v>187</v>
      </c>
      <c r="G1182" t="s">
        <v>3946</v>
      </c>
      <c r="H1182" t="s">
        <v>187</v>
      </c>
      <c r="I1182" t="s">
        <v>2666</v>
      </c>
      <c r="J1182">
        <v>1</v>
      </c>
      <c r="K1182">
        <v>26</v>
      </c>
    </row>
    <row r="1183" spans="1:11" x14ac:dyDescent="0.2">
      <c r="A1183" t="s">
        <v>3938</v>
      </c>
      <c r="B1183">
        <v>170129</v>
      </c>
      <c r="C1183" t="s">
        <v>815</v>
      </c>
      <c r="D1183" t="s">
        <v>4043</v>
      </c>
      <c r="E1183" t="s">
        <v>187</v>
      </c>
      <c r="F1183" t="s">
        <v>187</v>
      </c>
      <c r="G1183" t="s">
        <v>3946</v>
      </c>
      <c r="H1183" t="s">
        <v>187</v>
      </c>
      <c r="I1183" t="s">
        <v>2666</v>
      </c>
      <c r="J1183">
        <v>1</v>
      </c>
      <c r="K1183">
        <v>30</v>
      </c>
    </row>
    <row r="1184" spans="1:11" x14ac:dyDescent="0.2">
      <c r="A1184" t="s">
        <v>3938</v>
      </c>
      <c r="B1184">
        <v>170008</v>
      </c>
      <c r="C1184" t="s">
        <v>804</v>
      </c>
      <c r="D1184" t="s">
        <v>4015</v>
      </c>
      <c r="E1184" t="s">
        <v>187</v>
      </c>
      <c r="F1184" t="s">
        <v>187</v>
      </c>
      <c r="G1184" t="s">
        <v>3946</v>
      </c>
      <c r="H1184" t="s">
        <v>187</v>
      </c>
      <c r="I1184" t="s">
        <v>2666</v>
      </c>
      <c r="J1184">
        <v>1</v>
      </c>
      <c r="K1184">
        <v>448</v>
      </c>
    </row>
    <row r="1185" spans="1:11" x14ac:dyDescent="0.2">
      <c r="A1185" t="s">
        <v>3938</v>
      </c>
      <c r="B1185">
        <v>170076</v>
      </c>
      <c r="C1185" t="s">
        <v>2017</v>
      </c>
      <c r="D1185" t="s">
        <v>4013</v>
      </c>
      <c r="E1185" t="s">
        <v>187</v>
      </c>
      <c r="F1185" t="s">
        <v>187</v>
      </c>
      <c r="G1185" t="s">
        <v>3946</v>
      </c>
      <c r="H1185" t="s">
        <v>187</v>
      </c>
      <c r="I1185" t="s">
        <v>2616</v>
      </c>
      <c r="J1185">
        <v>1</v>
      </c>
      <c r="K1185">
        <v>2560.4499999999998</v>
      </c>
    </row>
    <row r="1186" spans="1:11" x14ac:dyDescent="0.2">
      <c r="A1186" t="s">
        <v>3938</v>
      </c>
      <c r="B1186">
        <v>173061</v>
      </c>
      <c r="C1186" t="s">
        <v>2156</v>
      </c>
      <c r="D1186" t="s">
        <v>3963</v>
      </c>
      <c r="E1186" t="s">
        <v>187</v>
      </c>
      <c r="F1186" t="s">
        <v>187</v>
      </c>
      <c r="G1186" t="s">
        <v>3936</v>
      </c>
      <c r="H1186" t="s">
        <v>187</v>
      </c>
      <c r="I1186" t="s">
        <v>2616</v>
      </c>
      <c r="J1186">
        <v>1</v>
      </c>
      <c r="K1186">
        <v>20</v>
      </c>
    </row>
    <row r="1187" spans="1:11" x14ac:dyDescent="0.2">
      <c r="A1187" t="s">
        <v>3938</v>
      </c>
      <c r="B1187">
        <v>170032</v>
      </c>
      <c r="C1187" t="s">
        <v>806</v>
      </c>
      <c r="D1187" t="s">
        <v>3952</v>
      </c>
      <c r="E1187" t="s">
        <v>187</v>
      </c>
      <c r="F1187" t="s">
        <v>187</v>
      </c>
      <c r="G1187" t="s">
        <v>3936</v>
      </c>
      <c r="H1187" t="s">
        <v>187</v>
      </c>
      <c r="I1187" t="s">
        <v>2666</v>
      </c>
      <c r="J1187">
        <v>1</v>
      </c>
      <c r="K1187">
        <v>45</v>
      </c>
    </row>
    <row r="1188" spans="1:11" x14ac:dyDescent="0.2">
      <c r="A1188" t="s">
        <v>3938</v>
      </c>
      <c r="B1188">
        <v>170018</v>
      </c>
      <c r="C1188" t="s">
        <v>1982</v>
      </c>
      <c r="D1188" t="s">
        <v>4028</v>
      </c>
      <c r="E1188" t="s">
        <v>187</v>
      </c>
      <c r="F1188" t="s">
        <v>187</v>
      </c>
      <c r="G1188" t="s">
        <v>3936</v>
      </c>
      <c r="H1188" t="s">
        <v>187</v>
      </c>
      <c r="I1188" t="s">
        <v>2616</v>
      </c>
      <c r="J1188">
        <v>1</v>
      </c>
      <c r="K1188">
        <v>928</v>
      </c>
    </row>
    <row r="1189" spans="1:11" x14ac:dyDescent="0.2">
      <c r="A1189" t="s">
        <v>3938</v>
      </c>
      <c r="B1189">
        <v>171014</v>
      </c>
      <c r="C1189" t="s">
        <v>2111</v>
      </c>
      <c r="D1189" t="s">
        <v>3956</v>
      </c>
      <c r="E1189" t="s">
        <v>187</v>
      </c>
      <c r="F1189" t="s">
        <v>187</v>
      </c>
      <c r="G1189" t="s">
        <v>3955</v>
      </c>
      <c r="H1189" t="s">
        <v>187</v>
      </c>
      <c r="I1189" t="s">
        <v>2616</v>
      </c>
      <c r="J1189">
        <v>1</v>
      </c>
      <c r="K1189">
        <v>14984.7</v>
      </c>
    </row>
    <row r="1190" spans="1:11" x14ac:dyDescent="0.2">
      <c r="A1190" t="s">
        <v>3938</v>
      </c>
      <c r="B1190">
        <v>171011</v>
      </c>
      <c r="C1190" t="s">
        <v>854</v>
      </c>
      <c r="D1190" t="s">
        <v>3994</v>
      </c>
      <c r="E1190" t="s">
        <v>187</v>
      </c>
      <c r="F1190" t="s">
        <v>187</v>
      </c>
      <c r="G1190" t="s">
        <v>3936</v>
      </c>
      <c r="H1190" t="s">
        <v>187</v>
      </c>
      <c r="I1190" t="s">
        <v>2666</v>
      </c>
      <c r="J1190">
        <v>1</v>
      </c>
      <c r="K1190">
        <v>9</v>
      </c>
    </row>
    <row r="1191" spans="1:11" x14ac:dyDescent="0.2">
      <c r="A1191" t="s">
        <v>3938</v>
      </c>
      <c r="B1191">
        <v>173056</v>
      </c>
      <c r="C1191" t="s">
        <v>2154</v>
      </c>
      <c r="D1191" t="s">
        <v>3999</v>
      </c>
      <c r="E1191" t="s">
        <v>187</v>
      </c>
      <c r="F1191" t="s">
        <v>187</v>
      </c>
      <c r="G1191" t="s">
        <v>3936</v>
      </c>
      <c r="H1191" t="s">
        <v>187</v>
      </c>
      <c r="I1191" t="s">
        <v>2616</v>
      </c>
      <c r="J1191">
        <v>1</v>
      </c>
      <c r="K1191">
        <v>60</v>
      </c>
    </row>
    <row r="1192" spans="1:11" x14ac:dyDescent="0.2">
      <c r="A1192" t="s">
        <v>3938</v>
      </c>
      <c r="B1192">
        <v>170158</v>
      </c>
      <c r="C1192" t="s">
        <v>2054</v>
      </c>
      <c r="D1192" t="s">
        <v>3959</v>
      </c>
      <c r="E1192" t="s">
        <v>187</v>
      </c>
      <c r="F1192" t="s">
        <v>187</v>
      </c>
      <c r="G1192" t="s">
        <v>3936</v>
      </c>
      <c r="H1192" t="s">
        <v>187</v>
      </c>
      <c r="I1192" t="s">
        <v>2616</v>
      </c>
      <c r="J1192">
        <v>1</v>
      </c>
      <c r="K1192">
        <v>95</v>
      </c>
    </row>
    <row r="1193" spans="1:11" x14ac:dyDescent="0.2">
      <c r="A1193" t="s">
        <v>3938</v>
      </c>
      <c r="B1193">
        <v>170221</v>
      </c>
      <c r="C1193" t="s">
        <v>830</v>
      </c>
      <c r="D1193" t="s">
        <v>4051</v>
      </c>
      <c r="E1193" t="s">
        <v>187</v>
      </c>
      <c r="F1193" t="s">
        <v>187</v>
      </c>
      <c r="G1193" t="s">
        <v>3946</v>
      </c>
      <c r="H1193" t="s">
        <v>187</v>
      </c>
      <c r="I1193" t="s">
        <v>2666</v>
      </c>
      <c r="J1193">
        <v>1</v>
      </c>
      <c r="K1193">
        <v>25</v>
      </c>
    </row>
    <row r="1194" spans="1:11" x14ac:dyDescent="0.2">
      <c r="A1194" t="s">
        <v>3938</v>
      </c>
      <c r="B1194">
        <v>170264</v>
      </c>
      <c r="C1194" t="s">
        <v>837</v>
      </c>
      <c r="D1194" t="s">
        <v>4023</v>
      </c>
      <c r="E1194" t="s">
        <v>187</v>
      </c>
      <c r="F1194" t="s">
        <v>187</v>
      </c>
      <c r="G1194" t="s">
        <v>3946</v>
      </c>
      <c r="H1194" t="s">
        <v>187</v>
      </c>
      <c r="I1194" t="s">
        <v>2666</v>
      </c>
      <c r="J1194">
        <v>1</v>
      </c>
      <c r="K1194">
        <v>52</v>
      </c>
    </row>
    <row r="1195" spans="1:11" x14ac:dyDescent="0.2">
      <c r="A1195" t="s">
        <v>3938</v>
      </c>
      <c r="B1195">
        <v>170042</v>
      </c>
      <c r="C1195" t="s">
        <v>807</v>
      </c>
      <c r="D1195" t="s">
        <v>4040</v>
      </c>
      <c r="E1195" t="s">
        <v>187</v>
      </c>
      <c r="F1195" t="s">
        <v>187</v>
      </c>
      <c r="G1195" t="s">
        <v>3936</v>
      </c>
      <c r="H1195" t="s">
        <v>187</v>
      </c>
      <c r="I1195" t="s">
        <v>2666</v>
      </c>
      <c r="J1195">
        <v>1</v>
      </c>
      <c r="K1195">
        <v>25</v>
      </c>
    </row>
    <row r="1196" spans="1:11" x14ac:dyDescent="0.2">
      <c r="A1196" t="s">
        <v>3938</v>
      </c>
      <c r="B1196">
        <v>171015</v>
      </c>
      <c r="C1196" t="s">
        <v>2112</v>
      </c>
      <c r="D1196" t="s">
        <v>3990</v>
      </c>
      <c r="E1196" t="s">
        <v>187</v>
      </c>
      <c r="F1196" t="s">
        <v>187</v>
      </c>
      <c r="G1196" t="s">
        <v>3936</v>
      </c>
      <c r="H1196" t="s">
        <v>187</v>
      </c>
      <c r="I1196" t="s">
        <v>2616</v>
      </c>
      <c r="J1196">
        <v>1</v>
      </c>
      <c r="K1196">
        <v>172</v>
      </c>
    </row>
    <row r="1197" spans="1:11" x14ac:dyDescent="0.2">
      <c r="A1197" t="s">
        <v>3938</v>
      </c>
      <c r="B1197">
        <v>170265</v>
      </c>
      <c r="C1197" t="s">
        <v>2098</v>
      </c>
      <c r="D1197" t="s">
        <v>3949</v>
      </c>
      <c r="E1197" t="s">
        <v>187</v>
      </c>
      <c r="F1197" t="s">
        <v>187</v>
      </c>
      <c r="G1197" t="s">
        <v>3936</v>
      </c>
      <c r="H1197" t="s">
        <v>187</v>
      </c>
      <c r="I1197" t="s">
        <v>2616</v>
      </c>
      <c r="J1197">
        <v>1</v>
      </c>
      <c r="K1197">
        <v>167</v>
      </c>
    </row>
    <row r="1198" spans="1:11" x14ac:dyDescent="0.2">
      <c r="A1198" t="s">
        <v>3938</v>
      </c>
      <c r="B1198">
        <v>170179</v>
      </c>
      <c r="C1198" t="s">
        <v>2060</v>
      </c>
      <c r="D1198" t="s">
        <v>3953</v>
      </c>
      <c r="E1198" t="s">
        <v>187</v>
      </c>
      <c r="F1198" t="s">
        <v>187</v>
      </c>
      <c r="G1198" t="s">
        <v>3946</v>
      </c>
      <c r="H1198" t="s">
        <v>187</v>
      </c>
      <c r="I1198" t="s">
        <v>2616</v>
      </c>
      <c r="J1198">
        <v>1</v>
      </c>
      <c r="K1198">
        <v>851</v>
      </c>
    </row>
    <row r="1199" spans="1:11" x14ac:dyDescent="0.2">
      <c r="A1199" t="s">
        <v>3938</v>
      </c>
      <c r="B1199">
        <v>170104</v>
      </c>
      <c r="C1199" t="s">
        <v>811</v>
      </c>
      <c r="D1199" t="s">
        <v>3944</v>
      </c>
      <c r="E1199" t="s">
        <v>187</v>
      </c>
      <c r="F1199" t="s">
        <v>187</v>
      </c>
      <c r="G1199" t="s">
        <v>3936</v>
      </c>
      <c r="H1199" t="s">
        <v>187</v>
      </c>
      <c r="I1199" t="s">
        <v>2666</v>
      </c>
      <c r="J1199">
        <v>1</v>
      </c>
      <c r="K1199">
        <v>40</v>
      </c>
    </row>
    <row r="1200" spans="1:11" x14ac:dyDescent="0.2">
      <c r="A1200" t="s">
        <v>3938</v>
      </c>
      <c r="B1200">
        <v>171118</v>
      </c>
      <c r="C1200" t="s">
        <v>1203</v>
      </c>
      <c r="D1200" t="s">
        <v>3979</v>
      </c>
      <c r="E1200" t="s">
        <v>187</v>
      </c>
      <c r="F1200" t="s">
        <v>187</v>
      </c>
      <c r="G1200" t="s">
        <v>3936</v>
      </c>
      <c r="H1200" t="s">
        <v>187</v>
      </c>
      <c r="I1200" t="s">
        <v>2666</v>
      </c>
      <c r="J1200">
        <v>1</v>
      </c>
      <c r="K1200">
        <v>135</v>
      </c>
    </row>
    <row r="1201" spans="1:11" x14ac:dyDescent="0.2">
      <c r="A1201" t="s">
        <v>3938</v>
      </c>
      <c r="B1201">
        <v>170313</v>
      </c>
      <c r="C1201" t="s">
        <v>2580</v>
      </c>
      <c r="D1201" t="s">
        <v>4049</v>
      </c>
      <c r="E1201" t="s">
        <v>187</v>
      </c>
      <c r="F1201" t="s">
        <v>187</v>
      </c>
      <c r="G1201" t="s">
        <v>3946</v>
      </c>
      <c r="H1201" t="s">
        <v>187</v>
      </c>
      <c r="I1201" t="s">
        <v>2666</v>
      </c>
      <c r="J1201">
        <v>1</v>
      </c>
      <c r="K1201">
        <v>18</v>
      </c>
    </row>
    <row r="1202" spans="1:11" x14ac:dyDescent="0.2">
      <c r="A1202" t="s">
        <v>3938</v>
      </c>
      <c r="B1202">
        <v>170090</v>
      </c>
      <c r="C1202" t="s">
        <v>2029</v>
      </c>
      <c r="D1202" t="s">
        <v>3973</v>
      </c>
      <c r="E1202" t="s">
        <v>187</v>
      </c>
      <c r="F1202" t="s">
        <v>187</v>
      </c>
      <c r="G1202" t="s">
        <v>3946</v>
      </c>
      <c r="H1202" t="s">
        <v>187</v>
      </c>
      <c r="I1202" t="s">
        <v>2616</v>
      </c>
      <c r="J1202">
        <v>1</v>
      </c>
      <c r="K1202">
        <v>129</v>
      </c>
    </row>
    <row r="1203" spans="1:11" x14ac:dyDescent="0.2">
      <c r="A1203" t="s">
        <v>3938</v>
      </c>
      <c r="B1203">
        <v>173059</v>
      </c>
      <c r="C1203" t="s">
        <v>867</v>
      </c>
      <c r="D1203" t="s">
        <v>3981</v>
      </c>
      <c r="E1203" t="s">
        <v>187</v>
      </c>
      <c r="F1203" t="s">
        <v>187</v>
      </c>
      <c r="G1203" t="s">
        <v>3936</v>
      </c>
      <c r="H1203" t="s">
        <v>187</v>
      </c>
      <c r="I1203" t="s">
        <v>2666</v>
      </c>
      <c r="J1203">
        <v>1</v>
      </c>
      <c r="K1203">
        <v>16</v>
      </c>
    </row>
    <row r="1204" spans="1:11" x14ac:dyDescent="0.2">
      <c r="A1204" t="s">
        <v>3938</v>
      </c>
      <c r="B1204">
        <v>170220</v>
      </c>
      <c r="C1204" t="s">
        <v>2084</v>
      </c>
      <c r="D1204" t="s">
        <v>4027</v>
      </c>
      <c r="E1204" t="s">
        <v>187</v>
      </c>
      <c r="F1204" t="s">
        <v>187</v>
      </c>
      <c r="G1204" t="s">
        <v>3946</v>
      </c>
      <c r="H1204" t="s">
        <v>187</v>
      </c>
      <c r="I1204" t="s">
        <v>2616</v>
      </c>
      <c r="J1204">
        <v>1</v>
      </c>
      <c r="K1204">
        <v>480</v>
      </c>
    </row>
    <row r="1205" spans="1:11" x14ac:dyDescent="0.2">
      <c r="A1205" t="s">
        <v>3938</v>
      </c>
      <c r="B1205">
        <v>173069</v>
      </c>
      <c r="C1205" t="s">
        <v>870</v>
      </c>
      <c r="D1205" t="s">
        <v>4008</v>
      </c>
      <c r="E1205" t="s">
        <v>187</v>
      </c>
      <c r="F1205" t="s">
        <v>187</v>
      </c>
      <c r="G1205" t="s">
        <v>3946</v>
      </c>
      <c r="H1205" t="s">
        <v>187</v>
      </c>
      <c r="I1205" t="s">
        <v>2666</v>
      </c>
      <c r="J1205">
        <v>1</v>
      </c>
      <c r="K1205">
        <v>32</v>
      </c>
    </row>
    <row r="1206" spans="1:11" x14ac:dyDescent="0.2">
      <c r="A1206" t="s">
        <v>3938</v>
      </c>
      <c r="B1206">
        <v>170248</v>
      </c>
      <c r="C1206" t="s">
        <v>2090</v>
      </c>
      <c r="D1206" t="s">
        <v>3982</v>
      </c>
      <c r="E1206" t="s">
        <v>187</v>
      </c>
      <c r="F1206" t="s">
        <v>187</v>
      </c>
      <c r="G1206" t="s">
        <v>3946</v>
      </c>
      <c r="H1206" t="s">
        <v>187</v>
      </c>
      <c r="I1206" t="s">
        <v>2616</v>
      </c>
      <c r="J1206">
        <v>1</v>
      </c>
      <c r="K1206">
        <v>255</v>
      </c>
    </row>
    <row r="1207" spans="1:11" x14ac:dyDescent="0.2">
      <c r="A1207" t="s">
        <v>3938</v>
      </c>
      <c r="B1207">
        <v>170275</v>
      </c>
      <c r="C1207" t="s">
        <v>841</v>
      </c>
      <c r="D1207" t="s">
        <v>3954</v>
      </c>
      <c r="E1207" t="s">
        <v>187</v>
      </c>
      <c r="F1207" t="s">
        <v>187</v>
      </c>
      <c r="G1207" t="s">
        <v>3946</v>
      </c>
      <c r="H1207" t="s">
        <v>187</v>
      </c>
      <c r="I1207" t="s">
        <v>2666</v>
      </c>
      <c r="J1207">
        <v>1</v>
      </c>
      <c r="K1207">
        <v>44</v>
      </c>
    </row>
    <row r="1208" spans="1:11" x14ac:dyDescent="0.2">
      <c r="A1208" t="s">
        <v>3938</v>
      </c>
      <c r="B1208">
        <v>170268</v>
      </c>
      <c r="C1208" t="s">
        <v>840</v>
      </c>
      <c r="D1208" t="s">
        <v>4039</v>
      </c>
      <c r="E1208" t="s">
        <v>187</v>
      </c>
      <c r="F1208" t="s">
        <v>187</v>
      </c>
      <c r="G1208" t="s">
        <v>3946</v>
      </c>
      <c r="H1208" t="s">
        <v>187</v>
      </c>
      <c r="I1208" t="s">
        <v>2666</v>
      </c>
      <c r="J1208">
        <v>1</v>
      </c>
      <c r="K1208">
        <v>41</v>
      </c>
    </row>
    <row r="1209" spans="1:11" x14ac:dyDescent="0.2">
      <c r="A1209" t="s">
        <v>3938</v>
      </c>
      <c r="B1209">
        <v>170170</v>
      </c>
      <c r="C1209" t="s">
        <v>826</v>
      </c>
      <c r="D1209" t="s">
        <v>4041</v>
      </c>
      <c r="E1209" t="s">
        <v>187</v>
      </c>
      <c r="F1209" t="s">
        <v>187</v>
      </c>
      <c r="G1209" t="s">
        <v>3936</v>
      </c>
      <c r="H1209" t="s">
        <v>187</v>
      </c>
      <c r="I1209" t="s">
        <v>2666</v>
      </c>
      <c r="J1209">
        <v>1</v>
      </c>
      <c r="K1209">
        <v>7</v>
      </c>
    </row>
    <row r="1210" spans="1:11" x14ac:dyDescent="0.2">
      <c r="A1210" t="s">
        <v>3938</v>
      </c>
      <c r="B1210">
        <v>173039</v>
      </c>
      <c r="C1210" t="s">
        <v>864</v>
      </c>
      <c r="D1210" t="s">
        <v>4000</v>
      </c>
      <c r="E1210" t="s">
        <v>187</v>
      </c>
      <c r="F1210" t="s">
        <v>187</v>
      </c>
      <c r="G1210" t="s">
        <v>3936</v>
      </c>
      <c r="H1210" t="s">
        <v>187</v>
      </c>
      <c r="I1210" t="s">
        <v>2666</v>
      </c>
      <c r="J1210">
        <v>1</v>
      </c>
      <c r="K1210">
        <v>50</v>
      </c>
    </row>
    <row r="1211" spans="1:11" x14ac:dyDescent="0.2">
      <c r="A1211" t="s">
        <v>3938</v>
      </c>
      <c r="B1211">
        <v>170258</v>
      </c>
      <c r="C1211" t="s">
        <v>2095</v>
      </c>
      <c r="D1211" t="s">
        <v>3957</v>
      </c>
      <c r="E1211" t="s">
        <v>187</v>
      </c>
      <c r="F1211" t="s">
        <v>187</v>
      </c>
      <c r="G1211" t="s">
        <v>3946</v>
      </c>
      <c r="H1211" t="s">
        <v>187</v>
      </c>
      <c r="I1211" t="s">
        <v>2616</v>
      </c>
      <c r="J1211">
        <v>1</v>
      </c>
      <c r="K1211">
        <v>239</v>
      </c>
    </row>
    <row r="1212" spans="1:11" x14ac:dyDescent="0.2">
      <c r="A1212" t="s">
        <v>3938</v>
      </c>
      <c r="B1212">
        <v>170332</v>
      </c>
      <c r="C1212" t="s">
        <v>2582</v>
      </c>
      <c r="D1212" t="s">
        <v>3969</v>
      </c>
      <c r="E1212" t="s">
        <v>187</v>
      </c>
      <c r="F1212" t="s">
        <v>187</v>
      </c>
      <c r="G1212" t="s">
        <v>3946</v>
      </c>
      <c r="H1212" t="s">
        <v>187</v>
      </c>
      <c r="I1212" t="s">
        <v>2666</v>
      </c>
      <c r="J1212">
        <v>1</v>
      </c>
      <c r="K1212">
        <v>42</v>
      </c>
    </row>
    <row r="1213" spans="1:11" x14ac:dyDescent="0.2">
      <c r="A1213" t="s">
        <v>3938</v>
      </c>
      <c r="B1213">
        <v>170471</v>
      </c>
      <c r="C1213" t="s">
        <v>853</v>
      </c>
      <c r="D1213" t="s">
        <v>4010</v>
      </c>
      <c r="E1213" t="s">
        <v>187</v>
      </c>
      <c r="F1213" t="s">
        <v>187</v>
      </c>
      <c r="G1213" t="s">
        <v>3936</v>
      </c>
      <c r="H1213" t="s">
        <v>187</v>
      </c>
      <c r="I1213" t="s">
        <v>2666</v>
      </c>
      <c r="J1213">
        <v>1</v>
      </c>
      <c r="K1213">
        <v>410.5</v>
      </c>
    </row>
    <row r="1214" spans="1:11" x14ac:dyDescent="0.2">
      <c r="A1214" t="s">
        <v>3938</v>
      </c>
      <c r="B1214">
        <v>170037</v>
      </c>
      <c r="C1214" t="s">
        <v>1995</v>
      </c>
      <c r="D1214" t="s">
        <v>3997</v>
      </c>
      <c r="E1214" t="s">
        <v>187</v>
      </c>
      <c r="F1214" t="s">
        <v>187</v>
      </c>
      <c r="G1214" t="s">
        <v>3936</v>
      </c>
      <c r="H1214" t="s">
        <v>187</v>
      </c>
      <c r="I1214" t="s">
        <v>2616</v>
      </c>
      <c r="J1214">
        <v>1</v>
      </c>
      <c r="K1214">
        <v>171</v>
      </c>
    </row>
    <row r="1215" spans="1:11" x14ac:dyDescent="0.2">
      <c r="A1215" t="s">
        <v>3938</v>
      </c>
      <c r="B1215">
        <v>170249</v>
      </c>
      <c r="C1215" t="s">
        <v>2457</v>
      </c>
      <c r="D1215" t="s">
        <v>3975</v>
      </c>
      <c r="E1215" t="s">
        <v>187</v>
      </c>
      <c r="F1215" t="s">
        <v>187</v>
      </c>
      <c r="G1215" t="s">
        <v>3946</v>
      </c>
      <c r="H1215" t="s">
        <v>187</v>
      </c>
      <c r="I1215" t="s">
        <v>2666</v>
      </c>
      <c r="J1215">
        <v>1</v>
      </c>
      <c r="K1215">
        <v>86</v>
      </c>
    </row>
    <row r="1216" spans="1:11" x14ac:dyDescent="0.2">
      <c r="A1216" t="s">
        <v>3938</v>
      </c>
      <c r="B1216">
        <v>171413</v>
      </c>
      <c r="C1216" t="s">
        <v>863</v>
      </c>
      <c r="D1216" t="s">
        <v>3964</v>
      </c>
      <c r="E1216" t="s">
        <v>187</v>
      </c>
      <c r="F1216" t="s">
        <v>187</v>
      </c>
      <c r="G1216" t="s">
        <v>3936</v>
      </c>
      <c r="H1216" t="s">
        <v>187</v>
      </c>
      <c r="I1216" t="s">
        <v>2666</v>
      </c>
      <c r="J1216">
        <v>1</v>
      </c>
      <c r="K1216">
        <v>6</v>
      </c>
    </row>
    <row r="1217" spans="1:11" x14ac:dyDescent="0.2">
      <c r="A1217" t="s">
        <v>3938</v>
      </c>
      <c r="B1217">
        <v>170068</v>
      </c>
      <c r="C1217" t="s">
        <v>2010</v>
      </c>
      <c r="D1217" t="s">
        <v>4016</v>
      </c>
      <c r="E1217" t="s">
        <v>187</v>
      </c>
      <c r="F1217" t="s">
        <v>187</v>
      </c>
      <c r="G1217" t="s">
        <v>3946</v>
      </c>
      <c r="H1217" t="s">
        <v>187</v>
      </c>
      <c r="I1217" t="s">
        <v>2616</v>
      </c>
      <c r="J1217">
        <v>1</v>
      </c>
      <c r="K1217">
        <v>621</v>
      </c>
    </row>
    <row r="1218" spans="1:11" x14ac:dyDescent="0.2">
      <c r="A1218" t="s">
        <v>3938</v>
      </c>
      <c r="B1218">
        <v>170236</v>
      </c>
      <c r="C1218" t="s">
        <v>833</v>
      </c>
      <c r="D1218" t="s">
        <v>4017</v>
      </c>
      <c r="E1218" t="s">
        <v>187</v>
      </c>
      <c r="F1218" t="s">
        <v>187</v>
      </c>
      <c r="G1218" t="s">
        <v>3946</v>
      </c>
      <c r="H1218" t="s">
        <v>187</v>
      </c>
      <c r="I1218" t="s">
        <v>2666</v>
      </c>
      <c r="J1218">
        <v>1</v>
      </c>
      <c r="K1218">
        <v>9</v>
      </c>
    </row>
    <row r="1219" spans="1:11" x14ac:dyDescent="0.2">
      <c r="A1219" t="s">
        <v>3866</v>
      </c>
      <c r="B1219">
        <v>27012</v>
      </c>
      <c r="C1219" t="s">
        <v>1541</v>
      </c>
      <c r="D1219" t="s">
        <v>3874</v>
      </c>
      <c r="E1219" t="s">
        <v>279</v>
      </c>
      <c r="F1219" t="s">
        <v>279</v>
      </c>
      <c r="G1219" t="s">
        <v>279</v>
      </c>
      <c r="H1219" t="s">
        <v>279</v>
      </c>
      <c r="I1219" t="s">
        <v>2616</v>
      </c>
      <c r="J1219">
        <v>1</v>
      </c>
      <c r="K1219">
        <v>10075</v>
      </c>
    </row>
    <row r="1220" spans="1:11" x14ac:dyDescent="0.2">
      <c r="A1220" t="s">
        <v>3866</v>
      </c>
      <c r="B1220">
        <v>27071</v>
      </c>
      <c r="C1220" t="s">
        <v>1555</v>
      </c>
      <c r="D1220" t="s">
        <v>3908</v>
      </c>
      <c r="E1220" t="s">
        <v>279</v>
      </c>
      <c r="F1220" t="s">
        <v>279</v>
      </c>
      <c r="G1220" t="s">
        <v>279</v>
      </c>
      <c r="H1220" t="s">
        <v>279</v>
      </c>
      <c r="I1220" t="s">
        <v>2616</v>
      </c>
      <c r="J1220">
        <v>1</v>
      </c>
      <c r="K1220">
        <v>3575</v>
      </c>
    </row>
    <row r="1221" spans="1:11" x14ac:dyDescent="0.2">
      <c r="A1221" t="s">
        <v>3866</v>
      </c>
      <c r="B1221">
        <v>27009</v>
      </c>
      <c r="C1221" t="s">
        <v>2529</v>
      </c>
      <c r="D1221" t="s">
        <v>3920</v>
      </c>
      <c r="E1221" t="s">
        <v>279</v>
      </c>
      <c r="F1221" t="s">
        <v>279</v>
      </c>
      <c r="G1221" t="s">
        <v>279</v>
      </c>
      <c r="H1221" t="s">
        <v>279</v>
      </c>
      <c r="I1221" t="s">
        <v>2666</v>
      </c>
      <c r="J1221">
        <v>1</v>
      </c>
      <c r="K1221">
        <v>4624.4799999999996</v>
      </c>
    </row>
    <row r="1222" spans="1:11" x14ac:dyDescent="0.2">
      <c r="A1222" t="s">
        <v>3866</v>
      </c>
      <c r="B1222">
        <v>15031</v>
      </c>
      <c r="C1222" t="s">
        <v>1439</v>
      </c>
      <c r="D1222" t="s">
        <v>3915</v>
      </c>
      <c r="E1222" t="s">
        <v>279</v>
      </c>
      <c r="F1222" t="s">
        <v>279</v>
      </c>
      <c r="G1222" t="s">
        <v>2814</v>
      </c>
      <c r="H1222" t="s">
        <v>279</v>
      </c>
      <c r="I1222" t="s">
        <v>2616</v>
      </c>
      <c r="J1222">
        <v>1</v>
      </c>
      <c r="K1222">
        <v>3101</v>
      </c>
    </row>
    <row r="1223" spans="1:11" x14ac:dyDescent="0.2">
      <c r="A1223" t="s">
        <v>3866</v>
      </c>
      <c r="B1223">
        <v>26003</v>
      </c>
      <c r="C1223" t="s">
        <v>439</v>
      </c>
      <c r="D1223" t="s">
        <v>3918</v>
      </c>
      <c r="E1223" t="s">
        <v>279</v>
      </c>
      <c r="F1223" t="s">
        <v>279</v>
      </c>
      <c r="G1223" t="s">
        <v>279</v>
      </c>
      <c r="H1223" t="s">
        <v>279</v>
      </c>
      <c r="I1223" t="s">
        <v>2666</v>
      </c>
      <c r="J1223">
        <v>1</v>
      </c>
      <c r="K1223">
        <v>4297</v>
      </c>
    </row>
    <row r="1224" spans="1:11" x14ac:dyDescent="0.2">
      <c r="A1224" t="s">
        <v>3866</v>
      </c>
      <c r="B1224">
        <v>27095</v>
      </c>
      <c r="C1224" t="s">
        <v>2538</v>
      </c>
      <c r="D1224" t="s">
        <v>3897</v>
      </c>
      <c r="E1224" t="s">
        <v>279</v>
      </c>
      <c r="F1224" t="s">
        <v>279</v>
      </c>
      <c r="G1224" t="s">
        <v>279</v>
      </c>
      <c r="H1224" t="s">
        <v>279</v>
      </c>
      <c r="I1224" t="s">
        <v>2666</v>
      </c>
      <c r="J1224">
        <v>1</v>
      </c>
      <c r="K1224">
        <v>2577</v>
      </c>
    </row>
    <row r="1225" spans="1:11" x14ac:dyDescent="0.2">
      <c r="A1225" t="s">
        <v>3866</v>
      </c>
      <c r="B1225">
        <v>21005</v>
      </c>
      <c r="C1225" t="s">
        <v>2518</v>
      </c>
      <c r="D1225" t="s">
        <v>3911</v>
      </c>
      <c r="E1225" t="s">
        <v>279</v>
      </c>
      <c r="F1225" t="s">
        <v>279</v>
      </c>
      <c r="G1225" t="s">
        <v>2814</v>
      </c>
      <c r="H1225" t="s">
        <v>279</v>
      </c>
      <c r="I1225" t="s">
        <v>2666</v>
      </c>
      <c r="J1225">
        <v>1</v>
      </c>
      <c r="K1225">
        <v>461</v>
      </c>
    </row>
    <row r="1226" spans="1:11" x14ac:dyDescent="0.2">
      <c r="A1226" t="s">
        <v>3866</v>
      </c>
      <c r="B1226">
        <v>24051</v>
      </c>
      <c r="C1226" t="s">
        <v>2482</v>
      </c>
      <c r="D1226" t="s">
        <v>3926</v>
      </c>
      <c r="E1226" t="s">
        <v>2634</v>
      </c>
      <c r="F1226" t="s">
        <v>279</v>
      </c>
      <c r="G1226" t="s">
        <v>2733</v>
      </c>
      <c r="H1226" t="s">
        <v>2634</v>
      </c>
      <c r="I1226" t="s">
        <v>2666</v>
      </c>
      <c r="J1226">
        <v>1</v>
      </c>
      <c r="K1226">
        <v>10345.25</v>
      </c>
    </row>
    <row r="1227" spans="1:11" x14ac:dyDescent="0.2">
      <c r="A1227" t="s">
        <v>3866</v>
      </c>
      <c r="B1227">
        <v>27046</v>
      </c>
      <c r="C1227" t="s">
        <v>1550</v>
      </c>
      <c r="D1227" t="s">
        <v>3905</v>
      </c>
      <c r="E1227" t="s">
        <v>279</v>
      </c>
      <c r="F1227" t="s">
        <v>279</v>
      </c>
      <c r="G1227" t="s">
        <v>279</v>
      </c>
      <c r="H1227" t="s">
        <v>279</v>
      </c>
      <c r="I1227" t="s">
        <v>2616</v>
      </c>
      <c r="J1227">
        <v>1</v>
      </c>
      <c r="K1227">
        <v>11740</v>
      </c>
    </row>
    <row r="1228" spans="1:11" x14ac:dyDescent="0.2">
      <c r="A1228" t="s">
        <v>3866</v>
      </c>
      <c r="B1228">
        <v>27051</v>
      </c>
      <c r="C1228" t="s">
        <v>1049</v>
      </c>
      <c r="D1228" t="s">
        <v>3887</v>
      </c>
      <c r="E1228" t="s">
        <v>279</v>
      </c>
      <c r="F1228" t="s">
        <v>279</v>
      </c>
      <c r="G1228" t="s">
        <v>279</v>
      </c>
      <c r="H1228" t="s">
        <v>279</v>
      </c>
      <c r="I1228" t="s">
        <v>2666</v>
      </c>
      <c r="J1228">
        <v>1</v>
      </c>
      <c r="K1228">
        <v>228</v>
      </c>
    </row>
    <row r="1229" spans="1:11" x14ac:dyDescent="0.2">
      <c r="A1229" t="s">
        <v>3866</v>
      </c>
      <c r="B1229">
        <v>27034</v>
      </c>
      <c r="C1229" t="s">
        <v>1546</v>
      </c>
      <c r="D1229" t="s">
        <v>3922</v>
      </c>
      <c r="E1229" t="s">
        <v>279</v>
      </c>
      <c r="F1229" t="s">
        <v>279</v>
      </c>
      <c r="G1229" t="s">
        <v>279</v>
      </c>
      <c r="H1229" t="s">
        <v>279</v>
      </c>
      <c r="I1229" t="s">
        <v>2616</v>
      </c>
      <c r="J1229">
        <v>1</v>
      </c>
      <c r="K1229">
        <v>5774</v>
      </c>
    </row>
    <row r="1230" spans="1:11" x14ac:dyDescent="0.2">
      <c r="A1230" t="s">
        <v>3866</v>
      </c>
      <c r="B1230">
        <v>27108</v>
      </c>
      <c r="C1230" t="s">
        <v>449</v>
      </c>
      <c r="D1230" t="s">
        <v>3892</v>
      </c>
      <c r="E1230" t="s">
        <v>279</v>
      </c>
      <c r="F1230" t="s">
        <v>279</v>
      </c>
      <c r="G1230" t="s">
        <v>279</v>
      </c>
      <c r="H1230" t="s">
        <v>279</v>
      </c>
      <c r="I1230" t="s">
        <v>2666</v>
      </c>
      <c r="J1230">
        <v>1</v>
      </c>
      <c r="K1230">
        <v>485</v>
      </c>
    </row>
    <row r="1231" spans="1:11" x14ac:dyDescent="0.2">
      <c r="A1231" t="s">
        <v>3866</v>
      </c>
      <c r="B1231">
        <v>22065</v>
      </c>
      <c r="C1231" t="s">
        <v>403</v>
      </c>
      <c r="D1231" t="s">
        <v>3931</v>
      </c>
      <c r="E1231" t="s">
        <v>279</v>
      </c>
      <c r="F1231" t="s">
        <v>279</v>
      </c>
      <c r="G1231" t="s">
        <v>2814</v>
      </c>
      <c r="H1231" t="s">
        <v>279</v>
      </c>
      <c r="I1231" t="s">
        <v>2666</v>
      </c>
      <c r="J1231">
        <v>1</v>
      </c>
      <c r="K1231">
        <v>1677</v>
      </c>
    </row>
    <row r="1232" spans="1:11" x14ac:dyDescent="0.2">
      <c r="A1232" t="s">
        <v>3866</v>
      </c>
      <c r="B1232">
        <v>27106</v>
      </c>
      <c r="C1232" t="s">
        <v>448</v>
      </c>
      <c r="D1232" t="s">
        <v>3883</v>
      </c>
      <c r="E1232" t="s">
        <v>2634</v>
      </c>
      <c r="F1232" t="s">
        <v>279</v>
      </c>
      <c r="G1232" t="s">
        <v>279</v>
      </c>
      <c r="H1232" t="s">
        <v>2634</v>
      </c>
      <c r="I1232" t="s">
        <v>2666</v>
      </c>
      <c r="J1232">
        <v>1</v>
      </c>
      <c r="K1232">
        <v>2850.33</v>
      </c>
    </row>
    <row r="1233" spans="1:11" x14ac:dyDescent="0.2">
      <c r="A1233" t="s">
        <v>3866</v>
      </c>
      <c r="B1233">
        <v>27008</v>
      </c>
      <c r="C1233" t="s">
        <v>1540</v>
      </c>
      <c r="D1233" t="s">
        <v>3879</v>
      </c>
      <c r="E1233" t="s">
        <v>279</v>
      </c>
      <c r="F1233" t="s">
        <v>279</v>
      </c>
      <c r="G1233" t="s">
        <v>279</v>
      </c>
      <c r="H1233" t="s">
        <v>279</v>
      </c>
      <c r="I1233" t="s">
        <v>2616</v>
      </c>
      <c r="J1233">
        <v>1</v>
      </c>
      <c r="K1233">
        <v>7785</v>
      </c>
    </row>
    <row r="1234" spans="1:11" x14ac:dyDescent="0.2">
      <c r="A1234" t="s">
        <v>3866</v>
      </c>
      <c r="B1234">
        <v>24003</v>
      </c>
      <c r="C1234" t="s">
        <v>1512</v>
      </c>
      <c r="D1234" t="s">
        <v>3930</v>
      </c>
      <c r="E1234" t="s">
        <v>279</v>
      </c>
      <c r="F1234" t="s">
        <v>279</v>
      </c>
      <c r="G1234" t="s">
        <v>2733</v>
      </c>
      <c r="H1234" t="s">
        <v>279</v>
      </c>
      <c r="I1234" t="s">
        <v>2616</v>
      </c>
      <c r="J1234">
        <v>1</v>
      </c>
      <c r="K1234">
        <v>6255</v>
      </c>
    </row>
    <row r="1235" spans="1:11" x14ac:dyDescent="0.2">
      <c r="A1235" t="s">
        <v>3866</v>
      </c>
      <c r="B1235">
        <v>20110</v>
      </c>
      <c r="C1235" t="s">
        <v>389</v>
      </c>
      <c r="D1235" t="s">
        <v>3890</v>
      </c>
      <c r="E1235" t="s">
        <v>279</v>
      </c>
      <c r="F1235" t="s">
        <v>279</v>
      </c>
      <c r="G1235" t="s">
        <v>2814</v>
      </c>
      <c r="H1235" t="s">
        <v>279</v>
      </c>
      <c r="I1235" t="s">
        <v>2666</v>
      </c>
      <c r="J1235">
        <v>1</v>
      </c>
      <c r="K1235">
        <v>593</v>
      </c>
    </row>
    <row r="1236" spans="1:11" x14ac:dyDescent="0.2">
      <c r="A1236" t="s">
        <v>3866</v>
      </c>
      <c r="B1236">
        <v>21006</v>
      </c>
      <c r="C1236" t="s">
        <v>1485</v>
      </c>
      <c r="D1236" t="s">
        <v>3907</v>
      </c>
      <c r="E1236" t="s">
        <v>279</v>
      </c>
      <c r="F1236" t="s">
        <v>279</v>
      </c>
      <c r="G1236" t="s">
        <v>2814</v>
      </c>
      <c r="H1236" t="s">
        <v>279</v>
      </c>
      <c r="I1236" t="s">
        <v>2616</v>
      </c>
      <c r="J1236">
        <v>1</v>
      </c>
      <c r="K1236">
        <v>4061</v>
      </c>
    </row>
    <row r="1237" spans="1:11" x14ac:dyDescent="0.2">
      <c r="A1237" t="s">
        <v>3866</v>
      </c>
      <c r="B1237">
        <v>27111</v>
      </c>
      <c r="C1237" t="s">
        <v>2540</v>
      </c>
      <c r="D1237" t="s">
        <v>3871</v>
      </c>
      <c r="E1237" t="s">
        <v>279</v>
      </c>
      <c r="F1237" t="s">
        <v>279</v>
      </c>
      <c r="G1237" t="s">
        <v>279</v>
      </c>
      <c r="H1237" t="s">
        <v>279</v>
      </c>
      <c r="I1237" t="s">
        <v>2666</v>
      </c>
      <c r="J1237">
        <v>1</v>
      </c>
      <c r="K1237">
        <v>628</v>
      </c>
    </row>
    <row r="1238" spans="1:11" x14ac:dyDescent="0.2">
      <c r="A1238" t="s">
        <v>3866</v>
      </c>
      <c r="B1238">
        <v>27119</v>
      </c>
      <c r="C1238" t="s">
        <v>1138</v>
      </c>
      <c r="D1238" t="s">
        <v>3899</v>
      </c>
      <c r="E1238" t="s">
        <v>279</v>
      </c>
      <c r="F1238" t="s">
        <v>279</v>
      </c>
      <c r="G1238" t="s">
        <v>279</v>
      </c>
      <c r="H1238" t="s">
        <v>279</v>
      </c>
      <c r="I1238" t="s">
        <v>2666</v>
      </c>
      <c r="J1238">
        <v>1</v>
      </c>
      <c r="K1238">
        <v>10</v>
      </c>
    </row>
    <row r="1239" spans="1:11" x14ac:dyDescent="0.2">
      <c r="A1239" t="s">
        <v>3866</v>
      </c>
      <c r="B1239">
        <v>20021</v>
      </c>
      <c r="C1239" t="s">
        <v>1458</v>
      </c>
      <c r="D1239" t="s">
        <v>3934</v>
      </c>
      <c r="E1239" t="s">
        <v>279</v>
      </c>
      <c r="F1239" t="s">
        <v>279</v>
      </c>
      <c r="G1239" t="s">
        <v>2814</v>
      </c>
      <c r="H1239" t="s">
        <v>279</v>
      </c>
      <c r="I1239" t="s">
        <v>2616</v>
      </c>
      <c r="J1239">
        <v>1</v>
      </c>
      <c r="K1239">
        <v>10136</v>
      </c>
    </row>
    <row r="1240" spans="1:11" x14ac:dyDescent="0.2">
      <c r="A1240" t="s">
        <v>3866</v>
      </c>
      <c r="B1240">
        <v>21044</v>
      </c>
      <c r="C1240" t="s">
        <v>1495</v>
      </c>
      <c r="D1240" t="s">
        <v>3928</v>
      </c>
      <c r="E1240" t="s">
        <v>279</v>
      </c>
      <c r="F1240" t="s">
        <v>279</v>
      </c>
      <c r="G1240" t="s">
        <v>2814</v>
      </c>
      <c r="H1240" t="s">
        <v>279</v>
      </c>
      <c r="I1240" t="s">
        <v>2616</v>
      </c>
      <c r="J1240">
        <v>1</v>
      </c>
      <c r="K1240">
        <v>12220</v>
      </c>
    </row>
    <row r="1241" spans="1:11" x14ac:dyDescent="0.2">
      <c r="A1241" t="s">
        <v>3866</v>
      </c>
      <c r="B1241">
        <v>20031</v>
      </c>
      <c r="C1241" t="s">
        <v>1464</v>
      </c>
      <c r="D1241" t="s">
        <v>3876</v>
      </c>
      <c r="E1241" t="s">
        <v>279</v>
      </c>
      <c r="F1241" t="s">
        <v>279</v>
      </c>
      <c r="G1241" t="s">
        <v>2814</v>
      </c>
      <c r="H1241" t="s">
        <v>279</v>
      </c>
      <c r="I1241" t="s">
        <v>2616</v>
      </c>
      <c r="J1241">
        <v>1</v>
      </c>
      <c r="K1241">
        <v>6564</v>
      </c>
    </row>
    <row r="1242" spans="1:11" x14ac:dyDescent="0.2">
      <c r="A1242" t="s">
        <v>3866</v>
      </c>
      <c r="B1242">
        <v>27076</v>
      </c>
      <c r="C1242" t="s">
        <v>3870</v>
      </c>
      <c r="D1242" t="s">
        <v>3869</v>
      </c>
      <c r="E1242" t="s">
        <v>279</v>
      </c>
      <c r="F1242" t="s">
        <v>279</v>
      </c>
      <c r="G1242" t="s">
        <v>279</v>
      </c>
      <c r="H1242" t="s">
        <v>279</v>
      </c>
      <c r="I1242" t="s">
        <v>2666</v>
      </c>
      <c r="J1242">
        <v>1</v>
      </c>
      <c r="K1242">
        <v>27775.54</v>
      </c>
    </row>
    <row r="1243" spans="1:11" x14ac:dyDescent="0.2">
      <c r="A1243" t="s">
        <v>3866</v>
      </c>
      <c r="B1243">
        <v>21021</v>
      </c>
      <c r="C1243" t="s">
        <v>1486</v>
      </c>
      <c r="D1243" t="s">
        <v>3895</v>
      </c>
      <c r="E1243" t="s">
        <v>279</v>
      </c>
      <c r="F1243" t="s">
        <v>279</v>
      </c>
      <c r="G1243" t="s">
        <v>2814</v>
      </c>
      <c r="H1243" t="s">
        <v>279</v>
      </c>
      <c r="I1243" t="s">
        <v>2616</v>
      </c>
      <c r="J1243">
        <v>1</v>
      </c>
      <c r="K1243">
        <v>3544</v>
      </c>
    </row>
    <row r="1244" spans="1:11" x14ac:dyDescent="0.2">
      <c r="A1244" t="s">
        <v>3866</v>
      </c>
      <c r="B1244">
        <v>27037</v>
      </c>
      <c r="C1244" t="s">
        <v>1547</v>
      </c>
      <c r="D1244" t="s">
        <v>3891</v>
      </c>
      <c r="E1244" t="s">
        <v>279</v>
      </c>
      <c r="F1244" t="s">
        <v>279</v>
      </c>
      <c r="G1244" t="s">
        <v>279</v>
      </c>
      <c r="H1244" t="s">
        <v>279</v>
      </c>
      <c r="I1244" t="s">
        <v>2616</v>
      </c>
      <c r="J1244">
        <v>1</v>
      </c>
      <c r="K1244">
        <v>9486</v>
      </c>
    </row>
    <row r="1245" spans="1:11" x14ac:dyDescent="0.2">
      <c r="A1245" t="s">
        <v>3866</v>
      </c>
      <c r="B1245">
        <v>27001</v>
      </c>
      <c r="C1245" t="s">
        <v>440</v>
      </c>
      <c r="D1245" t="s">
        <v>3912</v>
      </c>
      <c r="E1245" t="s">
        <v>279</v>
      </c>
      <c r="F1245" t="s">
        <v>279</v>
      </c>
      <c r="G1245" t="s">
        <v>279</v>
      </c>
      <c r="H1245" t="s">
        <v>279</v>
      </c>
      <c r="I1245" t="s">
        <v>2666</v>
      </c>
      <c r="J1245">
        <v>1</v>
      </c>
      <c r="K1245">
        <v>3608</v>
      </c>
    </row>
    <row r="1246" spans="1:11" x14ac:dyDescent="0.2">
      <c r="A1246" t="s">
        <v>3866</v>
      </c>
      <c r="B1246">
        <v>21028</v>
      </c>
      <c r="C1246" t="s">
        <v>3910</v>
      </c>
      <c r="D1246" t="s">
        <v>3909</v>
      </c>
      <c r="E1246" t="s">
        <v>279</v>
      </c>
      <c r="F1246" t="s">
        <v>279</v>
      </c>
      <c r="G1246" t="s">
        <v>2814</v>
      </c>
      <c r="H1246" t="s">
        <v>279</v>
      </c>
      <c r="I1246" t="s">
        <v>2616</v>
      </c>
      <c r="J1246">
        <v>1</v>
      </c>
      <c r="K1246">
        <v>5319</v>
      </c>
    </row>
    <row r="1247" spans="1:11" x14ac:dyDescent="0.2">
      <c r="A1247" t="s">
        <v>3866</v>
      </c>
      <c r="B1247">
        <v>38046</v>
      </c>
      <c r="C1247" t="s">
        <v>535</v>
      </c>
      <c r="D1247" t="s">
        <v>3889</v>
      </c>
      <c r="E1247" t="s">
        <v>281</v>
      </c>
      <c r="F1247" t="s">
        <v>281</v>
      </c>
      <c r="G1247" t="s">
        <v>2676</v>
      </c>
      <c r="H1247" t="s">
        <v>281</v>
      </c>
      <c r="I1247" t="s">
        <v>2666</v>
      </c>
      <c r="J1247">
        <v>1</v>
      </c>
      <c r="K1247">
        <v>538</v>
      </c>
    </row>
    <row r="1248" spans="1:11" x14ac:dyDescent="0.2">
      <c r="A1248" t="s">
        <v>3866</v>
      </c>
      <c r="B1248">
        <v>15059</v>
      </c>
      <c r="C1248" t="s">
        <v>1444</v>
      </c>
      <c r="D1248" t="s">
        <v>3898</v>
      </c>
      <c r="E1248" t="s">
        <v>279</v>
      </c>
      <c r="F1248" t="s">
        <v>279</v>
      </c>
      <c r="G1248" t="s">
        <v>2814</v>
      </c>
      <c r="H1248" t="s">
        <v>279</v>
      </c>
      <c r="I1248" t="s">
        <v>2616</v>
      </c>
      <c r="J1248">
        <v>1</v>
      </c>
      <c r="K1248">
        <v>3124</v>
      </c>
    </row>
    <row r="1249" spans="1:11" x14ac:dyDescent="0.2">
      <c r="A1249" t="s">
        <v>3866</v>
      </c>
      <c r="B1249">
        <v>25012</v>
      </c>
      <c r="C1249" t="s">
        <v>1525</v>
      </c>
      <c r="D1249" t="s">
        <v>3917</v>
      </c>
      <c r="E1249" t="s">
        <v>279</v>
      </c>
      <c r="F1249" t="s">
        <v>279</v>
      </c>
      <c r="G1249" t="s">
        <v>2733</v>
      </c>
      <c r="H1249" t="s">
        <v>279</v>
      </c>
      <c r="I1249" t="s">
        <v>2616</v>
      </c>
      <c r="J1249">
        <v>1</v>
      </c>
      <c r="K1249">
        <v>11947</v>
      </c>
    </row>
    <row r="1250" spans="1:11" x14ac:dyDescent="0.2">
      <c r="A1250" t="s">
        <v>3866</v>
      </c>
      <c r="B1250">
        <v>27055</v>
      </c>
      <c r="C1250" t="s">
        <v>2533</v>
      </c>
      <c r="D1250" t="s">
        <v>3868</v>
      </c>
      <c r="E1250" t="s">
        <v>279</v>
      </c>
      <c r="F1250" t="s">
        <v>279</v>
      </c>
      <c r="G1250" t="s">
        <v>279</v>
      </c>
      <c r="H1250" t="s">
        <v>279</v>
      </c>
      <c r="I1250" t="s">
        <v>2666</v>
      </c>
      <c r="J1250">
        <v>1</v>
      </c>
      <c r="K1250">
        <v>188</v>
      </c>
    </row>
    <row r="1251" spans="1:11" x14ac:dyDescent="0.2">
      <c r="A1251" t="s">
        <v>3866</v>
      </c>
      <c r="B1251">
        <v>27044</v>
      </c>
      <c r="C1251" t="s">
        <v>443</v>
      </c>
      <c r="D1251" t="s">
        <v>3913</v>
      </c>
      <c r="E1251" t="s">
        <v>279</v>
      </c>
      <c r="F1251" t="s">
        <v>279</v>
      </c>
      <c r="G1251" t="s">
        <v>279</v>
      </c>
      <c r="H1251" t="s">
        <v>279</v>
      </c>
      <c r="I1251" t="s">
        <v>2666</v>
      </c>
      <c r="J1251">
        <v>1</v>
      </c>
      <c r="K1251">
        <v>538</v>
      </c>
    </row>
    <row r="1252" spans="1:11" x14ac:dyDescent="0.2">
      <c r="A1252" t="s">
        <v>3866</v>
      </c>
      <c r="B1252">
        <v>27110</v>
      </c>
      <c r="C1252" t="s">
        <v>2539</v>
      </c>
      <c r="D1252" t="s">
        <v>3875</v>
      </c>
      <c r="E1252" t="s">
        <v>2634</v>
      </c>
      <c r="F1252" t="s">
        <v>279</v>
      </c>
      <c r="G1252" t="s">
        <v>279</v>
      </c>
      <c r="H1252" t="s">
        <v>2634</v>
      </c>
      <c r="I1252" t="s">
        <v>2666</v>
      </c>
      <c r="J1252">
        <v>1</v>
      </c>
      <c r="K1252">
        <v>145</v>
      </c>
    </row>
    <row r="1253" spans="1:11" x14ac:dyDescent="0.2">
      <c r="A1253" t="s">
        <v>3866</v>
      </c>
      <c r="B1253">
        <v>27059</v>
      </c>
      <c r="C1253" t="s">
        <v>1551</v>
      </c>
      <c r="D1253" t="s">
        <v>3901</v>
      </c>
      <c r="E1253" t="s">
        <v>279</v>
      </c>
      <c r="F1253" t="s">
        <v>279</v>
      </c>
      <c r="G1253" t="s">
        <v>279</v>
      </c>
      <c r="H1253" t="s">
        <v>279</v>
      </c>
      <c r="I1253" t="s">
        <v>2616</v>
      </c>
      <c r="J1253">
        <v>1</v>
      </c>
      <c r="K1253">
        <v>27177.98</v>
      </c>
    </row>
    <row r="1254" spans="1:11" x14ac:dyDescent="0.2">
      <c r="A1254" t="s">
        <v>3866</v>
      </c>
      <c r="B1254">
        <v>20055</v>
      </c>
      <c r="C1254" t="s">
        <v>2394</v>
      </c>
      <c r="D1254" t="s">
        <v>3932</v>
      </c>
      <c r="E1254" t="s">
        <v>279</v>
      </c>
      <c r="F1254" t="s">
        <v>279</v>
      </c>
      <c r="G1254" t="s">
        <v>2814</v>
      </c>
      <c r="H1254" t="s">
        <v>279</v>
      </c>
      <c r="I1254" t="s">
        <v>2666</v>
      </c>
      <c r="J1254">
        <v>1</v>
      </c>
      <c r="K1254">
        <v>6376.5</v>
      </c>
    </row>
    <row r="1255" spans="1:11" x14ac:dyDescent="0.2">
      <c r="A1255" t="s">
        <v>3866</v>
      </c>
      <c r="B1255">
        <v>24018</v>
      </c>
      <c r="C1255" t="s">
        <v>1132</v>
      </c>
      <c r="D1255" t="s">
        <v>3925</v>
      </c>
      <c r="E1255" t="s">
        <v>279</v>
      </c>
      <c r="F1255" t="s">
        <v>279</v>
      </c>
      <c r="G1255" t="s">
        <v>2733</v>
      </c>
      <c r="H1255" t="s">
        <v>279</v>
      </c>
      <c r="I1255" t="s">
        <v>2666</v>
      </c>
      <c r="J1255">
        <v>1</v>
      </c>
      <c r="K1255">
        <v>263</v>
      </c>
    </row>
    <row r="1256" spans="1:11" x14ac:dyDescent="0.2">
      <c r="A1256" t="s">
        <v>3866</v>
      </c>
      <c r="B1256">
        <v>24042</v>
      </c>
      <c r="C1256" t="s">
        <v>418</v>
      </c>
      <c r="D1256" t="s">
        <v>3902</v>
      </c>
      <c r="E1256" t="s">
        <v>279</v>
      </c>
      <c r="F1256" t="s">
        <v>279</v>
      </c>
      <c r="G1256" t="s">
        <v>2733</v>
      </c>
      <c r="H1256" t="s">
        <v>279</v>
      </c>
      <c r="I1256" t="s">
        <v>2666</v>
      </c>
      <c r="J1256">
        <v>1</v>
      </c>
      <c r="K1256">
        <v>72</v>
      </c>
    </row>
    <row r="1257" spans="1:11" x14ac:dyDescent="0.2">
      <c r="A1257" t="s">
        <v>3866</v>
      </c>
      <c r="B1257">
        <v>27144</v>
      </c>
      <c r="C1257" t="s">
        <v>450</v>
      </c>
      <c r="D1257" t="s">
        <v>3896</v>
      </c>
      <c r="E1257" t="s">
        <v>279</v>
      </c>
      <c r="F1257" t="s">
        <v>279</v>
      </c>
      <c r="G1257" t="s">
        <v>279</v>
      </c>
      <c r="H1257" t="s">
        <v>279</v>
      </c>
      <c r="I1257" t="s">
        <v>2666</v>
      </c>
      <c r="J1257">
        <v>1</v>
      </c>
      <c r="K1257">
        <v>3109.5</v>
      </c>
    </row>
    <row r="1258" spans="1:11" x14ac:dyDescent="0.2">
      <c r="A1258" t="s">
        <v>3866</v>
      </c>
      <c r="B1258">
        <v>26020</v>
      </c>
      <c r="C1258" t="s">
        <v>2528</v>
      </c>
      <c r="D1258" t="s">
        <v>3872</v>
      </c>
      <c r="E1258" t="s">
        <v>2634</v>
      </c>
      <c r="F1258" t="s">
        <v>279</v>
      </c>
      <c r="G1258" t="s">
        <v>279</v>
      </c>
      <c r="H1258" t="s">
        <v>2634</v>
      </c>
      <c r="I1258" t="s">
        <v>2666</v>
      </c>
      <c r="J1258">
        <v>1</v>
      </c>
      <c r="K1258">
        <v>1606</v>
      </c>
    </row>
    <row r="1259" spans="1:11" x14ac:dyDescent="0.2">
      <c r="A1259" t="s">
        <v>3866</v>
      </c>
      <c r="B1259">
        <v>20061</v>
      </c>
      <c r="C1259" t="s">
        <v>2514</v>
      </c>
      <c r="D1259" t="s">
        <v>3224</v>
      </c>
      <c r="E1259" t="s">
        <v>279</v>
      </c>
      <c r="F1259" t="s">
        <v>279</v>
      </c>
      <c r="G1259" t="s">
        <v>2814</v>
      </c>
      <c r="H1259" t="s">
        <v>279</v>
      </c>
      <c r="I1259" t="s">
        <v>2666</v>
      </c>
      <c r="J1259">
        <v>1</v>
      </c>
      <c r="K1259">
        <v>10692</v>
      </c>
    </row>
    <row r="1260" spans="1:11" x14ac:dyDescent="0.2">
      <c r="A1260" t="s">
        <v>3866</v>
      </c>
      <c r="B1260">
        <v>27146</v>
      </c>
      <c r="C1260" t="s">
        <v>278</v>
      </c>
      <c r="D1260" t="s">
        <v>3893</v>
      </c>
      <c r="E1260" t="s">
        <v>279</v>
      </c>
      <c r="F1260" t="s">
        <v>279</v>
      </c>
      <c r="G1260" t="s">
        <v>279</v>
      </c>
      <c r="H1260" t="s">
        <v>279</v>
      </c>
      <c r="I1260" t="s">
        <v>2666</v>
      </c>
      <c r="J1260">
        <v>1</v>
      </c>
      <c r="K1260">
        <v>23315.23</v>
      </c>
    </row>
    <row r="1261" spans="1:11" x14ac:dyDescent="0.2">
      <c r="A1261" t="s">
        <v>3866</v>
      </c>
      <c r="B1261">
        <v>15014</v>
      </c>
      <c r="C1261" t="s">
        <v>1435</v>
      </c>
      <c r="D1261" t="s">
        <v>3888</v>
      </c>
      <c r="E1261" t="s">
        <v>279</v>
      </c>
      <c r="F1261" t="s">
        <v>279</v>
      </c>
      <c r="G1261" t="s">
        <v>2814</v>
      </c>
      <c r="H1261" t="s">
        <v>279</v>
      </c>
      <c r="I1261" t="s">
        <v>2616</v>
      </c>
      <c r="J1261">
        <v>1</v>
      </c>
      <c r="K1261">
        <v>2407</v>
      </c>
    </row>
    <row r="1262" spans="1:11" x14ac:dyDescent="0.2">
      <c r="A1262" t="s">
        <v>3866</v>
      </c>
      <c r="B1262">
        <v>20056</v>
      </c>
      <c r="C1262" t="s">
        <v>1471</v>
      </c>
      <c r="D1262" t="s">
        <v>3906</v>
      </c>
      <c r="E1262" t="s">
        <v>279</v>
      </c>
      <c r="F1262" t="s">
        <v>279</v>
      </c>
      <c r="G1262" t="s">
        <v>2814</v>
      </c>
      <c r="H1262" t="s">
        <v>279</v>
      </c>
      <c r="I1262" t="s">
        <v>2616</v>
      </c>
      <c r="J1262">
        <v>1</v>
      </c>
      <c r="K1262">
        <v>8144</v>
      </c>
    </row>
    <row r="1263" spans="1:11" x14ac:dyDescent="0.2">
      <c r="A1263" t="s">
        <v>3866</v>
      </c>
      <c r="B1263">
        <v>27002</v>
      </c>
      <c r="C1263" t="s">
        <v>1538</v>
      </c>
      <c r="D1263" t="s">
        <v>3886</v>
      </c>
      <c r="E1263" t="s">
        <v>279</v>
      </c>
      <c r="F1263" t="s">
        <v>279</v>
      </c>
      <c r="G1263" t="s">
        <v>279</v>
      </c>
      <c r="H1263" t="s">
        <v>279</v>
      </c>
      <c r="I1263" t="s">
        <v>2616</v>
      </c>
      <c r="J1263">
        <v>1</v>
      </c>
      <c r="K1263">
        <v>18218.05</v>
      </c>
    </row>
    <row r="1264" spans="1:11" x14ac:dyDescent="0.2">
      <c r="A1264" t="s">
        <v>3866</v>
      </c>
      <c r="B1264">
        <v>32011</v>
      </c>
      <c r="C1264" t="s">
        <v>504</v>
      </c>
      <c r="D1264" t="s">
        <v>3904</v>
      </c>
      <c r="E1264" t="s">
        <v>2634</v>
      </c>
      <c r="F1264" t="s">
        <v>281</v>
      </c>
      <c r="G1264" t="s">
        <v>2844</v>
      </c>
      <c r="H1264" t="s">
        <v>2634</v>
      </c>
      <c r="I1264" t="s">
        <v>2666</v>
      </c>
      <c r="J1264">
        <v>1</v>
      </c>
      <c r="K1264">
        <v>1409</v>
      </c>
    </row>
    <row r="1265" spans="1:11" x14ac:dyDescent="0.2">
      <c r="A1265" t="s">
        <v>3866</v>
      </c>
      <c r="B1265">
        <v>25047</v>
      </c>
      <c r="C1265" t="s">
        <v>1534</v>
      </c>
      <c r="D1265" t="s">
        <v>3873</v>
      </c>
      <c r="E1265" t="s">
        <v>279</v>
      </c>
      <c r="F1265" t="s">
        <v>279</v>
      </c>
      <c r="G1265" t="s">
        <v>2733</v>
      </c>
      <c r="H1265" t="s">
        <v>279</v>
      </c>
      <c r="I1265" t="s">
        <v>2616</v>
      </c>
      <c r="J1265">
        <v>1</v>
      </c>
      <c r="K1265">
        <v>11703</v>
      </c>
    </row>
    <row r="1266" spans="1:11" x14ac:dyDescent="0.2">
      <c r="A1266" t="s">
        <v>3866</v>
      </c>
      <c r="B1266">
        <v>20117</v>
      </c>
      <c r="C1266" t="s">
        <v>1482</v>
      </c>
      <c r="D1266" t="s">
        <v>3867</v>
      </c>
      <c r="E1266" t="s">
        <v>2634</v>
      </c>
      <c r="F1266" t="s">
        <v>279</v>
      </c>
      <c r="G1266" t="s">
        <v>2814</v>
      </c>
      <c r="H1266" t="s">
        <v>2634</v>
      </c>
      <c r="I1266" t="s">
        <v>2616</v>
      </c>
      <c r="J1266">
        <v>1</v>
      </c>
      <c r="K1266">
        <v>24952.78</v>
      </c>
    </row>
    <row r="1267" spans="1:11" x14ac:dyDescent="0.2">
      <c r="A1267" t="s">
        <v>3866</v>
      </c>
      <c r="B1267">
        <v>15085</v>
      </c>
      <c r="C1267" t="s">
        <v>2509</v>
      </c>
      <c r="D1267" t="s">
        <v>3935</v>
      </c>
      <c r="E1267" t="s">
        <v>279</v>
      </c>
      <c r="F1267" t="s">
        <v>279</v>
      </c>
      <c r="G1267" t="s">
        <v>2814</v>
      </c>
      <c r="H1267" t="s">
        <v>279</v>
      </c>
      <c r="I1267" t="s">
        <v>2666</v>
      </c>
      <c r="J1267">
        <v>1</v>
      </c>
      <c r="K1267">
        <v>300</v>
      </c>
    </row>
    <row r="1268" spans="1:11" x14ac:dyDescent="0.2">
      <c r="A1268" t="s">
        <v>3866</v>
      </c>
      <c r="B1268">
        <v>20104</v>
      </c>
      <c r="C1268" t="s">
        <v>1294</v>
      </c>
      <c r="D1268" t="s">
        <v>3884</v>
      </c>
      <c r="E1268" t="s">
        <v>279</v>
      </c>
      <c r="F1268" t="s">
        <v>279</v>
      </c>
      <c r="G1268" t="s">
        <v>2814</v>
      </c>
      <c r="H1268" t="s">
        <v>279</v>
      </c>
      <c r="I1268" t="s">
        <v>2666</v>
      </c>
      <c r="J1268">
        <v>1</v>
      </c>
      <c r="K1268">
        <v>1456</v>
      </c>
    </row>
    <row r="1269" spans="1:11" x14ac:dyDescent="0.2">
      <c r="A1269" t="s">
        <v>3866</v>
      </c>
      <c r="B1269">
        <v>37065</v>
      </c>
      <c r="C1269" t="s">
        <v>1079</v>
      </c>
      <c r="D1269" t="s">
        <v>3924</v>
      </c>
      <c r="E1269" t="s">
        <v>2634</v>
      </c>
      <c r="F1269" t="s">
        <v>281</v>
      </c>
      <c r="G1269" t="s">
        <v>2759</v>
      </c>
      <c r="H1269" t="s">
        <v>2634</v>
      </c>
      <c r="I1269" t="s">
        <v>2666</v>
      </c>
      <c r="J1269">
        <v>1</v>
      </c>
      <c r="K1269">
        <v>-1</v>
      </c>
    </row>
    <row r="1270" spans="1:11" x14ac:dyDescent="0.2">
      <c r="A1270" t="s">
        <v>3866</v>
      </c>
      <c r="B1270">
        <v>24034</v>
      </c>
      <c r="C1270" t="s">
        <v>416</v>
      </c>
      <c r="D1270" t="s">
        <v>3929</v>
      </c>
      <c r="E1270" t="s">
        <v>279</v>
      </c>
      <c r="F1270" t="s">
        <v>279</v>
      </c>
      <c r="G1270" t="s">
        <v>2733</v>
      </c>
      <c r="H1270" t="s">
        <v>279</v>
      </c>
      <c r="I1270" t="s">
        <v>2666</v>
      </c>
      <c r="J1270">
        <v>1</v>
      </c>
      <c r="K1270">
        <v>478</v>
      </c>
    </row>
    <row r="1271" spans="1:11" x14ac:dyDescent="0.2">
      <c r="A1271" t="s">
        <v>3866</v>
      </c>
      <c r="B1271">
        <v>27040</v>
      </c>
      <c r="C1271" t="s">
        <v>1548</v>
      </c>
      <c r="D1271" t="s">
        <v>3894</v>
      </c>
      <c r="E1271" t="s">
        <v>279</v>
      </c>
      <c r="F1271" t="s">
        <v>279</v>
      </c>
      <c r="G1271" t="s">
        <v>279</v>
      </c>
      <c r="H1271" t="s">
        <v>279</v>
      </c>
      <c r="I1271" t="s">
        <v>2616</v>
      </c>
      <c r="J1271">
        <v>1</v>
      </c>
      <c r="K1271">
        <v>10219</v>
      </c>
    </row>
    <row r="1272" spans="1:11" x14ac:dyDescent="0.2">
      <c r="A1272" t="s">
        <v>3866</v>
      </c>
      <c r="B1272">
        <v>21026</v>
      </c>
      <c r="C1272" t="s">
        <v>1489</v>
      </c>
      <c r="D1272" t="s">
        <v>3923</v>
      </c>
      <c r="E1272" t="s">
        <v>279</v>
      </c>
      <c r="F1272" t="s">
        <v>279</v>
      </c>
      <c r="G1272" t="s">
        <v>2814</v>
      </c>
      <c r="H1272" t="s">
        <v>279</v>
      </c>
      <c r="I1272" t="s">
        <v>2616</v>
      </c>
      <c r="J1272">
        <v>1</v>
      </c>
      <c r="K1272">
        <v>6453</v>
      </c>
    </row>
    <row r="1273" spans="1:11" x14ac:dyDescent="0.2">
      <c r="A1273" t="s">
        <v>3866</v>
      </c>
      <c r="B1273">
        <v>27094</v>
      </c>
      <c r="C1273" t="s">
        <v>2537</v>
      </c>
      <c r="D1273" t="s">
        <v>3878</v>
      </c>
      <c r="E1273" t="s">
        <v>279</v>
      </c>
      <c r="F1273" t="s">
        <v>279</v>
      </c>
      <c r="G1273" t="s">
        <v>279</v>
      </c>
      <c r="H1273" t="s">
        <v>279</v>
      </c>
      <c r="I1273" t="s">
        <v>2666</v>
      </c>
      <c r="J1273">
        <v>1</v>
      </c>
      <c r="K1273">
        <v>3482</v>
      </c>
    </row>
    <row r="1274" spans="1:11" x14ac:dyDescent="0.2">
      <c r="A1274" t="s">
        <v>3866</v>
      </c>
      <c r="B1274">
        <v>22024</v>
      </c>
      <c r="C1274" t="s">
        <v>1503</v>
      </c>
      <c r="D1274" t="s">
        <v>3914</v>
      </c>
      <c r="E1274" t="s">
        <v>279</v>
      </c>
      <c r="F1274" t="s">
        <v>279</v>
      </c>
      <c r="G1274" t="s">
        <v>2814</v>
      </c>
      <c r="H1274" t="s">
        <v>279</v>
      </c>
      <c r="I1274" t="s">
        <v>2616</v>
      </c>
      <c r="J1274">
        <v>1</v>
      </c>
      <c r="K1274">
        <v>42042.65</v>
      </c>
    </row>
    <row r="1275" spans="1:11" x14ac:dyDescent="0.2">
      <c r="A1275" t="s">
        <v>3866</v>
      </c>
      <c r="B1275">
        <v>21054</v>
      </c>
      <c r="C1275" t="s">
        <v>1499</v>
      </c>
      <c r="D1275" t="s">
        <v>3881</v>
      </c>
      <c r="E1275" t="s">
        <v>279</v>
      </c>
      <c r="F1275" t="s">
        <v>279</v>
      </c>
      <c r="G1275" t="s">
        <v>2814</v>
      </c>
      <c r="H1275" t="s">
        <v>279</v>
      </c>
      <c r="I1275" t="s">
        <v>2616</v>
      </c>
      <c r="J1275">
        <v>1</v>
      </c>
      <c r="K1275">
        <v>5358</v>
      </c>
    </row>
    <row r="1276" spans="1:11" x14ac:dyDescent="0.2">
      <c r="A1276" t="s">
        <v>3866</v>
      </c>
      <c r="B1276">
        <v>25053</v>
      </c>
      <c r="C1276" t="s">
        <v>431</v>
      </c>
      <c r="D1276" t="s">
        <v>3919</v>
      </c>
      <c r="E1276" t="s">
        <v>2634</v>
      </c>
      <c r="F1276" t="s">
        <v>279</v>
      </c>
      <c r="G1276" t="s">
        <v>2733</v>
      </c>
      <c r="H1276" t="s">
        <v>2634</v>
      </c>
      <c r="I1276" t="s">
        <v>2666</v>
      </c>
      <c r="J1276">
        <v>1</v>
      </c>
      <c r="K1276">
        <v>6330.6</v>
      </c>
    </row>
    <row r="1277" spans="1:11" x14ac:dyDescent="0.2">
      <c r="A1277" t="s">
        <v>3866</v>
      </c>
      <c r="B1277">
        <v>37066</v>
      </c>
      <c r="C1277" t="s">
        <v>528</v>
      </c>
      <c r="D1277" t="s">
        <v>3882</v>
      </c>
      <c r="E1277" t="s">
        <v>281</v>
      </c>
      <c r="F1277" t="s">
        <v>281</v>
      </c>
      <c r="G1277" t="s">
        <v>2759</v>
      </c>
      <c r="H1277" t="s">
        <v>281</v>
      </c>
      <c r="I1277" t="s">
        <v>2666</v>
      </c>
      <c r="J1277">
        <v>1</v>
      </c>
      <c r="K1277">
        <v>759</v>
      </c>
    </row>
    <row r="1278" spans="1:11" x14ac:dyDescent="0.2">
      <c r="A1278" t="s">
        <v>3866</v>
      </c>
      <c r="B1278">
        <v>27102</v>
      </c>
      <c r="C1278" t="s">
        <v>3865</v>
      </c>
      <c r="D1278" t="s">
        <v>3864</v>
      </c>
      <c r="E1278" t="s">
        <v>279</v>
      </c>
      <c r="F1278" t="s">
        <v>279</v>
      </c>
      <c r="G1278" t="s">
        <v>279</v>
      </c>
      <c r="H1278" t="s">
        <v>279</v>
      </c>
      <c r="I1278" t="s">
        <v>2666</v>
      </c>
      <c r="J1278">
        <v>1</v>
      </c>
      <c r="K1278">
        <v>16467.11</v>
      </c>
    </row>
    <row r="1279" spans="1:11" x14ac:dyDescent="0.2">
      <c r="A1279" t="s">
        <v>3866</v>
      </c>
      <c r="B1279">
        <v>27077</v>
      </c>
      <c r="C1279" t="s">
        <v>2534</v>
      </c>
      <c r="D1279" t="s">
        <v>3933</v>
      </c>
      <c r="E1279" t="s">
        <v>279</v>
      </c>
      <c r="F1279" t="s">
        <v>279</v>
      </c>
      <c r="G1279" t="s">
        <v>279</v>
      </c>
      <c r="H1279" t="s">
        <v>279</v>
      </c>
      <c r="I1279" t="s">
        <v>2666</v>
      </c>
      <c r="J1279">
        <v>1</v>
      </c>
      <c r="K1279">
        <v>24763</v>
      </c>
    </row>
    <row r="1280" spans="1:11" x14ac:dyDescent="0.2">
      <c r="A1280" t="s">
        <v>3866</v>
      </c>
      <c r="B1280">
        <v>36026</v>
      </c>
      <c r="C1280" t="s">
        <v>516</v>
      </c>
      <c r="D1280" t="s">
        <v>3903</v>
      </c>
      <c r="E1280" t="s">
        <v>281</v>
      </c>
      <c r="F1280" t="s">
        <v>281</v>
      </c>
      <c r="G1280" t="s">
        <v>3055</v>
      </c>
      <c r="H1280" t="s">
        <v>281</v>
      </c>
      <c r="I1280" t="s">
        <v>2666</v>
      </c>
      <c r="J1280">
        <v>1</v>
      </c>
      <c r="K1280">
        <v>119</v>
      </c>
    </row>
    <row r="1281" spans="1:11" x14ac:dyDescent="0.2">
      <c r="A1281" t="s">
        <v>3866</v>
      </c>
      <c r="B1281">
        <v>20069</v>
      </c>
      <c r="C1281" t="s">
        <v>1475</v>
      </c>
      <c r="D1281" t="s">
        <v>3900</v>
      </c>
      <c r="E1281" t="s">
        <v>279</v>
      </c>
      <c r="F1281" t="s">
        <v>279</v>
      </c>
      <c r="G1281" t="s">
        <v>2814</v>
      </c>
      <c r="H1281" t="s">
        <v>279</v>
      </c>
      <c r="I1281" t="s">
        <v>2616</v>
      </c>
      <c r="J1281">
        <v>1</v>
      </c>
      <c r="K1281">
        <v>6560</v>
      </c>
    </row>
    <row r="1282" spans="1:11" x14ac:dyDescent="0.2">
      <c r="A1282" t="s">
        <v>3866</v>
      </c>
      <c r="B1282">
        <v>27018</v>
      </c>
      <c r="C1282" t="s">
        <v>2530</v>
      </c>
      <c r="D1282" t="s">
        <v>3927</v>
      </c>
      <c r="E1282" t="s">
        <v>279</v>
      </c>
      <c r="F1282" t="s">
        <v>279</v>
      </c>
      <c r="G1282" t="s">
        <v>279</v>
      </c>
      <c r="H1282" t="s">
        <v>279</v>
      </c>
      <c r="I1282" t="s">
        <v>2666</v>
      </c>
      <c r="J1282">
        <v>1</v>
      </c>
      <c r="K1282">
        <v>300</v>
      </c>
    </row>
    <row r="1283" spans="1:11" x14ac:dyDescent="0.2">
      <c r="A1283" t="s">
        <v>3866</v>
      </c>
      <c r="B1283">
        <v>27053</v>
      </c>
      <c r="C1283" t="s">
        <v>2532</v>
      </c>
      <c r="D1283" t="s">
        <v>3877</v>
      </c>
      <c r="E1283" t="s">
        <v>279</v>
      </c>
      <c r="F1283" t="s">
        <v>279</v>
      </c>
      <c r="G1283" t="s">
        <v>279</v>
      </c>
      <c r="H1283" t="s">
        <v>279</v>
      </c>
      <c r="I1283" t="s">
        <v>2666</v>
      </c>
      <c r="J1283">
        <v>1</v>
      </c>
      <c r="K1283">
        <v>93</v>
      </c>
    </row>
    <row r="1284" spans="1:11" x14ac:dyDescent="0.2">
      <c r="A1284" t="s">
        <v>3866</v>
      </c>
      <c r="B1284">
        <v>27039</v>
      </c>
      <c r="C1284" t="s">
        <v>442</v>
      </c>
      <c r="D1284" t="s">
        <v>3885</v>
      </c>
      <c r="E1284" t="s">
        <v>279</v>
      </c>
      <c r="F1284" t="s">
        <v>279</v>
      </c>
      <c r="G1284" t="s">
        <v>279</v>
      </c>
      <c r="H1284" t="s">
        <v>279</v>
      </c>
      <c r="I1284" t="s">
        <v>2666</v>
      </c>
      <c r="J1284">
        <v>1</v>
      </c>
      <c r="K1284">
        <v>255</v>
      </c>
    </row>
    <row r="1285" spans="1:11" x14ac:dyDescent="0.2">
      <c r="A1285" t="s">
        <v>3866</v>
      </c>
      <c r="B1285">
        <v>21055</v>
      </c>
      <c r="C1285" t="s">
        <v>1500</v>
      </c>
      <c r="D1285" t="s">
        <v>3916</v>
      </c>
      <c r="E1285" t="s">
        <v>279</v>
      </c>
      <c r="F1285" t="s">
        <v>279</v>
      </c>
      <c r="G1285" t="s">
        <v>2814</v>
      </c>
      <c r="H1285" t="s">
        <v>279</v>
      </c>
      <c r="I1285" t="s">
        <v>2616</v>
      </c>
      <c r="J1285">
        <v>1</v>
      </c>
      <c r="K1285">
        <v>5029</v>
      </c>
    </row>
    <row r="1286" spans="1:11" x14ac:dyDescent="0.2">
      <c r="A1286" t="s">
        <v>3866</v>
      </c>
      <c r="B1286">
        <v>27085</v>
      </c>
      <c r="C1286" t="s">
        <v>2535</v>
      </c>
      <c r="D1286" t="s">
        <v>3921</v>
      </c>
      <c r="E1286" t="s">
        <v>279</v>
      </c>
      <c r="F1286" t="s">
        <v>279</v>
      </c>
      <c r="G1286" t="s">
        <v>279</v>
      </c>
      <c r="H1286" t="s">
        <v>279</v>
      </c>
      <c r="I1286" t="s">
        <v>2666</v>
      </c>
      <c r="J1286">
        <v>1</v>
      </c>
      <c r="K1286">
        <v>1005</v>
      </c>
    </row>
    <row r="1287" spans="1:11" x14ac:dyDescent="0.2">
      <c r="A1287" t="s">
        <v>3866</v>
      </c>
      <c r="B1287">
        <v>21023</v>
      </c>
      <c r="C1287" t="s">
        <v>1487</v>
      </c>
      <c r="D1287" t="s">
        <v>3880</v>
      </c>
      <c r="E1287" t="s">
        <v>279</v>
      </c>
      <c r="F1287" t="s">
        <v>279</v>
      </c>
      <c r="G1287" t="s">
        <v>2814</v>
      </c>
      <c r="H1287" t="s">
        <v>279</v>
      </c>
      <c r="I1287" t="s">
        <v>2616</v>
      </c>
      <c r="J1287">
        <v>1</v>
      </c>
      <c r="K1287">
        <v>10071</v>
      </c>
    </row>
    <row r="1288" spans="1:11" x14ac:dyDescent="0.2">
      <c r="A1288" t="s">
        <v>3823</v>
      </c>
      <c r="B1288">
        <v>408</v>
      </c>
      <c r="C1288" t="s">
        <v>1389</v>
      </c>
      <c r="D1288" t="s">
        <v>3822</v>
      </c>
      <c r="E1288" t="s">
        <v>184</v>
      </c>
      <c r="F1288" t="s">
        <v>184</v>
      </c>
      <c r="G1288" t="s">
        <v>3821</v>
      </c>
      <c r="H1288" t="s">
        <v>184</v>
      </c>
      <c r="I1288" t="s">
        <v>2616</v>
      </c>
      <c r="J1288">
        <v>1</v>
      </c>
      <c r="K1288">
        <v>2737</v>
      </c>
    </row>
    <row r="1289" spans="1:11" x14ac:dyDescent="0.2">
      <c r="A1289" t="s">
        <v>3823</v>
      </c>
      <c r="B1289">
        <v>231315</v>
      </c>
      <c r="C1289" t="s">
        <v>2279</v>
      </c>
      <c r="D1289" t="s">
        <v>3863</v>
      </c>
      <c r="E1289" t="s">
        <v>184</v>
      </c>
      <c r="F1289" t="s">
        <v>184</v>
      </c>
      <c r="G1289" t="s">
        <v>3837</v>
      </c>
      <c r="H1289" t="s">
        <v>184</v>
      </c>
      <c r="I1289" t="s">
        <v>2616</v>
      </c>
      <c r="J1289">
        <v>1</v>
      </c>
      <c r="K1289">
        <v>3557</v>
      </c>
    </row>
    <row r="1290" spans="1:11" x14ac:dyDescent="0.2">
      <c r="A1290" t="s">
        <v>3823</v>
      </c>
      <c r="B1290">
        <v>191302</v>
      </c>
      <c r="C1290" t="s">
        <v>2235</v>
      </c>
      <c r="D1290" t="s">
        <v>3859</v>
      </c>
      <c r="E1290" t="s">
        <v>183</v>
      </c>
      <c r="F1290" t="s">
        <v>283</v>
      </c>
      <c r="G1290" t="s">
        <v>2865</v>
      </c>
      <c r="H1290" t="s">
        <v>183</v>
      </c>
      <c r="I1290" t="s">
        <v>2616</v>
      </c>
      <c r="J1290">
        <v>1</v>
      </c>
      <c r="K1290">
        <v>7596</v>
      </c>
    </row>
    <row r="1291" spans="1:11" x14ac:dyDescent="0.2">
      <c r="A1291" t="s">
        <v>3823</v>
      </c>
      <c r="B1291">
        <v>230911</v>
      </c>
      <c r="C1291" t="s">
        <v>2271</v>
      </c>
      <c r="D1291" t="s">
        <v>3855</v>
      </c>
      <c r="E1291" t="s">
        <v>184</v>
      </c>
      <c r="F1291" t="s">
        <v>184</v>
      </c>
      <c r="G1291" t="s">
        <v>2696</v>
      </c>
      <c r="H1291" t="s">
        <v>184</v>
      </c>
      <c r="I1291" t="s">
        <v>2616</v>
      </c>
      <c r="J1291">
        <v>1</v>
      </c>
      <c r="K1291">
        <v>4287</v>
      </c>
    </row>
    <row r="1292" spans="1:11" x14ac:dyDescent="0.2">
      <c r="A1292" t="s">
        <v>3823</v>
      </c>
      <c r="B1292">
        <v>230106</v>
      </c>
      <c r="C1292" t="s">
        <v>2257</v>
      </c>
      <c r="D1292" t="s">
        <v>3828</v>
      </c>
      <c r="E1292" t="s">
        <v>184</v>
      </c>
      <c r="F1292" t="s">
        <v>184</v>
      </c>
      <c r="G1292" t="s">
        <v>2754</v>
      </c>
      <c r="H1292" t="s">
        <v>184</v>
      </c>
      <c r="I1292" t="s">
        <v>2616</v>
      </c>
      <c r="J1292">
        <v>1</v>
      </c>
      <c r="K1292">
        <v>1559.17</v>
      </c>
    </row>
    <row r="1293" spans="1:11" x14ac:dyDescent="0.2">
      <c r="A1293" t="s">
        <v>3823</v>
      </c>
      <c r="B1293">
        <v>231707</v>
      </c>
      <c r="C1293" t="s">
        <v>2284</v>
      </c>
      <c r="D1293" t="s">
        <v>3850</v>
      </c>
      <c r="E1293" t="s">
        <v>184</v>
      </c>
      <c r="F1293" t="s">
        <v>184</v>
      </c>
      <c r="G1293" t="s">
        <v>2750</v>
      </c>
      <c r="H1293" t="s">
        <v>184</v>
      </c>
      <c r="I1293" t="s">
        <v>2616</v>
      </c>
      <c r="J1293">
        <v>1</v>
      </c>
      <c r="K1293">
        <v>1608</v>
      </c>
    </row>
    <row r="1294" spans="1:11" x14ac:dyDescent="0.2">
      <c r="A1294" t="s">
        <v>3823</v>
      </c>
      <c r="B1294">
        <v>230420</v>
      </c>
      <c r="C1294" t="s">
        <v>2263</v>
      </c>
      <c r="D1294" t="s">
        <v>3846</v>
      </c>
      <c r="E1294" t="s">
        <v>184</v>
      </c>
      <c r="F1294" t="s">
        <v>184</v>
      </c>
      <c r="G1294" t="s">
        <v>2739</v>
      </c>
      <c r="H1294" t="s">
        <v>184</v>
      </c>
      <c r="I1294" t="s">
        <v>2616</v>
      </c>
      <c r="J1294">
        <v>1</v>
      </c>
      <c r="K1294">
        <v>7231</v>
      </c>
    </row>
    <row r="1295" spans="1:11" x14ac:dyDescent="0.2">
      <c r="A1295" t="s">
        <v>3823</v>
      </c>
      <c r="B1295">
        <v>230905</v>
      </c>
      <c r="C1295" t="s">
        <v>2270</v>
      </c>
      <c r="D1295" t="s">
        <v>3836</v>
      </c>
      <c r="E1295" t="s">
        <v>184</v>
      </c>
      <c r="F1295" t="s">
        <v>184</v>
      </c>
      <c r="G1295" t="s">
        <v>2696</v>
      </c>
      <c r="H1295" t="s">
        <v>184</v>
      </c>
      <c r="I1295" t="s">
        <v>2616</v>
      </c>
      <c r="J1295">
        <v>1</v>
      </c>
      <c r="K1295">
        <v>12003</v>
      </c>
    </row>
    <row r="1296" spans="1:11" x14ac:dyDescent="0.2">
      <c r="A1296" t="s">
        <v>3823</v>
      </c>
      <c r="B1296">
        <v>230431</v>
      </c>
      <c r="C1296" t="s">
        <v>2265</v>
      </c>
      <c r="D1296" t="s">
        <v>3848</v>
      </c>
      <c r="E1296" t="s">
        <v>184</v>
      </c>
      <c r="F1296" t="s">
        <v>184</v>
      </c>
      <c r="G1296" t="s">
        <v>2739</v>
      </c>
      <c r="H1296" t="s">
        <v>184</v>
      </c>
      <c r="I1296" t="s">
        <v>2616</v>
      </c>
      <c r="J1296">
        <v>1</v>
      </c>
      <c r="K1296">
        <v>4906</v>
      </c>
    </row>
    <row r="1297" spans="1:11" x14ac:dyDescent="0.2">
      <c r="A1297" t="s">
        <v>3823</v>
      </c>
      <c r="B1297">
        <v>231215</v>
      </c>
      <c r="C1297" t="s">
        <v>2277</v>
      </c>
      <c r="D1297" t="s">
        <v>3847</v>
      </c>
      <c r="E1297" t="s">
        <v>184</v>
      </c>
      <c r="F1297" t="s">
        <v>184</v>
      </c>
      <c r="G1297" t="s">
        <v>3831</v>
      </c>
      <c r="H1297" t="s">
        <v>184</v>
      </c>
      <c r="I1297" t="s">
        <v>2616</v>
      </c>
      <c r="J1297">
        <v>1</v>
      </c>
      <c r="K1297">
        <v>12587.83</v>
      </c>
    </row>
    <row r="1298" spans="1:11" x14ac:dyDescent="0.2">
      <c r="A1298" t="s">
        <v>3823</v>
      </c>
      <c r="B1298">
        <v>230440</v>
      </c>
      <c r="C1298" t="s">
        <v>2267</v>
      </c>
      <c r="D1298" t="s">
        <v>3833</v>
      </c>
      <c r="E1298" t="s">
        <v>184</v>
      </c>
      <c r="F1298" t="s">
        <v>184</v>
      </c>
      <c r="G1298" t="s">
        <v>3821</v>
      </c>
      <c r="H1298" t="s">
        <v>184</v>
      </c>
      <c r="I1298" t="s">
        <v>2616</v>
      </c>
      <c r="J1298">
        <v>1</v>
      </c>
      <c r="K1298">
        <v>3320</v>
      </c>
    </row>
    <row r="1299" spans="1:11" x14ac:dyDescent="0.2">
      <c r="A1299" t="s">
        <v>3823</v>
      </c>
      <c r="B1299">
        <v>230902</v>
      </c>
      <c r="C1299" t="s">
        <v>2269</v>
      </c>
      <c r="D1299" t="s">
        <v>3830</v>
      </c>
      <c r="E1299" t="s">
        <v>184</v>
      </c>
      <c r="F1299" t="s">
        <v>184</v>
      </c>
      <c r="G1299" t="s">
        <v>2696</v>
      </c>
      <c r="H1299" t="s">
        <v>184</v>
      </c>
      <c r="I1299" t="s">
        <v>2616</v>
      </c>
      <c r="J1299">
        <v>1</v>
      </c>
      <c r="K1299">
        <v>13541</v>
      </c>
    </row>
    <row r="1300" spans="1:11" x14ac:dyDescent="0.2">
      <c r="A1300" t="s">
        <v>3823</v>
      </c>
      <c r="B1300">
        <v>230427</v>
      </c>
      <c r="C1300" t="s">
        <v>2264</v>
      </c>
      <c r="D1300" t="s">
        <v>3861</v>
      </c>
      <c r="E1300" t="s">
        <v>184</v>
      </c>
      <c r="F1300" t="s">
        <v>184</v>
      </c>
      <c r="G1300" t="s">
        <v>2739</v>
      </c>
      <c r="H1300" t="s">
        <v>184</v>
      </c>
      <c r="I1300" t="s">
        <v>2616</v>
      </c>
      <c r="J1300">
        <v>1</v>
      </c>
      <c r="K1300">
        <v>13582</v>
      </c>
    </row>
    <row r="1301" spans="1:11" x14ac:dyDescent="0.2">
      <c r="A1301" t="s">
        <v>3823</v>
      </c>
      <c r="B1301">
        <v>230924</v>
      </c>
      <c r="C1301" t="s">
        <v>2275</v>
      </c>
      <c r="D1301" t="s">
        <v>3842</v>
      </c>
      <c r="E1301" t="s">
        <v>184</v>
      </c>
      <c r="F1301" t="s">
        <v>184</v>
      </c>
      <c r="G1301" t="s">
        <v>2696</v>
      </c>
      <c r="H1301" t="s">
        <v>184</v>
      </c>
      <c r="I1301" t="s">
        <v>2616</v>
      </c>
      <c r="J1301">
        <v>1</v>
      </c>
      <c r="K1301">
        <v>3924</v>
      </c>
    </row>
    <row r="1302" spans="1:11" x14ac:dyDescent="0.2">
      <c r="A1302" t="s">
        <v>3823</v>
      </c>
      <c r="B1302">
        <v>231308</v>
      </c>
      <c r="C1302" t="s">
        <v>2278</v>
      </c>
      <c r="D1302" t="s">
        <v>3838</v>
      </c>
      <c r="E1302" t="s">
        <v>184</v>
      </c>
      <c r="F1302" t="s">
        <v>184</v>
      </c>
      <c r="G1302" t="s">
        <v>3837</v>
      </c>
      <c r="H1302" t="s">
        <v>184</v>
      </c>
      <c r="I1302" t="s">
        <v>2616</v>
      </c>
      <c r="J1302">
        <v>1</v>
      </c>
      <c r="K1302">
        <v>7571</v>
      </c>
    </row>
    <row r="1303" spans="1:11" x14ac:dyDescent="0.2">
      <c r="A1303" t="s">
        <v>3823</v>
      </c>
      <c r="B1303">
        <v>191526</v>
      </c>
      <c r="C1303" t="s">
        <v>2239</v>
      </c>
      <c r="D1303" t="s">
        <v>3851</v>
      </c>
      <c r="E1303" t="s">
        <v>184</v>
      </c>
      <c r="F1303" t="s">
        <v>184</v>
      </c>
      <c r="G1303" t="s">
        <v>2918</v>
      </c>
      <c r="H1303" t="s">
        <v>184</v>
      </c>
      <c r="I1303" t="s">
        <v>2616</v>
      </c>
      <c r="J1303">
        <v>1</v>
      </c>
      <c r="K1303">
        <v>10532</v>
      </c>
    </row>
    <row r="1304" spans="1:11" x14ac:dyDescent="0.2">
      <c r="A1304" t="s">
        <v>3823</v>
      </c>
      <c r="B1304">
        <v>231316</v>
      </c>
      <c r="C1304" t="s">
        <v>2280</v>
      </c>
      <c r="D1304" t="s">
        <v>3834</v>
      </c>
      <c r="E1304" t="s">
        <v>184</v>
      </c>
      <c r="F1304" t="s">
        <v>184</v>
      </c>
      <c r="G1304" t="s">
        <v>184</v>
      </c>
      <c r="H1304" t="s">
        <v>184</v>
      </c>
      <c r="I1304" t="s">
        <v>2616</v>
      </c>
      <c r="J1304">
        <v>1</v>
      </c>
      <c r="K1304">
        <v>18664</v>
      </c>
    </row>
    <row r="1305" spans="1:11" x14ac:dyDescent="0.2">
      <c r="A1305" t="s">
        <v>3823</v>
      </c>
      <c r="B1305">
        <v>231502</v>
      </c>
      <c r="C1305" t="s">
        <v>2282</v>
      </c>
      <c r="D1305" t="s">
        <v>3862</v>
      </c>
      <c r="E1305" t="s">
        <v>184</v>
      </c>
      <c r="F1305" t="s">
        <v>184</v>
      </c>
      <c r="G1305" t="s">
        <v>3844</v>
      </c>
      <c r="H1305" t="s">
        <v>184</v>
      </c>
      <c r="I1305" t="s">
        <v>2616</v>
      </c>
      <c r="J1305">
        <v>1</v>
      </c>
      <c r="K1305">
        <v>989</v>
      </c>
    </row>
    <row r="1306" spans="1:11" x14ac:dyDescent="0.2">
      <c r="A1306" t="s">
        <v>3823</v>
      </c>
      <c r="B1306">
        <v>230314</v>
      </c>
      <c r="C1306" t="s">
        <v>2260</v>
      </c>
      <c r="D1306" t="s">
        <v>3829</v>
      </c>
      <c r="E1306" t="s">
        <v>184</v>
      </c>
      <c r="F1306" t="s">
        <v>184</v>
      </c>
      <c r="G1306" t="s">
        <v>2739</v>
      </c>
      <c r="H1306" t="s">
        <v>184</v>
      </c>
      <c r="I1306" t="s">
        <v>2616</v>
      </c>
      <c r="J1306">
        <v>1</v>
      </c>
      <c r="K1306">
        <v>8405</v>
      </c>
    </row>
    <row r="1307" spans="1:11" x14ac:dyDescent="0.2">
      <c r="A1307" t="s">
        <v>3823</v>
      </c>
      <c r="B1307">
        <v>231203</v>
      </c>
      <c r="C1307" t="s">
        <v>2276</v>
      </c>
      <c r="D1307" t="s">
        <v>3832</v>
      </c>
      <c r="E1307" t="s">
        <v>184</v>
      </c>
      <c r="F1307" t="s">
        <v>184</v>
      </c>
      <c r="G1307" t="s">
        <v>3831</v>
      </c>
      <c r="H1307" t="s">
        <v>184</v>
      </c>
      <c r="I1307" t="s">
        <v>2616</v>
      </c>
      <c r="J1307">
        <v>1</v>
      </c>
      <c r="K1307">
        <v>8717</v>
      </c>
    </row>
    <row r="1308" spans="1:11" x14ac:dyDescent="0.2">
      <c r="A1308" t="s">
        <v>3823</v>
      </c>
      <c r="B1308">
        <v>230121</v>
      </c>
      <c r="C1308" t="s">
        <v>2259</v>
      </c>
      <c r="D1308" t="s">
        <v>3824</v>
      </c>
      <c r="E1308" t="s">
        <v>184</v>
      </c>
      <c r="F1308" t="s">
        <v>184</v>
      </c>
      <c r="G1308" t="s">
        <v>2754</v>
      </c>
      <c r="H1308" t="s">
        <v>184</v>
      </c>
      <c r="I1308" t="s">
        <v>2616</v>
      </c>
      <c r="J1308">
        <v>1</v>
      </c>
      <c r="K1308">
        <v>3109</v>
      </c>
    </row>
    <row r="1309" spans="1:11" x14ac:dyDescent="0.2">
      <c r="A1309" t="s">
        <v>3823</v>
      </c>
      <c r="B1309">
        <v>230441</v>
      </c>
      <c r="C1309" t="s">
        <v>2268</v>
      </c>
      <c r="D1309" t="s">
        <v>3854</v>
      </c>
      <c r="E1309" t="s">
        <v>184</v>
      </c>
      <c r="F1309" t="s">
        <v>184</v>
      </c>
      <c r="G1309" t="s">
        <v>2739</v>
      </c>
      <c r="H1309" t="s">
        <v>184</v>
      </c>
      <c r="I1309" t="s">
        <v>2616</v>
      </c>
      <c r="J1309">
        <v>1</v>
      </c>
      <c r="K1309">
        <v>6132</v>
      </c>
    </row>
    <row r="1310" spans="1:11" x14ac:dyDescent="0.2">
      <c r="A1310" t="s">
        <v>3823</v>
      </c>
      <c r="B1310">
        <v>191702</v>
      </c>
      <c r="C1310" t="s">
        <v>2243</v>
      </c>
      <c r="D1310" t="s">
        <v>3858</v>
      </c>
      <c r="E1310" t="s">
        <v>183</v>
      </c>
      <c r="F1310" t="s">
        <v>184</v>
      </c>
      <c r="G1310" t="s">
        <v>3857</v>
      </c>
      <c r="H1310" t="s">
        <v>183</v>
      </c>
      <c r="I1310" t="s">
        <v>2616</v>
      </c>
      <c r="J1310">
        <v>1</v>
      </c>
      <c r="K1310">
        <v>8436</v>
      </c>
    </row>
    <row r="1311" spans="1:11" x14ac:dyDescent="0.2">
      <c r="A1311" t="s">
        <v>3823</v>
      </c>
      <c r="B1311">
        <v>230114</v>
      </c>
      <c r="C1311" t="s">
        <v>2258</v>
      </c>
      <c r="D1311" t="s">
        <v>3835</v>
      </c>
      <c r="E1311" t="s">
        <v>184</v>
      </c>
      <c r="F1311" t="s">
        <v>184</v>
      </c>
      <c r="G1311" t="s">
        <v>2754</v>
      </c>
      <c r="H1311" t="s">
        <v>184</v>
      </c>
      <c r="I1311" t="s">
        <v>2616</v>
      </c>
      <c r="J1311">
        <v>1</v>
      </c>
      <c r="K1311">
        <v>15894.83</v>
      </c>
    </row>
    <row r="1312" spans="1:11" x14ac:dyDescent="0.2">
      <c r="A1312" t="s">
        <v>3823</v>
      </c>
      <c r="B1312">
        <v>231501</v>
      </c>
      <c r="C1312" t="s">
        <v>2281</v>
      </c>
      <c r="D1312" t="s">
        <v>3845</v>
      </c>
      <c r="E1312" t="s">
        <v>184</v>
      </c>
      <c r="F1312" t="s">
        <v>184</v>
      </c>
      <c r="G1312" t="s">
        <v>3844</v>
      </c>
      <c r="H1312" t="s">
        <v>184</v>
      </c>
      <c r="I1312" t="s">
        <v>2616</v>
      </c>
      <c r="J1312">
        <v>1</v>
      </c>
      <c r="K1312">
        <v>3448</v>
      </c>
    </row>
    <row r="1313" spans="1:11" x14ac:dyDescent="0.2">
      <c r="A1313" t="s">
        <v>3823</v>
      </c>
      <c r="B1313">
        <v>230412</v>
      </c>
      <c r="C1313" t="s">
        <v>2262</v>
      </c>
      <c r="D1313" t="s">
        <v>3860</v>
      </c>
      <c r="E1313" t="s">
        <v>184</v>
      </c>
      <c r="F1313" t="s">
        <v>184</v>
      </c>
      <c r="G1313" t="s">
        <v>2739</v>
      </c>
      <c r="H1313" t="s">
        <v>184</v>
      </c>
      <c r="I1313" t="s">
        <v>2616</v>
      </c>
      <c r="J1313">
        <v>1</v>
      </c>
      <c r="K1313">
        <v>18314</v>
      </c>
    </row>
    <row r="1314" spans="1:11" x14ac:dyDescent="0.2">
      <c r="A1314" t="s">
        <v>3823</v>
      </c>
      <c r="B1314">
        <v>230913</v>
      </c>
      <c r="C1314" t="s">
        <v>2272</v>
      </c>
      <c r="D1314" t="s">
        <v>3827</v>
      </c>
      <c r="E1314" t="s">
        <v>184</v>
      </c>
      <c r="F1314" t="s">
        <v>184</v>
      </c>
      <c r="G1314" t="s">
        <v>2696</v>
      </c>
      <c r="H1314" t="s">
        <v>184</v>
      </c>
      <c r="I1314" t="s">
        <v>2616</v>
      </c>
      <c r="J1314">
        <v>1</v>
      </c>
      <c r="K1314">
        <v>1585.35</v>
      </c>
    </row>
    <row r="1315" spans="1:11" x14ac:dyDescent="0.2">
      <c r="A1315" t="s">
        <v>3823</v>
      </c>
      <c r="B1315">
        <v>191408</v>
      </c>
      <c r="C1315" t="s">
        <v>2236</v>
      </c>
      <c r="D1315" t="s">
        <v>3843</v>
      </c>
      <c r="E1315" t="s">
        <v>183</v>
      </c>
      <c r="F1315" t="s">
        <v>283</v>
      </c>
      <c r="G1315" t="s">
        <v>2684</v>
      </c>
      <c r="H1315" t="s">
        <v>183</v>
      </c>
      <c r="I1315" t="s">
        <v>2616</v>
      </c>
      <c r="J1315">
        <v>1</v>
      </c>
      <c r="K1315">
        <v>5806</v>
      </c>
    </row>
    <row r="1316" spans="1:11" x14ac:dyDescent="0.2">
      <c r="A1316" t="s">
        <v>3823</v>
      </c>
      <c r="B1316">
        <v>230437</v>
      </c>
      <c r="C1316" t="s">
        <v>2266</v>
      </c>
      <c r="D1316" t="s">
        <v>3825</v>
      </c>
      <c r="E1316" t="s">
        <v>2634</v>
      </c>
      <c r="F1316" t="s">
        <v>184</v>
      </c>
      <c r="G1316" t="s">
        <v>2739</v>
      </c>
      <c r="H1316" t="s">
        <v>2634</v>
      </c>
      <c r="I1316" t="s">
        <v>2616</v>
      </c>
      <c r="J1316">
        <v>1</v>
      </c>
      <c r="K1316">
        <v>11</v>
      </c>
    </row>
    <row r="1317" spans="1:11" x14ac:dyDescent="0.2">
      <c r="A1317" t="s">
        <v>3823</v>
      </c>
      <c r="B1317">
        <v>230105</v>
      </c>
      <c r="C1317" t="s">
        <v>2256</v>
      </c>
      <c r="D1317" t="s">
        <v>3826</v>
      </c>
      <c r="E1317" t="s">
        <v>184</v>
      </c>
      <c r="F1317" t="s">
        <v>184</v>
      </c>
      <c r="G1317" t="s">
        <v>2754</v>
      </c>
      <c r="H1317" t="s">
        <v>184</v>
      </c>
      <c r="I1317" t="s">
        <v>2616</v>
      </c>
      <c r="J1317">
        <v>1</v>
      </c>
      <c r="K1317">
        <v>18147</v>
      </c>
    </row>
    <row r="1318" spans="1:11" x14ac:dyDescent="0.2">
      <c r="A1318" t="s">
        <v>3823</v>
      </c>
      <c r="B1318">
        <v>230918</v>
      </c>
      <c r="C1318" t="s">
        <v>2273</v>
      </c>
      <c r="D1318" t="s">
        <v>3856</v>
      </c>
      <c r="E1318" t="s">
        <v>184</v>
      </c>
      <c r="F1318" t="s">
        <v>184</v>
      </c>
      <c r="G1318" t="s">
        <v>3839</v>
      </c>
      <c r="H1318" t="s">
        <v>184</v>
      </c>
      <c r="I1318" t="s">
        <v>2616</v>
      </c>
      <c r="J1318">
        <v>1</v>
      </c>
      <c r="K1318">
        <v>1365</v>
      </c>
    </row>
    <row r="1319" spans="1:11" x14ac:dyDescent="0.2">
      <c r="A1319" t="s">
        <v>3823</v>
      </c>
      <c r="B1319">
        <v>230438</v>
      </c>
      <c r="C1319" t="s">
        <v>2496</v>
      </c>
      <c r="D1319" t="s">
        <v>3841</v>
      </c>
      <c r="E1319" t="s">
        <v>2634</v>
      </c>
      <c r="F1319" t="s">
        <v>184</v>
      </c>
      <c r="G1319" t="s">
        <v>2696</v>
      </c>
      <c r="H1319" t="s">
        <v>2634</v>
      </c>
      <c r="I1319" t="s">
        <v>2616</v>
      </c>
      <c r="J1319">
        <v>1</v>
      </c>
      <c r="K1319">
        <v>11</v>
      </c>
    </row>
    <row r="1320" spans="1:11" x14ac:dyDescent="0.2">
      <c r="A1320" t="s">
        <v>3823</v>
      </c>
      <c r="B1320">
        <v>230920</v>
      </c>
      <c r="C1320" t="s">
        <v>2274</v>
      </c>
      <c r="D1320" t="s">
        <v>3840</v>
      </c>
      <c r="E1320" t="s">
        <v>184</v>
      </c>
      <c r="F1320" t="s">
        <v>283</v>
      </c>
      <c r="G1320" t="s">
        <v>3839</v>
      </c>
      <c r="H1320" t="s">
        <v>184</v>
      </c>
      <c r="I1320" t="s">
        <v>2616</v>
      </c>
      <c r="J1320">
        <v>1</v>
      </c>
      <c r="K1320">
        <v>3158</v>
      </c>
    </row>
    <row r="1321" spans="1:11" x14ac:dyDescent="0.2">
      <c r="A1321" t="s">
        <v>3823</v>
      </c>
      <c r="B1321">
        <v>191010</v>
      </c>
      <c r="C1321" t="s">
        <v>2232</v>
      </c>
      <c r="D1321" t="s">
        <v>3853</v>
      </c>
      <c r="E1321" t="s">
        <v>183</v>
      </c>
      <c r="F1321" t="s">
        <v>283</v>
      </c>
      <c r="G1321" t="s">
        <v>3852</v>
      </c>
      <c r="H1321" t="s">
        <v>183</v>
      </c>
      <c r="I1321" t="s">
        <v>2616</v>
      </c>
      <c r="J1321">
        <v>1</v>
      </c>
      <c r="K1321">
        <v>12626</v>
      </c>
    </row>
    <row r="1322" spans="1:11" x14ac:dyDescent="0.2">
      <c r="A1322" t="s">
        <v>3823</v>
      </c>
      <c r="B1322">
        <v>231701</v>
      </c>
      <c r="C1322" t="s">
        <v>2283</v>
      </c>
      <c r="D1322" t="s">
        <v>3849</v>
      </c>
      <c r="E1322" t="s">
        <v>184</v>
      </c>
      <c r="F1322" t="s">
        <v>184</v>
      </c>
      <c r="G1322" t="s">
        <v>2750</v>
      </c>
      <c r="H1322" t="s">
        <v>184</v>
      </c>
      <c r="I1322" t="s">
        <v>2616</v>
      </c>
      <c r="J1322">
        <v>1</v>
      </c>
      <c r="K1322">
        <v>3277</v>
      </c>
    </row>
    <row r="1323" spans="1:11" x14ac:dyDescent="0.2">
      <c r="A1323" t="s">
        <v>3773</v>
      </c>
      <c r="B1323">
        <v>28030</v>
      </c>
      <c r="C1323" t="s">
        <v>459</v>
      </c>
      <c r="D1323" t="s">
        <v>3784</v>
      </c>
      <c r="E1323" t="s">
        <v>2634</v>
      </c>
      <c r="F1323" t="s">
        <v>281</v>
      </c>
      <c r="G1323" t="s">
        <v>2793</v>
      </c>
      <c r="H1323" t="s">
        <v>2634</v>
      </c>
      <c r="I1323" t="s">
        <v>2666</v>
      </c>
      <c r="J1323">
        <v>1</v>
      </c>
      <c r="K1323">
        <v>86</v>
      </c>
    </row>
    <row r="1324" spans="1:11" x14ac:dyDescent="0.2">
      <c r="A1324" t="s">
        <v>3773</v>
      </c>
      <c r="B1324">
        <v>25031</v>
      </c>
      <c r="C1324" t="s">
        <v>1529</v>
      </c>
      <c r="D1324" t="s">
        <v>3780</v>
      </c>
      <c r="E1324" t="s">
        <v>279</v>
      </c>
      <c r="F1324" t="s">
        <v>279</v>
      </c>
      <c r="G1324" t="s">
        <v>2733</v>
      </c>
      <c r="H1324" t="s">
        <v>279</v>
      </c>
      <c r="I1324" t="s">
        <v>2616</v>
      </c>
      <c r="J1324">
        <v>1</v>
      </c>
      <c r="K1324">
        <v>14808</v>
      </c>
    </row>
    <row r="1325" spans="1:11" x14ac:dyDescent="0.2">
      <c r="A1325" t="s">
        <v>3773</v>
      </c>
      <c r="B1325">
        <v>30006</v>
      </c>
      <c r="C1325" t="s">
        <v>1575</v>
      </c>
      <c r="D1325" t="s">
        <v>3781</v>
      </c>
      <c r="E1325" t="s">
        <v>281</v>
      </c>
      <c r="F1325" t="s">
        <v>281</v>
      </c>
      <c r="G1325" t="s">
        <v>2783</v>
      </c>
      <c r="H1325" t="s">
        <v>281</v>
      </c>
      <c r="I1325" t="s">
        <v>2616</v>
      </c>
      <c r="J1325">
        <v>1</v>
      </c>
      <c r="K1325">
        <v>1801</v>
      </c>
    </row>
    <row r="1326" spans="1:11" x14ac:dyDescent="0.2">
      <c r="A1326" t="s">
        <v>3773</v>
      </c>
      <c r="B1326">
        <v>25008</v>
      </c>
      <c r="C1326" t="s">
        <v>1523</v>
      </c>
      <c r="D1326" t="s">
        <v>3806</v>
      </c>
      <c r="E1326" t="s">
        <v>279</v>
      </c>
      <c r="F1326" t="s">
        <v>279</v>
      </c>
      <c r="G1326" t="s">
        <v>2733</v>
      </c>
      <c r="H1326" t="s">
        <v>279</v>
      </c>
      <c r="I1326" t="s">
        <v>2616</v>
      </c>
      <c r="J1326">
        <v>1</v>
      </c>
      <c r="K1326">
        <v>13173</v>
      </c>
    </row>
    <row r="1327" spans="1:11" x14ac:dyDescent="0.2">
      <c r="A1327" t="s">
        <v>3773</v>
      </c>
      <c r="B1327">
        <v>24037</v>
      </c>
      <c r="C1327" t="s">
        <v>1522</v>
      </c>
      <c r="D1327" t="s">
        <v>3785</v>
      </c>
      <c r="E1327" t="s">
        <v>279</v>
      </c>
      <c r="F1327" t="s">
        <v>279</v>
      </c>
      <c r="G1327" t="s">
        <v>2733</v>
      </c>
      <c r="H1327" t="s">
        <v>279</v>
      </c>
      <c r="I1327" t="s">
        <v>2616</v>
      </c>
      <c r="J1327">
        <v>1</v>
      </c>
      <c r="K1327">
        <v>1827</v>
      </c>
    </row>
    <row r="1328" spans="1:11" x14ac:dyDescent="0.2">
      <c r="A1328" t="s">
        <v>3773</v>
      </c>
      <c r="B1328">
        <v>28012</v>
      </c>
      <c r="C1328" t="s">
        <v>1562</v>
      </c>
      <c r="D1328" t="s">
        <v>3801</v>
      </c>
      <c r="E1328" t="s">
        <v>281</v>
      </c>
      <c r="F1328" t="s">
        <v>281</v>
      </c>
      <c r="G1328" t="s">
        <v>2793</v>
      </c>
      <c r="H1328" t="s">
        <v>281</v>
      </c>
      <c r="I1328" t="s">
        <v>2616</v>
      </c>
      <c r="J1328">
        <v>1</v>
      </c>
      <c r="K1328">
        <v>9827.5</v>
      </c>
    </row>
    <row r="1329" spans="1:11" x14ac:dyDescent="0.2">
      <c r="A1329" t="s">
        <v>3773</v>
      </c>
      <c r="B1329">
        <v>24012</v>
      </c>
      <c r="C1329" t="s">
        <v>1516</v>
      </c>
      <c r="D1329" t="s">
        <v>3798</v>
      </c>
      <c r="E1329" t="s">
        <v>279</v>
      </c>
      <c r="F1329" t="s">
        <v>279</v>
      </c>
      <c r="G1329" t="s">
        <v>2733</v>
      </c>
      <c r="H1329" t="s">
        <v>279</v>
      </c>
      <c r="I1329" t="s">
        <v>2616</v>
      </c>
      <c r="J1329">
        <v>1</v>
      </c>
      <c r="K1329">
        <v>4210</v>
      </c>
    </row>
    <row r="1330" spans="1:11" x14ac:dyDescent="0.2">
      <c r="A1330" t="s">
        <v>3773</v>
      </c>
      <c r="B1330">
        <v>25042</v>
      </c>
      <c r="C1330" t="s">
        <v>1532</v>
      </c>
      <c r="D1330" t="s">
        <v>3791</v>
      </c>
      <c r="E1330" t="s">
        <v>279</v>
      </c>
      <c r="F1330" t="s">
        <v>279</v>
      </c>
      <c r="G1330" t="s">
        <v>2733</v>
      </c>
      <c r="H1330" t="s">
        <v>279</v>
      </c>
      <c r="I1330" t="s">
        <v>2616</v>
      </c>
      <c r="J1330">
        <v>1</v>
      </c>
      <c r="K1330">
        <v>5301</v>
      </c>
    </row>
    <row r="1331" spans="1:11" x14ac:dyDescent="0.2">
      <c r="A1331" t="s">
        <v>3773</v>
      </c>
      <c r="B1331">
        <v>24017</v>
      </c>
      <c r="C1331" t="s">
        <v>1519</v>
      </c>
      <c r="D1331" t="s">
        <v>3814</v>
      </c>
      <c r="E1331" t="s">
        <v>279</v>
      </c>
      <c r="F1331" t="s">
        <v>279</v>
      </c>
      <c r="G1331" t="s">
        <v>2733</v>
      </c>
      <c r="H1331" t="s">
        <v>279</v>
      </c>
      <c r="I1331" t="s">
        <v>2616</v>
      </c>
      <c r="J1331">
        <v>1</v>
      </c>
      <c r="K1331">
        <v>9126.17</v>
      </c>
    </row>
    <row r="1332" spans="1:11" x14ac:dyDescent="0.2">
      <c r="A1332" t="s">
        <v>3773</v>
      </c>
      <c r="B1332">
        <v>25017</v>
      </c>
      <c r="C1332" t="s">
        <v>1527</v>
      </c>
      <c r="D1332" t="s">
        <v>3786</v>
      </c>
      <c r="E1332" t="s">
        <v>279</v>
      </c>
      <c r="F1332" t="s">
        <v>279</v>
      </c>
      <c r="G1332" t="s">
        <v>2733</v>
      </c>
      <c r="H1332" t="s">
        <v>279</v>
      </c>
      <c r="I1332" t="s">
        <v>2616</v>
      </c>
      <c r="J1332">
        <v>1</v>
      </c>
      <c r="K1332">
        <v>7498</v>
      </c>
    </row>
    <row r="1333" spans="1:11" x14ac:dyDescent="0.2">
      <c r="A1333" t="s">
        <v>3773</v>
      </c>
      <c r="B1333">
        <v>23003</v>
      </c>
      <c r="C1333" t="s">
        <v>1506</v>
      </c>
      <c r="D1333" t="s">
        <v>3788</v>
      </c>
      <c r="E1333" t="s">
        <v>279</v>
      </c>
      <c r="F1333" t="s">
        <v>279</v>
      </c>
      <c r="G1333" t="s">
        <v>2733</v>
      </c>
      <c r="H1333" t="s">
        <v>279</v>
      </c>
      <c r="I1333" t="s">
        <v>2616</v>
      </c>
      <c r="J1333">
        <v>1</v>
      </c>
      <c r="K1333">
        <v>3379</v>
      </c>
    </row>
    <row r="1334" spans="1:11" x14ac:dyDescent="0.2">
      <c r="A1334" t="s">
        <v>3773</v>
      </c>
      <c r="B1334">
        <v>29011</v>
      </c>
      <c r="C1334" t="s">
        <v>1568</v>
      </c>
      <c r="D1334" t="s">
        <v>3804</v>
      </c>
      <c r="E1334" t="s">
        <v>281</v>
      </c>
      <c r="F1334" t="s">
        <v>281</v>
      </c>
      <c r="G1334" t="s">
        <v>2688</v>
      </c>
      <c r="H1334" t="s">
        <v>281</v>
      </c>
      <c r="I1334" t="s">
        <v>2616</v>
      </c>
      <c r="J1334">
        <v>1</v>
      </c>
      <c r="K1334">
        <v>27754.080000000002</v>
      </c>
    </row>
    <row r="1335" spans="1:11" x14ac:dyDescent="0.2">
      <c r="A1335" t="s">
        <v>3773</v>
      </c>
      <c r="B1335">
        <v>30004</v>
      </c>
      <c r="C1335" t="s">
        <v>1573</v>
      </c>
      <c r="D1335" t="s">
        <v>3799</v>
      </c>
      <c r="E1335" t="s">
        <v>281</v>
      </c>
      <c r="F1335" t="s">
        <v>281</v>
      </c>
      <c r="G1335" t="s">
        <v>2783</v>
      </c>
      <c r="H1335" t="s">
        <v>281</v>
      </c>
      <c r="I1335" t="s">
        <v>2616</v>
      </c>
      <c r="J1335">
        <v>1</v>
      </c>
      <c r="K1335">
        <v>4157</v>
      </c>
    </row>
    <row r="1336" spans="1:11" x14ac:dyDescent="0.2">
      <c r="A1336" t="s">
        <v>3773</v>
      </c>
      <c r="B1336">
        <v>30010</v>
      </c>
      <c r="C1336" t="s">
        <v>1577</v>
      </c>
      <c r="D1336" t="s">
        <v>3816</v>
      </c>
      <c r="E1336" t="s">
        <v>281</v>
      </c>
      <c r="F1336" t="s">
        <v>281</v>
      </c>
      <c r="G1336" t="s">
        <v>2783</v>
      </c>
      <c r="H1336" t="s">
        <v>281</v>
      </c>
      <c r="I1336" t="s">
        <v>2616</v>
      </c>
      <c r="J1336">
        <v>1</v>
      </c>
      <c r="K1336">
        <v>2119</v>
      </c>
    </row>
    <row r="1337" spans="1:11" x14ac:dyDescent="0.2">
      <c r="A1337" t="s">
        <v>3773</v>
      </c>
      <c r="B1337">
        <v>30005</v>
      </c>
      <c r="C1337" t="s">
        <v>1574</v>
      </c>
      <c r="D1337" t="s">
        <v>3782</v>
      </c>
      <c r="E1337" t="s">
        <v>281</v>
      </c>
      <c r="F1337" t="s">
        <v>281</v>
      </c>
      <c r="G1337" t="s">
        <v>2783</v>
      </c>
      <c r="H1337" t="s">
        <v>281</v>
      </c>
      <c r="I1337" t="s">
        <v>2616</v>
      </c>
      <c r="J1337">
        <v>1</v>
      </c>
      <c r="K1337">
        <v>6217.94</v>
      </c>
    </row>
    <row r="1338" spans="1:11" x14ac:dyDescent="0.2">
      <c r="A1338" t="s">
        <v>3773</v>
      </c>
      <c r="B1338">
        <v>24014</v>
      </c>
      <c r="C1338" t="s">
        <v>1517</v>
      </c>
      <c r="D1338" t="s">
        <v>3795</v>
      </c>
      <c r="E1338" t="s">
        <v>279</v>
      </c>
      <c r="F1338" t="s">
        <v>279</v>
      </c>
      <c r="G1338" t="s">
        <v>2733</v>
      </c>
      <c r="H1338" t="s">
        <v>279</v>
      </c>
      <c r="I1338" t="s">
        <v>2616</v>
      </c>
      <c r="J1338">
        <v>1</v>
      </c>
      <c r="K1338">
        <v>1718</v>
      </c>
    </row>
    <row r="1339" spans="1:11" x14ac:dyDescent="0.2">
      <c r="A1339" t="s">
        <v>3773</v>
      </c>
      <c r="B1339">
        <v>24009</v>
      </c>
      <c r="C1339" t="s">
        <v>1514</v>
      </c>
      <c r="D1339" t="s">
        <v>3815</v>
      </c>
      <c r="E1339" t="s">
        <v>279</v>
      </c>
      <c r="F1339" t="s">
        <v>279</v>
      </c>
      <c r="G1339" t="s">
        <v>2733</v>
      </c>
      <c r="H1339" t="s">
        <v>279</v>
      </c>
      <c r="I1339" t="s">
        <v>2616</v>
      </c>
      <c r="J1339">
        <v>1</v>
      </c>
      <c r="K1339">
        <v>4298</v>
      </c>
    </row>
    <row r="1340" spans="1:11" x14ac:dyDescent="0.2">
      <c r="A1340" t="s">
        <v>3773</v>
      </c>
      <c r="B1340">
        <v>29009</v>
      </c>
      <c r="C1340" t="s">
        <v>1566</v>
      </c>
      <c r="D1340" t="s">
        <v>3787</v>
      </c>
      <c r="E1340" t="s">
        <v>281</v>
      </c>
      <c r="F1340" t="s">
        <v>281</v>
      </c>
      <c r="G1340" t="s">
        <v>2688</v>
      </c>
      <c r="H1340" t="s">
        <v>281</v>
      </c>
      <c r="I1340" t="s">
        <v>2616</v>
      </c>
      <c r="J1340">
        <v>1</v>
      </c>
      <c r="K1340">
        <v>2267</v>
      </c>
    </row>
    <row r="1341" spans="1:11" x14ac:dyDescent="0.2">
      <c r="A1341" t="s">
        <v>3773</v>
      </c>
      <c r="B1341">
        <v>28011</v>
      </c>
      <c r="C1341" t="s">
        <v>1561</v>
      </c>
      <c r="D1341" t="s">
        <v>3774</v>
      </c>
      <c r="E1341" t="s">
        <v>281</v>
      </c>
      <c r="F1341" t="s">
        <v>281</v>
      </c>
      <c r="G1341" t="s">
        <v>2793</v>
      </c>
      <c r="H1341" t="s">
        <v>281</v>
      </c>
      <c r="I1341" t="s">
        <v>2616</v>
      </c>
      <c r="J1341">
        <v>1</v>
      </c>
      <c r="K1341">
        <v>2978.17</v>
      </c>
    </row>
    <row r="1342" spans="1:11" x14ac:dyDescent="0.2">
      <c r="A1342" t="s">
        <v>3773</v>
      </c>
      <c r="B1342">
        <v>24016</v>
      </c>
      <c r="C1342" t="s">
        <v>1518</v>
      </c>
      <c r="D1342" t="s">
        <v>3790</v>
      </c>
      <c r="E1342" t="s">
        <v>279</v>
      </c>
      <c r="F1342" t="s">
        <v>279</v>
      </c>
      <c r="G1342" t="s">
        <v>2733</v>
      </c>
      <c r="H1342" t="s">
        <v>279</v>
      </c>
      <c r="I1342" t="s">
        <v>2616</v>
      </c>
      <c r="J1342">
        <v>1</v>
      </c>
      <c r="K1342">
        <v>10873</v>
      </c>
    </row>
    <row r="1343" spans="1:11" x14ac:dyDescent="0.2">
      <c r="A1343" t="s">
        <v>3773</v>
      </c>
      <c r="B1343">
        <v>24011</v>
      </c>
      <c r="C1343" t="s">
        <v>1515</v>
      </c>
      <c r="D1343" t="s">
        <v>3800</v>
      </c>
      <c r="E1343" t="s">
        <v>279</v>
      </c>
      <c r="F1343" t="s">
        <v>279</v>
      </c>
      <c r="G1343" t="s">
        <v>2733</v>
      </c>
      <c r="H1343" t="s">
        <v>279</v>
      </c>
      <c r="I1343" t="s">
        <v>2616</v>
      </c>
      <c r="J1343">
        <v>1</v>
      </c>
      <c r="K1343">
        <v>29578</v>
      </c>
    </row>
    <row r="1344" spans="1:11" x14ac:dyDescent="0.2">
      <c r="A1344" t="s">
        <v>3773</v>
      </c>
      <c r="B1344">
        <v>27016</v>
      </c>
      <c r="C1344" t="s">
        <v>1542</v>
      </c>
      <c r="D1344" t="s">
        <v>3796</v>
      </c>
      <c r="E1344" t="s">
        <v>279</v>
      </c>
      <c r="F1344" t="s">
        <v>279</v>
      </c>
      <c r="G1344" t="s">
        <v>279</v>
      </c>
      <c r="H1344" t="s">
        <v>279</v>
      </c>
      <c r="I1344" t="s">
        <v>2616</v>
      </c>
      <c r="J1344">
        <v>1</v>
      </c>
      <c r="K1344">
        <v>8453.94</v>
      </c>
    </row>
    <row r="1345" spans="1:11" x14ac:dyDescent="0.2">
      <c r="A1345" t="s">
        <v>3773</v>
      </c>
      <c r="B1345">
        <v>28004</v>
      </c>
      <c r="C1345" t="s">
        <v>1558</v>
      </c>
      <c r="D1345" t="s">
        <v>3778</v>
      </c>
      <c r="E1345" t="s">
        <v>281</v>
      </c>
      <c r="F1345" t="s">
        <v>281</v>
      </c>
      <c r="G1345" t="s">
        <v>2793</v>
      </c>
      <c r="H1345" t="s">
        <v>281</v>
      </c>
      <c r="I1345" t="s">
        <v>2616</v>
      </c>
      <c r="J1345">
        <v>1</v>
      </c>
      <c r="K1345">
        <v>2077</v>
      </c>
    </row>
    <row r="1346" spans="1:11" x14ac:dyDescent="0.2">
      <c r="A1346" t="s">
        <v>3773</v>
      </c>
      <c r="B1346">
        <v>30003</v>
      </c>
      <c r="C1346" t="s">
        <v>1572</v>
      </c>
      <c r="D1346" t="s">
        <v>3802</v>
      </c>
      <c r="E1346" t="s">
        <v>281</v>
      </c>
      <c r="F1346" t="s">
        <v>281</v>
      </c>
      <c r="G1346" t="s">
        <v>2783</v>
      </c>
      <c r="H1346" t="s">
        <v>281</v>
      </c>
      <c r="I1346" t="s">
        <v>2616</v>
      </c>
      <c r="J1346">
        <v>1</v>
      </c>
      <c r="K1346">
        <v>8409.7000000000007</v>
      </c>
    </row>
    <row r="1347" spans="1:11" x14ac:dyDescent="0.2">
      <c r="A1347" t="s">
        <v>3773</v>
      </c>
      <c r="B1347">
        <v>25032</v>
      </c>
      <c r="C1347" t="s">
        <v>1530</v>
      </c>
      <c r="D1347" t="s">
        <v>3794</v>
      </c>
      <c r="E1347" t="s">
        <v>279</v>
      </c>
      <c r="F1347" t="s">
        <v>279</v>
      </c>
      <c r="G1347" t="s">
        <v>2733</v>
      </c>
      <c r="H1347" t="s">
        <v>279</v>
      </c>
      <c r="I1347" t="s">
        <v>2616</v>
      </c>
      <c r="J1347">
        <v>1</v>
      </c>
      <c r="K1347">
        <v>688</v>
      </c>
    </row>
    <row r="1348" spans="1:11" x14ac:dyDescent="0.2">
      <c r="A1348" t="s">
        <v>3773</v>
      </c>
      <c r="B1348">
        <v>29013</v>
      </c>
      <c r="C1348" t="s">
        <v>1570</v>
      </c>
      <c r="D1348" t="s">
        <v>3820</v>
      </c>
      <c r="E1348" t="s">
        <v>281</v>
      </c>
      <c r="F1348" t="s">
        <v>281</v>
      </c>
      <c r="G1348" t="s">
        <v>2688</v>
      </c>
      <c r="H1348" t="s">
        <v>281</v>
      </c>
      <c r="I1348" t="s">
        <v>2616</v>
      </c>
      <c r="J1348">
        <v>1</v>
      </c>
      <c r="K1348">
        <v>2527.33</v>
      </c>
    </row>
    <row r="1349" spans="1:11" x14ac:dyDescent="0.2">
      <c r="A1349" t="s">
        <v>3773</v>
      </c>
      <c r="B1349">
        <v>13008</v>
      </c>
      <c r="C1349" t="s">
        <v>1428</v>
      </c>
      <c r="D1349" t="s">
        <v>3809</v>
      </c>
      <c r="E1349" t="s">
        <v>279</v>
      </c>
      <c r="F1349" t="s">
        <v>279</v>
      </c>
      <c r="G1349" t="s">
        <v>2767</v>
      </c>
      <c r="H1349" t="s">
        <v>279</v>
      </c>
      <c r="I1349" t="s">
        <v>2616</v>
      </c>
      <c r="J1349">
        <v>1</v>
      </c>
      <c r="K1349">
        <v>7264</v>
      </c>
    </row>
    <row r="1350" spans="1:11" x14ac:dyDescent="0.2">
      <c r="A1350" t="s">
        <v>3773</v>
      </c>
      <c r="B1350">
        <v>24020</v>
      </c>
      <c r="C1350" t="s">
        <v>1520</v>
      </c>
      <c r="D1350" t="s">
        <v>3807</v>
      </c>
      <c r="E1350" t="s">
        <v>279</v>
      </c>
      <c r="F1350" t="s">
        <v>279</v>
      </c>
      <c r="G1350" t="s">
        <v>2733</v>
      </c>
      <c r="H1350" t="s">
        <v>279</v>
      </c>
      <c r="I1350" t="s">
        <v>2616</v>
      </c>
      <c r="J1350">
        <v>1</v>
      </c>
      <c r="K1350">
        <v>6021</v>
      </c>
    </row>
    <row r="1351" spans="1:11" x14ac:dyDescent="0.2">
      <c r="A1351" t="s">
        <v>3773</v>
      </c>
      <c r="B1351">
        <v>14001</v>
      </c>
      <c r="C1351" t="s">
        <v>1430</v>
      </c>
      <c r="D1351" t="s">
        <v>3776</v>
      </c>
      <c r="E1351" t="s">
        <v>279</v>
      </c>
      <c r="F1351" t="s">
        <v>279</v>
      </c>
      <c r="G1351" t="s">
        <v>2858</v>
      </c>
      <c r="H1351" t="s">
        <v>279</v>
      </c>
      <c r="I1351" t="s">
        <v>2616</v>
      </c>
      <c r="J1351">
        <v>1</v>
      </c>
      <c r="K1351">
        <v>150504.97</v>
      </c>
    </row>
    <row r="1352" spans="1:11" x14ac:dyDescent="0.2">
      <c r="A1352" t="s">
        <v>3773</v>
      </c>
      <c r="B1352">
        <v>30030</v>
      </c>
      <c r="C1352" t="s">
        <v>471</v>
      </c>
      <c r="D1352" t="s">
        <v>3789</v>
      </c>
      <c r="E1352" t="s">
        <v>281</v>
      </c>
      <c r="F1352" t="s">
        <v>281</v>
      </c>
      <c r="G1352" t="s">
        <v>2783</v>
      </c>
      <c r="H1352" t="s">
        <v>281</v>
      </c>
      <c r="I1352" t="s">
        <v>2666</v>
      </c>
      <c r="J1352">
        <v>1</v>
      </c>
      <c r="K1352">
        <v>123</v>
      </c>
    </row>
    <row r="1353" spans="1:11" x14ac:dyDescent="0.2">
      <c r="A1353" t="s">
        <v>3773</v>
      </c>
      <c r="B1353">
        <v>24021</v>
      </c>
      <c r="C1353" t="s">
        <v>1521</v>
      </c>
      <c r="D1353" t="s">
        <v>3772</v>
      </c>
      <c r="E1353" t="s">
        <v>279</v>
      </c>
      <c r="F1353" t="s">
        <v>279</v>
      </c>
      <c r="G1353" t="s">
        <v>2733</v>
      </c>
      <c r="H1353" t="s">
        <v>279</v>
      </c>
      <c r="I1353" t="s">
        <v>2616</v>
      </c>
      <c r="J1353">
        <v>1</v>
      </c>
      <c r="K1353">
        <v>745</v>
      </c>
    </row>
    <row r="1354" spans="1:11" x14ac:dyDescent="0.2">
      <c r="A1354" t="s">
        <v>3773</v>
      </c>
      <c r="B1354">
        <v>28007</v>
      </c>
      <c r="C1354" t="s">
        <v>1560</v>
      </c>
      <c r="D1354" t="s">
        <v>3783</v>
      </c>
      <c r="E1354" t="s">
        <v>281</v>
      </c>
      <c r="F1354" t="s">
        <v>281</v>
      </c>
      <c r="G1354" t="s">
        <v>2793</v>
      </c>
      <c r="H1354" t="s">
        <v>281</v>
      </c>
      <c r="I1354" t="s">
        <v>2616</v>
      </c>
      <c r="J1354">
        <v>1</v>
      </c>
      <c r="K1354">
        <v>4663</v>
      </c>
    </row>
    <row r="1355" spans="1:11" x14ac:dyDescent="0.2">
      <c r="A1355" t="s">
        <v>3773</v>
      </c>
      <c r="B1355">
        <v>30007</v>
      </c>
      <c r="C1355" t="s">
        <v>1576</v>
      </c>
      <c r="D1355" t="s">
        <v>3792</v>
      </c>
      <c r="E1355" t="s">
        <v>281</v>
      </c>
      <c r="F1355" t="s">
        <v>281</v>
      </c>
      <c r="G1355" t="s">
        <v>2783</v>
      </c>
      <c r="H1355" t="s">
        <v>281</v>
      </c>
      <c r="I1355" t="s">
        <v>2616</v>
      </c>
      <c r="J1355">
        <v>1</v>
      </c>
      <c r="K1355">
        <v>2461.15</v>
      </c>
    </row>
    <row r="1356" spans="1:11" x14ac:dyDescent="0.2">
      <c r="A1356" t="s">
        <v>3773</v>
      </c>
      <c r="B1356">
        <v>29017</v>
      </c>
      <c r="C1356" t="s">
        <v>1571</v>
      </c>
      <c r="D1356" t="s">
        <v>3817</v>
      </c>
      <c r="E1356" t="s">
        <v>281</v>
      </c>
      <c r="F1356" t="s">
        <v>281</v>
      </c>
      <c r="G1356" t="s">
        <v>2688</v>
      </c>
      <c r="H1356" t="s">
        <v>281</v>
      </c>
      <c r="I1356" t="s">
        <v>2616</v>
      </c>
      <c r="J1356">
        <v>1</v>
      </c>
      <c r="K1356">
        <v>3248</v>
      </c>
    </row>
    <row r="1357" spans="1:11" x14ac:dyDescent="0.2">
      <c r="A1357" t="s">
        <v>3773</v>
      </c>
      <c r="B1357">
        <v>24002</v>
      </c>
      <c r="C1357" t="s">
        <v>1511</v>
      </c>
      <c r="D1357" t="s">
        <v>3808</v>
      </c>
      <c r="E1357" t="s">
        <v>279</v>
      </c>
      <c r="F1357" t="s">
        <v>279</v>
      </c>
      <c r="G1357" t="s">
        <v>2733</v>
      </c>
      <c r="H1357" t="s">
        <v>279</v>
      </c>
      <c r="I1357" t="s">
        <v>2616</v>
      </c>
      <c r="J1357">
        <v>1</v>
      </c>
      <c r="K1357">
        <v>3909</v>
      </c>
    </row>
    <row r="1358" spans="1:11" x14ac:dyDescent="0.2">
      <c r="A1358" t="s">
        <v>3773</v>
      </c>
      <c r="B1358">
        <v>23002</v>
      </c>
      <c r="C1358" t="s">
        <v>1505</v>
      </c>
      <c r="D1358" t="s">
        <v>3797</v>
      </c>
      <c r="E1358" t="s">
        <v>279</v>
      </c>
      <c r="F1358" t="s">
        <v>279</v>
      </c>
      <c r="G1358" t="s">
        <v>2733</v>
      </c>
      <c r="H1358" t="s">
        <v>279</v>
      </c>
      <c r="I1358" t="s">
        <v>2616</v>
      </c>
      <c r="J1358">
        <v>1</v>
      </c>
      <c r="K1358">
        <v>4923</v>
      </c>
    </row>
    <row r="1359" spans="1:11" x14ac:dyDescent="0.2">
      <c r="A1359" t="s">
        <v>3773</v>
      </c>
      <c r="B1359">
        <v>26013</v>
      </c>
      <c r="C1359" t="s">
        <v>3811</v>
      </c>
      <c r="D1359" t="s">
        <v>3810</v>
      </c>
      <c r="E1359" t="s">
        <v>2634</v>
      </c>
      <c r="F1359" t="s">
        <v>279</v>
      </c>
      <c r="G1359" t="s">
        <v>279</v>
      </c>
      <c r="H1359" t="s">
        <v>2634</v>
      </c>
      <c r="I1359" t="s">
        <v>2666</v>
      </c>
      <c r="J1359">
        <v>1</v>
      </c>
      <c r="K1359">
        <v>2195</v>
      </c>
    </row>
    <row r="1360" spans="1:11" x14ac:dyDescent="0.2">
      <c r="A1360" t="s">
        <v>3773</v>
      </c>
      <c r="B1360">
        <v>25023</v>
      </c>
      <c r="C1360" t="s">
        <v>1528</v>
      </c>
      <c r="D1360" t="s">
        <v>3793</v>
      </c>
      <c r="E1360" t="s">
        <v>279</v>
      </c>
      <c r="F1360" t="s">
        <v>279</v>
      </c>
      <c r="G1360" t="s">
        <v>2733</v>
      </c>
      <c r="H1360" t="s">
        <v>279</v>
      </c>
      <c r="I1360" t="s">
        <v>2616</v>
      </c>
      <c r="J1360">
        <v>1</v>
      </c>
      <c r="K1360">
        <v>1711</v>
      </c>
    </row>
    <row r="1361" spans="1:11" x14ac:dyDescent="0.2">
      <c r="A1361" t="s">
        <v>3773</v>
      </c>
      <c r="B1361">
        <v>29012</v>
      </c>
      <c r="C1361" t="s">
        <v>1569</v>
      </c>
      <c r="D1361" t="s">
        <v>3812</v>
      </c>
      <c r="E1361" t="s">
        <v>281</v>
      </c>
      <c r="F1361" t="s">
        <v>281</v>
      </c>
      <c r="G1361" t="s">
        <v>2688</v>
      </c>
      <c r="H1361" t="s">
        <v>281</v>
      </c>
      <c r="I1361" t="s">
        <v>2616</v>
      </c>
      <c r="J1361">
        <v>1</v>
      </c>
      <c r="K1361">
        <v>3157</v>
      </c>
    </row>
    <row r="1362" spans="1:11" x14ac:dyDescent="0.2">
      <c r="A1362" t="s">
        <v>3773</v>
      </c>
      <c r="B1362">
        <v>29003</v>
      </c>
      <c r="C1362" t="s">
        <v>1563</v>
      </c>
      <c r="D1362" t="s">
        <v>3803</v>
      </c>
      <c r="E1362" t="s">
        <v>281</v>
      </c>
      <c r="F1362" t="s">
        <v>281</v>
      </c>
      <c r="G1362" t="s">
        <v>2688</v>
      </c>
      <c r="H1362" t="s">
        <v>281</v>
      </c>
      <c r="I1362" t="s">
        <v>2616</v>
      </c>
      <c r="J1362">
        <v>1</v>
      </c>
      <c r="K1362">
        <v>4179.33</v>
      </c>
    </row>
    <row r="1363" spans="1:11" x14ac:dyDescent="0.2">
      <c r="A1363" t="s">
        <v>3773</v>
      </c>
      <c r="B1363">
        <v>24001</v>
      </c>
      <c r="C1363" t="s">
        <v>1510</v>
      </c>
      <c r="D1363" t="s">
        <v>3779</v>
      </c>
      <c r="E1363" t="s">
        <v>279</v>
      </c>
      <c r="F1363" t="s">
        <v>279</v>
      </c>
      <c r="G1363" t="s">
        <v>2733</v>
      </c>
      <c r="H1363" t="s">
        <v>279</v>
      </c>
      <c r="I1363" t="s">
        <v>2616</v>
      </c>
      <c r="J1363">
        <v>1</v>
      </c>
      <c r="K1363">
        <v>2074</v>
      </c>
    </row>
    <row r="1364" spans="1:11" x14ac:dyDescent="0.2">
      <c r="A1364" t="s">
        <v>3773</v>
      </c>
      <c r="B1364">
        <v>24005</v>
      </c>
      <c r="C1364" t="s">
        <v>1513</v>
      </c>
      <c r="D1364" t="s">
        <v>3805</v>
      </c>
      <c r="E1364" t="s">
        <v>279</v>
      </c>
      <c r="F1364" t="s">
        <v>279</v>
      </c>
      <c r="G1364" t="s">
        <v>2733</v>
      </c>
      <c r="H1364" t="s">
        <v>279</v>
      </c>
      <c r="I1364" t="s">
        <v>2616</v>
      </c>
      <c r="J1364">
        <v>1</v>
      </c>
      <c r="K1364">
        <v>2751</v>
      </c>
    </row>
    <row r="1365" spans="1:11" x14ac:dyDescent="0.2">
      <c r="A1365" t="s">
        <v>3773</v>
      </c>
      <c r="B1365">
        <v>23007</v>
      </c>
      <c r="C1365" t="s">
        <v>1509</v>
      </c>
      <c r="D1365" t="s">
        <v>3777</v>
      </c>
      <c r="E1365" t="s">
        <v>279</v>
      </c>
      <c r="F1365" t="s">
        <v>279</v>
      </c>
      <c r="G1365" t="s">
        <v>2733</v>
      </c>
      <c r="H1365" t="s">
        <v>279</v>
      </c>
      <c r="I1365" t="s">
        <v>2616</v>
      </c>
      <c r="J1365">
        <v>1</v>
      </c>
      <c r="K1365">
        <v>1914</v>
      </c>
    </row>
    <row r="1366" spans="1:11" x14ac:dyDescent="0.2">
      <c r="A1366" t="s">
        <v>3773</v>
      </c>
      <c r="B1366">
        <v>29008</v>
      </c>
      <c r="C1366" t="s">
        <v>1565</v>
      </c>
      <c r="D1366" t="s">
        <v>3813</v>
      </c>
      <c r="E1366" t="s">
        <v>281</v>
      </c>
      <c r="F1366" t="s">
        <v>281</v>
      </c>
      <c r="G1366" t="s">
        <v>2688</v>
      </c>
      <c r="H1366" t="s">
        <v>281</v>
      </c>
      <c r="I1366" t="s">
        <v>2616</v>
      </c>
      <c r="J1366">
        <v>1</v>
      </c>
      <c r="K1366">
        <v>802</v>
      </c>
    </row>
    <row r="1367" spans="1:11" x14ac:dyDescent="0.2">
      <c r="A1367" t="s">
        <v>3773</v>
      </c>
      <c r="B1367">
        <v>13017</v>
      </c>
      <c r="C1367" t="s">
        <v>1429</v>
      </c>
      <c r="D1367" t="s">
        <v>3775</v>
      </c>
      <c r="E1367" t="s">
        <v>279</v>
      </c>
      <c r="F1367" t="s">
        <v>279</v>
      </c>
      <c r="G1367" t="s">
        <v>2767</v>
      </c>
      <c r="H1367" t="s">
        <v>279</v>
      </c>
      <c r="I1367" t="s">
        <v>2616</v>
      </c>
      <c r="J1367">
        <v>1</v>
      </c>
      <c r="K1367">
        <v>3411</v>
      </c>
    </row>
    <row r="1368" spans="1:11" x14ac:dyDescent="0.2">
      <c r="A1368" t="s">
        <v>3773</v>
      </c>
      <c r="B1368">
        <v>24015</v>
      </c>
      <c r="C1368" t="s">
        <v>3819</v>
      </c>
      <c r="D1368" t="s">
        <v>3818</v>
      </c>
      <c r="E1368" t="s">
        <v>279</v>
      </c>
      <c r="F1368" t="s">
        <v>279</v>
      </c>
      <c r="G1368" t="s">
        <v>2733</v>
      </c>
      <c r="H1368" t="s">
        <v>279</v>
      </c>
      <c r="I1368" t="s">
        <v>2616</v>
      </c>
      <c r="J1368">
        <v>1</v>
      </c>
      <c r="K1368">
        <v>32609.34</v>
      </c>
    </row>
    <row r="1369" spans="1:11" x14ac:dyDescent="0.2">
      <c r="A1369" t="s">
        <v>3763</v>
      </c>
      <c r="B1369">
        <v>201026</v>
      </c>
      <c r="C1369" t="s">
        <v>2488</v>
      </c>
      <c r="D1369" t="s">
        <v>3766</v>
      </c>
      <c r="E1369" t="s">
        <v>187</v>
      </c>
      <c r="F1369" t="s">
        <v>187</v>
      </c>
      <c r="G1369" t="s">
        <v>3765</v>
      </c>
      <c r="H1369" t="s">
        <v>187</v>
      </c>
      <c r="I1369" t="s">
        <v>2616</v>
      </c>
      <c r="J1369">
        <v>1</v>
      </c>
      <c r="K1369">
        <v>1241</v>
      </c>
    </row>
    <row r="1370" spans="1:11" x14ac:dyDescent="0.2">
      <c r="A1370" t="s">
        <v>3763</v>
      </c>
      <c r="B1370">
        <v>39019</v>
      </c>
      <c r="C1370" t="s">
        <v>2610</v>
      </c>
      <c r="D1370" t="s">
        <v>3762</v>
      </c>
      <c r="E1370" t="s">
        <v>281</v>
      </c>
      <c r="F1370" t="s">
        <v>281</v>
      </c>
      <c r="G1370" t="s">
        <v>2824</v>
      </c>
      <c r="H1370" t="s">
        <v>281</v>
      </c>
      <c r="I1370" t="s">
        <v>2616</v>
      </c>
      <c r="J1370">
        <v>1</v>
      </c>
      <c r="K1370">
        <v>1297</v>
      </c>
    </row>
    <row r="1371" spans="1:11" x14ac:dyDescent="0.2">
      <c r="A1371" t="s">
        <v>3763</v>
      </c>
      <c r="B1371">
        <v>190931</v>
      </c>
      <c r="C1371" t="s">
        <v>2613</v>
      </c>
      <c r="D1371" t="s">
        <v>3771</v>
      </c>
      <c r="E1371" t="s">
        <v>281</v>
      </c>
      <c r="F1371" t="s">
        <v>283</v>
      </c>
      <c r="G1371" t="s">
        <v>2777</v>
      </c>
      <c r="H1371" t="s">
        <v>281</v>
      </c>
      <c r="I1371" t="s">
        <v>2616</v>
      </c>
      <c r="J1371">
        <v>1</v>
      </c>
      <c r="K1371">
        <v>1000</v>
      </c>
    </row>
    <row r="1372" spans="1:11" x14ac:dyDescent="0.2">
      <c r="A1372" t="s">
        <v>3763</v>
      </c>
      <c r="B1372">
        <v>39016</v>
      </c>
      <c r="C1372" t="s">
        <v>2609</v>
      </c>
      <c r="D1372" t="s">
        <v>3762</v>
      </c>
      <c r="E1372" t="s">
        <v>281</v>
      </c>
      <c r="F1372" t="s">
        <v>281</v>
      </c>
      <c r="G1372" t="s">
        <v>2824</v>
      </c>
      <c r="H1372" t="s">
        <v>281</v>
      </c>
      <c r="I1372" t="s">
        <v>2616</v>
      </c>
      <c r="J1372">
        <v>1</v>
      </c>
      <c r="K1372">
        <v>42809</v>
      </c>
    </row>
    <row r="1373" spans="1:11" x14ac:dyDescent="0.2">
      <c r="A1373" t="s">
        <v>3763</v>
      </c>
      <c r="B1373">
        <v>24010</v>
      </c>
      <c r="C1373" t="s">
        <v>2606</v>
      </c>
      <c r="D1373" t="s">
        <v>3764</v>
      </c>
      <c r="E1373" t="s">
        <v>279</v>
      </c>
      <c r="F1373" t="s">
        <v>279</v>
      </c>
      <c r="G1373" t="s">
        <v>2733</v>
      </c>
      <c r="H1373" t="s">
        <v>279</v>
      </c>
      <c r="I1373" t="s">
        <v>2616</v>
      </c>
      <c r="J1373">
        <v>1</v>
      </c>
      <c r="K1373">
        <v>67948</v>
      </c>
    </row>
    <row r="1374" spans="1:11" x14ac:dyDescent="0.2">
      <c r="A1374" t="s">
        <v>3763</v>
      </c>
      <c r="B1374">
        <v>24059</v>
      </c>
      <c r="C1374" t="s">
        <v>2607</v>
      </c>
      <c r="D1374" t="s">
        <v>3764</v>
      </c>
      <c r="E1374" t="s">
        <v>279</v>
      </c>
      <c r="F1374" t="s">
        <v>279</v>
      </c>
      <c r="G1374" t="s">
        <v>2733</v>
      </c>
      <c r="H1374" t="s">
        <v>279</v>
      </c>
      <c r="I1374" t="s">
        <v>2616</v>
      </c>
      <c r="J1374">
        <v>1</v>
      </c>
      <c r="K1374">
        <v>500</v>
      </c>
    </row>
    <row r="1375" spans="1:11" x14ac:dyDescent="0.2">
      <c r="A1375" t="s">
        <v>3763</v>
      </c>
      <c r="B1375">
        <v>31019</v>
      </c>
      <c r="C1375" t="s">
        <v>2608</v>
      </c>
      <c r="D1375" t="s">
        <v>3770</v>
      </c>
      <c r="E1375" t="s">
        <v>281</v>
      </c>
      <c r="F1375" t="s">
        <v>281</v>
      </c>
      <c r="G1375" t="s">
        <v>2736</v>
      </c>
      <c r="H1375" t="s">
        <v>281</v>
      </c>
      <c r="I1375" t="s">
        <v>2616</v>
      </c>
      <c r="J1375">
        <v>1</v>
      </c>
      <c r="K1375">
        <v>198907</v>
      </c>
    </row>
    <row r="1376" spans="1:11" x14ac:dyDescent="0.2">
      <c r="A1376" t="s">
        <v>3763</v>
      </c>
      <c r="B1376">
        <v>180020</v>
      </c>
      <c r="C1376" t="s">
        <v>2612</v>
      </c>
      <c r="D1376" t="s">
        <v>3768</v>
      </c>
      <c r="E1376" t="s">
        <v>883</v>
      </c>
      <c r="F1376" t="s">
        <v>884</v>
      </c>
      <c r="G1376" t="s">
        <v>3767</v>
      </c>
      <c r="H1376" t="s">
        <v>883</v>
      </c>
      <c r="I1376" t="s">
        <v>2616</v>
      </c>
      <c r="J1376">
        <v>1</v>
      </c>
      <c r="K1376">
        <v>300</v>
      </c>
    </row>
    <row r="1377" spans="1:11" x14ac:dyDescent="0.2">
      <c r="A1377" t="s">
        <v>3763</v>
      </c>
      <c r="B1377">
        <v>12060</v>
      </c>
      <c r="C1377" t="s">
        <v>2605</v>
      </c>
      <c r="D1377" t="s">
        <v>3769</v>
      </c>
      <c r="E1377" t="s">
        <v>279</v>
      </c>
      <c r="F1377" t="s">
        <v>279</v>
      </c>
      <c r="G1377" t="s">
        <v>2686</v>
      </c>
      <c r="H1377" t="s">
        <v>279</v>
      </c>
      <c r="I1377" t="s">
        <v>2616</v>
      </c>
      <c r="J1377">
        <v>1</v>
      </c>
      <c r="K1377">
        <v>45206</v>
      </c>
    </row>
    <row r="1378" spans="1:11" x14ac:dyDescent="0.2">
      <c r="A1378" t="s">
        <v>3637</v>
      </c>
      <c r="B1378">
        <v>190326</v>
      </c>
      <c r="C1378" t="s">
        <v>2206</v>
      </c>
      <c r="D1378" t="s">
        <v>3642</v>
      </c>
      <c r="E1378" t="s">
        <v>62</v>
      </c>
      <c r="F1378" t="s">
        <v>283</v>
      </c>
      <c r="G1378" t="s">
        <v>3638</v>
      </c>
      <c r="H1378" t="s">
        <v>62</v>
      </c>
      <c r="I1378" t="s">
        <v>2616</v>
      </c>
      <c r="J1378">
        <v>1</v>
      </c>
      <c r="K1378">
        <v>73</v>
      </c>
    </row>
    <row r="1379" spans="1:11" x14ac:dyDescent="0.2">
      <c r="A1379" t="s">
        <v>3637</v>
      </c>
      <c r="B1379">
        <v>190650</v>
      </c>
      <c r="C1379" t="s">
        <v>2213</v>
      </c>
      <c r="D1379" t="s">
        <v>3644</v>
      </c>
      <c r="E1379" t="s">
        <v>62</v>
      </c>
      <c r="F1379" t="s">
        <v>283</v>
      </c>
      <c r="G1379" t="s">
        <v>3643</v>
      </c>
      <c r="H1379" t="s">
        <v>62</v>
      </c>
      <c r="I1379" t="s">
        <v>2616</v>
      </c>
      <c r="J1379">
        <v>1</v>
      </c>
      <c r="K1379">
        <v>1057</v>
      </c>
    </row>
    <row r="1380" spans="1:11" x14ac:dyDescent="0.2">
      <c r="A1380" t="s">
        <v>3637</v>
      </c>
      <c r="B1380">
        <v>190504</v>
      </c>
      <c r="C1380" t="s">
        <v>2209</v>
      </c>
      <c r="D1380" t="s">
        <v>3726</v>
      </c>
      <c r="E1380" t="s">
        <v>62</v>
      </c>
      <c r="F1380" t="s">
        <v>283</v>
      </c>
      <c r="G1380" t="s">
        <v>2869</v>
      </c>
      <c r="H1380" t="s">
        <v>62</v>
      </c>
      <c r="I1380" t="s">
        <v>2616</v>
      </c>
      <c r="J1380">
        <v>1</v>
      </c>
      <c r="K1380">
        <v>129</v>
      </c>
    </row>
    <row r="1381" spans="1:11" x14ac:dyDescent="0.2">
      <c r="A1381" t="s">
        <v>3637</v>
      </c>
      <c r="B1381">
        <v>190017</v>
      </c>
      <c r="C1381" t="s">
        <v>2181</v>
      </c>
      <c r="D1381" t="s">
        <v>3746</v>
      </c>
      <c r="E1381" t="s">
        <v>62</v>
      </c>
      <c r="F1381" t="s">
        <v>283</v>
      </c>
      <c r="G1381" t="s">
        <v>3669</v>
      </c>
      <c r="H1381" t="s">
        <v>62</v>
      </c>
      <c r="I1381" t="s">
        <v>2616</v>
      </c>
      <c r="J1381">
        <v>1</v>
      </c>
      <c r="K1381">
        <v>322</v>
      </c>
    </row>
    <row r="1382" spans="1:11" x14ac:dyDescent="0.2">
      <c r="A1382" t="s">
        <v>3637</v>
      </c>
      <c r="B1382">
        <v>150099</v>
      </c>
      <c r="C1382" t="s">
        <v>1197</v>
      </c>
      <c r="D1382" t="s">
        <v>3729</v>
      </c>
      <c r="E1382" t="s">
        <v>189</v>
      </c>
      <c r="F1382" t="s">
        <v>189</v>
      </c>
      <c r="G1382" t="s">
        <v>3482</v>
      </c>
      <c r="H1382" t="s">
        <v>189</v>
      </c>
      <c r="I1382" t="s">
        <v>2666</v>
      </c>
      <c r="J1382">
        <v>1</v>
      </c>
      <c r="K1382">
        <v>12</v>
      </c>
    </row>
    <row r="1383" spans="1:11" x14ac:dyDescent="0.2">
      <c r="A1383" t="s">
        <v>3637</v>
      </c>
      <c r="B1383">
        <v>190022</v>
      </c>
      <c r="C1383" t="s">
        <v>2182</v>
      </c>
      <c r="D1383" t="s">
        <v>3736</v>
      </c>
      <c r="E1383" t="s">
        <v>62</v>
      </c>
      <c r="F1383" t="s">
        <v>283</v>
      </c>
      <c r="G1383" t="s">
        <v>3715</v>
      </c>
      <c r="H1383" t="s">
        <v>62</v>
      </c>
      <c r="I1383" t="s">
        <v>2616</v>
      </c>
      <c r="J1383">
        <v>1</v>
      </c>
      <c r="K1383">
        <v>178</v>
      </c>
    </row>
    <row r="1384" spans="1:11" x14ac:dyDescent="0.2">
      <c r="A1384" t="s">
        <v>3637</v>
      </c>
      <c r="B1384">
        <v>190001</v>
      </c>
      <c r="C1384" t="s">
        <v>2175</v>
      </c>
      <c r="D1384" t="s">
        <v>3732</v>
      </c>
      <c r="E1384" t="s">
        <v>62</v>
      </c>
      <c r="F1384" t="s">
        <v>283</v>
      </c>
      <c r="G1384" t="s">
        <v>3663</v>
      </c>
      <c r="H1384" t="s">
        <v>62</v>
      </c>
      <c r="I1384" t="s">
        <v>2616</v>
      </c>
      <c r="J1384">
        <v>1</v>
      </c>
      <c r="K1384">
        <v>1021</v>
      </c>
    </row>
    <row r="1385" spans="1:11" x14ac:dyDescent="0.2">
      <c r="A1385" t="s">
        <v>3637</v>
      </c>
      <c r="B1385">
        <v>190040</v>
      </c>
      <c r="C1385" t="s">
        <v>2186</v>
      </c>
      <c r="D1385" t="s">
        <v>3699</v>
      </c>
      <c r="E1385" t="s">
        <v>62</v>
      </c>
      <c r="F1385" t="s">
        <v>283</v>
      </c>
      <c r="G1385" t="s">
        <v>3638</v>
      </c>
      <c r="H1385" t="s">
        <v>62</v>
      </c>
      <c r="I1385" t="s">
        <v>2616</v>
      </c>
      <c r="J1385">
        <v>1</v>
      </c>
      <c r="K1385">
        <v>193</v>
      </c>
    </row>
    <row r="1386" spans="1:11" x14ac:dyDescent="0.2">
      <c r="A1386" t="s">
        <v>3637</v>
      </c>
      <c r="B1386">
        <v>190024</v>
      </c>
      <c r="C1386" t="s">
        <v>2590</v>
      </c>
      <c r="D1386" t="s">
        <v>3731</v>
      </c>
      <c r="E1386" t="s">
        <v>62</v>
      </c>
      <c r="F1386" t="s">
        <v>283</v>
      </c>
      <c r="G1386" t="s">
        <v>3715</v>
      </c>
      <c r="H1386" t="s">
        <v>62</v>
      </c>
      <c r="I1386" t="s">
        <v>2666</v>
      </c>
      <c r="J1386">
        <v>1</v>
      </c>
      <c r="K1386">
        <v>51</v>
      </c>
    </row>
    <row r="1387" spans="1:11" x14ac:dyDescent="0.2">
      <c r="A1387" t="s">
        <v>3637</v>
      </c>
      <c r="B1387">
        <v>192052</v>
      </c>
      <c r="C1387" t="s">
        <v>1283</v>
      </c>
      <c r="D1387" t="s">
        <v>3680</v>
      </c>
      <c r="E1387" t="s">
        <v>62</v>
      </c>
      <c r="F1387" t="s">
        <v>283</v>
      </c>
      <c r="G1387" t="s">
        <v>3679</v>
      </c>
      <c r="H1387" t="s">
        <v>62</v>
      </c>
      <c r="I1387" t="s">
        <v>2666</v>
      </c>
      <c r="J1387">
        <v>1</v>
      </c>
      <c r="K1387">
        <v>9</v>
      </c>
    </row>
    <row r="1388" spans="1:11" x14ac:dyDescent="0.2">
      <c r="A1388" t="s">
        <v>3637</v>
      </c>
      <c r="B1388">
        <v>250900</v>
      </c>
      <c r="C1388" t="s">
        <v>1032</v>
      </c>
      <c r="D1388" t="s">
        <v>3747</v>
      </c>
      <c r="E1388" t="s">
        <v>188</v>
      </c>
      <c r="F1388" t="s">
        <v>188</v>
      </c>
      <c r="G1388" t="s">
        <v>3652</v>
      </c>
      <c r="H1388" t="s">
        <v>188</v>
      </c>
      <c r="I1388" t="s">
        <v>2666</v>
      </c>
      <c r="J1388">
        <v>1</v>
      </c>
      <c r="K1388">
        <v>174</v>
      </c>
    </row>
    <row r="1389" spans="1:11" x14ac:dyDescent="0.2">
      <c r="A1389" t="s">
        <v>3637</v>
      </c>
      <c r="B1389">
        <v>190797</v>
      </c>
      <c r="C1389" t="s">
        <v>2222</v>
      </c>
      <c r="D1389" t="s">
        <v>3700</v>
      </c>
      <c r="E1389" t="s">
        <v>62</v>
      </c>
      <c r="F1389" t="s">
        <v>283</v>
      </c>
      <c r="G1389" t="s">
        <v>3602</v>
      </c>
      <c r="H1389" t="s">
        <v>62</v>
      </c>
      <c r="I1389" t="s">
        <v>2616</v>
      </c>
      <c r="J1389">
        <v>1</v>
      </c>
      <c r="K1389">
        <v>312</v>
      </c>
    </row>
    <row r="1390" spans="1:11" x14ac:dyDescent="0.2">
      <c r="A1390" t="s">
        <v>3637</v>
      </c>
      <c r="B1390">
        <v>191826</v>
      </c>
      <c r="C1390" t="s">
        <v>2249</v>
      </c>
      <c r="D1390" t="s">
        <v>3712</v>
      </c>
      <c r="E1390" t="s">
        <v>62</v>
      </c>
      <c r="F1390" t="s">
        <v>283</v>
      </c>
      <c r="G1390" t="s">
        <v>3656</v>
      </c>
      <c r="H1390" t="s">
        <v>62</v>
      </c>
      <c r="I1390" t="s">
        <v>2616</v>
      </c>
      <c r="J1390">
        <v>1</v>
      </c>
      <c r="K1390">
        <v>826</v>
      </c>
    </row>
    <row r="1391" spans="1:11" x14ac:dyDescent="0.2">
      <c r="A1391" t="s">
        <v>3637</v>
      </c>
      <c r="B1391">
        <v>192081</v>
      </c>
      <c r="C1391" t="s">
        <v>2254</v>
      </c>
      <c r="D1391" t="s">
        <v>3678</v>
      </c>
      <c r="E1391" t="s">
        <v>62</v>
      </c>
      <c r="F1391" t="s">
        <v>283</v>
      </c>
      <c r="G1391" t="s">
        <v>3663</v>
      </c>
      <c r="H1391" t="s">
        <v>62</v>
      </c>
      <c r="I1391" t="s">
        <v>2616</v>
      </c>
      <c r="J1391">
        <v>1</v>
      </c>
      <c r="K1391">
        <v>20</v>
      </c>
    </row>
    <row r="1392" spans="1:11" x14ac:dyDescent="0.2">
      <c r="A1392" t="s">
        <v>3637</v>
      </c>
      <c r="B1392">
        <v>190300</v>
      </c>
      <c r="C1392" t="s">
        <v>2199</v>
      </c>
      <c r="D1392" t="s">
        <v>3705</v>
      </c>
      <c r="E1392" t="s">
        <v>62</v>
      </c>
      <c r="F1392" t="s">
        <v>283</v>
      </c>
      <c r="G1392" t="s">
        <v>3704</v>
      </c>
      <c r="H1392" t="s">
        <v>62</v>
      </c>
      <c r="I1392" t="s">
        <v>2616</v>
      </c>
      <c r="J1392">
        <v>1</v>
      </c>
      <c r="K1392">
        <v>115</v>
      </c>
    </row>
    <row r="1393" spans="1:11" x14ac:dyDescent="0.2">
      <c r="A1393" t="s">
        <v>3637</v>
      </c>
      <c r="B1393">
        <v>190228</v>
      </c>
      <c r="C1393" t="s">
        <v>2198</v>
      </c>
      <c r="D1393" t="s">
        <v>3690</v>
      </c>
      <c r="E1393" t="s">
        <v>62</v>
      </c>
      <c r="F1393" t="s">
        <v>283</v>
      </c>
      <c r="G1393" t="s">
        <v>3638</v>
      </c>
      <c r="H1393" t="s">
        <v>62</v>
      </c>
      <c r="I1393" t="s">
        <v>2616</v>
      </c>
      <c r="J1393">
        <v>1</v>
      </c>
      <c r="K1393">
        <v>133</v>
      </c>
    </row>
    <row r="1394" spans="1:11" x14ac:dyDescent="0.2">
      <c r="A1394" t="s">
        <v>3637</v>
      </c>
      <c r="B1394">
        <v>192161</v>
      </c>
      <c r="C1394" t="s">
        <v>2600</v>
      </c>
      <c r="D1394" t="s">
        <v>3708</v>
      </c>
      <c r="E1394" t="s">
        <v>62</v>
      </c>
      <c r="F1394" t="s">
        <v>283</v>
      </c>
      <c r="G1394" t="s">
        <v>3602</v>
      </c>
      <c r="H1394" t="s">
        <v>62</v>
      </c>
      <c r="I1394" t="s">
        <v>2666</v>
      </c>
      <c r="J1394">
        <v>1</v>
      </c>
      <c r="K1394">
        <v>128</v>
      </c>
    </row>
    <row r="1395" spans="1:11" x14ac:dyDescent="0.2">
      <c r="A1395" t="s">
        <v>3637</v>
      </c>
      <c r="B1395">
        <v>190429</v>
      </c>
      <c r="C1395" t="s">
        <v>1384</v>
      </c>
      <c r="D1395" t="s">
        <v>3691</v>
      </c>
      <c r="E1395" t="s">
        <v>62</v>
      </c>
      <c r="F1395" t="s">
        <v>283</v>
      </c>
      <c r="G1395" t="s">
        <v>3648</v>
      </c>
      <c r="H1395" t="s">
        <v>62</v>
      </c>
      <c r="I1395" t="s">
        <v>2666</v>
      </c>
      <c r="J1395">
        <v>1</v>
      </c>
      <c r="K1395">
        <v>9</v>
      </c>
    </row>
    <row r="1396" spans="1:11" x14ac:dyDescent="0.2">
      <c r="A1396" t="s">
        <v>3637</v>
      </c>
      <c r="B1396">
        <v>190080</v>
      </c>
      <c r="C1396" t="s">
        <v>1383</v>
      </c>
      <c r="D1396" t="s">
        <v>3660</v>
      </c>
      <c r="E1396" t="s">
        <v>62</v>
      </c>
      <c r="F1396" t="s">
        <v>283</v>
      </c>
      <c r="G1396" t="s">
        <v>3659</v>
      </c>
      <c r="H1396" t="s">
        <v>62</v>
      </c>
      <c r="I1396" t="s">
        <v>2666</v>
      </c>
      <c r="J1396">
        <v>1</v>
      </c>
      <c r="K1396">
        <v>1</v>
      </c>
    </row>
    <row r="1397" spans="1:11" x14ac:dyDescent="0.2">
      <c r="A1397" t="s">
        <v>3637</v>
      </c>
      <c r="B1397">
        <v>250313</v>
      </c>
      <c r="C1397" t="s">
        <v>1029</v>
      </c>
      <c r="D1397" t="s">
        <v>3752</v>
      </c>
      <c r="E1397" t="s">
        <v>62</v>
      </c>
      <c r="F1397" t="s">
        <v>283</v>
      </c>
      <c r="G1397" t="s">
        <v>3715</v>
      </c>
      <c r="H1397" t="s">
        <v>62</v>
      </c>
      <c r="I1397" t="s">
        <v>2666</v>
      </c>
      <c r="J1397">
        <v>1</v>
      </c>
      <c r="K1397">
        <v>90</v>
      </c>
    </row>
    <row r="1398" spans="1:11" x14ac:dyDescent="0.2">
      <c r="A1398" t="s">
        <v>3637</v>
      </c>
      <c r="B1398">
        <v>190309</v>
      </c>
      <c r="C1398" t="s">
        <v>2202</v>
      </c>
      <c r="D1398" t="s">
        <v>3711</v>
      </c>
      <c r="E1398" t="s">
        <v>62</v>
      </c>
      <c r="F1398" t="s">
        <v>283</v>
      </c>
      <c r="G1398" t="s">
        <v>3648</v>
      </c>
      <c r="H1398" t="s">
        <v>62</v>
      </c>
      <c r="I1398" t="s">
        <v>2616</v>
      </c>
      <c r="J1398">
        <v>1</v>
      </c>
      <c r="K1398">
        <v>743</v>
      </c>
    </row>
    <row r="1399" spans="1:11" x14ac:dyDescent="0.2">
      <c r="A1399" t="s">
        <v>3637</v>
      </c>
      <c r="B1399">
        <v>190512</v>
      </c>
      <c r="C1399" t="s">
        <v>910</v>
      </c>
      <c r="D1399" t="s">
        <v>3689</v>
      </c>
      <c r="E1399" t="s">
        <v>62</v>
      </c>
      <c r="F1399" t="s">
        <v>283</v>
      </c>
      <c r="G1399" t="s">
        <v>3661</v>
      </c>
      <c r="H1399" t="s">
        <v>62</v>
      </c>
      <c r="I1399" t="s">
        <v>2666</v>
      </c>
      <c r="J1399">
        <v>1</v>
      </c>
      <c r="K1399">
        <v>9</v>
      </c>
    </row>
    <row r="1400" spans="1:11" x14ac:dyDescent="0.2">
      <c r="A1400" t="s">
        <v>3637</v>
      </c>
      <c r="B1400">
        <v>192009</v>
      </c>
      <c r="C1400" t="s">
        <v>963</v>
      </c>
      <c r="D1400" t="s">
        <v>3655</v>
      </c>
      <c r="E1400" t="s">
        <v>62</v>
      </c>
      <c r="F1400" t="s">
        <v>283</v>
      </c>
      <c r="G1400" t="s">
        <v>3654</v>
      </c>
      <c r="H1400" t="s">
        <v>62</v>
      </c>
      <c r="I1400" t="s">
        <v>2666</v>
      </c>
      <c r="J1400">
        <v>1</v>
      </c>
      <c r="K1400">
        <v>29</v>
      </c>
    </row>
    <row r="1401" spans="1:11" x14ac:dyDescent="0.2">
      <c r="A1401" t="s">
        <v>3637</v>
      </c>
      <c r="B1401">
        <v>190060</v>
      </c>
      <c r="C1401" t="s">
        <v>2188</v>
      </c>
      <c r="D1401" t="s">
        <v>3761</v>
      </c>
      <c r="E1401" t="s">
        <v>62</v>
      </c>
      <c r="F1401" t="s">
        <v>283</v>
      </c>
      <c r="G1401" t="s">
        <v>3760</v>
      </c>
      <c r="H1401" t="s">
        <v>62</v>
      </c>
      <c r="I1401" t="s">
        <v>2616</v>
      </c>
      <c r="J1401">
        <v>1</v>
      </c>
      <c r="K1401">
        <v>94</v>
      </c>
    </row>
    <row r="1402" spans="1:11" x14ac:dyDescent="0.2">
      <c r="A1402" t="s">
        <v>3637</v>
      </c>
      <c r="B1402">
        <v>190652</v>
      </c>
      <c r="C1402" t="s">
        <v>2215</v>
      </c>
      <c r="D1402" t="s">
        <v>3683</v>
      </c>
      <c r="E1402" t="s">
        <v>62</v>
      </c>
      <c r="F1402" t="s">
        <v>283</v>
      </c>
      <c r="G1402" t="s">
        <v>3665</v>
      </c>
      <c r="H1402" t="s">
        <v>62</v>
      </c>
      <c r="I1402" t="s">
        <v>2616</v>
      </c>
      <c r="J1402">
        <v>1</v>
      </c>
      <c r="K1402">
        <v>740</v>
      </c>
    </row>
    <row r="1403" spans="1:11" x14ac:dyDescent="0.2">
      <c r="A1403" t="s">
        <v>3637</v>
      </c>
      <c r="B1403">
        <v>190003</v>
      </c>
      <c r="C1403" t="s">
        <v>2176</v>
      </c>
      <c r="D1403" t="s">
        <v>3706</v>
      </c>
      <c r="E1403" t="s">
        <v>62</v>
      </c>
      <c r="F1403" t="s">
        <v>283</v>
      </c>
      <c r="G1403" t="s">
        <v>3602</v>
      </c>
      <c r="H1403" t="s">
        <v>62</v>
      </c>
      <c r="I1403" t="s">
        <v>2616</v>
      </c>
      <c r="J1403">
        <v>1</v>
      </c>
      <c r="K1403">
        <v>86</v>
      </c>
    </row>
    <row r="1404" spans="1:11" x14ac:dyDescent="0.2">
      <c r="A1404" t="s">
        <v>3637</v>
      </c>
      <c r="B1404">
        <v>190929</v>
      </c>
      <c r="C1404" t="s">
        <v>2230</v>
      </c>
      <c r="D1404" t="s">
        <v>3636</v>
      </c>
      <c r="E1404" t="s">
        <v>62</v>
      </c>
      <c r="F1404" t="s">
        <v>283</v>
      </c>
      <c r="G1404" t="s">
        <v>3635</v>
      </c>
      <c r="H1404" t="s">
        <v>62</v>
      </c>
      <c r="I1404" t="s">
        <v>2616</v>
      </c>
      <c r="J1404">
        <v>1</v>
      </c>
      <c r="K1404">
        <v>25</v>
      </c>
    </row>
    <row r="1405" spans="1:11" x14ac:dyDescent="0.2">
      <c r="A1405" t="s">
        <v>3637</v>
      </c>
      <c r="B1405">
        <v>150031</v>
      </c>
      <c r="C1405" t="s">
        <v>1807</v>
      </c>
      <c r="D1405" t="s">
        <v>3751</v>
      </c>
      <c r="E1405" t="s">
        <v>189</v>
      </c>
      <c r="F1405" t="s">
        <v>189</v>
      </c>
      <c r="G1405" t="s">
        <v>3482</v>
      </c>
      <c r="H1405" t="s">
        <v>189</v>
      </c>
      <c r="I1405" t="s">
        <v>2616</v>
      </c>
      <c r="J1405">
        <v>1</v>
      </c>
      <c r="K1405">
        <v>220</v>
      </c>
    </row>
    <row r="1406" spans="1:11" x14ac:dyDescent="0.2">
      <c r="A1406" t="s">
        <v>3637</v>
      </c>
      <c r="B1406">
        <v>190068</v>
      </c>
      <c r="C1406" t="s">
        <v>892</v>
      </c>
      <c r="D1406" t="s">
        <v>3694</v>
      </c>
      <c r="E1406" t="s">
        <v>62</v>
      </c>
      <c r="F1406" t="s">
        <v>283</v>
      </c>
      <c r="G1406" t="s">
        <v>3656</v>
      </c>
      <c r="H1406" t="s">
        <v>62</v>
      </c>
      <c r="I1406" t="s">
        <v>2666</v>
      </c>
      <c r="J1406">
        <v>1</v>
      </c>
      <c r="K1406">
        <v>29</v>
      </c>
    </row>
    <row r="1407" spans="1:11" x14ac:dyDescent="0.2">
      <c r="A1407" t="s">
        <v>3637</v>
      </c>
      <c r="B1407">
        <v>190513</v>
      </c>
      <c r="C1407" t="s">
        <v>911</v>
      </c>
      <c r="D1407" t="s">
        <v>3744</v>
      </c>
      <c r="E1407" t="s">
        <v>62</v>
      </c>
      <c r="F1407" t="s">
        <v>283</v>
      </c>
      <c r="G1407" t="s">
        <v>3665</v>
      </c>
      <c r="H1407" t="s">
        <v>62</v>
      </c>
      <c r="I1407" t="s">
        <v>2666</v>
      </c>
      <c r="J1407">
        <v>1</v>
      </c>
      <c r="K1407">
        <v>4</v>
      </c>
    </row>
    <row r="1408" spans="1:11" x14ac:dyDescent="0.2">
      <c r="A1408" t="s">
        <v>3637</v>
      </c>
      <c r="B1408">
        <v>190509</v>
      </c>
      <c r="C1408" t="s">
        <v>2210</v>
      </c>
      <c r="D1408" t="s">
        <v>3719</v>
      </c>
      <c r="E1408" t="s">
        <v>62</v>
      </c>
      <c r="F1408" t="s">
        <v>283</v>
      </c>
      <c r="G1408" t="s">
        <v>3661</v>
      </c>
      <c r="H1408" t="s">
        <v>62</v>
      </c>
      <c r="I1408" t="s">
        <v>2616</v>
      </c>
      <c r="J1408">
        <v>1</v>
      </c>
      <c r="K1408">
        <v>148</v>
      </c>
    </row>
    <row r="1409" spans="1:11" x14ac:dyDescent="0.2">
      <c r="A1409" t="s">
        <v>3637</v>
      </c>
      <c r="B1409">
        <v>190656</v>
      </c>
      <c r="C1409" t="s">
        <v>2217</v>
      </c>
      <c r="D1409" t="s">
        <v>3697</v>
      </c>
      <c r="E1409" t="s">
        <v>62</v>
      </c>
      <c r="F1409" t="s">
        <v>283</v>
      </c>
      <c r="G1409" t="s">
        <v>3696</v>
      </c>
      <c r="H1409" t="s">
        <v>62</v>
      </c>
      <c r="I1409" t="s">
        <v>2616</v>
      </c>
      <c r="J1409">
        <v>1</v>
      </c>
      <c r="K1409">
        <v>243</v>
      </c>
    </row>
    <row r="1410" spans="1:11" x14ac:dyDescent="0.2">
      <c r="A1410" t="s">
        <v>3637</v>
      </c>
      <c r="B1410">
        <v>190651</v>
      </c>
      <c r="C1410" t="s">
        <v>2214</v>
      </c>
      <c r="D1410" t="s">
        <v>3728</v>
      </c>
      <c r="E1410" t="s">
        <v>62</v>
      </c>
      <c r="F1410" t="s">
        <v>283</v>
      </c>
      <c r="G1410" t="s">
        <v>3643</v>
      </c>
      <c r="H1410" t="s">
        <v>62</v>
      </c>
      <c r="I1410" t="s">
        <v>2616</v>
      </c>
      <c r="J1410">
        <v>1</v>
      </c>
      <c r="K1410">
        <v>764</v>
      </c>
    </row>
    <row r="1411" spans="1:11" x14ac:dyDescent="0.2">
      <c r="A1411" t="s">
        <v>3637</v>
      </c>
      <c r="B1411">
        <v>190006</v>
      </c>
      <c r="C1411" t="s">
        <v>2178</v>
      </c>
      <c r="D1411" t="s">
        <v>3664</v>
      </c>
      <c r="E1411" t="s">
        <v>62</v>
      </c>
      <c r="F1411" t="s">
        <v>283</v>
      </c>
      <c r="G1411" t="s">
        <v>3663</v>
      </c>
      <c r="H1411" t="s">
        <v>62</v>
      </c>
      <c r="I1411" t="s">
        <v>2616</v>
      </c>
      <c r="J1411">
        <v>1</v>
      </c>
      <c r="K1411">
        <v>207</v>
      </c>
    </row>
    <row r="1412" spans="1:11" x14ac:dyDescent="0.2">
      <c r="A1412" t="s">
        <v>3637</v>
      </c>
      <c r="B1412">
        <v>192147</v>
      </c>
      <c r="C1412" t="s">
        <v>965</v>
      </c>
      <c r="D1412" t="s">
        <v>3662</v>
      </c>
      <c r="E1412" t="s">
        <v>62</v>
      </c>
      <c r="F1412" t="s">
        <v>283</v>
      </c>
      <c r="G1412" t="s">
        <v>3661</v>
      </c>
      <c r="H1412" t="s">
        <v>62</v>
      </c>
      <c r="I1412" t="s">
        <v>2666</v>
      </c>
      <c r="J1412">
        <v>1</v>
      </c>
      <c r="K1412">
        <v>10</v>
      </c>
    </row>
    <row r="1413" spans="1:11" x14ac:dyDescent="0.2">
      <c r="A1413" t="s">
        <v>3637</v>
      </c>
      <c r="B1413">
        <v>250044</v>
      </c>
      <c r="C1413" t="s">
        <v>2307</v>
      </c>
      <c r="D1413" t="s">
        <v>3757</v>
      </c>
      <c r="E1413" t="s">
        <v>188</v>
      </c>
      <c r="F1413" t="s">
        <v>188</v>
      </c>
      <c r="G1413" t="s">
        <v>3756</v>
      </c>
      <c r="H1413" t="s">
        <v>188</v>
      </c>
      <c r="I1413" t="s">
        <v>2616</v>
      </c>
      <c r="J1413">
        <v>1</v>
      </c>
      <c r="K1413">
        <v>525</v>
      </c>
    </row>
    <row r="1414" spans="1:11" x14ac:dyDescent="0.2">
      <c r="A1414" t="s">
        <v>3637</v>
      </c>
      <c r="B1414">
        <v>190016</v>
      </c>
      <c r="C1414" t="s">
        <v>886</v>
      </c>
      <c r="D1414" t="s">
        <v>3667</v>
      </c>
      <c r="E1414" t="s">
        <v>62</v>
      </c>
      <c r="F1414" t="s">
        <v>283</v>
      </c>
      <c r="G1414" t="s">
        <v>3654</v>
      </c>
      <c r="H1414" t="s">
        <v>62</v>
      </c>
      <c r="I1414" t="s">
        <v>2666</v>
      </c>
      <c r="J1414">
        <v>1</v>
      </c>
      <c r="K1414">
        <v>87</v>
      </c>
    </row>
    <row r="1415" spans="1:11" x14ac:dyDescent="0.2">
      <c r="A1415" t="s">
        <v>3637</v>
      </c>
      <c r="B1415">
        <v>190005</v>
      </c>
      <c r="C1415" t="s">
        <v>2177</v>
      </c>
      <c r="D1415" t="s">
        <v>3701</v>
      </c>
      <c r="E1415" t="s">
        <v>62</v>
      </c>
      <c r="F1415" t="s">
        <v>283</v>
      </c>
      <c r="G1415" t="s">
        <v>3663</v>
      </c>
      <c r="H1415" t="s">
        <v>62</v>
      </c>
      <c r="I1415" t="s">
        <v>2616</v>
      </c>
      <c r="J1415">
        <v>1</v>
      </c>
      <c r="K1415">
        <v>60</v>
      </c>
    </row>
    <row r="1416" spans="1:11" x14ac:dyDescent="0.2">
      <c r="A1416" t="s">
        <v>3637</v>
      </c>
      <c r="B1416">
        <v>63001</v>
      </c>
      <c r="C1416" t="s">
        <v>1723</v>
      </c>
      <c r="D1416" t="s">
        <v>3645</v>
      </c>
      <c r="E1416" t="s">
        <v>281</v>
      </c>
      <c r="F1416" t="s">
        <v>281</v>
      </c>
      <c r="G1416" t="s">
        <v>2996</v>
      </c>
      <c r="H1416" t="s">
        <v>281</v>
      </c>
      <c r="I1416" t="s">
        <v>2616</v>
      </c>
      <c r="J1416">
        <v>1</v>
      </c>
      <c r="K1416">
        <v>195</v>
      </c>
    </row>
    <row r="1417" spans="1:11" x14ac:dyDescent="0.2">
      <c r="A1417" t="s">
        <v>3637</v>
      </c>
      <c r="B1417">
        <v>190045</v>
      </c>
      <c r="C1417" t="s">
        <v>891</v>
      </c>
      <c r="D1417" t="s">
        <v>3709</v>
      </c>
      <c r="E1417" t="s">
        <v>62</v>
      </c>
      <c r="F1417" t="s">
        <v>283</v>
      </c>
      <c r="G1417" t="s">
        <v>3638</v>
      </c>
      <c r="H1417" t="s">
        <v>62</v>
      </c>
      <c r="I1417" t="s">
        <v>2666</v>
      </c>
      <c r="J1417">
        <v>1</v>
      </c>
      <c r="K1417">
        <v>21</v>
      </c>
    </row>
    <row r="1418" spans="1:11" x14ac:dyDescent="0.2">
      <c r="A1418" t="s">
        <v>3637</v>
      </c>
      <c r="B1418">
        <v>192141</v>
      </c>
      <c r="C1418" t="s">
        <v>964</v>
      </c>
      <c r="D1418" t="s">
        <v>3724</v>
      </c>
      <c r="E1418" t="s">
        <v>62</v>
      </c>
      <c r="F1418" t="s">
        <v>283</v>
      </c>
      <c r="G1418" t="s">
        <v>3602</v>
      </c>
      <c r="H1418" t="s">
        <v>62</v>
      </c>
      <c r="I1418" t="s">
        <v>2666</v>
      </c>
      <c r="J1418">
        <v>1</v>
      </c>
      <c r="K1418">
        <v>67</v>
      </c>
    </row>
    <row r="1419" spans="1:11" x14ac:dyDescent="0.2">
      <c r="A1419" t="s">
        <v>3637</v>
      </c>
      <c r="B1419">
        <v>190035</v>
      </c>
      <c r="C1419" t="s">
        <v>889</v>
      </c>
      <c r="D1419" t="s">
        <v>3722</v>
      </c>
      <c r="E1419" t="s">
        <v>62</v>
      </c>
      <c r="F1419" t="s">
        <v>283</v>
      </c>
      <c r="G1419" t="s">
        <v>3638</v>
      </c>
      <c r="H1419" t="s">
        <v>62</v>
      </c>
      <c r="I1419" t="s">
        <v>2666</v>
      </c>
      <c r="J1419">
        <v>1</v>
      </c>
      <c r="K1419">
        <v>15</v>
      </c>
    </row>
    <row r="1420" spans="1:11" x14ac:dyDescent="0.2">
      <c r="A1420" t="s">
        <v>3637</v>
      </c>
      <c r="B1420">
        <v>190505</v>
      </c>
      <c r="C1420" t="s">
        <v>909</v>
      </c>
      <c r="D1420" t="s">
        <v>3666</v>
      </c>
      <c r="E1420" t="s">
        <v>62</v>
      </c>
      <c r="F1420" t="s">
        <v>283</v>
      </c>
      <c r="G1420" t="s">
        <v>3665</v>
      </c>
      <c r="H1420" t="s">
        <v>62</v>
      </c>
      <c r="I1420" t="s">
        <v>2666</v>
      </c>
      <c r="J1420">
        <v>1</v>
      </c>
      <c r="K1420">
        <v>22</v>
      </c>
    </row>
    <row r="1421" spans="1:11" x14ac:dyDescent="0.2">
      <c r="A1421" t="s">
        <v>3637</v>
      </c>
      <c r="B1421">
        <v>190018</v>
      </c>
      <c r="C1421" t="s">
        <v>2474</v>
      </c>
      <c r="D1421" t="s">
        <v>3675</v>
      </c>
      <c r="E1421" t="s">
        <v>62</v>
      </c>
      <c r="F1421" t="s">
        <v>283</v>
      </c>
      <c r="G1421" t="s">
        <v>3674</v>
      </c>
      <c r="H1421" t="s">
        <v>62</v>
      </c>
      <c r="I1421" t="s">
        <v>2666</v>
      </c>
      <c r="J1421">
        <v>1</v>
      </c>
      <c r="K1421">
        <v>155</v>
      </c>
    </row>
    <row r="1422" spans="1:11" x14ac:dyDescent="0.2">
      <c r="A1422" t="s">
        <v>3637</v>
      </c>
      <c r="B1422">
        <v>190324</v>
      </c>
      <c r="C1422" t="s">
        <v>2205</v>
      </c>
      <c r="D1422" t="s">
        <v>3703</v>
      </c>
      <c r="E1422" t="s">
        <v>62</v>
      </c>
      <c r="F1422" t="s">
        <v>283</v>
      </c>
      <c r="G1422" t="s">
        <v>3669</v>
      </c>
      <c r="H1422" t="s">
        <v>62</v>
      </c>
      <c r="I1422" t="s">
        <v>2616</v>
      </c>
      <c r="J1422">
        <v>1</v>
      </c>
      <c r="K1422">
        <v>20</v>
      </c>
    </row>
    <row r="1423" spans="1:11" x14ac:dyDescent="0.2">
      <c r="A1423" t="s">
        <v>3637</v>
      </c>
      <c r="B1423">
        <v>192008</v>
      </c>
      <c r="C1423" t="s">
        <v>962</v>
      </c>
      <c r="D1423" t="s">
        <v>3759</v>
      </c>
      <c r="E1423" t="s">
        <v>62</v>
      </c>
      <c r="F1423" t="s">
        <v>283</v>
      </c>
      <c r="G1423" t="s">
        <v>3602</v>
      </c>
      <c r="H1423" t="s">
        <v>62</v>
      </c>
      <c r="I1423" t="s">
        <v>2666</v>
      </c>
      <c r="J1423">
        <v>1</v>
      </c>
      <c r="K1423">
        <v>25</v>
      </c>
    </row>
    <row r="1424" spans="1:11" x14ac:dyDescent="0.2">
      <c r="A1424" t="s">
        <v>3637</v>
      </c>
      <c r="B1424">
        <v>190323</v>
      </c>
      <c r="C1424" t="s">
        <v>2204</v>
      </c>
      <c r="D1424" t="s">
        <v>3755</v>
      </c>
      <c r="E1424" t="s">
        <v>62</v>
      </c>
      <c r="F1424" t="s">
        <v>283</v>
      </c>
      <c r="G1424" t="s">
        <v>3669</v>
      </c>
      <c r="H1424" t="s">
        <v>62</v>
      </c>
      <c r="I1424" t="s">
        <v>2616</v>
      </c>
      <c r="J1424">
        <v>1</v>
      </c>
      <c r="K1424">
        <v>51</v>
      </c>
    </row>
    <row r="1425" spans="1:11" x14ac:dyDescent="0.2">
      <c r="A1425" t="s">
        <v>3637</v>
      </c>
      <c r="B1425">
        <v>190671</v>
      </c>
      <c r="C1425" t="s">
        <v>1092</v>
      </c>
      <c r="D1425" t="s">
        <v>3687</v>
      </c>
      <c r="E1425" t="s">
        <v>62</v>
      </c>
      <c r="F1425" t="s">
        <v>283</v>
      </c>
      <c r="G1425" t="s">
        <v>3686</v>
      </c>
      <c r="H1425" t="s">
        <v>62</v>
      </c>
      <c r="I1425" t="s">
        <v>2616</v>
      </c>
      <c r="J1425">
        <v>1</v>
      </c>
      <c r="K1425">
        <v>21</v>
      </c>
    </row>
    <row r="1426" spans="1:11" x14ac:dyDescent="0.2">
      <c r="A1426" t="s">
        <v>3637</v>
      </c>
      <c r="B1426">
        <v>250901</v>
      </c>
      <c r="C1426" t="s">
        <v>1033</v>
      </c>
      <c r="D1426" t="s">
        <v>3653</v>
      </c>
      <c r="E1426" t="s">
        <v>188</v>
      </c>
      <c r="F1426" t="s">
        <v>188</v>
      </c>
      <c r="G1426" t="s">
        <v>3652</v>
      </c>
      <c r="H1426" t="s">
        <v>188</v>
      </c>
      <c r="I1426" t="s">
        <v>2666</v>
      </c>
      <c r="J1426">
        <v>1</v>
      </c>
      <c r="K1426">
        <v>5</v>
      </c>
    </row>
    <row r="1427" spans="1:11" x14ac:dyDescent="0.2">
      <c r="A1427" t="s">
        <v>3637</v>
      </c>
      <c r="B1427">
        <v>190657</v>
      </c>
      <c r="C1427" t="s">
        <v>2218</v>
      </c>
      <c r="D1427" t="s">
        <v>3693</v>
      </c>
      <c r="E1427" t="s">
        <v>62</v>
      </c>
      <c r="F1427" t="s">
        <v>283</v>
      </c>
      <c r="G1427" t="s">
        <v>3679</v>
      </c>
      <c r="H1427" t="s">
        <v>62</v>
      </c>
      <c r="I1427" t="s">
        <v>2616</v>
      </c>
      <c r="J1427">
        <v>1</v>
      </c>
      <c r="K1427">
        <v>105</v>
      </c>
    </row>
    <row r="1428" spans="1:11" x14ac:dyDescent="0.2">
      <c r="A1428" t="s">
        <v>3637</v>
      </c>
      <c r="B1428">
        <v>192158</v>
      </c>
      <c r="C1428" t="s">
        <v>2614</v>
      </c>
      <c r="D1428" t="s">
        <v>3725</v>
      </c>
      <c r="E1428" t="s">
        <v>62</v>
      </c>
      <c r="F1428" t="s">
        <v>283</v>
      </c>
      <c r="G1428" t="s">
        <v>3715</v>
      </c>
      <c r="H1428" t="s">
        <v>62</v>
      </c>
      <c r="I1428" t="s">
        <v>2616</v>
      </c>
      <c r="J1428">
        <v>1</v>
      </c>
      <c r="K1428">
        <v>533</v>
      </c>
    </row>
    <row r="1429" spans="1:11" x14ac:dyDescent="0.2">
      <c r="A1429" t="s">
        <v>3637</v>
      </c>
      <c r="B1429">
        <v>32033</v>
      </c>
      <c r="C1429" t="s">
        <v>1300</v>
      </c>
      <c r="D1429" t="s">
        <v>3677</v>
      </c>
      <c r="E1429" t="s">
        <v>2634</v>
      </c>
      <c r="F1429" t="s">
        <v>281</v>
      </c>
      <c r="G1429" t="s">
        <v>2844</v>
      </c>
      <c r="H1429" t="s">
        <v>2634</v>
      </c>
      <c r="I1429" t="s">
        <v>2666</v>
      </c>
      <c r="J1429">
        <v>1</v>
      </c>
      <c r="K1429">
        <v>20</v>
      </c>
    </row>
    <row r="1430" spans="1:11" x14ac:dyDescent="0.2">
      <c r="A1430" t="s">
        <v>3637</v>
      </c>
      <c r="B1430">
        <v>190012</v>
      </c>
      <c r="C1430" t="s">
        <v>2179</v>
      </c>
      <c r="D1430" t="s">
        <v>3738</v>
      </c>
      <c r="E1430" t="s">
        <v>62</v>
      </c>
      <c r="F1430" t="s">
        <v>283</v>
      </c>
      <c r="G1430" t="s">
        <v>3648</v>
      </c>
      <c r="H1430" t="s">
        <v>62</v>
      </c>
      <c r="I1430" t="s">
        <v>2616</v>
      </c>
      <c r="J1430">
        <v>1</v>
      </c>
      <c r="K1430">
        <v>586</v>
      </c>
    </row>
    <row r="1431" spans="1:11" x14ac:dyDescent="0.2">
      <c r="A1431" t="s">
        <v>3637</v>
      </c>
      <c r="B1431">
        <v>192073</v>
      </c>
      <c r="C1431" t="s">
        <v>2253</v>
      </c>
      <c r="D1431" t="s">
        <v>3676</v>
      </c>
      <c r="E1431" t="s">
        <v>62</v>
      </c>
      <c r="F1431" t="s">
        <v>283</v>
      </c>
      <c r="G1431" t="s">
        <v>3602</v>
      </c>
      <c r="H1431" t="s">
        <v>62</v>
      </c>
      <c r="I1431" t="s">
        <v>2616</v>
      </c>
      <c r="J1431">
        <v>1</v>
      </c>
      <c r="K1431">
        <v>229</v>
      </c>
    </row>
    <row r="1432" spans="1:11" x14ac:dyDescent="0.2">
      <c r="A1432" t="s">
        <v>3637</v>
      </c>
      <c r="B1432">
        <v>250001</v>
      </c>
      <c r="C1432" t="s">
        <v>2287</v>
      </c>
      <c r="D1432" t="s">
        <v>3727</v>
      </c>
      <c r="E1432" t="s">
        <v>188</v>
      </c>
      <c r="F1432" t="s">
        <v>188</v>
      </c>
      <c r="G1432" t="s">
        <v>3652</v>
      </c>
      <c r="H1432" t="s">
        <v>188</v>
      </c>
      <c r="I1432" t="s">
        <v>2616</v>
      </c>
      <c r="J1432">
        <v>1</v>
      </c>
      <c r="K1432">
        <v>261</v>
      </c>
    </row>
    <row r="1433" spans="1:11" x14ac:dyDescent="0.2">
      <c r="A1433" t="s">
        <v>3637</v>
      </c>
      <c r="B1433">
        <v>192160</v>
      </c>
      <c r="C1433" t="s">
        <v>2445</v>
      </c>
      <c r="D1433" t="s">
        <v>3720</v>
      </c>
      <c r="E1433" t="s">
        <v>62</v>
      </c>
      <c r="F1433" t="s">
        <v>283</v>
      </c>
      <c r="G1433" t="s">
        <v>3665</v>
      </c>
      <c r="H1433" t="s">
        <v>62</v>
      </c>
      <c r="I1433" t="s">
        <v>2666</v>
      </c>
      <c r="J1433">
        <v>1</v>
      </c>
      <c r="K1433">
        <v>3</v>
      </c>
    </row>
    <row r="1434" spans="1:11" x14ac:dyDescent="0.2">
      <c r="A1434" t="s">
        <v>3637</v>
      </c>
      <c r="B1434">
        <v>190500</v>
      </c>
      <c r="C1434" t="s">
        <v>2208</v>
      </c>
      <c r="D1434" t="s">
        <v>3672</v>
      </c>
      <c r="E1434" t="s">
        <v>62</v>
      </c>
      <c r="F1434" t="s">
        <v>283</v>
      </c>
      <c r="G1434" t="s">
        <v>3665</v>
      </c>
      <c r="H1434" t="s">
        <v>62</v>
      </c>
      <c r="I1434" t="s">
        <v>2616</v>
      </c>
      <c r="J1434">
        <v>1</v>
      </c>
      <c r="K1434">
        <v>141</v>
      </c>
    </row>
    <row r="1435" spans="1:11" x14ac:dyDescent="0.2">
      <c r="A1435" t="s">
        <v>3637</v>
      </c>
      <c r="B1435">
        <v>190618</v>
      </c>
      <c r="C1435" t="s">
        <v>914</v>
      </c>
      <c r="D1435" t="s">
        <v>3681</v>
      </c>
      <c r="E1435" t="s">
        <v>62</v>
      </c>
      <c r="F1435" t="s">
        <v>283</v>
      </c>
      <c r="G1435" t="s">
        <v>2724</v>
      </c>
      <c r="H1435" t="s">
        <v>62</v>
      </c>
      <c r="I1435" t="s">
        <v>2666</v>
      </c>
      <c r="J1435">
        <v>1</v>
      </c>
      <c r="K1435">
        <v>135</v>
      </c>
    </row>
    <row r="1436" spans="1:11" x14ac:dyDescent="0.2">
      <c r="A1436" t="s">
        <v>3637</v>
      </c>
      <c r="B1436">
        <v>190299</v>
      </c>
      <c r="C1436" t="s">
        <v>903</v>
      </c>
      <c r="D1436" t="s">
        <v>3710</v>
      </c>
      <c r="E1436" t="s">
        <v>62</v>
      </c>
      <c r="F1436" t="s">
        <v>283</v>
      </c>
      <c r="G1436" t="s">
        <v>3704</v>
      </c>
      <c r="H1436" t="s">
        <v>62</v>
      </c>
      <c r="I1436" t="s">
        <v>2666</v>
      </c>
      <c r="J1436">
        <v>1</v>
      </c>
      <c r="K1436">
        <v>15</v>
      </c>
    </row>
    <row r="1437" spans="1:11" x14ac:dyDescent="0.2">
      <c r="A1437" t="s">
        <v>3637</v>
      </c>
      <c r="B1437">
        <v>191824</v>
      </c>
      <c r="C1437" t="s">
        <v>960</v>
      </c>
      <c r="D1437" t="s">
        <v>3707</v>
      </c>
      <c r="E1437" t="s">
        <v>62</v>
      </c>
      <c r="F1437" t="s">
        <v>283</v>
      </c>
      <c r="G1437" t="s">
        <v>3638</v>
      </c>
      <c r="H1437" t="s">
        <v>62</v>
      </c>
      <c r="I1437" t="s">
        <v>2666</v>
      </c>
      <c r="J1437">
        <v>1</v>
      </c>
      <c r="K1437">
        <v>26</v>
      </c>
    </row>
    <row r="1438" spans="1:11" x14ac:dyDescent="0.2">
      <c r="A1438" t="s">
        <v>3637</v>
      </c>
      <c r="B1438">
        <v>190004</v>
      </c>
      <c r="C1438" t="s">
        <v>885</v>
      </c>
      <c r="D1438" t="s">
        <v>3737</v>
      </c>
      <c r="E1438" t="s">
        <v>62</v>
      </c>
      <c r="F1438" t="s">
        <v>283</v>
      </c>
      <c r="G1438" t="s">
        <v>3663</v>
      </c>
      <c r="H1438" t="s">
        <v>62</v>
      </c>
      <c r="I1438" t="s">
        <v>2666</v>
      </c>
      <c r="J1438">
        <v>1</v>
      </c>
      <c r="K1438">
        <v>4</v>
      </c>
    </row>
    <row r="1439" spans="1:11" x14ac:dyDescent="0.2">
      <c r="A1439" t="s">
        <v>3637</v>
      </c>
      <c r="B1439">
        <v>192157</v>
      </c>
      <c r="C1439" t="s">
        <v>3717</v>
      </c>
      <c r="D1439" t="s">
        <v>3716</v>
      </c>
      <c r="E1439" t="s">
        <v>62</v>
      </c>
      <c r="F1439" t="s">
        <v>283</v>
      </c>
      <c r="G1439" t="s">
        <v>3715</v>
      </c>
      <c r="H1439" t="s">
        <v>62</v>
      </c>
      <c r="I1439" t="s">
        <v>2666</v>
      </c>
      <c r="J1439">
        <v>1</v>
      </c>
      <c r="K1439">
        <v>140</v>
      </c>
    </row>
    <row r="1440" spans="1:11" x14ac:dyDescent="0.2">
      <c r="A1440" t="s">
        <v>3637</v>
      </c>
      <c r="B1440">
        <v>191835</v>
      </c>
      <c r="C1440" t="s">
        <v>2251</v>
      </c>
      <c r="D1440" t="s">
        <v>3749</v>
      </c>
      <c r="E1440" t="s">
        <v>62</v>
      </c>
      <c r="F1440" t="s">
        <v>283</v>
      </c>
      <c r="G1440" t="s">
        <v>3748</v>
      </c>
      <c r="H1440" t="s">
        <v>62</v>
      </c>
      <c r="I1440" t="s">
        <v>2616</v>
      </c>
      <c r="J1440">
        <v>1</v>
      </c>
      <c r="K1440">
        <v>1484</v>
      </c>
    </row>
    <row r="1441" spans="1:11" x14ac:dyDescent="0.2">
      <c r="A1441" t="s">
        <v>3637</v>
      </c>
      <c r="B1441">
        <v>190030</v>
      </c>
      <c r="C1441" t="s">
        <v>2184</v>
      </c>
      <c r="D1441" t="s">
        <v>3740</v>
      </c>
      <c r="E1441" t="s">
        <v>62</v>
      </c>
      <c r="F1441" t="s">
        <v>283</v>
      </c>
      <c r="G1441" t="s">
        <v>3659</v>
      </c>
      <c r="H1441" t="s">
        <v>62</v>
      </c>
      <c r="I1441" t="s">
        <v>2616</v>
      </c>
      <c r="J1441">
        <v>1</v>
      </c>
      <c r="K1441">
        <v>437</v>
      </c>
    </row>
    <row r="1442" spans="1:11" x14ac:dyDescent="0.2">
      <c r="A1442" t="s">
        <v>3637</v>
      </c>
      <c r="B1442">
        <v>190027</v>
      </c>
      <c r="C1442" t="s">
        <v>2183</v>
      </c>
      <c r="D1442" t="s">
        <v>3668</v>
      </c>
      <c r="E1442" t="s">
        <v>62</v>
      </c>
      <c r="F1442" t="s">
        <v>283</v>
      </c>
      <c r="G1442" t="s">
        <v>3648</v>
      </c>
      <c r="H1442" t="s">
        <v>62</v>
      </c>
      <c r="I1442" t="s">
        <v>2616</v>
      </c>
      <c r="J1442">
        <v>1</v>
      </c>
      <c r="K1442">
        <v>1305</v>
      </c>
    </row>
    <row r="1443" spans="1:11" x14ac:dyDescent="0.2">
      <c r="A1443" t="s">
        <v>3637</v>
      </c>
      <c r="B1443">
        <v>190431</v>
      </c>
      <c r="C1443" t="s">
        <v>907</v>
      </c>
      <c r="D1443" t="s">
        <v>3649</v>
      </c>
      <c r="E1443" t="s">
        <v>62</v>
      </c>
      <c r="F1443" t="s">
        <v>283</v>
      </c>
      <c r="G1443" t="s">
        <v>3648</v>
      </c>
      <c r="H1443" t="s">
        <v>62</v>
      </c>
      <c r="I1443" t="s">
        <v>2666</v>
      </c>
      <c r="J1443">
        <v>1</v>
      </c>
      <c r="K1443">
        <v>30</v>
      </c>
    </row>
    <row r="1444" spans="1:11" x14ac:dyDescent="0.2">
      <c r="A1444" t="s">
        <v>3637</v>
      </c>
      <c r="B1444">
        <v>190224</v>
      </c>
      <c r="C1444" t="s">
        <v>2197</v>
      </c>
      <c r="D1444" t="s">
        <v>3673</v>
      </c>
      <c r="E1444" t="s">
        <v>62</v>
      </c>
      <c r="F1444" t="s">
        <v>283</v>
      </c>
      <c r="G1444" t="s">
        <v>3654</v>
      </c>
      <c r="H1444" t="s">
        <v>62</v>
      </c>
      <c r="I1444" t="s">
        <v>2616</v>
      </c>
      <c r="J1444">
        <v>1</v>
      </c>
      <c r="K1444">
        <v>1005</v>
      </c>
    </row>
    <row r="1445" spans="1:11" x14ac:dyDescent="0.2">
      <c r="A1445" t="s">
        <v>3637</v>
      </c>
      <c r="B1445">
        <v>191848</v>
      </c>
      <c r="C1445" t="s">
        <v>1282</v>
      </c>
      <c r="D1445" t="s">
        <v>3640</v>
      </c>
      <c r="E1445" t="s">
        <v>62</v>
      </c>
      <c r="F1445" t="s">
        <v>283</v>
      </c>
      <c r="G1445" t="s">
        <v>3638</v>
      </c>
      <c r="H1445" t="s">
        <v>62</v>
      </c>
      <c r="I1445" t="s">
        <v>2666</v>
      </c>
      <c r="J1445">
        <v>1</v>
      </c>
      <c r="K1445">
        <v>12</v>
      </c>
    </row>
    <row r="1446" spans="1:11" x14ac:dyDescent="0.2">
      <c r="A1446" t="s">
        <v>3637</v>
      </c>
      <c r="B1446">
        <v>190107</v>
      </c>
      <c r="C1446" t="s">
        <v>2191</v>
      </c>
      <c r="D1446" t="s">
        <v>3651</v>
      </c>
      <c r="E1446" t="s">
        <v>62</v>
      </c>
      <c r="F1446" t="s">
        <v>283</v>
      </c>
      <c r="G1446" t="s">
        <v>3650</v>
      </c>
      <c r="H1446" t="s">
        <v>62</v>
      </c>
      <c r="I1446" t="s">
        <v>2616</v>
      </c>
      <c r="J1446">
        <v>1</v>
      </c>
      <c r="K1446">
        <v>126</v>
      </c>
    </row>
    <row r="1447" spans="1:11" x14ac:dyDescent="0.2">
      <c r="A1447" t="s">
        <v>3637</v>
      </c>
      <c r="B1447">
        <v>190055</v>
      </c>
      <c r="C1447" t="s">
        <v>2187</v>
      </c>
      <c r="D1447" t="s">
        <v>3734</v>
      </c>
      <c r="E1447" t="s">
        <v>62</v>
      </c>
      <c r="F1447" t="s">
        <v>283</v>
      </c>
      <c r="G1447" t="s">
        <v>3733</v>
      </c>
      <c r="H1447" t="s">
        <v>62</v>
      </c>
      <c r="I1447" t="s">
        <v>2616</v>
      </c>
      <c r="J1447">
        <v>1</v>
      </c>
      <c r="K1447">
        <v>269</v>
      </c>
    </row>
    <row r="1448" spans="1:11" x14ac:dyDescent="0.2">
      <c r="A1448" t="s">
        <v>3637</v>
      </c>
      <c r="B1448">
        <v>190111</v>
      </c>
      <c r="C1448" t="s">
        <v>2192</v>
      </c>
      <c r="D1448" t="s">
        <v>3682</v>
      </c>
      <c r="E1448" t="s">
        <v>62</v>
      </c>
      <c r="F1448" t="s">
        <v>283</v>
      </c>
      <c r="G1448" t="s">
        <v>3669</v>
      </c>
      <c r="H1448" t="s">
        <v>62</v>
      </c>
      <c r="I1448" t="s">
        <v>2616</v>
      </c>
      <c r="J1448">
        <v>1</v>
      </c>
      <c r="K1448">
        <v>1141</v>
      </c>
    </row>
    <row r="1449" spans="1:11" x14ac:dyDescent="0.2">
      <c r="A1449" t="s">
        <v>3637</v>
      </c>
      <c r="B1449">
        <v>191838</v>
      </c>
      <c r="C1449" t="s">
        <v>2252</v>
      </c>
      <c r="D1449" t="s">
        <v>3647</v>
      </c>
      <c r="E1449" t="s">
        <v>62</v>
      </c>
      <c r="F1449" t="s">
        <v>283</v>
      </c>
      <c r="G1449" t="s">
        <v>3646</v>
      </c>
      <c r="H1449" t="s">
        <v>62</v>
      </c>
      <c r="I1449" t="s">
        <v>2616</v>
      </c>
      <c r="J1449">
        <v>1</v>
      </c>
      <c r="K1449">
        <v>303</v>
      </c>
    </row>
    <row r="1450" spans="1:11" x14ac:dyDescent="0.2">
      <c r="A1450" t="s">
        <v>3637</v>
      </c>
      <c r="B1450">
        <v>190798</v>
      </c>
      <c r="C1450" t="s">
        <v>2223</v>
      </c>
      <c r="D1450" t="s">
        <v>3702</v>
      </c>
      <c r="E1450" t="s">
        <v>62</v>
      </c>
      <c r="F1450" t="s">
        <v>283</v>
      </c>
      <c r="G1450" t="s">
        <v>3602</v>
      </c>
      <c r="H1450" t="s">
        <v>62</v>
      </c>
      <c r="I1450" t="s">
        <v>2616</v>
      </c>
      <c r="J1450">
        <v>1</v>
      </c>
      <c r="K1450">
        <v>39</v>
      </c>
    </row>
    <row r="1451" spans="1:11" x14ac:dyDescent="0.2">
      <c r="A1451" t="s">
        <v>3637</v>
      </c>
      <c r="B1451">
        <v>190655</v>
      </c>
      <c r="C1451" t="s">
        <v>2216</v>
      </c>
      <c r="D1451" t="s">
        <v>3730</v>
      </c>
      <c r="E1451" t="s">
        <v>62</v>
      </c>
      <c r="F1451" t="s">
        <v>283</v>
      </c>
      <c r="G1451" t="s">
        <v>3679</v>
      </c>
      <c r="H1451" t="s">
        <v>62</v>
      </c>
      <c r="I1451" t="s">
        <v>2616</v>
      </c>
      <c r="J1451">
        <v>1</v>
      </c>
      <c r="K1451">
        <v>793</v>
      </c>
    </row>
    <row r="1452" spans="1:11" x14ac:dyDescent="0.2">
      <c r="A1452" t="s">
        <v>3637</v>
      </c>
      <c r="B1452">
        <v>150250</v>
      </c>
      <c r="C1452" t="s">
        <v>1327</v>
      </c>
      <c r="D1452" t="s">
        <v>3743</v>
      </c>
      <c r="E1452" t="s">
        <v>189</v>
      </c>
      <c r="F1452" t="s">
        <v>189</v>
      </c>
      <c r="G1452" t="s">
        <v>3742</v>
      </c>
      <c r="H1452" t="s">
        <v>189</v>
      </c>
      <c r="I1452" t="s">
        <v>2666</v>
      </c>
      <c r="J1452">
        <v>1</v>
      </c>
      <c r="K1452">
        <v>29</v>
      </c>
    </row>
    <row r="1453" spans="1:11" x14ac:dyDescent="0.2">
      <c r="A1453" t="s">
        <v>3637</v>
      </c>
      <c r="B1453">
        <v>190670</v>
      </c>
      <c r="C1453" t="s">
        <v>2219</v>
      </c>
      <c r="D1453" t="s">
        <v>3754</v>
      </c>
      <c r="E1453" t="s">
        <v>62</v>
      </c>
      <c r="F1453" t="s">
        <v>283</v>
      </c>
      <c r="G1453" t="s">
        <v>3753</v>
      </c>
      <c r="H1453" t="s">
        <v>62</v>
      </c>
      <c r="I1453" t="s">
        <v>2616</v>
      </c>
      <c r="J1453">
        <v>1</v>
      </c>
      <c r="K1453">
        <v>351</v>
      </c>
    </row>
    <row r="1454" spans="1:11" x14ac:dyDescent="0.2">
      <c r="A1454" t="s">
        <v>3637</v>
      </c>
      <c r="B1454">
        <v>190328</v>
      </c>
      <c r="C1454" t="s">
        <v>905</v>
      </c>
      <c r="D1454" t="s">
        <v>3671</v>
      </c>
      <c r="E1454" t="s">
        <v>62</v>
      </c>
      <c r="F1454" t="s">
        <v>283</v>
      </c>
      <c r="G1454" t="s">
        <v>3669</v>
      </c>
      <c r="H1454" t="s">
        <v>62</v>
      </c>
      <c r="I1454" t="s">
        <v>2666</v>
      </c>
      <c r="J1454">
        <v>1</v>
      </c>
      <c r="K1454">
        <v>12</v>
      </c>
    </row>
    <row r="1455" spans="1:11" x14ac:dyDescent="0.2">
      <c r="A1455" t="s">
        <v>3637</v>
      </c>
      <c r="B1455">
        <v>190796</v>
      </c>
      <c r="C1455" t="s">
        <v>2593</v>
      </c>
      <c r="D1455" t="s">
        <v>3713</v>
      </c>
      <c r="E1455" t="s">
        <v>62</v>
      </c>
      <c r="F1455" t="s">
        <v>283</v>
      </c>
      <c r="G1455" t="s">
        <v>3602</v>
      </c>
      <c r="H1455" t="s">
        <v>62</v>
      </c>
      <c r="I1455" t="s">
        <v>2666</v>
      </c>
      <c r="J1455">
        <v>1</v>
      </c>
      <c r="K1455">
        <v>50</v>
      </c>
    </row>
    <row r="1456" spans="1:11" x14ac:dyDescent="0.2">
      <c r="A1456" t="s">
        <v>3637</v>
      </c>
      <c r="B1456">
        <v>190015</v>
      </c>
      <c r="C1456" t="s">
        <v>2180</v>
      </c>
      <c r="D1456" t="s">
        <v>3685</v>
      </c>
      <c r="E1456" t="s">
        <v>62</v>
      </c>
      <c r="F1456" t="s">
        <v>283</v>
      </c>
      <c r="G1456" t="s">
        <v>3656</v>
      </c>
      <c r="H1456" t="s">
        <v>62</v>
      </c>
      <c r="I1456" t="s">
        <v>2616</v>
      </c>
      <c r="J1456">
        <v>1</v>
      </c>
      <c r="K1456">
        <v>338</v>
      </c>
    </row>
    <row r="1457" spans="1:11" x14ac:dyDescent="0.2">
      <c r="A1457" t="s">
        <v>3637</v>
      </c>
      <c r="B1457">
        <v>190222</v>
      </c>
      <c r="C1457" t="s">
        <v>2196</v>
      </c>
      <c r="D1457" t="s">
        <v>3721</v>
      </c>
      <c r="E1457" t="s">
        <v>62</v>
      </c>
      <c r="F1457" t="s">
        <v>283</v>
      </c>
      <c r="G1457" t="s">
        <v>3648</v>
      </c>
      <c r="H1457" t="s">
        <v>62</v>
      </c>
      <c r="I1457" t="s">
        <v>2616</v>
      </c>
      <c r="J1457">
        <v>1</v>
      </c>
      <c r="K1457">
        <v>90</v>
      </c>
    </row>
    <row r="1458" spans="1:11" x14ac:dyDescent="0.2">
      <c r="A1458" t="s">
        <v>3637</v>
      </c>
      <c r="B1458">
        <v>190313</v>
      </c>
      <c r="C1458" t="s">
        <v>2203</v>
      </c>
      <c r="D1458" t="s">
        <v>3714</v>
      </c>
      <c r="E1458" t="s">
        <v>62</v>
      </c>
      <c r="F1458" t="s">
        <v>283</v>
      </c>
      <c r="G1458" t="s">
        <v>3648</v>
      </c>
      <c r="H1458" t="s">
        <v>62</v>
      </c>
      <c r="I1458" t="s">
        <v>2616</v>
      </c>
      <c r="J1458">
        <v>1</v>
      </c>
      <c r="K1458">
        <v>33</v>
      </c>
    </row>
    <row r="1459" spans="1:11" x14ac:dyDescent="0.2">
      <c r="A1459" t="s">
        <v>3637</v>
      </c>
      <c r="B1459">
        <v>190036</v>
      </c>
      <c r="C1459" t="s">
        <v>2185</v>
      </c>
      <c r="D1459" t="s">
        <v>3758</v>
      </c>
      <c r="E1459" t="s">
        <v>62</v>
      </c>
      <c r="F1459" t="s">
        <v>283</v>
      </c>
      <c r="G1459" t="s">
        <v>3638</v>
      </c>
      <c r="H1459" t="s">
        <v>62</v>
      </c>
      <c r="I1459" t="s">
        <v>2616</v>
      </c>
      <c r="J1459">
        <v>1</v>
      </c>
      <c r="K1459">
        <v>181</v>
      </c>
    </row>
    <row r="1460" spans="1:11" x14ac:dyDescent="0.2">
      <c r="A1460" t="s">
        <v>3637</v>
      </c>
      <c r="B1460">
        <v>190032</v>
      </c>
      <c r="C1460" t="s">
        <v>888</v>
      </c>
      <c r="D1460" t="s">
        <v>3718</v>
      </c>
      <c r="E1460" t="s">
        <v>62</v>
      </c>
      <c r="F1460" t="s">
        <v>283</v>
      </c>
      <c r="G1460" t="s">
        <v>3659</v>
      </c>
      <c r="H1460" t="s">
        <v>62</v>
      </c>
      <c r="I1460" t="s">
        <v>2666</v>
      </c>
      <c r="J1460">
        <v>1</v>
      </c>
      <c r="K1460">
        <v>6</v>
      </c>
    </row>
    <row r="1461" spans="1:11" x14ac:dyDescent="0.2">
      <c r="A1461" t="s">
        <v>3637</v>
      </c>
      <c r="B1461">
        <v>190112</v>
      </c>
      <c r="C1461" t="s">
        <v>896</v>
      </c>
      <c r="D1461" t="s">
        <v>3670</v>
      </c>
      <c r="E1461" t="s">
        <v>62</v>
      </c>
      <c r="F1461" t="s">
        <v>283</v>
      </c>
      <c r="G1461" t="s">
        <v>3669</v>
      </c>
      <c r="H1461" t="s">
        <v>62</v>
      </c>
      <c r="I1461" t="s">
        <v>2666</v>
      </c>
      <c r="J1461">
        <v>1</v>
      </c>
      <c r="K1461">
        <v>68</v>
      </c>
    </row>
    <row r="1462" spans="1:11" x14ac:dyDescent="0.2">
      <c r="A1462" t="s">
        <v>3637</v>
      </c>
      <c r="B1462">
        <v>190616</v>
      </c>
      <c r="C1462" t="s">
        <v>2212</v>
      </c>
      <c r="D1462" t="s">
        <v>3750</v>
      </c>
      <c r="E1462" t="s">
        <v>62</v>
      </c>
      <c r="F1462" t="s">
        <v>283</v>
      </c>
      <c r="G1462" t="s">
        <v>2724</v>
      </c>
      <c r="H1462" t="s">
        <v>62</v>
      </c>
      <c r="I1462" t="s">
        <v>2616</v>
      </c>
      <c r="J1462">
        <v>1</v>
      </c>
      <c r="K1462">
        <v>521</v>
      </c>
    </row>
    <row r="1463" spans="1:11" x14ac:dyDescent="0.2">
      <c r="A1463" t="s">
        <v>3637</v>
      </c>
      <c r="B1463">
        <v>190042</v>
      </c>
      <c r="C1463" t="s">
        <v>890</v>
      </c>
      <c r="D1463" t="s">
        <v>3695</v>
      </c>
      <c r="E1463" t="s">
        <v>62</v>
      </c>
      <c r="F1463" t="s">
        <v>283</v>
      </c>
      <c r="G1463" t="s">
        <v>3638</v>
      </c>
      <c r="H1463" t="s">
        <v>62</v>
      </c>
      <c r="I1463" t="s">
        <v>2666</v>
      </c>
      <c r="J1463">
        <v>1</v>
      </c>
      <c r="K1463">
        <v>24</v>
      </c>
    </row>
    <row r="1464" spans="1:11" x14ac:dyDescent="0.2">
      <c r="A1464" t="s">
        <v>3637</v>
      </c>
      <c r="B1464">
        <v>190711</v>
      </c>
      <c r="C1464" t="s">
        <v>2221</v>
      </c>
      <c r="D1464" t="s">
        <v>3641</v>
      </c>
      <c r="E1464" t="s">
        <v>62</v>
      </c>
      <c r="F1464" t="s">
        <v>283</v>
      </c>
      <c r="G1464" t="s">
        <v>2701</v>
      </c>
      <c r="H1464" t="s">
        <v>62</v>
      </c>
      <c r="I1464" t="s">
        <v>2616</v>
      </c>
      <c r="J1464">
        <v>1</v>
      </c>
      <c r="K1464">
        <v>2656</v>
      </c>
    </row>
    <row r="1465" spans="1:11" x14ac:dyDescent="0.2">
      <c r="A1465" t="s">
        <v>3637</v>
      </c>
      <c r="B1465">
        <v>190070</v>
      </c>
      <c r="C1465" t="s">
        <v>2189</v>
      </c>
      <c r="D1465" t="s">
        <v>3657</v>
      </c>
      <c r="E1465" t="s">
        <v>62</v>
      </c>
      <c r="F1465" t="s">
        <v>283</v>
      </c>
      <c r="G1465" t="s">
        <v>3656</v>
      </c>
      <c r="H1465" t="s">
        <v>62</v>
      </c>
      <c r="I1465" t="s">
        <v>2616</v>
      </c>
      <c r="J1465">
        <v>1</v>
      </c>
      <c r="K1465">
        <v>297</v>
      </c>
    </row>
    <row r="1466" spans="1:11" x14ac:dyDescent="0.2">
      <c r="A1466" t="s">
        <v>3637</v>
      </c>
      <c r="B1466">
        <v>190021</v>
      </c>
      <c r="C1466" t="s">
        <v>887</v>
      </c>
      <c r="D1466" t="s">
        <v>3723</v>
      </c>
      <c r="E1466" t="s">
        <v>62</v>
      </c>
      <c r="F1466" t="s">
        <v>283</v>
      </c>
      <c r="G1466" t="s">
        <v>3715</v>
      </c>
      <c r="H1466" t="s">
        <v>62</v>
      </c>
      <c r="I1466" t="s">
        <v>2666</v>
      </c>
      <c r="J1466">
        <v>1</v>
      </c>
      <c r="K1466">
        <v>12</v>
      </c>
    </row>
    <row r="1467" spans="1:11" x14ac:dyDescent="0.2">
      <c r="A1467" t="s">
        <v>3637</v>
      </c>
      <c r="B1467">
        <v>191827</v>
      </c>
      <c r="C1467" t="s">
        <v>2250</v>
      </c>
      <c r="D1467" t="s">
        <v>3739</v>
      </c>
      <c r="E1467" t="s">
        <v>62</v>
      </c>
      <c r="F1467" t="s">
        <v>283</v>
      </c>
      <c r="G1467" t="s">
        <v>3674</v>
      </c>
      <c r="H1467" t="s">
        <v>62</v>
      </c>
      <c r="I1467" t="s">
        <v>2616</v>
      </c>
      <c r="J1467">
        <v>1</v>
      </c>
      <c r="K1467">
        <v>841</v>
      </c>
    </row>
    <row r="1468" spans="1:11" x14ac:dyDescent="0.2">
      <c r="A1468" t="s">
        <v>3637</v>
      </c>
      <c r="B1468">
        <v>190721</v>
      </c>
      <c r="C1468" t="s">
        <v>2592</v>
      </c>
      <c r="D1468" t="s">
        <v>3741</v>
      </c>
      <c r="E1468" t="s">
        <v>62</v>
      </c>
      <c r="F1468" t="s">
        <v>283</v>
      </c>
      <c r="G1468" t="s">
        <v>3602</v>
      </c>
      <c r="H1468" t="s">
        <v>62</v>
      </c>
      <c r="I1468" t="s">
        <v>2666</v>
      </c>
      <c r="J1468">
        <v>1</v>
      </c>
      <c r="K1468">
        <v>22</v>
      </c>
    </row>
    <row r="1469" spans="1:11" x14ac:dyDescent="0.2">
      <c r="A1469" t="s">
        <v>3637</v>
      </c>
      <c r="B1469">
        <v>60003</v>
      </c>
      <c r="C1469" t="s">
        <v>1717</v>
      </c>
      <c r="D1469" t="s">
        <v>3698</v>
      </c>
      <c r="E1469" t="s">
        <v>281</v>
      </c>
      <c r="F1469" t="s">
        <v>281</v>
      </c>
      <c r="G1469" t="s">
        <v>2641</v>
      </c>
      <c r="H1469" t="s">
        <v>281</v>
      </c>
      <c r="I1469" t="s">
        <v>2616</v>
      </c>
      <c r="J1469">
        <v>1</v>
      </c>
      <c r="K1469">
        <v>705</v>
      </c>
    </row>
    <row r="1470" spans="1:11" x14ac:dyDescent="0.2">
      <c r="A1470" t="s">
        <v>3637</v>
      </c>
      <c r="B1470">
        <v>190351</v>
      </c>
      <c r="C1470" t="s">
        <v>2207</v>
      </c>
      <c r="D1470" t="s">
        <v>3688</v>
      </c>
      <c r="E1470" t="s">
        <v>62</v>
      </c>
      <c r="F1470" t="s">
        <v>283</v>
      </c>
      <c r="G1470" t="s">
        <v>3638</v>
      </c>
      <c r="H1470" t="s">
        <v>62</v>
      </c>
      <c r="I1470" t="s">
        <v>2616</v>
      </c>
      <c r="J1470">
        <v>1</v>
      </c>
      <c r="K1470">
        <v>21</v>
      </c>
    </row>
    <row r="1471" spans="1:11" x14ac:dyDescent="0.2">
      <c r="A1471" t="s">
        <v>3637</v>
      </c>
      <c r="B1471">
        <v>190072</v>
      </c>
      <c r="C1471" t="s">
        <v>893</v>
      </c>
      <c r="D1471" t="s">
        <v>3692</v>
      </c>
      <c r="E1471" t="s">
        <v>62</v>
      </c>
      <c r="F1471" t="s">
        <v>283</v>
      </c>
      <c r="G1471" t="s">
        <v>3638</v>
      </c>
      <c r="H1471" t="s">
        <v>62</v>
      </c>
      <c r="I1471" t="s">
        <v>2666</v>
      </c>
      <c r="J1471">
        <v>1</v>
      </c>
      <c r="K1471">
        <v>2</v>
      </c>
    </row>
    <row r="1472" spans="1:11" x14ac:dyDescent="0.2">
      <c r="A1472" t="s">
        <v>3637</v>
      </c>
      <c r="B1472">
        <v>150104</v>
      </c>
      <c r="C1472" t="s">
        <v>772</v>
      </c>
      <c r="D1472" t="s">
        <v>3735</v>
      </c>
      <c r="E1472" t="s">
        <v>189</v>
      </c>
      <c r="F1472" t="s">
        <v>189</v>
      </c>
      <c r="G1472" t="s">
        <v>3482</v>
      </c>
      <c r="H1472" t="s">
        <v>189</v>
      </c>
      <c r="I1472" t="s">
        <v>2666</v>
      </c>
      <c r="J1472">
        <v>1</v>
      </c>
      <c r="K1472">
        <v>11</v>
      </c>
    </row>
    <row r="1473" spans="1:11" x14ac:dyDescent="0.2">
      <c r="A1473" t="s">
        <v>3637</v>
      </c>
      <c r="B1473">
        <v>150228</v>
      </c>
      <c r="C1473" t="s">
        <v>789</v>
      </c>
      <c r="D1473" t="s">
        <v>3745</v>
      </c>
      <c r="E1473" t="s">
        <v>189</v>
      </c>
      <c r="F1473" t="s">
        <v>189</v>
      </c>
      <c r="G1473" t="s">
        <v>3482</v>
      </c>
      <c r="H1473" t="s">
        <v>189</v>
      </c>
      <c r="I1473" t="s">
        <v>2666</v>
      </c>
      <c r="J1473">
        <v>1</v>
      </c>
      <c r="K1473">
        <v>17</v>
      </c>
    </row>
    <row r="1474" spans="1:11" x14ac:dyDescent="0.2">
      <c r="A1474" t="s">
        <v>3637</v>
      </c>
      <c r="B1474">
        <v>61001</v>
      </c>
      <c r="C1474" t="s">
        <v>1719</v>
      </c>
      <c r="D1474" t="s">
        <v>3658</v>
      </c>
      <c r="E1474" t="s">
        <v>281</v>
      </c>
      <c r="F1474" t="s">
        <v>281</v>
      </c>
      <c r="G1474" t="s">
        <v>3008</v>
      </c>
      <c r="H1474" t="s">
        <v>281</v>
      </c>
      <c r="I1474" t="s">
        <v>2616</v>
      </c>
      <c r="J1474">
        <v>1</v>
      </c>
      <c r="K1474">
        <v>192</v>
      </c>
    </row>
    <row r="1475" spans="1:11" x14ac:dyDescent="0.2">
      <c r="A1475" t="s">
        <v>3637</v>
      </c>
      <c r="B1475">
        <v>190330</v>
      </c>
      <c r="C1475" t="s">
        <v>906</v>
      </c>
      <c r="D1475" t="s">
        <v>3639</v>
      </c>
      <c r="E1475" t="s">
        <v>62</v>
      </c>
      <c r="F1475" t="s">
        <v>283</v>
      </c>
      <c r="G1475" t="s">
        <v>3638</v>
      </c>
      <c r="H1475" t="s">
        <v>62</v>
      </c>
      <c r="I1475" t="s">
        <v>2666</v>
      </c>
      <c r="J1475">
        <v>1</v>
      </c>
      <c r="K1475">
        <v>145</v>
      </c>
    </row>
    <row r="1476" spans="1:11" x14ac:dyDescent="0.2">
      <c r="A1476" t="s">
        <v>3637</v>
      </c>
      <c r="B1476">
        <v>190230</v>
      </c>
      <c r="C1476" t="s">
        <v>902</v>
      </c>
      <c r="D1476" t="s">
        <v>3684</v>
      </c>
      <c r="E1476" t="s">
        <v>62</v>
      </c>
      <c r="F1476" t="s">
        <v>283</v>
      </c>
      <c r="G1476" t="s">
        <v>3654</v>
      </c>
      <c r="H1476" t="s">
        <v>62</v>
      </c>
      <c r="I1476" t="s">
        <v>2666</v>
      </c>
      <c r="J1476">
        <v>1</v>
      </c>
      <c r="K1476">
        <v>9</v>
      </c>
    </row>
    <row r="1477" spans="1:11" x14ac:dyDescent="0.2">
      <c r="A1477" t="s">
        <v>3600</v>
      </c>
      <c r="B1477">
        <v>191713</v>
      </c>
      <c r="C1477" t="s">
        <v>2245</v>
      </c>
      <c r="D1477" t="s">
        <v>3629</v>
      </c>
      <c r="E1477" t="s">
        <v>184</v>
      </c>
      <c r="F1477" t="s">
        <v>184</v>
      </c>
      <c r="G1477" t="s">
        <v>3626</v>
      </c>
      <c r="H1477" t="s">
        <v>184</v>
      </c>
      <c r="I1477" t="s">
        <v>2616</v>
      </c>
      <c r="J1477">
        <v>1</v>
      </c>
      <c r="K1477">
        <v>3103</v>
      </c>
    </row>
    <row r="1478" spans="1:11" x14ac:dyDescent="0.2">
      <c r="A1478" t="s">
        <v>3600</v>
      </c>
      <c r="B1478">
        <v>191210</v>
      </c>
      <c r="C1478" t="s">
        <v>2233</v>
      </c>
      <c r="D1478" t="s">
        <v>3631</v>
      </c>
      <c r="E1478" t="s">
        <v>183</v>
      </c>
      <c r="F1478" t="s">
        <v>283</v>
      </c>
      <c r="G1478" t="s">
        <v>2711</v>
      </c>
      <c r="H1478" t="s">
        <v>183</v>
      </c>
      <c r="I1478" t="s">
        <v>2616</v>
      </c>
      <c r="J1478">
        <v>1</v>
      </c>
      <c r="K1478">
        <v>16645</v>
      </c>
    </row>
    <row r="1479" spans="1:11" x14ac:dyDescent="0.2">
      <c r="A1479" t="s">
        <v>3600</v>
      </c>
      <c r="B1479">
        <v>191710</v>
      </c>
      <c r="C1479" t="s">
        <v>2244</v>
      </c>
      <c r="D1479" t="s">
        <v>3627</v>
      </c>
      <c r="E1479" t="s">
        <v>184</v>
      </c>
      <c r="F1479" t="s">
        <v>184</v>
      </c>
      <c r="G1479" t="s">
        <v>3626</v>
      </c>
      <c r="H1479" t="s">
        <v>184</v>
      </c>
      <c r="I1479" t="s">
        <v>2616</v>
      </c>
      <c r="J1479">
        <v>1</v>
      </c>
      <c r="K1479">
        <v>18413</v>
      </c>
    </row>
    <row r="1480" spans="1:11" x14ac:dyDescent="0.2">
      <c r="A1480" t="s">
        <v>3600</v>
      </c>
      <c r="B1480">
        <v>190208</v>
      </c>
      <c r="C1480" t="s">
        <v>2194</v>
      </c>
      <c r="D1480" t="s">
        <v>3608</v>
      </c>
      <c r="E1480" t="s">
        <v>183</v>
      </c>
      <c r="F1480" t="s">
        <v>283</v>
      </c>
      <c r="G1480" t="s">
        <v>2837</v>
      </c>
      <c r="H1480" t="s">
        <v>183</v>
      </c>
      <c r="I1480" t="s">
        <v>2616</v>
      </c>
      <c r="J1480">
        <v>1</v>
      </c>
      <c r="K1480">
        <v>4761</v>
      </c>
    </row>
    <row r="1481" spans="1:11" x14ac:dyDescent="0.2">
      <c r="A1481" t="s">
        <v>3600</v>
      </c>
      <c r="B1481">
        <v>190705</v>
      </c>
      <c r="C1481" t="s">
        <v>2220</v>
      </c>
      <c r="D1481" t="s">
        <v>3611</v>
      </c>
      <c r="E1481" t="s">
        <v>183</v>
      </c>
      <c r="F1481" t="s">
        <v>283</v>
      </c>
      <c r="G1481" t="s">
        <v>2701</v>
      </c>
      <c r="H1481" t="s">
        <v>183</v>
      </c>
      <c r="I1481" t="s">
        <v>2616</v>
      </c>
      <c r="J1481">
        <v>1</v>
      </c>
      <c r="K1481">
        <v>7904</v>
      </c>
    </row>
    <row r="1482" spans="1:11" x14ac:dyDescent="0.2">
      <c r="A1482" t="s">
        <v>3600</v>
      </c>
      <c r="B1482">
        <v>190304</v>
      </c>
      <c r="C1482" t="s">
        <v>2201</v>
      </c>
      <c r="D1482" t="s">
        <v>3617</v>
      </c>
      <c r="E1482" t="s">
        <v>183</v>
      </c>
      <c r="F1482" t="s">
        <v>283</v>
      </c>
      <c r="G1482" t="s">
        <v>2819</v>
      </c>
      <c r="H1482" t="s">
        <v>183</v>
      </c>
      <c r="I1482" t="s">
        <v>2616</v>
      </c>
      <c r="J1482">
        <v>1</v>
      </c>
      <c r="K1482">
        <v>8243.67</v>
      </c>
    </row>
    <row r="1483" spans="1:11" x14ac:dyDescent="0.2">
      <c r="A1483" t="s">
        <v>3600</v>
      </c>
      <c r="B1483">
        <v>190907</v>
      </c>
      <c r="C1483" t="s">
        <v>2227</v>
      </c>
      <c r="D1483" t="s">
        <v>3628</v>
      </c>
      <c r="E1483" t="s">
        <v>183</v>
      </c>
      <c r="F1483" t="s">
        <v>283</v>
      </c>
      <c r="G1483" t="s">
        <v>2777</v>
      </c>
      <c r="H1483" t="s">
        <v>183</v>
      </c>
      <c r="I1483" t="s">
        <v>2616</v>
      </c>
      <c r="J1483">
        <v>1</v>
      </c>
      <c r="K1483">
        <v>4763</v>
      </c>
    </row>
    <row r="1484" spans="1:11" x14ac:dyDescent="0.2">
      <c r="A1484" t="s">
        <v>3600</v>
      </c>
      <c r="B1484">
        <v>191511</v>
      </c>
      <c r="C1484" t="s">
        <v>2237</v>
      </c>
      <c r="D1484" t="s">
        <v>3634</v>
      </c>
      <c r="E1484" t="s">
        <v>184</v>
      </c>
      <c r="F1484" t="s">
        <v>184</v>
      </c>
      <c r="G1484" t="s">
        <v>2918</v>
      </c>
      <c r="H1484" t="s">
        <v>184</v>
      </c>
      <c r="I1484" t="s">
        <v>2616</v>
      </c>
      <c r="J1484">
        <v>1</v>
      </c>
      <c r="K1484">
        <v>8660.89</v>
      </c>
    </row>
    <row r="1485" spans="1:11" x14ac:dyDescent="0.2">
      <c r="A1485" t="s">
        <v>3600</v>
      </c>
      <c r="B1485">
        <v>191518</v>
      </c>
      <c r="C1485" t="s">
        <v>2238</v>
      </c>
      <c r="D1485" t="s">
        <v>3606</v>
      </c>
      <c r="E1485" t="s">
        <v>184</v>
      </c>
      <c r="F1485" t="s">
        <v>184</v>
      </c>
      <c r="G1485" t="s">
        <v>2918</v>
      </c>
      <c r="H1485" t="s">
        <v>184</v>
      </c>
      <c r="I1485" t="s">
        <v>2616</v>
      </c>
      <c r="J1485">
        <v>1</v>
      </c>
      <c r="K1485">
        <v>3333.33</v>
      </c>
    </row>
    <row r="1486" spans="1:11" x14ac:dyDescent="0.2">
      <c r="A1486" t="s">
        <v>3600</v>
      </c>
      <c r="B1486">
        <v>190603</v>
      </c>
      <c r="C1486" t="s">
        <v>2211</v>
      </c>
      <c r="D1486" t="s">
        <v>3612</v>
      </c>
      <c r="E1486" t="s">
        <v>183</v>
      </c>
      <c r="F1486" t="s">
        <v>283</v>
      </c>
      <c r="G1486" t="s">
        <v>2724</v>
      </c>
      <c r="H1486" t="s">
        <v>183</v>
      </c>
      <c r="I1486" t="s">
        <v>2616</v>
      </c>
      <c r="J1486">
        <v>1</v>
      </c>
      <c r="K1486">
        <v>3436</v>
      </c>
    </row>
    <row r="1487" spans="1:11" x14ac:dyDescent="0.2">
      <c r="A1487" t="s">
        <v>3600</v>
      </c>
      <c r="B1487">
        <v>190702</v>
      </c>
      <c r="C1487" t="s">
        <v>915</v>
      </c>
      <c r="D1487" t="s">
        <v>3610</v>
      </c>
      <c r="E1487" t="s">
        <v>183</v>
      </c>
      <c r="F1487" t="s">
        <v>283</v>
      </c>
      <c r="G1487" t="s">
        <v>2701</v>
      </c>
      <c r="H1487" t="s">
        <v>183</v>
      </c>
      <c r="I1487" t="s">
        <v>2666</v>
      </c>
      <c r="J1487">
        <v>1</v>
      </c>
      <c r="K1487">
        <v>763</v>
      </c>
    </row>
    <row r="1488" spans="1:11" x14ac:dyDescent="0.2">
      <c r="A1488" t="s">
        <v>3600</v>
      </c>
      <c r="B1488">
        <v>190302</v>
      </c>
      <c r="C1488" t="s">
        <v>2200</v>
      </c>
      <c r="D1488" t="s">
        <v>3609</v>
      </c>
      <c r="E1488" t="s">
        <v>183</v>
      </c>
      <c r="F1488" t="s">
        <v>283</v>
      </c>
      <c r="G1488" t="s">
        <v>2819</v>
      </c>
      <c r="H1488" t="s">
        <v>183</v>
      </c>
      <c r="I1488" t="s">
        <v>2616</v>
      </c>
      <c r="J1488">
        <v>1</v>
      </c>
      <c r="K1488">
        <v>4801</v>
      </c>
    </row>
    <row r="1489" spans="1:11" x14ac:dyDescent="0.2">
      <c r="A1489" t="s">
        <v>3600</v>
      </c>
      <c r="B1489">
        <v>191803</v>
      </c>
      <c r="C1489" t="s">
        <v>2246</v>
      </c>
      <c r="D1489" t="s">
        <v>3624</v>
      </c>
      <c r="E1489" t="s">
        <v>183</v>
      </c>
      <c r="F1489" t="s">
        <v>283</v>
      </c>
      <c r="G1489" t="s">
        <v>3623</v>
      </c>
      <c r="H1489" t="s">
        <v>183</v>
      </c>
      <c r="I1489" t="s">
        <v>2616</v>
      </c>
      <c r="J1489">
        <v>1</v>
      </c>
      <c r="K1489">
        <v>4030</v>
      </c>
    </row>
    <row r="1490" spans="1:11" x14ac:dyDescent="0.2">
      <c r="A1490" t="s">
        <v>3600</v>
      </c>
      <c r="B1490">
        <v>190207</v>
      </c>
      <c r="C1490" t="s">
        <v>2193</v>
      </c>
      <c r="D1490" t="s">
        <v>3607</v>
      </c>
      <c r="E1490" t="s">
        <v>183</v>
      </c>
      <c r="F1490" t="s">
        <v>283</v>
      </c>
      <c r="G1490" t="s">
        <v>2837</v>
      </c>
      <c r="H1490" t="s">
        <v>183</v>
      </c>
      <c r="I1490" t="s">
        <v>2616</v>
      </c>
      <c r="J1490">
        <v>1</v>
      </c>
      <c r="K1490">
        <v>26487.5</v>
      </c>
    </row>
    <row r="1491" spans="1:11" x14ac:dyDescent="0.2">
      <c r="A1491" t="s">
        <v>3600</v>
      </c>
      <c r="B1491">
        <v>191814</v>
      </c>
      <c r="C1491" t="s">
        <v>2248</v>
      </c>
      <c r="D1491" t="s">
        <v>3615</v>
      </c>
      <c r="E1491" t="s">
        <v>183</v>
      </c>
      <c r="F1491" t="s">
        <v>283</v>
      </c>
      <c r="G1491" t="s">
        <v>2829</v>
      </c>
      <c r="H1491" t="s">
        <v>183</v>
      </c>
      <c r="I1491" t="s">
        <v>2616</v>
      </c>
      <c r="J1491">
        <v>1</v>
      </c>
      <c r="K1491">
        <v>17452</v>
      </c>
    </row>
    <row r="1492" spans="1:11" x14ac:dyDescent="0.2">
      <c r="A1492" t="s">
        <v>3600</v>
      </c>
      <c r="B1492">
        <v>190804</v>
      </c>
      <c r="C1492" t="s">
        <v>2225</v>
      </c>
      <c r="D1492" t="s">
        <v>3601</v>
      </c>
      <c r="E1492" t="s">
        <v>183</v>
      </c>
      <c r="F1492" t="s">
        <v>283</v>
      </c>
      <c r="G1492" t="s">
        <v>2701</v>
      </c>
      <c r="H1492" t="s">
        <v>183</v>
      </c>
      <c r="I1492" t="s">
        <v>2616</v>
      </c>
      <c r="J1492">
        <v>1</v>
      </c>
      <c r="K1492">
        <v>5515.17</v>
      </c>
    </row>
    <row r="1493" spans="1:11" x14ac:dyDescent="0.2">
      <c r="A1493" t="s">
        <v>3600</v>
      </c>
      <c r="B1493">
        <v>190917</v>
      </c>
      <c r="C1493" t="s">
        <v>2229</v>
      </c>
      <c r="D1493" t="s">
        <v>3616</v>
      </c>
      <c r="E1493" t="s">
        <v>31</v>
      </c>
      <c r="F1493" t="s">
        <v>283</v>
      </c>
      <c r="G1493" t="s">
        <v>2777</v>
      </c>
      <c r="H1493" t="s">
        <v>31</v>
      </c>
      <c r="I1493" t="s">
        <v>2616</v>
      </c>
      <c r="J1493">
        <v>1</v>
      </c>
      <c r="K1493">
        <v>28543</v>
      </c>
    </row>
    <row r="1494" spans="1:11" x14ac:dyDescent="0.2">
      <c r="A1494" t="s">
        <v>3600</v>
      </c>
      <c r="B1494">
        <v>191213</v>
      </c>
      <c r="C1494" t="s">
        <v>2234</v>
      </c>
      <c r="D1494" t="s">
        <v>3605</v>
      </c>
      <c r="E1494" t="s">
        <v>279</v>
      </c>
      <c r="F1494" t="s">
        <v>279</v>
      </c>
      <c r="G1494" t="s">
        <v>2711</v>
      </c>
      <c r="H1494" t="s">
        <v>279</v>
      </c>
      <c r="I1494" t="s">
        <v>2616</v>
      </c>
      <c r="J1494">
        <v>1</v>
      </c>
      <c r="K1494">
        <v>5616</v>
      </c>
    </row>
    <row r="1495" spans="1:11" x14ac:dyDescent="0.2">
      <c r="A1495" t="s">
        <v>3600</v>
      </c>
      <c r="B1495">
        <v>1003</v>
      </c>
      <c r="C1495" t="s">
        <v>1390</v>
      </c>
      <c r="D1495" t="s">
        <v>3604</v>
      </c>
      <c r="E1495" t="s">
        <v>2634</v>
      </c>
      <c r="F1495" t="s">
        <v>279</v>
      </c>
      <c r="G1495" t="s">
        <v>2711</v>
      </c>
      <c r="H1495" t="s">
        <v>2634</v>
      </c>
      <c r="I1495" t="s">
        <v>2616</v>
      </c>
      <c r="J1495">
        <v>1</v>
      </c>
      <c r="K1495">
        <v>676</v>
      </c>
    </row>
    <row r="1496" spans="1:11" x14ac:dyDescent="0.2">
      <c r="A1496" t="s">
        <v>3600</v>
      </c>
      <c r="B1496">
        <v>191608</v>
      </c>
      <c r="C1496" t="s">
        <v>2242</v>
      </c>
      <c r="D1496" t="s">
        <v>3621</v>
      </c>
      <c r="E1496" t="s">
        <v>183</v>
      </c>
      <c r="F1496" t="s">
        <v>283</v>
      </c>
      <c r="G1496" t="s">
        <v>3620</v>
      </c>
      <c r="H1496" t="s">
        <v>183</v>
      </c>
      <c r="I1496" t="s">
        <v>2616</v>
      </c>
      <c r="J1496">
        <v>1</v>
      </c>
      <c r="K1496">
        <v>7727</v>
      </c>
    </row>
    <row r="1497" spans="1:11" x14ac:dyDescent="0.2">
      <c r="A1497" t="s">
        <v>3600</v>
      </c>
      <c r="B1497">
        <v>191606</v>
      </c>
      <c r="C1497" t="s">
        <v>2241</v>
      </c>
      <c r="D1497" t="s">
        <v>3625</v>
      </c>
      <c r="E1497" t="s">
        <v>183</v>
      </c>
      <c r="F1497" t="s">
        <v>283</v>
      </c>
      <c r="G1497" t="s">
        <v>3620</v>
      </c>
      <c r="H1497" t="s">
        <v>183</v>
      </c>
      <c r="I1497" t="s">
        <v>2616</v>
      </c>
      <c r="J1497">
        <v>1</v>
      </c>
      <c r="K1497">
        <v>11377.65</v>
      </c>
    </row>
    <row r="1498" spans="1:11" x14ac:dyDescent="0.2">
      <c r="A1498" t="s">
        <v>3600</v>
      </c>
      <c r="B1498">
        <v>190101</v>
      </c>
      <c r="C1498" t="s">
        <v>2190</v>
      </c>
      <c r="D1498" t="s">
        <v>3619</v>
      </c>
      <c r="E1498" t="s">
        <v>183</v>
      </c>
      <c r="F1498" t="s">
        <v>283</v>
      </c>
      <c r="G1498" t="s">
        <v>3618</v>
      </c>
      <c r="H1498" t="s">
        <v>183</v>
      </c>
      <c r="I1498" t="s">
        <v>2616</v>
      </c>
      <c r="J1498">
        <v>1</v>
      </c>
      <c r="K1498">
        <v>4047.17</v>
      </c>
    </row>
    <row r="1499" spans="1:11" x14ac:dyDescent="0.2">
      <c r="A1499" t="s">
        <v>3600</v>
      </c>
      <c r="B1499">
        <v>190913</v>
      </c>
      <c r="C1499" t="s">
        <v>2228</v>
      </c>
      <c r="D1499" t="s">
        <v>3613</v>
      </c>
      <c r="E1499" t="s">
        <v>183</v>
      </c>
      <c r="F1499" t="s">
        <v>283</v>
      </c>
      <c r="G1499" t="s">
        <v>2777</v>
      </c>
      <c r="H1499" t="s">
        <v>183</v>
      </c>
      <c r="I1499" t="s">
        <v>2616</v>
      </c>
      <c r="J1499">
        <v>1</v>
      </c>
      <c r="K1499">
        <v>4297.33</v>
      </c>
    </row>
    <row r="1500" spans="1:11" x14ac:dyDescent="0.2">
      <c r="A1500" t="s">
        <v>3600</v>
      </c>
      <c r="B1500">
        <v>191604</v>
      </c>
      <c r="C1500" t="s">
        <v>2240</v>
      </c>
      <c r="D1500" t="s">
        <v>3622</v>
      </c>
      <c r="E1500" t="s">
        <v>183</v>
      </c>
      <c r="F1500" t="s">
        <v>283</v>
      </c>
      <c r="G1500" t="s">
        <v>3620</v>
      </c>
      <c r="H1500" t="s">
        <v>183</v>
      </c>
      <c r="I1500" t="s">
        <v>2616</v>
      </c>
      <c r="J1500">
        <v>1</v>
      </c>
      <c r="K1500">
        <v>818</v>
      </c>
    </row>
    <row r="1501" spans="1:11" x14ac:dyDescent="0.2">
      <c r="A1501" t="s">
        <v>3600</v>
      </c>
      <c r="B1501">
        <v>190216</v>
      </c>
      <c r="C1501" t="s">
        <v>2195</v>
      </c>
      <c r="D1501" t="s">
        <v>3614</v>
      </c>
      <c r="E1501" t="s">
        <v>183</v>
      </c>
      <c r="F1501" t="s">
        <v>283</v>
      </c>
      <c r="G1501" t="s">
        <v>2837</v>
      </c>
      <c r="H1501" t="s">
        <v>183</v>
      </c>
      <c r="I1501" t="s">
        <v>2616</v>
      </c>
      <c r="J1501">
        <v>1</v>
      </c>
      <c r="K1501">
        <v>87257.76</v>
      </c>
    </row>
    <row r="1502" spans="1:11" x14ac:dyDescent="0.2">
      <c r="A1502" t="s">
        <v>3600</v>
      </c>
      <c r="B1502">
        <v>190501</v>
      </c>
      <c r="C1502" t="s">
        <v>3633</v>
      </c>
      <c r="D1502" t="s">
        <v>3632</v>
      </c>
      <c r="E1502" t="s">
        <v>183</v>
      </c>
      <c r="F1502" t="s">
        <v>283</v>
      </c>
      <c r="G1502" t="s">
        <v>2869</v>
      </c>
      <c r="H1502" t="s">
        <v>183</v>
      </c>
      <c r="I1502" t="s">
        <v>2616</v>
      </c>
      <c r="J1502">
        <v>1</v>
      </c>
      <c r="K1502">
        <v>28534.5</v>
      </c>
    </row>
    <row r="1503" spans="1:11" x14ac:dyDescent="0.2">
      <c r="A1503" t="s">
        <v>3600</v>
      </c>
      <c r="B1503">
        <v>190802</v>
      </c>
      <c r="C1503" t="s">
        <v>2224</v>
      </c>
      <c r="D1503" t="s">
        <v>3603</v>
      </c>
      <c r="E1503" t="s">
        <v>183</v>
      </c>
      <c r="F1503" t="s">
        <v>283</v>
      </c>
      <c r="G1503" t="s">
        <v>3602</v>
      </c>
      <c r="H1503" t="s">
        <v>183</v>
      </c>
      <c r="I1503" t="s">
        <v>2616</v>
      </c>
      <c r="J1503">
        <v>1</v>
      </c>
      <c r="K1503">
        <v>5362</v>
      </c>
    </row>
    <row r="1504" spans="1:11" x14ac:dyDescent="0.2">
      <c r="A1504" t="s">
        <v>3600</v>
      </c>
      <c r="B1504">
        <v>190901</v>
      </c>
      <c r="C1504" t="s">
        <v>2226</v>
      </c>
      <c r="D1504" t="s">
        <v>3630</v>
      </c>
      <c r="E1504" t="s">
        <v>183</v>
      </c>
      <c r="F1504" t="s">
        <v>283</v>
      </c>
      <c r="G1504" t="s">
        <v>2777</v>
      </c>
      <c r="H1504" t="s">
        <v>183</v>
      </c>
      <c r="I1504" t="s">
        <v>2616</v>
      </c>
      <c r="J1504">
        <v>1</v>
      </c>
      <c r="K1504">
        <v>993</v>
      </c>
    </row>
    <row r="1505" spans="1:11" x14ac:dyDescent="0.2">
      <c r="A1505" t="s">
        <v>3600</v>
      </c>
      <c r="B1505">
        <v>191812</v>
      </c>
      <c r="C1505" t="s">
        <v>2247</v>
      </c>
      <c r="D1505" t="s">
        <v>3599</v>
      </c>
      <c r="E1505" t="s">
        <v>183</v>
      </c>
      <c r="F1505" t="s">
        <v>283</v>
      </c>
      <c r="G1505" t="s">
        <v>2829</v>
      </c>
      <c r="H1505" t="s">
        <v>183</v>
      </c>
      <c r="I1505" t="s">
        <v>2616</v>
      </c>
      <c r="J1505">
        <v>1</v>
      </c>
      <c r="K1505">
        <v>3309.33</v>
      </c>
    </row>
    <row r="1506" spans="1:11" x14ac:dyDescent="0.2">
      <c r="A1506" t="s">
        <v>3540</v>
      </c>
      <c r="B1506">
        <v>42004</v>
      </c>
      <c r="C1506" t="s">
        <v>1628</v>
      </c>
      <c r="D1506" t="s">
        <v>3581</v>
      </c>
      <c r="E1506" t="s">
        <v>281</v>
      </c>
      <c r="F1506" t="s">
        <v>281</v>
      </c>
      <c r="G1506" t="s">
        <v>2692</v>
      </c>
      <c r="H1506" t="s">
        <v>281</v>
      </c>
      <c r="I1506" t="s">
        <v>2616</v>
      </c>
      <c r="J1506">
        <v>1</v>
      </c>
      <c r="K1506">
        <v>16291.38</v>
      </c>
    </row>
    <row r="1507" spans="1:11" x14ac:dyDescent="0.2">
      <c r="A1507" t="s">
        <v>3540</v>
      </c>
      <c r="B1507">
        <v>31004</v>
      </c>
      <c r="C1507" t="s">
        <v>1578</v>
      </c>
      <c r="D1507" t="s">
        <v>3567</v>
      </c>
      <c r="E1507" t="s">
        <v>281</v>
      </c>
      <c r="F1507" t="s">
        <v>281</v>
      </c>
      <c r="G1507" t="s">
        <v>2736</v>
      </c>
      <c r="H1507" t="s">
        <v>281</v>
      </c>
      <c r="I1507" t="s">
        <v>2616</v>
      </c>
      <c r="J1507">
        <v>1</v>
      </c>
      <c r="K1507">
        <v>7782.5</v>
      </c>
    </row>
    <row r="1508" spans="1:11" x14ac:dyDescent="0.2">
      <c r="A1508" t="s">
        <v>3540</v>
      </c>
      <c r="B1508">
        <v>37026</v>
      </c>
      <c r="C1508" t="s">
        <v>1053</v>
      </c>
      <c r="D1508" t="s">
        <v>3583</v>
      </c>
      <c r="E1508" t="s">
        <v>281</v>
      </c>
      <c r="F1508" t="s">
        <v>281</v>
      </c>
      <c r="G1508" t="s">
        <v>2759</v>
      </c>
      <c r="H1508" t="s">
        <v>281</v>
      </c>
      <c r="I1508" t="s">
        <v>2666</v>
      </c>
      <c r="J1508">
        <v>1</v>
      </c>
      <c r="K1508">
        <v>10</v>
      </c>
    </row>
    <row r="1509" spans="1:11" x14ac:dyDescent="0.2">
      <c r="A1509" t="s">
        <v>3540</v>
      </c>
      <c r="B1509">
        <v>37023</v>
      </c>
      <c r="C1509" t="s">
        <v>1601</v>
      </c>
      <c r="D1509" t="s">
        <v>3579</v>
      </c>
      <c r="E1509" t="s">
        <v>281</v>
      </c>
      <c r="F1509" t="s">
        <v>281</v>
      </c>
      <c r="G1509" t="s">
        <v>2759</v>
      </c>
      <c r="H1509" t="s">
        <v>281</v>
      </c>
      <c r="I1509" t="s">
        <v>2616</v>
      </c>
      <c r="J1509">
        <v>1</v>
      </c>
      <c r="K1509">
        <v>1402</v>
      </c>
    </row>
    <row r="1510" spans="1:11" x14ac:dyDescent="0.2">
      <c r="A1510" t="s">
        <v>3540</v>
      </c>
      <c r="B1510">
        <v>32009</v>
      </c>
      <c r="C1510" t="s">
        <v>2417</v>
      </c>
      <c r="D1510" t="s">
        <v>3547</v>
      </c>
      <c r="E1510" t="s">
        <v>281</v>
      </c>
      <c r="F1510" t="s">
        <v>281</v>
      </c>
      <c r="G1510" t="s">
        <v>2844</v>
      </c>
      <c r="H1510" t="s">
        <v>281</v>
      </c>
      <c r="I1510" t="s">
        <v>2666</v>
      </c>
      <c r="J1510">
        <v>1</v>
      </c>
      <c r="K1510">
        <v>560</v>
      </c>
    </row>
    <row r="1511" spans="1:11" x14ac:dyDescent="0.2">
      <c r="A1511" t="s">
        <v>3540</v>
      </c>
      <c r="B1511">
        <v>37038</v>
      </c>
      <c r="C1511" t="s">
        <v>2547</v>
      </c>
      <c r="D1511" t="s">
        <v>3592</v>
      </c>
      <c r="E1511" t="s">
        <v>281</v>
      </c>
      <c r="F1511" t="s">
        <v>281</v>
      </c>
      <c r="G1511" t="s">
        <v>2759</v>
      </c>
      <c r="H1511" t="s">
        <v>281</v>
      </c>
      <c r="I1511" t="s">
        <v>2666</v>
      </c>
      <c r="J1511">
        <v>1</v>
      </c>
      <c r="K1511">
        <v>222</v>
      </c>
    </row>
    <row r="1512" spans="1:11" x14ac:dyDescent="0.2">
      <c r="A1512" t="s">
        <v>3540</v>
      </c>
      <c r="B1512">
        <v>42012</v>
      </c>
      <c r="C1512" t="s">
        <v>1631</v>
      </c>
      <c r="D1512" t="s">
        <v>3561</v>
      </c>
      <c r="E1512" t="s">
        <v>281</v>
      </c>
      <c r="F1512" t="s">
        <v>281</v>
      </c>
      <c r="G1512" t="s">
        <v>2692</v>
      </c>
      <c r="H1512" t="s">
        <v>281</v>
      </c>
      <c r="I1512" t="s">
        <v>2616</v>
      </c>
      <c r="J1512">
        <v>1</v>
      </c>
      <c r="K1512">
        <v>3632</v>
      </c>
    </row>
    <row r="1513" spans="1:11" x14ac:dyDescent="0.2">
      <c r="A1513" t="s">
        <v>3540</v>
      </c>
      <c r="B1513">
        <v>42011</v>
      </c>
      <c r="C1513" t="s">
        <v>1630</v>
      </c>
      <c r="D1513" t="s">
        <v>3572</v>
      </c>
      <c r="E1513" t="s">
        <v>2634</v>
      </c>
      <c r="F1513" t="s">
        <v>281</v>
      </c>
      <c r="G1513" t="s">
        <v>2692</v>
      </c>
      <c r="H1513" t="s">
        <v>2634</v>
      </c>
      <c r="I1513" t="s">
        <v>2616</v>
      </c>
      <c r="J1513">
        <v>1</v>
      </c>
      <c r="K1513">
        <v>4159</v>
      </c>
    </row>
    <row r="1514" spans="1:11" x14ac:dyDescent="0.2">
      <c r="A1514" t="s">
        <v>3540</v>
      </c>
      <c r="B1514">
        <v>33003</v>
      </c>
      <c r="C1514" t="s">
        <v>1143</v>
      </c>
      <c r="D1514" t="s">
        <v>3569</v>
      </c>
      <c r="E1514" t="s">
        <v>281</v>
      </c>
      <c r="F1514" t="s">
        <v>281</v>
      </c>
      <c r="G1514" t="s">
        <v>3157</v>
      </c>
      <c r="H1514" t="s">
        <v>281</v>
      </c>
      <c r="I1514" t="s">
        <v>2666</v>
      </c>
      <c r="J1514">
        <v>1</v>
      </c>
      <c r="K1514">
        <v>89</v>
      </c>
    </row>
    <row r="1515" spans="1:11" x14ac:dyDescent="0.2">
      <c r="A1515" t="s">
        <v>3540</v>
      </c>
      <c r="B1515">
        <v>36025</v>
      </c>
      <c r="C1515" t="s">
        <v>2544</v>
      </c>
      <c r="D1515" t="s">
        <v>3587</v>
      </c>
      <c r="E1515" t="s">
        <v>281</v>
      </c>
      <c r="F1515" t="s">
        <v>281</v>
      </c>
      <c r="G1515" t="s">
        <v>3055</v>
      </c>
      <c r="H1515" t="s">
        <v>281</v>
      </c>
      <c r="I1515" t="s">
        <v>2666</v>
      </c>
      <c r="J1515">
        <v>1</v>
      </c>
      <c r="K1515">
        <v>324</v>
      </c>
    </row>
    <row r="1516" spans="1:11" x14ac:dyDescent="0.2">
      <c r="A1516" t="s">
        <v>3540</v>
      </c>
      <c r="B1516">
        <v>31060</v>
      </c>
      <c r="C1516" t="s">
        <v>1582</v>
      </c>
      <c r="D1516" t="s">
        <v>3588</v>
      </c>
      <c r="E1516" t="s">
        <v>281</v>
      </c>
      <c r="F1516" t="s">
        <v>281</v>
      </c>
      <c r="G1516" t="s">
        <v>2783</v>
      </c>
      <c r="H1516" t="s">
        <v>281</v>
      </c>
      <c r="I1516" t="s">
        <v>2616</v>
      </c>
      <c r="J1516">
        <v>1</v>
      </c>
      <c r="K1516">
        <v>6691</v>
      </c>
    </row>
    <row r="1517" spans="1:11" x14ac:dyDescent="0.2">
      <c r="A1517" t="s">
        <v>3540</v>
      </c>
      <c r="B1517">
        <v>42010</v>
      </c>
      <c r="C1517" t="s">
        <v>1629</v>
      </c>
      <c r="D1517" t="s">
        <v>3568</v>
      </c>
      <c r="E1517" t="s">
        <v>281</v>
      </c>
      <c r="F1517" t="s">
        <v>281</v>
      </c>
      <c r="G1517" t="s">
        <v>2692</v>
      </c>
      <c r="H1517" t="s">
        <v>281</v>
      </c>
      <c r="I1517" t="s">
        <v>2616</v>
      </c>
      <c r="J1517">
        <v>1</v>
      </c>
      <c r="K1517">
        <v>2186</v>
      </c>
    </row>
    <row r="1518" spans="1:11" x14ac:dyDescent="0.2">
      <c r="A1518" t="s">
        <v>3540</v>
      </c>
      <c r="B1518">
        <v>36031</v>
      </c>
      <c r="C1518" t="s">
        <v>517</v>
      </c>
      <c r="D1518" t="s">
        <v>3566</v>
      </c>
      <c r="E1518" t="s">
        <v>281</v>
      </c>
      <c r="F1518" t="s">
        <v>281</v>
      </c>
      <c r="G1518" t="s">
        <v>3055</v>
      </c>
      <c r="H1518" t="s">
        <v>281</v>
      </c>
      <c r="I1518" t="s">
        <v>2666</v>
      </c>
      <c r="J1518">
        <v>1</v>
      </c>
      <c r="K1518">
        <v>3719.69</v>
      </c>
    </row>
    <row r="1519" spans="1:11" x14ac:dyDescent="0.2">
      <c r="A1519" t="s">
        <v>3540</v>
      </c>
      <c r="B1519">
        <v>36006</v>
      </c>
      <c r="C1519" t="s">
        <v>1594</v>
      </c>
      <c r="D1519" t="s">
        <v>3571</v>
      </c>
      <c r="E1519" t="s">
        <v>2634</v>
      </c>
      <c r="F1519" t="s">
        <v>281</v>
      </c>
      <c r="G1519" t="s">
        <v>3055</v>
      </c>
      <c r="H1519" t="s">
        <v>2634</v>
      </c>
      <c r="I1519" t="s">
        <v>2616</v>
      </c>
      <c r="J1519">
        <v>1</v>
      </c>
      <c r="K1519">
        <v>2718</v>
      </c>
    </row>
    <row r="1520" spans="1:11" x14ac:dyDescent="0.2">
      <c r="A1520" t="s">
        <v>3540</v>
      </c>
      <c r="B1520">
        <v>37002</v>
      </c>
      <c r="C1520" t="s">
        <v>1598</v>
      </c>
      <c r="D1520" t="s">
        <v>3595</v>
      </c>
      <c r="E1520" t="s">
        <v>281</v>
      </c>
      <c r="F1520" t="s">
        <v>281</v>
      </c>
      <c r="G1520" t="s">
        <v>2759</v>
      </c>
      <c r="H1520" t="s">
        <v>281</v>
      </c>
      <c r="I1520" t="s">
        <v>2616</v>
      </c>
      <c r="J1520">
        <v>1</v>
      </c>
      <c r="K1520">
        <v>2631</v>
      </c>
    </row>
    <row r="1521" spans="1:11" x14ac:dyDescent="0.2">
      <c r="A1521" t="s">
        <v>3540</v>
      </c>
      <c r="B1521">
        <v>37060</v>
      </c>
      <c r="C1521" t="s">
        <v>526</v>
      </c>
      <c r="D1521" t="s">
        <v>3596</v>
      </c>
      <c r="E1521" t="s">
        <v>281</v>
      </c>
      <c r="F1521" t="s">
        <v>281</v>
      </c>
      <c r="G1521" t="s">
        <v>2759</v>
      </c>
      <c r="H1521" t="s">
        <v>281</v>
      </c>
      <c r="I1521" t="s">
        <v>2666</v>
      </c>
      <c r="J1521">
        <v>1</v>
      </c>
      <c r="K1521">
        <v>47</v>
      </c>
    </row>
    <row r="1522" spans="1:11" x14ac:dyDescent="0.2">
      <c r="A1522" t="s">
        <v>3540</v>
      </c>
      <c r="B1522">
        <v>32016</v>
      </c>
      <c r="C1522" t="s">
        <v>1584</v>
      </c>
      <c r="D1522" t="s">
        <v>3555</v>
      </c>
      <c r="E1522" t="s">
        <v>281</v>
      </c>
      <c r="F1522" t="s">
        <v>281</v>
      </c>
      <c r="G1522" t="s">
        <v>2844</v>
      </c>
      <c r="H1522" t="s">
        <v>281</v>
      </c>
      <c r="I1522" t="s">
        <v>2616</v>
      </c>
      <c r="J1522">
        <v>1</v>
      </c>
      <c r="K1522">
        <v>3740</v>
      </c>
    </row>
    <row r="1523" spans="1:11" x14ac:dyDescent="0.2">
      <c r="A1523" t="s">
        <v>3540</v>
      </c>
      <c r="B1523">
        <v>42002</v>
      </c>
      <c r="C1523" t="s">
        <v>1627</v>
      </c>
      <c r="D1523" t="s">
        <v>3577</v>
      </c>
      <c r="E1523" t="s">
        <v>281</v>
      </c>
      <c r="F1523" t="s">
        <v>281</v>
      </c>
      <c r="G1523" t="s">
        <v>2692</v>
      </c>
      <c r="H1523" t="s">
        <v>281</v>
      </c>
      <c r="I1523" t="s">
        <v>2616</v>
      </c>
      <c r="J1523">
        <v>1</v>
      </c>
      <c r="K1523">
        <v>2391</v>
      </c>
    </row>
    <row r="1524" spans="1:11" x14ac:dyDescent="0.2">
      <c r="A1524" t="s">
        <v>3540</v>
      </c>
      <c r="B1524">
        <v>37013</v>
      </c>
      <c r="C1524" t="s">
        <v>1600</v>
      </c>
      <c r="D1524" t="s">
        <v>3541</v>
      </c>
      <c r="E1524" t="s">
        <v>281</v>
      </c>
      <c r="F1524" t="s">
        <v>281</v>
      </c>
      <c r="G1524" t="s">
        <v>2759</v>
      </c>
      <c r="H1524" t="s">
        <v>281</v>
      </c>
      <c r="I1524" t="s">
        <v>2616</v>
      </c>
      <c r="J1524">
        <v>1</v>
      </c>
      <c r="K1524">
        <v>1422</v>
      </c>
    </row>
    <row r="1525" spans="1:11" x14ac:dyDescent="0.2">
      <c r="A1525" t="s">
        <v>3540</v>
      </c>
      <c r="B1525">
        <v>33006</v>
      </c>
      <c r="C1525" t="s">
        <v>509</v>
      </c>
      <c r="D1525" t="s">
        <v>3560</v>
      </c>
      <c r="E1525" t="s">
        <v>281</v>
      </c>
      <c r="F1525" t="s">
        <v>281</v>
      </c>
      <c r="G1525" t="s">
        <v>3157</v>
      </c>
      <c r="H1525" t="s">
        <v>281</v>
      </c>
      <c r="I1525" t="s">
        <v>2666</v>
      </c>
      <c r="J1525">
        <v>1</v>
      </c>
      <c r="K1525">
        <v>50</v>
      </c>
    </row>
    <row r="1526" spans="1:11" x14ac:dyDescent="0.2">
      <c r="A1526" t="s">
        <v>3540</v>
      </c>
      <c r="B1526">
        <v>37044</v>
      </c>
      <c r="C1526" t="s">
        <v>1605</v>
      </c>
      <c r="D1526" t="s">
        <v>3575</v>
      </c>
      <c r="E1526" t="s">
        <v>2634</v>
      </c>
      <c r="F1526" t="s">
        <v>281</v>
      </c>
      <c r="G1526" t="s">
        <v>2759</v>
      </c>
      <c r="H1526" t="s">
        <v>2634</v>
      </c>
      <c r="I1526" t="s">
        <v>2616</v>
      </c>
      <c r="J1526">
        <v>1</v>
      </c>
      <c r="K1526">
        <v>1727</v>
      </c>
    </row>
    <row r="1527" spans="1:11" x14ac:dyDescent="0.2">
      <c r="A1527" t="s">
        <v>3540</v>
      </c>
      <c r="B1527">
        <v>26001</v>
      </c>
      <c r="C1527" t="s">
        <v>1536</v>
      </c>
      <c r="D1527" t="s">
        <v>3551</v>
      </c>
      <c r="E1527" t="s">
        <v>279</v>
      </c>
      <c r="F1527" t="s">
        <v>279</v>
      </c>
      <c r="G1527" t="s">
        <v>279</v>
      </c>
      <c r="H1527" t="s">
        <v>279</v>
      </c>
      <c r="I1527" t="s">
        <v>2616</v>
      </c>
      <c r="J1527">
        <v>1</v>
      </c>
      <c r="K1527">
        <v>5848</v>
      </c>
    </row>
    <row r="1528" spans="1:11" x14ac:dyDescent="0.2">
      <c r="A1528" t="s">
        <v>3540</v>
      </c>
      <c r="B1528">
        <v>27032</v>
      </c>
      <c r="C1528" t="s">
        <v>1545</v>
      </c>
      <c r="D1528" t="s">
        <v>3549</v>
      </c>
      <c r="E1528" t="s">
        <v>2634</v>
      </c>
      <c r="F1528" t="s">
        <v>279</v>
      </c>
      <c r="G1528" t="s">
        <v>279</v>
      </c>
      <c r="H1528" t="s">
        <v>2634</v>
      </c>
      <c r="I1528" t="s">
        <v>2616</v>
      </c>
      <c r="J1528">
        <v>1</v>
      </c>
      <c r="K1528">
        <v>738</v>
      </c>
    </row>
    <row r="1529" spans="1:11" x14ac:dyDescent="0.2">
      <c r="A1529" t="s">
        <v>3540</v>
      </c>
      <c r="B1529">
        <v>27031</v>
      </c>
      <c r="C1529" t="s">
        <v>1544</v>
      </c>
      <c r="D1529" t="s">
        <v>3556</v>
      </c>
      <c r="E1529" t="s">
        <v>279</v>
      </c>
      <c r="F1529" t="s">
        <v>279</v>
      </c>
      <c r="G1529" t="s">
        <v>279</v>
      </c>
      <c r="H1529" t="s">
        <v>279</v>
      </c>
      <c r="I1529" t="s">
        <v>2616</v>
      </c>
      <c r="J1529">
        <v>1</v>
      </c>
      <c r="K1529">
        <v>24542</v>
      </c>
    </row>
    <row r="1530" spans="1:11" x14ac:dyDescent="0.2">
      <c r="A1530" t="s">
        <v>3540</v>
      </c>
      <c r="B1530">
        <v>33004</v>
      </c>
      <c r="C1530" t="s">
        <v>1051</v>
      </c>
      <c r="D1530" t="s">
        <v>3574</v>
      </c>
      <c r="E1530" t="s">
        <v>281</v>
      </c>
      <c r="F1530" t="s">
        <v>281</v>
      </c>
      <c r="G1530" t="s">
        <v>3157</v>
      </c>
      <c r="H1530" t="s">
        <v>281</v>
      </c>
      <c r="I1530" t="s">
        <v>2666</v>
      </c>
      <c r="J1530">
        <v>1</v>
      </c>
      <c r="K1530">
        <v>337</v>
      </c>
    </row>
    <row r="1531" spans="1:11" x14ac:dyDescent="0.2">
      <c r="A1531" t="s">
        <v>3540</v>
      </c>
      <c r="B1531">
        <v>37040</v>
      </c>
      <c r="C1531" t="s">
        <v>1054</v>
      </c>
      <c r="D1531" t="s">
        <v>3545</v>
      </c>
      <c r="E1531" t="s">
        <v>281</v>
      </c>
      <c r="F1531" t="s">
        <v>281</v>
      </c>
      <c r="G1531" t="s">
        <v>2759</v>
      </c>
      <c r="H1531" t="s">
        <v>281</v>
      </c>
      <c r="I1531" t="s">
        <v>2666</v>
      </c>
      <c r="J1531">
        <v>1</v>
      </c>
      <c r="K1531">
        <v>502</v>
      </c>
    </row>
    <row r="1532" spans="1:11" x14ac:dyDescent="0.2">
      <c r="A1532" t="s">
        <v>3540</v>
      </c>
      <c r="B1532">
        <v>77011</v>
      </c>
      <c r="C1532" t="s">
        <v>695</v>
      </c>
      <c r="D1532" t="s">
        <v>3565</v>
      </c>
      <c r="E1532" t="s">
        <v>281</v>
      </c>
      <c r="F1532" t="s">
        <v>281</v>
      </c>
      <c r="G1532" t="s">
        <v>2780</v>
      </c>
      <c r="H1532" t="s">
        <v>281</v>
      </c>
      <c r="I1532" t="s">
        <v>2666</v>
      </c>
      <c r="J1532">
        <v>1</v>
      </c>
      <c r="K1532">
        <v>133</v>
      </c>
    </row>
    <row r="1533" spans="1:11" x14ac:dyDescent="0.2">
      <c r="A1533" t="s">
        <v>3540</v>
      </c>
      <c r="B1533">
        <v>36038</v>
      </c>
      <c r="C1533" t="s">
        <v>292</v>
      </c>
      <c r="D1533" t="s">
        <v>3594</v>
      </c>
      <c r="E1533" t="s">
        <v>281</v>
      </c>
      <c r="F1533" t="s">
        <v>281</v>
      </c>
      <c r="G1533" t="s">
        <v>3055</v>
      </c>
      <c r="H1533" t="s">
        <v>281</v>
      </c>
      <c r="I1533" t="s">
        <v>2616</v>
      </c>
      <c r="J1533">
        <v>1</v>
      </c>
      <c r="K1533">
        <v>33</v>
      </c>
    </row>
    <row r="1534" spans="1:11" x14ac:dyDescent="0.2">
      <c r="A1534" t="s">
        <v>3540</v>
      </c>
      <c r="B1534">
        <v>77002</v>
      </c>
      <c r="C1534" t="s">
        <v>1745</v>
      </c>
      <c r="D1534" t="s">
        <v>3591</v>
      </c>
      <c r="E1534" t="s">
        <v>281</v>
      </c>
      <c r="F1534" t="s">
        <v>281</v>
      </c>
      <c r="G1534" t="s">
        <v>2780</v>
      </c>
      <c r="H1534" t="s">
        <v>281</v>
      </c>
      <c r="I1534" t="s">
        <v>2616</v>
      </c>
      <c r="J1534">
        <v>1</v>
      </c>
      <c r="K1534">
        <v>4783</v>
      </c>
    </row>
    <row r="1535" spans="1:11" x14ac:dyDescent="0.2">
      <c r="A1535" t="s">
        <v>3540</v>
      </c>
      <c r="B1535">
        <v>33002</v>
      </c>
      <c r="C1535" t="s">
        <v>1586</v>
      </c>
      <c r="D1535" t="s">
        <v>3543</v>
      </c>
      <c r="E1535" t="s">
        <v>281</v>
      </c>
      <c r="F1535" t="s">
        <v>281</v>
      </c>
      <c r="G1535" t="s">
        <v>3157</v>
      </c>
      <c r="H1535" t="s">
        <v>281</v>
      </c>
      <c r="I1535" t="s">
        <v>2616</v>
      </c>
      <c r="J1535">
        <v>1</v>
      </c>
      <c r="K1535">
        <v>3795</v>
      </c>
    </row>
    <row r="1536" spans="1:11" x14ac:dyDescent="0.2">
      <c r="A1536" t="s">
        <v>3540</v>
      </c>
      <c r="B1536">
        <v>77014</v>
      </c>
      <c r="C1536" t="s">
        <v>696</v>
      </c>
      <c r="D1536" t="s">
        <v>3562</v>
      </c>
      <c r="E1536" t="s">
        <v>281</v>
      </c>
      <c r="F1536" t="s">
        <v>281</v>
      </c>
      <c r="G1536" t="s">
        <v>2780</v>
      </c>
      <c r="H1536" t="s">
        <v>281</v>
      </c>
      <c r="I1536" t="s">
        <v>2666</v>
      </c>
      <c r="J1536">
        <v>1</v>
      </c>
      <c r="K1536">
        <v>272</v>
      </c>
    </row>
    <row r="1537" spans="1:11" x14ac:dyDescent="0.2">
      <c r="A1537" t="s">
        <v>3540</v>
      </c>
      <c r="B1537">
        <v>42014</v>
      </c>
      <c r="C1537" t="s">
        <v>1150</v>
      </c>
      <c r="D1537" t="s">
        <v>3576</v>
      </c>
      <c r="E1537" t="s">
        <v>281</v>
      </c>
      <c r="F1537" t="s">
        <v>281</v>
      </c>
      <c r="G1537" t="s">
        <v>2692</v>
      </c>
      <c r="H1537" t="s">
        <v>281</v>
      </c>
      <c r="I1537" t="s">
        <v>2666</v>
      </c>
      <c r="J1537">
        <v>1</v>
      </c>
      <c r="K1537">
        <v>198</v>
      </c>
    </row>
    <row r="1538" spans="1:11" x14ac:dyDescent="0.2">
      <c r="A1538" t="s">
        <v>3540</v>
      </c>
      <c r="B1538">
        <v>36007</v>
      </c>
      <c r="C1538" t="s">
        <v>1595</v>
      </c>
      <c r="D1538" t="s">
        <v>3542</v>
      </c>
      <c r="E1538" t="s">
        <v>281</v>
      </c>
      <c r="F1538" t="s">
        <v>281</v>
      </c>
      <c r="G1538" t="s">
        <v>3055</v>
      </c>
      <c r="H1538" t="s">
        <v>281</v>
      </c>
      <c r="I1538" t="s">
        <v>2616</v>
      </c>
      <c r="J1538">
        <v>1</v>
      </c>
      <c r="K1538">
        <v>9685.17</v>
      </c>
    </row>
    <row r="1539" spans="1:11" x14ac:dyDescent="0.2">
      <c r="A1539" t="s">
        <v>3540</v>
      </c>
      <c r="B1539">
        <v>31033</v>
      </c>
      <c r="C1539" t="s">
        <v>1580</v>
      </c>
      <c r="D1539" t="s">
        <v>3589</v>
      </c>
      <c r="E1539" t="s">
        <v>281</v>
      </c>
      <c r="F1539" t="s">
        <v>281</v>
      </c>
      <c r="G1539" t="s">
        <v>2736</v>
      </c>
      <c r="H1539" t="s">
        <v>281</v>
      </c>
      <c r="I1539" t="s">
        <v>2616</v>
      </c>
      <c r="J1539">
        <v>1</v>
      </c>
      <c r="K1539">
        <v>4064</v>
      </c>
    </row>
    <row r="1540" spans="1:11" x14ac:dyDescent="0.2">
      <c r="A1540" t="s">
        <v>3540</v>
      </c>
      <c r="B1540">
        <v>37027</v>
      </c>
      <c r="C1540" t="s">
        <v>1603</v>
      </c>
      <c r="D1540" t="s">
        <v>3578</v>
      </c>
      <c r="E1540" t="s">
        <v>281</v>
      </c>
      <c r="F1540" t="s">
        <v>281</v>
      </c>
      <c r="G1540" t="s">
        <v>2759</v>
      </c>
      <c r="H1540" t="s">
        <v>281</v>
      </c>
      <c r="I1540" t="s">
        <v>2616</v>
      </c>
      <c r="J1540">
        <v>1</v>
      </c>
      <c r="K1540">
        <v>554</v>
      </c>
    </row>
    <row r="1541" spans="1:11" x14ac:dyDescent="0.2">
      <c r="A1541" t="s">
        <v>3540</v>
      </c>
      <c r="B1541">
        <v>36016</v>
      </c>
      <c r="C1541" t="s">
        <v>1597</v>
      </c>
      <c r="D1541" t="s">
        <v>3593</v>
      </c>
      <c r="E1541" t="s">
        <v>281</v>
      </c>
      <c r="F1541" t="s">
        <v>281</v>
      </c>
      <c r="G1541" t="s">
        <v>3055</v>
      </c>
      <c r="H1541" t="s">
        <v>281</v>
      </c>
      <c r="I1541" t="s">
        <v>2616</v>
      </c>
      <c r="J1541">
        <v>1</v>
      </c>
      <c r="K1541">
        <v>3041.05</v>
      </c>
    </row>
    <row r="1542" spans="1:11" x14ac:dyDescent="0.2">
      <c r="A1542" t="s">
        <v>3540</v>
      </c>
      <c r="B1542">
        <v>31008</v>
      </c>
      <c r="C1542" t="s">
        <v>1579</v>
      </c>
      <c r="D1542" t="s">
        <v>3539</v>
      </c>
      <c r="E1542" t="s">
        <v>281</v>
      </c>
      <c r="F1542" t="s">
        <v>281</v>
      </c>
      <c r="G1542" t="s">
        <v>2736</v>
      </c>
      <c r="H1542" t="s">
        <v>281</v>
      </c>
      <c r="I1542" t="s">
        <v>2616</v>
      </c>
      <c r="J1542">
        <v>1</v>
      </c>
      <c r="K1542">
        <v>4717.67</v>
      </c>
    </row>
    <row r="1543" spans="1:11" x14ac:dyDescent="0.2">
      <c r="A1543" t="s">
        <v>3540</v>
      </c>
      <c r="B1543">
        <v>37050</v>
      </c>
      <c r="C1543" t="s">
        <v>1055</v>
      </c>
      <c r="D1543" t="s">
        <v>3548</v>
      </c>
      <c r="E1543" t="s">
        <v>281</v>
      </c>
      <c r="F1543" t="s">
        <v>281</v>
      </c>
      <c r="G1543" t="s">
        <v>2759</v>
      </c>
      <c r="H1543" t="s">
        <v>281</v>
      </c>
      <c r="I1543" t="s">
        <v>2666</v>
      </c>
      <c r="J1543">
        <v>1</v>
      </c>
      <c r="K1543">
        <v>118</v>
      </c>
    </row>
    <row r="1544" spans="1:11" x14ac:dyDescent="0.2">
      <c r="A1544" t="s">
        <v>3540</v>
      </c>
      <c r="B1544">
        <v>37075</v>
      </c>
      <c r="C1544" t="s">
        <v>530</v>
      </c>
      <c r="D1544" t="s">
        <v>3570</v>
      </c>
      <c r="E1544" t="s">
        <v>281</v>
      </c>
      <c r="F1544" t="s">
        <v>281</v>
      </c>
      <c r="G1544" t="s">
        <v>2759</v>
      </c>
      <c r="H1544" t="s">
        <v>281</v>
      </c>
      <c r="I1544" t="s">
        <v>2666</v>
      </c>
      <c r="J1544">
        <v>1</v>
      </c>
      <c r="K1544">
        <v>58</v>
      </c>
    </row>
    <row r="1545" spans="1:11" x14ac:dyDescent="0.2">
      <c r="A1545" t="s">
        <v>3540</v>
      </c>
      <c r="B1545">
        <v>36008</v>
      </c>
      <c r="C1545" t="s">
        <v>1596</v>
      </c>
      <c r="D1545" t="s">
        <v>3558</v>
      </c>
      <c r="E1545" t="s">
        <v>281</v>
      </c>
      <c r="F1545" t="s">
        <v>281</v>
      </c>
      <c r="G1545" t="s">
        <v>3055</v>
      </c>
      <c r="H1545" t="s">
        <v>281</v>
      </c>
      <c r="I1545" t="s">
        <v>2616</v>
      </c>
      <c r="J1545">
        <v>1</v>
      </c>
      <c r="K1545">
        <v>1743</v>
      </c>
    </row>
    <row r="1546" spans="1:11" x14ac:dyDescent="0.2">
      <c r="A1546" t="s">
        <v>3540</v>
      </c>
      <c r="B1546">
        <v>77022</v>
      </c>
      <c r="C1546" t="s">
        <v>1750</v>
      </c>
      <c r="D1546" t="s">
        <v>3564</v>
      </c>
      <c r="E1546" t="s">
        <v>281</v>
      </c>
      <c r="F1546" t="s">
        <v>281</v>
      </c>
      <c r="G1546" t="s">
        <v>2780</v>
      </c>
      <c r="H1546" t="s">
        <v>281</v>
      </c>
      <c r="I1546" t="s">
        <v>2616</v>
      </c>
      <c r="J1546">
        <v>1</v>
      </c>
      <c r="K1546">
        <v>4443</v>
      </c>
    </row>
    <row r="1547" spans="1:11" x14ac:dyDescent="0.2">
      <c r="A1547" t="s">
        <v>3540</v>
      </c>
      <c r="B1547">
        <v>77012</v>
      </c>
      <c r="C1547" t="s">
        <v>1748</v>
      </c>
      <c r="D1547" t="s">
        <v>3552</v>
      </c>
      <c r="E1547" t="s">
        <v>281</v>
      </c>
      <c r="F1547" t="s">
        <v>281</v>
      </c>
      <c r="G1547" t="s">
        <v>2780</v>
      </c>
      <c r="H1547" t="s">
        <v>281</v>
      </c>
      <c r="I1547" t="s">
        <v>2616</v>
      </c>
      <c r="J1547">
        <v>1</v>
      </c>
      <c r="K1547">
        <v>2240</v>
      </c>
    </row>
    <row r="1548" spans="1:11" x14ac:dyDescent="0.2">
      <c r="A1548" t="s">
        <v>3540</v>
      </c>
      <c r="B1548">
        <v>77004</v>
      </c>
      <c r="C1548" t="s">
        <v>2400</v>
      </c>
      <c r="D1548" t="s">
        <v>3559</v>
      </c>
      <c r="E1548" t="s">
        <v>2634</v>
      </c>
      <c r="F1548" t="s">
        <v>281</v>
      </c>
      <c r="G1548" t="s">
        <v>2780</v>
      </c>
      <c r="H1548" t="s">
        <v>2634</v>
      </c>
      <c r="I1548" t="s">
        <v>2616</v>
      </c>
      <c r="J1548">
        <v>1</v>
      </c>
      <c r="K1548">
        <v>1617</v>
      </c>
    </row>
    <row r="1549" spans="1:11" x14ac:dyDescent="0.2">
      <c r="A1549" t="s">
        <v>3540</v>
      </c>
      <c r="B1549">
        <v>32014</v>
      </c>
      <c r="C1549" t="s">
        <v>1583</v>
      </c>
      <c r="D1549" t="s">
        <v>3584</v>
      </c>
      <c r="E1549" t="s">
        <v>281</v>
      </c>
      <c r="F1549" t="s">
        <v>281</v>
      </c>
      <c r="G1549" t="s">
        <v>2844</v>
      </c>
      <c r="H1549" t="s">
        <v>281</v>
      </c>
      <c r="I1549" t="s">
        <v>2616</v>
      </c>
      <c r="J1549">
        <v>1</v>
      </c>
      <c r="K1549">
        <v>2154</v>
      </c>
    </row>
    <row r="1550" spans="1:11" x14ac:dyDescent="0.2">
      <c r="A1550" t="s">
        <v>3540</v>
      </c>
      <c r="B1550">
        <v>37047</v>
      </c>
      <c r="C1550" t="s">
        <v>524</v>
      </c>
      <c r="D1550" t="s">
        <v>3550</v>
      </c>
      <c r="E1550" t="s">
        <v>281</v>
      </c>
      <c r="F1550" t="s">
        <v>281</v>
      </c>
      <c r="G1550" t="s">
        <v>2759</v>
      </c>
      <c r="H1550" t="s">
        <v>281</v>
      </c>
      <c r="I1550" t="s">
        <v>2666</v>
      </c>
      <c r="J1550">
        <v>1</v>
      </c>
      <c r="K1550">
        <v>439</v>
      </c>
    </row>
    <row r="1551" spans="1:11" x14ac:dyDescent="0.2">
      <c r="A1551" t="s">
        <v>3540</v>
      </c>
      <c r="B1551">
        <v>42017</v>
      </c>
      <c r="C1551" t="s">
        <v>2552</v>
      </c>
      <c r="D1551" t="s">
        <v>3563</v>
      </c>
      <c r="E1551" t="s">
        <v>281</v>
      </c>
      <c r="F1551" t="s">
        <v>281</v>
      </c>
      <c r="G1551" t="s">
        <v>2692</v>
      </c>
      <c r="H1551" t="s">
        <v>281</v>
      </c>
      <c r="I1551" t="s">
        <v>2666</v>
      </c>
      <c r="J1551">
        <v>1</v>
      </c>
      <c r="K1551">
        <v>216</v>
      </c>
    </row>
    <row r="1552" spans="1:11" x14ac:dyDescent="0.2">
      <c r="A1552" t="s">
        <v>3540</v>
      </c>
      <c r="B1552">
        <v>77007</v>
      </c>
      <c r="C1552" t="s">
        <v>1746</v>
      </c>
      <c r="D1552" t="s">
        <v>3546</v>
      </c>
      <c r="E1552" t="s">
        <v>281</v>
      </c>
      <c r="F1552" t="s">
        <v>281</v>
      </c>
      <c r="G1552" t="s">
        <v>2780</v>
      </c>
      <c r="H1552" t="s">
        <v>281</v>
      </c>
      <c r="I1552" t="s">
        <v>2616</v>
      </c>
      <c r="J1552">
        <v>1</v>
      </c>
      <c r="K1552">
        <v>3592</v>
      </c>
    </row>
    <row r="1553" spans="1:11" x14ac:dyDescent="0.2">
      <c r="A1553" t="s">
        <v>3540</v>
      </c>
      <c r="B1553">
        <v>36043</v>
      </c>
      <c r="C1553" t="s">
        <v>2545</v>
      </c>
      <c r="D1553" t="s">
        <v>3580</v>
      </c>
      <c r="E1553" t="s">
        <v>281</v>
      </c>
      <c r="F1553" t="s">
        <v>281</v>
      </c>
      <c r="G1553" t="s">
        <v>3055</v>
      </c>
      <c r="H1553" t="s">
        <v>281</v>
      </c>
      <c r="I1553" t="s">
        <v>2666</v>
      </c>
      <c r="J1553">
        <v>1</v>
      </c>
      <c r="K1553">
        <v>232</v>
      </c>
    </row>
    <row r="1554" spans="1:11" x14ac:dyDescent="0.2">
      <c r="A1554" t="s">
        <v>3540</v>
      </c>
      <c r="B1554">
        <v>77017</v>
      </c>
      <c r="C1554" t="s">
        <v>697</v>
      </c>
      <c r="D1554" t="s">
        <v>3586</v>
      </c>
      <c r="E1554" t="s">
        <v>281</v>
      </c>
      <c r="F1554" t="s">
        <v>281</v>
      </c>
      <c r="G1554" t="s">
        <v>2780</v>
      </c>
      <c r="H1554" t="s">
        <v>281</v>
      </c>
      <c r="I1554" t="s">
        <v>2666</v>
      </c>
      <c r="J1554">
        <v>1</v>
      </c>
      <c r="K1554">
        <v>180</v>
      </c>
    </row>
    <row r="1555" spans="1:11" x14ac:dyDescent="0.2">
      <c r="A1555" t="s">
        <v>3540</v>
      </c>
      <c r="B1555">
        <v>77001</v>
      </c>
      <c r="C1555" t="s">
        <v>1744</v>
      </c>
      <c r="D1555" t="s">
        <v>3565</v>
      </c>
      <c r="E1555" t="s">
        <v>281</v>
      </c>
      <c r="F1555" t="s">
        <v>281</v>
      </c>
      <c r="G1555" t="s">
        <v>2780</v>
      </c>
      <c r="H1555" t="s">
        <v>281</v>
      </c>
      <c r="I1555" t="s">
        <v>2616</v>
      </c>
      <c r="J1555">
        <v>1</v>
      </c>
      <c r="K1555">
        <v>892</v>
      </c>
    </row>
    <row r="1556" spans="1:11" x14ac:dyDescent="0.2">
      <c r="A1556" t="s">
        <v>3540</v>
      </c>
      <c r="B1556">
        <v>37001</v>
      </c>
      <c r="C1556" t="s">
        <v>1145</v>
      </c>
      <c r="D1556" t="s">
        <v>3573</v>
      </c>
      <c r="E1556" t="s">
        <v>281</v>
      </c>
      <c r="F1556" t="s">
        <v>281</v>
      </c>
      <c r="G1556" t="s">
        <v>2759</v>
      </c>
      <c r="H1556" t="s">
        <v>281</v>
      </c>
      <c r="I1556" t="s">
        <v>2666</v>
      </c>
      <c r="J1556">
        <v>1</v>
      </c>
      <c r="K1556">
        <v>92</v>
      </c>
    </row>
    <row r="1557" spans="1:11" x14ac:dyDescent="0.2">
      <c r="A1557" t="s">
        <v>3540</v>
      </c>
      <c r="B1557">
        <v>37006</v>
      </c>
      <c r="C1557" t="s">
        <v>1599</v>
      </c>
      <c r="D1557" t="s">
        <v>3554</v>
      </c>
      <c r="E1557" t="s">
        <v>281</v>
      </c>
      <c r="F1557" t="s">
        <v>281</v>
      </c>
      <c r="G1557" t="s">
        <v>2759</v>
      </c>
      <c r="H1557" t="s">
        <v>281</v>
      </c>
      <c r="I1557" t="s">
        <v>2616</v>
      </c>
      <c r="J1557">
        <v>1</v>
      </c>
      <c r="K1557">
        <v>3001</v>
      </c>
    </row>
    <row r="1558" spans="1:11" x14ac:dyDescent="0.2">
      <c r="A1558" t="s">
        <v>3540</v>
      </c>
      <c r="B1558">
        <v>37007</v>
      </c>
      <c r="C1558" t="s">
        <v>293</v>
      </c>
      <c r="D1558" t="s">
        <v>3590</v>
      </c>
      <c r="E1558" t="s">
        <v>281</v>
      </c>
      <c r="F1558" t="s">
        <v>281</v>
      </c>
      <c r="G1558" t="s">
        <v>2759</v>
      </c>
      <c r="H1558" t="s">
        <v>281</v>
      </c>
      <c r="I1558" t="s">
        <v>2616</v>
      </c>
      <c r="J1558">
        <v>1</v>
      </c>
      <c r="K1558">
        <v>987</v>
      </c>
    </row>
    <row r="1559" spans="1:11" x14ac:dyDescent="0.2">
      <c r="A1559" t="s">
        <v>3540</v>
      </c>
      <c r="B1559">
        <v>37025</v>
      </c>
      <c r="C1559" t="s">
        <v>1602</v>
      </c>
      <c r="D1559" t="s">
        <v>3553</v>
      </c>
      <c r="E1559" t="s">
        <v>281</v>
      </c>
      <c r="F1559" t="s">
        <v>281</v>
      </c>
      <c r="G1559" t="s">
        <v>2759</v>
      </c>
      <c r="H1559" t="s">
        <v>281</v>
      </c>
      <c r="I1559" t="s">
        <v>2616</v>
      </c>
      <c r="J1559">
        <v>1</v>
      </c>
      <c r="K1559">
        <v>617</v>
      </c>
    </row>
    <row r="1560" spans="1:11" x14ac:dyDescent="0.2">
      <c r="A1560" t="s">
        <v>3540</v>
      </c>
      <c r="B1560">
        <v>32017</v>
      </c>
      <c r="C1560" t="s">
        <v>1585</v>
      </c>
      <c r="D1560" t="s">
        <v>3557</v>
      </c>
      <c r="E1560" t="s">
        <v>281</v>
      </c>
      <c r="F1560" t="s">
        <v>281</v>
      </c>
      <c r="G1560" t="s">
        <v>2844</v>
      </c>
      <c r="H1560" t="s">
        <v>281</v>
      </c>
      <c r="I1560" t="s">
        <v>2616</v>
      </c>
      <c r="J1560">
        <v>1</v>
      </c>
      <c r="K1560">
        <v>4190</v>
      </c>
    </row>
    <row r="1561" spans="1:11" x14ac:dyDescent="0.2">
      <c r="A1561" t="s">
        <v>3540</v>
      </c>
      <c r="B1561">
        <v>37029</v>
      </c>
      <c r="C1561" t="s">
        <v>1604</v>
      </c>
      <c r="D1561" t="s">
        <v>3582</v>
      </c>
      <c r="E1561" t="s">
        <v>281</v>
      </c>
      <c r="F1561" t="s">
        <v>281</v>
      </c>
      <c r="G1561" t="s">
        <v>2759</v>
      </c>
      <c r="H1561" t="s">
        <v>281</v>
      </c>
      <c r="I1561" t="s">
        <v>2616</v>
      </c>
      <c r="J1561">
        <v>1</v>
      </c>
      <c r="K1561">
        <v>3735</v>
      </c>
    </row>
    <row r="1562" spans="1:11" x14ac:dyDescent="0.2">
      <c r="A1562" t="s">
        <v>3540</v>
      </c>
      <c r="B1562">
        <v>77016</v>
      </c>
      <c r="C1562" t="s">
        <v>1749</v>
      </c>
      <c r="D1562" t="s">
        <v>3544</v>
      </c>
      <c r="E1562" t="s">
        <v>281</v>
      </c>
      <c r="F1562" t="s">
        <v>281</v>
      </c>
      <c r="G1562" t="s">
        <v>2780</v>
      </c>
      <c r="H1562" t="s">
        <v>281</v>
      </c>
      <c r="I1562" t="s">
        <v>2616</v>
      </c>
      <c r="J1562">
        <v>1</v>
      </c>
      <c r="K1562">
        <v>9499</v>
      </c>
    </row>
    <row r="1563" spans="1:11" x14ac:dyDescent="0.2">
      <c r="A1563" t="s">
        <v>3540</v>
      </c>
      <c r="B1563">
        <v>77009</v>
      </c>
      <c r="C1563" t="s">
        <v>1747</v>
      </c>
      <c r="D1563" t="s">
        <v>3597</v>
      </c>
      <c r="E1563" t="s">
        <v>281</v>
      </c>
      <c r="F1563" t="s">
        <v>281</v>
      </c>
      <c r="G1563" t="s">
        <v>2780</v>
      </c>
      <c r="H1563" t="s">
        <v>281</v>
      </c>
      <c r="I1563" t="s">
        <v>2616</v>
      </c>
      <c r="J1563">
        <v>1</v>
      </c>
      <c r="K1563">
        <v>12089.17</v>
      </c>
    </row>
    <row r="1564" spans="1:11" x14ac:dyDescent="0.2">
      <c r="A1564" t="s">
        <v>3540</v>
      </c>
      <c r="B1564">
        <v>27063</v>
      </c>
      <c r="C1564" t="s">
        <v>1552</v>
      </c>
      <c r="D1564" t="s">
        <v>3585</v>
      </c>
      <c r="E1564" t="s">
        <v>279</v>
      </c>
      <c r="F1564" t="s">
        <v>279</v>
      </c>
      <c r="G1564" t="s">
        <v>279</v>
      </c>
      <c r="H1564" t="s">
        <v>279</v>
      </c>
      <c r="I1564" t="s">
        <v>2616</v>
      </c>
      <c r="J1564">
        <v>1</v>
      </c>
      <c r="K1564">
        <v>7916</v>
      </c>
    </row>
    <row r="1565" spans="1:11" x14ac:dyDescent="0.2">
      <c r="A1565" t="s">
        <v>3540</v>
      </c>
      <c r="B1565">
        <v>37068</v>
      </c>
      <c r="C1565" t="s">
        <v>1606</v>
      </c>
      <c r="D1565" t="s">
        <v>3598</v>
      </c>
      <c r="E1565" t="s">
        <v>281</v>
      </c>
      <c r="F1565" t="s">
        <v>281</v>
      </c>
      <c r="G1565" t="s">
        <v>2759</v>
      </c>
      <c r="H1565" t="s">
        <v>281</v>
      </c>
      <c r="I1565" t="s">
        <v>2616</v>
      </c>
      <c r="J1565">
        <v>1</v>
      </c>
      <c r="K1565">
        <v>9076.33</v>
      </c>
    </row>
    <row r="1566" spans="1:11" x14ac:dyDescent="0.2">
      <c r="A1566" t="s">
        <v>3468</v>
      </c>
      <c r="B1566">
        <v>11001</v>
      </c>
      <c r="C1566" t="s">
        <v>1418</v>
      </c>
      <c r="D1566" t="s">
        <v>3525</v>
      </c>
      <c r="E1566" t="s">
        <v>31</v>
      </c>
      <c r="F1566" t="s">
        <v>283</v>
      </c>
      <c r="G1566" t="s">
        <v>2805</v>
      </c>
      <c r="H1566" t="s">
        <v>31</v>
      </c>
      <c r="I1566" t="s">
        <v>2616</v>
      </c>
      <c r="J1566">
        <v>1</v>
      </c>
      <c r="K1566">
        <v>11624.64</v>
      </c>
    </row>
    <row r="1567" spans="1:11" x14ac:dyDescent="0.2">
      <c r="A1567" t="s">
        <v>3468</v>
      </c>
      <c r="B1567">
        <v>150162</v>
      </c>
      <c r="C1567" t="s">
        <v>1867</v>
      </c>
      <c r="D1567" t="s">
        <v>3529</v>
      </c>
      <c r="E1567" t="s">
        <v>189</v>
      </c>
      <c r="F1567" t="s">
        <v>189</v>
      </c>
      <c r="G1567" t="s">
        <v>3466</v>
      </c>
      <c r="H1567" t="s">
        <v>189</v>
      </c>
      <c r="I1567" t="s">
        <v>2616</v>
      </c>
      <c r="J1567">
        <v>1</v>
      </c>
      <c r="K1567">
        <v>258</v>
      </c>
    </row>
    <row r="1568" spans="1:11" x14ac:dyDescent="0.2">
      <c r="A1568" t="s">
        <v>3468</v>
      </c>
      <c r="B1568">
        <v>150041</v>
      </c>
      <c r="C1568" t="s">
        <v>1813</v>
      </c>
      <c r="D1568" t="s">
        <v>3477</v>
      </c>
      <c r="E1568" t="s">
        <v>189</v>
      </c>
      <c r="F1568" t="s">
        <v>189</v>
      </c>
      <c r="G1568" t="s">
        <v>3108</v>
      </c>
      <c r="H1568" t="s">
        <v>189</v>
      </c>
      <c r="I1568" t="s">
        <v>2616</v>
      </c>
      <c r="J1568">
        <v>1</v>
      </c>
      <c r="K1568">
        <v>182</v>
      </c>
    </row>
    <row r="1569" spans="1:11" x14ac:dyDescent="0.2">
      <c r="A1569" t="s">
        <v>3468</v>
      </c>
      <c r="B1569">
        <v>151024</v>
      </c>
      <c r="C1569" t="s">
        <v>2472</v>
      </c>
      <c r="D1569" t="s">
        <v>3486</v>
      </c>
      <c r="E1569" t="s">
        <v>189</v>
      </c>
      <c r="F1569" t="s">
        <v>189</v>
      </c>
      <c r="G1569" t="s">
        <v>3108</v>
      </c>
      <c r="H1569" t="s">
        <v>189</v>
      </c>
      <c r="I1569" t="s">
        <v>2666</v>
      </c>
      <c r="J1569">
        <v>1</v>
      </c>
      <c r="K1569">
        <v>18</v>
      </c>
    </row>
    <row r="1570" spans="1:11" x14ac:dyDescent="0.2">
      <c r="A1570" t="s">
        <v>3468</v>
      </c>
      <c r="B1570">
        <v>12017</v>
      </c>
      <c r="C1570" t="s">
        <v>1425</v>
      </c>
      <c r="D1570" t="s">
        <v>3538</v>
      </c>
      <c r="E1570" t="s">
        <v>279</v>
      </c>
      <c r="F1570" t="s">
        <v>279</v>
      </c>
      <c r="G1570" t="s">
        <v>2686</v>
      </c>
      <c r="H1570" t="s">
        <v>279</v>
      </c>
      <c r="I1570" t="s">
        <v>2616</v>
      </c>
      <c r="J1570">
        <v>1</v>
      </c>
      <c r="K1570">
        <v>8127</v>
      </c>
    </row>
    <row r="1571" spans="1:11" x14ac:dyDescent="0.2">
      <c r="A1571" t="s">
        <v>3468</v>
      </c>
      <c r="B1571">
        <v>150196</v>
      </c>
      <c r="C1571" t="s">
        <v>786</v>
      </c>
      <c r="D1571" t="s">
        <v>3513</v>
      </c>
      <c r="E1571" t="s">
        <v>189</v>
      </c>
      <c r="F1571" t="s">
        <v>189</v>
      </c>
      <c r="G1571" t="s">
        <v>3482</v>
      </c>
      <c r="H1571" t="s">
        <v>189</v>
      </c>
      <c r="I1571" t="s">
        <v>2666</v>
      </c>
      <c r="J1571">
        <v>1</v>
      </c>
      <c r="K1571">
        <v>9</v>
      </c>
    </row>
    <row r="1572" spans="1:11" x14ac:dyDescent="0.2">
      <c r="A1572" t="s">
        <v>3468</v>
      </c>
      <c r="B1572">
        <v>150451</v>
      </c>
      <c r="C1572" t="s">
        <v>1908</v>
      </c>
      <c r="D1572" t="s">
        <v>3502</v>
      </c>
      <c r="E1572" t="s">
        <v>189</v>
      </c>
      <c r="F1572" t="s">
        <v>189</v>
      </c>
      <c r="G1572" t="s">
        <v>3491</v>
      </c>
      <c r="H1572" t="s">
        <v>189</v>
      </c>
      <c r="I1572" t="s">
        <v>2616</v>
      </c>
      <c r="J1572">
        <v>1</v>
      </c>
      <c r="K1572">
        <v>414</v>
      </c>
    </row>
    <row r="1573" spans="1:11" x14ac:dyDescent="0.2">
      <c r="A1573" t="s">
        <v>3468</v>
      </c>
      <c r="B1573">
        <v>150103</v>
      </c>
      <c r="C1573" t="s">
        <v>1840</v>
      </c>
      <c r="D1573" t="s">
        <v>3493</v>
      </c>
      <c r="E1573" t="s">
        <v>189</v>
      </c>
      <c r="F1573" t="s">
        <v>189</v>
      </c>
      <c r="G1573" t="s">
        <v>3491</v>
      </c>
      <c r="H1573" t="s">
        <v>189</v>
      </c>
      <c r="I1573" t="s">
        <v>2616</v>
      </c>
      <c r="J1573">
        <v>1</v>
      </c>
      <c r="K1573">
        <v>196</v>
      </c>
    </row>
    <row r="1574" spans="1:11" x14ac:dyDescent="0.2">
      <c r="A1574" t="s">
        <v>3468</v>
      </c>
      <c r="B1574">
        <v>150161</v>
      </c>
      <c r="C1574" t="s">
        <v>1326</v>
      </c>
      <c r="D1574" t="s">
        <v>3488</v>
      </c>
      <c r="E1574" t="s">
        <v>189</v>
      </c>
      <c r="F1574" t="s">
        <v>189</v>
      </c>
      <c r="G1574" t="s">
        <v>3466</v>
      </c>
      <c r="H1574" t="s">
        <v>189</v>
      </c>
      <c r="I1574" t="s">
        <v>2666</v>
      </c>
      <c r="J1574">
        <v>1</v>
      </c>
      <c r="K1574">
        <v>5</v>
      </c>
    </row>
    <row r="1575" spans="1:11" x14ac:dyDescent="0.2">
      <c r="A1575" t="s">
        <v>3468</v>
      </c>
      <c r="B1575">
        <v>150053</v>
      </c>
      <c r="C1575" t="s">
        <v>1818</v>
      </c>
      <c r="D1575" t="s">
        <v>3523</v>
      </c>
      <c r="E1575" t="s">
        <v>189</v>
      </c>
      <c r="F1575" t="s">
        <v>189</v>
      </c>
      <c r="G1575" t="s">
        <v>3470</v>
      </c>
      <c r="H1575" t="s">
        <v>189</v>
      </c>
      <c r="I1575" t="s">
        <v>2616</v>
      </c>
      <c r="J1575">
        <v>1</v>
      </c>
      <c r="K1575">
        <v>154</v>
      </c>
    </row>
    <row r="1576" spans="1:11" x14ac:dyDescent="0.2">
      <c r="A1576" t="s">
        <v>3468</v>
      </c>
      <c r="B1576">
        <v>150101</v>
      </c>
      <c r="C1576" t="s">
        <v>1839</v>
      </c>
      <c r="D1576" t="s">
        <v>3524</v>
      </c>
      <c r="E1576" t="s">
        <v>189</v>
      </c>
      <c r="F1576" t="s">
        <v>189</v>
      </c>
      <c r="G1576" t="s">
        <v>3466</v>
      </c>
      <c r="H1576" t="s">
        <v>189</v>
      </c>
      <c r="I1576" t="s">
        <v>2616</v>
      </c>
      <c r="J1576">
        <v>1</v>
      </c>
      <c r="K1576">
        <v>30</v>
      </c>
    </row>
    <row r="1577" spans="1:11" x14ac:dyDescent="0.2">
      <c r="A1577" t="s">
        <v>3468</v>
      </c>
      <c r="B1577">
        <v>150010</v>
      </c>
      <c r="C1577" t="s">
        <v>764</v>
      </c>
      <c r="D1577" t="s">
        <v>3511</v>
      </c>
      <c r="E1577" t="s">
        <v>189</v>
      </c>
      <c r="F1577" t="s">
        <v>189</v>
      </c>
      <c r="G1577" t="s">
        <v>3491</v>
      </c>
      <c r="H1577" t="s">
        <v>189</v>
      </c>
      <c r="I1577" t="s">
        <v>2666</v>
      </c>
      <c r="J1577">
        <v>1</v>
      </c>
      <c r="K1577">
        <v>78</v>
      </c>
    </row>
    <row r="1578" spans="1:11" x14ac:dyDescent="0.2">
      <c r="A1578" t="s">
        <v>3468</v>
      </c>
      <c r="B1578">
        <v>150002</v>
      </c>
      <c r="C1578" t="s">
        <v>1795</v>
      </c>
      <c r="D1578" t="s">
        <v>3501</v>
      </c>
      <c r="E1578" t="s">
        <v>189</v>
      </c>
      <c r="F1578" t="s">
        <v>189</v>
      </c>
      <c r="G1578" t="s">
        <v>3491</v>
      </c>
      <c r="H1578" t="s">
        <v>189</v>
      </c>
      <c r="I1578" t="s">
        <v>2616</v>
      </c>
      <c r="J1578">
        <v>1</v>
      </c>
      <c r="K1578">
        <v>1489</v>
      </c>
    </row>
    <row r="1579" spans="1:11" x14ac:dyDescent="0.2">
      <c r="A1579" t="s">
        <v>3468</v>
      </c>
      <c r="B1579">
        <v>150048</v>
      </c>
      <c r="C1579" t="s">
        <v>1816</v>
      </c>
      <c r="D1579" t="s">
        <v>3517</v>
      </c>
      <c r="E1579" t="s">
        <v>189</v>
      </c>
      <c r="F1579" t="s">
        <v>189</v>
      </c>
      <c r="G1579" t="s">
        <v>3516</v>
      </c>
      <c r="H1579" t="s">
        <v>189</v>
      </c>
      <c r="I1579" t="s">
        <v>2616</v>
      </c>
      <c r="J1579">
        <v>1</v>
      </c>
      <c r="K1579">
        <v>465</v>
      </c>
    </row>
    <row r="1580" spans="1:11" x14ac:dyDescent="0.2">
      <c r="A1580" t="s">
        <v>3468</v>
      </c>
      <c r="B1580">
        <v>201048</v>
      </c>
      <c r="C1580" t="s">
        <v>2491</v>
      </c>
      <c r="D1580" t="s">
        <v>3527</v>
      </c>
      <c r="E1580" t="s">
        <v>189</v>
      </c>
      <c r="F1580" t="s">
        <v>189</v>
      </c>
      <c r="G1580" t="s">
        <v>3480</v>
      </c>
      <c r="H1580" t="s">
        <v>189</v>
      </c>
      <c r="I1580" t="s">
        <v>2616</v>
      </c>
      <c r="J1580">
        <v>1</v>
      </c>
      <c r="K1580">
        <v>824</v>
      </c>
    </row>
    <row r="1581" spans="1:11" x14ac:dyDescent="0.2">
      <c r="A1581" t="s">
        <v>3468</v>
      </c>
      <c r="B1581">
        <v>150232</v>
      </c>
      <c r="C1581" t="s">
        <v>791</v>
      </c>
      <c r="D1581" t="s">
        <v>3479</v>
      </c>
      <c r="E1581" t="s">
        <v>189</v>
      </c>
      <c r="F1581" t="s">
        <v>189</v>
      </c>
      <c r="G1581" t="s">
        <v>3470</v>
      </c>
      <c r="H1581" t="s">
        <v>189</v>
      </c>
      <c r="I1581" t="s">
        <v>2666</v>
      </c>
      <c r="J1581">
        <v>1</v>
      </c>
      <c r="K1581">
        <v>4</v>
      </c>
    </row>
    <row r="1582" spans="1:11" x14ac:dyDescent="0.2">
      <c r="A1582" t="s">
        <v>3468</v>
      </c>
      <c r="B1582">
        <v>150499</v>
      </c>
      <c r="C1582" t="s">
        <v>798</v>
      </c>
      <c r="D1582" t="s">
        <v>3481</v>
      </c>
      <c r="E1582" t="s">
        <v>189</v>
      </c>
      <c r="F1582" t="s">
        <v>189</v>
      </c>
      <c r="G1582" t="s">
        <v>3480</v>
      </c>
      <c r="H1582" t="s">
        <v>189</v>
      </c>
      <c r="I1582" t="s">
        <v>2666</v>
      </c>
      <c r="J1582">
        <v>1</v>
      </c>
      <c r="K1582">
        <v>9</v>
      </c>
    </row>
    <row r="1583" spans="1:11" x14ac:dyDescent="0.2">
      <c r="A1583" t="s">
        <v>3468</v>
      </c>
      <c r="B1583">
        <v>11014</v>
      </c>
      <c r="C1583" t="s">
        <v>1421</v>
      </c>
      <c r="D1583" t="s">
        <v>3508</v>
      </c>
      <c r="E1583" t="s">
        <v>279</v>
      </c>
      <c r="F1583" t="s">
        <v>279</v>
      </c>
      <c r="G1583" t="s">
        <v>2686</v>
      </c>
      <c r="H1583" t="s">
        <v>279</v>
      </c>
      <c r="I1583" t="s">
        <v>2616</v>
      </c>
      <c r="J1583">
        <v>1</v>
      </c>
      <c r="K1583">
        <v>4969</v>
      </c>
    </row>
    <row r="1584" spans="1:11" x14ac:dyDescent="0.2">
      <c r="A1584" t="s">
        <v>3468</v>
      </c>
      <c r="B1584">
        <v>150042</v>
      </c>
      <c r="C1584" t="s">
        <v>1814</v>
      </c>
      <c r="D1584" t="s">
        <v>3534</v>
      </c>
      <c r="E1584" t="s">
        <v>189</v>
      </c>
      <c r="F1584" t="s">
        <v>189</v>
      </c>
      <c r="G1584" t="s">
        <v>3466</v>
      </c>
      <c r="H1584" t="s">
        <v>189</v>
      </c>
      <c r="I1584" t="s">
        <v>2616</v>
      </c>
      <c r="J1584">
        <v>1</v>
      </c>
      <c r="K1584">
        <v>105</v>
      </c>
    </row>
    <row r="1585" spans="1:11" x14ac:dyDescent="0.2">
      <c r="A1585" t="s">
        <v>3468</v>
      </c>
      <c r="B1585">
        <v>150271</v>
      </c>
      <c r="C1585" t="s">
        <v>1305</v>
      </c>
      <c r="D1585" t="s">
        <v>3490</v>
      </c>
      <c r="E1585" t="s">
        <v>189</v>
      </c>
      <c r="F1585" t="s">
        <v>189</v>
      </c>
      <c r="G1585" t="s">
        <v>3489</v>
      </c>
      <c r="H1585" t="s">
        <v>189</v>
      </c>
      <c r="I1585" t="s">
        <v>2616</v>
      </c>
      <c r="J1585">
        <v>1</v>
      </c>
      <c r="K1585">
        <v>9</v>
      </c>
    </row>
    <row r="1586" spans="1:11" x14ac:dyDescent="0.2">
      <c r="A1586" t="s">
        <v>3468</v>
      </c>
      <c r="B1586">
        <v>150260</v>
      </c>
      <c r="C1586" t="s">
        <v>1328</v>
      </c>
      <c r="D1586" t="s">
        <v>3505</v>
      </c>
      <c r="E1586" t="s">
        <v>189</v>
      </c>
      <c r="F1586" t="s">
        <v>189</v>
      </c>
      <c r="G1586" t="s">
        <v>3504</v>
      </c>
      <c r="H1586" t="s">
        <v>189</v>
      </c>
      <c r="I1586" t="s">
        <v>2666</v>
      </c>
      <c r="J1586">
        <v>1</v>
      </c>
      <c r="K1586">
        <v>17</v>
      </c>
    </row>
    <row r="1587" spans="1:11" x14ac:dyDescent="0.2">
      <c r="A1587" t="s">
        <v>3468</v>
      </c>
      <c r="B1587">
        <v>150081</v>
      </c>
      <c r="C1587" t="s">
        <v>1833</v>
      </c>
      <c r="D1587" t="s">
        <v>3472</v>
      </c>
      <c r="E1587" t="s">
        <v>189</v>
      </c>
      <c r="F1587" t="s">
        <v>189</v>
      </c>
      <c r="G1587" t="s">
        <v>3466</v>
      </c>
      <c r="H1587" t="s">
        <v>189</v>
      </c>
      <c r="I1587" t="s">
        <v>2616</v>
      </c>
      <c r="J1587">
        <v>1</v>
      </c>
      <c r="K1587">
        <v>503</v>
      </c>
    </row>
    <row r="1588" spans="1:11" x14ac:dyDescent="0.2">
      <c r="A1588" t="s">
        <v>3468</v>
      </c>
      <c r="B1588">
        <v>150110</v>
      </c>
      <c r="C1588" t="s">
        <v>1325</v>
      </c>
      <c r="D1588" t="s">
        <v>3519</v>
      </c>
      <c r="E1588" t="s">
        <v>189</v>
      </c>
      <c r="F1588" t="s">
        <v>189</v>
      </c>
      <c r="G1588" t="s">
        <v>3480</v>
      </c>
      <c r="H1588" t="s">
        <v>189</v>
      </c>
      <c r="I1588" t="s">
        <v>2666</v>
      </c>
      <c r="J1588">
        <v>1</v>
      </c>
      <c r="K1588">
        <v>15</v>
      </c>
    </row>
    <row r="1589" spans="1:11" x14ac:dyDescent="0.2">
      <c r="A1589" t="s">
        <v>3468</v>
      </c>
      <c r="B1589">
        <v>150619</v>
      </c>
      <c r="C1589" t="s">
        <v>800</v>
      </c>
      <c r="D1589" t="s">
        <v>3520</v>
      </c>
      <c r="E1589" t="s">
        <v>189</v>
      </c>
      <c r="F1589" t="s">
        <v>189</v>
      </c>
      <c r="G1589" t="s">
        <v>3516</v>
      </c>
      <c r="H1589" t="s">
        <v>189</v>
      </c>
      <c r="I1589" t="s">
        <v>2666</v>
      </c>
      <c r="J1589">
        <v>1</v>
      </c>
      <c r="K1589">
        <v>49</v>
      </c>
    </row>
    <row r="1590" spans="1:11" x14ac:dyDescent="0.2">
      <c r="A1590" t="s">
        <v>3468</v>
      </c>
      <c r="B1590">
        <v>150202</v>
      </c>
      <c r="C1590" t="s">
        <v>1887</v>
      </c>
      <c r="D1590" t="s">
        <v>3533</v>
      </c>
      <c r="E1590" t="s">
        <v>189</v>
      </c>
      <c r="F1590" t="s">
        <v>189</v>
      </c>
      <c r="G1590" t="s">
        <v>3466</v>
      </c>
      <c r="H1590" t="s">
        <v>189</v>
      </c>
      <c r="I1590" t="s">
        <v>2616</v>
      </c>
      <c r="J1590">
        <v>1</v>
      </c>
      <c r="K1590">
        <v>30</v>
      </c>
    </row>
    <row r="1591" spans="1:11" x14ac:dyDescent="0.2">
      <c r="A1591" t="s">
        <v>3468</v>
      </c>
      <c r="B1591">
        <v>150122</v>
      </c>
      <c r="C1591" t="s">
        <v>774</v>
      </c>
      <c r="D1591" t="s">
        <v>3526</v>
      </c>
      <c r="E1591" t="s">
        <v>2634</v>
      </c>
      <c r="F1591" t="s">
        <v>189</v>
      </c>
      <c r="G1591" t="s">
        <v>3470</v>
      </c>
      <c r="H1591" t="s">
        <v>2634</v>
      </c>
      <c r="I1591" t="s">
        <v>2666</v>
      </c>
      <c r="J1591">
        <v>1</v>
      </c>
      <c r="K1591">
        <v>5</v>
      </c>
    </row>
    <row r="1592" spans="1:11" x14ac:dyDescent="0.2">
      <c r="A1592" t="s">
        <v>3468</v>
      </c>
      <c r="B1592">
        <v>150001</v>
      </c>
      <c r="C1592" t="s">
        <v>1794</v>
      </c>
      <c r="D1592" t="s">
        <v>3471</v>
      </c>
      <c r="E1592" t="s">
        <v>189</v>
      </c>
      <c r="F1592" t="s">
        <v>189</v>
      </c>
      <c r="G1592" t="s">
        <v>3470</v>
      </c>
      <c r="H1592" t="s">
        <v>189</v>
      </c>
      <c r="I1592" t="s">
        <v>2616</v>
      </c>
      <c r="J1592">
        <v>1</v>
      </c>
      <c r="K1592">
        <v>880</v>
      </c>
    </row>
    <row r="1593" spans="1:11" x14ac:dyDescent="0.2">
      <c r="A1593" t="s">
        <v>3468</v>
      </c>
      <c r="B1593">
        <v>150190</v>
      </c>
      <c r="C1593" t="s">
        <v>1884</v>
      </c>
      <c r="D1593" t="s">
        <v>3518</v>
      </c>
      <c r="E1593" t="s">
        <v>189</v>
      </c>
      <c r="F1593" t="s">
        <v>189</v>
      </c>
      <c r="G1593" t="s">
        <v>3466</v>
      </c>
      <c r="H1593" t="s">
        <v>189</v>
      </c>
      <c r="I1593" t="s">
        <v>2616</v>
      </c>
      <c r="J1593">
        <v>1</v>
      </c>
      <c r="K1593">
        <v>218</v>
      </c>
    </row>
    <row r="1594" spans="1:11" x14ac:dyDescent="0.2">
      <c r="A1594" t="s">
        <v>3468</v>
      </c>
      <c r="B1594">
        <v>150049</v>
      </c>
      <c r="C1594" t="s">
        <v>768</v>
      </c>
      <c r="D1594" t="s">
        <v>3484</v>
      </c>
      <c r="E1594" t="s">
        <v>189</v>
      </c>
      <c r="F1594" t="s">
        <v>189</v>
      </c>
      <c r="G1594" t="s">
        <v>3470</v>
      </c>
      <c r="H1594" t="s">
        <v>189</v>
      </c>
      <c r="I1594" t="s">
        <v>2666</v>
      </c>
      <c r="J1594">
        <v>1</v>
      </c>
      <c r="K1594">
        <v>25</v>
      </c>
    </row>
    <row r="1595" spans="1:11" x14ac:dyDescent="0.2">
      <c r="A1595" t="s">
        <v>3468</v>
      </c>
      <c r="B1595">
        <v>150203</v>
      </c>
      <c r="C1595" t="s">
        <v>1888</v>
      </c>
      <c r="D1595" t="s">
        <v>3536</v>
      </c>
      <c r="E1595" t="s">
        <v>189</v>
      </c>
      <c r="F1595" t="s">
        <v>189</v>
      </c>
      <c r="G1595" t="s">
        <v>3466</v>
      </c>
      <c r="H1595" t="s">
        <v>189</v>
      </c>
      <c r="I1595" t="s">
        <v>2616</v>
      </c>
      <c r="J1595">
        <v>1</v>
      </c>
      <c r="K1595">
        <v>250</v>
      </c>
    </row>
    <row r="1596" spans="1:11" x14ac:dyDescent="0.2">
      <c r="A1596" t="s">
        <v>3468</v>
      </c>
      <c r="B1596">
        <v>151027</v>
      </c>
      <c r="C1596" t="s">
        <v>802</v>
      </c>
      <c r="D1596" t="s">
        <v>3514</v>
      </c>
      <c r="E1596" t="s">
        <v>189</v>
      </c>
      <c r="F1596" t="s">
        <v>189</v>
      </c>
      <c r="G1596" t="s">
        <v>3108</v>
      </c>
      <c r="H1596" t="s">
        <v>189</v>
      </c>
      <c r="I1596" t="s">
        <v>2666</v>
      </c>
      <c r="J1596">
        <v>1</v>
      </c>
      <c r="K1596">
        <v>59</v>
      </c>
    </row>
    <row r="1597" spans="1:11" x14ac:dyDescent="0.2">
      <c r="A1597" t="s">
        <v>3468</v>
      </c>
      <c r="B1597">
        <v>150137</v>
      </c>
      <c r="C1597" t="s">
        <v>778</v>
      </c>
      <c r="D1597" t="s">
        <v>3483</v>
      </c>
      <c r="E1597" t="s">
        <v>189</v>
      </c>
      <c r="F1597" t="s">
        <v>189</v>
      </c>
      <c r="G1597" t="s">
        <v>3482</v>
      </c>
      <c r="H1597" t="s">
        <v>189</v>
      </c>
      <c r="I1597" t="s">
        <v>2666</v>
      </c>
      <c r="J1597">
        <v>1</v>
      </c>
      <c r="K1597">
        <v>46</v>
      </c>
    </row>
    <row r="1598" spans="1:11" x14ac:dyDescent="0.2">
      <c r="A1598" t="s">
        <v>3468</v>
      </c>
      <c r="B1598">
        <v>150018</v>
      </c>
      <c r="C1598" t="s">
        <v>1802</v>
      </c>
      <c r="D1598" t="s">
        <v>3537</v>
      </c>
      <c r="E1598" t="s">
        <v>189</v>
      </c>
      <c r="F1598" t="s">
        <v>189</v>
      </c>
      <c r="G1598" t="s">
        <v>3516</v>
      </c>
      <c r="H1598" t="s">
        <v>189</v>
      </c>
      <c r="I1598" t="s">
        <v>2616</v>
      </c>
      <c r="J1598">
        <v>1</v>
      </c>
      <c r="K1598">
        <v>195</v>
      </c>
    </row>
    <row r="1599" spans="1:11" x14ac:dyDescent="0.2">
      <c r="A1599" t="s">
        <v>3468</v>
      </c>
      <c r="B1599">
        <v>150036</v>
      </c>
      <c r="C1599" t="s">
        <v>1809</v>
      </c>
      <c r="D1599" t="s">
        <v>3522</v>
      </c>
      <c r="E1599" t="s">
        <v>189</v>
      </c>
      <c r="F1599" t="s">
        <v>189</v>
      </c>
      <c r="G1599" t="s">
        <v>3108</v>
      </c>
      <c r="H1599" t="s">
        <v>189</v>
      </c>
      <c r="I1599" t="s">
        <v>2616</v>
      </c>
      <c r="J1599">
        <v>1</v>
      </c>
      <c r="K1599">
        <v>198</v>
      </c>
    </row>
    <row r="1600" spans="1:11" x14ac:dyDescent="0.2">
      <c r="A1600" t="s">
        <v>3468</v>
      </c>
      <c r="B1600">
        <v>150126</v>
      </c>
      <c r="C1600" t="s">
        <v>1846</v>
      </c>
      <c r="D1600" t="s">
        <v>3478</v>
      </c>
      <c r="E1600" t="s">
        <v>189</v>
      </c>
      <c r="F1600" t="s">
        <v>189</v>
      </c>
      <c r="G1600" t="s">
        <v>3466</v>
      </c>
      <c r="H1600" t="s">
        <v>189</v>
      </c>
      <c r="I1600" t="s">
        <v>2616</v>
      </c>
      <c r="J1600">
        <v>1</v>
      </c>
      <c r="K1600">
        <v>79</v>
      </c>
    </row>
    <row r="1601" spans="1:11" x14ac:dyDescent="0.2">
      <c r="A1601" t="s">
        <v>3468</v>
      </c>
      <c r="B1601">
        <v>150195</v>
      </c>
      <c r="C1601" t="s">
        <v>785</v>
      </c>
      <c r="D1601" t="s">
        <v>3515</v>
      </c>
      <c r="E1601" t="s">
        <v>2634</v>
      </c>
      <c r="F1601" t="s">
        <v>189</v>
      </c>
      <c r="G1601" t="s">
        <v>3482</v>
      </c>
      <c r="H1601" t="s">
        <v>2634</v>
      </c>
      <c r="I1601" t="s">
        <v>2666</v>
      </c>
      <c r="J1601">
        <v>1</v>
      </c>
      <c r="K1601">
        <v>172</v>
      </c>
    </row>
    <row r="1602" spans="1:11" x14ac:dyDescent="0.2">
      <c r="A1602" t="s">
        <v>3468</v>
      </c>
      <c r="B1602">
        <v>150058</v>
      </c>
      <c r="C1602" t="s">
        <v>1820</v>
      </c>
      <c r="D1602" t="s">
        <v>3531</v>
      </c>
      <c r="E1602" t="s">
        <v>189</v>
      </c>
      <c r="F1602" t="s">
        <v>189</v>
      </c>
      <c r="G1602" t="s">
        <v>3530</v>
      </c>
      <c r="H1602" t="s">
        <v>189</v>
      </c>
      <c r="I1602" t="s">
        <v>2616</v>
      </c>
      <c r="J1602">
        <v>1</v>
      </c>
      <c r="K1602">
        <v>15</v>
      </c>
    </row>
    <row r="1603" spans="1:11" x14ac:dyDescent="0.2">
      <c r="A1603" t="s">
        <v>3468</v>
      </c>
      <c r="B1603">
        <v>150628</v>
      </c>
      <c r="C1603" t="s">
        <v>1924</v>
      </c>
      <c r="D1603" t="s">
        <v>3532</v>
      </c>
      <c r="E1603" t="s">
        <v>189</v>
      </c>
      <c r="F1603" t="s">
        <v>189</v>
      </c>
      <c r="G1603" t="s">
        <v>3466</v>
      </c>
      <c r="H1603" t="s">
        <v>189</v>
      </c>
      <c r="I1603" t="s">
        <v>2616</v>
      </c>
      <c r="J1603">
        <v>1</v>
      </c>
      <c r="K1603">
        <v>193</v>
      </c>
    </row>
    <row r="1604" spans="1:11" x14ac:dyDescent="0.2">
      <c r="A1604" t="s">
        <v>3468</v>
      </c>
      <c r="B1604">
        <v>6004</v>
      </c>
      <c r="C1604" t="s">
        <v>1408</v>
      </c>
      <c r="D1604" t="s">
        <v>3498</v>
      </c>
      <c r="E1604" t="s">
        <v>31</v>
      </c>
      <c r="F1604" t="s">
        <v>283</v>
      </c>
      <c r="G1604" t="s">
        <v>2742</v>
      </c>
      <c r="H1604" t="s">
        <v>31</v>
      </c>
      <c r="I1604" t="s">
        <v>2616</v>
      </c>
      <c r="J1604">
        <v>1</v>
      </c>
      <c r="K1604">
        <v>13000.45</v>
      </c>
    </row>
    <row r="1605" spans="1:11" x14ac:dyDescent="0.2">
      <c r="A1605" t="s">
        <v>3468</v>
      </c>
      <c r="B1605">
        <v>150004</v>
      </c>
      <c r="C1605" t="s">
        <v>1796</v>
      </c>
      <c r="D1605" t="s">
        <v>3487</v>
      </c>
      <c r="E1605" t="s">
        <v>189</v>
      </c>
      <c r="F1605" t="s">
        <v>189</v>
      </c>
      <c r="G1605" t="s">
        <v>3108</v>
      </c>
      <c r="H1605" t="s">
        <v>189</v>
      </c>
      <c r="I1605" t="s">
        <v>2616</v>
      </c>
      <c r="J1605">
        <v>1</v>
      </c>
      <c r="K1605">
        <v>555</v>
      </c>
    </row>
    <row r="1606" spans="1:11" x14ac:dyDescent="0.2">
      <c r="A1606" t="s">
        <v>3468</v>
      </c>
      <c r="B1606">
        <v>150005</v>
      </c>
      <c r="C1606" t="s">
        <v>1797</v>
      </c>
      <c r="D1606" t="s">
        <v>3492</v>
      </c>
      <c r="E1606" t="s">
        <v>189</v>
      </c>
      <c r="F1606" t="s">
        <v>189</v>
      </c>
      <c r="G1606" t="s">
        <v>3491</v>
      </c>
      <c r="H1606" t="s">
        <v>189</v>
      </c>
      <c r="I1606" t="s">
        <v>2616</v>
      </c>
      <c r="J1606">
        <v>1</v>
      </c>
      <c r="K1606">
        <v>455</v>
      </c>
    </row>
    <row r="1607" spans="1:11" x14ac:dyDescent="0.2">
      <c r="A1607" t="s">
        <v>3468</v>
      </c>
      <c r="B1607">
        <v>11005</v>
      </c>
      <c r="C1607" t="s">
        <v>1420</v>
      </c>
      <c r="D1607" t="s">
        <v>3469</v>
      </c>
      <c r="E1607" t="s">
        <v>31</v>
      </c>
      <c r="F1607" t="s">
        <v>283</v>
      </c>
      <c r="G1607" t="s">
        <v>2805</v>
      </c>
      <c r="H1607" t="s">
        <v>31</v>
      </c>
      <c r="I1607" t="s">
        <v>2616</v>
      </c>
      <c r="J1607">
        <v>1</v>
      </c>
      <c r="K1607">
        <v>4027</v>
      </c>
    </row>
    <row r="1608" spans="1:11" x14ac:dyDescent="0.2">
      <c r="A1608" t="s">
        <v>3468</v>
      </c>
      <c r="B1608">
        <v>150084</v>
      </c>
      <c r="C1608" t="s">
        <v>3510</v>
      </c>
      <c r="D1608" t="s">
        <v>3509</v>
      </c>
      <c r="E1608" t="s">
        <v>2634</v>
      </c>
      <c r="F1608" t="s">
        <v>189</v>
      </c>
      <c r="G1608" t="s">
        <v>3108</v>
      </c>
      <c r="H1608" t="s">
        <v>2634</v>
      </c>
      <c r="I1608" t="s">
        <v>2666</v>
      </c>
      <c r="J1608">
        <v>1</v>
      </c>
      <c r="K1608">
        <v>374</v>
      </c>
    </row>
    <row r="1609" spans="1:11" x14ac:dyDescent="0.2">
      <c r="A1609" t="s">
        <v>3468</v>
      </c>
      <c r="B1609">
        <v>151028</v>
      </c>
      <c r="C1609" t="s">
        <v>1201</v>
      </c>
      <c r="D1609" t="s">
        <v>3535</v>
      </c>
      <c r="E1609" t="s">
        <v>189</v>
      </c>
      <c r="F1609" t="s">
        <v>189</v>
      </c>
      <c r="G1609" t="s">
        <v>3108</v>
      </c>
      <c r="H1609" t="s">
        <v>189</v>
      </c>
      <c r="I1609" t="s">
        <v>2666</v>
      </c>
      <c r="J1609">
        <v>1</v>
      </c>
      <c r="K1609">
        <v>4</v>
      </c>
    </row>
    <row r="1610" spans="1:11" x14ac:dyDescent="0.2">
      <c r="A1610" t="s">
        <v>3468</v>
      </c>
      <c r="B1610">
        <v>150248</v>
      </c>
      <c r="C1610" t="s">
        <v>1905</v>
      </c>
      <c r="D1610" t="s">
        <v>3495</v>
      </c>
      <c r="E1610" t="s">
        <v>189</v>
      </c>
      <c r="F1610" t="s">
        <v>189</v>
      </c>
      <c r="G1610" t="s">
        <v>3494</v>
      </c>
      <c r="H1610" t="s">
        <v>189</v>
      </c>
      <c r="I1610" t="s">
        <v>2616</v>
      </c>
      <c r="J1610">
        <v>1</v>
      </c>
      <c r="K1610">
        <v>389</v>
      </c>
    </row>
    <row r="1611" spans="1:11" x14ac:dyDescent="0.2">
      <c r="A1611" t="s">
        <v>3468</v>
      </c>
      <c r="B1611">
        <v>150205</v>
      </c>
      <c r="C1611" t="s">
        <v>2568</v>
      </c>
      <c r="D1611" t="s">
        <v>3476</v>
      </c>
      <c r="E1611" t="s">
        <v>189</v>
      </c>
      <c r="F1611" t="s">
        <v>189</v>
      </c>
      <c r="G1611" t="s">
        <v>3466</v>
      </c>
      <c r="H1611" t="s">
        <v>189</v>
      </c>
      <c r="I1611" t="s">
        <v>2666</v>
      </c>
      <c r="J1611">
        <v>1</v>
      </c>
      <c r="K1611">
        <v>10</v>
      </c>
    </row>
    <row r="1612" spans="1:11" x14ac:dyDescent="0.2">
      <c r="A1612" t="s">
        <v>3468</v>
      </c>
      <c r="B1612">
        <v>150159</v>
      </c>
      <c r="C1612" t="s">
        <v>782</v>
      </c>
      <c r="D1612" t="s">
        <v>3467</v>
      </c>
      <c r="E1612" t="s">
        <v>189</v>
      </c>
      <c r="F1612" t="s">
        <v>189</v>
      </c>
      <c r="G1612" t="s">
        <v>3466</v>
      </c>
      <c r="H1612" t="s">
        <v>189</v>
      </c>
      <c r="I1612" t="s">
        <v>2666</v>
      </c>
      <c r="J1612">
        <v>1</v>
      </c>
      <c r="K1612">
        <v>2</v>
      </c>
    </row>
    <row r="1613" spans="1:11" x14ac:dyDescent="0.2">
      <c r="A1613" t="s">
        <v>3468</v>
      </c>
      <c r="B1613">
        <v>12005</v>
      </c>
      <c r="C1613" t="s">
        <v>1422</v>
      </c>
      <c r="D1613" t="s">
        <v>3528</v>
      </c>
      <c r="E1613" t="s">
        <v>279</v>
      </c>
      <c r="F1613" t="s">
        <v>279</v>
      </c>
      <c r="G1613" t="s">
        <v>2686</v>
      </c>
      <c r="H1613" t="s">
        <v>279</v>
      </c>
      <c r="I1613" t="s">
        <v>2616</v>
      </c>
      <c r="J1613">
        <v>1</v>
      </c>
      <c r="K1613">
        <v>10326.17</v>
      </c>
    </row>
    <row r="1614" spans="1:11" x14ac:dyDescent="0.2">
      <c r="A1614" t="s">
        <v>3468</v>
      </c>
      <c r="B1614">
        <v>150124</v>
      </c>
      <c r="C1614" t="s">
        <v>776</v>
      </c>
      <c r="D1614" t="s">
        <v>3474</v>
      </c>
      <c r="E1614" t="s">
        <v>189</v>
      </c>
      <c r="F1614" t="s">
        <v>189</v>
      </c>
      <c r="G1614" t="s">
        <v>3108</v>
      </c>
      <c r="H1614" t="s">
        <v>189</v>
      </c>
      <c r="I1614" t="s">
        <v>2666</v>
      </c>
      <c r="J1614">
        <v>1</v>
      </c>
      <c r="K1614">
        <v>55</v>
      </c>
    </row>
    <row r="1615" spans="1:11" x14ac:dyDescent="0.2">
      <c r="A1615" t="s">
        <v>3468</v>
      </c>
      <c r="B1615">
        <v>12003</v>
      </c>
      <c r="C1615" t="s">
        <v>1094</v>
      </c>
      <c r="D1615" t="s">
        <v>3506</v>
      </c>
      <c r="E1615" t="s">
        <v>279</v>
      </c>
      <c r="F1615" t="s">
        <v>279</v>
      </c>
      <c r="G1615" t="s">
        <v>2686</v>
      </c>
      <c r="H1615" t="s">
        <v>279</v>
      </c>
      <c r="I1615" t="s">
        <v>2666</v>
      </c>
      <c r="J1615">
        <v>1</v>
      </c>
      <c r="K1615">
        <v>222</v>
      </c>
    </row>
    <row r="1616" spans="1:11" x14ac:dyDescent="0.2">
      <c r="A1616" t="s">
        <v>3468</v>
      </c>
      <c r="B1616">
        <v>151020</v>
      </c>
      <c r="C1616" t="s">
        <v>1200</v>
      </c>
      <c r="D1616" t="s">
        <v>3521</v>
      </c>
      <c r="E1616" t="s">
        <v>189</v>
      </c>
      <c r="F1616" t="s">
        <v>189</v>
      </c>
      <c r="G1616" t="s">
        <v>3108</v>
      </c>
      <c r="H1616" t="s">
        <v>189</v>
      </c>
      <c r="I1616" t="s">
        <v>2666</v>
      </c>
      <c r="J1616">
        <v>1</v>
      </c>
      <c r="K1616">
        <v>3</v>
      </c>
    </row>
    <row r="1617" spans="1:11" x14ac:dyDescent="0.2">
      <c r="A1617" t="s">
        <v>3468</v>
      </c>
      <c r="B1617">
        <v>150008</v>
      </c>
      <c r="C1617" t="s">
        <v>1798</v>
      </c>
      <c r="D1617" t="s">
        <v>3496</v>
      </c>
      <c r="E1617" t="s">
        <v>189</v>
      </c>
      <c r="F1617" t="s">
        <v>189</v>
      </c>
      <c r="G1617" t="s">
        <v>3466</v>
      </c>
      <c r="H1617" t="s">
        <v>189</v>
      </c>
      <c r="I1617" t="s">
        <v>2616</v>
      </c>
      <c r="J1617">
        <v>1</v>
      </c>
      <c r="K1617">
        <v>3575</v>
      </c>
    </row>
    <row r="1618" spans="1:11" x14ac:dyDescent="0.2">
      <c r="A1618" t="s">
        <v>3468</v>
      </c>
      <c r="B1618">
        <v>150235</v>
      </c>
      <c r="C1618" t="s">
        <v>792</v>
      </c>
      <c r="D1618" t="s">
        <v>3497</v>
      </c>
      <c r="E1618" t="s">
        <v>189</v>
      </c>
      <c r="F1618" t="s">
        <v>189</v>
      </c>
      <c r="G1618" t="s">
        <v>3466</v>
      </c>
      <c r="H1618" t="s">
        <v>189</v>
      </c>
      <c r="I1618" t="s">
        <v>2666</v>
      </c>
      <c r="J1618">
        <v>1</v>
      </c>
      <c r="K1618">
        <v>27</v>
      </c>
    </row>
    <row r="1619" spans="1:11" x14ac:dyDescent="0.2">
      <c r="A1619" t="s">
        <v>3468</v>
      </c>
      <c r="B1619">
        <v>151023</v>
      </c>
      <c r="C1619" t="s">
        <v>1944</v>
      </c>
      <c r="D1619" t="s">
        <v>3475</v>
      </c>
      <c r="E1619" t="s">
        <v>189</v>
      </c>
      <c r="F1619" t="s">
        <v>189</v>
      </c>
      <c r="G1619" t="s">
        <v>3108</v>
      </c>
      <c r="H1619" t="s">
        <v>189</v>
      </c>
      <c r="I1619" t="s">
        <v>2616</v>
      </c>
      <c r="J1619">
        <v>1</v>
      </c>
      <c r="K1619">
        <v>275</v>
      </c>
    </row>
    <row r="1620" spans="1:11" x14ac:dyDescent="0.2">
      <c r="A1620" t="s">
        <v>3468</v>
      </c>
      <c r="B1620">
        <v>150078</v>
      </c>
      <c r="C1620" t="s">
        <v>1831</v>
      </c>
      <c r="D1620" t="s">
        <v>2705</v>
      </c>
      <c r="E1620" t="s">
        <v>189</v>
      </c>
      <c r="F1620" t="s">
        <v>189</v>
      </c>
      <c r="G1620" t="s">
        <v>3466</v>
      </c>
      <c r="H1620" t="s">
        <v>189</v>
      </c>
      <c r="I1620" t="s">
        <v>2616</v>
      </c>
      <c r="J1620">
        <v>1</v>
      </c>
      <c r="K1620">
        <v>72</v>
      </c>
    </row>
    <row r="1621" spans="1:11" x14ac:dyDescent="0.2">
      <c r="A1621" t="s">
        <v>3468</v>
      </c>
      <c r="B1621">
        <v>150192</v>
      </c>
      <c r="C1621" t="s">
        <v>1886</v>
      </c>
      <c r="D1621" t="s">
        <v>3507</v>
      </c>
      <c r="E1621" t="s">
        <v>189</v>
      </c>
      <c r="F1621" t="s">
        <v>189</v>
      </c>
      <c r="G1621" t="s">
        <v>3108</v>
      </c>
      <c r="H1621" t="s">
        <v>189</v>
      </c>
      <c r="I1621" t="s">
        <v>2616</v>
      </c>
      <c r="J1621">
        <v>1</v>
      </c>
      <c r="K1621">
        <v>142</v>
      </c>
    </row>
    <row r="1622" spans="1:11" x14ac:dyDescent="0.2">
      <c r="A1622" t="s">
        <v>3468</v>
      </c>
      <c r="B1622">
        <v>150040</v>
      </c>
      <c r="C1622" t="s">
        <v>1812</v>
      </c>
      <c r="D1622" t="s">
        <v>3473</v>
      </c>
      <c r="E1622" t="s">
        <v>189</v>
      </c>
      <c r="F1622" t="s">
        <v>189</v>
      </c>
      <c r="G1622" t="s">
        <v>3470</v>
      </c>
      <c r="H1622" t="s">
        <v>189</v>
      </c>
      <c r="I1622" t="s">
        <v>2616</v>
      </c>
      <c r="J1622">
        <v>1</v>
      </c>
      <c r="K1622">
        <v>281</v>
      </c>
    </row>
    <row r="1623" spans="1:11" x14ac:dyDescent="0.2">
      <c r="A1623" t="s">
        <v>3468</v>
      </c>
      <c r="B1623">
        <v>150100</v>
      </c>
      <c r="C1623" t="s">
        <v>1838</v>
      </c>
      <c r="D1623" t="s">
        <v>3503</v>
      </c>
      <c r="E1623" t="s">
        <v>189</v>
      </c>
      <c r="F1623" t="s">
        <v>189</v>
      </c>
      <c r="G1623" t="s">
        <v>3108</v>
      </c>
      <c r="H1623" t="s">
        <v>189</v>
      </c>
      <c r="I1623" t="s">
        <v>2616</v>
      </c>
      <c r="J1623">
        <v>1</v>
      </c>
      <c r="K1623">
        <v>615</v>
      </c>
    </row>
    <row r="1624" spans="1:11" x14ac:dyDescent="0.2">
      <c r="A1624" t="s">
        <v>3468</v>
      </c>
      <c r="B1624">
        <v>150450</v>
      </c>
      <c r="C1624" t="s">
        <v>797</v>
      </c>
      <c r="D1624" t="s">
        <v>3500</v>
      </c>
      <c r="E1624" t="s">
        <v>189</v>
      </c>
      <c r="F1624" t="s">
        <v>189</v>
      </c>
      <c r="G1624" t="s">
        <v>3491</v>
      </c>
      <c r="H1624" t="s">
        <v>189</v>
      </c>
      <c r="I1624" t="s">
        <v>2666</v>
      </c>
      <c r="J1624">
        <v>1</v>
      </c>
      <c r="K1624">
        <v>20</v>
      </c>
    </row>
    <row r="1625" spans="1:11" x14ac:dyDescent="0.2">
      <c r="A1625" t="s">
        <v>3468</v>
      </c>
      <c r="B1625">
        <v>150501</v>
      </c>
      <c r="C1625" t="s">
        <v>1199</v>
      </c>
      <c r="D1625" t="s">
        <v>3499</v>
      </c>
      <c r="E1625" t="s">
        <v>189</v>
      </c>
      <c r="F1625" t="s">
        <v>189</v>
      </c>
      <c r="G1625" t="s">
        <v>3482</v>
      </c>
      <c r="H1625" t="s">
        <v>189</v>
      </c>
      <c r="I1625" t="s">
        <v>2666</v>
      </c>
      <c r="J1625">
        <v>1</v>
      </c>
      <c r="K1625">
        <v>102</v>
      </c>
    </row>
    <row r="1626" spans="1:11" x14ac:dyDescent="0.2">
      <c r="A1626" t="s">
        <v>3468</v>
      </c>
      <c r="B1626">
        <v>150108</v>
      </c>
      <c r="C1626" t="s">
        <v>1842</v>
      </c>
      <c r="D1626" t="s">
        <v>3485</v>
      </c>
      <c r="E1626" t="s">
        <v>189</v>
      </c>
      <c r="F1626" t="s">
        <v>189</v>
      </c>
      <c r="G1626" t="s">
        <v>3108</v>
      </c>
      <c r="H1626" t="s">
        <v>189</v>
      </c>
      <c r="I1626" t="s">
        <v>2616</v>
      </c>
      <c r="J1626">
        <v>1</v>
      </c>
      <c r="K1626">
        <v>158</v>
      </c>
    </row>
    <row r="1627" spans="1:11" x14ac:dyDescent="0.2">
      <c r="A1627" t="s">
        <v>3468</v>
      </c>
      <c r="B1627">
        <v>151022</v>
      </c>
      <c r="C1627" t="s">
        <v>801</v>
      </c>
      <c r="D1627" t="s">
        <v>3512</v>
      </c>
      <c r="E1627" t="s">
        <v>189</v>
      </c>
      <c r="F1627" t="s">
        <v>189</v>
      </c>
      <c r="G1627" t="s">
        <v>3108</v>
      </c>
      <c r="H1627" t="s">
        <v>189</v>
      </c>
      <c r="I1627" t="s">
        <v>2666</v>
      </c>
      <c r="J1627">
        <v>1</v>
      </c>
      <c r="K1627">
        <v>50</v>
      </c>
    </row>
    <row r="1628" spans="1:11" x14ac:dyDescent="0.2">
      <c r="A1628" t="s">
        <v>3419</v>
      </c>
      <c r="B1628">
        <v>201099</v>
      </c>
      <c r="C1628" t="s">
        <v>2495</v>
      </c>
      <c r="D1628" t="s">
        <v>3427</v>
      </c>
      <c r="E1628" t="s">
        <v>281</v>
      </c>
      <c r="F1628" t="s">
        <v>281</v>
      </c>
      <c r="G1628" t="s">
        <v>2913</v>
      </c>
      <c r="H1628" t="s">
        <v>281</v>
      </c>
      <c r="I1628" t="s">
        <v>2616</v>
      </c>
      <c r="J1628">
        <v>1</v>
      </c>
      <c r="K1628">
        <v>398</v>
      </c>
    </row>
    <row r="1629" spans="1:11" x14ac:dyDescent="0.2">
      <c r="A1629" t="s">
        <v>3419</v>
      </c>
      <c r="B1629">
        <v>19027</v>
      </c>
      <c r="C1629" t="s">
        <v>1455</v>
      </c>
      <c r="D1629" t="s">
        <v>3439</v>
      </c>
      <c r="E1629" t="s">
        <v>279</v>
      </c>
      <c r="F1629" t="s">
        <v>279</v>
      </c>
      <c r="G1629" t="s">
        <v>2943</v>
      </c>
      <c r="H1629" t="s">
        <v>279</v>
      </c>
      <c r="I1629" t="s">
        <v>2616</v>
      </c>
      <c r="J1629">
        <v>1</v>
      </c>
      <c r="K1629">
        <v>6349.83</v>
      </c>
    </row>
    <row r="1630" spans="1:11" x14ac:dyDescent="0.2">
      <c r="A1630" t="s">
        <v>3419</v>
      </c>
      <c r="B1630">
        <v>88004</v>
      </c>
      <c r="C1630" t="s">
        <v>1777</v>
      </c>
      <c r="D1630" t="s">
        <v>3464</v>
      </c>
      <c r="E1630" t="s">
        <v>281</v>
      </c>
      <c r="F1630" t="s">
        <v>281</v>
      </c>
      <c r="G1630" t="s">
        <v>2745</v>
      </c>
      <c r="H1630" t="s">
        <v>281</v>
      </c>
      <c r="I1630" t="s">
        <v>2616</v>
      </c>
      <c r="J1630">
        <v>1</v>
      </c>
      <c r="K1630">
        <v>4163</v>
      </c>
    </row>
    <row r="1631" spans="1:11" x14ac:dyDescent="0.2">
      <c r="A1631" t="s">
        <v>3419</v>
      </c>
      <c r="B1631">
        <v>17012</v>
      </c>
      <c r="C1631" t="s">
        <v>1449</v>
      </c>
      <c r="D1631" t="s">
        <v>3461</v>
      </c>
      <c r="E1631" t="s">
        <v>279</v>
      </c>
      <c r="F1631" t="s">
        <v>279</v>
      </c>
      <c r="G1631" t="s">
        <v>2774</v>
      </c>
      <c r="H1631" t="s">
        <v>279</v>
      </c>
      <c r="I1631" t="s">
        <v>2616</v>
      </c>
      <c r="J1631">
        <v>1</v>
      </c>
      <c r="K1631">
        <v>5534</v>
      </c>
    </row>
    <row r="1632" spans="1:11" x14ac:dyDescent="0.2">
      <c r="A1632" t="s">
        <v>3419</v>
      </c>
      <c r="B1632">
        <v>84006</v>
      </c>
      <c r="C1632" t="s">
        <v>1186</v>
      </c>
      <c r="D1632" t="s">
        <v>3462</v>
      </c>
      <c r="E1632" t="s">
        <v>281</v>
      </c>
      <c r="F1632" t="s">
        <v>281</v>
      </c>
      <c r="G1632" t="s">
        <v>2913</v>
      </c>
      <c r="H1632" t="s">
        <v>281</v>
      </c>
      <c r="I1632" t="s">
        <v>2666</v>
      </c>
      <c r="J1632">
        <v>1</v>
      </c>
      <c r="K1632">
        <v>40</v>
      </c>
    </row>
    <row r="1633" spans="1:11" x14ac:dyDescent="0.2">
      <c r="A1633" t="s">
        <v>3419</v>
      </c>
      <c r="B1633">
        <v>87006</v>
      </c>
      <c r="C1633" t="s">
        <v>1190</v>
      </c>
      <c r="D1633" t="s">
        <v>3437</v>
      </c>
      <c r="E1633" t="s">
        <v>281</v>
      </c>
      <c r="F1633" t="s">
        <v>281</v>
      </c>
      <c r="G1633" t="s">
        <v>3417</v>
      </c>
      <c r="H1633" t="s">
        <v>281</v>
      </c>
      <c r="I1633" t="s">
        <v>2666</v>
      </c>
      <c r="J1633">
        <v>1</v>
      </c>
      <c r="K1633">
        <v>72</v>
      </c>
    </row>
    <row r="1634" spans="1:11" x14ac:dyDescent="0.2">
      <c r="A1634" t="s">
        <v>3419</v>
      </c>
      <c r="B1634">
        <v>87004</v>
      </c>
      <c r="C1634" t="s">
        <v>296</v>
      </c>
      <c r="D1634" t="s">
        <v>3418</v>
      </c>
      <c r="E1634" t="s">
        <v>281</v>
      </c>
      <c r="F1634" t="s">
        <v>281</v>
      </c>
      <c r="G1634" t="s">
        <v>3417</v>
      </c>
      <c r="H1634" t="s">
        <v>281</v>
      </c>
      <c r="I1634" t="s">
        <v>2616</v>
      </c>
      <c r="J1634">
        <v>1</v>
      </c>
      <c r="K1634">
        <v>552.20000000000005</v>
      </c>
    </row>
    <row r="1635" spans="1:11" x14ac:dyDescent="0.2">
      <c r="A1635" t="s">
        <v>3419</v>
      </c>
      <c r="B1635">
        <v>96002</v>
      </c>
      <c r="C1635" t="s">
        <v>1789</v>
      </c>
      <c r="D1635" t="s">
        <v>3458</v>
      </c>
      <c r="E1635" t="s">
        <v>281</v>
      </c>
      <c r="F1635" t="s">
        <v>281</v>
      </c>
      <c r="G1635" t="s">
        <v>3256</v>
      </c>
      <c r="H1635" t="s">
        <v>281</v>
      </c>
      <c r="I1635" t="s">
        <v>2616</v>
      </c>
      <c r="J1635">
        <v>1</v>
      </c>
      <c r="K1635">
        <v>13195</v>
      </c>
    </row>
    <row r="1636" spans="1:11" x14ac:dyDescent="0.2">
      <c r="A1636" t="s">
        <v>3419</v>
      </c>
      <c r="B1636">
        <v>93006</v>
      </c>
      <c r="C1636" t="s">
        <v>1784</v>
      </c>
      <c r="D1636" t="s">
        <v>3450</v>
      </c>
      <c r="E1636" t="s">
        <v>281</v>
      </c>
      <c r="F1636" t="s">
        <v>281</v>
      </c>
      <c r="G1636" t="s">
        <v>2708</v>
      </c>
      <c r="H1636" t="s">
        <v>281</v>
      </c>
      <c r="I1636" t="s">
        <v>2616</v>
      </c>
      <c r="J1636">
        <v>1</v>
      </c>
      <c r="K1636">
        <v>3209</v>
      </c>
    </row>
    <row r="1637" spans="1:11" x14ac:dyDescent="0.2">
      <c r="A1637" t="s">
        <v>3419</v>
      </c>
      <c r="B1637">
        <v>11003</v>
      </c>
      <c r="C1637" t="s">
        <v>1419</v>
      </c>
      <c r="D1637" t="s">
        <v>3452</v>
      </c>
      <c r="E1637" t="s">
        <v>31</v>
      </c>
      <c r="F1637" t="s">
        <v>283</v>
      </c>
      <c r="G1637" t="s">
        <v>2805</v>
      </c>
      <c r="H1637" t="s">
        <v>31</v>
      </c>
      <c r="I1637" t="s">
        <v>2616</v>
      </c>
      <c r="J1637">
        <v>1</v>
      </c>
      <c r="K1637">
        <v>12661.5</v>
      </c>
    </row>
    <row r="1638" spans="1:11" x14ac:dyDescent="0.2">
      <c r="A1638" t="s">
        <v>3419</v>
      </c>
      <c r="B1638">
        <v>19008</v>
      </c>
      <c r="C1638" t="s">
        <v>1453</v>
      </c>
      <c r="D1638" t="s">
        <v>3446</v>
      </c>
      <c r="E1638" t="s">
        <v>279</v>
      </c>
      <c r="F1638" t="s">
        <v>279</v>
      </c>
      <c r="G1638" t="s">
        <v>2943</v>
      </c>
      <c r="H1638" t="s">
        <v>279</v>
      </c>
      <c r="I1638" t="s">
        <v>2616</v>
      </c>
      <c r="J1638">
        <v>1</v>
      </c>
      <c r="K1638">
        <v>14801.42</v>
      </c>
    </row>
    <row r="1639" spans="1:11" x14ac:dyDescent="0.2">
      <c r="A1639" t="s">
        <v>3419</v>
      </c>
      <c r="B1639">
        <v>84011</v>
      </c>
      <c r="C1639" t="s">
        <v>1081</v>
      </c>
      <c r="D1639" t="s">
        <v>3455</v>
      </c>
      <c r="E1639" t="s">
        <v>2634</v>
      </c>
      <c r="F1639" t="s">
        <v>281</v>
      </c>
      <c r="G1639" t="s">
        <v>2913</v>
      </c>
      <c r="H1639" t="s">
        <v>2634</v>
      </c>
      <c r="I1639" t="s">
        <v>2666</v>
      </c>
      <c r="J1639">
        <v>1</v>
      </c>
      <c r="K1639">
        <v>34</v>
      </c>
    </row>
    <row r="1640" spans="1:11" x14ac:dyDescent="0.2">
      <c r="A1640" t="s">
        <v>3419</v>
      </c>
      <c r="B1640">
        <v>89005</v>
      </c>
      <c r="C1640" t="s">
        <v>1779</v>
      </c>
      <c r="D1640" t="s">
        <v>3440</v>
      </c>
      <c r="E1640" t="s">
        <v>281</v>
      </c>
      <c r="F1640" t="s">
        <v>281</v>
      </c>
      <c r="G1640" t="s">
        <v>2963</v>
      </c>
      <c r="H1640" t="s">
        <v>281</v>
      </c>
      <c r="I1640" t="s">
        <v>2616</v>
      </c>
      <c r="J1640">
        <v>1</v>
      </c>
      <c r="K1640">
        <v>5385</v>
      </c>
    </row>
    <row r="1641" spans="1:11" x14ac:dyDescent="0.2">
      <c r="A1641" t="s">
        <v>3419</v>
      </c>
      <c r="B1641">
        <v>83005</v>
      </c>
      <c r="C1641" t="s">
        <v>727</v>
      </c>
      <c r="D1641" t="s">
        <v>3460</v>
      </c>
      <c r="E1641" t="s">
        <v>281</v>
      </c>
      <c r="F1641" t="s">
        <v>281</v>
      </c>
      <c r="G1641" t="s">
        <v>2967</v>
      </c>
      <c r="H1641" t="s">
        <v>281</v>
      </c>
      <c r="I1641" t="s">
        <v>2666</v>
      </c>
      <c r="J1641">
        <v>1</v>
      </c>
      <c r="K1641">
        <v>295</v>
      </c>
    </row>
    <row r="1642" spans="1:11" x14ac:dyDescent="0.2">
      <c r="A1642" t="s">
        <v>3419</v>
      </c>
      <c r="B1642">
        <v>88005</v>
      </c>
      <c r="C1642" t="s">
        <v>1778</v>
      </c>
      <c r="D1642" t="s">
        <v>3428</v>
      </c>
      <c r="E1642" t="s">
        <v>281</v>
      </c>
      <c r="F1642" t="s">
        <v>281</v>
      </c>
      <c r="G1642" t="s">
        <v>2745</v>
      </c>
      <c r="H1642" t="s">
        <v>281</v>
      </c>
      <c r="I1642" t="s">
        <v>2616</v>
      </c>
      <c r="J1642">
        <v>1</v>
      </c>
      <c r="K1642">
        <v>17673.53</v>
      </c>
    </row>
    <row r="1643" spans="1:11" x14ac:dyDescent="0.2">
      <c r="A1643" t="s">
        <v>3419</v>
      </c>
      <c r="B1643">
        <v>94001</v>
      </c>
      <c r="C1643" t="s">
        <v>1786</v>
      </c>
      <c r="D1643" t="s">
        <v>3448</v>
      </c>
      <c r="E1643" t="s">
        <v>281</v>
      </c>
      <c r="F1643" t="s">
        <v>281</v>
      </c>
      <c r="G1643" t="s">
        <v>2672</v>
      </c>
      <c r="H1643" t="s">
        <v>281</v>
      </c>
      <c r="I1643" t="s">
        <v>2616</v>
      </c>
      <c r="J1643">
        <v>1</v>
      </c>
      <c r="K1643">
        <v>12516</v>
      </c>
    </row>
    <row r="1644" spans="1:11" x14ac:dyDescent="0.2">
      <c r="A1644" t="s">
        <v>3419</v>
      </c>
      <c r="B1644">
        <v>83008</v>
      </c>
      <c r="C1644" t="s">
        <v>1272</v>
      </c>
      <c r="D1644" t="s">
        <v>3449</v>
      </c>
      <c r="E1644" t="s">
        <v>281</v>
      </c>
      <c r="F1644" t="s">
        <v>281</v>
      </c>
      <c r="G1644" t="s">
        <v>2967</v>
      </c>
      <c r="H1644" t="s">
        <v>281</v>
      </c>
      <c r="I1644" t="s">
        <v>2666</v>
      </c>
      <c r="J1644">
        <v>1</v>
      </c>
      <c r="K1644">
        <v>448</v>
      </c>
    </row>
    <row r="1645" spans="1:11" x14ac:dyDescent="0.2">
      <c r="A1645" t="s">
        <v>3419</v>
      </c>
      <c r="B1645">
        <v>84010</v>
      </c>
      <c r="C1645" t="s">
        <v>1772</v>
      </c>
      <c r="D1645" t="s">
        <v>3426</v>
      </c>
      <c r="E1645" t="s">
        <v>281</v>
      </c>
      <c r="F1645" t="s">
        <v>281</v>
      </c>
      <c r="G1645" t="s">
        <v>2913</v>
      </c>
      <c r="H1645" t="s">
        <v>281</v>
      </c>
      <c r="I1645" t="s">
        <v>2616</v>
      </c>
      <c r="J1645">
        <v>1</v>
      </c>
      <c r="K1645">
        <v>3687.5</v>
      </c>
    </row>
    <row r="1646" spans="1:11" x14ac:dyDescent="0.2">
      <c r="A1646" t="s">
        <v>3419</v>
      </c>
      <c r="B1646">
        <v>84002</v>
      </c>
      <c r="C1646" t="s">
        <v>1768</v>
      </c>
      <c r="D1646" t="s">
        <v>3433</v>
      </c>
      <c r="E1646" t="s">
        <v>281</v>
      </c>
      <c r="F1646" t="s">
        <v>281</v>
      </c>
      <c r="G1646" t="s">
        <v>2913</v>
      </c>
      <c r="H1646" t="s">
        <v>281</v>
      </c>
      <c r="I1646" t="s">
        <v>2616</v>
      </c>
      <c r="J1646">
        <v>1</v>
      </c>
      <c r="K1646">
        <v>1294</v>
      </c>
    </row>
    <row r="1647" spans="1:11" x14ac:dyDescent="0.2">
      <c r="A1647" t="s">
        <v>3419</v>
      </c>
      <c r="B1647">
        <v>17010</v>
      </c>
      <c r="C1647" t="s">
        <v>1447</v>
      </c>
      <c r="D1647" t="s">
        <v>3422</v>
      </c>
      <c r="E1647" t="s">
        <v>279</v>
      </c>
      <c r="F1647" t="s">
        <v>279</v>
      </c>
      <c r="G1647" t="s">
        <v>2774</v>
      </c>
      <c r="H1647" t="s">
        <v>279</v>
      </c>
      <c r="I1647" t="s">
        <v>2616</v>
      </c>
      <c r="J1647">
        <v>1</v>
      </c>
      <c r="K1647">
        <v>11976</v>
      </c>
    </row>
    <row r="1648" spans="1:11" x14ac:dyDescent="0.2">
      <c r="A1648" t="s">
        <v>3419</v>
      </c>
      <c r="B1648">
        <v>18002</v>
      </c>
      <c r="C1648" t="s">
        <v>374</v>
      </c>
      <c r="D1648" t="s">
        <v>3451</v>
      </c>
      <c r="E1648" t="s">
        <v>279</v>
      </c>
      <c r="F1648" t="s">
        <v>279</v>
      </c>
      <c r="G1648" t="s">
        <v>2716</v>
      </c>
      <c r="H1648" t="s">
        <v>279</v>
      </c>
      <c r="I1648" t="s">
        <v>2666</v>
      </c>
      <c r="J1648">
        <v>1</v>
      </c>
      <c r="K1648">
        <v>99</v>
      </c>
    </row>
    <row r="1649" spans="1:11" x14ac:dyDescent="0.2">
      <c r="A1649" t="s">
        <v>3419</v>
      </c>
      <c r="B1649">
        <v>94008</v>
      </c>
      <c r="C1649" t="s">
        <v>1787</v>
      </c>
      <c r="D1649" t="s">
        <v>3438</v>
      </c>
      <c r="E1649" t="s">
        <v>281</v>
      </c>
      <c r="F1649" t="s">
        <v>281</v>
      </c>
      <c r="G1649" t="s">
        <v>2672</v>
      </c>
      <c r="H1649" t="s">
        <v>281</v>
      </c>
      <c r="I1649" t="s">
        <v>2616</v>
      </c>
      <c r="J1649">
        <v>1</v>
      </c>
      <c r="K1649">
        <v>6177</v>
      </c>
    </row>
    <row r="1650" spans="1:11" x14ac:dyDescent="0.2">
      <c r="A1650" t="s">
        <v>3419</v>
      </c>
      <c r="B1650">
        <v>87001</v>
      </c>
      <c r="C1650" t="s">
        <v>1775</v>
      </c>
      <c r="D1650" t="s">
        <v>3456</v>
      </c>
      <c r="E1650" t="s">
        <v>281</v>
      </c>
      <c r="F1650" t="s">
        <v>281</v>
      </c>
      <c r="G1650" t="s">
        <v>3417</v>
      </c>
      <c r="H1650" t="s">
        <v>281</v>
      </c>
      <c r="I1650" t="s">
        <v>2616</v>
      </c>
      <c r="J1650">
        <v>1</v>
      </c>
      <c r="K1650">
        <v>2031</v>
      </c>
    </row>
    <row r="1651" spans="1:11" x14ac:dyDescent="0.2">
      <c r="A1651" t="s">
        <v>3419</v>
      </c>
      <c r="B1651">
        <v>84012</v>
      </c>
      <c r="C1651" t="s">
        <v>732</v>
      </c>
      <c r="D1651" t="s">
        <v>3463</v>
      </c>
      <c r="E1651" t="s">
        <v>281</v>
      </c>
      <c r="F1651" t="s">
        <v>281</v>
      </c>
      <c r="G1651" t="s">
        <v>2913</v>
      </c>
      <c r="H1651" t="s">
        <v>281</v>
      </c>
      <c r="I1651" t="s">
        <v>2666</v>
      </c>
      <c r="J1651">
        <v>1</v>
      </c>
      <c r="K1651">
        <v>575</v>
      </c>
    </row>
    <row r="1652" spans="1:11" x14ac:dyDescent="0.2">
      <c r="A1652" t="s">
        <v>3419</v>
      </c>
      <c r="B1652">
        <v>83009</v>
      </c>
      <c r="C1652" t="s">
        <v>728</v>
      </c>
      <c r="D1652" t="s">
        <v>3432</v>
      </c>
      <c r="E1652" t="s">
        <v>281</v>
      </c>
      <c r="F1652" t="s">
        <v>281</v>
      </c>
      <c r="G1652" t="s">
        <v>2967</v>
      </c>
      <c r="H1652" t="s">
        <v>281</v>
      </c>
      <c r="I1652" t="s">
        <v>2666</v>
      </c>
      <c r="J1652">
        <v>1</v>
      </c>
      <c r="K1652">
        <v>204</v>
      </c>
    </row>
    <row r="1653" spans="1:11" x14ac:dyDescent="0.2">
      <c r="A1653" t="s">
        <v>3419</v>
      </c>
      <c r="B1653">
        <v>17013</v>
      </c>
      <c r="C1653" t="s">
        <v>3444</v>
      </c>
      <c r="D1653" t="s">
        <v>3443</v>
      </c>
      <c r="E1653" t="s">
        <v>2634</v>
      </c>
      <c r="F1653" t="s">
        <v>279</v>
      </c>
      <c r="G1653" t="s">
        <v>2774</v>
      </c>
      <c r="H1653" t="s">
        <v>2634</v>
      </c>
      <c r="I1653" t="s">
        <v>2666</v>
      </c>
      <c r="J1653">
        <v>1</v>
      </c>
      <c r="K1653">
        <v>1290.3</v>
      </c>
    </row>
    <row r="1654" spans="1:11" x14ac:dyDescent="0.2">
      <c r="A1654" t="s">
        <v>3419</v>
      </c>
      <c r="B1654">
        <v>19009</v>
      </c>
      <c r="C1654" t="s">
        <v>1454</v>
      </c>
      <c r="D1654" t="s">
        <v>3430</v>
      </c>
      <c r="E1654" t="s">
        <v>279</v>
      </c>
      <c r="F1654" t="s">
        <v>279</v>
      </c>
      <c r="G1654" t="s">
        <v>2943</v>
      </c>
      <c r="H1654" t="s">
        <v>279</v>
      </c>
      <c r="I1654" t="s">
        <v>2616</v>
      </c>
      <c r="J1654">
        <v>1</v>
      </c>
      <c r="K1654">
        <v>5614</v>
      </c>
    </row>
    <row r="1655" spans="1:11" x14ac:dyDescent="0.2">
      <c r="A1655" t="s">
        <v>3419</v>
      </c>
      <c r="B1655">
        <v>87002</v>
      </c>
      <c r="C1655" t="s">
        <v>1776</v>
      </c>
      <c r="D1655" t="s">
        <v>3421</v>
      </c>
      <c r="E1655" t="s">
        <v>281</v>
      </c>
      <c r="F1655" t="s">
        <v>281</v>
      </c>
      <c r="G1655" t="s">
        <v>3417</v>
      </c>
      <c r="H1655" t="s">
        <v>281</v>
      </c>
      <c r="I1655" t="s">
        <v>2616</v>
      </c>
      <c r="J1655">
        <v>1</v>
      </c>
      <c r="K1655">
        <v>264.33</v>
      </c>
    </row>
    <row r="1656" spans="1:11" x14ac:dyDescent="0.2">
      <c r="A1656" t="s">
        <v>3419</v>
      </c>
      <c r="B1656">
        <v>95001</v>
      </c>
      <c r="C1656" t="s">
        <v>760</v>
      </c>
      <c r="D1656" t="s">
        <v>3445</v>
      </c>
      <c r="E1656" t="s">
        <v>281</v>
      </c>
      <c r="F1656" t="s">
        <v>281</v>
      </c>
      <c r="G1656" t="s">
        <v>2772</v>
      </c>
      <c r="H1656" t="s">
        <v>281</v>
      </c>
      <c r="I1656" t="s">
        <v>2666</v>
      </c>
      <c r="J1656">
        <v>1</v>
      </c>
      <c r="K1656">
        <v>287</v>
      </c>
    </row>
    <row r="1657" spans="1:11" x14ac:dyDescent="0.2">
      <c r="A1657" t="s">
        <v>3419</v>
      </c>
      <c r="B1657">
        <v>84008</v>
      </c>
      <c r="C1657" t="s">
        <v>1771</v>
      </c>
      <c r="D1657" t="s">
        <v>3425</v>
      </c>
      <c r="E1657" t="s">
        <v>281</v>
      </c>
      <c r="F1657" t="s">
        <v>281</v>
      </c>
      <c r="G1657" t="s">
        <v>2913</v>
      </c>
      <c r="H1657" t="s">
        <v>281</v>
      </c>
      <c r="I1657" t="s">
        <v>2616</v>
      </c>
      <c r="J1657">
        <v>1</v>
      </c>
      <c r="K1657">
        <v>466</v>
      </c>
    </row>
    <row r="1658" spans="1:11" x14ac:dyDescent="0.2">
      <c r="A1658" t="s">
        <v>3419</v>
      </c>
      <c r="B1658">
        <v>93009</v>
      </c>
      <c r="C1658" t="s">
        <v>1785</v>
      </c>
      <c r="D1658" t="s">
        <v>3436</v>
      </c>
      <c r="E1658" t="s">
        <v>281</v>
      </c>
      <c r="F1658" t="s">
        <v>281</v>
      </c>
      <c r="G1658" t="s">
        <v>2708</v>
      </c>
      <c r="H1658" t="s">
        <v>281</v>
      </c>
      <c r="I1658" t="s">
        <v>2616</v>
      </c>
      <c r="J1658">
        <v>1</v>
      </c>
      <c r="K1658">
        <v>3933</v>
      </c>
    </row>
    <row r="1659" spans="1:11" x14ac:dyDescent="0.2">
      <c r="A1659" t="s">
        <v>3419</v>
      </c>
      <c r="B1659">
        <v>93003</v>
      </c>
      <c r="C1659" t="s">
        <v>1783</v>
      </c>
      <c r="D1659" t="s">
        <v>3434</v>
      </c>
      <c r="E1659" t="s">
        <v>281</v>
      </c>
      <c r="F1659" t="s">
        <v>281</v>
      </c>
      <c r="G1659" t="s">
        <v>2708</v>
      </c>
      <c r="H1659" t="s">
        <v>281</v>
      </c>
      <c r="I1659" t="s">
        <v>2616</v>
      </c>
      <c r="J1659">
        <v>1</v>
      </c>
      <c r="K1659">
        <v>7574.17</v>
      </c>
    </row>
    <row r="1660" spans="1:11" x14ac:dyDescent="0.2">
      <c r="A1660" t="s">
        <v>3419</v>
      </c>
      <c r="B1660">
        <v>83011</v>
      </c>
      <c r="C1660" t="s">
        <v>729</v>
      </c>
      <c r="D1660" t="s">
        <v>3457</v>
      </c>
      <c r="E1660" t="s">
        <v>281</v>
      </c>
      <c r="F1660" t="s">
        <v>281</v>
      </c>
      <c r="G1660" t="s">
        <v>2967</v>
      </c>
      <c r="H1660" t="s">
        <v>281</v>
      </c>
      <c r="I1660" t="s">
        <v>2666</v>
      </c>
      <c r="J1660">
        <v>1</v>
      </c>
      <c r="K1660">
        <v>182</v>
      </c>
    </row>
    <row r="1661" spans="1:11" x14ac:dyDescent="0.2">
      <c r="A1661" t="s">
        <v>3419</v>
      </c>
      <c r="B1661">
        <v>81006</v>
      </c>
      <c r="C1661" t="s">
        <v>1761</v>
      </c>
      <c r="D1661" t="s">
        <v>3453</v>
      </c>
      <c r="E1661" t="s">
        <v>281</v>
      </c>
      <c r="F1661" t="s">
        <v>281</v>
      </c>
      <c r="G1661" t="s">
        <v>2821</v>
      </c>
      <c r="H1661" t="s">
        <v>281</v>
      </c>
      <c r="I1661" t="s">
        <v>2616</v>
      </c>
      <c r="J1661">
        <v>1</v>
      </c>
      <c r="K1661">
        <v>16970.82</v>
      </c>
    </row>
    <row r="1662" spans="1:11" x14ac:dyDescent="0.2">
      <c r="A1662" t="s">
        <v>3419</v>
      </c>
      <c r="B1662">
        <v>84022</v>
      </c>
      <c r="C1662" t="s">
        <v>1187</v>
      </c>
      <c r="D1662" t="s">
        <v>3465</v>
      </c>
      <c r="E1662" t="s">
        <v>281</v>
      </c>
      <c r="F1662" t="s">
        <v>281</v>
      </c>
      <c r="G1662" t="s">
        <v>2913</v>
      </c>
      <c r="H1662" t="s">
        <v>281</v>
      </c>
      <c r="I1662" t="s">
        <v>2666</v>
      </c>
      <c r="J1662">
        <v>1</v>
      </c>
      <c r="K1662">
        <v>721.33</v>
      </c>
    </row>
    <row r="1663" spans="1:11" x14ac:dyDescent="0.2">
      <c r="A1663" t="s">
        <v>3419</v>
      </c>
      <c r="B1663">
        <v>84007</v>
      </c>
      <c r="C1663" t="s">
        <v>730</v>
      </c>
      <c r="D1663" t="s">
        <v>3459</v>
      </c>
      <c r="E1663" t="s">
        <v>281</v>
      </c>
      <c r="F1663" t="s">
        <v>281</v>
      </c>
      <c r="G1663" t="s">
        <v>2913</v>
      </c>
      <c r="H1663" t="s">
        <v>281</v>
      </c>
      <c r="I1663" t="s">
        <v>2666</v>
      </c>
      <c r="J1663">
        <v>1</v>
      </c>
      <c r="K1663">
        <v>341</v>
      </c>
    </row>
    <row r="1664" spans="1:11" x14ac:dyDescent="0.2">
      <c r="A1664" t="s">
        <v>3419</v>
      </c>
      <c r="B1664">
        <v>84004</v>
      </c>
      <c r="C1664" t="s">
        <v>1770</v>
      </c>
      <c r="D1664" t="s">
        <v>3442</v>
      </c>
      <c r="E1664" t="s">
        <v>281</v>
      </c>
      <c r="F1664" t="s">
        <v>281</v>
      </c>
      <c r="G1664" t="s">
        <v>2913</v>
      </c>
      <c r="H1664" t="s">
        <v>281</v>
      </c>
      <c r="I1664" t="s">
        <v>2616</v>
      </c>
      <c r="J1664">
        <v>1</v>
      </c>
      <c r="K1664">
        <v>1838.67</v>
      </c>
    </row>
    <row r="1665" spans="1:11" x14ac:dyDescent="0.2">
      <c r="A1665" t="s">
        <v>3419</v>
      </c>
      <c r="B1665">
        <v>84001</v>
      </c>
      <c r="C1665" t="s">
        <v>1767</v>
      </c>
      <c r="D1665" t="s">
        <v>3424</v>
      </c>
      <c r="E1665" t="s">
        <v>281</v>
      </c>
      <c r="F1665" t="s">
        <v>281</v>
      </c>
      <c r="G1665" t="s">
        <v>2913</v>
      </c>
      <c r="H1665" t="s">
        <v>281</v>
      </c>
      <c r="I1665" t="s">
        <v>2616</v>
      </c>
      <c r="J1665">
        <v>1</v>
      </c>
      <c r="K1665">
        <v>376</v>
      </c>
    </row>
    <row r="1666" spans="1:11" x14ac:dyDescent="0.2">
      <c r="A1666" t="s">
        <v>3419</v>
      </c>
      <c r="B1666">
        <v>84009</v>
      </c>
      <c r="C1666" t="s">
        <v>731</v>
      </c>
      <c r="D1666" t="s">
        <v>3435</v>
      </c>
      <c r="E1666" t="s">
        <v>281</v>
      </c>
      <c r="F1666" t="s">
        <v>281</v>
      </c>
      <c r="G1666" t="s">
        <v>2913</v>
      </c>
      <c r="H1666" t="s">
        <v>281</v>
      </c>
      <c r="I1666" t="s">
        <v>2666</v>
      </c>
      <c r="J1666">
        <v>1</v>
      </c>
      <c r="K1666">
        <v>855</v>
      </c>
    </row>
    <row r="1667" spans="1:11" x14ac:dyDescent="0.2">
      <c r="A1667" t="s">
        <v>3419</v>
      </c>
      <c r="B1667">
        <v>84003</v>
      </c>
      <c r="C1667" t="s">
        <v>1769</v>
      </c>
      <c r="D1667" t="s">
        <v>3441</v>
      </c>
      <c r="E1667" t="s">
        <v>281</v>
      </c>
      <c r="F1667" t="s">
        <v>281</v>
      </c>
      <c r="G1667" t="s">
        <v>2913</v>
      </c>
      <c r="H1667" t="s">
        <v>281</v>
      </c>
      <c r="I1667" t="s">
        <v>2616</v>
      </c>
      <c r="J1667">
        <v>1</v>
      </c>
      <c r="K1667">
        <v>1838</v>
      </c>
    </row>
    <row r="1668" spans="1:11" x14ac:dyDescent="0.2">
      <c r="A1668" t="s">
        <v>3419</v>
      </c>
      <c r="B1668">
        <v>83003</v>
      </c>
      <c r="C1668" t="s">
        <v>1765</v>
      </c>
      <c r="D1668" t="s">
        <v>3429</v>
      </c>
      <c r="E1668" t="s">
        <v>281</v>
      </c>
      <c r="F1668" t="s">
        <v>281</v>
      </c>
      <c r="G1668" t="s">
        <v>2967</v>
      </c>
      <c r="H1668" t="s">
        <v>281</v>
      </c>
      <c r="I1668" t="s">
        <v>2616</v>
      </c>
      <c r="J1668">
        <v>1</v>
      </c>
      <c r="K1668">
        <v>1437</v>
      </c>
    </row>
    <row r="1669" spans="1:11" x14ac:dyDescent="0.2">
      <c r="A1669" t="s">
        <v>3419</v>
      </c>
      <c r="B1669">
        <v>95004</v>
      </c>
      <c r="C1669" t="s">
        <v>1788</v>
      </c>
      <c r="D1669" t="s">
        <v>3420</v>
      </c>
      <c r="E1669" t="s">
        <v>281</v>
      </c>
      <c r="F1669" t="s">
        <v>281</v>
      </c>
      <c r="G1669" t="s">
        <v>2772</v>
      </c>
      <c r="H1669" t="s">
        <v>281</v>
      </c>
      <c r="I1669" t="s">
        <v>2616</v>
      </c>
      <c r="J1669">
        <v>1</v>
      </c>
      <c r="K1669">
        <v>4147</v>
      </c>
    </row>
    <row r="1670" spans="1:11" x14ac:dyDescent="0.2">
      <c r="A1670" t="s">
        <v>3419</v>
      </c>
      <c r="B1670">
        <v>84015</v>
      </c>
      <c r="C1670" t="s">
        <v>733</v>
      </c>
      <c r="D1670" t="s">
        <v>3431</v>
      </c>
      <c r="E1670" t="s">
        <v>281</v>
      </c>
      <c r="F1670" t="s">
        <v>281</v>
      </c>
      <c r="G1670" t="s">
        <v>2913</v>
      </c>
      <c r="H1670" t="s">
        <v>281</v>
      </c>
      <c r="I1670" t="s">
        <v>2666</v>
      </c>
      <c r="J1670">
        <v>1</v>
      </c>
      <c r="K1670">
        <v>198</v>
      </c>
    </row>
    <row r="1671" spans="1:11" x14ac:dyDescent="0.2">
      <c r="A1671" t="s">
        <v>3419</v>
      </c>
      <c r="B1671">
        <v>18001</v>
      </c>
      <c r="C1671" t="s">
        <v>1452</v>
      </c>
      <c r="D1671" t="s">
        <v>3454</v>
      </c>
      <c r="E1671" t="s">
        <v>279</v>
      </c>
      <c r="F1671" t="s">
        <v>279</v>
      </c>
      <c r="G1671" t="s">
        <v>2716</v>
      </c>
      <c r="H1671" t="s">
        <v>279</v>
      </c>
      <c r="I1671" t="s">
        <v>2616</v>
      </c>
      <c r="J1671">
        <v>1</v>
      </c>
      <c r="K1671">
        <v>7731</v>
      </c>
    </row>
    <row r="1672" spans="1:11" x14ac:dyDescent="0.2">
      <c r="A1672" t="s">
        <v>3419</v>
      </c>
      <c r="B1672">
        <v>17011</v>
      </c>
      <c r="C1672" t="s">
        <v>1448</v>
      </c>
      <c r="D1672" t="s">
        <v>3423</v>
      </c>
      <c r="E1672" t="s">
        <v>279</v>
      </c>
      <c r="F1672" t="s">
        <v>279</v>
      </c>
      <c r="G1672" t="s">
        <v>2774</v>
      </c>
      <c r="H1672" t="s">
        <v>279</v>
      </c>
      <c r="I1672" t="s">
        <v>2616</v>
      </c>
      <c r="J1672">
        <v>1</v>
      </c>
      <c r="K1672">
        <v>10108</v>
      </c>
    </row>
    <row r="1673" spans="1:11" x14ac:dyDescent="0.2">
      <c r="A1673" t="s">
        <v>3419</v>
      </c>
      <c r="B1673">
        <v>12011</v>
      </c>
      <c r="C1673" t="s">
        <v>1424</v>
      </c>
      <c r="D1673" t="s">
        <v>3447</v>
      </c>
      <c r="E1673" t="s">
        <v>279</v>
      </c>
      <c r="F1673" t="s">
        <v>279</v>
      </c>
      <c r="G1673" t="s">
        <v>2686</v>
      </c>
      <c r="H1673" t="s">
        <v>279</v>
      </c>
      <c r="I1673" t="s">
        <v>2616</v>
      </c>
      <c r="J1673">
        <v>1</v>
      </c>
      <c r="K1673">
        <v>32959</v>
      </c>
    </row>
    <row r="1674" spans="1:11" x14ac:dyDescent="0.2">
      <c r="A1674" t="s">
        <v>3252</v>
      </c>
      <c r="B1674">
        <v>88007</v>
      </c>
      <c r="C1674" t="s">
        <v>738</v>
      </c>
      <c r="D1674" t="s">
        <v>3368</v>
      </c>
      <c r="E1674" t="s">
        <v>281</v>
      </c>
      <c r="F1674" t="s">
        <v>281</v>
      </c>
      <c r="G1674" t="s">
        <v>2745</v>
      </c>
      <c r="H1674" t="s">
        <v>281</v>
      </c>
      <c r="I1674" t="s">
        <v>2666</v>
      </c>
      <c r="J1674">
        <v>1</v>
      </c>
      <c r="K1674">
        <v>75</v>
      </c>
    </row>
    <row r="1675" spans="1:11" x14ac:dyDescent="0.2">
      <c r="A1675" t="s">
        <v>3252</v>
      </c>
      <c r="B1675">
        <v>31052</v>
      </c>
      <c r="C1675" t="s">
        <v>493</v>
      </c>
      <c r="D1675" t="s">
        <v>3254</v>
      </c>
      <c r="E1675" t="s">
        <v>281</v>
      </c>
      <c r="F1675" t="s">
        <v>281</v>
      </c>
      <c r="G1675" t="s">
        <v>2736</v>
      </c>
      <c r="H1675" t="s">
        <v>281</v>
      </c>
      <c r="I1675" t="s">
        <v>2666</v>
      </c>
      <c r="J1675">
        <v>1</v>
      </c>
      <c r="K1675">
        <v>173</v>
      </c>
    </row>
    <row r="1676" spans="1:11" x14ac:dyDescent="0.2">
      <c r="A1676" t="s">
        <v>3252</v>
      </c>
      <c r="B1676">
        <v>28031</v>
      </c>
      <c r="C1676" t="s">
        <v>460</v>
      </c>
      <c r="D1676" t="s">
        <v>3283</v>
      </c>
      <c r="E1676" t="s">
        <v>281</v>
      </c>
      <c r="F1676" t="s">
        <v>187</v>
      </c>
      <c r="G1676" t="s">
        <v>2793</v>
      </c>
      <c r="H1676" t="s">
        <v>281</v>
      </c>
      <c r="I1676" t="s">
        <v>2666</v>
      </c>
      <c r="J1676">
        <v>1</v>
      </c>
      <c r="K1676">
        <v>4839.71</v>
      </c>
    </row>
    <row r="1677" spans="1:11" x14ac:dyDescent="0.2">
      <c r="A1677" t="s">
        <v>3252</v>
      </c>
      <c r="B1677">
        <v>92014</v>
      </c>
      <c r="C1677" t="s">
        <v>1324</v>
      </c>
      <c r="D1677" t="s">
        <v>3362</v>
      </c>
      <c r="E1677" t="s">
        <v>281</v>
      </c>
      <c r="F1677" t="s">
        <v>281</v>
      </c>
      <c r="G1677" t="s">
        <v>2637</v>
      </c>
      <c r="H1677" t="s">
        <v>281</v>
      </c>
      <c r="I1677" t="s">
        <v>2666</v>
      </c>
      <c r="J1677">
        <v>1</v>
      </c>
      <c r="K1677">
        <v>485</v>
      </c>
    </row>
    <row r="1678" spans="1:11" x14ac:dyDescent="0.2">
      <c r="A1678" t="s">
        <v>3252</v>
      </c>
      <c r="B1678">
        <v>30031</v>
      </c>
      <c r="C1678" t="s">
        <v>472</v>
      </c>
      <c r="D1678" t="s">
        <v>3345</v>
      </c>
      <c r="E1678" t="s">
        <v>281</v>
      </c>
      <c r="F1678" t="s">
        <v>281</v>
      </c>
      <c r="G1678" t="s">
        <v>2783</v>
      </c>
      <c r="H1678" t="s">
        <v>281</v>
      </c>
      <c r="I1678" t="s">
        <v>2666</v>
      </c>
      <c r="J1678">
        <v>1</v>
      </c>
      <c r="K1678">
        <v>60</v>
      </c>
    </row>
    <row r="1679" spans="1:11" x14ac:dyDescent="0.2">
      <c r="A1679" t="s">
        <v>3252</v>
      </c>
      <c r="B1679">
        <v>32012</v>
      </c>
      <c r="C1679" t="s">
        <v>505</v>
      </c>
      <c r="D1679" t="s">
        <v>3351</v>
      </c>
      <c r="E1679" t="s">
        <v>281</v>
      </c>
      <c r="F1679" t="s">
        <v>281</v>
      </c>
      <c r="G1679" t="s">
        <v>2844</v>
      </c>
      <c r="H1679" t="s">
        <v>281</v>
      </c>
      <c r="I1679" t="s">
        <v>2666</v>
      </c>
      <c r="J1679">
        <v>1</v>
      </c>
      <c r="K1679">
        <v>888</v>
      </c>
    </row>
    <row r="1680" spans="1:11" x14ac:dyDescent="0.2">
      <c r="A1680" t="s">
        <v>3252</v>
      </c>
      <c r="B1680">
        <v>37011</v>
      </c>
      <c r="C1680" t="s">
        <v>519</v>
      </c>
      <c r="D1680" t="s">
        <v>3360</v>
      </c>
      <c r="E1680" t="s">
        <v>281</v>
      </c>
      <c r="F1680" t="s">
        <v>281</v>
      </c>
      <c r="G1680" t="s">
        <v>2759</v>
      </c>
      <c r="H1680" t="s">
        <v>281</v>
      </c>
      <c r="I1680" t="s">
        <v>2666</v>
      </c>
      <c r="J1680">
        <v>1</v>
      </c>
      <c r="K1680">
        <v>301</v>
      </c>
    </row>
    <row r="1681" spans="1:11" x14ac:dyDescent="0.2">
      <c r="A1681" t="s">
        <v>3252</v>
      </c>
      <c r="B1681">
        <v>28019</v>
      </c>
      <c r="C1681" t="s">
        <v>3281</v>
      </c>
      <c r="D1681" t="s">
        <v>3280</v>
      </c>
      <c r="E1681" t="s">
        <v>281</v>
      </c>
      <c r="F1681" t="s">
        <v>281</v>
      </c>
      <c r="G1681" t="s">
        <v>2793</v>
      </c>
      <c r="H1681" t="s">
        <v>281</v>
      </c>
      <c r="I1681" t="s">
        <v>2666</v>
      </c>
      <c r="J1681">
        <v>1</v>
      </c>
      <c r="K1681">
        <v>16665.080000000002</v>
      </c>
    </row>
    <row r="1682" spans="1:11" x14ac:dyDescent="0.2">
      <c r="A1682" t="s">
        <v>3252</v>
      </c>
      <c r="B1682">
        <v>30012</v>
      </c>
      <c r="C1682" t="s">
        <v>470</v>
      </c>
      <c r="D1682" t="s">
        <v>3278</v>
      </c>
      <c r="E1682" t="s">
        <v>281</v>
      </c>
      <c r="F1682" t="s">
        <v>281</v>
      </c>
      <c r="G1682" t="s">
        <v>2783</v>
      </c>
      <c r="H1682" t="s">
        <v>281</v>
      </c>
      <c r="I1682" t="s">
        <v>2666</v>
      </c>
      <c r="J1682">
        <v>1</v>
      </c>
      <c r="K1682">
        <v>54</v>
      </c>
    </row>
    <row r="1683" spans="1:11" x14ac:dyDescent="0.2">
      <c r="A1683" t="s">
        <v>3252</v>
      </c>
      <c r="B1683">
        <v>89002</v>
      </c>
      <c r="C1683" t="s">
        <v>741</v>
      </c>
      <c r="D1683" t="s">
        <v>3415</v>
      </c>
      <c r="E1683" t="s">
        <v>281</v>
      </c>
      <c r="F1683" t="s">
        <v>281</v>
      </c>
      <c r="G1683" t="s">
        <v>2963</v>
      </c>
      <c r="H1683" t="s">
        <v>281</v>
      </c>
      <c r="I1683" t="s">
        <v>2666</v>
      </c>
      <c r="J1683">
        <v>1</v>
      </c>
      <c r="K1683">
        <v>758</v>
      </c>
    </row>
    <row r="1684" spans="1:11" x14ac:dyDescent="0.2">
      <c r="A1684" t="s">
        <v>3252</v>
      </c>
      <c r="B1684">
        <v>49059</v>
      </c>
      <c r="C1684" t="s">
        <v>619</v>
      </c>
      <c r="D1684" t="s">
        <v>3375</v>
      </c>
      <c r="E1684" t="s">
        <v>281</v>
      </c>
      <c r="F1684" t="s">
        <v>281</v>
      </c>
      <c r="G1684" t="s">
        <v>2950</v>
      </c>
      <c r="H1684" t="s">
        <v>281</v>
      </c>
      <c r="I1684" t="s">
        <v>2666</v>
      </c>
      <c r="J1684">
        <v>1</v>
      </c>
      <c r="K1684">
        <v>194</v>
      </c>
    </row>
    <row r="1685" spans="1:11" x14ac:dyDescent="0.2">
      <c r="A1685" t="s">
        <v>3252</v>
      </c>
      <c r="B1685">
        <v>79010</v>
      </c>
      <c r="C1685" t="s">
        <v>1181</v>
      </c>
      <c r="D1685" t="s">
        <v>3271</v>
      </c>
      <c r="E1685" t="s">
        <v>281</v>
      </c>
      <c r="F1685" t="s">
        <v>281</v>
      </c>
      <c r="G1685" t="s">
        <v>2748</v>
      </c>
      <c r="H1685" t="s">
        <v>281</v>
      </c>
      <c r="I1685" t="s">
        <v>2666</v>
      </c>
      <c r="J1685">
        <v>1</v>
      </c>
      <c r="K1685">
        <v>43</v>
      </c>
    </row>
    <row r="1686" spans="1:11" x14ac:dyDescent="0.2">
      <c r="A1686" t="s">
        <v>3252</v>
      </c>
      <c r="B1686">
        <v>41026</v>
      </c>
      <c r="C1686" t="s">
        <v>2454</v>
      </c>
      <c r="D1686" t="s">
        <v>3255</v>
      </c>
      <c r="E1686" t="s">
        <v>281</v>
      </c>
      <c r="F1686" t="s">
        <v>281</v>
      </c>
      <c r="G1686" t="s">
        <v>2704</v>
      </c>
      <c r="H1686" t="s">
        <v>281</v>
      </c>
      <c r="I1686" t="s">
        <v>2666</v>
      </c>
      <c r="J1686">
        <v>1</v>
      </c>
      <c r="K1686">
        <v>193</v>
      </c>
    </row>
    <row r="1687" spans="1:11" x14ac:dyDescent="0.2">
      <c r="A1687" t="s">
        <v>3252</v>
      </c>
      <c r="B1687">
        <v>80057</v>
      </c>
      <c r="C1687" t="s">
        <v>719</v>
      </c>
      <c r="D1687" t="s">
        <v>3412</v>
      </c>
      <c r="E1687" t="s">
        <v>281</v>
      </c>
      <c r="F1687" t="s">
        <v>281</v>
      </c>
      <c r="G1687" t="s">
        <v>2842</v>
      </c>
      <c r="H1687" t="s">
        <v>281</v>
      </c>
      <c r="I1687" t="s">
        <v>2666</v>
      </c>
      <c r="J1687">
        <v>1</v>
      </c>
      <c r="K1687">
        <v>30</v>
      </c>
    </row>
    <row r="1688" spans="1:11" x14ac:dyDescent="0.2">
      <c r="A1688" t="s">
        <v>3252</v>
      </c>
      <c r="B1688">
        <v>80031</v>
      </c>
      <c r="C1688" t="s">
        <v>715</v>
      </c>
      <c r="D1688" t="s">
        <v>3390</v>
      </c>
      <c r="E1688" t="s">
        <v>281</v>
      </c>
      <c r="F1688" t="s">
        <v>281</v>
      </c>
      <c r="G1688" t="s">
        <v>2842</v>
      </c>
      <c r="H1688" t="s">
        <v>281</v>
      </c>
      <c r="I1688" t="s">
        <v>2666</v>
      </c>
      <c r="J1688">
        <v>1</v>
      </c>
      <c r="K1688">
        <v>172</v>
      </c>
    </row>
    <row r="1689" spans="1:11" x14ac:dyDescent="0.2">
      <c r="A1689" t="s">
        <v>3252</v>
      </c>
      <c r="B1689">
        <v>31054</v>
      </c>
      <c r="C1689" t="s">
        <v>495</v>
      </c>
      <c r="D1689" t="s">
        <v>3254</v>
      </c>
      <c r="E1689" t="s">
        <v>281</v>
      </c>
      <c r="F1689" t="s">
        <v>281</v>
      </c>
      <c r="G1689" t="s">
        <v>2736</v>
      </c>
      <c r="H1689" t="s">
        <v>281</v>
      </c>
      <c r="I1689" t="s">
        <v>2666</v>
      </c>
      <c r="J1689">
        <v>1</v>
      </c>
      <c r="K1689">
        <v>1142</v>
      </c>
    </row>
    <row r="1690" spans="1:11" x14ac:dyDescent="0.2">
      <c r="A1690" t="s">
        <v>3252</v>
      </c>
      <c r="B1690">
        <v>32005</v>
      </c>
      <c r="C1690" t="s">
        <v>501</v>
      </c>
      <c r="D1690" t="s">
        <v>3295</v>
      </c>
      <c r="E1690" t="s">
        <v>281</v>
      </c>
      <c r="F1690" t="s">
        <v>281</v>
      </c>
      <c r="G1690" t="s">
        <v>2844</v>
      </c>
      <c r="H1690" t="s">
        <v>281</v>
      </c>
      <c r="I1690" t="s">
        <v>2666</v>
      </c>
      <c r="J1690">
        <v>1</v>
      </c>
      <c r="K1690">
        <v>404</v>
      </c>
    </row>
    <row r="1691" spans="1:11" x14ac:dyDescent="0.2">
      <c r="A1691" t="s">
        <v>3252</v>
      </c>
      <c r="B1691">
        <v>31023</v>
      </c>
      <c r="C1691" t="s">
        <v>479</v>
      </c>
      <c r="D1691" t="s">
        <v>3303</v>
      </c>
      <c r="E1691" t="s">
        <v>281</v>
      </c>
      <c r="F1691" t="s">
        <v>281</v>
      </c>
      <c r="G1691" t="s">
        <v>2759</v>
      </c>
      <c r="H1691" t="s">
        <v>281</v>
      </c>
      <c r="I1691" t="s">
        <v>2666</v>
      </c>
      <c r="J1691">
        <v>1</v>
      </c>
      <c r="K1691">
        <v>328</v>
      </c>
    </row>
    <row r="1692" spans="1:11" x14ac:dyDescent="0.2">
      <c r="A1692" t="s">
        <v>3252</v>
      </c>
      <c r="B1692">
        <v>31045</v>
      </c>
      <c r="C1692" t="s">
        <v>488</v>
      </c>
      <c r="D1692" t="s">
        <v>3254</v>
      </c>
      <c r="E1692" t="s">
        <v>281</v>
      </c>
      <c r="F1692" t="s">
        <v>281</v>
      </c>
      <c r="G1692" t="s">
        <v>2736</v>
      </c>
      <c r="H1692" t="s">
        <v>281</v>
      </c>
      <c r="I1692" t="s">
        <v>2666</v>
      </c>
      <c r="J1692">
        <v>1</v>
      </c>
      <c r="K1692">
        <v>133</v>
      </c>
    </row>
    <row r="1693" spans="1:11" x14ac:dyDescent="0.2">
      <c r="A1693" t="s">
        <v>3252</v>
      </c>
      <c r="B1693">
        <v>29045</v>
      </c>
      <c r="C1693" t="s">
        <v>469</v>
      </c>
      <c r="D1693" t="s">
        <v>3277</v>
      </c>
      <c r="E1693" t="s">
        <v>281</v>
      </c>
      <c r="F1693" t="s">
        <v>281</v>
      </c>
      <c r="G1693" t="s">
        <v>2688</v>
      </c>
      <c r="H1693" t="s">
        <v>281</v>
      </c>
      <c r="I1693" t="s">
        <v>2666</v>
      </c>
      <c r="J1693">
        <v>1</v>
      </c>
      <c r="K1693">
        <v>65</v>
      </c>
    </row>
    <row r="1694" spans="1:11" x14ac:dyDescent="0.2">
      <c r="A1694" t="s">
        <v>3252</v>
      </c>
      <c r="B1694">
        <v>31049</v>
      </c>
      <c r="C1694" t="s">
        <v>491</v>
      </c>
      <c r="D1694" t="s">
        <v>3254</v>
      </c>
      <c r="E1694" t="s">
        <v>281</v>
      </c>
      <c r="F1694" t="s">
        <v>281</v>
      </c>
      <c r="G1694" t="s">
        <v>2736</v>
      </c>
      <c r="H1694" t="s">
        <v>281</v>
      </c>
      <c r="I1694" t="s">
        <v>2666</v>
      </c>
      <c r="J1694">
        <v>1</v>
      </c>
      <c r="K1694">
        <v>253</v>
      </c>
    </row>
    <row r="1695" spans="1:11" x14ac:dyDescent="0.2">
      <c r="A1695" t="s">
        <v>3252</v>
      </c>
      <c r="B1695">
        <v>31036</v>
      </c>
      <c r="C1695" t="s">
        <v>485</v>
      </c>
      <c r="D1695" t="s">
        <v>3300</v>
      </c>
      <c r="E1695" t="s">
        <v>281</v>
      </c>
      <c r="F1695" t="s">
        <v>281</v>
      </c>
      <c r="G1695" t="s">
        <v>2736</v>
      </c>
      <c r="H1695" t="s">
        <v>281</v>
      </c>
      <c r="I1695" t="s">
        <v>2666</v>
      </c>
      <c r="J1695">
        <v>1</v>
      </c>
      <c r="K1695">
        <v>559</v>
      </c>
    </row>
    <row r="1696" spans="1:11" x14ac:dyDescent="0.2">
      <c r="A1696" t="s">
        <v>3252</v>
      </c>
      <c r="B1696">
        <v>94004</v>
      </c>
      <c r="C1696" t="s">
        <v>756</v>
      </c>
      <c r="D1696" t="s">
        <v>3384</v>
      </c>
      <c r="E1696" t="s">
        <v>281</v>
      </c>
      <c r="F1696" t="s">
        <v>281</v>
      </c>
      <c r="G1696" t="s">
        <v>2672</v>
      </c>
      <c r="H1696" t="s">
        <v>281</v>
      </c>
      <c r="I1696" t="s">
        <v>2666</v>
      </c>
      <c r="J1696">
        <v>1</v>
      </c>
      <c r="K1696">
        <v>230</v>
      </c>
    </row>
    <row r="1697" spans="1:11" x14ac:dyDescent="0.2">
      <c r="A1697" t="s">
        <v>3252</v>
      </c>
      <c r="B1697">
        <v>31017</v>
      </c>
      <c r="C1697" t="s">
        <v>1098</v>
      </c>
      <c r="D1697" t="s">
        <v>3346</v>
      </c>
      <c r="E1697" t="s">
        <v>281</v>
      </c>
      <c r="F1697" t="s">
        <v>281</v>
      </c>
      <c r="G1697" t="s">
        <v>2736</v>
      </c>
      <c r="H1697" t="s">
        <v>281</v>
      </c>
      <c r="I1697" t="s">
        <v>2666</v>
      </c>
      <c r="J1697">
        <v>1</v>
      </c>
      <c r="K1697">
        <v>943</v>
      </c>
    </row>
    <row r="1698" spans="1:11" x14ac:dyDescent="0.2">
      <c r="A1698" t="s">
        <v>3252</v>
      </c>
      <c r="B1698">
        <v>37022</v>
      </c>
      <c r="C1698" t="s">
        <v>521</v>
      </c>
      <c r="D1698" t="s">
        <v>3328</v>
      </c>
      <c r="E1698" t="s">
        <v>2634</v>
      </c>
      <c r="F1698" t="s">
        <v>281</v>
      </c>
      <c r="G1698" t="s">
        <v>2759</v>
      </c>
      <c r="H1698" t="s">
        <v>2634</v>
      </c>
      <c r="I1698" t="s">
        <v>2666</v>
      </c>
      <c r="J1698">
        <v>1</v>
      </c>
      <c r="K1698">
        <v>276</v>
      </c>
    </row>
    <row r="1699" spans="1:11" x14ac:dyDescent="0.2">
      <c r="A1699" t="s">
        <v>3252</v>
      </c>
      <c r="B1699">
        <v>31062</v>
      </c>
      <c r="C1699" t="s">
        <v>500</v>
      </c>
      <c r="D1699" t="s">
        <v>3254</v>
      </c>
      <c r="E1699" t="s">
        <v>281</v>
      </c>
      <c r="F1699" t="s">
        <v>281</v>
      </c>
      <c r="G1699" t="s">
        <v>2736</v>
      </c>
      <c r="H1699" t="s">
        <v>281</v>
      </c>
      <c r="I1699" t="s">
        <v>2666</v>
      </c>
      <c r="J1699">
        <v>1</v>
      </c>
      <c r="K1699">
        <v>130</v>
      </c>
    </row>
    <row r="1700" spans="1:11" x14ac:dyDescent="0.2">
      <c r="A1700" t="s">
        <v>3252</v>
      </c>
      <c r="B1700">
        <v>31007</v>
      </c>
      <c r="C1700" t="s">
        <v>474</v>
      </c>
      <c r="D1700" t="s">
        <v>3317</v>
      </c>
      <c r="E1700" t="s">
        <v>281</v>
      </c>
      <c r="F1700" t="s">
        <v>281</v>
      </c>
      <c r="G1700" t="s">
        <v>2736</v>
      </c>
      <c r="H1700" t="s">
        <v>281</v>
      </c>
      <c r="I1700" t="s">
        <v>2666</v>
      </c>
      <c r="J1700">
        <v>1</v>
      </c>
      <c r="K1700">
        <v>50</v>
      </c>
    </row>
    <row r="1701" spans="1:11" x14ac:dyDescent="0.2">
      <c r="A1701" t="s">
        <v>3252</v>
      </c>
      <c r="B1701">
        <v>96010</v>
      </c>
      <c r="C1701" t="s">
        <v>1196</v>
      </c>
      <c r="D1701" t="s">
        <v>3257</v>
      </c>
      <c r="E1701" t="s">
        <v>281</v>
      </c>
      <c r="F1701" t="s">
        <v>281</v>
      </c>
      <c r="G1701" t="s">
        <v>3256</v>
      </c>
      <c r="H1701" t="s">
        <v>281</v>
      </c>
      <c r="I1701" t="s">
        <v>2666</v>
      </c>
      <c r="J1701">
        <v>1</v>
      </c>
      <c r="K1701">
        <v>267</v>
      </c>
    </row>
    <row r="1702" spans="1:11" x14ac:dyDescent="0.2">
      <c r="A1702" t="s">
        <v>3252</v>
      </c>
      <c r="B1702">
        <v>49060</v>
      </c>
      <c r="C1702" t="s">
        <v>620</v>
      </c>
      <c r="D1702" t="s">
        <v>3343</v>
      </c>
      <c r="E1702" t="s">
        <v>281</v>
      </c>
      <c r="F1702" t="s">
        <v>281</v>
      </c>
      <c r="G1702" t="s">
        <v>2983</v>
      </c>
      <c r="H1702" t="s">
        <v>281</v>
      </c>
      <c r="I1702" t="s">
        <v>2666</v>
      </c>
      <c r="J1702">
        <v>1</v>
      </c>
      <c r="K1702">
        <v>59</v>
      </c>
    </row>
    <row r="1703" spans="1:11" x14ac:dyDescent="0.2">
      <c r="A1703" t="s">
        <v>3252</v>
      </c>
      <c r="B1703">
        <v>37070</v>
      </c>
      <c r="C1703" t="s">
        <v>529</v>
      </c>
      <c r="D1703" t="s">
        <v>3294</v>
      </c>
      <c r="E1703" t="s">
        <v>281</v>
      </c>
      <c r="F1703" t="s">
        <v>281</v>
      </c>
      <c r="G1703" t="s">
        <v>2759</v>
      </c>
      <c r="H1703" t="s">
        <v>281</v>
      </c>
      <c r="I1703" t="s">
        <v>2666</v>
      </c>
      <c r="J1703">
        <v>1</v>
      </c>
      <c r="K1703">
        <v>282</v>
      </c>
    </row>
    <row r="1704" spans="1:11" x14ac:dyDescent="0.2">
      <c r="A1704" t="s">
        <v>3252</v>
      </c>
      <c r="B1704">
        <v>92010</v>
      </c>
      <c r="C1704" t="s">
        <v>747</v>
      </c>
      <c r="D1704" t="s">
        <v>3267</v>
      </c>
      <c r="E1704" t="s">
        <v>281</v>
      </c>
      <c r="F1704" t="s">
        <v>281</v>
      </c>
      <c r="G1704" t="s">
        <v>2637</v>
      </c>
      <c r="H1704" t="s">
        <v>281</v>
      </c>
      <c r="I1704" t="s">
        <v>2666</v>
      </c>
      <c r="J1704">
        <v>1</v>
      </c>
      <c r="K1704">
        <v>165</v>
      </c>
    </row>
    <row r="1705" spans="1:11" x14ac:dyDescent="0.2">
      <c r="A1705" t="s">
        <v>3252</v>
      </c>
      <c r="B1705">
        <v>93014</v>
      </c>
      <c r="C1705" t="s">
        <v>1375</v>
      </c>
      <c r="D1705" t="s">
        <v>3358</v>
      </c>
      <c r="E1705" t="s">
        <v>281</v>
      </c>
      <c r="F1705" t="s">
        <v>281</v>
      </c>
      <c r="G1705" t="s">
        <v>2708</v>
      </c>
      <c r="H1705" t="s">
        <v>281</v>
      </c>
      <c r="I1705" t="s">
        <v>2666</v>
      </c>
      <c r="J1705">
        <v>1</v>
      </c>
      <c r="K1705">
        <v>198</v>
      </c>
    </row>
    <row r="1706" spans="1:11" x14ac:dyDescent="0.2">
      <c r="A1706" t="s">
        <v>3252</v>
      </c>
      <c r="B1706">
        <v>31053</v>
      </c>
      <c r="C1706" t="s">
        <v>494</v>
      </c>
      <c r="D1706" t="s">
        <v>3254</v>
      </c>
      <c r="E1706" t="s">
        <v>281</v>
      </c>
      <c r="F1706" t="s">
        <v>281</v>
      </c>
      <c r="G1706" t="s">
        <v>2736</v>
      </c>
      <c r="H1706" t="s">
        <v>281</v>
      </c>
      <c r="I1706" t="s">
        <v>2666</v>
      </c>
      <c r="J1706">
        <v>1</v>
      </c>
      <c r="K1706">
        <v>119</v>
      </c>
    </row>
    <row r="1707" spans="1:11" x14ac:dyDescent="0.2">
      <c r="A1707" t="s">
        <v>3252</v>
      </c>
      <c r="B1707">
        <v>94005</v>
      </c>
      <c r="C1707" t="s">
        <v>1195</v>
      </c>
      <c r="D1707" t="s">
        <v>3323</v>
      </c>
      <c r="E1707" t="s">
        <v>281</v>
      </c>
      <c r="F1707" t="s">
        <v>281</v>
      </c>
      <c r="G1707" t="s">
        <v>2672</v>
      </c>
      <c r="H1707" t="s">
        <v>281</v>
      </c>
      <c r="I1707" t="s">
        <v>2666</v>
      </c>
      <c r="J1707">
        <v>1</v>
      </c>
      <c r="K1707">
        <v>60</v>
      </c>
    </row>
    <row r="1708" spans="1:11" x14ac:dyDescent="0.2">
      <c r="A1708" t="s">
        <v>3252</v>
      </c>
      <c r="B1708">
        <v>88002</v>
      </c>
      <c r="C1708" t="s">
        <v>736</v>
      </c>
      <c r="D1708" t="s">
        <v>3301</v>
      </c>
      <c r="E1708" t="s">
        <v>281</v>
      </c>
      <c r="F1708" t="s">
        <v>281</v>
      </c>
      <c r="G1708" t="s">
        <v>2745</v>
      </c>
      <c r="H1708" t="s">
        <v>281</v>
      </c>
      <c r="I1708" t="s">
        <v>2666</v>
      </c>
      <c r="J1708">
        <v>1</v>
      </c>
      <c r="K1708">
        <v>432</v>
      </c>
    </row>
    <row r="1709" spans="1:11" x14ac:dyDescent="0.2">
      <c r="A1709" t="s">
        <v>3252</v>
      </c>
      <c r="B1709">
        <v>31024</v>
      </c>
      <c r="C1709" t="s">
        <v>2461</v>
      </c>
      <c r="D1709" t="s">
        <v>3399</v>
      </c>
      <c r="E1709" t="s">
        <v>281</v>
      </c>
      <c r="F1709" t="s">
        <v>281</v>
      </c>
      <c r="G1709" t="s">
        <v>2736</v>
      </c>
      <c r="H1709" t="s">
        <v>281</v>
      </c>
      <c r="I1709" t="s">
        <v>2666</v>
      </c>
      <c r="J1709">
        <v>1</v>
      </c>
      <c r="K1709">
        <v>693</v>
      </c>
    </row>
    <row r="1710" spans="1:11" x14ac:dyDescent="0.2">
      <c r="A1710" t="s">
        <v>3252</v>
      </c>
      <c r="B1710">
        <v>88006</v>
      </c>
      <c r="C1710" t="s">
        <v>1191</v>
      </c>
      <c r="D1710" t="s">
        <v>3340</v>
      </c>
      <c r="E1710" t="s">
        <v>281</v>
      </c>
      <c r="F1710" t="s">
        <v>281</v>
      </c>
      <c r="G1710" t="s">
        <v>2745</v>
      </c>
      <c r="H1710" t="s">
        <v>281</v>
      </c>
      <c r="I1710" t="s">
        <v>2666</v>
      </c>
      <c r="J1710">
        <v>1</v>
      </c>
      <c r="K1710">
        <v>10</v>
      </c>
    </row>
    <row r="1711" spans="1:11" x14ac:dyDescent="0.2">
      <c r="A1711" t="s">
        <v>3252</v>
      </c>
      <c r="B1711">
        <v>77003</v>
      </c>
      <c r="C1711" t="s">
        <v>694</v>
      </c>
      <c r="D1711" t="s">
        <v>3266</v>
      </c>
      <c r="E1711" t="s">
        <v>281</v>
      </c>
      <c r="F1711" t="s">
        <v>281</v>
      </c>
      <c r="G1711" t="s">
        <v>2780</v>
      </c>
      <c r="H1711" t="s">
        <v>281</v>
      </c>
      <c r="I1711" t="s">
        <v>2666</v>
      </c>
      <c r="J1711">
        <v>1</v>
      </c>
      <c r="K1711">
        <v>880.5</v>
      </c>
    </row>
    <row r="1712" spans="1:11" x14ac:dyDescent="0.2">
      <c r="A1712" t="s">
        <v>3252</v>
      </c>
      <c r="B1712">
        <v>78016</v>
      </c>
      <c r="C1712" t="s">
        <v>700</v>
      </c>
      <c r="D1712" t="s">
        <v>3268</v>
      </c>
      <c r="E1712" t="s">
        <v>281</v>
      </c>
      <c r="F1712" t="s">
        <v>281</v>
      </c>
      <c r="G1712" t="s">
        <v>2909</v>
      </c>
      <c r="H1712" t="s">
        <v>281</v>
      </c>
      <c r="I1712" t="s">
        <v>2666</v>
      </c>
      <c r="J1712">
        <v>1</v>
      </c>
      <c r="K1712">
        <v>158</v>
      </c>
    </row>
    <row r="1713" spans="1:11" x14ac:dyDescent="0.2">
      <c r="A1713" t="s">
        <v>3252</v>
      </c>
      <c r="B1713">
        <v>94012</v>
      </c>
      <c r="C1713" t="s">
        <v>2471</v>
      </c>
      <c r="D1713" t="s">
        <v>3327</v>
      </c>
      <c r="E1713" t="s">
        <v>281</v>
      </c>
      <c r="F1713" t="s">
        <v>281</v>
      </c>
      <c r="G1713" t="s">
        <v>2672</v>
      </c>
      <c r="H1713" t="s">
        <v>281</v>
      </c>
      <c r="I1713" t="s">
        <v>2666</v>
      </c>
      <c r="J1713">
        <v>1</v>
      </c>
      <c r="K1713">
        <v>563</v>
      </c>
    </row>
    <row r="1714" spans="1:11" x14ac:dyDescent="0.2">
      <c r="A1714" t="s">
        <v>3252</v>
      </c>
      <c r="B1714">
        <v>80024</v>
      </c>
      <c r="C1714" t="s">
        <v>713</v>
      </c>
      <c r="D1714" t="s">
        <v>3372</v>
      </c>
      <c r="E1714" t="s">
        <v>281</v>
      </c>
      <c r="F1714" t="s">
        <v>281</v>
      </c>
      <c r="G1714" t="s">
        <v>2842</v>
      </c>
      <c r="H1714" t="s">
        <v>281</v>
      </c>
      <c r="I1714" t="s">
        <v>2666</v>
      </c>
      <c r="J1714">
        <v>1</v>
      </c>
      <c r="K1714">
        <v>248</v>
      </c>
    </row>
    <row r="1715" spans="1:11" x14ac:dyDescent="0.2">
      <c r="A1715" t="s">
        <v>3252</v>
      </c>
      <c r="B1715">
        <v>29036</v>
      </c>
      <c r="C1715" t="s">
        <v>467</v>
      </c>
      <c r="D1715" t="s">
        <v>3404</v>
      </c>
      <c r="E1715" t="s">
        <v>281</v>
      </c>
      <c r="F1715" t="s">
        <v>281</v>
      </c>
      <c r="G1715" t="s">
        <v>2688</v>
      </c>
      <c r="H1715" t="s">
        <v>281</v>
      </c>
      <c r="I1715" t="s">
        <v>2666</v>
      </c>
      <c r="J1715">
        <v>1</v>
      </c>
      <c r="K1715">
        <v>82</v>
      </c>
    </row>
    <row r="1716" spans="1:11" x14ac:dyDescent="0.2">
      <c r="A1716" t="s">
        <v>3252</v>
      </c>
      <c r="B1716">
        <v>80040</v>
      </c>
      <c r="C1716" t="s">
        <v>716</v>
      </c>
      <c r="D1716" t="s">
        <v>3274</v>
      </c>
      <c r="E1716" t="s">
        <v>281</v>
      </c>
      <c r="F1716" t="s">
        <v>281</v>
      </c>
      <c r="G1716" t="s">
        <v>2842</v>
      </c>
      <c r="H1716" t="s">
        <v>281</v>
      </c>
      <c r="I1716" t="s">
        <v>2666</v>
      </c>
      <c r="J1716">
        <v>1</v>
      </c>
      <c r="K1716">
        <v>1050</v>
      </c>
    </row>
    <row r="1717" spans="1:11" x14ac:dyDescent="0.2">
      <c r="A1717" t="s">
        <v>3252</v>
      </c>
      <c r="B1717">
        <v>32026</v>
      </c>
      <c r="C1717" t="s">
        <v>507</v>
      </c>
      <c r="D1717" t="s">
        <v>3401</v>
      </c>
      <c r="E1717" t="s">
        <v>281</v>
      </c>
      <c r="F1717" t="s">
        <v>281</v>
      </c>
      <c r="G1717" t="s">
        <v>2844</v>
      </c>
      <c r="H1717" t="s">
        <v>281</v>
      </c>
      <c r="I1717" t="s">
        <v>2666</v>
      </c>
      <c r="J1717">
        <v>1</v>
      </c>
      <c r="K1717">
        <v>54</v>
      </c>
    </row>
    <row r="1718" spans="1:11" x14ac:dyDescent="0.2">
      <c r="A1718" t="s">
        <v>3252</v>
      </c>
      <c r="B1718">
        <v>96001</v>
      </c>
      <c r="C1718" t="s">
        <v>2567</v>
      </c>
      <c r="D1718" t="s">
        <v>3329</v>
      </c>
      <c r="E1718" t="s">
        <v>2634</v>
      </c>
      <c r="F1718" t="s">
        <v>281</v>
      </c>
      <c r="G1718" t="s">
        <v>3256</v>
      </c>
      <c r="H1718" t="s">
        <v>2634</v>
      </c>
      <c r="I1718" t="s">
        <v>2666</v>
      </c>
      <c r="J1718">
        <v>1</v>
      </c>
      <c r="K1718">
        <v>146</v>
      </c>
    </row>
    <row r="1719" spans="1:11" x14ac:dyDescent="0.2">
      <c r="A1719" t="s">
        <v>3252</v>
      </c>
      <c r="B1719">
        <v>31051</v>
      </c>
      <c r="C1719" t="s">
        <v>492</v>
      </c>
      <c r="D1719" t="s">
        <v>3254</v>
      </c>
      <c r="E1719" t="s">
        <v>281</v>
      </c>
      <c r="F1719" t="s">
        <v>281</v>
      </c>
      <c r="G1719" t="s">
        <v>2736</v>
      </c>
      <c r="H1719" t="s">
        <v>281</v>
      </c>
      <c r="I1719" t="s">
        <v>2666</v>
      </c>
      <c r="J1719">
        <v>1</v>
      </c>
      <c r="K1719">
        <v>35</v>
      </c>
    </row>
    <row r="1720" spans="1:11" x14ac:dyDescent="0.2">
      <c r="A1720" t="s">
        <v>3252</v>
      </c>
      <c r="B1720">
        <v>80013</v>
      </c>
      <c r="C1720" t="s">
        <v>707</v>
      </c>
      <c r="D1720" t="s">
        <v>3291</v>
      </c>
      <c r="E1720" t="s">
        <v>281</v>
      </c>
      <c r="F1720" t="s">
        <v>281</v>
      </c>
      <c r="G1720" t="s">
        <v>2842</v>
      </c>
      <c r="H1720" t="s">
        <v>281</v>
      </c>
      <c r="I1720" t="s">
        <v>2666</v>
      </c>
      <c r="J1720">
        <v>1</v>
      </c>
      <c r="K1720">
        <v>138</v>
      </c>
    </row>
    <row r="1721" spans="1:11" x14ac:dyDescent="0.2">
      <c r="A1721" t="s">
        <v>3252</v>
      </c>
      <c r="B1721">
        <v>46007</v>
      </c>
      <c r="C1721" t="s">
        <v>587</v>
      </c>
      <c r="D1721" t="s">
        <v>3385</v>
      </c>
      <c r="E1721" t="s">
        <v>281</v>
      </c>
      <c r="F1721" t="s">
        <v>281</v>
      </c>
      <c r="G1721" t="s">
        <v>2826</v>
      </c>
      <c r="H1721" t="s">
        <v>281</v>
      </c>
      <c r="I1721" t="s">
        <v>2666</v>
      </c>
      <c r="J1721">
        <v>1</v>
      </c>
      <c r="K1721">
        <v>30</v>
      </c>
    </row>
    <row r="1722" spans="1:11" x14ac:dyDescent="0.2">
      <c r="A1722" t="s">
        <v>3252</v>
      </c>
      <c r="B1722">
        <v>80007</v>
      </c>
      <c r="C1722" t="s">
        <v>703</v>
      </c>
      <c r="D1722" t="s">
        <v>3308</v>
      </c>
      <c r="E1722" t="s">
        <v>281</v>
      </c>
      <c r="F1722" t="s">
        <v>281</v>
      </c>
      <c r="G1722" t="s">
        <v>2842</v>
      </c>
      <c r="H1722" t="s">
        <v>281</v>
      </c>
      <c r="I1722" t="s">
        <v>2666</v>
      </c>
      <c r="J1722">
        <v>1</v>
      </c>
      <c r="K1722">
        <v>1184</v>
      </c>
    </row>
    <row r="1723" spans="1:11" x14ac:dyDescent="0.2">
      <c r="A1723" t="s">
        <v>3252</v>
      </c>
      <c r="B1723">
        <v>49063</v>
      </c>
      <c r="C1723" t="s">
        <v>621</v>
      </c>
      <c r="D1723" t="s">
        <v>3265</v>
      </c>
      <c r="E1723" t="s">
        <v>281</v>
      </c>
      <c r="F1723" t="s">
        <v>281</v>
      </c>
      <c r="G1723" t="s">
        <v>2950</v>
      </c>
      <c r="H1723" t="s">
        <v>281</v>
      </c>
      <c r="I1723" t="s">
        <v>2666</v>
      </c>
      <c r="J1723">
        <v>1</v>
      </c>
      <c r="K1723">
        <v>3880.56</v>
      </c>
    </row>
    <row r="1724" spans="1:11" x14ac:dyDescent="0.2">
      <c r="A1724" t="s">
        <v>3252</v>
      </c>
      <c r="B1724">
        <v>38025</v>
      </c>
      <c r="C1724" t="s">
        <v>531</v>
      </c>
      <c r="D1724" t="s">
        <v>3297</v>
      </c>
      <c r="E1724" t="s">
        <v>281</v>
      </c>
      <c r="F1724" t="s">
        <v>281</v>
      </c>
      <c r="G1724" t="s">
        <v>2676</v>
      </c>
      <c r="H1724" t="s">
        <v>281</v>
      </c>
      <c r="I1724" t="s">
        <v>2666</v>
      </c>
      <c r="J1724">
        <v>1</v>
      </c>
      <c r="K1724">
        <v>398</v>
      </c>
    </row>
    <row r="1725" spans="1:11" x14ac:dyDescent="0.2">
      <c r="A1725" t="s">
        <v>3252</v>
      </c>
      <c r="B1725">
        <v>34002</v>
      </c>
      <c r="C1725" t="s">
        <v>511</v>
      </c>
      <c r="D1725" t="s">
        <v>3259</v>
      </c>
      <c r="E1725" t="s">
        <v>281</v>
      </c>
      <c r="F1725" t="s">
        <v>281</v>
      </c>
      <c r="G1725" t="s">
        <v>2770</v>
      </c>
      <c r="H1725" t="s">
        <v>281</v>
      </c>
      <c r="I1725" t="s">
        <v>2666</v>
      </c>
      <c r="J1725">
        <v>1</v>
      </c>
      <c r="K1725">
        <v>499</v>
      </c>
    </row>
    <row r="1726" spans="1:11" x14ac:dyDescent="0.2">
      <c r="A1726" t="s">
        <v>3252</v>
      </c>
      <c r="B1726">
        <v>93005</v>
      </c>
      <c r="C1726" t="s">
        <v>751</v>
      </c>
      <c r="D1726" t="s">
        <v>3338</v>
      </c>
      <c r="E1726" t="s">
        <v>281</v>
      </c>
      <c r="F1726" t="s">
        <v>281</v>
      </c>
      <c r="G1726" t="s">
        <v>2708</v>
      </c>
      <c r="H1726" t="s">
        <v>281</v>
      </c>
      <c r="I1726" t="s">
        <v>2666</v>
      </c>
      <c r="J1726">
        <v>1</v>
      </c>
      <c r="K1726">
        <v>573</v>
      </c>
    </row>
    <row r="1727" spans="1:11" x14ac:dyDescent="0.2">
      <c r="A1727" t="s">
        <v>3252</v>
      </c>
      <c r="B1727">
        <v>92003</v>
      </c>
      <c r="C1727" t="s">
        <v>743</v>
      </c>
      <c r="D1727" t="s">
        <v>3324</v>
      </c>
      <c r="E1727" t="s">
        <v>281</v>
      </c>
      <c r="F1727" t="s">
        <v>281</v>
      </c>
      <c r="G1727" t="s">
        <v>2637</v>
      </c>
      <c r="H1727" t="s">
        <v>281</v>
      </c>
      <c r="I1727" t="s">
        <v>2666</v>
      </c>
      <c r="J1727">
        <v>1</v>
      </c>
      <c r="K1727">
        <v>70</v>
      </c>
    </row>
    <row r="1728" spans="1:11" x14ac:dyDescent="0.2">
      <c r="A1728" t="s">
        <v>3252</v>
      </c>
      <c r="B1728">
        <v>28008</v>
      </c>
      <c r="C1728" t="s">
        <v>453</v>
      </c>
      <c r="D1728" t="s">
        <v>3377</v>
      </c>
      <c r="E1728" t="s">
        <v>2634</v>
      </c>
      <c r="F1728" t="s">
        <v>281</v>
      </c>
      <c r="G1728" t="s">
        <v>2793</v>
      </c>
      <c r="H1728" t="s">
        <v>2634</v>
      </c>
      <c r="I1728" t="s">
        <v>2666</v>
      </c>
      <c r="J1728">
        <v>1</v>
      </c>
      <c r="K1728">
        <v>818</v>
      </c>
    </row>
    <row r="1729" spans="1:11" x14ac:dyDescent="0.2">
      <c r="A1729" t="s">
        <v>3252</v>
      </c>
      <c r="B1729">
        <v>35006</v>
      </c>
      <c r="C1729" t="s">
        <v>1361</v>
      </c>
      <c r="D1729" t="s">
        <v>3373</v>
      </c>
      <c r="E1729" t="s">
        <v>2634</v>
      </c>
      <c r="F1729" t="s">
        <v>281</v>
      </c>
      <c r="G1729" t="s">
        <v>3334</v>
      </c>
      <c r="H1729" t="s">
        <v>2634</v>
      </c>
      <c r="I1729" t="s">
        <v>2666</v>
      </c>
      <c r="J1729">
        <v>1</v>
      </c>
      <c r="K1729">
        <v>207</v>
      </c>
    </row>
    <row r="1730" spans="1:11" x14ac:dyDescent="0.2">
      <c r="A1730" t="s">
        <v>3252</v>
      </c>
      <c r="B1730">
        <v>92004</v>
      </c>
      <c r="C1730" t="s">
        <v>744</v>
      </c>
      <c r="D1730" t="s">
        <v>3400</v>
      </c>
      <c r="E1730" t="s">
        <v>281</v>
      </c>
      <c r="F1730" t="s">
        <v>281</v>
      </c>
      <c r="G1730" t="s">
        <v>2637</v>
      </c>
      <c r="H1730" t="s">
        <v>281</v>
      </c>
      <c r="I1730" t="s">
        <v>2666</v>
      </c>
      <c r="J1730">
        <v>1</v>
      </c>
      <c r="K1730">
        <v>284</v>
      </c>
    </row>
    <row r="1731" spans="1:11" x14ac:dyDescent="0.2">
      <c r="A1731" t="s">
        <v>3252</v>
      </c>
      <c r="B1731">
        <v>49064</v>
      </c>
      <c r="C1731" t="s">
        <v>622</v>
      </c>
      <c r="D1731" t="s">
        <v>3302</v>
      </c>
      <c r="E1731" t="s">
        <v>281</v>
      </c>
      <c r="F1731" t="s">
        <v>281</v>
      </c>
      <c r="G1731" t="s">
        <v>2950</v>
      </c>
      <c r="H1731" t="s">
        <v>281</v>
      </c>
      <c r="I1731" t="s">
        <v>2666</v>
      </c>
      <c r="J1731">
        <v>1</v>
      </c>
      <c r="K1731">
        <v>97</v>
      </c>
    </row>
    <row r="1732" spans="1:11" x14ac:dyDescent="0.2">
      <c r="A1732" t="s">
        <v>3252</v>
      </c>
      <c r="B1732">
        <v>31011</v>
      </c>
      <c r="C1732" t="s">
        <v>476</v>
      </c>
      <c r="D1732" t="s">
        <v>3292</v>
      </c>
      <c r="E1732" t="s">
        <v>281</v>
      </c>
      <c r="F1732" t="s">
        <v>281</v>
      </c>
      <c r="G1732" t="s">
        <v>2736</v>
      </c>
      <c r="H1732" t="s">
        <v>281</v>
      </c>
      <c r="I1732" t="s">
        <v>2666</v>
      </c>
      <c r="J1732">
        <v>1</v>
      </c>
      <c r="K1732">
        <v>873</v>
      </c>
    </row>
    <row r="1733" spans="1:11" x14ac:dyDescent="0.2">
      <c r="A1733" t="s">
        <v>3252</v>
      </c>
      <c r="B1733">
        <v>31028</v>
      </c>
      <c r="C1733" t="s">
        <v>482</v>
      </c>
      <c r="D1733" t="s">
        <v>3251</v>
      </c>
      <c r="E1733" t="s">
        <v>281</v>
      </c>
      <c r="F1733" t="s">
        <v>281</v>
      </c>
      <c r="G1733" t="s">
        <v>2736</v>
      </c>
      <c r="H1733" t="s">
        <v>281</v>
      </c>
      <c r="I1733" t="s">
        <v>2666</v>
      </c>
      <c r="J1733">
        <v>1</v>
      </c>
      <c r="K1733">
        <v>260</v>
      </c>
    </row>
    <row r="1734" spans="1:11" x14ac:dyDescent="0.2">
      <c r="A1734" t="s">
        <v>3252</v>
      </c>
      <c r="B1734">
        <v>38020</v>
      </c>
      <c r="C1734" t="s">
        <v>2464</v>
      </c>
      <c r="D1734" t="s">
        <v>3315</v>
      </c>
      <c r="E1734" t="s">
        <v>281</v>
      </c>
      <c r="F1734" t="s">
        <v>281</v>
      </c>
      <c r="G1734" t="s">
        <v>2676</v>
      </c>
      <c r="H1734" t="s">
        <v>281</v>
      </c>
      <c r="I1734" t="s">
        <v>2666</v>
      </c>
      <c r="J1734">
        <v>1</v>
      </c>
      <c r="K1734">
        <v>796.5</v>
      </c>
    </row>
    <row r="1735" spans="1:11" x14ac:dyDescent="0.2">
      <c r="A1735" t="s">
        <v>3252</v>
      </c>
      <c r="B1735">
        <v>32010</v>
      </c>
      <c r="C1735" t="s">
        <v>503</v>
      </c>
      <c r="D1735" t="s">
        <v>3313</v>
      </c>
      <c r="E1735" t="s">
        <v>281</v>
      </c>
      <c r="F1735" t="s">
        <v>281</v>
      </c>
      <c r="G1735" t="s">
        <v>2844</v>
      </c>
      <c r="H1735" t="s">
        <v>281</v>
      </c>
      <c r="I1735" t="s">
        <v>2666</v>
      </c>
      <c r="J1735">
        <v>1</v>
      </c>
      <c r="K1735">
        <v>74</v>
      </c>
    </row>
    <row r="1736" spans="1:11" x14ac:dyDescent="0.2">
      <c r="A1736" t="s">
        <v>3252</v>
      </c>
      <c r="B1736">
        <v>31058</v>
      </c>
      <c r="C1736" t="s">
        <v>497</v>
      </c>
      <c r="D1736" t="s">
        <v>3254</v>
      </c>
      <c r="E1736" t="s">
        <v>281</v>
      </c>
      <c r="F1736" t="s">
        <v>281</v>
      </c>
      <c r="G1736" t="s">
        <v>2736</v>
      </c>
      <c r="H1736" t="s">
        <v>281</v>
      </c>
      <c r="I1736" t="s">
        <v>2666</v>
      </c>
      <c r="J1736">
        <v>1</v>
      </c>
      <c r="K1736">
        <v>437</v>
      </c>
    </row>
    <row r="1737" spans="1:11" x14ac:dyDescent="0.2">
      <c r="A1737" t="s">
        <v>3252</v>
      </c>
      <c r="B1737">
        <v>80054</v>
      </c>
      <c r="C1737" t="s">
        <v>718</v>
      </c>
      <c r="D1737" t="s">
        <v>3262</v>
      </c>
      <c r="E1737" t="s">
        <v>281</v>
      </c>
      <c r="F1737" t="s">
        <v>281</v>
      </c>
      <c r="G1737" t="s">
        <v>2842</v>
      </c>
      <c r="H1737" t="s">
        <v>281</v>
      </c>
      <c r="I1737" t="s">
        <v>2666</v>
      </c>
      <c r="J1737">
        <v>1</v>
      </c>
      <c r="K1737">
        <v>215</v>
      </c>
    </row>
    <row r="1738" spans="1:11" x14ac:dyDescent="0.2">
      <c r="A1738" t="s">
        <v>3252</v>
      </c>
      <c r="B1738">
        <v>49085</v>
      </c>
      <c r="C1738" t="s">
        <v>2559</v>
      </c>
      <c r="D1738" t="s">
        <v>3285</v>
      </c>
      <c r="E1738" t="s">
        <v>281</v>
      </c>
      <c r="F1738" t="s">
        <v>281</v>
      </c>
      <c r="G1738" t="s">
        <v>2950</v>
      </c>
      <c r="H1738" t="s">
        <v>281</v>
      </c>
      <c r="I1738" t="s">
        <v>2666</v>
      </c>
      <c r="J1738">
        <v>1</v>
      </c>
      <c r="K1738">
        <v>502</v>
      </c>
    </row>
    <row r="1739" spans="1:11" x14ac:dyDescent="0.2">
      <c r="A1739" t="s">
        <v>3252</v>
      </c>
      <c r="B1739">
        <v>80061</v>
      </c>
      <c r="C1739" t="s">
        <v>720</v>
      </c>
      <c r="D1739" t="s">
        <v>3413</v>
      </c>
      <c r="E1739" t="s">
        <v>281</v>
      </c>
      <c r="F1739" t="s">
        <v>281</v>
      </c>
      <c r="G1739" t="s">
        <v>2842</v>
      </c>
      <c r="H1739" t="s">
        <v>281</v>
      </c>
      <c r="I1739" t="s">
        <v>2666</v>
      </c>
      <c r="J1739">
        <v>1</v>
      </c>
      <c r="K1739">
        <v>2641.4</v>
      </c>
    </row>
    <row r="1740" spans="1:11" x14ac:dyDescent="0.2">
      <c r="A1740" t="s">
        <v>3252</v>
      </c>
      <c r="B1740">
        <v>30032</v>
      </c>
      <c r="C1740" t="s">
        <v>473</v>
      </c>
      <c r="D1740" t="s">
        <v>3287</v>
      </c>
      <c r="E1740" t="s">
        <v>281</v>
      </c>
      <c r="F1740" t="s">
        <v>281</v>
      </c>
      <c r="G1740" t="s">
        <v>2783</v>
      </c>
      <c r="H1740" t="s">
        <v>281</v>
      </c>
      <c r="I1740" t="s">
        <v>2666</v>
      </c>
      <c r="J1740">
        <v>1</v>
      </c>
      <c r="K1740">
        <v>55</v>
      </c>
    </row>
    <row r="1741" spans="1:11" x14ac:dyDescent="0.2">
      <c r="A1741" t="s">
        <v>3252</v>
      </c>
      <c r="B1741">
        <v>45007</v>
      </c>
      <c r="C1741" t="s">
        <v>582</v>
      </c>
      <c r="D1741" t="s">
        <v>3393</v>
      </c>
      <c r="E1741" t="s">
        <v>2634</v>
      </c>
      <c r="F1741" t="s">
        <v>281</v>
      </c>
      <c r="G1741" t="s">
        <v>3263</v>
      </c>
      <c r="H1741" t="s">
        <v>2634</v>
      </c>
      <c r="I1741" t="s">
        <v>2666</v>
      </c>
      <c r="J1741">
        <v>1</v>
      </c>
      <c r="K1741">
        <v>270</v>
      </c>
    </row>
    <row r="1742" spans="1:11" x14ac:dyDescent="0.2">
      <c r="A1742" t="s">
        <v>3252</v>
      </c>
      <c r="B1742">
        <v>36014</v>
      </c>
      <c r="C1742" t="s">
        <v>515</v>
      </c>
      <c r="D1742" t="s">
        <v>3322</v>
      </c>
      <c r="E1742" t="s">
        <v>281</v>
      </c>
      <c r="F1742" t="s">
        <v>281</v>
      </c>
      <c r="G1742" t="s">
        <v>3055</v>
      </c>
      <c r="H1742" t="s">
        <v>281</v>
      </c>
      <c r="I1742" t="s">
        <v>2666</v>
      </c>
      <c r="J1742">
        <v>1</v>
      </c>
      <c r="K1742">
        <v>155</v>
      </c>
    </row>
    <row r="1743" spans="1:11" x14ac:dyDescent="0.2">
      <c r="A1743" t="s">
        <v>3252</v>
      </c>
      <c r="B1743">
        <v>34017</v>
      </c>
      <c r="C1743" t="s">
        <v>513</v>
      </c>
      <c r="D1743" t="s">
        <v>3392</v>
      </c>
      <c r="E1743" t="s">
        <v>281</v>
      </c>
      <c r="F1743" t="s">
        <v>281</v>
      </c>
      <c r="G1743" t="s">
        <v>2770</v>
      </c>
      <c r="H1743" t="s">
        <v>281</v>
      </c>
      <c r="I1743" t="s">
        <v>2666</v>
      </c>
      <c r="J1743">
        <v>1</v>
      </c>
      <c r="K1743">
        <v>101</v>
      </c>
    </row>
    <row r="1744" spans="1:11" x14ac:dyDescent="0.2">
      <c r="A1744" t="s">
        <v>3252</v>
      </c>
      <c r="B1744">
        <v>120147</v>
      </c>
      <c r="C1744" t="s">
        <v>1792</v>
      </c>
      <c r="D1744" t="s">
        <v>3254</v>
      </c>
      <c r="E1744" t="s">
        <v>279</v>
      </c>
      <c r="F1744" t="s">
        <v>281</v>
      </c>
      <c r="G1744" t="s">
        <v>2736</v>
      </c>
      <c r="H1744" t="s">
        <v>279</v>
      </c>
      <c r="I1744" t="s">
        <v>2616</v>
      </c>
      <c r="J1744">
        <v>1</v>
      </c>
      <c r="K1744">
        <v>4076.93</v>
      </c>
    </row>
    <row r="1745" spans="1:11" x14ac:dyDescent="0.2">
      <c r="A1745" t="s">
        <v>3252</v>
      </c>
      <c r="B1745">
        <v>92012</v>
      </c>
      <c r="C1745" t="s">
        <v>748</v>
      </c>
      <c r="D1745" t="s">
        <v>3383</v>
      </c>
      <c r="E1745" t="s">
        <v>281</v>
      </c>
      <c r="F1745" t="s">
        <v>281</v>
      </c>
      <c r="G1745" t="s">
        <v>2637</v>
      </c>
      <c r="H1745" t="s">
        <v>281</v>
      </c>
      <c r="I1745" t="s">
        <v>2666</v>
      </c>
      <c r="J1745">
        <v>1</v>
      </c>
      <c r="K1745">
        <v>471</v>
      </c>
    </row>
    <row r="1746" spans="1:11" x14ac:dyDescent="0.2">
      <c r="A1746" t="s">
        <v>3252</v>
      </c>
      <c r="B1746">
        <v>96006</v>
      </c>
      <c r="C1746" t="s">
        <v>761</v>
      </c>
      <c r="D1746" t="s">
        <v>3275</v>
      </c>
      <c r="E1746" t="s">
        <v>281</v>
      </c>
      <c r="F1746" t="s">
        <v>281</v>
      </c>
      <c r="G1746" t="s">
        <v>3256</v>
      </c>
      <c r="H1746" t="s">
        <v>281</v>
      </c>
      <c r="I1746" t="s">
        <v>2666</v>
      </c>
      <c r="J1746">
        <v>1</v>
      </c>
      <c r="K1746">
        <v>613</v>
      </c>
    </row>
    <row r="1747" spans="1:11" x14ac:dyDescent="0.2">
      <c r="A1747" t="s">
        <v>3252</v>
      </c>
      <c r="B1747">
        <v>31026</v>
      </c>
      <c r="C1747" t="s">
        <v>480</v>
      </c>
      <c r="D1747" t="s">
        <v>3318</v>
      </c>
      <c r="E1747" t="s">
        <v>281</v>
      </c>
      <c r="F1747" t="s">
        <v>281</v>
      </c>
      <c r="G1747" t="s">
        <v>2736</v>
      </c>
      <c r="H1747" t="s">
        <v>281</v>
      </c>
      <c r="I1747" t="s">
        <v>2666</v>
      </c>
      <c r="J1747">
        <v>1</v>
      </c>
      <c r="K1747">
        <v>606</v>
      </c>
    </row>
    <row r="1748" spans="1:11" x14ac:dyDescent="0.2">
      <c r="A1748" t="s">
        <v>3252</v>
      </c>
      <c r="B1748">
        <v>49043</v>
      </c>
      <c r="C1748" t="s">
        <v>613</v>
      </c>
      <c r="D1748" t="s">
        <v>3391</v>
      </c>
      <c r="E1748" t="s">
        <v>281</v>
      </c>
      <c r="F1748" t="s">
        <v>281</v>
      </c>
      <c r="G1748" t="s">
        <v>2950</v>
      </c>
      <c r="H1748" t="s">
        <v>281</v>
      </c>
      <c r="I1748" t="s">
        <v>2666</v>
      </c>
      <c r="J1748">
        <v>1</v>
      </c>
      <c r="K1748">
        <v>87</v>
      </c>
    </row>
    <row r="1749" spans="1:11" x14ac:dyDescent="0.2">
      <c r="A1749" t="s">
        <v>3252</v>
      </c>
      <c r="B1749">
        <v>42003</v>
      </c>
      <c r="C1749" t="s">
        <v>563</v>
      </c>
      <c r="D1749" t="s">
        <v>3388</v>
      </c>
      <c r="E1749" t="s">
        <v>281</v>
      </c>
      <c r="F1749" t="s">
        <v>281</v>
      </c>
      <c r="G1749" t="s">
        <v>2692</v>
      </c>
      <c r="H1749" t="s">
        <v>281</v>
      </c>
      <c r="I1749" t="s">
        <v>2666</v>
      </c>
      <c r="J1749">
        <v>1</v>
      </c>
      <c r="K1749">
        <v>3729.6</v>
      </c>
    </row>
    <row r="1750" spans="1:11" x14ac:dyDescent="0.2">
      <c r="A1750" t="s">
        <v>3252</v>
      </c>
      <c r="B1750">
        <v>41013</v>
      </c>
      <c r="C1750" t="s">
        <v>554</v>
      </c>
      <c r="D1750" t="s">
        <v>3396</v>
      </c>
      <c r="E1750" t="s">
        <v>281</v>
      </c>
      <c r="F1750" t="s">
        <v>281</v>
      </c>
      <c r="G1750" t="s">
        <v>2704</v>
      </c>
      <c r="H1750" t="s">
        <v>281</v>
      </c>
      <c r="I1750" t="s">
        <v>2666</v>
      </c>
      <c r="J1750">
        <v>1</v>
      </c>
      <c r="K1750">
        <v>271</v>
      </c>
    </row>
    <row r="1751" spans="1:11" x14ac:dyDescent="0.2">
      <c r="A1751" t="s">
        <v>3252</v>
      </c>
      <c r="B1751">
        <v>31056</v>
      </c>
      <c r="C1751" t="s">
        <v>496</v>
      </c>
      <c r="D1751" t="s">
        <v>3254</v>
      </c>
      <c r="E1751" t="s">
        <v>281</v>
      </c>
      <c r="F1751" t="s">
        <v>281</v>
      </c>
      <c r="G1751" t="s">
        <v>2736</v>
      </c>
      <c r="H1751" t="s">
        <v>281</v>
      </c>
      <c r="I1751" t="s">
        <v>2666</v>
      </c>
      <c r="J1751">
        <v>1</v>
      </c>
      <c r="K1751">
        <v>546</v>
      </c>
    </row>
    <row r="1752" spans="1:11" x14ac:dyDescent="0.2">
      <c r="A1752" t="s">
        <v>3252</v>
      </c>
      <c r="B1752">
        <v>28024</v>
      </c>
      <c r="C1752" t="s">
        <v>2460</v>
      </c>
      <c r="D1752" t="s">
        <v>3394</v>
      </c>
      <c r="E1752" t="s">
        <v>281</v>
      </c>
      <c r="F1752" t="s">
        <v>281</v>
      </c>
      <c r="G1752" t="s">
        <v>2793</v>
      </c>
      <c r="H1752" t="s">
        <v>281</v>
      </c>
      <c r="I1752" t="s">
        <v>2666</v>
      </c>
      <c r="J1752">
        <v>1</v>
      </c>
      <c r="K1752">
        <v>289</v>
      </c>
    </row>
    <row r="1753" spans="1:11" x14ac:dyDescent="0.2">
      <c r="A1753" t="s">
        <v>3252</v>
      </c>
      <c r="B1753">
        <v>94003</v>
      </c>
      <c r="C1753" t="s">
        <v>755</v>
      </c>
      <c r="D1753" t="s">
        <v>3408</v>
      </c>
      <c r="E1753" t="s">
        <v>281</v>
      </c>
      <c r="F1753" t="s">
        <v>281</v>
      </c>
      <c r="G1753" t="s">
        <v>2672</v>
      </c>
      <c r="H1753" t="s">
        <v>281</v>
      </c>
      <c r="I1753" t="s">
        <v>2666</v>
      </c>
      <c r="J1753">
        <v>1</v>
      </c>
      <c r="K1753">
        <v>257</v>
      </c>
    </row>
    <row r="1754" spans="1:11" x14ac:dyDescent="0.2">
      <c r="A1754" t="s">
        <v>3252</v>
      </c>
      <c r="B1754">
        <v>28016</v>
      </c>
      <c r="C1754" t="s">
        <v>455</v>
      </c>
      <c r="D1754" t="s">
        <v>3307</v>
      </c>
      <c r="E1754" t="s">
        <v>281</v>
      </c>
      <c r="F1754" t="s">
        <v>281</v>
      </c>
      <c r="G1754" t="s">
        <v>2793</v>
      </c>
      <c r="H1754" t="s">
        <v>281</v>
      </c>
      <c r="I1754" t="s">
        <v>2666</v>
      </c>
      <c r="J1754">
        <v>1</v>
      </c>
      <c r="K1754">
        <v>116</v>
      </c>
    </row>
    <row r="1755" spans="1:11" x14ac:dyDescent="0.2">
      <c r="A1755" t="s">
        <v>3252</v>
      </c>
      <c r="B1755">
        <v>29035</v>
      </c>
      <c r="C1755" t="s">
        <v>466</v>
      </c>
      <c r="D1755" t="s">
        <v>3374</v>
      </c>
      <c r="E1755" t="s">
        <v>281</v>
      </c>
      <c r="F1755" t="s">
        <v>281</v>
      </c>
      <c r="G1755" t="s">
        <v>2688</v>
      </c>
      <c r="H1755" t="s">
        <v>281</v>
      </c>
      <c r="I1755" t="s">
        <v>2666</v>
      </c>
      <c r="J1755">
        <v>1</v>
      </c>
      <c r="K1755">
        <v>946</v>
      </c>
    </row>
    <row r="1756" spans="1:11" x14ac:dyDescent="0.2">
      <c r="A1756" t="s">
        <v>3252</v>
      </c>
      <c r="B1756">
        <v>30026</v>
      </c>
      <c r="C1756" t="s">
        <v>1097</v>
      </c>
      <c r="D1756" t="s">
        <v>3346</v>
      </c>
      <c r="E1756" t="s">
        <v>281</v>
      </c>
      <c r="F1756" t="s">
        <v>281</v>
      </c>
      <c r="G1756" t="s">
        <v>2736</v>
      </c>
      <c r="H1756" t="s">
        <v>281</v>
      </c>
      <c r="I1756" t="s">
        <v>2666</v>
      </c>
      <c r="J1756">
        <v>1</v>
      </c>
      <c r="K1756">
        <v>627</v>
      </c>
    </row>
    <row r="1757" spans="1:11" x14ac:dyDescent="0.2">
      <c r="A1757" t="s">
        <v>3252</v>
      </c>
      <c r="B1757">
        <v>41033</v>
      </c>
      <c r="C1757" t="s">
        <v>562</v>
      </c>
      <c r="D1757" t="s">
        <v>3414</v>
      </c>
      <c r="E1757" t="s">
        <v>281</v>
      </c>
      <c r="F1757" t="s">
        <v>281</v>
      </c>
      <c r="G1757" t="s">
        <v>2704</v>
      </c>
      <c r="H1757" t="s">
        <v>281</v>
      </c>
      <c r="I1757" t="s">
        <v>2666</v>
      </c>
      <c r="J1757">
        <v>1</v>
      </c>
      <c r="K1757">
        <v>248</v>
      </c>
    </row>
    <row r="1758" spans="1:11" x14ac:dyDescent="0.2">
      <c r="A1758" t="s">
        <v>3252</v>
      </c>
      <c r="B1758">
        <v>49022</v>
      </c>
      <c r="C1758" t="s">
        <v>608</v>
      </c>
      <c r="D1758" t="s">
        <v>3382</v>
      </c>
      <c r="E1758" t="s">
        <v>281</v>
      </c>
      <c r="F1758" t="s">
        <v>281</v>
      </c>
      <c r="G1758" t="s">
        <v>2983</v>
      </c>
      <c r="H1758" t="s">
        <v>281</v>
      </c>
      <c r="I1758" t="s">
        <v>2666</v>
      </c>
      <c r="J1758">
        <v>1</v>
      </c>
      <c r="K1758">
        <v>7895.68</v>
      </c>
    </row>
    <row r="1759" spans="1:11" x14ac:dyDescent="0.2">
      <c r="A1759" t="s">
        <v>3252</v>
      </c>
      <c r="B1759">
        <v>31006</v>
      </c>
      <c r="C1759" t="s">
        <v>1140</v>
      </c>
      <c r="D1759" t="s">
        <v>3311</v>
      </c>
      <c r="E1759" t="s">
        <v>281</v>
      </c>
      <c r="F1759" t="s">
        <v>281</v>
      </c>
      <c r="G1759" t="s">
        <v>2736</v>
      </c>
      <c r="H1759" t="s">
        <v>281</v>
      </c>
      <c r="I1759" t="s">
        <v>2666</v>
      </c>
      <c r="J1759">
        <v>1</v>
      </c>
      <c r="K1759">
        <v>141</v>
      </c>
    </row>
    <row r="1760" spans="1:11" x14ac:dyDescent="0.2">
      <c r="A1760" t="s">
        <v>3252</v>
      </c>
      <c r="B1760">
        <v>29019</v>
      </c>
      <c r="C1760" t="s">
        <v>462</v>
      </c>
      <c r="D1760" t="s">
        <v>3355</v>
      </c>
      <c r="E1760" t="s">
        <v>281</v>
      </c>
      <c r="F1760" t="s">
        <v>281</v>
      </c>
      <c r="G1760" t="s">
        <v>2688</v>
      </c>
      <c r="H1760" t="s">
        <v>281</v>
      </c>
      <c r="I1760" t="s">
        <v>2666</v>
      </c>
      <c r="J1760">
        <v>1</v>
      </c>
      <c r="K1760">
        <v>2039.35</v>
      </c>
    </row>
    <row r="1761" spans="1:11" x14ac:dyDescent="0.2">
      <c r="A1761" t="s">
        <v>3252</v>
      </c>
      <c r="B1761">
        <v>80015</v>
      </c>
      <c r="C1761" t="s">
        <v>708</v>
      </c>
      <c r="D1761" t="s">
        <v>3260</v>
      </c>
      <c r="E1761" t="s">
        <v>2634</v>
      </c>
      <c r="F1761" t="s">
        <v>281</v>
      </c>
      <c r="G1761" t="s">
        <v>2842</v>
      </c>
      <c r="H1761" t="s">
        <v>2634</v>
      </c>
      <c r="I1761" t="s">
        <v>2666</v>
      </c>
      <c r="J1761">
        <v>1</v>
      </c>
      <c r="K1761">
        <v>10</v>
      </c>
    </row>
    <row r="1762" spans="1:11" x14ac:dyDescent="0.2">
      <c r="A1762" t="s">
        <v>3252</v>
      </c>
      <c r="B1762">
        <v>49049</v>
      </c>
      <c r="C1762" t="s">
        <v>615</v>
      </c>
      <c r="D1762" t="s">
        <v>3326</v>
      </c>
      <c r="E1762" t="s">
        <v>281</v>
      </c>
      <c r="F1762" t="s">
        <v>281</v>
      </c>
      <c r="G1762" t="s">
        <v>2950</v>
      </c>
      <c r="H1762" t="s">
        <v>281</v>
      </c>
      <c r="I1762" t="s">
        <v>2666</v>
      </c>
      <c r="J1762">
        <v>1</v>
      </c>
      <c r="K1762">
        <v>253</v>
      </c>
    </row>
    <row r="1763" spans="1:11" x14ac:dyDescent="0.2">
      <c r="A1763" t="s">
        <v>3252</v>
      </c>
      <c r="B1763">
        <v>80017</v>
      </c>
      <c r="C1763" t="s">
        <v>709</v>
      </c>
      <c r="D1763" t="s">
        <v>3390</v>
      </c>
      <c r="E1763" t="s">
        <v>2634</v>
      </c>
      <c r="F1763" t="s">
        <v>281</v>
      </c>
      <c r="G1763" t="s">
        <v>2842</v>
      </c>
      <c r="H1763" t="s">
        <v>2634</v>
      </c>
      <c r="I1763" t="s">
        <v>2666</v>
      </c>
      <c r="J1763">
        <v>1</v>
      </c>
      <c r="K1763">
        <v>87</v>
      </c>
    </row>
    <row r="1764" spans="1:11" x14ac:dyDescent="0.2">
      <c r="A1764" t="s">
        <v>3252</v>
      </c>
      <c r="B1764">
        <v>41016</v>
      </c>
      <c r="C1764" t="s">
        <v>555</v>
      </c>
      <c r="D1764" t="s">
        <v>3369</v>
      </c>
      <c r="E1764" t="s">
        <v>281</v>
      </c>
      <c r="F1764" t="s">
        <v>281</v>
      </c>
      <c r="G1764" t="s">
        <v>2704</v>
      </c>
      <c r="H1764" t="s">
        <v>281</v>
      </c>
      <c r="I1764" t="s">
        <v>2666</v>
      </c>
      <c r="J1764">
        <v>1</v>
      </c>
      <c r="K1764">
        <v>392</v>
      </c>
    </row>
    <row r="1765" spans="1:11" x14ac:dyDescent="0.2">
      <c r="A1765" t="s">
        <v>3252</v>
      </c>
      <c r="B1765">
        <v>41017</v>
      </c>
      <c r="C1765" t="s">
        <v>556</v>
      </c>
      <c r="D1765" t="s">
        <v>3316</v>
      </c>
      <c r="E1765" t="s">
        <v>281</v>
      </c>
      <c r="F1765" t="s">
        <v>281</v>
      </c>
      <c r="G1765" t="s">
        <v>2704</v>
      </c>
      <c r="H1765" t="s">
        <v>281</v>
      </c>
      <c r="I1765" t="s">
        <v>2666</v>
      </c>
      <c r="J1765">
        <v>1</v>
      </c>
      <c r="K1765">
        <v>115</v>
      </c>
    </row>
    <row r="1766" spans="1:11" x14ac:dyDescent="0.2">
      <c r="A1766" t="s">
        <v>3252</v>
      </c>
      <c r="B1766">
        <v>41025</v>
      </c>
      <c r="C1766" t="s">
        <v>1148</v>
      </c>
      <c r="D1766" t="s">
        <v>3398</v>
      </c>
      <c r="E1766" t="s">
        <v>281</v>
      </c>
      <c r="F1766" t="s">
        <v>281</v>
      </c>
      <c r="G1766" t="s">
        <v>2704</v>
      </c>
      <c r="H1766" t="s">
        <v>281</v>
      </c>
      <c r="I1766" t="s">
        <v>2666</v>
      </c>
      <c r="J1766">
        <v>1</v>
      </c>
      <c r="K1766">
        <v>132</v>
      </c>
    </row>
    <row r="1767" spans="1:11" x14ac:dyDescent="0.2">
      <c r="A1767" t="s">
        <v>3252</v>
      </c>
      <c r="B1767">
        <v>41009</v>
      </c>
      <c r="C1767" t="s">
        <v>552</v>
      </c>
      <c r="D1767" t="s">
        <v>3379</v>
      </c>
      <c r="E1767" t="s">
        <v>2634</v>
      </c>
      <c r="F1767" t="s">
        <v>281</v>
      </c>
      <c r="G1767" t="s">
        <v>2704</v>
      </c>
      <c r="H1767" t="s">
        <v>2634</v>
      </c>
      <c r="I1767" t="s">
        <v>2666</v>
      </c>
      <c r="J1767">
        <v>1</v>
      </c>
      <c r="K1767">
        <v>54</v>
      </c>
    </row>
    <row r="1768" spans="1:11" x14ac:dyDescent="0.2">
      <c r="A1768" t="s">
        <v>3252</v>
      </c>
      <c r="B1768">
        <v>46028</v>
      </c>
      <c r="C1768" t="s">
        <v>594</v>
      </c>
      <c r="D1768" t="s">
        <v>3310</v>
      </c>
      <c r="E1768" t="s">
        <v>281</v>
      </c>
      <c r="F1768" t="s">
        <v>281</v>
      </c>
      <c r="G1768" t="s">
        <v>2826</v>
      </c>
      <c r="H1768" t="s">
        <v>281</v>
      </c>
      <c r="I1768" t="s">
        <v>2666</v>
      </c>
      <c r="J1768">
        <v>1</v>
      </c>
      <c r="K1768">
        <v>838</v>
      </c>
    </row>
    <row r="1769" spans="1:11" x14ac:dyDescent="0.2">
      <c r="A1769" t="s">
        <v>3252</v>
      </c>
      <c r="B1769">
        <v>37012</v>
      </c>
      <c r="C1769" t="s">
        <v>520</v>
      </c>
      <c r="D1769" t="s">
        <v>3312</v>
      </c>
      <c r="E1769" t="s">
        <v>281</v>
      </c>
      <c r="F1769" t="s">
        <v>281</v>
      </c>
      <c r="G1769" t="s">
        <v>2759</v>
      </c>
      <c r="H1769" t="s">
        <v>281</v>
      </c>
      <c r="I1769" t="s">
        <v>2666</v>
      </c>
      <c r="J1769">
        <v>1</v>
      </c>
      <c r="K1769">
        <v>510</v>
      </c>
    </row>
    <row r="1770" spans="1:11" x14ac:dyDescent="0.2">
      <c r="A1770" t="s">
        <v>3252</v>
      </c>
      <c r="B1770">
        <v>78014</v>
      </c>
      <c r="C1770" t="s">
        <v>699</v>
      </c>
      <c r="D1770" t="s">
        <v>3331</v>
      </c>
      <c r="E1770" t="s">
        <v>281</v>
      </c>
      <c r="F1770" t="s">
        <v>281</v>
      </c>
      <c r="G1770" t="s">
        <v>2909</v>
      </c>
      <c r="H1770" t="s">
        <v>281</v>
      </c>
      <c r="I1770" t="s">
        <v>2666</v>
      </c>
      <c r="J1770">
        <v>1</v>
      </c>
      <c r="K1770">
        <v>270</v>
      </c>
    </row>
    <row r="1771" spans="1:11" x14ac:dyDescent="0.2">
      <c r="A1771" t="s">
        <v>3252</v>
      </c>
      <c r="B1771">
        <v>78017</v>
      </c>
      <c r="C1771" t="s">
        <v>701</v>
      </c>
      <c r="D1771" t="s">
        <v>3305</v>
      </c>
      <c r="E1771" t="s">
        <v>281</v>
      </c>
      <c r="F1771" t="s">
        <v>281</v>
      </c>
      <c r="G1771" t="s">
        <v>2909</v>
      </c>
      <c r="H1771" t="s">
        <v>281</v>
      </c>
      <c r="I1771" t="s">
        <v>2666</v>
      </c>
      <c r="J1771">
        <v>1</v>
      </c>
      <c r="K1771">
        <v>13701.15</v>
      </c>
    </row>
    <row r="1772" spans="1:11" x14ac:dyDescent="0.2">
      <c r="A1772" t="s">
        <v>3252</v>
      </c>
      <c r="B1772">
        <v>40024</v>
      </c>
      <c r="C1772" t="s">
        <v>542</v>
      </c>
      <c r="D1772" t="s">
        <v>3356</v>
      </c>
      <c r="E1772" t="s">
        <v>281</v>
      </c>
      <c r="F1772" t="s">
        <v>281</v>
      </c>
      <c r="G1772" t="s">
        <v>2704</v>
      </c>
      <c r="H1772" t="s">
        <v>281</v>
      </c>
      <c r="I1772" t="s">
        <v>2666</v>
      </c>
      <c r="J1772">
        <v>1</v>
      </c>
      <c r="K1772">
        <v>136</v>
      </c>
    </row>
    <row r="1773" spans="1:11" x14ac:dyDescent="0.2">
      <c r="A1773" t="s">
        <v>3252</v>
      </c>
      <c r="B1773">
        <v>28009</v>
      </c>
      <c r="C1773" t="s">
        <v>454</v>
      </c>
      <c r="D1773" t="s">
        <v>3319</v>
      </c>
      <c r="E1773" t="s">
        <v>281</v>
      </c>
      <c r="F1773" t="s">
        <v>281</v>
      </c>
      <c r="G1773" t="s">
        <v>2793</v>
      </c>
      <c r="H1773" t="s">
        <v>281</v>
      </c>
      <c r="I1773" t="s">
        <v>2666</v>
      </c>
      <c r="J1773">
        <v>1</v>
      </c>
      <c r="K1773">
        <v>657.42</v>
      </c>
    </row>
    <row r="1774" spans="1:11" x14ac:dyDescent="0.2">
      <c r="A1774" t="s">
        <v>3252</v>
      </c>
      <c r="B1774">
        <v>49021</v>
      </c>
      <c r="C1774" t="s">
        <v>1363</v>
      </c>
      <c r="D1774" t="s">
        <v>3269</v>
      </c>
      <c r="E1774" t="s">
        <v>281</v>
      </c>
      <c r="F1774" t="s">
        <v>281</v>
      </c>
      <c r="G1774" t="s">
        <v>2983</v>
      </c>
      <c r="H1774" t="s">
        <v>281</v>
      </c>
      <c r="I1774" t="s">
        <v>2666</v>
      </c>
      <c r="J1774">
        <v>1</v>
      </c>
      <c r="K1774">
        <v>25</v>
      </c>
    </row>
    <row r="1775" spans="1:11" x14ac:dyDescent="0.2">
      <c r="A1775" t="s">
        <v>3252</v>
      </c>
      <c r="B1775">
        <v>31020</v>
      </c>
      <c r="C1775" t="s">
        <v>477</v>
      </c>
      <c r="D1775" t="s">
        <v>3357</v>
      </c>
      <c r="E1775" t="s">
        <v>281</v>
      </c>
      <c r="F1775" t="s">
        <v>281</v>
      </c>
      <c r="G1775" t="s">
        <v>2736</v>
      </c>
      <c r="H1775" t="s">
        <v>281</v>
      </c>
      <c r="I1775" t="s">
        <v>2666</v>
      </c>
      <c r="J1775">
        <v>1</v>
      </c>
      <c r="K1775">
        <v>204</v>
      </c>
    </row>
    <row r="1776" spans="1:11" x14ac:dyDescent="0.2">
      <c r="A1776" t="s">
        <v>3252</v>
      </c>
      <c r="B1776">
        <v>31027</v>
      </c>
      <c r="C1776" t="s">
        <v>481</v>
      </c>
      <c r="D1776" t="s">
        <v>3397</v>
      </c>
      <c r="E1776" t="s">
        <v>281</v>
      </c>
      <c r="F1776" t="s">
        <v>281</v>
      </c>
      <c r="G1776" t="s">
        <v>2736</v>
      </c>
      <c r="H1776" t="s">
        <v>281</v>
      </c>
      <c r="I1776" t="s">
        <v>2666</v>
      </c>
      <c r="J1776">
        <v>1</v>
      </c>
      <c r="K1776">
        <v>1779</v>
      </c>
    </row>
    <row r="1777" spans="1:11" x14ac:dyDescent="0.2">
      <c r="A1777" t="s">
        <v>3252</v>
      </c>
      <c r="B1777">
        <v>92006</v>
      </c>
      <c r="C1777" t="s">
        <v>745</v>
      </c>
      <c r="D1777" t="s">
        <v>3270</v>
      </c>
      <c r="E1777" t="s">
        <v>281</v>
      </c>
      <c r="F1777" t="s">
        <v>281</v>
      </c>
      <c r="G1777" t="s">
        <v>2637</v>
      </c>
      <c r="H1777" t="s">
        <v>281</v>
      </c>
      <c r="I1777" t="s">
        <v>2666</v>
      </c>
      <c r="J1777">
        <v>1</v>
      </c>
      <c r="K1777">
        <v>208</v>
      </c>
    </row>
    <row r="1778" spans="1:11" x14ac:dyDescent="0.2">
      <c r="A1778" t="s">
        <v>3252</v>
      </c>
      <c r="B1778">
        <v>93008</v>
      </c>
      <c r="C1778" t="s">
        <v>752</v>
      </c>
      <c r="D1778" t="s">
        <v>3339</v>
      </c>
      <c r="E1778" t="s">
        <v>281</v>
      </c>
      <c r="F1778" t="s">
        <v>281</v>
      </c>
      <c r="G1778" t="s">
        <v>2708</v>
      </c>
      <c r="H1778" t="s">
        <v>281</v>
      </c>
      <c r="I1778" t="s">
        <v>2666</v>
      </c>
      <c r="J1778">
        <v>1</v>
      </c>
      <c r="K1778">
        <v>84</v>
      </c>
    </row>
    <row r="1779" spans="1:11" x14ac:dyDescent="0.2">
      <c r="A1779" t="s">
        <v>3252</v>
      </c>
      <c r="B1779">
        <v>28020</v>
      </c>
      <c r="C1779" t="s">
        <v>456</v>
      </c>
      <c r="D1779" t="s">
        <v>3386</v>
      </c>
      <c r="E1779" t="s">
        <v>281</v>
      </c>
      <c r="F1779" t="s">
        <v>281</v>
      </c>
      <c r="G1779" t="s">
        <v>2793</v>
      </c>
      <c r="H1779" t="s">
        <v>281</v>
      </c>
      <c r="I1779" t="s">
        <v>2666</v>
      </c>
      <c r="J1779">
        <v>1</v>
      </c>
      <c r="K1779">
        <v>387</v>
      </c>
    </row>
    <row r="1780" spans="1:11" x14ac:dyDescent="0.2">
      <c r="A1780" t="s">
        <v>3252</v>
      </c>
      <c r="B1780">
        <v>88003</v>
      </c>
      <c r="C1780" t="s">
        <v>737</v>
      </c>
      <c r="D1780" t="s">
        <v>3325</v>
      </c>
      <c r="E1780" t="s">
        <v>281</v>
      </c>
      <c r="F1780" t="s">
        <v>281</v>
      </c>
      <c r="G1780" t="s">
        <v>2745</v>
      </c>
      <c r="H1780" t="s">
        <v>281</v>
      </c>
      <c r="I1780" t="s">
        <v>2666</v>
      </c>
      <c r="J1780">
        <v>1</v>
      </c>
      <c r="K1780">
        <v>333</v>
      </c>
    </row>
    <row r="1781" spans="1:11" x14ac:dyDescent="0.2">
      <c r="A1781" t="s">
        <v>3252</v>
      </c>
      <c r="B1781">
        <v>88008</v>
      </c>
      <c r="C1781" t="s">
        <v>2439</v>
      </c>
      <c r="D1781" t="s">
        <v>3370</v>
      </c>
      <c r="E1781" t="s">
        <v>281</v>
      </c>
      <c r="F1781" t="s">
        <v>281</v>
      </c>
      <c r="G1781" t="s">
        <v>2745</v>
      </c>
      <c r="H1781" t="s">
        <v>281</v>
      </c>
      <c r="I1781" t="s">
        <v>2666</v>
      </c>
      <c r="J1781">
        <v>1</v>
      </c>
      <c r="K1781">
        <v>119</v>
      </c>
    </row>
    <row r="1782" spans="1:11" x14ac:dyDescent="0.2">
      <c r="A1782" t="s">
        <v>3252</v>
      </c>
      <c r="B1782">
        <v>80042</v>
      </c>
      <c r="C1782" t="s">
        <v>717</v>
      </c>
      <c r="D1782" t="s">
        <v>3290</v>
      </c>
      <c r="E1782" t="s">
        <v>281</v>
      </c>
      <c r="F1782" t="s">
        <v>281</v>
      </c>
      <c r="G1782" t="s">
        <v>2842</v>
      </c>
      <c r="H1782" t="s">
        <v>281</v>
      </c>
      <c r="I1782" t="s">
        <v>2666</v>
      </c>
      <c r="J1782">
        <v>1</v>
      </c>
      <c r="K1782">
        <v>136</v>
      </c>
    </row>
    <row r="1783" spans="1:11" x14ac:dyDescent="0.2">
      <c r="A1783" t="s">
        <v>3252</v>
      </c>
      <c r="B1783">
        <v>39017</v>
      </c>
      <c r="C1783" t="s">
        <v>537</v>
      </c>
      <c r="D1783" t="s">
        <v>3342</v>
      </c>
      <c r="E1783" t="s">
        <v>281</v>
      </c>
      <c r="F1783" t="s">
        <v>281</v>
      </c>
      <c r="G1783" t="s">
        <v>2824</v>
      </c>
      <c r="H1783" t="s">
        <v>281</v>
      </c>
      <c r="I1783" t="s">
        <v>2666</v>
      </c>
      <c r="J1783">
        <v>1</v>
      </c>
      <c r="K1783">
        <v>502</v>
      </c>
    </row>
    <row r="1784" spans="1:11" x14ac:dyDescent="0.2">
      <c r="A1784" t="s">
        <v>3252</v>
      </c>
      <c r="B1784">
        <v>29030</v>
      </c>
      <c r="C1784" t="s">
        <v>465</v>
      </c>
      <c r="D1784" t="s">
        <v>3352</v>
      </c>
      <c r="E1784" t="s">
        <v>281</v>
      </c>
      <c r="F1784" t="s">
        <v>281</v>
      </c>
      <c r="G1784" t="s">
        <v>2688</v>
      </c>
      <c r="H1784" t="s">
        <v>281</v>
      </c>
      <c r="I1784" t="s">
        <v>2666</v>
      </c>
      <c r="J1784">
        <v>1</v>
      </c>
      <c r="K1784">
        <v>108</v>
      </c>
    </row>
    <row r="1785" spans="1:11" x14ac:dyDescent="0.2">
      <c r="A1785" t="s">
        <v>3252</v>
      </c>
      <c r="B1785">
        <v>37019</v>
      </c>
      <c r="C1785" t="s">
        <v>2546</v>
      </c>
      <c r="D1785" t="s">
        <v>3314</v>
      </c>
      <c r="E1785" t="s">
        <v>281</v>
      </c>
      <c r="F1785" t="s">
        <v>281</v>
      </c>
      <c r="G1785" t="s">
        <v>2759</v>
      </c>
      <c r="H1785" t="s">
        <v>281</v>
      </c>
      <c r="I1785" t="s">
        <v>2666</v>
      </c>
      <c r="J1785">
        <v>1</v>
      </c>
      <c r="K1785">
        <v>737</v>
      </c>
    </row>
    <row r="1786" spans="1:11" x14ac:dyDescent="0.2">
      <c r="A1786" t="s">
        <v>3252</v>
      </c>
      <c r="B1786">
        <v>28003</v>
      </c>
      <c r="C1786" t="s">
        <v>452</v>
      </c>
      <c r="D1786" t="s">
        <v>3406</v>
      </c>
      <c r="E1786" t="s">
        <v>281</v>
      </c>
      <c r="F1786" t="s">
        <v>281</v>
      </c>
      <c r="G1786" t="s">
        <v>2793</v>
      </c>
      <c r="H1786" t="s">
        <v>281</v>
      </c>
      <c r="I1786" t="s">
        <v>2666</v>
      </c>
      <c r="J1786">
        <v>1</v>
      </c>
      <c r="K1786">
        <v>11</v>
      </c>
    </row>
    <row r="1787" spans="1:11" x14ac:dyDescent="0.2">
      <c r="A1787" t="s">
        <v>3252</v>
      </c>
      <c r="B1787">
        <v>31013</v>
      </c>
      <c r="C1787" t="s">
        <v>1141</v>
      </c>
      <c r="D1787" t="s">
        <v>3332</v>
      </c>
      <c r="E1787" t="s">
        <v>281</v>
      </c>
      <c r="F1787" t="s">
        <v>281</v>
      </c>
      <c r="G1787" t="s">
        <v>2736</v>
      </c>
      <c r="H1787" t="s">
        <v>281</v>
      </c>
      <c r="I1787" t="s">
        <v>2666</v>
      </c>
      <c r="J1787">
        <v>1</v>
      </c>
      <c r="K1787">
        <v>191</v>
      </c>
    </row>
    <row r="1788" spans="1:11" x14ac:dyDescent="0.2">
      <c r="A1788" t="s">
        <v>3252</v>
      </c>
      <c r="B1788">
        <v>80063</v>
      </c>
      <c r="C1788" t="s">
        <v>721</v>
      </c>
      <c r="D1788" t="s">
        <v>3390</v>
      </c>
      <c r="E1788" t="s">
        <v>2634</v>
      </c>
      <c r="F1788" t="s">
        <v>281</v>
      </c>
      <c r="G1788" t="s">
        <v>2842</v>
      </c>
      <c r="H1788" t="s">
        <v>2634</v>
      </c>
      <c r="I1788" t="s">
        <v>2666</v>
      </c>
      <c r="J1788">
        <v>1</v>
      </c>
      <c r="K1788">
        <v>164</v>
      </c>
    </row>
    <row r="1789" spans="1:11" x14ac:dyDescent="0.2">
      <c r="A1789" t="s">
        <v>3252</v>
      </c>
      <c r="B1789">
        <v>29021</v>
      </c>
      <c r="C1789" t="s">
        <v>463</v>
      </c>
      <c r="D1789" t="s">
        <v>3258</v>
      </c>
      <c r="E1789" t="s">
        <v>281</v>
      </c>
      <c r="F1789" t="s">
        <v>281</v>
      </c>
      <c r="G1789" t="s">
        <v>2688</v>
      </c>
      <c r="H1789" t="s">
        <v>281</v>
      </c>
      <c r="I1789" t="s">
        <v>2666</v>
      </c>
      <c r="J1789">
        <v>1</v>
      </c>
      <c r="K1789">
        <v>536</v>
      </c>
    </row>
    <row r="1790" spans="1:11" x14ac:dyDescent="0.2">
      <c r="A1790" t="s">
        <v>3252</v>
      </c>
      <c r="B1790">
        <v>37045</v>
      </c>
      <c r="C1790" t="s">
        <v>523</v>
      </c>
      <c r="D1790" t="s">
        <v>3272</v>
      </c>
      <c r="E1790" t="s">
        <v>281</v>
      </c>
      <c r="F1790" t="s">
        <v>281</v>
      </c>
      <c r="G1790" t="s">
        <v>2759</v>
      </c>
      <c r="H1790" t="s">
        <v>281</v>
      </c>
      <c r="I1790" t="s">
        <v>2666</v>
      </c>
      <c r="J1790">
        <v>1</v>
      </c>
      <c r="K1790">
        <v>289</v>
      </c>
    </row>
    <row r="1791" spans="1:11" x14ac:dyDescent="0.2">
      <c r="A1791" t="s">
        <v>3252</v>
      </c>
      <c r="B1791">
        <v>80018</v>
      </c>
      <c r="C1791" t="s">
        <v>710</v>
      </c>
      <c r="D1791" t="s">
        <v>3293</v>
      </c>
      <c r="E1791" t="s">
        <v>281</v>
      </c>
      <c r="F1791" t="s">
        <v>281</v>
      </c>
      <c r="G1791" t="s">
        <v>2842</v>
      </c>
      <c r="H1791" t="s">
        <v>281</v>
      </c>
      <c r="I1791" t="s">
        <v>2666</v>
      </c>
      <c r="J1791">
        <v>1</v>
      </c>
      <c r="K1791">
        <v>1848</v>
      </c>
    </row>
    <row r="1792" spans="1:11" x14ac:dyDescent="0.2">
      <c r="A1792" t="s">
        <v>3252</v>
      </c>
      <c r="B1792">
        <v>31055</v>
      </c>
      <c r="C1792" t="s">
        <v>2453</v>
      </c>
      <c r="D1792" t="s">
        <v>3254</v>
      </c>
      <c r="E1792" t="s">
        <v>281</v>
      </c>
      <c r="F1792" t="s">
        <v>281</v>
      </c>
      <c r="G1792" t="s">
        <v>2736</v>
      </c>
      <c r="H1792" t="s">
        <v>281</v>
      </c>
      <c r="I1792" t="s">
        <v>2666</v>
      </c>
      <c r="J1792">
        <v>1</v>
      </c>
      <c r="K1792">
        <v>78</v>
      </c>
    </row>
    <row r="1793" spans="1:11" x14ac:dyDescent="0.2">
      <c r="A1793" t="s">
        <v>3252</v>
      </c>
      <c r="B1793">
        <v>78007</v>
      </c>
      <c r="C1793" t="s">
        <v>698</v>
      </c>
      <c r="D1793" t="s">
        <v>3365</v>
      </c>
      <c r="E1793" t="s">
        <v>281</v>
      </c>
      <c r="F1793" t="s">
        <v>281</v>
      </c>
      <c r="G1793" t="s">
        <v>2909</v>
      </c>
      <c r="H1793" t="s">
        <v>281</v>
      </c>
      <c r="I1793" t="s">
        <v>2666</v>
      </c>
      <c r="J1793">
        <v>1</v>
      </c>
      <c r="K1793">
        <v>162</v>
      </c>
    </row>
    <row r="1794" spans="1:11" x14ac:dyDescent="0.2">
      <c r="A1794" t="s">
        <v>3252</v>
      </c>
      <c r="B1794">
        <v>80009</v>
      </c>
      <c r="C1794" t="s">
        <v>704</v>
      </c>
      <c r="D1794" t="s">
        <v>3405</v>
      </c>
      <c r="E1794" t="s">
        <v>281</v>
      </c>
      <c r="F1794" t="s">
        <v>281</v>
      </c>
      <c r="G1794" t="s">
        <v>2842</v>
      </c>
      <c r="H1794" t="s">
        <v>281</v>
      </c>
      <c r="I1794" t="s">
        <v>2666</v>
      </c>
      <c r="J1794">
        <v>1</v>
      </c>
      <c r="K1794">
        <v>180</v>
      </c>
    </row>
    <row r="1795" spans="1:11" x14ac:dyDescent="0.2">
      <c r="A1795" t="s">
        <v>3252</v>
      </c>
      <c r="B1795">
        <v>92007</v>
      </c>
      <c r="C1795" t="s">
        <v>746</v>
      </c>
      <c r="D1795" t="s">
        <v>3395</v>
      </c>
      <c r="E1795" t="s">
        <v>281</v>
      </c>
      <c r="F1795" t="s">
        <v>281</v>
      </c>
      <c r="G1795" t="s">
        <v>2637</v>
      </c>
      <c r="H1795" t="s">
        <v>281</v>
      </c>
      <c r="I1795" t="s">
        <v>2666</v>
      </c>
      <c r="J1795">
        <v>1</v>
      </c>
      <c r="K1795">
        <v>1052</v>
      </c>
    </row>
    <row r="1796" spans="1:11" x14ac:dyDescent="0.2">
      <c r="A1796" t="s">
        <v>3252</v>
      </c>
      <c r="B1796">
        <v>94002</v>
      </c>
      <c r="C1796" t="s">
        <v>754</v>
      </c>
      <c r="D1796" t="s">
        <v>3363</v>
      </c>
      <c r="E1796" t="s">
        <v>281</v>
      </c>
      <c r="F1796" t="s">
        <v>281</v>
      </c>
      <c r="G1796" t="s">
        <v>2672</v>
      </c>
      <c r="H1796" t="s">
        <v>281</v>
      </c>
      <c r="I1796" t="s">
        <v>2666</v>
      </c>
      <c r="J1796">
        <v>1</v>
      </c>
      <c r="K1796">
        <v>173</v>
      </c>
    </row>
    <row r="1797" spans="1:11" x14ac:dyDescent="0.2">
      <c r="A1797" t="s">
        <v>3252</v>
      </c>
      <c r="B1797">
        <v>92013</v>
      </c>
      <c r="C1797" t="s">
        <v>1192</v>
      </c>
      <c r="D1797" t="s">
        <v>3387</v>
      </c>
      <c r="E1797" t="s">
        <v>281</v>
      </c>
      <c r="F1797" t="s">
        <v>281</v>
      </c>
      <c r="G1797" t="s">
        <v>2637</v>
      </c>
      <c r="H1797" t="s">
        <v>281</v>
      </c>
      <c r="I1797" t="s">
        <v>2666</v>
      </c>
      <c r="J1797">
        <v>1</v>
      </c>
      <c r="K1797">
        <v>186.5</v>
      </c>
    </row>
    <row r="1798" spans="1:11" x14ac:dyDescent="0.2">
      <c r="A1798" t="s">
        <v>3252</v>
      </c>
      <c r="B1798">
        <v>38039</v>
      </c>
      <c r="C1798" t="s">
        <v>534</v>
      </c>
      <c r="D1798" t="s">
        <v>3306</v>
      </c>
      <c r="E1798" t="s">
        <v>281</v>
      </c>
      <c r="F1798" t="s">
        <v>281</v>
      </c>
      <c r="G1798" t="s">
        <v>2676</v>
      </c>
      <c r="H1798" t="s">
        <v>281</v>
      </c>
      <c r="I1798" t="s">
        <v>2666</v>
      </c>
      <c r="J1798">
        <v>1</v>
      </c>
      <c r="K1798">
        <v>554</v>
      </c>
    </row>
    <row r="1799" spans="1:11" x14ac:dyDescent="0.2">
      <c r="A1799" t="s">
        <v>3252</v>
      </c>
      <c r="B1799">
        <v>49054</v>
      </c>
      <c r="C1799" t="s">
        <v>617</v>
      </c>
      <c r="D1799" t="s">
        <v>3309</v>
      </c>
      <c r="E1799" t="s">
        <v>281</v>
      </c>
      <c r="F1799" t="s">
        <v>281</v>
      </c>
      <c r="G1799" t="s">
        <v>2983</v>
      </c>
      <c r="H1799" t="s">
        <v>281</v>
      </c>
      <c r="I1799" t="s">
        <v>2666</v>
      </c>
      <c r="J1799">
        <v>1</v>
      </c>
      <c r="K1799">
        <v>521</v>
      </c>
    </row>
    <row r="1800" spans="1:11" x14ac:dyDescent="0.2">
      <c r="A1800" t="s">
        <v>3252</v>
      </c>
      <c r="B1800">
        <v>28027</v>
      </c>
      <c r="C1800" t="s">
        <v>458</v>
      </c>
      <c r="D1800" t="s">
        <v>3333</v>
      </c>
      <c r="E1800" t="s">
        <v>281</v>
      </c>
      <c r="F1800" t="s">
        <v>281</v>
      </c>
      <c r="G1800" t="s">
        <v>2793</v>
      </c>
      <c r="H1800" t="s">
        <v>281</v>
      </c>
      <c r="I1800" t="s">
        <v>2666</v>
      </c>
      <c r="J1800">
        <v>1</v>
      </c>
      <c r="K1800">
        <v>125</v>
      </c>
    </row>
    <row r="1801" spans="1:11" x14ac:dyDescent="0.2">
      <c r="A1801" t="s">
        <v>3252</v>
      </c>
      <c r="B1801">
        <v>31042</v>
      </c>
      <c r="C1801" t="s">
        <v>1356</v>
      </c>
      <c r="D1801" t="s">
        <v>3298</v>
      </c>
      <c r="E1801" t="s">
        <v>281</v>
      </c>
      <c r="F1801" t="s">
        <v>281</v>
      </c>
      <c r="G1801" t="s">
        <v>2736</v>
      </c>
      <c r="H1801" t="s">
        <v>281</v>
      </c>
      <c r="I1801" t="s">
        <v>2666</v>
      </c>
      <c r="J1801">
        <v>1</v>
      </c>
      <c r="K1801">
        <v>89</v>
      </c>
    </row>
    <row r="1802" spans="1:11" x14ac:dyDescent="0.2">
      <c r="A1802" t="s">
        <v>3252</v>
      </c>
      <c r="B1802">
        <v>80008</v>
      </c>
      <c r="C1802" t="s">
        <v>2483</v>
      </c>
      <c r="D1802" t="s">
        <v>3409</v>
      </c>
      <c r="E1802" t="s">
        <v>2634</v>
      </c>
      <c r="F1802" t="s">
        <v>281</v>
      </c>
      <c r="G1802" t="s">
        <v>2842</v>
      </c>
      <c r="H1802" t="s">
        <v>2634</v>
      </c>
      <c r="I1802" t="s">
        <v>2666</v>
      </c>
      <c r="J1802">
        <v>1</v>
      </c>
      <c r="K1802">
        <v>106</v>
      </c>
    </row>
    <row r="1803" spans="1:11" x14ac:dyDescent="0.2">
      <c r="A1803" t="s">
        <v>3252</v>
      </c>
      <c r="B1803">
        <v>32015</v>
      </c>
      <c r="C1803" t="s">
        <v>2462</v>
      </c>
      <c r="D1803" t="s">
        <v>3296</v>
      </c>
      <c r="E1803" t="s">
        <v>281</v>
      </c>
      <c r="F1803" t="s">
        <v>281</v>
      </c>
      <c r="G1803" t="s">
        <v>2844</v>
      </c>
      <c r="H1803" t="s">
        <v>281</v>
      </c>
      <c r="I1803" t="s">
        <v>2666</v>
      </c>
      <c r="J1803">
        <v>1</v>
      </c>
      <c r="K1803">
        <v>504</v>
      </c>
    </row>
    <row r="1804" spans="1:11" x14ac:dyDescent="0.2">
      <c r="A1804" t="s">
        <v>3252</v>
      </c>
      <c r="B1804">
        <v>19006</v>
      </c>
      <c r="C1804" t="s">
        <v>379</v>
      </c>
      <c r="D1804" t="s">
        <v>3353</v>
      </c>
      <c r="E1804" t="s">
        <v>279</v>
      </c>
      <c r="F1804" t="s">
        <v>279</v>
      </c>
      <c r="G1804" t="s">
        <v>2943</v>
      </c>
      <c r="H1804" t="s">
        <v>279</v>
      </c>
      <c r="I1804" t="s">
        <v>2666</v>
      </c>
      <c r="J1804">
        <v>1</v>
      </c>
      <c r="K1804">
        <v>992.33</v>
      </c>
    </row>
    <row r="1805" spans="1:11" x14ac:dyDescent="0.2">
      <c r="A1805" t="s">
        <v>3252</v>
      </c>
      <c r="B1805">
        <v>77031</v>
      </c>
      <c r="C1805" t="s">
        <v>2469</v>
      </c>
      <c r="D1805" t="s">
        <v>3304</v>
      </c>
      <c r="E1805" t="s">
        <v>281</v>
      </c>
      <c r="F1805" t="s">
        <v>281</v>
      </c>
      <c r="G1805" t="s">
        <v>2780</v>
      </c>
      <c r="H1805" t="s">
        <v>281</v>
      </c>
      <c r="I1805" t="s">
        <v>2666</v>
      </c>
      <c r="J1805">
        <v>1</v>
      </c>
      <c r="K1805">
        <v>298</v>
      </c>
    </row>
    <row r="1806" spans="1:11" x14ac:dyDescent="0.2">
      <c r="A1806" t="s">
        <v>3252</v>
      </c>
      <c r="B1806">
        <v>40030</v>
      </c>
      <c r="C1806" t="s">
        <v>2549</v>
      </c>
      <c r="D1806" t="s">
        <v>3255</v>
      </c>
      <c r="E1806" t="s">
        <v>2634</v>
      </c>
      <c r="F1806" t="s">
        <v>281</v>
      </c>
      <c r="G1806" t="s">
        <v>2704</v>
      </c>
      <c r="H1806" t="s">
        <v>2634</v>
      </c>
      <c r="I1806" t="s">
        <v>2666</v>
      </c>
      <c r="J1806">
        <v>1</v>
      </c>
      <c r="K1806">
        <v>61</v>
      </c>
    </row>
    <row r="1807" spans="1:11" x14ac:dyDescent="0.2">
      <c r="A1807" t="s">
        <v>3252</v>
      </c>
      <c r="B1807">
        <v>80062</v>
      </c>
      <c r="C1807" t="s">
        <v>1373</v>
      </c>
      <c r="D1807" t="s">
        <v>3381</v>
      </c>
      <c r="E1807" t="s">
        <v>281</v>
      </c>
      <c r="F1807" t="s">
        <v>281</v>
      </c>
      <c r="G1807" t="s">
        <v>2842</v>
      </c>
      <c r="H1807" t="s">
        <v>281</v>
      </c>
      <c r="I1807" t="s">
        <v>2666</v>
      </c>
      <c r="J1807">
        <v>1</v>
      </c>
      <c r="K1807">
        <v>51</v>
      </c>
    </row>
    <row r="1808" spans="1:11" x14ac:dyDescent="0.2">
      <c r="A1808" t="s">
        <v>3252</v>
      </c>
      <c r="B1808">
        <v>89001</v>
      </c>
      <c r="C1808" t="s">
        <v>740</v>
      </c>
      <c r="D1808" t="s">
        <v>3299</v>
      </c>
      <c r="E1808" t="s">
        <v>281</v>
      </c>
      <c r="F1808" t="s">
        <v>281</v>
      </c>
      <c r="G1808" t="s">
        <v>2963</v>
      </c>
      <c r="H1808" t="s">
        <v>281</v>
      </c>
      <c r="I1808" t="s">
        <v>2666</v>
      </c>
      <c r="J1808">
        <v>1</v>
      </c>
      <c r="K1808">
        <v>116</v>
      </c>
    </row>
    <row r="1809" spans="1:11" x14ac:dyDescent="0.2">
      <c r="A1809" t="s">
        <v>3252</v>
      </c>
      <c r="B1809">
        <v>29014</v>
      </c>
      <c r="C1809" t="s">
        <v>2543</v>
      </c>
      <c r="D1809" t="s">
        <v>3282</v>
      </c>
      <c r="E1809" t="s">
        <v>2634</v>
      </c>
      <c r="F1809" t="s">
        <v>281</v>
      </c>
      <c r="G1809" t="s">
        <v>2688</v>
      </c>
      <c r="H1809" t="s">
        <v>2634</v>
      </c>
      <c r="I1809" t="s">
        <v>2666</v>
      </c>
      <c r="J1809">
        <v>1</v>
      </c>
      <c r="K1809">
        <v>70</v>
      </c>
    </row>
    <row r="1810" spans="1:11" x14ac:dyDescent="0.2">
      <c r="A1810" t="s">
        <v>3252</v>
      </c>
      <c r="B1810">
        <v>49004</v>
      </c>
      <c r="C1810" t="s">
        <v>601</v>
      </c>
      <c r="D1810" t="s">
        <v>3320</v>
      </c>
      <c r="E1810" t="s">
        <v>281</v>
      </c>
      <c r="F1810" t="s">
        <v>281</v>
      </c>
      <c r="G1810" t="s">
        <v>2950</v>
      </c>
      <c r="H1810" t="s">
        <v>281</v>
      </c>
      <c r="I1810" t="s">
        <v>2666</v>
      </c>
      <c r="J1810">
        <v>1</v>
      </c>
      <c r="K1810">
        <v>427</v>
      </c>
    </row>
    <row r="1811" spans="1:11" x14ac:dyDescent="0.2">
      <c r="A1811" t="s">
        <v>3252</v>
      </c>
      <c r="B1811">
        <v>37004</v>
      </c>
      <c r="C1811" t="s">
        <v>1146</v>
      </c>
      <c r="D1811" t="s">
        <v>3389</v>
      </c>
      <c r="E1811" t="s">
        <v>281</v>
      </c>
      <c r="F1811" t="s">
        <v>281</v>
      </c>
      <c r="G1811" t="s">
        <v>2759</v>
      </c>
      <c r="H1811" t="s">
        <v>281</v>
      </c>
      <c r="I1811" t="s">
        <v>2666</v>
      </c>
      <c r="J1811">
        <v>1</v>
      </c>
      <c r="K1811">
        <v>146</v>
      </c>
    </row>
    <row r="1812" spans="1:11" x14ac:dyDescent="0.2">
      <c r="A1812" t="s">
        <v>3252</v>
      </c>
      <c r="B1812">
        <v>31046</v>
      </c>
      <c r="C1812" t="s">
        <v>1581</v>
      </c>
      <c r="D1812" t="s">
        <v>3254</v>
      </c>
      <c r="E1812" t="s">
        <v>281</v>
      </c>
      <c r="F1812" t="s">
        <v>281</v>
      </c>
      <c r="G1812" t="s">
        <v>2736</v>
      </c>
      <c r="H1812" t="s">
        <v>281</v>
      </c>
      <c r="I1812" t="s">
        <v>2616</v>
      </c>
      <c r="J1812">
        <v>1</v>
      </c>
      <c r="K1812">
        <v>786</v>
      </c>
    </row>
    <row r="1813" spans="1:11" x14ac:dyDescent="0.2">
      <c r="A1813" t="s">
        <v>3252</v>
      </c>
      <c r="B1813">
        <v>32023</v>
      </c>
      <c r="C1813" t="s">
        <v>506</v>
      </c>
      <c r="D1813" t="s">
        <v>3330</v>
      </c>
      <c r="E1813" t="s">
        <v>281</v>
      </c>
      <c r="F1813" t="s">
        <v>281</v>
      </c>
      <c r="G1813" t="s">
        <v>2844</v>
      </c>
      <c r="H1813" t="s">
        <v>281</v>
      </c>
      <c r="I1813" t="s">
        <v>2666</v>
      </c>
      <c r="J1813">
        <v>1</v>
      </c>
      <c r="K1813">
        <v>692</v>
      </c>
    </row>
    <row r="1814" spans="1:11" x14ac:dyDescent="0.2">
      <c r="A1814" t="s">
        <v>3252</v>
      </c>
      <c r="B1814">
        <v>30029</v>
      </c>
      <c r="C1814" t="s">
        <v>1241</v>
      </c>
      <c r="D1814" t="s">
        <v>3416</v>
      </c>
      <c r="E1814" t="s">
        <v>281</v>
      </c>
      <c r="F1814" t="s">
        <v>281</v>
      </c>
      <c r="G1814" t="s">
        <v>2783</v>
      </c>
      <c r="H1814" t="s">
        <v>281</v>
      </c>
      <c r="I1814" t="s">
        <v>2666</v>
      </c>
      <c r="J1814">
        <v>1</v>
      </c>
      <c r="K1814">
        <v>423</v>
      </c>
    </row>
    <row r="1815" spans="1:11" x14ac:dyDescent="0.2">
      <c r="A1815" t="s">
        <v>3252</v>
      </c>
      <c r="B1815">
        <v>45020</v>
      </c>
      <c r="C1815" t="s">
        <v>585</v>
      </c>
      <c r="D1815" t="s">
        <v>3264</v>
      </c>
      <c r="E1815" t="s">
        <v>2634</v>
      </c>
      <c r="F1815" t="s">
        <v>281</v>
      </c>
      <c r="G1815" t="s">
        <v>3263</v>
      </c>
      <c r="H1815" t="s">
        <v>2634</v>
      </c>
      <c r="I1815" t="s">
        <v>2666</v>
      </c>
      <c r="J1815">
        <v>1</v>
      </c>
      <c r="K1815">
        <v>40</v>
      </c>
    </row>
    <row r="1816" spans="1:11" x14ac:dyDescent="0.2">
      <c r="A1816" t="s">
        <v>3252</v>
      </c>
      <c r="B1816">
        <v>41031</v>
      </c>
      <c r="C1816" t="s">
        <v>561</v>
      </c>
      <c r="D1816" t="s">
        <v>3371</v>
      </c>
      <c r="E1816" t="s">
        <v>281</v>
      </c>
      <c r="F1816" t="s">
        <v>281</v>
      </c>
      <c r="G1816" t="s">
        <v>2704</v>
      </c>
      <c r="H1816" t="s">
        <v>281</v>
      </c>
      <c r="I1816" t="s">
        <v>2666</v>
      </c>
      <c r="J1816">
        <v>1</v>
      </c>
      <c r="K1816">
        <v>20</v>
      </c>
    </row>
    <row r="1817" spans="1:11" x14ac:dyDescent="0.2">
      <c r="A1817" t="s">
        <v>3252</v>
      </c>
      <c r="B1817">
        <v>93007</v>
      </c>
      <c r="C1817" t="s">
        <v>1194</v>
      </c>
      <c r="D1817" t="s">
        <v>3407</v>
      </c>
      <c r="E1817" t="s">
        <v>281</v>
      </c>
      <c r="F1817" t="s">
        <v>281</v>
      </c>
      <c r="G1817" t="s">
        <v>2708</v>
      </c>
      <c r="H1817" t="s">
        <v>281</v>
      </c>
      <c r="I1817" t="s">
        <v>2666</v>
      </c>
      <c r="J1817">
        <v>1</v>
      </c>
      <c r="K1817">
        <v>188</v>
      </c>
    </row>
    <row r="1818" spans="1:11" x14ac:dyDescent="0.2">
      <c r="A1818" t="s">
        <v>3252</v>
      </c>
      <c r="B1818">
        <v>38002</v>
      </c>
      <c r="C1818" t="s">
        <v>1301</v>
      </c>
      <c r="D1818" t="s">
        <v>3253</v>
      </c>
      <c r="E1818" t="s">
        <v>281</v>
      </c>
      <c r="F1818" t="s">
        <v>281</v>
      </c>
      <c r="G1818" t="s">
        <v>2676</v>
      </c>
      <c r="H1818" t="s">
        <v>281</v>
      </c>
      <c r="I1818" t="s">
        <v>2666</v>
      </c>
      <c r="J1818">
        <v>1</v>
      </c>
      <c r="K1818">
        <v>1237.17</v>
      </c>
    </row>
    <row r="1819" spans="1:11" x14ac:dyDescent="0.2">
      <c r="A1819" t="s">
        <v>3252</v>
      </c>
      <c r="B1819">
        <v>39018</v>
      </c>
      <c r="C1819" t="s">
        <v>538</v>
      </c>
      <c r="D1819" t="s">
        <v>3284</v>
      </c>
      <c r="E1819" t="s">
        <v>281</v>
      </c>
      <c r="F1819" t="s">
        <v>281</v>
      </c>
      <c r="G1819" t="s">
        <v>2824</v>
      </c>
      <c r="H1819" t="s">
        <v>281</v>
      </c>
      <c r="I1819" t="s">
        <v>2666</v>
      </c>
      <c r="J1819">
        <v>1</v>
      </c>
      <c r="K1819">
        <v>466</v>
      </c>
    </row>
    <row r="1820" spans="1:11" x14ac:dyDescent="0.2">
      <c r="A1820" t="s">
        <v>3252</v>
      </c>
      <c r="B1820">
        <v>80011</v>
      </c>
      <c r="C1820" t="s">
        <v>2565</v>
      </c>
      <c r="D1820" t="s">
        <v>3344</v>
      </c>
      <c r="E1820" t="s">
        <v>281</v>
      </c>
      <c r="F1820" t="s">
        <v>281</v>
      </c>
      <c r="G1820" t="s">
        <v>2842</v>
      </c>
      <c r="H1820" t="s">
        <v>281</v>
      </c>
      <c r="I1820" t="s">
        <v>2666</v>
      </c>
      <c r="J1820">
        <v>1</v>
      </c>
      <c r="K1820">
        <v>178</v>
      </c>
    </row>
    <row r="1821" spans="1:11" x14ac:dyDescent="0.2">
      <c r="A1821" t="s">
        <v>3252</v>
      </c>
      <c r="B1821">
        <v>49040</v>
      </c>
      <c r="C1821" t="s">
        <v>2558</v>
      </c>
      <c r="D1821" t="s">
        <v>3380</v>
      </c>
      <c r="E1821" t="s">
        <v>281</v>
      </c>
      <c r="F1821" t="s">
        <v>281</v>
      </c>
      <c r="G1821" t="s">
        <v>2983</v>
      </c>
      <c r="H1821" t="s">
        <v>281</v>
      </c>
      <c r="I1821" t="s">
        <v>2666</v>
      </c>
      <c r="J1821">
        <v>1</v>
      </c>
      <c r="K1821">
        <v>30</v>
      </c>
    </row>
    <row r="1822" spans="1:11" x14ac:dyDescent="0.2">
      <c r="A1822" t="s">
        <v>3252</v>
      </c>
      <c r="B1822">
        <v>35005</v>
      </c>
      <c r="C1822" t="s">
        <v>514</v>
      </c>
      <c r="D1822" t="s">
        <v>3335</v>
      </c>
      <c r="E1822" t="s">
        <v>281</v>
      </c>
      <c r="F1822" t="s">
        <v>281</v>
      </c>
      <c r="G1822" t="s">
        <v>3334</v>
      </c>
      <c r="H1822" t="s">
        <v>281</v>
      </c>
      <c r="I1822" t="s">
        <v>2666</v>
      </c>
      <c r="J1822">
        <v>1</v>
      </c>
      <c r="K1822">
        <v>268</v>
      </c>
    </row>
    <row r="1823" spans="1:11" x14ac:dyDescent="0.2">
      <c r="A1823" t="s">
        <v>3252</v>
      </c>
      <c r="B1823">
        <v>37005</v>
      </c>
      <c r="C1823" t="s">
        <v>518</v>
      </c>
      <c r="D1823" t="s">
        <v>3276</v>
      </c>
      <c r="E1823" t="s">
        <v>281</v>
      </c>
      <c r="F1823" t="s">
        <v>281</v>
      </c>
      <c r="G1823" t="s">
        <v>2759</v>
      </c>
      <c r="H1823" t="s">
        <v>281</v>
      </c>
      <c r="I1823" t="s">
        <v>2666</v>
      </c>
      <c r="J1823">
        <v>1</v>
      </c>
      <c r="K1823">
        <v>175</v>
      </c>
    </row>
    <row r="1824" spans="1:11" x14ac:dyDescent="0.2">
      <c r="A1824" t="s">
        <v>3252</v>
      </c>
      <c r="B1824">
        <v>79001</v>
      </c>
      <c r="C1824" t="s">
        <v>702</v>
      </c>
      <c r="D1824" t="s">
        <v>3289</v>
      </c>
      <c r="E1824" t="s">
        <v>281</v>
      </c>
      <c r="F1824" t="s">
        <v>281</v>
      </c>
      <c r="G1824" t="s">
        <v>2748</v>
      </c>
      <c r="H1824" t="s">
        <v>281</v>
      </c>
      <c r="I1824" t="s">
        <v>2666</v>
      </c>
      <c r="J1824">
        <v>1</v>
      </c>
      <c r="K1824">
        <v>587</v>
      </c>
    </row>
    <row r="1825" spans="1:11" x14ac:dyDescent="0.2">
      <c r="A1825" t="s">
        <v>3252</v>
      </c>
      <c r="B1825">
        <v>80003</v>
      </c>
      <c r="C1825" t="s">
        <v>1182</v>
      </c>
      <c r="D1825" t="s">
        <v>3390</v>
      </c>
      <c r="E1825" t="s">
        <v>281</v>
      </c>
      <c r="F1825" t="s">
        <v>281</v>
      </c>
      <c r="G1825" t="s">
        <v>2842</v>
      </c>
      <c r="H1825" t="s">
        <v>281</v>
      </c>
      <c r="I1825" t="s">
        <v>2666</v>
      </c>
      <c r="J1825">
        <v>1</v>
      </c>
      <c r="K1825">
        <v>135</v>
      </c>
    </row>
    <row r="1826" spans="1:11" x14ac:dyDescent="0.2">
      <c r="A1826" t="s">
        <v>3252</v>
      </c>
      <c r="B1826">
        <v>93004</v>
      </c>
      <c r="C1826" t="s">
        <v>750</v>
      </c>
      <c r="D1826" t="s">
        <v>3378</v>
      </c>
      <c r="E1826" t="s">
        <v>281</v>
      </c>
      <c r="F1826" t="s">
        <v>281</v>
      </c>
      <c r="G1826" t="s">
        <v>2708</v>
      </c>
      <c r="H1826" t="s">
        <v>281</v>
      </c>
      <c r="I1826" t="s">
        <v>2666</v>
      </c>
      <c r="J1826">
        <v>1</v>
      </c>
      <c r="K1826">
        <v>544</v>
      </c>
    </row>
    <row r="1827" spans="1:11" x14ac:dyDescent="0.2">
      <c r="A1827" t="s">
        <v>3252</v>
      </c>
      <c r="B1827">
        <v>49013</v>
      </c>
      <c r="C1827" t="s">
        <v>604</v>
      </c>
      <c r="D1827" t="s">
        <v>3347</v>
      </c>
      <c r="E1827" t="s">
        <v>281</v>
      </c>
      <c r="F1827" t="s">
        <v>281</v>
      </c>
      <c r="G1827" t="s">
        <v>2983</v>
      </c>
      <c r="H1827" t="s">
        <v>281</v>
      </c>
      <c r="I1827" t="s">
        <v>2666</v>
      </c>
      <c r="J1827">
        <v>1</v>
      </c>
      <c r="K1827">
        <v>51</v>
      </c>
    </row>
    <row r="1828" spans="1:11" x14ac:dyDescent="0.2">
      <c r="A1828" t="s">
        <v>3252</v>
      </c>
      <c r="B1828">
        <v>31029</v>
      </c>
      <c r="C1828" t="s">
        <v>483</v>
      </c>
      <c r="D1828" t="s">
        <v>3361</v>
      </c>
      <c r="E1828" t="s">
        <v>281</v>
      </c>
      <c r="F1828" t="s">
        <v>281</v>
      </c>
      <c r="G1828" t="s">
        <v>2736</v>
      </c>
      <c r="H1828" t="s">
        <v>281</v>
      </c>
      <c r="I1828" t="s">
        <v>2666</v>
      </c>
      <c r="J1828">
        <v>1</v>
      </c>
      <c r="K1828">
        <v>29</v>
      </c>
    </row>
    <row r="1829" spans="1:11" x14ac:dyDescent="0.2">
      <c r="A1829" t="s">
        <v>3252</v>
      </c>
      <c r="B1829">
        <v>31039</v>
      </c>
      <c r="C1829" t="s">
        <v>486</v>
      </c>
      <c r="D1829" t="s">
        <v>3254</v>
      </c>
      <c r="E1829" t="s">
        <v>281</v>
      </c>
      <c r="F1829" t="s">
        <v>281</v>
      </c>
      <c r="G1829" t="s">
        <v>2736</v>
      </c>
      <c r="H1829" t="s">
        <v>281</v>
      </c>
      <c r="I1829" t="s">
        <v>2666</v>
      </c>
      <c r="J1829">
        <v>1</v>
      </c>
      <c r="K1829">
        <v>712</v>
      </c>
    </row>
    <row r="1830" spans="1:11" x14ac:dyDescent="0.2">
      <c r="A1830" t="s">
        <v>3252</v>
      </c>
      <c r="B1830">
        <v>94013</v>
      </c>
      <c r="C1830" t="s">
        <v>1067</v>
      </c>
      <c r="D1830" t="s">
        <v>3350</v>
      </c>
      <c r="E1830" t="s">
        <v>281</v>
      </c>
      <c r="F1830" t="s">
        <v>281</v>
      </c>
      <c r="G1830" t="s">
        <v>2672</v>
      </c>
      <c r="H1830" t="s">
        <v>281</v>
      </c>
      <c r="I1830" t="s">
        <v>2666</v>
      </c>
      <c r="J1830">
        <v>1</v>
      </c>
      <c r="K1830">
        <v>235</v>
      </c>
    </row>
    <row r="1831" spans="1:11" x14ac:dyDescent="0.2">
      <c r="A1831" t="s">
        <v>3252</v>
      </c>
      <c r="B1831">
        <v>94010</v>
      </c>
      <c r="C1831" t="s">
        <v>1066</v>
      </c>
      <c r="D1831" t="s">
        <v>3341</v>
      </c>
      <c r="E1831" t="s">
        <v>281</v>
      </c>
      <c r="F1831" t="s">
        <v>281</v>
      </c>
      <c r="G1831" t="s">
        <v>2672</v>
      </c>
      <c r="H1831" t="s">
        <v>281</v>
      </c>
      <c r="I1831" t="s">
        <v>2666</v>
      </c>
      <c r="J1831">
        <v>1</v>
      </c>
      <c r="K1831">
        <v>120</v>
      </c>
    </row>
    <row r="1832" spans="1:11" x14ac:dyDescent="0.2">
      <c r="A1832" t="s">
        <v>3252</v>
      </c>
      <c r="B1832">
        <v>31030</v>
      </c>
      <c r="C1832" t="s">
        <v>484</v>
      </c>
      <c r="D1832" t="s">
        <v>3336</v>
      </c>
      <c r="E1832" t="s">
        <v>281</v>
      </c>
      <c r="F1832" t="s">
        <v>281</v>
      </c>
      <c r="G1832" t="s">
        <v>2736</v>
      </c>
      <c r="H1832" t="s">
        <v>281</v>
      </c>
      <c r="I1832" t="s">
        <v>2666</v>
      </c>
      <c r="J1832">
        <v>1</v>
      </c>
      <c r="K1832">
        <v>79</v>
      </c>
    </row>
    <row r="1833" spans="1:11" x14ac:dyDescent="0.2">
      <c r="A1833" t="s">
        <v>3252</v>
      </c>
      <c r="B1833">
        <v>96007</v>
      </c>
      <c r="C1833" t="s">
        <v>762</v>
      </c>
      <c r="D1833" t="s">
        <v>3354</v>
      </c>
      <c r="E1833" t="s">
        <v>281</v>
      </c>
      <c r="F1833" t="s">
        <v>281</v>
      </c>
      <c r="G1833" t="s">
        <v>3256</v>
      </c>
      <c r="H1833" t="s">
        <v>281</v>
      </c>
      <c r="I1833" t="s">
        <v>2666</v>
      </c>
      <c r="J1833">
        <v>1</v>
      </c>
      <c r="K1833">
        <v>93</v>
      </c>
    </row>
    <row r="1834" spans="1:11" x14ac:dyDescent="0.2">
      <c r="A1834" t="s">
        <v>3252</v>
      </c>
      <c r="B1834">
        <v>94006</v>
      </c>
      <c r="C1834" t="s">
        <v>757</v>
      </c>
      <c r="D1834" t="s">
        <v>3261</v>
      </c>
      <c r="E1834" t="s">
        <v>2634</v>
      </c>
      <c r="F1834" t="s">
        <v>281</v>
      </c>
      <c r="G1834" t="s">
        <v>2672</v>
      </c>
      <c r="H1834" t="s">
        <v>2634</v>
      </c>
      <c r="I1834" t="s">
        <v>2666</v>
      </c>
      <c r="J1834">
        <v>1</v>
      </c>
      <c r="K1834">
        <v>1353.5</v>
      </c>
    </row>
    <row r="1835" spans="1:11" x14ac:dyDescent="0.2">
      <c r="A1835" t="s">
        <v>3252</v>
      </c>
      <c r="B1835">
        <v>37063</v>
      </c>
      <c r="C1835" t="s">
        <v>527</v>
      </c>
      <c r="D1835" t="s">
        <v>3366</v>
      </c>
      <c r="E1835" t="s">
        <v>281</v>
      </c>
      <c r="F1835" t="s">
        <v>281</v>
      </c>
      <c r="G1835" t="s">
        <v>2759</v>
      </c>
      <c r="H1835" t="s">
        <v>281</v>
      </c>
      <c r="I1835" t="s">
        <v>2666</v>
      </c>
      <c r="J1835">
        <v>1</v>
      </c>
      <c r="K1835">
        <v>501</v>
      </c>
    </row>
    <row r="1836" spans="1:11" x14ac:dyDescent="0.2">
      <c r="A1836" t="s">
        <v>3252</v>
      </c>
      <c r="B1836">
        <v>31061</v>
      </c>
      <c r="C1836" t="s">
        <v>499</v>
      </c>
      <c r="D1836" t="s">
        <v>3254</v>
      </c>
      <c r="E1836" t="s">
        <v>281</v>
      </c>
      <c r="F1836" t="s">
        <v>281</v>
      </c>
      <c r="G1836" t="s">
        <v>2736</v>
      </c>
      <c r="H1836" t="s">
        <v>281</v>
      </c>
      <c r="I1836" t="s">
        <v>2666</v>
      </c>
      <c r="J1836">
        <v>1</v>
      </c>
      <c r="K1836">
        <v>20</v>
      </c>
    </row>
    <row r="1837" spans="1:11" x14ac:dyDescent="0.2">
      <c r="A1837" t="s">
        <v>3252</v>
      </c>
      <c r="B1837">
        <v>28021</v>
      </c>
      <c r="C1837" t="s">
        <v>2542</v>
      </c>
      <c r="D1837" t="s">
        <v>3367</v>
      </c>
      <c r="E1837" t="s">
        <v>2634</v>
      </c>
      <c r="F1837" t="s">
        <v>281</v>
      </c>
      <c r="G1837" t="s">
        <v>2793</v>
      </c>
      <c r="H1837" t="s">
        <v>2634</v>
      </c>
      <c r="I1837" t="s">
        <v>2666</v>
      </c>
      <c r="J1837">
        <v>1</v>
      </c>
      <c r="K1837">
        <v>39</v>
      </c>
    </row>
    <row r="1838" spans="1:11" x14ac:dyDescent="0.2">
      <c r="A1838" t="s">
        <v>3252</v>
      </c>
      <c r="B1838">
        <v>96005</v>
      </c>
      <c r="C1838" t="s">
        <v>1069</v>
      </c>
      <c r="D1838" t="s">
        <v>3279</v>
      </c>
      <c r="E1838" t="s">
        <v>281</v>
      </c>
      <c r="F1838" t="s">
        <v>281</v>
      </c>
      <c r="G1838" t="s">
        <v>3256</v>
      </c>
      <c r="H1838" t="s">
        <v>281</v>
      </c>
      <c r="I1838" t="s">
        <v>2666</v>
      </c>
      <c r="J1838">
        <v>1</v>
      </c>
      <c r="K1838">
        <v>472</v>
      </c>
    </row>
    <row r="1839" spans="1:11" x14ac:dyDescent="0.2">
      <c r="A1839" t="s">
        <v>3252</v>
      </c>
      <c r="B1839">
        <v>32008</v>
      </c>
      <c r="C1839" t="s">
        <v>502</v>
      </c>
      <c r="D1839" t="s">
        <v>3348</v>
      </c>
      <c r="E1839" t="s">
        <v>281</v>
      </c>
      <c r="F1839" t="s">
        <v>281</v>
      </c>
      <c r="G1839" t="s">
        <v>2844</v>
      </c>
      <c r="H1839" t="s">
        <v>281</v>
      </c>
      <c r="I1839" t="s">
        <v>2666</v>
      </c>
      <c r="J1839">
        <v>1</v>
      </c>
      <c r="K1839">
        <v>386</v>
      </c>
    </row>
    <row r="1840" spans="1:11" x14ac:dyDescent="0.2">
      <c r="A1840" t="s">
        <v>3252</v>
      </c>
      <c r="B1840">
        <v>37034</v>
      </c>
      <c r="C1840" t="s">
        <v>522</v>
      </c>
      <c r="D1840" t="s">
        <v>3411</v>
      </c>
      <c r="E1840" t="s">
        <v>281</v>
      </c>
      <c r="F1840" t="s">
        <v>281</v>
      </c>
      <c r="G1840" t="s">
        <v>2759</v>
      </c>
      <c r="H1840" t="s">
        <v>281</v>
      </c>
      <c r="I1840" t="s">
        <v>2666</v>
      </c>
      <c r="J1840">
        <v>1</v>
      </c>
      <c r="K1840">
        <v>778.17</v>
      </c>
    </row>
    <row r="1841" spans="1:11" x14ac:dyDescent="0.2">
      <c r="A1841" t="s">
        <v>3252</v>
      </c>
      <c r="B1841">
        <v>49015</v>
      </c>
      <c r="C1841" t="s">
        <v>605</v>
      </c>
      <c r="D1841" t="s">
        <v>3410</v>
      </c>
      <c r="E1841" t="s">
        <v>281</v>
      </c>
      <c r="F1841" t="s">
        <v>281</v>
      </c>
      <c r="G1841" t="s">
        <v>2983</v>
      </c>
      <c r="H1841" t="s">
        <v>281</v>
      </c>
      <c r="I1841" t="s">
        <v>2666</v>
      </c>
      <c r="J1841">
        <v>1</v>
      </c>
      <c r="K1841">
        <v>30</v>
      </c>
    </row>
    <row r="1842" spans="1:11" x14ac:dyDescent="0.2">
      <c r="A1842" t="s">
        <v>3252</v>
      </c>
      <c r="B1842">
        <v>31048</v>
      </c>
      <c r="C1842" t="s">
        <v>490</v>
      </c>
      <c r="D1842" t="s">
        <v>3359</v>
      </c>
      <c r="E1842" t="s">
        <v>281</v>
      </c>
      <c r="F1842" t="s">
        <v>281</v>
      </c>
      <c r="G1842" t="s">
        <v>2783</v>
      </c>
      <c r="H1842" t="s">
        <v>281</v>
      </c>
      <c r="I1842" t="s">
        <v>2666</v>
      </c>
      <c r="J1842">
        <v>1</v>
      </c>
      <c r="K1842">
        <v>62</v>
      </c>
    </row>
    <row r="1843" spans="1:11" x14ac:dyDescent="0.2">
      <c r="A1843" t="s">
        <v>3252</v>
      </c>
      <c r="B1843">
        <v>29028</v>
      </c>
      <c r="C1843" t="s">
        <v>464</v>
      </c>
      <c r="D1843" t="s">
        <v>3288</v>
      </c>
      <c r="E1843" t="s">
        <v>281</v>
      </c>
      <c r="F1843" t="s">
        <v>281</v>
      </c>
      <c r="G1843" t="s">
        <v>2688</v>
      </c>
      <c r="H1843" t="s">
        <v>281</v>
      </c>
      <c r="I1843" t="s">
        <v>2666</v>
      </c>
      <c r="J1843">
        <v>1</v>
      </c>
      <c r="K1843">
        <v>30</v>
      </c>
    </row>
    <row r="1844" spans="1:11" x14ac:dyDescent="0.2">
      <c r="A1844" t="s">
        <v>3252</v>
      </c>
      <c r="B1844">
        <v>31047</v>
      </c>
      <c r="C1844" t="s">
        <v>489</v>
      </c>
      <c r="D1844" t="s">
        <v>3254</v>
      </c>
      <c r="E1844" t="s">
        <v>281</v>
      </c>
      <c r="F1844" t="s">
        <v>281</v>
      </c>
      <c r="G1844" t="s">
        <v>2736</v>
      </c>
      <c r="H1844" t="s">
        <v>281</v>
      </c>
      <c r="I1844" t="s">
        <v>2666</v>
      </c>
      <c r="J1844">
        <v>1</v>
      </c>
      <c r="K1844">
        <v>253</v>
      </c>
    </row>
    <row r="1845" spans="1:11" x14ac:dyDescent="0.2">
      <c r="A1845" t="s">
        <v>3252</v>
      </c>
      <c r="B1845">
        <v>80012</v>
      </c>
      <c r="C1845" t="s">
        <v>706</v>
      </c>
      <c r="D1845" t="s">
        <v>3321</v>
      </c>
      <c r="E1845" t="s">
        <v>281</v>
      </c>
      <c r="F1845" t="s">
        <v>281</v>
      </c>
      <c r="G1845" t="s">
        <v>2842</v>
      </c>
      <c r="H1845" t="s">
        <v>281</v>
      </c>
      <c r="I1845" t="s">
        <v>2666</v>
      </c>
      <c r="J1845">
        <v>1</v>
      </c>
      <c r="K1845">
        <v>98</v>
      </c>
    </row>
    <row r="1846" spans="1:11" x14ac:dyDescent="0.2">
      <c r="A1846" t="s">
        <v>3252</v>
      </c>
      <c r="B1846">
        <v>31059</v>
      </c>
      <c r="C1846" t="s">
        <v>498</v>
      </c>
      <c r="D1846" t="s">
        <v>3254</v>
      </c>
      <c r="E1846" t="s">
        <v>281</v>
      </c>
      <c r="F1846" t="s">
        <v>281</v>
      </c>
      <c r="G1846" t="s">
        <v>2736</v>
      </c>
      <c r="H1846" t="s">
        <v>281</v>
      </c>
      <c r="I1846" t="s">
        <v>2666</v>
      </c>
      <c r="J1846">
        <v>1</v>
      </c>
      <c r="K1846">
        <v>137</v>
      </c>
    </row>
    <row r="1847" spans="1:11" x14ac:dyDescent="0.2">
      <c r="A1847" t="s">
        <v>3252</v>
      </c>
      <c r="B1847">
        <v>85003</v>
      </c>
      <c r="C1847" t="s">
        <v>1188</v>
      </c>
      <c r="D1847" t="s">
        <v>3376</v>
      </c>
      <c r="E1847" t="s">
        <v>281</v>
      </c>
      <c r="F1847" t="s">
        <v>281</v>
      </c>
      <c r="G1847" t="s">
        <v>2874</v>
      </c>
      <c r="H1847" t="s">
        <v>281</v>
      </c>
      <c r="I1847" t="s">
        <v>2666</v>
      </c>
      <c r="J1847">
        <v>1</v>
      </c>
      <c r="K1847">
        <v>56</v>
      </c>
    </row>
    <row r="1848" spans="1:11" x14ac:dyDescent="0.2">
      <c r="A1848" t="s">
        <v>3252</v>
      </c>
      <c r="B1848">
        <v>31043</v>
      </c>
      <c r="C1848" t="s">
        <v>487</v>
      </c>
      <c r="D1848" t="s">
        <v>3254</v>
      </c>
      <c r="E1848" t="s">
        <v>281</v>
      </c>
      <c r="F1848" t="s">
        <v>281</v>
      </c>
      <c r="G1848" t="s">
        <v>2736</v>
      </c>
      <c r="H1848" t="s">
        <v>281</v>
      </c>
      <c r="I1848" t="s">
        <v>2666</v>
      </c>
      <c r="J1848">
        <v>1</v>
      </c>
      <c r="K1848">
        <v>611</v>
      </c>
    </row>
    <row r="1849" spans="1:11" x14ac:dyDescent="0.2">
      <c r="A1849" t="s">
        <v>3252</v>
      </c>
      <c r="B1849">
        <v>92002</v>
      </c>
      <c r="C1849" t="s">
        <v>742</v>
      </c>
      <c r="D1849" t="s">
        <v>3402</v>
      </c>
      <c r="E1849" t="s">
        <v>281</v>
      </c>
      <c r="F1849" t="s">
        <v>281</v>
      </c>
      <c r="G1849" t="s">
        <v>2637</v>
      </c>
      <c r="H1849" t="s">
        <v>281</v>
      </c>
      <c r="I1849" t="s">
        <v>2666</v>
      </c>
      <c r="J1849">
        <v>1</v>
      </c>
      <c r="K1849">
        <v>269</v>
      </c>
    </row>
    <row r="1850" spans="1:11" x14ac:dyDescent="0.2">
      <c r="A1850" t="s">
        <v>3252</v>
      </c>
      <c r="B1850">
        <v>92005</v>
      </c>
      <c r="C1850" t="s">
        <v>2484</v>
      </c>
      <c r="D1850" t="s">
        <v>3337</v>
      </c>
      <c r="E1850" t="s">
        <v>281</v>
      </c>
      <c r="F1850" t="s">
        <v>281</v>
      </c>
      <c r="G1850" t="s">
        <v>2637</v>
      </c>
      <c r="H1850" t="s">
        <v>281</v>
      </c>
      <c r="I1850" t="s">
        <v>2666</v>
      </c>
      <c r="J1850">
        <v>1</v>
      </c>
      <c r="K1850">
        <v>540</v>
      </c>
    </row>
    <row r="1851" spans="1:11" x14ac:dyDescent="0.2">
      <c r="A1851" t="s">
        <v>3252</v>
      </c>
      <c r="B1851">
        <v>94009</v>
      </c>
      <c r="C1851" t="s">
        <v>758</v>
      </c>
      <c r="D1851" t="s">
        <v>3349</v>
      </c>
      <c r="E1851" t="s">
        <v>281</v>
      </c>
      <c r="F1851" t="s">
        <v>281</v>
      </c>
      <c r="G1851" t="s">
        <v>2672</v>
      </c>
      <c r="H1851" t="s">
        <v>281</v>
      </c>
      <c r="I1851" t="s">
        <v>2666</v>
      </c>
      <c r="J1851">
        <v>1</v>
      </c>
      <c r="K1851">
        <v>77</v>
      </c>
    </row>
    <row r="1852" spans="1:11" x14ac:dyDescent="0.2">
      <c r="A1852" t="s">
        <v>3252</v>
      </c>
      <c r="B1852">
        <v>93002</v>
      </c>
      <c r="C1852" t="s">
        <v>1193</v>
      </c>
      <c r="D1852" t="s">
        <v>3364</v>
      </c>
      <c r="E1852" t="s">
        <v>281</v>
      </c>
      <c r="F1852" t="s">
        <v>281</v>
      </c>
      <c r="G1852" t="s">
        <v>2708</v>
      </c>
      <c r="H1852" t="s">
        <v>281</v>
      </c>
      <c r="I1852" t="s">
        <v>2666</v>
      </c>
      <c r="J1852">
        <v>1</v>
      </c>
      <c r="K1852">
        <v>306</v>
      </c>
    </row>
    <row r="1853" spans="1:11" x14ac:dyDescent="0.2">
      <c r="A1853" t="s">
        <v>3252</v>
      </c>
      <c r="B1853">
        <v>49047</v>
      </c>
      <c r="C1853" t="s">
        <v>614</v>
      </c>
      <c r="D1853" t="s">
        <v>3403</v>
      </c>
      <c r="E1853" t="s">
        <v>2634</v>
      </c>
      <c r="F1853" t="s">
        <v>281</v>
      </c>
      <c r="G1853" t="s">
        <v>2983</v>
      </c>
      <c r="H1853" t="s">
        <v>2634</v>
      </c>
      <c r="I1853" t="s">
        <v>2666</v>
      </c>
      <c r="J1853">
        <v>1</v>
      </c>
      <c r="K1853">
        <v>164</v>
      </c>
    </row>
    <row r="1854" spans="1:11" x14ac:dyDescent="0.2">
      <c r="A1854" t="s">
        <v>3252</v>
      </c>
      <c r="B1854">
        <v>40015</v>
      </c>
      <c r="C1854" t="s">
        <v>541</v>
      </c>
      <c r="D1854" t="s">
        <v>3286</v>
      </c>
      <c r="E1854" t="s">
        <v>2634</v>
      </c>
      <c r="F1854" t="s">
        <v>281</v>
      </c>
      <c r="G1854" t="s">
        <v>2704</v>
      </c>
      <c r="H1854" t="s">
        <v>2634</v>
      </c>
      <c r="I1854" t="s">
        <v>2666</v>
      </c>
      <c r="J1854">
        <v>1</v>
      </c>
      <c r="K1854">
        <v>11</v>
      </c>
    </row>
    <row r="1855" spans="1:11" x14ac:dyDescent="0.2">
      <c r="A1855" t="s">
        <v>3252</v>
      </c>
      <c r="B1855">
        <v>40025</v>
      </c>
      <c r="C1855" t="s">
        <v>543</v>
      </c>
      <c r="D1855" t="s">
        <v>3273</v>
      </c>
      <c r="E1855" t="s">
        <v>281</v>
      </c>
      <c r="F1855" t="s">
        <v>281</v>
      </c>
      <c r="G1855" t="s">
        <v>2704</v>
      </c>
      <c r="H1855" t="s">
        <v>281</v>
      </c>
      <c r="I1855" t="s">
        <v>2666</v>
      </c>
      <c r="J1855">
        <v>1</v>
      </c>
      <c r="K1855">
        <v>91</v>
      </c>
    </row>
    <row r="1856" spans="1:11" x14ac:dyDescent="0.2">
      <c r="A1856" t="s">
        <v>3217</v>
      </c>
      <c r="B1856">
        <v>15002</v>
      </c>
      <c r="C1856" t="s">
        <v>1432</v>
      </c>
      <c r="D1856" t="s">
        <v>3233</v>
      </c>
      <c r="E1856" t="s">
        <v>279</v>
      </c>
      <c r="F1856" t="s">
        <v>279</v>
      </c>
      <c r="G1856" t="s">
        <v>2790</v>
      </c>
      <c r="H1856" t="s">
        <v>279</v>
      </c>
      <c r="I1856" t="s">
        <v>2616</v>
      </c>
      <c r="J1856">
        <v>1</v>
      </c>
      <c r="K1856">
        <v>63</v>
      </c>
    </row>
    <row r="1857" spans="1:11" x14ac:dyDescent="0.2">
      <c r="A1857" t="s">
        <v>3217</v>
      </c>
      <c r="B1857">
        <v>22009</v>
      </c>
      <c r="C1857" t="s">
        <v>1048</v>
      </c>
      <c r="D1857" t="s">
        <v>3218</v>
      </c>
      <c r="E1857" t="s">
        <v>279</v>
      </c>
      <c r="F1857" t="s">
        <v>279</v>
      </c>
      <c r="G1857" t="s">
        <v>2814</v>
      </c>
      <c r="H1857" t="s">
        <v>279</v>
      </c>
      <c r="I1857" t="s">
        <v>2666</v>
      </c>
      <c r="J1857">
        <v>1</v>
      </c>
      <c r="K1857">
        <v>35</v>
      </c>
    </row>
    <row r="1858" spans="1:11" x14ac:dyDescent="0.2">
      <c r="A1858" t="s">
        <v>3217</v>
      </c>
      <c r="B1858">
        <v>42016</v>
      </c>
      <c r="C1858" t="s">
        <v>565</v>
      </c>
      <c r="D1858" t="s">
        <v>3240</v>
      </c>
      <c r="E1858" t="s">
        <v>281</v>
      </c>
      <c r="F1858" t="s">
        <v>281</v>
      </c>
      <c r="G1858" t="s">
        <v>2692</v>
      </c>
      <c r="H1858" t="s">
        <v>281</v>
      </c>
      <c r="I1858" t="s">
        <v>2666</v>
      </c>
      <c r="J1858">
        <v>1</v>
      </c>
      <c r="K1858">
        <v>10</v>
      </c>
    </row>
    <row r="1859" spans="1:11" x14ac:dyDescent="0.2">
      <c r="A1859" t="s">
        <v>3217</v>
      </c>
      <c r="B1859">
        <v>77038</v>
      </c>
      <c r="C1859" t="s">
        <v>3216</v>
      </c>
      <c r="D1859" t="s">
        <v>3215</v>
      </c>
      <c r="E1859" t="s">
        <v>281</v>
      </c>
      <c r="F1859" t="s">
        <v>281</v>
      </c>
      <c r="G1859" t="s">
        <v>2780</v>
      </c>
      <c r="H1859" t="s">
        <v>281</v>
      </c>
      <c r="I1859" t="s">
        <v>2666</v>
      </c>
      <c r="J1859">
        <v>1</v>
      </c>
      <c r="K1859">
        <v>1507.83</v>
      </c>
    </row>
    <row r="1860" spans="1:11" x14ac:dyDescent="0.2">
      <c r="A1860" t="s">
        <v>3217</v>
      </c>
      <c r="B1860">
        <v>53006</v>
      </c>
      <c r="C1860" t="s">
        <v>649</v>
      </c>
      <c r="D1860" t="s">
        <v>3223</v>
      </c>
      <c r="E1860" t="s">
        <v>281</v>
      </c>
      <c r="F1860" t="s">
        <v>281</v>
      </c>
      <c r="G1860" t="s">
        <v>3222</v>
      </c>
      <c r="H1860" t="s">
        <v>281</v>
      </c>
      <c r="I1860" t="s">
        <v>2666</v>
      </c>
      <c r="J1860">
        <v>1</v>
      </c>
      <c r="K1860">
        <v>27</v>
      </c>
    </row>
    <row r="1861" spans="1:11" x14ac:dyDescent="0.2">
      <c r="A1861" t="s">
        <v>3217</v>
      </c>
      <c r="B1861">
        <v>230110</v>
      </c>
      <c r="C1861" t="s">
        <v>968</v>
      </c>
      <c r="D1861" t="s">
        <v>3250</v>
      </c>
      <c r="E1861" t="s">
        <v>184</v>
      </c>
      <c r="F1861" t="s">
        <v>184</v>
      </c>
      <c r="G1861" t="s">
        <v>2754</v>
      </c>
      <c r="H1861" t="s">
        <v>184</v>
      </c>
      <c r="I1861" t="s">
        <v>2666</v>
      </c>
      <c r="J1861">
        <v>1</v>
      </c>
      <c r="K1861">
        <v>700.8</v>
      </c>
    </row>
    <row r="1862" spans="1:11" x14ac:dyDescent="0.2">
      <c r="A1862" t="s">
        <v>3217</v>
      </c>
      <c r="B1862">
        <v>4008</v>
      </c>
      <c r="C1862" t="s">
        <v>3221</v>
      </c>
      <c r="D1862" t="s">
        <v>3220</v>
      </c>
      <c r="E1862" t="s">
        <v>279</v>
      </c>
      <c r="F1862" t="s">
        <v>279</v>
      </c>
      <c r="G1862" t="s">
        <v>2762</v>
      </c>
      <c r="H1862" t="s">
        <v>279</v>
      </c>
      <c r="I1862" t="s">
        <v>2666</v>
      </c>
      <c r="J1862">
        <v>1</v>
      </c>
      <c r="K1862">
        <v>1</v>
      </c>
    </row>
    <row r="1863" spans="1:11" x14ac:dyDescent="0.2">
      <c r="A1863" t="s">
        <v>3217</v>
      </c>
      <c r="B1863">
        <v>38035</v>
      </c>
      <c r="C1863" t="s">
        <v>1056</v>
      </c>
      <c r="D1863" t="s">
        <v>3238</v>
      </c>
      <c r="E1863" t="s">
        <v>281</v>
      </c>
      <c r="F1863" t="s">
        <v>281</v>
      </c>
      <c r="G1863" t="s">
        <v>2676</v>
      </c>
      <c r="H1863" t="s">
        <v>281</v>
      </c>
      <c r="I1863" t="s">
        <v>2666</v>
      </c>
      <c r="J1863">
        <v>1</v>
      </c>
      <c r="K1863">
        <v>98</v>
      </c>
    </row>
    <row r="1864" spans="1:11" x14ac:dyDescent="0.2">
      <c r="A1864" t="s">
        <v>3217</v>
      </c>
      <c r="B1864">
        <v>42005</v>
      </c>
      <c r="C1864" t="s">
        <v>3229</v>
      </c>
      <c r="D1864" t="s">
        <v>3228</v>
      </c>
      <c r="E1864" t="s">
        <v>281</v>
      </c>
      <c r="F1864" t="s">
        <v>281</v>
      </c>
      <c r="G1864" t="s">
        <v>2692</v>
      </c>
      <c r="H1864" t="s">
        <v>281</v>
      </c>
      <c r="I1864" t="s">
        <v>2666</v>
      </c>
      <c r="J1864">
        <v>1</v>
      </c>
      <c r="K1864">
        <v>817.23</v>
      </c>
    </row>
    <row r="1865" spans="1:11" x14ac:dyDescent="0.2">
      <c r="A1865" t="s">
        <v>3217</v>
      </c>
      <c r="B1865">
        <v>76008</v>
      </c>
      <c r="C1865" t="s">
        <v>691</v>
      </c>
      <c r="D1865" t="s">
        <v>3243</v>
      </c>
      <c r="E1865" t="s">
        <v>281</v>
      </c>
      <c r="F1865" t="s">
        <v>281</v>
      </c>
      <c r="G1865" t="s">
        <v>2718</v>
      </c>
      <c r="H1865" t="s">
        <v>281</v>
      </c>
      <c r="I1865" t="s">
        <v>2666</v>
      </c>
      <c r="J1865">
        <v>1</v>
      </c>
      <c r="K1865">
        <v>50</v>
      </c>
    </row>
    <row r="1866" spans="1:11" x14ac:dyDescent="0.2">
      <c r="A1866" t="s">
        <v>3217</v>
      </c>
      <c r="B1866">
        <v>76007</v>
      </c>
      <c r="C1866" t="s">
        <v>690</v>
      </c>
      <c r="D1866" t="s">
        <v>3239</v>
      </c>
      <c r="E1866" t="s">
        <v>281</v>
      </c>
      <c r="F1866" t="s">
        <v>281</v>
      </c>
      <c r="G1866" t="s">
        <v>2718</v>
      </c>
      <c r="H1866" t="s">
        <v>281</v>
      </c>
      <c r="I1866" t="s">
        <v>2666</v>
      </c>
      <c r="J1866">
        <v>1</v>
      </c>
      <c r="K1866">
        <v>63</v>
      </c>
    </row>
    <row r="1867" spans="1:11" x14ac:dyDescent="0.2">
      <c r="A1867" t="s">
        <v>3217</v>
      </c>
      <c r="B1867">
        <v>49003</v>
      </c>
      <c r="C1867" t="s">
        <v>600</v>
      </c>
      <c r="D1867" t="s">
        <v>3234</v>
      </c>
      <c r="E1867" t="s">
        <v>281</v>
      </c>
      <c r="F1867" t="s">
        <v>281</v>
      </c>
      <c r="G1867" t="s">
        <v>2950</v>
      </c>
      <c r="H1867" t="s">
        <v>281</v>
      </c>
      <c r="I1867" t="s">
        <v>2666</v>
      </c>
      <c r="J1867">
        <v>1</v>
      </c>
      <c r="K1867">
        <v>29</v>
      </c>
    </row>
    <row r="1868" spans="1:11" x14ac:dyDescent="0.2">
      <c r="A1868" t="s">
        <v>3217</v>
      </c>
      <c r="B1868">
        <v>49042</v>
      </c>
      <c r="C1868" t="s">
        <v>1251</v>
      </c>
      <c r="D1868" t="s">
        <v>3244</v>
      </c>
      <c r="E1868" t="s">
        <v>281</v>
      </c>
      <c r="F1868" t="s">
        <v>281</v>
      </c>
      <c r="G1868" t="s">
        <v>2983</v>
      </c>
      <c r="H1868" t="s">
        <v>281</v>
      </c>
      <c r="I1868" t="s">
        <v>2666</v>
      </c>
      <c r="J1868">
        <v>1</v>
      </c>
      <c r="K1868">
        <v>10</v>
      </c>
    </row>
    <row r="1869" spans="1:11" x14ac:dyDescent="0.2">
      <c r="A1869" t="s">
        <v>3217</v>
      </c>
      <c r="B1869">
        <v>31032</v>
      </c>
      <c r="C1869" t="s">
        <v>3225</v>
      </c>
      <c r="D1869" t="s">
        <v>3224</v>
      </c>
      <c r="E1869" t="s">
        <v>281</v>
      </c>
      <c r="F1869" t="s">
        <v>281</v>
      </c>
      <c r="G1869" t="s">
        <v>2736</v>
      </c>
      <c r="H1869" t="s">
        <v>281</v>
      </c>
      <c r="I1869" t="s">
        <v>2666</v>
      </c>
      <c r="J1869">
        <v>1</v>
      </c>
      <c r="K1869">
        <v>1172</v>
      </c>
    </row>
    <row r="1870" spans="1:11" x14ac:dyDescent="0.2">
      <c r="A1870" t="s">
        <v>3217</v>
      </c>
      <c r="B1870">
        <v>78018</v>
      </c>
      <c r="C1870" t="s">
        <v>1266</v>
      </c>
      <c r="D1870" t="s">
        <v>3219</v>
      </c>
      <c r="E1870" t="s">
        <v>281</v>
      </c>
      <c r="F1870" t="s">
        <v>281</v>
      </c>
      <c r="G1870" t="s">
        <v>2909</v>
      </c>
      <c r="H1870" t="s">
        <v>281</v>
      </c>
      <c r="I1870" t="s">
        <v>2666</v>
      </c>
      <c r="J1870">
        <v>1</v>
      </c>
      <c r="K1870">
        <v>127</v>
      </c>
    </row>
    <row r="1871" spans="1:11" x14ac:dyDescent="0.2">
      <c r="A1871" t="s">
        <v>3217</v>
      </c>
      <c r="B1871">
        <v>15054</v>
      </c>
      <c r="C1871" t="s">
        <v>2508</v>
      </c>
      <c r="D1871" t="s">
        <v>3230</v>
      </c>
      <c r="E1871" t="s">
        <v>279</v>
      </c>
      <c r="F1871" t="s">
        <v>279</v>
      </c>
      <c r="G1871" t="s">
        <v>2814</v>
      </c>
      <c r="H1871" t="s">
        <v>279</v>
      </c>
      <c r="I1871" t="s">
        <v>2666</v>
      </c>
      <c r="J1871">
        <v>1</v>
      </c>
      <c r="K1871">
        <v>39</v>
      </c>
    </row>
    <row r="1872" spans="1:11" x14ac:dyDescent="0.2">
      <c r="A1872" t="s">
        <v>3217</v>
      </c>
      <c r="B1872">
        <v>20103</v>
      </c>
      <c r="C1872" t="s">
        <v>1293</v>
      </c>
      <c r="D1872" t="s">
        <v>3227</v>
      </c>
      <c r="E1872" t="s">
        <v>279</v>
      </c>
      <c r="F1872" t="s">
        <v>279</v>
      </c>
      <c r="G1872" t="s">
        <v>2814</v>
      </c>
      <c r="H1872" t="s">
        <v>279</v>
      </c>
      <c r="I1872" t="s">
        <v>2666</v>
      </c>
      <c r="J1872">
        <v>1</v>
      </c>
      <c r="K1872">
        <v>337</v>
      </c>
    </row>
    <row r="1873" spans="1:11" x14ac:dyDescent="0.2">
      <c r="A1873" t="s">
        <v>3217</v>
      </c>
      <c r="B1873">
        <v>44032</v>
      </c>
      <c r="C1873" t="s">
        <v>577</v>
      </c>
      <c r="D1873" t="s">
        <v>3249</v>
      </c>
      <c r="E1873" t="s">
        <v>281</v>
      </c>
      <c r="F1873" t="s">
        <v>281</v>
      </c>
      <c r="G1873" t="s">
        <v>3248</v>
      </c>
      <c r="H1873" t="s">
        <v>281</v>
      </c>
      <c r="I1873" t="s">
        <v>2666</v>
      </c>
      <c r="J1873">
        <v>1</v>
      </c>
      <c r="K1873">
        <v>8</v>
      </c>
    </row>
    <row r="1874" spans="1:11" x14ac:dyDescent="0.2">
      <c r="A1874" t="s">
        <v>3217</v>
      </c>
      <c r="B1874">
        <v>33009</v>
      </c>
      <c r="C1874" t="s">
        <v>510</v>
      </c>
      <c r="D1874" t="s">
        <v>3237</v>
      </c>
      <c r="E1874" t="s">
        <v>281</v>
      </c>
      <c r="F1874" t="s">
        <v>281</v>
      </c>
      <c r="G1874" t="s">
        <v>3157</v>
      </c>
      <c r="H1874" t="s">
        <v>281</v>
      </c>
      <c r="I1874" t="s">
        <v>2666</v>
      </c>
      <c r="J1874">
        <v>1</v>
      </c>
      <c r="K1874">
        <v>55</v>
      </c>
    </row>
    <row r="1875" spans="1:11" x14ac:dyDescent="0.2">
      <c r="A1875" t="s">
        <v>3217</v>
      </c>
      <c r="B1875">
        <v>49006</v>
      </c>
      <c r="C1875" t="s">
        <v>602</v>
      </c>
      <c r="D1875" t="s">
        <v>3226</v>
      </c>
      <c r="E1875" t="s">
        <v>281</v>
      </c>
      <c r="F1875" t="s">
        <v>281</v>
      </c>
      <c r="G1875" t="s">
        <v>2983</v>
      </c>
      <c r="H1875" t="s">
        <v>281</v>
      </c>
      <c r="I1875" t="s">
        <v>2666</v>
      </c>
      <c r="J1875">
        <v>1</v>
      </c>
      <c r="K1875">
        <v>21</v>
      </c>
    </row>
    <row r="1876" spans="1:11" x14ac:dyDescent="0.2">
      <c r="A1876" t="s">
        <v>3217</v>
      </c>
      <c r="B1876">
        <v>21020</v>
      </c>
      <c r="C1876" t="s">
        <v>1131</v>
      </c>
      <c r="D1876" t="s">
        <v>3246</v>
      </c>
      <c r="E1876" t="s">
        <v>279</v>
      </c>
      <c r="F1876" t="s">
        <v>279</v>
      </c>
      <c r="G1876" t="s">
        <v>2814</v>
      </c>
      <c r="H1876" t="s">
        <v>279</v>
      </c>
      <c r="I1876" t="s">
        <v>2666</v>
      </c>
      <c r="J1876">
        <v>1</v>
      </c>
      <c r="K1876">
        <v>10</v>
      </c>
    </row>
    <row r="1877" spans="1:11" x14ac:dyDescent="0.2">
      <c r="A1877" t="s">
        <v>3217</v>
      </c>
      <c r="B1877">
        <v>15053</v>
      </c>
      <c r="C1877" t="s">
        <v>2507</v>
      </c>
      <c r="D1877" t="s">
        <v>3232</v>
      </c>
      <c r="E1877" t="s">
        <v>279</v>
      </c>
      <c r="F1877" t="s">
        <v>279</v>
      </c>
      <c r="G1877" t="s">
        <v>2814</v>
      </c>
      <c r="H1877" t="s">
        <v>279</v>
      </c>
      <c r="I1877" t="s">
        <v>2666</v>
      </c>
      <c r="J1877">
        <v>1</v>
      </c>
      <c r="K1877">
        <v>1310</v>
      </c>
    </row>
    <row r="1878" spans="1:11" x14ac:dyDescent="0.2">
      <c r="A1878" t="s">
        <v>3217</v>
      </c>
      <c r="B1878">
        <v>47007</v>
      </c>
      <c r="C1878" t="s">
        <v>598</v>
      </c>
      <c r="D1878" t="s">
        <v>3236</v>
      </c>
      <c r="E1878" t="s">
        <v>281</v>
      </c>
      <c r="F1878" t="s">
        <v>281</v>
      </c>
      <c r="G1878" t="s">
        <v>2893</v>
      </c>
      <c r="H1878" t="s">
        <v>281</v>
      </c>
      <c r="I1878" t="s">
        <v>2666</v>
      </c>
      <c r="J1878">
        <v>1</v>
      </c>
      <c r="K1878">
        <v>4</v>
      </c>
    </row>
    <row r="1879" spans="1:11" x14ac:dyDescent="0.2">
      <c r="A1879" t="s">
        <v>3217</v>
      </c>
      <c r="B1879">
        <v>49009</v>
      </c>
      <c r="C1879" t="s">
        <v>1250</v>
      </c>
      <c r="D1879" t="s">
        <v>3247</v>
      </c>
      <c r="E1879" t="s">
        <v>281</v>
      </c>
      <c r="F1879" t="s">
        <v>281</v>
      </c>
      <c r="G1879" t="s">
        <v>2983</v>
      </c>
      <c r="H1879" t="s">
        <v>281</v>
      </c>
      <c r="I1879" t="s">
        <v>2666</v>
      </c>
      <c r="J1879">
        <v>1</v>
      </c>
      <c r="K1879">
        <v>24</v>
      </c>
    </row>
    <row r="1880" spans="1:11" x14ac:dyDescent="0.2">
      <c r="A1880" t="s">
        <v>3217</v>
      </c>
      <c r="B1880">
        <v>52038</v>
      </c>
      <c r="C1880" t="s">
        <v>1158</v>
      </c>
      <c r="D1880" t="s">
        <v>3235</v>
      </c>
      <c r="E1880" t="s">
        <v>281</v>
      </c>
      <c r="F1880" t="s">
        <v>281</v>
      </c>
      <c r="G1880" t="s">
        <v>3222</v>
      </c>
      <c r="H1880" t="s">
        <v>281</v>
      </c>
      <c r="I1880" t="s">
        <v>2666</v>
      </c>
      <c r="J1880">
        <v>1</v>
      </c>
      <c r="K1880">
        <v>67</v>
      </c>
    </row>
    <row r="1881" spans="1:11" x14ac:dyDescent="0.2">
      <c r="A1881" t="s">
        <v>3217</v>
      </c>
      <c r="B1881">
        <v>49051</v>
      </c>
      <c r="C1881" t="s">
        <v>3241</v>
      </c>
      <c r="D1881" t="s">
        <v>3015</v>
      </c>
      <c r="E1881" t="s">
        <v>2634</v>
      </c>
      <c r="F1881" t="s">
        <v>281</v>
      </c>
      <c r="G1881" t="s">
        <v>2983</v>
      </c>
      <c r="H1881" t="s">
        <v>2634</v>
      </c>
      <c r="I1881" t="s">
        <v>2666</v>
      </c>
      <c r="J1881">
        <v>1</v>
      </c>
      <c r="K1881">
        <v>7611.6</v>
      </c>
    </row>
    <row r="1882" spans="1:11" x14ac:dyDescent="0.2">
      <c r="A1882" t="s">
        <v>3217</v>
      </c>
      <c r="B1882">
        <v>49025</v>
      </c>
      <c r="C1882" t="s">
        <v>1152</v>
      </c>
      <c r="D1882" t="s">
        <v>3231</v>
      </c>
      <c r="E1882" t="s">
        <v>281</v>
      </c>
      <c r="F1882" t="s">
        <v>281</v>
      </c>
      <c r="G1882" t="s">
        <v>2950</v>
      </c>
      <c r="H1882" t="s">
        <v>281</v>
      </c>
      <c r="I1882" t="s">
        <v>2666</v>
      </c>
      <c r="J1882">
        <v>1</v>
      </c>
      <c r="K1882">
        <v>33</v>
      </c>
    </row>
    <row r="1883" spans="1:11" x14ac:dyDescent="0.2">
      <c r="A1883" t="s">
        <v>3217</v>
      </c>
      <c r="B1883">
        <v>43014</v>
      </c>
      <c r="C1883" t="s">
        <v>566</v>
      </c>
      <c r="D1883" t="s">
        <v>3245</v>
      </c>
      <c r="E1883" t="s">
        <v>281</v>
      </c>
      <c r="F1883" t="s">
        <v>281</v>
      </c>
      <c r="G1883" t="s">
        <v>2706</v>
      </c>
      <c r="H1883" t="s">
        <v>281</v>
      </c>
      <c r="I1883" t="s">
        <v>2666</v>
      </c>
      <c r="J1883">
        <v>1</v>
      </c>
      <c r="K1883">
        <v>27</v>
      </c>
    </row>
    <row r="1884" spans="1:11" x14ac:dyDescent="0.2">
      <c r="A1884" t="s">
        <v>3217</v>
      </c>
      <c r="B1884">
        <v>36035</v>
      </c>
      <c r="C1884" t="s">
        <v>1243</v>
      </c>
      <c r="D1884" t="s">
        <v>3242</v>
      </c>
      <c r="E1884" t="s">
        <v>281</v>
      </c>
      <c r="F1884" t="s">
        <v>281</v>
      </c>
      <c r="G1884" t="s">
        <v>3055</v>
      </c>
      <c r="H1884" t="s">
        <v>281</v>
      </c>
      <c r="I1884" t="s">
        <v>2666</v>
      </c>
      <c r="J1884">
        <v>1</v>
      </c>
      <c r="K1884">
        <v>100</v>
      </c>
    </row>
    <row r="1885" spans="1:11" x14ac:dyDescent="0.2">
      <c r="A1885" t="s">
        <v>3131</v>
      </c>
      <c r="B1885">
        <v>20108</v>
      </c>
      <c r="C1885" t="s">
        <v>2517</v>
      </c>
      <c r="D1885" t="s">
        <v>3177</v>
      </c>
      <c r="E1885" t="s">
        <v>279</v>
      </c>
      <c r="F1885" t="s">
        <v>279</v>
      </c>
      <c r="G1885" t="s">
        <v>2814</v>
      </c>
      <c r="H1885" t="s">
        <v>279</v>
      </c>
      <c r="I1885" t="s">
        <v>2666</v>
      </c>
      <c r="J1885">
        <v>1</v>
      </c>
      <c r="K1885">
        <v>340</v>
      </c>
    </row>
    <row r="1886" spans="1:11" x14ac:dyDescent="0.2">
      <c r="A1886" t="s">
        <v>3131</v>
      </c>
      <c r="B1886">
        <v>20100</v>
      </c>
      <c r="C1886" t="s">
        <v>2516</v>
      </c>
      <c r="D1886" t="s">
        <v>3153</v>
      </c>
      <c r="E1886" t="s">
        <v>2634</v>
      </c>
      <c r="F1886" t="s">
        <v>279</v>
      </c>
      <c r="G1886" t="s">
        <v>2814</v>
      </c>
      <c r="H1886" t="s">
        <v>2634</v>
      </c>
      <c r="I1886" t="s">
        <v>2666</v>
      </c>
      <c r="J1886">
        <v>1</v>
      </c>
      <c r="K1886">
        <v>916</v>
      </c>
    </row>
    <row r="1887" spans="1:11" x14ac:dyDescent="0.2">
      <c r="A1887" t="s">
        <v>3131</v>
      </c>
      <c r="B1887">
        <v>21030</v>
      </c>
      <c r="C1887" t="s">
        <v>396</v>
      </c>
      <c r="D1887" t="s">
        <v>3213</v>
      </c>
      <c r="E1887" t="s">
        <v>279</v>
      </c>
      <c r="F1887" t="s">
        <v>279</v>
      </c>
      <c r="G1887" t="s">
        <v>2814</v>
      </c>
      <c r="H1887" t="s">
        <v>279</v>
      </c>
      <c r="I1887" t="s">
        <v>2666</v>
      </c>
      <c r="J1887">
        <v>1</v>
      </c>
      <c r="K1887">
        <v>1119</v>
      </c>
    </row>
    <row r="1888" spans="1:11" x14ac:dyDescent="0.2">
      <c r="A1888" t="s">
        <v>3131</v>
      </c>
      <c r="B1888">
        <v>27069</v>
      </c>
      <c r="C1888" t="s">
        <v>1554</v>
      </c>
      <c r="D1888" t="s">
        <v>3203</v>
      </c>
      <c r="E1888" t="s">
        <v>279</v>
      </c>
      <c r="F1888" t="s">
        <v>279</v>
      </c>
      <c r="G1888" t="s">
        <v>279</v>
      </c>
      <c r="H1888" t="s">
        <v>279</v>
      </c>
      <c r="I1888" t="s">
        <v>2616</v>
      </c>
      <c r="J1888">
        <v>1</v>
      </c>
      <c r="K1888">
        <v>10238</v>
      </c>
    </row>
    <row r="1889" spans="1:11" x14ac:dyDescent="0.2">
      <c r="A1889" t="s">
        <v>3131</v>
      </c>
      <c r="B1889">
        <v>25073</v>
      </c>
      <c r="C1889" t="s">
        <v>433</v>
      </c>
      <c r="D1889" t="s">
        <v>3185</v>
      </c>
      <c r="E1889" t="s">
        <v>279</v>
      </c>
      <c r="F1889" t="s">
        <v>279</v>
      </c>
      <c r="G1889" t="s">
        <v>2733</v>
      </c>
      <c r="H1889" t="s">
        <v>279</v>
      </c>
      <c r="I1889" t="s">
        <v>2666</v>
      </c>
      <c r="J1889">
        <v>1</v>
      </c>
      <c r="K1889">
        <v>202</v>
      </c>
    </row>
    <row r="1890" spans="1:11" x14ac:dyDescent="0.2">
      <c r="A1890" t="s">
        <v>3131</v>
      </c>
      <c r="B1890">
        <v>27070</v>
      </c>
      <c r="C1890" t="s">
        <v>445</v>
      </c>
      <c r="D1890" t="s">
        <v>3182</v>
      </c>
      <c r="E1890" t="s">
        <v>279</v>
      </c>
      <c r="F1890" t="s">
        <v>279</v>
      </c>
      <c r="G1890" t="s">
        <v>279</v>
      </c>
      <c r="H1890" t="s">
        <v>279</v>
      </c>
      <c r="I1890" t="s">
        <v>2666</v>
      </c>
      <c r="J1890">
        <v>1</v>
      </c>
      <c r="K1890">
        <v>1870</v>
      </c>
    </row>
    <row r="1891" spans="1:11" x14ac:dyDescent="0.2">
      <c r="A1891" t="s">
        <v>3131</v>
      </c>
      <c r="B1891">
        <v>21042</v>
      </c>
      <c r="C1891" t="s">
        <v>1295</v>
      </c>
      <c r="D1891" t="s">
        <v>3200</v>
      </c>
      <c r="E1891" t="s">
        <v>279</v>
      </c>
      <c r="F1891" t="s">
        <v>279</v>
      </c>
      <c r="G1891" t="s">
        <v>2814</v>
      </c>
      <c r="H1891" t="s">
        <v>279</v>
      </c>
      <c r="I1891" t="s">
        <v>2666</v>
      </c>
      <c r="J1891">
        <v>1</v>
      </c>
      <c r="K1891">
        <v>263</v>
      </c>
    </row>
    <row r="1892" spans="1:11" x14ac:dyDescent="0.2">
      <c r="A1892" t="s">
        <v>3131</v>
      </c>
      <c r="B1892">
        <v>22025</v>
      </c>
      <c r="C1892" t="s">
        <v>400</v>
      </c>
      <c r="D1892" t="s">
        <v>3139</v>
      </c>
      <c r="E1892" t="s">
        <v>279</v>
      </c>
      <c r="F1892" t="s">
        <v>279</v>
      </c>
      <c r="G1892" t="s">
        <v>2814</v>
      </c>
      <c r="H1892" t="s">
        <v>279</v>
      </c>
      <c r="I1892" t="s">
        <v>2666</v>
      </c>
      <c r="J1892">
        <v>1</v>
      </c>
      <c r="K1892">
        <v>44</v>
      </c>
    </row>
    <row r="1893" spans="1:11" x14ac:dyDescent="0.2">
      <c r="A1893" t="s">
        <v>3131</v>
      </c>
      <c r="B1893">
        <v>27145</v>
      </c>
      <c r="C1893" t="s">
        <v>451</v>
      </c>
      <c r="D1893" t="s">
        <v>3191</v>
      </c>
      <c r="E1893" t="s">
        <v>279</v>
      </c>
      <c r="F1893" t="s">
        <v>279</v>
      </c>
      <c r="G1893" t="s">
        <v>279</v>
      </c>
      <c r="H1893" t="s">
        <v>279</v>
      </c>
      <c r="I1893" t="s">
        <v>2666</v>
      </c>
      <c r="J1893">
        <v>1</v>
      </c>
      <c r="K1893">
        <v>252</v>
      </c>
    </row>
    <row r="1894" spans="1:11" x14ac:dyDescent="0.2">
      <c r="A1894" t="s">
        <v>3131</v>
      </c>
      <c r="B1894">
        <v>27067</v>
      </c>
      <c r="C1894" t="s">
        <v>1235</v>
      </c>
      <c r="D1894" t="s">
        <v>3145</v>
      </c>
      <c r="E1894" t="s">
        <v>279</v>
      </c>
      <c r="F1894" t="s">
        <v>279</v>
      </c>
      <c r="G1894" t="s">
        <v>279</v>
      </c>
      <c r="H1894" t="s">
        <v>279</v>
      </c>
      <c r="I1894" t="s">
        <v>2666</v>
      </c>
      <c r="J1894">
        <v>1</v>
      </c>
      <c r="K1894">
        <v>24</v>
      </c>
    </row>
    <row r="1895" spans="1:11" x14ac:dyDescent="0.2">
      <c r="A1895" t="s">
        <v>3131</v>
      </c>
      <c r="B1895">
        <v>41008</v>
      </c>
      <c r="C1895" t="s">
        <v>551</v>
      </c>
      <c r="D1895" t="s">
        <v>3147</v>
      </c>
      <c r="E1895" t="s">
        <v>281</v>
      </c>
      <c r="F1895" t="s">
        <v>281</v>
      </c>
      <c r="G1895" t="s">
        <v>2704</v>
      </c>
      <c r="H1895" t="s">
        <v>281</v>
      </c>
      <c r="I1895" t="s">
        <v>2666</v>
      </c>
      <c r="J1895">
        <v>1</v>
      </c>
      <c r="K1895">
        <v>1022.33</v>
      </c>
    </row>
    <row r="1896" spans="1:11" x14ac:dyDescent="0.2">
      <c r="A1896" t="s">
        <v>3131</v>
      </c>
      <c r="B1896">
        <v>26014</v>
      </c>
      <c r="C1896" t="s">
        <v>1537</v>
      </c>
      <c r="D1896" t="s">
        <v>3204</v>
      </c>
      <c r="E1896" t="s">
        <v>279</v>
      </c>
      <c r="F1896" t="s">
        <v>279</v>
      </c>
      <c r="G1896" t="s">
        <v>279</v>
      </c>
      <c r="H1896" t="s">
        <v>279</v>
      </c>
      <c r="I1896" t="s">
        <v>2616</v>
      </c>
      <c r="J1896">
        <v>1</v>
      </c>
      <c r="K1896">
        <v>11166</v>
      </c>
    </row>
    <row r="1897" spans="1:11" x14ac:dyDescent="0.2">
      <c r="A1897" t="s">
        <v>3131</v>
      </c>
      <c r="B1897">
        <v>27021</v>
      </c>
      <c r="C1897" t="s">
        <v>1543</v>
      </c>
      <c r="D1897" t="s">
        <v>3154</v>
      </c>
      <c r="E1897" t="s">
        <v>279</v>
      </c>
      <c r="F1897" t="s">
        <v>279</v>
      </c>
      <c r="G1897" t="s">
        <v>279</v>
      </c>
      <c r="H1897" t="s">
        <v>279</v>
      </c>
      <c r="I1897" t="s">
        <v>2616</v>
      </c>
      <c r="J1897">
        <v>1</v>
      </c>
      <c r="K1897">
        <v>8478</v>
      </c>
    </row>
    <row r="1898" spans="1:11" x14ac:dyDescent="0.2">
      <c r="A1898" t="s">
        <v>3131</v>
      </c>
      <c r="B1898">
        <v>20046</v>
      </c>
      <c r="C1898" t="s">
        <v>2511</v>
      </c>
      <c r="D1898" t="s">
        <v>3198</v>
      </c>
      <c r="E1898" t="s">
        <v>279</v>
      </c>
      <c r="F1898" t="s">
        <v>279</v>
      </c>
      <c r="G1898" t="s">
        <v>2814</v>
      </c>
      <c r="H1898" t="s">
        <v>279</v>
      </c>
      <c r="I1898" t="s">
        <v>2666</v>
      </c>
      <c r="J1898">
        <v>1</v>
      </c>
      <c r="K1898">
        <v>2880</v>
      </c>
    </row>
    <row r="1899" spans="1:11" x14ac:dyDescent="0.2">
      <c r="A1899" t="s">
        <v>3131</v>
      </c>
      <c r="B1899">
        <v>15047</v>
      </c>
      <c r="C1899" t="s">
        <v>1443</v>
      </c>
      <c r="D1899" t="s">
        <v>3188</v>
      </c>
      <c r="E1899" t="s">
        <v>279</v>
      </c>
      <c r="F1899" t="s">
        <v>279</v>
      </c>
      <c r="G1899" t="s">
        <v>3187</v>
      </c>
      <c r="H1899" t="s">
        <v>279</v>
      </c>
      <c r="I1899" t="s">
        <v>2616</v>
      </c>
      <c r="J1899">
        <v>1</v>
      </c>
      <c r="K1899">
        <v>2514</v>
      </c>
    </row>
    <row r="1900" spans="1:11" x14ac:dyDescent="0.2">
      <c r="A1900" t="s">
        <v>3131</v>
      </c>
      <c r="B1900">
        <v>27118</v>
      </c>
      <c r="C1900" t="s">
        <v>2487</v>
      </c>
      <c r="D1900" t="s">
        <v>3146</v>
      </c>
      <c r="E1900" t="s">
        <v>2634</v>
      </c>
      <c r="F1900" t="s">
        <v>279</v>
      </c>
      <c r="G1900" t="s">
        <v>279</v>
      </c>
      <c r="H1900" t="s">
        <v>2634</v>
      </c>
      <c r="I1900" t="s">
        <v>2666</v>
      </c>
      <c r="J1900">
        <v>1</v>
      </c>
      <c r="K1900">
        <v>1256</v>
      </c>
    </row>
    <row r="1901" spans="1:11" x14ac:dyDescent="0.2">
      <c r="A1901" t="s">
        <v>3131</v>
      </c>
      <c r="B1901">
        <v>21034</v>
      </c>
      <c r="C1901" t="s">
        <v>1493</v>
      </c>
      <c r="D1901" t="s">
        <v>3174</v>
      </c>
      <c r="E1901" t="s">
        <v>279</v>
      </c>
      <c r="F1901" t="s">
        <v>279</v>
      </c>
      <c r="G1901" t="s">
        <v>2814</v>
      </c>
      <c r="H1901" t="s">
        <v>279</v>
      </c>
      <c r="I1901" t="s">
        <v>2616</v>
      </c>
      <c r="J1901">
        <v>1</v>
      </c>
      <c r="K1901">
        <v>4513.33</v>
      </c>
    </row>
    <row r="1902" spans="1:11" x14ac:dyDescent="0.2">
      <c r="A1902" t="s">
        <v>3131</v>
      </c>
      <c r="B1902">
        <v>20090</v>
      </c>
      <c r="C1902" t="s">
        <v>388</v>
      </c>
      <c r="D1902" t="s">
        <v>3156</v>
      </c>
      <c r="E1902" t="s">
        <v>279</v>
      </c>
      <c r="F1902" t="s">
        <v>279</v>
      </c>
      <c r="G1902" t="s">
        <v>2814</v>
      </c>
      <c r="H1902" t="s">
        <v>279</v>
      </c>
      <c r="I1902" t="s">
        <v>2666</v>
      </c>
      <c r="J1902">
        <v>1</v>
      </c>
      <c r="K1902">
        <v>2308.1</v>
      </c>
    </row>
    <row r="1903" spans="1:11" x14ac:dyDescent="0.2">
      <c r="A1903" t="s">
        <v>3131</v>
      </c>
      <c r="B1903">
        <v>20004</v>
      </c>
      <c r="C1903" t="s">
        <v>383</v>
      </c>
      <c r="D1903" t="s">
        <v>3135</v>
      </c>
      <c r="E1903" t="s">
        <v>279</v>
      </c>
      <c r="F1903" t="s">
        <v>279</v>
      </c>
      <c r="G1903" t="s">
        <v>2814</v>
      </c>
      <c r="H1903" t="s">
        <v>279</v>
      </c>
      <c r="I1903" t="s">
        <v>2666</v>
      </c>
      <c r="J1903">
        <v>1</v>
      </c>
      <c r="K1903">
        <v>920</v>
      </c>
    </row>
    <row r="1904" spans="1:11" x14ac:dyDescent="0.2">
      <c r="A1904" t="s">
        <v>3131</v>
      </c>
      <c r="B1904">
        <v>15046</v>
      </c>
      <c r="C1904" t="s">
        <v>2506</v>
      </c>
      <c r="D1904" t="s">
        <v>3155</v>
      </c>
      <c r="E1904" t="s">
        <v>279</v>
      </c>
      <c r="F1904" t="s">
        <v>279</v>
      </c>
      <c r="G1904" t="s">
        <v>2814</v>
      </c>
      <c r="H1904" t="s">
        <v>279</v>
      </c>
      <c r="I1904" t="s">
        <v>2666</v>
      </c>
      <c r="J1904">
        <v>1</v>
      </c>
      <c r="K1904">
        <v>642</v>
      </c>
    </row>
    <row r="1905" spans="1:11" x14ac:dyDescent="0.2">
      <c r="A1905" t="s">
        <v>3131</v>
      </c>
      <c r="B1905">
        <v>27005</v>
      </c>
      <c r="C1905" t="s">
        <v>1539</v>
      </c>
      <c r="D1905" t="s">
        <v>3197</v>
      </c>
      <c r="E1905" t="s">
        <v>279</v>
      </c>
      <c r="F1905" t="s">
        <v>279</v>
      </c>
      <c r="G1905" t="s">
        <v>279</v>
      </c>
      <c r="H1905" t="s">
        <v>279</v>
      </c>
      <c r="I1905" t="s">
        <v>2616</v>
      </c>
      <c r="J1905">
        <v>1</v>
      </c>
      <c r="K1905">
        <v>6926</v>
      </c>
    </row>
    <row r="1906" spans="1:11" x14ac:dyDescent="0.2">
      <c r="A1906" t="s">
        <v>3131</v>
      </c>
      <c r="B1906">
        <v>21032</v>
      </c>
      <c r="C1906" t="s">
        <v>1491</v>
      </c>
      <c r="D1906" t="s">
        <v>3172</v>
      </c>
      <c r="E1906" t="s">
        <v>279</v>
      </c>
      <c r="F1906" t="s">
        <v>279</v>
      </c>
      <c r="G1906" t="s">
        <v>2814</v>
      </c>
      <c r="H1906" t="s">
        <v>279</v>
      </c>
      <c r="I1906" t="s">
        <v>2616</v>
      </c>
      <c r="J1906">
        <v>1</v>
      </c>
      <c r="K1906">
        <v>3805</v>
      </c>
    </row>
    <row r="1907" spans="1:11" x14ac:dyDescent="0.2">
      <c r="A1907" t="s">
        <v>3131</v>
      </c>
      <c r="B1907">
        <v>25087</v>
      </c>
      <c r="C1907" t="s">
        <v>2527</v>
      </c>
      <c r="D1907" t="s">
        <v>3209</v>
      </c>
      <c r="E1907" t="s">
        <v>279</v>
      </c>
      <c r="F1907" t="s">
        <v>279</v>
      </c>
      <c r="G1907" t="s">
        <v>2733</v>
      </c>
      <c r="H1907" t="s">
        <v>279</v>
      </c>
      <c r="I1907" t="s">
        <v>2666</v>
      </c>
      <c r="J1907">
        <v>1</v>
      </c>
      <c r="K1907">
        <v>206</v>
      </c>
    </row>
    <row r="1908" spans="1:11" x14ac:dyDescent="0.2">
      <c r="A1908" t="s">
        <v>3131</v>
      </c>
      <c r="B1908">
        <v>20032</v>
      </c>
      <c r="C1908" t="s">
        <v>1465</v>
      </c>
      <c r="D1908" t="s">
        <v>3171</v>
      </c>
      <c r="E1908" t="s">
        <v>2634</v>
      </c>
      <c r="F1908" t="s">
        <v>279</v>
      </c>
      <c r="G1908" t="s">
        <v>2814</v>
      </c>
      <c r="H1908" t="s">
        <v>2634</v>
      </c>
      <c r="I1908" t="s">
        <v>2616</v>
      </c>
      <c r="J1908">
        <v>1</v>
      </c>
      <c r="K1908">
        <v>1600</v>
      </c>
    </row>
    <row r="1909" spans="1:11" x14ac:dyDescent="0.2">
      <c r="A1909" t="s">
        <v>3131</v>
      </c>
      <c r="B1909">
        <v>21014</v>
      </c>
      <c r="C1909" t="s">
        <v>394</v>
      </c>
      <c r="D1909" t="s">
        <v>3170</v>
      </c>
      <c r="E1909" t="s">
        <v>279</v>
      </c>
      <c r="F1909" t="s">
        <v>279</v>
      </c>
      <c r="G1909" t="s">
        <v>2814</v>
      </c>
      <c r="H1909" t="s">
        <v>279</v>
      </c>
      <c r="I1909" t="s">
        <v>2666</v>
      </c>
      <c r="J1909">
        <v>1</v>
      </c>
      <c r="K1909">
        <v>8369.42</v>
      </c>
    </row>
    <row r="1910" spans="1:11" x14ac:dyDescent="0.2">
      <c r="A1910" t="s">
        <v>3131</v>
      </c>
      <c r="B1910">
        <v>39004</v>
      </c>
      <c r="C1910" t="s">
        <v>536</v>
      </c>
      <c r="D1910" t="s">
        <v>3137</v>
      </c>
      <c r="E1910" t="s">
        <v>281</v>
      </c>
      <c r="F1910" t="s">
        <v>281</v>
      </c>
      <c r="G1910" t="s">
        <v>2988</v>
      </c>
      <c r="H1910" t="s">
        <v>281</v>
      </c>
      <c r="I1910" t="s">
        <v>2666</v>
      </c>
      <c r="J1910">
        <v>1</v>
      </c>
      <c r="K1910">
        <v>1247</v>
      </c>
    </row>
    <row r="1911" spans="1:11" x14ac:dyDescent="0.2">
      <c r="A1911" t="s">
        <v>3131</v>
      </c>
      <c r="B1911">
        <v>20114</v>
      </c>
      <c r="C1911" t="s">
        <v>1481</v>
      </c>
      <c r="D1911" t="s">
        <v>3178</v>
      </c>
      <c r="E1911" t="s">
        <v>279</v>
      </c>
      <c r="F1911" t="s">
        <v>279</v>
      </c>
      <c r="G1911" t="s">
        <v>2814</v>
      </c>
      <c r="H1911" t="s">
        <v>279</v>
      </c>
      <c r="I1911" t="s">
        <v>2616</v>
      </c>
      <c r="J1911">
        <v>1</v>
      </c>
      <c r="K1911">
        <v>2107</v>
      </c>
    </row>
    <row r="1912" spans="1:11" x14ac:dyDescent="0.2">
      <c r="A1912" t="s">
        <v>3131</v>
      </c>
      <c r="B1912">
        <v>22021</v>
      </c>
      <c r="C1912" t="s">
        <v>2522</v>
      </c>
      <c r="D1912" t="s">
        <v>3164</v>
      </c>
      <c r="E1912" t="s">
        <v>279</v>
      </c>
      <c r="F1912" t="s">
        <v>279</v>
      </c>
      <c r="G1912" t="s">
        <v>2814</v>
      </c>
      <c r="H1912" t="s">
        <v>279</v>
      </c>
      <c r="I1912" t="s">
        <v>2666</v>
      </c>
      <c r="J1912">
        <v>1</v>
      </c>
      <c r="K1912">
        <v>10049.299999999999</v>
      </c>
    </row>
    <row r="1913" spans="1:11" x14ac:dyDescent="0.2">
      <c r="A1913" t="s">
        <v>3131</v>
      </c>
      <c r="B1913">
        <v>22019</v>
      </c>
      <c r="C1913" t="s">
        <v>399</v>
      </c>
      <c r="D1913" t="s">
        <v>3141</v>
      </c>
      <c r="E1913" t="s">
        <v>279</v>
      </c>
      <c r="F1913" t="s">
        <v>279</v>
      </c>
      <c r="G1913" t="s">
        <v>2814</v>
      </c>
      <c r="H1913" t="s">
        <v>279</v>
      </c>
      <c r="I1913" t="s">
        <v>2666</v>
      </c>
      <c r="J1913">
        <v>1</v>
      </c>
      <c r="K1913">
        <v>292</v>
      </c>
    </row>
    <row r="1914" spans="1:11" x14ac:dyDescent="0.2">
      <c r="A1914" t="s">
        <v>3131</v>
      </c>
      <c r="B1914">
        <v>15045</v>
      </c>
      <c r="C1914" t="s">
        <v>2505</v>
      </c>
      <c r="D1914" t="s">
        <v>3134</v>
      </c>
      <c r="E1914" t="s">
        <v>279</v>
      </c>
      <c r="F1914" t="s">
        <v>279</v>
      </c>
      <c r="G1914" t="s">
        <v>2814</v>
      </c>
      <c r="H1914" t="s">
        <v>279</v>
      </c>
      <c r="I1914" t="s">
        <v>2666</v>
      </c>
      <c r="J1914">
        <v>1</v>
      </c>
      <c r="K1914">
        <v>1019</v>
      </c>
    </row>
    <row r="1915" spans="1:11" x14ac:dyDescent="0.2">
      <c r="A1915" t="s">
        <v>3131</v>
      </c>
      <c r="B1915">
        <v>27072</v>
      </c>
      <c r="C1915" t="s">
        <v>1556</v>
      </c>
      <c r="D1915" t="s">
        <v>3196</v>
      </c>
      <c r="E1915" t="s">
        <v>279</v>
      </c>
      <c r="F1915" t="s">
        <v>279</v>
      </c>
      <c r="G1915" t="s">
        <v>279</v>
      </c>
      <c r="H1915" t="s">
        <v>279</v>
      </c>
      <c r="I1915" t="s">
        <v>2616</v>
      </c>
      <c r="J1915">
        <v>1</v>
      </c>
      <c r="K1915">
        <v>10726</v>
      </c>
    </row>
    <row r="1916" spans="1:11" x14ac:dyDescent="0.2">
      <c r="A1916" t="s">
        <v>3131</v>
      </c>
      <c r="B1916">
        <v>20062</v>
      </c>
      <c r="C1916" t="s">
        <v>1473</v>
      </c>
      <c r="D1916" t="s">
        <v>3173</v>
      </c>
      <c r="E1916" t="s">
        <v>279</v>
      </c>
      <c r="F1916" t="s">
        <v>279</v>
      </c>
      <c r="G1916" t="s">
        <v>2814</v>
      </c>
      <c r="H1916" t="s">
        <v>279</v>
      </c>
      <c r="I1916" t="s">
        <v>2616</v>
      </c>
      <c r="J1916">
        <v>1</v>
      </c>
      <c r="K1916">
        <v>4800</v>
      </c>
    </row>
    <row r="1917" spans="1:11" x14ac:dyDescent="0.2">
      <c r="A1917" t="s">
        <v>3131</v>
      </c>
      <c r="B1917">
        <v>27099</v>
      </c>
      <c r="C1917" t="s">
        <v>446</v>
      </c>
      <c r="D1917" t="s">
        <v>3140</v>
      </c>
      <c r="E1917" t="s">
        <v>279</v>
      </c>
      <c r="F1917" t="s">
        <v>279</v>
      </c>
      <c r="G1917" t="s">
        <v>279</v>
      </c>
      <c r="H1917" t="s">
        <v>279</v>
      </c>
      <c r="I1917" t="s">
        <v>2666</v>
      </c>
      <c r="J1917">
        <v>1</v>
      </c>
      <c r="K1917">
        <v>246</v>
      </c>
    </row>
    <row r="1918" spans="1:11" x14ac:dyDescent="0.2">
      <c r="A1918" t="s">
        <v>3131</v>
      </c>
      <c r="B1918">
        <v>24049</v>
      </c>
      <c r="C1918" t="s">
        <v>1133</v>
      </c>
      <c r="D1918" t="s">
        <v>3214</v>
      </c>
      <c r="E1918" t="s">
        <v>2634</v>
      </c>
      <c r="F1918" t="s">
        <v>279</v>
      </c>
      <c r="G1918" t="s">
        <v>2733</v>
      </c>
      <c r="H1918" t="s">
        <v>2634</v>
      </c>
      <c r="I1918" t="s">
        <v>2666</v>
      </c>
      <c r="J1918">
        <v>1</v>
      </c>
      <c r="K1918">
        <v>42</v>
      </c>
    </row>
    <row r="1919" spans="1:11" x14ac:dyDescent="0.2">
      <c r="A1919" t="s">
        <v>3131</v>
      </c>
      <c r="B1919">
        <v>20070</v>
      </c>
      <c r="C1919" t="s">
        <v>1476</v>
      </c>
      <c r="D1919" t="s">
        <v>3163</v>
      </c>
      <c r="E1919" t="s">
        <v>279</v>
      </c>
      <c r="F1919" t="s">
        <v>279</v>
      </c>
      <c r="G1919" t="s">
        <v>2814</v>
      </c>
      <c r="H1919" t="s">
        <v>279</v>
      </c>
      <c r="I1919" t="s">
        <v>2616</v>
      </c>
      <c r="J1919">
        <v>1</v>
      </c>
      <c r="K1919">
        <v>5507.5</v>
      </c>
    </row>
    <row r="1920" spans="1:11" x14ac:dyDescent="0.2">
      <c r="A1920" t="s">
        <v>3131</v>
      </c>
      <c r="B1920">
        <v>20081</v>
      </c>
      <c r="C1920" t="s">
        <v>387</v>
      </c>
      <c r="D1920" t="s">
        <v>3167</v>
      </c>
      <c r="E1920" t="s">
        <v>279</v>
      </c>
      <c r="F1920" t="s">
        <v>279</v>
      </c>
      <c r="G1920" t="s">
        <v>2814</v>
      </c>
      <c r="H1920" t="s">
        <v>279</v>
      </c>
      <c r="I1920" t="s">
        <v>2666</v>
      </c>
      <c r="J1920">
        <v>1</v>
      </c>
      <c r="K1920">
        <v>338</v>
      </c>
    </row>
    <row r="1921" spans="1:11" x14ac:dyDescent="0.2">
      <c r="A1921" t="s">
        <v>3131</v>
      </c>
      <c r="B1921">
        <v>20124</v>
      </c>
      <c r="C1921" t="s">
        <v>2452</v>
      </c>
      <c r="D1921" t="s">
        <v>3179</v>
      </c>
      <c r="E1921" t="s">
        <v>2634</v>
      </c>
      <c r="F1921" t="s">
        <v>279</v>
      </c>
      <c r="G1921" t="s">
        <v>2814</v>
      </c>
      <c r="H1921" t="s">
        <v>2634</v>
      </c>
      <c r="I1921" t="s">
        <v>2616</v>
      </c>
      <c r="J1921">
        <v>1</v>
      </c>
      <c r="K1921">
        <v>47</v>
      </c>
    </row>
    <row r="1922" spans="1:11" x14ac:dyDescent="0.2">
      <c r="A1922" t="s">
        <v>3131</v>
      </c>
      <c r="B1922">
        <v>25041</v>
      </c>
      <c r="C1922" t="s">
        <v>426</v>
      </c>
      <c r="D1922" t="s">
        <v>3151</v>
      </c>
      <c r="E1922" t="s">
        <v>279</v>
      </c>
      <c r="F1922" t="s">
        <v>279</v>
      </c>
      <c r="G1922" t="s">
        <v>2733</v>
      </c>
      <c r="H1922" t="s">
        <v>279</v>
      </c>
      <c r="I1922" t="s">
        <v>2666</v>
      </c>
      <c r="J1922">
        <v>1</v>
      </c>
      <c r="K1922">
        <v>17</v>
      </c>
    </row>
    <row r="1923" spans="1:11" x14ac:dyDescent="0.2">
      <c r="A1923" t="s">
        <v>3131</v>
      </c>
      <c r="B1923">
        <v>52037</v>
      </c>
      <c r="C1923" t="s">
        <v>645</v>
      </c>
      <c r="D1923" t="s">
        <v>3211</v>
      </c>
      <c r="E1923" t="s">
        <v>2634</v>
      </c>
      <c r="F1923" t="s">
        <v>281</v>
      </c>
      <c r="G1923" t="s">
        <v>2682</v>
      </c>
      <c r="H1923" t="s">
        <v>2634</v>
      </c>
      <c r="I1923" t="s">
        <v>2666</v>
      </c>
      <c r="J1923">
        <v>1</v>
      </c>
      <c r="K1923">
        <v>651</v>
      </c>
    </row>
    <row r="1924" spans="1:11" x14ac:dyDescent="0.2">
      <c r="A1924" t="s">
        <v>3131</v>
      </c>
      <c r="B1924">
        <v>21022</v>
      </c>
      <c r="C1924" t="s">
        <v>395</v>
      </c>
      <c r="D1924" t="s">
        <v>3190</v>
      </c>
      <c r="E1924" t="s">
        <v>279</v>
      </c>
      <c r="F1924" t="s">
        <v>279</v>
      </c>
      <c r="G1924" t="s">
        <v>2814</v>
      </c>
      <c r="H1924" t="s">
        <v>279</v>
      </c>
      <c r="I1924" t="s">
        <v>2666</v>
      </c>
      <c r="J1924">
        <v>1</v>
      </c>
      <c r="K1924">
        <v>3257.5</v>
      </c>
    </row>
    <row r="1925" spans="1:11" x14ac:dyDescent="0.2">
      <c r="A1925" t="s">
        <v>3131</v>
      </c>
      <c r="B1925">
        <v>25071</v>
      </c>
      <c r="C1925" t="s">
        <v>2526</v>
      </c>
      <c r="D1925" t="s">
        <v>3208</v>
      </c>
      <c r="E1925" t="s">
        <v>279</v>
      </c>
      <c r="F1925" t="s">
        <v>279</v>
      </c>
      <c r="G1925" t="s">
        <v>2733</v>
      </c>
      <c r="H1925" t="s">
        <v>279</v>
      </c>
      <c r="I1925" t="s">
        <v>2666</v>
      </c>
      <c r="J1925">
        <v>1</v>
      </c>
      <c r="K1925">
        <v>94</v>
      </c>
    </row>
    <row r="1926" spans="1:11" x14ac:dyDescent="0.2">
      <c r="A1926" t="s">
        <v>3131</v>
      </c>
      <c r="B1926">
        <v>27073</v>
      </c>
      <c r="C1926" t="s">
        <v>1137</v>
      </c>
      <c r="D1926" t="s">
        <v>3202</v>
      </c>
      <c r="E1926" t="s">
        <v>279</v>
      </c>
      <c r="F1926" t="s">
        <v>279</v>
      </c>
      <c r="G1926" t="s">
        <v>279</v>
      </c>
      <c r="H1926" t="s">
        <v>279</v>
      </c>
      <c r="I1926" t="s">
        <v>2666</v>
      </c>
      <c r="J1926">
        <v>1</v>
      </c>
      <c r="K1926">
        <v>267</v>
      </c>
    </row>
    <row r="1927" spans="1:11" x14ac:dyDescent="0.2">
      <c r="A1927" t="s">
        <v>3131</v>
      </c>
      <c r="B1927">
        <v>15061</v>
      </c>
      <c r="C1927" t="s">
        <v>1445</v>
      </c>
      <c r="D1927" t="s">
        <v>3150</v>
      </c>
      <c r="E1927" t="s">
        <v>279</v>
      </c>
      <c r="F1927" t="s">
        <v>279</v>
      </c>
      <c r="G1927" t="s">
        <v>2814</v>
      </c>
      <c r="H1927" t="s">
        <v>279</v>
      </c>
      <c r="I1927" t="s">
        <v>2616</v>
      </c>
      <c r="J1927">
        <v>1</v>
      </c>
      <c r="K1927">
        <v>4939</v>
      </c>
    </row>
    <row r="1928" spans="1:11" x14ac:dyDescent="0.2">
      <c r="A1928" t="s">
        <v>3131</v>
      </c>
      <c r="B1928">
        <v>20051</v>
      </c>
      <c r="C1928" t="s">
        <v>1470</v>
      </c>
      <c r="D1928" t="s">
        <v>3186</v>
      </c>
      <c r="E1928" t="s">
        <v>279</v>
      </c>
      <c r="F1928" t="s">
        <v>279</v>
      </c>
      <c r="G1928" t="s">
        <v>2814</v>
      </c>
      <c r="H1928" t="s">
        <v>279</v>
      </c>
      <c r="I1928" t="s">
        <v>2616</v>
      </c>
      <c r="J1928">
        <v>1</v>
      </c>
      <c r="K1928">
        <v>2579.5</v>
      </c>
    </row>
    <row r="1929" spans="1:11" x14ac:dyDescent="0.2">
      <c r="A1929" t="s">
        <v>3131</v>
      </c>
      <c r="B1929">
        <v>33005</v>
      </c>
      <c r="C1929" t="s">
        <v>508</v>
      </c>
      <c r="D1929" t="s">
        <v>3158</v>
      </c>
      <c r="E1929" t="s">
        <v>281</v>
      </c>
      <c r="F1929" t="s">
        <v>281</v>
      </c>
      <c r="G1929" t="s">
        <v>3157</v>
      </c>
      <c r="H1929" t="s">
        <v>281</v>
      </c>
      <c r="I1929" t="s">
        <v>2666</v>
      </c>
      <c r="J1929">
        <v>1</v>
      </c>
      <c r="K1929">
        <v>226.33</v>
      </c>
    </row>
    <row r="1930" spans="1:11" x14ac:dyDescent="0.2">
      <c r="A1930" t="s">
        <v>3131</v>
      </c>
      <c r="B1930">
        <v>22031</v>
      </c>
      <c r="C1930" t="s">
        <v>1298</v>
      </c>
      <c r="D1930" t="s">
        <v>3207</v>
      </c>
      <c r="E1930" t="s">
        <v>279</v>
      </c>
      <c r="F1930" t="s">
        <v>279</v>
      </c>
      <c r="G1930" t="s">
        <v>2814</v>
      </c>
      <c r="H1930" t="s">
        <v>279</v>
      </c>
      <c r="I1930" t="s">
        <v>2666</v>
      </c>
      <c r="J1930">
        <v>1</v>
      </c>
      <c r="K1930">
        <v>1101</v>
      </c>
    </row>
    <row r="1931" spans="1:11" x14ac:dyDescent="0.2">
      <c r="A1931" t="s">
        <v>3131</v>
      </c>
      <c r="B1931">
        <v>27015</v>
      </c>
      <c r="C1931" t="s">
        <v>441</v>
      </c>
      <c r="D1931" t="s">
        <v>3175</v>
      </c>
      <c r="E1931" t="s">
        <v>279</v>
      </c>
      <c r="F1931" t="s">
        <v>279</v>
      </c>
      <c r="G1931" t="s">
        <v>279</v>
      </c>
      <c r="H1931" t="s">
        <v>279</v>
      </c>
      <c r="I1931" t="s">
        <v>2666</v>
      </c>
      <c r="J1931">
        <v>1</v>
      </c>
      <c r="K1931">
        <v>443</v>
      </c>
    </row>
    <row r="1932" spans="1:11" x14ac:dyDescent="0.2">
      <c r="A1932" t="s">
        <v>3131</v>
      </c>
      <c r="B1932">
        <v>15018</v>
      </c>
      <c r="C1932" t="s">
        <v>2504</v>
      </c>
      <c r="D1932" t="s">
        <v>3205</v>
      </c>
      <c r="E1932" t="s">
        <v>279</v>
      </c>
      <c r="F1932" t="s">
        <v>279</v>
      </c>
      <c r="G1932" t="s">
        <v>2814</v>
      </c>
      <c r="H1932" t="s">
        <v>279</v>
      </c>
      <c r="I1932" t="s">
        <v>2666</v>
      </c>
      <c r="J1932">
        <v>1</v>
      </c>
      <c r="K1932">
        <v>1716</v>
      </c>
    </row>
    <row r="1933" spans="1:11" x14ac:dyDescent="0.2">
      <c r="A1933" t="s">
        <v>3131</v>
      </c>
      <c r="B1933">
        <v>21024</v>
      </c>
      <c r="C1933" t="s">
        <v>1488</v>
      </c>
      <c r="D1933" t="s">
        <v>3194</v>
      </c>
      <c r="E1933" t="s">
        <v>279</v>
      </c>
      <c r="F1933" t="s">
        <v>279</v>
      </c>
      <c r="G1933" t="s">
        <v>2814</v>
      </c>
      <c r="H1933" t="s">
        <v>279</v>
      </c>
      <c r="I1933" t="s">
        <v>2616</v>
      </c>
      <c r="J1933">
        <v>1</v>
      </c>
      <c r="K1933">
        <v>56322.36</v>
      </c>
    </row>
    <row r="1934" spans="1:11" x14ac:dyDescent="0.2">
      <c r="A1934" t="s">
        <v>3131</v>
      </c>
      <c r="B1934">
        <v>15016</v>
      </c>
      <c r="C1934" t="s">
        <v>1436</v>
      </c>
      <c r="D1934" t="s">
        <v>3181</v>
      </c>
      <c r="E1934" t="s">
        <v>279</v>
      </c>
      <c r="F1934" t="s">
        <v>279</v>
      </c>
      <c r="G1934" t="s">
        <v>2814</v>
      </c>
      <c r="H1934" t="s">
        <v>279</v>
      </c>
      <c r="I1934" t="s">
        <v>2616</v>
      </c>
      <c r="J1934">
        <v>1</v>
      </c>
      <c r="K1934">
        <v>10839</v>
      </c>
    </row>
    <row r="1935" spans="1:11" x14ac:dyDescent="0.2">
      <c r="A1935" t="s">
        <v>3131</v>
      </c>
      <c r="B1935">
        <v>15040</v>
      </c>
      <c r="C1935" t="s">
        <v>1442</v>
      </c>
      <c r="D1935" t="s">
        <v>3166</v>
      </c>
      <c r="E1935" t="s">
        <v>279</v>
      </c>
      <c r="F1935" t="s">
        <v>279</v>
      </c>
      <c r="G1935" t="s">
        <v>2790</v>
      </c>
      <c r="H1935" t="s">
        <v>279</v>
      </c>
      <c r="I1935" t="s">
        <v>2616</v>
      </c>
      <c r="J1935">
        <v>1</v>
      </c>
      <c r="K1935">
        <v>1354.33</v>
      </c>
    </row>
    <row r="1936" spans="1:11" x14ac:dyDescent="0.2">
      <c r="A1936" t="s">
        <v>3131</v>
      </c>
      <c r="B1936">
        <v>27050</v>
      </c>
      <c r="C1936" t="s">
        <v>444</v>
      </c>
      <c r="D1936" t="s">
        <v>3149</v>
      </c>
      <c r="E1936" t="s">
        <v>279</v>
      </c>
      <c r="F1936" t="s">
        <v>279</v>
      </c>
      <c r="G1936" t="s">
        <v>279</v>
      </c>
      <c r="H1936" t="s">
        <v>279</v>
      </c>
      <c r="I1936" t="s">
        <v>2666</v>
      </c>
      <c r="J1936">
        <v>1</v>
      </c>
      <c r="K1936">
        <v>1394</v>
      </c>
    </row>
    <row r="1937" spans="1:11" x14ac:dyDescent="0.2">
      <c r="A1937" t="s">
        <v>3131</v>
      </c>
      <c r="B1937">
        <v>20014</v>
      </c>
      <c r="C1937" t="s">
        <v>1457</v>
      </c>
      <c r="D1937" t="s">
        <v>3165</v>
      </c>
      <c r="E1937" t="s">
        <v>279</v>
      </c>
      <c r="F1937" t="s">
        <v>279</v>
      </c>
      <c r="G1937" t="s">
        <v>2814</v>
      </c>
      <c r="H1937" t="s">
        <v>279</v>
      </c>
      <c r="I1937" t="s">
        <v>2616</v>
      </c>
      <c r="J1937">
        <v>1</v>
      </c>
      <c r="K1937">
        <v>69970.720000000001</v>
      </c>
    </row>
    <row r="1938" spans="1:11" x14ac:dyDescent="0.2">
      <c r="A1938" t="s">
        <v>3131</v>
      </c>
      <c r="B1938">
        <v>27093</v>
      </c>
      <c r="C1938" t="s">
        <v>2536</v>
      </c>
      <c r="D1938" t="s">
        <v>3138</v>
      </c>
      <c r="E1938" t="s">
        <v>2634</v>
      </c>
      <c r="F1938" t="s">
        <v>279</v>
      </c>
      <c r="G1938" t="s">
        <v>279</v>
      </c>
      <c r="H1938" t="s">
        <v>2634</v>
      </c>
      <c r="I1938" t="s">
        <v>2666</v>
      </c>
      <c r="J1938">
        <v>1</v>
      </c>
      <c r="K1938">
        <v>38</v>
      </c>
    </row>
    <row r="1939" spans="1:11" x14ac:dyDescent="0.2">
      <c r="A1939" t="s">
        <v>3131</v>
      </c>
      <c r="B1939">
        <v>22044</v>
      </c>
      <c r="C1939" t="s">
        <v>401</v>
      </c>
      <c r="D1939" t="s">
        <v>3210</v>
      </c>
      <c r="E1939" t="s">
        <v>279</v>
      </c>
      <c r="F1939" t="s">
        <v>279</v>
      </c>
      <c r="G1939" t="s">
        <v>2814</v>
      </c>
      <c r="H1939" t="s">
        <v>279</v>
      </c>
      <c r="I1939" t="s">
        <v>2666</v>
      </c>
      <c r="J1939">
        <v>1</v>
      </c>
      <c r="K1939">
        <v>3058</v>
      </c>
    </row>
    <row r="1940" spans="1:11" x14ac:dyDescent="0.2">
      <c r="A1940" t="s">
        <v>3131</v>
      </c>
      <c r="B1940">
        <v>15062</v>
      </c>
      <c r="C1940" t="s">
        <v>1291</v>
      </c>
      <c r="D1940" t="s">
        <v>3144</v>
      </c>
      <c r="E1940" t="s">
        <v>279</v>
      </c>
      <c r="F1940" t="s">
        <v>279</v>
      </c>
      <c r="G1940" t="s">
        <v>2790</v>
      </c>
      <c r="H1940" t="s">
        <v>279</v>
      </c>
      <c r="I1940" t="s">
        <v>2666</v>
      </c>
      <c r="J1940">
        <v>1</v>
      </c>
      <c r="K1940">
        <v>23</v>
      </c>
    </row>
    <row r="1941" spans="1:11" x14ac:dyDescent="0.2">
      <c r="A1941" t="s">
        <v>3131</v>
      </c>
      <c r="B1941">
        <v>21038</v>
      </c>
      <c r="C1941" t="s">
        <v>2520</v>
      </c>
      <c r="D1941" t="s">
        <v>3192</v>
      </c>
      <c r="E1941" t="s">
        <v>279</v>
      </c>
      <c r="F1941" t="s">
        <v>279</v>
      </c>
      <c r="G1941" t="s">
        <v>2814</v>
      </c>
      <c r="H1941" t="s">
        <v>279</v>
      </c>
      <c r="I1941" t="s">
        <v>2666</v>
      </c>
      <c r="J1941">
        <v>1</v>
      </c>
      <c r="K1941">
        <v>18597.830000000002</v>
      </c>
    </row>
    <row r="1942" spans="1:11" x14ac:dyDescent="0.2">
      <c r="A1942" t="s">
        <v>3131</v>
      </c>
      <c r="B1942">
        <v>24063</v>
      </c>
      <c r="C1942" t="s">
        <v>1135</v>
      </c>
      <c r="D1942" t="s">
        <v>3212</v>
      </c>
      <c r="E1942" t="s">
        <v>279</v>
      </c>
      <c r="F1942" t="s">
        <v>279</v>
      </c>
      <c r="G1942" t="s">
        <v>2733</v>
      </c>
      <c r="H1942" t="s">
        <v>279</v>
      </c>
      <c r="I1942" t="s">
        <v>2666</v>
      </c>
      <c r="J1942">
        <v>1</v>
      </c>
      <c r="K1942">
        <v>627.33000000000004</v>
      </c>
    </row>
    <row r="1943" spans="1:11" x14ac:dyDescent="0.2">
      <c r="A1943" t="s">
        <v>3131</v>
      </c>
      <c r="B1943">
        <v>20130</v>
      </c>
      <c r="C1943" t="s">
        <v>392</v>
      </c>
      <c r="D1943" t="s">
        <v>3176</v>
      </c>
      <c r="E1943" t="s">
        <v>2634</v>
      </c>
      <c r="F1943" t="s">
        <v>279</v>
      </c>
      <c r="G1943" t="s">
        <v>2814</v>
      </c>
      <c r="H1943" t="s">
        <v>2634</v>
      </c>
      <c r="I1943" t="s">
        <v>2666</v>
      </c>
      <c r="J1943">
        <v>1</v>
      </c>
      <c r="K1943">
        <v>1519</v>
      </c>
    </row>
    <row r="1944" spans="1:11" x14ac:dyDescent="0.2">
      <c r="A1944" t="s">
        <v>3131</v>
      </c>
      <c r="B1944">
        <v>27066</v>
      </c>
      <c r="C1944" t="s">
        <v>1553</v>
      </c>
      <c r="D1944" t="s">
        <v>3189</v>
      </c>
      <c r="E1944" t="s">
        <v>279</v>
      </c>
      <c r="F1944" t="s">
        <v>279</v>
      </c>
      <c r="G1944" t="s">
        <v>279</v>
      </c>
      <c r="H1944" t="s">
        <v>279</v>
      </c>
      <c r="I1944" t="s">
        <v>2616</v>
      </c>
      <c r="J1944">
        <v>1</v>
      </c>
      <c r="K1944">
        <v>9962</v>
      </c>
    </row>
    <row r="1945" spans="1:11" x14ac:dyDescent="0.2">
      <c r="A1945" t="s">
        <v>3131</v>
      </c>
      <c r="B1945">
        <v>52005</v>
      </c>
      <c r="C1945" t="s">
        <v>637</v>
      </c>
      <c r="D1945" t="s">
        <v>3130</v>
      </c>
      <c r="E1945" t="s">
        <v>281</v>
      </c>
      <c r="F1945" t="s">
        <v>281</v>
      </c>
      <c r="G1945" t="s">
        <v>2682</v>
      </c>
      <c r="H1945" t="s">
        <v>281</v>
      </c>
      <c r="I1945" t="s">
        <v>2666</v>
      </c>
      <c r="J1945">
        <v>1</v>
      </c>
      <c r="K1945">
        <v>537</v>
      </c>
    </row>
    <row r="1946" spans="1:11" x14ac:dyDescent="0.2">
      <c r="A1946" t="s">
        <v>3131</v>
      </c>
      <c r="B1946">
        <v>24030</v>
      </c>
      <c r="C1946" t="s">
        <v>413</v>
      </c>
      <c r="D1946" t="s">
        <v>3142</v>
      </c>
      <c r="E1946" t="s">
        <v>279</v>
      </c>
      <c r="F1946" t="s">
        <v>279</v>
      </c>
      <c r="G1946" t="s">
        <v>2733</v>
      </c>
      <c r="H1946" t="s">
        <v>279</v>
      </c>
      <c r="I1946" t="s">
        <v>2666</v>
      </c>
      <c r="J1946">
        <v>1</v>
      </c>
      <c r="K1946">
        <v>112</v>
      </c>
    </row>
    <row r="1947" spans="1:11" x14ac:dyDescent="0.2">
      <c r="A1947" t="s">
        <v>3131</v>
      </c>
      <c r="B1947">
        <v>24032</v>
      </c>
      <c r="C1947" t="s">
        <v>415</v>
      </c>
      <c r="D1947" t="s">
        <v>3183</v>
      </c>
      <c r="E1947" t="s">
        <v>279</v>
      </c>
      <c r="F1947" t="s">
        <v>279</v>
      </c>
      <c r="G1947" t="s">
        <v>2733</v>
      </c>
      <c r="H1947" t="s">
        <v>279</v>
      </c>
      <c r="I1947" t="s">
        <v>2666</v>
      </c>
      <c r="J1947">
        <v>1</v>
      </c>
      <c r="K1947">
        <v>298</v>
      </c>
    </row>
    <row r="1948" spans="1:11" x14ac:dyDescent="0.2">
      <c r="A1948" t="s">
        <v>3131</v>
      </c>
      <c r="B1948">
        <v>27142</v>
      </c>
      <c r="C1948" t="s">
        <v>2541</v>
      </c>
      <c r="D1948" t="s">
        <v>3201</v>
      </c>
      <c r="E1948" t="s">
        <v>2634</v>
      </c>
      <c r="F1948" t="s">
        <v>279</v>
      </c>
      <c r="G1948" t="s">
        <v>279</v>
      </c>
      <c r="H1948" t="s">
        <v>2634</v>
      </c>
      <c r="I1948" t="s">
        <v>2666</v>
      </c>
      <c r="J1948">
        <v>1</v>
      </c>
      <c r="K1948">
        <v>324</v>
      </c>
    </row>
    <row r="1949" spans="1:11" x14ac:dyDescent="0.2">
      <c r="A1949" t="s">
        <v>3131</v>
      </c>
      <c r="B1949">
        <v>20068</v>
      </c>
      <c r="C1949" t="s">
        <v>1474</v>
      </c>
      <c r="D1949" t="s">
        <v>3169</v>
      </c>
      <c r="E1949" t="s">
        <v>279</v>
      </c>
      <c r="F1949" t="s">
        <v>279</v>
      </c>
      <c r="G1949" t="s">
        <v>2814</v>
      </c>
      <c r="H1949" t="s">
        <v>279</v>
      </c>
      <c r="I1949" t="s">
        <v>2616</v>
      </c>
      <c r="J1949">
        <v>1</v>
      </c>
      <c r="K1949">
        <v>438</v>
      </c>
    </row>
    <row r="1950" spans="1:11" x14ac:dyDescent="0.2">
      <c r="A1950" t="s">
        <v>3131</v>
      </c>
      <c r="B1950">
        <v>27100</v>
      </c>
      <c r="C1950" t="s">
        <v>447</v>
      </c>
      <c r="D1950" t="s">
        <v>3193</v>
      </c>
      <c r="E1950" t="s">
        <v>2634</v>
      </c>
      <c r="F1950" t="s">
        <v>279</v>
      </c>
      <c r="G1950" t="s">
        <v>279</v>
      </c>
      <c r="H1950" t="s">
        <v>2634</v>
      </c>
      <c r="I1950" t="s">
        <v>2666</v>
      </c>
      <c r="J1950">
        <v>1</v>
      </c>
      <c r="K1950">
        <v>34</v>
      </c>
    </row>
    <row r="1951" spans="1:11" x14ac:dyDescent="0.2">
      <c r="A1951" t="s">
        <v>3131</v>
      </c>
      <c r="B1951">
        <v>20102</v>
      </c>
      <c r="C1951" t="s">
        <v>3161</v>
      </c>
      <c r="D1951" t="s">
        <v>3160</v>
      </c>
      <c r="E1951" t="s">
        <v>279</v>
      </c>
      <c r="F1951" t="s">
        <v>279</v>
      </c>
      <c r="G1951" t="s">
        <v>2814</v>
      </c>
      <c r="H1951" t="s">
        <v>279</v>
      </c>
      <c r="I1951" t="s">
        <v>2666</v>
      </c>
      <c r="J1951">
        <v>1</v>
      </c>
      <c r="K1951">
        <v>3824.25</v>
      </c>
    </row>
    <row r="1952" spans="1:11" x14ac:dyDescent="0.2">
      <c r="A1952" t="s">
        <v>3131</v>
      </c>
      <c r="B1952">
        <v>25040</v>
      </c>
      <c r="C1952" t="s">
        <v>425</v>
      </c>
      <c r="D1952" t="s">
        <v>3133</v>
      </c>
      <c r="E1952" t="s">
        <v>279</v>
      </c>
      <c r="F1952" t="s">
        <v>279</v>
      </c>
      <c r="G1952" t="s">
        <v>2733</v>
      </c>
      <c r="H1952" t="s">
        <v>279</v>
      </c>
      <c r="I1952" t="s">
        <v>2666</v>
      </c>
      <c r="J1952">
        <v>1</v>
      </c>
      <c r="K1952">
        <v>2624.15</v>
      </c>
    </row>
    <row r="1953" spans="1:11" x14ac:dyDescent="0.2">
      <c r="A1953" t="s">
        <v>3131</v>
      </c>
      <c r="B1953">
        <v>20029</v>
      </c>
      <c r="C1953" t="s">
        <v>1462</v>
      </c>
      <c r="D1953" t="s">
        <v>3206</v>
      </c>
      <c r="E1953" t="s">
        <v>279</v>
      </c>
      <c r="F1953" t="s">
        <v>279</v>
      </c>
      <c r="G1953" t="s">
        <v>2814</v>
      </c>
      <c r="H1953" t="s">
        <v>279</v>
      </c>
      <c r="I1953" t="s">
        <v>2616</v>
      </c>
      <c r="J1953">
        <v>1</v>
      </c>
      <c r="K1953">
        <v>1529</v>
      </c>
    </row>
    <row r="1954" spans="1:11" x14ac:dyDescent="0.2">
      <c r="A1954" t="s">
        <v>3131</v>
      </c>
      <c r="B1954">
        <v>25046</v>
      </c>
      <c r="C1954" t="s">
        <v>2525</v>
      </c>
      <c r="D1954" t="s">
        <v>3180</v>
      </c>
      <c r="E1954" t="s">
        <v>279</v>
      </c>
      <c r="F1954" t="s">
        <v>279</v>
      </c>
      <c r="G1954" t="s">
        <v>2733</v>
      </c>
      <c r="H1954" t="s">
        <v>279</v>
      </c>
      <c r="I1954" t="s">
        <v>2666</v>
      </c>
      <c r="J1954">
        <v>1</v>
      </c>
      <c r="K1954">
        <v>10586.05</v>
      </c>
    </row>
    <row r="1955" spans="1:11" x14ac:dyDescent="0.2">
      <c r="A1955" t="s">
        <v>3131</v>
      </c>
      <c r="B1955">
        <v>25051</v>
      </c>
      <c r="C1955" t="s">
        <v>429</v>
      </c>
      <c r="D1955" t="s">
        <v>3199</v>
      </c>
      <c r="E1955" t="s">
        <v>279</v>
      </c>
      <c r="F1955" t="s">
        <v>279</v>
      </c>
      <c r="G1955" t="s">
        <v>2733</v>
      </c>
      <c r="H1955" t="s">
        <v>279</v>
      </c>
      <c r="I1955" t="s">
        <v>2666</v>
      </c>
      <c r="J1955">
        <v>1</v>
      </c>
      <c r="K1955">
        <v>352</v>
      </c>
    </row>
    <row r="1956" spans="1:11" x14ac:dyDescent="0.2">
      <c r="A1956" t="s">
        <v>3131</v>
      </c>
      <c r="B1956">
        <v>20022</v>
      </c>
      <c r="C1956" t="s">
        <v>1459</v>
      </c>
      <c r="D1956" t="s">
        <v>3136</v>
      </c>
      <c r="E1956" t="s">
        <v>279</v>
      </c>
      <c r="F1956" t="s">
        <v>279</v>
      </c>
      <c r="G1956" t="s">
        <v>2814</v>
      </c>
      <c r="H1956" t="s">
        <v>279</v>
      </c>
      <c r="I1956" t="s">
        <v>2616</v>
      </c>
      <c r="J1956">
        <v>1</v>
      </c>
      <c r="K1956">
        <v>49605.9</v>
      </c>
    </row>
    <row r="1957" spans="1:11" x14ac:dyDescent="0.2">
      <c r="A1957" t="s">
        <v>3131</v>
      </c>
      <c r="B1957">
        <v>22013</v>
      </c>
      <c r="C1957" t="s">
        <v>1296</v>
      </c>
      <c r="D1957" t="s">
        <v>3152</v>
      </c>
      <c r="E1957" t="s">
        <v>279</v>
      </c>
      <c r="F1957" t="s">
        <v>279</v>
      </c>
      <c r="G1957" t="s">
        <v>2814</v>
      </c>
      <c r="H1957" t="s">
        <v>279</v>
      </c>
      <c r="I1957" t="s">
        <v>2666</v>
      </c>
      <c r="J1957">
        <v>1</v>
      </c>
      <c r="K1957">
        <v>578</v>
      </c>
    </row>
    <row r="1958" spans="1:11" x14ac:dyDescent="0.2">
      <c r="A1958" t="s">
        <v>3131</v>
      </c>
      <c r="B1958">
        <v>22001</v>
      </c>
      <c r="C1958" t="s">
        <v>398</v>
      </c>
      <c r="D1958" t="s">
        <v>3184</v>
      </c>
      <c r="E1958" t="s">
        <v>279</v>
      </c>
      <c r="F1958" t="s">
        <v>279</v>
      </c>
      <c r="G1958" t="s">
        <v>2814</v>
      </c>
      <c r="H1958" t="s">
        <v>279</v>
      </c>
      <c r="I1958" t="s">
        <v>2666</v>
      </c>
      <c r="J1958">
        <v>1</v>
      </c>
      <c r="K1958">
        <v>752</v>
      </c>
    </row>
    <row r="1959" spans="1:11" x14ac:dyDescent="0.2">
      <c r="A1959" t="s">
        <v>3131</v>
      </c>
      <c r="B1959">
        <v>20042</v>
      </c>
      <c r="C1959" t="s">
        <v>1469</v>
      </c>
      <c r="D1959" t="s">
        <v>3143</v>
      </c>
      <c r="E1959" t="s">
        <v>279</v>
      </c>
      <c r="F1959" t="s">
        <v>279</v>
      </c>
      <c r="G1959" t="s">
        <v>2814</v>
      </c>
      <c r="H1959" t="s">
        <v>279</v>
      </c>
      <c r="I1959" t="s">
        <v>2616</v>
      </c>
      <c r="J1959">
        <v>1</v>
      </c>
      <c r="K1959">
        <v>37585</v>
      </c>
    </row>
    <row r="1960" spans="1:11" x14ac:dyDescent="0.2">
      <c r="A1960" t="s">
        <v>3131</v>
      </c>
      <c r="B1960">
        <v>22036</v>
      </c>
      <c r="C1960" t="s">
        <v>1299</v>
      </c>
      <c r="D1960" t="s">
        <v>3195</v>
      </c>
      <c r="E1960" t="s">
        <v>279</v>
      </c>
      <c r="F1960" t="s">
        <v>279</v>
      </c>
      <c r="G1960" t="s">
        <v>2814</v>
      </c>
      <c r="H1960" t="s">
        <v>279</v>
      </c>
      <c r="I1960" t="s">
        <v>2666</v>
      </c>
      <c r="J1960">
        <v>1</v>
      </c>
      <c r="K1960">
        <v>40</v>
      </c>
    </row>
    <row r="1961" spans="1:11" x14ac:dyDescent="0.2">
      <c r="A1961" t="s">
        <v>3131</v>
      </c>
      <c r="B1961">
        <v>25015</v>
      </c>
      <c r="C1961" t="s">
        <v>1526</v>
      </c>
      <c r="D1961" t="s">
        <v>3162</v>
      </c>
      <c r="E1961" t="s">
        <v>279</v>
      </c>
      <c r="F1961" t="s">
        <v>279</v>
      </c>
      <c r="G1961" t="s">
        <v>2733</v>
      </c>
      <c r="H1961" t="s">
        <v>279</v>
      </c>
      <c r="I1961" t="s">
        <v>2616</v>
      </c>
      <c r="J1961">
        <v>1</v>
      </c>
      <c r="K1961">
        <v>22880.94</v>
      </c>
    </row>
    <row r="1962" spans="1:11" x14ac:dyDescent="0.2">
      <c r="A1962" t="s">
        <v>3131</v>
      </c>
      <c r="B1962">
        <v>27043</v>
      </c>
      <c r="C1962" t="s">
        <v>1549</v>
      </c>
      <c r="D1962" t="s">
        <v>3159</v>
      </c>
      <c r="E1962" t="s">
        <v>279</v>
      </c>
      <c r="F1962" t="s">
        <v>279</v>
      </c>
      <c r="G1962" t="s">
        <v>279</v>
      </c>
      <c r="H1962" t="s">
        <v>279</v>
      </c>
      <c r="I1962" t="s">
        <v>2616</v>
      </c>
      <c r="J1962">
        <v>1</v>
      </c>
      <c r="K1962">
        <v>10981</v>
      </c>
    </row>
    <row r="1963" spans="1:11" x14ac:dyDescent="0.2">
      <c r="A1963" t="s">
        <v>3131</v>
      </c>
      <c r="B1963">
        <v>25086</v>
      </c>
      <c r="C1963" t="s">
        <v>438</v>
      </c>
      <c r="D1963" t="s">
        <v>3132</v>
      </c>
      <c r="E1963" t="s">
        <v>279</v>
      </c>
      <c r="F1963" t="s">
        <v>279</v>
      </c>
      <c r="G1963" t="s">
        <v>2733</v>
      </c>
      <c r="H1963" t="s">
        <v>279</v>
      </c>
      <c r="I1963" t="s">
        <v>2666</v>
      </c>
      <c r="J1963">
        <v>1</v>
      </c>
      <c r="K1963">
        <v>46</v>
      </c>
    </row>
    <row r="1964" spans="1:11" x14ac:dyDescent="0.2">
      <c r="A1964" t="s">
        <v>3131</v>
      </c>
      <c r="B1964">
        <v>15030</v>
      </c>
      <c r="C1964" t="s">
        <v>1438</v>
      </c>
      <c r="D1964" t="s">
        <v>3148</v>
      </c>
      <c r="E1964" t="s">
        <v>279</v>
      </c>
      <c r="F1964" t="s">
        <v>279</v>
      </c>
      <c r="G1964" t="s">
        <v>2814</v>
      </c>
      <c r="H1964" t="s">
        <v>279</v>
      </c>
      <c r="I1964" t="s">
        <v>2616</v>
      </c>
      <c r="J1964">
        <v>1</v>
      </c>
      <c r="K1964">
        <v>28887.4</v>
      </c>
    </row>
    <row r="1965" spans="1:11" x14ac:dyDescent="0.2">
      <c r="A1965" t="s">
        <v>3131</v>
      </c>
      <c r="B1965">
        <v>15034</v>
      </c>
      <c r="C1965" t="s">
        <v>1440</v>
      </c>
      <c r="D1965" t="s">
        <v>3168</v>
      </c>
      <c r="E1965" t="s">
        <v>279</v>
      </c>
      <c r="F1965" t="s">
        <v>279</v>
      </c>
      <c r="G1965" t="s">
        <v>2814</v>
      </c>
      <c r="H1965" t="s">
        <v>279</v>
      </c>
      <c r="I1965" t="s">
        <v>2616</v>
      </c>
      <c r="J1965">
        <v>1</v>
      </c>
      <c r="K1965">
        <v>18015.150000000001</v>
      </c>
    </row>
    <row r="1966" spans="1:11" x14ac:dyDescent="0.2">
      <c r="A1966" t="s">
        <v>2993</v>
      </c>
      <c r="B1966">
        <v>69003</v>
      </c>
      <c r="C1966" t="s">
        <v>1319</v>
      </c>
      <c r="D1966" t="s">
        <v>3028</v>
      </c>
      <c r="E1966" t="s">
        <v>281</v>
      </c>
      <c r="F1966" t="s">
        <v>281</v>
      </c>
      <c r="G1966" t="s">
        <v>3027</v>
      </c>
      <c r="H1966" t="s">
        <v>281</v>
      </c>
      <c r="I1966" t="s">
        <v>2666</v>
      </c>
      <c r="J1966">
        <v>1</v>
      </c>
      <c r="K1966">
        <v>217.33</v>
      </c>
    </row>
    <row r="1967" spans="1:11" x14ac:dyDescent="0.2">
      <c r="A1967" t="s">
        <v>2993</v>
      </c>
      <c r="B1967">
        <v>41023</v>
      </c>
      <c r="C1967" t="s">
        <v>559</v>
      </c>
      <c r="D1967" t="s">
        <v>3019</v>
      </c>
      <c r="E1967" t="s">
        <v>281</v>
      </c>
      <c r="F1967" t="s">
        <v>281</v>
      </c>
      <c r="G1967" t="s">
        <v>2704</v>
      </c>
      <c r="H1967" t="s">
        <v>281</v>
      </c>
      <c r="I1967" t="s">
        <v>2666</v>
      </c>
      <c r="J1967">
        <v>1</v>
      </c>
      <c r="K1967">
        <v>611</v>
      </c>
    </row>
    <row r="1968" spans="1:11" x14ac:dyDescent="0.2">
      <c r="A1968" t="s">
        <v>2993</v>
      </c>
      <c r="B1968">
        <v>52009</v>
      </c>
      <c r="C1968" t="s">
        <v>638</v>
      </c>
      <c r="D1968" t="s">
        <v>3022</v>
      </c>
      <c r="E1968" t="s">
        <v>2634</v>
      </c>
      <c r="F1968" t="s">
        <v>281</v>
      </c>
      <c r="G1968" t="s">
        <v>2682</v>
      </c>
      <c r="H1968" t="s">
        <v>2634</v>
      </c>
      <c r="I1968" t="s">
        <v>2666</v>
      </c>
      <c r="J1968">
        <v>1</v>
      </c>
      <c r="K1968">
        <v>106</v>
      </c>
    </row>
    <row r="1969" spans="1:11" x14ac:dyDescent="0.2">
      <c r="A1969" t="s">
        <v>2993</v>
      </c>
      <c r="B1969">
        <v>67002</v>
      </c>
      <c r="C1969" t="s">
        <v>674</v>
      </c>
      <c r="D1969" t="s">
        <v>3032</v>
      </c>
      <c r="E1969" t="s">
        <v>281</v>
      </c>
      <c r="F1969" t="s">
        <v>281</v>
      </c>
      <c r="G1969" t="s">
        <v>2622</v>
      </c>
      <c r="H1969" t="s">
        <v>281</v>
      </c>
      <c r="I1969" t="s">
        <v>2666</v>
      </c>
      <c r="J1969">
        <v>1</v>
      </c>
      <c r="K1969">
        <v>275</v>
      </c>
    </row>
    <row r="1970" spans="1:11" x14ac:dyDescent="0.2">
      <c r="A1970" t="s">
        <v>2993</v>
      </c>
      <c r="B1970">
        <v>40021</v>
      </c>
      <c r="C1970" t="s">
        <v>2465</v>
      </c>
      <c r="D1970" t="s">
        <v>3029</v>
      </c>
      <c r="E1970" t="s">
        <v>281</v>
      </c>
      <c r="F1970" t="s">
        <v>281</v>
      </c>
      <c r="G1970" t="s">
        <v>2704</v>
      </c>
      <c r="H1970" t="s">
        <v>281</v>
      </c>
      <c r="I1970" t="s">
        <v>2666</v>
      </c>
      <c r="J1970">
        <v>1</v>
      </c>
      <c r="K1970">
        <v>735</v>
      </c>
    </row>
    <row r="1971" spans="1:11" x14ac:dyDescent="0.2">
      <c r="A1971" t="s">
        <v>2993</v>
      </c>
      <c r="B1971">
        <v>57011</v>
      </c>
      <c r="C1971" t="s">
        <v>661</v>
      </c>
      <c r="D1971" t="s">
        <v>3051</v>
      </c>
      <c r="E1971" t="s">
        <v>281</v>
      </c>
      <c r="F1971" t="s">
        <v>281</v>
      </c>
      <c r="G1971" t="s">
        <v>2889</v>
      </c>
      <c r="H1971" t="s">
        <v>281</v>
      </c>
      <c r="I1971" t="s">
        <v>2666</v>
      </c>
      <c r="J1971">
        <v>1</v>
      </c>
      <c r="K1971">
        <v>60</v>
      </c>
    </row>
    <row r="1972" spans="1:11" x14ac:dyDescent="0.2">
      <c r="A1972" t="s">
        <v>2993</v>
      </c>
      <c r="B1972">
        <v>52030</v>
      </c>
      <c r="C1972" t="s">
        <v>1157</v>
      </c>
      <c r="D1972" t="s">
        <v>3073</v>
      </c>
      <c r="E1972" t="s">
        <v>281</v>
      </c>
      <c r="F1972" t="s">
        <v>281</v>
      </c>
      <c r="G1972" t="s">
        <v>2682</v>
      </c>
      <c r="H1972" t="s">
        <v>281</v>
      </c>
      <c r="I1972" t="s">
        <v>2666</v>
      </c>
      <c r="J1972">
        <v>1</v>
      </c>
      <c r="K1972">
        <v>327</v>
      </c>
    </row>
    <row r="1973" spans="1:11" x14ac:dyDescent="0.2">
      <c r="A1973" t="s">
        <v>2993</v>
      </c>
      <c r="B1973">
        <v>57009</v>
      </c>
      <c r="C1973" t="s">
        <v>660</v>
      </c>
      <c r="D1973" t="s">
        <v>3015</v>
      </c>
      <c r="E1973" t="s">
        <v>281</v>
      </c>
      <c r="F1973" t="s">
        <v>281</v>
      </c>
      <c r="G1973" t="s">
        <v>2889</v>
      </c>
      <c r="H1973" t="s">
        <v>281</v>
      </c>
      <c r="I1973" t="s">
        <v>2666</v>
      </c>
      <c r="J1973">
        <v>1</v>
      </c>
      <c r="K1973">
        <v>1602.93</v>
      </c>
    </row>
    <row r="1974" spans="1:11" x14ac:dyDescent="0.2">
      <c r="A1974" t="s">
        <v>2993</v>
      </c>
      <c r="B1974">
        <v>73001</v>
      </c>
      <c r="C1974" t="s">
        <v>2564</v>
      </c>
      <c r="D1974" t="s">
        <v>3059</v>
      </c>
      <c r="E1974" t="s">
        <v>281</v>
      </c>
      <c r="F1974" t="s">
        <v>281</v>
      </c>
      <c r="G1974" t="s">
        <v>2660</v>
      </c>
      <c r="H1974" t="s">
        <v>281</v>
      </c>
      <c r="I1974" t="s">
        <v>2666</v>
      </c>
      <c r="J1974">
        <v>1</v>
      </c>
      <c r="K1974">
        <v>1398.33</v>
      </c>
    </row>
    <row r="1975" spans="1:11" x14ac:dyDescent="0.2">
      <c r="A1975" t="s">
        <v>2993</v>
      </c>
      <c r="B1975">
        <v>69005</v>
      </c>
      <c r="C1975" t="s">
        <v>1171</v>
      </c>
      <c r="D1975" t="s">
        <v>3088</v>
      </c>
      <c r="E1975" t="s">
        <v>281</v>
      </c>
      <c r="F1975" t="s">
        <v>281</v>
      </c>
      <c r="G1975" t="s">
        <v>3027</v>
      </c>
      <c r="H1975" t="s">
        <v>281</v>
      </c>
      <c r="I1975" t="s">
        <v>2666</v>
      </c>
      <c r="J1975">
        <v>1</v>
      </c>
      <c r="K1975">
        <v>82</v>
      </c>
    </row>
    <row r="1976" spans="1:11" x14ac:dyDescent="0.2">
      <c r="A1976" t="s">
        <v>2993</v>
      </c>
      <c r="B1976">
        <v>85001</v>
      </c>
      <c r="C1976" t="s">
        <v>734</v>
      </c>
      <c r="D1976" t="s">
        <v>3107</v>
      </c>
      <c r="E1976" t="s">
        <v>281</v>
      </c>
      <c r="F1976" t="s">
        <v>281</v>
      </c>
      <c r="G1976" t="s">
        <v>2874</v>
      </c>
      <c r="H1976" t="s">
        <v>281</v>
      </c>
      <c r="I1976" t="s">
        <v>2666</v>
      </c>
      <c r="J1976">
        <v>1</v>
      </c>
      <c r="K1976">
        <v>395</v>
      </c>
    </row>
    <row r="1977" spans="1:11" x14ac:dyDescent="0.2">
      <c r="A1977" t="s">
        <v>2993</v>
      </c>
      <c r="B1977">
        <v>54005</v>
      </c>
      <c r="C1977" t="s">
        <v>1159</v>
      </c>
      <c r="D1977" t="s">
        <v>3014</v>
      </c>
      <c r="E1977" t="s">
        <v>281</v>
      </c>
      <c r="F1977" t="s">
        <v>281</v>
      </c>
      <c r="G1977" t="s">
        <v>2729</v>
      </c>
      <c r="H1977" t="s">
        <v>281</v>
      </c>
      <c r="I1977" t="s">
        <v>2666</v>
      </c>
      <c r="J1977">
        <v>1</v>
      </c>
      <c r="K1977">
        <v>43</v>
      </c>
    </row>
    <row r="1978" spans="1:11" x14ac:dyDescent="0.2">
      <c r="A1978" t="s">
        <v>2993</v>
      </c>
      <c r="B1978">
        <v>70005</v>
      </c>
      <c r="C1978" t="s">
        <v>2468</v>
      </c>
      <c r="D1978" t="s">
        <v>3050</v>
      </c>
      <c r="E1978" t="s">
        <v>281</v>
      </c>
      <c r="F1978" t="s">
        <v>281</v>
      </c>
      <c r="G1978" t="s">
        <v>2647</v>
      </c>
      <c r="H1978" t="s">
        <v>281</v>
      </c>
      <c r="I1978" t="s">
        <v>2666</v>
      </c>
      <c r="J1978">
        <v>1</v>
      </c>
      <c r="K1978">
        <v>760</v>
      </c>
    </row>
    <row r="1979" spans="1:11" x14ac:dyDescent="0.2">
      <c r="A1979" t="s">
        <v>2993</v>
      </c>
      <c r="B1979">
        <v>54012</v>
      </c>
      <c r="C1979" t="s">
        <v>1160</v>
      </c>
      <c r="D1979" t="s">
        <v>3083</v>
      </c>
      <c r="E1979" t="s">
        <v>281</v>
      </c>
      <c r="F1979" t="s">
        <v>281</v>
      </c>
      <c r="G1979" t="s">
        <v>2729</v>
      </c>
      <c r="H1979" t="s">
        <v>281</v>
      </c>
      <c r="I1979" t="s">
        <v>2666</v>
      </c>
      <c r="J1979">
        <v>1</v>
      </c>
      <c r="K1979">
        <v>42</v>
      </c>
    </row>
    <row r="1980" spans="1:11" x14ac:dyDescent="0.2">
      <c r="A1980" t="s">
        <v>2993</v>
      </c>
      <c r="B1980">
        <v>50015</v>
      </c>
      <c r="C1980" t="s">
        <v>633</v>
      </c>
      <c r="D1980" t="s">
        <v>3069</v>
      </c>
      <c r="E1980" t="s">
        <v>281</v>
      </c>
      <c r="F1980" t="s">
        <v>281</v>
      </c>
      <c r="G1980" t="s">
        <v>2667</v>
      </c>
      <c r="H1980" t="s">
        <v>281</v>
      </c>
      <c r="I1980" t="s">
        <v>2666</v>
      </c>
      <c r="J1980">
        <v>1</v>
      </c>
      <c r="K1980">
        <v>218</v>
      </c>
    </row>
    <row r="1981" spans="1:11" x14ac:dyDescent="0.2">
      <c r="A1981" t="s">
        <v>2993</v>
      </c>
      <c r="B1981">
        <v>51005</v>
      </c>
      <c r="C1981" t="s">
        <v>635</v>
      </c>
      <c r="D1981" t="s">
        <v>3005</v>
      </c>
      <c r="E1981" t="s">
        <v>281</v>
      </c>
      <c r="F1981" t="s">
        <v>281</v>
      </c>
      <c r="G1981" t="s">
        <v>2667</v>
      </c>
      <c r="H1981" t="s">
        <v>281</v>
      </c>
      <c r="I1981" t="s">
        <v>2666</v>
      </c>
      <c r="J1981">
        <v>1</v>
      </c>
      <c r="K1981">
        <v>116</v>
      </c>
    </row>
    <row r="1982" spans="1:11" x14ac:dyDescent="0.2">
      <c r="A1982" t="s">
        <v>2993</v>
      </c>
      <c r="B1982">
        <v>68011</v>
      </c>
      <c r="C1982" t="s">
        <v>676</v>
      </c>
      <c r="D1982" t="s">
        <v>3087</v>
      </c>
      <c r="E1982" t="s">
        <v>2634</v>
      </c>
      <c r="F1982" t="s">
        <v>281</v>
      </c>
      <c r="G1982" t="s">
        <v>2651</v>
      </c>
      <c r="H1982" t="s">
        <v>2634</v>
      </c>
      <c r="I1982" t="s">
        <v>2666</v>
      </c>
      <c r="J1982">
        <v>1</v>
      </c>
      <c r="K1982">
        <v>253</v>
      </c>
    </row>
    <row r="1983" spans="1:11" x14ac:dyDescent="0.2">
      <c r="A1983" t="s">
        <v>2993</v>
      </c>
      <c r="B1983">
        <v>150014</v>
      </c>
      <c r="C1983" t="s">
        <v>765</v>
      </c>
      <c r="D1983" t="s">
        <v>3109</v>
      </c>
      <c r="E1983" t="s">
        <v>189</v>
      </c>
      <c r="F1983" t="s">
        <v>189</v>
      </c>
      <c r="G1983" t="s">
        <v>3108</v>
      </c>
      <c r="H1983" t="s">
        <v>189</v>
      </c>
      <c r="I1983" t="s">
        <v>2666</v>
      </c>
      <c r="J1983">
        <v>1</v>
      </c>
      <c r="K1983">
        <v>179.17</v>
      </c>
    </row>
    <row r="1984" spans="1:11" x14ac:dyDescent="0.2">
      <c r="A1984" t="s">
        <v>2993</v>
      </c>
      <c r="B1984">
        <v>81004</v>
      </c>
      <c r="C1984" t="s">
        <v>2566</v>
      </c>
      <c r="D1984" t="s">
        <v>3086</v>
      </c>
      <c r="E1984" t="s">
        <v>281</v>
      </c>
      <c r="F1984" t="s">
        <v>281</v>
      </c>
      <c r="G1984" t="s">
        <v>2821</v>
      </c>
      <c r="H1984" t="s">
        <v>281</v>
      </c>
      <c r="I1984" t="s">
        <v>2666</v>
      </c>
      <c r="J1984">
        <v>1</v>
      </c>
      <c r="K1984">
        <v>425.58</v>
      </c>
    </row>
    <row r="1985" spans="1:11" x14ac:dyDescent="0.2">
      <c r="A1985" t="s">
        <v>2993</v>
      </c>
      <c r="B1985">
        <v>81019</v>
      </c>
      <c r="C1985" t="s">
        <v>1184</v>
      </c>
      <c r="D1985" t="s">
        <v>3112</v>
      </c>
      <c r="E1985" t="s">
        <v>281</v>
      </c>
      <c r="F1985" t="s">
        <v>281</v>
      </c>
      <c r="G1985" t="s">
        <v>2821</v>
      </c>
      <c r="H1985" t="s">
        <v>281</v>
      </c>
      <c r="I1985" t="s">
        <v>2666</v>
      </c>
      <c r="J1985">
        <v>1</v>
      </c>
      <c r="K1985">
        <v>426.4</v>
      </c>
    </row>
    <row r="1986" spans="1:11" x14ac:dyDescent="0.2">
      <c r="A1986" t="s">
        <v>2993</v>
      </c>
      <c r="B1986">
        <v>40038</v>
      </c>
      <c r="C1986" t="s">
        <v>548</v>
      </c>
      <c r="D1986" t="s">
        <v>3031</v>
      </c>
      <c r="E1986" t="s">
        <v>281</v>
      </c>
      <c r="F1986" t="s">
        <v>281</v>
      </c>
      <c r="G1986" t="s">
        <v>2704</v>
      </c>
      <c r="H1986" t="s">
        <v>281</v>
      </c>
      <c r="I1986" t="s">
        <v>2666</v>
      </c>
      <c r="J1986">
        <v>1</v>
      </c>
      <c r="K1986">
        <v>197</v>
      </c>
    </row>
    <row r="1987" spans="1:11" x14ac:dyDescent="0.2">
      <c r="A1987" t="s">
        <v>2993</v>
      </c>
      <c r="B1987">
        <v>60002</v>
      </c>
      <c r="C1987" t="s">
        <v>666</v>
      </c>
      <c r="D1987" t="s">
        <v>3049</v>
      </c>
      <c r="E1987" t="s">
        <v>2634</v>
      </c>
      <c r="F1987" t="s">
        <v>281</v>
      </c>
      <c r="G1987" t="s">
        <v>2641</v>
      </c>
      <c r="H1987" t="s">
        <v>2634</v>
      </c>
      <c r="I1987" t="s">
        <v>2666</v>
      </c>
      <c r="J1987">
        <v>1</v>
      </c>
      <c r="K1987">
        <v>848</v>
      </c>
    </row>
    <row r="1988" spans="1:11" x14ac:dyDescent="0.2">
      <c r="A1988" t="s">
        <v>2993</v>
      </c>
      <c r="B1988">
        <v>56011</v>
      </c>
      <c r="C1988" t="s">
        <v>657</v>
      </c>
      <c r="D1988" t="s">
        <v>3102</v>
      </c>
      <c r="E1988" t="s">
        <v>281</v>
      </c>
      <c r="F1988" t="s">
        <v>281</v>
      </c>
      <c r="G1988" t="s">
        <v>2690</v>
      </c>
      <c r="H1988" t="s">
        <v>281</v>
      </c>
      <c r="I1988" t="s">
        <v>2666</v>
      </c>
      <c r="J1988">
        <v>1</v>
      </c>
      <c r="K1988">
        <v>6534.52</v>
      </c>
    </row>
    <row r="1989" spans="1:11" x14ac:dyDescent="0.2">
      <c r="A1989" t="s">
        <v>2993</v>
      </c>
      <c r="B1989">
        <v>55005</v>
      </c>
      <c r="C1989" t="s">
        <v>2562</v>
      </c>
      <c r="D1989" t="s">
        <v>3053</v>
      </c>
      <c r="E1989" t="s">
        <v>281</v>
      </c>
      <c r="F1989" t="s">
        <v>281</v>
      </c>
      <c r="G1989" t="s">
        <v>2626</v>
      </c>
      <c r="H1989" t="s">
        <v>281</v>
      </c>
      <c r="I1989" t="s">
        <v>2666</v>
      </c>
      <c r="J1989">
        <v>1</v>
      </c>
      <c r="K1989">
        <v>587</v>
      </c>
    </row>
    <row r="1990" spans="1:11" x14ac:dyDescent="0.2">
      <c r="A1990" t="s">
        <v>2993</v>
      </c>
      <c r="B1990">
        <v>62012</v>
      </c>
      <c r="C1990" t="s">
        <v>2467</v>
      </c>
      <c r="D1990" t="s">
        <v>3105</v>
      </c>
      <c r="E1990" t="s">
        <v>281</v>
      </c>
      <c r="F1990" t="s">
        <v>281</v>
      </c>
      <c r="G1990" t="s">
        <v>2617</v>
      </c>
      <c r="H1990" t="s">
        <v>281</v>
      </c>
      <c r="I1990" t="s">
        <v>2666</v>
      </c>
      <c r="J1990">
        <v>1</v>
      </c>
      <c r="K1990">
        <v>7</v>
      </c>
    </row>
    <row r="1991" spans="1:11" x14ac:dyDescent="0.2">
      <c r="A1991" t="s">
        <v>2993</v>
      </c>
      <c r="B1991">
        <v>81029</v>
      </c>
      <c r="C1991" t="s">
        <v>1271</v>
      </c>
      <c r="D1991" t="s">
        <v>3006</v>
      </c>
      <c r="E1991" t="s">
        <v>281</v>
      </c>
      <c r="F1991" t="s">
        <v>281</v>
      </c>
      <c r="G1991" t="s">
        <v>2821</v>
      </c>
      <c r="H1991" t="s">
        <v>281</v>
      </c>
      <c r="I1991" t="s">
        <v>2666</v>
      </c>
      <c r="J1991">
        <v>1</v>
      </c>
      <c r="K1991">
        <v>38.67</v>
      </c>
    </row>
    <row r="1992" spans="1:11" x14ac:dyDescent="0.2">
      <c r="A1992" t="s">
        <v>2993</v>
      </c>
      <c r="B1992">
        <v>41022</v>
      </c>
      <c r="C1992" t="s">
        <v>558</v>
      </c>
      <c r="D1992" t="s">
        <v>3126</v>
      </c>
      <c r="E1992" t="s">
        <v>281</v>
      </c>
      <c r="F1992" t="s">
        <v>281</v>
      </c>
      <c r="G1992" t="s">
        <v>2704</v>
      </c>
      <c r="H1992" t="s">
        <v>281</v>
      </c>
      <c r="I1992" t="s">
        <v>2666</v>
      </c>
      <c r="J1992">
        <v>1</v>
      </c>
      <c r="K1992">
        <v>25</v>
      </c>
    </row>
    <row r="1993" spans="1:11" x14ac:dyDescent="0.2">
      <c r="A1993" t="s">
        <v>2993</v>
      </c>
      <c r="B1993">
        <v>68006</v>
      </c>
      <c r="C1993" t="s">
        <v>1061</v>
      </c>
      <c r="D1993" t="s">
        <v>3113</v>
      </c>
      <c r="E1993" t="s">
        <v>281</v>
      </c>
      <c r="F1993" t="s">
        <v>281</v>
      </c>
      <c r="G1993" t="s">
        <v>2651</v>
      </c>
      <c r="H1993" t="s">
        <v>281</v>
      </c>
      <c r="I1993" t="s">
        <v>2666</v>
      </c>
      <c r="J1993">
        <v>1</v>
      </c>
      <c r="K1993">
        <v>92</v>
      </c>
    </row>
    <row r="1994" spans="1:11" x14ac:dyDescent="0.2">
      <c r="A1994" t="s">
        <v>2993</v>
      </c>
      <c r="B1994">
        <v>52046</v>
      </c>
      <c r="C1994" t="s">
        <v>2455</v>
      </c>
      <c r="D1994" t="s">
        <v>3037</v>
      </c>
      <c r="E1994" t="s">
        <v>281</v>
      </c>
      <c r="F1994" t="s">
        <v>281</v>
      </c>
      <c r="G1994" t="s">
        <v>2682</v>
      </c>
      <c r="H1994" t="s">
        <v>281</v>
      </c>
      <c r="I1994" t="s">
        <v>2666</v>
      </c>
      <c r="J1994">
        <v>1</v>
      </c>
      <c r="K1994">
        <v>3252.55</v>
      </c>
    </row>
    <row r="1995" spans="1:11" x14ac:dyDescent="0.2">
      <c r="A1995" t="s">
        <v>2993</v>
      </c>
      <c r="B1995">
        <v>60012</v>
      </c>
      <c r="C1995" t="s">
        <v>668</v>
      </c>
      <c r="D1995" t="s">
        <v>3084</v>
      </c>
      <c r="E1995" t="s">
        <v>281</v>
      </c>
      <c r="F1995" t="s">
        <v>281</v>
      </c>
      <c r="G1995" t="s">
        <v>2641</v>
      </c>
      <c r="H1995" t="s">
        <v>281</v>
      </c>
      <c r="I1995" t="s">
        <v>2666</v>
      </c>
      <c r="J1995">
        <v>1</v>
      </c>
      <c r="K1995">
        <v>1364</v>
      </c>
    </row>
    <row r="1996" spans="1:11" x14ac:dyDescent="0.2">
      <c r="A1996" t="s">
        <v>2993</v>
      </c>
      <c r="B1996">
        <v>54001</v>
      </c>
      <c r="C1996" t="s">
        <v>651</v>
      </c>
      <c r="D1996" t="s">
        <v>3110</v>
      </c>
      <c r="E1996" t="s">
        <v>281</v>
      </c>
      <c r="F1996" t="s">
        <v>281</v>
      </c>
      <c r="G1996" t="s">
        <v>2729</v>
      </c>
      <c r="H1996" t="s">
        <v>281</v>
      </c>
      <c r="I1996" t="s">
        <v>2666</v>
      </c>
      <c r="J1996">
        <v>1</v>
      </c>
      <c r="K1996">
        <v>96.17</v>
      </c>
    </row>
    <row r="1997" spans="1:11" x14ac:dyDescent="0.2">
      <c r="A1997" t="s">
        <v>2993</v>
      </c>
      <c r="B1997">
        <v>70013</v>
      </c>
      <c r="C1997" t="s">
        <v>680</v>
      </c>
      <c r="D1997" t="s">
        <v>3076</v>
      </c>
      <c r="E1997" t="s">
        <v>281</v>
      </c>
      <c r="F1997" t="s">
        <v>281</v>
      </c>
      <c r="G1997" t="s">
        <v>2647</v>
      </c>
      <c r="H1997" t="s">
        <v>281</v>
      </c>
      <c r="I1997" t="s">
        <v>2666</v>
      </c>
      <c r="J1997">
        <v>1</v>
      </c>
      <c r="K1997">
        <v>119</v>
      </c>
    </row>
    <row r="1998" spans="1:11" x14ac:dyDescent="0.2">
      <c r="A1998" t="s">
        <v>2993</v>
      </c>
      <c r="B1998">
        <v>62007</v>
      </c>
      <c r="C1998" t="s">
        <v>3021</v>
      </c>
      <c r="D1998" t="s">
        <v>3020</v>
      </c>
      <c r="E1998" t="s">
        <v>281</v>
      </c>
      <c r="F1998" t="s">
        <v>281</v>
      </c>
      <c r="G1998" t="s">
        <v>2617</v>
      </c>
      <c r="H1998" t="s">
        <v>281</v>
      </c>
      <c r="I1998" t="s">
        <v>2666</v>
      </c>
      <c r="J1998">
        <v>1</v>
      </c>
      <c r="K1998">
        <v>95</v>
      </c>
    </row>
    <row r="1999" spans="1:11" x14ac:dyDescent="0.2">
      <c r="A1999" t="s">
        <v>2993</v>
      </c>
      <c r="B1999">
        <v>70008</v>
      </c>
      <c r="C1999" t="s">
        <v>679</v>
      </c>
      <c r="D1999" t="s">
        <v>3115</v>
      </c>
      <c r="E1999" t="s">
        <v>281</v>
      </c>
      <c r="F1999" t="s">
        <v>281</v>
      </c>
      <c r="G1999" t="s">
        <v>2647</v>
      </c>
      <c r="H1999" t="s">
        <v>281</v>
      </c>
      <c r="I1999" t="s">
        <v>2666</v>
      </c>
      <c r="J1999">
        <v>1</v>
      </c>
      <c r="K1999">
        <v>778.5</v>
      </c>
    </row>
    <row r="2000" spans="1:11" x14ac:dyDescent="0.2">
      <c r="A2000" t="s">
        <v>2993</v>
      </c>
      <c r="B2000">
        <v>39010</v>
      </c>
      <c r="C2000" t="s">
        <v>1302</v>
      </c>
      <c r="D2000" t="s">
        <v>3066</v>
      </c>
      <c r="E2000" t="s">
        <v>281</v>
      </c>
      <c r="F2000" t="s">
        <v>281</v>
      </c>
      <c r="G2000" t="s">
        <v>2988</v>
      </c>
      <c r="H2000" t="s">
        <v>281</v>
      </c>
      <c r="I2000" t="s">
        <v>2666</v>
      </c>
      <c r="J2000">
        <v>1</v>
      </c>
      <c r="K2000">
        <v>1086.17</v>
      </c>
    </row>
    <row r="2001" spans="1:11" x14ac:dyDescent="0.2">
      <c r="A2001" t="s">
        <v>2993</v>
      </c>
      <c r="B2001">
        <v>74021</v>
      </c>
      <c r="C2001" t="s">
        <v>1179</v>
      </c>
      <c r="D2001" t="s">
        <v>3038</v>
      </c>
      <c r="E2001" t="s">
        <v>281</v>
      </c>
      <c r="F2001" t="s">
        <v>281</v>
      </c>
      <c r="G2001" t="s">
        <v>2644</v>
      </c>
      <c r="H2001" t="s">
        <v>281</v>
      </c>
      <c r="I2001" t="s">
        <v>2666</v>
      </c>
      <c r="J2001">
        <v>1</v>
      </c>
      <c r="K2001">
        <v>94</v>
      </c>
    </row>
    <row r="2002" spans="1:11" x14ac:dyDescent="0.2">
      <c r="A2002" t="s">
        <v>2993</v>
      </c>
      <c r="B2002">
        <v>71001</v>
      </c>
      <c r="C2002" t="s">
        <v>681</v>
      </c>
      <c r="D2002" t="s">
        <v>3118</v>
      </c>
      <c r="E2002" t="s">
        <v>281</v>
      </c>
      <c r="F2002" t="s">
        <v>281</v>
      </c>
      <c r="G2002" t="s">
        <v>2629</v>
      </c>
      <c r="H2002" t="s">
        <v>281</v>
      </c>
      <c r="I2002" t="s">
        <v>2666</v>
      </c>
      <c r="J2002">
        <v>1</v>
      </c>
      <c r="K2002">
        <v>275</v>
      </c>
    </row>
    <row r="2003" spans="1:11" x14ac:dyDescent="0.2">
      <c r="A2003" t="s">
        <v>2993</v>
      </c>
      <c r="B2003">
        <v>65006</v>
      </c>
      <c r="C2003" t="s">
        <v>672</v>
      </c>
      <c r="D2003" t="s">
        <v>3024</v>
      </c>
      <c r="E2003" t="s">
        <v>281</v>
      </c>
      <c r="F2003" t="s">
        <v>281</v>
      </c>
      <c r="G2003" t="s">
        <v>2649</v>
      </c>
      <c r="H2003" t="s">
        <v>281</v>
      </c>
      <c r="I2003" t="s">
        <v>2666</v>
      </c>
      <c r="J2003">
        <v>1</v>
      </c>
      <c r="K2003">
        <v>812</v>
      </c>
    </row>
    <row r="2004" spans="1:11" x14ac:dyDescent="0.2">
      <c r="A2004" t="s">
        <v>2993</v>
      </c>
      <c r="B2004">
        <v>74004</v>
      </c>
      <c r="C2004" t="s">
        <v>684</v>
      </c>
      <c r="D2004" t="s">
        <v>3045</v>
      </c>
      <c r="E2004" t="s">
        <v>281</v>
      </c>
      <c r="F2004" t="s">
        <v>281</v>
      </c>
      <c r="G2004" t="s">
        <v>2644</v>
      </c>
      <c r="H2004" t="s">
        <v>281</v>
      </c>
      <c r="I2004" t="s">
        <v>2666</v>
      </c>
      <c r="J2004">
        <v>1</v>
      </c>
      <c r="K2004">
        <v>176</v>
      </c>
    </row>
    <row r="2005" spans="1:11" x14ac:dyDescent="0.2">
      <c r="A2005" t="s">
        <v>2993</v>
      </c>
      <c r="B2005">
        <v>81027</v>
      </c>
      <c r="C2005" t="s">
        <v>1185</v>
      </c>
      <c r="D2005" t="s">
        <v>3100</v>
      </c>
      <c r="E2005" t="s">
        <v>281</v>
      </c>
      <c r="F2005" t="s">
        <v>281</v>
      </c>
      <c r="G2005" t="s">
        <v>2821</v>
      </c>
      <c r="H2005" t="s">
        <v>281</v>
      </c>
      <c r="I2005" t="s">
        <v>2666</v>
      </c>
      <c r="J2005">
        <v>1</v>
      </c>
      <c r="K2005">
        <v>66.17</v>
      </c>
    </row>
    <row r="2006" spans="1:11" x14ac:dyDescent="0.2">
      <c r="A2006" t="s">
        <v>2993</v>
      </c>
      <c r="B2006">
        <v>65005</v>
      </c>
      <c r="C2006" t="s">
        <v>1167</v>
      </c>
      <c r="D2006" t="s">
        <v>3040</v>
      </c>
      <c r="E2006" t="s">
        <v>281</v>
      </c>
      <c r="F2006" t="s">
        <v>281</v>
      </c>
      <c r="G2006" t="s">
        <v>2649</v>
      </c>
      <c r="H2006" t="s">
        <v>281</v>
      </c>
      <c r="I2006" t="s">
        <v>2666</v>
      </c>
      <c r="J2006">
        <v>1</v>
      </c>
      <c r="K2006">
        <v>197</v>
      </c>
    </row>
    <row r="2007" spans="1:11" x14ac:dyDescent="0.2">
      <c r="A2007" t="s">
        <v>2993</v>
      </c>
      <c r="B2007">
        <v>65007</v>
      </c>
      <c r="C2007" t="s">
        <v>2395</v>
      </c>
      <c r="D2007" t="s">
        <v>3062</v>
      </c>
      <c r="E2007" t="s">
        <v>2634</v>
      </c>
      <c r="F2007" t="s">
        <v>281</v>
      </c>
      <c r="G2007" t="s">
        <v>2649</v>
      </c>
      <c r="H2007" t="s">
        <v>2634</v>
      </c>
      <c r="I2007" t="s">
        <v>2666</v>
      </c>
      <c r="J2007">
        <v>1</v>
      </c>
      <c r="K2007">
        <v>190.5</v>
      </c>
    </row>
    <row r="2008" spans="1:11" x14ac:dyDescent="0.2">
      <c r="A2008" t="s">
        <v>2993</v>
      </c>
      <c r="B2008">
        <v>67010</v>
      </c>
      <c r="C2008" t="s">
        <v>1169</v>
      </c>
      <c r="D2008" t="s">
        <v>3000</v>
      </c>
      <c r="E2008" t="s">
        <v>281</v>
      </c>
      <c r="F2008" t="s">
        <v>281</v>
      </c>
      <c r="G2008" t="s">
        <v>2622</v>
      </c>
      <c r="H2008" t="s">
        <v>281</v>
      </c>
      <c r="I2008" t="s">
        <v>2666</v>
      </c>
      <c r="J2008">
        <v>1</v>
      </c>
      <c r="K2008">
        <v>129</v>
      </c>
    </row>
    <row r="2009" spans="1:11" x14ac:dyDescent="0.2">
      <c r="A2009" t="s">
        <v>2993</v>
      </c>
      <c r="B2009">
        <v>81015</v>
      </c>
      <c r="C2009" t="s">
        <v>1269</v>
      </c>
      <c r="D2009" t="s">
        <v>3114</v>
      </c>
      <c r="E2009" t="s">
        <v>281</v>
      </c>
      <c r="F2009" t="s">
        <v>281</v>
      </c>
      <c r="G2009" t="s">
        <v>2821</v>
      </c>
      <c r="H2009" t="s">
        <v>281</v>
      </c>
      <c r="I2009" t="s">
        <v>2666</v>
      </c>
      <c r="J2009">
        <v>1</v>
      </c>
      <c r="K2009">
        <v>353</v>
      </c>
    </row>
    <row r="2010" spans="1:11" x14ac:dyDescent="0.2">
      <c r="A2010" t="s">
        <v>2993</v>
      </c>
      <c r="B2010">
        <v>52018</v>
      </c>
      <c r="C2010" t="s">
        <v>643</v>
      </c>
      <c r="D2010" t="s">
        <v>3058</v>
      </c>
      <c r="E2010" t="s">
        <v>281</v>
      </c>
      <c r="F2010" t="s">
        <v>281</v>
      </c>
      <c r="G2010" t="s">
        <v>2682</v>
      </c>
      <c r="H2010" t="s">
        <v>281</v>
      </c>
      <c r="I2010" t="s">
        <v>2666</v>
      </c>
      <c r="J2010">
        <v>1</v>
      </c>
      <c r="K2010">
        <v>135</v>
      </c>
    </row>
    <row r="2011" spans="1:11" x14ac:dyDescent="0.2">
      <c r="A2011" t="s">
        <v>2993</v>
      </c>
      <c r="B2011">
        <v>76009</v>
      </c>
      <c r="C2011" t="s">
        <v>692</v>
      </c>
      <c r="D2011" t="s">
        <v>2969</v>
      </c>
      <c r="E2011" t="s">
        <v>281</v>
      </c>
      <c r="F2011" t="s">
        <v>281</v>
      </c>
      <c r="G2011" t="s">
        <v>2718</v>
      </c>
      <c r="H2011" t="s">
        <v>281</v>
      </c>
      <c r="I2011" t="s">
        <v>2666</v>
      </c>
      <c r="J2011">
        <v>1</v>
      </c>
      <c r="K2011">
        <v>54</v>
      </c>
    </row>
    <row r="2012" spans="1:11" x14ac:dyDescent="0.2">
      <c r="A2012" t="s">
        <v>2993</v>
      </c>
      <c r="B2012">
        <v>74010</v>
      </c>
      <c r="C2012" t="s">
        <v>1178</v>
      </c>
      <c r="D2012" t="s">
        <v>3099</v>
      </c>
      <c r="E2012" t="s">
        <v>281</v>
      </c>
      <c r="F2012" t="s">
        <v>281</v>
      </c>
      <c r="G2012" t="s">
        <v>2644</v>
      </c>
      <c r="H2012" t="s">
        <v>281</v>
      </c>
      <c r="I2012" t="s">
        <v>2666</v>
      </c>
      <c r="J2012">
        <v>1</v>
      </c>
      <c r="K2012">
        <v>66</v>
      </c>
    </row>
    <row r="2013" spans="1:11" x14ac:dyDescent="0.2">
      <c r="A2013" t="s">
        <v>2993</v>
      </c>
      <c r="B2013">
        <v>70012</v>
      </c>
      <c r="C2013" t="s">
        <v>1172</v>
      </c>
      <c r="D2013" t="s">
        <v>3007</v>
      </c>
      <c r="E2013" t="s">
        <v>281</v>
      </c>
      <c r="F2013" t="s">
        <v>281</v>
      </c>
      <c r="G2013" t="s">
        <v>2647</v>
      </c>
      <c r="H2013" t="s">
        <v>281</v>
      </c>
      <c r="I2013" t="s">
        <v>2666</v>
      </c>
      <c r="J2013">
        <v>1</v>
      </c>
      <c r="K2013">
        <v>120</v>
      </c>
    </row>
    <row r="2014" spans="1:11" x14ac:dyDescent="0.2">
      <c r="A2014" t="s">
        <v>2993</v>
      </c>
      <c r="B2014">
        <v>41010</v>
      </c>
      <c r="C2014" t="s">
        <v>2551</v>
      </c>
      <c r="D2014" t="s">
        <v>3097</v>
      </c>
      <c r="E2014" t="s">
        <v>281</v>
      </c>
      <c r="F2014" t="s">
        <v>281</v>
      </c>
      <c r="G2014" t="s">
        <v>2704</v>
      </c>
      <c r="H2014" t="s">
        <v>281</v>
      </c>
      <c r="I2014" t="s">
        <v>2666</v>
      </c>
      <c r="J2014">
        <v>1</v>
      </c>
      <c r="K2014">
        <v>909.33</v>
      </c>
    </row>
    <row r="2015" spans="1:11" x14ac:dyDescent="0.2">
      <c r="A2015" t="s">
        <v>2993</v>
      </c>
      <c r="B2015">
        <v>67014</v>
      </c>
      <c r="C2015" t="s">
        <v>1060</v>
      </c>
      <c r="D2015" t="s">
        <v>3034</v>
      </c>
      <c r="E2015" t="s">
        <v>281</v>
      </c>
      <c r="F2015" t="s">
        <v>281</v>
      </c>
      <c r="G2015" t="s">
        <v>3033</v>
      </c>
      <c r="H2015" t="s">
        <v>281</v>
      </c>
      <c r="I2015" t="s">
        <v>2666</v>
      </c>
      <c r="J2015">
        <v>1</v>
      </c>
      <c r="K2015">
        <v>239.33</v>
      </c>
    </row>
    <row r="2016" spans="1:11" x14ac:dyDescent="0.2">
      <c r="A2016" t="s">
        <v>2993</v>
      </c>
      <c r="B2016">
        <v>69012</v>
      </c>
      <c r="C2016" t="s">
        <v>677</v>
      </c>
      <c r="D2016" t="s">
        <v>3028</v>
      </c>
      <c r="E2016" t="s">
        <v>281</v>
      </c>
      <c r="F2016" t="s">
        <v>281</v>
      </c>
      <c r="G2016" t="s">
        <v>3027</v>
      </c>
      <c r="H2016" t="s">
        <v>281</v>
      </c>
      <c r="I2016" t="s">
        <v>2666</v>
      </c>
      <c r="J2016">
        <v>1</v>
      </c>
      <c r="K2016">
        <v>129.5</v>
      </c>
    </row>
    <row r="2017" spans="1:11" x14ac:dyDescent="0.2">
      <c r="A2017" t="s">
        <v>2993</v>
      </c>
      <c r="B2017">
        <v>62008</v>
      </c>
      <c r="C2017" t="s">
        <v>671</v>
      </c>
      <c r="D2017" t="s">
        <v>3079</v>
      </c>
      <c r="E2017" t="s">
        <v>281</v>
      </c>
      <c r="F2017" t="s">
        <v>281</v>
      </c>
      <c r="G2017" t="s">
        <v>2617</v>
      </c>
      <c r="H2017" t="s">
        <v>281</v>
      </c>
      <c r="I2017" t="s">
        <v>2666</v>
      </c>
      <c r="J2017">
        <v>1</v>
      </c>
      <c r="K2017">
        <v>217</v>
      </c>
    </row>
    <row r="2018" spans="1:11" x14ac:dyDescent="0.2">
      <c r="A2018" t="s">
        <v>2993</v>
      </c>
      <c r="B2018">
        <v>55009</v>
      </c>
      <c r="C2018" t="s">
        <v>652</v>
      </c>
      <c r="D2018" t="s">
        <v>3085</v>
      </c>
      <c r="E2018" t="s">
        <v>2634</v>
      </c>
      <c r="F2018" t="s">
        <v>281</v>
      </c>
      <c r="G2018" t="s">
        <v>2626</v>
      </c>
      <c r="H2018" t="s">
        <v>2634</v>
      </c>
      <c r="I2018" t="s">
        <v>2666</v>
      </c>
      <c r="J2018">
        <v>1</v>
      </c>
      <c r="K2018">
        <v>113</v>
      </c>
    </row>
    <row r="2019" spans="1:11" x14ac:dyDescent="0.2">
      <c r="A2019" t="s">
        <v>2993</v>
      </c>
      <c r="B2019">
        <v>54011</v>
      </c>
      <c r="C2019" t="s">
        <v>1313</v>
      </c>
      <c r="D2019" t="s">
        <v>3082</v>
      </c>
      <c r="E2019" t="s">
        <v>281</v>
      </c>
      <c r="F2019" t="s">
        <v>281</v>
      </c>
      <c r="G2019" t="s">
        <v>2729</v>
      </c>
      <c r="H2019" t="s">
        <v>281</v>
      </c>
      <c r="I2019" t="s">
        <v>2666</v>
      </c>
      <c r="J2019">
        <v>1</v>
      </c>
      <c r="K2019">
        <v>194.17</v>
      </c>
    </row>
    <row r="2020" spans="1:11" x14ac:dyDescent="0.2">
      <c r="A2020" t="s">
        <v>2993</v>
      </c>
      <c r="B2020">
        <v>57012</v>
      </c>
      <c r="C2020" t="s">
        <v>2466</v>
      </c>
      <c r="D2020" t="s">
        <v>3043</v>
      </c>
      <c r="E2020" t="s">
        <v>281</v>
      </c>
      <c r="F2020" t="s">
        <v>281</v>
      </c>
      <c r="G2020" t="s">
        <v>2889</v>
      </c>
      <c r="H2020" t="s">
        <v>281</v>
      </c>
      <c r="I2020" t="s">
        <v>2666</v>
      </c>
      <c r="J2020">
        <v>1</v>
      </c>
      <c r="K2020">
        <v>172</v>
      </c>
    </row>
    <row r="2021" spans="1:11" x14ac:dyDescent="0.2">
      <c r="A2021" t="s">
        <v>2993</v>
      </c>
      <c r="B2021">
        <v>70004</v>
      </c>
      <c r="C2021" t="s">
        <v>678</v>
      </c>
      <c r="D2021" t="s">
        <v>3063</v>
      </c>
      <c r="E2021" t="s">
        <v>281</v>
      </c>
      <c r="F2021" t="s">
        <v>281</v>
      </c>
      <c r="G2021" t="s">
        <v>2647</v>
      </c>
      <c r="H2021" t="s">
        <v>281</v>
      </c>
      <c r="I2021" t="s">
        <v>2666</v>
      </c>
      <c r="J2021">
        <v>1</v>
      </c>
      <c r="K2021">
        <v>900</v>
      </c>
    </row>
    <row r="2022" spans="1:11" x14ac:dyDescent="0.2">
      <c r="A2022" t="s">
        <v>2993</v>
      </c>
      <c r="B2022">
        <v>52003</v>
      </c>
      <c r="C2022" t="s">
        <v>636</v>
      </c>
      <c r="D2022" t="s">
        <v>3123</v>
      </c>
      <c r="E2022" t="s">
        <v>281</v>
      </c>
      <c r="F2022" t="s">
        <v>281</v>
      </c>
      <c r="G2022" t="s">
        <v>2682</v>
      </c>
      <c r="H2022" t="s">
        <v>281</v>
      </c>
      <c r="I2022" t="s">
        <v>2666</v>
      </c>
      <c r="J2022">
        <v>1</v>
      </c>
      <c r="K2022">
        <v>59</v>
      </c>
    </row>
    <row r="2023" spans="1:11" x14ac:dyDescent="0.2">
      <c r="A2023" t="s">
        <v>2993</v>
      </c>
      <c r="B2023">
        <v>86002</v>
      </c>
      <c r="C2023" t="s">
        <v>735</v>
      </c>
      <c r="D2023" t="s">
        <v>3129</v>
      </c>
      <c r="E2023" t="s">
        <v>281</v>
      </c>
      <c r="F2023" t="s">
        <v>281</v>
      </c>
      <c r="G2023" t="s">
        <v>2624</v>
      </c>
      <c r="H2023" t="s">
        <v>281</v>
      </c>
      <c r="I2023" t="s">
        <v>2666</v>
      </c>
      <c r="J2023">
        <v>1</v>
      </c>
      <c r="K2023">
        <v>775.33</v>
      </c>
    </row>
    <row r="2024" spans="1:11" x14ac:dyDescent="0.2">
      <c r="A2024" t="s">
        <v>2993</v>
      </c>
      <c r="B2024">
        <v>62003</v>
      </c>
      <c r="C2024" t="s">
        <v>1163</v>
      </c>
      <c r="D2024" t="s">
        <v>2995</v>
      </c>
      <c r="E2024" t="s">
        <v>281</v>
      </c>
      <c r="F2024" t="s">
        <v>281</v>
      </c>
      <c r="G2024" t="s">
        <v>2617</v>
      </c>
      <c r="H2024" t="s">
        <v>281</v>
      </c>
      <c r="I2024" t="s">
        <v>2666</v>
      </c>
      <c r="J2024">
        <v>1</v>
      </c>
      <c r="K2024">
        <v>213</v>
      </c>
    </row>
    <row r="2025" spans="1:11" x14ac:dyDescent="0.2">
      <c r="A2025" t="s">
        <v>2993</v>
      </c>
      <c r="B2025">
        <v>50018</v>
      </c>
      <c r="C2025" t="s">
        <v>1100</v>
      </c>
      <c r="D2025" t="s">
        <v>3011</v>
      </c>
      <c r="E2025" t="s">
        <v>281</v>
      </c>
      <c r="F2025" t="s">
        <v>281</v>
      </c>
      <c r="G2025" t="s">
        <v>2667</v>
      </c>
      <c r="H2025" t="s">
        <v>281</v>
      </c>
      <c r="I2025" t="s">
        <v>2666</v>
      </c>
      <c r="J2025">
        <v>1</v>
      </c>
      <c r="K2025">
        <v>173</v>
      </c>
    </row>
    <row r="2026" spans="1:11" x14ac:dyDescent="0.2">
      <c r="A2026" t="s">
        <v>2993</v>
      </c>
      <c r="B2026">
        <v>71004</v>
      </c>
      <c r="C2026" t="s">
        <v>2563</v>
      </c>
      <c r="D2026" t="s">
        <v>3013</v>
      </c>
      <c r="E2026" t="s">
        <v>2634</v>
      </c>
      <c r="F2026" t="s">
        <v>281</v>
      </c>
      <c r="G2026" t="s">
        <v>2629</v>
      </c>
      <c r="H2026" t="s">
        <v>2634</v>
      </c>
      <c r="I2026" t="s">
        <v>2666</v>
      </c>
      <c r="J2026">
        <v>1</v>
      </c>
      <c r="K2026">
        <v>170.17</v>
      </c>
    </row>
    <row r="2027" spans="1:11" x14ac:dyDescent="0.2">
      <c r="A2027" t="s">
        <v>2993</v>
      </c>
      <c r="B2027">
        <v>50035</v>
      </c>
      <c r="C2027" t="s">
        <v>634</v>
      </c>
      <c r="D2027" t="s">
        <v>3096</v>
      </c>
      <c r="E2027" t="s">
        <v>281</v>
      </c>
      <c r="F2027" t="s">
        <v>281</v>
      </c>
      <c r="G2027" t="s">
        <v>2667</v>
      </c>
      <c r="H2027" t="s">
        <v>281</v>
      </c>
      <c r="I2027" t="s">
        <v>2666</v>
      </c>
      <c r="J2027">
        <v>1</v>
      </c>
      <c r="K2027">
        <v>16</v>
      </c>
    </row>
    <row r="2028" spans="1:11" x14ac:dyDescent="0.2">
      <c r="A2028" t="s">
        <v>2993</v>
      </c>
      <c r="B2028">
        <v>56016</v>
      </c>
      <c r="C2028" t="s">
        <v>658</v>
      </c>
      <c r="D2028" t="s">
        <v>3080</v>
      </c>
      <c r="E2028" t="s">
        <v>281</v>
      </c>
      <c r="F2028" t="s">
        <v>281</v>
      </c>
      <c r="G2028" t="s">
        <v>2690</v>
      </c>
      <c r="H2028" t="s">
        <v>281</v>
      </c>
      <c r="I2028" t="s">
        <v>2666</v>
      </c>
      <c r="J2028">
        <v>1</v>
      </c>
      <c r="K2028">
        <v>367</v>
      </c>
    </row>
    <row r="2029" spans="1:11" x14ac:dyDescent="0.2">
      <c r="A2029" t="s">
        <v>2993</v>
      </c>
      <c r="B2029">
        <v>40032</v>
      </c>
      <c r="C2029" t="s">
        <v>546</v>
      </c>
      <c r="D2029" t="s">
        <v>3036</v>
      </c>
      <c r="E2029" t="s">
        <v>2634</v>
      </c>
      <c r="F2029" t="s">
        <v>281</v>
      </c>
      <c r="G2029" t="s">
        <v>2704</v>
      </c>
      <c r="H2029" t="s">
        <v>2634</v>
      </c>
      <c r="I2029" t="s">
        <v>2666</v>
      </c>
      <c r="J2029">
        <v>1</v>
      </c>
      <c r="K2029">
        <v>365</v>
      </c>
    </row>
    <row r="2030" spans="1:11" x14ac:dyDescent="0.2">
      <c r="A2030" t="s">
        <v>2993</v>
      </c>
      <c r="B2030">
        <v>71005</v>
      </c>
      <c r="C2030" t="s">
        <v>1173</v>
      </c>
      <c r="D2030" t="s">
        <v>3095</v>
      </c>
      <c r="E2030" t="s">
        <v>281</v>
      </c>
      <c r="F2030" t="s">
        <v>281</v>
      </c>
      <c r="G2030" t="s">
        <v>2629</v>
      </c>
      <c r="H2030" t="s">
        <v>281</v>
      </c>
      <c r="I2030" t="s">
        <v>2666</v>
      </c>
      <c r="J2030">
        <v>1</v>
      </c>
      <c r="K2030">
        <v>148.33000000000001</v>
      </c>
    </row>
    <row r="2031" spans="1:11" x14ac:dyDescent="0.2">
      <c r="A2031" t="s">
        <v>2993</v>
      </c>
      <c r="B2031">
        <v>50001</v>
      </c>
      <c r="C2031" t="s">
        <v>2560</v>
      </c>
      <c r="D2031" t="s">
        <v>2992</v>
      </c>
      <c r="E2031" t="s">
        <v>281</v>
      </c>
      <c r="F2031" t="s">
        <v>281</v>
      </c>
      <c r="G2031" t="s">
        <v>2954</v>
      </c>
      <c r="H2031" t="s">
        <v>281</v>
      </c>
      <c r="I2031" t="s">
        <v>2666</v>
      </c>
      <c r="J2031">
        <v>1</v>
      </c>
      <c r="K2031">
        <v>383.17</v>
      </c>
    </row>
    <row r="2032" spans="1:11" x14ac:dyDescent="0.2">
      <c r="A2032" t="s">
        <v>2993</v>
      </c>
      <c r="B2032">
        <v>86006</v>
      </c>
      <c r="C2032" t="s">
        <v>1065</v>
      </c>
      <c r="D2032" t="s">
        <v>3064</v>
      </c>
      <c r="E2032" t="s">
        <v>281</v>
      </c>
      <c r="F2032" t="s">
        <v>281</v>
      </c>
      <c r="G2032" t="s">
        <v>2624</v>
      </c>
      <c r="H2032" t="s">
        <v>281</v>
      </c>
      <c r="I2032" t="s">
        <v>2666</v>
      </c>
      <c r="J2032">
        <v>1</v>
      </c>
      <c r="K2032">
        <v>176</v>
      </c>
    </row>
    <row r="2033" spans="1:11" x14ac:dyDescent="0.2">
      <c r="A2033" t="s">
        <v>2993</v>
      </c>
      <c r="B2033">
        <v>40026</v>
      </c>
      <c r="C2033" t="s">
        <v>544</v>
      </c>
      <c r="D2033" t="s">
        <v>3054</v>
      </c>
      <c r="E2033" t="s">
        <v>281</v>
      </c>
      <c r="F2033" t="s">
        <v>281</v>
      </c>
      <c r="G2033" t="s">
        <v>2704</v>
      </c>
      <c r="H2033" t="s">
        <v>281</v>
      </c>
      <c r="I2033" t="s">
        <v>2666</v>
      </c>
      <c r="J2033">
        <v>1</v>
      </c>
      <c r="K2033">
        <v>125</v>
      </c>
    </row>
    <row r="2034" spans="1:11" x14ac:dyDescent="0.2">
      <c r="A2034" t="s">
        <v>2993</v>
      </c>
      <c r="B2034">
        <v>59006</v>
      </c>
      <c r="C2034" t="s">
        <v>665</v>
      </c>
      <c r="D2034" t="s">
        <v>3124</v>
      </c>
      <c r="E2034" t="s">
        <v>281</v>
      </c>
      <c r="F2034" t="s">
        <v>281</v>
      </c>
      <c r="G2034" t="s">
        <v>2620</v>
      </c>
      <c r="H2034" t="s">
        <v>281</v>
      </c>
      <c r="I2034" t="s">
        <v>2666</v>
      </c>
      <c r="J2034">
        <v>1</v>
      </c>
      <c r="K2034">
        <v>126</v>
      </c>
    </row>
    <row r="2035" spans="1:11" x14ac:dyDescent="0.2">
      <c r="A2035" t="s">
        <v>2993</v>
      </c>
      <c r="B2035">
        <v>41002</v>
      </c>
      <c r="C2035" t="s">
        <v>549</v>
      </c>
      <c r="D2035" t="s">
        <v>3072</v>
      </c>
      <c r="E2035" t="s">
        <v>281</v>
      </c>
      <c r="F2035" t="s">
        <v>281</v>
      </c>
      <c r="G2035" t="s">
        <v>2704</v>
      </c>
      <c r="H2035" t="s">
        <v>281</v>
      </c>
      <c r="I2035" t="s">
        <v>2666</v>
      </c>
      <c r="J2035">
        <v>1</v>
      </c>
      <c r="K2035">
        <v>3245.4</v>
      </c>
    </row>
    <row r="2036" spans="1:11" x14ac:dyDescent="0.2">
      <c r="A2036" t="s">
        <v>2993</v>
      </c>
      <c r="B2036">
        <v>71011</v>
      </c>
      <c r="C2036" t="s">
        <v>1370</v>
      </c>
      <c r="D2036" t="s">
        <v>3067</v>
      </c>
      <c r="E2036" t="s">
        <v>281</v>
      </c>
      <c r="F2036" t="s">
        <v>281</v>
      </c>
      <c r="G2036" t="s">
        <v>2629</v>
      </c>
      <c r="H2036" t="s">
        <v>281</v>
      </c>
      <c r="I2036" t="s">
        <v>2666</v>
      </c>
      <c r="J2036">
        <v>1</v>
      </c>
      <c r="K2036">
        <v>211.17</v>
      </c>
    </row>
    <row r="2037" spans="1:11" x14ac:dyDescent="0.2">
      <c r="A2037" t="s">
        <v>2993</v>
      </c>
      <c r="B2037">
        <v>41027</v>
      </c>
      <c r="C2037" t="s">
        <v>560</v>
      </c>
      <c r="D2037" t="s">
        <v>3127</v>
      </c>
      <c r="E2037" t="s">
        <v>281</v>
      </c>
      <c r="F2037" t="s">
        <v>281</v>
      </c>
      <c r="G2037" t="s">
        <v>2704</v>
      </c>
      <c r="H2037" t="s">
        <v>281</v>
      </c>
      <c r="I2037" t="s">
        <v>2666</v>
      </c>
      <c r="J2037">
        <v>1</v>
      </c>
      <c r="K2037">
        <v>22</v>
      </c>
    </row>
    <row r="2038" spans="1:11" x14ac:dyDescent="0.2">
      <c r="A2038" t="s">
        <v>2993</v>
      </c>
      <c r="B2038">
        <v>36015</v>
      </c>
      <c r="C2038" t="s">
        <v>2463</v>
      </c>
      <c r="D2038" t="s">
        <v>3056</v>
      </c>
      <c r="E2038" t="s">
        <v>281</v>
      </c>
      <c r="F2038" t="s">
        <v>281</v>
      </c>
      <c r="G2038" t="s">
        <v>3055</v>
      </c>
      <c r="H2038" t="s">
        <v>281</v>
      </c>
      <c r="I2038" t="s">
        <v>2666</v>
      </c>
      <c r="J2038">
        <v>1</v>
      </c>
      <c r="K2038">
        <v>468</v>
      </c>
    </row>
    <row r="2039" spans="1:11" x14ac:dyDescent="0.2">
      <c r="A2039" t="s">
        <v>2993</v>
      </c>
      <c r="B2039">
        <v>56006</v>
      </c>
      <c r="C2039" t="s">
        <v>655</v>
      </c>
      <c r="D2039" t="s">
        <v>3125</v>
      </c>
      <c r="E2039" t="s">
        <v>281</v>
      </c>
      <c r="F2039" t="s">
        <v>281</v>
      </c>
      <c r="G2039" t="s">
        <v>2690</v>
      </c>
      <c r="H2039" t="s">
        <v>281</v>
      </c>
      <c r="I2039" t="s">
        <v>2666</v>
      </c>
      <c r="J2039">
        <v>1</v>
      </c>
      <c r="K2039">
        <v>11</v>
      </c>
    </row>
    <row r="2040" spans="1:11" x14ac:dyDescent="0.2">
      <c r="A2040" t="s">
        <v>2993</v>
      </c>
      <c r="B2040">
        <v>52033</v>
      </c>
      <c r="C2040" t="s">
        <v>644</v>
      </c>
      <c r="D2040" t="s">
        <v>3012</v>
      </c>
      <c r="E2040" t="s">
        <v>281</v>
      </c>
      <c r="F2040" t="s">
        <v>281</v>
      </c>
      <c r="G2040" t="s">
        <v>2682</v>
      </c>
      <c r="H2040" t="s">
        <v>281</v>
      </c>
      <c r="I2040" t="s">
        <v>2666</v>
      </c>
      <c r="J2040">
        <v>1</v>
      </c>
      <c r="K2040">
        <v>252</v>
      </c>
    </row>
    <row r="2041" spans="1:11" x14ac:dyDescent="0.2">
      <c r="A2041" t="s">
        <v>2993</v>
      </c>
      <c r="B2041">
        <v>52026</v>
      </c>
      <c r="C2041" t="s">
        <v>1059</v>
      </c>
      <c r="D2041" t="s">
        <v>3010</v>
      </c>
      <c r="E2041" t="s">
        <v>281</v>
      </c>
      <c r="F2041" t="s">
        <v>281</v>
      </c>
      <c r="G2041" t="s">
        <v>2682</v>
      </c>
      <c r="H2041" t="s">
        <v>281</v>
      </c>
      <c r="I2041" t="s">
        <v>2666</v>
      </c>
      <c r="J2041">
        <v>1</v>
      </c>
      <c r="K2041">
        <v>43</v>
      </c>
    </row>
    <row r="2042" spans="1:11" x14ac:dyDescent="0.2">
      <c r="A2042" t="s">
        <v>2993</v>
      </c>
      <c r="B2042">
        <v>41020</v>
      </c>
      <c r="C2042" t="s">
        <v>557</v>
      </c>
      <c r="D2042" t="s">
        <v>3104</v>
      </c>
      <c r="E2042" t="s">
        <v>281</v>
      </c>
      <c r="F2042" t="s">
        <v>281</v>
      </c>
      <c r="G2042" t="s">
        <v>2704</v>
      </c>
      <c r="H2042" t="s">
        <v>281</v>
      </c>
      <c r="I2042" t="s">
        <v>2666</v>
      </c>
      <c r="J2042">
        <v>1</v>
      </c>
      <c r="K2042">
        <v>235</v>
      </c>
    </row>
    <row r="2043" spans="1:11" x14ac:dyDescent="0.2">
      <c r="A2043" t="s">
        <v>2993</v>
      </c>
      <c r="B2043">
        <v>61003</v>
      </c>
      <c r="C2043" t="s">
        <v>1316</v>
      </c>
      <c r="D2043" t="s">
        <v>3077</v>
      </c>
      <c r="E2043" t="s">
        <v>281</v>
      </c>
      <c r="F2043" t="s">
        <v>281</v>
      </c>
      <c r="G2043" t="s">
        <v>3008</v>
      </c>
      <c r="H2043" t="s">
        <v>281</v>
      </c>
      <c r="I2043" t="s">
        <v>2666</v>
      </c>
      <c r="J2043">
        <v>1</v>
      </c>
      <c r="K2043">
        <v>375.67</v>
      </c>
    </row>
    <row r="2044" spans="1:11" x14ac:dyDescent="0.2">
      <c r="A2044" t="s">
        <v>2993</v>
      </c>
      <c r="B2044">
        <v>50008</v>
      </c>
      <c r="C2044" t="s">
        <v>632</v>
      </c>
      <c r="D2044" t="s">
        <v>3094</v>
      </c>
      <c r="E2044" t="s">
        <v>281</v>
      </c>
      <c r="F2044" t="s">
        <v>281</v>
      </c>
      <c r="G2044" t="s">
        <v>2954</v>
      </c>
      <c r="H2044" t="s">
        <v>281</v>
      </c>
      <c r="I2044" t="s">
        <v>2666</v>
      </c>
      <c r="J2044">
        <v>1</v>
      </c>
      <c r="K2044">
        <v>1112.17</v>
      </c>
    </row>
    <row r="2045" spans="1:11" x14ac:dyDescent="0.2">
      <c r="A2045" t="s">
        <v>2993</v>
      </c>
      <c r="B2045">
        <v>61002</v>
      </c>
      <c r="C2045" t="s">
        <v>1315</v>
      </c>
      <c r="D2045" t="s">
        <v>3030</v>
      </c>
      <c r="E2045" t="s">
        <v>281</v>
      </c>
      <c r="F2045" t="s">
        <v>281</v>
      </c>
      <c r="G2045" t="s">
        <v>3008</v>
      </c>
      <c r="H2045" t="s">
        <v>281</v>
      </c>
      <c r="I2045" t="s">
        <v>2666</v>
      </c>
      <c r="J2045">
        <v>1</v>
      </c>
      <c r="K2045">
        <v>71</v>
      </c>
    </row>
    <row r="2046" spans="1:11" x14ac:dyDescent="0.2">
      <c r="A2046" t="s">
        <v>2993</v>
      </c>
      <c r="B2046">
        <v>29051</v>
      </c>
      <c r="C2046" t="s">
        <v>1096</v>
      </c>
      <c r="D2046" t="s">
        <v>3052</v>
      </c>
      <c r="E2046" t="s">
        <v>281</v>
      </c>
      <c r="F2046" t="s">
        <v>281</v>
      </c>
      <c r="G2046" t="s">
        <v>2688</v>
      </c>
      <c r="H2046" t="s">
        <v>281</v>
      </c>
      <c r="I2046" t="s">
        <v>2666</v>
      </c>
      <c r="J2046">
        <v>1</v>
      </c>
      <c r="K2046">
        <v>641</v>
      </c>
    </row>
    <row r="2047" spans="1:11" x14ac:dyDescent="0.2">
      <c r="A2047" t="s">
        <v>2993</v>
      </c>
      <c r="B2047">
        <v>61004</v>
      </c>
      <c r="C2047" t="s">
        <v>1162</v>
      </c>
      <c r="D2047" t="s">
        <v>3009</v>
      </c>
      <c r="E2047" t="s">
        <v>281</v>
      </c>
      <c r="F2047" t="s">
        <v>281</v>
      </c>
      <c r="G2047" t="s">
        <v>3008</v>
      </c>
      <c r="H2047" t="s">
        <v>281</v>
      </c>
      <c r="I2047" t="s">
        <v>2666</v>
      </c>
      <c r="J2047">
        <v>1</v>
      </c>
      <c r="K2047">
        <v>216.83</v>
      </c>
    </row>
    <row r="2048" spans="1:11" x14ac:dyDescent="0.2">
      <c r="A2048" t="s">
        <v>2993</v>
      </c>
      <c r="B2048">
        <v>69011</v>
      </c>
      <c r="C2048" t="s">
        <v>1321</v>
      </c>
      <c r="D2048" t="s">
        <v>3035</v>
      </c>
      <c r="E2048" t="s">
        <v>281</v>
      </c>
      <c r="F2048" t="s">
        <v>281</v>
      </c>
      <c r="G2048" t="s">
        <v>3027</v>
      </c>
      <c r="H2048" t="s">
        <v>281</v>
      </c>
      <c r="I2048" t="s">
        <v>2666</v>
      </c>
      <c r="J2048">
        <v>1</v>
      </c>
      <c r="K2048">
        <v>59</v>
      </c>
    </row>
    <row r="2049" spans="1:11" x14ac:dyDescent="0.2">
      <c r="A2049" t="s">
        <v>2993</v>
      </c>
      <c r="B2049">
        <v>59001</v>
      </c>
      <c r="C2049" t="s">
        <v>664</v>
      </c>
      <c r="D2049" t="s">
        <v>3106</v>
      </c>
      <c r="E2049" t="s">
        <v>2634</v>
      </c>
      <c r="F2049" t="s">
        <v>281</v>
      </c>
      <c r="G2049" t="s">
        <v>2620</v>
      </c>
      <c r="H2049" t="s">
        <v>2634</v>
      </c>
      <c r="I2049" t="s">
        <v>2666</v>
      </c>
      <c r="J2049">
        <v>1</v>
      </c>
      <c r="K2049">
        <v>107.67</v>
      </c>
    </row>
    <row r="2050" spans="1:11" x14ac:dyDescent="0.2">
      <c r="A2050" t="s">
        <v>2993</v>
      </c>
      <c r="B2050">
        <v>63002</v>
      </c>
      <c r="C2050" t="s">
        <v>1317</v>
      </c>
      <c r="D2050" t="s">
        <v>2997</v>
      </c>
      <c r="E2050" t="s">
        <v>281</v>
      </c>
      <c r="F2050" t="s">
        <v>281</v>
      </c>
      <c r="G2050" t="s">
        <v>2996</v>
      </c>
      <c r="H2050" t="s">
        <v>281</v>
      </c>
      <c r="I2050" t="s">
        <v>2666</v>
      </c>
      <c r="J2050">
        <v>1</v>
      </c>
      <c r="K2050">
        <v>237</v>
      </c>
    </row>
    <row r="2051" spans="1:11" x14ac:dyDescent="0.2">
      <c r="A2051" t="s">
        <v>2993</v>
      </c>
      <c r="B2051">
        <v>56001</v>
      </c>
      <c r="C2051" t="s">
        <v>653</v>
      </c>
      <c r="D2051" t="s">
        <v>2998</v>
      </c>
      <c r="E2051" t="s">
        <v>2634</v>
      </c>
      <c r="F2051" t="s">
        <v>281</v>
      </c>
      <c r="G2051" t="s">
        <v>2690</v>
      </c>
      <c r="H2051" t="s">
        <v>2634</v>
      </c>
      <c r="I2051" t="s">
        <v>2666</v>
      </c>
      <c r="J2051">
        <v>1</v>
      </c>
      <c r="K2051">
        <v>191</v>
      </c>
    </row>
    <row r="2052" spans="1:11" x14ac:dyDescent="0.2">
      <c r="A2052" t="s">
        <v>2993</v>
      </c>
      <c r="B2052">
        <v>57004</v>
      </c>
      <c r="C2052" t="s">
        <v>659</v>
      </c>
      <c r="D2052" t="s">
        <v>3081</v>
      </c>
      <c r="E2052" t="s">
        <v>281</v>
      </c>
      <c r="F2052" t="s">
        <v>281</v>
      </c>
      <c r="G2052" t="s">
        <v>2889</v>
      </c>
      <c r="H2052" t="s">
        <v>281</v>
      </c>
      <c r="I2052" t="s">
        <v>2666</v>
      </c>
      <c r="J2052">
        <v>1</v>
      </c>
      <c r="K2052">
        <v>612</v>
      </c>
    </row>
    <row r="2053" spans="1:11" x14ac:dyDescent="0.2">
      <c r="A2053" t="s">
        <v>2993</v>
      </c>
      <c r="B2053">
        <v>39008</v>
      </c>
      <c r="C2053" t="s">
        <v>3117</v>
      </c>
      <c r="D2053" t="s">
        <v>3116</v>
      </c>
      <c r="E2053" t="s">
        <v>281</v>
      </c>
      <c r="F2053" t="s">
        <v>281</v>
      </c>
      <c r="G2053" t="s">
        <v>2988</v>
      </c>
      <c r="H2053" t="s">
        <v>281</v>
      </c>
      <c r="I2053" t="s">
        <v>2666</v>
      </c>
      <c r="J2053">
        <v>1</v>
      </c>
      <c r="K2053">
        <v>8321.89</v>
      </c>
    </row>
    <row r="2054" spans="1:11" x14ac:dyDescent="0.2">
      <c r="A2054" t="s">
        <v>2993</v>
      </c>
      <c r="B2054">
        <v>57007</v>
      </c>
      <c r="C2054" t="s">
        <v>1161</v>
      </c>
      <c r="D2054" t="s">
        <v>3002</v>
      </c>
      <c r="E2054" t="s">
        <v>281</v>
      </c>
      <c r="F2054" t="s">
        <v>281</v>
      </c>
      <c r="G2054" t="s">
        <v>2889</v>
      </c>
      <c r="H2054" t="s">
        <v>281</v>
      </c>
      <c r="I2054" t="s">
        <v>2666</v>
      </c>
      <c r="J2054">
        <v>1</v>
      </c>
      <c r="K2054">
        <v>315</v>
      </c>
    </row>
    <row r="2055" spans="1:11" x14ac:dyDescent="0.2">
      <c r="A2055" t="s">
        <v>2993</v>
      </c>
      <c r="B2055">
        <v>69009</v>
      </c>
      <c r="C2055" t="s">
        <v>1320</v>
      </c>
      <c r="D2055" t="s">
        <v>3075</v>
      </c>
      <c r="E2055" t="s">
        <v>281</v>
      </c>
      <c r="F2055" t="s">
        <v>281</v>
      </c>
      <c r="G2055" t="s">
        <v>3027</v>
      </c>
      <c r="H2055" t="s">
        <v>281</v>
      </c>
      <c r="I2055" t="s">
        <v>2666</v>
      </c>
      <c r="J2055">
        <v>1</v>
      </c>
      <c r="K2055">
        <v>531.16999999999996</v>
      </c>
    </row>
    <row r="2056" spans="1:11" x14ac:dyDescent="0.2">
      <c r="A2056" t="s">
        <v>2993</v>
      </c>
      <c r="B2056">
        <v>71007</v>
      </c>
      <c r="C2056" t="s">
        <v>1174</v>
      </c>
      <c r="D2056" t="s">
        <v>3004</v>
      </c>
      <c r="E2056" t="s">
        <v>281</v>
      </c>
      <c r="F2056" t="s">
        <v>281</v>
      </c>
      <c r="G2056" t="s">
        <v>2629</v>
      </c>
      <c r="H2056" t="s">
        <v>281</v>
      </c>
      <c r="I2056" t="s">
        <v>2666</v>
      </c>
      <c r="J2056">
        <v>1</v>
      </c>
      <c r="K2056">
        <v>44</v>
      </c>
    </row>
    <row r="2057" spans="1:11" x14ac:dyDescent="0.2">
      <c r="A2057" t="s">
        <v>2993</v>
      </c>
      <c r="B2057">
        <v>41006</v>
      </c>
      <c r="C2057" t="s">
        <v>550</v>
      </c>
      <c r="D2057" t="s">
        <v>3016</v>
      </c>
      <c r="E2057" t="s">
        <v>281</v>
      </c>
      <c r="F2057" t="s">
        <v>281</v>
      </c>
      <c r="G2057" t="s">
        <v>2704</v>
      </c>
      <c r="H2057" t="s">
        <v>281</v>
      </c>
      <c r="I2057" t="s">
        <v>2666</v>
      </c>
      <c r="J2057">
        <v>1</v>
      </c>
      <c r="K2057">
        <v>1742.32</v>
      </c>
    </row>
    <row r="2058" spans="1:11" x14ac:dyDescent="0.2">
      <c r="A2058" t="s">
        <v>2993</v>
      </c>
      <c r="B2058">
        <v>56004</v>
      </c>
      <c r="C2058" t="s">
        <v>654</v>
      </c>
      <c r="D2058" t="s">
        <v>3070</v>
      </c>
      <c r="E2058" t="s">
        <v>281</v>
      </c>
      <c r="F2058" t="s">
        <v>281</v>
      </c>
      <c r="G2058" t="s">
        <v>2690</v>
      </c>
      <c r="H2058" t="s">
        <v>281</v>
      </c>
      <c r="I2058" t="s">
        <v>2666</v>
      </c>
      <c r="J2058">
        <v>1</v>
      </c>
      <c r="K2058">
        <v>450.17</v>
      </c>
    </row>
    <row r="2059" spans="1:11" x14ac:dyDescent="0.2">
      <c r="A2059" t="s">
        <v>2993</v>
      </c>
      <c r="B2059">
        <v>60014</v>
      </c>
      <c r="C2059" t="s">
        <v>669</v>
      </c>
      <c r="D2059" t="s">
        <v>3048</v>
      </c>
      <c r="E2059" t="s">
        <v>281</v>
      </c>
      <c r="F2059" t="s">
        <v>281</v>
      </c>
      <c r="G2059" t="s">
        <v>2641</v>
      </c>
      <c r="H2059" t="s">
        <v>281</v>
      </c>
      <c r="I2059" t="s">
        <v>2666</v>
      </c>
      <c r="J2059">
        <v>1</v>
      </c>
      <c r="K2059">
        <v>53</v>
      </c>
    </row>
    <row r="2060" spans="1:11" x14ac:dyDescent="0.2">
      <c r="A2060" t="s">
        <v>2993</v>
      </c>
      <c r="B2060">
        <v>74012</v>
      </c>
      <c r="C2060" t="s">
        <v>686</v>
      </c>
      <c r="D2060" t="s">
        <v>3122</v>
      </c>
      <c r="E2060" t="s">
        <v>281</v>
      </c>
      <c r="F2060" t="s">
        <v>281</v>
      </c>
      <c r="G2060" t="s">
        <v>2644</v>
      </c>
      <c r="H2060" t="s">
        <v>281</v>
      </c>
      <c r="I2060" t="s">
        <v>2666</v>
      </c>
      <c r="J2060">
        <v>1</v>
      </c>
      <c r="K2060">
        <v>154</v>
      </c>
    </row>
    <row r="2061" spans="1:11" x14ac:dyDescent="0.2">
      <c r="A2061" t="s">
        <v>2993</v>
      </c>
      <c r="B2061">
        <v>74001</v>
      </c>
      <c r="C2061" t="s">
        <v>1177</v>
      </c>
      <c r="D2061" t="s">
        <v>3018</v>
      </c>
      <c r="E2061" t="s">
        <v>281</v>
      </c>
      <c r="F2061" t="s">
        <v>281</v>
      </c>
      <c r="G2061" t="s">
        <v>2644</v>
      </c>
      <c r="H2061" t="s">
        <v>281</v>
      </c>
      <c r="I2061" t="s">
        <v>2666</v>
      </c>
      <c r="J2061">
        <v>1</v>
      </c>
      <c r="K2061">
        <v>196</v>
      </c>
    </row>
    <row r="2062" spans="1:11" x14ac:dyDescent="0.2">
      <c r="A2062" t="s">
        <v>2993</v>
      </c>
      <c r="B2062">
        <v>75001</v>
      </c>
      <c r="C2062" t="s">
        <v>687</v>
      </c>
      <c r="D2062" t="s">
        <v>3039</v>
      </c>
      <c r="E2062" t="s">
        <v>281</v>
      </c>
      <c r="F2062" t="s">
        <v>281</v>
      </c>
      <c r="G2062" t="s">
        <v>2639</v>
      </c>
      <c r="H2062" t="s">
        <v>281</v>
      </c>
      <c r="I2062" t="s">
        <v>2666</v>
      </c>
      <c r="J2062">
        <v>1</v>
      </c>
      <c r="K2062">
        <v>409.5</v>
      </c>
    </row>
    <row r="2063" spans="1:11" x14ac:dyDescent="0.2">
      <c r="A2063" t="s">
        <v>2993</v>
      </c>
      <c r="B2063">
        <v>72002</v>
      </c>
      <c r="C2063" t="s">
        <v>1175</v>
      </c>
      <c r="D2063" t="s">
        <v>3068</v>
      </c>
      <c r="E2063" t="s">
        <v>281</v>
      </c>
      <c r="F2063" t="s">
        <v>281</v>
      </c>
      <c r="G2063" t="s">
        <v>2635</v>
      </c>
      <c r="H2063" t="s">
        <v>281</v>
      </c>
      <c r="I2063" t="s">
        <v>2666</v>
      </c>
      <c r="J2063">
        <v>1</v>
      </c>
      <c r="K2063">
        <v>91</v>
      </c>
    </row>
    <row r="2064" spans="1:11" x14ac:dyDescent="0.2">
      <c r="A2064" t="s">
        <v>2993</v>
      </c>
      <c r="B2064">
        <v>52036</v>
      </c>
      <c r="C2064" t="s">
        <v>2561</v>
      </c>
      <c r="D2064" t="s">
        <v>3047</v>
      </c>
      <c r="E2064" t="s">
        <v>281</v>
      </c>
      <c r="F2064" t="s">
        <v>281</v>
      </c>
      <c r="G2064" t="s">
        <v>2682</v>
      </c>
      <c r="H2064" t="s">
        <v>281</v>
      </c>
      <c r="I2064" t="s">
        <v>2666</v>
      </c>
      <c r="J2064">
        <v>1</v>
      </c>
      <c r="K2064">
        <v>681</v>
      </c>
    </row>
    <row r="2065" spans="1:11" x14ac:dyDescent="0.2">
      <c r="A2065" t="s">
        <v>2993</v>
      </c>
      <c r="B2065">
        <v>65003</v>
      </c>
      <c r="C2065" t="s">
        <v>1166</v>
      </c>
      <c r="D2065" t="s">
        <v>3093</v>
      </c>
      <c r="E2065" t="s">
        <v>281</v>
      </c>
      <c r="F2065" t="s">
        <v>281</v>
      </c>
      <c r="G2065" t="s">
        <v>2649</v>
      </c>
      <c r="H2065" t="s">
        <v>281</v>
      </c>
      <c r="I2065" t="s">
        <v>2666</v>
      </c>
      <c r="J2065">
        <v>1</v>
      </c>
      <c r="K2065">
        <v>41</v>
      </c>
    </row>
    <row r="2066" spans="1:11" x14ac:dyDescent="0.2">
      <c r="A2066" t="s">
        <v>2993</v>
      </c>
      <c r="B2066">
        <v>39006</v>
      </c>
      <c r="C2066" t="s">
        <v>2548</v>
      </c>
      <c r="D2066" t="s">
        <v>3071</v>
      </c>
      <c r="E2066" t="s">
        <v>2634</v>
      </c>
      <c r="F2066" t="s">
        <v>281</v>
      </c>
      <c r="G2066" t="s">
        <v>2988</v>
      </c>
      <c r="H2066" t="s">
        <v>2634</v>
      </c>
      <c r="I2066" t="s">
        <v>2666</v>
      </c>
      <c r="J2066">
        <v>1</v>
      </c>
      <c r="K2066">
        <v>234</v>
      </c>
    </row>
    <row r="2067" spans="1:11" x14ac:dyDescent="0.2">
      <c r="A2067" t="s">
        <v>2993</v>
      </c>
      <c r="B2067">
        <v>50006</v>
      </c>
      <c r="C2067" t="s">
        <v>631</v>
      </c>
      <c r="D2067" t="s">
        <v>3091</v>
      </c>
      <c r="E2067" t="s">
        <v>281</v>
      </c>
      <c r="F2067" t="s">
        <v>281</v>
      </c>
      <c r="G2067" t="s">
        <v>2954</v>
      </c>
      <c r="H2067" t="s">
        <v>281</v>
      </c>
      <c r="I2067" t="s">
        <v>2666</v>
      </c>
      <c r="J2067">
        <v>1</v>
      </c>
      <c r="K2067">
        <v>379</v>
      </c>
    </row>
    <row r="2068" spans="1:11" x14ac:dyDescent="0.2">
      <c r="A2068" t="s">
        <v>2993</v>
      </c>
      <c r="B2068">
        <v>40005</v>
      </c>
      <c r="C2068" t="s">
        <v>539</v>
      </c>
      <c r="D2068" t="s">
        <v>3120</v>
      </c>
      <c r="E2068" t="s">
        <v>281</v>
      </c>
      <c r="F2068" t="s">
        <v>281</v>
      </c>
      <c r="G2068" t="s">
        <v>2704</v>
      </c>
      <c r="H2068" t="s">
        <v>281</v>
      </c>
      <c r="I2068" t="s">
        <v>2666</v>
      </c>
      <c r="J2068">
        <v>1</v>
      </c>
      <c r="K2068">
        <v>991.17</v>
      </c>
    </row>
    <row r="2069" spans="1:11" x14ac:dyDescent="0.2">
      <c r="A2069" t="s">
        <v>2993</v>
      </c>
      <c r="B2069">
        <v>41001</v>
      </c>
      <c r="C2069" t="s">
        <v>1147</v>
      </c>
      <c r="D2069" t="s">
        <v>3098</v>
      </c>
      <c r="E2069" t="s">
        <v>281</v>
      </c>
      <c r="F2069" t="s">
        <v>281</v>
      </c>
      <c r="G2069" t="s">
        <v>2704</v>
      </c>
      <c r="H2069" t="s">
        <v>281</v>
      </c>
      <c r="I2069" t="s">
        <v>2666</v>
      </c>
      <c r="J2069">
        <v>1</v>
      </c>
      <c r="K2069">
        <v>81</v>
      </c>
    </row>
    <row r="2070" spans="1:11" x14ac:dyDescent="0.2">
      <c r="A2070" t="s">
        <v>2993</v>
      </c>
      <c r="B2070">
        <v>67011</v>
      </c>
      <c r="C2070" t="s">
        <v>1114</v>
      </c>
      <c r="D2070" t="s">
        <v>3060</v>
      </c>
      <c r="E2070" t="s">
        <v>281</v>
      </c>
      <c r="F2070" t="s">
        <v>281</v>
      </c>
      <c r="G2070" t="s">
        <v>2622</v>
      </c>
      <c r="H2070" t="s">
        <v>281</v>
      </c>
      <c r="I2070" t="s">
        <v>2616</v>
      </c>
      <c r="J2070">
        <v>1</v>
      </c>
      <c r="K2070">
        <v>66</v>
      </c>
    </row>
    <row r="2071" spans="1:11" x14ac:dyDescent="0.2">
      <c r="A2071" t="s">
        <v>2993</v>
      </c>
      <c r="B2071">
        <v>40008</v>
      </c>
      <c r="C2071" t="s">
        <v>540</v>
      </c>
      <c r="D2071" t="s">
        <v>3044</v>
      </c>
      <c r="E2071" t="s">
        <v>281</v>
      </c>
      <c r="F2071" t="s">
        <v>281</v>
      </c>
      <c r="G2071" t="s">
        <v>2704</v>
      </c>
      <c r="H2071" t="s">
        <v>281</v>
      </c>
      <c r="I2071" t="s">
        <v>2666</v>
      </c>
      <c r="J2071">
        <v>1</v>
      </c>
      <c r="K2071">
        <v>168.5</v>
      </c>
    </row>
    <row r="2072" spans="1:11" x14ac:dyDescent="0.2">
      <c r="A2072" t="s">
        <v>2993</v>
      </c>
      <c r="B2072">
        <v>76005</v>
      </c>
      <c r="C2072" t="s">
        <v>689</v>
      </c>
      <c r="D2072" t="s">
        <v>2999</v>
      </c>
      <c r="E2072" t="s">
        <v>281</v>
      </c>
      <c r="F2072" t="s">
        <v>281</v>
      </c>
      <c r="G2072" t="s">
        <v>2718</v>
      </c>
      <c r="H2072" t="s">
        <v>281</v>
      </c>
      <c r="I2072" t="s">
        <v>2666</v>
      </c>
      <c r="J2072">
        <v>1</v>
      </c>
      <c r="K2072">
        <v>522</v>
      </c>
    </row>
    <row r="2073" spans="1:11" x14ac:dyDescent="0.2">
      <c r="A2073" t="s">
        <v>2993</v>
      </c>
      <c r="B2073">
        <v>86007</v>
      </c>
      <c r="C2073" t="s">
        <v>1189</v>
      </c>
      <c r="D2073" t="s">
        <v>3001</v>
      </c>
      <c r="E2073" t="s">
        <v>281</v>
      </c>
      <c r="F2073" t="s">
        <v>281</v>
      </c>
      <c r="G2073" t="s">
        <v>2624</v>
      </c>
      <c r="H2073" t="s">
        <v>281</v>
      </c>
      <c r="I2073" t="s">
        <v>2666</v>
      </c>
      <c r="J2073">
        <v>1</v>
      </c>
      <c r="K2073">
        <v>163</v>
      </c>
    </row>
    <row r="2074" spans="1:11" x14ac:dyDescent="0.2">
      <c r="A2074" t="s">
        <v>2993</v>
      </c>
      <c r="B2074">
        <v>62002</v>
      </c>
      <c r="C2074" t="s">
        <v>670</v>
      </c>
      <c r="D2074" t="s">
        <v>3025</v>
      </c>
      <c r="E2074" t="s">
        <v>281</v>
      </c>
      <c r="F2074" t="s">
        <v>281</v>
      </c>
      <c r="G2074" t="s">
        <v>2617</v>
      </c>
      <c r="H2074" t="s">
        <v>281</v>
      </c>
      <c r="I2074" t="s">
        <v>2666</v>
      </c>
      <c r="J2074">
        <v>1</v>
      </c>
      <c r="K2074">
        <v>73</v>
      </c>
    </row>
    <row r="2075" spans="1:11" x14ac:dyDescent="0.2">
      <c r="A2075" t="s">
        <v>2993</v>
      </c>
      <c r="B2075">
        <v>81002</v>
      </c>
      <c r="C2075" t="s">
        <v>722</v>
      </c>
      <c r="D2075" t="s">
        <v>3078</v>
      </c>
      <c r="E2075" t="s">
        <v>2634</v>
      </c>
      <c r="F2075" t="s">
        <v>281</v>
      </c>
      <c r="G2075" t="s">
        <v>2821</v>
      </c>
      <c r="H2075" t="s">
        <v>2634</v>
      </c>
      <c r="I2075" t="s">
        <v>2666</v>
      </c>
      <c r="J2075">
        <v>1</v>
      </c>
      <c r="K2075">
        <v>30</v>
      </c>
    </row>
    <row r="2076" spans="1:11" x14ac:dyDescent="0.2">
      <c r="A2076" t="s">
        <v>2993</v>
      </c>
      <c r="B2076">
        <v>52043</v>
      </c>
      <c r="C2076" t="s">
        <v>1037</v>
      </c>
      <c r="D2076" t="s">
        <v>3101</v>
      </c>
      <c r="E2076" t="s">
        <v>281</v>
      </c>
      <c r="F2076" t="s">
        <v>281</v>
      </c>
      <c r="G2076" t="s">
        <v>2682</v>
      </c>
      <c r="H2076" t="s">
        <v>281</v>
      </c>
      <c r="I2076" t="s">
        <v>2616</v>
      </c>
      <c r="J2076">
        <v>1</v>
      </c>
      <c r="K2076">
        <v>96</v>
      </c>
    </row>
    <row r="2077" spans="1:11" x14ac:dyDescent="0.2">
      <c r="A2077" t="s">
        <v>2993</v>
      </c>
      <c r="B2077">
        <v>50029</v>
      </c>
      <c r="C2077" t="s">
        <v>1155</v>
      </c>
      <c r="D2077" t="s">
        <v>3061</v>
      </c>
      <c r="E2077" t="s">
        <v>281</v>
      </c>
      <c r="F2077" t="s">
        <v>281</v>
      </c>
      <c r="G2077" t="s">
        <v>2667</v>
      </c>
      <c r="H2077" t="s">
        <v>281</v>
      </c>
      <c r="I2077" t="s">
        <v>2666</v>
      </c>
      <c r="J2077">
        <v>1</v>
      </c>
      <c r="K2077">
        <v>3545.17</v>
      </c>
    </row>
    <row r="2078" spans="1:11" x14ac:dyDescent="0.2">
      <c r="A2078" t="s">
        <v>2993</v>
      </c>
      <c r="B2078">
        <v>74008</v>
      </c>
      <c r="C2078" t="s">
        <v>685</v>
      </c>
      <c r="D2078" t="s">
        <v>3092</v>
      </c>
      <c r="E2078" t="s">
        <v>281</v>
      </c>
      <c r="F2078" t="s">
        <v>281</v>
      </c>
      <c r="G2078" t="s">
        <v>2644</v>
      </c>
      <c r="H2078" t="s">
        <v>281</v>
      </c>
      <c r="I2078" t="s">
        <v>2666</v>
      </c>
      <c r="J2078">
        <v>1</v>
      </c>
      <c r="K2078">
        <v>1</v>
      </c>
    </row>
    <row r="2079" spans="1:11" x14ac:dyDescent="0.2">
      <c r="A2079" t="s">
        <v>2993</v>
      </c>
      <c r="B2079">
        <v>51014</v>
      </c>
      <c r="C2079" t="s">
        <v>1368</v>
      </c>
      <c r="D2079" t="s">
        <v>3121</v>
      </c>
      <c r="E2079" t="s">
        <v>281</v>
      </c>
      <c r="F2079" t="s">
        <v>281</v>
      </c>
      <c r="G2079" t="s">
        <v>2667</v>
      </c>
      <c r="H2079" t="s">
        <v>281</v>
      </c>
      <c r="I2079" t="s">
        <v>2666</v>
      </c>
      <c r="J2079">
        <v>1</v>
      </c>
      <c r="K2079">
        <v>235</v>
      </c>
    </row>
    <row r="2080" spans="1:11" x14ac:dyDescent="0.2">
      <c r="A2080" t="s">
        <v>2993</v>
      </c>
      <c r="B2080">
        <v>73002</v>
      </c>
      <c r="C2080" t="s">
        <v>682</v>
      </c>
      <c r="D2080" t="s">
        <v>3057</v>
      </c>
      <c r="E2080" t="s">
        <v>281</v>
      </c>
      <c r="F2080" t="s">
        <v>281</v>
      </c>
      <c r="G2080" t="s">
        <v>2660</v>
      </c>
      <c r="H2080" t="s">
        <v>281</v>
      </c>
      <c r="I2080" t="s">
        <v>2666</v>
      </c>
      <c r="J2080">
        <v>1</v>
      </c>
      <c r="K2080">
        <v>1270.67</v>
      </c>
    </row>
    <row r="2081" spans="1:11" x14ac:dyDescent="0.2">
      <c r="A2081" t="s">
        <v>2993</v>
      </c>
      <c r="B2081">
        <v>52012</v>
      </c>
      <c r="C2081" t="s">
        <v>639</v>
      </c>
      <c r="D2081" t="s">
        <v>3046</v>
      </c>
      <c r="E2081" t="s">
        <v>281</v>
      </c>
      <c r="F2081" t="s">
        <v>281</v>
      </c>
      <c r="G2081" t="s">
        <v>2682</v>
      </c>
      <c r="H2081" t="s">
        <v>281</v>
      </c>
      <c r="I2081" t="s">
        <v>2666</v>
      </c>
      <c r="J2081">
        <v>1</v>
      </c>
      <c r="K2081">
        <v>7</v>
      </c>
    </row>
    <row r="2082" spans="1:11" x14ac:dyDescent="0.2">
      <c r="A2082" t="s">
        <v>2993</v>
      </c>
      <c r="B2082">
        <v>52014</v>
      </c>
      <c r="C2082" t="s">
        <v>641</v>
      </c>
      <c r="D2082" t="s">
        <v>3119</v>
      </c>
      <c r="E2082" t="s">
        <v>281</v>
      </c>
      <c r="F2082" t="s">
        <v>281</v>
      </c>
      <c r="G2082" t="s">
        <v>2682</v>
      </c>
      <c r="H2082" t="s">
        <v>281</v>
      </c>
      <c r="I2082" t="s">
        <v>2666</v>
      </c>
      <c r="J2082">
        <v>1</v>
      </c>
      <c r="K2082">
        <v>273</v>
      </c>
    </row>
    <row r="2083" spans="1:11" x14ac:dyDescent="0.2">
      <c r="A2083" t="s">
        <v>2993</v>
      </c>
      <c r="B2083">
        <v>81003</v>
      </c>
      <c r="C2083" t="s">
        <v>2470</v>
      </c>
      <c r="D2083" t="s">
        <v>3023</v>
      </c>
      <c r="E2083" t="s">
        <v>281</v>
      </c>
      <c r="F2083" t="s">
        <v>281</v>
      </c>
      <c r="G2083" t="s">
        <v>2821</v>
      </c>
      <c r="H2083" t="s">
        <v>281</v>
      </c>
      <c r="I2083" t="s">
        <v>2666</v>
      </c>
      <c r="J2083">
        <v>1</v>
      </c>
      <c r="K2083">
        <v>233</v>
      </c>
    </row>
    <row r="2084" spans="1:11" x14ac:dyDescent="0.2">
      <c r="A2084" t="s">
        <v>2993</v>
      </c>
      <c r="B2084">
        <v>81024</v>
      </c>
      <c r="C2084" t="s">
        <v>726</v>
      </c>
      <c r="D2084" t="s">
        <v>3089</v>
      </c>
      <c r="E2084" t="s">
        <v>281</v>
      </c>
      <c r="F2084" t="s">
        <v>281</v>
      </c>
      <c r="G2084" t="s">
        <v>2821</v>
      </c>
      <c r="H2084" t="s">
        <v>281</v>
      </c>
      <c r="I2084" t="s">
        <v>2666</v>
      </c>
      <c r="J2084">
        <v>1</v>
      </c>
      <c r="K2084">
        <v>173</v>
      </c>
    </row>
    <row r="2085" spans="1:11" x14ac:dyDescent="0.2">
      <c r="A2085" t="s">
        <v>2993</v>
      </c>
      <c r="B2085">
        <v>62011</v>
      </c>
      <c r="C2085" t="s">
        <v>1165</v>
      </c>
      <c r="D2085" t="s">
        <v>3017</v>
      </c>
      <c r="E2085" t="s">
        <v>281</v>
      </c>
      <c r="F2085" t="s">
        <v>281</v>
      </c>
      <c r="G2085" t="s">
        <v>2617</v>
      </c>
      <c r="H2085" t="s">
        <v>281</v>
      </c>
      <c r="I2085" t="s">
        <v>2666</v>
      </c>
      <c r="J2085">
        <v>1</v>
      </c>
      <c r="K2085">
        <v>204</v>
      </c>
    </row>
    <row r="2086" spans="1:11" x14ac:dyDescent="0.2">
      <c r="A2086" t="s">
        <v>2993</v>
      </c>
      <c r="B2086">
        <v>67001</v>
      </c>
      <c r="C2086" t="s">
        <v>673</v>
      </c>
      <c r="D2086" t="s">
        <v>2994</v>
      </c>
      <c r="E2086" t="s">
        <v>281</v>
      </c>
      <c r="F2086" t="s">
        <v>281</v>
      </c>
      <c r="G2086" t="s">
        <v>2622</v>
      </c>
      <c r="H2086" t="s">
        <v>281</v>
      </c>
      <c r="I2086" t="s">
        <v>2666</v>
      </c>
      <c r="J2086">
        <v>1</v>
      </c>
      <c r="K2086">
        <v>30</v>
      </c>
    </row>
    <row r="2087" spans="1:11" x14ac:dyDescent="0.2">
      <c r="A2087" t="s">
        <v>2993</v>
      </c>
      <c r="B2087">
        <v>60004</v>
      </c>
      <c r="C2087" t="s">
        <v>667</v>
      </c>
      <c r="D2087" t="s">
        <v>3128</v>
      </c>
      <c r="E2087" t="s">
        <v>281</v>
      </c>
      <c r="F2087" t="s">
        <v>281</v>
      </c>
      <c r="G2087" t="s">
        <v>2641</v>
      </c>
      <c r="H2087" t="s">
        <v>281</v>
      </c>
      <c r="I2087" t="s">
        <v>2666</v>
      </c>
      <c r="J2087">
        <v>1</v>
      </c>
      <c r="K2087">
        <v>136</v>
      </c>
    </row>
    <row r="2088" spans="1:11" x14ac:dyDescent="0.2">
      <c r="A2088" t="s">
        <v>2993</v>
      </c>
      <c r="B2088">
        <v>56009</v>
      </c>
      <c r="C2088" t="s">
        <v>656</v>
      </c>
      <c r="D2088" t="s">
        <v>3065</v>
      </c>
      <c r="E2088" t="s">
        <v>281</v>
      </c>
      <c r="F2088" t="s">
        <v>281</v>
      </c>
      <c r="G2088" t="s">
        <v>2690</v>
      </c>
      <c r="H2088" t="s">
        <v>281</v>
      </c>
      <c r="I2088" t="s">
        <v>2666</v>
      </c>
      <c r="J2088">
        <v>1</v>
      </c>
      <c r="K2088">
        <v>734</v>
      </c>
    </row>
    <row r="2089" spans="1:11" x14ac:dyDescent="0.2">
      <c r="A2089" t="s">
        <v>2993</v>
      </c>
      <c r="B2089">
        <v>41029</v>
      </c>
      <c r="C2089" t="s">
        <v>1303</v>
      </c>
      <c r="D2089" t="s">
        <v>3026</v>
      </c>
      <c r="E2089" t="s">
        <v>281</v>
      </c>
      <c r="F2089" t="s">
        <v>281</v>
      </c>
      <c r="G2089" t="s">
        <v>2704</v>
      </c>
      <c r="H2089" t="s">
        <v>281</v>
      </c>
      <c r="I2089" t="s">
        <v>2666</v>
      </c>
      <c r="J2089">
        <v>1</v>
      </c>
      <c r="K2089">
        <v>1675</v>
      </c>
    </row>
    <row r="2090" spans="1:11" x14ac:dyDescent="0.2">
      <c r="A2090" t="s">
        <v>2993</v>
      </c>
      <c r="B2090">
        <v>50004</v>
      </c>
      <c r="C2090" t="s">
        <v>630</v>
      </c>
      <c r="D2090" t="s">
        <v>3042</v>
      </c>
      <c r="E2090" t="s">
        <v>2634</v>
      </c>
      <c r="F2090" t="s">
        <v>281</v>
      </c>
      <c r="G2090" t="s">
        <v>2954</v>
      </c>
      <c r="H2090" t="s">
        <v>2634</v>
      </c>
      <c r="I2090" t="s">
        <v>2666</v>
      </c>
      <c r="J2090">
        <v>1</v>
      </c>
      <c r="K2090">
        <v>30</v>
      </c>
    </row>
    <row r="2091" spans="1:11" x14ac:dyDescent="0.2">
      <c r="A2091" t="s">
        <v>2993</v>
      </c>
      <c r="B2091">
        <v>69007</v>
      </c>
      <c r="C2091" t="s">
        <v>1062</v>
      </c>
      <c r="D2091" t="s">
        <v>3041</v>
      </c>
      <c r="E2091" t="s">
        <v>281</v>
      </c>
      <c r="F2091" t="s">
        <v>281</v>
      </c>
      <c r="G2091" t="s">
        <v>3027</v>
      </c>
      <c r="H2091" t="s">
        <v>281</v>
      </c>
      <c r="I2091" t="s">
        <v>2666</v>
      </c>
      <c r="J2091">
        <v>1</v>
      </c>
      <c r="K2091">
        <v>259</v>
      </c>
    </row>
    <row r="2092" spans="1:11" x14ac:dyDescent="0.2">
      <c r="A2092" t="s">
        <v>2993</v>
      </c>
      <c r="B2092">
        <v>62010</v>
      </c>
      <c r="C2092" t="s">
        <v>1164</v>
      </c>
      <c r="D2092" t="s">
        <v>3111</v>
      </c>
      <c r="E2092" t="s">
        <v>281</v>
      </c>
      <c r="F2092" t="s">
        <v>281</v>
      </c>
      <c r="G2092" t="s">
        <v>2617</v>
      </c>
      <c r="H2092" t="s">
        <v>281</v>
      </c>
      <c r="I2092" t="s">
        <v>2666</v>
      </c>
      <c r="J2092">
        <v>1</v>
      </c>
      <c r="K2092">
        <v>57</v>
      </c>
    </row>
    <row r="2093" spans="1:11" x14ac:dyDescent="0.2">
      <c r="A2093" t="s">
        <v>2993</v>
      </c>
      <c r="B2093">
        <v>39007</v>
      </c>
      <c r="C2093" t="s">
        <v>280</v>
      </c>
      <c r="D2093" t="s">
        <v>3074</v>
      </c>
      <c r="E2093" t="s">
        <v>281</v>
      </c>
      <c r="F2093" t="s">
        <v>281</v>
      </c>
      <c r="G2093" t="s">
        <v>2988</v>
      </c>
      <c r="H2093" t="s">
        <v>281</v>
      </c>
      <c r="I2093" t="s">
        <v>2666</v>
      </c>
      <c r="J2093">
        <v>1</v>
      </c>
      <c r="K2093">
        <v>416</v>
      </c>
    </row>
    <row r="2094" spans="1:11" x14ac:dyDescent="0.2">
      <c r="A2094" t="s">
        <v>2993</v>
      </c>
      <c r="B2094">
        <v>59005</v>
      </c>
      <c r="C2094" t="s">
        <v>1314</v>
      </c>
      <c r="D2094" t="s">
        <v>3103</v>
      </c>
      <c r="E2094" t="s">
        <v>281</v>
      </c>
      <c r="F2094" t="s">
        <v>281</v>
      </c>
      <c r="G2094" t="s">
        <v>2620</v>
      </c>
      <c r="H2094" t="s">
        <v>281</v>
      </c>
      <c r="I2094" t="s">
        <v>2666</v>
      </c>
      <c r="J2094">
        <v>1</v>
      </c>
      <c r="K2094">
        <v>277</v>
      </c>
    </row>
    <row r="2095" spans="1:11" x14ac:dyDescent="0.2">
      <c r="A2095" t="s">
        <v>2993</v>
      </c>
      <c r="B2095">
        <v>52049</v>
      </c>
      <c r="C2095" t="s">
        <v>1369</v>
      </c>
      <c r="D2095" t="s">
        <v>3090</v>
      </c>
      <c r="E2095" t="s">
        <v>281</v>
      </c>
      <c r="F2095" t="s">
        <v>281</v>
      </c>
      <c r="G2095" t="s">
        <v>2682</v>
      </c>
      <c r="H2095" t="s">
        <v>281</v>
      </c>
      <c r="I2095" t="s">
        <v>2666</v>
      </c>
      <c r="J2095">
        <v>1</v>
      </c>
      <c r="K2095">
        <v>954.85</v>
      </c>
    </row>
    <row r="2096" spans="1:11" x14ac:dyDescent="0.2">
      <c r="A2096" t="s">
        <v>2993</v>
      </c>
      <c r="B2096">
        <v>68003</v>
      </c>
      <c r="C2096" t="s">
        <v>1170</v>
      </c>
      <c r="D2096" t="s">
        <v>3003</v>
      </c>
      <c r="E2096" t="s">
        <v>2634</v>
      </c>
      <c r="F2096" t="s">
        <v>281</v>
      </c>
      <c r="G2096" t="s">
        <v>2651</v>
      </c>
      <c r="H2096" t="s">
        <v>2634</v>
      </c>
      <c r="I2096" t="s">
        <v>2666</v>
      </c>
      <c r="J2096">
        <v>1</v>
      </c>
      <c r="K2096">
        <v>203.17</v>
      </c>
    </row>
    <row r="2097" spans="1:11" x14ac:dyDescent="0.2">
      <c r="A2097" t="s">
        <v>2959</v>
      </c>
      <c r="B2097">
        <v>83010</v>
      </c>
      <c r="C2097" t="s">
        <v>1766</v>
      </c>
      <c r="D2097" t="s">
        <v>2968</v>
      </c>
      <c r="E2097" t="s">
        <v>281</v>
      </c>
      <c r="F2097" t="s">
        <v>281</v>
      </c>
      <c r="G2097" t="s">
        <v>2967</v>
      </c>
      <c r="H2097" t="s">
        <v>281</v>
      </c>
      <c r="I2097" t="s">
        <v>2616</v>
      </c>
      <c r="J2097">
        <v>1</v>
      </c>
      <c r="K2097">
        <v>30218</v>
      </c>
    </row>
    <row r="2098" spans="1:11" x14ac:dyDescent="0.2">
      <c r="A2098" t="s">
        <v>2959</v>
      </c>
      <c r="B2098">
        <v>39001</v>
      </c>
      <c r="C2098" t="s">
        <v>1615</v>
      </c>
      <c r="D2098" t="s">
        <v>2989</v>
      </c>
      <c r="E2098" t="s">
        <v>281</v>
      </c>
      <c r="F2098" t="s">
        <v>281</v>
      </c>
      <c r="G2098" t="s">
        <v>2988</v>
      </c>
      <c r="H2098" t="s">
        <v>281</v>
      </c>
      <c r="I2098" t="s">
        <v>2616</v>
      </c>
      <c r="J2098">
        <v>1</v>
      </c>
      <c r="K2098">
        <v>6944</v>
      </c>
    </row>
    <row r="2099" spans="1:11" x14ac:dyDescent="0.2">
      <c r="A2099" t="s">
        <v>2959</v>
      </c>
      <c r="B2099">
        <v>50009</v>
      </c>
      <c r="C2099" t="s">
        <v>1682</v>
      </c>
      <c r="D2099" t="s">
        <v>2965</v>
      </c>
      <c r="E2099" t="s">
        <v>281</v>
      </c>
      <c r="F2099" t="s">
        <v>281</v>
      </c>
      <c r="G2099" t="s">
        <v>2954</v>
      </c>
      <c r="H2099" t="s">
        <v>281</v>
      </c>
      <c r="I2099" t="s">
        <v>2616</v>
      </c>
      <c r="J2099">
        <v>1</v>
      </c>
      <c r="K2099">
        <v>2699</v>
      </c>
    </row>
    <row r="2100" spans="1:11" x14ac:dyDescent="0.2">
      <c r="A2100" t="s">
        <v>2959</v>
      </c>
      <c r="B2100">
        <v>38018</v>
      </c>
      <c r="C2100" t="s">
        <v>1611</v>
      </c>
      <c r="D2100" t="s">
        <v>2972</v>
      </c>
      <c r="E2100" t="s">
        <v>2634</v>
      </c>
      <c r="F2100" t="s">
        <v>281</v>
      </c>
      <c r="G2100" t="s">
        <v>2676</v>
      </c>
      <c r="H2100" t="s">
        <v>2634</v>
      </c>
      <c r="I2100" t="s">
        <v>2616</v>
      </c>
      <c r="J2100">
        <v>1</v>
      </c>
      <c r="K2100">
        <v>1054</v>
      </c>
    </row>
    <row r="2101" spans="1:11" x14ac:dyDescent="0.2">
      <c r="A2101" t="s">
        <v>2959</v>
      </c>
      <c r="B2101">
        <v>29004</v>
      </c>
      <c r="C2101" t="s">
        <v>1564</v>
      </c>
      <c r="D2101" t="s">
        <v>2971</v>
      </c>
      <c r="E2101" t="s">
        <v>281</v>
      </c>
      <c r="F2101" t="s">
        <v>281</v>
      </c>
      <c r="G2101" t="s">
        <v>2688</v>
      </c>
      <c r="H2101" t="s">
        <v>281</v>
      </c>
      <c r="I2101" t="s">
        <v>2616</v>
      </c>
      <c r="J2101">
        <v>1</v>
      </c>
      <c r="K2101">
        <v>11743.33</v>
      </c>
    </row>
    <row r="2102" spans="1:11" x14ac:dyDescent="0.2">
      <c r="A2102" t="s">
        <v>2959</v>
      </c>
      <c r="B2102">
        <v>83001</v>
      </c>
      <c r="C2102" t="s">
        <v>2490</v>
      </c>
      <c r="D2102" t="s">
        <v>2973</v>
      </c>
      <c r="E2102" t="s">
        <v>281</v>
      </c>
      <c r="F2102" t="s">
        <v>281</v>
      </c>
      <c r="G2102" t="s">
        <v>2967</v>
      </c>
      <c r="H2102" t="s">
        <v>281</v>
      </c>
      <c r="I2102" t="s">
        <v>2616</v>
      </c>
      <c r="J2102">
        <v>1</v>
      </c>
      <c r="K2102">
        <v>8819</v>
      </c>
    </row>
    <row r="2103" spans="1:11" x14ac:dyDescent="0.2">
      <c r="A2103" t="s">
        <v>2959</v>
      </c>
      <c r="B2103">
        <v>89007</v>
      </c>
      <c r="C2103" t="s">
        <v>1780</v>
      </c>
      <c r="D2103" t="s">
        <v>2964</v>
      </c>
      <c r="E2103" t="s">
        <v>281</v>
      </c>
      <c r="F2103" t="s">
        <v>281</v>
      </c>
      <c r="G2103" t="s">
        <v>2963</v>
      </c>
      <c r="H2103" t="s">
        <v>281</v>
      </c>
      <c r="I2103" t="s">
        <v>2616</v>
      </c>
      <c r="J2103">
        <v>1</v>
      </c>
      <c r="K2103">
        <v>2673</v>
      </c>
    </row>
    <row r="2104" spans="1:11" x14ac:dyDescent="0.2">
      <c r="A2104" t="s">
        <v>2959</v>
      </c>
      <c r="B2104">
        <v>78008</v>
      </c>
      <c r="C2104" t="s">
        <v>1752</v>
      </c>
      <c r="D2104" t="s">
        <v>2962</v>
      </c>
      <c r="E2104" t="s">
        <v>281</v>
      </c>
      <c r="F2104" t="s">
        <v>281</v>
      </c>
      <c r="G2104" t="s">
        <v>2909</v>
      </c>
      <c r="H2104" t="s">
        <v>281</v>
      </c>
      <c r="I2104" t="s">
        <v>2616</v>
      </c>
      <c r="J2104">
        <v>1</v>
      </c>
      <c r="K2104">
        <v>15645</v>
      </c>
    </row>
    <row r="2105" spans="1:11" x14ac:dyDescent="0.2">
      <c r="A2105" t="s">
        <v>2959</v>
      </c>
      <c r="B2105">
        <v>80041</v>
      </c>
      <c r="C2105" t="s">
        <v>1759</v>
      </c>
      <c r="D2105" t="s">
        <v>2975</v>
      </c>
      <c r="E2105" t="s">
        <v>2634</v>
      </c>
      <c r="F2105" t="s">
        <v>281</v>
      </c>
      <c r="G2105" t="s">
        <v>2842</v>
      </c>
      <c r="H2105" t="s">
        <v>2634</v>
      </c>
      <c r="I2105" t="s">
        <v>2616</v>
      </c>
      <c r="J2105">
        <v>1</v>
      </c>
      <c r="K2105">
        <v>5062</v>
      </c>
    </row>
    <row r="2106" spans="1:11" x14ac:dyDescent="0.2">
      <c r="A2106" t="s">
        <v>2959</v>
      </c>
      <c r="B2106">
        <v>46019</v>
      </c>
      <c r="C2106" t="s">
        <v>1657</v>
      </c>
      <c r="D2106" t="s">
        <v>2966</v>
      </c>
      <c r="E2106" t="s">
        <v>281</v>
      </c>
      <c r="F2106" t="s">
        <v>281</v>
      </c>
      <c r="G2106" t="s">
        <v>2826</v>
      </c>
      <c r="H2106" t="s">
        <v>281</v>
      </c>
      <c r="I2106" t="s">
        <v>2616</v>
      </c>
      <c r="J2106">
        <v>1</v>
      </c>
      <c r="K2106">
        <v>13150</v>
      </c>
    </row>
    <row r="2107" spans="1:11" x14ac:dyDescent="0.2">
      <c r="A2107" t="s">
        <v>2959</v>
      </c>
      <c r="B2107">
        <v>25010</v>
      </c>
      <c r="C2107" t="s">
        <v>1524</v>
      </c>
      <c r="D2107" t="s">
        <v>2986</v>
      </c>
      <c r="E2107" t="s">
        <v>279</v>
      </c>
      <c r="F2107" t="s">
        <v>279</v>
      </c>
      <c r="G2107" t="s">
        <v>2733</v>
      </c>
      <c r="H2107" t="s">
        <v>279</v>
      </c>
      <c r="I2107" t="s">
        <v>2616</v>
      </c>
      <c r="J2107">
        <v>1</v>
      </c>
      <c r="K2107">
        <v>7997</v>
      </c>
    </row>
    <row r="2108" spans="1:11" x14ac:dyDescent="0.2">
      <c r="A2108" t="s">
        <v>2959</v>
      </c>
      <c r="B2108">
        <v>80026</v>
      </c>
      <c r="C2108" t="s">
        <v>1758</v>
      </c>
      <c r="D2108" t="s">
        <v>2974</v>
      </c>
      <c r="E2108" t="s">
        <v>281</v>
      </c>
      <c r="F2108" t="s">
        <v>281</v>
      </c>
      <c r="G2108" t="s">
        <v>2842</v>
      </c>
      <c r="H2108" t="s">
        <v>281</v>
      </c>
      <c r="I2108" t="s">
        <v>2616</v>
      </c>
      <c r="J2108">
        <v>1</v>
      </c>
      <c r="K2108">
        <v>9712</v>
      </c>
    </row>
    <row r="2109" spans="1:11" x14ac:dyDescent="0.2">
      <c r="A2109" t="s">
        <v>2959</v>
      </c>
      <c r="B2109">
        <v>40019</v>
      </c>
      <c r="C2109" t="s">
        <v>1621</v>
      </c>
      <c r="D2109" t="s">
        <v>2958</v>
      </c>
      <c r="E2109" t="s">
        <v>281</v>
      </c>
      <c r="F2109" t="s">
        <v>281</v>
      </c>
      <c r="G2109" t="s">
        <v>2704</v>
      </c>
      <c r="H2109" t="s">
        <v>281</v>
      </c>
      <c r="I2109" t="s">
        <v>2616</v>
      </c>
      <c r="J2109">
        <v>1</v>
      </c>
      <c r="K2109">
        <v>11399</v>
      </c>
    </row>
    <row r="2110" spans="1:11" x14ac:dyDescent="0.2">
      <c r="A2110" t="s">
        <v>2959</v>
      </c>
      <c r="B2110">
        <v>76006</v>
      </c>
      <c r="C2110" t="s">
        <v>1740</v>
      </c>
      <c r="D2110" t="s">
        <v>2977</v>
      </c>
      <c r="E2110" t="s">
        <v>281</v>
      </c>
      <c r="F2110" t="s">
        <v>281</v>
      </c>
      <c r="G2110" t="s">
        <v>2718</v>
      </c>
      <c r="H2110" t="s">
        <v>281</v>
      </c>
      <c r="I2110" t="s">
        <v>2616</v>
      </c>
      <c r="J2110">
        <v>1</v>
      </c>
      <c r="K2110">
        <v>3836</v>
      </c>
    </row>
    <row r="2111" spans="1:11" x14ac:dyDescent="0.2">
      <c r="A2111" t="s">
        <v>2959</v>
      </c>
      <c r="B2111">
        <v>43001</v>
      </c>
      <c r="C2111" t="s">
        <v>1632</v>
      </c>
      <c r="D2111" t="s">
        <v>2985</v>
      </c>
      <c r="E2111" t="s">
        <v>281</v>
      </c>
      <c r="F2111" t="s">
        <v>281</v>
      </c>
      <c r="G2111" t="s">
        <v>2706</v>
      </c>
      <c r="H2111" t="s">
        <v>281</v>
      </c>
      <c r="I2111" t="s">
        <v>2616</v>
      </c>
      <c r="J2111">
        <v>1</v>
      </c>
      <c r="K2111">
        <v>9637</v>
      </c>
    </row>
    <row r="2112" spans="1:11" x14ac:dyDescent="0.2">
      <c r="A2112" t="s">
        <v>2959</v>
      </c>
      <c r="B2112">
        <v>49039</v>
      </c>
      <c r="C2112" t="s">
        <v>1672</v>
      </c>
      <c r="D2112" t="s">
        <v>2984</v>
      </c>
      <c r="E2112" t="s">
        <v>2634</v>
      </c>
      <c r="F2112" t="s">
        <v>281</v>
      </c>
      <c r="G2112" t="s">
        <v>2983</v>
      </c>
      <c r="H2112" t="s">
        <v>2634</v>
      </c>
      <c r="I2112" t="s">
        <v>2616</v>
      </c>
      <c r="J2112">
        <v>1</v>
      </c>
      <c r="K2112">
        <v>3577</v>
      </c>
    </row>
    <row r="2113" spans="1:11" x14ac:dyDescent="0.2">
      <c r="A2113" t="s">
        <v>2959</v>
      </c>
      <c r="B2113">
        <v>80005</v>
      </c>
      <c r="C2113" t="s">
        <v>1757</v>
      </c>
      <c r="D2113" t="s">
        <v>2981</v>
      </c>
      <c r="E2113" t="s">
        <v>281</v>
      </c>
      <c r="F2113" t="s">
        <v>281</v>
      </c>
      <c r="G2113" t="s">
        <v>2842</v>
      </c>
      <c r="H2113" t="s">
        <v>281</v>
      </c>
      <c r="I2113" t="s">
        <v>2616</v>
      </c>
      <c r="J2113">
        <v>1</v>
      </c>
      <c r="K2113">
        <v>9861</v>
      </c>
    </row>
    <row r="2114" spans="1:11" x14ac:dyDescent="0.2">
      <c r="A2114" t="s">
        <v>2959</v>
      </c>
      <c r="B2114">
        <v>81014</v>
      </c>
      <c r="C2114" t="s">
        <v>1764</v>
      </c>
      <c r="D2114" t="s">
        <v>2987</v>
      </c>
      <c r="E2114" t="s">
        <v>281</v>
      </c>
      <c r="F2114" t="s">
        <v>281</v>
      </c>
      <c r="G2114" t="s">
        <v>2821</v>
      </c>
      <c r="H2114" t="s">
        <v>281</v>
      </c>
      <c r="I2114" t="s">
        <v>2616</v>
      </c>
      <c r="J2114">
        <v>1</v>
      </c>
      <c r="K2114">
        <v>14136</v>
      </c>
    </row>
    <row r="2115" spans="1:11" x14ac:dyDescent="0.2">
      <c r="A2115" t="s">
        <v>2959</v>
      </c>
      <c r="B2115">
        <v>25075</v>
      </c>
      <c r="C2115" t="s">
        <v>1535</v>
      </c>
      <c r="D2115" t="s">
        <v>2986</v>
      </c>
      <c r="E2115" t="s">
        <v>279</v>
      </c>
      <c r="F2115" t="s">
        <v>279</v>
      </c>
      <c r="G2115" t="s">
        <v>2733</v>
      </c>
      <c r="H2115" t="s">
        <v>279</v>
      </c>
      <c r="I2115" t="s">
        <v>2616</v>
      </c>
      <c r="J2115">
        <v>1</v>
      </c>
      <c r="K2115">
        <v>170</v>
      </c>
    </row>
    <row r="2116" spans="1:11" x14ac:dyDescent="0.2">
      <c r="A2116" t="s">
        <v>2959</v>
      </c>
      <c r="B2116">
        <v>12007</v>
      </c>
      <c r="C2116" t="s">
        <v>1423</v>
      </c>
      <c r="D2116" t="s">
        <v>2978</v>
      </c>
      <c r="E2116" t="s">
        <v>279</v>
      </c>
      <c r="F2116" t="s">
        <v>279</v>
      </c>
      <c r="G2116" t="s">
        <v>2686</v>
      </c>
      <c r="H2116" t="s">
        <v>279</v>
      </c>
      <c r="I2116" t="s">
        <v>2616</v>
      </c>
      <c r="J2116">
        <v>1</v>
      </c>
      <c r="K2116">
        <v>2026</v>
      </c>
    </row>
    <row r="2117" spans="1:11" x14ac:dyDescent="0.2">
      <c r="A2117" t="s">
        <v>2959</v>
      </c>
      <c r="B2117">
        <v>47004</v>
      </c>
      <c r="C2117" t="s">
        <v>1660</v>
      </c>
      <c r="D2117" t="s">
        <v>2961</v>
      </c>
      <c r="E2117" t="s">
        <v>281</v>
      </c>
      <c r="F2117" t="s">
        <v>281</v>
      </c>
      <c r="G2117" t="s">
        <v>2893</v>
      </c>
      <c r="H2117" t="s">
        <v>281</v>
      </c>
      <c r="I2117" t="s">
        <v>2616</v>
      </c>
      <c r="J2117">
        <v>1</v>
      </c>
      <c r="K2117">
        <v>1143</v>
      </c>
    </row>
    <row r="2118" spans="1:11" x14ac:dyDescent="0.2">
      <c r="A2118" t="s">
        <v>2959</v>
      </c>
      <c r="B2118">
        <v>80002</v>
      </c>
      <c r="C2118" t="s">
        <v>1756</v>
      </c>
      <c r="D2118" t="s">
        <v>2970</v>
      </c>
      <c r="E2118" t="s">
        <v>281</v>
      </c>
      <c r="F2118" t="s">
        <v>281</v>
      </c>
      <c r="G2118" t="s">
        <v>2842</v>
      </c>
      <c r="H2118" t="s">
        <v>281</v>
      </c>
      <c r="I2118" t="s">
        <v>2616</v>
      </c>
      <c r="J2118">
        <v>1</v>
      </c>
      <c r="K2118">
        <v>2734</v>
      </c>
    </row>
    <row r="2119" spans="1:11" x14ac:dyDescent="0.2">
      <c r="A2119" t="s">
        <v>2959</v>
      </c>
      <c r="B2119">
        <v>76021</v>
      </c>
      <c r="C2119" t="s">
        <v>2396</v>
      </c>
      <c r="D2119" t="s">
        <v>2969</v>
      </c>
      <c r="E2119" t="s">
        <v>281</v>
      </c>
      <c r="F2119" t="s">
        <v>281</v>
      </c>
      <c r="G2119" t="s">
        <v>2718</v>
      </c>
      <c r="H2119" t="s">
        <v>281</v>
      </c>
      <c r="I2119" t="s">
        <v>2666</v>
      </c>
      <c r="J2119">
        <v>1</v>
      </c>
      <c r="K2119">
        <v>5537</v>
      </c>
    </row>
    <row r="2120" spans="1:11" x14ac:dyDescent="0.2">
      <c r="A2120" t="s">
        <v>2959</v>
      </c>
      <c r="B2120">
        <v>49082</v>
      </c>
      <c r="C2120" t="s">
        <v>2991</v>
      </c>
      <c r="D2120" t="s">
        <v>2990</v>
      </c>
      <c r="E2120" t="s">
        <v>281</v>
      </c>
      <c r="F2120" t="s">
        <v>281</v>
      </c>
      <c r="G2120" t="s">
        <v>2983</v>
      </c>
      <c r="H2120" t="s">
        <v>281</v>
      </c>
      <c r="I2120" t="s">
        <v>2616</v>
      </c>
      <c r="J2120">
        <v>1</v>
      </c>
      <c r="K2120">
        <v>85</v>
      </c>
    </row>
    <row r="2121" spans="1:11" x14ac:dyDescent="0.2">
      <c r="A2121" t="s">
        <v>2959</v>
      </c>
      <c r="B2121">
        <v>50005</v>
      </c>
      <c r="C2121" t="s">
        <v>1680</v>
      </c>
      <c r="D2121" t="s">
        <v>2979</v>
      </c>
      <c r="E2121" t="s">
        <v>281</v>
      </c>
      <c r="F2121" t="s">
        <v>281</v>
      </c>
      <c r="G2121" t="s">
        <v>2954</v>
      </c>
      <c r="H2121" t="s">
        <v>281</v>
      </c>
      <c r="I2121" t="s">
        <v>2616</v>
      </c>
      <c r="J2121">
        <v>1</v>
      </c>
      <c r="K2121">
        <v>432</v>
      </c>
    </row>
    <row r="2122" spans="1:11" x14ac:dyDescent="0.2">
      <c r="A2122" t="s">
        <v>2959</v>
      </c>
      <c r="B2122">
        <v>208026</v>
      </c>
      <c r="C2122" t="s">
        <v>2255</v>
      </c>
      <c r="D2122" t="s">
        <v>2974</v>
      </c>
      <c r="E2122" t="s">
        <v>281</v>
      </c>
      <c r="F2122" t="s">
        <v>281</v>
      </c>
      <c r="G2122" t="s">
        <v>2842</v>
      </c>
      <c r="H2122" t="s">
        <v>281</v>
      </c>
      <c r="I2122" t="s">
        <v>2616</v>
      </c>
      <c r="J2122">
        <v>1</v>
      </c>
      <c r="K2122">
        <v>1240</v>
      </c>
    </row>
    <row r="2123" spans="1:11" x14ac:dyDescent="0.2">
      <c r="A2123" t="s">
        <v>2959</v>
      </c>
      <c r="B2123">
        <v>20106</v>
      </c>
      <c r="C2123" t="s">
        <v>1480</v>
      </c>
      <c r="D2123" t="s">
        <v>2976</v>
      </c>
      <c r="E2123" t="s">
        <v>279</v>
      </c>
      <c r="F2123" t="s">
        <v>279</v>
      </c>
      <c r="G2123" t="s">
        <v>2814</v>
      </c>
      <c r="H2123" t="s">
        <v>279</v>
      </c>
      <c r="I2123" t="s">
        <v>2616</v>
      </c>
      <c r="J2123">
        <v>1</v>
      </c>
      <c r="K2123">
        <v>40373</v>
      </c>
    </row>
    <row r="2124" spans="1:11" x14ac:dyDescent="0.2">
      <c r="A2124" t="s">
        <v>2959</v>
      </c>
      <c r="B2124">
        <v>85002</v>
      </c>
      <c r="C2124" t="s">
        <v>1773</v>
      </c>
      <c r="D2124" t="s">
        <v>2960</v>
      </c>
      <c r="E2124" t="s">
        <v>2634</v>
      </c>
      <c r="F2124" t="s">
        <v>281</v>
      </c>
      <c r="G2124" t="s">
        <v>2874</v>
      </c>
      <c r="H2124" t="s">
        <v>2634</v>
      </c>
      <c r="I2124" t="s">
        <v>2616</v>
      </c>
      <c r="J2124">
        <v>1</v>
      </c>
      <c r="K2124">
        <v>4299</v>
      </c>
    </row>
    <row r="2125" spans="1:11" x14ac:dyDescent="0.2">
      <c r="A2125" t="s">
        <v>2959</v>
      </c>
      <c r="B2125">
        <v>50002</v>
      </c>
      <c r="C2125" t="s">
        <v>1678</v>
      </c>
      <c r="D2125" t="s">
        <v>2982</v>
      </c>
      <c r="E2125" t="s">
        <v>281</v>
      </c>
      <c r="F2125" t="s">
        <v>281</v>
      </c>
      <c r="G2125" t="s">
        <v>2954</v>
      </c>
      <c r="H2125" t="s">
        <v>281</v>
      </c>
      <c r="I2125" t="s">
        <v>2616</v>
      </c>
      <c r="J2125">
        <v>1</v>
      </c>
      <c r="K2125">
        <v>890</v>
      </c>
    </row>
    <row r="2126" spans="1:11" x14ac:dyDescent="0.2">
      <c r="A2126" t="s">
        <v>2959</v>
      </c>
      <c r="B2126">
        <v>50003</v>
      </c>
      <c r="C2126" t="s">
        <v>1679</v>
      </c>
      <c r="D2126" t="s">
        <v>2980</v>
      </c>
      <c r="E2126" t="s">
        <v>281</v>
      </c>
      <c r="F2126" t="s">
        <v>281</v>
      </c>
      <c r="G2126" t="s">
        <v>2954</v>
      </c>
      <c r="H2126" t="s">
        <v>281</v>
      </c>
      <c r="I2126" t="s">
        <v>2616</v>
      </c>
      <c r="J2126">
        <v>1</v>
      </c>
      <c r="K2126">
        <v>47366.58</v>
      </c>
    </row>
    <row r="2127" spans="1:11" x14ac:dyDescent="0.2">
      <c r="A2127" t="s">
        <v>2669</v>
      </c>
      <c r="B2127">
        <v>191306</v>
      </c>
      <c r="C2127" t="s">
        <v>1105</v>
      </c>
      <c r="D2127" t="s">
        <v>2866</v>
      </c>
      <c r="E2127" t="s">
        <v>183</v>
      </c>
      <c r="F2127" t="s">
        <v>283</v>
      </c>
      <c r="G2127" t="s">
        <v>2865</v>
      </c>
      <c r="H2127" t="s">
        <v>183</v>
      </c>
      <c r="I2127" t="s">
        <v>2666</v>
      </c>
      <c r="J2127">
        <v>1</v>
      </c>
      <c r="K2127">
        <v>11</v>
      </c>
    </row>
    <row r="2128" spans="1:11" x14ac:dyDescent="0.2">
      <c r="A2128" t="s">
        <v>2669</v>
      </c>
      <c r="B2128">
        <v>34016</v>
      </c>
      <c r="C2128" t="s">
        <v>2418</v>
      </c>
      <c r="D2128" t="s">
        <v>2903</v>
      </c>
      <c r="E2128" t="s">
        <v>281</v>
      </c>
      <c r="F2128" t="s">
        <v>281</v>
      </c>
      <c r="G2128" t="s">
        <v>2770</v>
      </c>
      <c r="H2128" t="s">
        <v>281</v>
      </c>
      <c r="I2128" t="s">
        <v>2666</v>
      </c>
      <c r="J2128">
        <v>1</v>
      </c>
      <c r="K2128">
        <v>299</v>
      </c>
    </row>
    <row r="2129" spans="1:11" x14ac:dyDescent="0.2">
      <c r="A2129" t="s">
        <v>2669</v>
      </c>
      <c r="B2129">
        <v>230305</v>
      </c>
      <c r="C2129" t="s">
        <v>1215</v>
      </c>
      <c r="D2129" t="s">
        <v>2679</v>
      </c>
      <c r="E2129" t="s">
        <v>184</v>
      </c>
      <c r="F2129" t="s">
        <v>184</v>
      </c>
      <c r="G2129" t="s">
        <v>2670</v>
      </c>
      <c r="H2129" t="s">
        <v>184</v>
      </c>
      <c r="I2129" t="s">
        <v>2666</v>
      </c>
      <c r="J2129">
        <v>1</v>
      </c>
      <c r="K2129">
        <v>50</v>
      </c>
    </row>
    <row r="2130" spans="1:11" x14ac:dyDescent="0.2">
      <c r="A2130" t="s">
        <v>2669</v>
      </c>
      <c r="B2130">
        <v>29039</v>
      </c>
      <c r="C2130" t="s">
        <v>468</v>
      </c>
      <c r="D2130" t="s">
        <v>2703</v>
      </c>
      <c r="E2130" t="s">
        <v>281</v>
      </c>
      <c r="F2130" t="s">
        <v>281</v>
      </c>
      <c r="G2130" t="s">
        <v>2688</v>
      </c>
      <c r="H2130" t="s">
        <v>281</v>
      </c>
      <c r="I2130" t="s">
        <v>2666</v>
      </c>
      <c r="J2130">
        <v>1</v>
      </c>
      <c r="K2130">
        <v>73</v>
      </c>
    </row>
    <row r="2131" spans="1:11" x14ac:dyDescent="0.2">
      <c r="A2131" t="s">
        <v>2669</v>
      </c>
      <c r="B2131">
        <v>37010</v>
      </c>
      <c r="C2131" t="s">
        <v>2419</v>
      </c>
      <c r="D2131" t="s">
        <v>2902</v>
      </c>
      <c r="E2131" t="s">
        <v>281</v>
      </c>
      <c r="F2131" t="s">
        <v>281</v>
      </c>
      <c r="G2131" t="s">
        <v>2759</v>
      </c>
      <c r="H2131" t="s">
        <v>281</v>
      </c>
      <c r="I2131" t="s">
        <v>2666</v>
      </c>
      <c r="J2131">
        <v>1</v>
      </c>
      <c r="K2131">
        <v>39</v>
      </c>
    </row>
    <row r="2132" spans="1:11" x14ac:dyDescent="0.2">
      <c r="A2132" t="s">
        <v>2669</v>
      </c>
      <c r="B2132">
        <v>231708</v>
      </c>
      <c r="C2132" t="s">
        <v>2450</v>
      </c>
      <c r="D2132" t="s">
        <v>2751</v>
      </c>
      <c r="E2132" t="s">
        <v>184</v>
      </c>
      <c r="F2132" t="s">
        <v>184</v>
      </c>
      <c r="G2132" t="s">
        <v>2750</v>
      </c>
      <c r="H2132" t="s">
        <v>184</v>
      </c>
      <c r="I2132" t="s">
        <v>2666</v>
      </c>
      <c r="J2132">
        <v>1</v>
      </c>
      <c r="K2132">
        <v>231</v>
      </c>
    </row>
    <row r="2133" spans="1:11" x14ac:dyDescent="0.2">
      <c r="A2133" t="s">
        <v>2669</v>
      </c>
      <c r="B2133">
        <v>57015</v>
      </c>
      <c r="C2133" t="s">
        <v>1257</v>
      </c>
      <c r="D2133" t="s">
        <v>2890</v>
      </c>
      <c r="E2133" t="s">
        <v>281</v>
      </c>
      <c r="F2133" t="s">
        <v>281</v>
      </c>
      <c r="G2133" t="s">
        <v>2889</v>
      </c>
      <c r="H2133" t="s">
        <v>281</v>
      </c>
      <c r="I2133" t="s">
        <v>2666</v>
      </c>
      <c r="J2133">
        <v>1</v>
      </c>
      <c r="K2133">
        <v>348</v>
      </c>
    </row>
    <row r="2134" spans="1:11" x14ac:dyDescent="0.2">
      <c r="A2134" t="s">
        <v>2669</v>
      </c>
      <c r="B2134">
        <v>92016</v>
      </c>
      <c r="C2134" t="s">
        <v>1276</v>
      </c>
      <c r="D2134" t="s">
        <v>2728</v>
      </c>
      <c r="E2134" t="s">
        <v>281</v>
      </c>
      <c r="F2134" t="s">
        <v>281</v>
      </c>
      <c r="G2134" t="s">
        <v>2637</v>
      </c>
      <c r="H2134" t="s">
        <v>281</v>
      </c>
      <c r="I2134" t="s">
        <v>2666</v>
      </c>
      <c r="J2134">
        <v>1</v>
      </c>
      <c r="K2134">
        <v>24</v>
      </c>
    </row>
    <row r="2135" spans="1:11" x14ac:dyDescent="0.2">
      <c r="A2135" t="s">
        <v>2669</v>
      </c>
      <c r="B2135">
        <v>73007</v>
      </c>
      <c r="C2135" t="s">
        <v>683</v>
      </c>
      <c r="D2135" t="s">
        <v>2900</v>
      </c>
      <c r="E2135" t="s">
        <v>281</v>
      </c>
      <c r="F2135" t="s">
        <v>281</v>
      </c>
      <c r="G2135" t="s">
        <v>2660</v>
      </c>
      <c r="H2135" t="s">
        <v>281</v>
      </c>
      <c r="I2135" t="s">
        <v>2666</v>
      </c>
      <c r="J2135">
        <v>1</v>
      </c>
      <c r="K2135">
        <v>257</v>
      </c>
    </row>
    <row r="2136" spans="1:11" x14ac:dyDescent="0.2">
      <c r="A2136" t="s">
        <v>2669</v>
      </c>
      <c r="B2136">
        <v>230910</v>
      </c>
      <c r="C2136" t="s">
        <v>2448</v>
      </c>
      <c r="D2136" t="s">
        <v>2697</v>
      </c>
      <c r="E2136" t="s">
        <v>184</v>
      </c>
      <c r="F2136" t="s">
        <v>184</v>
      </c>
      <c r="G2136" t="s">
        <v>2696</v>
      </c>
      <c r="H2136" t="s">
        <v>184</v>
      </c>
      <c r="I2136" t="s">
        <v>2666</v>
      </c>
      <c r="J2136">
        <v>1</v>
      </c>
      <c r="K2136">
        <v>74</v>
      </c>
    </row>
    <row r="2137" spans="1:11" x14ac:dyDescent="0.2">
      <c r="A2137" t="s">
        <v>2669</v>
      </c>
      <c r="B2137">
        <v>34000</v>
      </c>
      <c r="C2137" t="s">
        <v>1358</v>
      </c>
      <c r="D2137" t="s">
        <v>2771</v>
      </c>
      <c r="E2137" t="s">
        <v>281</v>
      </c>
      <c r="F2137" t="s">
        <v>281</v>
      </c>
      <c r="G2137" t="s">
        <v>2770</v>
      </c>
      <c r="H2137" t="s">
        <v>281</v>
      </c>
      <c r="I2137" t="s">
        <v>2666</v>
      </c>
      <c r="J2137">
        <v>1</v>
      </c>
      <c r="K2137">
        <v>144</v>
      </c>
    </row>
    <row r="2138" spans="1:11" x14ac:dyDescent="0.2">
      <c r="A2138" t="s">
        <v>2669</v>
      </c>
      <c r="B2138">
        <v>62015</v>
      </c>
      <c r="C2138" t="s">
        <v>1261</v>
      </c>
      <c r="D2138" t="s">
        <v>2789</v>
      </c>
      <c r="E2138" t="s">
        <v>281</v>
      </c>
      <c r="F2138" t="s">
        <v>281</v>
      </c>
      <c r="G2138" t="s">
        <v>2617</v>
      </c>
      <c r="H2138" t="s">
        <v>281</v>
      </c>
      <c r="I2138" t="s">
        <v>2666</v>
      </c>
      <c r="J2138">
        <v>1</v>
      </c>
      <c r="K2138">
        <v>355</v>
      </c>
    </row>
    <row r="2139" spans="1:11" x14ac:dyDescent="0.2">
      <c r="A2139" t="s">
        <v>2669</v>
      </c>
      <c r="B2139">
        <v>85005</v>
      </c>
      <c r="C2139" t="s">
        <v>1274</v>
      </c>
      <c r="D2139" t="s">
        <v>2875</v>
      </c>
      <c r="E2139" t="s">
        <v>281</v>
      </c>
      <c r="F2139" t="s">
        <v>281</v>
      </c>
      <c r="G2139" t="s">
        <v>2874</v>
      </c>
      <c r="H2139" t="s">
        <v>281</v>
      </c>
      <c r="I2139" t="s">
        <v>2666</v>
      </c>
      <c r="J2139">
        <v>1</v>
      </c>
      <c r="K2139">
        <v>20</v>
      </c>
    </row>
    <row r="2140" spans="1:11" x14ac:dyDescent="0.2">
      <c r="A2140" t="s">
        <v>2669</v>
      </c>
      <c r="B2140">
        <v>43033</v>
      </c>
      <c r="C2140" t="s">
        <v>2423</v>
      </c>
      <c r="D2140" t="s">
        <v>2853</v>
      </c>
      <c r="E2140" t="s">
        <v>281</v>
      </c>
      <c r="F2140" t="s">
        <v>281</v>
      </c>
      <c r="G2140" t="s">
        <v>2706</v>
      </c>
      <c r="H2140" t="s">
        <v>281</v>
      </c>
      <c r="I2140" t="s">
        <v>2666</v>
      </c>
      <c r="J2140">
        <v>1</v>
      </c>
      <c r="K2140">
        <v>64</v>
      </c>
    </row>
    <row r="2141" spans="1:11" x14ac:dyDescent="0.2">
      <c r="A2141" t="s">
        <v>2669</v>
      </c>
      <c r="B2141">
        <v>11012</v>
      </c>
      <c r="C2141" t="s">
        <v>1227</v>
      </c>
      <c r="D2141" t="s">
        <v>2834</v>
      </c>
      <c r="E2141" t="s">
        <v>31</v>
      </c>
      <c r="F2141" t="s">
        <v>283</v>
      </c>
      <c r="G2141" t="s">
        <v>2805</v>
      </c>
      <c r="H2141" t="s">
        <v>31</v>
      </c>
      <c r="I2141" t="s">
        <v>2666</v>
      </c>
      <c r="J2141">
        <v>1</v>
      </c>
      <c r="K2141">
        <v>93</v>
      </c>
    </row>
    <row r="2142" spans="1:11" x14ac:dyDescent="0.2">
      <c r="A2142" t="s">
        <v>2669</v>
      </c>
      <c r="B2142">
        <v>58003</v>
      </c>
      <c r="C2142" t="s">
        <v>662</v>
      </c>
      <c r="D2142" t="s">
        <v>2700</v>
      </c>
      <c r="E2142" t="s">
        <v>281</v>
      </c>
      <c r="F2142" t="s">
        <v>281</v>
      </c>
      <c r="G2142" t="s">
        <v>2699</v>
      </c>
      <c r="H2142" t="s">
        <v>281</v>
      </c>
      <c r="I2142" t="s">
        <v>2666</v>
      </c>
      <c r="J2142">
        <v>1</v>
      </c>
      <c r="K2142">
        <v>44</v>
      </c>
    </row>
    <row r="2143" spans="1:11" x14ac:dyDescent="0.2">
      <c r="A2143" t="s">
        <v>2669</v>
      </c>
      <c r="B2143">
        <v>80033</v>
      </c>
      <c r="C2143" t="s">
        <v>1268</v>
      </c>
      <c r="D2143" t="s">
        <v>2860</v>
      </c>
      <c r="E2143" t="s">
        <v>281</v>
      </c>
      <c r="F2143" t="s">
        <v>281</v>
      </c>
      <c r="G2143" t="s">
        <v>2842</v>
      </c>
      <c r="H2143" t="s">
        <v>281</v>
      </c>
      <c r="I2143" t="s">
        <v>2666</v>
      </c>
      <c r="J2143">
        <v>1</v>
      </c>
      <c r="K2143">
        <v>50</v>
      </c>
    </row>
    <row r="2144" spans="1:11" x14ac:dyDescent="0.2">
      <c r="A2144" t="s">
        <v>2669</v>
      </c>
      <c r="B2144">
        <v>34019</v>
      </c>
      <c r="C2144" t="s">
        <v>1360</v>
      </c>
      <c r="D2144" t="s">
        <v>2924</v>
      </c>
      <c r="E2144" t="s">
        <v>281</v>
      </c>
      <c r="F2144" t="s">
        <v>281</v>
      </c>
      <c r="G2144" t="s">
        <v>2770</v>
      </c>
      <c r="H2144" t="s">
        <v>281</v>
      </c>
      <c r="I2144" t="s">
        <v>2666</v>
      </c>
      <c r="J2144">
        <v>1</v>
      </c>
      <c r="K2144">
        <v>61</v>
      </c>
    </row>
    <row r="2145" spans="1:11" x14ac:dyDescent="0.2">
      <c r="A2145" t="s">
        <v>2669</v>
      </c>
      <c r="B2145">
        <v>191203</v>
      </c>
      <c r="C2145" t="s">
        <v>2443</v>
      </c>
      <c r="D2145" t="s">
        <v>2899</v>
      </c>
      <c r="E2145" t="s">
        <v>183</v>
      </c>
      <c r="F2145" t="s">
        <v>283</v>
      </c>
      <c r="G2145" t="s">
        <v>2711</v>
      </c>
      <c r="H2145" t="s">
        <v>183</v>
      </c>
      <c r="I2145" t="s">
        <v>2666</v>
      </c>
      <c r="J2145">
        <v>1</v>
      </c>
      <c r="K2145">
        <v>235</v>
      </c>
    </row>
    <row r="2146" spans="1:11" x14ac:dyDescent="0.2">
      <c r="A2146" t="s">
        <v>2669</v>
      </c>
      <c r="B2146">
        <v>12066</v>
      </c>
      <c r="C2146" t="s">
        <v>1350</v>
      </c>
      <c r="D2146" t="s">
        <v>2687</v>
      </c>
      <c r="E2146" t="s">
        <v>279</v>
      </c>
      <c r="F2146" t="s">
        <v>279</v>
      </c>
      <c r="G2146" t="s">
        <v>2686</v>
      </c>
      <c r="H2146" t="s">
        <v>279</v>
      </c>
      <c r="I2146" t="s">
        <v>2666</v>
      </c>
      <c r="J2146">
        <v>1</v>
      </c>
      <c r="K2146">
        <v>22</v>
      </c>
    </row>
    <row r="2147" spans="1:11" x14ac:dyDescent="0.2">
      <c r="A2147" t="s">
        <v>2669</v>
      </c>
      <c r="B2147">
        <v>60017</v>
      </c>
      <c r="C2147" t="s">
        <v>1260</v>
      </c>
      <c r="D2147" t="s">
        <v>2945</v>
      </c>
      <c r="E2147" t="s">
        <v>281</v>
      </c>
      <c r="F2147" t="s">
        <v>281</v>
      </c>
      <c r="G2147" t="s">
        <v>2641</v>
      </c>
      <c r="H2147" t="s">
        <v>281</v>
      </c>
      <c r="I2147" t="s">
        <v>2666</v>
      </c>
      <c r="J2147">
        <v>1</v>
      </c>
      <c r="K2147">
        <v>22</v>
      </c>
    </row>
    <row r="2148" spans="1:11" x14ac:dyDescent="0.2">
      <c r="A2148" t="s">
        <v>2669</v>
      </c>
      <c r="B2148">
        <v>30017</v>
      </c>
      <c r="C2148" t="s">
        <v>1355</v>
      </c>
      <c r="D2148" t="s">
        <v>2849</v>
      </c>
      <c r="E2148" t="s">
        <v>281</v>
      </c>
      <c r="F2148" t="s">
        <v>281</v>
      </c>
      <c r="G2148" t="s">
        <v>2783</v>
      </c>
      <c r="H2148" t="s">
        <v>281</v>
      </c>
      <c r="I2148" t="s">
        <v>2666</v>
      </c>
      <c r="J2148">
        <v>1</v>
      </c>
      <c r="K2148">
        <v>308</v>
      </c>
    </row>
    <row r="2149" spans="1:11" x14ac:dyDescent="0.2">
      <c r="A2149" t="s">
        <v>2669</v>
      </c>
      <c r="B2149">
        <v>74002</v>
      </c>
      <c r="C2149" t="s">
        <v>1263</v>
      </c>
      <c r="D2149" t="s">
        <v>2906</v>
      </c>
      <c r="E2149" t="s">
        <v>281</v>
      </c>
      <c r="F2149" t="s">
        <v>281</v>
      </c>
      <c r="G2149" t="s">
        <v>2644</v>
      </c>
      <c r="H2149" t="s">
        <v>281</v>
      </c>
      <c r="I2149" t="s">
        <v>2666</v>
      </c>
      <c r="J2149">
        <v>1</v>
      </c>
      <c r="K2149">
        <v>363</v>
      </c>
    </row>
    <row r="2150" spans="1:11" x14ac:dyDescent="0.2">
      <c r="A2150" t="s">
        <v>2669</v>
      </c>
      <c r="B2150">
        <v>74014</v>
      </c>
      <c r="C2150" t="s">
        <v>2432</v>
      </c>
      <c r="D2150" t="s">
        <v>2785</v>
      </c>
      <c r="E2150" t="s">
        <v>281</v>
      </c>
      <c r="F2150" t="s">
        <v>281</v>
      </c>
      <c r="G2150" t="s">
        <v>2644</v>
      </c>
      <c r="H2150" t="s">
        <v>281</v>
      </c>
      <c r="I2150" t="s">
        <v>2666</v>
      </c>
      <c r="J2150">
        <v>1</v>
      </c>
      <c r="K2150">
        <v>245</v>
      </c>
    </row>
    <row r="2151" spans="1:11" x14ac:dyDescent="0.2">
      <c r="A2151" t="s">
        <v>2669</v>
      </c>
      <c r="B2151">
        <v>15079</v>
      </c>
      <c r="C2151" t="s">
        <v>2411</v>
      </c>
      <c r="D2151" t="s">
        <v>2859</v>
      </c>
      <c r="E2151" t="s">
        <v>279</v>
      </c>
      <c r="F2151" t="s">
        <v>279</v>
      </c>
      <c r="G2151" t="s">
        <v>2858</v>
      </c>
      <c r="H2151" t="s">
        <v>279</v>
      </c>
      <c r="I2151" t="s">
        <v>2666</v>
      </c>
      <c r="J2151">
        <v>1</v>
      </c>
      <c r="K2151">
        <v>387.5</v>
      </c>
    </row>
    <row r="2152" spans="1:11" x14ac:dyDescent="0.2">
      <c r="A2152" t="s">
        <v>2669</v>
      </c>
      <c r="B2152">
        <v>190210</v>
      </c>
      <c r="C2152" t="s">
        <v>1207</v>
      </c>
      <c r="D2152" t="s">
        <v>2838</v>
      </c>
      <c r="E2152" t="s">
        <v>183</v>
      </c>
      <c r="F2152" t="s">
        <v>283</v>
      </c>
      <c r="G2152" t="s">
        <v>2837</v>
      </c>
      <c r="H2152" t="s">
        <v>183</v>
      </c>
      <c r="I2152" t="s">
        <v>2666</v>
      </c>
      <c r="J2152">
        <v>1</v>
      </c>
      <c r="K2152">
        <v>56</v>
      </c>
    </row>
    <row r="2153" spans="1:11" x14ac:dyDescent="0.2">
      <c r="A2153" t="s">
        <v>2669</v>
      </c>
      <c r="B2153">
        <v>70009</v>
      </c>
      <c r="C2153" t="s">
        <v>1080</v>
      </c>
      <c r="D2153" t="s">
        <v>2931</v>
      </c>
      <c r="E2153" t="s">
        <v>281</v>
      </c>
      <c r="F2153" t="s">
        <v>281</v>
      </c>
      <c r="G2153" t="s">
        <v>2647</v>
      </c>
      <c r="H2153" t="s">
        <v>281</v>
      </c>
      <c r="I2153" t="s">
        <v>2666</v>
      </c>
      <c r="J2153">
        <v>1</v>
      </c>
      <c r="K2153">
        <v>43</v>
      </c>
    </row>
    <row r="2154" spans="1:11" x14ac:dyDescent="0.2">
      <c r="A2154" t="s">
        <v>2669</v>
      </c>
      <c r="B2154">
        <v>6003</v>
      </c>
      <c r="C2154" t="s">
        <v>1119</v>
      </c>
      <c r="D2154" t="s">
        <v>2761</v>
      </c>
      <c r="E2154" t="s">
        <v>31</v>
      </c>
      <c r="F2154" t="s">
        <v>283</v>
      </c>
      <c r="G2154" t="s">
        <v>2742</v>
      </c>
      <c r="H2154" t="s">
        <v>31</v>
      </c>
      <c r="I2154" t="s">
        <v>2666</v>
      </c>
      <c r="J2154">
        <v>1</v>
      </c>
      <c r="K2154">
        <v>92</v>
      </c>
    </row>
    <row r="2155" spans="1:11" x14ac:dyDescent="0.2">
      <c r="A2155" t="s">
        <v>2669</v>
      </c>
      <c r="B2155">
        <v>34006</v>
      </c>
      <c r="C2155" t="s">
        <v>512</v>
      </c>
      <c r="D2155" t="s">
        <v>2929</v>
      </c>
      <c r="E2155" t="s">
        <v>281</v>
      </c>
      <c r="F2155" t="s">
        <v>281</v>
      </c>
      <c r="G2155" t="s">
        <v>2770</v>
      </c>
      <c r="H2155" t="s">
        <v>281</v>
      </c>
      <c r="I2155" t="s">
        <v>2666</v>
      </c>
      <c r="J2155">
        <v>1</v>
      </c>
      <c r="K2155">
        <v>38</v>
      </c>
    </row>
    <row r="2156" spans="1:11" x14ac:dyDescent="0.2">
      <c r="A2156" t="s">
        <v>2669</v>
      </c>
      <c r="B2156">
        <v>28025</v>
      </c>
      <c r="C2156" t="s">
        <v>457</v>
      </c>
      <c r="D2156" t="s">
        <v>2794</v>
      </c>
      <c r="E2156" t="s">
        <v>281</v>
      </c>
      <c r="F2156" t="s">
        <v>281</v>
      </c>
      <c r="G2156" t="s">
        <v>2793</v>
      </c>
      <c r="H2156" t="s">
        <v>281</v>
      </c>
      <c r="I2156" t="s">
        <v>2666</v>
      </c>
      <c r="J2156">
        <v>1</v>
      </c>
      <c r="K2156">
        <v>32</v>
      </c>
    </row>
    <row r="2157" spans="1:11" x14ac:dyDescent="0.2">
      <c r="A2157" t="s">
        <v>2669</v>
      </c>
      <c r="B2157">
        <v>93001</v>
      </c>
      <c r="C2157" t="s">
        <v>749</v>
      </c>
      <c r="D2157" t="s">
        <v>2915</v>
      </c>
      <c r="E2157" t="s">
        <v>281</v>
      </c>
      <c r="F2157" t="s">
        <v>281</v>
      </c>
      <c r="G2157" t="s">
        <v>2708</v>
      </c>
      <c r="H2157" t="s">
        <v>281</v>
      </c>
      <c r="I2157" t="s">
        <v>2666</v>
      </c>
      <c r="J2157">
        <v>1</v>
      </c>
      <c r="K2157">
        <v>89</v>
      </c>
    </row>
    <row r="2158" spans="1:11" x14ac:dyDescent="0.2">
      <c r="A2158" t="s">
        <v>2669</v>
      </c>
      <c r="B2158">
        <v>230115</v>
      </c>
      <c r="C2158" t="s">
        <v>1284</v>
      </c>
      <c r="D2158" t="s">
        <v>2779</v>
      </c>
      <c r="E2158" t="s">
        <v>184</v>
      </c>
      <c r="F2158" t="s">
        <v>184</v>
      </c>
      <c r="G2158" t="s">
        <v>2754</v>
      </c>
      <c r="H2158" t="s">
        <v>184</v>
      </c>
      <c r="I2158" t="s">
        <v>2666</v>
      </c>
      <c r="J2158">
        <v>1</v>
      </c>
      <c r="K2158">
        <v>36</v>
      </c>
    </row>
    <row r="2159" spans="1:11" x14ac:dyDescent="0.2">
      <c r="A2159" t="s">
        <v>2669</v>
      </c>
      <c r="B2159">
        <v>12023</v>
      </c>
      <c r="C2159" t="s">
        <v>1123</v>
      </c>
      <c r="D2159" t="s">
        <v>2714</v>
      </c>
      <c r="E2159" t="s">
        <v>279</v>
      </c>
      <c r="F2159" t="s">
        <v>279</v>
      </c>
      <c r="G2159" t="s">
        <v>2686</v>
      </c>
      <c r="H2159" t="s">
        <v>279</v>
      </c>
      <c r="I2159" t="s">
        <v>2666</v>
      </c>
      <c r="J2159">
        <v>1</v>
      </c>
      <c r="K2159">
        <v>245.58</v>
      </c>
    </row>
    <row r="2160" spans="1:11" x14ac:dyDescent="0.2">
      <c r="A2160" t="s">
        <v>2669</v>
      </c>
      <c r="B2160">
        <v>50036</v>
      </c>
      <c r="C2160" t="s">
        <v>1156</v>
      </c>
      <c r="D2160" t="s">
        <v>2668</v>
      </c>
      <c r="E2160" t="s">
        <v>281</v>
      </c>
      <c r="F2160" t="s">
        <v>281</v>
      </c>
      <c r="G2160" t="s">
        <v>2667</v>
      </c>
      <c r="H2160" t="s">
        <v>281</v>
      </c>
      <c r="I2160" t="s">
        <v>2666</v>
      </c>
      <c r="J2160">
        <v>1</v>
      </c>
      <c r="K2160">
        <v>364</v>
      </c>
    </row>
    <row r="2161" spans="1:11" x14ac:dyDescent="0.2">
      <c r="A2161" t="s">
        <v>2669</v>
      </c>
      <c r="B2161">
        <v>231306</v>
      </c>
      <c r="C2161" t="s">
        <v>2449</v>
      </c>
      <c r="D2161" t="s">
        <v>2753</v>
      </c>
      <c r="E2161" t="s">
        <v>184</v>
      </c>
      <c r="F2161" t="s">
        <v>184</v>
      </c>
      <c r="G2161" t="s">
        <v>184</v>
      </c>
      <c r="H2161" t="s">
        <v>184</v>
      </c>
      <c r="I2161" t="s">
        <v>2666</v>
      </c>
      <c r="J2161">
        <v>1</v>
      </c>
      <c r="K2161">
        <v>30</v>
      </c>
    </row>
    <row r="2162" spans="1:11" x14ac:dyDescent="0.2">
      <c r="A2162" t="s">
        <v>2669</v>
      </c>
      <c r="B2162">
        <v>71010</v>
      </c>
      <c r="C2162" t="s">
        <v>1262</v>
      </c>
      <c r="D2162" t="s">
        <v>2940</v>
      </c>
      <c r="E2162" t="s">
        <v>281</v>
      </c>
      <c r="F2162" t="s">
        <v>281</v>
      </c>
      <c r="G2162" t="s">
        <v>2629</v>
      </c>
      <c r="H2162" t="s">
        <v>281</v>
      </c>
      <c r="I2162" t="s">
        <v>2666</v>
      </c>
      <c r="J2162">
        <v>1</v>
      </c>
      <c r="K2162">
        <v>262</v>
      </c>
    </row>
    <row r="2163" spans="1:11" x14ac:dyDescent="0.2">
      <c r="A2163" t="s">
        <v>2669</v>
      </c>
      <c r="B2163">
        <v>93018</v>
      </c>
      <c r="C2163" t="s">
        <v>1376</v>
      </c>
      <c r="D2163" t="s">
        <v>2709</v>
      </c>
      <c r="E2163" t="s">
        <v>281</v>
      </c>
      <c r="F2163" t="s">
        <v>281</v>
      </c>
      <c r="G2163" t="s">
        <v>2708</v>
      </c>
      <c r="H2163" t="s">
        <v>281</v>
      </c>
      <c r="I2163" t="s">
        <v>2666</v>
      </c>
      <c r="J2163">
        <v>1</v>
      </c>
      <c r="K2163">
        <v>77</v>
      </c>
    </row>
    <row r="2164" spans="1:11" x14ac:dyDescent="0.2">
      <c r="A2164" t="s">
        <v>2669</v>
      </c>
      <c r="B2164">
        <v>230404</v>
      </c>
      <c r="C2164" t="s">
        <v>2447</v>
      </c>
      <c r="D2164" t="s">
        <v>2885</v>
      </c>
      <c r="E2164" t="s">
        <v>184</v>
      </c>
      <c r="F2164" t="s">
        <v>184</v>
      </c>
      <c r="G2164" t="s">
        <v>2739</v>
      </c>
      <c r="H2164" t="s">
        <v>184</v>
      </c>
      <c r="I2164" t="s">
        <v>2666</v>
      </c>
      <c r="J2164">
        <v>1</v>
      </c>
      <c r="K2164">
        <v>116</v>
      </c>
    </row>
    <row r="2165" spans="1:11" x14ac:dyDescent="0.2">
      <c r="A2165" t="s">
        <v>2669</v>
      </c>
      <c r="B2165">
        <v>230124</v>
      </c>
      <c r="C2165" t="s">
        <v>973</v>
      </c>
      <c r="D2165" t="s">
        <v>2836</v>
      </c>
      <c r="E2165" t="s">
        <v>184</v>
      </c>
      <c r="F2165" t="s">
        <v>184</v>
      </c>
      <c r="G2165" t="s">
        <v>2754</v>
      </c>
      <c r="H2165" t="s">
        <v>184</v>
      </c>
      <c r="I2165" t="s">
        <v>2666</v>
      </c>
      <c r="J2165">
        <v>1</v>
      </c>
      <c r="K2165">
        <v>415.4</v>
      </c>
    </row>
    <row r="2166" spans="1:11" x14ac:dyDescent="0.2">
      <c r="A2166" t="s">
        <v>2669</v>
      </c>
      <c r="B2166">
        <v>231314</v>
      </c>
      <c r="C2166" t="s">
        <v>1289</v>
      </c>
      <c r="D2166" t="s">
        <v>2864</v>
      </c>
      <c r="E2166" t="s">
        <v>184</v>
      </c>
      <c r="F2166" t="s">
        <v>184</v>
      </c>
      <c r="G2166" t="s">
        <v>184</v>
      </c>
      <c r="H2166" t="s">
        <v>184</v>
      </c>
      <c r="I2166" t="s">
        <v>2666</v>
      </c>
      <c r="J2166">
        <v>1</v>
      </c>
      <c r="K2166">
        <v>114</v>
      </c>
    </row>
    <row r="2167" spans="1:11" x14ac:dyDescent="0.2">
      <c r="A2167" t="s">
        <v>2669</v>
      </c>
      <c r="B2167">
        <v>230118</v>
      </c>
      <c r="C2167" t="s">
        <v>1339</v>
      </c>
      <c r="D2167" t="s">
        <v>2757</v>
      </c>
      <c r="E2167" t="s">
        <v>184</v>
      </c>
      <c r="F2167" t="s">
        <v>184</v>
      </c>
      <c r="G2167" t="s">
        <v>2754</v>
      </c>
      <c r="H2167" t="s">
        <v>184</v>
      </c>
      <c r="I2167" t="s">
        <v>2666</v>
      </c>
      <c r="J2167">
        <v>1</v>
      </c>
      <c r="K2167">
        <v>198</v>
      </c>
    </row>
    <row r="2168" spans="1:11" x14ac:dyDescent="0.2">
      <c r="A2168" t="s">
        <v>2669</v>
      </c>
      <c r="B2168">
        <v>71015</v>
      </c>
      <c r="C2168" t="s">
        <v>2456</v>
      </c>
      <c r="D2168" t="s">
        <v>2678</v>
      </c>
      <c r="E2168" t="s">
        <v>281</v>
      </c>
      <c r="F2168" t="s">
        <v>281</v>
      </c>
      <c r="G2168" t="s">
        <v>2629</v>
      </c>
      <c r="H2168" t="s">
        <v>281</v>
      </c>
      <c r="I2168" t="s">
        <v>2666</v>
      </c>
      <c r="J2168">
        <v>1</v>
      </c>
      <c r="K2168">
        <v>10</v>
      </c>
    </row>
    <row r="2169" spans="1:11" x14ac:dyDescent="0.2">
      <c r="A2169" t="s">
        <v>2669</v>
      </c>
      <c r="B2169">
        <v>12068</v>
      </c>
      <c r="C2169" t="s">
        <v>1352</v>
      </c>
      <c r="D2169" t="s">
        <v>2920</v>
      </c>
      <c r="E2169" t="s">
        <v>279</v>
      </c>
      <c r="F2169" t="s">
        <v>279</v>
      </c>
      <c r="G2169" t="s">
        <v>2686</v>
      </c>
      <c r="H2169" t="s">
        <v>279</v>
      </c>
      <c r="I2169" t="s">
        <v>2666</v>
      </c>
      <c r="J2169">
        <v>1</v>
      </c>
      <c r="K2169">
        <v>74</v>
      </c>
    </row>
    <row r="2170" spans="1:11" x14ac:dyDescent="0.2">
      <c r="A2170" t="s">
        <v>2669</v>
      </c>
      <c r="B2170">
        <v>17015</v>
      </c>
      <c r="C2170" t="s">
        <v>1231</v>
      </c>
      <c r="D2170" t="s">
        <v>2775</v>
      </c>
      <c r="E2170" t="s">
        <v>279</v>
      </c>
      <c r="F2170" t="s">
        <v>279</v>
      </c>
      <c r="G2170" t="s">
        <v>2774</v>
      </c>
      <c r="H2170" t="s">
        <v>279</v>
      </c>
      <c r="I2170" t="s">
        <v>2666</v>
      </c>
      <c r="J2170">
        <v>1</v>
      </c>
      <c r="K2170">
        <v>4</v>
      </c>
    </row>
    <row r="2171" spans="1:11" x14ac:dyDescent="0.2">
      <c r="A2171" t="s">
        <v>2669</v>
      </c>
      <c r="B2171">
        <v>66001</v>
      </c>
      <c r="C2171" t="s">
        <v>1318</v>
      </c>
      <c r="D2171" t="s">
        <v>2956</v>
      </c>
      <c r="E2171" t="s">
        <v>281</v>
      </c>
      <c r="F2171" t="s">
        <v>281</v>
      </c>
      <c r="G2171" t="s">
        <v>2694</v>
      </c>
      <c r="H2171" t="s">
        <v>281</v>
      </c>
      <c r="I2171" t="s">
        <v>2666</v>
      </c>
      <c r="J2171">
        <v>1</v>
      </c>
      <c r="K2171">
        <v>114</v>
      </c>
    </row>
    <row r="2172" spans="1:11" x14ac:dyDescent="0.2">
      <c r="A2172" t="s">
        <v>2669</v>
      </c>
      <c r="B2172">
        <v>77008</v>
      </c>
      <c r="C2172" t="s">
        <v>295</v>
      </c>
      <c r="D2172" t="s">
        <v>2917</v>
      </c>
      <c r="E2172" t="s">
        <v>2634</v>
      </c>
      <c r="F2172" t="s">
        <v>281</v>
      </c>
      <c r="G2172" t="s">
        <v>2780</v>
      </c>
      <c r="H2172" t="s">
        <v>2634</v>
      </c>
      <c r="I2172" t="s">
        <v>2616</v>
      </c>
      <c r="J2172">
        <v>1</v>
      </c>
      <c r="K2172">
        <v>69</v>
      </c>
    </row>
    <row r="2173" spans="1:11" x14ac:dyDescent="0.2">
      <c r="A2173" t="s">
        <v>2669</v>
      </c>
      <c r="B2173">
        <v>191527</v>
      </c>
      <c r="C2173" t="s">
        <v>1106</v>
      </c>
      <c r="D2173" t="s">
        <v>2919</v>
      </c>
      <c r="E2173" t="s">
        <v>183</v>
      </c>
      <c r="F2173" t="s">
        <v>184</v>
      </c>
      <c r="G2173" t="s">
        <v>2918</v>
      </c>
      <c r="H2173" t="s">
        <v>183</v>
      </c>
      <c r="I2173" t="s">
        <v>2666</v>
      </c>
      <c r="J2173">
        <v>1</v>
      </c>
      <c r="K2173">
        <v>10</v>
      </c>
    </row>
    <row r="2174" spans="1:11" x14ac:dyDescent="0.2">
      <c r="A2174" t="s">
        <v>2669</v>
      </c>
      <c r="B2174">
        <v>30002</v>
      </c>
      <c r="C2174" t="s">
        <v>2416</v>
      </c>
      <c r="D2174" t="s">
        <v>2784</v>
      </c>
      <c r="E2174" t="s">
        <v>281</v>
      </c>
      <c r="F2174" t="s">
        <v>281</v>
      </c>
      <c r="G2174" t="s">
        <v>2783</v>
      </c>
      <c r="H2174" t="s">
        <v>281</v>
      </c>
      <c r="I2174" t="s">
        <v>2666</v>
      </c>
      <c r="J2174">
        <v>1</v>
      </c>
      <c r="K2174">
        <v>99</v>
      </c>
    </row>
    <row r="2175" spans="1:11" x14ac:dyDescent="0.2">
      <c r="A2175" t="s">
        <v>2669</v>
      </c>
      <c r="B2175">
        <v>23015</v>
      </c>
      <c r="C2175" t="s">
        <v>1233</v>
      </c>
      <c r="D2175" t="s">
        <v>2734</v>
      </c>
      <c r="E2175" t="s">
        <v>279</v>
      </c>
      <c r="F2175" t="s">
        <v>279</v>
      </c>
      <c r="G2175" t="s">
        <v>2733</v>
      </c>
      <c r="H2175" t="s">
        <v>279</v>
      </c>
      <c r="I2175" t="s">
        <v>2666</v>
      </c>
      <c r="J2175">
        <v>1</v>
      </c>
      <c r="K2175">
        <v>37</v>
      </c>
    </row>
    <row r="2176" spans="1:11" x14ac:dyDescent="0.2">
      <c r="A2176" t="s">
        <v>2669</v>
      </c>
      <c r="B2176">
        <v>25018</v>
      </c>
      <c r="C2176" t="s">
        <v>423</v>
      </c>
      <c r="D2176" t="s">
        <v>2776</v>
      </c>
      <c r="E2176" t="s">
        <v>279</v>
      </c>
      <c r="F2176" t="s">
        <v>279</v>
      </c>
      <c r="G2176" t="s">
        <v>2733</v>
      </c>
      <c r="H2176" t="s">
        <v>279</v>
      </c>
      <c r="I2176" t="s">
        <v>2666</v>
      </c>
      <c r="J2176">
        <v>1</v>
      </c>
      <c r="K2176">
        <v>37</v>
      </c>
    </row>
    <row r="2177" spans="1:11" x14ac:dyDescent="0.2">
      <c r="A2177" t="s">
        <v>2669</v>
      </c>
      <c r="B2177">
        <v>5009</v>
      </c>
      <c r="C2177" t="s">
        <v>1225</v>
      </c>
      <c r="D2177" t="s">
        <v>2727</v>
      </c>
      <c r="E2177" t="s">
        <v>31</v>
      </c>
      <c r="F2177" t="s">
        <v>283</v>
      </c>
      <c r="G2177" t="s">
        <v>2726</v>
      </c>
      <c r="H2177" t="s">
        <v>31</v>
      </c>
      <c r="I2177" t="s">
        <v>2666</v>
      </c>
      <c r="J2177">
        <v>1</v>
      </c>
      <c r="K2177">
        <v>139</v>
      </c>
    </row>
    <row r="2178" spans="1:11" x14ac:dyDescent="0.2">
      <c r="A2178" t="s">
        <v>2669</v>
      </c>
      <c r="B2178">
        <v>191206</v>
      </c>
      <c r="C2178" t="s">
        <v>937</v>
      </c>
      <c r="D2178" t="s">
        <v>2712</v>
      </c>
      <c r="E2178" t="s">
        <v>183</v>
      </c>
      <c r="F2178" t="s">
        <v>283</v>
      </c>
      <c r="G2178" t="s">
        <v>2711</v>
      </c>
      <c r="H2178" t="s">
        <v>183</v>
      </c>
      <c r="I2178" t="s">
        <v>2666</v>
      </c>
      <c r="J2178">
        <v>1</v>
      </c>
      <c r="K2178">
        <v>12</v>
      </c>
    </row>
    <row r="2179" spans="1:11" x14ac:dyDescent="0.2">
      <c r="A2179" t="s">
        <v>2669</v>
      </c>
      <c r="B2179">
        <v>74019</v>
      </c>
      <c r="C2179" t="s">
        <v>1264</v>
      </c>
      <c r="D2179" t="s">
        <v>2872</v>
      </c>
      <c r="E2179" t="s">
        <v>281</v>
      </c>
      <c r="F2179" t="s">
        <v>281</v>
      </c>
      <c r="G2179" t="s">
        <v>2644</v>
      </c>
      <c r="H2179" t="s">
        <v>281</v>
      </c>
      <c r="I2179" t="s">
        <v>2666</v>
      </c>
      <c r="J2179">
        <v>1</v>
      </c>
      <c r="K2179">
        <v>14</v>
      </c>
    </row>
    <row r="2180" spans="1:11" x14ac:dyDescent="0.2">
      <c r="A2180" t="s">
        <v>2669</v>
      </c>
      <c r="B2180">
        <v>1026</v>
      </c>
      <c r="C2180" t="s">
        <v>2403</v>
      </c>
      <c r="D2180" t="s">
        <v>2921</v>
      </c>
      <c r="E2180" t="s">
        <v>206</v>
      </c>
      <c r="F2180" t="s">
        <v>279</v>
      </c>
      <c r="G2180" t="s">
        <v>2722</v>
      </c>
      <c r="H2180" t="s">
        <v>206</v>
      </c>
      <c r="I2180" t="s">
        <v>2666</v>
      </c>
      <c r="J2180">
        <v>1</v>
      </c>
      <c r="K2180">
        <v>203</v>
      </c>
    </row>
    <row r="2181" spans="1:11" x14ac:dyDescent="0.2">
      <c r="A2181" t="s">
        <v>2669</v>
      </c>
      <c r="B2181">
        <v>12046</v>
      </c>
      <c r="C2181" t="s">
        <v>1095</v>
      </c>
      <c r="D2181" t="s">
        <v>2930</v>
      </c>
      <c r="E2181" t="s">
        <v>279</v>
      </c>
      <c r="F2181" t="s">
        <v>279</v>
      </c>
      <c r="G2181" t="s">
        <v>2686</v>
      </c>
      <c r="H2181" t="s">
        <v>279</v>
      </c>
      <c r="I2181" t="s">
        <v>2666</v>
      </c>
      <c r="J2181">
        <v>1</v>
      </c>
      <c r="K2181">
        <v>23</v>
      </c>
    </row>
    <row r="2182" spans="1:11" x14ac:dyDescent="0.2">
      <c r="A2182" t="s">
        <v>2669</v>
      </c>
      <c r="B2182">
        <v>4011</v>
      </c>
      <c r="C2182" t="s">
        <v>1224</v>
      </c>
      <c r="D2182" t="s">
        <v>2763</v>
      </c>
      <c r="E2182" t="s">
        <v>279</v>
      </c>
      <c r="F2182" t="s">
        <v>279</v>
      </c>
      <c r="G2182" t="s">
        <v>2762</v>
      </c>
      <c r="H2182" t="s">
        <v>279</v>
      </c>
      <c r="I2182" t="s">
        <v>2666</v>
      </c>
      <c r="J2182">
        <v>1</v>
      </c>
      <c r="K2182">
        <v>143</v>
      </c>
    </row>
    <row r="2183" spans="1:11" x14ac:dyDescent="0.2">
      <c r="A2183" t="s">
        <v>2669</v>
      </c>
      <c r="B2183">
        <v>190202</v>
      </c>
      <c r="C2183" t="s">
        <v>1279</v>
      </c>
      <c r="D2183" t="s">
        <v>2922</v>
      </c>
      <c r="E2183" t="s">
        <v>183</v>
      </c>
      <c r="F2183" t="s">
        <v>283</v>
      </c>
      <c r="G2183" t="s">
        <v>2837</v>
      </c>
      <c r="H2183" t="s">
        <v>183</v>
      </c>
      <c r="I2183" t="s">
        <v>2666</v>
      </c>
      <c r="J2183">
        <v>1</v>
      </c>
      <c r="K2183">
        <v>11</v>
      </c>
    </row>
    <row r="2184" spans="1:11" x14ac:dyDescent="0.2">
      <c r="A2184" t="s">
        <v>2669</v>
      </c>
      <c r="B2184">
        <v>12024</v>
      </c>
      <c r="C2184" t="s">
        <v>335</v>
      </c>
      <c r="D2184" t="s">
        <v>2926</v>
      </c>
      <c r="E2184" t="s">
        <v>279</v>
      </c>
      <c r="F2184" t="s">
        <v>279</v>
      </c>
      <c r="G2184" t="s">
        <v>2686</v>
      </c>
      <c r="H2184" t="s">
        <v>279</v>
      </c>
      <c r="I2184" t="s">
        <v>2666</v>
      </c>
      <c r="J2184">
        <v>1</v>
      </c>
      <c r="K2184">
        <v>24</v>
      </c>
    </row>
    <row r="2185" spans="1:11" x14ac:dyDescent="0.2">
      <c r="A2185" t="s">
        <v>2669</v>
      </c>
      <c r="B2185">
        <v>191406</v>
      </c>
      <c r="C2185" t="s">
        <v>1386</v>
      </c>
      <c r="D2185" t="s">
        <v>2685</v>
      </c>
      <c r="E2185" t="s">
        <v>183</v>
      </c>
      <c r="F2185" t="s">
        <v>283</v>
      </c>
      <c r="G2185" t="s">
        <v>2684</v>
      </c>
      <c r="H2185" t="s">
        <v>183</v>
      </c>
      <c r="I2185" t="s">
        <v>2666</v>
      </c>
      <c r="J2185">
        <v>1</v>
      </c>
      <c r="K2185">
        <v>185.17</v>
      </c>
    </row>
    <row r="2186" spans="1:11" x14ac:dyDescent="0.2">
      <c r="A2186" t="s">
        <v>2669</v>
      </c>
      <c r="B2186">
        <v>2005</v>
      </c>
      <c r="C2186" t="s">
        <v>1117</v>
      </c>
      <c r="D2186" t="s">
        <v>2788</v>
      </c>
      <c r="E2186" t="s">
        <v>206</v>
      </c>
      <c r="F2186" t="s">
        <v>279</v>
      </c>
      <c r="G2186" t="s">
        <v>2787</v>
      </c>
      <c r="H2186" t="s">
        <v>206</v>
      </c>
      <c r="I2186" t="s">
        <v>2666</v>
      </c>
      <c r="J2186">
        <v>1</v>
      </c>
      <c r="K2186">
        <v>146</v>
      </c>
    </row>
    <row r="2187" spans="1:11" x14ac:dyDescent="0.2">
      <c r="A2187" t="s">
        <v>2669</v>
      </c>
      <c r="B2187">
        <v>190714</v>
      </c>
      <c r="C2187" t="s">
        <v>1103</v>
      </c>
      <c r="D2187" t="s">
        <v>2833</v>
      </c>
      <c r="E2187" t="s">
        <v>183</v>
      </c>
      <c r="F2187" t="s">
        <v>283</v>
      </c>
      <c r="G2187" t="s">
        <v>2832</v>
      </c>
      <c r="H2187" t="s">
        <v>183</v>
      </c>
      <c r="I2187" t="s">
        <v>2666</v>
      </c>
      <c r="J2187">
        <v>1</v>
      </c>
      <c r="K2187">
        <v>27</v>
      </c>
    </row>
    <row r="2188" spans="1:11" x14ac:dyDescent="0.2">
      <c r="A2188" t="s">
        <v>2669</v>
      </c>
      <c r="B2188">
        <v>58008</v>
      </c>
      <c r="C2188" t="s">
        <v>1258</v>
      </c>
      <c r="D2188" t="s">
        <v>2786</v>
      </c>
      <c r="E2188" t="s">
        <v>281</v>
      </c>
      <c r="F2188" t="s">
        <v>281</v>
      </c>
      <c r="G2188" t="s">
        <v>2699</v>
      </c>
      <c r="H2188" t="s">
        <v>281</v>
      </c>
      <c r="I2188" t="s">
        <v>2666</v>
      </c>
      <c r="J2188">
        <v>1</v>
      </c>
      <c r="K2188">
        <v>43</v>
      </c>
    </row>
    <row r="2189" spans="1:11" x14ac:dyDescent="0.2">
      <c r="A2189" t="s">
        <v>2669</v>
      </c>
      <c r="B2189">
        <v>81023</v>
      </c>
      <c r="C2189" t="s">
        <v>1270</v>
      </c>
      <c r="D2189" t="s">
        <v>2822</v>
      </c>
      <c r="E2189" t="s">
        <v>281</v>
      </c>
      <c r="F2189" t="s">
        <v>281</v>
      </c>
      <c r="G2189" t="s">
        <v>2821</v>
      </c>
      <c r="H2189" t="s">
        <v>281</v>
      </c>
      <c r="I2189" t="s">
        <v>2666</v>
      </c>
      <c r="J2189">
        <v>1</v>
      </c>
      <c r="K2189">
        <v>33</v>
      </c>
    </row>
    <row r="2190" spans="1:11" x14ac:dyDescent="0.2">
      <c r="A2190" t="s">
        <v>2669</v>
      </c>
      <c r="B2190">
        <v>55008</v>
      </c>
      <c r="C2190" t="s">
        <v>2426</v>
      </c>
      <c r="D2190" t="s">
        <v>2698</v>
      </c>
      <c r="E2190" t="s">
        <v>281</v>
      </c>
      <c r="F2190" t="s">
        <v>281</v>
      </c>
      <c r="G2190" t="s">
        <v>2626</v>
      </c>
      <c r="H2190" t="s">
        <v>281</v>
      </c>
      <c r="I2190" t="s">
        <v>2666</v>
      </c>
      <c r="J2190">
        <v>1</v>
      </c>
      <c r="K2190">
        <v>135</v>
      </c>
    </row>
    <row r="2191" spans="1:11" x14ac:dyDescent="0.2">
      <c r="A2191" t="s">
        <v>2669</v>
      </c>
      <c r="B2191">
        <v>94016</v>
      </c>
      <c r="C2191" t="s">
        <v>759</v>
      </c>
      <c r="D2191" t="s">
        <v>2948</v>
      </c>
      <c r="E2191" t="s">
        <v>281</v>
      </c>
      <c r="F2191" t="s">
        <v>281</v>
      </c>
      <c r="G2191" t="s">
        <v>2672</v>
      </c>
      <c r="H2191" t="s">
        <v>281</v>
      </c>
      <c r="I2191" t="s">
        <v>2666</v>
      </c>
      <c r="J2191">
        <v>1</v>
      </c>
      <c r="K2191">
        <v>363</v>
      </c>
    </row>
    <row r="2192" spans="1:11" x14ac:dyDescent="0.2">
      <c r="A2192" t="s">
        <v>2669</v>
      </c>
      <c r="B2192">
        <v>54014</v>
      </c>
      <c r="C2192" t="s">
        <v>1255</v>
      </c>
      <c r="D2192" t="s">
        <v>2730</v>
      </c>
      <c r="E2192" t="s">
        <v>281</v>
      </c>
      <c r="F2192" t="s">
        <v>281</v>
      </c>
      <c r="G2192" t="s">
        <v>2729</v>
      </c>
      <c r="H2192" t="s">
        <v>281</v>
      </c>
      <c r="I2192" t="s">
        <v>2666</v>
      </c>
      <c r="J2192">
        <v>1</v>
      </c>
      <c r="K2192">
        <v>166</v>
      </c>
    </row>
    <row r="2193" spans="1:11" x14ac:dyDescent="0.2">
      <c r="A2193" t="s">
        <v>2669</v>
      </c>
      <c r="B2193">
        <v>190607</v>
      </c>
      <c r="C2193" t="s">
        <v>1332</v>
      </c>
      <c r="D2193" t="s">
        <v>2857</v>
      </c>
      <c r="E2193" t="s">
        <v>183</v>
      </c>
      <c r="F2193" t="s">
        <v>283</v>
      </c>
      <c r="G2193" t="s">
        <v>2724</v>
      </c>
      <c r="H2193" t="s">
        <v>183</v>
      </c>
      <c r="I2193" t="s">
        <v>2666</v>
      </c>
      <c r="J2193">
        <v>1</v>
      </c>
      <c r="K2193">
        <v>299</v>
      </c>
    </row>
    <row r="2194" spans="1:11" x14ac:dyDescent="0.2">
      <c r="A2194" t="s">
        <v>2669</v>
      </c>
      <c r="B2194">
        <v>11004</v>
      </c>
      <c r="C2194" t="s">
        <v>328</v>
      </c>
      <c r="D2194" t="s">
        <v>2806</v>
      </c>
      <c r="E2194" t="s">
        <v>31</v>
      </c>
      <c r="F2194" t="s">
        <v>283</v>
      </c>
      <c r="G2194" t="s">
        <v>2805</v>
      </c>
      <c r="H2194" t="s">
        <v>31</v>
      </c>
      <c r="I2194" t="s">
        <v>2666</v>
      </c>
      <c r="J2194">
        <v>1</v>
      </c>
      <c r="K2194">
        <v>138</v>
      </c>
    </row>
    <row r="2195" spans="1:11" x14ac:dyDescent="0.2">
      <c r="A2195" t="s">
        <v>2669</v>
      </c>
      <c r="B2195">
        <v>49067</v>
      </c>
      <c r="C2195" t="s">
        <v>624</v>
      </c>
      <c r="D2195" t="s">
        <v>2951</v>
      </c>
      <c r="E2195" t="s">
        <v>2634</v>
      </c>
      <c r="F2195" t="s">
        <v>281</v>
      </c>
      <c r="G2195" t="s">
        <v>2950</v>
      </c>
      <c r="H2195" t="s">
        <v>2634</v>
      </c>
      <c r="I2195" t="s">
        <v>2666</v>
      </c>
      <c r="J2195">
        <v>1</v>
      </c>
      <c r="K2195">
        <v>130</v>
      </c>
    </row>
    <row r="2196" spans="1:11" x14ac:dyDescent="0.2">
      <c r="A2196" t="s">
        <v>2669</v>
      </c>
      <c r="B2196">
        <v>38043</v>
      </c>
      <c r="C2196" t="s">
        <v>1244</v>
      </c>
      <c r="D2196" t="s">
        <v>2878</v>
      </c>
      <c r="E2196" t="s">
        <v>281</v>
      </c>
      <c r="F2196" t="s">
        <v>281</v>
      </c>
      <c r="G2196" t="s">
        <v>2676</v>
      </c>
      <c r="H2196" t="s">
        <v>281</v>
      </c>
      <c r="I2196" t="s">
        <v>2666</v>
      </c>
      <c r="J2196">
        <v>1</v>
      </c>
      <c r="K2196">
        <v>36</v>
      </c>
    </row>
    <row r="2197" spans="1:11" x14ac:dyDescent="0.2">
      <c r="A2197" t="s">
        <v>2669</v>
      </c>
      <c r="B2197">
        <v>28017</v>
      </c>
      <c r="C2197" t="s">
        <v>1139</v>
      </c>
      <c r="D2197" t="s">
        <v>2828</v>
      </c>
      <c r="E2197" t="s">
        <v>281</v>
      </c>
      <c r="F2197" t="s">
        <v>281</v>
      </c>
      <c r="G2197" t="s">
        <v>2793</v>
      </c>
      <c r="H2197" t="s">
        <v>281</v>
      </c>
      <c r="I2197" t="s">
        <v>2666</v>
      </c>
      <c r="J2197">
        <v>1</v>
      </c>
      <c r="K2197">
        <v>195</v>
      </c>
    </row>
    <row r="2198" spans="1:11" x14ac:dyDescent="0.2">
      <c r="A2198" t="s">
        <v>2669</v>
      </c>
      <c r="B2198">
        <v>230433</v>
      </c>
      <c r="C2198" t="s">
        <v>1286</v>
      </c>
      <c r="D2198" t="s">
        <v>2798</v>
      </c>
      <c r="E2198" t="s">
        <v>184</v>
      </c>
      <c r="F2198" t="s">
        <v>184</v>
      </c>
      <c r="G2198" t="s">
        <v>2797</v>
      </c>
      <c r="H2198" t="s">
        <v>184</v>
      </c>
      <c r="I2198" t="s">
        <v>2666</v>
      </c>
      <c r="J2198">
        <v>1</v>
      </c>
      <c r="K2198">
        <v>58</v>
      </c>
    </row>
    <row r="2199" spans="1:11" x14ac:dyDescent="0.2">
      <c r="A2199" t="s">
        <v>2669</v>
      </c>
      <c r="B2199">
        <v>18007</v>
      </c>
      <c r="C2199" t="s">
        <v>1046</v>
      </c>
      <c r="D2199" t="s">
        <v>2957</v>
      </c>
      <c r="E2199" t="s">
        <v>279</v>
      </c>
      <c r="F2199" t="s">
        <v>279</v>
      </c>
      <c r="G2199" t="s">
        <v>2716</v>
      </c>
      <c r="H2199" t="s">
        <v>279</v>
      </c>
      <c r="I2199" t="s">
        <v>2666</v>
      </c>
      <c r="J2199">
        <v>1</v>
      </c>
      <c r="K2199">
        <v>177</v>
      </c>
    </row>
    <row r="2200" spans="1:11" x14ac:dyDescent="0.2">
      <c r="A2200" t="s">
        <v>2669</v>
      </c>
      <c r="B2200">
        <v>52032</v>
      </c>
      <c r="C2200" t="s">
        <v>1254</v>
      </c>
      <c r="D2200" t="s">
        <v>2683</v>
      </c>
      <c r="E2200" t="s">
        <v>281</v>
      </c>
      <c r="F2200" t="s">
        <v>281</v>
      </c>
      <c r="G2200" t="s">
        <v>2682</v>
      </c>
      <c r="H2200" t="s">
        <v>281</v>
      </c>
      <c r="I2200" t="s">
        <v>2666</v>
      </c>
      <c r="J2200">
        <v>1</v>
      </c>
      <c r="K2200">
        <v>123</v>
      </c>
    </row>
    <row r="2201" spans="1:11" x14ac:dyDescent="0.2">
      <c r="A2201" t="s">
        <v>2669</v>
      </c>
      <c r="B2201">
        <v>94011</v>
      </c>
      <c r="C2201" t="s">
        <v>1278</v>
      </c>
      <c r="D2201" t="s">
        <v>2673</v>
      </c>
      <c r="E2201" t="s">
        <v>281</v>
      </c>
      <c r="F2201" t="s">
        <v>281</v>
      </c>
      <c r="G2201" t="s">
        <v>2672</v>
      </c>
      <c r="H2201" t="s">
        <v>281</v>
      </c>
      <c r="I2201" t="s">
        <v>2666</v>
      </c>
      <c r="J2201">
        <v>1</v>
      </c>
      <c r="K2201">
        <v>56</v>
      </c>
    </row>
    <row r="2202" spans="1:11" x14ac:dyDescent="0.2">
      <c r="A2202" t="s">
        <v>2669</v>
      </c>
      <c r="B2202">
        <v>31009</v>
      </c>
      <c r="C2202" t="s">
        <v>475</v>
      </c>
      <c r="D2202" t="s">
        <v>2941</v>
      </c>
      <c r="E2202" t="s">
        <v>281</v>
      </c>
      <c r="F2202" t="s">
        <v>281</v>
      </c>
      <c r="G2202" t="s">
        <v>2736</v>
      </c>
      <c r="H2202" t="s">
        <v>281</v>
      </c>
      <c r="I2202" t="s">
        <v>2666</v>
      </c>
      <c r="J2202">
        <v>1</v>
      </c>
      <c r="K2202">
        <v>163</v>
      </c>
    </row>
    <row r="2203" spans="1:11" x14ac:dyDescent="0.2">
      <c r="A2203" t="s">
        <v>2669</v>
      </c>
      <c r="B2203">
        <v>231802</v>
      </c>
      <c r="C2203" t="s">
        <v>2603</v>
      </c>
      <c r="D2203" t="s">
        <v>2936</v>
      </c>
      <c r="E2203" t="s">
        <v>184</v>
      </c>
      <c r="F2203" t="s">
        <v>184</v>
      </c>
      <c r="G2203" t="s">
        <v>2935</v>
      </c>
      <c r="H2203" t="s">
        <v>184</v>
      </c>
      <c r="I2203" t="s">
        <v>2666</v>
      </c>
      <c r="J2203">
        <v>1</v>
      </c>
      <c r="K2203">
        <v>30</v>
      </c>
    </row>
    <row r="2204" spans="1:11" x14ac:dyDescent="0.2">
      <c r="A2204" t="s">
        <v>2669</v>
      </c>
      <c r="B2204">
        <v>17017</v>
      </c>
      <c r="C2204" t="s">
        <v>2412</v>
      </c>
      <c r="D2204" t="s">
        <v>2863</v>
      </c>
      <c r="E2204" t="s">
        <v>279</v>
      </c>
      <c r="F2204" t="s">
        <v>279</v>
      </c>
      <c r="G2204" t="s">
        <v>2774</v>
      </c>
      <c r="H2204" t="s">
        <v>279</v>
      </c>
      <c r="I2204" t="s">
        <v>2666</v>
      </c>
      <c r="J2204">
        <v>1</v>
      </c>
      <c r="K2204">
        <v>119</v>
      </c>
    </row>
    <row r="2205" spans="1:11" x14ac:dyDescent="0.2">
      <c r="A2205" t="s">
        <v>2669</v>
      </c>
      <c r="B2205">
        <v>190608</v>
      </c>
      <c r="C2205" t="s">
        <v>1070</v>
      </c>
      <c r="D2205" t="s">
        <v>2741</v>
      </c>
      <c r="E2205" t="s">
        <v>183</v>
      </c>
      <c r="F2205" t="s">
        <v>283</v>
      </c>
      <c r="G2205" t="s">
        <v>2724</v>
      </c>
      <c r="H2205" t="s">
        <v>183</v>
      </c>
      <c r="I2205" t="s">
        <v>2666</v>
      </c>
      <c r="J2205">
        <v>1</v>
      </c>
      <c r="K2205">
        <v>42</v>
      </c>
    </row>
    <row r="2206" spans="1:11" x14ac:dyDescent="0.2">
      <c r="A2206" t="s">
        <v>2669</v>
      </c>
      <c r="B2206">
        <v>190301</v>
      </c>
      <c r="C2206" t="s">
        <v>2440</v>
      </c>
      <c r="D2206" t="s">
        <v>2820</v>
      </c>
      <c r="E2206" t="s">
        <v>183</v>
      </c>
      <c r="F2206" t="s">
        <v>283</v>
      </c>
      <c r="G2206" t="s">
        <v>2819</v>
      </c>
      <c r="H2206" t="s">
        <v>183</v>
      </c>
      <c r="I2206" t="s">
        <v>2666</v>
      </c>
      <c r="J2206">
        <v>1</v>
      </c>
      <c r="K2206">
        <v>51</v>
      </c>
    </row>
    <row r="2207" spans="1:11" x14ac:dyDescent="0.2">
      <c r="A2207" t="s">
        <v>2669</v>
      </c>
      <c r="B2207">
        <v>13007</v>
      </c>
      <c r="C2207" t="s">
        <v>2409</v>
      </c>
      <c r="D2207" t="s">
        <v>2880</v>
      </c>
      <c r="E2207" t="s">
        <v>279</v>
      </c>
      <c r="F2207" t="s">
        <v>279</v>
      </c>
      <c r="G2207" t="s">
        <v>2767</v>
      </c>
      <c r="H2207" t="s">
        <v>279</v>
      </c>
      <c r="I2207" t="s">
        <v>2666</v>
      </c>
      <c r="J2207">
        <v>1</v>
      </c>
      <c r="K2207">
        <v>77</v>
      </c>
    </row>
    <row r="2208" spans="1:11" x14ac:dyDescent="0.2">
      <c r="A2208" t="s">
        <v>2669</v>
      </c>
      <c r="B2208">
        <v>2009</v>
      </c>
      <c r="C2208" t="s">
        <v>1038</v>
      </c>
      <c r="D2208" t="s">
        <v>2939</v>
      </c>
      <c r="E2208" t="s">
        <v>206</v>
      </c>
      <c r="F2208" t="s">
        <v>279</v>
      </c>
      <c r="G2208" t="s">
        <v>2787</v>
      </c>
      <c r="H2208" t="s">
        <v>206</v>
      </c>
      <c r="I2208" t="s">
        <v>2666</v>
      </c>
      <c r="J2208">
        <v>1</v>
      </c>
      <c r="K2208">
        <v>123</v>
      </c>
    </row>
    <row r="2209" spans="1:11" x14ac:dyDescent="0.2">
      <c r="A2209" t="s">
        <v>2669</v>
      </c>
      <c r="B2209">
        <v>52027</v>
      </c>
      <c r="C2209" t="s">
        <v>1253</v>
      </c>
      <c r="D2209" t="s">
        <v>2792</v>
      </c>
      <c r="E2209" t="s">
        <v>281</v>
      </c>
      <c r="F2209" t="s">
        <v>281</v>
      </c>
      <c r="G2209" t="s">
        <v>2682</v>
      </c>
      <c r="H2209" t="s">
        <v>281</v>
      </c>
      <c r="I2209" t="s">
        <v>2666</v>
      </c>
      <c r="J2209">
        <v>1</v>
      </c>
      <c r="K2209">
        <v>236</v>
      </c>
    </row>
    <row r="2210" spans="1:11" x14ac:dyDescent="0.2">
      <c r="A2210" t="s">
        <v>2669</v>
      </c>
      <c r="B2210">
        <v>93016</v>
      </c>
      <c r="C2210" t="s">
        <v>753</v>
      </c>
      <c r="D2210" t="s">
        <v>2756</v>
      </c>
      <c r="E2210" t="s">
        <v>281</v>
      </c>
      <c r="F2210" t="s">
        <v>281</v>
      </c>
      <c r="G2210" t="s">
        <v>2708</v>
      </c>
      <c r="H2210" t="s">
        <v>281</v>
      </c>
      <c r="I2210" t="s">
        <v>2666</v>
      </c>
      <c r="J2210">
        <v>1</v>
      </c>
      <c r="K2210">
        <v>32</v>
      </c>
    </row>
    <row r="2211" spans="1:11" x14ac:dyDescent="0.2">
      <c r="A2211" t="s">
        <v>2669</v>
      </c>
      <c r="B2211">
        <v>56022</v>
      </c>
      <c r="C2211" t="s">
        <v>1256</v>
      </c>
      <c r="D2211" t="s">
        <v>2809</v>
      </c>
      <c r="E2211" t="s">
        <v>281</v>
      </c>
      <c r="F2211" t="s">
        <v>281</v>
      </c>
      <c r="G2211" t="s">
        <v>2690</v>
      </c>
      <c r="H2211" t="s">
        <v>281</v>
      </c>
      <c r="I2211" t="s">
        <v>2666</v>
      </c>
      <c r="J2211">
        <v>1</v>
      </c>
      <c r="K2211">
        <v>575</v>
      </c>
    </row>
    <row r="2212" spans="1:11" x14ac:dyDescent="0.2">
      <c r="A2212" t="s">
        <v>2669</v>
      </c>
      <c r="B2212">
        <v>78010</v>
      </c>
      <c r="C2212" t="s">
        <v>2437</v>
      </c>
      <c r="D2212" t="s">
        <v>2910</v>
      </c>
      <c r="E2212" t="s">
        <v>281</v>
      </c>
      <c r="F2212" t="s">
        <v>281</v>
      </c>
      <c r="G2212" t="s">
        <v>2909</v>
      </c>
      <c r="H2212" t="s">
        <v>281</v>
      </c>
      <c r="I2212" t="s">
        <v>2666</v>
      </c>
      <c r="J2212">
        <v>1</v>
      </c>
      <c r="K2212">
        <v>568</v>
      </c>
    </row>
    <row r="2213" spans="1:11" x14ac:dyDescent="0.2">
      <c r="A2213" t="s">
        <v>2669</v>
      </c>
      <c r="B2213">
        <v>29044</v>
      </c>
      <c r="C2213" t="s">
        <v>1239</v>
      </c>
      <c r="D2213" t="s">
        <v>2942</v>
      </c>
      <c r="E2213" t="s">
        <v>281</v>
      </c>
      <c r="F2213" t="s">
        <v>281</v>
      </c>
      <c r="G2213" t="s">
        <v>2688</v>
      </c>
      <c r="H2213" t="s">
        <v>281</v>
      </c>
      <c r="I2213" t="s">
        <v>2666</v>
      </c>
      <c r="J2213">
        <v>1</v>
      </c>
      <c r="K2213">
        <v>393.17</v>
      </c>
    </row>
    <row r="2214" spans="1:11" x14ac:dyDescent="0.2">
      <c r="A2214" t="s">
        <v>2669</v>
      </c>
      <c r="B2214">
        <v>1030</v>
      </c>
      <c r="C2214" t="s">
        <v>1222</v>
      </c>
      <c r="D2214" t="s">
        <v>2871</v>
      </c>
      <c r="E2214" t="s">
        <v>206</v>
      </c>
      <c r="F2214" t="s">
        <v>279</v>
      </c>
      <c r="G2214" t="s">
        <v>2722</v>
      </c>
      <c r="H2214" t="s">
        <v>206</v>
      </c>
      <c r="I2214" t="s">
        <v>2666</v>
      </c>
      <c r="J2214">
        <v>1</v>
      </c>
      <c r="K2214">
        <v>618</v>
      </c>
    </row>
    <row r="2215" spans="1:11" x14ac:dyDescent="0.2">
      <c r="A2215" t="s">
        <v>2669</v>
      </c>
      <c r="B2215">
        <v>190718</v>
      </c>
      <c r="C2215" t="s">
        <v>1071</v>
      </c>
      <c r="D2215" t="s">
        <v>2847</v>
      </c>
      <c r="E2215" t="s">
        <v>183</v>
      </c>
      <c r="F2215" t="s">
        <v>283</v>
      </c>
      <c r="G2215" t="s">
        <v>2701</v>
      </c>
      <c r="H2215" t="s">
        <v>183</v>
      </c>
      <c r="I2215" t="s">
        <v>2666</v>
      </c>
      <c r="J2215">
        <v>1</v>
      </c>
      <c r="K2215">
        <v>172</v>
      </c>
    </row>
    <row r="2216" spans="1:11" x14ac:dyDescent="0.2">
      <c r="A2216" t="s">
        <v>2669</v>
      </c>
      <c r="B2216">
        <v>40027</v>
      </c>
      <c r="C2216" t="s">
        <v>545</v>
      </c>
      <c r="D2216" t="s">
        <v>2758</v>
      </c>
      <c r="E2216" t="s">
        <v>2634</v>
      </c>
      <c r="F2216" t="s">
        <v>281</v>
      </c>
      <c r="G2216" t="s">
        <v>2704</v>
      </c>
      <c r="H2216" t="s">
        <v>2634</v>
      </c>
      <c r="I2216" t="s">
        <v>2666</v>
      </c>
      <c r="J2216">
        <v>1</v>
      </c>
      <c r="K2216">
        <v>27</v>
      </c>
    </row>
    <row r="2217" spans="1:11" x14ac:dyDescent="0.2">
      <c r="A2217" t="s">
        <v>2669</v>
      </c>
      <c r="B2217">
        <v>191301</v>
      </c>
      <c r="C2217" t="s">
        <v>2476</v>
      </c>
      <c r="D2217" t="s">
        <v>2850</v>
      </c>
      <c r="E2217" t="s">
        <v>183</v>
      </c>
      <c r="F2217" t="s">
        <v>283</v>
      </c>
      <c r="G2217" t="s">
        <v>2684</v>
      </c>
      <c r="H2217" t="s">
        <v>183</v>
      </c>
      <c r="I2217" t="s">
        <v>2666</v>
      </c>
      <c r="J2217">
        <v>1</v>
      </c>
      <c r="K2217">
        <v>55</v>
      </c>
    </row>
    <row r="2218" spans="1:11" x14ac:dyDescent="0.2">
      <c r="A2218" t="s">
        <v>2669</v>
      </c>
      <c r="B2218">
        <v>29052</v>
      </c>
      <c r="C2218" t="s">
        <v>1240</v>
      </c>
      <c r="D2218" t="s">
        <v>2689</v>
      </c>
      <c r="E2218" t="s">
        <v>281</v>
      </c>
      <c r="F2218" t="s">
        <v>281</v>
      </c>
      <c r="G2218" t="s">
        <v>2688</v>
      </c>
      <c r="H2218" t="s">
        <v>281</v>
      </c>
      <c r="I2218" t="s">
        <v>2666</v>
      </c>
      <c r="J2218">
        <v>1</v>
      </c>
      <c r="K2218">
        <v>12</v>
      </c>
    </row>
    <row r="2219" spans="1:11" x14ac:dyDescent="0.2">
      <c r="A2219" t="s">
        <v>2669</v>
      </c>
      <c r="B2219">
        <v>43035</v>
      </c>
      <c r="C2219" t="s">
        <v>1246</v>
      </c>
      <c r="D2219" t="s">
        <v>2707</v>
      </c>
      <c r="E2219" t="s">
        <v>281</v>
      </c>
      <c r="F2219" t="s">
        <v>281</v>
      </c>
      <c r="G2219" t="s">
        <v>2706</v>
      </c>
      <c r="H2219" t="s">
        <v>281</v>
      </c>
      <c r="I2219" t="s">
        <v>2666</v>
      </c>
      <c r="J2219">
        <v>1</v>
      </c>
      <c r="K2219">
        <v>84.33</v>
      </c>
    </row>
    <row r="2220" spans="1:11" x14ac:dyDescent="0.2">
      <c r="A2220" t="s">
        <v>2669</v>
      </c>
      <c r="B2220">
        <v>191403</v>
      </c>
      <c r="C2220" t="s">
        <v>940</v>
      </c>
      <c r="D2220" t="s">
        <v>2840</v>
      </c>
      <c r="E2220" t="s">
        <v>183</v>
      </c>
      <c r="F2220" t="s">
        <v>283</v>
      </c>
      <c r="G2220" t="s">
        <v>2684</v>
      </c>
      <c r="H2220" t="s">
        <v>183</v>
      </c>
      <c r="I2220" t="s">
        <v>2666</v>
      </c>
      <c r="J2220">
        <v>1</v>
      </c>
      <c r="K2220">
        <v>58</v>
      </c>
    </row>
    <row r="2221" spans="1:11" x14ac:dyDescent="0.2">
      <c r="A2221" t="s">
        <v>2669</v>
      </c>
      <c r="B2221">
        <v>190716</v>
      </c>
      <c r="C2221" t="s">
        <v>1104</v>
      </c>
      <c r="D2221" t="s">
        <v>2799</v>
      </c>
      <c r="E2221" t="s">
        <v>183</v>
      </c>
      <c r="F2221" t="s">
        <v>283</v>
      </c>
      <c r="G2221" t="s">
        <v>2701</v>
      </c>
      <c r="H2221" t="s">
        <v>183</v>
      </c>
      <c r="I2221" t="s">
        <v>2666</v>
      </c>
      <c r="J2221">
        <v>1</v>
      </c>
      <c r="K2221">
        <v>11</v>
      </c>
    </row>
    <row r="2222" spans="1:11" x14ac:dyDescent="0.2">
      <c r="A2222" t="s">
        <v>2669</v>
      </c>
      <c r="B2222">
        <v>29055</v>
      </c>
      <c r="C2222" t="s">
        <v>2415</v>
      </c>
      <c r="D2222" t="s">
        <v>2823</v>
      </c>
      <c r="E2222" t="s">
        <v>281</v>
      </c>
      <c r="F2222" t="s">
        <v>281</v>
      </c>
      <c r="G2222" t="s">
        <v>2688</v>
      </c>
      <c r="H2222" t="s">
        <v>281</v>
      </c>
      <c r="I2222" t="s">
        <v>2666</v>
      </c>
      <c r="J2222">
        <v>1</v>
      </c>
      <c r="K2222">
        <v>20</v>
      </c>
    </row>
    <row r="2223" spans="1:11" x14ac:dyDescent="0.2">
      <c r="A2223" t="s">
        <v>2669</v>
      </c>
      <c r="B2223">
        <v>230807</v>
      </c>
      <c r="C2223" t="s">
        <v>1388</v>
      </c>
      <c r="D2223" t="s">
        <v>2795</v>
      </c>
      <c r="E2223" t="s">
        <v>184</v>
      </c>
      <c r="F2223" t="s">
        <v>184</v>
      </c>
      <c r="G2223" t="s">
        <v>1112</v>
      </c>
      <c r="H2223" t="s">
        <v>184</v>
      </c>
      <c r="I2223" t="s">
        <v>2666</v>
      </c>
      <c r="J2223">
        <v>1</v>
      </c>
      <c r="K2223">
        <v>105</v>
      </c>
    </row>
    <row r="2224" spans="1:11" x14ac:dyDescent="0.2">
      <c r="A2224" t="s">
        <v>2669</v>
      </c>
      <c r="B2224">
        <v>29041</v>
      </c>
      <c r="C2224" t="s">
        <v>1238</v>
      </c>
      <c r="D2224" t="s">
        <v>2796</v>
      </c>
      <c r="E2224" t="s">
        <v>281</v>
      </c>
      <c r="F2224" t="s">
        <v>281</v>
      </c>
      <c r="G2224" t="s">
        <v>2688</v>
      </c>
      <c r="H2224" t="s">
        <v>281</v>
      </c>
      <c r="I2224" t="s">
        <v>2666</v>
      </c>
      <c r="J2224">
        <v>1</v>
      </c>
      <c r="K2224">
        <v>48</v>
      </c>
    </row>
    <row r="2225" spans="1:11" x14ac:dyDescent="0.2">
      <c r="A2225" t="s">
        <v>2669</v>
      </c>
      <c r="B2225">
        <v>32020</v>
      </c>
      <c r="C2225" t="s">
        <v>1142</v>
      </c>
      <c r="D2225" t="s">
        <v>2845</v>
      </c>
      <c r="E2225" t="s">
        <v>281</v>
      </c>
      <c r="F2225" t="s">
        <v>281</v>
      </c>
      <c r="G2225" t="s">
        <v>2844</v>
      </c>
      <c r="H2225" t="s">
        <v>281</v>
      </c>
      <c r="I2225" t="s">
        <v>2666</v>
      </c>
      <c r="J2225">
        <v>1</v>
      </c>
      <c r="K2225">
        <v>155</v>
      </c>
    </row>
    <row r="2226" spans="1:11" x14ac:dyDescent="0.2">
      <c r="A2226" t="s">
        <v>2669</v>
      </c>
      <c r="B2226">
        <v>50032</v>
      </c>
      <c r="C2226" t="s">
        <v>2424</v>
      </c>
      <c r="D2226" t="s">
        <v>2955</v>
      </c>
      <c r="E2226" t="s">
        <v>281</v>
      </c>
      <c r="F2226" t="s">
        <v>281</v>
      </c>
      <c r="G2226" t="s">
        <v>2954</v>
      </c>
      <c r="H2226" t="s">
        <v>281</v>
      </c>
      <c r="I2226" t="s">
        <v>2666</v>
      </c>
      <c r="J2226">
        <v>1</v>
      </c>
      <c r="K2226">
        <v>74</v>
      </c>
    </row>
    <row r="2227" spans="1:11" x14ac:dyDescent="0.2">
      <c r="A2227" t="s">
        <v>2669</v>
      </c>
      <c r="B2227">
        <v>230108</v>
      </c>
      <c r="C2227" t="s">
        <v>2446</v>
      </c>
      <c r="D2227" t="s">
        <v>2755</v>
      </c>
      <c r="E2227" t="s">
        <v>184</v>
      </c>
      <c r="F2227" t="s">
        <v>184</v>
      </c>
      <c r="G2227" t="s">
        <v>2754</v>
      </c>
      <c r="H2227" t="s">
        <v>184</v>
      </c>
      <c r="I2227" t="s">
        <v>2666</v>
      </c>
      <c r="J2227">
        <v>1</v>
      </c>
      <c r="K2227">
        <v>82</v>
      </c>
    </row>
    <row r="2228" spans="1:11" x14ac:dyDescent="0.2">
      <c r="A2228" t="s">
        <v>2669</v>
      </c>
      <c r="B2228">
        <v>80019</v>
      </c>
      <c r="C2228" t="s">
        <v>711</v>
      </c>
      <c r="D2228" t="s">
        <v>2843</v>
      </c>
      <c r="E2228" t="s">
        <v>281</v>
      </c>
      <c r="F2228" t="s">
        <v>281</v>
      </c>
      <c r="G2228" t="s">
        <v>2842</v>
      </c>
      <c r="H2228" t="s">
        <v>281</v>
      </c>
      <c r="I2228" t="s">
        <v>2666</v>
      </c>
      <c r="J2228">
        <v>1</v>
      </c>
      <c r="K2228">
        <v>279</v>
      </c>
    </row>
    <row r="2229" spans="1:11" x14ac:dyDescent="0.2">
      <c r="A2229" t="s">
        <v>2669</v>
      </c>
      <c r="B2229">
        <v>24036</v>
      </c>
      <c r="C2229" t="s">
        <v>1234</v>
      </c>
      <c r="D2229" t="s">
        <v>2769</v>
      </c>
      <c r="E2229" t="s">
        <v>279</v>
      </c>
      <c r="F2229" t="s">
        <v>279</v>
      </c>
      <c r="G2229" t="s">
        <v>2733</v>
      </c>
      <c r="H2229" t="s">
        <v>279</v>
      </c>
      <c r="I2229" t="s">
        <v>2666</v>
      </c>
      <c r="J2229">
        <v>1</v>
      </c>
      <c r="K2229">
        <v>20</v>
      </c>
    </row>
    <row r="2230" spans="1:11" x14ac:dyDescent="0.2">
      <c r="A2230" t="s">
        <v>2669</v>
      </c>
      <c r="B2230">
        <v>9007</v>
      </c>
      <c r="C2230" t="s">
        <v>2406</v>
      </c>
      <c r="D2230" t="s">
        <v>2816</v>
      </c>
      <c r="E2230" t="s">
        <v>31</v>
      </c>
      <c r="F2230" t="s">
        <v>283</v>
      </c>
      <c r="G2230" t="s">
        <v>2765</v>
      </c>
      <c r="H2230" t="s">
        <v>31</v>
      </c>
      <c r="I2230" t="s">
        <v>2666</v>
      </c>
      <c r="J2230">
        <v>1</v>
      </c>
      <c r="K2230">
        <v>12</v>
      </c>
    </row>
    <row r="2231" spans="1:11" x14ac:dyDescent="0.2">
      <c r="A2231" t="s">
        <v>2669</v>
      </c>
      <c r="B2231">
        <v>38047</v>
      </c>
      <c r="C2231" t="s">
        <v>2420</v>
      </c>
      <c r="D2231" t="s">
        <v>2677</v>
      </c>
      <c r="E2231" t="s">
        <v>281</v>
      </c>
      <c r="F2231" t="s">
        <v>281</v>
      </c>
      <c r="G2231" t="s">
        <v>2676</v>
      </c>
      <c r="H2231" t="s">
        <v>281</v>
      </c>
      <c r="I2231" t="s">
        <v>2666</v>
      </c>
      <c r="J2231">
        <v>1</v>
      </c>
      <c r="K2231">
        <v>3</v>
      </c>
    </row>
    <row r="2232" spans="1:11" x14ac:dyDescent="0.2">
      <c r="A2232" t="s">
        <v>2669</v>
      </c>
      <c r="B2232">
        <v>19014</v>
      </c>
      <c r="C2232" t="s">
        <v>1047</v>
      </c>
      <c r="D2232" t="s">
        <v>2952</v>
      </c>
      <c r="E2232" t="s">
        <v>279</v>
      </c>
      <c r="F2232" t="s">
        <v>279</v>
      </c>
      <c r="G2232" t="s">
        <v>2943</v>
      </c>
      <c r="H2232" t="s">
        <v>279</v>
      </c>
      <c r="I2232" t="s">
        <v>2666</v>
      </c>
      <c r="J2232">
        <v>1</v>
      </c>
      <c r="K2232">
        <v>141</v>
      </c>
    </row>
    <row r="2233" spans="1:11" x14ac:dyDescent="0.2">
      <c r="A2233" t="s">
        <v>2669</v>
      </c>
      <c r="B2233">
        <v>41034</v>
      </c>
      <c r="C2233" t="s">
        <v>1245</v>
      </c>
      <c r="D2233" t="s">
        <v>2928</v>
      </c>
      <c r="E2233" t="s">
        <v>281</v>
      </c>
      <c r="F2233" t="s">
        <v>281</v>
      </c>
      <c r="G2233" t="s">
        <v>2704</v>
      </c>
      <c r="H2233" t="s">
        <v>281</v>
      </c>
      <c r="I2233" t="s">
        <v>2666</v>
      </c>
      <c r="J2233">
        <v>1</v>
      </c>
      <c r="K2233">
        <v>706.75</v>
      </c>
    </row>
    <row r="2234" spans="1:11" x14ac:dyDescent="0.2">
      <c r="A2234" t="s">
        <v>2669</v>
      </c>
      <c r="B2234">
        <v>77013</v>
      </c>
      <c r="C2234" t="s">
        <v>2435</v>
      </c>
      <c r="D2234" t="s">
        <v>2781</v>
      </c>
      <c r="E2234" t="s">
        <v>281</v>
      </c>
      <c r="F2234" t="s">
        <v>281</v>
      </c>
      <c r="G2234" t="s">
        <v>2780</v>
      </c>
      <c r="H2234" t="s">
        <v>281</v>
      </c>
      <c r="I2234" t="s">
        <v>2666</v>
      </c>
      <c r="J2234">
        <v>1</v>
      </c>
      <c r="K2234">
        <v>372</v>
      </c>
    </row>
    <row r="2235" spans="1:11" x14ac:dyDescent="0.2">
      <c r="A2235" t="s">
        <v>2669</v>
      </c>
      <c r="B2235">
        <v>42001</v>
      </c>
      <c r="C2235" t="s">
        <v>1149</v>
      </c>
      <c r="D2235" t="s">
        <v>2854</v>
      </c>
      <c r="E2235" t="s">
        <v>281</v>
      </c>
      <c r="F2235" t="s">
        <v>281</v>
      </c>
      <c r="G2235" t="s">
        <v>2692</v>
      </c>
      <c r="H2235" t="s">
        <v>281</v>
      </c>
      <c r="I2235" t="s">
        <v>2666</v>
      </c>
      <c r="J2235">
        <v>1</v>
      </c>
      <c r="K2235">
        <v>63</v>
      </c>
    </row>
    <row r="2236" spans="1:11" x14ac:dyDescent="0.2">
      <c r="A2236" t="s">
        <v>2669</v>
      </c>
      <c r="B2236">
        <v>190710</v>
      </c>
      <c r="C2236" t="s">
        <v>1385</v>
      </c>
      <c r="D2236" t="s">
        <v>2938</v>
      </c>
      <c r="E2236" t="s">
        <v>183</v>
      </c>
      <c r="F2236" t="s">
        <v>283</v>
      </c>
      <c r="G2236" t="s">
        <v>2701</v>
      </c>
      <c r="H2236" t="s">
        <v>183</v>
      </c>
      <c r="I2236" t="s">
        <v>2666</v>
      </c>
      <c r="J2236">
        <v>1</v>
      </c>
      <c r="K2236">
        <v>92</v>
      </c>
    </row>
    <row r="2237" spans="1:11" x14ac:dyDescent="0.2">
      <c r="A2237" t="s">
        <v>2669</v>
      </c>
      <c r="B2237">
        <v>9001</v>
      </c>
      <c r="C2237" t="s">
        <v>324</v>
      </c>
      <c r="D2237" t="s">
        <v>2916</v>
      </c>
      <c r="E2237" t="s">
        <v>31</v>
      </c>
      <c r="F2237" t="s">
        <v>283</v>
      </c>
      <c r="G2237" t="s">
        <v>2765</v>
      </c>
      <c r="H2237" t="s">
        <v>31</v>
      </c>
      <c r="I2237" t="s">
        <v>2666</v>
      </c>
      <c r="J2237">
        <v>1</v>
      </c>
      <c r="K2237">
        <v>165.33</v>
      </c>
    </row>
    <row r="2238" spans="1:11" x14ac:dyDescent="0.2">
      <c r="A2238" t="s">
        <v>2669</v>
      </c>
      <c r="B2238">
        <v>41011</v>
      </c>
      <c r="C2238" t="s">
        <v>553</v>
      </c>
      <c r="D2238" t="s">
        <v>2705</v>
      </c>
      <c r="E2238" t="s">
        <v>281</v>
      </c>
      <c r="F2238" t="s">
        <v>281</v>
      </c>
      <c r="G2238" t="s">
        <v>2704</v>
      </c>
      <c r="H2238" t="s">
        <v>281</v>
      </c>
      <c r="I2238" t="s">
        <v>2666</v>
      </c>
      <c r="J2238">
        <v>1</v>
      </c>
      <c r="K2238">
        <v>17</v>
      </c>
    </row>
    <row r="2239" spans="1:11" x14ac:dyDescent="0.2">
      <c r="A2239" t="s">
        <v>2669</v>
      </c>
      <c r="B2239">
        <v>65008</v>
      </c>
      <c r="C2239" t="s">
        <v>2429</v>
      </c>
      <c r="D2239" t="s">
        <v>2911</v>
      </c>
      <c r="E2239" t="s">
        <v>281</v>
      </c>
      <c r="F2239" t="s">
        <v>281</v>
      </c>
      <c r="G2239" t="s">
        <v>2649</v>
      </c>
      <c r="H2239" t="s">
        <v>281</v>
      </c>
      <c r="I2239" t="s">
        <v>2666</v>
      </c>
      <c r="J2239">
        <v>1</v>
      </c>
      <c r="K2239">
        <v>22</v>
      </c>
    </row>
    <row r="2240" spans="1:11" x14ac:dyDescent="0.2">
      <c r="A2240" t="s">
        <v>2669</v>
      </c>
      <c r="B2240">
        <v>15049</v>
      </c>
      <c r="C2240" t="s">
        <v>1127</v>
      </c>
      <c r="D2240" t="s">
        <v>2831</v>
      </c>
      <c r="E2240" t="s">
        <v>279</v>
      </c>
      <c r="F2240" t="s">
        <v>279</v>
      </c>
      <c r="G2240" t="s">
        <v>2790</v>
      </c>
      <c r="H2240" t="s">
        <v>279</v>
      </c>
      <c r="I2240" t="s">
        <v>2666</v>
      </c>
      <c r="J2240">
        <v>1</v>
      </c>
      <c r="K2240">
        <v>52</v>
      </c>
    </row>
    <row r="2241" spans="1:11" x14ac:dyDescent="0.2">
      <c r="A2241" t="s">
        <v>2669</v>
      </c>
      <c r="B2241">
        <v>190717</v>
      </c>
      <c r="C2241" t="s">
        <v>921</v>
      </c>
      <c r="D2241" t="s">
        <v>2702</v>
      </c>
      <c r="E2241" t="s">
        <v>183</v>
      </c>
      <c r="F2241" t="s">
        <v>283</v>
      </c>
      <c r="G2241" t="s">
        <v>2701</v>
      </c>
      <c r="H2241" t="s">
        <v>183</v>
      </c>
      <c r="I2241" t="s">
        <v>2666</v>
      </c>
      <c r="J2241">
        <v>1</v>
      </c>
      <c r="K2241">
        <v>48</v>
      </c>
    </row>
    <row r="2242" spans="1:11" x14ac:dyDescent="0.2">
      <c r="A2242" t="s">
        <v>2669</v>
      </c>
      <c r="B2242">
        <v>12067</v>
      </c>
      <c r="C2242" t="s">
        <v>1351</v>
      </c>
      <c r="D2242" t="s">
        <v>2801</v>
      </c>
      <c r="E2242" t="s">
        <v>279</v>
      </c>
      <c r="F2242" t="s">
        <v>279</v>
      </c>
      <c r="G2242" t="s">
        <v>2686</v>
      </c>
      <c r="H2242" t="s">
        <v>279</v>
      </c>
      <c r="I2242" t="s">
        <v>2666</v>
      </c>
      <c r="J2242">
        <v>1</v>
      </c>
      <c r="K2242">
        <v>93</v>
      </c>
    </row>
    <row r="2243" spans="1:11" x14ac:dyDescent="0.2">
      <c r="A2243" t="s">
        <v>2669</v>
      </c>
      <c r="B2243">
        <v>25043</v>
      </c>
      <c r="C2243" t="s">
        <v>427</v>
      </c>
      <c r="D2243" t="s">
        <v>2738</v>
      </c>
      <c r="E2243" t="s">
        <v>2634</v>
      </c>
      <c r="F2243" t="s">
        <v>279</v>
      </c>
      <c r="G2243" t="s">
        <v>2733</v>
      </c>
      <c r="H2243" t="s">
        <v>2634</v>
      </c>
      <c r="I2243" t="s">
        <v>2666</v>
      </c>
      <c r="J2243">
        <v>1</v>
      </c>
      <c r="K2243">
        <v>150</v>
      </c>
    </row>
    <row r="2244" spans="1:11" x14ac:dyDescent="0.2">
      <c r="A2244" t="s">
        <v>2669</v>
      </c>
      <c r="B2244">
        <v>29047</v>
      </c>
      <c r="C2244" t="s">
        <v>1078</v>
      </c>
      <c r="D2244" t="s">
        <v>2846</v>
      </c>
      <c r="E2244" t="s">
        <v>281</v>
      </c>
      <c r="F2244" t="s">
        <v>281</v>
      </c>
      <c r="G2244" t="s">
        <v>2688</v>
      </c>
      <c r="H2244" t="s">
        <v>281</v>
      </c>
      <c r="I2244" t="s">
        <v>2666</v>
      </c>
      <c r="J2244">
        <v>1</v>
      </c>
      <c r="K2244">
        <v>24</v>
      </c>
    </row>
    <row r="2245" spans="1:11" x14ac:dyDescent="0.2">
      <c r="A2245" t="s">
        <v>2669</v>
      </c>
      <c r="B2245">
        <v>67009</v>
      </c>
      <c r="C2245" t="s">
        <v>2430</v>
      </c>
      <c r="D2245" t="s">
        <v>2681</v>
      </c>
      <c r="E2245" t="s">
        <v>281</v>
      </c>
      <c r="F2245" t="s">
        <v>281</v>
      </c>
      <c r="G2245" t="s">
        <v>2622</v>
      </c>
      <c r="H2245" t="s">
        <v>281</v>
      </c>
      <c r="I2245" t="s">
        <v>2666</v>
      </c>
      <c r="J2245">
        <v>1</v>
      </c>
      <c r="K2245">
        <v>20</v>
      </c>
    </row>
    <row r="2246" spans="1:11" x14ac:dyDescent="0.2">
      <c r="A2246" t="s">
        <v>2669</v>
      </c>
      <c r="B2246">
        <v>32031</v>
      </c>
      <c r="C2246" t="s">
        <v>1357</v>
      </c>
      <c r="D2246" t="s">
        <v>2862</v>
      </c>
      <c r="E2246" t="s">
        <v>281</v>
      </c>
      <c r="F2246" t="s">
        <v>281</v>
      </c>
      <c r="G2246" t="s">
        <v>2844</v>
      </c>
      <c r="H2246" t="s">
        <v>281</v>
      </c>
      <c r="I2246" t="s">
        <v>2666</v>
      </c>
      <c r="J2246">
        <v>1</v>
      </c>
      <c r="K2246">
        <v>81</v>
      </c>
    </row>
    <row r="2247" spans="1:11" x14ac:dyDescent="0.2">
      <c r="A2247" t="s">
        <v>2669</v>
      </c>
      <c r="B2247">
        <v>12058</v>
      </c>
      <c r="C2247" t="s">
        <v>1229</v>
      </c>
      <c r="D2247" t="s">
        <v>2841</v>
      </c>
      <c r="E2247" t="s">
        <v>279</v>
      </c>
      <c r="F2247" t="s">
        <v>279</v>
      </c>
      <c r="G2247" t="s">
        <v>2686</v>
      </c>
      <c r="H2247" t="s">
        <v>279</v>
      </c>
      <c r="I2247" t="s">
        <v>2666</v>
      </c>
      <c r="J2247">
        <v>1</v>
      </c>
      <c r="K2247">
        <v>184</v>
      </c>
    </row>
    <row r="2248" spans="1:11" x14ac:dyDescent="0.2">
      <c r="A2248" t="s">
        <v>2669</v>
      </c>
      <c r="B2248">
        <v>73004</v>
      </c>
      <c r="C2248" t="s">
        <v>1176</v>
      </c>
      <c r="D2248" t="s">
        <v>2908</v>
      </c>
      <c r="E2248" t="s">
        <v>281</v>
      </c>
      <c r="F2248" t="s">
        <v>281</v>
      </c>
      <c r="G2248" t="s">
        <v>2660</v>
      </c>
      <c r="H2248" t="s">
        <v>281</v>
      </c>
      <c r="I2248" t="s">
        <v>2666</v>
      </c>
      <c r="J2248">
        <v>1</v>
      </c>
      <c r="K2248">
        <v>41</v>
      </c>
    </row>
    <row r="2249" spans="1:11" x14ac:dyDescent="0.2">
      <c r="A2249" t="s">
        <v>2669</v>
      </c>
      <c r="B2249">
        <v>190613</v>
      </c>
      <c r="C2249" t="s">
        <v>1280</v>
      </c>
      <c r="D2249" t="s">
        <v>2725</v>
      </c>
      <c r="E2249" t="s">
        <v>183</v>
      </c>
      <c r="F2249" t="s">
        <v>283</v>
      </c>
      <c r="G2249" t="s">
        <v>2724</v>
      </c>
      <c r="H2249" t="s">
        <v>183</v>
      </c>
      <c r="I2249" t="s">
        <v>2666</v>
      </c>
      <c r="J2249">
        <v>1</v>
      </c>
      <c r="K2249">
        <v>90</v>
      </c>
    </row>
    <row r="2250" spans="1:11" x14ac:dyDescent="0.2">
      <c r="A2250" t="s">
        <v>2669</v>
      </c>
      <c r="B2250">
        <v>190919</v>
      </c>
      <c r="C2250" t="s">
        <v>2442</v>
      </c>
      <c r="D2250" t="s">
        <v>2778</v>
      </c>
      <c r="E2250" t="s">
        <v>183</v>
      </c>
      <c r="F2250" t="s">
        <v>283</v>
      </c>
      <c r="G2250" t="s">
        <v>2777</v>
      </c>
      <c r="H2250" t="s">
        <v>183</v>
      </c>
      <c r="I2250" t="s">
        <v>2666</v>
      </c>
      <c r="J2250">
        <v>1</v>
      </c>
      <c r="K2250">
        <v>237.17</v>
      </c>
    </row>
    <row r="2251" spans="1:11" x14ac:dyDescent="0.2">
      <c r="A2251" t="s">
        <v>2669</v>
      </c>
      <c r="B2251">
        <v>54017</v>
      </c>
      <c r="C2251" t="s">
        <v>1101</v>
      </c>
      <c r="D2251" t="s">
        <v>2923</v>
      </c>
      <c r="E2251" t="s">
        <v>281</v>
      </c>
      <c r="F2251" t="s">
        <v>281</v>
      </c>
      <c r="G2251" t="s">
        <v>2729</v>
      </c>
      <c r="H2251" t="s">
        <v>281</v>
      </c>
      <c r="I2251" t="s">
        <v>2666</v>
      </c>
      <c r="J2251">
        <v>1</v>
      </c>
      <c r="K2251">
        <v>28</v>
      </c>
    </row>
    <row r="2252" spans="1:11" x14ac:dyDescent="0.2">
      <c r="A2252" t="s">
        <v>2669</v>
      </c>
      <c r="B2252">
        <v>190605</v>
      </c>
      <c r="C2252" t="s">
        <v>913</v>
      </c>
      <c r="D2252" t="s">
        <v>2877</v>
      </c>
      <c r="E2252" t="s">
        <v>183</v>
      </c>
      <c r="F2252" t="s">
        <v>283</v>
      </c>
      <c r="G2252" t="s">
        <v>2724</v>
      </c>
      <c r="H2252" t="s">
        <v>183</v>
      </c>
      <c r="I2252" t="s">
        <v>2666</v>
      </c>
      <c r="J2252">
        <v>1</v>
      </c>
      <c r="K2252">
        <v>174</v>
      </c>
    </row>
    <row r="2253" spans="1:11" x14ac:dyDescent="0.2">
      <c r="A2253" t="s">
        <v>2669</v>
      </c>
      <c r="B2253">
        <v>28026</v>
      </c>
      <c r="C2253" t="s">
        <v>1237</v>
      </c>
      <c r="D2253" t="s">
        <v>2898</v>
      </c>
      <c r="E2253" t="s">
        <v>281</v>
      </c>
      <c r="F2253" t="s">
        <v>281</v>
      </c>
      <c r="G2253" t="s">
        <v>2793</v>
      </c>
      <c r="H2253" t="s">
        <v>281</v>
      </c>
      <c r="I2253" t="s">
        <v>2666</v>
      </c>
      <c r="J2253">
        <v>1</v>
      </c>
      <c r="K2253">
        <v>469</v>
      </c>
    </row>
    <row r="2254" spans="1:11" x14ac:dyDescent="0.2">
      <c r="A2254" t="s">
        <v>2669</v>
      </c>
      <c r="B2254">
        <v>67006</v>
      </c>
      <c r="C2254" t="s">
        <v>675</v>
      </c>
      <c r="D2254" t="s">
        <v>2782</v>
      </c>
      <c r="E2254" t="s">
        <v>281</v>
      </c>
      <c r="F2254" t="s">
        <v>281</v>
      </c>
      <c r="G2254" t="s">
        <v>2622</v>
      </c>
      <c r="H2254" t="s">
        <v>281</v>
      </c>
      <c r="I2254" t="s">
        <v>2666</v>
      </c>
      <c r="J2254">
        <v>1</v>
      </c>
      <c r="K2254">
        <v>38</v>
      </c>
    </row>
    <row r="2255" spans="1:11" x14ac:dyDescent="0.2">
      <c r="A2255" t="s">
        <v>2669</v>
      </c>
      <c r="B2255">
        <v>231005</v>
      </c>
      <c r="C2255" t="s">
        <v>1287</v>
      </c>
      <c r="D2255" t="s">
        <v>2933</v>
      </c>
      <c r="E2255" t="s">
        <v>184</v>
      </c>
      <c r="F2255" t="s">
        <v>184</v>
      </c>
      <c r="G2255" t="s">
        <v>2932</v>
      </c>
      <c r="H2255" t="s">
        <v>184</v>
      </c>
      <c r="I2255" t="s">
        <v>2666</v>
      </c>
      <c r="J2255">
        <v>1</v>
      </c>
      <c r="K2255">
        <v>44</v>
      </c>
    </row>
    <row r="2256" spans="1:11" x14ac:dyDescent="0.2">
      <c r="A2256" t="s">
        <v>2669</v>
      </c>
      <c r="B2256">
        <v>47014</v>
      </c>
      <c r="C2256" t="s">
        <v>1249</v>
      </c>
      <c r="D2256" t="s">
        <v>2894</v>
      </c>
      <c r="E2256" t="s">
        <v>281</v>
      </c>
      <c r="F2256" t="s">
        <v>281</v>
      </c>
      <c r="G2256" t="s">
        <v>2893</v>
      </c>
      <c r="H2256" t="s">
        <v>281</v>
      </c>
      <c r="I2256" t="s">
        <v>2666</v>
      </c>
      <c r="J2256">
        <v>1</v>
      </c>
      <c r="K2256">
        <v>194.17</v>
      </c>
    </row>
    <row r="2257" spans="1:11" x14ac:dyDescent="0.2">
      <c r="A2257" t="s">
        <v>2669</v>
      </c>
      <c r="B2257">
        <v>8013</v>
      </c>
      <c r="C2257" t="s">
        <v>2405</v>
      </c>
      <c r="D2257" t="s">
        <v>2675</v>
      </c>
      <c r="E2257" t="s">
        <v>279</v>
      </c>
      <c r="F2257" t="s">
        <v>279</v>
      </c>
      <c r="G2257" t="s">
        <v>2674</v>
      </c>
      <c r="H2257" t="s">
        <v>279</v>
      </c>
      <c r="I2257" t="s">
        <v>2666</v>
      </c>
      <c r="J2257">
        <v>1</v>
      </c>
      <c r="K2257">
        <v>147</v>
      </c>
    </row>
    <row r="2258" spans="1:11" x14ac:dyDescent="0.2">
      <c r="A2258" t="s">
        <v>2669</v>
      </c>
      <c r="B2258">
        <v>29033</v>
      </c>
      <c r="C2258" t="s">
        <v>1354</v>
      </c>
      <c r="D2258" t="s">
        <v>2713</v>
      </c>
      <c r="E2258" t="s">
        <v>281</v>
      </c>
      <c r="F2258" t="s">
        <v>281</v>
      </c>
      <c r="G2258" t="s">
        <v>2688</v>
      </c>
      <c r="H2258" t="s">
        <v>281</v>
      </c>
      <c r="I2258" t="s">
        <v>2666</v>
      </c>
      <c r="J2258">
        <v>1</v>
      </c>
      <c r="K2258">
        <v>113</v>
      </c>
    </row>
    <row r="2259" spans="1:11" x14ac:dyDescent="0.2">
      <c r="A2259" t="s">
        <v>2669</v>
      </c>
      <c r="B2259">
        <v>12042</v>
      </c>
      <c r="C2259" t="s">
        <v>343</v>
      </c>
      <c r="D2259" t="s">
        <v>2949</v>
      </c>
      <c r="E2259" t="s">
        <v>279</v>
      </c>
      <c r="F2259" t="s">
        <v>279</v>
      </c>
      <c r="G2259" t="s">
        <v>2686</v>
      </c>
      <c r="H2259" t="s">
        <v>279</v>
      </c>
      <c r="I2259" t="s">
        <v>2666</v>
      </c>
      <c r="J2259">
        <v>1</v>
      </c>
      <c r="K2259">
        <v>10</v>
      </c>
    </row>
    <row r="2260" spans="1:11" x14ac:dyDescent="0.2">
      <c r="A2260" t="s">
        <v>2669</v>
      </c>
      <c r="B2260">
        <v>52017</v>
      </c>
      <c r="C2260" t="s">
        <v>642</v>
      </c>
      <c r="D2260" t="s">
        <v>2876</v>
      </c>
      <c r="E2260" t="s">
        <v>281</v>
      </c>
      <c r="F2260" t="s">
        <v>281</v>
      </c>
      <c r="G2260" t="s">
        <v>2682</v>
      </c>
      <c r="H2260" t="s">
        <v>281</v>
      </c>
      <c r="I2260" t="s">
        <v>2666</v>
      </c>
      <c r="J2260">
        <v>1</v>
      </c>
      <c r="K2260">
        <v>10</v>
      </c>
    </row>
    <row r="2261" spans="1:11" x14ac:dyDescent="0.2">
      <c r="A2261" t="s">
        <v>2669</v>
      </c>
      <c r="B2261">
        <v>57013</v>
      </c>
      <c r="C2261" t="s">
        <v>2428</v>
      </c>
      <c r="D2261" t="s">
        <v>2897</v>
      </c>
      <c r="E2261" t="s">
        <v>281</v>
      </c>
      <c r="F2261" t="s">
        <v>281</v>
      </c>
      <c r="G2261" t="s">
        <v>2889</v>
      </c>
      <c r="H2261" t="s">
        <v>281</v>
      </c>
      <c r="I2261" t="s">
        <v>2666</v>
      </c>
      <c r="J2261">
        <v>1</v>
      </c>
      <c r="K2261">
        <v>14</v>
      </c>
    </row>
    <row r="2262" spans="1:11" x14ac:dyDescent="0.2">
      <c r="A2262" t="s">
        <v>2669</v>
      </c>
      <c r="B2262">
        <v>81005</v>
      </c>
      <c r="C2262" t="s">
        <v>723</v>
      </c>
      <c r="D2262" t="s">
        <v>2883</v>
      </c>
      <c r="E2262" t="s">
        <v>2634</v>
      </c>
      <c r="F2262" t="s">
        <v>281</v>
      </c>
      <c r="G2262" t="s">
        <v>2821</v>
      </c>
      <c r="H2262" t="s">
        <v>2634</v>
      </c>
      <c r="I2262" t="s">
        <v>2666</v>
      </c>
      <c r="J2262">
        <v>1</v>
      </c>
      <c r="K2262">
        <v>363.17</v>
      </c>
    </row>
    <row r="2263" spans="1:11" x14ac:dyDescent="0.2">
      <c r="A2263" t="s">
        <v>2669</v>
      </c>
      <c r="B2263">
        <v>10002</v>
      </c>
      <c r="C2263" t="s">
        <v>2407</v>
      </c>
      <c r="D2263" t="s">
        <v>2887</v>
      </c>
      <c r="E2263" t="s">
        <v>31</v>
      </c>
      <c r="F2263" t="s">
        <v>283</v>
      </c>
      <c r="G2263" t="s">
        <v>2886</v>
      </c>
      <c r="H2263" t="s">
        <v>31</v>
      </c>
      <c r="I2263" t="s">
        <v>2666</v>
      </c>
      <c r="J2263">
        <v>1</v>
      </c>
      <c r="K2263">
        <v>130</v>
      </c>
    </row>
    <row r="2264" spans="1:11" x14ac:dyDescent="0.2">
      <c r="A2264" t="s">
        <v>2669</v>
      </c>
      <c r="B2264">
        <v>15077</v>
      </c>
      <c r="C2264" t="s">
        <v>1128</v>
      </c>
      <c r="D2264" t="s">
        <v>2815</v>
      </c>
      <c r="E2264" t="s">
        <v>279</v>
      </c>
      <c r="F2264" t="s">
        <v>279</v>
      </c>
      <c r="G2264" t="s">
        <v>2814</v>
      </c>
      <c r="H2264" t="s">
        <v>279</v>
      </c>
      <c r="I2264" t="s">
        <v>2666</v>
      </c>
      <c r="J2264">
        <v>1</v>
      </c>
      <c r="K2264">
        <v>40</v>
      </c>
    </row>
    <row r="2265" spans="1:11" x14ac:dyDescent="0.2">
      <c r="A2265" t="s">
        <v>2669</v>
      </c>
      <c r="B2265">
        <v>50038</v>
      </c>
      <c r="C2265" t="s">
        <v>1367</v>
      </c>
      <c r="D2265" t="s">
        <v>2934</v>
      </c>
      <c r="E2265" t="s">
        <v>281</v>
      </c>
      <c r="F2265" t="s">
        <v>281</v>
      </c>
      <c r="G2265" t="s">
        <v>2667</v>
      </c>
      <c r="H2265" t="s">
        <v>281</v>
      </c>
      <c r="I2265" t="s">
        <v>2666</v>
      </c>
      <c r="J2265">
        <v>1</v>
      </c>
      <c r="K2265">
        <v>76</v>
      </c>
    </row>
    <row r="2266" spans="1:11" x14ac:dyDescent="0.2">
      <c r="A2266" t="s">
        <v>2669</v>
      </c>
      <c r="B2266">
        <v>51011</v>
      </c>
      <c r="C2266" t="s">
        <v>2425</v>
      </c>
      <c r="D2266" t="s">
        <v>2808</v>
      </c>
      <c r="E2266" t="s">
        <v>281</v>
      </c>
      <c r="F2266" t="s">
        <v>281</v>
      </c>
      <c r="G2266" t="s">
        <v>2667</v>
      </c>
      <c r="H2266" t="s">
        <v>281</v>
      </c>
      <c r="I2266" t="s">
        <v>2666</v>
      </c>
      <c r="J2266">
        <v>1</v>
      </c>
      <c r="K2266">
        <v>38</v>
      </c>
    </row>
    <row r="2267" spans="1:11" x14ac:dyDescent="0.2">
      <c r="A2267" t="s">
        <v>2669</v>
      </c>
      <c r="B2267">
        <v>28033</v>
      </c>
      <c r="C2267" t="s">
        <v>1353</v>
      </c>
      <c r="D2267" t="s">
        <v>2856</v>
      </c>
      <c r="E2267" t="s">
        <v>281</v>
      </c>
      <c r="F2267" t="s">
        <v>281</v>
      </c>
      <c r="G2267" t="s">
        <v>2736</v>
      </c>
      <c r="H2267" t="s">
        <v>281</v>
      </c>
      <c r="I2267" t="s">
        <v>2666</v>
      </c>
      <c r="J2267">
        <v>1</v>
      </c>
      <c r="K2267">
        <v>58</v>
      </c>
    </row>
    <row r="2268" spans="1:11" x14ac:dyDescent="0.2">
      <c r="A2268" t="s">
        <v>2669</v>
      </c>
      <c r="B2268">
        <v>84021</v>
      </c>
      <c r="C2268" t="s">
        <v>1273</v>
      </c>
      <c r="D2268" t="s">
        <v>2914</v>
      </c>
      <c r="E2268" t="s">
        <v>281</v>
      </c>
      <c r="F2268" t="s">
        <v>281</v>
      </c>
      <c r="G2268" t="s">
        <v>2913</v>
      </c>
      <c r="H2268" t="s">
        <v>281</v>
      </c>
      <c r="I2268" t="s">
        <v>2666</v>
      </c>
      <c r="J2268">
        <v>1</v>
      </c>
      <c r="K2268">
        <v>58</v>
      </c>
    </row>
    <row r="2269" spans="1:11" x14ac:dyDescent="0.2">
      <c r="A2269" t="s">
        <v>2669</v>
      </c>
      <c r="B2269">
        <v>230417</v>
      </c>
      <c r="C2269" t="s">
        <v>979</v>
      </c>
      <c r="D2269" t="s">
        <v>2740</v>
      </c>
      <c r="E2269" t="s">
        <v>184</v>
      </c>
      <c r="F2269" t="s">
        <v>184</v>
      </c>
      <c r="G2269" t="s">
        <v>2739</v>
      </c>
      <c r="H2269" t="s">
        <v>184</v>
      </c>
      <c r="I2269" t="s">
        <v>2666</v>
      </c>
      <c r="J2269">
        <v>1</v>
      </c>
      <c r="K2269">
        <v>72</v>
      </c>
    </row>
    <row r="2270" spans="1:11" x14ac:dyDescent="0.2">
      <c r="A2270" t="s">
        <v>2669</v>
      </c>
      <c r="B2270">
        <v>86005</v>
      </c>
      <c r="C2270" t="s">
        <v>1275</v>
      </c>
      <c r="D2270" t="s">
        <v>2721</v>
      </c>
      <c r="E2270" t="s">
        <v>281</v>
      </c>
      <c r="F2270" t="s">
        <v>281</v>
      </c>
      <c r="G2270" t="s">
        <v>2624</v>
      </c>
      <c r="H2270" t="s">
        <v>281</v>
      </c>
      <c r="I2270" t="s">
        <v>2666</v>
      </c>
      <c r="J2270">
        <v>1</v>
      </c>
      <c r="K2270">
        <v>207</v>
      </c>
    </row>
    <row r="2271" spans="1:11" x14ac:dyDescent="0.2">
      <c r="A2271" t="s">
        <v>2669</v>
      </c>
      <c r="B2271">
        <v>9009</v>
      </c>
      <c r="C2271" t="s">
        <v>1093</v>
      </c>
      <c r="D2271" t="s">
        <v>2766</v>
      </c>
      <c r="E2271" t="s">
        <v>31</v>
      </c>
      <c r="F2271" t="s">
        <v>283</v>
      </c>
      <c r="G2271" t="s">
        <v>2765</v>
      </c>
      <c r="H2271" t="s">
        <v>31</v>
      </c>
      <c r="I2271" t="s">
        <v>2666</v>
      </c>
      <c r="J2271">
        <v>1</v>
      </c>
      <c r="K2271">
        <v>87</v>
      </c>
    </row>
    <row r="2272" spans="1:11" x14ac:dyDescent="0.2">
      <c r="A2272" t="s">
        <v>2669</v>
      </c>
      <c r="B2272">
        <v>34008</v>
      </c>
      <c r="C2272" t="s">
        <v>1144</v>
      </c>
      <c r="D2272" t="s">
        <v>2851</v>
      </c>
      <c r="E2272" t="s">
        <v>281</v>
      </c>
      <c r="F2272" t="s">
        <v>281</v>
      </c>
      <c r="G2272" t="s">
        <v>2770</v>
      </c>
      <c r="H2272" t="s">
        <v>281</v>
      </c>
      <c r="I2272" t="s">
        <v>2666</v>
      </c>
      <c r="J2272">
        <v>1</v>
      </c>
      <c r="K2272">
        <v>30</v>
      </c>
    </row>
    <row r="2273" spans="1:11" x14ac:dyDescent="0.2">
      <c r="A2273" t="s">
        <v>2669</v>
      </c>
      <c r="B2273">
        <v>51015</v>
      </c>
      <c r="C2273" t="s">
        <v>1252</v>
      </c>
      <c r="D2273" t="s">
        <v>2752</v>
      </c>
      <c r="E2273" t="s">
        <v>281</v>
      </c>
      <c r="F2273" t="s">
        <v>281</v>
      </c>
      <c r="G2273" t="s">
        <v>2667</v>
      </c>
      <c r="H2273" t="s">
        <v>281</v>
      </c>
      <c r="I2273" t="s">
        <v>2666</v>
      </c>
      <c r="J2273">
        <v>1</v>
      </c>
      <c r="K2273">
        <v>18</v>
      </c>
    </row>
    <row r="2274" spans="1:11" x14ac:dyDescent="0.2">
      <c r="A2274" t="s">
        <v>2669</v>
      </c>
      <c r="B2274">
        <v>47006</v>
      </c>
      <c r="C2274" t="s">
        <v>1248</v>
      </c>
      <c r="D2274" t="s">
        <v>2912</v>
      </c>
      <c r="E2274" t="s">
        <v>281</v>
      </c>
      <c r="F2274" t="s">
        <v>281</v>
      </c>
      <c r="G2274" t="s">
        <v>2893</v>
      </c>
      <c r="H2274" t="s">
        <v>281</v>
      </c>
      <c r="I2274" t="s">
        <v>2666</v>
      </c>
      <c r="J2274">
        <v>1</v>
      </c>
      <c r="K2274">
        <v>169</v>
      </c>
    </row>
    <row r="2275" spans="1:11" x14ac:dyDescent="0.2">
      <c r="A2275" t="s">
        <v>2669</v>
      </c>
      <c r="B2275">
        <v>29054</v>
      </c>
      <c r="C2275" t="s">
        <v>1050</v>
      </c>
      <c r="D2275" t="s">
        <v>2744</v>
      </c>
      <c r="E2275" t="s">
        <v>281</v>
      </c>
      <c r="F2275" t="s">
        <v>281</v>
      </c>
      <c r="G2275" t="s">
        <v>2688</v>
      </c>
      <c r="H2275" t="s">
        <v>281</v>
      </c>
      <c r="I2275" t="s">
        <v>2666</v>
      </c>
      <c r="J2275">
        <v>1</v>
      </c>
      <c r="K2275">
        <v>145</v>
      </c>
    </row>
    <row r="2276" spans="1:11" x14ac:dyDescent="0.2">
      <c r="A2276" t="s">
        <v>2669</v>
      </c>
      <c r="B2276">
        <v>192156</v>
      </c>
      <c r="C2276" t="s">
        <v>966</v>
      </c>
      <c r="D2276" t="s">
        <v>2870</v>
      </c>
      <c r="E2276" t="s">
        <v>183</v>
      </c>
      <c r="F2276" t="s">
        <v>283</v>
      </c>
      <c r="G2276" t="s">
        <v>2869</v>
      </c>
      <c r="H2276" t="s">
        <v>183</v>
      </c>
      <c r="I2276" t="s">
        <v>2666</v>
      </c>
      <c r="J2276">
        <v>1</v>
      </c>
      <c r="K2276">
        <v>319</v>
      </c>
    </row>
    <row r="2277" spans="1:11" x14ac:dyDescent="0.2">
      <c r="A2277" t="s">
        <v>2669</v>
      </c>
      <c r="B2277">
        <v>13014</v>
      </c>
      <c r="C2277" t="s">
        <v>354</v>
      </c>
      <c r="D2277" t="s">
        <v>2768</v>
      </c>
      <c r="E2277" t="s">
        <v>2634</v>
      </c>
      <c r="F2277" t="s">
        <v>279</v>
      </c>
      <c r="G2277" t="s">
        <v>2767</v>
      </c>
      <c r="H2277" t="s">
        <v>2634</v>
      </c>
      <c r="I2277" t="s">
        <v>2666</v>
      </c>
      <c r="J2277">
        <v>1</v>
      </c>
      <c r="K2277">
        <v>34</v>
      </c>
    </row>
    <row r="2278" spans="1:11" x14ac:dyDescent="0.2">
      <c r="A2278" t="s">
        <v>2669</v>
      </c>
      <c r="B2278">
        <v>17019</v>
      </c>
      <c r="C2278" t="s">
        <v>1045</v>
      </c>
      <c r="D2278" t="s">
        <v>2800</v>
      </c>
      <c r="E2278" t="s">
        <v>279</v>
      </c>
      <c r="F2278" t="s">
        <v>279</v>
      </c>
      <c r="G2278" t="s">
        <v>2774</v>
      </c>
      <c r="H2278" t="s">
        <v>279</v>
      </c>
      <c r="I2278" t="s">
        <v>2666</v>
      </c>
      <c r="J2278">
        <v>1</v>
      </c>
      <c r="K2278">
        <v>109</v>
      </c>
    </row>
    <row r="2279" spans="1:11" x14ac:dyDescent="0.2">
      <c r="A2279" t="s">
        <v>2669</v>
      </c>
      <c r="B2279">
        <v>40007</v>
      </c>
      <c r="C2279" t="s">
        <v>2947</v>
      </c>
      <c r="D2279" t="s">
        <v>2946</v>
      </c>
      <c r="E2279" t="s">
        <v>281</v>
      </c>
      <c r="F2279" t="s">
        <v>281</v>
      </c>
      <c r="G2279" t="s">
        <v>2704</v>
      </c>
      <c r="H2279" t="s">
        <v>281</v>
      </c>
      <c r="I2279" t="s">
        <v>2666</v>
      </c>
      <c r="J2279">
        <v>1</v>
      </c>
      <c r="K2279">
        <v>5073.38</v>
      </c>
    </row>
    <row r="2280" spans="1:11" x14ac:dyDescent="0.2">
      <c r="A2280" t="s">
        <v>2669</v>
      </c>
      <c r="B2280">
        <v>191815</v>
      </c>
      <c r="C2280" t="s">
        <v>959</v>
      </c>
      <c r="D2280" t="s">
        <v>2830</v>
      </c>
      <c r="E2280" t="s">
        <v>183</v>
      </c>
      <c r="F2280" t="s">
        <v>283</v>
      </c>
      <c r="G2280" t="s">
        <v>2829</v>
      </c>
      <c r="H2280" t="s">
        <v>183</v>
      </c>
      <c r="I2280" t="s">
        <v>2666</v>
      </c>
      <c r="J2280">
        <v>1</v>
      </c>
      <c r="K2280">
        <v>113</v>
      </c>
    </row>
    <row r="2281" spans="1:11" x14ac:dyDescent="0.2">
      <c r="A2281" t="s">
        <v>2669</v>
      </c>
      <c r="B2281">
        <v>42009</v>
      </c>
      <c r="C2281" t="s">
        <v>564</v>
      </c>
      <c r="D2281" t="s">
        <v>2715</v>
      </c>
      <c r="E2281" t="s">
        <v>281</v>
      </c>
      <c r="F2281" t="s">
        <v>281</v>
      </c>
      <c r="G2281" t="s">
        <v>2692</v>
      </c>
      <c r="H2281" t="s">
        <v>281</v>
      </c>
      <c r="I2281" t="s">
        <v>2666</v>
      </c>
      <c r="J2281">
        <v>1</v>
      </c>
      <c r="K2281">
        <v>2126.1799999999998</v>
      </c>
    </row>
    <row r="2282" spans="1:11" x14ac:dyDescent="0.2">
      <c r="A2282" t="s">
        <v>2669</v>
      </c>
      <c r="B2282">
        <v>8016</v>
      </c>
      <c r="C2282" t="s">
        <v>1226</v>
      </c>
      <c r="D2282" t="s">
        <v>2937</v>
      </c>
      <c r="E2282" t="s">
        <v>279</v>
      </c>
      <c r="F2282" t="s">
        <v>279</v>
      </c>
      <c r="G2282" t="s">
        <v>2674</v>
      </c>
      <c r="H2282" t="s">
        <v>279</v>
      </c>
      <c r="I2282" t="s">
        <v>2666</v>
      </c>
      <c r="J2282">
        <v>1</v>
      </c>
      <c r="K2282">
        <v>68</v>
      </c>
    </row>
    <row r="2283" spans="1:11" x14ac:dyDescent="0.2">
      <c r="A2283" t="s">
        <v>2669</v>
      </c>
      <c r="B2283">
        <v>230934</v>
      </c>
      <c r="C2283" t="s">
        <v>2479</v>
      </c>
      <c r="D2283" t="s">
        <v>2873</v>
      </c>
      <c r="E2283" t="s">
        <v>184</v>
      </c>
      <c r="F2283" t="s">
        <v>184</v>
      </c>
      <c r="G2283" t="s">
        <v>2696</v>
      </c>
      <c r="H2283" t="s">
        <v>184</v>
      </c>
      <c r="I2283" t="s">
        <v>2666</v>
      </c>
      <c r="J2283">
        <v>1</v>
      </c>
      <c r="K2283">
        <v>77</v>
      </c>
    </row>
    <row r="2284" spans="1:11" x14ac:dyDescent="0.2">
      <c r="A2284" t="s">
        <v>2669</v>
      </c>
      <c r="B2284">
        <v>190712</v>
      </c>
      <c r="C2284" t="s">
        <v>920</v>
      </c>
      <c r="D2284" t="s">
        <v>2848</v>
      </c>
      <c r="E2284" t="s">
        <v>183</v>
      </c>
      <c r="F2284" t="s">
        <v>283</v>
      </c>
      <c r="G2284" t="s">
        <v>2701</v>
      </c>
      <c r="H2284" t="s">
        <v>183</v>
      </c>
      <c r="I2284" t="s">
        <v>2666</v>
      </c>
      <c r="J2284">
        <v>1</v>
      </c>
      <c r="K2284">
        <v>197</v>
      </c>
    </row>
    <row r="2285" spans="1:11" x14ac:dyDescent="0.2">
      <c r="A2285" t="s">
        <v>2669</v>
      </c>
      <c r="B2285">
        <v>12025</v>
      </c>
      <c r="C2285" t="s">
        <v>1124</v>
      </c>
      <c r="D2285" t="s">
        <v>2868</v>
      </c>
      <c r="E2285" t="s">
        <v>279</v>
      </c>
      <c r="F2285" t="s">
        <v>279</v>
      </c>
      <c r="G2285" t="s">
        <v>2686</v>
      </c>
      <c r="H2285" t="s">
        <v>279</v>
      </c>
      <c r="I2285" t="s">
        <v>2666</v>
      </c>
      <c r="J2285">
        <v>1</v>
      </c>
      <c r="K2285">
        <v>60</v>
      </c>
    </row>
    <row r="2286" spans="1:11" x14ac:dyDescent="0.2">
      <c r="A2286" t="s">
        <v>2669</v>
      </c>
      <c r="B2286">
        <v>6005</v>
      </c>
      <c r="C2286" t="s">
        <v>1120</v>
      </c>
      <c r="D2286" t="s">
        <v>2743</v>
      </c>
      <c r="E2286" t="s">
        <v>31</v>
      </c>
      <c r="F2286" t="s">
        <v>283</v>
      </c>
      <c r="G2286" t="s">
        <v>2742</v>
      </c>
      <c r="H2286" t="s">
        <v>31</v>
      </c>
      <c r="I2286" t="s">
        <v>2666</v>
      </c>
      <c r="J2286">
        <v>1</v>
      </c>
      <c r="K2286">
        <v>71</v>
      </c>
    </row>
    <row r="2287" spans="1:11" x14ac:dyDescent="0.2">
      <c r="A2287" t="s">
        <v>2669</v>
      </c>
      <c r="B2287">
        <v>60016</v>
      </c>
      <c r="C2287" t="s">
        <v>1259</v>
      </c>
      <c r="D2287" t="s">
        <v>2807</v>
      </c>
      <c r="E2287" t="s">
        <v>281</v>
      </c>
      <c r="F2287" t="s">
        <v>281</v>
      </c>
      <c r="G2287" t="s">
        <v>2641</v>
      </c>
      <c r="H2287" t="s">
        <v>281</v>
      </c>
      <c r="I2287" t="s">
        <v>2666</v>
      </c>
      <c r="J2287">
        <v>1</v>
      </c>
      <c r="K2287">
        <v>91</v>
      </c>
    </row>
    <row r="2288" spans="1:11" x14ac:dyDescent="0.2">
      <c r="A2288" t="s">
        <v>2669</v>
      </c>
      <c r="B2288">
        <v>79009</v>
      </c>
      <c r="C2288" t="s">
        <v>2438</v>
      </c>
      <c r="D2288" t="s">
        <v>2749</v>
      </c>
      <c r="E2288" t="s">
        <v>281</v>
      </c>
      <c r="F2288" t="s">
        <v>281</v>
      </c>
      <c r="G2288" t="s">
        <v>2748</v>
      </c>
      <c r="H2288" t="s">
        <v>281</v>
      </c>
      <c r="I2288" t="s">
        <v>2666</v>
      </c>
      <c r="J2288">
        <v>1</v>
      </c>
      <c r="K2288">
        <v>137</v>
      </c>
    </row>
    <row r="2289" spans="1:11" x14ac:dyDescent="0.2">
      <c r="A2289" t="s">
        <v>2669</v>
      </c>
      <c r="B2289">
        <v>14013</v>
      </c>
      <c r="C2289" t="s">
        <v>1230</v>
      </c>
      <c r="D2289" t="s">
        <v>2884</v>
      </c>
      <c r="E2289" t="s">
        <v>279</v>
      </c>
      <c r="F2289" t="s">
        <v>279</v>
      </c>
      <c r="G2289" t="s">
        <v>2858</v>
      </c>
      <c r="H2289" t="s">
        <v>279</v>
      </c>
      <c r="I2289" t="s">
        <v>2666</v>
      </c>
      <c r="J2289">
        <v>1</v>
      </c>
      <c r="K2289">
        <v>112</v>
      </c>
    </row>
    <row r="2290" spans="1:11" x14ac:dyDescent="0.2">
      <c r="A2290" t="s">
        <v>2669</v>
      </c>
      <c r="B2290">
        <v>71009</v>
      </c>
      <c r="C2290" t="s">
        <v>2431</v>
      </c>
      <c r="D2290" t="s">
        <v>2891</v>
      </c>
      <c r="E2290" t="s">
        <v>281</v>
      </c>
      <c r="F2290" t="s">
        <v>281</v>
      </c>
      <c r="G2290" t="s">
        <v>2629</v>
      </c>
      <c r="H2290" t="s">
        <v>281</v>
      </c>
      <c r="I2290" t="s">
        <v>2666</v>
      </c>
      <c r="J2290">
        <v>1</v>
      </c>
      <c r="K2290">
        <v>42</v>
      </c>
    </row>
    <row r="2291" spans="1:11" x14ac:dyDescent="0.2">
      <c r="A2291" t="s">
        <v>2669</v>
      </c>
      <c r="B2291">
        <v>190708</v>
      </c>
      <c r="C2291" t="s">
        <v>2441</v>
      </c>
      <c r="D2291" t="s">
        <v>2764</v>
      </c>
      <c r="E2291" t="s">
        <v>183</v>
      </c>
      <c r="F2291" t="s">
        <v>283</v>
      </c>
      <c r="G2291" t="s">
        <v>2701</v>
      </c>
      <c r="H2291" t="s">
        <v>183</v>
      </c>
      <c r="I2291" t="s">
        <v>2666</v>
      </c>
      <c r="J2291">
        <v>1</v>
      </c>
      <c r="K2291">
        <v>112</v>
      </c>
    </row>
    <row r="2292" spans="1:11" x14ac:dyDescent="0.2">
      <c r="A2292" t="s">
        <v>2669</v>
      </c>
      <c r="B2292">
        <v>12012</v>
      </c>
      <c r="C2292" t="s">
        <v>1040</v>
      </c>
      <c r="D2292" t="s">
        <v>2812</v>
      </c>
      <c r="E2292" t="s">
        <v>279</v>
      </c>
      <c r="F2292" t="s">
        <v>279</v>
      </c>
      <c r="G2292" t="s">
        <v>2686</v>
      </c>
      <c r="H2292" t="s">
        <v>279</v>
      </c>
      <c r="I2292" t="s">
        <v>2666</v>
      </c>
      <c r="J2292">
        <v>1</v>
      </c>
      <c r="K2292">
        <v>267.5</v>
      </c>
    </row>
    <row r="2293" spans="1:11" x14ac:dyDescent="0.2">
      <c r="A2293" t="s">
        <v>2669</v>
      </c>
      <c r="B2293">
        <v>12019</v>
      </c>
      <c r="C2293" t="s">
        <v>1228</v>
      </c>
      <c r="D2293" t="s">
        <v>2835</v>
      </c>
      <c r="E2293" t="s">
        <v>279</v>
      </c>
      <c r="F2293" t="s">
        <v>279</v>
      </c>
      <c r="G2293" t="s">
        <v>2686</v>
      </c>
      <c r="H2293" t="s">
        <v>279</v>
      </c>
      <c r="I2293" t="s">
        <v>2666</v>
      </c>
      <c r="J2293">
        <v>1</v>
      </c>
      <c r="K2293">
        <v>140</v>
      </c>
    </row>
    <row r="2294" spans="1:11" x14ac:dyDescent="0.2">
      <c r="A2294" t="s">
        <v>2669</v>
      </c>
      <c r="B2294">
        <v>15081</v>
      </c>
      <c r="C2294" t="s">
        <v>369</v>
      </c>
      <c r="D2294" t="s">
        <v>2791</v>
      </c>
      <c r="E2294" t="s">
        <v>279</v>
      </c>
      <c r="F2294" t="s">
        <v>279</v>
      </c>
      <c r="G2294" t="s">
        <v>2790</v>
      </c>
      <c r="H2294" t="s">
        <v>279</v>
      </c>
      <c r="I2294" t="s">
        <v>2666</v>
      </c>
      <c r="J2294">
        <v>1</v>
      </c>
      <c r="K2294">
        <v>2750.7</v>
      </c>
    </row>
    <row r="2295" spans="1:11" x14ac:dyDescent="0.2">
      <c r="A2295" t="s">
        <v>2669</v>
      </c>
      <c r="B2295">
        <v>34018</v>
      </c>
      <c r="C2295" t="s">
        <v>1359</v>
      </c>
      <c r="D2295" t="s">
        <v>2817</v>
      </c>
      <c r="E2295" t="s">
        <v>281</v>
      </c>
      <c r="F2295" t="s">
        <v>281</v>
      </c>
      <c r="G2295" t="s">
        <v>2770</v>
      </c>
      <c r="H2295" t="s">
        <v>281</v>
      </c>
      <c r="I2295" t="s">
        <v>2666</v>
      </c>
      <c r="J2295">
        <v>1</v>
      </c>
      <c r="K2295">
        <v>446</v>
      </c>
    </row>
    <row r="2296" spans="1:11" x14ac:dyDescent="0.2">
      <c r="A2296" t="s">
        <v>2669</v>
      </c>
      <c r="B2296">
        <v>79011</v>
      </c>
      <c r="C2296" t="s">
        <v>1267</v>
      </c>
      <c r="D2296" t="s">
        <v>2953</v>
      </c>
      <c r="E2296" t="s">
        <v>281</v>
      </c>
      <c r="F2296" t="s">
        <v>281</v>
      </c>
      <c r="G2296" t="s">
        <v>2748</v>
      </c>
      <c r="H2296" t="s">
        <v>281</v>
      </c>
      <c r="I2296" t="s">
        <v>2666</v>
      </c>
      <c r="J2296">
        <v>1</v>
      </c>
      <c r="K2296">
        <v>21</v>
      </c>
    </row>
    <row r="2297" spans="1:11" x14ac:dyDescent="0.2">
      <c r="A2297" t="s">
        <v>2669</v>
      </c>
      <c r="B2297">
        <v>46022</v>
      </c>
      <c r="C2297" t="s">
        <v>592</v>
      </c>
      <c r="D2297" t="s">
        <v>2827</v>
      </c>
      <c r="E2297" t="s">
        <v>281</v>
      </c>
      <c r="F2297" t="s">
        <v>281</v>
      </c>
      <c r="G2297" t="s">
        <v>2826</v>
      </c>
      <c r="H2297" t="s">
        <v>281</v>
      </c>
      <c r="I2297" t="s">
        <v>2666</v>
      </c>
      <c r="J2297">
        <v>1</v>
      </c>
      <c r="K2297">
        <v>19</v>
      </c>
    </row>
    <row r="2298" spans="1:11" x14ac:dyDescent="0.2">
      <c r="A2298" t="s">
        <v>2669</v>
      </c>
      <c r="B2298">
        <v>19025</v>
      </c>
      <c r="C2298" t="s">
        <v>1077</v>
      </c>
      <c r="D2298" t="s">
        <v>2944</v>
      </c>
      <c r="E2298" t="s">
        <v>279</v>
      </c>
      <c r="F2298" t="s">
        <v>279</v>
      </c>
      <c r="G2298" t="s">
        <v>2943</v>
      </c>
      <c r="H2298" t="s">
        <v>279</v>
      </c>
      <c r="I2298" t="s">
        <v>2666</v>
      </c>
      <c r="J2298">
        <v>1</v>
      </c>
      <c r="K2298">
        <v>20</v>
      </c>
    </row>
    <row r="2299" spans="1:11" x14ac:dyDescent="0.2">
      <c r="A2299" t="s">
        <v>2669</v>
      </c>
      <c r="B2299">
        <v>190908</v>
      </c>
      <c r="C2299" t="s">
        <v>927</v>
      </c>
      <c r="D2299" t="s">
        <v>2879</v>
      </c>
      <c r="E2299" t="s">
        <v>31</v>
      </c>
      <c r="F2299" t="s">
        <v>283</v>
      </c>
      <c r="G2299" t="s">
        <v>2777</v>
      </c>
      <c r="H2299" t="s">
        <v>31</v>
      </c>
      <c r="I2299" t="s">
        <v>2666</v>
      </c>
      <c r="J2299">
        <v>1</v>
      </c>
      <c r="K2299">
        <v>30</v>
      </c>
    </row>
    <row r="2300" spans="1:11" x14ac:dyDescent="0.2">
      <c r="A2300" t="s">
        <v>2669</v>
      </c>
      <c r="B2300">
        <v>29018</v>
      </c>
      <c r="C2300" t="s">
        <v>461</v>
      </c>
      <c r="D2300" t="s">
        <v>2861</v>
      </c>
      <c r="E2300" t="s">
        <v>281</v>
      </c>
      <c r="F2300" t="s">
        <v>281</v>
      </c>
      <c r="G2300" t="s">
        <v>2688</v>
      </c>
      <c r="H2300" t="s">
        <v>281</v>
      </c>
      <c r="I2300" t="s">
        <v>2666</v>
      </c>
      <c r="J2300">
        <v>1</v>
      </c>
      <c r="K2300">
        <v>22</v>
      </c>
    </row>
    <row r="2301" spans="1:11" x14ac:dyDescent="0.2">
      <c r="A2301" t="s">
        <v>2669</v>
      </c>
      <c r="B2301">
        <v>37055</v>
      </c>
      <c r="C2301" t="s">
        <v>525</v>
      </c>
      <c r="D2301" t="s">
        <v>2760</v>
      </c>
      <c r="E2301" t="s">
        <v>2634</v>
      </c>
      <c r="F2301" t="s">
        <v>281</v>
      </c>
      <c r="G2301" t="s">
        <v>2759</v>
      </c>
      <c r="H2301" t="s">
        <v>2634</v>
      </c>
      <c r="I2301" t="s">
        <v>2666</v>
      </c>
      <c r="J2301">
        <v>1</v>
      </c>
      <c r="K2301">
        <v>511</v>
      </c>
    </row>
    <row r="2302" spans="1:11" x14ac:dyDescent="0.2">
      <c r="A2302" t="s">
        <v>2669</v>
      </c>
      <c r="B2302">
        <v>42015</v>
      </c>
      <c r="C2302" t="s">
        <v>2422</v>
      </c>
      <c r="D2302" t="s">
        <v>2882</v>
      </c>
      <c r="E2302" t="s">
        <v>281</v>
      </c>
      <c r="F2302" t="s">
        <v>281</v>
      </c>
      <c r="G2302" t="s">
        <v>2692</v>
      </c>
      <c r="H2302" t="s">
        <v>281</v>
      </c>
      <c r="I2302" t="s">
        <v>2666</v>
      </c>
      <c r="J2302">
        <v>1</v>
      </c>
      <c r="K2302">
        <v>448</v>
      </c>
    </row>
    <row r="2303" spans="1:11" x14ac:dyDescent="0.2">
      <c r="A2303" t="s">
        <v>2669</v>
      </c>
      <c r="B2303">
        <v>39015</v>
      </c>
      <c r="C2303" t="s">
        <v>285</v>
      </c>
      <c r="D2303" t="s">
        <v>2825</v>
      </c>
      <c r="E2303" t="s">
        <v>281</v>
      </c>
      <c r="F2303" t="s">
        <v>281</v>
      </c>
      <c r="G2303" t="s">
        <v>2824</v>
      </c>
      <c r="H2303" t="s">
        <v>281</v>
      </c>
      <c r="I2303" t="s">
        <v>2666</v>
      </c>
      <c r="J2303">
        <v>1</v>
      </c>
      <c r="K2303">
        <v>959</v>
      </c>
    </row>
    <row r="2304" spans="1:11" x14ac:dyDescent="0.2">
      <c r="A2304" t="s">
        <v>2669</v>
      </c>
      <c r="B2304">
        <v>50028</v>
      </c>
      <c r="C2304" t="s">
        <v>1154</v>
      </c>
      <c r="D2304" t="s">
        <v>2905</v>
      </c>
      <c r="E2304" t="s">
        <v>281</v>
      </c>
      <c r="F2304" t="s">
        <v>281</v>
      </c>
      <c r="G2304" t="s">
        <v>2667</v>
      </c>
      <c r="H2304" t="s">
        <v>281</v>
      </c>
      <c r="I2304" t="s">
        <v>2666</v>
      </c>
      <c r="J2304">
        <v>1</v>
      </c>
      <c r="K2304">
        <v>44</v>
      </c>
    </row>
    <row r="2305" spans="1:11" x14ac:dyDescent="0.2">
      <c r="A2305" t="s">
        <v>2669</v>
      </c>
      <c r="B2305">
        <v>77033</v>
      </c>
      <c r="C2305" t="s">
        <v>1265</v>
      </c>
      <c r="D2305" t="s">
        <v>2896</v>
      </c>
      <c r="E2305" t="s">
        <v>281</v>
      </c>
      <c r="F2305" t="s">
        <v>281</v>
      </c>
      <c r="G2305" t="s">
        <v>2780</v>
      </c>
      <c r="H2305" t="s">
        <v>281</v>
      </c>
      <c r="I2305" t="s">
        <v>2666</v>
      </c>
      <c r="J2305">
        <v>1</v>
      </c>
      <c r="K2305">
        <v>5</v>
      </c>
    </row>
    <row r="2306" spans="1:11" x14ac:dyDescent="0.2">
      <c r="A2306" t="s">
        <v>2669</v>
      </c>
      <c r="B2306">
        <v>66002</v>
      </c>
      <c r="C2306" t="s">
        <v>1168</v>
      </c>
      <c r="D2306" t="s">
        <v>2695</v>
      </c>
      <c r="E2306" t="s">
        <v>281</v>
      </c>
      <c r="F2306" t="s">
        <v>281</v>
      </c>
      <c r="G2306" t="s">
        <v>2694</v>
      </c>
      <c r="H2306" t="s">
        <v>281</v>
      </c>
      <c r="I2306" t="s">
        <v>2666</v>
      </c>
      <c r="J2306">
        <v>1</v>
      </c>
      <c r="K2306">
        <v>158</v>
      </c>
    </row>
    <row r="2307" spans="1:11" x14ac:dyDescent="0.2">
      <c r="A2307" t="s">
        <v>2669</v>
      </c>
      <c r="B2307">
        <v>77034</v>
      </c>
      <c r="C2307" t="s">
        <v>2436</v>
      </c>
      <c r="D2307" t="s">
        <v>2818</v>
      </c>
      <c r="E2307" t="s">
        <v>281</v>
      </c>
      <c r="F2307" t="s">
        <v>281</v>
      </c>
      <c r="G2307" t="s">
        <v>2780</v>
      </c>
      <c r="H2307" t="s">
        <v>281</v>
      </c>
      <c r="I2307" t="s">
        <v>2666</v>
      </c>
      <c r="J2307">
        <v>1</v>
      </c>
      <c r="K2307">
        <v>16</v>
      </c>
    </row>
    <row r="2308" spans="1:11" x14ac:dyDescent="0.2">
      <c r="A2308" t="s">
        <v>2669</v>
      </c>
      <c r="B2308">
        <v>18008</v>
      </c>
      <c r="C2308" t="s">
        <v>375</v>
      </c>
      <c r="D2308" t="s">
        <v>2839</v>
      </c>
      <c r="E2308" t="s">
        <v>279</v>
      </c>
      <c r="F2308" t="s">
        <v>279</v>
      </c>
      <c r="G2308" t="s">
        <v>2716</v>
      </c>
      <c r="H2308" t="s">
        <v>279</v>
      </c>
      <c r="I2308" t="s">
        <v>2666</v>
      </c>
      <c r="J2308">
        <v>1</v>
      </c>
      <c r="K2308">
        <v>6</v>
      </c>
    </row>
    <row r="2309" spans="1:11" x14ac:dyDescent="0.2">
      <c r="A2309" t="s">
        <v>2669</v>
      </c>
      <c r="B2309">
        <v>56018</v>
      </c>
      <c r="C2309" t="s">
        <v>2427</v>
      </c>
      <c r="D2309" t="s">
        <v>2691</v>
      </c>
      <c r="E2309" t="s">
        <v>281</v>
      </c>
      <c r="F2309" t="s">
        <v>281</v>
      </c>
      <c r="G2309" t="s">
        <v>2690</v>
      </c>
      <c r="H2309" t="s">
        <v>281</v>
      </c>
      <c r="I2309" t="s">
        <v>2666</v>
      </c>
      <c r="J2309">
        <v>1</v>
      </c>
      <c r="K2309">
        <v>23</v>
      </c>
    </row>
    <row r="2310" spans="1:11" x14ac:dyDescent="0.2">
      <c r="A2310" t="s">
        <v>2669</v>
      </c>
      <c r="B2310">
        <v>12006</v>
      </c>
      <c r="C2310" t="s">
        <v>1121</v>
      </c>
      <c r="D2310" t="s">
        <v>2731</v>
      </c>
      <c r="E2310" t="s">
        <v>279</v>
      </c>
      <c r="F2310" t="s">
        <v>279</v>
      </c>
      <c r="G2310" t="s">
        <v>2686</v>
      </c>
      <c r="H2310" t="s">
        <v>279</v>
      </c>
      <c r="I2310" t="s">
        <v>2666</v>
      </c>
      <c r="J2310">
        <v>1</v>
      </c>
      <c r="K2310">
        <v>377</v>
      </c>
    </row>
    <row r="2311" spans="1:11" x14ac:dyDescent="0.2">
      <c r="A2311" t="s">
        <v>2669</v>
      </c>
      <c r="B2311">
        <v>230429</v>
      </c>
      <c r="C2311" t="s">
        <v>983</v>
      </c>
      <c r="D2311" t="s">
        <v>2813</v>
      </c>
      <c r="E2311" t="s">
        <v>184</v>
      </c>
      <c r="F2311" t="s">
        <v>184</v>
      </c>
      <c r="G2311" t="s">
        <v>2739</v>
      </c>
      <c r="H2311" t="s">
        <v>184</v>
      </c>
      <c r="I2311" t="s">
        <v>2666</v>
      </c>
      <c r="J2311">
        <v>1</v>
      </c>
      <c r="K2311">
        <v>20</v>
      </c>
    </row>
    <row r="2312" spans="1:11" x14ac:dyDescent="0.2">
      <c r="A2312" t="s">
        <v>2669</v>
      </c>
      <c r="B2312">
        <v>76022</v>
      </c>
      <c r="C2312" t="s">
        <v>2434</v>
      </c>
      <c r="D2312" t="s">
        <v>2719</v>
      </c>
      <c r="E2312" t="s">
        <v>281</v>
      </c>
      <c r="F2312" t="s">
        <v>281</v>
      </c>
      <c r="G2312" t="s">
        <v>2718</v>
      </c>
      <c r="H2312" t="s">
        <v>281</v>
      </c>
      <c r="I2312" t="s">
        <v>2666</v>
      </c>
      <c r="J2312">
        <v>1</v>
      </c>
      <c r="K2312">
        <v>255</v>
      </c>
    </row>
    <row r="2313" spans="1:11" x14ac:dyDescent="0.2">
      <c r="A2313" t="s">
        <v>2669</v>
      </c>
      <c r="B2313">
        <v>88009</v>
      </c>
      <c r="C2313" t="s">
        <v>739</v>
      </c>
      <c r="D2313" t="s">
        <v>2746</v>
      </c>
      <c r="E2313" t="s">
        <v>281</v>
      </c>
      <c r="F2313" t="s">
        <v>281</v>
      </c>
      <c r="G2313" t="s">
        <v>2745</v>
      </c>
      <c r="H2313" t="s">
        <v>281</v>
      </c>
      <c r="I2313" t="s">
        <v>2666</v>
      </c>
      <c r="J2313">
        <v>1</v>
      </c>
      <c r="K2313">
        <v>25</v>
      </c>
    </row>
    <row r="2314" spans="1:11" x14ac:dyDescent="0.2">
      <c r="A2314" t="s">
        <v>2669</v>
      </c>
      <c r="B2314">
        <v>230302</v>
      </c>
      <c r="C2314" t="s">
        <v>1074</v>
      </c>
      <c r="D2314" t="s">
        <v>2680</v>
      </c>
      <c r="E2314" t="s">
        <v>184</v>
      </c>
      <c r="F2314" t="s">
        <v>184</v>
      </c>
      <c r="G2314" t="s">
        <v>2670</v>
      </c>
      <c r="H2314" t="s">
        <v>184</v>
      </c>
      <c r="I2314" t="s">
        <v>2666</v>
      </c>
      <c r="J2314">
        <v>1</v>
      </c>
      <c r="K2314">
        <v>209</v>
      </c>
    </row>
    <row r="2315" spans="1:11" x14ac:dyDescent="0.2">
      <c r="A2315" t="s">
        <v>2669</v>
      </c>
      <c r="B2315">
        <v>76013</v>
      </c>
      <c r="C2315" t="s">
        <v>2433</v>
      </c>
      <c r="D2315" t="s">
        <v>2881</v>
      </c>
      <c r="E2315" t="s">
        <v>281</v>
      </c>
      <c r="F2315" t="s">
        <v>281</v>
      </c>
      <c r="G2315" t="s">
        <v>2718</v>
      </c>
      <c r="H2315" t="s">
        <v>281</v>
      </c>
      <c r="I2315" t="s">
        <v>2666</v>
      </c>
      <c r="J2315">
        <v>1</v>
      </c>
      <c r="K2315">
        <v>398</v>
      </c>
    </row>
    <row r="2316" spans="1:11" x14ac:dyDescent="0.2">
      <c r="A2316" t="s">
        <v>2669</v>
      </c>
      <c r="B2316">
        <v>34014</v>
      </c>
      <c r="C2316" t="s">
        <v>1242</v>
      </c>
      <c r="D2316" t="s">
        <v>2907</v>
      </c>
      <c r="E2316" t="s">
        <v>281</v>
      </c>
      <c r="F2316" t="s">
        <v>281</v>
      </c>
      <c r="G2316" t="s">
        <v>2770</v>
      </c>
      <c r="H2316" t="s">
        <v>281</v>
      </c>
      <c r="I2316" t="s">
        <v>2666</v>
      </c>
      <c r="J2316">
        <v>1</v>
      </c>
      <c r="K2316">
        <v>60</v>
      </c>
    </row>
    <row r="2317" spans="1:11" x14ac:dyDescent="0.2">
      <c r="A2317" t="s">
        <v>2669</v>
      </c>
      <c r="B2317">
        <v>2010</v>
      </c>
      <c r="C2317" t="s">
        <v>1223</v>
      </c>
      <c r="D2317" t="s">
        <v>2927</v>
      </c>
      <c r="E2317" t="s">
        <v>206</v>
      </c>
      <c r="F2317" t="s">
        <v>279</v>
      </c>
      <c r="G2317" t="s">
        <v>2787</v>
      </c>
      <c r="H2317" t="s">
        <v>206</v>
      </c>
      <c r="I2317" t="s">
        <v>2666</v>
      </c>
      <c r="J2317">
        <v>1</v>
      </c>
      <c r="K2317">
        <v>63.17</v>
      </c>
    </row>
    <row r="2318" spans="1:11" x14ac:dyDescent="0.2">
      <c r="A2318" t="s">
        <v>2669</v>
      </c>
      <c r="B2318">
        <v>191202</v>
      </c>
      <c r="C2318" t="s">
        <v>936</v>
      </c>
      <c r="D2318" t="s">
        <v>2895</v>
      </c>
      <c r="E2318" t="s">
        <v>183</v>
      </c>
      <c r="F2318" t="s">
        <v>283</v>
      </c>
      <c r="G2318" t="s">
        <v>2711</v>
      </c>
      <c r="H2318" t="s">
        <v>183</v>
      </c>
      <c r="I2318" t="s">
        <v>2666</v>
      </c>
      <c r="J2318">
        <v>1</v>
      </c>
      <c r="K2318">
        <v>70</v>
      </c>
    </row>
    <row r="2319" spans="1:11" x14ac:dyDescent="0.2">
      <c r="A2319" t="s">
        <v>2669</v>
      </c>
      <c r="B2319">
        <v>23012</v>
      </c>
      <c r="C2319" t="s">
        <v>1232</v>
      </c>
      <c r="D2319" t="s">
        <v>2735</v>
      </c>
      <c r="E2319" t="s">
        <v>279</v>
      </c>
      <c r="F2319" t="s">
        <v>279</v>
      </c>
      <c r="G2319" t="s">
        <v>2733</v>
      </c>
      <c r="H2319" t="s">
        <v>279</v>
      </c>
      <c r="I2319" t="s">
        <v>2666</v>
      </c>
      <c r="J2319">
        <v>1</v>
      </c>
      <c r="K2319">
        <v>147.16999999999999</v>
      </c>
    </row>
    <row r="2320" spans="1:11" x14ac:dyDescent="0.2">
      <c r="A2320" t="s">
        <v>2669</v>
      </c>
      <c r="B2320">
        <v>191524</v>
      </c>
      <c r="C2320" t="s">
        <v>947</v>
      </c>
      <c r="D2320" t="s">
        <v>2747</v>
      </c>
      <c r="E2320" t="s">
        <v>184</v>
      </c>
      <c r="F2320" t="s">
        <v>184</v>
      </c>
      <c r="G2320" t="s">
        <v>2670</v>
      </c>
      <c r="H2320" t="s">
        <v>184</v>
      </c>
      <c r="I2320" t="s">
        <v>2666</v>
      </c>
      <c r="J2320">
        <v>1</v>
      </c>
      <c r="K2320">
        <v>79</v>
      </c>
    </row>
    <row r="2321" spans="1:11" x14ac:dyDescent="0.2">
      <c r="A2321" t="s">
        <v>2669</v>
      </c>
      <c r="B2321">
        <v>40040</v>
      </c>
      <c r="C2321" t="s">
        <v>2550</v>
      </c>
      <c r="D2321" t="s">
        <v>2802</v>
      </c>
      <c r="E2321" t="s">
        <v>281</v>
      </c>
      <c r="F2321" t="s">
        <v>281</v>
      </c>
      <c r="G2321" t="s">
        <v>2704</v>
      </c>
      <c r="H2321" t="s">
        <v>281</v>
      </c>
      <c r="I2321" t="s">
        <v>2666</v>
      </c>
      <c r="J2321">
        <v>1</v>
      </c>
      <c r="K2321">
        <v>127</v>
      </c>
    </row>
    <row r="2322" spans="1:11" x14ac:dyDescent="0.2">
      <c r="A2322" t="s">
        <v>2669</v>
      </c>
      <c r="B2322">
        <v>1032</v>
      </c>
      <c r="C2322" t="s">
        <v>1116</v>
      </c>
      <c r="D2322" t="s">
        <v>2723</v>
      </c>
      <c r="E2322" t="s">
        <v>206</v>
      </c>
      <c r="F2322" t="s">
        <v>279</v>
      </c>
      <c r="G2322" t="s">
        <v>2722</v>
      </c>
      <c r="H2322" t="s">
        <v>206</v>
      </c>
      <c r="I2322" t="s">
        <v>2666</v>
      </c>
      <c r="J2322">
        <v>1</v>
      </c>
      <c r="K2322">
        <v>31</v>
      </c>
    </row>
    <row r="2323" spans="1:11" x14ac:dyDescent="0.2">
      <c r="A2323" t="s">
        <v>2669</v>
      </c>
      <c r="B2323">
        <v>3012</v>
      </c>
      <c r="C2323" t="s">
        <v>310</v>
      </c>
      <c r="D2323" t="s">
        <v>2804</v>
      </c>
      <c r="E2323" t="s">
        <v>206</v>
      </c>
      <c r="F2323" t="s">
        <v>279</v>
      </c>
      <c r="G2323" t="s">
        <v>2803</v>
      </c>
      <c r="H2323" t="s">
        <v>206</v>
      </c>
      <c r="I2323" t="s">
        <v>2666</v>
      </c>
      <c r="J2323">
        <v>1</v>
      </c>
      <c r="K2323">
        <v>89</v>
      </c>
    </row>
    <row r="2324" spans="1:11" x14ac:dyDescent="0.2">
      <c r="A2324" t="s">
        <v>2669</v>
      </c>
      <c r="B2324">
        <v>5012</v>
      </c>
      <c r="C2324" t="s">
        <v>1076</v>
      </c>
      <c r="D2324" t="s">
        <v>2867</v>
      </c>
      <c r="E2324" t="s">
        <v>31</v>
      </c>
      <c r="F2324" t="s">
        <v>283</v>
      </c>
      <c r="G2324" t="s">
        <v>2726</v>
      </c>
      <c r="H2324" t="s">
        <v>31</v>
      </c>
      <c r="I2324" t="s">
        <v>2666</v>
      </c>
      <c r="J2324">
        <v>1</v>
      </c>
      <c r="K2324">
        <v>4</v>
      </c>
    </row>
    <row r="2325" spans="1:11" x14ac:dyDescent="0.2">
      <c r="A2325" t="s">
        <v>2669</v>
      </c>
      <c r="B2325">
        <v>18005</v>
      </c>
      <c r="C2325" t="s">
        <v>1129</v>
      </c>
      <c r="D2325" t="s">
        <v>2717</v>
      </c>
      <c r="E2325" t="s">
        <v>279</v>
      </c>
      <c r="F2325" t="s">
        <v>279</v>
      </c>
      <c r="G2325" t="s">
        <v>2716</v>
      </c>
      <c r="H2325" t="s">
        <v>279</v>
      </c>
      <c r="I2325" t="s">
        <v>2666</v>
      </c>
      <c r="J2325">
        <v>1</v>
      </c>
      <c r="K2325">
        <v>4</v>
      </c>
    </row>
    <row r="2326" spans="1:11" x14ac:dyDescent="0.2">
      <c r="A2326" t="s">
        <v>2669</v>
      </c>
      <c r="B2326">
        <v>95002</v>
      </c>
      <c r="C2326" t="s">
        <v>1068</v>
      </c>
      <c r="D2326" t="s">
        <v>2773</v>
      </c>
      <c r="E2326" t="s">
        <v>281</v>
      </c>
      <c r="F2326" t="s">
        <v>281</v>
      </c>
      <c r="G2326" t="s">
        <v>2772</v>
      </c>
      <c r="H2326" t="s">
        <v>281</v>
      </c>
      <c r="I2326" t="s">
        <v>2666</v>
      </c>
      <c r="J2326">
        <v>1</v>
      </c>
      <c r="K2326">
        <v>280</v>
      </c>
    </row>
    <row r="2327" spans="1:11" x14ac:dyDescent="0.2">
      <c r="A2327" t="s">
        <v>2669</v>
      </c>
      <c r="B2327">
        <v>40035</v>
      </c>
      <c r="C2327" t="s">
        <v>547</v>
      </c>
      <c r="D2327" t="s">
        <v>2888</v>
      </c>
      <c r="E2327" t="s">
        <v>281</v>
      </c>
      <c r="F2327" t="s">
        <v>281</v>
      </c>
      <c r="G2327" t="s">
        <v>2704</v>
      </c>
      <c r="H2327" t="s">
        <v>281</v>
      </c>
      <c r="I2327" t="s">
        <v>2666</v>
      </c>
      <c r="J2327">
        <v>1</v>
      </c>
      <c r="K2327">
        <v>86</v>
      </c>
    </row>
    <row r="2328" spans="1:11" x14ac:dyDescent="0.2">
      <c r="A2328" t="s">
        <v>2669</v>
      </c>
      <c r="B2328">
        <v>76004</v>
      </c>
      <c r="C2328" t="s">
        <v>1371</v>
      </c>
      <c r="D2328" t="s">
        <v>2855</v>
      </c>
      <c r="E2328" t="s">
        <v>281</v>
      </c>
      <c r="F2328" t="s">
        <v>281</v>
      </c>
      <c r="G2328" t="s">
        <v>2718</v>
      </c>
      <c r="H2328" t="s">
        <v>281</v>
      </c>
      <c r="I2328" t="s">
        <v>2666</v>
      </c>
      <c r="J2328">
        <v>1</v>
      </c>
      <c r="K2328">
        <v>200</v>
      </c>
    </row>
    <row r="2329" spans="1:11" x14ac:dyDescent="0.2">
      <c r="A2329" t="s">
        <v>2669</v>
      </c>
      <c r="B2329">
        <v>31022</v>
      </c>
      <c r="C2329" t="s">
        <v>478</v>
      </c>
      <c r="D2329" t="s">
        <v>2737</v>
      </c>
      <c r="E2329" t="s">
        <v>281</v>
      </c>
      <c r="F2329" t="s">
        <v>281</v>
      </c>
      <c r="G2329" t="s">
        <v>2736</v>
      </c>
      <c r="H2329" t="s">
        <v>281</v>
      </c>
      <c r="I2329" t="s">
        <v>2666</v>
      </c>
      <c r="J2329">
        <v>1</v>
      </c>
      <c r="K2329">
        <v>67</v>
      </c>
    </row>
    <row r="2330" spans="1:11" x14ac:dyDescent="0.2">
      <c r="A2330" t="s">
        <v>2669</v>
      </c>
      <c r="B2330">
        <v>28015</v>
      </c>
      <c r="C2330" t="s">
        <v>1236</v>
      </c>
      <c r="D2330" t="s">
        <v>2904</v>
      </c>
      <c r="E2330" t="s">
        <v>281</v>
      </c>
      <c r="F2330" t="s">
        <v>281</v>
      </c>
      <c r="G2330" t="s">
        <v>2793</v>
      </c>
      <c r="H2330" t="s">
        <v>281</v>
      </c>
      <c r="I2330" t="s">
        <v>2666</v>
      </c>
      <c r="J2330">
        <v>1</v>
      </c>
      <c r="K2330">
        <v>322</v>
      </c>
    </row>
    <row r="2331" spans="1:11" x14ac:dyDescent="0.2">
      <c r="A2331" t="s">
        <v>2669</v>
      </c>
      <c r="B2331">
        <v>12047</v>
      </c>
      <c r="C2331" t="s">
        <v>2408</v>
      </c>
      <c r="D2331" t="s">
        <v>2720</v>
      </c>
      <c r="E2331" t="s">
        <v>279</v>
      </c>
      <c r="F2331" t="s">
        <v>279</v>
      </c>
      <c r="G2331" t="s">
        <v>2686</v>
      </c>
      <c r="H2331" t="s">
        <v>279</v>
      </c>
      <c r="I2331" t="s">
        <v>2666</v>
      </c>
      <c r="J2331">
        <v>1</v>
      </c>
      <c r="K2331">
        <v>234.5</v>
      </c>
    </row>
    <row r="2332" spans="1:11" x14ac:dyDescent="0.2">
      <c r="A2332" t="s">
        <v>2669</v>
      </c>
      <c r="B2332">
        <v>42007</v>
      </c>
      <c r="C2332" t="s">
        <v>2421</v>
      </c>
      <c r="D2332" t="s">
        <v>2693</v>
      </c>
      <c r="E2332" t="s">
        <v>281</v>
      </c>
      <c r="F2332" t="s">
        <v>281</v>
      </c>
      <c r="G2332" t="s">
        <v>2692</v>
      </c>
      <c r="H2332" t="s">
        <v>281</v>
      </c>
      <c r="I2332" t="s">
        <v>2666</v>
      </c>
      <c r="J2332">
        <v>1</v>
      </c>
      <c r="K2332">
        <v>39</v>
      </c>
    </row>
    <row r="2333" spans="1:11" x14ac:dyDescent="0.2">
      <c r="A2333" t="s">
        <v>2669</v>
      </c>
      <c r="B2333">
        <v>93013</v>
      </c>
      <c r="C2333" t="s">
        <v>1277</v>
      </c>
      <c r="D2333" t="s">
        <v>2732</v>
      </c>
      <c r="E2333" t="s">
        <v>281</v>
      </c>
      <c r="F2333" t="s">
        <v>281</v>
      </c>
      <c r="G2333" t="s">
        <v>2708</v>
      </c>
      <c r="H2333" t="s">
        <v>281</v>
      </c>
      <c r="I2333" t="s">
        <v>2666</v>
      </c>
      <c r="J2333">
        <v>1</v>
      </c>
      <c r="K2333">
        <v>386</v>
      </c>
    </row>
    <row r="2334" spans="1:11" x14ac:dyDescent="0.2">
      <c r="A2334" t="s">
        <v>2669</v>
      </c>
      <c r="B2334">
        <v>52023</v>
      </c>
      <c r="C2334" t="s">
        <v>1697</v>
      </c>
      <c r="D2334" t="s">
        <v>2901</v>
      </c>
      <c r="E2334" t="s">
        <v>281</v>
      </c>
      <c r="F2334" t="s">
        <v>281</v>
      </c>
      <c r="G2334" t="s">
        <v>2682</v>
      </c>
      <c r="H2334" t="s">
        <v>281</v>
      </c>
      <c r="I2334" t="s">
        <v>2616</v>
      </c>
      <c r="J2334">
        <v>1</v>
      </c>
      <c r="K2334">
        <v>291</v>
      </c>
    </row>
    <row r="2335" spans="1:11" x14ac:dyDescent="0.2">
      <c r="A2335" t="s">
        <v>2669</v>
      </c>
      <c r="B2335">
        <v>5016</v>
      </c>
      <c r="C2335" t="s">
        <v>2404</v>
      </c>
      <c r="D2335" t="s">
        <v>2925</v>
      </c>
      <c r="E2335" t="s">
        <v>31</v>
      </c>
      <c r="F2335" t="s">
        <v>283</v>
      </c>
      <c r="G2335" t="s">
        <v>2726</v>
      </c>
      <c r="H2335" t="s">
        <v>31</v>
      </c>
      <c r="I2335" t="s">
        <v>2666</v>
      </c>
      <c r="J2335">
        <v>1</v>
      </c>
      <c r="K2335">
        <v>121</v>
      </c>
    </row>
    <row r="2336" spans="1:11" x14ac:dyDescent="0.2">
      <c r="A2336" t="s">
        <v>2669</v>
      </c>
      <c r="B2336">
        <v>230126</v>
      </c>
      <c r="C2336" t="s">
        <v>1108</v>
      </c>
      <c r="D2336" t="s">
        <v>2671</v>
      </c>
      <c r="E2336" t="s">
        <v>184</v>
      </c>
      <c r="F2336" t="s">
        <v>184</v>
      </c>
      <c r="G2336" t="s">
        <v>2670</v>
      </c>
      <c r="H2336" t="s">
        <v>184</v>
      </c>
      <c r="I2336" t="s">
        <v>2666</v>
      </c>
      <c r="J2336">
        <v>1</v>
      </c>
      <c r="K2336">
        <v>78</v>
      </c>
    </row>
    <row r="2337" spans="1:11" x14ac:dyDescent="0.2">
      <c r="A2337" t="s">
        <v>2669</v>
      </c>
      <c r="B2337">
        <v>81032</v>
      </c>
      <c r="C2337" t="s">
        <v>1374</v>
      </c>
      <c r="D2337" t="s">
        <v>2852</v>
      </c>
      <c r="E2337" t="s">
        <v>281</v>
      </c>
      <c r="F2337" t="s">
        <v>281</v>
      </c>
      <c r="G2337" t="s">
        <v>2821</v>
      </c>
      <c r="H2337" t="s">
        <v>281</v>
      </c>
      <c r="I2337" t="s">
        <v>2666</v>
      </c>
      <c r="J2337">
        <v>1</v>
      </c>
      <c r="K2337">
        <v>27</v>
      </c>
    </row>
    <row r="2338" spans="1:11" x14ac:dyDescent="0.2">
      <c r="A2338" t="s">
        <v>2669</v>
      </c>
      <c r="B2338">
        <v>230303</v>
      </c>
      <c r="C2338" t="s">
        <v>1075</v>
      </c>
      <c r="D2338" t="s">
        <v>2710</v>
      </c>
      <c r="E2338" t="s">
        <v>184</v>
      </c>
      <c r="F2338" t="s">
        <v>184</v>
      </c>
      <c r="G2338" t="s">
        <v>2670</v>
      </c>
      <c r="H2338" t="s">
        <v>184</v>
      </c>
      <c r="I2338" t="s">
        <v>2666</v>
      </c>
      <c r="J2338">
        <v>1</v>
      </c>
      <c r="K2338">
        <v>135</v>
      </c>
    </row>
    <row r="2339" spans="1:11" x14ac:dyDescent="0.2">
      <c r="A2339" t="s">
        <v>2669</v>
      </c>
      <c r="B2339">
        <v>191219</v>
      </c>
      <c r="C2339" t="s">
        <v>1337</v>
      </c>
      <c r="D2339" t="s">
        <v>2892</v>
      </c>
      <c r="E2339" t="s">
        <v>183</v>
      </c>
      <c r="F2339" t="s">
        <v>283</v>
      </c>
      <c r="G2339" t="s">
        <v>2711</v>
      </c>
      <c r="H2339" t="s">
        <v>183</v>
      </c>
      <c r="I2339" t="s">
        <v>2666</v>
      </c>
      <c r="J2339">
        <v>1</v>
      </c>
      <c r="K2339">
        <v>282</v>
      </c>
    </row>
    <row r="2340" spans="1:11" x14ac:dyDescent="0.2">
      <c r="A2340" t="s">
        <v>2669</v>
      </c>
      <c r="B2340">
        <v>24043</v>
      </c>
      <c r="C2340" t="s">
        <v>2811</v>
      </c>
      <c r="D2340" t="s">
        <v>2810</v>
      </c>
      <c r="E2340" t="s">
        <v>279</v>
      </c>
      <c r="F2340" t="s">
        <v>279</v>
      </c>
      <c r="G2340" t="s">
        <v>2733</v>
      </c>
      <c r="H2340" t="s">
        <v>279</v>
      </c>
      <c r="I2340" t="s">
        <v>2666</v>
      </c>
      <c r="J2340">
        <v>1</v>
      </c>
      <c r="K2340">
        <v>250</v>
      </c>
    </row>
    <row r="2341" spans="1:11" x14ac:dyDescent="0.2">
      <c r="A2341" t="s">
        <v>2619</v>
      </c>
      <c r="B2341">
        <v>59003</v>
      </c>
      <c r="C2341" t="s">
        <v>1714</v>
      </c>
      <c r="D2341" t="s">
        <v>2633</v>
      </c>
      <c r="E2341" t="s">
        <v>281</v>
      </c>
      <c r="F2341" t="s">
        <v>281</v>
      </c>
      <c r="G2341" t="s">
        <v>2620</v>
      </c>
      <c r="H2341" t="s">
        <v>281</v>
      </c>
      <c r="I2341" t="s">
        <v>2616</v>
      </c>
      <c r="J2341">
        <v>1</v>
      </c>
      <c r="K2341">
        <v>1376</v>
      </c>
    </row>
    <row r="2342" spans="1:11" x14ac:dyDescent="0.2">
      <c r="A2342" t="s">
        <v>2619</v>
      </c>
      <c r="B2342">
        <v>71006</v>
      </c>
      <c r="C2342" t="s">
        <v>1731</v>
      </c>
      <c r="D2342" t="s">
        <v>2664</v>
      </c>
      <c r="E2342" t="s">
        <v>281</v>
      </c>
      <c r="F2342" t="s">
        <v>281</v>
      </c>
      <c r="G2342" t="s">
        <v>2629</v>
      </c>
      <c r="H2342" t="s">
        <v>281</v>
      </c>
      <c r="I2342" t="s">
        <v>2616</v>
      </c>
      <c r="J2342">
        <v>1</v>
      </c>
      <c r="K2342">
        <v>2643.67</v>
      </c>
    </row>
    <row r="2343" spans="1:11" x14ac:dyDescent="0.2">
      <c r="A2343" t="s">
        <v>2619</v>
      </c>
      <c r="B2343">
        <v>65001</v>
      </c>
      <c r="C2343" t="s">
        <v>1725</v>
      </c>
      <c r="D2343" t="s">
        <v>2650</v>
      </c>
      <c r="E2343" t="s">
        <v>281</v>
      </c>
      <c r="F2343" t="s">
        <v>281</v>
      </c>
      <c r="G2343" t="s">
        <v>2649</v>
      </c>
      <c r="H2343" t="s">
        <v>281</v>
      </c>
      <c r="I2343" t="s">
        <v>2616</v>
      </c>
      <c r="J2343">
        <v>1</v>
      </c>
      <c r="K2343">
        <v>2957</v>
      </c>
    </row>
    <row r="2344" spans="1:11" x14ac:dyDescent="0.2">
      <c r="A2344" t="s">
        <v>2619</v>
      </c>
      <c r="B2344">
        <v>73003</v>
      </c>
      <c r="C2344" t="s">
        <v>1733</v>
      </c>
      <c r="D2344" t="s">
        <v>2662</v>
      </c>
      <c r="E2344" t="s">
        <v>281</v>
      </c>
      <c r="F2344" t="s">
        <v>281</v>
      </c>
      <c r="G2344" t="s">
        <v>2660</v>
      </c>
      <c r="H2344" t="s">
        <v>281</v>
      </c>
      <c r="I2344" t="s">
        <v>2616</v>
      </c>
      <c r="J2344">
        <v>1</v>
      </c>
      <c r="K2344">
        <v>16962</v>
      </c>
    </row>
    <row r="2345" spans="1:11" x14ac:dyDescent="0.2">
      <c r="A2345" t="s">
        <v>2619</v>
      </c>
      <c r="B2345">
        <v>62009</v>
      </c>
      <c r="C2345" t="s">
        <v>1722</v>
      </c>
      <c r="D2345" t="s">
        <v>2618</v>
      </c>
      <c r="E2345" t="s">
        <v>281</v>
      </c>
      <c r="F2345" t="s">
        <v>281</v>
      </c>
      <c r="G2345" t="s">
        <v>2617</v>
      </c>
      <c r="H2345" t="s">
        <v>281</v>
      </c>
      <c r="I2345" t="s">
        <v>2616</v>
      </c>
      <c r="J2345">
        <v>1</v>
      </c>
      <c r="K2345">
        <v>5626</v>
      </c>
    </row>
    <row r="2346" spans="1:11" x14ac:dyDescent="0.2">
      <c r="A2346" t="s">
        <v>2619</v>
      </c>
      <c r="B2346">
        <v>75004</v>
      </c>
      <c r="C2346" t="s">
        <v>1739</v>
      </c>
      <c r="D2346" t="s">
        <v>2646</v>
      </c>
      <c r="E2346" t="s">
        <v>281</v>
      </c>
      <c r="F2346" t="s">
        <v>281</v>
      </c>
      <c r="G2346" t="s">
        <v>2639</v>
      </c>
      <c r="H2346" t="s">
        <v>281</v>
      </c>
      <c r="I2346" t="s">
        <v>2616</v>
      </c>
      <c r="J2346">
        <v>1</v>
      </c>
      <c r="K2346">
        <v>10391.83</v>
      </c>
    </row>
    <row r="2347" spans="1:11" x14ac:dyDescent="0.2">
      <c r="A2347" t="s">
        <v>2619</v>
      </c>
      <c r="B2347">
        <v>55001</v>
      </c>
      <c r="C2347" t="s">
        <v>1703</v>
      </c>
      <c r="D2347" t="s">
        <v>2627</v>
      </c>
      <c r="E2347" t="s">
        <v>281</v>
      </c>
      <c r="F2347" t="s">
        <v>281</v>
      </c>
      <c r="G2347" t="s">
        <v>2626</v>
      </c>
      <c r="H2347" t="s">
        <v>281</v>
      </c>
      <c r="I2347" t="s">
        <v>2616</v>
      </c>
      <c r="J2347">
        <v>1</v>
      </c>
      <c r="K2347">
        <v>2528</v>
      </c>
    </row>
    <row r="2348" spans="1:11" x14ac:dyDescent="0.2">
      <c r="A2348" t="s">
        <v>2619</v>
      </c>
      <c r="B2348">
        <v>70003</v>
      </c>
      <c r="C2348" t="s">
        <v>5235</v>
      </c>
      <c r="D2348" t="s">
        <v>2648</v>
      </c>
      <c r="E2348" t="s">
        <v>281</v>
      </c>
      <c r="F2348" t="s">
        <v>281</v>
      </c>
      <c r="G2348" t="s">
        <v>2647</v>
      </c>
      <c r="H2348" t="s">
        <v>281</v>
      </c>
      <c r="I2348" t="s">
        <v>2616</v>
      </c>
      <c r="J2348">
        <v>1</v>
      </c>
      <c r="K2348">
        <v>1580</v>
      </c>
    </row>
    <row r="2349" spans="1:11" x14ac:dyDescent="0.2">
      <c r="A2349" t="s">
        <v>2619</v>
      </c>
      <c r="B2349">
        <v>60001</v>
      </c>
      <c r="C2349" t="s">
        <v>1716</v>
      </c>
      <c r="D2349" t="s">
        <v>2642</v>
      </c>
      <c r="E2349" t="s">
        <v>281</v>
      </c>
      <c r="F2349" t="s">
        <v>281</v>
      </c>
      <c r="G2349" t="s">
        <v>2641</v>
      </c>
      <c r="H2349" t="s">
        <v>281</v>
      </c>
      <c r="I2349" t="s">
        <v>2616</v>
      </c>
      <c r="J2349">
        <v>1</v>
      </c>
      <c r="K2349">
        <v>31664</v>
      </c>
    </row>
    <row r="2350" spans="1:11" x14ac:dyDescent="0.2">
      <c r="A2350" t="s">
        <v>2619</v>
      </c>
      <c r="B2350">
        <v>67004</v>
      </c>
      <c r="C2350" t="s">
        <v>1726</v>
      </c>
      <c r="D2350" t="s">
        <v>2623</v>
      </c>
      <c r="E2350" t="s">
        <v>281</v>
      </c>
      <c r="F2350" t="s">
        <v>281</v>
      </c>
      <c r="G2350" t="s">
        <v>2622</v>
      </c>
      <c r="H2350" t="s">
        <v>281</v>
      </c>
      <c r="I2350" t="s">
        <v>2616</v>
      </c>
      <c r="J2350">
        <v>1</v>
      </c>
      <c r="K2350">
        <v>21449</v>
      </c>
    </row>
    <row r="2351" spans="1:11" x14ac:dyDescent="0.2">
      <c r="A2351" t="s">
        <v>2619</v>
      </c>
      <c r="B2351">
        <v>67005</v>
      </c>
      <c r="C2351" t="s">
        <v>1727</v>
      </c>
      <c r="D2351" t="s">
        <v>2632</v>
      </c>
      <c r="E2351" t="s">
        <v>281</v>
      </c>
      <c r="F2351" t="s">
        <v>281</v>
      </c>
      <c r="G2351" t="s">
        <v>2622</v>
      </c>
      <c r="H2351" t="s">
        <v>281</v>
      </c>
      <c r="I2351" t="s">
        <v>2616</v>
      </c>
      <c r="J2351">
        <v>1</v>
      </c>
      <c r="K2351">
        <v>15116</v>
      </c>
    </row>
    <row r="2352" spans="1:11" x14ac:dyDescent="0.2">
      <c r="A2352" t="s">
        <v>2619</v>
      </c>
      <c r="B2352">
        <v>92008</v>
      </c>
      <c r="C2352" t="s">
        <v>1781</v>
      </c>
      <c r="D2352" t="s">
        <v>2638</v>
      </c>
      <c r="E2352" t="s">
        <v>281</v>
      </c>
      <c r="F2352" t="s">
        <v>281</v>
      </c>
      <c r="G2352" t="s">
        <v>2637</v>
      </c>
      <c r="H2352" t="s">
        <v>281</v>
      </c>
      <c r="I2352" t="s">
        <v>2616</v>
      </c>
      <c r="J2352">
        <v>1</v>
      </c>
      <c r="K2352">
        <v>21129</v>
      </c>
    </row>
    <row r="2353" spans="1:11" x14ac:dyDescent="0.2">
      <c r="A2353" t="s">
        <v>2619</v>
      </c>
      <c r="B2353">
        <v>86003</v>
      </c>
      <c r="C2353" t="s">
        <v>1774</v>
      </c>
      <c r="D2353" t="s">
        <v>2625</v>
      </c>
      <c r="E2353" t="s">
        <v>281</v>
      </c>
      <c r="F2353" t="s">
        <v>281</v>
      </c>
      <c r="G2353" t="s">
        <v>2624</v>
      </c>
      <c r="H2353" t="s">
        <v>281</v>
      </c>
      <c r="I2353" t="s">
        <v>2616</v>
      </c>
      <c r="J2353">
        <v>1</v>
      </c>
      <c r="K2353">
        <v>6203</v>
      </c>
    </row>
    <row r="2354" spans="1:11" x14ac:dyDescent="0.2">
      <c r="A2354" t="s">
        <v>2619</v>
      </c>
      <c r="B2354">
        <v>201098</v>
      </c>
      <c r="C2354" t="s">
        <v>2494</v>
      </c>
      <c r="D2354" t="s">
        <v>2655</v>
      </c>
      <c r="E2354" t="s">
        <v>281</v>
      </c>
      <c r="F2354" t="s">
        <v>281</v>
      </c>
      <c r="G2354" t="s">
        <v>2635</v>
      </c>
      <c r="H2354" t="s">
        <v>281</v>
      </c>
      <c r="I2354" t="s">
        <v>2616</v>
      </c>
      <c r="J2354">
        <v>1</v>
      </c>
      <c r="K2354">
        <v>363</v>
      </c>
    </row>
    <row r="2355" spans="1:11" x14ac:dyDescent="0.2">
      <c r="A2355" t="s">
        <v>2619</v>
      </c>
      <c r="B2355">
        <v>70001</v>
      </c>
      <c r="C2355" t="s">
        <v>1729</v>
      </c>
      <c r="D2355" t="s">
        <v>2653</v>
      </c>
      <c r="E2355" t="s">
        <v>281</v>
      </c>
      <c r="F2355" t="s">
        <v>281</v>
      </c>
      <c r="G2355" t="s">
        <v>2647</v>
      </c>
      <c r="H2355" t="s">
        <v>281</v>
      </c>
      <c r="I2355" t="s">
        <v>2616</v>
      </c>
      <c r="J2355">
        <v>1</v>
      </c>
      <c r="K2355">
        <v>17444</v>
      </c>
    </row>
    <row r="2356" spans="1:11" x14ac:dyDescent="0.2">
      <c r="A2356" t="s">
        <v>2619</v>
      </c>
      <c r="B2356">
        <v>72001</v>
      </c>
      <c r="C2356" t="s">
        <v>1732</v>
      </c>
      <c r="D2356" t="s">
        <v>2636</v>
      </c>
      <c r="E2356" t="s">
        <v>2634</v>
      </c>
      <c r="F2356" t="s">
        <v>281</v>
      </c>
      <c r="G2356" t="s">
        <v>2635</v>
      </c>
      <c r="H2356" t="s">
        <v>2634</v>
      </c>
      <c r="I2356" t="s">
        <v>2616</v>
      </c>
      <c r="J2356">
        <v>1</v>
      </c>
      <c r="K2356">
        <v>1431</v>
      </c>
    </row>
    <row r="2357" spans="1:11" x14ac:dyDescent="0.2">
      <c r="A2357" t="s">
        <v>2619</v>
      </c>
      <c r="B2357">
        <v>62006</v>
      </c>
      <c r="C2357" t="s">
        <v>1721</v>
      </c>
      <c r="D2357" t="s">
        <v>2631</v>
      </c>
      <c r="E2357" t="s">
        <v>281</v>
      </c>
      <c r="F2357" t="s">
        <v>281</v>
      </c>
      <c r="G2357" t="s">
        <v>2617</v>
      </c>
      <c r="H2357" t="s">
        <v>281</v>
      </c>
      <c r="I2357" t="s">
        <v>2616</v>
      </c>
      <c r="J2357">
        <v>1</v>
      </c>
      <c r="K2357">
        <v>1050</v>
      </c>
    </row>
    <row r="2358" spans="1:11" x14ac:dyDescent="0.2">
      <c r="A2358" t="s">
        <v>2619</v>
      </c>
      <c r="B2358">
        <v>73008</v>
      </c>
      <c r="C2358" t="s">
        <v>1734</v>
      </c>
      <c r="D2358" t="s">
        <v>2661</v>
      </c>
      <c r="E2358" t="s">
        <v>281</v>
      </c>
      <c r="F2358" t="s">
        <v>281</v>
      </c>
      <c r="G2358" t="s">
        <v>2660</v>
      </c>
      <c r="H2358" t="s">
        <v>281</v>
      </c>
      <c r="I2358" t="s">
        <v>2616</v>
      </c>
      <c r="J2358">
        <v>1</v>
      </c>
      <c r="K2358">
        <v>13230.5</v>
      </c>
    </row>
    <row r="2359" spans="1:11" x14ac:dyDescent="0.2">
      <c r="A2359" t="s">
        <v>2619</v>
      </c>
      <c r="B2359">
        <v>62001</v>
      </c>
      <c r="C2359" t="s">
        <v>1720</v>
      </c>
      <c r="D2359" t="s">
        <v>2643</v>
      </c>
      <c r="E2359" t="s">
        <v>281</v>
      </c>
      <c r="F2359" t="s">
        <v>281</v>
      </c>
      <c r="G2359" t="s">
        <v>2617</v>
      </c>
      <c r="H2359" t="s">
        <v>281</v>
      </c>
      <c r="I2359" t="s">
        <v>2616</v>
      </c>
      <c r="J2359">
        <v>1</v>
      </c>
      <c r="K2359">
        <v>5771</v>
      </c>
    </row>
    <row r="2360" spans="1:11" x14ac:dyDescent="0.2">
      <c r="A2360" t="s">
        <v>2619</v>
      </c>
      <c r="B2360">
        <v>68002</v>
      </c>
      <c r="C2360" t="s">
        <v>1728</v>
      </c>
      <c r="D2360" t="s">
        <v>2652</v>
      </c>
      <c r="E2360" t="s">
        <v>281</v>
      </c>
      <c r="F2360" t="s">
        <v>281</v>
      </c>
      <c r="G2360" t="s">
        <v>2651</v>
      </c>
      <c r="H2360" t="s">
        <v>281</v>
      </c>
      <c r="I2360" t="s">
        <v>2616</v>
      </c>
      <c r="J2360">
        <v>1</v>
      </c>
      <c r="K2360">
        <v>4158</v>
      </c>
    </row>
    <row r="2361" spans="1:11" x14ac:dyDescent="0.2">
      <c r="A2361" t="s">
        <v>2619</v>
      </c>
      <c r="B2361">
        <v>74005</v>
      </c>
      <c r="C2361" t="s">
        <v>1735</v>
      </c>
      <c r="D2361" t="s">
        <v>2654</v>
      </c>
      <c r="E2361" t="s">
        <v>281</v>
      </c>
      <c r="F2361" t="s">
        <v>281</v>
      </c>
      <c r="G2361" t="s">
        <v>2644</v>
      </c>
      <c r="H2361" t="s">
        <v>281</v>
      </c>
      <c r="I2361" t="s">
        <v>2616</v>
      </c>
      <c r="J2361">
        <v>1</v>
      </c>
      <c r="K2361">
        <v>6732.33</v>
      </c>
    </row>
    <row r="2362" spans="1:11" x14ac:dyDescent="0.2">
      <c r="A2362" t="s">
        <v>2619</v>
      </c>
      <c r="B2362">
        <v>75002</v>
      </c>
      <c r="C2362" t="s">
        <v>1738</v>
      </c>
      <c r="D2362" t="s">
        <v>2640</v>
      </c>
      <c r="E2362" t="s">
        <v>281</v>
      </c>
      <c r="F2362" t="s">
        <v>281</v>
      </c>
      <c r="G2362" t="s">
        <v>2639</v>
      </c>
      <c r="H2362" t="s">
        <v>281</v>
      </c>
      <c r="I2362" t="s">
        <v>2616</v>
      </c>
      <c r="J2362">
        <v>1</v>
      </c>
      <c r="K2362">
        <v>7207</v>
      </c>
    </row>
    <row r="2363" spans="1:11" x14ac:dyDescent="0.2">
      <c r="A2363" t="s">
        <v>2619</v>
      </c>
      <c r="B2363">
        <v>59004</v>
      </c>
      <c r="C2363" t="s">
        <v>1715</v>
      </c>
      <c r="D2363" t="s">
        <v>2621</v>
      </c>
      <c r="E2363" t="s">
        <v>281</v>
      </c>
      <c r="F2363" t="s">
        <v>281</v>
      </c>
      <c r="G2363" t="s">
        <v>2620</v>
      </c>
      <c r="H2363" t="s">
        <v>281</v>
      </c>
      <c r="I2363" t="s">
        <v>2616</v>
      </c>
      <c r="J2363">
        <v>1</v>
      </c>
      <c r="K2363">
        <v>2235</v>
      </c>
    </row>
    <row r="2364" spans="1:11" x14ac:dyDescent="0.2">
      <c r="A2364" t="s">
        <v>2619</v>
      </c>
      <c r="B2364">
        <v>60010</v>
      </c>
      <c r="C2364" t="s">
        <v>1718</v>
      </c>
      <c r="D2364" t="s">
        <v>2656</v>
      </c>
      <c r="E2364" t="s">
        <v>281</v>
      </c>
      <c r="F2364" t="s">
        <v>281</v>
      </c>
      <c r="G2364" t="s">
        <v>2641</v>
      </c>
      <c r="H2364" t="s">
        <v>281</v>
      </c>
      <c r="I2364" t="s">
        <v>2616</v>
      </c>
      <c r="J2364">
        <v>1</v>
      </c>
      <c r="K2364">
        <v>1823</v>
      </c>
    </row>
    <row r="2365" spans="1:11" x14ac:dyDescent="0.2">
      <c r="A2365" t="s">
        <v>2619</v>
      </c>
      <c r="B2365">
        <v>74009</v>
      </c>
      <c r="C2365" t="s">
        <v>1737</v>
      </c>
      <c r="D2365" t="s">
        <v>2645</v>
      </c>
      <c r="E2365" t="s">
        <v>281</v>
      </c>
      <c r="F2365" t="s">
        <v>281</v>
      </c>
      <c r="G2365" t="s">
        <v>2644</v>
      </c>
      <c r="H2365" t="s">
        <v>281</v>
      </c>
      <c r="I2365" t="s">
        <v>2616</v>
      </c>
      <c r="J2365">
        <v>1</v>
      </c>
      <c r="K2365">
        <v>4442.17</v>
      </c>
    </row>
    <row r="2366" spans="1:11" x14ac:dyDescent="0.2">
      <c r="A2366" t="s">
        <v>2619</v>
      </c>
      <c r="B2366">
        <v>71003</v>
      </c>
      <c r="C2366" t="s">
        <v>1730</v>
      </c>
      <c r="D2366" t="s">
        <v>2630</v>
      </c>
      <c r="E2366" t="s">
        <v>281</v>
      </c>
      <c r="F2366" t="s">
        <v>281</v>
      </c>
      <c r="G2366" t="s">
        <v>2629</v>
      </c>
      <c r="H2366" t="s">
        <v>281</v>
      </c>
      <c r="I2366" t="s">
        <v>2616</v>
      </c>
      <c r="J2366">
        <v>1</v>
      </c>
      <c r="K2366">
        <v>6132</v>
      </c>
    </row>
    <row r="2367" spans="1:11" x14ac:dyDescent="0.2">
      <c r="A2367" t="s">
        <v>2619</v>
      </c>
      <c r="B2367">
        <v>74007</v>
      </c>
      <c r="C2367" t="s">
        <v>1736</v>
      </c>
      <c r="D2367" t="s">
        <v>2663</v>
      </c>
      <c r="E2367" t="s">
        <v>281</v>
      </c>
      <c r="F2367" t="s">
        <v>281</v>
      </c>
      <c r="G2367" t="s">
        <v>2644</v>
      </c>
      <c r="H2367" t="s">
        <v>281</v>
      </c>
      <c r="I2367" t="s">
        <v>2616</v>
      </c>
      <c r="J2367">
        <v>1</v>
      </c>
      <c r="K2367">
        <v>2341</v>
      </c>
    </row>
    <row r="2368" spans="1:11" x14ac:dyDescent="0.2">
      <c r="A2368" t="s">
        <v>2619</v>
      </c>
      <c r="B2368">
        <v>92011</v>
      </c>
      <c r="C2368" t="s">
        <v>1782</v>
      </c>
      <c r="D2368" t="s">
        <v>2665</v>
      </c>
      <c r="E2368" t="s">
        <v>281</v>
      </c>
      <c r="F2368" t="s">
        <v>281</v>
      </c>
      <c r="G2368" t="s">
        <v>2637</v>
      </c>
      <c r="H2368" t="s">
        <v>281</v>
      </c>
      <c r="I2368" t="s">
        <v>2616</v>
      </c>
      <c r="J2368">
        <v>1</v>
      </c>
      <c r="K2368">
        <v>38222</v>
      </c>
    </row>
    <row r="2369" spans="1:11" x14ac:dyDescent="0.2">
      <c r="A2369" t="s">
        <v>2619</v>
      </c>
      <c r="B2369">
        <v>201097</v>
      </c>
      <c r="C2369" t="s">
        <v>2493</v>
      </c>
      <c r="D2369" t="s">
        <v>2628</v>
      </c>
      <c r="E2369" t="s">
        <v>281</v>
      </c>
      <c r="F2369" t="s">
        <v>281</v>
      </c>
      <c r="G2369" t="s">
        <v>2617</v>
      </c>
      <c r="H2369" t="s">
        <v>281</v>
      </c>
      <c r="I2369" t="s">
        <v>2616</v>
      </c>
      <c r="J2369">
        <v>1</v>
      </c>
      <c r="K2369">
        <v>325</v>
      </c>
    </row>
    <row r="2370" spans="1:11" x14ac:dyDescent="0.2">
      <c r="A2370" t="s">
        <v>2619</v>
      </c>
      <c r="B2370">
        <v>64002</v>
      </c>
      <c r="C2370" t="s">
        <v>1724</v>
      </c>
      <c r="D2370" t="s">
        <v>2658</v>
      </c>
      <c r="E2370" t="s">
        <v>281</v>
      </c>
      <c r="F2370" t="s">
        <v>281</v>
      </c>
      <c r="G2370" t="s">
        <v>2657</v>
      </c>
      <c r="H2370" t="s">
        <v>281</v>
      </c>
      <c r="I2370" t="s">
        <v>2616</v>
      </c>
      <c r="J2370">
        <v>1</v>
      </c>
      <c r="K2370">
        <v>130</v>
      </c>
    </row>
    <row r="2371" spans="1:11" x14ac:dyDescent="0.2">
      <c r="A2371" t="s">
        <v>2619</v>
      </c>
      <c r="B2371">
        <v>67008</v>
      </c>
      <c r="C2371" t="s">
        <v>1111</v>
      </c>
      <c r="D2371" t="s">
        <v>2659</v>
      </c>
      <c r="E2371" t="s">
        <v>2634</v>
      </c>
      <c r="F2371" t="s">
        <v>281</v>
      </c>
      <c r="G2371" t="s">
        <v>2622</v>
      </c>
      <c r="H2371" t="s">
        <v>2634</v>
      </c>
      <c r="I2371" t="s">
        <v>2616</v>
      </c>
      <c r="J2371">
        <v>1</v>
      </c>
      <c r="K2371">
        <v>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- US vs THEM</vt:lpstr>
      <vt:lpstr>Master Matrix View</vt:lpstr>
      <vt:lpstr>Whitelist (Blackout Reverse)</vt:lpstr>
      <vt:lpstr>Blackout Brand Fam Areas (Enc)</vt:lpstr>
      <vt:lpstr>Brand Family Territory (Enc)</vt:lpstr>
      <vt:lpstr>Sales Reps Customer 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Sharkey</dc:creator>
  <cp:lastModifiedBy>Gavin Sharkey</cp:lastModifiedBy>
  <dcterms:created xsi:type="dcterms:W3CDTF">2026-08-04T18:08:04Z</dcterms:created>
  <dcterms:modified xsi:type="dcterms:W3CDTF">2026-08-04T20:15:04Z</dcterms:modified>
</cp:coreProperties>
</file>