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rkey\Desktop\"/>
    </mc:Choice>
  </mc:AlternateContent>
  <xr:revisionPtr revIDLastSave="0" documentId="8_{8F325AAD-724A-4444-A703-4346C4416730}" xr6:coauthVersionLast="47" xr6:coauthVersionMax="47" xr10:uidLastSave="{00000000-0000-0000-0000-000000000000}"/>
  <bookViews>
    <workbookView xWindow="-120" yWindow="-120" windowWidth="29040" windowHeight="15720" xr2:uid="{9869BB32-9FF7-4FCF-839F-A2E0D2F1F781}"/>
  </bookViews>
  <sheets>
    <sheet name="2024 Store Reset Summary" sheetId="2" r:id="rId1"/>
    <sheet name="2024 Store Reset Data" sheetId="1" r:id="rId2"/>
    <sheet name="Sheet3" sheetId="3" r:id="rId3"/>
  </sheets>
  <definedNames>
    <definedName name="_xlnm._FilterDatabase" localSheetId="1" hidden="1">'2024 Store Reset Data'!$A$2:$U$81</definedName>
    <definedName name="_xlnm._FilterDatabase" localSheetId="0" hidden="1">'2024 Store Reset Summary'!$B$10:$G$89</definedName>
    <definedName name="_xlnm._FilterDatabase" localSheetId="2" hidden="1">Sheet3!$E$2:$E$80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11" i="2"/>
  <c r="L8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79" i="1"/>
  <c r="L80" i="1"/>
  <c r="L3" i="1"/>
  <c r="J88" i="2"/>
  <c r="J89" i="2"/>
  <c r="H1" i="2" l="1"/>
  <c r="D95" i="2" s="1"/>
  <c r="R79" i="1"/>
  <c r="M79" i="1"/>
  <c r="R78" i="1"/>
  <c r="M78" i="1"/>
  <c r="R77" i="1"/>
  <c r="M77" i="1"/>
  <c r="R76" i="1"/>
  <c r="M76" i="1"/>
  <c r="R75" i="1"/>
  <c r="M75" i="1"/>
  <c r="R74" i="1"/>
  <c r="M74" i="1"/>
  <c r="R73" i="1"/>
  <c r="M73" i="1"/>
  <c r="R72" i="1"/>
  <c r="M72" i="1"/>
  <c r="R71" i="1"/>
  <c r="M7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3" i="1"/>
  <c r="C41" i="2"/>
  <c r="K41" i="2" s="1"/>
  <c r="C23" i="2"/>
  <c r="K23" i="2" s="1"/>
  <c r="C67" i="2"/>
  <c r="K67" i="2" s="1"/>
  <c r="C80" i="2"/>
  <c r="C75" i="2"/>
  <c r="C73" i="2"/>
  <c r="K73" i="2" s="1"/>
  <c r="C13" i="2"/>
  <c r="K13" i="2" s="1"/>
  <c r="C68" i="2"/>
  <c r="K68" i="2" s="1"/>
  <c r="C49" i="2"/>
  <c r="C72" i="2"/>
  <c r="C79" i="2"/>
  <c r="C17" i="2"/>
  <c r="C46" i="2"/>
  <c r="K46" i="2" s="1"/>
  <c r="C56" i="2"/>
  <c r="K56" i="2" s="1"/>
  <c r="C50" i="2"/>
  <c r="K50" i="2" s="1"/>
  <c r="C25" i="2"/>
  <c r="C33" i="2"/>
  <c r="C70" i="2"/>
  <c r="K70" i="2" s="1"/>
  <c r="C22" i="2"/>
  <c r="K22" i="2" s="1"/>
  <c r="C58" i="2"/>
  <c r="K58" i="2" s="1"/>
  <c r="C74" i="2"/>
  <c r="C36" i="2"/>
  <c r="C76" i="2"/>
  <c r="C34" i="2"/>
  <c r="C84" i="2"/>
  <c r="K84" i="2" s="1"/>
  <c r="C29" i="2"/>
  <c r="K29" i="2" s="1"/>
  <c r="C85" i="2"/>
  <c r="K85" i="2" s="1"/>
  <c r="C62" i="2"/>
  <c r="K62" i="2" s="1"/>
  <c r="C42" i="2"/>
  <c r="K42" i="2" s="1"/>
  <c r="C21" i="2"/>
  <c r="K21" i="2" s="1"/>
  <c r="C16" i="2"/>
  <c r="K16" i="2" s="1"/>
  <c r="C87" i="2"/>
  <c r="K87" i="2" s="1"/>
  <c r="C52" i="2"/>
  <c r="C18" i="2"/>
  <c r="C45" i="2"/>
  <c r="C14" i="2"/>
  <c r="C20" i="2"/>
  <c r="C26" i="2"/>
  <c r="K26" i="2" s="1"/>
  <c r="C78" i="2"/>
  <c r="C48" i="2"/>
  <c r="C55" i="2"/>
  <c r="C53" i="2"/>
  <c r="C81" i="2"/>
  <c r="K81" i="2" s="1"/>
  <c r="C47" i="2"/>
  <c r="K47" i="2" s="1"/>
  <c r="C60" i="2"/>
  <c r="C30" i="2"/>
  <c r="C15" i="2"/>
  <c r="C31" i="2"/>
  <c r="C51" i="2"/>
  <c r="C86" i="2"/>
  <c r="C35" i="2"/>
  <c r="K35" i="2" s="1"/>
  <c r="C38" i="2"/>
  <c r="C64" i="2"/>
  <c r="C63" i="2"/>
  <c r="K63" i="2" s="1"/>
  <c r="C69" i="2"/>
  <c r="K69" i="2" s="1"/>
  <c r="C77" i="2"/>
  <c r="K77" i="2" s="1"/>
  <c r="C40" i="2"/>
  <c r="C43" i="2"/>
  <c r="C32" i="2"/>
  <c r="C83" i="2"/>
  <c r="C12" i="2"/>
  <c r="C11" i="2"/>
  <c r="K11" i="2" s="1"/>
  <c r="C27" i="2"/>
  <c r="C57" i="2"/>
  <c r="C37" i="2"/>
  <c r="K37" i="2" s="1"/>
  <c r="C28" i="2"/>
  <c r="C54" i="2"/>
  <c r="C59" i="2"/>
  <c r="K59" i="2" s="1"/>
  <c r="C19" i="2"/>
  <c r="C39" i="2"/>
  <c r="C65" i="2"/>
  <c r="C66" i="2"/>
  <c r="C61" i="2"/>
  <c r="K61" i="2" s="1"/>
  <c r="C44" i="2"/>
  <c r="C24" i="2"/>
  <c r="C82" i="2"/>
  <c r="C71" i="2"/>
  <c r="K71" i="2" s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70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70" i="1"/>
  <c r="Q40" i="1"/>
  <c r="R40" i="1"/>
  <c r="M40" i="1"/>
  <c r="Q39" i="1"/>
  <c r="R39" i="1"/>
  <c r="M39" i="1"/>
  <c r="Q38" i="1"/>
  <c r="R38" i="1"/>
  <c r="M38" i="1"/>
  <c r="Q37" i="1"/>
  <c r="R37" i="1"/>
  <c r="M37" i="1"/>
  <c r="Q36" i="1"/>
  <c r="R36" i="1"/>
  <c r="M36" i="1"/>
  <c r="Q35" i="1"/>
  <c r="R35" i="1"/>
  <c r="M35" i="1"/>
  <c r="Q34" i="1"/>
  <c r="R34" i="1"/>
  <c r="M34" i="1"/>
  <c r="Q33" i="1"/>
  <c r="R33" i="1"/>
  <c r="M33" i="1"/>
  <c r="Q32" i="1"/>
  <c r="R32" i="1"/>
  <c r="M32" i="1"/>
  <c r="R31" i="1"/>
  <c r="Q31" i="1"/>
  <c r="M31" i="1"/>
  <c r="Q30" i="1"/>
  <c r="R30" i="1"/>
  <c r="M30" i="1"/>
  <c r="Q29" i="1"/>
  <c r="R29" i="1"/>
  <c r="M29" i="1"/>
  <c r="Q28" i="1"/>
  <c r="R28" i="1"/>
  <c r="M28" i="1"/>
  <c r="Q27" i="1"/>
  <c r="R27" i="1"/>
  <c r="M27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70" i="1"/>
  <c r="U71" i="1"/>
  <c r="U72" i="1"/>
  <c r="U73" i="1"/>
  <c r="U74" i="1"/>
  <c r="U75" i="1"/>
  <c r="U76" i="1"/>
  <c r="U77" i="1"/>
  <c r="U78" i="1"/>
  <c r="U79" i="1"/>
  <c r="U80" i="1"/>
  <c r="Q26" i="1"/>
  <c r="R26" i="1"/>
  <c r="M26" i="1"/>
  <c r="Q25" i="1"/>
  <c r="R25" i="1"/>
  <c r="M25" i="1"/>
  <c r="Q24" i="1"/>
  <c r="R24" i="1"/>
  <c r="M24" i="1"/>
  <c r="Q23" i="1"/>
  <c r="R23" i="1"/>
  <c r="M23" i="1"/>
  <c r="Q22" i="1"/>
  <c r="R22" i="1"/>
  <c r="M22" i="1"/>
  <c r="Q21" i="1"/>
  <c r="R21" i="1"/>
  <c r="M21" i="1"/>
  <c r="Q20" i="1"/>
  <c r="R20" i="1"/>
  <c r="M20" i="1"/>
  <c r="Q19" i="1"/>
  <c r="R19" i="1"/>
  <c r="M19" i="1"/>
  <c r="Q18" i="1"/>
  <c r="R18" i="1"/>
  <c r="M18" i="1"/>
  <c r="Q17" i="1"/>
  <c r="R17" i="1"/>
  <c r="M17" i="1"/>
  <c r="Q16" i="1"/>
  <c r="R16" i="1"/>
  <c r="M16" i="1"/>
  <c r="Q15" i="1"/>
  <c r="R15" i="1"/>
  <c r="M15" i="1"/>
  <c r="Q14" i="1"/>
  <c r="R14" i="1"/>
  <c r="M14" i="1"/>
  <c r="Q10" i="1"/>
  <c r="Q11" i="1"/>
  <c r="Q12" i="1"/>
  <c r="Q13" i="1"/>
  <c r="R13" i="1"/>
  <c r="R10" i="1"/>
  <c r="R11" i="1"/>
  <c r="R12" i="1"/>
  <c r="U11" i="1"/>
  <c r="U4" i="1"/>
  <c r="U5" i="1"/>
  <c r="U6" i="1"/>
  <c r="U7" i="1"/>
  <c r="U8" i="1"/>
  <c r="U9" i="1"/>
  <c r="U10" i="1"/>
  <c r="U3" i="1"/>
  <c r="R9" i="1"/>
  <c r="Q9" i="1"/>
  <c r="R8" i="1"/>
  <c r="Q7" i="1"/>
  <c r="Q8" i="1"/>
  <c r="R7" i="1"/>
  <c r="M7" i="1"/>
  <c r="M8" i="1"/>
  <c r="M9" i="1"/>
  <c r="M10" i="1"/>
  <c r="M11" i="1"/>
  <c r="M12" i="1"/>
  <c r="M13" i="1"/>
  <c r="R6" i="1"/>
  <c r="R5" i="1"/>
  <c r="R4" i="1"/>
  <c r="R3" i="1"/>
  <c r="Q4" i="1"/>
  <c r="Q5" i="1"/>
  <c r="Q6" i="1"/>
  <c r="Q3" i="1"/>
  <c r="M6" i="1"/>
  <c r="M5" i="1"/>
  <c r="M3" i="1"/>
  <c r="M4" i="1"/>
  <c r="K54" i="2" l="1"/>
  <c r="K20" i="2"/>
  <c r="K78" i="2"/>
  <c r="K64" i="2"/>
  <c r="K55" i="2"/>
  <c r="K33" i="2"/>
  <c r="K75" i="2"/>
  <c r="K82" i="2"/>
  <c r="K57" i="2"/>
  <c r="K38" i="2"/>
  <c r="K48" i="2"/>
  <c r="K25" i="2"/>
  <c r="K80" i="2"/>
  <c r="K53" i="2"/>
  <c r="K24" i="2"/>
  <c r="K86" i="2"/>
  <c r="K12" i="2"/>
  <c r="K51" i="2"/>
  <c r="K66" i="2"/>
  <c r="K83" i="2"/>
  <c r="K31" i="2"/>
  <c r="K14" i="2"/>
  <c r="K34" i="2"/>
  <c r="K17" i="2"/>
  <c r="K65" i="2"/>
  <c r="K32" i="2"/>
  <c r="K15" i="2"/>
  <c r="K45" i="2"/>
  <c r="K76" i="2"/>
  <c r="K79" i="2"/>
  <c r="K28" i="2"/>
  <c r="R81" i="1"/>
  <c r="K27" i="2"/>
  <c r="K39" i="2"/>
  <c r="K43" i="2"/>
  <c r="K30" i="2"/>
  <c r="K18" i="2"/>
  <c r="K36" i="2"/>
  <c r="K72" i="2"/>
  <c r="K44" i="2"/>
  <c r="K19" i="2"/>
  <c r="K40" i="2"/>
  <c r="K60" i="2"/>
  <c r="K52" i="2"/>
  <c r="K74" i="2"/>
  <c r="K49" i="2"/>
  <c r="E70" i="2"/>
  <c r="B70" i="2"/>
  <c r="B42" i="2"/>
  <c r="B82" i="2"/>
  <c r="B62" i="2"/>
  <c r="B35" i="2"/>
  <c r="F44" i="2"/>
  <c r="B44" i="2"/>
  <c r="D86" i="2"/>
  <c r="B86" i="2"/>
  <c r="B29" i="2"/>
  <c r="D51" i="2"/>
  <c r="B51" i="2"/>
  <c r="B66" i="2"/>
  <c r="F83" i="2"/>
  <c r="B83" i="2"/>
  <c r="B31" i="2"/>
  <c r="F14" i="2"/>
  <c r="B14" i="2"/>
  <c r="E34" i="2"/>
  <c r="B34" i="2"/>
  <c r="G17" i="2"/>
  <c r="B17" i="2"/>
  <c r="E16" i="2"/>
  <c r="B16" i="2"/>
  <c r="F21" i="2"/>
  <c r="B21" i="2"/>
  <c r="B71" i="2"/>
  <c r="E33" i="2"/>
  <c r="B33" i="2"/>
  <c r="E25" i="2"/>
  <c r="B25" i="2"/>
  <c r="B24" i="2"/>
  <c r="B85" i="2"/>
  <c r="F11" i="2"/>
  <c r="B11" i="2"/>
  <c r="B23" i="2"/>
  <c r="B84" i="2"/>
  <c r="B65" i="2"/>
  <c r="B32" i="2"/>
  <c r="B15" i="2"/>
  <c r="F45" i="2"/>
  <c r="B45" i="2"/>
  <c r="E76" i="2"/>
  <c r="B76" i="2"/>
  <c r="G79" i="2"/>
  <c r="B79" i="2"/>
  <c r="E22" i="2"/>
  <c r="B22" i="2"/>
  <c r="B53" i="2"/>
  <c r="B55" i="2"/>
  <c r="E48" i="2"/>
  <c r="B48" i="2"/>
  <c r="B78" i="2"/>
  <c r="B26" i="2"/>
  <c r="E46" i="2"/>
  <c r="B46" i="2"/>
  <c r="E39" i="2"/>
  <c r="B39" i="2"/>
  <c r="E43" i="2"/>
  <c r="B43" i="2"/>
  <c r="E30" i="2"/>
  <c r="B30" i="2"/>
  <c r="E18" i="2"/>
  <c r="B18" i="2"/>
  <c r="B36" i="2"/>
  <c r="E72" i="2"/>
  <c r="B72" i="2"/>
  <c r="B81" i="2"/>
  <c r="B28" i="2"/>
  <c r="E73" i="2"/>
  <c r="B73" i="2"/>
  <c r="B64" i="2"/>
  <c r="B38" i="2"/>
  <c r="F50" i="2"/>
  <c r="B50" i="2"/>
  <c r="B56" i="2"/>
  <c r="B61" i="2"/>
  <c r="B41" i="2"/>
  <c r="E19" i="2"/>
  <c r="B19" i="2"/>
  <c r="E40" i="2"/>
  <c r="B40" i="2"/>
  <c r="E60" i="2"/>
  <c r="B60" i="2"/>
  <c r="E52" i="2"/>
  <c r="B52" i="2"/>
  <c r="E74" i="2"/>
  <c r="B74" i="2"/>
  <c r="E49" i="2"/>
  <c r="B49" i="2"/>
  <c r="B54" i="2"/>
  <c r="B69" i="2"/>
  <c r="E13" i="2"/>
  <c r="B13" i="2"/>
  <c r="B63" i="2"/>
  <c r="B37" i="2"/>
  <c r="E75" i="2"/>
  <c r="B75" i="2"/>
  <c r="E57" i="2"/>
  <c r="B57" i="2"/>
  <c r="E80" i="2"/>
  <c r="B80" i="2"/>
  <c r="G27" i="2"/>
  <c r="B27" i="2"/>
  <c r="B67" i="2"/>
  <c r="M81" i="1"/>
  <c r="B12" i="2"/>
  <c r="F20" i="2"/>
  <c r="B20" i="2"/>
  <c r="E59" i="2"/>
  <c r="B59" i="2"/>
  <c r="E77" i="2"/>
  <c r="B77" i="2"/>
  <c r="E47" i="2"/>
  <c r="B47" i="2"/>
  <c r="E87" i="2"/>
  <c r="B87" i="2"/>
  <c r="E58" i="2"/>
  <c r="B58" i="2"/>
  <c r="E68" i="2"/>
  <c r="B68" i="2"/>
  <c r="G72" i="2"/>
  <c r="G19" i="2"/>
  <c r="F43" i="2"/>
  <c r="G30" i="2"/>
  <c r="D18" i="2"/>
  <c r="D36" i="2"/>
  <c r="D72" i="2"/>
  <c r="D52" i="2"/>
  <c r="D74" i="2"/>
  <c r="D49" i="2"/>
  <c r="D39" i="2"/>
  <c r="D43" i="2"/>
  <c r="D30" i="2"/>
  <c r="E79" i="2"/>
  <c r="E42" i="2"/>
  <c r="D42" i="2"/>
  <c r="F59" i="2"/>
  <c r="F40" i="2"/>
  <c r="F56" i="2"/>
  <c r="D27" i="2"/>
  <c r="G45" i="2"/>
  <c r="G15" i="2"/>
  <c r="F81" i="2"/>
  <c r="G51" i="2"/>
  <c r="F29" i="2"/>
  <c r="G78" i="2"/>
  <c r="D28" i="2"/>
  <c r="G37" i="2"/>
  <c r="G31" i="2"/>
  <c r="D65" i="2"/>
  <c r="D32" i="2"/>
  <c r="D15" i="2"/>
  <c r="E62" i="2"/>
  <c r="G57" i="2"/>
  <c r="G82" i="2"/>
  <c r="D38" i="2"/>
  <c r="G24" i="2"/>
  <c r="G35" i="2"/>
  <c r="F19" i="2"/>
  <c r="G66" i="2"/>
  <c r="E29" i="2"/>
  <c r="D26" i="2"/>
  <c r="D84" i="2"/>
  <c r="G32" i="2"/>
  <c r="F15" i="2"/>
  <c r="E84" i="2"/>
  <c r="G18" i="2"/>
  <c r="G48" i="2"/>
  <c r="D85" i="2"/>
  <c r="F31" i="2"/>
  <c r="D41" i="2"/>
  <c r="D59" i="2"/>
  <c r="D77" i="2"/>
  <c r="D47" i="2"/>
  <c r="G52" i="2"/>
  <c r="F12" i="2"/>
  <c r="G36" i="2"/>
  <c r="F72" i="2"/>
  <c r="D37" i="2"/>
  <c r="G46" i="2"/>
  <c r="D67" i="2"/>
  <c r="D23" i="2"/>
  <c r="D57" i="2"/>
  <c r="F76" i="2"/>
  <c r="F79" i="2"/>
  <c r="D20" i="2"/>
  <c r="D11" i="2"/>
  <c r="D19" i="2"/>
  <c r="D40" i="2"/>
  <c r="D60" i="2"/>
  <c r="E20" i="2"/>
  <c r="E36" i="2"/>
  <c r="F77" i="2"/>
  <c r="G29" i="2"/>
  <c r="G49" i="2"/>
  <c r="G12" i="2"/>
  <c r="G60" i="2"/>
  <c r="F65" i="2"/>
  <c r="D34" i="2"/>
  <c r="F17" i="2"/>
  <c r="G85" i="2"/>
  <c r="D12" i="2"/>
  <c r="E67" i="2"/>
  <c r="F18" i="2"/>
  <c r="F30" i="2"/>
  <c r="G84" i="2"/>
  <c r="G67" i="2"/>
  <c r="G83" i="2"/>
  <c r="D45" i="2"/>
  <c r="D83" i="2"/>
  <c r="E45" i="2"/>
  <c r="E23" i="2"/>
  <c r="F52" i="2"/>
  <c r="F60" i="2"/>
  <c r="G23" i="2"/>
  <c r="F54" i="2"/>
  <c r="F69" i="2"/>
  <c r="D50" i="2"/>
  <c r="E41" i="2"/>
  <c r="F36" i="2"/>
  <c r="F47" i="2"/>
  <c r="G76" i="2"/>
  <c r="G41" i="2"/>
  <c r="G43" i="2"/>
  <c r="G28" i="2"/>
  <c r="G63" i="2"/>
  <c r="G53" i="2"/>
  <c r="D56" i="2"/>
  <c r="D31" i="2"/>
  <c r="E21" i="2"/>
  <c r="E50" i="2"/>
  <c r="F74" i="2"/>
  <c r="G40" i="2"/>
  <c r="F51" i="2"/>
  <c r="G11" i="2"/>
  <c r="G34" i="2"/>
  <c r="G55" i="2"/>
  <c r="F70" i="2"/>
  <c r="G73" i="2"/>
  <c r="D46" i="2"/>
  <c r="E56" i="2"/>
  <c r="G26" i="2"/>
  <c r="G74" i="2"/>
  <c r="G38" i="2"/>
  <c r="D61" i="2"/>
  <c r="G33" i="2"/>
  <c r="F49" i="2"/>
  <c r="G20" i="2"/>
  <c r="G50" i="2"/>
  <c r="G65" i="2"/>
  <c r="D66" i="2"/>
  <c r="F46" i="2"/>
  <c r="F32" i="2"/>
  <c r="E26" i="2"/>
  <c r="D14" i="2"/>
  <c r="E14" i="2"/>
  <c r="G71" i="2"/>
  <c r="G64" i="2"/>
  <c r="F82" i="2"/>
  <c r="G75" i="2"/>
  <c r="D17" i="2"/>
  <c r="D24" i="2"/>
  <c r="F27" i="2"/>
  <c r="D35" i="2"/>
  <c r="F78" i="2"/>
  <c r="G25" i="2"/>
  <c r="G80" i="2"/>
  <c r="D79" i="2"/>
  <c r="E85" i="2"/>
  <c r="E17" i="2"/>
  <c r="F39" i="2"/>
  <c r="G14" i="2"/>
  <c r="G56" i="2"/>
  <c r="G39" i="2"/>
  <c r="G86" i="2"/>
  <c r="D81" i="2"/>
  <c r="E69" i="2"/>
  <c r="E81" i="2"/>
  <c r="E28" i="2"/>
  <c r="E63" i="2"/>
  <c r="E53" i="2"/>
  <c r="F87" i="2"/>
  <c r="F58" i="2"/>
  <c r="F68" i="2"/>
  <c r="E71" i="2"/>
  <c r="E64" i="2"/>
  <c r="E55" i="2"/>
  <c r="F22" i="2"/>
  <c r="E35" i="2"/>
  <c r="D53" i="2"/>
  <c r="F13" i="2"/>
  <c r="E38" i="2"/>
  <c r="F73" i="2"/>
  <c r="D62" i="2"/>
  <c r="D48" i="2"/>
  <c r="D87" i="2"/>
  <c r="D58" i="2"/>
  <c r="D68" i="2"/>
  <c r="E27" i="2"/>
  <c r="E78" i="2"/>
  <c r="F33" i="2"/>
  <c r="F75" i="2"/>
  <c r="F28" i="2"/>
  <c r="F63" i="2"/>
  <c r="F53" i="2"/>
  <c r="G44" i="2"/>
  <c r="E86" i="2"/>
  <c r="F71" i="2"/>
  <c r="F25" i="2"/>
  <c r="F80" i="2"/>
  <c r="F37" i="2"/>
  <c r="F64" i="2"/>
  <c r="F55" i="2"/>
  <c r="E61" i="2"/>
  <c r="E12" i="2"/>
  <c r="E51" i="2"/>
  <c r="E24" i="2"/>
  <c r="F85" i="2"/>
  <c r="F67" i="2"/>
  <c r="F57" i="2"/>
  <c r="F38" i="2"/>
  <c r="F48" i="2"/>
  <c r="E83" i="2"/>
  <c r="E31" i="2"/>
  <c r="F26" i="2"/>
  <c r="F35" i="2"/>
  <c r="E65" i="2"/>
  <c r="E15" i="2"/>
  <c r="F84" i="2"/>
  <c r="F41" i="2"/>
  <c r="F86" i="2"/>
  <c r="G16" i="2"/>
  <c r="G77" i="2"/>
  <c r="D71" i="2"/>
  <c r="D76" i="2"/>
  <c r="F34" i="2"/>
  <c r="F24" i="2"/>
  <c r="G21" i="2"/>
  <c r="G70" i="2"/>
  <c r="G54" i="2"/>
  <c r="G69" i="2"/>
  <c r="G81" i="2"/>
  <c r="E54" i="2"/>
  <c r="F42" i="2"/>
  <c r="D75" i="2"/>
  <c r="D78" i="2"/>
  <c r="D16" i="2"/>
  <c r="D22" i="2"/>
  <c r="D13" i="2"/>
  <c r="E11" i="2"/>
  <c r="E82" i="2"/>
  <c r="D29" i="2"/>
  <c r="D80" i="2"/>
  <c r="D82" i="2"/>
  <c r="D21" i="2"/>
  <c r="D70" i="2"/>
  <c r="D73" i="2"/>
  <c r="D54" i="2"/>
  <c r="D69" i="2"/>
  <c r="D63" i="2"/>
  <c r="E66" i="2"/>
  <c r="E44" i="2"/>
  <c r="F23" i="2"/>
  <c r="G87" i="2"/>
  <c r="G58" i="2"/>
  <c r="G68" i="2"/>
  <c r="D64" i="2"/>
  <c r="D44" i="2"/>
  <c r="E32" i="2"/>
  <c r="G22" i="2"/>
  <c r="G13" i="2"/>
  <c r="G59" i="2"/>
  <c r="G47" i="2"/>
  <c r="D33" i="2"/>
  <c r="F66" i="2"/>
  <c r="G42" i="2"/>
  <c r="E37" i="2"/>
  <c r="F16" i="2"/>
  <c r="D55" i="2"/>
  <c r="D25" i="2"/>
  <c r="U4" i="2" l="1"/>
  <c r="U6" i="2"/>
  <c r="U5" i="2"/>
  <c r="V4" i="2"/>
  <c r="V6" i="2"/>
  <c r="V5" i="2"/>
  <c r="Q5" i="2"/>
  <c r="Q4" i="2"/>
  <c r="Q6" i="2"/>
  <c r="F1" i="2"/>
  <c r="R5" i="2"/>
  <c r="R6" i="2"/>
  <c r="R4" i="2"/>
  <c r="G3" i="2" a="1"/>
  <c r="G3" i="2" s="1"/>
  <c r="F2" i="2" a="1"/>
  <c r="F2" i="2" s="1"/>
  <c r="D96" i="2" s="1"/>
  <c r="E96" i="2" s="1"/>
  <c r="G2" i="2" a="1"/>
  <c r="G2" i="2" s="1"/>
  <c r="G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<sst xmlns="http://schemas.openxmlformats.org/spreadsheetml/2006/main" count="615" uniqueCount="239">
  <si>
    <t>TD Linx #</t>
  </si>
  <si>
    <t>Account Name</t>
  </si>
  <si>
    <t>Address</t>
  </si>
  <si>
    <t>City</t>
  </si>
  <si>
    <t>State</t>
  </si>
  <si>
    <t>Zip</t>
  </si>
  <si>
    <t>Segmentation</t>
  </si>
  <si>
    <t>RESET DATE</t>
  </si>
  <si>
    <t>60 BEAVERBROOK RD</t>
  </si>
  <si>
    <t>LINCOLN PARK</t>
  </si>
  <si>
    <t>NEW JERSEY</t>
  </si>
  <si>
    <t>B</t>
  </si>
  <si>
    <t>375 PATERSON AVE STE C</t>
  </si>
  <si>
    <t>WALLINGTON</t>
  </si>
  <si>
    <t>A</t>
  </si>
  <si>
    <t>TEANECK LIQUORS</t>
  </si>
  <si>
    <t>1531 TEANECK RD</t>
  </si>
  <si>
    <t>TEANECK</t>
  </si>
  <si>
    <t>WIDES DELI &amp; LIQUORS</t>
  </si>
  <si>
    <t>85 CENTRAL AVE</t>
  </si>
  <si>
    <t>RIDGEFIELD PARK</t>
  </si>
  <si>
    <t>C</t>
  </si>
  <si>
    <t>LIQUOR GALLERY</t>
  </si>
  <si>
    <t>459 MCBRIDE AVE</t>
  </si>
  <si>
    <t>PATERSON</t>
  </si>
  <si>
    <t>GARDEN STATE DAIRY &amp; LIQUOR</t>
  </si>
  <si>
    <t>135 OAKLAND AVE</t>
  </si>
  <si>
    <t>CLOSTER</t>
  </si>
  <si>
    <t>PAULISON LIQUORS</t>
  </si>
  <si>
    <t>621 PAULISON AVE</t>
  </si>
  <si>
    <t>CLIFTON</t>
  </si>
  <si>
    <t>PALS WINE &amp; LIQUOR</t>
  </si>
  <si>
    <t>241 UNION AVE</t>
  </si>
  <si>
    <t>895 PAULISON AVE</t>
  </si>
  <si>
    <t>ECONOMY LIQUORS</t>
  </si>
  <si>
    <t>186 5TH AVE</t>
  </si>
  <si>
    <t>LUNA LIQUORS</t>
  </si>
  <si>
    <t>291 PARK AVE</t>
  </si>
  <si>
    <t>FOREST DAIRY LIQUOR STORE</t>
  </si>
  <si>
    <t>10 SPRING DELL</t>
  </si>
  <si>
    <t>RUTHERFORD</t>
  </si>
  <si>
    <t>GARDEN LIQUORS &amp; WINES</t>
  </si>
  <si>
    <t>300 HARRISON AVE</t>
  </si>
  <si>
    <t>LODI</t>
  </si>
  <si>
    <t>CLIFTON DISCOUNT LIQUORS</t>
  </si>
  <si>
    <t>73 ACKERMAN AVE</t>
  </si>
  <si>
    <t>DANNYS LIQUORS</t>
  </si>
  <si>
    <t>268 MONROE ST</t>
  </si>
  <si>
    <t>PASSAIC</t>
  </si>
  <si>
    <t>LUIGIS LIQUOR</t>
  </si>
  <si>
    <t>175 JEFFERSON ST</t>
  </si>
  <si>
    <t>LIQUOR STOP</t>
  </si>
  <si>
    <t>321 BROADWAY</t>
  </si>
  <si>
    <t>SUNNYS LIQUORS</t>
  </si>
  <si>
    <t>413 MONROE ST</t>
  </si>
  <si>
    <t>DISCOUNT LIQUOR OUTLET</t>
  </si>
  <si>
    <t>15 GRAND AVE STE 4</t>
  </si>
  <si>
    <t>PALISADES PARK</t>
  </si>
  <si>
    <t>BEVERAGE BARN</t>
  </si>
  <si>
    <t>224 LIVINGSTON ST</t>
  </si>
  <si>
    <t>NORTHVALE</t>
  </si>
  <si>
    <t>DORTA LIQUORS</t>
  </si>
  <si>
    <t>353 21ST AVE</t>
  </si>
  <si>
    <t>B &amp; B LIQUORS</t>
  </si>
  <si>
    <t>13 05 RIVER RD</t>
  </si>
  <si>
    <t>FAIR LAWN</t>
  </si>
  <si>
    <t>EDGEWATER WINE &amp; SPIRITS</t>
  </si>
  <si>
    <t>547 RIVER RD</t>
  </si>
  <si>
    <t>EDGEWATER</t>
  </si>
  <si>
    <t>EL OASIS LIQUOR</t>
  </si>
  <si>
    <t>450 UNION AVE</t>
  </si>
  <si>
    <t>HOME WINES &amp; LIQUORS</t>
  </si>
  <si>
    <t>593 MAIN AVE</t>
  </si>
  <si>
    <t>WINE COUNTRY</t>
  </si>
  <si>
    <t>195 MARKET ST</t>
  </si>
  <si>
    <t>SADDLE BROOK</t>
  </si>
  <si>
    <t>FARMBOY SUPER FRESH LIQUOR</t>
  </si>
  <si>
    <t>465 GETTY AVE</t>
  </si>
  <si>
    <t>BOMBOLOM LIQUORS</t>
  </si>
  <si>
    <t>192 E 16TH ST</t>
  </si>
  <si>
    <t>METRO LIQUORS</t>
  </si>
  <si>
    <t>100 BROADWAY</t>
  </si>
  <si>
    <t>ELMWOOD PARK</t>
  </si>
  <si>
    <t>35 07 BROADWAY</t>
  </si>
  <si>
    <t>CARISMA LIQUORS</t>
  </si>
  <si>
    <t>234 VREELAND AVE</t>
  </si>
  <si>
    <t>17 SCHUYLER AVE</t>
  </si>
  <si>
    <t>NORTH ARLINGTON</t>
  </si>
  <si>
    <t>BIRCHWOOD DELI &amp; LIQUOR</t>
  </si>
  <si>
    <t>545 MOLA BLVD</t>
  </si>
  <si>
    <t>FERRAROS LIQUOR</t>
  </si>
  <si>
    <t>423 21ST AVE</t>
  </si>
  <si>
    <t>THE LIQUOR SHOP</t>
  </si>
  <si>
    <t>498 E 30TH ST</t>
  </si>
  <si>
    <t>SUPER WINE WAREHOUSE</t>
  </si>
  <si>
    <t>42 E 30TH ST</t>
  </si>
  <si>
    <t>BOTTLE LIQUOR STORE</t>
  </si>
  <si>
    <t>550 LEXINGTON AVE</t>
  </si>
  <si>
    <t>JOHNNYS LIQUORS</t>
  </si>
  <si>
    <t>370 MONROE ST</t>
  </si>
  <si>
    <t>KRAUSERS</t>
  </si>
  <si>
    <t>121 VALLEY BROOK AVE</t>
  </si>
  <si>
    <t>LYNDHURST</t>
  </si>
  <si>
    <t>BELMONT LIQUORS</t>
  </si>
  <si>
    <t>136 BELMONT AVE</t>
  </si>
  <si>
    <t>C &amp; S LUCKY LIQUORS</t>
  </si>
  <si>
    <t>299 GRAND ST</t>
  </si>
  <si>
    <t>MORLOT WINES &amp; LIQUORS</t>
  </si>
  <si>
    <t>22 10 MORLOT AVE</t>
  </si>
  <si>
    <t>PARKER LIQUOR</t>
  </si>
  <si>
    <t>203 PARKER AVE</t>
  </si>
  <si>
    <t>RADBURN LIQUORS</t>
  </si>
  <si>
    <t>14-35 PLAZA RD</t>
  </si>
  <si>
    <t>PRESIDENT WINES &amp; LIQUORS</t>
  </si>
  <si>
    <t>158 PRESIDENT ST</t>
  </si>
  <si>
    <t>C TOWN LIQUOR</t>
  </si>
  <si>
    <t>444 20TH AVE</t>
  </si>
  <si>
    <t>C TOWN LIQUORS</t>
  </si>
  <si>
    <t>680 MAIN ST</t>
  </si>
  <si>
    <t>BERMUDA LIQUORS</t>
  </si>
  <si>
    <t>177 HOPE AVE</t>
  </si>
  <si>
    <t>FIGLARS LIQUOR STORE</t>
  </si>
  <si>
    <t>327 HOPE AVE</t>
  </si>
  <si>
    <t>SHANIK LIQUORS</t>
  </si>
  <si>
    <t>952 MAIN AVE</t>
  </si>
  <si>
    <t>CAPRI LIQUOR &amp; DELI</t>
  </si>
  <si>
    <t>226 PATERSON AVE</t>
  </si>
  <si>
    <t>EAST RUTHERFORD</t>
  </si>
  <si>
    <t>534 VAN HOUTEN AVE</t>
  </si>
  <si>
    <t>WOODRIDGE WINE &amp; LIQUOR</t>
  </si>
  <si>
    <t>206 HACKENSACK ST</t>
  </si>
  <si>
    <t>WOOD RIDGE</t>
  </si>
  <si>
    <t>RIVER PLACE LIQUOR</t>
  </si>
  <si>
    <t>303 MAIN ST</t>
  </si>
  <si>
    <t>BUTLER</t>
  </si>
  <si>
    <t>53 NATHANIEL PL</t>
  </si>
  <si>
    <t>ENGLEWOOD</t>
  </si>
  <si>
    <t>SHOPPERS VINEYARD</t>
  </si>
  <si>
    <t>875 BLOOMFIELD AVE</t>
  </si>
  <si>
    <t>LITTLE FALLS DISCOUNT LIQUORS</t>
  </si>
  <si>
    <t>315 MAIN ST</t>
  </si>
  <si>
    <t>LITTLE FALLS</t>
  </si>
  <si>
    <t>937 LINCOLN AVE</t>
  </si>
  <si>
    <t>GLEN ROCK</t>
  </si>
  <si>
    <t>MEADOWLANDS WINE &amp; LIQUOR</t>
  </si>
  <si>
    <t>280 VALLEY BLVD</t>
  </si>
  <si>
    <t>725 CEDAR LN</t>
  </si>
  <si>
    <t>RIDGEFIELD LIQUOR</t>
  </si>
  <si>
    <t>520 SHALER BLVD</t>
  </si>
  <si>
    <t>RIDGEFIELD</t>
  </si>
  <si>
    <t>MONTVALE WINE &amp; SPIRITS</t>
  </si>
  <si>
    <t>18 S KINDERKAMACK RD</t>
  </si>
  <si>
    <t>MONTVALE</t>
  </si>
  <si>
    <t>REGALADO LIQUORS</t>
  </si>
  <si>
    <t>168 MARKET ST</t>
  </si>
  <si>
    <t>FOOD MART LIQUOR</t>
  </si>
  <si>
    <t>430 MARKET ST</t>
  </si>
  <si>
    <t>SANDYS WINE &amp; SPIRITS</t>
  </si>
  <si>
    <t>98 US HWY 46</t>
  </si>
  <si>
    <t>BUDD LAKE</t>
  </si>
  <si>
    <t>ARCHIES LIQUOR</t>
  </si>
  <si>
    <t>229 MAIN AVE</t>
  </si>
  <si>
    <t>QUICK CHEK LIQUOR</t>
  </si>
  <si>
    <t>70 MAIN ST</t>
  </si>
  <si>
    <t>NETCONG</t>
  </si>
  <si>
    <t>ORADELL LIQUOR</t>
  </si>
  <si>
    <t>219 KINDERKAMACK RD</t>
  </si>
  <si>
    <t>ORADELL</t>
  </si>
  <si>
    <t>PETES LIQUORS</t>
  </si>
  <si>
    <t>383 VALLEY RD</t>
  </si>
  <si>
    <t>BUY RITE LIQUOR LODI</t>
  </si>
  <si>
    <t>449 MAIN ST</t>
  </si>
  <si>
    <t>LIQUOR MART</t>
  </si>
  <si>
    <t>1132 US HIGHWAY 46</t>
  </si>
  <si>
    <t>M &amp; M WINE &amp; SPIRITS</t>
  </si>
  <si>
    <t>429 MARKET ST STE 1</t>
  </si>
  <si>
    <t>HIGH SPIRITS</t>
  </si>
  <si>
    <t>215 MAIN ST</t>
  </si>
  <si>
    <t>LIQUOR MASTER</t>
  </si>
  <si>
    <t>459 RTE 17 S</t>
  </si>
  <si>
    <t>HASBROUCK HEIGHTS</t>
  </si>
  <si>
    <t>GARYS</t>
  </si>
  <si>
    <t>67 VER VALEN ST</t>
  </si>
  <si>
    <t>FINE WINE &amp; SPIRITS</t>
  </si>
  <si>
    <t>14 RIVEREDGE RD</t>
  </si>
  <si>
    <t>TENAFLY</t>
  </si>
  <si>
    <t>PAY LESS LIQUOR &amp; DELI</t>
  </si>
  <si>
    <t>251 ELM ST</t>
  </si>
  <si>
    <t>126 RIDGE RD</t>
  </si>
  <si>
    <t>2024  SFS SUBMISSIONS</t>
  </si>
  <si>
    <t>2023 Sales</t>
  </si>
  <si>
    <t>2024 Sales</t>
  </si>
  <si>
    <t>Percentage Change</t>
  </si>
  <si>
    <t>Constellation Sales</t>
  </si>
  <si>
    <t>2023 Placements</t>
  </si>
  <si>
    <t>2024 Placements</t>
  </si>
  <si>
    <t xml:space="preserve">Placement Count Difference </t>
  </si>
  <si>
    <t>2024 Sales Trend</t>
  </si>
  <si>
    <t>Constellation Placements</t>
  </si>
  <si>
    <t>Case Change</t>
  </si>
  <si>
    <t xml:space="preserve"> </t>
  </si>
  <si>
    <r>
      <rPr>
        <i/>
        <sz val="8"/>
        <color rgb="FF444649"/>
        <rFont val="Verdana"/>
        <family val="2"/>
      </rPr>
      <t>THE LIQUOR DEPOT</t>
    </r>
    <r>
      <rPr>
        <sz val="8"/>
        <color rgb="FF444649"/>
        <rFont val="Verdana"/>
        <family val="2"/>
      </rPr>
      <t xml:space="preserve"> (</t>
    </r>
    <r>
      <rPr>
        <b/>
        <sz val="8"/>
        <color rgb="FF444649"/>
        <rFont val="Verdana"/>
        <family val="2"/>
      </rPr>
      <t>US#1 Wine &amp; Liquor</t>
    </r>
    <r>
      <rPr>
        <sz val="8"/>
        <color rgb="FF444649"/>
        <rFont val="Verdana"/>
        <family val="2"/>
      </rPr>
      <t>)</t>
    </r>
  </si>
  <si>
    <r>
      <rPr>
        <i/>
        <sz val="8"/>
        <color rgb="FF444649"/>
        <rFont val="Verdana"/>
        <family val="2"/>
      </rPr>
      <t>SUPER FRESH LIQUORS</t>
    </r>
    <r>
      <rPr>
        <b/>
        <i/>
        <sz val="8"/>
        <color rgb="FF444649"/>
        <rFont val="Verdana"/>
        <family val="2"/>
      </rPr>
      <t xml:space="preserve"> </t>
    </r>
    <r>
      <rPr>
        <b/>
        <sz val="8"/>
        <color rgb="FF444649"/>
        <rFont val="Verdana"/>
        <family val="2"/>
      </rPr>
      <t>(Food Universe Marketplace)</t>
    </r>
  </si>
  <si>
    <r>
      <rPr>
        <i/>
        <sz val="8"/>
        <color rgb="FF444649"/>
        <rFont val="Verdana"/>
        <family val="2"/>
      </rPr>
      <t>CEDAR LIQUORS</t>
    </r>
    <r>
      <rPr>
        <sz val="8"/>
        <color rgb="FF444649"/>
        <rFont val="Verdana"/>
        <family val="2"/>
      </rPr>
      <t xml:space="preserve"> (</t>
    </r>
    <r>
      <rPr>
        <b/>
        <sz val="8"/>
        <color rgb="FF444649"/>
        <rFont val="Verdana"/>
        <family val="2"/>
      </rPr>
      <t>Teaneck Quickshop(P)Conv</t>
    </r>
    <r>
      <rPr>
        <sz val="8"/>
        <color rgb="FF444649"/>
        <rFont val="Verdana"/>
        <family val="2"/>
      </rPr>
      <t>)</t>
    </r>
  </si>
  <si>
    <t>SHOPRITE LIQUORS (Lincoln Park)</t>
  </si>
  <si>
    <t>SHOPRITE LIQUORS (Wallington)</t>
  </si>
  <si>
    <t>SHOPRITE LIQUORS (Clifton)</t>
  </si>
  <si>
    <t>SHOPRITE LIQUORS (Fair Lawn)</t>
  </si>
  <si>
    <t>SHOPRITE LIQUORS (Englewood)</t>
  </si>
  <si>
    <t>Customer Name</t>
  </si>
  <si>
    <t>Reset Date</t>
  </si>
  <si>
    <t>All Kohler Brands</t>
  </si>
  <si>
    <t>Constellation Brands</t>
  </si>
  <si>
    <t>Column 1</t>
  </si>
  <si>
    <t>Average  %</t>
  </si>
  <si>
    <t xml:space="preserve"> when matching selling days</t>
  </si>
  <si>
    <t># of Stores Beating Kohler Avg</t>
  </si>
  <si>
    <t># of Stores Where Constellation &gt; All Kohler Brands</t>
  </si>
  <si>
    <t>2023 vs 2024</t>
  </si>
  <si>
    <t>Stores Reset:</t>
  </si>
  <si>
    <t># of Stores Beating Kohler Trend %</t>
  </si>
  <si>
    <r>
      <rPr>
        <b/>
        <u/>
        <sz val="12"/>
        <color rgb="FFFF0000"/>
        <rFont val="Calibri"/>
        <family val="2"/>
      </rPr>
      <t>ALL ACCOUNTS</t>
    </r>
    <r>
      <rPr>
        <sz val="12"/>
        <color theme="1"/>
        <rFont val="Calibri"/>
        <family val="2"/>
      </rPr>
      <t>: Kohler Sales % Difference (</t>
    </r>
    <r>
      <rPr>
        <b/>
        <sz val="12"/>
        <color theme="1"/>
        <rFont val="Calibri"/>
        <family val="2"/>
      </rPr>
      <t>2023 vs 2024</t>
    </r>
    <r>
      <rPr>
        <sz val="12"/>
        <color theme="1"/>
        <rFont val="Calibri"/>
        <family val="2"/>
      </rPr>
      <t>)</t>
    </r>
  </si>
  <si>
    <r>
      <rPr>
        <b/>
        <u/>
        <sz val="12"/>
        <color rgb="FFFF0000"/>
        <rFont val="Calibri"/>
        <family val="2"/>
      </rPr>
      <t>ACCOUNT SPECIFIC</t>
    </r>
    <r>
      <rPr>
        <sz val="12"/>
        <color theme="1"/>
        <rFont val="Calibri"/>
        <family val="2"/>
      </rPr>
      <t>: Case Sold % Change (</t>
    </r>
    <r>
      <rPr>
        <b/>
        <sz val="12"/>
        <color theme="1"/>
        <rFont val="Calibri"/>
        <family val="2"/>
      </rPr>
      <t>2023 vs 2024)</t>
    </r>
  </si>
  <si>
    <t>Only showing data for 2024</t>
  </si>
  <si>
    <t>Average Kohler Sales % Difference (2023 vs 2024)</t>
  </si>
  <si>
    <t>Reset Stores</t>
  </si>
  <si>
    <t>Cases Sold % Change After Reset (Avg)</t>
  </si>
  <si>
    <r>
      <rPr>
        <b/>
        <u/>
        <sz val="11"/>
        <rFont val="Aptos Narrow"/>
        <family val="2"/>
        <scheme val="minor"/>
      </rPr>
      <t>Constellation</t>
    </r>
    <r>
      <rPr>
        <sz val="11"/>
        <rFont val="Aptos Narrow"/>
        <family val="2"/>
        <scheme val="minor"/>
      </rPr>
      <t>: Cases Sold % Change After Reset (Avg)</t>
    </r>
  </si>
  <si>
    <t>Non-Reset Stores</t>
  </si>
  <si>
    <t>Cases Sold % Change (Avg)</t>
  </si>
  <si>
    <r>
      <rPr>
        <b/>
        <u/>
        <sz val="11"/>
        <color theme="1"/>
        <rFont val="Aptos Narrow"/>
        <family val="2"/>
        <scheme val="minor"/>
      </rPr>
      <t>Constellation</t>
    </r>
    <r>
      <rPr>
        <sz val="11"/>
        <color theme="1"/>
        <rFont val="Aptos Narrow"/>
        <family val="2"/>
        <scheme val="minor"/>
      </rPr>
      <t>: Cases Sold % Change (Avg)</t>
    </r>
  </si>
  <si>
    <t>&lt;-- Both % improved after store resets occured</t>
  </si>
  <si>
    <t>&lt;-- % of stores beating Kohler Trend</t>
  </si>
  <si>
    <t>HIGH SPIRITS (Exquisite W &amp; L (A))</t>
  </si>
  <si>
    <t>Reset Date - 12/31/2024</t>
  </si>
  <si>
    <t>All Brands</t>
  </si>
  <si>
    <t>Constellation</t>
  </si>
  <si>
    <t>&amp; Change</t>
  </si>
  <si>
    <t>Acct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</si>
</sst>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0" x14ac:knownFonts="1">
    <font>
      <sz val="11"/>
      <color theme="1"/>
      <name val="Aptos Narrow"/>
      <family val="2"/>
      <scheme val="minor"/>
    </font>
    <font>
      <b/>
      <sz val="18"/>
      <color rgb="FF375623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444649"/>
      <name val="Verdana"/>
      <family val="2"/>
    </font>
    <font>
      <sz val="8"/>
      <color rgb="FF444649"/>
      <name val="Verdana"/>
      <family val="2"/>
    </font>
    <font>
      <b/>
      <sz val="12"/>
      <color theme="0"/>
      <name val="Arial"/>
      <family val="2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b/>
      <i/>
      <sz val="8"/>
      <color rgb="FF444649"/>
      <name val="Verdana"/>
      <family val="2"/>
    </font>
    <font>
      <i/>
      <sz val="8"/>
      <color rgb="FF444649"/>
      <name val="Verdana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FFFF00"/>
      <name val="Calibri"/>
      <family val="2"/>
    </font>
    <font>
      <sz val="14"/>
      <color theme="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2"/>
      <color rgb="FFFF0000"/>
      <name val="Calibri"/>
      <family val="2"/>
    </font>
    <font>
      <b/>
      <u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FFFF00"/>
      <name val="Arial"/>
      <family val="2"/>
    </font>
    <font>
      <b/>
      <sz val="8"/>
      <color rgb="FFFF0000"/>
      <name val="Verdana"/>
      <family val="2"/>
    </font>
    <font>
      <sz val="11"/>
      <color rgb="FFFFFF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u/>
      <sz val="16"/>
      <color rgb="FFFFFF00"/>
      <name val="Calibri"/>
      <family val="2"/>
    </font>
    <font>
      <sz val="8"/>
      <color theme="0"/>
      <name val="Verdana"/>
      <family val="2"/>
    </font>
    <font>
      <b/>
      <sz val="10"/>
      <color theme="0"/>
      <name val="Arial"/>
      <family val="2"/>
    </font>
    <font>
      <b/>
      <i/>
      <sz val="11"/>
      <color rgb="FFFF0000"/>
      <name val="Aptos Narrow"/>
      <family val="2"/>
      <scheme val="minor"/>
    </font>
    <font>
      <sz val="12"/>
      <color rgb="FF002060"/>
      <name val="Calibri"/>
      <family val="2"/>
    </font>
    <font>
      <i/>
      <sz val="10"/>
      <color rgb="FF002060"/>
      <name val="Arial"/>
      <family val="2"/>
    </font>
    <font>
      <b/>
      <i/>
      <sz val="12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3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/>
    </xf>
    <xf numFmtId="0" fontId="11" fillId="6" borderId="2" xfId="0" applyFont="1" applyFill="1" applyBorder="1" applyAlignment="1">
      <alignment horizontal="left" vertical="top"/>
    </xf>
    <xf numFmtId="0" fontId="13" fillId="0" borderId="0" xfId="0" applyFont="1"/>
    <xf numFmtId="164" fontId="13" fillId="0" borderId="0" xfId="1" applyNumberFormat="1" applyFont="1"/>
    <xf numFmtId="0" fontId="13" fillId="0" borderId="1" xfId="0" applyFont="1" applyBorder="1"/>
    <xf numFmtId="164" fontId="13" fillId="0" borderId="1" xfId="1" applyNumberFormat="1" applyFont="1" applyBorder="1" applyAlignment="1">
      <alignment horizontal="center"/>
    </xf>
    <xf numFmtId="0" fontId="13" fillId="0" borderId="7" xfId="0" applyFont="1" applyBorder="1"/>
    <xf numFmtId="0" fontId="13" fillId="0" borderId="9" xfId="0" applyFont="1" applyBorder="1"/>
    <xf numFmtId="164" fontId="13" fillId="0" borderId="10" xfId="1" applyNumberFormat="1" applyFont="1" applyBorder="1" applyAlignment="1">
      <alignment horizontal="center"/>
    </xf>
    <xf numFmtId="0" fontId="14" fillId="0" borderId="9" xfId="0" applyFont="1" applyBorder="1"/>
    <xf numFmtId="0" fontId="13" fillId="0" borderId="12" xfId="0" applyFont="1" applyBorder="1"/>
    <xf numFmtId="164" fontId="13" fillId="0" borderId="13" xfId="1" applyNumberFormat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6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5" fillId="12" borderId="0" xfId="0" applyFont="1" applyFill="1" applyAlignment="1">
      <alignment horizontal="center"/>
    </xf>
    <xf numFmtId="0" fontId="18" fillId="14" borderId="8" xfId="0" applyFont="1" applyFill="1" applyBorder="1" applyAlignment="1">
      <alignment horizontal="center"/>
    </xf>
    <xf numFmtId="0" fontId="17" fillId="13" borderId="7" xfId="0" applyFont="1" applyFill="1" applyBorder="1" applyAlignment="1">
      <alignment horizontal="center"/>
    </xf>
    <xf numFmtId="164" fontId="13" fillId="0" borderId="21" xfId="1" applyNumberFormat="1" applyFont="1" applyBorder="1" applyAlignment="1">
      <alignment horizontal="center"/>
    </xf>
    <xf numFmtId="164" fontId="15" fillId="12" borderId="16" xfId="0" applyNumberFormat="1" applyFont="1" applyFill="1" applyBorder="1" applyAlignment="1">
      <alignment horizontal="center"/>
    </xf>
    <xf numFmtId="14" fontId="23" fillId="12" borderId="1" xfId="0" applyNumberFormat="1" applyFont="1" applyFill="1" applyBorder="1" applyAlignment="1">
      <alignment horizontal="center"/>
    </xf>
    <xf numFmtId="0" fontId="13" fillId="0" borderId="24" xfId="0" applyFont="1" applyBorder="1"/>
    <xf numFmtId="0" fontId="13" fillId="0" borderId="25" xfId="0" applyFont="1" applyBorder="1" applyAlignment="1">
      <alignment horizontal="center"/>
    </xf>
    <xf numFmtId="0" fontId="13" fillId="0" borderId="19" xfId="0" applyFont="1" applyBorder="1"/>
    <xf numFmtId="164" fontId="13" fillId="0" borderId="30" xfId="0" applyNumberFormat="1" applyFont="1" applyBorder="1" applyAlignment="1">
      <alignment horizontal="center"/>
    </xf>
    <xf numFmtId="0" fontId="13" fillId="0" borderId="31" xfId="0" applyFont="1" applyBorder="1"/>
    <xf numFmtId="0" fontId="13" fillId="0" borderId="27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4" fillId="6" borderId="2" xfId="0" applyFont="1" applyFill="1" applyBorder="1" applyAlignment="1">
      <alignment horizontal="left" vertical="top"/>
    </xf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7" fillId="9" borderId="3" xfId="0" applyFont="1" applyFill="1" applyBorder="1" applyAlignment="1">
      <alignment vertical="center"/>
    </xf>
    <xf numFmtId="0" fontId="7" fillId="10" borderId="3" xfId="0" applyFont="1" applyFill="1" applyBorder="1" applyAlignment="1"/>
    <xf numFmtId="0" fontId="0" fillId="0" borderId="14" xfId="0" applyBorder="1"/>
    <xf numFmtId="164" fontId="26" fillId="13" borderId="5" xfId="1" applyNumberFormat="1" applyFont="1" applyFill="1" applyBorder="1" applyAlignment="1">
      <alignment horizontal="center"/>
    </xf>
    <xf numFmtId="0" fontId="27" fillId="0" borderId="15" xfId="0" applyFont="1" applyBorder="1"/>
    <xf numFmtId="164" fontId="29" fillId="14" borderId="5" xfId="1" applyNumberFormat="1" applyFont="1" applyFill="1" applyBorder="1" applyAlignment="1">
      <alignment horizontal="center"/>
    </xf>
    <xf numFmtId="0" fontId="0" fillId="0" borderId="15" xfId="0" applyBorder="1"/>
    <xf numFmtId="164" fontId="0" fillId="13" borderId="14" xfId="0" applyNumberFormat="1" applyFont="1" applyFill="1" applyBorder="1" applyAlignment="1">
      <alignment horizontal="center"/>
    </xf>
    <xf numFmtId="164" fontId="32" fillId="14" borderId="5" xfId="0" applyNumberFormat="1" applyFont="1" applyFill="1" applyBorder="1" applyAlignment="1">
      <alignment horizontal="center"/>
    </xf>
    <xf numFmtId="164" fontId="21" fillId="0" borderId="0" xfId="1" applyNumberFormat="1" applyFont="1" applyAlignment="1">
      <alignment horizontal="center"/>
    </xf>
    <xf numFmtId="0" fontId="34" fillId="15" borderId="2" xfId="0" applyFont="1" applyFill="1" applyBorder="1" applyAlignment="1">
      <alignment horizontal="left" vertical="top"/>
    </xf>
    <xf numFmtId="0" fontId="35" fillId="15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36" fillId="0" borderId="1" xfId="1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2" fillId="17" borderId="21" xfId="0" applyFont="1" applyFill="1" applyBorder="1" applyAlignment="1">
      <alignment vertical="center"/>
    </xf>
    <xf numFmtId="0" fontId="22" fillId="17" borderId="28" xfId="0" applyFont="1" applyFill="1" applyBorder="1" applyAlignment="1">
      <alignment vertical="center"/>
    </xf>
    <xf numFmtId="0" fontId="22" fillId="17" borderId="29" xfId="0" applyFont="1" applyFill="1" applyBorder="1" applyAlignment="1">
      <alignment vertical="center"/>
    </xf>
    <xf numFmtId="14" fontId="37" fillId="18" borderId="1" xfId="0" applyNumberFormat="1" applyFont="1" applyFill="1" applyBorder="1" applyAlignment="1">
      <alignment horizontal="center"/>
    </xf>
    <xf numFmtId="14" fontId="37" fillId="18" borderId="12" xfId="0" applyNumberFormat="1" applyFont="1" applyFill="1" applyBorder="1" applyAlignment="1">
      <alignment horizontal="center"/>
    </xf>
    <xf numFmtId="14" fontId="38" fillId="19" borderId="1" xfId="0" applyNumberFormat="1" applyFont="1" applyFill="1" applyBorder="1" applyAlignment="1">
      <alignment horizontal="center"/>
    </xf>
    <xf numFmtId="14" fontId="13" fillId="0" borderId="24" xfId="0" applyNumberFormat="1" applyFont="1" applyBorder="1" applyAlignment="1">
      <alignment wrapText="1"/>
    </xf>
    <xf numFmtId="14" fontId="13" fillId="0" borderId="25" xfId="0" applyNumberFormat="1" applyFont="1" applyBorder="1" applyAlignment="1">
      <alignment wrapText="1"/>
    </xf>
    <xf numFmtId="0" fontId="33" fillId="12" borderId="17" xfId="0" applyFont="1" applyFill="1" applyBorder="1" applyAlignment="1"/>
    <xf numFmtId="0" fontId="33" fillId="12" borderId="26" xfId="0" applyFont="1" applyFill="1" applyBorder="1" applyAlignment="1"/>
    <xf numFmtId="0" fontId="33" fillId="12" borderId="18" xfId="0" applyFont="1" applyFill="1" applyBorder="1" applyAlignment="1"/>
    <xf numFmtId="0" fontId="13" fillId="0" borderId="14" xfId="0" applyFont="1" applyBorder="1" applyAlignment="1">
      <alignment wrapText="1"/>
    </xf>
    <xf numFmtId="0" fontId="16" fillId="12" borderId="17" xfId="0" applyFont="1" applyFill="1" applyBorder="1" applyAlignment="1"/>
    <xf numFmtId="0" fontId="16" fillId="12" borderId="26" xfId="0" applyFont="1" applyFill="1" applyBorder="1" applyAlignment="1"/>
    <xf numFmtId="0" fontId="16" fillId="12" borderId="0" xfId="0" applyFont="1" applyFill="1" applyAlignment="1"/>
    <xf numFmtId="0" fontId="13" fillId="0" borderId="17" xfId="0" applyFont="1" applyBorder="1" applyAlignment="1"/>
    <xf numFmtId="0" fontId="13" fillId="0" borderId="18" xfId="0" applyFont="1" applyBorder="1" applyAlignment="1"/>
    <xf numFmtId="0" fontId="0" fillId="0" borderId="17" xfId="0" applyBorder="1" applyAlignment="1"/>
    <xf numFmtId="0" fontId="0" fillId="0" borderId="18" xfId="0" applyBorder="1" applyAlignment="1"/>
    <xf numFmtId="0" fontId="25" fillId="12" borderId="17" xfId="0" applyFont="1" applyFill="1" applyBorder="1" applyAlignment="1"/>
    <xf numFmtId="0" fontId="25" fillId="12" borderId="18" xfId="0" applyFont="1" applyFill="1" applyBorder="1" applyAlignment="1"/>
    <xf numFmtId="0" fontId="30" fillId="12" borderId="17" xfId="0" applyFont="1" applyFill="1" applyBorder="1" applyAlignment="1"/>
    <xf numFmtId="0" fontId="30" fillId="12" borderId="18" xfId="0" applyFont="1" applyFill="1" applyBorder="1" applyAlignment="1"/>
    <xf numFmtId="14" fontId="13" fillId="0" borderId="19" xfId="0" applyNumberFormat="1" applyFont="1" applyBorder="1" applyAlignment="1">
      <alignment wrapText="1"/>
    </xf>
    <xf numFmtId="164" fontId="15" fillId="12" borderId="32" xfId="0" applyNumberFormat="1" applyFont="1" applyFill="1" applyBorder="1" applyAlignment="1">
      <alignment vertical="center"/>
    </xf>
    <xf numFmtId="164" fontId="15" fillId="12" borderId="0" xfId="0" applyNumberFormat="1" applyFont="1" applyFill="1" applyBorder="1" applyAlignment="1">
      <alignment vertical="center"/>
    </xf>
    <xf numFmtId="0" fontId="16" fillId="12" borderId="0" xfId="0" applyFont="1" applyFill="1" applyBorder="1" applyAlignment="1"/>
    <xf numFmtId="0" fontId="15" fillId="12" borderId="0" xfId="0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3" fillId="0" borderId="33" xfId="0" applyFont="1" applyBorder="1"/>
    <xf numFmtId="0" fontId="13" fillId="0" borderId="2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39" fillId="0" borderId="11" xfId="0" applyFont="1" applyBorder="1"/>
    <xf numFmtId="164" fontId="19" fillId="0" borderId="12" xfId="1" applyNumberFormat="1" applyFont="1" applyBorder="1" applyAlignment="1">
      <alignment horizontal="center"/>
    </xf>
    <xf numFmtId="164" fontId="19" fillId="0" borderId="22" xfId="1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0" fontId="13" fillId="0" borderId="7" xfId="1" applyNumberFormat="1" applyFont="1" applyBorder="1" applyAlignment="1">
      <alignment horizontal="center"/>
    </xf>
    <xf numFmtId="10" fontId="13" fillId="0" borderId="8" xfId="1" applyNumberFormat="1" applyFont="1" applyBorder="1" applyAlignment="1">
      <alignment horizontal="center"/>
    </xf>
    <xf numFmtId="10" fontId="13" fillId="0" borderId="1" xfId="1" applyNumberFormat="1" applyFont="1" applyBorder="1" applyAlignment="1">
      <alignment horizontal="center"/>
    </xf>
    <xf numFmtId="10" fontId="13" fillId="0" borderId="10" xfId="1" applyNumberFormat="1" applyFont="1" applyBorder="1" applyAlignment="1">
      <alignment horizontal="center"/>
    </xf>
    <xf numFmtId="10" fontId="13" fillId="0" borderId="12" xfId="1" applyNumberFormat="1" applyFont="1" applyBorder="1" applyAlignment="1">
      <alignment horizontal="center"/>
    </xf>
    <xf numFmtId="10" fontId="13" fillId="0" borderId="13" xfId="1" applyNumberFormat="1" applyFont="1" applyBorder="1" applyAlignment="1">
      <alignment horizontal="center"/>
    </xf>
    <xf numFmtId="164" fontId="13" fillId="20" borderId="1" xfId="1" applyNumberFormat="1" applyFont="1" applyFill="1" applyBorder="1" applyAlignment="1">
      <alignment horizontal="center"/>
    </xf>
    <xf numFmtId="164" fontId="13" fillId="20" borderId="21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 vertical="center"/>
    </xf>
    <xf numFmtId="2" fontId="13" fillId="0" borderId="7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2" fontId="13" fillId="0" borderId="12" xfId="0" applyNumberFormat="1" applyFont="1" applyBorder="1" applyAlignment="1">
      <alignment horizontal="center"/>
    </xf>
    <xf numFmtId="2" fontId="13" fillId="0" borderId="13" xfId="0" applyNumberFormat="1" applyFont="1" applyBorder="1" applyAlignment="1">
      <alignment horizontal="center"/>
    </xf>
    <xf numFmtId="0" fontId="13" fillId="0" borderId="20" xfId="0" applyFont="1" applyBorder="1"/>
    <xf numFmtId="0" fontId="13" fillId="0" borderId="25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4BCC-F9EC-42E3-B6C3-687AFE6078ED}">
  <dimension ref="B1:V104"/>
  <sheetViews>
    <sheetView tabSelected="1" zoomScale="84" workbookViewId="0">
      <selection activeCell="C8" sqref="C8"/>
    </sheetView>
  </sheetViews>
  <sheetFormatPr defaultRowHeight="15.75" x14ac:dyDescent="0.25"/>
  <cols>
    <col min="1" max="1" width="9.140625" style="28"/>
    <col min="2" max="2" width="15.5703125" style="42" bestFit="1" customWidth="1"/>
    <col min="3" max="3" width="51.140625" style="28" bestFit="1" customWidth="1"/>
    <col min="4" max="4" width="40" style="28" bestFit="1" customWidth="1"/>
    <col min="5" max="5" width="27.7109375" style="38" customWidth="1"/>
    <col min="6" max="6" width="23.85546875" style="28" customWidth="1"/>
    <col min="7" max="7" width="39.140625" style="28" customWidth="1"/>
    <col min="8" max="8" width="31.140625" style="28" customWidth="1"/>
    <col min="9" max="9" width="0" style="28" hidden="1" customWidth="1"/>
    <col min="10" max="15" width="9.140625" style="28"/>
    <col min="16" max="16" width="10.7109375" style="28" bestFit="1" customWidth="1"/>
    <col min="17" max="17" width="10.85546875" style="28" bestFit="1" customWidth="1"/>
    <col min="18" max="18" width="13.85546875" style="28" bestFit="1" customWidth="1"/>
    <col min="19" max="19" width="9.140625" style="28"/>
    <col min="20" max="20" width="10.7109375" style="28" bestFit="1" customWidth="1"/>
    <col min="21" max="21" width="11.140625" style="28" bestFit="1" customWidth="1"/>
    <col min="22" max="16384" width="9.140625" style="28"/>
  </cols>
  <sheetData>
    <row r="1" spans="2:22" ht="19.5" thickBot="1" x14ac:dyDescent="0.35">
      <c r="C1" s="89" t="s">
        <v>214</v>
      </c>
      <c r="D1" s="90"/>
      <c r="E1" s="90"/>
      <c r="F1" s="49">
        <f>AVERAGE(F11:F80,F82:F87)</f>
        <v>3.7817117476382014E-2</v>
      </c>
      <c r="G1" s="49">
        <f>AVERAGE(G11:G80,F82:F87)</f>
        <v>7.4467745066084071E-2</v>
      </c>
      <c r="H1" s="101">
        <f>AVERAGE(H11:H87)</f>
        <v>-6.1948051948051983E-3</v>
      </c>
      <c r="N1" s="41"/>
    </row>
    <row r="2" spans="2:22" ht="19.5" thickBot="1" x14ac:dyDescent="0.35">
      <c r="C2" s="103" t="s">
        <v>216</v>
      </c>
      <c r="D2" s="103"/>
      <c r="E2" s="103"/>
      <c r="F2" s="104" cm="1">
        <f t="array" ref="F2">SUMPRODUCT(--(F11:F87&gt;H11:H87))</f>
        <v>52</v>
      </c>
      <c r="G2" s="104" cm="1">
        <f t="array" ref="G2">SUMPRODUCT(--(G11:G87&gt;H11:H87))</f>
        <v>58</v>
      </c>
      <c r="H2" s="102"/>
      <c r="N2" s="41"/>
      <c r="P2" s="57" t="s">
        <v>237</v>
      </c>
      <c r="Q2" s="57"/>
      <c r="R2" s="57"/>
      <c r="T2" s="43" t="s">
        <v>199</v>
      </c>
      <c r="U2" s="43"/>
      <c r="V2" s="43"/>
    </row>
    <row r="3" spans="2:22" ht="19.5" thickBot="1" x14ac:dyDescent="0.35">
      <c r="C3" s="91" t="s">
        <v>217</v>
      </c>
      <c r="D3" s="91"/>
      <c r="E3" s="91"/>
      <c r="G3" s="45" cm="1">
        <f t="array" ref="G3">SUMPRODUCT(--(G11:G87&gt;F11:F87))</f>
        <v>48</v>
      </c>
      <c r="H3" s="102"/>
      <c r="N3" s="41"/>
      <c r="P3" s="51" t="s">
        <v>238</v>
      </c>
      <c r="Q3" s="131" t="s">
        <v>235</v>
      </c>
      <c r="R3" s="132" t="s">
        <v>236</v>
      </c>
      <c r="T3" s="28" t="s">
        <v>238</v>
      </c>
      <c r="U3" s="28" t="s">
        <v>235</v>
      </c>
      <c r="V3" s="28" t="s">
        <v>236</v>
      </c>
    </row>
    <row r="4" spans="2:22" x14ac:dyDescent="0.25">
      <c r="P4" s="113" t="s">
        <v>14</v>
      </c>
      <c r="Q4" s="116">
        <f>AVERAGEIF(B11:B86,"A",F11:F86)</f>
        <v>5.9717178849467881E-2</v>
      </c>
      <c r="R4" s="117">
        <f>AVERAGEIF($B$11:$B$86,P4,$G$11:$G$86)</f>
        <v>8.6316975803738011E-2</v>
      </c>
      <c r="T4" s="113" t="s">
        <v>14</v>
      </c>
      <c r="U4" s="125">
        <f>AVERAGEIF($B$11:$B$86,T4, $J$11:$J$86)</f>
        <v>828.7</v>
      </c>
      <c r="V4" s="126">
        <f>AVERAGEIF($B$11:$B$86,T4, $K$11:$K$86)</f>
        <v>660.8</v>
      </c>
    </row>
    <row r="5" spans="2:22" x14ac:dyDescent="0.25">
      <c r="P5" s="114" t="s">
        <v>11</v>
      </c>
      <c r="Q5" s="118">
        <f>AVERAGEIF(B11:B86,"B",F11:F86)</f>
        <v>6.0482101182644868E-2</v>
      </c>
      <c r="R5" s="119">
        <f>AVERAGEIF($B$11:$B$86,P5,$G$11:$G$86)</f>
        <v>0.14657076049793144</v>
      </c>
      <c r="T5" s="114" t="s">
        <v>11</v>
      </c>
      <c r="U5" s="127">
        <f t="shared" ref="U5:U6" si="0">AVERAGEIF($B$11:$B$86,T5, $J$11:$J$86)</f>
        <v>198.1904761904762</v>
      </c>
      <c r="V5" s="128">
        <f>AVERAGEIF($B$11:$B$86,T5, $K$11:$K$86)</f>
        <v>279.85714285714283</v>
      </c>
    </row>
    <row r="6" spans="2:22" ht="16.5" thickBot="1" x14ac:dyDescent="0.3">
      <c r="P6" s="115" t="s">
        <v>21</v>
      </c>
      <c r="Q6" s="120">
        <f>AVERAGEIF(B11:B86,"C",F11:F86)</f>
        <v>1.3725814586517211E-2</v>
      </c>
      <c r="R6" s="121">
        <f>AVERAGEIF($B$11:$B$86,P6,$G$11:$G$86)</f>
        <v>-6.8097032377578519E-3</v>
      </c>
      <c r="T6" s="115" t="s">
        <v>21</v>
      </c>
      <c r="U6" s="129">
        <f t="shared" si="0"/>
        <v>50.466666666666669</v>
      </c>
      <c r="V6" s="130">
        <f>AVERAGEIF($B$11:$B$86,T6, $K$11:$K$86)</f>
        <v>60.133333333333333</v>
      </c>
    </row>
    <row r="7" spans="2:22" ht="16.5" thickBot="1" x14ac:dyDescent="0.3"/>
    <row r="8" spans="2:22" ht="21.75" thickBot="1" x14ac:dyDescent="0.4">
      <c r="F8" s="85" t="s">
        <v>234</v>
      </c>
      <c r="G8" s="86"/>
      <c r="H8" s="87"/>
    </row>
    <row r="9" spans="2:22" ht="16.5" customHeight="1" thickBot="1" x14ac:dyDescent="0.3">
      <c r="F9" s="83" t="s">
        <v>222</v>
      </c>
      <c r="G9" s="84"/>
      <c r="H9" s="88" t="s">
        <v>221</v>
      </c>
    </row>
    <row r="10" spans="2:22" ht="15.75" customHeight="1" x14ac:dyDescent="0.25">
      <c r="B10" s="108" t="s">
        <v>6</v>
      </c>
      <c r="C10" s="107" t="s">
        <v>209</v>
      </c>
      <c r="D10" s="32" t="s">
        <v>2</v>
      </c>
      <c r="E10" s="39" t="s">
        <v>210</v>
      </c>
      <c r="F10" s="47" t="s">
        <v>211</v>
      </c>
      <c r="G10" s="46" t="s">
        <v>212</v>
      </c>
      <c r="H10" s="88"/>
      <c r="I10" s="28" t="s">
        <v>215</v>
      </c>
      <c r="J10" s="28" t="s">
        <v>211</v>
      </c>
      <c r="K10" s="28" t="s">
        <v>212</v>
      </c>
    </row>
    <row r="11" spans="2:22" ht="16.5" customHeight="1" x14ac:dyDescent="0.25">
      <c r="B11" s="105" t="str">
        <f>_xlfn.XLOOKUP(C11,'2024 Store Reset Data'!B:B,'2024 Store Reset Data'!H:H,"")</f>
        <v>A</v>
      </c>
      <c r="C11" s="33" t="str">
        <f>'2024 Store Reset Data'!B30</f>
        <v>BOMBOLOM LIQUORS</v>
      </c>
      <c r="D11" s="30" t="str">
        <f>_xlfn.XLOOKUP(C11,'2024 Store Reset Data'!B:B,'2024 Store Reset Data'!E:E,"")</f>
        <v>192 E 16TH ST, PATERSON</v>
      </c>
      <c r="E11" s="40">
        <f>_xlfn.XLOOKUP(C11,'2024 Store Reset Data'!B:B, '2024 Store Reset Data'!I:I, "")</f>
        <v>45400</v>
      </c>
      <c r="F11" s="31">
        <f>_xlfn.XLOOKUP(C11,'2024 Store Reset Data'!B:B,'2024 Store Reset Data'!M:M,"")</f>
        <v>0.35009017132551851</v>
      </c>
      <c r="G11" s="48">
        <f>_xlfn.XLOOKUP(C11,'2024 Store Reset Data'!B:B,'2024 Store Reset Data'!R:R,"")</f>
        <v>0.33800000000000002</v>
      </c>
      <c r="H11" s="34">
        <v>-1.2E-2</v>
      </c>
      <c r="I11" s="29"/>
      <c r="J11" s="28">
        <f>_xlfn.XLOOKUP(C11,'2024 Store Reset Data'!$B$3:$B$80,'2024 Store Reset Data'!$L$3:$L$80,"")</f>
        <v>3106</v>
      </c>
      <c r="K11" s="28">
        <f>_xlfn.XLOOKUP(C11,'2024 Store Reset Data'!$B$3:$B$80,'2024 Store Reset Data'!$Q$3:$Q$80,"")</f>
        <v>2028</v>
      </c>
    </row>
    <row r="12" spans="2:22" x14ac:dyDescent="0.25">
      <c r="B12" s="105" t="str">
        <f>_xlfn.XLOOKUP(C12,'2024 Store Reset Data'!B:B,'2024 Store Reset Data'!H:H,"")</f>
        <v>A</v>
      </c>
      <c r="C12" s="33" t="str">
        <f>'2024 Store Reset Data'!B29</f>
        <v>FARMBOY SUPER FRESH LIQUOR</v>
      </c>
      <c r="D12" s="30" t="str">
        <f>_xlfn.XLOOKUP(C12,'2024 Store Reset Data'!B:B,'2024 Store Reset Data'!E:E,"")</f>
        <v>465 GETTY AVE, PATERSON</v>
      </c>
      <c r="E12" s="40">
        <f>_xlfn.XLOOKUP(C12,'2024 Store Reset Data'!B:B, '2024 Store Reset Data'!I:I, "")</f>
        <v>45399</v>
      </c>
      <c r="F12" s="31">
        <f>_xlfn.XLOOKUP(C12,'2024 Store Reset Data'!B:B,'2024 Store Reset Data'!M:M,"")</f>
        <v>0.34612839179351423</v>
      </c>
      <c r="G12" s="48">
        <f>_xlfn.XLOOKUP(C12,'2024 Store Reset Data'!B:B,'2024 Store Reset Data'!R:R,"")</f>
        <v>0.35066185318892901</v>
      </c>
      <c r="H12" s="34">
        <v>-1.4E-2</v>
      </c>
      <c r="I12" s="29"/>
      <c r="J12" s="28">
        <f>_xlfn.XLOOKUP(C12,'2024 Store Reset Data'!$B$3:$B$80,'2024 Store Reset Data'!$L$3:$L$80,"")</f>
        <v>4184</v>
      </c>
      <c r="K12" s="28">
        <f>_xlfn.XLOOKUP(C12,'2024 Store Reset Data'!$B$3:$B$80,'2024 Store Reset Data'!$Q$3:$Q$80,"")</f>
        <v>2914</v>
      </c>
    </row>
    <row r="13" spans="2:22" x14ac:dyDescent="0.25">
      <c r="B13" s="105" t="str">
        <f>_xlfn.XLOOKUP(C13,'2024 Store Reset Data'!B:B,'2024 Store Reset Data'!H:H,"")</f>
        <v>A</v>
      </c>
      <c r="C13" s="33" t="str">
        <f>'2024 Store Reset Data'!B48</f>
        <v>C TOWN LIQUOR</v>
      </c>
      <c r="D13" s="30" t="str">
        <f>_xlfn.XLOOKUP(C13,'2024 Store Reset Data'!B:B,'2024 Store Reset Data'!E:E,"")</f>
        <v>444 20TH AVE, PATERSON</v>
      </c>
      <c r="E13" s="40">
        <f>_xlfn.XLOOKUP(C13,'2024 Store Reset Data'!B:B, '2024 Store Reset Data'!I:I, "")</f>
        <v>45425</v>
      </c>
      <c r="F13" s="31">
        <f>_xlfn.XLOOKUP(C13,'2024 Store Reset Data'!B:B,'2024 Store Reset Data'!M:M,"")</f>
        <v>0.30773067331670823</v>
      </c>
      <c r="G13" s="48">
        <f>_xlfn.XLOOKUP(C13,'2024 Store Reset Data'!B:B,'2024 Store Reset Data'!R:R,"")</f>
        <v>0.38671254632080465</v>
      </c>
      <c r="H13" s="34">
        <v>2E-3</v>
      </c>
      <c r="I13" s="29"/>
      <c r="J13" s="28">
        <f>_xlfn.XLOOKUP(C13,'2024 Store Reset Data'!$B$3:$B$80,'2024 Store Reset Data'!$L$3:$L$80,"")</f>
        <v>1851</v>
      </c>
      <c r="K13" s="28">
        <f>_xlfn.XLOOKUP(C13,'2024 Store Reset Data'!$B$3:$B$80,'2024 Store Reset Data'!$Q$3:$Q$80,"")</f>
        <v>1461</v>
      </c>
    </row>
    <row r="14" spans="2:22" x14ac:dyDescent="0.25">
      <c r="B14" s="105" t="str">
        <f>_xlfn.XLOOKUP(C14,'2024 Store Reset Data'!B:B,'2024 Store Reset Data'!H:H,"")</f>
        <v>B</v>
      </c>
      <c r="C14" s="35" t="str">
        <f>'2024 Store Reset Data'!B77</f>
        <v>GARYS</v>
      </c>
      <c r="D14" s="30" t="str">
        <f>_xlfn.XLOOKUP(C14,'2024 Store Reset Data'!B:B,'2024 Store Reset Data'!E:E,"")</f>
        <v>67 VER VALEN ST, CLOSTER</v>
      </c>
      <c r="E14" s="80">
        <f>_xlfn.XLOOKUP(C14,'2024 Store Reset Data'!B:B, '2024 Store Reset Data'!I:I, "")</f>
        <v>45603</v>
      </c>
      <c r="F14" s="31">
        <f>_xlfn.XLOOKUP(C14,'2024 Store Reset Data'!B:B,'2024 Store Reset Data'!M:M,"")</f>
        <v>0.28763040238450077</v>
      </c>
      <c r="G14" s="48">
        <f>_xlfn.XLOOKUP(C14,'2024 Store Reset Data'!B:B,'2024 Store Reset Data'!R:R,"")</f>
        <v>0.38783269961977185</v>
      </c>
      <c r="H14" s="34">
        <v>-2.1000000000000001E-2</v>
      </c>
      <c r="I14" s="29"/>
      <c r="J14" s="28">
        <f>_xlfn.XLOOKUP(C14,'2024 Store Reset Data'!$B$3:$B$80,'2024 Store Reset Data'!$L$3:$L$80,"")</f>
        <v>386</v>
      </c>
      <c r="K14" s="28">
        <f>_xlfn.XLOOKUP(C14,'2024 Store Reset Data'!$B$3:$B$80,'2024 Store Reset Data'!$Q$3:$Q$80,"")</f>
        <v>102</v>
      </c>
    </row>
    <row r="15" spans="2:22" x14ac:dyDescent="0.25">
      <c r="B15" s="105" t="str">
        <f>_xlfn.XLOOKUP(C15,'2024 Store Reset Data'!B:B,'2024 Store Reset Data'!H:H,"")</f>
        <v>A</v>
      </c>
      <c r="C15" s="33" t="str">
        <f>'2024 Store Reset Data'!B15</f>
        <v>GARDEN LIQUORS &amp; WINES</v>
      </c>
      <c r="D15" s="30" t="str">
        <f>_xlfn.XLOOKUP(C15,'2024 Store Reset Data'!B:B,'2024 Store Reset Data'!E:E,"")</f>
        <v>300 HARRISON AVE, LODI</v>
      </c>
      <c r="E15" s="40">
        <f>_xlfn.XLOOKUP(C15,'2024 Store Reset Data'!B:B, '2024 Store Reset Data'!I:I, "")</f>
        <v>45384</v>
      </c>
      <c r="F15" s="31">
        <f>_xlfn.XLOOKUP(C15,'2024 Store Reset Data'!B:B,'2024 Store Reset Data'!M:M,"")</f>
        <v>0.24650275540483255</v>
      </c>
      <c r="G15" s="48">
        <f>_xlfn.XLOOKUP(C15,'2024 Store Reset Data'!B:B,'2024 Store Reset Data'!R:R,"")</f>
        <v>0.35511864406779658</v>
      </c>
      <c r="H15" s="34">
        <v>-7.0000000000000001E-3</v>
      </c>
      <c r="I15" s="29"/>
      <c r="J15" s="28">
        <f>_xlfn.XLOOKUP(C15,'2024 Store Reset Data'!$B$3:$B$80,'2024 Store Reset Data'!$L$3:$L$80,"")</f>
        <v>3489</v>
      </c>
      <c r="K15" s="28">
        <f>_xlfn.XLOOKUP(C15,'2024 Store Reset Data'!$B$3:$B$80,'2024 Store Reset Data'!$Q$3:$Q$80,"")</f>
        <v>2619</v>
      </c>
    </row>
    <row r="16" spans="2:22" x14ac:dyDescent="0.25">
      <c r="B16" s="105" t="str">
        <f>_xlfn.XLOOKUP(C16,'2024 Store Reset Data'!B:B,'2024 Store Reset Data'!H:H,"")</f>
        <v>A</v>
      </c>
      <c r="C16" s="33" t="str">
        <f>'2024 Store Reset Data'!B72</f>
        <v>BUY RITE LIQUOR LODI</v>
      </c>
      <c r="D16" s="30" t="str">
        <f>_xlfn.XLOOKUP(C16,'2024 Store Reset Data'!B:B,'2024 Store Reset Data'!E:E,"")</f>
        <v>449 MAIN ST, LODI</v>
      </c>
      <c r="E16" s="80">
        <f>_xlfn.XLOOKUP(C16,'2024 Store Reset Data'!B:B, '2024 Store Reset Data'!I:I, "")</f>
        <v>45580</v>
      </c>
      <c r="F16" s="31">
        <f>_xlfn.XLOOKUP(C16,'2024 Store Reset Data'!B:B,'2024 Store Reset Data'!M:M,"")</f>
        <v>0.23645546372819101</v>
      </c>
      <c r="G16" s="48">
        <f>_xlfn.XLOOKUP(C16,'2024 Store Reset Data'!B:B,'2024 Store Reset Data'!R:R,"")</f>
        <v>0.33980582524271846</v>
      </c>
      <c r="H16" s="34">
        <v>2.9000000000000001E-2</v>
      </c>
      <c r="I16" s="29"/>
      <c r="J16" s="28">
        <f>_xlfn.XLOOKUP(C16,'2024 Store Reset Data'!$B$3:$B$80,'2024 Store Reset Data'!$L$3:$L$80,"")</f>
        <v>515</v>
      </c>
      <c r="K16" s="28">
        <f>_xlfn.XLOOKUP(C16,'2024 Store Reset Data'!$B$3:$B$80,'2024 Store Reset Data'!$Q$3:$Q$80,"")</f>
        <v>280</v>
      </c>
    </row>
    <row r="17" spans="2:11" x14ac:dyDescent="0.25">
      <c r="B17" s="105" t="str">
        <f>_xlfn.XLOOKUP(C17,'2024 Store Reset Data'!B:B,'2024 Store Reset Data'!H:H,"")</f>
        <v>B</v>
      </c>
      <c r="C17" s="33" t="str">
        <f>'2024 Store Reset Data'!B53</f>
        <v>CAPRI LIQUOR &amp; DELI</v>
      </c>
      <c r="D17" s="30" t="str">
        <f>_xlfn.XLOOKUP(C17,'2024 Store Reset Data'!B:B,'2024 Store Reset Data'!E:E,"")</f>
        <v>226 PATERSON AVE, EAST RUTHERFORD</v>
      </c>
      <c r="E17" s="40">
        <f>_xlfn.XLOOKUP(C17,'2024 Store Reset Data'!B:B, '2024 Store Reset Data'!I:I, "")</f>
        <v>45432</v>
      </c>
      <c r="F17" s="31">
        <f>_xlfn.XLOOKUP(C17,'2024 Store Reset Data'!B:B,'2024 Store Reset Data'!M:M,"")</f>
        <v>0.23110493949613173</v>
      </c>
      <c r="G17" s="48">
        <f>_xlfn.XLOOKUP(C17,'2024 Store Reset Data'!B:B,'2024 Store Reset Data'!R:R,"")</f>
        <v>0.20951650038372985</v>
      </c>
      <c r="H17" s="34">
        <v>0.01</v>
      </c>
      <c r="I17" s="29"/>
      <c r="J17" s="28">
        <f>_xlfn.XLOOKUP(C17,'2024 Store Reset Data'!$B$3:$B$80,'2024 Store Reset Data'!$L$3:$L$80,"")</f>
        <v>1165</v>
      </c>
      <c r="K17" s="28">
        <f>_xlfn.XLOOKUP(C17,'2024 Store Reset Data'!$B$3:$B$80,'2024 Store Reset Data'!$Q$3:$Q$80,"")</f>
        <v>546</v>
      </c>
    </row>
    <row r="18" spans="2:11" x14ac:dyDescent="0.25">
      <c r="B18" s="105" t="str">
        <f>_xlfn.XLOOKUP(C18,'2024 Store Reset Data'!B:B,'2024 Store Reset Data'!H:H,"")</f>
        <v>A</v>
      </c>
      <c r="C18" s="33" t="str">
        <f>'2024 Store Reset Data'!B75</f>
        <v>HIGH SPIRITS (Exquisite W &amp; L (A))</v>
      </c>
      <c r="D18" s="30" t="str">
        <f>_xlfn.XLOOKUP(C18,'2024 Store Reset Data'!B:B,'2024 Store Reset Data'!E:E,"")</f>
        <v>215 MAIN ST, RIDGEFIELD PARK</v>
      </c>
      <c r="E18" s="80">
        <f>_xlfn.XLOOKUP(C18,'2024 Store Reset Data'!B:B, '2024 Store Reset Data'!I:I, "")</f>
        <v>45593</v>
      </c>
      <c r="F18" s="31">
        <f>_xlfn.XLOOKUP(C18,'2024 Store Reset Data'!B:B,'2024 Store Reset Data'!M:M,"")</f>
        <v>0.22828427853553482</v>
      </c>
      <c r="G18" s="48">
        <f>_xlfn.XLOOKUP(C18,'2024 Store Reset Data'!B:B,'2024 Store Reset Data'!R:R,"")</f>
        <v>0.20533333333333334</v>
      </c>
      <c r="H18" s="34">
        <v>0.03</v>
      </c>
      <c r="I18" s="29"/>
      <c r="J18" s="28">
        <f>_xlfn.XLOOKUP(C18,'2024 Store Reset Data'!$B$3:$B$80,'2024 Store Reset Data'!$L$3:$L$80,"")</f>
        <v>636</v>
      </c>
      <c r="K18" s="28">
        <f>_xlfn.XLOOKUP(C18,'2024 Store Reset Data'!$B$3:$B$80,'2024 Store Reset Data'!$Q$3:$Q$80,"")</f>
        <v>231</v>
      </c>
    </row>
    <row r="19" spans="2:11" x14ac:dyDescent="0.25">
      <c r="B19" s="105" t="str">
        <f>_xlfn.XLOOKUP(C19,'2024 Store Reset Data'!B:B,'2024 Store Reset Data'!H:H,"")</f>
        <v>A</v>
      </c>
      <c r="C19" s="33" t="str">
        <f>'2024 Store Reset Data'!B37</f>
        <v>THE LIQUOR SHOP</v>
      </c>
      <c r="D19" s="30" t="str">
        <f>_xlfn.XLOOKUP(C19,'2024 Store Reset Data'!B:B,'2024 Store Reset Data'!E:E,"")</f>
        <v>498 E 30TH ST, PATERSON</v>
      </c>
      <c r="E19" s="40">
        <f>_xlfn.XLOOKUP(C19,'2024 Store Reset Data'!B:B, '2024 Store Reset Data'!I:I, "")</f>
        <v>45411</v>
      </c>
      <c r="F19" s="31">
        <f>_xlfn.XLOOKUP(C19,'2024 Store Reset Data'!B:B,'2024 Store Reset Data'!M:M,"")</f>
        <v>0.21611754631090277</v>
      </c>
      <c r="G19" s="48">
        <f>_xlfn.XLOOKUP(C19,'2024 Store Reset Data'!B:B,'2024 Store Reset Data'!R:R,"")</f>
        <v>0.2189326796153121</v>
      </c>
      <c r="H19" s="34">
        <v>1E-3</v>
      </c>
      <c r="I19" s="29"/>
      <c r="J19" s="28">
        <f>_xlfn.XLOOKUP(C19,'2024 Store Reset Data'!$B$3:$B$80,'2024 Store Reset Data'!$L$3:$L$80,"")</f>
        <v>4795</v>
      </c>
      <c r="K19" s="28">
        <f>_xlfn.XLOOKUP(C19,'2024 Store Reset Data'!$B$3:$B$80,'2024 Store Reset Data'!$Q$3:$Q$80,"")</f>
        <v>3483</v>
      </c>
    </row>
    <row r="20" spans="2:11" x14ac:dyDescent="0.25">
      <c r="B20" s="105" t="str">
        <f>_xlfn.XLOOKUP(C20,'2024 Store Reset Data'!B:B,'2024 Store Reset Data'!H:H,"")</f>
        <v>B</v>
      </c>
      <c r="C20" s="35" t="str">
        <f>'2024 Store Reset Data'!B78</f>
        <v>FINE WINE &amp; SPIRITS</v>
      </c>
      <c r="D20" s="30" t="str">
        <f>_xlfn.XLOOKUP(C20,'2024 Store Reset Data'!B:B,'2024 Store Reset Data'!E:E,"")</f>
        <v>14 RIVEREDGE RD, TENAFLY</v>
      </c>
      <c r="E20" s="80">
        <f>_xlfn.XLOOKUP(C20,'2024 Store Reset Data'!B:B, '2024 Store Reset Data'!I:I, "")</f>
        <v>45614</v>
      </c>
      <c r="F20" s="31">
        <f>_xlfn.XLOOKUP(C20,'2024 Store Reset Data'!B:B,'2024 Store Reset Data'!M:M,"")</f>
        <v>0.21076746849942726</v>
      </c>
      <c r="G20" s="48">
        <f>_xlfn.XLOOKUP(C20,'2024 Store Reset Data'!B:B,'2024 Store Reset Data'!R:R,"")</f>
        <v>0.67628205128205132</v>
      </c>
      <c r="H20" s="34">
        <v>-6.0000000000000001E-3</v>
      </c>
      <c r="I20" s="29"/>
      <c r="J20" s="28">
        <f>_xlfn.XLOOKUP(C20,'2024 Store Reset Data'!$B$3:$B$80,'2024 Store Reset Data'!$L$3:$L$80,"")</f>
        <v>184</v>
      </c>
      <c r="K20" s="28">
        <f>_xlfn.XLOOKUP(C20,'2024 Store Reset Data'!$B$3:$B$80,'2024 Store Reset Data'!$Q$3:$Q$80,"")</f>
        <v>211</v>
      </c>
    </row>
    <row r="21" spans="2:11" x14ac:dyDescent="0.25">
      <c r="B21" s="105" t="str">
        <f>_xlfn.XLOOKUP(C21,'2024 Store Reset Data'!B:B,'2024 Store Reset Data'!H:H,"")</f>
        <v>C</v>
      </c>
      <c r="C21" s="33" t="str">
        <f>'2024 Store Reset Data'!B71</f>
        <v>PETES LIQUORS</v>
      </c>
      <c r="D21" s="30" t="str">
        <f>_xlfn.XLOOKUP(C21,'2024 Store Reset Data'!B:B,'2024 Store Reset Data'!E:E,"")</f>
        <v>383 VALLEY RD, CLIFTON</v>
      </c>
      <c r="E21" s="80">
        <f>_xlfn.XLOOKUP(C21,'2024 Store Reset Data'!B:B, '2024 Store Reset Data'!I:I, "")</f>
        <v>45574</v>
      </c>
      <c r="F21" s="31">
        <f>_xlfn.XLOOKUP(C21,'2024 Store Reset Data'!B:B,'2024 Store Reset Data'!M:M,"")</f>
        <v>0.19595645412130638</v>
      </c>
      <c r="G21" s="48">
        <f>_xlfn.XLOOKUP(C21,'2024 Store Reset Data'!B:B,'2024 Store Reset Data'!R:R,"")</f>
        <v>0.24183006535947713</v>
      </c>
      <c r="H21" s="34">
        <v>-0.01</v>
      </c>
      <c r="I21" s="29"/>
      <c r="J21" s="28">
        <f>_xlfn.XLOOKUP(C21,'2024 Store Reset Data'!$B$3:$B$80,'2024 Store Reset Data'!$L$3:$L$80,"")</f>
        <v>252</v>
      </c>
      <c r="K21" s="28">
        <f>_xlfn.XLOOKUP(C21,'2024 Store Reset Data'!$B$3:$B$80,'2024 Store Reset Data'!$Q$3:$Q$80,"")</f>
        <v>111</v>
      </c>
    </row>
    <row r="22" spans="2:11" x14ac:dyDescent="0.25">
      <c r="B22" s="105" t="str">
        <f>_xlfn.XLOOKUP(C22,'2024 Store Reset Data'!B:B,'2024 Store Reset Data'!H:H,"")</f>
        <v>A</v>
      </c>
      <c r="C22" s="33" t="str">
        <f>'2024 Store Reset Data'!B60</f>
        <v>SUPER FRESH LIQUORS (Food Universe Marketplace)</v>
      </c>
      <c r="D22" s="30" t="str">
        <f>_xlfn.XLOOKUP(C22,'2024 Store Reset Data'!B:B,'2024 Store Reset Data'!E:E,"")</f>
        <v>937 LINCOLN AVE, GLEN ROCK</v>
      </c>
      <c r="E22" s="40">
        <f>_xlfn.XLOOKUP(C22,'2024 Store Reset Data'!B:B, '2024 Store Reset Data'!I:I, "")</f>
        <v>45456</v>
      </c>
      <c r="F22" s="31">
        <f>_xlfn.XLOOKUP(C22,'2024 Store Reset Data'!B:B,'2024 Store Reset Data'!M:M,"")</f>
        <v>0.18659508703432567</v>
      </c>
      <c r="G22" s="48">
        <f>_xlfn.XLOOKUP(C22,'2024 Store Reset Data'!B:B,'2024 Store Reset Data'!R:R,"")</f>
        <v>0.30936947554507954</v>
      </c>
      <c r="H22" s="34">
        <v>-7.0000000000000001E-3</v>
      </c>
      <c r="I22" s="29"/>
      <c r="J22" s="28">
        <f>_xlfn.XLOOKUP(C22,'2024 Store Reset Data'!$B$3:$B$80,'2024 Store Reset Data'!$L$3:$L$80,"")</f>
        <v>1147</v>
      </c>
      <c r="K22" s="28">
        <f>_xlfn.XLOOKUP(C22,'2024 Store Reset Data'!$B$3:$B$80,'2024 Store Reset Data'!$Q$3:$Q$80,"")</f>
        <v>525</v>
      </c>
    </row>
    <row r="23" spans="2:11" x14ac:dyDescent="0.25">
      <c r="B23" s="105" t="str">
        <f>_xlfn.XLOOKUP(C23,'2024 Store Reset Data'!B:B,'2024 Store Reset Data'!H:H,"")</f>
        <v>A</v>
      </c>
      <c r="C23" s="33" t="str">
        <f>'2024 Store Reset Data'!B43</f>
        <v>C &amp; S LUCKY LIQUORS</v>
      </c>
      <c r="D23" s="30" t="str">
        <f>_xlfn.XLOOKUP(C23,'2024 Store Reset Data'!B:B,'2024 Store Reset Data'!E:E,"")</f>
        <v>299 GRAND ST, PATERSON</v>
      </c>
      <c r="E23" s="40">
        <f>_xlfn.XLOOKUP(C23,'2024 Store Reset Data'!B:B, '2024 Store Reset Data'!I:I, "")</f>
        <v>45418</v>
      </c>
      <c r="F23" s="31">
        <f>_xlfn.XLOOKUP(C23,'2024 Store Reset Data'!B:B,'2024 Store Reset Data'!M:M,"")</f>
        <v>0.17440067292864153</v>
      </c>
      <c r="G23" s="48">
        <f>_xlfn.XLOOKUP(C23,'2024 Store Reset Data'!B:B,'2024 Store Reset Data'!R:R,"")</f>
        <v>0.23053501522401043</v>
      </c>
      <c r="H23" s="34">
        <v>-1E-3</v>
      </c>
      <c r="I23" s="29"/>
      <c r="J23" s="28">
        <f>_xlfn.XLOOKUP(C23,'2024 Store Reset Data'!$B$3:$B$80,'2024 Store Reset Data'!$L$3:$L$80,"")</f>
        <v>1244</v>
      </c>
      <c r="K23" s="28">
        <f>_xlfn.XLOOKUP(C23,'2024 Store Reset Data'!$B$3:$B$80,'2024 Store Reset Data'!$Q$3:$Q$80,"")</f>
        <v>1060</v>
      </c>
    </row>
    <row r="24" spans="2:11" x14ac:dyDescent="0.25">
      <c r="B24" s="105" t="str">
        <f>_xlfn.XLOOKUP(C24,'2024 Store Reset Data'!B:B,'2024 Store Reset Data'!H:H,"")</f>
        <v>B</v>
      </c>
      <c r="C24" s="33" t="str">
        <f>'2024 Store Reset Data'!B5</f>
        <v>TEANECK LIQUORS</v>
      </c>
      <c r="D24" s="30" t="str">
        <f>_xlfn.XLOOKUP(C24,'2024 Store Reset Data'!B:B,'2024 Store Reset Data'!E:E,"")</f>
        <v>1531 TEANECK RD, TEANECK</v>
      </c>
      <c r="E24" s="40">
        <f>_xlfn.XLOOKUP(C24,'2024 Store Reset Data'!B:B, '2024 Store Reset Data'!I:I, "")</f>
        <v>45327</v>
      </c>
      <c r="F24" s="31">
        <f>_xlfn.XLOOKUP(C24,'2024 Store Reset Data'!B:B,'2024 Store Reset Data'!M:M,"")</f>
        <v>0.16508223932397767</v>
      </c>
      <c r="G24" s="48">
        <f>_xlfn.XLOOKUP(C24,'2024 Store Reset Data'!B:B,'2024 Store Reset Data'!R:R,"")</f>
        <v>0.22796846011131724</v>
      </c>
      <c r="H24" s="34">
        <v>1E-3</v>
      </c>
      <c r="I24" s="29"/>
      <c r="J24" s="28">
        <f>_xlfn.XLOOKUP(C24,'2024 Store Reset Data'!$B$3:$B$80,'2024 Store Reset Data'!$L$3:$L$80,"")</f>
        <v>1094</v>
      </c>
      <c r="K24" s="28">
        <f>_xlfn.XLOOKUP(C24,'2024 Store Reset Data'!$B$3:$B$80,'2024 Store Reset Data'!$Q$3:$Q$80,"")</f>
        <v>983</v>
      </c>
    </row>
    <row r="25" spans="2:11" x14ac:dyDescent="0.25">
      <c r="B25" s="105" t="str">
        <f>_xlfn.XLOOKUP(C25,'2024 Store Reset Data'!B:B,'2024 Store Reset Data'!H:H,"")</f>
        <v>A</v>
      </c>
      <c r="C25" s="33" t="str">
        <f>'2024 Store Reset Data'!B57</f>
        <v>SHOPRITE LIQUORS (Englewood)</v>
      </c>
      <c r="D25" s="30" t="str">
        <f>_xlfn.XLOOKUP(C25,'2024 Store Reset Data'!B:B,'2024 Store Reset Data'!E:E,"")</f>
        <v>53 NATHANIEL PL, ENGLEWOOD</v>
      </c>
      <c r="E25" s="40">
        <f>_xlfn.XLOOKUP(C25,'2024 Store Reset Data'!B:B, '2024 Store Reset Data'!I:I, "")</f>
        <v>45447</v>
      </c>
      <c r="F25" s="31">
        <f>_xlfn.XLOOKUP(C25,'2024 Store Reset Data'!B:B,'2024 Store Reset Data'!M:M,"")</f>
        <v>0.15986025780026503</v>
      </c>
      <c r="G25" s="48">
        <f>_xlfn.XLOOKUP(C25,'2024 Store Reset Data'!B:B,'2024 Store Reset Data'!R:R,"")</f>
        <v>0.21834096201718461</v>
      </c>
      <c r="H25" s="34">
        <v>2E-3</v>
      </c>
      <c r="I25" s="29"/>
      <c r="J25" s="28">
        <f>_xlfn.XLOOKUP(C25,'2024 Store Reset Data'!$B$3:$B$80,'2024 Store Reset Data'!$L$3:$L$80,"")</f>
        <v>3981</v>
      </c>
      <c r="K25" s="28">
        <f>_xlfn.XLOOKUP(C25,'2024 Store Reset Data'!$B$3:$B$80,'2024 Store Reset Data'!$Q$3:$Q$80,"")</f>
        <v>2719</v>
      </c>
    </row>
    <row r="26" spans="2:11" x14ac:dyDescent="0.25">
      <c r="B26" s="105" t="str">
        <f>_xlfn.XLOOKUP(C26,'2024 Store Reset Data'!B:B,'2024 Store Reset Data'!H:H,"")</f>
        <v>C</v>
      </c>
      <c r="C26" s="35" t="str">
        <f>'2024 Store Reset Data'!B79</f>
        <v>PAY LESS LIQUOR &amp; DELI</v>
      </c>
      <c r="D26" s="30" t="str">
        <f>_xlfn.XLOOKUP(C26,'2024 Store Reset Data'!B:B,'2024 Store Reset Data'!E:E,"")</f>
        <v>251 ELM ST, ELMWOOD PARK</v>
      </c>
      <c r="E26" s="80">
        <f>_xlfn.XLOOKUP(C26,'2024 Store Reset Data'!B:B, '2024 Store Reset Data'!I:I, "")</f>
        <v>45616</v>
      </c>
      <c r="F26" s="31">
        <f>_xlfn.XLOOKUP(C26,'2024 Store Reset Data'!B:B,'2024 Store Reset Data'!M:M,"")</f>
        <v>0.15896487985212571</v>
      </c>
      <c r="G26" s="48">
        <f>_xlfn.XLOOKUP(C26,'2024 Store Reset Data'!B:B,'2024 Store Reset Data'!R:R,"")</f>
        <v>8.9361702127659579E-2</v>
      </c>
      <c r="H26" s="34">
        <v>-6.0000000000000001E-3</v>
      </c>
      <c r="I26" s="29"/>
      <c r="J26" s="28">
        <f>_xlfn.XLOOKUP(C26,'2024 Store Reset Data'!$B$3:$B$80,'2024 Store Reset Data'!$L$3:$L$80,"")</f>
        <v>86</v>
      </c>
      <c r="K26" s="28">
        <f>_xlfn.XLOOKUP(C26,'2024 Store Reset Data'!$B$3:$B$80,'2024 Store Reset Data'!$Q$3:$Q$80,"")</f>
        <v>21</v>
      </c>
    </row>
    <row r="27" spans="2:11" x14ac:dyDescent="0.25">
      <c r="B27" s="105" t="str">
        <f>_xlfn.XLOOKUP(C27,'2024 Store Reset Data'!B:B,'2024 Store Reset Data'!H:H,"")</f>
        <v>B</v>
      </c>
      <c r="C27" s="33" t="str">
        <f>'2024 Store Reset Data'!B31</f>
        <v>METRO LIQUORS</v>
      </c>
      <c r="D27" s="30" t="str">
        <f>_xlfn.XLOOKUP(C27,'2024 Store Reset Data'!B:B,'2024 Store Reset Data'!E:E,"")</f>
        <v>100 BROADWAY, ELMWOOD PARK</v>
      </c>
      <c r="E27" s="40">
        <f>_xlfn.XLOOKUP(C27,'2024 Store Reset Data'!B:B, '2024 Store Reset Data'!I:I, "")</f>
        <v>45400</v>
      </c>
      <c r="F27" s="31">
        <f>_xlfn.XLOOKUP(C27,'2024 Store Reset Data'!B:B,'2024 Store Reset Data'!M:M,"")</f>
        <v>0.14152441445017863</v>
      </c>
      <c r="G27" s="48">
        <f>_xlfn.XLOOKUP(C27,'2024 Store Reset Data'!B:B,'2024 Store Reset Data'!R:R,"")</f>
        <v>0.19727601617365398</v>
      </c>
      <c r="H27" s="34">
        <v>-1.2E-2</v>
      </c>
      <c r="I27" s="29"/>
      <c r="J27" s="28">
        <f>_xlfn.XLOOKUP(C27,'2024 Store Reset Data'!$B$3:$B$80,'2024 Store Reset Data'!$L$3:$L$80,"")</f>
        <v>1426</v>
      </c>
      <c r="K27" s="28">
        <f>_xlfn.XLOOKUP(C27,'2024 Store Reset Data'!$B$3:$B$80,'2024 Store Reset Data'!$Q$3:$Q$80,"")</f>
        <v>927</v>
      </c>
    </row>
    <row r="28" spans="2:11" x14ac:dyDescent="0.25">
      <c r="B28" s="105" t="str">
        <f>_xlfn.XLOOKUP(C28,'2024 Store Reset Data'!B:B,'2024 Store Reset Data'!H:H,"")</f>
        <v>B</v>
      </c>
      <c r="C28" s="33" t="str">
        <f>'2024 Store Reset Data'!B34</f>
        <v>METRO LIQUORS</v>
      </c>
      <c r="D28" s="30" t="str">
        <f>_xlfn.XLOOKUP(C28,'2024 Store Reset Data'!B:B,'2024 Store Reset Data'!E:E,"")</f>
        <v>100 BROADWAY, ELMWOOD PARK</v>
      </c>
      <c r="E28" s="40">
        <f>_xlfn.XLOOKUP(C28,'2024 Store Reset Data'!B:B, '2024 Store Reset Data'!I:I, "")</f>
        <v>45400</v>
      </c>
      <c r="F28" s="31">
        <f>_xlfn.XLOOKUP(C28,'2024 Store Reset Data'!B:B,'2024 Store Reset Data'!M:M,"")</f>
        <v>0.14152441445017863</v>
      </c>
      <c r="G28" s="48">
        <f>_xlfn.XLOOKUP(C28,'2024 Store Reset Data'!B:B,'2024 Store Reset Data'!R:R,"")</f>
        <v>0.19727601617365398</v>
      </c>
      <c r="H28" s="34">
        <v>-1.2E-2</v>
      </c>
      <c r="I28" s="29"/>
      <c r="J28" s="28">
        <f>_xlfn.XLOOKUP(C28,'2024 Store Reset Data'!$B$3:$B$80,'2024 Store Reset Data'!$L$3:$L$80,"")</f>
        <v>1426</v>
      </c>
      <c r="K28" s="28">
        <f>_xlfn.XLOOKUP(C28,'2024 Store Reset Data'!$B$3:$B$80,'2024 Store Reset Data'!$Q$3:$Q$80,"")</f>
        <v>927</v>
      </c>
    </row>
    <row r="29" spans="2:11" x14ac:dyDescent="0.25">
      <c r="B29" s="105" t="str">
        <f>_xlfn.XLOOKUP(C29,'2024 Store Reset Data'!B:B,'2024 Store Reset Data'!H:H,"")</f>
        <v>B</v>
      </c>
      <c r="C29" s="33" t="str">
        <f>'2024 Store Reset Data'!B67</f>
        <v>SANDYS WINE &amp; SPIRITS</v>
      </c>
      <c r="D29" s="30" t="str">
        <f>_xlfn.XLOOKUP(C29,'2024 Store Reset Data'!B:B,'2024 Store Reset Data'!E:E,"")</f>
        <v>98 US HWY 46, BUDD LAKE</v>
      </c>
      <c r="E29" s="40">
        <f>_xlfn.XLOOKUP(C29,'2024 Store Reset Data'!B:B, '2024 Store Reset Data'!I:I, "")</f>
        <v>45561</v>
      </c>
      <c r="F29" s="31">
        <f>_xlfn.XLOOKUP(C29,'2024 Store Reset Data'!B:B,'2024 Store Reset Data'!M:M,"")</f>
        <v>0.13711512209919613</v>
      </c>
      <c r="G29" s="48">
        <f>_xlfn.XLOOKUP(C29,'2024 Store Reset Data'!B:B,'2024 Store Reset Data'!R:R,"")</f>
        <v>0.45134730538922158</v>
      </c>
      <c r="H29" s="34">
        <v>-7.0000000000000001E-3</v>
      </c>
      <c r="I29" s="29"/>
      <c r="J29" s="28">
        <f>_xlfn.XLOOKUP(C29,'2024 Store Reset Data'!$B$3:$B$80,'2024 Store Reset Data'!$L$3:$L$80,"")</f>
        <v>904</v>
      </c>
      <c r="K29" s="28">
        <f>_xlfn.XLOOKUP(C29,'2024 Store Reset Data'!$B$3:$B$80,'2024 Store Reset Data'!$Q$3:$Q$80,"")</f>
        <v>603</v>
      </c>
    </row>
    <row r="30" spans="2:11" x14ac:dyDescent="0.25">
      <c r="B30" s="105" t="str">
        <f>_xlfn.XLOOKUP(C30,'2024 Store Reset Data'!B:B,'2024 Store Reset Data'!H:H,"")</f>
        <v>B</v>
      </c>
      <c r="C30" s="33" t="str">
        <f>'2024 Store Reset Data'!B14</f>
        <v>FOREST DAIRY LIQUOR STORE</v>
      </c>
      <c r="D30" s="30" t="str">
        <f>_xlfn.XLOOKUP(C30,'2024 Store Reset Data'!B:B,'2024 Store Reset Data'!E:E,"")</f>
        <v>10 SPRING DELL, RUTHERFORD</v>
      </c>
      <c r="E30" s="40">
        <f>_xlfn.XLOOKUP(C30,'2024 Store Reset Data'!B:B, '2024 Store Reset Data'!I:I, "")</f>
        <v>45383</v>
      </c>
      <c r="F30" s="31">
        <f>_xlfn.XLOOKUP(C30,'2024 Store Reset Data'!B:B,'2024 Store Reset Data'!M:M,"")</f>
        <v>0.12191103789126853</v>
      </c>
      <c r="G30" s="48">
        <f>_xlfn.XLOOKUP(C30,'2024 Store Reset Data'!B:B,'2024 Store Reset Data'!R:R,"")</f>
        <v>8.3892617449664433E-2</v>
      </c>
      <c r="H30" s="34">
        <v>-7.0000000000000001E-3</v>
      </c>
      <c r="I30" s="29"/>
      <c r="J30" s="28">
        <f>_xlfn.XLOOKUP(C30,'2024 Store Reset Data'!$B$3:$B$80,'2024 Store Reset Data'!$L$3:$L$80,"")</f>
        <v>222</v>
      </c>
      <c r="K30" s="28">
        <f>_xlfn.XLOOKUP(C30,'2024 Store Reset Data'!$B$3:$B$80,'2024 Store Reset Data'!$Q$3:$Q$80,"")</f>
        <v>50</v>
      </c>
    </row>
    <row r="31" spans="2:11" x14ac:dyDescent="0.25">
      <c r="B31" s="105" t="str">
        <f>_xlfn.XLOOKUP(C31,'2024 Store Reset Data'!B:B,'2024 Store Reset Data'!H:H,"")</f>
        <v>A</v>
      </c>
      <c r="C31" s="33" t="str">
        <f>'2024 Store Reset Data'!B16</f>
        <v>CLIFTON DISCOUNT LIQUORS</v>
      </c>
      <c r="D31" s="30" t="str">
        <f>_xlfn.XLOOKUP(C31,'2024 Store Reset Data'!B:B,'2024 Store Reset Data'!E:E,"")</f>
        <v>73 ACKERMAN AVE, CLIFTON</v>
      </c>
      <c r="E31" s="40">
        <f>_xlfn.XLOOKUP(C31,'2024 Store Reset Data'!B:B, '2024 Store Reset Data'!I:I, "")</f>
        <v>45385</v>
      </c>
      <c r="F31" s="31">
        <f>_xlfn.XLOOKUP(C31,'2024 Store Reset Data'!B:B,'2024 Store Reset Data'!M:M,"")</f>
        <v>0.11257161280722204</v>
      </c>
      <c r="G31" s="48">
        <f>_xlfn.XLOOKUP(C31,'2024 Store Reset Data'!B:B,'2024 Store Reset Data'!R:R,"")</f>
        <v>0.13479883865615927</v>
      </c>
      <c r="H31" s="34">
        <v>-7.0000000000000001E-3</v>
      </c>
      <c r="I31" s="29"/>
      <c r="J31" s="28">
        <f>_xlfn.XLOOKUP(C31,'2024 Store Reset Data'!$B$3:$B$80,'2024 Store Reset Data'!$L$3:$L$80,"")</f>
        <v>4539</v>
      </c>
      <c r="K31" s="28">
        <f>_xlfn.XLOOKUP(C31,'2024 Store Reset Data'!$B$3:$B$80,'2024 Store Reset Data'!$Q$3:$Q$80,"")</f>
        <v>3575</v>
      </c>
    </row>
    <row r="32" spans="2:11" x14ac:dyDescent="0.25">
      <c r="B32" s="105" t="str">
        <f>_xlfn.XLOOKUP(C32,'2024 Store Reset Data'!B:B,'2024 Store Reset Data'!H:H,"")</f>
        <v>A</v>
      </c>
      <c r="C32" s="33" t="str">
        <f>'2024 Store Reset Data'!B27</f>
        <v>HOME WINES &amp; LIQUORS</v>
      </c>
      <c r="D32" s="30" t="str">
        <f>_xlfn.XLOOKUP(C32,'2024 Store Reset Data'!B:B,'2024 Store Reset Data'!E:E,"")</f>
        <v>593 MAIN AVE, PASSAIC</v>
      </c>
      <c r="E32" s="40">
        <f>_xlfn.XLOOKUP(C32,'2024 Store Reset Data'!B:B, '2024 Store Reset Data'!I:I, "")</f>
        <v>45397</v>
      </c>
      <c r="F32" s="31">
        <f>_xlfn.XLOOKUP(C32,'2024 Store Reset Data'!B:B,'2024 Store Reset Data'!M:M,"")</f>
        <v>0.10922226944326392</v>
      </c>
      <c r="G32" s="48">
        <f>_xlfn.XLOOKUP(C32,'2024 Store Reset Data'!B:B,'2024 Store Reset Data'!R:R,"")</f>
        <v>0.15393481167304413</v>
      </c>
      <c r="H32" s="34">
        <v>-8.0000000000000002E-3</v>
      </c>
      <c r="I32" s="29"/>
      <c r="J32" s="28">
        <f>_xlfn.XLOOKUP(C32,'2024 Store Reset Data'!$B$3:$B$80,'2024 Store Reset Data'!$L$3:$L$80,"")</f>
        <v>3855</v>
      </c>
      <c r="K32" s="28">
        <f>_xlfn.XLOOKUP(C32,'2024 Store Reset Data'!$B$3:$B$80,'2024 Store Reset Data'!$Q$3:$Q$80,"")</f>
        <v>3339</v>
      </c>
    </row>
    <row r="33" spans="2:11" x14ac:dyDescent="0.25">
      <c r="B33" s="105" t="str">
        <f>_xlfn.XLOOKUP(C33,'2024 Store Reset Data'!B:B,'2024 Store Reset Data'!H:H,"")</f>
        <v>A</v>
      </c>
      <c r="C33" s="33" t="str">
        <f>'2024 Store Reset Data'!B58</f>
        <v>SHOPPERS VINEYARD</v>
      </c>
      <c r="D33" s="30" t="str">
        <f>_xlfn.XLOOKUP(C33,'2024 Store Reset Data'!B:B,'2024 Store Reset Data'!E:E,"")</f>
        <v>875 BLOOMFIELD AVE, CLIFTON</v>
      </c>
      <c r="E33" s="40">
        <f>_xlfn.XLOOKUP(C33,'2024 Store Reset Data'!B:B, '2024 Store Reset Data'!I:I, "")</f>
        <v>45448</v>
      </c>
      <c r="F33" s="31">
        <f>_xlfn.XLOOKUP(C33,'2024 Store Reset Data'!B:B,'2024 Store Reset Data'!M:M,"")</f>
        <v>0.10768722102826914</v>
      </c>
      <c r="G33" s="48">
        <f>_xlfn.XLOOKUP(C33,'2024 Store Reset Data'!B:B,'2024 Store Reset Data'!R:R,"")</f>
        <v>0.1088377565694862</v>
      </c>
      <c r="H33" s="34">
        <v>-6.0000000000000001E-3</v>
      </c>
      <c r="I33" s="29"/>
      <c r="J33" s="28">
        <f>_xlfn.XLOOKUP(C33,'2024 Store Reset Data'!$B$3:$B$80,'2024 Store Reset Data'!$L$3:$L$80,"")</f>
        <v>3257</v>
      </c>
      <c r="K33" s="28">
        <f>_xlfn.XLOOKUP(C33,'2024 Store Reset Data'!$B$3:$B$80,'2024 Store Reset Data'!$Q$3:$Q$80,"")</f>
        <v>1665</v>
      </c>
    </row>
    <row r="34" spans="2:11" x14ac:dyDescent="0.25">
      <c r="B34" s="105" t="str">
        <f>_xlfn.XLOOKUP(C34,'2024 Store Reset Data'!B:B,'2024 Store Reset Data'!H:H,"")</f>
        <v>A</v>
      </c>
      <c r="C34" s="33" t="str">
        <f>'2024 Store Reset Data'!B65</f>
        <v>REGALADO LIQUORS</v>
      </c>
      <c r="D34" s="30" t="str">
        <f>_xlfn.XLOOKUP(C34,'2024 Store Reset Data'!B:B,'2024 Store Reset Data'!E:E,"")</f>
        <v>168 MARKET ST, PASSAIC</v>
      </c>
      <c r="E34" s="40">
        <f>_xlfn.XLOOKUP(C34,'2024 Store Reset Data'!B:B, '2024 Store Reset Data'!I:I, "")</f>
        <v>45552</v>
      </c>
      <c r="F34" s="31">
        <f>_xlfn.XLOOKUP(C34,'2024 Store Reset Data'!B:B,'2024 Store Reset Data'!M:M,"")</f>
        <v>9.4362497474237222E-2</v>
      </c>
      <c r="G34" s="48">
        <f>_xlfn.XLOOKUP(C34,'2024 Store Reset Data'!B:B,'2024 Store Reset Data'!R:R,"")</f>
        <v>6.6152477009789379E-2</v>
      </c>
      <c r="H34" s="34">
        <v>2.3E-2</v>
      </c>
      <c r="I34" s="29"/>
      <c r="J34" s="28">
        <f>_xlfn.XLOOKUP(C34,'2024 Store Reset Data'!$B$3:$B$80,'2024 Store Reset Data'!$L$3:$L$80,"")</f>
        <v>467</v>
      </c>
      <c r="K34" s="28">
        <f>_xlfn.XLOOKUP(C34,'2024 Store Reset Data'!$B$3:$B$80,'2024 Store Reset Data'!$Q$3:$Q$80,"")</f>
        <v>223</v>
      </c>
    </row>
    <row r="35" spans="2:11" x14ac:dyDescent="0.25">
      <c r="B35" s="105" t="str">
        <f>_xlfn.XLOOKUP(C35,'2024 Store Reset Data'!B:B,'2024 Store Reset Data'!H:H,"")</f>
        <v>A</v>
      </c>
      <c r="C35" s="33" t="str">
        <f>'2024 Store Reset Data'!B19</f>
        <v>LIQUOR STOP</v>
      </c>
      <c r="D35" s="30" t="str">
        <f>_xlfn.XLOOKUP(C35,'2024 Store Reset Data'!B:B,'2024 Store Reset Data'!E:E,"")</f>
        <v>321 BROADWAY, PASSAIC</v>
      </c>
      <c r="E35" s="40">
        <f>_xlfn.XLOOKUP(C35,'2024 Store Reset Data'!B:B, '2024 Store Reset Data'!I:I, "")</f>
        <v>45387</v>
      </c>
      <c r="F35" s="31">
        <f>_xlfn.XLOOKUP(C35,'2024 Store Reset Data'!B:B,'2024 Store Reset Data'!M:M,"")</f>
        <v>8.7017813661412272E-2</v>
      </c>
      <c r="G35" s="48">
        <f>_xlfn.XLOOKUP(C35,'2024 Store Reset Data'!B:B,'2024 Store Reset Data'!R:R,"")</f>
        <v>4.5361209632256858E-2</v>
      </c>
      <c r="H35" s="34">
        <v>-7.0000000000000001E-3</v>
      </c>
      <c r="I35" s="29"/>
      <c r="J35" s="28">
        <f>_xlfn.XLOOKUP(C35,'2024 Store Reset Data'!$B$3:$B$80,'2024 Store Reset Data'!$L$3:$L$80,"")</f>
        <v>679</v>
      </c>
      <c r="K35" s="28">
        <f>_xlfn.XLOOKUP(C35,'2024 Store Reset Data'!$B$3:$B$80,'2024 Store Reset Data'!$Q$3:$Q$80,"")</f>
        <v>243</v>
      </c>
    </row>
    <row r="36" spans="2:11" x14ac:dyDescent="0.25">
      <c r="B36" s="105" t="str">
        <f>_xlfn.XLOOKUP(C36,'2024 Store Reset Data'!B:B,'2024 Store Reset Data'!H:H,"")</f>
        <v>B</v>
      </c>
      <c r="C36" s="33" t="str">
        <f>'2024 Store Reset Data'!B63</f>
        <v>RIDGEFIELD LIQUOR</v>
      </c>
      <c r="D36" s="30" t="str">
        <f>_xlfn.XLOOKUP(C36,'2024 Store Reset Data'!B:B,'2024 Store Reset Data'!E:E,"")</f>
        <v>520 SHALER BLVD, RIDGEFIELD</v>
      </c>
      <c r="E36" s="40">
        <f>_xlfn.XLOOKUP(C36,'2024 Store Reset Data'!B:B, '2024 Store Reset Data'!I:I, "")</f>
        <v>45531</v>
      </c>
      <c r="F36" s="31">
        <f>_xlfn.XLOOKUP(C36,'2024 Store Reset Data'!B:B,'2024 Store Reset Data'!M:M,"")</f>
        <v>8.1925243215565796E-2</v>
      </c>
      <c r="G36" s="48">
        <f>_xlfn.XLOOKUP(C36,'2024 Store Reset Data'!B:B,'2024 Store Reset Data'!R:R,"")</f>
        <v>0.15256588072122051</v>
      </c>
      <c r="H36" s="34">
        <v>-4.0000000000000001E-3</v>
      </c>
      <c r="I36" s="29"/>
      <c r="J36" s="28">
        <f>_xlfn.XLOOKUP(C36,'2024 Store Reset Data'!$B$3:$B$80,'2024 Store Reset Data'!$L$3:$L$80,"")</f>
        <v>160</v>
      </c>
      <c r="K36" s="28">
        <f>_xlfn.XLOOKUP(C36,'2024 Store Reset Data'!$B$3:$B$80,'2024 Store Reset Data'!$Q$3:$Q$80,"")</f>
        <v>110</v>
      </c>
    </row>
    <row r="37" spans="2:11" x14ac:dyDescent="0.25">
      <c r="B37" s="105" t="str">
        <f>_xlfn.XLOOKUP(C37,'2024 Store Reset Data'!B:B,'2024 Store Reset Data'!H:H,"")</f>
        <v>C</v>
      </c>
      <c r="C37" s="33" t="str">
        <f>'2024 Store Reset Data'!B33</f>
        <v>CARISMA LIQUORS</v>
      </c>
      <c r="D37" s="30" t="str">
        <f>_xlfn.XLOOKUP(C37,'2024 Store Reset Data'!B:B,'2024 Store Reset Data'!E:E,"")</f>
        <v>234 VREELAND AVE, PATERSON</v>
      </c>
      <c r="E37" s="40">
        <f>_xlfn.XLOOKUP(C37,'2024 Store Reset Data'!B:B, '2024 Store Reset Data'!I:I, "")</f>
        <v>45405</v>
      </c>
      <c r="F37" s="31">
        <f>_xlfn.XLOOKUP(C37,'2024 Store Reset Data'!B:B,'2024 Store Reset Data'!M:M,"")</f>
        <v>7.9859894921190888E-2</v>
      </c>
      <c r="G37" s="48">
        <f>_xlfn.XLOOKUP(C37,'2024 Store Reset Data'!B:B,'2024 Store Reset Data'!R:R,"")</f>
        <v>0.11138613861386139</v>
      </c>
      <c r="H37" s="34">
        <v>-4.0000000000000001E-3</v>
      </c>
      <c r="I37" s="29"/>
      <c r="J37" s="28">
        <f>_xlfn.XLOOKUP(C37,'2024 Store Reset Data'!$B$3:$B$80,'2024 Store Reset Data'!$L$3:$L$80,"")</f>
        <v>456</v>
      </c>
      <c r="K37" s="28">
        <f>_xlfn.XLOOKUP(C37,'2024 Store Reset Data'!$B$3:$B$80,'2024 Store Reset Data'!$Q$3:$Q$80,"")</f>
        <v>360</v>
      </c>
    </row>
    <row r="38" spans="2:11" x14ac:dyDescent="0.25">
      <c r="B38" s="105" t="str">
        <f>_xlfn.XLOOKUP(C38,'2024 Store Reset Data'!B:B,'2024 Store Reset Data'!H:H,"")</f>
        <v>A</v>
      </c>
      <c r="C38" s="33" t="str">
        <f>'2024 Store Reset Data'!B20</f>
        <v>SUNNYS LIQUORS</v>
      </c>
      <c r="D38" s="30" t="str">
        <f>_xlfn.XLOOKUP(C38,'2024 Store Reset Data'!B:B,'2024 Store Reset Data'!E:E,"")</f>
        <v>413 MONROE ST, PASSAIC</v>
      </c>
      <c r="E38" s="40">
        <f>_xlfn.XLOOKUP(C38,'2024 Store Reset Data'!B:B, '2024 Store Reset Data'!I:I, "")</f>
        <v>45390</v>
      </c>
      <c r="F38" s="31">
        <f>_xlfn.XLOOKUP(C38,'2024 Store Reset Data'!B:B,'2024 Store Reset Data'!M:M,"")</f>
        <v>7.791884490913617E-2</v>
      </c>
      <c r="G38" s="48">
        <f>_xlfn.XLOOKUP(C38,'2024 Store Reset Data'!B:B,'2024 Store Reset Data'!R:R,"")</f>
        <v>5.0653744171162113E-2</v>
      </c>
      <c r="H38" s="34">
        <v>-5.0000000000000001E-3</v>
      </c>
      <c r="I38" s="29"/>
      <c r="J38" s="28">
        <f>_xlfn.XLOOKUP(C38,'2024 Store Reset Data'!$B$3:$B$80,'2024 Store Reset Data'!$L$3:$L$80,"")</f>
        <v>1252</v>
      </c>
      <c r="K38" s="28">
        <f>_xlfn.XLOOKUP(C38,'2024 Store Reset Data'!$B$3:$B$80,'2024 Store Reset Data'!$Q$3:$Q$80,"")</f>
        <v>554</v>
      </c>
    </row>
    <row r="39" spans="2:11" x14ac:dyDescent="0.25">
      <c r="B39" s="105" t="str">
        <f>_xlfn.XLOOKUP(C39,'2024 Store Reset Data'!B:B,'2024 Store Reset Data'!H:H,"")</f>
        <v>A</v>
      </c>
      <c r="C39" s="33" t="str">
        <f>'2024 Store Reset Data'!B38</f>
        <v>SUPER WINE WAREHOUSE</v>
      </c>
      <c r="D39" s="30" t="str">
        <f>_xlfn.XLOOKUP(C39,'2024 Store Reset Data'!B:B,'2024 Store Reset Data'!E:E,"")</f>
        <v>42 E 30TH ST, PATERSON</v>
      </c>
      <c r="E39" s="40">
        <f>_xlfn.XLOOKUP(C39,'2024 Store Reset Data'!B:B, '2024 Store Reset Data'!I:I, "")</f>
        <v>45412</v>
      </c>
      <c r="F39" s="31">
        <f>_xlfn.XLOOKUP(C39,'2024 Store Reset Data'!B:B,'2024 Store Reset Data'!M:M,"")</f>
        <v>7.6166390511903728E-2</v>
      </c>
      <c r="G39" s="48">
        <f>_xlfn.XLOOKUP(C39,'2024 Store Reset Data'!B:B,'2024 Store Reset Data'!R:R,"")</f>
        <v>3.2811868254906229E-2</v>
      </c>
      <c r="H39" s="34">
        <v>-5.0000000000000001E-3</v>
      </c>
      <c r="I39" s="29"/>
      <c r="J39" s="28">
        <f>_xlfn.XLOOKUP(C39,'2024 Store Reset Data'!$B$3:$B$80,'2024 Store Reset Data'!$L$3:$L$80,"")</f>
        <v>4367</v>
      </c>
      <c r="K39" s="28">
        <f>_xlfn.XLOOKUP(C39,'2024 Store Reset Data'!$B$3:$B$80,'2024 Store Reset Data'!$Q$3:$Q$80,"")</f>
        <v>1055</v>
      </c>
    </row>
    <row r="40" spans="2:11" x14ac:dyDescent="0.25">
      <c r="B40" s="105" t="str">
        <f>_xlfn.XLOOKUP(C40,'2024 Store Reset Data'!B:B,'2024 Store Reset Data'!H:H,"")</f>
        <v>A</v>
      </c>
      <c r="C40" s="33" t="str">
        <f>'2024 Store Reset Data'!B25</f>
        <v>EDGEWATER WINE &amp; SPIRITS</v>
      </c>
      <c r="D40" s="30" t="str">
        <f>_xlfn.XLOOKUP(C40,'2024 Store Reset Data'!B:B,'2024 Store Reset Data'!E:E,"")</f>
        <v>547 RIVER RD, EDGEWATER</v>
      </c>
      <c r="E40" s="40">
        <f>_xlfn.XLOOKUP(C40,'2024 Store Reset Data'!B:B, '2024 Store Reset Data'!I:I, "")</f>
        <v>45393</v>
      </c>
      <c r="F40" s="31">
        <f>_xlfn.XLOOKUP(C40,'2024 Store Reset Data'!B:B,'2024 Store Reset Data'!M:M,"")</f>
        <v>7.4304834429445021E-2</v>
      </c>
      <c r="G40" s="48">
        <f>_xlfn.XLOOKUP(C40,'2024 Store Reset Data'!B:B,'2024 Store Reset Data'!R:R,"")</f>
        <v>0.20394207562349156</v>
      </c>
      <c r="H40" s="34">
        <v>-1.2999999999999999E-2</v>
      </c>
      <c r="I40" s="29"/>
      <c r="J40" s="28">
        <f>_xlfn.XLOOKUP(C40,'2024 Store Reset Data'!$B$3:$B$80,'2024 Store Reset Data'!$L$3:$L$80,"")</f>
        <v>644</v>
      </c>
      <c r="K40" s="28">
        <f>_xlfn.XLOOKUP(C40,'2024 Store Reset Data'!$B$3:$B$80,'2024 Store Reset Data'!$Q$3:$Q$80,"")</f>
        <v>507</v>
      </c>
    </row>
    <row r="41" spans="2:11" x14ac:dyDescent="0.25">
      <c r="B41" s="105" t="str">
        <f>_xlfn.XLOOKUP(C41,'2024 Store Reset Data'!B:B,'2024 Store Reset Data'!H:H,"")</f>
        <v>B</v>
      </c>
      <c r="C41" s="33" t="str">
        <f>'2024 Store Reset Data'!B42</f>
        <v>BELMONT LIQUORS</v>
      </c>
      <c r="D41" s="30" t="str">
        <f>_xlfn.XLOOKUP(C41,'2024 Store Reset Data'!B:B,'2024 Store Reset Data'!E:E,"")</f>
        <v>136 BELMONT AVE, PATERSON</v>
      </c>
      <c r="E41" s="40">
        <f>_xlfn.XLOOKUP(C41,'2024 Store Reset Data'!B:B, '2024 Store Reset Data'!I:I, "")</f>
        <v>45418</v>
      </c>
      <c r="F41" s="31">
        <f>_xlfn.XLOOKUP(C41,'2024 Store Reset Data'!B:B,'2024 Store Reset Data'!M:M,"")</f>
        <v>6.901615271659324E-2</v>
      </c>
      <c r="G41" s="48">
        <f>_xlfn.XLOOKUP(C41,'2024 Store Reset Data'!B:B,'2024 Store Reset Data'!R:R,"")</f>
        <v>8.88671875E-2</v>
      </c>
      <c r="H41" s="34">
        <v>-1E-3</v>
      </c>
      <c r="I41" s="29"/>
      <c r="J41" s="28">
        <f>_xlfn.XLOOKUP(C41,'2024 Store Reset Data'!$B$3:$B$80,'2024 Store Reset Data'!$L$3:$L$80,"")</f>
        <v>235</v>
      </c>
      <c r="K41" s="28">
        <f>_xlfn.XLOOKUP(C41,'2024 Store Reset Data'!$B$3:$B$80,'2024 Store Reset Data'!$Q$3:$Q$80,"")</f>
        <v>182</v>
      </c>
    </row>
    <row r="42" spans="2:11" x14ac:dyDescent="0.25">
      <c r="B42" s="105" t="str">
        <f>_xlfn.XLOOKUP(C42,'2024 Store Reset Data'!B:B,'2024 Store Reset Data'!H:H,"")</f>
        <v>C</v>
      </c>
      <c r="C42" s="33" t="str">
        <f>'2024 Store Reset Data'!B70</f>
        <v>ORADELL LIQUOR</v>
      </c>
      <c r="D42" s="30" t="str">
        <f>_xlfn.XLOOKUP(C42,'2024 Store Reset Data'!B:B,'2024 Store Reset Data'!E:E,"")</f>
        <v>219 KINDERKAMACK RD, ORADELL</v>
      </c>
      <c r="E42" s="80">
        <f>_xlfn.XLOOKUP(C42,'2024 Store Reset Data'!B:B, '2024 Store Reset Data'!I:I, "")</f>
        <v>45573</v>
      </c>
      <c r="F42" s="31">
        <f>_xlfn.XLOOKUP(C42,'2024 Store Reset Data'!B:B,'2024 Store Reset Data'!M:M,"")</f>
        <v>6.7723342939481262E-2</v>
      </c>
      <c r="G42" s="48">
        <f>_xlfn.XLOOKUP(C42,'2024 Store Reset Data'!B:B,'2024 Store Reset Data'!R:R,"")</f>
        <v>0.39732142857142855</v>
      </c>
      <c r="H42" s="34">
        <v>0.01</v>
      </c>
      <c r="I42" s="29"/>
      <c r="J42" s="28">
        <f>_xlfn.XLOOKUP(C42,'2024 Store Reset Data'!$B$3:$B$80,'2024 Store Reset Data'!$L$3:$L$80,"")</f>
        <v>47</v>
      </c>
      <c r="K42" s="28">
        <f>_xlfn.XLOOKUP(C42,'2024 Store Reset Data'!$B$3:$B$80,'2024 Store Reset Data'!$Q$3:$Q$80,"")</f>
        <v>89</v>
      </c>
    </row>
    <row r="43" spans="2:11" x14ac:dyDescent="0.25">
      <c r="B43" s="105" t="str">
        <f>_xlfn.XLOOKUP(C43,'2024 Store Reset Data'!B:B,'2024 Store Reset Data'!H:H,"")</f>
        <v>A</v>
      </c>
      <c r="C43" s="33" t="str">
        <f>'2024 Store Reset Data'!B26</f>
        <v>EL OASIS LIQUOR</v>
      </c>
      <c r="D43" s="30" t="str">
        <f>_xlfn.XLOOKUP(C43,'2024 Store Reset Data'!B:B,'2024 Store Reset Data'!E:E,"")</f>
        <v>450 UNION AVE, PATERSON</v>
      </c>
      <c r="E43" s="40">
        <f>_xlfn.XLOOKUP(C43,'2024 Store Reset Data'!B:B, '2024 Store Reset Data'!I:I, "")</f>
        <v>45393</v>
      </c>
      <c r="F43" s="31">
        <f>_xlfn.XLOOKUP(C43,'2024 Store Reset Data'!B:B,'2024 Store Reset Data'!M:M,"")</f>
        <v>6.5055248618784534E-2</v>
      </c>
      <c r="G43" s="48">
        <f>_xlfn.XLOOKUP(C43,'2024 Store Reset Data'!B:B,'2024 Store Reset Data'!R:R,"")</f>
        <v>0.10042735042735043</v>
      </c>
      <c r="H43" s="34">
        <v>-1.2999999999999999E-2</v>
      </c>
      <c r="I43" s="29"/>
      <c r="J43" s="28">
        <f>_xlfn.XLOOKUP(C43,'2024 Store Reset Data'!$B$3:$B$80,'2024 Store Reset Data'!$L$3:$L$80,"")</f>
        <v>942</v>
      </c>
      <c r="K43" s="28">
        <f>_xlfn.XLOOKUP(C43,'2024 Store Reset Data'!$B$3:$B$80,'2024 Store Reset Data'!$Q$3:$Q$80,"")</f>
        <v>987</v>
      </c>
    </row>
    <row r="44" spans="2:11" x14ac:dyDescent="0.25">
      <c r="B44" s="105" t="str">
        <f>_xlfn.XLOOKUP(C44,'2024 Store Reset Data'!B:B,'2024 Store Reset Data'!H:H,"")</f>
        <v>A</v>
      </c>
      <c r="C44" s="33" t="str">
        <f>'2024 Store Reset Data'!B4</f>
        <v>SHOPRITE LIQUORS (Wallington)</v>
      </c>
      <c r="D44" s="30" t="str">
        <f>_xlfn.XLOOKUP(C44,'2024 Store Reset Data'!B:B,'2024 Store Reset Data'!E:E,"")</f>
        <v>375 PATERSON AVE STE C, WALLINGTON</v>
      </c>
      <c r="E44" s="40">
        <f>_xlfn.XLOOKUP(C44,'2024 Store Reset Data'!B:B, '2024 Store Reset Data'!I:I, "")</f>
        <v>45323</v>
      </c>
      <c r="F44" s="31">
        <f>_xlfn.XLOOKUP(C44,'2024 Store Reset Data'!B:B,'2024 Store Reset Data'!M:M,"")</f>
        <v>6.4100992768721651E-2</v>
      </c>
      <c r="G44" s="48">
        <f>_xlfn.XLOOKUP(C44,'2024 Store Reset Data'!B:B,'2024 Store Reset Data'!R:R,"")</f>
        <v>8.4210526315789472E-2</v>
      </c>
      <c r="H44" s="34">
        <v>-2E-3</v>
      </c>
      <c r="I44" s="29"/>
      <c r="J44" s="28">
        <f>_xlfn.XLOOKUP(C44,'2024 Store Reset Data'!$B$3:$B$80,'2024 Store Reset Data'!$L$3:$L$80,"")</f>
        <v>1046</v>
      </c>
      <c r="K44" s="28">
        <f>_xlfn.XLOOKUP(C44,'2024 Store Reset Data'!$B$3:$B$80,'2024 Store Reset Data'!$Q$3:$Q$80,"")</f>
        <v>320</v>
      </c>
    </row>
    <row r="45" spans="2:11" x14ac:dyDescent="0.25">
      <c r="B45" s="105" t="str">
        <f>_xlfn.XLOOKUP(C45,'2024 Store Reset Data'!B:B,'2024 Store Reset Data'!H:H,"")</f>
        <v>C</v>
      </c>
      <c r="C45" s="33" t="str">
        <f>'2024 Store Reset Data'!B76</f>
        <v>LIQUOR MASTER</v>
      </c>
      <c r="D45" s="30" t="str">
        <f>_xlfn.XLOOKUP(C45,'2024 Store Reset Data'!B:B,'2024 Store Reset Data'!E:E,"")</f>
        <v>459 RTE 17 S, HASBROUCK HEIGHTS</v>
      </c>
      <c r="E45" s="80">
        <f>_xlfn.XLOOKUP(C45,'2024 Store Reset Data'!B:B, '2024 Store Reset Data'!I:I, "")</f>
        <v>45601</v>
      </c>
      <c r="F45" s="31">
        <f>_xlfn.XLOOKUP(C45,'2024 Store Reset Data'!B:B,'2024 Store Reset Data'!M:M,"")</f>
        <v>5.6666666666666664E-2</v>
      </c>
      <c r="G45" s="48">
        <f>_xlfn.XLOOKUP(C45,'2024 Store Reset Data'!B:B,'2024 Store Reset Data'!R:R,"")</f>
        <v>2.358490566037736E-2</v>
      </c>
      <c r="H45" s="34">
        <v>0.01</v>
      </c>
      <c r="I45" s="29"/>
      <c r="J45" s="28">
        <f>_xlfn.XLOOKUP(C45,'2024 Store Reset Data'!$B$3:$B$80,'2024 Store Reset Data'!$L$3:$L$80,"")</f>
        <v>34</v>
      </c>
      <c r="K45" s="28">
        <f>_xlfn.XLOOKUP(C45,'2024 Store Reset Data'!$B$3:$B$80,'2024 Store Reset Data'!$Q$3:$Q$80,"")</f>
        <v>5</v>
      </c>
    </row>
    <row r="46" spans="2:11" x14ac:dyDescent="0.25">
      <c r="B46" s="105" t="str">
        <f>_xlfn.XLOOKUP(C46,'2024 Store Reset Data'!B:B,'2024 Store Reset Data'!H:H,"")</f>
        <v>B</v>
      </c>
      <c r="C46" s="33" t="str">
        <f>'2024 Store Reset Data'!B54</f>
        <v>THE LIQUOR DEPOT (US#1 Wine &amp; Liquor)</v>
      </c>
      <c r="D46" s="30" t="str">
        <f>_xlfn.XLOOKUP(C46,'2024 Store Reset Data'!B:B,'2024 Store Reset Data'!E:E,"")</f>
        <v>534 VAN HOUTEN AVE, CLIFTON</v>
      </c>
      <c r="E46" s="40">
        <f>_xlfn.XLOOKUP(C46,'2024 Store Reset Data'!B:B, '2024 Store Reset Data'!I:I, "")</f>
        <v>45441</v>
      </c>
      <c r="F46" s="31">
        <f>_xlfn.XLOOKUP(C46,'2024 Store Reset Data'!B:B,'2024 Store Reset Data'!M:M,"")</f>
        <v>5.3393495017860497E-2</v>
      </c>
      <c r="G46" s="48">
        <f>_xlfn.XLOOKUP(C46,'2024 Store Reset Data'!B:B,'2024 Store Reset Data'!R:R,"")</f>
        <v>0.17152236356175626</v>
      </c>
      <c r="H46" s="34">
        <v>-3.0000000000000001E-3</v>
      </c>
      <c r="I46" s="29"/>
      <c r="J46" s="28">
        <f>_xlfn.XLOOKUP(C46,'2024 Store Reset Data'!$B$3:$B$80,'2024 Store Reset Data'!$L$3:$L$80,"")</f>
        <v>284</v>
      </c>
      <c r="K46" s="28">
        <f>_xlfn.XLOOKUP(C46,'2024 Store Reset Data'!$B$3:$B$80,'2024 Store Reset Data'!$Q$3:$Q$80,"")</f>
        <v>418</v>
      </c>
    </row>
    <row r="47" spans="2:11" x14ac:dyDescent="0.25">
      <c r="B47" s="105" t="str">
        <f>_xlfn.XLOOKUP(C47,'2024 Store Reset Data'!B:B,'2024 Store Reset Data'!H:H,"")</f>
        <v>A</v>
      </c>
      <c r="C47" s="33" t="str">
        <f>'2024 Store Reset Data'!B12</f>
        <v>ECONOMY LIQUORS</v>
      </c>
      <c r="D47" s="30" t="str">
        <f>_xlfn.XLOOKUP(C47,'2024 Store Reset Data'!B:B,'2024 Store Reset Data'!E:E,"")</f>
        <v>186 5TH AVE, PATERSON</v>
      </c>
      <c r="E47" s="40">
        <f>_xlfn.XLOOKUP(C47,'2024 Store Reset Data'!B:B, '2024 Store Reset Data'!I:I, "")</f>
        <v>45372</v>
      </c>
      <c r="F47" s="31">
        <f>_xlfn.XLOOKUP(C47,'2024 Store Reset Data'!B:B,'2024 Store Reset Data'!M:M,"")</f>
        <v>4.9602423324498296E-2</v>
      </c>
      <c r="G47" s="48">
        <f>_xlfn.XLOOKUP(C47,'2024 Store Reset Data'!B:B,'2024 Store Reset Data'!R:R,"")</f>
        <v>4.6378617135738154E-2</v>
      </c>
      <c r="H47" s="34">
        <v>-1.4999999999999999E-2</v>
      </c>
      <c r="I47" s="29"/>
      <c r="J47" s="28">
        <f>_xlfn.XLOOKUP(C47,'2024 Store Reset Data'!$B$3:$B$80,'2024 Store Reset Data'!$L$3:$L$80,"")</f>
        <v>1310</v>
      </c>
      <c r="K47" s="28">
        <f>_xlfn.XLOOKUP(C47,'2024 Store Reset Data'!$B$3:$B$80,'2024 Store Reset Data'!$Q$3:$Q$80,"")</f>
        <v>819</v>
      </c>
    </row>
    <row r="48" spans="2:11" x14ac:dyDescent="0.25">
      <c r="B48" s="105" t="str">
        <f>_xlfn.XLOOKUP(C48,'2024 Store Reset Data'!B:B,'2024 Store Reset Data'!H:H,"")</f>
        <v>C</v>
      </c>
      <c r="C48" s="33" t="str">
        <f>'2024 Store Reset Data'!B8</f>
        <v>GARDEN STATE DAIRY &amp; LIQUOR</v>
      </c>
      <c r="D48" s="30" t="str">
        <f>_xlfn.XLOOKUP(C48,'2024 Store Reset Data'!B:B,'2024 Store Reset Data'!E:E,"")</f>
        <v>135 OAKLAND AVE, CLOSTER</v>
      </c>
      <c r="E48" s="40">
        <f>_xlfn.XLOOKUP(C48,'2024 Store Reset Data'!B:B, '2024 Store Reset Data'!I:I, "")</f>
        <v>45355</v>
      </c>
      <c r="F48" s="31">
        <f>_xlfn.XLOOKUP(C48,'2024 Store Reset Data'!B:B,'2024 Store Reset Data'!M:M,"")</f>
        <v>4.8562593059214294E-2</v>
      </c>
      <c r="G48" s="48">
        <f>_xlfn.XLOOKUP(C48,'2024 Store Reset Data'!B:B,'2024 Store Reset Data'!R:R,"")</f>
        <v>0.10502645502645502</v>
      </c>
      <c r="H48" s="34">
        <v>-5.0000000000000001E-3</v>
      </c>
      <c r="I48" s="29"/>
      <c r="J48" s="28">
        <f>_xlfn.XLOOKUP(C48,'2024 Store Reset Data'!$B$3:$B$80,'2024 Store Reset Data'!$L$3:$L$80,"")</f>
        <v>424</v>
      </c>
      <c r="K48" s="28">
        <f>_xlfn.XLOOKUP(C48,'2024 Store Reset Data'!$B$3:$B$80,'2024 Store Reset Data'!$Q$3:$Q$80,"")</f>
        <v>397</v>
      </c>
    </row>
    <row r="49" spans="2:11" x14ac:dyDescent="0.25">
      <c r="B49" s="105" t="str">
        <f>_xlfn.XLOOKUP(C49,'2024 Store Reset Data'!B:B,'2024 Store Reset Data'!H:H,"")</f>
        <v>A</v>
      </c>
      <c r="C49" s="33" t="str">
        <f>'2024 Store Reset Data'!B50</f>
        <v>BERMUDA LIQUORS</v>
      </c>
      <c r="D49" s="30" t="str">
        <f>_xlfn.XLOOKUP(C49,'2024 Store Reset Data'!B:B,'2024 Store Reset Data'!E:E,"")</f>
        <v>177 HOPE AVE, PASSAIC</v>
      </c>
      <c r="E49" s="40">
        <f>_xlfn.XLOOKUP(C49,'2024 Store Reset Data'!B:B, '2024 Store Reset Data'!I:I, "")</f>
        <v>45427</v>
      </c>
      <c r="F49" s="31">
        <f>_xlfn.XLOOKUP(C49,'2024 Store Reset Data'!B:B,'2024 Store Reset Data'!M:M,"")</f>
        <v>4.2248603351955308E-2</v>
      </c>
      <c r="G49" s="48">
        <f>_xlfn.XLOOKUP(C49,'2024 Store Reset Data'!B:B,'2024 Store Reset Data'!R:R,"")</f>
        <v>-2.6633024950939166E-3</v>
      </c>
      <c r="H49" s="34">
        <v>-0.01</v>
      </c>
      <c r="I49" s="29"/>
      <c r="J49" s="28">
        <f>_xlfn.XLOOKUP(C49,'2024 Store Reset Data'!$B$3:$B$80,'2024 Store Reset Data'!$L$3:$L$80,"")</f>
        <v>484</v>
      </c>
      <c r="K49" s="28">
        <f>_xlfn.XLOOKUP(C49,'2024 Store Reset Data'!$B$3:$B$80,'2024 Store Reset Data'!$Q$3:$Q$80,"")</f>
        <v>-19</v>
      </c>
    </row>
    <row r="50" spans="2:11" x14ac:dyDescent="0.25">
      <c r="B50" s="105" t="str">
        <f>_xlfn.XLOOKUP(C50,'2024 Store Reset Data'!B:B,'2024 Store Reset Data'!H:H,"")</f>
        <v>C</v>
      </c>
      <c r="C50" s="33" t="str">
        <f>'2024 Store Reset Data'!B56</f>
        <v>RIVER PLACE LIQUOR</v>
      </c>
      <c r="D50" s="30" t="str">
        <f>_xlfn.XLOOKUP(C50,'2024 Store Reset Data'!B:B,'2024 Store Reset Data'!E:E,"")</f>
        <v>303 MAIN ST, BUTLER</v>
      </c>
      <c r="E50" s="40">
        <f>_xlfn.XLOOKUP(C50,'2024 Store Reset Data'!B:B, '2024 Store Reset Data'!I:I, "")</f>
        <v>45446</v>
      </c>
      <c r="F50" s="31">
        <f>_xlfn.XLOOKUP(C50,'2024 Store Reset Data'!B:B,'2024 Store Reset Data'!M:M,"")</f>
        <v>3.2896740785866588E-2</v>
      </c>
      <c r="G50" s="48">
        <f>_xlfn.XLOOKUP(C50,'2024 Store Reset Data'!B:B,'2024 Store Reset Data'!R:R,"")</f>
        <v>0.13888057467824005</v>
      </c>
      <c r="H50" s="34">
        <v>0.01</v>
      </c>
      <c r="I50" s="29"/>
      <c r="J50" s="28">
        <f>_xlfn.XLOOKUP(C50,'2024 Store Reset Data'!$B$3:$B$80,'2024 Store Reset Data'!$L$3:$L$80,"")</f>
        <v>216</v>
      </c>
      <c r="K50" s="28">
        <f>_xlfn.XLOOKUP(C50,'2024 Store Reset Data'!$B$3:$B$80,'2024 Store Reset Data'!$Q$3:$Q$80,"")</f>
        <v>464</v>
      </c>
    </row>
    <row r="51" spans="2:11" x14ac:dyDescent="0.25">
      <c r="B51" s="105" t="str">
        <f>_xlfn.XLOOKUP(C51,'2024 Store Reset Data'!B:B,'2024 Store Reset Data'!H:H,"")</f>
        <v>A</v>
      </c>
      <c r="C51" s="33" t="str">
        <f>'2024 Store Reset Data'!B17</f>
        <v>DANNYS LIQUORS</v>
      </c>
      <c r="D51" s="30" t="str">
        <f>_xlfn.XLOOKUP(C51,'2024 Store Reset Data'!B:B,'2024 Store Reset Data'!E:E,"")</f>
        <v>268 MONROE ST, PASSAIC</v>
      </c>
      <c r="E51" s="40">
        <f>_xlfn.XLOOKUP(C51,'2024 Store Reset Data'!B:B, '2024 Store Reset Data'!I:I, "")</f>
        <v>45385</v>
      </c>
      <c r="F51" s="31">
        <f>_xlfn.XLOOKUP(C51,'2024 Store Reset Data'!B:B,'2024 Store Reset Data'!M:M,"")</f>
        <v>2.9210342417889588E-2</v>
      </c>
      <c r="G51" s="48">
        <f>_xlfn.XLOOKUP(C51,'2024 Store Reset Data'!B:B,'2024 Store Reset Data'!R:R,"")</f>
        <v>1.3761467889908258E-2</v>
      </c>
      <c r="H51" s="34">
        <v>-7.0000000000000001E-3</v>
      </c>
      <c r="I51" s="29"/>
      <c r="J51" s="28">
        <f>_xlfn.XLOOKUP(C51,'2024 Store Reset Data'!$B$3:$B$80,'2024 Store Reset Data'!$L$3:$L$80,"")</f>
        <v>418</v>
      </c>
      <c r="K51" s="28">
        <f>_xlfn.XLOOKUP(C51,'2024 Store Reset Data'!$B$3:$B$80,'2024 Store Reset Data'!$Q$3:$Q$80,"")</f>
        <v>138</v>
      </c>
    </row>
    <row r="52" spans="2:11" x14ac:dyDescent="0.25">
      <c r="B52" s="105" t="str">
        <f>_xlfn.XLOOKUP(C52,'2024 Store Reset Data'!B:B,'2024 Store Reset Data'!H:H,"")</f>
        <v>B</v>
      </c>
      <c r="C52" s="33" t="str">
        <f>'2024 Store Reset Data'!B74</f>
        <v>M &amp; M WINE &amp; SPIRITS</v>
      </c>
      <c r="D52" s="30" t="str">
        <f>_xlfn.XLOOKUP(C52,'2024 Store Reset Data'!B:B,'2024 Store Reset Data'!E:E,"")</f>
        <v>429 MARKET ST STE 1, ELMWOOD PARK</v>
      </c>
      <c r="E52" s="80">
        <f>_xlfn.XLOOKUP(C52,'2024 Store Reset Data'!B:B, '2024 Store Reset Data'!I:I, "")</f>
        <v>45589</v>
      </c>
      <c r="F52" s="31">
        <f>_xlfn.XLOOKUP(C52,'2024 Store Reset Data'!B:B,'2024 Store Reset Data'!M:M,"")</f>
        <v>2.6608187134502925E-2</v>
      </c>
      <c r="G52" s="48">
        <f>_xlfn.XLOOKUP(C52,'2024 Store Reset Data'!B:B,'2024 Store Reset Data'!R:R,"")</f>
        <v>5.2577319587628867E-2</v>
      </c>
      <c r="H52" s="34">
        <v>-1.4999999999999999E-2</v>
      </c>
      <c r="I52" s="29"/>
      <c r="J52" s="28">
        <f>_xlfn.XLOOKUP(C52,'2024 Store Reset Data'!$B$3:$B$80,'2024 Store Reset Data'!$L$3:$L$80,"")</f>
        <v>91</v>
      </c>
      <c r="K52" s="28">
        <f>_xlfn.XLOOKUP(C52,'2024 Store Reset Data'!$B$3:$B$80,'2024 Store Reset Data'!$Q$3:$Q$80,"")</f>
        <v>51</v>
      </c>
    </row>
    <row r="53" spans="2:11" x14ac:dyDescent="0.25">
      <c r="B53" s="105" t="str">
        <f>_xlfn.XLOOKUP(C53,'2024 Store Reset Data'!B:B,'2024 Store Reset Data'!H:H,"")</f>
        <v>A</v>
      </c>
      <c r="C53" s="33" t="str">
        <f>'2024 Store Reset Data'!B10</f>
        <v>PALS WINE &amp; LIQUOR</v>
      </c>
      <c r="D53" s="30" t="str">
        <f>_xlfn.XLOOKUP(C53,'2024 Store Reset Data'!B:B,'2024 Store Reset Data'!E:E,"")</f>
        <v>241 UNION AVE, PATERSON</v>
      </c>
      <c r="E53" s="40">
        <f>_xlfn.XLOOKUP(C53,'2024 Store Reset Data'!B:B, '2024 Store Reset Data'!I:I, "")</f>
        <v>45365</v>
      </c>
      <c r="F53" s="31">
        <f>_xlfn.XLOOKUP(C53,'2024 Store Reset Data'!B:B,'2024 Store Reset Data'!M:M,"")</f>
        <v>2.6094079101333958E-2</v>
      </c>
      <c r="G53" s="48">
        <f>_xlfn.XLOOKUP(C53,'2024 Store Reset Data'!B:B,'2024 Store Reset Data'!R:R,"")</f>
        <v>9.6330783726859548E-2</v>
      </c>
      <c r="H53" s="34">
        <v>-1.2999999999999999E-2</v>
      </c>
      <c r="I53" s="29"/>
      <c r="J53" s="28">
        <f>_xlfn.XLOOKUP(C53,'2024 Store Reset Data'!$B$3:$B$80,'2024 Store Reset Data'!$L$3:$L$80,"")</f>
        <v>446</v>
      </c>
      <c r="K53" s="28">
        <f>_xlfn.XLOOKUP(C53,'2024 Store Reset Data'!$B$3:$B$80,'2024 Store Reset Data'!$Q$3:$Q$80,"")</f>
        <v>869</v>
      </c>
    </row>
    <row r="54" spans="2:11" x14ac:dyDescent="0.25">
      <c r="B54" s="105" t="str">
        <f>_xlfn.XLOOKUP(C54,'2024 Store Reset Data'!B:B,'2024 Store Reset Data'!H:H,"")</f>
        <v>B</v>
      </c>
      <c r="C54" s="33" t="str">
        <f>'2024 Store Reset Data'!B35</f>
        <v>BIRCHWOOD DELI &amp; LIQUOR</v>
      </c>
      <c r="D54" s="30" t="str">
        <f>_xlfn.XLOOKUP(C54,'2024 Store Reset Data'!B:B,'2024 Store Reset Data'!E:E,"")</f>
        <v>545 MOLA BLVD, ELMWOOD PARK</v>
      </c>
      <c r="E54" s="40">
        <f>_xlfn.XLOOKUP(C54,'2024 Store Reset Data'!B:B, '2024 Store Reset Data'!I:I, "")</f>
        <v>45406</v>
      </c>
      <c r="F54" s="31">
        <f>_xlfn.XLOOKUP(C54,'2024 Store Reset Data'!B:B,'2024 Store Reset Data'!M:M,"")</f>
        <v>2.4625267665952889E-2</v>
      </c>
      <c r="G54" s="48">
        <f>_xlfn.XLOOKUP(C54,'2024 Store Reset Data'!B:B,'2024 Store Reset Data'!R:R,"")</f>
        <v>5.3674649050371594E-2</v>
      </c>
      <c r="H54" s="34">
        <v>-0.01</v>
      </c>
      <c r="I54" s="29"/>
      <c r="J54" s="28">
        <f>_xlfn.XLOOKUP(C54,'2024 Store Reset Data'!$B$3:$B$80,'2024 Store Reset Data'!$L$3:$L$80,"")</f>
        <v>161</v>
      </c>
      <c r="K54" s="28">
        <f>_xlfn.XLOOKUP(C54,'2024 Store Reset Data'!$B$3:$B$80,'2024 Store Reset Data'!$Q$3:$Q$80,"")</f>
        <v>130</v>
      </c>
    </row>
    <row r="55" spans="2:11" x14ac:dyDescent="0.25">
      <c r="B55" s="105" t="str">
        <f>_xlfn.XLOOKUP(C55,'2024 Store Reset Data'!B:B,'2024 Store Reset Data'!H:H,"")</f>
        <v>B</v>
      </c>
      <c r="C55" s="33" t="str">
        <f>'2024 Store Reset Data'!B9</f>
        <v>PAULISON LIQUORS</v>
      </c>
      <c r="D55" s="30" t="str">
        <f>_xlfn.XLOOKUP(C55,'2024 Store Reset Data'!B:B,'2024 Store Reset Data'!E:E,"")</f>
        <v>621 PAULISON AVE, CLIFTON</v>
      </c>
      <c r="E55" s="40">
        <f>_xlfn.XLOOKUP(C55,'2024 Store Reset Data'!B:B, '2024 Store Reset Data'!I:I, "")</f>
        <v>45357</v>
      </c>
      <c r="F55" s="31">
        <f>_xlfn.XLOOKUP(C55,'2024 Store Reset Data'!B:B,'2024 Store Reset Data'!M:M,"")</f>
        <v>1.883460859329017E-2</v>
      </c>
      <c r="G55" s="48">
        <f>_xlfn.XLOOKUP(C55,'2024 Store Reset Data'!B:B,'2024 Store Reset Data'!R:R,"")</f>
        <v>6.0722748815165879E-3</v>
      </c>
      <c r="H55" s="34">
        <v>-1.2999999999999999E-2</v>
      </c>
      <c r="I55" s="29"/>
      <c r="J55" s="28">
        <f>_xlfn.XLOOKUP(C55,'2024 Store Reset Data'!$B$3:$B$80,'2024 Store Reset Data'!$L$3:$L$80,"")</f>
        <v>192</v>
      </c>
      <c r="K55" s="28">
        <f>_xlfn.XLOOKUP(C55,'2024 Store Reset Data'!$B$3:$B$80,'2024 Store Reset Data'!$Q$3:$Q$80,"")</f>
        <v>41</v>
      </c>
    </row>
    <row r="56" spans="2:11" x14ac:dyDescent="0.25">
      <c r="B56" s="105" t="str">
        <f>_xlfn.XLOOKUP(C56,'2024 Store Reset Data'!B:B,'2024 Store Reset Data'!H:H,"")</f>
        <v>B</v>
      </c>
      <c r="C56" s="33" t="str">
        <f>'2024 Store Reset Data'!B55</f>
        <v>WOODRIDGE WINE &amp; LIQUOR</v>
      </c>
      <c r="D56" s="30" t="str">
        <f>_xlfn.XLOOKUP(C56,'2024 Store Reset Data'!B:B,'2024 Store Reset Data'!E:E,"")</f>
        <v>206 HACKENSACK ST, WOOD RIDGE</v>
      </c>
      <c r="E56" s="40">
        <f>_xlfn.XLOOKUP(C56,'2024 Store Reset Data'!B:B, '2024 Store Reset Data'!I:I, "")</f>
        <v>45442</v>
      </c>
      <c r="F56" s="31">
        <f>_xlfn.XLOOKUP(C56,'2024 Store Reset Data'!B:B,'2024 Store Reset Data'!M:M,"")</f>
        <v>1.1850371216447744E-2</v>
      </c>
      <c r="G56" s="48">
        <f>_xlfn.XLOOKUP(C56,'2024 Store Reset Data'!B:B,'2024 Store Reset Data'!R:R,"")</f>
        <v>2.3587223587223587E-2</v>
      </c>
      <c r="H56" s="34">
        <v>-1.0999999999999999E-2</v>
      </c>
      <c r="I56" s="29"/>
      <c r="J56" s="28">
        <f>_xlfn.XLOOKUP(C56,'2024 Store Reset Data'!$B$3:$B$80,'2024 Store Reset Data'!$L$3:$L$80,"")</f>
        <v>83</v>
      </c>
      <c r="K56" s="28">
        <f>_xlfn.XLOOKUP(C56,'2024 Store Reset Data'!$B$3:$B$80,'2024 Store Reset Data'!$Q$3:$Q$80,"")</f>
        <v>48</v>
      </c>
    </row>
    <row r="57" spans="2:11" x14ac:dyDescent="0.25">
      <c r="B57" s="105" t="str">
        <f>_xlfn.XLOOKUP(C57,'2024 Store Reset Data'!B:B,'2024 Store Reset Data'!H:H,"")</f>
        <v>A</v>
      </c>
      <c r="C57" s="33" t="str">
        <f>'2024 Store Reset Data'!B32</f>
        <v>SHOPRITE LIQUORS (Fair Lawn)</v>
      </c>
      <c r="D57" s="30" t="str">
        <f>_xlfn.XLOOKUP(C57,'2024 Store Reset Data'!B:B,'2024 Store Reset Data'!E:E,"")</f>
        <v>35 07 BROADWAY, FAIR LAWN</v>
      </c>
      <c r="E57" s="40">
        <f>_xlfn.XLOOKUP(C57,'2024 Store Reset Data'!B:B, '2024 Store Reset Data'!I:I, "")</f>
        <v>45404</v>
      </c>
      <c r="F57" s="31">
        <f>_xlfn.XLOOKUP(C57,'2024 Store Reset Data'!B:B,'2024 Store Reset Data'!M:M,"")</f>
        <v>8.9401658176006399E-3</v>
      </c>
      <c r="G57" s="48">
        <f>_xlfn.XLOOKUP(C57,'2024 Store Reset Data'!B:B,'2024 Store Reset Data'!R:R,"")</f>
        <v>9.1236494597839141E-2</v>
      </c>
      <c r="H57" s="34">
        <v>1E-3</v>
      </c>
      <c r="I57" s="29"/>
      <c r="J57" s="28">
        <f>_xlfn.XLOOKUP(C57,'2024 Store Reset Data'!$B$3:$B$80,'2024 Store Reset Data'!$L$3:$L$80,"")</f>
        <v>179</v>
      </c>
      <c r="K57" s="28">
        <f>_xlfn.XLOOKUP(C57,'2024 Store Reset Data'!$B$3:$B$80,'2024 Store Reset Data'!$Q$3:$Q$80,"")</f>
        <v>456</v>
      </c>
    </row>
    <row r="58" spans="2:11" x14ac:dyDescent="0.25">
      <c r="B58" s="105" t="str">
        <f>_xlfn.XLOOKUP(C58,'2024 Store Reset Data'!B:B,'2024 Store Reset Data'!H:H,"")</f>
        <v>C</v>
      </c>
      <c r="C58" s="33" t="str">
        <f>'2024 Store Reset Data'!B61</f>
        <v>MEADOWLANDS WINE &amp; LIQUOR</v>
      </c>
      <c r="D58" s="30" t="str">
        <f>_xlfn.XLOOKUP(C58,'2024 Store Reset Data'!B:B,'2024 Store Reset Data'!E:E,"")</f>
        <v>280 VALLEY BLVD, WOOD RIDGE</v>
      </c>
      <c r="E58" s="40">
        <f>_xlfn.XLOOKUP(C58,'2024 Store Reset Data'!B:B, '2024 Store Reset Data'!I:I, "")</f>
        <v>45497</v>
      </c>
      <c r="F58" s="31">
        <f>_xlfn.XLOOKUP(C58,'2024 Store Reset Data'!B:B,'2024 Store Reset Data'!M:M,"")</f>
        <v>8.0941869021339229E-3</v>
      </c>
      <c r="G58" s="48">
        <f>_xlfn.XLOOKUP(C58,'2024 Store Reset Data'!B:B,'2024 Store Reset Data'!R:R,"")</f>
        <v>-0.28611898016997167</v>
      </c>
      <c r="H58" s="34">
        <v>-2.8000000000000001E-2</v>
      </c>
      <c r="I58" s="29"/>
      <c r="J58" s="28">
        <f>_xlfn.XLOOKUP(C58,'2024 Store Reset Data'!$B$3:$B$80,'2024 Store Reset Data'!$L$3:$L$80,"")</f>
        <v>11</v>
      </c>
      <c r="K58" s="28">
        <f>_xlfn.XLOOKUP(C58,'2024 Store Reset Data'!$B$3:$B$80,'2024 Store Reset Data'!$Q$3:$Q$80,"")</f>
        <v>-101</v>
      </c>
    </row>
    <row r="59" spans="2:11" x14ac:dyDescent="0.25">
      <c r="B59" s="105" t="str">
        <f>_xlfn.XLOOKUP(C59,'2024 Store Reset Data'!B:B,'2024 Store Reset Data'!H:H,"")</f>
        <v>A</v>
      </c>
      <c r="C59" s="33" t="str">
        <f>'2024 Store Reset Data'!B36</f>
        <v>FERRAROS LIQUOR</v>
      </c>
      <c r="D59" s="30" t="str">
        <f>_xlfn.XLOOKUP(C59,'2024 Store Reset Data'!B:B,'2024 Store Reset Data'!E:E,"")</f>
        <v>423 21ST AVE, PATERSON</v>
      </c>
      <c r="E59" s="40">
        <f>_xlfn.XLOOKUP(C59,'2024 Store Reset Data'!B:B, '2024 Store Reset Data'!I:I, "")</f>
        <v>45407</v>
      </c>
      <c r="F59" s="31">
        <f>_xlfn.XLOOKUP(C59,'2024 Store Reset Data'!B:B,'2024 Store Reset Data'!M:M,"")</f>
        <v>6.9113601288331205E-3</v>
      </c>
      <c r="G59" s="48">
        <f>_xlfn.XLOOKUP(C59,'2024 Store Reset Data'!B:B,'2024 Store Reset Data'!R:R,"")</f>
        <v>3.8250767207365192E-2</v>
      </c>
      <c r="H59" s="34">
        <v>-0.01</v>
      </c>
      <c r="I59" s="29"/>
      <c r="J59" s="28">
        <f>_xlfn.XLOOKUP(C59,'2024 Store Reset Data'!$B$3:$B$80,'2024 Store Reset Data'!$L$3:$L$80,"")</f>
        <v>103</v>
      </c>
      <c r="K59" s="28">
        <f>_xlfn.XLOOKUP(C59,'2024 Store Reset Data'!$B$3:$B$80,'2024 Store Reset Data'!$Q$3:$Q$80,"")</f>
        <v>349</v>
      </c>
    </row>
    <row r="60" spans="2:11" x14ac:dyDescent="0.25">
      <c r="B60" s="105" t="str">
        <f>_xlfn.XLOOKUP(C60,'2024 Store Reset Data'!B:B,'2024 Store Reset Data'!H:H,"")</f>
        <v>A</v>
      </c>
      <c r="C60" s="33" t="str">
        <f>'2024 Store Reset Data'!B13</f>
        <v>LUNA LIQUORS</v>
      </c>
      <c r="D60" s="30" t="str">
        <f>_xlfn.XLOOKUP(C60,'2024 Store Reset Data'!B:B,'2024 Store Reset Data'!E:E,"")</f>
        <v>291 PARK AVE, PATERSON</v>
      </c>
      <c r="E60" s="40">
        <f>_xlfn.XLOOKUP(C60,'2024 Store Reset Data'!B:B, '2024 Store Reset Data'!I:I, "")</f>
        <v>45378</v>
      </c>
      <c r="F60" s="31">
        <f>_xlfn.XLOOKUP(C60,'2024 Store Reset Data'!B:B,'2024 Store Reset Data'!M:M,"")</f>
        <v>5.8656824622685035E-3</v>
      </c>
      <c r="G60" s="48">
        <f>_xlfn.XLOOKUP(C60,'2024 Store Reset Data'!B:B,'2024 Store Reset Data'!R:R,"")</f>
        <v>4.6128177446265583E-3</v>
      </c>
      <c r="H60" s="34">
        <v>-0.02</v>
      </c>
      <c r="I60" s="29"/>
      <c r="J60" s="28">
        <f>_xlfn.XLOOKUP(C60,'2024 Store Reset Data'!$B$3:$B$80,'2024 Store Reset Data'!$L$3:$L$80,"")</f>
        <v>89</v>
      </c>
      <c r="K60" s="28">
        <f>_xlfn.XLOOKUP(C60,'2024 Store Reset Data'!$B$3:$B$80,'2024 Store Reset Data'!$Q$3:$Q$80,"")</f>
        <v>47</v>
      </c>
    </row>
    <row r="61" spans="2:11" x14ac:dyDescent="0.25">
      <c r="B61" s="105" t="str">
        <f>_xlfn.XLOOKUP(C61,'2024 Store Reset Data'!B:B,'2024 Store Reset Data'!H:H,"")</f>
        <v>C</v>
      </c>
      <c r="C61" s="33" t="str">
        <f>'2024 Store Reset Data'!B41</f>
        <v>KRAUSERS</v>
      </c>
      <c r="D61" s="30" t="str">
        <f>_xlfn.XLOOKUP(C61,'2024 Store Reset Data'!B:B,'2024 Store Reset Data'!E:E,"")</f>
        <v>121 VALLEY BROOK AVE, LYNDHURST</v>
      </c>
      <c r="E61" s="40">
        <f>_xlfn.XLOOKUP(C61,'2024 Store Reset Data'!B:B, '2024 Store Reset Data'!I:I, "")</f>
        <v>45415</v>
      </c>
      <c r="F61" s="122"/>
      <c r="G61" s="123"/>
      <c r="H61" s="34">
        <v>-0.01</v>
      </c>
      <c r="I61" s="29"/>
      <c r="J61" s="28">
        <f>_xlfn.XLOOKUP(C61,'2024 Store Reset Data'!$B$3:$B$80,'2024 Store Reset Data'!$L$3:$L$80,"")</f>
        <v>0</v>
      </c>
      <c r="K61" s="28">
        <f>_xlfn.XLOOKUP(C61,'2024 Store Reset Data'!$B$3:$B$80,'2024 Store Reset Data'!$Q$3:$Q$80,"")</f>
        <v>0</v>
      </c>
    </row>
    <row r="62" spans="2:11" x14ac:dyDescent="0.25">
      <c r="B62" s="105" t="str">
        <f>_xlfn.XLOOKUP(C62,'2024 Store Reset Data'!B:B,'2024 Store Reset Data'!H:H,"")</f>
        <v>C</v>
      </c>
      <c r="C62" s="33" t="str">
        <f>'2024 Store Reset Data'!B69</f>
        <v>QUICK CHEK LIQUOR</v>
      </c>
      <c r="D62" s="30" t="str">
        <f>_xlfn.XLOOKUP(C62,'2024 Store Reset Data'!B:B,'2024 Store Reset Data'!E:E,"")</f>
        <v>70 MAIN ST, NETCONG</v>
      </c>
      <c r="E62" s="80">
        <f>_xlfn.XLOOKUP(C62,'2024 Store Reset Data'!B:B, '2024 Store Reset Data'!I:I, "")</f>
        <v>45568</v>
      </c>
      <c r="F62" s="122"/>
      <c r="G62" s="123"/>
      <c r="H62" s="34">
        <v>-4.0000000000000001E-3</v>
      </c>
      <c r="I62" s="29"/>
      <c r="J62" s="28">
        <f>_xlfn.XLOOKUP(C62,'2024 Store Reset Data'!$B$3:$B$80,'2024 Store Reset Data'!$L$3:$L$80,"")</f>
        <v>0</v>
      </c>
      <c r="K62" s="28">
        <f>_xlfn.XLOOKUP(C62,'2024 Store Reset Data'!$B$3:$B$80,'2024 Store Reset Data'!$Q$3:$Q$80,"")</f>
        <v>0</v>
      </c>
    </row>
    <row r="63" spans="2:11" x14ac:dyDescent="0.25">
      <c r="B63" s="105" t="str">
        <f>_xlfn.XLOOKUP(C63,'2024 Store Reset Data'!B:B,'2024 Store Reset Data'!H:H,"")</f>
        <v>A</v>
      </c>
      <c r="C63" s="33" t="str">
        <f>'2024 Store Reset Data'!B22</f>
        <v>BEVERAGE BARN</v>
      </c>
      <c r="D63" s="30" t="str">
        <f>_xlfn.XLOOKUP(C63,'2024 Store Reset Data'!B:B,'2024 Store Reset Data'!E:E,"")</f>
        <v>224 LIVINGSTON ST, NORTHVALE</v>
      </c>
      <c r="E63" s="40">
        <f>_xlfn.XLOOKUP(C63,'2024 Store Reset Data'!B:B, '2024 Store Reset Data'!I:I, "")</f>
        <v>45392</v>
      </c>
      <c r="F63" s="31">
        <f>_xlfn.XLOOKUP(C63,'2024 Store Reset Data'!B:B,'2024 Store Reset Data'!M:M,"")</f>
        <v>-1.4588100686498856E-2</v>
      </c>
      <c r="G63" s="48">
        <f>_xlfn.XLOOKUP(C63,'2024 Store Reset Data'!B:B,'2024 Store Reset Data'!R:R,"")</f>
        <v>3.8700992764597007E-2</v>
      </c>
      <c r="H63" s="34">
        <v>-1.4E-2</v>
      </c>
      <c r="I63" s="29"/>
      <c r="J63" s="28">
        <f>_xlfn.XLOOKUP(C63,'2024 Store Reset Data'!$B$3:$B$80,'2024 Store Reset Data'!$L$3:$L$80,"")</f>
        <v>-408</v>
      </c>
      <c r="K63" s="28">
        <f>_xlfn.XLOOKUP(C63,'2024 Store Reset Data'!$B$3:$B$80,'2024 Store Reset Data'!$Q$3:$Q$80,"")</f>
        <v>460</v>
      </c>
    </row>
    <row r="64" spans="2:11" x14ac:dyDescent="0.25">
      <c r="B64" s="105" t="str">
        <f>_xlfn.XLOOKUP(C64,'2024 Store Reset Data'!B:B,'2024 Store Reset Data'!H:H,"")</f>
        <v>A</v>
      </c>
      <c r="C64" s="33" t="str">
        <f>'2024 Store Reset Data'!B21</f>
        <v>DISCOUNT LIQUOR OUTLET</v>
      </c>
      <c r="D64" s="30" t="str">
        <f>_xlfn.XLOOKUP(C64,'2024 Store Reset Data'!B:B,'2024 Store Reset Data'!E:E,"")</f>
        <v>15 GRAND AVE STE 4, PALISADES PARK</v>
      </c>
      <c r="E64" s="40">
        <f>_xlfn.XLOOKUP(C64,'2024 Store Reset Data'!B:B, '2024 Store Reset Data'!I:I, "")</f>
        <v>45391</v>
      </c>
      <c r="F64" s="31">
        <f>_xlfn.XLOOKUP(C64,'2024 Store Reset Data'!B:B,'2024 Store Reset Data'!M:M,"")</f>
        <v>-1.9062570082978247E-2</v>
      </c>
      <c r="G64" s="48">
        <f>_xlfn.XLOOKUP(C64,'2024 Store Reset Data'!B:B,'2024 Store Reset Data'!R:R,"")</f>
        <v>3.7668798862828715E-2</v>
      </c>
      <c r="H64" s="34">
        <v>-0.01</v>
      </c>
      <c r="I64" s="29"/>
      <c r="J64" s="28">
        <f>_xlfn.XLOOKUP(C64,'2024 Store Reset Data'!$B$3:$B$80,'2024 Store Reset Data'!$L$3:$L$80,"")</f>
        <v>-255</v>
      </c>
      <c r="K64" s="28">
        <f>_xlfn.XLOOKUP(C64,'2024 Store Reset Data'!$B$3:$B$80,'2024 Store Reset Data'!$Q$3:$Q$80,"")</f>
        <v>212</v>
      </c>
    </row>
    <row r="65" spans="2:11" x14ac:dyDescent="0.25">
      <c r="B65" s="105" t="str">
        <f>_xlfn.XLOOKUP(C65,'2024 Store Reset Data'!B:B,'2024 Store Reset Data'!H:H,"")</f>
        <v>A</v>
      </c>
      <c r="C65" s="33" t="str">
        <f>'2024 Store Reset Data'!B39</f>
        <v>BOTTLE LIQUOR STORE</v>
      </c>
      <c r="D65" s="30" t="str">
        <f>_xlfn.XLOOKUP(C65,'2024 Store Reset Data'!B:B,'2024 Store Reset Data'!E:E,"")</f>
        <v>550 LEXINGTON AVE, CLIFTON</v>
      </c>
      <c r="E65" s="40">
        <f>_xlfn.XLOOKUP(C65,'2024 Store Reset Data'!B:B, '2024 Store Reset Data'!I:I, "")</f>
        <v>45413</v>
      </c>
      <c r="F65" s="31">
        <f>_xlfn.XLOOKUP(C65,'2024 Store Reset Data'!B:B,'2024 Store Reset Data'!M:M,"")</f>
        <v>-2.0228307801502338E-2</v>
      </c>
      <c r="G65" s="48">
        <f>_xlfn.XLOOKUP(C65,'2024 Store Reset Data'!B:B,'2024 Store Reset Data'!R:R,"")</f>
        <v>-8.9229382604776933E-3</v>
      </c>
      <c r="H65" s="34">
        <v>-1.0999999999999999E-2</v>
      </c>
      <c r="I65" s="29"/>
      <c r="J65" s="28">
        <f>_xlfn.XLOOKUP(C65,'2024 Store Reset Data'!$B$3:$B$80,'2024 Store Reset Data'!$L$3:$L$80,"")</f>
        <v>-342</v>
      </c>
      <c r="K65" s="28">
        <f>_xlfn.XLOOKUP(C65,'2024 Store Reset Data'!$B$3:$B$80,'2024 Store Reset Data'!$Q$3:$Q$80,"")</f>
        <v>-99</v>
      </c>
    </row>
    <row r="66" spans="2:11" x14ac:dyDescent="0.25">
      <c r="B66" s="105" t="str">
        <f>_xlfn.XLOOKUP(C66,'2024 Store Reset Data'!B:B,'2024 Store Reset Data'!H:H,"")</f>
        <v>A</v>
      </c>
      <c r="C66" s="33" t="str">
        <f>'2024 Store Reset Data'!B40</f>
        <v>JOHNNYS LIQUORS</v>
      </c>
      <c r="D66" s="30" t="str">
        <f>_xlfn.XLOOKUP(C66,'2024 Store Reset Data'!B:B,'2024 Store Reset Data'!E:E,"")</f>
        <v>370 MONROE ST, PASSAIC</v>
      </c>
      <c r="E66" s="40">
        <f>_xlfn.XLOOKUP(C66,'2024 Store Reset Data'!B:B, '2024 Store Reset Data'!I:I, "")</f>
        <v>45413</v>
      </c>
      <c r="F66" s="31">
        <f>_xlfn.XLOOKUP(C66,'2024 Store Reset Data'!B:B,'2024 Store Reset Data'!M:M,"")</f>
        <v>-2.9936498336861204E-2</v>
      </c>
      <c r="G66" s="48">
        <f>_xlfn.XLOOKUP(C66,'2024 Store Reset Data'!B:B,'2024 Store Reset Data'!R:R,"")</f>
        <v>-4.328018223234624E-2</v>
      </c>
      <c r="H66" s="34">
        <v>-1.0999999999999999E-2</v>
      </c>
      <c r="I66" s="29"/>
      <c r="J66" s="28">
        <f>_xlfn.XLOOKUP(C66,'2024 Store Reset Data'!$B$3:$B$80,'2024 Store Reset Data'!$L$3:$L$80,"")</f>
        <v>-396</v>
      </c>
      <c r="K66" s="28">
        <f>_xlfn.XLOOKUP(C66,'2024 Store Reset Data'!$B$3:$B$80,'2024 Store Reset Data'!$Q$3:$Q$80,"")</f>
        <v>-418</v>
      </c>
    </row>
    <row r="67" spans="2:11" x14ac:dyDescent="0.25">
      <c r="B67" s="105" t="str">
        <f>_xlfn.XLOOKUP(C67,'2024 Store Reset Data'!B:B,'2024 Store Reset Data'!H:H,"")</f>
        <v>C</v>
      </c>
      <c r="C67" s="33" t="str">
        <f>'2024 Store Reset Data'!B44</f>
        <v>MORLOT WINES &amp; LIQUORS</v>
      </c>
      <c r="D67" s="30" t="str">
        <f>_xlfn.XLOOKUP(C67,'2024 Store Reset Data'!B:B,'2024 Store Reset Data'!E:E,"")</f>
        <v>22 10 MORLOT AVE, FAIR LAWN</v>
      </c>
      <c r="E67" s="40">
        <f>_xlfn.XLOOKUP(C67,'2024 Store Reset Data'!B:B, '2024 Store Reset Data'!I:I, "")</f>
        <v>45419</v>
      </c>
      <c r="F67" s="31">
        <f>_xlfn.XLOOKUP(C67,'2024 Store Reset Data'!B:B,'2024 Store Reset Data'!M:M,"")</f>
        <v>-4.0348964013086151E-2</v>
      </c>
      <c r="G67" s="48">
        <f>_xlfn.XLOOKUP(C67,'2024 Store Reset Data'!B:B,'2024 Store Reset Data'!R:R,"")</f>
        <v>-4.1726618705035974E-2</v>
      </c>
      <c r="H67" s="34">
        <v>-6.0000000000000001E-3</v>
      </c>
      <c r="I67" s="29"/>
      <c r="J67" s="28">
        <f>_xlfn.XLOOKUP(C67,'2024 Store Reset Data'!$B$3:$B$80,'2024 Store Reset Data'!$L$3:$L$80,"")</f>
        <v>-74</v>
      </c>
      <c r="K67" s="28">
        <f>_xlfn.XLOOKUP(C67,'2024 Store Reset Data'!$B$3:$B$80,'2024 Store Reset Data'!$Q$3:$Q$80,"")</f>
        <v>-29</v>
      </c>
    </row>
    <row r="68" spans="2:11" x14ac:dyDescent="0.25">
      <c r="B68" s="105" t="str">
        <f>_xlfn.XLOOKUP(C68,'2024 Store Reset Data'!B:B,'2024 Store Reset Data'!H:H,"")</f>
        <v>B</v>
      </c>
      <c r="C68" s="33" t="str">
        <f>'2024 Store Reset Data'!B49</f>
        <v>C TOWN LIQUORS</v>
      </c>
      <c r="D68" s="30" t="str">
        <f>_xlfn.XLOOKUP(C68,'2024 Store Reset Data'!B:B,'2024 Store Reset Data'!E:E,"")</f>
        <v>680 MAIN ST, PATERSON</v>
      </c>
      <c r="E68" s="40">
        <f>_xlfn.XLOOKUP(C68,'2024 Store Reset Data'!B:B, '2024 Store Reset Data'!I:I, "")</f>
        <v>45426</v>
      </c>
      <c r="F68" s="31">
        <f>_xlfn.XLOOKUP(C68,'2024 Store Reset Data'!B:B,'2024 Store Reset Data'!M:M,"")</f>
        <v>-4.6620046620046623E-2</v>
      </c>
      <c r="G68" s="48">
        <f>_xlfn.XLOOKUP(C68,'2024 Store Reset Data'!B:B,'2024 Store Reset Data'!R:R,"")</f>
        <v>8.7818696883852687E-2</v>
      </c>
      <c r="H68" s="34">
        <v>-4.0000000000000001E-3</v>
      </c>
      <c r="I68" s="29"/>
      <c r="J68" s="28">
        <f>_xlfn.XLOOKUP(C68,'2024 Store Reset Data'!$B$3:$B$80,'2024 Store Reset Data'!$L$3:$L$80,"")</f>
        <v>-140</v>
      </c>
      <c r="K68" s="28">
        <f>_xlfn.XLOOKUP(C68,'2024 Store Reset Data'!$B$3:$B$80,'2024 Store Reset Data'!$Q$3:$Q$80,"")</f>
        <v>155</v>
      </c>
    </row>
    <row r="69" spans="2:11" x14ac:dyDescent="0.25">
      <c r="B69" s="105" t="str">
        <f>_xlfn.XLOOKUP(C69,'2024 Store Reset Data'!B:B,'2024 Store Reset Data'!H:H,"")</f>
        <v>A</v>
      </c>
      <c r="C69" s="33" t="str">
        <f>'2024 Store Reset Data'!B23</f>
        <v>DORTA LIQUORS</v>
      </c>
      <c r="D69" s="30" t="str">
        <f>_xlfn.XLOOKUP(C69,'2024 Store Reset Data'!B:B,'2024 Store Reset Data'!E:E,"")</f>
        <v>353 21ST AVE, PATERSON</v>
      </c>
      <c r="E69" s="40">
        <f>_xlfn.XLOOKUP(C69,'2024 Store Reset Data'!B:B, '2024 Store Reset Data'!I:I, "")</f>
        <v>45392</v>
      </c>
      <c r="F69" s="31">
        <f>_xlfn.XLOOKUP(C69,'2024 Store Reset Data'!B:B,'2024 Store Reset Data'!M:M,"")</f>
        <v>-4.7206241626605722E-2</v>
      </c>
      <c r="G69" s="48">
        <f>_xlfn.XLOOKUP(C69,'2024 Store Reset Data'!B:B,'2024 Store Reset Data'!R:R,"")</f>
        <v>-6.6871165644171782E-2</v>
      </c>
      <c r="H69" s="34">
        <v>-1.4E-2</v>
      </c>
      <c r="I69" s="29"/>
      <c r="J69" s="28">
        <f>_xlfn.XLOOKUP(C69,'2024 Store Reset Data'!$B$3:$B$80,'2024 Store Reset Data'!$L$3:$L$80,"")</f>
        <v>-599</v>
      </c>
      <c r="K69" s="28">
        <f>_xlfn.XLOOKUP(C69,'2024 Store Reset Data'!$B$3:$B$80,'2024 Store Reset Data'!$Q$3:$Q$80,"")</f>
        <v>-545</v>
      </c>
    </row>
    <row r="70" spans="2:11" x14ac:dyDescent="0.25">
      <c r="B70" s="105" t="str">
        <f>_xlfn.XLOOKUP(C70,'2024 Store Reset Data'!B:B,'2024 Store Reset Data'!H:H,"")</f>
        <v>B</v>
      </c>
      <c r="C70" s="33" t="str">
        <f>'2024 Store Reset Data'!B59</f>
        <v>LITTLE FALLS DISCOUNT LIQUORS</v>
      </c>
      <c r="D70" s="30" t="str">
        <f>_xlfn.XLOOKUP(C70,'2024 Store Reset Data'!B:B,'2024 Store Reset Data'!E:E,"")</f>
        <v>315 MAIN ST, LITTLE FALLS</v>
      </c>
      <c r="E70" s="40">
        <f>_xlfn.XLOOKUP(C70,'2024 Store Reset Data'!B:B, '2024 Store Reset Data'!I:I, "")</f>
        <v>45449</v>
      </c>
      <c r="F70" s="31">
        <f>_xlfn.XLOOKUP(C70,'2024 Store Reset Data'!B:B,'2024 Store Reset Data'!M:M,"")</f>
        <v>-5.1936264622831789E-2</v>
      </c>
      <c r="G70" s="48">
        <f>_xlfn.XLOOKUP(C70,'2024 Store Reset Data'!B:B,'2024 Store Reset Data'!R:R,"")</f>
        <v>-0.10093401626996083</v>
      </c>
      <c r="H70" s="34">
        <v>-5.0000000000000001E-3</v>
      </c>
      <c r="I70" s="29"/>
      <c r="J70" s="28">
        <f>_xlfn.XLOOKUP(C70,'2024 Store Reset Data'!$B$3:$B$80,'2024 Store Reset Data'!$L$3:$L$80,"")</f>
        <v>-515</v>
      </c>
      <c r="K70" s="28">
        <f>_xlfn.XLOOKUP(C70,'2024 Store Reset Data'!$B$3:$B$80,'2024 Store Reset Data'!$Q$3:$Q$80,"")</f>
        <v>-335</v>
      </c>
    </row>
    <row r="71" spans="2:11" x14ac:dyDescent="0.25">
      <c r="B71" s="105" t="str">
        <f>_xlfn.XLOOKUP(C71,'2024 Store Reset Data'!B:B,'2024 Store Reset Data'!H:H,"")</f>
        <v>B</v>
      </c>
      <c r="C71" s="33" t="str">
        <f>'2024 Store Reset Data'!B3</f>
        <v>SHOPRITE LIQUORS (Lincoln Park)</v>
      </c>
      <c r="D71" s="30" t="str">
        <f>_xlfn.XLOOKUP(C71,'2024 Store Reset Data'!B:B,'2024 Store Reset Data'!E:E,"")</f>
        <v>60 BEAVERBROOK RD, LINCOLN PARK</v>
      </c>
      <c r="E71" s="40">
        <f>_xlfn.XLOOKUP(C71,'2024 Store Reset Data'!B:B, '2024 Store Reset Data'!I:I, "")</f>
        <v>45309</v>
      </c>
      <c r="F71" s="31">
        <f>_xlfn.XLOOKUP(C71,'2024 Store Reset Data'!B:B,'2024 Store Reset Data'!M:M,"")</f>
        <v>-6.5545337205550183E-2</v>
      </c>
      <c r="G71" s="48">
        <f>_xlfn.XLOOKUP(C71,'2024 Store Reset Data'!B:B,'2024 Store Reset Data'!R:R,"")</f>
        <v>0.24346076458752516</v>
      </c>
      <c r="H71" s="34">
        <v>-4.0000000000000001E-3</v>
      </c>
      <c r="I71" s="29">
        <v>1.0999999999999999E-2</v>
      </c>
      <c r="J71" s="28">
        <f>_xlfn.XLOOKUP(C71,'2024 Store Reset Data'!$B$3:$B$80,'2024 Store Reset Data'!$L$3:$L$80,"")</f>
        <v>-1625</v>
      </c>
      <c r="K71" s="28">
        <f>_xlfn.XLOOKUP(C71,'2024 Store Reset Data'!$B$3:$B$80,'2024 Store Reset Data'!$Q$3:$Q$80,"")</f>
        <v>847</v>
      </c>
    </row>
    <row r="72" spans="2:11" x14ac:dyDescent="0.25">
      <c r="B72" s="105" t="str">
        <f>_xlfn.XLOOKUP(C72,'2024 Store Reset Data'!B:B,'2024 Store Reset Data'!H:H,"")</f>
        <v>A</v>
      </c>
      <c r="C72" s="33" t="str">
        <f>'2024 Store Reset Data'!B51</f>
        <v>FIGLARS LIQUOR STORE</v>
      </c>
      <c r="D72" s="30" t="str">
        <f>_xlfn.XLOOKUP(C72,'2024 Store Reset Data'!B:B,'2024 Store Reset Data'!E:E,"")</f>
        <v>327 HOPE AVE, CLIFTON</v>
      </c>
      <c r="E72" s="40">
        <f>_xlfn.XLOOKUP(C72,'2024 Store Reset Data'!B:B, '2024 Store Reset Data'!I:I, "")</f>
        <v>45427</v>
      </c>
      <c r="F72" s="31">
        <f>_xlfn.XLOOKUP(C72,'2024 Store Reset Data'!B:B,'2024 Store Reset Data'!M:M,"")</f>
        <v>-6.7550687037570861E-2</v>
      </c>
      <c r="G72" s="48">
        <f>_xlfn.XLOOKUP(C72,'2024 Store Reset Data'!B:B,'2024 Store Reset Data'!R:R,"")</f>
        <v>-0.16983505731059548</v>
      </c>
      <c r="H72" s="34">
        <v>-0.01</v>
      </c>
      <c r="I72" s="29"/>
      <c r="J72" s="28">
        <f>_xlfn.XLOOKUP(C72,'2024 Store Reset Data'!$B$3:$B$80,'2024 Store Reset Data'!$L$3:$L$80,"")</f>
        <v>-703</v>
      </c>
      <c r="K72" s="28">
        <f>_xlfn.XLOOKUP(C72,'2024 Store Reset Data'!$B$3:$B$80,'2024 Store Reset Data'!$Q$3:$Q$80,"")</f>
        <v>-1215</v>
      </c>
    </row>
    <row r="73" spans="2:11" x14ac:dyDescent="0.25">
      <c r="B73" s="105" t="str">
        <f>_xlfn.XLOOKUP(C73,'2024 Store Reset Data'!B:B,'2024 Store Reset Data'!H:H,"")</f>
        <v>A</v>
      </c>
      <c r="C73" s="33" t="str">
        <f>'2024 Store Reset Data'!B47</f>
        <v>PRESIDENT WINES &amp; LIQUORS</v>
      </c>
      <c r="D73" s="30" t="str">
        <f>_xlfn.XLOOKUP(C73,'2024 Store Reset Data'!B:B,'2024 Store Reset Data'!E:E,"")</f>
        <v>158 PRESIDENT ST, PASSAIC</v>
      </c>
      <c r="E73" s="40">
        <f>_xlfn.XLOOKUP(C73,'2024 Store Reset Data'!B:B, '2024 Store Reset Data'!I:I, "")</f>
        <v>45421</v>
      </c>
      <c r="F73" s="31">
        <f>_xlfn.XLOOKUP(C73,'2024 Store Reset Data'!B:B,'2024 Store Reset Data'!M:M,"")</f>
        <v>-6.9642439822388408E-2</v>
      </c>
      <c r="G73" s="48">
        <f>_xlfn.XLOOKUP(C73,'2024 Store Reset Data'!B:B,'2024 Store Reset Data'!R:R,"")</f>
        <v>-2.0170859041290937E-3</v>
      </c>
      <c r="H73" s="34">
        <v>-1.2E-2</v>
      </c>
      <c r="I73" s="29"/>
      <c r="J73" s="28">
        <f>_xlfn.XLOOKUP(C73,'2024 Store Reset Data'!$B$3:$B$80,'2024 Store Reset Data'!$L$3:$L$80,"")</f>
        <v>-894</v>
      </c>
      <c r="K73" s="28">
        <f>_xlfn.XLOOKUP(C73,'2024 Store Reset Data'!$B$3:$B$80,'2024 Store Reset Data'!$Q$3:$Q$80,"")</f>
        <v>-17</v>
      </c>
    </row>
    <row r="74" spans="2:11" x14ac:dyDescent="0.25">
      <c r="B74" s="105" t="str">
        <f>_xlfn.XLOOKUP(C74,'2024 Store Reset Data'!B:B,'2024 Store Reset Data'!H:H,"")</f>
        <v>C</v>
      </c>
      <c r="C74" s="33" t="str">
        <f>'2024 Store Reset Data'!B62</f>
        <v>CEDAR LIQUORS (Teaneck Quickshop(P)Conv)</v>
      </c>
      <c r="D74" s="30" t="str">
        <f>_xlfn.XLOOKUP(C74,'2024 Store Reset Data'!B:B,'2024 Store Reset Data'!E:E,"")</f>
        <v>725 CEDAR LN, TEANECK</v>
      </c>
      <c r="E74" s="40">
        <f>_xlfn.XLOOKUP(C74,'2024 Store Reset Data'!B:B, '2024 Store Reset Data'!I:I, "")</f>
        <v>45526</v>
      </c>
      <c r="F74" s="31">
        <f>_xlfn.XLOOKUP(C74,'2024 Store Reset Data'!B:B,'2024 Store Reset Data'!M:M,"")</f>
        <v>-7.3934837092731825E-2</v>
      </c>
      <c r="G74" s="48">
        <f>_xlfn.XLOOKUP(C74,'2024 Store Reset Data'!B:B,'2024 Store Reset Data'!R:R,"")</f>
        <v>-7.8610603290676415E-2</v>
      </c>
      <c r="H74" s="34">
        <v>-1.6E-2</v>
      </c>
      <c r="I74" s="29"/>
      <c r="J74" s="28">
        <f>_xlfn.XLOOKUP(C74,'2024 Store Reset Data'!$B$3:$B$80,'2024 Store Reset Data'!$L$3:$L$80,"")</f>
        <v>-295</v>
      </c>
      <c r="K74" s="28">
        <f>_xlfn.XLOOKUP(C74,'2024 Store Reset Data'!$B$3:$B$80,'2024 Store Reset Data'!$Q$3:$Q$80,"")</f>
        <v>-129</v>
      </c>
    </row>
    <row r="75" spans="2:11" x14ac:dyDescent="0.25">
      <c r="B75" s="105" t="str">
        <f>_xlfn.XLOOKUP(C75,'2024 Store Reset Data'!B:B,'2024 Store Reset Data'!H:H,"")</f>
        <v>B</v>
      </c>
      <c r="C75" s="33" t="str">
        <f>'2024 Store Reset Data'!B46</f>
        <v>RADBURN LIQUORS</v>
      </c>
      <c r="D75" s="30" t="str">
        <f>_xlfn.XLOOKUP(C75,'2024 Store Reset Data'!B:B,'2024 Store Reset Data'!E:E,"")</f>
        <v>14-35 PLAZA RD, FAIR LAWN</v>
      </c>
      <c r="E75" s="40">
        <f>_xlfn.XLOOKUP(C75,'2024 Store Reset Data'!B:B, '2024 Store Reset Data'!I:I, "")</f>
        <v>45420</v>
      </c>
      <c r="F75" s="31">
        <f>_xlfn.XLOOKUP(C75,'2024 Store Reset Data'!B:B,'2024 Store Reset Data'!M:M,"")</f>
        <v>-7.8955268688081656E-2</v>
      </c>
      <c r="G75" s="48">
        <f>_xlfn.XLOOKUP(C75,'2024 Store Reset Data'!B:B,'2024 Store Reset Data'!R:R,"")</f>
        <v>-0.11003236245954692</v>
      </c>
      <c r="H75" s="34">
        <v>-1.2E-2</v>
      </c>
      <c r="I75" s="29"/>
      <c r="J75" s="28">
        <f>_xlfn.XLOOKUP(C75,'2024 Store Reset Data'!$B$3:$B$80,'2024 Store Reset Data'!$L$3:$L$80,"")</f>
        <v>-263</v>
      </c>
      <c r="K75" s="28">
        <f>_xlfn.XLOOKUP(C75,'2024 Store Reset Data'!$B$3:$B$80,'2024 Store Reset Data'!$Q$3:$Q$80,"")</f>
        <v>-102</v>
      </c>
    </row>
    <row r="76" spans="2:11" x14ac:dyDescent="0.25">
      <c r="B76" s="105" t="str">
        <f>_xlfn.XLOOKUP(C76,'2024 Store Reset Data'!B:B,'2024 Store Reset Data'!H:H,"")</f>
        <v>C</v>
      </c>
      <c r="C76" s="33" t="str">
        <f>'2024 Store Reset Data'!B64</f>
        <v>MONTVALE WINE &amp; SPIRITS</v>
      </c>
      <c r="D76" s="30" t="str">
        <f>_xlfn.XLOOKUP(C76,'2024 Store Reset Data'!B:B,'2024 Store Reset Data'!E:E,"")</f>
        <v>18 S KINDERKAMACK RD, MONTVALE</v>
      </c>
      <c r="E76" s="40">
        <f>_xlfn.XLOOKUP(C76,'2024 Store Reset Data'!B:B, '2024 Store Reset Data'!I:I, "")</f>
        <v>45533</v>
      </c>
      <c r="F76" s="31">
        <f>_xlfn.XLOOKUP(C76,'2024 Store Reset Data'!B:B,'2024 Store Reset Data'!M:M,"")</f>
        <v>-8.2661290322580641E-2</v>
      </c>
      <c r="G76" s="48">
        <f>_xlfn.XLOOKUP(C76,'2024 Store Reset Data'!B:B,'2024 Store Reset Data'!R:R,"")</f>
        <v>-0.10795454545454546</v>
      </c>
      <c r="H76" s="34">
        <v>-1.7999999999999999E-2</v>
      </c>
      <c r="I76" s="29"/>
      <c r="J76" s="28">
        <f>_xlfn.XLOOKUP(C76,'2024 Store Reset Data'!$B$3:$B$80,'2024 Store Reset Data'!$L$3:$L$80,"")</f>
        <v>-41</v>
      </c>
      <c r="K76" s="28">
        <f>_xlfn.XLOOKUP(C76,'2024 Store Reset Data'!$B$3:$B$80,'2024 Store Reset Data'!$Q$3:$Q$80,"")</f>
        <v>-19</v>
      </c>
    </row>
    <row r="77" spans="2:11" x14ac:dyDescent="0.25">
      <c r="B77" s="105" t="str">
        <f>_xlfn.XLOOKUP(C77,'2024 Store Reset Data'!B:B,'2024 Store Reset Data'!H:H,"")</f>
        <v>B</v>
      </c>
      <c r="C77" s="33" t="str">
        <f>'2024 Store Reset Data'!B24</f>
        <v>B &amp; B LIQUORS</v>
      </c>
      <c r="D77" s="30" t="str">
        <f>_xlfn.XLOOKUP(C77,'2024 Store Reset Data'!B:B,'2024 Store Reset Data'!E:E,"")</f>
        <v>13 05 RIVER RD, FAIR LAWN</v>
      </c>
      <c r="E77" s="40">
        <f>_xlfn.XLOOKUP(C77,'2024 Store Reset Data'!B:B, '2024 Store Reset Data'!I:I, "")</f>
        <v>45393</v>
      </c>
      <c r="F77" s="31">
        <f>_xlfn.XLOOKUP(C77,'2024 Store Reset Data'!B:B,'2024 Store Reset Data'!M:M,"")</f>
        <v>-8.4001816255486611E-2</v>
      </c>
      <c r="G77" s="48">
        <f>_xlfn.XLOOKUP(C77,'2024 Store Reset Data'!B:B,'2024 Store Reset Data'!R:R,"")</f>
        <v>1.7707362534948742E-2</v>
      </c>
      <c r="H77" s="34">
        <v>-1.2999999999999999E-2</v>
      </c>
      <c r="I77" s="29"/>
      <c r="J77" s="28">
        <f>_xlfn.XLOOKUP(C77,'2024 Store Reset Data'!$B$3:$B$80,'2024 Store Reset Data'!$L$3:$L$80,"")</f>
        <v>-555</v>
      </c>
      <c r="K77" s="28">
        <f>_xlfn.XLOOKUP(C77,'2024 Store Reset Data'!$B$3:$B$80,'2024 Store Reset Data'!$Q$3:$Q$80,"")</f>
        <v>38</v>
      </c>
    </row>
    <row r="78" spans="2:11" x14ac:dyDescent="0.25">
      <c r="B78" s="105" t="str">
        <f>_xlfn.XLOOKUP(C78,'2024 Store Reset Data'!B:B,'2024 Store Reset Data'!H:H,"")</f>
        <v>A</v>
      </c>
      <c r="C78" s="33" t="str">
        <f>'2024 Store Reset Data'!B7</f>
        <v>LIQUOR GALLERY</v>
      </c>
      <c r="D78" s="30" t="str">
        <f>_xlfn.XLOOKUP(C78,'2024 Store Reset Data'!B:B,'2024 Store Reset Data'!E:E,"")</f>
        <v>459 MCBRIDE AVE, PATERSON</v>
      </c>
      <c r="E78" s="40">
        <f>_xlfn.XLOOKUP(C78,'2024 Store Reset Data'!B:B, '2024 Store Reset Data'!I:I, "")</f>
        <v>45349</v>
      </c>
      <c r="F78" s="31">
        <f>_xlfn.XLOOKUP(C78,'2024 Store Reset Data'!B:B,'2024 Store Reset Data'!M:M,"")</f>
        <v>-9.7844244690159898E-2</v>
      </c>
      <c r="G78" s="48">
        <f>_xlfn.XLOOKUP(C78,'2024 Store Reset Data'!B:B,'2024 Store Reset Data'!R:R,"")</f>
        <v>-8.5387443824050113E-2</v>
      </c>
      <c r="H78" s="34">
        <v>-0.01</v>
      </c>
      <c r="I78" s="29"/>
      <c r="J78" s="28">
        <f>_xlfn.XLOOKUP(C78,'2024 Store Reset Data'!$B$3:$B$80,'2024 Store Reset Data'!$L$3:$L$80,"")</f>
        <v>-1230</v>
      </c>
      <c r="K78" s="28">
        <f>_xlfn.XLOOKUP(C78,'2024 Store Reset Data'!$B$3:$B$80,'2024 Store Reset Data'!$Q$3:$Q$80,"")</f>
        <v>-627</v>
      </c>
    </row>
    <row r="79" spans="2:11" x14ac:dyDescent="0.25">
      <c r="B79" s="105" t="str">
        <f>_xlfn.XLOOKUP(C79,'2024 Store Reset Data'!B:B,'2024 Store Reset Data'!H:H,"")</f>
        <v>A</v>
      </c>
      <c r="C79" s="33" t="str">
        <f>'2024 Store Reset Data'!B52</f>
        <v>SHANIK LIQUORS</v>
      </c>
      <c r="D79" s="30" t="str">
        <f>_xlfn.XLOOKUP(C79,'2024 Store Reset Data'!B:B,'2024 Store Reset Data'!E:E,"")</f>
        <v>952 MAIN AVE, PASSAIC</v>
      </c>
      <c r="E79" s="40">
        <f>_xlfn.XLOOKUP(C79,'2024 Store Reset Data'!B:B, '2024 Store Reset Data'!I:I, "")</f>
        <v>45428</v>
      </c>
      <c r="F79" s="31">
        <f>_xlfn.XLOOKUP(C79,'2024 Store Reset Data'!B:B,'2024 Store Reset Data'!M:M,"")</f>
        <v>-9.9745012749362538E-2</v>
      </c>
      <c r="G79" s="48">
        <f>_xlfn.XLOOKUP(C79,'2024 Store Reset Data'!B:B,'2024 Store Reset Data'!R:R,"")</f>
        <v>-0.10739535405678376</v>
      </c>
      <c r="H79" s="34">
        <v>-7.0000000000000001E-3</v>
      </c>
      <c r="I79" s="29"/>
      <c r="J79" s="28">
        <f>_xlfn.XLOOKUP(C79,'2024 Store Reset Data'!$B$3:$B$80,'2024 Store Reset Data'!$L$3:$L$80,"")</f>
        <v>-1330</v>
      </c>
      <c r="K79" s="28">
        <f>_xlfn.XLOOKUP(C79,'2024 Store Reset Data'!$B$3:$B$80,'2024 Store Reset Data'!$Q$3:$Q$80,"")</f>
        <v>-957</v>
      </c>
    </row>
    <row r="80" spans="2:11" x14ac:dyDescent="0.25">
      <c r="B80" s="105" t="str">
        <f>_xlfn.XLOOKUP(C80,'2024 Store Reset Data'!B:B,'2024 Store Reset Data'!H:H,"")</f>
        <v>A</v>
      </c>
      <c r="C80" s="33" t="str">
        <f>'2024 Store Reset Data'!B45</f>
        <v>PARKER LIQUOR</v>
      </c>
      <c r="D80" s="30" t="str">
        <f>_xlfn.XLOOKUP(C80,'2024 Store Reset Data'!B:B,'2024 Store Reset Data'!E:E,"")</f>
        <v>203 PARKER AVE, CLIFTON</v>
      </c>
      <c r="E80" s="40">
        <f>_xlfn.XLOOKUP(C80,'2024 Store Reset Data'!B:B, '2024 Store Reset Data'!I:I, "")</f>
        <v>45420</v>
      </c>
      <c r="F80" s="31">
        <f>_xlfn.XLOOKUP(C80,'2024 Store Reset Data'!B:B,'2024 Store Reset Data'!M:M,"")</f>
        <v>-0.11355287748920538</v>
      </c>
      <c r="G80" s="48">
        <f>_xlfn.XLOOKUP(C80,'2024 Store Reset Data'!B:B,'2024 Store Reset Data'!R:R,"")</f>
        <v>-5.5899295924898659E-2</v>
      </c>
      <c r="H80" s="34">
        <v>-1.2E-2</v>
      </c>
      <c r="I80" s="29"/>
      <c r="J80" s="28">
        <f>_xlfn.XLOOKUP(C80,'2024 Store Reset Data'!$B$3:$B$80,'2024 Store Reset Data'!$L$3:$L$80,"")</f>
        <v>-1762</v>
      </c>
      <c r="K80" s="28">
        <f>_xlfn.XLOOKUP(C80,'2024 Store Reset Data'!$B$3:$B$80,'2024 Store Reset Data'!$Q$3:$Q$80,"")</f>
        <v>-524</v>
      </c>
    </row>
    <row r="81" spans="2:11" x14ac:dyDescent="0.25">
      <c r="B81" s="105" t="str">
        <f>_xlfn.XLOOKUP(C81,'2024 Store Reset Data'!B:B,'2024 Store Reset Data'!H:H,"")</f>
        <v>A</v>
      </c>
      <c r="C81" s="33" t="str">
        <f>'2024 Store Reset Data'!B11</f>
        <v>SHOPRITE LIQUORS (Clifton)</v>
      </c>
      <c r="D81" s="30" t="str">
        <f>_xlfn.XLOOKUP(C81,'2024 Store Reset Data'!B:B,'2024 Store Reset Data'!E:E,"")</f>
        <v>895 PAULISON AVE, CLIFTON</v>
      </c>
      <c r="E81" s="40">
        <f>_xlfn.XLOOKUP(C81,'2024 Store Reset Data'!B:B, '2024 Store Reset Data'!I:I, "")</f>
        <v>45371</v>
      </c>
      <c r="F81" s="31">
        <f>_xlfn.XLOOKUP(C81,'2024 Store Reset Data'!B:B,'2024 Store Reset Data'!M:M,"")</f>
        <v>-0.11365225724571991</v>
      </c>
      <c r="G81" s="48">
        <f>_xlfn.XLOOKUP(C81,'2024 Store Reset Data'!B:B,'2024 Store Reset Data'!R:R,"")</f>
        <v>-5.4772123441651339E-2</v>
      </c>
      <c r="H81" s="34">
        <v>-1.4999999999999999E-2</v>
      </c>
      <c r="I81" s="29"/>
      <c r="J81" s="28">
        <f>_xlfn.XLOOKUP(C81,'2024 Store Reset Data'!$B$3:$B$80,'2024 Store Reset Data'!$L$3:$L$80,"")</f>
        <v>-4388</v>
      </c>
      <c r="K81" s="28">
        <f>_xlfn.XLOOKUP(C81,'2024 Store Reset Data'!$B$3:$B$80,'2024 Store Reset Data'!$Q$3:$Q$80,"")</f>
        <v>-1072</v>
      </c>
    </row>
    <row r="82" spans="2:11" x14ac:dyDescent="0.25">
      <c r="B82" s="105" t="str">
        <f>_xlfn.XLOOKUP(C82,'2024 Store Reset Data'!B:B,'2024 Store Reset Data'!H:H,"")</f>
        <v>C</v>
      </c>
      <c r="C82" s="33" t="str">
        <f>'2024 Store Reset Data'!B6</f>
        <v>WIDES DELI &amp; LIQUORS</v>
      </c>
      <c r="D82" s="30" t="str">
        <f>_xlfn.XLOOKUP(C82,'2024 Store Reset Data'!B:B,'2024 Store Reset Data'!E:E,"")</f>
        <v>85 CENTRAL AVE, RIDGEFIELD PARK</v>
      </c>
      <c r="E82" s="40">
        <f>_xlfn.XLOOKUP(C82,'2024 Store Reset Data'!B:B, '2024 Store Reset Data'!I:I, "")</f>
        <v>45330</v>
      </c>
      <c r="F82" s="31">
        <f>_xlfn.XLOOKUP(C82,'2024 Store Reset Data'!B:B,'2024 Store Reset Data'!M:M,"")</f>
        <v>-0.1165644171779141</v>
      </c>
      <c r="G82" s="48">
        <f>_xlfn.XLOOKUP(C82,'2024 Store Reset Data'!B:B,'2024 Store Reset Data'!R:R,"")</f>
        <v>-8.7636932707355245E-2</v>
      </c>
      <c r="H82" s="34">
        <v>-3.0000000000000001E-3</v>
      </c>
      <c r="I82" s="29"/>
      <c r="J82" s="28">
        <f>_xlfn.XLOOKUP(C82,'2024 Store Reset Data'!$B$3:$B$80,'2024 Store Reset Data'!$L$3:$L$80,"")</f>
        <v>-285</v>
      </c>
      <c r="K82" s="28">
        <f>_xlfn.XLOOKUP(C82,'2024 Store Reset Data'!$B$3:$B$80,'2024 Store Reset Data'!$Q$3:$Q$80,"")</f>
        <v>-112</v>
      </c>
    </row>
    <row r="83" spans="2:11" x14ac:dyDescent="0.25">
      <c r="B83" s="105" t="str">
        <f>_xlfn.XLOOKUP(C83,'2024 Store Reset Data'!B:B,'2024 Store Reset Data'!H:H,"")</f>
        <v>B</v>
      </c>
      <c r="C83" s="33" t="str">
        <f>'2024 Store Reset Data'!B28</f>
        <v>WINE COUNTRY</v>
      </c>
      <c r="D83" s="30" t="str">
        <f>_xlfn.XLOOKUP(C83,'2024 Store Reset Data'!B:B,'2024 Store Reset Data'!E:E,"")</f>
        <v>195 MARKET ST, SADDLE BROOK</v>
      </c>
      <c r="E83" s="40">
        <f>_xlfn.XLOOKUP(C83,'2024 Store Reset Data'!B:B, '2024 Store Reset Data'!I:I, "")</f>
        <v>45398</v>
      </c>
      <c r="F83" s="31">
        <f>_xlfn.XLOOKUP(C83,'2024 Store Reset Data'!B:B,'2024 Store Reset Data'!M:M,"")</f>
        <v>-0.12573050592753382</v>
      </c>
      <c r="G83" s="48">
        <f>_xlfn.XLOOKUP(C83,'2024 Store Reset Data'!B:B,'2024 Store Reset Data'!R:R,"")</f>
        <v>-4.0293040293040296E-2</v>
      </c>
      <c r="H83" s="34">
        <v>-8.0000000000000002E-3</v>
      </c>
      <c r="I83" s="29"/>
      <c r="J83" s="28">
        <f>_xlfn.XLOOKUP(C83,'2024 Store Reset Data'!$B$3:$B$80,'2024 Store Reset Data'!$L$3:$L$80,"")</f>
        <v>-753</v>
      </c>
      <c r="K83" s="28">
        <f>_xlfn.XLOOKUP(C83,'2024 Store Reset Data'!$B$3:$B$80,'2024 Store Reset Data'!$Q$3:$Q$80,"")</f>
        <v>-55</v>
      </c>
    </row>
    <row r="84" spans="2:11" x14ac:dyDescent="0.25">
      <c r="B84" s="105" t="str">
        <f>_xlfn.XLOOKUP(C84,'2024 Store Reset Data'!B:B,'2024 Store Reset Data'!H:H,"")</f>
        <v>C</v>
      </c>
      <c r="C84" s="33" t="str">
        <f>'2024 Store Reset Data'!B66</f>
        <v>FOOD MART LIQUOR</v>
      </c>
      <c r="D84" s="30" t="str">
        <f>_xlfn.XLOOKUP(C84,'2024 Store Reset Data'!B:B,'2024 Store Reset Data'!E:E,"")</f>
        <v>430 MARKET ST, ELMWOOD PARK</v>
      </c>
      <c r="E84" s="40">
        <f>_xlfn.XLOOKUP(C84,'2024 Store Reset Data'!B:B, '2024 Store Reset Data'!I:I, "")</f>
        <v>45560</v>
      </c>
      <c r="F84" s="31">
        <f>_xlfn.XLOOKUP(C84,'2024 Store Reset Data'!B:B,'2024 Store Reset Data'!M:M,"")</f>
        <v>-0.15677966101694915</v>
      </c>
      <c r="G84" s="48">
        <f>_xlfn.XLOOKUP(C84,'2024 Store Reset Data'!B:B,'2024 Store Reset Data'!R:R,"")</f>
        <v>-0.5938697318007663</v>
      </c>
      <c r="H84" s="34">
        <v>-5.0000000000000001E-3</v>
      </c>
      <c r="I84" s="29"/>
      <c r="J84" s="28">
        <f>_xlfn.XLOOKUP(C84,'2024 Store Reset Data'!$B$3:$B$80,'2024 Store Reset Data'!$L$3:$L$80,"")</f>
        <v>-74</v>
      </c>
      <c r="K84" s="28">
        <f>_xlfn.XLOOKUP(C84,'2024 Store Reset Data'!$B$3:$B$80,'2024 Store Reset Data'!$Q$3:$Q$80,"")</f>
        <v>-155</v>
      </c>
    </row>
    <row r="85" spans="2:11" x14ac:dyDescent="0.25">
      <c r="B85" s="105" t="str">
        <f>_xlfn.XLOOKUP(C85,'2024 Store Reset Data'!B:B,'2024 Store Reset Data'!H:H,"")</f>
        <v>A</v>
      </c>
      <c r="C85" s="33" t="str">
        <f>'2024 Store Reset Data'!B68</f>
        <v>ARCHIES LIQUOR</v>
      </c>
      <c r="D85" s="30" t="str">
        <f>_xlfn.XLOOKUP(C85,'2024 Store Reset Data'!B:B,'2024 Store Reset Data'!E:E,"")</f>
        <v>229 MAIN AVE, PASSAIC</v>
      </c>
      <c r="E85" s="80">
        <f>_xlfn.XLOOKUP(C85,'2024 Store Reset Data'!B:B, '2024 Store Reset Data'!I:I, "")</f>
        <v>45567</v>
      </c>
      <c r="F85" s="31">
        <f>_xlfn.XLOOKUP(C85,'2024 Store Reset Data'!B:B,'2024 Store Reset Data'!M:M,"")</f>
        <v>-0.17940414507772021</v>
      </c>
      <c r="G85" s="48">
        <f>_xlfn.XLOOKUP(C85,'2024 Store Reset Data'!B:B,'2024 Store Reset Data'!R:R,"")</f>
        <v>-0.10311362717347351</v>
      </c>
      <c r="H85" s="34">
        <v>-4.0000000000000001E-3</v>
      </c>
      <c r="I85" s="29"/>
      <c r="J85" s="28">
        <f>_xlfn.XLOOKUP(C85,'2024 Store Reset Data'!$B$3:$B$80,'2024 Store Reset Data'!$L$3:$L$80,"")</f>
        <v>-831</v>
      </c>
      <c r="K85" s="28">
        <f>_xlfn.XLOOKUP(C85,'2024 Store Reset Data'!$B$3:$B$80,'2024 Store Reset Data'!$Q$3:$Q$80,"")</f>
        <v>-255</v>
      </c>
    </row>
    <row r="86" spans="2:11" x14ac:dyDescent="0.25">
      <c r="B86" s="105" t="str">
        <f>_xlfn.XLOOKUP(C86,'2024 Store Reset Data'!B:B,'2024 Store Reset Data'!H:H,"")</f>
        <v>A</v>
      </c>
      <c r="C86" s="33" t="str">
        <f>'2024 Store Reset Data'!B18</f>
        <v>LUIGIS LIQUOR</v>
      </c>
      <c r="D86" s="30" t="str">
        <f>_xlfn.XLOOKUP(C86,'2024 Store Reset Data'!B:B,'2024 Store Reset Data'!E:E,"")</f>
        <v>175 JEFFERSON ST, PASSAIC</v>
      </c>
      <c r="E86" s="40">
        <f>_xlfn.XLOOKUP(C86,'2024 Store Reset Data'!B:B, '2024 Store Reset Data'!I:I, "")</f>
        <v>45386</v>
      </c>
      <c r="F86" s="31">
        <f>_xlfn.XLOOKUP(C86,'2024 Store Reset Data'!B:B,'2024 Store Reset Data'!M:M,"")</f>
        <v>-0.2283451438099208</v>
      </c>
      <c r="G86" s="48">
        <f>_xlfn.XLOOKUP(C86,'2024 Store Reset Data'!B:B,'2024 Store Reset Data'!R:R,"")</f>
        <v>-0.14804512440117448</v>
      </c>
      <c r="H86" s="34">
        <v>-7.0000000000000001E-3</v>
      </c>
      <c r="I86" s="29"/>
      <c r="J86" s="28">
        <f>_xlfn.XLOOKUP(C86,'2024 Store Reset Data'!$B$3:$B$80,'2024 Store Reset Data'!$L$3:$L$80,"")</f>
        <v>-2739</v>
      </c>
      <c r="K86" s="28">
        <f>_xlfn.XLOOKUP(C86,'2024 Store Reset Data'!$B$3:$B$80,'2024 Store Reset Data'!$Q$3:$Q$80,"")</f>
        <v>-958</v>
      </c>
    </row>
    <row r="87" spans="2:11" ht="16.5" thickBot="1" x14ac:dyDescent="0.3">
      <c r="B87" s="109" t="str">
        <f>_xlfn.XLOOKUP(C87,'2024 Store Reset Data'!B:B,'2024 Store Reset Data'!H:H,"")</f>
        <v>B</v>
      </c>
      <c r="C87" s="110" t="str">
        <f>'2024 Store Reset Data'!B73</f>
        <v>LIQUOR MART</v>
      </c>
      <c r="D87" s="36" t="str">
        <f>_xlfn.XLOOKUP(C87,'2024 Store Reset Data'!B:B,'2024 Store Reset Data'!E:E,"")</f>
        <v>1132 US HIGHWAY 46, CLIFTON</v>
      </c>
      <c r="E87" s="81">
        <f>_xlfn.XLOOKUP(C87,'2024 Store Reset Data'!B:B, '2024 Store Reset Data'!I:I, "")</f>
        <v>45582</v>
      </c>
      <c r="F87" s="111">
        <f>_xlfn.XLOOKUP(C87,'2024 Store Reset Data'!B:B,'2024 Store Reset Data'!M:M,"")</f>
        <v>-1.1524324324324324</v>
      </c>
      <c r="G87" s="112">
        <f>_xlfn.XLOOKUP(C87,'2024 Store Reset Data'!B:B,'2024 Store Reset Data'!R:R,"")</f>
        <v>-1.1797235023041475</v>
      </c>
      <c r="H87" s="37">
        <v>-4.0000000000000001E-3</v>
      </c>
      <c r="I87" s="29"/>
      <c r="J87" s="28">
        <f>_xlfn.XLOOKUP(C87,'2024 Store Reset Data'!$B$3:$B$80,'2024 Store Reset Data'!$L$3:$L$80,"")</f>
        <v>-1066</v>
      </c>
      <c r="K87" s="28">
        <f>_xlfn.XLOOKUP(C87,'2024 Store Reset Data'!$B$3:$B$80,'2024 Store Reset Data'!$Q$3:$Q$80,"")</f>
        <v>-512</v>
      </c>
    </row>
    <row r="88" spans="2:11" x14ac:dyDescent="0.25">
      <c r="C88" s="106"/>
      <c r="E88" s="28"/>
      <c r="F88" s="41"/>
      <c r="I88" s="29">
        <v>-2.4E-2</v>
      </c>
      <c r="J88" s="28" t="str">
        <f>_xlfn.XLOOKUP(C88,'2024 Store Reset Data'!$B$3:$B$80,'2024 Store Reset Data'!$Q$3:$Q$80,"")</f>
        <v/>
      </c>
    </row>
    <row r="89" spans="2:11" x14ac:dyDescent="0.25">
      <c r="E89" s="28"/>
      <c r="F89" s="44"/>
      <c r="J89" s="28" t="str">
        <f>_xlfn.XLOOKUP(C89,'2024 Store Reset Data'!$B$3:$B$80,'2024 Store Reset Data'!$Q$3:$Q$80,"")</f>
        <v/>
      </c>
    </row>
    <row r="90" spans="2:11" x14ac:dyDescent="0.25">
      <c r="E90" s="28"/>
      <c r="F90" s="41"/>
    </row>
    <row r="92" spans="2:11" ht="16.5" thickBot="1" x14ac:dyDescent="0.3"/>
    <row r="93" spans="2:11" ht="16.5" thickBot="1" x14ac:dyDescent="0.3">
      <c r="C93" s="92" t="s">
        <v>218</v>
      </c>
      <c r="D93" s="93"/>
    </row>
    <row r="94" spans="2:11" x14ac:dyDescent="0.25">
      <c r="C94" s="51" t="s">
        <v>219</v>
      </c>
      <c r="D94" s="52">
        <v>78</v>
      </c>
    </row>
    <row r="95" spans="2:11" x14ac:dyDescent="0.25">
      <c r="C95" s="53" t="s">
        <v>224</v>
      </c>
      <c r="D95" s="54">
        <f>H1</f>
        <v>-6.1948051948051983E-3</v>
      </c>
    </row>
    <row r="96" spans="2:11" ht="16.5" thickBot="1" x14ac:dyDescent="0.3">
      <c r="C96" s="55" t="s">
        <v>220</v>
      </c>
      <c r="D96" s="56">
        <f>F2</f>
        <v>52</v>
      </c>
      <c r="E96" s="70">
        <f>D96/D94</f>
        <v>0.66666666666666663</v>
      </c>
      <c r="F96" s="28" t="s">
        <v>232</v>
      </c>
    </row>
    <row r="97" spans="3:5" ht="16.5" thickBot="1" x14ac:dyDescent="0.3"/>
    <row r="98" spans="3:5" ht="16.5" thickBot="1" x14ac:dyDescent="0.3">
      <c r="C98" s="94" t="s">
        <v>218</v>
      </c>
      <c r="D98" s="95"/>
    </row>
    <row r="99" spans="3:5" ht="16.5" thickBot="1" x14ac:dyDescent="0.3">
      <c r="C99" s="96" t="s">
        <v>225</v>
      </c>
      <c r="D99" s="97"/>
    </row>
    <row r="100" spans="3:5" ht="16.5" customHeight="1" thickBot="1" x14ac:dyDescent="0.3">
      <c r="C100" s="63" t="s">
        <v>226</v>
      </c>
      <c r="D100" s="64">
        <v>4.2999999999999997E-2</v>
      </c>
      <c r="E100" s="100" t="s">
        <v>231</v>
      </c>
    </row>
    <row r="101" spans="3:5" ht="16.5" thickBot="1" x14ac:dyDescent="0.3">
      <c r="C101" s="65" t="s">
        <v>227</v>
      </c>
      <c r="D101" s="66">
        <v>7.5999999999999998E-2</v>
      </c>
      <c r="E101" s="100"/>
    </row>
    <row r="102" spans="3:5" ht="16.5" thickBot="1" x14ac:dyDescent="0.3">
      <c r="C102" s="98" t="s">
        <v>228</v>
      </c>
      <c r="D102" s="99"/>
    </row>
    <row r="103" spans="3:5" ht="16.5" thickBot="1" x14ac:dyDescent="0.3">
      <c r="C103" s="63" t="s">
        <v>229</v>
      </c>
      <c r="D103" s="68">
        <v>-1.2E-2</v>
      </c>
    </row>
    <row r="104" spans="3:5" ht="16.5" thickBot="1" x14ac:dyDescent="0.3">
      <c r="C104" s="67" t="s">
        <v>230</v>
      </c>
      <c r="D104" s="69">
        <v>5.0999999999999997E-2</v>
      </c>
    </row>
  </sheetData>
  <autoFilter ref="B10:G89" xr:uid="{E3D34BCC-F9EC-42E3-B6C3-687AFE6078ED}"/>
  <mergeCells count="2">
    <mergeCell ref="P2:R2"/>
    <mergeCell ref="T2:V2"/>
  </mergeCells>
  <conditionalFormatting sqref="F11:F80 F82:F8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G80 G82:G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BA5-E023-4930-AE81-9D5D7910E2CB}">
  <sheetPr>
    <pageSetUpPr fitToPage="1"/>
  </sheetPr>
  <dimension ref="A1:U81"/>
  <sheetViews>
    <sheetView topLeftCell="A3" zoomScaleNormal="70" workbookViewId="0">
      <selection activeCell="L30" sqref="L30"/>
    </sheetView>
  </sheetViews>
  <sheetFormatPr defaultRowHeight="15" x14ac:dyDescent="0.25"/>
  <cols>
    <col min="1" max="1" width="35.85546875" customWidth="1"/>
    <col min="2" max="2" width="35.7109375" customWidth="1"/>
    <col min="3" max="3" width="22.85546875" customWidth="1"/>
    <col min="4" max="4" width="16" customWidth="1"/>
    <col min="5" max="5" width="50" bestFit="1" customWidth="1"/>
    <col min="6" max="6" width="12.140625" customWidth="1"/>
    <col min="7" max="7" width="9.140625" customWidth="1"/>
    <col min="8" max="8" width="7.28515625" customWidth="1"/>
    <col min="9" max="9" width="12.28515625" customWidth="1"/>
    <col min="10" max="10" width="10.140625" style="15" customWidth="1"/>
    <col min="11" max="12" width="10.7109375" style="15" customWidth="1"/>
    <col min="13" max="13" width="14.5703125" style="25" customWidth="1"/>
    <col min="14" max="14" width="14.5703125" style="15" hidden="1" customWidth="1"/>
    <col min="15" max="15" width="10.28515625" style="15" customWidth="1"/>
    <col min="16" max="17" width="10.85546875" style="15" customWidth="1"/>
    <col min="18" max="18" width="14.42578125" style="15" customWidth="1"/>
    <col min="19" max="19" width="14.28515625" style="15" customWidth="1"/>
    <col min="20" max="20" width="18.140625" style="15" customWidth="1"/>
    <col min="21" max="21" width="19.28515625" style="15" customWidth="1"/>
  </cols>
  <sheetData>
    <row r="1" spans="1:21" ht="23.25" x14ac:dyDescent="0.35">
      <c r="A1" s="59" t="s">
        <v>189</v>
      </c>
      <c r="B1" s="59"/>
      <c r="C1" s="59"/>
      <c r="D1" s="59"/>
      <c r="E1" s="59"/>
      <c r="F1" s="60"/>
      <c r="G1" s="1"/>
      <c r="H1" s="1"/>
      <c r="I1" s="1"/>
      <c r="J1" s="12"/>
      <c r="K1" s="12"/>
      <c r="L1" s="12"/>
      <c r="M1" s="22"/>
      <c r="N1" s="12"/>
      <c r="O1" s="61" t="s">
        <v>193</v>
      </c>
      <c r="P1" s="61"/>
      <c r="Q1" s="61"/>
      <c r="R1" s="61"/>
      <c r="S1" s="62" t="s">
        <v>198</v>
      </c>
      <c r="T1" s="62"/>
      <c r="U1" s="62"/>
    </row>
    <row r="2" spans="1:21" ht="57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213</v>
      </c>
      <c r="F2" s="3" t="s">
        <v>4</v>
      </c>
      <c r="G2" s="3" t="s">
        <v>5</v>
      </c>
      <c r="H2" s="3" t="s">
        <v>6</v>
      </c>
      <c r="I2" s="2" t="s">
        <v>7</v>
      </c>
      <c r="J2" s="9" t="s">
        <v>190</v>
      </c>
      <c r="K2" s="9" t="s">
        <v>191</v>
      </c>
      <c r="L2" s="9"/>
      <c r="M2" s="23" t="s">
        <v>192</v>
      </c>
      <c r="N2" s="9" t="s">
        <v>197</v>
      </c>
      <c r="O2" s="10" t="s">
        <v>190</v>
      </c>
      <c r="P2" s="10" t="s">
        <v>191</v>
      </c>
      <c r="Q2" s="10" t="s">
        <v>199</v>
      </c>
      <c r="R2" s="10" t="s">
        <v>192</v>
      </c>
      <c r="S2" s="11" t="s">
        <v>194</v>
      </c>
      <c r="T2" s="11" t="s">
        <v>195</v>
      </c>
      <c r="U2" s="11" t="s">
        <v>196</v>
      </c>
    </row>
    <row r="3" spans="1:21" ht="18" customHeight="1" x14ac:dyDescent="0.25">
      <c r="A3" s="4">
        <v>767151</v>
      </c>
      <c r="B3" s="5" t="s">
        <v>204</v>
      </c>
      <c r="C3" s="5" t="s">
        <v>8</v>
      </c>
      <c r="D3" s="5" t="s">
        <v>9</v>
      </c>
      <c r="E3" s="5" t="str">
        <f>C3 &amp; ", " &amp; D3</f>
        <v>60 BEAVERBROOK RD, LINCOLN PARK</v>
      </c>
      <c r="F3" s="5" t="s">
        <v>10</v>
      </c>
      <c r="G3" s="5">
        <v>7035</v>
      </c>
      <c r="H3" s="5" t="s">
        <v>11</v>
      </c>
      <c r="I3" s="19">
        <v>45309</v>
      </c>
      <c r="J3" s="14">
        <v>24792</v>
      </c>
      <c r="K3" s="14">
        <v>23167</v>
      </c>
      <c r="L3" s="14">
        <f>K3-J3</f>
        <v>-1625</v>
      </c>
      <c r="M3" s="20">
        <f>(K3-J3)/J3</f>
        <v>-6.5545337205550183E-2</v>
      </c>
      <c r="N3" s="13"/>
      <c r="O3" s="16">
        <v>3479</v>
      </c>
      <c r="P3" s="16">
        <v>4326</v>
      </c>
      <c r="Q3" s="16">
        <f>P3-O3</f>
        <v>847</v>
      </c>
      <c r="R3" s="21">
        <f>(P3-O3)/O3</f>
        <v>0.24346076458752516</v>
      </c>
      <c r="S3" s="16">
        <v>47</v>
      </c>
      <c r="T3" s="16">
        <v>66</v>
      </c>
      <c r="U3" s="16">
        <f>T3-S3</f>
        <v>19</v>
      </c>
    </row>
    <row r="4" spans="1:21" ht="18" customHeight="1" x14ac:dyDescent="0.25">
      <c r="A4" s="4">
        <v>7467043</v>
      </c>
      <c r="B4" s="5" t="s">
        <v>205</v>
      </c>
      <c r="C4" s="5" t="s">
        <v>12</v>
      </c>
      <c r="D4" s="5" t="s">
        <v>13</v>
      </c>
      <c r="E4" s="5" t="str">
        <f t="shared" ref="E4:E67" si="0">C4 &amp; ", " &amp; D4</f>
        <v>375 PATERSON AVE STE C, WALLINGTON</v>
      </c>
      <c r="F4" s="5" t="s">
        <v>10</v>
      </c>
      <c r="G4" s="5">
        <v>7057</v>
      </c>
      <c r="H4" s="5" t="s">
        <v>14</v>
      </c>
      <c r="I4" s="19">
        <v>45323</v>
      </c>
      <c r="J4" s="14">
        <v>16318</v>
      </c>
      <c r="K4" s="14">
        <v>17364</v>
      </c>
      <c r="L4" s="14">
        <f t="shared" ref="L4:L67" si="1">K4-J4</f>
        <v>1046</v>
      </c>
      <c r="M4" s="20">
        <f>(K4-J4)/J4</f>
        <v>6.4100992768721651E-2</v>
      </c>
      <c r="N4" s="13" t="s">
        <v>200</v>
      </c>
      <c r="O4" s="16">
        <v>3800</v>
      </c>
      <c r="P4" s="16">
        <v>4120</v>
      </c>
      <c r="Q4" s="16">
        <f t="shared" ref="Q4:Q67" si="2">P4-O4</f>
        <v>320</v>
      </c>
      <c r="R4" s="21">
        <f>(P4-O4)/O4</f>
        <v>8.4210526315789472E-2</v>
      </c>
      <c r="S4" s="16">
        <v>31</v>
      </c>
      <c r="T4" s="16">
        <v>44</v>
      </c>
      <c r="U4" s="16">
        <f t="shared" ref="U4:U67" si="3">T4-S4</f>
        <v>13</v>
      </c>
    </row>
    <row r="5" spans="1:21" ht="18" customHeight="1" x14ac:dyDescent="0.25">
      <c r="A5" s="4">
        <v>883429</v>
      </c>
      <c r="B5" s="5" t="s">
        <v>15</v>
      </c>
      <c r="C5" s="5" t="s">
        <v>16</v>
      </c>
      <c r="D5" s="5" t="s">
        <v>17</v>
      </c>
      <c r="E5" s="5" t="str">
        <f t="shared" si="0"/>
        <v>1531 TEANECK RD, TEANECK</v>
      </c>
      <c r="F5" s="5" t="s">
        <v>10</v>
      </c>
      <c r="G5" s="5">
        <v>7666</v>
      </c>
      <c r="H5" s="5" t="s">
        <v>11</v>
      </c>
      <c r="I5" s="19">
        <v>45327</v>
      </c>
      <c r="J5" s="14">
        <v>6627</v>
      </c>
      <c r="K5" s="14">
        <v>7721</v>
      </c>
      <c r="L5" s="14">
        <f t="shared" si="1"/>
        <v>1094</v>
      </c>
      <c r="M5" s="20">
        <f>(K5-J5)/J5</f>
        <v>0.16508223932397767</v>
      </c>
      <c r="N5" s="13"/>
      <c r="O5" s="16">
        <v>4312</v>
      </c>
      <c r="P5" s="16">
        <v>5295</v>
      </c>
      <c r="Q5" s="16">
        <f t="shared" si="2"/>
        <v>983</v>
      </c>
      <c r="R5" s="21">
        <f>(P5-O5)/O5</f>
        <v>0.22796846011131724</v>
      </c>
      <c r="S5" s="16">
        <v>37</v>
      </c>
      <c r="T5" s="16">
        <v>43</v>
      </c>
      <c r="U5" s="16">
        <f t="shared" si="3"/>
        <v>6</v>
      </c>
    </row>
    <row r="6" spans="1:21" ht="18" customHeight="1" x14ac:dyDescent="0.25">
      <c r="A6" s="4">
        <v>7523110</v>
      </c>
      <c r="B6" s="5" t="s">
        <v>18</v>
      </c>
      <c r="C6" s="5" t="s">
        <v>19</v>
      </c>
      <c r="D6" s="5" t="s">
        <v>20</v>
      </c>
      <c r="E6" s="5" t="str">
        <f t="shared" si="0"/>
        <v>85 CENTRAL AVE, RIDGEFIELD PARK</v>
      </c>
      <c r="F6" s="5" t="s">
        <v>10</v>
      </c>
      <c r="G6" s="5">
        <v>7660</v>
      </c>
      <c r="H6" s="5" t="s">
        <v>21</v>
      </c>
      <c r="I6" s="19">
        <v>45330</v>
      </c>
      <c r="J6" s="14">
        <v>2445</v>
      </c>
      <c r="K6" s="14">
        <v>2160</v>
      </c>
      <c r="L6" s="14">
        <f t="shared" si="1"/>
        <v>-285</v>
      </c>
      <c r="M6" s="20">
        <f>(K6-J6)/J6</f>
        <v>-0.1165644171779141</v>
      </c>
      <c r="N6" s="13"/>
      <c r="O6" s="16">
        <v>1278</v>
      </c>
      <c r="P6" s="16">
        <v>1166</v>
      </c>
      <c r="Q6" s="16">
        <f t="shared" si="2"/>
        <v>-112</v>
      </c>
      <c r="R6" s="21">
        <f>(P6-O6)/O6</f>
        <v>-8.7636932707355245E-2</v>
      </c>
      <c r="S6" s="16">
        <v>26</v>
      </c>
      <c r="T6" s="16">
        <v>29</v>
      </c>
      <c r="U6" s="16">
        <f t="shared" si="3"/>
        <v>3</v>
      </c>
    </row>
    <row r="7" spans="1:21" ht="18" customHeight="1" x14ac:dyDescent="0.25">
      <c r="A7" s="4">
        <v>889755</v>
      </c>
      <c r="B7" s="5" t="s">
        <v>22</v>
      </c>
      <c r="C7" s="5" t="s">
        <v>23</v>
      </c>
      <c r="D7" s="5" t="s">
        <v>24</v>
      </c>
      <c r="E7" s="5" t="str">
        <f t="shared" si="0"/>
        <v>459 MCBRIDE AVE, PATERSON</v>
      </c>
      <c r="F7" s="5" t="s">
        <v>10</v>
      </c>
      <c r="G7" s="5">
        <v>7501</v>
      </c>
      <c r="H7" s="5" t="s">
        <v>14</v>
      </c>
      <c r="I7" s="19">
        <v>45349</v>
      </c>
      <c r="J7" s="14">
        <v>12571</v>
      </c>
      <c r="K7" s="14">
        <v>11341</v>
      </c>
      <c r="L7" s="14">
        <f t="shared" si="1"/>
        <v>-1230</v>
      </c>
      <c r="M7" s="20">
        <f t="shared" ref="M7:M79" si="4">(K7-J7)/J7</f>
        <v>-9.7844244690159898E-2</v>
      </c>
      <c r="N7" s="13"/>
      <c r="O7" s="16">
        <v>7343</v>
      </c>
      <c r="P7" s="16">
        <v>6716</v>
      </c>
      <c r="Q7" s="16">
        <f t="shared" si="2"/>
        <v>-627</v>
      </c>
      <c r="R7" s="21">
        <f>(P7-O7)/O7</f>
        <v>-8.5387443824050113E-2</v>
      </c>
      <c r="S7" s="16">
        <v>57</v>
      </c>
      <c r="T7" s="16">
        <v>57</v>
      </c>
      <c r="U7" s="16">
        <f t="shared" si="3"/>
        <v>0</v>
      </c>
    </row>
    <row r="8" spans="1:21" ht="18" customHeight="1" x14ac:dyDescent="0.25">
      <c r="A8" s="4">
        <v>1456887</v>
      </c>
      <c r="B8" s="5" t="s">
        <v>25</v>
      </c>
      <c r="C8" s="5" t="s">
        <v>26</v>
      </c>
      <c r="D8" s="5" t="s">
        <v>27</v>
      </c>
      <c r="E8" s="5" t="str">
        <f t="shared" si="0"/>
        <v>135 OAKLAND AVE, CLOSTER</v>
      </c>
      <c r="F8" s="5" t="s">
        <v>10</v>
      </c>
      <c r="G8" s="5">
        <v>7624</v>
      </c>
      <c r="H8" s="5" t="s">
        <v>21</v>
      </c>
      <c r="I8" s="19">
        <v>45355</v>
      </c>
      <c r="J8" s="14">
        <v>8731</v>
      </c>
      <c r="K8" s="14">
        <v>9155</v>
      </c>
      <c r="L8" s="14">
        <f t="shared" si="1"/>
        <v>424</v>
      </c>
      <c r="M8" s="20">
        <f t="shared" si="4"/>
        <v>4.8562593059214294E-2</v>
      </c>
      <c r="N8" s="13"/>
      <c r="O8" s="16">
        <v>3780</v>
      </c>
      <c r="P8" s="16">
        <v>4177</v>
      </c>
      <c r="Q8" s="16">
        <f t="shared" si="2"/>
        <v>397</v>
      </c>
      <c r="R8" s="21">
        <f>(P8-O8)/O8</f>
        <v>0.10502645502645502</v>
      </c>
      <c r="S8" s="16">
        <v>35</v>
      </c>
      <c r="T8" s="16">
        <v>46</v>
      </c>
      <c r="U8" s="16">
        <f t="shared" si="3"/>
        <v>11</v>
      </c>
    </row>
    <row r="9" spans="1:21" ht="18" customHeight="1" x14ac:dyDescent="0.25">
      <c r="A9" s="4">
        <v>766558</v>
      </c>
      <c r="B9" s="5" t="s">
        <v>28</v>
      </c>
      <c r="C9" s="5" t="s">
        <v>29</v>
      </c>
      <c r="D9" s="5" t="s">
        <v>30</v>
      </c>
      <c r="E9" s="5" t="str">
        <f t="shared" si="0"/>
        <v>621 PAULISON AVE, CLIFTON</v>
      </c>
      <c r="F9" s="5" t="s">
        <v>10</v>
      </c>
      <c r="G9" s="5">
        <v>7011</v>
      </c>
      <c r="H9" s="5" t="s">
        <v>11</v>
      </c>
      <c r="I9" s="19">
        <v>45357</v>
      </c>
      <c r="J9" s="14">
        <v>10194</v>
      </c>
      <c r="K9" s="14">
        <v>10386</v>
      </c>
      <c r="L9" s="14">
        <f t="shared" si="1"/>
        <v>192</v>
      </c>
      <c r="M9" s="20">
        <f t="shared" si="4"/>
        <v>1.883460859329017E-2</v>
      </c>
      <c r="N9" s="14"/>
      <c r="O9" s="16">
        <v>6752</v>
      </c>
      <c r="P9" s="16">
        <v>6793</v>
      </c>
      <c r="Q9" s="16">
        <f t="shared" si="2"/>
        <v>41</v>
      </c>
      <c r="R9" s="21">
        <f>(P9-O9)/O9</f>
        <v>6.0722748815165879E-3</v>
      </c>
      <c r="S9" s="16">
        <v>38</v>
      </c>
      <c r="T9" s="16">
        <v>44</v>
      </c>
      <c r="U9" s="16">
        <f t="shared" si="3"/>
        <v>6</v>
      </c>
    </row>
    <row r="10" spans="1:21" ht="18" customHeight="1" x14ac:dyDescent="0.25">
      <c r="A10" s="7">
        <v>766455</v>
      </c>
      <c r="B10" s="5" t="s">
        <v>31</v>
      </c>
      <c r="C10" s="5" t="s">
        <v>32</v>
      </c>
      <c r="D10" s="5" t="s">
        <v>24</v>
      </c>
      <c r="E10" s="5" t="str">
        <f t="shared" si="0"/>
        <v>241 UNION AVE, PATERSON</v>
      </c>
      <c r="F10" s="5" t="s">
        <v>10</v>
      </c>
      <c r="G10" s="5">
        <v>7502</v>
      </c>
      <c r="H10" s="5" t="s">
        <v>14</v>
      </c>
      <c r="I10" s="19">
        <v>45365</v>
      </c>
      <c r="J10" s="14">
        <v>17092</v>
      </c>
      <c r="K10" s="14">
        <v>17538</v>
      </c>
      <c r="L10" s="14">
        <f t="shared" si="1"/>
        <v>446</v>
      </c>
      <c r="M10" s="20">
        <f t="shared" si="4"/>
        <v>2.6094079101333958E-2</v>
      </c>
      <c r="N10" s="13"/>
      <c r="O10" s="17">
        <v>9021</v>
      </c>
      <c r="P10" s="17">
        <v>9890</v>
      </c>
      <c r="Q10" s="16">
        <f t="shared" si="2"/>
        <v>869</v>
      </c>
      <c r="R10" s="21">
        <f t="shared" ref="R10:R12" si="5">(P10-O10)/O10</f>
        <v>9.6330783726859548E-2</v>
      </c>
      <c r="S10" s="16">
        <v>46</v>
      </c>
      <c r="T10" s="16">
        <v>46</v>
      </c>
      <c r="U10" s="16">
        <f t="shared" si="3"/>
        <v>0</v>
      </c>
    </row>
    <row r="11" spans="1:21" ht="18" customHeight="1" x14ac:dyDescent="0.25">
      <c r="A11" s="7">
        <v>6954</v>
      </c>
      <c r="B11" s="5" t="s">
        <v>206</v>
      </c>
      <c r="C11" s="5" t="s">
        <v>33</v>
      </c>
      <c r="D11" s="5" t="s">
        <v>30</v>
      </c>
      <c r="E11" s="5" t="str">
        <f t="shared" si="0"/>
        <v>895 PAULISON AVE, CLIFTON</v>
      </c>
      <c r="F11" s="5" t="s">
        <v>10</v>
      </c>
      <c r="G11" s="5">
        <v>7011</v>
      </c>
      <c r="H11" s="5" t="s">
        <v>14</v>
      </c>
      <c r="I11" s="19">
        <v>45371</v>
      </c>
      <c r="J11" s="14">
        <v>38609</v>
      </c>
      <c r="K11" s="14">
        <v>34221</v>
      </c>
      <c r="L11" s="14">
        <f t="shared" si="1"/>
        <v>-4388</v>
      </c>
      <c r="M11" s="20">
        <f t="shared" si="4"/>
        <v>-0.11365225724571991</v>
      </c>
      <c r="N11" s="14"/>
      <c r="O11" s="16">
        <v>19572</v>
      </c>
      <c r="P11" s="16">
        <v>18500</v>
      </c>
      <c r="Q11" s="16">
        <f t="shared" si="2"/>
        <v>-1072</v>
      </c>
      <c r="R11" s="21">
        <f t="shared" si="5"/>
        <v>-5.4772123441651339E-2</v>
      </c>
      <c r="S11" s="16">
        <v>71</v>
      </c>
      <c r="T11" s="16">
        <v>75</v>
      </c>
      <c r="U11" s="16">
        <f t="shared" si="3"/>
        <v>4</v>
      </c>
    </row>
    <row r="12" spans="1:21" ht="18" customHeight="1" x14ac:dyDescent="0.25">
      <c r="A12" s="4">
        <v>2231918</v>
      </c>
      <c r="B12" s="5" t="s">
        <v>34</v>
      </c>
      <c r="C12" s="5" t="s">
        <v>35</v>
      </c>
      <c r="D12" s="5" t="s">
        <v>24</v>
      </c>
      <c r="E12" s="5" t="str">
        <f t="shared" si="0"/>
        <v>186 5TH AVE, PATERSON</v>
      </c>
      <c r="F12" s="5" t="s">
        <v>10</v>
      </c>
      <c r="G12" s="5">
        <v>7524</v>
      </c>
      <c r="H12" s="5" t="s">
        <v>14</v>
      </c>
      <c r="I12" s="19">
        <v>45372</v>
      </c>
      <c r="J12" s="14">
        <v>26410</v>
      </c>
      <c r="K12" s="14">
        <v>27720</v>
      </c>
      <c r="L12" s="14">
        <f t="shared" si="1"/>
        <v>1310</v>
      </c>
      <c r="M12" s="20">
        <f t="shared" si="4"/>
        <v>4.9602423324498296E-2</v>
      </c>
      <c r="N12" s="14"/>
      <c r="O12" s="16">
        <v>17659</v>
      </c>
      <c r="P12" s="16">
        <v>18478</v>
      </c>
      <c r="Q12" s="16">
        <f t="shared" si="2"/>
        <v>819</v>
      </c>
      <c r="R12" s="21">
        <f t="shared" si="5"/>
        <v>4.6378617135738154E-2</v>
      </c>
      <c r="S12" s="16">
        <v>48</v>
      </c>
      <c r="T12" s="16">
        <v>51</v>
      </c>
      <c r="U12" s="16">
        <f t="shared" si="3"/>
        <v>3</v>
      </c>
    </row>
    <row r="13" spans="1:21" ht="18" customHeight="1" x14ac:dyDescent="0.25">
      <c r="A13" s="7">
        <v>764427</v>
      </c>
      <c r="B13" s="5" t="s">
        <v>36</v>
      </c>
      <c r="C13" s="5" t="s">
        <v>37</v>
      </c>
      <c r="D13" s="5" t="s">
        <v>24</v>
      </c>
      <c r="E13" s="5" t="str">
        <f t="shared" si="0"/>
        <v>291 PARK AVE, PATERSON</v>
      </c>
      <c r="F13" s="5" t="s">
        <v>10</v>
      </c>
      <c r="G13" s="5">
        <v>7513</v>
      </c>
      <c r="H13" s="5" t="s">
        <v>14</v>
      </c>
      <c r="I13" s="19">
        <v>45378</v>
      </c>
      <c r="J13" s="14">
        <v>15173</v>
      </c>
      <c r="K13" s="14">
        <v>15262</v>
      </c>
      <c r="L13" s="14">
        <f t="shared" si="1"/>
        <v>89</v>
      </c>
      <c r="M13" s="20">
        <f t="shared" si="4"/>
        <v>5.8656824622685035E-3</v>
      </c>
      <c r="N13" s="14"/>
      <c r="O13" s="16">
        <v>10189</v>
      </c>
      <c r="P13" s="16">
        <v>10236</v>
      </c>
      <c r="Q13" s="16">
        <f t="shared" si="2"/>
        <v>47</v>
      </c>
      <c r="R13" s="21">
        <f>(P13-O13)/O13</f>
        <v>4.6128177446265583E-3</v>
      </c>
      <c r="S13" s="16">
        <v>34</v>
      </c>
      <c r="T13" s="16">
        <v>31</v>
      </c>
      <c r="U13" s="16">
        <f t="shared" si="3"/>
        <v>-3</v>
      </c>
    </row>
    <row r="14" spans="1:21" ht="18" customHeight="1" x14ac:dyDescent="0.25">
      <c r="A14" s="4">
        <v>7355829</v>
      </c>
      <c r="B14" s="5" t="s">
        <v>38</v>
      </c>
      <c r="C14" s="5" t="s">
        <v>39</v>
      </c>
      <c r="D14" s="5" t="s">
        <v>40</v>
      </c>
      <c r="E14" s="5" t="str">
        <f t="shared" si="0"/>
        <v>10 SPRING DELL, RUTHERFORD</v>
      </c>
      <c r="F14" s="5" t="s">
        <v>10</v>
      </c>
      <c r="G14" s="5">
        <v>7070</v>
      </c>
      <c r="H14" s="5" t="s">
        <v>11</v>
      </c>
      <c r="I14" s="19">
        <v>45383</v>
      </c>
      <c r="J14" s="14">
        <v>1821</v>
      </c>
      <c r="K14" s="14">
        <v>2043</v>
      </c>
      <c r="L14" s="14">
        <f t="shared" si="1"/>
        <v>222</v>
      </c>
      <c r="M14" s="20">
        <f t="shared" si="4"/>
        <v>0.12191103789126853</v>
      </c>
      <c r="N14" s="13"/>
      <c r="O14" s="16">
        <v>596</v>
      </c>
      <c r="P14" s="16">
        <v>646</v>
      </c>
      <c r="Q14" s="16">
        <f t="shared" si="2"/>
        <v>50</v>
      </c>
      <c r="R14" s="21">
        <f>(P14-O14)/O14</f>
        <v>8.3892617449664433E-2</v>
      </c>
      <c r="S14" s="16">
        <v>28</v>
      </c>
      <c r="T14" s="16">
        <v>29</v>
      </c>
      <c r="U14" s="16">
        <f t="shared" si="3"/>
        <v>1</v>
      </c>
    </row>
    <row r="15" spans="1:21" ht="18" customHeight="1" x14ac:dyDescent="0.25">
      <c r="A15" s="4">
        <v>764766</v>
      </c>
      <c r="B15" s="5" t="s">
        <v>41</v>
      </c>
      <c r="C15" s="5" t="s">
        <v>42</v>
      </c>
      <c r="D15" s="5" t="s">
        <v>43</v>
      </c>
      <c r="E15" s="5" t="str">
        <f t="shared" si="0"/>
        <v>300 HARRISON AVE, LODI</v>
      </c>
      <c r="F15" s="5" t="s">
        <v>10</v>
      </c>
      <c r="G15" s="5">
        <v>7644</v>
      </c>
      <c r="H15" s="5" t="s">
        <v>14</v>
      </c>
      <c r="I15" s="19">
        <v>45384</v>
      </c>
      <c r="J15" s="14">
        <v>14154</v>
      </c>
      <c r="K15" s="14">
        <v>17643</v>
      </c>
      <c r="L15" s="14">
        <f t="shared" si="1"/>
        <v>3489</v>
      </c>
      <c r="M15" s="20">
        <f t="shared" si="4"/>
        <v>0.24650275540483255</v>
      </c>
      <c r="N15" s="13"/>
      <c r="O15" s="16">
        <v>7375</v>
      </c>
      <c r="P15" s="16">
        <v>9994</v>
      </c>
      <c r="Q15" s="16">
        <f t="shared" si="2"/>
        <v>2619</v>
      </c>
      <c r="R15" s="21">
        <f>(P15-O15)/O15</f>
        <v>0.35511864406779658</v>
      </c>
      <c r="S15" s="16">
        <v>50</v>
      </c>
      <c r="T15" s="16">
        <v>51</v>
      </c>
      <c r="U15" s="16">
        <f t="shared" si="3"/>
        <v>1</v>
      </c>
    </row>
    <row r="16" spans="1:21" ht="18" customHeight="1" x14ac:dyDescent="0.25">
      <c r="A16" s="4">
        <v>1408390</v>
      </c>
      <c r="B16" s="5" t="s">
        <v>44</v>
      </c>
      <c r="C16" s="5" t="s">
        <v>45</v>
      </c>
      <c r="D16" s="5" t="s">
        <v>30</v>
      </c>
      <c r="E16" s="5" t="str">
        <f t="shared" si="0"/>
        <v>73 ACKERMAN AVE, CLIFTON</v>
      </c>
      <c r="F16" s="5" t="s">
        <v>10</v>
      </c>
      <c r="G16" s="5">
        <v>7011</v>
      </c>
      <c r="H16" s="5" t="s">
        <v>14</v>
      </c>
      <c r="I16" s="19">
        <v>45385</v>
      </c>
      <c r="J16" s="14">
        <v>40321</v>
      </c>
      <c r="K16" s="14">
        <v>44860</v>
      </c>
      <c r="L16" s="14">
        <f t="shared" si="1"/>
        <v>4539</v>
      </c>
      <c r="M16" s="20">
        <f t="shared" si="4"/>
        <v>0.11257161280722204</v>
      </c>
      <c r="N16" s="13"/>
      <c r="O16" s="16">
        <v>26521</v>
      </c>
      <c r="P16" s="16">
        <v>30096</v>
      </c>
      <c r="Q16" s="16">
        <f t="shared" si="2"/>
        <v>3575</v>
      </c>
      <c r="R16" s="21">
        <f>(P16-O16)/O16</f>
        <v>0.13479883865615927</v>
      </c>
      <c r="S16" s="16">
        <v>54</v>
      </c>
      <c r="T16" s="16">
        <v>55</v>
      </c>
      <c r="U16" s="16">
        <f t="shared" si="3"/>
        <v>1</v>
      </c>
    </row>
    <row r="17" spans="1:21" ht="18" customHeight="1" x14ac:dyDescent="0.25">
      <c r="A17" s="4">
        <v>766811</v>
      </c>
      <c r="B17" s="5" t="s">
        <v>46</v>
      </c>
      <c r="C17" s="5" t="s">
        <v>47</v>
      </c>
      <c r="D17" s="5" t="s">
        <v>48</v>
      </c>
      <c r="E17" s="5" t="str">
        <f t="shared" si="0"/>
        <v>268 MONROE ST, PASSAIC</v>
      </c>
      <c r="F17" s="5" t="s">
        <v>10</v>
      </c>
      <c r="G17" s="5">
        <v>7055</v>
      </c>
      <c r="H17" s="5" t="s">
        <v>14</v>
      </c>
      <c r="I17" s="19">
        <v>45385</v>
      </c>
      <c r="J17" s="14">
        <v>14310</v>
      </c>
      <c r="K17" s="14">
        <v>14728</v>
      </c>
      <c r="L17" s="14">
        <f t="shared" si="1"/>
        <v>418</v>
      </c>
      <c r="M17" s="24">
        <f t="shared" si="4"/>
        <v>2.9210342417889588E-2</v>
      </c>
      <c r="N17" s="14"/>
      <c r="O17" s="16">
        <v>10028</v>
      </c>
      <c r="P17" s="16">
        <v>10166</v>
      </c>
      <c r="Q17" s="16">
        <f t="shared" si="2"/>
        <v>138</v>
      </c>
      <c r="R17" s="21">
        <f>(P17-O17)/O17</f>
        <v>1.3761467889908258E-2</v>
      </c>
      <c r="S17" s="16">
        <v>42</v>
      </c>
      <c r="T17" s="16">
        <v>36</v>
      </c>
      <c r="U17" s="16">
        <f t="shared" si="3"/>
        <v>-6</v>
      </c>
    </row>
    <row r="18" spans="1:21" ht="18" customHeight="1" x14ac:dyDescent="0.25">
      <c r="A18" s="4">
        <v>883657</v>
      </c>
      <c r="B18" s="5" t="s">
        <v>49</v>
      </c>
      <c r="C18" s="5" t="s">
        <v>50</v>
      </c>
      <c r="D18" s="5" t="s">
        <v>48</v>
      </c>
      <c r="E18" s="5" t="str">
        <f t="shared" si="0"/>
        <v>175 JEFFERSON ST, PASSAIC</v>
      </c>
      <c r="F18" s="5" t="s">
        <v>10</v>
      </c>
      <c r="G18" s="5">
        <v>7055</v>
      </c>
      <c r="H18" s="5" t="s">
        <v>14</v>
      </c>
      <c r="I18" s="19">
        <v>45386</v>
      </c>
      <c r="J18" s="14">
        <v>11995</v>
      </c>
      <c r="K18" s="14">
        <v>9256</v>
      </c>
      <c r="L18" s="14">
        <f t="shared" si="1"/>
        <v>-2739</v>
      </c>
      <c r="M18" s="20">
        <f t="shared" si="4"/>
        <v>-0.2283451438099208</v>
      </c>
      <c r="N18" s="13"/>
      <c r="O18" s="16">
        <v>6471</v>
      </c>
      <c r="P18" s="16">
        <v>5513</v>
      </c>
      <c r="Q18" s="16">
        <f t="shared" si="2"/>
        <v>-958</v>
      </c>
      <c r="R18" s="21">
        <f>(P18-O18)/O18</f>
        <v>-0.14804512440117448</v>
      </c>
      <c r="S18" s="16">
        <v>50</v>
      </c>
      <c r="T18" s="16">
        <v>47</v>
      </c>
      <c r="U18" s="16">
        <f t="shared" si="3"/>
        <v>-3</v>
      </c>
    </row>
    <row r="19" spans="1:21" ht="18" customHeight="1" x14ac:dyDescent="0.25">
      <c r="A19" s="4">
        <v>883620</v>
      </c>
      <c r="B19" s="5" t="s">
        <v>51</v>
      </c>
      <c r="C19" s="5" t="s">
        <v>52</v>
      </c>
      <c r="D19" s="5" t="s">
        <v>48</v>
      </c>
      <c r="E19" s="5" t="str">
        <f t="shared" si="0"/>
        <v>321 BROADWAY, PASSAIC</v>
      </c>
      <c r="F19" s="5" t="s">
        <v>10</v>
      </c>
      <c r="G19" s="5">
        <v>7055</v>
      </c>
      <c r="H19" s="5" t="s">
        <v>14</v>
      </c>
      <c r="I19" s="19">
        <v>45387</v>
      </c>
      <c r="J19" s="14">
        <v>7803</v>
      </c>
      <c r="K19" s="14">
        <v>8482</v>
      </c>
      <c r="L19" s="14">
        <f t="shared" si="1"/>
        <v>679</v>
      </c>
      <c r="M19" s="24">
        <f t="shared" si="4"/>
        <v>8.7017813661412272E-2</v>
      </c>
      <c r="N19" s="14"/>
      <c r="O19" s="16">
        <v>5357</v>
      </c>
      <c r="P19" s="16">
        <v>5600</v>
      </c>
      <c r="Q19" s="16">
        <f t="shared" si="2"/>
        <v>243</v>
      </c>
      <c r="R19" s="21">
        <f>(P19-O19)/O19</f>
        <v>4.5361209632256858E-2</v>
      </c>
      <c r="S19" s="16">
        <v>47</v>
      </c>
      <c r="T19" s="16">
        <v>52</v>
      </c>
      <c r="U19" s="16">
        <f t="shared" si="3"/>
        <v>5</v>
      </c>
    </row>
    <row r="20" spans="1:21" ht="18" customHeight="1" x14ac:dyDescent="0.25">
      <c r="A20" s="4">
        <v>1408866</v>
      </c>
      <c r="B20" s="5" t="s">
        <v>53</v>
      </c>
      <c r="C20" s="5" t="s">
        <v>54</v>
      </c>
      <c r="D20" s="5" t="s">
        <v>48</v>
      </c>
      <c r="E20" s="5" t="str">
        <f t="shared" si="0"/>
        <v>413 MONROE ST, PASSAIC</v>
      </c>
      <c r="F20" s="5" t="s">
        <v>10</v>
      </c>
      <c r="G20" s="5">
        <v>7055</v>
      </c>
      <c r="H20" s="5" t="s">
        <v>14</v>
      </c>
      <c r="I20" s="26">
        <v>45390</v>
      </c>
      <c r="J20" s="14">
        <v>16068</v>
      </c>
      <c r="K20" s="14">
        <v>17320</v>
      </c>
      <c r="L20" s="14">
        <f t="shared" si="1"/>
        <v>1252</v>
      </c>
      <c r="M20" s="24">
        <f t="shared" si="4"/>
        <v>7.791884490913617E-2</v>
      </c>
      <c r="N20" s="14"/>
      <c r="O20" s="16">
        <v>10937</v>
      </c>
      <c r="P20" s="16">
        <v>11491</v>
      </c>
      <c r="Q20" s="16">
        <f t="shared" si="2"/>
        <v>554</v>
      </c>
      <c r="R20" s="21">
        <f>(P20-O20)/O20</f>
        <v>5.0653744171162113E-2</v>
      </c>
      <c r="S20" s="16">
        <v>47</v>
      </c>
      <c r="T20" s="16">
        <v>54</v>
      </c>
      <c r="U20" s="16">
        <f t="shared" si="3"/>
        <v>7</v>
      </c>
    </row>
    <row r="21" spans="1:21" ht="18" customHeight="1" x14ac:dyDescent="0.25">
      <c r="A21" s="4">
        <v>883833</v>
      </c>
      <c r="B21" s="5" t="s">
        <v>55</v>
      </c>
      <c r="C21" s="5" t="s">
        <v>56</v>
      </c>
      <c r="D21" s="5" t="s">
        <v>57</v>
      </c>
      <c r="E21" s="5" t="str">
        <f t="shared" si="0"/>
        <v>15 GRAND AVE STE 4, PALISADES PARK</v>
      </c>
      <c r="F21" s="5" t="s">
        <v>10</v>
      </c>
      <c r="G21" s="5">
        <v>7650</v>
      </c>
      <c r="H21" s="5" t="s">
        <v>14</v>
      </c>
      <c r="I21" s="26">
        <v>45391</v>
      </c>
      <c r="J21" s="14">
        <v>13377</v>
      </c>
      <c r="K21" s="14">
        <v>13122</v>
      </c>
      <c r="L21" s="14">
        <f t="shared" si="1"/>
        <v>-255</v>
      </c>
      <c r="M21" s="24">
        <f t="shared" si="4"/>
        <v>-1.9062570082978247E-2</v>
      </c>
      <c r="N21" s="14"/>
      <c r="O21" s="16">
        <v>5628</v>
      </c>
      <c r="P21" s="16">
        <v>5840</v>
      </c>
      <c r="Q21" s="16">
        <f t="shared" si="2"/>
        <v>212</v>
      </c>
      <c r="R21" s="21">
        <f>(P21-O21)/O21</f>
        <v>3.7668798862828715E-2</v>
      </c>
      <c r="S21" s="16">
        <v>54</v>
      </c>
      <c r="T21" s="16">
        <v>51</v>
      </c>
      <c r="U21" s="16">
        <f t="shared" si="3"/>
        <v>-3</v>
      </c>
    </row>
    <row r="22" spans="1:21" ht="18" customHeight="1" x14ac:dyDescent="0.25">
      <c r="A22" s="4">
        <v>766554</v>
      </c>
      <c r="B22" s="5" t="s">
        <v>58</v>
      </c>
      <c r="C22" s="5" t="s">
        <v>59</v>
      </c>
      <c r="D22" s="5" t="s">
        <v>60</v>
      </c>
      <c r="E22" s="5" t="str">
        <f t="shared" si="0"/>
        <v>224 LIVINGSTON ST, NORTHVALE</v>
      </c>
      <c r="F22" s="5" t="s">
        <v>10</v>
      </c>
      <c r="G22" s="5">
        <v>7647</v>
      </c>
      <c r="H22" s="5" t="s">
        <v>14</v>
      </c>
      <c r="I22" s="19">
        <v>45392</v>
      </c>
      <c r="J22" s="14">
        <v>27968</v>
      </c>
      <c r="K22" s="14">
        <v>27560</v>
      </c>
      <c r="L22" s="14">
        <f t="shared" si="1"/>
        <v>-408</v>
      </c>
      <c r="M22" s="24">
        <f t="shared" si="4"/>
        <v>-1.4588100686498856E-2</v>
      </c>
      <c r="N22" s="14"/>
      <c r="O22" s="16">
        <v>11886</v>
      </c>
      <c r="P22" s="16">
        <v>12346</v>
      </c>
      <c r="Q22" s="16">
        <f t="shared" si="2"/>
        <v>460</v>
      </c>
      <c r="R22" s="21">
        <f>(P22-O22)/O22</f>
        <v>3.8700992764597007E-2</v>
      </c>
      <c r="S22" s="16">
        <v>62</v>
      </c>
      <c r="T22" s="16">
        <v>57</v>
      </c>
      <c r="U22" s="16">
        <f t="shared" si="3"/>
        <v>-5</v>
      </c>
    </row>
    <row r="23" spans="1:21" ht="18" customHeight="1" x14ac:dyDescent="0.25">
      <c r="A23" s="4">
        <v>889729</v>
      </c>
      <c r="B23" s="5" t="s">
        <v>61</v>
      </c>
      <c r="C23" s="5" t="s">
        <v>62</v>
      </c>
      <c r="D23" s="5" t="s">
        <v>24</v>
      </c>
      <c r="E23" s="5" t="str">
        <f t="shared" si="0"/>
        <v>353 21ST AVE, PATERSON</v>
      </c>
      <c r="F23" s="5" t="s">
        <v>10</v>
      </c>
      <c r="G23" s="5">
        <v>7501</v>
      </c>
      <c r="H23" s="5" t="s">
        <v>14</v>
      </c>
      <c r="I23" s="19">
        <v>45392</v>
      </c>
      <c r="J23" s="14">
        <v>12689</v>
      </c>
      <c r="K23" s="14">
        <v>12090</v>
      </c>
      <c r="L23" s="14">
        <f t="shared" si="1"/>
        <v>-599</v>
      </c>
      <c r="M23" s="24">
        <f t="shared" si="4"/>
        <v>-4.7206241626605722E-2</v>
      </c>
      <c r="N23" s="14"/>
      <c r="O23" s="16">
        <v>8150</v>
      </c>
      <c r="P23" s="16">
        <v>7605</v>
      </c>
      <c r="Q23" s="16">
        <f t="shared" si="2"/>
        <v>-545</v>
      </c>
      <c r="R23" s="21">
        <f>(P23-O23)/O23</f>
        <v>-6.6871165644171782E-2</v>
      </c>
      <c r="S23" s="16">
        <v>36</v>
      </c>
      <c r="T23" s="16">
        <v>43</v>
      </c>
      <c r="U23" s="16">
        <f t="shared" si="3"/>
        <v>7</v>
      </c>
    </row>
    <row r="24" spans="1:21" ht="18" customHeight="1" x14ac:dyDescent="0.25">
      <c r="A24" s="4">
        <v>2056089</v>
      </c>
      <c r="B24" s="5" t="s">
        <v>63</v>
      </c>
      <c r="C24" s="5" t="s">
        <v>64</v>
      </c>
      <c r="D24" s="5" t="s">
        <v>65</v>
      </c>
      <c r="E24" s="5" t="str">
        <f t="shared" si="0"/>
        <v>13 05 RIVER RD, FAIR LAWN</v>
      </c>
      <c r="F24" s="5" t="s">
        <v>10</v>
      </c>
      <c r="G24" s="5">
        <v>7410</v>
      </c>
      <c r="H24" s="5" t="s">
        <v>11</v>
      </c>
      <c r="I24" s="19">
        <v>45393</v>
      </c>
      <c r="J24" s="14">
        <v>6607</v>
      </c>
      <c r="K24" s="14">
        <v>6052</v>
      </c>
      <c r="L24" s="14">
        <f t="shared" si="1"/>
        <v>-555</v>
      </c>
      <c r="M24" s="24">
        <f t="shared" si="4"/>
        <v>-8.4001816255486611E-2</v>
      </c>
      <c r="N24" s="14"/>
      <c r="O24" s="16">
        <v>2146</v>
      </c>
      <c r="P24" s="16">
        <v>2184</v>
      </c>
      <c r="Q24" s="16">
        <f t="shared" si="2"/>
        <v>38</v>
      </c>
      <c r="R24" s="21">
        <f>(P24-O24)/O24</f>
        <v>1.7707362534948742E-2</v>
      </c>
      <c r="S24" s="16">
        <v>32</v>
      </c>
      <c r="T24" s="16">
        <v>34</v>
      </c>
      <c r="U24" s="16">
        <f t="shared" si="3"/>
        <v>2</v>
      </c>
    </row>
    <row r="25" spans="1:21" ht="18" customHeight="1" x14ac:dyDescent="0.25">
      <c r="A25" s="4">
        <v>2613185</v>
      </c>
      <c r="B25" s="5" t="s">
        <v>66</v>
      </c>
      <c r="C25" s="5" t="s">
        <v>67</v>
      </c>
      <c r="D25" s="5" t="s">
        <v>68</v>
      </c>
      <c r="E25" s="5" t="str">
        <f t="shared" si="0"/>
        <v>547 RIVER RD, EDGEWATER</v>
      </c>
      <c r="F25" s="5" t="s">
        <v>10</v>
      </c>
      <c r="G25" s="5">
        <v>7020</v>
      </c>
      <c r="H25" s="5" t="s">
        <v>14</v>
      </c>
      <c r="I25" s="19">
        <v>45393</v>
      </c>
      <c r="J25" s="14">
        <v>8667</v>
      </c>
      <c r="K25" s="14">
        <v>9311</v>
      </c>
      <c r="L25" s="14">
        <f t="shared" si="1"/>
        <v>644</v>
      </c>
      <c r="M25" s="24">
        <f t="shared" si="4"/>
        <v>7.4304834429445021E-2</v>
      </c>
      <c r="N25" s="14"/>
      <c r="O25" s="16">
        <v>2486</v>
      </c>
      <c r="P25" s="16">
        <v>2993</v>
      </c>
      <c r="Q25" s="16">
        <f t="shared" si="2"/>
        <v>507</v>
      </c>
      <c r="R25" s="21">
        <f>(P25-O25)/O25</f>
        <v>0.20394207562349156</v>
      </c>
      <c r="S25" s="16">
        <v>22</v>
      </c>
      <c r="T25" s="16">
        <v>26</v>
      </c>
      <c r="U25" s="16">
        <f t="shared" si="3"/>
        <v>4</v>
      </c>
    </row>
    <row r="26" spans="1:21" ht="18" customHeight="1" x14ac:dyDescent="0.25">
      <c r="A26" s="7">
        <v>889836</v>
      </c>
      <c r="B26" s="5" t="s">
        <v>69</v>
      </c>
      <c r="C26" s="5" t="s">
        <v>70</v>
      </c>
      <c r="D26" s="5" t="s">
        <v>24</v>
      </c>
      <c r="E26" s="5" t="str">
        <f t="shared" si="0"/>
        <v>450 UNION AVE, PATERSON</v>
      </c>
      <c r="F26" s="5" t="s">
        <v>10</v>
      </c>
      <c r="G26" s="5">
        <v>7522</v>
      </c>
      <c r="H26" s="5" t="s">
        <v>14</v>
      </c>
      <c r="I26" s="19">
        <v>45393</v>
      </c>
      <c r="J26" s="14">
        <v>14480</v>
      </c>
      <c r="K26" s="14">
        <v>15422</v>
      </c>
      <c r="L26" s="14">
        <f t="shared" si="1"/>
        <v>942</v>
      </c>
      <c r="M26" s="24">
        <f t="shared" si="4"/>
        <v>6.5055248618784534E-2</v>
      </c>
      <c r="N26" s="14"/>
      <c r="O26" s="16">
        <v>9828</v>
      </c>
      <c r="P26" s="16">
        <v>10815</v>
      </c>
      <c r="Q26" s="16">
        <f t="shared" si="2"/>
        <v>987</v>
      </c>
      <c r="R26" s="21">
        <f>(P26-O26)/O26</f>
        <v>0.10042735042735043</v>
      </c>
      <c r="S26" s="16">
        <v>38</v>
      </c>
      <c r="T26" s="16">
        <v>45</v>
      </c>
      <c r="U26" s="16">
        <f t="shared" si="3"/>
        <v>7</v>
      </c>
    </row>
    <row r="27" spans="1:21" ht="18" customHeight="1" x14ac:dyDescent="0.25">
      <c r="A27" s="4">
        <v>883662</v>
      </c>
      <c r="B27" s="5" t="s">
        <v>71</v>
      </c>
      <c r="C27" s="5" t="s">
        <v>72</v>
      </c>
      <c r="D27" s="5" t="s">
        <v>48</v>
      </c>
      <c r="E27" s="5" t="str">
        <f t="shared" si="0"/>
        <v>593 MAIN AVE, PASSAIC</v>
      </c>
      <c r="F27" s="5" t="s">
        <v>10</v>
      </c>
      <c r="G27" s="5">
        <v>7055</v>
      </c>
      <c r="H27" s="5" t="s">
        <v>14</v>
      </c>
      <c r="I27" s="19">
        <v>45397</v>
      </c>
      <c r="J27" s="14">
        <v>35295</v>
      </c>
      <c r="K27" s="14">
        <v>39150</v>
      </c>
      <c r="L27" s="14">
        <f t="shared" si="1"/>
        <v>3855</v>
      </c>
      <c r="M27" s="24">
        <f t="shared" si="4"/>
        <v>0.10922226944326392</v>
      </c>
      <c r="N27" s="14"/>
      <c r="O27" s="16">
        <v>21691</v>
      </c>
      <c r="P27" s="16">
        <v>25030</v>
      </c>
      <c r="Q27" s="16">
        <f t="shared" si="2"/>
        <v>3339</v>
      </c>
      <c r="R27" s="21">
        <f>(P27-O27)/O27</f>
        <v>0.15393481167304413</v>
      </c>
      <c r="S27" s="16">
        <v>46</v>
      </c>
      <c r="T27" s="16">
        <v>50</v>
      </c>
      <c r="U27" s="16">
        <f t="shared" si="3"/>
        <v>4</v>
      </c>
    </row>
    <row r="28" spans="1:21" ht="18" customHeight="1" x14ac:dyDescent="0.25">
      <c r="A28" s="4">
        <v>883516</v>
      </c>
      <c r="B28" s="5" t="s">
        <v>73</v>
      </c>
      <c r="C28" s="5" t="s">
        <v>74</v>
      </c>
      <c r="D28" s="5" t="s">
        <v>75</v>
      </c>
      <c r="E28" s="5" t="str">
        <f t="shared" si="0"/>
        <v>195 MARKET ST, SADDLE BROOK</v>
      </c>
      <c r="F28" s="5" t="s">
        <v>10</v>
      </c>
      <c r="G28" s="5">
        <v>7663</v>
      </c>
      <c r="H28" s="5" t="s">
        <v>11</v>
      </c>
      <c r="I28" s="19">
        <v>45398</v>
      </c>
      <c r="J28" s="14">
        <v>5989</v>
      </c>
      <c r="K28" s="14">
        <v>5236</v>
      </c>
      <c r="L28" s="14">
        <f t="shared" si="1"/>
        <v>-753</v>
      </c>
      <c r="M28" s="24">
        <f t="shared" si="4"/>
        <v>-0.12573050592753382</v>
      </c>
      <c r="N28" s="14"/>
      <c r="O28" s="16">
        <v>1365</v>
      </c>
      <c r="P28" s="16">
        <v>1310</v>
      </c>
      <c r="Q28" s="16">
        <f t="shared" si="2"/>
        <v>-55</v>
      </c>
      <c r="R28" s="21">
        <f>(P28-O28)/O28</f>
        <v>-4.0293040293040296E-2</v>
      </c>
      <c r="S28" s="16">
        <v>42</v>
      </c>
      <c r="T28" s="16">
        <v>44</v>
      </c>
      <c r="U28" s="16">
        <f t="shared" si="3"/>
        <v>2</v>
      </c>
    </row>
    <row r="29" spans="1:21" ht="18" customHeight="1" x14ac:dyDescent="0.25">
      <c r="A29" s="4">
        <v>7355800</v>
      </c>
      <c r="B29" s="5" t="s">
        <v>76</v>
      </c>
      <c r="C29" s="5" t="s">
        <v>77</v>
      </c>
      <c r="D29" s="5" t="s">
        <v>24</v>
      </c>
      <c r="E29" s="5" t="str">
        <f t="shared" si="0"/>
        <v>465 GETTY AVE, PATERSON</v>
      </c>
      <c r="F29" s="5" t="s">
        <v>10</v>
      </c>
      <c r="G29" s="5">
        <v>7503</v>
      </c>
      <c r="H29" s="5" t="s">
        <v>14</v>
      </c>
      <c r="I29" s="26">
        <v>45399</v>
      </c>
      <c r="J29" s="14">
        <v>12088</v>
      </c>
      <c r="K29" s="14">
        <v>16272</v>
      </c>
      <c r="L29" s="14">
        <f t="shared" si="1"/>
        <v>4184</v>
      </c>
      <c r="M29" s="24">
        <f t="shared" si="4"/>
        <v>0.34612839179351423</v>
      </c>
      <c r="N29" s="14"/>
      <c r="O29" s="16">
        <v>8310</v>
      </c>
      <c r="P29" s="16">
        <v>11224</v>
      </c>
      <c r="Q29" s="16">
        <f t="shared" si="2"/>
        <v>2914</v>
      </c>
      <c r="R29" s="21">
        <f>(P29-O29)/O29</f>
        <v>0.35066185318892901</v>
      </c>
      <c r="S29" s="16">
        <v>63</v>
      </c>
      <c r="T29" s="16">
        <v>63</v>
      </c>
      <c r="U29" s="16">
        <f t="shared" si="3"/>
        <v>0</v>
      </c>
    </row>
    <row r="30" spans="1:21" ht="18" customHeight="1" x14ac:dyDescent="0.25">
      <c r="A30" s="4">
        <v>726154</v>
      </c>
      <c r="B30" s="5" t="s">
        <v>78</v>
      </c>
      <c r="C30" s="5" t="s">
        <v>79</v>
      </c>
      <c r="D30" s="5" t="s">
        <v>24</v>
      </c>
      <c r="E30" s="5" t="str">
        <f t="shared" si="0"/>
        <v>192 E 16TH ST, PATERSON</v>
      </c>
      <c r="F30" s="5" t="s">
        <v>10</v>
      </c>
      <c r="G30" s="5">
        <v>7524</v>
      </c>
      <c r="H30" s="5" t="s">
        <v>14</v>
      </c>
      <c r="I30" s="19">
        <v>45400</v>
      </c>
      <c r="J30" s="14">
        <v>8872</v>
      </c>
      <c r="K30" s="14">
        <v>11978</v>
      </c>
      <c r="L30" s="14">
        <f t="shared" si="1"/>
        <v>3106</v>
      </c>
      <c r="M30" s="24">
        <f t="shared" si="4"/>
        <v>0.35009017132551851</v>
      </c>
      <c r="N30" s="14"/>
      <c r="O30" s="16">
        <v>6000</v>
      </c>
      <c r="P30" s="16">
        <v>8028</v>
      </c>
      <c r="Q30" s="16">
        <f t="shared" si="2"/>
        <v>2028</v>
      </c>
      <c r="R30" s="21">
        <f>(P30-O30)/O30</f>
        <v>0.33800000000000002</v>
      </c>
      <c r="S30" s="16">
        <v>37</v>
      </c>
      <c r="T30" s="16">
        <v>41</v>
      </c>
      <c r="U30" s="16">
        <f t="shared" si="3"/>
        <v>4</v>
      </c>
    </row>
    <row r="31" spans="1:21" ht="18" customHeight="1" x14ac:dyDescent="0.25">
      <c r="A31" s="4">
        <v>1933467</v>
      </c>
      <c r="B31" s="5" t="s">
        <v>80</v>
      </c>
      <c r="C31" s="5" t="s">
        <v>81</v>
      </c>
      <c r="D31" s="5" t="s">
        <v>82</v>
      </c>
      <c r="E31" s="5" t="str">
        <f t="shared" si="0"/>
        <v>100 BROADWAY, ELMWOOD PARK</v>
      </c>
      <c r="F31" s="5" t="s">
        <v>10</v>
      </c>
      <c r="G31" s="5">
        <v>7407</v>
      </c>
      <c r="H31" s="5" t="s">
        <v>11</v>
      </c>
      <c r="I31" s="19">
        <v>45400</v>
      </c>
      <c r="J31" s="14">
        <v>10076</v>
      </c>
      <c r="K31" s="14">
        <v>11502</v>
      </c>
      <c r="L31" s="14">
        <f t="shared" si="1"/>
        <v>1426</v>
      </c>
      <c r="M31" s="24">
        <f t="shared" si="4"/>
        <v>0.14152441445017863</v>
      </c>
      <c r="N31" s="14"/>
      <c r="O31" s="16">
        <v>4699</v>
      </c>
      <c r="P31" s="16">
        <v>5626</v>
      </c>
      <c r="Q31" s="16">
        <f t="shared" si="2"/>
        <v>927</v>
      </c>
      <c r="R31" s="21">
        <f>(P31-O31)/O31</f>
        <v>0.19727601617365398</v>
      </c>
      <c r="S31" s="16">
        <v>48</v>
      </c>
      <c r="T31" s="16">
        <v>52</v>
      </c>
      <c r="U31" s="16">
        <f t="shared" si="3"/>
        <v>4</v>
      </c>
    </row>
    <row r="32" spans="1:21" ht="18" customHeight="1" x14ac:dyDescent="0.25">
      <c r="A32" s="4">
        <v>1498390</v>
      </c>
      <c r="B32" s="5" t="s">
        <v>207</v>
      </c>
      <c r="C32" s="5" t="s">
        <v>83</v>
      </c>
      <c r="D32" s="5" t="s">
        <v>65</v>
      </c>
      <c r="E32" s="5" t="str">
        <f t="shared" si="0"/>
        <v>35 07 BROADWAY, FAIR LAWN</v>
      </c>
      <c r="F32" s="5" t="s">
        <v>10</v>
      </c>
      <c r="G32" s="5">
        <v>7410</v>
      </c>
      <c r="H32" s="5" t="s">
        <v>14</v>
      </c>
      <c r="I32" s="19">
        <v>45404</v>
      </c>
      <c r="J32" s="14">
        <v>20022</v>
      </c>
      <c r="K32" s="14">
        <v>20201</v>
      </c>
      <c r="L32" s="14">
        <f t="shared" si="1"/>
        <v>179</v>
      </c>
      <c r="M32" s="24">
        <f t="shared" si="4"/>
        <v>8.9401658176006399E-3</v>
      </c>
      <c r="N32" s="14"/>
      <c r="O32" s="16">
        <v>4998</v>
      </c>
      <c r="P32" s="16">
        <v>5454</v>
      </c>
      <c r="Q32" s="16">
        <f t="shared" si="2"/>
        <v>456</v>
      </c>
      <c r="R32" s="21">
        <f>(P32-O32)/O32</f>
        <v>9.1236494597839141E-2</v>
      </c>
      <c r="S32" s="16">
        <v>97</v>
      </c>
      <c r="T32" s="16">
        <v>90</v>
      </c>
      <c r="U32" s="16">
        <f t="shared" si="3"/>
        <v>-7</v>
      </c>
    </row>
    <row r="33" spans="1:21" ht="18" customHeight="1" x14ac:dyDescent="0.25">
      <c r="A33" s="4">
        <v>889780</v>
      </c>
      <c r="B33" s="58" t="s">
        <v>84</v>
      </c>
      <c r="C33" s="5" t="s">
        <v>85</v>
      </c>
      <c r="D33" s="5" t="s">
        <v>24</v>
      </c>
      <c r="E33" s="5" t="str">
        <f t="shared" si="0"/>
        <v>234 VREELAND AVE, PATERSON</v>
      </c>
      <c r="F33" s="5" t="s">
        <v>10</v>
      </c>
      <c r="G33" s="5">
        <v>7504</v>
      </c>
      <c r="H33" s="5" t="s">
        <v>21</v>
      </c>
      <c r="I33" s="19">
        <v>45405</v>
      </c>
      <c r="J33" s="14">
        <v>5710</v>
      </c>
      <c r="K33" s="14">
        <v>6166</v>
      </c>
      <c r="L33" s="14">
        <f t="shared" si="1"/>
        <v>456</v>
      </c>
      <c r="M33" s="24">
        <f t="shared" si="4"/>
        <v>7.9859894921190888E-2</v>
      </c>
      <c r="N33" s="14"/>
      <c r="O33" s="16">
        <v>3232</v>
      </c>
      <c r="P33" s="16">
        <v>3592</v>
      </c>
      <c r="Q33" s="16">
        <f t="shared" si="2"/>
        <v>360</v>
      </c>
      <c r="R33" s="21">
        <f>(P33-O33)/O33</f>
        <v>0.11138613861386139</v>
      </c>
      <c r="S33" s="16">
        <v>34</v>
      </c>
      <c r="T33" s="16">
        <v>35</v>
      </c>
      <c r="U33" s="16">
        <f t="shared" si="3"/>
        <v>1</v>
      </c>
    </row>
    <row r="34" spans="1:21" ht="18" customHeight="1" x14ac:dyDescent="0.25">
      <c r="A34" s="4">
        <v>1445435</v>
      </c>
      <c r="B34" s="5" t="s">
        <v>80</v>
      </c>
      <c r="C34" s="5" t="s">
        <v>86</v>
      </c>
      <c r="D34" s="5" t="s">
        <v>87</v>
      </c>
      <c r="E34" s="5" t="str">
        <f t="shared" si="0"/>
        <v>17 SCHUYLER AVE, NORTH ARLINGTON</v>
      </c>
      <c r="F34" s="5" t="s">
        <v>10</v>
      </c>
      <c r="G34" s="5">
        <v>7031</v>
      </c>
      <c r="H34" s="5" t="s">
        <v>11</v>
      </c>
      <c r="I34" s="6">
        <v>45405</v>
      </c>
      <c r="J34" s="14">
        <v>8105</v>
      </c>
      <c r="K34" s="14">
        <v>7283</v>
      </c>
      <c r="L34" s="14">
        <f t="shared" si="1"/>
        <v>-822</v>
      </c>
      <c r="M34" s="24">
        <f t="shared" si="4"/>
        <v>-0.10141887723627391</v>
      </c>
      <c r="N34" s="14"/>
      <c r="O34" s="16">
        <v>3463</v>
      </c>
      <c r="P34" s="16">
        <v>2924</v>
      </c>
      <c r="Q34" s="16">
        <f t="shared" si="2"/>
        <v>-539</v>
      </c>
      <c r="R34" s="21">
        <f>(P34-O34)/O34</f>
        <v>-0.15564539416690731</v>
      </c>
      <c r="S34" s="16">
        <v>36</v>
      </c>
      <c r="T34" s="16">
        <v>41</v>
      </c>
      <c r="U34" s="16">
        <f t="shared" si="3"/>
        <v>5</v>
      </c>
    </row>
    <row r="35" spans="1:21" ht="18" customHeight="1" x14ac:dyDescent="0.25">
      <c r="A35" s="4">
        <v>883830</v>
      </c>
      <c r="B35" s="58" t="s">
        <v>88</v>
      </c>
      <c r="C35" s="5" t="s">
        <v>89</v>
      </c>
      <c r="D35" s="5" t="s">
        <v>82</v>
      </c>
      <c r="E35" s="5" t="str">
        <f t="shared" si="0"/>
        <v>545 MOLA BLVD, ELMWOOD PARK</v>
      </c>
      <c r="F35" s="5" t="s">
        <v>10</v>
      </c>
      <c r="G35" s="5">
        <v>7407</v>
      </c>
      <c r="H35" s="5" t="s">
        <v>11</v>
      </c>
      <c r="I35" s="6">
        <v>45406</v>
      </c>
      <c r="J35" s="14">
        <v>6538</v>
      </c>
      <c r="K35" s="14">
        <v>6699</v>
      </c>
      <c r="L35" s="14">
        <f t="shared" si="1"/>
        <v>161</v>
      </c>
      <c r="M35" s="24">
        <f t="shared" si="4"/>
        <v>2.4625267665952889E-2</v>
      </c>
      <c r="N35" s="14"/>
      <c r="O35" s="16">
        <v>2422</v>
      </c>
      <c r="P35" s="16">
        <v>2552</v>
      </c>
      <c r="Q35" s="16">
        <f t="shared" si="2"/>
        <v>130</v>
      </c>
      <c r="R35" s="21">
        <f>(P35-O35)/O35</f>
        <v>5.3674649050371594E-2</v>
      </c>
      <c r="S35" s="16">
        <v>40</v>
      </c>
      <c r="T35" s="16">
        <v>43</v>
      </c>
      <c r="U35" s="16">
        <f t="shared" si="3"/>
        <v>3</v>
      </c>
    </row>
    <row r="36" spans="1:21" ht="18" customHeight="1" x14ac:dyDescent="0.25">
      <c r="A36" s="4">
        <v>889816</v>
      </c>
      <c r="B36" s="5" t="s">
        <v>90</v>
      </c>
      <c r="C36" s="5" t="s">
        <v>91</v>
      </c>
      <c r="D36" s="5" t="s">
        <v>24</v>
      </c>
      <c r="E36" s="5" t="str">
        <f t="shared" si="0"/>
        <v>423 21ST AVE, PATERSON</v>
      </c>
      <c r="F36" s="5" t="s">
        <v>10</v>
      </c>
      <c r="G36" s="5">
        <v>7513</v>
      </c>
      <c r="H36" s="5" t="s">
        <v>14</v>
      </c>
      <c r="I36" s="6">
        <v>45407</v>
      </c>
      <c r="J36" s="14">
        <v>14903</v>
      </c>
      <c r="K36" s="14">
        <v>15006</v>
      </c>
      <c r="L36" s="14">
        <f t="shared" si="1"/>
        <v>103</v>
      </c>
      <c r="M36" s="24">
        <f t="shared" si="4"/>
        <v>6.9113601288331205E-3</v>
      </c>
      <c r="N36" s="14"/>
      <c r="O36" s="16">
        <v>9124</v>
      </c>
      <c r="P36" s="16">
        <v>9473</v>
      </c>
      <c r="Q36" s="16">
        <f t="shared" si="2"/>
        <v>349</v>
      </c>
      <c r="R36" s="21">
        <f>(P36-O36)/O36</f>
        <v>3.8250767207365192E-2</v>
      </c>
      <c r="S36" s="16">
        <v>44</v>
      </c>
      <c r="T36" s="16">
        <v>55</v>
      </c>
      <c r="U36" s="16">
        <f t="shared" si="3"/>
        <v>11</v>
      </c>
    </row>
    <row r="37" spans="1:21" ht="18" customHeight="1" x14ac:dyDescent="0.25">
      <c r="A37" s="4">
        <v>889771</v>
      </c>
      <c r="B37" s="5" t="s">
        <v>92</v>
      </c>
      <c r="C37" s="5" t="s">
        <v>93</v>
      </c>
      <c r="D37" s="5" t="s">
        <v>24</v>
      </c>
      <c r="E37" s="5" t="str">
        <f t="shared" si="0"/>
        <v>498 E 30TH ST, PATERSON</v>
      </c>
      <c r="F37" s="5" t="s">
        <v>10</v>
      </c>
      <c r="G37" s="5">
        <v>7504</v>
      </c>
      <c r="H37" s="5" t="s">
        <v>14</v>
      </c>
      <c r="I37" s="6">
        <v>45411</v>
      </c>
      <c r="J37" s="14">
        <v>22187</v>
      </c>
      <c r="K37" s="14">
        <v>26982</v>
      </c>
      <c r="L37" s="14">
        <f t="shared" si="1"/>
        <v>4795</v>
      </c>
      <c r="M37" s="24">
        <f t="shared" si="4"/>
        <v>0.21611754631090277</v>
      </c>
      <c r="N37" s="14"/>
      <c r="O37" s="16">
        <v>15909</v>
      </c>
      <c r="P37" s="16">
        <v>19392</v>
      </c>
      <c r="Q37" s="16">
        <f t="shared" si="2"/>
        <v>3483</v>
      </c>
      <c r="R37" s="21">
        <f>(P37-O37)/O37</f>
        <v>0.2189326796153121</v>
      </c>
      <c r="S37" s="16">
        <v>47</v>
      </c>
      <c r="T37" s="16">
        <v>51</v>
      </c>
      <c r="U37" s="16">
        <f t="shared" si="3"/>
        <v>4</v>
      </c>
    </row>
    <row r="38" spans="1:21" ht="18" customHeight="1" x14ac:dyDescent="0.25">
      <c r="A38" s="4">
        <v>889832</v>
      </c>
      <c r="B38" s="5" t="s">
        <v>94</v>
      </c>
      <c r="C38" s="5" t="s">
        <v>95</v>
      </c>
      <c r="D38" s="5" t="s">
        <v>24</v>
      </c>
      <c r="E38" s="5" t="str">
        <f t="shared" si="0"/>
        <v>42 E 30TH ST, PATERSON</v>
      </c>
      <c r="F38" s="5" t="s">
        <v>10</v>
      </c>
      <c r="G38" s="5">
        <v>7514</v>
      </c>
      <c r="H38" s="5" t="s">
        <v>14</v>
      </c>
      <c r="I38" s="6">
        <v>45412</v>
      </c>
      <c r="J38" s="14">
        <v>57335</v>
      </c>
      <c r="K38" s="14">
        <v>61702</v>
      </c>
      <c r="L38" s="14">
        <f t="shared" si="1"/>
        <v>4367</v>
      </c>
      <c r="M38" s="24">
        <f t="shared" si="4"/>
        <v>7.6166390511903728E-2</v>
      </c>
      <c r="N38" s="14"/>
      <c r="O38" s="16">
        <v>32153</v>
      </c>
      <c r="P38" s="16">
        <v>33208</v>
      </c>
      <c r="Q38" s="16">
        <f t="shared" si="2"/>
        <v>1055</v>
      </c>
      <c r="R38" s="21">
        <f>(P38-O38)/O38</f>
        <v>3.2811868254906229E-2</v>
      </c>
      <c r="S38" s="16">
        <v>53</v>
      </c>
      <c r="T38" s="16">
        <v>56</v>
      </c>
      <c r="U38" s="16">
        <f t="shared" si="3"/>
        <v>3</v>
      </c>
    </row>
    <row r="39" spans="1:21" ht="18" customHeight="1" x14ac:dyDescent="0.25">
      <c r="A39" s="4">
        <v>3789283</v>
      </c>
      <c r="B39" s="5" t="s">
        <v>96</v>
      </c>
      <c r="C39" s="5" t="s">
        <v>97</v>
      </c>
      <c r="D39" s="5" t="s">
        <v>30</v>
      </c>
      <c r="E39" s="5" t="str">
        <f t="shared" si="0"/>
        <v>550 LEXINGTON AVE, CLIFTON</v>
      </c>
      <c r="F39" s="5" t="s">
        <v>10</v>
      </c>
      <c r="G39" s="5">
        <v>7011</v>
      </c>
      <c r="H39" s="5" t="s">
        <v>14</v>
      </c>
      <c r="I39" s="6">
        <v>45413</v>
      </c>
      <c r="J39" s="14">
        <v>16907</v>
      </c>
      <c r="K39" s="14">
        <v>16565</v>
      </c>
      <c r="L39" s="14">
        <f t="shared" si="1"/>
        <v>-342</v>
      </c>
      <c r="M39" s="24">
        <f t="shared" si="4"/>
        <v>-2.0228307801502338E-2</v>
      </c>
      <c r="N39" s="14"/>
      <c r="O39" s="16">
        <v>11095</v>
      </c>
      <c r="P39" s="16">
        <v>10996</v>
      </c>
      <c r="Q39" s="16">
        <f t="shared" si="2"/>
        <v>-99</v>
      </c>
      <c r="R39" s="21">
        <f>(P39-O39)/O39</f>
        <v>-8.9229382604776933E-3</v>
      </c>
      <c r="S39" s="16">
        <v>58</v>
      </c>
      <c r="T39" s="16">
        <v>61</v>
      </c>
      <c r="U39" s="16">
        <f t="shared" si="3"/>
        <v>3</v>
      </c>
    </row>
    <row r="40" spans="1:21" ht="18" customHeight="1" x14ac:dyDescent="0.25">
      <c r="A40" s="4">
        <v>883666</v>
      </c>
      <c r="B40" s="8" t="s">
        <v>98</v>
      </c>
      <c r="C40" s="5" t="s">
        <v>99</v>
      </c>
      <c r="D40" s="5" t="s">
        <v>48</v>
      </c>
      <c r="E40" s="5" t="str">
        <f t="shared" si="0"/>
        <v>370 MONROE ST, PASSAIC</v>
      </c>
      <c r="F40" s="5" t="s">
        <v>10</v>
      </c>
      <c r="G40" s="5">
        <v>7055</v>
      </c>
      <c r="H40" s="5" t="s">
        <v>14</v>
      </c>
      <c r="I40" s="6">
        <v>45413</v>
      </c>
      <c r="J40" s="14">
        <v>13228</v>
      </c>
      <c r="K40" s="14">
        <v>12832</v>
      </c>
      <c r="L40" s="14">
        <f t="shared" si="1"/>
        <v>-396</v>
      </c>
      <c r="M40" s="24">
        <f t="shared" si="4"/>
        <v>-2.9936498336861204E-2</v>
      </c>
      <c r="N40" s="14"/>
      <c r="O40" s="16">
        <v>9658</v>
      </c>
      <c r="P40" s="16">
        <v>9240</v>
      </c>
      <c r="Q40" s="16">
        <f t="shared" si="2"/>
        <v>-418</v>
      </c>
      <c r="R40" s="21">
        <f>(P40-O40)/O40</f>
        <v>-4.328018223234624E-2</v>
      </c>
      <c r="S40" s="16">
        <v>50</v>
      </c>
      <c r="T40" s="16">
        <v>50</v>
      </c>
      <c r="U40" s="16">
        <f t="shared" si="3"/>
        <v>0</v>
      </c>
    </row>
    <row r="41" spans="1:21" ht="18" customHeight="1" x14ac:dyDescent="0.25">
      <c r="A41" s="4">
        <v>1692898</v>
      </c>
      <c r="B41" s="27" t="s">
        <v>100</v>
      </c>
      <c r="C41" s="5" t="s">
        <v>101</v>
      </c>
      <c r="D41" s="5" t="s">
        <v>102</v>
      </c>
      <c r="E41" s="5" t="str">
        <f t="shared" si="0"/>
        <v>121 VALLEY BROOK AVE, LYNDHURST</v>
      </c>
      <c r="F41" s="5" t="s">
        <v>10</v>
      </c>
      <c r="G41" s="5">
        <v>7071</v>
      </c>
      <c r="H41" s="5" t="s">
        <v>21</v>
      </c>
      <c r="I41" s="6">
        <v>45415</v>
      </c>
      <c r="J41" s="77" t="s">
        <v>223</v>
      </c>
      <c r="K41" s="78"/>
      <c r="L41" s="14"/>
      <c r="M41" s="78"/>
      <c r="N41" s="78"/>
      <c r="O41" s="78"/>
      <c r="P41" s="78"/>
      <c r="Q41" s="78"/>
      <c r="R41" s="78"/>
      <c r="S41" s="78"/>
      <c r="T41" s="78"/>
      <c r="U41" s="79"/>
    </row>
    <row r="42" spans="1:21" ht="18" customHeight="1" x14ac:dyDescent="0.25">
      <c r="A42" s="4">
        <v>763269</v>
      </c>
      <c r="B42" s="5" t="s">
        <v>103</v>
      </c>
      <c r="C42" s="5" t="s">
        <v>104</v>
      </c>
      <c r="D42" s="5" t="s">
        <v>24</v>
      </c>
      <c r="E42" s="5" t="str">
        <f t="shared" si="0"/>
        <v>136 BELMONT AVE, PATERSON</v>
      </c>
      <c r="F42" s="5" t="s">
        <v>10</v>
      </c>
      <c r="G42" s="5">
        <v>7522</v>
      </c>
      <c r="H42" s="5" t="s">
        <v>11</v>
      </c>
      <c r="I42" s="6">
        <v>45418</v>
      </c>
      <c r="J42" s="14">
        <v>3405</v>
      </c>
      <c r="K42" s="14">
        <v>3640</v>
      </c>
      <c r="L42" s="14">
        <f t="shared" si="1"/>
        <v>235</v>
      </c>
      <c r="M42" s="24">
        <f t="shared" si="4"/>
        <v>6.901615271659324E-2</v>
      </c>
      <c r="N42" s="14"/>
      <c r="O42" s="16">
        <v>2048</v>
      </c>
      <c r="P42" s="16">
        <v>2230</v>
      </c>
      <c r="Q42" s="16">
        <f t="shared" si="2"/>
        <v>182</v>
      </c>
      <c r="R42" s="21">
        <f t="shared" ref="R42:R79" si="6">(P42-O42)/O42</f>
        <v>8.88671875E-2</v>
      </c>
      <c r="S42" s="16">
        <v>23</v>
      </c>
      <c r="T42" s="16">
        <v>30</v>
      </c>
      <c r="U42" s="16">
        <f t="shared" si="3"/>
        <v>7</v>
      </c>
    </row>
    <row r="43" spans="1:21" ht="18" customHeight="1" x14ac:dyDescent="0.25">
      <c r="A43" s="4">
        <v>889760</v>
      </c>
      <c r="B43" s="5" t="s">
        <v>105</v>
      </c>
      <c r="C43" s="5" t="s">
        <v>106</v>
      </c>
      <c r="D43" s="5" t="s">
        <v>24</v>
      </c>
      <c r="E43" s="5" t="str">
        <f t="shared" si="0"/>
        <v>299 GRAND ST, PATERSON</v>
      </c>
      <c r="F43" s="5" t="s">
        <v>10</v>
      </c>
      <c r="G43" s="5">
        <v>7501</v>
      </c>
      <c r="H43" s="5" t="s">
        <v>14</v>
      </c>
      <c r="I43" s="6">
        <v>45418</v>
      </c>
      <c r="J43" s="14">
        <v>7133</v>
      </c>
      <c r="K43" s="14">
        <v>8377</v>
      </c>
      <c r="L43" s="14">
        <f t="shared" si="1"/>
        <v>1244</v>
      </c>
      <c r="M43" s="24">
        <f t="shared" si="4"/>
        <v>0.17440067292864153</v>
      </c>
      <c r="N43" s="14"/>
      <c r="O43" s="16">
        <v>4598</v>
      </c>
      <c r="P43" s="16">
        <v>5658</v>
      </c>
      <c r="Q43" s="16">
        <f t="shared" si="2"/>
        <v>1060</v>
      </c>
      <c r="R43" s="21">
        <f t="shared" si="6"/>
        <v>0.23053501522401043</v>
      </c>
      <c r="S43" s="16">
        <v>45</v>
      </c>
      <c r="T43" s="16">
        <v>51</v>
      </c>
      <c r="U43" s="16">
        <f t="shared" si="3"/>
        <v>6</v>
      </c>
    </row>
    <row r="44" spans="1:21" ht="18" customHeight="1" x14ac:dyDescent="0.25">
      <c r="A44" s="4">
        <v>883814</v>
      </c>
      <c r="B44" s="5" t="s">
        <v>107</v>
      </c>
      <c r="C44" s="5" t="s">
        <v>108</v>
      </c>
      <c r="D44" s="5" t="s">
        <v>65</v>
      </c>
      <c r="E44" s="5" t="str">
        <f t="shared" si="0"/>
        <v>22 10 MORLOT AVE, FAIR LAWN</v>
      </c>
      <c r="F44" s="5" t="s">
        <v>10</v>
      </c>
      <c r="G44" s="5">
        <v>7410</v>
      </c>
      <c r="H44" s="5" t="s">
        <v>21</v>
      </c>
      <c r="I44" s="6">
        <v>45419</v>
      </c>
      <c r="J44" s="14">
        <v>1834</v>
      </c>
      <c r="K44" s="14">
        <v>1760</v>
      </c>
      <c r="L44" s="14">
        <f t="shared" si="1"/>
        <v>-74</v>
      </c>
      <c r="M44" s="24">
        <f t="shared" si="4"/>
        <v>-4.0348964013086151E-2</v>
      </c>
      <c r="N44" s="14"/>
      <c r="O44" s="16">
        <v>695</v>
      </c>
      <c r="P44" s="16">
        <v>666</v>
      </c>
      <c r="Q44" s="16">
        <f t="shared" si="2"/>
        <v>-29</v>
      </c>
      <c r="R44" s="21">
        <f t="shared" si="6"/>
        <v>-4.1726618705035974E-2</v>
      </c>
      <c r="S44" s="16">
        <v>19</v>
      </c>
      <c r="T44" s="16">
        <v>21</v>
      </c>
      <c r="U44" s="16">
        <f t="shared" si="3"/>
        <v>2</v>
      </c>
    </row>
    <row r="45" spans="1:21" ht="18" customHeight="1" x14ac:dyDescent="0.25">
      <c r="A45" s="4">
        <v>883383</v>
      </c>
      <c r="B45" s="5" t="s">
        <v>109</v>
      </c>
      <c r="C45" s="5" t="s">
        <v>110</v>
      </c>
      <c r="D45" s="5" t="s">
        <v>30</v>
      </c>
      <c r="E45" s="5" t="str">
        <f t="shared" si="0"/>
        <v>203 PARKER AVE, CLIFTON</v>
      </c>
      <c r="F45" s="5" t="s">
        <v>10</v>
      </c>
      <c r="G45" s="5">
        <v>7011</v>
      </c>
      <c r="H45" s="5" t="s">
        <v>14</v>
      </c>
      <c r="I45" s="6">
        <v>45420</v>
      </c>
      <c r="J45" s="14">
        <v>15517</v>
      </c>
      <c r="K45" s="14">
        <v>13755</v>
      </c>
      <c r="L45" s="14">
        <f t="shared" si="1"/>
        <v>-1762</v>
      </c>
      <c r="M45" s="24">
        <f t="shared" si="4"/>
        <v>-0.11355287748920538</v>
      </c>
      <c r="N45" s="14"/>
      <c r="O45" s="16">
        <v>9374</v>
      </c>
      <c r="P45" s="16">
        <v>8850</v>
      </c>
      <c r="Q45" s="16">
        <f t="shared" si="2"/>
        <v>-524</v>
      </c>
      <c r="R45" s="21">
        <f t="shared" si="6"/>
        <v>-5.5899295924898659E-2</v>
      </c>
      <c r="S45" s="16">
        <v>44</v>
      </c>
      <c r="T45" s="16">
        <v>50</v>
      </c>
      <c r="U45" s="16">
        <f t="shared" si="3"/>
        <v>6</v>
      </c>
    </row>
    <row r="46" spans="1:21" ht="18" customHeight="1" x14ac:dyDescent="0.25">
      <c r="A46" s="4">
        <v>883810</v>
      </c>
      <c r="B46" s="5" t="s">
        <v>111</v>
      </c>
      <c r="C46" s="5" t="s">
        <v>112</v>
      </c>
      <c r="D46" s="5" t="s">
        <v>65</v>
      </c>
      <c r="E46" s="5" t="str">
        <f t="shared" si="0"/>
        <v>14-35 PLAZA RD, FAIR LAWN</v>
      </c>
      <c r="F46" s="5" t="s">
        <v>10</v>
      </c>
      <c r="G46" s="5">
        <v>7410</v>
      </c>
      <c r="H46" s="5" t="s">
        <v>11</v>
      </c>
      <c r="I46" s="6">
        <v>45420</v>
      </c>
      <c r="J46" s="14">
        <v>3331</v>
      </c>
      <c r="K46" s="14">
        <v>3068</v>
      </c>
      <c r="L46" s="14">
        <f t="shared" si="1"/>
        <v>-263</v>
      </c>
      <c r="M46" s="24">
        <f t="shared" si="4"/>
        <v>-7.8955268688081656E-2</v>
      </c>
      <c r="N46" s="14"/>
      <c r="O46" s="16">
        <v>927</v>
      </c>
      <c r="P46" s="16">
        <v>825</v>
      </c>
      <c r="Q46" s="16">
        <f t="shared" si="2"/>
        <v>-102</v>
      </c>
      <c r="R46" s="21">
        <f t="shared" si="6"/>
        <v>-0.11003236245954692</v>
      </c>
      <c r="S46" s="16">
        <v>25</v>
      </c>
      <c r="T46" s="16">
        <v>25</v>
      </c>
      <c r="U46" s="16">
        <f t="shared" si="3"/>
        <v>0</v>
      </c>
    </row>
    <row r="47" spans="1:21" ht="18" customHeight="1" x14ac:dyDescent="0.25">
      <c r="A47" s="4">
        <v>883668</v>
      </c>
      <c r="B47" s="5" t="s">
        <v>113</v>
      </c>
      <c r="C47" s="5" t="s">
        <v>114</v>
      </c>
      <c r="D47" s="5" t="s">
        <v>48</v>
      </c>
      <c r="E47" s="5" t="str">
        <f t="shared" si="0"/>
        <v>158 PRESIDENT ST, PASSAIC</v>
      </c>
      <c r="F47" s="5" t="s">
        <v>10</v>
      </c>
      <c r="G47" s="5">
        <v>7055</v>
      </c>
      <c r="H47" s="5" t="s">
        <v>14</v>
      </c>
      <c r="I47" s="6">
        <v>45421</v>
      </c>
      <c r="J47" s="14">
        <v>12837</v>
      </c>
      <c r="K47" s="14">
        <v>11943</v>
      </c>
      <c r="L47" s="14">
        <f t="shared" si="1"/>
        <v>-894</v>
      </c>
      <c r="M47" s="24">
        <f t="shared" si="4"/>
        <v>-6.9642439822388408E-2</v>
      </c>
      <c r="N47" s="14"/>
      <c r="O47" s="16">
        <v>8428</v>
      </c>
      <c r="P47" s="16">
        <v>8411</v>
      </c>
      <c r="Q47" s="16">
        <f t="shared" si="2"/>
        <v>-17</v>
      </c>
      <c r="R47" s="21">
        <f t="shared" si="6"/>
        <v>-2.0170859041290937E-3</v>
      </c>
      <c r="S47" s="16">
        <v>44</v>
      </c>
      <c r="T47" s="16">
        <v>51</v>
      </c>
      <c r="U47" s="16">
        <f t="shared" si="3"/>
        <v>7</v>
      </c>
    </row>
    <row r="48" spans="1:21" ht="18" customHeight="1" x14ac:dyDescent="0.25">
      <c r="A48" s="4">
        <v>7355731</v>
      </c>
      <c r="B48" s="5" t="s">
        <v>115</v>
      </c>
      <c r="C48" s="5" t="s">
        <v>116</v>
      </c>
      <c r="D48" s="5" t="s">
        <v>24</v>
      </c>
      <c r="E48" s="5" t="str">
        <f t="shared" si="0"/>
        <v>444 20TH AVE, PATERSON</v>
      </c>
      <c r="F48" s="5" t="s">
        <v>10</v>
      </c>
      <c r="G48" s="5">
        <v>7513</v>
      </c>
      <c r="H48" s="5" t="s">
        <v>14</v>
      </c>
      <c r="I48" s="6">
        <v>45425</v>
      </c>
      <c r="J48" s="14">
        <v>6015</v>
      </c>
      <c r="K48" s="14">
        <v>7866</v>
      </c>
      <c r="L48" s="14">
        <f t="shared" si="1"/>
        <v>1851</v>
      </c>
      <c r="M48" s="24">
        <f t="shared" si="4"/>
        <v>0.30773067331670823</v>
      </c>
      <c r="N48" s="14"/>
      <c r="O48" s="16">
        <v>3778</v>
      </c>
      <c r="P48" s="16">
        <v>5239</v>
      </c>
      <c r="Q48" s="16">
        <f t="shared" si="2"/>
        <v>1461</v>
      </c>
      <c r="R48" s="21">
        <f t="shared" si="6"/>
        <v>0.38671254632080465</v>
      </c>
      <c r="S48" s="16">
        <v>45</v>
      </c>
      <c r="T48" s="16">
        <v>54</v>
      </c>
      <c r="U48" s="16">
        <f t="shared" si="3"/>
        <v>9</v>
      </c>
    </row>
    <row r="49" spans="1:21" ht="18" customHeight="1" x14ac:dyDescent="0.25">
      <c r="A49" s="4">
        <v>7355866</v>
      </c>
      <c r="B49" s="5" t="s">
        <v>117</v>
      </c>
      <c r="C49" s="5" t="s">
        <v>118</v>
      </c>
      <c r="D49" s="5" t="s">
        <v>24</v>
      </c>
      <c r="E49" s="5" t="str">
        <f t="shared" si="0"/>
        <v>680 MAIN ST, PATERSON</v>
      </c>
      <c r="F49" s="5" t="s">
        <v>10</v>
      </c>
      <c r="G49" s="5">
        <v>7503</v>
      </c>
      <c r="H49" s="5" t="s">
        <v>11</v>
      </c>
      <c r="I49" s="6">
        <v>45426</v>
      </c>
      <c r="J49" s="14">
        <v>3003</v>
      </c>
      <c r="K49" s="14">
        <v>2863</v>
      </c>
      <c r="L49" s="14">
        <f t="shared" si="1"/>
        <v>-140</v>
      </c>
      <c r="M49" s="24">
        <f t="shared" si="4"/>
        <v>-4.6620046620046623E-2</v>
      </c>
      <c r="N49" s="14"/>
      <c r="O49" s="16">
        <v>1765</v>
      </c>
      <c r="P49" s="16">
        <v>1920</v>
      </c>
      <c r="Q49" s="16">
        <f t="shared" si="2"/>
        <v>155</v>
      </c>
      <c r="R49" s="21">
        <f t="shared" si="6"/>
        <v>8.7818696883852687E-2</v>
      </c>
      <c r="S49" s="16">
        <v>43</v>
      </c>
      <c r="T49" s="16">
        <v>45</v>
      </c>
      <c r="U49" s="16">
        <f t="shared" si="3"/>
        <v>2</v>
      </c>
    </row>
    <row r="50" spans="1:21" ht="18" customHeight="1" x14ac:dyDescent="0.25">
      <c r="A50" s="4">
        <v>883652</v>
      </c>
      <c r="B50" s="5" t="s">
        <v>119</v>
      </c>
      <c r="C50" s="5" t="s">
        <v>120</v>
      </c>
      <c r="D50" s="5" t="s">
        <v>48</v>
      </c>
      <c r="E50" s="5" t="str">
        <f t="shared" si="0"/>
        <v>177 HOPE AVE, PASSAIC</v>
      </c>
      <c r="F50" s="5" t="s">
        <v>10</v>
      </c>
      <c r="G50" s="5">
        <v>7055</v>
      </c>
      <c r="H50" s="5" t="s">
        <v>14</v>
      </c>
      <c r="I50" s="6">
        <v>45427</v>
      </c>
      <c r="J50" s="14">
        <v>11456</v>
      </c>
      <c r="K50" s="14">
        <v>11940</v>
      </c>
      <c r="L50" s="14">
        <f t="shared" si="1"/>
        <v>484</v>
      </c>
      <c r="M50" s="24">
        <f t="shared" si="4"/>
        <v>4.2248603351955308E-2</v>
      </c>
      <c r="N50" s="14"/>
      <c r="O50" s="16">
        <v>7134</v>
      </c>
      <c r="P50" s="16">
        <v>7115</v>
      </c>
      <c r="Q50" s="16">
        <f t="shared" si="2"/>
        <v>-19</v>
      </c>
      <c r="R50" s="21">
        <f t="shared" si="6"/>
        <v>-2.6633024950939166E-3</v>
      </c>
      <c r="S50" s="16">
        <v>44</v>
      </c>
      <c r="T50" s="16">
        <v>50</v>
      </c>
      <c r="U50" s="16">
        <f t="shared" si="3"/>
        <v>6</v>
      </c>
    </row>
    <row r="51" spans="1:21" ht="18" customHeight="1" x14ac:dyDescent="0.25">
      <c r="A51" s="4">
        <v>764602</v>
      </c>
      <c r="B51" s="5" t="s">
        <v>121</v>
      </c>
      <c r="C51" s="5" t="s">
        <v>122</v>
      </c>
      <c r="D51" s="5" t="s">
        <v>30</v>
      </c>
      <c r="E51" s="5" t="str">
        <f t="shared" si="0"/>
        <v>327 HOPE AVE, CLIFTON</v>
      </c>
      <c r="F51" s="5" t="s">
        <v>10</v>
      </c>
      <c r="G51" s="5">
        <v>7011</v>
      </c>
      <c r="H51" s="5" t="s">
        <v>14</v>
      </c>
      <c r="I51" s="6">
        <v>45427</v>
      </c>
      <c r="J51" s="14">
        <v>10407</v>
      </c>
      <c r="K51" s="14">
        <v>9704</v>
      </c>
      <c r="L51" s="14">
        <f t="shared" si="1"/>
        <v>-703</v>
      </c>
      <c r="M51" s="24">
        <f t="shared" si="4"/>
        <v>-6.7550687037570861E-2</v>
      </c>
      <c r="N51" s="14"/>
      <c r="O51" s="16">
        <v>7154</v>
      </c>
      <c r="P51" s="16">
        <v>5939</v>
      </c>
      <c r="Q51" s="16">
        <f t="shared" si="2"/>
        <v>-1215</v>
      </c>
      <c r="R51" s="21">
        <f t="shared" si="6"/>
        <v>-0.16983505731059548</v>
      </c>
      <c r="S51" s="16">
        <v>51</v>
      </c>
      <c r="T51" s="16">
        <v>52</v>
      </c>
      <c r="U51" s="16">
        <f t="shared" si="3"/>
        <v>1</v>
      </c>
    </row>
    <row r="52" spans="1:21" ht="18" customHeight="1" x14ac:dyDescent="0.25">
      <c r="A52" s="4">
        <v>883625</v>
      </c>
      <c r="B52" s="5" t="s">
        <v>123</v>
      </c>
      <c r="C52" s="5" t="s">
        <v>124</v>
      </c>
      <c r="D52" s="5" t="s">
        <v>48</v>
      </c>
      <c r="E52" s="5" t="str">
        <f t="shared" si="0"/>
        <v>952 MAIN AVE, PASSAIC</v>
      </c>
      <c r="F52" s="5" t="s">
        <v>10</v>
      </c>
      <c r="G52" s="5">
        <v>7055</v>
      </c>
      <c r="H52" s="5" t="s">
        <v>14</v>
      </c>
      <c r="I52" s="6">
        <v>45428</v>
      </c>
      <c r="J52" s="14">
        <v>13334</v>
      </c>
      <c r="K52" s="14">
        <v>12004</v>
      </c>
      <c r="L52" s="14">
        <f t="shared" si="1"/>
        <v>-1330</v>
      </c>
      <c r="M52" s="24">
        <f t="shared" si="4"/>
        <v>-9.9745012749362538E-2</v>
      </c>
      <c r="N52" s="14"/>
      <c r="O52" s="16">
        <v>8911</v>
      </c>
      <c r="P52" s="16">
        <v>7954</v>
      </c>
      <c r="Q52" s="16">
        <f t="shared" si="2"/>
        <v>-957</v>
      </c>
      <c r="R52" s="21">
        <f t="shared" si="6"/>
        <v>-0.10739535405678376</v>
      </c>
      <c r="S52" s="16">
        <v>53</v>
      </c>
      <c r="T52" s="16">
        <v>50</v>
      </c>
      <c r="U52" s="16">
        <f t="shared" si="3"/>
        <v>-3</v>
      </c>
    </row>
    <row r="53" spans="1:21" ht="18" customHeight="1" x14ac:dyDescent="0.25">
      <c r="A53" s="4">
        <v>883781</v>
      </c>
      <c r="B53" s="5" t="s">
        <v>125</v>
      </c>
      <c r="C53" s="5" t="s">
        <v>126</v>
      </c>
      <c r="D53" s="5" t="s">
        <v>127</v>
      </c>
      <c r="E53" s="5" t="str">
        <f t="shared" si="0"/>
        <v>226 PATERSON AVE, EAST RUTHERFORD</v>
      </c>
      <c r="F53" s="5" t="s">
        <v>10</v>
      </c>
      <c r="G53" s="5">
        <v>7073</v>
      </c>
      <c r="H53" s="5" t="s">
        <v>11</v>
      </c>
      <c r="I53" s="6">
        <v>45432</v>
      </c>
      <c r="J53" s="14">
        <v>5041</v>
      </c>
      <c r="K53" s="14">
        <v>6206</v>
      </c>
      <c r="L53" s="14">
        <f t="shared" si="1"/>
        <v>1165</v>
      </c>
      <c r="M53" s="24">
        <f t="shared" si="4"/>
        <v>0.23110493949613173</v>
      </c>
      <c r="N53" s="14"/>
      <c r="O53" s="16">
        <v>2606</v>
      </c>
      <c r="P53" s="16">
        <v>3152</v>
      </c>
      <c r="Q53" s="16">
        <f t="shared" si="2"/>
        <v>546</v>
      </c>
      <c r="R53" s="21">
        <f t="shared" si="6"/>
        <v>0.20951650038372985</v>
      </c>
      <c r="S53" s="16">
        <v>53</v>
      </c>
      <c r="T53" s="16">
        <v>52</v>
      </c>
      <c r="U53" s="16">
        <f t="shared" si="3"/>
        <v>-1</v>
      </c>
    </row>
    <row r="54" spans="1:21" ht="18" customHeight="1" x14ac:dyDescent="0.25">
      <c r="A54" s="4">
        <v>883393</v>
      </c>
      <c r="B54" s="5" t="s">
        <v>201</v>
      </c>
      <c r="C54" s="5" t="s">
        <v>128</v>
      </c>
      <c r="D54" s="5" t="s">
        <v>30</v>
      </c>
      <c r="E54" s="5" t="str">
        <f t="shared" si="0"/>
        <v>534 VAN HOUTEN AVE, CLIFTON</v>
      </c>
      <c r="F54" s="5" t="s">
        <v>10</v>
      </c>
      <c r="G54" s="5">
        <v>7013</v>
      </c>
      <c r="H54" s="5" t="s">
        <v>11</v>
      </c>
      <c r="I54" s="6">
        <v>45441</v>
      </c>
      <c r="J54" s="14">
        <v>5319</v>
      </c>
      <c r="K54" s="14">
        <v>5603</v>
      </c>
      <c r="L54" s="14">
        <f t="shared" si="1"/>
        <v>284</v>
      </c>
      <c r="M54" s="24">
        <f t="shared" si="4"/>
        <v>5.3393495017860497E-2</v>
      </c>
      <c r="N54" s="14"/>
      <c r="O54" s="16">
        <v>2437</v>
      </c>
      <c r="P54" s="16">
        <v>2855</v>
      </c>
      <c r="Q54" s="16">
        <f t="shared" si="2"/>
        <v>418</v>
      </c>
      <c r="R54" s="21">
        <f t="shared" si="6"/>
        <v>0.17152236356175626</v>
      </c>
      <c r="S54" s="16">
        <v>43</v>
      </c>
      <c r="T54" s="16">
        <v>49</v>
      </c>
      <c r="U54" s="16">
        <f t="shared" si="3"/>
        <v>6</v>
      </c>
    </row>
    <row r="55" spans="1:21" ht="18" customHeight="1" x14ac:dyDescent="0.25">
      <c r="A55" s="4">
        <v>883839</v>
      </c>
      <c r="B55" s="5" t="s">
        <v>129</v>
      </c>
      <c r="C55" s="5" t="s">
        <v>130</v>
      </c>
      <c r="D55" s="5" t="s">
        <v>131</v>
      </c>
      <c r="E55" s="5" t="str">
        <f t="shared" si="0"/>
        <v>206 HACKENSACK ST, WOOD RIDGE</v>
      </c>
      <c r="F55" s="5" t="s">
        <v>10</v>
      </c>
      <c r="G55" s="5">
        <v>7075</v>
      </c>
      <c r="H55" s="5" t="s">
        <v>11</v>
      </c>
      <c r="I55" s="6">
        <v>45442</v>
      </c>
      <c r="J55" s="14">
        <v>7004</v>
      </c>
      <c r="K55" s="14">
        <v>7087</v>
      </c>
      <c r="L55" s="14">
        <f t="shared" si="1"/>
        <v>83</v>
      </c>
      <c r="M55" s="24">
        <f t="shared" si="4"/>
        <v>1.1850371216447744E-2</v>
      </c>
      <c r="N55" s="14"/>
      <c r="O55" s="16">
        <v>2035</v>
      </c>
      <c r="P55" s="16">
        <v>2083</v>
      </c>
      <c r="Q55" s="16">
        <f t="shared" si="2"/>
        <v>48</v>
      </c>
      <c r="R55" s="21">
        <f t="shared" si="6"/>
        <v>2.3587223587223587E-2</v>
      </c>
      <c r="S55" s="16">
        <v>30</v>
      </c>
      <c r="T55" s="16">
        <v>29</v>
      </c>
      <c r="U55" s="16">
        <f t="shared" si="3"/>
        <v>-1</v>
      </c>
    </row>
    <row r="56" spans="1:21" ht="18" customHeight="1" x14ac:dyDescent="0.25">
      <c r="A56" s="4">
        <v>7355770</v>
      </c>
      <c r="B56" s="5" t="s">
        <v>132</v>
      </c>
      <c r="C56" s="5" t="s">
        <v>133</v>
      </c>
      <c r="D56" s="5" t="s">
        <v>134</v>
      </c>
      <c r="E56" s="5" t="str">
        <f t="shared" si="0"/>
        <v>303 MAIN ST, BUTLER</v>
      </c>
      <c r="F56" s="5" t="s">
        <v>10</v>
      </c>
      <c r="G56" s="5">
        <v>7405</v>
      </c>
      <c r="H56" s="5" t="s">
        <v>21</v>
      </c>
      <c r="I56" s="6">
        <v>45446</v>
      </c>
      <c r="J56" s="14">
        <v>6566</v>
      </c>
      <c r="K56" s="14">
        <v>6782</v>
      </c>
      <c r="L56" s="14">
        <f t="shared" si="1"/>
        <v>216</v>
      </c>
      <c r="M56" s="24">
        <f t="shared" si="4"/>
        <v>3.2896740785866588E-2</v>
      </c>
      <c r="N56" s="14"/>
      <c r="O56" s="16">
        <v>3341</v>
      </c>
      <c r="P56" s="16">
        <v>3805</v>
      </c>
      <c r="Q56" s="16">
        <f t="shared" si="2"/>
        <v>464</v>
      </c>
      <c r="R56" s="21">
        <f t="shared" si="6"/>
        <v>0.13888057467824005</v>
      </c>
      <c r="S56" s="16">
        <v>35</v>
      </c>
      <c r="T56" s="16">
        <v>39</v>
      </c>
      <c r="U56" s="16">
        <f t="shared" si="3"/>
        <v>4</v>
      </c>
    </row>
    <row r="57" spans="1:21" ht="18" customHeight="1" x14ac:dyDescent="0.25">
      <c r="A57" s="4">
        <v>1498389</v>
      </c>
      <c r="B57" s="5" t="s">
        <v>208</v>
      </c>
      <c r="C57" s="5" t="s">
        <v>135</v>
      </c>
      <c r="D57" s="5" t="s">
        <v>136</v>
      </c>
      <c r="E57" s="5" t="str">
        <f t="shared" si="0"/>
        <v>53 NATHANIEL PL, ENGLEWOOD</v>
      </c>
      <c r="F57" s="5" t="s">
        <v>10</v>
      </c>
      <c r="G57" s="5">
        <v>7631</v>
      </c>
      <c r="H57" s="5" t="s">
        <v>14</v>
      </c>
      <c r="I57" s="6">
        <v>45447</v>
      </c>
      <c r="J57" s="14">
        <v>24903</v>
      </c>
      <c r="K57" s="14">
        <v>28884</v>
      </c>
      <c r="L57" s="14">
        <f t="shared" si="1"/>
        <v>3981</v>
      </c>
      <c r="M57" s="24">
        <f t="shared" si="4"/>
        <v>0.15986025780026503</v>
      </c>
      <c r="N57" s="14"/>
      <c r="O57" s="16">
        <v>12453</v>
      </c>
      <c r="P57" s="16">
        <v>15172</v>
      </c>
      <c r="Q57" s="16">
        <f t="shared" si="2"/>
        <v>2719</v>
      </c>
      <c r="R57" s="21">
        <f t="shared" si="6"/>
        <v>0.21834096201718461</v>
      </c>
      <c r="S57" s="16">
        <v>54</v>
      </c>
      <c r="T57" s="16">
        <v>56</v>
      </c>
      <c r="U57" s="16">
        <f t="shared" si="3"/>
        <v>2</v>
      </c>
    </row>
    <row r="58" spans="1:21" ht="18" customHeight="1" x14ac:dyDescent="0.25">
      <c r="A58" s="4">
        <v>883459</v>
      </c>
      <c r="B58" s="5" t="s">
        <v>137</v>
      </c>
      <c r="C58" s="5" t="s">
        <v>138</v>
      </c>
      <c r="D58" s="5" t="s">
        <v>30</v>
      </c>
      <c r="E58" s="5" t="str">
        <f t="shared" si="0"/>
        <v>875 BLOOMFIELD AVE, CLIFTON</v>
      </c>
      <c r="F58" s="5" t="s">
        <v>10</v>
      </c>
      <c r="G58" s="5">
        <v>7012</v>
      </c>
      <c r="H58" s="5" t="s">
        <v>14</v>
      </c>
      <c r="I58" s="6">
        <v>45448</v>
      </c>
      <c r="J58" s="14">
        <v>30245</v>
      </c>
      <c r="K58" s="14">
        <v>33502</v>
      </c>
      <c r="L58" s="14">
        <f t="shared" si="1"/>
        <v>3257</v>
      </c>
      <c r="M58" s="24">
        <f t="shared" si="4"/>
        <v>0.10768722102826914</v>
      </c>
      <c r="N58" s="14"/>
      <c r="O58" s="16">
        <v>15298</v>
      </c>
      <c r="P58" s="16">
        <v>16963</v>
      </c>
      <c r="Q58" s="16">
        <f t="shared" si="2"/>
        <v>1665</v>
      </c>
      <c r="R58" s="21">
        <f t="shared" si="6"/>
        <v>0.1088377565694862</v>
      </c>
      <c r="S58" s="16">
        <v>53</v>
      </c>
      <c r="T58" s="16">
        <v>53</v>
      </c>
      <c r="U58" s="16">
        <f t="shared" si="3"/>
        <v>0</v>
      </c>
    </row>
    <row r="59" spans="1:21" ht="18" customHeight="1" x14ac:dyDescent="0.25">
      <c r="A59" s="4">
        <v>889711</v>
      </c>
      <c r="B59" s="5" t="s">
        <v>139</v>
      </c>
      <c r="C59" s="5" t="s">
        <v>140</v>
      </c>
      <c r="D59" s="5" t="s">
        <v>141</v>
      </c>
      <c r="E59" s="5" t="str">
        <f t="shared" si="0"/>
        <v>315 MAIN ST, LITTLE FALLS</v>
      </c>
      <c r="F59" s="5" t="s">
        <v>10</v>
      </c>
      <c r="G59" s="5">
        <v>7424</v>
      </c>
      <c r="H59" s="5" t="s">
        <v>11</v>
      </c>
      <c r="I59" s="6">
        <v>45449</v>
      </c>
      <c r="J59" s="14">
        <v>9916</v>
      </c>
      <c r="K59" s="14">
        <v>9401</v>
      </c>
      <c r="L59" s="14">
        <f t="shared" si="1"/>
        <v>-515</v>
      </c>
      <c r="M59" s="24">
        <f t="shared" si="4"/>
        <v>-5.1936264622831789E-2</v>
      </c>
      <c r="N59" s="14"/>
      <c r="O59" s="16">
        <v>3319</v>
      </c>
      <c r="P59" s="16">
        <v>2984</v>
      </c>
      <c r="Q59" s="16">
        <f t="shared" si="2"/>
        <v>-335</v>
      </c>
      <c r="R59" s="21">
        <f t="shared" si="6"/>
        <v>-0.10093401626996083</v>
      </c>
      <c r="S59" s="16">
        <v>47</v>
      </c>
      <c r="T59" s="16">
        <v>51</v>
      </c>
      <c r="U59" s="16">
        <f t="shared" si="3"/>
        <v>4</v>
      </c>
    </row>
    <row r="60" spans="1:21" ht="18" customHeight="1" x14ac:dyDescent="0.25">
      <c r="A60" s="7">
        <v>7467047</v>
      </c>
      <c r="B60" s="27" t="s">
        <v>202</v>
      </c>
      <c r="C60" s="5" t="s">
        <v>142</v>
      </c>
      <c r="D60" s="5" t="s">
        <v>143</v>
      </c>
      <c r="E60" s="5" t="str">
        <f t="shared" si="0"/>
        <v>937 LINCOLN AVE, GLEN ROCK</v>
      </c>
      <c r="F60" s="5" t="s">
        <v>10</v>
      </c>
      <c r="G60" s="5">
        <v>7452</v>
      </c>
      <c r="H60" s="5" t="s">
        <v>14</v>
      </c>
      <c r="I60" s="6">
        <v>45456</v>
      </c>
      <c r="J60" s="14">
        <v>6147</v>
      </c>
      <c r="K60" s="14">
        <v>7294</v>
      </c>
      <c r="L60" s="14">
        <f t="shared" si="1"/>
        <v>1147</v>
      </c>
      <c r="M60" s="24">
        <f t="shared" si="4"/>
        <v>0.18659508703432567</v>
      </c>
      <c r="N60" s="14"/>
      <c r="O60" s="16">
        <v>1697</v>
      </c>
      <c r="P60" s="16">
        <v>2222</v>
      </c>
      <c r="Q60" s="16">
        <f t="shared" si="2"/>
        <v>525</v>
      </c>
      <c r="R60" s="21">
        <f t="shared" si="6"/>
        <v>0.30936947554507954</v>
      </c>
      <c r="S60" s="16">
        <v>36</v>
      </c>
      <c r="T60" s="16">
        <v>37</v>
      </c>
      <c r="U60" s="16">
        <f t="shared" si="3"/>
        <v>1</v>
      </c>
    </row>
    <row r="61" spans="1:21" ht="18" customHeight="1" x14ac:dyDescent="0.25">
      <c r="A61" s="7">
        <v>883836</v>
      </c>
      <c r="B61" s="5" t="s">
        <v>144</v>
      </c>
      <c r="C61" s="5" t="s">
        <v>145</v>
      </c>
      <c r="D61" s="5" t="s">
        <v>131</v>
      </c>
      <c r="E61" s="5" t="str">
        <f t="shared" si="0"/>
        <v>280 VALLEY BLVD, WOOD RIDGE</v>
      </c>
      <c r="F61" s="5" t="s">
        <v>10</v>
      </c>
      <c r="G61" s="5">
        <v>7075</v>
      </c>
      <c r="H61" s="5" t="s">
        <v>21</v>
      </c>
      <c r="I61" s="6">
        <v>45497</v>
      </c>
      <c r="J61" s="14">
        <v>1359</v>
      </c>
      <c r="K61" s="14">
        <v>1370</v>
      </c>
      <c r="L61" s="14">
        <f t="shared" si="1"/>
        <v>11</v>
      </c>
      <c r="M61" s="24">
        <f t="shared" si="4"/>
        <v>8.0941869021339229E-3</v>
      </c>
      <c r="N61" s="14"/>
      <c r="O61" s="16">
        <v>353</v>
      </c>
      <c r="P61" s="16">
        <v>252</v>
      </c>
      <c r="Q61" s="16">
        <f t="shared" si="2"/>
        <v>-101</v>
      </c>
      <c r="R61" s="21">
        <f t="shared" si="6"/>
        <v>-0.28611898016997167</v>
      </c>
      <c r="S61" s="16">
        <v>19</v>
      </c>
      <c r="T61" s="16">
        <v>24</v>
      </c>
      <c r="U61" s="16">
        <f t="shared" si="3"/>
        <v>5</v>
      </c>
    </row>
    <row r="62" spans="1:21" ht="18" customHeight="1" x14ac:dyDescent="0.25">
      <c r="A62" s="7">
        <v>1771133</v>
      </c>
      <c r="B62" s="5" t="s">
        <v>203</v>
      </c>
      <c r="C62" s="5" t="s">
        <v>146</v>
      </c>
      <c r="D62" s="5" t="s">
        <v>17</v>
      </c>
      <c r="E62" s="5" t="str">
        <f t="shared" si="0"/>
        <v>725 CEDAR LN, TEANECK</v>
      </c>
      <c r="F62" s="5" t="s">
        <v>10</v>
      </c>
      <c r="G62" s="5">
        <v>7666</v>
      </c>
      <c r="H62" s="5" t="s">
        <v>21</v>
      </c>
      <c r="I62" s="6">
        <v>45526</v>
      </c>
      <c r="J62" s="14">
        <v>3990</v>
      </c>
      <c r="K62" s="14">
        <v>3695</v>
      </c>
      <c r="L62" s="14">
        <f t="shared" si="1"/>
        <v>-295</v>
      </c>
      <c r="M62" s="24">
        <f t="shared" si="4"/>
        <v>-7.3934837092731825E-2</v>
      </c>
      <c r="N62" s="14"/>
      <c r="O62" s="16">
        <v>1641</v>
      </c>
      <c r="P62" s="16">
        <v>1512</v>
      </c>
      <c r="Q62" s="16">
        <f t="shared" si="2"/>
        <v>-129</v>
      </c>
      <c r="R62" s="21">
        <f t="shared" si="6"/>
        <v>-7.8610603290676415E-2</v>
      </c>
      <c r="S62" s="16">
        <v>45</v>
      </c>
      <c r="T62" s="16">
        <v>47</v>
      </c>
      <c r="U62" s="16">
        <f t="shared" si="3"/>
        <v>2</v>
      </c>
    </row>
    <row r="63" spans="1:21" ht="18" customHeight="1" x14ac:dyDescent="0.25">
      <c r="A63" s="7">
        <v>7335895</v>
      </c>
      <c r="B63" s="5" t="s">
        <v>147</v>
      </c>
      <c r="C63" s="5" t="s">
        <v>148</v>
      </c>
      <c r="D63" s="5" t="s">
        <v>149</v>
      </c>
      <c r="E63" s="5" t="str">
        <f t="shared" si="0"/>
        <v>520 SHALER BLVD, RIDGEFIELD</v>
      </c>
      <c r="F63" s="5" t="s">
        <v>10</v>
      </c>
      <c r="G63" s="5">
        <v>7657</v>
      </c>
      <c r="H63" s="5" t="s">
        <v>11</v>
      </c>
      <c r="I63" s="6">
        <v>45531</v>
      </c>
      <c r="J63" s="14">
        <v>1953</v>
      </c>
      <c r="K63" s="14">
        <v>2113</v>
      </c>
      <c r="L63" s="14">
        <f t="shared" si="1"/>
        <v>160</v>
      </c>
      <c r="M63" s="24">
        <f t="shared" si="4"/>
        <v>8.1925243215565796E-2</v>
      </c>
      <c r="N63" s="14"/>
      <c r="O63" s="16">
        <v>721</v>
      </c>
      <c r="P63" s="16">
        <v>831</v>
      </c>
      <c r="Q63" s="16">
        <f t="shared" si="2"/>
        <v>110</v>
      </c>
      <c r="R63" s="21">
        <f t="shared" si="6"/>
        <v>0.15256588072122051</v>
      </c>
      <c r="S63" s="16">
        <v>19</v>
      </c>
      <c r="T63" s="16">
        <v>22</v>
      </c>
      <c r="U63" s="16">
        <f t="shared" si="3"/>
        <v>3</v>
      </c>
    </row>
    <row r="64" spans="1:21" ht="18" customHeight="1" x14ac:dyDescent="0.25">
      <c r="A64" s="4">
        <v>766132</v>
      </c>
      <c r="B64" s="5" t="s">
        <v>150</v>
      </c>
      <c r="C64" s="5" t="s">
        <v>151</v>
      </c>
      <c r="D64" s="5" t="s">
        <v>152</v>
      </c>
      <c r="E64" s="5" t="str">
        <f t="shared" si="0"/>
        <v>18 S KINDERKAMACK RD, MONTVALE</v>
      </c>
      <c r="F64" s="5" t="s">
        <v>10</v>
      </c>
      <c r="G64" s="5">
        <v>7645</v>
      </c>
      <c r="H64" s="5" t="s">
        <v>21</v>
      </c>
      <c r="I64" s="6">
        <v>45533</v>
      </c>
      <c r="J64" s="14">
        <v>496</v>
      </c>
      <c r="K64" s="14">
        <v>455</v>
      </c>
      <c r="L64" s="14">
        <f t="shared" si="1"/>
        <v>-41</v>
      </c>
      <c r="M64" s="24">
        <f t="shared" si="4"/>
        <v>-8.2661290322580641E-2</v>
      </c>
      <c r="N64" s="14"/>
      <c r="O64" s="16">
        <v>176</v>
      </c>
      <c r="P64" s="16">
        <v>157</v>
      </c>
      <c r="Q64" s="16">
        <f t="shared" si="2"/>
        <v>-19</v>
      </c>
      <c r="R64" s="21">
        <f t="shared" si="6"/>
        <v>-0.10795454545454546</v>
      </c>
      <c r="S64" s="16">
        <v>17</v>
      </c>
      <c r="T64" s="16">
        <v>28</v>
      </c>
      <c r="U64" s="16">
        <f t="shared" si="3"/>
        <v>11</v>
      </c>
    </row>
    <row r="65" spans="1:21" ht="18" customHeight="1" x14ac:dyDescent="0.25">
      <c r="A65" s="4">
        <v>883732</v>
      </c>
      <c r="B65" s="5" t="s">
        <v>153</v>
      </c>
      <c r="C65" s="5" t="s">
        <v>154</v>
      </c>
      <c r="D65" s="5" t="s">
        <v>48</v>
      </c>
      <c r="E65" s="5" t="str">
        <f t="shared" si="0"/>
        <v>168 MARKET ST, PASSAIC</v>
      </c>
      <c r="F65" s="5" t="s">
        <v>10</v>
      </c>
      <c r="G65" s="5">
        <v>7055</v>
      </c>
      <c r="H65" s="5" t="s">
        <v>14</v>
      </c>
      <c r="I65" s="6">
        <v>45552</v>
      </c>
      <c r="J65" s="14">
        <v>4949</v>
      </c>
      <c r="K65" s="14">
        <v>5416</v>
      </c>
      <c r="L65" s="14">
        <f t="shared" si="1"/>
        <v>467</v>
      </c>
      <c r="M65" s="24">
        <f t="shared" si="4"/>
        <v>9.4362497474237222E-2</v>
      </c>
      <c r="N65" s="14"/>
      <c r="O65" s="16">
        <v>3371</v>
      </c>
      <c r="P65" s="16">
        <v>3594</v>
      </c>
      <c r="Q65" s="16">
        <f t="shared" si="2"/>
        <v>223</v>
      </c>
      <c r="R65" s="21">
        <f t="shared" si="6"/>
        <v>6.6152477009789379E-2</v>
      </c>
      <c r="S65" s="16">
        <v>48</v>
      </c>
      <c r="T65" s="16">
        <v>49</v>
      </c>
      <c r="U65" s="16">
        <f t="shared" si="3"/>
        <v>1</v>
      </c>
    </row>
    <row r="66" spans="1:21" ht="18" customHeight="1" x14ac:dyDescent="0.25">
      <c r="A66" s="7">
        <v>7355880</v>
      </c>
      <c r="B66" s="5" t="s">
        <v>155</v>
      </c>
      <c r="C66" s="5" t="s">
        <v>156</v>
      </c>
      <c r="D66" s="5" t="s">
        <v>82</v>
      </c>
      <c r="E66" s="5" t="str">
        <f t="shared" si="0"/>
        <v>430 MARKET ST, ELMWOOD PARK</v>
      </c>
      <c r="F66" s="5" t="s">
        <v>10</v>
      </c>
      <c r="G66" s="5">
        <v>7407</v>
      </c>
      <c r="H66" s="5" t="s">
        <v>21</v>
      </c>
      <c r="I66" s="6">
        <v>45560</v>
      </c>
      <c r="J66" s="14">
        <v>472</v>
      </c>
      <c r="K66" s="14">
        <v>398</v>
      </c>
      <c r="L66" s="14">
        <f t="shared" si="1"/>
        <v>-74</v>
      </c>
      <c r="M66" s="24">
        <f t="shared" si="4"/>
        <v>-0.15677966101694915</v>
      </c>
      <c r="N66" s="14"/>
      <c r="O66" s="16">
        <v>261</v>
      </c>
      <c r="P66" s="16">
        <v>106</v>
      </c>
      <c r="Q66" s="16">
        <f t="shared" si="2"/>
        <v>-155</v>
      </c>
      <c r="R66" s="21">
        <f t="shared" si="6"/>
        <v>-0.5938697318007663</v>
      </c>
      <c r="S66" s="16">
        <v>21</v>
      </c>
      <c r="T66" s="16">
        <v>15</v>
      </c>
      <c r="U66" s="16">
        <f t="shared" si="3"/>
        <v>-6</v>
      </c>
    </row>
    <row r="67" spans="1:21" ht="18" customHeight="1" x14ac:dyDescent="0.25">
      <c r="A67" s="7">
        <v>3929692</v>
      </c>
      <c r="B67" s="5" t="s">
        <v>157</v>
      </c>
      <c r="C67" s="5" t="s">
        <v>158</v>
      </c>
      <c r="D67" s="5" t="s">
        <v>159</v>
      </c>
      <c r="E67" s="5" t="str">
        <f t="shared" si="0"/>
        <v>98 US HWY 46, BUDD LAKE</v>
      </c>
      <c r="F67" s="5" t="s">
        <v>10</v>
      </c>
      <c r="G67" s="5">
        <v>7828</v>
      </c>
      <c r="H67" s="5" t="s">
        <v>11</v>
      </c>
      <c r="I67" s="6">
        <v>45561</v>
      </c>
      <c r="J67" s="14">
        <v>6593</v>
      </c>
      <c r="K67" s="14">
        <v>7497</v>
      </c>
      <c r="L67" s="14">
        <f t="shared" si="1"/>
        <v>904</v>
      </c>
      <c r="M67" s="24">
        <f t="shared" si="4"/>
        <v>0.13711512209919613</v>
      </c>
      <c r="N67" s="14"/>
      <c r="O67" s="16">
        <v>1336</v>
      </c>
      <c r="P67" s="16">
        <v>1939</v>
      </c>
      <c r="Q67" s="16">
        <f t="shared" si="2"/>
        <v>603</v>
      </c>
      <c r="R67" s="21">
        <f t="shared" si="6"/>
        <v>0.45134730538922158</v>
      </c>
      <c r="S67" s="16">
        <v>40</v>
      </c>
      <c r="T67" s="16">
        <v>47</v>
      </c>
      <c r="U67" s="16">
        <f t="shared" si="3"/>
        <v>7</v>
      </c>
    </row>
    <row r="68" spans="1:21" ht="18" customHeight="1" x14ac:dyDescent="0.25">
      <c r="A68" s="7">
        <v>883599</v>
      </c>
      <c r="B68" s="5" t="s">
        <v>160</v>
      </c>
      <c r="C68" s="5" t="s">
        <v>161</v>
      </c>
      <c r="D68" s="5" t="s">
        <v>48</v>
      </c>
      <c r="E68" s="5" t="str">
        <f t="shared" ref="E68:E80" si="7">C68 &amp; ", " &amp; D68</f>
        <v>229 MAIN AVE, PASSAIC</v>
      </c>
      <c r="F68" s="5" t="s">
        <v>10</v>
      </c>
      <c r="G68" s="5">
        <v>7055</v>
      </c>
      <c r="H68" s="5" t="s">
        <v>14</v>
      </c>
      <c r="I68" s="82">
        <v>45567</v>
      </c>
      <c r="J68" s="14">
        <v>4632</v>
      </c>
      <c r="K68" s="14">
        <v>3801</v>
      </c>
      <c r="L68" s="14">
        <f t="shared" ref="L68:L80" si="8">K68-J68</f>
        <v>-831</v>
      </c>
      <c r="M68" s="24">
        <f t="shared" si="4"/>
        <v>-0.17940414507772021</v>
      </c>
      <c r="N68" s="14"/>
      <c r="O68" s="16">
        <v>2473</v>
      </c>
      <c r="P68" s="16">
        <v>2218</v>
      </c>
      <c r="Q68" s="16">
        <f t="shared" ref="Q68:Q80" si="9">P68-O68</f>
        <v>-255</v>
      </c>
      <c r="R68" s="21">
        <f t="shared" si="6"/>
        <v>-0.10311362717347351</v>
      </c>
      <c r="S68" s="16">
        <v>33</v>
      </c>
      <c r="T68" s="16">
        <v>44</v>
      </c>
      <c r="U68" s="16">
        <f t="shared" ref="U68:U80" si="10">T68-S68</f>
        <v>11</v>
      </c>
    </row>
    <row r="69" spans="1:21" ht="18" customHeight="1" x14ac:dyDescent="0.25">
      <c r="A69" s="4">
        <v>7355818</v>
      </c>
      <c r="B69" s="5" t="s">
        <v>162</v>
      </c>
      <c r="C69" s="5" t="s">
        <v>163</v>
      </c>
      <c r="D69" s="5" t="s">
        <v>164</v>
      </c>
      <c r="E69" s="5" t="str">
        <f t="shared" si="7"/>
        <v>70 MAIN ST, NETCONG</v>
      </c>
      <c r="F69" s="5" t="s">
        <v>10</v>
      </c>
      <c r="G69" s="5">
        <v>7857</v>
      </c>
      <c r="H69" s="5" t="s">
        <v>21</v>
      </c>
      <c r="I69" s="82">
        <v>45568</v>
      </c>
      <c r="J69" s="77" t="s">
        <v>223</v>
      </c>
      <c r="K69" s="78"/>
      <c r="L69" s="14"/>
      <c r="M69" s="78"/>
      <c r="N69" s="78"/>
      <c r="O69" s="78"/>
      <c r="P69" s="78"/>
      <c r="Q69" s="78"/>
      <c r="R69" s="78"/>
      <c r="S69" s="78"/>
      <c r="T69" s="78"/>
      <c r="U69" s="79"/>
    </row>
    <row r="70" spans="1:21" ht="18" customHeight="1" x14ac:dyDescent="0.25">
      <c r="A70" s="4">
        <v>7355901</v>
      </c>
      <c r="B70" s="5" t="s">
        <v>165</v>
      </c>
      <c r="C70" s="5" t="s">
        <v>166</v>
      </c>
      <c r="D70" s="5" t="s">
        <v>167</v>
      </c>
      <c r="E70" s="5" t="str">
        <f t="shared" si="7"/>
        <v>219 KINDERKAMACK RD, ORADELL</v>
      </c>
      <c r="F70" s="5" t="s">
        <v>10</v>
      </c>
      <c r="G70" s="5">
        <v>7649</v>
      </c>
      <c r="H70" s="5" t="s">
        <v>21</v>
      </c>
      <c r="I70" s="82">
        <v>45573</v>
      </c>
      <c r="J70" s="14">
        <v>694</v>
      </c>
      <c r="K70" s="14">
        <v>741</v>
      </c>
      <c r="L70" s="14">
        <f t="shared" si="8"/>
        <v>47</v>
      </c>
      <c r="M70" s="24">
        <f t="shared" si="4"/>
        <v>6.7723342939481262E-2</v>
      </c>
      <c r="N70" s="14"/>
      <c r="O70" s="16">
        <v>224</v>
      </c>
      <c r="P70" s="16">
        <v>313</v>
      </c>
      <c r="Q70" s="16">
        <f t="shared" si="9"/>
        <v>89</v>
      </c>
      <c r="R70" s="21">
        <f t="shared" si="6"/>
        <v>0.39732142857142855</v>
      </c>
      <c r="S70" s="16">
        <v>18</v>
      </c>
      <c r="T70" s="16">
        <v>23</v>
      </c>
      <c r="U70" s="16">
        <f t="shared" si="10"/>
        <v>5</v>
      </c>
    </row>
    <row r="71" spans="1:21" ht="18" customHeight="1" x14ac:dyDescent="0.25">
      <c r="A71" s="4">
        <v>883465</v>
      </c>
      <c r="B71" s="5" t="s">
        <v>168</v>
      </c>
      <c r="C71" s="5" t="s">
        <v>169</v>
      </c>
      <c r="D71" s="5" t="s">
        <v>30</v>
      </c>
      <c r="E71" s="5" t="str">
        <f t="shared" si="7"/>
        <v>383 VALLEY RD, CLIFTON</v>
      </c>
      <c r="F71" s="5" t="s">
        <v>10</v>
      </c>
      <c r="G71" s="5">
        <v>7013</v>
      </c>
      <c r="H71" s="5" t="s">
        <v>21</v>
      </c>
      <c r="I71" s="82">
        <v>45574</v>
      </c>
      <c r="J71" s="14">
        <v>1286</v>
      </c>
      <c r="K71" s="14">
        <v>1538</v>
      </c>
      <c r="L71" s="14">
        <f t="shared" si="8"/>
        <v>252</v>
      </c>
      <c r="M71" s="24">
        <f t="shared" si="4"/>
        <v>0.19595645412130638</v>
      </c>
      <c r="N71" s="14"/>
      <c r="O71" s="16">
        <v>459</v>
      </c>
      <c r="P71" s="16">
        <v>570</v>
      </c>
      <c r="Q71" s="16">
        <f t="shared" si="9"/>
        <v>111</v>
      </c>
      <c r="R71" s="21">
        <f t="shared" si="6"/>
        <v>0.24183006535947713</v>
      </c>
      <c r="S71" s="16">
        <v>35</v>
      </c>
      <c r="T71" s="16">
        <v>37</v>
      </c>
      <c r="U71" s="16">
        <f t="shared" si="10"/>
        <v>2</v>
      </c>
    </row>
    <row r="72" spans="1:21" ht="18" customHeight="1" x14ac:dyDescent="0.25">
      <c r="A72" s="4">
        <v>7498928</v>
      </c>
      <c r="B72" s="5" t="s">
        <v>170</v>
      </c>
      <c r="C72" s="5" t="s">
        <v>171</v>
      </c>
      <c r="D72" s="5" t="s">
        <v>43</v>
      </c>
      <c r="E72" s="5" t="str">
        <f t="shared" si="7"/>
        <v>449 MAIN ST, LODI</v>
      </c>
      <c r="F72" s="5" t="s">
        <v>10</v>
      </c>
      <c r="G72" s="5">
        <v>7644</v>
      </c>
      <c r="H72" s="5" t="s">
        <v>14</v>
      </c>
      <c r="I72" s="82">
        <v>45580</v>
      </c>
      <c r="J72" s="14">
        <v>2178</v>
      </c>
      <c r="K72" s="14">
        <v>2693</v>
      </c>
      <c r="L72" s="14">
        <f t="shared" si="8"/>
        <v>515</v>
      </c>
      <c r="M72" s="24">
        <f t="shared" si="4"/>
        <v>0.23645546372819101</v>
      </c>
      <c r="N72" s="14"/>
      <c r="O72" s="16">
        <v>824</v>
      </c>
      <c r="P72" s="16">
        <v>1104</v>
      </c>
      <c r="Q72" s="16">
        <f t="shared" si="9"/>
        <v>280</v>
      </c>
      <c r="R72" s="21">
        <f t="shared" si="6"/>
        <v>0.33980582524271846</v>
      </c>
      <c r="S72" s="16">
        <v>28</v>
      </c>
      <c r="T72" s="16">
        <v>43</v>
      </c>
      <c r="U72" s="16">
        <f t="shared" si="10"/>
        <v>15</v>
      </c>
    </row>
    <row r="73" spans="1:21" ht="18" customHeight="1" x14ac:dyDescent="0.25">
      <c r="A73" s="4">
        <v>7611933</v>
      </c>
      <c r="B73" s="71" t="s">
        <v>172</v>
      </c>
      <c r="C73" s="5" t="s">
        <v>173</v>
      </c>
      <c r="D73" s="5" t="s">
        <v>30</v>
      </c>
      <c r="E73" s="5" t="str">
        <f t="shared" si="7"/>
        <v>1132 US HIGHWAY 46, CLIFTON</v>
      </c>
      <c r="F73" s="5" t="s">
        <v>10</v>
      </c>
      <c r="G73" s="5">
        <v>7013</v>
      </c>
      <c r="H73" s="5" t="s">
        <v>11</v>
      </c>
      <c r="I73" s="82">
        <v>45582</v>
      </c>
      <c r="J73" s="14">
        <v>925</v>
      </c>
      <c r="K73" s="72">
        <v>-141</v>
      </c>
      <c r="L73" s="14">
        <f t="shared" si="8"/>
        <v>-1066</v>
      </c>
      <c r="M73" s="74">
        <f t="shared" si="4"/>
        <v>-1.1524324324324324</v>
      </c>
      <c r="N73" s="14"/>
      <c r="O73" s="16">
        <v>434</v>
      </c>
      <c r="P73" s="73">
        <v>-78</v>
      </c>
      <c r="Q73" s="76">
        <f t="shared" si="9"/>
        <v>-512</v>
      </c>
      <c r="R73" s="75">
        <f t="shared" si="6"/>
        <v>-1.1797235023041475</v>
      </c>
      <c r="S73" s="16"/>
      <c r="T73" s="16"/>
      <c r="U73" s="16">
        <f t="shared" si="10"/>
        <v>0</v>
      </c>
    </row>
    <row r="74" spans="1:21" ht="18" customHeight="1" x14ac:dyDescent="0.25">
      <c r="A74" s="4">
        <v>7466056</v>
      </c>
      <c r="B74" s="5" t="s">
        <v>174</v>
      </c>
      <c r="C74" s="5" t="s">
        <v>175</v>
      </c>
      <c r="D74" s="5" t="s">
        <v>82</v>
      </c>
      <c r="E74" s="5" t="str">
        <f t="shared" si="7"/>
        <v>429 MARKET ST STE 1, ELMWOOD PARK</v>
      </c>
      <c r="F74" s="5" t="s">
        <v>10</v>
      </c>
      <c r="G74" s="5">
        <v>7407</v>
      </c>
      <c r="H74" s="5" t="s">
        <v>11</v>
      </c>
      <c r="I74" s="82">
        <v>45589</v>
      </c>
      <c r="J74" s="14">
        <v>3420</v>
      </c>
      <c r="K74" s="14">
        <v>3511</v>
      </c>
      <c r="L74" s="14">
        <f t="shared" si="8"/>
        <v>91</v>
      </c>
      <c r="M74" s="24">
        <f t="shared" si="4"/>
        <v>2.6608187134502925E-2</v>
      </c>
      <c r="N74" s="14"/>
      <c r="O74" s="16">
        <v>970</v>
      </c>
      <c r="P74" s="16">
        <v>1021</v>
      </c>
      <c r="Q74" s="16">
        <f t="shared" si="9"/>
        <v>51</v>
      </c>
      <c r="R74" s="21">
        <f t="shared" si="6"/>
        <v>5.2577319587628867E-2</v>
      </c>
      <c r="S74" s="16">
        <v>36</v>
      </c>
      <c r="T74" s="16">
        <v>47</v>
      </c>
      <c r="U74" s="16">
        <f t="shared" si="10"/>
        <v>11</v>
      </c>
    </row>
    <row r="75" spans="1:21" ht="18" customHeight="1" x14ac:dyDescent="0.25">
      <c r="A75" s="4">
        <v>1872531</v>
      </c>
      <c r="B75" s="5" t="s">
        <v>233</v>
      </c>
      <c r="C75" s="5" t="s">
        <v>177</v>
      </c>
      <c r="D75" s="5" t="s">
        <v>20</v>
      </c>
      <c r="E75" s="5" t="str">
        <f t="shared" si="7"/>
        <v>215 MAIN ST, RIDGEFIELD PARK</v>
      </c>
      <c r="F75" s="5" t="s">
        <v>10</v>
      </c>
      <c r="G75" s="5">
        <v>7660</v>
      </c>
      <c r="H75" s="5" t="s">
        <v>14</v>
      </c>
      <c r="I75" s="82">
        <v>45593</v>
      </c>
      <c r="J75" s="14">
        <v>2786</v>
      </c>
      <c r="K75" s="14">
        <v>3422</v>
      </c>
      <c r="L75" s="14">
        <f t="shared" si="8"/>
        <v>636</v>
      </c>
      <c r="M75" s="24">
        <f t="shared" si="4"/>
        <v>0.22828427853553482</v>
      </c>
      <c r="N75" s="14"/>
      <c r="O75" s="16">
        <v>1125</v>
      </c>
      <c r="P75" s="16">
        <v>1356</v>
      </c>
      <c r="Q75" s="16">
        <f t="shared" si="9"/>
        <v>231</v>
      </c>
      <c r="R75" s="21">
        <f t="shared" si="6"/>
        <v>0.20533333333333334</v>
      </c>
      <c r="S75" s="16">
        <v>35</v>
      </c>
      <c r="T75" s="16">
        <v>40</v>
      </c>
      <c r="U75" s="16">
        <f t="shared" si="10"/>
        <v>5</v>
      </c>
    </row>
    <row r="76" spans="1:21" ht="18" customHeight="1" x14ac:dyDescent="0.25">
      <c r="A76" s="4">
        <v>766433</v>
      </c>
      <c r="B76" s="5" t="s">
        <v>178</v>
      </c>
      <c r="C76" s="5" t="s">
        <v>179</v>
      </c>
      <c r="D76" s="5" t="s">
        <v>180</v>
      </c>
      <c r="E76" s="5" t="str">
        <f t="shared" si="7"/>
        <v>459 RTE 17 S, HASBROUCK HEIGHTS</v>
      </c>
      <c r="F76" s="5" t="s">
        <v>10</v>
      </c>
      <c r="G76" s="5">
        <v>7604</v>
      </c>
      <c r="H76" s="5" t="s">
        <v>21</v>
      </c>
      <c r="I76" s="82">
        <v>45601</v>
      </c>
      <c r="J76" s="14">
        <v>600</v>
      </c>
      <c r="K76" s="14">
        <v>634</v>
      </c>
      <c r="L76" s="14">
        <f t="shared" si="8"/>
        <v>34</v>
      </c>
      <c r="M76" s="24">
        <f t="shared" si="4"/>
        <v>5.6666666666666664E-2</v>
      </c>
      <c r="N76" s="14"/>
      <c r="O76" s="16">
        <v>212</v>
      </c>
      <c r="P76" s="16">
        <v>217</v>
      </c>
      <c r="Q76" s="16">
        <f t="shared" si="9"/>
        <v>5</v>
      </c>
      <c r="R76" s="21">
        <f t="shared" si="6"/>
        <v>2.358490566037736E-2</v>
      </c>
      <c r="S76" s="16">
        <v>25</v>
      </c>
      <c r="T76" s="16">
        <v>22</v>
      </c>
      <c r="U76" s="16">
        <f t="shared" si="10"/>
        <v>-3</v>
      </c>
    </row>
    <row r="77" spans="1:21" ht="18" customHeight="1" x14ac:dyDescent="0.25">
      <c r="A77" s="7">
        <v>7564593</v>
      </c>
      <c r="B77" s="8" t="s">
        <v>181</v>
      </c>
      <c r="C77" s="8" t="s">
        <v>182</v>
      </c>
      <c r="D77" s="8" t="s">
        <v>27</v>
      </c>
      <c r="E77" s="5" t="str">
        <f t="shared" si="7"/>
        <v>67 VER VALEN ST, CLOSTER</v>
      </c>
      <c r="F77" s="8" t="s">
        <v>10</v>
      </c>
      <c r="G77" s="8">
        <v>7624</v>
      </c>
      <c r="H77" s="8" t="s">
        <v>11</v>
      </c>
      <c r="I77" s="82">
        <v>45603</v>
      </c>
      <c r="J77" s="18">
        <v>1342</v>
      </c>
      <c r="K77" s="18">
        <v>1728</v>
      </c>
      <c r="L77" s="14">
        <f t="shared" si="8"/>
        <v>386</v>
      </c>
      <c r="M77" s="24">
        <f t="shared" si="4"/>
        <v>0.28763040238450077</v>
      </c>
      <c r="N77" s="18"/>
      <c r="O77" s="16">
        <v>263</v>
      </c>
      <c r="P77" s="16">
        <v>365</v>
      </c>
      <c r="Q77" s="16">
        <f t="shared" si="9"/>
        <v>102</v>
      </c>
      <c r="R77" s="21">
        <f t="shared" si="6"/>
        <v>0.38783269961977185</v>
      </c>
      <c r="S77" s="16">
        <v>14</v>
      </c>
      <c r="T77" s="16">
        <v>19</v>
      </c>
      <c r="U77" s="16">
        <f t="shared" si="10"/>
        <v>5</v>
      </c>
    </row>
    <row r="78" spans="1:21" ht="18" customHeight="1" x14ac:dyDescent="0.25">
      <c r="A78" s="7">
        <v>883428</v>
      </c>
      <c r="B78" s="8" t="s">
        <v>183</v>
      </c>
      <c r="C78" s="8" t="s">
        <v>184</v>
      </c>
      <c r="D78" s="8" t="s">
        <v>185</v>
      </c>
      <c r="E78" s="5" t="str">
        <f t="shared" si="7"/>
        <v>14 RIVEREDGE RD, TENAFLY</v>
      </c>
      <c r="F78" s="8" t="s">
        <v>10</v>
      </c>
      <c r="G78" s="8">
        <v>7670</v>
      </c>
      <c r="H78" s="8" t="s">
        <v>11</v>
      </c>
      <c r="I78" s="82">
        <v>45614</v>
      </c>
      <c r="J78" s="18">
        <v>873</v>
      </c>
      <c r="K78" s="18">
        <v>1057</v>
      </c>
      <c r="L78" s="14">
        <f t="shared" si="8"/>
        <v>184</v>
      </c>
      <c r="M78" s="24">
        <f t="shared" si="4"/>
        <v>0.21076746849942726</v>
      </c>
      <c r="N78" s="18"/>
      <c r="O78" s="16">
        <v>312</v>
      </c>
      <c r="P78" s="16">
        <v>523</v>
      </c>
      <c r="Q78" s="16">
        <f t="shared" si="9"/>
        <v>211</v>
      </c>
      <c r="R78" s="21">
        <f t="shared" si="6"/>
        <v>0.67628205128205132</v>
      </c>
      <c r="S78" s="16">
        <v>20</v>
      </c>
      <c r="T78" s="16">
        <v>23</v>
      </c>
      <c r="U78" s="16">
        <f t="shared" si="10"/>
        <v>3</v>
      </c>
    </row>
    <row r="79" spans="1:21" ht="18" customHeight="1" x14ac:dyDescent="0.25">
      <c r="A79" s="7">
        <v>883818</v>
      </c>
      <c r="B79" s="8" t="s">
        <v>186</v>
      </c>
      <c r="C79" s="8" t="s">
        <v>187</v>
      </c>
      <c r="D79" s="8" t="s">
        <v>82</v>
      </c>
      <c r="E79" s="5" t="str">
        <f t="shared" si="7"/>
        <v>251 ELM ST, ELMWOOD PARK</v>
      </c>
      <c r="F79" s="8" t="s">
        <v>10</v>
      </c>
      <c r="G79" s="8">
        <v>7407</v>
      </c>
      <c r="H79" s="8" t="s">
        <v>21</v>
      </c>
      <c r="I79" s="82">
        <v>45616</v>
      </c>
      <c r="J79" s="18">
        <v>541</v>
      </c>
      <c r="K79" s="18">
        <v>627</v>
      </c>
      <c r="L79" s="14">
        <f t="shared" si="8"/>
        <v>86</v>
      </c>
      <c r="M79" s="24">
        <f t="shared" si="4"/>
        <v>0.15896487985212571</v>
      </c>
      <c r="N79" s="18"/>
      <c r="O79" s="16">
        <v>235</v>
      </c>
      <c r="P79" s="16">
        <v>256</v>
      </c>
      <c r="Q79" s="16">
        <f t="shared" si="9"/>
        <v>21</v>
      </c>
      <c r="R79" s="21">
        <f t="shared" si="6"/>
        <v>8.9361702127659579E-2</v>
      </c>
      <c r="S79" s="16">
        <v>18</v>
      </c>
      <c r="T79" s="16">
        <v>16</v>
      </c>
      <c r="U79" s="16">
        <f t="shared" si="10"/>
        <v>-2</v>
      </c>
    </row>
    <row r="80" spans="1:21" ht="18" customHeight="1" x14ac:dyDescent="0.25">
      <c r="A80" s="7">
        <v>1408721</v>
      </c>
      <c r="B80" s="8" t="s">
        <v>172</v>
      </c>
      <c r="C80" s="8" t="s">
        <v>188</v>
      </c>
      <c r="D80" s="8" t="s">
        <v>87</v>
      </c>
      <c r="E80" s="5" t="str">
        <f t="shared" si="7"/>
        <v>126 RIDGE RD, NORTH ARLINGTON</v>
      </c>
      <c r="F80" s="8" t="s">
        <v>10</v>
      </c>
      <c r="G80" s="8">
        <v>7031</v>
      </c>
      <c r="H80" s="8" t="s">
        <v>21</v>
      </c>
      <c r="I80" s="50">
        <v>45629</v>
      </c>
      <c r="J80" s="18"/>
      <c r="K80" s="18"/>
      <c r="L80" s="14">
        <f t="shared" si="8"/>
        <v>0</v>
      </c>
      <c r="M80" s="24"/>
      <c r="N80" s="18"/>
      <c r="O80" s="16"/>
      <c r="P80" s="16"/>
      <c r="Q80" s="16">
        <f t="shared" si="9"/>
        <v>0</v>
      </c>
      <c r="R80" s="21"/>
      <c r="S80" s="16"/>
      <c r="T80" s="16"/>
      <c r="U80" s="16">
        <f t="shared" si="10"/>
        <v>0</v>
      </c>
    </row>
    <row r="81" spans="12:18" x14ac:dyDescent="0.25">
      <c r="L81" s="124">
        <f>AVERAGE(L3:L72,L74:L80)</f>
        <v>477.58666666666664</v>
      </c>
      <c r="M81" s="25">
        <f>AVERAGE(M3:M72,M74:M80)</f>
        <v>4.8571669956115261E-2</v>
      </c>
      <c r="R81" s="25">
        <f>AVERAGE(R3:R72, R74:R80)</f>
        <v>8.2286722299657666E-2</v>
      </c>
    </row>
  </sheetData>
  <autoFilter ref="A2:U81" xr:uid="{D1831BA5-E023-4930-AE81-9D5D7910E2CB}"/>
  <pageMargins left="0" right="0" top="0.25" bottom="0.25" header="0" footer="0"/>
  <pageSetup scale="4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032F-B6D1-44DF-B217-22B97B2EEE9F}">
  <dimension ref="E2:F80"/>
  <sheetViews>
    <sheetView workbookViewId="0">
      <selection activeCell="L3" sqref="L3"/>
    </sheetView>
  </sheetViews>
  <sheetFormatPr defaultRowHeight="15" x14ac:dyDescent="0.25"/>
  <cols>
    <col min="5" max="5" width="49.85546875" bestFit="1" customWidth="1"/>
    <col min="6" max="6" width="23.28515625" bestFit="1" customWidth="1"/>
  </cols>
  <sheetData>
    <row r="2" spans="5:6" ht="47.25" x14ac:dyDescent="0.25">
      <c r="E2" s="3" t="s">
        <v>1</v>
      </c>
    </row>
    <row r="3" spans="5:6" x14ac:dyDescent="0.25">
      <c r="E3" s="5" t="s">
        <v>160</v>
      </c>
      <c r="F3" s="5" t="s">
        <v>161</v>
      </c>
    </row>
    <row r="4" spans="5:6" x14ac:dyDescent="0.25">
      <c r="E4" s="5" t="s">
        <v>63</v>
      </c>
      <c r="F4" s="5" t="s">
        <v>64</v>
      </c>
    </row>
    <row r="5" spans="5:6" x14ac:dyDescent="0.25">
      <c r="E5" s="5" t="s">
        <v>103</v>
      </c>
      <c r="F5" s="5" t="s">
        <v>104</v>
      </c>
    </row>
    <row r="6" spans="5:6" x14ac:dyDescent="0.25">
      <c r="E6" s="5" t="s">
        <v>119</v>
      </c>
      <c r="F6" s="5" t="s">
        <v>120</v>
      </c>
    </row>
    <row r="7" spans="5:6" x14ac:dyDescent="0.25">
      <c r="E7" s="5" t="s">
        <v>58</v>
      </c>
      <c r="F7" s="5" t="s">
        <v>59</v>
      </c>
    </row>
    <row r="8" spans="5:6" x14ac:dyDescent="0.25">
      <c r="E8" s="58" t="s">
        <v>88</v>
      </c>
      <c r="F8" s="5" t="s">
        <v>89</v>
      </c>
    </row>
    <row r="9" spans="5:6" x14ac:dyDescent="0.25">
      <c r="E9" s="5" t="s">
        <v>78</v>
      </c>
      <c r="F9" s="5" t="s">
        <v>79</v>
      </c>
    </row>
    <row r="10" spans="5:6" x14ac:dyDescent="0.25">
      <c r="E10" s="5" t="s">
        <v>96</v>
      </c>
      <c r="F10" s="5" t="s">
        <v>97</v>
      </c>
    </row>
    <row r="11" spans="5:6" x14ac:dyDescent="0.25">
      <c r="E11" s="5" t="s">
        <v>170</v>
      </c>
      <c r="F11" s="5" t="s">
        <v>171</v>
      </c>
    </row>
    <row r="12" spans="5:6" x14ac:dyDescent="0.25">
      <c r="E12" s="5" t="s">
        <v>105</v>
      </c>
      <c r="F12" s="5" t="s">
        <v>106</v>
      </c>
    </row>
    <row r="13" spans="5:6" x14ac:dyDescent="0.25">
      <c r="E13" s="5" t="s">
        <v>115</v>
      </c>
      <c r="F13" s="5" t="s">
        <v>116</v>
      </c>
    </row>
    <row r="14" spans="5:6" x14ac:dyDescent="0.25">
      <c r="E14" s="5" t="s">
        <v>117</v>
      </c>
      <c r="F14" s="5" t="s">
        <v>118</v>
      </c>
    </row>
    <row r="15" spans="5:6" x14ac:dyDescent="0.25">
      <c r="E15" s="5" t="s">
        <v>125</v>
      </c>
      <c r="F15" s="5" t="s">
        <v>126</v>
      </c>
    </row>
    <row r="16" spans="5:6" x14ac:dyDescent="0.25">
      <c r="E16" s="58" t="s">
        <v>84</v>
      </c>
      <c r="F16" s="5" t="s">
        <v>85</v>
      </c>
    </row>
    <row r="17" spans="5:6" x14ac:dyDescent="0.25">
      <c r="E17" s="5" t="s">
        <v>203</v>
      </c>
      <c r="F17" s="5" t="s">
        <v>146</v>
      </c>
    </row>
    <row r="18" spans="5:6" x14ac:dyDescent="0.25">
      <c r="E18" s="5" t="s">
        <v>44</v>
      </c>
      <c r="F18" s="5" t="s">
        <v>45</v>
      </c>
    </row>
    <row r="19" spans="5:6" x14ac:dyDescent="0.25">
      <c r="E19" s="5" t="s">
        <v>46</v>
      </c>
      <c r="F19" s="5" t="s">
        <v>47</v>
      </c>
    </row>
    <row r="20" spans="5:6" x14ac:dyDescent="0.25">
      <c r="E20" s="5" t="s">
        <v>55</v>
      </c>
      <c r="F20" s="5" t="s">
        <v>56</v>
      </c>
    </row>
    <row r="21" spans="5:6" x14ac:dyDescent="0.25">
      <c r="E21" s="5" t="s">
        <v>61</v>
      </c>
      <c r="F21" s="5" t="s">
        <v>62</v>
      </c>
    </row>
    <row r="22" spans="5:6" x14ac:dyDescent="0.25">
      <c r="E22" s="5" t="s">
        <v>34</v>
      </c>
      <c r="F22" s="5" t="s">
        <v>35</v>
      </c>
    </row>
    <row r="23" spans="5:6" x14ac:dyDescent="0.25">
      <c r="E23" s="5" t="s">
        <v>66</v>
      </c>
      <c r="F23" s="5" t="s">
        <v>67</v>
      </c>
    </row>
    <row r="24" spans="5:6" x14ac:dyDescent="0.25">
      <c r="E24" s="5" t="s">
        <v>69</v>
      </c>
      <c r="F24" s="5" t="s">
        <v>70</v>
      </c>
    </row>
    <row r="25" spans="5:6" x14ac:dyDescent="0.25">
      <c r="E25" s="5" t="s">
        <v>76</v>
      </c>
      <c r="F25" s="5" t="s">
        <v>77</v>
      </c>
    </row>
    <row r="26" spans="5:6" x14ac:dyDescent="0.25">
      <c r="E26" s="5" t="s">
        <v>90</v>
      </c>
      <c r="F26" s="5" t="s">
        <v>91</v>
      </c>
    </row>
    <row r="27" spans="5:6" x14ac:dyDescent="0.25">
      <c r="E27" s="5" t="s">
        <v>121</v>
      </c>
      <c r="F27" s="5" t="s">
        <v>122</v>
      </c>
    </row>
    <row r="28" spans="5:6" x14ac:dyDescent="0.25">
      <c r="E28" s="8" t="s">
        <v>183</v>
      </c>
      <c r="F28" s="8" t="s">
        <v>184</v>
      </c>
    </row>
    <row r="29" spans="5:6" x14ac:dyDescent="0.25">
      <c r="E29" s="5" t="s">
        <v>155</v>
      </c>
      <c r="F29" s="5" t="s">
        <v>156</v>
      </c>
    </row>
    <row r="30" spans="5:6" x14ac:dyDescent="0.25">
      <c r="E30" s="5" t="s">
        <v>38</v>
      </c>
      <c r="F30" s="5" t="s">
        <v>39</v>
      </c>
    </row>
    <row r="31" spans="5:6" x14ac:dyDescent="0.25">
      <c r="E31" s="5" t="s">
        <v>41</v>
      </c>
      <c r="F31" s="5" t="s">
        <v>42</v>
      </c>
    </row>
    <row r="32" spans="5:6" x14ac:dyDescent="0.25">
      <c r="E32" s="5" t="s">
        <v>25</v>
      </c>
      <c r="F32" s="5" t="s">
        <v>26</v>
      </c>
    </row>
    <row r="33" spans="5:6" x14ac:dyDescent="0.25">
      <c r="E33" s="8" t="s">
        <v>181</v>
      </c>
      <c r="F33" s="8" t="s">
        <v>182</v>
      </c>
    </row>
    <row r="34" spans="5:6" x14ac:dyDescent="0.25">
      <c r="E34" s="5" t="s">
        <v>176</v>
      </c>
      <c r="F34" s="5" t="s">
        <v>177</v>
      </c>
    </row>
    <row r="35" spans="5:6" x14ac:dyDescent="0.25">
      <c r="E35" s="5" t="s">
        <v>71</v>
      </c>
      <c r="F35" s="5" t="s">
        <v>72</v>
      </c>
    </row>
    <row r="36" spans="5:6" x14ac:dyDescent="0.25">
      <c r="E36" s="8" t="s">
        <v>98</v>
      </c>
      <c r="F36" s="5" t="s">
        <v>99</v>
      </c>
    </row>
    <row r="37" spans="5:6" x14ac:dyDescent="0.25">
      <c r="E37" s="27" t="s">
        <v>100</v>
      </c>
      <c r="F37" s="5" t="s">
        <v>101</v>
      </c>
    </row>
    <row r="38" spans="5:6" x14ac:dyDescent="0.25">
      <c r="E38" s="5" t="s">
        <v>22</v>
      </c>
      <c r="F38" s="5" t="s">
        <v>23</v>
      </c>
    </row>
    <row r="39" spans="5:6" x14ac:dyDescent="0.25">
      <c r="E39" s="5" t="s">
        <v>172</v>
      </c>
      <c r="F39" s="5" t="s">
        <v>173</v>
      </c>
    </row>
    <row r="40" spans="5:6" x14ac:dyDescent="0.25">
      <c r="E40" s="8" t="s">
        <v>172</v>
      </c>
      <c r="F40" s="8" t="s">
        <v>188</v>
      </c>
    </row>
    <row r="41" spans="5:6" x14ac:dyDescent="0.25">
      <c r="E41" s="5" t="s">
        <v>178</v>
      </c>
      <c r="F41" s="5" t="s">
        <v>179</v>
      </c>
    </row>
    <row r="42" spans="5:6" x14ac:dyDescent="0.25">
      <c r="E42" s="5" t="s">
        <v>51</v>
      </c>
      <c r="F42" s="5" t="s">
        <v>52</v>
      </c>
    </row>
    <row r="43" spans="5:6" x14ac:dyDescent="0.25">
      <c r="E43" s="5" t="s">
        <v>139</v>
      </c>
      <c r="F43" s="5" t="s">
        <v>140</v>
      </c>
    </row>
    <row r="44" spans="5:6" x14ac:dyDescent="0.25">
      <c r="E44" s="5" t="s">
        <v>49</v>
      </c>
      <c r="F44" s="5" t="s">
        <v>50</v>
      </c>
    </row>
    <row r="45" spans="5:6" x14ac:dyDescent="0.25">
      <c r="E45" s="5" t="s">
        <v>36</v>
      </c>
      <c r="F45" s="5" t="s">
        <v>37</v>
      </c>
    </row>
    <row r="46" spans="5:6" x14ac:dyDescent="0.25">
      <c r="E46" s="5" t="s">
        <v>174</v>
      </c>
      <c r="F46" s="5" t="s">
        <v>175</v>
      </c>
    </row>
    <row r="47" spans="5:6" x14ac:dyDescent="0.25">
      <c r="E47" s="5" t="s">
        <v>144</v>
      </c>
      <c r="F47" s="5" t="s">
        <v>145</v>
      </c>
    </row>
    <row r="48" spans="5:6" x14ac:dyDescent="0.25">
      <c r="E48" s="5" t="s">
        <v>80</v>
      </c>
      <c r="F48" s="5" t="s">
        <v>81</v>
      </c>
    </row>
    <row r="49" spans="5:6" x14ac:dyDescent="0.25">
      <c r="E49" s="5" t="s">
        <v>80</v>
      </c>
      <c r="F49" s="5" t="s">
        <v>86</v>
      </c>
    </row>
    <row r="50" spans="5:6" x14ac:dyDescent="0.25">
      <c r="E50" s="5" t="s">
        <v>150</v>
      </c>
      <c r="F50" s="5" t="s">
        <v>151</v>
      </c>
    </row>
    <row r="51" spans="5:6" x14ac:dyDescent="0.25">
      <c r="E51" s="5" t="s">
        <v>107</v>
      </c>
      <c r="F51" s="5" t="s">
        <v>108</v>
      </c>
    </row>
    <row r="52" spans="5:6" x14ac:dyDescent="0.25">
      <c r="E52" s="5" t="s">
        <v>165</v>
      </c>
      <c r="F52" s="5" t="s">
        <v>166</v>
      </c>
    </row>
    <row r="53" spans="5:6" x14ac:dyDescent="0.25">
      <c r="E53" s="5" t="s">
        <v>31</v>
      </c>
      <c r="F53" s="5" t="s">
        <v>32</v>
      </c>
    </row>
    <row r="54" spans="5:6" x14ac:dyDescent="0.25">
      <c r="E54" s="5" t="s">
        <v>109</v>
      </c>
      <c r="F54" s="5" t="s">
        <v>110</v>
      </c>
    </row>
    <row r="55" spans="5:6" x14ac:dyDescent="0.25">
      <c r="E55" s="5" t="s">
        <v>28</v>
      </c>
      <c r="F55" s="5" t="s">
        <v>29</v>
      </c>
    </row>
    <row r="56" spans="5:6" x14ac:dyDescent="0.25">
      <c r="E56" s="8" t="s">
        <v>186</v>
      </c>
      <c r="F56" s="8" t="s">
        <v>187</v>
      </c>
    </row>
    <row r="57" spans="5:6" x14ac:dyDescent="0.25">
      <c r="E57" s="5" t="s">
        <v>168</v>
      </c>
      <c r="F57" s="5" t="s">
        <v>169</v>
      </c>
    </row>
    <row r="58" spans="5:6" x14ac:dyDescent="0.25">
      <c r="E58" s="5" t="s">
        <v>113</v>
      </c>
      <c r="F58" s="5" t="s">
        <v>114</v>
      </c>
    </row>
    <row r="59" spans="5:6" x14ac:dyDescent="0.25">
      <c r="E59" s="5" t="s">
        <v>162</v>
      </c>
      <c r="F59" s="5" t="s">
        <v>163</v>
      </c>
    </row>
    <row r="60" spans="5:6" x14ac:dyDescent="0.25">
      <c r="E60" s="5" t="s">
        <v>111</v>
      </c>
      <c r="F60" s="5" t="s">
        <v>112</v>
      </c>
    </row>
    <row r="61" spans="5:6" x14ac:dyDescent="0.25">
      <c r="E61" s="5" t="s">
        <v>153</v>
      </c>
      <c r="F61" s="5" t="s">
        <v>154</v>
      </c>
    </row>
    <row r="62" spans="5:6" x14ac:dyDescent="0.25">
      <c r="E62" s="5" t="s">
        <v>147</v>
      </c>
      <c r="F62" s="5" t="s">
        <v>148</v>
      </c>
    </row>
    <row r="63" spans="5:6" x14ac:dyDescent="0.25">
      <c r="E63" s="5" t="s">
        <v>132</v>
      </c>
      <c r="F63" s="5" t="s">
        <v>133</v>
      </c>
    </row>
    <row r="64" spans="5:6" x14ac:dyDescent="0.25">
      <c r="E64" s="5" t="s">
        <v>157</v>
      </c>
      <c r="F64" s="5" t="s">
        <v>158</v>
      </c>
    </row>
    <row r="65" spans="5:6" x14ac:dyDescent="0.25">
      <c r="E65" s="5" t="s">
        <v>123</v>
      </c>
      <c r="F65" s="5" t="s">
        <v>124</v>
      </c>
    </row>
    <row r="66" spans="5:6" x14ac:dyDescent="0.25">
      <c r="E66" s="5" t="s">
        <v>137</v>
      </c>
      <c r="F66" s="5" t="s">
        <v>138</v>
      </c>
    </row>
    <row r="67" spans="5:6" x14ac:dyDescent="0.25">
      <c r="E67" s="5" t="s">
        <v>206</v>
      </c>
      <c r="F67" s="5" t="s">
        <v>33</v>
      </c>
    </row>
    <row r="68" spans="5:6" x14ac:dyDescent="0.25">
      <c r="E68" s="5" t="s">
        <v>208</v>
      </c>
      <c r="F68" s="5" t="s">
        <v>135</v>
      </c>
    </row>
    <row r="69" spans="5:6" x14ac:dyDescent="0.25">
      <c r="E69" s="5" t="s">
        <v>207</v>
      </c>
      <c r="F69" s="5" t="s">
        <v>83</v>
      </c>
    </row>
    <row r="70" spans="5:6" x14ac:dyDescent="0.25">
      <c r="E70" s="5" t="s">
        <v>204</v>
      </c>
      <c r="F70" s="5" t="s">
        <v>8</v>
      </c>
    </row>
    <row r="71" spans="5:6" x14ac:dyDescent="0.25">
      <c r="E71" s="5" t="s">
        <v>205</v>
      </c>
      <c r="F71" s="5" t="s">
        <v>12</v>
      </c>
    </row>
    <row r="72" spans="5:6" x14ac:dyDescent="0.25">
      <c r="E72" s="5" t="s">
        <v>53</v>
      </c>
      <c r="F72" s="5" t="s">
        <v>54</v>
      </c>
    </row>
    <row r="73" spans="5:6" x14ac:dyDescent="0.25">
      <c r="E73" s="27" t="s">
        <v>202</v>
      </c>
      <c r="F73" s="5" t="s">
        <v>142</v>
      </c>
    </row>
    <row r="74" spans="5:6" x14ac:dyDescent="0.25">
      <c r="E74" s="5" t="s">
        <v>94</v>
      </c>
      <c r="F74" s="5" t="s">
        <v>95</v>
      </c>
    </row>
    <row r="75" spans="5:6" x14ac:dyDescent="0.25">
      <c r="E75" s="5" t="s">
        <v>15</v>
      </c>
      <c r="F75" s="5" t="s">
        <v>16</v>
      </c>
    </row>
    <row r="76" spans="5:6" x14ac:dyDescent="0.25">
      <c r="E76" s="5" t="s">
        <v>201</v>
      </c>
      <c r="F76" s="5" t="s">
        <v>128</v>
      </c>
    </row>
    <row r="77" spans="5:6" x14ac:dyDescent="0.25">
      <c r="E77" s="5" t="s">
        <v>92</v>
      </c>
      <c r="F77" s="5" t="s">
        <v>93</v>
      </c>
    </row>
    <row r="78" spans="5:6" x14ac:dyDescent="0.25">
      <c r="E78" s="5" t="s">
        <v>18</v>
      </c>
      <c r="F78" s="5" t="s">
        <v>19</v>
      </c>
    </row>
    <row r="79" spans="5:6" x14ac:dyDescent="0.25">
      <c r="E79" s="5" t="s">
        <v>73</v>
      </c>
      <c r="F79" s="5" t="s">
        <v>74</v>
      </c>
    </row>
    <row r="80" spans="5:6" x14ac:dyDescent="0.25">
      <c r="E80" s="5" t="s">
        <v>129</v>
      </c>
      <c r="F80" s="5" t="s">
        <v>130</v>
      </c>
    </row>
  </sheetData>
  <autoFilter ref="E2:E80" xr:uid="{CF9A032F-B6D1-44DF-B217-22B97B2EEE9F}">
    <sortState xmlns:xlrd2="http://schemas.microsoft.com/office/spreadsheetml/2017/richdata2" ref="E3:F80">
      <sortCondition ref="E2:E8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5FB3D99FA2F488BF8739446309F7D" ma:contentTypeVersion="5" ma:contentTypeDescription="Create a new document." ma:contentTypeScope="" ma:versionID="dd37e6eb00c7b6e155c02e2ab68dec3e">
  <xsd:schema xmlns:xsd="http://www.w3.org/2001/XMLSchema" xmlns:xs="http://www.w3.org/2001/XMLSchema" xmlns:p="http://schemas.microsoft.com/office/2006/metadata/properties" xmlns:ns3="f0696a74-0c88-4cc7-9d98-c77b8b9383c4" targetNamespace="http://schemas.microsoft.com/office/2006/metadata/properties" ma:root="true" ma:fieldsID="50260cf08f026be886fefa52c0dfb046" ns3:_="">
    <xsd:import namespace="f0696a74-0c88-4cc7-9d98-c77b8b9383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96a74-0c88-4cc7-9d98-c77b8b9383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696a74-0c88-4cc7-9d98-c77b8b9383c4" xsi:nil="true"/>
  </documentManagement>
</p:properties>
</file>

<file path=customXml/itemProps1.xml><?xml version="1.0" encoding="utf-8"?>
<ds:datastoreItem xmlns:ds="http://schemas.openxmlformats.org/officeDocument/2006/customXml" ds:itemID="{5D5B2AD2-09CB-4CE0-B020-41E8057AF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96a74-0c88-4cc7-9d98-c77b8b9383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127EF-81F5-4516-AF7F-E5AC82BDF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A47129-3A7E-4FC8-8B52-5B4DB8120C24}">
  <ds:schemaRefs>
    <ds:schemaRef ds:uri="http://schemas.microsoft.com/office/2006/documentManagement/types"/>
    <ds:schemaRef ds:uri="f0696a74-0c88-4cc7-9d98-c77b8b9383c4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Store Reset Summary</vt:lpstr>
      <vt:lpstr>2024 Store Reset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Neukum</dc:creator>
  <cp:lastModifiedBy>Gavin Sharkey</cp:lastModifiedBy>
  <cp:lastPrinted>2025-07-03T13:47:26Z</cp:lastPrinted>
  <dcterms:created xsi:type="dcterms:W3CDTF">2025-07-03T13:40:15Z</dcterms:created>
  <dcterms:modified xsi:type="dcterms:W3CDTF">2025-07-23T15:53:26Z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0x0101003325FB3D99FA2F488BF8739446309F7D</vt:lpwstr>
  </property>
</Properties>
</file>