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rkey\Desktop\"/>
    </mc:Choice>
  </mc:AlternateContent>
  <xr:revisionPtr revIDLastSave="0" documentId="13_ncr:1_{141BEE75-1AA4-4FEB-82CD-F8C9EBF1FB80}" xr6:coauthVersionLast="47" xr6:coauthVersionMax="47" xr10:uidLastSave="{00000000-0000-0000-0000-000000000000}"/>
  <bookViews>
    <workbookView xWindow="0" yWindow="360" windowWidth="29040" windowHeight="15720" xr2:uid="{45F10F73-F77D-43CE-80AD-4E9E237886EF}"/>
  </bookViews>
  <sheets>
    <sheet name="Store Reset Overview" sheetId="2" r:id="rId1"/>
    <sheet name="Store Reset Data" sheetId="1" r:id="rId2"/>
    <sheet name="Summary Stats" sheetId="3" r:id="rId3"/>
    <sheet name="Pivot" sheetId="4" r:id="rId4"/>
  </sheets>
  <definedNames>
    <definedName name="_xlnm._FilterDatabase" localSheetId="0" hidden="1">'Store Reset Overview'!$A$5:$G$46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D41" i="1"/>
  <c r="AD40" i="1"/>
  <c r="AH34" i="1"/>
  <c r="AL41" i="1"/>
  <c r="AL40" i="1"/>
  <c r="AL35" i="1"/>
  <c r="AD35" i="1"/>
  <c r="AL34" i="1"/>
  <c r="AD34" i="1"/>
  <c r="AD20" i="1"/>
  <c r="AD21" i="1"/>
  <c r="AD22" i="1"/>
  <c r="AD23" i="1"/>
  <c r="AD24" i="1"/>
  <c r="AD25" i="1"/>
  <c r="AD26" i="1"/>
  <c r="AD19" i="1"/>
  <c r="AL20" i="1"/>
  <c r="AL21" i="1"/>
  <c r="AL22" i="1"/>
  <c r="AL23" i="1"/>
  <c r="AL24" i="1"/>
  <c r="AL25" i="1"/>
  <c r="AL26" i="1"/>
  <c r="AL19" i="1"/>
  <c r="V4" i="1"/>
  <c r="V5" i="1"/>
  <c r="V6" i="1"/>
  <c r="V7" i="1"/>
  <c r="V8" i="1"/>
  <c r="V9" i="1"/>
  <c r="V10" i="1"/>
  <c r="V11" i="1"/>
  <c r="V12" i="1"/>
  <c r="V13" i="1"/>
  <c r="V15" i="1"/>
  <c r="V16" i="1"/>
  <c r="V17" i="1"/>
  <c r="V19" i="1"/>
  <c r="V20" i="1"/>
  <c r="V21" i="1"/>
  <c r="V22" i="1"/>
  <c r="V23" i="1"/>
  <c r="V24" i="1"/>
  <c r="V25" i="1"/>
  <c r="V26" i="1"/>
  <c r="V28" i="1"/>
  <c r="V29" i="1"/>
  <c r="V30" i="1"/>
  <c r="V31" i="1"/>
  <c r="V34" i="1"/>
  <c r="V35" i="1"/>
  <c r="V36" i="1"/>
  <c r="V37" i="1"/>
  <c r="V38" i="1"/>
  <c r="V40" i="1"/>
  <c r="V41" i="1"/>
  <c r="V42" i="1"/>
  <c r="V43" i="1"/>
  <c r="N43" i="1"/>
  <c r="N17" i="1"/>
  <c r="N4" i="1"/>
  <c r="N5" i="1"/>
  <c r="N6" i="1"/>
  <c r="N7" i="1"/>
  <c r="N8" i="1"/>
  <c r="N9" i="1"/>
  <c r="N10" i="1"/>
  <c r="N11" i="1"/>
  <c r="N12" i="1"/>
  <c r="N13" i="1"/>
  <c r="N15" i="1"/>
  <c r="N16" i="1"/>
  <c r="N19" i="1"/>
  <c r="N20" i="1"/>
  <c r="N21" i="1"/>
  <c r="N22" i="1"/>
  <c r="N23" i="1"/>
  <c r="N24" i="1"/>
  <c r="N25" i="1"/>
  <c r="N26" i="1"/>
  <c r="N28" i="1"/>
  <c r="N29" i="1"/>
  <c r="N30" i="1"/>
  <c r="N31" i="1"/>
  <c r="N34" i="1"/>
  <c r="N35" i="1"/>
  <c r="N36" i="1"/>
  <c r="N37" i="1"/>
  <c r="N38" i="1"/>
  <c r="N40" i="1"/>
  <c r="N41" i="1"/>
  <c r="N42" i="1"/>
  <c r="AL17" i="1" l="1"/>
  <c r="AL16" i="1"/>
  <c r="AL15" i="1"/>
  <c r="AL5" i="1"/>
  <c r="AL6" i="1"/>
  <c r="AL7" i="1"/>
  <c r="AL8" i="1"/>
  <c r="AL9" i="1"/>
  <c r="AL10" i="1"/>
  <c r="AL11" i="1"/>
  <c r="AL12" i="1"/>
  <c r="AL13" i="1"/>
  <c r="AL4" i="1"/>
  <c r="AD16" i="1"/>
  <c r="AD17" i="1"/>
  <c r="AD15" i="1"/>
  <c r="AD5" i="1"/>
  <c r="AD6" i="1"/>
  <c r="AD7" i="1"/>
  <c r="AD8" i="1"/>
  <c r="AD9" i="1"/>
  <c r="AD10" i="1"/>
  <c r="AD11" i="1"/>
  <c r="AD12" i="1"/>
  <c r="AD13" i="1"/>
  <c r="AD4" i="1"/>
  <c r="W43" i="1"/>
  <c r="W42" i="1"/>
  <c r="J27" i="2" s="1"/>
  <c r="W41" i="1"/>
  <c r="W40" i="1"/>
  <c r="J33" i="2" s="1"/>
  <c r="W38" i="1"/>
  <c r="J30" i="2" s="1"/>
  <c r="W37" i="1"/>
  <c r="J14" i="2" s="1"/>
  <c r="W36" i="1"/>
  <c r="J8" i="2" s="1"/>
  <c r="W35" i="1"/>
  <c r="J23" i="2" s="1"/>
  <c r="W34" i="1"/>
  <c r="J9" i="2" s="1"/>
  <c r="W31" i="1"/>
  <c r="J35" i="2" s="1"/>
  <c r="W30" i="1"/>
  <c r="J16" i="2" s="1"/>
  <c r="W29" i="1"/>
  <c r="W28" i="1"/>
  <c r="W26" i="1"/>
  <c r="J26" i="2" s="1"/>
  <c r="W25" i="1"/>
  <c r="J37" i="2" s="1"/>
  <c r="W24" i="1"/>
  <c r="J10" i="2" s="1"/>
  <c r="W23" i="1"/>
  <c r="J34" i="2" s="1"/>
  <c r="W22" i="1"/>
  <c r="J13" i="2" s="1"/>
  <c r="W21" i="1"/>
  <c r="J7" i="2" s="1"/>
  <c r="W20" i="1"/>
  <c r="J11" i="2" s="1"/>
  <c r="W19" i="1"/>
  <c r="J21" i="2" s="1"/>
  <c r="W17" i="1"/>
  <c r="J31" i="2" s="1"/>
  <c r="W16" i="1"/>
  <c r="J25" i="2" s="1"/>
  <c r="W15" i="1"/>
  <c r="J6" i="2" s="1"/>
  <c r="W5" i="1"/>
  <c r="J24" i="2" s="1"/>
  <c r="W6" i="1"/>
  <c r="J19" i="2" s="1"/>
  <c r="W7" i="1"/>
  <c r="J18" i="2" s="1"/>
  <c r="W8" i="1"/>
  <c r="J12" i="2" s="1"/>
  <c r="W9" i="1"/>
  <c r="J36" i="2" s="1"/>
  <c r="W10" i="1"/>
  <c r="J39" i="2" s="1"/>
  <c r="W11" i="1"/>
  <c r="J15" i="2" s="1"/>
  <c r="W12" i="1"/>
  <c r="J17" i="2" s="1"/>
  <c r="W13" i="1"/>
  <c r="J28" i="2" s="1"/>
  <c r="W4" i="1"/>
  <c r="J22" i="2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4" i="1"/>
  <c r="K24" i="2"/>
  <c r="K19" i="2"/>
  <c r="K18" i="2"/>
  <c r="K12" i="2"/>
  <c r="K36" i="2"/>
  <c r="K39" i="2"/>
  <c r="K15" i="2"/>
  <c r="K17" i="2"/>
  <c r="K28" i="2"/>
  <c r="K6" i="2"/>
  <c r="K25" i="2"/>
  <c r="K31" i="2"/>
  <c r="K21" i="2"/>
  <c r="K11" i="2"/>
  <c r="K7" i="2"/>
  <c r="K13" i="2"/>
  <c r="K34" i="2"/>
  <c r="K10" i="2"/>
  <c r="K37" i="2"/>
  <c r="K26" i="2"/>
  <c r="K29" i="2"/>
  <c r="K20" i="2"/>
  <c r="K16" i="2"/>
  <c r="K35" i="2"/>
  <c r="K9" i="2"/>
  <c r="K23" i="2"/>
  <c r="K8" i="2"/>
  <c r="K14" i="2"/>
  <c r="K30" i="2"/>
  <c r="K33" i="2"/>
  <c r="K32" i="2"/>
  <c r="K27" i="2"/>
  <c r="K38" i="2"/>
  <c r="K22" i="2"/>
  <c r="B9" i="2"/>
  <c r="B23" i="2"/>
  <c r="B8" i="2"/>
  <c r="B14" i="2"/>
  <c r="D14" i="2" s="1"/>
  <c r="B30" i="2"/>
  <c r="D30" i="2" s="1"/>
  <c r="B33" i="2"/>
  <c r="B32" i="2"/>
  <c r="B27" i="2"/>
  <c r="D27" i="2" s="1"/>
  <c r="B38" i="2"/>
  <c r="D38" i="2" s="1"/>
  <c r="B21" i="2"/>
  <c r="B11" i="2"/>
  <c r="B7" i="2"/>
  <c r="B13" i="2"/>
  <c r="B34" i="2"/>
  <c r="B10" i="2"/>
  <c r="B37" i="2"/>
  <c r="B26" i="2"/>
  <c r="B29" i="2"/>
  <c r="D29" i="2" s="1"/>
  <c r="B20" i="2"/>
  <c r="D20" i="2" s="1"/>
  <c r="B16" i="2"/>
  <c r="B35" i="2"/>
  <c r="D35" i="2" s="1"/>
  <c r="B24" i="2"/>
  <c r="B19" i="2"/>
  <c r="B18" i="2"/>
  <c r="B12" i="2"/>
  <c r="B36" i="2"/>
  <c r="B39" i="2"/>
  <c r="B15" i="2"/>
  <c r="B17" i="2"/>
  <c r="B28" i="2"/>
  <c r="B6" i="2"/>
  <c r="B25" i="2"/>
  <c r="B31" i="2"/>
  <c r="B22" i="2"/>
  <c r="Z43" i="1"/>
  <c r="Z42" i="1"/>
  <c r="Z41" i="1"/>
  <c r="Z40" i="1"/>
  <c r="Z38" i="1"/>
  <c r="Z37" i="1"/>
  <c r="Z36" i="1"/>
  <c r="Z35" i="1"/>
  <c r="Z34" i="1"/>
  <c r="Z31" i="1"/>
  <c r="Z30" i="1"/>
  <c r="Z29" i="1"/>
  <c r="Z28" i="1"/>
  <c r="Z26" i="1"/>
  <c r="Z25" i="1"/>
  <c r="Z24" i="1"/>
  <c r="Z23" i="1"/>
  <c r="Z22" i="1"/>
  <c r="Z21" i="1"/>
  <c r="Z20" i="1"/>
  <c r="Z19" i="1"/>
  <c r="Z17" i="1"/>
  <c r="Z16" i="1"/>
  <c r="Z15" i="1"/>
  <c r="Z5" i="1"/>
  <c r="Z6" i="1"/>
  <c r="Z7" i="1"/>
  <c r="Z8" i="1"/>
  <c r="Z9" i="1"/>
  <c r="Z10" i="1"/>
  <c r="Z11" i="1"/>
  <c r="Z12" i="1"/>
  <c r="Z13" i="1"/>
  <c r="S43" i="1"/>
  <c r="S42" i="1"/>
  <c r="S41" i="1"/>
  <c r="S40" i="1"/>
  <c r="S38" i="1"/>
  <c r="S37" i="1"/>
  <c r="S36" i="1"/>
  <c r="S35" i="1"/>
  <c r="S34" i="1"/>
  <c r="S31" i="1"/>
  <c r="S30" i="1"/>
  <c r="S29" i="1"/>
  <c r="S28" i="1"/>
  <c r="S26" i="1"/>
  <c r="S25" i="1"/>
  <c r="S24" i="1"/>
  <c r="S23" i="1"/>
  <c r="S22" i="1"/>
  <c r="S21" i="1"/>
  <c r="S20" i="1"/>
  <c r="S19" i="1"/>
  <c r="S17" i="1"/>
  <c r="S16" i="1"/>
  <c r="S15" i="1"/>
  <c r="S13" i="1"/>
  <c r="S12" i="1"/>
  <c r="S11" i="1"/>
  <c r="S10" i="1"/>
  <c r="S9" i="1"/>
  <c r="S8" i="1"/>
  <c r="S7" i="1"/>
  <c r="S6" i="1"/>
  <c r="S5" i="1"/>
  <c r="S4" i="1"/>
  <c r="Z4" i="1"/>
  <c r="J20" i="2"/>
  <c r="J29" i="2"/>
  <c r="O41" i="1"/>
  <c r="O42" i="1"/>
  <c r="I27" i="2" s="1"/>
  <c r="O43" i="1"/>
  <c r="I38" i="2" s="1"/>
  <c r="O40" i="1"/>
  <c r="O35" i="1"/>
  <c r="I23" i="2" s="1"/>
  <c r="O36" i="1"/>
  <c r="I8" i="2" s="1"/>
  <c r="O37" i="1"/>
  <c r="I14" i="2" s="1"/>
  <c r="O38" i="1"/>
  <c r="I30" i="2" s="1"/>
  <c r="O34" i="1"/>
  <c r="I9" i="2" s="1"/>
  <c r="O29" i="1"/>
  <c r="I20" i="2" s="1"/>
  <c r="O30" i="1"/>
  <c r="I16" i="2" s="1"/>
  <c r="O31" i="1"/>
  <c r="I35" i="2" s="1"/>
  <c r="O28" i="1"/>
  <c r="O20" i="1"/>
  <c r="I11" i="2" s="1"/>
  <c r="O21" i="1"/>
  <c r="I7" i="2" s="1"/>
  <c r="O22" i="1"/>
  <c r="I13" i="2" s="1"/>
  <c r="O23" i="1"/>
  <c r="O24" i="1"/>
  <c r="I10" i="2" s="1"/>
  <c r="O25" i="1"/>
  <c r="O26" i="1"/>
  <c r="I26" i="2" s="1"/>
  <c r="O19" i="1"/>
  <c r="I21" i="2" s="1"/>
  <c r="O5" i="1"/>
  <c r="I24" i="2" s="1"/>
  <c r="O6" i="1"/>
  <c r="I19" i="2" s="1"/>
  <c r="O7" i="1"/>
  <c r="I18" i="2" s="1"/>
  <c r="O8" i="1"/>
  <c r="I12" i="2" s="1"/>
  <c r="O9" i="1"/>
  <c r="I36" i="2" s="1"/>
  <c r="O4" i="1"/>
  <c r="I22" i="2" s="1"/>
  <c r="O15" i="1"/>
  <c r="I6" i="2" s="1"/>
  <c r="O16" i="1"/>
  <c r="I25" i="2" s="1"/>
  <c r="O11" i="1"/>
  <c r="I15" i="2" s="1"/>
  <c r="O12" i="1"/>
  <c r="I17" i="2" s="1"/>
  <c r="O13" i="1"/>
  <c r="I28" i="2" s="1"/>
  <c r="O17" i="1"/>
  <c r="I31" i="2" s="1"/>
  <c r="O10" i="1"/>
  <c r="I39" i="2" s="1"/>
  <c r="L7" i="2" l="1"/>
  <c r="M7" i="2"/>
  <c r="M22" i="2"/>
  <c r="L22" i="2"/>
  <c r="D16" i="2"/>
  <c r="M16" i="2"/>
  <c r="M24" i="2"/>
  <c r="L24" i="2"/>
  <c r="L25" i="2"/>
  <c r="M25" i="2"/>
  <c r="L18" i="2"/>
  <c r="M18" i="2"/>
  <c r="L11" i="2"/>
  <c r="M11" i="2"/>
  <c r="M21" i="2"/>
  <c r="L21" i="2"/>
  <c r="L31" i="2"/>
  <c r="M31" i="2"/>
  <c r="L32" i="2"/>
  <c r="M32" i="2"/>
  <c r="L28" i="2"/>
  <c r="M28" i="2"/>
  <c r="L33" i="2"/>
  <c r="M33" i="2"/>
  <c r="L17" i="2"/>
  <c r="M17" i="2"/>
  <c r="M37" i="2"/>
  <c r="L37" i="2"/>
  <c r="M39" i="2"/>
  <c r="L39" i="2"/>
  <c r="L10" i="2"/>
  <c r="M10" i="2"/>
  <c r="L15" i="2"/>
  <c r="M15" i="2"/>
  <c r="L36" i="2"/>
  <c r="M36" i="2"/>
  <c r="L34" i="2"/>
  <c r="M34" i="2"/>
  <c r="M23" i="2"/>
  <c r="L23" i="2"/>
  <c r="M19" i="2"/>
  <c r="L19" i="2"/>
  <c r="D6" i="2"/>
  <c r="M6" i="2"/>
  <c r="L6" i="2"/>
  <c r="L26" i="2"/>
  <c r="M26" i="2"/>
  <c r="L12" i="2"/>
  <c r="M12" i="2"/>
  <c r="L13" i="2"/>
  <c r="M13" i="2"/>
  <c r="L9" i="2"/>
  <c r="M9" i="2"/>
  <c r="D36" i="2"/>
  <c r="F36" i="2"/>
  <c r="G36" i="2"/>
  <c r="D34" i="2"/>
  <c r="G34" i="2"/>
  <c r="F34" i="2"/>
  <c r="D23" i="2"/>
  <c r="G23" i="2"/>
  <c r="F23" i="2"/>
  <c r="D12" i="2"/>
  <c r="F12" i="2"/>
  <c r="G12" i="2"/>
  <c r="D13" i="2"/>
  <c r="G13" i="2"/>
  <c r="F13" i="2"/>
  <c r="D9" i="2"/>
  <c r="G9" i="2"/>
  <c r="F9" i="2"/>
  <c r="D18" i="2"/>
  <c r="G18" i="2"/>
  <c r="F18" i="2"/>
  <c r="D7" i="2"/>
  <c r="G7" i="2"/>
  <c r="F7" i="2"/>
  <c r="D19" i="2"/>
  <c r="F19" i="2"/>
  <c r="G19" i="2"/>
  <c r="D11" i="2"/>
  <c r="G11" i="2"/>
  <c r="F11" i="2"/>
  <c r="D22" i="2"/>
  <c r="G22" i="2"/>
  <c r="F22" i="2"/>
  <c r="D24" i="2"/>
  <c r="G24" i="2"/>
  <c r="F24" i="2"/>
  <c r="D21" i="2"/>
  <c r="F21" i="2"/>
  <c r="G21" i="2"/>
  <c r="D39" i="2"/>
  <c r="G39" i="2"/>
  <c r="F39" i="2"/>
  <c r="D10" i="2"/>
  <c r="G10" i="2"/>
  <c r="F10" i="2"/>
  <c r="D8" i="2"/>
  <c r="D31" i="2"/>
  <c r="G31" i="2"/>
  <c r="F31" i="2"/>
  <c r="D25" i="2"/>
  <c r="G25" i="2"/>
  <c r="F25" i="2"/>
  <c r="D32" i="2"/>
  <c r="G32" i="2"/>
  <c r="F32" i="2"/>
  <c r="D28" i="2"/>
  <c r="F28" i="2"/>
  <c r="G28" i="2"/>
  <c r="D33" i="2"/>
  <c r="G33" i="2"/>
  <c r="F33" i="2"/>
  <c r="D17" i="2"/>
  <c r="G17" i="2"/>
  <c r="F17" i="2"/>
  <c r="D26" i="2"/>
  <c r="G26" i="2"/>
  <c r="F26" i="2"/>
  <c r="D15" i="2"/>
  <c r="G15" i="2"/>
  <c r="F15" i="2"/>
  <c r="D37" i="2"/>
  <c r="F37" i="2"/>
  <c r="G37" i="2"/>
  <c r="A37" i="2"/>
  <c r="A39" i="2"/>
  <c r="A23" i="2"/>
  <c r="A13" i="2"/>
  <c r="A21" i="2"/>
  <c r="A10" i="2"/>
  <c r="A36" i="2"/>
  <c r="A12" i="2"/>
  <c r="A8" i="2"/>
  <c r="A18" i="2"/>
  <c r="A27" i="2"/>
  <c r="A6" i="2"/>
  <c r="A20" i="2"/>
  <c r="A32" i="2"/>
  <c r="A15" i="2"/>
  <c r="A9" i="2"/>
  <c r="A7" i="2"/>
  <c r="A19" i="2"/>
  <c r="A28" i="2"/>
  <c r="A29" i="2"/>
  <c r="A33" i="2"/>
  <c r="A14" i="2"/>
  <c r="A34" i="2"/>
  <c r="A11" i="2"/>
  <c r="A17" i="2"/>
  <c r="A26" i="2"/>
  <c r="A30" i="2"/>
  <c r="C38" i="2"/>
  <c r="A38" i="2"/>
  <c r="C24" i="2"/>
  <c r="A24" i="2"/>
  <c r="C35" i="2"/>
  <c r="A35" i="2"/>
  <c r="C16" i="2"/>
  <c r="A16" i="2"/>
  <c r="C31" i="2"/>
  <c r="A31" i="2"/>
  <c r="A25" i="2"/>
  <c r="E7" i="2"/>
  <c r="A22" i="2"/>
  <c r="J32" i="2"/>
  <c r="I29" i="2"/>
  <c r="I34" i="2"/>
  <c r="I33" i="2"/>
  <c r="I32" i="2"/>
  <c r="C19" i="2"/>
  <c r="C27" i="2"/>
  <c r="J38" i="2"/>
  <c r="C20" i="2"/>
  <c r="C32" i="2"/>
  <c r="C28" i="2"/>
  <c r="C14" i="2"/>
  <c r="C34" i="2"/>
  <c r="I37" i="2"/>
  <c r="C12" i="2"/>
  <c r="C15" i="2"/>
  <c r="C9" i="2"/>
  <c r="C18" i="2"/>
  <c r="C22" i="2"/>
  <c r="C6" i="2"/>
  <c r="C29" i="2"/>
  <c r="K44" i="2"/>
  <c r="B4" i="3" s="1"/>
  <c r="C30" i="2"/>
  <c r="C37" i="2"/>
  <c r="C17" i="2"/>
  <c r="C23" i="2"/>
  <c r="F6" i="2"/>
  <c r="C11" i="2"/>
  <c r="C33" i="2"/>
  <c r="C26" i="2"/>
  <c r="C10" i="2"/>
  <c r="C8" i="2"/>
  <c r="C13" i="2"/>
  <c r="C7" i="2"/>
  <c r="C21" i="2"/>
  <c r="C39" i="2"/>
  <c r="C25" i="2"/>
  <c r="C36" i="2"/>
  <c r="G6" i="2"/>
  <c r="E37" i="2"/>
  <c r="E23" i="2"/>
  <c r="E22" i="2"/>
  <c r="E21" i="2"/>
  <c r="E36" i="2"/>
  <c r="E34" i="2"/>
  <c r="E24" i="2"/>
  <c r="E12" i="2"/>
  <c r="E10" i="2"/>
  <c r="E9" i="2"/>
  <c r="E30" i="2"/>
  <c r="E18" i="2"/>
  <c r="E29" i="2"/>
  <c r="E17" i="2"/>
  <c r="E16" i="2"/>
  <c r="E20" i="2"/>
  <c r="E31" i="2"/>
  <c r="E27" i="2"/>
  <c r="E15" i="2"/>
  <c r="E19" i="2"/>
  <c r="E6" i="2"/>
  <c r="E26" i="2"/>
  <c r="E14" i="2"/>
  <c r="E28" i="2"/>
  <c r="E39" i="2"/>
  <c r="E25" i="2"/>
  <c r="E13" i="2"/>
  <c r="E38" i="2"/>
  <c r="E11" i="2"/>
  <c r="E8" i="2"/>
  <c r="E35" i="2"/>
  <c r="E32" i="2"/>
  <c r="E33" i="2"/>
  <c r="F26" i="3" l="1" a="1"/>
  <c r="F26" i="3" s="1"/>
  <c r="F25" i="3" a="1"/>
  <c r="F25" i="3" s="1"/>
  <c r="F24" i="3"/>
  <c r="E25" i="3" a="1"/>
  <c r="E25" i="3" s="1"/>
  <c r="B13" i="3" s="1"/>
  <c r="E24" i="3"/>
  <c r="J45" i="2" a="1"/>
  <c r="J45" i="2" s="1"/>
  <c r="B51" i="2"/>
  <c r="C44" i="2"/>
  <c r="B43" i="2"/>
  <c r="B45" i="2"/>
  <c r="C45" i="2"/>
  <c r="C43" i="2"/>
  <c r="B44" i="2"/>
  <c r="C50" i="2"/>
  <c r="C51" i="2"/>
  <c r="C49" i="2"/>
  <c r="B50" i="2"/>
  <c r="B49" i="2"/>
  <c r="J44" i="2"/>
  <c r="I45" i="2" a="1"/>
  <c r="I45" i="2" s="1"/>
  <c r="B3" i="3" l="1"/>
  <c r="I44" i="2"/>
  <c r="J46" i="2" s="1" a="1"/>
  <c r="J4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<sst xmlns="http://schemas.openxmlformats.org/spreadsheetml/2006/main" count="661" uniqueCount="256">
  <si>
    <t>TD Linx #</t>
  </si>
  <si>
    <t>Account Name</t>
  </si>
  <si>
    <t>Address</t>
  </si>
  <si>
    <t>City</t>
  </si>
  <si>
    <t>State</t>
  </si>
  <si>
    <t>Zip</t>
  </si>
  <si>
    <t>Segmentation</t>
  </si>
  <si>
    <t>RESET DATE</t>
  </si>
  <si>
    <t>Before PSA? (in Dropbox)</t>
  </si>
  <si>
    <t>After PSA? (in Dropbox)</t>
  </si>
  <si>
    <t>GARYS</t>
  </si>
  <si>
    <t>67 VER VALEN ST</t>
  </si>
  <si>
    <t>CLOSTER</t>
  </si>
  <si>
    <t>NEW JERSEY</t>
  </si>
  <si>
    <t>B</t>
  </si>
  <si>
    <t>Yes</t>
  </si>
  <si>
    <t>FINE WINE &amp; SPIRITS</t>
  </si>
  <si>
    <t>14 RIVEREDGE RD</t>
  </si>
  <si>
    <t>TENAFLY</t>
  </si>
  <si>
    <t>PAY LESS LIQUOR &amp; DELI</t>
  </si>
  <si>
    <t>251 ELM ST</t>
  </si>
  <si>
    <t>ELMWOOD PARK</t>
  </si>
  <si>
    <t>C</t>
  </si>
  <si>
    <t>LIQUOR MART</t>
  </si>
  <si>
    <t>126 RIDGE RD</t>
  </si>
  <si>
    <t>NORTH ARLINGTON</t>
  </si>
  <si>
    <t>RAINBOW DELI &amp; DISCOUNT LIQUORS</t>
  </si>
  <si>
    <t>292 LAKEVIEW AVE</t>
  </si>
  <si>
    <t>CLIFTON</t>
  </si>
  <si>
    <t>QUICK STOP WINE &amp; LIQUOR</t>
  </si>
  <si>
    <t>83 GODWIN AVE</t>
  </si>
  <si>
    <t>RIDGEWOOD</t>
  </si>
  <si>
    <t>CIRCLE LIQUORS</t>
  </si>
  <si>
    <t>1 S MAIN ST STE 1</t>
  </si>
  <si>
    <t>LODI</t>
  </si>
  <si>
    <t>PARK AVENUE LIQUORS</t>
  </si>
  <si>
    <t>307 PARK AVE</t>
  </si>
  <si>
    <t>PATERSON</t>
  </si>
  <si>
    <t>MANOR BEVERAGES</t>
  </si>
  <si>
    <t>430 BROAD AVE</t>
  </si>
  <si>
    <t>LEONIA</t>
  </si>
  <si>
    <t>SHOPRITE LIQUORS</t>
  </si>
  <si>
    <t>254 LIVINGSTON ST STE F</t>
  </si>
  <si>
    <t>NORTHVALE</t>
  </si>
  <si>
    <t>A</t>
  </si>
  <si>
    <t>WALLINGTON LIQUORS</t>
  </si>
  <si>
    <t>168 MAIN AVE</t>
  </si>
  <si>
    <t>WALLINGTON</t>
  </si>
  <si>
    <t>No</t>
  </si>
  <si>
    <t>MAIN STREET LIQUOR</t>
  </si>
  <si>
    <t>340 S MAIN ST</t>
  </si>
  <si>
    <t>WHARTON</t>
  </si>
  <si>
    <t>WINE SHOP</t>
  </si>
  <si>
    <t>434 HACKENSACK ST</t>
  </si>
  <si>
    <t>CARLSTADT</t>
  </si>
  <si>
    <t>SUSSEX DISCOUNT LIQUORS</t>
  </si>
  <si>
    <t>3235 STATE RT 94</t>
  </si>
  <si>
    <t>FRANKLIN</t>
  </si>
  <si>
    <t>SAM ON THE ROCKS</t>
  </si>
  <si>
    <t>101 NEWARK POMPTON TPK</t>
  </si>
  <si>
    <t>LITTLE FALLS</t>
  </si>
  <si>
    <t>215 MAIN ST</t>
  </si>
  <si>
    <t>RIDGEFIELD PARK</t>
  </si>
  <si>
    <t>LUCKY 7 WINE &amp; LIQUORS</t>
  </si>
  <si>
    <t>77 RIVER RD</t>
  </si>
  <si>
    <t>WIDES DELI &amp; LIQUORS</t>
  </si>
  <si>
    <t>85 CENTRAL AVE</t>
  </si>
  <si>
    <t>RIDGEFIELD LIQUOR</t>
  </si>
  <si>
    <t>520 SHALER BLVD</t>
  </si>
  <si>
    <t>RIDGEFIELD</t>
  </si>
  <si>
    <t>FIGLARS LIQUOR STORE</t>
  </si>
  <si>
    <t>327 HOPE AVE</t>
  </si>
  <si>
    <t>FOOD MART LIQUOR</t>
  </si>
  <si>
    <t>430 MARKET ST</t>
  </si>
  <si>
    <t>ARCHIES LIQUOR</t>
  </si>
  <si>
    <t>229 MAIN AVE</t>
  </si>
  <si>
    <t>PASSAIC</t>
  </si>
  <si>
    <t>SHANIK LIQUORS</t>
  </si>
  <si>
    <t>952 MAIN AVE</t>
  </si>
  <si>
    <t>MARINAS WINE &amp; SPIRIT</t>
  </si>
  <si>
    <t>497 VAN HOUTEN AVE</t>
  </si>
  <si>
    <t>895 PAULISON AVE</t>
  </si>
  <si>
    <t>BUY RITE</t>
  </si>
  <si>
    <t>410 RIVER ST</t>
  </si>
  <si>
    <t>HACKENSACK</t>
  </si>
  <si>
    <t>SHOPPERS VINEYARD</t>
  </si>
  <si>
    <t>875 BLOOMFIELD AVE</t>
  </si>
  <si>
    <t>BOTTLE KING</t>
  </si>
  <si>
    <t>909 PROSPECT ST</t>
  </si>
  <si>
    <t>GLEN ROCK</t>
  </si>
  <si>
    <t>PETES LIQUORS</t>
  </si>
  <si>
    <t>383 VALLEY RD</t>
  </si>
  <si>
    <t>ALTIERO LIQUORS</t>
  </si>
  <si>
    <t>498 ELLISON ST</t>
  </si>
  <si>
    <t>THE LIQUOR SHOP</t>
  </si>
  <si>
    <t>498 E 30TH ST</t>
  </si>
  <si>
    <t>SUPER WINE WAREHOUSE</t>
  </si>
  <si>
    <t>42 E 30TH ST</t>
  </si>
  <si>
    <t>FARMBOY SUPER FRESH LIQUOR</t>
  </si>
  <si>
    <t>465 GETTY AVE</t>
  </si>
  <si>
    <t>CLIFTON DISCOUNT LIQUORS</t>
  </si>
  <si>
    <t>73 ACKERMAN AVE</t>
  </si>
  <si>
    <t>CLIFTON COMMONS SPIRITS &amp; WINES</t>
  </si>
  <si>
    <t>132 KINGSLAND RD</t>
  </si>
  <si>
    <t>SUPER CELLARS - Westwood Wines &amp; Liquor</t>
  </si>
  <si>
    <t>725 BROADWAY</t>
  </si>
  <si>
    <t>WESTWOOD</t>
  </si>
  <si>
    <t>224 E STATE RT 4</t>
  </si>
  <si>
    <t>PARAMUS</t>
  </si>
  <si>
    <t>53 NATHANIEL PL</t>
  </si>
  <si>
    <t>ENGLEWOOD</t>
  </si>
  <si>
    <t>STEW LEONARDS</t>
  </si>
  <si>
    <t>467 ALLWOOD RD</t>
  </si>
  <si>
    <t>STEW LEONARDS WINES &amp; SPIRITS</t>
  </si>
  <si>
    <t>700 PARAMUS PARK</t>
  </si>
  <si>
    <t>JOES LIQUORS</t>
  </si>
  <si>
    <t>328 11TH AVE</t>
  </si>
  <si>
    <t>DISCOUNT LIQUOR OUTLET</t>
  </si>
  <si>
    <t>15 GRAND AVE STE 4</t>
  </si>
  <si>
    <t>PALISADES PARK</t>
  </si>
  <si>
    <t>WINE COUNTRY</t>
  </si>
  <si>
    <t>195 MARKET ST</t>
  </si>
  <si>
    <t>SADDLE BROOK</t>
  </si>
  <si>
    <t>FERRAROS LIQUOR</t>
  </si>
  <si>
    <t>423 21ST AVE</t>
  </si>
  <si>
    <t>BELMONT LIQUORS</t>
  </si>
  <si>
    <t>136 BELMONT AVE</t>
  </si>
  <si>
    <t>MONTVALE WINE &amp; SPIRITS</t>
  </si>
  <si>
    <t>18 S KINDERKAMACK RD</t>
  </si>
  <si>
    <t>MONTVALE</t>
  </si>
  <si>
    <t>GLEN ROCK WINE &amp; LIQUORS</t>
  </si>
  <si>
    <t>937 LINCOLN AVE</t>
  </si>
  <si>
    <t>SUNNYS LIQUORS</t>
  </si>
  <si>
    <t>413 MONROE ST</t>
  </si>
  <si>
    <t>SANDYS WINE &amp; SPIRITS</t>
  </si>
  <si>
    <t>98 US HWY 46</t>
  </si>
  <si>
    <t>BUDD LAKE</t>
  </si>
  <si>
    <t>GEORGES WINE &amp; SPIRITS</t>
  </si>
  <si>
    <t>12 MORRIS AVE</t>
  </si>
  <si>
    <t>BRANCHVILLE</t>
  </si>
  <si>
    <t>MEADOWLANDS WINE &amp; LIQUOR</t>
  </si>
  <si>
    <t>280 VALLEY BLVD</t>
  </si>
  <si>
    <t>WOOD RIDGE</t>
  </si>
  <si>
    <t>JOHNNYS LIQUORS</t>
  </si>
  <si>
    <t>370 MONROE ST</t>
  </si>
  <si>
    <t>ECONOMY LIQUORS</t>
  </si>
  <si>
    <t>186 5TH AVE</t>
  </si>
  <si>
    <t>REGALADO LIQUORS</t>
  </si>
  <si>
    <t>168 MARKET ST</t>
  </si>
  <si>
    <t>GARDEN LIQUORS &amp; WINES</t>
  </si>
  <si>
    <t>300 HARRISON AVE</t>
  </si>
  <si>
    <t>LINCOLN PARK FINE WINE &amp; SPIRITS</t>
  </si>
  <si>
    <t>60 BEAVERBROOK RD</t>
  </si>
  <si>
    <t>LINCOLN PARK</t>
  </si>
  <si>
    <t>LIQUOR GALLERY</t>
  </si>
  <si>
    <t>459 MCBRIDE AVE</t>
  </si>
  <si>
    <t>B &amp; B LIQUORS</t>
  </si>
  <si>
    <t>13 05 RIVER RD</t>
  </si>
  <si>
    <t>FAIR LAWN</t>
  </si>
  <si>
    <t>HY SPIRIT WINE &amp; LIQUOR STORE</t>
  </si>
  <si>
    <t>76 JEWELL ST</t>
  </si>
  <si>
    <t>GARFIELD</t>
  </si>
  <si>
    <t>DORTA LIQUORS</t>
  </si>
  <si>
    <t>353 21ST AVE</t>
  </si>
  <si>
    <t>LUNA LIQUORS</t>
  </si>
  <si>
    <t>291 PARK AVE</t>
  </si>
  <si>
    <t>C TOWN LIQUORS</t>
  </si>
  <si>
    <t>680 MAIN ST</t>
  </si>
  <si>
    <t>C TOWN LIQUOR</t>
  </si>
  <si>
    <t>444 20TH AVE</t>
  </si>
  <si>
    <t>US 1 WINE &amp; LIQUOR</t>
  </si>
  <si>
    <t>534 VAN HOUTEN AVE</t>
  </si>
  <si>
    <t>BOTTLE LIQUOR STORE</t>
  </si>
  <si>
    <t>550 LEXINGTON AVE</t>
  </si>
  <si>
    <t>BEVERAGE BARN</t>
  </si>
  <si>
    <t>224 LIVINGSTON ST</t>
  </si>
  <si>
    <t>35 07 BROADWAY</t>
  </si>
  <si>
    <t>BERMUDA LIQUORS</t>
  </si>
  <si>
    <t>177 HOPE AVE</t>
  </si>
  <si>
    <t>2024 Cases Sold</t>
  </si>
  <si>
    <t>2025 Cases Sold</t>
  </si>
  <si>
    <t>% Change</t>
  </si>
  <si>
    <t>Placement Count 2024</t>
  </si>
  <si>
    <t>Placement Count 2025</t>
  </si>
  <si>
    <t>Placement Count Diff</t>
  </si>
  <si>
    <t>2025 Sales Trend</t>
  </si>
  <si>
    <t>Constellation</t>
  </si>
  <si>
    <t>Kohler Overall</t>
  </si>
  <si>
    <t>HIGH SPIRITS (Exquisite W&amp;L?)</t>
  </si>
  <si>
    <t>Customer</t>
  </si>
  <si>
    <t>Constellation Brands</t>
  </si>
  <si>
    <t>Reset Date</t>
  </si>
  <si>
    <t>SHOPRITE LIQUORS (Paramus)</t>
  </si>
  <si>
    <t>SHOPRITE LIQUORS (Englewood)</t>
  </si>
  <si>
    <t>SHOPRITE LIQUORS (Northvale)</t>
  </si>
  <si>
    <t>SHOPRITE LIQUORS (Clifton)</t>
  </si>
  <si>
    <t>3 Months From Reset Date</t>
  </si>
  <si>
    <t>Kohler House</t>
  </si>
  <si>
    <t>From reset date to July 1</t>
  </si>
  <si>
    <t>Column1</t>
  </si>
  <si>
    <t>2024 Cases Sold2</t>
  </si>
  <si>
    <t>2025 Cases Sold3</t>
  </si>
  <si>
    <t>% Change4</t>
  </si>
  <si>
    <t>Placement Count 20245</t>
  </si>
  <si>
    <t>Placement Count 20256</t>
  </si>
  <si>
    <t>Placement Count Diff7</t>
  </si>
  <si>
    <t>2024 Cases Sold8</t>
  </si>
  <si>
    <t>2025 Cases Sold9</t>
  </si>
  <si>
    <t>% Change10</t>
  </si>
  <si>
    <t>2025 Sales Trend11</t>
  </si>
  <si>
    <t>Placement Count 202412</t>
  </si>
  <si>
    <t>Placement Count 202513</t>
  </si>
  <si>
    <t>Placement Count Diff14</t>
  </si>
  <si>
    <t>2024 Cases Sold15</t>
  </si>
  <si>
    <t>2025 Cases Sold16</t>
  </si>
  <si>
    <t>% Change17</t>
  </si>
  <si>
    <t>Placement Count 202418</t>
  </si>
  <si>
    <t>Placement Count 202519</t>
  </si>
  <si>
    <t>Placement Count Diff20</t>
  </si>
  <si>
    <t>Grand Total</t>
  </si>
  <si>
    <t>Row Labels</t>
  </si>
  <si>
    <t>Sum of 2024 Cases Sold</t>
  </si>
  <si>
    <t>Sum of 2025 Cases Sold</t>
  </si>
  <si>
    <t>Sum of % Change</t>
  </si>
  <si>
    <t>Average % Trend</t>
  </si>
  <si>
    <t># of Stores Beating Kohler Avg:</t>
  </si>
  <si>
    <t>All Brands</t>
  </si>
  <si>
    <t>Cases Sold % Change After Reset (Avg)</t>
  </si>
  <si>
    <t>Non-Reset Stores</t>
  </si>
  <si>
    <t>Cases Sold % Change (Avg)</t>
  </si>
  <si>
    <t>April 1  - July 1: 2024 vs 2025</t>
  </si>
  <si>
    <t>Stores Reset:</t>
  </si>
  <si>
    <t># of Stores Beating Kohler Trend %:</t>
  </si>
  <si>
    <t>Average Kohler Trend % (2025)</t>
  </si>
  <si>
    <r>
      <rPr>
        <b/>
        <u/>
        <sz val="11"/>
        <rFont val="Aptos Narrow"/>
        <family val="2"/>
        <scheme val="minor"/>
      </rPr>
      <t>Constellation</t>
    </r>
    <r>
      <rPr>
        <sz val="11"/>
        <rFont val="Aptos Narrow"/>
        <family val="2"/>
        <scheme val="minor"/>
      </rPr>
      <t>: Cases Sold % Change After Reset (Avg)</t>
    </r>
  </si>
  <si>
    <t>Reset Stores</t>
  </si>
  <si>
    <r>
      <rPr>
        <b/>
        <u/>
        <sz val="11"/>
        <color theme="1"/>
        <rFont val="Aptos Narrow"/>
        <family val="2"/>
        <scheme val="minor"/>
      </rPr>
      <t>Constellation</t>
    </r>
    <r>
      <rPr>
        <sz val="11"/>
        <color theme="1"/>
        <rFont val="Aptos Narrow"/>
        <family val="2"/>
        <scheme val="minor"/>
      </rPr>
      <t>: Cases Sold % Change (Avg)</t>
    </r>
  </si>
  <si>
    <r>
      <rPr>
        <b/>
        <u/>
        <sz val="11"/>
        <color theme="1"/>
        <rFont val="Calibri"/>
        <family val="2"/>
      </rPr>
      <t>Reset Date</t>
    </r>
    <r>
      <rPr>
        <sz val="11"/>
        <color theme="1"/>
        <rFont val="Calibri"/>
        <family val="2"/>
      </rPr>
      <t xml:space="preserve"> to July 1</t>
    </r>
    <r>
      <rPr>
        <sz val="11"/>
        <color theme="1"/>
        <rFont val="Calibri"/>
        <family val="2"/>
      </rPr>
      <t xml:space="preserve"> (2024 vs 2025)</t>
    </r>
  </si>
  <si>
    <t>All Kohler Brands</t>
  </si>
  <si>
    <t>Cases Sold % Change (2024 vs 2025)</t>
  </si>
  <si>
    <t>Reset Date to July 1</t>
  </si>
  <si>
    <r>
      <t xml:space="preserve">Overall Kohler Sales % Difference              </t>
    </r>
    <r>
      <rPr>
        <b/>
        <sz val="11"/>
        <color theme="1"/>
        <rFont val="Calibri"/>
        <family val="2"/>
      </rPr>
      <t>2024 vs 2025</t>
    </r>
  </si>
  <si>
    <r>
      <t xml:space="preserve">3 Month Results </t>
    </r>
    <r>
      <rPr>
        <b/>
        <u/>
        <sz val="18"/>
        <color theme="1"/>
        <rFont val="Calibri"/>
        <family val="2"/>
      </rPr>
      <t>From Reset Date</t>
    </r>
    <r>
      <rPr>
        <sz val="18"/>
        <color theme="1"/>
        <rFont val="Calibri"/>
        <family val="2"/>
      </rPr>
      <t xml:space="preserve"> (2024 vs 2025)</t>
    </r>
  </si>
  <si>
    <t>January - April 2025</t>
  </si>
  <si>
    <t>Jan 1 - July 1 (2024 vs 2025)</t>
  </si>
  <si>
    <t># of Stores Where Constellation &gt; All Kohler Brands</t>
  </si>
  <si>
    <t>Average Kohler Sales % Difference (2024 vs 2025)</t>
  </si>
  <si>
    <r>
      <rPr>
        <b/>
        <u/>
        <sz val="14"/>
        <color rgb="FFFF0000"/>
        <rFont val="Calibri"/>
        <family val="2"/>
      </rPr>
      <t>ACCOUNT SPECIFIC</t>
    </r>
    <r>
      <rPr>
        <sz val="14"/>
        <color theme="1"/>
        <rFont val="Calibri"/>
        <family val="2"/>
      </rPr>
      <t>: Cases Sold % Change</t>
    </r>
  </si>
  <si>
    <r>
      <rPr>
        <b/>
        <u/>
        <sz val="14"/>
        <color rgb="FFFF0000"/>
        <rFont val="Calibri"/>
        <family val="2"/>
      </rPr>
      <t>ALL ACCOUNTS</t>
    </r>
    <r>
      <rPr>
        <sz val="14"/>
        <color theme="1"/>
        <rFont val="Calibri"/>
        <family val="2"/>
      </rPr>
      <t>: Kohler Sales % Difference (</t>
    </r>
    <r>
      <rPr>
        <b/>
        <sz val="14"/>
        <color theme="1"/>
        <rFont val="Calibri"/>
        <family val="2"/>
      </rPr>
      <t>2024 vs 2025)</t>
    </r>
  </si>
  <si>
    <t>Cases Sold Diff</t>
  </si>
  <si>
    <t>Cases Sold Diff2</t>
  </si>
  <si>
    <t>Case Change</t>
  </si>
  <si>
    <t>Acct Class</t>
  </si>
  <si>
    <r>
      <rPr>
        <b/>
        <u/>
        <sz val="14"/>
        <color rgb="FFFF0000"/>
        <rFont val="Calibri"/>
        <family val="2"/>
      </rPr>
      <t>ACCOUNT SPECIFIC</t>
    </r>
    <r>
      <rPr>
        <sz val="14"/>
        <color theme="1"/>
        <rFont val="Calibri"/>
        <family val="2"/>
      </rPr>
      <t>: Cases Sold Change</t>
    </r>
  </si>
  <si>
    <t>2026 Cases Sold9</t>
  </si>
  <si>
    <t>2026 Cases Sold16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</si>
</sst>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F800]dddd\,\ mmmm\ dd\,\ yyyy"/>
    <numFmt numFmtId="166" formatCode="0.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8"/>
      <color rgb="FF000000"/>
      <name val="Verdana"/>
      <family val="2"/>
    </font>
    <font>
      <sz val="8"/>
      <color rgb="FF444649"/>
      <name val="Verdana"/>
      <family val="2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sz val="8"/>
      <color rgb="FF444649"/>
      <name val="Verdana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u/>
      <sz val="16"/>
      <color theme="0"/>
      <name val="Aptos Narrow"/>
      <family val="2"/>
      <scheme val="minor"/>
    </font>
    <font>
      <b/>
      <sz val="12"/>
      <color theme="0"/>
      <name val="Arial"/>
      <family val="2"/>
    </font>
    <font>
      <b/>
      <u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color theme="2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8"/>
      <color rgb="FF444649"/>
      <name val="Verdana"/>
      <family val="2"/>
    </font>
    <font>
      <sz val="8"/>
      <color rgb="FFFF0000"/>
      <name val="Verdana"/>
      <family val="2"/>
    </font>
    <font>
      <b/>
      <sz val="11"/>
      <color rgb="FFFFFF00"/>
      <name val="Calibri"/>
      <family val="2"/>
    </font>
    <font>
      <sz val="11"/>
      <color rgb="FFFFFF00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8"/>
      <color theme="1"/>
      <name val="Calibri"/>
      <family val="2"/>
    </font>
    <font>
      <b/>
      <u/>
      <sz val="18"/>
      <color theme="1"/>
      <name val="Calibri"/>
      <family val="2"/>
    </font>
    <font>
      <b/>
      <sz val="14"/>
      <color theme="2" tint="-9.9978637043366805E-2"/>
      <name val="Calibri"/>
      <family val="2"/>
    </font>
    <font>
      <b/>
      <sz val="14"/>
      <color rgb="FFFFFF00"/>
      <name val="Calibri"/>
      <family val="2"/>
    </font>
    <font>
      <sz val="14"/>
      <color theme="2"/>
      <name val="Calibri"/>
      <family val="2"/>
    </font>
    <font>
      <sz val="14"/>
      <color theme="0"/>
      <name val="Calibri"/>
      <family val="2"/>
    </font>
    <font>
      <b/>
      <u/>
      <sz val="14"/>
      <color rgb="FFFF0000"/>
      <name val="Calibri"/>
      <family val="2"/>
    </font>
    <font>
      <sz val="11"/>
      <color rgb="FFFFFF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37">
    <xf numFmtId="0" fontId="0" fillId="0" borderId="0" xfId="0"/>
    <xf numFmtId="0" fontId="5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/>
    </xf>
    <xf numFmtId="14" fontId="7" fillId="5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14" fontId="7" fillId="5" borderId="4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14" fontId="7" fillId="5" borderId="8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8" fillId="4" borderId="10" xfId="0" applyFont="1" applyFill="1" applyBorder="1" applyAlignment="1">
      <alignment horizontal="left" vertical="top"/>
    </xf>
    <xf numFmtId="14" fontId="7" fillId="5" borderId="5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vertical="top"/>
    </xf>
    <xf numFmtId="0" fontId="9" fillId="4" borderId="11" xfId="0" applyFont="1" applyFill="1" applyBorder="1" applyAlignment="1">
      <alignment vertical="top"/>
    </xf>
    <xf numFmtId="0" fontId="9" fillId="4" borderId="9" xfId="0" applyFont="1" applyFill="1" applyBorder="1" applyAlignment="1">
      <alignment vertical="top"/>
    </xf>
    <xf numFmtId="0" fontId="9" fillId="4" borderId="10" xfId="0" applyFont="1" applyFill="1" applyBorder="1" applyAlignment="1">
      <alignment vertical="top"/>
    </xf>
    <xf numFmtId="14" fontId="7" fillId="5" borderId="12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4" fontId="7" fillId="5" borderId="10" xfId="0" applyNumberFormat="1" applyFont="1" applyFill="1" applyBorder="1" applyAlignment="1">
      <alignment horizontal="center"/>
    </xf>
    <xf numFmtId="0" fontId="8" fillId="0" borderId="15" xfId="0" applyFont="1" applyBorder="1" applyAlignment="1">
      <alignment horizontal="left"/>
    </xf>
    <xf numFmtId="14" fontId="7" fillId="5" borderId="16" xfId="0" applyNumberFormat="1" applyFont="1" applyFill="1" applyBorder="1" applyAlignment="1">
      <alignment horizontal="center"/>
    </xf>
    <xf numFmtId="0" fontId="9" fillId="4" borderId="10" xfId="0" applyFont="1" applyFill="1" applyBorder="1" applyAlignment="1">
      <alignment horizontal="left" vertical="top"/>
    </xf>
    <xf numFmtId="0" fontId="9" fillId="4" borderId="17" xfId="0" applyFont="1" applyFill="1" applyBorder="1" applyAlignment="1">
      <alignment vertical="top"/>
    </xf>
    <xf numFmtId="0" fontId="9" fillId="4" borderId="0" xfId="0" applyFont="1" applyFill="1" applyAlignment="1">
      <alignment vertical="top"/>
    </xf>
    <xf numFmtId="14" fontId="7" fillId="5" borderId="18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vertical="top"/>
    </xf>
    <xf numFmtId="14" fontId="7" fillId="5" borderId="2" xfId="0" applyNumberFormat="1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left" vertical="top"/>
    </xf>
    <xf numFmtId="0" fontId="9" fillId="4" borderId="19" xfId="0" applyFont="1" applyFill="1" applyBorder="1" applyAlignment="1">
      <alignment vertical="top"/>
    </xf>
    <xf numFmtId="0" fontId="7" fillId="5" borderId="1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11" fillId="7" borderId="3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14" xfId="0" applyFont="1" applyFill="1" applyBorder="1"/>
    <xf numFmtId="0" fontId="0" fillId="0" borderId="24" xfId="0" applyBorder="1"/>
    <xf numFmtId="0" fontId="0" fillId="12" borderId="24" xfId="0" applyFill="1" applyBorder="1"/>
    <xf numFmtId="0" fontId="0" fillId="12" borderId="0" xfId="0" applyFill="1"/>
    <xf numFmtId="0" fontId="0" fillId="0" borderId="26" xfId="0" applyBorder="1"/>
    <xf numFmtId="0" fontId="0" fillId="0" borderId="27" xfId="0" applyBorder="1"/>
    <xf numFmtId="164" fontId="0" fillId="0" borderId="0" xfId="1" applyNumberFormat="1" applyFont="1" applyBorder="1"/>
    <xf numFmtId="10" fontId="0" fillId="0" borderId="25" xfId="1" applyNumberFormat="1" applyFont="1" applyFill="1" applyBorder="1"/>
    <xf numFmtId="10" fontId="0" fillId="0" borderId="25" xfId="1" applyNumberFormat="1" applyFont="1" applyBorder="1"/>
    <xf numFmtId="164" fontId="0" fillId="12" borderId="0" xfId="1" applyNumberFormat="1" applyFont="1" applyFill="1" applyBorder="1"/>
    <xf numFmtId="10" fontId="0" fillId="12" borderId="25" xfId="1" applyNumberFormat="1" applyFont="1" applyFill="1" applyBorder="1"/>
    <xf numFmtId="164" fontId="0" fillId="0" borderId="27" xfId="1" applyNumberFormat="1" applyFont="1" applyBorder="1"/>
    <xf numFmtId="10" fontId="0" fillId="0" borderId="28" xfId="1" applyNumberFormat="1" applyFont="1" applyBorder="1"/>
    <xf numFmtId="9" fontId="0" fillId="0" borderId="25" xfId="1" applyFont="1" applyBorder="1"/>
    <xf numFmtId="9" fontId="0" fillId="12" borderId="25" xfId="1" applyFont="1" applyFill="1" applyBorder="1"/>
    <xf numFmtId="9" fontId="0" fillId="0" borderId="28" xfId="1" applyFont="1" applyBorder="1"/>
    <xf numFmtId="0" fontId="0" fillId="0" borderId="25" xfId="0" applyBorder="1"/>
    <xf numFmtId="0" fontId="0" fillId="12" borderId="25" xfId="0" applyFill="1" applyBorder="1"/>
    <xf numFmtId="0" fontId="0" fillId="0" borderId="28" xfId="0" applyBorder="1"/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14" borderId="23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164" fontId="4" fillId="13" borderId="22" xfId="1" applyNumberFormat="1" applyFont="1" applyFill="1" applyBorder="1" applyAlignment="1">
      <alignment horizontal="center" vertical="center"/>
    </xf>
    <xf numFmtId="10" fontId="4" fillId="7" borderId="23" xfId="1" applyNumberFormat="1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9" fontId="15" fillId="0" borderId="23" xfId="1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4" xfId="0" applyBorder="1"/>
    <xf numFmtId="0" fontId="0" fillId="0" borderId="36" xfId="0" applyBorder="1"/>
    <xf numFmtId="0" fontId="16" fillId="9" borderId="3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/>
    <xf numFmtId="164" fontId="0" fillId="0" borderId="20" xfId="1" applyNumberFormat="1" applyFont="1" applyBorder="1" applyAlignment="1">
      <alignment horizontal="center"/>
    </xf>
    <xf numFmtId="0" fontId="23" fillId="0" borderId="36" xfId="0" applyFont="1" applyBorder="1"/>
    <xf numFmtId="164" fontId="21" fillId="13" borderId="20" xfId="1" applyNumberFormat="1" applyFont="1" applyFill="1" applyBorder="1" applyAlignment="1">
      <alignment horizontal="center"/>
    </xf>
    <xf numFmtId="164" fontId="22" fillId="17" borderId="20" xfId="1" applyNumberFormat="1" applyFont="1" applyFill="1" applyBorder="1" applyAlignment="1">
      <alignment horizontal="center"/>
    </xf>
    <xf numFmtId="164" fontId="21" fillId="13" borderId="34" xfId="0" applyNumberFormat="1" applyFont="1" applyFill="1" applyBorder="1" applyAlignment="1">
      <alignment horizontal="center"/>
    </xf>
    <xf numFmtId="164" fontId="22" fillId="17" borderId="20" xfId="0" applyNumberFormat="1" applyFont="1" applyFill="1" applyBorder="1" applyAlignment="1">
      <alignment horizontal="center"/>
    </xf>
    <xf numFmtId="164" fontId="0" fillId="0" borderId="25" xfId="1" applyNumberFormat="1" applyFont="1" applyBorder="1"/>
    <xf numFmtId="0" fontId="27" fillId="4" borderId="3" xfId="0" applyFont="1" applyFill="1" applyBorder="1" applyAlignment="1">
      <alignment vertical="top"/>
    </xf>
    <xf numFmtId="0" fontId="27" fillId="4" borderId="5" xfId="0" applyFont="1" applyFill="1" applyBorder="1" applyAlignment="1">
      <alignment vertical="top"/>
    </xf>
    <xf numFmtId="0" fontId="27" fillId="4" borderId="11" xfId="0" applyFont="1" applyFill="1" applyBorder="1" applyAlignment="1">
      <alignment vertical="top"/>
    </xf>
    <xf numFmtId="0" fontId="27" fillId="0" borderId="3" xfId="0" applyFont="1" applyBorder="1" applyAlignment="1">
      <alignment vertical="top"/>
    </xf>
    <xf numFmtId="0" fontId="27" fillId="4" borderId="3" xfId="0" applyFont="1" applyFill="1" applyBorder="1" applyAlignment="1">
      <alignment horizontal="left" vertical="top"/>
    </xf>
    <xf numFmtId="0" fontId="27" fillId="4" borderId="6" xfId="0" applyFont="1" applyFill="1" applyBorder="1" applyAlignment="1">
      <alignment vertical="top"/>
    </xf>
    <xf numFmtId="0" fontId="27" fillId="7" borderId="6" xfId="0" applyFont="1" applyFill="1" applyBorder="1" applyAlignment="1">
      <alignment vertical="top"/>
    </xf>
    <xf numFmtId="0" fontId="27" fillId="4" borderId="6" xfId="0" applyFont="1" applyFill="1" applyBorder="1" applyAlignment="1">
      <alignment horizontal="left" vertical="top"/>
    </xf>
    <xf numFmtId="0" fontId="27" fillId="0" borderId="5" xfId="0" applyFont="1" applyBorder="1" applyAlignment="1">
      <alignment vertical="top"/>
    </xf>
    <xf numFmtId="0" fontId="27" fillId="4" borderId="5" xfId="0" applyFont="1" applyFill="1" applyBorder="1" applyAlignment="1">
      <alignment horizontal="left" vertical="top"/>
    </xf>
    <xf numFmtId="0" fontId="28" fillId="0" borderId="5" xfId="0" applyFont="1" applyBorder="1" applyAlignment="1">
      <alignment vertical="top"/>
    </xf>
    <xf numFmtId="0" fontId="28" fillId="0" borderId="6" xfId="0" applyFont="1" applyBorder="1" applyAlignment="1">
      <alignment vertical="top"/>
    </xf>
    <xf numFmtId="0" fontId="28" fillId="4" borderId="6" xfId="0" applyFont="1" applyFill="1" applyBorder="1" applyAlignment="1">
      <alignment vertical="top"/>
    </xf>
    <xf numFmtId="0" fontId="28" fillId="4" borderId="3" xfId="0" applyFont="1" applyFill="1" applyBorder="1" applyAlignment="1">
      <alignment vertical="top"/>
    </xf>
    <xf numFmtId="164" fontId="29" fillId="15" borderId="0" xfId="1" applyNumberFormat="1" applyFont="1" applyFill="1" applyBorder="1" applyAlignment="1">
      <alignment horizontal="center"/>
    </xf>
    <xf numFmtId="164" fontId="29" fillId="15" borderId="0" xfId="1" applyNumberFormat="1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/>
    </xf>
    <xf numFmtId="0" fontId="2" fillId="0" borderId="34" xfId="0" applyFont="1" applyBorder="1" applyAlignment="1">
      <alignment horizontal="center" vertical="center" wrapText="1"/>
    </xf>
    <xf numFmtId="0" fontId="29" fillId="15" borderId="0" xfId="1" applyNumberFormat="1" applyFont="1" applyFill="1" applyBorder="1" applyAlignment="1">
      <alignment horizontal="center"/>
    </xf>
    <xf numFmtId="164" fontId="2" fillId="0" borderId="33" xfId="1" applyNumberFormat="1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165" fontId="32" fillId="0" borderId="20" xfId="0" applyNumberFormat="1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32" fillId="0" borderId="2" xfId="0" applyFont="1" applyBorder="1"/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4" fontId="32" fillId="0" borderId="2" xfId="0" applyNumberFormat="1" applyFont="1" applyBorder="1" applyAlignment="1">
      <alignment horizontal="center"/>
    </xf>
    <xf numFmtId="0" fontId="32" fillId="0" borderId="39" xfId="0" applyFont="1" applyBorder="1"/>
    <xf numFmtId="0" fontId="32" fillId="0" borderId="41" xfId="0" applyFont="1" applyBorder="1"/>
    <xf numFmtId="0" fontId="32" fillId="0" borderId="42" xfId="0" applyFont="1" applyBorder="1"/>
    <xf numFmtId="14" fontId="32" fillId="0" borderId="42" xfId="0" applyNumberFormat="1" applyFont="1" applyBorder="1" applyAlignment="1">
      <alignment horizontal="center"/>
    </xf>
    <xf numFmtId="164" fontId="3" fillId="0" borderId="42" xfId="1" applyNumberFormat="1" applyFont="1" applyBorder="1" applyAlignment="1">
      <alignment horizontal="center"/>
    </xf>
    <xf numFmtId="164" fontId="3" fillId="0" borderId="42" xfId="0" applyNumberFormat="1" applyFont="1" applyBorder="1" applyAlignment="1">
      <alignment horizontal="center"/>
    </xf>
    <xf numFmtId="10" fontId="3" fillId="0" borderId="42" xfId="0" applyNumberFormat="1" applyFont="1" applyBorder="1" applyAlignment="1">
      <alignment horizontal="center"/>
    </xf>
    <xf numFmtId="0" fontId="32" fillId="0" borderId="44" xfId="0" applyFont="1" applyBorder="1"/>
    <xf numFmtId="0" fontId="32" fillId="0" borderId="18" xfId="0" applyFont="1" applyBorder="1"/>
    <xf numFmtId="14" fontId="32" fillId="0" borderId="18" xfId="0" applyNumberFormat="1" applyFont="1" applyBorder="1" applyAlignment="1">
      <alignment horizontal="center"/>
    </xf>
    <xf numFmtId="164" fontId="3" fillId="0" borderId="18" xfId="1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164" fontId="33" fillId="0" borderId="18" xfId="0" applyNumberFormat="1" applyFont="1" applyBorder="1" applyAlignment="1">
      <alignment horizontal="center"/>
    </xf>
    <xf numFmtId="0" fontId="17" fillId="13" borderId="30" xfId="0" applyFont="1" applyFill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0" fillId="0" borderId="0" xfId="0" applyAlignment="1">
      <alignment horizontal="center"/>
    </xf>
    <xf numFmtId="0" fontId="32" fillId="0" borderId="34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164" fontId="32" fillId="0" borderId="45" xfId="1" applyNumberFormat="1" applyFont="1" applyBorder="1" applyAlignment="1">
      <alignment horizontal="center"/>
    </xf>
    <xf numFmtId="164" fontId="32" fillId="0" borderId="43" xfId="1" applyNumberFormat="1" applyFont="1" applyBorder="1" applyAlignment="1">
      <alignment horizontal="center"/>
    </xf>
    <xf numFmtId="0" fontId="31" fillId="0" borderId="0" xfId="0" applyFont="1"/>
    <xf numFmtId="164" fontId="37" fillId="15" borderId="0" xfId="0" applyNumberFormat="1" applyFont="1" applyFill="1" applyAlignment="1">
      <alignment horizontal="center"/>
    </xf>
    <xf numFmtId="0" fontId="37" fillId="15" borderId="0" xfId="1" applyNumberFormat="1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64" fontId="32" fillId="0" borderId="0" xfId="1" applyNumberFormat="1" applyFont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2" fillId="0" borderId="40" xfId="1" applyNumberFormat="1" applyFont="1" applyFill="1" applyBorder="1" applyAlignment="1">
      <alignment horizontal="center"/>
    </xf>
    <xf numFmtId="0" fontId="37" fillId="15" borderId="0" xfId="0" applyFont="1" applyFill="1" applyAlignment="1">
      <alignment horizontal="center"/>
    </xf>
    <xf numFmtId="9" fontId="43" fillId="0" borderId="23" xfId="1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36" fillId="15" borderId="0" xfId="0" applyFont="1" applyFill="1"/>
    <xf numFmtId="0" fontId="38" fillId="15" borderId="0" xfId="0" applyFont="1" applyFill="1"/>
    <xf numFmtId="0" fontId="39" fillId="15" borderId="0" xfId="0" applyFont="1" applyFill="1"/>
    <xf numFmtId="14" fontId="45" fillId="5" borderId="6" xfId="0" applyNumberFormat="1" applyFont="1" applyFill="1" applyBorder="1" applyAlignment="1">
      <alignment horizontal="center"/>
    </xf>
    <xf numFmtId="14" fontId="46" fillId="5" borderId="6" xfId="0" applyNumberFormat="1" applyFont="1" applyFill="1" applyBorder="1" applyAlignment="1">
      <alignment horizontal="center"/>
    </xf>
    <xf numFmtId="14" fontId="46" fillId="5" borderId="3" xfId="0" applyNumberFormat="1" applyFont="1" applyFill="1" applyBorder="1" applyAlignment="1">
      <alignment horizontal="center"/>
    </xf>
    <xf numFmtId="14" fontId="46" fillId="5" borderId="5" xfId="0" applyNumberFormat="1" applyFont="1" applyFill="1" applyBorder="1" applyAlignment="1">
      <alignment horizontal="center"/>
    </xf>
    <xf numFmtId="14" fontId="45" fillId="5" borderId="3" xfId="0" applyNumberFormat="1" applyFont="1" applyFill="1" applyBorder="1" applyAlignment="1">
      <alignment horizontal="center"/>
    </xf>
    <xf numFmtId="0" fontId="20" fillId="16" borderId="29" xfId="0" applyFont="1" applyFill="1" applyBorder="1"/>
    <xf numFmtId="0" fontId="20" fillId="16" borderId="30" xfId="0" applyFont="1" applyFill="1" applyBorder="1"/>
    <xf numFmtId="0" fontId="20" fillId="16" borderId="31" xfId="0" applyFont="1" applyFill="1" applyBorder="1"/>
    <xf numFmtId="0" fontId="14" fillId="0" borderId="30" xfId="0" applyFont="1" applyBorder="1"/>
    <xf numFmtId="0" fontId="12" fillId="9" borderId="30" xfId="0" applyFont="1" applyFill="1" applyBorder="1"/>
    <xf numFmtId="0" fontId="3" fillId="18" borderId="0" xfId="0" applyFont="1" applyFill="1" applyAlignment="1">
      <alignment horizontal="center"/>
    </xf>
    <xf numFmtId="164" fontId="33" fillId="18" borderId="18" xfId="0" applyNumberFormat="1" applyFont="1" applyFill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164" fontId="31" fillId="0" borderId="48" xfId="1" applyNumberFormat="1" applyFont="1" applyBorder="1" applyAlignment="1">
      <alignment horizontal="center"/>
    </xf>
    <xf numFmtId="164" fontId="31" fillId="0" borderId="47" xfId="1" applyNumberFormat="1" applyFont="1" applyBorder="1" applyAlignment="1">
      <alignment horizontal="center"/>
    </xf>
    <xf numFmtId="0" fontId="31" fillId="0" borderId="39" xfId="0" applyFont="1" applyBorder="1" applyAlignment="1">
      <alignment horizontal="center"/>
    </xf>
    <xf numFmtId="164" fontId="31" fillId="0" borderId="2" xfId="1" applyNumberFormat="1" applyFont="1" applyBorder="1" applyAlignment="1">
      <alignment horizontal="center"/>
    </xf>
    <xf numFmtId="164" fontId="31" fillId="0" borderId="40" xfId="1" applyNumberFormat="1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164" fontId="31" fillId="0" borderId="42" xfId="1" applyNumberFormat="1" applyFont="1" applyBorder="1" applyAlignment="1">
      <alignment horizontal="center"/>
    </xf>
    <xf numFmtId="164" fontId="31" fillId="0" borderId="43" xfId="1" applyNumberFormat="1" applyFont="1" applyBorder="1" applyAlignment="1">
      <alignment horizontal="center"/>
    </xf>
    <xf numFmtId="166" fontId="31" fillId="0" borderId="47" xfId="0" applyNumberFormat="1" applyFont="1" applyBorder="1" applyAlignment="1">
      <alignment horizontal="center"/>
    </xf>
    <xf numFmtId="166" fontId="31" fillId="0" borderId="40" xfId="0" applyNumberFormat="1" applyFont="1" applyBorder="1" applyAlignment="1">
      <alignment horizontal="center"/>
    </xf>
    <xf numFmtId="166" fontId="31" fillId="0" borderId="43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41" fillId="0" borderId="0" xfId="0" applyFont="1" applyAlignment="1">
      <alignment horizontal="center"/>
    </xf>
    <xf numFmtId="164" fontId="21" fillId="0" borderId="0" xfId="1" applyNumberFormat="1" applyFont="1" applyFill="1" applyBorder="1" applyAlignment="1">
      <alignment horizontal="center"/>
    </xf>
    <xf numFmtId="164" fontId="22" fillId="0" borderId="0" xfId="1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4" fontId="2" fillId="0" borderId="32" xfId="1" applyNumberFormat="1" applyFont="1" applyBorder="1" applyAlignment="1">
      <alignment horizontal="center"/>
    </xf>
    <xf numFmtId="164" fontId="3" fillId="0" borderId="38" xfId="1" applyNumberFormat="1" applyFont="1" applyBorder="1" applyAlignment="1">
      <alignment horizontal="center"/>
    </xf>
    <xf numFmtId="164" fontId="2" fillId="0" borderId="38" xfId="1" applyNumberFormat="1" applyFont="1" applyBorder="1" applyAlignment="1">
      <alignment horizontal="center"/>
    </xf>
    <xf numFmtId="164" fontId="3" fillId="0" borderId="33" xfId="1" applyNumberFormat="1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34" fillId="0" borderId="31" xfId="0" applyFont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26" fillId="13" borderId="29" xfId="0" applyFont="1" applyFill="1" applyBorder="1" applyAlignment="1">
      <alignment horizontal="center"/>
    </xf>
    <xf numFmtId="0" fontId="26" fillId="13" borderId="30" xfId="0" applyFont="1" applyFill="1" applyBorder="1" applyAlignment="1">
      <alignment horizontal="center"/>
    </xf>
    <xf numFmtId="0" fontId="26" fillId="13" borderId="31" xfId="0" applyFont="1" applyFill="1" applyBorder="1" applyAlignment="1">
      <alignment horizontal="center"/>
    </xf>
    <xf numFmtId="0" fontId="42" fillId="15" borderId="29" xfId="0" applyFont="1" applyFill="1" applyBorder="1" applyAlignment="1">
      <alignment horizontal="center"/>
    </xf>
    <xf numFmtId="0" fontId="42" fillId="15" borderId="31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41" fillId="15" borderId="29" xfId="0" applyFont="1" applyFill="1" applyBorder="1" applyAlignment="1">
      <alignment horizontal="center"/>
    </xf>
    <xf numFmtId="0" fontId="41" fillId="15" borderId="3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4"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m/d/yyyy"/>
      <fill>
        <patternFill patternType="solid">
          <fgColor rgb="FF000000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649"/>
        <name val="Verdana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medium">
          <color indexed="64"/>
        </right>
      </border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in Sharkey" refreshedDate="45847.402061921297" createdVersion="8" refreshedVersion="8" minRefreshableVersion="3" recordCount="69" xr:uid="{D69EF3A2-5219-4F08-829C-186610D281DB}">
  <cacheSource type="worksheet">
    <worksheetSource name="Table2"/>
  </cacheSource>
  <cacheFields count="37">
    <cacheField name="TD Linx #" numFmtId="0">
      <sharedItems containsSemiMixedTypes="0" containsString="0" containsNumber="1" containsInteger="1" minValue="6954" maxValue="7844484"/>
    </cacheField>
    <cacheField name="Account Name" numFmtId="0">
      <sharedItems count="68">
        <s v="GARYS"/>
        <s v="FINE WINE &amp; SPIRITS"/>
        <s v="PAY LESS LIQUOR &amp; DELI"/>
        <s v="LIQUOR MART"/>
        <s v="RAINBOW DELI &amp; DISCOUNT LIQUORS"/>
        <s v="QUICK STOP WINE &amp; LIQUOR"/>
        <s v="CIRCLE LIQUORS"/>
        <s v="PARK AVENUE LIQUORS"/>
        <s v="MANOR BEVERAGES"/>
        <s v="SHOPRITE LIQUORS (Northvale)"/>
        <s v="WALLINGTON LIQUORS"/>
        <s v="MAIN STREET LIQUOR"/>
        <s v="WINE SHOP"/>
        <s v="SUSSEX DISCOUNT LIQUORS"/>
        <s v="SAM ON THE ROCKS"/>
        <s v="HIGH SPIRITS (Exquisite W&amp;L?)"/>
        <s v="LUCKY 7 WINE &amp; LIQUORS"/>
        <s v="WIDES DELI &amp; LIQUORS"/>
        <s v="RIDGEFIELD LIQUOR"/>
        <s v="FIGLARS LIQUOR STORE"/>
        <s v="FOOD MART LIQUOR"/>
        <s v="ARCHIES LIQUOR"/>
        <s v="SHANIK LIQUORS"/>
        <s v="MARINAS WINE &amp; SPIRIT"/>
        <s v="SHOPRITE LIQUORS (Clifton)"/>
        <s v="BUY RITE"/>
        <s v="SHOPPERS VINEYARD"/>
        <s v="BOTTLE KING"/>
        <s v="PETES LIQUORS"/>
        <s v="ALTIERO LIQUORS"/>
        <s v="THE LIQUOR SHOP"/>
        <s v="SUPER WINE WAREHOUSE"/>
        <s v="FARMBOY SUPER FRESH LIQUOR"/>
        <s v="CLIFTON DISCOUNT LIQUORS"/>
        <s v="CLIFTON COMMONS SPIRITS &amp; WINES"/>
        <s v="SUPER CELLARS - Westwood Wines &amp; Liquor"/>
        <s v="SHOPRITE LIQUORS (Paramus)"/>
        <s v="SHOPRITE LIQUORS (Englewood)"/>
        <s v="STEW LEONARDS"/>
        <s v="STEW LEONARDS WINES &amp; SPIRITS"/>
        <s v="JOES LIQUORS"/>
        <s v="DISCOUNT LIQUOR OUTLET"/>
        <s v="WINE COUNTRY"/>
        <s v="FERRAROS LIQUOR"/>
        <s v="BELMONT LIQUORS"/>
        <s v="MONTVALE WINE &amp; SPIRITS"/>
        <s v="GLEN ROCK WINE &amp; LIQUORS"/>
        <s v="SUNNYS LIQUORS"/>
        <s v="SANDYS WINE &amp; SPIRITS"/>
        <s v="GEORGES WINE &amp; SPIRITS"/>
        <s v="MEADOWLANDS WINE &amp; LIQUOR"/>
        <s v="JOHNNYS LIQUORS"/>
        <s v="ECONOMY LIQUORS"/>
        <s v="REGALADO LIQUORS"/>
        <s v="GARDEN LIQUORS &amp; WINES"/>
        <s v="LINCOLN PARK FINE WINE &amp; SPIRITS"/>
        <s v="LIQUOR GALLERY"/>
        <s v="B &amp; B LIQUORS"/>
        <s v="HY SPIRIT WINE &amp; LIQUOR STORE"/>
        <s v="DORTA LIQUORS"/>
        <s v="LUNA LIQUORS"/>
        <s v="C TOWN LIQUORS"/>
        <s v="C TOWN LIQUOR"/>
        <s v="US 1 WINE &amp; LIQUOR"/>
        <s v="BOTTLE LIQUOR STORE"/>
        <s v="BEVERAGE BARN"/>
        <s v="SHOPRITE LIQUORS"/>
        <s v="BERMUDA LIQUORS"/>
      </sharedItems>
    </cacheField>
    <cacheField name="Address" numFmtId="0">
      <sharedItems/>
    </cacheField>
    <cacheField name="City" numFmtId="0">
      <sharedItems/>
    </cacheField>
    <cacheField name="Column1" numFmtId="0">
      <sharedItems/>
    </cacheField>
    <cacheField name="State" numFmtId="0">
      <sharedItems/>
    </cacheField>
    <cacheField name="Zip" numFmtId="0">
      <sharedItems containsSemiMixedTypes="0" containsString="0" containsNumber="1" containsInteger="1" minValue="7011" maxValue="7885"/>
    </cacheField>
    <cacheField name="Segmentation" numFmtId="0">
      <sharedItems/>
    </cacheField>
    <cacheField name="RESET DATE" numFmtId="14">
      <sharedItems containsSemiMixedTypes="0" containsNonDate="0" containsDate="1" containsString="0" minDate="2025-01-07T00:00:00" maxDate="2025-06-13T00:00:00"/>
    </cacheField>
    <cacheField name="Before PSA? (in Dropbox)" numFmtId="0">
      <sharedItems/>
    </cacheField>
    <cacheField name="After PSA? (in Dropbox)" numFmtId="0">
      <sharedItems/>
    </cacheField>
    <cacheField name="2024 Cases Sold" numFmtId="0">
      <sharedItems containsString="0" containsBlank="1" containsNumber="1" containsInteger="1" minValue="486" maxValue="19546"/>
    </cacheField>
    <cacheField name="2025 Cases Sold" numFmtId="0">
      <sharedItems containsString="0" containsBlank="1" containsNumber="1" containsInteger="1" minValue="521" maxValue="17902"/>
    </cacheField>
    <cacheField name="% Change" numFmtId="164">
      <sharedItems containsString="0" containsBlank="1" containsNumber="1" minValue="-0.34876773711725167" maxValue="0.13868613138686131"/>
    </cacheField>
    <cacheField name="2025 Sales Trend" numFmtId="10">
      <sharedItems containsString="0" containsBlank="1" containsNumber="1" minValue="-8.4000000000000005E-2" maxValue="-6.0999999999999999E-2"/>
    </cacheField>
    <cacheField name="Placement Count 2024" numFmtId="0">
      <sharedItems containsString="0" containsBlank="1" containsNumber="1" containsInteger="1" minValue="24" maxValue="677"/>
    </cacheField>
    <cacheField name="Placement Count 2025" numFmtId="0">
      <sharedItems containsString="0" containsBlank="1" containsNumber="1" containsInteger="1" minValue="25" maxValue="699"/>
    </cacheField>
    <cacheField name="Placement Count Diff" numFmtId="0">
      <sharedItems containsString="0" containsBlank="1" containsNumber="1" containsInteger="1" minValue="-68" maxValue="100"/>
    </cacheField>
    <cacheField name="2024 Cases Sold2" numFmtId="0">
      <sharedItems containsString="0" containsBlank="1" containsNumber="1" containsInteger="1" minValue="231" maxValue="10843"/>
    </cacheField>
    <cacheField name="2025 Cases Sold3" numFmtId="0">
      <sharedItems containsString="0" containsBlank="1" containsNumber="1" containsInteger="1" minValue="162" maxValue="10302"/>
    </cacheField>
    <cacheField name="% Change4" numFmtId="9">
      <sharedItems containsString="0" containsBlank="1" containsNumber="1" minValue="-0.35741444866920152" maxValue="0.25"/>
    </cacheField>
    <cacheField name="Placement Count 20245" numFmtId="0">
      <sharedItems containsString="0" containsBlank="1" containsNumber="1" containsInteger="1" minValue="18" maxValue="60"/>
    </cacheField>
    <cacheField name="Placement Count 20256" numFmtId="0">
      <sharedItems containsString="0" containsBlank="1" containsNumber="1" containsInteger="1" minValue="20" maxValue="65"/>
    </cacheField>
    <cacheField name="Placement Count Diff7" numFmtId="0">
      <sharedItems containsString="0" containsBlank="1" containsNumber="1" containsInteger="1" minValue="-5" maxValue="10"/>
    </cacheField>
    <cacheField name="2024 Cases Sold8" numFmtId="0">
      <sharedItems containsString="0" containsBlank="1" containsNumber="1" containsInteger="1" minValue="817" maxValue="7208"/>
    </cacheField>
    <cacheField name="2025 Cases Sold9" numFmtId="0">
      <sharedItems containsString="0" containsBlank="1" containsNumber="1" containsInteger="1" minValue="601" maxValue="6981"/>
    </cacheField>
    <cacheField name="% Change10" numFmtId="164">
      <sharedItems containsString="0" containsBlank="1" containsNumber="1" minValue="-0.3139269406392694" maxValue="0.20077220077220076"/>
    </cacheField>
    <cacheField name="2025 Sales Trend11" numFmtId="10">
      <sharedItems containsNonDate="0" containsString="0" containsBlank="1"/>
    </cacheField>
    <cacheField name="Placement Count 202412" numFmtId="0">
      <sharedItems containsString="0" containsBlank="1" containsNumber="1" containsInteger="1" minValue="73" maxValue="428"/>
    </cacheField>
    <cacheField name="Placement Count 202513" numFmtId="0">
      <sharedItems containsString="0" containsBlank="1" containsNumber="1" containsInteger="1" minValue="60" maxValue="435"/>
    </cacheField>
    <cacheField name="Placement Count Diff14" numFmtId="0">
      <sharedItems containsNonDate="0" containsString="0" containsBlank="1"/>
    </cacheField>
    <cacheField name="2024 Cases Sold15" numFmtId="0">
      <sharedItems containsString="0" containsBlank="1" containsNumber="1" containsInteger="1" minValue="244" maxValue="1954"/>
    </cacheField>
    <cacheField name="2025 Cases Sold16" numFmtId="0">
      <sharedItems containsString="0" containsBlank="1" containsNumber="1" containsInteger="1" minValue="162" maxValue="1781"/>
    </cacheField>
    <cacheField name="% Change17" numFmtId="9">
      <sharedItems containsString="0" containsBlank="1" containsNumber="1" minValue="-0.37383177570093457" maxValue="0.21286370597243492"/>
    </cacheField>
    <cacheField name="Placement Count 202418" numFmtId="0">
      <sharedItems containsString="0" containsBlank="1" containsNumber="1" containsInteger="1" minValue="14" maxValue="47"/>
    </cacheField>
    <cacheField name="Placement Count 202519" numFmtId="0">
      <sharedItems containsString="0" containsBlank="1" containsNumber="1" containsInteger="1" minValue="20" maxValue="43"/>
    </cacheField>
    <cacheField name="Placement Count Diff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7564593"/>
    <x v="0"/>
    <s v="67 VER VALEN ST"/>
    <s v="CLOSTER"/>
    <s v="67 VER VALEN ST, CLOSTER"/>
    <s v="NEW JERSEY"/>
    <n v="7624"/>
    <s v="B"/>
    <d v="2025-01-07T00:00:00"/>
    <s v="Yes"/>
    <s v="Yes"/>
    <n v="5001"/>
    <n v="4613"/>
    <n v="-7.7584483103379329E-2"/>
    <n v="-7.8E-2"/>
    <n v="303"/>
    <n v="403"/>
    <n v="100"/>
    <n v="1190"/>
    <n v="1022"/>
    <n v="-0.14117647058823529"/>
    <n v="25"/>
    <n v="32"/>
    <n v="7"/>
    <n v="1919"/>
    <n v="1997"/>
    <n v="4.064616988014591E-2"/>
    <m/>
    <n v="190"/>
    <n v="254"/>
    <m/>
    <n v="374"/>
    <n v="440"/>
    <n v="0.17647058823529413"/>
    <n v="14"/>
    <n v="25"/>
    <m/>
  </r>
  <r>
    <n v="883428"/>
    <x v="1"/>
    <s v="14 RIVEREDGE RD"/>
    <s v="TENAFLY"/>
    <s v="14 RIVEREDGE RD, TENAFLY"/>
    <s v="NEW JERSEY"/>
    <n v="7670"/>
    <s v="B"/>
    <d v="2025-01-13T00:00:00"/>
    <s v="Yes"/>
    <s v="Yes"/>
    <n v="4203"/>
    <n v="3824"/>
    <n v="-9.0173685462764691E-2"/>
    <n v="-7.3999999999999996E-2"/>
    <n v="176"/>
    <n v="192"/>
    <n v="16"/>
    <n v="1673"/>
    <n v="1818"/>
    <n v="8.6670651524208012E-2"/>
    <n v="31"/>
    <n v="39"/>
    <n v="8"/>
    <n v="1741"/>
    <n v="1592"/>
    <n v="-8.5582998276852382E-2"/>
    <m/>
    <n v="145"/>
    <n v="151"/>
    <m/>
    <n v="641"/>
    <n v="673"/>
    <n v="4.9921996879875197E-2"/>
    <n v="27"/>
    <n v="31"/>
    <m/>
  </r>
  <r>
    <n v="883818"/>
    <x v="2"/>
    <s v="251 ELM ST"/>
    <s v="ELMWOOD PARK"/>
    <s v="251 ELM ST, ELMWOOD PARK"/>
    <s v="NEW JERSEY"/>
    <n v="7407"/>
    <s v="C"/>
    <d v="2025-01-20T00:00:00"/>
    <s v="Yes"/>
    <s v="Yes"/>
    <n v="2060"/>
    <n v="1969"/>
    <n v="-4.4174757281553401E-2"/>
    <n v="-7.3999999999999996E-2"/>
    <n v="109"/>
    <n v="113"/>
    <n v="4"/>
    <n v="950"/>
    <n v="745"/>
    <n v="-0.21578947368421053"/>
    <n v="25"/>
    <n v="28"/>
    <n v="3"/>
    <n v="890"/>
    <n v="980"/>
    <n v="0.10112359550561797"/>
    <m/>
    <n v="87"/>
    <n v="97"/>
    <m/>
    <n v="366"/>
    <n v="340"/>
    <n v="-7.1038251366120214E-2"/>
    <n v="25"/>
    <n v="25"/>
    <m/>
  </r>
  <r>
    <n v="1408721"/>
    <x v="3"/>
    <s v="126 RIDGE RD"/>
    <s v="NORTH ARLINGTON"/>
    <s v="126 RIDGE RD, NORTH ARLINGTON"/>
    <s v="NEW JERSEY"/>
    <n v="7031"/>
    <s v="C"/>
    <d v="2025-01-23T00:00:00"/>
    <s v="Yes"/>
    <s v="Yes"/>
    <n v="2587"/>
    <n v="2501"/>
    <n v="-3.3243138770776962E-2"/>
    <n v="-7.3999999999999996E-2"/>
    <n v="280"/>
    <n v="272"/>
    <n v="-8"/>
    <n v="893"/>
    <n v="883"/>
    <n v="-1.1198208286674132E-2"/>
    <n v="42"/>
    <n v="38"/>
    <n v="-4"/>
    <n v="1292"/>
    <n v="1162"/>
    <n v="-0.10061919504643962"/>
    <m/>
    <n v="232"/>
    <n v="215"/>
    <m/>
    <n v="407"/>
    <n v="382"/>
    <n v="-6.1425061425061427E-2"/>
    <n v="36"/>
    <n v="34"/>
    <m/>
  </r>
  <r>
    <n v="883360"/>
    <x v="4"/>
    <s v="292 LAKEVIEW AVE"/>
    <s v="CLIFTON"/>
    <s v="292 LAKEVIEW AVE, CLIFTON"/>
    <s v="NEW JERSEY"/>
    <n v="7011"/>
    <s v="B"/>
    <d v="2025-01-28T00:00:00"/>
    <s v="Yes"/>
    <s v="Yes"/>
    <n v="6895"/>
    <n v="6900"/>
    <n v="7.2516316171138508E-4"/>
    <n v="-7.3999999999999996E-2"/>
    <n v="306"/>
    <n v="298"/>
    <n v="-8"/>
    <n v="3926"/>
    <n v="3876"/>
    <n v="-1.2735608762098829E-2"/>
    <n v="50"/>
    <n v="54"/>
    <n v="4"/>
    <n v="3384"/>
    <n v="3156"/>
    <n v="-6.7375886524822695E-2"/>
    <m/>
    <n v="234"/>
    <n v="233"/>
    <m/>
    <n v="1954"/>
    <n v="1781"/>
    <n v="-8.8536335721596721E-2"/>
    <n v="47"/>
    <n v="43"/>
    <m/>
  </r>
  <r>
    <n v="925590"/>
    <x v="5"/>
    <s v="83 GODWIN AVE"/>
    <s v="RIDGEWOOD"/>
    <s v="83 GODWIN AVE, RIDGEWOOD"/>
    <s v="NEW JERSEY"/>
    <n v="7450"/>
    <s v="C"/>
    <d v="2025-01-30T00:00:00"/>
    <s v="Yes"/>
    <s v="Yes"/>
    <n v="1903"/>
    <n v="1477"/>
    <n v="-0.22385706778770362"/>
    <n v="-6.0999999999999999E-2"/>
    <n v="247"/>
    <n v="214"/>
    <n v="-33"/>
    <n v="789"/>
    <n v="507"/>
    <n v="-0.35741444866920152"/>
    <n v="32"/>
    <n v="27"/>
    <n v="-5"/>
    <n v="827"/>
    <n v="751"/>
    <n v="-9.1898428053204348E-2"/>
    <m/>
    <n v="185"/>
    <n v="168"/>
    <m/>
    <n v="338"/>
    <n v="267"/>
    <n v="-0.21005917159763313"/>
    <n v="25"/>
    <n v="24"/>
    <m/>
  </r>
  <r>
    <n v="2031047"/>
    <x v="6"/>
    <s v="1 S MAIN ST STE 1"/>
    <s v="LODI"/>
    <s v="1 S MAIN ST STE 1, LODI"/>
    <s v="NEW JERSEY"/>
    <n v="7644"/>
    <s v="C"/>
    <d v="2025-03-04T00:00:00"/>
    <s v="Yes"/>
    <s v="Yes"/>
    <n v="1339"/>
    <n v="872"/>
    <n v="-0.34876773711725167"/>
    <n v="-8.1000000000000003E-2"/>
    <n v="191"/>
    <n v="123"/>
    <n v="-68"/>
    <n v="750"/>
    <n v="584"/>
    <n v="-0.22133333333333333"/>
    <n v="42"/>
    <n v="38"/>
    <n v="-4"/>
    <n v="876"/>
    <n v="601"/>
    <n v="-0.3139269406392694"/>
    <m/>
    <n v="156"/>
    <n v="89"/>
    <m/>
    <n v="505"/>
    <n v="426"/>
    <n v="-0.15643564356435644"/>
    <n v="38"/>
    <n v="32"/>
    <m/>
  </r>
  <r>
    <n v="5101071"/>
    <x v="7"/>
    <s v="307 PARK AVE"/>
    <s v="PATERSON"/>
    <s v="307 PARK AVE, PATERSON"/>
    <s v="NEW JERSEY"/>
    <n v="7504"/>
    <s v="B"/>
    <d v="2025-02-25T00:00:00"/>
    <s v="Yes"/>
    <s v="Yes"/>
    <n v="2374"/>
    <n v="2328"/>
    <n v="-1.9376579612468407E-2"/>
    <n v="-6.9000000000000006E-2"/>
    <n v="87"/>
    <n v="82"/>
    <n v="-5"/>
    <n v="1818"/>
    <n v="1844"/>
    <n v="1.4301430143014302E-2"/>
    <n v="28"/>
    <n v="26"/>
    <n v="-2"/>
    <n v="1451"/>
    <n v="1551"/>
    <n v="6.8917987594762239E-2"/>
    <m/>
    <n v="73"/>
    <n v="60"/>
    <m/>
    <n v="1081"/>
    <n v="1186"/>
    <n v="9.7132284921369105E-2"/>
    <n v="25"/>
    <n v="23"/>
    <m/>
  </r>
  <r>
    <n v="765916"/>
    <x v="8"/>
    <s v="430 BROAD AVE"/>
    <s v="LEONIA"/>
    <s v="430 BROAD AVE, LEONIA"/>
    <s v="NEW JERSEY"/>
    <n v="7605"/>
    <s v="B"/>
    <d v="2025-03-03T00:00:00"/>
    <s v="Yes"/>
    <s v="Yes"/>
    <n v="1260"/>
    <n v="1219"/>
    <n v="-3.2539682539682542E-2"/>
    <n v="-6.0999999999999999E-2"/>
    <n v="114"/>
    <n v="136"/>
    <n v="22"/>
    <n v="379"/>
    <n v="430"/>
    <n v="0.13456464379947231"/>
    <n v="22"/>
    <n v="30"/>
    <n v="8"/>
    <n v="817"/>
    <n v="861"/>
    <n v="5.3855569155446759E-2"/>
    <m/>
    <n v="90"/>
    <n v="113"/>
    <m/>
    <n v="244"/>
    <n v="270"/>
    <n v="0.10655737704918032"/>
    <n v="19"/>
    <n v="26"/>
    <m/>
  </r>
  <r>
    <n v="1873673"/>
    <x v="9"/>
    <s v="254 LIVINGSTON ST STE F"/>
    <s v="NORTHVALE"/>
    <s v="254 LIVINGSTON ST STE F, NORTHVALE"/>
    <s v="NEW JERSEY"/>
    <n v="7647"/>
    <s v="A"/>
    <d v="2025-03-10T00:00:00"/>
    <s v="Yes"/>
    <s v="Yes"/>
    <n v="10155"/>
    <n v="8847"/>
    <n v="-0.12880354505169866"/>
    <n v="-6.2E-2"/>
    <n v="466"/>
    <n v="467"/>
    <n v="1"/>
    <n v="1806"/>
    <n v="1456"/>
    <n v="-0.19379844961240311"/>
    <n v="33"/>
    <n v="32"/>
    <n v="-1"/>
    <n v="7208"/>
    <n v="6981"/>
    <n v="-3.1492785793562711E-2"/>
    <m/>
    <n v="428"/>
    <n v="435"/>
    <m/>
    <n v="1173"/>
    <n v="1034"/>
    <n v="-0.1184995737425405"/>
    <n v="31"/>
    <n v="32"/>
    <m/>
  </r>
  <r>
    <n v="7514143"/>
    <x v="10"/>
    <s v="168 MAIN AVE"/>
    <s v="WALLINGTON"/>
    <s v="168 MAIN AVE, WALLINGTON"/>
    <s v="NEW JERSEY"/>
    <n v="7057"/>
    <s v="C"/>
    <d v="2025-03-12T00:00:00"/>
    <s v="No"/>
    <s v="Yes"/>
    <m/>
    <m/>
    <m/>
    <m/>
    <m/>
    <m/>
    <m/>
    <m/>
    <m/>
    <m/>
    <m/>
    <m/>
    <m/>
    <m/>
    <m/>
    <m/>
    <m/>
    <m/>
    <m/>
    <m/>
    <m/>
    <m/>
    <m/>
    <m/>
    <m/>
    <m/>
  </r>
  <r>
    <n v="1457427"/>
    <x v="11"/>
    <s v="340 S MAIN ST"/>
    <s v="WHARTON"/>
    <s v="340 S MAIN ST, WHARTON"/>
    <s v="NEW JERSEY"/>
    <n v="7885"/>
    <s v="C"/>
    <d v="2025-02-27T00:00:00"/>
    <s v="Yes"/>
    <s v="Yes"/>
    <n v="2055"/>
    <n v="2340"/>
    <n v="0.13868613138686131"/>
    <n v="-7.5999999999999998E-2"/>
    <n v="171"/>
    <n v="184"/>
    <n v="13"/>
    <n v="1075"/>
    <n v="1190"/>
    <n v="0.10697674418604651"/>
    <n v="38"/>
    <n v="43"/>
    <n v="5"/>
    <n v="1295"/>
    <n v="1555"/>
    <n v="0.20077220077220076"/>
    <m/>
    <n v="164"/>
    <n v="167"/>
    <m/>
    <n v="653"/>
    <n v="792"/>
    <n v="0.21286370597243492"/>
    <n v="37"/>
    <n v="41"/>
    <m/>
  </r>
  <r>
    <n v="7611598"/>
    <x v="12"/>
    <s v="434 HACKENSACK ST"/>
    <s v="CARLSTADT"/>
    <s v="434 HACKENSACK ST, CARLSTADT"/>
    <s v="NEW JERSEY"/>
    <n v="7072"/>
    <s v="C"/>
    <d v="2025-03-25T00:00:00"/>
    <s v="Yes"/>
    <s v="Yes"/>
    <n v="1144"/>
    <n v="1026"/>
    <n v="-0.10314685314685315"/>
    <n v="-7.1999999999999995E-2"/>
    <n v="221"/>
    <n v="215"/>
    <n v="-6"/>
    <n v="321"/>
    <n v="273"/>
    <n v="-0.14953271028037382"/>
    <n v="31"/>
    <n v="40"/>
    <n v="9"/>
    <n v="1064"/>
    <n v="925"/>
    <n v="-0.13063909774436092"/>
    <m/>
    <n v="205"/>
    <n v="202"/>
    <m/>
    <n v="321"/>
    <n v="201"/>
    <n v="-0.37383177570093457"/>
    <n v="31"/>
    <n v="37"/>
    <m/>
  </r>
  <r>
    <n v="7335402"/>
    <x v="13"/>
    <s v="3235 STATE RT 94"/>
    <s v="FRANKLIN"/>
    <s v="3235 STATE RT 94, FRANKLIN"/>
    <s v="NEW JERSEY"/>
    <n v="7416"/>
    <s v="C"/>
    <d v="2025-03-31T00:00:00"/>
    <s v="Yes"/>
    <s v="Yes"/>
    <n v="2564"/>
    <n v="2133"/>
    <n v="-0.16809672386895474"/>
    <n v="-6.3E-2"/>
    <n v="257"/>
    <n v="257"/>
    <n v="0"/>
    <n v="252"/>
    <n v="162"/>
    <n v="-0.35714285714285715"/>
    <n v="25"/>
    <n v="20"/>
    <n v="-5"/>
    <n v="2564"/>
    <n v="2133"/>
    <n v="-0.16809672386895474"/>
    <m/>
    <n v="257"/>
    <n v="257"/>
    <m/>
    <n v="252"/>
    <n v="162"/>
    <n v="-0.35714285714285715"/>
    <n v="25"/>
    <n v="20"/>
    <m/>
  </r>
  <r>
    <n v="3759473"/>
    <x v="14"/>
    <s v="101 NEWARK POMPTON TPK"/>
    <s v="LITTLE FALLS"/>
    <s v="101 NEWARK POMPTON TPK, LITTLE FALLS"/>
    <s v="NEW JERSEY"/>
    <n v="7424"/>
    <s v="C"/>
    <d v="2025-03-18T00:00:00"/>
    <s v="No"/>
    <s v="Yes"/>
    <m/>
    <m/>
    <m/>
    <m/>
    <m/>
    <m/>
    <m/>
    <m/>
    <m/>
    <m/>
    <m/>
    <m/>
    <m/>
    <m/>
    <m/>
    <m/>
    <m/>
    <m/>
    <m/>
    <m/>
    <m/>
    <m/>
    <m/>
    <m/>
    <m/>
    <m/>
  </r>
  <r>
    <n v="1872531"/>
    <x v="15"/>
    <s v="215 MAIN ST"/>
    <s v="RIDGEFIELD PARK"/>
    <s v="215 MAIN ST, RIDGEFIELD PARK"/>
    <s v="NEW JERSEY"/>
    <n v="7660"/>
    <s v="A"/>
    <d v="2025-04-08T00:00:00"/>
    <s v="Yes"/>
    <s v="Yes"/>
    <n v="4675"/>
    <n v="4420"/>
    <n v="-5.4545454545454543E-2"/>
    <n v="-7.9000000000000001E-2"/>
    <n v="265"/>
    <n v="279"/>
    <n v="14"/>
    <n v="1970"/>
    <n v="1958"/>
    <n v="-6.0913705583756344E-3"/>
    <n v="45"/>
    <n v="45"/>
    <n v="0"/>
    <m/>
    <m/>
    <m/>
    <m/>
    <m/>
    <m/>
    <m/>
    <m/>
    <m/>
    <m/>
    <m/>
    <m/>
    <m/>
  </r>
  <r>
    <n v="951582"/>
    <x v="16"/>
    <s v="77 RIVER RD"/>
    <s v="NORTH ARLINGTON"/>
    <s v="77 RIVER RD, NORTH ARLINGTON"/>
    <s v="NEW JERSEY"/>
    <n v="7031"/>
    <s v="A"/>
    <d v="2025-04-09T00:00:00"/>
    <s v="Yes"/>
    <s v="Yes"/>
    <n v="5134"/>
    <n v="5271"/>
    <n v="2.6684846123880016E-2"/>
    <n v="-7.9000000000000001E-2"/>
    <n v="272"/>
    <n v="307"/>
    <n v="35"/>
    <n v="1469"/>
    <n v="1549"/>
    <n v="5.445881552076242E-2"/>
    <n v="39"/>
    <n v="45"/>
    <n v="6"/>
    <m/>
    <m/>
    <m/>
    <m/>
    <m/>
    <m/>
    <m/>
    <m/>
    <m/>
    <m/>
    <m/>
    <m/>
    <m/>
  </r>
  <r>
    <n v="7523110"/>
    <x v="17"/>
    <s v="85 CENTRAL AVE"/>
    <s v="RIDGEFIELD PARK"/>
    <s v="85 CENTRAL AVE, RIDGEFIELD PARK"/>
    <s v="NEW JERSEY"/>
    <n v="7660"/>
    <s v="C"/>
    <d v="2025-04-09T00:00:00"/>
    <s v="Yes"/>
    <s v="Yes"/>
    <n v="611"/>
    <n v="684"/>
    <n v="0.11947626841243862"/>
    <n v="-7.9000000000000001E-2"/>
    <n v="24"/>
    <n v="25"/>
    <n v="1"/>
    <n v="332"/>
    <n v="415"/>
    <n v="0.25"/>
    <n v="24"/>
    <n v="25"/>
    <n v="1"/>
    <m/>
    <m/>
    <m/>
    <m/>
    <m/>
    <m/>
    <m/>
    <m/>
    <m/>
    <m/>
    <m/>
    <m/>
    <m/>
  </r>
  <r>
    <n v="7335895"/>
    <x v="18"/>
    <s v="520 SHALER BLVD"/>
    <s v="RIDGEFIELD"/>
    <s v="520 SHALER BLVD, RIDGEFIELD"/>
    <s v="NEW JERSEY"/>
    <n v="7657"/>
    <s v="B"/>
    <d v="2025-04-10T00:00:00"/>
    <s v="Yes"/>
    <s v="Yes"/>
    <n v="1352"/>
    <n v="1334"/>
    <n v="-1.3313609467455622E-2"/>
    <n v="-7.9000000000000001E-2"/>
    <n v="127"/>
    <n v="134"/>
    <n v="7"/>
    <n v="532"/>
    <n v="531"/>
    <n v="-1.8796992481203006E-3"/>
    <n v="19"/>
    <n v="27"/>
    <n v="8"/>
    <m/>
    <m/>
    <m/>
    <m/>
    <m/>
    <m/>
    <m/>
    <m/>
    <m/>
    <m/>
    <m/>
    <m/>
    <m/>
  </r>
  <r>
    <n v="764602"/>
    <x v="19"/>
    <s v="327 HOPE AVE"/>
    <s v="CLIFTON"/>
    <s v="327 HOPE AVE, CLIFTON"/>
    <s v="NEW JERSEY"/>
    <n v="7011"/>
    <s v="A"/>
    <d v="2025-04-19T00:00:00"/>
    <s v="Yes"/>
    <s v="Yes"/>
    <n v="3698"/>
    <n v="3063"/>
    <n v="-0.17171444023796648"/>
    <n v="-8.1000000000000003E-2"/>
    <n v="45"/>
    <n v="48"/>
    <n v="3"/>
    <n v="2257"/>
    <n v="2028"/>
    <n v="-0.10146211785556047"/>
    <n v="45"/>
    <n v="48"/>
    <n v="3"/>
    <m/>
    <m/>
    <m/>
    <m/>
    <m/>
    <m/>
    <m/>
    <m/>
    <m/>
    <m/>
    <m/>
    <m/>
    <m/>
  </r>
  <r>
    <n v="7355880"/>
    <x v="20"/>
    <s v="430 MARKET ST"/>
    <s v="ELMWOOD PARK"/>
    <s v="430 MARKET ST, ELMWOOD PARK"/>
    <s v="NEW JERSEY"/>
    <n v="7407"/>
    <s v="C"/>
    <d v="2025-04-09T00:00:00"/>
    <s v="Yes"/>
    <s v="Yes"/>
    <n v="486"/>
    <n v="521"/>
    <n v="7.2016460905349799E-2"/>
    <n v="-7.9000000000000001E-2"/>
    <n v="85"/>
    <n v="63"/>
    <n v="-22"/>
    <n v="231"/>
    <n v="236"/>
    <n v="2.1645021645021644E-2"/>
    <n v="25"/>
    <n v="26"/>
    <n v="1"/>
    <m/>
    <m/>
    <m/>
    <m/>
    <m/>
    <m/>
    <m/>
    <m/>
    <m/>
    <m/>
    <m/>
    <m/>
    <m/>
  </r>
  <r>
    <n v="883599"/>
    <x v="21"/>
    <s v="229 MAIN AVE"/>
    <s v="PASSAIC"/>
    <s v="229 MAIN AVE, PASSAIC"/>
    <s v="NEW JERSEY"/>
    <n v="7055"/>
    <s v="A"/>
    <d v="2025-04-14T00:00:00"/>
    <s v="Yes"/>
    <s v="Yes"/>
    <n v="5107"/>
    <n v="3503"/>
    <n v="-0.31407871548854516"/>
    <n v="-6.7000000000000004E-2"/>
    <n v="128"/>
    <n v="97"/>
    <n v="-31"/>
    <n v="2762"/>
    <n v="2028"/>
    <n v="-0.26574945691527879"/>
    <n v="41"/>
    <n v="37"/>
    <n v="-4"/>
    <m/>
    <m/>
    <m/>
    <m/>
    <m/>
    <m/>
    <m/>
    <m/>
    <m/>
    <m/>
    <m/>
    <m/>
    <m/>
  </r>
  <r>
    <n v="883625"/>
    <x v="22"/>
    <s v="952 MAIN AVE"/>
    <s v="PASSAIC"/>
    <s v="952 MAIN AVE, PASSAIC"/>
    <s v="NEW JERSEY"/>
    <n v="7055"/>
    <s v="A"/>
    <d v="2025-04-15T00:00:00"/>
    <s v="Yes"/>
    <s v="Yes"/>
    <n v="5100"/>
    <n v="4552"/>
    <n v="-0.10745098039215686"/>
    <n v="-6.7000000000000004E-2"/>
    <n v="125"/>
    <n v="126"/>
    <n v="1"/>
    <n v="3501"/>
    <n v="3097"/>
    <n v="-0.11539560125678378"/>
    <n v="47"/>
    <n v="50"/>
    <n v="3"/>
    <m/>
    <m/>
    <m/>
    <m/>
    <m/>
    <m/>
    <m/>
    <m/>
    <m/>
    <m/>
    <m/>
    <m/>
    <m/>
  </r>
  <r>
    <n v="7588093"/>
    <x v="23"/>
    <s v="497 VAN HOUTEN AVE"/>
    <s v="PASSAIC"/>
    <s v="497 VAN HOUTEN AVE, PASSAIC"/>
    <s v="NEW JERSEY"/>
    <n v="7055"/>
    <s v="B"/>
    <d v="2025-04-21T00:00:00"/>
    <s v="No"/>
    <s v="Yes"/>
    <m/>
    <m/>
    <m/>
    <m/>
    <m/>
    <m/>
    <m/>
    <m/>
    <m/>
    <m/>
    <m/>
    <m/>
    <m/>
    <m/>
    <m/>
    <m/>
    <m/>
    <m/>
    <m/>
    <m/>
    <m/>
    <m/>
    <m/>
    <m/>
    <m/>
    <m/>
  </r>
  <r>
    <n v="6954"/>
    <x v="24"/>
    <s v="895 PAULISON AVE"/>
    <s v="CLIFTON"/>
    <s v="895 PAULISON AVE, CLIFTON"/>
    <s v="NEW JERSEY"/>
    <n v="7011"/>
    <s v="A"/>
    <d v="2025-04-28T00:00:00"/>
    <s v="Yes"/>
    <s v="Yes"/>
    <n v="8500"/>
    <n v="7283"/>
    <n v="-0.14317647058823529"/>
    <n v="-8.3000000000000004E-2"/>
    <n v="421"/>
    <n v="469"/>
    <n v="48"/>
    <n v="4798"/>
    <n v="3905"/>
    <n v="-0.18611921634014172"/>
    <n v="60"/>
    <n v="62"/>
    <n v="2"/>
    <m/>
    <m/>
    <m/>
    <m/>
    <m/>
    <m/>
    <m/>
    <m/>
    <m/>
    <m/>
    <m/>
    <m/>
    <m/>
  </r>
  <r>
    <n v="883901"/>
    <x v="25"/>
    <s v="410 RIVER ST"/>
    <s v="HACKENSACK"/>
    <s v="410 RIVER ST, HACKENSACK"/>
    <s v="NEW JERSEY"/>
    <n v="7601"/>
    <s v="A"/>
    <d v="2025-04-29T00:00:00"/>
    <s v="Yes"/>
    <s v="Yes"/>
    <n v="7983"/>
    <n v="7611"/>
    <n v="-4.6599022923712888E-2"/>
    <n v="-8.3000000000000004E-2"/>
    <n v="46"/>
    <n v="49"/>
    <n v="3"/>
    <n v="4896"/>
    <n v="4819"/>
    <n v="-1.5727124183006536E-2"/>
    <n v="46"/>
    <n v="49"/>
    <n v="3"/>
    <m/>
    <m/>
    <m/>
    <m/>
    <m/>
    <m/>
    <m/>
    <m/>
    <m/>
    <m/>
    <m/>
    <m/>
    <m/>
  </r>
  <r>
    <n v="883459"/>
    <x v="26"/>
    <s v="875 BLOOMFIELD AVE"/>
    <s v="CLIFTON"/>
    <s v="875 BLOOMFIELD AVE, CLIFTON"/>
    <s v="NEW JERSEY"/>
    <n v="7012"/>
    <s v="A"/>
    <d v="2025-04-25T00:00:00"/>
    <s v="Yes"/>
    <s v="Yes"/>
    <n v="11857"/>
    <n v="11562"/>
    <n v="-2.4879817829130471E-2"/>
    <n v="-7.8E-2"/>
    <n v="334"/>
    <n v="360"/>
    <n v="26"/>
    <n v="5679"/>
    <n v="5941"/>
    <n v="4.6134882901919354E-2"/>
    <n v="47"/>
    <n v="49"/>
    <n v="2"/>
    <m/>
    <m/>
    <m/>
    <m/>
    <m/>
    <m/>
    <m/>
    <m/>
    <m/>
    <m/>
    <m/>
    <m/>
    <m/>
  </r>
  <r>
    <n v="883883"/>
    <x v="27"/>
    <s v="909 PROSPECT ST"/>
    <s v="GLEN ROCK"/>
    <s v="909 PROSPECT ST, GLEN ROCK"/>
    <s v="NEW JERSEY"/>
    <n v="7452"/>
    <s v="A"/>
    <d v="2025-04-24T00:00:00"/>
    <s v="Yes"/>
    <s v="Yes"/>
    <n v="15744"/>
    <n v="12844"/>
    <n v="-0.18419715447154472"/>
    <n v="-7.8E-2"/>
    <n v="677"/>
    <n v="699"/>
    <n v="22"/>
    <n v="2698"/>
    <n v="2110"/>
    <n v="-0.21793921423276502"/>
    <n v="42"/>
    <n v="46"/>
    <n v="4"/>
    <m/>
    <m/>
    <m/>
    <m/>
    <m/>
    <m/>
    <m/>
    <m/>
    <m/>
    <m/>
    <m/>
    <m/>
    <m/>
  </r>
  <r>
    <n v="883465"/>
    <x v="28"/>
    <s v="383 VALLEY RD"/>
    <s v="CLIFTON"/>
    <s v="383 VALLEY RD, CLIFTON"/>
    <s v="NEW JERSEY"/>
    <n v="7013"/>
    <s v="C"/>
    <d v="2025-05-06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9722"/>
    <x v="29"/>
    <s v="498 ELLISON ST"/>
    <s v="PATERSON"/>
    <s v="498 ELLISON ST, PATERSON"/>
    <s v="NEW JERSEY"/>
    <n v="7501"/>
    <s v="C"/>
    <d v="2025-05-07T00:00:00"/>
    <s v="No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771"/>
    <x v="30"/>
    <s v="498 E 30TH ST"/>
    <s v="PATERSON"/>
    <s v="498 E 30TH ST, PATERSON"/>
    <s v="NEW JERSEY"/>
    <n v="7504"/>
    <s v="A"/>
    <d v="2025-04-21T00:00:00"/>
    <s v="Yes"/>
    <s v="Yes"/>
    <n v="9086"/>
    <n v="9750"/>
    <n v="7.3079462909971388E-2"/>
    <n v="-7.0000000000000007E-2"/>
    <n v="154"/>
    <n v="137"/>
    <n v="-17"/>
    <n v="6394"/>
    <n v="7407"/>
    <n v="0.15842977791679699"/>
    <n v="46"/>
    <n v="48"/>
    <n v="2"/>
    <m/>
    <m/>
    <m/>
    <m/>
    <m/>
    <m/>
    <m/>
    <m/>
    <m/>
    <m/>
    <m/>
    <m/>
    <m/>
  </r>
  <r>
    <n v="889832"/>
    <x v="31"/>
    <s v="42 E 30TH ST"/>
    <s v="PATERSON"/>
    <s v="42 E 30TH ST, PATERSON"/>
    <s v="NEW JERSEY"/>
    <n v="7514"/>
    <s v="A"/>
    <d v="2025-04-21T00:00:00"/>
    <s v="Yes"/>
    <s v="Yes"/>
    <n v="19546"/>
    <n v="17902"/>
    <n v="-8.4109280671237088E-2"/>
    <n v="-7.0000000000000007E-2"/>
    <n v="405"/>
    <n v="401"/>
    <n v="-4"/>
    <n v="10843"/>
    <n v="10302"/>
    <n v="-4.9893940791293924E-2"/>
    <n v="58"/>
    <n v="65"/>
    <n v="7"/>
    <m/>
    <m/>
    <m/>
    <m/>
    <m/>
    <m/>
    <m/>
    <m/>
    <m/>
    <m/>
    <m/>
    <m/>
    <m/>
  </r>
  <r>
    <n v="7355800"/>
    <x v="32"/>
    <s v="465 GETTY AVE"/>
    <s v="PATERSON"/>
    <s v="465 GETTY AVE, PATERSON"/>
    <s v="NEW JERSEY"/>
    <n v="7503"/>
    <s v="A"/>
    <d v="2025-04-23T00:00:00"/>
    <s v="Yes"/>
    <s v="Yes"/>
    <n v="5261"/>
    <n v="5804"/>
    <n v="0.1032123170499905"/>
    <n v="-7.0000000000000007E-2"/>
    <n v="154"/>
    <n v="153"/>
    <n v="-1"/>
    <n v="3636"/>
    <n v="4185"/>
    <n v="0.15099009900990099"/>
    <n v="54"/>
    <n v="55"/>
    <n v="1"/>
    <m/>
    <m/>
    <m/>
    <m/>
    <m/>
    <m/>
    <m/>
    <m/>
    <m/>
    <m/>
    <m/>
    <m/>
    <m/>
  </r>
  <r>
    <n v="1408390"/>
    <x v="33"/>
    <s v="73 ACKERMAN AVE"/>
    <s v="CLIFTON"/>
    <s v="73 ACKERMAN AVE, CLIFTON"/>
    <s v="NEW JERSEY"/>
    <n v="7011"/>
    <s v="A"/>
    <d v="2025-04-28T00:00:00"/>
    <s v="Yes"/>
    <s v="Yes"/>
    <n v="12934"/>
    <n v="12695"/>
    <n v="-1.8478428946961497E-2"/>
    <n v="-8.3000000000000004E-2"/>
    <n v="228"/>
    <n v="247"/>
    <n v="19"/>
    <n v="8643"/>
    <n v="8595"/>
    <n v="-5.5536272127733426E-3"/>
    <n v="54"/>
    <n v="58"/>
    <n v="4"/>
    <m/>
    <m/>
    <m/>
    <m/>
    <m/>
    <m/>
    <m/>
    <m/>
    <m/>
    <m/>
    <m/>
    <m/>
    <m/>
  </r>
  <r>
    <n v="2621540"/>
    <x v="34"/>
    <s v="132 KINGSLAND RD"/>
    <s v="CLIFTON"/>
    <s v="132 KINGSLAND RD, CLIFTON"/>
    <s v="NEW JERSEY"/>
    <n v="7014"/>
    <s v="A"/>
    <d v="2025-04-25T00:00:00"/>
    <s v="Yes"/>
    <s v="Yes"/>
    <n v="5797"/>
    <n v="4864"/>
    <n v="-0.16094531654303951"/>
    <n v="-7.8E-2"/>
    <n v="459"/>
    <n v="421"/>
    <n v="-38"/>
    <n v="1525"/>
    <n v="1237"/>
    <n v="-0.18885245901639344"/>
    <n v="46"/>
    <n v="51"/>
    <n v="5"/>
    <m/>
    <m/>
    <m/>
    <m/>
    <m/>
    <m/>
    <m/>
    <m/>
    <m/>
    <m/>
    <m/>
    <m/>
    <m/>
  </r>
  <r>
    <n v="7595164"/>
    <x v="35"/>
    <s v="725 BROADWAY"/>
    <s v="WESTWOOD"/>
    <s v="725 BROADWAY, WESTWOOD"/>
    <s v="NEW JERSEY"/>
    <n v="7675"/>
    <s v="B"/>
    <d v="2025-05-13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1408825"/>
    <x v="36"/>
    <s v="224 E STATE RT 4"/>
    <s v="PARAMUS"/>
    <s v="224 E STATE RT 4, PARAMUS"/>
    <s v="NEW JERSEY"/>
    <n v="7652"/>
    <s v="A"/>
    <d v="2025-04-22T00:00:00"/>
    <s v="Yes"/>
    <s v="Yes"/>
    <n v="5080"/>
    <n v="4224"/>
    <n v="-0.16850393700787403"/>
    <n v="-7.0000000000000007E-2"/>
    <n v="362"/>
    <n v="383"/>
    <n v="21"/>
    <n v="1393"/>
    <n v="1169"/>
    <n v="-0.16080402010050251"/>
    <n v="38"/>
    <n v="44"/>
    <n v="6"/>
    <m/>
    <m/>
    <m/>
    <m/>
    <m/>
    <m/>
    <m/>
    <m/>
    <m/>
    <m/>
    <m/>
    <m/>
    <m/>
  </r>
  <r>
    <n v="1498389"/>
    <x v="37"/>
    <s v="53 NATHANIEL PL"/>
    <s v="ENGLEWOOD"/>
    <s v="53 NATHANIEL PL, ENGLEWOOD"/>
    <s v="NEW JERSEY"/>
    <n v="7631"/>
    <s v="A"/>
    <d v="2025-04-22T00:00:00"/>
    <s v="Yes"/>
    <s v="Yes"/>
    <n v="12488"/>
    <n v="10386"/>
    <n v="-0.16832158872517616"/>
    <n v="-7.0000000000000007E-2"/>
    <n v="379"/>
    <n v="397"/>
    <n v="18"/>
    <n v="6443"/>
    <n v="5660"/>
    <n v="-0.12152723886388328"/>
    <n v="58"/>
    <n v="60"/>
    <n v="2"/>
    <m/>
    <m/>
    <m/>
    <m/>
    <m/>
    <m/>
    <m/>
    <m/>
    <m/>
    <m/>
    <m/>
    <m/>
    <m/>
  </r>
  <r>
    <n v="1794834"/>
    <x v="38"/>
    <s v="467 ALLWOOD RD"/>
    <s v="CLIFTON"/>
    <s v="467 ALLWOOD RD, CLIFTON"/>
    <s v="NEW JERSEY"/>
    <n v="7012"/>
    <s v="B"/>
    <d v="2025-04-30T00:00:00"/>
    <s v="Yes"/>
    <s v="Yes"/>
    <n v="3985"/>
    <n v="3508"/>
    <n v="-0.11969887076537014"/>
    <n v="-8.4000000000000005E-2"/>
    <n v="243"/>
    <n v="219"/>
    <n v="-24"/>
    <n v="832"/>
    <n v="929"/>
    <n v="0.11658653846153846"/>
    <n v="20"/>
    <n v="25"/>
    <n v="5"/>
    <m/>
    <m/>
    <m/>
    <m/>
    <m/>
    <m/>
    <m/>
    <m/>
    <m/>
    <m/>
    <m/>
    <m/>
    <m/>
  </r>
  <r>
    <n v="7844484"/>
    <x v="39"/>
    <s v="700 PARAMUS PARK"/>
    <s v="PARAMUS"/>
    <s v="700 PARAMUS PARK, PARAMUS"/>
    <s v="NEW JERSEY"/>
    <n v="7652"/>
    <s v="C"/>
    <d v="2025-04-30T00:00:00"/>
    <s v="Yes"/>
    <s v="Yes"/>
    <n v="4989"/>
    <n v="3397"/>
    <n v="-0.31910202445379837"/>
    <n v="-8.4000000000000005E-2"/>
    <n v="226"/>
    <n v="229"/>
    <n v="3"/>
    <n v="890"/>
    <n v="681"/>
    <n v="-0.23483146067415731"/>
    <n v="18"/>
    <n v="28"/>
    <n v="10"/>
    <m/>
    <m/>
    <m/>
    <m/>
    <m/>
    <m/>
    <m/>
    <m/>
    <m/>
    <m/>
    <m/>
    <m/>
    <m/>
  </r>
  <r>
    <n v="889823"/>
    <x v="40"/>
    <s v="328 11TH AVE"/>
    <s v="PATERSON"/>
    <s v="328 11TH AVE, PATERSON"/>
    <s v="NEW JERSEY"/>
    <n v="7514"/>
    <s v="C"/>
    <d v="2025-05-15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833"/>
    <x v="41"/>
    <s v="15 GRAND AVE STE 4"/>
    <s v="PALISADES PARK"/>
    <s v="15 GRAND AVE STE 4, PALISADES PARK"/>
    <s v="NEW JERSEY"/>
    <n v="7650"/>
    <s v="A"/>
    <d v="2025-04-16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516"/>
    <x v="42"/>
    <s v="195 MARKET ST"/>
    <s v="SADDLE BROOK"/>
    <s v="195 MARKET ST, SADDLE BROOK"/>
    <s v="NEW JERSEY"/>
    <n v="7663"/>
    <s v="B"/>
    <d v="2025-05-19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9816"/>
    <x v="43"/>
    <s v="423 21ST AVE"/>
    <s v="PATERSON"/>
    <s v="423 21ST AVE, PATERSON"/>
    <s v="NEW JERSEY"/>
    <n v="7513"/>
    <s v="A"/>
    <d v="2025-05-19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3269"/>
    <x v="44"/>
    <s v="136 BELMONT AVE"/>
    <s v="PATERSON"/>
    <s v="136 BELMONT AVE, PATERSON"/>
    <s v="NEW JERSEY"/>
    <n v="7522"/>
    <s v="B"/>
    <d v="2025-05-20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6132"/>
    <x v="45"/>
    <s v="18 S KINDERKAMACK RD"/>
    <s v="MONTVALE"/>
    <s v="18 S KINDERKAMACK RD, MONTVALE"/>
    <s v="NEW JERSEY"/>
    <n v="7645"/>
    <s v="C"/>
    <d v="2025-05-20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467047"/>
    <x v="46"/>
    <s v="937 LINCOLN AVE"/>
    <s v="GLEN ROCK"/>
    <s v="937 LINCOLN AVE, GLEN ROCK"/>
    <s v="NEW JERSEY"/>
    <n v="7452"/>
    <s v="A"/>
    <d v="2025-05-20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1408866"/>
    <x v="47"/>
    <s v="413 MONROE ST"/>
    <s v="PASSAIC"/>
    <s v="413 MONROE ST, PASSAIC"/>
    <s v="NEW JERSEY"/>
    <n v="7055"/>
    <s v="A"/>
    <d v="2025-05-20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3929692"/>
    <x v="48"/>
    <s v="98 US HWY 46"/>
    <s v="BUDD LAKE"/>
    <s v="98 US HWY 46, BUDD LAKE"/>
    <s v="NEW JERSEY"/>
    <n v="7828"/>
    <s v="B"/>
    <d v="2025-05-22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1522002"/>
    <x v="49"/>
    <s v="12 MORRIS AVE"/>
    <s v="BRANCHVILLE"/>
    <s v="12 MORRIS AVE, BRANCHVILLE"/>
    <s v="NEW JERSEY"/>
    <n v="7826"/>
    <s v="C"/>
    <d v="2025-05-22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836"/>
    <x v="50"/>
    <s v="280 VALLEY BLVD"/>
    <s v="WOOD RIDGE"/>
    <s v="280 VALLEY BLVD, WOOD RIDGE"/>
    <s v="NEW JERSEY"/>
    <n v="7075"/>
    <s v="C"/>
    <d v="2025-05-21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666"/>
    <x v="51"/>
    <s v="370 MONROE ST"/>
    <s v="PASSAIC"/>
    <s v="370 MONROE ST, PASSAIC"/>
    <s v="NEW JERSEY"/>
    <n v="7055"/>
    <s v="A"/>
    <d v="2025-05-27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2231918"/>
    <x v="52"/>
    <s v="186 5TH AVE"/>
    <s v="PATERSON"/>
    <s v="186 5TH AVE, PATERSON"/>
    <s v="NEW JERSEY"/>
    <n v="7524"/>
    <s v="A"/>
    <d v="2025-05-27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732"/>
    <x v="53"/>
    <s v="168 MARKET ST"/>
    <s v="PASSAIC"/>
    <s v="168 MARKET ST, PASSAIC"/>
    <s v="NEW JERSEY"/>
    <n v="7055"/>
    <s v="A"/>
    <d v="2025-05-28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4766"/>
    <x v="54"/>
    <s v="300 HARRISON AVE"/>
    <s v="LODI"/>
    <s v="300 HARRISON AVE, LODI"/>
    <s v="NEW JERSEY"/>
    <n v="7644"/>
    <s v="A"/>
    <d v="2025-05-28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7151"/>
    <x v="55"/>
    <s v="60 BEAVERBROOK RD"/>
    <s v="LINCOLN PARK"/>
    <s v="60 BEAVERBROOK RD, LINCOLN PARK"/>
    <s v="NEW JERSEY"/>
    <n v="7035"/>
    <s v="B"/>
    <d v="2025-05-28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9755"/>
    <x v="56"/>
    <s v="459 MCBRIDE AVE"/>
    <s v="PATERSON"/>
    <s v="459 MCBRIDE AVE, PATERSON"/>
    <s v="NEW JERSEY"/>
    <n v="7501"/>
    <s v="A"/>
    <d v="2025-05-29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2056089"/>
    <x v="57"/>
    <s v="13 05 RIVER RD"/>
    <s v="FAIR LAWN"/>
    <s v="13 05 RIVER RD, FAIR LAWN"/>
    <s v="NEW JERSEY"/>
    <n v="7410"/>
    <s v="B"/>
    <d v="2025-05-29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5193"/>
    <x v="58"/>
    <s v="76 JEWELL ST"/>
    <s v="GARFIELD"/>
    <s v="76 JEWELL ST, GARFIELD"/>
    <s v="NEW JERSEY"/>
    <n v="7026"/>
    <s v="C"/>
    <d v="2025-06-02T00:00:00"/>
    <s v="No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9729"/>
    <x v="59"/>
    <s v="353 21ST AVE"/>
    <s v="PATERSON"/>
    <s v="353 21ST AVE, PATERSON"/>
    <s v="NEW JERSEY"/>
    <n v="7501"/>
    <s v="A"/>
    <d v="2025-05-29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4427"/>
    <x v="60"/>
    <s v="291 PARK AVE"/>
    <s v="PATERSON"/>
    <s v="291 PARK AVE, PATERSON"/>
    <s v="NEW JERSEY"/>
    <n v="7513"/>
    <s v="A"/>
    <d v="2025-06-03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818"/>
    <x v="2"/>
    <s v="251 ELM ST"/>
    <s v="ELMWOOD PARK"/>
    <s v="251 ELM ST, ELMWOOD PARK"/>
    <s v="NEW JERSEY"/>
    <n v="7407"/>
    <s v="C"/>
    <d v="2025-06-03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355866"/>
    <x v="61"/>
    <s v="680 MAIN ST"/>
    <s v="PATERSON"/>
    <s v="680 MAIN ST, PATERSON"/>
    <s v="NEW JERSEY"/>
    <n v="7503"/>
    <s v="B"/>
    <d v="2025-06-03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355731"/>
    <x v="62"/>
    <s v="444 20TH AVE"/>
    <s v="PATERSON"/>
    <s v="444 20TH AVE, PATERSON"/>
    <s v="NEW JERSEY"/>
    <n v="7513"/>
    <s v="A"/>
    <d v="2025-06-03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393"/>
    <x v="63"/>
    <s v="534 VAN HOUTEN AVE"/>
    <s v="CLIFTON"/>
    <s v="534 VAN HOUTEN AVE, CLIFTON"/>
    <s v="NEW JERSEY"/>
    <n v="7013"/>
    <s v="C"/>
    <d v="2025-06-05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3789283"/>
    <x v="64"/>
    <s v="550 LEXINGTON AVE"/>
    <s v="CLIFTON"/>
    <s v="550 LEXINGTON AVE, CLIFTON"/>
    <s v="NEW JERSEY"/>
    <n v="7011"/>
    <s v="A"/>
    <d v="2025-06-05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766554"/>
    <x v="65"/>
    <s v="224 LIVINGSTON ST"/>
    <s v="NORTHVALE"/>
    <s v="224 LIVINGSTON ST, NORTHVALE"/>
    <s v="NEW JERSEY"/>
    <n v="7647"/>
    <s v="A"/>
    <d v="2025-06-05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1498390"/>
    <x v="66"/>
    <s v="35 07 BROADWAY"/>
    <s v="FAIR LAWN"/>
    <s v="35 07 BROADWAY, FAIR LAWN"/>
    <s v="NEW JERSEY"/>
    <n v="7410"/>
    <s v="A"/>
    <d v="2025-06-12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  <r>
    <n v="883652"/>
    <x v="67"/>
    <s v="177 HOPE AVE"/>
    <s v="PASSAIC"/>
    <s v="177 HOPE AVE, PASSAIC"/>
    <s v="NEW JERSEY"/>
    <n v="7055"/>
    <s v="A"/>
    <d v="2025-06-12T00:00:00"/>
    <s v="Yes"/>
    <s v="Yes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2F85F-61C2-4865-9BEA-7A10DBBCE6BB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2" firstHeaderRow="0" firstDataRow="1" firstDataCol="1"/>
  <pivotFields count="37">
    <pivotField showAll="0"/>
    <pivotField axis="axisRow" showAll="0">
      <items count="69">
        <item x="29"/>
        <item x="21"/>
        <item x="57"/>
        <item x="44"/>
        <item x="67"/>
        <item x="65"/>
        <item x="27"/>
        <item x="64"/>
        <item x="25"/>
        <item x="62"/>
        <item x="61"/>
        <item x="6"/>
        <item x="34"/>
        <item x="33"/>
        <item x="41"/>
        <item x="59"/>
        <item x="52"/>
        <item x="32"/>
        <item x="43"/>
        <item x="19"/>
        <item x="1"/>
        <item x="20"/>
        <item x="54"/>
        <item x="0"/>
        <item x="49"/>
        <item x="46"/>
        <item x="15"/>
        <item x="58"/>
        <item x="40"/>
        <item x="51"/>
        <item x="55"/>
        <item x="56"/>
        <item x="3"/>
        <item x="16"/>
        <item x="60"/>
        <item x="11"/>
        <item x="8"/>
        <item x="23"/>
        <item x="50"/>
        <item x="45"/>
        <item x="7"/>
        <item x="2"/>
        <item x="28"/>
        <item x="5"/>
        <item x="4"/>
        <item x="53"/>
        <item x="18"/>
        <item x="14"/>
        <item x="48"/>
        <item x="22"/>
        <item x="26"/>
        <item x="66"/>
        <item x="24"/>
        <item x="37"/>
        <item x="9"/>
        <item x="36"/>
        <item x="38"/>
        <item x="39"/>
        <item x="47"/>
        <item x="35"/>
        <item x="31"/>
        <item x="13"/>
        <item x="30"/>
        <item x="63"/>
        <item x="10"/>
        <item x="17"/>
        <item x="4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24 Cases Sold" fld="11" baseField="0" baseItem="0"/>
    <dataField name="Sum of 2025 Cases Sold" fld="12" baseField="0" baseItem="0"/>
    <dataField name="Sum of % Chang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5346D3-CD0E-4E54-B45A-871F70F6C7BE}" name="Table2" displayName="Table2" ref="A3:AO72" totalsRowShown="0" headerRowDxfId="33" tableBorderDxfId="32">
  <autoFilter ref="A3:AO72" xr:uid="{5F5346D3-CD0E-4E54-B45A-871F70F6C7BE}"/>
  <tableColumns count="41">
    <tableColumn id="1" xr3:uid="{32C758E5-9448-469E-97B4-39F0B0157791}" name="TD Linx #" dataDxfId="31"/>
    <tableColumn id="2" xr3:uid="{63AE518C-DC30-4F14-999D-0E2E349C9C4A}" name="Account Name" dataDxfId="30"/>
    <tableColumn id="3" xr3:uid="{0971D060-CB06-448D-B328-EFB19AA9EBE3}" name="Address" dataDxfId="29"/>
    <tableColumn id="4" xr3:uid="{C6BFED4E-3A01-4166-BFBD-5759EB852508}" name="City" dataDxfId="28"/>
    <tableColumn id="5" xr3:uid="{3A4AE331-D1C2-4824-B59E-15B1984EBEE9}" name="Column1" dataDxfId="27">
      <calculatedColumnFormula>C4 &amp; ", " &amp; D4</calculatedColumnFormula>
    </tableColumn>
    <tableColumn id="6" xr3:uid="{F44F6085-4CD3-4A17-B904-6C2D89DF5051}" name="State" dataDxfId="26"/>
    <tableColumn id="7" xr3:uid="{685D4DA4-C1FE-4E11-BFDC-7FD0A628F1A0}" name="Zip" dataDxfId="25"/>
    <tableColumn id="8" xr3:uid="{D2137D1D-BD8C-4734-AEDE-027902F0F543}" name="Segmentation" dataDxfId="24"/>
    <tableColumn id="9" xr3:uid="{648AFEC0-A4D1-4018-A92F-DE7C3571CF91}" name="RESET DATE" dataDxfId="23"/>
    <tableColumn id="10" xr3:uid="{325D3DD1-ECB5-4506-A6CE-3873A6AB1A5B}" name="Before PSA? (in Dropbox)" dataDxfId="22"/>
    <tableColumn id="11" xr3:uid="{AEBEFC58-DA6A-47FD-AE5D-5526F72A1093}" name="After PSA? (in Dropbox)" dataDxfId="21"/>
    <tableColumn id="12" xr3:uid="{482CA465-92F4-41E4-9A62-83582E381068}" name="2024 Cases Sold" dataDxfId="20"/>
    <tableColumn id="13" xr3:uid="{EC2CE656-BDF8-4A5F-B226-BE00DBD55602}" name="2025 Cases Sold"/>
    <tableColumn id="38" xr3:uid="{7A32B933-0F0B-419B-BF36-BFA9AC91E7A3}" name="Cases Sold Diff" dataDxfId="19">
      <calculatedColumnFormula>Table2[[#This Row],[2025 Cases Sold]]-Table2[[#This Row],[2024 Cases Sold]]</calculatedColumnFormula>
    </tableColumn>
    <tableColumn id="14" xr3:uid="{DBB46DD7-B155-4A12-8968-C7AE970F524F}" name="% Change" dataDxfId="18" dataCellStyle="Percent"/>
    <tableColumn id="15" xr3:uid="{F65451C0-D637-4B5C-B838-10D0467BA1F8}" name="2025 Sales Trend" dataDxfId="17" dataCellStyle="Percent"/>
    <tableColumn id="16" xr3:uid="{FBE1CA94-3249-4AB7-91DE-586F8AEADBD4}" name="Placement Count 2024" dataDxfId="16"/>
    <tableColumn id="17" xr3:uid="{9B44508D-9608-4905-A2DD-DADBB71E2AC3}" name="Placement Count 2025"/>
    <tableColumn id="18" xr3:uid="{10BD4BD4-B8BF-4650-BF85-B0B58ED9126B}" name="Placement Count Diff" dataDxfId="15"/>
    <tableColumn id="19" xr3:uid="{8B63BFD4-0985-4C8A-873C-9BBAFC8A34A9}" name="2024 Cases Sold2" dataDxfId="14"/>
    <tableColumn id="20" xr3:uid="{F229C43E-921A-4242-8278-AE956F6A2580}" name="2025 Cases Sold3"/>
    <tableColumn id="39" xr3:uid="{0F2B4502-92A0-4294-ACA7-0BD9CEBE4FF5}" name="Cases Sold Diff2" dataDxfId="13">
      <calculatedColumnFormula>Table2[[#This Row],[2025 Cases Sold3]]-Table2[[#This Row],[2024 Cases Sold2]]</calculatedColumnFormula>
    </tableColumn>
    <tableColumn id="21" xr3:uid="{341DD5D5-5145-48BD-BAC1-74028750B73D}" name="% Change4" dataDxfId="12" dataCellStyle="Percent"/>
    <tableColumn id="22" xr3:uid="{42E65B60-7FDF-4B65-9DB0-1B13A626F8AE}" name="Placement Count 20245" dataDxfId="11"/>
    <tableColumn id="23" xr3:uid="{D3EE1FEF-C240-4C73-BBBE-3A4032628117}" name="Placement Count 20256"/>
    <tableColumn id="24" xr3:uid="{A3386314-4359-437C-BF84-DE51B97419AF}" name="Placement Count Diff7" dataDxfId="10"/>
    <tableColumn id="25" xr3:uid="{3DEAD1EB-ACA0-4AE8-9AF0-4753936C8143}" name="2024 Cases Sold8" dataDxfId="9"/>
    <tableColumn id="26" xr3:uid="{A5191870-3A8E-4966-8260-E4DC912BABCF}" name="2025 Cases Sold9"/>
    <tableColumn id="40" xr3:uid="{0EC15988-F9C8-499A-8F33-F7DB3A5C58CB}" name="2026 Cases Sold9" dataDxfId="8">
      <calculatedColumnFormula>Table2[[#This Row],[2025 Cases Sold9]]-Table2[[#This Row],[2024 Cases Sold8]]</calculatedColumnFormula>
    </tableColumn>
    <tableColumn id="27" xr3:uid="{1525C698-B53A-4A56-BEFE-E8D79538BC49}" name="% Change10" dataDxfId="7" dataCellStyle="Percent"/>
    <tableColumn id="28" xr3:uid="{B2772E48-6585-49DA-BEAC-254613549EF3}" name="2025 Sales Trend11" dataDxfId="6" dataCellStyle="Percent"/>
    <tableColumn id="29" xr3:uid="{8D0D956B-F0F9-4B6A-9591-4CD343FD3A5D}" name="Placement Count 202412" dataDxfId="5"/>
    <tableColumn id="30" xr3:uid="{CDD3F367-1BE9-4DC5-BEBB-29820977D646}" name="Placement Count 202513"/>
    <tableColumn id="31" xr3:uid="{748AFF8F-9391-4756-8C6D-7D2CD5090080}" name="Placement Count Diff14" dataDxfId="4"/>
    <tableColumn id="32" xr3:uid="{F7F3CD05-93C2-4569-B93D-BAEF7D307096}" name="2024 Cases Sold15" dataDxfId="3"/>
    <tableColumn id="33" xr3:uid="{A38A5803-6D5B-4825-B019-0250ED640419}" name="2025 Cases Sold16"/>
    <tableColumn id="41" xr3:uid="{63565003-3449-405C-A1ED-9C7B4D77D2CD}" name="2026 Cases Sold16" dataDxfId="2">
      <calculatedColumnFormula>Table2[[#This Row],[2025 Cases Sold16]]-Table2[[#This Row],[2024 Cases Sold15]]</calculatedColumnFormula>
    </tableColumn>
    <tableColumn id="34" xr3:uid="{E9D43EFE-26A8-4408-B655-312B7F62DE4A}" name="% Change17" dataDxfId="1" dataCellStyle="Percent"/>
    <tableColumn id="35" xr3:uid="{E4A0B3ED-9620-41EA-9CE2-5D4194E3BB68}" name="Placement Count 202418" dataDxfId="0"/>
    <tableColumn id="36" xr3:uid="{7A180DF2-CAB3-42B6-841F-C88AC13B2993}" name="Placement Count 202519"/>
    <tableColumn id="37" xr3:uid="{890D7A56-AE5D-45E1-836C-85A007C6228D}" name="Placement Count Diff2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8AC2-E536-475E-964B-C8905966F13A}">
  <dimension ref="A2:M51"/>
  <sheetViews>
    <sheetView tabSelected="1" topLeftCell="B1" zoomScale="79" workbookViewId="0">
      <selection activeCell="H8" sqref="H8"/>
    </sheetView>
  </sheetViews>
  <sheetFormatPr defaultRowHeight="18.75" x14ac:dyDescent="0.3"/>
  <cols>
    <col min="1" max="1" width="22.85546875" style="167" bestFit="1" customWidth="1"/>
    <col min="2" max="2" width="49" style="70" bestFit="1" customWidth="1"/>
    <col min="3" max="3" width="45.85546875" style="70" bestFit="1" customWidth="1"/>
    <col min="4" max="4" width="45.85546875" style="70" customWidth="1"/>
    <col min="5" max="5" width="14.140625" style="72" customWidth="1"/>
    <col min="6" max="6" width="48.5703125" style="73" customWidth="1"/>
    <col min="7" max="7" width="30.85546875" style="71" customWidth="1"/>
    <col min="8" max="8" width="41.7109375" style="71" customWidth="1"/>
    <col min="9" max="10" width="30.85546875" style="71" hidden="1" customWidth="1"/>
    <col min="11" max="11" width="41" style="71" hidden="1" customWidth="1"/>
    <col min="12" max="12" width="17.42578125" style="71" bestFit="1" customWidth="1"/>
    <col min="13" max="13" width="30.5703125" style="71" customWidth="1"/>
    <col min="14" max="14" width="35.140625" style="70" customWidth="1"/>
    <col min="15" max="15" width="6" style="70" bestFit="1" customWidth="1"/>
    <col min="16" max="16" width="17" style="70" customWidth="1"/>
    <col min="17" max="17" width="9.140625" style="70"/>
    <col min="18" max="18" width="10.85546875" style="70" bestFit="1" customWidth="1"/>
    <col min="19" max="19" width="15.7109375" style="70" bestFit="1" customWidth="1"/>
    <col min="20" max="20" width="14.85546875" style="70" bestFit="1" customWidth="1"/>
    <col min="21" max="16384" width="9.140625" style="70"/>
  </cols>
  <sheetData>
    <row r="2" spans="1:13" ht="19.5" thickBot="1" x14ac:dyDescent="0.35"/>
    <row r="3" spans="1:13" ht="24" thickBot="1" x14ac:dyDescent="0.4">
      <c r="F3" s="218" t="s">
        <v>242</v>
      </c>
      <c r="G3" s="219"/>
      <c r="H3" s="220"/>
      <c r="I3" s="209" t="s">
        <v>237</v>
      </c>
      <c r="J3" s="210"/>
      <c r="K3" s="132" t="s">
        <v>240</v>
      </c>
    </row>
    <row r="4" spans="1:13" ht="38.25" thickBot="1" x14ac:dyDescent="0.35">
      <c r="F4" s="216" t="s">
        <v>247</v>
      </c>
      <c r="G4" s="217"/>
      <c r="H4" s="160" t="s">
        <v>248</v>
      </c>
      <c r="I4" s="211" t="s">
        <v>239</v>
      </c>
      <c r="J4" s="212"/>
      <c r="K4" s="130" t="s">
        <v>241</v>
      </c>
      <c r="L4" s="216" t="s">
        <v>253</v>
      </c>
      <c r="M4" s="217"/>
    </row>
    <row r="5" spans="1:13" ht="19.5" thickBot="1" x14ac:dyDescent="0.35">
      <c r="A5" s="135" t="s">
        <v>6</v>
      </c>
      <c r="B5" s="134" t="s">
        <v>189</v>
      </c>
      <c r="C5" s="135" t="s">
        <v>2</v>
      </c>
      <c r="D5" s="135" t="s">
        <v>3</v>
      </c>
      <c r="E5" s="136" t="s">
        <v>191</v>
      </c>
      <c r="F5" s="157" t="s">
        <v>238</v>
      </c>
      <c r="G5" s="100" t="s">
        <v>190</v>
      </c>
      <c r="H5" s="161"/>
      <c r="I5" s="157" t="s">
        <v>238</v>
      </c>
      <c r="J5" s="100" t="s">
        <v>190</v>
      </c>
      <c r="K5" s="213"/>
      <c r="L5" s="94" t="s">
        <v>238</v>
      </c>
      <c r="M5" s="94" t="s">
        <v>190</v>
      </c>
    </row>
    <row r="6" spans="1:13" x14ac:dyDescent="0.3">
      <c r="A6" s="137" t="str">
        <f>_xlfn.XLOOKUP(B6,Table2[Account Name],Table2[Segmentation])</f>
        <v>C</v>
      </c>
      <c r="B6" s="150" t="str">
        <f>'Store Reset Data'!B15</f>
        <v>MAIN STREET LIQUOR</v>
      </c>
      <c r="C6" s="151" t="str">
        <f>_xlfn.XLOOKUP(B6, 'Store Reset Data'!B:B, 'Store Reset Data'!E:E, "")</f>
        <v>340 S MAIN ST, WHARTON</v>
      </c>
      <c r="D6" s="138" t="str">
        <f>_xlfn.XLOOKUP(B6,'Store Reset Data'!B:B,'Store Reset Data'!D:D,"")</f>
        <v>WHARTON</v>
      </c>
      <c r="E6" s="152">
        <f>_xlfn.XLOOKUP(B6,'Store Reset Data'!B:B,'Store Reset Data'!I:I, "")</f>
        <v>45715</v>
      </c>
      <c r="F6" s="156">
        <f>_xlfn.XLOOKUP(B6, 'Store Reset Data'!B:B, 'Store Reset Data'!AD:AD, "")</f>
        <v>0.20077220077220076</v>
      </c>
      <c r="G6" s="156">
        <f>_xlfn.XLOOKUP(B6,'Store Reset Data'!B:B,'Store Reset Data'!AL:AL, "")</f>
        <v>0.21286370597243492</v>
      </c>
      <c r="H6" s="162">
        <v>-2.5999999999999999E-2</v>
      </c>
      <c r="I6" s="153">
        <f>'Store Reset Data'!O15</f>
        <v>0.13868613138686131</v>
      </c>
      <c r="J6" s="154">
        <f>'Store Reset Data'!W15</f>
        <v>0.10697674418604651</v>
      </c>
      <c r="K6" s="155">
        <f>'Store Reset Data'!P15</f>
        <v>-7.5999999999999998E-2</v>
      </c>
      <c r="L6" s="71">
        <f>_xlfn.XLOOKUP(B6,'Store Reset Data'!B:B,'Store Reset Data'!AC:AC,"")</f>
        <v>260</v>
      </c>
      <c r="M6" s="71">
        <f>_xlfn.XLOOKUP(B6,'Store Reset Data'!B:B,'Store Reset Data'!AK:AK,"")</f>
        <v>139</v>
      </c>
    </row>
    <row r="7" spans="1:13" x14ac:dyDescent="0.3">
      <c r="A7" s="202" t="str">
        <f>_xlfn.XLOOKUP(B7,Table2[Account Name],Table2[Segmentation])</f>
        <v>C</v>
      </c>
      <c r="B7" s="143" t="str">
        <f>'Store Reset Data'!B21</f>
        <v>WIDES DELI &amp; LIQUORS</v>
      </c>
      <c r="C7" s="138" t="str">
        <f>_xlfn.XLOOKUP(B7, 'Store Reset Data'!B:B, 'Store Reset Data'!E:E, "")</f>
        <v>85 CENTRAL AVE, RIDGEFIELD PARK</v>
      </c>
      <c r="D7" s="138" t="str">
        <f>_xlfn.XLOOKUP(B7,'Store Reset Data'!B:B,'Store Reset Data'!D:D,"")</f>
        <v>RIDGEFIELD PARK</v>
      </c>
      <c r="E7" s="142">
        <f>_xlfn.XLOOKUP(B7,'Store Reset Data'!B:B,'Store Reset Data'!I:I, "")</f>
        <v>45756</v>
      </c>
      <c r="F7" s="156">
        <f>_xlfn.XLOOKUP(B7, 'Store Reset Data'!B:B, 'Store Reset Data'!AD:AD, "")</f>
        <v>0.11947626841243862</v>
      </c>
      <c r="G7" s="156">
        <f>_xlfn.XLOOKUP(B7,'Store Reset Data'!B:B,'Store Reset Data'!AL:AL, "")</f>
        <v>0.25</v>
      </c>
      <c r="H7" s="170">
        <v>-0.08</v>
      </c>
      <c r="I7" s="139">
        <f>'Store Reset Data'!O21</f>
        <v>0.11947626841243862</v>
      </c>
      <c r="J7" s="140">
        <f>'Store Reset Data'!W21</f>
        <v>0.25</v>
      </c>
      <c r="K7" s="141">
        <f>'Store Reset Data'!P21</f>
        <v>-8.2000000000000003E-2</v>
      </c>
      <c r="L7" s="71">
        <f>_xlfn.XLOOKUP(B7,'Store Reset Data'!B:B,'Store Reset Data'!AC:AC,"")</f>
        <v>73</v>
      </c>
      <c r="M7" s="71">
        <f>_xlfn.XLOOKUP(B7,'Store Reset Data'!B:B,'Store Reset Data'!AK:AK,"")</f>
        <v>83</v>
      </c>
    </row>
    <row r="8" spans="1:13" ht="38.25" customHeight="1" x14ac:dyDescent="0.3">
      <c r="A8" s="202" t="str">
        <f>_xlfn.XLOOKUP(B8,Table2[Account Name],Table2[Segmentation])</f>
        <v>A</v>
      </c>
      <c r="B8" s="143" t="str">
        <f>'Store Reset Data'!B36</f>
        <v>FARMBOY SUPER FRESH LIQUOR</v>
      </c>
      <c r="C8" s="138" t="str">
        <f>_xlfn.XLOOKUP(B8, 'Store Reset Data'!B:B, 'Store Reset Data'!E:E, "")</f>
        <v>465 GETTY AVE, PATERSON</v>
      </c>
      <c r="D8" s="138" t="str">
        <f>_xlfn.XLOOKUP(B8,'Store Reset Data'!B:B,'Store Reset Data'!D:D,"")</f>
        <v>PATERSON</v>
      </c>
      <c r="E8" s="142">
        <f>_xlfn.XLOOKUP(B8,'Store Reset Data'!B:B,'Store Reset Data'!I:I, "")</f>
        <v>45770</v>
      </c>
      <c r="F8" s="188"/>
      <c r="G8" s="188"/>
      <c r="H8" s="170">
        <v>-9.1999999999999998E-2</v>
      </c>
      <c r="I8" s="139">
        <f>'Store Reset Data'!O36</f>
        <v>0.1032123170499905</v>
      </c>
      <c r="J8" s="140">
        <f>'Store Reset Data'!W36</f>
        <v>0.15099009900990099</v>
      </c>
      <c r="K8" s="141">
        <f>'Store Reset Data'!P36</f>
        <v>-8.5000000000000006E-2</v>
      </c>
      <c r="L8" s="187"/>
      <c r="M8" s="187"/>
    </row>
    <row r="9" spans="1:13" x14ac:dyDescent="0.3">
      <c r="A9" s="202" t="str">
        <f>_xlfn.XLOOKUP(B9,Table2[Account Name],Table2[Segmentation])</f>
        <v>A</v>
      </c>
      <c r="B9" s="143" t="str">
        <f>'Store Reset Data'!B34</f>
        <v>THE LIQUOR SHOP</v>
      </c>
      <c r="C9" s="138" t="str">
        <f>_xlfn.XLOOKUP(B9, 'Store Reset Data'!B:B, 'Store Reset Data'!E:E, "")</f>
        <v>498 E 30TH ST, PATERSON</v>
      </c>
      <c r="D9" s="138" t="str">
        <f>_xlfn.XLOOKUP(B9,'Store Reset Data'!B:B,'Store Reset Data'!D:D,"")</f>
        <v>PATERSON</v>
      </c>
      <c r="E9" s="142">
        <f>_xlfn.XLOOKUP(B9,'Store Reset Data'!B:B,'Store Reset Data'!I:I, "")</f>
        <v>45768</v>
      </c>
      <c r="F9" s="156">
        <f>_xlfn.XLOOKUP(B9, 'Store Reset Data'!B:B, 'Store Reset Data'!AD:AD, "")</f>
        <v>0.13738164603058994</v>
      </c>
      <c r="G9" s="156">
        <f>_xlfn.XLOOKUP(B9,'Store Reset Data'!B:B,'Store Reset Data'!AL:AL, "")</f>
        <v>0.217866323907455</v>
      </c>
      <c r="H9" s="170">
        <v>-7.0000000000000007E-2</v>
      </c>
      <c r="I9" s="139">
        <f>'Store Reset Data'!O34</f>
        <v>7.3079462909971388E-2</v>
      </c>
      <c r="J9" s="140">
        <f>'Store Reset Data'!W34</f>
        <v>0.15842977791679699</v>
      </c>
      <c r="K9" s="141">
        <f>'Store Reset Data'!P34</f>
        <v>-8.5000000000000006E-2</v>
      </c>
      <c r="L9" s="71">
        <f>_xlfn.XLOOKUP(B9,'Store Reset Data'!B:B,'Store Reset Data'!AC:AC,"")</f>
        <v>1509</v>
      </c>
      <c r="M9" s="71">
        <f>_xlfn.XLOOKUP(B9,'Store Reset Data'!B:B,'Store Reset Data'!AK:AK,"")</f>
        <v>1695</v>
      </c>
    </row>
    <row r="10" spans="1:13" x14ac:dyDescent="0.3">
      <c r="A10" s="202" t="str">
        <f>_xlfn.XLOOKUP(B10,Table2[Account Name],Table2[Segmentation])</f>
        <v>C</v>
      </c>
      <c r="B10" s="143" t="str">
        <f>'Store Reset Data'!B24</f>
        <v>FOOD MART LIQUOR</v>
      </c>
      <c r="C10" s="138" t="str">
        <f>_xlfn.XLOOKUP(B10, 'Store Reset Data'!B:B, 'Store Reset Data'!E:E, "")</f>
        <v>430 MARKET ST, ELMWOOD PARK</v>
      </c>
      <c r="D10" s="138" t="str">
        <f>_xlfn.XLOOKUP(B10,'Store Reset Data'!B:B,'Store Reset Data'!D:D,"")</f>
        <v>ELMWOOD PARK</v>
      </c>
      <c r="E10" s="142">
        <f>_xlfn.XLOOKUP(B10,'Store Reset Data'!B:B,'Store Reset Data'!I:I, "")</f>
        <v>45756</v>
      </c>
      <c r="F10" s="156">
        <f>_xlfn.XLOOKUP(B10, 'Store Reset Data'!B:B, 'Store Reset Data'!AD:AD, "")</f>
        <v>0.18455743879472694</v>
      </c>
      <c r="G10" s="156">
        <f>_xlfn.XLOOKUP(B10,'Store Reset Data'!B:B,'Store Reset Data'!AL:AL, "")</f>
        <v>0.4152542372881356</v>
      </c>
      <c r="H10" s="170">
        <v>-0.08</v>
      </c>
      <c r="I10" s="139">
        <f>'Store Reset Data'!O24</f>
        <v>0.18455743879472694</v>
      </c>
      <c r="J10" s="140">
        <f>'Store Reset Data'!W24</f>
        <v>0.4152542372881356</v>
      </c>
      <c r="K10" s="141">
        <f>'Store Reset Data'!P24</f>
        <v>-8.2000000000000003E-2</v>
      </c>
      <c r="L10" s="71">
        <f>_xlfn.XLOOKUP(B10,'Store Reset Data'!B:B,'Store Reset Data'!AC:AC,"")</f>
        <v>98</v>
      </c>
      <c r="M10" s="71">
        <f>_xlfn.XLOOKUP(B10,'Store Reset Data'!B:B,'Store Reset Data'!AK:AK,"")</f>
        <v>98</v>
      </c>
    </row>
    <row r="11" spans="1:13" x14ac:dyDescent="0.3">
      <c r="A11" s="202" t="str">
        <f>_xlfn.XLOOKUP(B11,Table2[Account Name],Table2[Segmentation])</f>
        <v>A</v>
      </c>
      <c r="B11" s="143" t="str">
        <f>'Store Reset Data'!B20</f>
        <v>LUCKY 7 WINE &amp; LIQUORS</v>
      </c>
      <c r="C11" s="138" t="str">
        <f>_xlfn.XLOOKUP(B11, 'Store Reset Data'!B:B, 'Store Reset Data'!E:E, "")</f>
        <v>77 RIVER RD, NORTH ARLINGTON</v>
      </c>
      <c r="D11" s="138" t="str">
        <f>_xlfn.XLOOKUP(B11,'Store Reset Data'!B:B,'Store Reset Data'!D:D,"")</f>
        <v>NORTH ARLINGTON</v>
      </c>
      <c r="E11" s="142">
        <f>_xlfn.XLOOKUP(B11,'Store Reset Data'!B:B,'Store Reset Data'!I:I, "")</f>
        <v>45756</v>
      </c>
      <c r="F11" s="156">
        <f>_xlfn.XLOOKUP(B11, 'Store Reset Data'!B:B, 'Store Reset Data'!AD:AD, "")</f>
        <v>7.823378526932942E-2</v>
      </c>
      <c r="G11" s="156">
        <f>_xlfn.XLOOKUP(B11,'Store Reset Data'!B:B,'Store Reset Data'!AL:AL, "")</f>
        <v>0.13970110461338531</v>
      </c>
      <c r="H11" s="170">
        <v>-0.08</v>
      </c>
      <c r="I11" s="139">
        <f>'Store Reset Data'!O20</f>
        <v>7.823378526932942E-2</v>
      </c>
      <c r="J11" s="140">
        <f>'Store Reset Data'!W20</f>
        <v>0.13970110461338531</v>
      </c>
      <c r="K11" s="141">
        <f>'Store Reset Data'!P20</f>
        <v>-8.2000000000000003E-2</v>
      </c>
      <c r="L11" s="71">
        <f>_xlfn.XLOOKUP(B11,'Store Reset Data'!B:B,'Store Reset Data'!AC:AC,"")</f>
        <v>427</v>
      </c>
      <c r="M11" s="71">
        <f>_xlfn.XLOOKUP(B11,'Store Reset Data'!B:B,'Store Reset Data'!AK:AK,"")</f>
        <v>215</v>
      </c>
    </row>
    <row r="12" spans="1:13" x14ac:dyDescent="0.3">
      <c r="A12" s="202" t="str">
        <f>_xlfn.XLOOKUP(B12,Table2[Account Name],Table2[Segmentation])</f>
        <v>B</v>
      </c>
      <c r="B12" s="143" t="str">
        <f>'Store Reset Data'!B8</f>
        <v>RAINBOW DELI &amp; DISCOUNT LIQUORS</v>
      </c>
      <c r="C12" s="138" t="str">
        <f>_xlfn.XLOOKUP(B12, 'Store Reset Data'!B:B, 'Store Reset Data'!E:E, "")</f>
        <v>292 LAKEVIEW AVE, CLIFTON</v>
      </c>
      <c r="D12" s="138" t="str">
        <f>_xlfn.XLOOKUP(B12,'Store Reset Data'!B:B,'Store Reset Data'!D:D,"")</f>
        <v>CLIFTON</v>
      </c>
      <c r="E12" s="142">
        <f>_xlfn.XLOOKUP(B12,'Store Reset Data'!B:B,'Store Reset Data'!I:I, "")</f>
        <v>45685</v>
      </c>
      <c r="F12" s="156">
        <f>_xlfn.XLOOKUP(B12, 'Store Reset Data'!B:B, 'Store Reset Data'!AD:AD, "")</f>
        <v>-6.7375886524822695E-2</v>
      </c>
      <c r="G12" s="156">
        <f>_xlfn.XLOOKUP(B12,'Store Reset Data'!B:B,'Store Reset Data'!AL:AL, "")</f>
        <v>-8.8536335721596721E-2</v>
      </c>
      <c r="H12" s="170">
        <v>-5.3999999999999999E-2</v>
      </c>
      <c r="I12" s="139">
        <f>'Store Reset Data'!O8</f>
        <v>7.2516316171138508E-4</v>
      </c>
      <c r="J12" s="140">
        <f>'Store Reset Data'!W8</f>
        <v>-1.2735608762098829E-2</v>
      </c>
      <c r="K12" s="141">
        <f>'Store Reset Data'!P8</f>
        <v>-0.08</v>
      </c>
      <c r="L12" s="71">
        <f>_xlfn.XLOOKUP(B12,'Store Reset Data'!B:B,'Store Reset Data'!AC:AC,"")</f>
        <v>-228</v>
      </c>
      <c r="M12" s="71">
        <f>_xlfn.XLOOKUP(B12,'Store Reset Data'!B:B,'Store Reset Data'!AK:AK,"")</f>
        <v>-173</v>
      </c>
    </row>
    <row r="13" spans="1:13" x14ac:dyDescent="0.3">
      <c r="A13" s="202" t="str">
        <f>_xlfn.XLOOKUP(B13,Table2[Account Name],Table2[Segmentation])</f>
        <v>B</v>
      </c>
      <c r="B13" s="143" t="str">
        <f>'Store Reset Data'!B22</f>
        <v>RIDGEFIELD LIQUOR</v>
      </c>
      <c r="C13" s="138" t="str">
        <f>_xlfn.XLOOKUP(B13, 'Store Reset Data'!B:B, 'Store Reset Data'!E:E, "")</f>
        <v>520 SHALER BLVD, RIDGEFIELD</v>
      </c>
      <c r="D13" s="138" t="str">
        <f>_xlfn.XLOOKUP(B13,'Store Reset Data'!B:B,'Store Reset Data'!D:D,"")</f>
        <v>RIDGEFIELD</v>
      </c>
      <c r="E13" s="142">
        <f>_xlfn.XLOOKUP(B13,'Store Reset Data'!B:B,'Store Reset Data'!I:I, "")</f>
        <v>45757</v>
      </c>
      <c r="F13" s="156">
        <f>_xlfn.XLOOKUP(B13, 'Store Reset Data'!B:B, 'Store Reset Data'!AD:AD, "")</f>
        <v>-1.9230769230769232E-2</v>
      </c>
      <c r="G13" s="156">
        <f>_xlfn.XLOOKUP(B13,'Store Reset Data'!B:B,'Store Reset Data'!AL:AL, "")</f>
        <v>7.57825370675453E-2</v>
      </c>
      <c r="H13" s="170">
        <v>-0.08</v>
      </c>
      <c r="I13" s="139">
        <f>'Store Reset Data'!O22</f>
        <v>-1.9230769230769232E-2</v>
      </c>
      <c r="J13" s="140">
        <f>'Store Reset Data'!W22</f>
        <v>7.57825370675453E-2</v>
      </c>
      <c r="K13" s="141">
        <f>'Store Reset Data'!P22</f>
        <v>-8.2000000000000003E-2</v>
      </c>
      <c r="L13" s="71">
        <f>_xlfn.XLOOKUP(B13,'Store Reset Data'!B:B,'Store Reset Data'!AC:AC,"")</f>
        <v>-29</v>
      </c>
      <c r="M13" s="71">
        <f>_xlfn.XLOOKUP(B13,'Store Reset Data'!B:B,'Store Reset Data'!AK:AK,"")</f>
        <v>46</v>
      </c>
    </row>
    <row r="14" spans="1:13" x14ac:dyDescent="0.3">
      <c r="A14" s="202" t="str">
        <f>_xlfn.XLOOKUP(B14,Table2[Account Name],Table2[Segmentation])</f>
        <v>A</v>
      </c>
      <c r="B14" s="143" t="str">
        <f>'Store Reset Data'!B37</f>
        <v>CLIFTON DISCOUNT LIQUORS</v>
      </c>
      <c r="C14" s="138" t="str">
        <f>_xlfn.XLOOKUP(B14, 'Store Reset Data'!B:B, 'Store Reset Data'!E:E, "")</f>
        <v>73 ACKERMAN AVE, CLIFTON</v>
      </c>
      <c r="D14" s="138" t="str">
        <f>_xlfn.XLOOKUP(B14,'Store Reset Data'!B:B,'Store Reset Data'!D:D,"")</f>
        <v>CLIFTON</v>
      </c>
      <c r="E14" s="142">
        <f>_xlfn.XLOOKUP(B14,'Store Reset Data'!B:B,'Store Reset Data'!I:I, "")</f>
        <v>45775</v>
      </c>
      <c r="F14" s="188"/>
      <c r="G14" s="188"/>
      <c r="H14" s="170">
        <v>-8.4000000000000005E-2</v>
      </c>
      <c r="I14" s="139">
        <f>'Store Reset Data'!O37</f>
        <v>-1.8478428946961497E-2</v>
      </c>
      <c r="J14" s="140">
        <f>'Store Reset Data'!W37</f>
        <v>-5.5536272127733426E-3</v>
      </c>
      <c r="K14" s="141">
        <f>'Store Reset Data'!P37</f>
        <v>-8.3000000000000004E-2</v>
      </c>
      <c r="L14" s="187"/>
      <c r="M14" s="187"/>
    </row>
    <row r="15" spans="1:13" x14ac:dyDescent="0.3">
      <c r="A15" s="202" t="str">
        <f>_xlfn.XLOOKUP(B15,Table2[Account Name],Table2[Segmentation])</f>
        <v>B</v>
      </c>
      <c r="B15" s="143" t="str">
        <f>'Store Reset Data'!B11</f>
        <v>PARK AVENUE LIQUORS</v>
      </c>
      <c r="C15" s="138" t="str">
        <f>_xlfn.XLOOKUP(B15, 'Store Reset Data'!B:B, 'Store Reset Data'!E:E, "")</f>
        <v>307 PARK AVE, PATERSON</v>
      </c>
      <c r="D15" s="138" t="str">
        <f>_xlfn.XLOOKUP(B15,'Store Reset Data'!B:B,'Store Reset Data'!D:D,"")</f>
        <v>PATERSON</v>
      </c>
      <c r="E15" s="142">
        <f>_xlfn.XLOOKUP(B15,'Store Reset Data'!B:B,'Store Reset Data'!I:I, "")</f>
        <v>45713</v>
      </c>
      <c r="F15" s="156">
        <f>_xlfn.XLOOKUP(B15, 'Store Reset Data'!B:B, 'Store Reset Data'!AD:AD, "")</f>
        <v>6.8917987594762239E-2</v>
      </c>
      <c r="G15" s="156">
        <f>_xlfn.XLOOKUP(B15,'Store Reset Data'!B:B,'Store Reset Data'!AL:AL, "")</f>
        <v>9.7132284921369105E-2</v>
      </c>
      <c r="H15" s="170">
        <v>-3.9E-2</v>
      </c>
      <c r="I15" s="139">
        <f>'Store Reset Data'!O11</f>
        <v>-1.9376579612468407E-2</v>
      </c>
      <c r="J15" s="140">
        <f>'Store Reset Data'!W11</f>
        <v>1.4301430143014302E-2</v>
      </c>
      <c r="K15" s="141">
        <f>'Store Reset Data'!P11</f>
        <v>-6.9000000000000006E-2</v>
      </c>
      <c r="L15" s="71">
        <f>_xlfn.XLOOKUP(B15,'Store Reset Data'!B:B,'Store Reset Data'!AC:AC,"")</f>
        <v>100</v>
      </c>
      <c r="M15" s="71">
        <f>_xlfn.XLOOKUP(B15,'Store Reset Data'!B:B,'Store Reset Data'!AK:AK,"")</f>
        <v>105</v>
      </c>
    </row>
    <row r="16" spans="1:13" x14ac:dyDescent="0.3">
      <c r="A16" s="202" t="str">
        <f>_xlfn.XLOOKUP(B16,Table2[Account Name],Table2[Segmentation])</f>
        <v>A</v>
      </c>
      <c r="B16" s="143" t="str">
        <f>'Store Reset Data'!B30</f>
        <v>SHOPPERS VINEYARD</v>
      </c>
      <c r="C16" s="138" t="str">
        <f>_xlfn.XLOOKUP(B16, 'Store Reset Data'!B:B, 'Store Reset Data'!E:E, "")</f>
        <v>875 BLOOMFIELD AVE, CLIFTON</v>
      </c>
      <c r="D16" s="138" t="str">
        <f>_xlfn.XLOOKUP(B16,'Store Reset Data'!B:B,'Store Reset Data'!D:D,"")</f>
        <v>CLIFTON</v>
      </c>
      <c r="E16" s="142">
        <f>_xlfn.XLOOKUP(B16,'Store Reset Data'!B:B,'Store Reset Data'!I:I, "")</f>
        <v>45772</v>
      </c>
      <c r="F16" s="188"/>
      <c r="G16" s="188"/>
      <c r="H16" s="170">
        <v>-0.09</v>
      </c>
      <c r="I16" s="139">
        <f>'Store Reset Data'!O30</f>
        <v>-2.4879817829130471E-2</v>
      </c>
      <c r="J16" s="140">
        <f>'Store Reset Data'!W30</f>
        <v>4.6134882901919354E-2</v>
      </c>
      <c r="K16" s="141">
        <f>'Store Reset Data'!P30</f>
        <v>-0.08</v>
      </c>
      <c r="M16" s="71">
        <f>_xlfn.XLOOKUP(B16,'Store Reset Data'!B:B,'Store Reset Data'!AK:AK,"")</f>
        <v>0</v>
      </c>
    </row>
    <row r="17" spans="1:13" x14ac:dyDescent="0.3">
      <c r="A17" s="202" t="str">
        <f>_xlfn.XLOOKUP(B17,Table2[Account Name],Table2[Segmentation])</f>
        <v>B</v>
      </c>
      <c r="B17" s="143" t="str">
        <f>'Store Reset Data'!B12</f>
        <v>MANOR BEVERAGES</v>
      </c>
      <c r="C17" s="138" t="str">
        <f>_xlfn.XLOOKUP(B17, 'Store Reset Data'!B:B, 'Store Reset Data'!E:E, "")</f>
        <v>430 BROAD AVE, LEONIA</v>
      </c>
      <c r="D17" s="138" t="str">
        <f>_xlfn.XLOOKUP(B17,'Store Reset Data'!B:B,'Store Reset Data'!D:D,"")</f>
        <v>LEONIA</v>
      </c>
      <c r="E17" s="142">
        <f>_xlfn.XLOOKUP(B17,'Store Reset Data'!B:B,'Store Reset Data'!I:I, "")</f>
        <v>45719</v>
      </c>
      <c r="F17" s="156">
        <f>_xlfn.XLOOKUP(B17, 'Store Reset Data'!B:B, 'Store Reset Data'!AD:AD, "")</f>
        <v>5.3855569155446759E-2</v>
      </c>
      <c r="G17" s="156">
        <f>_xlfn.XLOOKUP(B17,'Store Reset Data'!B:B,'Store Reset Data'!AL:AL, "")</f>
        <v>0.10655737704918032</v>
      </c>
      <c r="H17" s="170">
        <v>-3.1E-2</v>
      </c>
      <c r="I17" s="139">
        <f>'Store Reset Data'!O12</f>
        <v>-3.2539682539682542E-2</v>
      </c>
      <c r="J17" s="140">
        <f>'Store Reset Data'!W12</f>
        <v>0.13456464379947231</v>
      </c>
      <c r="K17" s="141">
        <f>'Store Reset Data'!P12</f>
        <v>-6.7000000000000004E-2</v>
      </c>
      <c r="L17" s="71">
        <f>_xlfn.XLOOKUP(B17,'Store Reset Data'!B:B,'Store Reset Data'!AC:AC,"")</f>
        <v>44</v>
      </c>
      <c r="M17" s="71">
        <f>_xlfn.XLOOKUP(B17,'Store Reset Data'!B:B,'Store Reset Data'!AK:AK,"")</f>
        <v>26</v>
      </c>
    </row>
    <row r="18" spans="1:13" x14ac:dyDescent="0.3">
      <c r="A18" s="202" t="str">
        <f>_xlfn.XLOOKUP(B18,Table2[Account Name],Table2[Segmentation])</f>
        <v>C</v>
      </c>
      <c r="B18" s="143" t="str">
        <f>'Store Reset Data'!B7</f>
        <v>LIQUOR MART</v>
      </c>
      <c r="C18" s="138" t="str">
        <f>_xlfn.XLOOKUP(B18, 'Store Reset Data'!B:B, 'Store Reset Data'!E:E, "")</f>
        <v>126 RIDGE RD, NORTH ARLINGTON</v>
      </c>
      <c r="D18" s="138" t="str">
        <f>_xlfn.XLOOKUP(B18,'Store Reset Data'!B:B,'Store Reset Data'!D:D,"")</f>
        <v>NORTH ARLINGTON</v>
      </c>
      <c r="E18" s="142">
        <f>_xlfn.XLOOKUP(B18,'Store Reset Data'!B:B,'Store Reset Data'!I:I, "")</f>
        <v>45680</v>
      </c>
      <c r="F18" s="156">
        <f>_xlfn.XLOOKUP(B18, 'Store Reset Data'!B:B, 'Store Reset Data'!AD:AD, "")</f>
        <v>-0.10061919504643962</v>
      </c>
      <c r="G18" s="156">
        <f>_xlfn.XLOOKUP(B18,'Store Reset Data'!B:B,'Store Reset Data'!AL:AL, "")</f>
        <v>-6.1425061425061427E-2</v>
      </c>
      <c r="H18" s="170">
        <v>-7.8E-2</v>
      </c>
      <c r="I18" s="139">
        <f>'Store Reset Data'!O7</f>
        <v>-3.3243138770776962E-2</v>
      </c>
      <c r="J18" s="140">
        <f>'Store Reset Data'!W7</f>
        <v>-1.1198208286674132E-2</v>
      </c>
      <c r="K18" s="141">
        <f>'Store Reset Data'!P7</f>
        <v>-7.3999999999999996E-2</v>
      </c>
      <c r="L18" s="71">
        <f>_xlfn.XLOOKUP(B18,'Store Reset Data'!B:B,'Store Reset Data'!AC:AC,"")</f>
        <v>-130</v>
      </c>
      <c r="M18" s="71">
        <f>_xlfn.XLOOKUP(B18,'Store Reset Data'!B:B,'Store Reset Data'!AK:AK,"")</f>
        <v>-25</v>
      </c>
    </row>
    <row r="19" spans="1:13" x14ac:dyDescent="0.3">
      <c r="A19" s="202" t="str">
        <f>_xlfn.XLOOKUP(B19,Table2[Account Name],Table2[Segmentation])</f>
        <v>C</v>
      </c>
      <c r="B19" s="143" t="str">
        <f>'Store Reset Data'!B6</f>
        <v>PAY LESS LIQUOR &amp; DELI</v>
      </c>
      <c r="C19" s="138" t="str">
        <f>_xlfn.XLOOKUP(B19, 'Store Reset Data'!B:B, 'Store Reset Data'!E:E, "")</f>
        <v>251 ELM ST, ELMWOOD PARK</v>
      </c>
      <c r="D19" s="138" t="str">
        <f>_xlfn.XLOOKUP(B19,'Store Reset Data'!B:B,'Store Reset Data'!D:D,"")</f>
        <v>ELMWOOD PARK</v>
      </c>
      <c r="E19" s="142">
        <f>_xlfn.XLOOKUP(B19,'Store Reset Data'!B:B,'Store Reset Data'!I:I, "")</f>
        <v>45677</v>
      </c>
      <c r="F19" s="156">
        <f>_xlfn.XLOOKUP(B19, 'Store Reset Data'!B:B, 'Store Reset Data'!AD:AD, "")</f>
        <v>0.10112359550561797</v>
      </c>
      <c r="G19" s="156">
        <f>_xlfn.XLOOKUP(B19,'Store Reset Data'!B:B,'Store Reset Data'!AL:AL, "")</f>
        <v>-7.1038251366120214E-2</v>
      </c>
      <c r="H19" s="170">
        <v>-7.4999999999999997E-2</v>
      </c>
      <c r="I19" s="139">
        <f>'Store Reset Data'!O6</f>
        <v>-4.4174757281553401E-2</v>
      </c>
      <c r="J19" s="140">
        <f>'Store Reset Data'!W6</f>
        <v>-0.21578947368421053</v>
      </c>
      <c r="K19" s="141">
        <f>'Store Reset Data'!P6</f>
        <v>-7.3999999999999996E-2</v>
      </c>
      <c r="L19" s="71">
        <f>_xlfn.XLOOKUP(B19,'Store Reset Data'!B:B,'Store Reset Data'!AC:AC,"")</f>
        <v>90</v>
      </c>
      <c r="M19" s="71">
        <f>_xlfn.XLOOKUP(B19,'Store Reset Data'!B:B,'Store Reset Data'!AK:AK,"")</f>
        <v>-26</v>
      </c>
    </row>
    <row r="20" spans="1:13" x14ac:dyDescent="0.3">
      <c r="A20" s="202" t="str">
        <f>_xlfn.XLOOKUP(B20,Table2[Account Name],Table2[Segmentation])</f>
        <v>A</v>
      </c>
      <c r="B20" s="143" t="str">
        <f>'Store Reset Data'!B29</f>
        <v>BUY RITE</v>
      </c>
      <c r="C20" s="138" t="str">
        <f>_xlfn.XLOOKUP(B20, 'Store Reset Data'!B:B, 'Store Reset Data'!E:E, "")</f>
        <v>410 RIVER ST, HACKENSACK</v>
      </c>
      <c r="D20" s="138" t="str">
        <f>_xlfn.XLOOKUP(B20,'Store Reset Data'!B:B,'Store Reset Data'!D:D,"")</f>
        <v>HACKENSACK</v>
      </c>
      <c r="E20" s="142">
        <f>_xlfn.XLOOKUP(B20,'Store Reset Data'!B:B,'Store Reset Data'!I:I, "")</f>
        <v>45776</v>
      </c>
      <c r="F20" s="188"/>
      <c r="G20" s="188"/>
      <c r="H20" s="170">
        <v>-8.4000000000000005E-2</v>
      </c>
      <c r="I20" s="139">
        <f>'Store Reset Data'!O29</f>
        <v>-4.6599022923712888E-2</v>
      </c>
      <c r="J20" s="140">
        <f>'Store Reset Data'!W29</f>
        <v>-1.5727124183006536E-2</v>
      </c>
      <c r="K20" s="141">
        <f>'Store Reset Data'!P29</f>
        <v>-8.3000000000000004E-2</v>
      </c>
      <c r="L20" s="187"/>
      <c r="M20" s="187"/>
    </row>
    <row r="21" spans="1:13" x14ac:dyDescent="0.3">
      <c r="A21" s="202" t="str">
        <f>_xlfn.XLOOKUP(B21,Table2[Account Name],Table2[Segmentation])</f>
        <v>A</v>
      </c>
      <c r="B21" s="143" t="str">
        <f>'Store Reset Data'!B19</f>
        <v>HIGH SPIRITS (Exquisite W&amp;L?)</v>
      </c>
      <c r="C21" s="138" t="str">
        <f>_xlfn.XLOOKUP(B21, 'Store Reset Data'!B:B, 'Store Reset Data'!E:E, "")</f>
        <v>215 MAIN ST, RIDGEFIELD PARK</v>
      </c>
      <c r="D21" s="138" t="str">
        <f>_xlfn.XLOOKUP(B21,'Store Reset Data'!B:B,'Store Reset Data'!D:D,"")</f>
        <v>RIDGEFIELD PARK</v>
      </c>
      <c r="E21" s="142">
        <f>_xlfn.XLOOKUP(B21,'Store Reset Data'!B:B,'Store Reset Data'!I:I, "")</f>
        <v>45755</v>
      </c>
      <c r="F21" s="156">
        <f>_xlfn.XLOOKUP(B21, 'Store Reset Data'!B:B, 'Store Reset Data'!AD:AD, "")</f>
        <v>3.0749519538757208E-2</v>
      </c>
      <c r="G21" s="156">
        <f>_xlfn.XLOOKUP(B21,'Store Reset Data'!B:B,'Store Reset Data'!AL:AL, "")</f>
        <v>8.7309644670050757E-2</v>
      </c>
      <c r="H21" s="170">
        <v>-0.08</v>
      </c>
      <c r="I21" s="139">
        <f>'Store Reset Data'!O19</f>
        <v>3.0749519538757208E-2</v>
      </c>
      <c r="J21" s="140">
        <f>'Store Reset Data'!W19</f>
        <v>8.7309644670050757E-2</v>
      </c>
      <c r="K21" s="141">
        <f>'Store Reset Data'!P19</f>
        <v>-8.2000000000000003E-2</v>
      </c>
      <c r="L21" s="71">
        <f>_xlfn.XLOOKUP(B21,'Store Reset Data'!B:B,'Store Reset Data'!AC:AC,"")</f>
        <v>144</v>
      </c>
      <c r="M21" s="71">
        <f>_xlfn.XLOOKUP(B21,'Store Reset Data'!B:B,'Store Reset Data'!AK:AK,"")</f>
        <v>172</v>
      </c>
    </row>
    <row r="22" spans="1:13" x14ac:dyDescent="0.3">
      <c r="A22" s="202" t="str">
        <f>_xlfn.XLOOKUP(B22,Table2[Account Name],Table2[Segmentation])</f>
        <v>B</v>
      </c>
      <c r="B22" s="143" t="str">
        <f>'Store Reset Data'!B4</f>
        <v>GARYS</v>
      </c>
      <c r="C22" s="138" t="str">
        <f>_xlfn.XLOOKUP(B22, 'Store Reset Data'!B:B, 'Store Reset Data'!E:E, "")</f>
        <v>67 VER VALEN ST, CLOSTER</v>
      </c>
      <c r="D22" s="138" t="str">
        <f>_xlfn.XLOOKUP(B22,'Store Reset Data'!B:B,'Store Reset Data'!D:D,"")</f>
        <v>CLOSTER</v>
      </c>
      <c r="E22" s="142">
        <f>_xlfn.XLOOKUP(B22,'Store Reset Data'!B:B,'Store Reset Data'!I:I, "")</f>
        <v>45664</v>
      </c>
      <c r="F22" s="156">
        <f>_xlfn.XLOOKUP(B22, 'Store Reset Data'!B:B, 'Store Reset Data'!AD:AD, "")</f>
        <v>4.1688379364252216E-2</v>
      </c>
      <c r="G22" s="156">
        <f>_xlfn.XLOOKUP(B22,'Store Reset Data'!B:B,'Store Reset Data'!AL:AL, "")</f>
        <v>0.17647058823529413</v>
      </c>
      <c r="H22" s="170">
        <v>-7.3999999999999996E-2</v>
      </c>
      <c r="I22" s="139">
        <f>'Store Reset Data'!O4</f>
        <v>-7.7584483103379329E-2</v>
      </c>
      <c r="J22" s="140">
        <f>'Store Reset Data'!W4</f>
        <v>-0.14117647058823529</v>
      </c>
      <c r="K22" s="141">
        <f>'Store Reset Data'!P4</f>
        <v>-7.8E-2</v>
      </c>
      <c r="L22" s="71">
        <f>_xlfn.XLOOKUP(B22,'Store Reset Data'!B:B,'Store Reset Data'!AC:AC,"")</f>
        <v>80</v>
      </c>
      <c r="M22" s="71">
        <f>_xlfn.XLOOKUP(B22,'Store Reset Data'!B:B,'Store Reset Data'!AK:AK,"")</f>
        <v>66</v>
      </c>
    </row>
    <row r="23" spans="1:13" x14ac:dyDescent="0.3">
      <c r="A23" s="202" t="str">
        <f>_xlfn.XLOOKUP(B23,Table2[Account Name],Table2[Segmentation])</f>
        <v>A</v>
      </c>
      <c r="B23" s="143" t="str">
        <f>'Store Reset Data'!B35</f>
        <v>SUPER WINE WAREHOUSE</v>
      </c>
      <c r="C23" s="138" t="str">
        <f>_xlfn.XLOOKUP(B23, 'Store Reset Data'!B:B, 'Store Reset Data'!E:E, "")</f>
        <v>42 E 30TH ST, PATERSON</v>
      </c>
      <c r="D23" s="138" t="str">
        <f>_xlfn.XLOOKUP(B23,'Store Reset Data'!B:B,'Store Reset Data'!D:D,"")</f>
        <v>PATERSON</v>
      </c>
      <c r="E23" s="142">
        <f>_xlfn.XLOOKUP(B23,'Store Reset Data'!B:B,'Store Reset Data'!I:I, "")</f>
        <v>45768</v>
      </c>
      <c r="F23" s="156">
        <f>_xlfn.XLOOKUP(B23, 'Store Reset Data'!B:B, 'Store Reset Data'!AD:AD, "")</f>
        <v>-5.5842607313195548E-2</v>
      </c>
      <c r="G23" s="156">
        <f>_xlfn.XLOOKUP(B23,'Store Reset Data'!B:B,'Store Reset Data'!AL:AL, "")</f>
        <v>-9.5231475045182822E-3</v>
      </c>
      <c r="H23" s="170">
        <v>-7.0000000000000007E-2</v>
      </c>
      <c r="I23" s="139">
        <f>'Store Reset Data'!O35</f>
        <v>-8.4109280671237088E-2</v>
      </c>
      <c r="J23" s="140">
        <f>'Store Reset Data'!W35</f>
        <v>-4.9893940791293924E-2</v>
      </c>
      <c r="K23" s="141">
        <f>'Store Reset Data'!P35</f>
        <v>-8.5000000000000006E-2</v>
      </c>
      <c r="L23" s="71">
        <f>_xlfn.XLOOKUP(B23,'Store Reset Data'!B:B,'Store Reset Data'!AC:AC,"")</f>
        <v>-1405</v>
      </c>
      <c r="M23" s="71">
        <f>_xlfn.XLOOKUP(B23,'Store Reset Data'!B:B,'Store Reset Data'!AK:AK,"")</f>
        <v>-137</v>
      </c>
    </row>
    <row r="24" spans="1:13" x14ac:dyDescent="0.3">
      <c r="A24" s="202" t="str">
        <f>_xlfn.XLOOKUP(B24,Table2[Account Name],Table2[Segmentation])</f>
        <v>B</v>
      </c>
      <c r="B24" s="143" t="str">
        <f>'Store Reset Data'!B5</f>
        <v>FINE WINE &amp; SPIRITS</v>
      </c>
      <c r="C24" s="138" t="str">
        <f>_xlfn.XLOOKUP(B24, 'Store Reset Data'!B:B, 'Store Reset Data'!E:E, "")</f>
        <v>14 RIVEREDGE RD, TENAFLY</v>
      </c>
      <c r="D24" s="138" t="str">
        <f>_xlfn.XLOOKUP(B24,'Store Reset Data'!B:B,'Store Reset Data'!D:D,"")</f>
        <v>TENAFLY</v>
      </c>
      <c r="E24" s="142">
        <f>_xlfn.XLOOKUP(B24,'Store Reset Data'!B:B,'Store Reset Data'!I:I, "")</f>
        <v>45670</v>
      </c>
      <c r="F24" s="156">
        <f>_xlfn.XLOOKUP(B24, 'Store Reset Data'!B:B, 'Store Reset Data'!AD:AD, "")</f>
        <v>-8.5582998276852382E-2</v>
      </c>
      <c r="G24" s="156">
        <f>_xlfn.XLOOKUP(B24,'Store Reset Data'!B:B,'Store Reset Data'!AL:AL, "")</f>
        <v>4.9921996879875197E-2</v>
      </c>
      <c r="H24" s="170">
        <v>-8.2000000000000003E-2</v>
      </c>
      <c r="I24" s="139">
        <f>'Store Reset Data'!O5</f>
        <v>-9.0173685462764691E-2</v>
      </c>
      <c r="J24" s="140">
        <f>'Store Reset Data'!W5</f>
        <v>8.6670651524208012E-2</v>
      </c>
      <c r="K24" s="141">
        <f>'Store Reset Data'!P5</f>
        <v>-0.08</v>
      </c>
      <c r="L24" s="71">
        <f>_xlfn.XLOOKUP(B24,'Store Reset Data'!B:B,'Store Reset Data'!AC:AC,"")</f>
        <v>-149</v>
      </c>
      <c r="M24" s="71">
        <f>_xlfn.XLOOKUP(B24,'Store Reset Data'!B:B,'Store Reset Data'!AK:AK,"")</f>
        <v>32</v>
      </c>
    </row>
    <row r="25" spans="1:13" x14ac:dyDescent="0.3">
      <c r="A25" s="202" t="str">
        <f>_xlfn.XLOOKUP(B25,Table2[Account Name],Table2[Segmentation])</f>
        <v>C</v>
      </c>
      <c r="B25" s="143" t="str">
        <f>'Store Reset Data'!B16</f>
        <v>WINE SHOP</v>
      </c>
      <c r="C25" s="138" t="str">
        <f>_xlfn.XLOOKUP(B25, 'Store Reset Data'!B:B, 'Store Reset Data'!E:E, "")</f>
        <v>434 HACKENSACK ST, CARLSTADT</v>
      </c>
      <c r="D25" s="138" t="str">
        <f>_xlfn.XLOOKUP(B25,'Store Reset Data'!B:B,'Store Reset Data'!D:D,"")</f>
        <v>CARLSTADT</v>
      </c>
      <c r="E25" s="142">
        <f>_xlfn.XLOOKUP(B25,'Store Reset Data'!B:B,'Store Reset Data'!I:I, "")</f>
        <v>45741</v>
      </c>
      <c r="F25" s="156">
        <f>_xlfn.XLOOKUP(B25, 'Store Reset Data'!B:B, 'Store Reset Data'!AD:AD, "")</f>
        <v>-0.13063909774436092</v>
      </c>
      <c r="G25" s="156">
        <f>_xlfn.XLOOKUP(B25,'Store Reset Data'!B:B,'Store Reset Data'!AL:AL, "")</f>
        <v>-0.37383177570093457</v>
      </c>
      <c r="H25" s="170">
        <v>-6.9000000000000006E-2</v>
      </c>
      <c r="I25" s="139">
        <f>'Store Reset Data'!O16</f>
        <v>-0.10314685314685315</v>
      </c>
      <c r="J25" s="140">
        <f>'Store Reset Data'!W16</f>
        <v>-0.14953271028037382</v>
      </c>
      <c r="K25" s="141">
        <f>'Store Reset Data'!P16</f>
        <v>-7.1999999999999995E-2</v>
      </c>
      <c r="L25" s="71">
        <f>_xlfn.XLOOKUP(B25,'Store Reset Data'!B:B,'Store Reset Data'!AC:AC,"")</f>
        <v>-139</v>
      </c>
      <c r="M25" s="71">
        <f>_xlfn.XLOOKUP(B25,'Store Reset Data'!B:B,'Store Reset Data'!AK:AK,"")</f>
        <v>-120</v>
      </c>
    </row>
    <row r="26" spans="1:13" x14ac:dyDescent="0.3">
      <c r="A26" s="202" t="str">
        <f>_xlfn.XLOOKUP(B26,Table2[Account Name],Table2[Segmentation])</f>
        <v>A</v>
      </c>
      <c r="B26" s="143" t="str">
        <f>'Store Reset Data'!B26</f>
        <v>SHANIK LIQUORS</v>
      </c>
      <c r="C26" s="138" t="str">
        <f>_xlfn.XLOOKUP(B26, 'Store Reset Data'!B:B, 'Store Reset Data'!E:E, "")</f>
        <v>952 MAIN AVE, PASSAIC</v>
      </c>
      <c r="D26" s="138" t="str">
        <f>_xlfn.XLOOKUP(B26,'Store Reset Data'!B:B,'Store Reset Data'!D:D,"")</f>
        <v>PASSAIC</v>
      </c>
      <c r="E26" s="142">
        <f>_xlfn.XLOOKUP(B26,'Store Reset Data'!B:B,'Store Reset Data'!I:I, "")</f>
        <v>45762</v>
      </c>
      <c r="F26" s="156">
        <f>_xlfn.XLOOKUP(B26, 'Store Reset Data'!B:B, 'Store Reset Data'!AD:AD, "")</f>
        <v>-3.128491620111732E-2</v>
      </c>
      <c r="G26" s="156">
        <f>_xlfn.XLOOKUP(B26,'Store Reset Data'!B:B,'Store Reset Data'!AL:AL, "")</f>
        <v>-5.3839846952719324E-2</v>
      </c>
      <c r="H26" s="170">
        <v>-8.4000000000000005E-2</v>
      </c>
      <c r="I26" s="139">
        <f>'Store Reset Data'!O26</f>
        <v>-3.128491620111732E-2</v>
      </c>
      <c r="J26" s="140">
        <f>'Store Reset Data'!W26</f>
        <v>-5.3839846952719324E-2</v>
      </c>
      <c r="K26" s="141">
        <f>'Store Reset Data'!P26</f>
        <v>-8.4000000000000005E-2</v>
      </c>
      <c r="L26" s="71">
        <f>_xlfn.XLOOKUP(B26,'Store Reset Data'!B:B,'Store Reset Data'!AC:AC,"")</f>
        <v>-168</v>
      </c>
      <c r="M26" s="71">
        <f>_xlfn.XLOOKUP(B26,'Store Reset Data'!B:B,'Store Reset Data'!AK:AK,"")</f>
        <v>-197</v>
      </c>
    </row>
    <row r="27" spans="1:13" x14ac:dyDescent="0.3">
      <c r="A27" s="202" t="str">
        <f>_xlfn.XLOOKUP(B27,Table2[Account Name],Table2[Segmentation])</f>
        <v>B</v>
      </c>
      <c r="B27" s="143" t="str">
        <f>'Store Reset Data'!B42</f>
        <v>STEW LEONARDS</v>
      </c>
      <c r="C27" s="138" t="str">
        <f>_xlfn.XLOOKUP(B27, 'Store Reset Data'!B:B, 'Store Reset Data'!E:E, "")</f>
        <v>467 ALLWOOD RD, CLIFTON</v>
      </c>
      <c r="D27" s="138" t="str">
        <f>_xlfn.XLOOKUP(B27,'Store Reset Data'!B:B,'Store Reset Data'!D:D,"")</f>
        <v>CLIFTON</v>
      </c>
      <c r="E27" s="142">
        <f>_xlfn.XLOOKUP(B27,'Store Reset Data'!B:B,'Store Reset Data'!I:I, "")</f>
        <v>45777</v>
      </c>
      <c r="F27" s="188"/>
      <c r="G27" s="188"/>
      <c r="H27" s="170">
        <v>-0.105</v>
      </c>
      <c r="I27" s="139">
        <f>'Store Reset Data'!O42</f>
        <v>-0.11969887076537014</v>
      </c>
      <c r="J27" s="140">
        <f>'Store Reset Data'!W42</f>
        <v>0.11658653846153846</v>
      </c>
      <c r="K27" s="141">
        <f>'Store Reset Data'!P42</f>
        <v>-0.104</v>
      </c>
      <c r="L27" s="187"/>
      <c r="M27" s="187"/>
    </row>
    <row r="28" spans="1:13" x14ac:dyDescent="0.3">
      <c r="A28" s="202" t="str">
        <f>_xlfn.XLOOKUP(B28,Table2[Account Name],Table2[Segmentation])</f>
        <v>A</v>
      </c>
      <c r="B28" s="143" t="str">
        <f>'Store Reset Data'!B13</f>
        <v>SHOPRITE LIQUORS (Northvale)</v>
      </c>
      <c r="C28" s="138" t="str">
        <f>_xlfn.XLOOKUP(B28, 'Store Reset Data'!B:B, 'Store Reset Data'!E:E, "")</f>
        <v>254 LIVINGSTON ST STE F, NORTHVALE</v>
      </c>
      <c r="D28" s="138" t="str">
        <f>_xlfn.XLOOKUP(B28,'Store Reset Data'!B:B,'Store Reset Data'!D:D,"")</f>
        <v>NORTHVALE</v>
      </c>
      <c r="E28" s="142">
        <f>_xlfn.XLOOKUP(B28,'Store Reset Data'!B:B,'Store Reset Data'!I:I, "")</f>
        <v>45726</v>
      </c>
      <c r="F28" s="156">
        <f>_xlfn.XLOOKUP(B28, 'Store Reset Data'!B:B, 'Store Reset Data'!AD:AD, "")</f>
        <v>-3.1492785793562711E-2</v>
      </c>
      <c r="G28" s="156">
        <f>_xlfn.XLOOKUP(B28,'Store Reset Data'!B:B,'Store Reset Data'!AL:AL, "")</f>
        <v>-0.1184995737425405</v>
      </c>
      <c r="H28" s="170">
        <v>-0.04</v>
      </c>
      <c r="I28" s="139">
        <f>'Store Reset Data'!O13</f>
        <v>-0.12880354505169866</v>
      </c>
      <c r="J28" s="140">
        <f>'Store Reset Data'!W13</f>
        <v>-0.19379844961240311</v>
      </c>
      <c r="K28" s="141">
        <f>'Store Reset Data'!P13</f>
        <v>-6.9000000000000006E-2</v>
      </c>
      <c r="L28" s="71">
        <f>_xlfn.XLOOKUP(B28,'Store Reset Data'!B:B,'Store Reset Data'!AC:AC,"")</f>
        <v>-227</v>
      </c>
      <c r="M28" s="71">
        <f>_xlfn.XLOOKUP(B28,'Store Reset Data'!B:B,'Store Reset Data'!AK:AK,"")</f>
        <v>-139</v>
      </c>
    </row>
    <row r="29" spans="1:13" x14ac:dyDescent="0.3">
      <c r="A29" s="202" t="str">
        <f>_xlfn.XLOOKUP(B29,Table2[Account Name],Table2[Segmentation])</f>
        <v>A</v>
      </c>
      <c r="B29" s="143" t="str">
        <f>'Store Reset Data'!B28</f>
        <v>SHOPRITE LIQUORS (Clifton)</v>
      </c>
      <c r="C29" s="138" t="str">
        <f>_xlfn.XLOOKUP(B29, 'Store Reset Data'!B:B, 'Store Reset Data'!E:E, "")</f>
        <v>895 PAULISON AVE, CLIFTON</v>
      </c>
      <c r="D29" s="138" t="str">
        <f>_xlfn.XLOOKUP(B29,'Store Reset Data'!B:B,'Store Reset Data'!D:D,"")</f>
        <v>CLIFTON</v>
      </c>
      <c r="E29" s="142">
        <f>_xlfn.XLOOKUP(B29,'Store Reset Data'!B:B,'Store Reset Data'!I:I, "")</f>
        <v>45775</v>
      </c>
      <c r="F29" s="188"/>
      <c r="G29" s="188"/>
      <c r="H29" s="170">
        <v>-8.4000000000000005E-2</v>
      </c>
      <c r="I29" s="139">
        <f>'Store Reset Data'!$O$28</f>
        <v>-0.14317647058823529</v>
      </c>
      <c r="J29" s="140">
        <f>'Store Reset Data'!W28</f>
        <v>-0.18611921634014172</v>
      </c>
      <c r="K29" s="141">
        <f>'Store Reset Data'!P28</f>
        <v>-8.3000000000000004E-2</v>
      </c>
      <c r="L29" s="187"/>
      <c r="M29" s="187"/>
    </row>
    <row r="30" spans="1:13" x14ac:dyDescent="0.3">
      <c r="A30" s="202" t="str">
        <f>_xlfn.XLOOKUP(B30,Table2[Account Name],Table2[Segmentation])</f>
        <v>A</v>
      </c>
      <c r="B30" s="143" t="str">
        <f>'Store Reset Data'!B38</f>
        <v>CLIFTON COMMONS SPIRITS &amp; WINES</v>
      </c>
      <c r="C30" s="138" t="str">
        <f>_xlfn.XLOOKUP(B30, 'Store Reset Data'!B:B, 'Store Reset Data'!E:E, "")</f>
        <v>132 KINGSLAND RD, CLIFTON</v>
      </c>
      <c r="D30" s="138" t="str">
        <f>_xlfn.XLOOKUP(B30,'Store Reset Data'!B:B,'Store Reset Data'!D:D,"")</f>
        <v>CLIFTON</v>
      </c>
      <c r="E30" s="142">
        <f>_xlfn.XLOOKUP(B30,'Store Reset Data'!B:B,'Store Reset Data'!I:I, "")</f>
        <v>45772</v>
      </c>
      <c r="F30" s="188"/>
      <c r="G30" s="188"/>
      <c r="H30" s="170">
        <v>-9.2999999999999999E-2</v>
      </c>
      <c r="I30" s="139">
        <f>'Store Reset Data'!$O$38</f>
        <v>-0.16094531654303951</v>
      </c>
      <c r="J30" s="140">
        <f>'Store Reset Data'!W38</f>
        <v>-0.18885245901639344</v>
      </c>
      <c r="K30" s="141">
        <f>'Store Reset Data'!P38</f>
        <v>-7.8E-2</v>
      </c>
      <c r="L30" s="187"/>
      <c r="M30" s="187"/>
    </row>
    <row r="31" spans="1:13" x14ac:dyDescent="0.3">
      <c r="A31" s="202" t="str">
        <f>_xlfn.XLOOKUP(B31,Table2[Account Name],Table2[Segmentation])</f>
        <v>C</v>
      </c>
      <c r="B31" s="143" t="str">
        <f>'Store Reset Data'!B17</f>
        <v>SUSSEX DISCOUNT LIQUORS</v>
      </c>
      <c r="C31" s="138" t="str">
        <f>_xlfn.XLOOKUP(B31, 'Store Reset Data'!B:B, 'Store Reset Data'!E:E, "")</f>
        <v>3235 STATE RT 94, FRANKLIN</v>
      </c>
      <c r="D31" s="138" t="str">
        <f>_xlfn.XLOOKUP(B31,'Store Reset Data'!B:B,'Store Reset Data'!D:D,"")</f>
        <v>FRANKLIN</v>
      </c>
      <c r="E31" s="142">
        <f>_xlfn.XLOOKUP(B31,'Store Reset Data'!B:B,'Store Reset Data'!I:I, "")</f>
        <v>45747</v>
      </c>
      <c r="F31" s="156">
        <f>_xlfn.XLOOKUP(B31, 'Store Reset Data'!B:B, 'Store Reset Data'!AD:AD, "")</f>
        <v>-0.16809672386895474</v>
      </c>
      <c r="G31" s="156">
        <f>_xlfn.XLOOKUP(B31,'Store Reset Data'!B:B,'Store Reset Data'!AL:AL, "")</f>
        <v>-0.35714285714285715</v>
      </c>
      <c r="H31" s="170">
        <v>-0.06</v>
      </c>
      <c r="I31" s="139">
        <f>'Store Reset Data'!O17</f>
        <v>-0.16809672386895474</v>
      </c>
      <c r="J31" s="140">
        <f>'Store Reset Data'!W17</f>
        <v>-0.35714285714285715</v>
      </c>
      <c r="K31" s="141">
        <f>'Store Reset Data'!P17</f>
        <v>-6.3E-2</v>
      </c>
      <c r="L31" s="71">
        <f>_xlfn.XLOOKUP(B31,'Store Reset Data'!B:B,'Store Reset Data'!AC:AC,"")</f>
        <v>-431</v>
      </c>
      <c r="M31" s="71">
        <f>_xlfn.XLOOKUP(B31,'Store Reset Data'!B:B,'Store Reset Data'!AK:AK,"")</f>
        <v>-90</v>
      </c>
    </row>
    <row r="32" spans="1:13" x14ac:dyDescent="0.3">
      <c r="A32" s="202" t="str">
        <f>_xlfn.XLOOKUP(B32,Table2[Account Name],Table2[Segmentation])</f>
        <v>A</v>
      </c>
      <c r="B32" s="143" t="str">
        <f>'Store Reset Data'!B41</f>
        <v>SHOPRITE LIQUORS (Englewood)</v>
      </c>
      <c r="C32" s="138" t="str">
        <f>_xlfn.XLOOKUP(B32, 'Store Reset Data'!B:B, 'Store Reset Data'!E:E, "")</f>
        <v>53 NATHANIEL PL, ENGLEWOOD</v>
      </c>
      <c r="D32" s="138" t="str">
        <f>_xlfn.XLOOKUP(B32,'Store Reset Data'!B:B,'Store Reset Data'!D:D,"")</f>
        <v>ENGLEWOOD</v>
      </c>
      <c r="E32" s="142">
        <f>_xlfn.XLOOKUP(B32,'Store Reset Data'!B:B,'Store Reset Data'!I:I, "")</f>
        <v>45769</v>
      </c>
      <c r="F32" s="156">
        <f>_xlfn.XLOOKUP(B32, 'Store Reset Data'!B:B, 'Store Reset Data'!AD:AD, "")</f>
        <v>-0.11015895859226794</v>
      </c>
      <c r="G32" s="156">
        <f>_xlfn.XLOOKUP(B32,'Store Reset Data'!B:B,'Store Reset Data'!AL:AL, "")</f>
        <v>-9.4806991072551236E-2</v>
      </c>
      <c r="H32" s="170">
        <v>-0.09</v>
      </c>
      <c r="I32" s="139">
        <f>'Store Reset Data'!O41</f>
        <v>-0.16832158872517616</v>
      </c>
      <c r="J32" s="140">
        <f>'Store Reset Data'!W41</f>
        <v>-0.12152723886388328</v>
      </c>
      <c r="K32" s="141">
        <f>'Store Reset Data'!P41</f>
        <v>-8.5000000000000006E-2</v>
      </c>
      <c r="L32" s="71">
        <f>_xlfn.XLOOKUP(B32,'Store Reset Data'!B:B,'Store Reset Data'!AC:AC,"")</f>
        <v>-1684</v>
      </c>
      <c r="M32" s="71">
        <f>_xlfn.XLOOKUP(B32,'Store Reset Data'!B:B,'Store Reset Data'!AK:AK,"")</f>
        <v>-754</v>
      </c>
    </row>
    <row r="33" spans="1:13" x14ac:dyDescent="0.3">
      <c r="A33" s="202" t="str">
        <f>_xlfn.XLOOKUP(B33,Table2[Account Name],Table2[Segmentation])</f>
        <v>A</v>
      </c>
      <c r="B33" s="143" t="str">
        <f>'Store Reset Data'!B40</f>
        <v>SHOPRITE LIQUORS (Paramus)</v>
      </c>
      <c r="C33" s="138" t="str">
        <f>_xlfn.XLOOKUP(B33, 'Store Reset Data'!B:B, 'Store Reset Data'!E:E, "")</f>
        <v>224 E STATE RT 4, PARAMUS</v>
      </c>
      <c r="D33" s="138" t="str">
        <f>_xlfn.XLOOKUP(B33,'Store Reset Data'!B:B,'Store Reset Data'!D:D,"")</f>
        <v>PARAMUS</v>
      </c>
      <c r="E33" s="142">
        <f>_xlfn.XLOOKUP(B33,'Store Reset Data'!B:B,'Store Reset Data'!I:I, "")</f>
        <v>45769</v>
      </c>
      <c r="F33" s="156">
        <f>_xlfn.XLOOKUP(B33, 'Store Reset Data'!B:B, 'Store Reset Data'!AD:AD, "")</f>
        <v>-0.11533606816030294</v>
      </c>
      <c r="G33" s="156">
        <f>_xlfn.XLOOKUP(B33,'Store Reset Data'!B:B,'Store Reset Data'!AL:AL, "")</f>
        <v>-0.12137780207763806</v>
      </c>
      <c r="H33" s="170">
        <v>-7.0000000000000007E-2</v>
      </c>
      <c r="I33" s="139">
        <f>'Store Reset Data'!O40</f>
        <v>-0.16850393700787403</v>
      </c>
      <c r="J33" s="140">
        <f>'Store Reset Data'!W40</f>
        <v>-0.16080402010050251</v>
      </c>
      <c r="K33" s="141">
        <f>'Store Reset Data'!P40</f>
        <v>-8.5000000000000006E-2</v>
      </c>
      <c r="L33" s="71">
        <f>_xlfn.XLOOKUP(B33,'Store Reset Data'!B:B,'Store Reset Data'!AC:AC,"")</f>
        <v>-731</v>
      </c>
      <c r="M33" s="71">
        <f>_xlfn.XLOOKUP(B33,'Store Reset Data'!B:B,'Store Reset Data'!AK:AK,"")</f>
        <v>-222</v>
      </c>
    </row>
    <row r="34" spans="1:13" x14ac:dyDescent="0.3">
      <c r="A34" s="202" t="str">
        <f>_xlfn.XLOOKUP(B34,Table2[Account Name],Table2[Segmentation])</f>
        <v>A</v>
      </c>
      <c r="B34" s="143" t="str">
        <f>'Store Reset Data'!B23</f>
        <v>FIGLARS LIQUOR STORE</v>
      </c>
      <c r="C34" s="138" t="str">
        <f>_xlfn.XLOOKUP(B34, 'Store Reset Data'!B:B, 'Store Reset Data'!E:E, "")</f>
        <v>327 HOPE AVE, CLIFTON</v>
      </c>
      <c r="D34" s="138" t="str">
        <f>_xlfn.XLOOKUP(B34,'Store Reset Data'!B:B,'Store Reset Data'!D:D,"")</f>
        <v>CLIFTON</v>
      </c>
      <c r="E34" s="142">
        <f>_xlfn.XLOOKUP(B34,'Store Reset Data'!B:B,'Store Reset Data'!I:I, "")</f>
        <v>45766</v>
      </c>
      <c r="F34" s="156">
        <f>_xlfn.XLOOKUP(B34, 'Store Reset Data'!B:B, 'Store Reset Data'!AD:AD, "")</f>
        <v>-0.15574121679520136</v>
      </c>
      <c r="G34" s="156">
        <f>_xlfn.XLOOKUP(B34,'Store Reset Data'!B:B,'Store Reset Data'!AL:AL, "")</f>
        <v>-8.6881273797161651E-2</v>
      </c>
      <c r="H34" s="170">
        <v>-0.08</v>
      </c>
      <c r="I34" s="139">
        <f>'Store Reset Data'!O23</f>
        <v>-0.15574121679520136</v>
      </c>
      <c r="J34" s="140">
        <f>'Store Reset Data'!W23</f>
        <v>-8.6881273797161651E-2</v>
      </c>
      <c r="K34" s="141">
        <f>'Store Reset Data'!P23</f>
        <v>-8.1000000000000003E-2</v>
      </c>
      <c r="L34" s="71">
        <f>_xlfn.XLOOKUP(B34,'Store Reset Data'!B:B,'Store Reset Data'!AC:AC,"")</f>
        <v>-727</v>
      </c>
      <c r="M34" s="71">
        <f>_xlfn.XLOOKUP(B34,'Store Reset Data'!B:B,'Store Reset Data'!AK:AK,"")</f>
        <v>-251</v>
      </c>
    </row>
    <row r="35" spans="1:13" x14ac:dyDescent="0.3">
      <c r="A35" s="202" t="str">
        <f>_xlfn.XLOOKUP(B35,Table2[Account Name],Table2[Segmentation])</f>
        <v>A</v>
      </c>
      <c r="B35" s="143" t="str">
        <f>'Store Reset Data'!B31</f>
        <v>BOTTLE KING</v>
      </c>
      <c r="C35" s="138" t="str">
        <f>_xlfn.XLOOKUP(B35, 'Store Reset Data'!B:B, 'Store Reset Data'!E:E, "")</f>
        <v>909 PROSPECT ST, GLEN ROCK</v>
      </c>
      <c r="D35" s="138" t="str">
        <f>_xlfn.XLOOKUP(B35,'Store Reset Data'!B:B,'Store Reset Data'!D:D,"")</f>
        <v>GLEN ROCK</v>
      </c>
      <c r="E35" s="142">
        <f>_xlfn.XLOOKUP(B35,'Store Reset Data'!B:B,'Store Reset Data'!I:I, "")</f>
        <v>45771</v>
      </c>
      <c r="F35" s="188"/>
      <c r="G35" s="188"/>
      <c r="H35" s="170">
        <v>-0.09</v>
      </c>
      <c r="I35" s="139">
        <f>'Store Reset Data'!O31</f>
        <v>-0.18419715447154472</v>
      </c>
      <c r="J35" s="140">
        <f>'Store Reset Data'!W31</f>
        <v>-0.21793921423276502</v>
      </c>
      <c r="K35" s="141">
        <f>'Store Reset Data'!P31</f>
        <v>-0.08</v>
      </c>
      <c r="L35" s="187"/>
      <c r="M35" s="187"/>
    </row>
    <row r="36" spans="1:13" x14ac:dyDescent="0.3">
      <c r="A36" s="202" t="str">
        <f>_xlfn.XLOOKUP(B36,Table2[Account Name],Table2[Segmentation])</f>
        <v>C</v>
      </c>
      <c r="B36" s="143" t="str">
        <f>'Store Reset Data'!B9</f>
        <v>QUICK STOP WINE &amp; LIQUOR</v>
      </c>
      <c r="C36" s="138" t="str">
        <f>_xlfn.XLOOKUP(B36, 'Store Reset Data'!B:B, 'Store Reset Data'!E:E, "")</f>
        <v>83 GODWIN AVE, RIDGEWOOD</v>
      </c>
      <c r="D36" s="138" t="str">
        <f>_xlfn.XLOOKUP(B36,'Store Reset Data'!B:B,'Store Reset Data'!D:D,"")</f>
        <v>RIDGEWOOD</v>
      </c>
      <c r="E36" s="142">
        <f>_xlfn.XLOOKUP(B36,'Store Reset Data'!B:B,'Store Reset Data'!I:I, "")</f>
        <v>45687</v>
      </c>
      <c r="F36" s="156">
        <f>_xlfn.XLOOKUP(B36, 'Store Reset Data'!B:B, 'Store Reset Data'!AD:AD, "")</f>
        <v>-9.1898428053204348E-2</v>
      </c>
      <c r="G36" s="156">
        <f>_xlfn.XLOOKUP(B36,'Store Reset Data'!B:B,'Store Reset Data'!AL:AL, "")</f>
        <v>-0.21005917159763313</v>
      </c>
      <c r="H36" s="170">
        <v>-6.8000000000000005E-2</v>
      </c>
      <c r="I36" s="139">
        <f>'Store Reset Data'!O9</f>
        <v>-0.22385706778770362</v>
      </c>
      <c r="J36" s="140">
        <f>'Store Reset Data'!W9</f>
        <v>-0.35741444866920152</v>
      </c>
      <c r="K36" s="141">
        <f>'Store Reset Data'!P9</f>
        <v>-0.08</v>
      </c>
      <c r="L36" s="71">
        <f>_xlfn.XLOOKUP(B36,'Store Reset Data'!B:B,'Store Reset Data'!AC:AC,"")</f>
        <v>-76</v>
      </c>
      <c r="M36" s="71">
        <f>_xlfn.XLOOKUP(B36,'Store Reset Data'!B:B,'Store Reset Data'!AK:AK,"")</f>
        <v>-71</v>
      </c>
    </row>
    <row r="37" spans="1:13" x14ac:dyDescent="0.3">
      <c r="A37" s="202" t="str">
        <f>_xlfn.XLOOKUP(B37,Table2[Account Name],Table2[Segmentation])</f>
        <v>A</v>
      </c>
      <c r="B37" s="143" t="str">
        <f>'Store Reset Data'!B25</f>
        <v>ARCHIES LIQUOR</v>
      </c>
      <c r="C37" s="138" t="str">
        <f>_xlfn.XLOOKUP(B37, 'Store Reset Data'!B:B, 'Store Reset Data'!E:E, "")</f>
        <v>229 MAIN AVE, PASSAIC</v>
      </c>
      <c r="D37" s="138" t="str">
        <f>_xlfn.XLOOKUP(B37,'Store Reset Data'!B:B,'Store Reset Data'!D:D,"")</f>
        <v>PASSAIC</v>
      </c>
      <c r="E37" s="142">
        <f>_xlfn.XLOOKUP(B37,'Store Reset Data'!B:B,'Store Reset Data'!I:I, "")</f>
        <v>45761</v>
      </c>
      <c r="F37" s="156">
        <f>_xlfn.XLOOKUP(B37, 'Store Reset Data'!B:B, 'Store Reset Data'!AD:AD, "")</f>
        <v>-0.18797728607793224</v>
      </c>
      <c r="G37" s="156">
        <f>_xlfn.XLOOKUP(B37,'Store Reset Data'!B:B,'Store Reset Data'!AL:AL, "")</f>
        <v>-0.11259956553222303</v>
      </c>
      <c r="H37" s="170">
        <v>-6.7000000000000004E-2</v>
      </c>
      <c r="I37" s="139">
        <f>'Store Reset Data'!O25</f>
        <v>-0.18797728607793224</v>
      </c>
      <c r="J37" s="140">
        <f>'Store Reset Data'!W25</f>
        <v>-0.11259956553222303</v>
      </c>
      <c r="K37" s="141">
        <f>'Store Reset Data'!P25</f>
        <v>-8.4000000000000005E-2</v>
      </c>
      <c r="L37" s="71">
        <f>_xlfn.XLOOKUP(B37,'Store Reset Data'!B:B,'Store Reset Data'!AC:AC,"")</f>
        <v>-960</v>
      </c>
      <c r="M37" s="71">
        <f>_xlfn.XLOOKUP(B37,'Store Reset Data'!B:B,'Store Reset Data'!AK:AK,"")</f>
        <v>-311</v>
      </c>
    </row>
    <row r="38" spans="1:13" x14ac:dyDescent="0.3">
      <c r="A38" s="202" t="str">
        <f>_xlfn.XLOOKUP(B38,Table2[Account Name],Table2[Segmentation])</f>
        <v>C</v>
      </c>
      <c r="B38" s="143" t="str">
        <f>'Store Reset Data'!B43</f>
        <v>STEW LEONARDS WINES &amp; SPIRITS</v>
      </c>
      <c r="C38" s="138" t="str">
        <f>_xlfn.XLOOKUP(B38, 'Store Reset Data'!B:B, 'Store Reset Data'!E:E, "")</f>
        <v>700 PARAMUS PARK, PARAMUS</v>
      </c>
      <c r="D38" s="138" t="str">
        <f>_xlfn.XLOOKUP(B38,'Store Reset Data'!B:B,'Store Reset Data'!D:D,"")</f>
        <v>PARAMUS</v>
      </c>
      <c r="E38" s="142">
        <f>_xlfn.XLOOKUP(B38,'Store Reset Data'!B:B,'Store Reset Data'!I:I, "")</f>
        <v>45777</v>
      </c>
      <c r="F38" s="188"/>
      <c r="G38" s="188"/>
      <c r="H38" s="170">
        <v>-0.105</v>
      </c>
      <c r="I38" s="139">
        <f>'Store Reset Data'!O43</f>
        <v>-0.26754385964912281</v>
      </c>
      <c r="J38" s="140">
        <f>'Store Reset Data'!W43</f>
        <v>-0.23483146067415731</v>
      </c>
      <c r="K38" s="141">
        <f>'Store Reset Data'!P43</f>
        <v>-0.104</v>
      </c>
      <c r="L38" s="187"/>
      <c r="M38" s="187"/>
    </row>
    <row r="39" spans="1:13" ht="19.5" thickBot="1" x14ac:dyDescent="0.35">
      <c r="A39" s="158" t="str">
        <f>_xlfn.XLOOKUP(B39,Table2[Account Name],Table2[Segmentation])</f>
        <v>C</v>
      </c>
      <c r="B39" s="144" t="str">
        <f>'Store Reset Data'!B10</f>
        <v>CIRCLE LIQUORS</v>
      </c>
      <c r="C39" s="145" t="str">
        <f>_xlfn.XLOOKUP(B39, 'Store Reset Data'!B:B, 'Store Reset Data'!E:E, "")</f>
        <v>1 S MAIN ST STE 1, LODI</v>
      </c>
      <c r="D39" s="138" t="str">
        <f>_xlfn.XLOOKUP(B39,'Store Reset Data'!B:B,'Store Reset Data'!D:D,"")</f>
        <v>LODI</v>
      </c>
      <c r="E39" s="146">
        <f>_xlfn.XLOOKUP(B39,'Store Reset Data'!B:B,'Store Reset Data'!I:I, "")</f>
        <v>45720</v>
      </c>
      <c r="F39" s="156">
        <f>_xlfn.XLOOKUP(B39, 'Store Reset Data'!B:B, 'Store Reset Data'!AD:AD, "")</f>
        <v>-0.3139269406392694</v>
      </c>
      <c r="G39" s="156">
        <f>_xlfn.XLOOKUP(B39,'Store Reset Data'!B:B,'Store Reset Data'!AL:AL, "")</f>
        <v>-0.15643564356435644</v>
      </c>
      <c r="H39" s="163">
        <v>-0.05</v>
      </c>
      <c r="I39" s="147">
        <f>'Store Reset Data'!O10</f>
        <v>-0.34876773711725167</v>
      </c>
      <c r="J39" s="148">
        <f>'Store Reset Data'!W10</f>
        <v>-0.22133333333333333</v>
      </c>
      <c r="K39" s="149">
        <f>'Store Reset Data'!P10</f>
        <v>-8.1000000000000003E-2</v>
      </c>
      <c r="L39" s="71">
        <f>_xlfn.XLOOKUP(B39,'Store Reset Data'!B:B,'Store Reset Data'!AC:AC,"")</f>
        <v>-275</v>
      </c>
      <c r="M39" s="71">
        <f>_xlfn.XLOOKUP(B39,'Store Reset Data'!B:B,'Store Reset Data'!AK:AK,"")</f>
        <v>-79</v>
      </c>
    </row>
    <row r="41" spans="1:13" ht="16.5" thickBot="1" x14ac:dyDescent="0.3">
      <c r="A41" s="215" t="s">
        <v>181</v>
      </c>
      <c r="B41" s="215"/>
      <c r="C41" s="215"/>
    </row>
    <row r="42" spans="1:13" ht="16.5" thickBot="1" x14ac:dyDescent="0.3">
      <c r="A42" s="133" t="s">
        <v>252</v>
      </c>
      <c r="B42" s="189" t="s">
        <v>226</v>
      </c>
      <c r="C42" s="214" t="s">
        <v>186</v>
      </c>
    </row>
    <row r="43" spans="1:13" ht="15.75" x14ac:dyDescent="0.25">
      <c r="A43" s="190" t="s">
        <v>44</v>
      </c>
      <c r="B43" s="191">
        <f>AVERAGEIF($A$6:$A$39,A43,$F$6:$F$39)</f>
        <v>-4.4146888809490345E-2</v>
      </c>
      <c r="C43" s="192">
        <f>AVERAGEIF($A$6:$A$39,A43,$G$6:$G$39)</f>
        <v>-1.5265112748846099E-2</v>
      </c>
    </row>
    <row r="44" spans="1:13" ht="15.75" x14ac:dyDescent="0.25">
      <c r="A44" s="193" t="s">
        <v>14</v>
      </c>
      <c r="B44" s="194">
        <f>AVERAGEIF($A$6:$A$39,A44,$F$6:$F$39)</f>
        <v>-1.2879529863305146E-3</v>
      </c>
      <c r="C44" s="195">
        <f>AVERAGEIF($A$6:$A$39,A44,$G$6:$G$39)</f>
        <v>6.9554741405277884E-2</v>
      </c>
      <c r="F44" s="70"/>
      <c r="G44" s="70"/>
      <c r="H44" s="70"/>
      <c r="I44" s="127">
        <f>AVERAGE(I6:I39)</f>
        <v>-6.828623834252133E-2</v>
      </c>
      <c r="J44" s="127">
        <f>AVERAGE(J6:J39)</f>
        <v>-3.8587889896305738E-2</v>
      </c>
      <c r="K44" s="128">
        <f>AVERAGE(K6:K39)</f>
        <v>-8.0647058823529433E-2</v>
      </c>
    </row>
    <row r="45" spans="1:13" ht="16.5" thickBot="1" x14ac:dyDescent="0.3">
      <c r="A45" s="196" t="s">
        <v>22</v>
      </c>
      <c r="B45" s="197">
        <f>AVERAGEIF($A$6:$A$39,A45,$F$6:$F$39)</f>
        <v>-2.2138986874138306E-2</v>
      </c>
      <c r="C45" s="198">
        <f>AVERAGEIF($A$6:$A$39,A45,$G$6:$G$39)</f>
        <v>-3.9090535281821367E-2</v>
      </c>
      <c r="F45" s="70"/>
      <c r="G45" s="70"/>
      <c r="H45" s="70"/>
      <c r="I45" s="131" cm="1">
        <f t="array" ref="I45">SUMPRODUCT(--(I6:I39&gt;K6:K39))</f>
        <v>19</v>
      </c>
      <c r="J45" s="131" cm="1">
        <f t="array" ref="J45">SUMPRODUCT(--(J6:J39&gt;K6:K39))</f>
        <v>19</v>
      </c>
      <c r="K45" s="128"/>
    </row>
    <row r="46" spans="1:13" x14ac:dyDescent="0.3">
      <c r="C46" s="164"/>
      <c r="D46" s="164"/>
      <c r="E46" s="164"/>
      <c r="F46" s="70"/>
      <c r="G46" s="70"/>
      <c r="H46" s="70"/>
      <c r="I46" s="73"/>
      <c r="J46" s="129" cm="1">
        <f t="array" ref="J46">SUMPRODUCT(--(J6:J39&gt;I6:I39))</f>
        <v>22</v>
      </c>
    </row>
    <row r="47" spans="1:13" ht="19.5" thickBot="1" x14ac:dyDescent="0.35">
      <c r="A47" s="215" t="s">
        <v>251</v>
      </c>
      <c r="B47" s="215"/>
      <c r="C47" s="215"/>
      <c r="F47" s="168"/>
      <c r="G47" s="167"/>
      <c r="H47" s="167"/>
    </row>
    <row r="48" spans="1:13" ht="16.5" thickBot="1" x14ac:dyDescent="0.3">
      <c r="A48" s="133" t="s">
        <v>252</v>
      </c>
      <c r="B48" s="189" t="s">
        <v>226</v>
      </c>
      <c r="C48" s="214" t="s">
        <v>186</v>
      </c>
    </row>
    <row r="49" spans="1:3" ht="15.75" x14ac:dyDescent="0.25">
      <c r="A49" s="190" t="s">
        <v>44</v>
      </c>
      <c r="B49" s="199">
        <f>AVERAGEIF($A$6:$A$39,A43,$L$6:$L$39)</f>
        <v>-382.2</v>
      </c>
      <c r="C49" s="199">
        <f>AVERAGEIF($A$6:$A$39,A49,$M$6:$M$39)</f>
        <v>6.4545454545454541</v>
      </c>
    </row>
    <row r="50" spans="1:3" ht="15.75" x14ac:dyDescent="0.25">
      <c r="A50" s="193" t="s">
        <v>14</v>
      </c>
      <c r="B50" s="200">
        <f>AVERAGEIF($A$6:$A$39,A44,$L$6:$L$39)</f>
        <v>-30.333333333333332</v>
      </c>
      <c r="C50" s="200">
        <f>AVERAGEIF($A$6:$A$39,A50,$M$6:$M$39)</f>
        <v>17</v>
      </c>
    </row>
    <row r="51" spans="1:3" ht="16.5" thickBot="1" x14ac:dyDescent="0.3">
      <c r="A51" s="196" t="s">
        <v>22</v>
      </c>
      <c r="B51" s="201">
        <f>AVERAGEIF($A$6:$A$39,A45,$L$6:$L$39)</f>
        <v>-58.888888888888886</v>
      </c>
      <c r="C51" s="201">
        <f>AVERAGEIF($A$6:$A$39,A51,$M$6:$M$39)</f>
        <v>-10.111111111111111</v>
      </c>
    </row>
  </sheetData>
  <autoFilter ref="A9:G46" xr:uid="{E7A38AC2-E536-475E-964B-C8905966F13A}"/>
  <sortState xmlns:xlrd2="http://schemas.microsoft.com/office/spreadsheetml/2017/richdata2" ref="B10:K46">
    <sortCondition descending="1" ref="F8:F43"/>
  </sortState>
  <mergeCells count="5">
    <mergeCell ref="A41:C41"/>
    <mergeCell ref="A47:C47"/>
    <mergeCell ref="L4:M4"/>
    <mergeCell ref="F4:G4"/>
    <mergeCell ref="F3:H3"/>
  </mergeCells>
  <conditionalFormatting sqref="I6:I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39 F6:G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A6C2-EBA2-492D-BCDC-21B8253BF602}">
  <dimension ref="A1:AO73"/>
  <sheetViews>
    <sheetView topLeftCell="B1" zoomScale="101" zoomScaleNormal="175" workbookViewId="0">
      <pane xSplit="1" ySplit="3" topLeftCell="AE4" activePane="bottomRight" state="frozen"/>
      <selection activeCell="B1" sqref="B1"/>
      <selection pane="topRight" activeCell="C1" sqref="C1"/>
      <selection pane="bottomLeft" activeCell="B4" sqref="B4"/>
      <selection pane="bottomRight" activeCell="AC8" sqref="AC8"/>
    </sheetView>
  </sheetViews>
  <sheetFormatPr defaultRowHeight="15" x14ac:dyDescent="0.25"/>
  <cols>
    <col min="1" max="1" width="13.28515625" hidden="1" customWidth="1"/>
    <col min="2" max="2" width="38.42578125" customWidth="1"/>
    <col min="3" max="3" width="27.140625" hidden="1" customWidth="1"/>
    <col min="4" max="4" width="16.7109375" hidden="1" customWidth="1"/>
    <col min="5" max="5" width="52" customWidth="1"/>
    <col min="6" max="6" width="14.42578125" hidden="1" customWidth="1"/>
    <col min="7" max="7" width="10.7109375" hidden="1" customWidth="1"/>
    <col min="8" max="8" width="18.140625" customWidth="1"/>
    <col min="9" max="9" width="17.7109375" customWidth="1"/>
    <col min="10" max="10" width="31" customWidth="1"/>
    <col min="11" max="11" width="28.85546875" hidden="1" customWidth="1"/>
    <col min="12" max="14" width="21.140625" hidden="1" customWidth="1"/>
    <col min="15" max="15" width="14.42578125" style="47" hidden="1" customWidth="1"/>
    <col min="16" max="16" width="21.5703125" style="48" hidden="1" customWidth="1"/>
    <col min="17" max="18" width="27.28515625" hidden="1" customWidth="1"/>
    <col min="19" max="19" width="25.85546875" hidden="1" customWidth="1"/>
    <col min="20" max="22" width="22.28515625" hidden="1" customWidth="1"/>
    <col min="23" max="23" width="15.85546875" style="46" hidden="1" customWidth="1"/>
    <col min="24" max="25" width="28.5703125" hidden="1" customWidth="1"/>
    <col min="26" max="26" width="27.140625" hidden="1" customWidth="1"/>
    <col min="27" max="29" width="22.28515625" customWidth="1"/>
    <col min="30" max="30" width="17" customWidth="1"/>
    <col min="31" max="31" width="24.140625" customWidth="1"/>
    <col min="32" max="33" width="29.85546875" customWidth="1"/>
    <col min="34" max="34" width="28.42578125" customWidth="1"/>
    <col min="35" max="37" width="23.5703125" customWidth="1"/>
    <col min="38" max="38" width="17" customWidth="1"/>
    <col min="39" max="40" width="29.85546875" customWidth="1"/>
    <col min="41" max="41" width="28.42578125" customWidth="1"/>
  </cols>
  <sheetData>
    <row r="1" spans="1:41" ht="21.75" thickBot="1" x14ac:dyDescent="0.4">
      <c r="L1" s="226" t="s">
        <v>198</v>
      </c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8"/>
      <c r="AA1" s="182" t="s">
        <v>196</v>
      </c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4"/>
    </row>
    <row r="2" spans="1:41" ht="21.75" thickBot="1" x14ac:dyDescent="0.4">
      <c r="L2" s="223" t="s">
        <v>187</v>
      </c>
      <c r="M2" s="224"/>
      <c r="N2" s="224"/>
      <c r="O2" s="224"/>
      <c r="P2" s="224"/>
      <c r="Q2" s="224"/>
      <c r="R2" s="224"/>
      <c r="S2" s="225"/>
      <c r="T2" s="221" t="s">
        <v>186</v>
      </c>
      <c r="U2" s="222"/>
      <c r="V2" s="222"/>
      <c r="W2" s="222"/>
      <c r="X2" s="222"/>
      <c r="Y2" s="222"/>
      <c r="Z2" s="222"/>
      <c r="AA2" s="185" t="s">
        <v>197</v>
      </c>
      <c r="AB2" s="185"/>
      <c r="AC2" s="185"/>
      <c r="AD2" s="185"/>
      <c r="AE2" s="185"/>
      <c r="AF2" s="185"/>
      <c r="AG2" s="185"/>
      <c r="AH2" s="185"/>
      <c r="AI2" s="186" t="s">
        <v>186</v>
      </c>
      <c r="AJ2" s="186"/>
      <c r="AK2" s="186"/>
      <c r="AL2" s="186"/>
      <c r="AM2" s="186"/>
      <c r="AN2" s="186"/>
      <c r="AO2" s="186"/>
    </row>
    <row r="3" spans="1:41" ht="15.75" x14ac:dyDescent="0.25">
      <c r="A3" s="77" t="s">
        <v>0</v>
      </c>
      <c r="B3" s="78" t="s">
        <v>1</v>
      </c>
      <c r="C3" s="78" t="s">
        <v>2</v>
      </c>
      <c r="D3" s="78" t="s">
        <v>3</v>
      </c>
      <c r="E3" s="78" t="s">
        <v>199</v>
      </c>
      <c r="F3" s="78" t="s">
        <v>4</v>
      </c>
      <c r="G3" s="78" t="s">
        <v>5</v>
      </c>
      <c r="H3" s="78" t="s">
        <v>6</v>
      </c>
      <c r="I3" s="79" t="s">
        <v>7</v>
      </c>
      <c r="J3" s="79" t="s">
        <v>8</v>
      </c>
      <c r="K3" s="80" t="s">
        <v>9</v>
      </c>
      <c r="L3" s="81" t="s">
        <v>179</v>
      </c>
      <c r="M3" s="82" t="s">
        <v>180</v>
      </c>
      <c r="N3" s="82" t="s">
        <v>249</v>
      </c>
      <c r="O3" s="83" t="s">
        <v>181</v>
      </c>
      <c r="P3" s="84" t="s">
        <v>185</v>
      </c>
      <c r="Q3" s="85" t="s">
        <v>182</v>
      </c>
      <c r="R3" s="86" t="s">
        <v>183</v>
      </c>
      <c r="S3" s="74" t="s">
        <v>184</v>
      </c>
      <c r="T3" s="76" t="s">
        <v>200</v>
      </c>
      <c r="U3" s="87" t="s">
        <v>201</v>
      </c>
      <c r="V3" s="173" t="s">
        <v>250</v>
      </c>
      <c r="W3" s="172" t="s">
        <v>202</v>
      </c>
      <c r="X3" s="89" t="s">
        <v>203</v>
      </c>
      <c r="Y3" s="75" t="s">
        <v>204</v>
      </c>
      <c r="Z3" s="90" t="s">
        <v>205</v>
      </c>
      <c r="AA3" s="81" t="s">
        <v>206</v>
      </c>
      <c r="AB3" s="82" t="s">
        <v>207</v>
      </c>
      <c r="AC3" s="82" t="s">
        <v>254</v>
      </c>
      <c r="AD3" s="83" t="s">
        <v>208</v>
      </c>
      <c r="AE3" s="84" t="s">
        <v>209</v>
      </c>
      <c r="AF3" s="85" t="s">
        <v>210</v>
      </c>
      <c r="AG3" s="86" t="s">
        <v>211</v>
      </c>
      <c r="AH3" s="74" t="s">
        <v>212</v>
      </c>
      <c r="AI3" s="76" t="s">
        <v>213</v>
      </c>
      <c r="AJ3" s="87" t="s">
        <v>214</v>
      </c>
      <c r="AK3" s="173" t="s">
        <v>255</v>
      </c>
      <c r="AL3" s="88" t="s">
        <v>215</v>
      </c>
      <c r="AM3" s="89" t="s">
        <v>216</v>
      </c>
      <c r="AN3" s="75" t="s">
        <v>217</v>
      </c>
      <c r="AO3" s="91" t="s">
        <v>218</v>
      </c>
    </row>
    <row r="4" spans="1:41" x14ac:dyDescent="0.25">
      <c r="A4" s="1">
        <v>7564593</v>
      </c>
      <c r="B4" s="117" t="s">
        <v>10</v>
      </c>
      <c r="C4" s="2" t="s">
        <v>11</v>
      </c>
      <c r="D4" s="2" t="s">
        <v>12</v>
      </c>
      <c r="E4" s="2" t="str">
        <f>C4 &amp; ", " &amp; D4</f>
        <v>67 VER VALEN ST, CLOSTER</v>
      </c>
      <c r="F4" s="2" t="s">
        <v>13</v>
      </c>
      <c r="G4" s="2">
        <v>7624</v>
      </c>
      <c r="H4" s="2" t="s">
        <v>14</v>
      </c>
      <c r="I4" s="3">
        <v>45664</v>
      </c>
      <c r="J4" s="4" t="s">
        <v>15</v>
      </c>
      <c r="K4" s="49" t="s">
        <v>15</v>
      </c>
      <c r="L4" s="52">
        <v>5001</v>
      </c>
      <c r="M4">
        <v>4613</v>
      </c>
      <c r="N4">
        <f>Table2[[#This Row],[2025 Cases Sold]]-Table2[[#This Row],[2024 Cases Sold]]</f>
        <v>-388</v>
      </c>
      <c r="O4" s="57">
        <f>(M4-L4)/L4</f>
        <v>-7.7584483103379329E-2</v>
      </c>
      <c r="P4" s="58">
        <v>-7.8E-2</v>
      </c>
      <c r="Q4" s="52">
        <v>303</v>
      </c>
      <c r="R4">
        <v>403</v>
      </c>
      <c r="S4" s="67">
        <f>R4-Q4</f>
        <v>100</v>
      </c>
      <c r="T4" s="52">
        <v>1190</v>
      </c>
      <c r="U4">
        <v>1022</v>
      </c>
      <c r="V4">
        <f>Table2[[#This Row],[2025 Cases Sold3]]-Table2[[#This Row],[2024 Cases Sold2]]</f>
        <v>-168</v>
      </c>
      <c r="W4" s="64">
        <f>(U4-T4)/T4</f>
        <v>-0.14117647058823529</v>
      </c>
      <c r="X4" s="52">
        <v>25</v>
      </c>
      <c r="Y4">
        <v>32</v>
      </c>
      <c r="Z4" s="67">
        <f>Y4-X4</f>
        <v>7</v>
      </c>
      <c r="AA4" s="52">
        <v>1919</v>
      </c>
      <c r="AB4">
        <v>1999</v>
      </c>
      <c r="AC4">
        <f>Table2[[#This Row],[2025 Cases Sold9]]-Table2[[#This Row],[2024 Cases Sold8]]</f>
        <v>80</v>
      </c>
      <c r="AD4" s="57">
        <f>(AB4-AA4)/AA4</f>
        <v>4.1688379364252216E-2</v>
      </c>
      <c r="AE4" s="58"/>
      <c r="AF4" s="52">
        <v>190</v>
      </c>
      <c r="AG4">
        <v>254</v>
      </c>
      <c r="AH4" s="67"/>
      <c r="AI4" s="52">
        <v>374</v>
      </c>
      <c r="AJ4">
        <v>440</v>
      </c>
      <c r="AK4">
        <f>Table2[[#This Row],[2025 Cases Sold16]]-Table2[[#This Row],[2024 Cases Sold15]]</f>
        <v>66</v>
      </c>
      <c r="AL4" s="64">
        <f>(AJ4-AI4)/AI4</f>
        <v>0.17647058823529413</v>
      </c>
      <c r="AM4" s="52">
        <v>14</v>
      </c>
      <c r="AN4">
        <v>25</v>
      </c>
    </row>
    <row r="5" spans="1:41" x14ac:dyDescent="0.25">
      <c r="A5" s="1">
        <v>883428</v>
      </c>
      <c r="B5" s="117" t="s">
        <v>16</v>
      </c>
      <c r="C5" s="2" t="s">
        <v>17</v>
      </c>
      <c r="D5" s="2" t="s">
        <v>18</v>
      </c>
      <c r="E5" s="2" t="str">
        <f t="shared" ref="E5:E68" si="0">C5 &amp; ", " &amp; D5</f>
        <v>14 RIVEREDGE RD, TENAFLY</v>
      </c>
      <c r="F5" s="2" t="s">
        <v>13</v>
      </c>
      <c r="G5" s="2">
        <v>7670</v>
      </c>
      <c r="H5" s="2" t="s">
        <v>14</v>
      </c>
      <c r="I5" s="3">
        <v>45670</v>
      </c>
      <c r="J5" s="4" t="s">
        <v>15</v>
      </c>
      <c r="K5" s="49" t="s">
        <v>15</v>
      </c>
      <c r="L5" s="52">
        <v>4203</v>
      </c>
      <c r="M5">
        <v>3824</v>
      </c>
      <c r="N5">
        <f>Table2[[#This Row],[2025 Cases Sold]]-Table2[[#This Row],[2024 Cases Sold]]</f>
        <v>-379</v>
      </c>
      <c r="O5" s="57">
        <f t="shared" ref="O5:O9" si="1">(M5-L5)/L5</f>
        <v>-9.0173685462764691E-2</v>
      </c>
      <c r="P5" s="58">
        <v>-0.08</v>
      </c>
      <c r="Q5" s="52">
        <v>176</v>
      </c>
      <c r="R5">
        <v>192</v>
      </c>
      <c r="S5" s="67">
        <f t="shared" ref="S5:S13" si="2">R5-Q5</f>
        <v>16</v>
      </c>
      <c r="T5" s="52">
        <v>1673</v>
      </c>
      <c r="U5">
        <v>1818</v>
      </c>
      <c r="V5">
        <f>Table2[[#This Row],[2025 Cases Sold3]]-Table2[[#This Row],[2024 Cases Sold2]]</f>
        <v>145</v>
      </c>
      <c r="W5" s="64">
        <f t="shared" ref="W5:W31" si="3">(U5-T5)/T5</f>
        <v>8.6670651524208012E-2</v>
      </c>
      <c r="X5" s="52">
        <v>31</v>
      </c>
      <c r="Y5">
        <v>39</v>
      </c>
      <c r="Z5" s="67">
        <f t="shared" ref="Z5:Z31" si="4">Y5-X5</f>
        <v>8</v>
      </c>
      <c r="AA5" s="52">
        <v>1741</v>
      </c>
      <c r="AB5">
        <v>1592</v>
      </c>
      <c r="AC5">
        <f>Table2[[#This Row],[2025 Cases Sold9]]-Table2[[#This Row],[2024 Cases Sold8]]</f>
        <v>-149</v>
      </c>
      <c r="AD5" s="57">
        <f t="shared" ref="AD5:AD26" si="5">(AB5-AA5)/AA5</f>
        <v>-8.5582998276852382E-2</v>
      </c>
      <c r="AE5" s="58"/>
      <c r="AF5" s="52">
        <v>145</v>
      </c>
      <c r="AG5">
        <v>151</v>
      </c>
      <c r="AH5" s="67"/>
      <c r="AI5" s="52">
        <v>641</v>
      </c>
      <c r="AJ5">
        <v>673</v>
      </c>
      <c r="AK5">
        <f>Table2[[#This Row],[2025 Cases Sold16]]-Table2[[#This Row],[2024 Cases Sold15]]</f>
        <v>32</v>
      </c>
      <c r="AL5" s="64">
        <f t="shared" ref="AL5:AL26" si="6">(AJ5-AI5)/AI5</f>
        <v>4.9921996879875197E-2</v>
      </c>
      <c r="AM5" s="52">
        <v>27</v>
      </c>
      <c r="AN5">
        <v>31</v>
      </c>
    </row>
    <row r="6" spans="1:41" x14ac:dyDescent="0.25">
      <c r="A6" s="1">
        <v>883818</v>
      </c>
      <c r="B6" s="117" t="s">
        <v>19</v>
      </c>
      <c r="C6" s="2" t="s">
        <v>20</v>
      </c>
      <c r="D6" s="2" t="s">
        <v>21</v>
      </c>
      <c r="E6" s="2" t="str">
        <f t="shared" si="0"/>
        <v>251 ELM ST, ELMWOOD PARK</v>
      </c>
      <c r="F6" s="2" t="s">
        <v>13</v>
      </c>
      <c r="G6" s="2">
        <v>7407</v>
      </c>
      <c r="H6" s="2" t="s">
        <v>22</v>
      </c>
      <c r="I6" s="3">
        <v>45677</v>
      </c>
      <c r="J6" s="4" t="s">
        <v>15</v>
      </c>
      <c r="K6" s="49" t="s">
        <v>15</v>
      </c>
      <c r="L6" s="52">
        <v>2060</v>
      </c>
      <c r="M6">
        <v>1969</v>
      </c>
      <c r="N6">
        <f>Table2[[#This Row],[2025 Cases Sold]]-Table2[[#This Row],[2024 Cases Sold]]</f>
        <v>-91</v>
      </c>
      <c r="O6" s="57">
        <f t="shared" si="1"/>
        <v>-4.4174757281553401E-2</v>
      </c>
      <c r="P6" s="58">
        <v>-7.3999999999999996E-2</v>
      </c>
      <c r="Q6" s="52">
        <v>109</v>
      </c>
      <c r="R6">
        <v>113</v>
      </c>
      <c r="S6" s="67">
        <f t="shared" si="2"/>
        <v>4</v>
      </c>
      <c r="T6" s="52">
        <v>950</v>
      </c>
      <c r="U6">
        <v>745</v>
      </c>
      <c r="V6">
        <f>Table2[[#This Row],[2025 Cases Sold3]]-Table2[[#This Row],[2024 Cases Sold2]]</f>
        <v>-205</v>
      </c>
      <c r="W6" s="64">
        <f t="shared" si="3"/>
        <v>-0.21578947368421053</v>
      </c>
      <c r="X6" s="52">
        <v>25</v>
      </c>
      <c r="Y6">
        <v>28</v>
      </c>
      <c r="Z6" s="67">
        <f t="shared" si="4"/>
        <v>3</v>
      </c>
      <c r="AA6" s="52">
        <v>890</v>
      </c>
      <c r="AB6">
        <v>980</v>
      </c>
      <c r="AC6">
        <f>Table2[[#This Row],[2025 Cases Sold9]]-Table2[[#This Row],[2024 Cases Sold8]]</f>
        <v>90</v>
      </c>
      <c r="AD6" s="57">
        <f t="shared" si="5"/>
        <v>0.10112359550561797</v>
      </c>
      <c r="AE6" s="58"/>
      <c r="AF6" s="52">
        <v>87</v>
      </c>
      <c r="AG6">
        <v>97</v>
      </c>
      <c r="AH6" s="67"/>
      <c r="AI6" s="52">
        <v>366</v>
      </c>
      <c r="AJ6">
        <v>340</v>
      </c>
      <c r="AK6">
        <f>Table2[[#This Row],[2025 Cases Sold16]]-Table2[[#This Row],[2024 Cases Sold15]]</f>
        <v>-26</v>
      </c>
      <c r="AL6" s="64">
        <f t="shared" si="6"/>
        <v>-7.1038251366120214E-2</v>
      </c>
      <c r="AM6" s="52">
        <v>25</v>
      </c>
      <c r="AN6">
        <v>25</v>
      </c>
    </row>
    <row r="7" spans="1:41" x14ac:dyDescent="0.25">
      <c r="A7" s="1">
        <v>1408721</v>
      </c>
      <c r="B7" s="117" t="s">
        <v>23</v>
      </c>
      <c r="C7" s="2" t="s">
        <v>24</v>
      </c>
      <c r="D7" s="2" t="s">
        <v>25</v>
      </c>
      <c r="E7" s="2" t="str">
        <f t="shared" si="0"/>
        <v>126 RIDGE RD, NORTH ARLINGTON</v>
      </c>
      <c r="F7" s="2" t="s">
        <v>13</v>
      </c>
      <c r="G7" s="2">
        <v>7031</v>
      </c>
      <c r="H7" s="2" t="s">
        <v>22</v>
      </c>
      <c r="I7" s="3">
        <v>45680</v>
      </c>
      <c r="J7" s="4" t="s">
        <v>15</v>
      </c>
      <c r="K7" s="49" t="s">
        <v>15</v>
      </c>
      <c r="L7" s="52">
        <v>2587</v>
      </c>
      <c r="M7">
        <v>2501</v>
      </c>
      <c r="N7">
        <f>Table2[[#This Row],[2025 Cases Sold]]-Table2[[#This Row],[2024 Cases Sold]]</f>
        <v>-86</v>
      </c>
      <c r="O7" s="57">
        <f t="shared" si="1"/>
        <v>-3.3243138770776962E-2</v>
      </c>
      <c r="P7" s="58">
        <v>-7.3999999999999996E-2</v>
      </c>
      <c r="Q7" s="52">
        <v>280</v>
      </c>
      <c r="R7">
        <v>272</v>
      </c>
      <c r="S7" s="67">
        <f t="shared" si="2"/>
        <v>-8</v>
      </c>
      <c r="T7" s="52">
        <v>893</v>
      </c>
      <c r="U7">
        <v>883</v>
      </c>
      <c r="V7">
        <f>Table2[[#This Row],[2025 Cases Sold3]]-Table2[[#This Row],[2024 Cases Sold2]]</f>
        <v>-10</v>
      </c>
      <c r="W7" s="64">
        <f t="shared" si="3"/>
        <v>-1.1198208286674132E-2</v>
      </c>
      <c r="X7" s="52">
        <v>42</v>
      </c>
      <c r="Y7">
        <v>38</v>
      </c>
      <c r="Z7" s="67">
        <f t="shared" si="4"/>
        <v>-4</v>
      </c>
      <c r="AA7" s="52">
        <v>1292</v>
      </c>
      <c r="AB7">
        <v>1162</v>
      </c>
      <c r="AC7">
        <f>Table2[[#This Row],[2025 Cases Sold9]]-Table2[[#This Row],[2024 Cases Sold8]]</f>
        <v>-130</v>
      </c>
      <c r="AD7" s="57">
        <f t="shared" si="5"/>
        <v>-0.10061919504643962</v>
      </c>
      <c r="AE7" s="58"/>
      <c r="AF7" s="52">
        <v>232</v>
      </c>
      <c r="AG7">
        <v>215</v>
      </c>
      <c r="AH7" s="67"/>
      <c r="AI7" s="52">
        <v>407</v>
      </c>
      <c r="AJ7">
        <v>382</v>
      </c>
      <c r="AK7">
        <f>Table2[[#This Row],[2025 Cases Sold16]]-Table2[[#This Row],[2024 Cases Sold15]]</f>
        <v>-25</v>
      </c>
      <c r="AL7" s="64">
        <f t="shared" si="6"/>
        <v>-6.1425061425061427E-2</v>
      </c>
      <c r="AM7" s="52">
        <v>36</v>
      </c>
      <c r="AN7">
        <v>34</v>
      </c>
    </row>
    <row r="8" spans="1:41" x14ac:dyDescent="0.25">
      <c r="A8" s="5">
        <v>883360</v>
      </c>
      <c r="B8" s="117" t="s">
        <v>26</v>
      </c>
      <c r="C8" s="6" t="s">
        <v>27</v>
      </c>
      <c r="D8" s="6" t="s">
        <v>28</v>
      </c>
      <c r="E8" s="2" t="str">
        <f t="shared" si="0"/>
        <v>292 LAKEVIEW AVE, CLIFTON</v>
      </c>
      <c r="F8" s="6" t="s">
        <v>13</v>
      </c>
      <c r="G8" s="6">
        <v>7011</v>
      </c>
      <c r="H8" s="6" t="s">
        <v>14</v>
      </c>
      <c r="I8" s="7">
        <v>45685</v>
      </c>
      <c r="J8" s="4" t="s">
        <v>15</v>
      </c>
      <c r="K8" s="49" t="s">
        <v>15</v>
      </c>
      <c r="L8" s="52">
        <v>6895</v>
      </c>
      <c r="M8">
        <v>6900</v>
      </c>
      <c r="N8">
        <f>Table2[[#This Row],[2025 Cases Sold]]-Table2[[#This Row],[2024 Cases Sold]]</f>
        <v>5</v>
      </c>
      <c r="O8" s="57">
        <f t="shared" si="1"/>
        <v>7.2516316171138508E-4</v>
      </c>
      <c r="P8" s="58">
        <v>-0.08</v>
      </c>
      <c r="Q8" s="52">
        <v>306</v>
      </c>
      <c r="R8">
        <v>298</v>
      </c>
      <c r="S8" s="67">
        <f t="shared" si="2"/>
        <v>-8</v>
      </c>
      <c r="T8" s="52">
        <v>3926</v>
      </c>
      <c r="U8">
        <v>3876</v>
      </c>
      <c r="V8">
        <f>Table2[[#This Row],[2025 Cases Sold3]]-Table2[[#This Row],[2024 Cases Sold2]]</f>
        <v>-50</v>
      </c>
      <c r="W8" s="64">
        <f t="shared" si="3"/>
        <v>-1.2735608762098829E-2</v>
      </c>
      <c r="X8" s="52">
        <v>50</v>
      </c>
      <c r="Y8">
        <v>54</v>
      </c>
      <c r="Z8" s="67">
        <f t="shared" si="4"/>
        <v>4</v>
      </c>
      <c r="AA8" s="52">
        <v>3384</v>
      </c>
      <c r="AB8">
        <v>3156</v>
      </c>
      <c r="AC8">
        <f>Table2[[#This Row],[2025 Cases Sold9]]-Table2[[#This Row],[2024 Cases Sold8]]</f>
        <v>-228</v>
      </c>
      <c r="AD8" s="57">
        <f t="shared" si="5"/>
        <v>-6.7375886524822695E-2</v>
      </c>
      <c r="AE8" s="58"/>
      <c r="AF8" s="52">
        <v>234</v>
      </c>
      <c r="AG8">
        <v>233</v>
      </c>
      <c r="AH8" s="67"/>
      <c r="AI8" s="52">
        <v>1954</v>
      </c>
      <c r="AJ8">
        <v>1781</v>
      </c>
      <c r="AK8">
        <f>Table2[[#This Row],[2025 Cases Sold16]]-Table2[[#This Row],[2024 Cases Sold15]]</f>
        <v>-173</v>
      </c>
      <c r="AL8" s="64">
        <f t="shared" si="6"/>
        <v>-8.8536335721596721E-2</v>
      </c>
      <c r="AM8" s="52">
        <v>47</v>
      </c>
      <c r="AN8">
        <v>43</v>
      </c>
    </row>
    <row r="9" spans="1:41" x14ac:dyDescent="0.25">
      <c r="A9" s="8">
        <v>925590</v>
      </c>
      <c r="B9" s="122" t="s">
        <v>29</v>
      </c>
      <c r="C9" s="9" t="s">
        <v>30</v>
      </c>
      <c r="D9" s="9" t="s">
        <v>31</v>
      </c>
      <c r="E9" s="2" t="str">
        <f t="shared" si="0"/>
        <v>83 GODWIN AVE, RIDGEWOOD</v>
      </c>
      <c r="F9" s="9" t="s">
        <v>13</v>
      </c>
      <c r="G9" s="9">
        <v>7450</v>
      </c>
      <c r="H9" s="9" t="s">
        <v>22</v>
      </c>
      <c r="I9" s="7">
        <v>45687</v>
      </c>
      <c r="J9" s="4" t="s">
        <v>15</v>
      </c>
      <c r="K9" s="49" t="s">
        <v>15</v>
      </c>
      <c r="L9" s="52">
        <v>1903</v>
      </c>
      <c r="M9">
        <v>1477</v>
      </c>
      <c r="N9">
        <f>Table2[[#This Row],[2025 Cases Sold]]-Table2[[#This Row],[2024 Cases Sold]]</f>
        <v>-426</v>
      </c>
      <c r="O9" s="57">
        <f t="shared" si="1"/>
        <v>-0.22385706778770362</v>
      </c>
      <c r="P9" s="59">
        <v>-0.08</v>
      </c>
      <c r="Q9" s="52">
        <v>247</v>
      </c>
      <c r="R9">
        <v>214</v>
      </c>
      <c r="S9" s="67">
        <f t="shared" si="2"/>
        <v>-33</v>
      </c>
      <c r="T9" s="52">
        <v>789</v>
      </c>
      <c r="U9">
        <v>507</v>
      </c>
      <c r="V9">
        <f>Table2[[#This Row],[2025 Cases Sold3]]-Table2[[#This Row],[2024 Cases Sold2]]</f>
        <v>-282</v>
      </c>
      <c r="W9" s="64">
        <f t="shared" si="3"/>
        <v>-0.35741444866920152</v>
      </c>
      <c r="X9" s="52">
        <v>32</v>
      </c>
      <c r="Y9">
        <v>27</v>
      </c>
      <c r="Z9" s="67">
        <f t="shared" si="4"/>
        <v>-5</v>
      </c>
      <c r="AA9" s="52">
        <v>827</v>
      </c>
      <c r="AB9">
        <v>751</v>
      </c>
      <c r="AC9">
        <f>Table2[[#This Row],[2025 Cases Sold9]]-Table2[[#This Row],[2024 Cases Sold8]]</f>
        <v>-76</v>
      </c>
      <c r="AD9" s="57">
        <f t="shared" si="5"/>
        <v>-9.1898428053204348E-2</v>
      </c>
      <c r="AE9" s="59"/>
      <c r="AF9" s="52">
        <v>185</v>
      </c>
      <c r="AG9">
        <v>168</v>
      </c>
      <c r="AH9" s="67"/>
      <c r="AI9" s="52">
        <v>338</v>
      </c>
      <c r="AJ9">
        <v>267</v>
      </c>
      <c r="AK9">
        <f>Table2[[#This Row],[2025 Cases Sold16]]-Table2[[#This Row],[2024 Cases Sold15]]</f>
        <v>-71</v>
      </c>
      <c r="AL9" s="64">
        <f t="shared" si="6"/>
        <v>-0.21005917159763313</v>
      </c>
      <c r="AM9" s="52">
        <v>25</v>
      </c>
      <c r="AN9">
        <v>24</v>
      </c>
    </row>
    <row r="10" spans="1:41" x14ac:dyDescent="0.25">
      <c r="A10" s="8">
        <v>2031047</v>
      </c>
      <c r="B10" s="10" t="s">
        <v>32</v>
      </c>
      <c r="C10" s="9" t="s">
        <v>33</v>
      </c>
      <c r="D10" s="9" t="s">
        <v>34</v>
      </c>
      <c r="E10" s="2" t="str">
        <f t="shared" si="0"/>
        <v>1 S MAIN ST STE 1, LODI</v>
      </c>
      <c r="F10" s="9" t="s">
        <v>13</v>
      </c>
      <c r="G10" s="9">
        <v>7644</v>
      </c>
      <c r="H10" s="6" t="s">
        <v>22</v>
      </c>
      <c r="I10" s="7">
        <v>45720</v>
      </c>
      <c r="J10" s="4" t="s">
        <v>15</v>
      </c>
      <c r="K10" s="49" t="s">
        <v>15</v>
      </c>
      <c r="L10" s="52">
        <v>1339</v>
      </c>
      <c r="M10">
        <v>872</v>
      </c>
      <c r="N10">
        <f>Table2[[#This Row],[2025 Cases Sold]]-Table2[[#This Row],[2024 Cases Sold]]</f>
        <v>-467</v>
      </c>
      <c r="O10" s="57">
        <f>(M10-L10)/L10</f>
        <v>-0.34876773711725167</v>
      </c>
      <c r="P10" s="59">
        <v>-8.1000000000000003E-2</v>
      </c>
      <c r="Q10" s="52">
        <v>191</v>
      </c>
      <c r="R10">
        <v>123</v>
      </c>
      <c r="S10" s="67">
        <f t="shared" si="2"/>
        <v>-68</v>
      </c>
      <c r="T10" s="52">
        <v>750</v>
      </c>
      <c r="U10">
        <v>584</v>
      </c>
      <c r="V10">
        <f>Table2[[#This Row],[2025 Cases Sold3]]-Table2[[#This Row],[2024 Cases Sold2]]</f>
        <v>-166</v>
      </c>
      <c r="W10" s="64">
        <f t="shared" si="3"/>
        <v>-0.22133333333333333</v>
      </c>
      <c r="X10" s="52">
        <v>42</v>
      </c>
      <c r="Y10">
        <v>38</v>
      </c>
      <c r="Z10" s="67">
        <f t="shared" si="4"/>
        <v>-4</v>
      </c>
      <c r="AA10" s="52">
        <v>876</v>
      </c>
      <c r="AB10">
        <v>601</v>
      </c>
      <c r="AC10">
        <f>Table2[[#This Row],[2025 Cases Sold9]]-Table2[[#This Row],[2024 Cases Sold8]]</f>
        <v>-275</v>
      </c>
      <c r="AD10" s="57">
        <f t="shared" si="5"/>
        <v>-0.3139269406392694</v>
      </c>
      <c r="AE10" s="59"/>
      <c r="AF10" s="52">
        <v>156</v>
      </c>
      <c r="AG10">
        <v>89</v>
      </c>
      <c r="AH10" s="67"/>
      <c r="AI10" s="52">
        <v>505</v>
      </c>
      <c r="AJ10">
        <v>426</v>
      </c>
      <c r="AK10">
        <f>Table2[[#This Row],[2025 Cases Sold16]]-Table2[[#This Row],[2024 Cases Sold15]]</f>
        <v>-79</v>
      </c>
      <c r="AL10" s="64">
        <f t="shared" si="6"/>
        <v>-0.15643564356435644</v>
      </c>
      <c r="AM10" s="52">
        <v>38</v>
      </c>
      <c r="AN10">
        <v>32</v>
      </c>
    </row>
    <row r="11" spans="1:41" x14ac:dyDescent="0.25">
      <c r="A11" s="5">
        <v>5101071</v>
      </c>
      <c r="B11" s="120" t="s">
        <v>35</v>
      </c>
      <c r="C11" s="9" t="s">
        <v>36</v>
      </c>
      <c r="D11" s="9" t="s">
        <v>37</v>
      </c>
      <c r="E11" s="2" t="str">
        <f t="shared" si="0"/>
        <v>307 PARK AVE, PATERSON</v>
      </c>
      <c r="F11" s="9" t="s">
        <v>13</v>
      </c>
      <c r="G11" s="9">
        <v>7504</v>
      </c>
      <c r="H11" s="6" t="s">
        <v>14</v>
      </c>
      <c r="I11" s="7">
        <v>45713</v>
      </c>
      <c r="J11" s="4" t="s">
        <v>15</v>
      </c>
      <c r="K11" s="49" t="s">
        <v>15</v>
      </c>
      <c r="L11" s="52">
        <v>2374</v>
      </c>
      <c r="M11">
        <v>2328</v>
      </c>
      <c r="N11">
        <f>Table2[[#This Row],[2025 Cases Sold]]-Table2[[#This Row],[2024 Cases Sold]]</f>
        <v>-46</v>
      </c>
      <c r="O11" s="57">
        <f t="shared" ref="O11:O13" si="7">(M11-L11)/L11</f>
        <v>-1.9376579612468407E-2</v>
      </c>
      <c r="P11" s="59">
        <v>-6.9000000000000006E-2</v>
      </c>
      <c r="Q11" s="52">
        <v>87</v>
      </c>
      <c r="R11">
        <v>82</v>
      </c>
      <c r="S11" s="67">
        <f t="shared" si="2"/>
        <v>-5</v>
      </c>
      <c r="T11" s="52">
        <v>1818</v>
      </c>
      <c r="U11">
        <v>1844</v>
      </c>
      <c r="V11">
        <f>Table2[[#This Row],[2025 Cases Sold3]]-Table2[[#This Row],[2024 Cases Sold2]]</f>
        <v>26</v>
      </c>
      <c r="W11" s="64">
        <f t="shared" si="3"/>
        <v>1.4301430143014302E-2</v>
      </c>
      <c r="X11" s="52">
        <v>28</v>
      </c>
      <c r="Y11">
        <v>26</v>
      </c>
      <c r="Z11" s="67">
        <f t="shared" si="4"/>
        <v>-2</v>
      </c>
      <c r="AA11" s="52">
        <v>1451</v>
      </c>
      <c r="AB11">
        <v>1551</v>
      </c>
      <c r="AC11">
        <f>Table2[[#This Row],[2025 Cases Sold9]]-Table2[[#This Row],[2024 Cases Sold8]]</f>
        <v>100</v>
      </c>
      <c r="AD11" s="57">
        <f t="shared" si="5"/>
        <v>6.8917987594762239E-2</v>
      </c>
      <c r="AE11" s="59"/>
      <c r="AF11" s="52">
        <v>73</v>
      </c>
      <c r="AG11">
        <v>60</v>
      </c>
      <c r="AH11" s="67"/>
      <c r="AI11" s="52">
        <v>1081</v>
      </c>
      <c r="AJ11">
        <v>1186</v>
      </c>
      <c r="AK11">
        <f>Table2[[#This Row],[2025 Cases Sold16]]-Table2[[#This Row],[2024 Cases Sold15]]</f>
        <v>105</v>
      </c>
      <c r="AL11" s="64">
        <f t="shared" si="6"/>
        <v>9.7132284921369105E-2</v>
      </c>
      <c r="AM11" s="52">
        <v>25</v>
      </c>
      <c r="AN11">
        <v>23</v>
      </c>
    </row>
    <row r="12" spans="1:41" x14ac:dyDescent="0.25">
      <c r="A12" s="11">
        <v>765916</v>
      </c>
      <c r="B12" s="122" t="s">
        <v>38</v>
      </c>
      <c r="C12" s="9" t="s">
        <v>39</v>
      </c>
      <c r="D12" s="9" t="s">
        <v>40</v>
      </c>
      <c r="E12" s="2" t="str">
        <f t="shared" si="0"/>
        <v>430 BROAD AVE, LEONIA</v>
      </c>
      <c r="F12" s="9" t="s">
        <v>13</v>
      </c>
      <c r="G12" s="9">
        <v>7605</v>
      </c>
      <c r="H12" s="9" t="s">
        <v>14</v>
      </c>
      <c r="I12" s="12">
        <v>45719</v>
      </c>
      <c r="J12" s="4" t="s">
        <v>15</v>
      </c>
      <c r="K12" s="49" t="s">
        <v>15</v>
      </c>
      <c r="L12" s="52">
        <v>1260</v>
      </c>
      <c r="M12">
        <v>1219</v>
      </c>
      <c r="N12">
        <f>Table2[[#This Row],[2025 Cases Sold]]-Table2[[#This Row],[2024 Cases Sold]]</f>
        <v>-41</v>
      </c>
      <c r="O12" s="57">
        <f t="shared" si="7"/>
        <v>-3.2539682539682542E-2</v>
      </c>
      <c r="P12" s="59">
        <v>-6.7000000000000004E-2</v>
      </c>
      <c r="Q12" s="52">
        <v>114</v>
      </c>
      <c r="R12">
        <v>136</v>
      </c>
      <c r="S12" s="67">
        <f t="shared" si="2"/>
        <v>22</v>
      </c>
      <c r="T12" s="52">
        <v>379</v>
      </c>
      <c r="U12">
        <v>430</v>
      </c>
      <c r="V12">
        <f>Table2[[#This Row],[2025 Cases Sold3]]-Table2[[#This Row],[2024 Cases Sold2]]</f>
        <v>51</v>
      </c>
      <c r="W12" s="64">
        <f t="shared" si="3"/>
        <v>0.13456464379947231</v>
      </c>
      <c r="X12" s="52">
        <v>22</v>
      </c>
      <c r="Y12">
        <v>30</v>
      </c>
      <c r="Z12" s="67">
        <f t="shared" si="4"/>
        <v>8</v>
      </c>
      <c r="AA12" s="52">
        <v>817</v>
      </c>
      <c r="AB12">
        <v>861</v>
      </c>
      <c r="AC12">
        <f>Table2[[#This Row],[2025 Cases Sold9]]-Table2[[#This Row],[2024 Cases Sold8]]</f>
        <v>44</v>
      </c>
      <c r="AD12" s="57">
        <f t="shared" si="5"/>
        <v>5.3855569155446759E-2</v>
      </c>
      <c r="AE12" s="59"/>
      <c r="AF12" s="52">
        <v>90</v>
      </c>
      <c r="AG12">
        <v>113</v>
      </c>
      <c r="AH12" s="67"/>
      <c r="AI12" s="52">
        <v>244</v>
      </c>
      <c r="AJ12">
        <v>270</v>
      </c>
      <c r="AK12">
        <f>Table2[[#This Row],[2025 Cases Sold16]]-Table2[[#This Row],[2024 Cases Sold15]]</f>
        <v>26</v>
      </c>
      <c r="AL12" s="64">
        <f t="shared" si="6"/>
        <v>0.10655737704918032</v>
      </c>
      <c r="AM12" s="52">
        <v>19</v>
      </c>
      <c r="AN12">
        <v>26</v>
      </c>
    </row>
    <row r="13" spans="1:41" x14ac:dyDescent="0.25">
      <c r="A13" s="13">
        <v>1873673</v>
      </c>
      <c r="B13" s="113" t="s">
        <v>194</v>
      </c>
      <c r="C13" s="14" t="s">
        <v>42</v>
      </c>
      <c r="D13" s="14" t="s">
        <v>43</v>
      </c>
      <c r="E13" s="2" t="str">
        <f t="shared" si="0"/>
        <v>254 LIVINGSTON ST STE F, NORTHVALE</v>
      </c>
      <c r="F13" s="14" t="s">
        <v>13</v>
      </c>
      <c r="G13" s="6">
        <v>7647</v>
      </c>
      <c r="H13" s="9" t="s">
        <v>44</v>
      </c>
      <c r="I13" s="7">
        <v>45726</v>
      </c>
      <c r="J13" s="4" t="s">
        <v>15</v>
      </c>
      <c r="K13" s="49" t="s">
        <v>15</v>
      </c>
      <c r="L13" s="52">
        <v>10155</v>
      </c>
      <c r="M13">
        <v>8847</v>
      </c>
      <c r="N13">
        <f>Table2[[#This Row],[2025 Cases Sold]]-Table2[[#This Row],[2024 Cases Sold]]</f>
        <v>-1308</v>
      </c>
      <c r="O13" s="57">
        <f t="shared" si="7"/>
        <v>-0.12880354505169866</v>
      </c>
      <c r="P13" s="59">
        <v>-6.9000000000000006E-2</v>
      </c>
      <c r="Q13" s="52">
        <v>466</v>
      </c>
      <c r="R13">
        <v>467</v>
      </c>
      <c r="S13" s="67">
        <f t="shared" si="2"/>
        <v>1</v>
      </c>
      <c r="T13" s="52">
        <v>1806</v>
      </c>
      <c r="U13">
        <v>1456</v>
      </c>
      <c r="V13">
        <f>Table2[[#This Row],[2025 Cases Sold3]]-Table2[[#This Row],[2024 Cases Sold2]]</f>
        <v>-350</v>
      </c>
      <c r="W13" s="112">
        <f t="shared" si="3"/>
        <v>-0.19379844961240311</v>
      </c>
      <c r="X13" s="52">
        <v>33</v>
      </c>
      <c r="Y13">
        <v>32</v>
      </c>
      <c r="Z13" s="67">
        <f t="shared" si="4"/>
        <v>-1</v>
      </c>
      <c r="AA13" s="52">
        <v>7208</v>
      </c>
      <c r="AB13">
        <v>6981</v>
      </c>
      <c r="AC13">
        <f>Table2[[#This Row],[2025 Cases Sold9]]-Table2[[#This Row],[2024 Cases Sold8]]</f>
        <v>-227</v>
      </c>
      <c r="AD13" s="57">
        <f t="shared" si="5"/>
        <v>-3.1492785793562711E-2</v>
      </c>
      <c r="AE13" s="59"/>
      <c r="AF13" s="52">
        <v>428</v>
      </c>
      <c r="AG13">
        <v>435</v>
      </c>
      <c r="AH13" s="67"/>
      <c r="AI13" s="52">
        <v>1173</v>
      </c>
      <c r="AJ13">
        <v>1034</v>
      </c>
      <c r="AK13">
        <f>Table2[[#This Row],[2025 Cases Sold16]]-Table2[[#This Row],[2024 Cases Sold15]]</f>
        <v>-139</v>
      </c>
      <c r="AL13" s="64">
        <f t="shared" si="6"/>
        <v>-0.1184995737425405</v>
      </c>
      <c r="AM13" s="52">
        <v>31</v>
      </c>
      <c r="AN13">
        <v>32</v>
      </c>
    </row>
    <row r="14" spans="1:41" x14ac:dyDescent="0.25">
      <c r="A14" s="8">
        <v>7514143</v>
      </c>
      <c r="B14" s="123" t="s">
        <v>45</v>
      </c>
      <c r="C14" s="16" t="s">
        <v>46</v>
      </c>
      <c r="D14" s="16" t="s">
        <v>47</v>
      </c>
      <c r="E14" s="2" t="str">
        <f t="shared" si="0"/>
        <v>168 MAIN AVE, WALLINGTON</v>
      </c>
      <c r="F14" s="16" t="s">
        <v>13</v>
      </c>
      <c r="G14" s="9">
        <v>7057</v>
      </c>
      <c r="H14" s="9" t="s">
        <v>22</v>
      </c>
      <c r="I14" s="12">
        <v>45728</v>
      </c>
      <c r="J14" s="44" t="s">
        <v>48</v>
      </c>
      <c r="K14" s="49" t="s">
        <v>15</v>
      </c>
      <c r="L14" s="53"/>
      <c r="M14" s="54"/>
      <c r="N14" s="54"/>
      <c r="O14" s="60"/>
      <c r="P14" s="61"/>
      <c r="Q14" s="53"/>
      <c r="R14" s="54"/>
      <c r="S14" s="68"/>
      <c r="T14" s="53"/>
      <c r="U14" s="54"/>
      <c r="V14" s="54"/>
      <c r="W14" s="65"/>
      <c r="X14" s="53"/>
      <c r="Y14" s="54"/>
      <c r="Z14" s="68"/>
      <c r="AA14" s="53"/>
      <c r="AB14" s="54"/>
      <c r="AC14" s="54">
        <f>Table2[[#This Row],[2025 Cases Sold9]]-Table2[[#This Row],[2024 Cases Sold8]]</f>
        <v>0</v>
      </c>
      <c r="AD14" s="60"/>
      <c r="AE14" s="61"/>
      <c r="AF14" s="53"/>
      <c r="AG14" s="54"/>
      <c r="AH14" s="68"/>
      <c r="AI14" s="53"/>
      <c r="AJ14" s="54"/>
      <c r="AK14" s="54">
        <f>Table2[[#This Row],[2025 Cases Sold16]]-Table2[[#This Row],[2024 Cases Sold15]]</f>
        <v>0</v>
      </c>
      <c r="AL14" s="65"/>
      <c r="AM14" s="53"/>
      <c r="AN14" s="54"/>
      <c r="AO14" s="54"/>
    </row>
    <row r="15" spans="1:41" x14ac:dyDescent="0.25">
      <c r="A15" s="17">
        <v>1457427</v>
      </c>
      <c r="B15" s="114" t="s">
        <v>49</v>
      </c>
      <c r="C15" s="16" t="s">
        <v>50</v>
      </c>
      <c r="D15" s="16" t="s">
        <v>51</v>
      </c>
      <c r="E15" s="2" t="str">
        <f t="shared" si="0"/>
        <v>340 S MAIN ST, WHARTON</v>
      </c>
      <c r="F15" s="16" t="s">
        <v>13</v>
      </c>
      <c r="G15" s="9">
        <v>7885</v>
      </c>
      <c r="H15" s="9" t="s">
        <v>22</v>
      </c>
      <c r="I15" s="18">
        <v>45715</v>
      </c>
      <c r="J15" s="19" t="s">
        <v>15</v>
      </c>
      <c r="K15" s="50" t="s">
        <v>15</v>
      </c>
      <c r="L15" s="52">
        <v>2055</v>
      </c>
      <c r="M15">
        <v>2340</v>
      </c>
      <c r="N15">
        <f>Table2[[#This Row],[2025 Cases Sold]]-Table2[[#This Row],[2024 Cases Sold]]</f>
        <v>285</v>
      </c>
      <c r="O15" s="57">
        <f t="shared" ref="O15:O16" si="8">(M15-L15)/L15</f>
        <v>0.13868613138686131</v>
      </c>
      <c r="P15" s="59">
        <v>-7.5999999999999998E-2</v>
      </c>
      <c r="Q15" s="52">
        <v>171</v>
      </c>
      <c r="R15">
        <v>184</v>
      </c>
      <c r="S15" s="67">
        <f t="shared" ref="S15:S17" si="9">R15-Q15</f>
        <v>13</v>
      </c>
      <c r="T15" s="52">
        <v>1075</v>
      </c>
      <c r="U15">
        <v>1190</v>
      </c>
      <c r="V15">
        <f>Table2[[#This Row],[2025 Cases Sold3]]-Table2[[#This Row],[2024 Cases Sold2]]</f>
        <v>115</v>
      </c>
      <c r="W15" s="64">
        <f t="shared" si="3"/>
        <v>0.10697674418604651</v>
      </c>
      <c r="X15" s="52">
        <v>38</v>
      </c>
      <c r="Y15">
        <v>43</v>
      </c>
      <c r="Z15" s="67">
        <f t="shared" si="4"/>
        <v>5</v>
      </c>
      <c r="AA15" s="52">
        <v>1295</v>
      </c>
      <c r="AB15">
        <v>1555</v>
      </c>
      <c r="AC15">
        <f>Table2[[#This Row],[2025 Cases Sold9]]-Table2[[#This Row],[2024 Cases Sold8]]</f>
        <v>260</v>
      </c>
      <c r="AD15" s="57">
        <f t="shared" si="5"/>
        <v>0.20077220077220076</v>
      </c>
      <c r="AE15" s="59"/>
      <c r="AF15" s="52">
        <v>164</v>
      </c>
      <c r="AG15">
        <v>167</v>
      </c>
      <c r="AH15" s="67"/>
      <c r="AI15" s="52">
        <v>653</v>
      </c>
      <c r="AJ15">
        <v>792</v>
      </c>
      <c r="AK15">
        <f>Table2[[#This Row],[2025 Cases Sold16]]-Table2[[#This Row],[2024 Cases Sold15]]</f>
        <v>139</v>
      </c>
      <c r="AL15" s="64">
        <f t="shared" si="6"/>
        <v>0.21286370597243492</v>
      </c>
      <c r="AM15" s="52">
        <v>37</v>
      </c>
      <c r="AN15">
        <v>41</v>
      </c>
    </row>
    <row r="16" spans="1:41" x14ac:dyDescent="0.25">
      <c r="A16" s="8">
        <v>7611598</v>
      </c>
      <c r="B16" s="114" t="s">
        <v>52</v>
      </c>
      <c r="C16" s="16" t="s">
        <v>53</v>
      </c>
      <c r="D16" s="16" t="s">
        <v>54</v>
      </c>
      <c r="E16" s="2" t="str">
        <f t="shared" si="0"/>
        <v>434 HACKENSACK ST, CARLSTADT</v>
      </c>
      <c r="F16" s="20" t="s">
        <v>13</v>
      </c>
      <c r="G16" s="9">
        <v>7072</v>
      </c>
      <c r="H16" s="6" t="s">
        <v>22</v>
      </c>
      <c r="I16" s="3">
        <v>45741</v>
      </c>
      <c r="J16" s="4" t="s">
        <v>15</v>
      </c>
      <c r="K16" s="49" t="s">
        <v>15</v>
      </c>
      <c r="L16" s="52">
        <v>1144</v>
      </c>
      <c r="M16">
        <v>1026</v>
      </c>
      <c r="N16">
        <f>Table2[[#This Row],[2025 Cases Sold]]-Table2[[#This Row],[2024 Cases Sold]]</f>
        <v>-118</v>
      </c>
      <c r="O16" s="57">
        <f t="shared" si="8"/>
        <v>-0.10314685314685315</v>
      </c>
      <c r="P16" s="59">
        <v>-7.1999999999999995E-2</v>
      </c>
      <c r="Q16" s="52">
        <v>221</v>
      </c>
      <c r="R16">
        <v>215</v>
      </c>
      <c r="S16" s="67">
        <f t="shared" si="9"/>
        <v>-6</v>
      </c>
      <c r="T16" s="52">
        <v>321</v>
      </c>
      <c r="U16">
        <v>273</v>
      </c>
      <c r="V16">
        <f>Table2[[#This Row],[2025 Cases Sold3]]-Table2[[#This Row],[2024 Cases Sold2]]</f>
        <v>-48</v>
      </c>
      <c r="W16" s="64">
        <f t="shared" si="3"/>
        <v>-0.14953271028037382</v>
      </c>
      <c r="X16" s="52">
        <v>31</v>
      </c>
      <c r="Y16">
        <v>40</v>
      </c>
      <c r="Z16" s="67">
        <f t="shared" si="4"/>
        <v>9</v>
      </c>
      <c r="AA16" s="52">
        <v>1064</v>
      </c>
      <c r="AB16">
        <v>925</v>
      </c>
      <c r="AC16">
        <f>Table2[[#This Row],[2025 Cases Sold9]]-Table2[[#This Row],[2024 Cases Sold8]]</f>
        <v>-139</v>
      </c>
      <c r="AD16" s="57">
        <f t="shared" si="5"/>
        <v>-0.13063909774436092</v>
      </c>
      <c r="AE16" s="59"/>
      <c r="AF16" s="52">
        <v>205</v>
      </c>
      <c r="AG16">
        <v>202</v>
      </c>
      <c r="AH16" s="67"/>
      <c r="AI16" s="52">
        <v>321</v>
      </c>
      <c r="AJ16">
        <v>201</v>
      </c>
      <c r="AK16">
        <f>Table2[[#This Row],[2025 Cases Sold16]]-Table2[[#This Row],[2024 Cases Sold15]]</f>
        <v>-120</v>
      </c>
      <c r="AL16" s="64">
        <f t="shared" si="6"/>
        <v>-0.37383177570093457</v>
      </c>
      <c r="AM16" s="52">
        <v>31</v>
      </c>
      <c r="AN16">
        <v>37</v>
      </c>
    </row>
    <row r="17" spans="1:41" x14ac:dyDescent="0.25">
      <c r="A17" s="5">
        <v>7335402</v>
      </c>
      <c r="B17" s="115" t="s">
        <v>55</v>
      </c>
      <c r="C17" s="14" t="s">
        <v>56</v>
      </c>
      <c r="D17" s="14" t="s">
        <v>57</v>
      </c>
      <c r="E17" s="2" t="str">
        <f t="shared" si="0"/>
        <v>3235 STATE RT 94, FRANKLIN</v>
      </c>
      <c r="F17" s="14" t="s">
        <v>13</v>
      </c>
      <c r="G17" s="6">
        <v>7416</v>
      </c>
      <c r="H17" s="6" t="s">
        <v>22</v>
      </c>
      <c r="I17" s="18">
        <v>45747</v>
      </c>
      <c r="J17" s="4" t="s">
        <v>15</v>
      </c>
      <c r="K17" s="49" t="s">
        <v>15</v>
      </c>
      <c r="L17" s="52">
        <v>2564</v>
      </c>
      <c r="M17">
        <v>2133</v>
      </c>
      <c r="N17">
        <f>Table2[[#This Row],[2025 Cases Sold]]-Table2[[#This Row],[2024 Cases Sold]]</f>
        <v>-431</v>
      </c>
      <c r="O17" s="57">
        <f>(M17-L17)/L17</f>
        <v>-0.16809672386895474</v>
      </c>
      <c r="P17" s="59">
        <v>-6.3E-2</v>
      </c>
      <c r="Q17" s="52">
        <v>257</v>
      </c>
      <c r="R17">
        <v>257</v>
      </c>
      <c r="S17" s="67">
        <f t="shared" si="9"/>
        <v>0</v>
      </c>
      <c r="T17" s="52">
        <v>252</v>
      </c>
      <c r="U17">
        <v>162</v>
      </c>
      <c r="V17">
        <f>Table2[[#This Row],[2025 Cases Sold3]]-Table2[[#This Row],[2024 Cases Sold2]]</f>
        <v>-90</v>
      </c>
      <c r="W17" s="64">
        <f t="shared" si="3"/>
        <v>-0.35714285714285715</v>
      </c>
      <c r="X17" s="52">
        <v>25</v>
      </c>
      <c r="Y17">
        <v>20</v>
      </c>
      <c r="Z17" s="67">
        <f t="shared" si="4"/>
        <v>-5</v>
      </c>
      <c r="AA17" s="52">
        <v>2564</v>
      </c>
      <c r="AB17">
        <v>2133</v>
      </c>
      <c r="AC17">
        <f>Table2[[#This Row],[2025 Cases Sold9]]-Table2[[#This Row],[2024 Cases Sold8]]</f>
        <v>-431</v>
      </c>
      <c r="AD17" s="57">
        <f t="shared" si="5"/>
        <v>-0.16809672386895474</v>
      </c>
      <c r="AE17" s="59"/>
      <c r="AF17" s="52">
        <v>257</v>
      </c>
      <c r="AG17">
        <v>257</v>
      </c>
      <c r="AH17" s="67"/>
      <c r="AI17" s="52">
        <v>252</v>
      </c>
      <c r="AJ17">
        <v>162</v>
      </c>
      <c r="AK17">
        <f>Table2[[#This Row],[2025 Cases Sold16]]-Table2[[#This Row],[2024 Cases Sold15]]</f>
        <v>-90</v>
      </c>
      <c r="AL17" s="64">
        <f t="shared" si="6"/>
        <v>-0.35714285714285715</v>
      </c>
      <c r="AM17" s="52">
        <v>25</v>
      </c>
      <c r="AN17">
        <v>20</v>
      </c>
    </row>
    <row r="18" spans="1:41" x14ac:dyDescent="0.25">
      <c r="A18" s="8">
        <v>3759473</v>
      </c>
      <c r="B18" s="124" t="s">
        <v>58</v>
      </c>
      <c r="C18" s="15" t="s">
        <v>59</v>
      </c>
      <c r="D18" s="15" t="s">
        <v>60</v>
      </c>
      <c r="E18" s="2" t="str">
        <f t="shared" si="0"/>
        <v>101 NEWARK POMPTON TPK, LITTLE FALLS</v>
      </c>
      <c r="F18" s="16" t="s">
        <v>13</v>
      </c>
      <c r="G18" s="9">
        <v>7424</v>
      </c>
      <c r="H18" s="6" t="s">
        <v>22</v>
      </c>
      <c r="I18" s="18">
        <v>45734</v>
      </c>
      <c r="J18" s="44" t="s">
        <v>48</v>
      </c>
      <c r="K18" s="49" t="s">
        <v>15</v>
      </c>
      <c r="L18" s="53"/>
      <c r="M18" s="54"/>
      <c r="N18" s="54"/>
      <c r="O18" s="60"/>
      <c r="P18" s="61"/>
      <c r="Q18" s="53"/>
      <c r="R18" s="54"/>
      <c r="S18" s="68"/>
      <c r="T18" s="53"/>
      <c r="U18" s="54"/>
      <c r="V18" s="54"/>
      <c r="W18" s="65"/>
      <c r="X18" s="53"/>
      <c r="Y18" s="54"/>
      <c r="Z18" s="68"/>
      <c r="AA18" s="53"/>
      <c r="AB18" s="54"/>
      <c r="AC18" s="54">
        <f>Table2[[#This Row],[2025 Cases Sold9]]-Table2[[#This Row],[2024 Cases Sold8]]</f>
        <v>0</v>
      </c>
      <c r="AD18" s="60"/>
      <c r="AE18" s="61"/>
      <c r="AF18" s="53"/>
      <c r="AG18" s="54"/>
      <c r="AH18" s="68"/>
      <c r="AI18" s="53"/>
      <c r="AJ18" s="54"/>
      <c r="AK18" s="54">
        <f>Table2[[#This Row],[2025 Cases Sold16]]-Table2[[#This Row],[2024 Cases Sold15]]</f>
        <v>0</v>
      </c>
      <c r="AL18" s="65"/>
      <c r="AM18" s="53"/>
      <c r="AN18" s="54"/>
      <c r="AO18" s="54"/>
    </row>
    <row r="19" spans="1:41" x14ac:dyDescent="0.25">
      <c r="A19" s="8">
        <v>1872531</v>
      </c>
      <c r="B19" s="119" t="s">
        <v>188</v>
      </c>
      <c r="C19" s="16" t="s">
        <v>61</v>
      </c>
      <c r="D19" s="16" t="s">
        <v>62</v>
      </c>
      <c r="E19" s="2" t="str">
        <f t="shared" si="0"/>
        <v>215 MAIN ST, RIDGEFIELD PARK</v>
      </c>
      <c r="F19" s="16" t="s">
        <v>13</v>
      </c>
      <c r="G19" s="9">
        <v>7660</v>
      </c>
      <c r="H19" s="9" t="s">
        <v>44</v>
      </c>
      <c r="I19" s="180">
        <v>45755</v>
      </c>
      <c r="J19" s="4" t="s">
        <v>15</v>
      </c>
      <c r="K19" s="49" t="s">
        <v>15</v>
      </c>
      <c r="L19" s="52">
        <v>4683</v>
      </c>
      <c r="M19">
        <v>4827</v>
      </c>
      <c r="N19">
        <f>Table2[[#This Row],[2025 Cases Sold]]-Table2[[#This Row],[2024 Cases Sold]]</f>
        <v>144</v>
      </c>
      <c r="O19" s="57">
        <f>(M19-L19)/L19</f>
        <v>3.0749519538757208E-2</v>
      </c>
      <c r="P19" s="59">
        <v>-8.2000000000000003E-2</v>
      </c>
      <c r="Q19" s="52">
        <v>269</v>
      </c>
      <c r="R19">
        <v>296</v>
      </c>
      <c r="S19" s="67">
        <f t="shared" ref="S19:S31" si="10">R19-Q19</f>
        <v>27</v>
      </c>
      <c r="T19" s="52">
        <v>1970</v>
      </c>
      <c r="U19">
        <v>2142</v>
      </c>
      <c r="V19">
        <f>Table2[[#This Row],[2025 Cases Sold3]]-Table2[[#This Row],[2024 Cases Sold2]]</f>
        <v>172</v>
      </c>
      <c r="W19" s="64">
        <f t="shared" si="3"/>
        <v>8.7309644670050757E-2</v>
      </c>
      <c r="X19" s="52">
        <v>45</v>
      </c>
      <c r="Y19">
        <v>45</v>
      </c>
      <c r="Z19" s="67">
        <f t="shared" si="4"/>
        <v>0</v>
      </c>
      <c r="AA19" s="52">
        <v>4683</v>
      </c>
      <c r="AB19">
        <v>4827</v>
      </c>
      <c r="AC19">
        <f>Table2[[#This Row],[2025 Cases Sold9]]-Table2[[#This Row],[2024 Cases Sold8]]</f>
        <v>144</v>
      </c>
      <c r="AD19" s="57">
        <f t="shared" si="5"/>
        <v>3.0749519538757208E-2</v>
      </c>
      <c r="AE19" s="59"/>
      <c r="AF19" s="52"/>
      <c r="AH19" s="67"/>
      <c r="AI19" s="52">
        <v>1970</v>
      </c>
      <c r="AJ19">
        <v>2142</v>
      </c>
      <c r="AK19">
        <f>Table2[[#This Row],[2025 Cases Sold16]]-Table2[[#This Row],[2024 Cases Sold15]]</f>
        <v>172</v>
      </c>
      <c r="AL19" s="64">
        <f t="shared" si="6"/>
        <v>8.7309644670050757E-2</v>
      </c>
      <c r="AM19" s="52"/>
    </row>
    <row r="20" spans="1:41" x14ac:dyDescent="0.25">
      <c r="A20" s="5">
        <v>951582</v>
      </c>
      <c r="B20" s="116" t="s">
        <v>63</v>
      </c>
      <c r="C20" s="14" t="s">
        <v>64</v>
      </c>
      <c r="D20" s="22" t="s">
        <v>25</v>
      </c>
      <c r="E20" s="2" t="str">
        <f t="shared" si="0"/>
        <v>77 RIVER RD, NORTH ARLINGTON</v>
      </c>
      <c r="F20" s="14" t="s">
        <v>13</v>
      </c>
      <c r="G20" s="6">
        <v>7031</v>
      </c>
      <c r="H20" s="6" t="s">
        <v>44</v>
      </c>
      <c r="I20" s="178">
        <v>45756</v>
      </c>
      <c r="J20" s="4" t="s">
        <v>15</v>
      </c>
      <c r="K20" s="49" t="s">
        <v>15</v>
      </c>
      <c r="L20" s="52">
        <v>5458</v>
      </c>
      <c r="M20">
        <v>5885</v>
      </c>
      <c r="N20">
        <f>Table2[[#This Row],[2025 Cases Sold]]-Table2[[#This Row],[2024 Cases Sold]]</f>
        <v>427</v>
      </c>
      <c r="O20" s="57">
        <f t="shared" ref="O20:O31" si="11">(M20-L20)/L20</f>
        <v>7.823378526932942E-2</v>
      </c>
      <c r="P20" s="59">
        <v>-8.2000000000000003E-2</v>
      </c>
      <c r="Q20" s="52">
        <v>272</v>
      </c>
      <c r="R20">
        <v>307</v>
      </c>
      <c r="S20" s="67">
        <f t="shared" si="10"/>
        <v>35</v>
      </c>
      <c r="T20" s="52">
        <v>1539</v>
      </c>
      <c r="U20">
        <v>1754</v>
      </c>
      <c r="V20">
        <f>Table2[[#This Row],[2025 Cases Sold3]]-Table2[[#This Row],[2024 Cases Sold2]]</f>
        <v>215</v>
      </c>
      <c r="W20" s="64">
        <f t="shared" si="3"/>
        <v>0.13970110461338531</v>
      </c>
      <c r="X20" s="52">
        <v>39</v>
      </c>
      <c r="Y20">
        <v>45</v>
      </c>
      <c r="Z20" s="67">
        <f t="shared" si="4"/>
        <v>6</v>
      </c>
      <c r="AA20" s="52">
        <v>5458</v>
      </c>
      <c r="AB20">
        <v>5885</v>
      </c>
      <c r="AC20">
        <f>Table2[[#This Row],[2025 Cases Sold9]]-Table2[[#This Row],[2024 Cases Sold8]]</f>
        <v>427</v>
      </c>
      <c r="AD20" s="57">
        <f t="shared" si="5"/>
        <v>7.823378526932942E-2</v>
      </c>
      <c r="AE20" s="59"/>
      <c r="AF20" s="52"/>
      <c r="AH20" s="67"/>
      <c r="AI20" s="52">
        <v>1539</v>
      </c>
      <c r="AJ20">
        <v>1754</v>
      </c>
      <c r="AK20">
        <f>Table2[[#This Row],[2025 Cases Sold16]]-Table2[[#This Row],[2024 Cases Sold15]]</f>
        <v>215</v>
      </c>
      <c r="AL20" s="64">
        <f t="shared" si="6"/>
        <v>0.13970110461338531</v>
      </c>
      <c r="AM20" s="52"/>
    </row>
    <row r="21" spans="1:41" x14ac:dyDescent="0.25">
      <c r="A21" s="5">
        <v>7523110</v>
      </c>
      <c r="B21" s="116" t="s">
        <v>65</v>
      </c>
      <c r="C21" s="14" t="s">
        <v>66</v>
      </c>
      <c r="D21" s="22" t="s">
        <v>62</v>
      </c>
      <c r="E21" s="2" t="str">
        <f t="shared" si="0"/>
        <v>85 CENTRAL AVE, RIDGEFIELD PARK</v>
      </c>
      <c r="F21" s="14" t="s">
        <v>13</v>
      </c>
      <c r="G21" s="6">
        <v>7660</v>
      </c>
      <c r="H21" s="6" t="s">
        <v>22</v>
      </c>
      <c r="I21" s="177">
        <v>45756</v>
      </c>
      <c r="J21" s="4" t="s">
        <v>15</v>
      </c>
      <c r="K21" s="49" t="s">
        <v>15</v>
      </c>
      <c r="L21" s="52">
        <v>611</v>
      </c>
      <c r="M21">
        <v>684</v>
      </c>
      <c r="N21">
        <f>Table2[[#This Row],[2025 Cases Sold]]-Table2[[#This Row],[2024 Cases Sold]]</f>
        <v>73</v>
      </c>
      <c r="O21" s="57">
        <f t="shared" si="11"/>
        <v>0.11947626841243862</v>
      </c>
      <c r="P21" s="59">
        <v>-8.2000000000000003E-2</v>
      </c>
      <c r="Q21" s="52">
        <v>24</v>
      </c>
      <c r="R21">
        <v>25</v>
      </c>
      <c r="S21" s="67">
        <f t="shared" si="10"/>
        <v>1</v>
      </c>
      <c r="T21" s="52">
        <v>332</v>
      </c>
      <c r="U21">
        <v>415</v>
      </c>
      <c r="V21">
        <f>Table2[[#This Row],[2025 Cases Sold3]]-Table2[[#This Row],[2024 Cases Sold2]]</f>
        <v>83</v>
      </c>
      <c r="W21" s="64">
        <f t="shared" si="3"/>
        <v>0.25</v>
      </c>
      <c r="X21" s="52">
        <v>24</v>
      </c>
      <c r="Y21">
        <v>25</v>
      </c>
      <c r="Z21" s="67">
        <f t="shared" si="4"/>
        <v>1</v>
      </c>
      <c r="AA21" s="52">
        <v>611</v>
      </c>
      <c r="AB21">
        <v>684</v>
      </c>
      <c r="AC21">
        <f>Table2[[#This Row],[2025 Cases Sold9]]-Table2[[#This Row],[2024 Cases Sold8]]</f>
        <v>73</v>
      </c>
      <c r="AD21" s="57">
        <f t="shared" si="5"/>
        <v>0.11947626841243862</v>
      </c>
      <c r="AE21" s="59"/>
      <c r="AF21" s="52"/>
      <c r="AH21" s="67"/>
      <c r="AI21" s="52">
        <v>332</v>
      </c>
      <c r="AJ21">
        <v>415</v>
      </c>
      <c r="AK21">
        <f>Table2[[#This Row],[2025 Cases Sold16]]-Table2[[#This Row],[2024 Cases Sold15]]</f>
        <v>83</v>
      </c>
      <c r="AL21" s="64">
        <f t="shared" si="6"/>
        <v>0.25</v>
      </c>
      <c r="AM21" s="52"/>
    </row>
    <row r="22" spans="1:41" x14ac:dyDescent="0.25">
      <c r="A22" s="8">
        <v>7335895</v>
      </c>
      <c r="B22" s="121" t="s">
        <v>67</v>
      </c>
      <c r="C22" s="16" t="s">
        <v>68</v>
      </c>
      <c r="D22" s="23" t="s">
        <v>69</v>
      </c>
      <c r="E22" s="2" t="str">
        <f t="shared" si="0"/>
        <v>520 SHALER BLVD, RIDGEFIELD</v>
      </c>
      <c r="F22" s="16" t="s">
        <v>13</v>
      </c>
      <c r="G22" s="9">
        <v>7657</v>
      </c>
      <c r="H22" s="9" t="s">
        <v>14</v>
      </c>
      <c r="I22" s="178">
        <v>45757</v>
      </c>
      <c r="J22" s="19" t="s">
        <v>15</v>
      </c>
      <c r="K22" s="50" t="s">
        <v>15</v>
      </c>
      <c r="L22" s="52">
        <v>1508</v>
      </c>
      <c r="M22">
        <v>1479</v>
      </c>
      <c r="N22">
        <f>Table2[[#This Row],[2025 Cases Sold]]-Table2[[#This Row],[2024 Cases Sold]]</f>
        <v>-29</v>
      </c>
      <c r="O22" s="57">
        <f t="shared" si="11"/>
        <v>-1.9230769230769232E-2</v>
      </c>
      <c r="P22" s="59">
        <v>-8.2000000000000003E-2</v>
      </c>
      <c r="Q22" s="52">
        <v>132</v>
      </c>
      <c r="R22">
        <v>140</v>
      </c>
      <c r="S22" s="67">
        <f t="shared" si="10"/>
        <v>8</v>
      </c>
      <c r="T22" s="52">
        <v>607</v>
      </c>
      <c r="U22">
        <v>653</v>
      </c>
      <c r="V22">
        <f>Table2[[#This Row],[2025 Cases Sold3]]-Table2[[#This Row],[2024 Cases Sold2]]</f>
        <v>46</v>
      </c>
      <c r="W22" s="64">
        <f t="shared" si="3"/>
        <v>7.57825370675453E-2</v>
      </c>
      <c r="X22" s="52">
        <v>19</v>
      </c>
      <c r="Y22">
        <v>27</v>
      </c>
      <c r="Z22" s="67">
        <f t="shared" si="4"/>
        <v>8</v>
      </c>
      <c r="AA22" s="52">
        <v>1508</v>
      </c>
      <c r="AB22">
        <v>1479</v>
      </c>
      <c r="AC22">
        <f>Table2[[#This Row],[2025 Cases Sold9]]-Table2[[#This Row],[2024 Cases Sold8]]</f>
        <v>-29</v>
      </c>
      <c r="AD22" s="57">
        <f t="shared" si="5"/>
        <v>-1.9230769230769232E-2</v>
      </c>
      <c r="AE22" s="59"/>
      <c r="AF22" s="52"/>
      <c r="AH22" s="67"/>
      <c r="AI22" s="52">
        <v>607</v>
      </c>
      <c r="AJ22">
        <v>653</v>
      </c>
      <c r="AK22">
        <f>Table2[[#This Row],[2025 Cases Sold16]]-Table2[[#This Row],[2024 Cases Sold15]]</f>
        <v>46</v>
      </c>
      <c r="AL22" s="64">
        <f t="shared" si="6"/>
        <v>7.57825370675453E-2</v>
      </c>
      <c r="AM22" s="52"/>
    </row>
    <row r="23" spans="1:41" x14ac:dyDescent="0.25">
      <c r="A23" s="5">
        <v>764602</v>
      </c>
      <c r="B23" s="113" t="s">
        <v>70</v>
      </c>
      <c r="C23" s="14" t="s">
        <v>71</v>
      </c>
      <c r="D23" s="14" t="s">
        <v>28</v>
      </c>
      <c r="E23" s="2" t="str">
        <f t="shared" si="0"/>
        <v>327 HOPE AVE, CLIFTON</v>
      </c>
      <c r="F23" s="14" t="s">
        <v>13</v>
      </c>
      <c r="G23" s="6">
        <v>7011</v>
      </c>
      <c r="H23" s="6" t="s">
        <v>44</v>
      </c>
      <c r="I23" s="179">
        <v>45766</v>
      </c>
      <c r="J23" s="4" t="s">
        <v>15</v>
      </c>
      <c r="K23" s="49" t="s">
        <v>15</v>
      </c>
      <c r="L23" s="52">
        <v>4668</v>
      </c>
      <c r="M23">
        <v>3941</v>
      </c>
      <c r="N23">
        <f>Table2[[#This Row],[2025 Cases Sold]]-Table2[[#This Row],[2024 Cases Sold]]</f>
        <v>-727</v>
      </c>
      <c r="O23" s="57">
        <f t="shared" si="11"/>
        <v>-0.15574121679520136</v>
      </c>
      <c r="P23" s="59">
        <v>-8.1000000000000003E-2</v>
      </c>
      <c r="Q23" s="52">
        <v>45</v>
      </c>
      <c r="R23">
        <v>48</v>
      </c>
      <c r="S23" s="67">
        <f t="shared" si="10"/>
        <v>3</v>
      </c>
      <c r="T23" s="52">
        <v>2889</v>
      </c>
      <c r="U23">
        <v>2638</v>
      </c>
      <c r="V23">
        <f>Table2[[#This Row],[2025 Cases Sold3]]-Table2[[#This Row],[2024 Cases Sold2]]</f>
        <v>-251</v>
      </c>
      <c r="W23" s="64">
        <f t="shared" si="3"/>
        <v>-8.6881273797161651E-2</v>
      </c>
      <c r="X23" s="52">
        <v>45</v>
      </c>
      <c r="Y23">
        <v>48</v>
      </c>
      <c r="Z23" s="67">
        <f t="shared" si="4"/>
        <v>3</v>
      </c>
      <c r="AA23" s="52">
        <v>4668</v>
      </c>
      <c r="AB23">
        <v>3941</v>
      </c>
      <c r="AC23">
        <f>Table2[[#This Row],[2025 Cases Sold9]]-Table2[[#This Row],[2024 Cases Sold8]]</f>
        <v>-727</v>
      </c>
      <c r="AD23" s="57">
        <f t="shared" si="5"/>
        <v>-0.15574121679520136</v>
      </c>
      <c r="AE23" s="59"/>
      <c r="AF23" s="52"/>
      <c r="AH23" s="67"/>
      <c r="AI23" s="52">
        <v>2889</v>
      </c>
      <c r="AJ23">
        <v>2638</v>
      </c>
      <c r="AK23">
        <f>Table2[[#This Row],[2025 Cases Sold16]]-Table2[[#This Row],[2024 Cases Sold15]]</f>
        <v>-251</v>
      </c>
      <c r="AL23" s="64">
        <f t="shared" si="6"/>
        <v>-8.6881273797161651E-2</v>
      </c>
      <c r="AM23" s="52"/>
    </row>
    <row r="24" spans="1:41" x14ac:dyDescent="0.25">
      <c r="A24" s="5">
        <v>7355880</v>
      </c>
      <c r="B24" s="113" t="s">
        <v>72</v>
      </c>
      <c r="C24" s="14" t="s">
        <v>73</v>
      </c>
      <c r="D24" s="14" t="s">
        <v>21</v>
      </c>
      <c r="E24" s="2" t="str">
        <f t="shared" si="0"/>
        <v>430 MARKET ST, ELMWOOD PARK</v>
      </c>
      <c r="F24" s="14" t="s">
        <v>13</v>
      </c>
      <c r="G24" s="6">
        <v>7407</v>
      </c>
      <c r="H24" s="6" t="s">
        <v>22</v>
      </c>
      <c r="I24" s="179">
        <v>45756</v>
      </c>
      <c r="J24" s="4" t="s">
        <v>15</v>
      </c>
      <c r="K24" s="49" t="s">
        <v>15</v>
      </c>
      <c r="L24" s="52">
        <v>531</v>
      </c>
      <c r="M24">
        <v>629</v>
      </c>
      <c r="N24">
        <f>Table2[[#This Row],[2025 Cases Sold]]-Table2[[#This Row],[2024 Cases Sold]]</f>
        <v>98</v>
      </c>
      <c r="O24" s="57">
        <f t="shared" si="11"/>
        <v>0.18455743879472694</v>
      </c>
      <c r="P24" s="59">
        <v>-8.2000000000000003E-2</v>
      </c>
      <c r="Q24" s="52">
        <v>96</v>
      </c>
      <c r="R24">
        <v>67</v>
      </c>
      <c r="S24" s="67">
        <f t="shared" si="10"/>
        <v>-29</v>
      </c>
      <c r="T24" s="52">
        <v>236</v>
      </c>
      <c r="U24">
        <v>334</v>
      </c>
      <c r="V24">
        <f>Table2[[#This Row],[2025 Cases Sold3]]-Table2[[#This Row],[2024 Cases Sold2]]</f>
        <v>98</v>
      </c>
      <c r="W24" s="64">
        <f t="shared" si="3"/>
        <v>0.4152542372881356</v>
      </c>
      <c r="X24" s="52">
        <v>25</v>
      </c>
      <c r="Y24">
        <v>26</v>
      </c>
      <c r="Z24" s="67">
        <f t="shared" si="4"/>
        <v>1</v>
      </c>
      <c r="AA24" s="52">
        <v>531</v>
      </c>
      <c r="AB24">
        <v>629</v>
      </c>
      <c r="AC24">
        <f>Table2[[#This Row],[2025 Cases Sold9]]-Table2[[#This Row],[2024 Cases Sold8]]</f>
        <v>98</v>
      </c>
      <c r="AD24" s="57">
        <f t="shared" si="5"/>
        <v>0.18455743879472694</v>
      </c>
      <c r="AE24" s="59"/>
      <c r="AF24" s="52"/>
      <c r="AH24" s="67"/>
      <c r="AI24" s="52">
        <v>236</v>
      </c>
      <c r="AJ24">
        <v>334</v>
      </c>
      <c r="AK24">
        <f>Table2[[#This Row],[2025 Cases Sold16]]-Table2[[#This Row],[2024 Cases Sold15]]</f>
        <v>98</v>
      </c>
      <c r="AL24" s="64">
        <f t="shared" si="6"/>
        <v>0.4152542372881356</v>
      </c>
      <c r="AM24" s="52"/>
    </row>
    <row r="25" spans="1:41" x14ac:dyDescent="0.25">
      <c r="A25" s="5">
        <v>883599</v>
      </c>
      <c r="B25" s="14" t="s">
        <v>74</v>
      </c>
      <c r="C25" s="14" t="s">
        <v>75</v>
      </c>
      <c r="D25" s="14" t="s">
        <v>76</v>
      </c>
      <c r="E25" s="2" t="str">
        <f t="shared" si="0"/>
        <v>229 MAIN AVE, PASSAIC</v>
      </c>
      <c r="F25" s="14" t="s">
        <v>13</v>
      </c>
      <c r="G25" s="6">
        <v>7055</v>
      </c>
      <c r="H25" s="6" t="s">
        <v>44</v>
      </c>
      <c r="I25" s="179">
        <v>45761</v>
      </c>
      <c r="J25" s="4" t="s">
        <v>15</v>
      </c>
      <c r="K25" s="49" t="s">
        <v>15</v>
      </c>
      <c r="L25" s="52">
        <v>5107</v>
      </c>
      <c r="M25">
        <v>4147</v>
      </c>
      <c r="N25">
        <f>Table2[[#This Row],[2025 Cases Sold]]-Table2[[#This Row],[2024 Cases Sold]]</f>
        <v>-960</v>
      </c>
      <c r="O25" s="57">
        <f t="shared" si="11"/>
        <v>-0.18797728607793224</v>
      </c>
      <c r="P25" s="59">
        <v>-8.4000000000000005E-2</v>
      </c>
      <c r="Q25" s="52">
        <v>128</v>
      </c>
      <c r="R25">
        <v>106</v>
      </c>
      <c r="S25" s="67">
        <f t="shared" si="10"/>
        <v>-22</v>
      </c>
      <c r="T25" s="52">
        <v>2762</v>
      </c>
      <c r="U25">
        <v>2451</v>
      </c>
      <c r="V25">
        <f>Table2[[#This Row],[2025 Cases Sold3]]-Table2[[#This Row],[2024 Cases Sold2]]</f>
        <v>-311</v>
      </c>
      <c r="W25" s="64">
        <f t="shared" si="3"/>
        <v>-0.11259956553222303</v>
      </c>
      <c r="X25" s="52">
        <v>41</v>
      </c>
      <c r="Y25">
        <v>37</v>
      </c>
      <c r="Z25" s="67">
        <f t="shared" si="4"/>
        <v>-4</v>
      </c>
      <c r="AA25" s="52">
        <v>5107</v>
      </c>
      <c r="AB25">
        <v>4147</v>
      </c>
      <c r="AC25">
        <f>Table2[[#This Row],[2025 Cases Sold9]]-Table2[[#This Row],[2024 Cases Sold8]]</f>
        <v>-960</v>
      </c>
      <c r="AD25" s="57">
        <f t="shared" si="5"/>
        <v>-0.18797728607793224</v>
      </c>
      <c r="AE25" s="59"/>
      <c r="AF25" s="52"/>
      <c r="AH25" s="67"/>
      <c r="AI25" s="52">
        <v>2762</v>
      </c>
      <c r="AJ25">
        <v>2451</v>
      </c>
      <c r="AK25">
        <f>Table2[[#This Row],[2025 Cases Sold16]]-Table2[[#This Row],[2024 Cases Sold15]]</f>
        <v>-311</v>
      </c>
      <c r="AL25" s="64">
        <f t="shared" si="6"/>
        <v>-0.11259956553222303</v>
      </c>
      <c r="AM25" s="52"/>
    </row>
    <row r="26" spans="1:41" x14ac:dyDescent="0.25">
      <c r="A26" s="8">
        <v>883625</v>
      </c>
      <c r="B26" s="114" t="s">
        <v>77</v>
      </c>
      <c r="C26" s="16" t="s">
        <v>78</v>
      </c>
      <c r="D26" s="16" t="s">
        <v>76</v>
      </c>
      <c r="E26" s="2" t="str">
        <f t="shared" si="0"/>
        <v>952 MAIN AVE, PASSAIC</v>
      </c>
      <c r="F26" s="16" t="s">
        <v>13</v>
      </c>
      <c r="G26" s="9">
        <v>7055</v>
      </c>
      <c r="H26" s="9" t="s">
        <v>44</v>
      </c>
      <c r="I26" s="179">
        <v>45762</v>
      </c>
      <c r="J26" s="4" t="s">
        <v>15</v>
      </c>
      <c r="K26" s="49" t="s">
        <v>15</v>
      </c>
      <c r="L26" s="52">
        <v>5370</v>
      </c>
      <c r="M26">
        <v>5202</v>
      </c>
      <c r="N26">
        <f>Table2[[#This Row],[2025 Cases Sold]]-Table2[[#This Row],[2024 Cases Sold]]</f>
        <v>-168</v>
      </c>
      <c r="O26" s="57">
        <f t="shared" si="11"/>
        <v>-3.128491620111732E-2</v>
      </c>
      <c r="P26" s="59">
        <v>-8.4000000000000005E-2</v>
      </c>
      <c r="Q26" s="52">
        <v>128</v>
      </c>
      <c r="R26">
        <v>129</v>
      </c>
      <c r="S26" s="67">
        <f t="shared" si="10"/>
        <v>1</v>
      </c>
      <c r="T26" s="52">
        <v>3659</v>
      </c>
      <c r="U26">
        <v>3462</v>
      </c>
      <c r="V26">
        <f>Table2[[#This Row],[2025 Cases Sold3]]-Table2[[#This Row],[2024 Cases Sold2]]</f>
        <v>-197</v>
      </c>
      <c r="W26" s="64">
        <f t="shared" si="3"/>
        <v>-5.3839846952719324E-2</v>
      </c>
      <c r="X26" s="52">
        <v>47</v>
      </c>
      <c r="Y26">
        <v>50</v>
      </c>
      <c r="Z26" s="67">
        <f t="shared" si="4"/>
        <v>3</v>
      </c>
      <c r="AA26" s="52">
        <v>5370</v>
      </c>
      <c r="AB26">
        <v>5202</v>
      </c>
      <c r="AC26">
        <f>Table2[[#This Row],[2025 Cases Sold9]]-Table2[[#This Row],[2024 Cases Sold8]]</f>
        <v>-168</v>
      </c>
      <c r="AD26" s="57">
        <f t="shared" si="5"/>
        <v>-3.128491620111732E-2</v>
      </c>
      <c r="AE26" s="59"/>
      <c r="AF26" s="52"/>
      <c r="AH26" s="67"/>
      <c r="AI26" s="52">
        <v>3659</v>
      </c>
      <c r="AJ26">
        <v>3462</v>
      </c>
      <c r="AK26">
        <f>Table2[[#This Row],[2025 Cases Sold16]]-Table2[[#This Row],[2024 Cases Sold15]]</f>
        <v>-197</v>
      </c>
      <c r="AL26" s="64">
        <f t="shared" si="6"/>
        <v>-5.3839846952719324E-2</v>
      </c>
      <c r="AM26" s="52"/>
    </row>
    <row r="27" spans="1:41" x14ac:dyDescent="0.25">
      <c r="A27" s="5">
        <v>7588093</v>
      </c>
      <c r="B27" s="125" t="s">
        <v>79</v>
      </c>
      <c r="C27" s="16" t="s">
        <v>80</v>
      </c>
      <c r="D27" s="16" t="s">
        <v>76</v>
      </c>
      <c r="E27" s="2" t="str">
        <f t="shared" si="0"/>
        <v>497 VAN HOUTEN AVE, PASSAIC</v>
      </c>
      <c r="F27" s="16" t="s">
        <v>13</v>
      </c>
      <c r="G27" s="9">
        <v>7055</v>
      </c>
      <c r="H27" s="9" t="s">
        <v>14</v>
      </c>
      <c r="I27" s="24">
        <v>45768</v>
      </c>
      <c r="J27" s="45" t="s">
        <v>48</v>
      </c>
      <c r="K27" s="50" t="s">
        <v>15</v>
      </c>
      <c r="L27" s="53"/>
      <c r="M27" s="54"/>
      <c r="N27" s="54"/>
      <c r="O27" s="60"/>
      <c r="P27" s="61"/>
      <c r="Q27" s="53"/>
      <c r="R27" s="54"/>
      <c r="S27" s="68"/>
      <c r="T27" s="53"/>
      <c r="U27" s="54"/>
      <c r="V27" s="54"/>
      <c r="W27" s="65"/>
      <c r="X27" s="53"/>
      <c r="Y27" s="54"/>
      <c r="Z27" s="68"/>
      <c r="AA27" s="53"/>
      <c r="AB27" s="54"/>
      <c r="AC27" s="54">
        <f>Table2[[#This Row],[2025 Cases Sold9]]-Table2[[#This Row],[2024 Cases Sold8]]</f>
        <v>0</v>
      </c>
      <c r="AD27" s="60"/>
      <c r="AE27" s="61"/>
      <c r="AF27" s="53"/>
      <c r="AG27" s="54"/>
      <c r="AH27" s="68"/>
      <c r="AI27" s="53"/>
      <c r="AJ27" s="54"/>
      <c r="AK27" s="54">
        <f>Table2[[#This Row],[2025 Cases Sold16]]-Table2[[#This Row],[2024 Cases Sold15]]</f>
        <v>0</v>
      </c>
      <c r="AL27" s="65"/>
      <c r="AM27" s="53"/>
      <c r="AN27" s="54"/>
      <c r="AO27" s="54"/>
    </row>
    <row r="28" spans="1:41" x14ac:dyDescent="0.25">
      <c r="A28" s="25">
        <v>6954</v>
      </c>
      <c r="B28" s="115" t="s">
        <v>195</v>
      </c>
      <c r="C28" s="14" t="s">
        <v>81</v>
      </c>
      <c r="D28" s="14" t="s">
        <v>28</v>
      </c>
      <c r="E28" s="2" t="str">
        <f t="shared" si="0"/>
        <v>895 PAULISON AVE, CLIFTON</v>
      </c>
      <c r="F28" s="6" t="s">
        <v>13</v>
      </c>
      <c r="G28" s="6">
        <v>7011</v>
      </c>
      <c r="H28" s="6" t="s">
        <v>44</v>
      </c>
      <c r="I28" s="3">
        <v>45775</v>
      </c>
      <c r="J28" s="19" t="s">
        <v>15</v>
      </c>
      <c r="K28" s="50" t="s">
        <v>15</v>
      </c>
      <c r="L28" s="52">
        <v>8500</v>
      </c>
      <c r="M28">
        <v>7283</v>
      </c>
      <c r="N28">
        <f>Table2[[#This Row],[2025 Cases Sold]]-Table2[[#This Row],[2024 Cases Sold]]</f>
        <v>-1217</v>
      </c>
      <c r="O28" s="57">
        <f t="shared" si="11"/>
        <v>-0.14317647058823529</v>
      </c>
      <c r="P28" s="59">
        <v>-8.3000000000000004E-2</v>
      </c>
      <c r="Q28" s="52">
        <v>421</v>
      </c>
      <c r="R28">
        <v>469</v>
      </c>
      <c r="S28" s="67">
        <f t="shared" si="10"/>
        <v>48</v>
      </c>
      <c r="T28" s="52">
        <v>4798</v>
      </c>
      <c r="U28">
        <v>3905</v>
      </c>
      <c r="V28">
        <f>Table2[[#This Row],[2025 Cases Sold3]]-Table2[[#This Row],[2024 Cases Sold2]]</f>
        <v>-893</v>
      </c>
      <c r="W28" s="64">
        <f t="shared" si="3"/>
        <v>-0.18611921634014172</v>
      </c>
      <c r="X28" s="52">
        <v>60</v>
      </c>
      <c r="Y28">
        <v>62</v>
      </c>
      <c r="Z28" s="67">
        <f t="shared" si="4"/>
        <v>2</v>
      </c>
      <c r="AA28" s="52"/>
      <c r="AC28">
        <f>Table2[[#This Row],[2025 Cases Sold9]]-Table2[[#This Row],[2024 Cases Sold8]]</f>
        <v>0</v>
      </c>
      <c r="AD28" s="57"/>
      <c r="AE28" s="59"/>
      <c r="AF28" s="52"/>
      <c r="AH28" s="67"/>
      <c r="AI28" s="52"/>
      <c r="AK28">
        <f>Table2[[#This Row],[2025 Cases Sold16]]-Table2[[#This Row],[2024 Cases Sold15]]</f>
        <v>0</v>
      </c>
      <c r="AL28" s="64"/>
      <c r="AM28" s="52"/>
    </row>
    <row r="29" spans="1:41" x14ac:dyDescent="0.25">
      <c r="A29" s="26">
        <v>883901</v>
      </c>
      <c r="B29" s="113" t="s">
        <v>82</v>
      </c>
      <c r="C29" s="14" t="s">
        <v>83</v>
      </c>
      <c r="D29" s="14" t="s">
        <v>84</v>
      </c>
      <c r="E29" s="2" t="str">
        <f t="shared" si="0"/>
        <v>410 RIVER ST, HACKENSACK</v>
      </c>
      <c r="F29" s="6" t="s">
        <v>13</v>
      </c>
      <c r="G29" s="6">
        <v>7601</v>
      </c>
      <c r="H29" s="6" t="s">
        <v>44</v>
      </c>
      <c r="I29" s="3">
        <v>45776</v>
      </c>
      <c r="J29" s="19" t="s">
        <v>15</v>
      </c>
      <c r="K29" s="50" t="s">
        <v>15</v>
      </c>
      <c r="L29" s="52">
        <v>7983</v>
      </c>
      <c r="M29">
        <v>7611</v>
      </c>
      <c r="N29">
        <f>Table2[[#This Row],[2025 Cases Sold]]-Table2[[#This Row],[2024 Cases Sold]]</f>
        <v>-372</v>
      </c>
      <c r="O29" s="57">
        <f t="shared" si="11"/>
        <v>-4.6599022923712888E-2</v>
      </c>
      <c r="P29" s="59">
        <v>-8.3000000000000004E-2</v>
      </c>
      <c r="Q29" s="52">
        <v>46</v>
      </c>
      <c r="R29">
        <v>49</v>
      </c>
      <c r="S29" s="67">
        <f t="shared" si="10"/>
        <v>3</v>
      </c>
      <c r="T29" s="52">
        <v>4896</v>
      </c>
      <c r="U29">
        <v>4819</v>
      </c>
      <c r="V29">
        <f>Table2[[#This Row],[2025 Cases Sold3]]-Table2[[#This Row],[2024 Cases Sold2]]</f>
        <v>-77</v>
      </c>
      <c r="W29" s="64">
        <f t="shared" si="3"/>
        <v>-1.5727124183006536E-2</v>
      </c>
      <c r="X29" s="52">
        <v>46</v>
      </c>
      <c r="Y29">
        <v>49</v>
      </c>
      <c r="Z29" s="67">
        <f t="shared" si="4"/>
        <v>3</v>
      </c>
      <c r="AA29" s="52"/>
      <c r="AC29">
        <f>Table2[[#This Row],[2025 Cases Sold9]]-Table2[[#This Row],[2024 Cases Sold8]]</f>
        <v>0</v>
      </c>
      <c r="AD29" s="57"/>
      <c r="AE29" s="59"/>
      <c r="AF29" s="52"/>
      <c r="AH29" s="67"/>
      <c r="AI29" s="52"/>
      <c r="AK29">
        <f>Table2[[#This Row],[2025 Cases Sold16]]-Table2[[#This Row],[2024 Cases Sold15]]</f>
        <v>0</v>
      </c>
      <c r="AL29" s="64"/>
      <c r="AM29" s="52"/>
    </row>
    <row r="30" spans="1:41" x14ac:dyDescent="0.25">
      <c r="A30" s="27">
        <v>883459</v>
      </c>
      <c r="B30" s="113" t="s">
        <v>85</v>
      </c>
      <c r="C30" s="14" t="s">
        <v>86</v>
      </c>
      <c r="D30" s="14" t="s">
        <v>28</v>
      </c>
      <c r="E30" s="2" t="str">
        <f t="shared" si="0"/>
        <v>875 BLOOMFIELD AVE, CLIFTON</v>
      </c>
      <c r="F30" s="6" t="s">
        <v>13</v>
      </c>
      <c r="G30" s="6">
        <v>7012</v>
      </c>
      <c r="H30" s="6" t="s">
        <v>44</v>
      </c>
      <c r="I30" s="3">
        <v>45772</v>
      </c>
      <c r="J30" s="19" t="s">
        <v>15</v>
      </c>
      <c r="K30" s="50" t="s">
        <v>15</v>
      </c>
      <c r="L30" s="52">
        <v>11857</v>
      </c>
      <c r="M30">
        <v>11562</v>
      </c>
      <c r="N30">
        <f>Table2[[#This Row],[2025 Cases Sold]]-Table2[[#This Row],[2024 Cases Sold]]</f>
        <v>-295</v>
      </c>
      <c r="O30" s="57">
        <f t="shared" si="11"/>
        <v>-2.4879817829130471E-2</v>
      </c>
      <c r="P30" s="59">
        <v>-0.08</v>
      </c>
      <c r="Q30" s="52">
        <v>334</v>
      </c>
      <c r="R30">
        <v>360</v>
      </c>
      <c r="S30" s="67">
        <f t="shared" si="10"/>
        <v>26</v>
      </c>
      <c r="T30" s="52">
        <v>5679</v>
      </c>
      <c r="U30">
        <v>5941</v>
      </c>
      <c r="V30">
        <f>Table2[[#This Row],[2025 Cases Sold3]]-Table2[[#This Row],[2024 Cases Sold2]]</f>
        <v>262</v>
      </c>
      <c r="W30" s="64">
        <f t="shared" si="3"/>
        <v>4.6134882901919354E-2</v>
      </c>
      <c r="X30" s="52">
        <v>47</v>
      </c>
      <c r="Y30">
        <v>49</v>
      </c>
      <c r="Z30" s="67">
        <f t="shared" si="4"/>
        <v>2</v>
      </c>
      <c r="AA30" s="52"/>
      <c r="AC30">
        <f>Table2[[#This Row],[2025 Cases Sold9]]-Table2[[#This Row],[2024 Cases Sold8]]</f>
        <v>0</v>
      </c>
      <c r="AD30" s="57"/>
      <c r="AE30" s="59"/>
      <c r="AF30" s="52"/>
      <c r="AH30" s="67"/>
      <c r="AI30" s="52"/>
      <c r="AK30">
        <f>Table2[[#This Row],[2025 Cases Sold16]]-Table2[[#This Row],[2024 Cases Sold15]]</f>
        <v>0</v>
      </c>
      <c r="AL30" s="64"/>
      <c r="AM30" s="52"/>
    </row>
    <row r="31" spans="1:41" x14ac:dyDescent="0.25">
      <c r="A31" s="27">
        <v>883883</v>
      </c>
      <c r="B31" s="113" t="s">
        <v>87</v>
      </c>
      <c r="C31" s="14" t="s">
        <v>88</v>
      </c>
      <c r="D31" s="14" t="s">
        <v>89</v>
      </c>
      <c r="E31" s="2" t="str">
        <f t="shared" si="0"/>
        <v>909 PROSPECT ST, GLEN ROCK</v>
      </c>
      <c r="F31" s="6" t="s">
        <v>13</v>
      </c>
      <c r="G31" s="6">
        <v>7452</v>
      </c>
      <c r="H31" s="6" t="s">
        <v>44</v>
      </c>
      <c r="I31" s="3">
        <v>45771</v>
      </c>
      <c r="J31" s="19" t="s">
        <v>15</v>
      </c>
      <c r="K31" s="50" t="s">
        <v>15</v>
      </c>
      <c r="L31" s="52">
        <v>15744</v>
      </c>
      <c r="M31">
        <v>12844</v>
      </c>
      <c r="N31">
        <f>Table2[[#This Row],[2025 Cases Sold]]-Table2[[#This Row],[2024 Cases Sold]]</f>
        <v>-2900</v>
      </c>
      <c r="O31" s="57">
        <f t="shared" si="11"/>
        <v>-0.18419715447154472</v>
      </c>
      <c r="P31" s="59">
        <v>-0.08</v>
      </c>
      <c r="Q31" s="52">
        <v>677</v>
      </c>
      <c r="R31">
        <v>699</v>
      </c>
      <c r="S31" s="67">
        <f t="shared" si="10"/>
        <v>22</v>
      </c>
      <c r="T31" s="52">
        <v>2698</v>
      </c>
      <c r="U31">
        <v>2110</v>
      </c>
      <c r="V31">
        <f>Table2[[#This Row],[2025 Cases Sold3]]-Table2[[#This Row],[2024 Cases Sold2]]</f>
        <v>-588</v>
      </c>
      <c r="W31" s="64">
        <f t="shared" si="3"/>
        <v>-0.21793921423276502</v>
      </c>
      <c r="X31" s="52">
        <v>42</v>
      </c>
      <c r="Y31">
        <v>46</v>
      </c>
      <c r="Z31" s="67">
        <f t="shared" si="4"/>
        <v>4</v>
      </c>
      <c r="AA31" s="52"/>
      <c r="AC31">
        <f>Table2[[#This Row],[2025 Cases Sold9]]-Table2[[#This Row],[2024 Cases Sold8]]</f>
        <v>0</v>
      </c>
      <c r="AD31" s="57"/>
      <c r="AE31" s="59"/>
      <c r="AF31" s="52"/>
      <c r="AH31" s="67"/>
      <c r="AI31" s="52"/>
      <c r="AK31">
        <f>Table2[[#This Row],[2025 Cases Sold16]]-Table2[[#This Row],[2024 Cases Sold15]]</f>
        <v>0</v>
      </c>
      <c r="AL31" s="64"/>
      <c r="AM31" s="52"/>
    </row>
    <row r="32" spans="1:41" x14ac:dyDescent="0.25">
      <c r="A32" s="27">
        <v>883465</v>
      </c>
      <c r="B32" s="14" t="s">
        <v>90</v>
      </c>
      <c r="C32" s="14" t="s">
        <v>91</v>
      </c>
      <c r="D32" s="14" t="s">
        <v>28</v>
      </c>
      <c r="E32" s="2" t="str">
        <f t="shared" si="0"/>
        <v>383 VALLEY RD, CLIFTON</v>
      </c>
      <c r="F32" s="6" t="s">
        <v>13</v>
      </c>
      <c r="G32" s="6">
        <v>7013</v>
      </c>
      <c r="H32" s="6" t="s">
        <v>22</v>
      </c>
      <c r="I32" s="3">
        <v>45783</v>
      </c>
      <c r="J32" s="19" t="s">
        <v>15</v>
      </c>
      <c r="K32" s="50" t="s">
        <v>15</v>
      </c>
      <c r="L32" s="52"/>
      <c r="O32" s="57"/>
      <c r="P32" s="59"/>
      <c r="Q32" s="52"/>
      <c r="S32" s="67"/>
      <c r="T32" s="52"/>
      <c r="W32" s="64"/>
      <c r="X32" s="52"/>
      <c r="Z32" s="67"/>
      <c r="AA32" s="52"/>
      <c r="AC32">
        <f>Table2[[#This Row],[2025 Cases Sold9]]-Table2[[#This Row],[2024 Cases Sold8]]</f>
        <v>0</v>
      </c>
      <c r="AD32" s="57"/>
      <c r="AE32" s="59"/>
      <c r="AF32" s="52"/>
      <c r="AH32" s="67"/>
      <c r="AI32" s="52"/>
      <c r="AK32">
        <f>Table2[[#This Row],[2025 Cases Sold16]]-Table2[[#This Row],[2024 Cases Sold15]]</f>
        <v>0</v>
      </c>
      <c r="AL32" s="64"/>
      <c r="AM32" s="52"/>
    </row>
    <row r="33" spans="1:41" x14ac:dyDescent="0.25">
      <c r="A33" s="27">
        <v>889722</v>
      </c>
      <c r="B33" s="126" t="s">
        <v>92</v>
      </c>
      <c r="C33" s="14" t="s">
        <v>93</v>
      </c>
      <c r="D33" s="14" t="s">
        <v>37</v>
      </c>
      <c r="E33" s="2" t="str">
        <f t="shared" si="0"/>
        <v>498 ELLISON ST, PATERSON</v>
      </c>
      <c r="F33" s="6" t="s">
        <v>13</v>
      </c>
      <c r="G33" s="6">
        <v>7501</v>
      </c>
      <c r="H33" s="6" t="s">
        <v>22</v>
      </c>
      <c r="I33" s="3">
        <v>45784</v>
      </c>
      <c r="J33" s="44" t="s">
        <v>48</v>
      </c>
      <c r="K33" s="49" t="s">
        <v>15</v>
      </c>
      <c r="L33" s="53"/>
      <c r="M33" s="54"/>
      <c r="N33" s="54"/>
      <c r="O33" s="60"/>
      <c r="P33" s="61"/>
      <c r="Q33" s="53"/>
      <c r="R33" s="54"/>
      <c r="S33" s="68"/>
      <c r="T33" s="53"/>
      <c r="U33" s="54"/>
      <c r="V33" s="54"/>
      <c r="W33" s="65"/>
      <c r="X33" s="53"/>
      <c r="Y33" s="54"/>
      <c r="Z33" s="68"/>
      <c r="AA33" s="53"/>
      <c r="AB33" s="54"/>
      <c r="AC33" s="54">
        <f>Table2[[#This Row],[2025 Cases Sold9]]-Table2[[#This Row],[2024 Cases Sold8]]</f>
        <v>0</v>
      </c>
      <c r="AD33" s="60"/>
      <c r="AE33" s="61"/>
      <c r="AF33" s="53"/>
      <c r="AG33" s="54"/>
      <c r="AH33" s="68"/>
      <c r="AI33" s="53"/>
      <c r="AJ33" s="54"/>
      <c r="AK33" s="54">
        <f>Table2[[#This Row],[2025 Cases Sold16]]-Table2[[#This Row],[2024 Cases Sold15]]</f>
        <v>0</v>
      </c>
      <c r="AL33" s="65"/>
      <c r="AM33" s="53"/>
      <c r="AN33" s="54"/>
      <c r="AO33" s="54"/>
    </row>
    <row r="34" spans="1:41" x14ac:dyDescent="0.25">
      <c r="A34" s="27">
        <v>883771</v>
      </c>
      <c r="B34" s="113" t="s">
        <v>94</v>
      </c>
      <c r="C34" s="14" t="s">
        <v>95</v>
      </c>
      <c r="D34" s="14" t="s">
        <v>37</v>
      </c>
      <c r="E34" s="2" t="str">
        <f t="shared" si="0"/>
        <v>498 E 30TH ST, PATERSON</v>
      </c>
      <c r="F34" s="6" t="s">
        <v>13</v>
      </c>
      <c r="G34" s="6">
        <v>7504</v>
      </c>
      <c r="H34" s="6" t="s">
        <v>44</v>
      </c>
      <c r="I34" s="181">
        <v>45768</v>
      </c>
      <c r="J34" s="19" t="s">
        <v>15</v>
      </c>
      <c r="K34" s="50" t="s">
        <v>15</v>
      </c>
      <c r="L34" s="52">
        <v>9086</v>
      </c>
      <c r="M34">
        <v>9750</v>
      </c>
      <c r="N34">
        <f>Table2[[#This Row],[2025 Cases Sold]]-Table2[[#This Row],[2024 Cases Sold]]</f>
        <v>664</v>
      </c>
      <c r="O34" s="57">
        <f t="shared" ref="O34:O43" si="12">(M34-L34)/L34</f>
        <v>7.3079462909971388E-2</v>
      </c>
      <c r="P34" s="59">
        <v>-8.5000000000000006E-2</v>
      </c>
      <c r="Q34" s="52">
        <v>154</v>
      </c>
      <c r="R34">
        <v>137</v>
      </c>
      <c r="S34" s="67">
        <f t="shared" ref="S34:S38" si="13">R34-Q34</f>
        <v>-17</v>
      </c>
      <c r="T34" s="52">
        <v>6394</v>
      </c>
      <c r="U34">
        <v>7407</v>
      </c>
      <c r="V34">
        <f>Table2[[#This Row],[2025 Cases Sold3]]-Table2[[#This Row],[2024 Cases Sold2]]</f>
        <v>1013</v>
      </c>
      <c r="W34" s="64">
        <f t="shared" ref="W34:W43" si="14">(U34-T34)/T34</f>
        <v>0.15842977791679699</v>
      </c>
      <c r="X34" s="52">
        <v>46</v>
      </c>
      <c r="Y34">
        <v>48</v>
      </c>
      <c r="Z34" s="67">
        <f t="shared" ref="Z34:Z38" si="15">Y34-X34</f>
        <v>2</v>
      </c>
      <c r="AA34" s="52">
        <v>10984</v>
      </c>
      <c r="AB34">
        <v>12493</v>
      </c>
      <c r="AC34">
        <f>Table2[[#This Row],[2025 Cases Sold9]]-Table2[[#This Row],[2024 Cases Sold8]]</f>
        <v>1509</v>
      </c>
      <c r="AD34" s="57">
        <f t="shared" ref="AD34:AD35" si="16">(AB34-AA34)/AA34</f>
        <v>0.13738164603058994</v>
      </c>
      <c r="AE34" s="59"/>
      <c r="AF34" s="52">
        <v>163</v>
      </c>
      <c r="AG34">
        <v>151</v>
      </c>
      <c r="AH34" s="64">
        <f t="shared" ref="AH34" si="17">(AG34-AF34)/AF34</f>
        <v>-7.3619631901840496E-2</v>
      </c>
      <c r="AI34" s="52">
        <v>7780</v>
      </c>
      <c r="AJ34">
        <v>9475</v>
      </c>
      <c r="AK34">
        <f>Table2[[#This Row],[2025 Cases Sold16]]-Table2[[#This Row],[2024 Cases Sold15]]</f>
        <v>1695</v>
      </c>
      <c r="AL34" s="64">
        <f t="shared" ref="AL34:AL35" si="18">(AJ34-AI34)/AI34</f>
        <v>0.217866323907455</v>
      </c>
      <c r="AM34" s="52">
        <v>47</v>
      </c>
      <c r="AN34">
        <v>50</v>
      </c>
    </row>
    <row r="35" spans="1:41" x14ac:dyDescent="0.25">
      <c r="A35" s="27">
        <v>889832</v>
      </c>
      <c r="B35" s="113" t="s">
        <v>96</v>
      </c>
      <c r="C35" s="14" t="s">
        <v>97</v>
      </c>
      <c r="D35" s="14" t="s">
        <v>37</v>
      </c>
      <c r="E35" s="2" t="str">
        <f t="shared" si="0"/>
        <v>42 E 30TH ST, PATERSON</v>
      </c>
      <c r="F35" s="6" t="s">
        <v>13</v>
      </c>
      <c r="G35" s="6">
        <v>7514</v>
      </c>
      <c r="H35" s="6" t="s">
        <v>44</v>
      </c>
      <c r="I35" s="181">
        <v>45768</v>
      </c>
      <c r="J35" s="19" t="s">
        <v>15</v>
      </c>
      <c r="K35" s="50" t="s">
        <v>15</v>
      </c>
      <c r="L35" s="52">
        <v>19546</v>
      </c>
      <c r="M35">
        <v>17902</v>
      </c>
      <c r="N35">
        <f>Table2[[#This Row],[2025 Cases Sold]]-Table2[[#This Row],[2024 Cases Sold]]</f>
        <v>-1644</v>
      </c>
      <c r="O35" s="57">
        <f t="shared" si="12"/>
        <v>-8.4109280671237088E-2</v>
      </c>
      <c r="P35" s="59">
        <v>-8.5000000000000006E-2</v>
      </c>
      <c r="Q35" s="52">
        <v>405</v>
      </c>
      <c r="R35">
        <v>401</v>
      </c>
      <c r="S35" s="67">
        <f t="shared" si="13"/>
        <v>-4</v>
      </c>
      <c r="T35" s="52">
        <v>10843</v>
      </c>
      <c r="U35">
        <v>10302</v>
      </c>
      <c r="V35">
        <f>Table2[[#This Row],[2025 Cases Sold3]]-Table2[[#This Row],[2024 Cases Sold2]]</f>
        <v>-541</v>
      </c>
      <c r="W35" s="64">
        <f t="shared" si="14"/>
        <v>-4.9893940791293924E-2</v>
      </c>
      <c r="X35" s="52">
        <v>58</v>
      </c>
      <c r="Y35">
        <v>65</v>
      </c>
      <c r="Z35" s="67">
        <f t="shared" si="15"/>
        <v>7</v>
      </c>
      <c r="AA35" s="52">
        <v>25160</v>
      </c>
      <c r="AB35">
        <v>23755</v>
      </c>
      <c r="AC35">
        <f>Table2[[#This Row],[2025 Cases Sold9]]-Table2[[#This Row],[2024 Cases Sold8]]</f>
        <v>-1405</v>
      </c>
      <c r="AD35" s="57">
        <f t="shared" si="16"/>
        <v>-5.5842607313195548E-2</v>
      </c>
      <c r="AE35" s="59"/>
      <c r="AF35" s="52">
        <v>424</v>
      </c>
      <c r="AG35">
        <v>424</v>
      </c>
      <c r="AH35" s="67"/>
      <c r="AI35" s="52">
        <v>14386</v>
      </c>
      <c r="AJ35">
        <v>14249</v>
      </c>
      <c r="AK35">
        <f>Table2[[#This Row],[2025 Cases Sold16]]-Table2[[#This Row],[2024 Cases Sold15]]</f>
        <v>-137</v>
      </c>
      <c r="AL35" s="64">
        <f t="shared" si="18"/>
        <v>-9.5231475045182822E-3</v>
      </c>
      <c r="AM35" s="52"/>
    </row>
    <row r="36" spans="1:41" x14ac:dyDescent="0.25">
      <c r="A36" s="27">
        <v>7355800</v>
      </c>
      <c r="B36" s="113" t="s">
        <v>98</v>
      </c>
      <c r="C36" s="14" t="s">
        <v>99</v>
      </c>
      <c r="D36" s="14" t="s">
        <v>37</v>
      </c>
      <c r="E36" s="2" t="str">
        <f t="shared" si="0"/>
        <v>465 GETTY AVE, PATERSON</v>
      </c>
      <c r="F36" s="6" t="s">
        <v>13</v>
      </c>
      <c r="G36" s="6">
        <v>7503</v>
      </c>
      <c r="H36" s="6" t="s">
        <v>44</v>
      </c>
      <c r="I36" s="3">
        <v>45770</v>
      </c>
      <c r="J36" s="19" t="s">
        <v>15</v>
      </c>
      <c r="K36" s="50" t="s">
        <v>15</v>
      </c>
      <c r="L36" s="52">
        <v>5261</v>
      </c>
      <c r="M36">
        <v>5804</v>
      </c>
      <c r="N36">
        <f>Table2[[#This Row],[2025 Cases Sold]]-Table2[[#This Row],[2024 Cases Sold]]</f>
        <v>543</v>
      </c>
      <c r="O36" s="57">
        <f t="shared" si="12"/>
        <v>0.1032123170499905</v>
      </c>
      <c r="P36" s="59">
        <v>-8.5000000000000006E-2</v>
      </c>
      <c r="Q36" s="52">
        <v>154</v>
      </c>
      <c r="R36">
        <v>153</v>
      </c>
      <c r="S36" s="67">
        <f t="shared" si="13"/>
        <v>-1</v>
      </c>
      <c r="T36" s="52">
        <v>3636</v>
      </c>
      <c r="U36">
        <v>4185</v>
      </c>
      <c r="V36">
        <f>Table2[[#This Row],[2025 Cases Sold3]]-Table2[[#This Row],[2024 Cases Sold2]]</f>
        <v>549</v>
      </c>
      <c r="W36" s="64">
        <f t="shared" si="14"/>
        <v>0.15099009900990099</v>
      </c>
      <c r="X36" s="52">
        <v>54</v>
      </c>
      <c r="Y36">
        <v>55</v>
      </c>
      <c r="Z36" s="67">
        <f t="shared" si="15"/>
        <v>1</v>
      </c>
      <c r="AA36" s="52"/>
      <c r="AC36">
        <f>Table2[[#This Row],[2025 Cases Sold9]]-Table2[[#This Row],[2024 Cases Sold8]]</f>
        <v>0</v>
      </c>
      <c r="AD36" s="57"/>
      <c r="AE36" s="59"/>
      <c r="AF36" s="52"/>
      <c r="AH36" s="67"/>
      <c r="AI36" s="52"/>
      <c r="AK36">
        <f>Table2[[#This Row],[2025 Cases Sold16]]-Table2[[#This Row],[2024 Cases Sold15]]</f>
        <v>0</v>
      </c>
      <c r="AL36" s="64"/>
      <c r="AM36" s="52"/>
    </row>
    <row r="37" spans="1:41" x14ac:dyDescent="0.25">
      <c r="A37" s="27">
        <v>1408390</v>
      </c>
      <c r="B37" s="113" t="s">
        <v>100</v>
      </c>
      <c r="C37" s="14" t="s">
        <v>101</v>
      </c>
      <c r="D37" s="14" t="s">
        <v>28</v>
      </c>
      <c r="E37" s="2" t="str">
        <f t="shared" si="0"/>
        <v>73 ACKERMAN AVE, CLIFTON</v>
      </c>
      <c r="F37" s="6" t="s">
        <v>13</v>
      </c>
      <c r="G37" s="6">
        <v>7011</v>
      </c>
      <c r="H37" s="6" t="s">
        <v>44</v>
      </c>
      <c r="I37" s="3">
        <v>45775</v>
      </c>
      <c r="J37" s="19" t="s">
        <v>15</v>
      </c>
      <c r="K37" s="50" t="s">
        <v>15</v>
      </c>
      <c r="L37" s="52">
        <v>12934</v>
      </c>
      <c r="M37">
        <v>12695</v>
      </c>
      <c r="N37">
        <f>Table2[[#This Row],[2025 Cases Sold]]-Table2[[#This Row],[2024 Cases Sold]]</f>
        <v>-239</v>
      </c>
      <c r="O37" s="57">
        <f t="shared" si="12"/>
        <v>-1.8478428946961497E-2</v>
      </c>
      <c r="P37" s="59">
        <v>-8.3000000000000004E-2</v>
      </c>
      <c r="Q37" s="52">
        <v>228</v>
      </c>
      <c r="R37">
        <v>247</v>
      </c>
      <c r="S37" s="67">
        <f t="shared" si="13"/>
        <v>19</v>
      </c>
      <c r="T37" s="52">
        <v>8643</v>
      </c>
      <c r="U37">
        <v>8595</v>
      </c>
      <c r="V37">
        <f>Table2[[#This Row],[2025 Cases Sold3]]-Table2[[#This Row],[2024 Cases Sold2]]</f>
        <v>-48</v>
      </c>
      <c r="W37" s="64">
        <f t="shared" si="14"/>
        <v>-5.5536272127733426E-3</v>
      </c>
      <c r="X37" s="52">
        <v>54</v>
      </c>
      <c r="Y37">
        <v>58</v>
      </c>
      <c r="Z37" s="67">
        <f t="shared" si="15"/>
        <v>4</v>
      </c>
      <c r="AA37" s="52"/>
      <c r="AC37">
        <f>Table2[[#This Row],[2025 Cases Sold9]]-Table2[[#This Row],[2024 Cases Sold8]]</f>
        <v>0</v>
      </c>
      <c r="AD37" s="57"/>
      <c r="AE37" s="59"/>
      <c r="AF37" s="52"/>
      <c r="AH37" s="67"/>
      <c r="AI37" s="52"/>
      <c r="AK37">
        <f>Table2[[#This Row],[2025 Cases Sold16]]-Table2[[#This Row],[2024 Cases Sold15]]</f>
        <v>0</v>
      </c>
      <c r="AL37" s="64"/>
      <c r="AM37" s="52"/>
    </row>
    <row r="38" spans="1:41" x14ac:dyDescent="0.25">
      <c r="A38" s="27">
        <v>2621540</v>
      </c>
      <c r="B38" s="113" t="s">
        <v>102</v>
      </c>
      <c r="C38" s="14" t="s">
        <v>103</v>
      </c>
      <c r="D38" s="14" t="s">
        <v>28</v>
      </c>
      <c r="E38" s="2" t="str">
        <f t="shared" si="0"/>
        <v>132 KINGSLAND RD, CLIFTON</v>
      </c>
      <c r="F38" s="6" t="s">
        <v>13</v>
      </c>
      <c r="G38" s="6">
        <v>7014</v>
      </c>
      <c r="H38" s="6" t="s">
        <v>44</v>
      </c>
      <c r="I38" s="3">
        <v>45772</v>
      </c>
      <c r="J38" s="19" t="s">
        <v>15</v>
      </c>
      <c r="K38" s="50" t="s">
        <v>15</v>
      </c>
      <c r="L38" s="52">
        <v>5797</v>
      </c>
      <c r="M38">
        <v>4864</v>
      </c>
      <c r="N38">
        <f>Table2[[#This Row],[2025 Cases Sold]]-Table2[[#This Row],[2024 Cases Sold]]</f>
        <v>-933</v>
      </c>
      <c r="O38" s="57">
        <f t="shared" si="12"/>
        <v>-0.16094531654303951</v>
      </c>
      <c r="P38" s="59">
        <v>-7.8E-2</v>
      </c>
      <c r="Q38" s="52">
        <v>459</v>
      </c>
      <c r="R38">
        <v>421</v>
      </c>
      <c r="S38" s="67">
        <f t="shared" si="13"/>
        <v>-38</v>
      </c>
      <c r="T38" s="52">
        <v>1525</v>
      </c>
      <c r="U38">
        <v>1237</v>
      </c>
      <c r="V38">
        <f>Table2[[#This Row],[2025 Cases Sold3]]-Table2[[#This Row],[2024 Cases Sold2]]</f>
        <v>-288</v>
      </c>
      <c r="W38" s="64">
        <f t="shared" si="14"/>
        <v>-0.18885245901639344</v>
      </c>
      <c r="X38" s="52">
        <v>46</v>
      </c>
      <c r="Y38">
        <v>51</v>
      </c>
      <c r="Z38" s="67">
        <f t="shared" si="15"/>
        <v>5</v>
      </c>
      <c r="AA38" s="52"/>
      <c r="AC38">
        <f>Table2[[#This Row],[2025 Cases Sold9]]-Table2[[#This Row],[2024 Cases Sold8]]</f>
        <v>0</v>
      </c>
      <c r="AD38" s="57"/>
      <c r="AE38" s="59"/>
      <c r="AF38" s="52"/>
      <c r="AH38" s="67"/>
      <c r="AI38" s="52"/>
      <c r="AK38">
        <f>Table2[[#This Row],[2025 Cases Sold16]]-Table2[[#This Row],[2024 Cases Sold15]]</f>
        <v>0</v>
      </c>
      <c r="AL38" s="64"/>
      <c r="AM38" s="52"/>
    </row>
    <row r="39" spans="1:41" x14ac:dyDescent="0.25">
      <c r="A39" s="27">
        <v>7595164</v>
      </c>
      <c r="B39" s="16" t="s">
        <v>104</v>
      </c>
      <c r="C39" s="16" t="s">
        <v>105</v>
      </c>
      <c r="D39" s="16" t="s">
        <v>106</v>
      </c>
      <c r="E39" s="2" t="str">
        <f t="shared" si="0"/>
        <v>725 BROADWAY, WESTWOOD</v>
      </c>
      <c r="F39" s="9" t="s">
        <v>13</v>
      </c>
      <c r="G39" s="9">
        <v>7675</v>
      </c>
      <c r="H39" s="9" t="s">
        <v>14</v>
      </c>
      <c r="I39" s="28">
        <v>45790</v>
      </c>
      <c r="J39" s="19" t="s">
        <v>15</v>
      </c>
      <c r="K39" s="50" t="s">
        <v>15</v>
      </c>
      <c r="L39" s="52"/>
      <c r="O39" s="57"/>
      <c r="P39" s="59"/>
      <c r="Q39" s="52"/>
      <c r="S39" s="67"/>
      <c r="T39" s="52"/>
      <c r="W39" s="64"/>
      <c r="X39" s="52"/>
      <c r="Z39" s="67"/>
      <c r="AA39" s="52"/>
      <c r="AC39">
        <f>Table2[[#This Row],[2025 Cases Sold9]]-Table2[[#This Row],[2024 Cases Sold8]]</f>
        <v>0</v>
      </c>
      <c r="AD39" s="57"/>
      <c r="AE39" s="59"/>
      <c r="AF39" s="52"/>
      <c r="AH39" s="67"/>
      <c r="AI39" s="52"/>
      <c r="AK39">
        <f>Table2[[#This Row],[2025 Cases Sold16]]-Table2[[#This Row],[2024 Cases Sold15]]</f>
        <v>0</v>
      </c>
      <c r="AL39" s="64"/>
      <c r="AM39" s="52"/>
    </row>
    <row r="40" spans="1:41" x14ac:dyDescent="0.25">
      <c r="A40" s="27">
        <v>1408825</v>
      </c>
      <c r="B40" s="113" t="s">
        <v>192</v>
      </c>
      <c r="C40" s="14" t="s">
        <v>107</v>
      </c>
      <c r="D40" s="14" t="s">
        <v>108</v>
      </c>
      <c r="E40" s="2" t="str">
        <f t="shared" si="0"/>
        <v>224 E STATE RT 4, PARAMUS</v>
      </c>
      <c r="F40" s="14" t="s">
        <v>13</v>
      </c>
      <c r="G40" s="6">
        <v>7652</v>
      </c>
      <c r="H40" s="6" t="s">
        <v>44</v>
      </c>
      <c r="I40" s="181">
        <v>45769</v>
      </c>
      <c r="J40" s="4" t="s">
        <v>15</v>
      </c>
      <c r="K40" s="49" t="s">
        <v>15</v>
      </c>
      <c r="L40" s="52">
        <v>5080</v>
      </c>
      <c r="M40">
        <v>4224</v>
      </c>
      <c r="N40">
        <f>Table2[[#This Row],[2025 Cases Sold]]-Table2[[#This Row],[2024 Cases Sold]]</f>
        <v>-856</v>
      </c>
      <c r="O40" s="57">
        <f t="shared" si="12"/>
        <v>-0.16850393700787403</v>
      </c>
      <c r="P40" s="59">
        <v>-8.5000000000000006E-2</v>
      </c>
      <c r="Q40" s="52">
        <v>362</v>
      </c>
      <c r="R40">
        <v>383</v>
      </c>
      <c r="S40" s="67">
        <f t="shared" ref="S40:S43" si="19">R40-Q40</f>
        <v>21</v>
      </c>
      <c r="T40" s="52">
        <v>1393</v>
      </c>
      <c r="U40">
        <v>1169</v>
      </c>
      <c r="V40">
        <f>Table2[[#This Row],[2025 Cases Sold3]]-Table2[[#This Row],[2024 Cases Sold2]]</f>
        <v>-224</v>
      </c>
      <c r="W40" s="64">
        <f t="shared" si="14"/>
        <v>-0.16080402010050251</v>
      </c>
      <c r="X40" s="52">
        <v>38</v>
      </c>
      <c r="Y40">
        <v>44</v>
      </c>
      <c r="Z40" s="67">
        <f t="shared" ref="Z40:Z43" si="20">Y40-X40</f>
        <v>6</v>
      </c>
      <c r="AA40" s="52">
        <v>6338</v>
      </c>
      <c r="AB40">
        <v>5607</v>
      </c>
      <c r="AC40">
        <f>Table2[[#This Row],[2025 Cases Sold9]]-Table2[[#This Row],[2024 Cases Sold8]]</f>
        <v>-731</v>
      </c>
      <c r="AD40" s="57">
        <f t="shared" ref="AD40:AD41" si="21">(AB40-AA40)/AA40</f>
        <v>-0.11533606816030294</v>
      </c>
      <c r="AE40" s="59"/>
      <c r="AF40" s="52">
        <v>397</v>
      </c>
      <c r="AG40">
        <v>444</v>
      </c>
      <c r="AH40" s="67"/>
      <c r="AI40" s="52">
        <v>1829</v>
      </c>
      <c r="AJ40">
        <v>1607</v>
      </c>
      <c r="AK40">
        <f>Table2[[#This Row],[2025 Cases Sold16]]-Table2[[#This Row],[2024 Cases Sold15]]</f>
        <v>-222</v>
      </c>
      <c r="AL40" s="64">
        <f t="shared" ref="AL40:AL41" si="22">(AJ40-AI40)/AI40</f>
        <v>-0.12137780207763806</v>
      </c>
      <c r="AM40" s="52"/>
    </row>
    <row r="41" spans="1:41" x14ac:dyDescent="0.25">
      <c r="A41" s="29">
        <v>1498389</v>
      </c>
      <c r="B41" s="114" t="s">
        <v>193</v>
      </c>
      <c r="C41" s="16" t="s">
        <v>109</v>
      </c>
      <c r="D41" s="16" t="s">
        <v>110</v>
      </c>
      <c r="E41" s="2" t="str">
        <f t="shared" si="0"/>
        <v>53 NATHANIEL PL, ENGLEWOOD</v>
      </c>
      <c r="F41" s="16" t="s">
        <v>13</v>
      </c>
      <c r="G41" s="9">
        <v>7631</v>
      </c>
      <c r="H41" s="9" t="s">
        <v>44</v>
      </c>
      <c r="I41" s="181">
        <v>45769</v>
      </c>
      <c r="J41" s="4" t="s">
        <v>15</v>
      </c>
      <c r="K41" s="49" t="s">
        <v>15</v>
      </c>
      <c r="L41" s="52">
        <v>12488</v>
      </c>
      <c r="M41">
        <v>10386</v>
      </c>
      <c r="N41">
        <f>Table2[[#This Row],[2025 Cases Sold]]-Table2[[#This Row],[2024 Cases Sold]]</f>
        <v>-2102</v>
      </c>
      <c r="O41" s="57">
        <f t="shared" si="12"/>
        <v>-0.16832158872517616</v>
      </c>
      <c r="P41" s="59">
        <v>-8.5000000000000006E-2</v>
      </c>
      <c r="Q41" s="52">
        <v>379</v>
      </c>
      <c r="R41">
        <v>397</v>
      </c>
      <c r="S41" s="67">
        <f t="shared" si="19"/>
        <v>18</v>
      </c>
      <c r="T41" s="52">
        <v>6443</v>
      </c>
      <c r="U41">
        <v>5660</v>
      </c>
      <c r="V41">
        <f>Table2[[#This Row],[2025 Cases Sold3]]-Table2[[#This Row],[2024 Cases Sold2]]</f>
        <v>-783</v>
      </c>
      <c r="W41" s="64">
        <f t="shared" si="14"/>
        <v>-0.12152723886388328</v>
      </c>
      <c r="X41" s="52">
        <v>58</v>
      </c>
      <c r="Y41">
        <v>60</v>
      </c>
      <c r="Z41" s="67">
        <f t="shared" si="20"/>
        <v>2</v>
      </c>
      <c r="AA41" s="52">
        <v>15287</v>
      </c>
      <c r="AB41">
        <v>13603</v>
      </c>
      <c r="AC41">
        <f>Table2[[#This Row],[2025 Cases Sold9]]-Table2[[#This Row],[2024 Cases Sold8]]</f>
        <v>-1684</v>
      </c>
      <c r="AD41" s="57">
        <f t="shared" si="21"/>
        <v>-0.11015895859226794</v>
      </c>
      <c r="AE41" s="59"/>
      <c r="AF41" s="52">
        <v>376</v>
      </c>
      <c r="AG41">
        <v>411</v>
      </c>
      <c r="AH41" s="67"/>
      <c r="AI41" s="52">
        <v>7953</v>
      </c>
      <c r="AJ41">
        <v>7199</v>
      </c>
      <c r="AK41">
        <f>Table2[[#This Row],[2025 Cases Sold16]]-Table2[[#This Row],[2024 Cases Sold15]]</f>
        <v>-754</v>
      </c>
      <c r="AL41" s="64">
        <f t="shared" si="22"/>
        <v>-9.4806991072551236E-2</v>
      </c>
      <c r="AM41" s="52"/>
    </row>
    <row r="42" spans="1:41" x14ac:dyDescent="0.25">
      <c r="A42" s="9">
        <v>1794834</v>
      </c>
      <c r="B42" s="118" t="s">
        <v>111</v>
      </c>
      <c r="C42" s="16" t="s">
        <v>112</v>
      </c>
      <c r="D42" s="16" t="s">
        <v>28</v>
      </c>
      <c r="E42" s="2" t="str">
        <f t="shared" si="0"/>
        <v>467 ALLWOOD RD, CLIFTON</v>
      </c>
      <c r="F42" s="16" t="s">
        <v>13</v>
      </c>
      <c r="G42" s="9">
        <v>7012</v>
      </c>
      <c r="H42" s="9" t="s">
        <v>14</v>
      </c>
      <c r="I42" s="30">
        <v>45777</v>
      </c>
      <c r="J42" s="4" t="s">
        <v>15</v>
      </c>
      <c r="K42" s="49" t="s">
        <v>15</v>
      </c>
      <c r="L42" s="52">
        <v>3985</v>
      </c>
      <c r="M42">
        <v>3508</v>
      </c>
      <c r="N42">
        <f>Table2[[#This Row],[2025 Cases Sold]]-Table2[[#This Row],[2024 Cases Sold]]</f>
        <v>-477</v>
      </c>
      <c r="O42" s="57">
        <f t="shared" si="12"/>
        <v>-0.11969887076537014</v>
      </c>
      <c r="P42" s="59">
        <v>-0.104</v>
      </c>
      <c r="Q42" s="52">
        <v>243</v>
      </c>
      <c r="R42">
        <v>219</v>
      </c>
      <c r="S42" s="67">
        <f t="shared" si="19"/>
        <v>-24</v>
      </c>
      <c r="T42" s="52">
        <v>832</v>
      </c>
      <c r="U42">
        <v>929</v>
      </c>
      <c r="V42">
        <f>Table2[[#This Row],[2025 Cases Sold3]]-Table2[[#This Row],[2024 Cases Sold2]]</f>
        <v>97</v>
      </c>
      <c r="W42" s="64">
        <f t="shared" si="14"/>
        <v>0.11658653846153846</v>
      </c>
      <c r="X42" s="52">
        <v>20</v>
      </c>
      <c r="Y42">
        <v>25</v>
      </c>
      <c r="Z42" s="67">
        <f t="shared" si="20"/>
        <v>5</v>
      </c>
      <c r="AA42" s="52"/>
      <c r="AC42">
        <f>Table2[[#This Row],[2025 Cases Sold9]]-Table2[[#This Row],[2024 Cases Sold8]]</f>
        <v>0</v>
      </c>
      <c r="AD42" s="57"/>
      <c r="AE42" s="59"/>
      <c r="AF42" s="52"/>
      <c r="AH42" s="67"/>
      <c r="AI42" s="52"/>
      <c r="AK42">
        <f>Table2[[#This Row],[2025 Cases Sold16]]-Table2[[#This Row],[2024 Cases Sold15]]</f>
        <v>0</v>
      </c>
      <c r="AL42" s="64"/>
      <c r="AM42" s="52"/>
    </row>
    <row r="43" spans="1:41" x14ac:dyDescent="0.25">
      <c r="A43" s="9">
        <v>7844484</v>
      </c>
      <c r="B43" s="114" t="s">
        <v>113</v>
      </c>
      <c r="C43" s="16" t="s">
        <v>114</v>
      </c>
      <c r="D43" s="16" t="s">
        <v>108</v>
      </c>
      <c r="E43" s="2" t="str">
        <f t="shared" si="0"/>
        <v>700 PARAMUS PARK, PARAMUS</v>
      </c>
      <c r="F43" s="16" t="s">
        <v>13</v>
      </c>
      <c r="G43" s="9">
        <v>7652</v>
      </c>
      <c r="H43" s="9" t="s">
        <v>22</v>
      </c>
      <c r="I43" s="30">
        <v>45777</v>
      </c>
      <c r="J43" s="4" t="s">
        <v>15</v>
      </c>
      <c r="K43" s="49" t="s">
        <v>15</v>
      </c>
      <c r="L43" s="52">
        <v>4332</v>
      </c>
      <c r="M43">
        <v>3173</v>
      </c>
      <c r="N43">
        <f>Table2[[#This Row],[2025 Cases Sold]]-Table2[[#This Row],[2024 Cases Sold]]</f>
        <v>-1159</v>
      </c>
      <c r="O43" s="57">
        <f t="shared" si="12"/>
        <v>-0.26754385964912281</v>
      </c>
      <c r="P43" s="59">
        <v>-0.104</v>
      </c>
      <c r="Q43" s="52">
        <v>224</v>
      </c>
      <c r="R43">
        <v>228</v>
      </c>
      <c r="S43" s="67">
        <f t="shared" si="19"/>
        <v>4</v>
      </c>
      <c r="T43" s="52">
        <v>890</v>
      </c>
      <c r="U43">
        <v>681</v>
      </c>
      <c r="V43">
        <f>Table2[[#This Row],[2025 Cases Sold3]]-Table2[[#This Row],[2024 Cases Sold2]]</f>
        <v>-209</v>
      </c>
      <c r="W43" s="64">
        <f t="shared" si="14"/>
        <v>-0.23483146067415731</v>
      </c>
      <c r="X43" s="52">
        <v>18</v>
      </c>
      <c r="Y43">
        <v>28</v>
      </c>
      <c r="Z43" s="67">
        <f t="shared" si="20"/>
        <v>10</v>
      </c>
      <c r="AA43" s="52"/>
      <c r="AC43">
        <f>Table2[[#This Row],[2025 Cases Sold9]]-Table2[[#This Row],[2024 Cases Sold8]]</f>
        <v>0</v>
      </c>
      <c r="AD43" s="57"/>
      <c r="AE43" s="59"/>
      <c r="AF43" s="52"/>
      <c r="AH43" s="67"/>
      <c r="AI43" s="52"/>
      <c r="AK43">
        <f>Table2[[#This Row],[2025 Cases Sold16]]-Table2[[#This Row],[2024 Cases Sold15]]</f>
        <v>0</v>
      </c>
      <c r="AL43" s="64"/>
      <c r="AM43" s="52"/>
    </row>
    <row r="44" spans="1:41" x14ac:dyDescent="0.25">
      <c r="A44" s="9">
        <v>889823</v>
      </c>
      <c r="B44" s="16" t="s">
        <v>115</v>
      </c>
      <c r="C44" s="16" t="s">
        <v>116</v>
      </c>
      <c r="D44" s="16" t="s">
        <v>37</v>
      </c>
      <c r="E44" s="2" t="str">
        <f t="shared" si="0"/>
        <v>328 11TH AVE, PATERSON</v>
      </c>
      <c r="F44" s="16" t="s">
        <v>13</v>
      </c>
      <c r="G44" s="9">
        <v>7514</v>
      </c>
      <c r="H44" s="9" t="s">
        <v>22</v>
      </c>
      <c r="I44" s="12">
        <v>45792</v>
      </c>
      <c r="J44" s="19" t="s">
        <v>15</v>
      </c>
      <c r="K44" s="50" t="s">
        <v>15</v>
      </c>
      <c r="L44" s="52"/>
      <c r="O44" s="57"/>
      <c r="P44" s="59"/>
      <c r="Q44" s="52"/>
      <c r="S44" s="67"/>
      <c r="T44" s="52"/>
      <c r="W44" s="64"/>
      <c r="X44" s="52"/>
      <c r="Z44" s="67"/>
      <c r="AA44" s="52"/>
      <c r="AC44">
        <f>Table2[[#This Row],[2025 Cases Sold9]]-Table2[[#This Row],[2024 Cases Sold8]]</f>
        <v>0</v>
      </c>
      <c r="AD44" s="57"/>
      <c r="AE44" s="59"/>
      <c r="AF44" s="52"/>
      <c r="AH44" s="67"/>
      <c r="AI44" s="52"/>
      <c r="AK44">
        <f>Table2[[#This Row],[2025 Cases Sold16]]-Table2[[#This Row],[2024 Cases Sold15]]</f>
        <v>0</v>
      </c>
      <c r="AL44" s="64"/>
      <c r="AM44" s="52"/>
    </row>
    <row r="45" spans="1:41" x14ac:dyDescent="0.25">
      <c r="A45" s="6">
        <v>883833</v>
      </c>
      <c r="B45" s="14" t="s">
        <v>117</v>
      </c>
      <c r="C45" s="14" t="s">
        <v>118</v>
      </c>
      <c r="D45" s="14" t="s">
        <v>119</v>
      </c>
      <c r="E45" s="2" t="str">
        <f t="shared" si="0"/>
        <v>15 GRAND AVE STE 4, PALISADES PARK</v>
      </c>
      <c r="F45" s="14" t="s">
        <v>13</v>
      </c>
      <c r="G45" s="6">
        <v>7650</v>
      </c>
      <c r="H45" s="6" t="s">
        <v>44</v>
      </c>
      <c r="I45" s="3">
        <v>45763</v>
      </c>
      <c r="J45" s="4" t="s">
        <v>15</v>
      </c>
      <c r="K45" s="49" t="s">
        <v>15</v>
      </c>
      <c r="L45" s="52"/>
      <c r="O45" s="57"/>
      <c r="P45" s="59"/>
      <c r="Q45" s="52"/>
      <c r="S45" s="67"/>
      <c r="T45" s="52"/>
      <c r="W45" s="64"/>
      <c r="X45" s="52"/>
      <c r="Z45" s="67"/>
      <c r="AA45" s="52"/>
      <c r="AC45">
        <f>Table2[[#This Row],[2025 Cases Sold9]]-Table2[[#This Row],[2024 Cases Sold8]]</f>
        <v>0</v>
      </c>
      <c r="AD45" s="57"/>
      <c r="AE45" s="59"/>
      <c r="AF45" s="52"/>
      <c r="AH45" s="67"/>
      <c r="AI45" s="52"/>
      <c r="AK45">
        <f>Table2[[#This Row],[2025 Cases Sold16]]-Table2[[#This Row],[2024 Cases Sold15]]</f>
        <v>0</v>
      </c>
      <c r="AL45" s="64"/>
      <c r="AM45" s="52"/>
    </row>
    <row r="46" spans="1:41" x14ac:dyDescent="0.25">
      <c r="A46" s="6">
        <v>883516</v>
      </c>
      <c r="B46" s="16" t="s">
        <v>120</v>
      </c>
      <c r="C46" s="16" t="s">
        <v>121</v>
      </c>
      <c r="D46" s="14" t="s">
        <v>122</v>
      </c>
      <c r="E46" s="2" t="str">
        <f t="shared" si="0"/>
        <v>195 MARKET ST, SADDLE BROOK</v>
      </c>
      <c r="F46" s="14" t="s">
        <v>13</v>
      </c>
      <c r="G46" s="6">
        <v>7663</v>
      </c>
      <c r="H46" s="6" t="s">
        <v>14</v>
      </c>
      <c r="I46" s="3">
        <v>45796</v>
      </c>
      <c r="J46" s="4" t="s">
        <v>15</v>
      </c>
      <c r="K46" s="49" t="s">
        <v>15</v>
      </c>
      <c r="L46" s="52"/>
      <c r="O46" s="57"/>
      <c r="P46" s="59"/>
      <c r="Q46" s="52"/>
      <c r="S46" s="67"/>
      <c r="T46" s="52"/>
      <c r="W46" s="64"/>
      <c r="X46" s="52"/>
      <c r="Z46" s="67"/>
      <c r="AA46" s="52"/>
      <c r="AC46">
        <f>Table2[[#This Row],[2025 Cases Sold9]]-Table2[[#This Row],[2024 Cases Sold8]]</f>
        <v>0</v>
      </c>
      <c r="AD46" s="57"/>
      <c r="AE46" s="59"/>
      <c r="AF46" s="52"/>
      <c r="AH46" s="67"/>
      <c r="AI46" s="52"/>
      <c r="AK46">
        <f>Table2[[#This Row],[2025 Cases Sold16]]-Table2[[#This Row],[2024 Cases Sold15]]</f>
        <v>0</v>
      </c>
      <c r="AL46" s="64"/>
      <c r="AM46" s="52"/>
    </row>
    <row r="47" spans="1:41" x14ac:dyDescent="0.25">
      <c r="A47" s="31">
        <v>889816</v>
      </c>
      <c r="B47" s="14" t="s">
        <v>123</v>
      </c>
      <c r="C47" s="14" t="s">
        <v>124</v>
      </c>
      <c r="D47" s="21" t="s">
        <v>37</v>
      </c>
      <c r="E47" s="2" t="str">
        <f t="shared" si="0"/>
        <v>423 21ST AVE, PATERSON</v>
      </c>
      <c r="F47" s="14" t="s">
        <v>13</v>
      </c>
      <c r="G47" s="9">
        <v>7513</v>
      </c>
      <c r="H47" s="6" t="s">
        <v>44</v>
      </c>
      <c r="I47" s="3">
        <v>45796</v>
      </c>
      <c r="J47" s="4" t="s">
        <v>15</v>
      </c>
      <c r="K47" s="49" t="s">
        <v>15</v>
      </c>
      <c r="L47" s="52"/>
      <c r="O47" s="57"/>
      <c r="P47" s="59"/>
      <c r="Q47" s="52"/>
      <c r="S47" s="67"/>
      <c r="T47" s="52"/>
      <c r="W47" s="64"/>
      <c r="X47" s="52"/>
      <c r="Z47" s="67"/>
      <c r="AA47" s="52"/>
      <c r="AC47">
        <f>Table2[[#This Row],[2025 Cases Sold9]]-Table2[[#This Row],[2024 Cases Sold8]]</f>
        <v>0</v>
      </c>
      <c r="AD47" s="57"/>
      <c r="AE47" s="59"/>
      <c r="AF47" s="52"/>
      <c r="AH47" s="67"/>
      <c r="AI47" s="52"/>
      <c r="AK47">
        <f>Table2[[#This Row],[2025 Cases Sold16]]-Table2[[#This Row],[2024 Cases Sold15]]</f>
        <v>0</v>
      </c>
      <c r="AL47" s="64"/>
      <c r="AM47" s="52"/>
    </row>
    <row r="48" spans="1:41" x14ac:dyDescent="0.25">
      <c r="A48" s="31">
        <v>763269</v>
      </c>
      <c r="B48" s="16" t="s">
        <v>125</v>
      </c>
      <c r="C48" s="16" t="s">
        <v>126</v>
      </c>
      <c r="D48" s="32" t="s">
        <v>37</v>
      </c>
      <c r="E48" s="2" t="str">
        <f t="shared" si="0"/>
        <v>136 BELMONT AVE, PATERSON</v>
      </c>
      <c r="F48" s="33" t="s">
        <v>13</v>
      </c>
      <c r="G48" s="9">
        <v>7522</v>
      </c>
      <c r="H48" s="10" t="s">
        <v>14</v>
      </c>
      <c r="I48" s="34">
        <v>45797</v>
      </c>
      <c r="J48" s="4" t="s">
        <v>15</v>
      </c>
      <c r="K48" s="49" t="s">
        <v>15</v>
      </c>
      <c r="L48" s="52"/>
      <c r="O48" s="57"/>
      <c r="P48" s="59"/>
      <c r="Q48" s="52"/>
      <c r="S48" s="67"/>
      <c r="T48" s="52"/>
      <c r="W48" s="64"/>
      <c r="X48" s="52"/>
      <c r="Z48" s="67"/>
      <c r="AA48" s="52"/>
      <c r="AC48">
        <f>Table2[[#This Row],[2025 Cases Sold9]]-Table2[[#This Row],[2024 Cases Sold8]]</f>
        <v>0</v>
      </c>
      <c r="AD48" s="57"/>
      <c r="AE48" s="59"/>
      <c r="AF48" s="52"/>
      <c r="AH48" s="67"/>
      <c r="AI48" s="52"/>
      <c r="AK48">
        <f>Table2[[#This Row],[2025 Cases Sold16]]-Table2[[#This Row],[2024 Cases Sold15]]</f>
        <v>0</v>
      </c>
      <c r="AL48" s="64"/>
      <c r="AM48" s="52"/>
    </row>
    <row r="49" spans="1:39" x14ac:dyDescent="0.25">
      <c r="A49" s="6">
        <v>766132</v>
      </c>
      <c r="B49" s="14" t="s">
        <v>127</v>
      </c>
      <c r="C49" s="14" t="s">
        <v>128</v>
      </c>
      <c r="D49" s="14" t="s">
        <v>129</v>
      </c>
      <c r="E49" s="2" t="str">
        <f t="shared" si="0"/>
        <v>18 S KINDERKAMACK RD, MONTVALE</v>
      </c>
      <c r="F49" s="14" t="s">
        <v>13</v>
      </c>
      <c r="G49" s="6">
        <v>7645</v>
      </c>
      <c r="H49" s="6" t="s">
        <v>22</v>
      </c>
      <c r="I49" s="30">
        <v>45797</v>
      </c>
      <c r="J49" s="4" t="s">
        <v>15</v>
      </c>
      <c r="K49" s="49" t="s">
        <v>15</v>
      </c>
      <c r="L49" s="52"/>
      <c r="O49" s="57"/>
      <c r="P49" s="59"/>
      <c r="Q49" s="52"/>
      <c r="S49" s="67"/>
      <c r="T49" s="52"/>
      <c r="W49" s="64"/>
      <c r="X49" s="52"/>
      <c r="Z49" s="67"/>
      <c r="AA49" s="52"/>
      <c r="AC49">
        <f>Table2[[#This Row],[2025 Cases Sold9]]-Table2[[#This Row],[2024 Cases Sold8]]</f>
        <v>0</v>
      </c>
      <c r="AD49" s="57"/>
      <c r="AE49" s="59"/>
      <c r="AF49" s="52"/>
      <c r="AH49" s="67"/>
      <c r="AI49" s="52"/>
      <c r="AK49">
        <f>Table2[[#This Row],[2025 Cases Sold16]]-Table2[[#This Row],[2024 Cases Sold15]]</f>
        <v>0</v>
      </c>
      <c r="AL49" s="64"/>
      <c r="AM49" s="52"/>
    </row>
    <row r="50" spans="1:39" x14ac:dyDescent="0.25">
      <c r="A50" s="6">
        <v>7467047</v>
      </c>
      <c r="B50" s="14" t="s">
        <v>130</v>
      </c>
      <c r="C50" s="14" t="s">
        <v>131</v>
      </c>
      <c r="D50" s="14" t="s">
        <v>89</v>
      </c>
      <c r="E50" s="2" t="str">
        <f t="shared" si="0"/>
        <v>937 LINCOLN AVE, GLEN ROCK</v>
      </c>
      <c r="F50" s="14" t="s">
        <v>13</v>
      </c>
      <c r="G50" s="6">
        <v>7452</v>
      </c>
      <c r="H50" s="6" t="s">
        <v>44</v>
      </c>
      <c r="I50" s="30">
        <v>45797</v>
      </c>
      <c r="J50" s="4" t="s">
        <v>15</v>
      </c>
      <c r="K50" s="49" t="s">
        <v>15</v>
      </c>
      <c r="L50" s="52"/>
      <c r="O50" s="57"/>
      <c r="P50" s="59"/>
      <c r="Q50" s="52"/>
      <c r="S50" s="67"/>
      <c r="T50" s="52"/>
      <c r="W50" s="64"/>
      <c r="X50" s="52"/>
      <c r="Z50" s="67"/>
      <c r="AA50" s="52"/>
      <c r="AC50">
        <f>Table2[[#This Row],[2025 Cases Sold9]]-Table2[[#This Row],[2024 Cases Sold8]]</f>
        <v>0</v>
      </c>
      <c r="AD50" s="57"/>
      <c r="AE50" s="59"/>
      <c r="AF50" s="52"/>
      <c r="AH50" s="67"/>
      <c r="AI50" s="52"/>
      <c r="AK50">
        <f>Table2[[#This Row],[2025 Cases Sold16]]-Table2[[#This Row],[2024 Cases Sold15]]</f>
        <v>0</v>
      </c>
      <c r="AL50" s="64"/>
      <c r="AM50" s="52"/>
    </row>
    <row r="51" spans="1:39" x14ac:dyDescent="0.25">
      <c r="A51" s="9">
        <v>1408866</v>
      </c>
      <c r="B51" s="16" t="s">
        <v>132</v>
      </c>
      <c r="C51" s="16" t="s">
        <v>133</v>
      </c>
      <c r="D51" s="16" t="s">
        <v>76</v>
      </c>
      <c r="E51" s="2" t="str">
        <f t="shared" si="0"/>
        <v>413 MONROE ST, PASSAIC</v>
      </c>
      <c r="F51" s="16" t="s">
        <v>13</v>
      </c>
      <c r="G51" s="9">
        <v>7055</v>
      </c>
      <c r="H51" s="9" t="s">
        <v>44</v>
      </c>
      <c r="I51" s="30">
        <v>45797</v>
      </c>
      <c r="J51" s="4" t="s">
        <v>15</v>
      </c>
      <c r="K51" s="49" t="s">
        <v>15</v>
      </c>
      <c r="L51" s="52"/>
      <c r="O51" s="57"/>
      <c r="P51" s="59"/>
      <c r="Q51" s="52"/>
      <c r="S51" s="67"/>
      <c r="T51" s="52"/>
      <c r="W51" s="64"/>
      <c r="X51" s="52"/>
      <c r="Z51" s="67"/>
      <c r="AA51" s="52"/>
      <c r="AC51">
        <f>Table2[[#This Row],[2025 Cases Sold9]]-Table2[[#This Row],[2024 Cases Sold8]]</f>
        <v>0</v>
      </c>
      <c r="AD51" s="57"/>
      <c r="AE51" s="59"/>
      <c r="AF51" s="52"/>
      <c r="AH51" s="67"/>
      <c r="AI51" s="52"/>
      <c r="AK51">
        <f>Table2[[#This Row],[2025 Cases Sold16]]-Table2[[#This Row],[2024 Cases Sold15]]</f>
        <v>0</v>
      </c>
      <c r="AL51" s="64"/>
      <c r="AM51" s="52"/>
    </row>
    <row r="52" spans="1:39" x14ac:dyDescent="0.25">
      <c r="A52" s="6">
        <v>3929692</v>
      </c>
      <c r="B52" s="14" t="s">
        <v>134</v>
      </c>
      <c r="C52" s="14" t="s">
        <v>135</v>
      </c>
      <c r="D52" s="14" t="s">
        <v>136</v>
      </c>
      <c r="E52" s="2" t="str">
        <f t="shared" si="0"/>
        <v>98 US HWY 46, BUDD LAKE</v>
      </c>
      <c r="F52" s="14" t="s">
        <v>13</v>
      </c>
      <c r="G52" s="6">
        <v>7828</v>
      </c>
      <c r="H52" s="6" t="s">
        <v>14</v>
      </c>
      <c r="I52" s="30">
        <v>45799</v>
      </c>
      <c r="J52" s="4" t="s">
        <v>15</v>
      </c>
      <c r="K52" s="49" t="s">
        <v>15</v>
      </c>
      <c r="L52" s="52"/>
      <c r="O52" s="57"/>
      <c r="P52" s="59"/>
      <c r="Q52" s="52"/>
      <c r="S52" s="67"/>
      <c r="T52" s="52"/>
      <c r="W52" s="64"/>
      <c r="X52" s="52"/>
      <c r="Z52" s="67"/>
      <c r="AA52" s="52"/>
      <c r="AC52">
        <f>Table2[[#This Row],[2025 Cases Sold9]]-Table2[[#This Row],[2024 Cases Sold8]]</f>
        <v>0</v>
      </c>
      <c r="AD52" s="57"/>
      <c r="AE52" s="59"/>
      <c r="AF52" s="52"/>
      <c r="AH52" s="67"/>
      <c r="AI52" s="52"/>
      <c r="AK52">
        <f>Table2[[#This Row],[2025 Cases Sold16]]-Table2[[#This Row],[2024 Cases Sold15]]</f>
        <v>0</v>
      </c>
      <c r="AL52" s="64"/>
      <c r="AM52" s="52"/>
    </row>
    <row r="53" spans="1:39" x14ac:dyDescent="0.25">
      <c r="A53" s="9">
        <v>1522002</v>
      </c>
      <c r="B53" s="16" t="s">
        <v>137</v>
      </c>
      <c r="C53" s="16" t="s">
        <v>138</v>
      </c>
      <c r="D53" s="16" t="s">
        <v>139</v>
      </c>
      <c r="E53" s="2" t="str">
        <f t="shared" si="0"/>
        <v>12 MORRIS AVE, BRANCHVILLE</v>
      </c>
      <c r="F53" s="16" t="s">
        <v>13</v>
      </c>
      <c r="G53" s="9">
        <v>7826</v>
      </c>
      <c r="H53" s="9" t="s">
        <v>22</v>
      </c>
      <c r="I53" s="30">
        <v>45799</v>
      </c>
      <c r="J53" s="4" t="s">
        <v>15</v>
      </c>
      <c r="K53" s="49" t="s">
        <v>15</v>
      </c>
      <c r="L53" s="52"/>
      <c r="O53" s="57"/>
      <c r="P53" s="59"/>
      <c r="Q53" s="52"/>
      <c r="S53" s="67"/>
      <c r="T53" s="52"/>
      <c r="W53" s="64"/>
      <c r="X53" s="52"/>
      <c r="Z53" s="67"/>
      <c r="AA53" s="52"/>
      <c r="AC53">
        <f>Table2[[#This Row],[2025 Cases Sold9]]-Table2[[#This Row],[2024 Cases Sold8]]</f>
        <v>0</v>
      </c>
      <c r="AD53" s="57"/>
      <c r="AE53" s="59"/>
      <c r="AF53" s="52"/>
      <c r="AH53" s="67"/>
      <c r="AI53" s="52"/>
      <c r="AK53">
        <f>Table2[[#This Row],[2025 Cases Sold16]]-Table2[[#This Row],[2024 Cases Sold15]]</f>
        <v>0</v>
      </c>
      <c r="AL53" s="64"/>
      <c r="AM53" s="52"/>
    </row>
    <row r="54" spans="1:39" x14ac:dyDescent="0.25">
      <c r="A54" s="31">
        <v>883836</v>
      </c>
      <c r="B54" s="16" t="s">
        <v>140</v>
      </c>
      <c r="C54" s="16" t="s">
        <v>141</v>
      </c>
      <c r="D54" s="16" t="s">
        <v>142</v>
      </c>
      <c r="E54" s="2" t="str">
        <f t="shared" si="0"/>
        <v>280 VALLEY BLVD, WOOD RIDGE</v>
      </c>
      <c r="F54" s="16" t="s">
        <v>13</v>
      </c>
      <c r="G54" s="9">
        <v>7075</v>
      </c>
      <c r="H54" s="9" t="s">
        <v>22</v>
      </c>
      <c r="I54" s="30">
        <v>45798</v>
      </c>
      <c r="J54" s="4" t="s">
        <v>15</v>
      </c>
      <c r="K54" s="49" t="s">
        <v>15</v>
      </c>
      <c r="L54" s="52"/>
      <c r="O54" s="57"/>
      <c r="P54" s="59"/>
      <c r="Q54" s="52"/>
      <c r="S54" s="67"/>
      <c r="T54" s="52"/>
      <c r="W54" s="64"/>
      <c r="X54" s="52"/>
      <c r="Z54" s="67"/>
      <c r="AA54" s="52"/>
      <c r="AC54">
        <f>Table2[[#This Row],[2025 Cases Sold9]]-Table2[[#This Row],[2024 Cases Sold8]]</f>
        <v>0</v>
      </c>
      <c r="AD54" s="57"/>
      <c r="AE54" s="59"/>
      <c r="AF54" s="52"/>
      <c r="AH54" s="67"/>
      <c r="AI54" s="52"/>
      <c r="AK54">
        <f>Table2[[#This Row],[2025 Cases Sold16]]-Table2[[#This Row],[2024 Cases Sold15]]</f>
        <v>0</v>
      </c>
      <c r="AL54" s="64"/>
      <c r="AM54" s="52"/>
    </row>
    <row r="55" spans="1:39" x14ac:dyDescent="0.25">
      <c r="A55" s="6">
        <v>883666</v>
      </c>
      <c r="B55" s="14" t="s">
        <v>143</v>
      </c>
      <c r="C55" s="14" t="s">
        <v>144</v>
      </c>
      <c r="D55" s="14" t="s">
        <v>76</v>
      </c>
      <c r="E55" s="2" t="str">
        <f t="shared" si="0"/>
        <v>370 MONROE ST, PASSAIC</v>
      </c>
      <c r="F55" s="14" t="s">
        <v>13</v>
      </c>
      <c r="G55" s="6">
        <v>7055</v>
      </c>
      <c r="H55" s="6" t="s">
        <v>44</v>
      </c>
      <c r="I55" s="7">
        <v>45804</v>
      </c>
      <c r="J55" s="4" t="s">
        <v>15</v>
      </c>
      <c r="K55" s="49" t="s">
        <v>15</v>
      </c>
      <c r="L55" s="52"/>
      <c r="O55" s="57"/>
      <c r="P55" s="59"/>
      <c r="Q55" s="52"/>
      <c r="S55" s="67"/>
      <c r="T55" s="52"/>
      <c r="W55" s="64"/>
      <c r="X55" s="52"/>
      <c r="Z55" s="67"/>
      <c r="AA55" s="52"/>
      <c r="AC55">
        <f>Table2[[#This Row],[2025 Cases Sold9]]-Table2[[#This Row],[2024 Cases Sold8]]</f>
        <v>0</v>
      </c>
      <c r="AD55" s="57"/>
      <c r="AE55" s="59"/>
      <c r="AF55" s="52"/>
      <c r="AH55" s="67"/>
      <c r="AI55" s="52"/>
      <c r="AK55">
        <f>Table2[[#This Row],[2025 Cases Sold16]]-Table2[[#This Row],[2024 Cases Sold15]]</f>
        <v>0</v>
      </c>
      <c r="AL55" s="64"/>
      <c r="AM55" s="52"/>
    </row>
    <row r="56" spans="1:39" x14ac:dyDescent="0.25">
      <c r="A56" s="9">
        <v>2231918</v>
      </c>
      <c r="B56" s="16" t="s">
        <v>145</v>
      </c>
      <c r="C56" s="16" t="s">
        <v>146</v>
      </c>
      <c r="D56" s="16" t="s">
        <v>37</v>
      </c>
      <c r="E56" s="2" t="str">
        <f t="shared" si="0"/>
        <v>186 5TH AVE, PATERSON</v>
      </c>
      <c r="F56" s="16" t="s">
        <v>13</v>
      </c>
      <c r="G56" s="9">
        <v>7524</v>
      </c>
      <c r="H56" s="6" t="s">
        <v>44</v>
      </c>
      <c r="I56" s="7">
        <v>45804</v>
      </c>
      <c r="J56" s="4" t="s">
        <v>15</v>
      </c>
      <c r="K56" s="49" t="s">
        <v>15</v>
      </c>
      <c r="L56" s="52"/>
      <c r="O56" s="57"/>
      <c r="P56" s="59"/>
      <c r="Q56" s="52"/>
      <c r="S56" s="67"/>
      <c r="T56" s="52"/>
      <c r="W56" s="64"/>
      <c r="X56" s="52"/>
      <c r="Z56" s="67"/>
      <c r="AA56" s="52"/>
      <c r="AC56">
        <f>Table2[[#This Row],[2025 Cases Sold9]]-Table2[[#This Row],[2024 Cases Sold8]]</f>
        <v>0</v>
      </c>
      <c r="AD56" s="57"/>
      <c r="AE56" s="59"/>
      <c r="AF56" s="52"/>
      <c r="AH56" s="67"/>
      <c r="AI56" s="52"/>
      <c r="AK56">
        <f>Table2[[#This Row],[2025 Cases Sold16]]-Table2[[#This Row],[2024 Cases Sold15]]</f>
        <v>0</v>
      </c>
      <c r="AL56" s="64"/>
      <c r="AM56" s="52"/>
    </row>
    <row r="57" spans="1:39" x14ac:dyDescent="0.25">
      <c r="A57" s="6">
        <v>883732</v>
      </c>
      <c r="B57" s="14" t="s">
        <v>147</v>
      </c>
      <c r="C57" s="14" t="s">
        <v>148</v>
      </c>
      <c r="D57" s="14" t="s">
        <v>76</v>
      </c>
      <c r="E57" s="2" t="str">
        <f t="shared" si="0"/>
        <v>168 MARKET ST, PASSAIC</v>
      </c>
      <c r="F57" s="14" t="s">
        <v>13</v>
      </c>
      <c r="G57" s="6">
        <v>7055</v>
      </c>
      <c r="H57" s="35" t="s">
        <v>44</v>
      </c>
      <c r="I57" s="7">
        <v>45805</v>
      </c>
      <c r="J57" s="4" t="s">
        <v>15</v>
      </c>
      <c r="K57" s="49" t="s">
        <v>15</v>
      </c>
      <c r="L57" s="52"/>
      <c r="O57" s="57"/>
      <c r="P57" s="59"/>
      <c r="Q57" s="52"/>
      <c r="S57" s="67"/>
      <c r="T57" s="52"/>
      <c r="W57" s="64"/>
      <c r="X57" s="52"/>
      <c r="Z57" s="67"/>
      <c r="AA57" s="52"/>
      <c r="AC57">
        <f>Table2[[#This Row],[2025 Cases Sold9]]-Table2[[#This Row],[2024 Cases Sold8]]</f>
        <v>0</v>
      </c>
      <c r="AD57" s="57"/>
      <c r="AE57" s="59"/>
      <c r="AF57" s="52"/>
      <c r="AH57" s="67"/>
      <c r="AI57" s="52"/>
      <c r="AK57">
        <f>Table2[[#This Row],[2025 Cases Sold16]]-Table2[[#This Row],[2024 Cases Sold15]]</f>
        <v>0</v>
      </c>
      <c r="AL57" s="64"/>
      <c r="AM57" s="52"/>
    </row>
    <row r="58" spans="1:39" x14ac:dyDescent="0.25">
      <c r="A58" s="6">
        <v>764766</v>
      </c>
      <c r="B58" s="14" t="s">
        <v>149</v>
      </c>
      <c r="C58" s="14" t="s">
        <v>150</v>
      </c>
      <c r="D58" s="14" t="s">
        <v>34</v>
      </c>
      <c r="E58" s="2" t="str">
        <f t="shared" si="0"/>
        <v>300 HARRISON AVE, LODI</v>
      </c>
      <c r="F58" s="14" t="s">
        <v>13</v>
      </c>
      <c r="G58" s="6">
        <v>7644</v>
      </c>
      <c r="H58" s="35" t="s">
        <v>44</v>
      </c>
      <c r="I58" s="7">
        <v>45805</v>
      </c>
      <c r="J58" s="4" t="s">
        <v>15</v>
      </c>
      <c r="K58" s="49" t="s">
        <v>15</v>
      </c>
      <c r="L58" s="52"/>
      <c r="O58" s="57"/>
      <c r="P58" s="59"/>
      <c r="Q58" s="52"/>
      <c r="S58" s="67"/>
      <c r="T58" s="52"/>
      <c r="W58" s="64"/>
      <c r="X58" s="52"/>
      <c r="Z58" s="67"/>
      <c r="AA58" s="52"/>
      <c r="AC58">
        <f>Table2[[#This Row],[2025 Cases Sold9]]-Table2[[#This Row],[2024 Cases Sold8]]</f>
        <v>0</v>
      </c>
      <c r="AD58" s="57"/>
      <c r="AE58" s="59"/>
      <c r="AF58" s="52"/>
      <c r="AH58" s="67"/>
      <c r="AI58" s="52"/>
      <c r="AK58">
        <f>Table2[[#This Row],[2025 Cases Sold16]]-Table2[[#This Row],[2024 Cases Sold15]]</f>
        <v>0</v>
      </c>
      <c r="AL58" s="64"/>
      <c r="AM58" s="52"/>
    </row>
    <row r="59" spans="1:39" x14ac:dyDescent="0.25">
      <c r="A59" s="9">
        <v>767151</v>
      </c>
      <c r="B59" s="16" t="s">
        <v>151</v>
      </c>
      <c r="C59" s="16" t="s">
        <v>152</v>
      </c>
      <c r="D59" s="16" t="s">
        <v>153</v>
      </c>
      <c r="E59" s="2" t="str">
        <f t="shared" si="0"/>
        <v>60 BEAVERBROOK RD, LINCOLN PARK</v>
      </c>
      <c r="F59" s="16" t="s">
        <v>13</v>
      </c>
      <c r="G59" s="9">
        <v>7035</v>
      </c>
      <c r="H59" s="35" t="s">
        <v>14</v>
      </c>
      <c r="I59" s="7">
        <v>45805</v>
      </c>
      <c r="J59" s="4" t="s">
        <v>15</v>
      </c>
      <c r="K59" s="49" t="s">
        <v>15</v>
      </c>
      <c r="L59" s="52"/>
      <c r="O59" s="57"/>
      <c r="P59" s="59"/>
      <c r="Q59" s="52"/>
      <c r="S59" s="67"/>
      <c r="T59" s="52"/>
      <c r="W59" s="64"/>
      <c r="X59" s="52"/>
      <c r="Z59" s="67"/>
      <c r="AA59" s="52"/>
      <c r="AC59">
        <f>Table2[[#This Row],[2025 Cases Sold9]]-Table2[[#This Row],[2024 Cases Sold8]]</f>
        <v>0</v>
      </c>
      <c r="AD59" s="57"/>
      <c r="AE59" s="59"/>
      <c r="AF59" s="52"/>
      <c r="AH59" s="67"/>
      <c r="AI59" s="52"/>
      <c r="AK59">
        <f>Table2[[#This Row],[2025 Cases Sold16]]-Table2[[#This Row],[2024 Cases Sold15]]</f>
        <v>0</v>
      </c>
      <c r="AL59" s="64"/>
      <c r="AM59" s="52"/>
    </row>
    <row r="60" spans="1:39" x14ac:dyDescent="0.25">
      <c r="A60" s="6">
        <v>889755</v>
      </c>
      <c r="B60" s="14" t="s">
        <v>154</v>
      </c>
      <c r="C60" s="14" t="s">
        <v>155</v>
      </c>
      <c r="D60" s="14" t="s">
        <v>37</v>
      </c>
      <c r="E60" s="2" t="str">
        <f t="shared" si="0"/>
        <v>459 MCBRIDE AVE, PATERSON</v>
      </c>
      <c r="F60" s="14" t="s">
        <v>13</v>
      </c>
      <c r="G60" s="6">
        <v>7501</v>
      </c>
      <c r="H60" s="35" t="s">
        <v>44</v>
      </c>
      <c r="I60" s="36">
        <v>45806</v>
      </c>
      <c r="J60" s="4" t="s">
        <v>15</v>
      </c>
      <c r="K60" s="49" t="s">
        <v>15</v>
      </c>
      <c r="L60" s="52"/>
      <c r="O60" s="57"/>
      <c r="P60" s="59"/>
      <c r="Q60" s="52"/>
      <c r="S60" s="67"/>
      <c r="T60" s="52"/>
      <c r="W60" s="64"/>
      <c r="X60" s="52"/>
      <c r="Z60" s="67"/>
      <c r="AA60" s="52"/>
      <c r="AC60">
        <f>Table2[[#This Row],[2025 Cases Sold9]]-Table2[[#This Row],[2024 Cases Sold8]]</f>
        <v>0</v>
      </c>
      <c r="AD60" s="57"/>
      <c r="AE60" s="59"/>
      <c r="AF60" s="52"/>
      <c r="AH60" s="67"/>
      <c r="AI60" s="52"/>
      <c r="AK60">
        <f>Table2[[#This Row],[2025 Cases Sold16]]-Table2[[#This Row],[2024 Cases Sold15]]</f>
        <v>0</v>
      </c>
      <c r="AL60" s="64"/>
      <c r="AM60" s="52"/>
    </row>
    <row r="61" spans="1:39" x14ac:dyDescent="0.25">
      <c r="A61" s="6">
        <v>2056089</v>
      </c>
      <c r="B61" s="14" t="s">
        <v>156</v>
      </c>
      <c r="C61" s="14" t="s">
        <v>157</v>
      </c>
      <c r="D61" s="14" t="s">
        <v>158</v>
      </c>
      <c r="E61" s="2" t="str">
        <f t="shared" si="0"/>
        <v>13 05 RIVER RD, FAIR LAWN</v>
      </c>
      <c r="F61" s="14" t="s">
        <v>13</v>
      </c>
      <c r="G61" s="6">
        <v>7410</v>
      </c>
      <c r="H61" s="35" t="s">
        <v>14</v>
      </c>
      <c r="I61" s="36">
        <v>45806</v>
      </c>
      <c r="J61" s="4" t="s">
        <v>15</v>
      </c>
      <c r="K61" s="49" t="s">
        <v>15</v>
      </c>
      <c r="L61" s="52"/>
      <c r="O61" s="57"/>
      <c r="P61" s="59"/>
      <c r="Q61" s="52"/>
      <c r="S61" s="67"/>
      <c r="T61" s="52"/>
      <c r="W61" s="64"/>
      <c r="X61" s="52"/>
      <c r="Z61" s="67"/>
      <c r="AA61" s="52"/>
      <c r="AC61">
        <f>Table2[[#This Row],[2025 Cases Sold9]]-Table2[[#This Row],[2024 Cases Sold8]]</f>
        <v>0</v>
      </c>
      <c r="AD61" s="57"/>
      <c r="AE61" s="59"/>
      <c r="AF61" s="52"/>
      <c r="AH61" s="67"/>
      <c r="AI61" s="52"/>
      <c r="AK61">
        <f>Table2[[#This Row],[2025 Cases Sold16]]-Table2[[#This Row],[2024 Cases Sold15]]</f>
        <v>0</v>
      </c>
      <c r="AL61" s="64"/>
      <c r="AM61" s="52"/>
    </row>
    <row r="62" spans="1:39" x14ac:dyDescent="0.25">
      <c r="A62" s="6">
        <v>765193</v>
      </c>
      <c r="B62" s="14" t="s">
        <v>159</v>
      </c>
      <c r="C62" s="14" t="s">
        <v>160</v>
      </c>
      <c r="D62" s="14" t="s">
        <v>161</v>
      </c>
      <c r="E62" s="2" t="str">
        <f t="shared" si="0"/>
        <v>76 JEWELL ST, GARFIELD</v>
      </c>
      <c r="F62" s="14" t="s">
        <v>13</v>
      </c>
      <c r="G62" s="6">
        <v>7026</v>
      </c>
      <c r="H62" s="10" t="s">
        <v>22</v>
      </c>
      <c r="I62" s="36">
        <v>45810</v>
      </c>
      <c r="J62" s="44" t="s">
        <v>48</v>
      </c>
      <c r="K62" s="49" t="s">
        <v>15</v>
      </c>
      <c r="L62" s="52"/>
      <c r="O62" s="57"/>
      <c r="P62" s="59"/>
      <c r="Q62" s="52"/>
      <c r="S62" s="67"/>
      <c r="T62" s="52"/>
      <c r="W62" s="64"/>
      <c r="X62" s="52"/>
      <c r="Z62" s="67"/>
      <c r="AA62" s="52"/>
      <c r="AC62">
        <f>Table2[[#This Row],[2025 Cases Sold9]]-Table2[[#This Row],[2024 Cases Sold8]]</f>
        <v>0</v>
      </c>
      <c r="AD62" s="57"/>
      <c r="AE62" s="59"/>
      <c r="AF62" s="52"/>
      <c r="AH62" s="67"/>
      <c r="AI62" s="52"/>
      <c r="AK62">
        <f>Table2[[#This Row],[2025 Cases Sold16]]-Table2[[#This Row],[2024 Cases Sold15]]</f>
        <v>0</v>
      </c>
      <c r="AL62" s="64"/>
      <c r="AM62" s="52"/>
    </row>
    <row r="63" spans="1:39" x14ac:dyDescent="0.25">
      <c r="A63" s="9">
        <v>889729</v>
      </c>
      <c r="B63" s="16" t="s">
        <v>162</v>
      </c>
      <c r="C63" s="16" t="s">
        <v>163</v>
      </c>
      <c r="D63" s="16" t="s">
        <v>37</v>
      </c>
      <c r="E63" s="2" t="str">
        <f t="shared" si="0"/>
        <v>353 21ST AVE, PATERSON</v>
      </c>
      <c r="F63" s="16" t="s">
        <v>13</v>
      </c>
      <c r="G63" s="9">
        <v>7501</v>
      </c>
      <c r="H63" s="35" t="s">
        <v>44</v>
      </c>
      <c r="I63" s="36">
        <v>45806</v>
      </c>
      <c r="J63" s="4" t="s">
        <v>15</v>
      </c>
      <c r="K63" s="49" t="s">
        <v>15</v>
      </c>
      <c r="L63" s="52"/>
      <c r="O63" s="57"/>
      <c r="P63" s="59"/>
      <c r="Q63" s="52"/>
      <c r="S63" s="67"/>
      <c r="T63" s="52"/>
      <c r="W63" s="64"/>
      <c r="X63" s="52"/>
      <c r="Z63" s="67"/>
      <c r="AA63" s="52"/>
      <c r="AC63">
        <f>Table2[[#This Row],[2025 Cases Sold9]]-Table2[[#This Row],[2024 Cases Sold8]]</f>
        <v>0</v>
      </c>
      <c r="AD63" s="57"/>
      <c r="AE63" s="59"/>
      <c r="AF63" s="52"/>
      <c r="AH63" s="67"/>
      <c r="AI63" s="52"/>
      <c r="AK63">
        <f>Table2[[#This Row],[2025 Cases Sold16]]-Table2[[#This Row],[2024 Cases Sold15]]</f>
        <v>0</v>
      </c>
      <c r="AL63" s="64"/>
      <c r="AM63" s="52"/>
    </row>
    <row r="64" spans="1:39" x14ac:dyDescent="0.25">
      <c r="A64" s="6">
        <v>764427</v>
      </c>
      <c r="B64" s="14" t="s">
        <v>164</v>
      </c>
      <c r="C64" s="14" t="s">
        <v>165</v>
      </c>
      <c r="D64" s="14" t="s">
        <v>37</v>
      </c>
      <c r="E64" s="2" t="str">
        <f t="shared" si="0"/>
        <v>291 PARK AVE, PATERSON</v>
      </c>
      <c r="F64" s="14" t="s">
        <v>13</v>
      </c>
      <c r="G64" s="6">
        <v>7513</v>
      </c>
      <c r="H64" s="35" t="s">
        <v>44</v>
      </c>
      <c r="I64" s="36">
        <v>45811</v>
      </c>
      <c r="J64" s="4" t="s">
        <v>15</v>
      </c>
      <c r="K64" s="49" t="s">
        <v>15</v>
      </c>
      <c r="L64" s="52"/>
      <c r="O64" s="57"/>
      <c r="P64" s="59"/>
      <c r="Q64" s="52"/>
      <c r="S64" s="67"/>
      <c r="T64" s="52"/>
      <c r="W64" s="64"/>
      <c r="X64" s="52"/>
      <c r="Z64" s="67"/>
      <c r="AA64" s="52"/>
      <c r="AC64">
        <f>Table2[[#This Row],[2025 Cases Sold9]]-Table2[[#This Row],[2024 Cases Sold8]]</f>
        <v>0</v>
      </c>
      <c r="AD64" s="57"/>
      <c r="AE64" s="59"/>
      <c r="AF64" s="52"/>
      <c r="AH64" s="67"/>
      <c r="AI64" s="52"/>
      <c r="AK64">
        <f>Table2[[#This Row],[2025 Cases Sold16]]-Table2[[#This Row],[2024 Cases Sold15]]</f>
        <v>0</v>
      </c>
      <c r="AL64" s="64"/>
      <c r="AM64" s="52"/>
    </row>
    <row r="65" spans="1:41" x14ac:dyDescent="0.25">
      <c r="A65" s="6">
        <v>883818</v>
      </c>
      <c r="B65" s="14" t="s">
        <v>19</v>
      </c>
      <c r="C65" s="14" t="s">
        <v>20</v>
      </c>
      <c r="D65" s="14" t="s">
        <v>21</v>
      </c>
      <c r="E65" s="2" t="str">
        <f t="shared" si="0"/>
        <v>251 ELM ST, ELMWOOD PARK</v>
      </c>
      <c r="F65" s="14" t="s">
        <v>13</v>
      </c>
      <c r="G65" s="6">
        <v>7407</v>
      </c>
      <c r="H65" s="10" t="s">
        <v>22</v>
      </c>
      <c r="I65" s="36">
        <v>45811</v>
      </c>
      <c r="J65" s="4" t="s">
        <v>15</v>
      </c>
      <c r="K65" s="49" t="s">
        <v>15</v>
      </c>
      <c r="L65" s="52"/>
      <c r="O65" s="57"/>
      <c r="P65" s="59"/>
      <c r="Q65" s="52"/>
      <c r="S65" s="67"/>
      <c r="T65" s="52"/>
      <c r="W65" s="64"/>
      <c r="X65" s="52"/>
      <c r="Z65" s="67"/>
      <c r="AA65" s="52"/>
      <c r="AC65">
        <f>Table2[[#This Row],[2025 Cases Sold9]]-Table2[[#This Row],[2024 Cases Sold8]]</f>
        <v>0</v>
      </c>
      <c r="AD65" s="57"/>
      <c r="AE65" s="59"/>
      <c r="AF65" s="52"/>
      <c r="AH65" s="67"/>
      <c r="AI65" s="52"/>
      <c r="AK65">
        <f>Table2[[#This Row],[2025 Cases Sold16]]-Table2[[#This Row],[2024 Cases Sold15]]</f>
        <v>0</v>
      </c>
      <c r="AL65" s="64"/>
      <c r="AM65" s="52"/>
    </row>
    <row r="66" spans="1:41" x14ac:dyDescent="0.25">
      <c r="A66" s="6">
        <v>7355866</v>
      </c>
      <c r="B66" s="14" t="s">
        <v>166</v>
      </c>
      <c r="C66" s="14" t="s">
        <v>167</v>
      </c>
      <c r="D66" s="14" t="s">
        <v>37</v>
      </c>
      <c r="E66" s="2" t="str">
        <f t="shared" si="0"/>
        <v>680 MAIN ST, PATERSON</v>
      </c>
      <c r="F66" s="14" t="s">
        <v>13</v>
      </c>
      <c r="G66" s="6">
        <v>7503</v>
      </c>
      <c r="H66" s="35" t="s">
        <v>14</v>
      </c>
      <c r="I66" s="36">
        <v>45811</v>
      </c>
      <c r="J66" s="4" t="s">
        <v>15</v>
      </c>
      <c r="K66" s="49" t="s">
        <v>15</v>
      </c>
      <c r="L66" s="52"/>
      <c r="O66" s="57"/>
      <c r="P66" s="59"/>
      <c r="Q66" s="52"/>
      <c r="S66" s="67"/>
      <c r="T66" s="52"/>
      <c r="W66" s="64"/>
      <c r="X66" s="52"/>
      <c r="Z66" s="67"/>
      <c r="AA66" s="52"/>
      <c r="AC66">
        <f>Table2[[#This Row],[2025 Cases Sold9]]-Table2[[#This Row],[2024 Cases Sold8]]</f>
        <v>0</v>
      </c>
      <c r="AD66" s="57"/>
      <c r="AE66" s="59"/>
      <c r="AF66" s="52"/>
      <c r="AH66" s="67"/>
      <c r="AI66" s="52"/>
      <c r="AK66">
        <f>Table2[[#This Row],[2025 Cases Sold16]]-Table2[[#This Row],[2024 Cases Sold15]]</f>
        <v>0</v>
      </c>
      <c r="AL66" s="64"/>
      <c r="AM66" s="52"/>
    </row>
    <row r="67" spans="1:41" x14ac:dyDescent="0.25">
      <c r="A67" s="9">
        <v>7355731</v>
      </c>
      <c r="B67" s="16" t="s">
        <v>168</v>
      </c>
      <c r="C67" s="16" t="s">
        <v>169</v>
      </c>
      <c r="D67" s="16" t="s">
        <v>37</v>
      </c>
      <c r="E67" s="2" t="str">
        <f t="shared" si="0"/>
        <v>444 20TH AVE, PATERSON</v>
      </c>
      <c r="F67" s="16" t="s">
        <v>13</v>
      </c>
      <c r="G67" s="9">
        <v>7513</v>
      </c>
      <c r="H67" s="10" t="s">
        <v>44</v>
      </c>
      <c r="I67" s="36">
        <v>45811</v>
      </c>
      <c r="J67" s="4" t="s">
        <v>15</v>
      </c>
      <c r="K67" s="49" t="s">
        <v>15</v>
      </c>
      <c r="L67" s="52"/>
      <c r="O67" s="57"/>
      <c r="P67" s="59"/>
      <c r="Q67" s="52"/>
      <c r="S67" s="67"/>
      <c r="T67" s="52"/>
      <c r="W67" s="64"/>
      <c r="X67" s="52"/>
      <c r="Z67" s="67"/>
      <c r="AA67" s="52"/>
      <c r="AC67">
        <f>Table2[[#This Row],[2025 Cases Sold9]]-Table2[[#This Row],[2024 Cases Sold8]]</f>
        <v>0</v>
      </c>
      <c r="AD67" s="57"/>
      <c r="AE67" s="59"/>
      <c r="AF67" s="52"/>
      <c r="AH67" s="67"/>
      <c r="AI67" s="52"/>
      <c r="AK67">
        <f>Table2[[#This Row],[2025 Cases Sold16]]-Table2[[#This Row],[2024 Cases Sold15]]</f>
        <v>0</v>
      </c>
      <c r="AL67" s="64"/>
      <c r="AM67" s="52"/>
    </row>
    <row r="68" spans="1:41" x14ac:dyDescent="0.25">
      <c r="A68" s="6">
        <v>883393</v>
      </c>
      <c r="B68" s="14" t="s">
        <v>170</v>
      </c>
      <c r="C68" s="14" t="s">
        <v>171</v>
      </c>
      <c r="D68" s="14" t="s">
        <v>28</v>
      </c>
      <c r="E68" s="2" t="str">
        <f t="shared" si="0"/>
        <v>534 VAN HOUTEN AVE, CLIFTON</v>
      </c>
      <c r="F68" s="14" t="s">
        <v>13</v>
      </c>
      <c r="G68" s="6">
        <v>7013</v>
      </c>
      <c r="H68" s="6" t="s">
        <v>22</v>
      </c>
      <c r="I68" s="7">
        <v>45813</v>
      </c>
      <c r="J68" s="4" t="s">
        <v>15</v>
      </c>
      <c r="K68" s="49" t="s">
        <v>15</v>
      </c>
      <c r="L68" s="52"/>
      <c r="O68" s="57"/>
      <c r="P68" s="59"/>
      <c r="Q68" s="52"/>
      <c r="S68" s="67"/>
      <c r="T68" s="52"/>
      <c r="W68" s="64"/>
      <c r="X68" s="52"/>
      <c r="Z68" s="67"/>
      <c r="AA68" s="52"/>
      <c r="AC68">
        <f>Table2[[#This Row],[2025 Cases Sold9]]-Table2[[#This Row],[2024 Cases Sold8]]</f>
        <v>0</v>
      </c>
      <c r="AD68" s="57"/>
      <c r="AE68" s="59"/>
      <c r="AF68" s="52"/>
      <c r="AH68" s="67"/>
      <c r="AI68" s="52"/>
      <c r="AK68">
        <f>Table2[[#This Row],[2025 Cases Sold16]]-Table2[[#This Row],[2024 Cases Sold15]]</f>
        <v>0</v>
      </c>
      <c r="AL68" s="64"/>
      <c r="AM68" s="52"/>
    </row>
    <row r="69" spans="1:41" x14ac:dyDescent="0.25">
      <c r="A69" s="9">
        <v>3789283</v>
      </c>
      <c r="B69" s="16" t="s">
        <v>172</v>
      </c>
      <c r="C69" s="16" t="s">
        <v>173</v>
      </c>
      <c r="D69" s="16" t="s">
        <v>28</v>
      </c>
      <c r="E69" s="2" t="str">
        <f t="shared" ref="E69:E72" si="23">C69 &amp; ", " &amp; D69</f>
        <v>550 LEXINGTON AVE, CLIFTON</v>
      </c>
      <c r="F69" s="16" t="s">
        <v>13</v>
      </c>
      <c r="G69" s="9">
        <v>7011</v>
      </c>
      <c r="H69" s="9" t="s">
        <v>44</v>
      </c>
      <c r="I69" s="7">
        <v>45813</v>
      </c>
      <c r="J69" s="4" t="s">
        <v>15</v>
      </c>
      <c r="K69" s="49" t="s">
        <v>15</v>
      </c>
      <c r="L69" s="52"/>
      <c r="O69" s="57"/>
      <c r="P69" s="59"/>
      <c r="Q69" s="52"/>
      <c r="S69" s="67"/>
      <c r="T69" s="52"/>
      <c r="W69" s="64"/>
      <c r="X69" s="52"/>
      <c r="Z69" s="67"/>
      <c r="AA69" s="52"/>
      <c r="AC69">
        <f>Table2[[#This Row],[2025 Cases Sold9]]-Table2[[#This Row],[2024 Cases Sold8]]</f>
        <v>0</v>
      </c>
      <c r="AD69" s="57"/>
      <c r="AE69" s="59"/>
      <c r="AF69" s="52"/>
      <c r="AH69" s="67"/>
      <c r="AI69" s="52"/>
      <c r="AK69">
        <f>Table2[[#This Row],[2025 Cases Sold16]]-Table2[[#This Row],[2024 Cases Sold15]]</f>
        <v>0</v>
      </c>
      <c r="AL69" s="64"/>
      <c r="AM69" s="52"/>
    </row>
    <row r="70" spans="1:41" x14ac:dyDescent="0.25">
      <c r="A70" s="9">
        <v>766554</v>
      </c>
      <c r="B70" s="16" t="s">
        <v>174</v>
      </c>
      <c r="C70" s="16" t="s">
        <v>175</v>
      </c>
      <c r="D70" s="16" t="s">
        <v>43</v>
      </c>
      <c r="E70" s="2" t="str">
        <f t="shared" si="23"/>
        <v>224 LIVINGSTON ST, NORTHVALE</v>
      </c>
      <c r="F70" s="16" t="s">
        <v>13</v>
      </c>
      <c r="G70" s="9">
        <v>7647</v>
      </c>
      <c r="H70" s="9" t="s">
        <v>44</v>
      </c>
      <c r="I70" s="12">
        <v>45813</v>
      </c>
      <c r="J70" s="4" t="s">
        <v>15</v>
      </c>
      <c r="K70" s="49" t="s">
        <v>15</v>
      </c>
      <c r="L70" s="52"/>
      <c r="O70" s="57"/>
      <c r="P70" s="59"/>
      <c r="Q70" s="52"/>
      <c r="S70" s="67"/>
      <c r="T70" s="52"/>
      <c r="W70" s="64"/>
      <c r="X70" s="52"/>
      <c r="Z70" s="67"/>
      <c r="AA70" s="52"/>
      <c r="AC70">
        <f>Table2[[#This Row],[2025 Cases Sold9]]-Table2[[#This Row],[2024 Cases Sold8]]</f>
        <v>0</v>
      </c>
      <c r="AD70" s="57"/>
      <c r="AE70" s="59"/>
      <c r="AF70" s="52"/>
      <c r="AH70" s="67"/>
      <c r="AI70" s="52"/>
      <c r="AK70">
        <f>Table2[[#This Row],[2025 Cases Sold16]]-Table2[[#This Row],[2024 Cases Sold15]]</f>
        <v>0</v>
      </c>
      <c r="AL70" s="64"/>
      <c r="AM70" s="52"/>
    </row>
    <row r="71" spans="1:41" x14ac:dyDescent="0.25">
      <c r="A71" s="6">
        <v>1498390</v>
      </c>
      <c r="B71" s="14" t="s">
        <v>41</v>
      </c>
      <c r="C71" s="14" t="s">
        <v>176</v>
      </c>
      <c r="D71" s="14" t="s">
        <v>158</v>
      </c>
      <c r="E71" s="2" t="str">
        <f t="shared" si="23"/>
        <v>35 07 BROADWAY, FAIR LAWN</v>
      </c>
      <c r="F71" s="14" t="s">
        <v>13</v>
      </c>
      <c r="G71" s="6">
        <v>7410</v>
      </c>
      <c r="H71" s="6" t="s">
        <v>44</v>
      </c>
      <c r="I71" s="3">
        <v>45820</v>
      </c>
      <c r="J71" s="37" t="s">
        <v>15</v>
      </c>
      <c r="K71" s="49" t="s">
        <v>15</v>
      </c>
      <c r="L71" s="52"/>
      <c r="O71" s="57"/>
      <c r="P71" s="59"/>
      <c r="Q71" s="52"/>
      <c r="S71" s="67"/>
      <c r="T71" s="52"/>
      <c r="W71" s="64"/>
      <c r="X71" s="52"/>
      <c r="Z71" s="67"/>
      <c r="AA71" s="52"/>
      <c r="AC71">
        <f>Table2[[#This Row],[2025 Cases Sold9]]-Table2[[#This Row],[2024 Cases Sold8]]</f>
        <v>0</v>
      </c>
      <c r="AD71" s="57"/>
      <c r="AE71" s="59"/>
      <c r="AF71" s="52"/>
      <c r="AH71" s="67"/>
      <c r="AI71" s="52"/>
      <c r="AK71">
        <f>Table2[[#This Row],[2025 Cases Sold16]]-Table2[[#This Row],[2024 Cases Sold15]]</f>
        <v>0</v>
      </c>
      <c r="AL71" s="64"/>
      <c r="AM71" s="52"/>
    </row>
    <row r="72" spans="1:41" x14ac:dyDescent="0.25">
      <c r="A72" s="38">
        <v>883652</v>
      </c>
      <c r="B72" s="39" t="s">
        <v>177</v>
      </c>
      <c r="C72" s="39" t="s">
        <v>178</v>
      </c>
      <c r="D72" s="39" t="s">
        <v>76</v>
      </c>
      <c r="E72" s="2" t="str">
        <f t="shared" si="23"/>
        <v>177 HOPE AVE, PASSAIC</v>
      </c>
      <c r="F72" s="39" t="s">
        <v>13</v>
      </c>
      <c r="G72" s="38">
        <v>7055</v>
      </c>
      <c r="H72" s="38" t="s">
        <v>44</v>
      </c>
      <c r="I72" s="30">
        <v>45820</v>
      </c>
      <c r="J72" s="4" t="s">
        <v>15</v>
      </c>
      <c r="K72" s="49" t="s">
        <v>15</v>
      </c>
      <c r="L72" s="52"/>
      <c r="O72" s="57"/>
      <c r="P72" s="59"/>
      <c r="Q72" s="52"/>
      <c r="S72" s="67"/>
      <c r="T72" s="52"/>
      <c r="W72" s="64"/>
      <c r="X72" s="52"/>
      <c r="Z72" s="67"/>
      <c r="AA72" s="52"/>
      <c r="AC72">
        <f>Table2[[#This Row],[2025 Cases Sold9]]-Table2[[#This Row],[2024 Cases Sold8]]</f>
        <v>0</v>
      </c>
      <c r="AD72" s="57"/>
      <c r="AE72" s="59"/>
      <c r="AF72" s="52"/>
      <c r="AH72" s="67"/>
      <c r="AI72" s="52"/>
      <c r="AK72">
        <f>Table2[[#This Row],[2025 Cases Sold16]]-Table2[[#This Row],[2024 Cases Sold15]]</f>
        <v>0</v>
      </c>
      <c r="AL72" s="64"/>
      <c r="AM72" s="52"/>
    </row>
    <row r="73" spans="1:41" ht="15.75" thickBot="1" x14ac:dyDescent="0.3">
      <c r="A73" s="40"/>
      <c r="B73" s="41"/>
      <c r="C73" s="41"/>
      <c r="D73" s="41"/>
      <c r="E73" s="41"/>
      <c r="F73" s="41"/>
      <c r="G73" s="41"/>
      <c r="H73" s="41"/>
      <c r="I73" s="42"/>
      <c r="J73" s="43"/>
      <c r="K73" s="51"/>
      <c r="L73" s="55"/>
      <c r="M73" s="56"/>
      <c r="N73" s="56"/>
      <c r="O73" s="62"/>
      <c r="P73" s="63"/>
      <c r="Q73" s="55"/>
      <c r="R73" s="56"/>
      <c r="S73" s="69"/>
      <c r="T73" s="55"/>
      <c r="U73" s="56"/>
      <c r="V73" s="56"/>
      <c r="W73" s="66"/>
      <c r="X73" s="55"/>
      <c r="Y73" s="56"/>
      <c r="Z73" s="69"/>
      <c r="AA73" s="55"/>
      <c r="AB73" s="56"/>
      <c r="AC73" s="56"/>
      <c r="AD73" s="62"/>
      <c r="AE73" s="63"/>
      <c r="AF73" s="55"/>
      <c r="AG73" s="56"/>
      <c r="AH73" s="69"/>
      <c r="AI73" s="55"/>
      <c r="AJ73" s="56"/>
      <c r="AK73" s="56"/>
      <c r="AL73" s="66"/>
      <c r="AM73" s="55"/>
      <c r="AN73" s="56"/>
      <c r="AO73" s="69"/>
    </row>
  </sheetData>
  <mergeCells count="3">
    <mergeCell ref="T2:Z2"/>
    <mergeCell ref="L2:S2"/>
    <mergeCell ref="L1:Z1"/>
  </mergeCells>
  <phoneticPr fontId="44" type="noConversion"/>
  <conditionalFormatting sqref="O4:O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ABC7-EAD6-457D-A116-8CF1318953EC}">
  <dimension ref="A1:G26"/>
  <sheetViews>
    <sheetView workbookViewId="0">
      <selection activeCell="A10" sqref="A10:G26"/>
    </sheetView>
  </sheetViews>
  <sheetFormatPr defaultRowHeight="15" x14ac:dyDescent="0.25"/>
  <cols>
    <col min="1" max="1" width="31.85546875" bestFit="1" customWidth="1"/>
    <col min="2" max="2" width="50.5703125" bestFit="1" customWidth="1"/>
    <col min="3" max="3" width="31.85546875" bestFit="1" customWidth="1"/>
    <col min="4" max="4" width="48.5703125" bestFit="1" customWidth="1"/>
    <col min="5" max="6" width="5.85546875" bestFit="1" customWidth="1"/>
    <col min="7" max="7" width="38.7109375" bestFit="1" customWidth="1"/>
  </cols>
  <sheetData>
    <row r="1" spans="1:7" ht="15.75" thickBot="1" x14ac:dyDescent="0.3">
      <c r="A1" s="233" t="s">
        <v>230</v>
      </c>
      <c r="B1" s="233"/>
    </row>
    <row r="2" spans="1:7" ht="15.75" thickBot="1" x14ac:dyDescent="0.3">
      <c r="A2" s="98" t="s">
        <v>231</v>
      </c>
      <c r="B2" s="103">
        <v>34</v>
      </c>
      <c r="D2" s="231" t="s">
        <v>244</v>
      </c>
      <c r="E2" s="234"/>
      <c r="F2" s="234"/>
      <c r="G2" s="232"/>
    </row>
    <row r="3" spans="1:7" ht="15.75" thickBot="1" x14ac:dyDescent="0.3">
      <c r="A3" s="99" t="s">
        <v>232</v>
      </c>
      <c r="B3" s="104">
        <f>'Store Reset Overview'!I45</f>
        <v>19</v>
      </c>
      <c r="D3" s="231" t="s">
        <v>235</v>
      </c>
      <c r="E3" s="232"/>
      <c r="F3" s="231" t="s">
        <v>228</v>
      </c>
      <c r="G3" s="232"/>
    </row>
    <row r="4" spans="1:7" ht="15.75" thickBot="1" x14ac:dyDescent="0.3">
      <c r="A4" s="105" t="s">
        <v>233</v>
      </c>
      <c r="B4" s="106">
        <f>'Store Reset Overview'!K44</f>
        <v>-8.0647058823529433E-2</v>
      </c>
      <c r="D4" s="98" t="s">
        <v>227</v>
      </c>
      <c r="E4" s="108">
        <v>-8.6999999999999994E-2</v>
      </c>
      <c r="F4" s="110">
        <v>-0.08</v>
      </c>
      <c r="G4" s="98" t="s">
        <v>229</v>
      </c>
    </row>
    <row r="5" spans="1:7" ht="15.75" thickBot="1" x14ac:dyDescent="0.3">
      <c r="D5" s="107" t="s">
        <v>234</v>
      </c>
      <c r="E5" s="109">
        <v>-4.3999999999999997E-2</v>
      </c>
      <c r="F5" s="111">
        <v>-6.3E-2</v>
      </c>
      <c r="G5" s="99" t="s">
        <v>236</v>
      </c>
    </row>
    <row r="9" spans="1:7" ht="15.75" thickBot="1" x14ac:dyDescent="0.3"/>
    <row r="10" spans="1:7" ht="15.75" thickBot="1" x14ac:dyDescent="0.3">
      <c r="A10" s="231" t="s">
        <v>243</v>
      </c>
      <c r="B10" s="232"/>
      <c r="C10" s="159"/>
      <c r="D10" s="72"/>
      <c r="E10" s="73"/>
      <c r="F10" s="71"/>
      <c r="G10" s="71"/>
    </row>
    <row r="11" spans="1:7" x14ac:dyDescent="0.25">
      <c r="A11" s="95" t="s">
        <v>231</v>
      </c>
      <c r="B11" s="96">
        <v>34</v>
      </c>
      <c r="C11" s="159"/>
      <c r="D11" s="72"/>
      <c r="E11" s="73"/>
      <c r="F11" s="71"/>
      <c r="G11" s="71"/>
    </row>
    <row r="12" spans="1:7" x14ac:dyDescent="0.25">
      <c r="A12" s="52" t="s">
        <v>246</v>
      </c>
      <c r="B12" s="169">
        <v>-7.3999999999999996E-2</v>
      </c>
      <c r="C12" s="101"/>
      <c r="D12" s="72"/>
      <c r="E12" s="102"/>
      <c r="F12" s="71"/>
      <c r="G12" s="71"/>
    </row>
    <row r="13" spans="1:7" ht="15.75" thickBot="1" x14ac:dyDescent="0.3">
      <c r="A13" s="55" t="s">
        <v>232</v>
      </c>
      <c r="B13" s="97">
        <f>E25</f>
        <v>23</v>
      </c>
      <c r="C13" s="159"/>
      <c r="D13" s="72"/>
      <c r="E13" s="73"/>
      <c r="F13" s="71"/>
      <c r="G13" s="71"/>
    </row>
    <row r="14" spans="1:7" ht="15.75" thickBot="1" x14ac:dyDescent="0.3">
      <c r="A14" s="70"/>
      <c r="B14" s="70"/>
      <c r="C14" s="70"/>
      <c r="D14" s="72"/>
      <c r="E14" s="73"/>
      <c r="F14" s="71"/>
      <c r="G14" s="71"/>
    </row>
    <row r="15" spans="1:7" ht="15.75" thickBot="1" x14ac:dyDescent="0.3">
      <c r="A15" s="231" t="s">
        <v>244</v>
      </c>
      <c r="B15" s="232"/>
      <c r="C15" s="159"/>
      <c r="F15" s="71"/>
      <c r="G15" s="71"/>
    </row>
    <row r="16" spans="1:7" ht="15.75" thickBot="1" x14ac:dyDescent="0.3">
      <c r="A16" s="235" t="s">
        <v>235</v>
      </c>
      <c r="B16" s="236"/>
      <c r="C16" s="203"/>
      <c r="D16" s="72"/>
      <c r="E16" s="73"/>
      <c r="F16" s="71"/>
      <c r="G16" s="71"/>
    </row>
    <row r="17" spans="1:7" ht="15.75" thickBot="1" x14ac:dyDescent="0.3">
      <c r="A17" s="98" t="s">
        <v>227</v>
      </c>
      <c r="B17" s="108">
        <v>-8.6999999999999994E-2</v>
      </c>
      <c r="C17" s="204"/>
      <c r="D17" s="72"/>
      <c r="E17" s="73"/>
      <c r="F17" s="71"/>
      <c r="G17" s="71"/>
    </row>
    <row r="18" spans="1:7" ht="15.75" thickBot="1" x14ac:dyDescent="0.3">
      <c r="A18" s="107" t="s">
        <v>234</v>
      </c>
      <c r="B18" s="109">
        <v>-4.3999999999999997E-2</v>
      </c>
      <c r="C18" s="205"/>
      <c r="D18" s="72"/>
      <c r="E18" s="73"/>
      <c r="F18" s="71"/>
      <c r="G18" s="71"/>
    </row>
    <row r="19" spans="1:7" ht="15.75" thickBot="1" x14ac:dyDescent="0.3">
      <c r="A19" s="229" t="s">
        <v>228</v>
      </c>
      <c r="B19" s="230"/>
      <c r="C19" s="206"/>
      <c r="D19" s="72"/>
      <c r="E19" s="73"/>
      <c r="F19" s="71"/>
      <c r="G19" s="71"/>
    </row>
    <row r="20" spans="1:7" ht="15.75" thickBot="1" x14ac:dyDescent="0.3">
      <c r="A20" s="98" t="s">
        <v>229</v>
      </c>
      <c r="B20" s="110">
        <v>-0.08</v>
      </c>
      <c r="C20" s="207"/>
      <c r="D20" s="72"/>
      <c r="E20" s="73"/>
      <c r="F20" s="71"/>
      <c r="G20" s="71"/>
    </row>
    <row r="21" spans="1:7" ht="15.75" thickBot="1" x14ac:dyDescent="0.3">
      <c r="A21" s="99" t="s">
        <v>236</v>
      </c>
      <c r="B21" s="111">
        <v>-6.3E-2</v>
      </c>
      <c r="C21" s="208"/>
      <c r="D21" s="72"/>
      <c r="E21" s="73"/>
      <c r="F21" s="71"/>
      <c r="G21" s="71"/>
    </row>
    <row r="22" spans="1:7" x14ac:dyDescent="0.25">
      <c r="A22" s="70"/>
      <c r="B22" s="70"/>
      <c r="C22" s="70"/>
      <c r="D22" s="72"/>
      <c r="E22" s="73"/>
      <c r="F22" s="71"/>
      <c r="G22" s="71"/>
    </row>
    <row r="23" spans="1:7" x14ac:dyDescent="0.25">
      <c r="A23" s="70"/>
      <c r="B23" s="70"/>
      <c r="C23" s="70"/>
      <c r="D23" s="72"/>
      <c r="E23" s="73"/>
      <c r="F23" s="71"/>
      <c r="G23" s="71"/>
    </row>
    <row r="24" spans="1:7" ht="18.75" x14ac:dyDescent="0.3">
      <c r="A24" s="174" t="s">
        <v>224</v>
      </c>
      <c r="B24" s="174"/>
      <c r="C24" s="174"/>
      <c r="D24" s="174"/>
      <c r="E24" s="165">
        <f>AVERAGE('Store Reset Overview'!F6:F39)</f>
        <v>-2.5937899515205247E-2</v>
      </c>
      <c r="F24" s="165">
        <f>AVERAGE('Store Reset Overview'!G6:G39)</f>
        <v>-3.4854998637274337E-3</v>
      </c>
      <c r="G24" s="165">
        <f>AVERAGE('Store Reset Overview'!H6:H39)</f>
        <v>-7.3647058823529427E-2</v>
      </c>
    </row>
    <row r="25" spans="1:7" ht="18.75" x14ac:dyDescent="0.3">
      <c r="A25" s="175" t="s">
        <v>225</v>
      </c>
      <c r="B25" s="175"/>
      <c r="C25" s="175"/>
      <c r="D25" s="175"/>
      <c r="E25" s="166" cm="1">
        <f t="array" ref="E25">SUMPRODUCT(--('Store Reset Overview'!F6:F39&gt;'Store Reset Overview'!H6:H39))</f>
        <v>23</v>
      </c>
      <c r="F25" s="166" cm="1">
        <f t="array" ref="F25">SUMPRODUCT(--('Store Reset Overview'!G6:G39&gt;'Store Reset Overview'!H6:H39))</f>
        <v>24</v>
      </c>
      <c r="G25" s="167"/>
    </row>
    <row r="26" spans="1:7" ht="18.75" x14ac:dyDescent="0.3">
      <c r="A26" s="176" t="s">
        <v>245</v>
      </c>
      <c r="B26" s="176"/>
      <c r="C26" s="176"/>
      <c r="D26" s="176"/>
      <c r="E26" s="167"/>
      <c r="F26" s="171" cm="1">
        <f t="array" ref="F26">SUMPRODUCT(--('Store Reset Overview'!G6:G39&gt;'Store Reset Overview'!F6:F39))</f>
        <v>17</v>
      </c>
      <c r="G26" s="167"/>
    </row>
  </sheetData>
  <mergeCells count="8">
    <mergeCell ref="A19:B19"/>
    <mergeCell ref="A15:B15"/>
    <mergeCell ref="A10:B10"/>
    <mergeCell ref="A1:B1"/>
    <mergeCell ref="F3:G3"/>
    <mergeCell ref="D3:E3"/>
    <mergeCell ref="D2:G2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90D2-1157-43DF-BEBB-C2A147D29D23}">
  <dimension ref="A3:D72"/>
  <sheetViews>
    <sheetView topLeftCell="A2" workbookViewId="0">
      <selection activeCell="A37" sqref="A37"/>
    </sheetView>
  </sheetViews>
  <sheetFormatPr defaultRowHeight="15" x14ac:dyDescent="0.25"/>
  <cols>
    <col min="1" max="1" width="39.42578125" bestFit="1" customWidth="1"/>
    <col min="2" max="3" width="22.5703125" bestFit="1" customWidth="1"/>
    <col min="4" max="4" width="16.7109375" bestFit="1" customWidth="1"/>
    <col min="5" max="68" width="41.7109375" bestFit="1" customWidth="1"/>
    <col min="69" max="69" width="11.28515625" bestFit="1" customWidth="1"/>
  </cols>
  <sheetData>
    <row r="3" spans="1:4" x14ac:dyDescent="0.25">
      <c r="A3" s="92" t="s">
        <v>220</v>
      </c>
      <c r="B3" t="s">
        <v>221</v>
      </c>
      <c r="C3" t="s">
        <v>222</v>
      </c>
      <c r="D3" t="s">
        <v>223</v>
      </c>
    </row>
    <row r="4" spans="1:4" x14ac:dyDescent="0.25">
      <c r="A4" s="93" t="s">
        <v>92</v>
      </c>
    </row>
    <row r="5" spans="1:4" x14ac:dyDescent="0.25">
      <c r="A5" s="93" t="s">
        <v>74</v>
      </c>
      <c r="B5">
        <v>5107</v>
      </c>
      <c r="C5">
        <v>3503</v>
      </c>
      <c r="D5">
        <v>-0.31407871548854516</v>
      </c>
    </row>
    <row r="6" spans="1:4" x14ac:dyDescent="0.25">
      <c r="A6" s="93" t="s">
        <v>156</v>
      </c>
    </row>
    <row r="7" spans="1:4" x14ac:dyDescent="0.25">
      <c r="A7" s="93" t="s">
        <v>125</v>
      </c>
    </row>
    <row r="8" spans="1:4" x14ac:dyDescent="0.25">
      <c r="A8" s="93" t="s">
        <v>177</v>
      </c>
    </row>
    <row r="9" spans="1:4" x14ac:dyDescent="0.25">
      <c r="A9" s="93" t="s">
        <v>174</v>
      </c>
    </row>
    <row r="10" spans="1:4" x14ac:dyDescent="0.25">
      <c r="A10" s="93" t="s">
        <v>87</v>
      </c>
      <c r="B10">
        <v>15744</v>
      </c>
      <c r="C10">
        <v>12844</v>
      </c>
      <c r="D10">
        <v>-0.18419715447154472</v>
      </c>
    </row>
    <row r="11" spans="1:4" x14ac:dyDescent="0.25">
      <c r="A11" s="93" t="s">
        <v>172</v>
      </c>
    </row>
    <row r="12" spans="1:4" x14ac:dyDescent="0.25">
      <c r="A12" s="93" t="s">
        <v>82</v>
      </c>
      <c r="B12">
        <v>7983</v>
      </c>
      <c r="C12">
        <v>7611</v>
      </c>
      <c r="D12">
        <v>-4.6599022923712888E-2</v>
      </c>
    </row>
    <row r="13" spans="1:4" x14ac:dyDescent="0.25">
      <c r="A13" s="93" t="s">
        <v>168</v>
      </c>
    </row>
    <row r="14" spans="1:4" x14ac:dyDescent="0.25">
      <c r="A14" s="93" t="s">
        <v>166</v>
      </c>
    </row>
    <row r="15" spans="1:4" x14ac:dyDescent="0.25">
      <c r="A15" s="93" t="s">
        <v>32</v>
      </c>
      <c r="B15">
        <v>1339</v>
      </c>
      <c r="C15">
        <v>872</v>
      </c>
      <c r="D15">
        <v>-0.34876773711725167</v>
      </c>
    </row>
    <row r="16" spans="1:4" x14ac:dyDescent="0.25">
      <c r="A16" s="93" t="s">
        <v>102</v>
      </c>
      <c r="B16">
        <v>5797</v>
      </c>
      <c r="C16">
        <v>4864</v>
      </c>
      <c r="D16">
        <v>-0.16094531654303951</v>
      </c>
    </row>
    <row r="17" spans="1:4" x14ac:dyDescent="0.25">
      <c r="A17" s="93" t="s">
        <v>100</v>
      </c>
      <c r="B17">
        <v>12934</v>
      </c>
      <c r="C17">
        <v>12695</v>
      </c>
      <c r="D17">
        <v>-1.8478428946961497E-2</v>
      </c>
    </row>
    <row r="18" spans="1:4" x14ac:dyDescent="0.25">
      <c r="A18" s="93" t="s">
        <v>117</v>
      </c>
    </row>
    <row r="19" spans="1:4" x14ac:dyDescent="0.25">
      <c r="A19" s="93" t="s">
        <v>162</v>
      </c>
    </row>
    <row r="20" spans="1:4" x14ac:dyDescent="0.25">
      <c r="A20" s="93" t="s">
        <v>145</v>
      </c>
    </row>
    <row r="21" spans="1:4" x14ac:dyDescent="0.25">
      <c r="A21" s="93" t="s">
        <v>98</v>
      </c>
      <c r="B21">
        <v>5261</v>
      </c>
      <c r="C21">
        <v>5804</v>
      </c>
      <c r="D21">
        <v>0.1032123170499905</v>
      </c>
    </row>
    <row r="22" spans="1:4" x14ac:dyDescent="0.25">
      <c r="A22" s="93" t="s">
        <v>123</v>
      </c>
    </row>
    <row r="23" spans="1:4" x14ac:dyDescent="0.25">
      <c r="A23" s="93" t="s">
        <v>70</v>
      </c>
      <c r="B23">
        <v>3698</v>
      </c>
      <c r="C23">
        <v>3063</v>
      </c>
      <c r="D23">
        <v>-0.17171444023796648</v>
      </c>
    </row>
    <row r="24" spans="1:4" x14ac:dyDescent="0.25">
      <c r="A24" s="93" t="s">
        <v>16</v>
      </c>
      <c r="B24">
        <v>4203</v>
      </c>
      <c r="C24">
        <v>3824</v>
      </c>
      <c r="D24">
        <v>-9.0173685462764691E-2</v>
      </c>
    </row>
    <row r="25" spans="1:4" x14ac:dyDescent="0.25">
      <c r="A25" s="93" t="s">
        <v>72</v>
      </c>
      <c r="B25">
        <v>486</v>
      </c>
      <c r="C25">
        <v>521</v>
      </c>
      <c r="D25">
        <v>7.2016460905349799E-2</v>
      </c>
    </row>
    <row r="26" spans="1:4" x14ac:dyDescent="0.25">
      <c r="A26" s="93" t="s">
        <v>149</v>
      </c>
    </row>
    <row r="27" spans="1:4" x14ac:dyDescent="0.25">
      <c r="A27" s="93" t="s">
        <v>10</v>
      </c>
      <c r="B27">
        <v>5001</v>
      </c>
      <c r="C27">
        <v>4613</v>
      </c>
      <c r="D27">
        <v>-7.7584483103379329E-2</v>
      </c>
    </row>
    <row r="28" spans="1:4" x14ac:dyDescent="0.25">
      <c r="A28" s="93" t="s">
        <v>137</v>
      </c>
    </row>
    <row r="29" spans="1:4" x14ac:dyDescent="0.25">
      <c r="A29" s="93" t="s">
        <v>130</v>
      </c>
    </row>
    <row r="30" spans="1:4" x14ac:dyDescent="0.25">
      <c r="A30" s="93" t="s">
        <v>188</v>
      </c>
      <c r="B30">
        <v>4675</v>
      </c>
      <c r="C30">
        <v>4420</v>
      </c>
      <c r="D30">
        <v>-5.4545454545454543E-2</v>
      </c>
    </row>
    <row r="31" spans="1:4" x14ac:dyDescent="0.25">
      <c r="A31" s="93" t="s">
        <v>159</v>
      </c>
    </row>
    <row r="32" spans="1:4" x14ac:dyDescent="0.25">
      <c r="A32" s="93" t="s">
        <v>115</v>
      </c>
    </row>
    <row r="33" spans="1:4" x14ac:dyDescent="0.25">
      <c r="A33" s="93" t="s">
        <v>143</v>
      </c>
    </row>
    <row r="34" spans="1:4" x14ac:dyDescent="0.25">
      <c r="A34" s="93" t="s">
        <v>151</v>
      </c>
    </row>
    <row r="35" spans="1:4" x14ac:dyDescent="0.25">
      <c r="A35" s="93" t="s">
        <v>154</v>
      </c>
    </row>
    <row r="36" spans="1:4" x14ac:dyDescent="0.25">
      <c r="A36" s="93" t="s">
        <v>23</v>
      </c>
      <c r="B36">
        <v>2587</v>
      </c>
      <c r="C36">
        <v>2501</v>
      </c>
      <c r="D36">
        <v>-3.3243138770776962E-2</v>
      </c>
    </row>
    <row r="37" spans="1:4" x14ac:dyDescent="0.25">
      <c r="A37" s="93" t="s">
        <v>63</v>
      </c>
      <c r="B37">
        <v>5134</v>
      </c>
      <c r="C37">
        <v>5271</v>
      </c>
      <c r="D37">
        <v>2.6684846123880016E-2</v>
      </c>
    </row>
    <row r="38" spans="1:4" x14ac:dyDescent="0.25">
      <c r="A38" s="93" t="s">
        <v>164</v>
      </c>
    </row>
    <row r="39" spans="1:4" x14ac:dyDescent="0.25">
      <c r="A39" s="93" t="s">
        <v>49</v>
      </c>
      <c r="B39">
        <v>2055</v>
      </c>
      <c r="C39">
        <v>2340</v>
      </c>
      <c r="D39">
        <v>0.13868613138686131</v>
      </c>
    </row>
    <row r="40" spans="1:4" x14ac:dyDescent="0.25">
      <c r="A40" s="93" t="s">
        <v>38</v>
      </c>
      <c r="B40">
        <v>1260</v>
      </c>
      <c r="C40">
        <v>1219</v>
      </c>
      <c r="D40">
        <v>-3.2539682539682542E-2</v>
      </c>
    </row>
    <row r="41" spans="1:4" x14ac:dyDescent="0.25">
      <c r="A41" s="93" t="s">
        <v>79</v>
      </c>
    </row>
    <row r="42" spans="1:4" x14ac:dyDescent="0.25">
      <c r="A42" s="93" t="s">
        <v>140</v>
      </c>
    </row>
    <row r="43" spans="1:4" x14ac:dyDescent="0.25">
      <c r="A43" s="93" t="s">
        <v>127</v>
      </c>
    </row>
    <row r="44" spans="1:4" x14ac:dyDescent="0.25">
      <c r="A44" s="93" t="s">
        <v>35</v>
      </c>
      <c r="B44">
        <v>2374</v>
      </c>
      <c r="C44">
        <v>2328</v>
      </c>
      <c r="D44">
        <v>-1.9376579612468407E-2</v>
      </c>
    </row>
    <row r="45" spans="1:4" x14ac:dyDescent="0.25">
      <c r="A45" s="93" t="s">
        <v>19</v>
      </c>
      <c r="B45">
        <v>2060</v>
      </c>
      <c r="C45">
        <v>1969</v>
      </c>
      <c r="D45">
        <v>-4.4174757281553401E-2</v>
      </c>
    </row>
    <row r="46" spans="1:4" x14ac:dyDescent="0.25">
      <c r="A46" s="93" t="s">
        <v>90</v>
      </c>
    </row>
    <row r="47" spans="1:4" x14ac:dyDescent="0.25">
      <c r="A47" s="93" t="s">
        <v>29</v>
      </c>
      <c r="B47">
        <v>1903</v>
      </c>
      <c r="C47">
        <v>1477</v>
      </c>
      <c r="D47">
        <v>-0.22385706778770362</v>
      </c>
    </row>
    <row r="48" spans="1:4" x14ac:dyDescent="0.25">
      <c r="A48" s="93" t="s">
        <v>26</v>
      </c>
      <c r="B48">
        <v>6895</v>
      </c>
      <c r="C48">
        <v>6900</v>
      </c>
      <c r="D48">
        <v>7.2516316171138508E-4</v>
      </c>
    </row>
    <row r="49" spans="1:4" x14ac:dyDescent="0.25">
      <c r="A49" s="93" t="s">
        <v>147</v>
      </c>
    </row>
    <row r="50" spans="1:4" x14ac:dyDescent="0.25">
      <c r="A50" s="93" t="s">
        <v>67</v>
      </c>
      <c r="B50">
        <v>1352</v>
      </c>
      <c r="C50">
        <v>1334</v>
      </c>
      <c r="D50">
        <v>-1.3313609467455622E-2</v>
      </c>
    </row>
    <row r="51" spans="1:4" x14ac:dyDescent="0.25">
      <c r="A51" s="93" t="s">
        <v>58</v>
      </c>
    </row>
    <row r="52" spans="1:4" x14ac:dyDescent="0.25">
      <c r="A52" s="93" t="s">
        <v>134</v>
      </c>
    </row>
    <row r="53" spans="1:4" x14ac:dyDescent="0.25">
      <c r="A53" s="93" t="s">
        <v>77</v>
      </c>
      <c r="B53">
        <v>5100</v>
      </c>
      <c r="C53">
        <v>4552</v>
      </c>
      <c r="D53">
        <v>-0.10745098039215686</v>
      </c>
    </row>
    <row r="54" spans="1:4" x14ac:dyDescent="0.25">
      <c r="A54" s="93" t="s">
        <v>85</v>
      </c>
      <c r="B54">
        <v>11857</v>
      </c>
      <c r="C54">
        <v>11562</v>
      </c>
      <c r="D54">
        <v>-2.4879817829130471E-2</v>
      </c>
    </row>
    <row r="55" spans="1:4" x14ac:dyDescent="0.25">
      <c r="A55" s="93" t="s">
        <v>41</v>
      </c>
    </row>
    <row r="56" spans="1:4" x14ac:dyDescent="0.25">
      <c r="A56" s="93" t="s">
        <v>195</v>
      </c>
      <c r="B56">
        <v>8500</v>
      </c>
      <c r="C56">
        <v>7283</v>
      </c>
      <c r="D56">
        <v>-0.14317647058823529</v>
      </c>
    </row>
    <row r="57" spans="1:4" x14ac:dyDescent="0.25">
      <c r="A57" s="93" t="s">
        <v>193</v>
      </c>
      <c r="B57">
        <v>12488</v>
      </c>
      <c r="C57">
        <v>10386</v>
      </c>
      <c r="D57">
        <v>-0.16832158872517616</v>
      </c>
    </row>
    <row r="58" spans="1:4" x14ac:dyDescent="0.25">
      <c r="A58" s="93" t="s">
        <v>194</v>
      </c>
      <c r="B58">
        <v>10155</v>
      </c>
      <c r="C58">
        <v>8847</v>
      </c>
      <c r="D58">
        <v>-0.12880354505169866</v>
      </c>
    </row>
    <row r="59" spans="1:4" x14ac:dyDescent="0.25">
      <c r="A59" s="93" t="s">
        <v>192</v>
      </c>
      <c r="B59">
        <v>5080</v>
      </c>
      <c r="C59">
        <v>4224</v>
      </c>
      <c r="D59">
        <v>-0.16850393700787403</v>
      </c>
    </row>
    <row r="60" spans="1:4" x14ac:dyDescent="0.25">
      <c r="A60" s="93" t="s">
        <v>111</v>
      </c>
      <c r="B60">
        <v>3985</v>
      </c>
      <c r="C60">
        <v>3508</v>
      </c>
      <c r="D60">
        <v>-0.11969887076537014</v>
      </c>
    </row>
    <row r="61" spans="1:4" x14ac:dyDescent="0.25">
      <c r="A61" s="93" t="s">
        <v>113</v>
      </c>
      <c r="B61">
        <v>4989</v>
      </c>
      <c r="C61">
        <v>3397</v>
      </c>
      <c r="D61">
        <v>-0.31910202445379837</v>
      </c>
    </row>
    <row r="62" spans="1:4" x14ac:dyDescent="0.25">
      <c r="A62" s="93" t="s">
        <v>132</v>
      </c>
    </row>
    <row r="63" spans="1:4" x14ac:dyDescent="0.25">
      <c r="A63" s="93" t="s">
        <v>104</v>
      </c>
    </row>
    <row r="64" spans="1:4" x14ac:dyDescent="0.25">
      <c r="A64" s="93" t="s">
        <v>96</v>
      </c>
      <c r="B64">
        <v>19546</v>
      </c>
      <c r="C64">
        <v>17902</v>
      </c>
      <c r="D64">
        <v>-8.4109280671237088E-2</v>
      </c>
    </row>
    <row r="65" spans="1:4" x14ac:dyDescent="0.25">
      <c r="A65" s="93" t="s">
        <v>55</v>
      </c>
      <c r="B65">
        <v>2564</v>
      </c>
      <c r="C65">
        <v>2133</v>
      </c>
      <c r="D65">
        <v>-0.16809672386895474</v>
      </c>
    </row>
    <row r="66" spans="1:4" x14ac:dyDescent="0.25">
      <c r="A66" s="93" t="s">
        <v>94</v>
      </c>
      <c r="B66">
        <v>9086</v>
      </c>
      <c r="C66">
        <v>9750</v>
      </c>
      <c r="D66">
        <v>7.3079462909971388E-2</v>
      </c>
    </row>
    <row r="67" spans="1:4" x14ac:dyDescent="0.25">
      <c r="A67" s="93" t="s">
        <v>170</v>
      </c>
    </row>
    <row r="68" spans="1:4" x14ac:dyDescent="0.25">
      <c r="A68" s="93" t="s">
        <v>45</v>
      </c>
    </row>
    <row r="69" spans="1:4" x14ac:dyDescent="0.25">
      <c r="A69" s="93" t="s">
        <v>65</v>
      </c>
      <c r="B69">
        <v>611</v>
      </c>
      <c r="C69">
        <v>684</v>
      </c>
      <c r="D69">
        <v>0.11947626841243862</v>
      </c>
    </row>
    <row r="70" spans="1:4" x14ac:dyDescent="0.25">
      <c r="A70" s="93" t="s">
        <v>120</v>
      </c>
    </row>
    <row r="71" spans="1:4" x14ac:dyDescent="0.25">
      <c r="A71" s="93" t="s">
        <v>52</v>
      </c>
      <c r="B71">
        <v>1144</v>
      </c>
      <c r="C71">
        <v>1026</v>
      </c>
      <c r="D71">
        <v>-0.10314685314685315</v>
      </c>
    </row>
    <row r="72" spans="1:4" x14ac:dyDescent="0.25">
      <c r="A72" s="93" t="s">
        <v>219</v>
      </c>
      <c r="B72">
        <v>192953</v>
      </c>
      <c r="C72">
        <v>175227</v>
      </c>
      <c r="D72">
        <v>-2.8349987168505435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696a74-0c88-4cc7-9d98-c77b8b9383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5FB3D99FA2F488BF8739446309F7D" ma:contentTypeVersion="5" ma:contentTypeDescription="Create a new document." ma:contentTypeScope="" ma:versionID="dd37e6eb00c7b6e155c02e2ab68dec3e">
  <xsd:schema xmlns:xsd="http://www.w3.org/2001/XMLSchema" xmlns:xs="http://www.w3.org/2001/XMLSchema" xmlns:p="http://schemas.microsoft.com/office/2006/metadata/properties" xmlns:ns3="f0696a74-0c88-4cc7-9d98-c77b8b9383c4" targetNamespace="http://schemas.microsoft.com/office/2006/metadata/properties" ma:root="true" ma:fieldsID="50260cf08f026be886fefa52c0dfb046" ns3:_="">
    <xsd:import namespace="f0696a74-0c88-4cc7-9d98-c77b8b9383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96a74-0c88-4cc7-9d98-c77b8b9383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7611BD-76FE-4971-AE76-A2A1755A08E1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f0696a74-0c88-4cc7-9d98-c77b8b9383c4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4294D1-0532-4176-B37E-5BCBA2834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96a74-0c88-4cc7-9d98-c77b8b9383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78634-00DA-4AFA-B680-5FF2096EE9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Reset Overview</vt:lpstr>
      <vt:lpstr>Store Reset Data</vt:lpstr>
      <vt:lpstr>Summary Stats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Neukum</dc:creator>
  <cp:lastModifiedBy>Gavin Sharkey</cp:lastModifiedBy>
  <dcterms:created xsi:type="dcterms:W3CDTF">2025-06-30T17:31:03Z</dcterms:created>
  <dcterms:modified xsi:type="dcterms:W3CDTF">2025-07-29T16:27:58Z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0x0101003325FB3D99FA2F488BF8739446309F7D</vt:lpwstr>
  </property>
</Properties>
</file>